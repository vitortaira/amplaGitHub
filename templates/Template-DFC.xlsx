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templates/"/>
    </mc:Choice>
  </mc:AlternateContent>
  <xr:revisionPtr revIDLastSave="416" documentId="8_{482EB0F2-8EC4-40C5-8B55-F33B1732A6B7}" xr6:coauthVersionLast="47" xr6:coauthVersionMax="47" xr10:uidLastSave="{1BAF1A6D-C0A2-4B28-82DE-5F7AA8F567A7}"/>
  <bookViews>
    <workbookView xWindow="-28920" yWindow="-1305" windowWidth="29040" windowHeight="15840" activeTab="1" xr2:uid="{E8652140-B299-493A-AAA8-27682F0F7EF9}"/>
  </bookViews>
  <sheets>
    <sheet name="DFC" sheetId="1" r:id="rId1"/>
    <sheet name="Mapeamento" sheetId="5" r:id="rId2"/>
    <sheet name="Configurações" sheetId="6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 a="1"/>
  <c r="E3" i="6" s="1"/>
  <c r="A3" i="6" a="1"/>
  <c r="A3" i="6" s="1"/>
  <c r="C3" i="6" a="1"/>
  <c r="C3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<sst xmlns="http://schemas.openxmlformats.org/spreadsheetml/2006/main" count="104" uniqueCount="59">
  <si>
    <t>Código</t>
  </si>
  <si>
    <t>Descrição</t>
  </si>
  <si>
    <t>1.</t>
  </si>
  <si>
    <t>Atividades operacionais</t>
  </si>
  <si>
    <t>2.</t>
  </si>
  <si>
    <t>3.</t>
  </si>
  <si>
    <t>Atividades de investimento</t>
  </si>
  <si>
    <t>Atividades de financiamento</t>
  </si>
  <si>
    <t>Pró soluto</t>
  </si>
  <si>
    <t>Pagamentos a fornecedores</t>
  </si>
  <si>
    <t>Pagamentos a empreiteiros/subempreiteiros</t>
  </si>
  <si>
    <t>Pagamentos de salários e encargos</t>
  </si>
  <si>
    <t>Despesas comerciais e de marketing</t>
  </si>
  <si>
    <t>Despesas administrativas gerais</t>
  </si>
  <si>
    <t>Caixa líquido das atividades operacionais</t>
  </si>
  <si>
    <t>Venda de ativos imobilizados / terrenos</t>
  </si>
  <si>
    <t>Recebimento de juros sobre aplicações</t>
  </si>
  <si>
    <t>Aquisição de terrenos</t>
  </si>
  <si>
    <t>Investimento em construção e obras em andamento</t>
  </si>
  <si>
    <t>Aquisição de equipamentos</t>
  </si>
  <si>
    <t>Investimento em participações / SPEs</t>
  </si>
  <si>
    <t>Entradas de atividades de investimento</t>
  </si>
  <si>
    <t>Captação de empréstimos / financiamentos bancários</t>
  </si>
  <si>
    <t>Aporte de capital dos sócios</t>
  </si>
  <si>
    <t>Entradas de atividades operacionais</t>
  </si>
  <si>
    <t>Saídas de atividades operacionais</t>
  </si>
  <si>
    <t>Saídas de atividades de investimento</t>
  </si>
  <si>
    <t>Caixa líquido das atividades de investimento</t>
  </si>
  <si>
    <t>Entradas de atividades de financiamento</t>
  </si>
  <si>
    <t>Amortização de empréstimos / financiamentos</t>
  </si>
  <si>
    <t>Pagamento de juros</t>
  </si>
  <si>
    <t>Distribuição de dividendos / JCP</t>
  </si>
  <si>
    <t>Saídas de atividades de financiamento</t>
  </si>
  <si>
    <t>Caixa líquido das atividades de financiamento</t>
  </si>
  <si>
    <t>Variação líquida de caixa no período</t>
  </si>
  <si>
    <t>Caixa e equivalentes no início do período</t>
  </si>
  <si>
    <t>Caixa e equivalentes no fim do período</t>
  </si>
  <si>
    <t>Origem</t>
  </si>
  <si>
    <t>Arquivo</t>
  </si>
  <si>
    <t>Tabela</t>
  </si>
  <si>
    <t>-</t>
  </si>
  <si>
    <t>Observações</t>
  </si>
  <si>
    <t>CEF</t>
  </si>
  <si>
    <t>extcef</t>
  </si>
  <si>
    <t>Repasse PF da CEF</t>
  </si>
  <si>
    <t>Impostos e outras despesas legais</t>
  </si>
  <si>
    <t>Empresa</t>
  </si>
  <si>
    <t>Banco</t>
  </si>
  <si>
    <t>Conta</t>
  </si>
  <si>
    <t>Se (nos extratos)</t>
  </si>
  <si>
    <t>Então (no DFC)</t>
  </si>
  <si>
    <t>Todas</t>
  </si>
  <si>
    <t>Todos</t>
  </si>
  <si>
    <t>Empresas</t>
  </si>
  <si>
    <t>Bancos</t>
  </si>
  <si>
    <t>Contas</t>
  </si>
  <si>
    <t>DFC</t>
  </si>
  <si>
    <t>Descrição nos extratos</t>
  </si>
  <si>
    <t>Descrição no 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</si>
</sst>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/>
    <xf numFmtId="0" fontId="1" fillId="3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7" borderId="0" xfId="0" applyFont="1" applyFill="1"/>
    <xf numFmtId="0" fontId="0" fillId="7" borderId="0" xfId="0" applyFill="1"/>
    <xf numFmtId="0" fontId="3" fillId="8" borderId="0" xfId="0" applyFont="1" applyFill="1"/>
    <xf numFmtId="0" fontId="0" fillId="8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4" fillId="6" borderId="0" xfId="0" applyFont="1" applyFill="1"/>
    <xf numFmtId="49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0</xdr:row>
      <xdr:rowOff>0</xdr:rowOff>
    </xdr:from>
    <xdr:to>
      <xdr:col>4</xdr:col>
      <xdr:colOff>9524</xdr:colOff>
      <xdr:row>1</xdr:row>
      <xdr:rowOff>0</xdr:rowOff>
    </xdr:to>
    <xdr:pic>
      <xdr:nvPicPr>
        <xdr:cNvPr id="3" name="Gráfico 2" descr="Seta para Direita com preenchimento sólido">
          <a:extLst>
            <a:ext uri="{FF2B5EF4-FFF2-40B4-BE49-F238E27FC236}">
              <a16:creationId xmlns:a16="http://schemas.microsoft.com/office/drawing/2014/main" id="{4CD96445-36FC-4103-8EB8-F1932AFD1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099" y="0"/>
          <a:ext cx="3057525" cy="333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corporadoraampla.sharepoint.com/sites/Relatorios/Documentos%20Compartilhados/Dados/Mapeamento%20dos%20dados.xlsx" TargetMode="External"/><Relationship Id="rId1" Type="http://schemas.openxmlformats.org/officeDocument/2006/relationships/externalLinkPath" Target="/sites/Relatorios/Documentos%20Compartilhados/Dados/Mapeamento%20dos%20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áveis"/>
      <sheetName val="Arquivos"/>
      <sheetName val="Relatórios"/>
      <sheetName val="Empreend.-Filial-Empresa"/>
      <sheetName val="Contas"/>
      <sheetName val="Contas-IK"/>
      <sheetName val="CEF"/>
      <sheetName val="Mapeamento dos dado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644A32-86DF-4680-A406-4B53C94BFE14}" name="Tabela2" displayName="Tabela2" ref="A2:E3" totalsRowShown="0" headerRowDxfId="0">
  <autoFilter ref="A2:E3" xr:uid="{A4644A32-86DF-4680-A406-4B53C94BFE14}"/>
  <tableColumns count="5">
    <tableColumn id="1" xr3:uid="{09747F26-7800-4998-9D65-D29FA38902A8}" name="Empresa"/>
    <tableColumn id="2" xr3:uid="{E2813DE1-C567-4EB1-929D-1AB0349AD140}" name="Banco"/>
    <tableColumn id="3" xr3:uid="{C6C708C1-EA14-416C-BBB8-EF029BDA3E1F}" name="Conta"/>
    <tableColumn id="6" xr3:uid="{467D06F7-18B0-4033-87AD-6DDE247DBEE4}" name="Descrição nos extratos"/>
    <tableColumn id="4" xr3:uid="{D20D5B7D-D231-4477-B816-34758A2EF602}" name="Descrição no DFC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F019-ACA5-4674-AAA1-FFC1EFB894DF}">
  <dimension ref="A1:F35"/>
  <sheetViews>
    <sheetView showGridLines="0" zoomScale="70" zoomScaleNormal="70" workbookViewId="0">
      <selection activeCell="L25" sqref="L25"/>
    </sheetView>
  </sheetViews>
  <sheetFormatPr defaultRowHeight="15" outlineLevelRow="2" x14ac:dyDescent="0.25"/>
  <cols>
    <col min="2" max="2" width="53.140625" bestFit="1" customWidth="1"/>
    <col min="3" max="3" width="11.7109375" bestFit="1" customWidth="1"/>
    <col min="6" max="6" width="30.7109375" customWidth="1"/>
  </cols>
  <sheetData>
    <row r="1" spans="1:6" x14ac:dyDescent="0.25">
      <c r="A1" s="2" t="s">
        <v>0</v>
      </c>
      <c r="B1" s="2" t="s">
        <v>1</v>
      </c>
      <c r="C1" s="2" t="s">
        <v>37</v>
      </c>
      <c r="D1" s="2" t="s">
        <v>38</v>
      </c>
      <c r="E1" s="2" t="s">
        <v>39</v>
      </c>
      <c r="F1" s="2" t="s">
        <v>41</v>
      </c>
    </row>
    <row r="2" spans="1:6" x14ac:dyDescent="0.25">
      <c r="A2" s="3" t="s">
        <v>2</v>
      </c>
      <c r="B2" s="3" t="s">
        <v>3</v>
      </c>
      <c r="C2" s="9" t="s">
        <v>40</v>
      </c>
      <c r="D2" s="9" t="s">
        <v>40</v>
      </c>
      <c r="E2" s="9" t="s">
        <v>40</v>
      </c>
      <c r="F2" s="9"/>
    </row>
    <row r="3" spans="1:6" outlineLevel="2" x14ac:dyDescent="0.25">
      <c r="A3" s="4"/>
      <c r="B3" s="4" t="s">
        <v>44</v>
      </c>
      <c r="C3" s="10" t="s">
        <v>42</v>
      </c>
      <c r="D3" s="10" t="s">
        <v>43</v>
      </c>
      <c r="E3" s="10" t="s">
        <v>43</v>
      </c>
      <c r="F3" s="10"/>
    </row>
    <row r="4" spans="1:6" outlineLevel="2" x14ac:dyDescent="0.25">
      <c r="A4" s="4"/>
      <c r="B4" s="4" t="s">
        <v>8</v>
      </c>
      <c r="C4" s="10"/>
      <c r="D4" s="10"/>
      <c r="E4" s="10"/>
      <c r="F4" s="10"/>
    </row>
    <row r="5" spans="1:6" outlineLevel="1" x14ac:dyDescent="0.25">
      <c r="A5" s="5"/>
      <c r="B5" s="5" t="s">
        <v>24</v>
      </c>
      <c r="C5" s="11" t="s">
        <v>40</v>
      </c>
      <c r="D5" s="11" t="s">
        <v>40</v>
      </c>
      <c r="E5" s="11" t="s">
        <v>40</v>
      </c>
      <c r="F5" s="11"/>
    </row>
    <row r="6" spans="1:6" outlineLevel="2" x14ac:dyDescent="0.25">
      <c r="A6" s="4"/>
      <c r="B6" s="4" t="s">
        <v>9</v>
      </c>
      <c r="C6" s="10"/>
      <c r="D6" s="10"/>
      <c r="E6" s="10"/>
      <c r="F6" s="10"/>
    </row>
    <row r="7" spans="1:6" outlineLevel="2" x14ac:dyDescent="0.25">
      <c r="A7" s="4"/>
      <c r="B7" s="4" t="s">
        <v>10</v>
      </c>
      <c r="C7" s="10"/>
      <c r="D7" s="10"/>
      <c r="E7" s="10"/>
      <c r="F7" s="10"/>
    </row>
    <row r="8" spans="1:6" outlineLevel="2" x14ac:dyDescent="0.25">
      <c r="A8" s="4"/>
      <c r="B8" s="4" t="s">
        <v>11</v>
      </c>
      <c r="C8" s="10"/>
      <c r="D8" s="10"/>
      <c r="E8" s="10"/>
      <c r="F8" s="10"/>
    </row>
    <row r="9" spans="1:6" outlineLevel="2" x14ac:dyDescent="0.25">
      <c r="A9" s="4"/>
      <c r="B9" s="4" t="s">
        <v>12</v>
      </c>
      <c r="C9" s="10"/>
      <c r="D9" s="10"/>
      <c r="E9" s="10"/>
      <c r="F9" s="10"/>
    </row>
    <row r="10" spans="1:6" outlineLevel="2" x14ac:dyDescent="0.25">
      <c r="A10" s="4"/>
      <c r="B10" s="4" t="s">
        <v>13</v>
      </c>
      <c r="C10" s="10"/>
      <c r="D10" s="10"/>
      <c r="E10" s="10"/>
      <c r="F10" s="10"/>
    </row>
    <row r="11" spans="1:6" outlineLevel="2" x14ac:dyDescent="0.25">
      <c r="A11" s="4"/>
      <c r="B11" s="4" t="s">
        <v>45</v>
      </c>
      <c r="C11" s="10"/>
      <c r="D11" s="10"/>
      <c r="E11" s="10"/>
      <c r="F11" s="10"/>
    </row>
    <row r="12" spans="1:6" outlineLevel="1" x14ac:dyDescent="0.25">
      <c r="A12" s="6"/>
      <c r="B12" s="6" t="s">
        <v>25</v>
      </c>
      <c r="C12" s="12" t="s">
        <v>40</v>
      </c>
      <c r="D12" s="12" t="s">
        <v>40</v>
      </c>
      <c r="E12" s="12" t="s">
        <v>40</v>
      </c>
      <c r="F12" s="12"/>
    </row>
    <row r="13" spans="1:6" outlineLevel="1" x14ac:dyDescent="0.25">
      <c r="A13" s="7"/>
      <c r="B13" s="7" t="s">
        <v>14</v>
      </c>
      <c r="C13" s="13"/>
      <c r="D13" s="13"/>
      <c r="E13" s="13"/>
      <c r="F13" s="13"/>
    </row>
    <row r="14" spans="1:6" x14ac:dyDescent="0.25">
      <c r="A14" s="3" t="s">
        <v>4</v>
      </c>
      <c r="B14" s="3" t="s">
        <v>6</v>
      </c>
      <c r="C14" s="9"/>
      <c r="D14" s="9"/>
      <c r="E14" s="9"/>
      <c r="F14" s="9"/>
    </row>
    <row r="15" spans="1:6" outlineLevel="2" x14ac:dyDescent="0.25">
      <c r="A15" s="4"/>
      <c r="B15" s="4" t="s">
        <v>15</v>
      </c>
      <c r="C15" s="10"/>
      <c r="D15" s="10"/>
      <c r="E15" s="10"/>
      <c r="F15" s="10"/>
    </row>
    <row r="16" spans="1:6" outlineLevel="2" x14ac:dyDescent="0.25">
      <c r="A16" s="4"/>
      <c r="B16" s="4" t="s">
        <v>16</v>
      </c>
      <c r="C16" s="10"/>
      <c r="D16" s="10"/>
      <c r="E16" s="10"/>
      <c r="F16" s="10"/>
    </row>
    <row r="17" spans="1:6" outlineLevel="1" x14ac:dyDescent="0.25">
      <c r="A17" s="5"/>
      <c r="B17" s="5" t="s">
        <v>21</v>
      </c>
      <c r="C17" s="11" t="s">
        <v>40</v>
      </c>
      <c r="D17" s="11" t="s">
        <v>40</v>
      </c>
      <c r="E17" s="11" t="s">
        <v>40</v>
      </c>
      <c r="F17" s="11"/>
    </row>
    <row r="18" spans="1:6" outlineLevel="2" x14ac:dyDescent="0.25">
      <c r="A18" s="4"/>
      <c r="B18" s="4" t="s">
        <v>17</v>
      </c>
      <c r="C18" s="10"/>
      <c r="D18" s="10"/>
      <c r="E18" s="10"/>
      <c r="F18" s="10"/>
    </row>
    <row r="19" spans="1:6" outlineLevel="2" x14ac:dyDescent="0.25">
      <c r="A19" s="4"/>
      <c r="B19" s="4" t="s">
        <v>18</v>
      </c>
      <c r="C19" s="10"/>
      <c r="D19" s="10"/>
      <c r="E19" s="10"/>
      <c r="F19" s="10"/>
    </row>
    <row r="20" spans="1:6" outlineLevel="2" x14ac:dyDescent="0.25">
      <c r="A20" s="4"/>
      <c r="B20" s="4" t="s">
        <v>19</v>
      </c>
      <c r="C20" s="10"/>
      <c r="D20" s="10"/>
      <c r="E20" s="10"/>
      <c r="F20" s="10"/>
    </row>
    <row r="21" spans="1:6" outlineLevel="2" x14ac:dyDescent="0.25">
      <c r="A21" s="4"/>
      <c r="B21" s="4" t="s">
        <v>20</v>
      </c>
      <c r="C21" s="10"/>
      <c r="D21" s="10"/>
      <c r="E21" s="10"/>
      <c r="F21" s="10"/>
    </row>
    <row r="22" spans="1:6" outlineLevel="1" x14ac:dyDescent="0.25">
      <c r="A22" s="6"/>
      <c r="B22" s="6" t="s">
        <v>26</v>
      </c>
      <c r="C22" s="12" t="s">
        <v>40</v>
      </c>
      <c r="D22" s="12" t="s">
        <v>40</v>
      </c>
      <c r="E22" s="12" t="s">
        <v>40</v>
      </c>
      <c r="F22" s="12"/>
    </row>
    <row r="23" spans="1:6" outlineLevel="1" x14ac:dyDescent="0.25">
      <c r="A23" s="7"/>
      <c r="B23" s="7" t="s">
        <v>27</v>
      </c>
      <c r="C23" s="13" t="s">
        <v>40</v>
      </c>
      <c r="D23" s="13" t="s">
        <v>40</v>
      </c>
      <c r="E23" s="13" t="s">
        <v>40</v>
      </c>
      <c r="F23" s="13"/>
    </row>
    <row r="24" spans="1:6" x14ac:dyDescent="0.25">
      <c r="A24" s="3" t="s">
        <v>5</v>
      </c>
      <c r="B24" s="3" t="s">
        <v>7</v>
      </c>
      <c r="C24" s="9" t="s">
        <v>40</v>
      </c>
      <c r="D24" s="9" t="s">
        <v>40</v>
      </c>
      <c r="E24" s="9" t="s">
        <v>40</v>
      </c>
      <c r="F24" s="9"/>
    </row>
    <row r="25" spans="1:6" outlineLevel="2" x14ac:dyDescent="0.25">
      <c r="A25" s="4"/>
      <c r="B25" s="4" t="s">
        <v>22</v>
      </c>
      <c r="C25" s="10" t="s">
        <v>42</v>
      </c>
      <c r="D25" s="10" t="s">
        <v>43</v>
      </c>
      <c r="E25" s="10" t="s">
        <v>43</v>
      </c>
      <c r="F25" s="10"/>
    </row>
    <row r="26" spans="1:6" outlineLevel="2" x14ac:dyDescent="0.25">
      <c r="A26" s="4"/>
      <c r="B26" s="4" t="s">
        <v>23</v>
      </c>
      <c r="C26" s="10"/>
      <c r="D26" s="10"/>
      <c r="E26" s="10"/>
      <c r="F26" s="10"/>
    </row>
    <row r="27" spans="1:6" outlineLevel="1" x14ac:dyDescent="0.25">
      <c r="A27" s="5"/>
      <c r="B27" s="5" t="s">
        <v>28</v>
      </c>
      <c r="C27" s="11" t="s">
        <v>40</v>
      </c>
      <c r="D27" s="11" t="s">
        <v>40</v>
      </c>
      <c r="E27" s="11" t="s">
        <v>40</v>
      </c>
      <c r="F27" s="11"/>
    </row>
    <row r="28" spans="1:6" outlineLevel="2" x14ac:dyDescent="0.25">
      <c r="A28" s="4"/>
      <c r="B28" s="4" t="s">
        <v>29</v>
      </c>
      <c r="C28" s="10"/>
      <c r="D28" s="10"/>
      <c r="E28" s="10"/>
      <c r="F28" s="10"/>
    </row>
    <row r="29" spans="1:6" outlineLevel="2" x14ac:dyDescent="0.25">
      <c r="A29" s="4"/>
      <c r="B29" s="4" t="s">
        <v>30</v>
      </c>
      <c r="C29" s="10"/>
      <c r="D29" s="10"/>
      <c r="E29" s="10"/>
      <c r="F29" s="10"/>
    </row>
    <row r="30" spans="1:6" outlineLevel="2" x14ac:dyDescent="0.25">
      <c r="A30" s="4"/>
      <c r="B30" s="4" t="s">
        <v>31</v>
      </c>
      <c r="C30" s="10"/>
      <c r="D30" s="10"/>
      <c r="E30" s="10"/>
      <c r="F30" s="10"/>
    </row>
    <row r="31" spans="1:6" outlineLevel="1" x14ac:dyDescent="0.25">
      <c r="A31" s="6"/>
      <c r="B31" s="6" t="s">
        <v>32</v>
      </c>
      <c r="C31" s="12" t="s">
        <v>40</v>
      </c>
      <c r="D31" s="12" t="s">
        <v>40</v>
      </c>
      <c r="E31" s="12" t="s">
        <v>40</v>
      </c>
      <c r="F31" s="12"/>
    </row>
    <row r="32" spans="1:6" outlineLevel="1" x14ac:dyDescent="0.25">
      <c r="A32" s="7"/>
      <c r="B32" s="7" t="s">
        <v>33</v>
      </c>
      <c r="C32" s="13" t="s">
        <v>40</v>
      </c>
      <c r="D32" s="13" t="s">
        <v>40</v>
      </c>
      <c r="E32" s="13" t="s">
        <v>40</v>
      </c>
      <c r="F32" s="13"/>
    </row>
    <row r="33" spans="1:6" x14ac:dyDescent="0.25">
      <c r="A33" s="8"/>
      <c r="B33" s="8" t="s">
        <v>34</v>
      </c>
      <c r="C33" s="14" t="s">
        <v>40</v>
      </c>
      <c r="D33" s="14" t="s">
        <v>40</v>
      </c>
      <c r="E33" s="14" t="s">
        <v>40</v>
      </c>
      <c r="F33" s="14"/>
    </row>
    <row r="34" spans="1:6" x14ac:dyDescent="0.25">
      <c r="A34" s="1"/>
      <c r="B34" s="1" t="s">
        <v>35</v>
      </c>
      <c r="C34" s="14" t="s">
        <v>40</v>
      </c>
      <c r="D34" s="14" t="s">
        <v>40</v>
      </c>
      <c r="E34" s="14" t="s">
        <v>40</v>
      </c>
      <c r="F34" s="14"/>
    </row>
    <row r="35" spans="1:6" x14ac:dyDescent="0.25">
      <c r="A35" s="1"/>
      <c r="B35" s="1" t="s">
        <v>36</v>
      </c>
      <c r="C35" s="14" t="s">
        <v>40</v>
      </c>
      <c r="D35" s="14" t="s">
        <v>40</v>
      </c>
      <c r="E35" s="14" t="s">
        <v>40</v>
      </c>
      <c r="F35" s="1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BFD3-E4D2-476B-B25F-441255FD953F}">
  <dimension ref="A1:G2"/>
  <sheetViews>
    <sheetView showGridLines="0" tabSelected="1" workbookViewId="0">
      <selection activeCell="F3" sqref="F3"/>
    </sheetView>
  </sheetViews>
  <sheetFormatPr defaultRowHeight="15" x14ac:dyDescent="0.25"/>
  <cols>
    <col min="1" max="1" width="10.85546875" customWidth="1"/>
    <col min="4" max="5" width="45.7109375" customWidth="1"/>
  </cols>
  <sheetData>
    <row r="1" spans="1:7" ht="26.25" x14ac:dyDescent="0.4">
      <c r="A1" s="15" t="s">
        <v>49</v>
      </c>
      <c r="B1" s="16"/>
      <c r="C1" s="16"/>
      <c r="D1" s="16"/>
      <c r="E1" s="17" t="s">
        <v>50</v>
      </c>
      <c r="G1" t="s">
        <v>44</v>
      </c>
    </row>
    <row r="2" spans="1:7" x14ac:dyDescent="0.25">
      <c r="A2" s="19" t="s">
        <v>46</v>
      </c>
      <c r="B2" s="19" t="s">
        <v>47</v>
      </c>
      <c r="C2" s="19" t="s">
        <v>48</v>
      </c>
      <c r="D2" s="19" t="s">
        <v>57</v>
      </c>
      <c r="E2" s="18" t="s">
        <v>58</v>
      </c>
      <c r="G2" t="s">
        <v>8</v>
      </c>
    </row>
  </sheetData>
  <phoneticPr fontId="5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4FF4ED5F-8031-4733-9B50-EFDEDEAAEB10}">
          <x14:formula1>
            <xm:f>Configurações!$A$2:$A$26</xm:f>
          </x14:formula1>
          <xm:sqref>A3</xm:sqref>
        </x14:dataValidation>
        <x14:dataValidation type="list" allowBlank="1" showInputMessage="1" showErrorMessage="1" xr:uid="{250A0206-946F-4E3B-A1FC-3383CEA30FA3}">
          <x14:formula1>
            <xm:f>Configurações!$C$2:$C$8</xm:f>
          </x14:formula1>
          <xm:sqref>B3</xm:sqref>
        </x14:dataValidation>
        <x14:dataValidation type="list" allowBlank="1" showInputMessage="1" showErrorMessage="1" xr:uid="{80D77F89-4FF3-44EC-B2BA-6BD51B67A140}">
          <x14:formula1>
            <xm:f>Configurações!$E$2:$E$66</xm:f>
          </x14:formula1>
          <xm:sqref>C3:D3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E963-55A4-4016-BD3B-C5BBBBA954E5}">
  <dimension ref="A1:G68"/>
  <sheetViews>
    <sheetView showGridLines="0" workbookViewId="0">
      <selection activeCell="L11" sqref="L11"/>
    </sheetView>
  </sheetViews>
  <sheetFormatPr defaultRowHeight="15" x14ac:dyDescent="0.25"/>
  <cols>
    <col min="2" max="2" width="3.7109375" customWidth="1"/>
    <col min="4" max="4" width="3.7109375" customWidth="1"/>
    <col min="5" max="5" width="22.85546875" bestFit="1" customWidth="1"/>
    <col min="6" max="6" width="3.7109375" customWidth="1"/>
    <col min="9" max="9" width="11.140625" bestFit="1" customWidth="1"/>
  </cols>
  <sheetData>
    <row r="1" spans="1:7" x14ac:dyDescent="0.25">
      <c r="A1" s="20" t="s">
        <v>53</v>
      </c>
      <c r="C1" s="20" t="s">
        <v>54</v>
      </c>
      <c r="E1" s="20" t="s">
        <v>55</v>
      </c>
      <c r="G1" s="20" t="s">
        <v>56</v>
      </c>
    </row>
    <row r="2" spans="1:7" x14ac:dyDescent="0.25">
      <c r="A2" t="s">
        <v>51</v>
      </c>
      <c r="C2" t="s">
        <v>52</v>
      </c>
      <c r="E2" t="s">
        <v>51</v>
      </c>
    </row>
    <row r="3" spans="1:7" x14ac:dyDescent="0.25">
      <c r="A3" t="str" cm="1">
        <f t="array" ref="A3:A26">_xlfn._xlws.SORT(_xlfn.UNIQUE([1]!contas[Empresa]))</f>
        <v>AMP</v>
      </c>
      <c r="C3" t="str" cm="1">
        <f t="array" ref="C3:C8">_xlfn.UNIQUE(_xlfn._xlws.SORT([1]!contas[Banco]))</f>
        <v>ABC</v>
      </c>
      <c r="E3" t="str" cm="1">
        <f t="array" ref="E3:E66">_xlfn.LET(_xlpm.bruto, _xlfn.VSTACK([1]!contas[CC (antigo)], [1]!contas[CC (atual)]),
_xlpm.limpo, _xlfn._xlws.FILTER(_xlpm.bruto, (_xlpm.bruto&lt;&gt;"0") * (_xlpm.bruto&lt;&gt;"-") * (_xlpm.bruto&lt;&gt;"")),
_xlfn.UNIQUE(TEXT(_xlfn._xlws.SORT(_xlpm.limpo), "@")))</f>
        <v>3701</v>
      </c>
    </row>
    <row r="4" spans="1:7" x14ac:dyDescent="0.25">
      <c r="A4" t="str">
        <v>AVR</v>
      </c>
      <c r="C4" t="str">
        <v>CEF</v>
      </c>
      <c r="E4" s="21" t="str">
        <v>002292447-9</v>
      </c>
    </row>
    <row r="5" spans="1:7" x14ac:dyDescent="0.25">
      <c r="A5" t="str">
        <v>AVS</v>
      </c>
      <c r="C5" t="str">
        <v>Itaú</v>
      </c>
      <c r="E5" s="21" t="str">
        <v>002292448-7</v>
      </c>
    </row>
    <row r="6" spans="1:7" x14ac:dyDescent="0.25">
      <c r="A6" t="str">
        <v>BUT</v>
      </c>
      <c r="C6" t="str">
        <v>Linkpay</v>
      </c>
      <c r="E6" s="21" t="str">
        <v>03852-3</v>
      </c>
    </row>
    <row r="7" spans="1:7" x14ac:dyDescent="0.25">
      <c r="A7" t="str">
        <v>CBL</v>
      </c>
      <c r="C7" t="str">
        <v>Paulista</v>
      </c>
      <c r="E7" s="21" t="str">
        <v>06340-0</v>
      </c>
    </row>
    <row r="8" spans="1:7" x14ac:dyDescent="0.25">
      <c r="A8" t="str">
        <v>CHR</v>
      </c>
      <c r="C8" t="str">
        <v>QI Tech</v>
      </c>
      <c r="E8" s="21" t="str">
        <v>09700-2</v>
      </c>
    </row>
    <row r="9" spans="1:7" x14ac:dyDescent="0.25">
      <c r="A9" t="str">
        <v>CPE</v>
      </c>
      <c r="E9" s="21" t="str">
        <v>2245-8</v>
      </c>
    </row>
    <row r="10" spans="1:7" x14ac:dyDescent="0.25">
      <c r="A10" t="str">
        <v>DEC</v>
      </c>
      <c r="E10" s="21" t="str">
        <v>2278-4</v>
      </c>
    </row>
    <row r="11" spans="1:7" x14ac:dyDescent="0.25">
      <c r="A11" t="str">
        <v>DPF</v>
      </c>
      <c r="E11" s="21" t="str">
        <v>2362-4</v>
      </c>
    </row>
    <row r="12" spans="1:7" x14ac:dyDescent="0.25">
      <c r="A12" t="str">
        <v>ENC</v>
      </c>
      <c r="E12" s="21" t="str">
        <v>2399-3</v>
      </c>
    </row>
    <row r="13" spans="1:7" x14ac:dyDescent="0.25">
      <c r="A13" t="str">
        <v>GRA</v>
      </c>
      <c r="E13" s="21" t="str">
        <v>2419-1</v>
      </c>
    </row>
    <row r="14" spans="1:7" x14ac:dyDescent="0.25">
      <c r="A14" t="str">
        <v>INC</v>
      </c>
      <c r="E14" s="21" t="str">
        <v>2420-5</v>
      </c>
    </row>
    <row r="15" spans="1:7" x14ac:dyDescent="0.25">
      <c r="A15" t="str">
        <v>JRP</v>
      </c>
      <c r="E15" s="21" t="str">
        <v>2429-9</v>
      </c>
    </row>
    <row r="16" spans="1:7" x14ac:dyDescent="0.25">
      <c r="A16" t="str">
        <v>JSP</v>
      </c>
      <c r="E16" s="21" t="str">
        <v>2480-9</v>
      </c>
    </row>
    <row r="17" spans="1:5" x14ac:dyDescent="0.25">
      <c r="A17" t="str">
        <v>LCG</v>
      </c>
      <c r="E17" s="21" t="str">
        <v>2498-1</v>
      </c>
    </row>
    <row r="18" spans="1:5" x14ac:dyDescent="0.25">
      <c r="A18" t="str">
        <v>LUC</v>
      </c>
      <c r="E18" s="21" t="str">
        <v>2505-8</v>
      </c>
    </row>
    <row r="19" spans="1:5" x14ac:dyDescent="0.25">
      <c r="A19" t="str">
        <v>PDI</v>
      </c>
      <c r="E19" s="21" t="str">
        <v>29548-2</v>
      </c>
    </row>
    <row r="20" spans="1:5" x14ac:dyDescent="0.25">
      <c r="A20" t="str">
        <v>POM</v>
      </c>
      <c r="E20" s="21" t="str">
        <v>29757-4</v>
      </c>
    </row>
    <row r="21" spans="1:5" x14ac:dyDescent="0.25">
      <c r="A21" t="str">
        <v>SAU</v>
      </c>
      <c r="E21" s="21" t="str">
        <v>3455-6</v>
      </c>
    </row>
    <row r="22" spans="1:5" x14ac:dyDescent="0.25">
      <c r="A22" t="str">
        <v>SBB</v>
      </c>
      <c r="E22" s="21" t="str">
        <v>576265461-0</v>
      </c>
    </row>
    <row r="23" spans="1:5" x14ac:dyDescent="0.25">
      <c r="A23" t="str">
        <v>SN2</v>
      </c>
      <c r="E23" s="21" t="str">
        <v>576268473-0</v>
      </c>
    </row>
    <row r="24" spans="1:5" x14ac:dyDescent="0.25">
      <c r="A24" t="str">
        <v>SN4</v>
      </c>
      <c r="E24" s="21" t="str">
        <v>576533068-8</v>
      </c>
    </row>
    <row r="25" spans="1:5" x14ac:dyDescent="0.25">
      <c r="A25" t="str">
        <v>SOC</v>
      </c>
      <c r="E25" s="21" t="str">
        <v>577141188-0</v>
      </c>
    </row>
    <row r="26" spans="1:5" x14ac:dyDescent="0.25">
      <c r="A26" t="str">
        <v>USL</v>
      </c>
      <c r="E26" s="21" t="str">
        <v>577180827-6</v>
      </c>
    </row>
    <row r="27" spans="1:5" x14ac:dyDescent="0.25">
      <c r="E27" s="21" t="str">
        <v>577180924-8</v>
      </c>
    </row>
    <row r="28" spans="1:5" x14ac:dyDescent="0.25">
      <c r="E28" s="21" t="str">
        <v>577181031-9</v>
      </c>
    </row>
    <row r="29" spans="1:5" x14ac:dyDescent="0.25">
      <c r="E29" s="21" t="str">
        <v>577243227-0</v>
      </c>
    </row>
    <row r="30" spans="1:5" x14ac:dyDescent="0.25">
      <c r="E30" s="21" t="str">
        <v>577243229-6</v>
      </c>
    </row>
    <row r="31" spans="1:5" x14ac:dyDescent="0.25">
      <c r="E31" s="21" t="str">
        <v>577243231-8</v>
      </c>
    </row>
    <row r="32" spans="1:5" x14ac:dyDescent="0.25">
      <c r="E32" s="21" t="str">
        <v>577294854-3</v>
      </c>
    </row>
    <row r="33" spans="5:5" x14ac:dyDescent="0.25">
      <c r="E33" s="21" t="str">
        <v>577294862-4</v>
      </c>
    </row>
    <row r="34" spans="5:5" x14ac:dyDescent="0.25">
      <c r="E34" s="21" t="str">
        <v>577565836-8</v>
      </c>
    </row>
    <row r="35" spans="5:5" x14ac:dyDescent="0.25">
      <c r="E35" s="21" t="str">
        <v>578129123-3</v>
      </c>
    </row>
    <row r="36" spans="5:5" x14ac:dyDescent="0.25">
      <c r="E36" s="21" t="str">
        <v>578317306-8</v>
      </c>
    </row>
    <row r="37" spans="5:5" x14ac:dyDescent="0.25">
      <c r="E37" s="21" t="str">
        <v>579133302-8</v>
      </c>
    </row>
    <row r="38" spans="5:5" x14ac:dyDescent="0.25">
      <c r="E38" s="21" t="str">
        <v>579133317-6</v>
      </c>
    </row>
    <row r="39" spans="5:5" x14ac:dyDescent="0.25">
      <c r="E39" s="21" t="str">
        <v>579133324-9</v>
      </c>
    </row>
    <row r="40" spans="5:5" x14ac:dyDescent="0.25">
      <c r="E40" s="21" t="str">
        <v>579133332-0</v>
      </c>
    </row>
    <row r="41" spans="5:5" x14ac:dyDescent="0.25">
      <c r="E41" s="21" t="str">
        <v>579133363-0</v>
      </c>
    </row>
    <row r="42" spans="5:5" x14ac:dyDescent="0.25">
      <c r="E42" s="21" t="str">
        <v>579133369-9</v>
      </c>
    </row>
    <row r="43" spans="5:5" x14ac:dyDescent="0.25">
      <c r="E43" s="21" t="str">
        <v>579897189-5</v>
      </c>
    </row>
    <row r="44" spans="5:5" x14ac:dyDescent="0.25">
      <c r="E44" s="21" t="str">
        <v>586376394-5</v>
      </c>
    </row>
    <row r="45" spans="5:5" x14ac:dyDescent="0.25">
      <c r="E45" s="21" t="str">
        <v>586376423-2</v>
      </c>
    </row>
    <row r="46" spans="5:5" x14ac:dyDescent="0.25">
      <c r="E46" s="21" t="str">
        <v>600-0</v>
      </c>
    </row>
    <row r="47" spans="5:5" x14ac:dyDescent="0.25">
      <c r="E47" s="21" t="str">
        <v>659-0</v>
      </c>
    </row>
    <row r="48" spans="5:5" x14ac:dyDescent="0.25">
      <c r="E48" s="21" t="str">
        <v>742397833-8</v>
      </c>
    </row>
    <row r="49" spans="5:5" x14ac:dyDescent="0.25">
      <c r="E49" s="21" t="str">
        <v>793-7</v>
      </c>
    </row>
    <row r="50" spans="5:5" x14ac:dyDescent="0.25">
      <c r="E50" s="21" t="str">
        <v>7986045-7</v>
      </c>
    </row>
    <row r="51" spans="5:5" x14ac:dyDescent="0.25">
      <c r="E51" s="21" t="str">
        <v>97588-9</v>
      </c>
    </row>
    <row r="52" spans="5:5" x14ac:dyDescent="0.25">
      <c r="E52" s="21" t="str">
        <v>97589-7</v>
      </c>
    </row>
    <row r="53" spans="5:5" x14ac:dyDescent="0.25">
      <c r="E53" s="21" t="str">
        <v>97648-1</v>
      </c>
    </row>
    <row r="54" spans="5:5" x14ac:dyDescent="0.25">
      <c r="E54" s="21" t="str">
        <v>98426-1</v>
      </c>
    </row>
    <row r="55" spans="5:5" x14ac:dyDescent="0.25">
      <c r="E55" s="21" t="str">
        <v>99267-3</v>
      </c>
    </row>
    <row r="56" spans="5:5" x14ac:dyDescent="0.25">
      <c r="E56" s="21" t="str">
        <v>99310-1</v>
      </c>
    </row>
    <row r="57" spans="5:5" x14ac:dyDescent="0.25">
      <c r="E57" s="21" t="str">
        <v>99651-8</v>
      </c>
    </row>
    <row r="58" spans="5:5" x14ac:dyDescent="0.25">
      <c r="E58" s="21" t="str">
        <v>99653-4</v>
      </c>
    </row>
    <row r="59" spans="5:5" x14ac:dyDescent="0.25">
      <c r="E59" s="21" t="str">
        <v>99660-9</v>
      </c>
    </row>
    <row r="60" spans="5:5" x14ac:dyDescent="0.25">
      <c r="E60" s="21" t="str">
        <v>99664-1</v>
      </c>
    </row>
    <row r="61" spans="5:5" x14ac:dyDescent="0.25">
      <c r="E61" s="21" t="str">
        <v>99681-5</v>
      </c>
    </row>
    <row r="62" spans="5:5" x14ac:dyDescent="0.25">
      <c r="E62" s="21" t="str">
        <v>99715-1</v>
      </c>
    </row>
    <row r="63" spans="5:5" x14ac:dyDescent="0.25">
      <c r="E63" s="21" t="str">
        <v>99716-9</v>
      </c>
    </row>
    <row r="64" spans="5:5" x14ac:dyDescent="0.25">
      <c r="E64" s="21" t="str">
        <v>99725-0</v>
      </c>
    </row>
    <row r="65" spans="5:5" x14ac:dyDescent="0.25">
      <c r="E65" s="21" t="str">
        <v>99756-5</v>
      </c>
    </row>
    <row r="66" spans="5:5" x14ac:dyDescent="0.25">
      <c r="E66" s="21" t="str">
        <v>99853-0</v>
      </c>
    </row>
    <row r="67" spans="5:5" x14ac:dyDescent="0.25">
      <c r="E67" s="21"/>
    </row>
    <row r="68" spans="5:5" x14ac:dyDescent="0.25">
      <c r="E68" s="2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1B5B1-5FBC-42BF-93E0-A1561CA25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E4AD77-7BCF-4163-8EFB-17D24A162300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3.xml><?xml version="1.0" encoding="utf-8"?>
<ds:datastoreItem xmlns:ds="http://schemas.openxmlformats.org/officeDocument/2006/customXml" ds:itemID="{E7BFC80B-7A55-4801-9844-CCCBA39266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DFC</vt:lpstr>
      <vt:lpstr>Mapeamento</vt:lpstr>
      <vt:lpstr>Configurações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Taira - Ampla Incorporadora</dc:creator>
  <cp:lastModifiedBy>Vitor Taira - Ampla Incorporadora</cp:lastModifiedBy>
  <dcterms:created xsi:type="dcterms:W3CDTF">2025-05-12T13:35:13Z</dcterms:created>
  <dcterms:modified xsi:type="dcterms:W3CDTF">2025-08-01T19:00:01Z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