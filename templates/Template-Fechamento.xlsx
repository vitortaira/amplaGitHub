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789" documentId="8_{C6C56A3F-2425-44CF-8BE3-ECE51A50A5D5}" xr6:coauthVersionLast="47" xr6:coauthVersionMax="47" xr10:uidLastSave="{EE09325F-FD4B-427D-8BCF-7641FCF27DBB}"/>
  <bookViews>
    <workbookView xWindow="-120" yWindow="-120" windowWidth="20730" windowHeight="11160" activeTab="4" xr2:uid="{64F819E7-7F57-40CB-9E6A-E429C8DACEE8}"/>
  </bookViews>
  <sheets>
    <sheet name="inputs" sheetId="2" r:id="rId1"/>
    <sheet name="viabs" sheetId="12" r:id="rId2"/>
    <sheet name="vgv" sheetId="3" r:id="rId3"/>
    <sheet name="status.unis" sheetId="5" r:id="rId4"/>
    <sheet name="cef" sheetId="21" r:id="rId5"/>
    <sheet name="cef.detalhado" sheetId="22" r:id="rId6"/>
    <sheet name="cef.mensal" sheetId="23" r:id="rId7"/>
    <sheet name="cmfcns.mensal" sheetId="19" r:id="rId8"/>
    <sheet name="cmfcn.xcef" sheetId="24" r:id="rId9"/>
    <sheet name="cmfcn.xcef.mensal" sheetId="25" r:id="rId10"/>
    <sheet name="rec.uni" sheetId="10" r:id="rId11"/>
    <sheet name="rec" sheetId="9" r:id="rId12"/>
    <sheet name="unis.cruzado" sheetId="26" r:id="rId13"/>
    <sheet name="xcef.mensal" sheetId="20" r:id="rId14"/>
    <sheet name="car" sheetId="13" r:id="rId15"/>
    <sheet name="cmfcns" sheetId="14" r:id="rId16"/>
    <sheet name="contr" sheetId="15" r:id="rId17"/>
    <sheet name="cr" sheetId="16" r:id="rId18"/>
    <sheet name="desp" sheetId="17" r:id="rId19"/>
    <sheet name="ecns" sheetId="8" r:id="rId20"/>
    <sheet name="estq" sheetId="7" r:id="rId21"/>
    <sheet name="unis" sheetId="11" r:id="rId22"/>
    <sheet name="xcef" sheetId="18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3" l="1"/>
  <c r="J13" i="3"/>
  <c r="I13" i="3"/>
  <c r="H13" i="3"/>
  <c r="G13" i="3"/>
  <c r="M17" i="3"/>
  <c r="M15" i="3"/>
  <c r="M13" i="3"/>
  <c r="M11" i="3"/>
  <c r="M9" i="3"/>
  <c r="M7" i="3"/>
  <c r="M5" i="3"/>
  <c r="K15" i="3"/>
  <c r="J15" i="3"/>
  <c r="I15" i="3"/>
  <c r="H15" i="3"/>
  <c r="G15" i="3"/>
  <c r="F15" i="3"/>
  <c r="E15" i="3"/>
  <c r="D15" i="3"/>
  <c r="C15" i="3"/>
  <c r="K17" i="3"/>
  <c r="J17" i="3"/>
  <c r="I17" i="3"/>
  <c r="H17" i="3"/>
  <c r="G17" i="3"/>
  <c r="K11" i="3"/>
  <c r="J11" i="3"/>
  <c r="I11" i="3"/>
  <c r="H11" i="3"/>
  <c r="G11" i="3"/>
  <c r="K9" i="3"/>
  <c r="J9" i="3"/>
  <c r="I9" i="3"/>
  <c r="H9" i="3"/>
  <c r="G9" i="3"/>
  <c r="F9" i="3"/>
  <c r="E9" i="3"/>
  <c r="D9" i="3"/>
  <c r="C9" i="3"/>
  <c r="K7" i="3"/>
  <c r="J7" i="3"/>
  <c r="I7" i="3"/>
  <c r="H7" i="3"/>
  <c r="G7" i="3"/>
  <c r="F7" i="3"/>
  <c r="E7" i="3"/>
  <c r="D7" i="3"/>
  <c r="C7" i="3"/>
  <c r="K5" i="3"/>
  <c r="J5" i="3"/>
  <c r="I5" i="3"/>
  <c r="H5" i="3"/>
  <c r="G5" i="3"/>
  <c r="F5" i="3"/>
  <c r="E5" i="3"/>
  <c r="D5" i="3"/>
  <c r="C5" i="3"/>
  <c r="AP9" i="12"/>
  <c r="AO9" i="12"/>
  <c r="AN9" i="12"/>
  <c r="AP8" i="12"/>
  <c r="AO8" i="12"/>
  <c r="AN8" i="12"/>
  <c r="AL9" i="12"/>
  <c r="AK9" i="12"/>
  <c r="AJ9" i="12"/>
  <c r="AI9" i="12"/>
  <c r="AH9" i="12"/>
  <c r="AG9" i="12"/>
  <c r="AL8" i="12"/>
  <c r="AK8" i="12"/>
  <c r="AJ8" i="12"/>
  <c r="AI8" i="12"/>
  <c r="AH8" i="12"/>
  <c r="AG8" i="12"/>
  <c r="AE9" i="12"/>
  <c r="AD9" i="12"/>
  <c r="AE8" i="12"/>
  <c r="AD8" i="12"/>
  <c r="AB9" i="12"/>
  <c r="AB8" i="12"/>
  <c r="Z9" i="12"/>
  <c r="Y9" i="12"/>
  <c r="X9" i="12"/>
  <c r="Z8" i="12"/>
  <c r="Y8" i="12"/>
  <c r="X8" i="12"/>
  <c r="V9" i="12"/>
  <c r="U9" i="12"/>
  <c r="T9" i="12"/>
  <c r="S9" i="12"/>
  <c r="R9" i="12"/>
  <c r="Q9" i="12"/>
  <c r="V8" i="12"/>
  <c r="U8" i="12"/>
  <c r="T8" i="12"/>
  <c r="T10" i="12" s="1"/>
  <c r="S8" i="12"/>
  <c r="R8" i="12"/>
  <c r="Q8" i="12"/>
  <c r="O9" i="12"/>
  <c r="N9" i="12"/>
  <c r="M9" i="12"/>
  <c r="L9" i="12"/>
  <c r="K9" i="12"/>
  <c r="J9" i="12"/>
  <c r="O8" i="12"/>
  <c r="O10" i="12" s="1"/>
  <c r="N8" i="12"/>
  <c r="M8" i="12"/>
  <c r="M10" i="12" s="1"/>
  <c r="L8" i="12"/>
  <c r="K8" i="12"/>
  <c r="J8" i="12"/>
  <c r="H9" i="12"/>
  <c r="G9" i="12"/>
  <c r="F9" i="12"/>
  <c r="E9" i="12"/>
  <c r="D9" i="12"/>
  <c r="H8" i="12"/>
  <c r="G8" i="12"/>
  <c r="F8" i="12"/>
  <c r="E8" i="12"/>
  <c r="D8" i="12"/>
  <c r="P8" i="12"/>
  <c r="P9" i="12" s="1"/>
  <c r="AM8" i="12"/>
  <c r="AF8" i="12"/>
  <c r="AF9" i="12" s="1"/>
  <c r="W8" i="12"/>
  <c r="W9" i="12" s="1"/>
  <c r="AM10" i="12"/>
  <c r="AF10" i="12"/>
  <c r="AA10" i="12"/>
  <c r="W10" i="12"/>
  <c r="P10" i="12"/>
  <c r="I10" i="12"/>
  <c r="B10" i="12"/>
  <c r="AP10" i="12"/>
  <c r="AL10" i="12"/>
  <c r="AA8" i="12"/>
  <c r="AA9" i="12" s="1"/>
  <c r="Z10" i="12"/>
  <c r="I8" i="12"/>
  <c r="I9" i="12" s="1"/>
  <c r="H10" i="12"/>
  <c r="B8" i="12"/>
  <c r="B9" i="12" s="1"/>
  <c r="AE10" i="12" l="1"/>
  <c r="F10" i="12"/>
  <c r="AJ10" i="12"/>
  <c r="V10" i="12"/>
  <c r="K10" i="12"/>
  <c r="C8" i="12"/>
  <c r="L10" i="12"/>
  <c r="C9" i="12"/>
  <c r="AC9" i="12"/>
  <c r="AC10" i="12" s="1"/>
  <c r="AM9" i="12"/>
  <c r="O5" i="5"/>
  <c r="N5" i="5"/>
  <c r="L5" i="5"/>
  <c r="L4" i="5"/>
  <c r="K28" i="5"/>
  <c r="J28" i="5"/>
  <c r="I28" i="5"/>
  <c r="K24" i="5"/>
  <c r="J24" i="5"/>
  <c r="I24" i="5"/>
  <c r="K20" i="5"/>
  <c r="J20" i="5"/>
  <c r="I20" i="5"/>
  <c r="K16" i="5"/>
  <c r="J16" i="5"/>
  <c r="I16" i="5"/>
  <c r="K12" i="5"/>
  <c r="J12" i="5"/>
  <c r="I12" i="5"/>
  <c r="K8" i="5"/>
  <c r="J8" i="5"/>
  <c r="I8" i="5"/>
  <c r="K4" i="5"/>
  <c r="J4" i="5"/>
  <c r="I4" i="5"/>
  <c r="K29" i="5"/>
  <c r="J29" i="5"/>
  <c r="I29" i="5"/>
  <c r="K25" i="5"/>
  <c r="J25" i="5"/>
  <c r="I25" i="5"/>
  <c r="K21" i="5"/>
  <c r="J21" i="5"/>
  <c r="I21" i="5"/>
  <c r="K17" i="5"/>
  <c r="J17" i="5"/>
  <c r="I17" i="5"/>
  <c r="K13" i="5"/>
  <c r="J13" i="5"/>
  <c r="I13" i="5"/>
  <c r="K9" i="5"/>
  <c r="J9" i="5"/>
  <c r="I9" i="5"/>
  <c r="K5" i="5"/>
  <c r="J5" i="5"/>
  <c r="I5" i="5"/>
  <c r="H31" i="5"/>
  <c r="H30" i="5"/>
  <c r="H29" i="5"/>
  <c r="H27" i="5"/>
  <c r="H25" i="5"/>
  <c r="H23" i="5"/>
  <c r="H22" i="5"/>
  <c r="H21" i="5"/>
  <c r="H19" i="5"/>
  <c r="H18" i="5"/>
  <c r="H17" i="5"/>
  <c r="H15" i="5"/>
  <c r="H13" i="5"/>
  <c r="H11" i="5"/>
  <c r="H10" i="5"/>
  <c r="H9" i="5"/>
  <c r="H7" i="5"/>
  <c r="H5" i="5"/>
  <c r="G31" i="5"/>
  <c r="G30" i="5"/>
  <c r="G29" i="5"/>
  <c r="G27" i="5"/>
  <c r="G26" i="5"/>
  <c r="H26" i="5" s="1"/>
  <c r="G25" i="5"/>
  <c r="G23" i="5"/>
  <c r="G22" i="5"/>
  <c r="G21" i="5"/>
  <c r="G19" i="5"/>
  <c r="G18" i="5"/>
  <c r="G17" i="5"/>
  <c r="G15" i="5"/>
  <c r="G14" i="5"/>
  <c r="H14" i="5" s="1"/>
  <c r="G13" i="5"/>
  <c r="G11" i="5"/>
  <c r="G10" i="5"/>
  <c r="G9" i="5"/>
  <c r="G7" i="5"/>
  <c r="G6" i="5"/>
  <c r="H6" i="5" s="1"/>
  <c r="G5" i="5"/>
  <c r="F29" i="5"/>
  <c r="E29" i="5"/>
  <c r="D29" i="5"/>
  <c r="C29" i="5"/>
  <c r="F25" i="5"/>
  <c r="E25" i="5"/>
  <c r="D25" i="5"/>
  <c r="C25" i="5"/>
  <c r="F21" i="5"/>
  <c r="E21" i="5"/>
  <c r="D21" i="5"/>
  <c r="C21" i="5"/>
  <c r="F17" i="5"/>
  <c r="E17" i="5"/>
  <c r="D17" i="5"/>
  <c r="C17" i="5"/>
  <c r="F13" i="5"/>
  <c r="E13" i="5"/>
  <c r="D13" i="5"/>
  <c r="C13" i="5"/>
  <c r="F9" i="5"/>
  <c r="E9" i="5"/>
  <c r="D9" i="5"/>
  <c r="C9" i="5"/>
  <c r="E5" i="5"/>
  <c r="F5" i="5"/>
  <c r="D5" i="5"/>
  <c r="C5" i="5"/>
  <c r="AM61" i="2"/>
  <c r="AM60" i="2"/>
  <c r="AM59" i="2"/>
  <c r="AM58" i="2"/>
  <c r="AM57" i="2"/>
  <c r="AM56" i="2"/>
  <c r="AM55" i="2"/>
  <c r="AM54" i="2"/>
  <c r="AM53" i="2"/>
  <c r="AM52" i="2"/>
  <c r="AM51" i="2"/>
  <c r="AM50" i="2"/>
  <c r="AM49" i="2"/>
  <c r="AM48" i="2"/>
  <c r="AM47" i="2"/>
  <c r="AM46" i="2"/>
  <c r="AM45" i="2"/>
  <c r="AM44" i="2"/>
  <c r="AM43" i="2"/>
  <c r="AM42" i="2"/>
  <c r="AM41" i="2"/>
  <c r="AM40" i="2"/>
  <c r="AM39" i="2"/>
  <c r="AM38" i="2"/>
  <c r="AM37" i="2"/>
  <c r="AM36" i="2"/>
  <c r="AM35" i="2"/>
  <c r="AM34" i="2"/>
  <c r="AM33" i="2"/>
  <c r="AM32" i="2"/>
  <c r="AM31" i="2"/>
  <c r="AM30" i="2"/>
  <c r="AM29" i="2"/>
  <c r="AM28" i="2"/>
  <c r="AM27" i="2"/>
  <c r="AM26" i="2"/>
  <c r="AM25" i="2"/>
  <c r="AM24" i="2"/>
  <c r="AM23" i="2"/>
  <c r="AM22" i="2"/>
  <c r="AM21" i="2"/>
  <c r="AM20" i="2"/>
  <c r="AM19" i="2"/>
  <c r="AM18" i="2"/>
  <c r="AM17" i="2"/>
  <c r="AM16" i="2"/>
  <c r="AM15" i="2"/>
  <c r="AM14" i="2"/>
  <c r="AM13" i="2"/>
  <c r="AM12" i="2"/>
  <c r="AM11" i="2"/>
  <c r="AF61" i="2"/>
  <c r="AF60" i="2"/>
  <c r="AF59" i="2"/>
  <c r="AF58" i="2"/>
  <c r="AF57" i="2"/>
  <c r="AF56" i="2"/>
  <c r="AF55" i="2"/>
  <c r="AF54" i="2"/>
  <c r="AF53" i="2"/>
  <c r="AF52" i="2"/>
  <c r="AF51" i="2"/>
  <c r="AF50" i="2"/>
  <c r="AF49" i="2"/>
  <c r="AF48" i="2"/>
  <c r="AF47" i="2"/>
  <c r="AF46" i="2"/>
  <c r="AF45" i="2"/>
  <c r="AF44" i="2"/>
  <c r="AF43" i="2"/>
  <c r="AF42" i="2"/>
  <c r="AF41" i="2"/>
  <c r="AF40" i="2"/>
  <c r="AF39" i="2"/>
  <c r="AF38" i="2"/>
  <c r="AF37" i="2"/>
  <c r="AF36" i="2"/>
  <c r="AF35" i="2"/>
  <c r="AF34" i="2"/>
  <c r="AF33" i="2"/>
  <c r="AF32" i="2"/>
  <c r="AF31" i="2"/>
  <c r="AF30" i="2"/>
  <c r="AF29" i="2"/>
  <c r="AF28" i="2"/>
  <c r="AF27" i="2"/>
  <c r="AF26" i="2"/>
  <c r="AF25" i="2"/>
  <c r="AF24" i="2"/>
  <c r="AF23" i="2"/>
  <c r="AF22" i="2"/>
  <c r="AF21" i="2"/>
  <c r="AF20" i="2"/>
  <c r="AF19" i="2"/>
  <c r="AF18" i="2"/>
  <c r="AF17" i="2"/>
  <c r="AF16" i="2"/>
  <c r="AF15" i="2"/>
  <c r="AF14" i="2"/>
  <c r="AF13" i="2"/>
  <c r="AF12" i="2"/>
  <c r="AF11" i="2"/>
  <c r="AA61" i="2"/>
  <c r="AA60" i="2"/>
  <c r="AA59" i="2"/>
  <c r="AA58" i="2"/>
  <c r="AA57" i="2"/>
  <c r="AA56" i="2"/>
  <c r="AA55" i="2"/>
  <c r="AA54" i="2"/>
  <c r="AA53" i="2"/>
  <c r="AA52" i="2"/>
  <c r="AA51" i="2"/>
  <c r="AA50" i="2"/>
  <c r="AA49" i="2"/>
  <c r="AA48" i="2"/>
  <c r="AA47" i="2"/>
  <c r="AA46" i="2"/>
  <c r="AA45" i="2"/>
  <c r="AA44" i="2"/>
  <c r="AA43" i="2"/>
  <c r="AA42" i="2"/>
  <c r="AA41" i="2"/>
  <c r="AA40" i="2"/>
  <c r="AA39" i="2"/>
  <c r="AA38" i="2"/>
  <c r="AA37" i="2"/>
  <c r="AA36" i="2"/>
  <c r="AA35" i="2"/>
  <c r="AA34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W61" i="2"/>
  <c r="W60" i="2"/>
  <c r="W59" i="2"/>
  <c r="W58" i="2"/>
  <c r="W57" i="2"/>
  <c r="W56" i="2"/>
  <c r="W55" i="2"/>
  <c r="W54" i="2"/>
  <c r="W53" i="2"/>
  <c r="W52" i="2"/>
  <c r="W51" i="2"/>
  <c r="W50" i="2"/>
  <c r="W49" i="2"/>
  <c r="W48" i="2"/>
  <c r="W47" i="2"/>
  <c r="W46" i="2"/>
  <c r="W45" i="2"/>
  <c r="W44" i="2"/>
  <c r="W43" i="2"/>
  <c r="W42" i="2"/>
  <c r="W41" i="2"/>
  <c r="W40" i="2"/>
  <c r="W39" i="2"/>
  <c r="W38" i="2"/>
  <c r="W37" i="2"/>
  <c r="W36" i="2"/>
  <c r="W35" i="2"/>
  <c r="W34" i="2"/>
  <c r="W33" i="2"/>
  <c r="W32" i="2"/>
  <c r="W31" i="2"/>
  <c r="W30" i="2"/>
  <c r="W29" i="2"/>
  <c r="W28" i="2"/>
  <c r="W27" i="2"/>
  <c r="W26" i="2"/>
  <c r="W25" i="2"/>
  <c r="W24" i="2"/>
  <c r="W23" i="2"/>
  <c r="W22" i="2"/>
  <c r="W21" i="2"/>
  <c r="W20" i="2"/>
  <c r="W19" i="2"/>
  <c r="W18" i="2"/>
  <c r="W17" i="2"/>
  <c r="W16" i="2"/>
  <c r="W15" i="2"/>
  <c r="W14" i="2"/>
  <c r="W13" i="2"/>
  <c r="W12" i="2"/>
  <c r="W11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AC3" i="2"/>
  <c r="AC2" i="2"/>
  <c r="AC2" i="2" a="1"/>
  <c r="AO5" i="2"/>
  <c r="AO3" i="2"/>
  <c r="AO2" i="2" a="1"/>
  <c r="AO2" i="2" s="1"/>
  <c r="AH5" i="2"/>
  <c r="AH3" i="2"/>
  <c r="AH2" i="2"/>
  <c r="AH2" i="2" a="1"/>
  <c r="Y5" i="2"/>
  <c r="Y3" i="2"/>
  <c r="Y2" i="2" a="1"/>
  <c r="Y2" i="2" s="1"/>
  <c r="R5" i="2"/>
  <c r="R3" i="2"/>
  <c r="R2" i="2"/>
  <c r="R2" i="2" a="1"/>
  <c r="K5" i="2"/>
  <c r="K3" i="2"/>
  <c r="K2" i="2"/>
  <c r="K2" i="2" a="1"/>
  <c r="M8" i="2"/>
  <c r="M10" i="2" s="1"/>
  <c r="O8" i="2"/>
  <c r="O10" i="2" s="1"/>
  <c r="M9" i="2"/>
  <c r="O9" i="2"/>
  <c r="I8" i="2"/>
  <c r="AC61" i="2"/>
  <c r="AC54" i="2"/>
  <c r="AC77" i="2"/>
  <c r="AC32" i="2"/>
  <c r="AC51" i="2"/>
  <c r="AC80" i="2"/>
  <c r="AC20" i="2"/>
  <c r="AC37" i="2"/>
  <c r="AC115" i="2"/>
  <c r="AC56" i="2"/>
  <c r="AC106" i="2"/>
  <c r="AC40" i="2"/>
  <c r="AC69" i="2"/>
  <c r="AC18" i="2"/>
  <c r="AC119" i="2"/>
  <c r="AC33" i="2"/>
  <c r="AC98" i="2"/>
  <c r="AC66" i="2"/>
  <c r="AC29" i="2"/>
  <c r="AC42" i="2"/>
  <c r="AC93" i="2"/>
  <c r="AC99" i="2"/>
  <c r="AC50" i="2"/>
  <c r="AC45" i="2"/>
  <c r="AC103" i="2"/>
  <c r="AC76" i="2"/>
  <c r="AC118" i="2"/>
  <c r="AC43" i="2"/>
  <c r="AC17" i="2"/>
  <c r="AC35" i="2"/>
  <c r="AC28" i="2"/>
  <c r="AC101" i="2"/>
  <c r="AC31" i="2"/>
  <c r="AC73" i="2"/>
  <c r="AC41" i="2"/>
  <c r="AC86" i="2"/>
  <c r="AC65" i="2"/>
  <c r="AC96" i="2"/>
  <c r="AC59" i="2"/>
  <c r="AC75" i="2"/>
  <c r="AC108" i="2"/>
  <c r="AC68" i="2"/>
  <c r="AC81" i="2"/>
  <c r="AC46" i="2"/>
  <c r="AC120" i="2"/>
  <c r="AC95" i="2"/>
  <c r="AC84" i="2"/>
  <c r="AC94" i="2"/>
  <c r="AC60" i="2"/>
  <c r="AC23" i="2"/>
  <c r="AC82" i="2"/>
  <c r="AC57" i="2"/>
  <c r="AC62" i="2"/>
  <c r="AC114" i="2"/>
  <c r="AC117" i="2"/>
  <c r="AC15" i="2"/>
  <c r="AC24" i="2"/>
  <c r="AC112" i="2"/>
  <c r="AC116" i="2"/>
  <c r="AC79" i="2"/>
  <c r="AC110" i="2"/>
  <c r="AC16" i="2"/>
  <c r="AC47" i="2"/>
  <c r="AC22" i="2"/>
  <c r="AC88" i="2"/>
  <c r="AC122" i="2"/>
  <c r="AC111" i="2"/>
  <c r="AC39" i="2"/>
  <c r="AC27" i="2"/>
  <c r="AC89" i="2"/>
  <c r="AC91" i="2"/>
  <c r="AC71" i="2"/>
  <c r="AC113" i="2"/>
  <c r="AC49" i="2"/>
  <c r="AC52" i="2"/>
  <c r="AC48" i="2"/>
  <c r="AC38" i="2"/>
  <c r="AC58" i="2"/>
  <c r="AC55" i="2"/>
  <c r="AC104" i="2"/>
  <c r="AC63" i="2"/>
  <c r="AC70" i="2"/>
  <c r="AC100" i="2"/>
  <c r="AC26" i="2"/>
  <c r="AC107" i="2"/>
  <c r="AC97" i="2"/>
  <c r="AC87" i="2"/>
  <c r="AC36" i="2"/>
  <c r="AC74" i="2"/>
  <c r="AC102" i="2"/>
  <c r="AC92" i="2"/>
  <c r="AC105" i="2"/>
  <c r="AC25" i="2"/>
  <c r="AC67" i="2"/>
  <c r="AC85" i="2"/>
  <c r="AC90" i="2"/>
  <c r="AC78" i="2"/>
  <c r="AC83" i="2"/>
  <c r="AC109" i="2"/>
  <c r="AC34" i="2"/>
  <c r="AC44" i="2"/>
  <c r="AC121" i="2"/>
  <c r="AC19" i="2"/>
  <c r="AC72" i="2"/>
  <c r="AC21" i="2"/>
  <c r="AC53" i="2"/>
  <c r="AC64" i="2"/>
  <c r="AC30" i="2"/>
  <c r="AO10" i="12" l="1"/>
  <c r="AN10" i="12"/>
  <c r="AI10" i="12"/>
  <c r="AH10" i="12"/>
  <c r="U10" i="12"/>
  <c r="Y10" i="12"/>
  <c r="J10" i="12"/>
  <c r="G10" i="12"/>
  <c r="N10" i="12"/>
  <c r="AB10" i="12"/>
  <c r="C10" i="12"/>
  <c r="AD10" i="12"/>
  <c r="Q10" i="12"/>
  <c r="X10" i="12"/>
  <c r="S10" i="12"/>
  <c r="R10" i="12"/>
  <c r="E10" i="12"/>
  <c r="D10" i="12"/>
  <c r="AG10" i="12"/>
  <c r="AK10" i="12"/>
  <c r="B30" i="2"/>
  <c r="D5" i="2"/>
  <c r="D3" i="2"/>
  <c r="D2" i="2" a="1"/>
  <c r="D2" i="2" s="1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X10" i="5"/>
  <c r="V10" i="5"/>
  <c r="W10" i="5"/>
  <c r="T10" i="5"/>
  <c r="U10" i="5"/>
  <c r="S10" i="5"/>
  <c r="R10" i="5"/>
  <c r="X9" i="5"/>
  <c r="V9" i="5"/>
  <c r="W9" i="5"/>
  <c r="T9" i="5"/>
  <c r="U9" i="5"/>
  <c r="S9" i="5"/>
  <c r="R9" i="5"/>
  <c r="X8" i="5"/>
  <c r="V8" i="5"/>
  <c r="W8" i="5"/>
  <c r="T8" i="5"/>
  <c r="U8" i="5"/>
  <c r="S8" i="5"/>
  <c r="R8" i="5"/>
  <c r="X7" i="5"/>
  <c r="V7" i="5"/>
  <c r="W7" i="5"/>
  <c r="T7" i="5"/>
  <c r="U7" i="5"/>
  <c r="S7" i="5"/>
  <c r="R7" i="5"/>
  <c r="X6" i="5"/>
  <c r="V6" i="5"/>
  <c r="W6" i="5"/>
  <c r="T6" i="5"/>
  <c r="U6" i="5"/>
  <c r="S6" i="5"/>
  <c r="R6" i="5"/>
  <c r="X5" i="5"/>
  <c r="V5" i="5"/>
  <c r="W5" i="5"/>
  <c r="T5" i="5"/>
  <c r="U5" i="5"/>
  <c r="S5" i="5"/>
  <c r="R5" i="5"/>
  <c r="X4" i="5"/>
  <c r="V4" i="5"/>
  <c r="W4" i="5"/>
  <c r="T4" i="5"/>
  <c r="U4" i="5"/>
  <c r="S4" i="5"/>
  <c r="R4" i="5"/>
  <c r="A1" i="3"/>
  <c r="AF8" i="2"/>
  <c r="W8" i="2"/>
  <c r="AP9" i="2"/>
  <c r="AL9" i="2"/>
  <c r="AJ9" i="2"/>
  <c r="AE9" i="2"/>
  <c r="Z9" i="2"/>
  <c r="V9" i="2"/>
  <c r="T9" i="2"/>
  <c r="H9" i="2"/>
  <c r="F9" i="2"/>
  <c r="AP8" i="2"/>
  <c r="AL8" i="2"/>
  <c r="AL10" i="2" s="1"/>
  <c r="AJ8" i="2"/>
  <c r="AJ10" i="2" s="1"/>
  <c r="AE8" i="2"/>
  <c r="Z8" i="2"/>
  <c r="V8" i="2"/>
  <c r="V10" i="2" s="1"/>
  <c r="T8" i="2"/>
  <c r="T10" i="2" s="1"/>
  <c r="H8" i="2"/>
  <c r="H10" i="2" s="1"/>
  <c r="F8" i="2"/>
  <c r="F10" i="2" s="1"/>
  <c r="AN98" i="2"/>
  <c r="S19" i="2"/>
  <c r="X31" i="2"/>
  <c r="J90" i="2"/>
  <c r="AG92" i="2"/>
  <c r="AO20" i="2"/>
  <c r="C26" i="2"/>
  <c r="AN115" i="2"/>
  <c r="X80" i="2"/>
  <c r="AB62" i="2"/>
  <c r="AD37" i="2"/>
  <c r="AH39" i="2"/>
  <c r="AB91" i="2"/>
  <c r="L31" i="2"/>
  <c r="AB107" i="2"/>
  <c r="Y120" i="2"/>
  <c r="AB81" i="2"/>
  <c r="AO53" i="2"/>
  <c r="AG85" i="2"/>
  <c r="AD51" i="2"/>
  <c r="Y55" i="2"/>
  <c r="J88" i="2"/>
  <c r="AK88" i="2"/>
  <c r="AK101" i="2"/>
  <c r="R16" i="2"/>
  <c r="AB43" i="2"/>
  <c r="AH51" i="2"/>
  <c r="AN87" i="2"/>
  <c r="AN34" i="2"/>
  <c r="X90" i="2"/>
  <c r="AN38" i="2"/>
  <c r="AB95" i="2"/>
  <c r="J47" i="2"/>
  <c r="S44" i="2"/>
  <c r="AN84" i="2"/>
  <c r="X120" i="2"/>
  <c r="C23" i="2"/>
  <c r="U23" i="2"/>
  <c r="Q110" i="2"/>
  <c r="AI23" i="2"/>
  <c r="AO50" i="2"/>
  <c r="J118" i="2"/>
  <c r="X55" i="2"/>
  <c r="AG38" i="2"/>
  <c r="Q77" i="2"/>
  <c r="L27" i="2"/>
  <c r="S17" i="2"/>
  <c r="Q36" i="2"/>
  <c r="AN46" i="2"/>
  <c r="AN104" i="2"/>
  <c r="N90" i="2"/>
  <c r="AD88" i="2"/>
  <c r="AO26" i="2"/>
  <c r="J43" i="2"/>
  <c r="AN17" i="2"/>
  <c r="K4" i="2"/>
  <c r="AO80" i="2"/>
  <c r="Q21" i="2"/>
  <c r="J101" i="2"/>
  <c r="X51" i="2"/>
  <c r="K53" i="2"/>
  <c r="AG42" i="2"/>
  <c r="K44" i="2"/>
  <c r="C120" i="2"/>
  <c r="S15" i="2"/>
  <c r="AB103" i="2"/>
  <c r="AO61" i="2"/>
  <c r="AK66" i="2"/>
  <c r="Q82" i="2"/>
  <c r="Q94" i="2"/>
  <c r="AN67" i="2"/>
  <c r="Y84" i="2"/>
  <c r="AG40" i="2"/>
  <c r="AO45" i="2"/>
  <c r="U19" i="2"/>
  <c r="Q86" i="2"/>
  <c r="C54" i="2"/>
  <c r="Y67" i="2"/>
  <c r="N27" i="2"/>
  <c r="J71" i="2"/>
  <c r="AD91" i="2"/>
  <c r="AB80" i="2"/>
  <c r="N78" i="2"/>
  <c r="U115" i="2"/>
  <c r="Y24" i="2"/>
  <c r="Q15" i="2"/>
  <c r="U82" i="2"/>
  <c r="Y116" i="2"/>
  <c r="AD46" i="2"/>
  <c r="AN75" i="2"/>
  <c r="N69" i="2"/>
  <c r="AN32" i="2"/>
  <c r="AO22" i="2"/>
  <c r="C34" i="2"/>
  <c r="N39" i="2"/>
  <c r="AK67" i="2"/>
  <c r="J22" i="2"/>
  <c r="AO71" i="2"/>
  <c r="J73" i="2"/>
  <c r="AN36" i="2"/>
  <c r="AD44" i="2"/>
  <c r="AB74" i="2"/>
  <c r="AO92" i="2"/>
  <c r="R57" i="2"/>
  <c r="Q22" i="2"/>
  <c r="AG53" i="2"/>
  <c r="AO107" i="2"/>
  <c r="AK84" i="2"/>
  <c r="S29" i="2"/>
  <c r="AG32" i="2"/>
  <c r="N46" i="2"/>
  <c r="J85" i="2"/>
  <c r="C87" i="2"/>
  <c r="X78" i="2"/>
  <c r="AB66" i="2"/>
  <c r="AO17" i="2"/>
  <c r="AN85" i="2"/>
  <c r="N70" i="2"/>
  <c r="K35" i="2"/>
  <c r="AO28" i="2"/>
  <c r="L53" i="2"/>
  <c r="AD107" i="2"/>
  <c r="K24" i="2"/>
  <c r="AB52" i="2"/>
  <c r="K49" i="2"/>
  <c r="AD100" i="2"/>
  <c r="AK61" i="2"/>
  <c r="Q65" i="2"/>
  <c r="AI32" i="2"/>
  <c r="U49" i="2"/>
  <c r="Y74" i="2"/>
  <c r="N15" i="2"/>
  <c r="AD85" i="2"/>
  <c r="R19" i="2"/>
  <c r="Q61" i="2"/>
  <c r="Y21" i="2"/>
  <c r="X30" i="2"/>
  <c r="X70" i="2"/>
  <c r="AK76" i="2"/>
  <c r="AH57" i="2"/>
  <c r="J115" i="2"/>
  <c r="Q121" i="2"/>
  <c r="AI48" i="2"/>
  <c r="Q75" i="2"/>
  <c r="AK81" i="2"/>
  <c r="AG28" i="2"/>
  <c r="J33" i="2"/>
  <c r="C31" i="2"/>
  <c r="Q113" i="2"/>
  <c r="J48" i="2"/>
  <c r="N118" i="2"/>
  <c r="C38" i="2"/>
  <c r="Q63" i="2"/>
  <c r="AB27" i="2"/>
  <c r="Q101" i="2"/>
  <c r="J45" i="2"/>
  <c r="AN97" i="2"/>
  <c r="AO55" i="2"/>
  <c r="Q52" i="2"/>
  <c r="AO91" i="2"/>
  <c r="N104" i="2"/>
  <c r="C116" i="2"/>
  <c r="AD24" i="2"/>
  <c r="AK55" i="2"/>
  <c r="AK103" i="2"/>
  <c r="C58" i="2"/>
  <c r="Q48" i="2"/>
  <c r="AG66" i="2"/>
  <c r="AB53" i="2"/>
  <c r="AK44" i="2"/>
  <c r="AB100" i="2"/>
  <c r="AG63" i="2"/>
  <c r="AN50" i="2"/>
  <c r="Y59" i="2"/>
  <c r="AI58" i="2"/>
  <c r="J67" i="2"/>
  <c r="AN20" i="2"/>
  <c r="AD15" i="2"/>
  <c r="Y111" i="2"/>
  <c r="AN69" i="2"/>
  <c r="C94" i="2"/>
  <c r="AB42" i="2"/>
  <c r="AD84" i="2"/>
  <c r="Q104" i="2"/>
  <c r="AB101" i="2"/>
  <c r="AK77" i="2"/>
  <c r="AG70" i="2"/>
  <c r="X18" i="2"/>
  <c r="L38" i="2"/>
  <c r="U79" i="2"/>
  <c r="Y54" i="2"/>
  <c r="N108" i="2"/>
  <c r="K34" i="2"/>
  <c r="AO25" i="2"/>
  <c r="Q92" i="2"/>
  <c r="AO44" i="2"/>
  <c r="N25" i="2"/>
  <c r="J16" i="2"/>
  <c r="AB102" i="2"/>
  <c r="N94" i="2"/>
  <c r="AG62" i="2"/>
  <c r="AB109" i="2"/>
  <c r="J103" i="2"/>
  <c r="AN108" i="2"/>
  <c r="U65" i="2"/>
  <c r="AN117" i="2"/>
  <c r="U22" i="2"/>
  <c r="AH55" i="2"/>
  <c r="AB23" i="2"/>
  <c r="L32" i="2"/>
  <c r="Y25" i="2"/>
  <c r="AG95" i="2"/>
  <c r="Y83" i="2"/>
  <c r="AN72" i="2"/>
  <c r="AK97" i="2"/>
  <c r="AO68" i="2"/>
  <c r="AB41" i="2"/>
  <c r="AB67" i="2"/>
  <c r="AH44" i="2"/>
  <c r="N28" i="2"/>
  <c r="Y81" i="2"/>
  <c r="Y15" i="2"/>
  <c r="AO120" i="2"/>
  <c r="AG108" i="2"/>
  <c r="S22" i="2"/>
  <c r="AI19" i="2"/>
  <c r="Q62" i="2"/>
  <c r="AB97" i="2"/>
  <c r="AK23" i="2"/>
  <c r="X57" i="2"/>
  <c r="AN88" i="2"/>
  <c r="AG99" i="2"/>
  <c r="X75" i="2"/>
  <c r="Y42" i="2"/>
  <c r="N95" i="2"/>
  <c r="AK20" i="2"/>
  <c r="U84" i="2"/>
  <c r="AN81" i="2"/>
  <c r="Q60" i="2"/>
  <c r="J98" i="2"/>
  <c r="Q57" i="2"/>
  <c r="J107" i="2"/>
  <c r="U57" i="2"/>
  <c r="C97" i="2"/>
  <c r="S34" i="2"/>
  <c r="J31" i="2"/>
  <c r="AK32" i="2"/>
  <c r="Y113" i="2"/>
  <c r="AO88" i="2"/>
  <c r="J117" i="2"/>
  <c r="AO67" i="2"/>
  <c r="AO103" i="2"/>
  <c r="AD64" i="2"/>
  <c r="Y30" i="2"/>
  <c r="J62" i="2"/>
  <c r="AN77" i="2"/>
  <c r="C81" i="2"/>
  <c r="K36" i="2"/>
  <c r="AB84" i="2"/>
  <c r="X87" i="2"/>
  <c r="AI30" i="2"/>
  <c r="X44" i="2"/>
  <c r="Q54" i="2"/>
  <c r="AK70" i="2"/>
  <c r="Q122" i="2"/>
  <c r="J41" i="2"/>
  <c r="X93" i="2"/>
  <c r="AO81" i="2"/>
  <c r="AG109" i="2"/>
  <c r="K42" i="2"/>
  <c r="N17" i="2"/>
  <c r="C46" i="2"/>
  <c r="AD23" i="2"/>
  <c r="C42" i="2"/>
  <c r="R59" i="2"/>
  <c r="AD19" i="2"/>
  <c r="AK102" i="2"/>
  <c r="R44" i="2"/>
  <c r="Y44" i="2"/>
  <c r="K54" i="2"/>
  <c r="AH52" i="2"/>
  <c r="AB118" i="2"/>
  <c r="AN91" i="2"/>
  <c r="AI54" i="2"/>
  <c r="L36" i="2"/>
  <c r="AK74" i="2"/>
  <c r="AG20" i="2"/>
  <c r="S43" i="2"/>
  <c r="C115" i="2"/>
  <c r="J122" i="2"/>
  <c r="J24" i="2"/>
  <c r="N82" i="2"/>
  <c r="C96" i="2"/>
  <c r="AN120" i="2"/>
  <c r="AG17" i="2"/>
  <c r="AG111" i="2"/>
  <c r="AN30" i="2"/>
  <c r="C60" i="2"/>
  <c r="R55" i="2"/>
  <c r="AD42" i="2"/>
  <c r="AH41" i="2"/>
  <c r="J111" i="2"/>
  <c r="AO122" i="2"/>
  <c r="J68" i="2"/>
  <c r="AB99" i="2"/>
  <c r="C18" i="2"/>
  <c r="AB56" i="2"/>
  <c r="X66" i="2"/>
  <c r="N68" i="2"/>
  <c r="AI38" i="2"/>
  <c r="Q85" i="2"/>
  <c r="X119" i="2"/>
  <c r="X113" i="2"/>
  <c r="AB45" i="2"/>
  <c r="AD52" i="2"/>
  <c r="K45" i="2"/>
  <c r="K58" i="2"/>
  <c r="J60" i="2"/>
  <c r="K26" i="2"/>
  <c r="C27" i="2"/>
  <c r="U55" i="2"/>
  <c r="AN110" i="2"/>
  <c r="X101" i="2"/>
  <c r="C83" i="2"/>
  <c r="AD98" i="2"/>
  <c r="AD117" i="2"/>
  <c r="AG69" i="2"/>
  <c r="AN47" i="2"/>
  <c r="AH18" i="2"/>
  <c r="AB16" i="2"/>
  <c r="U118" i="2"/>
  <c r="AG54" i="2"/>
  <c r="J120" i="2"/>
  <c r="AN31" i="2"/>
  <c r="N100" i="2"/>
  <c r="AO110" i="2"/>
  <c r="Y63" i="2"/>
  <c r="AG64" i="2"/>
  <c r="J84" i="2"/>
  <c r="AG118" i="2"/>
  <c r="AK26" i="2"/>
  <c r="Q51" i="2"/>
  <c r="J106" i="2"/>
  <c r="AG104" i="2"/>
  <c r="AO116" i="2"/>
  <c r="C108" i="2"/>
  <c r="J17" i="2"/>
  <c r="C69" i="2"/>
  <c r="Y80" i="2"/>
  <c r="R21" i="2"/>
  <c r="C61" i="2"/>
  <c r="C41" i="2"/>
  <c r="AD77" i="2"/>
  <c r="AD96" i="2"/>
  <c r="C86" i="2"/>
  <c r="J32" i="2"/>
  <c r="L28" i="2"/>
  <c r="X122" i="2"/>
  <c r="Y70" i="2"/>
  <c r="U93" i="2"/>
  <c r="J28" i="2"/>
  <c r="X111" i="2"/>
  <c r="AK56" i="2"/>
  <c r="AI46" i="2"/>
  <c r="Q71" i="2"/>
  <c r="AB77" i="2"/>
  <c r="Q35" i="2"/>
  <c r="U87" i="2"/>
  <c r="AI25" i="2"/>
  <c r="N119" i="2"/>
  <c r="AH56" i="2"/>
  <c r="N21" i="2"/>
  <c r="C93" i="2"/>
  <c r="R18" i="2"/>
  <c r="AN106" i="2"/>
  <c r="J51" i="2"/>
  <c r="X28" i="2"/>
  <c r="C82" i="2"/>
  <c r="C45" i="2"/>
  <c r="Q64" i="2"/>
  <c r="X63" i="2"/>
  <c r="R15" i="2"/>
  <c r="AK43" i="2"/>
  <c r="AK47" i="2"/>
  <c r="Y22" i="2"/>
  <c r="L15" i="2"/>
  <c r="N91" i="2"/>
  <c r="S18" i="2"/>
  <c r="AD76" i="2"/>
  <c r="AG115" i="2"/>
  <c r="AI47" i="2"/>
  <c r="AG78" i="2"/>
  <c r="AK108" i="2"/>
  <c r="AG103" i="2"/>
  <c r="AG49" i="2"/>
  <c r="AG45" i="2"/>
  <c r="J70" i="2"/>
  <c r="N33" i="2"/>
  <c r="AD72" i="2"/>
  <c r="X91" i="2"/>
  <c r="AD54" i="2"/>
  <c r="U89" i="2"/>
  <c r="AO102" i="2"/>
  <c r="AG97" i="2"/>
  <c r="AK104" i="2"/>
  <c r="Q42" i="2"/>
  <c r="J93" i="2"/>
  <c r="Q25" i="2"/>
  <c r="X84" i="2"/>
  <c r="S20" i="2"/>
  <c r="Y68" i="2"/>
  <c r="X47" i="2"/>
  <c r="K52" i="2"/>
  <c r="Q23" i="2"/>
  <c r="AD49" i="2"/>
  <c r="L16" i="2"/>
  <c r="R24" i="2"/>
  <c r="J72" i="2"/>
  <c r="K33" i="2"/>
  <c r="AB106" i="2"/>
  <c r="AN89" i="2"/>
  <c r="N44" i="2"/>
  <c r="AG57" i="2"/>
  <c r="X83" i="2"/>
  <c r="N53" i="2"/>
  <c r="AG47" i="2"/>
  <c r="R54" i="2"/>
  <c r="AB20" i="2"/>
  <c r="S36" i="2"/>
  <c r="AK87" i="2"/>
  <c r="Y33" i="2"/>
  <c r="AD58" i="2"/>
  <c r="C88" i="2"/>
  <c r="AI28" i="2"/>
  <c r="AN22" i="2"/>
  <c r="Y89" i="2"/>
  <c r="AK60" i="2"/>
  <c r="AO47" i="2"/>
  <c r="AN19" i="2"/>
  <c r="K61" i="2"/>
  <c r="K57" i="2"/>
  <c r="AO36" i="2"/>
  <c r="U113" i="2"/>
  <c r="Y101" i="2"/>
  <c r="J59" i="2"/>
  <c r="AI35" i="2"/>
  <c r="AD56" i="2"/>
  <c r="U88" i="2"/>
  <c r="X65" i="2"/>
  <c r="AB63" i="2"/>
  <c r="J38" i="2"/>
  <c r="C121" i="2"/>
  <c r="C73" i="2"/>
  <c r="AB93" i="2"/>
  <c r="X67" i="2"/>
  <c r="Q26" i="2"/>
  <c r="AH38" i="2"/>
  <c r="X79" i="2"/>
  <c r="Y98" i="2"/>
  <c r="X36" i="2"/>
  <c r="AD113" i="2"/>
  <c r="AO27" i="2"/>
  <c r="R51" i="2"/>
  <c r="J27" i="2"/>
  <c r="AN64" i="2"/>
  <c r="AO69" i="2"/>
  <c r="AK86" i="2"/>
  <c r="N115" i="2"/>
  <c r="X60" i="2"/>
  <c r="X68" i="2"/>
  <c r="AD70" i="2"/>
  <c r="AN105" i="2"/>
  <c r="AG110" i="2"/>
  <c r="AG36" i="2"/>
  <c r="Q79" i="2"/>
  <c r="J96" i="2"/>
  <c r="AK111" i="2"/>
  <c r="Q103" i="2"/>
  <c r="Y87" i="2"/>
  <c r="AN94" i="2"/>
  <c r="X64" i="2"/>
  <c r="AK71" i="2"/>
  <c r="AB19" i="2"/>
  <c r="AH50" i="2"/>
  <c r="C84" i="2"/>
  <c r="AK83" i="2"/>
  <c r="Y71" i="2"/>
  <c r="AN29" i="2"/>
  <c r="R20" i="2"/>
  <c r="AB90" i="2"/>
  <c r="AO38" i="2"/>
  <c r="U66" i="2"/>
  <c r="Y4" i="2"/>
  <c r="Y52" i="2"/>
  <c r="Y109" i="2"/>
  <c r="AG77" i="2"/>
  <c r="AO97" i="2"/>
  <c r="N83" i="2"/>
  <c r="AG88" i="2"/>
  <c r="AK25" i="2"/>
  <c r="L42" i="2"/>
  <c r="C105" i="2"/>
  <c r="AO94" i="2"/>
  <c r="AN25" i="2"/>
  <c r="L50" i="2"/>
  <c r="Y115" i="2"/>
  <c r="J119" i="2"/>
  <c r="AK40" i="2"/>
  <c r="AB72" i="2"/>
  <c r="AB44" i="2"/>
  <c r="AO52" i="2"/>
  <c r="AG116" i="2"/>
  <c r="AN70" i="2"/>
  <c r="C118" i="2"/>
  <c r="C100" i="2"/>
  <c r="C72" i="2"/>
  <c r="X71" i="2"/>
  <c r="Q56" i="2"/>
  <c r="AN80" i="2"/>
  <c r="AG55" i="2"/>
  <c r="Q68" i="2"/>
  <c r="X121" i="2"/>
  <c r="C44" i="2"/>
  <c r="U37" i="2"/>
  <c r="AD74" i="2"/>
  <c r="Q81" i="2"/>
  <c r="C74" i="2"/>
  <c r="K31" i="2"/>
  <c r="AO85" i="2"/>
  <c r="K29" i="2"/>
  <c r="AO79" i="2"/>
  <c r="AN107" i="2"/>
  <c r="X81" i="2"/>
  <c r="AO112" i="2"/>
  <c r="AB50" i="2"/>
  <c r="AD71" i="2"/>
  <c r="U59" i="2"/>
  <c r="AN26" i="2"/>
  <c r="K16" i="2"/>
  <c r="Q67" i="2"/>
  <c r="J74" i="2"/>
  <c r="Q24" i="2"/>
  <c r="AG86" i="2"/>
  <c r="U94" i="2"/>
  <c r="S30" i="2"/>
  <c r="AB22" i="2"/>
  <c r="AB79" i="2"/>
  <c r="AK62" i="2"/>
  <c r="U62" i="2"/>
  <c r="AB75" i="2"/>
  <c r="K21" i="2"/>
  <c r="AB17" i="2"/>
  <c r="L61" i="2"/>
  <c r="AG84" i="2"/>
  <c r="J30" i="2"/>
  <c r="C67" i="2"/>
  <c r="AG39" i="2"/>
  <c r="X56" i="2"/>
  <c r="AD38" i="2"/>
  <c r="U64" i="2"/>
  <c r="X95" i="2"/>
  <c r="AG81" i="2"/>
  <c r="U25" i="2"/>
  <c r="X24" i="2"/>
  <c r="C49" i="2"/>
  <c r="AH49" i="2"/>
  <c r="AH4" i="2"/>
  <c r="AH45" i="2"/>
  <c r="Q66" i="2"/>
  <c r="AD116" i="2"/>
  <c r="Q73" i="2"/>
  <c r="AD34" i="2"/>
  <c r="AN15" i="2"/>
  <c r="L54" i="2"/>
  <c r="AK75" i="2"/>
  <c r="C50" i="2"/>
  <c r="X114" i="2"/>
  <c r="J35" i="2"/>
  <c r="X61" i="2"/>
  <c r="Y46" i="2"/>
  <c r="N51" i="2"/>
  <c r="AN39" i="2"/>
  <c r="AK72" i="2"/>
  <c r="Y53" i="2"/>
  <c r="AK73" i="2"/>
  <c r="AN44" i="2"/>
  <c r="AB83" i="2"/>
  <c r="S25" i="2"/>
  <c r="U30" i="2"/>
  <c r="X38" i="2"/>
  <c r="X107" i="2"/>
  <c r="AB33" i="2"/>
  <c r="AK39" i="2"/>
  <c r="Q32" i="2"/>
  <c r="AB29" i="2"/>
  <c r="AD63" i="2"/>
  <c r="J110" i="2"/>
  <c r="J40" i="2"/>
  <c r="L21" i="2"/>
  <c r="AK27" i="2"/>
  <c r="AG50" i="2"/>
  <c r="J56" i="2"/>
  <c r="C112" i="2"/>
  <c r="AO21" i="2"/>
  <c r="AK51" i="2"/>
  <c r="K50" i="2"/>
  <c r="X105" i="2"/>
  <c r="AN121" i="2"/>
  <c r="AH42" i="2"/>
  <c r="X54" i="2"/>
  <c r="AG82" i="2"/>
  <c r="S28" i="2"/>
  <c r="AB31" i="2"/>
  <c r="N98" i="2"/>
  <c r="R46" i="2"/>
  <c r="U78" i="2"/>
  <c r="Q18" i="2"/>
  <c r="AN92" i="2"/>
  <c r="AG105" i="2"/>
  <c r="AN58" i="2"/>
  <c r="AD39" i="2"/>
  <c r="AO51" i="2"/>
  <c r="AO72" i="2"/>
  <c r="U120" i="2"/>
  <c r="R45" i="2"/>
  <c r="U105" i="2"/>
  <c r="J91" i="2"/>
  <c r="Y82" i="2"/>
  <c r="U69" i="2"/>
  <c r="AH26" i="2"/>
  <c r="AD79" i="2"/>
  <c r="J121" i="2"/>
  <c r="AB87" i="2"/>
  <c r="AK28" i="2"/>
  <c r="AG26" i="2"/>
  <c r="S51" i="2"/>
  <c r="AD67" i="2"/>
  <c r="N45" i="2"/>
  <c r="AG65" i="2"/>
  <c r="L55" i="2"/>
  <c r="J52" i="2"/>
  <c r="AD21" i="2"/>
  <c r="C33" i="2"/>
  <c r="Y39" i="2"/>
  <c r="N52" i="2"/>
  <c r="AN27" i="2"/>
  <c r="AD108" i="2"/>
  <c r="L33" i="2"/>
  <c r="L44" i="2"/>
  <c r="AN57" i="2"/>
  <c r="R17" i="2"/>
  <c r="AB60" i="2"/>
  <c r="Y62" i="2"/>
  <c r="Y117" i="2"/>
  <c r="U41" i="2"/>
  <c r="Q46" i="2"/>
  <c r="AK22" i="2"/>
  <c r="U86" i="2"/>
  <c r="Q105" i="2"/>
  <c r="Q99" i="2"/>
  <c r="L34" i="2"/>
  <c r="AN116" i="2"/>
  <c r="C53" i="2"/>
  <c r="N84" i="2"/>
  <c r="AG89" i="2"/>
  <c r="AO24" i="2"/>
  <c r="AK114" i="2"/>
  <c r="AB46" i="2"/>
  <c r="AH37" i="2"/>
  <c r="AO86" i="2"/>
  <c r="K38" i="2"/>
  <c r="J97" i="2"/>
  <c r="AD97" i="2"/>
  <c r="X117" i="2"/>
  <c r="J94" i="2"/>
  <c r="AN76" i="2"/>
  <c r="Q76" i="2"/>
  <c r="L46" i="2"/>
  <c r="AB32" i="2"/>
  <c r="N61" i="2"/>
  <c r="AG15" i="2"/>
  <c r="Y72" i="2"/>
  <c r="Y79" i="2"/>
  <c r="AD69" i="2"/>
  <c r="U102" i="2"/>
  <c r="N63" i="2"/>
  <c r="Q87" i="2"/>
  <c r="N24" i="2"/>
  <c r="AO57" i="2"/>
  <c r="AD120" i="2"/>
  <c r="Q117" i="2"/>
  <c r="AO63" i="2"/>
  <c r="AN49" i="2"/>
  <c r="S21" i="2"/>
  <c r="Y28" i="2"/>
  <c r="AG98" i="2"/>
  <c r="S38" i="2"/>
  <c r="AD17" i="2"/>
  <c r="X82" i="2"/>
  <c r="N121" i="2"/>
  <c r="Y31" i="2"/>
  <c r="AD31" i="2"/>
  <c r="Q17" i="2"/>
  <c r="AN86" i="2"/>
  <c r="R43" i="2"/>
  <c r="AO76" i="2"/>
  <c r="X112" i="2"/>
  <c r="AN83" i="2"/>
  <c r="K30" i="2"/>
  <c r="AB24" i="2"/>
  <c r="R38" i="2"/>
  <c r="J53" i="2"/>
  <c r="AB98" i="2"/>
  <c r="AG59" i="2"/>
  <c r="X22" i="2"/>
  <c r="AK91" i="2"/>
  <c r="AB40" i="2"/>
  <c r="X50" i="2"/>
  <c r="U61" i="2"/>
  <c r="S39" i="2"/>
  <c r="AG30" i="2"/>
  <c r="U99" i="2"/>
  <c r="Q120" i="2"/>
  <c r="AB54" i="2"/>
  <c r="S35" i="2"/>
  <c r="AO66" i="2"/>
  <c r="AI57" i="2"/>
  <c r="X98" i="2"/>
  <c r="C71" i="2"/>
  <c r="AK95" i="2"/>
  <c r="AK120" i="2"/>
  <c r="C106" i="2"/>
  <c r="AG83" i="2"/>
  <c r="AO29" i="2"/>
  <c r="U67" i="2"/>
  <c r="AB112" i="2"/>
  <c r="C122" i="2"/>
  <c r="R33" i="2"/>
  <c r="X69" i="2"/>
  <c r="C28" i="2"/>
  <c r="K56" i="2"/>
  <c r="K18" i="2"/>
  <c r="AD101" i="2"/>
  <c r="C85" i="2"/>
  <c r="AO48" i="2"/>
  <c r="Q58" i="2"/>
  <c r="Y112" i="2"/>
  <c r="N75" i="2"/>
  <c r="U58" i="2"/>
  <c r="AD114" i="2"/>
  <c r="AI22" i="2"/>
  <c r="C78" i="2"/>
  <c r="AI41" i="2"/>
  <c r="Y40" i="2"/>
  <c r="R49" i="2"/>
  <c r="Y19" i="2"/>
  <c r="U54" i="2"/>
  <c r="AB73" i="2"/>
  <c r="J82" i="2"/>
  <c r="J69" i="2"/>
  <c r="AN122" i="2"/>
  <c r="AO84" i="2"/>
  <c r="U18" i="2"/>
  <c r="Q33" i="2"/>
  <c r="AN65" i="2"/>
  <c r="AB47" i="2"/>
  <c r="AN53" i="2"/>
  <c r="X53" i="2"/>
  <c r="C43" i="2"/>
  <c r="U36" i="2"/>
  <c r="U121" i="2"/>
  <c r="J18" i="2"/>
  <c r="Q45" i="2"/>
  <c r="J89" i="2"/>
  <c r="L26" i="2"/>
  <c r="AG74" i="2"/>
  <c r="AO35" i="2"/>
  <c r="AD41" i="2"/>
  <c r="AK85" i="2"/>
  <c r="N116" i="2"/>
  <c r="X99" i="2"/>
  <c r="AO99" i="2"/>
  <c r="AG25" i="2"/>
  <c r="X58" i="2"/>
  <c r="AG102" i="2"/>
  <c r="AO39" i="2"/>
  <c r="C64" i="2"/>
  <c r="U52" i="2"/>
  <c r="Q97" i="2"/>
  <c r="AD111" i="2"/>
  <c r="AN114" i="2"/>
  <c r="U32" i="2"/>
  <c r="K25" i="2"/>
  <c r="X29" i="2"/>
  <c r="C29" i="2"/>
  <c r="J112" i="2"/>
  <c r="Y94" i="2"/>
  <c r="Y96" i="2"/>
  <c r="AN119" i="2"/>
  <c r="AN93" i="2"/>
  <c r="R37" i="2"/>
  <c r="Q111" i="2"/>
  <c r="Y17" i="2"/>
  <c r="AB68" i="2"/>
  <c r="U111" i="2"/>
  <c r="N41" i="2"/>
  <c r="AB71" i="2"/>
  <c r="Q72" i="2"/>
  <c r="C101" i="2"/>
  <c r="AH48" i="2"/>
  <c r="AN113" i="2"/>
  <c r="X97" i="2"/>
  <c r="AD55" i="2"/>
  <c r="AG19" i="2"/>
  <c r="AO75" i="2"/>
  <c r="Y110" i="2"/>
  <c r="U72" i="2"/>
  <c r="C79" i="2"/>
  <c r="S27" i="2"/>
  <c r="Y16" i="2"/>
  <c r="X40" i="2"/>
  <c r="AN112" i="2"/>
  <c r="AB30" i="2"/>
  <c r="R52" i="2"/>
  <c r="C57" i="2"/>
  <c r="AO31" i="2"/>
  <c r="AO74" i="2"/>
  <c r="U114" i="2"/>
  <c r="U70" i="2"/>
  <c r="AH46" i="2"/>
  <c r="AI51" i="2"/>
  <c r="U48" i="2"/>
  <c r="U29" i="2"/>
  <c r="Y85" i="2"/>
  <c r="J44" i="2"/>
  <c r="Y64" i="2"/>
  <c r="X116" i="2"/>
  <c r="AG114" i="2"/>
  <c r="Q115" i="2"/>
  <c r="Y51" i="2"/>
  <c r="AO113" i="2"/>
  <c r="U35" i="2"/>
  <c r="U60" i="2"/>
  <c r="K51" i="2"/>
  <c r="AG72" i="2"/>
  <c r="R31" i="2"/>
  <c r="AK52" i="2"/>
  <c r="X74" i="2"/>
  <c r="U43" i="2"/>
  <c r="S45" i="2"/>
  <c r="AD82" i="2"/>
  <c r="R22" i="2"/>
  <c r="Q100" i="2"/>
  <c r="U90" i="2"/>
  <c r="AK100" i="2"/>
  <c r="U53" i="2"/>
  <c r="X41" i="2"/>
  <c r="AH17" i="2"/>
  <c r="AN43" i="2"/>
  <c r="AO64" i="2"/>
  <c r="AI37" i="2"/>
  <c r="Q90" i="2"/>
  <c r="C91" i="2"/>
  <c r="AK98" i="2"/>
  <c r="Y20" i="2"/>
  <c r="Q102" i="2"/>
  <c r="AO54" i="2"/>
  <c r="AO100" i="2"/>
  <c r="N37" i="2"/>
  <c r="J99" i="2"/>
  <c r="AG35" i="2"/>
  <c r="AD28" i="2"/>
  <c r="AO78" i="2"/>
  <c r="N110" i="2"/>
  <c r="AD66" i="2"/>
  <c r="U97" i="2"/>
  <c r="AO106" i="2"/>
  <c r="J104" i="2"/>
  <c r="U98" i="2"/>
  <c r="AN37" i="2"/>
  <c r="Q59" i="2"/>
  <c r="N40" i="2"/>
  <c r="C109" i="2"/>
  <c r="AO119" i="2"/>
  <c r="K60" i="2"/>
  <c r="X106" i="2"/>
  <c r="X85" i="2"/>
  <c r="AO115" i="2"/>
  <c r="R50" i="2"/>
  <c r="C52" i="2"/>
  <c r="AK64" i="2"/>
  <c r="AG56" i="2"/>
  <c r="C17" i="2"/>
  <c r="K32" i="2"/>
  <c r="X62" i="2"/>
  <c r="Q41" i="2"/>
  <c r="Y99" i="2"/>
  <c r="AD59" i="2"/>
  <c r="AB114" i="2"/>
  <c r="AN103" i="2"/>
  <c r="AB38" i="2"/>
  <c r="AG119" i="2"/>
  <c r="C75" i="2"/>
  <c r="N65" i="2"/>
  <c r="N80" i="2"/>
  <c r="C119" i="2"/>
  <c r="AD80" i="2"/>
  <c r="Q98" i="2"/>
  <c r="AG106" i="2"/>
  <c r="AK41" i="2"/>
  <c r="L20" i="2"/>
  <c r="AD68" i="2"/>
  <c r="AK106" i="2"/>
  <c r="AO16" i="2"/>
  <c r="AD105" i="2"/>
  <c r="Y36" i="2"/>
  <c r="U20" i="2"/>
  <c r="Y97" i="2"/>
  <c r="AI44" i="2"/>
  <c r="Q40" i="2"/>
  <c r="AK34" i="2"/>
  <c r="S61" i="2"/>
  <c r="K28" i="2"/>
  <c r="AI27" i="2"/>
  <c r="N105" i="2"/>
  <c r="U117" i="2"/>
  <c r="AG76" i="2"/>
  <c r="N54" i="2"/>
  <c r="C19" i="2"/>
  <c r="L29" i="2"/>
  <c r="Y23" i="2"/>
  <c r="Q107" i="2"/>
  <c r="AD103" i="2"/>
  <c r="AB35" i="2"/>
  <c r="R34" i="2"/>
  <c r="N102" i="2"/>
  <c r="AB88" i="2"/>
  <c r="Q96" i="2"/>
  <c r="AD48" i="2"/>
  <c r="S42" i="2"/>
  <c r="AN60" i="2"/>
  <c r="U63" i="2"/>
  <c r="N93" i="2"/>
  <c r="AO87" i="2"/>
  <c r="N106" i="2"/>
  <c r="C47" i="2"/>
  <c r="N58" i="2"/>
  <c r="AG91" i="2"/>
  <c r="U31" i="2"/>
  <c r="L45" i="2"/>
  <c r="J26" i="2"/>
  <c r="L57" i="2"/>
  <c r="AG68" i="2"/>
  <c r="AB69" i="2"/>
  <c r="AK17" i="2"/>
  <c r="AG79" i="2"/>
  <c r="J78" i="2"/>
  <c r="S46" i="2"/>
  <c r="J92" i="2"/>
  <c r="X19" i="2"/>
  <c r="AH58" i="2"/>
  <c r="AO33" i="2"/>
  <c r="AO49" i="2"/>
  <c r="AO89" i="2"/>
  <c r="R4" i="2"/>
  <c r="AB70" i="2"/>
  <c r="AH40" i="2"/>
  <c r="J105" i="2"/>
  <c r="Q89" i="2"/>
  <c r="AD20" i="2"/>
  <c r="L56" i="2"/>
  <c r="AG73" i="2"/>
  <c r="X76" i="2"/>
  <c r="Y18" i="2"/>
  <c r="AI26" i="2"/>
  <c r="U21" i="2"/>
  <c r="K27" i="2"/>
  <c r="S54" i="2"/>
  <c r="AB59" i="2"/>
  <c r="AB120" i="2"/>
  <c r="S23" i="2"/>
  <c r="C70" i="2"/>
  <c r="U40" i="2"/>
  <c r="AG44" i="2"/>
  <c r="N92" i="2"/>
  <c r="AK48" i="2"/>
  <c r="N16" i="2"/>
  <c r="AD110" i="2"/>
  <c r="AO59" i="2"/>
  <c r="U71" i="2"/>
  <c r="U56" i="2"/>
  <c r="Q49" i="2"/>
  <c r="C114" i="2"/>
  <c r="N77" i="2"/>
  <c r="AK49" i="2"/>
  <c r="AB96" i="2"/>
  <c r="AO104" i="2"/>
  <c r="AG18" i="2"/>
  <c r="Q91" i="2"/>
  <c r="C35" i="2"/>
  <c r="N112" i="2"/>
  <c r="AI29" i="2"/>
  <c r="AB65" i="2"/>
  <c r="U96" i="2"/>
  <c r="R36" i="2"/>
  <c r="AK19" i="2"/>
  <c r="X72" i="2"/>
  <c r="N72" i="2"/>
  <c r="AH47" i="2"/>
  <c r="AB64" i="2"/>
  <c r="AD57" i="2"/>
  <c r="AG80" i="2"/>
  <c r="AB116" i="2"/>
  <c r="AG93" i="2"/>
  <c r="Y119" i="2"/>
  <c r="AO23" i="2"/>
  <c r="S49" i="2"/>
  <c r="AI17" i="2"/>
  <c r="Y32" i="2"/>
  <c r="U101" i="2"/>
  <c r="AB25" i="2"/>
  <c r="X27" i="2"/>
  <c r="AG33" i="2"/>
  <c r="C98" i="2"/>
  <c r="AK78" i="2"/>
  <c r="AB110" i="2"/>
  <c r="Q53" i="2"/>
  <c r="N71" i="2"/>
  <c r="AG113" i="2"/>
  <c r="AG21" i="2"/>
  <c r="AB34" i="2"/>
  <c r="AK89" i="2"/>
  <c r="AD43" i="2"/>
  <c r="U81" i="2"/>
  <c r="Y92" i="2"/>
  <c r="N89" i="2"/>
  <c r="R41" i="2"/>
  <c r="U74" i="2"/>
  <c r="J83" i="2"/>
  <c r="C65" i="2"/>
  <c r="AI40" i="2"/>
  <c r="AD81" i="2"/>
  <c r="AN18" i="2"/>
  <c r="C117" i="2"/>
  <c r="J25" i="2"/>
  <c r="AK110" i="2"/>
  <c r="Q31" i="2"/>
  <c r="U46" i="2"/>
  <c r="AD61" i="2"/>
  <c r="U92" i="2"/>
  <c r="AK79" i="2"/>
  <c r="Q80" i="2"/>
  <c r="C92" i="2"/>
  <c r="N74" i="2"/>
  <c r="K22" i="2"/>
  <c r="S59" i="2"/>
  <c r="AH27" i="2"/>
  <c r="J50" i="2"/>
  <c r="X59" i="2"/>
  <c r="AK50" i="2"/>
  <c r="Q109" i="2"/>
  <c r="Y66" i="2"/>
  <c r="AK90" i="2"/>
  <c r="N19" i="2"/>
  <c r="S24" i="2"/>
  <c r="AN24" i="2"/>
  <c r="S37" i="2"/>
  <c r="AH25" i="2"/>
  <c r="AN51" i="2"/>
  <c r="AD102" i="2"/>
  <c r="AK37" i="2"/>
  <c r="AK99" i="2"/>
  <c r="AO43" i="2"/>
  <c r="Y57" i="2"/>
  <c r="K59" i="2"/>
  <c r="R35" i="2"/>
  <c r="C62" i="2"/>
  <c r="J80" i="2"/>
  <c r="AD60" i="2"/>
  <c r="AD35" i="2"/>
  <c r="Q118" i="2"/>
  <c r="U122" i="2"/>
  <c r="L23" i="2"/>
  <c r="Q78" i="2"/>
  <c r="J20" i="2"/>
  <c r="AG122" i="2"/>
  <c r="X15" i="2"/>
  <c r="AD115" i="2"/>
  <c r="AD122" i="2"/>
  <c r="N18" i="2"/>
  <c r="AG23" i="2"/>
  <c r="AI20" i="2"/>
  <c r="N64" i="2"/>
  <c r="AD106" i="2"/>
  <c r="Y88" i="2"/>
  <c r="AH60" i="2"/>
  <c r="J109" i="2"/>
  <c r="L25" i="2"/>
  <c r="N97" i="2"/>
  <c r="L59" i="2"/>
  <c r="N55" i="2"/>
  <c r="AK109" i="2"/>
  <c r="K40" i="2"/>
  <c r="N22" i="2"/>
  <c r="AK53" i="2"/>
  <c r="AN55" i="2"/>
  <c r="AO41" i="2"/>
  <c r="AO90" i="2"/>
  <c r="AH24" i="2"/>
  <c r="J58" i="2"/>
  <c r="Y90" i="2"/>
  <c r="R25" i="2"/>
  <c r="AG41" i="2"/>
  <c r="N35" i="2"/>
  <c r="Y93" i="2"/>
  <c r="AK36" i="2"/>
  <c r="Y78" i="2"/>
  <c r="AK31" i="2"/>
  <c r="AG52" i="2"/>
  <c r="X92" i="2"/>
  <c r="AK105" i="2"/>
  <c r="AB15" i="2"/>
  <c r="U24" i="2"/>
  <c r="AD112" i="2"/>
  <c r="AO95" i="2"/>
  <c r="AG121" i="2"/>
  <c r="AK16" i="2"/>
  <c r="N31" i="2"/>
  <c r="X46" i="2"/>
  <c r="AB26" i="2"/>
  <c r="J63" i="2"/>
  <c r="J75" i="2"/>
  <c r="C113" i="2"/>
  <c r="N43" i="2"/>
  <c r="R30" i="2"/>
  <c r="AD27" i="2"/>
  <c r="N20" i="2"/>
  <c r="Q108" i="2"/>
  <c r="K19" i="2"/>
  <c r="AK96" i="2"/>
  <c r="AO108" i="2"/>
  <c r="R42" i="2"/>
  <c r="Q28" i="2"/>
  <c r="AN62" i="2"/>
  <c r="AB61" i="2"/>
  <c r="L47" i="2"/>
  <c r="AD45" i="2"/>
  <c r="AD94" i="2"/>
  <c r="AK112" i="2"/>
  <c r="C107" i="2"/>
  <c r="Y103" i="2"/>
  <c r="C32" i="2"/>
  <c r="L51" i="2"/>
  <c r="Q70" i="2"/>
  <c r="N79" i="2"/>
  <c r="L19" i="2"/>
  <c r="X43" i="2"/>
  <c r="X73" i="2"/>
  <c r="Q43" i="2"/>
  <c r="Y34" i="2"/>
  <c r="AI21" i="2"/>
  <c r="X104" i="2"/>
  <c r="AK121" i="2"/>
  <c r="AN96" i="2"/>
  <c r="AN41" i="2"/>
  <c r="R28" i="2"/>
  <c r="AG16" i="2"/>
  <c r="AN45" i="2"/>
  <c r="AN21" i="2"/>
  <c r="J42" i="2"/>
  <c r="AH21" i="2"/>
  <c r="AN33" i="2"/>
  <c r="Q69" i="2"/>
  <c r="AD86" i="2"/>
  <c r="AB76" i="2"/>
  <c r="AB18" i="2"/>
  <c r="C16" i="2"/>
  <c r="K39" i="2"/>
  <c r="J79" i="2"/>
  <c r="N47" i="2"/>
  <c r="L52" i="2"/>
  <c r="AG60" i="2"/>
  <c r="X37" i="2"/>
  <c r="AI24" i="2"/>
  <c r="C80" i="2"/>
  <c r="Q29" i="2"/>
  <c r="AB113" i="2"/>
  <c r="AO56" i="2"/>
  <c r="AD47" i="2"/>
  <c r="X48" i="2"/>
  <c r="J81" i="2"/>
  <c r="AN102" i="2"/>
  <c r="AH29" i="2"/>
  <c r="C102" i="2"/>
  <c r="AO42" i="2"/>
  <c r="AK69" i="2"/>
  <c r="AD65" i="2"/>
  <c r="K41" i="2"/>
  <c r="J19" i="2"/>
  <c r="AN99" i="2"/>
  <c r="N117" i="2"/>
  <c r="J100" i="2"/>
  <c r="AG61" i="2"/>
  <c r="AN95" i="2"/>
  <c r="J34" i="2"/>
  <c r="J37" i="2"/>
  <c r="C36" i="2"/>
  <c r="X77" i="2"/>
  <c r="AK18" i="2"/>
  <c r="U80" i="2"/>
  <c r="AK54" i="2"/>
  <c r="Y121" i="2"/>
  <c r="L37" i="2"/>
  <c r="U116" i="2"/>
  <c r="X25" i="2"/>
  <c r="AK122" i="2"/>
  <c r="AO19" i="2"/>
  <c r="L18" i="2"/>
  <c r="AK113" i="2"/>
  <c r="C90" i="2"/>
  <c r="AO30" i="2"/>
  <c r="J77" i="2"/>
  <c r="AG120" i="2"/>
  <c r="C104" i="2"/>
  <c r="AI43" i="2"/>
  <c r="AO105" i="2"/>
  <c r="C15" i="2"/>
  <c r="AK68" i="2"/>
  <c r="N34" i="2"/>
  <c r="R48" i="2"/>
  <c r="AG31" i="2"/>
  <c r="R29" i="2"/>
  <c r="AK35" i="2"/>
  <c r="Q116" i="2"/>
  <c r="C76" i="2"/>
  <c r="C68" i="2"/>
  <c r="AI18" i="2"/>
  <c r="R61" i="2"/>
  <c r="Q119" i="2"/>
  <c r="Y41" i="2"/>
  <c r="AH19" i="2"/>
  <c r="C103" i="2"/>
  <c r="U103" i="2"/>
  <c r="N50" i="2"/>
  <c r="U47" i="2"/>
  <c r="AB104" i="2"/>
  <c r="AK117" i="2"/>
  <c r="AD78" i="2"/>
  <c r="AB21" i="2"/>
  <c r="S60" i="2"/>
  <c r="AD73" i="2"/>
  <c r="N88" i="2"/>
  <c r="Y86" i="2"/>
  <c r="AD36" i="2"/>
  <c r="AG58" i="2"/>
  <c r="J57" i="2"/>
  <c r="K55" i="2"/>
  <c r="AG94" i="2"/>
  <c r="C51" i="2"/>
  <c r="U44" i="2"/>
  <c r="U28" i="2"/>
  <c r="AB82" i="2"/>
  <c r="U51" i="2"/>
  <c r="U16" i="2"/>
  <c r="K15" i="2"/>
  <c r="AK30" i="2"/>
  <c r="C21" i="2"/>
  <c r="AO46" i="2"/>
  <c r="Q106" i="2"/>
  <c r="U76" i="2"/>
  <c r="AB39" i="2"/>
  <c r="Q30" i="2"/>
  <c r="K23" i="2"/>
  <c r="AN54" i="2"/>
  <c r="AB121" i="2"/>
  <c r="AG90" i="2"/>
  <c r="AO62" i="2"/>
  <c r="X89" i="2"/>
  <c r="AI34" i="2"/>
  <c r="C55" i="2"/>
  <c r="AB57" i="2"/>
  <c r="S48" i="2"/>
  <c r="R40" i="2"/>
  <c r="U50" i="2"/>
  <c r="AK82" i="2"/>
  <c r="J39" i="2"/>
  <c r="X34" i="2"/>
  <c r="Y38" i="2"/>
  <c r="AD87" i="2"/>
  <c r="K43" i="2"/>
  <c r="AG107" i="2"/>
  <c r="U108" i="2"/>
  <c r="AD89" i="2"/>
  <c r="AD99" i="2"/>
  <c r="AI36" i="2"/>
  <c r="Y100" i="2"/>
  <c r="S57" i="2"/>
  <c r="S58" i="2"/>
  <c r="Q47" i="2"/>
  <c r="Y102" i="2"/>
  <c r="AD16" i="2"/>
  <c r="AI16" i="2"/>
  <c r="X94" i="2"/>
  <c r="Y108" i="2"/>
  <c r="AN73" i="2"/>
  <c r="J108" i="2"/>
  <c r="AI15" i="2"/>
  <c r="AO96" i="2"/>
  <c r="AB122" i="2"/>
  <c r="X23" i="2"/>
  <c r="N32" i="2"/>
  <c r="L39" i="2"/>
  <c r="N96" i="2"/>
  <c r="Y45" i="2"/>
  <c r="AK63" i="2"/>
  <c r="AH20" i="2"/>
  <c r="AB85" i="2"/>
  <c r="AK94" i="2"/>
  <c r="L49" i="2"/>
  <c r="AG101" i="2"/>
  <c r="Q93" i="2"/>
  <c r="N103" i="2"/>
  <c r="AB51" i="2"/>
  <c r="AH54" i="2"/>
  <c r="AK42" i="2"/>
  <c r="AD118" i="2"/>
  <c r="N101" i="2"/>
  <c r="AB36" i="2"/>
  <c r="AH33" i="2"/>
  <c r="Y65" i="2"/>
  <c r="AK38" i="2"/>
  <c r="N49" i="2"/>
  <c r="AN35" i="2"/>
  <c r="X33" i="2"/>
  <c r="N99" i="2"/>
  <c r="AK15" i="2"/>
  <c r="Y91" i="2"/>
  <c r="J55" i="2"/>
  <c r="AH30" i="2"/>
  <c r="L22" i="2"/>
  <c r="AN16" i="2"/>
  <c r="C77" i="2"/>
  <c r="Y48" i="2"/>
  <c r="AN42" i="2"/>
  <c r="C37" i="2"/>
  <c r="Q95" i="2"/>
  <c r="Y43" i="2"/>
  <c r="Y47" i="2"/>
  <c r="AN74" i="2"/>
  <c r="AD93" i="2"/>
  <c r="AK116" i="2"/>
  <c r="AG117" i="2"/>
  <c r="X52" i="2"/>
  <c r="X21" i="2"/>
  <c r="L41" i="2"/>
  <c r="AH32" i="2"/>
  <c r="U100" i="2"/>
  <c r="Q55" i="2"/>
  <c r="AI52" i="2"/>
  <c r="Q19" i="2"/>
  <c r="N38" i="2"/>
  <c r="L40" i="2"/>
  <c r="AK58" i="2"/>
  <c r="X17" i="2"/>
  <c r="L60" i="2"/>
  <c r="AD33" i="2"/>
  <c r="X118" i="2"/>
  <c r="AG43" i="2"/>
  <c r="N107" i="2"/>
  <c r="L48" i="2"/>
  <c r="Y105" i="2"/>
  <c r="R23" i="2"/>
  <c r="N23" i="2"/>
  <c r="X115" i="2"/>
  <c r="AB49" i="2"/>
  <c r="AG87" i="2"/>
  <c r="AD104" i="2"/>
  <c r="J21" i="2"/>
  <c r="L35" i="2"/>
  <c r="N29" i="2"/>
  <c r="AN40" i="2"/>
  <c r="AK29" i="2"/>
  <c r="AK33" i="2"/>
  <c r="U112" i="2"/>
  <c r="AG75" i="2"/>
  <c r="AD95" i="2"/>
  <c r="J15" i="2"/>
  <c r="AD62" i="2"/>
  <c r="R58" i="2"/>
  <c r="R53" i="2"/>
  <c r="AI60" i="2"/>
  <c r="AN71" i="2"/>
  <c r="AB117" i="2"/>
  <c r="J54" i="2"/>
  <c r="AB111" i="2"/>
  <c r="Q37" i="2"/>
  <c r="N67" i="2"/>
  <c r="K17" i="2"/>
  <c r="C111" i="2"/>
  <c r="AB37" i="2"/>
  <c r="Q83" i="2"/>
  <c r="U26" i="2"/>
  <c r="AI39" i="2"/>
  <c r="AN52" i="2"/>
  <c r="Y106" i="2"/>
  <c r="U34" i="2"/>
  <c r="Y29" i="2"/>
  <c r="R27" i="2"/>
  <c r="AD29" i="2"/>
  <c r="J76" i="2"/>
  <c r="AH22" i="2"/>
  <c r="U119" i="2"/>
  <c r="X39" i="2"/>
  <c r="X108" i="2"/>
  <c r="U95" i="2"/>
  <c r="N30" i="2"/>
  <c r="AO65" i="2"/>
  <c r="C110" i="2"/>
  <c r="X100" i="2"/>
  <c r="C59" i="2"/>
  <c r="Y37" i="2"/>
  <c r="Y26" i="2"/>
  <c r="Y49" i="2"/>
  <c r="AN109" i="2"/>
  <c r="N59" i="2"/>
  <c r="Y61" i="2"/>
  <c r="C89" i="2"/>
  <c r="L24" i="2"/>
  <c r="AI33" i="2"/>
  <c r="AK46" i="2"/>
  <c r="C99" i="2"/>
  <c r="AG46" i="2"/>
  <c r="S26" i="2"/>
  <c r="X103" i="2"/>
  <c r="AB48" i="2"/>
  <c r="X32" i="2"/>
  <c r="K48" i="2"/>
  <c r="U15" i="2"/>
  <c r="AB115" i="2"/>
  <c r="S52" i="2"/>
  <c r="U104" i="2"/>
  <c r="N73" i="2"/>
  <c r="X49" i="2"/>
  <c r="X110" i="2"/>
  <c r="Y56" i="2"/>
  <c r="AO82" i="2"/>
  <c r="AN61" i="2"/>
  <c r="U33" i="2"/>
  <c r="AD22" i="2"/>
  <c r="R32" i="2"/>
  <c r="N60" i="2"/>
  <c r="AO118" i="2"/>
  <c r="U17" i="2"/>
  <c r="AK119" i="2"/>
  <c r="N48" i="2"/>
  <c r="AB105" i="2"/>
  <c r="R60" i="2"/>
  <c r="N66" i="2"/>
  <c r="AI59" i="2"/>
  <c r="AO40" i="2"/>
  <c r="AD92" i="2"/>
  <c r="Q34" i="2"/>
  <c r="AG67" i="2"/>
  <c r="C40" i="2"/>
  <c r="AD53" i="2"/>
  <c r="AG51" i="2"/>
  <c r="L17" i="2"/>
  <c r="N62" i="2"/>
  <c r="AB94" i="2"/>
  <c r="Q74" i="2"/>
  <c r="AN23" i="2"/>
  <c r="AN90" i="2"/>
  <c r="X109" i="2"/>
  <c r="N85" i="2"/>
  <c r="X16" i="2"/>
  <c r="AH59" i="2"/>
  <c r="U106" i="2"/>
  <c r="Y50" i="2"/>
  <c r="AO117" i="2"/>
  <c r="J29" i="2"/>
  <c r="AO114" i="2"/>
  <c r="S40" i="2"/>
  <c r="Q44" i="2"/>
  <c r="N113" i="2"/>
  <c r="AK115" i="2"/>
  <c r="K46" i="2"/>
  <c r="K37" i="2"/>
  <c r="S47" i="2"/>
  <c r="AO109" i="2"/>
  <c r="N57" i="2"/>
  <c r="AB78" i="2"/>
  <c r="J66" i="2"/>
  <c r="AN68" i="2"/>
  <c r="Y69" i="2"/>
  <c r="AO34" i="2"/>
  <c r="AD50" i="2"/>
  <c r="C63" i="2"/>
  <c r="S16" i="2"/>
  <c r="U91" i="2"/>
  <c r="Y27" i="2"/>
  <c r="U109" i="2"/>
  <c r="AO121" i="2"/>
  <c r="AO60" i="2"/>
  <c r="S31" i="2"/>
  <c r="J86" i="2"/>
  <c r="AO111" i="2"/>
  <c r="X86" i="2"/>
  <c r="AB86" i="2"/>
  <c r="Y107" i="2"/>
  <c r="AN56" i="2"/>
  <c r="C66" i="2"/>
  <c r="X102" i="2"/>
  <c r="AN78" i="2"/>
  <c r="AD119" i="2"/>
  <c r="X45" i="2"/>
  <c r="AN111" i="2"/>
  <c r="J116" i="2"/>
  <c r="AI55" i="2"/>
  <c r="C22" i="2"/>
  <c r="AH15" i="2"/>
  <c r="Y122" i="2"/>
  <c r="U38" i="2"/>
  <c r="Q114" i="2"/>
  <c r="Q27" i="2"/>
  <c r="C20" i="2"/>
  <c r="J95" i="2"/>
  <c r="Y60" i="2"/>
  <c r="AK80" i="2"/>
  <c r="S56" i="2"/>
  <c r="R26" i="2"/>
  <c r="C56" i="2"/>
  <c r="J49" i="2"/>
  <c r="Y75" i="2"/>
  <c r="AN66" i="2"/>
  <c r="AN28" i="2"/>
  <c r="AB119" i="2"/>
  <c r="L58" i="2"/>
  <c r="U27" i="2"/>
  <c r="N87" i="2"/>
  <c r="Q16" i="2"/>
  <c r="U110" i="2"/>
  <c r="AG27" i="2"/>
  <c r="Y77" i="2"/>
  <c r="U39" i="2"/>
  <c r="Q38" i="2"/>
  <c r="AG100" i="2"/>
  <c r="J113" i="2"/>
  <c r="J87" i="2"/>
  <c r="U77" i="2"/>
  <c r="AO77" i="2"/>
  <c r="U107" i="2"/>
  <c r="C48" i="2"/>
  <c r="AK118" i="2"/>
  <c r="AN101" i="2"/>
  <c r="AO4" i="2"/>
  <c r="AO18" i="2"/>
  <c r="Q20" i="2"/>
  <c r="AG24" i="2"/>
  <c r="N114" i="2"/>
  <c r="X35" i="2"/>
  <c r="N42" i="2"/>
  <c r="AD26" i="2"/>
  <c r="N26" i="2"/>
  <c r="U83" i="2"/>
  <c r="AH43" i="2"/>
  <c r="AH36" i="2"/>
  <c r="Q50" i="2"/>
  <c r="AO101" i="2"/>
  <c r="N81" i="2"/>
  <c r="S55" i="2"/>
  <c r="L43" i="2"/>
  <c r="AO98" i="2"/>
  <c r="AG22" i="2"/>
  <c r="AG34" i="2"/>
  <c r="AI53" i="2"/>
  <c r="AI50" i="2"/>
  <c r="J23" i="2"/>
  <c r="C25" i="2"/>
  <c r="Q112" i="2"/>
  <c r="AN59" i="2"/>
  <c r="C95" i="2"/>
  <c r="AD109" i="2"/>
  <c r="AH34" i="2"/>
  <c r="X20" i="2"/>
  <c r="AK65" i="2"/>
  <c r="AG96" i="2"/>
  <c r="AN82" i="2"/>
  <c r="S53" i="2"/>
  <c r="AO73" i="2"/>
  <c r="Y114" i="2"/>
  <c r="U42" i="2"/>
  <c r="AK93" i="2"/>
  <c r="U73" i="2"/>
  <c r="U45" i="2"/>
  <c r="S32" i="2"/>
  <c r="AD18" i="2"/>
  <c r="U75" i="2"/>
  <c r="R39" i="2"/>
  <c r="K20" i="2"/>
  <c r="AH61" i="2"/>
  <c r="AH31" i="2"/>
  <c r="J36" i="2"/>
  <c r="AB58" i="2"/>
  <c r="AB89" i="2"/>
  <c r="AK57" i="2"/>
  <c r="AI61" i="2"/>
  <c r="N76" i="2"/>
  <c r="N56" i="2"/>
  <c r="U68" i="2"/>
  <c r="AH16" i="2"/>
  <c r="Y73" i="2"/>
  <c r="J61" i="2"/>
  <c r="AO83" i="2"/>
  <c r="J102" i="2"/>
  <c r="AD40" i="2"/>
  <c r="L30" i="2"/>
  <c r="Y95" i="2"/>
  <c r="AB92" i="2"/>
  <c r="AK45" i="2"/>
  <c r="AN79" i="2"/>
  <c r="Q39" i="2"/>
  <c r="N122" i="2"/>
  <c r="AG48" i="2"/>
  <c r="J64" i="2"/>
  <c r="AI45" i="2"/>
  <c r="AK107" i="2"/>
  <c r="AD90" i="2"/>
  <c r="AG29" i="2"/>
  <c r="S33" i="2"/>
  <c r="AO93" i="2"/>
  <c r="AH23" i="2"/>
  <c r="X96" i="2"/>
  <c r="AH53" i="2"/>
  <c r="Y104" i="2"/>
  <c r="AK21" i="2"/>
  <c r="AO15" i="2"/>
  <c r="AI42" i="2"/>
  <c r="N109" i="2"/>
  <c r="AN118" i="2"/>
  <c r="Y58" i="2"/>
  <c r="AB108" i="2"/>
  <c r="J114" i="2"/>
  <c r="C39" i="2"/>
  <c r="X88" i="2"/>
  <c r="Q88" i="2"/>
  <c r="X42" i="2"/>
  <c r="AB55" i="2"/>
  <c r="AN63" i="2"/>
  <c r="AO70" i="2"/>
  <c r="S41" i="2"/>
  <c r="AK59" i="2"/>
  <c r="AN100" i="2"/>
  <c r="AH28" i="2"/>
  <c r="AK24" i="2"/>
  <c r="AD121" i="2"/>
  <c r="N86" i="2"/>
  <c r="AG71" i="2"/>
  <c r="Q84" i="2"/>
  <c r="AO32" i="2"/>
  <c r="AI31" i="2"/>
  <c r="K47" i="2"/>
  <c r="AG37" i="2"/>
  <c r="R47" i="2"/>
  <c r="J46" i="2"/>
  <c r="AD32" i="2"/>
  <c r="AO58" i="2"/>
  <c r="C30" i="2"/>
  <c r="AN48" i="2"/>
  <c r="AO37" i="2"/>
  <c r="AD75" i="2"/>
  <c r="X26" i="2"/>
  <c r="AK92" i="2"/>
  <c r="N120" i="2"/>
  <c r="C24" i="2"/>
  <c r="AG112" i="2"/>
  <c r="J65" i="2"/>
  <c r="AI49" i="2"/>
  <c r="N111" i="2"/>
  <c r="AD30" i="2"/>
  <c r="Y76" i="2"/>
  <c r="R56" i="2"/>
  <c r="S50" i="2"/>
  <c r="N36" i="2"/>
  <c r="U85" i="2"/>
  <c r="Y35" i="2"/>
  <c r="AH35" i="2"/>
  <c r="AD83" i="2"/>
  <c r="AD25" i="2"/>
  <c r="Y118" i="2"/>
  <c r="AB28" i="2"/>
  <c r="AI56" i="2"/>
  <c r="K8" i="2" l="1"/>
  <c r="K10" i="2" s="1"/>
  <c r="N9" i="2"/>
  <c r="L8" i="2"/>
  <c r="L10" i="2" s="1"/>
  <c r="N8" i="2"/>
  <c r="J8" i="2"/>
  <c r="J9" i="2"/>
  <c r="B8" i="2"/>
  <c r="AM8" i="2"/>
  <c r="AA8" i="2"/>
  <c r="P8" i="2"/>
  <c r="AP10" i="2"/>
  <c r="AN8" i="2"/>
  <c r="AE10" i="2"/>
  <c r="Z10" i="2"/>
  <c r="AG8" i="2"/>
  <c r="AC9" i="2"/>
  <c r="AB9" i="2"/>
  <c r="I12" i="3" s="1"/>
  <c r="C9" i="2"/>
  <c r="Q8" i="2"/>
  <c r="X8" i="2"/>
  <c r="X9" i="2"/>
  <c r="Q9" i="2"/>
  <c r="AN9" i="2"/>
  <c r="C8" i="2"/>
  <c r="H4" i="3" s="1"/>
  <c r="AG9" i="2"/>
  <c r="AB8" i="2"/>
  <c r="J16" i="3"/>
  <c r="J10" i="3"/>
  <c r="J8" i="3"/>
  <c r="K16" i="3"/>
  <c r="K14" i="3"/>
  <c r="K12" i="3"/>
  <c r="K10" i="3"/>
  <c r="K8" i="3"/>
  <c r="K6" i="3"/>
  <c r="K4" i="3"/>
  <c r="F6" i="3"/>
  <c r="F4" i="3"/>
  <c r="L5" i="3"/>
  <c r="J14" i="3"/>
  <c r="J12" i="3"/>
  <c r="J6" i="3"/>
  <c r="J4" i="3"/>
  <c r="F14" i="3"/>
  <c r="F8" i="3"/>
  <c r="L15" i="3"/>
  <c r="L13" i="3"/>
  <c r="F28" i="5"/>
  <c r="D28" i="5"/>
  <c r="C28" i="5"/>
  <c r="F24" i="5"/>
  <c r="C24" i="5"/>
  <c r="F20" i="5"/>
  <c r="D20" i="5"/>
  <c r="F16" i="5"/>
  <c r="C16" i="5"/>
  <c r="F12" i="5"/>
  <c r="C12" i="5"/>
  <c r="F8" i="5"/>
  <c r="C4" i="5"/>
  <c r="L9" i="3"/>
  <c r="L11" i="3" l="1"/>
  <c r="L17" i="3"/>
  <c r="G28" i="5"/>
  <c r="H28" i="5" s="1"/>
  <c r="J10" i="2"/>
  <c r="N10" i="2"/>
  <c r="D6" i="3"/>
  <c r="L7" i="3"/>
  <c r="AC10" i="2"/>
  <c r="G12" i="3" s="1"/>
  <c r="AG10" i="2"/>
  <c r="AN10" i="2"/>
  <c r="AB10" i="2"/>
  <c r="C10" i="2"/>
  <c r="Q10" i="2"/>
  <c r="X10" i="2"/>
  <c r="D12" i="5"/>
  <c r="I8" i="3"/>
  <c r="Y5" i="5"/>
  <c r="E16" i="5"/>
  <c r="E4" i="5"/>
  <c r="X11" i="5"/>
  <c r="D16" i="5"/>
  <c r="E20" i="5"/>
  <c r="G20" i="5" s="1"/>
  <c r="H20" i="5" s="1"/>
  <c r="Y10" i="5"/>
  <c r="H8" i="3"/>
  <c r="I16" i="3"/>
  <c r="I14" i="3"/>
  <c r="Y9" i="5"/>
  <c r="D8" i="5"/>
  <c r="E12" i="5"/>
  <c r="I10" i="3"/>
  <c r="D4" i="5"/>
  <c r="E8" i="5"/>
  <c r="I4" i="3"/>
  <c r="T11" i="5"/>
  <c r="W11" i="5"/>
  <c r="Y8" i="5"/>
  <c r="D24" i="5"/>
  <c r="E28" i="5"/>
  <c r="C20" i="5"/>
  <c r="I6" i="3"/>
  <c r="V11" i="5"/>
  <c r="E24" i="5"/>
  <c r="F4" i="5"/>
  <c r="C8" i="5"/>
  <c r="Y4" i="5"/>
  <c r="Y6" i="5"/>
  <c r="Y7" i="5"/>
  <c r="R11" i="5"/>
  <c r="S11" i="5"/>
  <c r="U11" i="5"/>
  <c r="D27" i="2"/>
  <c r="G51" i="2"/>
  <c r="G86" i="2"/>
  <c r="E15" i="2"/>
  <c r="G90" i="2"/>
  <c r="G92" i="2"/>
  <c r="G64" i="2"/>
  <c r="D43" i="2"/>
  <c r="G77" i="2"/>
  <c r="E31" i="2"/>
  <c r="D52" i="2"/>
  <c r="G106" i="2"/>
  <c r="D20" i="2"/>
  <c r="G37" i="2"/>
  <c r="E27" i="2"/>
  <c r="D18" i="2"/>
  <c r="E60" i="2"/>
  <c r="D26" i="2"/>
  <c r="E33" i="2"/>
  <c r="G109" i="2"/>
  <c r="D53" i="2"/>
  <c r="G87" i="2"/>
  <c r="G61" i="2"/>
  <c r="D47" i="2"/>
  <c r="G54" i="2"/>
  <c r="E20" i="2"/>
  <c r="E21" i="2"/>
  <c r="G104" i="2"/>
  <c r="G35" i="2"/>
  <c r="G50" i="2"/>
  <c r="G117" i="2"/>
  <c r="G121" i="2"/>
  <c r="G107" i="2"/>
  <c r="D33" i="2"/>
  <c r="D4" i="2"/>
  <c r="G48" i="2"/>
  <c r="G83" i="2"/>
  <c r="G113" i="2"/>
  <c r="G60" i="2"/>
  <c r="E26" i="2"/>
  <c r="G17" i="2"/>
  <c r="G98" i="2"/>
  <c r="G44" i="2"/>
  <c r="G70" i="2"/>
  <c r="G108" i="2"/>
  <c r="G43" i="2"/>
  <c r="G29" i="2"/>
  <c r="G93" i="2"/>
  <c r="G53" i="2"/>
  <c r="G103" i="2"/>
  <c r="G120" i="2"/>
  <c r="D23" i="2"/>
  <c r="G26" i="2"/>
  <c r="D35" i="2"/>
  <c r="D41" i="2"/>
  <c r="G58" i="2"/>
  <c r="D55" i="2"/>
  <c r="G67" i="2"/>
  <c r="G40" i="2"/>
  <c r="G112" i="2"/>
  <c r="E17" i="2"/>
  <c r="D54" i="2"/>
  <c r="G15" i="2"/>
  <c r="E51" i="2"/>
  <c r="E61" i="2"/>
  <c r="G68" i="2"/>
  <c r="E25" i="2"/>
  <c r="G25" i="2"/>
  <c r="D61" i="2"/>
  <c r="E24" i="2"/>
  <c r="D56" i="2"/>
  <c r="D40" i="2"/>
  <c r="G46" i="2"/>
  <c r="E55" i="2"/>
  <c r="D19" i="2"/>
  <c r="E18" i="2"/>
  <c r="E37" i="2"/>
  <c r="G30" i="2"/>
  <c r="E59" i="2"/>
  <c r="E45" i="2"/>
  <c r="D30" i="2"/>
  <c r="E58" i="2"/>
  <c r="G19" i="2"/>
  <c r="G85" i="2"/>
  <c r="E39" i="2"/>
  <c r="E40" i="2"/>
  <c r="G74" i="2"/>
  <c r="G28" i="2"/>
  <c r="D57" i="2"/>
  <c r="E36" i="2"/>
  <c r="D42" i="2"/>
  <c r="G57" i="2"/>
  <c r="E16" i="2"/>
  <c r="G89" i="2"/>
  <c r="G34" i="2"/>
  <c r="G22" i="2"/>
  <c r="G52" i="2"/>
  <c r="G122" i="2"/>
  <c r="D24" i="2"/>
  <c r="E35" i="2"/>
  <c r="G38" i="2"/>
  <c r="G75" i="2"/>
  <c r="G47" i="2"/>
  <c r="D45" i="2"/>
  <c r="E54" i="2"/>
  <c r="G94" i="2"/>
  <c r="G84" i="2"/>
  <c r="G56" i="2"/>
  <c r="G33" i="2"/>
  <c r="G78" i="2"/>
  <c r="G101" i="2"/>
  <c r="E30" i="2"/>
  <c r="E52" i="2"/>
  <c r="G76" i="2"/>
  <c r="G91" i="2"/>
  <c r="G80" i="2"/>
  <c r="G24" i="2"/>
  <c r="G16" i="2"/>
  <c r="D39" i="2"/>
  <c r="E19" i="2"/>
  <c r="G100" i="2"/>
  <c r="E53" i="2"/>
  <c r="G110" i="2"/>
  <c r="E47" i="2"/>
  <c r="D22" i="2"/>
  <c r="G69" i="2"/>
  <c r="G20" i="2"/>
  <c r="D38" i="2"/>
  <c r="G71" i="2"/>
  <c r="E22" i="2"/>
  <c r="D51" i="2"/>
  <c r="G88" i="2"/>
  <c r="D34" i="2"/>
  <c r="G41" i="2"/>
  <c r="G96" i="2"/>
  <c r="D49" i="2"/>
  <c r="G105" i="2"/>
  <c r="D37" i="2"/>
  <c r="G73" i="2"/>
  <c r="G111" i="2"/>
  <c r="G72" i="2"/>
  <c r="D36" i="2"/>
  <c r="G32" i="2"/>
  <c r="E34" i="2"/>
  <c r="G66" i="2"/>
  <c r="G49" i="2"/>
  <c r="G21" i="2"/>
  <c r="G27" i="2"/>
  <c r="G36" i="2"/>
  <c r="E28" i="2"/>
  <c r="G97" i="2"/>
  <c r="E50" i="2"/>
  <c r="D59" i="2"/>
  <c r="G119" i="2"/>
  <c r="D31" i="2"/>
  <c r="G82" i="2"/>
  <c r="E44" i="2"/>
  <c r="E42" i="2"/>
  <c r="G115" i="2"/>
  <c r="G116" i="2"/>
  <c r="G59" i="2"/>
  <c r="E57" i="2"/>
  <c r="G81" i="2"/>
  <c r="G65" i="2"/>
  <c r="E43" i="2"/>
  <c r="G114" i="2"/>
  <c r="G102" i="2"/>
  <c r="G79" i="2"/>
  <c r="G95" i="2"/>
  <c r="E23" i="2"/>
  <c r="G99" i="2"/>
  <c r="D58" i="2"/>
  <c r="G39" i="2"/>
  <c r="D17" i="2"/>
  <c r="D28" i="2"/>
  <c r="E29" i="2"/>
  <c r="D21" i="2"/>
  <c r="E38" i="2"/>
  <c r="G62" i="2"/>
  <c r="D29" i="2"/>
  <c r="D60" i="2"/>
  <c r="G63" i="2"/>
  <c r="D16" i="2"/>
  <c r="D48" i="2"/>
  <c r="G42" i="2"/>
  <c r="G18" i="2"/>
  <c r="E49" i="2"/>
  <c r="D50" i="2"/>
  <c r="G23" i="2"/>
  <c r="G45" i="2"/>
  <c r="D25" i="2"/>
  <c r="D32" i="2"/>
  <c r="G31" i="2"/>
  <c r="E46" i="2"/>
  <c r="D44" i="2"/>
  <c r="G118" i="2"/>
  <c r="E41" i="2"/>
  <c r="E56" i="2"/>
  <c r="D46" i="2"/>
  <c r="G55" i="2"/>
  <c r="E32" i="2"/>
  <c r="E48" i="2"/>
  <c r="D15" i="2"/>
  <c r="G24" i="5" l="1"/>
  <c r="H24" i="5" s="1"/>
  <c r="AF10" i="2" s="1"/>
  <c r="AF9" i="2" s="1"/>
  <c r="G16" i="5"/>
  <c r="H16" i="5" s="1"/>
  <c r="W10" i="2" s="1"/>
  <c r="W9" i="2" s="1"/>
  <c r="G8" i="5"/>
  <c r="H8" i="5" s="1"/>
  <c r="I10" i="2" s="1"/>
  <c r="I9" i="2" s="1"/>
  <c r="G12" i="5"/>
  <c r="H12" i="5" s="1"/>
  <c r="P10" i="2" s="1"/>
  <c r="P9" i="2" s="1"/>
  <c r="AM10" i="2"/>
  <c r="AM9" i="2" s="1"/>
  <c r="AD8" i="2"/>
  <c r="G6" i="3"/>
  <c r="AO8" i="2"/>
  <c r="AI8" i="2"/>
  <c r="AH8" i="2"/>
  <c r="C14" i="3" s="1"/>
  <c r="Y9" i="2"/>
  <c r="AK9" i="2"/>
  <c r="G9" i="2"/>
  <c r="G14" i="3"/>
  <c r="R8" i="2"/>
  <c r="C8" i="3" s="1"/>
  <c r="S8" i="2"/>
  <c r="U9" i="2"/>
  <c r="E8" i="2"/>
  <c r="E4" i="3" s="1"/>
  <c r="AD9" i="2"/>
  <c r="U8" i="2"/>
  <c r="AO9" i="2"/>
  <c r="G8" i="3"/>
  <c r="Y8" i="2"/>
  <c r="G16" i="3"/>
  <c r="G8" i="2"/>
  <c r="G10" i="3"/>
  <c r="AK8" i="2"/>
  <c r="D8" i="2"/>
  <c r="C4" i="3" s="1"/>
  <c r="AA10" i="2"/>
  <c r="AA9" i="2" s="1"/>
  <c r="G4" i="5"/>
  <c r="H4" i="5" s="1"/>
  <c r="B10" i="2" s="1"/>
  <c r="B9" i="2" s="1"/>
  <c r="H16" i="3"/>
  <c r="Y11" i="5"/>
  <c r="H6" i="3"/>
  <c r="H14" i="3"/>
  <c r="H10" i="3"/>
  <c r="H12" i="3"/>
  <c r="L12" i="3" s="1"/>
  <c r="E6" i="3"/>
  <c r="L16" i="3" l="1"/>
  <c r="AH9" i="2"/>
  <c r="AD10" i="2"/>
  <c r="S10" i="2"/>
  <c r="R9" i="2"/>
  <c r="R10" i="2" s="1"/>
  <c r="G10" i="2"/>
  <c r="E10" i="2"/>
  <c r="E8" i="3"/>
  <c r="AK10" i="2"/>
  <c r="U10" i="2"/>
  <c r="D9" i="2"/>
  <c r="D10" i="2" s="1"/>
  <c r="AI10" i="2"/>
  <c r="E14" i="3"/>
  <c r="Y10" i="2"/>
  <c r="L10" i="3"/>
  <c r="AO10" i="2"/>
  <c r="C6" i="3"/>
  <c r="L6" i="3" s="1"/>
  <c r="D8" i="3" l="1"/>
  <c r="L8" i="3" s="1"/>
  <c r="AH10" i="2"/>
  <c r="D14" i="3"/>
  <c r="L14" i="3" s="1"/>
  <c r="D4" i="3"/>
  <c r="G4" i="3"/>
  <c r="L4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tc={1164DBE1-DE77-4A00-815E-51F8BFD51909}</author>
  </authors>
  <commentList>
    <comment ref="G12" authorId="0" shapeId="0" xr:uid="{1164DBE1-DE77-4A00-815E-51F8BFD519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<sst xmlns="http://schemas.openxmlformats.org/spreadsheetml/2006/main" count="1253" uniqueCount="367">
  <si>
    <t>Up Jardim Prudência</t>
  </si>
  <si>
    <t>Up Vila Sônia</t>
  </si>
  <si>
    <t>Up Select Vila Sônia</t>
  </si>
  <si>
    <t>Up Estação São Lucas</t>
  </si>
  <si>
    <t>Up Pompeia</t>
  </si>
  <si>
    <t>Up Estação Vila Sônia</t>
  </si>
  <si>
    <t>Up Move Vila Sônia</t>
  </si>
  <si>
    <t>Estoque (R$)</t>
  </si>
  <si>
    <t>Estoque (unidades)</t>
  </si>
  <si>
    <t>CEF a assinar (R$)</t>
  </si>
  <si>
    <t>CEF a assinar (unidades)</t>
  </si>
  <si>
    <t>Empreendimento</t>
  </si>
  <si>
    <t>AMP</t>
  </si>
  <si>
    <t>AVS</t>
  </si>
  <si>
    <t>GRA</t>
  </si>
  <si>
    <t>LUC</t>
  </si>
  <si>
    <t>POM</t>
  </si>
  <si>
    <t>SN2</t>
  </si>
  <si>
    <t>SN4</t>
  </si>
  <si>
    <t>Variável</t>
  </si>
  <si>
    <t>Vendas</t>
  </si>
  <si>
    <t>Pró soluto</t>
  </si>
  <si>
    <t>CEF obra</t>
  </si>
  <si>
    <t>CEF terreno</t>
  </si>
  <si>
    <t>Empréstimo CEF PJ</t>
  </si>
  <si>
    <t>Taxa extra</t>
  </si>
  <si>
    <t>Distratados</t>
  </si>
  <si>
    <t>ABC</t>
  </si>
  <si>
    <t>Incorrido</t>
  </si>
  <si>
    <t>A incorrer</t>
  </si>
  <si>
    <t>Total</t>
  </si>
  <si>
    <t>CEF - CMF_CN</t>
  </si>
  <si>
    <t>CEF - ECN</t>
  </si>
  <si>
    <t>CEF - CMF_CN &amp; DCD</t>
  </si>
  <si>
    <t>Informakon</t>
  </si>
  <si>
    <t>Anapro</t>
  </si>
  <si>
    <t>Essa planilha
(sem taxa extra e  distrato)</t>
  </si>
  <si>
    <t>Viabilidade</t>
  </si>
  <si>
    <t>Empresa</t>
  </si>
  <si>
    <t>Fonte</t>
  </si>
  <si>
    <t>Pró soluto
(incorrido)</t>
  </si>
  <si>
    <t>Pró soluto
(a incorrer)</t>
  </si>
  <si>
    <t>VGV
(viabilidade)</t>
  </si>
  <si>
    <t>Atual</t>
  </si>
  <si>
    <t>?</t>
  </si>
  <si>
    <t xml:space="preserve">  - </t>
  </si>
  <si>
    <t>Permuta</t>
  </si>
  <si>
    <t>Fora de venda</t>
  </si>
  <si>
    <t>Reservada</t>
  </si>
  <si>
    <t>Venda suspensa</t>
  </si>
  <si>
    <t>Disponível</t>
  </si>
  <si>
    <t>Em negociação</t>
  </si>
  <si>
    <t>Venda aprovada</t>
  </si>
  <si>
    <t>Status</t>
  </si>
  <si>
    <t>Tipo</t>
  </si>
  <si>
    <t>Vendido</t>
  </si>
  <si>
    <t>Unidades
(total)</t>
  </si>
  <si>
    <t>Unidades
(para venda)</t>
  </si>
  <si>
    <t>Apartamento</t>
  </si>
  <si>
    <t>Loja</t>
  </si>
  <si>
    <t>Garagem</t>
  </si>
  <si>
    <t>Vaga - Carro
(autônoma)</t>
  </si>
  <si>
    <t>Vaga - Carro
(não-autônoma)</t>
  </si>
  <si>
    <t>Vaga - Moto
(autônoma)</t>
  </si>
  <si>
    <t>Vaga - Moto
(não-autonoma)</t>
  </si>
  <si>
    <t>Projeto</t>
  </si>
  <si>
    <t>Repasse
(a assinar)</t>
  </si>
  <si>
    <t>Repasse obra
(incorrido)</t>
  </si>
  <si>
    <t>Repasse obra
(a incorrer)</t>
  </si>
  <si>
    <t>Repasse terreno
(incorrido)</t>
  </si>
  <si>
    <t>Repasse terreno
(a incorrer)</t>
  </si>
  <si>
    <t>Estoque
(unidades)</t>
  </si>
  <si>
    <t>Estoque
(R$)</t>
  </si>
  <si>
    <t>VGV
(essa planilha)</t>
  </si>
  <si>
    <t>empresa</t>
  </si>
  <si>
    <t>Preço Tab.</t>
  </si>
  <si>
    <t>natureza</t>
  </si>
  <si>
    <t>total</t>
  </si>
  <si>
    <t>soma.meses</t>
  </si>
  <si>
    <t>2022-01-01</t>
  </si>
  <si>
    <t>2022-02-01</t>
  </si>
  <si>
    <t>2022-03-01</t>
  </si>
  <si>
    <t>2022-04-01</t>
  </si>
  <si>
    <t>2022-05-01</t>
  </si>
  <si>
    <t>2022-06-01</t>
  </si>
  <si>
    <t>2022-07-01</t>
  </si>
  <si>
    <t>2022-08-01</t>
  </si>
  <si>
    <t>2022-09-01</t>
  </si>
  <si>
    <t>2022-10-01</t>
  </si>
  <si>
    <t>2022-11-01</t>
  </si>
  <si>
    <t>2022-12-01</t>
  </si>
  <si>
    <t>2023-01-01</t>
  </si>
  <si>
    <t>2023-02-01</t>
  </si>
  <si>
    <t>2023-03-01</t>
  </si>
  <si>
    <t>2023-04-01</t>
  </si>
  <si>
    <t>2023-05-01</t>
  </si>
  <si>
    <t>2023-06-01</t>
  </si>
  <si>
    <t>2023-07-01</t>
  </si>
  <si>
    <t>2023-08-01</t>
  </si>
  <si>
    <t>2023-09-01</t>
  </si>
  <si>
    <t>2023-10-01</t>
  </si>
  <si>
    <t>2023-11-01</t>
  </si>
  <si>
    <t>2023-12-01</t>
  </si>
  <si>
    <t>2024-01-01</t>
  </si>
  <si>
    <t>2024-02-01</t>
  </si>
  <si>
    <t>2024-03-01</t>
  </si>
  <si>
    <t>2024-04-01</t>
  </si>
  <si>
    <t>2024-05-01</t>
  </si>
  <si>
    <t>2024-06-01</t>
  </si>
  <si>
    <t>2024-07-01</t>
  </si>
  <si>
    <t>2024-08-01</t>
  </si>
  <si>
    <t>2024-09-01</t>
  </si>
  <si>
    <t>2024-10-01</t>
  </si>
  <si>
    <t>2024-11-01</t>
  </si>
  <si>
    <t>2024-12-01</t>
  </si>
  <si>
    <t>2025-01-01</t>
  </si>
  <si>
    <t>2025-02-01</t>
  </si>
  <si>
    <t>2025-03-01</t>
  </si>
  <si>
    <t>2025-04-01</t>
  </si>
  <si>
    <t>2025-05-01</t>
  </si>
  <si>
    <t>2025-06-01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</si>
  <si>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</si>
  <si>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</si>
  <si>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</si>
  <si>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</si>
  <si>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</si>
  <si>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</si>
  <si>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</si>
  <si>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</si>
  <si>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</si>
  <si>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</si>
  <si>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2026-05-01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</si>
  <si>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</si>
  <si>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</si>
  <si>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</si>
  <si>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</si>
  <si>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</si>
  <si>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</si>
  <si>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</si>
  <si>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2027-01-01</t>
  </si>
  <si>
    <t>2027-02-01</t>
  </si>
  <si>
    <t>2027-03-01</t>
  </si>
  <si>
    <t>2027-04-01</t>
  </si>
  <si>
    <t>2027-05-01</t>
  </si>
  <si>
    <t>2027-06-01</t>
  </si>
  <si>
    <t>2027-07-01</t>
  </si>
  <si>
    <t>2027-08-01</t>
  </si>
  <si>
    <t>2027-09-01</t>
  </si>
  <si>
    <t>2027-10-01</t>
  </si>
  <si>
    <t>2027-11-01</t>
  </si>
  <si>
    <t>2027-12-01</t>
  </si>
  <si>
    <t>2028-01-01</t>
  </si>
  <si>
    <t>2028-02-01</t>
  </si>
  <si>
    <t>2028-03-01</t>
  </si>
  <si>
    <t>2028-04-01</t>
  </si>
  <si>
    <t>2028-05-01</t>
  </si>
  <si>
    <t>2028-06-01</t>
  </si>
  <si>
    <t>2028-07-01</t>
  </si>
  <si>
    <t>2028-08-01</t>
  </si>
  <si>
    <t>2028-09-01</t>
  </si>
  <si>
    <t>2028-10-01</t>
  </si>
  <si>
    <t>2028-11-01</t>
  </si>
  <si>
    <t>2028-12-01</t>
  </si>
  <si>
    <t>2029-01-01</t>
  </si>
  <si>
    <t>2029-02-01</t>
  </si>
  <si>
    <t>2029-03-01</t>
  </si>
  <si>
    <t>2029-04-01</t>
  </si>
  <si>
    <t>2029-05-01</t>
  </si>
  <si>
    <t>2029-06-01</t>
  </si>
  <si>
    <t>2029-07-01</t>
  </si>
  <si>
    <t>2029-08-01</t>
  </si>
  <si>
    <t>2029-09-01</t>
  </si>
  <si>
    <t>2029-10-01</t>
  </si>
  <si>
    <t>2029-11-01</t>
  </si>
  <si>
    <t>2029-12-01</t>
  </si>
  <si>
    <t>2030-01-01</t>
  </si>
  <si>
    <t>2030-02-01</t>
  </si>
  <si>
    <t>2030-03-01</t>
  </si>
  <si>
    <t>2030-04-01</t>
  </si>
  <si>
    <t>2030-05-01</t>
  </si>
  <si>
    <t>2030-06-01</t>
  </si>
  <si>
    <t>2030-07-01</t>
  </si>
  <si>
    <t>2030-08-01</t>
  </si>
  <si>
    <t>2030-09-01</t>
  </si>
  <si>
    <t>2030-10-01</t>
  </si>
  <si>
    <t>2030-11-01</t>
  </si>
  <si>
    <t>2030-12-01</t>
  </si>
  <si>
    <t>Data da venda / reserva</t>
  </si>
  <si>
    <t>repasse.cef.total</t>
  </si>
  <si>
    <t>data.pagamento</t>
  </si>
  <si>
    <t>data.vencimento</t>
  </si>
  <si>
    <t>ele</t>
  </si>
  <si>
    <t>Comparação do status das unidades: Anapro x Informakon x Projeto x Viabilidade</t>
  </si>
  <si>
    <t>id</t>
  </si>
  <si>
    <t>especie</t>
  </si>
  <si>
    <t>unidade</t>
  </si>
  <si>
    <t>cliente</t>
  </si>
  <si>
    <t>contrato</t>
  </si>
  <si>
    <t>contrato.cef</t>
  </si>
  <si>
    <t>pavimento</t>
  </si>
  <si>
    <t>situacao.ana</t>
  </si>
  <si>
    <t>situacao.ik</t>
  </si>
  <si>
    <t>data.venda</t>
  </si>
  <si>
    <t>preco.tabela</t>
  </si>
  <si>
    <t>valor.venda.ana</t>
  </si>
  <si>
    <t>valor.venda.ik</t>
  </si>
  <si>
    <t>checar</t>
  </si>
  <si>
    <t>empreendimento</t>
  </si>
  <si>
    <t>repassado</t>
  </si>
  <si>
    <t>esp</t>
  </si>
  <si>
    <t>esp.con</t>
  </si>
  <si>
    <t>agente</t>
  </si>
  <si>
    <t>parcela</t>
  </si>
  <si>
    <t>principal</t>
  </si>
  <si>
    <t>juros</t>
  </si>
  <si>
    <t>juros.contrato</t>
  </si>
  <si>
    <t>juros.mora</t>
  </si>
  <si>
    <t>reajuste</t>
  </si>
  <si>
    <t>encargos</t>
  </si>
  <si>
    <t>multa</t>
  </si>
  <si>
    <t>seguro</t>
  </si>
  <si>
    <t>desconto</t>
  </si>
  <si>
    <t>cart</t>
  </si>
  <si>
    <t>r.f</t>
  </si>
  <si>
    <t>edificacao</t>
  </si>
  <si>
    <t>data.emissao</t>
  </si>
  <si>
    <t>disp</t>
  </si>
  <si>
    <t>arquivo</t>
  </si>
  <si>
    <t>arquivo.tipo</t>
  </si>
  <si>
    <t>arquivo.tabela.tipo</t>
  </si>
  <si>
    <t>arquivo.fonte</t>
  </si>
  <si>
    <t>cruzada</t>
  </si>
  <si>
    <t>data</t>
  </si>
  <si>
    <t>contrato.cef.5</t>
  </si>
  <si>
    <t>repasse.cef.incorrido</t>
  </si>
  <si>
    <t>repasse.cef.a.incorrer</t>
  </si>
  <si>
    <t>repasse.cef.fin</t>
  </si>
  <si>
    <t>repasse.cef.desc.subs</t>
  </si>
  <si>
    <t>repasse.cef.fgts</t>
  </si>
  <si>
    <t>repasse.cef.rec.prop</t>
  </si>
  <si>
    <t>repasse.cef.terreno.acum</t>
  </si>
  <si>
    <t>repasse.cef.obra.acum</t>
  </si>
  <si>
    <t>Unidade_1</t>
  </si>
  <si>
    <t>Anot. venda</t>
  </si>
  <si>
    <t>Planta</t>
  </si>
  <si>
    <t>Equipe</t>
  </si>
  <si>
    <t>Gerente</t>
  </si>
  <si>
    <t>Corretor</t>
  </si>
  <si>
    <t>Cliente(s)</t>
  </si>
  <si>
    <t>Desconto Tab.</t>
  </si>
  <si>
    <t>Área total</t>
  </si>
  <si>
    <t>Área privativa</t>
  </si>
  <si>
    <t>Fração ideal</t>
  </si>
  <si>
    <t>Quartos</t>
  </si>
  <si>
    <t>Vagas</t>
  </si>
  <si>
    <t>Classificação Venda</t>
  </si>
  <si>
    <t>Estágio Contrato</t>
  </si>
  <si>
    <t>Preço Tab. com Desconto</t>
  </si>
  <si>
    <t>valor.venda</t>
  </si>
  <si>
    <t>Valor m2</t>
  </si>
  <si>
    <t>Valor m2 com Desconto</t>
  </si>
  <si>
    <t>Data do pedido</t>
  </si>
  <si>
    <t>Taxa de decoração - Valor total</t>
  </si>
  <si>
    <t>Taxa de decoração - Parcelas</t>
  </si>
  <si>
    <t>Taxa de decoração - Início pagto</t>
  </si>
  <si>
    <t>Taxa de decoração - Início correção</t>
  </si>
  <si>
    <t>Data de recebimento</t>
  </si>
  <si>
    <t>Venda confirmada?</t>
  </si>
  <si>
    <t>Opção de planta</t>
  </si>
  <si>
    <t>setor</t>
  </si>
  <si>
    <t>p.c</t>
  </si>
  <si>
    <t>situacao</t>
  </si>
  <si>
    <t>obs.situacao</t>
  </si>
  <si>
    <t>adm.terceiro</t>
  </si>
  <si>
    <t>inativo</t>
  </si>
  <si>
    <t>tab.preco</t>
  </si>
  <si>
    <t>area</t>
  </si>
  <si>
    <t>area.lote</t>
  </si>
  <si>
    <t>fracao.ideal</t>
  </si>
  <si>
    <t>suites</t>
  </si>
  <si>
    <t>d.simples</t>
  </si>
  <si>
    <t>imobiliaria</t>
  </si>
  <si>
    <t>corretor</t>
  </si>
  <si>
    <t>cotista</t>
  </si>
  <si>
    <t>mes.ano</t>
  </si>
  <si>
    <t>valor.imovel</t>
  </si>
  <si>
    <t>comissao</t>
  </si>
  <si>
    <t>valor.c.d</t>
  </si>
  <si>
    <t>valor.comissao</t>
  </si>
  <si>
    <t>disponivel.locacao</t>
  </si>
  <si>
    <t>escriturado</t>
  </si>
  <si>
    <t>transferido.iptu</t>
  </si>
  <si>
    <t>data.escritura</t>
  </si>
  <si>
    <t>cartorio</t>
  </si>
  <si>
    <t>cartorio.nome</t>
  </si>
  <si>
    <t>matricula</t>
  </si>
  <si>
    <t>Permutado Terreno</t>
  </si>
  <si>
    <t>Reserva Técnica</t>
  </si>
  <si>
    <t>data.lancamento</t>
  </si>
  <si>
    <t>data.movimento</t>
  </si>
  <si>
    <t>lancamentos</t>
  </si>
  <si>
    <t>np</t>
  </si>
  <si>
    <t>conta.sidec/nsgd</t>
  </si>
  <si>
    <t>valor</t>
  </si>
  <si>
    <t>mot</t>
  </si>
  <si>
    <t>contrato.6</t>
  </si>
  <si>
    <t>id.contr</t>
  </si>
  <si>
    <t>n.siban</t>
  </si>
  <si>
    <t>nucleo.num</t>
  </si>
  <si>
    <t>centro.negocio</t>
  </si>
  <si>
    <t>origem</t>
  </si>
  <si>
    <t>tipo.entrada</t>
  </si>
  <si>
    <t>documento</t>
  </si>
  <si>
    <t>a/c</t>
  </si>
  <si>
    <t>documento.pagto</t>
  </si>
  <si>
    <t>credor</t>
  </si>
  <si>
    <t>classe</t>
  </si>
  <si>
    <t>assunto.titulo</t>
  </si>
  <si>
    <t>grupo.titulo</t>
  </si>
  <si>
    <t>subgrupo.titulo</t>
  </si>
  <si>
    <t>classificacao</t>
  </si>
  <si>
    <t>d/c</t>
  </si>
  <si>
    <t>nucleo</t>
  </si>
  <si>
    <t>cod.grupo.nuc</t>
  </si>
  <si>
    <t>grupo.nucleo</t>
  </si>
  <si>
    <t>cod.grupo.cen</t>
  </si>
  <si>
    <t>grupo.centro</t>
  </si>
  <si>
    <t>cod.classe.cen</t>
  </si>
  <si>
    <t>classe.centro</t>
  </si>
  <si>
    <t>repasse.cef.terreno</t>
  </si>
  <si>
    <t>cef.terreno</t>
  </si>
  <si>
    <t>repasse.cef.obra</t>
  </si>
  <si>
    <t>cef.obra</t>
  </si>
  <si>
    <t>amortizacao.pj</t>
  </si>
  <si>
    <t>remuneracao.terreno</t>
  </si>
  <si>
    <t>remuneracao.venda</t>
  </si>
  <si>
    <t>contrato.5</t>
  </si>
  <si>
    <t>data.movimentacao</t>
  </si>
  <si>
    <t>natureza.extrato</t>
  </si>
  <si>
    <t>conta.interno</t>
  </si>
  <si>
    <t>data.lancamento.extrato</t>
  </si>
  <si>
    <t>descricao</t>
  </si>
  <si>
    <t>saldo</t>
  </si>
  <si>
    <t>conta</t>
  </si>
  <si>
    <t>agencia</t>
  </si>
  <si>
    <t>produto</t>
  </si>
  <si>
    <t>periodo.inicio</t>
  </si>
  <si>
    <t>periodo.fim</t>
  </si>
  <si>
    <t>data.consulta</t>
  </si>
  <si>
    <t>arquivo.extrato</t>
  </si>
  <si>
    <t>data.lancamento.cmfcn</t>
  </si>
  <si>
    <t>arquivo.cmfcn</t>
  </si>
  <si>
    <t>unidade.ik</t>
  </si>
  <si>
    <t>especie.ik</t>
  </si>
  <si>
    <t>arquivo.ik</t>
  </si>
  <si>
    <t>arquivo.tipo.ik</t>
  </si>
  <si>
    <t>arquivo.fonte.ik</t>
  </si>
  <si>
    <t>empresa.ik</t>
  </si>
  <si>
    <t>empresa.ana</t>
  </si>
  <si>
    <t>especie.ana</t>
  </si>
  <si>
    <t>unidade.ana</t>
  </si>
  <si>
    <t>Empreendimento_1</t>
  </si>
  <si>
    <t>unidade.estq</t>
  </si>
  <si>
    <t>Corretor_1</t>
  </si>
  <si>
    <t>arquivo.ana</t>
  </si>
  <si>
    <t>arquivo.tipo.ana</t>
  </si>
  <si>
    <t>arquivo.fonte.ana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</si>
</sst>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43" formatCode="_-* #,##0.00_-;\-* #,##0.00_-;_-* &quot;-&quot;??_-;_-@_-"/>
    <numFmt numFmtId="164" formatCode="dd/mmm/yyyy"/>
  </numFmts>
  <fonts count="1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20"/>
      <color rgb="FF000000"/>
      <name val="Aptos Narrow"/>
      <family val="2"/>
      <scheme val="minor"/>
    </font>
    <font>
      <b/>
      <sz val="20"/>
      <color rgb="FF000000"/>
      <name val="Aptos Narrow"/>
      <family val="2"/>
      <scheme val="minor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  <font>
      <b/>
      <sz val="11"/>
      <color rgb="FFFFFFFF"/>
      <name val="Aptos Narrow"/>
    </font>
    <font>
      <b/>
      <sz val="11"/>
      <color theme="1"/>
      <name val="Aptos Narrow"/>
    </font>
  </fonts>
  <fills count="2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00FF"/>
      </patternFill>
    </fill>
    <fill>
      <patternFill patternType="solid">
        <fgColor rgb="FFFFFF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FF"/>
      </patternFill>
    </fill>
    <fill>
      <patternFill patternType="solid">
        <fgColor rgb="FFADD8E6"/>
      </patternFill>
    </fill>
  </fills>
  <borders count="63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theme="0" tint="-0.24994659260841701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hair">
        <color theme="0" tint="-0.24994659260841701"/>
      </right>
      <top/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/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/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/>
      <right/>
      <top/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thin">
        <color auto="1"/>
      </right>
      <top style="thin">
        <color auto="1"/>
      </top>
      <bottom style="hair">
        <color theme="0" tint="-0.14996795556505021"/>
      </bottom>
      <diagonal/>
    </border>
    <border>
      <left style="thin">
        <color auto="1"/>
      </left>
      <right style="hair">
        <color theme="0" tint="-0.14996795556505021"/>
      </right>
      <top style="hair">
        <color theme="0" tint="-0.14996795556505021"/>
      </top>
      <bottom style="thin">
        <color auto="1"/>
      </bottom>
      <diagonal/>
    </border>
    <border>
      <left style="hair">
        <color theme="0" tint="-0.14996795556505021"/>
      </left>
      <right style="hair">
        <color theme="0" tint="-0.14996795556505021"/>
      </right>
      <top style="hair">
        <color theme="0" tint="-0.14996795556505021"/>
      </top>
      <bottom style="thin">
        <color auto="1"/>
      </bottom>
      <diagonal/>
    </border>
    <border>
      <left style="hair">
        <color theme="0" tint="-0.14996795556505021"/>
      </left>
      <right style="thin">
        <color auto="1"/>
      </right>
      <top style="hair">
        <color theme="0" tint="-0.1499679555650502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thin">
        <color auto="1"/>
      </right>
      <top/>
      <bottom style="hair">
        <color theme="0" tint="-0.1499679555650502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ck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ck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/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ck">
        <color auto="1"/>
      </top>
      <bottom style="thin">
        <color indexed="64"/>
      </bottom>
      <diagonal/>
    </border>
    <border>
      <left style="hair">
        <color theme="0" tint="-0.24994659260841701"/>
      </left>
      <right style="thick">
        <color auto="1"/>
      </right>
      <top style="thick">
        <color auto="1"/>
      </top>
      <bottom style="thin">
        <color indexed="64"/>
      </bottom>
      <diagonal/>
    </border>
    <border>
      <left/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n">
        <color indexed="64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thin">
        <color indexed="64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n">
        <color auto="1"/>
      </bottom>
      <diagonal/>
    </border>
  </borders>
  <cellStyleXfs count="2">
    <xf numFmtId="0" fontId="0" fillId="0" borderId="0"/>
    <xf numFmtId="0" fontId="4" fillId="0" borderId="0"/>
  </cellStyleXfs>
  <cellXfs count="164">
    <xf numFmtId="0" fontId="0" fillId="0" borderId="0" xfId="0"/>
    <xf numFmtId="164" fontId="1" fillId="2" borderId="0" xfId="1" applyNumberFormat="1" applyFont="1" applyFill="1" applyAlignment="1">
      <alignment horizontal="center" vertical="center"/>
    </xf>
    <xf numFmtId="0" fontId="5" fillId="3" borderId="1" xfId="1" applyFont="1" applyFill="1" applyBorder="1" applyAlignment="1">
      <alignment horizontal="centerContinuous"/>
    </xf>
    <xf numFmtId="0" fontId="5" fillId="3" borderId="2" xfId="1" applyFont="1" applyFill="1" applyBorder="1" applyAlignment="1">
      <alignment horizontal="centerContinuous"/>
    </xf>
    <xf numFmtId="0" fontId="5" fillId="3" borderId="0" xfId="1" applyFont="1" applyFill="1" applyAlignment="1">
      <alignment horizontal="centerContinuous"/>
    </xf>
    <xf numFmtId="0" fontId="5" fillId="3" borderId="3" xfId="1" applyFont="1" applyFill="1" applyBorder="1" applyAlignment="1">
      <alignment horizontal="centerContinuous"/>
    </xf>
    <xf numFmtId="0" fontId="4" fillId="0" borderId="0" xfId="1"/>
    <xf numFmtId="0" fontId="6" fillId="4" borderId="4" xfId="1" applyFont="1" applyFill="1" applyBorder="1"/>
    <xf numFmtId="0" fontId="4" fillId="4" borderId="0" xfId="1" applyFill="1"/>
    <xf numFmtId="41" fontId="7" fillId="4" borderId="5" xfId="1" applyNumberFormat="1" applyFont="1" applyFill="1" applyBorder="1" applyAlignment="1">
      <alignment horizontal="center" vertical="center"/>
    </xf>
    <xf numFmtId="0" fontId="4" fillId="0" borderId="6" xfId="1" applyBorder="1"/>
    <xf numFmtId="0" fontId="4" fillId="4" borderId="7" xfId="1" applyFill="1" applyBorder="1"/>
    <xf numFmtId="164" fontId="8" fillId="5" borderId="4" xfId="1" applyNumberFormat="1" applyFont="1" applyFill="1" applyBorder="1"/>
    <xf numFmtId="0" fontId="4" fillId="5" borderId="0" xfId="1" applyFill="1"/>
    <xf numFmtId="0" fontId="7" fillId="5" borderId="5" xfId="1" applyFont="1" applyFill="1" applyBorder="1" applyAlignment="1">
      <alignment horizontal="center" vertical="center"/>
    </xf>
    <xf numFmtId="0" fontId="4" fillId="5" borderId="7" xfId="1" applyFill="1" applyBorder="1"/>
    <xf numFmtId="0" fontId="4" fillId="0" borderId="4" xfId="1" applyBorder="1"/>
    <xf numFmtId="164" fontId="8" fillId="5" borderId="8" xfId="1" applyNumberFormat="1" applyFont="1" applyFill="1" applyBorder="1"/>
    <xf numFmtId="0" fontId="4" fillId="5" borderId="9" xfId="1" applyFill="1" applyBorder="1"/>
    <xf numFmtId="0" fontId="7" fillId="5" borderId="10" xfId="1" applyFont="1" applyFill="1" applyBorder="1" applyAlignment="1">
      <alignment horizontal="center" vertical="center"/>
    </xf>
    <xf numFmtId="0" fontId="4" fillId="0" borderId="11" xfId="1" applyBorder="1"/>
    <xf numFmtId="0" fontId="4" fillId="5" borderId="12" xfId="1" applyFill="1" applyBorder="1"/>
    <xf numFmtId="164" fontId="2" fillId="0" borderId="8" xfId="1" applyNumberFormat="1" applyFont="1" applyBorder="1"/>
    <xf numFmtId="0" fontId="4" fillId="0" borderId="12" xfId="1" applyBorder="1"/>
    <xf numFmtId="0" fontId="6" fillId="0" borderId="0" xfId="1" applyFont="1" applyAlignment="1">
      <alignment horizontal="center" vertical="center"/>
    </xf>
    <xf numFmtId="0" fontId="4" fillId="0" borderId="13" xfId="1" applyBorder="1" applyAlignment="1">
      <alignment horizontal="center" vertical="center"/>
    </xf>
    <xf numFmtId="0" fontId="4" fillId="0" borderId="14" xfId="1" applyBorder="1" applyAlignment="1">
      <alignment horizontal="center" vertical="center"/>
    </xf>
    <xf numFmtId="0" fontId="4" fillId="0" borderId="15" xfId="1" applyBorder="1" applyAlignment="1">
      <alignment horizontal="center" vertical="center"/>
    </xf>
    <xf numFmtId="0" fontId="4" fillId="0" borderId="16" xfId="1" applyBorder="1" applyAlignment="1">
      <alignment horizontal="center" vertical="center"/>
    </xf>
    <xf numFmtId="14" fontId="4" fillId="0" borderId="17" xfId="1" applyNumberFormat="1" applyBorder="1" applyAlignment="1">
      <alignment horizontal="center" vertical="center" wrapText="1"/>
    </xf>
    <xf numFmtId="14" fontId="4" fillId="0" borderId="18" xfId="1" applyNumberFormat="1" applyBorder="1" applyAlignment="1">
      <alignment horizontal="center" vertical="center" wrapText="1"/>
    </xf>
    <xf numFmtId="0" fontId="4" fillId="0" borderId="19" xfId="1" applyBorder="1" applyAlignment="1">
      <alignment horizontal="center" vertical="center" wrapText="1"/>
    </xf>
    <xf numFmtId="0" fontId="4" fillId="0" borderId="20" xfId="1" applyBorder="1" applyAlignment="1">
      <alignment horizontal="center" vertical="center" wrapText="1"/>
    </xf>
    <xf numFmtId="0" fontId="6" fillId="6" borderId="0" xfId="1" applyFont="1" applyFill="1" applyAlignment="1">
      <alignment horizontal="center" vertical="center"/>
    </xf>
    <xf numFmtId="1" fontId="4" fillId="6" borderId="17" xfId="1" applyNumberFormat="1" applyFill="1" applyBorder="1" applyAlignment="1">
      <alignment horizontal="center" vertical="center"/>
    </xf>
    <xf numFmtId="43" fontId="4" fillId="6" borderId="18" xfId="1" applyNumberFormat="1" applyFill="1" applyBorder="1" applyAlignment="1">
      <alignment horizontal="center" vertical="center"/>
    </xf>
    <xf numFmtId="43" fontId="4" fillId="6" borderId="19" xfId="1" applyNumberFormat="1" applyFill="1" applyBorder="1" applyAlignment="1">
      <alignment horizontal="center" vertical="center"/>
    </xf>
    <xf numFmtId="43" fontId="4" fillId="6" borderId="20" xfId="1" applyNumberFormat="1" applyFill="1" applyBorder="1" applyAlignment="1">
      <alignment horizontal="center" vertical="center"/>
    </xf>
    <xf numFmtId="43" fontId="4" fillId="7" borderId="18" xfId="1" applyNumberFormat="1" applyFill="1" applyBorder="1" applyAlignment="1">
      <alignment horizontal="center" vertical="center"/>
    </xf>
    <xf numFmtId="1" fontId="4" fillId="7" borderId="17" xfId="1" applyNumberFormat="1" applyFill="1" applyBorder="1" applyAlignment="1">
      <alignment horizontal="center" vertical="center"/>
    </xf>
    <xf numFmtId="43" fontId="4" fillId="7" borderId="21" xfId="1" applyNumberFormat="1" applyFill="1" applyBorder="1" applyAlignment="1">
      <alignment horizontal="center" vertical="center"/>
    </xf>
    <xf numFmtId="43" fontId="4" fillId="7" borderId="22" xfId="1" applyNumberFormat="1" applyFill="1" applyBorder="1" applyAlignment="1">
      <alignment horizontal="center" vertical="center"/>
    </xf>
    <xf numFmtId="43" fontId="4" fillId="7" borderId="23" xfId="1" applyNumberFormat="1" applyFill="1" applyBorder="1" applyAlignment="1">
      <alignment horizontal="center" vertical="center"/>
    </xf>
    <xf numFmtId="0" fontId="9" fillId="8" borderId="0" xfId="1" applyFont="1" applyFill="1" applyAlignment="1">
      <alignment horizontal="center" vertical="center"/>
    </xf>
    <xf numFmtId="43" fontId="3" fillId="8" borderId="24" xfId="1" applyNumberFormat="1" applyFont="1" applyFill="1" applyBorder="1" applyAlignment="1">
      <alignment horizontal="center" vertical="center"/>
    </xf>
    <xf numFmtId="43" fontId="3" fillId="8" borderId="25" xfId="1" applyNumberFormat="1" applyFont="1" applyFill="1" applyBorder="1" applyAlignment="1">
      <alignment horizontal="center" vertical="center"/>
    </xf>
    <xf numFmtId="43" fontId="3" fillId="8" borderId="26" xfId="1" applyNumberFormat="1" applyFont="1" applyFill="1" applyBorder="1" applyAlignment="1">
      <alignment horizontal="center" vertical="center"/>
    </xf>
    <xf numFmtId="17" fontId="4" fillId="0" borderId="0" xfId="1" applyNumberFormat="1" applyAlignment="1">
      <alignment horizontal="center" vertical="center"/>
    </xf>
    <xf numFmtId="1" fontId="4" fillId="0" borderId="17" xfId="1" applyNumberFormat="1" applyBorder="1" applyAlignment="1">
      <alignment horizontal="center" vertical="center"/>
    </xf>
    <xf numFmtId="43" fontId="4" fillId="0" borderId="18" xfId="1" applyNumberFormat="1" applyBorder="1" applyAlignment="1">
      <alignment horizontal="center" vertical="center"/>
    </xf>
    <xf numFmtId="43" fontId="4" fillId="0" borderId="20" xfId="1" applyNumberFormat="1" applyBorder="1" applyAlignment="1">
      <alignment horizontal="center" vertical="center"/>
    </xf>
    <xf numFmtId="43" fontId="4" fillId="7" borderId="27" xfId="1" applyNumberFormat="1" applyFill="1" applyBorder="1" applyAlignment="1">
      <alignment horizontal="center" vertical="center"/>
    </xf>
    <xf numFmtId="1" fontId="4" fillId="7" borderId="28" xfId="1" applyNumberFormat="1" applyFill="1" applyBorder="1" applyAlignment="1">
      <alignment horizontal="center" vertical="center"/>
    </xf>
    <xf numFmtId="43" fontId="4" fillId="0" borderId="29" xfId="1" applyNumberFormat="1" applyBorder="1" applyAlignment="1">
      <alignment horizontal="center" vertical="center"/>
    </xf>
    <xf numFmtId="43" fontId="4" fillId="7" borderId="29" xfId="1" applyNumberFormat="1" applyFill="1" applyBorder="1" applyAlignment="1">
      <alignment horizontal="center" vertical="center"/>
    </xf>
    <xf numFmtId="43" fontId="4" fillId="7" borderId="30" xfId="1" applyNumberFormat="1" applyFill="1" applyBorder="1" applyAlignment="1">
      <alignment horizontal="center" vertical="center"/>
    </xf>
    <xf numFmtId="1" fontId="4" fillId="0" borderId="28" xfId="1" applyNumberFormat="1" applyBorder="1" applyAlignment="1">
      <alignment horizontal="center" vertical="center"/>
    </xf>
    <xf numFmtId="0" fontId="10" fillId="0" borderId="0" xfId="1" applyFont="1"/>
    <xf numFmtId="0" fontId="4" fillId="0" borderId="0" xfId="1" applyAlignment="1">
      <alignment horizontal="center" vertical="center"/>
    </xf>
    <xf numFmtId="0" fontId="11" fillId="0" borderId="0" xfId="1" applyFont="1" applyAlignment="1">
      <alignment horizontal="center"/>
    </xf>
    <xf numFmtId="0" fontId="11" fillId="0" borderId="0" xfId="1" applyFont="1" applyAlignment="1">
      <alignment horizontal="center" wrapText="1"/>
    </xf>
    <xf numFmtId="0" fontId="4" fillId="0" borderId="31" xfId="1" applyBorder="1" applyAlignment="1">
      <alignment horizontal="center" vertical="center"/>
    </xf>
    <xf numFmtId="0" fontId="3" fillId="3" borderId="31" xfId="1" applyFont="1" applyFill="1" applyBorder="1" applyAlignment="1">
      <alignment horizontal="center" vertical="center" wrapText="1"/>
    </xf>
    <xf numFmtId="0" fontId="4" fillId="9" borderId="31" xfId="1" applyFill="1" applyBorder="1" applyAlignment="1">
      <alignment horizontal="center" vertical="center" wrapText="1"/>
    </xf>
    <xf numFmtId="0" fontId="12" fillId="9" borderId="31" xfId="1" applyFont="1" applyFill="1" applyBorder="1" applyAlignment="1">
      <alignment horizontal="center" vertical="center" wrapText="1"/>
    </xf>
    <xf numFmtId="0" fontId="4" fillId="0" borderId="31" xfId="1" applyBorder="1" applyAlignment="1">
      <alignment horizontal="center" vertical="center" wrapText="1"/>
    </xf>
    <xf numFmtId="0" fontId="4" fillId="0" borderId="32" xfId="1" applyBorder="1" applyAlignment="1">
      <alignment horizontal="center" vertical="center"/>
    </xf>
    <xf numFmtId="0" fontId="4" fillId="0" borderId="33" xfId="1" applyBorder="1" applyAlignment="1">
      <alignment horizontal="center" vertical="center"/>
    </xf>
    <xf numFmtId="41" fontId="4" fillId="0" borderId="33" xfId="1" applyNumberFormat="1" applyBorder="1" applyAlignment="1">
      <alignment horizontal="center" vertical="center"/>
    </xf>
    <xf numFmtId="0" fontId="4" fillId="0" borderId="35" xfId="1" applyBorder="1" applyAlignment="1">
      <alignment horizontal="center" vertical="center"/>
    </xf>
    <xf numFmtId="0" fontId="4" fillId="0" borderId="36" xfId="1" applyBorder="1" applyAlignment="1">
      <alignment horizontal="center" vertical="center"/>
    </xf>
    <xf numFmtId="0" fontId="4" fillId="0" borderId="38" xfId="1" applyBorder="1" applyAlignment="1">
      <alignment horizontal="center" vertical="center"/>
    </xf>
    <xf numFmtId="0" fontId="4" fillId="0" borderId="39" xfId="1" applyBorder="1" applyAlignment="1">
      <alignment horizontal="center" vertical="center"/>
    </xf>
    <xf numFmtId="41" fontId="4" fillId="0" borderId="39" xfId="1" applyNumberFormat="1" applyBorder="1" applyAlignment="1">
      <alignment horizontal="center" vertical="center"/>
    </xf>
    <xf numFmtId="41" fontId="4" fillId="7" borderId="39" xfId="1" applyNumberFormat="1" applyFill="1" applyBorder="1" applyAlignment="1">
      <alignment horizontal="center" vertical="center"/>
    </xf>
    <xf numFmtId="0" fontId="4" fillId="7" borderId="14" xfId="1" applyFill="1" applyBorder="1" applyAlignment="1">
      <alignment horizontal="center" vertical="center"/>
    </xf>
    <xf numFmtId="0" fontId="7" fillId="0" borderId="31" xfId="1" applyFont="1" applyBorder="1" applyAlignment="1">
      <alignment horizontal="center" vertical="center"/>
    </xf>
    <xf numFmtId="0" fontId="4" fillId="6" borderId="31" xfId="1" applyFill="1" applyBorder="1" applyAlignment="1">
      <alignment horizontal="center" vertical="center"/>
    </xf>
    <xf numFmtId="0" fontId="7" fillId="6" borderId="31" xfId="1" applyFont="1" applyFill="1" applyBorder="1" applyAlignment="1">
      <alignment horizontal="center" vertical="center"/>
    </xf>
    <xf numFmtId="0" fontId="7" fillId="7" borderId="31" xfId="1" applyFont="1" applyFill="1" applyBorder="1" applyAlignment="1">
      <alignment horizontal="center" vertical="center" wrapText="1"/>
    </xf>
    <xf numFmtId="0" fontId="7" fillId="10" borderId="31" xfId="1" applyFont="1" applyFill="1" applyBorder="1" applyAlignment="1">
      <alignment horizontal="center" vertical="center" wrapText="1"/>
    </xf>
    <xf numFmtId="41" fontId="4" fillId="10" borderId="39" xfId="1" applyNumberFormat="1" applyFill="1" applyBorder="1" applyAlignment="1">
      <alignment horizontal="center" vertical="center"/>
    </xf>
    <xf numFmtId="41" fontId="4" fillId="10" borderId="33" xfId="1" applyNumberFormat="1" applyFill="1" applyBorder="1" applyAlignment="1">
      <alignment horizontal="center" vertical="center"/>
    </xf>
    <xf numFmtId="1" fontId="4" fillId="10" borderId="33" xfId="1" applyNumberFormat="1" applyFill="1" applyBorder="1" applyAlignment="1">
      <alignment horizontal="center" vertical="center"/>
    </xf>
    <xf numFmtId="41" fontId="4" fillId="13" borderId="34" xfId="1" applyNumberFormat="1" applyFill="1" applyBorder="1" applyAlignment="1">
      <alignment horizontal="center" vertical="center"/>
    </xf>
    <xf numFmtId="41" fontId="4" fillId="13" borderId="40" xfId="1" applyNumberFormat="1" applyFill="1" applyBorder="1" applyAlignment="1">
      <alignment horizontal="center" vertical="center"/>
    </xf>
    <xf numFmtId="0" fontId="2" fillId="0" borderId="0" xfId="0" applyFont="1"/>
    <xf numFmtId="0" fontId="14" fillId="0" borderId="0" xfId="1" applyFont="1"/>
    <xf numFmtId="0" fontId="15" fillId="14" borderId="45" xfId="0" applyFont="1" applyFill="1" applyBorder="1" applyAlignment="1">
      <alignment horizontal="center" vertical="center"/>
    </xf>
    <xf numFmtId="0" fontId="16" fillId="15" borderId="45" xfId="0" applyFont="1" applyFill="1" applyBorder="1" applyAlignment="1">
      <alignment horizontal="center" vertical="center"/>
    </xf>
    <xf numFmtId="41" fontId="4" fillId="13" borderId="36" xfId="1" applyNumberFormat="1" applyFill="1" applyBorder="1" applyAlignment="1">
      <alignment horizontal="center" vertical="center"/>
    </xf>
    <xf numFmtId="1" fontId="4" fillId="13" borderId="36" xfId="1" applyNumberFormat="1" applyFill="1" applyBorder="1" applyAlignment="1">
      <alignment horizontal="center" vertical="center"/>
    </xf>
    <xf numFmtId="0" fontId="4" fillId="0" borderId="20" xfId="1" applyBorder="1" applyAlignment="1">
      <alignment horizontal="center" vertical="center"/>
    </xf>
    <xf numFmtId="0" fontId="4" fillId="0" borderId="43" xfId="1" applyBorder="1" applyAlignment="1">
      <alignment horizontal="center" vertical="center"/>
    </xf>
    <xf numFmtId="0" fontId="4" fillId="0" borderId="27" xfId="1" applyBorder="1" applyAlignment="1">
      <alignment horizontal="center" vertical="center"/>
    </xf>
    <xf numFmtId="0" fontId="4" fillId="0" borderId="17" xfId="1" applyBorder="1" applyAlignment="1">
      <alignment horizontal="center" vertical="center"/>
    </xf>
    <xf numFmtId="0" fontId="4" fillId="0" borderId="18" xfId="1" applyBorder="1" applyAlignment="1">
      <alignment horizontal="center" vertical="center"/>
    </xf>
    <xf numFmtId="0" fontId="4" fillId="0" borderId="28" xfId="1" applyBorder="1" applyAlignment="1">
      <alignment horizontal="center" vertical="center"/>
    </xf>
    <xf numFmtId="0" fontId="4" fillId="0" borderId="29" xfId="1" applyBorder="1" applyAlignment="1">
      <alignment horizontal="center" vertical="center"/>
    </xf>
    <xf numFmtId="0" fontId="4" fillId="2" borderId="29" xfId="1" applyFill="1" applyBorder="1" applyAlignment="1">
      <alignment horizontal="center" vertical="center"/>
    </xf>
    <xf numFmtId="0" fontId="4" fillId="2" borderId="44" xfId="1" applyFill="1" applyBorder="1" applyAlignment="1">
      <alignment horizontal="center" vertical="center"/>
    </xf>
    <xf numFmtId="0" fontId="4" fillId="2" borderId="30" xfId="1" applyFill="1" applyBorder="1" applyAlignment="1">
      <alignment horizontal="center" vertical="center"/>
    </xf>
    <xf numFmtId="0" fontId="4" fillId="0" borderId="41" xfId="1" applyBorder="1" applyAlignment="1">
      <alignment horizontal="center" vertical="center"/>
    </xf>
    <xf numFmtId="0" fontId="4" fillId="2" borderId="42" xfId="1" applyFill="1" applyBorder="1" applyAlignment="1">
      <alignment horizontal="center" vertical="center"/>
    </xf>
    <xf numFmtId="0" fontId="7" fillId="0" borderId="52" xfId="1" applyFont="1" applyBorder="1" applyAlignment="1">
      <alignment horizontal="center" vertical="center" wrapText="1"/>
    </xf>
    <xf numFmtId="0" fontId="7" fillId="0" borderId="53" xfId="1" applyFont="1" applyBorder="1" applyAlignment="1">
      <alignment horizontal="center" vertical="center" wrapText="1"/>
    </xf>
    <xf numFmtId="0" fontId="7" fillId="18" borderId="53" xfId="1" applyFont="1" applyFill="1" applyBorder="1" applyAlignment="1">
      <alignment horizontal="center" vertical="center" wrapText="1"/>
    </xf>
    <xf numFmtId="0" fontId="7" fillId="0" borderId="55" xfId="1" applyFont="1" applyBorder="1" applyAlignment="1">
      <alignment horizontal="center" vertical="center" wrapText="1"/>
    </xf>
    <xf numFmtId="0" fontId="7" fillId="0" borderId="56" xfId="1" applyFont="1" applyBorder="1" applyAlignment="1">
      <alignment horizontal="center" vertical="center" wrapText="1"/>
    </xf>
    <xf numFmtId="0" fontId="7" fillId="18" borderId="57" xfId="1" applyFont="1" applyFill="1" applyBorder="1" applyAlignment="1">
      <alignment horizontal="center" vertical="center" wrapText="1"/>
    </xf>
    <xf numFmtId="0" fontId="7" fillId="17" borderId="53" xfId="1" applyFont="1" applyFill="1" applyBorder="1" applyAlignment="1">
      <alignment horizontal="center" vertical="center" wrapText="1"/>
    </xf>
    <xf numFmtId="0" fontId="7" fillId="17" borderId="58" xfId="1" applyFont="1" applyFill="1" applyBorder="1" applyAlignment="1">
      <alignment horizontal="center" vertical="center" wrapText="1"/>
    </xf>
    <xf numFmtId="0" fontId="4" fillId="0" borderId="47" xfId="1" applyBorder="1" applyAlignment="1">
      <alignment horizontal="center" vertical="center"/>
    </xf>
    <xf numFmtId="0" fontId="4" fillId="0" borderId="59" xfId="1" applyBorder="1" applyAlignment="1">
      <alignment horizontal="center" vertical="center"/>
    </xf>
    <xf numFmtId="0" fontId="4" fillId="0" borderId="60" xfId="1" applyBorder="1" applyAlignment="1">
      <alignment horizontal="center" vertical="center"/>
    </xf>
    <xf numFmtId="0" fontId="4" fillId="0" borderId="48" xfId="1" applyBorder="1" applyAlignment="1">
      <alignment horizontal="center" vertical="center"/>
    </xf>
    <xf numFmtId="0" fontId="4" fillId="0" borderId="49" xfId="1" applyBorder="1" applyAlignment="1">
      <alignment horizontal="center" vertical="center"/>
    </xf>
    <xf numFmtId="0" fontId="4" fillId="0" borderId="61" xfId="1" applyBorder="1" applyAlignment="1">
      <alignment horizontal="center" vertical="center"/>
    </xf>
    <xf numFmtId="0" fontId="4" fillId="0" borderId="62" xfId="1" applyBorder="1" applyAlignment="1">
      <alignment horizontal="center" vertical="center"/>
    </xf>
    <xf numFmtId="0" fontId="4" fillId="0" borderId="50" xfId="1" applyBorder="1" applyAlignment="1">
      <alignment horizontal="center" vertical="center"/>
    </xf>
    <xf numFmtId="0" fontId="4" fillId="0" borderId="51" xfId="1" applyBorder="1" applyAlignment="1">
      <alignment horizontal="center" vertical="center"/>
    </xf>
    <xf numFmtId="0" fontId="1" fillId="19" borderId="53" xfId="1" applyFont="1" applyFill="1" applyBorder="1" applyAlignment="1">
      <alignment horizontal="center" vertical="center" wrapText="1"/>
    </xf>
    <xf numFmtId="0" fontId="7" fillId="7" borderId="53" xfId="1" applyFont="1" applyFill="1" applyBorder="1" applyAlignment="1">
      <alignment horizontal="center" vertical="center" wrapText="1"/>
    </xf>
    <xf numFmtId="0" fontId="7" fillId="16" borderId="53" xfId="1" applyFont="1" applyFill="1" applyBorder="1" applyAlignment="1">
      <alignment horizontal="center" vertical="center" wrapText="1"/>
    </xf>
    <xf numFmtId="0" fontId="7" fillId="10" borderId="54" xfId="1" applyFont="1" applyFill="1" applyBorder="1" applyAlignment="1">
      <alignment horizontal="center" vertical="center" wrapText="1"/>
    </xf>
    <xf numFmtId="0" fontId="13" fillId="0" borderId="0" xfId="1" applyFont="1" applyAlignment="1">
      <alignment vertical="center"/>
    </xf>
    <xf numFmtId="0" fontId="4" fillId="0" borderId="0" xfId="1" applyAlignment="1">
      <alignment vertical="center"/>
    </xf>
    <xf numFmtId="0" fontId="1" fillId="12" borderId="46" xfId="1" applyFont="1" applyFill="1" applyBorder="1" applyAlignment="1">
      <alignment horizontal="centerContinuous" vertical="center"/>
    </xf>
    <xf numFmtId="0" fontId="3" fillId="12" borderId="46" xfId="1" applyFont="1" applyFill="1" applyBorder="1" applyAlignment="1">
      <alignment horizontal="centerContinuous" vertical="center"/>
    </xf>
    <xf numFmtId="0" fontId="1" fillId="2" borderId="46" xfId="1" applyFont="1" applyFill="1" applyBorder="1" applyAlignment="1">
      <alignment horizontal="centerContinuous" vertical="center"/>
    </xf>
    <xf numFmtId="0" fontId="3" fillId="2" borderId="46" xfId="1" applyFont="1" applyFill="1" applyBorder="1" applyAlignment="1">
      <alignment horizontal="centerContinuous" vertical="center"/>
    </xf>
    <xf numFmtId="0" fontId="4" fillId="2" borderId="0" xfId="1" applyFill="1" applyAlignment="1">
      <alignment horizontal="centerContinuous" vertical="center"/>
    </xf>
    <xf numFmtId="0" fontId="4" fillId="13" borderId="18" xfId="1" applyFill="1" applyBorder="1" applyAlignment="1">
      <alignment horizontal="center" vertical="center"/>
    </xf>
    <xf numFmtId="0" fontId="4" fillId="13" borderId="27" xfId="1" applyFill="1" applyBorder="1" applyAlignment="1">
      <alignment horizontal="center" vertical="center"/>
    </xf>
    <xf numFmtId="0" fontId="4" fillId="13" borderId="41" xfId="1" applyFill="1" applyBorder="1" applyAlignment="1">
      <alignment horizontal="center" vertical="center"/>
    </xf>
    <xf numFmtId="0" fontId="4" fillId="13" borderId="20" xfId="1" applyFill="1" applyBorder="1" applyAlignment="1">
      <alignment horizontal="center" vertical="center"/>
    </xf>
    <xf numFmtId="0" fontId="1" fillId="19" borderId="31" xfId="1" applyFont="1" applyFill="1" applyBorder="1" applyAlignment="1">
      <alignment horizontal="center" vertical="center" wrapText="1"/>
    </xf>
    <xf numFmtId="0" fontId="7" fillId="16" borderId="31" xfId="1" applyFont="1" applyFill="1" applyBorder="1" applyAlignment="1">
      <alignment horizontal="center" vertical="center" wrapText="1"/>
    </xf>
    <xf numFmtId="0" fontId="4" fillId="7" borderId="18" xfId="1" applyFill="1" applyBorder="1" applyAlignment="1">
      <alignment horizontal="center" vertical="center"/>
    </xf>
    <xf numFmtId="0" fontId="4" fillId="7" borderId="20" xfId="1" applyFill="1" applyBorder="1" applyAlignment="1">
      <alignment horizontal="center" vertical="center"/>
    </xf>
    <xf numFmtId="43" fontId="4" fillId="7" borderId="20" xfId="1" applyNumberFormat="1" applyFill="1" applyBorder="1" applyAlignment="1">
      <alignment horizontal="center" vertical="center"/>
    </xf>
    <xf numFmtId="43" fontId="4" fillId="7" borderId="44" xfId="1" applyNumberFormat="1" applyFill="1" applyBorder="1" applyAlignment="1">
      <alignment horizontal="center" vertical="center"/>
    </xf>
    <xf numFmtId="1" fontId="4" fillId="13" borderId="17" xfId="1" applyNumberFormat="1" applyFill="1" applyBorder="1" applyAlignment="1">
      <alignment horizontal="center" vertical="center"/>
    </xf>
    <xf numFmtId="43" fontId="4" fillId="13" borderId="18" xfId="1" applyNumberFormat="1" applyFill="1" applyBorder="1" applyAlignment="1">
      <alignment horizontal="center" vertical="center"/>
    </xf>
    <xf numFmtId="43" fontId="4" fillId="13" borderId="20" xfId="1" applyNumberFormat="1" applyFill="1" applyBorder="1" applyAlignment="1">
      <alignment horizontal="center" vertical="center"/>
    </xf>
    <xf numFmtId="43" fontId="4" fillId="13" borderId="27" xfId="1" applyNumberFormat="1" applyFill="1" applyBorder="1" applyAlignment="1">
      <alignment horizontal="center" vertical="center"/>
    </xf>
    <xf numFmtId="1" fontId="4" fillId="13" borderId="28" xfId="1" applyNumberFormat="1" applyFill="1" applyBorder="1" applyAlignment="1">
      <alignment horizontal="center" vertical="center"/>
    </xf>
    <xf numFmtId="43" fontId="4" fillId="13" borderId="29" xfId="1" applyNumberFormat="1" applyFill="1" applyBorder="1" applyAlignment="1">
      <alignment horizontal="center" vertical="center"/>
    </xf>
    <xf numFmtId="43" fontId="4" fillId="13" borderId="30" xfId="1" applyNumberFormat="1" applyFill="1" applyBorder="1" applyAlignment="1">
      <alignment horizontal="center" vertical="center"/>
    </xf>
    <xf numFmtId="43" fontId="4" fillId="13" borderId="44" xfId="1" applyNumberFormat="1" applyFill="1" applyBorder="1" applyAlignment="1">
      <alignment horizontal="center" vertical="center"/>
    </xf>
    <xf numFmtId="43" fontId="4" fillId="6" borderId="21" xfId="1" applyNumberFormat="1" applyFill="1" applyBorder="1" applyAlignment="1">
      <alignment horizontal="center" vertical="center"/>
    </xf>
    <xf numFmtId="43" fontId="4" fillId="6" borderId="22" xfId="1" applyNumberFormat="1" applyFill="1" applyBorder="1" applyAlignment="1">
      <alignment horizontal="center" vertical="center"/>
    </xf>
    <xf numFmtId="43" fontId="4" fillId="6" borderId="23" xfId="1" applyNumberFormat="1" applyFill="1" applyBorder="1" applyAlignment="1">
      <alignment horizontal="center" vertical="center"/>
    </xf>
    <xf numFmtId="41" fontId="7" fillId="13" borderId="5" xfId="1" applyNumberFormat="1" applyFont="1" applyFill="1" applyBorder="1" applyAlignment="1">
      <alignment horizontal="center" vertical="center"/>
    </xf>
    <xf numFmtId="0" fontId="7" fillId="13" borderId="5" xfId="1" applyFont="1" applyFill="1" applyBorder="1" applyAlignment="1">
      <alignment horizontal="center" vertical="center"/>
    </xf>
    <xf numFmtId="41" fontId="7" fillId="11" borderId="5" xfId="1" applyNumberFormat="1" applyFont="1" applyFill="1" applyBorder="1" applyAlignment="1">
      <alignment horizontal="center" vertical="center"/>
    </xf>
    <xf numFmtId="0" fontId="7" fillId="11" borderId="10" xfId="1" applyFont="1" applyFill="1" applyBorder="1" applyAlignment="1">
      <alignment horizontal="center" vertical="center"/>
    </xf>
    <xf numFmtId="41" fontId="4" fillId="11" borderId="36" xfId="1" applyNumberFormat="1" applyFill="1" applyBorder="1" applyAlignment="1">
      <alignment horizontal="center" vertical="center"/>
    </xf>
    <xf numFmtId="41" fontId="4" fillId="0" borderId="36" xfId="1" applyNumberFormat="1" applyBorder="1" applyAlignment="1">
      <alignment horizontal="center" vertical="center"/>
    </xf>
    <xf numFmtId="41" fontId="4" fillId="0" borderId="37" xfId="1" applyNumberFormat="1" applyBorder="1" applyAlignment="1">
      <alignment horizontal="center" vertical="center"/>
    </xf>
    <xf numFmtId="0" fontId="17" fillId="14" borderId="45" xfId="0" applyFont="1" applyFill="1" applyBorder="1" applyAlignment="1">
      <alignment horizontal="center" vertical="center"/>
    </xf>
    <xf numFmtId="0" fontId="18" fillId="20" borderId="45" xfId="0" applyFont="1" applyFill="1" applyBorder="1" applyAlignment="1">
      <alignment horizontal="center" vertical="center"/>
    </xf>
    <xf numFmtId="0" fontId="18" fillId="21" borderId="45" xfId="0" applyFont="1" applyFill="1" applyBorder="1" applyAlignment="1">
      <alignment horizontal="center" vertical="center"/>
    </xf>
    <xf numFmtId="0" fontId="18" fillId="15" borderId="45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939B727E-EA1D-42DC-9C68-5A1B244A46B7}"/>
  </cellStyles>
  <dxfs count="155"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AMP - Pró soluto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2"/>
          <c:order val="12"/>
          <c:tx>
            <c:v>Pró soluto AMP Atual</c:v>
          </c:tx>
          <c:spPr>
            <a:ln w="28575" cap="rnd">
              <a:solidFill>
                <a:srgbClr val="FF000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252528.24</c:v>
              </c:pt>
              <c:pt idx="20">
                <c:v>4342.5</c:v>
              </c:pt>
              <c:pt idx="21">
                <c:v>249066.31</c:v>
              </c:pt>
              <c:pt idx="22">
                <c:v>54720.17</c:v>
              </c:pt>
              <c:pt idx="23">
                <c:v>42121.710000000006</c:v>
              </c:pt>
              <c:pt idx="24">
                <c:v>134549.29999999999</c:v>
              </c:pt>
              <c:pt idx="25">
                <c:v>90998.489999999991</c:v>
              </c:pt>
              <c:pt idx="26">
                <c:v>79131.87999999999</c:v>
              </c:pt>
              <c:pt idx="27">
                <c:v>250221.95999999996</c:v>
              </c:pt>
              <c:pt idx="28">
                <c:v>288782.82000000012</c:v>
              </c:pt>
              <c:pt idx="29">
                <c:v>85078.89</c:v>
              </c:pt>
              <c:pt idx="30">
                <c:v>356149.13999999996</c:v>
              </c:pt>
              <c:pt idx="31">
                <c:v>594301.00999999978</c:v>
              </c:pt>
              <c:pt idx="32">
                <c:v>498416.82999999978</c:v>
              </c:pt>
              <c:pt idx="33">
                <c:v>172276.96</c:v>
              </c:pt>
              <c:pt idx="34">
                <c:v>361693.89000000007</c:v>
              </c:pt>
              <c:pt idx="35">
                <c:v>184142.74</c:v>
              </c:pt>
              <c:pt idx="36">
                <c:v>393264.03999999992</c:v>
              </c:pt>
              <c:pt idx="37">
                <c:v>322109.47999999992</c:v>
              </c:pt>
              <c:pt idx="38">
                <c:v>198353.57</c:v>
              </c:pt>
              <c:pt idx="39">
                <c:v>425551.34</c:v>
              </c:pt>
              <c:pt idx="40">
                <c:v>154764.90999999997</c:v>
              </c:pt>
              <c:pt idx="41">
                <c:v>154873.91000000003</c:v>
              </c:pt>
              <c:pt idx="42">
                <c:v>161197.07999999999</c:v>
              </c:pt>
              <c:pt idx="43">
                <c:v>141631.15000000002</c:v>
              </c:pt>
              <c:pt idx="44">
                <c:v>134552.06000000003</c:v>
              </c:pt>
              <c:pt idx="45">
                <c:v>196651.56999999998</c:v>
              </c:pt>
              <c:pt idx="46">
                <c:v>190600.24000000005</c:v>
              </c:pt>
              <c:pt idx="47">
                <c:v>149201.56</c:v>
              </c:pt>
              <c:pt idx="48">
                <c:v>158391.41999999995</c:v>
              </c:pt>
              <c:pt idx="49">
                <c:v>139780.80000000002</c:v>
              </c:pt>
              <c:pt idx="50">
                <c:v>170268.3</c:v>
              </c:pt>
              <c:pt idx="51">
                <c:v>432368.77</c:v>
              </c:pt>
              <c:pt idx="52">
                <c:v>459674.18999999994</c:v>
              </c:pt>
              <c:pt idx="53">
                <c:v>128928.34999999999</c:v>
              </c:pt>
              <c:pt idx="54">
                <c:v>21389.58</c:v>
              </c:pt>
              <c:pt idx="55">
                <c:v>29190.389999999996</c:v>
              </c:pt>
              <c:pt idx="56">
                <c:v>9508.260000000002</c:v>
              </c:pt>
              <c:pt idx="57">
                <c:v>11192.27</c:v>
              </c:pt>
              <c:pt idx="58">
                <c:v>18436.300000000003</c:v>
              </c:pt>
              <c:pt idx="59">
                <c:v>8629.0300000000007</c:v>
              </c:pt>
              <c:pt idx="60">
                <c:v>9031.36</c:v>
              </c:pt>
              <c:pt idx="61">
                <c:v>14256.319999999998</c:v>
              </c:pt>
              <c:pt idx="62">
                <c:v>5457.61</c:v>
              </c:pt>
              <c:pt idx="63">
                <c:v>5344.1999999999989</c:v>
              </c:pt>
              <c:pt idx="64">
                <c:v>5231.7799999999988</c:v>
              </c:pt>
              <c:pt idx="65">
                <c:v>4972.9999999999991</c:v>
              </c:pt>
              <c:pt idx="66">
                <c:v>5110.1599999999989</c:v>
              </c:pt>
              <c:pt idx="67">
                <c:v>4447.1099999999997</c:v>
              </c:pt>
              <c:pt idx="68">
                <c:v>5286.9</c:v>
              </c:pt>
              <c:pt idx="69">
                <c:v>4669.1899999999996</c:v>
              </c:pt>
              <c:pt idx="70">
                <c:v>10475.719999999999</c:v>
              </c:pt>
              <c:pt idx="71">
                <c:v>4243.46</c:v>
              </c:pt>
              <c:pt idx="72">
                <c:v>4756.3899999999994</c:v>
              </c:pt>
              <c:pt idx="73">
                <c:v>4003.0699999999997</c:v>
              </c:pt>
              <c:pt idx="74">
                <c:v>4110.2999999999993</c:v>
              </c:pt>
              <c:pt idx="75">
                <c:v>4003.0699999999997</c:v>
              </c:pt>
              <c:pt idx="76">
                <c:v>4003.0699999999997</c:v>
              </c:pt>
              <c:pt idx="77">
                <c:v>4003.0699999999997</c:v>
              </c:pt>
              <c:pt idx="78">
                <c:v>4108.0199999999995</c:v>
              </c:pt>
              <c:pt idx="79">
                <c:v>4003.0699999999997</c:v>
              </c:pt>
              <c:pt idx="80">
                <c:v>4346.49</c:v>
              </c:pt>
              <c:pt idx="81">
                <c:v>4003.0699999999997</c:v>
              </c:pt>
              <c:pt idx="82">
                <c:v>4003.0699999999997</c:v>
              </c:pt>
              <c:pt idx="83">
                <c:v>4003.0699999999997</c:v>
              </c:pt>
              <c:pt idx="84">
                <c:v>4003.0699999999997</c:v>
              </c:pt>
              <c:pt idx="85">
                <c:v>4003.0699999999997</c:v>
              </c:pt>
              <c:pt idx="86">
                <c:v>3861.13</c:v>
              </c:pt>
              <c:pt idx="87">
                <c:v>4003.0699999999997</c:v>
              </c:pt>
              <c:pt idx="88">
                <c:v>4002.7799999999997</c:v>
              </c:pt>
              <c:pt idx="89">
                <c:v>991.15</c:v>
              </c:pt>
              <c:pt idx="90">
                <c:v>991.16000000000008</c:v>
              </c:pt>
              <c:pt idx="91">
                <c:v>565.12</c:v>
              </c:pt>
              <c:pt idx="92">
                <c:v>565.12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53D0-44ED-B04F-35FA399E840D}"/>
            </c:ext>
          </c:extLst>
        </c:ser>
        <c:ser>
          <c:idx val="30"/>
          <c:order val="30"/>
          <c:tx>
            <c:v>Pró soluto AMP Viabilidade</c:v>
          </c:tx>
          <c:spPr>
            <a:ln w="28575" cap="rnd">
              <a:solidFill>
                <a:srgbClr val="00B0F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183581</c:v>
              </c:pt>
              <c:pt idx="20">
                <c:v>380790</c:v>
              </c:pt>
              <c:pt idx="21">
                <c:v>311976</c:v>
              </c:pt>
              <c:pt idx="22">
                <c:v>125820</c:v>
              </c:pt>
              <c:pt idx="23">
                <c:v>166136</c:v>
              </c:pt>
              <c:pt idx="24">
                <c:v>145860</c:v>
              </c:pt>
              <c:pt idx="25">
                <c:v>112684</c:v>
              </c:pt>
              <c:pt idx="26">
                <c:v>112249</c:v>
              </c:pt>
              <c:pt idx="27">
                <c:v>290104</c:v>
              </c:pt>
              <c:pt idx="28">
                <c:v>94867</c:v>
              </c:pt>
              <c:pt idx="29">
                <c:v>105845</c:v>
              </c:pt>
              <c:pt idx="30">
                <c:v>960615</c:v>
              </c:pt>
              <c:pt idx="31">
                <c:v>149670</c:v>
              </c:pt>
              <c:pt idx="32">
                <c:v>118931</c:v>
              </c:pt>
              <c:pt idx="33">
                <c:v>219904</c:v>
              </c:pt>
              <c:pt idx="34">
                <c:v>310109</c:v>
              </c:pt>
              <c:pt idx="35">
                <c:v>196520</c:v>
              </c:pt>
              <c:pt idx="36">
                <c:v>463625</c:v>
              </c:pt>
              <c:pt idx="37">
                <c:v>333633</c:v>
              </c:pt>
              <c:pt idx="38">
                <c:v>208112</c:v>
              </c:pt>
              <c:pt idx="39">
                <c:v>550245</c:v>
              </c:pt>
              <c:pt idx="40">
                <c:v>167192</c:v>
              </c:pt>
              <c:pt idx="41">
                <c:v>188240</c:v>
              </c:pt>
              <c:pt idx="42">
                <c:v>172175</c:v>
              </c:pt>
              <c:pt idx="43">
                <c:v>154639</c:v>
              </c:pt>
              <c:pt idx="44">
                <c:v>156214</c:v>
              </c:pt>
              <c:pt idx="45">
                <c:v>199487</c:v>
              </c:pt>
              <c:pt idx="46">
                <c:v>194649</c:v>
              </c:pt>
              <c:pt idx="47">
                <c:v>152154</c:v>
              </c:pt>
              <c:pt idx="48">
                <c:v>88332</c:v>
              </c:pt>
              <c:pt idx="49">
                <c:v>164093</c:v>
              </c:pt>
              <c:pt idx="50">
                <c:v>169404</c:v>
              </c:pt>
              <c:pt idx="51">
                <c:v>430167</c:v>
              </c:pt>
              <c:pt idx="52">
                <c:v>457364</c:v>
              </c:pt>
              <c:pt idx="53">
                <c:v>128264</c:v>
              </c:pt>
              <c:pt idx="54">
                <c:v>21282</c:v>
              </c:pt>
              <c:pt idx="55">
                <c:v>29042</c:v>
              </c:pt>
              <c:pt idx="56">
                <c:v>9576</c:v>
              </c:pt>
              <c:pt idx="57">
                <c:v>11137</c:v>
              </c:pt>
              <c:pt idx="58">
                <c:v>18344</c:v>
              </c:pt>
              <c:pt idx="59">
                <c:v>8588</c:v>
              </c:pt>
              <c:pt idx="60">
                <c:v>8987</c:v>
              </c:pt>
              <c:pt idx="61">
                <c:v>14185</c:v>
              </c:pt>
              <c:pt idx="62">
                <c:v>5432</c:v>
              </c:pt>
              <c:pt idx="63">
                <c:v>5319</c:v>
              </c:pt>
              <c:pt idx="64">
                <c:v>5207</c:v>
              </c:pt>
              <c:pt idx="65">
                <c:v>4949</c:v>
              </c:pt>
              <c:pt idx="66">
                <c:v>5085</c:v>
              </c:pt>
              <c:pt idx="67">
                <c:v>4426</c:v>
              </c:pt>
              <c:pt idx="68">
                <c:v>5261</c:v>
              </c:pt>
              <c:pt idx="69">
                <c:v>4646</c:v>
              </c:pt>
              <c:pt idx="70">
                <c:v>10423</c:v>
              </c:pt>
              <c:pt idx="71">
                <c:v>4223</c:v>
              </c:pt>
              <c:pt idx="72">
                <c:v>4733</c:v>
              </c:pt>
              <c:pt idx="73">
                <c:v>3984</c:v>
              </c:pt>
              <c:pt idx="74">
                <c:v>4090</c:v>
              </c:pt>
              <c:pt idx="75">
                <c:v>3984</c:v>
              </c:pt>
              <c:pt idx="76">
                <c:v>3984</c:v>
              </c:pt>
              <c:pt idx="77">
                <c:v>3984</c:v>
              </c:pt>
              <c:pt idx="78">
                <c:v>4088</c:v>
              </c:pt>
              <c:pt idx="79">
                <c:v>3984</c:v>
              </c:pt>
              <c:pt idx="80">
                <c:v>4325</c:v>
              </c:pt>
              <c:pt idx="81">
                <c:v>3984</c:v>
              </c:pt>
              <c:pt idx="82">
                <c:v>3984</c:v>
              </c:pt>
              <c:pt idx="83">
                <c:v>3984</c:v>
              </c:pt>
              <c:pt idx="84">
                <c:v>3984</c:v>
              </c:pt>
              <c:pt idx="85">
                <c:v>3984</c:v>
              </c:pt>
              <c:pt idx="86">
                <c:v>3843</c:v>
              </c:pt>
              <c:pt idx="87">
                <c:v>3984</c:v>
              </c:pt>
              <c:pt idx="88">
                <c:v>3984</c:v>
              </c:pt>
              <c:pt idx="89">
                <c:v>986</c:v>
              </c:pt>
              <c:pt idx="90">
                <c:v>986</c:v>
              </c:pt>
              <c:pt idx="91">
                <c:v>562.20000000000005</c:v>
              </c:pt>
              <c:pt idx="92">
                <c:v>562.20000000000005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53D0-44ED-B04F-35FA399E8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426575"/>
        <c:axId val="136843473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Repasse CEF obra AMP Atual</c:v>
                </c:tx>
                <c:spPr>
                  <a:ln w="28575" cap="rnd">
                    <a:solidFill>
                      <a:schemeClr val="accent6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292376.47000000003</c:v>
                    </c:pt>
                    <c:pt idx="31">
                      <c:v>478729.86999999994</c:v>
                    </c:pt>
                    <c:pt idx="32">
                      <c:v>440382.3</c:v>
                    </c:pt>
                    <c:pt idx="33">
                      <c:v>0</c:v>
                    </c:pt>
                    <c:pt idx="34">
                      <c:v>355484.39999999997</c:v>
                    </c:pt>
                    <c:pt idx="35">
                      <c:v>116673.85999999999</c:v>
                    </c:pt>
                    <c:pt idx="36">
                      <c:v>515084.59</c:v>
                    </c:pt>
                    <c:pt idx="37">
                      <c:v>984835.45999999985</c:v>
                    </c:pt>
                    <c:pt idx="38">
                      <c:v>52707.86</c:v>
                    </c:pt>
                    <c:pt idx="39">
                      <c:v>611515.62999999977</c:v>
                    </c:pt>
                    <c:pt idx="40">
                      <c:v>1109482.1799999997</c:v>
                    </c:pt>
                    <c:pt idx="41">
                      <c:v>0</c:v>
                    </c:pt>
                    <c:pt idx="42">
                      <c:v>824990.79</c:v>
                    </c:pt>
                    <c:pt idx="43">
                      <c:v>479673.20000000007</c:v>
                    </c:pt>
                    <c:pt idx="44">
                      <c:v>288746.61000000004</c:v>
                    </c:pt>
                    <c:pt idx="45">
                      <c:v>619921.65000000014</c:v>
                    </c:pt>
                    <c:pt idx="46">
                      <c:v>367710.12000000011</c:v>
                    </c:pt>
                    <c:pt idx="47">
                      <c:v>1126426.79</c:v>
                    </c:pt>
                    <c:pt idx="48">
                      <c:v>541621.87000000011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>
                  <c:ext xmlns:c16="http://schemas.microsoft.com/office/drawing/2014/chart" uri="{C3380CC4-5D6E-409C-BE32-E72D297353CC}">
                    <c16:uniqueId val="{00000002-53D0-44ED-B04F-35FA399E840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Repasse CEF obra AVS Atual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929655.61999999988</c:v>
                    </c:pt>
                    <c:pt idx="19">
                      <c:v>0</c:v>
                    </c:pt>
                    <c:pt idx="20">
                      <c:v>350112.92</c:v>
                    </c:pt>
                    <c:pt idx="21">
                      <c:v>96811.439999999988</c:v>
                    </c:pt>
                    <c:pt idx="22">
                      <c:v>270697.99999999994</c:v>
                    </c:pt>
                    <c:pt idx="23">
                      <c:v>371966.21999999991</c:v>
                    </c:pt>
                    <c:pt idx="24">
                      <c:v>537887.54</c:v>
                    </c:pt>
                    <c:pt idx="25">
                      <c:v>790077.29999999993</c:v>
                    </c:pt>
                    <c:pt idx="26">
                      <c:v>1004521.4600000007</c:v>
                    </c:pt>
                    <c:pt idx="27">
                      <c:v>0</c:v>
                    </c:pt>
                    <c:pt idx="28">
                      <c:v>1923938.2900000005</c:v>
                    </c:pt>
                    <c:pt idx="29">
                      <c:v>859106.56999999972</c:v>
                    </c:pt>
                    <c:pt idx="30">
                      <c:v>552283.01000000013</c:v>
                    </c:pt>
                    <c:pt idx="31">
                      <c:v>997552.77000000014</c:v>
                    </c:pt>
                    <c:pt idx="32">
                      <c:v>908752.46999999974</c:v>
                    </c:pt>
                    <c:pt idx="33">
                      <c:v>773683.75</c:v>
                    </c:pt>
                    <c:pt idx="34">
                      <c:v>700718.70999999985</c:v>
                    </c:pt>
                    <c:pt idx="35">
                      <c:v>552743.99000000011</c:v>
                    </c:pt>
                    <c:pt idx="36">
                      <c:v>460888.19999999995</c:v>
                    </c:pt>
                    <c:pt idx="37">
                      <c:v>713333.99000000046</c:v>
                    </c:pt>
                    <c:pt idx="38">
                      <c:v>954647.05</c:v>
                    </c:pt>
                    <c:pt idx="39">
                      <c:v>689884.52999999991</c:v>
                    </c:pt>
                    <c:pt idx="40">
                      <c:v>0</c:v>
                    </c:pt>
                    <c:pt idx="41">
                      <c:v>87094.23000000001</c:v>
                    </c:pt>
                    <c:pt idx="42">
                      <c:v>329954.49999999988</c:v>
                    </c:pt>
                    <c:pt idx="43">
                      <c:v>0</c:v>
                    </c:pt>
                    <c:pt idx="44">
                      <c:v>443100.31</c:v>
                    </c:pt>
                    <c:pt idx="45">
                      <c:v>1086655.5299999998</c:v>
                    </c:pt>
                    <c:pt idx="46">
                      <c:v>0</c:v>
                    </c:pt>
                    <c:pt idx="47">
                      <c:v>185305.78</c:v>
                    </c:pt>
                    <c:pt idx="48">
                      <c:v>1196004.69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3D0-44ED-B04F-35FA399E840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Repasse CEF obra GRA Atual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827362.36999999988</c:v>
                    </c:pt>
                    <c:pt idx="47">
                      <c:v>982859.48000000021</c:v>
                    </c:pt>
                    <c:pt idx="48">
                      <c:v>939217.09000000008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3D0-44ED-B04F-35FA399E840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Repasse CEF obra LUC Atual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3D0-44ED-B04F-35FA399E840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Repasse CEF obra SN2 Atual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495939.11</c:v>
                    </c:pt>
                    <c:pt idx="40">
                      <c:v>44304.369999999981</c:v>
                    </c:pt>
                    <c:pt idx="41">
                      <c:v>58613.389999999992</c:v>
                    </c:pt>
                    <c:pt idx="42">
                      <c:v>516780.94000000006</c:v>
                    </c:pt>
                    <c:pt idx="43">
                      <c:v>378142.71000000008</c:v>
                    </c:pt>
                    <c:pt idx="44">
                      <c:v>84505.01999999999</c:v>
                    </c:pt>
                    <c:pt idx="45">
                      <c:v>67778.12</c:v>
                    </c:pt>
                    <c:pt idx="46">
                      <c:v>1649826.5100000005</c:v>
                    </c:pt>
                    <c:pt idx="47">
                      <c:v>644723.45999999973</c:v>
                    </c:pt>
                    <c:pt idx="48">
                      <c:v>928745.06000000029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3D0-44ED-B04F-35FA399E840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Repasse CEF obra SN4 Atual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3D0-44ED-B04F-35FA399E840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Repasse CEF terreno AMP Atual</c:v>
                </c:tx>
                <c:spPr>
                  <a:ln w="28575" cap="rnd">
                    <a:solidFill>
                      <a:schemeClr val="accent3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967837.5700000003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209068.89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185854.61000000002</c:v>
                    </c:pt>
                    <c:pt idx="32">
                      <c:v>145966.23000000001</c:v>
                    </c:pt>
                    <c:pt idx="33">
                      <c:v>0</c:v>
                    </c:pt>
                    <c:pt idx="34">
                      <c:v>34076.1</c:v>
                    </c:pt>
                    <c:pt idx="35">
                      <c:v>87800.11</c:v>
                    </c:pt>
                    <c:pt idx="36">
                      <c:v>166171.31</c:v>
                    </c:pt>
                    <c:pt idx="37">
                      <c:v>34373.54</c:v>
                    </c:pt>
                    <c:pt idx="38">
                      <c:v>29331.4</c:v>
                    </c:pt>
                    <c:pt idx="39">
                      <c:v>0</c:v>
                    </c:pt>
                    <c:pt idx="40">
                      <c:v>29331.4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58841.5</c:v>
                    </c:pt>
                    <c:pt idx="48">
                      <c:v>35103.14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3D0-44ED-B04F-35FA399E840D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Repasse CEF terreno AVS Atual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2340154.5500000012</c:v>
                    </c:pt>
                    <c:pt idx="17">
                      <c:v>63902.92</c:v>
                    </c:pt>
                    <c:pt idx="18">
                      <c:v>348461.19999999995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145760.96000000002</c:v>
                    </c:pt>
                    <c:pt idx="23">
                      <c:v>0</c:v>
                    </c:pt>
                    <c:pt idx="24">
                      <c:v>35795.06</c:v>
                    </c:pt>
                    <c:pt idx="25">
                      <c:v>0</c:v>
                    </c:pt>
                    <c:pt idx="26">
                      <c:v>41248.089999999997</c:v>
                    </c:pt>
                    <c:pt idx="27">
                      <c:v>0</c:v>
                    </c:pt>
                    <c:pt idx="28">
                      <c:v>143867.47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71590.12</c:v>
                    </c:pt>
                    <c:pt idx="32">
                      <c:v>76601.36</c:v>
                    </c:pt>
                    <c:pt idx="33">
                      <c:v>0</c:v>
                    </c:pt>
                    <c:pt idx="34">
                      <c:v>63706.57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36236.85</c:v>
                    </c:pt>
                    <c:pt idx="38">
                      <c:v>35598.71</c:v>
                    </c:pt>
                    <c:pt idx="39">
                      <c:v>41248.089999999997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76405.009999999995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35795.06</c:v>
                    </c:pt>
                    <c:pt idx="48">
                      <c:v>76846.799999999988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53D0-44ED-B04F-35FA399E840D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v>Repasse CEF terreno GRA Atual</c:v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1443109.9300000002</c:v>
                    </c:pt>
                    <c:pt idx="46">
                      <c:v>1941282.1500000006</c:v>
                    </c:pt>
                    <c:pt idx="47">
                      <c:v>0</c:v>
                    </c:pt>
                    <c:pt idx="48">
                      <c:v>1073756.6900000002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53D0-44ED-B04F-35FA399E840D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v>Repasse CEF terreno LUC Atual</c:v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3D0-44ED-B04F-35FA399E840D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v>Repasse CEF terreno SN2 Atual</c:v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2828888.7900000005</c:v>
                    </c:pt>
                    <c:pt idx="39">
                      <c:v>103298.6</c:v>
                    </c:pt>
                    <c:pt idx="40">
                      <c:v>61297.21</c:v>
                    </c:pt>
                    <c:pt idx="41">
                      <c:v>318826.22000000003</c:v>
                    </c:pt>
                    <c:pt idx="42">
                      <c:v>1645807.4100000004</c:v>
                    </c:pt>
                    <c:pt idx="43">
                      <c:v>0</c:v>
                    </c:pt>
                    <c:pt idx="44">
                      <c:v>236329.87000000002</c:v>
                    </c:pt>
                    <c:pt idx="45">
                      <c:v>194450.15999999997</c:v>
                    </c:pt>
                    <c:pt idx="46">
                      <c:v>462102.19</c:v>
                    </c:pt>
                    <c:pt idx="47">
                      <c:v>92716.9</c:v>
                    </c:pt>
                    <c:pt idx="48">
                      <c:v>165440.76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53D0-44ED-B04F-35FA399E840D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v>Repasse CEF terreno SN4 Atual</c:v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53D0-44ED-B04F-35FA399E840D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v>Pró soluto AVS Atual</c:v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1297500</c:v>
                    </c:pt>
                    <c:pt idx="5">
                      <c:v>547500</c:v>
                    </c:pt>
                    <c:pt idx="6">
                      <c:v>445979.36</c:v>
                    </c:pt>
                    <c:pt idx="7">
                      <c:v>1071607.5</c:v>
                    </c:pt>
                    <c:pt idx="8">
                      <c:v>162495.4</c:v>
                    </c:pt>
                    <c:pt idx="9">
                      <c:v>48359.9</c:v>
                    </c:pt>
                    <c:pt idx="10">
                      <c:v>285667.70999999996</c:v>
                    </c:pt>
                    <c:pt idx="11">
                      <c:v>762658.55999999994</c:v>
                    </c:pt>
                    <c:pt idx="12">
                      <c:v>82248.75</c:v>
                    </c:pt>
                    <c:pt idx="13">
                      <c:v>99315.97</c:v>
                    </c:pt>
                    <c:pt idx="14">
                      <c:v>158292.91</c:v>
                    </c:pt>
                    <c:pt idx="15">
                      <c:v>343397.99000000011</c:v>
                    </c:pt>
                    <c:pt idx="16">
                      <c:v>194754.62999999995</c:v>
                    </c:pt>
                    <c:pt idx="17">
                      <c:v>175006.77</c:v>
                    </c:pt>
                    <c:pt idx="18">
                      <c:v>417772.82000000007</c:v>
                    </c:pt>
                    <c:pt idx="19">
                      <c:v>143416.13</c:v>
                    </c:pt>
                    <c:pt idx="20">
                      <c:v>125616.95000000004</c:v>
                    </c:pt>
                    <c:pt idx="21">
                      <c:v>198450.53000000003</c:v>
                    </c:pt>
                    <c:pt idx="22">
                      <c:v>145548.94000000003</c:v>
                    </c:pt>
                    <c:pt idx="23">
                      <c:v>243438.83999999997</c:v>
                    </c:pt>
                    <c:pt idx="24">
                      <c:v>184722.19999999998</c:v>
                    </c:pt>
                    <c:pt idx="25">
                      <c:v>226049.56000000003</c:v>
                    </c:pt>
                    <c:pt idx="26">
                      <c:v>301352.14999999997</c:v>
                    </c:pt>
                    <c:pt idx="27">
                      <c:v>443264.23999999964</c:v>
                    </c:pt>
                    <c:pt idx="28">
                      <c:v>1804819.9099999992</c:v>
                    </c:pt>
                    <c:pt idx="29">
                      <c:v>963115.89</c:v>
                    </c:pt>
                    <c:pt idx="30">
                      <c:v>700166.05000000063</c:v>
                    </c:pt>
                    <c:pt idx="31">
                      <c:v>1274522.9900000005</c:v>
                    </c:pt>
                    <c:pt idx="32">
                      <c:v>722207.14999999967</c:v>
                    </c:pt>
                    <c:pt idx="33">
                      <c:v>971974.79000000015</c:v>
                    </c:pt>
                    <c:pt idx="34">
                      <c:v>164960.17000000004</c:v>
                    </c:pt>
                    <c:pt idx="35">
                      <c:v>548222.08000000007</c:v>
                    </c:pt>
                    <c:pt idx="36">
                      <c:v>201279.19999999995</c:v>
                    </c:pt>
                    <c:pt idx="37">
                      <c:v>403060.79999999993</c:v>
                    </c:pt>
                    <c:pt idx="38">
                      <c:v>208699.69000000003</c:v>
                    </c:pt>
                    <c:pt idx="39">
                      <c:v>357716.99000000005</c:v>
                    </c:pt>
                    <c:pt idx="40">
                      <c:v>162302.65</c:v>
                    </c:pt>
                    <c:pt idx="41">
                      <c:v>617474.88</c:v>
                    </c:pt>
                    <c:pt idx="42">
                      <c:v>65451.099999999984</c:v>
                    </c:pt>
                    <c:pt idx="43">
                      <c:v>40080.239999999998</c:v>
                    </c:pt>
                    <c:pt idx="44">
                      <c:v>32565.34</c:v>
                    </c:pt>
                    <c:pt idx="45">
                      <c:v>28121.47</c:v>
                    </c:pt>
                    <c:pt idx="46">
                      <c:v>96843.200000000012</c:v>
                    </c:pt>
                    <c:pt idx="47">
                      <c:v>64422.030000000006</c:v>
                    </c:pt>
                    <c:pt idx="48">
                      <c:v>21166.01</c:v>
                    </c:pt>
                    <c:pt idx="49">
                      <c:v>3279.06</c:v>
                    </c:pt>
                    <c:pt idx="50">
                      <c:v>5118.6399999999994</c:v>
                    </c:pt>
                    <c:pt idx="51">
                      <c:v>9890.23</c:v>
                    </c:pt>
                    <c:pt idx="52">
                      <c:v>1792.46</c:v>
                    </c:pt>
                    <c:pt idx="53">
                      <c:v>2055.34</c:v>
                    </c:pt>
                    <c:pt idx="54">
                      <c:v>2148.75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1792.46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1904.9099999999999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2206.17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1219.55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53D0-44ED-B04F-35FA399E840D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v>Pró soluto GRA Atual</c:v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587736.80000000005</c:v>
                    </c:pt>
                    <c:pt idx="35">
                      <c:v>336460.94</c:v>
                    </c:pt>
                    <c:pt idx="36">
                      <c:v>41897.049999999996</c:v>
                    </c:pt>
                    <c:pt idx="37">
                      <c:v>116619</c:v>
                    </c:pt>
                    <c:pt idx="38">
                      <c:v>48438.749999999993</c:v>
                    </c:pt>
                    <c:pt idx="39">
                      <c:v>63930.640000000014</c:v>
                    </c:pt>
                    <c:pt idx="40">
                      <c:v>56921.229999999996</c:v>
                    </c:pt>
                    <c:pt idx="41">
                      <c:v>49014.26</c:v>
                    </c:pt>
                    <c:pt idx="42">
                      <c:v>58991.18</c:v>
                    </c:pt>
                    <c:pt idx="43">
                      <c:v>56249.58</c:v>
                    </c:pt>
                    <c:pt idx="44">
                      <c:v>161114.95999999996</c:v>
                    </c:pt>
                    <c:pt idx="45">
                      <c:v>112366.63000000003</c:v>
                    </c:pt>
                    <c:pt idx="46">
                      <c:v>302332.13999999996</c:v>
                    </c:pt>
                    <c:pt idx="47">
                      <c:v>449840.74000000005</c:v>
                    </c:pt>
                    <c:pt idx="48">
                      <c:v>299380.02000000014</c:v>
                    </c:pt>
                    <c:pt idx="49">
                      <c:v>121153.18000000001</c:v>
                    </c:pt>
                    <c:pt idx="50">
                      <c:v>200020.74000000008</c:v>
                    </c:pt>
                    <c:pt idx="51">
                      <c:v>575977.18000000017</c:v>
                    </c:pt>
                    <c:pt idx="52">
                      <c:v>210875.23000000016</c:v>
                    </c:pt>
                    <c:pt idx="53">
                      <c:v>194659.37000000017</c:v>
                    </c:pt>
                    <c:pt idx="54">
                      <c:v>261749.1100000001</c:v>
                    </c:pt>
                    <c:pt idx="55">
                      <c:v>208373.01000000015</c:v>
                    </c:pt>
                    <c:pt idx="56">
                      <c:v>223588.76000000015</c:v>
                    </c:pt>
                    <c:pt idx="57">
                      <c:v>226911.84000000014</c:v>
                    </c:pt>
                    <c:pt idx="58">
                      <c:v>540041.82999999973</c:v>
                    </c:pt>
                    <c:pt idx="59">
                      <c:v>322644.32999999984</c:v>
                    </c:pt>
                    <c:pt idx="60">
                      <c:v>208367.8900000001</c:v>
                    </c:pt>
                    <c:pt idx="61">
                      <c:v>203552.39000000013</c:v>
                    </c:pt>
                    <c:pt idx="62">
                      <c:v>214213.28000000014</c:v>
                    </c:pt>
                    <c:pt idx="63">
                      <c:v>697680.45000000019</c:v>
                    </c:pt>
                    <c:pt idx="64">
                      <c:v>217741.0100000001</c:v>
                    </c:pt>
                    <c:pt idx="65">
                      <c:v>203565.39000000013</c:v>
                    </c:pt>
                    <c:pt idx="66">
                      <c:v>222260.53000000009</c:v>
                    </c:pt>
                    <c:pt idx="67">
                      <c:v>206774.35000000009</c:v>
                    </c:pt>
                    <c:pt idx="68">
                      <c:v>195727.3900000001</c:v>
                    </c:pt>
                    <c:pt idx="69">
                      <c:v>372604.3</c:v>
                    </c:pt>
                    <c:pt idx="70">
                      <c:v>1280302.1599999999</c:v>
                    </c:pt>
                    <c:pt idx="71">
                      <c:v>82744.429999999993</c:v>
                    </c:pt>
                    <c:pt idx="72">
                      <c:v>63997.140000000014</c:v>
                    </c:pt>
                    <c:pt idx="73">
                      <c:v>41197.640000000014</c:v>
                    </c:pt>
                    <c:pt idx="74">
                      <c:v>3789.2200000000003</c:v>
                    </c:pt>
                    <c:pt idx="75">
                      <c:v>3370.9599999999996</c:v>
                    </c:pt>
                    <c:pt idx="76">
                      <c:v>2589.6499999999996</c:v>
                    </c:pt>
                    <c:pt idx="77">
                      <c:v>588.68000000000006</c:v>
                    </c:pt>
                    <c:pt idx="78">
                      <c:v>217.01</c:v>
                    </c:pt>
                    <c:pt idx="79">
                      <c:v>112.07</c:v>
                    </c:pt>
                    <c:pt idx="80">
                      <c:v>112.01</c:v>
                    </c:pt>
                    <c:pt idx="81">
                      <c:v>363.37</c:v>
                    </c:pt>
                    <c:pt idx="82">
                      <c:v>205.45</c:v>
                    </c:pt>
                    <c:pt idx="83">
                      <c:v>0</c:v>
                    </c:pt>
                    <c:pt idx="84">
                      <c:v>678.58</c:v>
                    </c:pt>
                    <c:pt idx="85">
                      <c:v>100.52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53D0-44ED-B04F-35FA399E840D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v>Pró soluto LUC Atual</c:v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262541</c:v>
                    </c:pt>
                    <c:pt idx="40">
                      <c:v>155415.34999999998</c:v>
                    </c:pt>
                    <c:pt idx="41">
                      <c:v>106136.42000000003</c:v>
                    </c:pt>
                    <c:pt idx="42">
                      <c:v>67241.679999999993</c:v>
                    </c:pt>
                    <c:pt idx="43">
                      <c:v>53259.060000000012</c:v>
                    </c:pt>
                    <c:pt idx="44">
                      <c:v>54106.059999999983</c:v>
                    </c:pt>
                    <c:pt idx="45">
                      <c:v>52368.430000000008</c:v>
                    </c:pt>
                    <c:pt idx="46">
                      <c:v>116667.64</c:v>
                    </c:pt>
                    <c:pt idx="47">
                      <c:v>72863.099999999977</c:v>
                    </c:pt>
                    <c:pt idx="48">
                      <c:v>123323.34000000003</c:v>
                    </c:pt>
                    <c:pt idx="49">
                      <c:v>49213.939999999988</c:v>
                    </c:pt>
                    <c:pt idx="50">
                      <c:v>70201.19</c:v>
                    </c:pt>
                    <c:pt idx="51">
                      <c:v>613203.09</c:v>
                    </c:pt>
                    <c:pt idx="52">
                      <c:v>88534.319999999978</c:v>
                    </c:pt>
                    <c:pt idx="53">
                      <c:v>89493.48</c:v>
                    </c:pt>
                    <c:pt idx="54">
                      <c:v>90246.37999999999</c:v>
                    </c:pt>
                    <c:pt idx="55">
                      <c:v>90153.969999999987</c:v>
                    </c:pt>
                    <c:pt idx="56">
                      <c:v>91301.179999999978</c:v>
                    </c:pt>
                    <c:pt idx="57">
                      <c:v>108302.38999999998</c:v>
                    </c:pt>
                    <c:pt idx="58">
                      <c:v>94653.199999999983</c:v>
                    </c:pt>
                    <c:pt idx="59">
                      <c:v>96365.289999999979</c:v>
                    </c:pt>
                    <c:pt idx="60">
                      <c:v>97334.369999999981</c:v>
                    </c:pt>
                    <c:pt idx="61">
                      <c:v>98003.019999999975</c:v>
                    </c:pt>
                    <c:pt idx="62">
                      <c:v>99542.769999999975</c:v>
                    </c:pt>
                    <c:pt idx="63">
                      <c:v>778032.75</c:v>
                    </c:pt>
                    <c:pt idx="64">
                      <c:v>104359.00999999998</c:v>
                    </c:pt>
                    <c:pt idx="65">
                      <c:v>103866.10999999997</c:v>
                    </c:pt>
                    <c:pt idx="66">
                      <c:v>105312.65</c:v>
                    </c:pt>
                    <c:pt idx="67">
                      <c:v>106429.59</c:v>
                    </c:pt>
                    <c:pt idx="68">
                      <c:v>105735.70999999999</c:v>
                    </c:pt>
                    <c:pt idx="69">
                      <c:v>152143.04000000004</c:v>
                    </c:pt>
                    <c:pt idx="70">
                      <c:v>106812.45999999999</c:v>
                    </c:pt>
                    <c:pt idx="71">
                      <c:v>107673.45999999998</c:v>
                    </c:pt>
                    <c:pt idx="72">
                      <c:v>108210.05999999998</c:v>
                    </c:pt>
                    <c:pt idx="73">
                      <c:v>107705.88999999998</c:v>
                    </c:pt>
                    <c:pt idx="74">
                      <c:v>107885.34999999999</c:v>
                    </c:pt>
                    <c:pt idx="75">
                      <c:v>771714.2699999999</c:v>
                    </c:pt>
                    <c:pt idx="76">
                      <c:v>95277.969999999972</c:v>
                    </c:pt>
                    <c:pt idx="77">
                      <c:v>93894.339999999982</c:v>
                    </c:pt>
                    <c:pt idx="78">
                      <c:v>184248.11000000007</c:v>
                    </c:pt>
                    <c:pt idx="79">
                      <c:v>67499.48000000001</c:v>
                    </c:pt>
                    <c:pt idx="80">
                      <c:v>15428.369999999999</c:v>
                    </c:pt>
                    <c:pt idx="81">
                      <c:v>69266.33</c:v>
                    </c:pt>
                    <c:pt idx="82">
                      <c:v>131787.84000000005</c:v>
                    </c:pt>
                    <c:pt idx="83">
                      <c:v>9555.89</c:v>
                    </c:pt>
                    <c:pt idx="84">
                      <c:v>8691.0499999999993</c:v>
                    </c:pt>
                    <c:pt idx="85">
                      <c:v>9811.0499999999993</c:v>
                    </c:pt>
                    <c:pt idx="86">
                      <c:v>8691.0499999999993</c:v>
                    </c:pt>
                    <c:pt idx="87">
                      <c:v>61591.05</c:v>
                    </c:pt>
                    <c:pt idx="88">
                      <c:v>8691.0499999999993</c:v>
                    </c:pt>
                    <c:pt idx="89">
                      <c:v>8691.0499999999993</c:v>
                    </c:pt>
                    <c:pt idx="90">
                      <c:v>8691.0499999999993</c:v>
                    </c:pt>
                    <c:pt idx="91">
                      <c:v>8691.0499999999993</c:v>
                    </c:pt>
                    <c:pt idx="92">
                      <c:v>8691.0499999999993</c:v>
                    </c:pt>
                    <c:pt idx="93">
                      <c:v>8691.0499999999993</c:v>
                    </c:pt>
                    <c:pt idx="94">
                      <c:v>8771.0499999999993</c:v>
                    </c:pt>
                    <c:pt idx="95">
                      <c:v>8971.0499999999993</c:v>
                    </c:pt>
                    <c:pt idx="96">
                      <c:v>8971.0499999999993</c:v>
                    </c:pt>
                    <c:pt idx="97">
                      <c:v>8971.0499999999993</c:v>
                    </c:pt>
                    <c:pt idx="98">
                      <c:v>8971.0499999999993</c:v>
                    </c:pt>
                    <c:pt idx="99">
                      <c:v>8971.0499999999993</c:v>
                    </c:pt>
                    <c:pt idx="100">
                      <c:v>8971.0499999999993</c:v>
                    </c:pt>
                    <c:pt idx="101">
                      <c:v>8971.0499999999993</c:v>
                    </c:pt>
                    <c:pt idx="102">
                      <c:v>8971.0499999999993</c:v>
                    </c:pt>
                    <c:pt idx="103">
                      <c:v>8971.0499999999993</c:v>
                    </c:pt>
                    <c:pt idx="104">
                      <c:v>8971.0499999999993</c:v>
                    </c:pt>
                    <c:pt idx="105">
                      <c:v>8971.0499999999993</c:v>
                    </c:pt>
                    <c:pt idx="106">
                      <c:v>8571.0499999999993</c:v>
                    </c:pt>
                    <c:pt idx="107">
                      <c:v>6288.05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53D0-44ED-B04F-35FA399E840D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v>Pró soluto SN2 Atual</c:v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150000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176815.8</c:v>
                    </c:pt>
                    <c:pt idx="28">
                      <c:v>510562.5199999999</c:v>
                    </c:pt>
                    <c:pt idx="29">
                      <c:v>427555.96000000014</c:v>
                    </c:pt>
                    <c:pt idx="30">
                      <c:v>623622.39000000025</c:v>
                    </c:pt>
                    <c:pt idx="31">
                      <c:v>559798.76000000036</c:v>
                    </c:pt>
                    <c:pt idx="32">
                      <c:v>231123.66</c:v>
                    </c:pt>
                    <c:pt idx="33">
                      <c:v>181011.70999999996</c:v>
                    </c:pt>
                    <c:pt idx="34">
                      <c:v>190999.19999999995</c:v>
                    </c:pt>
                    <c:pt idx="35">
                      <c:v>220542.29000000004</c:v>
                    </c:pt>
                    <c:pt idx="36">
                      <c:v>402204.61999999988</c:v>
                    </c:pt>
                    <c:pt idx="37">
                      <c:v>403908.29</c:v>
                    </c:pt>
                    <c:pt idx="38">
                      <c:v>236656.19999999995</c:v>
                    </c:pt>
                    <c:pt idx="39">
                      <c:v>777169.43</c:v>
                    </c:pt>
                    <c:pt idx="40">
                      <c:v>369534.39999999997</c:v>
                    </c:pt>
                    <c:pt idx="41">
                      <c:v>242720.55999999997</c:v>
                    </c:pt>
                    <c:pt idx="42">
                      <c:v>311680.14999999997</c:v>
                    </c:pt>
                    <c:pt idx="43">
                      <c:v>382574.91999999993</c:v>
                    </c:pt>
                    <c:pt idx="44">
                      <c:v>287057.19999999995</c:v>
                    </c:pt>
                    <c:pt idx="45">
                      <c:v>314859.38999999996</c:v>
                    </c:pt>
                    <c:pt idx="46">
                      <c:v>340154.85</c:v>
                    </c:pt>
                    <c:pt idx="47">
                      <c:v>400612.16</c:v>
                    </c:pt>
                    <c:pt idx="48">
                      <c:v>331036.06000000017</c:v>
                    </c:pt>
                    <c:pt idx="49">
                      <c:v>185487.41999999995</c:v>
                    </c:pt>
                    <c:pt idx="50">
                      <c:v>289051.48999999976</c:v>
                    </c:pt>
                    <c:pt idx="51">
                      <c:v>1518667.3900000004</c:v>
                    </c:pt>
                    <c:pt idx="52">
                      <c:v>405888.87999999966</c:v>
                    </c:pt>
                    <c:pt idx="53">
                      <c:v>316523.5999999998</c:v>
                    </c:pt>
                    <c:pt idx="54">
                      <c:v>418970.64999999985</c:v>
                    </c:pt>
                    <c:pt idx="55">
                      <c:v>336009.92999999982</c:v>
                    </c:pt>
                    <c:pt idx="56">
                      <c:v>294894.21999999986</c:v>
                    </c:pt>
                    <c:pt idx="57">
                      <c:v>359949.0999999998</c:v>
                    </c:pt>
                    <c:pt idx="58">
                      <c:v>381341.06999999983</c:v>
                    </c:pt>
                    <c:pt idx="59">
                      <c:v>302355.11999999994</c:v>
                    </c:pt>
                    <c:pt idx="60">
                      <c:v>277289.11999999994</c:v>
                    </c:pt>
                    <c:pt idx="61">
                      <c:v>1402278.79</c:v>
                    </c:pt>
                    <c:pt idx="62">
                      <c:v>308337.27999999991</c:v>
                    </c:pt>
                    <c:pt idx="63">
                      <c:v>452848.47999999963</c:v>
                    </c:pt>
                    <c:pt idx="64">
                      <c:v>51714.290000000015</c:v>
                    </c:pt>
                    <c:pt idx="65">
                      <c:v>67826.820000000007</c:v>
                    </c:pt>
                    <c:pt idx="66">
                      <c:v>32553.489999999998</c:v>
                    </c:pt>
                    <c:pt idx="67">
                      <c:v>29957.869999999995</c:v>
                    </c:pt>
                    <c:pt idx="68">
                      <c:v>21568.750000000004</c:v>
                    </c:pt>
                    <c:pt idx="69">
                      <c:v>19046.54</c:v>
                    </c:pt>
                    <c:pt idx="70">
                      <c:v>5014.74</c:v>
                    </c:pt>
                    <c:pt idx="71">
                      <c:v>1141.26</c:v>
                    </c:pt>
                    <c:pt idx="72">
                      <c:v>441.72</c:v>
                    </c:pt>
                    <c:pt idx="73">
                      <c:v>213.22</c:v>
                    </c:pt>
                    <c:pt idx="74">
                      <c:v>105.89</c:v>
                    </c:pt>
                    <c:pt idx="75">
                      <c:v>1364.14</c:v>
                    </c:pt>
                    <c:pt idx="76">
                      <c:v>357.85</c:v>
                    </c:pt>
                    <c:pt idx="77">
                      <c:v>0</c:v>
                    </c:pt>
                    <c:pt idx="78">
                      <c:v>713.01</c:v>
                    </c:pt>
                    <c:pt idx="79">
                      <c:v>0</c:v>
                    </c:pt>
                    <c:pt idx="80">
                      <c:v>205.46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53D0-44ED-B04F-35FA399E840D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v>Pró soluto SN4 Atual</c:v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1917341.29</c:v>
                    </c:pt>
                    <c:pt idx="47">
                      <c:v>889989.8400000002</c:v>
                    </c:pt>
                    <c:pt idx="48">
                      <c:v>419910.59999999992</c:v>
                    </c:pt>
                    <c:pt idx="49">
                      <c:v>141413.32999999999</c:v>
                    </c:pt>
                    <c:pt idx="50">
                      <c:v>150160.50999999998</c:v>
                    </c:pt>
                    <c:pt idx="51">
                      <c:v>504354.34000000008</c:v>
                    </c:pt>
                    <c:pt idx="52">
                      <c:v>192137.51000000013</c:v>
                    </c:pt>
                    <c:pt idx="53">
                      <c:v>198480.93000000014</c:v>
                    </c:pt>
                    <c:pt idx="54">
                      <c:v>179261.9800000001</c:v>
                    </c:pt>
                    <c:pt idx="55">
                      <c:v>190127.05000000008</c:v>
                    </c:pt>
                    <c:pt idx="56">
                      <c:v>396265.02</c:v>
                    </c:pt>
                    <c:pt idx="57">
                      <c:v>332794.59999999998</c:v>
                    </c:pt>
                    <c:pt idx="58">
                      <c:v>713244.05</c:v>
                    </c:pt>
                    <c:pt idx="59">
                      <c:v>218056.38000000009</c:v>
                    </c:pt>
                    <c:pt idx="60">
                      <c:v>249219.05000000013</c:v>
                    </c:pt>
                    <c:pt idx="61">
                      <c:v>235195.3300000001</c:v>
                    </c:pt>
                    <c:pt idx="62">
                      <c:v>216731.48000000004</c:v>
                    </c:pt>
                    <c:pt idx="63">
                      <c:v>722296.04999999993</c:v>
                    </c:pt>
                    <c:pt idx="64">
                      <c:v>253671.52000000005</c:v>
                    </c:pt>
                    <c:pt idx="65">
                      <c:v>234375.95000000004</c:v>
                    </c:pt>
                    <c:pt idx="66">
                      <c:v>249957.02000000002</c:v>
                    </c:pt>
                    <c:pt idx="67">
                      <c:v>248870.38000000003</c:v>
                    </c:pt>
                    <c:pt idx="68">
                      <c:v>454548.23</c:v>
                    </c:pt>
                    <c:pt idx="69">
                      <c:v>320243.37999999989</c:v>
                    </c:pt>
                    <c:pt idx="70">
                      <c:v>803801.31999999948</c:v>
                    </c:pt>
                    <c:pt idx="71">
                      <c:v>257025.53</c:v>
                    </c:pt>
                    <c:pt idx="72">
                      <c:v>282374.48</c:v>
                    </c:pt>
                    <c:pt idx="73">
                      <c:v>269483.99</c:v>
                    </c:pt>
                    <c:pt idx="74">
                      <c:v>250004.21000000008</c:v>
                    </c:pt>
                    <c:pt idx="75">
                      <c:v>818328.9599999995</c:v>
                    </c:pt>
                    <c:pt idx="76">
                      <c:v>254298.45000000004</c:v>
                    </c:pt>
                    <c:pt idx="77">
                      <c:v>250320.08000000007</c:v>
                    </c:pt>
                    <c:pt idx="78">
                      <c:v>266004.28000000009</c:v>
                    </c:pt>
                    <c:pt idx="79">
                      <c:v>251567.06000000006</c:v>
                    </c:pt>
                    <c:pt idx="80">
                      <c:v>600561.3399999995</c:v>
                    </c:pt>
                    <c:pt idx="81">
                      <c:v>361646.8000000001</c:v>
                    </c:pt>
                    <c:pt idx="82">
                      <c:v>790057.4999999993</c:v>
                    </c:pt>
                    <c:pt idx="83">
                      <c:v>246358.98</c:v>
                    </c:pt>
                    <c:pt idx="84">
                      <c:v>243562.60000000006</c:v>
                    </c:pt>
                    <c:pt idx="85">
                      <c:v>253804.71</c:v>
                    </c:pt>
                    <c:pt idx="86">
                      <c:v>238755.11000000004</c:v>
                    </c:pt>
                    <c:pt idx="87">
                      <c:v>907164.57999999973</c:v>
                    </c:pt>
                    <c:pt idx="88">
                      <c:v>14117.280000000002</c:v>
                    </c:pt>
                    <c:pt idx="89">
                      <c:v>991</c:v>
                    </c:pt>
                    <c:pt idx="90">
                      <c:v>636.62</c:v>
                    </c:pt>
                    <c:pt idx="91">
                      <c:v>636.62</c:v>
                    </c:pt>
                    <c:pt idx="92">
                      <c:v>636.62</c:v>
                    </c:pt>
                    <c:pt idx="93">
                      <c:v>636.62</c:v>
                    </c:pt>
                    <c:pt idx="94">
                      <c:v>636.62</c:v>
                    </c:pt>
                    <c:pt idx="95">
                      <c:v>636.62</c:v>
                    </c:pt>
                    <c:pt idx="96">
                      <c:v>636.62</c:v>
                    </c:pt>
                    <c:pt idx="97">
                      <c:v>636.62</c:v>
                    </c:pt>
                    <c:pt idx="98">
                      <c:v>636.62</c:v>
                    </c:pt>
                    <c:pt idx="99">
                      <c:v>636.62</c:v>
                    </c:pt>
                    <c:pt idx="100">
                      <c:v>636.62</c:v>
                    </c:pt>
                    <c:pt idx="101">
                      <c:v>636.62</c:v>
                    </c:pt>
                    <c:pt idx="102">
                      <c:v>636.62</c:v>
                    </c:pt>
                    <c:pt idx="103">
                      <c:v>636.62</c:v>
                    </c:pt>
                    <c:pt idx="104">
                      <c:v>636.62</c:v>
                    </c:pt>
                    <c:pt idx="105">
                      <c:v>636.62</c:v>
                    </c:pt>
                    <c:pt idx="106">
                      <c:v>636.62</c:v>
                    </c:pt>
                    <c:pt idx="107">
                      <c:v>636.62</c:v>
                    </c:pt>
                    <c:pt idx="108">
                      <c:v>636.62</c:v>
                    </c:pt>
                    <c:pt idx="109">
                      <c:v>636.62</c:v>
                    </c:pt>
                    <c:pt idx="110">
                      <c:v>636.62</c:v>
                    </c:pt>
                    <c:pt idx="111">
                      <c:v>636.62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53D0-44ED-B04F-35FA399E840D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v>Repasse CEF obra AMP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292377</c:v>
                    </c:pt>
                    <c:pt idx="31">
                      <c:v>0</c:v>
                    </c:pt>
                    <c:pt idx="32">
                      <c:v>338697</c:v>
                    </c:pt>
                    <c:pt idx="33">
                      <c:v>91540</c:v>
                    </c:pt>
                    <c:pt idx="34">
                      <c:v>152093</c:v>
                    </c:pt>
                    <c:pt idx="35">
                      <c:v>2014578</c:v>
                    </c:pt>
                    <c:pt idx="36">
                      <c:v>753806</c:v>
                    </c:pt>
                    <c:pt idx="37">
                      <c:v>624946</c:v>
                    </c:pt>
                    <c:pt idx="38">
                      <c:v>1324025</c:v>
                    </c:pt>
                    <c:pt idx="39">
                      <c:v>1091088</c:v>
                    </c:pt>
                    <c:pt idx="40">
                      <c:v>1124155</c:v>
                    </c:pt>
                    <c:pt idx="41">
                      <c:v>0</c:v>
                    </c:pt>
                    <c:pt idx="42">
                      <c:v>824991</c:v>
                    </c:pt>
                    <c:pt idx="43">
                      <c:v>479673</c:v>
                    </c:pt>
                    <c:pt idx="44">
                      <c:v>288747</c:v>
                    </c:pt>
                    <c:pt idx="45">
                      <c:v>619922</c:v>
                    </c:pt>
                    <c:pt idx="46">
                      <c:v>367710</c:v>
                    </c:pt>
                    <c:pt idx="47">
                      <c:v>1185268</c:v>
                    </c:pt>
                    <c:pt idx="48">
                      <c:v>1108012</c:v>
                    </c:pt>
                    <c:pt idx="49">
                      <c:v>1120112</c:v>
                    </c:pt>
                    <c:pt idx="50">
                      <c:v>762298</c:v>
                    </c:pt>
                    <c:pt idx="51">
                      <c:v>611913</c:v>
                    </c:pt>
                    <c:pt idx="52">
                      <c:v>853587</c:v>
                    </c:pt>
                    <c:pt idx="53">
                      <c:v>545886</c:v>
                    </c:pt>
                    <c:pt idx="54">
                      <c:v>1265612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53D0-44ED-B04F-35FA399E840D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v>Repasse CEF obra AVS Viabilidade</c:v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450291.31</c:v>
                    </c:pt>
                    <c:pt idx="25">
                      <c:v>816625.41</c:v>
                    </c:pt>
                    <c:pt idx="26">
                      <c:v>1077789.05</c:v>
                    </c:pt>
                    <c:pt idx="27">
                      <c:v>0</c:v>
                    </c:pt>
                    <c:pt idx="28">
                      <c:v>2058441.62</c:v>
                    </c:pt>
                    <c:pt idx="29">
                      <c:v>886415.93</c:v>
                    </c:pt>
                    <c:pt idx="30">
                      <c:v>634202.5</c:v>
                    </c:pt>
                    <c:pt idx="31">
                      <c:v>1092836.3700000001</c:v>
                    </c:pt>
                    <c:pt idx="32">
                      <c:v>661630.44999999995</c:v>
                    </c:pt>
                    <c:pt idx="33">
                      <c:v>1140464.56</c:v>
                    </c:pt>
                    <c:pt idx="34">
                      <c:v>537255.4</c:v>
                    </c:pt>
                    <c:pt idx="35">
                      <c:v>569062.99</c:v>
                    </c:pt>
                    <c:pt idx="36">
                      <c:v>242822.8</c:v>
                    </c:pt>
                    <c:pt idx="37">
                      <c:v>678039.91</c:v>
                    </c:pt>
                    <c:pt idx="38">
                      <c:v>568760.61</c:v>
                    </c:pt>
                    <c:pt idx="39">
                      <c:v>1277625.21</c:v>
                    </c:pt>
                    <c:pt idx="40">
                      <c:v>0</c:v>
                    </c:pt>
                    <c:pt idx="41">
                      <c:v>89568.24</c:v>
                    </c:pt>
                    <c:pt idx="42">
                      <c:v>339327.23</c:v>
                    </c:pt>
                    <c:pt idx="43">
                      <c:v>0</c:v>
                    </c:pt>
                    <c:pt idx="44">
                      <c:v>519505.32</c:v>
                    </c:pt>
                    <c:pt idx="45">
                      <c:v>1116629.24</c:v>
                    </c:pt>
                    <c:pt idx="46">
                      <c:v>211998.03</c:v>
                    </c:pt>
                    <c:pt idx="47">
                      <c:v>221100.84</c:v>
                    </c:pt>
                    <c:pt idx="48">
                      <c:v>802268.22</c:v>
                    </c:pt>
                    <c:pt idx="49">
                      <c:v>539475.55000000005</c:v>
                    </c:pt>
                    <c:pt idx="50">
                      <c:v>534845.48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53D0-44ED-B04F-35FA399E840D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v>Repasse CEF obra GRA Viabilidade</c:v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521232</c:v>
                    </c:pt>
                    <c:pt idx="48">
                      <c:v>920579</c:v>
                    </c:pt>
                    <c:pt idx="49">
                      <c:v>598376</c:v>
                    </c:pt>
                    <c:pt idx="50">
                      <c:v>1126355</c:v>
                    </c:pt>
                    <c:pt idx="51">
                      <c:v>1166969</c:v>
                    </c:pt>
                    <c:pt idx="52">
                      <c:v>649363</c:v>
                    </c:pt>
                    <c:pt idx="53">
                      <c:v>865817</c:v>
                    </c:pt>
                    <c:pt idx="54">
                      <c:v>865817</c:v>
                    </c:pt>
                    <c:pt idx="55">
                      <c:v>1082272</c:v>
                    </c:pt>
                    <c:pt idx="56">
                      <c:v>1082272</c:v>
                    </c:pt>
                    <c:pt idx="57">
                      <c:v>1082272</c:v>
                    </c:pt>
                    <c:pt idx="58">
                      <c:v>1082272</c:v>
                    </c:pt>
                    <c:pt idx="59">
                      <c:v>1082272</c:v>
                    </c:pt>
                    <c:pt idx="60">
                      <c:v>1082272</c:v>
                    </c:pt>
                    <c:pt idx="61">
                      <c:v>1082272</c:v>
                    </c:pt>
                    <c:pt idx="62">
                      <c:v>1082272</c:v>
                    </c:pt>
                    <c:pt idx="63">
                      <c:v>865817</c:v>
                    </c:pt>
                    <c:pt idx="64">
                      <c:v>865817</c:v>
                    </c:pt>
                    <c:pt idx="65">
                      <c:v>865817</c:v>
                    </c:pt>
                    <c:pt idx="66">
                      <c:v>649363</c:v>
                    </c:pt>
                    <c:pt idx="67">
                      <c:v>649363</c:v>
                    </c:pt>
                    <c:pt idx="68">
                      <c:v>1190499</c:v>
                    </c:pt>
                    <c:pt idx="69">
                      <c:v>768877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3D0-44ED-B04F-35FA399E840D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v>Repasse CEF obra LUC Viabilidade</c:v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127827.42</c:v>
                    </c:pt>
                    <c:pt idx="53">
                      <c:v>639137.12</c:v>
                    </c:pt>
                    <c:pt idx="54">
                      <c:v>255654.85</c:v>
                    </c:pt>
                    <c:pt idx="55">
                      <c:v>255654.85</c:v>
                    </c:pt>
                    <c:pt idx="56">
                      <c:v>255654.85</c:v>
                    </c:pt>
                    <c:pt idx="57">
                      <c:v>511309.7</c:v>
                    </c:pt>
                    <c:pt idx="58">
                      <c:v>511309.7</c:v>
                    </c:pt>
                    <c:pt idx="59">
                      <c:v>511309.7</c:v>
                    </c:pt>
                    <c:pt idx="60">
                      <c:v>511309.7</c:v>
                    </c:pt>
                    <c:pt idx="61">
                      <c:v>511309.7</c:v>
                    </c:pt>
                    <c:pt idx="62">
                      <c:v>766964.55</c:v>
                    </c:pt>
                    <c:pt idx="63">
                      <c:v>766964.55</c:v>
                    </c:pt>
                    <c:pt idx="64">
                      <c:v>766964.55</c:v>
                    </c:pt>
                    <c:pt idx="65">
                      <c:v>766964.55</c:v>
                    </c:pt>
                    <c:pt idx="66">
                      <c:v>766964.55</c:v>
                    </c:pt>
                    <c:pt idx="67">
                      <c:v>766964.55</c:v>
                    </c:pt>
                    <c:pt idx="68">
                      <c:v>766964.55</c:v>
                    </c:pt>
                    <c:pt idx="69">
                      <c:v>766964.55</c:v>
                    </c:pt>
                    <c:pt idx="70">
                      <c:v>766964.55</c:v>
                    </c:pt>
                    <c:pt idx="71">
                      <c:v>766964.55</c:v>
                    </c:pt>
                    <c:pt idx="72">
                      <c:v>766964.55</c:v>
                    </c:pt>
                    <c:pt idx="73">
                      <c:v>766964.55</c:v>
                    </c:pt>
                    <c:pt idx="74">
                      <c:v>766964.55</c:v>
                    </c:pt>
                    <c:pt idx="75">
                      <c:v>766964.55</c:v>
                    </c:pt>
                    <c:pt idx="76">
                      <c:v>766964.55</c:v>
                    </c:pt>
                    <c:pt idx="77">
                      <c:v>766964.55</c:v>
                    </c:pt>
                    <c:pt idx="78">
                      <c:v>1022619.4</c:v>
                    </c:pt>
                    <c:pt idx="79">
                      <c:v>1022619.4</c:v>
                    </c:pt>
                    <c:pt idx="80">
                      <c:v>766964.55</c:v>
                    </c:pt>
                    <c:pt idx="81">
                      <c:v>766964.55</c:v>
                    </c:pt>
                    <c:pt idx="82">
                      <c:v>766964.55</c:v>
                    </c:pt>
                    <c:pt idx="83">
                      <c:v>766964.55</c:v>
                    </c:pt>
                    <c:pt idx="84">
                      <c:v>766964.55</c:v>
                    </c:pt>
                    <c:pt idx="85">
                      <c:v>766964.55</c:v>
                    </c:pt>
                    <c:pt idx="86">
                      <c:v>766964.55</c:v>
                    </c:pt>
                    <c:pt idx="87">
                      <c:v>285159.15999999997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53D0-44ED-B04F-35FA399E840D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v>Repasse CEF obra SN2 Viabilidade</c:v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1675016</c:v>
                    </c:pt>
                    <c:pt idx="43">
                      <c:v>28143</c:v>
                    </c:pt>
                    <c:pt idx="44">
                      <c:v>23791</c:v>
                    </c:pt>
                    <c:pt idx="45">
                      <c:v>15084</c:v>
                    </c:pt>
                    <c:pt idx="46">
                      <c:v>1561929</c:v>
                    </c:pt>
                    <c:pt idx="47">
                      <c:v>362440</c:v>
                    </c:pt>
                    <c:pt idx="48">
                      <c:v>736338</c:v>
                    </c:pt>
                    <c:pt idx="49">
                      <c:v>1132827</c:v>
                    </c:pt>
                    <c:pt idx="50">
                      <c:v>1820615</c:v>
                    </c:pt>
                    <c:pt idx="51">
                      <c:v>2225197</c:v>
                    </c:pt>
                    <c:pt idx="52">
                      <c:v>1454506</c:v>
                    </c:pt>
                    <c:pt idx="53">
                      <c:v>1454506</c:v>
                    </c:pt>
                    <c:pt idx="54">
                      <c:v>1454506</c:v>
                    </c:pt>
                    <c:pt idx="55">
                      <c:v>1454506</c:v>
                    </c:pt>
                    <c:pt idx="56">
                      <c:v>1454506</c:v>
                    </c:pt>
                    <c:pt idx="57">
                      <c:v>1454506</c:v>
                    </c:pt>
                    <c:pt idx="58">
                      <c:v>1454506</c:v>
                    </c:pt>
                    <c:pt idx="59">
                      <c:v>1454506</c:v>
                    </c:pt>
                    <c:pt idx="60">
                      <c:v>1454506</c:v>
                    </c:pt>
                    <c:pt idx="61">
                      <c:v>1454506</c:v>
                    </c:pt>
                    <c:pt idx="62">
                      <c:v>1090879</c:v>
                    </c:pt>
                    <c:pt idx="63">
                      <c:v>1090879</c:v>
                    </c:pt>
                    <c:pt idx="64">
                      <c:v>1090879</c:v>
                    </c:pt>
                    <c:pt idx="65">
                      <c:v>1090879</c:v>
                    </c:pt>
                    <c:pt idx="66">
                      <c:v>1090879</c:v>
                    </c:pt>
                    <c:pt idx="67">
                      <c:v>6631823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53D0-44ED-B04F-35FA399E840D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v>Repasse CEF obra SN4 Viabilidade</c:v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763805</c:v>
                    </c:pt>
                    <c:pt idx="56">
                      <c:v>305522</c:v>
                    </c:pt>
                    <c:pt idx="57">
                      <c:v>305522</c:v>
                    </c:pt>
                    <c:pt idx="58">
                      <c:v>305522</c:v>
                    </c:pt>
                    <c:pt idx="59">
                      <c:v>611044</c:v>
                    </c:pt>
                    <c:pt idx="60">
                      <c:v>611044</c:v>
                    </c:pt>
                    <c:pt idx="61">
                      <c:v>611044</c:v>
                    </c:pt>
                    <c:pt idx="62">
                      <c:v>611044</c:v>
                    </c:pt>
                    <c:pt idx="63">
                      <c:v>611044</c:v>
                    </c:pt>
                    <c:pt idx="64">
                      <c:v>916566</c:v>
                    </c:pt>
                    <c:pt idx="65">
                      <c:v>916566</c:v>
                    </c:pt>
                    <c:pt idx="66">
                      <c:v>916566</c:v>
                    </c:pt>
                    <c:pt idx="67">
                      <c:v>916566</c:v>
                    </c:pt>
                    <c:pt idx="68">
                      <c:v>916566</c:v>
                    </c:pt>
                    <c:pt idx="69">
                      <c:v>1222088</c:v>
                    </c:pt>
                    <c:pt idx="70">
                      <c:v>1222088</c:v>
                    </c:pt>
                    <c:pt idx="71">
                      <c:v>1222088</c:v>
                    </c:pt>
                    <c:pt idx="72">
                      <c:v>1222088</c:v>
                    </c:pt>
                    <c:pt idx="73">
                      <c:v>916566</c:v>
                    </c:pt>
                    <c:pt idx="74">
                      <c:v>916566</c:v>
                    </c:pt>
                    <c:pt idx="75">
                      <c:v>916566</c:v>
                    </c:pt>
                    <c:pt idx="76">
                      <c:v>916566</c:v>
                    </c:pt>
                    <c:pt idx="77">
                      <c:v>916566</c:v>
                    </c:pt>
                    <c:pt idx="78">
                      <c:v>916566</c:v>
                    </c:pt>
                    <c:pt idx="79">
                      <c:v>916566</c:v>
                    </c:pt>
                    <c:pt idx="80">
                      <c:v>916566</c:v>
                    </c:pt>
                    <c:pt idx="81">
                      <c:v>916566</c:v>
                    </c:pt>
                    <c:pt idx="82">
                      <c:v>916566</c:v>
                    </c:pt>
                    <c:pt idx="83">
                      <c:v>916566</c:v>
                    </c:pt>
                    <c:pt idx="84">
                      <c:v>916566</c:v>
                    </c:pt>
                    <c:pt idx="85">
                      <c:v>916566</c:v>
                    </c:pt>
                    <c:pt idx="86">
                      <c:v>916566</c:v>
                    </c:pt>
                    <c:pt idx="87">
                      <c:v>916566</c:v>
                    </c:pt>
                    <c:pt idx="88">
                      <c:v>916566</c:v>
                    </c:pt>
                    <c:pt idx="89">
                      <c:v>1680371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53D0-44ED-B04F-35FA399E840D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v>Repasse CEF terreno AMP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967838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501445</c:v>
                    </c:pt>
                    <c:pt idx="32">
                      <c:v>121012</c:v>
                    </c:pt>
                    <c:pt idx="33">
                      <c:v>198238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597981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53D0-44ED-B04F-35FA399E840D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v>Repasse CEF terreno AVS Viabilidade</c:v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474495.29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53D0-44ED-B04F-35FA399E840D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v>Repasse CEF terreno GRA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1443110</c:v>
                    </c:pt>
                    <c:pt idx="46">
                      <c:v>2768645</c:v>
                    </c:pt>
                    <c:pt idx="47">
                      <c:v>461628</c:v>
                    </c:pt>
                    <c:pt idx="48">
                      <c:v>3449395</c:v>
                    </c:pt>
                    <c:pt idx="49">
                      <c:v>314578</c:v>
                    </c:pt>
                    <c:pt idx="50">
                      <c:v>816355</c:v>
                    </c:pt>
                    <c:pt idx="51">
                      <c:v>440100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53D0-44ED-B04F-35FA399E840D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v>Repasse CEF terreno LUC Viabilidade</c:v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1504424.78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53D0-44ED-B04F-35FA399E840D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v>Repasse CEF terreno SN2 Viabilidade</c:v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3437710</c:v>
                    </c:pt>
                    <c:pt idx="40">
                      <c:v>106146</c:v>
                    </c:pt>
                    <c:pt idx="41">
                      <c:v>380258</c:v>
                    </c:pt>
                    <c:pt idx="42">
                      <c:v>500000</c:v>
                    </c:pt>
                    <c:pt idx="43">
                      <c:v>350000</c:v>
                    </c:pt>
                    <c:pt idx="44">
                      <c:v>300000</c:v>
                    </c:pt>
                    <c:pt idx="45">
                      <c:v>250000</c:v>
                    </c:pt>
                    <c:pt idx="46">
                      <c:v>550000</c:v>
                    </c:pt>
                    <c:pt idx="47">
                      <c:v>375000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53D0-44ED-B04F-35FA399E840D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v>Repasse CEF terreno SN4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1829268</c:v>
                    </c:pt>
                    <c:pt idx="56">
                      <c:v>1829268</c:v>
                    </c:pt>
                    <c:pt idx="57">
                      <c:v>1829268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53D0-44ED-B04F-35FA399E840D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v>Pró soluto AVS Viabilidade</c:v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124000</c:v>
                    </c:pt>
                    <c:pt idx="1">
                      <c:v>85000</c:v>
                    </c:pt>
                    <c:pt idx="2">
                      <c:v>460000</c:v>
                    </c:pt>
                    <c:pt idx="3">
                      <c:v>102000</c:v>
                    </c:pt>
                    <c:pt idx="4">
                      <c:v>880000</c:v>
                    </c:pt>
                    <c:pt idx="5">
                      <c:v>701000</c:v>
                    </c:pt>
                    <c:pt idx="6">
                      <c:v>793256.43</c:v>
                    </c:pt>
                    <c:pt idx="7">
                      <c:v>1268188.9099999999</c:v>
                    </c:pt>
                    <c:pt idx="8">
                      <c:v>498364.52</c:v>
                    </c:pt>
                    <c:pt idx="9">
                      <c:v>269292.45</c:v>
                    </c:pt>
                    <c:pt idx="10">
                      <c:v>463891.31</c:v>
                    </c:pt>
                    <c:pt idx="11">
                      <c:v>690084.86</c:v>
                    </c:pt>
                    <c:pt idx="12">
                      <c:v>377664.3</c:v>
                    </c:pt>
                    <c:pt idx="13">
                      <c:v>292016.09999999998</c:v>
                    </c:pt>
                    <c:pt idx="14">
                      <c:v>247241.47</c:v>
                    </c:pt>
                    <c:pt idx="15">
                      <c:v>2992390.81</c:v>
                    </c:pt>
                    <c:pt idx="16">
                      <c:v>293443.44</c:v>
                    </c:pt>
                    <c:pt idx="17">
                      <c:v>252307.55</c:v>
                    </c:pt>
                    <c:pt idx="18">
                      <c:v>1767557.64</c:v>
                    </c:pt>
                    <c:pt idx="19">
                      <c:v>177759.34</c:v>
                    </c:pt>
                    <c:pt idx="20">
                      <c:v>534709.57999999996</c:v>
                    </c:pt>
                    <c:pt idx="21">
                      <c:v>349310.48</c:v>
                    </c:pt>
                    <c:pt idx="22">
                      <c:v>642679.52</c:v>
                    </c:pt>
                    <c:pt idx="23">
                      <c:v>644837.54</c:v>
                    </c:pt>
                    <c:pt idx="24">
                      <c:v>403653.54</c:v>
                    </c:pt>
                    <c:pt idx="25">
                      <c:v>250445.18</c:v>
                    </c:pt>
                    <c:pt idx="26">
                      <c:v>224627.65</c:v>
                    </c:pt>
                    <c:pt idx="27">
                      <c:v>686363.83</c:v>
                    </c:pt>
                    <c:pt idx="28">
                      <c:v>341358.88</c:v>
                    </c:pt>
                    <c:pt idx="29">
                      <c:v>250261.58</c:v>
                    </c:pt>
                    <c:pt idx="30">
                      <c:v>217386.47</c:v>
                    </c:pt>
                    <c:pt idx="31">
                      <c:v>403472.78</c:v>
                    </c:pt>
                    <c:pt idx="32">
                      <c:v>183078.81</c:v>
                    </c:pt>
                    <c:pt idx="33">
                      <c:v>322532.06</c:v>
                    </c:pt>
                    <c:pt idx="34">
                      <c:v>200906.63</c:v>
                    </c:pt>
                    <c:pt idx="35">
                      <c:v>700034.68</c:v>
                    </c:pt>
                    <c:pt idx="36">
                      <c:v>272360.7</c:v>
                    </c:pt>
                    <c:pt idx="37">
                      <c:v>575122.68000000005</c:v>
                    </c:pt>
                    <c:pt idx="38">
                      <c:v>236253.21</c:v>
                    </c:pt>
                    <c:pt idx="39">
                      <c:v>481544.98</c:v>
                    </c:pt>
                    <c:pt idx="40">
                      <c:v>214782.92</c:v>
                    </c:pt>
                    <c:pt idx="41">
                      <c:v>738205.18</c:v>
                    </c:pt>
                    <c:pt idx="42">
                      <c:v>94919.28</c:v>
                    </c:pt>
                    <c:pt idx="43">
                      <c:v>70751.350000000006</c:v>
                    </c:pt>
                    <c:pt idx="44">
                      <c:v>51978.45</c:v>
                    </c:pt>
                    <c:pt idx="45">
                      <c:v>43495.51</c:v>
                    </c:pt>
                    <c:pt idx="46">
                      <c:v>98588.73</c:v>
                    </c:pt>
                    <c:pt idx="47">
                      <c:v>64422.03</c:v>
                    </c:pt>
                    <c:pt idx="48">
                      <c:v>4988.25</c:v>
                    </c:pt>
                    <c:pt idx="49">
                      <c:v>3271.37</c:v>
                    </c:pt>
                    <c:pt idx="50">
                      <c:v>5433.8</c:v>
                    </c:pt>
                    <c:pt idx="51">
                      <c:v>9848.34</c:v>
                    </c:pt>
                    <c:pt idx="52">
                      <c:v>1792.46</c:v>
                    </c:pt>
                    <c:pt idx="53">
                      <c:v>2367.77</c:v>
                    </c:pt>
                    <c:pt idx="54">
                      <c:v>2146.9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1905.81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1904.33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2204.0300000000002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1218</c:v>
                    </c:pt>
                    <c:pt idx="72">
                      <c:v>111.57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53D0-44ED-B04F-35FA399E840D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v>Pró soluto GRA Viabilidade</c:v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1053582</c:v>
                    </c:pt>
                    <c:pt idx="35">
                      <c:v>547740</c:v>
                    </c:pt>
                    <c:pt idx="36">
                      <c:v>284025</c:v>
                    </c:pt>
                    <c:pt idx="37">
                      <c:v>255445</c:v>
                    </c:pt>
                    <c:pt idx="38">
                      <c:v>130930</c:v>
                    </c:pt>
                    <c:pt idx="39">
                      <c:v>225583</c:v>
                    </c:pt>
                    <c:pt idx="40">
                      <c:v>160996</c:v>
                    </c:pt>
                    <c:pt idx="41">
                      <c:v>131716</c:v>
                    </c:pt>
                    <c:pt idx="42">
                      <c:v>127223</c:v>
                    </c:pt>
                    <c:pt idx="43">
                      <c:v>140662</c:v>
                    </c:pt>
                    <c:pt idx="44">
                      <c:v>195168</c:v>
                    </c:pt>
                    <c:pt idx="45">
                      <c:v>137602</c:v>
                    </c:pt>
                    <c:pt idx="46">
                      <c:v>342893</c:v>
                    </c:pt>
                    <c:pt idx="47">
                      <c:v>451817</c:v>
                    </c:pt>
                    <c:pt idx="48">
                      <c:v>65586</c:v>
                    </c:pt>
                    <c:pt idx="49">
                      <c:v>178930</c:v>
                    </c:pt>
                    <c:pt idx="50">
                      <c:v>197830</c:v>
                    </c:pt>
                    <c:pt idx="51">
                      <c:v>573751</c:v>
                    </c:pt>
                    <c:pt idx="52">
                      <c:v>208629</c:v>
                    </c:pt>
                    <c:pt idx="53">
                      <c:v>192497</c:v>
                    </c:pt>
                    <c:pt idx="54">
                      <c:v>259239</c:v>
                    </c:pt>
                    <c:pt idx="55">
                      <c:v>206140</c:v>
                    </c:pt>
                    <c:pt idx="56">
                      <c:v>221705</c:v>
                    </c:pt>
                    <c:pt idx="57">
                      <c:v>225445</c:v>
                    </c:pt>
                    <c:pt idx="58">
                      <c:v>531955</c:v>
                    </c:pt>
                    <c:pt idx="59">
                      <c:v>320682</c:v>
                    </c:pt>
                    <c:pt idx="60">
                      <c:v>206997</c:v>
                    </c:pt>
                    <c:pt idx="61">
                      <c:v>202206</c:v>
                    </c:pt>
                    <c:pt idx="62">
                      <c:v>212812</c:v>
                    </c:pt>
                    <c:pt idx="63">
                      <c:v>700141</c:v>
                    </c:pt>
                    <c:pt idx="64">
                      <c:v>216321</c:v>
                    </c:pt>
                    <c:pt idx="65">
                      <c:v>202219</c:v>
                    </c:pt>
                    <c:pt idx="66">
                      <c:v>220817</c:v>
                    </c:pt>
                    <c:pt idx="67">
                      <c:v>205411</c:v>
                    </c:pt>
                    <c:pt idx="68">
                      <c:v>194421</c:v>
                    </c:pt>
                    <c:pt idx="69">
                      <c:v>371909</c:v>
                    </c:pt>
                    <c:pt idx="70">
                      <c:v>1275043</c:v>
                    </c:pt>
                    <c:pt idx="71">
                      <c:v>82317</c:v>
                    </c:pt>
                    <c:pt idx="72">
                      <c:v>63667</c:v>
                    </c:pt>
                    <c:pt idx="73">
                      <c:v>40985</c:v>
                    </c:pt>
                    <c:pt idx="74">
                      <c:v>3770</c:v>
                    </c:pt>
                    <c:pt idx="75">
                      <c:v>3460</c:v>
                    </c:pt>
                    <c:pt idx="76">
                      <c:v>2577</c:v>
                    </c:pt>
                    <c:pt idx="77">
                      <c:v>586</c:v>
                    </c:pt>
                    <c:pt idx="78">
                      <c:v>216</c:v>
                    </c:pt>
                    <c:pt idx="79">
                      <c:v>112</c:v>
                    </c:pt>
                    <c:pt idx="80">
                      <c:v>112</c:v>
                    </c:pt>
                    <c:pt idx="81">
                      <c:v>361</c:v>
                    </c:pt>
                    <c:pt idx="82">
                      <c:v>204</c:v>
                    </c:pt>
                    <c:pt idx="83">
                      <c:v>0</c:v>
                    </c:pt>
                    <c:pt idx="84">
                      <c:v>675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53D0-44ED-B04F-35FA399E840D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v>Pró soluto LUC Viabilidade</c:v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263041</c:v>
                    </c:pt>
                    <c:pt idx="40">
                      <c:v>155633</c:v>
                    </c:pt>
                    <c:pt idx="41">
                      <c:v>106355</c:v>
                    </c:pt>
                    <c:pt idx="42">
                      <c:v>67462</c:v>
                    </c:pt>
                    <c:pt idx="43">
                      <c:v>58577</c:v>
                    </c:pt>
                    <c:pt idx="44">
                      <c:v>66103</c:v>
                    </c:pt>
                    <c:pt idx="45">
                      <c:v>62325</c:v>
                    </c:pt>
                    <c:pt idx="46">
                      <c:v>126018</c:v>
                    </c:pt>
                    <c:pt idx="47">
                      <c:v>74668</c:v>
                    </c:pt>
                    <c:pt idx="48">
                      <c:v>29768</c:v>
                    </c:pt>
                    <c:pt idx="49">
                      <c:v>66700</c:v>
                    </c:pt>
                    <c:pt idx="50">
                      <c:v>69182</c:v>
                    </c:pt>
                    <c:pt idx="51">
                      <c:v>608619</c:v>
                    </c:pt>
                    <c:pt idx="52">
                      <c:v>87331</c:v>
                    </c:pt>
                    <c:pt idx="53">
                      <c:v>88291</c:v>
                    </c:pt>
                    <c:pt idx="54">
                      <c:v>89046</c:v>
                    </c:pt>
                    <c:pt idx="55">
                      <c:v>88916</c:v>
                    </c:pt>
                    <c:pt idx="56">
                      <c:v>89714</c:v>
                    </c:pt>
                    <c:pt idx="57">
                      <c:v>106247</c:v>
                    </c:pt>
                    <c:pt idx="58">
                      <c:v>92327</c:v>
                    </c:pt>
                    <c:pt idx="59">
                      <c:v>94031</c:v>
                    </c:pt>
                    <c:pt idx="60">
                      <c:v>94996</c:v>
                    </c:pt>
                    <c:pt idx="61">
                      <c:v>95663</c:v>
                    </c:pt>
                    <c:pt idx="62">
                      <c:v>97200</c:v>
                    </c:pt>
                    <c:pt idx="63">
                      <c:v>770368</c:v>
                    </c:pt>
                    <c:pt idx="64">
                      <c:v>102415</c:v>
                    </c:pt>
                    <c:pt idx="65">
                      <c:v>101925</c:v>
                    </c:pt>
                    <c:pt idx="66">
                      <c:v>103365</c:v>
                    </c:pt>
                    <c:pt idx="67">
                      <c:v>104478</c:v>
                    </c:pt>
                    <c:pt idx="68">
                      <c:v>103787</c:v>
                    </c:pt>
                    <c:pt idx="69">
                      <c:v>149957</c:v>
                    </c:pt>
                    <c:pt idx="70">
                      <c:v>104443</c:v>
                    </c:pt>
                    <c:pt idx="71">
                      <c:v>105085</c:v>
                    </c:pt>
                    <c:pt idx="72">
                      <c:v>105258</c:v>
                    </c:pt>
                    <c:pt idx="73">
                      <c:v>105400</c:v>
                    </c:pt>
                    <c:pt idx="74">
                      <c:v>105580</c:v>
                    </c:pt>
                    <c:pt idx="75">
                      <c:v>763005</c:v>
                    </c:pt>
                    <c:pt idx="76">
                      <c:v>92300</c:v>
                    </c:pt>
                    <c:pt idx="77">
                      <c:v>90924</c:v>
                    </c:pt>
                    <c:pt idx="78">
                      <c:v>180831</c:v>
                    </c:pt>
                    <c:pt idx="79">
                      <c:v>64521</c:v>
                    </c:pt>
                    <c:pt idx="80">
                      <c:v>12705</c:v>
                    </c:pt>
                    <c:pt idx="81">
                      <c:v>66240</c:v>
                    </c:pt>
                    <c:pt idx="82">
                      <c:v>124399</c:v>
                    </c:pt>
                    <c:pt idx="83">
                      <c:v>7229</c:v>
                    </c:pt>
                    <c:pt idx="84">
                      <c:v>6564</c:v>
                    </c:pt>
                    <c:pt idx="85">
                      <c:v>7248</c:v>
                    </c:pt>
                    <c:pt idx="86">
                      <c:v>6564</c:v>
                    </c:pt>
                    <c:pt idx="87">
                      <c:v>59464</c:v>
                    </c:pt>
                    <c:pt idx="88">
                      <c:v>6564</c:v>
                    </c:pt>
                    <c:pt idx="89">
                      <c:v>6564</c:v>
                    </c:pt>
                    <c:pt idx="90">
                      <c:v>6564</c:v>
                    </c:pt>
                    <c:pt idx="91">
                      <c:v>6564</c:v>
                    </c:pt>
                    <c:pt idx="92">
                      <c:v>6564</c:v>
                    </c:pt>
                    <c:pt idx="93">
                      <c:v>6564</c:v>
                    </c:pt>
                    <c:pt idx="94">
                      <c:v>6644</c:v>
                    </c:pt>
                    <c:pt idx="95">
                      <c:v>6844</c:v>
                    </c:pt>
                    <c:pt idx="96">
                      <c:v>6844</c:v>
                    </c:pt>
                    <c:pt idx="97">
                      <c:v>6844</c:v>
                    </c:pt>
                    <c:pt idx="98">
                      <c:v>6844</c:v>
                    </c:pt>
                    <c:pt idx="99">
                      <c:v>6844</c:v>
                    </c:pt>
                    <c:pt idx="100">
                      <c:v>6844</c:v>
                    </c:pt>
                    <c:pt idx="101">
                      <c:v>6844</c:v>
                    </c:pt>
                    <c:pt idx="102">
                      <c:v>6844</c:v>
                    </c:pt>
                    <c:pt idx="103">
                      <c:v>6844</c:v>
                    </c:pt>
                    <c:pt idx="104">
                      <c:v>6844</c:v>
                    </c:pt>
                    <c:pt idx="105">
                      <c:v>6844</c:v>
                    </c:pt>
                    <c:pt idx="106">
                      <c:v>6444</c:v>
                    </c:pt>
                    <c:pt idx="107">
                      <c:v>3670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53D0-44ED-B04F-35FA399E840D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v>Pró soluto SN2 Viabilidade</c:v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454273.79</c:v>
                    </c:pt>
                    <c:pt idx="28">
                      <c:v>536238.76</c:v>
                    </c:pt>
                    <c:pt idx="29">
                      <c:v>772831.7</c:v>
                    </c:pt>
                    <c:pt idx="30">
                      <c:v>1202469.6399999999</c:v>
                    </c:pt>
                    <c:pt idx="31">
                      <c:v>750196.88</c:v>
                    </c:pt>
                    <c:pt idx="32">
                      <c:v>391892.94</c:v>
                    </c:pt>
                    <c:pt idx="33">
                      <c:v>332388.09000000003</c:v>
                    </c:pt>
                    <c:pt idx="34">
                      <c:v>290727.71000000002</c:v>
                    </c:pt>
                    <c:pt idx="35">
                      <c:v>362693.31</c:v>
                    </c:pt>
                    <c:pt idx="36">
                      <c:v>520413.75</c:v>
                    </c:pt>
                    <c:pt idx="37">
                      <c:v>560610.56999999995</c:v>
                    </c:pt>
                    <c:pt idx="38">
                      <c:v>388992.92</c:v>
                    </c:pt>
                    <c:pt idx="39">
                      <c:v>1088253.8700000001</c:v>
                    </c:pt>
                    <c:pt idx="40">
                      <c:v>624394</c:v>
                    </c:pt>
                    <c:pt idx="41">
                      <c:v>317041</c:v>
                    </c:pt>
                    <c:pt idx="42">
                      <c:v>327177</c:v>
                    </c:pt>
                    <c:pt idx="43">
                      <c:v>413932</c:v>
                    </c:pt>
                    <c:pt idx="44">
                      <c:v>306625</c:v>
                    </c:pt>
                    <c:pt idx="45">
                      <c:v>395519</c:v>
                    </c:pt>
                    <c:pt idx="46">
                      <c:v>356581</c:v>
                    </c:pt>
                    <c:pt idx="47">
                      <c:v>405457</c:v>
                    </c:pt>
                    <c:pt idx="48">
                      <c:v>113672</c:v>
                    </c:pt>
                    <c:pt idx="49">
                      <c:v>301720</c:v>
                    </c:pt>
                    <c:pt idx="50">
                      <c:v>288430</c:v>
                    </c:pt>
                    <c:pt idx="51">
                      <c:v>1511103</c:v>
                    </c:pt>
                    <c:pt idx="52">
                      <c:v>403963</c:v>
                    </c:pt>
                    <c:pt idx="53">
                      <c:v>315060</c:v>
                    </c:pt>
                    <c:pt idx="54">
                      <c:v>417329</c:v>
                    </c:pt>
                    <c:pt idx="55">
                      <c:v>334450</c:v>
                    </c:pt>
                    <c:pt idx="56">
                      <c:v>293547</c:v>
                    </c:pt>
                    <c:pt idx="57">
                      <c:v>358266</c:v>
                    </c:pt>
                    <c:pt idx="58">
                      <c:v>379601</c:v>
                    </c:pt>
                    <c:pt idx="59">
                      <c:v>300970</c:v>
                    </c:pt>
                    <c:pt idx="60">
                      <c:v>277310</c:v>
                    </c:pt>
                    <c:pt idx="61">
                      <c:v>1410314</c:v>
                    </c:pt>
                    <c:pt idx="62">
                      <c:v>499883</c:v>
                    </c:pt>
                    <c:pt idx="63">
                      <c:v>450531</c:v>
                    </c:pt>
                    <c:pt idx="64">
                      <c:v>51464</c:v>
                    </c:pt>
                    <c:pt idx="65">
                      <c:v>67491</c:v>
                    </c:pt>
                    <c:pt idx="66">
                      <c:v>32401</c:v>
                    </c:pt>
                    <c:pt idx="67">
                      <c:v>29819</c:v>
                    </c:pt>
                    <c:pt idx="68">
                      <c:v>21473</c:v>
                    </c:pt>
                    <c:pt idx="69">
                      <c:v>19064</c:v>
                    </c:pt>
                    <c:pt idx="70">
                      <c:v>4989</c:v>
                    </c:pt>
                    <c:pt idx="71">
                      <c:v>1629</c:v>
                    </c:pt>
                    <c:pt idx="72">
                      <c:v>439</c:v>
                    </c:pt>
                    <c:pt idx="73">
                      <c:v>505</c:v>
                    </c:pt>
                    <c:pt idx="74">
                      <c:v>105</c:v>
                    </c:pt>
                    <c:pt idx="75">
                      <c:v>1357</c:v>
                    </c:pt>
                    <c:pt idx="76">
                      <c:v>356</c:v>
                    </c:pt>
                    <c:pt idx="77">
                      <c:v>0</c:v>
                    </c:pt>
                    <c:pt idx="78">
                      <c:v>709</c:v>
                    </c:pt>
                    <c:pt idx="79">
                      <c:v>0</c:v>
                    </c:pt>
                    <c:pt idx="80">
                      <c:v>204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53D0-44ED-B04F-35FA399E840D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v>Pró soluto SN4 Viabilidade</c:v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600000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</c:v>
                    </c:pt>
                    <c:pt idx="47">
                      <c:v>889990</c:v>
                    </c:pt>
                    <c:pt idx="48">
                      <c:v>128025</c:v>
                    </c:pt>
                    <c:pt idx="49">
                      <c:v>126328</c:v>
                    </c:pt>
                    <c:pt idx="50">
                      <c:v>102967</c:v>
                    </c:pt>
                    <c:pt idx="51">
                      <c:v>231398</c:v>
                    </c:pt>
                    <c:pt idx="52">
                      <c:v>140262</c:v>
                    </c:pt>
                    <c:pt idx="53">
                      <c:v>116377</c:v>
                    </c:pt>
                    <c:pt idx="54">
                      <c:v>119886</c:v>
                    </c:pt>
                    <c:pt idx="55">
                      <c:v>127057</c:v>
                    </c:pt>
                    <c:pt idx="56">
                      <c:v>321242</c:v>
                    </c:pt>
                    <c:pt idx="57">
                      <c:v>176835</c:v>
                    </c:pt>
                    <c:pt idx="58">
                      <c:v>508796</c:v>
                    </c:pt>
                    <c:pt idx="59">
                      <c:v>154753</c:v>
                    </c:pt>
                    <c:pt idx="60">
                      <c:v>155620</c:v>
                    </c:pt>
                    <c:pt idx="61">
                      <c:v>174837</c:v>
                    </c:pt>
                    <c:pt idx="62">
                      <c:v>156421</c:v>
                    </c:pt>
                    <c:pt idx="63">
                      <c:v>537026</c:v>
                    </c:pt>
                    <c:pt idx="64">
                      <c:v>188935</c:v>
                    </c:pt>
                    <c:pt idx="65">
                      <c:v>169291</c:v>
                    </c:pt>
                    <c:pt idx="66">
                      <c:v>170617</c:v>
                    </c:pt>
                    <c:pt idx="67">
                      <c:v>173415</c:v>
                    </c:pt>
                    <c:pt idx="68">
                      <c:v>345280</c:v>
                    </c:pt>
                    <c:pt idx="69">
                      <c:v>251085</c:v>
                    </c:pt>
                    <c:pt idx="70">
                      <c:v>570642</c:v>
                    </c:pt>
                    <c:pt idx="71">
                      <c:v>181949</c:v>
                    </c:pt>
                    <c:pt idx="72">
                      <c:v>178414</c:v>
                    </c:pt>
                    <c:pt idx="73">
                      <c:v>198971</c:v>
                    </c:pt>
                    <c:pt idx="74">
                      <c:v>179273</c:v>
                    </c:pt>
                    <c:pt idx="75">
                      <c:v>623423</c:v>
                    </c:pt>
                    <c:pt idx="76">
                      <c:v>183338</c:v>
                    </c:pt>
                    <c:pt idx="77">
                      <c:v>179380</c:v>
                    </c:pt>
                    <c:pt idx="78">
                      <c:v>179821</c:v>
                    </c:pt>
                    <c:pt idx="79">
                      <c:v>179821</c:v>
                    </c:pt>
                    <c:pt idx="80">
                      <c:v>478049</c:v>
                    </c:pt>
                    <c:pt idx="81">
                      <c:v>278950</c:v>
                    </c:pt>
                    <c:pt idx="82">
                      <c:v>566484</c:v>
                    </c:pt>
                    <c:pt idx="83">
                      <c:v>172394</c:v>
                    </c:pt>
                    <c:pt idx="84">
                      <c:v>169692</c:v>
                    </c:pt>
                    <c:pt idx="85">
                      <c:v>185704</c:v>
                    </c:pt>
                    <c:pt idx="86">
                      <c:v>162558</c:v>
                    </c:pt>
                    <c:pt idx="87">
                      <c:v>566933</c:v>
                    </c:pt>
                    <c:pt idx="88">
                      <c:v>4710</c:v>
                    </c:pt>
                    <c:pt idx="89">
                      <c:v>128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53D0-44ED-B04F-35FA399E840D}"/>
                  </c:ext>
                </c:extLst>
              </c15:ser>
            </c15:filteredLineSeries>
          </c:ext>
        </c:extLst>
      </c:lineChart>
      <c:catAx>
        <c:axId val="1368426575"/>
        <c:scaling>
          <c:orientation val="minMax"/>
          <c:max val="76"/>
          <c:min val="17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34735"/>
        <c:crosses val="autoZero"/>
        <c:auto val="1"/>
        <c:lblAlgn val="ctr"/>
        <c:lblOffset val="100"/>
        <c:noMultiLvlLbl val="1"/>
      </c:catAx>
      <c:valAx>
        <c:axId val="1368434735"/>
        <c:scaling>
          <c:orientation val="minMax"/>
          <c:max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26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VGV</a:t>
            </a:r>
            <a:r>
              <a:rPr lang="en-US" baseline="0"/>
              <a:t> </a:t>
            </a:r>
            <a:r>
              <a:rPr lang="en-US"/>
              <a:t>(incluindo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2E6-4E66-A806-61EB318A57FB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32E6-4E66-A806-61EB318A57FB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32E6-4E66-A806-61EB318A57FB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32E6-4E66-A806-61EB318A57FB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32E6-4E66-A806-61EB318A57FB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32E6-4E66-A806-61EB318A57FB}"/>
            </c:ext>
          </c:extLst>
        </c:ser>
        <c:ser>
          <c:idx val="14"/>
          <c:order val="14"/>
          <c:tx>
            <c:strRef>
              <c:f>vgv!$L$3</c:f>
              <c:strCache>
                <c:ptCount val="1"/>
                <c:pt idx="0">
                  <c:v>VGV
(essa planilha)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vgv!$L$4:$L$17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25897159</c:v>
                </c:pt>
                <c:pt idx="2">
                  <c:v>0</c:v>
                </c:pt>
                <c:pt idx="3">
                  <c:v>41582807</c:v>
                </c:pt>
                <c:pt idx="4">
                  <c:v>0</c:v>
                </c:pt>
                <c:pt idx="5">
                  <c:v>47237829</c:v>
                </c:pt>
                <c:pt idx="6">
                  <c:v>0</c:v>
                </c:pt>
                <c:pt idx="7">
                  <c:v>36723359</c:v>
                </c:pt>
                <c:pt idx="8">
                  <c:v>0</c:v>
                </c:pt>
                <c:pt idx="9">
                  <c:v>25916903</c:v>
                </c:pt>
                <c:pt idx="10">
                  <c:v>0</c:v>
                </c:pt>
                <c:pt idx="11">
                  <c:v>60385343.730000004</c:v>
                </c:pt>
                <c:pt idx="12">
                  <c:v>0</c:v>
                </c:pt>
                <c:pt idx="13">
                  <c:v>54551492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E6-4E66-A806-61EB318A5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vgv!$C$3</c15:sqref>
                        </c15:formulaRef>
                      </c:ext>
                    </c:extLst>
                    <c:strCache>
                      <c:ptCount val="1"/>
                      <c:pt idx="0">
                        <c:v>Repasse obra
(incorrido)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vgv!$C$4:$C$17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10969791</c:v>
                      </c:pt>
                      <c:pt idx="2">
                        <c:v>0</c:v>
                      </c:pt>
                      <c:pt idx="3">
                        <c:v>18611890</c:v>
                      </c:pt>
                      <c:pt idx="4">
                        <c:v>0</c:v>
                      </c:pt>
                      <c:pt idx="5">
                        <c:v>4747377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  <c:pt idx="11">
                        <c:v>6607255</c:v>
                      </c:pt>
                      <c:pt idx="12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32E6-4E66-A806-61EB318A57FB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vgv!$D$3</c15:sqref>
                        </c15:formulaRef>
                      </c:ext>
                    </c:extLst>
                    <c:strCache>
                      <c:ptCount val="1"/>
                      <c:pt idx="0">
                        <c:v>Repasse obra
(a incorrer)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vgv!$D$4:$D$17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2411486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17101428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  <c:pt idx="11">
                        <c:v>25947554</c:v>
                      </c:pt>
                      <c:pt idx="1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2E6-4E66-A806-61EB318A57FB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vgv!$E$3</c15:sqref>
                        </c15:formulaRef>
                      </c:ext>
                    </c:extLst>
                    <c:strCache>
                      <c:ptCount val="1"/>
                      <c:pt idx="0">
                        <c:v>Repasse terreno
(incorrido)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vgv!$E$4:$E$17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2076560</c:v>
                      </c:pt>
                      <c:pt idx="2">
                        <c:v>0</c:v>
                      </c:pt>
                      <c:pt idx="3">
                        <c:v>3812440</c:v>
                      </c:pt>
                      <c:pt idx="4">
                        <c:v>0</c:v>
                      </c:pt>
                      <c:pt idx="5">
                        <c:v>4683225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  <c:pt idx="11">
                        <c:v>6328879</c:v>
                      </c:pt>
                      <c:pt idx="1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E6-4E66-A806-61EB318A57FB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vgv!$F$3</c15:sqref>
                        </c15:formulaRef>
                      </c:ext>
                    </c:extLst>
                    <c:strCache>
                      <c:ptCount val="1"/>
                      <c:pt idx="0">
                        <c:v>Repasse terreno
(a incorrer)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vgv!$F$4:$F$17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163842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148936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  <c:pt idx="11">
                        <c:v>369231</c:v>
                      </c:pt>
                      <c:pt idx="1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E6-4E66-A806-61EB318A57FB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vgv!$G$3</c15:sqref>
                        </c15:formulaRef>
                      </c:ext>
                    </c:extLst>
                    <c:strCache>
                      <c:ptCount val="1"/>
                      <c:pt idx="0">
                        <c:v>Repasse
(a assinar)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vgv!$G$4:$G$17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13476430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E6-4E66-A806-61EB318A57FB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vgv!$H$3</c15:sqref>
                        </c15:formulaRef>
                      </c:ext>
                    </c:extLst>
                    <c:strCache>
                      <c:ptCount val="1"/>
                      <c:pt idx="0">
                        <c:v>Pró soluto
(incorrido)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vgv!$H$4:$H$17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5441368</c:v>
                      </c:pt>
                      <c:pt idx="2">
                        <c:v>0</c:v>
                      </c:pt>
                      <c:pt idx="3">
                        <c:v>17547728</c:v>
                      </c:pt>
                      <c:pt idx="4">
                        <c:v>0</c:v>
                      </c:pt>
                      <c:pt idx="5">
                        <c:v>8224551</c:v>
                      </c:pt>
                      <c:pt idx="6">
                        <c:v>0</c:v>
                      </c:pt>
                      <c:pt idx="7">
                        <c:v>1155519</c:v>
                      </c:pt>
                      <c:pt idx="8">
                        <c:v>0</c:v>
                      </c:pt>
                      <c:pt idx="9">
                        <c:v>8478046</c:v>
                      </c:pt>
                      <c:pt idx="10">
                        <c:v>0</c:v>
                      </c:pt>
                      <c:pt idx="11">
                        <c:v>11982013.73</c:v>
                      </c:pt>
                      <c:pt idx="12">
                        <c:v>0</c:v>
                      </c:pt>
                      <c:pt idx="13">
                        <c:v>4070583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2E6-4E66-A806-61EB318A57FB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vgv!$I$3</c15:sqref>
                        </c15:formulaRef>
                      </c:ext>
                    </c:extLst>
                    <c:strCache>
                      <c:ptCount val="1"/>
                      <c:pt idx="0">
                        <c:v>Pró soluto
(a incorrer)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vgv!$I$4:$I$17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2532963</c:v>
                      </c:pt>
                      <c:pt idx="2">
                        <c:v>0</c:v>
                      </c:pt>
                      <c:pt idx="3">
                        <c:v>42900</c:v>
                      </c:pt>
                      <c:pt idx="4">
                        <c:v>0</c:v>
                      </c:pt>
                      <c:pt idx="5">
                        <c:v>6883519</c:v>
                      </c:pt>
                      <c:pt idx="6">
                        <c:v>0</c:v>
                      </c:pt>
                      <c:pt idx="7">
                        <c:v>5494622</c:v>
                      </c:pt>
                      <c:pt idx="8">
                        <c:v>0</c:v>
                      </c:pt>
                      <c:pt idx="9">
                        <c:v>3542427</c:v>
                      </c:pt>
                      <c:pt idx="10">
                        <c:v>0</c:v>
                      </c:pt>
                      <c:pt idx="11">
                        <c:v>6927535</c:v>
                      </c:pt>
                      <c:pt idx="12">
                        <c:v>0</c:v>
                      </c:pt>
                      <c:pt idx="13">
                        <c:v>14956888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2E6-4E66-A806-61EB318A57FB}"/>
                  </c:ext>
                </c:extLst>
              </c15:ser>
            </c15:filteredBarSeries>
            <c15:filteredB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vgv!$K$3</c15:sqref>
                        </c15:formulaRef>
                      </c:ext>
                    </c:extLst>
                    <c:strCache>
                      <c:ptCount val="1"/>
                      <c:pt idx="0">
                        <c:v>Estoque
(R$)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vgv!$K$4:$K$17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2301149</c:v>
                      </c:pt>
                      <c:pt idx="2">
                        <c:v>0</c:v>
                      </c:pt>
                      <c:pt idx="3">
                        <c:v>1567849</c:v>
                      </c:pt>
                      <c:pt idx="4">
                        <c:v>0</c:v>
                      </c:pt>
                      <c:pt idx="5">
                        <c:v>5448793</c:v>
                      </c:pt>
                      <c:pt idx="6">
                        <c:v>0</c:v>
                      </c:pt>
                      <c:pt idx="7">
                        <c:v>30073218</c:v>
                      </c:pt>
                      <c:pt idx="8">
                        <c:v>0</c:v>
                      </c:pt>
                      <c:pt idx="9">
                        <c:v>420000</c:v>
                      </c:pt>
                      <c:pt idx="10">
                        <c:v>0</c:v>
                      </c:pt>
                      <c:pt idx="11">
                        <c:v>2222876</c:v>
                      </c:pt>
                      <c:pt idx="12">
                        <c:v>0</c:v>
                      </c:pt>
                      <c:pt idx="13">
                        <c:v>35524021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32E6-4E66-A806-61EB318A57FB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25897161</c:v>
                      </c:pt>
                      <c:pt idx="1">
                        <c:v>25897161</c:v>
                      </c:pt>
                      <c:pt idx="2">
                        <c:v>41582807</c:v>
                      </c:pt>
                      <c:pt idx="3">
                        <c:v>41582807</c:v>
                      </c:pt>
                      <c:pt idx="4">
                        <c:v>47237835</c:v>
                      </c:pt>
                      <c:pt idx="5">
                        <c:v>47237835</c:v>
                      </c:pt>
                      <c:pt idx="6">
                        <c:v>64482292</c:v>
                      </c:pt>
                      <c:pt idx="7">
                        <c:v>64482292</c:v>
                      </c:pt>
                      <c:pt idx="8">
                        <c:v>25916905</c:v>
                      </c:pt>
                      <c:pt idx="9">
                        <c:v>25916905</c:v>
                      </c:pt>
                      <c:pt idx="10">
                        <c:v>60385343</c:v>
                      </c:pt>
                      <c:pt idx="11">
                        <c:v>60385343</c:v>
                      </c:pt>
                      <c:pt idx="12">
                        <c:v>106533245</c:v>
                      </c:pt>
                      <c:pt idx="13">
                        <c:v>106533245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32E6-4E66-A806-61EB318A57FB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Mapeamento</a:t>
            </a:r>
            <a:r>
              <a:rPr lang="pt-BR" baseline="0"/>
              <a:t> do VGV (incluindo as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532976398670946"/>
          <c:y val="0.11467437519734486"/>
          <c:w val="0.87534019556687592"/>
          <c:h val="0.526768991983417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vgv!$C$3</c:f>
              <c:strCache>
                <c:ptCount val="1"/>
                <c:pt idx="0">
                  <c:v>Repasse obra
(incorrido)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vgv!$C$4:$C$17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10969791</c:v>
                </c:pt>
                <c:pt idx="2">
                  <c:v>0</c:v>
                </c:pt>
                <c:pt idx="3">
                  <c:v>18611890</c:v>
                </c:pt>
                <c:pt idx="4">
                  <c:v>0</c:v>
                </c:pt>
                <c:pt idx="5">
                  <c:v>4747377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1">
                  <c:v>6607255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9F-4BE1-981F-4995332F2256}"/>
            </c:ext>
          </c:extLst>
        </c:ser>
        <c:ser>
          <c:idx val="1"/>
          <c:order val="1"/>
          <c:tx>
            <c:strRef>
              <c:f>vgv!$D$3</c:f>
              <c:strCache>
                <c:ptCount val="1"/>
                <c:pt idx="0">
                  <c:v>Repasse obra
(a incorrer)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vgv!$D$4:$D$17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2411486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17101428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1">
                  <c:v>25947554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9F-4BE1-981F-4995332F2256}"/>
            </c:ext>
          </c:extLst>
        </c:ser>
        <c:ser>
          <c:idx val="2"/>
          <c:order val="2"/>
          <c:tx>
            <c:strRef>
              <c:f>vgv!$E$3</c:f>
              <c:strCache>
                <c:ptCount val="1"/>
                <c:pt idx="0">
                  <c:v>Repasse terreno
(incorrido)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vgv!$E$4:$E$17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2076560</c:v>
                </c:pt>
                <c:pt idx="2">
                  <c:v>0</c:v>
                </c:pt>
                <c:pt idx="3">
                  <c:v>3812440</c:v>
                </c:pt>
                <c:pt idx="4">
                  <c:v>0</c:v>
                </c:pt>
                <c:pt idx="5">
                  <c:v>4683225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1">
                  <c:v>6328879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9F-4BE1-981F-4995332F2256}"/>
            </c:ext>
          </c:extLst>
        </c:ser>
        <c:ser>
          <c:idx val="3"/>
          <c:order val="3"/>
          <c:tx>
            <c:strRef>
              <c:f>vgv!$F$3</c:f>
              <c:strCache>
                <c:ptCount val="1"/>
                <c:pt idx="0">
                  <c:v>Repasse terreno
(a incorrer)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vgv!$F$4:$F$17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163842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148936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1">
                  <c:v>369231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9F-4BE1-981F-4995332F2256}"/>
            </c:ext>
          </c:extLst>
        </c:ser>
        <c:ser>
          <c:idx val="4"/>
          <c:order val="4"/>
          <c:tx>
            <c:strRef>
              <c:f>vgv!$G$3</c:f>
              <c:strCache>
                <c:ptCount val="1"/>
                <c:pt idx="0">
                  <c:v>Repasse
(a assinar)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vgv!$G$4:$G$17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13476430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9F-4BE1-981F-4995332F2256}"/>
            </c:ext>
          </c:extLst>
        </c:ser>
        <c:ser>
          <c:idx val="5"/>
          <c:order val="5"/>
          <c:tx>
            <c:strRef>
              <c:f>vgv!$H$3</c:f>
              <c:strCache>
                <c:ptCount val="1"/>
                <c:pt idx="0">
                  <c:v>Pró soluto
(incorrido)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vgv!$H$4:$H$17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5441368</c:v>
                </c:pt>
                <c:pt idx="2">
                  <c:v>0</c:v>
                </c:pt>
                <c:pt idx="3">
                  <c:v>17547728</c:v>
                </c:pt>
                <c:pt idx="4">
                  <c:v>0</c:v>
                </c:pt>
                <c:pt idx="5">
                  <c:v>8224551</c:v>
                </c:pt>
                <c:pt idx="6">
                  <c:v>0</c:v>
                </c:pt>
                <c:pt idx="7">
                  <c:v>1155519</c:v>
                </c:pt>
                <c:pt idx="8">
                  <c:v>0</c:v>
                </c:pt>
                <c:pt idx="9">
                  <c:v>8478046</c:v>
                </c:pt>
                <c:pt idx="10">
                  <c:v>0</c:v>
                </c:pt>
                <c:pt idx="11">
                  <c:v>11982013.73</c:v>
                </c:pt>
                <c:pt idx="12">
                  <c:v>0</c:v>
                </c:pt>
                <c:pt idx="13">
                  <c:v>4070583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9F-4BE1-981F-4995332F2256}"/>
            </c:ext>
          </c:extLst>
        </c:ser>
        <c:ser>
          <c:idx val="6"/>
          <c:order val="6"/>
          <c:tx>
            <c:strRef>
              <c:f>vgv!$I$3</c:f>
              <c:strCache>
                <c:ptCount val="1"/>
                <c:pt idx="0">
                  <c:v>Pró soluto
(a incorrer)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vgv!$I$4:$I$17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2532963</c:v>
                </c:pt>
                <c:pt idx="2">
                  <c:v>0</c:v>
                </c:pt>
                <c:pt idx="3">
                  <c:v>42900</c:v>
                </c:pt>
                <c:pt idx="4">
                  <c:v>0</c:v>
                </c:pt>
                <c:pt idx="5">
                  <c:v>6883519</c:v>
                </c:pt>
                <c:pt idx="6">
                  <c:v>0</c:v>
                </c:pt>
                <c:pt idx="7">
                  <c:v>5494622</c:v>
                </c:pt>
                <c:pt idx="8">
                  <c:v>0</c:v>
                </c:pt>
                <c:pt idx="9">
                  <c:v>3542427</c:v>
                </c:pt>
                <c:pt idx="10">
                  <c:v>0</c:v>
                </c:pt>
                <c:pt idx="11">
                  <c:v>6927535</c:v>
                </c:pt>
                <c:pt idx="12">
                  <c:v>0</c:v>
                </c:pt>
                <c:pt idx="13">
                  <c:v>14956888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9F-4BE1-981F-4995332F2256}"/>
            </c:ext>
          </c:extLst>
        </c:ser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8A9F-4BE1-981F-4995332F2256}"/>
            </c:ext>
          </c:extLst>
        </c:ser>
        <c:ser>
          <c:idx val="8"/>
          <c:order val="8"/>
          <c:tx>
            <c:strRef>
              <c:f>vgv!$K$3</c:f>
              <c:strCache>
                <c:ptCount val="1"/>
                <c:pt idx="0">
                  <c:v>Estoque
(R$)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vgv!$K$4:$K$17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2301149</c:v>
                </c:pt>
                <c:pt idx="2">
                  <c:v>0</c:v>
                </c:pt>
                <c:pt idx="3">
                  <c:v>1567849</c:v>
                </c:pt>
                <c:pt idx="4">
                  <c:v>0</c:v>
                </c:pt>
                <c:pt idx="5">
                  <c:v>5448793</c:v>
                </c:pt>
                <c:pt idx="6">
                  <c:v>0</c:v>
                </c:pt>
                <c:pt idx="7">
                  <c:v>30073218</c:v>
                </c:pt>
                <c:pt idx="8">
                  <c:v>0</c:v>
                </c:pt>
                <c:pt idx="9">
                  <c:v>420000</c:v>
                </c:pt>
                <c:pt idx="10">
                  <c:v>0</c:v>
                </c:pt>
                <c:pt idx="11">
                  <c:v>2222876</c:v>
                </c:pt>
                <c:pt idx="12">
                  <c:v>0</c:v>
                </c:pt>
                <c:pt idx="13">
                  <c:v>35524021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9F-4BE1-981F-4995332F2256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8A9F-4BE1-981F-4995332F2256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8A9F-4BE1-981F-4995332F2256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8A9F-4BE1-981F-4995332F2256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8A9F-4BE1-981F-4995332F2256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8A9F-4BE1-981F-4995332F2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14"/>
                <c:order val="14"/>
                <c:tx>
                  <c:strRef>
                    <c:extLst>
                      <c:ext uri="{02D57815-91ED-43cb-92C2-25804820EDAC}">
                        <c15:formulaRef>
                          <c15:sqref>vgv!$L$3</c15:sqref>
                        </c15:formulaRef>
                      </c:ext>
                    </c:extLst>
                    <c:strCache>
                      <c:ptCount val="1"/>
                      <c:pt idx="0">
                        <c:v>VGV
(essa planilha)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vgv!$L$4:$L$17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25897159</c:v>
                      </c:pt>
                      <c:pt idx="2">
                        <c:v>0</c:v>
                      </c:pt>
                      <c:pt idx="3">
                        <c:v>41582807</c:v>
                      </c:pt>
                      <c:pt idx="4">
                        <c:v>0</c:v>
                      </c:pt>
                      <c:pt idx="5">
                        <c:v>47237829</c:v>
                      </c:pt>
                      <c:pt idx="6">
                        <c:v>0</c:v>
                      </c:pt>
                      <c:pt idx="7">
                        <c:v>36723359</c:v>
                      </c:pt>
                      <c:pt idx="8">
                        <c:v>0</c:v>
                      </c:pt>
                      <c:pt idx="9">
                        <c:v>25916903</c:v>
                      </c:pt>
                      <c:pt idx="10">
                        <c:v>0</c:v>
                      </c:pt>
                      <c:pt idx="11">
                        <c:v>60385343.730000004</c:v>
                      </c:pt>
                      <c:pt idx="12">
                        <c:v>0</c:v>
                      </c:pt>
                      <c:pt idx="13">
                        <c:v>54551492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E-8A9F-4BE1-981F-4995332F2256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25897161</c:v>
                      </c:pt>
                      <c:pt idx="1">
                        <c:v>25897161</c:v>
                      </c:pt>
                      <c:pt idx="2">
                        <c:v>41582807</c:v>
                      </c:pt>
                      <c:pt idx="3">
                        <c:v>41582807</c:v>
                      </c:pt>
                      <c:pt idx="4">
                        <c:v>47237835</c:v>
                      </c:pt>
                      <c:pt idx="5">
                        <c:v>47237835</c:v>
                      </c:pt>
                      <c:pt idx="6">
                        <c:v>64482292</c:v>
                      </c:pt>
                      <c:pt idx="7">
                        <c:v>64482292</c:v>
                      </c:pt>
                      <c:pt idx="8">
                        <c:v>25916905</c:v>
                      </c:pt>
                      <c:pt idx="9">
                        <c:v>25916905</c:v>
                      </c:pt>
                      <c:pt idx="10">
                        <c:v>60385343</c:v>
                      </c:pt>
                      <c:pt idx="11">
                        <c:v>60385343</c:v>
                      </c:pt>
                      <c:pt idx="12">
                        <c:v>106533245</c:v>
                      </c:pt>
                      <c:pt idx="13">
                        <c:v>106533245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8A9F-4BE1-981F-4995332F2256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683439939129051"/>
          <c:y val="0.78801254816661792"/>
          <c:w val="0.74633120121741892"/>
          <c:h val="0.188986568255333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0</xdr:colOff>
      <xdr:row>26</xdr:row>
      <xdr:rowOff>0</xdr:rowOff>
    </xdr:from>
    <xdr:to>
      <xdr:col>50</xdr:col>
      <xdr:colOff>571499</xdr:colOff>
      <xdr:row>50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1C9BD1-1845-4B75-95A7-ACCE7906B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19</xdr:row>
      <xdr:rowOff>0</xdr:rowOff>
    </xdr:from>
    <xdr:to>
      <xdr:col>9</xdr:col>
      <xdr:colOff>392906</xdr:colOff>
      <xdr:row>40</xdr:row>
      <xdr:rowOff>47624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209FAB3-16A2-4D2E-BD13-E27E1524D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83344</xdr:colOff>
      <xdr:row>19</xdr:row>
      <xdr:rowOff>0</xdr:rowOff>
    </xdr:from>
    <xdr:to>
      <xdr:col>20</xdr:col>
      <xdr:colOff>130969</xdr:colOff>
      <xdr:row>40</xdr:row>
      <xdr:rowOff>35719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9F0EED1-BFF8-4A1D-B300-D3C86174A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itor Taira - Ampla Incorporadora" id="{42E265A3-45EC-48D4-9B29-0671EDA53BA5}" userId="S::vitor@amplaincorporadora.com.br::ddb8909e-7959-412e-b20f-156166411ac6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0DED94F-AB6C-42A7-B8EF-CD5BC285339A}" name="cef" displayName="cef" ref="A1:Q2" insertRow="1" totalsRowShown="0">
  <autoFilter ref="A1:Q2" xr:uid="{E8FA7595-112D-4C60-B256-84C25B28B431}"/>
  <tableColumns count="17">
    <tableColumn id="1" xr3:uid="{3570AA5B-AB84-4932-A4E9-065676376757}" name="contrato.cef.5"/>
    <tableColumn id="5" xr3:uid="{F4D420E6-ADFC-4E72-86B3-00C414350432}" name="repasse.cef.total"/>
    <tableColumn id="6" xr3:uid="{0C87FD47-0689-4857-9544-A0B67CD4C25A}" name="repasse.cef.incorrido"/>
    <tableColumn id="7" xr3:uid="{32EA18C0-049E-4338-B944-7719F5B1BA6C}" name="repasse.cef.a.incorrer"/>
    <tableColumn id="2" xr3:uid="{B5D5A371-0461-4A30-AFFF-6465E9D24360}" name="repasse.cef.fin"/>
    <tableColumn id="3" xr3:uid="{FFE5A976-8134-4A74-AA3B-41898723ED16}" name="repasse.cef.desc.subs"/>
    <tableColumn id="4" xr3:uid="{1C55CA90-E059-4D0D-B3B4-9186BFD6C69D}" name="repasse.cef.fgts"/>
    <tableColumn id="8" xr3:uid="{239BC140-D39A-43FA-A729-716B4AD9FB6A}" name="repasse.cef.rec.prop"/>
    <tableColumn id="9" xr3:uid="{ADB0E97D-3E88-432A-880A-ED3230671089}" name="repasse.cef.terreno.acum"/>
    <tableColumn id="10" xr3:uid="{D0282A00-490C-4B50-9685-8AE9F8F06EE6}" name="repasse.cef.terreno"/>
    <tableColumn id="11" xr3:uid="{BC55438C-9573-4A41-A46D-8E4466185312}" name="cef.terreno"/>
    <tableColumn id="12" xr3:uid="{F0183ACA-81DC-451A-A00D-4CFB875B9E43}" name="repasse.cef.obra.acum"/>
    <tableColumn id="13" xr3:uid="{67BDED87-B5B9-428A-A2D2-DD6F0E9FF78E}" name="repasse.cef.obra"/>
    <tableColumn id="14" xr3:uid="{9C666AFA-7D3B-430F-8C9E-845252D5CD56}" name="cef.obra"/>
    <tableColumn id="15" xr3:uid="{212CF00A-DBFA-4BEA-A956-F87A3BF9D7B9}" name="amortizacao.pj"/>
    <tableColumn id="16" xr3:uid="{C9E84EA5-2D30-46AD-A47E-05B773829700}" name="remuneracao.terreno"/>
    <tableColumn id="17" xr3:uid="{40B33096-7492-462E-8B71-3B165A6A9ABA}" name="remuneracao.vend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7FE320D-F5AB-4687-95CD-26A659C7A812}" name="cef.detalhado" displayName="cef.detalhado" ref="A1:AZ2" insertRow="1" totalsRowShown="0">
  <autoFilter ref="A1:AZ2" xr:uid="{E8FA7595-112D-4C60-B256-84C25B28B431}"/>
  <tableColumns count="52">
    <tableColumn id="1" xr3:uid="{445FB2DB-4705-405A-AE6B-7941D87E127E}" name="id"/>
    <tableColumn id="5" xr3:uid="{937D66A6-EA5B-4E50-B17C-CC482E2920F3}" name="empresa"/>
    <tableColumn id="6" xr3:uid="{4A7822DA-06B4-4863-82AF-FBDDD59113BF}" name="especie"/>
    <tableColumn id="7" xr3:uid="{F0487CA2-1710-4F6B-A148-AD979E4C3053}" name="unidade"/>
    <tableColumn id="2" xr3:uid="{F676F33A-7500-4C89-B9FC-3DC9F7497768}" name="cliente"/>
    <tableColumn id="3" xr3:uid="{3B58B5D3-5CE0-4704-B889-8F1CEDDE0095}" name="contrato"/>
    <tableColumn id="4" xr3:uid="{722C8955-1302-4AF2-84B3-9A3F969D5C3D}" name="contrato.cef"/>
    <tableColumn id="8" xr3:uid="{14FE0CCA-2464-421E-93D6-D4CA485EFEA3}" name="pavimento"/>
    <tableColumn id="9" xr3:uid="{0A6A33A5-A6AD-43C1-BCA2-361312ABB1EC}" name="situacao"/>
    <tableColumn id="10" xr3:uid="{D82325CC-1665-4072-9CB0-A7FB0574D14E}" name="data.venda"/>
    <tableColumn id="11" xr3:uid="{FF151E49-C892-4EC9-9EBC-D34770F7387F}" name="valor.venda"/>
    <tableColumn id="12" xr3:uid="{A8680912-30A8-43FF-ABA4-9602B6160E9D}" name="repasse.cef.total"/>
    <tableColumn id="13" xr3:uid="{146D6FA7-6218-495A-9B1B-A1FC4A674AB5}" name="checar"/>
    <tableColumn id="14" xr3:uid="{1FC6D256-87FF-46E2-A127-98202BCAEF53}" name="natureza"/>
    <tableColumn id="15" xr3:uid="{9D4AC469-60B4-4C60-AFA6-D27E2AF25569}" name="soma.meses"/>
    <tableColumn id="16" xr3:uid="{B1681E8A-00BE-4B8D-AE81-243101C04FAA}" name="2023-01-01"/>
    <tableColumn id="17" xr3:uid="{0CD6349D-8693-4068-9C69-4C44C9FBA4C8}" name="2023-02-01"/>
    <tableColumn id="18" xr3:uid="{B1E16EFA-1F05-4ED7-85C4-5F95FD200EB4}" name="2023-03-01"/>
    <tableColumn id="19" xr3:uid="{97DDE18D-094E-4617-B9A1-C863C8E5CDE4}" name="2023-04-01"/>
    <tableColumn id="20" xr3:uid="{696DB9EF-63ED-4725-B6F7-981AB3798606}" name="2023-05-01"/>
    <tableColumn id="21" xr3:uid="{81E647B5-3256-4758-8E56-C98E7197729A}" name="2023-06-01"/>
    <tableColumn id="22" xr3:uid="{8E1093AA-22D7-438B-BAE3-C5B1D2480414}" name="2023-07-01"/>
    <tableColumn id="23" xr3:uid="{3A1D130F-D6B3-44E0-A0BF-9386B326070F}" name="2023-08-01"/>
    <tableColumn id="24" xr3:uid="{9D850F15-6AF9-453E-95E1-DB903F7F3352}" name="2023-09-01"/>
    <tableColumn id="25" xr3:uid="{0D52243B-0C14-4C43-BB47-61C589E40659}" name="2023-10-01"/>
    <tableColumn id="26" xr3:uid="{91ACAC5C-C540-45D5-A33F-C4907496AA21}" name="2023-11-01"/>
    <tableColumn id="27" xr3:uid="{CF57A65B-2702-4FA6-81EC-2B4FC09B2276}" name="2023-12-01"/>
    <tableColumn id="28" xr3:uid="{DF9D1CAE-1A05-4743-BAFD-870154232381}" name="2024-01-01"/>
    <tableColumn id="29" xr3:uid="{6D3C7836-5AB6-4945-807F-00AD04F0ADA9}" name="2024-02-01"/>
    <tableColumn id="30" xr3:uid="{42D0E003-FC72-4573-BAD9-290A00A5F585}" name="2024-03-01"/>
    <tableColumn id="31" xr3:uid="{89340C5A-71B0-4135-9E8F-AE3CD82798D0}" name="2024-04-01"/>
    <tableColumn id="32" xr3:uid="{42493EEA-E194-4535-9F66-5C13E25662F7}" name="2024-05-01"/>
    <tableColumn id="33" xr3:uid="{AB53E6DC-5FAD-489E-BE88-C0C5F050E445}" name="2024-06-01"/>
    <tableColumn id="34" xr3:uid="{9FE13027-14C6-4BEA-9029-942A45170CAF}" name="2024-07-01"/>
    <tableColumn id="35" xr3:uid="{A739B5EF-3CA1-4A15-9CDF-F557B25F8727}" name="2024-08-01"/>
    <tableColumn id="36" xr3:uid="{055F9C03-6812-4ECA-9631-D72410114604}" name="2024-09-01"/>
    <tableColumn id="37" xr3:uid="{3771858B-2EC5-4716-9335-257A638EC8EB}" name="2024-10-01"/>
    <tableColumn id="38" xr3:uid="{8C961F45-F836-486B-88D0-2FCE57E2FC1B}" name="2024-11-01"/>
    <tableColumn id="39" xr3:uid="{A1478E56-FBC8-450E-97D5-552DD1762962}" name="2024-12-01"/>
    <tableColumn id="40" xr3:uid="{E3CE369C-1611-4447-AB55-E0C1B7285202}" name="2025-01-01"/>
    <tableColumn id="41" xr3:uid="{93A13F2D-20C0-4CB8-9977-9B3F9DBCB50A}" name="2025-02-01"/>
    <tableColumn id="42" xr3:uid="{9B3DC724-2C49-4758-B135-C09E2EFDD418}" name="2025-03-01"/>
    <tableColumn id="43" xr3:uid="{9BE632B8-6243-48C8-BC86-C0776574623F}" name="2025-04-01"/>
    <tableColumn id="44" xr3:uid="{A7073604-5C15-4957-B80C-972A70360D24}" name="2025-05-01"/>
    <tableColumn id="45" xr3:uid="{7F634B46-8035-4831-A893-E80621FBDBF1}" name="2025-06-01"/>
    <tableColumn id="46" xr3:uid="{60F59ED4-7806-4D03-9672-FE357E605160}" name="2025-07-01"/>
    <tableColumn id="47" xr3:uid="{BD3C232A-19D2-4752-B70D-3ECF277D8BAE}" name="2025-08-01"/>
    <tableColumn id="48" xr3:uid="{485C6391-19DA-408C-9361-490597CA8A98}" name="2025-09-01"/>
    <tableColumn id="49" xr3:uid="{5F5DF38F-5C27-493A-8D94-42C57AC7CACA}" name="2025-10-01"/>
    <tableColumn id="50" xr3:uid="{6D480EFF-6E8D-45BB-8F6C-1D4FFA58EFA9}" name="2025-11-01"/>
    <tableColumn id="51" xr3:uid="{1D485A0B-1325-42B5-9EFB-1A290F29DF79}" name="2025-12-01"/>
    <tableColumn id="52" xr3:uid="{44108546-8CA0-43CF-8E05-D36FC6F9D195}" name="2026-01-0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B0D6ED5-216C-4EF7-9D36-084A8B9D1F44}" name="cef.mensal" displayName="cef.mensal" ref="A1:AO2" insertRow="1" totalsRowShown="0">
  <autoFilter ref="A1:AO2" xr:uid="{E8FA7595-112D-4C60-B256-84C25B28B431}"/>
  <tableColumns count="41">
    <tableColumn id="1" xr3:uid="{702408BC-8951-4FC6-B47F-87616DE7E2CD}" name="empresa"/>
    <tableColumn id="5" xr3:uid="{C3B26F7D-2BBF-4662-B8B5-2624422A4090}" name="contrato.cef.5"/>
    <tableColumn id="6" xr3:uid="{0BC0B25B-9BBE-4875-B3E3-1CCBFAD5970B}" name="natureza"/>
    <tableColumn id="7" xr3:uid="{2F4D7E55-D129-4358-B138-4AA28EA85CDA}" name="total"/>
    <tableColumn id="2" xr3:uid="{97C052EB-B025-40DB-9055-B44FDE19BEF1}" name="2023-01-01"/>
    <tableColumn id="3" xr3:uid="{30934996-EEB9-42D3-9619-4718CAA379C1}" name="2023-02-01"/>
    <tableColumn id="4" xr3:uid="{6E361745-5696-40BB-A909-A294727A045E}" name="2023-03-01"/>
    <tableColumn id="8" xr3:uid="{CE3DE182-F4C0-4C4E-AE8B-7A58E031469A}" name="2023-04-01"/>
    <tableColumn id="9" xr3:uid="{715ADB3D-EB7E-4FA3-91EC-C1FC378AE4B4}" name="2023-05-01"/>
    <tableColumn id="10" xr3:uid="{21A8067A-4F4C-48E7-B376-B1BAC4245C99}" name="2023-06-01"/>
    <tableColumn id="11" xr3:uid="{3B1C7438-D13F-49F1-9FE7-76CA63F49173}" name="2023-07-01"/>
    <tableColumn id="12" xr3:uid="{45C1A75B-C985-4155-946C-C50931CD1F30}" name="2023-08-01"/>
    <tableColumn id="13" xr3:uid="{4A955A73-3B7A-4531-9680-217E54355231}" name="2023-09-01"/>
    <tableColumn id="14" xr3:uid="{9976BB27-8F35-4B0B-9603-8FCDBB3BC60F}" name="2023-10-01"/>
    <tableColumn id="15" xr3:uid="{3997742D-F062-4176-9E56-03332478BECA}" name="2023-11-01"/>
    <tableColumn id="16" xr3:uid="{60747B3E-917B-4C8A-995C-3702910B0004}" name="2023-12-01"/>
    <tableColumn id="17" xr3:uid="{6362A4DB-7ED5-403D-B942-D5BE716EAD14}" name="2024-01-01"/>
    <tableColumn id="18" xr3:uid="{F2DD90FC-56B0-4A6A-865D-7E3ECAC12127}" name="2024-02-01"/>
    <tableColumn id="19" xr3:uid="{8681AAB5-580C-484E-81D3-A297821B9116}" name="2024-03-01"/>
    <tableColumn id="20" xr3:uid="{A8094F2B-9D9E-4714-9DA3-F58906C8730C}" name="2024-04-01"/>
    <tableColumn id="21" xr3:uid="{F5CEFFF4-9595-4CE6-94A6-206E5EFCAADC}" name="2024-05-01"/>
    <tableColumn id="22" xr3:uid="{47FF30D5-14C8-4391-A5AF-95DACA69DA84}" name="2024-06-01"/>
    <tableColumn id="23" xr3:uid="{8EECFD05-6C28-4841-9701-CC6BE320A3AA}" name="2024-07-01"/>
    <tableColumn id="24" xr3:uid="{2ED8632B-D155-4914-86C3-121FB818886A}" name="2024-08-01"/>
    <tableColumn id="25" xr3:uid="{B7A335C3-D43E-4F51-B010-59520B186696}" name="2024-09-01"/>
    <tableColumn id="26" xr3:uid="{E6F80CF0-5D3D-49B0-8B59-6E323B7E243D}" name="2024-10-01"/>
    <tableColumn id="27" xr3:uid="{A1C18A37-307D-4414-BB3D-B49C648A01B2}" name="2024-11-01"/>
    <tableColumn id="28" xr3:uid="{014CC447-D539-4E88-88DA-06B9272DD4B5}" name="2024-12-01"/>
    <tableColumn id="29" xr3:uid="{15D784A7-B5FF-4FD4-8191-5904F7F16B85}" name="2025-01-01"/>
    <tableColumn id="30" xr3:uid="{25DD6811-B777-46F0-85D3-A201408F6AE0}" name="2025-02-01"/>
    <tableColumn id="31" xr3:uid="{05A94301-CEF4-41DB-80C3-5C24E67B235E}" name="2025-03-01"/>
    <tableColumn id="32" xr3:uid="{1DF65BD1-D845-41D6-A5B0-677F0EA273BD}" name="2025-04-01"/>
    <tableColumn id="33" xr3:uid="{A4E6417B-4B0E-4A1D-BA94-0878094C97C3}" name="2025-05-01"/>
    <tableColumn id="34" xr3:uid="{2268E295-F15E-441A-A720-18DB24DF7C65}" name="2025-06-01"/>
    <tableColumn id="35" xr3:uid="{7A92B096-9BFB-486D-A014-1245E34B5FC4}" name="2025-07-01"/>
    <tableColumn id="36" xr3:uid="{16959DCE-A34E-46FB-AE14-55CD0E59F2F7}" name="2025-08-01"/>
    <tableColumn id="37" xr3:uid="{D6ECF53C-680D-4EE9-951D-B7C2B212EF08}" name="2025-09-01"/>
    <tableColumn id="38" xr3:uid="{7051B578-7725-484F-8D4F-C03950498635}" name="2025-10-01"/>
    <tableColumn id="39" xr3:uid="{FF341FEE-DF31-4B23-9565-5BB0CEC075CB}" name="2025-11-01"/>
    <tableColumn id="40" xr3:uid="{E32F4B5D-70DC-419F-BBB9-625C84A48AF9}" name="2025-12-01"/>
    <tableColumn id="41" xr3:uid="{5354A28C-45E1-4297-AF6E-DD69D037B9B9}" name="2026-01-0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B665977-C42E-47BB-8C14-8DCC4DA9D43F}" name="cmfcns.mensal" displayName="cmfcns.mensal" ref="A1:AO2" insertRow="1" totalsRowShown="0">
  <autoFilter ref="A1:AO2" xr:uid="{E8FA7595-112D-4C60-B256-84C25B28B431}"/>
  <tableColumns count="41">
    <tableColumn id="1" xr3:uid="{C0A8606F-2763-4A3C-9C29-939A18F75D5A}" name="empresa"/>
    <tableColumn id="5" xr3:uid="{160E9163-E899-4605-B875-B6627C5BC042}" name="contrato.cef.5"/>
    <tableColumn id="6" xr3:uid="{CC60C087-89DE-464B-9709-96D1C14463E8}" name="natureza"/>
    <tableColumn id="7" xr3:uid="{961FBC02-4129-4B92-95AC-F0328DC0BB5B}" name="total"/>
    <tableColumn id="2" xr3:uid="{26FFD317-2768-4DE1-9C32-3D2016C2DD42}" name="2023-01-01"/>
    <tableColumn id="3" xr3:uid="{279C92BA-B66B-4BC7-94CB-BD1903AAA1D8}" name="2023-02-01"/>
    <tableColumn id="4" xr3:uid="{FA549DD4-1289-45C1-BC3B-123662B20A3C}" name="2023-03-01"/>
    <tableColumn id="8" xr3:uid="{E92F0077-6ECA-4A63-B6B5-A6BF8EE2EDC9}" name="2023-04-01"/>
    <tableColumn id="9" xr3:uid="{23B4E618-5FC4-4A96-B686-8D6CB6ADC13C}" name="2023-05-01"/>
    <tableColumn id="10" xr3:uid="{E0E4DCFE-318C-4C99-8DF7-AFE7A4CAE2A3}" name="2023-06-01"/>
    <tableColumn id="11" xr3:uid="{97F5B8F3-5BC1-4E8D-9554-4E4439EC7028}" name="2023-07-01"/>
    <tableColumn id="12" xr3:uid="{457F0AC4-D379-4841-9732-011F4CD1B580}" name="2023-08-01"/>
    <tableColumn id="13" xr3:uid="{0B0DAFD5-D84C-4E9F-B5D7-84112A0ED7F9}" name="2023-09-01"/>
    <tableColumn id="14" xr3:uid="{1C55C105-3643-4826-8A33-658A6FCDE3FD}" name="2023-10-01"/>
    <tableColumn id="15" xr3:uid="{D76BEBAE-378A-440A-B33E-43165EC6B39C}" name="2023-11-01"/>
    <tableColumn id="16" xr3:uid="{B914E021-E635-4ABA-A16B-5DB99B50614E}" name="2023-12-01"/>
    <tableColumn id="17" xr3:uid="{EF547370-C877-4F61-AB0F-6B3B60C33D0E}" name="2024-01-01"/>
    <tableColumn id="18" xr3:uid="{838F804A-84E3-475E-9799-496FDDBA28CA}" name="2024-02-01"/>
    <tableColumn id="19" xr3:uid="{96E1FA2F-BADC-4F36-BBC3-6462AEEF413C}" name="2024-03-01"/>
    <tableColumn id="20" xr3:uid="{EA5C59E3-1116-4559-A253-B0CDFCDA1DFA}" name="2024-04-01"/>
    <tableColumn id="21" xr3:uid="{2DAA2FD9-0542-445B-AA27-F944EF4C0D41}" name="2024-05-01"/>
    <tableColumn id="22" xr3:uid="{F658634B-D798-4DA3-9039-5672C842BB13}" name="2024-06-01"/>
    <tableColumn id="23" xr3:uid="{3D6DFD78-E433-465A-A9C1-199EBB75CB32}" name="2024-07-01"/>
    <tableColumn id="24" xr3:uid="{420475E2-C882-48C4-A7AF-09BB87D627A3}" name="2024-08-01"/>
    <tableColumn id="25" xr3:uid="{ECF0D3B4-1571-422A-ABEE-7552A7162D13}" name="2024-09-01"/>
    <tableColumn id="26" xr3:uid="{1E33B76E-0FFF-48D8-8275-8B41814CAAA9}" name="2024-10-01"/>
    <tableColumn id="27" xr3:uid="{EF96A2C7-2182-4C2B-A339-0B64D3CFB52F}" name="2024-11-01"/>
    <tableColumn id="28" xr3:uid="{DDA1C017-9F2F-4B69-90C3-DC3090AFD0D9}" name="2024-12-01"/>
    <tableColumn id="29" xr3:uid="{60A41A6C-0FCC-4C4D-9A42-47E4CA220FF6}" name="2025-01-01"/>
    <tableColumn id="30" xr3:uid="{52F96829-E06F-4411-BD43-2A403EABA276}" name="2025-02-01"/>
    <tableColumn id="31" xr3:uid="{AAEE6041-213B-4B2A-8FAA-D78F37085393}" name="2025-03-01"/>
    <tableColumn id="32" xr3:uid="{563F440A-CC20-4AC1-B38F-3719377E4E41}" name="2025-04-01"/>
    <tableColumn id="33" xr3:uid="{F557B952-907B-4D85-84C2-CF79FC532BC0}" name="2025-05-01"/>
    <tableColumn id="34" xr3:uid="{197CEA53-B412-44AD-B992-95DA01CC3407}" name="2025-06-01"/>
    <tableColumn id="35" xr3:uid="{3A9D189D-057B-4620-92CD-82FB158FB3D3}" name="2025-07-01"/>
    <tableColumn id="36" xr3:uid="{DBA78E89-3329-4BF0-82C7-D4F8C98BEACE}" name="2025-08-01"/>
    <tableColumn id="37" xr3:uid="{79E2CF8B-E9C4-40E4-8661-493F0E0BF63B}" name="2025-09-01"/>
    <tableColumn id="38" xr3:uid="{7609750B-6774-4B0D-B245-318E0934357B}" name="2025-10-01"/>
    <tableColumn id="39" xr3:uid="{D5137700-AC31-448C-8ED4-3E7071F5BD19}" name="2025-11-01"/>
    <tableColumn id="40" xr3:uid="{EA6B4636-B04A-4FF6-8CBC-E9AD9A08A390}" name="2025-12-01"/>
    <tableColumn id="41" xr3:uid="{7015876A-8B79-464C-AD10-502E6BC5F98A}" name="2026-01-01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B84DDA3-B9FF-4A67-AB7C-48EDE794BE03}" name="cmfcn.xcef" displayName="cmfcn.xcef" ref="A1:Z2" insertRow="1" totalsRowShown="0">
  <autoFilter ref="A1:Z2" xr:uid="{E8FA7595-112D-4C60-B256-84C25B28B431}"/>
  <tableColumns count="26">
    <tableColumn id="1" xr3:uid="{14730EB0-5918-48EB-BDF3-17FBDE7355B1}" name="contrato.5"/>
    <tableColumn id="5" xr3:uid="{439F3EFC-E653-41BD-8383-52415E602C65}" name="data.movimentacao"/>
    <tableColumn id="6" xr3:uid="{062DBEBE-16A2-45BC-B1B2-9A48992E1EF1}" name="valor"/>
    <tableColumn id="7" xr3:uid="{9C001FD8-0341-4BA6-A511-B6BCC1E74971}" name="empresa"/>
    <tableColumn id="2" xr3:uid="{7CC52EE6-0D2F-49D0-82F6-257170F65349}" name="natureza.extrato"/>
    <tableColumn id="3" xr3:uid="{21D2E7D5-51FA-41AF-B81A-5AF8BBD8D274}" name="conta.interno"/>
    <tableColumn id="4" xr3:uid="{986EC520-24B0-4829-AB65-E22C73AD0885}" name="data.lancamento.extrato"/>
    <tableColumn id="8" xr3:uid="{614DF566-0CAB-449A-82C9-FCD55EA625CA}" name="documento"/>
    <tableColumn id="9" xr3:uid="{89FC4374-B486-46D2-B2BE-CD59DF424E5D}" name="descricao"/>
    <tableColumn id="10" xr3:uid="{82890710-A8D2-47E6-9D90-7F090D090DA8}" name="saldo"/>
    <tableColumn id="11" xr3:uid="{252C7639-675E-467B-AD20-A80844E359C9}" name="conta"/>
    <tableColumn id="12" xr3:uid="{C8DF7D90-2BA7-4F47-8E51-ADAAD8B58398}" name="agencia"/>
    <tableColumn id="13" xr3:uid="{35DDA895-63E0-48C4-9A43-CEC26CB14244}" name="produto"/>
    <tableColumn id="14" xr3:uid="{D4FE5CB9-A79A-4684-A7A8-F341DBFFEF1A}" name="periodo.inicio"/>
    <tableColumn id="15" xr3:uid="{21F9DE9A-8914-46FB-9F80-929CBF4C48CE}" name="periodo.fim"/>
    <tableColumn id="16" xr3:uid="{D94A8B46-C795-4D3D-BD41-61B42FAB9452}" name="data.consulta"/>
    <tableColumn id="17" xr3:uid="{C9582F2F-5F86-4B47-8E0F-5A09501F74F6}" name="arquivo.extrato"/>
    <tableColumn id="18" xr3:uid="{B591D42C-63A5-4DDB-B0E1-3D5FC640F943}" name="natureza"/>
    <tableColumn id="19" xr3:uid="{6AF70C00-36FB-46A0-BCE5-3F9C018431DC}" name="contrato"/>
    <tableColumn id="20" xr3:uid="{0DDC416D-B370-4201-8582-0266179A4843}" name="data.lancamento.cmfcn"/>
    <tableColumn id="21" xr3:uid="{A74E1988-26A6-40D6-BF6A-92889BF2B22E}" name="lancamentos"/>
    <tableColumn id="22" xr3:uid="{577311E5-74BB-4EF6-9C21-CCFCCA728E7F}" name="np"/>
    <tableColumn id="23" xr3:uid="{F63549DB-901C-4B4F-A901-97B6E9477933}" name="conta.sidec/nsgd"/>
    <tableColumn id="24" xr3:uid="{7036F35E-44BF-4085-83ED-81FC66B2CF72}" name="situacao"/>
    <tableColumn id="25" xr3:uid="{B6DA876D-6F55-49B4-9932-502CC6EF298B}" name="mot"/>
    <tableColumn id="26" xr3:uid="{1D559F0B-D214-4A91-819D-87401502C998}" name="arquivo.cmfcn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90C998F-45F6-4384-8283-C43092D5A564}" name="cmfcn.xcef.mensal" displayName="cmfcn.xcef.mensal" ref="A1:AO2" insertRow="1" totalsRowShown="0">
  <autoFilter ref="A1:AO2" xr:uid="{E8FA7595-112D-4C60-B256-84C25B28B431}"/>
  <tableColumns count="41">
    <tableColumn id="1" xr3:uid="{16737C53-7697-4C40-93EB-A60BC7B7BE3A}" name="empresa"/>
    <tableColumn id="5" xr3:uid="{A0A12896-434F-4060-9057-98B57D5A48B7}" name="contrato.cef.5"/>
    <tableColumn id="6" xr3:uid="{3E65DC15-0E28-444B-A351-77BC5FB105D4}" name="natureza"/>
    <tableColumn id="7" xr3:uid="{6906359D-ABE5-4E3E-8FF2-AB871B7D81AC}" name="total"/>
    <tableColumn id="2" xr3:uid="{47ADBDB2-18E5-4244-8277-7AE8C623BDF8}" name="2023-01-01"/>
    <tableColumn id="3" xr3:uid="{5CA8C8DA-BD88-4D36-8215-5555967F8412}" name="2023-02-01"/>
    <tableColumn id="4" xr3:uid="{0C345BC2-F28C-4A4D-A194-07D5C1A83166}" name="2023-03-01"/>
    <tableColumn id="8" xr3:uid="{A5AC623A-B76C-4C21-A500-D5D24790E11B}" name="2023-04-01"/>
    <tableColumn id="9" xr3:uid="{21A77BBB-4E89-4B48-AB5D-2EE1465C837D}" name="2023-05-01"/>
    <tableColumn id="10" xr3:uid="{356D1A39-B7B6-4E16-8C3C-2BC25A90BD72}" name="2023-06-01"/>
    <tableColumn id="11" xr3:uid="{EE5B1CE5-80AD-4B71-BBA0-F5E7A0B9F212}" name="2023-07-01"/>
    <tableColumn id="12" xr3:uid="{CA0273CD-A422-4247-900B-24B5F26E8AC9}" name="2023-08-01"/>
    <tableColumn id="13" xr3:uid="{C17D353B-48D4-4F70-80B5-9F4189F23E0D}" name="2023-09-01"/>
    <tableColumn id="14" xr3:uid="{14F20464-889F-4089-B47F-66B27185B1EC}" name="2023-10-01"/>
    <tableColumn id="15" xr3:uid="{8C6718FF-C233-43E2-A3C8-CFA0C19503D5}" name="2023-11-01"/>
    <tableColumn id="16" xr3:uid="{87BCCB0B-13E8-4766-811C-9369E347E118}" name="2023-12-01"/>
    <tableColumn id="17" xr3:uid="{576F1690-1CA8-4545-B36C-3302F7232114}" name="2024-01-01"/>
    <tableColumn id="18" xr3:uid="{81EE85C3-A81D-4945-A7EF-C679F1EBAA3F}" name="2024-02-01"/>
    <tableColumn id="19" xr3:uid="{C2E7F429-B758-44A8-ABAC-10ABB6859DAF}" name="2024-03-01"/>
    <tableColumn id="20" xr3:uid="{67322397-95F5-45D2-8672-90497C838B94}" name="2024-04-01"/>
    <tableColumn id="21" xr3:uid="{FB094AEE-A222-4FBE-8AA7-6F63A6A5C5C5}" name="2024-05-01"/>
    <tableColumn id="22" xr3:uid="{79F8F673-37A2-4C6F-90DE-AB5B4525C71F}" name="2024-06-01"/>
    <tableColumn id="23" xr3:uid="{D021B1F4-B7A4-4F22-B1F2-2CB63EB59DBA}" name="2024-07-01"/>
    <tableColumn id="24" xr3:uid="{A680F19B-4594-485B-9902-10C728EEABFA}" name="2024-08-01"/>
    <tableColumn id="25" xr3:uid="{3D741469-844F-4556-BAF0-D6764CCF413E}" name="2024-09-01"/>
    <tableColumn id="26" xr3:uid="{29655A22-FF48-4DBA-BB7E-91A57903BA84}" name="2024-10-01"/>
    <tableColumn id="27" xr3:uid="{BED9D929-E89C-4939-95D5-FAFA2305A4AE}" name="2024-11-01"/>
    <tableColumn id="28" xr3:uid="{B2A4C97E-8232-4272-8E64-F09BD784E169}" name="2024-12-01"/>
    <tableColumn id="29" xr3:uid="{BD54CE8A-2B09-43A9-889C-FB2DC6C7B644}" name="2025-01-01"/>
    <tableColumn id="30" xr3:uid="{03E23FF9-B346-4516-BABA-69FE8FEC23CA}" name="2025-02-01"/>
    <tableColumn id="31" xr3:uid="{D9CF9AD8-8F78-493E-8992-6A7FAA549A9A}" name="2025-03-01"/>
    <tableColumn id="32" xr3:uid="{1160D195-4D52-4313-BADE-71CFAEC38A3A}" name="2025-04-01"/>
    <tableColumn id="33" xr3:uid="{41C48694-8169-42B7-8462-F4D29477C4D3}" name="2025-05-01"/>
    <tableColumn id="34" xr3:uid="{D8D9F450-3C54-4FB3-89C3-4D7F50128DEF}" name="2025-06-01"/>
    <tableColumn id="35" xr3:uid="{DD997470-7C97-4DB8-A106-EF87702938E8}" name="2025-07-01"/>
    <tableColumn id="36" xr3:uid="{5A4BA472-241E-4478-B17A-2BFFC2D0E817}" name="2025-08-01"/>
    <tableColumn id="37" xr3:uid="{79F3F9B4-17B2-4092-BB84-EDEB5D2E07AD}" name="2025-09-01"/>
    <tableColumn id="38" xr3:uid="{C10239E6-4889-4546-835D-A3E821264AF0}" name="2025-10-01"/>
    <tableColumn id="39" xr3:uid="{DB72C9DB-CAE9-4E6C-9191-F0B797BC84C4}" name="2025-11-01"/>
    <tableColumn id="40" xr3:uid="{35C23F06-07CE-444A-819C-AEAEFCEE7157}" name="2025-12-01"/>
    <tableColumn id="41" xr3:uid="{36C4639F-8EF2-4282-A146-E5EA3D34CD1C}" name="2026-01-01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EAE1FA-42A4-4305-A4BD-DBC699EE0B36}" name="rec.uni" displayName="rec.uni" ref="A1:DV2" insertRow="1" totalsRowShown="0">
  <autoFilter ref="A1:DV2" xr:uid="{E9EAE1FA-42A4-4305-A4BD-DBC699EE0B36}"/>
  <tableColumns count="126">
    <tableColumn id="1" xr3:uid="{0F17F414-B560-445C-B8FD-BDAD1AFC9787}" name="id"/>
    <tableColumn id="2" xr3:uid="{D4C66F3C-B4C1-4F99-A57F-B42D780DDE99}" name="empresa"/>
    <tableColumn id="3" xr3:uid="{4D496CBD-1F6A-481B-87D5-203F892932AF}" name="especie"/>
    <tableColumn id="4" xr3:uid="{B30A77F2-B48A-47C4-A135-FD4A3A2175EC}" name="unidade"/>
    <tableColumn id="5" xr3:uid="{86DFEB66-B1A4-48B1-A017-B8633B3B1265}" name="cliente"/>
    <tableColumn id="6" xr3:uid="{568806B4-51D3-4491-B1F5-1BC8F6FA9A7C}" name="contrato"/>
    <tableColumn id="7" xr3:uid="{75E7DA5B-82CA-4ACE-80D0-3D9FCF191B1E}" name="contrato.cef"/>
    <tableColumn id="8" xr3:uid="{CB5AE2DD-FA27-46D4-940A-395770DC9C0B}" name="pavimento"/>
    <tableColumn id="9" xr3:uid="{BF08049B-7A7F-4183-942F-92D56BE554D3}" name="situacao.ana"/>
    <tableColumn id="10" xr3:uid="{923F53F8-38A3-4B03-A3DF-62395BB43701}" name="situacao.ik"/>
    <tableColumn id="11" xr3:uid="{FD5A099B-A7A5-4CB7-8C99-BB4BF5BDFEF4}" name="data.venda"/>
    <tableColumn id="12" xr3:uid="{BD6C4235-30DD-43F4-A5A5-F170F2391019}" name="preco.tabela"/>
    <tableColumn id="13" xr3:uid="{FD6ECE36-D7E2-44AC-A0C0-ABEFD870D997}" name="valor.venda.ana"/>
    <tableColumn id="14" xr3:uid="{70C0DB2C-DC4F-4D06-8B0D-74957BCCCBAB}" name="valor.venda.ik"/>
    <tableColumn id="15" xr3:uid="{4443EF1B-CEC3-4D7F-90D3-F3671CB863F7}" name="repasse.cef.total"/>
    <tableColumn id="16" xr3:uid="{EF4844EB-3A96-41E5-B54B-5D0F7EA89A5D}" name="checar"/>
    <tableColumn id="17" xr3:uid="{0F27335B-8C56-4081-9861-05BBD57482CA}" name="natureza"/>
    <tableColumn id="18" xr3:uid="{C09F1E25-18A6-49F4-AA5C-99D0A040DB17}" name="soma.meses"/>
    <tableColumn id="19" xr3:uid="{FD531961-DBFE-4BDA-9290-DF7175E071E6}" name="2022-01-01"/>
    <tableColumn id="20" xr3:uid="{BD0A5F39-43AB-4EC4-8325-E208050BE8AE}" name="2022-02-01"/>
    <tableColumn id="21" xr3:uid="{2FE8C721-9868-47F8-A8CF-4626B401D6EE}" name="2022-03-01"/>
    <tableColumn id="22" xr3:uid="{63382A2B-4C1A-4076-B74D-2DC658A39CD6}" name="2022-04-01"/>
    <tableColumn id="23" xr3:uid="{7D3D8848-3DFB-4E2B-A9FB-32F4753981D2}" name="2022-05-01"/>
    <tableColumn id="24" xr3:uid="{686CBD0B-C2B2-4780-B264-934490460889}" name="2022-06-01"/>
    <tableColumn id="25" xr3:uid="{AD9DCB0F-67EA-40DF-A7CA-57EA3992405C}" name="2022-07-01"/>
    <tableColumn id="26" xr3:uid="{2F376098-2395-40EA-9E36-5AE788AA31B5}" name="2022-08-01"/>
    <tableColumn id="27" xr3:uid="{D38D2D0C-66BF-400C-BF9D-30848E1877CC}" name="2022-09-01"/>
    <tableColumn id="28" xr3:uid="{99D8BCE3-8382-4695-A1CE-B2F9A4B16B1B}" name="2022-10-01"/>
    <tableColumn id="29" xr3:uid="{9A081F1D-155A-463E-A3E9-46CFF63675F2}" name="2022-11-01"/>
    <tableColumn id="30" xr3:uid="{58E942E3-FE61-4E49-B21B-4EDE8CEA6D5A}" name="2022-12-01"/>
    <tableColumn id="31" xr3:uid="{19355F2D-1381-4D1D-9ACE-79C2C6DDB231}" name="2023-01-01"/>
    <tableColumn id="32" xr3:uid="{FE7D521F-F70D-4411-B4E4-CD6B1ED67436}" name="2023-02-01"/>
    <tableColumn id="33" xr3:uid="{7F7E6AFB-376C-496A-95C7-6CEFA31FEBFA}" name="2023-03-01"/>
    <tableColumn id="34" xr3:uid="{6EBA93DC-5E7E-4CDD-B343-75A5C8E0AFC3}" name="2023-04-01"/>
    <tableColumn id="35" xr3:uid="{AF061C33-EFBE-42AE-9363-205C32C81540}" name="2023-05-01"/>
    <tableColumn id="36" xr3:uid="{D710E507-568F-4E4B-BBF7-22AD22639E9A}" name="2023-06-01"/>
    <tableColumn id="37" xr3:uid="{6EA97AF9-1933-4504-8A2C-F5C082C34927}" name="2023-07-01"/>
    <tableColumn id="38" xr3:uid="{471D1FCD-4229-468B-80B6-BAB8E0029F84}" name="2023-08-01"/>
    <tableColumn id="39" xr3:uid="{C4B0F166-7A63-4A6D-A009-2AD853C9E68F}" name="2023-09-01"/>
    <tableColumn id="40" xr3:uid="{757CFE49-D2D2-41BB-B6FB-5668AF12D287}" name="2023-10-01"/>
    <tableColumn id="41" xr3:uid="{5F9E1E09-6BB1-463D-BCF4-EBE278784634}" name="2023-11-01"/>
    <tableColumn id="42" xr3:uid="{A975B36C-BE7A-44FD-9583-359B8973427E}" name="2023-12-01"/>
    <tableColumn id="43" xr3:uid="{0C4601BB-FF5F-4492-887E-14C6514FB5D4}" name="2024-01-01"/>
    <tableColumn id="44" xr3:uid="{C643402E-1CB7-40B6-9F44-08DB1E5E582B}" name="2024-02-01"/>
    <tableColumn id="45" xr3:uid="{7A3A97B6-A0D5-43A8-BCA0-47BEC3FED22F}" name="2024-03-01"/>
    <tableColumn id="46" xr3:uid="{45AC72DB-8B8C-402C-9815-21A0434C4802}" name="2024-04-01"/>
    <tableColumn id="47" xr3:uid="{18E353E0-218F-4DA1-8C2C-4E32AA3F9447}" name="2024-05-01"/>
    <tableColumn id="48" xr3:uid="{28DCCC1E-4343-44EA-A31A-872583A31968}" name="2024-06-01"/>
    <tableColumn id="49" xr3:uid="{668925D7-9854-4CBA-AD61-DE2069E700BD}" name="2024-07-01"/>
    <tableColumn id="50" xr3:uid="{F7B745C2-F8D5-4361-8C15-22B8C05E3C43}" name="2024-08-01"/>
    <tableColumn id="51" xr3:uid="{F4CB2392-1770-42D4-9B45-E8A308DC2A09}" name="2024-09-01"/>
    <tableColumn id="52" xr3:uid="{95C42A1F-5934-4FAB-941D-F530FEA6E46A}" name="2024-10-01"/>
    <tableColumn id="53" xr3:uid="{2F47B264-FFA6-46E4-BF51-6B2484CB111E}" name="2024-11-01"/>
    <tableColumn id="54" xr3:uid="{78BBB2EC-40B0-4B94-BCAB-58B84AC9E321}" name="2024-12-01"/>
    <tableColumn id="55" xr3:uid="{6C0C5309-0211-4D2A-B10B-04F81A680C8F}" name="2025-01-01"/>
    <tableColumn id="56" xr3:uid="{7CD6A3F5-579C-426E-BE30-E90A0CF71F3E}" name="2025-02-01"/>
    <tableColumn id="57" xr3:uid="{B7D7B465-30CE-4454-A20C-C14780E3C3B3}" name="2025-03-01"/>
    <tableColumn id="58" xr3:uid="{0C024A19-62CC-45FD-9558-13E2F7D1B1DC}" name="2025-04-01"/>
    <tableColumn id="59" xr3:uid="{24DCCFD9-39EE-4816-9508-45423FD41498}" name="2025-05-01"/>
    <tableColumn id="60" xr3:uid="{447C01FE-96F1-4F3D-BF21-B17467A5DAE9}" name="2025-06-01"/>
    <tableColumn id="61" xr3:uid="{E575DDA3-6653-44DB-A302-12477288F2DB}" name="2025-07-01"/>
    <tableColumn id="62" xr3:uid="{2F24318E-322F-443F-9644-4891BE3F515A}" name="2025-08-01"/>
    <tableColumn id="63" xr3:uid="{7FF64BBB-05AF-4554-87F0-153B69BAB107}" name="2025-09-01"/>
    <tableColumn id="64" xr3:uid="{2711E9AB-6EF0-44BC-AA45-C38A8D2F176F}" name="2025-10-01"/>
    <tableColumn id="65" xr3:uid="{A794108F-B391-4410-AF43-C5BAB97E861B}" name="2025-11-01"/>
    <tableColumn id="66" xr3:uid="{2BC9BC92-E6FB-4776-A9AA-D404A8598CE0}" name="2025-12-01"/>
    <tableColumn id="67" xr3:uid="{95E43F83-46B5-4B39-9F42-47CF53383357}" name="2026-01-01"/>
    <tableColumn id="68" xr3:uid="{62219475-3088-4643-8B4A-F7A47519E10C}" name="2026-02-01"/>
    <tableColumn id="69" xr3:uid="{72FF4FF2-A89F-4697-83BE-70A19B3A5867}" name="2026-03-01"/>
    <tableColumn id="70" xr3:uid="{BCB0A55D-3D2D-498E-8C31-2691D1F032AE}" name="2026-04-01"/>
    <tableColumn id="71" xr3:uid="{B0C8CC6F-925A-4646-826C-ACC0E0E10445}" name="2026-05-01"/>
    <tableColumn id="72" xr3:uid="{6195213E-35DF-40F2-813E-949E1FE6B696}" name="2026-06-01"/>
    <tableColumn id="73" xr3:uid="{3C31DBA3-0398-41CA-9DD7-5AC8F47AF10A}" name="2026-07-01"/>
    <tableColumn id="74" xr3:uid="{86E24123-4DE6-4E29-8F25-E4EE98C54764}" name="2026-08-01"/>
    <tableColumn id="75" xr3:uid="{DD332A52-D222-4AB1-B36B-18BDC42F4D6C}" name="2026-09-01"/>
    <tableColumn id="76" xr3:uid="{5B1C249A-A77E-486D-9264-1B3F39436DCD}" name="2026-10-01"/>
    <tableColumn id="77" xr3:uid="{72AC55A9-AAC2-45F5-9DBA-9738B8B0BA0B}" name="2026-11-01"/>
    <tableColumn id="78" xr3:uid="{FEB5F3EA-41B1-46CF-8818-37926C3FFB51}" name="2026-12-01"/>
    <tableColumn id="79" xr3:uid="{CC948C45-9701-472E-89FE-BF1FC21C9564}" name="2027-01-01"/>
    <tableColumn id="80" xr3:uid="{0F8508BF-A6B7-4E0F-A3EC-6DA79AA34B91}" name="2027-02-01"/>
    <tableColumn id="81" xr3:uid="{9CBEAEE0-79F1-4103-ABD2-F1BCC4EFCFB0}" name="2027-03-01"/>
    <tableColumn id="82" xr3:uid="{CC64835D-E92E-4E90-AC47-E2F47678CCCC}" name="2027-04-01"/>
    <tableColumn id="83" xr3:uid="{77AE89D3-6ECE-4C80-92B1-6539BD27028C}" name="2027-05-01"/>
    <tableColumn id="84" xr3:uid="{20756A73-ED54-4163-B9AC-ED5471AF23CD}" name="2027-06-01"/>
    <tableColumn id="85" xr3:uid="{0E18441D-761A-4A55-B0A2-84C298F4EDA4}" name="2027-07-01"/>
    <tableColumn id="86" xr3:uid="{FECC697E-88B8-4BAF-889E-499155A46171}" name="2027-08-01"/>
    <tableColumn id="87" xr3:uid="{1CBFA40A-1FD4-42BA-B100-41C3C70A8301}" name="2027-09-01"/>
    <tableColumn id="88" xr3:uid="{4102CB13-568F-41B5-AD61-6DA78BB5658B}" name="2027-10-01"/>
    <tableColumn id="89" xr3:uid="{7CC075CC-37EC-40D3-975C-DB074D856406}" name="2027-11-01"/>
    <tableColumn id="90" xr3:uid="{0251AB88-13B0-4351-B77E-D406D4BB9ACE}" name="2027-12-01"/>
    <tableColumn id="91" xr3:uid="{2739B8CE-9F1E-4216-947D-B21688FE0961}" name="2028-01-01"/>
    <tableColumn id="92" xr3:uid="{CC1A8EA3-DEC1-429B-A680-CBD17C304A8A}" name="2028-02-01"/>
    <tableColumn id="93" xr3:uid="{5795354B-558B-4ABD-A6D3-45452FA4490B}" name="2028-03-01"/>
    <tableColumn id="94" xr3:uid="{314F806F-D088-42D7-A7F0-DCAFBC45BB9E}" name="2028-04-01"/>
    <tableColumn id="95" xr3:uid="{D6370F96-3ECD-4DF8-A8DD-81DCC7784EAB}" name="2028-05-01"/>
    <tableColumn id="96" xr3:uid="{C31CD42E-59A2-44E0-815E-D10E14400608}" name="2028-06-01"/>
    <tableColumn id="97" xr3:uid="{5515F630-8E85-414A-8ABD-C25921D8229B}" name="2028-07-01"/>
    <tableColumn id="98" xr3:uid="{13CE63E6-4FE6-42BA-8475-40F59167CEBB}" name="2028-08-01"/>
    <tableColumn id="99" xr3:uid="{DCA4D325-BEF9-446D-AC36-E6D2C38C2A6B}" name="2028-09-01"/>
    <tableColumn id="100" xr3:uid="{B419AF1D-0B47-4C20-908A-7A985AB0CA91}" name="2028-10-01"/>
    <tableColumn id="101" xr3:uid="{DD107DF3-B708-449A-BCB9-4C9907D7FC65}" name="2028-11-01"/>
    <tableColumn id="102" xr3:uid="{B493909A-7ED6-46A1-9CC6-822161C0AFC8}" name="2028-12-01"/>
    <tableColumn id="103" xr3:uid="{E694589E-2F8D-44EB-9BB4-3F944E7B2630}" name="2029-01-01"/>
    <tableColumn id="104" xr3:uid="{38978AF3-FFB6-47D8-9CA2-9F28AC4D56B7}" name="2029-02-01"/>
    <tableColumn id="105" xr3:uid="{D3A6161E-A30A-460D-BF4D-188FB8A3739D}" name="2029-03-01"/>
    <tableColumn id="106" xr3:uid="{93478B43-8FD2-474E-8FC2-C90407AEE67D}" name="2029-04-01"/>
    <tableColumn id="107" xr3:uid="{E46155F2-6CAD-47FC-B4D5-E9D5FBB595ED}" name="2029-05-01"/>
    <tableColumn id="108" xr3:uid="{BADD776D-E821-417C-91C1-F9EB41C280C9}" name="2029-06-01"/>
    <tableColumn id="109" xr3:uid="{6B04949B-F3BD-4D38-BA2A-DF0024525948}" name="2029-07-01"/>
    <tableColumn id="110" xr3:uid="{DE9056EA-DD40-4A0F-8EEC-C3003E27B720}" name="2029-08-01"/>
    <tableColumn id="111" xr3:uid="{484AFB26-F8D9-4A52-BF7D-2A2EC31B6D97}" name="2029-09-01"/>
    <tableColumn id="112" xr3:uid="{F29122C5-35F4-48BE-8D4E-57963BC25F17}" name="2029-10-01"/>
    <tableColumn id="113" xr3:uid="{7354CB85-EC6D-4F92-BF1C-5C8608E0CF5D}" name="2029-11-01"/>
    <tableColumn id="114" xr3:uid="{8BF23527-D5A3-4903-8050-05DEC3C56A35}" name="2029-12-01"/>
    <tableColumn id="115" xr3:uid="{2400EEF7-BE5E-4228-A203-526FFA12BA8A}" name="2030-01-01"/>
    <tableColumn id="116" xr3:uid="{C9E55AC9-4666-49EA-85C5-65A51A51FDB8}" name="2030-02-01"/>
    <tableColumn id="117" xr3:uid="{8B80D76C-C51B-4B80-A583-28E4E316F6E5}" name="2030-03-01"/>
    <tableColumn id="118" xr3:uid="{AAACFE14-16DD-4D75-AFF2-0C72D1B64A39}" name="2030-04-01"/>
    <tableColumn id="119" xr3:uid="{47CA2DFB-8A64-4E9B-AD7A-0E3737BD17FB}" name="2030-05-01"/>
    <tableColumn id="120" xr3:uid="{241E1EC2-23CE-4CBF-AA4E-4C6120F07A9C}" name="2030-06-01"/>
    <tableColumn id="121" xr3:uid="{523E22F8-A9C2-4A25-8B3F-D64A87348F61}" name="2030-07-01"/>
    <tableColumn id="122" xr3:uid="{64768D89-E80E-495F-9BED-F71B29A94163}" name="2030-08-01"/>
    <tableColumn id="123" xr3:uid="{8D471BA2-BF1D-4EEF-BDC0-0B7760AE5948}" name="2030-09-01"/>
    <tableColumn id="124" xr3:uid="{58A46DFC-BF64-4763-9FD8-33830E66005D}" name="2030-10-01"/>
    <tableColumn id="125" xr3:uid="{96900542-1B52-411F-A5F4-30C6520637CF}" name="2030-11-01"/>
    <tableColumn id="126" xr3:uid="{9B76F666-7CBD-4545-8604-9A725EA28851}" name="2030-12-01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FA7595-112D-4C60-B256-84C25B28B431}" name="rec" displayName="rec" ref="A1:AM2" insertRow="1" totalsRowShown="0">
  <autoFilter ref="A1:AM2" xr:uid="{E8FA7595-112D-4C60-B256-84C25B28B431}"/>
  <tableColumns count="39">
    <tableColumn id="1" xr3:uid="{3CE803A6-3C2A-41EB-A750-492F84A64192}" name="empreendimento"/>
    <tableColumn id="5" xr3:uid="{FBB3E5BC-C5C2-4FF8-BAF1-75D2BCB30DB0}" name="empresa"/>
    <tableColumn id="6" xr3:uid="{59BE7F22-0F13-4460-990F-70E8DD95723A}" name="total"/>
    <tableColumn id="7" xr3:uid="{B832183D-0F13-41B8-9CC0-574F4EF009AA}" name="data.vencimento"/>
    <tableColumn id="2" xr3:uid="{32E9FBF5-5F18-4D30-84CD-0BB3E0868AF2}" name="data.pagamento"/>
    <tableColumn id="3" xr3:uid="{EF6EA9AE-E5F2-4808-8AA6-996AE0A74CDE}" name="cliente"/>
    <tableColumn id="4" xr3:uid="{3366511A-2DA1-4610-8E8A-9BB9EA0DC5E1}" name="contrato"/>
    <tableColumn id="8" xr3:uid="{7569EC96-9A74-484B-AAE3-F91BCC1B4123}" name="contrato.cef"/>
    <tableColumn id="9" xr3:uid="{BE2007D9-AE3D-4D27-B81C-0F38A4EF1D7C}" name="repassado"/>
    <tableColumn id="10" xr3:uid="{229AB7BF-0F6A-477F-8558-B3817536EDA7}" name="ele"/>
    <tableColumn id="11" xr3:uid="{4C4A1400-DC57-43BD-B1DD-7694CAC1D4BF}" name="esp"/>
    <tableColumn id="12" xr3:uid="{2D89436D-D2DF-4A62-A5EE-2F63BAEC5A30}" name="esp.con"/>
    <tableColumn id="13" xr3:uid="{2193DEB7-B6F7-4967-8C58-A3D77E96B131}" name="agente"/>
    <tableColumn id="14" xr3:uid="{000F1BE6-6654-45D3-B0FA-BB37355C1482}" name="parcela"/>
    <tableColumn id="15" xr3:uid="{E07F7B66-25C3-494E-8EBF-04B00744AC9F}" name="principal"/>
    <tableColumn id="16" xr3:uid="{80E07E23-9C4D-47E0-A83A-262A3FBD8B1B}" name="juros"/>
    <tableColumn id="17" xr3:uid="{C87D413B-0FAE-4225-9182-5A867A0CB6A7}" name="juros.contrato"/>
    <tableColumn id="18" xr3:uid="{649E1A0B-BF2D-4B1F-A934-FF3B9BDFB2FF}" name="juros.mora"/>
    <tableColumn id="19" xr3:uid="{46EB2D9C-FCE1-4B9A-A443-A515D10EBF6F}" name="reajuste"/>
    <tableColumn id="20" xr3:uid="{2CFF9700-1026-4BBA-90E3-6D84E933AC62}" name="encargos"/>
    <tableColumn id="21" xr3:uid="{D99666C7-C905-439F-8381-D0D3CB4F3699}" name="multa"/>
    <tableColumn id="22" xr3:uid="{CDDD24D9-9FE1-43D5-A9FC-0AE87DD5CEA2}" name="seguro"/>
    <tableColumn id="23" xr3:uid="{D33AEF61-3E9C-4BA7-AAA7-84D7017E77AD}" name="desconto"/>
    <tableColumn id="24" xr3:uid="{4EFF4A7B-ABFA-4370-9670-66BE792CBCCB}" name="cart"/>
    <tableColumn id="25" xr3:uid="{D69B3039-8D7A-4C4D-ABF6-AF33D32A78D8}" name="r.f"/>
    <tableColumn id="26" xr3:uid="{C35C9BE7-AEAD-4F24-8137-D96AD544760B}" name="edificacao"/>
    <tableColumn id="27" xr3:uid="{6A880729-68FC-4CDD-925B-DFE13813C4EE}" name="especie"/>
    <tableColumn id="28" xr3:uid="{8F9E34EB-B616-4FE7-AD92-742AA0DDA9DF}" name="unidade"/>
    <tableColumn id="29" xr3:uid="{D16066CC-0CD5-4708-A46B-7781553EB25B}" name="data.emissao"/>
    <tableColumn id="30" xr3:uid="{4065F346-9C6D-484F-B30A-1EDE8A295B23}" name="disp"/>
    <tableColumn id="31" xr3:uid="{2CC34A5D-18AA-45F8-BB67-63EA9A8119AE}" name="pavimento"/>
    <tableColumn id="32" xr3:uid="{3633A6EA-4962-4E41-8255-E6DD4565902E}" name="arquivo"/>
    <tableColumn id="33" xr3:uid="{33C31858-8DD0-4F6B-9E1A-5DB83828CD0C}" name="arquivo.tipo"/>
    <tableColumn id="34" xr3:uid="{30DC1C98-EC4C-4C57-85D3-1D001F938A23}" name="arquivo.tabela.tipo"/>
    <tableColumn id="35" xr3:uid="{18959C8B-2A45-424B-970B-88D46E72383E}" name="arquivo.fonte"/>
    <tableColumn id="36" xr3:uid="{E8D45D4C-D238-4614-A780-C24E319687F0}" name="cruzada"/>
    <tableColumn id="37" xr3:uid="{94E7DEBC-832E-4986-88C8-8CE4EA159B80}" name="data"/>
    <tableColumn id="38" xr3:uid="{56868355-D614-4903-84DC-D648C991C45A}" name="id"/>
    <tableColumn id="39" xr3:uid="{DA97098C-4357-4127-892C-273BE7940F51}" name="natureza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173486-E87A-4257-A7BF-6C0C00AE6B34}" name="unis.cruzado" displayName="unis.cruzado" ref="A1:BZ2" insertRow="1" totalsRowShown="0">
  <autoFilter ref="A1:BZ2" xr:uid="{E8FA7595-112D-4C60-B256-84C25B28B431}"/>
  <tableColumns count="78">
    <tableColumn id="1" xr3:uid="{D763603C-D2C8-4C75-89DB-E133F9C43DB3}" name="empreendimento"/>
    <tableColumn id="5" xr3:uid="{A3769982-78EA-4F31-97E4-68EA487D2F6A}" name="setor"/>
    <tableColumn id="6" xr3:uid="{79F9F696-EBE4-4D98-9E70-7FDAEBE84FC6}" name="edificacao"/>
    <tableColumn id="7" xr3:uid="{FF687E5B-1790-41D6-B1B0-65F9D96ADBFB}" name="unidade.ik"/>
    <tableColumn id="2" xr3:uid="{F8F4CF45-8D8D-4559-B505-69D6E4D53447}" name="p.c"/>
    <tableColumn id="3" xr3:uid="{6E68CB30-3F07-4BE9-9BE3-10BCC70F9D25}" name="especie.ik"/>
    <tableColumn id="4" xr3:uid="{2B993962-240E-48C2-85D0-BE5902CE5C86}" name="pavimento"/>
    <tableColumn id="8" xr3:uid="{69CE5134-E295-472E-8E6B-06B7BFC0C629}" name="situacao"/>
    <tableColumn id="9" xr3:uid="{925EF20F-102E-4A0F-8878-B3C470AF7DBE}" name="obs.situacao"/>
    <tableColumn id="10" xr3:uid="{1DFB9E28-7956-422F-B5CB-047F39BB40AD}" name="adm.terceiro"/>
    <tableColumn id="11" xr3:uid="{E8B652EF-9BF4-46E4-BAA7-F71B305686B5}" name="inativo"/>
    <tableColumn id="12" xr3:uid="{28F2BCC3-59E1-45AC-AED1-89B4770A8214}" name="tab.preco"/>
    <tableColumn id="13" xr3:uid="{C3684BA8-EC3D-4F27-AD77-DC4FD66762C2}" name="area"/>
    <tableColumn id="14" xr3:uid="{C7442BD8-C3D7-4E9F-95CF-60C4294C9C8F}" name="area.lote"/>
    <tableColumn id="15" xr3:uid="{DED412FC-6EFA-45D9-A66E-7ED168ADA7ED}" name="fracao.ideal"/>
    <tableColumn id="16" xr3:uid="{458D186A-EBAC-4107-B717-9D150FA47CE2}" name="suites"/>
    <tableColumn id="17" xr3:uid="{F7387C1D-1A59-4CF8-8562-2993D906B85B}" name="d.simples"/>
    <tableColumn id="18" xr3:uid="{D826530D-A9C8-4407-9DDD-05842C61A579}" name="imobiliaria"/>
    <tableColumn id="19" xr3:uid="{78B9C5AA-9141-45ED-B8CD-F033E2BF0A19}" name="corretor"/>
    <tableColumn id="20" xr3:uid="{893C8F35-A27E-4F09-AF64-6B9E9A155BFB}" name="cliente"/>
    <tableColumn id="21" xr3:uid="{667D8D87-5120-40BD-8DD1-B6B8EBC3AB03}" name="cotista"/>
    <tableColumn id="22" xr3:uid="{A2EFAF79-9C93-4AC5-B63E-CD595BCED128}" name="data"/>
    <tableColumn id="23" xr3:uid="{8341BBFE-547B-4FB4-9343-5390B159D282}" name="mes.ano"/>
    <tableColumn id="24" xr3:uid="{F2083CF1-6E98-48C1-94F4-16FDF83E6476}" name="valor.imovel"/>
    <tableColumn id="25" xr3:uid="{6A103651-2BCC-4BE4-9483-9C24E318A4C1}" name="comissao"/>
    <tableColumn id="26" xr3:uid="{676ACBFF-2441-409D-9F16-2D26D5731838}" name="valor.c.d"/>
    <tableColumn id="27" xr3:uid="{4C01E207-C2C5-49AE-B87C-A565D209F32A}" name="valor.comissao"/>
    <tableColumn id="28" xr3:uid="{467D8AEA-32CF-47CB-9110-A085CFC45CA7}" name="valor.venda.ik"/>
    <tableColumn id="29" xr3:uid="{3C0162BC-69C9-4DBA-94DB-23B019046DF7}" name="disponivel.locacao"/>
    <tableColumn id="30" xr3:uid="{1ED38C2C-F263-41D9-A629-E5A61F70A20C}" name="escriturado"/>
    <tableColumn id="31" xr3:uid="{A2CC0BF2-2A3F-4A1A-8C01-760493DE1458}" name="transferido.iptu"/>
    <tableColumn id="32" xr3:uid="{7B8FE279-75A9-46EF-8401-6DF559ABC667}" name="data.escritura"/>
    <tableColumn id="33" xr3:uid="{A0518084-A365-4B5C-8BED-FB83AAC3D342}" name="cartorio"/>
    <tableColumn id="34" xr3:uid="{BB556D1B-FA55-4DAD-9A98-C401B72FBBD4}" name="cartorio.nome"/>
    <tableColumn id="35" xr3:uid="{4108A654-F5B9-4382-89CB-999C5356340A}" name="matricula"/>
    <tableColumn id="36" xr3:uid="{E8406607-A415-420A-B226-0B563A471A89}" name="arquivo.ik"/>
    <tableColumn id="37" xr3:uid="{80E86581-D4AF-4E84-922E-DFB7F3031B08}" name="arquivo.tipo.ik"/>
    <tableColumn id="38" xr3:uid="{B0B287BF-7E3C-46F0-87A1-1264CF84A9E4}" name="arquivo.tabela.tipo"/>
    <tableColumn id="39" xr3:uid="{3DB28C7C-42FC-4B6A-9414-CF16432652C5}" name="arquivo.fonte.ik"/>
    <tableColumn id="40" xr3:uid="{CA81510A-929D-4600-9F16-80B75CE8FA2F}" name="empresa.ik"/>
    <tableColumn id="41" xr3:uid="{5C0A5D02-B9BA-4454-8DC2-DCF2C7C4C43B}" name="id"/>
    <tableColumn id="42" xr3:uid="{4CB3ED9C-263D-4FE4-9D84-02E545C71D25}" name="empresa.ana"/>
    <tableColumn id="43" xr3:uid="{A4A72DD2-1C1B-4902-993F-BD93D694E18A}" name="especie.ana"/>
    <tableColumn id="44" xr3:uid="{C3DA94CE-67C8-4FB9-BAA9-82012BC0CA97}" name="unidade.ana"/>
    <tableColumn id="45" xr3:uid="{FEE86E82-7E8C-4450-A3BD-9F463D983A98}" name="Empreendimento_1"/>
    <tableColumn id="46" xr3:uid="{B8C42DD1-4E51-4E52-90CA-7181FCBDFBDE}" name="unidade.estq"/>
    <tableColumn id="47" xr3:uid="{2DECD2DB-6823-4383-A7FB-AABB41FBABA9}" name="Anot. venda"/>
    <tableColumn id="48" xr3:uid="{148F385D-4DDC-4A1B-95EB-935EA70B7EEC}" name="Planta"/>
    <tableColumn id="49" xr3:uid="{E0D30094-62C0-4813-A5DE-C7CAC5BD3013}" name="Status"/>
    <tableColumn id="50" xr3:uid="{1C0D0282-B7E8-4530-B86E-EA76CB71A65F}" name="Equipe"/>
    <tableColumn id="51" xr3:uid="{9023FB69-1D63-48A6-A59C-1F6B7E3275A6}" name="Gerente"/>
    <tableColumn id="52" xr3:uid="{10AB6097-AFC0-4514-ADD9-504C988A0A22}" name="Corretor_1"/>
    <tableColumn id="53" xr3:uid="{CE86A7AB-E5ED-4CFA-A910-E2921AD345B3}" name="Cliente(s)"/>
    <tableColumn id="54" xr3:uid="{A8C924FD-21C5-41E4-96E3-48CF4ADB9C21}" name="Desconto Tab."/>
    <tableColumn id="55" xr3:uid="{58DB5A3F-17AB-4857-87CF-81A2E7B9F7F7}" name="Área total"/>
    <tableColumn id="56" xr3:uid="{3E0FD8E5-D6AA-4594-AE30-84BBA173C086}" name="Área privativa"/>
    <tableColumn id="57" xr3:uid="{A91220C6-2FA4-4520-B33C-E9F9D307E0F2}" name="Fração ideal"/>
    <tableColumn id="58" xr3:uid="{1702972B-BA19-4991-92BC-9739B09F2DD5}" name="Quartos"/>
    <tableColumn id="59" xr3:uid="{B7861913-B74D-46A2-825C-4E5EDED9F94A}" name="Vagas"/>
    <tableColumn id="60" xr3:uid="{82867EE3-FF90-48A2-A1F4-AEFE80D26A3A}" name="Classificação Venda"/>
    <tableColumn id="61" xr3:uid="{CD922F1E-4D6D-4E75-8D1B-AAC4DC57FC10}" name="Estágio Contrato"/>
    <tableColumn id="62" xr3:uid="{0166F36B-7601-4809-BF68-E3906FBA1012}" name="Preço Tab."/>
    <tableColumn id="63" xr3:uid="{DB7B0218-E151-4F95-8EC4-E7984B02DB72}" name="Preço Tab. com Desconto"/>
    <tableColumn id="64" xr3:uid="{8B837986-5DCE-4E70-9F75-5CB763FF1245}" name="valor.venda.ana"/>
    <tableColumn id="65" xr3:uid="{89E89250-EBFE-449C-8F05-864632F5F38B}" name="Valor m2"/>
    <tableColumn id="66" xr3:uid="{A741663A-ADB2-4828-82B5-34A5028E110C}" name="Valor m2 com Desconto"/>
    <tableColumn id="67" xr3:uid="{5E85E0F1-956C-45CA-B7FE-6CE2E089A30B}" name="Data da venda / reserva"/>
    <tableColumn id="68" xr3:uid="{28C00359-48A1-479B-8193-DF2F4D14428E}" name="Data do pedido"/>
    <tableColumn id="69" xr3:uid="{0AF1679D-1947-4592-8CC0-64E9DEDDA25E}" name="Taxa de decoração - Valor total"/>
    <tableColumn id="70" xr3:uid="{2473F5C1-DD00-444D-9E77-CE9D56FAE8D6}" name="Taxa de decoração - Parcelas"/>
    <tableColumn id="71" xr3:uid="{C7CE7BDA-6516-4EA5-9AE1-FDE2ACB6C59B}" name="Taxa de decoração - Início pagto"/>
    <tableColumn id="72" xr3:uid="{E60147D2-A7AC-4F7E-A0AB-6CB69853E1D9}" name="Taxa de decoração - Início correção"/>
    <tableColumn id="73" xr3:uid="{BCA26560-B8B2-4C17-94F0-B9263B9B9148}" name="Data de recebimento"/>
    <tableColumn id="74" xr3:uid="{E04C1DC4-D38B-4288-862B-8D939B82100F}" name="Venda confirmada?"/>
    <tableColumn id="75" xr3:uid="{D638967E-E54F-4E45-8266-B240959AFB38}" name="Opção de planta"/>
    <tableColumn id="76" xr3:uid="{10DCDE7F-A75E-432B-AEA3-7AEDC8791A43}" name="arquivo.ana"/>
    <tableColumn id="77" xr3:uid="{AC316489-96B5-455D-8971-13F5321CA3AA}" name="arquivo.tipo.ana"/>
    <tableColumn id="78" xr3:uid="{3890AA83-9C82-4329-8AC6-C4EB3BFC3BCB}" name="arquivo.fonte.ana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CFFFB9-C78D-4C14-A133-EF761AF2086F}" name="xcef.mensal" displayName="xcef.mensal" ref="A1:AO2" insertRow="1" totalsRowShown="0">
  <autoFilter ref="A1:AO2" xr:uid="{E8FA7595-112D-4C60-B256-84C25B28B431}"/>
  <tableColumns count="41">
    <tableColumn id="1" xr3:uid="{84232B4A-A277-4722-87F3-AD475579790B}" name="empresa"/>
    <tableColumn id="5" xr3:uid="{FF0B5C5B-D422-43A2-A947-3B3DE8F32A3B}" name="contrato.cef.5"/>
    <tableColumn id="6" xr3:uid="{4E7C0B72-C3BC-437E-9A29-B1A9EDF7E4A1}" name="natureza"/>
    <tableColumn id="7" xr3:uid="{A52AB116-0B82-4B65-9FA1-BD7B5981D818}" name="total"/>
    <tableColumn id="2" xr3:uid="{2A3DB574-EC46-4B01-BFB7-FE02280A18D7}" name="2023-01-01"/>
    <tableColumn id="3" xr3:uid="{E318F3B6-180D-48BC-BAD5-9655DB0CE1AA}" name="2023-02-01"/>
    <tableColumn id="4" xr3:uid="{CB2F75B7-8084-4D7C-8D8B-4AEE9CEF08B8}" name="2023-03-01"/>
    <tableColumn id="8" xr3:uid="{1FF5FB65-679C-4D72-A07B-2D0B961F349B}" name="2023-04-01"/>
    <tableColumn id="9" xr3:uid="{1C630DF8-2B54-49EA-84CD-99DAC6F27574}" name="2023-05-01"/>
    <tableColumn id="10" xr3:uid="{3B56B558-9946-4F35-9984-11B1E7DC55E6}" name="2023-06-01"/>
    <tableColumn id="11" xr3:uid="{7FC24EC1-6155-4B7F-9ABA-DB96088D4ABE}" name="2023-07-01"/>
    <tableColumn id="12" xr3:uid="{ECD42742-5420-4C1B-BB2C-676386A4EE65}" name="2023-08-01"/>
    <tableColumn id="13" xr3:uid="{B65874CE-DA1A-4D6E-AC66-39361A166273}" name="2023-09-01"/>
    <tableColumn id="14" xr3:uid="{3F29506F-2830-4B2C-89BB-FC8C11B6D6A1}" name="2023-10-01"/>
    <tableColumn id="15" xr3:uid="{01DE19D6-5C4A-40FD-84AA-0DBC80EB43C8}" name="2023-11-01"/>
    <tableColumn id="16" xr3:uid="{F97BEB70-EFD1-47EC-A91E-554EAAFBDDAC}" name="2023-12-01"/>
    <tableColumn id="17" xr3:uid="{EDB20554-11A3-4628-B7CD-DF7E302014BB}" name="2024-01-01"/>
    <tableColumn id="18" xr3:uid="{0F51D975-A472-40B6-B849-97BA501F411F}" name="2024-02-01"/>
    <tableColumn id="19" xr3:uid="{C021CB69-0B38-4325-B871-B57E541D55FA}" name="2024-03-01"/>
    <tableColumn id="20" xr3:uid="{B162B028-8234-4511-BF56-EF25E97CF0E8}" name="2024-04-01"/>
    <tableColumn id="21" xr3:uid="{B8AFD97A-2246-4E0C-A159-487EB105F851}" name="2024-05-01"/>
    <tableColumn id="22" xr3:uid="{4C3AFAB6-5F32-453A-9E51-3C2F15142D07}" name="2024-06-01"/>
    <tableColumn id="23" xr3:uid="{5423C5DD-EAD8-41A7-AC62-F8E4D1582EA4}" name="2024-07-01"/>
    <tableColumn id="24" xr3:uid="{E28F9BC9-FC7A-42CF-8DAF-4460BDB0A92F}" name="2024-08-01"/>
    <tableColumn id="25" xr3:uid="{EA23A166-E59D-4E2B-A0DC-69907B8030D5}" name="2024-09-01"/>
    <tableColumn id="26" xr3:uid="{45028D15-459A-4206-9A17-394F3A1EC3EF}" name="2024-10-01"/>
    <tableColumn id="27" xr3:uid="{20EE486A-8BD7-4833-9BB2-A4BDFF5B53C3}" name="2024-11-01"/>
    <tableColumn id="28" xr3:uid="{3FC5DBBF-3440-49AF-B955-571929E84AB3}" name="2024-12-01"/>
    <tableColumn id="29" xr3:uid="{8B5EFEE7-03D9-4E80-AA74-7C2352AFB3DC}" name="2025-01-01"/>
    <tableColumn id="30" xr3:uid="{0FE9A300-E128-4F01-8E80-6297CAE77D14}" name="2025-02-01"/>
    <tableColumn id="31" xr3:uid="{98E193F3-FAD7-4DC5-A21D-2262562E044C}" name="2025-03-01"/>
    <tableColumn id="32" xr3:uid="{F1306800-5287-44E9-98E7-6D76D1A271D7}" name="2025-04-01"/>
    <tableColumn id="33" xr3:uid="{34EDAD50-B27D-4FE0-9EE3-4CCC382576C4}" name="2025-05-01"/>
    <tableColumn id="34" xr3:uid="{DA5A91EA-49C4-49EF-AE0D-DAF80F708793}" name="2025-06-01"/>
    <tableColumn id="35" xr3:uid="{2FEEBD1E-B51E-44B6-8FD9-EF4E27E55DCF}" name="2025-07-01"/>
    <tableColumn id="36" xr3:uid="{B7580611-11D7-45F2-A4E6-DD46A3E5C951}" name="2025-08-01"/>
    <tableColumn id="37" xr3:uid="{90CF8A10-DD1F-4A04-A805-788863D3F0C6}" name="2025-09-01"/>
    <tableColumn id="38" xr3:uid="{8BD0E0B9-026C-4D0C-B1F3-2D44A85D7372}" name="2025-10-01"/>
    <tableColumn id="39" xr3:uid="{FF466B26-8F06-4228-AD5A-42AD982C4F7A}" name="2025-11-01"/>
    <tableColumn id="40" xr3:uid="{5B203F91-3AAE-43FA-A312-E01A4604E7F8}" name="2025-12-01"/>
    <tableColumn id="41" xr3:uid="{6FBB14AE-1F6E-4152-96AF-73A852440AED}" name="2026-01-01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B526E1F-531F-4C3A-87B8-7C76E26AC31D}" name="car" displayName="car" ref="A1:AI2" insertRow="1" totalsRowShown="0" headerRowDxfId="154" dataDxfId="153">
  <autoFilter ref="A1:AI2" xr:uid="{E04C97D4-C6EC-4BA2-BDB8-ED5F99D32C7B}"/>
  <tableColumns count="35">
    <tableColumn id="1" xr3:uid="{4909997B-2B2B-4D27-A9C9-17AC2B7FCB4A}" name="empreendimento" dataDxfId="152"/>
    <tableColumn id="2" xr3:uid="{CDDCAB66-B52F-4CE4-A1AA-DF1CB827FFD7}" name="empresa" dataDxfId="151"/>
    <tableColumn id="3" xr3:uid="{478B6D54-14CD-4239-8A35-06C05E2C0034}" name="total" dataDxfId="150"/>
    <tableColumn id="4" xr3:uid="{A2035547-2EDD-442D-867D-4D1D0A3FDB66}" name="data.vencimento" dataDxfId="149"/>
    <tableColumn id="5" xr3:uid="{3F0726B1-207E-4E5F-B88E-371390887EBA}" name="data.pagamento" dataDxfId="148"/>
    <tableColumn id="6" xr3:uid="{4E5C736C-C9C7-41C4-BB61-30DE4D353426}" name="cliente" dataDxfId="147"/>
    <tableColumn id="7" xr3:uid="{24BE1C79-3FBD-49EE-9118-020C61F0618F}" name="contrato" dataDxfId="146"/>
    <tableColumn id="8" xr3:uid="{76CABF83-306C-480E-B7F1-BF143245AD0A}" name="contrato.cef" dataDxfId="145"/>
    <tableColumn id="9" xr3:uid="{C36C6D81-914B-40B5-8F47-50F0B75C50BF}" name="repassado" dataDxfId="144"/>
    <tableColumn id="10" xr3:uid="{C31128AD-51F7-4AB6-A7DC-2B3B2F36E3D5}" name="ele" dataDxfId="143"/>
    <tableColumn id="11" xr3:uid="{7C756E32-ED80-4648-A19E-289965D74B62}" name="esp" dataDxfId="142"/>
    <tableColumn id="12" xr3:uid="{B552472A-DC85-4D8B-B38A-95AB14C5FAED}" name="esp.con" dataDxfId="141"/>
    <tableColumn id="13" xr3:uid="{3262CC77-A527-4262-8A03-9578368FB52B}" name="agente" dataDxfId="140"/>
    <tableColumn id="14" xr3:uid="{83DFB1ED-97DB-4D03-93B1-CA64F20BB062}" name="parcela" dataDxfId="139"/>
    <tableColumn id="15" xr3:uid="{310F9CCF-D057-48B5-938A-540F5BA2578D}" name="principal" dataDxfId="138"/>
    <tableColumn id="16" xr3:uid="{36C6D19D-892D-4CD3-9F52-80674518E768}" name="juros" dataDxfId="137"/>
    <tableColumn id="17" xr3:uid="{93F370C0-EA2F-44A1-916B-8E8182F153D9}" name="juros.contrato" dataDxfId="136"/>
    <tableColumn id="18" xr3:uid="{EF7F0BAE-3F57-42A4-8D98-1F1142925920}" name="juros.mora" dataDxfId="135"/>
    <tableColumn id="19" xr3:uid="{9A43C1ED-E1CC-4EA6-8401-EC5B5C9B5BA4}" name="reajuste" dataDxfId="134"/>
    <tableColumn id="20" xr3:uid="{EA813428-C73D-406F-BD01-C5FEF2D8A10E}" name="encargos" dataDxfId="133"/>
    <tableColumn id="21" xr3:uid="{6193CE30-2936-4456-B058-C4CE214BC0DF}" name="multa" dataDxfId="132"/>
    <tableColumn id="22" xr3:uid="{686C1965-8D80-4DB9-9E16-3E2927096A25}" name="seguro" dataDxfId="131"/>
    <tableColumn id="23" xr3:uid="{EB896493-CBAF-41A3-99F4-76A173BE2C0C}" name="desconto" dataDxfId="130"/>
    <tableColumn id="24" xr3:uid="{9EDB2D2C-02D2-4F78-91CB-ED7F75D2D479}" name="cart" dataDxfId="129"/>
    <tableColumn id="25" xr3:uid="{5D604426-9BA8-42CA-9137-8C0DA804C9C9}" name="r.f" dataDxfId="128"/>
    <tableColumn id="26" xr3:uid="{FCB10DC8-A106-4651-A5F5-B6CE5F43A068}" name="edificacao" dataDxfId="127"/>
    <tableColumn id="27" xr3:uid="{76DB6A1D-85DA-402A-9550-AB643C14B763}" name="especie" dataDxfId="126"/>
    <tableColumn id="28" xr3:uid="{21473A4C-57AA-40A5-A691-C041B7B3D6EA}" name="unidade" dataDxfId="125"/>
    <tableColumn id="29" xr3:uid="{6369CAC2-F1A0-4F23-931C-21656B2CFD3D}" name="data.emissao" dataDxfId="124"/>
    <tableColumn id="30" xr3:uid="{BBEB5770-261C-43DC-8867-3DBCB6D7F3FF}" name="disp" dataDxfId="123"/>
    <tableColumn id="31" xr3:uid="{E985D767-AB1F-4F90-A9CE-EF645624F8CC}" name="pavimento" dataDxfId="122"/>
    <tableColumn id="32" xr3:uid="{97282165-EF24-4BFF-AE19-D3AC538768A3}" name="arquivo" dataDxfId="121"/>
    <tableColumn id="33" xr3:uid="{91BD8B32-FBEC-4584-ACA0-5FDDB558C573}" name="arquivo.tipo" dataDxfId="120"/>
    <tableColumn id="34" xr3:uid="{B975FFCC-7F9C-416D-AE5A-B2775A88E1BD}" name="arquivo.tabela.tipo" dataDxfId="119"/>
    <tableColumn id="35" xr3:uid="{34754CAB-7AEB-4E90-9639-FB836D583D59}" name="arquivo.fonte" dataDxfId="11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56EDDC-F7D4-4AEC-98BF-DAF555C000ED}" name="cmfcns" displayName="cmfcns" ref="A1:P2" insertRow="1" totalsRowShown="0" headerRowDxfId="117" dataDxfId="116">
  <autoFilter ref="A1:P2" xr:uid="{E04C97D4-C6EC-4BA2-BDB8-ED5F99D32C7B}"/>
  <tableColumns count="16">
    <tableColumn id="1" xr3:uid="{4172D8DD-652A-486F-8850-D0F514E13987}" name="empresa" dataDxfId="115"/>
    <tableColumn id="2" xr3:uid="{C3E1CD73-1178-4A22-8DF7-A1103D01F4F6}" name="contrato" dataDxfId="114"/>
    <tableColumn id="3" xr3:uid="{00D80AC0-D4F3-479A-A2DF-3BD21F07D30A}" name="data.lancamento" dataDxfId="113"/>
    <tableColumn id="4" xr3:uid="{3A43D1CB-20B2-4507-A2CF-75D492709ED5}" name="data.movimento" dataDxfId="112"/>
    <tableColumn id="5" xr3:uid="{03FD7560-148C-4D09-AA67-5C62BEB1D7D4}" name="lancamentos" dataDxfId="111"/>
    <tableColumn id="6" xr3:uid="{555A99DA-6BE7-484C-892D-74EBB47CCF6E}" name="np" dataDxfId="110"/>
    <tableColumn id="7" xr3:uid="{F639F25F-AB6F-4547-A37F-18043BA04664}" name="conta.sidec/nsgd" dataDxfId="109"/>
    <tableColumn id="8" xr3:uid="{2FF4A02D-F9C5-4042-9BA7-16C4D4C6B2A0}" name="valor" dataDxfId="108"/>
    <tableColumn id="9" xr3:uid="{4B4BC1A3-9E68-43E3-A674-3F91378C8C01}" name="situacao" dataDxfId="107"/>
    <tableColumn id="10" xr3:uid="{624AF4C8-868A-4C89-91E1-AFA6F7E94F70}" name="mot" dataDxfId="106"/>
    <tableColumn id="11" xr3:uid="{B5D34D0A-D5BF-4097-BAE1-1007790BD9E9}" name="contrato.6" dataDxfId="105"/>
    <tableColumn id="12" xr3:uid="{6443C3FB-FB50-4940-A7CB-7BE6987DBFAF}" name="natureza" dataDxfId="104"/>
    <tableColumn id="13" xr3:uid="{646F3D89-068B-4E36-A0EA-7DC009066312}" name="arquivo" dataDxfId="103"/>
    <tableColumn id="14" xr3:uid="{6D3275CE-212B-48E9-95E5-69B03DDB5DE7}" name="arquivo.tipo" dataDxfId="102"/>
    <tableColumn id="15" xr3:uid="{4D16F173-A3E1-4747-BAB3-E8FBBB1269D5}" name="arquivo.tabela.tipo" dataDxfId="101"/>
    <tableColumn id="16" xr3:uid="{E8B89BC8-13B6-4CE3-862A-9A0D5D1EFBE8}" name="arquivo.fonte" dataDxfId="100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57526B3-C802-47A1-B88F-6E9285A235F5}" name="contr" displayName="contr" ref="A1:E2" insertRow="1" totalsRowShown="0" headerRowDxfId="99" dataDxfId="98">
  <autoFilter ref="A1:E2" xr:uid="{E04C97D4-C6EC-4BA2-BDB8-ED5F99D32C7B}"/>
  <tableColumns count="5">
    <tableColumn id="1" xr3:uid="{F8991AC9-B496-4071-88D0-965AA7E56347}" name="id.contr" dataDxfId="97"/>
    <tableColumn id="2" xr3:uid="{848121DC-6D2B-4A17-AB11-1C54A6302ADF}" name="empresa" dataDxfId="96"/>
    <tableColumn id="3" xr3:uid="{996BCA97-A76D-4FF6-9F2B-C2FD653CD03C}" name="contrato" dataDxfId="95"/>
    <tableColumn id="4" xr3:uid="{0BD26A3E-381C-43D9-88DA-1591A2D9509E}" name="contrato.cef" dataDxfId="94"/>
    <tableColumn id="5" xr3:uid="{C3B3C125-1D2F-4D6D-B9A4-2B2A5043EC4D}" name="repassado" dataDxfId="9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DB3E146-2E41-468D-836B-509ADD12A808}" name="cr" displayName="cr" ref="A1:AI2" insertRow="1" totalsRowShown="0" headerRowDxfId="92" dataDxfId="91">
  <autoFilter ref="A1:AI2" xr:uid="{E04C97D4-C6EC-4BA2-BDB8-ED5F99D32C7B}"/>
  <tableColumns count="35">
    <tableColumn id="1" xr3:uid="{440B0FCC-48BC-4A20-8D62-29D670ECD1C9}" name="empreendimento" dataDxfId="90"/>
    <tableColumn id="2" xr3:uid="{C4C9E047-46CD-4AFC-9FF5-5203CB7360AF}" name="empresa" dataDxfId="89"/>
    <tableColumn id="3" xr3:uid="{501C34BC-6BA6-4281-9132-43392569CBEE}" name="total" dataDxfId="88"/>
    <tableColumn id="4" xr3:uid="{A838AC47-467F-4E9D-9F94-A1394090D05B}" name="data.vencimento" dataDxfId="87"/>
    <tableColumn id="5" xr3:uid="{C70A3A55-B10E-43B3-AA98-82D38FCB332A}" name="data.pagamento" dataDxfId="86"/>
    <tableColumn id="6" xr3:uid="{FE773079-73DE-4706-841B-CDA7C988A739}" name="cliente" dataDxfId="85"/>
    <tableColumn id="7" xr3:uid="{5E710180-3A09-4950-9046-A417817BEEB2}" name="contrato" dataDxfId="84"/>
    <tableColumn id="8" xr3:uid="{08CD3258-1FB8-4322-976F-447FDA2C11A5}" name="contrato.cef" dataDxfId="83"/>
    <tableColumn id="9" xr3:uid="{F132141F-0E22-4446-A08A-A339E69305BB}" name="repassado" dataDxfId="82"/>
    <tableColumn id="10" xr3:uid="{B2DC5E90-57FC-465B-9241-C6E02D54C932}" name="ele" dataDxfId="81"/>
    <tableColumn id="11" xr3:uid="{3BAE7148-7786-4CC3-A1ED-E2F4E356A31C}" name="esp" dataDxfId="80"/>
    <tableColumn id="12" xr3:uid="{E8C648F2-C4D1-4B71-BB5B-67C6822F651E}" name="esp.con" dataDxfId="79"/>
    <tableColumn id="13" xr3:uid="{F2AC8E18-7DF4-4E50-AE58-67D4A87720E3}" name="agente" dataDxfId="78"/>
    <tableColumn id="14" xr3:uid="{292DCC56-D05C-4CAC-9B47-33DF6961E235}" name="parcela" dataDxfId="77"/>
    <tableColumn id="15" xr3:uid="{D28109D0-605F-49B9-8F22-8D653BFC0CDC}" name="principal" dataDxfId="76"/>
    <tableColumn id="16" xr3:uid="{52C4AB26-8C44-4203-A468-F2EA98122F69}" name="juros" dataDxfId="75"/>
    <tableColumn id="17" xr3:uid="{D4B1234D-BCBB-4A99-9D57-68454B0846CA}" name="juros.contrato" dataDxfId="74"/>
    <tableColumn id="18" xr3:uid="{89090CD6-79F4-4CEC-9FAC-EB04946BB4F2}" name="juros.mora" dataDxfId="73"/>
    <tableColumn id="19" xr3:uid="{9C6A8D08-5299-48EA-83CE-C4238DDBC7FE}" name="reajuste" dataDxfId="72"/>
    <tableColumn id="20" xr3:uid="{44FAEF10-5B85-4ABB-960F-A48BD5686E7B}" name="encargos" dataDxfId="71"/>
    <tableColumn id="21" xr3:uid="{7BF8EC05-0D70-4A61-842E-1612E21CCB59}" name="multa" dataDxfId="70"/>
    <tableColumn id="22" xr3:uid="{299A2E45-7670-47D0-8628-654C154FDB62}" name="seguro" dataDxfId="69"/>
    <tableColumn id="23" xr3:uid="{14086FCE-9BC8-4718-9590-FC63802E3C1D}" name="desconto" dataDxfId="68"/>
    <tableColumn id="24" xr3:uid="{06FE7AE8-8861-47B9-B133-7CB71DE335F3}" name="cart" dataDxfId="67"/>
    <tableColumn id="25" xr3:uid="{28493125-0867-480D-9B4A-53E567936A7D}" name="r.f" dataDxfId="66"/>
    <tableColumn id="26" xr3:uid="{5A2AD706-329A-4381-8F39-ED5E8D9B1927}" name="edificacao" dataDxfId="65"/>
    <tableColumn id="27" xr3:uid="{0AEB20CC-6745-4FFE-9570-C675ED06E8C5}" name="especie" dataDxfId="64"/>
    <tableColumn id="28" xr3:uid="{9B937B69-72C2-48D1-87E6-FE61EC303BD3}" name="unidade" dataDxfId="63"/>
    <tableColumn id="29" xr3:uid="{4175B748-09C4-4D25-BB08-7951F4F93E29}" name="data.emissao" dataDxfId="62"/>
    <tableColumn id="30" xr3:uid="{83375F18-967D-4549-BE36-79D7DE239F44}" name="disp" dataDxfId="61"/>
    <tableColumn id="31" xr3:uid="{DE734EC2-AACD-400F-99DD-D85DEB6F0823}" name="pavimento" dataDxfId="60"/>
    <tableColumn id="32" xr3:uid="{3C92D6FA-F73F-48EA-A351-B3654A31F7FA}" name="arquivo" dataDxfId="59"/>
    <tableColumn id="33" xr3:uid="{8F933408-16A2-40AA-823E-51ADD96D66FD}" name="arquivo.tipo" dataDxfId="58"/>
    <tableColumn id="34" xr3:uid="{11AB353A-112C-4504-A4CB-FF6E41B10CC8}" name="arquivo.tabela.tipo" dataDxfId="57"/>
    <tableColumn id="35" xr3:uid="{3CC8E619-73CA-4718-AC18-0FB6AD2F3F3C}" name="arquivo.fonte" dataDxfId="56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EE981D-91C1-44B4-B573-54D51614A054}" name="desp" displayName="desp" ref="A1:AE2" insertRow="1" totalsRowShown="0" headerRowDxfId="55" dataDxfId="54">
  <autoFilter ref="A1:AE2" xr:uid="{E04C97D4-C6EC-4BA2-BDB8-ED5F99D32C7B}"/>
  <tableColumns count="31">
    <tableColumn id="1" xr3:uid="{7591C1E4-333E-46EC-B95F-BF5541B357A4}" name="n.siban" dataDxfId="53"/>
    <tableColumn id="2" xr3:uid="{96E89845-4235-4A02-B7CE-0DF0B7B694DB}" name="nucleo.num" dataDxfId="52"/>
    <tableColumn id="3" xr3:uid="{0F46A9C7-7C83-42D1-A309-7325397F5236}" name="empresa" dataDxfId="51"/>
    <tableColumn id="4" xr3:uid="{F721C566-B42C-4B2C-9946-7DA03969DC90}" name="centro.negocio" dataDxfId="50"/>
    <tableColumn id="5" xr3:uid="{8D9D4173-C28C-4992-A064-F483ADDB0E23}" name="origem" dataDxfId="49"/>
    <tableColumn id="6" xr3:uid="{81048B38-F467-4E84-8A20-F585D954E066}" name="tipo.entrada" dataDxfId="48"/>
    <tableColumn id="7" xr3:uid="{6CBBA08B-DF25-4369-A82D-8FA8F29EFA80}" name="documento" dataDxfId="47"/>
    <tableColumn id="8" xr3:uid="{7ABB27F8-B8CB-470A-8419-30B67BC51AD4}" name="parcela" dataDxfId="46"/>
    <tableColumn id="9" xr3:uid="{69DFD527-31D6-4991-B07E-927ACDC7CCA5}" name="data.vencimento" dataDxfId="45"/>
    <tableColumn id="10" xr3:uid="{A011B5AE-D821-47F3-A9A6-F73395565959}" name="data.pagamento" dataDxfId="44"/>
    <tableColumn id="11" xr3:uid="{C3536954-73DF-43E9-B074-638C86E811AA}" name="valor" dataDxfId="43"/>
    <tableColumn id="12" xr3:uid="{F3716B11-9C97-4DB0-8371-CE9B5B6B2835}" name="a/c" dataDxfId="42"/>
    <tableColumn id="13" xr3:uid="{22491C3C-25CC-446A-9E63-A4864D1C0FC9}" name="documento.pagto" dataDxfId="41"/>
    <tableColumn id="14" xr3:uid="{9F6A6033-77D1-4985-A84E-8552AC4C5382}" name="credor" dataDxfId="40"/>
    <tableColumn id="15" xr3:uid="{E076FDFD-C917-4899-BB40-F4499FF592BE}" name="classe" dataDxfId="39"/>
    <tableColumn id="16" xr3:uid="{75ABA4F4-48E3-4C5F-8173-5ED4DBFA82D8}" name="assunto.titulo" dataDxfId="38"/>
    <tableColumn id="17" xr3:uid="{8CA2E840-C63A-4531-93C8-123AFA79FB8C}" name="grupo.titulo" dataDxfId="37"/>
    <tableColumn id="18" xr3:uid="{5752141F-D6C3-4E1A-B10F-5C08983DA09A}" name="subgrupo.titulo" dataDxfId="36"/>
    <tableColumn id="19" xr3:uid="{4F627380-75D5-43C0-9A09-E48059974E95}" name="classificacao" dataDxfId="35"/>
    <tableColumn id="20" xr3:uid="{58602D9F-504C-4459-831A-2C342BEDC48D}" name="d/c" dataDxfId="34"/>
    <tableColumn id="21" xr3:uid="{327A2116-6BB3-4610-A671-1A4C96BFEC0F}" name="nucleo" dataDxfId="33"/>
    <tableColumn id="22" xr3:uid="{983BAABF-26E4-4519-AA67-4856AFC95801}" name="cod.grupo.nuc" dataDxfId="32"/>
    <tableColumn id="23" xr3:uid="{80C8F68F-ECB3-49D4-A74E-D629239E9C92}" name="grupo.nucleo" dataDxfId="31"/>
    <tableColumn id="24" xr3:uid="{D442FD0E-1287-4A06-98FC-6B0AEAD7BEC9}" name="cod.grupo.cen" dataDxfId="30"/>
    <tableColumn id="25" xr3:uid="{6DFAC642-E786-4831-B43F-F44A89E2D703}" name="grupo.centro" dataDxfId="29"/>
    <tableColumn id="26" xr3:uid="{C2FECD4D-2685-40F5-8A02-E4AF08AA3A80}" name="cod.classe.cen" dataDxfId="28"/>
    <tableColumn id="27" xr3:uid="{C9A23853-8F7E-4588-B7FD-8D6378266F1E}" name="classe.centro" dataDxfId="27"/>
    <tableColumn id="28" xr3:uid="{F2EB607E-C2EE-4A67-B514-8C0634DDFE5B}" name="arquivo" dataDxfId="26"/>
    <tableColumn id="29" xr3:uid="{F25F60B2-DE2C-4070-9B2E-8992D19A74E5}" name="arquivo.tabela.tipo" dataDxfId="25"/>
    <tableColumn id="30" xr3:uid="{BD1F13BE-7F96-454A-BF6E-E5CC7E3E33C5}" name="arquivo.tipo" dataDxfId="24"/>
    <tableColumn id="31" xr3:uid="{EABBC6B5-0899-4C37-87FE-DAB7CEAB1319}" name="arquivo.fonte" dataDxfId="23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4C97D4-C6EC-4BA2-BDB8-ED5F99D32C7B}" name="ecns" displayName="ecns" ref="A1:L2" insertRow="1" totalsRowShown="0" headerRowDxfId="22" dataDxfId="21">
  <autoFilter ref="A1:L2" xr:uid="{E04C97D4-C6EC-4BA2-BDB8-ED5F99D32C7B}"/>
  <tableColumns count="12">
    <tableColumn id="1" xr3:uid="{B5DFC91C-E081-4C3D-92BC-96E63DBDA06E}" name="empresa" dataDxfId="20"/>
    <tableColumn id="2" xr3:uid="{FA8F031D-9B1D-4B80-B82B-8AD3A6BAC081}" name="contrato.cef.5" dataDxfId="19"/>
    <tableColumn id="3" xr3:uid="{AA23661F-0E86-454B-B6FA-A33BA6F0CD1B}" name="repasse.cef.total" dataDxfId="18"/>
    <tableColumn id="4" xr3:uid="{EE24BE11-7DE0-4865-9425-57AA4E53C3E7}" name="repasse.cef.incorrido" dataDxfId="17"/>
    <tableColumn id="5" xr3:uid="{0F4302C0-1CDD-4B4D-A83B-6214CFBCD2EA}" name="repasse.cef.a.incorrer" dataDxfId="16"/>
    <tableColumn id="6" xr3:uid="{9D6ADF16-5B0C-4F1A-AEEF-585B9E5F5755}" name="repasse.cef.fin" dataDxfId="15"/>
    <tableColumn id="7" xr3:uid="{37A1F46E-AFA9-4CD2-A308-F4D6219EF875}" name="repasse.cef.desc.subs" dataDxfId="14"/>
    <tableColumn id="8" xr3:uid="{E6BABD7C-7C5B-4C88-A5BF-AF4E450F389B}" name="repasse.cef.fgts" dataDxfId="13"/>
    <tableColumn id="9" xr3:uid="{A2FE521F-3077-4FE2-BEC6-79AE0FCEB217}" name="repasse.cef.rec.prop" dataDxfId="12"/>
    <tableColumn id="10" xr3:uid="{68CE88C2-EF45-4F98-8368-487AAE13F73A}" name="repasse.cef.terreno.acum" dataDxfId="11"/>
    <tableColumn id="11" xr3:uid="{6013DC4F-C554-47DC-9D7B-BF1FFA36C501}" name="repasse.cef.obra.acum" dataDxfId="10"/>
    <tableColumn id="12" xr3:uid="{2706354C-F402-4E95-A801-2AA598F4077D}" name="arquivo" dataDxfId="9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E42C6A-F8A7-4644-B8D7-56B2E74FEEC8}" name="estq" displayName="estq" ref="A1:AL2" insertRow="1" totalsRowShown="0">
  <autoFilter ref="A1:AL2" xr:uid="{93E42C6A-F8A7-4644-B8D7-56B2E74FEEC8}"/>
  <tableColumns count="38">
    <tableColumn id="1" xr3:uid="{E73A435C-50A8-4761-AD66-4C7F7E5F0A48}" name="id"/>
    <tableColumn id="4" xr3:uid="{C88C8388-725E-45B3-8547-988A25EBE545}" name="empresa"/>
    <tableColumn id="2" xr3:uid="{224E59DF-C775-4DDA-BE67-53FBB29E8F31}" name="especie"/>
    <tableColumn id="3" xr3:uid="{181DB74E-4CBD-4D00-A45E-85B892BE6EFD}" name="unidade"/>
    <tableColumn id="5" xr3:uid="{36187C5E-82CC-446D-AB6F-591F3C5EF492}" name="Empreendimento"/>
    <tableColumn id="6" xr3:uid="{C4AEA384-10CC-4302-86F1-3242943BF673}" name="Unidade_1"/>
    <tableColumn id="7" xr3:uid="{B7F53C8A-7BFF-48EB-BC98-80B0F0F766CB}" name="Anot. venda"/>
    <tableColumn id="8" xr3:uid="{E2402D53-0FFA-4D7D-965B-7647FBEC155D}" name="Planta"/>
    <tableColumn id="9" xr3:uid="{25CFBA7E-D488-4E45-AE39-C0F4E1D71B38}" name="Status"/>
    <tableColumn id="10" xr3:uid="{82309B00-00C4-4534-A331-6D90BB9D318D}" name="Equipe"/>
    <tableColumn id="11" xr3:uid="{DE07811A-D924-4FD5-BF78-B73D9C465585}" name="Gerente"/>
    <tableColumn id="12" xr3:uid="{3E838B71-5EC4-42DD-8AEB-1EDD36E7CC3B}" name="Corretor"/>
    <tableColumn id="13" xr3:uid="{7B9BBEF8-F3C9-4534-B893-658813C22EAD}" name="Cliente(s)"/>
    <tableColumn id="14" xr3:uid="{D651D79B-10AC-4670-97A8-D3A4BB2D1857}" name="Desconto Tab."/>
    <tableColumn id="15" xr3:uid="{083F74FC-DD01-4F26-BC38-615D40F57252}" name="Área total"/>
    <tableColumn id="16" xr3:uid="{46CCA9AC-E8A8-4EAD-9E6F-0AA163A59082}" name="Área privativa"/>
    <tableColumn id="17" xr3:uid="{24797C1F-0100-4D92-B536-3778B67EFF2C}" name="Fração ideal"/>
    <tableColumn id="18" xr3:uid="{53D0011C-4139-4585-9CED-3555200CD3A2}" name="Quartos"/>
    <tableColumn id="19" xr3:uid="{B1F8A8CA-8061-43CD-BD22-8270709B0590}" name="Vagas"/>
    <tableColumn id="20" xr3:uid="{7540F34C-40B4-433E-9B44-A0FCBEC64BB6}" name="Classificação Venda"/>
    <tableColumn id="21" xr3:uid="{C73DA5F3-BC1B-404D-A632-20AEBEBCAAFA}" name="Estágio Contrato"/>
    <tableColumn id="22" xr3:uid="{61FCC204-A01E-4720-811F-1760CA3FC71A}" name="Preço Tab."/>
    <tableColumn id="23" xr3:uid="{EAF329ED-E1F4-4AD1-AA72-873F9D4B4061}" name="Preço Tab. com Desconto"/>
    <tableColumn id="24" xr3:uid="{F0750966-6C8F-448B-8520-CBD019745961}" name="valor.venda"/>
    <tableColumn id="25" xr3:uid="{9F6C111F-92C5-482C-A8B6-FF7014D37BBE}" name="Valor m2"/>
    <tableColumn id="26" xr3:uid="{D84A78F5-80F9-4159-9EE7-A1B063126B24}" name="Valor m2 com Desconto"/>
    <tableColumn id="27" xr3:uid="{A591FAD1-35CC-4D3A-AB73-9FA9F43361C5}" name="Data da venda / reserva"/>
    <tableColumn id="28" xr3:uid="{5812E4CF-BC26-4810-BA47-7F98B09DC283}" name="Data do pedido"/>
    <tableColumn id="29" xr3:uid="{E5217732-F884-4715-9E4E-A96A24D3749D}" name="Taxa de decoração - Valor total"/>
    <tableColumn id="30" xr3:uid="{D063D8FA-89FB-483A-A2F9-62CE74B20689}" name="Taxa de decoração - Parcelas"/>
    <tableColumn id="31" xr3:uid="{D894EFB4-BE5B-4636-9B75-E2AF0962BBCE}" name="Taxa de decoração - Início pagto"/>
    <tableColumn id="32" xr3:uid="{18147793-27FC-4E39-8052-C262A29770B7}" name="Taxa de decoração - Início correção"/>
    <tableColumn id="33" xr3:uid="{A369BFC1-68DF-40B3-BA60-7D748BC6B5E5}" name="Data de recebimento"/>
    <tableColumn id="34" xr3:uid="{58A1A5F6-9059-4493-9F71-89EE5C9FEC68}" name="Venda confirmada?"/>
    <tableColumn id="35" xr3:uid="{D53138A8-9019-456D-839B-9AFD8B0E589D}" name="Opção de planta"/>
    <tableColumn id="36" xr3:uid="{12392CA1-92FC-451C-94CB-014BFB73080C}" name="arquivo"/>
    <tableColumn id="37" xr3:uid="{5A59041B-F362-4681-9D18-E4A64EB38EB8}" name="arquivo.tipo"/>
    <tableColumn id="38" xr3:uid="{1DB272CE-E220-46F7-BC6A-94F8B487392F}" name="arquivo.fonte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EC6BD7-973F-4F27-B58D-A618D9F2AED0}" name="unis" displayName="unis" ref="A1:AO2" insertRow="1" totalsRowShown="0">
  <autoFilter ref="A1:AO2" xr:uid="{EBEC6BD7-973F-4F27-B58D-A618D9F2AED0}"/>
  <tableColumns count="41">
    <tableColumn id="1" xr3:uid="{1946085A-0C0C-4F80-B23A-90149FDC68C2}" name="empreendimento"/>
    <tableColumn id="2" xr3:uid="{562E3C31-BDD5-47F0-B471-27E131C2A34C}" name="setor"/>
    <tableColumn id="3" xr3:uid="{46C52AB4-FCF9-4E6F-AE40-D24F283EAFC0}" name="edificacao"/>
    <tableColumn id="4" xr3:uid="{B4A50061-AE52-45FC-A244-DCD52296F2FD}" name="unidade"/>
    <tableColumn id="5" xr3:uid="{6B21F9D3-DA7E-4050-960E-AA763F850477}" name="p.c"/>
    <tableColumn id="6" xr3:uid="{579571F5-2A73-46E2-B7BD-00361A2A5466}" name="especie"/>
    <tableColumn id="7" xr3:uid="{84EDCB31-7107-42CD-AC16-F7E3B1023A34}" name="pavimento"/>
    <tableColumn id="8" xr3:uid="{07D971EB-5D48-4A5F-AC7F-FD94872465F2}" name="situacao"/>
    <tableColumn id="9" xr3:uid="{13012D7E-B30E-4791-8A64-61C491DC4219}" name="obs.situacao"/>
    <tableColumn id="10" xr3:uid="{B608E271-7A8B-4E12-AB02-A6C613C653B4}" name="adm.terceiro"/>
    <tableColumn id="11" xr3:uid="{785D8527-AFBD-49C8-8305-74589108E642}" name="inativo"/>
    <tableColumn id="12" xr3:uid="{77F2CDDE-FA00-4F63-AB28-7C4A760810BD}" name="tab.preco"/>
    <tableColumn id="13" xr3:uid="{EF70E10C-2D5A-4C65-8224-CD8711F3E018}" name="area"/>
    <tableColumn id="14" xr3:uid="{2E7CEE29-EBA5-4C0E-83DD-AFF0223C02D8}" name="area.lote"/>
    <tableColumn id="15" xr3:uid="{7664E981-4575-4BFB-9EF9-2FDA9B2B08FD}" name="fracao.ideal"/>
    <tableColumn id="16" xr3:uid="{F9543E2F-25BC-4D06-ABAE-D858ACAAE8FF}" name="suites"/>
    <tableColumn id="17" xr3:uid="{CA65ADFF-6BFD-47F7-864A-5740F55EC859}" name="d.simples"/>
    <tableColumn id="18" xr3:uid="{7DBD0846-7B56-4C06-AA89-087D950FC7D7}" name="imobiliaria"/>
    <tableColumn id="19" xr3:uid="{3A4EEC6C-2262-4C83-B812-3B424D03712C}" name="corretor"/>
    <tableColumn id="20" xr3:uid="{64B1E83B-7580-4540-BB03-DC702CA0E0FE}" name="cliente"/>
    <tableColumn id="21" xr3:uid="{92D10FDB-BA57-4AA6-A477-D32494EE5A81}" name="cotista"/>
    <tableColumn id="22" xr3:uid="{DE51F105-8657-4A6B-B184-B2125D3368EB}" name="data"/>
    <tableColumn id="23" xr3:uid="{9A2037A9-8C8B-4DCD-9C6B-4866FEE2A324}" name="mes.ano"/>
    <tableColumn id="24" xr3:uid="{EAA89675-609C-45AC-A53F-8DEAFC5E6804}" name="valor.imovel"/>
    <tableColumn id="25" xr3:uid="{212F1741-3D35-4FB6-A99C-2F80CD131C9E}" name="comissao"/>
    <tableColumn id="26" xr3:uid="{331CCBB3-3BEB-4714-A1D7-ECB44E1AF3EC}" name="valor.c.d"/>
    <tableColumn id="27" xr3:uid="{F56EF844-5616-4ADA-AF9C-4C3588A5A0E0}" name="valor.comissao"/>
    <tableColumn id="28" xr3:uid="{32496F39-7EEE-4417-9A58-F9726FB21D1D}" name="valor.venda"/>
    <tableColumn id="29" xr3:uid="{2DAB6672-61D2-499B-96E4-FF32E90B497C}" name="disponivel.locacao"/>
    <tableColumn id="30" xr3:uid="{B8DE1113-2F98-4FA0-A82C-98C55D232D76}" name="escriturado"/>
    <tableColumn id="31" xr3:uid="{85710E86-E988-4294-964D-C62B9D9CA60D}" name="transferido.iptu"/>
    <tableColumn id="32" xr3:uid="{3966D5F5-251B-4117-8E95-30332DE82C2F}" name="data.escritura"/>
    <tableColumn id="33" xr3:uid="{4CDE239D-1A14-41FF-BDA0-BA973D32BD5B}" name="cartorio"/>
    <tableColumn id="34" xr3:uid="{2312425A-0B9A-49B2-8CCB-82DD81C11F17}" name="cartorio.nome"/>
    <tableColumn id="35" xr3:uid="{CF96BEEF-78F0-4E65-B208-465D77D641E0}" name="matricula"/>
    <tableColumn id="36" xr3:uid="{A9FAD113-21FD-4B0B-85D4-177C1114059E}" name="arquivo"/>
    <tableColumn id="37" xr3:uid="{7413B2E3-EA79-48E6-BBC7-06D208B932A4}" name="arquivo.tipo"/>
    <tableColumn id="38" xr3:uid="{96AC5DD9-1950-49A3-B3E7-CC9ED3A47833}" name="arquivo.tabela.tipo"/>
    <tableColumn id="39" xr3:uid="{AB9C2118-A34B-4ACC-A54A-0B9F206DF3CF}" name="arquivo.fonte"/>
    <tableColumn id="40" xr3:uid="{0DC90BEA-30FE-4F3D-8719-7399CCE81ED9}" name="empresa"/>
    <tableColumn id="41" xr3:uid="{25938710-1199-4871-BCB2-C8F659C64A2F}" name="id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B134101-94C6-452B-A3DB-0A665188E984}" name="xcef" displayName="xcef" ref="A1:E2" insertRow="1" totalsRowShown="0" headerRowDxfId="8" dataDxfId="7">
  <autoFilter ref="A1:E2" xr:uid="{E04C97D4-C6EC-4BA2-BDB8-ED5F99D32C7B}"/>
  <tableColumns count="5">
    <tableColumn id="1" xr3:uid="{0C22C526-E0A4-4F19-9BFE-30A9404472CD}" name="id.contr" dataDxfId="6"/>
    <tableColumn id="2" xr3:uid="{77A03ED4-07AB-4294-89B2-72F5A8531326}" name="empresa" dataDxfId="5"/>
    <tableColumn id="3" xr3:uid="{8E7D4A26-597A-4986-9AF0-612B794EA45B}" name="contrato" dataDxfId="4"/>
    <tableColumn id="4" xr3:uid="{06FCC6D4-D79B-41F2-9126-2E69213661EB}" name="contrato.cef" dataDxfId="3"/>
    <tableColumn id="5" xr3:uid="{107A43C0-34F7-4408-922D-AAADC6BF37F3}" name="repassado" dataDxfId="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2" dT="2025-12-18T19:02:02.16" personId="{42E265A3-45EC-48D4-9B29-0671EDA53BA5}" id="{1164DBE1-DE77-4A00-815E-51F8BFD51909}">
    <text>Valor total do financiamento do ABC (incorrido + a incorrer)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F7D0-C757-40DC-8660-28D2472786D9}">
  <sheetPr>
    <tabColor rgb="FFFFFF00"/>
  </sheetPr>
  <dimension ref="A1:AP122"/>
  <sheetViews>
    <sheetView showGridLines="0" zoomScale="80" zoomScaleNormal="80" workbookViewId="0"/>
  </sheetViews>
  <sheetFormatPr defaultRowHeight="15" x14ac:dyDescent="0.25"/>
  <cols>
    <col min="1" max="1" width="18.28515625" style="6" bestFit="1" customWidth="1"/>
    <col min="2" max="42" width="14.7109375" style="6" customWidth="1"/>
    <col min="43" max="16384" width="9.140625" style="6"/>
  </cols>
  <sheetData>
    <row r="1" spans="1:42" ht="18.75" x14ac:dyDescent="0.3">
      <c r="A1" s="1">
        <v>45991</v>
      </c>
      <c r="B1" s="2" t="s">
        <v>0</v>
      </c>
      <c r="C1" s="3"/>
      <c r="D1" s="3"/>
      <c r="E1" s="3"/>
      <c r="F1" s="4"/>
      <c r="G1" s="3"/>
      <c r="H1" s="5"/>
      <c r="I1" s="2" t="s">
        <v>1</v>
      </c>
      <c r="J1" s="3"/>
      <c r="K1" s="3"/>
      <c r="L1" s="3"/>
      <c r="M1" s="4"/>
      <c r="N1" s="3"/>
      <c r="O1" s="5"/>
      <c r="P1" s="2" t="s">
        <v>2</v>
      </c>
      <c r="Q1" s="3"/>
      <c r="R1" s="3"/>
      <c r="S1" s="3"/>
      <c r="T1" s="4"/>
      <c r="U1" s="3"/>
      <c r="V1" s="5"/>
      <c r="W1" s="2" t="s">
        <v>3</v>
      </c>
      <c r="X1" s="3"/>
      <c r="Y1" s="3"/>
      <c r="Z1" s="5"/>
      <c r="AA1" s="2" t="s">
        <v>4</v>
      </c>
      <c r="AB1" s="3"/>
      <c r="AC1" s="3"/>
      <c r="AD1" s="3"/>
      <c r="AE1" s="5"/>
      <c r="AF1" s="2" t="s">
        <v>5</v>
      </c>
      <c r="AG1" s="3"/>
      <c r="AH1" s="3"/>
      <c r="AI1" s="3"/>
      <c r="AJ1" s="4"/>
      <c r="AK1" s="3"/>
      <c r="AL1" s="5"/>
      <c r="AM1" s="2" t="s">
        <v>6</v>
      </c>
      <c r="AN1" s="3"/>
      <c r="AO1" s="3"/>
      <c r="AP1" s="5"/>
    </row>
    <row r="2" spans="1:42" ht="15.75" x14ac:dyDescent="0.25">
      <c r="B2" s="7" t="s">
        <v>7</v>
      </c>
      <c r="C2" s="8"/>
      <c r="D2" s="9" cm="1">
        <f t="array" ref="D2">SUMPRODUCT(
   estq[Preço Tab.] *
   (estq[empresa]=D$6) *
   ((estq[Status]="Disponível") + (estq[Status]="Reservada") + (estq[Status]="Em negociação"))
)</f>
        <v>0</v>
      </c>
      <c r="H2" s="10"/>
      <c r="I2" s="7" t="s">
        <v>7</v>
      </c>
      <c r="J2" s="11"/>
      <c r="K2" s="9" cm="1">
        <f t="array" ref="K2">SUMPRODUCT(
   estq[Preço Tab.] *
   (estq[empresa]=K$6) *
   ((estq[Status]="Disponível") + (estq[Status]="Reservada") + (estq[Status]="Em negociação"))
)</f>
        <v>0</v>
      </c>
      <c r="O2" s="10"/>
      <c r="P2" s="7" t="s">
        <v>7</v>
      </c>
      <c r="Q2" s="11"/>
      <c r="R2" s="9" cm="1">
        <f t="array" ref="R2">SUMPRODUCT(
   estq[Preço Tab.] *
   (estq[empresa]=R$6) *
   ((estq[Status]="Disponível") + (estq[Status]="Reservada") + (estq[Status]="Em negociação"))
)</f>
        <v>0</v>
      </c>
      <c r="V2" s="10"/>
      <c r="W2" s="7" t="s">
        <v>7</v>
      </c>
      <c r="X2" s="11"/>
      <c r="Y2" s="9" cm="1">
        <f t="array" ref="Y2">SUMPRODUCT(
   estq[Preço Tab.] *
   (estq[empresa]=Y$6) *
   ((estq[Status]="Disponível") + (estq[Status]="Reservada") + (estq[Status]="Em negociação"))
)</f>
        <v>0</v>
      </c>
      <c r="Z2" s="10"/>
      <c r="AA2" s="7" t="s">
        <v>7</v>
      </c>
      <c r="AB2" s="11"/>
      <c r="AC2" s="9" cm="1">
        <f t="array" ref="AC2">SUMPRODUCT(
   estq[Preço Tab.] *
   (estq[empresa]=AC$6) *
   ((estq[Status]="Disponível") + (estq[Status]="Reservada") + (estq[Status]="Em negociação"))
)</f>
        <v>0</v>
      </c>
      <c r="AE2" s="10"/>
      <c r="AF2" s="7" t="s">
        <v>7</v>
      </c>
      <c r="AG2" s="11"/>
      <c r="AH2" s="9" cm="1">
        <f t="array" ref="AH2">SUMPRODUCT(
   estq[Preço Tab.] *
   (estq[empresa]=AH$6) *
   ((estq[Status]="Disponível") + (estq[Status]="Reservada") + (estq[Status]="Em negociação"))
)</f>
        <v>0</v>
      </c>
      <c r="AL2" s="10"/>
      <c r="AM2" s="7" t="s">
        <v>7</v>
      </c>
      <c r="AN2" s="11"/>
      <c r="AO2" s="9" cm="1">
        <f t="array" ref="AO2">SUMPRODUCT(
   estq[Preço Tab.] *
   (estq[empresa]=AO$6) *
   ((estq[Status]="Disponível") + (estq[Status]="Reservada") + (estq[Status]="Em negociação"))
)</f>
        <v>0</v>
      </c>
      <c r="AP2" s="10"/>
    </row>
    <row r="3" spans="1:42" ht="15.75" x14ac:dyDescent="0.25">
      <c r="B3" s="12" t="s">
        <v>8</v>
      </c>
      <c r="C3" s="13"/>
      <c r="D3" s="14">
        <f>COUNTIFS(estq[empresa], D$6, estq[Status], "Disponível")
+
COUNTIFS(estq[empresa], D$6, estq[Status], "Reservada")
+
COUNTIFS(estq[empresa], D$6, estq[Status], "Em negociação")</f>
        <v>0</v>
      </c>
      <c r="H3" s="10"/>
      <c r="I3" s="12" t="s">
        <v>8</v>
      </c>
      <c r="J3" s="15"/>
      <c r="K3" s="14">
        <f>COUNTIFS(estq[empresa], K$6, estq[Status], "Disponível")
+
COUNTIFS(estq[empresa], K$6, estq[Status], "Reservada")
+
COUNTIFS(estq[empresa], K$6, estq[Status], "Em negociação")</f>
        <v>0</v>
      </c>
      <c r="O3" s="10"/>
      <c r="P3" s="12" t="s">
        <v>8</v>
      </c>
      <c r="Q3" s="15"/>
      <c r="R3" s="14">
        <f>COUNTIFS(estq[empresa], R$6, estq[Status], "Disponível")
+
COUNTIFS(estq[empresa], R$6, estq[Status], "Reservada")
+
COUNTIFS(estq[empresa], R$6, estq[Status], "Em negociação")</f>
        <v>0</v>
      </c>
      <c r="V3" s="10"/>
      <c r="W3" s="12" t="s">
        <v>8</v>
      </c>
      <c r="X3" s="15"/>
      <c r="Y3" s="14">
        <f>COUNTIFS(estq[empresa], Y$6, estq[Status], "Disponível")
+
COUNTIFS(estq[empresa], Y$6, estq[Status], "Reservada")
+
COUNTIFS(estq[empresa], Y$6, estq[Status], "Em negociação")</f>
        <v>0</v>
      </c>
      <c r="Z3" s="10"/>
      <c r="AA3" s="12" t="s">
        <v>8</v>
      </c>
      <c r="AB3" s="15"/>
      <c r="AC3" s="14">
        <f>COUNTIFS(estq[empresa], AC$6, estq[Status], "Disponível")
+
COUNTIFS(estq[empresa], AC$6, estq[Status], "Reservada")
+
COUNTIFS(estq[empresa], AC$6, estq[Status], "Em negociação")</f>
        <v>0</v>
      </c>
      <c r="AE3" s="10"/>
      <c r="AF3" s="12" t="s">
        <v>8</v>
      </c>
      <c r="AG3" s="15"/>
      <c r="AH3" s="14">
        <f>COUNTIFS(estq[empresa], AH$6, estq[Status], "Disponível")
+
COUNTIFS(estq[empresa], AH$6, estq[Status], "Reservada")
+
COUNTIFS(estq[empresa], AH$6, estq[Status], "Em negociação")</f>
        <v>0</v>
      </c>
      <c r="AL3" s="10"/>
      <c r="AM3" s="12" t="s">
        <v>8</v>
      </c>
      <c r="AN3" s="15"/>
      <c r="AO3" s="14">
        <f>COUNTIFS(estq[empresa], AO$6, estq[Status], "Disponível")
+
COUNTIFS(estq[empresa], AO$6, estq[Status], "Reservada")
+
COUNTIFS(estq[empresa], AO$6, estq[Status], "Em negociação")</f>
        <v>0</v>
      </c>
      <c r="AP3" s="10"/>
    </row>
    <row r="4" spans="1:42" ht="15.75" x14ac:dyDescent="0.25">
      <c r="B4" s="7" t="s">
        <v>9</v>
      </c>
      <c r="C4" s="8"/>
      <c r="D4" s="9">
        <f ca="1">SUMIFS(rec.uni[soma.meses],
INDIRECT("rec.uni[natureza]"),"parcela.cef.assinar",
INDIRECT("rec.uni[empresa]"),D$6)</f>
        <v>0</v>
      </c>
      <c r="H4" s="10"/>
      <c r="I4" s="7" t="s">
        <v>9</v>
      </c>
      <c r="J4" s="11"/>
      <c r="K4" s="9">
        <f ca="1">SUMIFS(rec.uni[soma.meses],
INDIRECT("rec.uni[natureza]"),"parcela.cef.assinar",
INDIRECT("rec.uni[empresa]"),K$6)</f>
        <v>0</v>
      </c>
      <c r="O4" s="10"/>
      <c r="P4" s="7" t="s">
        <v>9</v>
      </c>
      <c r="Q4" s="11"/>
      <c r="R4" s="9">
        <f ca="1">SUMIFS(rec.uni[soma.meses],
INDIRECT("rec.uni[natureza]"),"parcela.cef.assinar",
INDIRECT("rec.uni[empresa]"),R$6)</f>
        <v>0</v>
      </c>
      <c r="V4" s="10"/>
      <c r="W4" s="7" t="s">
        <v>9</v>
      </c>
      <c r="X4" s="11"/>
      <c r="Y4" s="9">
        <f ca="1">SUMIFS(rec.uni[soma.meses],
INDIRECT("rec.uni[natureza]"),"parcela.cef.assinar",
INDIRECT("rec.uni[empresa]"),Y$6)</f>
        <v>0</v>
      </c>
      <c r="Z4" s="10"/>
      <c r="AA4" s="16"/>
      <c r="AE4" s="10"/>
      <c r="AF4" s="7" t="s">
        <v>9</v>
      </c>
      <c r="AG4" s="11"/>
      <c r="AH4" s="9">
        <f ca="1">SUMIFS(rec.uni[soma.meses],
INDIRECT("rec.uni[natureza]"),"parcela.cef.assinar",
INDIRECT("rec.uni[empresa]"),AH$6)</f>
        <v>0</v>
      </c>
      <c r="AL4" s="10"/>
      <c r="AM4" s="7" t="s">
        <v>9</v>
      </c>
      <c r="AN4" s="11"/>
      <c r="AO4" s="9">
        <f ca="1">SUMIFS(rec.uni[soma.meses],
INDIRECT("rec.uni[natureza]"),"parcela.cef.assinar",
INDIRECT("rec.uni[empresa]"),AO$6)</f>
        <v>0</v>
      </c>
      <c r="AP4" s="10"/>
    </row>
    <row r="5" spans="1:42" ht="15.75" x14ac:dyDescent="0.25">
      <c r="B5" s="17" t="s">
        <v>10</v>
      </c>
      <c r="C5" s="18"/>
      <c r="D5" s="19">
        <f>COUNTIFS(
   rec.uni[empresa],D$6,
   rec.uni[natureza],"parcela.cef.assinar"
)</f>
        <v>0</v>
      </c>
      <c r="H5" s="20"/>
      <c r="I5" s="17" t="s">
        <v>10</v>
      </c>
      <c r="J5" s="21"/>
      <c r="K5" s="19">
        <f>COUNTIFS(
   rec.uni[empresa],K$6,
   rec.uni[natureza],"parcela.cef.assinar"
)</f>
        <v>0</v>
      </c>
      <c r="O5" s="20"/>
      <c r="P5" s="17" t="s">
        <v>10</v>
      </c>
      <c r="Q5" s="21"/>
      <c r="R5" s="19">
        <f>COUNTIFS(
   rec.uni[empresa],R$6,
   rec.uni[natureza],"parcela.cef.assinar"
)</f>
        <v>0</v>
      </c>
      <c r="V5" s="20"/>
      <c r="W5" s="17" t="s">
        <v>10</v>
      </c>
      <c r="X5" s="21"/>
      <c r="Y5" s="19">
        <f>COUNTIFS(
   rec.uni[empresa],Y$6,
   rec.uni[natureza],"parcela.cef.assinar"
)</f>
        <v>0</v>
      </c>
      <c r="Z5" s="20"/>
      <c r="AA5" s="22"/>
      <c r="AB5" s="23"/>
      <c r="AE5" s="20"/>
      <c r="AF5" s="17" t="s">
        <v>10</v>
      </c>
      <c r="AG5" s="21"/>
      <c r="AH5" s="19">
        <f>COUNTIFS(
   rec.uni[empresa],AH$6,
   rec.uni[natureza],"parcela.cef.assinar"
)</f>
        <v>0</v>
      </c>
      <c r="AL5" s="20"/>
      <c r="AM5" s="17" t="s">
        <v>10</v>
      </c>
      <c r="AN5" s="21"/>
      <c r="AO5" s="19">
        <f>COUNTIFS(
   rec.uni[empresa],AO$6,
   rec.uni[natureza],"parcela.cef.assinar"
)</f>
        <v>0</v>
      </c>
      <c r="AP5" s="20"/>
    </row>
    <row r="6" spans="1:42" ht="15.75" x14ac:dyDescent="0.25">
      <c r="A6" s="24" t="s">
        <v>11</v>
      </c>
      <c r="B6" s="25" t="s">
        <v>12</v>
      </c>
      <c r="C6" s="26" t="s">
        <v>12</v>
      </c>
      <c r="D6" s="26" t="s">
        <v>12</v>
      </c>
      <c r="E6" s="26" t="s">
        <v>12</v>
      </c>
      <c r="F6" s="27" t="s">
        <v>12</v>
      </c>
      <c r="G6" s="26" t="s">
        <v>12</v>
      </c>
      <c r="H6" s="28" t="s">
        <v>12</v>
      </c>
      <c r="I6" s="25" t="s">
        <v>13</v>
      </c>
      <c r="J6" s="26" t="s">
        <v>13</v>
      </c>
      <c r="K6" s="26" t="s">
        <v>13</v>
      </c>
      <c r="L6" s="26" t="s">
        <v>13</v>
      </c>
      <c r="M6" s="26" t="s">
        <v>13</v>
      </c>
      <c r="N6" s="26" t="s">
        <v>13</v>
      </c>
      <c r="O6" s="28" t="s">
        <v>13</v>
      </c>
      <c r="P6" s="25" t="s">
        <v>14</v>
      </c>
      <c r="Q6" s="26" t="s">
        <v>14</v>
      </c>
      <c r="R6" s="26" t="s">
        <v>14</v>
      </c>
      <c r="S6" s="26" t="s">
        <v>14</v>
      </c>
      <c r="T6" s="26" t="s">
        <v>14</v>
      </c>
      <c r="U6" s="26" t="s">
        <v>14</v>
      </c>
      <c r="V6" s="28" t="s">
        <v>14</v>
      </c>
      <c r="W6" s="25" t="s">
        <v>15</v>
      </c>
      <c r="X6" s="26" t="s">
        <v>15</v>
      </c>
      <c r="Y6" s="26" t="s">
        <v>15</v>
      </c>
      <c r="Z6" s="28" t="s">
        <v>15</v>
      </c>
      <c r="AA6" s="25" t="s">
        <v>16</v>
      </c>
      <c r="AB6" s="26" t="s">
        <v>16</v>
      </c>
      <c r="AC6" s="26" t="s">
        <v>16</v>
      </c>
      <c r="AD6" s="26" t="s">
        <v>16</v>
      </c>
      <c r="AE6" s="28" t="s">
        <v>16</v>
      </c>
      <c r="AF6" s="25" t="s">
        <v>17</v>
      </c>
      <c r="AG6" s="26" t="s">
        <v>17</v>
      </c>
      <c r="AH6" s="26" t="s">
        <v>17</v>
      </c>
      <c r="AI6" s="26" t="s">
        <v>17</v>
      </c>
      <c r="AJ6" s="26" t="s">
        <v>17</v>
      </c>
      <c r="AK6" s="26" t="s">
        <v>17</v>
      </c>
      <c r="AL6" s="28" t="s">
        <v>17</v>
      </c>
      <c r="AM6" s="25" t="s">
        <v>18</v>
      </c>
      <c r="AN6" s="26" t="s">
        <v>18</v>
      </c>
      <c r="AO6" s="26" t="s">
        <v>18</v>
      </c>
      <c r="AP6" s="28" t="s">
        <v>18</v>
      </c>
    </row>
    <row r="7" spans="1:42" ht="30" x14ac:dyDescent="0.25">
      <c r="A7" s="24" t="s">
        <v>19</v>
      </c>
      <c r="B7" s="29" t="s">
        <v>20</v>
      </c>
      <c r="C7" s="30" t="s">
        <v>21</v>
      </c>
      <c r="D7" s="30" t="s">
        <v>22</v>
      </c>
      <c r="E7" s="30" t="s">
        <v>23</v>
      </c>
      <c r="F7" s="31" t="s">
        <v>24</v>
      </c>
      <c r="G7" s="30" t="s">
        <v>25</v>
      </c>
      <c r="H7" s="32" t="s">
        <v>26</v>
      </c>
      <c r="I7" s="29" t="s">
        <v>20</v>
      </c>
      <c r="J7" s="30" t="s">
        <v>21</v>
      </c>
      <c r="K7" s="30" t="s">
        <v>22</v>
      </c>
      <c r="L7" s="30" t="s">
        <v>23</v>
      </c>
      <c r="M7" s="31" t="s">
        <v>24</v>
      </c>
      <c r="N7" s="30" t="s">
        <v>25</v>
      </c>
      <c r="O7" s="32" t="s">
        <v>26</v>
      </c>
      <c r="P7" s="29" t="s">
        <v>20</v>
      </c>
      <c r="Q7" s="30" t="s">
        <v>21</v>
      </c>
      <c r="R7" s="30" t="s">
        <v>22</v>
      </c>
      <c r="S7" s="30" t="s">
        <v>23</v>
      </c>
      <c r="T7" s="31" t="s">
        <v>24</v>
      </c>
      <c r="U7" s="30" t="s">
        <v>25</v>
      </c>
      <c r="V7" s="32" t="s">
        <v>26</v>
      </c>
      <c r="W7" s="29" t="s">
        <v>20</v>
      </c>
      <c r="X7" s="30" t="s">
        <v>21</v>
      </c>
      <c r="Y7" s="30" t="s">
        <v>25</v>
      </c>
      <c r="Z7" s="32" t="s">
        <v>26</v>
      </c>
      <c r="AA7" s="29" t="s">
        <v>20</v>
      </c>
      <c r="AB7" s="30" t="s">
        <v>21</v>
      </c>
      <c r="AC7" s="30" t="s">
        <v>27</v>
      </c>
      <c r="AD7" s="30" t="s">
        <v>25</v>
      </c>
      <c r="AE7" s="32" t="s">
        <v>26</v>
      </c>
      <c r="AF7" s="29" t="s">
        <v>20</v>
      </c>
      <c r="AG7" s="30" t="s">
        <v>21</v>
      </c>
      <c r="AH7" s="30" t="s">
        <v>22</v>
      </c>
      <c r="AI7" s="30" t="s">
        <v>23</v>
      </c>
      <c r="AJ7" s="31" t="s">
        <v>24</v>
      </c>
      <c r="AK7" s="30" t="s">
        <v>25</v>
      </c>
      <c r="AL7" s="32" t="s">
        <v>26</v>
      </c>
      <c r="AM7" s="29" t="s">
        <v>20</v>
      </c>
      <c r="AN7" s="30" t="s">
        <v>21</v>
      </c>
      <c r="AO7" s="30" t="s">
        <v>25</v>
      </c>
      <c r="AP7" s="32" t="s">
        <v>26</v>
      </c>
    </row>
    <row r="8" spans="1:42" ht="15.75" x14ac:dyDescent="0.25">
      <c r="A8" s="33" t="s">
        <v>28</v>
      </c>
      <c r="B8" s="34">
        <f t="shared" ref="B8:N8" si="0">SUMIF($A$11:$A$122,"&lt;="&amp;$A$1,B$11:B$122)</f>
        <v>0</v>
      </c>
      <c r="C8" s="35">
        <f t="shared" ca="1" si="0"/>
        <v>0</v>
      </c>
      <c r="D8" s="35">
        <f t="shared" ca="1" si="0"/>
        <v>0</v>
      </c>
      <c r="E8" s="35">
        <f t="shared" ca="1" si="0"/>
        <v>0</v>
      </c>
      <c r="F8" s="36">
        <f t="shared" si="0"/>
        <v>4623285.8899999997</v>
      </c>
      <c r="G8" s="35">
        <f t="shared" ca="1" si="0"/>
        <v>0</v>
      </c>
      <c r="H8" s="37">
        <f>SUMIF($A$11:$A$122,"&lt;="&amp;$A$1,H$11:H$122)</f>
        <v>0</v>
      </c>
      <c r="I8" s="34">
        <f t="shared" si="0"/>
        <v>0</v>
      </c>
      <c r="J8" s="35">
        <f t="shared" ca="1" si="0"/>
        <v>0</v>
      </c>
      <c r="K8" s="35">
        <f t="shared" ca="1" si="0"/>
        <v>0</v>
      </c>
      <c r="L8" s="35">
        <f t="shared" ca="1" si="0"/>
        <v>0</v>
      </c>
      <c r="M8" s="36">
        <f t="shared" si="0"/>
        <v>5133141.9800000004</v>
      </c>
      <c r="N8" s="35">
        <f t="shared" ca="1" si="0"/>
        <v>0</v>
      </c>
      <c r="O8" s="37">
        <f>SUMIF($A$11:$A$122,"&lt;="&amp;$A$1,O$11:O$122)</f>
        <v>0</v>
      </c>
      <c r="P8" s="34">
        <f>SUMIF($A$11:$A$122,"&lt;="&amp;$A$1,P$11:P$122)</f>
        <v>0</v>
      </c>
      <c r="Q8" s="35">
        <f ca="1">SUMIF($A$11:$A$122,"&lt;="&amp;$A$1,Q$11:Q$122)</f>
        <v>0</v>
      </c>
      <c r="R8" s="35">
        <f ca="1">SUMIF($A$11:$A$122,"&lt;="&amp;$A$1,R$11:R$122)</f>
        <v>0</v>
      </c>
      <c r="S8" s="35">
        <f ca="1">SUMIF($A$11:$A$122,"&lt;="&amp;$A$1,S$11:S$122)</f>
        <v>0</v>
      </c>
      <c r="T8" s="36">
        <f t="shared" ref="T8:AP8" si="1">SUMIF($A$11:$A$122,"&lt;="&amp;$A$1,T$11:T$122)</f>
        <v>2247103.94</v>
      </c>
      <c r="U8" s="35">
        <f t="shared" ca="1" si="1"/>
        <v>0</v>
      </c>
      <c r="V8" s="37">
        <f t="shared" si="1"/>
        <v>0</v>
      </c>
      <c r="W8" s="34">
        <f t="shared" si="1"/>
        <v>0</v>
      </c>
      <c r="X8" s="35">
        <f t="shared" ca="1" si="1"/>
        <v>0</v>
      </c>
      <c r="Y8" s="35">
        <f t="shared" ca="1" si="1"/>
        <v>0</v>
      </c>
      <c r="Z8" s="37">
        <f t="shared" si="1"/>
        <v>0</v>
      </c>
      <c r="AA8" s="34">
        <f t="shared" si="1"/>
        <v>0</v>
      </c>
      <c r="AB8" s="35">
        <f t="shared" ca="1" si="1"/>
        <v>0</v>
      </c>
      <c r="AC8" s="38" t="s">
        <v>44</v>
      </c>
      <c r="AD8" s="35">
        <f t="shared" ca="1" si="1"/>
        <v>0</v>
      </c>
      <c r="AE8" s="37">
        <f t="shared" si="1"/>
        <v>0</v>
      </c>
      <c r="AF8" s="34">
        <f t="shared" si="1"/>
        <v>0</v>
      </c>
      <c r="AG8" s="35">
        <f t="shared" ca="1" si="1"/>
        <v>0</v>
      </c>
      <c r="AH8" s="35">
        <f t="shared" ca="1" si="1"/>
        <v>0</v>
      </c>
      <c r="AI8" s="35">
        <f t="shared" ca="1" si="1"/>
        <v>0</v>
      </c>
      <c r="AJ8" s="36">
        <f t="shared" si="1"/>
        <v>2873902.3600000003</v>
      </c>
      <c r="AK8" s="35">
        <f t="shared" ca="1" si="1"/>
        <v>0</v>
      </c>
      <c r="AL8" s="37">
        <f t="shared" si="1"/>
        <v>0</v>
      </c>
      <c r="AM8" s="34">
        <f t="shared" si="1"/>
        <v>0</v>
      </c>
      <c r="AN8" s="35">
        <f t="shared" ca="1" si="1"/>
        <v>0</v>
      </c>
      <c r="AO8" s="35">
        <f t="shared" ca="1" si="1"/>
        <v>0</v>
      </c>
      <c r="AP8" s="37">
        <f t="shared" si="1"/>
        <v>0</v>
      </c>
    </row>
    <row r="9" spans="1:42" ht="15.75" x14ac:dyDescent="0.25">
      <c r="A9" s="33" t="s">
        <v>29</v>
      </c>
      <c r="B9" s="39">
        <f>B$10-B$8</f>
        <v>0</v>
      </c>
      <c r="C9" s="35">
        <f ca="1">SUMIF($A$11:$A$122,"&gt;"&amp;$A$1,C$11:C$122)</f>
        <v>0</v>
      </c>
      <c r="D9" s="40">
        <f ca="1">IFERROR(SUMIF(ecns[empresa], D$6,ecns[repasse.cef.total])
-E$8
-E$9
-D$8,0)</f>
        <v>0</v>
      </c>
      <c r="E9" s="40">
        <v>0</v>
      </c>
      <c r="F9" s="41">
        <f>SUMIF($A$11:$A$122,"&gt;"&amp;$A$1,F$11:F$122)</f>
        <v>0</v>
      </c>
      <c r="G9" s="35">
        <f ca="1">SUMIF($A$11:$A$122,"&gt;"&amp;$A$1,G$11:G$122)</f>
        <v>0</v>
      </c>
      <c r="H9" s="42">
        <f>SUMIF($A$11:$A$122,"&gt;"&amp;$A$1,H$11:H$122)</f>
        <v>0</v>
      </c>
      <c r="I9" s="39">
        <f>I$10-I$8</f>
        <v>0</v>
      </c>
      <c r="J9" s="35">
        <f ca="1">SUMIF($A$11:$A$122,"&gt;"&amp;$A$1,J$11:J$122)</f>
        <v>0</v>
      </c>
      <c r="K9" s="40">
        <v>0</v>
      </c>
      <c r="L9" s="40">
        <v>0</v>
      </c>
      <c r="M9" s="41">
        <f>SUMIF($A$11:$A$122,"&gt;"&amp;$A$1,M$11:M$122)</f>
        <v>0</v>
      </c>
      <c r="N9" s="35">
        <f ca="1">SUMIF($A$11:$A$122,"&gt;"&amp;$A$1,N$11:N$122)</f>
        <v>0</v>
      </c>
      <c r="O9" s="42">
        <f>SUMIF($A$11:$A$122,"&gt;"&amp;$A$1,O$11:O$122)</f>
        <v>0</v>
      </c>
      <c r="P9" s="39">
        <f>P$10-P$8</f>
        <v>0</v>
      </c>
      <c r="Q9" s="35">
        <f ca="1">SUMIF($A$11:$A$122,"&gt;"&amp;$A$1,Q$11:Q$122)</f>
        <v>0</v>
      </c>
      <c r="R9" s="40">
        <f ca="1">IFERROR(SUMIF(ecns[empresa], R$6,ecns[repasse.cef.total])
-S$8
-S$9
-R$8,0)</f>
        <v>0</v>
      </c>
      <c r="S9" s="40">
        <v>0</v>
      </c>
      <c r="T9" s="41">
        <f>SUMIF($A$11:$A$122,"&gt;"&amp;$A$1,T$11:T$122)</f>
        <v>0</v>
      </c>
      <c r="U9" s="35">
        <f ca="1">SUMIF($A$11:$A$122,"&gt;"&amp;$A$1,U$11:U$122)</f>
        <v>0</v>
      </c>
      <c r="V9" s="42">
        <f>SUMIF($A$11:$A$122,"&gt;"&amp;$A$1,V$11:V$122)</f>
        <v>0</v>
      </c>
      <c r="W9" s="39">
        <f>W$10-W$8</f>
        <v>0</v>
      </c>
      <c r="X9" s="35">
        <f ca="1">SUMIF($A$11:$A$122,"&gt;"&amp;$A$1,X$11:X$122)</f>
        <v>0</v>
      </c>
      <c r="Y9" s="35">
        <f ca="1">SUMIF($A$11:$A$122,"&gt;"&amp;$A$1,Y$11:Y$122)</f>
        <v>0</v>
      </c>
      <c r="Z9" s="42">
        <f>SUMIF($A$11:$A$122,"&gt;"&amp;$A$1,Z$11:Z$122)</f>
        <v>0</v>
      </c>
      <c r="AA9" s="39">
        <f>AA$10-AA$8</f>
        <v>0</v>
      </c>
      <c r="AB9" s="35">
        <f ca="1">SUMIF($A$11:$A$122,"&gt;"&amp;$A$1,AB$11:AB$122)</f>
        <v>0</v>
      </c>
      <c r="AC9" s="40">
        <f ca="1">SUMIF($A$11:$A$122,"&gt;"&amp;$A$1,AC$11:AC$122)</f>
        <v>0</v>
      </c>
      <c r="AD9" s="35">
        <f ca="1">SUMIF($A$11:$A$122,"&gt;"&amp;$A$1,AD$11:AD$122)</f>
        <v>0</v>
      </c>
      <c r="AE9" s="42">
        <f>SUMIF($A$11:$A$122,"&gt;"&amp;$A$1,AE$11:AE$122)</f>
        <v>0</v>
      </c>
      <c r="AF9" s="39">
        <f>AF$10-AF$8</f>
        <v>0</v>
      </c>
      <c r="AG9" s="35">
        <f ca="1">SUMIF($A$11:$A$122,"&gt;"&amp;$A$1,AG$11:AG$122)</f>
        <v>0</v>
      </c>
      <c r="AH9" s="40">
        <f ca="1">IFERROR(SUMIF(ecns[empresa], AH$6,ecns[repasse.cef.total])
-AI$8
-AI$9
-AH$8,0)</f>
        <v>0</v>
      </c>
      <c r="AI9" s="40">
        <v>0</v>
      </c>
      <c r="AJ9" s="41">
        <f>SUMIF($A$11:$A$122,"&gt;"&amp;$A$1,AJ$11:AJ$122)</f>
        <v>0</v>
      </c>
      <c r="AK9" s="35">
        <f ca="1">SUMIF($A$11:$A$122,"&gt;"&amp;$A$1,AK$11:AK$122)</f>
        <v>0</v>
      </c>
      <c r="AL9" s="42">
        <f>SUMIF($A$11:$A$122,"&gt;"&amp;$A$1,AL$11:AL$122)</f>
        <v>0</v>
      </c>
      <c r="AM9" s="39">
        <f>AM$10-AM$8</f>
        <v>0</v>
      </c>
      <c r="AN9" s="35">
        <f ca="1">SUMIF($A$11:$A$122,"&gt;"&amp;$A$1,AN$11:AN$122)</f>
        <v>0</v>
      </c>
      <c r="AO9" s="35">
        <f ca="1">SUMIF($A$11:$A$122,"&gt;"&amp;$A$1,AO$11:AO$122)</f>
        <v>0</v>
      </c>
      <c r="AP9" s="42">
        <f>SUMIF($A$11:$A$122,"&gt;"&amp;$A$1,AP$11:AP$122)</f>
        <v>0</v>
      </c>
    </row>
    <row r="10" spans="1:42" ht="15.75" x14ac:dyDescent="0.25">
      <c r="A10" s="43" t="s">
        <v>30</v>
      </c>
      <c r="B10" s="39">
        <f>status.unis!H4</f>
        <v>0</v>
      </c>
      <c r="C10" s="44">
        <f t="shared" ref="C10:H10" ca="1" si="2">SUM(C8:C9)</f>
        <v>0</v>
      </c>
      <c r="D10" s="44">
        <f t="shared" ca="1" si="2"/>
        <v>0</v>
      </c>
      <c r="E10" s="44">
        <f t="shared" ca="1" si="2"/>
        <v>0</v>
      </c>
      <c r="F10" s="45">
        <f t="shared" si="2"/>
        <v>4623285.8899999997</v>
      </c>
      <c r="G10" s="44">
        <f t="shared" ca="1" si="2"/>
        <v>0</v>
      </c>
      <c r="H10" s="46">
        <f t="shared" si="2"/>
        <v>0</v>
      </c>
      <c r="I10" s="39">
        <f>status.unis!H8</f>
        <v>0</v>
      </c>
      <c r="J10" s="44">
        <f t="shared" ref="J10:O10" ca="1" si="3">SUM(J8:J9)</f>
        <v>0</v>
      </c>
      <c r="K10" s="44">
        <f t="shared" ca="1" si="3"/>
        <v>0</v>
      </c>
      <c r="L10" s="44">
        <f t="shared" ca="1" si="3"/>
        <v>0</v>
      </c>
      <c r="M10" s="45">
        <f t="shared" si="3"/>
        <v>5133141.9800000004</v>
      </c>
      <c r="N10" s="44">
        <f t="shared" ca="1" si="3"/>
        <v>0</v>
      </c>
      <c r="O10" s="46">
        <f t="shared" si="3"/>
        <v>0</v>
      </c>
      <c r="P10" s="39">
        <f>status.unis!H12</f>
        <v>0</v>
      </c>
      <c r="Q10" s="44">
        <f t="shared" ref="Q10:V10" ca="1" si="4">SUM(Q8:Q9)</f>
        <v>0</v>
      </c>
      <c r="R10" s="44">
        <f t="shared" ca="1" si="4"/>
        <v>0</v>
      </c>
      <c r="S10" s="44">
        <f t="shared" ca="1" si="4"/>
        <v>0</v>
      </c>
      <c r="T10" s="45">
        <f t="shared" si="4"/>
        <v>2247103.94</v>
      </c>
      <c r="U10" s="44">
        <f t="shared" ca="1" si="4"/>
        <v>0</v>
      </c>
      <c r="V10" s="46">
        <f t="shared" si="4"/>
        <v>0</v>
      </c>
      <c r="W10" s="39">
        <f>status.unis!H16</f>
        <v>0</v>
      </c>
      <c r="X10" s="44">
        <f ca="1">SUM(X8:X9)</f>
        <v>0</v>
      </c>
      <c r="Y10" s="44">
        <f ca="1">SUM(Y8:Y9)</f>
        <v>0</v>
      </c>
      <c r="Z10" s="46">
        <f>SUM(Z8:Z9)</f>
        <v>0</v>
      </c>
      <c r="AA10" s="39">
        <f>status.unis!H20</f>
        <v>0</v>
      </c>
      <c r="AB10" s="44">
        <f ca="1">SUM(AB8:AB9)</f>
        <v>0</v>
      </c>
      <c r="AC10" s="44">
        <f ca="1">SUM(AC8:AC9)</f>
        <v>0</v>
      </c>
      <c r="AD10" s="44">
        <f ca="1">SUM(AD8:AD9)</f>
        <v>0</v>
      </c>
      <c r="AE10" s="46">
        <f>SUM(AE8:AE9)</f>
        <v>0</v>
      </c>
      <c r="AF10" s="39">
        <f>status.unis!H24</f>
        <v>0</v>
      </c>
      <c r="AG10" s="44">
        <f t="shared" ref="AG10:AL10" ca="1" si="5">SUM(AG8:AG9)</f>
        <v>0</v>
      </c>
      <c r="AH10" s="44">
        <f t="shared" ca="1" si="5"/>
        <v>0</v>
      </c>
      <c r="AI10" s="44">
        <f t="shared" ca="1" si="5"/>
        <v>0</v>
      </c>
      <c r="AJ10" s="45">
        <f t="shared" si="5"/>
        <v>2873902.3600000003</v>
      </c>
      <c r="AK10" s="44">
        <f t="shared" ca="1" si="5"/>
        <v>0</v>
      </c>
      <c r="AL10" s="46">
        <f t="shared" si="5"/>
        <v>0</v>
      </c>
      <c r="AM10" s="39">
        <f>status.unis!H28</f>
        <v>0</v>
      </c>
      <c r="AN10" s="44">
        <f ca="1">SUM(AN8:AN9)</f>
        <v>0</v>
      </c>
      <c r="AO10" s="44">
        <f ca="1">SUM(AO8:AO9)</f>
        <v>0</v>
      </c>
      <c r="AP10" s="46">
        <f>SUM(AP8:AP9)</f>
        <v>0</v>
      </c>
    </row>
    <row r="11" spans="1:42" x14ac:dyDescent="0.25">
      <c r="A11" s="47">
        <v>44440</v>
      </c>
      <c r="B11" s="48">
        <f>COUNTIFS(
    estq[empresa], B$6,
    estq[Data da venda / reserva], "&gt;=" &amp; $A11,
    estq[Data da venda / reserva], "&lt;"  &amp; EOMONTH($A11,0) + 1
)</f>
        <v>0</v>
      </c>
      <c r="C11" s="49">
        <v>0</v>
      </c>
      <c r="D11" s="49">
        <v>0</v>
      </c>
      <c r="E11" s="49">
        <v>0</v>
      </c>
      <c r="F11" s="49">
        <v>0</v>
      </c>
      <c r="G11" s="49">
        <v>0</v>
      </c>
      <c r="H11" s="50"/>
      <c r="I11" s="48">
        <f>COUNTIFS(
    estq[empresa], I$6,
    estq[Data da venda / reserva], "&gt;=" &amp; $A11,
    estq[Data da venda / reserva], "&lt;"  &amp; EOMONTH($A11,0) + 1
)</f>
        <v>0</v>
      </c>
      <c r="J11" s="49">
        <v>0</v>
      </c>
      <c r="K11" s="49">
        <v>0</v>
      </c>
      <c r="L11" s="49">
        <v>0</v>
      </c>
      <c r="M11" s="49">
        <v>0</v>
      </c>
      <c r="N11" s="49">
        <v>0</v>
      </c>
      <c r="O11" s="50"/>
      <c r="P11" s="48">
        <f>COUNTIFS(
    estq[empresa], P$6,
    estq[Data da venda / reserva], "&gt;=" &amp; $A11,
    estq[Data da venda / reserva], "&lt;"  &amp; EOMONTH($A11,0) + 1
)</f>
        <v>0</v>
      </c>
      <c r="Q11" s="49">
        <v>0</v>
      </c>
      <c r="R11" s="49">
        <v>0</v>
      </c>
      <c r="S11" s="49">
        <v>0</v>
      </c>
      <c r="T11" s="49">
        <v>0</v>
      </c>
      <c r="U11" s="49">
        <v>0</v>
      </c>
      <c r="V11" s="50"/>
      <c r="W11" s="48">
        <f>COUNTIFS(
    estq[empresa], W$6,
    estq[Data da venda / reserva], "&gt;=" &amp; $A11,
    estq[Data da venda / reserva], "&lt;"  &amp; EOMONTH($A11,0) + 1
)</f>
        <v>0</v>
      </c>
      <c r="X11" s="49">
        <v>0</v>
      </c>
      <c r="Y11" s="49">
        <v>0</v>
      </c>
      <c r="Z11" s="50"/>
      <c r="AA11" s="48">
        <f>COUNTIFS(
    estq[empresa], AA$6,
    estq[Data da venda / reserva], "&gt;=" &amp; $A11,
    estq[Data da venda / reserva], "&lt;"  &amp; EOMONTH($A11,0) + 1
)</f>
        <v>0</v>
      </c>
      <c r="AB11" s="49">
        <v>0</v>
      </c>
      <c r="AC11" s="38">
        <v>0</v>
      </c>
      <c r="AD11" s="49">
        <v>0</v>
      </c>
      <c r="AE11" s="50"/>
      <c r="AF11" s="48">
        <f>COUNTIFS(
    estq[empresa], AF$6,
    estq[Data da venda / reserva], "&gt;=" &amp; $A11,
    estq[Data da venda / reserva], "&lt;"  &amp; EOMONTH($A11,0) + 1
)</f>
        <v>0</v>
      </c>
      <c r="AG11" s="49">
        <v>0</v>
      </c>
      <c r="AH11" s="49">
        <v>0</v>
      </c>
      <c r="AI11" s="49">
        <v>0</v>
      </c>
      <c r="AJ11" s="49">
        <v>0</v>
      </c>
      <c r="AK11" s="49">
        <v>0</v>
      </c>
      <c r="AL11" s="50"/>
      <c r="AM11" s="48">
        <f>COUNTIFS(
    estq[empresa], AM$6,
    estq[Data da venda / reserva], "&gt;=" &amp; $A11,
    estq[Data da venda / reserva], "&lt;"  &amp; EOMONTH($A11,0) + 1
)</f>
        <v>0</v>
      </c>
      <c r="AN11" s="49">
        <v>0</v>
      </c>
      <c r="AO11" s="49">
        <v>0</v>
      </c>
      <c r="AP11" s="50"/>
    </row>
    <row r="12" spans="1:42" x14ac:dyDescent="0.25">
      <c r="A12" s="47">
        <v>44470</v>
      </c>
      <c r="B12" s="48">
        <f>COUNTIFS(
    estq[empresa], B$6,
    estq[Data da venda / reserva], "&gt;=" &amp; $A12,
    estq[Data da venda / reserva], "&lt;"  &amp; EOMONTH($A12,0) + 1
)</f>
        <v>0</v>
      </c>
      <c r="C12" s="49">
        <v>0</v>
      </c>
      <c r="D12" s="49">
        <v>0</v>
      </c>
      <c r="E12" s="49">
        <v>0</v>
      </c>
      <c r="F12" s="49">
        <v>0</v>
      </c>
      <c r="G12" s="49">
        <v>0</v>
      </c>
      <c r="H12" s="50"/>
      <c r="I12" s="48">
        <f>COUNTIFS(
    estq[empresa], I$6,
    estq[Data da venda / reserva], "&gt;=" &amp; $A12,
    estq[Data da venda / reserva], "&lt;"  &amp; EOMONTH($A12,0) + 1
)</f>
        <v>0</v>
      </c>
      <c r="J12" s="49">
        <v>0</v>
      </c>
      <c r="K12" s="49">
        <v>0</v>
      </c>
      <c r="L12" s="49">
        <v>0</v>
      </c>
      <c r="M12" s="49">
        <v>0</v>
      </c>
      <c r="N12" s="49">
        <v>0</v>
      </c>
      <c r="O12" s="50"/>
      <c r="P12" s="48">
        <f>COUNTIFS(
    estq[empresa], P$6,
    estq[Data da venda / reserva], "&gt;=" &amp; $A12,
    estq[Data da venda / reserva], "&lt;"  &amp; EOMONTH($A12,0) + 1
)</f>
        <v>0</v>
      </c>
      <c r="Q12" s="49">
        <v>0</v>
      </c>
      <c r="R12" s="49">
        <v>0</v>
      </c>
      <c r="S12" s="49">
        <v>0</v>
      </c>
      <c r="T12" s="49">
        <v>0</v>
      </c>
      <c r="U12" s="49">
        <v>0</v>
      </c>
      <c r="V12" s="50"/>
      <c r="W12" s="48">
        <f>COUNTIFS(
    estq[empresa], W$6,
    estq[Data da venda / reserva], "&gt;=" &amp; $A12,
    estq[Data da venda / reserva], "&lt;"  &amp; EOMONTH($A12,0) + 1
)</f>
        <v>0</v>
      </c>
      <c r="X12" s="49">
        <v>0</v>
      </c>
      <c r="Y12" s="49">
        <v>0</v>
      </c>
      <c r="Z12" s="50"/>
      <c r="AA12" s="48">
        <f>COUNTIFS(
    estq[empresa], AA$6,
    estq[Data da venda / reserva], "&gt;=" &amp; $A12,
    estq[Data da venda / reserva], "&lt;"  &amp; EOMONTH($A12,0) + 1
)</f>
        <v>0</v>
      </c>
      <c r="AB12" s="49">
        <v>0</v>
      </c>
      <c r="AC12" s="38">
        <v>0</v>
      </c>
      <c r="AD12" s="49">
        <v>0</v>
      </c>
      <c r="AE12" s="50"/>
      <c r="AF12" s="48">
        <f>COUNTIFS(
    estq[empresa], AF$6,
    estq[Data da venda / reserva], "&gt;=" &amp; $A12,
    estq[Data da venda / reserva], "&lt;"  &amp; EOMONTH($A12,0) + 1
)</f>
        <v>0</v>
      </c>
      <c r="AG12" s="49">
        <v>0</v>
      </c>
      <c r="AH12" s="49">
        <v>0</v>
      </c>
      <c r="AI12" s="49">
        <v>0</v>
      </c>
      <c r="AJ12" s="49">
        <v>0</v>
      </c>
      <c r="AK12" s="49">
        <v>0</v>
      </c>
      <c r="AL12" s="50"/>
      <c r="AM12" s="48">
        <f>COUNTIFS(
    estq[empresa], AM$6,
    estq[Data da venda / reserva], "&gt;=" &amp; $A12,
    estq[Data da venda / reserva], "&lt;"  &amp; EOMONTH($A12,0) + 1
)</f>
        <v>0</v>
      </c>
      <c r="AN12" s="49">
        <v>0</v>
      </c>
      <c r="AO12" s="49">
        <v>0</v>
      </c>
      <c r="AP12" s="50"/>
    </row>
    <row r="13" spans="1:42" x14ac:dyDescent="0.25">
      <c r="A13" s="47">
        <v>44501</v>
      </c>
      <c r="B13" s="48">
        <f>COUNTIFS(
    estq[empresa], B$6,
    estq[Data da venda / reserva], "&gt;=" &amp; $A13,
    estq[Data da venda / reserva], "&lt;"  &amp; EOMONTH($A13,0) + 1
)</f>
        <v>0</v>
      </c>
      <c r="C13" s="49">
        <v>0</v>
      </c>
      <c r="D13" s="49">
        <v>0</v>
      </c>
      <c r="E13" s="49">
        <v>0</v>
      </c>
      <c r="F13" s="49">
        <v>0</v>
      </c>
      <c r="G13" s="49">
        <v>0</v>
      </c>
      <c r="H13" s="50"/>
      <c r="I13" s="48">
        <f>COUNTIFS(
    estq[empresa], I$6,
    estq[Data da venda / reserva], "&gt;=" &amp; $A13,
    estq[Data da venda / reserva], "&lt;"  &amp; EOMONTH($A13,0) + 1
)</f>
        <v>0</v>
      </c>
      <c r="J13" s="49">
        <v>0</v>
      </c>
      <c r="K13" s="49">
        <v>0</v>
      </c>
      <c r="L13" s="49">
        <v>0</v>
      </c>
      <c r="M13" s="49">
        <v>0</v>
      </c>
      <c r="N13" s="49">
        <v>0</v>
      </c>
      <c r="O13" s="50"/>
      <c r="P13" s="48">
        <f>COUNTIFS(
    estq[empresa], P$6,
    estq[Data da venda / reserva], "&gt;=" &amp; $A13,
    estq[Data da venda / reserva], "&lt;"  &amp; EOMONTH($A13,0) + 1
)</f>
        <v>0</v>
      </c>
      <c r="Q13" s="49">
        <v>0</v>
      </c>
      <c r="R13" s="49">
        <v>0</v>
      </c>
      <c r="S13" s="49">
        <v>0</v>
      </c>
      <c r="T13" s="49">
        <v>0</v>
      </c>
      <c r="U13" s="49">
        <v>0</v>
      </c>
      <c r="V13" s="50"/>
      <c r="W13" s="48">
        <f>COUNTIFS(
    estq[empresa], W$6,
    estq[Data da venda / reserva], "&gt;=" &amp; $A13,
    estq[Data da venda / reserva], "&lt;"  &amp; EOMONTH($A13,0) + 1
)</f>
        <v>0</v>
      </c>
      <c r="X13" s="49">
        <v>0</v>
      </c>
      <c r="Y13" s="49">
        <v>0</v>
      </c>
      <c r="Z13" s="50"/>
      <c r="AA13" s="48">
        <f>COUNTIFS(
    estq[empresa], AA$6,
    estq[Data da venda / reserva], "&gt;=" &amp; $A13,
    estq[Data da venda / reserva], "&lt;"  &amp; EOMONTH($A13,0) + 1
)</f>
        <v>0</v>
      </c>
      <c r="AB13" s="49">
        <v>0</v>
      </c>
      <c r="AC13" s="38">
        <v>0</v>
      </c>
      <c r="AD13" s="49">
        <v>0</v>
      </c>
      <c r="AE13" s="50"/>
      <c r="AF13" s="48">
        <f>COUNTIFS(
    estq[empresa], AF$6,
    estq[Data da venda / reserva], "&gt;=" &amp; $A13,
    estq[Data da venda / reserva], "&lt;"  &amp; EOMONTH($A13,0) + 1
)</f>
        <v>0</v>
      </c>
      <c r="AG13" s="49">
        <v>0</v>
      </c>
      <c r="AH13" s="49">
        <v>0</v>
      </c>
      <c r="AI13" s="49">
        <v>0</v>
      </c>
      <c r="AJ13" s="49">
        <v>0</v>
      </c>
      <c r="AK13" s="49">
        <v>0</v>
      </c>
      <c r="AL13" s="50"/>
      <c r="AM13" s="48">
        <f>COUNTIFS(
    estq[empresa], AM$6,
    estq[Data da venda / reserva], "&gt;=" &amp; $A13,
    estq[Data da venda / reserva], "&lt;"  &amp; EOMONTH($A13,0) + 1
)</f>
        <v>0</v>
      </c>
      <c r="AN13" s="49">
        <v>0</v>
      </c>
      <c r="AO13" s="49">
        <v>0</v>
      </c>
      <c r="AP13" s="50"/>
    </row>
    <row r="14" spans="1:42" x14ac:dyDescent="0.25">
      <c r="A14" s="47">
        <v>44531</v>
      </c>
      <c r="B14" s="48">
        <f>COUNTIFS(
    estq[empresa], B$6,
    estq[Data da venda / reserva], "&gt;=" &amp; $A14,
    estq[Data da venda / reserva], "&lt;"  &amp; EOMONTH($A14,0) + 1
)</f>
        <v>0</v>
      </c>
      <c r="C14" s="49">
        <v>0</v>
      </c>
      <c r="D14" s="49">
        <v>0</v>
      </c>
      <c r="E14" s="49">
        <v>0</v>
      </c>
      <c r="F14" s="49">
        <v>0</v>
      </c>
      <c r="G14" s="49">
        <v>0</v>
      </c>
      <c r="H14" s="50"/>
      <c r="I14" s="48">
        <f>COUNTIFS(
    estq[empresa], I$6,
    estq[Data da venda / reserva], "&gt;=" &amp; $A14,
    estq[Data da venda / reserva], "&lt;"  &amp; EOMONTH($A14,0) + 1
)</f>
        <v>0</v>
      </c>
      <c r="J14" s="49">
        <v>0</v>
      </c>
      <c r="K14" s="49">
        <v>0</v>
      </c>
      <c r="L14" s="49">
        <v>0</v>
      </c>
      <c r="M14" s="49">
        <v>0</v>
      </c>
      <c r="N14" s="49">
        <v>0</v>
      </c>
      <c r="O14" s="50"/>
      <c r="P14" s="48">
        <f>COUNTIFS(
    estq[empresa], P$6,
    estq[Data da venda / reserva], "&gt;=" &amp; $A14,
    estq[Data da venda / reserva], "&lt;"  &amp; EOMONTH($A14,0) + 1
)</f>
        <v>0</v>
      </c>
      <c r="Q14" s="49">
        <v>0</v>
      </c>
      <c r="R14" s="49">
        <v>0</v>
      </c>
      <c r="S14" s="49">
        <v>0</v>
      </c>
      <c r="T14" s="49">
        <v>0</v>
      </c>
      <c r="U14" s="49">
        <v>0</v>
      </c>
      <c r="V14" s="50"/>
      <c r="W14" s="48">
        <f>COUNTIFS(
    estq[empresa], W$6,
    estq[Data da venda / reserva], "&gt;=" &amp; $A14,
    estq[Data da venda / reserva], "&lt;"  &amp; EOMONTH($A14,0) + 1
)</f>
        <v>0</v>
      </c>
      <c r="X14" s="49">
        <v>0</v>
      </c>
      <c r="Y14" s="49">
        <v>0</v>
      </c>
      <c r="Z14" s="50"/>
      <c r="AA14" s="48">
        <f>COUNTIFS(
    estq[empresa], AA$6,
    estq[Data da venda / reserva], "&gt;=" &amp; $A14,
    estq[Data da venda / reserva], "&lt;"  &amp; EOMONTH($A14,0) + 1
)</f>
        <v>0</v>
      </c>
      <c r="AB14" s="49">
        <v>0</v>
      </c>
      <c r="AC14" s="38">
        <v>0</v>
      </c>
      <c r="AD14" s="49">
        <v>0</v>
      </c>
      <c r="AE14" s="50"/>
      <c r="AF14" s="48">
        <f>COUNTIFS(
    estq[empresa], AF$6,
    estq[Data da venda / reserva], "&gt;=" &amp; $A14,
    estq[Data da venda / reserva], "&lt;"  &amp; EOMONTH($A14,0) + 1
)</f>
        <v>0</v>
      </c>
      <c r="AG14" s="49">
        <v>0</v>
      </c>
      <c r="AH14" s="49">
        <v>0</v>
      </c>
      <c r="AI14" s="49">
        <v>0</v>
      </c>
      <c r="AJ14" s="49">
        <v>0</v>
      </c>
      <c r="AK14" s="49">
        <v>0</v>
      </c>
      <c r="AL14" s="50"/>
      <c r="AM14" s="48">
        <f>COUNTIFS(
    estq[empresa], AM$6,
    estq[Data da venda / reserva], "&gt;=" &amp; $A14,
    estq[Data da venda / reserva], "&lt;"  &amp; EOMONTH($A14,0) + 1
)</f>
        <v>0</v>
      </c>
      <c r="AN14" s="49">
        <v>0</v>
      </c>
      <c r="AO14" s="49">
        <v>0</v>
      </c>
      <c r="AP14" s="50"/>
    </row>
    <row r="15" spans="1:42" x14ac:dyDescent="0.25">
      <c r="A15" s="47">
        <v>44562</v>
      </c>
      <c r="B15" s="48">
        <f>COUNTIFS(
    estq[empresa], B$6,
    estq[Data da venda / reserva], "&gt;=" &amp; $A15,
    estq[Data da venda / reserva], "&lt;"  &amp; EOMONTH($A15,0) + 1
)</f>
        <v>0</v>
      </c>
      <c r="C15" s="49">
        <f ca="1">SUMIFS(rec.uni[2022-01-01],
INDIRECT("rec.uni[natureza]"),"pro.soluto",
INDIRECT("rec.uni[empresa]"),C$6)</f>
        <v>0</v>
      </c>
      <c r="D15" s="49">
        <f ca="1">SUMIFS(rec.uni[2022-01-01],
INDIRECT("rec.uni[natureza]"),"repasse.cef.obra",
INDIRECT("rec.uni[empresa]"),D$6)</f>
        <v>0</v>
      </c>
      <c r="E15" s="49">
        <f ca="1">SUMIFS(rec.uni[2022-01-01],
INDIRECT("rec.uni[natureza]"),"repasse.cef.terreno",
INDIRECT("rec.uni[empresa]"),E$6)</f>
        <v>0</v>
      </c>
      <c r="F15" s="49">
        <v>0</v>
      </c>
      <c r="G15" s="49">
        <f ca="1">SUMIFS(rec.uni[2022-01-01],
INDIRECT("rec.uni[natureza]"),"taxa.extra",
INDIRECT("rec.uni[empresa]"),G$6)</f>
        <v>0</v>
      </c>
      <c r="H15" s="50"/>
      <c r="I15" s="48">
        <f>COUNTIFS(
    estq[empresa], I$6,
    estq[Data da venda / reserva], "&gt;=" &amp; $A15,
    estq[Data da venda / reserva], "&lt;"  &amp; EOMONTH($A15,0) + 1
)</f>
        <v>0</v>
      </c>
      <c r="J15" s="49">
        <f ca="1">SUMIFS(rec.uni[2022-01-01],
INDIRECT("rec.uni[natureza]"),"pro.soluto",
INDIRECT("rec.uni[empresa]"),J$6)</f>
        <v>0</v>
      </c>
      <c r="K15" s="49">
        <f ca="1">SUMIFS(rec.uni[2022-01-01],
INDIRECT("rec.uni[natureza]"),"repasse.cef.obra",
INDIRECT("rec.uni[empresa]"),K$6)</f>
        <v>0</v>
      </c>
      <c r="L15" s="49">
        <f ca="1">SUMIFS(rec.uni[2022-01-01],
INDIRECT("rec.uni[natureza]"),"repasse.cef.terreno",
INDIRECT("rec.uni[empresa]"),L$6)</f>
        <v>0</v>
      </c>
      <c r="M15" s="49">
        <v>0</v>
      </c>
      <c r="N15" s="49">
        <f ca="1">SUMIFS(rec.uni[2022-01-01],
INDIRECT("rec.uni[natureza]"),"taxa.extra",
INDIRECT("rec.uni[empresa]"),N$6)</f>
        <v>0</v>
      </c>
      <c r="O15" s="50"/>
      <c r="P15" s="48">
        <f>COUNTIFS(
    estq[empresa], P$6,
    estq[Data da venda / reserva], "&gt;=" &amp; $A15,
    estq[Data da venda / reserva], "&lt;"  &amp; EOMONTH($A15,0) + 1
)</f>
        <v>0</v>
      </c>
      <c r="Q15" s="49">
        <f ca="1">SUMIFS(rec.uni[2022-01-01],
INDIRECT("rec.uni[natureza]"),"pro.soluto",
INDIRECT("rec.uni[empresa]"),Q$6)</f>
        <v>0</v>
      </c>
      <c r="R15" s="49">
        <f ca="1">SUMIFS(rec.uni[2022-01-01],
INDIRECT("rec.uni[natureza]"),"repasse.cef.obra",
INDIRECT("rec.uni[empresa]"),R$6)</f>
        <v>0</v>
      </c>
      <c r="S15" s="49">
        <f ca="1">SUMIFS(rec.uni[2022-01-01],
INDIRECT("rec.uni[natureza]"),"repasse.cef.terreno",
INDIRECT("rec.uni[empresa]"),S$6)</f>
        <v>0</v>
      </c>
      <c r="T15" s="49">
        <v>0</v>
      </c>
      <c r="U15" s="49">
        <f ca="1">SUMIFS(rec.uni[2022-01-01],
INDIRECT("rec.uni[natureza]"),"taxa.extra",
INDIRECT("rec.uni[empresa]"),U$6)</f>
        <v>0</v>
      </c>
      <c r="V15" s="50"/>
      <c r="W15" s="48">
        <f>COUNTIFS(
    estq[empresa], W$6,
    estq[Data da venda / reserva], "&gt;=" &amp; $A15,
    estq[Data da venda / reserva], "&lt;"  &amp; EOMONTH($A15,0) + 1
)</f>
        <v>0</v>
      </c>
      <c r="X15" s="49">
        <f ca="1">SUMIFS(rec.uni[2022-01-01],
INDIRECT("rec.uni[natureza]"),"pro.soluto",
INDIRECT("rec.uni[empresa]"),X$6)</f>
        <v>0</v>
      </c>
      <c r="Y15" s="49">
        <f ca="1">SUMIFS(rec.uni[2022-01-01],
INDIRECT("rec.uni[natureza]"),"taxa.extra",
INDIRECT("rec.uni[empresa]"),Y$6)</f>
        <v>0</v>
      </c>
      <c r="Z15" s="50"/>
      <c r="AA15" s="48">
        <f>COUNTIFS(
    estq[empresa], AA$6,
    estq[Data da venda / reserva], "&gt;=" &amp; $A15,
    estq[Data da venda / reserva], "&lt;"  &amp; EOMONTH($A15,0) + 1
)</f>
        <v>0</v>
      </c>
      <c r="AB15" s="49">
        <f ca="1">SUMIFS(rec.uni[2022-01-01],
INDIRECT("rec.uni[natureza]"),"pro.soluto",
INDIRECT("rec.uni[empresa]"),AB$6)</f>
        <v>0</v>
      </c>
      <c r="AC15" s="38">
        <f ca="1">SUMIFS(rec.uni[2022-01-01],
INDIRECT("rec.uni[natureza]"),"parcela.fin.total.ik",
INDIRECT("rec.uni[empresa]"),AC$6)</f>
        <v>0</v>
      </c>
      <c r="AD15" s="49">
        <f ca="1">SUMIFS(rec.uni[2022-01-01],
INDIRECT("rec.uni[natureza]"),"taxa.extra",
INDIRECT("rec.uni[empresa]"),AD$6)</f>
        <v>0</v>
      </c>
      <c r="AE15" s="50"/>
      <c r="AF15" s="48">
        <f>COUNTIFS(
    estq[empresa], AF$6,
    estq[Data da venda / reserva], "&gt;=" &amp; $A15,
    estq[Data da venda / reserva], "&lt;"  &amp; EOMONTH($A15,0) + 1
)</f>
        <v>0</v>
      </c>
      <c r="AG15" s="49">
        <f ca="1">SUMIFS(rec.uni[2022-01-01],
INDIRECT("rec.uni[natureza]"),"pro.soluto",
INDIRECT("rec.uni[empresa]"),AG$6)</f>
        <v>0</v>
      </c>
      <c r="AH15" s="49">
        <f ca="1">SUMIFS(rec.uni[2022-01-01],
INDIRECT("rec.uni[natureza]"),"repasse.cef.obra",
INDIRECT("rec.uni[empresa]"),AH$6)</f>
        <v>0</v>
      </c>
      <c r="AI15" s="49">
        <f ca="1">SUMIFS(rec.uni[2022-01-01],
INDIRECT("rec.uni[natureza]"),"repasse.cef.terreno",
INDIRECT("rec.uni[empresa]"),AI$6)</f>
        <v>0</v>
      </c>
      <c r="AJ15" s="49">
        <v>0</v>
      </c>
      <c r="AK15" s="49">
        <f ca="1">SUMIFS(rec.uni[2022-01-01],
INDIRECT("rec.uni[natureza]"),"taxa.extra",
INDIRECT("rec.uni[empresa]"),AK$6)</f>
        <v>0</v>
      </c>
      <c r="AL15" s="50"/>
      <c r="AM15" s="48">
        <f>COUNTIFS(
    estq[empresa], AM$6,
    estq[Data da venda / reserva], "&gt;=" &amp; $A15,
    estq[Data da venda / reserva], "&lt;"  &amp; EOMONTH($A15,0) + 1
)</f>
        <v>0</v>
      </c>
      <c r="AN15" s="49">
        <f ca="1">SUMIFS(rec.uni[2022-01-01],
INDIRECT("rec.uni[natureza]"),"pro.soluto",
INDIRECT("rec.uni[empresa]"),AN$6)</f>
        <v>0</v>
      </c>
      <c r="AO15" s="49">
        <f ca="1">SUMIFS(rec.uni[2022-01-01],
INDIRECT("rec.uni[natureza]"),"taxa.extra",
INDIRECT("rec.uni[empresa]"),AO$6)</f>
        <v>0</v>
      </c>
      <c r="AP15" s="50"/>
    </row>
    <row r="16" spans="1:42" x14ac:dyDescent="0.25">
      <c r="A16" s="47">
        <v>44593</v>
      </c>
      <c r="B16" s="48">
        <f>COUNTIFS(
    estq[empresa], B$6,
    estq[Data da venda / reserva], "&gt;=" &amp; $A16,
    estq[Data da venda / reserva], "&lt;"  &amp; EOMONTH($A16,0) + 1
)</f>
        <v>0</v>
      </c>
      <c r="C16" s="49">
        <f ca="1">SUMIFS(rec.uni[2022-02-01],
INDIRECT("rec.uni[natureza]"),"pro.soluto",
INDIRECT("rec.uni[empresa]"),C$6)</f>
        <v>0</v>
      </c>
      <c r="D16" s="49">
        <f ca="1">SUMIFS(rec.uni[2022-02-01],
INDIRECT("rec.uni[natureza]"),"repasse.cef.obra",
INDIRECT("rec.uni[empresa]"),D$6)</f>
        <v>0</v>
      </c>
      <c r="E16" s="49">
        <f ca="1">SUMIFS(rec.uni[2022-02-01],
INDIRECT("rec.uni[natureza]"),"repasse.cef.terreno",
INDIRECT("rec.uni[empresa]"),E$6)</f>
        <v>0</v>
      </c>
      <c r="F16" s="49">
        <v>0</v>
      </c>
      <c r="G16" s="49">
        <f ca="1">SUMIFS(rec.uni[2022-02-01],
INDIRECT("rec.uni[natureza]"),"taxa.extra",
INDIRECT("rec.uni[empresa]"),G$6)</f>
        <v>0</v>
      </c>
      <c r="H16" s="50"/>
      <c r="I16" s="48">
        <f>COUNTIFS(
    estq[empresa], I$6,
    estq[Data da venda / reserva], "&gt;=" &amp; $A16,
    estq[Data da venda / reserva], "&lt;"  &amp; EOMONTH($A16,0) + 1
)</f>
        <v>0</v>
      </c>
      <c r="J16" s="49">
        <f ca="1">SUMIFS(rec.uni[2022-02-01],
INDIRECT("rec.uni[natureza]"),"pro.soluto",
INDIRECT("rec.uni[empresa]"),J$6)</f>
        <v>0</v>
      </c>
      <c r="K16" s="49">
        <f ca="1">SUMIFS(rec.uni[2022-02-01],
INDIRECT("rec.uni[natureza]"),"repasse.cef.obra",
INDIRECT("rec.uni[empresa]"),K$6)</f>
        <v>0</v>
      </c>
      <c r="L16" s="49">
        <f ca="1">SUMIFS(rec.uni[2022-02-01],
INDIRECT("rec.uni[natureza]"),"repasse.cef.terreno",
INDIRECT("rec.uni[empresa]"),L$6)</f>
        <v>0</v>
      </c>
      <c r="M16" s="49">
        <v>0</v>
      </c>
      <c r="N16" s="49">
        <f ca="1">SUMIFS(rec.uni[2022-02-01],
INDIRECT("rec.uni[natureza]"),"taxa.extra",
INDIRECT("rec.uni[empresa]"),N$6)</f>
        <v>0</v>
      </c>
      <c r="O16" s="50"/>
      <c r="P16" s="48">
        <f>COUNTIFS(
    estq[empresa], P$6,
    estq[Data da venda / reserva], "&gt;=" &amp; $A16,
    estq[Data da venda / reserva], "&lt;"  &amp; EOMONTH($A16,0) + 1
)</f>
        <v>0</v>
      </c>
      <c r="Q16" s="49">
        <f ca="1">SUMIFS(rec.uni[2022-02-01],
INDIRECT("rec.uni[natureza]"),"pro.soluto",
INDIRECT("rec.uni[empresa]"),Q$6)</f>
        <v>0</v>
      </c>
      <c r="R16" s="49">
        <f ca="1">SUMIFS(rec.uni[2022-02-01],
INDIRECT("rec.uni[natureza]"),"repasse.cef.obra",
INDIRECT("rec.uni[empresa]"),R$6)</f>
        <v>0</v>
      </c>
      <c r="S16" s="49">
        <f ca="1">SUMIFS(rec.uni[2022-02-01],
INDIRECT("rec.uni[natureza]"),"repasse.cef.terreno",
INDIRECT("rec.uni[empresa]"),S$6)</f>
        <v>0</v>
      </c>
      <c r="T16" s="49">
        <v>0</v>
      </c>
      <c r="U16" s="49">
        <f ca="1">SUMIFS(rec.uni[2022-02-01],
INDIRECT("rec.uni[natureza]"),"taxa.extra",
INDIRECT("rec.uni[empresa]"),U$6)</f>
        <v>0</v>
      </c>
      <c r="V16" s="50"/>
      <c r="W16" s="48">
        <f>COUNTIFS(
    estq[empresa], W$6,
    estq[Data da venda / reserva], "&gt;=" &amp; $A16,
    estq[Data da venda / reserva], "&lt;"  &amp; EOMONTH($A16,0) + 1
)</f>
        <v>0</v>
      </c>
      <c r="X16" s="49">
        <f ca="1">SUMIFS(rec.uni[2022-02-01],
INDIRECT("rec.uni[natureza]"),"pro.soluto",
INDIRECT("rec.uni[empresa]"),X$6)</f>
        <v>0</v>
      </c>
      <c r="Y16" s="49">
        <f ca="1">SUMIFS(rec.uni[2022-02-01],
INDIRECT("rec.uni[natureza]"),"taxa.extra",
INDIRECT("rec.uni[empresa]"),Y$6)</f>
        <v>0</v>
      </c>
      <c r="Z16" s="50"/>
      <c r="AA16" s="48">
        <f>COUNTIFS(
    estq[empresa], AA$6,
    estq[Data da venda / reserva], "&gt;=" &amp; $A16,
    estq[Data da venda / reserva], "&lt;"  &amp; EOMONTH($A16,0) + 1
)</f>
        <v>0</v>
      </c>
      <c r="AB16" s="49">
        <f ca="1">SUMIFS(rec.uni[2022-02-01],
INDIRECT("rec.uni[natureza]"),"pro.soluto",
INDIRECT("rec.uni[empresa]"),AB$6)</f>
        <v>0</v>
      </c>
      <c r="AC16" s="38">
        <f ca="1">SUMIFS(rec.uni[2022-02-01],
INDIRECT("rec.uni[natureza]"),"parcela.fin.total.ik",
INDIRECT("rec.uni[empresa]"),AC$6)</f>
        <v>0</v>
      </c>
      <c r="AD16" s="49">
        <f ca="1">SUMIFS(rec.uni[2022-02-01],
INDIRECT("rec.uni[natureza]"),"taxa.extra",
INDIRECT("rec.uni[empresa]"),AD$6)</f>
        <v>0</v>
      </c>
      <c r="AE16" s="50"/>
      <c r="AF16" s="48">
        <f>COUNTIFS(
    estq[empresa], AF$6,
    estq[Data da venda / reserva], "&gt;=" &amp; $A16,
    estq[Data da venda / reserva], "&lt;"  &amp; EOMONTH($A16,0) + 1
)</f>
        <v>0</v>
      </c>
      <c r="AG16" s="49">
        <f ca="1">SUMIFS(rec.uni[2022-02-01],
INDIRECT("rec.uni[natureza]"),"pro.soluto",
INDIRECT("rec.uni[empresa]"),AG$6)</f>
        <v>0</v>
      </c>
      <c r="AH16" s="49">
        <f ca="1">SUMIFS(rec.uni[2022-02-01],
INDIRECT("rec.uni[natureza]"),"repasse.cef.obra",
INDIRECT("rec.uni[empresa]"),AH$6)</f>
        <v>0</v>
      </c>
      <c r="AI16" s="49">
        <f ca="1">SUMIFS(rec.uni[2022-02-01],
INDIRECT("rec.uni[natureza]"),"repasse.cef.terreno",
INDIRECT("rec.uni[empresa]"),AI$6)</f>
        <v>0</v>
      </c>
      <c r="AJ16" s="49">
        <v>0</v>
      </c>
      <c r="AK16" s="49">
        <f ca="1">SUMIFS(rec.uni[2022-02-01],
INDIRECT("rec.uni[natureza]"),"taxa.extra",
INDIRECT("rec.uni[empresa]"),AK$6)</f>
        <v>0</v>
      </c>
      <c r="AL16" s="50"/>
      <c r="AM16" s="48">
        <f>COUNTIFS(
    estq[empresa], AM$6,
    estq[Data da venda / reserva], "&gt;=" &amp; $A16,
    estq[Data da venda / reserva], "&lt;"  &amp; EOMONTH($A16,0) + 1
)</f>
        <v>0</v>
      </c>
      <c r="AN16" s="49">
        <f ca="1">SUMIFS(rec.uni[2022-02-01],
INDIRECT("rec.uni[natureza]"),"pro.soluto",
INDIRECT("rec.uni[empresa]"),AN$6)</f>
        <v>0</v>
      </c>
      <c r="AO16" s="49">
        <f ca="1">SUMIFS(rec.uni[2022-02-01],
INDIRECT("rec.uni[natureza]"),"taxa.extra",
INDIRECT("rec.uni[empresa]"),AO$6)</f>
        <v>0</v>
      </c>
      <c r="AP16" s="50"/>
    </row>
    <row r="17" spans="1:42" x14ac:dyDescent="0.25">
      <c r="A17" s="47">
        <v>44621</v>
      </c>
      <c r="B17" s="48">
        <f>COUNTIFS(
    estq[empresa], B$6,
    estq[Data da venda / reserva], "&gt;=" &amp; $A17,
    estq[Data da venda / reserva], "&lt;"  &amp; EOMONTH($A17,0) + 1
)</f>
        <v>0</v>
      </c>
      <c r="C17" s="49">
        <f ca="1">SUMIFS(rec.uni[2022-03-01],
INDIRECT("rec.uni[natureza]"),"pro.soluto",
INDIRECT("rec.uni[empresa]"),C$6)</f>
        <v>0</v>
      </c>
      <c r="D17" s="49">
        <f ca="1">SUMIFS(rec.uni[2022-03-01],
INDIRECT("rec.uni[natureza]"),"repasse.cef.obra",
INDIRECT("rec.uni[empresa]"),D$6)</f>
        <v>0</v>
      </c>
      <c r="E17" s="49">
        <f ca="1">SUMIFS(rec.uni[2022-03-01],
INDIRECT("rec.uni[natureza]"),"repasse.cef.terreno",
INDIRECT("rec.uni[empresa]"),E$6)</f>
        <v>0</v>
      </c>
      <c r="F17" s="49">
        <v>0</v>
      </c>
      <c r="G17" s="49">
        <f ca="1">SUMIFS(rec.uni[2022-03-01],
INDIRECT("rec.uni[natureza]"),"taxa.extra",
INDIRECT("rec.uni[empresa]"),G$6)</f>
        <v>0</v>
      </c>
      <c r="H17" s="50"/>
      <c r="I17" s="48">
        <f>COUNTIFS(
    estq[empresa], I$6,
    estq[Data da venda / reserva], "&gt;=" &amp; $A17,
    estq[Data da venda / reserva], "&lt;"  &amp; EOMONTH($A17,0) + 1
)</f>
        <v>0</v>
      </c>
      <c r="J17" s="49">
        <f ca="1">SUMIFS(rec.uni[2022-03-01],
INDIRECT("rec.uni[natureza]"),"pro.soluto",
INDIRECT("rec.uni[empresa]"),J$6)</f>
        <v>0</v>
      </c>
      <c r="K17" s="49">
        <f ca="1">SUMIFS(rec.uni[2022-03-01],
INDIRECT("rec.uni[natureza]"),"repasse.cef.obra",
INDIRECT("rec.uni[empresa]"),K$6)</f>
        <v>0</v>
      </c>
      <c r="L17" s="49">
        <f ca="1">SUMIFS(rec.uni[2022-03-01],
INDIRECT("rec.uni[natureza]"),"repasse.cef.terreno",
INDIRECT("rec.uni[empresa]"),L$6)</f>
        <v>0</v>
      </c>
      <c r="M17" s="49">
        <v>0</v>
      </c>
      <c r="N17" s="49">
        <f ca="1">SUMIFS(rec.uni[2022-03-01],
INDIRECT("rec.uni[natureza]"),"taxa.extra",
INDIRECT("rec.uni[empresa]"),N$6)</f>
        <v>0</v>
      </c>
      <c r="O17" s="50"/>
      <c r="P17" s="48">
        <f>COUNTIFS(
    estq[empresa], P$6,
    estq[Data da venda / reserva], "&gt;=" &amp; $A17,
    estq[Data da venda / reserva], "&lt;"  &amp; EOMONTH($A17,0) + 1
)</f>
        <v>0</v>
      </c>
      <c r="Q17" s="49">
        <f ca="1">SUMIFS(rec.uni[2022-03-01],
INDIRECT("rec.uni[natureza]"),"pro.soluto",
INDIRECT("rec.uni[empresa]"),Q$6)</f>
        <v>0</v>
      </c>
      <c r="R17" s="49">
        <f ca="1">SUMIFS(rec.uni[2022-03-01],
INDIRECT("rec.uni[natureza]"),"repasse.cef.obra",
INDIRECT("rec.uni[empresa]"),R$6)</f>
        <v>0</v>
      </c>
      <c r="S17" s="49">
        <f ca="1">SUMIFS(rec.uni[2022-03-01],
INDIRECT("rec.uni[natureza]"),"repasse.cef.terreno",
INDIRECT("rec.uni[empresa]"),S$6)</f>
        <v>0</v>
      </c>
      <c r="T17" s="49">
        <v>0</v>
      </c>
      <c r="U17" s="49">
        <f ca="1">SUMIFS(rec.uni[2022-03-01],
INDIRECT("rec.uni[natureza]"),"taxa.extra",
INDIRECT("rec.uni[empresa]"),U$6)</f>
        <v>0</v>
      </c>
      <c r="V17" s="50"/>
      <c r="W17" s="48">
        <f>COUNTIFS(
    estq[empresa], W$6,
    estq[Data da venda / reserva], "&gt;=" &amp; $A17,
    estq[Data da venda / reserva], "&lt;"  &amp; EOMONTH($A17,0) + 1
)</f>
        <v>0</v>
      </c>
      <c r="X17" s="49">
        <f ca="1">SUMIFS(rec.uni[2022-03-01],
INDIRECT("rec.uni[natureza]"),"pro.soluto",
INDIRECT("rec.uni[empresa]"),X$6)</f>
        <v>0</v>
      </c>
      <c r="Y17" s="49">
        <f ca="1">SUMIFS(rec.uni[2022-03-01],
INDIRECT("rec.uni[natureza]"),"taxa.extra",
INDIRECT("rec.uni[empresa]"),Y$6)</f>
        <v>0</v>
      </c>
      <c r="Z17" s="50"/>
      <c r="AA17" s="48">
        <f>COUNTIFS(
    estq[empresa], AA$6,
    estq[Data da venda / reserva], "&gt;=" &amp; $A17,
    estq[Data da venda / reserva], "&lt;"  &amp; EOMONTH($A17,0) + 1
)</f>
        <v>0</v>
      </c>
      <c r="AB17" s="49">
        <f ca="1">SUMIFS(rec.uni[2022-03-01],
INDIRECT("rec.uni[natureza]"),"pro.soluto",
INDIRECT("rec.uni[empresa]"),AB$6)</f>
        <v>0</v>
      </c>
      <c r="AC17" s="38">
        <f ca="1">SUMIFS(rec.uni[2022-03-01],
INDIRECT("rec.uni[natureza]"),"parcela.fin.total.ik",
INDIRECT("rec.uni[empresa]"),AC$6)</f>
        <v>0</v>
      </c>
      <c r="AD17" s="49">
        <f ca="1">SUMIFS(rec.uni[2022-03-01],
INDIRECT("rec.uni[natureza]"),"taxa.extra",
INDIRECT("rec.uni[empresa]"),AD$6)</f>
        <v>0</v>
      </c>
      <c r="AE17" s="50"/>
      <c r="AF17" s="48">
        <f>COUNTIFS(
    estq[empresa], AF$6,
    estq[Data da venda / reserva], "&gt;=" &amp; $A17,
    estq[Data da venda / reserva], "&lt;"  &amp; EOMONTH($A17,0) + 1
)</f>
        <v>0</v>
      </c>
      <c r="AG17" s="49">
        <f ca="1">SUMIFS(rec.uni[2022-03-01],
INDIRECT("rec.uni[natureza]"),"pro.soluto",
INDIRECT("rec.uni[empresa]"),AG$6)</f>
        <v>0</v>
      </c>
      <c r="AH17" s="49">
        <f ca="1">SUMIFS(rec.uni[2022-03-01],
INDIRECT("rec.uni[natureza]"),"repasse.cef.obra",
INDIRECT("rec.uni[empresa]"),AH$6)</f>
        <v>0</v>
      </c>
      <c r="AI17" s="49">
        <f ca="1">SUMIFS(rec.uni[2022-03-01],
INDIRECT("rec.uni[natureza]"),"repasse.cef.terreno",
INDIRECT("rec.uni[empresa]"),AI$6)</f>
        <v>0</v>
      </c>
      <c r="AJ17" s="49">
        <v>0</v>
      </c>
      <c r="AK17" s="49">
        <f ca="1">SUMIFS(rec.uni[2022-03-01],
INDIRECT("rec.uni[natureza]"),"taxa.extra",
INDIRECT("rec.uni[empresa]"),AK$6)</f>
        <v>0</v>
      </c>
      <c r="AL17" s="50"/>
      <c r="AM17" s="48">
        <f>COUNTIFS(
    estq[empresa], AM$6,
    estq[Data da venda / reserva], "&gt;=" &amp; $A17,
    estq[Data da venda / reserva], "&lt;"  &amp; EOMONTH($A17,0) + 1
)</f>
        <v>0</v>
      </c>
      <c r="AN17" s="49">
        <f ca="1">SUMIFS(rec.uni[2022-03-01],
INDIRECT("rec.uni[natureza]"),"pro.soluto",
INDIRECT("rec.uni[empresa]"),AN$6)</f>
        <v>0</v>
      </c>
      <c r="AO17" s="49">
        <f ca="1">SUMIFS(rec.uni[2022-03-01],
INDIRECT("rec.uni[natureza]"),"taxa.extra",
INDIRECT("rec.uni[empresa]"),AO$6)</f>
        <v>0</v>
      </c>
      <c r="AP17" s="50"/>
    </row>
    <row r="18" spans="1:42" x14ac:dyDescent="0.25">
      <c r="A18" s="47">
        <v>44652</v>
      </c>
      <c r="B18" s="48">
        <f>COUNTIFS(
    estq[empresa], B$6,
    estq[Data da venda / reserva], "&gt;=" &amp; $A18,
    estq[Data da venda / reserva], "&lt;"  &amp; EOMONTH($A18,0) + 1
)</f>
        <v>0</v>
      </c>
      <c r="C18" s="49">
        <f ca="1">SUMIFS(rec.uni[2022-04-01],
INDIRECT("rec.uni[natureza]"),"pro.soluto",
INDIRECT("rec.uni[empresa]"),C$6)</f>
        <v>0</v>
      </c>
      <c r="D18" s="49">
        <f ca="1">SUMIFS(rec.uni[2022-04-01],
INDIRECT("rec.uni[natureza]"),"repasse.cef.obra",
INDIRECT("rec.uni[empresa]"),D$6)</f>
        <v>0</v>
      </c>
      <c r="E18" s="49">
        <f ca="1">SUMIFS(rec.uni[2022-04-01],
INDIRECT("rec.uni[natureza]"),"repasse.cef.terreno",
INDIRECT("rec.uni[empresa]"),E$6)</f>
        <v>0</v>
      </c>
      <c r="F18" s="49">
        <v>0</v>
      </c>
      <c r="G18" s="49">
        <f ca="1">SUMIFS(rec.uni[2022-04-01],
INDIRECT("rec.uni[natureza]"),"taxa.extra",
INDIRECT("rec.uni[empresa]"),G$6)</f>
        <v>0</v>
      </c>
      <c r="H18" s="50"/>
      <c r="I18" s="48">
        <f>COUNTIFS(
    estq[empresa], I$6,
    estq[Data da venda / reserva], "&gt;=" &amp; $A18,
    estq[Data da venda / reserva], "&lt;"  &amp; EOMONTH($A18,0) + 1
)</f>
        <v>0</v>
      </c>
      <c r="J18" s="49">
        <f ca="1">SUMIFS(rec.uni[2022-04-01],
INDIRECT("rec.uni[natureza]"),"pro.soluto",
INDIRECT("rec.uni[empresa]"),J$6)</f>
        <v>0</v>
      </c>
      <c r="K18" s="49">
        <f ca="1">SUMIFS(rec.uni[2022-04-01],
INDIRECT("rec.uni[natureza]"),"repasse.cef.obra",
INDIRECT("rec.uni[empresa]"),K$6)</f>
        <v>0</v>
      </c>
      <c r="L18" s="49">
        <f ca="1">SUMIFS(rec.uni[2022-04-01],
INDIRECT("rec.uni[natureza]"),"repasse.cef.terreno",
INDIRECT("rec.uni[empresa]"),L$6)</f>
        <v>0</v>
      </c>
      <c r="M18" s="49">
        <v>0</v>
      </c>
      <c r="N18" s="49">
        <f ca="1">SUMIFS(rec.uni[2022-04-01],
INDIRECT("rec.uni[natureza]"),"taxa.extra",
INDIRECT("rec.uni[empresa]"),N$6)</f>
        <v>0</v>
      </c>
      <c r="O18" s="50"/>
      <c r="P18" s="48">
        <f>COUNTIFS(
    estq[empresa], P$6,
    estq[Data da venda / reserva], "&gt;=" &amp; $A18,
    estq[Data da venda / reserva], "&lt;"  &amp; EOMONTH($A18,0) + 1
)</f>
        <v>0</v>
      </c>
      <c r="Q18" s="49">
        <f ca="1">SUMIFS(rec.uni[2022-04-01],
INDIRECT("rec.uni[natureza]"),"pro.soluto",
INDIRECT("rec.uni[empresa]"),Q$6)</f>
        <v>0</v>
      </c>
      <c r="R18" s="49">
        <f ca="1">SUMIFS(rec.uni[2022-04-01],
INDIRECT("rec.uni[natureza]"),"repasse.cef.obra",
INDIRECT("rec.uni[empresa]"),R$6)</f>
        <v>0</v>
      </c>
      <c r="S18" s="49">
        <f ca="1">SUMIFS(rec.uni[2022-04-01],
INDIRECT("rec.uni[natureza]"),"repasse.cef.terreno",
INDIRECT("rec.uni[empresa]"),S$6)</f>
        <v>0</v>
      </c>
      <c r="T18" s="49">
        <v>0</v>
      </c>
      <c r="U18" s="49">
        <f ca="1">SUMIFS(rec.uni[2022-04-01],
INDIRECT("rec.uni[natureza]"),"taxa.extra",
INDIRECT("rec.uni[empresa]"),U$6)</f>
        <v>0</v>
      </c>
      <c r="V18" s="50"/>
      <c r="W18" s="48">
        <f>COUNTIFS(
    estq[empresa], W$6,
    estq[Data da venda / reserva], "&gt;=" &amp; $A18,
    estq[Data da venda / reserva], "&lt;"  &amp; EOMONTH($A18,0) + 1
)</f>
        <v>0</v>
      </c>
      <c r="X18" s="49">
        <f ca="1">SUMIFS(rec.uni[2022-04-01],
INDIRECT("rec.uni[natureza]"),"pro.soluto",
INDIRECT("rec.uni[empresa]"),X$6)</f>
        <v>0</v>
      </c>
      <c r="Y18" s="49">
        <f ca="1">SUMIFS(rec.uni[2022-04-01],
INDIRECT("rec.uni[natureza]"),"taxa.extra",
INDIRECT("rec.uni[empresa]"),Y$6)</f>
        <v>0</v>
      </c>
      <c r="Z18" s="50"/>
      <c r="AA18" s="48">
        <f>COUNTIFS(
    estq[empresa], AA$6,
    estq[Data da venda / reserva], "&gt;=" &amp; $A18,
    estq[Data da venda / reserva], "&lt;"  &amp; EOMONTH($A18,0) + 1
)</f>
        <v>0</v>
      </c>
      <c r="AB18" s="49">
        <f ca="1">SUMIFS(rec.uni[2022-04-01],
INDIRECT("rec.uni[natureza]"),"pro.soluto",
INDIRECT("rec.uni[empresa]"),AB$6)</f>
        <v>0</v>
      </c>
      <c r="AC18" s="38">
        <f ca="1">SUMIFS(rec.uni[2022-04-01],
INDIRECT("rec.uni[natureza]"),"parcela.fin.total.ik",
INDIRECT("rec.uni[empresa]"),AC$6)</f>
        <v>0</v>
      </c>
      <c r="AD18" s="49">
        <f ca="1">SUMIFS(rec.uni[2022-04-01],
INDIRECT("rec.uni[natureza]"),"taxa.extra",
INDIRECT("rec.uni[empresa]"),AD$6)</f>
        <v>0</v>
      </c>
      <c r="AE18" s="50"/>
      <c r="AF18" s="48">
        <f>COUNTIFS(
    estq[empresa], AF$6,
    estq[Data da venda / reserva], "&gt;=" &amp; $A18,
    estq[Data da venda / reserva], "&lt;"  &amp; EOMONTH($A18,0) + 1
)</f>
        <v>0</v>
      </c>
      <c r="AG18" s="49">
        <f ca="1">SUMIFS(rec.uni[2022-04-01],
INDIRECT("rec.uni[natureza]"),"pro.soluto",
INDIRECT("rec.uni[empresa]"),AG$6)</f>
        <v>0</v>
      </c>
      <c r="AH18" s="49">
        <f ca="1">SUMIFS(rec.uni[2022-04-01],
INDIRECT("rec.uni[natureza]"),"repasse.cef.obra",
INDIRECT("rec.uni[empresa]"),AH$6)</f>
        <v>0</v>
      </c>
      <c r="AI18" s="49">
        <f ca="1">SUMIFS(rec.uni[2022-04-01],
INDIRECT("rec.uni[natureza]"),"repasse.cef.terreno",
INDIRECT("rec.uni[empresa]"),AI$6)</f>
        <v>0</v>
      </c>
      <c r="AJ18" s="49">
        <v>0</v>
      </c>
      <c r="AK18" s="49">
        <f ca="1">SUMIFS(rec.uni[2022-04-01],
INDIRECT("rec.uni[natureza]"),"taxa.extra",
INDIRECT("rec.uni[empresa]"),AK$6)</f>
        <v>0</v>
      </c>
      <c r="AL18" s="50"/>
      <c r="AM18" s="48">
        <f>COUNTIFS(
    estq[empresa], AM$6,
    estq[Data da venda / reserva], "&gt;=" &amp; $A18,
    estq[Data da venda / reserva], "&lt;"  &amp; EOMONTH($A18,0) + 1
)</f>
        <v>0</v>
      </c>
      <c r="AN18" s="49">
        <f ca="1">SUMIFS(rec.uni[2022-04-01],
INDIRECT("rec.uni[natureza]"),"pro.soluto",
INDIRECT("rec.uni[empresa]"),AN$6)</f>
        <v>0</v>
      </c>
      <c r="AO18" s="49">
        <f ca="1">SUMIFS(rec.uni[2022-04-01],
INDIRECT("rec.uni[natureza]"),"taxa.extra",
INDIRECT("rec.uni[empresa]"),AO$6)</f>
        <v>0</v>
      </c>
      <c r="AP18" s="50"/>
    </row>
    <row r="19" spans="1:42" x14ac:dyDescent="0.25">
      <c r="A19" s="47">
        <v>44682</v>
      </c>
      <c r="B19" s="48">
        <f>COUNTIFS(
    estq[empresa], B$6,
    estq[Data da venda / reserva], "&gt;=" &amp; $A19,
    estq[Data da venda / reserva], "&lt;"  &amp; EOMONTH($A19,0) + 1
)</f>
        <v>0</v>
      </c>
      <c r="C19" s="49">
        <f ca="1">SUMIFS(rec.uni[2022-05-01],
INDIRECT("rec.uni[natureza]"),"pro.soluto",
INDIRECT("rec.uni[empresa]"),C$6)</f>
        <v>0</v>
      </c>
      <c r="D19" s="49">
        <f ca="1">SUMIFS(rec.uni[2022-05-01],
INDIRECT("rec.uni[natureza]"),"repasse.cef.obra",
INDIRECT("rec.uni[empresa]"),D$6)</f>
        <v>0</v>
      </c>
      <c r="E19" s="49">
        <f ca="1">SUMIFS(rec.uni[2022-05-01],
INDIRECT("rec.uni[natureza]"),"repasse.cef.terreno",
INDIRECT("rec.uni[empresa]"),E$6)</f>
        <v>0</v>
      </c>
      <c r="F19" s="49">
        <v>0</v>
      </c>
      <c r="G19" s="49">
        <f ca="1">SUMIFS(rec.uni[2022-05-01],
INDIRECT("rec.uni[natureza]"),"taxa.extra",
INDIRECT("rec.uni[empresa]"),G$6)</f>
        <v>0</v>
      </c>
      <c r="H19" s="50"/>
      <c r="I19" s="48">
        <f>COUNTIFS(
    estq[empresa], I$6,
    estq[Data da venda / reserva], "&gt;=" &amp; $A19,
    estq[Data da venda / reserva], "&lt;"  &amp; EOMONTH($A19,0) + 1
)</f>
        <v>0</v>
      </c>
      <c r="J19" s="49">
        <f ca="1">SUMIFS(rec.uni[2022-05-01],
INDIRECT("rec.uni[natureza]"),"pro.soluto",
INDIRECT("rec.uni[empresa]"),J$6)</f>
        <v>0</v>
      </c>
      <c r="K19" s="49">
        <f ca="1">SUMIFS(rec.uni[2022-05-01],
INDIRECT("rec.uni[natureza]"),"repasse.cef.obra",
INDIRECT("rec.uni[empresa]"),K$6)</f>
        <v>0</v>
      </c>
      <c r="L19" s="49">
        <f ca="1">SUMIFS(rec.uni[2022-05-01],
INDIRECT("rec.uni[natureza]"),"repasse.cef.terreno",
INDIRECT("rec.uni[empresa]"),L$6)</f>
        <v>0</v>
      </c>
      <c r="M19" s="49">
        <v>0</v>
      </c>
      <c r="N19" s="49">
        <f ca="1">SUMIFS(rec.uni[2022-05-01],
INDIRECT("rec.uni[natureza]"),"taxa.extra",
INDIRECT("rec.uni[empresa]"),N$6)</f>
        <v>0</v>
      </c>
      <c r="O19" s="50"/>
      <c r="P19" s="48">
        <f>COUNTIFS(
    estq[empresa], P$6,
    estq[Data da venda / reserva], "&gt;=" &amp; $A19,
    estq[Data da venda / reserva], "&lt;"  &amp; EOMONTH($A19,0) + 1
)</f>
        <v>0</v>
      </c>
      <c r="Q19" s="49">
        <f ca="1">SUMIFS(rec.uni[2022-05-01],
INDIRECT("rec.uni[natureza]"),"pro.soluto",
INDIRECT("rec.uni[empresa]"),Q$6)</f>
        <v>0</v>
      </c>
      <c r="R19" s="49">
        <f ca="1">SUMIFS(rec.uni[2022-05-01],
INDIRECT("rec.uni[natureza]"),"repasse.cef.obra",
INDIRECT("rec.uni[empresa]"),R$6)</f>
        <v>0</v>
      </c>
      <c r="S19" s="49">
        <f ca="1">SUMIFS(rec.uni[2022-05-01],
INDIRECT("rec.uni[natureza]"),"repasse.cef.terreno",
INDIRECT("rec.uni[empresa]"),S$6)</f>
        <v>0</v>
      </c>
      <c r="T19" s="49">
        <v>0</v>
      </c>
      <c r="U19" s="49">
        <f ca="1">SUMIFS(rec.uni[2022-05-01],
INDIRECT("rec.uni[natureza]"),"taxa.extra",
INDIRECT("rec.uni[empresa]"),U$6)</f>
        <v>0</v>
      </c>
      <c r="V19" s="50"/>
      <c r="W19" s="48">
        <f>COUNTIFS(
    estq[empresa], W$6,
    estq[Data da venda / reserva], "&gt;=" &amp; $A19,
    estq[Data da venda / reserva], "&lt;"  &amp; EOMONTH($A19,0) + 1
)</f>
        <v>0</v>
      </c>
      <c r="X19" s="49">
        <f ca="1">SUMIFS(rec.uni[2022-05-01],
INDIRECT("rec.uni[natureza]"),"pro.soluto",
INDIRECT("rec.uni[empresa]"),X$6)</f>
        <v>0</v>
      </c>
      <c r="Y19" s="49">
        <f ca="1">SUMIFS(rec.uni[2022-05-01],
INDIRECT("rec.uni[natureza]"),"taxa.extra",
INDIRECT("rec.uni[empresa]"),Y$6)</f>
        <v>0</v>
      </c>
      <c r="Z19" s="50"/>
      <c r="AA19" s="48">
        <f>COUNTIFS(
    estq[empresa], AA$6,
    estq[Data da venda / reserva], "&gt;=" &amp; $A19,
    estq[Data da venda / reserva], "&lt;"  &amp; EOMONTH($A19,0) + 1
)</f>
        <v>0</v>
      </c>
      <c r="AB19" s="49">
        <f ca="1">SUMIFS(rec.uni[2022-05-01],
INDIRECT("rec.uni[natureza]"),"pro.soluto",
INDIRECT("rec.uni[empresa]"),AB$6)</f>
        <v>0</v>
      </c>
      <c r="AC19" s="38">
        <f ca="1">SUMIFS(rec.uni[2022-05-01],
INDIRECT("rec.uni[natureza]"),"parcela.fin.total.ik",
INDIRECT("rec.uni[empresa]"),AC$6)</f>
        <v>0</v>
      </c>
      <c r="AD19" s="49">
        <f ca="1">SUMIFS(rec.uni[2022-05-01],
INDIRECT("rec.uni[natureza]"),"taxa.extra",
INDIRECT("rec.uni[empresa]"),AD$6)</f>
        <v>0</v>
      </c>
      <c r="AE19" s="50"/>
      <c r="AF19" s="48">
        <f>COUNTIFS(
    estq[empresa], AF$6,
    estq[Data da venda / reserva], "&gt;=" &amp; $A19,
    estq[Data da venda / reserva], "&lt;"  &amp; EOMONTH($A19,0) + 1
)</f>
        <v>0</v>
      </c>
      <c r="AG19" s="49">
        <f ca="1">SUMIFS(rec.uni[2022-05-01],
INDIRECT("rec.uni[natureza]"),"pro.soluto",
INDIRECT("rec.uni[empresa]"),AG$6)</f>
        <v>0</v>
      </c>
      <c r="AH19" s="49">
        <f ca="1">SUMIFS(rec.uni[2022-05-01],
INDIRECT("rec.uni[natureza]"),"repasse.cef.obra",
INDIRECT("rec.uni[empresa]"),AH$6)</f>
        <v>0</v>
      </c>
      <c r="AI19" s="49">
        <f ca="1">SUMIFS(rec.uni[2022-05-01],
INDIRECT("rec.uni[natureza]"),"repasse.cef.terreno",
INDIRECT("rec.uni[empresa]"),AI$6)</f>
        <v>0</v>
      </c>
      <c r="AJ19" s="49">
        <v>0</v>
      </c>
      <c r="AK19" s="49">
        <f ca="1">SUMIFS(rec.uni[2022-05-01],
INDIRECT("rec.uni[natureza]"),"taxa.extra",
INDIRECT("rec.uni[empresa]"),AK$6)</f>
        <v>0</v>
      </c>
      <c r="AL19" s="50"/>
      <c r="AM19" s="48">
        <f>COUNTIFS(
    estq[empresa], AM$6,
    estq[Data da venda / reserva], "&gt;=" &amp; $A19,
    estq[Data da venda / reserva], "&lt;"  &amp; EOMONTH($A19,0) + 1
)</f>
        <v>0</v>
      </c>
      <c r="AN19" s="49">
        <f ca="1">SUMIFS(rec.uni[2022-05-01],
INDIRECT("rec.uni[natureza]"),"pro.soluto",
INDIRECT("rec.uni[empresa]"),AN$6)</f>
        <v>0</v>
      </c>
      <c r="AO19" s="49">
        <f ca="1">SUMIFS(rec.uni[2022-05-01],
INDIRECT("rec.uni[natureza]"),"taxa.extra",
INDIRECT("rec.uni[empresa]"),AO$6)</f>
        <v>0</v>
      </c>
      <c r="AP19" s="50"/>
    </row>
    <row r="20" spans="1:42" x14ac:dyDescent="0.25">
      <c r="A20" s="47">
        <v>44713</v>
      </c>
      <c r="B20" s="48">
        <f>COUNTIFS(
    estq[empresa], B$6,
    estq[Data da venda / reserva], "&gt;=" &amp; $A20,
    estq[Data da venda / reserva], "&lt;"  &amp; EOMONTH($A20,0) + 1
)</f>
        <v>0</v>
      </c>
      <c r="C20" s="49">
        <f ca="1">SUMIFS(rec.uni[2022-06-01],
INDIRECT("rec.uni[natureza]"),"pro.soluto",
INDIRECT("rec.uni[empresa]"),C$6)</f>
        <v>0</v>
      </c>
      <c r="D20" s="49">
        <f ca="1">SUMIFS(rec.uni[2022-06-01],
INDIRECT("rec.uni[natureza]"),"repasse.cef.obra",
INDIRECT("rec.uni[empresa]"),D$6)</f>
        <v>0</v>
      </c>
      <c r="E20" s="49">
        <f ca="1">SUMIFS(rec.uni[2022-06-01],
INDIRECT("rec.uni[natureza]"),"repasse.cef.terreno",
INDIRECT("rec.uni[empresa]"),E$6)</f>
        <v>0</v>
      </c>
      <c r="F20" s="49">
        <v>0</v>
      </c>
      <c r="G20" s="49">
        <f ca="1">SUMIFS(rec.uni[2022-06-01],
INDIRECT("rec.uni[natureza]"),"taxa.extra",
INDIRECT("rec.uni[empresa]"),G$6)</f>
        <v>0</v>
      </c>
      <c r="H20" s="50"/>
      <c r="I20" s="48">
        <f>COUNTIFS(
    estq[empresa], I$6,
    estq[Data da venda / reserva], "&gt;=" &amp; $A20,
    estq[Data da venda / reserva], "&lt;"  &amp; EOMONTH($A20,0) + 1
)</f>
        <v>0</v>
      </c>
      <c r="J20" s="49">
        <f ca="1">SUMIFS(rec.uni[2022-06-01],
INDIRECT("rec.uni[natureza]"),"pro.soluto",
INDIRECT("rec.uni[empresa]"),J$6)</f>
        <v>0</v>
      </c>
      <c r="K20" s="49">
        <f ca="1">SUMIFS(rec.uni[2022-06-01],
INDIRECT("rec.uni[natureza]"),"repasse.cef.obra",
INDIRECT("rec.uni[empresa]"),K$6)</f>
        <v>0</v>
      </c>
      <c r="L20" s="49">
        <f ca="1">SUMIFS(rec.uni[2022-06-01],
INDIRECT("rec.uni[natureza]"),"repasse.cef.terreno",
INDIRECT("rec.uni[empresa]"),L$6)</f>
        <v>0</v>
      </c>
      <c r="M20" s="49">
        <v>0</v>
      </c>
      <c r="N20" s="49">
        <f ca="1">SUMIFS(rec.uni[2022-06-01],
INDIRECT("rec.uni[natureza]"),"taxa.extra",
INDIRECT("rec.uni[empresa]"),N$6)</f>
        <v>0</v>
      </c>
      <c r="O20" s="50"/>
      <c r="P20" s="48">
        <f>COUNTIFS(
    estq[empresa], P$6,
    estq[Data da venda / reserva], "&gt;=" &amp; $A20,
    estq[Data da venda / reserva], "&lt;"  &amp; EOMONTH($A20,0) + 1
)</f>
        <v>0</v>
      </c>
      <c r="Q20" s="49">
        <f ca="1">SUMIFS(rec.uni[2022-06-01],
INDIRECT("rec.uni[natureza]"),"pro.soluto",
INDIRECT("rec.uni[empresa]"),Q$6)</f>
        <v>0</v>
      </c>
      <c r="R20" s="49">
        <f ca="1">SUMIFS(rec.uni[2022-06-01],
INDIRECT("rec.uni[natureza]"),"repasse.cef.obra",
INDIRECT("rec.uni[empresa]"),R$6)</f>
        <v>0</v>
      </c>
      <c r="S20" s="49">
        <f ca="1">SUMIFS(rec.uni[2022-06-01],
INDIRECT("rec.uni[natureza]"),"repasse.cef.terreno",
INDIRECT("rec.uni[empresa]"),S$6)</f>
        <v>0</v>
      </c>
      <c r="T20" s="49">
        <v>0</v>
      </c>
      <c r="U20" s="49">
        <f ca="1">SUMIFS(rec.uni[2022-06-01],
INDIRECT("rec.uni[natureza]"),"taxa.extra",
INDIRECT("rec.uni[empresa]"),U$6)</f>
        <v>0</v>
      </c>
      <c r="V20" s="50"/>
      <c r="W20" s="48">
        <f>COUNTIFS(
    estq[empresa], W$6,
    estq[Data da venda / reserva], "&gt;=" &amp; $A20,
    estq[Data da venda / reserva], "&lt;"  &amp; EOMONTH($A20,0) + 1
)</f>
        <v>0</v>
      </c>
      <c r="X20" s="49">
        <f ca="1">SUMIFS(rec.uni[2022-06-01],
INDIRECT("rec.uni[natureza]"),"pro.soluto",
INDIRECT("rec.uni[empresa]"),X$6)</f>
        <v>0</v>
      </c>
      <c r="Y20" s="49">
        <f ca="1">SUMIFS(rec.uni[2022-06-01],
INDIRECT("rec.uni[natureza]"),"taxa.extra",
INDIRECT("rec.uni[empresa]"),Y$6)</f>
        <v>0</v>
      </c>
      <c r="Z20" s="50"/>
      <c r="AA20" s="48">
        <f>COUNTIFS(
    estq[empresa], AA$6,
    estq[Data da venda / reserva], "&gt;=" &amp; $A20,
    estq[Data da venda / reserva], "&lt;"  &amp; EOMONTH($A20,0) + 1
)</f>
        <v>0</v>
      </c>
      <c r="AB20" s="49">
        <f ca="1">SUMIFS(rec.uni[2022-06-01],
INDIRECT("rec.uni[natureza]"),"pro.soluto",
INDIRECT("rec.uni[empresa]"),AB$6)</f>
        <v>0</v>
      </c>
      <c r="AC20" s="38">
        <f ca="1">SUMIFS(rec.uni[2022-06-01],
INDIRECT("rec.uni[natureza]"),"parcela.fin.total.ik",
INDIRECT("rec.uni[empresa]"),AC$6)</f>
        <v>0</v>
      </c>
      <c r="AD20" s="49">
        <f ca="1">SUMIFS(rec.uni[2022-06-01],
INDIRECT("rec.uni[natureza]"),"taxa.extra",
INDIRECT("rec.uni[empresa]"),AD$6)</f>
        <v>0</v>
      </c>
      <c r="AE20" s="50"/>
      <c r="AF20" s="48">
        <f>COUNTIFS(
    estq[empresa], AF$6,
    estq[Data da venda / reserva], "&gt;=" &amp; $A20,
    estq[Data da venda / reserva], "&lt;"  &amp; EOMONTH($A20,0) + 1
)</f>
        <v>0</v>
      </c>
      <c r="AG20" s="49">
        <f ca="1">SUMIFS(rec.uni[2022-06-01],
INDIRECT("rec.uni[natureza]"),"pro.soluto",
INDIRECT("rec.uni[empresa]"),AG$6)</f>
        <v>0</v>
      </c>
      <c r="AH20" s="49">
        <f ca="1">SUMIFS(rec.uni[2022-06-01],
INDIRECT("rec.uni[natureza]"),"repasse.cef.obra",
INDIRECT("rec.uni[empresa]"),AH$6)</f>
        <v>0</v>
      </c>
      <c r="AI20" s="49">
        <f ca="1">SUMIFS(rec.uni[2022-06-01],
INDIRECT("rec.uni[natureza]"),"repasse.cef.terreno",
INDIRECT("rec.uni[empresa]"),AI$6)</f>
        <v>0</v>
      </c>
      <c r="AJ20" s="49">
        <v>0</v>
      </c>
      <c r="AK20" s="49">
        <f ca="1">SUMIFS(rec.uni[2022-06-01],
INDIRECT("rec.uni[natureza]"),"taxa.extra",
INDIRECT("rec.uni[empresa]"),AK$6)</f>
        <v>0</v>
      </c>
      <c r="AL20" s="50"/>
      <c r="AM20" s="48">
        <f>COUNTIFS(
    estq[empresa], AM$6,
    estq[Data da venda / reserva], "&gt;=" &amp; $A20,
    estq[Data da venda / reserva], "&lt;"  &amp; EOMONTH($A20,0) + 1
)</f>
        <v>0</v>
      </c>
      <c r="AN20" s="49">
        <f ca="1">SUMIFS(rec.uni[2022-06-01],
INDIRECT("rec.uni[natureza]"),"pro.soluto",
INDIRECT("rec.uni[empresa]"),AN$6)</f>
        <v>0</v>
      </c>
      <c r="AO20" s="49">
        <f ca="1">SUMIFS(rec.uni[2022-06-01],
INDIRECT("rec.uni[natureza]"),"taxa.extra",
INDIRECT("rec.uni[empresa]"),AO$6)</f>
        <v>0</v>
      </c>
      <c r="AP20" s="50"/>
    </row>
    <row r="21" spans="1:42" x14ac:dyDescent="0.25">
      <c r="A21" s="47">
        <v>44743</v>
      </c>
      <c r="B21" s="48">
        <f>COUNTIFS(
    estq[empresa], B$6,
    estq[Data da venda / reserva], "&gt;=" &amp; $A21,
    estq[Data da venda / reserva], "&lt;"  &amp; EOMONTH($A21,0) + 1
)</f>
        <v>0</v>
      </c>
      <c r="C21" s="49">
        <f ca="1">SUMIFS(rec.uni[2022-07-01],
INDIRECT("rec.uni[natureza]"),"pro.soluto",
INDIRECT("rec.uni[empresa]"),C$6)</f>
        <v>0</v>
      </c>
      <c r="D21" s="49">
        <f ca="1">SUMIFS(rec.uni[2022-07-01],
INDIRECT("rec.uni[natureza]"),"repasse.cef.obra",
INDIRECT("rec.uni[empresa]"),D$6)</f>
        <v>0</v>
      </c>
      <c r="E21" s="49">
        <f ca="1">SUMIFS(rec.uni[2022-07-01],
INDIRECT("rec.uni[natureza]"),"repasse.cef.terreno",
INDIRECT("rec.uni[empresa]"),E$6)</f>
        <v>0</v>
      </c>
      <c r="F21" s="49">
        <v>0</v>
      </c>
      <c r="G21" s="49">
        <f ca="1">SUMIFS(rec.uni[2022-07-01],
INDIRECT("rec.uni[natureza]"),"taxa.extra",
INDIRECT("rec.uni[empresa]"),G$6)</f>
        <v>0</v>
      </c>
      <c r="H21" s="50"/>
      <c r="I21" s="48">
        <f>COUNTIFS(
    estq[empresa], I$6,
    estq[Data da venda / reserva], "&gt;=" &amp; $A21,
    estq[Data da venda / reserva], "&lt;"  &amp; EOMONTH($A21,0) + 1
)</f>
        <v>0</v>
      </c>
      <c r="J21" s="49">
        <f ca="1">SUMIFS(rec.uni[2022-07-01],
INDIRECT("rec.uni[natureza]"),"pro.soluto",
INDIRECT("rec.uni[empresa]"),J$6)</f>
        <v>0</v>
      </c>
      <c r="K21" s="49">
        <f ca="1">SUMIFS(rec.uni[2022-07-01],
INDIRECT("rec.uni[natureza]"),"repasse.cef.obra",
INDIRECT("rec.uni[empresa]"),K$6)</f>
        <v>0</v>
      </c>
      <c r="L21" s="49">
        <f ca="1">SUMIFS(rec.uni[2022-07-01],
INDIRECT("rec.uni[natureza]"),"repasse.cef.terreno",
INDIRECT("rec.uni[empresa]"),L$6)</f>
        <v>0</v>
      </c>
      <c r="M21" s="49">
        <v>0</v>
      </c>
      <c r="N21" s="49">
        <f ca="1">SUMIFS(rec.uni[2022-07-01],
INDIRECT("rec.uni[natureza]"),"taxa.extra",
INDIRECT("rec.uni[empresa]"),N$6)</f>
        <v>0</v>
      </c>
      <c r="O21" s="50"/>
      <c r="P21" s="48">
        <f>COUNTIFS(
    estq[empresa], P$6,
    estq[Data da venda / reserva], "&gt;=" &amp; $A21,
    estq[Data da venda / reserva], "&lt;"  &amp; EOMONTH($A21,0) + 1
)</f>
        <v>0</v>
      </c>
      <c r="Q21" s="49">
        <f ca="1">SUMIFS(rec.uni[2022-07-01],
INDIRECT("rec.uni[natureza]"),"pro.soluto",
INDIRECT("rec.uni[empresa]"),Q$6)</f>
        <v>0</v>
      </c>
      <c r="R21" s="49">
        <f ca="1">SUMIFS(rec.uni[2022-07-01],
INDIRECT("rec.uni[natureza]"),"repasse.cef.obra",
INDIRECT("rec.uni[empresa]"),R$6)</f>
        <v>0</v>
      </c>
      <c r="S21" s="49">
        <f ca="1">SUMIFS(rec.uni[2022-07-01],
INDIRECT("rec.uni[natureza]"),"repasse.cef.terreno",
INDIRECT("rec.uni[empresa]"),S$6)</f>
        <v>0</v>
      </c>
      <c r="T21" s="49">
        <v>0</v>
      </c>
      <c r="U21" s="49">
        <f ca="1">SUMIFS(rec.uni[2022-07-01],
INDIRECT("rec.uni[natureza]"),"taxa.extra",
INDIRECT("rec.uni[empresa]"),U$6)</f>
        <v>0</v>
      </c>
      <c r="V21" s="50"/>
      <c r="W21" s="48">
        <f>COUNTIFS(
    estq[empresa], W$6,
    estq[Data da venda / reserva], "&gt;=" &amp; $A21,
    estq[Data da venda / reserva], "&lt;"  &amp; EOMONTH($A21,0) + 1
)</f>
        <v>0</v>
      </c>
      <c r="X21" s="49">
        <f ca="1">SUMIFS(rec.uni[2022-07-01],
INDIRECT("rec.uni[natureza]"),"pro.soluto",
INDIRECT("rec.uni[empresa]"),X$6)</f>
        <v>0</v>
      </c>
      <c r="Y21" s="49">
        <f ca="1">SUMIFS(rec.uni[2022-07-01],
INDIRECT("rec.uni[natureza]"),"taxa.extra",
INDIRECT("rec.uni[empresa]"),Y$6)</f>
        <v>0</v>
      </c>
      <c r="Z21" s="50"/>
      <c r="AA21" s="48">
        <f>COUNTIFS(
    estq[empresa], AA$6,
    estq[Data da venda / reserva], "&gt;=" &amp; $A21,
    estq[Data da venda / reserva], "&lt;"  &amp; EOMONTH($A21,0) + 1
)</f>
        <v>0</v>
      </c>
      <c r="AB21" s="49">
        <f ca="1">SUMIFS(rec.uni[2022-07-01],
INDIRECT("rec.uni[natureza]"),"pro.soluto",
INDIRECT("rec.uni[empresa]"),AB$6)</f>
        <v>0</v>
      </c>
      <c r="AC21" s="38">
        <f ca="1">SUMIFS(rec.uni[2022-07-01],
INDIRECT("rec.uni[natureza]"),"parcela.fin.total.ik",
INDIRECT("rec.uni[empresa]"),AC$6)</f>
        <v>0</v>
      </c>
      <c r="AD21" s="49">
        <f ca="1">SUMIFS(rec.uni[2022-07-01],
INDIRECT("rec.uni[natureza]"),"taxa.extra",
INDIRECT("rec.uni[empresa]"),AD$6)</f>
        <v>0</v>
      </c>
      <c r="AE21" s="50"/>
      <c r="AF21" s="48">
        <f>COUNTIFS(
    estq[empresa], AF$6,
    estq[Data da venda / reserva], "&gt;=" &amp; $A21,
    estq[Data da venda / reserva], "&lt;"  &amp; EOMONTH($A21,0) + 1
)</f>
        <v>0</v>
      </c>
      <c r="AG21" s="49">
        <f ca="1">SUMIFS(rec.uni[2022-07-01],
INDIRECT("rec.uni[natureza]"),"pro.soluto",
INDIRECT("rec.uni[empresa]"),AG$6)</f>
        <v>0</v>
      </c>
      <c r="AH21" s="49">
        <f ca="1">SUMIFS(rec.uni[2022-07-01],
INDIRECT("rec.uni[natureza]"),"repasse.cef.obra",
INDIRECT("rec.uni[empresa]"),AH$6)</f>
        <v>0</v>
      </c>
      <c r="AI21" s="49">
        <f ca="1">SUMIFS(rec.uni[2022-07-01],
INDIRECT("rec.uni[natureza]"),"repasse.cef.terreno",
INDIRECT("rec.uni[empresa]"),AI$6)</f>
        <v>0</v>
      </c>
      <c r="AJ21" s="49">
        <v>0</v>
      </c>
      <c r="AK21" s="49">
        <f ca="1">SUMIFS(rec.uni[2022-07-01],
INDIRECT("rec.uni[natureza]"),"taxa.extra",
INDIRECT("rec.uni[empresa]"),AK$6)</f>
        <v>0</v>
      </c>
      <c r="AL21" s="50"/>
      <c r="AM21" s="48">
        <f>COUNTIFS(
    estq[empresa], AM$6,
    estq[Data da venda / reserva], "&gt;=" &amp; $A21,
    estq[Data da venda / reserva], "&lt;"  &amp; EOMONTH($A21,0) + 1
)</f>
        <v>0</v>
      </c>
      <c r="AN21" s="49">
        <f ca="1">SUMIFS(rec.uni[2022-07-01],
INDIRECT("rec.uni[natureza]"),"pro.soluto",
INDIRECT("rec.uni[empresa]"),AN$6)</f>
        <v>0</v>
      </c>
      <c r="AO21" s="49">
        <f ca="1">SUMIFS(rec.uni[2022-07-01],
INDIRECT("rec.uni[natureza]"),"taxa.extra",
INDIRECT("rec.uni[empresa]"),AO$6)</f>
        <v>0</v>
      </c>
      <c r="AP21" s="50"/>
    </row>
    <row r="22" spans="1:42" x14ac:dyDescent="0.25">
      <c r="A22" s="47">
        <v>44774</v>
      </c>
      <c r="B22" s="48">
        <f>COUNTIFS(
    estq[empresa], B$6,
    estq[Data da venda / reserva], "&gt;=" &amp; $A22,
    estq[Data da venda / reserva], "&lt;"  &amp; EOMONTH($A22,0) + 1
)</f>
        <v>0</v>
      </c>
      <c r="C22" s="49">
        <f ca="1">SUMIFS(rec.uni[2022-08-01],
INDIRECT("rec.uni[natureza]"),"pro.soluto",
INDIRECT("rec.uni[empresa]"),C$6)</f>
        <v>0</v>
      </c>
      <c r="D22" s="49">
        <f ca="1">SUMIFS(rec.uni[2022-08-01],
INDIRECT("rec.uni[natureza]"),"repasse.cef.obra",
INDIRECT("rec.uni[empresa]"),D$6)</f>
        <v>0</v>
      </c>
      <c r="E22" s="49">
        <f ca="1">SUMIFS(rec.uni[2022-08-01],
INDIRECT("rec.uni[natureza]"),"repasse.cef.terreno",
INDIRECT("rec.uni[empresa]"),E$6)</f>
        <v>0</v>
      </c>
      <c r="F22" s="49">
        <v>0</v>
      </c>
      <c r="G22" s="49">
        <f ca="1">SUMIFS(rec.uni[2022-08-01],
INDIRECT("rec.uni[natureza]"),"taxa.extra",
INDIRECT("rec.uni[empresa]"),G$6)</f>
        <v>0</v>
      </c>
      <c r="H22" s="50"/>
      <c r="I22" s="48">
        <f>COUNTIFS(
    estq[empresa], I$6,
    estq[Data da venda / reserva], "&gt;=" &amp; $A22,
    estq[Data da venda / reserva], "&lt;"  &amp; EOMONTH($A22,0) + 1
)</f>
        <v>0</v>
      </c>
      <c r="J22" s="49">
        <f ca="1">SUMIFS(rec.uni[2022-08-01],
INDIRECT("rec.uni[natureza]"),"pro.soluto",
INDIRECT("rec.uni[empresa]"),J$6)</f>
        <v>0</v>
      </c>
      <c r="K22" s="49">
        <f ca="1">SUMIFS(rec.uni[2022-08-01],
INDIRECT("rec.uni[natureza]"),"repasse.cef.obra",
INDIRECT("rec.uni[empresa]"),K$6)</f>
        <v>0</v>
      </c>
      <c r="L22" s="49">
        <f ca="1">SUMIFS(rec.uni[2022-08-01],
INDIRECT("rec.uni[natureza]"),"repasse.cef.terreno",
INDIRECT("rec.uni[empresa]"),L$6)</f>
        <v>0</v>
      </c>
      <c r="M22" s="49">
        <v>0</v>
      </c>
      <c r="N22" s="49">
        <f ca="1">SUMIFS(rec.uni[2022-08-01],
INDIRECT("rec.uni[natureza]"),"taxa.extra",
INDIRECT("rec.uni[empresa]"),N$6)</f>
        <v>0</v>
      </c>
      <c r="O22" s="50"/>
      <c r="P22" s="48">
        <f>COUNTIFS(
    estq[empresa], P$6,
    estq[Data da venda / reserva], "&gt;=" &amp; $A22,
    estq[Data da venda / reserva], "&lt;"  &amp; EOMONTH($A22,0) + 1
)</f>
        <v>0</v>
      </c>
      <c r="Q22" s="49">
        <f ca="1">SUMIFS(rec.uni[2022-08-01],
INDIRECT("rec.uni[natureza]"),"pro.soluto",
INDIRECT("rec.uni[empresa]"),Q$6)</f>
        <v>0</v>
      </c>
      <c r="R22" s="49">
        <f ca="1">SUMIFS(rec.uni[2022-08-01],
INDIRECT("rec.uni[natureza]"),"repasse.cef.obra",
INDIRECT("rec.uni[empresa]"),R$6)</f>
        <v>0</v>
      </c>
      <c r="S22" s="49">
        <f ca="1">SUMIFS(rec.uni[2022-08-01],
INDIRECT("rec.uni[natureza]"),"repasse.cef.terreno",
INDIRECT("rec.uni[empresa]"),S$6)</f>
        <v>0</v>
      </c>
      <c r="T22" s="49">
        <v>0</v>
      </c>
      <c r="U22" s="49">
        <f ca="1">SUMIFS(rec.uni[2022-08-01],
INDIRECT("rec.uni[natureza]"),"taxa.extra",
INDIRECT("rec.uni[empresa]"),U$6)</f>
        <v>0</v>
      </c>
      <c r="V22" s="50"/>
      <c r="W22" s="48">
        <f>COUNTIFS(
    estq[empresa], W$6,
    estq[Data da venda / reserva], "&gt;=" &amp; $A22,
    estq[Data da venda / reserva], "&lt;"  &amp; EOMONTH($A22,0) + 1
)</f>
        <v>0</v>
      </c>
      <c r="X22" s="49">
        <f ca="1">SUMIFS(rec.uni[2022-08-01],
INDIRECT("rec.uni[natureza]"),"pro.soluto",
INDIRECT("rec.uni[empresa]"),X$6)</f>
        <v>0</v>
      </c>
      <c r="Y22" s="49">
        <f ca="1">SUMIFS(rec.uni[2022-08-01],
INDIRECT("rec.uni[natureza]"),"taxa.extra",
INDIRECT("rec.uni[empresa]"),Y$6)</f>
        <v>0</v>
      </c>
      <c r="Z22" s="50"/>
      <c r="AA22" s="48">
        <f>COUNTIFS(
    estq[empresa], AA$6,
    estq[Data da venda / reserva], "&gt;=" &amp; $A22,
    estq[Data da venda / reserva], "&lt;"  &amp; EOMONTH($A22,0) + 1
)</f>
        <v>0</v>
      </c>
      <c r="AB22" s="49">
        <f ca="1">SUMIFS(rec.uni[2022-08-01],
INDIRECT("rec.uni[natureza]"),"pro.soluto",
INDIRECT("rec.uni[empresa]"),AB$6)</f>
        <v>0</v>
      </c>
      <c r="AC22" s="38">
        <f ca="1">SUMIFS(rec.uni[2022-08-01],
INDIRECT("rec.uni[natureza]"),"parcela.fin.total.ik",
INDIRECT("rec.uni[empresa]"),AC$6)</f>
        <v>0</v>
      </c>
      <c r="AD22" s="49">
        <f ca="1">SUMIFS(rec.uni[2022-08-01],
INDIRECT("rec.uni[natureza]"),"taxa.extra",
INDIRECT("rec.uni[empresa]"),AD$6)</f>
        <v>0</v>
      </c>
      <c r="AE22" s="50"/>
      <c r="AF22" s="48">
        <f>COUNTIFS(
    estq[empresa], AF$6,
    estq[Data da venda / reserva], "&gt;=" &amp; $A22,
    estq[Data da venda / reserva], "&lt;"  &amp; EOMONTH($A22,0) + 1
)</f>
        <v>0</v>
      </c>
      <c r="AG22" s="49">
        <f ca="1">SUMIFS(rec.uni[2022-08-01],
INDIRECT("rec.uni[natureza]"),"pro.soluto",
INDIRECT("rec.uni[empresa]"),AG$6)</f>
        <v>0</v>
      </c>
      <c r="AH22" s="49">
        <f ca="1">SUMIFS(rec.uni[2022-08-01],
INDIRECT("rec.uni[natureza]"),"repasse.cef.obra",
INDIRECT("rec.uni[empresa]"),AH$6)</f>
        <v>0</v>
      </c>
      <c r="AI22" s="49">
        <f ca="1">SUMIFS(rec.uni[2022-08-01],
INDIRECT("rec.uni[natureza]"),"repasse.cef.terreno",
INDIRECT("rec.uni[empresa]"),AI$6)</f>
        <v>0</v>
      </c>
      <c r="AJ22" s="49">
        <v>0</v>
      </c>
      <c r="AK22" s="49">
        <f ca="1">SUMIFS(rec.uni[2022-08-01],
INDIRECT("rec.uni[natureza]"),"taxa.extra",
INDIRECT("rec.uni[empresa]"),AK$6)</f>
        <v>0</v>
      </c>
      <c r="AL22" s="50"/>
      <c r="AM22" s="48">
        <f>COUNTIFS(
    estq[empresa], AM$6,
    estq[Data da venda / reserva], "&gt;=" &amp; $A22,
    estq[Data da venda / reserva], "&lt;"  &amp; EOMONTH($A22,0) + 1
)</f>
        <v>0</v>
      </c>
      <c r="AN22" s="49">
        <f ca="1">SUMIFS(rec.uni[2022-08-01],
INDIRECT("rec.uni[natureza]"),"pro.soluto",
INDIRECT("rec.uni[empresa]"),AN$6)</f>
        <v>0</v>
      </c>
      <c r="AO22" s="49">
        <f ca="1">SUMIFS(rec.uni[2022-08-01],
INDIRECT("rec.uni[natureza]"),"taxa.extra",
INDIRECT("rec.uni[empresa]"),AO$6)</f>
        <v>0</v>
      </c>
      <c r="AP22" s="50"/>
    </row>
    <row r="23" spans="1:42" x14ac:dyDescent="0.25">
      <c r="A23" s="47">
        <v>44805</v>
      </c>
      <c r="B23" s="48">
        <f>COUNTIFS(
    estq[empresa], B$6,
    estq[Data da venda / reserva], "&gt;=" &amp; $A23,
    estq[Data da venda / reserva], "&lt;"  &amp; EOMONTH($A23,0) + 1
)</f>
        <v>0</v>
      </c>
      <c r="C23" s="49">
        <f ca="1">SUMIFS(rec.uni[2022-09-01],
INDIRECT("rec.uni[natureza]"),"pro.soluto",
INDIRECT("rec.uni[empresa]"),C$6)</f>
        <v>0</v>
      </c>
      <c r="D23" s="49">
        <f ca="1">SUMIFS(rec.uni[2022-09-01],
INDIRECT("rec.uni[natureza]"),"repasse.cef.obra",
INDIRECT("rec.uni[empresa]"),D$6)</f>
        <v>0</v>
      </c>
      <c r="E23" s="49">
        <f ca="1">SUMIFS(rec.uni[2022-09-01],
INDIRECT("rec.uni[natureza]"),"repasse.cef.terreno",
INDIRECT("rec.uni[empresa]"),E$6)</f>
        <v>0</v>
      </c>
      <c r="F23" s="49">
        <v>0</v>
      </c>
      <c r="G23" s="49">
        <f ca="1">SUMIFS(rec.uni[2022-09-01],
INDIRECT("rec.uni[natureza]"),"taxa.extra",
INDIRECT("rec.uni[empresa]"),G$6)</f>
        <v>0</v>
      </c>
      <c r="H23" s="50"/>
      <c r="I23" s="48">
        <f>COUNTIFS(
    estq[empresa], I$6,
    estq[Data da venda / reserva], "&gt;=" &amp; $A23,
    estq[Data da venda / reserva], "&lt;"  &amp; EOMONTH($A23,0) + 1
)</f>
        <v>0</v>
      </c>
      <c r="J23" s="49">
        <f ca="1">SUMIFS(rec.uni[2022-09-01],
INDIRECT("rec.uni[natureza]"),"pro.soluto",
INDIRECT("rec.uni[empresa]"),J$6)</f>
        <v>0</v>
      </c>
      <c r="K23" s="49">
        <f ca="1">SUMIFS(rec.uni[2022-09-01],
INDIRECT("rec.uni[natureza]"),"repasse.cef.obra",
INDIRECT("rec.uni[empresa]"),K$6)</f>
        <v>0</v>
      </c>
      <c r="L23" s="49">
        <f ca="1">SUMIFS(rec.uni[2022-09-01],
INDIRECT("rec.uni[natureza]"),"repasse.cef.terreno",
INDIRECT("rec.uni[empresa]"),L$6)</f>
        <v>0</v>
      </c>
      <c r="M23" s="49">
        <v>0</v>
      </c>
      <c r="N23" s="49">
        <f ca="1">SUMIFS(rec.uni[2022-09-01],
INDIRECT("rec.uni[natureza]"),"taxa.extra",
INDIRECT("rec.uni[empresa]"),N$6)</f>
        <v>0</v>
      </c>
      <c r="O23" s="50"/>
      <c r="P23" s="48">
        <f>COUNTIFS(
    estq[empresa], P$6,
    estq[Data da venda / reserva], "&gt;=" &amp; $A23,
    estq[Data da venda / reserva], "&lt;"  &amp; EOMONTH($A23,0) + 1
)</f>
        <v>0</v>
      </c>
      <c r="Q23" s="49">
        <f ca="1">SUMIFS(rec.uni[2022-09-01],
INDIRECT("rec.uni[natureza]"),"pro.soluto",
INDIRECT("rec.uni[empresa]"),Q$6)</f>
        <v>0</v>
      </c>
      <c r="R23" s="49">
        <f ca="1">SUMIFS(rec.uni[2022-09-01],
INDIRECT("rec.uni[natureza]"),"repasse.cef.obra",
INDIRECT("rec.uni[empresa]"),R$6)</f>
        <v>0</v>
      </c>
      <c r="S23" s="49">
        <f ca="1">SUMIFS(rec.uni[2022-09-01],
INDIRECT("rec.uni[natureza]"),"repasse.cef.terreno",
INDIRECT("rec.uni[empresa]"),S$6)</f>
        <v>0</v>
      </c>
      <c r="T23" s="49">
        <v>0</v>
      </c>
      <c r="U23" s="49">
        <f ca="1">SUMIFS(rec.uni[2022-09-01],
INDIRECT("rec.uni[natureza]"),"taxa.extra",
INDIRECT("rec.uni[empresa]"),U$6)</f>
        <v>0</v>
      </c>
      <c r="V23" s="50"/>
      <c r="W23" s="48">
        <f>COUNTIFS(
    estq[empresa], W$6,
    estq[Data da venda / reserva], "&gt;=" &amp; $A23,
    estq[Data da venda / reserva], "&lt;"  &amp; EOMONTH($A23,0) + 1
)</f>
        <v>0</v>
      </c>
      <c r="X23" s="49">
        <f ca="1">SUMIFS(rec.uni[2022-09-01],
INDIRECT("rec.uni[natureza]"),"pro.soluto",
INDIRECT("rec.uni[empresa]"),X$6)</f>
        <v>0</v>
      </c>
      <c r="Y23" s="49">
        <f ca="1">SUMIFS(rec.uni[2022-09-01],
INDIRECT("rec.uni[natureza]"),"taxa.extra",
INDIRECT("rec.uni[empresa]"),Y$6)</f>
        <v>0</v>
      </c>
      <c r="Z23" s="50"/>
      <c r="AA23" s="48">
        <f>COUNTIFS(
    estq[empresa], AA$6,
    estq[Data da venda / reserva], "&gt;=" &amp; $A23,
    estq[Data da venda / reserva], "&lt;"  &amp; EOMONTH($A23,0) + 1
)</f>
        <v>0</v>
      </c>
      <c r="AB23" s="49">
        <f ca="1">SUMIFS(rec.uni[2022-09-01],
INDIRECT("rec.uni[natureza]"),"pro.soluto",
INDIRECT("rec.uni[empresa]"),AB$6)</f>
        <v>0</v>
      </c>
      <c r="AC23" s="38">
        <f ca="1">SUMIFS(rec.uni[2022-09-01],
INDIRECT("rec.uni[natureza]"),"parcela.fin.total.ik",
INDIRECT("rec.uni[empresa]"),AC$6)</f>
        <v>0</v>
      </c>
      <c r="AD23" s="49">
        <f ca="1">SUMIFS(rec.uni[2022-09-01],
INDIRECT("rec.uni[natureza]"),"taxa.extra",
INDIRECT("rec.uni[empresa]"),AD$6)</f>
        <v>0</v>
      </c>
      <c r="AE23" s="50"/>
      <c r="AF23" s="48">
        <f>COUNTIFS(
    estq[empresa], AF$6,
    estq[Data da venda / reserva], "&gt;=" &amp; $A23,
    estq[Data da venda / reserva], "&lt;"  &amp; EOMONTH($A23,0) + 1
)</f>
        <v>0</v>
      </c>
      <c r="AG23" s="49">
        <f ca="1">SUMIFS(rec.uni[2022-09-01],
INDIRECT("rec.uni[natureza]"),"pro.soluto",
INDIRECT("rec.uni[empresa]"),AG$6)</f>
        <v>0</v>
      </c>
      <c r="AH23" s="49">
        <f ca="1">SUMIFS(rec.uni[2022-09-01],
INDIRECT("rec.uni[natureza]"),"repasse.cef.obra",
INDIRECT("rec.uni[empresa]"),AH$6)</f>
        <v>0</v>
      </c>
      <c r="AI23" s="49">
        <f ca="1">SUMIFS(rec.uni[2022-09-01],
INDIRECT("rec.uni[natureza]"),"repasse.cef.terreno",
INDIRECT("rec.uni[empresa]"),AI$6)</f>
        <v>0</v>
      </c>
      <c r="AJ23" s="49">
        <v>0</v>
      </c>
      <c r="AK23" s="49">
        <f ca="1">SUMIFS(rec.uni[2022-09-01],
INDIRECT("rec.uni[natureza]"),"taxa.extra",
INDIRECT("rec.uni[empresa]"),AK$6)</f>
        <v>0</v>
      </c>
      <c r="AL23" s="50"/>
      <c r="AM23" s="48">
        <f>COUNTIFS(
    estq[empresa], AM$6,
    estq[Data da venda / reserva], "&gt;=" &amp; $A23,
    estq[Data da venda / reserva], "&lt;"  &amp; EOMONTH($A23,0) + 1
)</f>
        <v>0</v>
      </c>
      <c r="AN23" s="49">
        <f ca="1">SUMIFS(rec.uni[2022-09-01],
INDIRECT("rec.uni[natureza]"),"pro.soluto",
INDIRECT("rec.uni[empresa]"),AN$6)</f>
        <v>0</v>
      </c>
      <c r="AO23" s="49">
        <f ca="1">SUMIFS(rec.uni[2022-09-01],
INDIRECT("rec.uni[natureza]"),"taxa.extra",
INDIRECT("rec.uni[empresa]"),AO$6)</f>
        <v>0</v>
      </c>
      <c r="AP23" s="50"/>
    </row>
    <row r="24" spans="1:42" x14ac:dyDescent="0.25">
      <c r="A24" s="47">
        <v>44835</v>
      </c>
      <c r="B24" s="48">
        <f>COUNTIFS(
    estq[empresa], B$6,
    estq[Data da venda / reserva], "&gt;=" &amp; $A24,
    estq[Data da venda / reserva], "&lt;"  &amp; EOMONTH($A24,0) + 1
)</f>
        <v>0</v>
      </c>
      <c r="C24" s="49">
        <f ca="1">SUMIFS(rec.uni[2022-10-01],
INDIRECT("rec.uni[natureza]"),"pro.soluto",
INDIRECT("rec.uni[empresa]"),C$6)</f>
        <v>0</v>
      </c>
      <c r="D24" s="49">
        <f ca="1">SUMIFS(rec.uni[2022-10-01],
INDIRECT("rec.uni[natureza]"),"repasse.cef.obra",
INDIRECT("rec.uni[empresa]"),D$6)</f>
        <v>0</v>
      </c>
      <c r="E24" s="49">
        <f ca="1">SUMIFS(rec.uni[2022-10-01],
INDIRECT("rec.uni[natureza]"),"repasse.cef.terreno",
INDIRECT("rec.uni[empresa]"),E$6)</f>
        <v>0</v>
      </c>
      <c r="F24" s="49">
        <v>0</v>
      </c>
      <c r="G24" s="49">
        <f ca="1">SUMIFS(rec.uni[2022-10-01],
INDIRECT("rec.uni[natureza]"),"taxa.extra",
INDIRECT("rec.uni[empresa]"),G$6)</f>
        <v>0</v>
      </c>
      <c r="H24" s="50"/>
      <c r="I24" s="48">
        <f>COUNTIFS(
    estq[empresa], I$6,
    estq[Data da venda / reserva], "&gt;=" &amp; $A24,
    estq[Data da venda / reserva], "&lt;"  &amp; EOMONTH($A24,0) + 1
)</f>
        <v>0</v>
      </c>
      <c r="J24" s="49">
        <f ca="1">SUMIFS(rec.uni[2022-10-01],
INDIRECT("rec.uni[natureza]"),"pro.soluto",
INDIRECT("rec.uni[empresa]"),J$6)</f>
        <v>0</v>
      </c>
      <c r="K24" s="49">
        <f ca="1">SUMIFS(rec.uni[2022-10-01],
INDIRECT("rec.uni[natureza]"),"repasse.cef.obra",
INDIRECT("rec.uni[empresa]"),K$6)</f>
        <v>0</v>
      </c>
      <c r="L24" s="49">
        <f ca="1">SUMIFS(rec.uni[2022-10-01],
INDIRECT("rec.uni[natureza]"),"repasse.cef.terreno",
INDIRECT("rec.uni[empresa]"),L$6)</f>
        <v>0</v>
      </c>
      <c r="M24" s="49">
        <v>0</v>
      </c>
      <c r="N24" s="49">
        <f ca="1">SUMIFS(rec.uni[2022-10-01],
INDIRECT("rec.uni[natureza]"),"taxa.extra",
INDIRECT("rec.uni[empresa]"),N$6)</f>
        <v>0</v>
      </c>
      <c r="O24" s="50"/>
      <c r="P24" s="48">
        <f>COUNTIFS(
    estq[empresa], P$6,
    estq[Data da venda / reserva], "&gt;=" &amp; $A24,
    estq[Data da venda / reserva], "&lt;"  &amp; EOMONTH($A24,0) + 1
)</f>
        <v>0</v>
      </c>
      <c r="Q24" s="49">
        <f ca="1">SUMIFS(rec.uni[2022-10-01],
INDIRECT("rec.uni[natureza]"),"pro.soluto",
INDIRECT("rec.uni[empresa]"),Q$6)</f>
        <v>0</v>
      </c>
      <c r="R24" s="49">
        <f ca="1">SUMIFS(rec.uni[2022-10-01],
INDIRECT("rec.uni[natureza]"),"repasse.cef.obra",
INDIRECT("rec.uni[empresa]"),R$6)</f>
        <v>0</v>
      </c>
      <c r="S24" s="49">
        <f ca="1">SUMIFS(rec.uni[2022-10-01],
INDIRECT("rec.uni[natureza]"),"repasse.cef.terreno",
INDIRECT("rec.uni[empresa]"),S$6)</f>
        <v>0</v>
      </c>
      <c r="T24" s="49">
        <v>0</v>
      </c>
      <c r="U24" s="49">
        <f ca="1">SUMIFS(rec.uni[2022-10-01],
INDIRECT("rec.uni[natureza]"),"taxa.extra",
INDIRECT("rec.uni[empresa]"),U$6)</f>
        <v>0</v>
      </c>
      <c r="V24" s="50"/>
      <c r="W24" s="48">
        <f>COUNTIFS(
    estq[empresa], W$6,
    estq[Data da venda / reserva], "&gt;=" &amp; $A24,
    estq[Data da venda / reserva], "&lt;"  &amp; EOMONTH($A24,0) + 1
)</f>
        <v>0</v>
      </c>
      <c r="X24" s="49">
        <f ca="1">SUMIFS(rec.uni[2022-10-01],
INDIRECT("rec.uni[natureza]"),"pro.soluto",
INDIRECT("rec.uni[empresa]"),X$6)</f>
        <v>0</v>
      </c>
      <c r="Y24" s="49">
        <f ca="1">SUMIFS(rec.uni[2022-10-01],
INDIRECT("rec.uni[natureza]"),"taxa.extra",
INDIRECT("rec.uni[empresa]"),Y$6)</f>
        <v>0</v>
      </c>
      <c r="Z24" s="50"/>
      <c r="AA24" s="48">
        <f>COUNTIFS(
    estq[empresa], AA$6,
    estq[Data da venda / reserva], "&gt;=" &amp; $A24,
    estq[Data da venda / reserva], "&lt;"  &amp; EOMONTH($A24,0) + 1
)</f>
        <v>0</v>
      </c>
      <c r="AB24" s="49">
        <f ca="1">SUMIFS(rec.uni[2022-10-01],
INDIRECT("rec.uni[natureza]"),"pro.soluto",
INDIRECT("rec.uni[empresa]"),AB$6)</f>
        <v>0</v>
      </c>
      <c r="AC24" s="38">
        <f ca="1">SUMIFS(rec.uni[2022-10-01],
INDIRECT("rec.uni[natureza]"),"parcela.fin.total.ik",
INDIRECT("rec.uni[empresa]"),AC$6)</f>
        <v>0</v>
      </c>
      <c r="AD24" s="49">
        <f ca="1">SUMIFS(rec.uni[2022-10-01],
INDIRECT("rec.uni[natureza]"),"taxa.extra",
INDIRECT("rec.uni[empresa]"),AD$6)</f>
        <v>0</v>
      </c>
      <c r="AE24" s="50"/>
      <c r="AF24" s="48">
        <f>COUNTIFS(
    estq[empresa], AF$6,
    estq[Data da venda / reserva], "&gt;=" &amp; $A24,
    estq[Data da venda / reserva], "&lt;"  &amp; EOMONTH($A24,0) + 1
)</f>
        <v>0</v>
      </c>
      <c r="AG24" s="49">
        <f ca="1">SUMIFS(rec.uni[2022-10-01],
INDIRECT("rec.uni[natureza]"),"pro.soluto",
INDIRECT("rec.uni[empresa]"),AG$6)</f>
        <v>0</v>
      </c>
      <c r="AH24" s="49">
        <f ca="1">SUMIFS(rec.uni[2022-10-01],
INDIRECT("rec.uni[natureza]"),"repasse.cef.obra",
INDIRECT("rec.uni[empresa]"),AH$6)</f>
        <v>0</v>
      </c>
      <c r="AI24" s="49">
        <f ca="1">SUMIFS(rec.uni[2022-10-01],
INDIRECT("rec.uni[natureza]"),"repasse.cef.terreno",
INDIRECT("rec.uni[empresa]"),AI$6)</f>
        <v>0</v>
      </c>
      <c r="AJ24" s="49">
        <v>0</v>
      </c>
      <c r="AK24" s="49">
        <f ca="1">SUMIFS(rec.uni[2022-10-01],
INDIRECT("rec.uni[natureza]"),"taxa.extra",
INDIRECT("rec.uni[empresa]"),AK$6)</f>
        <v>0</v>
      </c>
      <c r="AL24" s="50"/>
      <c r="AM24" s="48">
        <f>COUNTIFS(
    estq[empresa], AM$6,
    estq[Data da venda / reserva], "&gt;=" &amp; $A24,
    estq[Data da venda / reserva], "&lt;"  &amp; EOMONTH($A24,0) + 1
)</f>
        <v>0</v>
      </c>
      <c r="AN24" s="49">
        <f ca="1">SUMIFS(rec.uni[2022-10-01],
INDIRECT("rec.uni[natureza]"),"pro.soluto",
INDIRECT("rec.uni[empresa]"),AN$6)</f>
        <v>0</v>
      </c>
      <c r="AO24" s="49">
        <f ca="1">SUMIFS(rec.uni[2022-10-01],
INDIRECT("rec.uni[natureza]"),"taxa.extra",
INDIRECT("rec.uni[empresa]"),AO$6)</f>
        <v>0</v>
      </c>
      <c r="AP24" s="50"/>
    </row>
    <row r="25" spans="1:42" x14ac:dyDescent="0.25">
      <c r="A25" s="47">
        <v>44866</v>
      </c>
      <c r="B25" s="48">
        <f>COUNTIFS(
    estq[empresa], B$6,
    estq[Data da venda / reserva], "&gt;=" &amp; $A25,
    estq[Data da venda / reserva], "&lt;"  &amp; EOMONTH($A25,0) + 1
)</f>
        <v>0</v>
      </c>
      <c r="C25" s="49">
        <f ca="1">SUMIFS(rec.uni[2022-11-01],
INDIRECT("rec.uni[natureza]"),"pro.soluto",
INDIRECT("rec.uni[empresa]"),C$6)</f>
        <v>0</v>
      </c>
      <c r="D25" s="49">
        <f ca="1">SUMIFS(rec.uni[2022-11-01],
INDIRECT("rec.uni[natureza]"),"repasse.cef.obra",
INDIRECT("rec.uni[empresa]"),D$6)</f>
        <v>0</v>
      </c>
      <c r="E25" s="49">
        <f ca="1">SUMIFS(rec.uni[2022-11-01],
INDIRECT("rec.uni[natureza]"),"repasse.cef.terreno",
INDIRECT("rec.uni[empresa]"),E$6)</f>
        <v>0</v>
      </c>
      <c r="F25" s="49">
        <v>0</v>
      </c>
      <c r="G25" s="49">
        <f ca="1">SUMIFS(rec.uni[2022-11-01],
INDIRECT("rec.uni[natureza]"),"taxa.extra",
INDIRECT("rec.uni[empresa]"),G$6)</f>
        <v>0</v>
      </c>
      <c r="H25" s="50"/>
      <c r="I25" s="48">
        <f>COUNTIFS(
    estq[empresa], I$6,
    estq[Data da venda / reserva], "&gt;=" &amp; $A25,
    estq[Data da venda / reserva], "&lt;"  &amp; EOMONTH($A25,0) + 1
)</f>
        <v>0</v>
      </c>
      <c r="J25" s="49">
        <f ca="1">SUMIFS(rec.uni[2022-11-01],
INDIRECT("rec.uni[natureza]"),"pro.soluto",
INDIRECT("rec.uni[empresa]"),J$6)</f>
        <v>0</v>
      </c>
      <c r="K25" s="49">
        <f ca="1">SUMIFS(rec.uni[2022-11-01],
INDIRECT("rec.uni[natureza]"),"repasse.cef.obra",
INDIRECT("rec.uni[empresa]"),K$6)</f>
        <v>0</v>
      </c>
      <c r="L25" s="49">
        <f ca="1">SUMIFS(rec.uni[2022-11-01],
INDIRECT("rec.uni[natureza]"),"repasse.cef.terreno",
INDIRECT("rec.uni[empresa]"),L$6)</f>
        <v>0</v>
      </c>
      <c r="M25" s="49">
        <v>0</v>
      </c>
      <c r="N25" s="49">
        <f ca="1">SUMIFS(rec.uni[2022-11-01],
INDIRECT("rec.uni[natureza]"),"taxa.extra",
INDIRECT("rec.uni[empresa]"),N$6)</f>
        <v>0</v>
      </c>
      <c r="O25" s="50"/>
      <c r="P25" s="48">
        <f>COUNTIFS(
    estq[empresa], P$6,
    estq[Data da venda / reserva], "&gt;=" &amp; $A25,
    estq[Data da venda / reserva], "&lt;"  &amp; EOMONTH($A25,0) + 1
)</f>
        <v>0</v>
      </c>
      <c r="Q25" s="49">
        <f ca="1">SUMIFS(rec.uni[2022-11-01],
INDIRECT("rec.uni[natureza]"),"pro.soluto",
INDIRECT("rec.uni[empresa]"),Q$6)</f>
        <v>0</v>
      </c>
      <c r="R25" s="49">
        <f ca="1">SUMIFS(rec.uni[2022-11-01],
INDIRECT("rec.uni[natureza]"),"repasse.cef.obra",
INDIRECT("rec.uni[empresa]"),R$6)</f>
        <v>0</v>
      </c>
      <c r="S25" s="49">
        <f ca="1">SUMIFS(rec.uni[2022-11-01],
INDIRECT("rec.uni[natureza]"),"repasse.cef.terreno",
INDIRECT("rec.uni[empresa]"),S$6)</f>
        <v>0</v>
      </c>
      <c r="T25" s="49">
        <v>0</v>
      </c>
      <c r="U25" s="49">
        <f ca="1">SUMIFS(rec.uni[2022-11-01],
INDIRECT("rec.uni[natureza]"),"taxa.extra",
INDIRECT("rec.uni[empresa]"),U$6)</f>
        <v>0</v>
      </c>
      <c r="V25" s="50"/>
      <c r="W25" s="48">
        <f>COUNTIFS(
    estq[empresa], W$6,
    estq[Data da venda / reserva], "&gt;=" &amp; $A25,
    estq[Data da venda / reserva], "&lt;"  &amp; EOMONTH($A25,0) + 1
)</f>
        <v>0</v>
      </c>
      <c r="X25" s="49">
        <f ca="1">SUMIFS(rec.uni[2022-11-01],
INDIRECT("rec.uni[natureza]"),"pro.soluto",
INDIRECT("rec.uni[empresa]"),X$6)</f>
        <v>0</v>
      </c>
      <c r="Y25" s="49">
        <f ca="1">SUMIFS(rec.uni[2022-11-01],
INDIRECT("rec.uni[natureza]"),"taxa.extra",
INDIRECT("rec.uni[empresa]"),Y$6)</f>
        <v>0</v>
      </c>
      <c r="Z25" s="50"/>
      <c r="AA25" s="48">
        <f>COUNTIFS(
    estq[empresa], AA$6,
    estq[Data da venda / reserva], "&gt;=" &amp; $A25,
    estq[Data da venda / reserva], "&lt;"  &amp; EOMONTH($A25,0) + 1
)</f>
        <v>0</v>
      </c>
      <c r="AB25" s="49">
        <f ca="1">SUMIFS(rec.uni[2022-11-01],
INDIRECT("rec.uni[natureza]"),"pro.soluto",
INDIRECT("rec.uni[empresa]"),AB$6)</f>
        <v>0</v>
      </c>
      <c r="AC25" s="38">
        <f ca="1">SUMIFS(rec.uni[2022-11-01],
INDIRECT("rec.uni[natureza]"),"parcela.fin.total.ik",
INDIRECT("rec.uni[empresa]"),AC$6)</f>
        <v>0</v>
      </c>
      <c r="AD25" s="49">
        <f ca="1">SUMIFS(rec.uni[2022-11-01],
INDIRECT("rec.uni[natureza]"),"taxa.extra",
INDIRECT("rec.uni[empresa]"),AD$6)</f>
        <v>0</v>
      </c>
      <c r="AE25" s="50"/>
      <c r="AF25" s="48">
        <f>COUNTIFS(
    estq[empresa], AF$6,
    estq[Data da venda / reserva], "&gt;=" &amp; $A25,
    estq[Data da venda / reserva], "&lt;"  &amp; EOMONTH($A25,0) + 1
)</f>
        <v>0</v>
      </c>
      <c r="AG25" s="49">
        <f ca="1">SUMIFS(rec.uni[2022-11-01],
INDIRECT("rec.uni[natureza]"),"pro.soluto",
INDIRECT("rec.uni[empresa]"),AG$6)</f>
        <v>0</v>
      </c>
      <c r="AH25" s="49">
        <f ca="1">SUMIFS(rec.uni[2022-11-01],
INDIRECT("rec.uni[natureza]"),"repasse.cef.obra",
INDIRECT("rec.uni[empresa]"),AH$6)</f>
        <v>0</v>
      </c>
      <c r="AI25" s="49">
        <f ca="1">SUMIFS(rec.uni[2022-11-01],
INDIRECT("rec.uni[natureza]"),"repasse.cef.terreno",
INDIRECT("rec.uni[empresa]"),AI$6)</f>
        <v>0</v>
      </c>
      <c r="AJ25" s="49">
        <v>0</v>
      </c>
      <c r="AK25" s="49">
        <f ca="1">SUMIFS(rec.uni[2022-11-01],
INDIRECT("rec.uni[natureza]"),"taxa.extra",
INDIRECT("rec.uni[empresa]"),AK$6)</f>
        <v>0</v>
      </c>
      <c r="AL25" s="50"/>
      <c r="AM25" s="48">
        <f>COUNTIFS(
    estq[empresa], AM$6,
    estq[Data da venda / reserva], "&gt;=" &amp; $A25,
    estq[Data da venda / reserva], "&lt;"  &amp; EOMONTH($A25,0) + 1
)</f>
        <v>0</v>
      </c>
      <c r="AN25" s="49">
        <f ca="1">SUMIFS(rec.uni[2022-11-01],
INDIRECT("rec.uni[natureza]"),"pro.soluto",
INDIRECT("rec.uni[empresa]"),AN$6)</f>
        <v>0</v>
      </c>
      <c r="AO25" s="49">
        <f ca="1">SUMIFS(rec.uni[2022-11-01],
INDIRECT("rec.uni[natureza]"),"taxa.extra",
INDIRECT("rec.uni[empresa]"),AO$6)</f>
        <v>0</v>
      </c>
      <c r="AP25" s="50"/>
    </row>
    <row r="26" spans="1:42" x14ac:dyDescent="0.25">
      <c r="A26" s="47">
        <v>44896</v>
      </c>
      <c r="B26" s="48">
        <f>COUNTIFS(
    estq[empresa], B$6,
    estq[Data da venda / reserva], "&gt;=" &amp; $A26,
    estq[Data da venda / reserva], "&lt;"  &amp; EOMONTH($A26,0) + 1
)</f>
        <v>0</v>
      </c>
      <c r="C26" s="49">
        <f ca="1">SUMIFS(rec.uni[2022-12-01],
INDIRECT("rec.uni[natureza]"),"pro.soluto",
INDIRECT("rec.uni[empresa]"),C$6)</f>
        <v>0</v>
      </c>
      <c r="D26" s="49">
        <f ca="1">SUMIFS(rec.uni[2022-12-01],
INDIRECT("rec.uni[natureza]"),"repasse.cef.obra",
INDIRECT("rec.uni[empresa]"),D$6)</f>
        <v>0</v>
      </c>
      <c r="E26" s="49">
        <f ca="1">SUMIFS(rec.uni[2022-12-01],
INDIRECT("rec.uni[natureza]"),"repasse.cef.terreno",
INDIRECT("rec.uni[empresa]"),E$6)</f>
        <v>0</v>
      </c>
      <c r="F26" s="49">
        <v>0</v>
      </c>
      <c r="G26" s="49">
        <f ca="1">SUMIFS(rec.uni[2022-12-01],
INDIRECT("rec.uni[natureza]"),"taxa.extra",
INDIRECT("rec.uni[empresa]"),G$6)</f>
        <v>0</v>
      </c>
      <c r="H26" s="50"/>
      <c r="I26" s="48">
        <f>COUNTIFS(
    estq[empresa], I$6,
    estq[Data da venda / reserva], "&gt;=" &amp; $A26,
    estq[Data da venda / reserva], "&lt;"  &amp; EOMONTH($A26,0) + 1
)</f>
        <v>0</v>
      </c>
      <c r="J26" s="49">
        <f ca="1">SUMIFS(rec.uni[2022-12-01],
INDIRECT("rec.uni[natureza]"),"pro.soluto",
INDIRECT("rec.uni[empresa]"),J$6)</f>
        <v>0</v>
      </c>
      <c r="K26" s="49">
        <f ca="1">SUMIFS(rec.uni[2022-12-01],
INDIRECT("rec.uni[natureza]"),"repasse.cef.obra",
INDIRECT("rec.uni[empresa]"),K$6)</f>
        <v>0</v>
      </c>
      <c r="L26" s="49">
        <f ca="1">SUMIFS(rec.uni[2022-12-01],
INDIRECT("rec.uni[natureza]"),"repasse.cef.terreno",
INDIRECT("rec.uni[empresa]"),L$6)</f>
        <v>0</v>
      </c>
      <c r="M26" s="49">
        <v>0</v>
      </c>
      <c r="N26" s="49">
        <f ca="1">SUMIFS(rec.uni[2022-12-01],
INDIRECT("rec.uni[natureza]"),"taxa.extra",
INDIRECT("rec.uni[empresa]"),N$6)</f>
        <v>0</v>
      </c>
      <c r="O26" s="50"/>
      <c r="P26" s="48">
        <f>COUNTIFS(
    estq[empresa], P$6,
    estq[Data da venda / reserva], "&gt;=" &amp; $A26,
    estq[Data da venda / reserva], "&lt;"  &amp; EOMONTH($A26,0) + 1
)</f>
        <v>0</v>
      </c>
      <c r="Q26" s="49">
        <f ca="1">SUMIFS(rec.uni[2022-12-01],
INDIRECT("rec.uni[natureza]"),"pro.soluto",
INDIRECT("rec.uni[empresa]"),Q$6)</f>
        <v>0</v>
      </c>
      <c r="R26" s="49">
        <f ca="1">SUMIFS(rec.uni[2022-12-01],
INDIRECT("rec.uni[natureza]"),"repasse.cef.obra",
INDIRECT("rec.uni[empresa]"),R$6)</f>
        <v>0</v>
      </c>
      <c r="S26" s="49">
        <f ca="1">SUMIFS(rec.uni[2022-12-01],
INDIRECT("rec.uni[natureza]"),"repasse.cef.terreno",
INDIRECT("rec.uni[empresa]"),S$6)</f>
        <v>0</v>
      </c>
      <c r="T26" s="49">
        <v>0</v>
      </c>
      <c r="U26" s="49">
        <f ca="1">SUMIFS(rec.uni[2022-12-01],
INDIRECT("rec.uni[natureza]"),"taxa.extra",
INDIRECT("rec.uni[empresa]"),U$6)</f>
        <v>0</v>
      </c>
      <c r="V26" s="50"/>
      <c r="W26" s="48">
        <f>COUNTIFS(
    estq[empresa], W$6,
    estq[Data da venda / reserva], "&gt;=" &amp; $A26,
    estq[Data da venda / reserva], "&lt;"  &amp; EOMONTH($A26,0) + 1
)</f>
        <v>0</v>
      </c>
      <c r="X26" s="49">
        <f ca="1">SUMIFS(rec.uni[2022-12-01],
INDIRECT("rec.uni[natureza]"),"pro.soluto",
INDIRECT("rec.uni[empresa]"),X$6)</f>
        <v>0</v>
      </c>
      <c r="Y26" s="49">
        <f ca="1">SUMIFS(rec.uni[2022-12-01],
INDIRECT("rec.uni[natureza]"),"taxa.extra",
INDIRECT("rec.uni[empresa]"),Y$6)</f>
        <v>0</v>
      </c>
      <c r="Z26" s="50"/>
      <c r="AA26" s="48">
        <f>COUNTIFS(
    estq[empresa], AA$6,
    estq[Data da venda / reserva], "&gt;=" &amp; $A26,
    estq[Data da venda / reserva], "&lt;"  &amp; EOMONTH($A26,0) + 1
)</f>
        <v>0</v>
      </c>
      <c r="AB26" s="49">
        <f ca="1">SUMIFS(rec.uni[2022-12-01],
INDIRECT("rec.uni[natureza]"),"pro.soluto",
INDIRECT("rec.uni[empresa]"),AB$6)</f>
        <v>0</v>
      </c>
      <c r="AC26" s="38">
        <f ca="1">SUMIFS(rec.uni[2022-12-01],
INDIRECT("rec.uni[natureza]"),"parcela.fin.total.ik",
INDIRECT("rec.uni[empresa]"),AC$6)</f>
        <v>0</v>
      </c>
      <c r="AD26" s="49">
        <f ca="1">SUMIFS(rec.uni[2022-12-01],
INDIRECT("rec.uni[natureza]"),"taxa.extra",
INDIRECT("rec.uni[empresa]"),AD$6)</f>
        <v>0</v>
      </c>
      <c r="AE26" s="50"/>
      <c r="AF26" s="48">
        <f>COUNTIFS(
    estq[empresa], AF$6,
    estq[Data da venda / reserva], "&gt;=" &amp; $A26,
    estq[Data da venda / reserva], "&lt;"  &amp; EOMONTH($A26,0) + 1
)</f>
        <v>0</v>
      </c>
      <c r="AG26" s="49">
        <f ca="1">SUMIFS(rec.uni[2022-12-01],
INDIRECT("rec.uni[natureza]"),"pro.soluto",
INDIRECT("rec.uni[empresa]"),AG$6)</f>
        <v>0</v>
      </c>
      <c r="AH26" s="49">
        <f ca="1">SUMIFS(rec.uni[2022-12-01],
INDIRECT("rec.uni[natureza]"),"repasse.cef.obra",
INDIRECT("rec.uni[empresa]"),AH$6)</f>
        <v>0</v>
      </c>
      <c r="AI26" s="49">
        <f ca="1">SUMIFS(rec.uni[2022-12-01],
INDIRECT("rec.uni[natureza]"),"repasse.cef.terreno",
INDIRECT("rec.uni[empresa]"),AI$6)</f>
        <v>0</v>
      </c>
      <c r="AJ26" s="49">
        <v>0</v>
      </c>
      <c r="AK26" s="49">
        <f ca="1">SUMIFS(rec.uni[2022-12-01],
INDIRECT("rec.uni[natureza]"),"taxa.extra",
INDIRECT("rec.uni[empresa]"),AK$6)</f>
        <v>0</v>
      </c>
      <c r="AL26" s="50"/>
      <c r="AM26" s="48">
        <f>COUNTIFS(
    estq[empresa], AM$6,
    estq[Data da venda / reserva], "&gt;=" &amp; $A26,
    estq[Data da venda / reserva], "&lt;"  &amp; EOMONTH($A26,0) + 1
)</f>
        <v>0</v>
      </c>
      <c r="AN26" s="49">
        <f ca="1">SUMIFS(rec.uni[2022-12-01],
INDIRECT("rec.uni[natureza]"),"pro.soluto",
INDIRECT("rec.uni[empresa]"),AN$6)</f>
        <v>0</v>
      </c>
      <c r="AO26" s="49">
        <f ca="1">SUMIFS(rec.uni[2022-12-01],
INDIRECT("rec.uni[natureza]"),"taxa.extra",
INDIRECT("rec.uni[empresa]"),AO$6)</f>
        <v>0</v>
      </c>
      <c r="AP26" s="50"/>
    </row>
    <row r="27" spans="1:42" x14ac:dyDescent="0.25">
      <c r="A27" s="47">
        <v>44927</v>
      </c>
      <c r="B27" s="48">
        <f>COUNTIFS(
    estq[empresa], B$6,
    estq[Data da venda / reserva], "&gt;=" &amp; $A27,
    estq[Data da venda / reserva], "&lt;"  &amp; EOMONTH($A27,0) + 1
)</f>
        <v>0</v>
      </c>
      <c r="C27" s="49">
        <f ca="1">SUMIFS(rec.uni[2023-01-01],
INDIRECT("rec.uni[natureza]"),"pro.soluto",
INDIRECT("rec.uni[empresa]"),C$6)</f>
        <v>0</v>
      </c>
      <c r="D27" s="49">
        <f ca="1">SUMIFS(rec.uni[2023-01-01],
INDIRECT("rec.uni[natureza]"),"repasse.cef.obra",
INDIRECT("rec.uni[empresa]"),D$6)</f>
        <v>0</v>
      </c>
      <c r="E27" s="49">
        <f ca="1">SUMIFS(rec.uni[2023-01-01],
INDIRECT("rec.uni[natureza]"),"repasse.cef.terreno",
INDIRECT("rec.uni[empresa]"),E$6)</f>
        <v>0</v>
      </c>
      <c r="F27" s="49">
        <v>0</v>
      </c>
      <c r="G27" s="49">
        <f ca="1">SUMIFS(rec.uni[2023-01-01],
INDIRECT("rec.uni[natureza]"),"taxa.extra",
INDIRECT("rec.uni[empresa]"),G$6)</f>
        <v>0</v>
      </c>
      <c r="H27" s="50"/>
      <c r="I27" s="48">
        <f>COUNTIFS(
    estq[empresa], I$6,
    estq[Data da venda / reserva], "&gt;=" &amp; $A27,
    estq[Data da venda / reserva], "&lt;"  &amp; EOMONTH($A27,0) + 1
)</f>
        <v>0</v>
      </c>
      <c r="J27" s="49">
        <f ca="1">SUMIFS(rec.uni[2023-01-01],
INDIRECT("rec.uni[natureza]"),"pro.soluto",
INDIRECT("rec.uni[empresa]"),J$6)</f>
        <v>0</v>
      </c>
      <c r="K27" s="49">
        <f ca="1">SUMIFS(rec.uni[2023-01-01],
INDIRECT("rec.uni[natureza]"),"repasse.cef.obra",
INDIRECT("rec.uni[empresa]"),K$6)</f>
        <v>0</v>
      </c>
      <c r="L27" s="49">
        <f ca="1">SUMIFS(rec.uni[2023-01-01],
INDIRECT("rec.uni[natureza]"),"repasse.cef.terreno",
INDIRECT("rec.uni[empresa]"),L$6)</f>
        <v>0</v>
      </c>
      <c r="M27" s="49">
        <v>0</v>
      </c>
      <c r="N27" s="49">
        <f ca="1">SUMIFS(rec.uni[2023-01-01],
INDIRECT("rec.uni[natureza]"),"taxa.extra",
INDIRECT("rec.uni[empresa]"),N$6)</f>
        <v>0</v>
      </c>
      <c r="O27" s="50"/>
      <c r="P27" s="48">
        <f>COUNTIFS(
    estq[empresa], P$6,
    estq[Data da venda / reserva], "&gt;=" &amp; $A27,
    estq[Data da venda / reserva], "&lt;"  &amp; EOMONTH($A27,0) + 1
)</f>
        <v>0</v>
      </c>
      <c r="Q27" s="49">
        <f ca="1">SUMIFS(rec.uni[2023-01-01],
INDIRECT("rec.uni[natureza]"),"pro.soluto",
INDIRECT("rec.uni[empresa]"),Q$6)</f>
        <v>0</v>
      </c>
      <c r="R27" s="49">
        <f ca="1">SUMIFS(rec.uni[2023-01-01],
INDIRECT("rec.uni[natureza]"),"repasse.cef.obra",
INDIRECT("rec.uni[empresa]"),R$6)</f>
        <v>0</v>
      </c>
      <c r="S27" s="49">
        <f ca="1">SUMIFS(rec.uni[2023-01-01],
INDIRECT("rec.uni[natureza]"),"repasse.cef.terreno",
INDIRECT("rec.uni[empresa]"),S$6)</f>
        <v>0</v>
      </c>
      <c r="T27" s="49">
        <v>0</v>
      </c>
      <c r="U27" s="49">
        <f ca="1">SUMIFS(rec.uni[2023-01-01],
INDIRECT("rec.uni[natureza]"),"taxa.extra",
INDIRECT("rec.uni[empresa]"),U$6)</f>
        <v>0</v>
      </c>
      <c r="V27" s="50"/>
      <c r="W27" s="48">
        <f>COUNTIFS(
    estq[empresa], W$6,
    estq[Data da venda / reserva], "&gt;=" &amp; $A27,
    estq[Data da venda / reserva], "&lt;"  &amp; EOMONTH($A27,0) + 1
)</f>
        <v>0</v>
      </c>
      <c r="X27" s="49">
        <f ca="1">SUMIFS(rec.uni[2023-01-01],
INDIRECT("rec.uni[natureza]"),"pro.soluto",
INDIRECT("rec.uni[empresa]"),X$6)</f>
        <v>0</v>
      </c>
      <c r="Y27" s="49">
        <f ca="1">SUMIFS(rec.uni[2023-01-01],
INDIRECT("rec.uni[natureza]"),"taxa.extra",
INDIRECT("rec.uni[empresa]"),Y$6)</f>
        <v>0</v>
      </c>
      <c r="Z27" s="50"/>
      <c r="AA27" s="48">
        <f>COUNTIFS(
    estq[empresa], AA$6,
    estq[Data da venda / reserva], "&gt;=" &amp; $A27,
    estq[Data da venda / reserva], "&lt;"  &amp; EOMONTH($A27,0) + 1
)</f>
        <v>0</v>
      </c>
      <c r="AB27" s="49">
        <f ca="1">SUMIFS(rec.uni[2023-01-01],
INDIRECT("rec.uni[natureza]"),"pro.soluto",
INDIRECT("rec.uni[empresa]"),AB$6)</f>
        <v>0</v>
      </c>
      <c r="AC27" s="38">
        <f ca="1">SUMIFS(rec.uni[2023-01-01],
INDIRECT("rec.uni[natureza]"),"parcela.fin.total.ik",
INDIRECT("rec.uni[empresa]"),AC$6)</f>
        <v>0</v>
      </c>
      <c r="AD27" s="49">
        <f ca="1">SUMIFS(rec.uni[2023-01-01],
INDIRECT("rec.uni[natureza]"),"taxa.extra",
INDIRECT("rec.uni[empresa]"),AD$6)</f>
        <v>0</v>
      </c>
      <c r="AE27" s="50"/>
      <c r="AF27" s="48">
        <f>COUNTIFS(
    estq[empresa], AF$6,
    estq[Data da venda / reserva], "&gt;=" &amp; $A27,
    estq[Data da venda / reserva], "&lt;"  &amp; EOMONTH($A27,0) + 1
)</f>
        <v>0</v>
      </c>
      <c r="AG27" s="49">
        <f ca="1">SUMIFS(rec.uni[2023-01-01],
INDIRECT("rec.uni[natureza]"),"pro.soluto",
INDIRECT("rec.uni[empresa]"),AG$6)</f>
        <v>0</v>
      </c>
      <c r="AH27" s="49">
        <f ca="1">SUMIFS(rec.uni[2023-01-01],
INDIRECT("rec.uni[natureza]"),"repasse.cef.obra",
INDIRECT("rec.uni[empresa]"),AH$6)</f>
        <v>0</v>
      </c>
      <c r="AI27" s="49">
        <f ca="1">SUMIFS(rec.uni[2023-01-01],
INDIRECT("rec.uni[natureza]"),"repasse.cef.terreno",
INDIRECT("rec.uni[empresa]"),AI$6)</f>
        <v>0</v>
      </c>
      <c r="AJ27" s="49">
        <v>0</v>
      </c>
      <c r="AK27" s="49">
        <f ca="1">SUMIFS(rec.uni[2023-01-01],
INDIRECT("rec.uni[natureza]"),"taxa.extra",
INDIRECT("rec.uni[empresa]"),AK$6)</f>
        <v>0</v>
      </c>
      <c r="AL27" s="50"/>
      <c r="AM27" s="48">
        <f>COUNTIFS(
    estq[empresa], AM$6,
    estq[Data da venda / reserva], "&gt;=" &amp; $A27,
    estq[Data da venda / reserva], "&lt;"  &amp; EOMONTH($A27,0) + 1
)</f>
        <v>0</v>
      </c>
      <c r="AN27" s="49">
        <f ca="1">SUMIFS(rec.uni[2023-01-01],
INDIRECT("rec.uni[natureza]"),"pro.soluto",
INDIRECT("rec.uni[empresa]"),AN$6)</f>
        <v>0</v>
      </c>
      <c r="AO27" s="49">
        <f ca="1">SUMIFS(rec.uni[2023-01-01],
INDIRECT("rec.uni[natureza]"),"taxa.extra",
INDIRECT("rec.uni[empresa]"),AO$6)</f>
        <v>0</v>
      </c>
      <c r="AP27" s="50"/>
    </row>
    <row r="28" spans="1:42" x14ac:dyDescent="0.25">
      <c r="A28" s="47">
        <v>44958</v>
      </c>
      <c r="B28" s="48">
        <f>COUNTIFS(
    estq[empresa], B$6,
    estq[Data da venda / reserva], "&gt;=" &amp; $A28,
    estq[Data da venda / reserva], "&lt;"  &amp; EOMONTH($A28,0) + 1
)</f>
        <v>0</v>
      </c>
      <c r="C28" s="49">
        <f ca="1">SUMIFS(rec.uni[2023-02-01],
INDIRECT("rec.uni[natureza]"),"pro.soluto",
INDIRECT("rec.uni[empresa]"),C$6)</f>
        <v>0</v>
      </c>
      <c r="D28" s="49">
        <f ca="1">SUMIFS(rec.uni[2023-02-01],
INDIRECT("rec.uni[natureza]"),"repasse.cef.obra",
INDIRECT("rec.uni[empresa]"),D$6)</f>
        <v>0</v>
      </c>
      <c r="E28" s="49">
        <f ca="1">SUMIFS(rec.uni[2023-02-01],
INDIRECT("rec.uni[natureza]"),"repasse.cef.terreno",
INDIRECT("rec.uni[empresa]"),E$6)</f>
        <v>0</v>
      </c>
      <c r="F28" s="49">
        <v>0</v>
      </c>
      <c r="G28" s="49">
        <f ca="1">SUMIFS(rec.uni[2023-02-01],
INDIRECT("rec.uni[natureza]"),"taxa.extra",
INDIRECT("rec.uni[empresa]"),G$6)</f>
        <v>0</v>
      </c>
      <c r="H28" s="50"/>
      <c r="I28" s="48">
        <f>COUNTIFS(
    estq[empresa], I$6,
    estq[Data da venda / reserva], "&gt;=" &amp; $A28,
    estq[Data da venda / reserva], "&lt;"  &amp; EOMONTH($A28,0) + 1
)</f>
        <v>0</v>
      </c>
      <c r="J28" s="49">
        <f ca="1">SUMIFS(rec.uni[2023-02-01],
INDIRECT("rec.uni[natureza]"),"pro.soluto",
INDIRECT("rec.uni[empresa]"),J$6)</f>
        <v>0</v>
      </c>
      <c r="K28" s="49">
        <f ca="1">SUMIFS(rec.uni[2023-02-01],
INDIRECT("rec.uni[natureza]"),"repasse.cef.obra",
INDIRECT("rec.uni[empresa]"),K$6)</f>
        <v>0</v>
      </c>
      <c r="L28" s="49">
        <f ca="1">SUMIFS(rec.uni[2023-02-01],
INDIRECT("rec.uni[natureza]"),"repasse.cef.terreno",
INDIRECT("rec.uni[empresa]"),L$6)</f>
        <v>0</v>
      </c>
      <c r="M28" s="49">
        <v>0</v>
      </c>
      <c r="N28" s="49">
        <f ca="1">SUMIFS(rec.uni[2023-02-01],
INDIRECT("rec.uni[natureza]"),"taxa.extra",
INDIRECT("rec.uni[empresa]"),N$6)</f>
        <v>0</v>
      </c>
      <c r="O28" s="50"/>
      <c r="P28" s="48">
        <f>COUNTIFS(
    estq[empresa], P$6,
    estq[Data da venda / reserva], "&gt;=" &amp; $A28,
    estq[Data da venda / reserva], "&lt;"  &amp; EOMONTH($A28,0) + 1
)</f>
        <v>0</v>
      </c>
      <c r="Q28" s="49">
        <f ca="1">SUMIFS(rec.uni[2023-02-01],
INDIRECT("rec.uni[natureza]"),"pro.soluto",
INDIRECT("rec.uni[empresa]"),Q$6)</f>
        <v>0</v>
      </c>
      <c r="R28" s="49">
        <f ca="1">SUMIFS(rec.uni[2023-02-01],
INDIRECT("rec.uni[natureza]"),"repasse.cef.obra",
INDIRECT("rec.uni[empresa]"),R$6)</f>
        <v>0</v>
      </c>
      <c r="S28" s="49">
        <f ca="1">SUMIFS(rec.uni[2023-02-01],
INDIRECT("rec.uni[natureza]"),"repasse.cef.terreno",
INDIRECT("rec.uni[empresa]"),S$6)</f>
        <v>0</v>
      </c>
      <c r="T28" s="49">
        <v>0</v>
      </c>
      <c r="U28" s="49">
        <f ca="1">SUMIFS(rec.uni[2023-02-01],
INDIRECT("rec.uni[natureza]"),"taxa.extra",
INDIRECT("rec.uni[empresa]"),U$6)</f>
        <v>0</v>
      </c>
      <c r="V28" s="50"/>
      <c r="W28" s="48">
        <f>COUNTIFS(
    estq[empresa], W$6,
    estq[Data da venda / reserva], "&gt;=" &amp; $A28,
    estq[Data da venda / reserva], "&lt;"  &amp; EOMONTH($A28,0) + 1
)</f>
        <v>0</v>
      </c>
      <c r="X28" s="49">
        <f ca="1">SUMIFS(rec.uni[2023-02-01],
INDIRECT("rec.uni[natureza]"),"pro.soluto",
INDIRECT("rec.uni[empresa]"),X$6)</f>
        <v>0</v>
      </c>
      <c r="Y28" s="49">
        <f ca="1">SUMIFS(rec.uni[2023-02-01],
INDIRECT("rec.uni[natureza]"),"taxa.extra",
INDIRECT("rec.uni[empresa]"),Y$6)</f>
        <v>0</v>
      </c>
      <c r="Z28" s="50"/>
      <c r="AA28" s="48">
        <f>COUNTIFS(
    estq[empresa], AA$6,
    estq[Data da venda / reserva], "&gt;=" &amp; $A28,
    estq[Data da venda / reserva], "&lt;"  &amp; EOMONTH($A28,0) + 1
)</f>
        <v>0</v>
      </c>
      <c r="AB28" s="49">
        <f ca="1">SUMIFS(rec.uni[2023-02-01],
INDIRECT("rec.uni[natureza]"),"pro.soluto",
INDIRECT("rec.uni[empresa]"),AB$6)</f>
        <v>0</v>
      </c>
      <c r="AC28" s="38">
        <f ca="1">SUMIFS(rec.uni[2023-02-01],
INDIRECT("rec.uni[natureza]"),"parcela.fin.total.ik",
INDIRECT("rec.uni[empresa]"),AC$6)</f>
        <v>0</v>
      </c>
      <c r="AD28" s="49">
        <f ca="1">SUMIFS(rec.uni[2023-02-01],
INDIRECT("rec.uni[natureza]"),"taxa.extra",
INDIRECT("rec.uni[empresa]"),AD$6)</f>
        <v>0</v>
      </c>
      <c r="AE28" s="50"/>
      <c r="AF28" s="48">
        <f>COUNTIFS(
    estq[empresa], AF$6,
    estq[Data da venda / reserva], "&gt;=" &amp; $A28,
    estq[Data da venda / reserva], "&lt;"  &amp; EOMONTH($A28,0) + 1
)</f>
        <v>0</v>
      </c>
      <c r="AG28" s="49">
        <f ca="1">SUMIFS(rec.uni[2023-02-01],
INDIRECT("rec.uni[natureza]"),"pro.soluto",
INDIRECT("rec.uni[empresa]"),AG$6)</f>
        <v>0</v>
      </c>
      <c r="AH28" s="49">
        <f ca="1">SUMIFS(rec.uni[2023-02-01],
INDIRECT("rec.uni[natureza]"),"repasse.cef.obra",
INDIRECT("rec.uni[empresa]"),AH$6)</f>
        <v>0</v>
      </c>
      <c r="AI28" s="49">
        <f ca="1">SUMIFS(rec.uni[2023-02-01],
INDIRECT("rec.uni[natureza]"),"repasse.cef.terreno",
INDIRECT("rec.uni[empresa]"),AI$6)</f>
        <v>0</v>
      </c>
      <c r="AJ28" s="49">
        <v>0</v>
      </c>
      <c r="AK28" s="49">
        <f ca="1">SUMIFS(rec.uni[2023-02-01],
INDIRECT("rec.uni[natureza]"),"taxa.extra",
INDIRECT("rec.uni[empresa]"),AK$6)</f>
        <v>0</v>
      </c>
      <c r="AL28" s="50"/>
      <c r="AM28" s="48">
        <f>COUNTIFS(
    estq[empresa], AM$6,
    estq[Data da venda / reserva], "&gt;=" &amp; $A28,
    estq[Data da venda / reserva], "&lt;"  &amp; EOMONTH($A28,0) + 1
)</f>
        <v>0</v>
      </c>
      <c r="AN28" s="49">
        <f ca="1">SUMIFS(rec.uni[2023-02-01],
INDIRECT("rec.uni[natureza]"),"pro.soluto",
INDIRECT("rec.uni[empresa]"),AN$6)</f>
        <v>0</v>
      </c>
      <c r="AO28" s="49">
        <f ca="1">SUMIFS(rec.uni[2023-02-01],
INDIRECT("rec.uni[natureza]"),"taxa.extra",
INDIRECT("rec.uni[empresa]"),AO$6)</f>
        <v>0</v>
      </c>
      <c r="AP28" s="50"/>
    </row>
    <row r="29" spans="1:42" x14ac:dyDescent="0.25">
      <c r="A29" s="47">
        <v>44986</v>
      </c>
      <c r="B29" s="48">
        <f>COUNTIFS(
    estq[empresa], B$6,
    estq[Data da venda / reserva], "&gt;=" &amp; $A29,
    estq[Data da venda / reserva], "&lt;"  &amp; EOMONTH($A29,0) + 1
)</f>
        <v>0</v>
      </c>
      <c r="C29" s="49">
        <f ca="1">SUMIFS(rec.uni[2023-03-01],
INDIRECT("rec.uni[natureza]"),"pro.soluto",
INDIRECT("rec.uni[empresa]"),C$6)</f>
        <v>0</v>
      </c>
      <c r="D29" s="49">
        <f ca="1">SUMIFS(rec.uni[2023-03-01],
INDIRECT("rec.uni[natureza]"),"repasse.cef.obra",
INDIRECT("rec.uni[empresa]"),D$6)</f>
        <v>0</v>
      </c>
      <c r="E29" s="49">
        <f ca="1">SUMIFS(rec.uni[2023-03-01],
INDIRECT("rec.uni[natureza]"),"repasse.cef.terreno",
INDIRECT("rec.uni[empresa]"),E$6)</f>
        <v>0</v>
      </c>
      <c r="F29" s="49">
        <v>0</v>
      </c>
      <c r="G29" s="49">
        <f ca="1">SUMIFS(rec.uni[2023-03-01],
INDIRECT("rec.uni[natureza]"),"taxa.extra",
INDIRECT("rec.uni[empresa]"),G$6)</f>
        <v>0</v>
      </c>
      <c r="H29" s="50"/>
      <c r="I29" s="48">
        <f>COUNTIFS(
    estq[empresa], I$6,
    estq[Data da venda / reserva], "&gt;=" &amp; $A29,
    estq[Data da venda / reserva], "&lt;"  &amp; EOMONTH($A29,0) + 1
)</f>
        <v>0</v>
      </c>
      <c r="J29" s="49">
        <f ca="1">SUMIFS(rec.uni[2023-03-01],
INDIRECT("rec.uni[natureza]"),"pro.soluto",
INDIRECT("rec.uni[empresa]"),J$6)</f>
        <v>0</v>
      </c>
      <c r="K29" s="49">
        <f ca="1">SUMIFS(rec.uni[2023-03-01],
INDIRECT("rec.uni[natureza]"),"repasse.cef.obra",
INDIRECT("rec.uni[empresa]"),K$6)</f>
        <v>0</v>
      </c>
      <c r="L29" s="49">
        <f ca="1">SUMIFS(rec.uni[2023-03-01],
INDIRECT("rec.uni[natureza]"),"repasse.cef.terreno",
INDIRECT("rec.uni[empresa]"),L$6)</f>
        <v>0</v>
      </c>
      <c r="M29" s="49">
        <v>0</v>
      </c>
      <c r="N29" s="49">
        <f ca="1">SUMIFS(rec.uni[2023-03-01],
INDIRECT("rec.uni[natureza]"),"taxa.extra",
INDIRECT("rec.uni[empresa]"),N$6)</f>
        <v>0</v>
      </c>
      <c r="O29" s="50"/>
      <c r="P29" s="48">
        <f>COUNTIFS(
    estq[empresa], P$6,
    estq[Data da venda / reserva], "&gt;=" &amp; $A29,
    estq[Data da venda / reserva], "&lt;"  &amp; EOMONTH($A29,0) + 1
)</f>
        <v>0</v>
      </c>
      <c r="Q29" s="49">
        <f ca="1">SUMIFS(rec.uni[2023-03-01],
INDIRECT("rec.uni[natureza]"),"pro.soluto",
INDIRECT("rec.uni[empresa]"),Q$6)</f>
        <v>0</v>
      </c>
      <c r="R29" s="49">
        <f ca="1">SUMIFS(rec.uni[2023-03-01],
INDIRECT("rec.uni[natureza]"),"repasse.cef.obra",
INDIRECT("rec.uni[empresa]"),R$6)</f>
        <v>0</v>
      </c>
      <c r="S29" s="49">
        <f ca="1">SUMIFS(rec.uni[2023-03-01],
INDIRECT("rec.uni[natureza]"),"repasse.cef.terreno",
INDIRECT("rec.uni[empresa]"),S$6)</f>
        <v>0</v>
      </c>
      <c r="T29" s="49">
        <v>0</v>
      </c>
      <c r="U29" s="49">
        <f ca="1">SUMIFS(rec.uni[2023-03-01],
INDIRECT("rec.uni[natureza]"),"taxa.extra",
INDIRECT("rec.uni[empresa]"),U$6)</f>
        <v>0</v>
      </c>
      <c r="V29" s="50"/>
      <c r="W29" s="48">
        <f>COUNTIFS(
    estq[empresa], W$6,
    estq[Data da venda / reserva], "&gt;=" &amp; $A29,
    estq[Data da venda / reserva], "&lt;"  &amp; EOMONTH($A29,0) + 1
)</f>
        <v>0</v>
      </c>
      <c r="X29" s="49">
        <f ca="1">SUMIFS(rec.uni[2023-03-01],
INDIRECT("rec.uni[natureza]"),"pro.soluto",
INDIRECT("rec.uni[empresa]"),X$6)</f>
        <v>0</v>
      </c>
      <c r="Y29" s="49">
        <f ca="1">SUMIFS(rec.uni[2023-03-01],
INDIRECT("rec.uni[natureza]"),"taxa.extra",
INDIRECT("rec.uni[empresa]"),Y$6)</f>
        <v>0</v>
      </c>
      <c r="Z29" s="50"/>
      <c r="AA29" s="48">
        <f>COUNTIFS(
    estq[empresa], AA$6,
    estq[Data da venda / reserva], "&gt;=" &amp; $A29,
    estq[Data da venda / reserva], "&lt;"  &amp; EOMONTH($A29,0) + 1
)</f>
        <v>0</v>
      </c>
      <c r="AB29" s="49">
        <f ca="1">SUMIFS(rec.uni[2023-03-01],
INDIRECT("rec.uni[natureza]"),"pro.soluto",
INDIRECT("rec.uni[empresa]"),AB$6)</f>
        <v>0</v>
      </c>
      <c r="AC29" s="38">
        <f ca="1">SUMIFS(rec.uni[2023-03-01],
INDIRECT("rec.uni[natureza]"),"parcela.fin.total.ik",
INDIRECT("rec.uni[empresa]"),AC$6)</f>
        <v>0</v>
      </c>
      <c r="AD29" s="49">
        <f ca="1">SUMIFS(rec.uni[2023-03-01],
INDIRECT("rec.uni[natureza]"),"taxa.extra",
INDIRECT("rec.uni[empresa]"),AD$6)</f>
        <v>0</v>
      </c>
      <c r="AE29" s="50"/>
      <c r="AF29" s="48">
        <f>COUNTIFS(
    estq[empresa], AF$6,
    estq[Data da venda / reserva], "&gt;=" &amp; $A29,
    estq[Data da venda / reserva], "&lt;"  &amp; EOMONTH($A29,0) + 1
)</f>
        <v>0</v>
      </c>
      <c r="AG29" s="49">
        <f ca="1">SUMIFS(rec.uni[2023-03-01],
INDIRECT("rec.uni[natureza]"),"pro.soluto",
INDIRECT("rec.uni[empresa]"),AG$6)</f>
        <v>0</v>
      </c>
      <c r="AH29" s="49">
        <f ca="1">SUMIFS(rec.uni[2023-03-01],
INDIRECT("rec.uni[natureza]"),"repasse.cef.obra",
INDIRECT("rec.uni[empresa]"),AH$6)</f>
        <v>0</v>
      </c>
      <c r="AI29" s="49">
        <f ca="1">SUMIFS(rec.uni[2023-03-01],
INDIRECT("rec.uni[natureza]"),"repasse.cef.terreno",
INDIRECT("rec.uni[empresa]"),AI$6)</f>
        <v>0</v>
      </c>
      <c r="AJ29" s="49">
        <v>0</v>
      </c>
      <c r="AK29" s="49">
        <f ca="1">SUMIFS(rec.uni[2023-03-01],
INDIRECT("rec.uni[natureza]"),"taxa.extra",
INDIRECT("rec.uni[empresa]"),AK$6)</f>
        <v>0</v>
      </c>
      <c r="AL29" s="50"/>
      <c r="AM29" s="48">
        <f>COUNTIFS(
    estq[empresa], AM$6,
    estq[Data da venda / reserva], "&gt;=" &amp; $A29,
    estq[Data da venda / reserva], "&lt;"  &amp; EOMONTH($A29,0) + 1
)</f>
        <v>0</v>
      </c>
      <c r="AN29" s="49">
        <f ca="1">SUMIFS(rec.uni[2023-03-01],
INDIRECT("rec.uni[natureza]"),"pro.soluto",
INDIRECT("rec.uni[empresa]"),AN$6)</f>
        <v>0</v>
      </c>
      <c r="AO29" s="49">
        <f ca="1">SUMIFS(rec.uni[2023-03-01],
INDIRECT("rec.uni[natureza]"),"taxa.extra",
INDIRECT("rec.uni[empresa]"),AO$6)</f>
        <v>0</v>
      </c>
      <c r="AP29" s="50"/>
    </row>
    <row r="30" spans="1:42" x14ac:dyDescent="0.25">
      <c r="A30" s="47">
        <v>45017</v>
      </c>
      <c r="B30" s="48">
        <f>COUNTIFS(
    estq[empresa], B$6,
    estq[Data da venda / reserva], "&gt;=" &amp; $A30,
    estq[Data da venda / reserva], "&lt;"  &amp; EOMONTH($A30,0) + 1
)</f>
        <v>0</v>
      </c>
      <c r="C30" s="49">
        <f ca="1">SUMIFS(rec.uni[2023-04-01],
INDIRECT("rec.uni[natureza]"),"pro.soluto",
INDIRECT("rec.uni[empresa]"),C$6)</f>
        <v>0</v>
      </c>
      <c r="D30" s="49">
        <f ca="1">SUMIFS(rec.uni[2023-04-01],
INDIRECT("rec.uni[natureza]"),"repasse.cef.obra",
INDIRECT("rec.uni[empresa]"),D$6)</f>
        <v>0</v>
      </c>
      <c r="E30" s="49">
        <f ca="1">SUMIFS(rec.uni[2023-04-01],
INDIRECT("rec.uni[natureza]"),"repasse.cef.terreno",
INDIRECT("rec.uni[empresa]"),E$6)</f>
        <v>0</v>
      </c>
      <c r="F30" s="49">
        <v>0</v>
      </c>
      <c r="G30" s="49">
        <f ca="1">SUMIFS(rec.uni[2023-04-01],
INDIRECT("rec.uni[natureza]"),"taxa.extra",
INDIRECT("rec.uni[empresa]"),G$6)</f>
        <v>0</v>
      </c>
      <c r="H30" s="50"/>
      <c r="I30" s="48">
        <f>COUNTIFS(
    estq[empresa], I$6,
    estq[Data da venda / reserva], "&gt;=" &amp; $A30,
    estq[Data da venda / reserva], "&lt;"  &amp; EOMONTH($A30,0) + 1
)</f>
        <v>0</v>
      </c>
      <c r="J30" s="49">
        <f ca="1">SUMIFS(rec.uni[2023-04-01],
INDIRECT("rec.uni[natureza]"),"pro.soluto",
INDIRECT("rec.uni[empresa]"),J$6)</f>
        <v>0</v>
      </c>
      <c r="K30" s="49">
        <f ca="1">SUMIFS(rec.uni[2023-04-01],
INDIRECT("rec.uni[natureza]"),"repasse.cef.obra",
INDIRECT("rec.uni[empresa]"),K$6)</f>
        <v>0</v>
      </c>
      <c r="L30" s="49">
        <f ca="1">SUMIFS(rec.uni[2023-04-01],
INDIRECT("rec.uni[natureza]"),"repasse.cef.terreno",
INDIRECT("rec.uni[empresa]"),L$6)</f>
        <v>0</v>
      </c>
      <c r="M30" s="49">
        <v>0</v>
      </c>
      <c r="N30" s="49">
        <f ca="1">SUMIFS(rec.uni[2023-04-01],
INDIRECT("rec.uni[natureza]"),"taxa.extra",
INDIRECT("rec.uni[empresa]"),N$6)</f>
        <v>0</v>
      </c>
      <c r="O30" s="50"/>
      <c r="P30" s="48">
        <f>COUNTIFS(
    estq[empresa], P$6,
    estq[Data da venda / reserva], "&gt;=" &amp; $A30,
    estq[Data da venda / reserva], "&lt;"  &amp; EOMONTH($A30,0) + 1
)</f>
        <v>0</v>
      </c>
      <c r="Q30" s="49">
        <f ca="1">SUMIFS(rec.uni[2023-04-01],
INDIRECT("rec.uni[natureza]"),"pro.soluto",
INDIRECT("rec.uni[empresa]"),Q$6)</f>
        <v>0</v>
      </c>
      <c r="R30" s="49">
        <f ca="1">SUMIFS(rec.uni[2023-04-01],
INDIRECT("rec.uni[natureza]"),"repasse.cef.obra",
INDIRECT("rec.uni[empresa]"),R$6)</f>
        <v>0</v>
      </c>
      <c r="S30" s="49">
        <f ca="1">SUMIFS(rec.uni[2023-04-01],
INDIRECT("rec.uni[natureza]"),"repasse.cef.terreno",
INDIRECT("rec.uni[empresa]"),S$6)</f>
        <v>0</v>
      </c>
      <c r="T30" s="49">
        <v>0</v>
      </c>
      <c r="U30" s="49">
        <f ca="1">SUMIFS(rec.uni[2023-04-01],
INDIRECT("rec.uni[natureza]"),"taxa.extra",
INDIRECT("rec.uni[empresa]"),U$6)</f>
        <v>0</v>
      </c>
      <c r="V30" s="50"/>
      <c r="W30" s="48">
        <f>COUNTIFS(
    estq[empresa], W$6,
    estq[Data da venda / reserva], "&gt;=" &amp; $A30,
    estq[Data da venda / reserva], "&lt;"  &amp; EOMONTH($A30,0) + 1
)</f>
        <v>0</v>
      </c>
      <c r="X30" s="49">
        <f ca="1">SUMIFS(rec.uni[2023-04-01],
INDIRECT("rec.uni[natureza]"),"pro.soluto",
INDIRECT("rec.uni[empresa]"),X$6)</f>
        <v>0</v>
      </c>
      <c r="Y30" s="49">
        <f ca="1">SUMIFS(rec.uni[2023-04-01],
INDIRECT("rec.uni[natureza]"),"taxa.extra",
INDIRECT("rec.uni[empresa]"),Y$6)</f>
        <v>0</v>
      </c>
      <c r="Z30" s="50"/>
      <c r="AA30" s="48">
        <f>COUNTIFS(
    estq[empresa], AA$6,
    estq[Data da venda / reserva], "&gt;=" &amp; $A30,
    estq[Data da venda / reserva], "&lt;"  &amp; EOMONTH($A30,0) + 1
)</f>
        <v>0</v>
      </c>
      <c r="AB30" s="49">
        <f ca="1">SUMIFS(rec.uni[2023-04-01],
INDIRECT("rec.uni[natureza]"),"pro.soluto",
INDIRECT("rec.uni[empresa]"),AB$6)</f>
        <v>0</v>
      </c>
      <c r="AC30" s="38">
        <f ca="1">SUMIFS(rec.uni[2023-04-01],
INDIRECT("rec.uni[natureza]"),"parcela.fin.total.ik",
INDIRECT("rec.uni[empresa]"),AC$6)</f>
        <v>0</v>
      </c>
      <c r="AD30" s="49">
        <f ca="1">SUMIFS(rec.uni[2023-04-01],
INDIRECT("rec.uni[natureza]"),"taxa.extra",
INDIRECT("rec.uni[empresa]"),AD$6)</f>
        <v>0</v>
      </c>
      <c r="AE30" s="50"/>
      <c r="AF30" s="48">
        <f>COUNTIFS(
    estq[empresa], AF$6,
    estq[Data da venda / reserva], "&gt;=" &amp; $A30,
    estq[Data da venda / reserva], "&lt;"  &amp; EOMONTH($A30,0) + 1
)</f>
        <v>0</v>
      </c>
      <c r="AG30" s="49">
        <f ca="1">SUMIFS(rec.uni[2023-04-01],
INDIRECT("rec.uni[natureza]"),"pro.soluto",
INDIRECT("rec.uni[empresa]"),AG$6)</f>
        <v>0</v>
      </c>
      <c r="AH30" s="49">
        <f ca="1">SUMIFS(rec.uni[2023-04-01],
INDIRECT("rec.uni[natureza]"),"repasse.cef.obra",
INDIRECT("rec.uni[empresa]"),AH$6)</f>
        <v>0</v>
      </c>
      <c r="AI30" s="49">
        <f ca="1">SUMIFS(rec.uni[2023-04-01],
INDIRECT("rec.uni[natureza]"),"repasse.cef.terreno",
INDIRECT("rec.uni[empresa]"),AI$6)</f>
        <v>0</v>
      </c>
      <c r="AJ30" s="49">
        <v>0</v>
      </c>
      <c r="AK30" s="49">
        <f ca="1">SUMIFS(rec.uni[2023-04-01],
INDIRECT("rec.uni[natureza]"),"taxa.extra",
INDIRECT("rec.uni[empresa]"),AK$6)</f>
        <v>0</v>
      </c>
      <c r="AL30" s="50"/>
      <c r="AM30" s="48">
        <f>COUNTIFS(
    estq[empresa], AM$6,
    estq[Data da venda / reserva], "&gt;=" &amp; $A30,
    estq[Data da venda / reserva], "&lt;"  &amp; EOMONTH($A30,0) + 1
)</f>
        <v>0</v>
      </c>
      <c r="AN30" s="49">
        <f ca="1">SUMIFS(rec.uni[2023-04-01],
INDIRECT("rec.uni[natureza]"),"pro.soluto",
INDIRECT("rec.uni[empresa]"),AN$6)</f>
        <v>0</v>
      </c>
      <c r="AO30" s="49">
        <f ca="1">SUMIFS(rec.uni[2023-04-01],
INDIRECT("rec.uni[natureza]"),"taxa.extra",
INDIRECT("rec.uni[empresa]"),AO$6)</f>
        <v>0</v>
      </c>
      <c r="AP30" s="50"/>
    </row>
    <row r="31" spans="1:42" x14ac:dyDescent="0.25">
      <c r="A31" s="47">
        <v>45047</v>
      </c>
      <c r="B31" s="48">
        <f>COUNTIFS(
    estq[empresa], B$6,
    estq[Data da venda / reserva], "&gt;=" &amp; $A31,
    estq[Data da venda / reserva], "&lt;"  &amp; EOMONTH($A31,0) + 1
)</f>
        <v>0</v>
      </c>
      <c r="C31" s="49">
        <f ca="1">SUMIFS(rec.uni[2023-05-01],
INDIRECT("rec.uni[natureza]"),"pro.soluto",
INDIRECT("rec.uni[empresa]"),C$6)</f>
        <v>0</v>
      </c>
      <c r="D31" s="49">
        <f ca="1">SUMIFS(rec.uni[2023-05-01],
INDIRECT("rec.uni[natureza]"),"repasse.cef.obra",
INDIRECT("rec.uni[empresa]"),D$6)</f>
        <v>0</v>
      </c>
      <c r="E31" s="49">
        <f ca="1">SUMIFS(rec.uni[2023-05-01],
INDIRECT("rec.uni[natureza]"),"repasse.cef.terreno",
INDIRECT("rec.uni[empresa]"),E$6)</f>
        <v>0</v>
      </c>
      <c r="F31" s="49">
        <v>0</v>
      </c>
      <c r="G31" s="49">
        <f ca="1">SUMIFS(rec.uni[2023-05-01],
INDIRECT("rec.uni[natureza]"),"taxa.extra",
INDIRECT("rec.uni[empresa]"),G$6)</f>
        <v>0</v>
      </c>
      <c r="H31" s="50"/>
      <c r="I31" s="48">
        <f>COUNTIFS(
    estq[empresa], I$6,
    estq[Data da venda / reserva], "&gt;=" &amp; $A31,
    estq[Data da venda / reserva], "&lt;"  &amp; EOMONTH($A31,0) + 1
)</f>
        <v>0</v>
      </c>
      <c r="J31" s="49">
        <f ca="1">SUMIFS(rec.uni[2023-05-01],
INDIRECT("rec.uni[natureza]"),"pro.soluto",
INDIRECT("rec.uni[empresa]"),J$6)</f>
        <v>0</v>
      </c>
      <c r="K31" s="49">
        <f ca="1">SUMIFS(rec.uni[2023-05-01],
INDIRECT("rec.uni[natureza]"),"repasse.cef.obra",
INDIRECT("rec.uni[empresa]"),K$6)</f>
        <v>0</v>
      </c>
      <c r="L31" s="49">
        <f ca="1">SUMIFS(rec.uni[2023-05-01],
INDIRECT("rec.uni[natureza]"),"repasse.cef.terreno",
INDIRECT("rec.uni[empresa]"),L$6)</f>
        <v>0</v>
      </c>
      <c r="M31" s="49">
        <v>0</v>
      </c>
      <c r="N31" s="49">
        <f ca="1">SUMIFS(rec.uni[2023-05-01],
INDIRECT("rec.uni[natureza]"),"taxa.extra",
INDIRECT("rec.uni[empresa]"),N$6)</f>
        <v>0</v>
      </c>
      <c r="O31" s="50"/>
      <c r="P31" s="48">
        <f>COUNTIFS(
    estq[empresa], P$6,
    estq[Data da venda / reserva], "&gt;=" &amp; $A31,
    estq[Data da venda / reserva], "&lt;"  &amp; EOMONTH($A31,0) + 1
)</f>
        <v>0</v>
      </c>
      <c r="Q31" s="49">
        <f ca="1">SUMIFS(rec.uni[2023-05-01],
INDIRECT("rec.uni[natureza]"),"pro.soluto",
INDIRECT("rec.uni[empresa]"),Q$6)</f>
        <v>0</v>
      </c>
      <c r="R31" s="49">
        <f ca="1">SUMIFS(rec.uni[2023-05-01],
INDIRECT("rec.uni[natureza]"),"repasse.cef.obra",
INDIRECT("rec.uni[empresa]"),R$6)</f>
        <v>0</v>
      </c>
      <c r="S31" s="49">
        <f ca="1">SUMIFS(rec.uni[2023-05-01],
INDIRECT("rec.uni[natureza]"),"repasse.cef.terreno",
INDIRECT("rec.uni[empresa]"),S$6)</f>
        <v>0</v>
      </c>
      <c r="T31" s="49">
        <v>0</v>
      </c>
      <c r="U31" s="49">
        <f ca="1">SUMIFS(rec.uni[2023-05-01],
INDIRECT("rec.uni[natureza]"),"taxa.extra",
INDIRECT("rec.uni[empresa]"),U$6)</f>
        <v>0</v>
      </c>
      <c r="V31" s="50"/>
      <c r="W31" s="48">
        <f>COUNTIFS(
    estq[empresa], W$6,
    estq[Data da venda / reserva], "&gt;=" &amp; $A31,
    estq[Data da venda / reserva], "&lt;"  &amp; EOMONTH($A31,0) + 1
)</f>
        <v>0</v>
      </c>
      <c r="X31" s="49">
        <f ca="1">SUMIFS(rec.uni[2023-05-01],
INDIRECT("rec.uni[natureza]"),"pro.soluto",
INDIRECT("rec.uni[empresa]"),X$6)</f>
        <v>0</v>
      </c>
      <c r="Y31" s="49">
        <f ca="1">SUMIFS(rec.uni[2023-05-01],
INDIRECT("rec.uni[natureza]"),"taxa.extra",
INDIRECT("rec.uni[empresa]"),Y$6)</f>
        <v>0</v>
      </c>
      <c r="Z31" s="50"/>
      <c r="AA31" s="48">
        <f>COUNTIFS(
    estq[empresa], AA$6,
    estq[Data da venda / reserva], "&gt;=" &amp; $A31,
    estq[Data da venda / reserva], "&lt;"  &amp; EOMONTH($A31,0) + 1
)</f>
        <v>0</v>
      </c>
      <c r="AB31" s="49">
        <f ca="1">SUMIFS(rec.uni[2023-05-01],
INDIRECT("rec.uni[natureza]"),"pro.soluto",
INDIRECT("rec.uni[empresa]"),AB$6)</f>
        <v>0</v>
      </c>
      <c r="AC31" s="38">
        <f ca="1">SUMIFS(rec.uni[2023-05-01],
INDIRECT("rec.uni[natureza]"),"parcela.fin.total.ik",
INDIRECT("rec.uni[empresa]"),AC$6)</f>
        <v>0</v>
      </c>
      <c r="AD31" s="49">
        <f ca="1">SUMIFS(rec.uni[2023-05-01],
INDIRECT("rec.uni[natureza]"),"taxa.extra",
INDIRECT("rec.uni[empresa]"),AD$6)</f>
        <v>0</v>
      </c>
      <c r="AE31" s="50"/>
      <c r="AF31" s="48">
        <f>COUNTIFS(
    estq[empresa], AF$6,
    estq[Data da venda / reserva], "&gt;=" &amp; $A31,
    estq[Data da venda / reserva], "&lt;"  &amp; EOMONTH($A31,0) + 1
)</f>
        <v>0</v>
      </c>
      <c r="AG31" s="49">
        <f ca="1">SUMIFS(rec.uni[2023-05-01],
INDIRECT("rec.uni[natureza]"),"pro.soluto",
INDIRECT("rec.uni[empresa]"),AG$6)</f>
        <v>0</v>
      </c>
      <c r="AH31" s="49">
        <f ca="1">SUMIFS(rec.uni[2023-05-01],
INDIRECT("rec.uni[natureza]"),"repasse.cef.obra",
INDIRECT("rec.uni[empresa]"),AH$6)</f>
        <v>0</v>
      </c>
      <c r="AI31" s="49">
        <f ca="1">SUMIFS(rec.uni[2023-05-01],
INDIRECT("rec.uni[natureza]"),"repasse.cef.terreno",
INDIRECT("rec.uni[empresa]"),AI$6)</f>
        <v>0</v>
      </c>
      <c r="AJ31" s="49">
        <v>0</v>
      </c>
      <c r="AK31" s="49">
        <f ca="1">SUMIFS(rec.uni[2023-05-01],
INDIRECT("rec.uni[natureza]"),"taxa.extra",
INDIRECT("rec.uni[empresa]"),AK$6)</f>
        <v>0</v>
      </c>
      <c r="AL31" s="50"/>
      <c r="AM31" s="48">
        <f>COUNTIFS(
    estq[empresa], AM$6,
    estq[Data da venda / reserva], "&gt;=" &amp; $A31,
    estq[Data da venda / reserva], "&lt;"  &amp; EOMONTH($A31,0) + 1
)</f>
        <v>0</v>
      </c>
      <c r="AN31" s="49">
        <f ca="1">SUMIFS(rec.uni[2023-05-01],
INDIRECT("rec.uni[natureza]"),"pro.soluto",
INDIRECT("rec.uni[empresa]"),AN$6)</f>
        <v>0</v>
      </c>
      <c r="AO31" s="49">
        <f ca="1">SUMIFS(rec.uni[2023-05-01],
INDIRECT("rec.uni[natureza]"),"taxa.extra",
INDIRECT("rec.uni[empresa]"),AO$6)</f>
        <v>0</v>
      </c>
      <c r="AP31" s="50"/>
    </row>
    <row r="32" spans="1:42" x14ac:dyDescent="0.25">
      <c r="A32" s="47">
        <v>45078</v>
      </c>
      <c r="B32" s="48">
        <f>COUNTIFS(
    estq[empresa], B$6,
    estq[Data da venda / reserva], "&gt;=" &amp; $A32,
    estq[Data da venda / reserva], "&lt;"  &amp; EOMONTH($A32,0) + 1
)</f>
        <v>0</v>
      </c>
      <c r="C32" s="49">
        <f ca="1">SUMIFS(rec.uni[2023-06-01],
INDIRECT("rec.uni[natureza]"),"pro.soluto",
INDIRECT("rec.uni[empresa]"),C$6)</f>
        <v>0</v>
      </c>
      <c r="D32" s="49">
        <f ca="1">SUMIFS(rec.uni[2023-06-01],
INDIRECT("rec.uni[natureza]"),"repasse.cef.obra",
INDIRECT("rec.uni[empresa]"),D$6)</f>
        <v>0</v>
      </c>
      <c r="E32" s="49">
        <f ca="1">SUMIFS(rec.uni[2023-06-01],
INDIRECT("rec.uni[natureza]"),"repasse.cef.terreno",
INDIRECT("rec.uni[empresa]"),E$6)</f>
        <v>0</v>
      </c>
      <c r="F32" s="49">
        <v>0</v>
      </c>
      <c r="G32" s="49">
        <f ca="1">SUMIFS(rec.uni[2023-06-01],
INDIRECT("rec.uni[natureza]"),"taxa.extra",
INDIRECT("rec.uni[empresa]"),G$6)</f>
        <v>0</v>
      </c>
      <c r="H32" s="50"/>
      <c r="I32" s="48">
        <f>COUNTIFS(
    estq[empresa], I$6,
    estq[Data da venda / reserva], "&gt;=" &amp; $A32,
    estq[Data da venda / reserva], "&lt;"  &amp; EOMONTH($A32,0) + 1
)</f>
        <v>0</v>
      </c>
      <c r="J32" s="49">
        <f ca="1">SUMIFS(rec.uni[2023-06-01],
INDIRECT("rec.uni[natureza]"),"pro.soluto",
INDIRECT("rec.uni[empresa]"),J$6)</f>
        <v>0</v>
      </c>
      <c r="K32" s="49">
        <f ca="1">SUMIFS(rec.uni[2023-06-01],
INDIRECT("rec.uni[natureza]"),"repasse.cef.obra",
INDIRECT("rec.uni[empresa]"),K$6)</f>
        <v>0</v>
      </c>
      <c r="L32" s="49">
        <f ca="1">SUMIFS(rec.uni[2023-06-01],
INDIRECT("rec.uni[natureza]"),"repasse.cef.terreno",
INDIRECT("rec.uni[empresa]"),L$6)</f>
        <v>0</v>
      </c>
      <c r="M32" s="49">
        <v>0</v>
      </c>
      <c r="N32" s="49">
        <f ca="1">SUMIFS(rec.uni[2023-06-01],
INDIRECT("rec.uni[natureza]"),"taxa.extra",
INDIRECT("rec.uni[empresa]"),N$6)</f>
        <v>0</v>
      </c>
      <c r="O32" s="50"/>
      <c r="P32" s="48">
        <f>COUNTIFS(
    estq[empresa], P$6,
    estq[Data da venda / reserva], "&gt;=" &amp; $A32,
    estq[Data da venda / reserva], "&lt;"  &amp; EOMONTH($A32,0) + 1
)</f>
        <v>0</v>
      </c>
      <c r="Q32" s="49">
        <f ca="1">SUMIFS(rec.uni[2023-06-01],
INDIRECT("rec.uni[natureza]"),"pro.soluto",
INDIRECT("rec.uni[empresa]"),Q$6)</f>
        <v>0</v>
      </c>
      <c r="R32" s="49">
        <f ca="1">SUMIFS(rec.uni[2023-06-01],
INDIRECT("rec.uni[natureza]"),"repasse.cef.obra",
INDIRECT("rec.uni[empresa]"),R$6)</f>
        <v>0</v>
      </c>
      <c r="S32" s="49">
        <f ca="1">SUMIFS(rec.uni[2023-06-01],
INDIRECT("rec.uni[natureza]"),"repasse.cef.terreno",
INDIRECT("rec.uni[empresa]"),S$6)</f>
        <v>0</v>
      </c>
      <c r="T32" s="49">
        <v>0</v>
      </c>
      <c r="U32" s="49">
        <f ca="1">SUMIFS(rec.uni[2023-06-01],
INDIRECT("rec.uni[natureza]"),"taxa.extra",
INDIRECT("rec.uni[empresa]"),U$6)</f>
        <v>0</v>
      </c>
      <c r="V32" s="50"/>
      <c r="W32" s="48">
        <f>COUNTIFS(
    estq[empresa], W$6,
    estq[Data da venda / reserva], "&gt;=" &amp; $A32,
    estq[Data da venda / reserva], "&lt;"  &amp; EOMONTH($A32,0) + 1
)</f>
        <v>0</v>
      </c>
      <c r="X32" s="49">
        <f ca="1">SUMIFS(rec.uni[2023-06-01],
INDIRECT("rec.uni[natureza]"),"pro.soluto",
INDIRECT("rec.uni[empresa]"),X$6)</f>
        <v>0</v>
      </c>
      <c r="Y32" s="49">
        <f ca="1">SUMIFS(rec.uni[2023-06-01],
INDIRECT("rec.uni[natureza]"),"taxa.extra",
INDIRECT("rec.uni[empresa]"),Y$6)</f>
        <v>0</v>
      </c>
      <c r="Z32" s="50"/>
      <c r="AA32" s="48">
        <f>COUNTIFS(
    estq[empresa], AA$6,
    estq[Data da venda / reserva], "&gt;=" &amp; $A32,
    estq[Data da venda / reserva], "&lt;"  &amp; EOMONTH($A32,0) + 1
)</f>
        <v>0</v>
      </c>
      <c r="AB32" s="49">
        <f ca="1">SUMIFS(rec.uni[2023-06-01],
INDIRECT("rec.uni[natureza]"),"pro.soluto",
INDIRECT("rec.uni[empresa]"),AB$6)</f>
        <v>0</v>
      </c>
      <c r="AC32" s="38">
        <f ca="1">SUMIFS(rec.uni[2023-06-01],
INDIRECT("rec.uni[natureza]"),"parcela.fin.total.ik",
INDIRECT("rec.uni[empresa]"),AC$6)</f>
        <v>0</v>
      </c>
      <c r="AD32" s="49">
        <f ca="1">SUMIFS(rec.uni[2023-06-01],
INDIRECT("rec.uni[natureza]"),"taxa.extra",
INDIRECT("rec.uni[empresa]"),AD$6)</f>
        <v>0</v>
      </c>
      <c r="AE32" s="50"/>
      <c r="AF32" s="48">
        <f>COUNTIFS(
    estq[empresa], AF$6,
    estq[Data da venda / reserva], "&gt;=" &amp; $A32,
    estq[Data da venda / reserva], "&lt;"  &amp; EOMONTH($A32,0) + 1
)</f>
        <v>0</v>
      </c>
      <c r="AG32" s="49">
        <f ca="1">SUMIFS(rec.uni[2023-06-01],
INDIRECT("rec.uni[natureza]"),"pro.soluto",
INDIRECT("rec.uni[empresa]"),AG$6)</f>
        <v>0</v>
      </c>
      <c r="AH32" s="49">
        <f ca="1">SUMIFS(rec.uni[2023-06-01],
INDIRECT("rec.uni[natureza]"),"repasse.cef.obra",
INDIRECT("rec.uni[empresa]"),AH$6)</f>
        <v>0</v>
      </c>
      <c r="AI32" s="49">
        <f ca="1">SUMIFS(rec.uni[2023-06-01],
INDIRECT("rec.uni[natureza]"),"repasse.cef.terreno",
INDIRECT("rec.uni[empresa]"),AI$6)</f>
        <v>0</v>
      </c>
      <c r="AJ32" s="49">
        <v>0</v>
      </c>
      <c r="AK32" s="49">
        <f ca="1">SUMIFS(rec.uni[2023-06-01],
INDIRECT("rec.uni[natureza]"),"taxa.extra",
INDIRECT("rec.uni[empresa]"),AK$6)</f>
        <v>0</v>
      </c>
      <c r="AL32" s="50"/>
      <c r="AM32" s="48">
        <f>COUNTIFS(
    estq[empresa], AM$6,
    estq[Data da venda / reserva], "&gt;=" &amp; $A32,
    estq[Data da venda / reserva], "&lt;"  &amp; EOMONTH($A32,0) + 1
)</f>
        <v>0</v>
      </c>
      <c r="AN32" s="49">
        <f ca="1">SUMIFS(rec.uni[2023-06-01],
INDIRECT("rec.uni[natureza]"),"pro.soluto",
INDIRECT("rec.uni[empresa]"),AN$6)</f>
        <v>0</v>
      </c>
      <c r="AO32" s="49">
        <f ca="1">SUMIFS(rec.uni[2023-06-01],
INDIRECT("rec.uni[natureza]"),"taxa.extra",
INDIRECT("rec.uni[empresa]"),AO$6)</f>
        <v>0</v>
      </c>
      <c r="AP32" s="50"/>
    </row>
    <row r="33" spans="1:42" x14ac:dyDescent="0.25">
      <c r="A33" s="47">
        <v>45108</v>
      </c>
      <c r="B33" s="48">
        <f>COUNTIFS(
    estq[empresa], B$6,
    estq[Data da venda / reserva], "&gt;=" &amp; $A33,
    estq[Data da venda / reserva], "&lt;"  &amp; EOMONTH($A33,0) + 1
)</f>
        <v>0</v>
      </c>
      <c r="C33" s="49">
        <f ca="1">SUMIFS(rec.uni[2023-07-01],
INDIRECT("rec.uni[natureza]"),"pro.soluto",
INDIRECT("rec.uni[empresa]"),C$6)</f>
        <v>0</v>
      </c>
      <c r="D33" s="49">
        <f ca="1">SUMIFS(rec.uni[2023-07-01],
INDIRECT("rec.uni[natureza]"),"repasse.cef.obra",
INDIRECT("rec.uni[empresa]"),D$6)</f>
        <v>0</v>
      </c>
      <c r="E33" s="49">
        <f ca="1">SUMIFS(rec.uni[2023-07-01],
INDIRECT("rec.uni[natureza]"),"repasse.cef.terreno",
INDIRECT("rec.uni[empresa]"),E$6)</f>
        <v>0</v>
      </c>
      <c r="F33" s="49">
        <v>0</v>
      </c>
      <c r="G33" s="49">
        <f ca="1">SUMIFS(rec.uni[2023-07-01],
INDIRECT("rec.uni[natureza]"),"taxa.extra",
INDIRECT("rec.uni[empresa]"),G$6)</f>
        <v>0</v>
      </c>
      <c r="H33" s="50"/>
      <c r="I33" s="48">
        <f>COUNTIFS(
    estq[empresa], I$6,
    estq[Data da venda / reserva], "&gt;=" &amp; $A33,
    estq[Data da venda / reserva], "&lt;"  &amp; EOMONTH($A33,0) + 1
)</f>
        <v>0</v>
      </c>
      <c r="J33" s="49">
        <f ca="1">SUMIFS(rec.uni[2023-07-01],
INDIRECT("rec.uni[natureza]"),"pro.soluto",
INDIRECT("rec.uni[empresa]"),J$6)</f>
        <v>0</v>
      </c>
      <c r="K33" s="49">
        <f ca="1">SUMIFS(rec.uni[2023-07-01],
INDIRECT("rec.uni[natureza]"),"repasse.cef.obra",
INDIRECT("rec.uni[empresa]"),K$6)</f>
        <v>0</v>
      </c>
      <c r="L33" s="49">
        <f ca="1">SUMIFS(rec.uni[2023-07-01],
INDIRECT("rec.uni[natureza]"),"repasse.cef.terreno",
INDIRECT("rec.uni[empresa]"),L$6)</f>
        <v>0</v>
      </c>
      <c r="M33" s="49">
        <v>0</v>
      </c>
      <c r="N33" s="49">
        <f ca="1">SUMIFS(rec.uni[2023-07-01],
INDIRECT("rec.uni[natureza]"),"taxa.extra",
INDIRECT("rec.uni[empresa]"),N$6)</f>
        <v>0</v>
      </c>
      <c r="O33" s="50"/>
      <c r="P33" s="48">
        <f>COUNTIFS(
    estq[empresa], P$6,
    estq[Data da venda / reserva], "&gt;=" &amp; $A33,
    estq[Data da venda / reserva], "&lt;"  &amp; EOMONTH($A33,0) + 1
)</f>
        <v>0</v>
      </c>
      <c r="Q33" s="49">
        <f ca="1">SUMIFS(rec.uni[2023-07-01],
INDIRECT("rec.uni[natureza]"),"pro.soluto",
INDIRECT("rec.uni[empresa]"),Q$6)</f>
        <v>0</v>
      </c>
      <c r="R33" s="49">
        <f ca="1">SUMIFS(rec.uni[2023-07-01],
INDIRECT("rec.uni[natureza]"),"repasse.cef.obra",
INDIRECT("rec.uni[empresa]"),R$6)</f>
        <v>0</v>
      </c>
      <c r="S33" s="49">
        <f ca="1">SUMIFS(rec.uni[2023-07-01],
INDIRECT("rec.uni[natureza]"),"repasse.cef.terreno",
INDIRECT("rec.uni[empresa]"),S$6)</f>
        <v>0</v>
      </c>
      <c r="T33" s="49">
        <v>0</v>
      </c>
      <c r="U33" s="49">
        <f ca="1">SUMIFS(rec.uni[2023-07-01],
INDIRECT("rec.uni[natureza]"),"taxa.extra",
INDIRECT("rec.uni[empresa]"),U$6)</f>
        <v>0</v>
      </c>
      <c r="V33" s="50"/>
      <c r="W33" s="48">
        <f>COUNTIFS(
    estq[empresa], W$6,
    estq[Data da venda / reserva], "&gt;=" &amp; $A33,
    estq[Data da venda / reserva], "&lt;"  &amp; EOMONTH($A33,0) + 1
)</f>
        <v>0</v>
      </c>
      <c r="X33" s="49">
        <f ca="1">SUMIFS(rec.uni[2023-07-01],
INDIRECT("rec.uni[natureza]"),"pro.soluto",
INDIRECT("rec.uni[empresa]"),X$6)</f>
        <v>0</v>
      </c>
      <c r="Y33" s="49">
        <f ca="1">SUMIFS(rec.uni[2023-07-01],
INDIRECT("rec.uni[natureza]"),"taxa.extra",
INDIRECT("rec.uni[empresa]"),Y$6)</f>
        <v>0</v>
      </c>
      <c r="Z33" s="50"/>
      <c r="AA33" s="48">
        <f>COUNTIFS(
    estq[empresa], AA$6,
    estq[Data da venda / reserva], "&gt;=" &amp; $A33,
    estq[Data da venda / reserva], "&lt;"  &amp; EOMONTH($A33,0) + 1
)</f>
        <v>0</v>
      </c>
      <c r="AB33" s="49">
        <f ca="1">SUMIFS(rec.uni[2023-07-01],
INDIRECT("rec.uni[natureza]"),"pro.soluto",
INDIRECT("rec.uni[empresa]"),AB$6)</f>
        <v>0</v>
      </c>
      <c r="AC33" s="38">
        <f ca="1">SUMIFS(rec.uni[2023-07-01],
INDIRECT("rec.uni[natureza]"),"parcela.fin.total.ik",
INDIRECT("rec.uni[empresa]"),AC$6)</f>
        <v>0</v>
      </c>
      <c r="AD33" s="49">
        <f ca="1">SUMIFS(rec.uni[2023-07-01],
INDIRECT("rec.uni[natureza]"),"taxa.extra",
INDIRECT("rec.uni[empresa]"),AD$6)</f>
        <v>0</v>
      </c>
      <c r="AE33" s="50"/>
      <c r="AF33" s="48">
        <f>COUNTIFS(
    estq[empresa], AF$6,
    estq[Data da venda / reserva], "&gt;=" &amp; $A33,
    estq[Data da venda / reserva], "&lt;"  &amp; EOMONTH($A33,0) + 1
)</f>
        <v>0</v>
      </c>
      <c r="AG33" s="49">
        <f ca="1">SUMIFS(rec.uni[2023-07-01],
INDIRECT("rec.uni[natureza]"),"pro.soluto",
INDIRECT("rec.uni[empresa]"),AG$6)</f>
        <v>0</v>
      </c>
      <c r="AH33" s="49">
        <f ca="1">SUMIFS(rec.uni[2023-07-01],
INDIRECT("rec.uni[natureza]"),"repasse.cef.obra",
INDIRECT("rec.uni[empresa]"),AH$6)</f>
        <v>0</v>
      </c>
      <c r="AI33" s="49">
        <f ca="1">SUMIFS(rec.uni[2023-07-01],
INDIRECT("rec.uni[natureza]"),"repasse.cef.terreno",
INDIRECT("rec.uni[empresa]"),AI$6)</f>
        <v>0</v>
      </c>
      <c r="AJ33" s="49">
        <v>0</v>
      </c>
      <c r="AK33" s="49">
        <f ca="1">SUMIFS(rec.uni[2023-07-01],
INDIRECT("rec.uni[natureza]"),"taxa.extra",
INDIRECT("rec.uni[empresa]"),AK$6)</f>
        <v>0</v>
      </c>
      <c r="AL33" s="50"/>
      <c r="AM33" s="48">
        <f>COUNTIFS(
    estq[empresa], AM$6,
    estq[Data da venda / reserva], "&gt;=" &amp; $A33,
    estq[Data da venda / reserva], "&lt;"  &amp; EOMONTH($A33,0) + 1
)</f>
        <v>0</v>
      </c>
      <c r="AN33" s="49">
        <f ca="1">SUMIFS(rec.uni[2023-07-01],
INDIRECT("rec.uni[natureza]"),"pro.soluto",
INDIRECT("rec.uni[empresa]"),AN$6)</f>
        <v>0</v>
      </c>
      <c r="AO33" s="49">
        <f ca="1">SUMIFS(rec.uni[2023-07-01],
INDIRECT("rec.uni[natureza]"),"taxa.extra",
INDIRECT("rec.uni[empresa]"),AO$6)</f>
        <v>0</v>
      </c>
      <c r="AP33" s="50"/>
    </row>
    <row r="34" spans="1:42" x14ac:dyDescent="0.25">
      <c r="A34" s="47">
        <v>45139</v>
      </c>
      <c r="B34" s="48">
        <f>COUNTIFS(
    estq[empresa], B$6,
    estq[Data da venda / reserva], "&gt;=" &amp; $A34,
    estq[Data da venda / reserva], "&lt;"  &amp; EOMONTH($A34,0) + 1
)</f>
        <v>0</v>
      </c>
      <c r="C34" s="49">
        <f ca="1">SUMIFS(rec.uni[2023-08-01],
INDIRECT("rec.uni[natureza]"),"pro.soluto",
INDIRECT("rec.uni[empresa]"),C$6)</f>
        <v>0</v>
      </c>
      <c r="D34" s="49">
        <f ca="1">SUMIFS(rec.uni[2023-08-01],
INDIRECT("rec.uni[natureza]"),"repasse.cef.obra",
INDIRECT("rec.uni[empresa]"),D$6)</f>
        <v>0</v>
      </c>
      <c r="E34" s="49">
        <f ca="1">SUMIFS(rec.uni[2023-08-01],
INDIRECT("rec.uni[natureza]"),"repasse.cef.terreno",
INDIRECT("rec.uni[empresa]"),E$6)</f>
        <v>0</v>
      </c>
      <c r="F34" s="49">
        <v>0</v>
      </c>
      <c r="G34" s="49">
        <f ca="1">SUMIFS(rec.uni[2023-08-01],
INDIRECT("rec.uni[natureza]"),"taxa.extra",
INDIRECT("rec.uni[empresa]"),G$6)</f>
        <v>0</v>
      </c>
      <c r="H34" s="50"/>
      <c r="I34" s="48">
        <f>COUNTIFS(
    estq[empresa], I$6,
    estq[Data da venda / reserva], "&gt;=" &amp; $A34,
    estq[Data da venda / reserva], "&lt;"  &amp; EOMONTH($A34,0) + 1
)</f>
        <v>0</v>
      </c>
      <c r="J34" s="49">
        <f ca="1">SUMIFS(rec.uni[2023-08-01],
INDIRECT("rec.uni[natureza]"),"pro.soluto",
INDIRECT("rec.uni[empresa]"),J$6)</f>
        <v>0</v>
      </c>
      <c r="K34" s="49">
        <f ca="1">SUMIFS(rec.uni[2023-08-01],
INDIRECT("rec.uni[natureza]"),"repasse.cef.obra",
INDIRECT("rec.uni[empresa]"),K$6)</f>
        <v>0</v>
      </c>
      <c r="L34" s="49">
        <f ca="1">SUMIFS(rec.uni[2023-08-01],
INDIRECT("rec.uni[natureza]"),"repasse.cef.terreno",
INDIRECT("rec.uni[empresa]"),L$6)</f>
        <v>0</v>
      </c>
      <c r="M34" s="49">
        <v>327575.88</v>
      </c>
      <c r="N34" s="49">
        <f ca="1">SUMIFS(rec.uni[2023-08-01],
INDIRECT("rec.uni[natureza]"),"taxa.extra",
INDIRECT("rec.uni[empresa]"),N$6)</f>
        <v>0</v>
      </c>
      <c r="O34" s="50"/>
      <c r="P34" s="48">
        <f>COUNTIFS(
    estq[empresa], P$6,
    estq[Data da venda / reserva], "&gt;=" &amp; $A34,
    estq[Data da venda / reserva], "&lt;"  &amp; EOMONTH($A34,0) + 1
)</f>
        <v>0</v>
      </c>
      <c r="Q34" s="49">
        <f ca="1">SUMIFS(rec.uni[2023-08-01],
INDIRECT("rec.uni[natureza]"),"pro.soluto",
INDIRECT("rec.uni[empresa]"),Q$6)</f>
        <v>0</v>
      </c>
      <c r="R34" s="49">
        <f ca="1">SUMIFS(rec.uni[2023-08-01],
INDIRECT("rec.uni[natureza]"),"repasse.cef.obra",
INDIRECT("rec.uni[empresa]"),R$6)</f>
        <v>0</v>
      </c>
      <c r="S34" s="49">
        <f ca="1">SUMIFS(rec.uni[2023-08-01],
INDIRECT("rec.uni[natureza]"),"repasse.cef.terreno",
INDIRECT("rec.uni[empresa]"),S$6)</f>
        <v>0</v>
      </c>
      <c r="T34" s="49">
        <v>0</v>
      </c>
      <c r="U34" s="49">
        <f ca="1">SUMIFS(rec.uni[2023-08-01],
INDIRECT("rec.uni[natureza]"),"taxa.extra",
INDIRECT("rec.uni[empresa]"),U$6)</f>
        <v>0</v>
      </c>
      <c r="V34" s="50"/>
      <c r="W34" s="48">
        <f>COUNTIFS(
    estq[empresa], W$6,
    estq[Data da venda / reserva], "&gt;=" &amp; $A34,
    estq[Data da venda / reserva], "&lt;"  &amp; EOMONTH($A34,0) + 1
)</f>
        <v>0</v>
      </c>
      <c r="X34" s="49">
        <f ca="1">SUMIFS(rec.uni[2023-08-01],
INDIRECT("rec.uni[natureza]"),"pro.soluto",
INDIRECT("rec.uni[empresa]"),X$6)</f>
        <v>0</v>
      </c>
      <c r="Y34" s="49">
        <f ca="1">SUMIFS(rec.uni[2023-08-01],
INDIRECT("rec.uni[natureza]"),"taxa.extra",
INDIRECT("rec.uni[empresa]"),Y$6)</f>
        <v>0</v>
      </c>
      <c r="Z34" s="50"/>
      <c r="AA34" s="48">
        <f>COUNTIFS(
    estq[empresa], AA$6,
    estq[Data da venda / reserva], "&gt;=" &amp; $A34,
    estq[Data da venda / reserva], "&lt;"  &amp; EOMONTH($A34,0) + 1
)</f>
        <v>0</v>
      </c>
      <c r="AB34" s="49">
        <f ca="1">SUMIFS(rec.uni[2023-08-01],
INDIRECT("rec.uni[natureza]"),"pro.soluto",
INDIRECT("rec.uni[empresa]"),AB$6)</f>
        <v>0</v>
      </c>
      <c r="AC34" s="38">
        <f ca="1">SUMIFS(rec.uni[2023-08-01],
INDIRECT("rec.uni[natureza]"),"parcela.fin.total.ik",
INDIRECT("rec.uni[empresa]"),AC$6)</f>
        <v>0</v>
      </c>
      <c r="AD34" s="49">
        <f ca="1">SUMIFS(rec.uni[2023-08-01],
INDIRECT("rec.uni[natureza]"),"taxa.extra",
INDIRECT("rec.uni[empresa]"),AD$6)</f>
        <v>0</v>
      </c>
      <c r="AE34" s="50"/>
      <c r="AF34" s="48">
        <f>COUNTIFS(
    estq[empresa], AF$6,
    estq[Data da venda / reserva], "&gt;=" &amp; $A34,
    estq[Data da venda / reserva], "&lt;"  &amp; EOMONTH($A34,0) + 1
)</f>
        <v>0</v>
      </c>
      <c r="AG34" s="49">
        <f ca="1">SUMIFS(rec.uni[2023-08-01],
INDIRECT("rec.uni[natureza]"),"pro.soluto",
INDIRECT("rec.uni[empresa]"),AG$6)</f>
        <v>0</v>
      </c>
      <c r="AH34" s="49">
        <f ca="1">SUMIFS(rec.uni[2023-08-01],
INDIRECT("rec.uni[natureza]"),"repasse.cef.obra",
INDIRECT("rec.uni[empresa]"),AH$6)</f>
        <v>0</v>
      </c>
      <c r="AI34" s="49">
        <f ca="1">SUMIFS(rec.uni[2023-08-01],
INDIRECT("rec.uni[natureza]"),"repasse.cef.terreno",
INDIRECT("rec.uni[empresa]"),AI$6)</f>
        <v>0</v>
      </c>
      <c r="AJ34" s="49">
        <v>0</v>
      </c>
      <c r="AK34" s="49">
        <f ca="1">SUMIFS(rec.uni[2023-08-01],
INDIRECT("rec.uni[natureza]"),"taxa.extra",
INDIRECT("rec.uni[empresa]"),AK$6)</f>
        <v>0</v>
      </c>
      <c r="AL34" s="50"/>
      <c r="AM34" s="48">
        <f>COUNTIFS(
    estq[empresa], AM$6,
    estq[Data da venda / reserva], "&gt;=" &amp; $A34,
    estq[Data da venda / reserva], "&lt;"  &amp; EOMONTH($A34,0) + 1
)</f>
        <v>0</v>
      </c>
      <c r="AN34" s="49">
        <f ca="1">SUMIFS(rec.uni[2023-08-01],
INDIRECT("rec.uni[natureza]"),"pro.soluto",
INDIRECT("rec.uni[empresa]"),AN$6)</f>
        <v>0</v>
      </c>
      <c r="AO34" s="49">
        <f ca="1">SUMIFS(rec.uni[2023-08-01],
INDIRECT("rec.uni[natureza]"),"taxa.extra",
INDIRECT("rec.uni[empresa]"),AO$6)</f>
        <v>0</v>
      </c>
      <c r="AP34" s="50"/>
    </row>
    <row r="35" spans="1:42" x14ac:dyDescent="0.25">
      <c r="A35" s="47">
        <v>45170</v>
      </c>
      <c r="B35" s="48">
        <f>COUNTIFS(
    estq[empresa], B$6,
    estq[Data da venda / reserva], "&gt;=" &amp; $A35,
    estq[Data da venda / reserva], "&lt;"  &amp; EOMONTH($A35,0) + 1
)</f>
        <v>0</v>
      </c>
      <c r="C35" s="49">
        <f ca="1">SUMIFS(rec.uni[2023-09-01],
INDIRECT("rec.uni[natureza]"),"pro.soluto",
INDIRECT("rec.uni[empresa]"),C$6)</f>
        <v>0</v>
      </c>
      <c r="D35" s="49">
        <f ca="1">SUMIFS(rec.uni[2023-09-01],
INDIRECT("rec.uni[natureza]"),"repasse.cef.obra",
INDIRECT("rec.uni[empresa]"),D$6)</f>
        <v>0</v>
      </c>
      <c r="E35" s="49">
        <f ca="1">SUMIFS(rec.uni[2023-09-01],
INDIRECT("rec.uni[natureza]"),"repasse.cef.terreno",
INDIRECT("rec.uni[empresa]"),E$6)</f>
        <v>0</v>
      </c>
      <c r="F35" s="49">
        <v>0</v>
      </c>
      <c r="G35" s="49">
        <f ca="1">SUMIFS(rec.uni[2023-09-01],
INDIRECT("rec.uni[natureza]"),"taxa.extra",
INDIRECT("rec.uni[empresa]"),G$6)</f>
        <v>0</v>
      </c>
      <c r="H35" s="50"/>
      <c r="I35" s="48">
        <f>COUNTIFS(
    estq[empresa], I$6,
    estq[Data da venda / reserva], "&gt;=" &amp; $A35,
    estq[Data da venda / reserva], "&lt;"  &amp; EOMONTH($A35,0) + 1
)</f>
        <v>0</v>
      </c>
      <c r="J35" s="49">
        <f ca="1">SUMIFS(rec.uni[2023-09-01],
INDIRECT("rec.uni[natureza]"),"pro.soluto",
INDIRECT("rec.uni[empresa]"),J$6)</f>
        <v>0</v>
      </c>
      <c r="K35" s="49">
        <f ca="1">SUMIFS(rec.uni[2023-09-01],
INDIRECT("rec.uni[natureza]"),"repasse.cef.obra",
INDIRECT("rec.uni[empresa]"),K$6)</f>
        <v>0</v>
      </c>
      <c r="L35" s="49">
        <f ca="1">SUMIFS(rec.uni[2023-09-01],
INDIRECT("rec.uni[natureza]"),"repasse.cef.terreno",
INDIRECT("rec.uni[empresa]"),L$6)</f>
        <v>0</v>
      </c>
      <c r="M35" s="49">
        <v>445799.01</v>
      </c>
      <c r="N35" s="49">
        <f ca="1">SUMIFS(rec.uni[2023-09-01],
INDIRECT("rec.uni[natureza]"),"taxa.extra",
INDIRECT("rec.uni[empresa]"),N$6)</f>
        <v>0</v>
      </c>
      <c r="O35" s="50"/>
      <c r="P35" s="48">
        <f>COUNTIFS(
    estq[empresa], P$6,
    estq[Data da venda / reserva], "&gt;=" &amp; $A35,
    estq[Data da venda / reserva], "&lt;"  &amp; EOMONTH($A35,0) + 1
)</f>
        <v>0</v>
      </c>
      <c r="Q35" s="49">
        <f ca="1">SUMIFS(rec.uni[2023-09-01],
INDIRECT("rec.uni[natureza]"),"pro.soluto",
INDIRECT("rec.uni[empresa]"),Q$6)</f>
        <v>0</v>
      </c>
      <c r="R35" s="49">
        <f ca="1">SUMIFS(rec.uni[2023-09-01],
INDIRECT("rec.uni[natureza]"),"repasse.cef.obra",
INDIRECT("rec.uni[empresa]"),R$6)</f>
        <v>0</v>
      </c>
      <c r="S35" s="49">
        <f ca="1">SUMIFS(rec.uni[2023-09-01],
INDIRECT("rec.uni[natureza]"),"repasse.cef.terreno",
INDIRECT("rec.uni[empresa]"),S$6)</f>
        <v>0</v>
      </c>
      <c r="T35" s="49">
        <v>0</v>
      </c>
      <c r="U35" s="49">
        <f ca="1">SUMIFS(rec.uni[2023-09-01],
INDIRECT("rec.uni[natureza]"),"taxa.extra",
INDIRECT("rec.uni[empresa]"),U$6)</f>
        <v>0</v>
      </c>
      <c r="V35" s="50"/>
      <c r="W35" s="48">
        <f>COUNTIFS(
    estq[empresa], W$6,
    estq[Data da venda / reserva], "&gt;=" &amp; $A35,
    estq[Data da venda / reserva], "&lt;"  &amp; EOMONTH($A35,0) + 1
)</f>
        <v>0</v>
      </c>
      <c r="X35" s="49">
        <f ca="1">SUMIFS(rec.uni[2023-09-01],
INDIRECT("rec.uni[natureza]"),"pro.soluto",
INDIRECT("rec.uni[empresa]"),X$6)</f>
        <v>0</v>
      </c>
      <c r="Y35" s="49">
        <f ca="1">SUMIFS(rec.uni[2023-09-01],
INDIRECT("rec.uni[natureza]"),"taxa.extra",
INDIRECT("rec.uni[empresa]"),Y$6)</f>
        <v>0</v>
      </c>
      <c r="Z35" s="50"/>
      <c r="AA35" s="48">
        <f>COUNTIFS(
    estq[empresa], AA$6,
    estq[Data da venda / reserva], "&gt;=" &amp; $A35,
    estq[Data da venda / reserva], "&lt;"  &amp; EOMONTH($A35,0) + 1
)</f>
        <v>0</v>
      </c>
      <c r="AB35" s="49">
        <f ca="1">SUMIFS(rec.uni[2023-09-01],
INDIRECT("rec.uni[natureza]"),"pro.soluto",
INDIRECT("rec.uni[empresa]"),AB$6)</f>
        <v>0</v>
      </c>
      <c r="AC35" s="38">
        <f ca="1">SUMIFS(rec.uni[2023-09-01],
INDIRECT("rec.uni[natureza]"),"parcela.fin.total.ik",
INDIRECT("rec.uni[empresa]"),AC$6)</f>
        <v>0</v>
      </c>
      <c r="AD35" s="49">
        <f ca="1">SUMIFS(rec.uni[2023-09-01],
INDIRECT("rec.uni[natureza]"),"taxa.extra",
INDIRECT("rec.uni[empresa]"),AD$6)</f>
        <v>0</v>
      </c>
      <c r="AE35" s="50"/>
      <c r="AF35" s="48">
        <f>COUNTIFS(
    estq[empresa], AF$6,
    estq[Data da venda / reserva], "&gt;=" &amp; $A35,
    estq[Data da venda / reserva], "&lt;"  &amp; EOMONTH($A35,0) + 1
)</f>
        <v>0</v>
      </c>
      <c r="AG35" s="49">
        <f ca="1">SUMIFS(rec.uni[2023-09-01],
INDIRECT("rec.uni[natureza]"),"pro.soluto",
INDIRECT("rec.uni[empresa]"),AG$6)</f>
        <v>0</v>
      </c>
      <c r="AH35" s="49">
        <f ca="1">SUMIFS(rec.uni[2023-09-01],
INDIRECT("rec.uni[natureza]"),"repasse.cef.obra",
INDIRECT("rec.uni[empresa]"),AH$6)</f>
        <v>0</v>
      </c>
      <c r="AI35" s="49">
        <f ca="1">SUMIFS(rec.uni[2023-09-01],
INDIRECT("rec.uni[natureza]"),"repasse.cef.terreno",
INDIRECT("rec.uni[empresa]"),AI$6)</f>
        <v>0</v>
      </c>
      <c r="AJ35" s="49">
        <v>0</v>
      </c>
      <c r="AK35" s="49">
        <f ca="1">SUMIFS(rec.uni[2023-09-01],
INDIRECT("rec.uni[natureza]"),"taxa.extra",
INDIRECT("rec.uni[empresa]"),AK$6)</f>
        <v>0</v>
      </c>
      <c r="AL35" s="50"/>
      <c r="AM35" s="48">
        <f>COUNTIFS(
    estq[empresa], AM$6,
    estq[Data da venda / reserva], "&gt;=" &amp; $A35,
    estq[Data da venda / reserva], "&lt;"  &amp; EOMONTH($A35,0) + 1
)</f>
        <v>0</v>
      </c>
      <c r="AN35" s="49">
        <f ca="1">SUMIFS(rec.uni[2023-09-01],
INDIRECT("rec.uni[natureza]"),"pro.soluto",
INDIRECT("rec.uni[empresa]"),AN$6)</f>
        <v>0</v>
      </c>
      <c r="AO35" s="49">
        <f ca="1">SUMIFS(rec.uni[2023-09-01],
INDIRECT("rec.uni[natureza]"),"taxa.extra",
INDIRECT("rec.uni[empresa]"),AO$6)</f>
        <v>0</v>
      </c>
      <c r="AP35" s="50"/>
    </row>
    <row r="36" spans="1:42" x14ac:dyDescent="0.25">
      <c r="A36" s="47">
        <v>45200</v>
      </c>
      <c r="B36" s="48">
        <f>COUNTIFS(
    estq[empresa], B$6,
    estq[Data da venda / reserva], "&gt;=" &amp; $A36,
    estq[Data da venda / reserva], "&lt;"  &amp; EOMONTH($A36,0) + 1
)</f>
        <v>0</v>
      </c>
      <c r="C36" s="49">
        <f ca="1">SUMIFS(rec.uni[2023-10-01],
INDIRECT("rec.uni[natureza]"),"pro.soluto",
INDIRECT("rec.uni[empresa]"),C$6)</f>
        <v>0</v>
      </c>
      <c r="D36" s="49">
        <f ca="1">SUMIFS(rec.uni[2023-10-01],
INDIRECT("rec.uni[natureza]"),"repasse.cef.obra",
INDIRECT("rec.uni[empresa]"),D$6)</f>
        <v>0</v>
      </c>
      <c r="E36" s="49">
        <f ca="1">SUMIFS(rec.uni[2023-10-01],
INDIRECT("rec.uni[natureza]"),"repasse.cef.terreno",
INDIRECT("rec.uni[empresa]"),E$6)</f>
        <v>0</v>
      </c>
      <c r="F36" s="49">
        <v>0</v>
      </c>
      <c r="G36" s="49">
        <f ca="1">SUMIFS(rec.uni[2023-10-01],
INDIRECT("rec.uni[natureza]"),"taxa.extra",
INDIRECT("rec.uni[empresa]"),G$6)</f>
        <v>0</v>
      </c>
      <c r="H36" s="50"/>
      <c r="I36" s="48">
        <f>COUNTIFS(
    estq[empresa], I$6,
    estq[Data da venda / reserva], "&gt;=" &amp; $A36,
    estq[Data da venda / reserva], "&lt;"  &amp; EOMONTH($A36,0) + 1
)</f>
        <v>0</v>
      </c>
      <c r="J36" s="49">
        <f ca="1">SUMIFS(rec.uni[2023-10-01],
INDIRECT("rec.uni[natureza]"),"pro.soluto",
INDIRECT("rec.uni[empresa]"),J$6)</f>
        <v>0</v>
      </c>
      <c r="K36" s="49">
        <f ca="1">SUMIFS(rec.uni[2023-10-01],
INDIRECT("rec.uni[natureza]"),"repasse.cef.obra",
INDIRECT("rec.uni[empresa]"),K$6)</f>
        <v>0</v>
      </c>
      <c r="L36" s="49">
        <f ca="1">SUMIFS(rec.uni[2023-10-01],
INDIRECT("rec.uni[natureza]"),"repasse.cef.terreno",
INDIRECT("rec.uni[empresa]"),L$6)</f>
        <v>0</v>
      </c>
      <c r="M36" s="49">
        <v>0</v>
      </c>
      <c r="N36" s="49">
        <f ca="1">SUMIFS(rec.uni[2023-10-01],
INDIRECT("rec.uni[natureza]"),"taxa.extra",
INDIRECT("rec.uni[empresa]"),N$6)</f>
        <v>0</v>
      </c>
      <c r="O36" s="50"/>
      <c r="P36" s="48">
        <f>COUNTIFS(
    estq[empresa], P$6,
    estq[Data da venda / reserva], "&gt;=" &amp; $A36,
    estq[Data da venda / reserva], "&lt;"  &amp; EOMONTH($A36,0) + 1
)</f>
        <v>0</v>
      </c>
      <c r="Q36" s="49">
        <f ca="1">SUMIFS(rec.uni[2023-10-01],
INDIRECT("rec.uni[natureza]"),"pro.soluto",
INDIRECT("rec.uni[empresa]"),Q$6)</f>
        <v>0</v>
      </c>
      <c r="R36" s="49">
        <f ca="1">SUMIFS(rec.uni[2023-10-01],
INDIRECT("rec.uni[natureza]"),"repasse.cef.obra",
INDIRECT("rec.uni[empresa]"),R$6)</f>
        <v>0</v>
      </c>
      <c r="S36" s="49">
        <f ca="1">SUMIFS(rec.uni[2023-10-01],
INDIRECT("rec.uni[natureza]"),"repasse.cef.terreno",
INDIRECT("rec.uni[empresa]"),S$6)</f>
        <v>0</v>
      </c>
      <c r="T36" s="49">
        <v>0</v>
      </c>
      <c r="U36" s="49">
        <f ca="1">SUMIFS(rec.uni[2023-10-01],
INDIRECT("rec.uni[natureza]"),"taxa.extra",
INDIRECT("rec.uni[empresa]"),U$6)</f>
        <v>0</v>
      </c>
      <c r="V36" s="50"/>
      <c r="W36" s="48">
        <f>COUNTIFS(
    estq[empresa], W$6,
    estq[Data da venda / reserva], "&gt;=" &amp; $A36,
    estq[Data da venda / reserva], "&lt;"  &amp; EOMONTH($A36,0) + 1
)</f>
        <v>0</v>
      </c>
      <c r="X36" s="49">
        <f ca="1">SUMIFS(rec.uni[2023-10-01],
INDIRECT("rec.uni[natureza]"),"pro.soluto",
INDIRECT("rec.uni[empresa]"),X$6)</f>
        <v>0</v>
      </c>
      <c r="Y36" s="49">
        <f ca="1">SUMIFS(rec.uni[2023-10-01],
INDIRECT("rec.uni[natureza]"),"taxa.extra",
INDIRECT("rec.uni[empresa]"),Y$6)</f>
        <v>0</v>
      </c>
      <c r="Z36" s="50"/>
      <c r="AA36" s="48">
        <f>COUNTIFS(
    estq[empresa], AA$6,
    estq[Data da venda / reserva], "&gt;=" &amp; $A36,
    estq[Data da venda / reserva], "&lt;"  &amp; EOMONTH($A36,0) + 1
)</f>
        <v>0</v>
      </c>
      <c r="AB36" s="49">
        <f ca="1">SUMIFS(rec.uni[2023-10-01],
INDIRECT("rec.uni[natureza]"),"pro.soluto",
INDIRECT("rec.uni[empresa]"),AB$6)</f>
        <v>0</v>
      </c>
      <c r="AC36" s="38">
        <f ca="1">SUMIFS(rec.uni[2023-10-01],
INDIRECT("rec.uni[natureza]"),"parcela.fin.total.ik",
INDIRECT("rec.uni[empresa]"),AC$6)</f>
        <v>0</v>
      </c>
      <c r="AD36" s="49">
        <f ca="1">SUMIFS(rec.uni[2023-10-01],
INDIRECT("rec.uni[natureza]"),"taxa.extra",
INDIRECT("rec.uni[empresa]"),AD$6)</f>
        <v>0</v>
      </c>
      <c r="AE36" s="50"/>
      <c r="AF36" s="48">
        <f>COUNTIFS(
    estq[empresa], AF$6,
    estq[Data da venda / reserva], "&gt;=" &amp; $A36,
    estq[Data da venda / reserva], "&lt;"  &amp; EOMONTH($A36,0) + 1
)</f>
        <v>0</v>
      </c>
      <c r="AG36" s="49">
        <f ca="1">SUMIFS(rec.uni[2023-10-01],
INDIRECT("rec.uni[natureza]"),"pro.soluto",
INDIRECT("rec.uni[empresa]"),AG$6)</f>
        <v>0</v>
      </c>
      <c r="AH36" s="49">
        <f ca="1">SUMIFS(rec.uni[2023-10-01],
INDIRECT("rec.uni[natureza]"),"repasse.cef.obra",
INDIRECT("rec.uni[empresa]"),AH$6)</f>
        <v>0</v>
      </c>
      <c r="AI36" s="49">
        <f ca="1">SUMIFS(rec.uni[2023-10-01],
INDIRECT("rec.uni[natureza]"),"repasse.cef.terreno",
INDIRECT("rec.uni[empresa]"),AI$6)</f>
        <v>0</v>
      </c>
      <c r="AJ36" s="49">
        <v>0</v>
      </c>
      <c r="AK36" s="49">
        <f ca="1">SUMIFS(rec.uni[2023-10-01],
INDIRECT("rec.uni[natureza]"),"taxa.extra",
INDIRECT("rec.uni[empresa]"),AK$6)</f>
        <v>0</v>
      </c>
      <c r="AL36" s="50"/>
      <c r="AM36" s="48">
        <f>COUNTIFS(
    estq[empresa], AM$6,
    estq[Data da venda / reserva], "&gt;=" &amp; $A36,
    estq[Data da venda / reserva], "&lt;"  &amp; EOMONTH($A36,0) + 1
)</f>
        <v>0</v>
      </c>
      <c r="AN36" s="49">
        <f ca="1">SUMIFS(rec.uni[2023-10-01],
INDIRECT("rec.uni[natureza]"),"pro.soluto",
INDIRECT("rec.uni[empresa]"),AN$6)</f>
        <v>0</v>
      </c>
      <c r="AO36" s="49">
        <f ca="1">SUMIFS(rec.uni[2023-10-01],
INDIRECT("rec.uni[natureza]"),"taxa.extra",
INDIRECT("rec.uni[empresa]"),AO$6)</f>
        <v>0</v>
      </c>
      <c r="AP36" s="50"/>
    </row>
    <row r="37" spans="1:42" x14ac:dyDescent="0.25">
      <c r="A37" s="47">
        <v>45231</v>
      </c>
      <c r="B37" s="48">
        <f>COUNTIFS(
    estq[empresa], B$6,
    estq[Data da venda / reserva], "&gt;=" &amp; $A37,
    estq[Data da venda / reserva], "&lt;"  &amp; EOMONTH($A37,0) + 1
)</f>
        <v>0</v>
      </c>
      <c r="C37" s="49">
        <f ca="1">SUMIFS(rec.uni[2023-11-01],
INDIRECT("rec.uni[natureza]"),"pro.soluto",
INDIRECT("rec.uni[empresa]"),C$6)</f>
        <v>0</v>
      </c>
      <c r="D37" s="49">
        <f ca="1">SUMIFS(rec.uni[2023-11-01],
INDIRECT("rec.uni[natureza]"),"repasse.cef.obra",
INDIRECT("rec.uni[empresa]"),D$6)</f>
        <v>0</v>
      </c>
      <c r="E37" s="49">
        <f ca="1">SUMIFS(rec.uni[2023-11-01],
INDIRECT("rec.uni[natureza]"),"repasse.cef.terreno",
INDIRECT("rec.uni[empresa]"),E$6)</f>
        <v>0</v>
      </c>
      <c r="F37" s="49">
        <v>0</v>
      </c>
      <c r="G37" s="49">
        <f ca="1">SUMIFS(rec.uni[2023-11-01],
INDIRECT("rec.uni[natureza]"),"taxa.extra",
INDIRECT("rec.uni[empresa]"),G$6)</f>
        <v>0</v>
      </c>
      <c r="H37" s="50"/>
      <c r="I37" s="48">
        <f>COUNTIFS(
    estq[empresa], I$6,
    estq[Data da venda / reserva], "&gt;=" &amp; $A37,
    estq[Data da venda / reserva], "&lt;"  &amp; EOMONTH($A37,0) + 1
)</f>
        <v>0</v>
      </c>
      <c r="J37" s="49">
        <f ca="1">SUMIFS(rec.uni[2023-11-01],
INDIRECT("rec.uni[natureza]"),"pro.soluto",
INDIRECT("rec.uni[empresa]"),J$6)</f>
        <v>0</v>
      </c>
      <c r="K37" s="49">
        <f ca="1">SUMIFS(rec.uni[2023-11-01],
INDIRECT("rec.uni[natureza]"),"repasse.cef.obra",
INDIRECT("rec.uni[empresa]"),K$6)</f>
        <v>0</v>
      </c>
      <c r="L37" s="49">
        <f ca="1">SUMIFS(rec.uni[2023-11-01],
INDIRECT("rec.uni[natureza]"),"repasse.cef.terreno",
INDIRECT("rec.uni[empresa]"),L$6)</f>
        <v>0</v>
      </c>
      <c r="M37" s="49">
        <v>1455283.7599999998</v>
      </c>
      <c r="N37" s="49">
        <f ca="1">SUMIFS(rec.uni[2023-11-01],
INDIRECT("rec.uni[natureza]"),"taxa.extra",
INDIRECT("rec.uni[empresa]"),N$6)</f>
        <v>0</v>
      </c>
      <c r="O37" s="50"/>
      <c r="P37" s="48">
        <f>COUNTIFS(
    estq[empresa], P$6,
    estq[Data da venda / reserva], "&gt;=" &amp; $A37,
    estq[Data da venda / reserva], "&lt;"  &amp; EOMONTH($A37,0) + 1
)</f>
        <v>0</v>
      </c>
      <c r="Q37" s="49">
        <f ca="1">SUMIFS(rec.uni[2023-11-01],
INDIRECT("rec.uni[natureza]"),"pro.soluto",
INDIRECT("rec.uni[empresa]"),Q$6)</f>
        <v>0</v>
      </c>
      <c r="R37" s="49">
        <f ca="1">SUMIFS(rec.uni[2023-11-01],
INDIRECT("rec.uni[natureza]"),"repasse.cef.obra",
INDIRECT("rec.uni[empresa]"),R$6)</f>
        <v>0</v>
      </c>
      <c r="S37" s="49">
        <f ca="1">SUMIFS(rec.uni[2023-11-01],
INDIRECT("rec.uni[natureza]"),"repasse.cef.terreno",
INDIRECT("rec.uni[empresa]"),S$6)</f>
        <v>0</v>
      </c>
      <c r="T37" s="49">
        <v>0</v>
      </c>
      <c r="U37" s="49">
        <f ca="1">SUMIFS(rec.uni[2023-11-01],
INDIRECT("rec.uni[natureza]"),"taxa.extra",
INDIRECT("rec.uni[empresa]"),U$6)</f>
        <v>0</v>
      </c>
      <c r="V37" s="50"/>
      <c r="W37" s="48">
        <f>COUNTIFS(
    estq[empresa], W$6,
    estq[Data da venda / reserva], "&gt;=" &amp; $A37,
    estq[Data da venda / reserva], "&lt;"  &amp; EOMONTH($A37,0) + 1
)</f>
        <v>0</v>
      </c>
      <c r="X37" s="49">
        <f ca="1">SUMIFS(rec.uni[2023-11-01],
INDIRECT("rec.uni[natureza]"),"pro.soluto",
INDIRECT("rec.uni[empresa]"),X$6)</f>
        <v>0</v>
      </c>
      <c r="Y37" s="49">
        <f ca="1">SUMIFS(rec.uni[2023-11-01],
INDIRECT("rec.uni[natureza]"),"taxa.extra",
INDIRECT("rec.uni[empresa]"),Y$6)</f>
        <v>0</v>
      </c>
      <c r="Z37" s="50"/>
      <c r="AA37" s="48">
        <f>COUNTIFS(
    estq[empresa], AA$6,
    estq[Data da venda / reserva], "&gt;=" &amp; $A37,
    estq[Data da venda / reserva], "&lt;"  &amp; EOMONTH($A37,0) + 1
)</f>
        <v>0</v>
      </c>
      <c r="AB37" s="49">
        <f ca="1">SUMIFS(rec.uni[2023-11-01],
INDIRECT("rec.uni[natureza]"),"pro.soluto",
INDIRECT("rec.uni[empresa]"),AB$6)</f>
        <v>0</v>
      </c>
      <c r="AC37" s="38">
        <f ca="1">SUMIFS(rec.uni[2023-11-01],
INDIRECT("rec.uni[natureza]"),"parcela.fin.total.ik",
INDIRECT("rec.uni[empresa]"),AC$6)</f>
        <v>0</v>
      </c>
      <c r="AD37" s="49">
        <f ca="1">SUMIFS(rec.uni[2023-11-01],
INDIRECT("rec.uni[natureza]"),"taxa.extra",
INDIRECT("rec.uni[empresa]"),AD$6)</f>
        <v>0</v>
      </c>
      <c r="AE37" s="50"/>
      <c r="AF37" s="48">
        <f>COUNTIFS(
    estq[empresa], AF$6,
    estq[Data da venda / reserva], "&gt;=" &amp; $A37,
    estq[Data da venda / reserva], "&lt;"  &amp; EOMONTH($A37,0) + 1
)</f>
        <v>0</v>
      </c>
      <c r="AG37" s="49">
        <f ca="1">SUMIFS(rec.uni[2023-11-01],
INDIRECT("rec.uni[natureza]"),"pro.soluto",
INDIRECT("rec.uni[empresa]"),AG$6)</f>
        <v>0</v>
      </c>
      <c r="AH37" s="49">
        <f ca="1">SUMIFS(rec.uni[2023-11-01],
INDIRECT("rec.uni[natureza]"),"repasse.cef.obra",
INDIRECT("rec.uni[empresa]"),AH$6)</f>
        <v>0</v>
      </c>
      <c r="AI37" s="49">
        <f ca="1">SUMIFS(rec.uni[2023-11-01],
INDIRECT("rec.uni[natureza]"),"repasse.cef.terreno",
INDIRECT("rec.uni[empresa]"),AI$6)</f>
        <v>0</v>
      </c>
      <c r="AJ37" s="49">
        <v>0</v>
      </c>
      <c r="AK37" s="49">
        <f ca="1">SUMIFS(rec.uni[2023-11-01],
INDIRECT("rec.uni[natureza]"),"taxa.extra",
INDIRECT("rec.uni[empresa]"),AK$6)</f>
        <v>0</v>
      </c>
      <c r="AL37" s="50"/>
      <c r="AM37" s="48">
        <f>COUNTIFS(
    estq[empresa], AM$6,
    estq[Data da venda / reserva], "&gt;=" &amp; $A37,
    estq[Data da venda / reserva], "&lt;"  &amp; EOMONTH($A37,0) + 1
)</f>
        <v>0</v>
      </c>
      <c r="AN37" s="49">
        <f ca="1">SUMIFS(rec.uni[2023-11-01],
INDIRECT("rec.uni[natureza]"),"pro.soluto",
INDIRECT("rec.uni[empresa]"),AN$6)</f>
        <v>0</v>
      </c>
      <c r="AO37" s="49">
        <f ca="1">SUMIFS(rec.uni[2023-11-01],
INDIRECT("rec.uni[natureza]"),"taxa.extra",
INDIRECT("rec.uni[empresa]"),AO$6)</f>
        <v>0</v>
      </c>
      <c r="AP37" s="50"/>
    </row>
    <row r="38" spans="1:42" x14ac:dyDescent="0.25">
      <c r="A38" s="47">
        <v>45261</v>
      </c>
      <c r="B38" s="48">
        <f>COUNTIFS(
    estq[empresa], B$6,
    estq[Data da venda / reserva], "&gt;=" &amp; $A38,
    estq[Data da venda / reserva], "&lt;"  &amp; EOMONTH($A38,0) + 1
)</f>
        <v>0</v>
      </c>
      <c r="C38" s="49">
        <f ca="1">SUMIFS(rec.uni[2023-12-01],
INDIRECT("rec.uni[natureza]"),"pro.soluto",
INDIRECT("rec.uni[empresa]"),C$6)</f>
        <v>0</v>
      </c>
      <c r="D38" s="49">
        <f ca="1">SUMIFS(rec.uni[2023-12-01],
INDIRECT("rec.uni[natureza]"),"repasse.cef.obra",
INDIRECT("rec.uni[empresa]"),D$6)</f>
        <v>0</v>
      </c>
      <c r="E38" s="49">
        <f ca="1">SUMIFS(rec.uni[2023-12-01],
INDIRECT("rec.uni[natureza]"),"repasse.cef.terreno",
INDIRECT("rec.uni[empresa]"),E$6)</f>
        <v>0</v>
      </c>
      <c r="F38" s="49">
        <v>0</v>
      </c>
      <c r="G38" s="49">
        <f ca="1">SUMIFS(rec.uni[2023-12-01],
INDIRECT("rec.uni[natureza]"),"taxa.extra",
INDIRECT("rec.uni[empresa]"),G$6)</f>
        <v>0</v>
      </c>
      <c r="H38" s="50"/>
      <c r="I38" s="48">
        <f>COUNTIFS(
    estq[empresa], I$6,
    estq[Data da venda / reserva], "&gt;=" &amp; $A38,
    estq[Data da venda / reserva], "&lt;"  &amp; EOMONTH($A38,0) + 1
)</f>
        <v>0</v>
      </c>
      <c r="J38" s="49">
        <f ca="1">SUMIFS(rec.uni[2023-12-01],
INDIRECT("rec.uni[natureza]"),"pro.soluto",
INDIRECT("rec.uni[empresa]"),J$6)</f>
        <v>0</v>
      </c>
      <c r="K38" s="49">
        <f ca="1">SUMIFS(rec.uni[2023-12-01],
INDIRECT("rec.uni[natureza]"),"repasse.cef.obra",
INDIRECT("rec.uni[empresa]"),K$6)</f>
        <v>0</v>
      </c>
      <c r="L38" s="49">
        <f ca="1">SUMIFS(rec.uni[2023-12-01],
INDIRECT("rec.uni[natureza]"),"repasse.cef.terreno",
INDIRECT("rec.uni[empresa]"),L$6)</f>
        <v>0</v>
      </c>
      <c r="M38" s="49">
        <v>0</v>
      </c>
      <c r="N38" s="49">
        <f ca="1">SUMIFS(rec.uni[2023-12-01],
INDIRECT("rec.uni[natureza]"),"taxa.extra",
INDIRECT("rec.uni[empresa]"),N$6)</f>
        <v>0</v>
      </c>
      <c r="O38" s="50"/>
      <c r="P38" s="48">
        <f>COUNTIFS(
    estq[empresa], P$6,
    estq[Data da venda / reserva], "&gt;=" &amp; $A38,
    estq[Data da venda / reserva], "&lt;"  &amp; EOMONTH($A38,0) + 1
)</f>
        <v>0</v>
      </c>
      <c r="Q38" s="49">
        <f ca="1">SUMIFS(rec.uni[2023-12-01],
INDIRECT("rec.uni[natureza]"),"pro.soluto",
INDIRECT("rec.uni[empresa]"),Q$6)</f>
        <v>0</v>
      </c>
      <c r="R38" s="49">
        <f ca="1">SUMIFS(rec.uni[2023-12-01],
INDIRECT("rec.uni[natureza]"),"repasse.cef.obra",
INDIRECT("rec.uni[empresa]"),R$6)</f>
        <v>0</v>
      </c>
      <c r="S38" s="49">
        <f ca="1">SUMIFS(rec.uni[2023-12-01],
INDIRECT("rec.uni[natureza]"),"repasse.cef.terreno",
INDIRECT("rec.uni[empresa]"),S$6)</f>
        <v>0</v>
      </c>
      <c r="T38" s="49">
        <v>0</v>
      </c>
      <c r="U38" s="49">
        <f ca="1">SUMIFS(rec.uni[2023-12-01],
INDIRECT("rec.uni[natureza]"),"taxa.extra",
INDIRECT("rec.uni[empresa]"),U$6)</f>
        <v>0</v>
      </c>
      <c r="V38" s="50"/>
      <c r="W38" s="48">
        <f>COUNTIFS(
    estq[empresa], W$6,
    estq[Data da venda / reserva], "&gt;=" &amp; $A38,
    estq[Data da venda / reserva], "&lt;"  &amp; EOMONTH($A38,0) + 1
)</f>
        <v>0</v>
      </c>
      <c r="X38" s="49">
        <f ca="1">SUMIFS(rec.uni[2023-12-01],
INDIRECT("rec.uni[natureza]"),"pro.soluto",
INDIRECT("rec.uni[empresa]"),X$6)</f>
        <v>0</v>
      </c>
      <c r="Y38" s="49">
        <f ca="1">SUMIFS(rec.uni[2023-12-01],
INDIRECT("rec.uni[natureza]"),"taxa.extra",
INDIRECT("rec.uni[empresa]"),Y$6)</f>
        <v>0</v>
      </c>
      <c r="Z38" s="50"/>
      <c r="AA38" s="48">
        <f>COUNTIFS(
    estq[empresa], AA$6,
    estq[Data da venda / reserva], "&gt;=" &amp; $A38,
    estq[Data da venda / reserva], "&lt;"  &amp; EOMONTH($A38,0) + 1
)</f>
        <v>0</v>
      </c>
      <c r="AB38" s="49">
        <f ca="1">SUMIFS(rec.uni[2023-12-01],
INDIRECT("rec.uni[natureza]"),"pro.soluto",
INDIRECT("rec.uni[empresa]"),AB$6)</f>
        <v>0</v>
      </c>
      <c r="AC38" s="38">
        <f ca="1">SUMIFS(rec.uni[2023-12-01],
INDIRECT("rec.uni[natureza]"),"parcela.fin.total.ik",
INDIRECT("rec.uni[empresa]"),AC$6)</f>
        <v>0</v>
      </c>
      <c r="AD38" s="49">
        <f ca="1">SUMIFS(rec.uni[2023-12-01],
INDIRECT("rec.uni[natureza]"),"taxa.extra",
INDIRECT("rec.uni[empresa]"),AD$6)</f>
        <v>0</v>
      </c>
      <c r="AE38" s="50"/>
      <c r="AF38" s="48">
        <f>COUNTIFS(
    estq[empresa], AF$6,
    estq[Data da venda / reserva], "&gt;=" &amp; $A38,
    estq[Data da venda / reserva], "&lt;"  &amp; EOMONTH($A38,0) + 1
)</f>
        <v>0</v>
      </c>
      <c r="AG38" s="49">
        <f ca="1">SUMIFS(rec.uni[2023-12-01],
INDIRECT("rec.uni[natureza]"),"pro.soluto",
INDIRECT("rec.uni[empresa]"),AG$6)</f>
        <v>0</v>
      </c>
      <c r="AH38" s="49">
        <f ca="1">SUMIFS(rec.uni[2023-12-01],
INDIRECT("rec.uni[natureza]"),"repasse.cef.obra",
INDIRECT("rec.uni[empresa]"),AH$6)</f>
        <v>0</v>
      </c>
      <c r="AI38" s="49">
        <f ca="1">SUMIFS(rec.uni[2023-12-01],
INDIRECT("rec.uni[natureza]"),"repasse.cef.terreno",
INDIRECT("rec.uni[empresa]"),AI$6)</f>
        <v>0</v>
      </c>
      <c r="AJ38" s="49">
        <v>0</v>
      </c>
      <c r="AK38" s="49">
        <f ca="1">SUMIFS(rec.uni[2023-12-01],
INDIRECT("rec.uni[natureza]"),"taxa.extra",
INDIRECT("rec.uni[empresa]"),AK$6)</f>
        <v>0</v>
      </c>
      <c r="AL38" s="50"/>
      <c r="AM38" s="48">
        <f>COUNTIFS(
    estq[empresa], AM$6,
    estq[Data da venda / reserva], "&gt;=" &amp; $A38,
    estq[Data da venda / reserva], "&lt;"  &amp; EOMONTH($A38,0) + 1
)</f>
        <v>0</v>
      </c>
      <c r="AN38" s="49">
        <f ca="1">SUMIFS(rec.uni[2023-12-01],
INDIRECT("rec.uni[natureza]"),"pro.soluto",
INDIRECT("rec.uni[empresa]"),AN$6)</f>
        <v>0</v>
      </c>
      <c r="AO38" s="49">
        <f ca="1">SUMIFS(rec.uni[2023-12-01],
INDIRECT("rec.uni[natureza]"),"taxa.extra",
INDIRECT("rec.uni[empresa]"),AO$6)</f>
        <v>0</v>
      </c>
      <c r="AP38" s="50"/>
    </row>
    <row r="39" spans="1:42" x14ac:dyDescent="0.25">
      <c r="A39" s="47">
        <v>45292</v>
      </c>
      <c r="B39" s="48">
        <f>COUNTIFS(
    estq[empresa], B$6,
    estq[Data da venda / reserva], "&gt;=" &amp; $A39,
    estq[Data da venda / reserva], "&lt;"  &amp; EOMONTH($A39,0) + 1
)</f>
        <v>0</v>
      </c>
      <c r="C39" s="49">
        <f ca="1">SUMIFS(rec.uni[2024-01-01],
INDIRECT("rec.uni[natureza]"),"pro.soluto",
INDIRECT("rec.uni[empresa]"),C$6)</f>
        <v>0</v>
      </c>
      <c r="D39" s="49">
        <f ca="1">SUMIFS(rec.uni[2024-01-01],
INDIRECT("rec.uni[natureza]"),"repasse.cef.obra",
INDIRECT("rec.uni[empresa]"),D$6)</f>
        <v>0</v>
      </c>
      <c r="E39" s="49">
        <f ca="1">SUMIFS(rec.uni[2024-01-01],
INDIRECT("rec.uni[natureza]"),"repasse.cef.terreno",
INDIRECT("rec.uni[empresa]"),E$6)</f>
        <v>0</v>
      </c>
      <c r="F39" s="49">
        <v>0</v>
      </c>
      <c r="G39" s="49">
        <f ca="1">SUMIFS(rec.uni[2024-01-01],
INDIRECT("rec.uni[natureza]"),"taxa.extra",
INDIRECT("rec.uni[empresa]"),G$6)</f>
        <v>0</v>
      </c>
      <c r="H39" s="50"/>
      <c r="I39" s="48">
        <f>COUNTIFS(
    estq[empresa], I$6,
    estq[Data da venda / reserva], "&gt;=" &amp; $A39,
    estq[Data da venda / reserva], "&lt;"  &amp; EOMONTH($A39,0) + 1
)</f>
        <v>0</v>
      </c>
      <c r="J39" s="49">
        <f ca="1">SUMIFS(rec.uni[2024-01-01],
INDIRECT("rec.uni[natureza]"),"pro.soluto",
INDIRECT("rec.uni[empresa]"),J$6)</f>
        <v>0</v>
      </c>
      <c r="K39" s="49">
        <f ca="1">SUMIFS(rec.uni[2024-01-01],
INDIRECT("rec.uni[natureza]"),"repasse.cef.obra",
INDIRECT("rec.uni[empresa]"),K$6)</f>
        <v>0</v>
      </c>
      <c r="L39" s="49">
        <f ca="1">SUMIFS(rec.uni[2024-01-01],
INDIRECT("rec.uni[natureza]"),"repasse.cef.terreno",
INDIRECT("rec.uni[empresa]"),L$6)</f>
        <v>0</v>
      </c>
      <c r="M39" s="49">
        <v>1292869.73</v>
      </c>
      <c r="N39" s="49">
        <f ca="1">SUMIFS(rec.uni[2024-01-01],
INDIRECT("rec.uni[natureza]"),"taxa.extra",
INDIRECT("rec.uni[empresa]"),N$6)</f>
        <v>0</v>
      </c>
      <c r="O39" s="50"/>
      <c r="P39" s="48">
        <f>COUNTIFS(
    estq[empresa], P$6,
    estq[Data da venda / reserva], "&gt;=" &amp; $A39,
    estq[Data da venda / reserva], "&lt;"  &amp; EOMONTH($A39,0) + 1
)</f>
        <v>0</v>
      </c>
      <c r="Q39" s="49">
        <f ca="1">SUMIFS(rec.uni[2024-01-01],
INDIRECT("rec.uni[natureza]"),"pro.soluto",
INDIRECT("rec.uni[empresa]"),Q$6)</f>
        <v>0</v>
      </c>
      <c r="R39" s="49">
        <f ca="1">SUMIFS(rec.uni[2024-01-01],
INDIRECT("rec.uni[natureza]"),"repasse.cef.obra",
INDIRECT("rec.uni[empresa]"),R$6)</f>
        <v>0</v>
      </c>
      <c r="S39" s="49">
        <f ca="1">SUMIFS(rec.uni[2024-01-01],
INDIRECT("rec.uni[natureza]"),"repasse.cef.terreno",
INDIRECT("rec.uni[empresa]"),S$6)</f>
        <v>0</v>
      </c>
      <c r="T39" s="49">
        <v>0</v>
      </c>
      <c r="U39" s="49">
        <f ca="1">SUMIFS(rec.uni[2024-01-01],
INDIRECT("rec.uni[natureza]"),"taxa.extra",
INDIRECT("rec.uni[empresa]"),U$6)</f>
        <v>0</v>
      </c>
      <c r="V39" s="50"/>
      <c r="W39" s="48">
        <f>COUNTIFS(
    estq[empresa], W$6,
    estq[Data da venda / reserva], "&gt;=" &amp; $A39,
    estq[Data da venda / reserva], "&lt;"  &amp; EOMONTH($A39,0) + 1
)</f>
        <v>0</v>
      </c>
      <c r="X39" s="49">
        <f ca="1">SUMIFS(rec.uni[2024-01-01],
INDIRECT("rec.uni[natureza]"),"pro.soluto",
INDIRECT("rec.uni[empresa]"),X$6)</f>
        <v>0</v>
      </c>
      <c r="Y39" s="49">
        <f ca="1">SUMIFS(rec.uni[2024-01-01],
INDIRECT("rec.uni[natureza]"),"taxa.extra",
INDIRECT("rec.uni[empresa]"),Y$6)</f>
        <v>0</v>
      </c>
      <c r="Z39" s="50"/>
      <c r="AA39" s="48">
        <f>COUNTIFS(
    estq[empresa], AA$6,
    estq[Data da venda / reserva], "&gt;=" &amp; $A39,
    estq[Data da venda / reserva], "&lt;"  &amp; EOMONTH($A39,0) + 1
)</f>
        <v>0</v>
      </c>
      <c r="AB39" s="49">
        <f ca="1">SUMIFS(rec.uni[2024-01-01],
INDIRECT("rec.uni[natureza]"),"pro.soluto",
INDIRECT("rec.uni[empresa]"),AB$6)</f>
        <v>0</v>
      </c>
      <c r="AC39" s="38">
        <f ca="1">SUMIFS(rec.uni[2024-01-01],
INDIRECT("rec.uni[natureza]"),"parcela.fin.total.ik",
INDIRECT("rec.uni[empresa]"),AC$6)</f>
        <v>0</v>
      </c>
      <c r="AD39" s="49">
        <f ca="1">SUMIFS(rec.uni[2024-01-01],
INDIRECT("rec.uni[natureza]"),"taxa.extra",
INDIRECT("rec.uni[empresa]"),AD$6)</f>
        <v>0</v>
      </c>
      <c r="AE39" s="50"/>
      <c r="AF39" s="48">
        <f>COUNTIFS(
    estq[empresa], AF$6,
    estq[Data da venda / reserva], "&gt;=" &amp; $A39,
    estq[Data da venda / reserva], "&lt;"  &amp; EOMONTH($A39,0) + 1
)</f>
        <v>0</v>
      </c>
      <c r="AG39" s="49">
        <f ca="1">SUMIFS(rec.uni[2024-01-01],
INDIRECT("rec.uni[natureza]"),"pro.soluto",
INDIRECT("rec.uni[empresa]"),AG$6)</f>
        <v>0</v>
      </c>
      <c r="AH39" s="49">
        <f ca="1">SUMIFS(rec.uni[2024-01-01],
INDIRECT("rec.uni[natureza]"),"repasse.cef.obra",
INDIRECT("rec.uni[empresa]"),AH$6)</f>
        <v>0</v>
      </c>
      <c r="AI39" s="49">
        <f ca="1">SUMIFS(rec.uni[2024-01-01],
INDIRECT("rec.uni[natureza]"),"repasse.cef.terreno",
INDIRECT("rec.uni[empresa]"),AI$6)</f>
        <v>0</v>
      </c>
      <c r="AJ39" s="49">
        <v>0</v>
      </c>
      <c r="AK39" s="49">
        <f ca="1">SUMIFS(rec.uni[2024-01-01],
INDIRECT("rec.uni[natureza]"),"taxa.extra",
INDIRECT("rec.uni[empresa]"),AK$6)</f>
        <v>0</v>
      </c>
      <c r="AL39" s="50"/>
      <c r="AM39" s="48">
        <f>COUNTIFS(
    estq[empresa], AM$6,
    estq[Data da venda / reserva], "&gt;=" &amp; $A39,
    estq[Data da venda / reserva], "&lt;"  &amp; EOMONTH($A39,0) + 1
)</f>
        <v>0</v>
      </c>
      <c r="AN39" s="49">
        <f ca="1">SUMIFS(rec.uni[2024-01-01],
INDIRECT("rec.uni[natureza]"),"pro.soluto",
INDIRECT("rec.uni[empresa]"),AN$6)</f>
        <v>0</v>
      </c>
      <c r="AO39" s="49">
        <f ca="1">SUMIFS(rec.uni[2024-01-01],
INDIRECT("rec.uni[natureza]"),"taxa.extra",
INDIRECT("rec.uni[empresa]"),AO$6)</f>
        <v>0</v>
      </c>
      <c r="AP39" s="50"/>
    </row>
    <row r="40" spans="1:42" x14ac:dyDescent="0.25">
      <c r="A40" s="47">
        <v>45323</v>
      </c>
      <c r="B40" s="48">
        <f>COUNTIFS(
    estq[empresa], B$6,
    estq[Data da venda / reserva], "&gt;=" &amp; $A40,
    estq[Data da venda / reserva], "&lt;"  &amp; EOMONTH($A40,0) + 1
)</f>
        <v>0</v>
      </c>
      <c r="C40" s="49">
        <f ca="1">SUMIFS(rec.uni[2024-02-01],
INDIRECT("rec.uni[natureza]"),"pro.soluto",
INDIRECT("rec.uni[empresa]"),C$6)</f>
        <v>0</v>
      </c>
      <c r="D40" s="49">
        <f ca="1">SUMIFS(rec.uni[2024-02-01],
INDIRECT("rec.uni[natureza]"),"repasse.cef.obra",
INDIRECT("rec.uni[empresa]"),D$6)</f>
        <v>0</v>
      </c>
      <c r="E40" s="49">
        <f ca="1">SUMIFS(rec.uni[2024-02-01],
INDIRECT("rec.uni[natureza]"),"repasse.cef.terreno",
INDIRECT("rec.uni[empresa]"),E$6)</f>
        <v>0</v>
      </c>
      <c r="F40" s="49">
        <v>0</v>
      </c>
      <c r="G40" s="49">
        <f ca="1">SUMIFS(rec.uni[2024-02-01],
INDIRECT("rec.uni[natureza]"),"taxa.extra",
INDIRECT("rec.uni[empresa]"),G$6)</f>
        <v>0</v>
      </c>
      <c r="H40" s="50"/>
      <c r="I40" s="48">
        <f>COUNTIFS(
    estq[empresa], I$6,
    estq[Data da venda / reserva], "&gt;=" &amp; $A40,
    estq[Data da venda / reserva], "&lt;"  &amp; EOMONTH($A40,0) + 1
)</f>
        <v>0</v>
      </c>
      <c r="J40" s="49">
        <f ca="1">SUMIFS(rec.uni[2024-02-01],
INDIRECT("rec.uni[natureza]"),"pro.soluto",
INDIRECT("rec.uni[empresa]"),J$6)</f>
        <v>0</v>
      </c>
      <c r="K40" s="49">
        <f ca="1">SUMIFS(rec.uni[2024-02-01],
INDIRECT("rec.uni[natureza]"),"repasse.cef.obra",
INDIRECT("rec.uni[empresa]"),K$6)</f>
        <v>0</v>
      </c>
      <c r="L40" s="49">
        <f ca="1">SUMIFS(rec.uni[2024-02-01],
INDIRECT("rec.uni[natureza]"),"repasse.cef.terreno",
INDIRECT("rec.uni[empresa]"),L$6)</f>
        <v>0</v>
      </c>
      <c r="M40" s="49">
        <v>641961.35</v>
      </c>
      <c r="N40" s="49">
        <f ca="1">SUMIFS(rec.uni[2024-02-01],
INDIRECT("rec.uni[natureza]"),"taxa.extra",
INDIRECT("rec.uni[empresa]"),N$6)</f>
        <v>0</v>
      </c>
      <c r="O40" s="50"/>
      <c r="P40" s="48">
        <f>COUNTIFS(
    estq[empresa], P$6,
    estq[Data da venda / reserva], "&gt;=" &amp; $A40,
    estq[Data da venda / reserva], "&lt;"  &amp; EOMONTH($A40,0) + 1
)</f>
        <v>0</v>
      </c>
      <c r="Q40" s="49">
        <f ca="1">SUMIFS(rec.uni[2024-02-01],
INDIRECT("rec.uni[natureza]"),"pro.soluto",
INDIRECT("rec.uni[empresa]"),Q$6)</f>
        <v>0</v>
      </c>
      <c r="R40" s="49">
        <f ca="1">SUMIFS(rec.uni[2024-02-01],
INDIRECT("rec.uni[natureza]"),"repasse.cef.obra",
INDIRECT("rec.uni[empresa]"),R$6)</f>
        <v>0</v>
      </c>
      <c r="S40" s="49">
        <f ca="1">SUMIFS(rec.uni[2024-02-01],
INDIRECT("rec.uni[natureza]"),"repasse.cef.terreno",
INDIRECT("rec.uni[empresa]"),S$6)</f>
        <v>0</v>
      </c>
      <c r="T40" s="49">
        <v>0</v>
      </c>
      <c r="U40" s="49">
        <f ca="1">SUMIFS(rec.uni[2024-02-01],
INDIRECT("rec.uni[natureza]"),"taxa.extra",
INDIRECT("rec.uni[empresa]"),U$6)</f>
        <v>0</v>
      </c>
      <c r="V40" s="50"/>
      <c r="W40" s="48">
        <f>COUNTIFS(
    estq[empresa], W$6,
    estq[Data da venda / reserva], "&gt;=" &amp; $A40,
    estq[Data da venda / reserva], "&lt;"  &amp; EOMONTH($A40,0) + 1
)</f>
        <v>0</v>
      </c>
      <c r="X40" s="49">
        <f ca="1">SUMIFS(rec.uni[2024-02-01],
INDIRECT("rec.uni[natureza]"),"pro.soluto",
INDIRECT("rec.uni[empresa]"),X$6)</f>
        <v>0</v>
      </c>
      <c r="Y40" s="49">
        <f ca="1">SUMIFS(rec.uni[2024-02-01],
INDIRECT("rec.uni[natureza]"),"taxa.extra",
INDIRECT("rec.uni[empresa]"),Y$6)</f>
        <v>0</v>
      </c>
      <c r="Z40" s="50"/>
      <c r="AA40" s="48">
        <f>COUNTIFS(
    estq[empresa], AA$6,
    estq[Data da venda / reserva], "&gt;=" &amp; $A40,
    estq[Data da venda / reserva], "&lt;"  &amp; EOMONTH($A40,0) + 1
)</f>
        <v>0</v>
      </c>
      <c r="AB40" s="49">
        <f ca="1">SUMIFS(rec.uni[2024-02-01],
INDIRECT("rec.uni[natureza]"),"pro.soluto",
INDIRECT("rec.uni[empresa]"),AB$6)</f>
        <v>0</v>
      </c>
      <c r="AC40" s="38">
        <f ca="1">SUMIFS(rec.uni[2024-02-01],
INDIRECT("rec.uni[natureza]"),"parcela.fin.total.ik",
INDIRECT("rec.uni[empresa]"),AC$6)</f>
        <v>0</v>
      </c>
      <c r="AD40" s="49">
        <f ca="1">SUMIFS(rec.uni[2024-02-01],
INDIRECT("rec.uni[natureza]"),"taxa.extra",
INDIRECT("rec.uni[empresa]"),AD$6)</f>
        <v>0</v>
      </c>
      <c r="AE40" s="50"/>
      <c r="AF40" s="48">
        <f>COUNTIFS(
    estq[empresa], AF$6,
    estq[Data da venda / reserva], "&gt;=" &amp; $A40,
    estq[Data da venda / reserva], "&lt;"  &amp; EOMONTH($A40,0) + 1
)</f>
        <v>0</v>
      </c>
      <c r="AG40" s="49">
        <f ca="1">SUMIFS(rec.uni[2024-02-01],
INDIRECT("rec.uni[natureza]"),"pro.soluto",
INDIRECT("rec.uni[empresa]"),AG$6)</f>
        <v>0</v>
      </c>
      <c r="AH40" s="49">
        <f ca="1">SUMIFS(rec.uni[2024-02-01],
INDIRECT("rec.uni[natureza]"),"repasse.cef.obra",
INDIRECT("rec.uni[empresa]"),AH$6)</f>
        <v>0</v>
      </c>
      <c r="AI40" s="49">
        <f ca="1">SUMIFS(rec.uni[2024-02-01],
INDIRECT("rec.uni[natureza]"),"repasse.cef.terreno",
INDIRECT("rec.uni[empresa]"),AI$6)</f>
        <v>0</v>
      </c>
      <c r="AJ40" s="49">
        <v>0</v>
      </c>
      <c r="AK40" s="49">
        <f ca="1">SUMIFS(rec.uni[2024-02-01],
INDIRECT("rec.uni[natureza]"),"taxa.extra",
INDIRECT("rec.uni[empresa]"),AK$6)</f>
        <v>0</v>
      </c>
      <c r="AL40" s="50"/>
      <c r="AM40" s="48">
        <f>COUNTIFS(
    estq[empresa], AM$6,
    estq[Data da venda / reserva], "&gt;=" &amp; $A40,
    estq[Data da venda / reserva], "&lt;"  &amp; EOMONTH($A40,0) + 1
)</f>
        <v>0</v>
      </c>
      <c r="AN40" s="49">
        <f ca="1">SUMIFS(rec.uni[2024-02-01],
INDIRECT("rec.uni[natureza]"),"pro.soluto",
INDIRECT("rec.uni[empresa]"),AN$6)</f>
        <v>0</v>
      </c>
      <c r="AO40" s="49">
        <f ca="1">SUMIFS(rec.uni[2024-02-01],
INDIRECT("rec.uni[natureza]"),"taxa.extra",
INDIRECT("rec.uni[empresa]"),AO$6)</f>
        <v>0</v>
      </c>
      <c r="AP40" s="50"/>
    </row>
    <row r="41" spans="1:42" x14ac:dyDescent="0.25">
      <c r="A41" s="47">
        <v>45352</v>
      </c>
      <c r="B41" s="48">
        <f>COUNTIFS(
    estq[empresa], B$6,
    estq[Data da venda / reserva], "&gt;=" &amp; $A41,
    estq[Data da venda / reserva], "&lt;"  &amp; EOMONTH($A41,0) + 1
)</f>
        <v>0</v>
      </c>
      <c r="C41" s="49">
        <f ca="1">SUMIFS(rec.uni[2024-03-01],
INDIRECT("rec.uni[natureza]"),"pro.soluto",
INDIRECT("rec.uni[empresa]"),C$6)</f>
        <v>0</v>
      </c>
      <c r="D41" s="49">
        <f ca="1">SUMIFS(rec.uni[2024-03-01],
INDIRECT("rec.uni[natureza]"),"repasse.cef.obra",
INDIRECT("rec.uni[empresa]"),D$6)</f>
        <v>0</v>
      </c>
      <c r="E41" s="49">
        <f ca="1">SUMIFS(rec.uni[2024-03-01],
INDIRECT("rec.uni[natureza]"),"repasse.cef.terreno",
INDIRECT("rec.uni[empresa]"),E$6)</f>
        <v>0</v>
      </c>
      <c r="F41" s="49">
        <v>403051.79</v>
      </c>
      <c r="G41" s="49">
        <f ca="1">SUMIFS(rec.uni[2024-03-01],
INDIRECT("rec.uni[natureza]"),"taxa.extra",
INDIRECT("rec.uni[empresa]"),G$6)</f>
        <v>0</v>
      </c>
      <c r="H41" s="50"/>
      <c r="I41" s="48">
        <f>COUNTIFS(
    estq[empresa], I$6,
    estq[Data da venda / reserva], "&gt;=" &amp; $A41,
    estq[Data da venda / reserva], "&lt;"  &amp; EOMONTH($A41,0) + 1
)</f>
        <v>0</v>
      </c>
      <c r="J41" s="49">
        <f ca="1">SUMIFS(rec.uni[2024-03-01],
INDIRECT("rec.uni[natureza]"),"pro.soluto",
INDIRECT("rec.uni[empresa]"),J$6)</f>
        <v>0</v>
      </c>
      <c r="K41" s="49">
        <f ca="1">SUMIFS(rec.uni[2024-03-01],
INDIRECT("rec.uni[natureza]"),"repasse.cef.obra",
INDIRECT("rec.uni[empresa]"),K$6)</f>
        <v>0</v>
      </c>
      <c r="L41" s="49">
        <f ca="1">SUMIFS(rec.uni[2024-03-01],
INDIRECT("rec.uni[natureza]"),"repasse.cef.terreno",
INDIRECT("rec.uni[empresa]"),L$6)</f>
        <v>0</v>
      </c>
      <c r="M41" s="49">
        <v>412689.22</v>
      </c>
      <c r="N41" s="49">
        <f ca="1">SUMIFS(rec.uni[2024-03-01],
INDIRECT("rec.uni[natureza]"),"taxa.extra",
INDIRECT("rec.uni[empresa]"),N$6)</f>
        <v>0</v>
      </c>
      <c r="O41" s="50"/>
      <c r="P41" s="48">
        <f>COUNTIFS(
    estq[empresa], P$6,
    estq[Data da venda / reserva], "&gt;=" &amp; $A41,
    estq[Data da venda / reserva], "&lt;"  &amp; EOMONTH($A41,0) + 1
)</f>
        <v>0</v>
      </c>
      <c r="Q41" s="49">
        <f ca="1">SUMIFS(rec.uni[2024-03-01],
INDIRECT("rec.uni[natureza]"),"pro.soluto",
INDIRECT("rec.uni[empresa]"),Q$6)</f>
        <v>0</v>
      </c>
      <c r="R41" s="49">
        <f ca="1">SUMIFS(rec.uni[2024-03-01],
INDIRECT("rec.uni[natureza]"),"repasse.cef.obra",
INDIRECT("rec.uni[empresa]"),R$6)</f>
        <v>0</v>
      </c>
      <c r="S41" s="49">
        <f ca="1">SUMIFS(rec.uni[2024-03-01],
INDIRECT("rec.uni[natureza]"),"repasse.cef.terreno",
INDIRECT("rec.uni[empresa]"),S$6)</f>
        <v>0</v>
      </c>
      <c r="T41" s="49">
        <v>0</v>
      </c>
      <c r="U41" s="49">
        <f ca="1">SUMIFS(rec.uni[2024-03-01],
INDIRECT("rec.uni[natureza]"),"taxa.extra",
INDIRECT("rec.uni[empresa]"),U$6)</f>
        <v>0</v>
      </c>
      <c r="V41" s="50"/>
      <c r="W41" s="48">
        <f>COUNTIFS(
    estq[empresa], W$6,
    estq[Data da venda / reserva], "&gt;=" &amp; $A41,
    estq[Data da venda / reserva], "&lt;"  &amp; EOMONTH($A41,0) + 1
)</f>
        <v>0</v>
      </c>
      <c r="X41" s="49">
        <f ca="1">SUMIFS(rec.uni[2024-03-01],
INDIRECT("rec.uni[natureza]"),"pro.soluto",
INDIRECT("rec.uni[empresa]"),X$6)</f>
        <v>0</v>
      </c>
      <c r="Y41" s="49">
        <f ca="1">SUMIFS(rec.uni[2024-03-01],
INDIRECT("rec.uni[natureza]"),"taxa.extra",
INDIRECT("rec.uni[empresa]"),Y$6)</f>
        <v>0</v>
      </c>
      <c r="Z41" s="50"/>
      <c r="AA41" s="48">
        <f>COUNTIFS(
    estq[empresa], AA$6,
    estq[Data da venda / reserva], "&gt;=" &amp; $A41,
    estq[Data da venda / reserva], "&lt;"  &amp; EOMONTH($A41,0) + 1
)</f>
        <v>0</v>
      </c>
      <c r="AB41" s="49">
        <f ca="1">SUMIFS(rec.uni[2024-03-01],
INDIRECT("rec.uni[natureza]"),"pro.soluto",
INDIRECT("rec.uni[empresa]"),AB$6)</f>
        <v>0</v>
      </c>
      <c r="AC41" s="38">
        <f ca="1">SUMIFS(rec.uni[2024-03-01],
INDIRECT("rec.uni[natureza]"),"parcela.fin.total.ik",
INDIRECT("rec.uni[empresa]"),AC$6)</f>
        <v>0</v>
      </c>
      <c r="AD41" s="49">
        <f ca="1">SUMIFS(rec.uni[2024-03-01],
INDIRECT("rec.uni[natureza]"),"taxa.extra",
INDIRECT("rec.uni[empresa]"),AD$6)</f>
        <v>0</v>
      </c>
      <c r="AE41" s="50"/>
      <c r="AF41" s="48">
        <f>COUNTIFS(
    estq[empresa], AF$6,
    estq[Data da venda / reserva], "&gt;=" &amp; $A41,
    estq[Data da venda / reserva], "&lt;"  &amp; EOMONTH($A41,0) + 1
)</f>
        <v>0</v>
      </c>
      <c r="AG41" s="49">
        <f ca="1">SUMIFS(rec.uni[2024-03-01],
INDIRECT("rec.uni[natureza]"),"pro.soluto",
INDIRECT("rec.uni[empresa]"),AG$6)</f>
        <v>0</v>
      </c>
      <c r="AH41" s="49">
        <f ca="1">SUMIFS(rec.uni[2024-03-01],
INDIRECT("rec.uni[natureza]"),"repasse.cef.obra",
INDIRECT("rec.uni[empresa]"),AH$6)</f>
        <v>0</v>
      </c>
      <c r="AI41" s="49">
        <f ca="1">SUMIFS(rec.uni[2024-03-01],
INDIRECT("rec.uni[natureza]"),"repasse.cef.terreno",
INDIRECT("rec.uni[empresa]"),AI$6)</f>
        <v>0</v>
      </c>
      <c r="AJ41" s="49">
        <v>0</v>
      </c>
      <c r="AK41" s="49">
        <f ca="1">SUMIFS(rec.uni[2024-03-01],
INDIRECT("rec.uni[natureza]"),"taxa.extra",
INDIRECT("rec.uni[empresa]"),AK$6)</f>
        <v>0</v>
      </c>
      <c r="AL41" s="50"/>
      <c r="AM41" s="48">
        <f>COUNTIFS(
    estq[empresa], AM$6,
    estq[Data da venda / reserva], "&gt;=" &amp; $A41,
    estq[Data da venda / reserva], "&lt;"  &amp; EOMONTH($A41,0) + 1
)</f>
        <v>0</v>
      </c>
      <c r="AN41" s="49">
        <f ca="1">SUMIFS(rec.uni[2024-03-01],
INDIRECT("rec.uni[natureza]"),"pro.soluto",
INDIRECT("rec.uni[empresa]"),AN$6)</f>
        <v>0</v>
      </c>
      <c r="AO41" s="49">
        <f ca="1">SUMIFS(rec.uni[2024-03-01],
INDIRECT("rec.uni[natureza]"),"taxa.extra",
INDIRECT("rec.uni[empresa]"),AO$6)</f>
        <v>0</v>
      </c>
      <c r="AP41" s="50"/>
    </row>
    <row r="42" spans="1:42" x14ac:dyDescent="0.25">
      <c r="A42" s="47">
        <v>45383</v>
      </c>
      <c r="B42" s="48">
        <f>COUNTIFS(
    estq[empresa], B$6,
    estq[Data da venda / reserva], "&gt;=" &amp; $A42,
    estq[Data da venda / reserva], "&lt;"  &amp; EOMONTH($A42,0) + 1
)</f>
        <v>0</v>
      </c>
      <c r="C42" s="49">
        <f ca="1">SUMIFS(rec.uni[2024-04-01],
INDIRECT("rec.uni[natureza]"),"pro.soluto",
INDIRECT("rec.uni[empresa]"),C$6)</f>
        <v>0</v>
      </c>
      <c r="D42" s="49">
        <f ca="1">SUMIFS(rec.uni[2024-04-01],
INDIRECT("rec.uni[natureza]"),"repasse.cef.obra",
INDIRECT("rec.uni[empresa]"),D$6)</f>
        <v>0</v>
      </c>
      <c r="E42" s="49">
        <f ca="1">SUMIFS(rec.uni[2024-04-01],
INDIRECT("rec.uni[natureza]"),"repasse.cef.terreno",
INDIRECT("rec.uni[empresa]"),E$6)</f>
        <v>0</v>
      </c>
      <c r="F42" s="49">
        <v>516683.36</v>
      </c>
      <c r="G42" s="49">
        <f ca="1">SUMIFS(rec.uni[2024-04-01],
INDIRECT("rec.uni[natureza]"),"taxa.extra",
INDIRECT("rec.uni[empresa]"),G$6)</f>
        <v>0</v>
      </c>
      <c r="H42" s="50"/>
      <c r="I42" s="48">
        <f>COUNTIFS(
    estq[empresa], I$6,
    estq[Data da venda / reserva], "&gt;=" &amp; $A42,
    estq[Data da venda / reserva], "&lt;"  &amp; EOMONTH($A42,0) + 1
)</f>
        <v>0</v>
      </c>
      <c r="J42" s="49">
        <f ca="1">SUMIFS(rec.uni[2024-04-01],
INDIRECT("rec.uni[natureza]"),"pro.soluto",
INDIRECT("rec.uni[empresa]"),J$6)</f>
        <v>0</v>
      </c>
      <c r="K42" s="49">
        <f ca="1">SUMIFS(rec.uni[2024-04-01],
INDIRECT("rec.uni[natureza]"),"repasse.cef.obra",
INDIRECT("rec.uni[empresa]"),K$6)</f>
        <v>0</v>
      </c>
      <c r="L42" s="49">
        <f ca="1">SUMIFS(rec.uni[2024-04-01],
INDIRECT("rec.uni[natureza]"),"repasse.cef.terreno",
INDIRECT("rec.uni[empresa]"),L$6)</f>
        <v>0</v>
      </c>
      <c r="M42" s="49">
        <v>556963.03</v>
      </c>
      <c r="N42" s="49">
        <f ca="1">SUMIFS(rec.uni[2024-04-01],
INDIRECT("rec.uni[natureza]"),"taxa.extra",
INDIRECT("rec.uni[empresa]"),N$6)</f>
        <v>0</v>
      </c>
      <c r="O42" s="50"/>
      <c r="P42" s="48">
        <f>COUNTIFS(
    estq[empresa], P$6,
    estq[Data da venda / reserva], "&gt;=" &amp; $A42,
    estq[Data da venda / reserva], "&lt;"  &amp; EOMONTH($A42,0) + 1
)</f>
        <v>0</v>
      </c>
      <c r="Q42" s="49">
        <f ca="1">SUMIFS(rec.uni[2024-04-01],
INDIRECT("rec.uni[natureza]"),"pro.soluto",
INDIRECT("rec.uni[empresa]"),Q$6)</f>
        <v>0</v>
      </c>
      <c r="R42" s="49">
        <f ca="1">SUMIFS(rec.uni[2024-04-01],
INDIRECT("rec.uni[natureza]"),"repasse.cef.obra",
INDIRECT("rec.uni[empresa]"),R$6)</f>
        <v>0</v>
      </c>
      <c r="S42" s="49">
        <f ca="1">SUMIFS(rec.uni[2024-04-01],
INDIRECT("rec.uni[natureza]"),"repasse.cef.terreno",
INDIRECT("rec.uni[empresa]"),S$6)</f>
        <v>0</v>
      </c>
      <c r="T42" s="49">
        <v>0</v>
      </c>
      <c r="U42" s="49">
        <f ca="1">SUMIFS(rec.uni[2024-04-01],
INDIRECT("rec.uni[natureza]"),"taxa.extra",
INDIRECT("rec.uni[empresa]"),U$6)</f>
        <v>0</v>
      </c>
      <c r="V42" s="50"/>
      <c r="W42" s="48">
        <f>COUNTIFS(
    estq[empresa], W$6,
    estq[Data da venda / reserva], "&gt;=" &amp; $A42,
    estq[Data da venda / reserva], "&lt;"  &amp; EOMONTH($A42,0) + 1
)</f>
        <v>0</v>
      </c>
      <c r="X42" s="49">
        <f ca="1">SUMIFS(rec.uni[2024-04-01],
INDIRECT("rec.uni[natureza]"),"pro.soluto",
INDIRECT("rec.uni[empresa]"),X$6)</f>
        <v>0</v>
      </c>
      <c r="Y42" s="49">
        <f ca="1">SUMIFS(rec.uni[2024-04-01],
INDIRECT("rec.uni[natureza]"),"taxa.extra",
INDIRECT("rec.uni[empresa]"),Y$6)</f>
        <v>0</v>
      </c>
      <c r="Z42" s="50"/>
      <c r="AA42" s="48">
        <f>COUNTIFS(
    estq[empresa], AA$6,
    estq[Data da venda / reserva], "&gt;=" &amp; $A42,
    estq[Data da venda / reserva], "&lt;"  &amp; EOMONTH($A42,0) + 1
)</f>
        <v>0</v>
      </c>
      <c r="AB42" s="49">
        <f ca="1">SUMIFS(rec.uni[2024-04-01],
INDIRECT("rec.uni[natureza]"),"pro.soluto",
INDIRECT("rec.uni[empresa]"),AB$6)</f>
        <v>0</v>
      </c>
      <c r="AC42" s="38">
        <f ca="1">SUMIFS(rec.uni[2024-04-01],
INDIRECT("rec.uni[natureza]"),"parcela.fin.total.ik",
INDIRECT("rec.uni[empresa]"),AC$6)</f>
        <v>0</v>
      </c>
      <c r="AD42" s="49">
        <f ca="1">SUMIFS(rec.uni[2024-04-01],
INDIRECT("rec.uni[natureza]"),"taxa.extra",
INDIRECT("rec.uni[empresa]"),AD$6)</f>
        <v>0</v>
      </c>
      <c r="AE42" s="50"/>
      <c r="AF42" s="48">
        <f>COUNTIFS(
    estq[empresa], AF$6,
    estq[Data da venda / reserva], "&gt;=" &amp; $A42,
    estq[Data da venda / reserva], "&lt;"  &amp; EOMONTH($A42,0) + 1
)</f>
        <v>0</v>
      </c>
      <c r="AG42" s="49">
        <f ca="1">SUMIFS(rec.uni[2024-04-01],
INDIRECT("rec.uni[natureza]"),"pro.soluto",
INDIRECT("rec.uni[empresa]"),AG$6)</f>
        <v>0</v>
      </c>
      <c r="AH42" s="49">
        <f ca="1">SUMIFS(rec.uni[2024-04-01],
INDIRECT("rec.uni[natureza]"),"repasse.cef.obra",
INDIRECT("rec.uni[empresa]"),AH$6)</f>
        <v>0</v>
      </c>
      <c r="AI42" s="49">
        <f ca="1">SUMIFS(rec.uni[2024-04-01],
INDIRECT("rec.uni[natureza]"),"repasse.cef.terreno",
INDIRECT("rec.uni[empresa]"),AI$6)</f>
        <v>0</v>
      </c>
      <c r="AJ42" s="49">
        <v>0</v>
      </c>
      <c r="AK42" s="49">
        <f ca="1">SUMIFS(rec.uni[2024-04-01],
INDIRECT("rec.uni[natureza]"),"taxa.extra",
INDIRECT("rec.uni[empresa]"),AK$6)</f>
        <v>0</v>
      </c>
      <c r="AL42" s="50"/>
      <c r="AM42" s="48">
        <f>COUNTIFS(
    estq[empresa], AM$6,
    estq[Data da venda / reserva], "&gt;=" &amp; $A42,
    estq[Data da venda / reserva], "&lt;"  &amp; EOMONTH($A42,0) + 1
)</f>
        <v>0</v>
      </c>
      <c r="AN42" s="49">
        <f ca="1">SUMIFS(rec.uni[2024-04-01],
INDIRECT("rec.uni[natureza]"),"pro.soluto",
INDIRECT("rec.uni[empresa]"),AN$6)</f>
        <v>0</v>
      </c>
      <c r="AO42" s="49">
        <f ca="1">SUMIFS(rec.uni[2024-04-01],
INDIRECT("rec.uni[natureza]"),"taxa.extra",
INDIRECT("rec.uni[empresa]"),AO$6)</f>
        <v>0</v>
      </c>
      <c r="AP42" s="50"/>
    </row>
    <row r="43" spans="1:42" x14ac:dyDescent="0.25">
      <c r="A43" s="47">
        <v>45413</v>
      </c>
      <c r="B43" s="48">
        <f>COUNTIFS(
    estq[empresa], B$6,
    estq[Data da venda / reserva], "&gt;=" &amp; $A43,
    estq[Data da venda / reserva], "&lt;"  &amp; EOMONTH($A43,0) + 1
)</f>
        <v>0</v>
      </c>
      <c r="C43" s="49">
        <f ca="1">SUMIFS(rec.uni[2024-05-01],
INDIRECT("rec.uni[natureza]"),"pro.soluto",
INDIRECT("rec.uni[empresa]"),C$6)</f>
        <v>0</v>
      </c>
      <c r="D43" s="49">
        <f ca="1">SUMIFS(rec.uni[2024-05-01],
INDIRECT("rec.uni[natureza]"),"repasse.cef.obra",
INDIRECT("rec.uni[empresa]"),D$6)</f>
        <v>0</v>
      </c>
      <c r="E43" s="49">
        <f ca="1">SUMIFS(rec.uni[2024-05-01],
INDIRECT("rec.uni[natureza]"),"repasse.cef.terreno",
INDIRECT("rec.uni[empresa]"),E$6)</f>
        <v>0</v>
      </c>
      <c r="F43" s="49">
        <v>0</v>
      </c>
      <c r="G43" s="49">
        <f ca="1">SUMIFS(rec.uni[2024-05-01],
INDIRECT("rec.uni[natureza]"),"taxa.extra",
INDIRECT("rec.uni[empresa]"),G$6)</f>
        <v>0</v>
      </c>
      <c r="H43" s="50"/>
      <c r="I43" s="48">
        <f>COUNTIFS(
    estq[empresa], I$6,
    estq[Data da venda / reserva], "&gt;=" &amp; $A43,
    estq[Data da venda / reserva], "&lt;"  &amp; EOMONTH($A43,0) + 1
)</f>
        <v>0</v>
      </c>
      <c r="J43" s="49">
        <f ca="1">SUMIFS(rec.uni[2024-05-01],
INDIRECT("rec.uni[natureza]"),"pro.soluto",
INDIRECT("rec.uni[empresa]"),J$6)</f>
        <v>0</v>
      </c>
      <c r="K43" s="49">
        <f ca="1">SUMIFS(rec.uni[2024-05-01],
INDIRECT("rec.uni[natureza]"),"repasse.cef.obra",
INDIRECT("rec.uni[empresa]"),K$6)</f>
        <v>0</v>
      </c>
      <c r="L43" s="49">
        <f ca="1">SUMIFS(rec.uni[2024-05-01],
INDIRECT("rec.uni[natureza]"),"repasse.cef.terreno",
INDIRECT("rec.uni[empresa]"),L$6)</f>
        <v>0</v>
      </c>
      <c r="M43" s="49">
        <v>0</v>
      </c>
      <c r="N43" s="49">
        <f ca="1">SUMIFS(rec.uni[2024-05-01],
INDIRECT("rec.uni[natureza]"),"taxa.extra",
INDIRECT("rec.uni[empresa]"),N$6)</f>
        <v>0</v>
      </c>
      <c r="O43" s="50"/>
      <c r="P43" s="48">
        <f>COUNTIFS(
    estq[empresa], P$6,
    estq[Data da venda / reserva], "&gt;=" &amp; $A43,
    estq[Data da venda / reserva], "&lt;"  &amp; EOMONTH($A43,0) + 1
)</f>
        <v>0</v>
      </c>
      <c r="Q43" s="49">
        <f ca="1">SUMIFS(rec.uni[2024-05-01],
INDIRECT("rec.uni[natureza]"),"pro.soluto",
INDIRECT("rec.uni[empresa]"),Q$6)</f>
        <v>0</v>
      </c>
      <c r="R43" s="49">
        <f ca="1">SUMIFS(rec.uni[2024-05-01],
INDIRECT("rec.uni[natureza]"),"repasse.cef.obra",
INDIRECT("rec.uni[empresa]"),R$6)</f>
        <v>0</v>
      </c>
      <c r="S43" s="49">
        <f ca="1">SUMIFS(rec.uni[2024-05-01],
INDIRECT("rec.uni[natureza]"),"repasse.cef.terreno",
INDIRECT("rec.uni[empresa]"),S$6)</f>
        <v>0</v>
      </c>
      <c r="T43" s="49">
        <v>0</v>
      </c>
      <c r="U43" s="49">
        <f ca="1">SUMIFS(rec.uni[2024-05-01],
INDIRECT("rec.uni[natureza]"),"taxa.extra",
INDIRECT("rec.uni[empresa]"),U$6)</f>
        <v>0</v>
      </c>
      <c r="V43" s="50"/>
      <c r="W43" s="48">
        <f>COUNTIFS(
    estq[empresa], W$6,
    estq[Data da venda / reserva], "&gt;=" &amp; $A43,
    estq[Data da venda / reserva], "&lt;"  &amp; EOMONTH($A43,0) + 1
)</f>
        <v>0</v>
      </c>
      <c r="X43" s="49">
        <f ca="1">SUMIFS(rec.uni[2024-05-01],
INDIRECT("rec.uni[natureza]"),"pro.soluto",
INDIRECT("rec.uni[empresa]"),X$6)</f>
        <v>0</v>
      </c>
      <c r="Y43" s="49">
        <f ca="1">SUMIFS(rec.uni[2024-05-01],
INDIRECT("rec.uni[natureza]"),"taxa.extra",
INDIRECT("rec.uni[empresa]"),Y$6)</f>
        <v>0</v>
      </c>
      <c r="Z43" s="50"/>
      <c r="AA43" s="48">
        <f>COUNTIFS(
    estq[empresa], AA$6,
    estq[Data da venda / reserva], "&gt;=" &amp; $A43,
    estq[Data da venda / reserva], "&lt;"  &amp; EOMONTH($A43,0) + 1
)</f>
        <v>0</v>
      </c>
      <c r="AB43" s="49">
        <f ca="1">SUMIFS(rec.uni[2024-05-01],
INDIRECT("rec.uni[natureza]"),"pro.soluto",
INDIRECT("rec.uni[empresa]"),AB$6)</f>
        <v>0</v>
      </c>
      <c r="AC43" s="38">
        <f ca="1">SUMIFS(rec.uni[2024-05-01],
INDIRECT("rec.uni[natureza]"),"parcela.fin.total.ik",
INDIRECT("rec.uni[empresa]"),AC$6)</f>
        <v>0</v>
      </c>
      <c r="AD43" s="49">
        <f ca="1">SUMIFS(rec.uni[2024-05-01],
INDIRECT("rec.uni[natureza]"),"taxa.extra",
INDIRECT("rec.uni[empresa]"),AD$6)</f>
        <v>0</v>
      </c>
      <c r="AE43" s="50"/>
      <c r="AF43" s="48">
        <f>COUNTIFS(
    estq[empresa], AF$6,
    estq[Data da venda / reserva], "&gt;=" &amp; $A43,
    estq[Data da venda / reserva], "&lt;"  &amp; EOMONTH($A43,0) + 1
)</f>
        <v>0</v>
      </c>
      <c r="AG43" s="49">
        <f ca="1">SUMIFS(rec.uni[2024-05-01],
INDIRECT("rec.uni[natureza]"),"pro.soluto",
INDIRECT("rec.uni[empresa]"),AG$6)</f>
        <v>0</v>
      </c>
      <c r="AH43" s="49">
        <f ca="1">SUMIFS(rec.uni[2024-05-01],
INDIRECT("rec.uni[natureza]"),"repasse.cef.obra",
INDIRECT("rec.uni[empresa]"),AH$6)</f>
        <v>0</v>
      </c>
      <c r="AI43" s="49">
        <f ca="1">SUMIFS(rec.uni[2024-05-01],
INDIRECT("rec.uni[natureza]"),"repasse.cef.terreno",
INDIRECT("rec.uni[empresa]"),AI$6)</f>
        <v>0</v>
      </c>
      <c r="AJ43" s="49">
        <v>0</v>
      </c>
      <c r="AK43" s="49">
        <f ca="1">SUMIFS(rec.uni[2024-05-01],
INDIRECT("rec.uni[natureza]"),"taxa.extra",
INDIRECT("rec.uni[empresa]"),AK$6)</f>
        <v>0</v>
      </c>
      <c r="AL43" s="50"/>
      <c r="AM43" s="48">
        <f>COUNTIFS(
    estq[empresa], AM$6,
    estq[Data da venda / reserva], "&gt;=" &amp; $A43,
    estq[Data da venda / reserva], "&lt;"  &amp; EOMONTH($A43,0) + 1
)</f>
        <v>0</v>
      </c>
      <c r="AN43" s="49">
        <f ca="1">SUMIFS(rec.uni[2024-05-01],
INDIRECT("rec.uni[natureza]"),"pro.soluto",
INDIRECT("rec.uni[empresa]"),AN$6)</f>
        <v>0</v>
      </c>
      <c r="AO43" s="49">
        <f ca="1">SUMIFS(rec.uni[2024-05-01],
INDIRECT("rec.uni[natureza]"),"taxa.extra",
INDIRECT("rec.uni[empresa]"),AO$6)</f>
        <v>0</v>
      </c>
      <c r="AP43" s="50"/>
    </row>
    <row r="44" spans="1:42" x14ac:dyDescent="0.25">
      <c r="A44" s="47">
        <v>45444</v>
      </c>
      <c r="B44" s="48">
        <f>COUNTIFS(
    estq[empresa], B$6,
    estq[Data da venda / reserva], "&gt;=" &amp; $A44,
    estq[Data da venda / reserva], "&lt;"  &amp; EOMONTH($A44,0) + 1
)</f>
        <v>0</v>
      </c>
      <c r="C44" s="49">
        <f ca="1">SUMIFS(rec.uni[2024-06-01],
INDIRECT("rec.uni[natureza]"),"pro.soluto",
INDIRECT("rec.uni[empresa]"),C$6)</f>
        <v>0</v>
      </c>
      <c r="D44" s="49">
        <f ca="1">SUMIFS(rec.uni[2024-06-01],
INDIRECT("rec.uni[natureza]"),"repasse.cef.obra",
INDIRECT("rec.uni[empresa]"),D$6)</f>
        <v>0</v>
      </c>
      <c r="E44" s="49">
        <f ca="1">SUMIFS(rec.uni[2024-06-01],
INDIRECT("rec.uni[natureza]"),"repasse.cef.terreno",
INDIRECT("rec.uni[empresa]"),E$6)</f>
        <v>0</v>
      </c>
      <c r="F44" s="49">
        <v>0</v>
      </c>
      <c r="G44" s="49">
        <f ca="1">SUMIFS(rec.uni[2024-06-01],
INDIRECT("rec.uni[natureza]"),"taxa.extra",
INDIRECT("rec.uni[empresa]"),G$6)</f>
        <v>0</v>
      </c>
      <c r="H44" s="50"/>
      <c r="I44" s="48">
        <f>COUNTIFS(
    estq[empresa], I$6,
    estq[Data da venda / reserva], "&gt;=" &amp; $A44,
    estq[Data da venda / reserva], "&lt;"  &amp; EOMONTH($A44,0) + 1
)</f>
        <v>0</v>
      </c>
      <c r="J44" s="49">
        <f ca="1">SUMIFS(rec.uni[2024-06-01],
INDIRECT("rec.uni[natureza]"),"pro.soluto",
INDIRECT("rec.uni[empresa]"),J$6)</f>
        <v>0</v>
      </c>
      <c r="K44" s="49">
        <f ca="1">SUMIFS(rec.uni[2024-06-01],
INDIRECT("rec.uni[natureza]"),"repasse.cef.obra",
INDIRECT("rec.uni[empresa]"),K$6)</f>
        <v>0</v>
      </c>
      <c r="L44" s="49">
        <f ca="1">SUMIFS(rec.uni[2024-06-01],
INDIRECT("rec.uni[natureza]"),"repasse.cef.terreno",
INDIRECT("rec.uni[empresa]"),L$6)</f>
        <v>0</v>
      </c>
      <c r="M44" s="49">
        <v>0</v>
      </c>
      <c r="N44" s="49">
        <f ca="1">SUMIFS(rec.uni[2024-06-01],
INDIRECT("rec.uni[natureza]"),"taxa.extra",
INDIRECT("rec.uni[empresa]"),N$6)</f>
        <v>0</v>
      </c>
      <c r="O44" s="50"/>
      <c r="P44" s="48">
        <f>COUNTIFS(
    estq[empresa], P$6,
    estq[Data da venda / reserva], "&gt;=" &amp; $A44,
    estq[Data da venda / reserva], "&lt;"  &amp; EOMONTH($A44,0) + 1
)</f>
        <v>0</v>
      </c>
      <c r="Q44" s="49">
        <f ca="1">SUMIFS(rec.uni[2024-06-01],
INDIRECT("rec.uni[natureza]"),"pro.soluto",
INDIRECT("rec.uni[empresa]"),Q$6)</f>
        <v>0</v>
      </c>
      <c r="R44" s="49">
        <f ca="1">SUMIFS(rec.uni[2024-06-01],
INDIRECT("rec.uni[natureza]"),"repasse.cef.obra",
INDIRECT("rec.uni[empresa]"),R$6)</f>
        <v>0</v>
      </c>
      <c r="S44" s="49">
        <f ca="1">SUMIFS(rec.uni[2024-06-01],
INDIRECT("rec.uni[natureza]"),"repasse.cef.terreno",
INDIRECT("rec.uni[empresa]"),S$6)</f>
        <v>0</v>
      </c>
      <c r="T44" s="49">
        <v>0</v>
      </c>
      <c r="U44" s="49">
        <f ca="1">SUMIFS(rec.uni[2024-06-01],
INDIRECT("rec.uni[natureza]"),"taxa.extra",
INDIRECT("rec.uni[empresa]"),U$6)</f>
        <v>0</v>
      </c>
      <c r="V44" s="50"/>
      <c r="W44" s="48">
        <f>COUNTIFS(
    estq[empresa], W$6,
    estq[Data da venda / reserva], "&gt;=" &amp; $A44,
    estq[Data da venda / reserva], "&lt;"  &amp; EOMONTH($A44,0) + 1
)</f>
        <v>0</v>
      </c>
      <c r="X44" s="49">
        <f ca="1">SUMIFS(rec.uni[2024-06-01],
INDIRECT("rec.uni[natureza]"),"pro.soluto",
INDIRECT("rec.uni[empresa]"),X$6)</f>
        <v>0</v>
      </c>
      <c r="Y44" s="49">
        <f ca="1">SUMIFS(rec.uni[2024-06-01],
INDIRECT("rec.uni[natureza]"),"taxa.extra",
INDIRECT("rec.uni[empresa]"),Y$6)</f>
        <v>0</v>
      </c>
      <c r="Z44" s="50"/>
      <c r="AA44" s="48">
        <f>COUNTIFS(
    estq[empresa], AA$6,
    estq[Data da venda / reserva], "&gt;=" &amp; $A44,
    estq[Data da venda / reserva], "&lt;"  &amp; EOMONTH($A44,0) + 1
)</f>
        <v>0</v>
      </c>
      <c r="AB44" s="49">
        <f ca="1">SUMIFS(rec.uni[2024-06-01],
INDIRECT("rec.uni[natureza]"),"pro.soluto",
INDIRECT("rec.uni[empresa]"),AB$6)</f>
        <v>0</v>
      </c>
      <c r="AC44" s="38">
        <f ca="1">SUMIFS(rec.uni[2024-06-01],
INDIRECT("rec.uni[natureza]"),"parcela.fin.total.ik",
INDIRECT("rec.uni[empresa]"),AC$6)</f>
        <v>0</v>
      </c>
      <c r="AD44" s="49">
        <f ca="1">SUMIFS(rec.uni[2024-06-01],
INDIRECT("rec.uni[natureza]"),"taxa.extra",
INDIRECT("rec.uni[empresa]"),AD$6)</f>
        <v>0</v>
      </c>
      <c r="AE44" s="50"/>
      <c r="AF44" s="48">
        <f>COUNTIFS(
    estq[empresa], AF$6,
    estq[Data da venda / reserva], "&gt;=" &amp; $A44,
    estq[Data da venda / reserva], "&lt;"  &amp; EOMONTH($A44,0) + 1
)</f>
        <v>0</v>
      </c>
      <c r="AG44" s="49">
        <f ca="1">SUMIFS(rec.uni[2024-06-01],
INDIRECT("rec.uni[natureza]"),"pro.soluto",
INDIRECT("rec.uni[empresa]"),AG$6)</f>
        <v>0</v>
      </c>
      <c r="AH44" s="49">
        <f ca="1">SUMIFS(rec.uni[2024-06-01],
INDIRECT("rec.uni[natureza]"),"repasse.cef.obra",
INDIRECT("rec.uni[empresa]"),AH$6)</f>
        <v>0</v>
      </c>
      <c r="AI44" s="49">
        <f ca="1">SUMIFS(rec.uni[2024-06-01],
INDIRECT("rec.uni[natureza]"),"repasse.cef.terreno",
INDIRECT("rec.uni[empresa]"),AI$6)</f>
        <v>0</v>
      </c>
      <c r="AJ44" s="49">
        <v>0</v>
      </c>
      <c r="AK44" s="49">
        <f ca="1">SUMIFS(rec.uni[2024-06-01],
INDIRECT("rec.uni[natureza]"),"taxa.extra",
INDIRECT("rec.uni[empresa]"),AK$6)</f>
        <v>0</v>
      </c>
      <c r="AL44" s="50"/>
      <c r="AM44" s="48">
        <f>COUNTIFS(
    estq[empresa], AM$6,
    estq[Data da venda / reserva], "&gt;=" &amp; $A44,
    estq[Data da venda / reserva], "&lt;"  &amp; EOMONTH($A44,0) + 1
)</f>
        <v>0</v>
      </c>
      <c r="AN44" s="49">
        <f ca="1">SUMIFS(rec.uni[2024-06-01],
INDIRECT("rec.uni[natureza]"),"pro.soluto",
INDIRECT("rec.uni[empresa]"),AN$6)</f>
        <v>0</v>
      </c>
      <c r="AO44" s="49">
        <f ca="1">SUMIFS(rec.uni[2024-06-01],
INDIRECT("rec.uni[natureza]"),"taxa.extra",
INDIRECT("rec.uni[empresa]"),AO$6)</f>
        <v>0</v>
      </c>
      <c r="AP44" s="50"/>
    </row>
    <row r="45" spans="1:42" x14ac:dyDescent="0.25">
      <c r="A45" s="47">
        <v>45474</v>
      </c>
      <c r="B45" s="48">
        <f>COUNTIFS(
    estq[empresa], B$6,
    estq[Data da venda / reserva], "&gt;=" &amp; $A45,
    estq[Data da venda / reserva], "&lt;"  &amp; EOMONTH($A45,0) + 1
)</f>
        <v>0</v>
      </c>
      <c r="C45" s="49">
        <f ca="1">SUMIFS(rec.uni[2024-07-01],
INDIRECT("rec.uni[natureza]"),"pro.soluto",
INDIRECT("rec.uni[empresa]"),C$6)</f>
        <v>0</v>
      </c>
      <c r="D45" s="49">
        <f ca="1">SUMIFS(rec.uni[2024-07-01],
INDIRECT("rec.uni[natureza]"),"repasse.cef.obra",
INDIRECT("rec.uni[empresa]"),D$6)</f>
        <v>0</v>
      </c>
      <c r="E45" s="49">
        <f ca="1">SUMIFS(rec.uni[2024-07-01],
INDIRECT("rec.uni[natureza]"),"repasse.cef.terreno",
INDIRECT("rec.uni[empresa]"),E$6)</f>
        <v>0</v>
      </c>
      <c r="F45" s="49">
        <v>0</v>
      </c>
      <c r="G45" s="49">
        <f ca="1">SUMIFS(rec.uni[2024-07-01],
INDIRECT("rec.uni[natureza]"),"taxa.extra",
INDIRECT("rec.uni[empresa]"),G$6)</f>
        <v>0</v>
      </c>
      <c r="H45" s="50"/>
      <c r="I45" s="48">
        <f>COUNTIFS(
    estq[empresa], I$6,
    estq[Data da venda / reserva], "&gt;=" &amp; $A45,
    estq[Data da venda / reserva], "&lt;"  &amp; EOMONTH($A45,0) + 1
)</f>
        <v>0</v>
      </c>
      <c r="J45" s="49">
        <f ca="1">SUMIFS(rec.uni[2024-07-01],
INDIRECT("rec.uni[natureza]"),"pro.soluto",
INDIRECT("rec.uni[empresa]"),J$6)</f>
        <v>0</v>
      </c>
      <c r="K45" s="49">
        <f ca="1">SUMIFS(rec.uni[2024-07-01],
INDIRECT("rec.uni[natureza]"),"repasse.cef.obra",
INDIRECT("rec.uni[empresa]"),K$6)</f>
        <v>0</v>
      </c>
      <c r="L45" s="49">
        <f ca="1">SUMIFS(rec.uni[2024-07-01],
INDIRECT("rec.uni[natureza]"),"repasse.cef.terreno",
INDIRECT("rec.uni[empresa]"),L$6)</f>
        <v>0</v>
      </c>
      <c r="M45" s="49">
        <v>0</v>
      </c>
      <c r="N45" s="49">
        <f ca="1">SUMIFS(rec.uni[2024-07-01],
INDIRECT("rec.uni[natureza]"),"taxa.extra",
INDIRECT("rec.uni[empresa]"),N$6)</f>
        <v>0</v>
      </c>
      <c r="O45" s="50"/>
      <c r="P45" s="48">
        <f>COUNTIFS(
    estq[empresa], P$6,
    estq[Data da venda / reserva], "&gt;=" &amp; $A45,
    estq[Data da venda / reserva], "&lt;"  &amp; EOMONTH($A45,0) + 1
)</f>
        <v>0</v>
      </c>
      <c r="Q45" s="49">
        <f ca="1">SUMIFS(rec.uni[2024-07-01],
INDIRECT("rec.uni[natureza]"),"pro.soluto",
INDIRECT("rec.uni[empresa]"),Q$6)</f>
        <v>0</v>
      </c>
      <c r="R45" s="49">
        <f ca="1">SUMIFS(rec.uni[2024-07-01],
INDIRECT("rec.uni[natureza]"),"repasse.cef.obra",
INDIRECT("rec.uni[empresa]"),R$6)</f>
        <v>0</v>
      </c>
      <c r="S45" s="49">
        <f ca="1">SUMIFS(rec.uni[2024-07-01],
INDIRECT("rec.uni[natureza]"),"repasse.cef.terreno",
INDIRECT("rec.uni[empresa]"),S$6)</f>
        <v>0</v>
      </c>
      <c r="T45" s="49">
        <v>0</v>
      </c>
      <c r="U45" s="49">
        <f ca="1">SUMIFS(rec.uni[2024-07-01],
INDIRECT("rec.uni[natureza]"),"taxa.extra",
INDIRECT("rec.uni[empresa]"),U$6)</f>
        <v>0</v>
      </c>
      <c r="V45" s="50"/>
      <c r="W45" s="48">
        <f>COUNTIFS(
    estq[empresa], W$6,
    estq[Data da venda / reserva], "&gt;=" &amp; $A45,
    estq[Data da venda / reserva], "&lt;"  &amp; EOMONTH($A45,0) + 1
)</f>
        <v>0</v>
      </c>
      <c r="X45" s="49">
        <f ca="1">SUMIFS(rec.uni[2024-07-01],
INDIRECT("rec.uni[natureza]"),"pro.soluto",
INDIRECT("rec.uni[empresa]"),X$6)</f>
        <v>0</v>
      </c>
      <c r="Y45" s="49">
        <f ca="1">SUMIFS(rec.uni[2024-07-01],
INDIRECT("rec.uni[natureza]"),"taxa.extra",
INDIRECT("rec.uni[empresa]"),Y$6)</f>
        <v>0</v>
      </c>
      <c r="Z45" s="50"/>
      <c r="AA45" s="48">
        <f>COUNTIFS(
    estq[empresa], AA$6,
    estq[Data da venda / reserva], "&gt;=" &amp; $A45,
    estq[Data da venda / reserva], "&lt;"  &amp; EOMONTH($A45,0) + 1
)</f>
        <v>0</v>
      </c>
      <c r="AB45" s="49">
        <f ca="1">SUMIFS(rec.uni[2024-07-01],
INDIRECT("rec.uni[natureza]"),"pro.soluto",
INDIRECT("rec.uni[empresa]"),AB$6)</f>
        <v>0</v>
      </c>
      <c r="AC45" s="38">
        <f ca="1">SUMIFS(rec.uni[2024-07-01],
INDIRECT("rec.uni[natureza]"),"parcela.fin.total.ik",
INDIRECT("rec.uni[empresa]"),AC$6)</f>
        <v>0</v>
      </c>
      <c r="AD45" s="49">
        <f ca="1">SUMIFS(rec.uni[2024-07-01],
INDIRECT("rec.uni[natureza]"),"taxa.extra",
INDIRECT("rec.uni[empresa]"),AD$6)</f>
        <v>0</v>
      </c>
      <c r="AE45" s="50"/>
      <c r="AF45" s="48">
        <f>COUNTIFS(
    estq[empresa], AF$6,
    estq[Data da venda / reserva], "&gt;=" &amp; $A45,
    estq[Data da venda / reserva], "&lt;"  &amp; EOMONTH($A45,0) + 1
)</f>
        <v>0</v>
      </c>
      <c r="AG45" s="49">
        <f ca="1">SUMIFS(rec.uni[2024-07-01],
INDIRECT("rec.uni[natureza]"),"pro.soluto",
INDIRECT("rec.uni[empresa]"),AG$6)</f>
        <v>0</v>
      </c>
      <c r="AH45" s="49">
        <f ca="1">SUMIFS(rec.uni[2024-07-01],
INDIRECT("rec.uni[natureza]"),"repasse.cef.obra",
INDIRECT("rec.uni[empresa]"),AH$6)</f>
        <v>0</v>
      </c>
      <c r="AI45" s="49">
        <f ca="1">SUMIFS(rec.uni[2024-07-01],
INDIRECT("rec.uni[natureza]"),"repasse.cef.terreno",
INDIRECT("rec.uni[empresa]"),AI$6)</f>
        <v>0</v>
      </c>
      <c r="AJ45" s="49">
        <v>0</v>
      </c>
      <c r="AK45" s="49">
        <f ca="1">SUMIFS(rec.uni[2024-07-01],
INDIRECT("rec.uni[natureza]"),"taxa.extra",
INDIRECT("rec.uni[empresa]"),AK$6)</f>
        <v>0</v>
      </c>
      <c r="AL45" s="50"/>
      <c r="AM45" s="48">
        <f>COUNTIFS(
    estq[empresa], AM$6,
    estq[Data da venda / reserva], "&gt;=" &amp; $A45,
    estq[Data da venda / reserva], "&lt;"  &amp; EOMONTH($A45,0) + 1
)</f>
        <v>0</v>
      </c>
      <c r="AN45" s="49">
        <f ca="1">SUMIFS(rec.uni[2024-07-01],
INDIRECT("rec.uni[natureza]"),"pro.soluto",
INDIRECT("rec.uni[empresa]"),AN$6)</f>
        <v>0</v>
      </c>
      <c r="AO45" s="49">
        <f ca="1">SUMIFS(rec.uni[2024-07-01],
INDIRECT("rec.uni[natureza]"),"taxa.extra",
INDIRECT("rec.uni[empresa]"),AO$6)</f>
        <v>0</v>
      </c>
      <c r="AP45" s="50"/>
    </row>
    <row r="46" spans="1:42" x14ac:dyDescent="0.25">
      <c r="A46" s="47">
        <v>45505</v>
      </c>
      <c r="B46" s="48">
        <f>COUNTIFS(
    estq[empresa], B$6,
    estq[Data da venda / reserva], "&gt;=" &amp; $A46,
    estq[Data da venda / reserva], "&lt;"  &amp; EOMONTH($A46,0) + 1
)</f>
        <v>0</v>
      </c>
      <c r="C46" s="49">
        <f ca="1">SUMIFS(rec.uni[2024-08-01],
INDIRECT("rec.uni[natureza]"),"pro.soluto",
INDIRECT("rec.uni[empresa]"),C$6)</f>
        <v>0</v>
      </c>
      <c r="D46" s="49">
        <f ca="1">SUMIFS(rec.uni[2024-08-01],
INDIRECT("rec.uni[natureza]"),"repasse.cef.obra",
INDIRECT("rec.uni[empresa]"),D$6)</f>
        <v>0</v>
      </c>
      <c r="E46" s="49">
        <f ca="1">SUMIFS(rec.uni[2024-08-01],
INDIRECT("rec.uni[natureza]"),"repasse.cef.terreno",
INDIRECT("rec.uni[empresa]"),E$6)</f>
        <v>0</v>
      </c>
      <c r="F46" s="49">
        <v>0</v>
      </c>
      <c r="G46" s="49">
        <f ca="1">SUMIFS(rec.uni[2024-08-01],
INDIRECT("rec.uni[natureza]"),"taxa.extra",
INDIRECT("rec.uni[empresa]"),G$6)</f>
        <v>0</v>
      </c>
      <c r="H46" s="50"/>
      <c r="I46" s="48">
        <f>COUNTIFS(
    estq[empresa], I$6,
    estq[Data da venda / reserva], "&gt;=" &amp; $A46,
    estq[Data da venda / reserva], "&lt;"  &amp; EOMONTH($A46,0) + 1
)</f>
        <v>0</v>
      </c>
      <c r="J46" s="49">
        <f ca="1">SUMIFS(rec.uni[2024-08-01],
INDIRECT("rec.uni[natureza]"),"pro.soluto",
INDIRECT("rec.uni[empresa]"),J$6)</f>
        <v>0</v>
      </c>
      <c r="K46" s="49">
        <f ca="1">SUMIFS(rec.uni[2024-08-01],
INDIRECT("rec.uni[natureza]"),"repasse.cef.obra",
INDIRECT("rec.uni[empresa]"),K$6)</f>
        <v>0</v>
      </c>
      <c r="L46" s="49">
        <f ca="1">SUMIFS(rec.uni[2024-08-01],
INDIRECT("rec.uni[natureza]"),"repasse.cef.terreno",
INDIRECT("rec.uni[empresa]"),L$6)</f>
        <v>0</v>
      </c>
      <c r="M46" s="49">
        <v>0</v>
      </c>
      <c r="N46" s="49">
        <f ca="1">SUMIFS(rec.uni[2024-08-01],
INDIRECT("rec.uni[natureza]"),"taxa.extra",
INDIRECT("rec.uni[empresa]"),N$6)</f>
        <v>0</v>
      </c>
      <c r="O46" s="50"/>
      <c r="P46" s="48">
        <f>COUNTIFS(
    estq[empresa], P$6,
    estq[Data da venda / reserva], "&gt;=" &amp; $A46,
    estq[Data da venda / reserva], "&lt;"  &amp; EOMONTH($A46,0) + 1
)</f>
        <v>0</v>
      </c>
      <c r="Q46" s="49">
        <f ca="1">SUMIFS(rec.uni[2024-08-01],
INDIRECT("rec.uni[natureza]"),"pro.soluto",
INDIRECT("rec.uni[empresa]"),Q$6)</f>
        <v>0</v>
      </c>
      <c r="R46" s="49">
        <f ca="1">SUMIFS(rec.uni[2024-08-01],
INDIRECT("rec.uni[natureza]"),"repasse.cef.obra",
INDIRECT("rec.uni[empresa]"),R$6)</f>
        <v>0</v>
      </c>
      <c r="S46" s="49">
        <f ca="1">SUMIFS(rec.uni[2024-08-01],
INDIRECT("rec.uni[natureza]"),"repasse.cef.terreno",
INDIRECT("rec.uni[empresa]"),S$6)</f>
        <v>0</v>
      </c>
      <c r="T46" s="49">
        <v>0</v>
      </c>
      <c r="U46" s="49">
        <f ca="1">SUMIFS(rec.uni[2024-08-01],
INDIRECT("rec.uni[natureza]"),"taxa.extra",
INDIRECT("rec.uni[empresa]"),U$6)</f>
        <v>0</v>
      </c>
      <c r="V46" s="50"/>
      <c r="W46" s="48">
        <f>COUNTIFS(
    estq[empresa], W$6,
    estq[Data da venda / reserva], "&gt;=" &amp; $A46,
    estq[Data da venda / reserva], "&lt;"  &amp; EOMONTH($A46,0) + 1
)</f>
        <v>0</v>
      </c>
      <c r="X46" s="49">
        <f ca="1">SUMIFS(rec.uni[2024-08-01],
INDIRECT("rec.uni[natureza]"),"pro.soluto",
INDIRECT("rec.uni[empresa]"),X$6)</f>
        <v>0</v>
      </c>
      <c r="Y46" s="49">
        <f ca="1">SUMIFS(rec.uni[2024-08-01],
INDIRECT("rec.uni[natureza]"),"taxa.extra",
INDIRECT("rec.uni[empresa]"),Y$6)</f>
        <v>0</v>
      </c>
      <c r="Z46" s="50"/>
      <c r="AA46" s="48">
        <f>COUNTIFS(
    estq[empresa], AA$6,
    estq[Data da venda / reserva], "&gt;=" &amp; $A46,
    estq[Data da venda / reserva], "&lt;"  &amp; EOMONTH($A46,0) + 1
)</f>
        <v>0</v>
      </c>
      <c r="AB46" s="49">
        <f ca="1">SUMIFS(rec.uni[2024-08-01],
INDIRECT("rec.uni[natureza]"),"pro.soluto",
INDIRECT("rec.uni[empresa]"),AB$6)</f>
        <v>0</v>
      </c>
      <c r="AC46" s="38">
        <f ca="1">SUMIFS(rec.uni[2024-08-01],
INDIRECT("rec.uni[natureza]"),"parcela.fin.total.ik",
INDIRECT("rec.uni[empresa]"),AC$6)</f>
        <v>0</v>
      </c>
      <c r="AD46" s="49">
        <f ca="1">SUMIFS(rec.uni[2024-08-01],
INDIRECT("rec.uni[natureza]"),"taxa.extra",
INDIRECT("rec.uni[empresa]"),AD$6)</f>
        <v>0</v>
      </c>
      <c r="AE46" s="50"/>
      <c r="AF46" s="48">
        <f>COUNTIFS(
    estq[empresa], AF$6,
    estq[Data da venda / reserva], "&gt;=" &amp; $A46,
    estq[Data da venda / reserva], "&lt;"  &amp; EOMONTH($A46,0) + 1
)</f>
        <v>0</v>
      </c>
      <c r="AG46" s="49">
        <f ca="1">SUMIFS(rec.uni[2024-08-01],
INDIRECT("rec.uni[natureza]"),"pro.soluto",
INDIRECT("rec.uni[empresa]"),AG$6)</f>
        <v>0</v>
      </c>
      <c r="AH46" s="49">
        <f ca="1">SUMIFS(rec.uni[2024-08-01],
INDIRECT("rec.uni[natureza]"),"repasse.cef.obra",
INDIRECT("rec.uni[empresa]"),AH$6)</f>
        <v>0</v>
      </c>
      <c r="AI46" s="49">
        <f ca="1">SUMIFS(rec.uni[2024-08-01],
INDIRECT("rec.uni[natureza]"),"repasse.cef.terreno",
INDIRECT("rec.uni[empresa]"),AI$6)</f>
        <v>0</v>
      </c>
      <c r="AJ46" s="49">
        <v>0</v>
      </c>
      <c r="AK46" s="49">
        <f ca="1">SUMIFS(rec.uni[2024-08-01],
INDIRECT("rec.uni[natureza]"),"taxa.extra",
INDIRECT("rec.uni[empresa]"),AK$6)</f>
        <v>0</v>
      </c>
      <c r="AL46" s="50"/>
      <c r="AM46" s="48">
        <f>COUNTIFS(
    estq[empresa], AM$6,
    estq[Data da venda / reserva], "&gt;=" &amp; $A46,
    estq[Data da venda / reserva], "&lt;"  &amp; EOMONTH($A46,0) + 1
)</f>
        <v>0</v>
      </c>
      <c r="AN46" s="49">
        <f ca="1">SUMIFS(rec.uni[2024-08-01],
INDIRECT("rec.uni[natureza]"),"pro.soluto",
INDIRECT("rec.uni[empresa]"),AN$6)</f>
        <v>0</v>
      </c>
      <c r="AO46" s="49">
        <f ca="1">SUMIFS(rec.uni[2024-08-01],
INDIRECT("rec.uni[natureza]"),"taxa.extra",
INDIRECT("rec.uni[empresa]"),AO$6)</f>
        <v>0</v>
      </c>
      <c r="AP46" s="50"/>
    </row>
    <row r="47" spans="1:42" x14ac:dyDescent="0.25">
      <c r="A47" s="47">
        <v>45536</v>
      </c>
      <c r="B47" s="48">
        <f>COUNTIFS(
    estq[empresa], B$6,
    estq[Data da venda / reserva], "&gt;=" &amp; $A47,
    estq[Data da venda / reserva], "&lt;"  &amp; EOMONTH($A47,0) + 1
)</f>
        <v>0</v>
      </c>
      <c r="C47" s="49">
        <f ca="1">SUMIFS(rec.uni[2024-09-01],
INDIRECT("rec.uni[natureza]"),"pro.soluto",
INDIRECT("rec.uni[empresa]"),C$6)</f>
        <v>0</v>
      </c>
      <c r="D47" s="49">
        <f ca="1">SUMIFS(rec.uni[2024-09-01],
INDIRECT("rec.uni[natureza]"),"repasse.cef.obra",
INDIRECT("rec.uni[empresa]"),D$6)</f>
        <v>0</v>
      </c>
      <c r="E47" s="49">
        <f ca="1">SUMIFS(rec.uni[2024-09-01],
INDIRECT("rec.uni[natureza]"),"repasse.cef.terreno",
INDIRECT("rec.uni[empresa]"),E$6)</f>
        <v>0</v>
      </c>
      <c r="F47" s="49">
        <v>198297.96</v>
      </c>
      <c r="G47" s="49">
        <f ca="1">SUMIFS(rec.uni[2024-09-01],
INDIRECT("rec.uni[natureza]"),"taxa.extra",
INDIRECT("rec.uni[empresa]"),G$6)</f>
        <v>0</v>
      </c>
      <c r="H47" s="50"/>
      <c r="I47" s="48">
        <f>COUNTIFS(
    estq[empresa], I$6,
    estq[Data da venda / reserva], "&gt;=" &amp; $A47,
    estq[Data da venda / reserva], "&lt;"  &amp; EOMONTH($A47,0) + 1
)</f>
        <v>0</v>
      </c>
      <c r="J47" s="49">
        <f ca="1">SUMIFS(rec.uni[2024-09-01],
INDIRECT("rec.uni[natureza]"),"pro.soluto",
INDIRECT("rec.uni[empresa]"),J$6)</f>
        <v>0</v>
      </c>
      <c r="K47" s="49">
        <f ca="1">SUMIFS(rec.uni[2024-09-01],
INDIRECT("rec.uni[natureza]"),"repasse.cef.obra",
INDIRECT("rec.uni[empresa]"),K$6)</f>
        <v>0</v>
      </c>
      <c r="L47" s="49">
        <f ca="1">SUMIFS(rec.uni[2024-09-01],
INDIRECT("rec.uni[natureza]"),"repasse.cef.terreno",
INDIRECT("rec.uni[empresa]"),L$6)</f>
        <v>0</v>
      </c>
      <c r="M47" s="49">
        <v>0</v>
      </c>
      <c r="N47" s="49">
        <f ca="1">SUMIFS(rec.uni[2024-09-01],
INDIRECT("rec.uni[natureza]"),"taxa.extra",
INDIRECT("rec.uni[empresa]"),N$6)</f>
        <v>0</v>
      </c>
      <c r="O47" s="50"/>
      <c r="P47" s="48">
        <f>COUNTIFS(
    estq[empresa], P$6,
    estq[Data da venda / reserva], "&gt;=" &amp; $A47,
    estq[Data da venda / reserva], "&lt;"  &amp; EOMONTH($A47,0) + 1
)</f>
        <v>0</v>
      </c>
      <c r="Q47" s="49">
        <f ca="1">SUMIFS(rec.uni[2024-09-01],
INDIRECT("rec.uni[natureza]"),"pro.soluto",
INDIRECT("rec.uni[empresa]"),Q$6)</f>
        <v>0</v>
      </c>
      <c r="R47" s="49">
        <f ca="1">SUMIFS(rec.uni[2024-09-01],
INDIRECT("rec.uni[natureza]"),"repasse.cef.obra",
INDIRECT("rec.uni[empresa]"),R$6)</f>
        <v>0</v>
      </c>
      <c r="S47" s="49">
        <f ca="1">SUMIFS(rec.uni[2024-09-01],
INDIRECT("rec.uni[natureza]"),"repasse.cef.terreno",
INDIRECT("rec.uni[empresa]"),S$6)</f>
        <v>0</v>
      </c>
      <c r="T47" s="49">
        <v>0</v>
      </c>
      <c r="U47" s="49">
        <f ca="1">SUMIFS(rec.uni[2024-09-01],
INDIRECT("rec.uni[natureza]"),"taxa.extra",
INDIRECT("rec.uni[empresa]"),U$6)</f>
        <v>0</v>
      </c>
      <c r="V47" s="50"/>
      <c r="W47" s="48">
        <f>COUNTIFS(
    estq[empresa], W$6,
    estq[Data da venda / reserva], "&gt;=" &amp; $A47,
    estq[Data da venda / reserva], "&lt;"  &amp; EOMONTH($A47,0) + 1
)</f>
        <v>0</v>
      </c>
      <c r="X47" s="49">
        <f ca="1">SUMIFS(rec.uni[2024-09-01],
INDIRECT("rec.uni[natureza]"),"pro.soluto",
INDIRECT("rec.uni[empresa]"),X$6)</f>
        <v>0</v>
      </c>
      <c r="Y47" s="49">
        <f ca="1">SUMIFS(rec.uni[2024-09-01],
INDIRECT("rec.uni[natureza]"),"taxa.extra",
INDIRECT("rec.uni[empresa]"),Y$6)</f>
        <v>0</v>
      </c>
      <c r="Z47" s="50"/>
      <c r="AA47" s="48">
        <f>COUNTIFS(
    estq[empresa], AA$6,
    estq[Data da venda / reserva], "&gt;=" &amp; $A47,
    estq[Data da venda / reserva], "&lt;"  &amp; EOMONTH($A47,0) + 1
)</f>
        <v>0</v>
      </c>
      <c r="AB47" s="49">
        <f ca="1">SUMIFS(rec.uni[2024-09-01],
INDIRECT("rec.uni[natureza]"),"pro.soluto",
INDIRECT("rec.uni[empresa]"),AB$6)</f>
        <v>0</v>
      </c>
      <c r="AC47" s="38">
        <f ca="1">SUMIFS(rec.uni[2024-09-01],
INDIRECT("rec.uni[natureza]"),"parcela.fin.total.ik",
INDIRECT("rec.uni[empresa]"),AC$6)</f>
        <v>0</v>
      </c>
      <c r="AD47" s="49">
        <f ca="1">SUMIFS(rec.uni[2024-09-01],
INDIRECT("rec.uni[natureza]"),"taxa.extra",
INDIRECT("rec.uni[empresa]"),AD$6)</f>
        <v>0</v>
      </c>
      <c r="AE47" s="50"/>
      <c r="AF47" s="48">
        <f>COUNTIFS(
    estq[empresa], AF$6,
    estq[Data da venda / reserva], "&gt;=" &amp; $A47,
    estq[Data da venda / reserva], "&lt;"  &amp; EOMONTH($A47,0) + 1
)</f>
        <v>0</v>
      </c>
      <c r="AG47" s="49">
        <f ca="1">SUMIFS(rec.uni[2024-09-01],
INDIRECT("rec.uni[natureza]"),"pro.soluto",
INDIRECT("rec.uni[empresa]"),AG$6)</f>
        <v>0</v>
      </c>
      <c r="AH47" s="49">
        <f ca="1">SUMIFS(rec.uni[2024-09-01],
INDIRECT("rec.uni[natureza]"),"repasse.cef.obra",
INDIRECT("rec.uni[empresa]"),AH$6)</f>
        <v>0</v>
      </c>
      <c r="AI47" s="49">
        <f ca="1">SUMIFS(rec.uni[2024-09-01],
INDIRECT("rec.uni[natureza]"),"repasse.cef.terreno",
INDIRECT("rec.uni[empresa]"),AI$6)</f>
        <v>0</v>
      </c>
      <c r="AJ47" s="49">
        <v>0</v>
      </c>
      <c r="AK47" s="49">
        <f ca="1">SUMIFS(rec.uni[2024-09-01],
INDIRECT("rec.uni[natureza]"),"taxa.extra",
INDIRECT("rec.uni[empresa]"),AK$6)</f>
        <v>0</v>
      </c>
      <c r="AL47" s="50"/>
      <c r="AM47" s="48">
        <f>COUNTIFS(
    estq[empresa], AM$6,
    estq[Data da venda / reserva], "&gt;=" &amp; $A47,
    estq[Data da venda / reserva], "&lt;"  &amp; EOMONTH($A47,0) + 1
)</f>
        <v>0</v>
      </c>
      <c r="AN47" s="49">
        <f ca="1">SUMIFS(rec.uni[2024-09-01],
INDIRECT("rec.uni[natureza]"),"pro.soluto",
INDIRECT("rec.uni[empresa]"),AN$6)</f>
        <v>0</v>
      </c>
      <c r="AO47" s="49">
        <f ca="1">SUMIFS(rec.uni[2024-09-01],
INDIRECT("rec.uni[natureza]"),"taxa.extra",
INDIRECT("rec.uni[empresa]"),AO$6)</f>
        <v>0</v>
      </c>
      <c r="AP47" s="50"/>
    </row>
    <row r="48" spans="1:42" x14ac:dyDescent="0.25">
      <c r="A48" s="47">
        <v>45566</v>
      </c>
      <c r="B48" s="48">
        <f>COUNTIFS(
    estq[empresa], B$6,
    estq[Data da venda / reserva], "&gt;=" &amp; $A48,
    estq[Data da venda / reserva], "&lt;"  &amp; EOMONTH($A48,0) + 1
)</f>
        <v>0</v>
      </c>
      <c r="C48" s="49">
        <f ca="1">SUMIFS(rec.uni[2024-10-01],
INDIRECT("rec.uni[natureza]"),"pro.soluto",
INDIRECT("rec.uni[empresa]"),C$6)</f>
        <v>0</v>
      </c>
      <c r="D48" s="49">
        <f ca="1">SUMIFS(rec.uni[2024-10-01],
INDIRECT("rec.uni[natureza]"),"repasse.cef.obra",
INDIRECT("rec.uni[empresa]"),D$6)</f>
        <v>0</v>
      </c>
      <c r="E48" s="49">
        <f ca="1">SUMIFS(rec.uni[2024-10-01],
INDIRECT("rec.uni[natureza]"),"repasse.cef.terreno",
INDIRECT("rec.uni[empresa]"),E$6)</f>
        <v>0</v>
      </c>
      <c r="F48" s="49">
        <v>473587.72</v>
      </c>
      <c r="G48" s="49">
        <f ca="1">SUMIFS(rec.uni[2024-10-01],
INDIRECT("rec.uni[natureza]"),"taxa.extra",
INDIRECT("rec.uni[empresa]"),G$6)</f>
        <v>0</v>
      </c>
      <c r="H48" s="50"/>
      <c r="I48" s="48">
        <f>COUNTIFS(
    estq[empresa], I$6,
    estq[Data da venda / reserva], "&gt;=" &amp; $A48,
    estq[Data da venda / reserva], "&lt;"  &amp; EOMONTH($A48,0) + 1
)</f>
        <v>0</v>
      </c>
      <c r="J48" s="49">
        <f ca="1">SUMIFS(rec.uni[2024-10-01],
INDIRECT("rec.uni[natureza]"),"pro.soluto",
INDIRECT("rec.uni[empresa]"),J$6)</f>
        <v>0</v>
      </c>
      <c r="K48" s="49">
        <f ca="1">SUMIFS(rec.uni[2024-10-01],
INDIRECT("rec.uni[natureza]"),"repasse.cef.obra",
INDIRECT("rec.uni[empresa]"),K$6)</f>
        <v>0</v>
      </c>
      <c r="L48" s="49">
        <f ca="1">SUMIFS(rec.uni[2024-10-01],
INDIRECT("rec.uni[natureza]"),"repasse.cef.terreno",
INDIRECT("rec.uni[empresa]"),L$6)</f>
        <v>0</v>
      </c>
      <c r="M48" s="49">
        <v>0</v>
      </c>
      <c r="N48" s="49">
        <f ca="1">SUMIFS(rec.uni[2024-10-01],
INDIRECT("rec.uni[natureza]"),"taxa.extra",
INDIRECT("rec.uni[empresa]"),N$6)</f>
        <v>0</v>
      </c>
      <c r="O48" s="50"/>
      <c r="P48" s="48">
        <f>COUNTIFS(
    estq[empresa], P$6,
    estq[Data da venda / reserva], "&gt;=" &amp; $A48,
    estq[Data da venda / reserva], "&lt;"  &amp; EOMONTH($A48,0) + 1
)</f>
        <v>0</v>
      </c>
      <c r="Q48" s="49">
        <f ca="1">SUMIFS(rec.uni[2024-10-01],
INDIRECT("rec.uni[natureza]"),"pro.soluto",
INDIRECT("rec.uni[empresa]"),Q$6)</f>
        <v>0</v>
      </c>
      <c r="R48" s="49">
        <f ca="1">SUMIFS(rec.uni[2024-10-01],
INDIRECT("rec.uni[natureza]"),"repasse.cef.obra",
INDIRECT("rec.uni[empresa]"),R$6)</f>
        <v>0</v>
      </c>
      <c r="S48" s="49">
        <f ca="1">SUMIFS(rec.uni[2024-10-01],
INDIRECT("rec.uni[natureza]"),"repasse.cef.terreno",
INDIRECT("rec.uni[empresa]"),S$6)</f>
        <v>0</v>
      </c>
      <c r="T48" s="49">
        <v>0</v>
      </c>
      <c r="U48" s="49">
        <f ca="1">SUMIFS(rec.uni[2024-10-01],
INDIRECT("rec.uni[natureza]"),"taxa.extra",
INDIRECT("rec.uni[empresa]"),U$6)</f>
        <v>0</v>
      </c>
      <c r="V48" s="50"/>
      <c r="W48" s="48">
        <f>COUNTIFS(
    estq[empresa], W$6,
    estq[Data da venda / reserva], "&gt;=" &amp; $A48,
    estq[Data da venda / reserva], "&lt;"  &amp; EOMONTH($A48,0) + 1
)</f>
        <v>0</v>
      </c>
      <c r="X48" s="49">
        <f ca="1">SUMIFS(rec.uni[2024-10-01],
INDIRECT("rec.uni[natureza]"),"pro.soluto",
INDIRECT("rec.uni[empresa]"),X$6)</f>
        <v>0</v>
      </c>
      <c r="Y48" s="49">
        <f ca="1">SUMIFS(rec.uni[2024-10-01],
INDIRECT("rec.uni[natureza]"),"taxa.extra",
INDIRECT("rec.uni[empresa]"),Y$6)</f>
        <v>0</v>
      </c>
      <c r="Z48" s="50"/>
      <c r="AA48" s="48">
        <f>COUNTIFS(
    estq[empresa], AA$6,
    estq[Data da venda / reserva], "&gt;=" &amp; $A48,
    estq[Data da venda / reserva], "&lt;"  &amp; EOMONTH($A48,0) + 1
)</f>
        <v>0</v>
      </c>
      <c r="AB48" s="49">
        <f ca="1">SUMIFS(rec.uni[2024-10-01],
INDIRECT("rec.uni[natureza]"),"pro.soluto",
INDIRECT("rec.uni[empresa]"),AB$6)</f>
        <v>0</v>
      </c>
      <c r="AC48" s="38">
        <f ca="1">SUMIFS(rec.uni[2024-10-01],
INDIRECT("rec.uni[natureza]"),"parcela.fin.total.ik",
INDIRECT("rec.uni[empresa]"),AC$6)</f>
        <v>0</v>
      </c>
      <c r="AD48" s="49">
        <f ca="1">SUMIFS(rec.uni[2024-10-01],
INDIRECT("rec.uni[natureza]"),"taxa.extra",
INDIRECT("rec.uni[empresa]"),AD$6)</f>
        <v>0</v>
      </c>
      <c r="AE48" s="50"/>
      <c r="AF48" s="48">
        <f>COUNTIFS(
    estq[empresa], AF$6,
    estq[Data da venda / reserva], "&gt;=" &amp; $A48,
    estq[Data da venda / reserva], "&lt;"  &amp; EOMONTH($A48,0) + 1
)</f>
        <v>0</v>
      </c>
      <c r="AG48" s="49">
        <f ca="1">SUMIFS(rec.uni[2024-10-01],
INDIRECT("rec.uni[natureza]"),"pro.soluto",
INDIRECT("rec.uni[empresa]"),AG$6)</f>
        <v>0</v>
      </c>
      <c r="AH48" s="49">
        <f ca="1">SUMIFS(rec.uni[2024-10-01],
INDIRECT("rec.uni[natureza]"),"repasse.cef.obra",
INDIRECT("rec.uni[empresa]"),AH$6)</f>
        <v>0</v>
      </c>
      <c r="AI48" s="49">
        <f ca="1">SUMIFS(rec.uni[2024-10-01],
INDIRECT("rec.uni[natureza]"),"repasse.cef.terreno",
INDIRECT("rec.uni[empresa]"),AI$6)</f>
        <v>0</v>
      </c>
      <c r="AJ48" s="49">
        <v>0</v>
      </c>
      <c r="AK48" s="49">
        <f ca="1">SUMIFS(rec.uni[2024-10-01],
INDIRECT("rec.uni[natureza]"),"taxa.extra",
INDIRECT("rec.uni[empresa]"),AK$6)</f>
        <v>0</v>
      </c>
      <c r="AL48" s="50"/>
      <c r="AM48" s="48">
        <f>COUNTIFS(
    estq[empresa], AM$6,
    estq[Data da venda / reserva], "&gt;=" &amp; $A48,
    estq[Data da venda / reserva], "&lt;"  &amp; EOMONTH($A48,0) + 1
)</f>
        <v>0</v>
      </c>
      <c r="AN48" s="49">
        <f ca="1">SUMIFS(rec.uni[2024-10-01],
INDIRECT("rec.uni[natureza]"),"pro.soluto",
INDIRECT("rec.uni[empresa]"),AN$6)</f>
        <v>0</v>
      </c>
      <c r="AO48" s="49">
        <f ca="1">SUMIFS(rec.uni[2024-10-01],
INDIRECT("rec.uni[natureza]"),"taxa.extra",
INDIRECT("rec.uni[empresa]"),AO$6)</f>
        <v>0</v>
      </c>
      <c r="AP48" s="50"/>
    </row>
    <row r="49" spans="1:42" x14ac:dyDescent="0.25">
      <c r="A49" s="47">
        <v>45597</v>
      </c>
      <c r="B49" s="48">
        <f>COUNTIFS(
    estq[empresa], B$6,
    estq[Data da venda / reserva], "&gt;=" &amp; $A49,
    estq[Data da venda / reserva], "&lt;"  &amp; EOMONTH($A49,0) + 1
)</f>
        <v>0</v>
      </c>
      <c r="C49" s="49">
        <f ca="1">SUMIFS(rec.uni[2024-11-01],
INDIRECT("rec.uni[natureza]"),"pro.soluto",
INDIRECT("rec.uni[empresa]"),C$6)</f>
        <v>0</v>
      </c>
      <c r="D49" s="49">
        <f ca="1">SUMIFS(rec.uni[2024-11-01],
INDIRECT("rec.uni[natureza]"),"repasse.cef.obra",
INDIRECT("rec.uni[empresa]"),D$6)</f>
        <v>0</v>
      </c>
      <c r="E49" s="49">
        <f ca="1">SUMIFS(rec.uni[2024-11-01],
INDIRECT("rec.uni[natureza]"),"repasse.cef.terreno",
INDIRECT("rec.uni[empresa]"),E$6)</f>
        <v>0</v>
      </c>
      <c r="F49" s="49">
        <v>0</v>
      </c>
      <c r="G49" s="49">
        <f ca="1">SUMIFS(rec.uni[2024-11-01],
INDIRECT("rec.uni[natureza]"),"taxa.extra",
INDIRECT("rec.uni[empresa]"),G$6)</f>
        <v>0</v>
      </c>
      <c r="H49" s="50"/>
      <c r="I49" s="48">
        <f>COUNTIFS(
    estq[empresa], I$6,
    estq[Data da venda / reserva], "&gt;=" &amp; $A49,
    estq[Data da venda / reserva], "&lt;"  &amp; EOMONTH($A49,0) + 1
)</f>
        <v>0</v>
      </c>
      <c r="J49" s="49">
        <f ca="1">SUMIFS(rec.uni[2024-11-01],
INDIRECT("rec.uni[natureza]"),"pro.soluto",
INDIRECT("rec.uni[empresa]"),J$6)</f>
        <v>0</v>
      </c>
      <c r="K49" s="49">
        <f ca="1">SUMIFS(rec.uni[2024-11-01],
INDIRECT("rec.uni[natureza]"),"repasse.cef.obra",
INDIRECT("rec.uni[empresa]"),K$6)</f>
        <v>0</v>
      </c>
      <c r="L49" s="49">
        <f ca="1">SUMIFS(rec.uni[2024-11-01],
INDIRECT("rec.uni[natureza]"),"repasse.cef.terreno",
INDIRECT("rec.uni[empresa]"),L$6)</f>
        <v>0</v>
      </c>
      <c r="M49" s="49">
        <v>0</v>
      </c>
      <c r="N49" s="49">
        <f ca="1">SUMIFS(rec.uni[2024-11-01],
INDIRECT("rec.uni[natureza]"),"taxa.extra",
INDIRECT("rec.uni[empresa]"),N$6)</f>
        <v>0</v>
      </c>
      <c r="O49" s="50"/>
      <c r="P49" s="48">
        <f>COUNTIFS(
    estq[empresa], P$6,
    estq[Data da venda / reserva], "&gt;=" &amp; $A49,
    estq[Data da venda / reserva], "&lt;"  &amp; EOMONTH($A49,0) + 1
)</f>
        <v>0</v>
      </c>
      <c r="Q49" s="49">
        <f ca="1">SUMIFS(rec.uni[2024-11-01],
INDIRECT("rec.uni[natureza]"),"pro.soluto",
INDIRECT("rec.uni[empresa]"),Q$6)</f>
        <v>0</v>
      </c>
      <c r="R49" s="49">
        <f ca="1">SUMIFS(rec.uni[2024-11-01],
INDIRECT("rec.uni[natureza]"),"repasse.cef.obra",
INDIRECT("rec.uni[empresa]"),R$6)</f>
        <v>0</v>
      </c>
      <c r="S49" s="49">
        <f ca="1">SUMIFS(rec.uni[2024-11-01],
INDIRECT("rec.uni[natureza]"),"repasse.cef.terreno",
INDIRECT("rec.uni[empresa]"),S$6)</f>
        <v>0</v>
      </c>
      <c r="T49" s="49">
        <v>0</v>
      </c>
      <c r="U49" s="49">
        <f ca="1">SUMIFS(rec.uni[2024-11-01],
INDIRECT("rec.uni[natureza]"),"taxa.extra",
INDIRECT("rec.uni[empresa]"),U$6)</f>
        <v>0</v>
      </c>
      <c r="V49" s="50"/>
      <c r="W49" s="48">
        <f>COUNTIFS(
    estq[empresa], W$6,
    estq[Data da venda / reserva], "&gt;=" &amp; $A49,
    estq[Data da venda / reserva], "&lt;"  &amp; EOMONTH($A49,0) + 1
)</f>
        <v>0</v>
      </c>
      <c r="X49" s="49">
        <f ca="1">SUMIFS(rec.uni[2024-11-01],
INDIRECT("rec.uni[natureza]"),"pro.soluto",
INDIRECT("rec.uni[empresa]"),X$6)</f>
        <v>0</v>
      </c>
      <c r="Y49" s="49">
        <f ca="1">SUMIFS(rec.uni[2024-11-01],
INDIRECT("rec.uni[natureza]"),"taxa.extra",
INDIRECT("rec.uni[empresa]"),Y$6)</f>
        <v>0</v>
      </c>
      <c r="Z49" s="50"/>
      <c r="AA49" s="48">
        <f>COUNTIFS(
    estq[empresa], AA$6,
    estq[Data da venda / reserva], "&gt;=" &amp; $A49,
    estq[Data da venda / reserva], "&lt;"  &amp; EOMONTH($A49,0) + 1
)</f>
        <v>0</v>
      </c>
      <c r="AB49" s="49">
        <f ca="1">SUMIFS(rec.uni[2024-11-01],
INDIRECT("rec.uni[natureza]"),"pro.soluto",
INDIRECT("rec.uni[empresa]"),AB$6)</f>
        <v>0</v>
      </c>
      <c r="AC49" s="38">
        <f ca="1">SUMIFS(rec.uni[2024-11-01],
INDIRECT("rec.uni[natureza]"),"parcela.fin.total.ik",
INDIRECT("rec.uni[empresa]"),AC$6)</f>
        <v>0</v>
      </c>
      <c r="AD49" s="49">
        <f ca="1">SUMIFS(rec.uni[2024-11-01],
INDIRECT("rec.uni[natureza]"),"taxa.extra",
INDIRECT("rec.uni[empresa]"),AD$6)</f>
        <v>0</v>
      </c>
      <c r="AE49" s="50"/>
      <c r="AF49" s="48">
        <f>COUNTIFS(
    estq[empresa], AF$6,
    estq[Data da venda / reserva], "&gt;=" &amp; $A49,
    estq[Data da venda / reserva], "&lt;"  &amp; EOMONTH($A49,0) + 1
)</f>
        <v>0</v>
      </c>
      <c r="AG49" s="49">
        <f ca="1">SUMIFS(rec.uni[2024-11-01],
INDIRECT("rec.uni[natureza]"),"pro.soluto",
INDIRECT("rec.uni[empresa]"),AG$6)</f>
        <v>0</v>
      </c>
      <c r="AH49" s="49">
        <f ca="1">SUMIFS(rec.uni[2024-11-01],
INDIRECT("rec.uni[natureza]"),"repasse.cef.obra",
INDIRECT("rec.uni[empresa]"),AH$6)</f>
        <v>0</v>
      </c>
      <c r="AI49" s="49">
        <f ca="1">SUMIFS(rec.uni[2024-11-01],
INDIRECT("rec.uni[natureza]"),"repasse.cef.terreno",
INDIRECT("rec.uni[empresa]"),AI$6)</f>
        <v>0</v>
      </c>
      <c r="AJ49" s="49">
        <v>0</v>
      </c>
      <c r="AK49" s="49">
        <f ca="1">SUMIFS(rec.uni[2024-11-01],
INDIRECT("rec.uni[natureza]"),"taxa.extra",
INDIRECT("rec.uni[empresa]"),AK$6)</f>
        <v>0</v>
      </c>
      <c r="AL49" s="50"/>
      <c r="AM49" s="48">
        <f>COUNTIFS(
    estq[empresa], AM$6,
    estq[Data da venda / reserva], "&gt;=" &amp; $A49,
    estq[Data da venda / reserva], "&lt;"  &amp; EOMONTH($A49,0) + 1
)</f>
        <v>0</v>
      </c>
      <c r="AN49" s="49">
        <f ca="1">SUMIFS(rec.uni[2024-11-01],
INDIRECT("rec.uni[natureza]"),"pro.soluto",
INDIRECT("rec.uni[empresa]"),AN$6)</f>
        <v>0</v>
      </c>
      <c r="AO49" s="49">
        <f ca="1">SUMIFS(rec.uni[2024-11-01],
INDIRECT("rec.uni[natureza]"),"taxa.extra",
INDIRECT("rec.uni[empresa]"),AO$6)</f>
        <v>0</v>
      </c>
      <c r="AP49" s="50"/>
    </row>
    <row r="50" spans="1:42" x14ac:dyDescent="0.25">
      <c r="A50" s="47">
        <v>45627</v>
      </c>
      <c r="B50" s="48">
        <f>COUNTIFS(
    estq[empresa], B$6,
    estq[Data da venda / reserva], "&gt;=" &amp; $A50,
    estq[Data da venda / reserva], "&lt;"  &amp; EOMONTH($A50,0) + 1
)</f>
        <v>0</v>
      </c>
      <c r="C50" s="49">
        <f ca="1">SUMIFS(rec.uni[2024-12-01],
INDIRECT("rec.uni[natureza]"),"pro.soluto",
INDIRECT("rec.uni[empresa]"),C$6)</f>
        <v>0</v>
      </c>
      <c r="D50" s="49">
        <f ca="1">SUMIFS(rec.uni[2024-12-01],
INDIRECT("rec.uni[natureza]"),"repasse.cef.obra",
INDIRECT("rec.uni[empresa]"),D$6)</f>
        <v>0</v>
      </c>
      <c r="E50" s="49">
        <f ca="1">SUMIFS(rec.uni[2024-12-01],
INDIRECT("rec.uni[natureza]"),"repasse.cef.terreno",
INDIRECT("rec.uni[empresa]"),E$6)</f>
        <v>0</v>
      </c>
      <c r="F50" s="49">
        <v>293595.69</v>
      </c>
      <c r="G50" s="49">
        <f ca="1">SUMIFS(rec.uni[2024-12-01],
INDIRECT("rec.uni[natureza]"),"taxa.extra",
INDIRECT("rec.uni[empresa]"),G$6)</f>
        <v>0</v>
      </c>
      <c r="H50" s="50"/>
      <c r="I50" s="48">
        <f>COUNTIFS(
    estq[empresa], I$6,
    estq[Data da venda / reserva], "&gt;=" &amp; $A50,
    estq[Data da venda / reserva], "&lt;"  &amp; EOMONTH($A50,0) + 1
)</f>
        <v>0</v>
      </c>
      <c r="J50" s="49">
        <f ca="1">SUMIFS(rec.uni[2024-12-01],
INDIRECT("rec.uni[natureza]"),"pro.soluto",
INDIRECT("rec.uni[empresa]"),J$6)</f>
        <v>0</v>
      </c>
      <c r="K50" s="49">
        <f ca="1">SUMIFS(rec.uni[2024-12-01],
INDIRECT("rec.uni[natureza]"),"repasse.cef.obra",
INDIRECT("rec.uni[empresa]"),K$6)</f>
        <v>0</v>
      </c>
      <c r="L50" s="49">
        <f ca="1">SUMIFS(rec.uni[2024-12-01],
INDIRECT("rec.uni[natureza]"),"repasse.cef.terreno",
INDIRECT("rec.uni[empresa]"),L$6)</f>
        <v>0</v>
      </c>
      <c r="M50" s="49">
        <v>0</v>
      </c>
      <c r="N50" s="49">
        <f ca="1">SUMIFS(rec.uni[2024-12-01],
INDIRECT("rec.uni[natureza]"),"taxa.extra",
INDIRECT("rec.uni[empresa]"),N$6)</f>
        <v>0</v>
      </c>
      <c r="O50" s="50"/>
      <c r="P50" s="48">
        <f>COUNTIFS(
    estq[empresa], P$6,
    estq[Data da venda / reserva], "&gt;=" &amp; $A50,
    estq[Data da venda / reserva], "&lt;"  &amp; EOMONTH($A50,0) + 1
)</f>
        <v>0</v>
      </c>
      <c r="Q50" s="49">
        <f ca="1">SUMIFS(rec.uni[2024-12-01],
INDIRECT("rec.uni[natureza]"),"pro.soluto",
INDIRECT("rec.uni[empresa]"),Q$6)</f>
        <v>0</v>
      </c>
      <c r="R50" s="49">
        <f ca="1">SUMIFS(rec.uni[2024-12-01],
INDIRECT("rec.uni[natureza]"),"repasse.cef.obra",
INDIRECT("rec.uni[empresa]"),R$6)</f>
        <v>0</v>
      </c>
      <c r="S50" s="49">
        <f ca="1">SUMIFS(rec.uni[2024-12-01],
INDIRECT("rec.uni[natureza]"),"repasse.cef.terreno",
INDIRECT("rec.uni[empresa]"),S$6)</f>
        <v>0</v>
      </c>
      <c r="T50" s="49">
        <v>0</v>
      </c>
      <c r="U50" s="49">
        <f ca="1">SUMIFS(rec.uni[2024-12-01],
INDIRECT("rec.uni[natureza]"),"taxa.extra",
INDIRECT("rec.uni[empresa]"),U$6)</f>
        <v>0</v>
      </c>
      <c r="V50" s="50"/>
      <c r="W50" s="48">
        <f>COUNTIFS(
    estq[empresa], W$6,
    estq[Data da venda / reserva], "&gt;=" &amp; $A50,
    estq[Data da venda / reserva], "&lt;"  &amp; EOMONTH($A50,0) + 1
)</f>
        <v>0</v>
      </c>
      <c r="X50" s="49">
        <f ca="1">SUMIFS(rec.uni[2024-12-01],
INDIRECT("rec.uni[natureza]"),"pro.soluto",
INDIRECT("rec.uni[empresa]"),X$6)</f>
        <v>0</v>
      </c>
      <c r="Y50" s="49">
        <f ca="1">SUMIFS(rec.uni[2024-12-01],
INDIRECT("rec.uni[natureza]"),"taxa.extra",
INDIRECT("rec.uni[empresa]"),Y$6)</f>
        <v>0</v>
      </c>
      <c r="Z50" s="50"/>
      <c r="AA50" s="48">
        <f>COUNTIFS(
    estq[empresa], AA$6,
    estq[Data da venda / reserva], "&gt;=" &amp; $A50,
    estq[Data da venda / reserva], "&lt;"  &amp; EOMONTH($A50,0) + 1
)</f>
        <v>0</v>
      </c>
      <c r="AB50" s="49">
        <f ca="1">SUMIFS(rec.uni[2024-12-01],
INDIRECT("rec.uni[natureza]"),"pro.soluto",
INDIRECT("rec.uni[empresa]"),AB$6)</f>
        <v>0</v>
      </c>
      <c r="AC50" s="38">
        <f ca="1">SUMIFS(rec.uni[2024-12-01],
INDIRECT("rec.uni[natureza]"),"parcela.fin.total.ik",
INDIRECT("rec.uni[empresa]"),AC$6)</f>
        <v>0</v>
      </c>
      <c r="AD50" s="49">
        <f ca="1">SUMIFS(rec.uni[2024-12-01],
INDIRECT("rec.uni[natureza]"),"taxa.extra",
INDIRECT("rec.uni[empresa]"),AD$6)</f>
        <v>0</v>
      </c>
      <c r="AE50" s="50"/>
      <c r="AF50" s="48">
        <f>COUNTIFS(
    estq[empresa], AF$6,
    estq[Data da venda / reserva], "&gt;=" &amp; $A50,
    estq[Data da venda / reserva], "&lt;"  &amp; EOMONTH($A50,0) + 1
)</f>
        <v>0</v>
      </c>
      <c r="AG50" s="49">
        <f ca="1">SUMIFS(rec.uni[2024-12-01],
INDIRECT("rec.uni[natureza]"),"pro.soluto",
INDIRECT("rec.uni[empresa]"),AG$6)</f>
        <v>0</v>
      </c>
      <c r="AH50" s="49">
        <f ca="1">SUMIFS(rec.uni[2024-12-01],
INDIRECT("rec.uni[natureza]"),"repasse.cef.obra",
INDIRECT("rec.uni[empresa]"),AH$6)</f>
        <v>0</v>
      </c>
      <c r="AI50" s="49">
        <f ca="1">SUMIFS(rec.uni[2024-12-01],
INDIRECT("rec.uni[natureza]"),"repasse.cef.terreno",
INDIRECT("rec.uni[empresa]"),AI$6)</f>
        <v>0</v>
      </c>
      <c r="AJ50" s="49">
        <v>928463.72</v>
      </c>
      <c r="AK50" s="49">
        <f ca="1">SUMIFS(rec.uni[2024-12-01],
INDIRECT("rec.uni[natureza]"),"taxa.extra",
INDIRECT("rec.uni[empresa]"),AK$6)</f>
        <v>0</v>
      </c>
      <c r="AL50" s="50"/>
      <c r="AM50" s="48">
        <f>COUNTIFS(
    estq[empresa], AM$6,
    estq[Data da venda / reserva], "&gt;=" &amp; $A50,
    estq[Data da venda / reserva], "&lt;"  &amp; EOMONTH($A50,0) + 1
)</f>
        <v>0</v>
      </c>
      <c r="AN50" s="49">
        <f ca="1">SUMIFS(rec.uni[2024-12-01],
INDIRECT("rec.uni[natureza]"),"pro.soluto",
INDIRECT("rec.uni[empresa]"),AN$6)</f>
        <v>0</v>
      </c>
      <c r="AO50" s="49">
        <f ca="1">SUMIFS(rec.uni[2024-12-01],
INDIRECT("rec.uni[natureza]"),"taxa.extra",
INDIRECT("rec.uni[empresa]"),AO$6)</f>
        <v>0</v>
      </c>
      <c r="AP50" s="50"/>
    </row>
    <row r="51" spans="1:42" x14ac:dyDescent="0.25">
      <c r="A51" s="47">
        <v>45658</v>
      </c>
      <c r="B51" s="48">
        <f>COUNTIFS(
    estq[empresa], B$6,
    estq[Data da venda / reserva], "&gt;=" &amp; $A51,
    estq[Data da venda / reserva], "&lt;"  &amp; EOMONTH($A51,0) + 1
)</f>
        <v>0</v>
      </c>
      <c r="C51" s="49">
        <f ca="1">SUMIFS(rec.uni[2025-01-01],
INDIRECT("rec.uni[natureza]"),"pro.soluto",
INDIRECT("rec.uni[empresa]"),C$6)</f>
        <v>0</v>
      </c>
      <c r="D51" s="49">
        <f ca="1">SUMIFS(rec.uni[2025-01-01],
INDIRECT("rec.uni[natureza]"),"repasse.cef.obra",
INDIRECT("rec.uni[empresa]"),D$6)</f>
        <v>0</v>
      </c>
      <c r="E51" s="49">
        <f ca="1">SUMIFS(rec.uni[2025-01-01],
INDIRECT("rec.uni[natureza]"),"repasse.cef.terreno",
INDIRECT("rec.uni[empresa]"),E$6)</f>
        <v>0</v>
      </c>
      <c r="F51" s="49">
        <v>489068.85</v>
      </c>
      <c r="G51" s="49">
        <f ca="1">SUMIFS(rec.uni[2025-01-01],
INDIRECT("rec.uni[natureza]"),"taxa.extra",
INDIRECT("rec.uni[empresa]"),G$6)</f>
        <v>0</v>
      </c>
      <c r="H51" s="50"/>
      <c r="I51" s="48">
        <f>COUNTIFS(
    estq[empresa], I$6,
    estq[Data da venda / reserva], "&gt;=" &amp; $A51,
    estq[Data da venda / reserva], "&lt;"  &amp; EOMONTH($A51,0) + 1
)</f>
        <v>0</v>
      </c>
      <c r="J51" s="49">
        <f ca="1">SUMIFS(rec.uni[2025-01-01],
INDIRECT("rec.uni[natureza]"),"pro.soluto",
INDIRECT("rec.uni[empresa]"),J$6)</f>
        <v>0</v>
      </c>
      <c r="K51" s="49">
        <f ca="1">SUMIFS(rec.uni[2025-01-01],
INDIRECT("rec.uni[natureza]"),"repasse.cef.obra",
INDIRECT("rec.uni[empresa]"),K$6)</f>
        <v>0</v>
      </c>
      <c r="L51" s="49">
        <f ca="1">SUMIFS(rec.uni[2025-01-01],
INDIRECT("rec.uni[natureza]"),"repasse.cef.terreno",
INDIRECT("rec.uni[empresa]"),L$6)</f>
        <v>0</v>
      </c>
      <c r="M51" s="49">
        <v>0</v>
      </c>
      <c r="N51" s="49">
        <f ca="1">SUMIFS(rec.uni[2025-01-01],
INDIRECT("rec.uni[natureza]"),"taxa.extra",
INDIRECT("rec.uni[empresa]"),N$6)</f>
        <v>0</v>
      </c>
      <c r="O51" s="50"/>
      <c r="P51" s="48">
        <f>COUNTIFS(
    estq[empresa], P$6,
    estq[Data da venda / reserva], "&gt;=" &amp; $A51,
    estq[Data da venda / reserva], "&lt;"  &amp; EOMONTH($A51,0) + 1
)</f>
        <v>0</v>
      </c>
      <c r="Q51" s="49">
        <f ca="1">SUMIFS(rec.uni[2025-01-01],
INDIRECT("rec.uni[natureza]"),"pro.soluto",
INDIRECT("rec.uni[empresa]"),Q$6)</f>
        <v>0</v>
      </c>
      <c r="R51" s="49">
        <f ca="1">SUMIFS(rec.uni[2025-01-01],
INDIRECT("rec.uni[natureza]"),"repasse.cef.obra",
INDIRECT("rec.uni[empresa]"),R$6)</f>
        <v>0</v>
      </c>
      <c r="S51" s="49">
        <f ca="1">SUMIFS(rec.uni[2025-01-01],
INDIRECT("rec.uni[natureza]"),"repasse.cef.terreno",
INDIRECT("rec.uni[empresa]"),S$6)</f>
        <v>0</v>
      </c>
      <c r="T51" s="49">
        <v>0</v>
      </c>
      <c r="U51" s="49">
        <f ca="1">SUMIFS(rec.uni[2025-01-01],
INDIRECT("rec.uni[natureza]"),"taxa.extra",
INDIRECT("rec.uni[empresa]"),U$6)</f>
        <v>0</v>
      </c>
      <c r="V51" s="50"/>
      <c r="W51" s="48">
        <f>COUNTIFS(
    estq[empresa], W$6,
    estq[Data da venda / reserva], "&gt;=" &amp; $A51,
    estq[Data da venda / reserva], "&lt;"  &amp; EOMONTH($A51,0) + 1
)</f>
        <v>0</v>
      </c>
      <c r="X51" s="49">
        <f ca="1">SUMIFS(rec.uni[2025-01-01],
INDIRECT("rec.uni[natureza]"),"pro.soluto",
INDIRECT("rec.uni[empresa]"),X$6)</f>
        <v>0</v>
      </c>
      <c r="Y51" s="49">
        <f ca="1">SUMIFS(rec.uni[2025-01-01],
INDIRECT("rec.uni[natureza]"),"taxa.extra",
INDIRECT("rec.uni[empresa]"),Y$6)</f>
        <v>0</v>
      </c>
      <c r="Z51" s="50"/>
      <c r="AA51" s="48">
        <f>COUNTIFS(
    estq[empresa], AA$6,
    estq[Data da venda / reserva], "&gt;=" &amp; $A51,
    estq[Data da venda / reserva], "&lt;"  &amp; EOMONTH($A51,0) + 1
)</f>
        <v>0</v>
      </c>
      <c r="AB51" s="49">
        <f ca="1">SUMIFS(rec.uni[2025-01-01],
INDIRECT("rec.uni[natureza]"),"pro.soluto",
INDIRECT("rec.uni[empresa]"),AB$6)</f>
        <v>0</v>
      </c>
      <c r="AC51" s="38">
        <f ca="1">SUMIFS(rec.uni[2025-01-01],
INDIRECT("rec.uni[natureza]"),"parcela.fin.total.ik",
INDIRECT("rec.uni[empresa]"),AC$6)</f>
        <v>0</v>
      </c>
      <c r="AD51" s="49">
        <f ca="1">SUMIFS(rec.uni[2025-01-01],
INDIRECT("rec.uni[natureza]"),"taxa.extra",
INDIRECT("rec.uni[empresa]"),AD$6)</f>
        <v>0</v>
      </c>
      <c r="AE51" s="50"/>
      <c r="AF51" s="48">
        <f>COUNTIFS(
    estq[empresa], AF$6,
    estq[Data da venda / reserva], "&gt;=" &amp; $A51,
    estq[Data da venda / reserva], "&lt;"  &amp; EOMONTH($A51,0) + 1
)</f>
        <v>0</v>
      </c>
      <c r="AG51" s="49">
        <f ca="1">SUMIFS(rec.uni[2025-01-01],
INDIRECT("rec.uni[natureza]"),"pro.soluto",
INDIRECT("rec.uni[empresa]"),AG$6)</f>
        <v>0</v>
      </c>
      <c r="AH51" s="49">
        <f ca="1">SUMIFS(rec.uni[2025-01-01],
INDIRECT("rec.uni[natureza]"),"repasse.cef.obra",
INDIRECT("rec.uni[empresa]"),AH$6)</f>
        <v>0</v>
      </c>
      <c r="AI51" s="49">
        <f ca="1">SUMIFS(rec.uni[2025-01-01],
INDIRECT("rec.uni[natureza]"),"repasse.cef.terreno",
INDIRECT("rec.uni[empresa]"),AI$6)</f>
        <v>0</v>
      </c>
      <c r="AJ51" s="49">
        <v>0</v>
      </c>
      <c r="AK51" s="49">
        <f ca="1">SUMIFS(rec.uni[2025-01-01],
INDIRECT("rec.uni[natureza]"),"taxa.extra",
INDIRECT("rec.uni[empresa]"),AK$6)</f>
        <v>0</v>
      </c>
      <c r="AL51" s="50"/>
      <c r="AM51" s="48">
        <f>COUNTIFS(
    estq[empresa], AM$6,
    estq[Data da venda / reserva], "&gt;=" &amp; $A51,
    estq[Data da venda / reserva], "&lt;"  &amp; EOMONTH($A51,0) + 1
)</f>
        <v>0</v>
      </c>
      <c r="AN51" s="49">
        <f ca="1">SUMIFS(rec.uni[2025-01-01],
INDIRECT("rec.uni[natureza]"),"pro.soluto",
INDIRECT("rec.uni[empresa]"),AN$6)</f>
        <v>0</v>
      </c>
      <c r="AO51" s="49">
        <f ca="1">SUMIFS(rec.uni[2025-01-01],
INDIRECT("rec.uni[natureza]"),"taxa.extra",
INDIRECT("rec.uni[empresa]"),AO$6)</f>
        <v>0</v>
      </c>
      <c r="AP51" s="50"/>
    </row>
    <row r="52" spans="1:42" x14ac:dyDescent="0.25">
      <c r="A52" s="47">
        <v>45689</v>
      </c>
      <c r="B52" s="48">
        <f>COUNTIFS(
    estq[empresa], B$6,
    estq[Data da venda / reserva], "&gt;=" &amp; $A52,
    estq[Data da venda / reserva], "&lt;"  &amp; EOMONTH($A52,0) + 1
)</f>
        <v>0</v>
      </c>
      <c r="C52" s="49">
        <f ca="1">SUMIFS(rec.uni[2025-02-01],
INDIRECT("rec.uni[natureza]"),"pro.soluto",
INDIRECT("rec.uni[empresa]"),C$6)</f>
        <v>0</v>
      </c>
      <c r="D52" s="49">
        <f ca="1">SUMIFS(rec.uni[2025-02-01],
INDIRECT("rec.uni[natureza]"),"repasse.cef.obra",
INDIRECT("rec.uni[empresa]"),D$6)</f>
        <v>0</v>
      </c>
      <c r="E52" s="49">
        <f ca="1">SUMIFS(rec.uni[2025-02-01],
INDIRECT("rec.uni[natureza]"),"repasse.cef.terreno",
INDIRECT("rec.uni[empresa]"),E$6)</f>
        <v>0</v>
      </c>
      <c r="F52" s="49">
        <v>0</v>
      </c>
      <c r="G52" s="49">
        <f ca="1">SUMIFS(rec.uni[2025-02-01],
INDIRECT("rec.uni[natureza]"),"taxa.extra",
INDIRECT("rec.uni[empresa]"),G$6)</f>
        <v>0</v>
      </c>
      <c r="H52" s="50"/>
      <c r="I52" s="48">
        <f>COUNTIFS(
    estq[empresa], I$6,
    estq[Data da venda / reserva], "&gt;=" &amp; $A52,
    estq[Data da venda / reserva], "&lt;"  &amp; EOMONTH($A52,0) + 1
)</f>
        <v>0</v>
      </c>
      <c r="J52" s="49">
        <f ca="1">SUMIFS(rec.uni[2025-02-01],
INDIRECT("rec.uni[natureza]"),"pro.soluto",
INDIRECT("rec.uni[empresa]"),J$6)</f>
        <v>0</v>
      </c>
      <c r="K52" s="49">
        <f ca="1">SUMIFS(rec.uni[2025-02-01],
INDIRECT("rec.uni[natureza]"),"repasse.cef.obra",
INDIRECT("rec.uni[empresa]"),K$6)</f>
        <v>0</v>
      </c>
      <c r="L52" s="49">
        <f ca="1">SUMIFS(rec.uni[2025-02-01],
INDIRECT("rec.uni[natureza]"),"repasse.cef.terreno",
INDIRECT("rec.uni[empresa]"),L$6)</f>
        <v>0</v>
      </c>
      <c r="M52" s="49">
        <v>0</v>
      </c>
      <c r="N52" s="49">
        <f ca="1">SUMIFS(rec.uni[2025-02-01],
INDIRECT("rec.uni[natureza]"),"taxa.extra",
INDIRECT("rec.uni[empresa]"),N$6)</f>
        <v>0</v>
      </c>
      <c r="O52" s="50"/>
      <c r="P52" s="48">
        <f>COUNTIFS(
    estq[empresa], P$6,
    estq[Data da venda / reserva], "&gt;=" &amp; $A52,
    estq[Data da venda / reserva], "&lt;"  &amp; EOMONTH($A52,0) + 1
)</f>
        <v>0</v>
      </c>
      <c r="Q52" s="49">
        <f ca="1">SUMIFS(rec.uni[2025-02-01],
INDIRECT("rec.uni[natureza]"),"pro.soluto",
INDIRECT("rec.uni[empresa]"),Q$6)</f>
        <v>0</v>
      </c>
      <c r="R52" s="49">
        <f ca="1">SUMIFS(rec.uni[2025-02-01],
INDIRECT("rec.uni[natureza]"),"repasse.cef.obra",
INDIRECT("rec.uni[empresa]"),R$6)</f>
        <v>0</v>
      </c>
      <c r="S52" s="49">
        <f ca="1">SUMIFS(rec.uni[2025-02-01],
INDIRECT("rec.uni[natureza]"),"repasse.cef.terreno",
INDIRECT("rec.uni[empresa]"),S$6)</f>
        <v>0</v>
      </c>
      <c r="T52" s="49">
        <v>0</v>
      </c>
      <c r="U52" s="49">
        <f ca="1">SUMIFS(rec.uni[2025-02-01],
INDIRECT("rec.uni[natureza]"),"taxa.extra",
INDIRECT("rec.uni[empresa]"),U$6)</f>
        <v>0</v>
      </c>
      <c r="V52" s="50"/>
      <c r="W52" s="48">
        <f>COUNTIFS(
    estq[empresa], W$6,
    estq[Data da venda / reserva], "&gt;=" &amp; $A52,
    estq[Data da venda / reserva], "&lt;"  &amp; EOMONTH($A52,0) + 1
)</f>
        <v>0</v>
      </c>
      <c r="X52" s="49">
        <f ca="1">SUMIFS(rec.uni[2025-02-01],
INDIRECT("rec.uni[natureza]"),"pro.soluto",
INDIRECT("rec.uni[empresa]"),X$6)</f>
        <v>0</v>
      </c>
      <c r="Y52" s="49">
        <f ca="1">SUMIFS(rec.uni[2025-02-01],
INDIRECT("rec.uni[natureza]"),"taxa.extra",
INDIRECT("rec.uni[empresa]"),Y$6)</f>
        <v>0</v>
      </c>
      <c r="Z52" s="50"/>
      <c r="AA52" s="48">
        <f>COUNTIFS(
    estq[empresa], AA$6,
    estq[Data da venda / reserva], "&gt;=" &amp; $A52,
    estq[Data da venda / reserva], "&lt;"  &amp; EOMONTH($A52,0) + 1
)</f>
        <v>0</v>
      </c>
      <c r="AB52" s="49">
        <f ca="1">SUMIFS(rec.uni[2025-02-01],
INDIRECT("rec.uni[natureza]"),"pro.soluto",
INDIRECT("rec.uni[empresa]"),AB$6)</f>
        <v>0</v>
      </c>
      <c r="AC52" s="38">
        <f ca="1">SUMIFS(rec.uni[2025-02-01],
INDIRECT("rec.uni[natureza]"),"parcela.fin.total.ik",
INDIRECT("rec.uni[empresa]"),AC$6)</f>
        <v>0</v>
      </c>
      <c r="AD52" s="49">
        <f ca="1">SUMIFS(rec.uni[2025-02-01],
INDIRECT("rec.uni[natureza]"),"taxa.extra",
INDIRECT("rec.uni[empresa]"),AD$6)</f>
        <v>0</v>
      </c>
      <c r="AE52" s="50"/>
      <c r="AF52" s="48">
        <f>COUNTIFS(
    estq[empresa], AF$6,
    estq[Data da venda / reserva], "&gt;=" &amp; $A52,
    estq[Data da venda / reserva], "&lt;"  &amp; EOMONTH($A52,0) + 1
)</f>
        <v>0</v>
      </c>
      <c r="AG52" s="49">
        <f ca="1">SUMIFS(rec.uni[2025-02-01],
INDIRECT("rec.uni[natureza]"),"pro.soluto",
INDIRECT("rec.uni[empresa]"),AG$6)</f>
        <v>0</v>
      </c>
      <c r="AH52" s="49">
        <f ca="1">SUMIFS(rec.uni[2025-02-01],
INDIRECT("rec.uni[natureza]"),"repasse.cef.obra",
INDIRECT("rec.uni[empresa]"),AH$6)</f>
        <v>0</v>
      </c>
      <c r="AI52" s="49">
        <f ca="1">SUMIFS(rec.uni[2025-02-01],
INDIRECT("rec.uni[natureza]"),"repasse.cef.terreno",
INDIRECT("rec.uni[empresa]"),AI$6)</f>
        <v>0</v>
      </c>
      <c r="AJ52" s="49">
        <v>0</v>
      </c>
      <c r="AK52" s="49">
        <f ca="1">SUMIFS(rec.uni[2025-02-01],
INDIRECT("rec.uni[natureza]"),"taxa.extra",
INDIRECT("rec.uni[empresa]"),AK$6)</f>
        <v>0</v>
      </c>
      <c r="AL52" s="50"/>
      <c r="AM52" s="48">
        <f>COUNTIFS(
    estq[empresa], AM$6,
    estq[Data da venda / reserva], "&gt;=" &amp; $A52,
    estq[Data da venda / reserva], "&lt;"  &amp; EOMONTH($A52,0) + 1
)</f>
        <v>0</v>
      </c>
      <c r="AN52" s="49">
        <f ca="1">SUMIFS(rec.uni[2025-02-01],
INDIRECT("rec.uni[natureza]"),"pro.soluto",
INDIRECT("rec.uni[empresa]"),AN$6)</f>
        <v>0</v>
      </c>
      <c r="AO52" s="49">
        <f ca="1">SUMIFS(rec.uni[2025-02-01],
INDIRECT("rec.uni[natureza]"),"taxa.extra",
INDIRECT("rec.uni[empresa]"),AO$6)</f>
        <v>0</v>
      </c>
      <c r="AP52" s="50"/>
    </row>
    <row r="53" spans="1:42" x14ac:dyDescent="0.25">
      <c r="A53" s="47">
        <v>45717</v>
      </c>
      <c r="B53" s="48">
        <f>COUNTIFS(
    estq[empresa], B$6,
    estq[Data da venda / reserva], "&gt;=" &amp; $A53,
    estq[Data da venda / reserva], "&lt;"  &amp; EOMONTH($A53,0) + 1
)</f>
        <v>0</v>
      </c>
      <c r="C53" s="49">
        <f ca="1">SUMIFS(rec.uni[2025-03-01],
INDIRECT("rec.uni[natureza]"),"pro.soluto",
INDIRECT("rec.uni[empresa]"),C$6)</f>
        <v>0</v>
      </c>
      <c r="D53" s="49">
        <f ca="1">SUMIFS(rec.uni[2025-03-01],
INDIRECT("rec.uni[natureza]"),"repasse.cef.obra",
INDIRECT("rec.uni[empresa]"),D$6)</f>
        <v>0</v>
      </c>
      <c r="E53" s="49">
        <f ca="1">SUMIFS(rec.uni[2025-03-01],
INDIRECT("rec.uni[natureza]"),"repasse.cef.terreno",
INDIRECT("rec.uni[empresa]"),E$6)</f>
        <v>0</v>
      </c>
      <c r="F53" s="49">
        <v>385006.39</v>
      </c>
      <c r="G53" s="49">
        <f ca="1">SUMIFS(rec.uni[2025-03-01],
INDIRECT("rec.uni[natureza]"),"taxa.extra",
INDIRECT("rec.uni[empresa]"),G$6)</f>
        <v>0</v>
      </c>
      <c r="H53" s="50"/>
      <c r="I53" s="48">
        <f>COUNTIFS(
    estq[empresa], I$6,
    estq[Data da venda / reserva], "&gt;=" &amp; $A53,
    estq[Data da venda / reserva], "&lt;"  &amp; EOMONTH($A53,0) + 1
)</f>
        <v>0</v>
      </c>
      <c r="J53" s="49">
        <f ca="1">SUMIFS(rec.uni[2025-03-01],
INDIRECT("rec.uni[natureza]"),"pro.soluto",
INDIRECT("rec.uni[empresa]"),J$6)</f>
        <v>0</v>
      </c>
      <c r="K53" s="49">
        <f ca="1">SUMIFS(rec.uni[2025-03-01],
INDIRECT("rec.uni[natureza]"),"repasse.cef.obra",
INDIRECT("rec.uni[empresa]"),K$6)</f>
        <v>0</v>
      </c>
      <c r="L53" s="49">
        <f ca="1">SUMIFS(rec.uni[2025-03-01],
INDIRECT("rec.uni[natureza]"),"repasse.cef.terreno",
INDIRECT("rec.uni[empresa]"),L$6)</f>
        <v>0</v>
      </c>
      <c r="M53" s="49">
        <v>0</v>
      </c>
      <c r="N53" s="49">
        <f ca="1">SUMIFS(rec.uni[2025-03-01],
INDIRECT("rec.uni[natureza]"),"taxa.extra",
INDIRECT("rec.uni[empresa]"),N$6)</f>
        <v>0</v>
      </c>
      <c r="O53" s="50"/>
      <c r="P53" s="48">
        <f>COUNTIFS(
    estq[empresa], P$6,
    estq[Data da venda / reserva], "&gt;=" &amp; $A53,
    estq[Data da venda / reserva], "&lt;"  &amp; EOMONTH($A53,0) + 1
)</f>
        <v>0</v>
      </c>
      <c r="Q53" s="49">
        <f ca="1">SUMIFS(rec.uni[2025-03-01],
INDIRECT("rec.uni[natureza]"),"pro.soluto",
INDIRECT("rec.uni[empresa]"),Q$6)</f>
        <v>0</v>
      </c>
      <c r="R53" s="49">
        <f ca="1">SUMIFS(rec.uni[2025-03-01],
INDIRECT("rec.uni[natureza]"),"repasse.cef.obra",
INDIRECT("rec.uni[empresa]"),R$6)</f>
        <v>0</v>
      </c>
      <c r="S53" s="49">
        <f ca="1">SUMIFS(rec.uni[2025-03-01],
INDIRECT("rec.uni[natureza]"),"repasse.cef.terreno",
INDIRECT("rec.uni[empresa]"),S$6)</f>
        <v>0</v>
      </c>
      <c r="T53" s="49">
        <v>0</v>
      </c>
      <c r="U53" s="49">
        <f ca="1">SUMIFS(rec.uni[2025-03-01],
INDIRECT("rec.uni[natureza]"),"taxa.extra",
INDIRECT("rec.uni[empresa]"),U$6)</f>
        <v>0</v>
      </c>
      <c r="V53" s="50"/>
      <c r="W53" s="48">
        <f>COUNTIFS(
    estq[empresa], W$6,
    estq[Data da venda / reserva], "&gt;=" &amp; $A53,
    estq[Data da venda / reserva], "&lt;"  &amp; EOMONTH($A53,0) + 1
)</f>
        <v>0</v>
      </c>
      <c r="X53" s="49">
        <f ca="1">SUMIFS(rec.uni[2025-03-01],
INDIRECT("rec.uni[natureza]"),"pro.soluto",
INDIRECT("rec.uni[empresa]"),X$6)</f>
        <v>0</v>
      </c>
      <c r="Y53" s="49">
        <f ca="1">SUMIFS(rec.uni[2025-03-01],
INDIRECT("rec.uni[natureza]"),"taxa.extra",
INDIRECT("rec.uni[empresa]"),Y$6)</f>
        <v>0</v>
      </c>
      <c r="Z53" s="50"/>
      <c r="AA53" s="48">
        <f>COUNTIFS(
    estq[empresa], AA$6,
    estq[Data da venda / reserva], "&gt;=" &amp; $A53,
    estq[Data da venda / reserva], "&lt;"  &amp; EOMONTH($A53,0) + 1
)</f>
        <v>0</v>
      </c>
      <c r="AB53" s="49">
        <f ca="1">SUMIFS(rec.uni[2025-03-01],
INDIRECT("rec.uni[natureza]"),"pro.soluto",
INDIRECT("rec.uni[empresa]"),AB$6)</f>
        <v>0</v>
      </c>
      <c r="AC53" s="38">
        <f ca="1">SUMIFS(rec.uni[2025-03-01],
INDIRECT("rec.uni[natureza]"),"parcela.fin.total.ik",
INDIRECT("rec.uni[empresa]"),AC$6)</f>
        <v>0</v>
      </c>
      <c r="AD53" s="49">
        <f ca="1">SUMIFS(rec.uni[2025-03-01],
INDIRECT("rec.uni[natureza]"),"taxa.extra",
INDIRECT("rec.uni[empresa]"),AD$6)</f>
        <v>0</v>
      </c>
      <c r="AE53" s="50"/>
      <c r="AF53" s="48">
        <f>COUNTIFS(
    estq[empresa], AF$6,
    estq[Data da venda / reserva], "&gt;=" &amp; $A53,
    estq[Data da venda / reserva], "&lt;"  &amp; EOMONTH($A53,0) + 1
)</f>
        <v>0</v>
      </c>
      <c r="AG53" s="49">
        <f ca="1">SUMIFS(rec.uni[2025-03-01],
INDIRECT("rec.uni[natureza]"),"pro.soluto",
INDIRECT("rec.uni[empresa]"),AG$6)</f>
        <v>0</v>
      </c>
      <c r="AH53" s="49">
        <f ca="1">SUMIFS(rec.uni[2025-03-01],
INDIRECT("rec.uni[natureza]"),"repasse.cef.obra",
INDIRECT("rec.uni[empresa]"),AH$6)</f>
        <v>0</v>
      </c>
      <c r="AI53" s="49">
        <f ca="1">SUMIFS(rec.uni[2025-03-01],
INDIRECT("rec.uni[natureza]"),"repasse.cef.terreno",
INDIRECT("rec.uni[empresa]"),AI$6)</f>
        <v>0</v>
      </c>
      <c r="AJ53" s="49">
        <v>236708.67</v>
      </c>
      <c r="AK53" s="49">
        <f ca="1">SUMIFS(rec.uni[2025-03-01],
INDIRECT("rec.uni[natureza]"),"taxa.extra",
INDIRECT("rec.uni[empresa]"),AK$6)</f>
        <v>0</v>
      </c>
      <c r="AL53" s="50"/>
      <c r="AM53" s="48">
        <f>COUNTIFS(
    estq[empresa], AM$6,
    estq[Data da venda / reserva], "&gt;=" &amp; $A53,
    estq[Data da venda / reserva], "&lt;"  &amp; EOMONTH($A53,0) + 1
)</f>
        <v>0</v>
      </c>
      <c r="AN53" s="49">
        <f ca="1">SUMIFS(rec.uni[2025-03-01],
INDIRECT("rec.uni[natureza]"),"pro.soluto",
INDIRECT("rec.uni[empresa]"),AN$6)</f>
        <v>0</v>
      </c>
      <c r="AO53" s="49">
        <f ca="1">SUMIFS(rec.uni[2025-03-01],
INDIRECT("rec.uni[natureza]"),"taxa.extra",
INDIRECT("rec.uni[empresa]"),AO$6)</f>
        <v>0</v>
      </c>
      <c r="AP53" s="50"/>
    </row>
    <row r="54" spans="1:42" x14ac:dyDescent="0.25">
      <c r="A54" s="47">
        <v>45748</v>
      </c>
      <c r="B54" s="48">
        <f>COUNTIFS(
    estq[empresa], B$6,
    estq[Data da venda / reserva], "&gt;=" &amp; $A54,
    estq[Data da venda / reserva], "&lt;"  &amp; EOMONTH($A54,0) + 1
)</f>
        <v>0</v>
      </c>
      <c r="C54" s="49">
        <f ca="1">SUMIFS(rec.uni[2025-04-01],
INDIRECT("rec.uni[natureza]"),"pro.soluto",
INDIRECT("rec.uni[empresa]"),C$6)</f>
        <v>0</v>
      </c>
      <c r="D54" s="49">
        <f ca="1">SUMIFS(rec.uni[2025-04-01],
INDIRECT("rec.uni[natureza]"),"repasse.cef.obra",
INDIRECT("rec.uni[empresa]"),D$6)</f>
        <v>0</v>
      </c>
      <c r="E54" s="49">
        <f ca="1">SUMIFS(rec.uni[2025-04-01],
INDIRECT("rec.uni[natureza]"),"repasse.cef.terreno",
INDIRECT("rec.uni[empresa]"),E$6)</f>
        <v>0</v>
      </c>
      <c r="F54" s="49">
        <v>223853.73</v>
      </c>
      <c r="G54" s="49">
        <f ca="1">SUMIFS(rec.uni[2025-04-01],
INDIRECT("rec.uni[natureza]"),"taxa.extra",
INDIRECT("rec.uni[empresa]"),G$6)</f>
        <v>0</v>
      </c>
      <c r="H54" s="50"/>
      <c r="I54" s="48">
        <f>COUNTIFS(
    estq[empresa], I$6,
    estq[Data da venda / reserva], "&gt;=" &amp; $A54,
    estq[Data da venda / reserva], "&lt;"  &amp; EOMONTH($A54,0) + 1
)</f>
        <v>0</v>
      </c>
      <c r="J54" s="49">
        <f ca="1">SUMIFS(rec.uni[2025-04-01],
INDIRECT("rec.uni[natureza]"),"pro.soluto",
INDIRECT("rec.uni[empresa]"),J$6)</f>
        <v>0</v>
      </c>
      <c r="K54" s="49">
        <f ca="1">SUMIFS(rec.uni[2025-04-01],
INDIRECT("rec.uni[natureza]"),"repasse.cef.obra",
INDIRECT("rec.uni[empresa]"),K$6)</f>
        <v>0</v>
      </c>
      <c r="L54" s="49">
        <f ca="1">SUMIFS(rec.uni[2025-04-01],
INDIRECT("rec.uni[natureza]"),"repasse.cef.terreno",
INDIRECT("rec.uni[empresa]"),L$6)</f>
        <v>0</v>
      </c>
      <c r="M54" s="49">
        <v>0</v>
      </c>
      <c r="N54" s="49">
        <f ca="1">SUMIFS(rec.uni[2025-04-01],
INDIRECT("rec.uni[natureza]"),"taxa.extra",
INDIRECT("rec.uni[empresa]"),N$6)</f>
        <v>0</v>
      </c>
      <c r="O54" s="50"/>
      <c r="P54" s="48">
        <f>COUNTIFS(
    estq[empresa], P$6,
    estq[Data da venda / reserva], "&gt;=" &amp; $A54,
    estq[Data da venda / reserva], "&lt;"  &amp; EOMONTH($A54,0) + 1
)</f>
        <v>0</v>
      </c>
      <c r="Q54" s="49">
        <f ca="1">SUMIFS(rec.uni[2025-04-01],
INDIRECT("rec.uni[natureza]"),"pro.soluto",
INDIRECT("rec.uni[empresa]"),Q$6)</f>
        <v>0</v>
      </c>
      <c r="R54" s="49">
        <f ca="1">SUMIFS(rec.uni[2025-04-01],
INDIRECT("rec.uni[natureza]"),"repasse.cef.obra",
INDIRECT("rec.uni[empresa]"),R$6)</f>
        <v>0</v>
      </c>
      <c r="S54" s="49">
        <f ca="1">SUMIFS(rec.uni[2025-04-01],
INDIRECT("rec.uni[natureza]"),"repasse.cef.terreno",
INDIRECT("rec.uni[empresa]"),S$6)</f>
        <v>0</v>
      </c>
      <c r="T54" s="49">
        <v>0</v>
      </c>
      <c r="U54" s="49">
        <f ca="1">SUMIFS(rec.uni[2025-04-01],
INDIRECT("rec.uni[natureza]"),"taxa.extra",
INDIRECT("rec.uni[empresa]"),U$6)</f>
        <v>0</v>
      </c>
      <c r="V54" s="50"/>
      <c r="W54" s="48">
        <f>COUNTIFS(
    estq[empresa], W$6,
    estq[Data da venda / reserva], "&gt;=" &amp; $A54,
    estq[Data da venda / reserva], "&lt;"  &amp; EOMONTH($A54,0) + 1
)</f>
        <v>0</v>
      </c>
      <c r="X54" s="49">
        <f ca="1">SUMIFS(rec.uni[2025-04-01],
INDIRECT("rec.uni[natureza]"),"pro.soluto",
INDIRECT("rec.uni[empresa]"),X$6)</f>
        <v>0</v>
      </c>
      <c r="Y54" s="49">
        <f ca="1">SUMIFS(rec.uni[2025-04-01],
INDIRECT("rec.uni[natureza]"),"taxa.extra",
INDIRECT("rec.uni[empresa]"),Y$6)</f>
        <v>0</v>
      </c>
      <c r="Z54" s="50"/>
      <c r="AA54" s="48">
        <f>COUNTIFS(
    estq[empresa], AA$6,
    estq[Data da venda / reserva], "&gt;=" &amp; $A54,
    estq[Data da venda / reserva], "&lt;"  &amp; EOMONTH($A54,0) + 1
)</f>
        <v>0</v>
      </c>
      <c r="AB54" s="49">
        <f ca="1">SUMIFS(rec.uni[2025-04-01],
INDIRECT("rec.uni[natureza]"),"pro.soluto",
INDIRECT("rec.uni[empresa]"),AB$6)</f>
        <v>0</v>
      </c>
      <c r="AC54" s="38">
        <f ca="1">SUMIFS(rec.uni[2025-04-01],
INDIRECT("rec.uni[natureza]"),"parcela.fin.total.ik",
INDIRECT("rec.uni[empresa]"),AC$6)</f>
        <v>0</v>
      </c>
      <c r="AD54" s="49">
        <f ca="1">SUMIFS(rec.uni[2025-04-01],
INDIRECT("rec.uni[natureza]"),"taxa.extra",
INDIRECT("rec.uni[empresa]"),AD$6)</f>
        <v>0</v>
      </c>
      <c r="AE54" s="50"/>
      <c r="AF54" s="48">
        <f>COUNTIFS(
    estq[empresa], AF$6,
    estq[Data da venda / reserva], "&gt;=" &amp; $A54,
    estq[Data da venda / reserva], "&lt;"  &amp; EOMONTH($A54,0) + 1
)</f>
        <v>0</v>
      </c>
      <c r="AG54" s="49">
        <f ca="1">SUMIFS(rec.uni[2025-04-01],
INDIRECT("rec.uni[natureza]"),"pro.soluto",
INDIRECT("rec.uni[empresa]"),AG$6)</f>
        <v>0</v>
      </c>
      <c r="AH54" s="49">
        <f ca="1">SUMIFS(rec.uni[2025-04-01],
INDIRECT("rec.uni[natureza]"),"repasse.cef.obra",
INDIRECT("rec.uni[empresa]"),AH$6)</f>
        <v>0</v>
      </c>
      <c r="AI54" s="49">
        <f ca="1">SUMIFS(rec.uni[2025-04-01],
INDIRECT("rec.uni[natureza]"),"repasse.cef.terreno",
INDIRECT("rec.uni[empresa]"),AI$6)</f>
        <v>0</v>
      </c>
      <c r="AJ54" s="49">
        <v>273233.02</v>
      </c>
      <c r="AK54" s="49">
        <f ca="1">SUMIFS(rec.uni[2025-04-01],
INDIRECT("rec.uni[natureza]"),"taxa.extra",
INDIRECT("rec.uni[empresa]"),AK$6)</f>
        <v>0</v>
      </c>
      <c r="AL54" s="50"/>
      <c r="AM54" s="48">
        <f>COUNTIFS(
    estq[empresa], AM$6,
    estq[Data da venda / reserva], "&gt;=" &amp; $A54,
    estq[Data da venda / reserva], "&lt;"  &amp; EOMONTH($A54,0) + 1
)</f>
        <v>0</v>
      </c>
      <c r="AN54" s="49">
        <f ca="1">SUMIFS(rec.uni[2025-04-01],
INDIRECT("rec.uni[natureza]"),"pro.soluto",
INDIRECT("rec.uni[empresa]"),AN$6)</f>
        <v>0</v>
      </c>
      <c r="AO54" s="49">
        <f ca="1">SUMIFS(rec.uni[2025-04-01],
INDIRECT("rec.uni[natureza]"),"taxa.extra",
INDIRECT("rec.uni[empresa]"),AO$6)</f>
        <v>0</v>
      </c>
      <c r="AP54" s="50"/>
    </row>
    <row r="55" spans="1:42" x14ac:dyDescent="0.25">
      <c r="A55" s="47">
        <v>45778</v>
      </c>
      <c r="B55" s="48">
        <f>COUNTIFS(
    estq[empresa], B$6,
    estq[Data da venda / reserva], "&gt;=" &amp; $A55,
    estq[Data da venda / reserva], "&lt;"  &amp; EOMONTH($A55,0) + 1
)</f>
        <v>0</v>
      </c>
      <c r="C55" s="49">
        <f ca="1">SUMIFS(rec.uni[2025-05-01],
INDIRECT("rec.uni[natureza]"),"pro.soluto",
INDIRECT("rec.uni[empresa]"),C$6)</f>
        <v>0</v>
      </c>
      <c r="D55" s="49">
        <f ca="1">SUMIFS(rec.uni[2025-05-01],
INDIRECT("rec.uni[natureza]"),"repasse.cef.obra",
INDIRECT("rec.uni[empresa]"),D$6)</f>
        <v>0</v>
      </c>
      <c r="E55" s="49">
        <f ca="1">SUMIFS(rec.uni[2025-05-01],
INDIRECT("rec.uni[natureza]"),"repasse.cef.terreno",
INDIRECT("rec.uni[empresa]"),E$6)</f>
        <v>0</v>
      </c>
      <c r="F55" s="49">
        <v>134752.4</v>
      </c>
      <c r="G55" s="49">
        <f ca="1">SUMIFS(rec.uni[2025-05-01],
INDIRECT("rec.uni[natureza]"),"taxa.extra",
INDIRECT("rec.uni[empresa]"),G$6)</f>
        <v>0</v>
      </c>
      <c r="H55" s="50"/>
      <c r="I55" s="48">
        <f>COUNTIFS(
    estq[empresa], I$6,
    estq[Data da venda / reserva], "&gt;=" &amp; $A55,
    estq[Data da venda / reserva], "&lt;"  &amp; EOMONTH($A55,0) + 1
)</f>
        <v>0</v>
      </c>
      <c r="J55" s="49">
        <f ca="1">SUMIFS(rec.uni[2025-05-01],
INDIRECT("rec.uni[natureza]"),"pro.soluto",
INDIRECT("rec.uni[empresa]"),J$6)</f>
        <v>0</v>
      </c>
      <c r="K55" s="49">
        <f ca="1">SUMIFS(rec.uni[2025-05-01],
INDIRECT("rec.uni[natureza]"),"repasse.cef.obra",
INDIRECT("rec.uni[empresa]"),K$6)</f>
        <v>0</v>
      </c>
      <c r="L55" s="49">
        <f ca="1">SUMIFS(rec.uni[2025-05-01],
INDIRECT("rec.uni[natureza]"),"repasse.cef.terreno",
INDIRECT("rec.uni[empresa]"),L$6)</f>
        <v>0</v>
      </c>
      <c r="M55" s="49">
        <v>0</v>
      </c>
      <c r="N55" s="49">
        <f ca="1">SUMIFS(rec.uni[2025-05-01],
INDIRECT("rec.uni[natureza]"),"taxa.extra",
INDIRECT("rec.uni[empresa]"),N$6)</f>
        <v>0</v>
      </c>
      <c r="O55" s="50"/>
      <c r="P55" s="48">
        <f>COUNTIFS(
    estq[empresa], P$6,
    estq[Data da venda / reserva], "&gt;=" &amp; $A55,
    estq[Data da venda / reserva], "&lt;"  &amp; EOMONTH($A55,0) + 1
)</f>
        <v>0</v>
      </c>
      <c r="Q55" s="49">
        <f ca="1">SUMIFS(rec.uni[2025-05-01],
INDIRECT("rec.uni[natureza]"),"pro.soluto",
INDIRECT("rec.uni[empresa]"),Q$6)</f>
        <v>0</v>
      </c>
      <c r="R55" s="49">
        <f ca="1">SUMIFS(rec.uni[2025-05-01],
INDIRECT("rec.uni[natureza]"),"repasse.cef.obra",
INDIRECT("rec.uni[empresa]"),R$6)</f>
        <v>0</v>
      </c>
      <c r="S55" s="49">
        <f ca="1">SUMIFS(rec.uni[2025-05-01],
INDIRECT("rec.uni[natureza]"),"repasse.cef.terreno",
INDIRECT("rec.uni[empresa]"),S$6)</f>
        <v>0</v>
      </c>
      <c r="T55" s="49">
        <v>0</v>
      </c>
      <c r="U55" s="49">
        <f ca="1">SUMIFS(rec.uni[2025-05-01],
INDIRECT("rec.uni[natureza]"),"taxa.extra",
INDIRECT("rec.uni[empresa]"),U$6)</f>
        <v>0</v>
      </c>
      <c r="V55" s="50"/>
      <c r="W55" s="48">
        <f>COUNTIFS(
    estq[empresa], W$6,
    estq[Data da venda / reserva], "&gt;=" &amp; $A55,
    estq[Data da venda / reserva], "&lt;"  &amp; EOMONTH($A55,0) + 1
)</f>
        <v>0</v>
      </c>
      <c r="X55" s="49">
        <f ca="1">SUMIFS(rec.uni[2025-05-01],
INDIRECT("rec.uni[natureza]"),"pro.soluto",
INDIRECT("rec.uni[empresa]"),X$6)</f>
        <v>0</v>
      </c>
      <c r="Y55" s="49">
        <f ca="1">SUMIFS(rec.uni[2025-05-01],
INDIRECT("rec.uni[natureza]"),"taxa.extra",
INDIRECT("rec.uni[empresa]"),Y$6)</f>
        <v>0</v>
      </c>
      <c r="Z55" s="50"/>
      <c r="AA55" s="48">
        <f>COUNTIFS(
    estq[empresa], AA$6,
    estq[Data da venda / reserva], "&gt;=" &amp; $A55,
    estq[Data da venda / reserva], "&lt;"  &amp; EOMONTH($A55,0) + 1
)</f>
        <v>0</v>
      </c>
      <c r="AB55" s="49">
        <f ca="1">SUMIFS(rec.uni[2025-05-01],
INDIRECT("rec.uni[natureza]"),"pro.soluto",
INDIRECT("rec.uni[empresa]"),AB$6)</f>
        <v>0</v>
      </c>
      <c r="AC55" s="38">
        <f ca="1">SUMIFS(rec.uni[2025-05-01],
INDIRECT("rec.uni[natureza]"),"parcela.fin.total.ik",
INDIRECT("rec.uni[empresa]"),AC$6)</f>
        <v>0</v>
      </c>
      <c r="AD55" s="49">
        <f ca="1">SUMIFS(rec.uni[2025-05-01],
INDIRECT("rec.uni[natureza]"),"taxa.extra",
INDIRECT("rec.uni[empresa]"),AD$6)</f>
        <v>0</v>
      </c>
      <c r="AE55" s="50"/>
      <c r="AF55" s="48">
        <f>COUNTIFS(
    estq[empresa], AF$6,
    estq[Data da venda / reserva], "&gt;=" &amp; $A55,
    estq[Data da venda / reserva], "&lt;"  &amp; EOMONTH($A55,0) + 1
)</f>
        <v>0</v>
      </c>
      <c r="AG55" s="49">
        <f ca="1">SUMIFS(rec.uni[2025-05-01],
INDIRECT("rec.uni[natureza]"),"pro.soluto",
INDIRECT("rec.uni[empresa]"),AG$6)</f>
        <v>0</v>
      </c>
      <c r="AH55" s="49">
        <f ca="1">SUMIFS(rec.uni[2025-05-01],
INDIRECT("rec.uni[natureza]"),"repasse.cef.obra",
INDIRECT("rec.uni[empresa]"),AH$6)</f>
        <v>0</v>
      </c>
      <c r="AI55" s="49">
        <f ca="1">SUMIFS(rec.uni[2025-05-01],
INDIRECT("rec.uni[natureza]"),"repasse.cef.terreno",
INDIRECT("rec.uni[empresa]"),AI$6)</f>
        <v>0</v>
      </c>
      <c r="AJ55" s="49">
        <v>0</v>
      </c>
      <c r="AK55" s="49">
        <f ca="1">SUMIFS(rec.uni[2025-05-01],
INDIRECT("rec.uni[natureza]"),"taxa.extra",
INDIRECT("rec.uni[empresa]"),AK$6)</f>
        <v>0</v>
      </c>
      <c r="AL55" s="50"/>
      <c r="AM55" s="48">
        <f>COUNTIFS(
    estq[empresa], AM$6,
    estq[Data da venda / reserva], "&gt;=" &amp; $A55,
    estq[Data da venda / reserva], "&lt;"  &amp; EOMONTH($A55,0) + 1
)</f>
        <v>0</v>
      </c>
      <c r="AN55" s="49">
        <f ca="1">SUMIFS(rec.uni[2025-05-01],
INDIRECT("rec.uni[natureza]"),"pro.soluto",
INDIRECT("rec.uni[empresa]"),AN$6)</f>
        <v>0</v>
      </c>
      <c r="AO55" s="49">
        <f ca="1">SUMIFS(rec.uni[2025-05-01],
INDIRECT("rec.uni[natureza]"),"taxa.extra",
INDIRECT("rec.uni[empresa]"),AO$6)</f>
        <v>0</v>
      </c>
      <c r="AP55" s="50"/>
    </row>
    <row r="56" spans="1:42" x14ac:dyDescent="0.25">
      <c r="A56" s="47">
        <v>45809</v>
      </c>
      <c r="B56" s="48">
        <f>COUNTIFS(
    estq[empresa], B$6,
    estq[Data da venda / reserva], "&gt;=" &amp; $A56,
    estq[Data da venda / reserva], "&lt;"  &amp; EOMONTH($A56,0) + 1
)</f>
        <v>0</v>
      </c>
      <c r="C56" s="49">
        <f ca="1">SUMIFS(rec.uni[2025-06-01],
INDIRECT("rec.uni[natureza]"),"pro.soluto",
INDIRECT("rec.uni[empresa]"),C$6)</f>
        <v>0</v>
      </c>
      <c r="D56" s="49">
        <f ca="1">SUMIFS(rec.uni[2025-06-01],
INDIRECT("rec.uni[natureza]"),"repasse.cef.obra",
INDIRECT("rec.uni[empresa]"),D$6)</f>
        <v>0</v>
      </c>
      <c r="E56" s="49">
        <f ca="1">SUMIFS(rec.uni[2025-06-01],
INDIRECT("rec.uni[natureza]"),"repasse.cef.terreno",
INDIRECT("rec.uni[empresa]"),E$6)</f>
        <v>0</v>
      </c>
      <c r="F56" s="49">
        <v>289304.8</v>
      </c>
      <c r="G56" s="49">
        <f ca="1">SUMIFS(rec.uni[2025-06-01],
INDIRECT("rec.uni[natureza]"),"taxa.extra",
INDIRECT("rec.uni[empresa]"),G$6)</f>
        <v>0</v>
      </c>
      <c r="H56" s="50"/>
      <c r="I56" s="48">
        <f>COUNTIFS(
    estq[empresa], I$6,
    estq[Data da venda / reserva], "&gt;=" &amp; $A56,
    estq[Data da venda / reserva], "&lt;"  &amp; EOMONTH($A56,0) + 1
)</f>
        <v>0</v>
      </c>
      <c r="J56" s="49">
        <f ca="1">SUMIFS(rec.uni[2025-06-01],
INDIRECT("rec.uni[natureza]"),"pro.soluto",
INDIRECT("rec.uni[empresa]"),J$6)</f>
        <v>0</v>
      </c>
      <c r="K56" s="49">
        <f ca="1">SUMIFS(rec.uni[2025-06-01],
INDIRECT("rec.uni[natureza]"),"repasse.cef.obra",
INDIRECT("rec.uni[empresa]"),K$6)</f>
        <v>0</v>
      </c>
      <c r="L56" s="49">
        <f ca="1">SUMIFS(rec.uni[2025-06-01],
INDIRECT("rec.uni[natureza]"),"repasse.cef.terreno",
INDIRECT("rec.uni[empresa]"),L$6)</f>
        <v>0</v>
      </c>
      <c r="M56" s="49">
        <v>0</v>
      </c>
      <c r="N56" s="49">
        <f ca="1">SUMIFS(rec.uni[2025-06-01],
INDIRECT("rec.uni[natureza]"),"taxa.extra",
INDIRECT("rec.uni[empresa]"),N$6)</f>
        <v>0</v>
      </c>
      <c r="O56" s="50"/>
      <c r="P56" s="48">
        <f>COUNTIFS(
    estq[empresa], P$6,
    estq[Data da venda / reserva], "&gt;=" &amp; $A56,
    estq[Data da venda / reserva], "&lt;"  &amp; EOMONTH($A56,0) + 1
)</f>
        <v>0</v>
      </c>
      <c r="Q56" s="49">
        <f ca="1">SUMIFS(rec.uni[2025-06-01],
INDIRECT("rec.uni[natureza]"),"pro.soluto",
INDIRECT("rec.uni[empresa]"),Q$6)</f>
        <v>0</v>
      </c>
      <c r="R56" s="49">
        <f ca="1">SUMIFS(rec.uni[2025-06-01],
INDIRECT("rec.uni[natureza]"),"repasse.cef.obra",
INDIRECT("rec.uni[empresa]"),R$6)</f>
        <v>0</v>
      </c>
      <c r="S56" s="49">
        <f ca="1">SUMIFS(rec.uni[2025-06-01],
INDIRECT("rec.uni[natureza]"),"repasse.cef.terreno",
INDIRECT("rec.uni[empresa]"),S$6)</f>
        <v>0</v>
      </c>
      <c r="T56" s="49">
        <v>0</v>
      </c>
      <c r="U56" s="49">
        <f ca="1">SUMIFS(rec.uni[2025-06-01],
INDIRECT("rec.uni[natureza]"),"taxa.extra",
INDIRECT("rec.uni[empresa]"),U$6)</f>
        <v>0</v>
      </c>
      <c r="V56" s="50"/>
      <c r="W56" s="48">
        <f>COUNTIFS(
    estq[empresa], W$6,
    estq[Data da venda / reserva], "&gt;=" &amp; $A56,
    estq[Data da venda / reserva], "&lt;"  &amp; EOMONTH($A56,0) + 1
)</f>
        <v>0</v>
      </c>
      <c r="X56" s="49">
        <f ca="1">SUMIFS(rec.uni[2025-06-01],
INDIRECT("rec.uni[natureza]"),"pro.soluto",
INDIRECT("rec.uni[empresa]"),X$6)</f>
        <v>0</v>
      </c>
      <c r="Y56" s="49">
        <f ca="1">SUMIFS(rec.uni[2025-06-01],
INDIRECT("rec.uni[natureza]"),"taxa.extra",
INDIRECT("rec.uni[empresa]"),Y$6)</f>
        <v>0</v>
      </c>
      <c r="Z56" s="50"/>
      <c r="AA56" s="48">
        <f>COUNTIFS(
    estq[empresa], AA$6,
    estq[Data da venda / reserva], "&gt;=" &amp; $A56,
    estq[Data da venda / reserva], "&lt;"  &amp; EOMONTH($A56,0) + 1
)</f>
        <v>0</v>
      </c>
      <c r="AB56" s="49">
        <f ca="1">SUMIFS(rec.uni[2025-06-01],
INDIRECT("rec.uni[natureza]"),"pro.soluto",
INDIRECT("rec.uni[empresa]"),AB$6)</f>
        <v>0</v>
      </c>
      <c r="AC56" s="38">
        <f ca="1">SUMIFS(rec.uni[2025-06-01],
INDIRECT("rec.uni[natureza]"),"parcela.fin.total.ik",
INDIRECT("rec.uni[empresa]"),AC$6)</f>
        <v>0</v>
      </c>
      <c r="AD56" s="49">
        <f ca="1">SUMIFS(rec.uni[2025-06-01],
INDIRECT("rec.uni[natureza]"),"taxa.extra",
INDIRECT("rec.uni[empresa]"),AD$6)</f>
        <v>0</v>
      </c>
      <c r="AE56" s="50"/>
      <c r="AF56" s="48">
        <f>COUNTIFS(
    estq[empresa], AF$6,
    estq[Data da venda / reserva], "&gt;=" &amp; $A56,
    estq[Data da venda / reserva], "&lt;"  &amp; EOMONTH($A56,0) + 1
)</f>
        <v>0</v>
      </c>
      <c r="AG56" s="49">
        <f ca="1">SUMIFS(rec.uni[2025-06-01],
INDIRECT("rec.uni[natureza]"),"pro.soluto",
INDIRECT("rec.uni[empresa]"),AG$6)</f>
        <v>0</v>
      </c>
      <c r="AH56" s="49">
        <f ca="1">SUMIFS(rec.uni[2025-06-01],
INDIRECT("rec.uni[natureza]"),"repasse.cef.obra",
INDIRECT("rec.uni[empresa]"),AH$6)</f>
        <v>0</v>
      </c>
      <c r="AI56" s="49">
        <f ca="1">SUMIFS(rec.uni[2025-06-01],
INDIRECT("rec.uni[natureza]"),"repasse.cef.terreno",
INDIRECT("rec.uni[empresa]"),AI$6)</f>
        <v>0</v>
      </c>
      <c r="AJ56" s="49">
        <v>0</v>
      </c>
      <c r="AK56" s="49">
        <f ca="1">SUMIFS(rec.uni[2025-06-01],
INDIRECT("rec.uni[natureza]"),"taxa.extra",
INDIRECT("rec.uni[empresa]"),AK$6)</f>
        <v>0</v>
      </c>
      <c r="AL56" s="50"/>
      <c r="AM56" s="48">
        <f>COUNTIFS(
    estq[empresa], AM$6,
    estq[Data da venda / reserva], "&gt;=" &amp; $A56,
    estq[Data da venda / reserva], "&lt;"  &amp; EOMONTH($A56,0) + 1
)</f>
        <v>0</v>
      </c>
      <c r="AN56" s="49">
        <f ca="1">SUMIFS(rec.uni[2025-06-01],
INDIRECT("rec.uni[natureza]"),"pro.soluto",
INDIRECT("rec.uni[empresa]"),AN$6)</f>
        <v>0</v>
      </c>
      <c r="AO56" s="49">
        <f ca="1">SUMIFS(rec.uni[2025-06-01],
INDIRECT("rec.uni[natureza]"),"taxa.extra",
INDIRECT("rec.uni[empresa]"),AO$6)</f>
        <v>0</v>
      </c>
      <c r="AP56" s="50"/>
    </row>
    <row r="57" spans="1:42" x14ac:dyDescent="0.25">
      <c r="A57" s="47">
        <v>45839</v>
      </c>
      <c r="B57" s="48">
        <f>COUNTIFS(
    estq[empresa], B$6,
    estq[Data da venda / reserva], "&gt;=" &amp; $A57,
    estq[Data da venda / reserva], "&lt;"  &amp; EOMONTH($A57,0) + 1
)</f>
        <v>0</v>
      </c>
      <c r="C57" s="49">
        <f ca="1">SUMIFS(rec.uni[2025-07-01],
INDIRECT("rec.uni[natureza]"),"pro.soluto",
INDIRECT("rec.uni[empresa]"),C$6)</f>
        <v>0</v>
      </c>
      <c r="D57" s="49">
        <f ca="1">SUMIFS(rec.uni[2025-07-01],
INDIRECT("rec.uni[natureza]"),"repasse.cef.obra",
INDIRECT("rec.uni[empresa]"),D$6)</f>
        <v>0</v>
      </c>
      <c r="E57" s="49">
        <f ca="1">SUMIFS(rec.uni[2025-07-01],
INDIRECT("rec.uni[natureza]"),"repasse.cef.terreno",
INDIRECT("rec.uni[empresa]"),E$6)</f>
        <v>0</v>
      </c>
      <c r="F57" s="49">
        <v>171602.91</v>
      </c>
      <c r="G57" s="49">
        <f ca="1">SUMIFS(rec.uni[2025-07-01],
INDIRECT("rec.uni[natureza]"),"taxa.extra",
INDIRECT("rec.uni[empresa]"),G$6)</f>
        <v>0</v>
      </c>
      <c r="H57" s="50"/>
      <c r="I57" s="48">
        <f>COUNTIFS(
    estq[empresa], I$6,
    estq[Data da venda / reserva], "&gt;=" &amp; $A57,
    estq[Data da venda / reserva], "&lt;"  &amp; EOMONTH($A57,0) + 1
)</f>
        <v>0</v>
      </c>
      <c r="J57" s="49">
        <f ca="1">SUMIFS(rec.uni[2025-07-01],
INDIRECT("rec.uni[natureza]"),"pro.soluto",
INDIRECT("rec.uni[empresa]"),J$6)</f>
        <v>0</v>
      </c>
      <c r="K57" s="49">
        <f ca="1">SUMIFS(rec.uni[2025-07-01],
INDIRECT("rec.uni[natureza]"),"repasse.cef.obra",
INDIRECT("rec.uni[empresa]"),K$6)</f>
        <v>0</v>
      </c>
      <c r="L57" s="49">
        <f ca="1">SUMIFS(rec.uni[2025-07-01],
INDIRECT("rec.uni[natureza]"),"repasse.cef.terreno",
INDIRECT("rec.uni[empresa]"),L$6)</f>
        <v>0</v>
      </c>
      <c r="M57" s="49">
        <v>0</v>
      </c>
      <c r="N57" s="49">
        <f ca="1">SUMIFS(rec.uni[2025-07-01],
INDIRECT("rec.uni[natureza]"),"taxa.extra",
INDIRECT("rec.uni[empresa]"),N$6)</f>
        <v>0</v>
      </c>
      <c r="O57" s="50"/>
      <c r="P57" s="48">
        <f>COUNTIFS(
    estq[empresa], P$6,
    estq[Data da venda / reserva], "&gt;=" &amp; $A57,
    estq[Data da venda / reserva], "&lt;"  &amp; EOMONTH($A57,0) + 1
)</f>
        <v>0</v>
      </c>
      <c r="Q57" s="49">
        <f ca="1">SUMIFS(rec.uni[2025-07-01],
INDIRECT("rec.uni[natureza]"),"pro.soluto",
INDIRECT("rec.uni[empresa]"),Q$6)</f>
        <v>0</v>
      </c>
      <c r="R57" s="49">
        <f ca="1">SUMIFS(rec.uni[2025-07-01],
INDIRECT("rec.uni[natureza]"),"repasse.cef.obra",
INDIRECT("rec.uni[empresa]"),R$6)</f>
        <v>0</v>
      </c>
      <c r="S57" s="49">
        <f ca="1">SUMIFS(rec.uni[2025-07-01],
INDIRECT("rec.uni[natureza]"),"repasse.cef.terreno",
INDIRECT("rec.uni[empresa]"),S$6)</f>
        <v>0</v>
      </c>
      <c r="T57" s="49">
        <v>493410.63</v>
      </c>
      <c r="U57" s="49">
        <f ca="1">SUMIFS(rec.uni[2025-07-01],
INDIRECT("rec.uni[natureza]"),"taxa.extra",
INDIRECT("rec.uni[empresa]"),U$6)</f>
        <v>0</v>
      </c>
      <c r="V57" s="50"/>
      <c r="W57" s="48">
        <f>COUNTIFS(
    estq[empresa], W$6,
    estq[Data da venda / reserva], "&gt;=" &amp; $A57,
    estq[Data da venda / reserva], "&lt;"  &amp; EOMONTH($A57,0) + 1
)</f>
        <v>0</v>
      </c>
      <c r="X57" s="49">
        <f ca="1">SUMIFS(rec.uni[2025-07-01],
INDIRECT("rec.uni[natureza]"),"pro.soluto",
INDIRECT("rec.uni[empresa]"),X$6)</f>
        <v>0</v>
      </c>
      <c r="Y57" s="49">
        <f ca="1">SUMIFS(rec.uni[2025-07-01],
INDIRECT("rec.uni[natureza]"),"taxa.extra",
INDIRECT("rec.uni[empresa]"),Y$6)</f>
        <v>0</v>
      </c>
      <c r="Z57" s="50"/>
      <c r="AA57" s="48">
        <f>COUNTIFS(
    estq[empresa], AA$6,
    estq[Data da venda / reserva], "&gt;=" &amp; $A57,
    estq[Data da venda / reserva], "&lt;"  &amp; EOMONTH($A57,0) + 1
)</f>
        <v>0</v>
      </c>
      <c r="AB57" s="49">
        <f ca="1">SUMIFS(rec.uni[2025-07-01],
INDIRECT("rec.uni[natureza]"),"pro.soluto",
INDIRECT("rec.uni[empresa]"),AB$6)</f>
        <v>0</v>
      </c>
      <c r="AC57" s="38">
        <f ca="1">SUMIFS(rec.uni[2025-07-01],
INDIRECT("rec.uni[natureza]"),"parcela.fin.total.ik",
INDIRECT("rec.uni[empresa]"),AC$6)</f>
        <v>0</v>
      </c>
      <c r="AD57" s="49">
        <f ca="1">SUMIFS(rec.uni[2025-07-01],
INDIRECT("rec.uni[natureza]"),"taxa.extra",
INDIRECT("rec.uni[empresa]"),AD$6)</f>
        <v>0</v>
      </c>
      <c r="AE57" s="50"/>
      <c r="AF57" s="48">
        <f>COUNTIFS(
    estq[empresa], AF$6,
    estq[Data da venda / reserva], "&gt;=" &amp; $A57,
    estq[Data da venda / reserva], "&lt;"  &amp; EOMONTH($A57,0) + 1
)</f>
        <v>0</v>
      </c>
      <c r="AG57" s="49">
        <f ca="1">SUMIFS(rec.uni[2025-07-01],
INDIRECT("rec.uni[natureza]"),"pro.soluto",
INDIRECT("rec.uni[empresa]"),AG$6)</f>
        <v>0</v>
      </c>
      <c r="AH57" s="49">
        <f ca="1">SUMIFS(rec.uni[2025-07-01],
INDIRECT("rec.uni[natureza]"),"repasse.cef.obra",
INDIRECT("rec.uni[empresa]"),AH$6)</f>
        <v>0</v>
      </c>
      <c r="AI57" s="49">
        <f ca="1">SUMIFS(rec.uni[2025-07-01],
INDIRECT("rec.uni[natureza]"),"repasse.cef.terreno",
INDIRECT("rec.uni[empresa]"),AI$6)</f>
        <v>0</v>
      </c>
      <c r="AJ57" s="49">
        <v>504350.63</v>
      </c>
      <c r="AK57" s="49">
        <f ca="1">SUMIFS(rec.uni[2025-07-01],
INDIRECT("rec.uni[natureza]"),"taxa.extra",
INDIRECT("rec.uni[empresa]"),AK$6)</f>
        <v>0</v>
      </c>
      <c r="AL57" s="50"/>
      <c r="AM57" s="48">
        <f>COUNTIFS(
    estq[empresa], AM$6,
    estq[Data da venda / reserva], "&gt;=" &amp; $A57,
    estq[Data da venda / reserva], "&lt;"  &amp; EOMONTH($A57,0) + 1
)</f>
        <v>0</v>
      </c>
      <c r="AN57" s="49">
        <f ca="1">SUMIFS(rec.uni[2025-07-01],
INDIRECT("rec.uni[natureza]"),"pro.soluto",
INDIRECT("rec.uni[empresa]"),AN$6)</f>
        <v>0</v>
      </c>
      <c r="AO57" s="49">
        <f ca="1">SUMIFS(rec.uni[2025-07-01],
INDIRECT("rec.uni[natureza]"),"taxa.extra",
INDIRECT("rec.uni[empresa]"),AO$6)</f>
        <v>0</v>
      </c>
      <c r="AP57" s="50"/>
    </row>
    <row r="58" spans="1:42" x14ac:dyDescent="0.25">
      <c r="A58" s="47">
        <v>45870</v>
      </c>
      <c r="B58" s="48">
        <f>COUNTIFS(
    estq[empresa], B$6,
    estq[Data da venda / reserva], "&gt;=" &amp; $A58,
    estq[Data da venda / reserva], "&lt;"  &amp; EOMONTH($A58,0) + 1
)</f>
        <v>0</v>
      </c>
      <c r="C58" s="49">
        <f ca="1">SUMIFS(rec.uni[2025-08-01],
INDIRECT("rec.uni[natureza]"),"pro.soluto",
INDIRECT("rec.uni[empresa]"),C$6)</f>
        <v>0</v>
      </c>
      <c r="D58" s="49">
        <f ca="1">SUMIFS(rec.uni[2025-08-01],
INDIRECT("rec.uni[natureza]"),"repasse.cef.obra",
INDIRECT("rec.uni[empresa]"),D$6)</f>
        <v>0</v>
      </c>
      <c r="E58" s="49">
        <f ca="1">SUMIFS(rec.uni[2025-08-01],
INDIRECT("rec.uni[natureza]"),"repasse.cef.terreno",
INDIRECT("rec.uni[empresa]"),E$6)</f>
        <v>0</v>
      </c>
      <c r="F58" s="49">
        <v>366306.04</v>
      </c>
      <c r="G58" s="49">
        <f ca="1">SUMIFS(rec.uni[2025-08-01],
INDIRECT("rec.uni[natureza]"),"taxa.extra",
INDIRECT("rec.uni[empresa]"),G$6)</f>
        <v>0</v>
      </c>
      <c r="H58" s="50"/>
      <c r="I58" s="48">
        <f>COUNTIFS(
    estq[empresa], I$6,
    estq[Data da venda / reserva], "&gt;=" &amp; $A58,
    estq[Data da venda / reserva], "&lt;"  &amp; EOMONTH($A58,0) + 1
)</f>
        <v>0</v>
      </c>
      <c r="J58" s="49">
        <f ca="1">SUMIFS(rec.uni[2025-08-01],
INDIRECT("rec.uni[natureza]"),"pro.soluto",
INDIRECT("rec.uni[empresa]"),J$6)</f>
        <v>0</v>
      </c>
      <c r="K58" s="49">
        <f ca="1">SUMIFS(rec.uni[2025-08-01],
INDIRECT("rec.uni[natureza]"),"repasse.cef.obra",
INDIRECT("rec.uni[empresa]"),K$6)</f>
        <v>0</v>
      </c>
      <c r="L58" s="49">
        <f ca="1">SUMIFS(rec.uni[2025-08-01],
INDIRECT("rec.uni[natureza]"),"repasse.cef.terreno",
INDIRECT("rec.uni[empresa]"),L$6)</f>
        <v>0</v>
      </c>
      <c r="M58" s="49">
        <v>0</v>
      </c>
      <c r="N58" s="49">
        <f ca="1">SUMIFS(rec.uni[2025-08-01],
INDIRECT("rec.uni[natureza]"),"taxa.extra",
INDIRECT("rec.uni[empresa]"),N$6)</f>
        <v>0</v>
      </c>
      <c r="O58" s="50"/>
      <c r="P58" s="48">
        <f>COUNTIFS(
    estq[empresa], P$6,
    estq[Data da venda / reserva], "&gt;=" &amp; $A58,
    estq[Data da venda / reserva], "&lt;"  &amp; EOMONTH($A58,0) + 1
)</f>
        <v>0</v>
      </c>
      <c r="Q58" s="49">
        <f ca="1">SUMIFS(rec.uni[2025-08-01],
INDIRECT("rec.uni[natureza]"),"pro.soluto",
INDIRECT("rec.uni[empresa]"),Q$6)</f>
        <v>0</v>
      </c>
      <c r="R58" s="49">
        <f ca="1">SUMIFS(rec.uni[2025-08-01],
INDIRECT("rec.uni[natureza]"),"repasse.cef.obra",
INDIRECT("rec.uni[empresa]"),R$6)</f>
        <v>0</v>
      </c>
      <c r="S58" s="49">
        <f ca="1">SUMIFS(rec.uni[2025-08-01],
INDIRECT("rec.uni[natureza]"),"repasse.cef.terreno",
INDIRECT("rec.uni[empresa]"),S$6)</f>
        <v>0</v>
      </c>
      <c r="T58" s="49">
        <v>831222.47</v>
      </c>
      <c r="U58" s="49">
        <f ca="1">SUMIFS(rec.uni[2025-08-01],
INDIRECT("rec.uni[natureza]"),"taxa.extra",
INDIRECT("rec.uni[empresa]"),U$6)</f>
        <v>0</v>
      </c>
      <c r="V58" s="50"/>
      <c r="W58" s="48">
        <f>COUNTIFS(
    estq[empresa], W$6,
    estq[Data da venda / reserva], "&gt;=" &amp; $A58,
    estq[Data da venda / reserva], "&lt;"  &amp; EOMONTH($A58,0) + 1
)</f>
        <v>0</v>
      </c>
      <c r="X58" s="49">
        <f ca="1">SUMIFS(rec.uni[2025-08-01],
INDIRECT("rec.uni[natureza]"),"pro.soluto",
INDIRECT("rec.uni[empresa]"),X$6)</f>
        <v>0</v>
      </c>
      <c r="Y58" s="49">
        <f ca="1">SUMIFS(rec.uni[2025-08-01],
INDIRECT("rec.uni[natureza]"),"taxa.extra",
INDIRECT("rec.uni[empresa]"),Y$6)</f>
        <v>0</v>
      </c>
      <c r="Z58" s="50"/>
      <c r="AA58" s="48">
        <f>COUNTIFS(
    estq[empresa], AA$6,
    estq[Data da venda / reserva], "&gt;=" &amp; $A58,
    estq[Data da venda / reserva], "&lt;"  &amp; EOMONTH($A58,0) + 1
)</f>
        <v>0</v>
      </c>
      <c r="AB58" s="49">
        <f ca="1">SUMIFS(rec.uni[2025-08-01],
INDIRECT("rec.uni[natureza]"),"pro.soluto",
INDIRECT("rec.uni[empresa]"),AB$6)</f>
        <v>0</v>
      </c>
      <c r="AC58" s="38">
        <f ca="1">SUMIFS(rec.uni[2025-08-01],
INDIRECT("rec.uni[natureza]"),"parcela.fin.total.ik",
INDIRECT("rec.uni[empresa]"),AC$6)</f>
        <v>0</v>
      </c>
      <c r="AD58" s="49">
        <f ca="1">SUMIFS(rec.uni[2025-08-01],
INDIRECT("rec.uni[natureza]"),"taxa.extra",
INDIRECT("rec.uni[empresa]"),AD$6)</f>
        <v>0</v>
      </c>
      <c r="AE58" s="50"/>
      <c r="AF58" s="48">
        <f>COUNTIFS(
    estq[empresa], AF$6,
    estq[Data da venda / reserva], "&gt;=" &amp; $A58,
    estq[Data da venda / reserva], "&lt;"  &amp; EOMONTH($A58,0) + 1
)</f>
        <v>0</v>
      </c>
      <c r="AG58" s="49">
        <f ca="1">SUMIFS(rec.uni[2025-08-01],
INDIRECT("rec.uni[natureza]"),"pro.soluto",
INDIRECT("rec.uni[empresa]"),AG$6)</f>
        <v>0</v>
      </c>
      <c r="AH58" s="49">
        <f ca="1">SUMIFS(rec.uni[2025-08-01],
INDIRECT("rec.uni[natureza]"),"repasse.cef.obra",
INDIRECT("rec.uni[empresa]"),AH$6)</f>
        <v>0</v>
      </c>
      <c r="AI58" s="49">
        <f ca="1">SUMIFS(rec.uni[2025-08-01],
INDIRECT("rec.uni[natureza]"),"repasse.cef.terreno",
INDIRECT("rec.uni[empresa]"),AI$6)</f>
        <v>0</v>
      </c>
      <c r="AJ58" s="49">
        <v>249520.85</v>
      </c>
      <c r="AK58" s="49">
        <f ca="1">SUMIFS(rec.uni[2025-08-01],
INDIRECT("rec.uni[natureza]"),"taxa.extra",
INDIRECT("rec.uni[empresa]"),AK$6)</f>
        <v>0</v>
      </c>
      <c r="AL58" s="50"/>
      <c r="AM58" s="48">
        <f>COUNTIFS(
    estq[empresa], AM$6,
    estq[Data da venda / reserva], "&gt;=" &amp; $A58,
    estq[Data da venda / reserva], "&lt;"  &amp; EOMONTH($A58,0) + 1
)</f>
        <v>0</v>
      </c>
      <c r="AN58" s="49">
        <f ca="1">SUMIFS(rec.uni[2025-08-01],
INDIRECT("rec.uni[natureza]"),"pro.soluto",
INDIRECT("rec.uni[empresa]"),AN$6)</f>
        <v>0</v>
      </c>
      <c r="AO58" s="49">
        <f ca="1">SUMIFS(rec.uni[2025-08-01],
INDIRECT("rec.uni[natureza]"),"taxa.extra",
INDIRECT("rec.uni[empresa]"),AO$6)</f>
        <v>0</v>
      </c>
      <c r="AP58" s="50"/>
    </row>
    <row r="59" spans="1:42" x14ac:dyDescent="0.25">
      <c r="A59" s="47">
        <v>45901</v>
      </c>
      <c r="B59" s="48">
        <f>COUNTIFS(
    estq[empresa], B$6,
    estq[Data da venda / reserva], "&gt;=" &amp; $A59,
    estq[Data da venda / reserva], "&lt;"  &amp; EOMONTH($A59,0) + 1
)</f>
        <v>0</v>
      </c>
      <c r="C59" s="49">
        <f ca="1">SUMIFS(rec.uni[2025-09-01],
INDIRECT("rec.uni[natureza]"),"pro.soluto",
INDIRECT("rec.uni[empresa]"),C$6)</f>
        <v>0</v>
      </c>
      <c r="D59" s="49">
        <f ca="1">SUMIFS(rec.uni[2025-09-01],
INDIRECT("rec.uni[natureza]"),"repasse.cef.obra",
INDIRECT("rec.uni[empresa]"),D$6)</f>
        <v>0</v>
      </c>
      <c r="E59" s="49">
        <f ca="1">SUMIFS(rec.uni[2025-09-01],
INDIRECT("rec.uni[natureza]"),"repasse.cef.terreno",
INDIRECT("rec.uni[empresa]"),E$6)</f>
        <v>0</v>
      </c>
      <c r="F59" s="49">
        <v>181081.21</v>
      </c>
      <c r="G59" s="49">
        <f ca="1">SUMIFS(rec.uni[2025-09-01],
INDIRECT("rec.uni[natureza]"),"taxa.extra",
INDIRECT("rec.uni[empresa]"),G$6)</f>
        <v>0</v>
      </c>
      <c r="H59" s="50"/>
      <c r="I59" s="48">
        <f>COUNTIFS(
    estq[empresa], I$6,
    estq[Data da venda / reserva], "&gt;=" &amp; $A59,
    estq[Data da venda / reserva], "&lt;"  &amp; EOMONTH($A59,0) + 1
)</f>
        <v>0</v>
      </c>
      <c r="J59" s="49">
        <f ca="1">SUMIFS(rec.uni[2025-09-01],
INDIRECT("rec.uni[natureza]"),"pro.soluto",
INDIRECT("rec.uni[empresa]"),J$6)</f>
        <v>0</v>
      </c>
      <c r="K59" s="49">
        <f ca="1">SUMIFS(rec.uni[2025-09-01],
INDIRECT("rec.uni[natureza]"),"repasse.cef.obra",
INDIRECT("rec.uni[empresa]"),K$6)</f>
        <v>0</v>
      </c>
      <c r="L59" s="49">
        <f ca="1">SUMIFS(rec.uni[2025-09-01],
INDIRECT("rec.uni[natureza]"),"repasse.cef.terreno",
INDIRECT("rec.uni[empresa]"),L$6)</f>
        <v>0</v>
      </c>
      <c r="M59" s="49">
        <v>0</v>
      </c>
      <c r="N59" s="49">
        <f ca="1">SUMIFS(rec.uni[2025-09-01],
INDIRECT("rec.uni[natureza]"),"taxa.extra",
INDIRECT("rec.uni[empresa]"),N$6)</f>
        <v>0</v>
      </c>
      <c r="O59" s="50"/>
      <c r="P59" s="48">
        <f>COUNTIFS(
    estq[empresa], P$6,
    estq[Data da venda / reserva], "&gt;=" &amp; $A59,
    estq[Data da venda / reserva], "&lt;"  &amp; EOMONTH($A59,0) + 1
)</f>
        <v>0</v>
      </c>
      <c r="Q59" s="49">
        <f ca="1">SUMIFS(rec.uni[2025-09-01],
INDIRECT("rec.uni[natureza]"),"pro.soluto",
INDIRECT("rec.uni[empresa]"),Q$6)</f>
        <v>0</v>
      </c>
      <c r="R59" s="49">
        <f ca="1">SUMIFS(rec.uni[2025-09-01],
INDIRECT("rec.uni[natureza]"),"repasse.cef.obra",
INDIRECT("rec.uni[empresa]"),R$6)</f>
        <v>0</v>
      </c>
      <c r="S59" s="49">
        <f ca="1">SUMIFS(rec.uni[2025-09-01],
INDIRECT("rec.uni[natureza]"),"repasse.cef.terreno",
INDIRECT("rec.uni[empresa]"),S$6)</f>
        <v>0</v>
      </c>
      <c r="T59" s="49">
        <v>229516.7</v>
      </c>
      <c r="U59" s="49">
        <f ca="1">SUMIFS(rec.uni[2025-09-01],
INDIRECT("rec.uni[natureza]"),"taxa.extra",
INDIRECT("rec.uni[empresa]"),U$6)</f>
        <v>0</v>
      </c>
      <c r="V59" s="50"/>
      <c r="W59" s="48">
        <f>COUNTIFS(
    estq[empresa], W$6,
    estq[Data da venda / reserva], "&gt;=" &amp; $A59,
    estq[Data da venda / reserva], "&lt;"  &amp; EOMONTH($A59,0) + 1
)</f>
        <v>0</v>
      </c>
      <c r="X59" s="49">
        <f ca="1">SUMIFS(rec.uni[2025-09-01],
INDIRECT("rec.uni[natureza]"),"pro.soluto",
INDIRECT("rec.uni[empresa]"),X$6)</f>
        <v>0</v>
      </c>
      <c r="Y59" s="49">
        <f ca="1">SUMIFS(rec.uni[2025-09-01],
INDIRECT("rec.uni[natureza]"),"taxa.extra",
INDIRECT("rec.uni[empresa]"),Y$6)</f>
        <v>0</v>
      </c>
      <c r="Z59" s="50"/>
      <c r="AA59" s="48">
        <f>COUNTIFS(
    estq[empresa], AA$6,
    estq[Data da venda / reserva], "&gt;=" &amp; $A59,
    estq[Data da venda / reserva], "&lt;"  &amp; EOMONTH($A59,0) + 1
)</f>
        <v>0</v>
      </c>
      <c r="AB59" s="49">
        <f ca="1">SUMIFS(rec.uni[2025-09-01],
INDIRECT("rec.uni[natureza]"),"pro.soluto",
INDIRECT("rec.uni[empresa]"),AB$6)</f>
        <v>0</v>
      </c>
      <c r="AC59" s="38">
        <f ca="1">SUMIFS(rec.uni[2025-09-01],
INDIRECT("rec.uni[natureza]"),"parcela.fin.total.ik",
INDIRECT("rec.uni[empresa]"),AC$6)</f>
        <v>0</v>
      </c>
      <c r="AD59" s="49">
        <f ca="1">SUMIFS(rec.uni[2025-09-01],
INDIRECT("rec.uni[natureza]"),"taxa.extra",
INDIRECT("rec.uni[empresa]"),AD$6)</f>
        <v>0</v>
      </c>
      <c r="AE59" s="50"/>
      <c r="AF59" s="48">
        <f>COUNTIFS(
    estq[empresa], AF$6,
    estq[Data da venda / reserva], "&gt;=" &amp; $A59,
    estq[Data da venda / reserva], "&lt;"  &amp; EOMONTH($A59,0) + 1
)</f>
        <v>0</v>
      </c>
      <c r="AG59" s="49">
        <f ca="1">SUMIFS(rec.uni[2025-09-01],
INDIRECT("rec.uni[natureza]"),"pro.soluto",
INDIRECT("rec.uni[empresa]"),AG$6)</f>
        <v>0</v>
      </c>
      <c r="AH59" s="49">
        <f ca="1">SUMIFS(rec.uni[2025-09-01],
INDIRECT("rec.uni[natureza]"),"repasse.cef.obra",
INDIRECT("rec.uni[empresa]"),AH$6)</f>
        <v>0</v>
      </c>
      <c r="AI59" s="49">
        <f ca="1">SUMIFS(rec.uni[2025-09-01],
INDIRECT("rec.uni[natureza]"),"repasse.cef.terreno",
INDIRECT("rec.uni[empresa]"),AI$6)</f>
        <v>0</v>
      </c>
      <c r="AJ59" s="49">
        <v>315799.90000000002</v>
      </c>
      <c r="AK59" s="49">
        <f ca="1">SUMIFS(rec.uni[2025-09-01],
INDIRECT("rec.uni[natureza]"),"taxa.extra",
INDIRECT("rec.uni[empresa]"),AK$6)</f>
        <v>0</v>
      </c>
      <c r="AL59" s="50"/>
      <c r="AM59" s="48">
        <f>COUNTIFS(
    estq[empresa], AM$6,
    estq[Data da venda / reserva], "&gt;=" &amp; $A59,
    estq[Data da venda / reserva], "&lt;"  &amp; EOMONTH($A59,0) + 1
)</f>
        <v>0</v>
      </c>
      <c r="AN59" s="49">
        <f ca="1">SUMIFS(rec.uni[2025-09-01],
INDIRECT("rec.uni[natureza]"),"pro.soluto",
INDIRECT("rec.uni[empresa]"),AN$6)</f>
        <v>0</v>
      </c>
      <c r="AO59" s="49">
        <f ca="1">SUMIFS(rec.uni[2025-09-01],
INDIRECT("rec.uni[natureza]"),"taxa.extra",
INDIRECT("rec.uni[empresa]"),AO$6)</f>
        <v>0</v>
      </c>
      <c r="AP59" s="50"/>
    </row>
    <row r="60" spans="1:42" x14ac:dyDescent="0.25">
      <c r="A60" s="47">
        <v>45931</v>
      </c>
      <c r="B60" s="48">
        <f>COUNTIFS(
    estq[empresa], B$6,
    estq[Data da venda / reserva], "&gt;=" &amp; $A60,
    estq[Data da venda / reserva], "&lt;"  &amp; EOMONTH($A60,0) + 1
)</f>
        <v>0</v>
      </c>
      <c r="C60" s="49">
        <f ca="1">SUMIFS(rec.uni[2025-10-01],
INDIRECT("rec.uni[natureza]"),"pro.soluto",
INDIRECT("rec.uni[empresa]"),C$6)</f>
        <v>0</v>
      </c>
      <c r="D60" s="49">
        <f ca="1">SUMIFS(rec.uni[2025-10-01],
INDIRECT("rec.uni[natureza]"),"repasse.cef.obra",
INDIRECT("rec.uni[empresa]"),D$6)</f>
        <v>0</v>
      </c>
      <c r="E60" s="49">
        <f ca="1">SUMIFS(rec.uni[2025-10-01],
INDIRECT("rec.uni[natureza]"),"repasse.cef.terreno",
INDIRECT("rec.uni[empresa]"),E$6)</f>
        <v>0</v>
      </c>
      <c r="F60" s="49">
        <v>266613.7</v>
      </c>
      <c r="G60" s="49">
        <f ca="1">SUMIFS(rec.uni[2025-10-01],
INDIRECT("rec.uni[natureza]"),"taxa.extra",
INDIRECT("rec.uni[empresa]"),G$6)</f>
        <v>0</v>
      </c>
      <c r="H60" s="50"/>
      <c r="I60" s="48">
        <f>COUNTIFS(
    estq[empresa], I$6,
    estq[Data da venda / reserva], "&gt;=" &amp; $A60,
    estq[Data da venda / reserva], "&lt;"  &amp; EOMONTH($A60,0) + 1
)</f>
        <v>0</v>
      </c>
      <c r="J60" s="49">
        <f ca="1">SUMIFS(rec.uni[2025-10-01],
INDIRECT("rec.uni[natureza]"),"pro.soluto",
INDIRECT("rec.uni[empresa]"),J$6)</f>
        <v>0</v>
      </c>
      <c r="K60" s="49">
        <f ca="1">SUMIFS(rec.uni[2025-10-01],
INDIRECT("rec.uni[natureza]"),"repasse.cef.obra",
INDIRECT("rec.uni[empresa]"),K$6)</f>
        <v>0</v>
      </c>
      <c r="L60" s="49">
        <f ca="1">SUMIFS(rec.uni[2025-10-01],
INDIRECT("rec.uni[natureza]"),"repasse.cef.terreno",
INDIRECT("rec.uni[empresa]"),L$6)</f>
        <v>0</v>
      </c>
      <c r="M60" s="49">
        <v>0</v>
      </c>
      <c r="N60" s="49">
        <f ca="1">SUMIFS(rec.uni[2025-10-01],
INDIRECT("rec.uni[natureza]"),"taxa.extra",
INDIRECT("rec.uni[empresa]"),N$6)</f>
        <v>0</v>
      </c>
      <c r="O60" s="50"/>
      <c r="P60" s="48">
        <f>COUNTIFS(
    estq[empresa], P$6,
    estq[Data da venda / reserva], "&gt;=" &amp; $A60,
    estq[Data da venda / reserva], "&lt;"  &amp; EOMONTH($A60,0) + 1
)</f>
        <v>0</v>
      </c>
      <c r="Q60" s="49">
        <f ca="1">SUMIFS(rec.uni[2025-10-01],
INDIRECT("rec.uni[natureza]"),"pro.soluto",
INDIRECT("rec.uni[empresa]"),Q$6)</f>
        <v>0</v>
      </c>
      <c r="R60" s="49">
        <f ca="1">SUMIFS(rec.uni[2025-10-01],
INDIRECT("rec.uni[natureza]"),"repasse.cef.obra",
INDIRECT("rec.uni[empresa]"),R$6)</f>
        <v>0</v>
      </c>
      <c r="S60" s="49">
        <f ca="1">SUMIFS(rec.uni[2025-10-01],
INDIRECT("rec.uni[natureza]"),"repasse.cef.terreno",
INDIRECT("rec.uni[empresa]"),S$6)</f>
        <v>0</v>
      </c>
      <c r="T60" s="49">
        <v>314892.83</v>
      </c>
      <c r="U60" s="49">
        <f ca="1">SUMIFS(rec.uni[2025-10-01],
INDIRECT("rec.uni[natureza]"),"taxa.extra",
INDIRECT("rec.uni[empresa]"),U$6)</f>
        <v>0</v>
      </c>
      <c r="V60" s="50"/>
      <c r="W60" s="48">
        <f>COUNTIFS(
    estq[empresa], W$6,
    estq[Data da venda / reserva], "&gt;=" &amp; $A60,
    estq[Data da venda / reserva], "&lt;"  &amp; EOMONTH($A60,0) + 1
)</f>
        <v>0</v>
      </c>
      <c r="X60" s="49">
        <f ca="1">SUMIFS(rec.uni[2025-10-01],
INDIRECT("rec.uni[natureza]"),"pro.soluto",
INDIRECT("rec.uni[empresa]"),X$6)</f>
        <v>0</v>
      </c>
      <c r="Y60" s="49">
        <f ca="1">SUMIFS(rec.uni[2025-10-01],
INDIRECT("rec.uni[natureza]"),"taxa.extra",
INDIRECT("rec.uni[empresa]"),Y$6)</f>
        <v>0</v>
      </c>
      <c r="Z60" s="50"/>
      <c r="AA60" s="48">
        <f>COUNTIFS(
    estq[empresa], AA$6,
    estq[Data da venda / reserva], "&gt;=" &amp; $A60,
    estq[Data da venda / reserva], "&lt;"  &amp; EOMONTH($A60,0) + 1
)</f>
        <v>0</v>
      </c>
      <c r="AB60" s="49">
        <f ca="1">SUMIFS(rec.uni[2025-10-01],
INDIRECT("rec.uni[natureza]"),"pro.soluto",
INDIRECT("rec.uni[empresa]"),AB$6)</f>
        <v>0</v>
      </c>
      <c r="AC60" s="38">
        <f ca="1">SUMIFS(rec.uni[2025-10-01],
INDIRECT("rec.uni[natureza]"),"parcela.fin.total.ik",
INDIRECT("rec.uni[empresa]"),AC$6)</f>
        <v>0</v>
      </c>
      <c r="AD60" s="49">
        <f ca="1">SUMIFS(rec.uni[2025-10-01],
INDIRECT("rec.uni[natureza]"),"taxa.extra",
INDIRECT("rec.uni[empresa]"),AD$6)</f>
        <v>0</v>
      </c>
      <c r="AE60" s="50"/>
      <c r="AF60" s="48">
        <f>COUNTIFS(
    estq[empresa], AF$6,
    estq[Data da venda / reserva], "&gt;=" &amp; $A60,
    estq[Data da venda / reserva], "&lt;"  &amp; EOMONTH($A60,0) + 1
)</f>
        <v>0</v>
      </c>
      <c r="AG60" s="49">
        <f ca="1">SUMIFS(rec.uni[2025-10-01],
INDIRECT("rec.uni[natureza]"),"pro.soluto",
INDIRECT("rec.uni[empresa]"),AG$6)</f>
        <v>0</v>
      </c>
      <c r="AH60" s="49">
        <f ca="1">SUMIFS(rec.uni[2025-10-01],
INDIRECT("rec.uni[natureza]"),"repasse.cef.obra",
INDIRECT("rec.uni[empresa]"),AH$6)</f>
        <v>0</v>
      </c>
      <c r="AI60" s="49">
        <f ca="1">SUMIFS(rec.uni[2025-10-01],
INDIRECT("rec.uni[natureza]"),"repasse.cef.terreno",
INDIRECT("rec.uni[empresa]"),AI$6)</f>
        <v>0</v>
      </c>
      <c r="AJ60" s="49">
        <v>165252.20000000001</v>
      </c>
      <c r="AK60" s="49">
        <f ca="1">SUMIFS(rec.uni[2025-10-01],
INDIRECT("rec.uni[natureza]"),"taxa.extra",
INDIRECT("rec.uni[empresa]"),AK$6)</f>
        <v>0</v>
      </c>
      <c r="AL60" s="50"/>
      <c r="AM60" s="48">
        <f>COUNTIFS(
    estq[empresa], AM$6,
    estq[Data da venda / reserva], "&gt;=" &amp; $A60,
    estq[Data da venda / reserva], "&lt;"  &amp; EOMONTH($A60,0) + 1
)</f>
        <v>0</v>
      </c>
      <c r="AN60" s="49">
        <f ca="1">SUMIFS(rec.uni[2025-10-01],
INDIRECT("rec.uni[natureza]"),"pro.soluto",
INDIRECT("rec.uni[empresa]"),AN$6)</f>
        <v>0</v>
      </c>
      <c r="AO60" s="49">
        <f ca="1">SUMIFS(rec.uni[2025-10-01],
INDIRECT("rec.uni[natureza]"),"taxa.extra",
INDIRECT("rec.uni[empresa]"),AO$6)</f>
        <v>0</v>
      </c>
      <c r="AP60" s="50"/>
    </row>
    <row r="61" spans="1:42" x14ac:dyDescent="0.25">
      <c r="A61" s="47">
        <v>45962</v>
      </c>
      <c r="B61" s="39">
        <f>COUNTIFS(
    estq[empresa], B$6,
    estq[Data da venda / reserva], "&gt;=" &amp; $A61,
    estq[Data da venda / reserva], "&lt;"  &amp; EOMONTH($A61,0) + 1
)</f>
        <v>0</v>
      </c>
      <c r="C61" s="49">
        <f ca="1">SUMIFS(rec.uni[2025-11-01],
INDIRECT("rec.uni[natureza]"),"pro.soluto",
INDIRECT("rec.uni[empresa]"),C$6)</f>
        <v>0</v>
      </c>
      <c r="D61" s="38">
        <f ca="1">SUMIFS(rec.uni[2025-11-01],
INDIRECT("rec.uni[natureza]"),"repasse.cef.obra",
INDIRECT("rec.uni[empresa]"),D$6)</f>
        <v>0</v>
      </c>
      <c r="E61" s="51">
        <f ca="1">SUMIFS(rec.uni[2025-11-01],
INDIRECT("rec.uni[natureza]"),"repasse.cef.terreno",
INDIRECT("rec.uni[empresa]"),E$6)</f>
        <v>0</v>
      </c>
      <c r="F61" s="51">
        <v>230479.34</v>
      </c>
      <c r="G61" s="49">
        <f ca="1">SUMIFS(rec.uni[2025-11-01],
INDIRECT("rec.uni[natureza]"),"taxa.extra",
INDIRECT("rec.uni[empresa]"),G$6)</f>
        <v>0</v>
      </c>
      <c r="H61" s="50"/>
      <c r="I61" s="48">
        <f>COUNTIFS(
    estq[empresa], I$6,
    estq[Data da venda / reserva], "&gt;=" &amp; $A61,
    estq[Data da venda / reserva], "&lt;"  &amp; EOMONTH($A61,0) + 1
)</f>
        <v>0</v>
      </c>
      <c r="J61" s="49">
        <f ca="1">SUMIFS(rec.uni[2025-11-01],
INDIRECT("rec.uni[natureza]"),"pro.soluto",
INDIRECT("rec.uni[empresa]"),J$6)</f>
        <v>0</v>
      </c>
      <c r="K61" s="38">
        <f ca="1">SUMIFS(rec.uni[2025-11-01],
INDIRECT("rec.uni[natureza]"),"repasse.cef.obra",
INDIRECT("rec.uni[empresa]"),K$6)</f>
        <v>0</v>
      </c>
      <c r="L61" s="51">
        <f ca="1">SUMIFS(rec.uni[2025-11-01],
INDIRECT("rec.uni[natureza]"),"repasse.cef.terreno",
INDIRECT("rec.uni[empresa]"),L$6)</f>
        <v>0</v>
      </c>
      <c r="M61" s="51">
        <v>0</v>
      </c>
      <c r="N61" s="49">
        <f ca="1">SUMIFS(rec.uni[2025-11-01],
INDIRECT("rec.uni[natureza]"),"taxa.extra",
INDIRECT("rec.uni[empresa]"),N$6)</f>
        <v>0</v>
      </c>
      <c r="O61" s="50"/>
      <c r="P61" s="48">
        <f>COUNTIFS(
    estq[empresa], P$6,
    estq[Data da venda / reserva], "&gt;=" &amp; $A61,
    estq[Data da venda / reserva], "&lt;"  &amp; EOMONTH($A61,0) + 1
)</f>
        <v>0</v>
      </c>
      <c r="Q61" s="49">
        <f ca="1">SUMIFS(rec.uni[2025-11-01],
INDIRECT("rec.uni[natureza]"),"pro.soluto",
INDIRECT("rec.uni[empresa]"),Q$6)</f>
        <v>0</v>
      </c>
      <c r="R61" s="38">
        <f ca="1">SUMIFS(rec.uni[2025-11-01],
INDIRECT("rec.uni[natureza]"),"repasse.cef.obra",
INDIRECT("rec.uni[empresa]"),R$6)</f>
        <v>0</v>
      </c>
      <c r="S61" s="51">
        <f ca="1">SUMIFS(rec.uni[2025-11-01],
INDIRECT("rec.uni[natureza]"),"repasse.cef.terreno",
INDIRECT("rec.uni[empresa]"),S$6)</f>
        <v>0</v>
      </c>
      <c r="T61" s="51">
        <v>378061.31</v>
      </c>
      <c r="U61" s="49">
        <f ca="1">SUMIFS(rec.uni[2025-11-01],
INDIRECT("rec.uni[natureza]"),"taxa.extra",
INDIRECT("rec.uni[empresa]"),U$6)</f>
        <v>0</v>
      </c>
      <c r="V61" s="50"/>
      <c r="W61" s="48">
        <f>COUNTIFS(
    estq[empresa], W$6,
    estq[Data da venda / reserva], "&gt;=" &amp; $A61,
    estq[Data da venda / reserva], "&lt;"  &amp; EOMONTH($A61,0) + 1
)</f>
        <v>0</v>
      </c>
      <c r="X61" s="49">
        <f ca="1">SUMIFS(rec.uni[2025-11-01],
INDIRECT("rec.uni[natureza]"),"pro.soluto",
INDIRECT("rec.uni[empresa]"),X$6)</f>
        <v>0</v>
      </c>
      <c r="Y61" s="49">
        <f ca="1">SUMIFS(rec.uni[2025-11-01],
INDIRECT("rec.uni[natureza]"),"taxa.extra",
INDIRECT("rec.uni[empresa]"),Y$6)</f>
        <v>0</v>
      </c>
      <c r="Z61" s="50"/>
      <c r="AA61" s="48">
        <f>COUNTIFS(
    estq[empresa], AA$6,
    estq[Data da venda / reserva], "&gt;=" &amp; $A61,
    estq[Data da venda / reserva], "&lt;"  &amp; EOMONTH($A61,0) + 1
)</f>
        <v>0</v>
      </c>
      <c r="AB61" s="49">
        <f ca="1">SUMIFS(rec.uni[2025-11-01],
INDIRECT("rec.uni[natureza]"),"pro.soluto",
INDIRECT("rec.uni[empresa]"),AB$6)</f>
        <v>0</v>
      </c>
      <c r="AC61" s="51">
        <f ca="1">SUMIFS(rec.uni[2025-11-01],
INDIRECT("rec.uni[natureza]"),"parcela.fin.total.ik",
INDIRECT("rec.uni[empresa]"),AC$6)</f>
        <v>0</v>
      </c>
      <c r="AD61" s="49">
        <f ca="1">SUMIFS(rec.uni[2025-11-01],
INDIRECT("rec.uni[natureza]"),"taxa.extra",
INDIRECT("rec.uni[empresa]"),AD$6)</f>
        <v>0</v>
      </c>
      <c r="AE61" s="50"/>
      <c r="AF61" s="48">
        <f>COUNTIFS(
    estq[empresa], AF$6,
    estq[Data da venda / reserva], "&gt;=" &amp; $A61,
    estq[Data da venda / reserva], "&lt;"  &amp; EOMONTH($A61,0) + 1
)</f>
        <v>0</v>
      </c>
      <c r="AG61" s="49">
        <f ca="1">SUMIFS(rec.uni[2025-11-01],
INDIRECT("rec.uni[natureza]"),"pro.soluto",
INDIRECT("rec.uni[empresa]"),AG$6)</f>
        <v>0</v>
      </c>
      <c r="AH61" s="38">
        <f ca="1">SUMIFS(rec.uni[2025-11-01],
INDIRECT("rec.uni[natureza]"),"repasse.cef.obra",
INDIRECT("rec.uni[empresa]"),AH$6)</f>
        <v>0</v>
      </c>
      <c r="AI61" s="51">
        <f ca="1">SUMIFS(rec.uni[2025-11-01],
INDIRECT("rec.uni[natureza]"),"repasse.cef.terreno",
INDIRECT("rec.uni[empresa]"),AI$6)</f>
        <v>0</v>
      </c>
      <c r="AJ61" s="51">
        <v>200573.37</v>
      </c>
      <c r="AK61" s="49">
        <f ca="1">SUMIFS(rec.uni[2025-11-01],
INDIRECT("rec.uni[natureza]"),"taxa.extra",
INDIRECT("rec.uni[empresa]"),AK$6)</f>
        <v>0</v>
      </c>
      <c r="AL61" s="50"/>
      <c r="AM61" s="48">
        <f>COUNTIFS(
    estq[empresa], AM$6,
    estq[Data da venda / reserva], "&gt;=" &amp; $A61,
    estq[Data da venda / reserva], "&lt;"  &amp; EOMONTH($A61,0) + 1
)</f>
        <v>0</v>
      </c>
      <c r="AN61" s="49">
        <f ca="1">SUMIFS(rec.uni[2025-11-01],
INDIRECT("rec.uni[natureza]"),"pro.soluto",
INDIRECT("rec.uni[empresa]"),AN$6)</f>
        <v>0</v>
      </c>
      <c r="AO61" s="49">
        <f ca="1">SUMIFS(rec.uni[2025-11-01],
INDIRECT("rec.uni[natureza]"),"taxa.extra",
INDIRECT("rec.uni[empresa]"),AO$6)</f>
        <v>0</v>
      </c>
      <c r="AP61" s="50"/>
    </row>
    <row r="62" spans="1:42" x14ac:dyDescent="0.25">
      <c r="A62" s="47">
        <v>45992</v>
      </c>
      <c r="B62" s="39"/>
      <c r="C62" s="49">
        <f ca="1">SUMIFS(rec.uni[2025-12-01],
INDIRECT("rec.uni[natureza]"),"pro.soluto",
INDIRECT("rec.uni[empresa]"),C$6)</f>
        <v>0</v>
      </c>
      <c r="D62" s="38"/>
      <c r="E62" s="51"/>
      <c r="F62" s="51"/>
      <c r="G62" s="49">
        <f ca="1">SUMIFS(rec.uni[2025-12-01],
INDIRECT("rec.uni[natureza]"),"taxa.extra",
INDIRECT("rec.uni[empresa]"),G$6)</f>
        <v>0</v>
      </c>
      <c r="H62" s="51"/>
      <c r="I62" s="39"/>
      <c r="J62" s="49">
        <f ca="1">SUMIFS(rec.uni[2025-12-01],
INDIRECT("rec.uni[natureza]"),"pro.soluto",
INDIRECT("rec.uni[empresa]"),J$6)</f>
        <v>0</v>
      </c>
      <c r="K62" s="38"/>
      <c r="L62" s="51"/>
      <c r="M62" s="51"/>
      <c r="N62" s="49">
        <f ca="1">SUMIFS(rec.uni[2025-12-01],
INDIRECT("rec.uni[natureza]"),"taxa.extra",
INDIRECT("rec.uni[empresa]"),N$6)</f>
        <v>0</v>
      </c>
      <c r="O62" s="51"/>
      <c r="P62" s="39"/>
      <c r="Q62" s="49">
        <f ca="1">SUMIFS(rec.uni[2025-12-01],
INDIRECT("rec.uni[natureza]"),"pro.soluto",
INDIRECT("rec.uni[empresa]"),Q$6)</f>
        <v>0</v>
      </c>
      <c r="R62" s="38"/>
      <c r="S62" s="51"/>
      <c r="T62" s="51"/>
      <c r="U62" s="49">
        <f ca="1">SUMIFS(rec.uni[2025-12-01],
INDIRECT("rec.uni[natureza]"),"taxa.extra",
INDIRECT("rec.uni[empresa]"),U$6)</f>
        <v>0</v>
      </c>
      <c r="V62" s="51"/>
      <c r="W62" s="39"/>
      <c r="X62" s="49">
        <f ca="1">SUMIFS(rec.uni[2025-12-01],
INDIRECT("rec.uni[natureza]"),"pro.soluto",
INDIRECT("rec.uni[empresa]"),X$6)</f>
        <v>0</v>
      </c>
      <c r="Y62" s="49">
        <f ca="1">SUMIFS(rec.uni[2025-12-01],
INDIRECT("rec.uni[natureza]"),"taxa.extra",
INDIRECT("rec.uni[empresa]"),Y$6)</f>
        <v>0</v>
      </c>
      <c r="Z62" s="51"/>
      <c r="AA62" s="39"/>
      <c r="AB62" s="49">
        <f ca="1">SUMIFS(rec.uni[2025-12-01],
INDIRECT("rec.uni[natureza]"),"pro.soluto",
INDIRECT("rec.uni[empresa]"),AB$6)</f>
        <v>0</v>
      </c>
      <c r="AC62" s="51">
        <f ca="1">SUMIFS(rec.uni[2025-12-01],
INDIRECT("rec.uni[natureza]"),"parcela.fin.total.ik",
INDIRECT("rec.uni[empresa]"),AC$6)</f>
        <v>0</v>
      </c>
      <c r="AD62" s="49">
        <f ca="1">SUMIFS(rec.uni[2025-12-01],
INDIRECT("rec.uni[natureza]"),"taxa.extra",
INDIRECT("rec.uni[empresa]"),AD$6)</f>
        <v>0</v>
      </c>
      <c r="AE62" s="51"/>
      <c r="AF62" s="48"/>
      <c r="AG62" s="49">
        <f ca="1">SUMIFS(rec.uni[2025-12-01],
INDIRECT("rec.uni[natureza]"),"pro.soluto",
INDIRECT("rec.uni[empresa]"),AG$6)</f>
        <v>0</v>
      </c>
      <c r="AH62" s="38"/>
      <c r="AI62" s="51"/>
      <c r="AJ62" s="51"/>
      <c r="AK62" s="49">
        <f ca="1">SUMIFS(rec.uni[2025-12-01],
INDIRECT("rec.uni[natureza]"),"taxa.extra",
INDIRECT("rec.uni[empresa]"),AK$6)</f>
        <v>0</v>
      </c>
      <c r="AL62" s="51"/>
      <c r="AM62" s="39"/>
      <c r="AN62" s="49">
        <f ca="1">SUMIFS(rec.uni[2025-12-01],
INDIRECT("rec.uni[natureza]"),"pro.soluto",
INDIRECT("rec.uni[empresa]"),AN$6)</f>
        <v>0</v>
      </c>
      <c r="AO62" s="49">
        <f ca="1">SUMIFS(rec.uni[2025-12-01],
INDIRECT("rec.uni[natureza]"),"taxa.extra",
INDIRECT("rec.uni[empresa]"),AO$6)</f>
        <v>0</v>
      </c>
      <c r="AP62" s="140"/>
    </row>
    <row r="63" spans="1:42" x14ac:dyDescent="0.25">
      <c r="A63" s="47">
        <v>46023</v>
      </c>
      <c r="B63" s="39"/>
      <c r="C63" s="49">
        <f ca="1">SUMIFS(rec.uni[2026-01-01],
INDIRECT("rec.uni[natureza]"),"pro.soluto",
INDIRECT("rec.uni[empresa]"),C$6)</f>
        <v>0</v>
      </c>
      <c r="D63" s="38"/>
      <c r="E63" s="51"/>
      <c r="F63" s="51"/>
      <c r="G63" s="49">
        <f ca="1">SUMIFS(rec.uni[2026-01-01],
INDIRECT("rec.uni[natureza]"),"taxa.extra",
INDIRECT("rec.uni[empresa]"),G$6)</f>
        <v>0</v>
      </c>
      <c r="H63" s="51"/>
      <c r="I63" s="39"/>
      <c r="J63" s="49">
        <f ca="1">SUMIFS(rec.uni[2026-01-01],
INDIRECT("rec.uni[natureza]"),"pro.soluto",
INDIRECT("rec.uni[empresa]"),J$6)</f>
        <v>0</v>
      </c>
      <c r="K63" s="38"/>
      <c r="L63" s="51"/>
      <c r="M63" s="51"/>
      <c r="N63" s="49">
        <f ca="1">SUMIFS(rec.uni[2026-01-01],
INDIRECT("rec.uni[natureza]"),"taxa.extra",
INDIRECT("rec.uni[empresa]"),N$6)</f>
        <v>0</v>
      </c>
      <c r="O63" s="51"/>
      <c r="P63" s="39"/>
      <c r="Q63" s="49">
        <f ca="1">SUMIFS(rec.uni[2026-01-01],
INDIRECT("rec.uni[natureza]"),"pro.soluto",
INDIRECT("rec.uni[empresa]"),Q$6)</f>
        <v>0</v>
      </c>
      <c r="R63" s="38"/>
      <c r="S63" s="51"/>
      <c r="T63" s="51"/>
      <c r="U63" s="49">
        <f ca="1">SUMIFS(rec.uni[2026-01-01],
INDIRECT("rec.uni[natureza]"),"taxa.extra",
INDIRECT("rec.uni[empresa]"),U$6)</f>
        <v>0</v>
      </c>
      <c r="V63" s="51"/>
      <c r="W63" s="39"/>
      <c r="X63" s="49">
        <f ca="1">SUMIFS(rec.uni[2026-01-01],
INDIRECT("rec.uni[natureza]"),"pro.soluto",
INDIRECT("rec.uni[empresa]"),X$6)</f>
        <v>0</v>
      </c>
      <c r="Y63" s="49">
        <f ca="1">SUMIFS(rec.uni[2026-01-01],
INDIRECT("rec.uni[natureza]"),"taxa.extra",
INDIRECT("rec.uni[empresa]"),Y$6)</f>
        <v>0</v>
      </c>
      <c r="Z63" s="51"/>
      <c r="AA63" s="39"/>
      <c r="AB63" s="49">
        <f ca="1">SUMIFS(rec.uni[2026-01-01],
INDIRECT("rec.uni[natureza]"),"pro.soluto",
INDIRECT("rec.uni[empresa]"),AB$6)</f>
        <v>0</v>
      </c>
      <c r="AC63" s="51">
        <f ca="1">SUMIFS(rec.uni[2026-01-01],
INDIRECT("rec.uni[natureza]"),"parcela.fin.total.ik",
INDIRECT("rec.uni[empresa]"),AC$6)</f>
        <v>0</v>
      </c>
      <c r="AD63" s="49">
        <f ca="1">SUMIFS(rec.uni[2026-01-01],
INDIRECT("rec.uni[natureza]"),"taxa.extra",
INDIRECT("rec.uni[empresa]"),AD$6)</f>
        <v>0</v>
      </c>
      <c r="AE63" s="51"/>
      <c r="AF63" s="48"/>
      <c r="AG63" s="49">
        <f ca="1">SUMIFS(rec.uni[2026-01-01],
INDIRECT("rec.uni[natureza]"),"pro.soluto",
INDIRECT("rec.uni[empresa]"),AG$6)</f>
        <v>0</v>
      </c>
      <c r="AH63" s="38"/>
      <c r="AI63" s="51"/>
      <c r="AJ63" s="51"/>
      <c r="AK63" s="49">
        <f ca="1">SUMIFS(rec.uni[2026-01-01],
INDIRECT("rec.uni[natureza]"),"taxa.extra",
INDIRECT("rec.uni[empresa]"),AK$6)</f>
        <v>0</v>
      </c>
      <c r="AL63" s="51"/>
      <c r="AM63" s="39"/>
      <c r="AN63" s="49">
        <f ca="1">SUMIFS(rec.uni[2026-01-01],
INDIRECT("rec.uni[natureza]"),"pro.soluto",
INDIRECT("rec.uni[empresa]"),AN$6)</f>
        <v>0</v>
      </c>
      <c r="AO63" s="49">
        <f ca="1">SUMIFS(rec.uni[2026-01-01],
INDIRECT("rec.uni[natureza]"),"taxa.extra",
INDIRECT("rec.uni[empresa]"),AO$6)</f>
        <v>0</v>
      </c>
      <c r="AP63" s="140"/>
    </row>
    <row r="64" spans="1:42" x14ac:dyDescent="0.25">
      <c r="A64" s="47">
        <v>46054</v>
      </c>
      <c r="B64" s="39"/>
      <c r="C64" s="49">
        <f ca="1">SUMIFS(rec.uni[2026-02-01],
INDIRECT("rec.uni[natureza]"),"pro.soluto",
INDIRECT("rec.uni[empresa]"),C$6)</f>
        <v>0</v>
      </c>
      <c r="D64" s="38"/>
      <c r="E64" s="51"/>
      <c r="F64" s="51"/>
      <c r="G64" s="49">
        <f ca="1">SUMIFS(rec.uni[2026-02-01],
INDIRECT("rec.uni[natureza]"),"taxa.extra",
INDIRECT("rec.uni[empresa]"),G$6)</f>
        <v>0</v>
      </c>
      <c r="H64" s="51"/>
      <c r="I64" s="39"/>
      <c r="J64" s="49">
        <f ca="1">SUMIFS(rec.uni[2026-02-01],
INDIRECT("rec.uni[natureza]"),"pro.soluto",
INDIRECT("rec.uni[empresa]"),J$6)</f>
        <v>0</v>
      </c>
      <c r="K64" s="38"/>
      <c r="L64" s="51"/>
      <c r="M64" s="51"/>
      <c r="N64" s="49">
        <f ca="1">SUMIFS(rec.uni[2026-02-01],
INDIRECT("rec.uni[natureza]"),"taxa.extra",
INDIRECT("rec.uni[empresa]"),N$6)</f>
        <v>0</v>
      </c>
      <c r="O64" s="51"/>
      <c r="P64" s="39"/>
      <c r="Q64" s="49">
        <f ca="1">SUMIFS(rec.uni[2026-02-01],
INDIRECT("rec.uni[natureza]"),"pro.soluto",
INDIRECT("rec.uni[empresa]"),Q$6)</f>
        <v>0</v>
      </c>
      <c r="R64" s="38"/>
      <c r="S64" s="51"/>
      <c r="T64" s="51"/>
      <c r="U64" s="49">
        <f ca="1">SUMIFS(rec.uni[2026-02-01],
INDIRECT("rec.uni[natureza]"),"taxa.extra",
INDIRECT("rec.uni[empresa]"),U$6)</f>
        <v>0</v>
      </c>
      <c r="V64" s="51"/>
      <c r="W64" s="39"/>
      <c r="X64" s="49">
        <f ca="1">SUMIFS(rec.uni[2026-02-01],
INDIRECT("rec.uni[natureza]"),"pro.soluto",
INDIRECT("rec.uni[empresa]"),X$6)</f>
        <v>0</v>
      </c>
      <c r="Y64" s="49">
        <f ca="1">SUMIFS(rec.uni[2026-02-01],
INDIRECT("rec.uni[natureza]"),"taxa.extra",
INDIRECT("rec.uni[empresa]"),Y$6)</f>
        <v>0</v>
      </c>
      <c r="Z64" s="51"/>
      <c r="AA64" s="39"/>
      <c r="AB64" s="49">
        <f ca="1">SUMIFS(rec.uni[2026-02-01],
INDIRECT("rec.uni[natureza]"),"pro.soluto",
INDIRECT("rec.uni[empresa]"),AB$6)</f>
        <v>0</v>
      </c>
      <c r="AC64" s="51">
        <f ca="1">SUMIFS(rec.uni[2026-02-01],
INDIRECT("rec.uni[natureza]"),"parcela.fin.total.ik",
INDIRECT("rec.uni[empresa]"),AC$6)</f>
        <v>0</v>
      </c>
      <c r="AD64" s="49">
        <f ca="1">SUMIFS(rec.uni[2026-02-01],
INDIRECT("rec.uni[natureza]"),"taxa.extra",
INDIRECT("rec.uni[empresa]"),AD$6)</f>
        <v>0</v>
      </c>
      <c r="AE64" s="51"/>
      <c r="AF64" s="48"/>
      <c r="AG64" s="49">
        <f ca="1">SUMIFS(rec.uni[2026-02-01],
INDIRECT("rec.uni[natureza]"),"pro.soluto",
INDIRECT("rec.uni[empresa]"),AG$6)</f>
        <v>0</v>
      </c>
      <c r="AH64" s="38"/>
      <c r="AI64" s="51"/>
      <c r="AJ64" s="51"/>
      <c r="AK64" s="49">
        <f ca="1">SUMIFS(rec.uni[2026-02-01],
INDIRECT("rec.uni[natureza]"),"taxa.extra",
INDIRECT("rec.uni[empresa]"),AK$6)</f>
        <v>0</v>
      </c>
      <c r="AL64" s="51"/>
      <c r="AM64" s="39"/>
      <c r="AN64" s="49">
        <f ca="1">SUMIFS(rec.uni[2026-02-01],
INDIRECT("rec.uni[natureza]"),"pro.soluto",
INDIRECT("rec.uni[empresa]"),AN$6)</f>
        <v>0</v>
      </c>
      <c r="AO64" s="49">
        <f ca="1">SUMIFS(rec.uni[2026-02-01],
INDIRECT("rec.uni[natureza]"),"taxa.extra",
INDIRECT("rec.uni[empresa]"),AO$6)</f>
        <v>0</v>
      </c>
      <c r="AP64" s="140"/>
    </row>
    <row r="65" spans="1:42" x14ac:dyDescent="0.25">
      <c r="A65" s="47">
        <v>46082</v>
      </c>
      <c r="B65" s="39"/>
      <c r="C65" s="49">
        <f ca="1">SUMIFS(rec.uni[2026-03-01],
INDIRECT("rec.uni[natureza]"),"pro.soluto",
INDIRECT("rec.uni[empresa]"),C$6)</f>
        <v>0</v>
      </c>
      <c r="D65" s="38"/>
      <c r="E65" s="51"/>
      <c r="F65" s="51"/>
      <c r="G65" s="49">
        <f ca="1">SUMIFS(rec.uni[2026-03-01],
INDIRECT("rec.uni[natureza]"),"taxa.extra",
INDIRECT("rec.uni[empresa]"),G$6)</f>
        <v>0</v>
      </c>
      <c r="H65" s="51"/>
      <c r="I65" s="39"/>
      <c r="J65" s="49">
        <f ca="1">SUMIFS(rec.uni[2026-03-01],
INDIRECT("rec.uni[natureza]"),"pro.soluto",
INDIRECT("rec.uni[empresa]"),J$6)</f>
        <v>0</v>
      </c>
      <c r="K65" s="38"/>
      <c r="L65" s="51"/>
      <c r="M65" s="51"/>
      <c r="N65" s="49">
        <f ca="1">SUMIFS(rec.uni[2026-03-01],
INDIRECT("rec.uni[natureza]"),"taxa.extra",
INDIRECT("rec.uni[empresa]"),N$6)</f>
        <v>0</v>
      </c>
      <c r="O65" s="51"/>
      <c r="P65" s="39"/>
      <c r="Q65" s="49">
        <f ca="1">SUMIFS(rec.uni[2026-03-01],
INDIRECT("rec.uni[natureza]"),"pro.soluto",
INDIRECT("rec.uni[empresa]"),Q$6)</f>
        <v>0</v>
      </c>
      <c r="R65" s="38"/>
      <c r="S65" s="51"/>
      <c r="T65" s="51"/>
      <c r="U65" s="49">
        <f ca="1">SUMIFS(rec.uni[2026-03-01],
INDIRECT("rec.uni[natureza]"),"taxa.extra",
INDIRECT("rec.uni[empresa]"),U$6)</f>
        <v>0</v>
      </c>
      <c r="V65" s="51"/>
      <c r="W65" s="39"/>
      <c r="X65" s="49">
        <f ca="1">SUMIFS(rec.uni[2026-03-01],
INDIRECT("rec.uni[natureza]"),"pro.soluto",
INDIRECT("rec.uni[empresa]"),X$6)</f>
        <v>0</v>
      </c>
      <c r="Y65" s="49">
        <f ca="1">SUMIFS(rec.uni[2026-03-01],
INDIRECT("rec.uni[natureza]"),"taxa.extra",
INDIRECT("rec.uni[empresa]"),Y$6)</f>
        <v>0</v>
      </c>
      <c r="Z65" s="51"/>
      <c r="AA65" s="39"/>
      <c r="AB65" s="49">
        <f ca="1">SUMIFS(rec.uni[2026-03-01],
INDIRECT("rec.uni[natureza]"),"pro.soluto",
INDIRECT("rec.uni[empresa]"),AB$6)</f>
        <v>0</v>
      </c>
      <c r="AC65" s="51">
        <f ca="1">SUMIFS(rec.uni[2026-03-01],
INDIRECT("rec.uni[natureza]"),"parcela.fin.total.ik",
INDIRECT("rec.uni[empresa]"),AC$6)</f>
        <v>0</v>
      </c>
      <c r="AD65" s="49">
        <f ca="1">SUMIFS(rec.uni[2026-03-01],
INDIRECT("rec.uni[natureza]"),"taxa.extra",
INDIRECT("rec.uni[empresa]"),AD$6)</f>
        <v>0</v>
      </c>
      <c r="AE65" s="51"/>
      <c r="AF65" s="48"/>
      <c r="AG65" s="49">
        <f ca="1">SUMIFS(rec.uni[2026-03-01],
INDIRECT("rec.uni[natureza]"),"pro.soluto",
INDIRECT("rec.uni[empresa]"),AG$6)</f>
        <v>0</v>
      </c>
      <c r="AH65" s="38"/>
      <c r="AI65" s="51"/>
      <c r="AJ65" s="51"/>
      <c r="AK65" s="49">
        <f ca="1">SUMIFS(rec.uni[2026-03-01],
INDIRECT("rec.uni[natureza]"),"taxa.extra",
INDIRECT("rec.uni[empresa]"),AK$6)</f>
        <v>0</v>
      </c>
      <c r="AL65" s="51"/>
      <c r="AM65" s="39"/>
      <c r="AN65" s="49">
        <f ca="1">SUMIFS(rec.uni[2026-03-01],
INDIRECT("rec.uni[natureza]"),"pro.soluto",
INDIRECT("rec.uni[empresa]"),AN$6)</f>
        <v>0</v>
      </c>
      <c r="AO65" s="49">
        <f ca="1">SUMIFS(rec.uni[2026-03-01],
INDIRECT("rec.uni[natureza]"),"taxa.extra",
INDIRECT("rec.uni[empresa]"),AO$6)</f>
        <v>0</v>
      </c>
      <c r="AP65" s="140"/>
    </row>
    <row r="66" spans="1:42" x14ac:dyDescent="0.25">
      <c r="A66" s="47">
        <v>46113</v>
      </c>
      <c r="B66" s="39"/>
      <c r="C66" s="49">
        <f ca="1">SUMIFS(rec.uni[2026-04-01],
INDIRECT("rec.uni[natureza]"),"pro.soluto",
INDIRECT("rec.uni[empresa]"),C$6)</f>
        <v>0</v>
      </c>
      <c r="D66" s="38"/>
      <c r="E66" s="51"/>
      <c r="F66" s="51"/>
      <c r="G66" s="49">
        <f ca="1">SUMIFS(rec.uni[2026-04-01],
INDIRECT("rec.uni[natureza]"),"taxa.extra",
INDIRECT("rec.uni[empresa]"),G$6)</f>
        <v>0</v>
      </c>
      <c r="H66" s="51"/>
      <c r="I66" s="39"/>
      <c r="J66" s="49">
        <f ca="1">SUMIFS(rec.uni[2026-04-01],
INDIRECT("rec.uni[natureza]"),"pro.soluto",
INDIRECT("rec.uni[empresa]"),J$6)</f>
        <v>0</v>
      </c>
      <c r="K66" s="38"/>
      <c r="L66" s="51"/>
      <c r="M66" s="51"/>
      <c r="N66" s="49">
        <f ca="1">SUMIFS(rec.uni[2026-04-01],
INDIRECT("rec.uni[natureza]"),"taxa.extra",
INDIRECT("rec.uni[empresa]"),N$6)</f>
        <v>0</v>
      </c>
      <c r="O66" s="51"/>
      <c r="P66" s="39"/>
      <c r="Q66" s="49">
        <f ca="1">SUMIFS(rec.uni[2026-04-01],
INDIRECT("rec.uni[natureza]"),"pro.soluto",
INDIRECT("rec.uni[empresa]"),Q$6)</f>
        <v>0</v>
      </c>
      <c r="R66" s="38"/>
      <c r="S66" s="51"/>
      <c r="T66" s="51"/>
      <c r="U66" s="49">
        <f ca="1">SUMIFS(rec.uni[2026-04-01],
INDIRECT("rec.uni[natureza]"),"taxa.extra",
INDIRECT("rec.uni[empresa]"),U$6)</f>
        <v>0</v>
      </c>
      <c r="V66" s="51"/>
      <c r="W66" s="39"/>
      <c r="X66" s="49">
        <f ca="1">SUMIFS(rec.uni[2026-04-01],
INDIRECT("rec.uni[natureza]"),"pro.soluto",
INDIRECT("rec.uni[empresa]"),X$6)</f>
        <v>0</v>
      </c>
      <c r="Y66" s="49">
        <f ca="1">SUMIFS(rec.uni[2026-04-01],
INDIRECT("rec.uni[natureza]"),"taxa.extra",
INDIRECT("rec.uni[empresa]"),Y$6)</f>
        <v>0</v>
      </c>
      <c r="Z66" s="51"/>
      <c r="AA66" s="39"/>
      <c r="AB66" s="49">
        <f ca="1">SUMIFS(rec.uni[2026-04-01],
INDIRECT("rec.uni[natureza]"),"pro.soluto",
INDIRECT("rec.uni[empresa]"),AB$6)</f>
        <v>0</v>
      </c>
      <c r="AC66" s="51">
        <f ca="1">SUMIFS(rec.uni[2026-04-01],
INDIRECT("rec.uni[natureza]"),"parcela.fin.total.ik",
INDIRECT("rec.uni[empresa]"),AC$6)</f>
        <v>0</v>
      </c>
      <c r="AD66" s="49">
        <f ca="1">SUMIFS(rec.uni[2026-04-01],
INDIRECT("rec.uni[natureza]"),"taxa.extra",
INDIRECT("rec.uni[empresa]"),AD$6)</f>
        <v>0</v>
      </c>
      <c r="AE66" s="51"/>
      <c r="AF66" s="48"/>
      <c r="AG66" s="49">
        <f ca="1">SUMIFS(rec.uni[2026-04-01],
INDIRECT("rec.uni[natureza]"),"pro.soluto",
INDIRECT("rec.uni[empresa]"),AG$6)</f>
        <v>0</v>
      </c>
      <c r="AH66" s="38"/>
      <c r="AI66" s="51"/>
      <c r="AJ66" s="51"/>
      <c r="AK66" s="49">
        <f ca="1">SUMIFS(rec.uni[2026-04-01],
INDIRECT("rec.uni[natureza]"),"taxa.extra",
INDIRECT("rec.uni[empresa]"),AK$6)</f>
        <v>0</v>
      </c>
      <c r="AL66" s="51"/>
      <c r="AM66" s="39"/>
      <c r="AN66" s="49">
        <f ca="1">SUMIFS(rec.uni[2026-04-01],
INDIRECT("rec.uni[natureza]"),"pro.soluto",
INDIRECT("rec.uni[empresa]"),AN$6)</f>
        <v>0</v>
      </c>
      <c r="AO66" s="49">
        <f ca="1">SUMIFS(rec.uni[2026-04-01],
INDIRECT("rec.uni[natureza]"),"taxa.extra",
INDIRECT("rec.uni[empresa]"),AO$6)</f>
        <v>0</v>
      </c>
      <c r="AP66" s="140"/>
    </row>
    <row r="67" spans="1:42" x14ac:dyDescent="0.25">
      <c r="A67" s="47">
        <v>46143</v>
      </c>
      <c r="B67" s="39"/>
      <c r="C67" s="49">
        <f ca="1">SUMIFS(rec.uni[2026-05-01],
INDIRECT("rec.uni[natureza]"),"pro.soluto",
INDIRECT("rec.uni[empresa]"),C$6)</f>
        <v>0</v>
      </c>
      <c r="D67" s="38"/>
      <c r="E67" s="51"/>
      <c r="F67" s="51"/>
      <c r="G67" s="49">
        <f ca="1">SUMIFS(rec.uni[2026-05-01],
INDIRECT("rec.uni[natureza]"),"taxa.extra",
INDIRECT("rec.uni[empresa]"),G$6)</f>
        <v>0</v>
      </c>
      <c r="H67" s="51"/>
      <c r="I67" s="39"/>
      <c r="J67" s="49">
        <f ca="1">SUMIFS(rec.uni[2026-05-01],
INDIRECT("rec.uni[natureza]"),"pro.soluto",
INDIRECT("rec.uni[empresa]"),J$6)</f>
        <v>0</v>
      </c>
      <c r="K67" s="38"/>
      <c r="L67" s="51"/>
      <c r="M67" s="51"/>
      <c r="N67" s="49">
        <f ca="1">SUMIFS(rec.uni[2026-05-01],
INDIRECT("rec.uni[natureza]"),"taxa.extra",
INDIRECT("rec.uni[empresa]"),N$6)</f>
        <v>0</v>
      </c>
      <c r="O67" s="51"/>
      <c r="P67" s="39"/>
      <c r="Q67" s="49">
        <f ca="1">SUMIFS(rec.uni[2026-05-01],
INDIRECT("rec.uni[natureza]"),"pro.soluto",
INDIRECT("rec.uni[empresa]"),Q$6)</f>
        <v>0</v>
      </c>
      <c r="R67" s="38"/>
      <c r="S67" s="51"/>
      <c r="T67" s="51"/>
      <c r="U67" s="49">
        <f ca="1">SUMIFS(rec.uni[2026-05-01],
INDIRECT("rec.uni[natureza]"),"taxa.extra",
INDIRECT("rec.uni[empresa]"),U$6)</f>
        <v>0</v>
      </c>
      <c r="V67" s="51"/>
      <c r="W67" s="39"/>
      <c r="X67" s="49">
        <f ca="1">SUMIFS(rec.uni[2026-05-01],
INDIRECT("rec.uni[natureza]"),"pro.soluto",
INDIRECT("rec.uni[empresa]"),X$6)</f>
        <v>0</v>
      </c>
      <c r="Y67" s="49">
        <f ca="1">SUMIFS(rec.uni[2026-05-01],
INDIRECT("rec.uni[natureza]"),"taxa.extra",
INDIRECT("rec.uni[empresa]"),Y$6)</f>
        <v>0</v>
      </c>
      <c r="Z67" s="51"/>
      <c r="AA67" s="39"/>
      <c r="AB67" s="49">
        <f ca="1">SUMIFS(rec.uni[2026-05-01],
INDIRECT("rec.uni[natureza]"),"pro.soluto",
INDIRECT("rec.uni[empresa]"),AB$6)</f>
        <v>0</v>
      </c>
      <c r="AC67" s="51">
        <f ca="1">SUMIFS(rec.uni[2026-05-01],
INDIRECT("rec.uni[natureza]"),"parcela.fin.total.ik",
INDIRECT("rec.uni[empresa]"),AC$6)</f>
        <v>0</v>
      </c>
      <c r="AD67" s="49">
        <f ca="1">SUMIFS(rec.uni[2026-05-01],
INDIRECT("rec.uni[natureza]"),"taxa.extra",
INDIRECT("rec.uni[empresa]"),AD$6)</f>
        <v>0</v>
      </c>
      <c r="AE67" s="51"/>
      <c r="AF67" s="48"/>
      <c r="AG67" s="49">
        <f ca="1">SUMIFS(rec.uni[2026-05-01],
INDIRECT("rec.uni[natureza]"),"pro.soluto",
INDIRECT("rec.uni[empresa]"),AG$6)</f>
        <v>0</v>
      </c>
      <c r="AH67" s="38"/>
      <c r="AI67" s="51"/>
      <c r="AJ67" s="51"/>
      <c r="AK67" s="49">
        <f ca="1">SUMIFS(rec.uni[2026-05-01],
INDIRECT("rec.uni[natureza]"),"taxa.extra",
INDIRECT("rec.uni[empresa]"),AK$6)</f>
        <v>0</v>
      </c>
      <c r="AL67" s="51"/>
      <c r="AM67" s="39"/>
      <c r="AN67" s="49">
        <f ca="1">SUMIFS(rec.uni[2026-05-01],
INDIRECT("rec.uni[natureza]"),"pro.soluto",
INDIRECT("rec.uni[empresa]"),AN$6)</f>
        <v>0</v>
      </c>
      <c r="AO67" s="49">
        <f ca="1">SUMIFS(rec.uni[2026-05-01],
INDIRECT("rec.uni[natureza]"),"taxa.extra",
INDIRECT("rec.uni[empresa]"),AO$6)</f>
        <v>0</v>
      </c>
      <c r="AP67" s="140"/>
    </row>
    <row r="68" spans="1:42" x14ac:dyDescent="0.25">
      <c r="A68" s="47">
        <v>46174</v>
      </c>
      <c r="B68" s="39"/>
      <c r="C68" s="49">
        <f ca="1">SUMIFS(rec.uni[2026-06-01],
INDIRECT("rec.uni[natureza]"),"pro.soluto",
INDIRECT("rec.uni[empresa]"),C$6)</f>
        <v>0</v>
      </c>
      <c r="D68" s="38"/>
      <c r="E68" s="51"/>
      <c r="F68" s="51"/>
      <c r="G68" s="49">
        <f ca="1">SUMIFS(rec.uni[2026-06-01],
INDIRECT("rec.uni[natureza]"),"taxa.extra",
INDIRECT("rec.uni[empresa]"),G$6)</f>
        <v>0</v>
      </c>
      <c r="H68" s="51"/>
      <c r="I68" s="39"/>
      <c r="J68" s="49">
        <f ca="1">SUMIFS(rec.uni[2026-06-01],
INDIRECT("rec.uni[natureza]"),"pro.soluto",
INDIRECT("rec.uni[empresa]"),J$6)</f>
        <v>0</v>
      </c>
      <c r="K68" s="38"/>
      <c r="L68" s="51"/>
      <c r="M68" s="51"/>
      <c r="N68" s="49">
        <f ca="1">SUMIFS(rec.uni[2026-06-01],
INDIRECT("rec.uni[natureza]"),"taxa.extra",
INDIRECT("rec.uni[empresa]"),N$6)</f>
        <v>0</v>
      </c>
      <c r="O68" s="51"/>
      <c r="P68" s="39"/>
      <c r="Q68" s="49">
        <f ca="1">SUMIFS(rec.uni[2026-06-01],
INDIRECT("rec.uni[natureza]"),"pro.soluto",
INDIRECT("rec.uni[empresa]"),Q$6)</f>
        <v>0</v>
      </c>
      <c r="R68" s="38"/>
      <c r="S68" s="51"/>
      <c r="T68" s="51"/>
      <c r="U68" s="49">
        <f ca="1">SUMIFS(rec.uni[2026-06-01],
INDIRECT("rec.uni[natureza]"),"taxa.extra",
INDIRECT("rec.uni[empresa]"),U$6)</f>
        <v>0</v>
      </c>
      <c r="V68" s="51"/>
      <c r="W68" s="39"/>
      <c r="X68" s="49">
        <f ca="1">SUMIFS(rec.uni[2026-06-01],
INDIRECT("rec.uni[natureza]"),"pro.soluto",
INDIRECT("rec.uni[empresa]"),X$6)</f>
        <v>0</v>
      </c>
      <c r="Y68" s="49">
        <f ca="1">SUMIFS(rec.uni[2026-06-01],
INDIRECT("rec.uni[natureza]"),"taxa.extra",
INDIRECT("rec.uni[empresa]"),Y$6)</f>
        <v>0</v>
      </c>
      <c r="Z68" s="51"/>
      <c r="AA68" s="39"/>
      <c r="AB68" s="49">
        <f ca="1">SUMIFS(rec.uni[2026-06-01],
INDIRECT("rec.uni[natureza]"),"pro.soluto",
INDIRECT("rec.uni[empresa]"),AB$6)</f>
        <v>0</v>
      </c>
      <c r="AC68" s="51">
        <f ca="1">SUMIFS(rec.uni[2026-06-01],
INDIRECT("rec.uni[natureza]"),"parcela.fin.total.ik",
INDIRECT("rec.uni[empresa]"),AC$6)</f>
        <v>0</v>
      </c>
      <c r="AD68" s="49">
        <f ca="1">SUMIFS(rec.uni[2026-06-01],
INDIRECT("rec.uni[natureza]"),"taxa.extra",
INDIRECT("rec.uni[empresa]"),AD$6)</f>
        <v>0</v>
      </c>
      <c r="AE68" s="51"/>
      <c r="AF68" s="48"/>
      <c r="AG68" s="49">
        <f ca="1">SUMIFS(rec.uni[2026-06-01],
INDIRECT("rec.uni[natureza]"),"pro.soluto",
INDIRECT("rec.uni[empresa]"),AG$6)</f>
        <v>0</v>
      </c>
      <c r="AH68" s="38"/>
      <c r="AI68" s="51"/>
      <c r="AJ68" s="51"/>
      <c r="AK68" s="49">
        <f ca="1">SUMIFS(rec.uni[2026-06-01],
INDIRECT("rec.uni[natureza]"),"taxa.extra",
INDIRECT("rec.uni[empresa]"),AK$6)</f>
        <v>0</v>
      </c>
      <c r="AL68" s="51"/>
      <c r="AM68" s="39"/>
      <c r="AN68" s="49">
        <f ca="1">SUMIFS(rec.uni[2026-06-01],
INDIRECT("rec.uni[natureza]"),"pro.soluto",
INDIRECT("rec.uni[empresa]"),AN$6)</f>
        <v>0</v>
      </c>
      <c r="AO68" s="49">
        <f ca="1">SUMIFS(rec.uni[2026-06-01],
INDIRECT("rec.uni[natureza]"),"taxa.extra",
INDIRECT("rec.uni[empresa]"),AO$6)</f>
        <v>0</v>
      </c>
      <c r="AP68" s="140"/>
    </row>
    <row r="69" spans="1:42" x14ac:dyDescent="0.25">
      <c r="A69" s="47">
        <v>46204</v>
      </c>
      <c r="B69" s="39"/>
      <c r="C69" s="49">
        <f ca="1">SUMIFS(rec.uni[2026-07-01],
INDIRECT("rec.uni[natureza]"),"pro.soluto",
INDIRECT("rec.uni[empresa]"),C$6)</f>
        <v>0</v>
      </c>
      <c r="D69" s="38"/>
      <c r="E69" s="51"/>
      <c r="F69" s="51"/>
      <c r="G69" s="49">
        <f ca="1">SUMIFS(rec.uni[2026-07-01],
INDIRECT("rec.uni[natureza]"),"taxa.extra",
INDIRECT("rec.uni[empresa]"),G$6)</f>
        <v>0</v>
      </c>
      <c r="H69" s="51"/>
      <c r="I69" s="39"/>
      <c r="J69" s="49">
        <f ca="1">SUMIFS(rec.uni[2026-07-01],
INDIRECT("rec.uni[natureza]"),"pro.soluto",
INDIRECT("rec.uni[empresa]"),J$6)</f>
        <v>0</v>
      </c>
      <c r="K69" s="38"/>
      <c r="L69" s="51"/>
      <c r="M69" s="51"/>
      <c r="N69" s="49">
        <f ca="1">SUMIFS(rec.uni[2026-07-01],
INDIRECT("rec.uni[natureza]"),"taxa.extra",
INDIRECT("rec.uni[empresa]"),N$6)</f>
        <v>0</v>
      </c>
      <c r="O69" s="51"/>
      <c r="P69" s="39"/>
      <c r="Q69" s="49">
        <f ca="1">SUMIFS(rec.uni[2026-07-01],
INDIRECT("rec.uni[natureza]"),"pro.soluto",
INDIRECT("rec.uni[empresa]"),Q$6)</f>
        <v>0</v>
      </c>
      <c r="R69" s="38"/>
      <c r="S69" s="51"/>
      <c r="T69" s="51"/>
      <c r="U69" s="49">
        <f ca="1">SUMIFS(rec.uni[2026-07-01],
INDIRECT("rec.uni[natureza]"),"taxa.extra",
INDIRECT("rec.uni[empresa]"),U$6)</f>
        <v>0</v>
      </c>
      <c r="V69" s="51"/>
      <c r="W69" s="39"/>
      <c r="X69" s="49">
        <f ca="1">SUMIFS(rec.uni[2026-07-01],
INDIRECT("rec.uni[natureza]"),"pro.soluto",
INDIRECT("rec.uni[empresa]"),X$6)</f>
        <v>0</v>
      </c>
      <c r="Y69" s="49">
        <f ca="1">SUMIFS(rec.uni[2026-07-01],
INDIRECT("rec.uni[natureza]"),"taxa.extra",
INDIRECT("rec.uni[empresa]"),Y$6)</f>
        <v>0</v>
      </c>
      <c r="Z69" s="51"/>
      <c r="AA69" s="39"/>
      <c r="AB69" s="49">
        <f ca="1">SUMIFS(rec.uni[2026-07-01],
INDIRECT("rec.uni[natureza]"),"pro.soluto",
INDIRECT("rec.uni[empresa]"),AB$6)</f>
        <v>0</v>
      </c>
      <c r="AC69" s="51">
        <f ca="1">SUMIFS(rec.uni[2026-07-01],
INDIRECT("rec.uni[natureza]"),"parcela.fin.total.ik",
INDIRECT("rec.uni[empresa]"),AC$6)</f>
        <v>0</v>
      </c>
      <c r="AD69" s="49">
        <f ca="1">SUMIFS(rec.uni[2026-07-01],
INDIRECT("rec.uni[natureza]"),"taxa.extra",
INDIRECT("rec.uni[empresa]"),AD$6)</f>
        <v>0</v>
      </c>
      <c r="AE69" s="51"/>
      <c r="AF69" s="48"/>
      <c r="AG69" s="49">
        <f ca="1">SUMIFS(rec.uni[2026-07-01],
INDIRECT("rec.uni[natureza]"),"pro.soluto",
INDIRECT("rec.uni[empresa]"),AG$6)</f>
        <v>0</v>
      </c>
      <c r="AH69" s="38"/>
      <c r="AI69" s="51"/>
      <c r="AJ69" s="51"/>
      <c r="AK69" s="49">
        <f ca="1">SUMIFS(rec.uni[2026-07-01],
INDIRECT("rec.uni[natureza]"),"taxa.extra",
INDIRECT("rec.uni[empresa]"),AK$6)</f>
        <v>0</v>
      </c>
      <c r="AL69" s="51"/>
      <c r="AM69" s="39"/>
      <c r="AN69" s="49">
        <f ca="1">SUMIFS(rec.uni[2026-07-01],
INDIRECT("rec.uni[natureza]"),"pro.soluto",
INDIRECT("rec.uni[empresa]"),AN$6)</f>
        <v>0</v>
      </c>
      <c r="AO69" s="49">
        <f ca="1">SUMIFS(rec.uni[2026-07-01],
INDIRECT("rec.uni[natureza]"),"taxa.extra",
INDIRECT("rec.uni[empresa]"),AO$6)</f>
        <v>0</v>
      </c>
      <c r="AP69" s="140"/>
    </row>
    <row r="70" spans="1:42" x14ac:dyDescent="0.25">
      <c r="A70" s="47">
        <v>46235</v>
      </c>
      <c r="B70" s="39"/>
      <c r="C70" s="49">
        <f ca="1">SUMIFS(rec.uni[2026-08-01],
INDIRECT("rec.uni[natureza]"),"pro.soluto",
INDIRECT("rec.uni[empresa]"),C$6)</f>
        <v>0</v>
      </c>
      <c r="D70" s="38"/>
      <c r="E70" s="51"/>
      <c r="F70" s="51"/>
      <c r="G70" s="49">
        <f ca="1">SUMIFS(rec.uni[2026-08-01],
INDIRECT("rec.uni[natureza]"),"taxa.extra",
INDIRECT("rec.uni[empresa]"),G$6)</f>
        <v>0</v>
      </c>
      <c r="H70" s="51"/>
      <c r="I70" s="39"/>
      <c r="J70" s="49">
        <f ca="1">SUMIFS(rec.uni[2026-08-01],
INDIRECT("rec.uni[natureza]"),"pro.soluto",
INDIRECT("rec.uni[empresa]"),J$6)</f>
        <v>0</v>
      </c>
      <c r="K70" s="38"/>
      <c r="L70" s="51"/>
      <c r="M70" s="51"/>
      <c r="N70" s="49">
        <f ca="1">SUMIFS(rec.uni[2026-08-01],
INDIRECT("rec.uni[natureza]"),"taxa.extra",
INDIRECT("rec.uni[empresa]"),N$6)</f>
        <v>0</v>
      </c>
      <c r="O70" s="51"/>
      <c r="P70" s="39"/>
      <c r="Q70" s="49">
        <f ca="1">SUMIFS(rec.uni[2026-08-01],
INDIRECT("rec.uni[natureza]"),"pro.soluto",
INDIRECT("rec.uni[empresa]"),Q$6)</f>
        <v>0</v>
      </c>
      <c r="R70" s="38"/>
      <c r="S70" s="51"/>
      <c r="T70" s="51"/>
      <c r="U70" s="49">
        <f ca="1">SUMIFS(rec.uni[2026-08-01],
INDIRECT("rec.uni[natureza]"),"taxa.extra",
INDIRECT("rec.uni[empresa]"),U$6)</f>
        <v>0</v>
      </c>
      <c r="V70" s="51"/>
      <c r="W70" s="39"/>
      <c r="X70" s="49">
        <f ca="1">SUMIFS(rec.uni[2026-08-01],
INDIRECT("rec.uni[natureza]"),"pro.soluto",
INDIRECT("rec.uni[empresa]"),X$6)</f>
        <v>0</v>
      </c>
      <c r="Y70" s="49">
        <f ca="1">SUMIFS(rec.uni[2026-08-01],
INDIRECT("rec.uni[natureza]"),"taxa.extra",
INDIRECT("rec.uni[empresa]"),Y$6)</f>
        <v>0</v>
      </c>
      <c r="Z70" s="51"/>
      <c r="AA70" s="39"/>
      <c r="AB70" s="49">
        <f ca="1">SUMIFS(rec.uni[2026-08-01],
INDIRECT("rec.uni[natureza]"),"pro.soluto",
INDIRECT("rec.uni[empresa]"),AB$6)</f>
        <v>0</v>
      </c>
      <c r="AC70" s="51">
        <f ca="1">SUMIFS(rec.uni[2026-08-01],
INDIRECT("rec.uni[natureza]"),"parcela.fin.total.ik",
INDIRECT("rec.uni[empresa]"),AC$6)</f>
        <v>0</v>
      </c>
      <c r="AD70" s="49">
        <f ca="1">SUMIFS(rec.uni[2026-08-01],
INDIRECT("rec.uni[natureza]"),"taxa.extra",
INDIRECT("rec.uni[empresa]"),AD$6)</f>
        <v>0</v>
      </c>
      <c r="AE70" s="51"/>
      <c r="AF70" s="48"/>
      <c r="AG70" s="49">
        <f ca="1">SUMIFS(rec.uni[2026-08-01],
INDIRECT("rec.uni[natureza]"),"pro.soluto",
INDIRECT("rec.uni[empresa]"),AG$6)</f>
        <v>0</v>
      </c>
      <c r="AH70" s="38"/>
      <c r="AI70" s="51"/>
      <c r="AJ70" s="51"/>
      <c r="AK70" s="49">
        <f ca="1">SUMIFS(rec.uni[2026-08-01],
INDIRECT("rec.uni[natureza]"),"taxa.extra",
INDIRECT("rec.uni[empresa]"),AK$6)</f>
        <v>0</v>
      </c>
      <c r="AL70" s="51"/>
      <c r="AM70" s="39"/>
      <c r="AN70" s="49">
        <f ca="1">SUMIFS(rec.uni[2026-08-01],
INDIRECT("rec.uni[natureza]"),"pro.soluto",
INDIRECT("rec.uni[empresa]"),AN$6)</f>
        <v>0</v>
      </c>
      <c r="AO70" s="49">
        <f ca="1">SUMIFS(rec.uni[2026-08-01],
INDIRECT("rec.uni[natureza]"),"taxa.extra",
INDIRECT("rec.uni[empresa]"),AO$6)</f>
        <v>0</v>
      </c>
      <c r="AP70" s="140"/>
    </row>
    <row r="71" spans="1:42" x14ac:dyDescent="0.25">
      <c r="A71" s="47">
        <v>46266</v>
      </c>
      <c r="B71" s="39"/>
      <c r="C71" s="49">
        <f ca="1">SUMIFS(rec.uni[2026-09-01],
INDIRECT("rec.uni[natureza]"),"pro.soluto",
INDIRECT("rec.uni[empresa]"),C$6)</f>
        <v>0</v>
      </c>
      <c r="D71" s="38"/>
      <c r="E71" s="51"/>
      <c r="F71" s="51"/>
      <c r="G71" s="49">
        <f ca="1">SUMIFS(rec.uni[2026-09-01],
INDIRECT("rec.uni[natureza]"),"taxa.extra",
INDIRECT("rec.uni[empresa]"),G$6)</f>
        <v>0</v>
      </c>
      <c r="H71" s="51"/>
      <c r="I71" s="39"/>
      <c r="J71" s="49">
        <f ca="1">SUMIFS(rec.uni[2026-09-01],
INDIRECT("rec.uni[natureza]"),"pro.soluto",
INDIRECT("rec.uni[empresa]"),J$6)</f>
        <v>0</v>
      </c>
      <c r="K71" s="38"/>
      <c r="L71" s="51"/>
      <c r="M71" s="51"/>
      <c r="N71" s="49">
        <f ca="1">SUMIFS(rec.uni[2026-09-01],
INDIRECT("rec.uni[natureza]"),"taxa.extra",
INDIRECT("rec.uni[empresa]"),N$6)</f>
        <v>0</v>
      </c>
      <c r="O71" s="51"/>
      <c r="P71" s="39"/>
      <c r="Q71" s="49">
        <f ca="1">SUMIFS(rec.uni[2026-09-01],
INDIRECT("rec.uni[natureza]"),"pro.soluto",
INDIRECT("rec.uni[empresa]"),Q$6)</f>
        <v>0</v>
      </c>
      <c r="R71" s="38"/>
      <c r="S71" s="51"/>
      <c r="T71" s="51"/>
      <c r="U71" s="49">
        <f ca="1">SUMIFS(rec.uni[2026-09-01],
INDIRECT("rec.uni[natureza]"),"taxa.extra",
INDIRECT("rec.uni[empresa]"),U$6)</f>
        <v>0</v>
      </c>
      <c r="V71" s="51"/>
      <c r="W71" s="39"/>
      <c r="X71" s="49">
        <f ca="1">SUMIFS(rec.uni[2026-09-01],
INDIRECT("rec.uni[natureza]"),"pro.soluto",
INDIRECT("rec.uni[empresa]"),X$6)</f>
        <v>0</v>
      </c>
      <c r="Y71" s="49">
        <f ca="1">SUMIFS(rec.uni[2026-09-01],
INDIRECT("rec.uni[natureza]"),"taxa.extra",
INDIRECT("rec.uni[empresa]"),Y$6)</f>
        <v>0</v>
      </c>
      <c r="Z71" s="51"/>
      <c r="AA71" s="39"/>
      <c r="AB71" s="49">
        <f ca="1">SUMIFS(rec.uni[2026-09-01],
INDIRECT("rec.uni[natureza]"),"pro.soluto",
INDIRECT("rec.uni[empresa]"),AB$6)</f>
        <v>0</v>
      </c>
      <c r="AC71" s="51">
        <f ca="1">SUMIFS(rec.uni[2026-09-01],
INDIRECT("rec.uni[natureza]"),"parcela.fin.total.ik",
INDIRECT("rec.uni[empresa]"),AC$6)</f>
        <v>0</v>
      </c>
      <c r="AD71" s="49">
        <f ca="1">SUMIFS(rec.uni[2026-09-01],
INDIRECT("rec.uni[natureza]"),"taxa.extra",
INDIRECT("rec.uni[empresa]"),AD$6)</f>
        <v>0</v>
      </c>
      <c r="AE71" s="51"/>
      <c r="AF71" s="48"/>
      <c r="AG71" s="49">
        <f ca="1">SUMIFS(rec.uni[2026-09-01],
INDIRECT("rec.uni[natureza]"),"pro.soluto",
INDIRECT("rec.uni[empresa]"),AG$6)</f>
        <v>0</v>
      </c>
      <c r="AH71" s="38"/>
      <c r="AI71" s="51"/>
      <c r="AJ71" s="51"/>
      <c r="AK71" s="49">
        <f ca="1">SUMIFS(rec.uni[2026-09-01],
INDIRECT("rec.uni[natureza]"),"taxa.extra",
INDIRECT("rec.uni[empresa]"),AK$6)</f>
        <v>0</v>
      </c>
      <c r="AL71" s="51"/>
      <c r="AM71" s="39"/>
      <c r="AN71" s="49">
        <f ca="1">SUMIFS(rec.uni[2026-09-01],
INDIRECT("rec.uni[natureza]"),"pro.soluto",
INDIRECT("rec.uni[empresa]"),AN$6)</f>
        <v>0</v>
      </c>
      <c r="AO71" s="49">
        <f ca="1">SUMIFS(rec.uni[2026-09-01],
INDIRECT("rec.uni[natureza]"),"taxa.extra",
INDIRECT("rec.uni[empresa]"),AO$6)</f>
        <v>0</v>
      </c>
      <c r="AP71" s="140"/>
    </row>
    <row r="72" spans="1:42" x14ac:dyDescent="0.25">
      <c r="A72" s="47">
        <v>46296</v>
      </c>
      <c r="B72" s="39"/>
      <c r="C72" s="49">
        <f ca="1">SUMIFS(rec.uni[2026-10-01],
INDIRECT("rec.uni[natureza]"),"pro.soluto",
INDIRECT("rec.uni[empresa]"),C$6)</f>
        <v>0</v>
      </c>
      <c r="D72" s="38"/>
      <c r="E72" s="51"/>
      <c r="F72" s="51"/>
      <c r="G72" s="49">
        <f ca="1">SUMIFS(rec.uni[2026-10-01],
INDIRECT("rec.uni[natureza]"),"taxa.extra",
INDIRECT("rec.uni[empresa]"),G$6)</f>
        <v>0</v>
      </c>
      <c r="H72" s="51"/>
      <c r="I72" s="39"/>
      <c r="J72" s="49">
        <f ca="1">SUMIFS(rec.uni[2026-10-01],
INDIRECT("rec.uni[natureza]"),"pro.soluto",
INDIRECT("rec.uni[empresa]"),J$6)</f>
        <v>0</v>
      </c>
      <c r="K72" s="38"/>
      <c r="L72" s="51"/>
      <c r="M72" s="51"/>
      <c r="N72" s="49">
        <f ca="1">SUMIFS(rec.uni[2026-10-01],
INDIRECT("rec.uni[natureza]"),"taxa.extra",
INDIRECT("rec.uni[empresa]"),N$6)</f>
        <v>0</v>
      </c>
      <c r="O72" s="51"/>
      <c r="P72" s="39"/>
      <c r="Q72" s="49">
        <f ca="1">SUMIFS(rec.uni[2026-10-01],
INDIRECT("rec.uni[natureza]"),"pro.soluto",
INDIRECT("rec.uni[empresa]"),Q$6)</f>
        <v>0</v>
      </c>
      <c r="R72" s="38"/>
      <c r="S72" s="51"/>
      <c r="T72" s="51"/>
      <c r="U72" s="49">
        <f ca="1">SUMIFS(rec.uni[2026-10-01],
INDIRECT("rec.uni[natureza]"),"taxa.extra",
INDIRECT("rec.uni[empresa]"),U$6)</f>
        <v>0</v>
      </c>
      <c r="V72" s="51"/>
      <c r="W72" s="39"/>
      <c r="X72" s="49">
        <f ca="1">SUMIFS(rec.uni[2026-10-01],
INDIRECT("rec.uni[natureza]"),"pro.soluto",
INDIRECT("rec.uni[empresa]"),X$6)</f>
        <v>0</v>
      </c>
      <c r="Y72" s="49">
        <f ca="1">SUMIFS(rec.uni[2026-10-01],
INDIRECT("rec.uni[natureza]"),"taxa.extra",
INDIRECT("rec.uni[empresa]"),Y$6)</f>
        <v>0</v>
      </c>
      <c r="Z72" s="51"/>
      <c r="AA72" s="39"/>
      <c r="AB72" s="49">
        <f ca="1">SUMIFS(rec.uni[2026-10-01],
INDIRECT("rec.uni[natureza]"),"pro.soluto",
INDIRECT("rec.uni[empresa]"),AB$6)</f>
        <v>0</v>
      </c>
      <c r="AC72" s="51">
        <f ca="1">SUMIFS(rec.uni[2026-10-01],
INDIRECT("rec.uni[natureza]"),"parcela.fin.total.ik",
INDIRECT("rec.uni[empresa]"),AC$6)</f>
        <v>0</v>
      </c>
      <c r="AD72" s="49">
        <f ca="1">SUMIFS(rec.uni[2026-10-01],
INDIRECT("rec.uni[natureza]"),"taxa.extra",
INDIRECT("rec.uni[empresa]"),AD$6)</f>
        <v>0</v>
      </c>
      <c r="AE72" s="51"/>
      <c r="AF72" s="48"/>
      <c r="AG72" s="49">
        <f ca="1">SUMIFS(rec.uni[2026-10-01],
INDIRECT("rec.uni[natureza]"),"pro.soluto",
INDIRECT("rec.uni[empresa]"),AG$6)</f>
        <v>0</v>
      </c>
      <c r="AH72" s="38"/>
      <c r="AI72" s="51"/>
      <c r="AJ72" s="51"/>
      <c r="AK72" s="49">
        <f ca="1">SUMIFS(rec.uni[2026-10-01],
INDIRECT("rec.uni[natureza]"),"taxa.extra",
INDIRECT("rec.uni[empresa]"),AK$6)</f>
        <v>0</v>
      </c>
      <c r="AL72" s="51"/>
      <c r="AM72" s="39"/>
      <c r="AN72" s="49">
        <f ca="1">SUMIFS(rec.uni[2026-10-01],
INDIRECT("rec.uni[natureza]"),"pro.soluto",
INDIRECT("rec.uni[empresa]"),AN$6)</f>
        <v>0</v>
      </c>
      <c r="AO72" s="49">
        <f ca="1">SUMIFS(rec.uni[2026-10-01],
INDIRECT("rec.uni[natureza]"),"taxa.extra",
INDIRECT("rec.uni[empresa]"),AO$6)</f>
        <v>0</v>
      </c>
      <c r="AP72" s="140"/>
    </row>
    <row r="73" spans="1:42" x14ac:dyDescent="0.25">
      <c r="A73" s="47">
        <v>46327</v>
      </c>
      <c r="B73" s="39"/>
      <c r="C73" s="49">
        <f ca="1">SUMIFS(rec.uni[2026-11-01],
INDIRECT("rec.uni[natureza]"),"pro.soluto",
INDIRECT("rec.uni[empresa]"),C$6)</f>
        <v>0</v>
      </c>
      <c r="D73" s="38"/>
      <c r="E73" s="51"/>
      <c r="F73" s="51"/>
      <c r="G73" s="49">
        <f ca="1">SUMIFS(rec.uni[2026-11-01],
INDIRECT("rec.uni[natureza]"),"taxa.extra",
INDIRECT("rec.uni[empresa]"),G$6)</f>
        <v>0</v>
      </c>
      <c r="H73" s="51"/>
      <c r="I73" s="39"/>
      <c r="J73" s="49">
        <f ca="1">SUMIFS(rec.uni[2026-11-01],
INDIRECT("rec.uni[natureza]"),"pro.soluto",
INDIRECT("rec.uni[empresa]"),J$6)</f>
        <v>0</v>
      </c>
      <c r="K73" s="38"/>
      <c r="L73" s="51"/>
      <c r="M73" s="51"/>
      <c r="N73" s="49">
        <f ca="1">SUMIFS(rec.uni[2026-11-01],
INDIRECT("rec.uni[natureza]"),"taxa.extra",
INDIRECT("rec.uni[empresa]"),N$6)</f>
        <v>0</v>
      </c>
      <c r="O73" s="51"/>
      <c r="P73" s="39"/>
      <c r="Q73" s="49">
        <f ca="1">SUMIFS(rec.uni[2026-11-01],
INDIRECT("rec.uni[natureza]"),"pro.soluto",
INDIRECT("rec.uni[empresa]"),Q$6)</f>
        <v>0</v>
      </c>
      <c r="R73" s="38"/>
      <c r="S73" s="51"/>
      <c r="T73" s="51"/>
      <c r="U73" s="49">
        <f ca="1">SUMIFS(rec.uni[2026-11-01],
INDIRECT("rec.uni[natureza]"),"taxa.extra",
INDIRECT("rec.uni[empresa]"),U$6)</f>
        <v>0</v>
      </c>
      <c r="V73" s="51"/>
      <c r="W73" s="39"/>
      <c r="X73" s="49">
        <f ca="1">SUMIFS(rec.uni[2026-11-01],
INDIRECT("rec.uni[natureza]"),"pro.soluto",
INDIRECT("rec.uni[empresa]"),X$6)</f>
        <v>0</v>
      </c>
      <c r="Y73" s="49">
        <f ca="1">SUMIFS(rec.uni[2026-11-01],
INDIRECT("rec.uni[natureza]"),"taxa.extra",
INDIRECT("rec.uni[empresa]"),Y$6)</f>
        <v>0</v>
      </c>
      <c r="Z73" s="51"/>
      <c r="AA73" s="39"/>
      <c r="AB73" s="49">
        <f ca="1">SUMIFS(rec.uni[2026-11-01],
INDIRECT("rec.uni[natureza]"),"pro.soluto",
INDIRECT("rec.uni[empresa]"),AB$6)</f>
        <v>0</v>
      </c>
      <c r="AC73" s="51">
        <f ca="1">SUMIFS(rec.uni[2026-11-01],
INDIRECT("rec.uni[natureza]"),"parcela.fin.total.ik",
INDIRECT("rec.uni[empresa]"),AC$6)</f>
        <v>0</v>
      </c>
      <c r="AD73" s="49">
        <f ca="1">SUMIFS(rec.uni[2026-11-01],
INDIRECT("rec.uni[natureza]"),"taxa.extra",
INDIRECT("rec.uni[empresa]"),AD$6)</f>
        <v>0</v>
      </c>
      <c r="AE73" s="51"/>
      <c r="AF73" s="48"/>
      <c r="AG73" s="49">
        <f ca="1">SUMIFS(rec.uni[2026-11-01],
INDIRECT("rec.uni[natureza]"),"pro.soluto",
INDIRECT("rec.uni[empresa]"),AG$6)</f>
        <v>0</v>
      </c>
      <c r="AH73" s="38"/>
      <c r="AI73" s="51"/>
      <c r="AJ73" s="51"/>
      <c r="AK73" s="49">
        <f ca="1">SUMIFS(rec.uni[2026-11-01],
INDIRECT("rec.uni[natureza]"),"taxa.extra",
INDIRECT("rec.uni[empresa]"),AK$6)</f>
        <v>0</v>
      </c>
      <c r="AL73" s="51"/>
      <c r="AM73" s="39"/>
      <c r="AN73" s="49">
        <f ca="1">SUMIFS(rec.uni[2026-11-01],
INDIRECT("rec.uni[natureza]"),"pro.soluto",
INDIRECT("rec.uni[empresa]"),AN$6)</f>
        <v>0</v>
      </c>
      <c r="AO73" s="49">
        <f ca="1">SUMIFS(rec.uni[2026-11-01],
INDIRECT("rec.uni[natureza]"),"taxa.extra",
INDIRECT("rec.uni[empresa]"),AO$6)</f>
        <v>0</v>
      </c>
      <c r="AP73" s="140"/>
    </row>
    <row r="74" spans="1:42" x14ac:dyDescent="0.25">
      <c r="A74" s="47">
        <v>46357</v>
      </c>
      <c r="B74" s="39"/>
      <c r="C74" s="49">
        <f ca="1">SUMIFS(rec.uni[2026-12-01],
INDIRECT("rec.uni[natureza]"),"pro.soluto",
INDIRECT("rec.uni[empresa]"),C$6)</f>
        <v>0</v>
      </c>
      <c r="D74" s="38"/>
      <c r="E74" s="51"/>
      <c r="F74" s="51"/>
      <c r="G74" s="49">
        <f ca="1">SUMIFS(rec.uni[2026-12-01],
INDIRECT("rec.uni[natureza]"),"taxa.extra",
INDIRECT("rec.uni[empresa]"),G$6)</f>
        <v>0</v>
      </c>
      <c r="H74" s="51"/>
      <c r="I74" s="39"/>
      <c r="J74" s="49">
        <f ca="1">SUMIFS(rec.uni[2026-12-01],
INDIRECT("rec.uni[natureza]"),"pro.soluto",
INDIRECT("rec.uni[empresa]"),J$6)</f>
        <v>0</v>
      </c>
      <c r="K74" s="38"/>
      <c r="L74" s="51"/>
      <c r="M74" s="51"/>
      <c r="N74" s="49">
        <f ca="1">SUMIFS(rec.uni[2026-12-01],
INDIRECT("rec.uni[natureza]"),"taxa.extra",
INDIRECT("rec.uni[empresa]"),N$6)</f>
        <v>0</v>
      </c>
      <c r="O74" s="51"/>
      <c r="P74" s="39"/>
      <c r="Q74" s="49">
        <f ca="1">SUMIFS(rec.uni[2026-12-01],
INDIRECT("rec.uni[natureza]"),"pro.soluto",
INDIRECT("rec.uni[empresa]"),Q$6)</f>
        <v>0</v>
      </c>
      <c r="R74" s="38"/>
      <c r="S74" s="51"/>
      <c r="T74" s="51"/>
      <c r="U74" s="49">
        <f ca="1">SUMIFS(rec.uni[2026-12-01],
INDIRECT("rec.uni[natureza]"),"taxa.extra",
INDIRECT("rec.uni[empresa]"),U$6)</f>
        <v>0</v>
      </c>
      <c r="V74" s="51"/>
      <c r="W74" s="39"/>
      <c r="X74" s="49">
        <f ca="1">SUMIFS(rec.uni[2026-12-01],
INDIRECT("rec.uni[natureza]"),"pro.soluto",
INDIRECT("rec.uni[empresa]"),X$6)</f>
        <v>0</v>
      </c>
      <c r="Y74" s="49">
        <f ca="1">SUMIFS(rec.uni[2026-12-01],
INDIRECT("rec.uni[natureza]"),"taxa.extra",
INDIRECT("rec.uni[empresa]"),Y$6)</f>
        <v>0</v>
      </c>
      <c r="Z74" s="51"/>
      <c r="AA74" s="39"/>
      <c r="AB74" s="49">
        <f ca="1">SUMIFS(rec.uni[2026-12-01],
INDIRECT("rec.uni[natureza]"),"pro.soluto",
INDIRECT("rec.uni[empresa]"),AB$6)</f>
        <v>0</v>
      </c>
      <c r="AC74" s="51">
        <f ca="1">SUMIFS(rec.uni[2026-12-01],
INDIRECT("rec.uni[natureza]"),"parcela.fin.total.ik",
INDIRECT("rec.uni[empresa]"),AC$6)</f>
        <v>0</v>
      </c>
      <c r="AD74" s="49">
        <f ca="1">SUMIFS(rec.uni[2026-12-01],
INDIRECT("rec.uni[natureza]"),"taxa.extra",
INDIRECT("rec.uni[empresa]"),AD$6)</f>
        <v>0</v>
      </c>
      <c r="AE74" s="51"/>
      <c r="AF74" s="48"/>
      <c r="AG74" s="49">
        <f ca="1">SUMIFS(rec.uni[2026-12-01],
INDIRECT("rec.uni[natureza]"),"pro.soluto",
INDIRECT("rec.uni[empresa]"),AG$6)</f>
        <v>0</v>
      </c>
      <c r="AH74" s="38"/>
      <c r="AI74" s="51"/>
      <c r="AJ74" s="51"/>
      <c r="AK74" s="49">
        <f ca="1">SUMIFS(rec.uni[2026-12-01],
INDIRECT("rec.uni[natureza]"),"taxa.extra",
INDIRECT("rec.uni[empresa]"),AK$6)</f>
        <v>0</v>
      </c>
      <c r="AL74" s="51"/>
      <c r="AM74" s="39"/>
      <c r="AN74" s="49">
        <f ca="1">SUMIFS(rec.uni[2026-12-01],
INDIRECT("rec.uni[natureza]"),"pro.soluto",
INDIRECT("rec.uni[empresa]"),AN$6)</f>
        <v>0</v>
      </c>
      <c r="AO74" s="49">
        <f ca="1">SUMIFS(rec.uni[2026-12-01],
INDIRECT("rec.uni[natureza]"),"taxa.extra",
INDIRECT("rec.uni[empresa]"),AO$6)</f>
        <v>0</v>
      </c>
      <c r="AP74" s="140"/>
    </row>
    <row r="75" spans="1:42" x14ac:dyDescent="0.25">
      <c r="A75" s="47">
        <v>46388</v>
      </c>
      <c r="B75" s="39"/>
      <c r="C75" s="49">
        <f ca="1">SUMIFS(rec.uni[2027-01-01],
INDIRECT("rec.uni[natureza]"),"pro.soluto",
INDIRECT("rec.uni[empresa]"),C$6)</f>
        <v>0</v>
      </c>
      <c r="D75" s="38"/>
      <c r="E75" s="51"/>
      <c r="F75" s="51"/>
      <c r="G75" s="49">
        <f ca="1">SUMIFS(rec.uni[2027-01-01],
INDIRECT("rec.uni[natureza]"),"taxa.extra",
INDIRECT("rec.uni[empresa]"),G$6)</f>
        <v>0</v>
      </c>
      <c r="H75" s="51"/>
      <c r="I75" s="39"/>
      <c r="J75" s="49">
        <f ca="1">SUMIFS(rec.uni[2027-01-01],
INDIRECT("rec.uni[natureza]"),"pro.soluto",
INDIRECT("rec.uni[empresa]"),J$6)</f>
        <v>0</v>
      </c>
      <c r="K75" s="38"/>
      <c r="L75" s="51"/>
      <c r="M75" s="51"/>
      <c r="N75" s="49">
        <f ca="1">SUMIFS(rec.uni[2027-01-01],
INDIRECT("rec.uni[natureza]"),"taxa.extra",
INDIRECT("rec.uni[empresa]"),N$6)</f>
        <v>0</v>
      </c>
      <c r="O75" s="51"/>
      <c r="P75" s="39"/>
      <c r="Q75" s="49">
        <f ca="1">SUMIFS(rec.uni[2027-01-01],
INDIRECT("rec.uni[natureza]"),"pro.soluto",
INDIRECT("rec.uni[empresa]"),Q$6)</f>
        <v>0</v>
      </c>
      <c r="R75" s="38"/>
      <c r="S75" s="51"/>
      <c r="T75" s="51"/>
      <c r="U75" s="49">
        <f ca="1">SUMIFS(rec.uni[2027-01-01],
INDIRECT("rec.uni[natureza]"),"taxa.extra",
INDIRECT("rec.uni[empresa]"),U$6)</f>
        <v>0</v>
      </c>
      <c r="V75" s="51"/>
      <c r="W75" s="39"/>
      <c r="X75" s="49">
        <f ca="1">SUMIFS(rec.uni[2027-01-01],
INDIRECT("rec.uni[natureza]"),"pro.soluto",
INDIRECT("rec.uni[empresa]"),X$6)</f>
        <v>0</v>
      </c>
      <c r="Y75" s="49">
        <f ca="1">SUMIFS(rec.uni[2027-01-01],
INDIRECT("rec.uni[natureza]"),"taxa.extra",
INDIRECT("rec.uni[empresa]"),Y$6)</f>
        <v>0</v>
      </c>
      <c r="Z75" s="51"/>
      <c r="AA75" s="39"/>
      <c r="AB75" s="49">
        <f ca="1">SUMIFS(rec.uni[2027-01-01],
INDIRECT("rec.uni[natureza]"),"pro.soluto",
INDIRECT("rec.uni[empresa]"),AB$6)</f>
        <v>0</v>
      </c>
      <c r="AC75" s="51">
        <f ca="1">SUMIFS(rec.uni[2027-01-01],
INDIRECT("rec.uni[natureza]"),"parcela.fin.total.ik",
INDIRECT("rec.uni[empresa]"),AC$6)</f>
        <v>0</v>
      </c>
      <c r="AD75" s="49">
        <f ca="1">SUMIFS(rec.uni[2027-01-01],
INDIRECT("rec.uni[natureza]"),"taxa.extra",
INDIRECT("rec.uni[empresa]"),AD$6)</f>
        <v>0</v>
      </c>
      <c r="AE75" s="51"/>
      <c r="AF75" s="48"/>
      <c r="AG75" s="49">
        <f ca="1">SUMIFS(rec.uni[2027-01-01],
INDIRECT("rec.uni[natureza]"),"pro.soluto",
INDIRECT("rec.uni[empresa]"),AG$6)</f>
        <v>0</v>
      </c>
      <c r="AH75" s="38"/>
      <c r="AI75" s="51"/>
      <c r="AJ75" s="51"/>
      <c r="AK75" s="49">
        <f ca="1">SUMIFS(rec.uni[2027-01-01],
INDIRECT("rec.uni[natureza]"),"taxa.extra",
INDIRECT("rec.uni[empresa]"),AK$6)</f>
        <v>0</v>
      </c>
      <c r="AL75" s="51"/>
      <c r="AM75" s="39"/>
      <c r="AN75" s="49">
        <f ca="1">SUMIFS(rec.uni[2027-01-01],
INDIRECT("rec.uni[natureza]"),"pro.soluto",
INDIRECT("rec.uni[empresa]"),AN$6)</f>
        <v>0</v>
      </c>
      <c r="AO75" s="49">
        <f ca="1">SUMIFS(rec.uni[2027-01-01],
INDIRECT("rec.uni[natureza]"),"taxa.extra",
INDIRECT("rec.uni[empresa]"),AO$6)</f>
        <v>0</v>
      </c>
      <c r="AP75" s="140"/>
    </row>
    <row r="76" spans="1:42" x14ac:dyDescent="0.25">
      <c r="A76" s="47">
        <v>46419</v>
      </c>
      <c r="B76" s="39"/>
      <c r="C76" s="49">
        <f ca="1">SUMIFS(rec.uni[2027-02-01],
INDIRECT("rec.uni[natureza]"),"pro.soluto",
INDIRECT("rec.uni[empresa]"),C$6)</f>
        <v>0</v>
      </c>
      <c r="D76" s="38"/>
      <c r="E76" s="51"/>
      <c r="F76" s="51"/>
      <c r="G76" s="49">
        <f ca="1">SUMIFS(rec.uni[2027-02-01],
INDIRECT("rec.uni[natureza]"),"taxa.extra",
INDIRECT("rec.uni[empresa]"),G$6)</f>
        <v>0</v>
      </c>
      <c r="H76" s="51"/>
      <c r="I76" s="39"/>
      <c r="J76" s="49">
        <f ca="1">SUMIFS(rec.uni[2027-02-01],
INDIRECT("rec.uni[natureza]"),"pro.soluto",
INDIRECT("rec.uni[empresa]"),J$6)</f>
        <v>0</v>
      </c>
      <c r="K76" s="38"/>
      <c r="L76" s="51"/>
      <c r="M76" s="51"/>
      <c r="N76" s="49">
        <f ca="1">SUMIFS(rec.uni[2027-02-01],
INDIRECT("rec.uni[natureza]"),"taxa.extra",
INDIRECT("rec.uni[empresa]"),N$6)</f>
        <v>0</v>
      </c>
      <c r="O76" s="51"/>
      <c r="P76" s="39"/>
      <c r="Q76" s="49">
        <f ca="1">SUMIFS(rec.uni[2027-02-01],
INDIRECT("rec.uni[natureza]"),"pro.soluto",
INDIRECT("rec.uni[empresa]"),Q$6)</f>
        <v>0</v>
      </c>
      <c r="R76" s="38"/>
      <c r="S76" s="51"/>
      <c r="T76" s="51"/>
      <c r="U76" s="49">
        <f ca="1">SUMIFS(rec.uni[2027-02-01],
INDIRECT("rec.uni[natureza]"),"taxa.extra",
INDIRECT("rec.uni[empresa]"),U$6)</f>
        <v>0</v>
      </c>
      <c r="V76" s="51"/>
      <c r="W76" s="39"/>
      <c r="X76" s="49">
        <f ca="1">SUMIFS(rec.uni[2027-02-01],
INDIRECT("rec.uni[natureza]"),"pro.soluto",
INDIRECT("rec.uni[empresa]"),X$6)</f>
        <v>0</v>
      </c>
      <c r="Y76" s="49">
        <f ca="1">SUMIFS(rec.uni[2027-02-01],
INDIRECT("rec.uni[natureza]"),"taxa.extra",
INDIRECT("rec.uni[empresa]"),Y$6)</f>
        <v>0</v>
      </c>
      <c r="Z76" s="51"/>
      <c r="AA76" s="39"/>
      <c r="AB76" s="49">
        <f ca="1">SUMIFS(rec.uni[2027-02-01],
INDIRECT("rec.uni[natureza]"),"pro.soluto",
INDIRECT("rec.uni[empresa]"),AB$6)</f>
        <v>0</v>
      </c>
      <c r="AC76" s="51">
        <f ca="1">SUMIFS(rec.uni[2027-02-01],
INDIRECT("rec.uni[natureza]"),"parcela.fin.total.ik",
INDIRECT("rec.uni[empresa]"),AC$6)</f>
        <v>0</v>
      </c>
      <c r="AD76" s="49">
        <f ca="1">SUMIFS(rec.uni[2027-02-01],
INDIRECT("rec.uni[natureza]"),"taxa.extra",
INDIRECT("rec.uni[empresa]"),AD$6)</f>
        <v>0</v>
      </c>
      <c r="AE76" s="51"/>
      <c r="AF76" s="48"/>
      <c r="AG76" s="49">
        <f ca="1">SUMIFS(rec.uni[2027-02-01],
INDIRECT("rec.uni[natureza]"),"pro.soluto",
INDIRECT("rec.uni[empresa]"),AG$6)</f>
        <v>0</v>
      </c>
      <c r="AH76" s="38"/>
      <c r="AI76" s="51"/>
      <c r="AJ76" s="51"/>
      <c r="AK76" s="49">
        <f ca="1">SUMIFS(rec.uni[2027-02-01],
INDIRECT("rec.uni[natureza]"),"taxa.extra",
INDIRECT("rec.uni[empresa]"),AK$6)</f>
        <v>0</v>
      </c>
      <c r="AL76" s="51"/>
      <c r="AM76" s="39"/>
      <c r="AN76" s="49">
        <f ca="1">SUMIFS(rec.uni[2027-02-01],
INDIRECT("rec.uni[natureza]"),"pro.soluto",
INDIRECT("rec.uni[empresa]"),AN$6)</f>
        <v>0</v>
      </c>
      <c r="AO76" s="49">
        <f ca="1">SUMIFS(rec.uni[2027-02-01],
INDIRECT("rec.uni[natureza]"),"taxa.extra",
INDIRECT("rec.uni[empresa]"),AO$6)</f>
        <v>0</v>
      </c>
      <c r="AP76" s="140"/>
    </row>
    <row r="77" spans="1:42" x14ac:dyDescent="0.25">
      <c r="A77" s="47">
        <v>46447</v>
      </c>
      <c r="B77" s="39"/>
      <c r="C77" s="49">
        <f ca="1">SUMIFS(rec.uni[2027-03-01],
INDIRECT("rec.uni[natureza]"),"pro.soluto",
INDIRECT("rec.uni[empresa]"),C$6)</f>
        <v>0</v>
      </c>
      <c r="D77" s="38"/>
      <c r="E77" s="51"/>
      <c r="F77" s="51"/>
      <c r="G77" s="49">
        <f ca="1">SUMIFS(rec.uni[2027-03-01],
INDIRECT("rec.uni[natureza]"),"taxa.extra",
INDIRECT("rec.uni[empresa]"),G$6)</f>
        <v>0</v>
      </c>
      <c r="H77" s="51"/>
      <c r="I77" s="39"/>
      <c r="J77" s="49">
        <f ca="1">SUMIFS(rec.uni[2027-03-01],
INDIRECT("rec.uni[natureza]"),"pro.soluto",
INDIRECT("rec.uni[empresa]"),J$6)</f>
        <v>0</v>
      </c>
      <c r="K77" s="38"/>
      <c r="L77" s="51"/>
      <c r="M77" s="51"/>
      <c r="N77" s="49">
        <f ca="1">SUMIFS(rec.uni[2027-03-01],
INDIRECT("rec.uni[natureza]"),"taxa.extra",
INDIRECT("rec.uni[empresa]"),N$6)</f>
        <v>0</v>
      </c>
      <c r="O77" s="51"/>
      <c r="P77" s="39"/>
      <c r="Q77" s="49">
        <f ca="1">SUMIFS(rec.uni[2027-03-01],
INDIRECT("rec.uni[natureza]"),"pro.soluto",
INDIRECT("rec.uni[empresa]"),Q$6)</f>
        <v>0</v>
      </c>
      <c r="R77" s="38"/>
      <c r="S77" s="51"/>
      <c r="T77" s="51"/>
      <c r="U77" s="49">
        <f ca="1">SUMIFS(rec.uni[2027-03-01],
INDIRECT("rec.uni[natureza]"),"taxa.extra",
INDIRECT("rec.uni[empresa]"),U$6)</f>
        <v>0</v>
      </c>
      <c r="V77" s="51"/>
      <c r="W77" s="39"/>
      <c r="X77" s="49">
        <f ca="1">SUMIFS(rec.uni[2027-03-01],
INDIRECT("rec.uni[natureza]"),"pro.soluto",
INDIRECT("rec.uni[empresa]"),X$6)</f>
        <v>0</v>
      </c>
      <c r="Y77" s="49">
        <f ca="1">SUMIFS(rec.uni[2027-03-01],
INDIRECT("rec.uni[natureza]"),"taxa.extra",
INDIRECT("rec.uni[empresa]"),Y$6)</f>
        <v>0</v>
      </c>
      <c r="Z77" s="51"/>
      <c r="AA77" s="39"/>
      <c r="AB77" s="49">
        <f ca="1">SUMIFS(rec.uni[2027-03-01],
INDIRECT("rec.uni[natureza]"),"pro.soluto",
INDIRECT("rec.uni[empresa]"),AB$6)</f>
        <v>0</v>
      </c>
      <c r="AC77" s="51">
        <f ca="1">SUMIFS(rec.uni[2027-03-01],
INDIRECT("rec.uni[natureza]"),"parcela.fin.total.ik",
INDIRECT("rec.uni[empresa]"),AC$6)</f>
        <v>0</v>
      </c>
      <c r="AD77" s="49">
        <f ca="1">SUMIFS(rec.uni[2027-03-01],
INDIRECT("rec.uni[natureza]"),"taxa.extra",
INDIRECT("rec.uni[empresa]"),AD$6)</f>
        <v>0</v>
      </c>
      <c r="AE77" s="51"/>
      <c r="AF77" s="48"/>
      <c r="AG77" s="49">
        <f ca="1">SUMIFS(rec.uni[2027-03-01],
INDIRECT("rec.uni[natureza]"),"pro.soluto",
INDIRECT("rec.uni[empresa]"),AG$6)</f>
        <v>0</v>
      </c>
      <c r="AH77" s="38"/>
      <c r="AI77" s="51"/>
      <c r="AJ77" s="51"/>
      <c r="AK77" s="49">
        <f ca="1">SUMIFS(rec.uni[2027-03-01],
INDIRECT("rec.uni[natureza]"),"taxa.extra",
INDIRECT("rec.uni[empresa]"),AK$6)</f>
        <v>0</v>
      </c>
      <c r="AL77" s="51"/>
      <c r="AM77" s="39"/>
      <c r="AN77" s="49">
        <f ca="1">SUMIFS(rec.uni[2027-03-01],
INDIRECT("rec.uni[natureza]"),"pro.soluto",
INDIRECT("rec.uni[empresa]"),AN$6)</f>
        <v>0</v>
      </c>
      <c r="AO77" s="49">
        <f ca="1">SUMIFS(rec.uni[2027-03-01],
INDIRECT("rec.uni[natureza]"),"taxa.extra",
INDIRECT("rec.uni[empresa]"),AO$6)</f>
        <v>0</v>
      </c>
      <c r="AP77" s="140"/>
    </row>
    <row r="78" spans="1:42" x14ac:dyDescent="0.25">
      <c r="A78" s="47">
        <v>46478</v>
      </c>
      <c r="B78" s="39"/>
      <c r="C78" s="49">
        <f ca="1">SUMIFS(rec.uni[2027-04-01],
INDIRECT("rec.uni[natureza]"),"pro.soluto",
INDIRECT("rec.uni[empresa]"),C$6)</f>
        <v>0</v>
      </c>
      <c r="D78" s="38"/>
      <c r="E78" s="51"/>
      <c r="F78" s="51"/>
      <c r="G78" s="49">
        <f ca="1">SUMIFS(rec.uni[2027-04-01],
INDIRECT("rec.uni[natureza]"),"taxa.extra",
INDIRECT("rec.uni[empresa]"),G$6)</f>
        <v>0</v>
      </c>
      <c r="H78" s="51"/>
      <c r="I78" s="39"/>
      <c r="J78" s="49">
        <f ca="1">SUMIFS(rec.uni[2027-04-01],
INDIRECT("rec.uni[natureza]"),"pro.soluto",
INDIRECT("rec.uni[empresa]"),J$6)</f>
        <v>0</v>
      </c>
      <c r="K78" s="38"/>
      <c r="L78" s="51"/>
      <c r="M78" s="51"/>
      <c r="N78" s="49">
        <f ca="1">SUMIFS(rec.uni[2027-04-01],
INDIRECT("rec.uni[natureza]"),"taxa.extra",
INDIRECT("rec.uni[empresa]"),N$6)</f>
        <v>0</v>
      </c>
      <c r="O78" s="51"/>
      <c r="P78" s="39"/>
      <c r="Q78" s="49">
        <f ca="1">SUMIFS(rec.uni[2027-04-01],
INDIRECT("rec.uni[natureza]"),"pro.soluto",
INDIRECT("rec.uni[empresa]"),Q$6)</f>
        <v>0</v>
      </c>
      <c r="R78" s="38"/>
      <c r="S78" s="51"/>
      <c r="T78" s="51"/>
      <c r="U78" s="49">
        <f ca="1">SUMIFS(rec.uni[2027-04-01],
INDIRECT("rec.uni[natureza]"),"taxa.extra",
INDIRECT("rec.uni[empresa]"),U$6)</f>
        <v>0</v>
      </c>
      <c r="V78" s="51"/>
      <c r="W78" s="39"/>
      <c r="X78" s="49">
        <f ca="1">SUMIFS(rec.uni[2027-04-01],
INDIRECT("rec.uni[natureza]"),"pro.soluto",
INDIRECT("rec.uni[empresa]"),X$6)</f>
        <v>0</v>
      </c>
      <c r="Y78" s="49">
        <f ca="1">SUMIFS(rec.uni[2027-04-01],
INDIRECT("rec.uni[natureza]"),"taxa.extra",
INDIRECT("rec.uni[empresa]"),Y$6)</f>
        <v>0</v>
      </c>
      <c r="Z78" s="51"/>
      <c r="AA78" s="39"/>
      <c r="AB78" s="49">
        <f ca="1">SUMIFS(rec.uni[2027-04-01],
INDIRECT("rec.uni[natureza]"),"pro.soluto",
INDIRECT("rec.uni[empresa]"),AB$6)</f>
        <v>0</v>
      </c>
      <c r="AC78" s="51">
        <f ca="1">SUMIFS(rec.uni[2027-04-01],
INDIRECT("rec.uni[natureza]"),"parcela.fin.total.ik",
INDIRECT("rec.uni[empresa]"),AC$6)</f>
        <v>0</v>
      </c>
      <c r="AD78" s="49">
        <f ca="1">SUMIFS(rec.uni[2027-04-01],
INDIRECT("rec.uni[natureza]"),"taxa.extra",
INDIRECT("rec.uni[empresa]"),AD$6)</f>
        <v>0</v>
      </c>
      <c r="AE78" s="51"/>
      <c r="AF78" s="48"/>
      <c r="AG78" s="49">
        <f ca="1">SUMIFS(rec.uni[2027-04-01],
INDIRECT("rec.uni[natureza]"),"pro.soluto",
INDIRECT("rec.uni[empresa]"),AG$6)</f>
        <v>0</v>
      </c>
      <c r="AH78" s="38"/>
      <c r="AI78" s="51"/>
      <c r="AJ78" s="51"/>
      <c r="AK78" s="49">
        <f ca="1">SUMIFS(rec.uni[2027-04-01],
INDIRECT("rec.uni[natureza]"),"taxa.extra",
INDIRECT("rec.uni[empresa]"),AK$6)</f>
        <v>0</v>
      </c>
      <c r="AL78" s="51"/>
      <c r="AM78" s="39"/>
      <c r="AN78" s="49">
        <f ca="1">SUMIFS(rec.uni[2027-04-01],
INDIRECT("rec.uni[natureza]"),"pro.soluto",
INDIRECT("rec.uni[empresa]"),AN$6)</f>
        <v>0</v>
      </c>
      <c r="AO78" s="49">
        <f ca="1">SUMIFS(rec.uni[2027-04-01],
INDIRECT("rec.uni[natureza]"),"taxa.extra",
INDIRECT("rec.uni[empresa]"),AO$6)</f>
        <v>0</v>
      </c>
      <c r="AP78" s="140"/>
    </row>
    <row r="79" spans="1:42" x14ac:dyDescent="0.25">
      <c r="A79" s="47">
        <v>46508</v>
      </c>
      <c r="B79" s="39"/>
      <c r="C79" s="49">
        <f ca="1">SUMIFS(rec.uni[2027-05-01],
INDIRECT("rec.uni[natureza]"),"pro.soluto",
INDIRECT("rec.uni[empresa]"),C$6)</f>
        <v>0</v>
      </c>
      <c r="D79" s="38"/>
      <c r="E79" s="51"/>
      <c r="F79" s="51"/>
      <c r="G79" s="49">
        <f ca="1">SUMIFS(rec.uni[2027-05-01],
INDIRECT("rec.uni[natureza]"),"taxa.extra",
INDIRECT("rec.uni[empresa]"),G$6)</f>
        <v>0</v>
      </c>
      <c r="H79" s="51"/>
      <c r="I79" s="39"/>
      <c r="J79" s="49">
        <f ca="1">SUMIFS(rec.uni[2027-05-01],
INDIRECT("rec.uni[natureza]"),"pro.soluto",
INDIRECT("rec.uni[empresa]"),J$6)</f>
        <v>0</v>
      </c>
      <c r="K79" s="38"/>
      <c r="L79" s="51"/>
      <c r="M79" s="51"/>
      <c r="N79" s="49">
        <f ca="1">SUMIFS(rec.uni[2027-05-01],
INDIRECT("rec.uni[natureza]"),"taxa.extra",
INDIRECT("rec.uni[empresa]"),N$6)</f>
        <v>0</v>
      </c>
      <c r="O79" s="51"/>
      <c r="P79" s="39"/>
      <c r="Q79" s="49">
        <f ca="1">SUMIFS(rec.uni[2027-05-01],
INDIRECT("rec.uni[natureza]"),"pro.soluto",
INDIRECT("rec.uni[empresa]"),Q$6)</f>
        <v>0</v>
      </c>
      <c r="R79" s="38"/>
      <c r="S79" s="51"/>
      <c r="T79" s="51"/>
      <c r="U79" s="49">
        <f ca="1">SUMIFS(rec.uni[2027-05-01],
INDIRECT("rec.uni[natureza]"),"taxa.extra",
INDIRECT("rec.uni[empresa]"),U$6)</f>
        <v>0</v>
      </c>
      <c r="V79" s="51"/>
      <c r="W79" s="39"/>
      <c r="X79" s="49">
        <f ca="1">SUMIFS(rec.uni[2027-05-01],
INDIRECT("rec.uni[natureza]"),"pro.soluto",
INDIRECT("rec.uni[empresa]"),X$6)</f>
        <v>0</v>
      </c>
      <c r="Y79" s="49">
        <f ca="1">SUMIFS(rec.uni[2027-05-01],
INDIRECT("rec.uni[natureza]"),"taxa.extra",
INDIRECT("rec.uni[empresa]"),Y$6)</f>
        <v>0</v>
      </c>
      <c r="Z79" s="51"/>
      <c r="AA79" s="39"/>
      <c r="AB79" s="49">
        <f ca="1">SUMIFS(rec.uni[2027-05-01],
INDIRECT("rec.uni[natureza]"),"pro.soluto",
INDIRECT("rec.uni[empresa]"),AB$6)</f>
        <v>0</v>
      </c>
      <c r="AC79" s="51">
        <f ca="1">SUMIFS(rec.uni[2027-05-01],
INDIRECT("rec.uni[natureza]"),"parcela.fin.total.ik",
INDIRECT("rec.uni[empresa]"),AC$6)</f>
        <v>0</v>
      </c>
      <c r="AD79" s="49">
        <f ca="1">SUMIFS(rec.uni[2027-05-01],
INDIRECT("rec.uni[natureza]"),"taxa.extra",
INDIRECT("rec.uni[empresa]"),AD$6)</f>
        <v>0</v>
      </c>
      <c r="AE79" s="51"/>
      <c r="AF79" s="48"/>
      <c r="AG79" s="49">
        <f ca="1">SUMIFS(rec.uni[2027-05-01],
INDIRECT("rec.uni[natureza]"),"pro.soluto",
INDIRECT("rec.uni[empresa]"),AG$6)</f>
        <v>0</v>
      </c>
      <c r="AH79" s="38"/>
      <c r="AI79" s="51"/>
      <c r="AJ79" s="51"/>
      <c r="AK79" s="49">
        <f ca="1">SUMIFS(rec.uni[2027-05-01],
INDIRECT("rec.uni[natureza]"),"taxa.extra",
INDIRECT("rec.uni[empresa]"),AK$6)</f>
        <v>0</v>
      </c>
      <c r="AL79" s="51"/>
      <c r="AM79" s="39"/>
      <c r="AN79" s="49">
        <f ca="1">SUMIFS(rec.uni[2027-05-01],
INDIRECT("rec.uni[natureza]"),"pro.soluto",
INDIRECT("rec.uni[empresa]"),AN$6)</f>
        <v>0</v>
      </c>
      <c r="AO79" s="49">
        <f ca="1">SUMIFS(rec.uni[2027-05-01],
INDIRECT("rec.uni[natureza]"),"taxa.extra",
INDIRECT("rec.uni[empresa]"),AO$6)</f>
        <v>0</v>
      </c>
      <c r="AP79" s="140"/>
    </row>
    <row r="80" spans="1:42" x14ac:dyDescent="0.25">
      <c r="A80" s="47">
        <v>46539</v>
      </c>
      <c r="B80" s="39"/>
      <c r="C80" s="49">
        <f ca="1">SUMIFS(rec.uni[2027-06-01],
INDIRECT("rec.uni[natureza]"),"pro.soluto",
INDIRECT("rec.uni[empresa]"),C$6)</f>
        <v>0</v>
      </c>
      <c r="D80" s="38"/>
      <c r="E80" s="51"/>
      <c r="F80" s="51"/>
      <c r="G80" s="49">
        <f ca="1">SUMIFS(rec.uni[2027-06-01],
INDIRECT("rec.uni[natureza]"),"taxa.extra",
INDIRECT("rec.uni[empresa]"),G$6)</f>
        <v>0</v>
      </c>
      <c r="H80" s="51"/>
      <c r="I80" s="39"/>
      <c r="J80" s="49">
        <f ca="1">SUMIFS(rec.uni[2027-06-01],
INDIRECT("rec.uni[natureza]"),"pro.soluto",
INDIRECT("rec.uni[empresa]"),J$6)</f>
        <v>0</v>
      </c>
      <c r="K80" s="38"/>
      <c r="L80" s="51"/>
      <c r="M80" s="51"/>
      <c r="N80" s="49">
        <f ca="1">SUMIFS(rec.uni[2027-06-01],
INDIRECT("rec.uni[natureza]"),"taxa.extra",
INDIRECT("rec.uni[empresa]"),N$6)</f>
        <v>0</v>
      </c>
      <c r="O80" s="51"/>
      <c r="P80" s="39"/>
      <c r="Q80" s="49">
        <f ca="1">SUMIFS(rec.uni[2027-06-01],
INDIRECT("rec.uni[natureza]"),"pro.soluto",
INDIRECT("rec.uni[empresa]"),Q$6)</f>
        <v>0</v>
      </c>
      <c r="R80" s="38"/>
      <c r="S80" s="51"/>
      <c r="T80" s="51"/>
      <c r="U80" s="49">
        <f ca="1">SUMIFS(rec.uni[2027-06-01],
INDIRECT("rec.uni[natureza]"),"taxa.extra",
INDIRECT("rec.uni[empresa]"),U$6)</f>
        <v>0</v>
      </c>
      <c r="V80" s="51"/>
      <c r="W80" s="39"/>
      <c r="X80" s="49">
        <f ca="1">SUMIFS(rec.uni[2027-06-01],
INDIRECT("rec.uni[natureza]"),"pro.soluto",
INDIRECT("rec.uni[empresa]"),X$6)</f>
        <v>0</v>
      </c>
      <c r="Y80" s="49">
        <f ca="1">SUMIFS(rec.uni[2027-06-01],
INDIRECT("rec.uni[natureza]"),"taxa.extra",
INDIRECT("rec.uni[empresa]"),Y$6)</f>
        <v>0</v>
      </c>
      <c r="Z80" s="51"/>
      <c r="AA80" s="39"/>
      <c r="AB80" s="49">
        <f ca="1">SUMIFS(rec.uni[2027-06-01],
INDIRECT("rec.uni[natureza]"),"pro.soluto",
INDIRECT("rec.uni[empresa]"),AB$6)</f>
        <v>0</v>
      </c>
      <c r="AC80" s="51">
        <f ca="1">SUMIFS(rec.uni[2027-06-01],
INDIRECT("rec.uni[natureza]"),"parcela.fin.total.ik",
INDIRECT("rec.uni[empresa]"),AC$6)</f>
        <v>0</v>
      </c>
      <c r="AD80" s="49">
        <f ca="1">SUMIFS(rec.uni[2027-06-01],
INDIRECT("rec.uni[natureza]"),"taxa.extra",
INDIRECT("rec.uni[empresa]"),AD$6)</f>
        <v>0</v>
      </c>
      <c r="AE80" s="51"/>
      <c r="AF80" s="48"/>
      <c r="AG80" s="49">
        <f ca="1">SUMIFS(rec.uni[2027-06-01],
INDIRECT("rec.uni[natureza]"),"pro.soluto",
INDIRECT("rec.uni[empresa]"),AG$6)</f>
        <v>0</v>
      </c>
      <c r="AH80" s="38"/>
      <c r="AI80" s="51"/>
      <c r="AJ80" s="51"/>
      <c r="AK80" s="49">
        <f ca="1">SUMIFS(rec.uni[2027-06-01],
INDIRECT("rec.uni[natureza]"),"taxa.extra",
INDIRECT("rec.uni[empresa]"),AK$6)</f>
        <v>0</v>
      </c>
      <c r="AL80" s="51"/>
      <c r="AM80" s="39"/>
      <c r="AN80" s="49">
        <f ca="1">SUMIFS(rec.uni[2027-06-01],
INDIRECT("rec.uni[natureza]"),"pro.soluto",
INDIRECT("rec.uni[empresa]"),AN$6)</f>
        <v>0</v>
      </c>
      <c r="AO80" s="49">
        <f ca="1">SUMIFS(rec.uni[2027-06-01],
INDIRECT("rec.uni[natureza]"),"taxa.extra",
INDIRECT("rec.uni[empresa]"),AO$6)</f>
        <v>0</v>
      </c>
      <c r="AP80" s="140"/>
    </row>
    <row r="81" spans="1:42" x14ac:dyDescent="0.25">
      <c r="A81" s="47">
        <v>46569</v>
      </c>
      <c r="B81" s="39"/>
      <c r="C81" s="49">
        <f ca="1">SUMIFS(rec.uni[2027-07-01],
INDIRECT("rec.uni[natureza]"),"pro.soluto",
INDIRECT("rec.uni[empresa]"),C$6)</f>
        <v>0</v>
      </c>
      <c r="D81" s="38"/>
      <c r="E81" s="51"/>
      <c r="F81" s="51"/>
      <c r="G81" s="49">
        <f ca="1">SUMIFS(rec.uni[2027-07-01],
INDIRECT("rec.uni[natureza]"),"taxa.extra",
INDIRECT("rec.uni[empresa]"),G$6)</f>
        <v>0</v>
      </c>
      <c r="H81" s="51"/>
      <c r="I81" s="39"/>
      <c r="J81" s="49">
        <f ca="1">SUMIFS(rec.uni[2027-07-01],
INDIRECT("rec.uni[natureza]"),"pro.soluto",
INDIRECT("rec.uni[empresa]"),J$6)</f>
        <v>0</v>
      </c>
      <c r="K81" s="38"/>
      <c r="L81" s="51"/>
      <c r="M81" s="51"/>
      <c r="N81" s="49">
        <f ca="1">SUMIFS(rec.uni[2027-07-01],
INDIRECT("rec.uni[natureza]"),"taxa.extra",
INDIRECT("rec.uni[empresa]"),N$6)</f>
        <v>0</v>
      </c>
      <c r="O81" s="51"/>
      <c r="P81" s="39"/>
      <c r="Q81" s="49">
        <f ca="1">SUMIFS(rec.uni[2027-07-01],
INDIRECT("rec.uni[natureza]"),"pro.soluto",
INDIRECT("rec.uni[empresa]"),Q$6)</f>
        <v>0</v>
      </c>
      <c r="R81" s="38"/>
      <c r="S81" s="51"/>
      <c r="T81" s="51"/>
      <c r="U81" s="49">
        <f ca="1">SUMIFS(rec.uni[2027-07-01],
INDIRECT("rec.uni[natureza]"),"taxa.extra",
INDIRECT("rec.uni[empresa]"),U$6)</f>
        <v>0</v>
      </c>
      <c r="V81" s="51"/>
      <c r="W81" s="39"/>
      <c r="X81" s="49">
        <f ca="1">SUMIFS(rec.uni[2027-07-01],
INDIRECT("rec.uni[natureza]"),"pro.soluto",
INDIRECT("rec.uni[empresa]"),X$6)</f>
        <v>0</v>
      </c>
      <c r="Y81" s="49">
        <f ca="1">SUMIFS(rec.uni[2027-07-01],
INDIRECT("rec.uni[natureza]"),"taxa.extra",
INDIRECT("rec.uni[empresa]"),Y$6)</f>
        <v>0</v>
      </c>
      <c r="Z81" s="51"/>
      <c r="AA81" s="39"/>
      <c r="AB81" s="49">
        <f ca="1">SUMIFS(rec.uni[2027-07-01],
INDIRECT("rec.uni[natureza]"),"pro.soluto",
INDIRECT("rec.uni[empresa]"),AB$6)</f>
        <v>0</v>
      </c>
      <c r="AC81" s="51">
        <f ca="1">SUMIFS(rec.uni[2027-07-01],
INDIRECT("rec.uni[natureza]"),"parcela.fin.total.ik",
INDIRECT("rec.uni[empresa]"),AC$6)</f>
        <v>0</v>
      </c>
      <c r="AD81" s="49">
        <f ca="1">SUMIFS(rec.uni[2027-07-01],
INDIRECT("rec.uni[natureza]"),"taxa.extra",
INDIRECT("rec.uni[empresa]"),AD$6)</f>
        <v>0</v>
      </c>
      <c r="AE81" s="51"/>
      <c r="AF81" s="48"/>
      <c r="AG81" s="49">
        <f ca="1">SUMIFS(rec.uni[2027-07-01],
INDIRECT("rec.uni[natureza]"),"pro.soluto",
INDIRECT("rec.uni[empresa]"),AG$6)</f>
        <v>0</v>
      </c>
      <c r="AH81" s="38"/>
      <c r="AI81" s="51"/>
      <c r="AJ81" s="51"/>
      <c r="AK81" s="49">
        <f ca="1">SUMIFS(rec.uni[2027-07-01],
INDIRECT("rec.uni[natureza]"),"taxa.extra",
INDIRECT("rec.uni[empresa]"),AK$6)</f>
        <v>0</v>
      </c>
      <c r="AL81" s="51"/>
      <c r="AM81" s="39"/>
      <c r="AN81" s="49">
        <f ca="1">SUMIFS(rec.uni[2027-07-01],
INDIRECT("rec.uni[natureza]"),"pro.soluto",
INDIRECT("rec.uni[empresa]"),AN$6)</f>
        <v>0</v>
      </c>
      <c r="AO81" s="49">
        <f ca="1">SUMIFS(rec.uni[2027-07-01],
INDIRECT("rec.uni[natureza]"),"taxa.extra",
INDIRECT("rec.uni[empresa]"),AO$6)</f>
        <v>0</v>
      </c>
      <c r="AP81" s="140"/>
    </row>
    <row r="82" spans="1:42" x14ac:dyDescent="0.25">
      <c r="A82" s="47">
        <v>46600</v>
      </c>
      <c r="B82" s="39"/>
      <c r="C82" s="49">
        <f ca="1">SUMIFS(rec.uni[2027-08-01],
INDIRECT("rec.uni[natureza]"),"pro.soluto",
INDIRECT("rec.uni[empresa]"),C$6)</f>
        <v>0</v>
      </c>
      <c r="D82" s="38"/>
      <c r="E82" s="51"/>
      <c r="F82" s="51"/>
      <c r="G82" s="49">
        <f ca="1">SUMIFS(rec.uni[2027-08-01],
INDIRECT("rec.uni[natureza]"),"taxa.extra",
INDIRECT("rec.uni[empresa]"),G$6)</f>
        <v>0</v>
      </c>
      <c r="H82" s="51"/>
      <c r="I82" s="39"/>
      <c r="J82" s="49">
        <f ca="1">SUMIFS(rec.uni[2027-08-01],
INDIRECT("rec.uni[natureza]"),"pro.soluto",
INDIRECT("rec.uni[empresa]"),J$6)</f>
        <v>0</v>
      </c>
      <c r="K82" s="38"/>
      <c r="L82" s="51"/>
      <c r="M82" s="51"/>
      <c r="N82" s="49">
        <f ca="1">SUMIFS(rec.uni[2027-08-01],
INDIRECT("rec.uni[natureza]"),"taxa.extra",
INDIRECT("rec.uni[empresa]"),N$6)</f>
        <v>0</v>
      </c>
      <c r="O82" s="51"/>
      <c r="P82" s="39"/>
      <c r="Q82" s="49">
        <f ca="1">SUMIFS(rec.uni[2027-08-01],
INDIRECT("rec.uni[natureza]"),"pro.soluto",
INDIRECT("rec.uni[empresa]"),Q$6)</f>
        <v>0</v>
      </c>
      <c r="R82" s="38"/>
      <c r="S82" s="51"/>
      <c r="T82" s="51"/>
      <c r="U82" s="49">
        <f ca="1">SUMIFS(rec.uni[2027-08-01],
INDIRECT("rec.uni[natureza]"),"taxa.extra",
INDIRECT("rec.uni[empresa]"),U$6)</f>
        <v>0</v>
      </c>
      <c r="V82" s="51"/>
      <c r="W82" s="39"/>
      <c r="X82" s="49">
        <f ca="1">SUMIFS(rec.uni[2027-08-01],
INDIRECT("rec.uni[natureza]"),"pro.soluto",
INDIRECT("rec.uni[empresa]"),X$6)</f>
        <v>0</v>
      </c>
      <c r="Y82" s="49">
        <f ca="1">SUMIFS(rec.uni[2027-08-01],
INDIRECT("rec.uni[natureza]"),"taxa.extra",
INDIRECT("rec.uni[empresa]"),Y$6)</f>
        <v>0</v>
      </c>
      <c r="Z82" s="51"/>
      <c r="AA82" s="39"/>
      <c r="AB82" s="49">
        <f ca="1">SUMIFS(rec.uni[2027-08-01],
INDIRECT("rec.uni[natureza]"),"pro.soluto",
INDIRECT("rec.uni[empresa]"),AB$6)</f>
        <v>0</v>
      </c>
      <c r="AC82" s="51">
        <f ca="1">SUMIFS(rec.uni[2027-08-01],
INDIRECT("rec.uni[natureza]"),"parcela.fin.total.ik",
INDIRECT("rec.uni[empresa]"),AC$6)</f>
        <v>0</v>
      </c>
      <c r="AD82" s="49">
        <f ca="1">SUMIFS(rec.uni[2027-08-01],
INDIRECT("rec.uni[natureza]"),"taxa.extra",
INDIRECT("rec.uni[empresa]"),AD$6)</f>
        <v>0</v>
      </c>
      <c r="AE82" s="51"/>
      <c r="AF82" s="48"/>
      <c r="AG82" s="49">
        <f ca="1">SUMIFS(rec.uni[2027-08-01],
INDIRECT("rec.uni[natureza]"),"pro.soluto",
INDIRECT("rec.uni[empresa]"),AG$6)</f>
        <v>0</v>
      </c>
      <c r="AH82" s="38"/>
      <c r="AI82" s="51"/>
      <c r="AJ82" s="51"/>
      <c r="AK82" s="49">
        <f ca="1">SUMIFS(rec.uni[2027-08-01],
INDIRECT("rec.uni[natureza]"),"taxa.extra",
INDIRECT("rec.uni[empresa]"),AK$6)</f>
        <v>0</v>
      </c>
      <c r="AL82" s="51"/>
      <c r="AM82" s="39"/>
      <c r="AN82" s="49">
        <f ca="1">SUMIFS(rec.uni[2027-08-01],
INDIRECT("rec.uni[natureza]"),"pro.soluto",
INDIRECT("rec.uni[empresa]"),AN$6)</f>
        <v>0</v>
      </c>
      <c r="AO82" s="49">
        <f ca="1">SUMIFS(rec.uni[2027-08-01],
INDIRECT("rec.uni[natureza]"),"taxa.extra",
INDIRECT("rec.uni[empresa]"),AO$6)</f>
        <v>0</v>
      </c>
      <c r="AP82" s="140"/>
    </row>
    <row r="83" spans="1:42" x14ac:dyDescent="0.25">
      <c r="A83" s="47">
        <v>46631</v>
      </c>
      <c r="B83" s="39"/>
      <c r="C83" s="49">
        <f ca="1">SUMIFS(rec.uni[2027-09-01],
INDIRECT("rec.uni[natureza]"),"pro.soluto",
INDIRECT("rec.uni[empresa]"),C$6)</f>
        <v>0</v>
      </c>
      <c r="D83" s="38"/>
      <c r="E83" s="51"/>
      <c r="F83" s="51"/>
      <c r="G83" s="49">
        <f ca="1">SUMIFS(rec.uni[2027-09-01],
INDIRECT("rec.uni[natureza]"),"taxa.extra",
INDIRECT("rec.uni[empresa]"),G$6)</f>
        <v>0</v>
      </c>
      <c r="H83" s="51"/>
      <c r="I83" s="39"/>
      <c r="J83" s="49">
        <f ca="1">SUMIFS(rec.uni[2027-09-01],
INDIRECT("rec.uni[natureza]"),"pro.soluto",
INDIRECT("rec.uni[empresa]"),J$6)</f>
        <v>0</v>
      </c>
      <c r="K83" s="38"/>
      <c r="L83" s="51"/>
      <c r="M83" s="51"/>
      <c r="N83" s="49">
        <f ca="1">SUMIFS(rec.uni[2027-09-01],
INDIRECT("rec.uni[natureza]"),"taxa.extra",
INDIRECT("rec.uni[empresa]"),N$6)</f>
        <v>0</v>
      </c>
      <c r="O83" s="51"/>
      <c r="P83" s="39"/>
      <c r="Q83" s="49">
        <f ca="1">SUMIFS(rec.uni[2027-09-01],
INDIRECT("rec.uni[natureza]"),"pro.soluto",
INDIRECT("rec.uni[empresa]"),Q$6)</f>
        <v>0</v>
      </c>
      <c r="R83" s="38"/>
      <c r="S83" s="51"/>
      <c r="T83" s="51"/>
      <c r="U83" s="49">
        <f ca="1">SUMIFS(rec.uni[2027-09-01],
INDIRECT("rec.uni[natureza]"),"taxa.extra",
INDIRECT("rec.uni[empresa]"),U$6)</f>
        <v>0</v>
      </c>
      <c r="V83" s="51"/>
      <c r="W83" s="39"/>
      <c r="X83" s="49">
        <f ca="1">SUMIFS(rec.uni[2027-09-01],
INDIRECT("rec.uni[natureza]"),"pro.soluto",
INDIRECT("rec.uni[empresa]"),X$6)</f>
        <v>0</v>
      </c>
      <c r="Y83" s="49">
        <f ca="1">SUMIFS(rec.uni[2027-09-01],
INDIRECT("rec.uni[natureza]"),"taxa.extra",
INDIRECT("rec.uni[empresa]"),Y$6)</f>
        <v>0</v>
      </c>
      <c r="Z83" s="51"/>
      <c r="AA83" s="39"/>
      <c r="AB83" s="49">
        <f ca="1">SUMIFS(rec.uni[2027-09-01],
INDIRECT("rec.uni[natureza]"),"pro.soluto",
INDIRECT("rec.uni[empresa]"),AB$6)</f>
        <v>0</v>
      </c>
      <c r="AC83" s="51">
        <f ca="1">SUMIFS(rec.uni[2027-09-01],
INDIRECT("rec.uni[natureza]"),"parcela.fin.total.ik",
INDIRECT("rec.uni[empresa]"),AC$6)</f>
        <v>0</v>
      </c>
      <c r="AD83" s="49">
        <f ca="1">SUMIFS(rec.uni[2027-09-01],
INDIRECT("rec.uni[natureza]"),"taxa.extra",
INDIRECT("rec.uni[empresa]"),AD$6)</f>
        <v>0</v>
      </c>
      <c r="AE83" s="51"/>
      <c r="AF83" s="48"/>
      <c r="AG83" s="49">
        <f ca="1">SUMIFS(rec.uni[2027-09-01],
INDIRECT("rec.uni[natureza]"),"pro.soluto",
INDIRECT("rec.uni[empresa]"),AG$6)</f>
        <v>0</v>
      </c>
      <c r="AH83" s="38"/>
      <c r="AI83" s="51"/>
      <c r="AJ83" s="51"/>
      <c r="AK83" s="49">
        <f ca="1">SUMIFS(rec.uni[2027-09-01],
INDIRECT("rec.uni[natureza]"),"taxa.extra",
INDIRECT("rec.uni[empresa]"),AK$6)</f>
        <v>0</v>
      </c>
      <c r="AL83" s="51"/>
      <c r="AM83" s="39"/>
      <c r="AN83" s="49">
        <f ca="1">SUMIFS(rec.uni[2027-09-01],
INDIRECT("rec.uni[natureza]"),"pro.soluto",
INDIRECT("rec.uni[empresa]"),AN$6)</f>
        <v>0</v>
      </c>
      <c r="AO83" s="49">
        <f ca="1">SUMIFS(rec.uni[2027-09-01],
INDIRECT("rec.uni[natureza]"),"taxa.extra",
INDIRECT("rec.uni[empresa]"),AO$6)</f>
        <v>0</v>
      </c>
      <c r="AP83" s="140"/>
    </row>
    <row r="84" spans="1:42" x14ac:dyDescent="0.25">
      <c r="A84" s="47">
        <v>46661</v>
      </c>
      <c r="B84" s="39"/>
      <c r="C84" s="49">
        <f ca="1">SUMIFS(rec.uni[2027-10-01],
INDIRECT("rec.uni[natureza]"),"pro.soluto",
INDIRECT("rec.uni[empresa]"),C$6)</f>
        <v>0</v>
      </c>
      <c r="D84" s="38"/>
      <c r="E84" s="51"/>
      <c r="F84" s="51"/>
      <c r="G84" s="49">
        <f ca="1">SUMIFS(rec.uni[2027-10-01],
INDIRECT("rec.uni[natureza]"),"taxa.extra",
INDIRECT("rec.uni[empresa]"),G$6)</f>
        <v>0</v>
      </c>
      <c r="H84" s="51"/>
      <c r="I84" s="39"/>
      <c r="J84" s="49">
        <f ca="1">SUMIFS(rec.uni[2027-10-01],
INDIRECT("rec.uni[natureza]"),"pro.soluto",
INDIRECT("rec.uni[empresa]"),J$6)</f>
        <v>0</v>
      </c>
      <c r="K84" s="38"/>
      <c r="L84" s="51"/>
      <c r="M84" s="51"/>
      <c r="N84" s="49">
        <f ca="1">SUMIFS(rec.uni[2027-10-01],
INDIRECT("rec.uni[natureza]"),"taxa.extra",
INDIRECT("rec.uni[empresa]"),N$6)</f>
        <v>0</v>
      </c>
      <c r="O84" s="51"/>
      <c r="P84" s="39"/>
      <c r="Q84" s="49">
        <f ca="1">SUMIFS(rec.uni[2027-10-01],
INDIRECT("rec.uni[natureza]"),"pro.soluto",
INDIRECT("rec.uni[empresa]"),Q$6)</f>
        <v>0</v>
      </c>
      <c r="R84" s="38"/>
      <c r="S84" s="51"/>
      <c r="T84" s="51"/>
      <c r="U84" s="49">
        <f ca="1">SUMIFS(rec.uni[2027-10-01],
INDIRECT("rec.uni[natureza]"),"taxa.extra",
INDIRECT("rec.uni[empresa]"),U$6)</f>
        <v>0</v>
      </c>
      <c r="V84" s="51"/>
      <c r="W84" s="39"/>
      <c r="X84" s="49">
        <f ca="1">SUMIFS(rec.uni[2027-10-01],
INDIRECT("rec.uni[natureza]"),"pro.soluto",
INDIRECT("rec.uni[empresa]"),X$6)</f>
        <v>0</v>
      </c>
      <c r="Y84" s="49">
        <f ca="1">SUMIFS(rec.uni[2027-10-01],
INDIRECT("rec.uni[natureza]"),"taxa.extra",
INDIRECT("rec.uni[empresa]"),Y$6)</f>
        <v>0</v>
      </c>
      <c r="Z84" s="51"/>
      <c r="AA84" s="39"/>
      <c r="AB84" s="49">
        <f ca="1">SUMIFS(rec.uni[2027-10-01],
INDIRECT("rec.uni[natureza]"),"pro.soluto",
INDIRECT("rec.uni[empresa]"),AB$6)</f>
        <v>0</v>
      </c>
      <c r="AC84" s="51">
        <f ca="1">SUMIFS(rec.uni[2027-10-01],
INDIRECT("rec.uni[natureza]"),"parcela.fin.total.ik",
INDIRECT("rec.uni[empresa]"),AC$6)</f>
        <v>0</v>
      </c>
      <c r="AD84" s="49">
        <f ca="1">SUMIFS(rec.uni[2027-10-01],
INDIRECT("rec.uni[natureza]"),"taxa.extra",
INDIRECT("rec.uni[empresa]"),AD$6)</f>
        <v>0</v>
      </c>
      <c r="AE84" s="51"/>
      <c r="AF84" s="48"/>
      <c r="AG84" s="49">
        <f ca="1">SUMIFS(rec.uni[2027-10-01],
INDIRECT("rec.uni[natureza]"),"pro.soluto",
INDIRECT("rec.uni[empresa]"),AG$6)</f>
        <v>0</v>
      </c>
      <c r="AH84" s="38"/>
      <c r="AI84" s="51"/>
      <c r="AJ84" s="51"/>
      <c r="AK84" s="49">
        <f ca="1">SUMIFS(rec.uni[2027-10-01],
INDIRECT("rec.uni[natureza]"),"taxa.extra",
INDIRECT("rec.uni[empresa]"),AK$6)</f>
        <v>0</v>
      </c>
      <c r="AL84" s="51"/>
      <c r="AM84" s="39"/>
      <c r="AN84" s="49">
        <f ca="1">SUMIFS(rec.uni[2027-10-01],
INDIRECT("rec.uni[natureza]"),"pro.soluto",
INDIRECT("rec.uni[empresa]"),AN$6)</f>
        <v>0</v>
      </c>
      <c r="AO84" s="49">
        <f ca="1">SUMIFS(rec.uni[2027-10-01],
INDIRECT("rec.uni[natureza]"),"taxa.extra",
INDIRECT("rec.uni[empresa]"),AO$6)</f>
        <v>0</v>
      </c>
      <c r="AP84" s="140"/>
    </row>
    <row r="85" spans="1:42" x14ac:dyDescent="0.25">
      <c r="A85" s="47">
        <v>46692</v>
      </c>
      <c r="B85" s="39"/>
      <c r="C85" s="49">
        <f ca="1">SUMIFS(rec.uni[2027-11-01],
INDIRECT("rec.uni[natureza]"),"pro.soluto",
INDIRECT("rec.uni[empresa]"),C$6)</f>
        <v>0</v>
      </c>
      <c r="D85" s="38"/>
      <c r="E85" s="51"/>
      <c r="F85" s="51"/>
      <c r="G85" s="49">
        <f ca="1">SUMIFS(rec.uni[2027-11-01],
INDIRECT("rec.uni[natureza]"),"taxa.extra",
INDIRECT("rec.uni[empresa]"),G$6)</f>
        <v>0</v>
      </c>
      <c r="H85" s="51"/>
      <c r="I85" s="39"/>
      <c r="J85" s="49">
        <f ca="1">SUMIFS(rec.uni[2027-11-01],
INDIRECT("rec.uni[natureza]"),"pro.soluto",
INDIRECT("rec.uni[empresa]"),J$6)</f>
        <v>0</v>
      </c>
      <c r="K85" s="38"/>
      <c r="L85" s="51"/>
      <c r="M85" s="51"/>
      <c r="N85" s="49">
        <f ca="1">SUMIFS(rec.uni[2027-11-01],
INDIRECT("rec.uni[natureza]"),"taxa.extra",
INDIRECT("rec.uni[empresa]"),N$6)</f>
        <v>0</v>
      </c>
      <c r="O85" s="51"/>
      <c r="P85" s="39"/>
      <c r="Q85" s="49">
        <f ca="1">SUMIFS(rec.uni[2027-11-01],
INDIRECT("rec.uni[natureza]"),"pro.soluto",
INDIRECT("rec.uni[empresa]"),Q$6)</f>
        <v>0</v>
      </c>
      <c r="R85" s="38"/>
      <c r="S85" s="51"/>
      <c r="T85" s="51"/>
      <c r="U85" s="49">
        <f ca="1">SUMIFS(rec.uni[2027-11-01],
INDIRECT("rec.uni[natureza]"),"taxa.extra",
INDIRECT("rec.uni[empresa]"),U$6)</f>
        <v>0</v>
      </c>
      <c r="V85" s="51"/>
      <c r="W85" s="39"/>
      <c r="X85" s="49">
        <f ca="1">SUMIFS(rec.uni[2027-11-01],
INDIRECT("rec.uni[natureza]"),"pro.soluto",
INDIRECT("rec.uni[empresa]"),X$6)</f>
        <v>0</v>
      </c>
      <c r="Y85" s="49">
        <f ca="1">SUMIFS(rec.uni[2027-11-01],
INDIRECT("rec.uni[natureza]"),"taxa.extra",
INDIRECT("rec.uni[empresa]"),Y$6)</f>
        <v>0</v>
      </c>
      <c r="Z85" s="51"/>
      <c r="AA85" s="39"/>
      <c r="AB85" s="49">
        <f ca="1">SUMIFS(rec.uni[2027-11-01],
INDIRECT("rec.uni[natureza]"),"pro.soluto",
INDIRECT("rec.uni[empresa]"),AB$6)</f>
        <v>0</v>
      </c>
      <c r="AC85" s="51">
        <f ca="1">SUMIFS(rec.uni[2027-11-01],
INDIRECT("rec.uni[natureza]"),"parcela.fin.total.ik",
INDIRECT("rec.uni[empresa]"),AC$6)</f>
        <v>0</v>
      </c>
      <c r="AD85" s="49">
        <f ca="1">SUMIFS(rec.uni[2027-11-01],
INDIRECT("rec.uni[natureza]"),"taxa.extra",
INDIRECT("rec.uni[empresa]"),AD$6)</f>
        <v>0</v>
      </c>
      <c r="AE85" s="51"/>
      <c r="AF85" s="48"/>
      <c r="AG85" s="49">
        <f ca="1">SUMIFS(rec.uni[2027-11-01],
INDIRECT("rec.uni[natureza]"),"pro.soluto",
INDIRECT("rec.uni[empresa]"),AG$6)</f>
        <v>0</v>
      </c>
      <c r="AH85" s="38"/>
      <c r="AI85" s="51"/>
      <c r="AJ85" s="51"/>
      <c r="AK85" s="49">
        <f ca="1">SUMIFS(rec.uni[2027-11-01],
INDIRECT("rec.uni[natureza]"),"taxa.extra",
INDIRECT("rec.uni[empresa]"),AK$6)</f>
        <v>0</v>
      </c>
      <c r="AL85" s="51"/>
      <c r="AM85" s="39"/>
      <c r="AN85" s="49">
        <f ca="1">SUMIFS(rec.uni[2027-11-01],
INDIRECT("rec.uni[natureza]"),"pro.soluto",
INDIRECT("rec.uni[empresa]"),AN$6)</f>
        <v>0</v>
      </c>
      <c r="AO85" s="49">
        <f ca="1">SUMIFS(rec.uni[2027-11-01],
INDIRECT("rec.uni[natureza]"),"taxa.extra",
INDIRECT("rec.uni[empresa]"),AO$6)</f>
        <v>0</v>
      </c>
      <c r="AP85" s="140"/>
    </row>
    <row r="86" spans="1:42" x14ac:dyDescent="0.25">
      <c r="A86" s="47">
        <v>46722</v>
      </c>
      <c r="B86" s="39"/>
      <c r="C86" s="49">
        <f ca="1">SUMIFS(rec.uni[2027-12-01],
INDIRECT("rec.uni[natureza]"),"pro.soluto",
INDIRECT("rec.uni[empresa]"),C$6)</f>
        <v>0</v>
      </c>
      <c r="D86" s="38"/>
      <c r="E86" s="51"/>
      <c r="F86" s="51"/>
      <c r="G86" s="49">
        <f ca="1">SUMIFS(rec.uni[2027-12-01],
INDIRECT("rec.uni[natureza]"),"taxa.extra",
INDIRECT("rec.uni[empresa]"),G$6)</f>
        <v>0</v>
      </c>
      <c r="H86" s="51"/>
      <c r="I86" s="39"/>
      <c r="J86" s="49">
        <f ca="1">SUMIFS(rec.uni[2027-12-01],
INDIRECT("rec.uni[natureza]"),"pro.soluto",
INDIRECT("rec.uni[empresa]"),J$6)</f>
        <v>0</v>
      </c>
      <c r="K86" s="38"/>
      <c r="L86" s="51"/>
      <c r="M86" s="51"/>
      <c r="N86" s="49">
        <f ca="1">SUMIFS(rec.uni[2027-12-01],
INDIRECT("rec.uni[natureza]"),"taxa.extra",
INDIRECT("rec.uni[empresa]"),N$6)</f>
        <v>0</v>
      </c>
      <c r="O86" s="51"/>
      <c r="P86" s="39"/>
      <c r="Q86" s="49">
        <f ca="1">SUMIFS(rec.uni[2027-12-01],
INDIRECT("rec.uni[natureza]"),"pro.soluto",
INDIRECT("rec.uni[empresa]"),Q$6)</f>
        <v>0</v>
      </c>
      <c r="R86" s="38"/>
      <c r="S86" s="51"/>
      <c r="T86" s="51"/>
      <c r="U86" s="49">
        <f ca="1">SUMIFS(rec.uni[2027-12-01],
INDIRECT("rec.uni[natureza]"),"taxa.extra",
INDIRECT("rec.uni[empresa]"),U$6)</f>
        <v>0</v>
      </c>
      <c r="V86" s="51"/>
      <c r="W86" s="39"/>
      <c r="X86" s="49">
        <f ca="1">SUMIFS(rec.uni[2027-12-01],
INDIRECT("rec.uni[natureza]"),"pro.soluto",
INDIRECT("rec.uni[empresa]"),X$6)</f>
        <v>0</v>
      </c>
      <c r="Y86" s="49">
        <f ca="1">SUMIFS(rec.uni[2027-12-01],
INDIRECT("rec.uni[natureza]"),"taxa.extra",
INDIRECT("rec.uni[empresa]"),Y$6)</f>
        <v>0</v>
      </c>
      <c r="Z86" s="51"/>
      <c r="AA86" s="39"/>
      <c r="AB86" s="49">
        <f ca="1">SUMIFS(rec.uni[2027-12-01],
INDIRECT("rec.uni[natureza]"),"pro.soluto",
INDIRECT("rec.uni[empresa]"),AB$6)</f>
        <v>0</v>
      </c>
      <c r="AC86" s="51">
        <f ca="1">SUMIFS(rec.uni[2027-12-01],
INDIRECT("rec.uni[natureza]"),"parcela.fin.total.ik",
INDIRECT("rec.uni[empresa]"),AC$6)</f>
        <v>0</v>
      </c>
      <c r="AD86" s="49">
        <f ca="1">SUMIFS(rec.uni[2027-12-01],
INDIRECT("rec.uni[natureza]"),"taxa.extra",
INDIRECT("rec.uni[empresa]"),AD$6)</f>
        <v>0</v>
      </c>
      <c r="AE86" s="51"/>
      <c r="AF86" s="48"/>
      <c r="AG86" s="49">
        <f ca="1">SUMIFS(rec.uni[2027-12-01],
INDIRECT("rec.uni[natureza]"),"pro.soluto",
INDIRECT("rec.uni[empresa]"),AG$6)</f>
        <v>0</v>
      </c>
      <c r="AH86" s="38"/>
      <c r="AI86" s="51"/>
      <c r="AJ86" s="51"/>
      <c r="AK86" s="49">
        <f ca="1">SUMIFS(rec.uni[2027-12-01],
INDIRECT("rec.uni[natureza]"),"taxa.extra",
INDIRECT("rec.uni[empresa]"),AK$6)</f>
        <v>0</v>
      </c>
      <c r="AL86" s="51"/>
      <c r="AM86" s="39"/>
      <c r="AN86" s="49">
        <f ca="1">SUMIFS(rec.uni[2027-12-01],
INDIRECT("rec.uni[natureza]"),"pro.soluto",
INDIRECT("rec.uni[empresa]"),AN$6)</f>
        <v>0</v>
      </c>
      <c r="AO86" s="49">
        <f ca="1">SUMIFS(rec.uni[2027-12-01],
INDIRECT("rec.uni[natureza]"),"taxa.extra",
INDIRECT("rec.uni[empresa]"),AO$6)</f>
        <v>0</v>
      </c>
      <c r="AP86" s="140"/>
    </row>
    <row r="87" spans="1:42" x14ac:dyDescent="0.25">
      <c r="A87" s="47">
        <v>46753</v>
      </c>
      <c r="B87" s="39"/>
      <c r="C87" s="49">
        <f ca="1">SUMIFS(rec.uni[2028-01-01],
INDIRECT("rec.uni[natureza]"),"pro.soluto",
INDIRECT("rec.uni[empresa]"),C$6)</f>
        <v>0</v>
      </c>
      <c r="D87" s="38"/>
      <c r="E87" s="51"/>
      <c r="F87" s="51"/>
      <c r="G87" s="49">
        <f ca="1">SUMIFS(rec.uni[2028-01-01],
INDIRECT("rec.uni[natureza]"),"taxa.extra",
INDIRECT("rec.uni[empresa]"),G$6)</f>
        <v>0</v>
      </c>
      <c r="H87" s="51"/>
      <c r="I87" s="39"/>
      <c r="J87" s="49">
        <f ca="1">SUMIFS(rec.uni[2028-01-01],
INDIRECT("rec.uni[natureza]"),"pro.soluto",
INDIRECT("rec.uni[empresa]"),J$6)</f>
        <v>0</v>
      </c>
      <c r="K87" s="38"/>
      <c r="L87" s="51"/>
      <c r="M87" s="51"/>
      <c r="N87" s="49">
        <f ca="1">SUMIFS(rec.uni[2028-01-01],
INDIRECT("rec.uni[natureza]"),"taxa.extra",
INDIRECT("rec.uni[empresa]"),N$6)</f>
        <v>0</v>
      </c>
      <c r="O87" s="51"/>
      <c r="P87" s="39"/>
      <c r="Q87" s="49">
        <f ca="1">SUMIFS(rec.uni[2028-01-01],
INDIRECT("rec.uni[natureza]"),"pro.soluto",
INDIRECT("rec.uni[empresa]"),Q$6)</f>
        <v>0</v>
      </c>
      <c r="R87" s="38"/>
      <c r="S87" s="51"/>
      <c r="T87" s="51"/>
      <c r="U87" s="49">
        <f ca="1">SUMIFS(rec.uni[2028-01-01],
INDIRECT("rec.uni[natureza]"),"taxa.extra",
INDIRECT("rec.uni[empresa]"),U$6)</f>
        <v>0</v>
      </c>
      <c r="V87" s="51"/>
      <c r="W87" s="39"/>
      <c r="X87" s="49">
        <f ca="1">SUMIFS(rec.uni[2028-01-01],
INDIRECT("rec.uni[natureza]"),"pro.soluto",
INDIRECT("rec.uni[empresa]"),X$6)</f>
        <v>0</v>
      </c>
      <c r="Y87" s="49">
        <f ca="1">SUMIFS(rec.uni[2028-01-01],
INDIRECT("rec.uni[natureza]"),"taxa.extra",
INDIRECT("rec.uni[empresa]"),Y$6)</f>
        <v>0</v>
      </c>
      <c r="Z87" s="51"/>
      <c r="AA87" s="39"/>
      <c r="AB87" s="49">
        <f ca="1">SUMIFS(rec.uni[2028-01-01],
INDIRECT("rec.uni[natureza]"),"pro.soluto",
INDIRECT("rec.uni[empresa]"),AB$6)</f>
        <v>0</v>
      </c>
      <c r="AC87" s="51">
        <f ca="1">SUMIFS(rec.uni[2028-01-01],
INDIRECT("rec.uni[natureza]"),"parcela.fin.total.ik",
INDIRECT("rec.uni[empresa]"),AC$6)</f>
        <v>0</v>
      </c>
      <c r="AD87" s="49">
        <f ca="1">SUMIFS(rec.uni[2028-01-01],
INDIRECT("rec.uni[natureza]"),"taxa.extra",
INDIRECT("rec.uni[empresa]"),AD$6)</f>
        <v>0</v>
      </c>
      <c r="AE87" s="51"/>
      <c r="AF87" s="48"/>
      <c r="AG87" s="49">
        <f ca="1">SUMIFS(rec.uni[2028-01-01],
INDIRECT("rec.uni[natureza]"),"pro.soluto",
INDIRECT("rec.uni[empresa]"),AG$6)</f>
        <v>0</v>
      </c>
      <c r="AH87" s="38"/>
      <c r="AI87" s="51"/>
      <c r="AJ87" s="51"/>
      <c r="AK87" s="49">
        <f ca="1">SUMIFS(rec.uni[2028-01-01],
INDIRECT("rec.uni[natureza]"),"taxa.extra",
INDIRECT("rec.uni[empresa]"),AK$6)</f>
        <v>0</v>
      </c>
      <c r="AL87" s="51"/>
      <c r="AM87" s="39"/>
      <c r="AN87" s="49">
        <f ca="1">SUMIFS(rec.uni[2028-01-01],
INDIRECT("rec.uni[natureza]"),"pro.soluto",
INDIRECT("rec.uni[empresa]"),AN$6)</f>
        <v>0</v>
      </c>
      <c r="AO87" s="49">
        <f ca="1">SUMIFS(rec.uni[2028-01-01],
INDIRECT("rec.uni[natureza]"),"taxa.extra",
INDIRECT("rec.uni[empresa]"),AO$6)</f>
        <v>0</v>
      </c>
      <c r="AP87" s="140"/>
    </row>
    <row r="88" spans="1:42" x14ac:dyDescent="0.25">
      <c r="A88" s="47">
        <v>46784</v>
      </c>
      <c r="B88" s="39"/>
      <c r="C88" s="49">
        <f ca="1">SUMIFS(rec.uni[2028-02-01],
INDIRECT("rec.uni[natureza]"),"pro.soluto",
INDIRECT("rec.uni[empresa]"),C$6)</f>
        <v>0</v>
      </c>
      <c r="D88" s="38"/>
      <c r="E88" s="51"/>
      <c r="F88" s="51"/>
      <c r="G88" s="49">
        <f ca="1">SUMIFS(rec.uni[2028-02-01],
INDIRECT("rec.uni[natureza]"),"taxa.extra",
INDIRECT("rec.uni[empresa]"),G$6)</f>
        <v>0</v>
      </c>
      <c r="H88" s="51"/>
      <c r="I88" s="39"/>
      <c r="J88" s="49">
        <f ca="1">SUMIFS(rec.uni[2028-02-01],
INDIRECT("rec.uni[natureza]"),"pro.soluto",
INDIRECT("rec.uni[empresa]"),J$6)</f>
        <v>0</v>
      </c>
      <c r="K88" s="38"/>
      <c r="L88" s="51"/>
      <c r="M88" s="51"/>
      <c r="N88" s="49">
        <f ca="1">SUMIFS(rec.uni[2028-02-01],
INDIRECT("rec.uni[natureza]"),"taxa.extra",
INDIRECT("rec.uni[empresa]"),N$6)</f>
        <v>0</v>
      </c>
      <c r="O88" s="51"/>
      <c r="P88" s="39"/>
      <c r="Q88" s="49">
        <f ca="1">SUMIFS(rec.uni[2028-02-01],
INDIRECT("rec.uni[natureza]"),"pro.soluto",
INDIRECT("rec.uni[empresa]"),Q$6)</f>
        <v>0</v>
      </c>
      <c r="R88" s="38"/>
      <c r="S88" s="51"/>
      <c r="T88" s="51"/>
      <c r="U88" s="49">
        <f ca="1">SUMIFS(rec.uni[2028-02-01],
INDIRECT("rec.uni[natureza]"),"taxa.extra",
INDIRECT("rec.uni[empresa]"),U$6)</f>
        <v>0</v>
      </c>
      <c r="V88" s="51"/>
      <c r="W88" s="39"/>
      <c r="X88" s="49">
        <f ca="1">SUMIFS(rec.uni[2028-02-01],
INDIRECT("rec.uni[natureza]"),"pro.soluto",
INDIRECT("rec.uni[empresa]"),X$6)</f>
        <v>0</v>
      </c>
      <c r="Y88" s="49">
        <f ca="1">SUMIFS(rec.uni[2028-02-01],
INDIRECT("rec.uni[natureza]"),"taxa.extra",
INDIRECT("rec.uni[empresa]"),Y$6)</f>
        <v>0</v>
      </c>
      <c r="Z88" s="51"/>
      <c r="AA88" s="39"/>
      <c r="AB88" s="49">
        <f ca="1">SUMIFS(rec.uni[2028-02-01],
INDIRECT("rec.uni[natureza]"),"pro.soluto",
INDIRECT("rec.uni[empresa]"),AB$6)</f>
        <v>0</v>
      </c>
      <c r="AC88" s="51">
        <f ca="1">SUMIFS(rec.uni[2028-02-01],
INDIRECT("rec.uni[natureza]"),"parcela.fin.total.ik",
INDIRECT("rec.uni[empresa]"),AC$6)</f>
        <v>0</v>
      </c>
      <c r="AD88" s="49">
        <f ca="1">SUMIFS(rec.uni[2028-02-01],
INDIRECT("rec.uni[natureza]"),"taxa.extra",
INDIRECT("rec.uni[empresa]"),AD$6)</f>
        <v>0</v>
      </c>
      <c r="AE88" s="51"/>
      <c r="AF88" s="48"/>
      <c r="AG88" s="49">
        <f ca="1">SUMIFS(rec.uni[2028-02-01],
INDIRECT("rec.uni[natureza]"),"pro.soluto",
INDIRECT("rec.uni[empresa]"),AG$6)</f>
        <v>0</v>
      </c>
      <c r="AH88" s="38"/>
      <c r="AI88" s="51"/>
      <c r="AJ88" s="51"/>
      <c r="AK88" s="49">
        <f ca="1">SUMIFS(rec.uni[2028-02-01],
INDIRECT("rec.uni[natureza]"),"taxa.extra",
INDIRECT("rec.uni[empresa]"),AK$6)</f>
        <v>0</v>
      </c>
      <c r="AL88" s="51"/>
      <c r="AM88" s="39"/>
      <c r="AN88" s="49">
        <f ca="1">SUMIFS(rec.uni[2028-02-01],
INDIRECT("rec.uni[natureza]"),"pro.soluto",
INDIRECT("rec.uni[empresa]"),AN$6)</f>
        <v>0</v>
      </c>
      <c r="AO88" s="49">
        <f ca="1">SUMIFS(rec.uni[2028-02-01],
INDIRECT("rec.uni[natureza]"),"taxa.extra",
INDIRECT("rec.uni[empresa]"),AO$6)</f>
        <v>0</v>
      </c>
      <c r="AP88" s="140"/>
    </row>
    <row r="89" spans="1:42" x14ac:dyDescent="0.25">
      <c r="A89" s="47">
        <v>46813</v>
      </c>
      <c r="B89" s="39"/>
      <c r="C89" s="49">
        <f ca="1">SUMIFS(rec.uni[2028-03-01],
INDIRECT("rec.uni[natureza]"),"pro.soluto",
INDIRECT("rec.uni[empresa]"),C$6)</f>
        <v>0</v>
      </c>
      <c r="D89" s="38"/>
      <c r="E89" s="51"/>
      <c r="F89" s="51"/>
      <c r="G89" s="49">
        <f ca="1">SUMIFS(rec.uni[2028-03-01],
INDIRECT("rec.uni[natureza]"),"taxa.extra",
INDIRECT("rec.uni[empresa]"),G$6)</f>
        <v>0</v>
      </c>
      <c r="H89" s="51"/>
      <c r="I89" s="39"/>
      <c r="J89" s="49">
        <f ca="1">SUMIFS(rec.uni[2028-03-01],
INDIRECT("rec.uni[natureza]"),"pro.soluto",
INDIRECT("rec.uni[empresa]"),J$6)</f>
        <v>0</v>
      </c>
      <c r="K89" s="38"/>
      <c r="L89" s="51"/>
      <c r="M89" s="51"/>
      <c r="N89" s="49">
        <f ca="1">SUMIFS(rec.uni[2028-03-01],
INDIRECT("rec.uni[natureza]"),"taxa.extra",
INDIRECT("rec.uni[empresa]"),N$6)</f>
        <v>0</v>
      </c>
      <c r="O89" s="51"/>
      <c r="P89" s="39"/>
      <c r="Q89" s="49">
        <f ca="1">SUMIFS(rec.uni[2028-03-01],
INDIRECT("rec.uni[natureza]"),"pro.soluto",
INDIRECT("rec.uni[empresa]"),Q$6)</f>
        <v>0</v>
      </c>
      <c r="R89" s="38"/>
      <c r="S89" s="51"/>
      <c r="T89" s="51"/>
      <c r="U89" s="49">
        <f ca="1">SUMIFS(rec.uni[2028-03-01],
INDIRECT("rec.uni[natureza]"),"taxa.extra",
INDIRECT("rec.uni[empresa]"),U$6)</f>
        <v>0</v>
      </c>
      <c r="V89" s="51"/>
      <c r="W89" s="39"/>
      <c r="X89" s="49">
        <f ca="1">SUMIFS(rec.uni[2028-03-01],
INDIRECT("rec.uni[natureza]"),"pro.soluto",
INDIRECT("rec.uni[empresa]"),X$6)</f>
        <v>0</v>
      </c>
      <c r="Y89" s="49">
        <f ca="1">SUMIFS(rec.uni[2028-03-01],
INDIRECT("rec.uni[natureza]"),"taxa.extra",
INDIRECT("rec.uni[empresa]"),Y$6)</f>
        <v>0</v>
      </c>
      <c r="Z89" s="51"/>
      <c r="AA89" s="39"/>
      <c r="AB89" s="49">
        <f ca="1">SUMIFS(rec.uni[2028-03-01],
INDIRECT("rec.uni[natureza]"),"pro.soluto",
INDIRECT("rec.uni[empresa]"),AB$6)</f>
        <v>0</v>
      </c>
      <c r="AC89" s="51">
        <f ca="1">SUMIFS(rec.uni[2028-03-01],
INDIRECT("rec.uni[natureza]"),"parcela.fin.total.ik",
INDIRECT("rec.uni[empresa]"),AC$6)</f>
        <v>0</v>
      </c>
      <c r="AD89" s="49">
        <f ca="1">SUMIFS(rec.uni[2028-03-01],
INDIRECT("rec.uni[natureza]"),"taxa.extra",
INDIRECT("rec.uni[empresa]"),AD$6)</f>
        <v>0</v>
      </c>
      <c r="AE89" s="51"/>
      <c r="AF89" s="48"/>
      <c r="AG89" s="49">
        <f ca="1">SUMIFS(rec.uni[2028-03-01],
INDIRECT("rec.uni[natureza]"),"pro.soluto",
INDIRECT("rec.uni[empresa]"),AG$6)</f>
        <v>0</v>
      </c>
      <c r="AH89" s="38"/>
      <c r="AI89" s="51"/>
      <c r="AJ89" s="51"/>
      <c r="AK89" s="49">
        <f ca="1">SUMIFS(rec.uni[2028-03-01],
INDIRECT("rec.uni[natureza]"),"taxa.extra",
INDIRECT("rec.uni[empresa]"),AK$6)</f>
        <v>0</v>
      </c>
      <c r="AL89" s="51"/>
      <c r="AM89" s="39"/>
      <c r="AN89" s="49">
        <f ca="1">SUMIFS(rec.uni[2028-03-01],
INDIRECT("rec.uni[natureza]"),"pro.soluto",
INDIRECT("rec.uni[empresa]"),AN$6)</f>
        <v>0</v>
      </c>
      <c r="AO89" s="49">
        <f ca="1">SUMIFS(rec.uni[2028-03-01],
INDIRECT("rec.uni[natureza]"),"taxa.extra",
INDIRECT("rec.uni[empresa]"),AO$6)</f>
        <v>0</v>
      </c>
      <c r="AP89" s="140"/>
    </row>
    <row r="90" spans="1:42" x14ac:dyDescent="0.25">
      <c r="A90" s="47">
        <v>46844</v>
      </c>
      <c r="B90" s="39"/>
      <c r="C90" s="49">
        <f ca="1">SUMIFS(rec.uni[2028-04-01],
INDIRECT("rec.uni[natureza]"),"pro.soluto",
INDIRECT("rec.uni[empresa]"),C$6)</f>
        <v>0</v>
      </c>
      <c r="D90" s="38"/>
      <c r="E90" s="51"/>
      <c r="F90" s="51"/>
      <c r="G90" s="49">
        <f ca="1">SUMIFS(rec.uni[2028-04-01],
INDIRECT("rec.uni[natureza]"),"taxa.extra",
INDIRECT("rec.uni[empresa]"),G$6)</f>
        <v>0</v>
      </c>
      <c r="H90" s="51"/>
      <c r="I90" s="39"/>
      <c r="J90" s="49">
        <f ca="1">SUMIFS(rec.uni[2028-04-01],
INDIRECT("rec.uni[natureza]"),"pro.soluto",
INDIRECT("rec.uni[empresa]"),J$6)</f>
        <v>0</v>
      </c>
      <c r="K90" s="38"/>
      <c r="L90" s="51"/>
      <c r="M90" s="51"/>
      <c r="N90" s="49">
        <f ca="1">SUMIFS(rec.uni[2028-04-01],
INDIRECT("rec.uni[natureza]"),"taxa.extra",
INDIRECT("rec.uni[empresa]"),N$6)</f>
        <v>0</v>
      </c>
      <c r="O90" s="51"/>
      <c r="P90" s="39"/>
      <c r="Q90" s="49">
        <f ca="1">SUMIFS(rec.uni[2028-04-01],
INDIRECT("rec.uni[natureza]"),"pro.soluto",
INDIRECT("rec.uni[empresa]"),Q$6)</f>
        <v>0</v>
      </c>
      <c r="R90" s="38"/>
      <c r="S90" s="51"/>
      <c r="T90" s="51"/>
      <c r="U90" s="49">
        <f ca="1">SUMIFS(rec.uni[2028-04-01],
INDIRECT("rec.uni[natureza]"),"taxa.extra",
INDIRECT("rec.uni[empresa]"),U$6)</f>
        <v>0</v>
      </c>
      <c r="V90" s="51"/>
      <c r="W90" s="39"/>
      <c r="X90" s="49">
        <f ca="1">SUMIFS(rec.uni[2028-04-01],
INDIRECT("rec.uni[natureza]"),"pro.soluto",
INDIRECT("rec.uni[empresa]"),X$6)</f>
        <v>0</v>
      </c>
      <c r="Y90" s="49">
        <f ca="1">SUMIFS(rec.uni[2028-04-01],
INDIRECT("rec.uni[natureza]"),"taxa.extra",
INDIRECT("rec.uni[empresa]"),Y$6)</f>
        <v>0</v>
      </c>
      <c r="Z90" s="51"/>
      <c r="AA90" s="39"/>
      <c r="AB90" s="49">
        <f ca="1">SUMIFS(rec.uni[2028-04-01],
INDIRECT("rec.uni[natureza]"),"pro.soluto",
INDIRECT("rec.uni[empresa]"),AB$6)</f>
        <v>0</v>
      </c>
      <c r="AC90" s="51">
        <f ca="1">SUMIFS(rec.uni[2028-04-01],
INDIRECT("rec.uni[natureza]"),"parcela.fin.total.ik",
INDIRECT("rec.uni[empresa]"),AC$6)</f>
        <v>0</v>
      </c>
      <c r="AD90" s="49">
        <f ca="1">SUMIFS(rec.uni[2028-04-01],
INDIRECT("rec.uni[natureza]"),"taxa.extra",
INDIRECT("rec.uni[empresa]"),AD$6)</f>
        <v>0</v>
      </c>
      <c r="AE90" s="51"/>
      <c r="AF90" s="48"/>
      <c r="AG90" s="49">
        <f ca="1">SUMIFS(rec.uni[2028-04-01],
INDIRECT("rec.uni[natureza]"),"pro.soluto",
INDIRECT("rec.uni[empresa]"),AG$6)</f>
        <v>0</v>
      </c>
      <c r="AH90" s="38"/>
      <c r="AI90" s="51"/>
      <c r="AJ90" s="51"/>
      <c r="AK90" s="49">
        <f ca="1">SUMIFS(rec.uni[2028-04-01],
INDIRECT("rec.uni[natureza]"),"taxa.extra",
INDIRECT("rec.uni[empresa]"),AK$6)</f>
        <v>0</v>
      </c>
      <c r="AL90" s="51"/>
      <c r="AM90" s="39"/>
      <c r="AN90" s="49">
        <f ca="1">SUMIFS(rec.uni[2028-04-01],
INDIRECT("rec.uni[natureza]"),"pro.soluto",
INDIRECT("rec.uni[empresa]"),AN$6)</f>
        <v>0</v>
      </c>
      <c r="AO90" s="49">
        <f ca="1">SUMIFS(rec.uni[2028-04-01],
INDIRECT("rec.uni[natureza]"),"taxa.extra",
INDIRECT("rec.uni[empresa]"),AO$6)</f>
        <v>0</v>
      </c>
      <c r="AP90" s="140"/>
    </row>
    <row r="91" spans="1:42" x14ac:dyDescent="0.25">
      <c r="A91" s="47">
        <v>46874</v>
      </c>
      <c r="B91" s="39"/>
      <c r="C91" s="49">
        <f ca="1">SUMIFS(rec.uni[2028-05-01],
INDIRECT("rec.uni[natureza]"),"pro.soluto",
INDIRECT("rec.uni[empresa]"),C$6)</f>
        <v>0</v>
      </c>
      <c r="D91" s="38"/>
      <c r="E91" s="51"/>
      <c r="F91" s="51"/>
      <c r="G91" s="49">
        <f ca="1">SUMIFS(rec.uni[2028-05-01],
INDIRECT("rec.uni[natureza]"),"taxa.extra",
INDIRECT("rec.uni[empresa]"),G$6)</f>
        <v>0</v>
      </c>
      <c r="H91" s="51"/>
      <c r="I91" s="39"/>
      <c r="J91" s="49">
        <f ca="1">SUMIFS(rec.uni[2028-05-01],
INDIRECT("rec.uni[natureza]"),"pro.soluto",
INDIRECT("rec.uni[empresa]"),J$6)</f>
        <v>0</v>
      </c>
      <c r="K91" s="38"/>
      <c r="L91" s="51"/>
      <c r="M91" s="51"/>
      <c r="N91" s="49">
        <f ca="1">SUMIFS(rec.uni[2028-05-01],
INDIRECT("rec.uni[natureza]"),"taxa.extra",
INDIRECT("rec.uni[empresa]"),N$6)</f>
        <v>0</v>
      </c>
      <c r="O91" s="51"/>
      <c r="P91" s="39"/>
      <c r="Q91" s="49">
        <f ca="1">SUMIFS(rec.uni[2028-05-01],
INDIRECT("rec.uni[natureza]"),"pro.soluto",
INDIRECT("rec.uni[empresa]"),Q$6)</f>
        <v>0</v>
      </c>
      <c r="R91" s="38"/>
      <c r="S91" s="51"/>
      <c r="T91" s="51"/>
      <c r="U91" s="49">
        <f ca="1">SUMIFS(rec.uni[2028-05-01],
INDIRECT("rec.uni[natureza]"),"taxa.extra",
INDIRECT("rec.uni[empresa]"),U$6)</f>
        <v>0</v>
      </c>
      <c r="V91" s="51"/>
      <c r="W91" s="39"/>
      <c r="X91" s="49">
        <f ca="1">SUMIFS(rec.uni[2028-05-01],
INDIRECT("rec.uni[natureza]"),"pro.soluto",
INDIRECT("rec.uni[empresa]"),X$6)</f>
        <v>0</v>
      </c>
      <c r="Y91" s="49">
        <f ca="1">SUMIFS(rec.uni[2028-05-01],
INDIRECT("rec.uni[natureza]"),"taxa.extra",
INDIRECT("rec.uni[empresa]"),Y$6)</f>
        <v>0</v>
      </c>
      <c r="Z91" s="51"/>
      <c r="AA91" s="39"/>
      <c r="AB91" s="49">
        <f ca="1">SUMIFS(rec.uni[2028-05-01],
INDIRECT("rec.uni[natureza]"),"pro.soluto",
INDIRECT("rec.uni[empresa]"),AB$6)</f>
        <v>0</v>
      </c>
      <c r="AC91" s="51">
        <f ca="1">SUMIFS(rec.uni[2028-05-01],
INDIRECT("rec.uni[natureza]"),"parcela.fin.total.ik",
INDIRECT("rec.uni[empresa]"),AC$6)</f>
        <v>0</v>
      </c>
      <c r="AD91" s="49">
        <f ca="1">SUMIFS(rec.uni[2028-05-01],
INDIRECT("rec.uni[natureza]"),"taxa.extra",
INDIRECT("rec.uni[empresa]"),AD$6)</f>
        <v>0</v>
      </c>
      <c r="AE91" s="51"/>
      <c r="AF91" s="48"/>
      <c r="AG91" s="49">
        <f ca="1">SUMIFS(rec.uni[2028-05-01],
INDIRECT("rec.uni[natureza]"),"pro.soluto",
INDIRECT("rec.uni[empresa]"),AG$6)</f>
        <v>0</v>
      </c>
      <c r="AH91" s="38"/>
      <c r="AI91" s="51"/>
      <c r="AJ91" s="51"/>
      <c r="AK91" s="49">
        <f ca="1">SUMIFS(rec.uni[2028-05-01],
INDIRECT("rec.uni[natureza]"),"taxa.extra",
INDIRECT("rec.uni[empresa]"),AK$6)</f>
        <v>0</v>
      </c>
      <c r="AL91" s="51"/>
      <c r="AM91" s="39"/>
      <c r="AN91" s="49">
        <f ca="1">SUMIFS(rec.uni[2028-05-01],
INDIRECT("rec.uni[natureza]"),"pro.soluto",
INDIRECT("rec.uni[empresa]"),AN$6)</f>
        <v>0</v>
      </c>
      <c r="AO91" s="49">
        <f ca="1">SUMIFS(rec.uni[2028-05-01],
INDIRECT("rec.uni[natureza]"),"taxa.extra",
INDIRECT("rec.uni[empresa]"),AO$6)</f>
        <v>0</v>
      </c>
      <c r="AP91" s="140"/>
    </row>
    <row r="92" spans="1:42" x14ac:dyDescent="0.25">
      <c r="A92" s="47">
        <v>46905</v>
      </c>
      <c r="B92" s="39"/>
      <c r="C92" s="49">
        <f ca="1">SUMIFS(rec.uni[2028-06-01],
INDIRECT("rec.uni[natureza]"),"pro.soluto",
INDIRECT("rec.uni[empresa]"),C$6)</f>
        <v>0</v>
      </c>
      <c r="D92" s="38"/>
      <c r="E92" s="51"/>
      <c r="F92" s="51"/>
      <c r="G92" s="49">
        <f ca="1">SUMIFS(rec.uni[2028-06-01],
INDIRECT("rec.uni[natureza]"),"taxa.extra",
INDIRECT("rec.uni[empresa]"),G$6)</f>
        <v>0</v>
      </c>
      <c r="H92" s="51"/>
      <c r="I92" s="39"/>
      <c r="J92" s="49">
        <f ca="1">SUMIFS(rec.uni[2028-06-01],
INDIRECT("rec.uni[natureza]"),"pro.soluto",
INDIRECT("rec.uni[empresa]"),J$6)</f>
        <v>0</v>
      </c>
      <c r="K92" s="38"/>
      <c r="L92" s="51"/>
      <c r="M92" s="51"/>
      <c r="N92" s="49">
        <f ca="1">SUMIFS(rec.uni[2028-06-01],
INDIRECT("rec.uni[natureza]"),"taxa.extra",
INDIRECT("rec.uni[empresa]"),N$6)</f>
        <v>0</v>
      </c>
      <c r="O92" s="51"/>
      <c r="P92" s="39"/>
      <c r="Q92" s="49">
        <f ca="1">SUMIFS(rec.uni[2028-06-01],
INDIRECT("rec.uni[natureza]"),"pro.soluto",
INDIRECT("rec.uni[empresa]"),Q$6)</f>
        <v>0</v>
      </c>
      <c r="R92" s="38"/>
      <c r="S92" s="51"/>
      <c r="T92" s="51"/>
      <c r="U92" s="49">
        <f ca="1">SUMIFS(rec.uni[2028-06-01],
INDIRECT("rec.uni[natureza]"),"taxa.extra",
INDIRECT("rec.uni[empresa]"),U$6)</f>
        <v>0</v>
      </c>
      <c r="V92" s="51"/>
      <c r="W92" s="39"/>
      <c r="X92" s="49">
        <f ca="1">SUMIFS(rec.uni[2028-06-01],
INDIRECT("rec.uni[natureza]"),"pro.soluto",
INDIRECT("rec.uni[empresa]"),X$6)</f>
        <v>0</v>
      </c>
      <c r="Y92" s="49">
        <f ca="1">SUMIFS(rec.uni[2028-06-01],
INDIRECT("rec.uni[natureza]"),"taxa.extra",
INDIRECT("rec.uni[empresa]"),Y$6)</f>
        <v>0</v>
      </c>
      <c r="Z92" s="51"/>
      <c r="AA92" s="39"/>
      <c r="AB92" s="49">
        <f ca="1">SUMIFS(rec.uni[2028-06-01],
INDIRECT("rec.uni[natureza]"),"pro.soluto",
INDIRECT("rec.uni[empresa]"),AB$6)</f>
        <v>0</v>
      </c>
      <c r="AC92" s="51">
        <f ca="1">SUMIFS(rec.uni[2028-06-01],
INDIRECT("rec.uni[natureza]"),"parcela.fin.total.ik",
INDIRECT("rec.uni[empresa]"),AC$6)</f>
        <v>0</v>
      </c>
      <c r="AD92" s="49">
        <f ca="1">SUMIFS(rec.uni[2028-06-01],
INDIRECT("rec.uni[natureza]"),"taxa.extra",
INDIRECT("rec.uni[empresa]"),AD$6)</f>
        <v>0</v>
      </c>
      <c r="AE92" s="51"/>
      <c r="AF92" s="48"/>
      <c r="AG92" s="49">
        <f ca="1">SUMIFS(rec.uni[2028-06-01],
INDIRECT("rec.uni[natureza]"),"pro.soluto",
INDIRECT("rec.uni[empresa]"),AG$6)</f>
        <v>0</v>
      </c>
      <c r="AH92" s="38"/>
      <c r="AI92" s="51"/>
      <c r="AJ92" s="51"/>
      <c r="AK92" s="49">
        <f ca="1">SUMIFS(rec.uni[2028-06-01],
INDIRECT("rec.uni[natureza]"),"taxa.extra",
INDIRECT("rec.uni[empresa]"),AK$6)</f>
        <v>0</v>
      </c>
      <c r="AL92" s="51"/>
      <c r="AM92" s="39"/>
      <c r="AN92" s="49">
        <f ca="1">SUMIFS(rec.uni[2028-06-01],
INDIRECT("rec.uni[natureza]"),"pro.soluto",
INDIRECT("rec.uni[empresa]"),AN$6)</f>
        <v>0</v>
      </c>
      <c r="AO92" s="49">
        <f ca="1">SUMIFS(rec.uni[2028-06-01],
INDIRECT("rec.uni[natureza]"),"taxa.extra",
INDIRECT("rec.uni[empresa]"),AO$6)</f>
        <v>0</v>
      </c>
      <c r="AP92" s="140"/>
    </row>
    <row r="93" spans="1:42" x14ac:dyDescent="0.25">
      <c r="A93" s="47">
        <v>46935</v>
      </c>
      <c r="B93" s="39"/>
      <c r="C93" s="49">
        <f ca="1">SUMIFS(rec.uni[2028-07-01],
INDIRECT("rec.uni[natureza]"),"pro.soluto",
INDIRECT("rec.uni[empresa]"),C$6)</f>
        <v>0</v>
      </c>
      <c r="D93" s="38"/>
      <c r="E93" s="51"/>
      <c r="F93" s="51"/>
      <c r="G93" s="49">
        <f ca="1">SUMIFS(rec.uni[2028-07-01],
INDIRECT("rec.uni[natureza]"),"taxa.extra",
INDIRECT("rec.uni[empresa]"),G$6)</f>
        <v>0</v>
      </c>
      <c r="H93" s="51"/>
      <c r="I93" s="39"/>
      <c r="J93" s="49">
        <f ca="1">SUMIFS(rec.uni[2028-07-01],
INDIRECT("rec.uni[natureza]"),"pro.soluto",
INDIRECT("rec.uni[empresa]"),J$6)</f>
        <v>0</v>
      </c>
      <c r="K93" s="38"/>
      <c r="L93" s="51"/>
      <c r="M93" s="51"/>
      <c r="N93" s="49">
        <f ca="1">SUMIFS(rec.uni[2028-07-01],
INDIRECT("rec.uni[natureza]"),"taxa.extra",
INDIRECT("rec.uni[empresa]"),N$6)</f>
        <v>0</v>
      </c>
      <c r="O93" s="51"/>
      <c r="P93" s="39"/>
      <c r="Q93" s="49">
        <f ca="1">SUMIFS(rec.uni[2028-07-01],
INDIRECT("rec.uni[natureza]"),"pro.soluto",
INDIRECT("rec.uni[empresa]"),Q$6)</f>
        <v>0</v>
      </c>
      <c r="R93" s="38"/>
      <c r="S93" s="51"/>
      <c r="T93" s="51"/>
      <c r="U93" s="49">
        <f ca="1">SUMIFS(rec.uni[2028-07-01],
INDIRECT("rec.uni[natureza]"),"taxa.extra",
INDIRECT("rec.uni[empresa]"),U$6)</f>
        <v>0</v>
      </c>
      <c r="V93" s="51"/>
      <c r="W93" s="39"/>
      <c r="X93" s="49">
        <f ca="1">SUMIFS(rec.uni[2028-07-01],
INDIRECT("rec.uni[natureza]"),"pro.soluto",
INDIRECT("rec.uni[empresa]"),X$6)</f>
        <v>0</v>
      </c>
      <c r="Y93" s="49">
        <f ca="1">SUMIFS(rec.uni[2028-07-01],
INDIRECT("rec.uni[natureza]"),"taxa.extra",
INDIRECT("rec.uni[empresa]"),Y$6)</f>
        <v>0</v>
      </c>
      <c r="Z93" s="51"/>
      <c r="AA93" s="39"/>
      <c r="AB93" s="49">
        <f ca="1">SUMIFS(rec.uni[2028-07-01],
INDIRECT("rec.uni[natureza]"),"pro.soluto",
INDIRECT("rec.uni[empresa]"),AB$6)</f>
        <v>0</v>
      </c>
      <c r="AC93" s="51">
        <f ca="1">SUMIFS(rec.uni[2028-07-01],
INDIRECT("rec.uni[natureza]"),"parcela.fin.total.ik",
INDIRECT("rec.uni[empresa]"),AC$6)</f>
        <v>0</v>
      </c>
      <c r="AD93" s="49">
        <f ca="1">SUMIFS(rec.uni[2028-07-01],
INDIRECT("rec.uni[natureza]"),"taxa.extra",
INDIRECT("rec.uni[empresa]"),AD$6)</f>
        <v>0</v>
      </c>
      <c r="AE93" s="51"/>
      <c r="AF93" s="48"/>
      <c r="AG93" s="49">
        <f ca="1">SUMIFS(rec.uni[2028-07-01],
INDIRECT("rec.uni[natureza]"),"pro.soluto",
INDIRECT("rec.uni[empresa]"),AG$6)</f>
        <v>0</v>
      </c>
      <c r="AH93" s="38"/>
      <c r="AI93" s="51"/>
      <c r="AJ93" s="51"/>
      <c r="AK93" s="49">
        <f ca="1">SUMIFS(rec.uni[2028-07-01],
INDIRECT("rec.uni[natureza]"),"taxa.extra",
INDIRECT("rec.uni[empresa]"),AK$6)</f>
        <v>0</v>
      </c>
      <c r="AL93" s="51"/>
      <c r="AM93" s="39"/>
      <c r="AN93" s="49">
        <f ca="1">SUMIFS(rec.uni[2028-07-01],
INDIRECT("rec.uni[natureza]"),"pro.soluto",
INDIRECT("rec.uni[empresa]"),AN$6)</f>
        <v>0</v>
      </c>
      <c r="AO93" s="49">
        <f ca="1">SUMIFS(rec.uni[2028-07-01],
INDIRECT("rec.uni[natureza]"),"taxa.extra",
INDIRECT("rec.uni[empresa]"),AO$6)</f>
        <v>0</v>
      </c>
      <c r="AP93" s="140"/>
    </row>
    <row r="94" spans="1:42" x14ac:dyDescent="0.25">
      <c r="A94" s="47">
        <v>46966</v>
      </c>
      <c r="B94" s="39"/>
      <c r="C94" s="49">
        <f ca="1">SUMIFS(rec.uni[2028-08-01],
INDIRECT("rec.uni[natureza]"),"pro.soluto",
INDIRECT("rec.uni[empresa]"),C$6)</f>
        <v>0</v>
      </c>
      <c r="D94" s="38"/>
      <c r="E94" s="51"/>
      <c r="F94" s="51"/>
      <c r="G94" s="49">
        <f ca="1">SUMIFS(rec.uni[2028-08-01],
INDIRECT("rec.uni[natureza]"),"taxa.extra",
INDIRECT("rec.uni[empresa]"),G$6)</f>
        <v>0</v>
      </c>
      <c r="H94" s="51"/>
      <c r="I94" s="39"/>
      <c r="J94" s="49">
        <f ca="1">SUMIFS(rec.uni[2028-08-01],
INDIRECT("rec.uni[natureza]"),"pro.soluto",
INDIRECT("rec.uni[empresa]"),J$6)</f>
        <v>0</v>
      </c>
      <c r="K94" s="38"/>
      <c r="L94" s="51"/>
      <c r="M94" s="51"/>
      <c r="N94" s="49">
        <f ca="1">SUMIFS(rec.uni[2028-08-01],
INDIRECT("rec.uni[natureza]"),"taxa.extra",
INDIRECT("rec.uni[empresa]"),N$6)</f>
        <v>0</v>
      </c>
      <c r="O94" s="51"/>
      <c r="P94" s="39"/>
      <c r="Q94" s="49">
        <f ca="1">SUMIFS(rec.uni[2028-08-01],
INDIRECT("rec.uni[natureza]"),"pro.soluto",
INDIRECT("rec.uni[empresa]"),Q$6)</f>
        <v>0</v>
      </c>
      <c r="R94" s="38"/>
      <c r="S94" s="51"/>
      <c r="T94" s="51"/>
      <c r="U94" s="49">
        <f ca="1">SUMIFS(rec.uni[2028-08-01],
INDIRECT("rec.uni[natureza]"),"taxa.extra",
INDIRECT("rec.uni[empresa]"),U$6)</f>
        <v>0</v>
      </c>
      <c r="V94" s="51"/>
      <c r="W94" s="39"/>
      <c r="X94" s="49">
        <f ca="1">SUMIFS(rec.uni[2028-08-01],
INDIRECT("rec.uni[natureza]"),"pro.soluto",
INDIRECT("rec.uni[empresa]"),X$6)</f>
        <v>0</v>
      </c>
      <c r="Y94" s="49">
        <f ca="1">SUMIFS(rec.uni[2028-08-01],
INDIRECT("rec.uni[natureza]"),"taxa.extra",
INDIRECT("rec.uni[empresa]"),Y$6)</f>
        <v>0</v>
      </c>
      <c r="Z94" s="51"/>
      <c r="AA94" s="39"/>
      <c r="AB94" s="49">
        <f ca="1">SUMIFS(rec.uni[2028-08-01],
INDIRECT("rec.uni[natureza]"),"pro.soluto",
INDIRECT("rec.uni[empresa]"),AB$6)</f>
        <v>0</v>
      </c>
      <c r="AC94" s="51">
        <f ca="1">SUMIFS(rec.uni[2028-08-01],
INDIRECT("rec.uni[natureza]"),"parcela.fin.total.ik",
INDIRECT("rec.uni[empresa]"),AC$6)</f>
        <v>0</v>
      </c>
      <c r="AD94" s="49">
        <f ca="1">SUMIFS(rec.uni[2028-08-01],
INDIRECT("rec.uni[natureza]"),"taxa.extra",
INDIRECT("rec.uni[empresa]"),AD$6)</f>
        <v>0</v>
      </c>
      <c r="AE94" s="51"/>
      <c r="AF94" s="48"/>
      <c r="AG94" s="49">
        <f ca="1">SUMIFS(rec.uni[2028-08-01],
INDIRECT("rec.uni[natureza]"),"pro.soluto",
INDIRECT("rec.uni[empresa]"),AG$6)</f>
        <v>0</v>
      </c>
      <c r="AH94" s="38"/>
      <c r="AI94" s="51"/>
      <c r="AJ94" s="51"/>
      <c r="AK94" s="49">
        <f ca="1">SUMIFS(rec.uni[2028-08-01],
INDIRECT("rec.uni[natureza]"),"taxa.extra",
INDIRECT("rec.uni[empresa]"),AK$6)</f>
        <v>0</v>
      </c>
      <c r="AL94" s="51"/>
      <c r="AM94" s="39"/>
      <c r="AN94" s="49">
        <f ca="1">SUMIFS(rec.uni[2028-08-01],
INDIRECT("rec.uni[natureza]"),"pro.soluto",
INDIRECT("rec.uni[empresa]"),AN$6)</f>
        <v>0</v>
      </c>
      <c r="AO94" s="49">
        <f ca="1">SUMIFS(rec.uni[2028-08-01],
INDIRECT("rec.uni[natureza]"),"taxa.extra",
INDIRECT("rec.uni[empresa]"),AO$6)</f>
        <v>0</v>
      </c>
      <c r="AP94" s="140"/>
    </row>
    <row r="95" spans="1:42" x14ac:dyDescent="0.25">
      <c r="A95" s="47">
        <v>46997</v>
      </c>
      <c r="B95" s="39"/>
      <c r="C95" s="49">
        <f ca="1">SUMIFS(rec.uni[2028-09-01],
INDIRECT("rec.uni[natureza]"),"pro.soluto",
INDIRECT("rec.uni[empresa]"),C$6)</f>
        <v>0</v>
      </c>
      <c r="D95" s="38"/>
      <c r="E95" s="51"/>
      <c r="F95" s="51"/>
      <c r="G95" s="49">
        <f ca="1">SUMIFS(rec.uni[2028-09-01],
INDIRECT("rec.uni[natureza]"),"taxa.extra",
INDIRECT("rec.uni[empresa]"),G$6)</f>
        <v>0</v>
      </c>
      <c r="H95" s="51"/>
      <c r="I95" s="39"/>
      <c r="J95" s="49">
        <f ca="1">SUMIFS(rec.uni[2028-09-01],
INDIRECT("rec.uni[natureza]"),"pro.soluto",
INDIRECT("rec.uni[empresa]"),J$6)</f>
        <v>0</v>
      </c>
      <c r="K95" s="38"/>
      <c r="L95" s="51"/>
      <c r="M95" s="51"/>
      <c r="N95" s="49">
        <f ca="1">SUMIFS(rec.uni[2028-09-01],
INDIRECT("rec.uni[natureza]"),"taxa.extra",
INDIRECT("rec.uni[empresa]"),N$6)</f>
        <v>0</v>
      </c>
      <c r="O95" s="51"/>
      <c r="P95" s="39"/>
      <c r="Q95" s="49">
        <f ca="1">SUMIFS(rec.uni[2028-09-01],
INDIRECT("rec.uni[natureza]"),"pro.soluto",
INDIRECT("rec.uni[empresa]"),Q$6)</f>
        <v>0</v>
      </c>
      <c r="R95" s="38"/>
      <c r="S95" s="51"/>
      <c r="T95" s="51"/>
      <c r="U95" s="49">
        <f ca="1">SUMIFS(rec.uni[2028-09-01],
INDIRECT("rec.uni[natureza]"),"taxa.extra",
INDIRECT("rec.uni[empresa]"),U$6)</f>
        <v>0</v>
      </c>
      <c r="V95" s="51"/>
      <c r="W95" s="39"/>
      <c r="X95" s="49">
        <f ca="1">SUMIFS(rec.uni[2028-09-01],
INDIRECT("rec.uni[natureza]"),"pro.soluto",
INDIRECT("rec.uni[empresa]"),X$6)</f>
        <v>0</v>
      </c>
      <c r="Y95" s="49">
        <f ca="1">SUMIFS(rec.uni[2028-09-01],
INDIRECT("rec.uni[natureza]"),"taxa.extra",
INDIRECT("rec.uni[empresa]"),Y$6)</f>
        <v>0</v>
      </c>
      <c r="Z95" s="51"/>
      <c r="AA95" s="39"/>
      <c r="AB95" s="49">
        <f ca="1">SUMIFS(rec.uni[2028-09-01],
INDIRECT("rec.uni[natureza]"),"pro.soluto",
INDIRECT("rec.uni[empresa]"),AB$6)</f>
        <v>0</v>
      </c>
      <c r="AC95" s="51">
        <f ca="1">SUMIFS(rec.uni[2028-09-01],
INDIRECT("rec.uni[natureza]"),"parcela.fin.total.ik",
INDIRECT("rec.uni[empresa]"),AC$6)</f>
        <v>0</v>
      </c>
      <c r="AD95" s="49">
        <f ca="1">SUMIFS(rec.uni[2028-09-01],
INDIRECT("rec.uni[natureza]"),"taxa.extra",
INDIRECT("rec.uni[empresa]"),AD$6)</f>
        <v>0</v>
      </c>
      <c r="AE95" s="51"/>
      <c r="AF95" s="48"/>
      <c r="AG95" s="49">
        <f ca="1">SUMIFS(rec.uni[2028-09-01],
INDIRECT("rec.uni[natureza]"),"pro.soluto",
INDIRECT("rec.uni[empresa]"),AG$6)</f>
        <v>0</v>
      </c>
      <c r="AH95" s="38"/>
      <c r="AI95" s="51"/>
      <c r="AJ95" s="51"/>
      <c r="AK95" s="49">
        <f ca="1">SUMIFS(rec.uni[2028-09-01],
INDIRECT("rec.uni[natureza]"),"taxa.extra",
INDIRECT("rec.uni[empresa]"),AK$6)</f>
        <v>0</v>
      </c>
      <c r="AL95" s="51"/>
      <c r="AM95" s="39"/>
      <c r="AN95" s="49">
        <f ca="1">SUMIFS(rec.uni[2028-09-01],
INDIRECT("rec.uni[natureza]"),"pro.soluto",
INDIRECT("rec.uni[empresa]"),AN$6)</f>
        <v>0</v>
      </c>
      <c r="AO95" s="49">
        <f ca="1">SUMIFS(rec.uni[2028-09-01],
INDIRECT("rec.uni[natureza]"),"taxa.extra",
INDIRECT("rec.uni[empresa]"),AO$6)</f>
        <v>0</v>
      </c>
      <c r="AP95" s="140"/>
    </row>
    <row r="96" spans="1:42" x14ac:dyDescent="0.25">
      <c r="A96" s="47">
        <v>47027</v>
      </c>
      <c r="B96" s="39"/>
      <c r="C96" s="49">
        <f ca="1">SUMIFS(rec.uni[2028-10-01],
INDIRECT("rec.uni[natureza]"),"pro.soluto",
INDIRECT("rec.uni[empresa]"),C$6)</f>
        <v>0</v>
      </c>
      <c r="D96" s="38"/>
      <c r="E96" s="51"/>
      <c r="F96" s="51"/>
      <c r="G96" s="49">
        <f ca="1">SUMIFS(rec.uni[2028-10-01],
INDIRECT("rec.uni[natureza]"),"taxa.extra",
INDIRECT("rec.uni[empresa]"),G$6)</f>
        <v>0</v>
      </c>
      <c r="H96" s="51"/>
      <c r="I96" s="39"/>
      <c r="J96" s="49">
        <f ca="1">SUMIFS(rec.uni[2028-10-01],
INDIRECT("rec.uni[natureza]"),"pro.soluto",
INDIRECT("rec.uni[empresa]"),J$6)</f>
        <v>0</v>
      </c>
      <c r="K96" s="38"/>
      <c r="L96" s="51"/>
      <c r="M96" s="51"/>
      <c r="N96" s="49">
        <f ca="1">SUMIFS(rec.uni[2028-10-01],
INDIRECT("rec.uni[natureza]"),"taxa.extra",
INDIRECT("rec.uni[empresa]"),N$6)</f>
        <v>0</v>
      </c>
      <c r="O96" s="51"/>
      <c r="P96" s="39"/>
      <c r="Q96" s="49">
        <f ca="1">SUMIFS(rec.uni[2028-10-01],
INDIRECT("rec.uni[natureza]"),"pro.soluto",
INDIRECT("rec.uni[empresa]"),Q$6)</f>
        <v>0</v>
      </c>
      <c r="R96" s="38"/>
      <c r="S96" s="51"/>
      <c r="T96" s="51"/>
      <c r="U96" s="49">
        <f ca="1">SUMIFS(rec.uni[2028-10-01],
INDIRECT("rec.uni[natureza]"),"taxa.extra",
INDIRECT("rec.uni[empresa]"),U$6)</f>
        <v>0</v>
      </c>
      <c r="V96" s="51"/>
      <c r="W96" s="39"/>
      <c r="X96" s="49">
        <f ca="1">SUMIFS(rec.uni[2028-10-01],
INDIRECT("rec.uni[natureza]"),"pro.soluto",
INDIRECT("rec.uni[empresa]"),X$6)</f>
        <v>0</v>
      </c>
      <c r="Y96" s="49">
        <f ca="1">SUMIFS(rec.uni[2028-10-01],
INDIRECT("rec.uni[natureza]"),"taxa.extra",
INDIRECT("rec.uni[empresa]"),Y$6)</f>
        <v>0</v>
      </c>
      <c r="Z96" s="51"/>
      <c r="AA96" s="39"/>
      <c r="AB96" s="49">
        <f ca="1">SUMIFS(rec.uni[2028-10-01],
INDIRECT("rec.uni[natureza]"),"pro.soluto",
INDIRECT("rec.uni[empresa]"),AB$6)</f>
        <v>0</v>
      </c>
      <c r="AC96" s="51">
        <f ca="1">SUMIFS(rec.uni[2028-10-01],
INDIRECT("rec.uni[natureza]"),"parcela.fin.total.ik",
INDIRECT("rec.uni[empresa]"),AC$6)</f>
        <v>0</v>
      </c>
      <c r="AD96" s="49">
        <f ca="1">SUMIFS(rec.uni[2028-10-01],
INDIRECT("rec.uni[natureza]"),"taxa.extra",
INDIRECT("rec.uni[empresa]"),AD$6)</f>
        <v>0</v>
      </c>
      <c r="AE96" s="51"/>
      <c r="AF96" s="48"/>
      <c r="AG96" s="49">
        <f ca="1">SUMIFS(rec.uni[2028-10-01],
INDIRECT("rec.uni[natureza]"),"pro.soluto",
INDIRECT("rec.uni[empresa]"),AG$6)</f>
        <v>0</v>
      </c>
      <c r="AH96" s="38"/>
      <c r="AI96" s="51"/>
      <c r="AJ96" s="51"/>
      <c r="AK96" s="49">
        <f ca="1">SUMIFS(rec.uni[2028-10-01],
INDIRECT("rec.uni[natureza]"),"taxa.extra",
INDIRECT("rec.uni[empresa]"),AK$6)</f>
        <v>0</v>
      </c>
      <c r="AL96" s="51"/>
      <c r="AM96" s="39"/>
      <c r="AN96" s="49">
        <f ca="1">SUMIFS(rec.uni[2028-10-01],
INDIRECT("rec.uni[natureza]"),"pro.soluto",
INDIRECT("rec.uni[empresa]"),AN$6)</f>
        <v>0</v>
      </c>
      <c r="AO96" s="49">
        <f ca="1">SUMIFS(rec.uni[2028-10-01],
INDIRECT("rec.uni[natureza]"),"taxa.extra",
INDIRECT("rec.uni[empresa]"),AO$6)</f>
        <v>0</v>
      </c>
      <c r="AP96" s="140"/>
    </row>
    <row r="97" spans="1:42" x14ac:dyDescent="0.25">
      <c r="A97" s="47">
        <v>47058</v>
      </c>
      <c r="B97" s="39"/>
      <c r="C97" s="49">
        <f ca="1">SUMIFS(rec.uni[2028-11-01],
INDIRECT("rec.uni[natureza]"),"pro.soluto",
INDIRECT("rec.uni[empresa]"),C$6)</f>
        <v>0</v>
      </c>
      <c r="D97" s="38"/>
      <c r="E97" s="51"/>
      <c r="F97" s="51"/>
      <c r="G97" s="49">
        <f ca="1">SUMIFS(rec.uni[2028-11-01],
INDIRECT("rec.uni[natureza]"),"taxa.extra",
INDIRECT("rec.uni[empresa]"),G$6)</f>
        <v>0</v>
      </c>
      <c r="H97" s="51"/>
      <c r="I97" s="39"/>
      <c r="J97" s="49">
        <f ca="1">SUMIFS(rec.uni[2028-11-01],
INDIRECT("rec.uni[natureza]"),"pro.soluto",
INDIRECT("rec.uni[empresa]"),J$6)</f>
        <v>0</v>
      </c>
      <c r="K97" s="38"/>
      <c r="L97" s="51"/>
      <c r="M97" s="51"/>
      <c r="N97" s="49">
        <f ca="1">SUMIFS(rec.uni[2028-11-01],
INDIRECT("rec.uni[natureza]"),"taxa.extra",
INDIRECT("rec.uni[empresa]"),N$6)</f>
        <v>0</v>
      </c>
      <c r="O97" s="51"/>
      <c r="P97" s="39"/>
      <c r="Q97" s="49">
        <f ca="1">SUMIFS(rec.uni[2028-11-01],
INDIRECT("rec.uni[natureza]"),"pro.soluto",
INDIRECT("rec.uni[empresa]"),Q$6)</f>
        <v>0</v>
      </c>
      <c r="R97" s="38"/>
      <c r="S97" s="51"/>
      <c r="T97" s="51"/>
      <c r="U97" s="49">
        <f ca="1">SUMIFS(rec.uni[2028-11-01],
INDIRECT("rec.uni[natureza]"),"taxa.extra",
INDIRECT("rec.uni[empresa]"),U$6)</f>
        <v>0</v>
      </c>
      <c r="V97" s="51"/>
      <c r="W97" s="39"/>
      <c r="X97" s="49">
        <f ca="1">SUMIFS(rec.uni[2028-11-01],
INDIRECT("rec.uni[natureza]"),"pro.soluto",
INDIRECT("rec.uni[empresa]"),X$6)</f>
        <v>0</v>
      </c>
      <c r="Y97" s="49">
        <f ca="1">SUMIFS(rec.uni[2028-11-01],
INDIRECT("rec.uni[natureza]"),"taxa.extra",
INDIRECT("rec.uni[empresa]"),Y$6)</f>
        <v>0</v>
      </c>
      <c r="Z97" s="51"/>
      <c r="AA97" s="39"/>
      <c r="AB97" s="49">
        <f ca="1">SUMIFS(rec.uni[2028-11-01],
INDIRECT("rec.uni[natureza]"),"pro.soluto",
INDIRECT("rec.uni[empresa]"),AB$6)</f>
        <v>0</v>
      </c>
      <c r="AC97" s="51">
        <f ca="1">SUMIFS(rec.uni[2028-11-01],
INDIRECT("rec.uni[natureza]"),"parcela.fin.total.ik",
INDIRECT("rec.uni[empresa]"),AC$6)</f>
        <v>0</v>
      </c>
      <c r="AD97" s="49">
        <f ca="1">SUMIFS(rec.uni[2028-11-01],
INDIRECT("rec.uni[natureza]"),"taxa.extra",
INDIRECT("rec.uni[empresa]"),AD$6)</f>
        <v>0</v>
      </c>
      <c r="AE97" s="51"/>
      <c r="AF97" s="48"/>
      <c r="AG97" s="49">
        <f ca="1">SUMIFS(rec.uni[2028-11-01],
INDIRECT("rec.uni[natureza]"),"pro.soluto",
INDIRECT("rec.uni[empresa]"),AG$6)</f>
        <v>0</v>
      </c>
      <c r="AH97" s="38"/>
      <c r="AI97" s="51"/>
      <c r="AJ97" s="51"/>
      <c r="AK97" s="49">
        <f ca="1">SUMIFS(rec.uni[2028-11-01],
INDIRECT("rec.uni[natureza]"),"taxa.extra",
INDIRECT("rec.uni[empresa]"),AK$6)</f>
        <v>0</v>
      </c>
      <c r="AL97" s="51"/>
      <c r="AM97" s="39"/>
      <c r="AN97" s="49">
        <f ca="1">SUMIFS(rec.uni[2028-11-01],
INDIRECT("rec.uni[natureza]"),"pro.soluto",
INDIRECT("rec.uni[empresa]"),AN$6)</f>
        <v>0</v>
      </c>
      <c r="AO97" s="49">
        <f ca="1">SUMIFS(rec.uni[2028-11-01],
INDIRECT("rec.uni[natureza]"),"taxa.extra",
INDIRECT("rec.uni[empresa]"),AO$6)</f>
        <v>0</v>
      </c>
      <c r="AP97" s="140"/>
    </row>
    <row r="98" spans="1:42" x14ac:dyDescent="0.25">
      <c r="A98" s="47">
        <v>47088</v>
      </c>
      <c r="B98" s="39"/>
      <c r="C98" s="49">
        <f ca="1">SUMIFS(rec.uni[2028-12-01],
INDIRECT("rec.uni[natureza]"),"pro.soluto",
INDIRECT("rec.uni[empresa]"),C$6)</f>
        <v>0</v>
      </c>
      <c r="D98" s="38"/>
      <c r="E98" s="51"/>
      <c r="F98" s="51"/>
      <c r="G98" s="49">
        <f ca="1">SUMIFS(rec.uni[2028-12-01],
INDIRECT("rec.uni[natureza]"),"taxa.extra",
INDIRECT("rec.uni[empresa]"),G$6)</f>
        <v>0</v>
      </c>
      <c r="H98" s="51"/>
      <c r="I98" s="39"/>
      <c r="J98" s="49">
        <f ca="1">SUMIFS(rec.uni[2028-12-01],
INDIRECT("rec.uni[natureza]"),"pro.soluto",
INDIRECT("rec.uni[empresa]"),J$6)</f>
        <v>0</v>
      </c>
      <c r="K98" s="38"/>
      <c r="L98" s="51"/>
      <c r="M98" s="51"/>
      <c r="N98" s="49">
        <f ca="1">SUMIFS(rec.uni[2028-12-01],
INDIRECT("rec.uni[natureza]"),"taxa.extra",
INDIRECT("rec.uni[empresa]"),N$6)</f>
        <v>0</v>
      </c>
      <c r="O98" s="51"/>
      <c r="P98" s="39"/>
      <c r="Q98" s="49">
        <f ca="1">SUMIFS(rec.uni[2028-12-01],
INDIRECT("rec.uni[natureza]"),"pro.soluto",
INDIRECT("rec.uni[empresa]"),Q$6)</f>
        <v>0</v>
      </c>
      <c r="R98" s="38"/>
      <c r="S98" s="51"/>
      <c r="T98" s="51"/>
      <c r="U98" s="49">
        <f ca="1">SUMIFS(rec.uni[2028-12-01],
INDIRECT("rec.uni[natureza]"),"taxa.extra",
INDIRECT("rec.uni[empresa]"),U$6)</f>
        <v>0</v>
      </c>
      <c r="V98" s="51"/>
      <c r="W98" s="39"/>
      <c r="X98" s="49">
        <f ca="1">SUMIFS(rec.uni[2028-12-01],
INDIRECT("rec.uni[natureza]"),"pro.soluto",
INDIRECT("rec.uni[empresa]"),X$6)</f>
        <v>0</v>
      </c>
      <c r="Y98" s="49">
        <f ca="1">SUMIFS(rec.uni[2028-12-01],
INDIRECT("rec.uni[natureza]"),"taxa.extra",
INDIRECT("rec.uni[empresa]"),Y$6)</f>
        <v>0</v>
      </c>
      <c r="Z98" s="51"/>
      <c r="AA98" s="39"/>
      <c r="AB98" s="49">
        <f ca="1">SUMIFS(rec.uni[2028-12-01],
INDIRECT("rec.uni[natureza]"),"pro.soluto",
INDIRECT("rec.uni[empresa]"),AB$6)</f>
        <v>0</v>
      </c>
      <c r="AC98" s="51">
        <f ca="1">SUMIFS(rec.uni[2028-12-01],
INDIRECT("rec.uni[natureza]"),"parcela.fin.total.ik",
INDIRECT("rec.uni[empresa]"),AC$6)</f>
        <v>0</v>
      </c>
      <c r="AD98" s="49">
        <f ca="1">SUMIFS(rec.uni[2028-12-01],
INDIRECT("rec.uni[natureza]"),"taxa.extra",
INDIRECT("rec.uni[empresa]"),AD$6)</f>
        <v>0</v>
      </c>
      <c r="AE98" s="51"/>
      <c r="AF98" s="48"/>
      <c r="AG98" s="49">
        <f ca="1">SUMIFS(rec.uni[2028-12-01],
INDIRECT("rec.uni[natureza]"),"pro.soluto",
INDIRECT("rec.uni[empresa]"),AG$6)</f>
        <v>0</v>
      </c>
      <c r="AH98" s="38"/>
      <c r="AI98" s="51"/>
      <c r="AJ98" s="51"/>
      <c r="AK98" s="49">
        <f ca="1">SUMIFS(rec.uni[2028-12-01],
INDIRECT("rec.uni[natureza]"),"taxa.extra",
INDIRECT("rec.uni[empresa]"),AK$6)</f>
        <v>0</v>
      </c>
      <c r="AL98" s="51"/>
      <c r="AM98" s="39"/>
      <c r="AN98" s="49">
        <f ca="1">SUMIFS(rec.uni[2028-12-01],
INDIRECT("rec.uni[natureza]"),"pro.soluto",
INDIRECT("rec.uni[empresa]"),AN$6)</f>
        <v>0</v>
      </c>
      <c r="AO98" s="49">
        <f ca="1">SUMIFS(rec.uni[2028-12-01],
INDIRECT("rec.uni[natureza]"),"taxa.extra",
INDIRECT("rec.uni[empresa]"),AO$6)</f>
        <v>0</v>
      </c>
      <c r="AP98" s="140"/>
    </row>
    <row r="99" spans="1:42" x14ac:dyDescent="0.25">
      <c r="A99" s="47">
        <v>47119</v>
      </c>
      <c r="B99" s="39"/>
      <c r="C99" s="49">
        <f ca="1">SUMIFS(rec.uni[2029-01-01],
INDIRECT("rec.uni[natureza]"),"pro.soluto",
INDIRECT("rec.uni[empresa]"),C$6)</f>
        <v>0</v>
      </c>
      <c r="D99" s="38"/>
      <c r="E99" s="51"/>
      <c r="F99" s="51"/>
      <c r="G99" s="49">
        <f ca="1">SUMIFS(rec.uni[2029-01-01],
INDIRECT("rec.uni[natureza]"),"taxa.extra",
INDIRECT("rec.uni[empresa]"),G$6)</f>
        <v>0</v>
      </c>
      <c r="H99" s="51"/>
      <c r="I99" s="39"/>
      <c r="J99" s="49">
        <f ca="1">SUMIFS(rec.uni[2029-01-01],
INDIRECT("rec.uni[natureza]"),"pro.soluto",
INDIRECT("rec.uni[empresa]"),J$6)</f>
        <v>0</v>
      </c>
      <c r="K99" s="38"/>
      <c r="L99" s="51"/>
      <c r="M99" s="51"/>
      <c r="N99" s="49">
        <f ca="1">SUMIFS(rec.uni[2029-01-01],
INDIRECT("rec.uni[natureza]"),"taxa.extra",
INDIRECT("rec.uni[empresa]"),N$6)</f>
        <v>0</v>
      </c>
      <c r="O99" s="51"/>
      <c r="P99" s="39"/>
      <c r="Q99" s="49">
        <f ca="1">SUMIFS(rec.uni[2029-01-01],
INDIRECT("rec.uni[natureza]"),"pro.soluto",
INDIRECT("rec.uni[empresa]"),Q$6)</f>
        <v>0</v>
      </c>
      <c r="R99" s="38"/>
      <c r="S99" s="51"/>
      <c r="T99" s="51"/>
      <c r="U99" s="49">
        <f ca="1">SUMIFS(rec.uni[2029-01-01],
INDIRECT("rec.uni[natureza]"),"taxa.extra",
INDIRECT("rec.uni[empresa]"),U$6)</f>
        <v>0</v>
      </c>
      <c r="V99" s="51"/>
      <c r="W99" s="39"/>
      <c r="X99" s="49">
        <f ca="1">SUMIFS(rec.uni[2029-01-01],
INDIRECT("rec.uni[natureza]"),"pro.soluto",
INDIRECT("rec.uni[empresa]"),X$6)</f>
        <v>0</v>
      </c>
      <c r="Y99" s="49">
        <f ca="1">SUMIFS(rec.uni[2029-01-01],
INDIRECT("rec.uni[natureza]"),"taxa.extra",
INDIRECT("rec.uni[empresa]"),Y$6)</f>
        <v>0</v>
      </c>
      <c r="Z99" s="51"/>
      <c r="AA99" s="39"/>
      <c r="AB99" s="49">
        <f ca="1">SUMIFS(rec.uni[2029-01-01],
INDIRECT("rec.uni[natureza]"),"pro.soluto",
INDIRECT("rec.uni[empresa]"),AB$6)</f>
        <v>0</v>
      </c>
      <c r="AC99" s="51">
        <f ca="1">SUMIFS(rec.uni[2029-01-01],
INDIRECT("rec.uni[natureza]"),"parcela.fin.total.ik",
INDIRECT("rec.uni[empresa]"),AC$6)</f>
        <v>0</v>
      </c>
      <c r="AD99" s="49">
        <f ca="1">SUMIFS(rec.uni[2029-01-01],
INDIRECT("rec.uni[natureza]"),"taxa.extra",
INDIRECT("rec.uni[empresa]"),AD$6)</f>
        <v>0</v>
      </c>
      <c r="AE99" s="51"/>
      <c r="AF99" s="48"/>
      <c r="AG99" s="49">
        <f ca="1">SUMIFS(rec.uni[2029-01-01],
INDIRECT("rec.uni[natureza]"),"pro.soluto",
INDIRECT("rec.uni[empresa]"),AG$6)</f>
        <v>0</v>
      </c>
      <c r="AH99" s="38"/>
      <c r="AI99" s="51"/>
      <c r="AJ99" s="51"/>
      <c r="AK99" s="49">
        <f ca="1">SUMIFS(rec.uni[2029-01-01],
INDIRECT("rec.uni[natureza]"),"taxa.extra",
INDIRECT("rec.uni[empresa]"),AK$6)</f>
        <v>0</v>
      </c>
      <c r="AL99" s="51"/>
      <c r="AM99" s="39"/>
      <c r="AN99" s="49">
        <f ca="1">SUMIFS(rec.uni[2029-01-01],
INDIRECT("rec.uni[natureza]"),"pro.soluto",
INDIRECT("rec.uni[empresa]"),AN$6)</f>
        <v>0</v>
      </c>
      <c r="AO99" s="49">
        <f ca="1">SUMIFS(rec.uni[2029-01-01],
INDIRECT("rec.uni[natureza]"),"taxa.extra",
INDIRECT("rec.uni[empresa]"),AO$6)</f>
        <v>0</v>
      </c>
      <c r="AP99" s="140"/>
    </row>
    <row r="100" spans="1:42" x14ac:dyDescent="0.25">
      <c r="A100" s="47">
        <v>47150</v>
      </c>
      <c r="B100" s="39"/>
      <c r="C100" s="49">
        <f ca="1">SUMIFS(rec.uni[2029-02-01],
INDIRECT("rec.uni[natureza]"),"pro.soluto",
INDIRECT("rec.uni[empresa]"),C$6)</f>
        <v>0</v>
      </c>
      <c r="D100" s="38"/>
      <c r="E100" s="51"/>
      <c r="F100" s="51"/>
      <c r="G100" s="49">
        <f ca="1">SUMIFS(rec.uni[2029-02-01],
INDIRECT("rec.uni[natureza]"),"taxa.extra",
INDIRECT("rec.uni[empresa]"),G$6)</f>
        <v>0</v>
      </c>
      <c r="H100" s="51"/>
      <c r="I100" s="39"/>
      <c r="J100" s="49">
        <f ca="1">SUMIFS(rec.uni[2029-02-01],
INDIRECT("rec.uni[natureza]"),"pro.soluto",
INDIRECT("rec.uni[empresa]"),J$6)</f>
        <v>0</v>
      </c>
      <c r="K100" s="38"/>
      <c r="L100" s="51"/>
      <c r="M100" s="51"/>
      <c r="N100" s="49">
        <f ca="1">SUMIFS(rec.uni[2029-02-01],
INDIRECT("rec.uni[natureza]"),"taxa.extra",
INDIRECT("rec.uni[empresa]"),N$6)</f>
        <v>0</v>
      </c>
      <c r="O100" s="51"/>
      <c r="P100" s="39"/>
      <c r="Q100" s="49">
        <f ca="1">SUMIFS(rec.uni[2029-02-01],
INDIRECT("rec.uni[natureza]"),"pro.soluto",
INDIRECT("rec.uni[empresa]"),Q$6)</f>
        <v>0</v>
      </c>
      <c r="R100" s="38"/>
      <c r="S100" s="51"/>
      <c r="T100" s="51"/>
      <c r="U100" s="49">
        <f ca="1">SUMIFS(rec.uni[2029-02-01],
INDIRECT("rec.uni[natureza]"),"taxa.extra",
INDIRECT("rec.uni[empresa]"),U$6)</f>
        <v>0</v>
      </c>
      <c r="V100" s="51"/>
      <c r="W100" s="39"/>
      <c r="X100" s="49">
        <f ca="1">SUMIFS(rec.uni[2029-02-01],
INDIRECT("rec.uni[natureza]"),"pro.soluto",
INDIRECT("rec.uni[empresa]"),X$6)</f>
        <v>0</v>
      </c>
      <c r="Y100" s="49">
        <f ca="1">SUMIFS(rec.uni[2029-02-01],
INDIRECT("rec.uni[natureza]"),"taxa.extra",
INDIRECT("rec.uni[empresa]"),Y$6)</f>
        <v>0</v>
      </c>
      <c r="Z100" s="51"/>
      <c r="AA100" s="39"/>
      <c r="AB100" s="49">
        <f ca="1">SUMIFS(rec.uni[2029-02-01],
INDIRECT("rec.uni[natureza]"),"pro.soluto",
INDIRECT("rec.uni[empresa]"),AB$6)</f>
        <v>0</v>
      </c>
      <c r="AC100" s="51">
        <f ca="1">SUMIFS(rec.uni[2029-02-01],
INDIRECT("rec.uni[natureza]"),"parcela.fin.total.ik",
INDIRECT("rec.uni[empresa]"),AC$6)</f>
        <v>0</v>
      </c>
      <c r="AD100" s="49">
        <f ca="1">SUMIFS(rec.uni[2029-02-01],
INDIRECT("rec.uni[natureza]"),"taxa.extra",
INDIRECT("rec.uni[empresa]"),AD$6)</f>
        <v>0</v>
      </c>
      <c r="AE100" s="51"/>
      <c r="AF100" s="48"/>
      <c r="AG100" s="49">
        <f ca="1">SUMIFS(rec.uni[2029-02-01],
INDIRECT("rec.uni[natureza]"),"pro.soluto",
INDIRECT("rec.uni[empresa]"),AG$6)</f>
        <v>0</v>
      </c>
      <c r="AH100" s="38"/>
      <c r="AI100" s="51"/>
      <c r="AJ100" s="51"/>
      <c r="AK100" s="49">
        <f ca="1">SUMIFS(rec.uni[2029-02-01],
INDIRECT("rec.uni[natureza]"),"taxa.extra",
INDIRECT("rec.uni[empresa]"),AK$6)</f>
        <v>0</v>
      </c>
      <c r="AL100" s="51"/>
      <c r="AM100" s="39"/>
      <c r="AN100" s="49">
        <f ca="1">SUMIFS(rec.uni[2029-02-01],
INDIRECT("rec.uni[natureza]"),"pro.soluto",
INDIRECT("rec.uni[empresa]"),AN$6)</f>
        <v>0</v>
      </c>
      <c r="AO100" s="49">
        <f ca="1">SUMIFS(rec.uni[2029-02-01],
INDIRECT("rec.uni[natureza]"),"taxa.extra",
INDIRECT("rec.uni[empresa]"),AO$6)</f>
        <v>0</v>
      </c>
      <c r="AP100" s="140"/>
    </row>
    <row r="101" spans="1:42" x14ac:dyDescent="0.25">
      <c r="A101" s="47">
        <v>47178</v>
      </c>
      <c r="B101" s="39"/>
      <c r="C101" s="49">
        <f ca="1">SUMIFS(rec.uni[2029-03-01],
INDIRECT("rec.uni[natureza]"),"pro.soluto",
INDIRECT("rec.uni[empresa]"),C$6)</f>
        <v>0</v>
      </c>
      <c r="D101" s="38"/>
      <c r="E101" s="51"/>
      <c r="F101" s="51"/>
      <c r="G101" s="49">
        <f ca="1">SUMIFS(rec.uni[2029-03-01],
INDIRECT("rec.uni[natureza]"),"taxa.extra",
INDIRECT("rec.uni[empresa]"),G$6)</f>
        <v>0</v>
      </c>
      <c r="H101" s="51"/>
      <c r="I101" s="39"/>
      <c r="J101" s="49">
        <f ca="1">SUMIFS(rec.uni[2029-03-01],
INDIRECT("rec.uni[natureza]"),"pro.soluto",
INDIRECT("rec.uni[empresa]"),J$6)</f>
        <v>0</v>
      </c>
      <c r="K101" s="38"/>
      <c r="L101" s="51"/>
      <c r="M101" s="51"/>
      <c r="N101" s="49">
        <f ca="1">SUMIFS(rec.uni[2029-03-01],
INDIRECT("rec.uni[natureza]"),"taxa.extra",
INDIRECT("rec.uni[empresa]"),N$6)</f>
        <v>0</v>
      </c>
      <c r="O101" s="51"/>
      <c r="P101" s="39"/>
      <c r="Q101" s="49">
        <f ca="1">SUMIFS(rec.uni[2029-03-01],
INDIRECT("rec.uni[natureza]"),"pro.soluto",
INDIRECT("rec.uni[empresa]"),Q$6)</f>
        <v>0</v>
      </c>
      <c r="R101" s="38"/>
      <c r="S101" s="51"/>
      <c r="T101" s="51"/>
      <c r="U101" s="49">
        <f ca="1">SUMIFS(rec.uni[2029-03-01],
INDIRECT("rec.uni[natureza]"),"taxa.extra",
INDIRECT("rec.uni[empresa]"),U$6)</f>
        <v>0</v>
      </c>
      <c r="V101" s="51"/>
      <c r="W101" s="39"/>
      <c r="X101" s="49">
        <f ca="1">SUMIFS(rec.uni[2029-03-01],
INDIRECT("rec.uni[natureza]"),"pro.soluto",
INDIRECT("rec.uni[empresa]"),X$6)</f>
        <v>0</v>
      </c>
      <c r="Y101" s="49">
        <f ca="1">SUMIFS(rec.uni[2029-03-01],
INDIRECT("rec.uni[natureza]"),"taxa.extra",
INDIRECT("rec.uni[empresa]"),Y$6)</f>
        <v>0</v>
      </c>
      <c r="Z101" s="51"/>
      <c r="AA101" s="39"/>
      <c r="AB101" s="49">
        <f ca="1">SUMIFS(rec.uni[2029-03-01],
INDIRECT("rec.uni[natureza]"),"pro.soluto",
INDIRECT("rec.uni[empresa]"),AB$6)</f>
        <v>0</v>
      </c>
      <c r="AC101" s="51">
        <f ca="1">SUMIFS(rec.uni[2029-03-01],
INDIRECT("rec.uni[natureza]"),"parcela.fin.total.ik",
INDIRECT("rec.uni[empresa]"),AC$6)</f>
        <v>0</v>
      </c>
      <c r="AD101" s="49">
        <f ca="1">SUMIFS(rec.uni[2029-03-01],
INDIRECT("rec.uni[natureza]"),"taxa.extra",
INDIRECT("rec.uni[empresa]"),AD$6)</f>
        <v>0</v>
      </c>
      <c r="AE101" s="51"/>
      <c r="AF101" s="48"/>
      <c r="AG101" s="49">
        <f ca="1">SUMIFS(rec.uni[2029-03-01],
INDIRECT("rec.uni[natureza]"),"pro.soluto",
INDIRECT("rec.uni[empresa]"),AG$6)</f>
        <v>0</v>
      </c>
      <c r="AH101" s="38"/>
      <c r="AI101" s="51"/>
      <c r="AJ101" s="51"/>
      <c r="AK101" s="49">
        <f ca="1">SUMIFS(rec.uni[2029-03-01],
INDIRECT("rec.uni[natureza]"),"taxa.extra",
INDIRECT("rec.uni[empresa]"),AK$6)</f>
        <v>0</v>
      </c>
      <c r="AL101" s="51"/>
      <c r="AM101" s="39"/>
      <c r="AN101" s="49">
        <f ca="1">SUMIFS(rec.uni[2029-03-01],
INDIRECT("rec.uni[natureza]"),"pro.soluto",
INDIRECT("rec.uni[empresa]"),AN$6)</f>
        <v>0</v>
      </c>
      <c r="AO101" s="49">
        <f ca="1">SUMIFS(rec.uni[2029-03-01],
INDIRECT("rec.uni[natureza]"),"taxa.extra",
INDIRECT("rec.uni[empresa]"),AO$6)</f>
        <v>0</v>
      </c>
      <c r="AP101" s="140"/>
    </row>
    <row r="102" spans="1:42" x14ac:dyDescent="0.25">
      <c r="A102" s="47">
        <v>47209</v>
      </c>
      <c r="B102" s="39"/>
      <c r="C102" s="49">
        <f ca="1">SUMIFS(rec.uni[2029-04-01],
INDIRECT("rec.uni[natureza]"),"pro.soluto",
INDIRECT("rec.uni[empresa]"),C$6)</f>
        <v>0</v>
      </c>
      <c r="D102" s="38"/>
      <c r="E102" s="51"/>
      <c r="F102" s="51"/>
      <c r="G102" s="49">
        <f ca="1">SUMIFS(rec.uni[2029-04-01],
INDIRECT("rec.uni[natureza]"),"taxa.extra",
INDIRECT("rec.uni[empresa]"),G$6)</f>
        <v>0</v>
      </c>
      <c r="H102" s="51"/>
      <c r="I102" s="39"/>
      <c r="J102" s="49">
        <f ca="1">SUMIFS(rec.uni[2029-04-01],
INDIRECT("rec.uni[natureza]"),"pro.soluto",
INDIRECT("rec.uni[empresa]"),J$6)</f>
        <v>0</v>
      </c>
      <c r="K102" s="38"/>
      <c r="L102" s="51"/>
      <c r="M102" s="51"/>
      <c r="N102" s="49">
        <f ca="1">SUMIFS(rec.uni[2029-04-01],
INDIRECT("rec.uni[natureza]"),"taxa.extra",
INDIRECT("rec.uni[empresa]"),N$6)</f>
        <v>0</v>
      </c>
      <c r="O102" s="51"/>
      <c r="P102" s="39"/>
      <c r="Q102" s="49">
        <f ca="1">SUMIFS(rec.uni[2029-04-01],
INDIRECT("rec.uni[natureza]"),"pro.soluto",
INDIRECT("rec.uni[empresa]"),Q$6)</f>
        <v>0</v>
      </c>
      <c r="R102" s="38"/>
      <c r="S102" s="51"/>
      <c r="T102" s="51"/>
      <c r="U102" s="49">
        <f ca="1">SUMIFS(rec.uni[2029-04-01],
INDIRECT("rec.uni[natureza]"),"taxa.extra",
INDIRECT("rec.uni[empresa]"),U$6)</f>
        <v>0</v>
      </c>
      <c r="V102" s="51"/>
      <c r="W102" s="39"/>
      <c r="X102" s="49">
        <f ca="1">SUMIFS(rec.uni[2029-04-01],
INDIRECT("rec.uni[natureza]"),"pro.soluto",
INDIRECT("rec.uni[empresa]"),X$6)</f>
        <v>0</v>
      </c>
      <c r="Y102" s="49">
        <f ca="1">SUMIFS(rec.uni[2029-04-01],
INDIRECT("rec.uni[natureza]"),"taxa.extra",
INDIRECT("rec.uni[empresa]"),Y$6)</f>
        <v>0</v>
      </c>
      <c r="Z102" s="51"/>
      <c r="AA102" s="39"/>
      <c r="AB102" s="49">
        <f ca="1">SUMIFS(rec.uni[2029-04-01],
INDIRECT("rec.uni[natureza]"),"pro.soluto",
INDIRECT("rec.uni[empresa]"),AB$6)</f>
        <v>0</v>
      </c>
      <c r="AC102" s="51">
        <f ca="1">SUMIFS(rec.uni[2029-04-01],
INDIRECT("rec.uni[natureza]"),"parcela.fin.total.ik",
INDIRECT("rec.uni[empresa]"),AC$6)</f>
        <v>0</v>
      </c>
      <c r="AD102" s="49">
        <f ca="1">SUMIFS(rec.uni[2029-04-01],
INDIRECT("rec.uni[natureza]"),"taxa.extra",
INDIRECT("rec.uni[empresa]"),AD$6)</f>
        <v>0</v>
      </c>
      <c r="AE102" s="51"/>
      <c r="AF102" s="48"/>
      <c r="AG102" s="49">
        <f ca="1">SUMIFS(rec.uni[2029-04-01],
INDIRECT("rec.uni[natureza]"),"pro.soluto",
INDIRECT("rec.uni[empresa]"),AG$6)</f>
        <v>0</v>
      </c>
      <c r="AH102" s="38"/>
      <c r="AI102" s="51"/>
      <c r="AJ102" s="51"/>
      <c r="AK102" s="49">
        <f ca="1">SUMIFS(rec.uni[2029-04-01],
INDIRECT("rec.uni[natureza]"),"taxa.extra",
INDIRECT("rec.uni[empresa]"),AK$6)</f>
        <v>0</v>
      </c>
      <c r="AL102" s="51"/>
      <c r="AM102" s="39"/>
      <c r="AN102" s="49">
        <f ca="1">SUMIFS(rec.uni[2029-04-01],
INDIRECT("rec.uni[natureza]"),"pro.soluto",
INDIRECT("rec.uni[empresa]"),AN$6)</f>
        <v>0</v>
      </c>
      <c r="AO102" s="49">
        <f ca="1">SUMIFS(rec.uni[2029-04-01],
INDIRECT("rec.uni[natureza]"),"taxa.extra",
INDIRECT("rec.uni[empresa]"),AO$6)</f>
        <v>0</v>
      </c>
      <c r="AP102" s="140"/>
    </row>
    <row r="103" spans="1:42" x14ac:dyDescent="0.25">
      <c r="A103" s="47">
        <v>47239</v>
      </c>
      <c r="B103" s="39"/>
      <c r="C103" s="49">
        <f ca="1">SUMIFS(rec.uni[2029-05-01],
INDIRECT("rec.uni[natureza]"),"pro.soluto",
INDIRECT("rec.uni[empresa]"),C$6)</f>
        <v>0</v>
      </c>
      <c r="D103" s="38"/>
      <c r="E103" s="51"/>
      <c r="F103" s="51"/>
      <c r="G103" s="49">
        <f ca="1">SUMIFS(rec.uni[2029-05-01],
INDIRECT("rec.uni[natureza]"),"taxa.extra",
INDIRECT("rec.uni[empresa]"),G$6)</f>
        <v>0</v>
      </c>
      <c r="H103" s="51"/>
      <c r="I103" s="39"/>
      <c r="J103" s="49">
        <f ca="1">SUMIFS(rec.uni[2029-05-01],
INDIRECT("rec.uni[natureza]"),"pro.soluto",
INDIRECT("rec.uni[empresa]"),J$6)</f>
        <v>0</v>
      </c>
      <c r="K103" s="38"/>
      <c r="L103" s="51"/>
      <c r="M103" s="51"/>
      <c r="N103" s="49">
        <f ca="1">SUMIFS(rec.uni[2029-05-01],
INDIRECT("rec.uni[natureza]"),"taxa.extra",
INDIRECT("rec.uni[empresa]"),N$6)</f>
        <v>0</v>
      </c>
      <c r="O103" s="51"/>
      <c r="P103" s="39"/>
      <c r="Q103" s="49">
        <f ca="1">SUMIFS(rec.uni[2029-05-01],
INDIRECT("rec.uni[natureza]"),"pro.soluto",
INDIRECT("rec.uni[empresa]"),Q$6)</f>
        <v>0</v>
      </c>
      <c r="R103" s="38"/>
      <c r="S103" s="51"/>
      <c r="T103" s="51"/>
      <c r="U103" s="49">
        <f ca="1">SUMIFS(rec.uni[2029-05-01],
INDIRECT("rec.uni[natureza]"),"taxa.extra",
INDIRECT("rec.uni[empresa]"),U$6)</f>
        <v>0</v>
      </c>
      <c r="V103" s="51"/>
      <c r="W103" s="39"/>
      <c r="X103" s="49">
        <f ca="1">SUMIFS(rec.uni[2029-05-01],
INDIRECT("rec.uni[natureza]"),"pro.soluto",
INDIRECT("rec.uni[empresa]"),X$6)</f>
        <v>0</v>
      </c>
      <c r="Y103" s="49">
        <f ca="1">SUMIFS(rec.uni[2029-05-01],
INDIRECT("rec.uni[natureza]"),"taxa.extra",
INDIRECT("rec.uni[empresa]"),Y$6)</f>
        <v>0</v>
      </c>
      <c r="Z103" s="51"/>
      <c r="AA103" s="39"/>
      <c r="AB103" s="49">
        <f ca="1">SUMIFS(rec.uni[2029-05-01],
INDIRECT("rec.uni[natureza]"),"pro.soluto",
INDIRECT("rec.uni[empresa]"),AB$6)</f>
        <v>0</v>
      </c>
      <c r="AC103" s="51">
        <f ca="1">SUMIFS(rec.uni[2029-05-01],
INDIRECT("rec.uni[natureza]"),"parcela.fin.total.ik",
INDIRECT("rec.uni[empresa]"),AC$6)</f>
        <v>0</v>
      </c>
      <c r="AD103" s="49">
        <f ca="1">SUMIFS(rec.uni[2029-05-01],
INDIRECT("rec.uni[natureza]"),"taxa.extra",
INDIRECT("rec.uni[empresa]"),AD$6)</f>
        <v>0</v>
      </c>
      <c r="AE103" s="51"/>
      <c r="AF103" s="48"/>
      <c r="AG103" s="49">
        <f ca="1">SUMIFS(rec.uni[2029-05-01],
INDIRECT("rec.uni[natureza]"),"pro.soluto",
INDIRECT("rec.uni[empresa]"),AG$6)</f>
        <v>0</v>
      </c>
      <c r="AH103" s="38"/>
      <c r="AI103" s="51"/>
      <c r="AJ103" s="51"/>
      <c r="AK103" s="49">
        <f ca="1">SUMIFS(rec.uni[2029-05-01],
INDIRECT("rec.uni[natureza]"),"taxa.extra",
INDIRECT("rec.uni[empresa]"),AK$6)</f>
        <v>0</v>
      </c>
      <c r="AL103" s="51"/>
      <c r="AM103" s="39"/>
      <c r="AN103" s="49">
        <f ca="1">SUMIFS(rec.uni[2029-05-01],
INDIRECT("rec.uni[natureza]"),"pro.soluto",
INDIRECT("rec.uni[empresa]"),AN$6)</f>
        <v>0</v>
      </c>
      <c r="AO103" s="49">
        <f ca="1">SUMIFS(rec.uni[2029-05-01],
INDIRECT("rec.uni[natureza]"),"taxa.extra",
INDIRECT("rec.uni[empresa]"),AO$6)</f>
        <v>0</v>
      </c>
      <c r="AP103" s="140"/>
    </row>
    <row r="104" spans="1:42" x14ac:dyDescent="0.25">
      <c r="A104" s="47">
        <v>47270</v>
      </c>
      <c r="B104" s="39"/>
      <c r="C104" s="49">
        <f ca="1">SUMIFS(rec.uni[2029-06-01],
INDIRECT("rec.uni[natureza]"),"pro.soluto",
INDIRECT("rec.uni[empresa]"),C$6)</f>
        <v>0</v>
      </c>
      <c r="D104" s="38"/>
      <c r="E104" s="51"/>
      <c r="F104" s="51"/>
      <c r="G104" s="49">
        <f ca="1">SUMIFS(rec.uni[2029-06-01],
INDIRECT("rec.uni[natureza]"),"taxa.extra",
INDIRECT("rec.uni[empresa]"),G$6)</f>
        <v>0</v>
      </c>
      <c r="H104" s="51"/>
      <c r="I104" s="39"/>
      <c r="J104" s="49">
        <f ca="1">SUMIFS(rec.uni[2029-06-01],
INDIRECT("rec.uni[natureza]"),"pro.soluto",
INDIRECT("rec.uni[empresa]"),J$6)</f>
        <v>0</v>
      </c>
      <c r="K104" s="38"/>
      <c r="L104" s="51"/>
      <c r="M104" s="51"/>
      <c r="N104" s="49">
        <f ca="1">SUMIFS(rec.uni[2029-06-01],
INDIRECT("rec.uni[natureza]"),"taxa.extra",
INDIRECT("rec.uni[empresa]"),N$6)</f>
        <v>0</v>
      </c>
      <c r="O104" s="51"/>
      <c r="P104" s="39"/>
      <c r="Q104" s="49">
        <f ca="1">SUMIFS(rec.uni[2029-06-01],
INDIRECT("rec.uni[natureza]"),"pro.soluto",
INDIRECT("rec.uni[empresa]"),Q$6)</f>
        <v>0</v>
      </c>
      <c r="R104" s="38"/>
      <c r="S104" s="51"/>
      <c r="T104" s="51"/>
      <c r="U104" s="49">
        <f ca="1">SUMIFS(rec.uni[2029-06-01],
INDIRECT("rec.uni[natureza]"),"taxa.extra",
INDIRECT("rec.uni[empresa]"),U$6)</f>
        <v>0</v>
      </c>
      <c r="V104" s="51"/>
      <c r="W104" s="39"/>
      <c r="X104" s="49">
        <f ca="1">SUMIFS(rec.uni[2029-06-01],
INDIRECT("rec.uni[natureza]"),"pro.soluto",
INDIRECT("rec.uni[empresa]"),X$6)</f>
        <v>0</v>
      </c>
      <c r="Y104" s="49">
        <f ca="1">SUMIFS(rec.uni[2029-06-01],
INDIRECT("rec.uni[natureza]"),"taxa.extra",
INDIRECT("rec.uni[empresa]"),Y$6)</f>
        <v>0</v>
      </c>
      <c r="Z104" s="51"/>
      <c r="AA104" s="39"/>
      <c r="AB104" s="49">
        <f ca="1">SUMIFS(rec.uni[2029-06-01],
INDIRECT("rec.uni[natureza]"),"pro.soluto",
INDIRECT("rec.uni[empresa]"),AB$6)</f>
        <v>0</v>
      </c>
      <c r="AC104" s="51">
        <f ca="1">SUMIFS(rec.uni[2029-06-01],
INDIRECT("rec.uni[natureza]"),"parcela.fin.total.ik",
INDIRECT("rec.uni[empresa]"),AC$6)</f>
        <v>0</v>
      </c>
      <c r="AD104" s="49">
        <f ca="1">SUMIFS(rec.uni[2029-06-01],
INDIRECT("rec.uni[natureza]"),"taxa.extra",
INDIRECT("rec.uni[empresa]"),AD$6)</f>
        <v>0</v>
      </c>
      <c r="AE104" s="51"/>
      <c r="AF104" s="48"/>
      <c r="AG104" s="49">
        <f ca="1">SUMIFS(rec.uni[2029-06-01],
INDIRECT("rec.uni[natureza]"),"pro.soluto",
INDIRECT("rec.uni[empresa]"),AG$6)</f>
        <v>0</v>
      </c>
      <c r="AH104" s="38"/>
      <c r="AI104" s="51"/>
      <c r="AJ104" s="51"/>
      <c r="AK104" s="49">
        <f ca="1">SUMIFS(rec.uni[2029-06-01],
INDIRECT("rec.uni[natureza]"),"taxa.extra",
INDIRECT("rec.uni[empresa]"),AK$6)</f>
        <v>0</v>
      </c>
      <c r="AL104" s="51"/>
      <c r="AM104" s="39"/>
      <c r="AN104" s="49">
        <f ca="1">SUMIFS(rec.uni[2029-06-01],
INDIRECT("rec.uni[natureza]"),"pro.soluto",
INDIRECT("rec.uni[empresa]"),AN$6)</f>
        <v>0</v>
      </c>
      <c r="AO104" s="49">
        <f ca="1">SUMIFS(rec.uni[2029-06-01],
INDIRECT("rec.uni[natureza]"),"taxa.extra",
INDIRECT("rec.uni[empresa]"),AO$6)</f>
        <v>0</v>
      </c>
      <c r="AP104" s="140"/>
    </row>
    <row r="105" spans="1:42" x14ac:dyDescent="0.25">
      <c r="A105" s="47">
        <v>47300</v>
      </c>
      <c r="B105" s="39"/>
      <c r="C105" s="49">
        <f ca="1">SUMIFS(rec.uni[2029-07-01],
INDIRECT("rec.uni[natureza]"),"pro.soluto",
INDIRECT("rec.uni[empresa]"),C$6)</f>
        <v>0</v>
      </c>
      <c r="D105" s="38"/>
      <c r="E105" s="51"/>
      <c r="F105" s="51"/>
      <c r="G105" s="49">
        <f ca="1">SUMIFS(rec.uni[2029-07-01],
INDIRECT("rec.uni[natureza]"),"taxa.extra",
INDIRECT("rec.uni[empresa]"),G$6)</f>
        <v>0</v>
      </c>
      <c r="H105" s="51"/>
      <c r="I105" s="39"/>
      <c r="J105" s="49">
        <f ca="1">SUMIFS(rec.uni[2029-07-01],
INDIRECT("rec.uni[natureza]"),"pro.soluto",
INDIRECT("rec.uni[empresa]"),J$6)</f>
        <v>0</v>
      </c>
      <c r="K105" s="38"/>
      <c r="L105" s="51"/>
      <c r="M105" s="51"/>
      <c r="N105" s="49">
        <f ca="1">SUMIFS(rec.uni[2029-07-01],
INDIRECT("rec.uni[natureza]"),"taxa.extra",
INDIRECT("rec.uni[empresa]"),N$6)</f>
        <v>0</v>
      </c>
      <c r="O105" s="51"/>
      <c r="P105" s="39"/>
      <c r="Q105" s="49">
        <f ca="1">SUMIFS(rec.uni[2029-07-01],
INDIRECT("rec.uni[natureza]"),"pro.soluto",
INDIRECT("rec.uni[empresa]"),Q$6)</f>
        <v>0</v>
      </c>
      <c r="R105" s="38"/>
      <c r="S105" s="51"/>
      <c r="T105" s="51"/>
      <c r="U105" s="49">
        <f ca="1">SUMIFS(rec.uni[2029-07-01],
INDIRECT("rec.uni[natureza]"),"taxa.extra",
INDIRECT("rec.uni[empresa]"),U$6)</f>
        <v>0</v>
      </c>
      <c r="V105" s="51"/>
      <c r="W105" s="39"/>
      <c r="X105" s="49">
        <f ca="1">SUMIFS(rec.uni[2029-07-01],
INDIRECT("rec.uni[natureza]"),"pro.soluto",
INDIRECT("rec.uni[empresa]"),X$6)</f>
        <v>0</v>
      </c>
      <c r="Y105" s="49">
        <f ca="1">SUMIFS(rec.uni[2029-07-01],
INDIRECT("rec.uni[natureza]"),"taxa.extra",
INDIRECT("rec.uni[empresa]"),Y$6)</f>
        <v>0</v>
      </c>
      <c r="Z105" s="51"/>
      <c r="AA105" s="39"/>
      <c r="AB105" s="49">
        <f ca="1">SUMIFS(rec.uni[2029-07-01],
INDIRECT("rec.uni[natureza]"),"pro.soluto",
INDIRECT("rec.uni[empresa]"),AB$6)</f>
        <v>0</v>
      </c>
      <c r="AC105" s="51">
        <f ca="1">SUMIFS(rec.uni[2029-07-01],
INDIRECT("rec.uni[natureza]"),"parcela.fin.total.ik",
INDIRECT("rec.uni[empresa]"),AC$6)</f>
        <v>0</v>
      </c>
      <c r="AD105" s="49">
        <f ca="1">SUMIFS(rec.uni[2029-07-01],
INDIRECT("rec.uni[natureza]"),"taxa.extra",
INDIRECT("rec.uni[empresa]"),AD$6)</f>
        <v>0</v>
      </c>
      <c r="AE105" s="51"/>
      <c r="AF105" s="48"/>
      <c r="AG105" s="49">
        <f ca="1">SUMIFS(rec.uni[2029-07-01],
INDIRECT("rec.uni[natureza]"),"pro.soluto",
INDIRECT("rec.uni[empresa]"),AG$6)</f>
        <v>0</v>
      </c>
      <c r="AH105" s="38"/>
      <c r="AI105" s="51"/>
      <c r="AJ105" s="51"/>
      <c r="AK105" s="49">
        <f ca="1">SUMIFS(rec.uni[2029-07-01],
INDIRECT("rec.uni[natureza]"),"taxa.extra",
INDIRECT("rec.uni[empresa]"),AK$6)</f>
        <v>0</v>
      </c>
      <c r="AL105" s="51"/>
      <c r="AM105" s="39"/>
      <c r="AN105" s="49">
        <f ca="1">SUMIFS(rec.uni[2029-07-01],
INDIRECT("rec.uni[natureza]"),"pro.soluto",
INDIRECT("rec.uni[empresa]"),AN$6)</f>
        <v>0</v>
      </c>
      <c r="AO105" s="49">
        <f ca="1">SUMIFS(rec.uni[2029-07-01],
INDIRECT("rec.uni[natureza]"),"taxa.extra",
INDIRECT("rec.uni[empresa]"),AO$6)</f>
        <v>0</v>
      </c>
      <c r="AP105" s="140"/>
    </row>
    <row r="106" spans="1:42" x14ac:dyDescent="0.25">
      <c r="A106" s="47">
        <v>47331</v>
      </c>
      <c r="B106" s="39"/>
      <c r="C106" s="49">
        <f ca="1">SUMIFS(rec.uni[2029-08-01],
INDIRECT("rec.uni[natureza]"),"pro.soluto",
INDIRECT("rec.uni[empresa]"),C$6)</f>
        <v>0</v>
      </c>
      <c r="D106" s="38"/>
      <c r="E106" s="51"/>
      <c r="F106" s="51"/>
      <c r="G106" s="49">
        <f ca="1">SUMIFS(rec.uni[2029-08-01],
INDIRECT("rec.uni[natureza]"),"taxa.extra",
INDIRECT("rec.uni[empresa]"),G$6)</f>
        <v>0</v>
      </c>
      <c r="H106" s="51"/>
      <c r="I106" s="39"/>
      <c r="J106" s="49">
        <f ca="1">SUMIFS(rec.uni[2029-08-01],
INDIRECT("rec.uni[natureza]"),"pro.soluto",
INDIRECT("rec.uni[empresa]"),J$6)</f>
        <v>0</v>
      </c>
      <c r="K106" s="38"/>
      <c r="L106" s="51"/>
      <c r="M106" s="51"/>
      <c r="N106" s="49">
        <f ca="1">SUMIFS(rec.uni[2029-08-01],
INDIRECT("rec.uni[natureza]"),"taxa.extra",
INDIRECT("rec.uni[empresa]"),N$6)</f>
        <v>0</v>
      </c>
      <c r="O106" s="51"/>
      <c r="P106" s="39"/>
      <c r="Q106" s="49">
        <f ca="1">SUMIFS(rec.uni[2029-08-01],
INDIRECT("rec.uni[natureza]"),"pro.soluto",
INDIRECT("rec.uni[empresa]"),Q$6)</f>
        <v>0</v>
      </c>
      <c r="R106" s="38"/>
      <c r="S106" s="51"/>
      <c r="T106" s="51"/>
      <c r="U106" s="49">
        <f ca="1">SUMIFS(rec.uni[2029-08-01],
INDIRECT("rec.uni[natureza]"),"taxa.extra",
INDIRECT("rec.uni[empresa]"),U$6)</f>
        <v>0</v>
      </c>
      <c r="V106" s="51"/>
      <c r="W106" s="39"/>
      <c r="X106" s="49">
        <f ca="1">SUMIFS(rec.uni[2029-08-01],
INDIRECT("rec.uni[natureza]"),"pro.soluto",
INDIRECT("rec.uni[empresa]"),X$6)</f>
        <v>0</v>
      </c>
      <c r="Y106" s="49">
        <f ca="1">SUMIFS(rec.uni[2029-08-01],
INDIRECT("rec.uni[natureza]"),"taxa.extra",
INDIRECT("rec.uni[empresa]"),Y$6)</f>
        <v>0</v>
      </c>
      <c r="Z106" s="51"/>
      <c r="AA106" s="39"/>
      <c r="AB106" s="49">
        <f ca="1">SUMIFS(rec.uni[2029-08-01],
INDIRECT("rec.uni[natureza]"),"pro.soluto",
INDIRECT("rec.uni[empresa]"),AB$6)</f>
        <v>0</v>
      </c>
      <c r="AC106" s="51">
        <f ca="1">SUMIFS(rec.uni[2029-08-01],
INDIRECT("rec.uni[natureza]"),"parcela.fin.total.ik",
INDIRECT("rec.uni[empresa]"),AC$6)</f>
        <v>0</v>
      </c>
      <c r="AD106" s="49">
        <f ca="1">SUMIFS(rec.uni[2029-08-01],
INDIRECT("rec.uni[natureza]"),"taxa.extra",
INDIRECT("rec.uni[empresa]"),AD$6)</f>
        <v>0</v>
      </c>
      <c r="AE106" s="51"/>
      <c r="AF106" s="48"/>
      <c r="AG106" s="49">
        <f ca="1">SUMIFS(rec.uni[2029-08-01],
INDIRECT("rec.uni[natureza]"),"pro.soluto",
INDIRECT("rec.uni[empresa]"),AG$6)</f>
        <v>0</v>
      </c>
      <c r="AH106" s="38"/>
      <c r="AI106" s="51"/>
      <c r="AJ106" s="51"/>
      <c r="AK106" s="49">
        <f ca="1">SUMIFS(rec.uni[2029-08-01],
INDIRECT("rec.uni[natureza]"),"taxa.extra",
INDIRECT("rec.uni[empresa]"),AK$6)</f>
        <v>0</v>
      </c>
      <c r="AL106" s="51"/>
      <c r="AM106" s="39"/>
      <c r="AN106" s="49">
        <f ca="1">SUMIFS(rec.uni[2029-08-01],
INDIRECT("rec.uni[natureza]"),"pro.soluto",
INDIRECT("rec.uni[empresa]"),AN$6)</f>
        <v>0</v>
      </c>
      <c r="AO106" s="49">
        <f ca="1">SUMIFS(rec.uni[2029-08-01],
INDIRECT("rec.uni[natureza]"),"taxa.extra",
INDIRECT("rec.uni[empresa]"),AO$6)</f>
        <v>0</v>
      </c>
      <c r="AP106" s="140"/>
    </row>
    <row r="107" spans="1:42" x14ac:dyDescent="0.25">
      <c r="A107" s="47">
        <v>47362</v>
      </c>
      <c r="B107" s="39"/>
      <c r="C107" s="49">
        <f ca="1">SUMIFS(rec.uni[2029-09-01],
INDIRECT("rec.uni[natureza]"),"pro.soluto",
INDIRECT("rec.uni[empresa]"),C$6)</f>
        <v>0</v>
      </c>
      <c r="D107" s="38"/>
      <c r="E107" s="51"/>
      <c r="F107" s="51"/>
      <c r="G107" s="49">
        <f ca="1">SUMIFS(rec.uni[2029-09-01],
INDIRECT("rec.uni[natureza]"),"taxa.extra",
INDIRECT("rec.uni[empresa]"),G$6)</f>
        <v>0</v>
      </c>
      <c r="H107" s="51"/>
      <c r="I107" s="39"/>
      <c r="J107" s="49">
        <f ca="1">SUMIFS(rec.uni[2029-09-01],
INDIRECT("rec.uni[natureza]"),"pro.soluto",
INDIRECT("rec.uni[empresa]"),J$6)</f>
        <v>0</v>
      </c>
      <c r="K107" s="38"/>
      <c r="L107" s="51"/>
      <c r="M107" s="51"/>
      <c r="N107" s="49">
        <f ca="1">SUMIFS(rec.uni[2029-09-01],
INDIRECT("rec.uni[natureza]"),"taxa.extra",
INDIRECT("rec.uni[empresa]"),N$6)</f>
        <v>0</v>
      </c>
      <c r="O107" s="51"/>
      <c r="P107" s="39"/>
      <c r="Q107" s="49">
        <f ca="1">SUMIFS(rec.uni[2029-09-01],
INDIRECT("rec.uni[natureza]"),"pro.soluto",
INDIRECT("rec.uni[empresa]"),Q$6)</f>
        <v>0</v>
      </c>
      <c r="R107" s="38"/>
      <c r="S107" s="51"/>
      <c r="T107" s="51"/>
      <c r="U107" s="49">
        <f ca="1">SUMIFS(rec.uni[2029-09-01],
INDIRECT("rec.uni[natureza]"),"taxa.extra",
INDIRECT("rec.uni[empresa]"),U$6)</f>
        <v>0</v>
      </c>
      <c r="V107" s="51"/>
      <c r="W107" s="39"/>
      <c r="X107" s="49">
        <f ca="1">SUMIFS(rec.uni[2029-09-01],
INDIRECT("rec.uni[natureza]"),"pro.soluto",
INDIRECT("rec.uni[empresa]"),X$6)</f>
        <v>0</v>
      </c>
      <c r="Y107" s="49">
        <f ca="1">SUMIFS(rec.uni[2029-09-01],
INDIRECT("rec.uni[natureza]"),"taxa.extra",
INDIRECT("rec.uni[empresa]"),Y$6)</f>
        <v>0</v>
      </c>
      <c r="Z107" s="51"/>
      <c r="AA107" s="39"/>
      <c r="AB107" s="49">
        <f ca="1">SUMIFS(rec.uni[2029-09-01],
INDIRECT("rec.uni[natureza]"),"pro.soluto",
INDIRECT("rec.uni[empresa]"),AB$6)</f>
        <v>0</v>
      </c>
      <c r="AC107" s="51">
        <f ca="1">SUMIFS(rec.uni[2029-09-01],
INDIRECT("rec.uni[natureza]"),"parcela.fin.total.ik",
INDIRECT("rec.uni[empresa]"),AC$6)</f>
        <v>0</v>
      </c>
      <c r="AD107" s="49">
        <f ca="1">SUMIFS(rec.uni[2029-09-01],
INDIRECT("rec.uni[natureza]"),"taxa.extra",
INDIRECT("rec.uni[empresa]"),AD$6)</f>
        <v>0</v>
      </c>
      <c r="AE107" s="51"/>
      <c r="AF107" s="48"/>
      <c r="AG107" s="49">
        <f ca="1">SUMIFS(rec.uni[2029-09-01],
INDIRECT("rec.uni[natureza]"),"pro.soluto",
INDIRECT("rec.uni[empresa]"),AG$6)</f>
        <v>0</v>
      </c>
      <c r="AH107" s="38"/>
      <c r="AI107" s="51"/>
      <c r="AJ107" s="51"/>
      <c r="AK107" s="49">
        <f ca="1">SUMIFS(rec.uni[2029-09-01],
INDIRECT("rec.uni[natureza]"),"taxa.extra",
INDIRECT("rec.uni[empresa]"),AK$6)</f>
        <v>0</v>
      </c>
      <c r="AL107" s="51"/>
      <c r="AM107" s="39"/>
      <c r="AN107" s="49">
        <f ca="1">SUMIFS(rec.uni[2029-09-01],
INDIRECT("rec.uni[natureza]"),"pro.soluto",
INDIRECT("rec.uni[empresa]"),AN$6)</f>
        <v>0</v>
      </c>
      <c r="AO107" s="49">
        <f ca="1">SUMIFS(rec.uni[2029-09-01],
INDIRECT("rec.uni[natureza]"),"taxa.extra",
INDIRECT("rec.uni[empresa]"),AO$6)</f>
        <v>0</v>
      </c>
      <c r="AP107" s="140"/>
    </row>
    <row r="108" spans="1:42" x14ac:dyDescent="0.25">
      <c r="A108" s="47">
        <v>47392</v>
      </c>
      <c r="B108" s="39"/>
      <c r="C108" s="49">
        <f ca="1">SUMIFS(rec.uni[2029-10-01],
INDIRECT("rec.uni[natureza]"),"pro.soluto",
INDIRECT("rec.uni[empresa]"),C$6)</f>
        <v>0</v>
      </c>
      <c r="D108" s="38"/>
      <c r="E108" s="51"/>
      <c r="F108" s="51"/>
      <c r="G108" s="49">
        <f ca="1">SUMIFS(rec.uni[2029-10-01],
INDIRECT("rec.uni[natureza]"),"taxa.extra",
INDIRECT("rec.uni[empresa]"),G$6)</f>
        <v>0</v>
      </c>
      <c r="H108" s="51"/>
      <c r="I108" s="39"/>
      <c r="J108" s="49">
        <f ca="1">SUMIFS(rec.uni[2029-10-01],
INDIRECT("rec.uni[natureza]"),"pro.soluto",
INDIRECT("rec.uni[empresa]"),J$6)</f>
        <v>0</v>
      </c>
      <c r="K108" s="38"/>
      <c r="L108" s="51"/>
      <c r="M108" s="51"/>
      <c r="N108" s="49">
        <f ca="1">SUMIFS(rec.uni[2029-10-01],
INDIRECT("rec.uni[natureza]"),"taxa.extra",
INDIRECT("rec.uni[empresa]"),N$6)</f>
        <v>0</v>
      </c>
      <c r="O108" s="51"/>
      <c r="P108" s="39"/>
      <c r="Q108" s="49">
        <f ca="1">SUMIFS(rec.uni[2029-10-01],
INDIRECT("rec.uni[natureza]"),"pro.soluto",
INDIRECT("rec.uni[empresa]"),Q$6)</f>
        <v>0</v>
      </c>
      <c r="R108" s="38"/>
      <c r="S108" s="51"/>
      <c r="T108" s="51"/>
      <c r="U108" s="49">
        <f ca="1">SUMIFS(rec.uni[2029-10-01],
INDIRECT("rec.uni[natureza]"),"taxa.extra",
INDIRECT("rec.uni[empresa]"),U$6)</f>
        <v>0</v>
      </c>
      <c r="V108" s="51"/>
      <c r="W108" s="39"/>
      <c r="X108" s="49">
        <f ca="1">SUMIFS(rec.uni[2029-10-01],
INDIRECT("rec.uni[natureza]"),"pro.soluto",
INDIRECT("rec.uni[empresa]"),X$6)</f>
        <v>0</v>
      </c>
      <c r="Y108" s="49">
        <f ca="1">SUMIFS(rec.uni[2029-10-01],
INDIRECT("rec.uni[natureza]"),"taxa.extra",
INDIRECT("rec.uni[empresa]"),Y$6)</f>
        <v>0</v>
      </c>
      <c r="Z108" s="51"/>
      <c r="AA108" s="39"/>
      <c r="AB108" s="49">
        <f ca="1">SUMIFS(rec.uni[2029-10-01],
INDIRECT("rec.uni[natureza]"),"pro.soluto",
INDIRECT("rec.uni[empresa]"),AB$6)</f>
        <v>0</v>
      </c>
      <c r="AC108" s="51">
        <f ca="1">SUMIFS(rec.uni[2029-10-01],
INDIRECT("rec.uni[natureza]"),"parcela.fin.total.ik",
INDIRECT("rec.uni[empresa]"),AC$6)</f>
        <v>0</v>
      </c>
      <c r="AD108" s="49">
        <f ca="1">SUMIFS(rec.uni[2029-10-01],
INDIRECT("rec.uni[natureza]"),"taxa.extra",
INDIRECT("rec.uni[empresa]"),AD$6)</f>
        <v>0</v>
      </c>
      <c r="AE108" s="51"/>
      <c r="AF108" s="48"/>
      <c r="AG108" s="49">
        <f ca="1">SUMIFS(rec.uni[2029-10-01],
INDIRECT("rec.uni[natureza]"),"pro.soluto",
INDIRECT("rec.uni[empresa]"),AG$6)</f>
        <v>0</v>
      </c>
      <c r="AH108" s="38"/>
      <c r="AI108" s="51"/>
      <c r="AJ108" s="51"/>
      <c r="AK108" s="49">
        <f ca="1">SUMIFS(rec.uni[2029-10-01],
INDIRECT("rec.uni[natureza]"),"taxa.extra",
INDIRECT("rec.uni[empresa]"),AK$6)</f>
        <v>0</v>
      </c>
      <c r="AL108" s="51"/>
      <c r="AM108" s="39"/>
      <c r="AN108" s="49">
        <f ca="1">SUMIFS(rec.uni[2029-10-01],
INDIRECT("rec.uni[natureza]"),"pro.soluto",
INDIRECT("rec.uni[empresa]"),AN$6)</f>
        <v>0</v>
      </c>
      <c r="AO108" s="49">
        <f ca="1">SUMIFS(rec.uni[2029-10-01],
INDIRECT("rec.uni[natureza]"),"taxa.extra",
INDIRECT("rec.uni[empresa]"),AO$6)</f>
        <v>0</v>
      </c>
      <c r="AP108" s="140"/>
    </row>
    <row r="109" spans="1:42" x14ac:dyDescent="0.25">
      <c r="A109" s="47">
        <v>47423</v>
      </c>
      <c r="B109" s="39"/>
      <c r="C109" s="49">
        <f ca="1">SUMIFS(rec.uni[2029-11-01],
INDIRECT("rec.uni[natureza]"),"pro.soluto",
INDIRECT("rec.uni[empresa]"),C$6)</f>
        <v>0</v>
      </c>
      <c r="D109" s="38"/>
      <c r="E109" s="51"/>
      <c r="F109" s="51"/>
      <c r="G109" s="49">
        <f ca="1">SUMIFS(rec.uni[2029-11-01],
INDIRECT("rec.uni[natureza]"),"taxa.extra",
INDIRECT("rec.uni[empresa]"),G$6)</f>
        <v>0</v>
      </c>
      <c r="H109" s="51"/>
      <c r="I109" s="39"/>
      <c r="J109" s="49">
        <f ca="1">SUMIFS(rec.uni[2029-11-01],
INDIRECT("rec.uni[natureza]"),"pro.soluto",
INDIRECT("rec.uni[empresa]"),J$6)</f>
        <v>0</v>
      </c>
      <c r="K109" s="38"/>
      <c r="L109" s="51"/>
      <c r="M109" s="51"/>
      <c r="N109" s="49">
        <f ca="1">SUMIFS(rec.uni[2029-11-01],
INDIRECT("rec.uni[natureza]"),"taxa.extra",
INDIRECT("rec.uni[empresa]"),N$6)</f>
        <v>0</v>
      </c>
      <c r="O109" s="51"/>
      <c r="P109" s="39"/>
      <c r="Q109" s="49">
        <f ca="1">SUMIFS(rec.uni[2029-11-01],
INDIRECT("rec.uni[natureza]"),"pro.soluto",
INDIRECT("rec.uni[empresa]"),Q$6)</f>
        <v>0</v>
      </c>
      <c r="R109" s="38"/>
      <c r="S109" s="51"/>
      <c r="T109" s="51"/>
      <c r="U109" s="49">
        <f ca="1">SUMIFS(rec.uni[2029-11-01],
INDIRECT("rec.uni[natureza]"),"taxa.extra",
INDIRECT("rec.uni[empresa]"),U$6)</f>
        <v>0</v>
      </c>
      <c r="V109" s="51"/>
      <c r="W109" s="39"/>
      <c r="X109" s="49">
        <f ca="1">SUMIFS(rec.uni[2029-11-01],
INDIRECT("rec.uni[natureza]"),"pro.soluto",
INDIRECT("rec.uni[empresa]"),X$6)</f>
        <v>0</v>
      </c>
      <c r="Y109" s="49">
        <f ca="1">SUMIFS(rec.uni[2029-11-01],
INDIRECT("rec.uni[natureza]"),"taxa.extra",
INDIRECT("rec.uni[empresa]"),Y$6)</f>
        <v>0</v>
      </c>
      <c r="Z109" s="51"/>
      <c r="AA109" s="39"/>
      <c r="AB109" s="49">
        <f ca="1">SUMIFS(rec.uni[2029-11-01],
INDIRECT("rec.uni[natureza]"),"pro.soluto",
INDIRECT("rec.uni[empresa]"),AB$6)</f>
        <v>0</v>
      </c>
      <c r="AC109" s="51">
        <f ca="1">SUMIFS(rec.uni[2029-11-01],
INDIRECT("rec.uni[natureza]"),"parcela.fin.total.ik",
INDIRECT("rec.uni[empresa]"),AC$6)</f>
        <v>0</v>
      </c>
      <c r="AD109" s="49">
        <f ca="1">SUMIFS(rec.uni[2029-11-01],
INDIRECT("rec.uni[natureza]"),"taxa.extra",
INDIRECT("rec.uni[empresa]"),AD$6)</f>
        <v>0</v>
      </c>
      <c r="AE109" s="51"/>
      <c r="AF109" s="48"/>
      <c r="AG109" s="49">
        <f ca="1">SUMIFS(rec.uni[2029-11-01],
INDIRECT("rec.uni[natureza]"),"pro.soluto",
INDIRECT("rec.uni[empresa]"),AG$6)</f>
        <v>0</v>
      </c>
      <c r="AH109" s="38"/>
      <c r="AI109" s="51"/>
      <c r="AJ109" s="51"/>
      <c r="AK109" s="49">
        <f ca="1">SUMIFS(rec.uni[2029-11-01],
INDIRECT("rec.uni[natureza]"),"taxa.extra",
INDIRECT("rec.uni[empresa]"),AK$6)</f>
        <v>0</v>
      </c>
      <c r="AL109" s="51"/>
      <c r="AM109" s="39"/>
      <c r="AN109" s="49">
        <f ca="1">SUMIFS(rec.uni[2029-11-01],
INDIRECT("rec.uni[natureza]"),"pro.soluto",
INDIRECT("rec.uni[empresa]"),AN$6)</f>
        <v>0</v>
      </c>
      <c r="AO109" s="49">
        <f ca="1">SUMIFS(rec.uni[2029-11-01],
INDIRECT("rec.uni[natureza]"),"taxa.extra",
INDIRECT("rec.uni[empresa]"),AO$6)</f>
        <v>0</v>
      </c>
      <c r="AP109" s="140"/>
    </row>
    <row r="110" spans="1:42" x14ac:dyDescent="0.25">
      <c r="A110" s="47">
        <v>47453</v>
      </c>
      <c r="B110" s="39"/>
      <c r="C110" s="49">
        <f ca="1">SUMIFS(rec.uni[2029-12-01],
INDIRECT("rec.uni[natureza]"),"pro.soluto",
INDIRECT("rec.uni[empresa]"),C$6)</f>
        <v>0</v>
      </c>
      <c r="D110" s="38"/>
      <c r="E110" s="51"/>
      <c r="F110" s="51"/>
      <c r="G110" s="49">
        <f ca="1">SUMIFS(rec.uni[2029-12-01],
INDIRECT("rec.uni[natureza]"),"taxa.extra",
INDIRECT("rec.uni[empresa]"),G$6)</f>
        <v>0</v>
      </c>
      <c r="H110" s="51"/>
      <c r="I110" s="39"/>
      <c r="J110" s="49">
        <f ca="1">SUMIFS(rec.uni[2029-12-01],
INDIRECT("rec.uni[natureza]"),"pro.soluto",
INDIRECT("rec.uni[empresa]"),J$6)</f>
        <v>0</v>
      </c>
      <c r="K110" s="38"/>
      <c r="L110" s="51"/>
      <c r="M110" s="51"/>
      <c r="N110" s="49">
        <f ca="1">SUMIFS(rec.uni[2029-12-01],
INDIRECT("rec.uni[natureza]"),"taxa.extra",
INDIRECT("rec.uni[empresa]"),N$6)</f>
        <v>0</v>
      </c>
      <c r="O110" s="51"/>
      <c r="P110" s="39"/>
      <c r="Q110" s="49">
        <f ca="1">SUMIFS(rec.uni[2029-12-01],
INDIRECT("rec.uni[natureza]"),"pro.soluto",
INDIRECT("rec.uni[empresa]"),Q$6)</f>
        <v>0</v>
      </c>
      <c r="R110" s="38"/>
      <c r="S110" s="51"/>
      <c r="T110" s="51"/>
      <c r="U110" s="49">
        <f ca="1">SUMIFS(rec.uni[2029-12-01],
INDIRECT("rec.uni[natureza]"),"taxa.extra",
INDIRECT("rec.uni[empresa]"),U$6)</f>
        <v>0</v>
      </c>
      <c r="V110" s="51"/>
      <c r="W110" s="39"/>
      <c r="X110" s="49">
        <f ca="1">SUMIFS(rec.uni[2029-12-01],
INDIRECT("rec.uni[natureza]"),"pro.soluto",
INDIRECT("rec.uni[empresa]"),X$6)</f>
        <v>0</v>
      </c>
      <c r="Y110" s="49">
        <f ca="1">SUMIFS(rec.uni[2029-12-01],
INDIRECT("rec.uni[natureza]"),"taxa.extra",
INDIRECT("rec.uni[empresa]"),Y$6)</f>
        <v>0</v>
      </c>
      <c r="Z110" s="51"/>
      <c r="AA110" s="39"/>
      <c r="AB110" s="49">
        <f ca="1">SUMIFS(rec.uni[2029-12-01],
INDIRECT("rec.uni[natureza]"),"pro.soluto",
INDIRECT("rec.uni[empresa]"),AB$6)</f>
        <v>0</v>
      </c>
      <c r="AC110" s="51">
        <f ca="1">SUMIFS(rec.uni[2029-12-01],
INDIRECT("rec.uni[natureza]"),"parcela.fin.total.ik",
INDIRECT("rec.uni[empresa]"),AC$6)</f>
        <v>0</v>
      </c>
      <c r="AD110" s="49">
        <f ca="1">SUMIFS(rec.uni[2029-12-01],
INDIRECT("rec.uni[natureza]"),"taxa.extra",
INDIRECT("rec.uni[empresa]"),AD$6)</f>
        <v>0</v>
      </c>
      <c r="AE110" s="51"/>
      <c r="AF110" s="48"/>
      <c r="AG110" s="49">
        <f ca="1">SUMIFS(rec.uni[2029-12-01],
INDIRECT("rec.uni[natureza]"),"pro.soluto",
INDIRECT("rec.uni[empresa]"),AG$6)</f>
        <v>0</v>
      </c>
      <c r="AH110" s="38"/>
      <c r="AI110" s="51"/>
      <c r="AJ110" s="51"/>
      <c r="AK110" s="49">
        <f ca="1">SUMIFS(rec.uni[2029-12-01],
INDIRECT("rec.uni[natureza]"),"taxa.extra",
INDIRECT("rec.uni[empresa]"),AK$6)</f>
        <v>0</v>
      </c>
      <c r="AL110" s="51"/>
      <c r="AM110" s="39"/>
      <c r="AN110" s="49">
        <f ca="1">SUMIFS(rec.uni[2029-12-01],
INDIRECT("rec.uni[natureza]"),"pro.soluto",
INDIRECT("rec.uni[empresa]"),AN$6)</f>
        <v>0</v>
      </c>
      <c r="AO110" s="49">
        <f ca="1">SUMIFS(rec.uni[2029-12-01],
INDIRECT("rec.uni[natureza]"),"taxa.extra",
INDIRECT("rec.uni[empresa]"),AO$6)</f>
        <v>0</v>
      </c>
      <c r="AP110" s="140"/>
    </row>
    <row r="111" spans="1:42" x14ac:dyDescent="0.25">
      <c r="A111" s="47">
        <v>47484</v>
      </c>
      <c r="B111" s="39"/>
      <c r="C111" s="49">
        <f ca="1">SUMIFS(rec.uni[2030-01-01],
INDIRECT("rec.uni[natureza]"),"pro.soluto",
INDIRECT("rec.uni[empresa]"),C$6)</f>
        <v>0</v>
      </c>
      <c r="D111" s="38"/>
      <c r="E111" s="51"/>
      <c r="F111" s="51"/>
      <c r="G111" s="49">
        <f ca="1">SUMIFS(rec.uni[2030-01-01],
INDIRECT("rec.uni[natureza]"),"taxa.extra",
INDIRECT("rec.uni[empresa]"),G$6)</f>
        <v>0</v>
      </c>
      <c r="H111" s="51"/>
      <c r="I111" s="39"/>
      <c r="J111" s="49">
        <f ca="1">SUMIFS(rec.uni[2030-01-01],
INDIRECT("rec.uni[natureza]"),"pro.soluto",
INDIRECT("rec.uni[empresa]"),J$6)</f>
        <v>0</v>
      </c>
      <c r="K111" s="38"/>
      <c r="L111" s="51"/>
      <c r="M111" s="51"/>
      <c r="N111" s="49">
        <f ca="1">SUMIFS(rec.uni[2030-01-01],
INDIRECT("rec.uni[natureza]"),"taxa.extra",
INDIRECT("rec.uni[empresa]"),N$6)</f>
        <v>0</v>
      </c>
      <c r="O111" s="51"/>
      <c r="P111" s="39"/>
      <c r="Q111" s="49">
        <f ca="1">SUMIFS(rec.uni[2030-01-01],
INDIRECT("rec.uni[natureza]"),"pro.soluto",
INDIRECT("rec.uni[empresa]"),Q$6)</f>
        <v>0</v>
      </c>
      <c r="R111" s="38"/>
      <c r="S111" s="51"/>
      <c r="T111" s="51"/>
      <c r="U111" s="49">
        <f ca="1">SUMIFS(rec.uni[2030-01-01],
INDIRECT("rec.uni[natureza]"),"taxa.extra",
INDIRECT("rec.uni[empresa]"),U$6)</f>
        <v>0</v>
      </c>
      <c r="V111" s="51"/>
      <c r="W111" s="39"/>
      <c r="X111" s="49">
        <f ca="1">SUMIFS(rec.uni[2030-01-01],
INDIRECT("rec.uni[natureza]"),"pro.soluto",
INDIRECT("rec.uni[empresa]"),X$6)</f>
        <v>0</v>
      </c>
      <c r="Y111" s="49">
        <f ca="1">SUMIFS(rec.uni[2030-01-01],
INDIRECT("rec.uni[natureza]"),"taxa.extra",
INDIRECT("rec.uni[empresa]"),Y$6)</f>
        <v>0</v>
      </c>
      <c r="Z111" s="51"/>
      <c r="AA111" s="39"/>
      <c r="AB111" s="49">
        <f ca="1">SUMIFS(rec.uni[2030-01-01],
INDIRECT("rec.uni[natureza]"),"pro.soluto",
INDIRECT("rec.uni[empresa]"),AB$6)</f>
        <v>0</v>
      </c>
      <c r="AC111" s="51">
        <f ca="1">SUMIFS(rec.uni[2030-01-01],
INDIRECT("rec.uni[natureza]"),"parcela.fin.total.ik",
INDIRECT("rec.uni[empresa]"),AC$6)</f>
        <v>0</v>
      </c>
      <c r="AD111" s="49">
        <f ca="1">SUMIFS(rec.uni[2030-01-01],
INDIRECT("rec.uni[natureza]"),"taxa.extra",
INDIRECT("rec.uni[empresa]"),AD$6)</f>
        <v>0</v>
      </c>
      <c r="AE111" s="51"/>
      <c r="AF111" s="48"/>
      <c r="AG111" s="49">
        <f ca="1">SUMIFS(rec.uni[2030-01-01],
INDIRECT("rec.uni[natureza]"),"pro.soluto",
INDIRECT("rec.uni[empresa]"),AG$6)</f>
        <v>0</v>
      </c>
      <c r="AH111" s="38"/>
      <c r="AI111" s="51"/>
      <c r="AJ111" s="51"/>
      <c r="AK111" s="49">
        <f ca="1">SUMIFS(rec.uni[2030-01-01],
INDIRECT("rec.uni[natureza]"),"taxa.extra",
INDIRECT("rec.uni[empresa]"),AK$6)</f>
        <v>0</v>
      </c>
      <c r="AL111" s="51"/>
      <c r="AM111" s="39"/>
      <c r="AN111" s="49">
        <f ca="1">SUMIFS(rec.uni[2030-01-01],
INDIRECT("rec.uni[natureza]"),"pro.soluto",
INDIRECT("rec.uni[empresa]"),AN$6)</f>
        <v>0</v>
      </c>
      <c r="AO111" s="49">
        <f ca="1">SUMIFS(rec.uni[2030-01-01],
INDIRECT("rec.uni[natureza]"),"taxa.extra",
INDIRECT("rec.uni[empresa]"),AO$6)</f>
        <v>0</v>
      </c>
      <c r="AP111" s="140"/>
    </row>
    <row r="112" spans="1:42" x14ac:dyDescent="0.25">
      <c r="A112" s="47">
        <v>47515</v>
      </c>
      <c r="B112" s="39"/>
      <c r="C112" s="49">
        <f ca="1">SUMIFS(rec.uni[2030-02-01],
INDIRECT("rec.uni[natureza]"),"pro.soluto",
INDIRECT("rec.uni[empresa]"),C$6)</f>
        <v>0</v>
      </c>
      <c r="D112" s="38"/>
      <c r="E112" s="51"/>
      <c r="F112" s="51"/>
      <c r="G112" s="49">
        <f ca="1">SUMIFS(rec.uni[2030-02-01],
INDIRECT("rec.uni[natureza]"),"taxa.extra",
INDIRECT("rec.uni[empresa]"),G$6)</f>
        <v>0</v>
      </c>
      <c r="H112" s="51"/>
      <c r="I112" s="39"/>
      <c r="J112" s="49">
        <f ca="1">SUMIFS(rec.uni[2030-02-01],
INDIRECT("rec.uni[natureza]"),"pro.soluto",
INDIRECT("rec.uni[empresa]"),J$6)</f>
        <v>0</v>
      </c>
      <c r="K112" s="38"/>
      <c r="L112" s="51"/>
      <c r="M112" s="51"/>
      <c r="N112" s="49">
        <f ca="1">SUMIFS(rec.uni[2030-02-01],
INDIRECT("rec.uni[natureza]"),"taxa.extra",
INDIRECT("rec.uni[empresa]"),N$6)</f>
        <v>0</v>
      </c>
      <c r="O112" s="51"/>
      <c r="P112" s="39"/>
      <c r="Q112" s="49">
        <f ca="1">SUMIFS(rec.uni[2030-02-01],
INDIRECT("rec.uni[natureza]"),"pro.soluto",
INDIRECT("rec.uni[empresa]"),Q$6)</f>
        <v>0</v>
      </c>
      <c r="R112" s="38"/>
      <c r="S112" s="51"/>
      <c r="T112" s="51"/>
      <c r="U112" s="49">
        <f ca="1">SUMIFS(rec.uni[2030-02-01],
INDIRECT("rec.uni[natureza]"),"taxa.extra",
INDIRECT("rec.uni[empresa]"),U$6)</f>
        <v>0</v>
      </c>
      <c r="V112" s="51"/>
      <c r="W112" s="39"/>
      <c r="X112" s="49">
        <f ca="1">SUMIFS(rec.uni[2030-02-01],
INDIRECT("rec.uni[natureza]"),"pro.soluto",
INDIRECT("rec.uni[empresa]"),X$6)</f>
        <v>0</v>
      </c>
      <c r="Y112" s="49">
        <f ca="1">SUMIFS(rec.uni[2030-02-01],
INDIRECT("rec.uni[natureza]"),"taxa.extra",
INDIRECT("rec.uni[empresa]"),Y$6)</f>
        <v>0</v>
      </c>
      <c r="Z112" s="51"/>
      <c r="AA112" s="39"/>
      <c r="AB112" s="49">
        <f ca="1">SUMIFS(rec.uni[2030-02-01],
INDIRECT("rec.uni[natureza]"),"pro.soluto",
INDIRECT("rec.uni[empresa]"),AB$6)</f>
        <v>0</v>
      </c>
      <c r="AC112" s="51">
        <f ca="1">SUMIFS(rec.uni[2030-02-01],
INDIRECT("rec.uni[natureza]"),"parcela.fin.total.ik",
INDIRECT("rec.uni[empresa]"),AC$6)</f>
        <v>0</v>
      </c>
      <c r="AD112" s="49">
        <f ca="1">SUMIFS(rec.uni[2030-02-01],
INDIRECT("rec.uni[natureza]"),"taxa.extra",
INDIRECT("rec.uni[empresa]"),AD$6)</f>
        <v>0</v>
      </c>
      <c r="AE112" s="51"/>
      <c r="AF112" s="48"/>
      <c r="AG112" s="49">
        <f ca="1">SUMIFS(rec.uni[2030-02-01],
INDIRECT("rec.uni[natureza]"),"pro.soluto",
INDIRECT("rec.uni[empresa]"),AG$6)</f>
        <v>0</v>
      </c>
      <c r="AH112" s="38"/>
      <c r="AI112" s="51"/>
      <c r="AJ112" s="51"/>
      <c r="AK112" s="49">
        <f ca="1">SUMIFS(rec.uni[2030-02-01],
INDIRECT("rec.uni[natureza]"),"taxa.extra",
INDIRECT("rec.uni[empresa]"),AK$6)</f>
        <v>0</v>
      </c>
      <c r="AL112" s="51"/>
      <c r="AM112" s="39"/>
      <c r="AN112" s="49">
        <f ca="1">SUMIFS(rec.uni[2030-02-01],
INDIRECT("rec.uni[natureza]"),"pro.soluto",
INDIRECT("rec.uni[empresa]"),AN$6)</f>
        <v>0</v>
      </c>
      <c r="AO112" s="49">
        <f ca="1">SUMIFS(rec.uni[2030-02-01],
INDIRECT("rec.uni[natureza]"),"taxa.extra",
INDIRECT("rec.uni[empresa]"),AO$6)</f>
        <v>0</v>
      </c>
      <c r="AP112" s="140"/>
    </row>
    <row r="113" spans="1:42" x14ac:dyDescent="0.25">
      <c r="A113" s="47">
        <v>47543</v>
      </c>
      <c r="B113" s="39"/>
      <c r="C113" s="49">
        <f ca="1">SUMIFS(rec.uni[2030-03-01],
INDIRECT("rec.uni[natureza]"),"pro.soluto",
INDIRECT("rec.uni[empresa]"),C$6)</f>
        <v>0</v>
      </c>
      <c r="D113" s="38"/>
      <c r="E113" s="51"/>
      <c r="F113" s="51"/>
      <c r="G113" s="49">
        <f ca="1">SUMIFS(rec.uni[2030-03-01],
INDIRECT("rec.uni[natureza]"),"taxa.extra",
INDIRECT("rec.uni[empresa]"),G$6)</f>
        <v>0</v>
      </c>
      <c r="H113" s="51"/>
      <c r="I113" s="39"/>
      <c r="J113" s="49">
        <f ca="1">SUMIFS(rec.uni[2030-03-01],
INDIRECT("rec.uni[natureza]"),"pro.soluto",
INDIRECT("rec.uni[empresa]"),J$6)</f>
        <v>0</v>
      </c>
      <c r="K113" s="38"/>
      <c r="L113" s="51"/>
      <c r="M113" s="51"/>
      <c r="N113" s="49">
        <f ca="1">SUMIFS(rec.uni[2030-03-01],
INDIRECT("rec.uni[natureza]"),"taxa.extra",
INDIRECT("rec.uni[empresa]"),N$6)</f>
        <v>0</v>
      </c>
      <c r="O113" s="51"/>
      <c r="P113" s="39"/>
      <c r="Q113" s="49">
        <f ca="1">SUMIFS(rec.uni[2030-03-01],
INDIRECT("rec.uni[natureza]"),"pro.soluto",
INDIRECT("rec.uni[empresa]"),Q$6)</f>
        <v>0</v>
      </c>
      <c r="R113" s="38"/>
      <c r="S113" s="51"/>
      <c r="T113" s="51"/>
      <c r="U113" s="49">
        <f ca="1">SUMIFS(rec.uni[2030-03-01],
INDIRECT("rec.uni[natureza]"),"taxa.extra",
INDIRECT("rec.uni[empresa]"),U$6)</f>
        <v>0</v>
      </c>
      <c r="V113" s="51"/>
      <c r="W113" s="39"/>
      <c r="X113" s="49">
        <f ca="1">SUMIFS(rec.uni[2030-03-01],
INDIRECT("rec.uni[natureza]"),"pro.soluto",
INDIRECT("rec.uni[empresa]"),X$6)</f>
        <v>0</v>
      </c>
      <c r="Y113" s="49">
        <f ca="1">SUMIFS(rec.uni[2030-03-01],
INDIRECT("rec.uni[natureza]"),"taxa.extra",
INDIRECT("rec.uni[empresa]"),Y$6)</f>
        <v>0</v>
      </c>
      <c r="Z113" s="51"/>
      <c r="AA113" s="39"/>
      <c r="AB113" s="49">
        <f ca="1">SUMIFS(rec.uni[2030-03-01],
INDIRECT("rec.uni[natureza]"),"pro.soluto",
INDIRECT("rec.uni[empresa]"),AB$6)</f>
        <v>0</v>
      </c>
      <c r="AC113" s="51">
        <f ca="1">SUMIFS(rec.uni[2030-03-01],
INDIRECT("rec.uni[natureza]"),"parcela.fin.total.ik",
INDIRECT("rec.uni[empresa]"),AC$6)</f>
        <v>0</v>
      </c>
      <c r="AD113" s="49">
        <f ca="1">SUMIFS(rec.uni[2030-03-01],
INDIRECT("rec.uni[natureza]"),"taxa.extra",
INDIRECT("rec.uni[empresa]"),AD$6)</f>
        <v>0</v>
      </c>
      <c r="AE113" s="51"/>
      <c r="AF113" s="48"/>
      <c r="AG113" s="49">
        <f ca="1">SUMIFS(rec.uni[2030-03-01],
INDIRECT("rec.uni[natureza]"),"pro.soluto",
INDIRECT("rec.uni[empresa]"),AG$6)</f>
        <v>0</v>
      </c>
      <c r="AH113" s="38"/>
      <c r="AI113" s="51"/>
      <c r="AJ113" s="51"/>
      <c r="AK113" s="49">
        <f ca="1">SUMIFS(rec.uni[2030-03-01],
INDIRECT("rec.uni[natureza]"),"taxa.extra",
INDIRECT("rec.uni[empresa]"),AK$6)</f>
        <v>0</v>
      </c>
      <c r="AL113" s="51"/>
      <c r="AM113" s="39"/>
      <c r="AN113" s="49">
        <f ca="1">SUMIFS(rec.uni[2030-03-01],
INDIRECT("rec.uni[natureza]"),"pro.soluto",
INDIRECT("rec.uni[empresa]"),AN$6)</f>
        <v>0</v>
      </c>
      <c r="AO113" s="49">
        <f ca="1">SUMIFS(rec.uni[2030-03-01],
INDIRECT("rec.uni[natureza]"),"taxa.extra",
INDIRECT("rec.uni[empresa]"),AO$6)</f>
        <v>0</v>
      </c>
      <c r="AP113" s="140"/>
    </row>
    <row r="114" spans="1:42" x14ac:dyDescent="0.25">
      <c r="A114" s="47">
        <v>47574</v>
      </c>
      <c r="B114" s="39"/>
      <c r="C114" s="49">
        <f ca="1">SUMIFS(rec.uni[2030-04-01],
INDIRECT("rec.uni[natureza]"),"pro.soluto",
INDIRECT("rec.uni[empresa]"),C$6)</f>
        <v>0</v>
      </c>
      <c r="D114" s="38"/>
      <c r="E114" s="51"/>
      <c r="F114" s="51"/>
      <c r="G114" s="49">
        <f ca="1">SUMIFS(rec.uni[2030-04-01],
INDIRECT("rec.uni[natureza]"),"taxa.extra",
INDIRECT("rec.uni[empresa]"),G$6)</f>
        <v>0</v>
      </c>
      <c r="H114" s="51"/>
      <c r="I114" s="39"/>
      <c r="J114" s="49">
        <f ca="1">SUMIFS(rec.uni[2030-04-01],
INDIRECT("rec.uni[natureza]"),"pro.soluto",
INDIRECT("rec.uni[empresa]"),J$6)</f>
        <v>0</v>
      </c>
      <c r="K114" s="38"/>
      <c r="L114" s="51"/>
      <c r="M114" s="51"/>
      <c r="N114" s="49">
        <f ca="1">SUMIFS(rec.uni[2030-04-01],
INDIRECT("rec.uni[natureza]"),"taxa.extra",
INDIRECT("rec.uni[empresa]"),N$6)</f>
        <v>0</v>
      </c>
      <c r="O114" s="51"/>
      <c r="P114" s="39"/>
      <c r="Q114" s="49">
        <f ca="1">SUMIFS(rec.uni[2030-04-01],
INDIRECT("rec.uni[natureza]"),"pro.soluto",
INDIRECT("rec.uni[empresa]"),Q$6)</f>
        <v>0</v>
      </c>
      <c r="R114" s="38"/>
      <c r="S114" s="51"/>
      <c r="T114" s="51"/>
      <c r="U114" s="49">
        <f ca="1">SUMIFS(rec.uni[2030-04-01],
INDIRECT("rec.uni[natureza]"),"taxa.extra",
INDIRECT("rec.uni[empresa]"),U$6)</f>
        <v>0</v>
      </c>
      <c r="V114" s="51"/>
      <c r="W114" s="39"/>
      <c r="X114" s="49">
        <f ca="1">SUMIFS(rec.uni[2030-04-01],
INDIRECT("rec.uni[natureza]"),"pro.soluto",
INDIRECT("rec.uni[empresa]"),X$6)</f>
        <v>0</v>
      </c>
      <c r="Y114" s="49">
        <f ca="1">SUMIFS(rec.uni[2030-04-01],
INDIRECT("rec.uni[natureza]"),"taxa.extra",
INDIRECT("rec.uni[empresa]"),Y$6)</f>
        <v>0</v>
      </c>
      <c r="Z114" s="51"/>
      <c r="AA114" s="39"/>
      <c r="AB114" s="49">
        <f ca="1">SUMIFS(rec.uni[2030-04-01],
INDIRECT("rec.uni[natureza]"),"pro.soluto",
INDIRECT("rec.uni[empresa]"),AB$6)</f>
        <v>0</v>
      </c>
      <c r="AC114" s="51">
        <f ca="1">SUMIFS(rec.uni[2030-04-01],
INDIRECT("rec.uni[natureza]"),"parcela.fin.total.ik",
INDIRECT("rec.uni[empresa]"),AC$6)</f>
        <v>0</v>
      </c>
      <c r="AD114" s="49">
        <f ca="1">SUMIFS(rec.uni[2030-04-01],
INDIRECT("rec.uni[natureza]"),"taxa.extra",
INDIRECT("rec.uni[empresa]"),AD$6)</f>
        <v>0</v>
      </c>
      <c r="AE114" s="51"/>
      <c r="AF114" s="48"/>
      <c r="AG114" s="49">
        <f ca="1">SUMIFS(rec.uni[2030-04-01],
INDIRECT("rec.uni[natureza]"),"pro.soluto",
INDIRECT("rec.uni[empresa]"),AG$6)</f>
        <v>0</v>
      </c>
      <c r="AH114" s="38"/>
      <c r="AI114" s="51"/>
      <c r="AJ114" s="51"/>
      <c r="AK114" s="49">
        <f ca="1">SUMIFS(rec.uni[2030-04-01],
INDIRECT("rec.uni[natureza]"),"taxa.extra",
INDIRECT("rec.uni[empresa]"),AK$6)</f>
        <v>0</v>
      </c>
      <c r="AL114" s="51"/>
      <c r="AM114" s="39"/>
      <c r="AN114" s="49">
        <f ca="1">SUMIFS(rec.uni[2030-04-01],
INDIRECT("rec.uni[natureza]"),"pro.soluto",
INDIRECT("rec.uni[empresa]"),AN$6)</f>
        <v>0</v>
      </c>
      <c r="AO114" s="49">
        <f ca="1">SUMIFS(rec.uni[2030-04-01],
INDIRECT("rec.uni[natureza]"),"taxa.extra",
INDIRECT("rec.uni[empresa]"),AO$6)</f>
        <v>0</v>
      </c>
      <c r="AP114" s="140"/>
    </row>
    <row r="115" spans="1:42" x14ac:dyDescent="0.25">
      <c r="A115" s="47">
        <v>47604</v>
      </c>
      <c r="B115" s="39"/>
      <c r="C115" s="49">
        <f ca="1">SUMIFS(rec.uni[2030-05-01],
INDIRECT("rec.uni[natureza]"),"pro.soluto",
INDIRECT("rec.uni[empresa]"),C$6)</f>
        <v>0</v>
      </c>
      <c r="D115" s="38"/>
      <c r="E115" s="51"/>
      <c r="F115" s="51"/>
      <c r="G115" s="49">
        <f ca="1">SUMIFS(rec.uni[2030-05-01],
INDIRECT("rec.uni[natureza]"),"taxa.extra",
INDIRECT("rec.uni[empresa]"),G$6)</f>
        <v>0</v>
      </c>
      <c r="H115" s="51"/>
      <c r="I115" s="39"/>
      <c r="J115" s="49">
        <f ca="1">SUMIFS(rec.uni[2030-05-01],
INDIRECT("rec.uni[natureza]"),"pro.soluto",
INDIRECT("rec.uni[empresa]"),J$6)</f>
        <v>0</v>
      </c>
      <c r="K115" s="38"/>
      <c r="L115" s="51"/>
      <c r="M115" s="51"/>
      <c r="N115" s="49">
        <f ca="1">SUMIFS(rec.uni[2030-05-01],
INDIRECT("rec.uni[natureza]"),"taxa.extra",
INDIRECT("rec.uni[empresa]"),N$6)</f>
        <v>0</v>
      </c>
      <c r="O115" s="51"/>
      <c r="P115" s="39"/>
      <c r="Q115" s="49">
        <f ca="1">SUMIFS(rec.uni[2030-05-01],
INDIRECT("rec.uni[natureza]"),"pro.soluto",
INDIRECT("rec.uni[empresa]"),Q$6)</f>
        <v>0</v>
      </c>
      <c r="R115" s="38"/>
      <c r="S115" s="51"/>
      <c r="T115" s="51"/>
      <c r="U115" s="49">
        <f ca="1">SUMIFS(rec.uni[2030-05-01],
INDIRECT("rec.uni[natureza]"),"taxa.extra",
INDIRECT("rec.uni[empresa]"),U$6)</f>
        <v>0</v>
      </c>
      <c r="V115" s="51"/>
      <c r="W115" s="39"/>
      <c r="X115" s="49">
        <f ca="1">SUMIFS(rec.uni[2030-05-01],
INDIRECT("rec.uni[natureza]"),"pro.soluto",
INDIRECT("rec.uni[empresa]"),X$6)</f>
        <v>0</v>
      </c>
      <c r="Y115" s="49">
        <f ca="1">SUMIFS(rec.uni[2030-05-01],
INDIRECT("rec.uni[natureza]"),"taxa.extra",
INDIRECT("rec.uni[empresa]"),Y$6)</f>
        <v>0</v>
      </c>
      <c r="Z115" s="51"/>
      <c r="AA115" s="39"/>
      <c r="AB115" s="49">
        <f ca="1">SUMIFS(rec.uni[2030-05-01],
INDIRECT("rec.uni[natureza]"),"pro.soluto",
INDIRECT("rec.uni[empresa]"),AB$6)</f>
        <v>0</v>
      </c>
      <c r="AC115" s="51">
        <f ca="1">SUMIFS(rec.uni[2030-05-01],
INDIRECT("rec.uni[natureza]"),"parcela.fin.total.ik",
INDIRECT("rec.uni[empresa]"),AC$6)</f>
        <v>0</v>
      </c>
      <c r="AD115" s="49">
        <f ca="1">SUMIFS(rec.uni[2030-05-01],
INDIRECT("rec.uni[natureza]"),"taxa.extra",
INDIRECT("rec.uni[empresa]"),AD$6)</f>
        <v>0</v>
      </c>
      <c r="AE115" s="51"/>
      <c r="AF115" s="48"/>
      <c r="AG115" s="49">
        <f ca="1">SUMIFS(rec.uni[2030-05-01],
INDIRECT("rec.uni[natureza]"),"pro.soluto",
INDIRECT("rec.uni[empresa]"),AG$6)</f>
        <v>0</v>
      </c>
      <c r="AH115" s="38"/>
      <c r="AI115" s="51"/>
      <c r="AJ115" s="51"/>
      <c r="AK115" s="49">
        <f ca="1">SUMIFS(rec.uni[2030-05-01],
INDIRECT("rec.uni[natureza]"),"taxa.extra",
INDIRECT("rec.uni[empresa]"),AK$6)</f>
        <v>0</v>
      </c>
      <c r="AL115" s="51"/>
      <c r="AM115" s="39"/>
      <c r="AN115" s="49">
        <f ca="1">SUMIFS(rec.uni[2030-05-01],
INDIRECT("rec.uni[natureza]"),"pro.soluto",
INDIRECT("rec.uni[empresa]"),AN$6)</f>
        <v>0</v>
      </c>
      <c r="AO115" s="49">
        <f ca="1">SUMIFS(rec.uni[2030-05-01],
INDIRECT("rec.uni[natureza]"),"taxa.extra",
INDIRECT("rec.uni[empresa]"),AO$6)</f>
        <v>0</v>
      </c>
      <c r="AP115" s="140"/>
    </row>
    <row r="116" spans="1:42" x14ac:dyDescent="0.25">
      <c r="A116" s="47">
        <v>47635</v>
      </c>
      <c r="B116" s="39"/>
      <c r="C116" s="49">
        <f ca="1">SUMIFS(rec.uni[2030-06-01],
INDIRECT("rec.uni[natureza]"),"pro.soluto",
INDIRECT("rec.uni[empresa]"),C$6)</f>
        <v>0</v>
      </c>
      <c r="D116" s="38"/>
      <c r="E116" s="51"/>
      <c r="F116" s="51"/>
      <c r="G116" s="49">
        <f ca="1">SUMIFS(rec.uni[2030-06-01],
INDIRECT("rec.uni[natureza]"),"taxa.extra",
INDIRECT("rec.uni[empresa]"),G$6)</f>
        <v>0</v>
      </c>
      <c r="H116" s="51"/>
      <c r="I116" s="39"/>
      <c r="J116" s="49">
        <f ca="1">SUMIFS(rec.uni[2030-06-01],
INDIRECT("rec.uni[natureza]"),"pro.soluto",
INDIRECT("rec.uni[empresa]"),J$6)</f>
        <v>0</v>
      </c>
      <c r="K116" s="38"/>
      <c r="L116" s="51"/>
      <c r="M116" s="51"/>
      <c r="N116" s="49">
        <f ca="1">SUMIFS(rec.uni[2030-06-01],
INDIRECT("rec.uni[natureza]"),"taxa.extra",
INDIRECT("rec.uni[empresa]"),N$6)</f>
        <v>0</v>
      </c>
      <c r="O116" s="51"/>
      <c r="P116" s="39"/>
      <c r="Q116" s="49">
        <f ca="1">SUMIFS(rec.uni[2030-06-01],
INDIRECT("rec.uni[natureza]"),"pro.soluto",
INDIRECT("rec.uni[empresa]"),Q$6)</f>
        <v>0</v>
      </c>
      <c r="R116" s="38"/>
      <c r="S116" s="51"/>
      <c r="T116" s="51"/>
      <c r="U116" s="49">
        <f ca="1">SUMIFS(rec.uni[2030-06-01],
INDIRECT("rec.uni[natureza]"),"taxa.extra",
INDIRECT("rec.uni[empresa]"),U$6)</f>
        <v>0</v>
      </c>
      <c r="V116" s="51"/>
      <c r="W116" s="39"/>
      <c r="X116" s="49">
        <f ca="1">SUMIFS(rec.uni[2030-06-01],
INDIRECT("rec.uni[natureza]"),"pro.soluto",
INDIRECT("rec.uni[empresa]"),X$6)</f>
        <v>0</v>
      </c>
      <c r="Y116" s="49">
        <f ca="1">SUMIFS(rec.uni[2030-06-01],
INDIRECT("rec.uni[natureza]"),"taxa.extra",
INDIRECT("rec.uni[empresa]"),Y$6)</f>
        <v>0</v>
      </c>
      <c r="Z116" s="51"/>
      <c r="AA116" s="39"/>
      <c r="AB116" s="49">
        <f ca="1">SUMIFS(rec.uni[2030-06-01],
INDIRECT("rec.uni[natureza]"),"pro.soluto",
INDIRECT("rec.uni[empresa]"),AB$6)</f>
        <v>0</v>
      </c>
      <c r="AC116" s="51">
        <f ca="1">SUMIFS(rec.uni[2030-06-01],
INDIRECT("rec.uni[natureza]"),"parcela.fin.total.ik",
INDIRECT("rec.uni[empresa]"),AC$6)</f>
        <v>0</v>
      </c>
      <c r="AD116" s="49">
        <f ca="1">SUMIFS(rec.uni[2030-06-01],
INDIRECT("rec.uni[natureza]"),"taxa.extra",
INDIRECT("rec.uni[empresa]"),AD$6)</f>
        <v>0</v>
      </c>
      <c r="AE116" s="51"/>
      <c r="AF116" s="48"/>
      <c r="AG116" s="49">
        <f ca="1">SUMIFS(rec.uni[2030-06-01],
INDIRECT("rec.uni[natureza]"),"pro.soluto",
INDIRECT("rec.uni[empresa]"),AG$6)</f>
        <v>0</v>
      </c>
      <c r="AH116" s="38"/>
      <c r="AI116" s="51"/>
      <c r="AJ116" s="51"/>
      <c r="AK116" s="49">
        <f ca="1">SUMIFS(rec.uni[2030-06-01],
INDIRECT("rec.uni[natureza]"),"taxa.extra",
INDIRECT("rec.uni[empresa]"),AK$6)</f>
        <v>0</v>
      </c>
      <c r="AL116" s="51"/>
      <c r="AM116" s="39"/>
      <c r="AN116" s="49">
        <f ca="1">SUMIFS(rec.uni[2030-06-01],
INDIRECT("rec.uni[natureza]"),"pro.soluto",
INDIRECT("rec.uni[empresa]"),AN$6)</f>
        <v>0</v>
      </c>
      <c r="AO116" s="49">
        <f ca="1">SUMIFS(rec.uni[2030-06-01],
INDIRECT("rec.uni[natureza]"),"taxa.extra",
INDIRECT("rec.uni[empresa]"),AO$6)</f>
        <v>0</v>
      </c>
      <c r="AP116" s="140"/>
    </row>
    <row r="117" spans="1:42" x14ac:dyDescent="0.25">
      <c r="A117" s="47">
        <v>47665</v>
      </c>
      <c r="B117" s="39"/>
      <c r="C117" s="49">
        <f ca="1">SUMIFS(rec.uni[2030-07-01],
INDIRECT("rec.uni[natureza]"),"pro.soluto",
INDIRECT("rec.uni[empresa]"),C$6)</f>
        <v>0</v>
      </c>
      <c r="D117" s="38"/>
      <c r="E117" s="51"/>
      <c r="F117" s="51"/>
      <c r="G117" s="49">
        <f ca="1">SUMIFS(rec.uni[2030-07-01],
INDIRECT("rec.uni[natureza]"),"taxa.extra",
INDIRECT("rec.uni[empresa]"),G$6)</f>
        <v>0</v>
      </c>
      <c r="H117" s="51"/>
      <c r="I117" s="39"/>
      <c r="J117" s="49">
        <f ca="1">SUMIFS(rec.uni[2030-07-01],
INDIRECT("rec.uni[natureza]"),"pro.soluto",
INDIRECT("rec.uni[empresa]"),J$6)</f>
        <v>0</v>
      </c>
      <c r="K117" s="38"/>
      <c r="L117" s="51"/>
      <c r="M117" s="51"/>
      <c r="N117" s="49">
        <f ca="1">SUMIFS(rec.uni[2030-07-01],
INDIRECT("rec.uni[natureza]"),"taxa.extra",
INDIRECT("rec.uni[empresa]"),N$6)</f>
        <v>0</v>
      </c>
      <c r="O117" s="51"/>
      <c r="P117" s="39"/>
      <c r="Q117" s="49">
        <f ca="1">SUMIFS(rec.uni[2030-07-01],
INDIRECT("rec.uni[natureza]"),"pro.soluto",
INDIRECT("rec.uni[empresa]"),Q$6)</f>
        <v>0</v>
      </c>
      <c r="R117" s="38"/>
      <c r="S117" s="51"/>
      <c r="T117" s="51"/>
      <c r="U117" s="49">
        <f ca="1">SUMIFS(rec.uni[2030-07-01],
INDIRECT("rec.uni[natureza]"),"taxa.extra",
INDIRECT("rec.uni[empresa]"),U$6)</f>
        <v>0</v>
      </c>
      <c r="V117" s="51"/>
      <c r="W117" s="39"/>
      <c r="X117" s="49">
        <f ca="1">SUMIFS(rec.uni[2030-07-01],
INDIRECT("rec.uni[natureza]"),"pro.soluto",
INDIRECT("rec.uni[empresa]"),X$6)</f>
        <v>0</v>
      </c>
      <c r="Y117" s="49">
        <f ca="1">SUMIFS(rec.uni[2030-07-01],
INDIRECT("rec.uni[natureza]"),"taxa.extra",
INDIRECT("rec.uni[empresa]"),Y$6)</f>
        <v>0</v>
      </c>
      <c r="Z117" s="51"/>
      <c r="AA117" s="39"/>
      <c r="AB117" s="49">
        <f ca="1">SUMIFS(rec.uni[2030-07-01],
INDIRECT("rec.uni[natureza]"),"pro.soluto",
INDIRECT("rec.uni[empresa]"),AB$6)</f>
        <v>0</v>
      </c>
      <c r="AC117" s="51">
        <f ca="1">SUMIFS(rec.uni[2030-07-01],
INDIRECT("rec.uni[natureza]"),"parcela.fin.total.ik",
INDIRECT("rec.uni[empresa]"),AC$6)</f>
        <v>0</v>
      </c>
      <c r="AD117" s="49">
        <f ca="1">SUMIFS(rec.uni[2030-07-01],
INDIRECT("rec.uni[natureza]"),"taxa.extra",
INDIRECT("rec.uni[empresa]"),AD$6)</f>
        <v>0</v>
      </c>
      <c r="AE117" s="51"/>
      <c r="AF117" s="48"/>
      <c r="AG117" s="49">
        <f ca="1">SUMIFS(rec.uni[2030-07-01],
INDIRECT("rec.uni[natureza]"),"pro.soluto",
INDIRECT("rec.uni[empresa]"),AG$6)</f>
        <v>0</v>
      </c>
      <c r="AH117" s="38"/>
      <c r="AI117" s="51"/>
      <c r="AJ117" s="51"/>
      <c r="AK117" s="49">
        <f ca="1">SUMIFS(rec.uni[2030-07-01],
INDIRECT("rec.uni[natureza]"),"taxa.extra",
INDIRECT("rec.uni[empresa]"),AK$6)</f>
        <v>0</v>
      </c>
      <c r="AL117" s="51"/>
      <c r="AM117" s="39"/>
      <c r="AN117" s="49">
        <f ca="1">SUMIFS(rec.uni[2030-07-01],
INDIRECT("rec.uni[natureza]"),"pro.soluto",
INDIRECT("rec.uni[empresa]"),AN$6)</f>
        <v>0</v>
      </c>
      <c r="AO117" s="49">
        <f ca="1">SUMIFS(rec.uni[2030-07-01],
INDIRECT("rec.uni[natureza]"),"taxa.extra",
INDIRECT("rec.uni[empresa]"),AO$6)</f>
        <v>0</v>
      </c>
      <c r="AP117" s="140"/>
    </row>
    <row r="118" spans="1:42" x14ac:dyDescent="0.25">
      <c r="A118" s="47">
        <v>47696</v>
      </c>
      <c r="B118" s="39"/>
      <c r="C118" s="49">
        <f ca="1">SUMIFS(rec.uni[2030-08-01],
INDIRECT("rec.uni[natureza]"),"pro.soluto",
INDIRECT("rec.uni[empresa]"),C$6)</f>
        <v>0</v>
      </c>
      <c r="D118" s="38"/>
      <c r="E118" s="51"/>
      <c r="F118" s="51"/>
      <c r="G118" s="49">
        <f ca="1">SUMIFS(rec.uni[2030-08-01],
INDIRECT("rec.uni[natureza]"),"taxa.extra",
INDIRECT("rec.uni[empresa]"),G$6)</f>
        <v>0</v>
      </c>
      <c r="H118" s="51"/>
      <c r="I118" s="39"/>
      <c r="J118" s="49">
        <f ca="1">SUMIFS(rec.uni[2030-08-01],
INDIRECT("rec.uni[natureza]"),"pro.soluto",
INDIRECT("rec.uni[empresa]"),J$6)</f>
        <v>0</v>
      </c>
      <c r="K118" s="38"/>
      <c r="L118" s="51"/>
      <c r="M118" s="51"/>
      <c r="N118" s="49">
        <f ca="1">SUMIFS(rec.uni[2030-08-01],
INDIRECT("rec.uni[natureza]"),"taxa.extra",
INDIRECT("rec.uni[empresa]"),N$6)</f>
        <v>0</v>
      </c>
      <c r="O118" s="51"/>
      <c r="P118" s="39"/>
      <c r="Q118" s="49">
        <f ca="1">SUMIFS(rec.uni[2030-08-01],
INDIRECT("rec.uni[natureza]"),"pro.soluto",
INDIRECT("rec.uni[empresa]"),Q$6)</f>
        <v>0</v>
      </c>
      <c r="R118" s="38"/>
      <c r="S118" s="51"/>
      <c r="T118" s="51"/>
      <c r="U118" s="49">
        <f ca="1">SUMIFS(rec.uni[2030-08-01],
INDIRECT("rec.uni[natureza]"),"taxa.extra",
INDIRECT("rec.uni[empresa]"),U$6)</f>
        <v>0</v>
      </c>
      <c r="V118" s="51"/>
      <c r="W118" s="39"/>
      <c r="X118" s="49">
        <f ca="1">SUMIFS(rec.uni[2030-08-01],
INDIRECT("rec.uni[natureza]"),"pro.soluto",
INDIRECT("rec.uni[empresa]"),X$6)</f>
        <v>0</v>
      </c>
      <c r="Y118" s="49">
        <f ca="1">SUMIFS(rec.uni[2030-08-01],
INDIRECT("rec.uni[natureza]"),"taxa.extra",
INDIRECT("rec.uni[empresa]"),Y$6)</f>
        <v>0</v>
      </c>
      <c r="Z118" s="51"/>
      <c r="AA118" s="39"/>
      <c r="AB118" s="49">
        <f ca="1">SUMIFS(rec.uni[2030-08-01],
INDIRECT("rec.uni[natureza]"),"pro.soluto",
INDIRECT("rec.uni[empresa]"),AB$6)</f>
        <v>0</v>
      </c>
      <c r="AC118" s="51">
        <f ca="1">SUMIFS(rec.uni[2030-08-01],
INDIRECT("rec.uni[natureza]"),"parcela.fin.total.ik",
INDIRECT("rec.uni[empresa]"),AC$6)</f>
        <v>0</v>
      </c>
      <c r="AD118" s="49">
        <f ca="1">SUMIFS(rec.uni[2030-08-01],
INDIRECT("rec.uni[natureza]"),"taxa.extra",
INDIRECT("rec.uni[empresa]"),AD$6)</f>
        <v>0</v>
      </c>
      <c r="AE118" s="51"/>
      <c r="AF118" s="48"/>
      <c r="AG118" s="49">
        <f ca="1">SUMIFS(rec.uni[2030-08-01],
INDIRECT("rec.uni[natureza]"),"pro.soluto",
INDIRECT("rec.uni[empresa]"),AG$6)</f>
        <v>0</v>
      </c>
      <c r="AH118" s="38"/>
      <c r="AI118" s="51"/>
      <c r="AJ118" s="51"/>
      <c r="AK118" s="49">
        <f ca="1">SUMIFS(rec.uni[2030-08-01],
INDIRECT("rec.uni[natureza]"),"taxa.extra",
INDIRECT("rec.uni[empresa]"),AK$6)</f>
        <v>0</v>
      </c>
      <c r="AL118" s="51"/>
      <c r="AM118" s="39"/>
      <c r="AN118" s="49">
        <f ca="1">SUMIFS(rec.uni[2030-08-01],
INDIRECT("rec.uni[natureza]"),"pro.soluto",
INDIRECT("rec.uni[empresa]"),AN$6)</f>
        <v>0</v>
      </c>
      <c r="AO118" s="49">
        <f ca="1">SUMIFS(rec.uni[2030-08-01],
INDIRECT("rec.uni[natureza]"),"taxa.extra",
INDIRECT("rec.uni[empresa]"),AO$6)</f>
        <v>0</v>
      </c>
      <c r="AP118" s="140"/>
    </row>
    <row r="119" spans="1:42" x14ac:dyDescent="0.25">
      <c r="A119" s="47">
        <v>47727</v>
      </c>
      <c r="B119" s="39"/>
      <c r="C119" s="49">
        <f ca="1">SUMIFS(rec.uni[2030-09-01],
INDIRECT("rec.uni[natureza]"),"pro.soluto",
INDIRECT("rec.uni[empresa]"),C$6)</f>
        <v>0</v>
      </c>
      <c r="D119" s="38"/>
      <c r="E119" s="51"/>
      <c r="F119" s="51"/>
      <c r="G119" s="49">
        <f ca="1">SUMIFS(rec.uni[2030-09-01],
INDIRECT("rec.uni[natureza]"),"taxa.extra",
INDIRECT("rec.uni[empresa]"),G$6)</f>
        <v>0</v>
      </c>
      <c r="H119" s="51"/>
      <c r="I119" s="39"/>
      <c r="J119" s="49">
        <f ca="1">SUMIFS(rec.uni[2030-09-01],
INDIRECT("rec.uni[natureza]"),"pro.soluto",
INDIRECT("rec.uni[empresa]"),J$6)</f>
        <v>0</v>
      </c>
      <c r="K119" s="38"/>
      <c r="L119" s="51"/>
      <c r="M119" s="51"/>
      <c r="N119" s="49">
        <f ca="1">SUMIFS(rec.uni[2030-09-01],
INDIRECT("rec.uni[natureza]"),"taxa.extra",
INDIRECT("rec.uni[empresa]"),N$6)</f>
        <v>0</v>
      </c>
      <c r="O119" s="51"/>
      <c r="P119" s="39"/>
      <c r="Q119" s="49">
        <f ca="1">SUMIFS(rec.uni[2030-09-01],
INDIRECT("rec.uni[natureza]"),"pro.soluto",
INDIRECT("rec.uni[empresa]"),Q$6)</f>
        <v>0</v>
      </c>
      <c r="R119" s="38"/>
      <c r="S119" s="51"/>
      <c r="T119" s="51"/>
      <c r="U119" s="49">
        <f ca="1">SUMIFS(rec.uni[2030-09-01],
INDIRECT("rec.uni[natureza]"),"taxa.extra",
INDIRECT("rec.uni[empresa]"),U$6)</f>
        <v>0</v>
      </c>
      <c r="V119" s="51"/>
      <c r="W119" s="39"/>
      <c r="X119" s="49">
        <f ca="1">SUMIFS(rec.uni[2030-09-01],
INDIRECT("rec.uni[natureza]"),"pro.soluto",
INDIRECT("rec.uni[empresa]"),X$6)</f>
        <v>0</v>
      </c>
      <c r="Y119" s="49">
        <f ca="1">SUMIFS(rec.uni[2030-09-01],
INDIRECT("rec.uni[natureza]"),"taxa.extra",
INDIRECT("rec.uni[empresa]"),Y$6)</f>
        <v>0</v>
      </c>
      <c r="Z119" s="51"/>
      <c r="AA119" s="39"/>
      <c r="AB119" s="49">
        <f ca="1">SUMIFS(rec.uni[2030-09-01],
INDIRECT("rec.uni[natureza]"),"pro.soluto",
INDIRECT("rec.uni[empresa]"),AB$6)</f>
        <v>0</v>
      </c>
      <c r="AC119" s="51">
        <f ca="1">SUMIFS(rec.uni[2030-09-01],
INDIRECT("rec.uni[natureza]"),"parcela.fin.total.ik",
INDIRECT("rec.uni[empresa]"),AC$6)</f>
        <v>0</v>
      </c>
      <c r="AD119" s="49">
        <f ca="1">SUMIFS(rec.uni[2030-09-01],
INDIRECT("rec.uni[natureza]"),"taxa.extra",
INDIRECT("rec.uni[empresa]"),AD$6)</f>
        <v>0</v>
      </c>
      <c r="AE119" s="51"/>
      <c r="AF119" s="48"/>
      <c r="AG119" s="49">
        <f ca="1">SUMIFS(rec.uni[2030-09-01],
INDIRECT("rec.uni[natureza]"),"pro.soluto",
INDIRECT("rec.uni[empresa]"),AG$6)</f>
        <v>0</v>
      </c>
      <c r="AH119" s="38"/>
      <c r="AI119" s="51"/>
      <c r="AJ119" s="51"/>
      <c r="AK119" s="49">
        <f ca="1">SUMIFS(rec.uni[2030-09-01],
INDIRECT("rec.uni[natureza]"),"taxa.extra",
INDIRECT("rec.uni[empresa]"),AK$6)</f>
        <v>0</v>
      </c>
      <c r="AL119" s="51"/>
      <c r="AM119" s="39"/>
      <c r="AN119" s="49">
        <f ca="1">SUMIFS(rec.uni[2030-09-01],
INDIRECT("rec.uni[natureza]"),"pro.soluto",
INDIRECT("rec.uni[empresa]"),AN$6)</f>
        <v>0</v>
      </c>
      <c r="AO119" s="49">
        <f ca="1">SUMIFS(rec.uni[2030-09-01],
INDIRECT("rec.uni[natureza]"),"taxa.extra",
INDIRECT("rec.uni[empresa]"),AO$6)</f>
        <v>0</v>
      </c>
      <c r="AP119" s="140"/>
    </row>
    <row r="120" spans="1:42" x14ac:dyDescent="0.25">
      <c r="A120" s="47">
        <v>47757</v>
      </c>
      <c r="B120" s="39"/>
      <c r="C120" s="49">
        <f ca="1">SUMIFS(rec.uni[2030-10-01],
INDIRECT("rec.uni[natureza]"),"pro.soluto",
INDIRECT("rec.uni[empresa]"),C$6)</f>
        <v>0</v>
      </c>
      <c r="D120" s="38"/>
      <c r="E120" s="51"/>
      <c r="F120" s="51"/>
      <c r="G120" s="49">
        <f ca="1">SUMIFS(rec.uni[2030-10-01],
INDIRECT("rec.uni[natureza]"),"taxa.extra",
INDIRECT("rec.uni[empresa]"),G$6)</f>
        <v>0</v>
      </c>
      <c r="H120" s="51"/>
      <c r="I120" s="39"/>
      <c r="J120" s="49">
        <f ca="1">SUMIFS(rec.uni[2030-10-01],
INDIRECT("rec.uni[natureza]"),"pro.soluto",
INDIRECT("rec.uni[empresa]"),J$6)</f>
        <v>0</v>
      </c>
      <c r="K120" s="38"/>
      <c r="L120" s="51"/>
      <c r="M120" s="51"/>
      <c r="N120" s="49">
        <f ca="1">SUMIFS(rec.uni[2030-10-01],
INDIRECT("rec.uni[natureza]"),"taxa.extra",
INDIRECT("rec.uni[empresa]"),N$6)</f>
        <v>0</v>
      </c>
      <c r="O120" s="51"/>
      <c r="P120" s="39"/>
      <c r="Q120" s="49">
        <f ca="1">SUMIFS(rec.uni[2030-10-01],
INDIRECT("rec.uni[natureza]"),"pro.soluto",
INDIRECT("rec.uni[empresa]"),Q$6)</f>
        <v>0</v>
      </c>
      <c r="R120" s="38"/>
      <c r="S120" s="51"/>
      <c r="T120" s="51"/>
      <c r="U120" s="49">
        <f ca="1">SUMIFS(rec.uni[2030-10-01],
INDIRECT("rec.uni[natureza]"),"taxa.extra",
INDIRECT("rec.uni[empresa]"),U$6)</f>
        <v>0</v>
      </c>
      <c r="V120" s="51"/>
      <c r="W120" s="39"/>
      <c r="X120" s="49">
        <f ca="1">SUMIFS(rec.uni[2030-10-01],
INDIRECT("rec.uni[natureza]"),"pro.soluto",
INDIRECT("rec.uni[empresa]"),X$6)</f>
        <v>0</v>
      </c>
      <c r="Y120" s="49">
        <f ca="1">SUMIFS(rec.uni[2030-10-01],
INDIRECT("rec.uni[natureza]"),"taxa.extra",
INDIRECT("rec.uni[empresa]"),Y$6)</f>
        <v>0</v>
      </c>
      <c r="Z120" s="51"/>
      <c r="AA120" s="39"/>
      <c r="AB120" s="49">
        <f ca="1">SUMIFS(rec.uni[2030-10-01],
INDIRECT("rec.uni[natureza]"),"pro.soluto",
INDIRECT("rec.uni[empresa]"),AB$6)</f>
        <v>0</v>
      </c>
      <c r="AC120" s="51">
        <f ca="1">SUMIFS(rec.uni[2030-10-01],
INDIRECT("rec.uni[natureza]"),"parcela.fin.total.ik",
INDIRECT("rec.uni[empresa]"),AC$6)</f>
        <v>0</v>
      </c>
      <c r="AD120" s="49">
        <f ca="1">SUMIFS(rec.uni[2030-10-01],
INDIRECT("rec.uni[natureza]"),"taxa.extra",
INDIRECT("rec.uni[empresa]"),AD$6)</f>
        <v>0</v>
      </c>
      <c r="AE120" s="51"/>
      <c r="AF120" s="48"/>
      <c r="AG120" s="49">
        <f ca="1">SUMIFS(rec.uni[2030-10-01],
INDIRECT("rec.uni[natureza]"),"pro.soluto",
INDIRECT("rec.uni[empresa]"),AG$6)</f>
        <v>0</v>
      </c>
      <c r="AH120" s="38"/>
      <c r="AI120" s="51"/>
      <c r="AJ120" s="51"/>
      <c r="AK120" s="49">
        <f ca="1">SUMIFS(rec.uni[2030-10-01],
INDIRECT("rec.uni[natureza]"),"taxa.extra",
INDIRECT("rec.uni[empresa]"),AK$6)</f>
        <v>0</v>
      </c>
      <c r="AL120" s="51"/>
      <c r="AM120" s="39"/>
      <c r="AN120" s="49">
        <f ca="1">SUMIFS(rec.uni[2030-10-01],
INDIRECT("rec.uni[natureza]"),"pro.soluto",
INDIRECT("rec.uni[empresa]"),AN$6)</f>
        <v>0</v>
      </c>
      <c r="AO120" s="49">
        <f ca="1">SUMIFS(rec.uni[2030-10-01],
INDIRECT("rec.uni[natureza]"),"taxa.extra",
INDIRECT("rec.uni[empresa]"),AO$6)</f>
        <v>0</v>
      </c>
      <c r="AP120" s="140"/>
    </row>
    <row r="121" spans="1:42" x14ac:dyDescent="0.25">
      <c r="A121" s="47">
        <v>47788</v>
      </c>
      <c r="B121" s="39"/>
      <c r="C121" s="49">
        <f ca="1">SUMIFS(rec.uni[2030-11-01],
INDIRECT("rec.uni[natureza]"),"pro.soluto",
INDIRECT("rec.uni[empresa]"),C$6)</f>
        <v>0</v>
      </c>
      <c r="D121" s="38"/>
      <c r="E121" s="51"/>
      <c r="F121" s="51"/>
      <c r="G121" s="49">
        <f ca="1">SUMIFS(rec.uni[2030-11-01],
INDIRECT("rec.uni[natureza]"),"taxa.extra",
INDIRECT("rec.uni[empresa]"),G$6)</f>
        <v>0</v>
      </c>
      <c r="H121" s="51"/>
      <c r="I121" s="39"/>
      <c r="J121" s="49">
        <f ca="1">SUMIFS(rec.uni[2030-11-01],
INDIRECT("rec.uni[natureza]"),"pro.soluto",
INDIRECT("rec.uni[empresa]"),J$6)</f>
        <v>0</v>
      </c>
      <c r="K121" s="38"/>
      <c r="L121" s="51"/>
      <c r="M121" s="51"/>
      <c r="N121" s="49">
        <f ca="1">SUMIFS(rec.uni[2030-11-01],
INDIRECT("rec.uni[natureza]"),"taxa.extra",
INDIRECT("rec.uni[empresa]"),N$6)</f>
        <v>0</v>
      </c>
      <c r="O121" s="51"/>
      <c r="P121" s="39"/>
      <c r="Q121" s="49">
        <f ca="1">SUMIFS(rec.uni[2030-11-01],
INDIRECT("rec.uni[natureza]"),"pro.soluto",
INDIRECT("rec.uni[empresa]"),Q$6)</f>
        <v>0</v>
      </c>
      <c r="R121" s="38"/>
      <c r="S121" s="51"/>
      <c r="T121" s="51"/>
      <c r="U121" s="49">
        <f ca="1">SUMIFS(rec.uni[2030-11-01],
INDIRECT("rec.uni[natureza]"),"taxa.extra",
INDIRECT("rec.uni[empresa]"),U$6)</f>
        <v>0</v>
      </c>
      <c r="V121" s="51"/>
      <c r="W121" s="39"/>
      <c r="X121" s="49">
        <f ca="1">SUMIFS(rec.uni[2030-11-01],
INDIRECT("rec.uni[natureza]"),"pro.soluto",
INDIRECT("rec.uni[empresa]"),X$6)</f>
        <v>0</v>
      </c>
      <c r="Y121" s="49">
        <f ca="1">SUMIFS(rec.uni[2030-11-01],
INDIRECT("rec.uni[natureza]"),"taxa.extra",
INDIRECT("rec.uni[empresa]"),Y$6)</f>
        <v>0</v>
      </c>
      <c r="Z121" s="51"/>
      <c r="AA121" s="39"/>
      <c r="AB121" s="49">
        <f ca="1">SUMIFS(rec.uni[2030-11-01],
INDIRECT("rec.uni[natureza]"),"pro.soluto",
INDIRECT("rec.uni[empresa]"),AB$6)</f>
        <v>0</v>
      </c>
      <c r="AC121" s="51">
        <f ca="1">SUMIFS(rec.uni[2030-11-01],
INDIRECT("rec.uni[natureza]"),"parcela.fin.total.ik",
INDIRECT("rec.uni[empresa]"),AC$6)</f>
        <v>0</v>
      </c>
      <c r="AD121" s="49">
        <f ca="1">SUMIFS(rec.uni[2030-11-01],
INDIRECT("rec.uni[natureza]"),"taxa.extra",
INDIRECT("rec.uni[empresa]"),AD$6)</f>
        <v>0</v>
      </c>
      <c r="AE121" s="51"/>
      <c r="AF121" s="48"/>
      <c r="AG121" s="49">
        <f ca="1">SUMIFS(rec.uni[2030-11-01],
INDIRECT("rec.uni[natureza]"),"pro.soluto",
INDIRECT("rec.uni[empresa]"),AG$6)</f>
        <v>0</v>
      </c>
      <c r="AH121" s="38"/>
      <c r="AI121" s="51"/>
      <c r="AJ121" s="51"/>
      <c r="AK121" s="49">
        <f ca="1">SUMIFS(rec.uni[2030-11-01],
INDIRECT("rec.uni[natureza]"),"taxa.extra",
INDIRECT("rec.uni[empresa]"),AK$6)</f>
        <v>0</v>
      </c>
      <c r="AL121" s="51"/>
      <c r="AM121" s="39"/>
      <c r="AN121" s="49">
        <f ca="1">SUMIFS(rec.uni[2030-11-01],
INDIRECT("rec.uni[natureza]"),"pro.soluto",
INDIRECT("rec.uni[empresa]"),AN$6)</f>
        <v>0</v>
      </c>
      <c r="AO121" s="49">
        <f ca="1">SUMIFS(rec.uni[2030-11-01],
INDIRECT("rec.uni[natureza]"),"taxa.extra",
INDIRECT("rec.uni[empresa]"),AO$6)</f>
        <v>0</v>
      </c>
      <c r="AP121" s="140"/>
    </row>
    <row r="122" spans="1:42" x14ac:dyDescent="0.25">
      <c r="A122" s="47">
        <v>47818</v>
      </c>
      <c r="B122" s="52"/>
      <c r="C122" s="53">
        <f ca="1">SUMIFS(rec.uni[2030-12-01],
INDIRECT("rec.uni[natureza]"),"pro.soluto",
INDIRECT("rec.uni[empresa]"),C$6)</f>
        <v>0</v>
      </c>
      <c r="D122" s="54"/>
      <c r="E122" s="55"/>
      <c r="F122" s="55"/>
      <c r="G122" s="53">
        <f ca="1">SUMIFS(rec.uni[2030-12-01],
INDIRECT("rec.uni[natureza]"),"taxa.extra",
INDIRECT("rec.uni[empresa]"),G$6)</f>
        <v>0</v>
      </c>
      <c r="H122" s="55"/>
      <c r="I122" s="52"/>
      <c r="J122" s="53">
        <f ca="1">SUMIFS(rec.uni[2030-12-01],
INDIRECT("rec.uni[natureza]"),"pro.soluto",
INDIRECT("rec.uni[empresa]"),J$6)</f>
        <v>0</v>
      </c>
      <c r="K122" s="54"/>
      <c r="L122" s="55"/>
      <c r="M122" s="55"/>
      <c r="N122" s="53">
        <f ca="1">SUMIFS(rec.uni[2030-12-01],
INDIRECT("rec.uni[natureza]"),"taxa.extra",
INDIRECT("rec.uni[empresa]"),N$6)</f>
        <v>0</v>
      </c>
      <c r="O122" s="55"/>
      <c r="P122" s="52"/>
      <c r="Q122" s="53">
        <f ca="1">SUMIFS(rec.uni[2030-12-01],
INDIRECT("rec.uni[natureza]"),"pro.soluto",
INDIRECT("rec.uni[empresa]"),Q$6)</f>
        <v>0</v>
      </c>
      <c r="R122" s="54"/>
      <c r="S122" s="55"/>
      <c r="T122" s="55"/>
      <c r="U122" s="53">
        <f ca="1">SUMIFS(rec.uni[2030-12-01],
INDIRECT("rec.uni[natureza]"),"taxa.extra",
INDIRECT("rec.uni[empresa]"),U$6)</f>
        <v>0</v>
      </c>
      <c r="V122" s="55"/>
      <c r="W122" s="52"/>
      <c r="X122" s="53">
        <f ca="1">SUMIFS(rec.uni[2030-12-01],
INDIRECT("rec.uni[natureza]"),"pro.soluto",
INDIRECT("rec.uni[empresa]"),X$6)</f>
        <v>0</v>
      </c>
      <c r="Y122" s="53">
        <f ca="1">SUMIFS(rec.uni[2030-12-01],
INDIRECT("rec.uni[natureza]"),"taxa.extra",
INDIRECT("rec.uni[empresa]"),Y$6)</f>
        <v>0</v>
      </c>
      <c r="Z122" s="55"/>
      <c r="AA122" s="52"/>
      <c r="AB122" s="53">
        <f ca="1">SUMIFS(rec.uni[2030-12-01],
INDIRECT("rec.uni[natureza]"),"pro.soluto",
INDIRECT("rec.uni[empresa]"),AB$6)</f>
        <v>0</v>
      </c>
      <c r="AC122" s="55">
        <f ca="1">SUMIFS(rec.uni[2030-12-01],
INDIRECT("rec.uni[natureza]"),"parcela.fin.total.ik",
INDIRECT("rec.uni[empresa]"),AC$6)</f>
        <v>0</v>
      </c>
      <c r="AD122" s="53">
        <f ca="1">SUMIFS(rec.uni[2030-12-01],
INDIRECT("rec.uni[natureza]"),"taxa.extra",
INDIRECT("rec.uni[empresa]"),AD$6)</f>
        <v>0</v>
      </c>
      <c r="AE122" s="55"/>
      <c r="AF122" s="56"/>
      <c r="AG122" s="53">
        <f ca="1">SUMIFS(rec.uni[2030-12-01],
INDIRECT("rec.uni[natureza]"),"pro.soluto",
INDIRECT("rec.uni[empresa]"),AG$6)</f>
        <v>0</v>
      </c>
      <c r="AH122" s="54"/>
      <c r="AI122" s="55"/>
      <c r="AJ122" s="55"/>
      <c r="AK122" s="53">
        <f ca="1">SUMIFS(rec.uni[2030-12-01],
INDIRECT("rec.uni[natureza]"),"taxa.extra",
INDIRECT("rec.uni[empresa]"),AK$6)</f>
        <v>0</v>
      </c>
      <c r="AL122" s="55"/>
      <c r="AM122" s="52"/>
      <c r="AN122" s="53">
        <f ca="1">SUMIFS(rec.uni[2030-12-01],
INDIRECT("rec.uni[natureza]"),"pro.soluto",
INDIRECT("rec.uni[empresa]"),AN$6)</f>
        <v>0</v>
      </c>
      <c r="AO122" s="53">
        <f ca="1">SUMIFS(rec.uni[2030-12-01],
INDIRECT("rec.uni[natureza]"),"taxa.extra",
INDIRECT("rec.uni[empresa]"),AO$6)</f>
        <v>0</v>
      </c>
      <c r="AP122" s="141"/>
    </row>
  </sheetData>
  <conditionalFormatting sqref="A11:AP122">
    <cfRule type="expression" dxfId="1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ignoredErrors>
    <ignoredError sqref="I9 P9:P11 AF9:AF10 AM9:AM10 AA9:AA1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5F8D0-58DB-427C-9BD3-2940CBFA0EC4}">
  <sheetPr>
    <tabColor rgb="FFFFFF00"/>
  </sheetPr>
  <dimension ref="A1:AP122"/>
  <sheetViews>
    <sheetView showGridLines="0" topLeftCell="W1" zoomScale="80" zoomScaleNormal="80" workbookViewId="0">
      <selection activeCell="AL15" sqref="AL15"/>
    </sheetView>
  </sheetViews>
  <sheetFormatPr defaultRowHeight="15" x14ac:dyDescent="0.25"/>
  <cols>
    <col min="1" max="1" width="18.28515625" style="6" bestFit="1" customWidth="1"/>
    <col min="2" max="42" width="14.7109375" style="6" customWidth="1"/>
    <col min="43" max="16384" width="9.140625" style="6"/>
  </cols>
  <sheetData>
    <row r="1" spans="1:42" ht="18.75" x14ac:dyDescent="0.3">
      <c r="A1" s="1">
        <v>45991</v>
      </c>
      <c r="B1" s="2" t="s">
        <v>0</v>
      </c>
      <c r="C1" s="3"/>
      <c r="D1" s="3"/>
      <c r="E1" s="3"/>
      <c r="F1" s="4"/>
      <c r="G1" s="3"/>
      <c r="H1" s="5"/>
      <c r="I1" s="2" t="s">
        <v>1</v>
      </c>
      <c r="J1" s="3"/>
      <c r="K1" s="3"/>
      <c r="L1" s="3"/>
      <c r="M1" s="4"/>
      <c r="N1" s="3"/>
      <c r="O1" s="5"/>
      <c r="P1" s="2" t="s">
        <v>2</v>
      </c>
      <c r="Q1" s="3"/>
      <c r="R1" s="3"/>
      <c r="S1" s="3"/>
      <c r="T1" s="4"/>
      <c r="U1" s="3"/>
      <c r="V1" s="5"/>
      <c r="W1" s="2" t="s">
        <v>3</v>
      </c>
      <c r="X1" s="3"/>
      <c r="Y1" s="3"/>
      <c r="Z1" s="5"/>
      <c r="AA1" s="2" t="s">
        <v>4</v>
      </c>
      <c r="AB1" s="3"/>
      <c r="AC1" s="3"/>
      <c r="AD1" s="3"/>
      <c r="AE1" s="5"/>
      <c r="AF1" s="2" t="s">
        <v>5</v>
      </c>
      <c r="AG1" s="3"/>
      <c r="AH1" s="3"/>
      <c r="AI1" s="3"/>
      <c r="AJ1" s="4"/>
      <c r="AK1" s="3"/>
      <c r="AL1" s="5"/>
      <c r="AM1" s="2" t="s">
        <v>6</v>
      </c>
      <c r="AN1" s="3"/>
      <c r="AO1" s="3"/>
      <c r="AP1" s="5"/>
    </row>
    <row r="2" spans="1:42" ht="15.75" x14ac:dyDescent="0.25">
      <c r="B2" s="7" t="s">
        <v>7</v>
      </c>
      <c r="C2" s="8"/>
      <c r="D2" s="153">
        <v>2301149</v>
      </c>
      <c r="H2" s="10"/>
      <c r="I2" s="7" t="s">
        <v>7</v>
      </c>
      <c r="J2" s="11"/>
      <c r="K2" s="153">
        <v>1567849</v>
      </c>
      <c r="O2" s="10"/>
      <c r="P2" s="7" t="s">
        <v>7</v>
      </c>
      <c r="Q2" s="11"/>
      <c r="R2" s="153">
        <v>5448793</v>
      </c>
      <c r="V2" s="10"/>
      <c r="W2" s="7" t="s">
        <v>7</v>
      </c>
      <c r="X2" s="11"/>
      <c r="Y2" s="153">
        <v>30073218</v>
      </c>
      <c r="Z2" s="10"/>
      <c r="AA2" s="7" t="s">
        <v>7</v>
      </c>
      <c r="AB2" s="11"/>
      <c r="AC2" s="153">
        <v>420000</v>
      </c>
      <c r="AE2" s="10"/>
      <c r="AF2" s="7" t="s">
        <v>7</v>
      </c>
      <c r="AG2" s="11"/>
      <c r="AH2" s="153">
        <v>2222876</v>
      </c>
      <c r="AL2" s="10"/>
      <c r="AM2" s="7" t="s">
        <v>7</v>
      </c>
      <c r="AN2" s="11"/>
      <c r="AO2" s="153">
        <v>35524021</v>
      </c>
      <c r="AP2" s="10"/>
    </row>
    <row r="3" spans="1:42" ht="15.75" x14ac:dyDescent="0.25">
      <c r="B3" s="12" t="s">
        <v>8</v>
      </c>
      <c r="C3" s="13"/>
      <c r="D3" s="154">
        <v>12</v>
      </c>
      <c r="H3" s="10"/>
      <c r="I3" s="12" t="s">
        <v>8</v>
      </c>
      <c r="J3" s="15"/>
      <c r="K3" s="154">
        <v>6</v>
      </c>
      <c r="O3" s="10"/>
      <c r="P3" s="12" t="s">
        <v>8</v>
      </c>
      <c r="Q3" s="15"/>
      <c r="R3" s="154">
        <v>13</v>
      </c>
      <c r="V3" s="10"/>
      <c r="W3" s="12" t="s">
        <v>8</v>
      </c>
      <c r="X3" s="15"/>
      <c r="Y3" s="154">
        <v>93</v>
      </c>
      <c r="Z3" s="10"/>
      <c r="AA3" s="12" t="s">
        <v>8</v>
      </c>
      <c r="AB3" s="15"/>
      <c r="AC3" s="154">
        <v>1</v>
      </c>
      <c r="AE3" s="10"/>
      <c r="AF3" s="12" t="s">
        <v>8</v>
      </c>
      <c r="AG3" s="15"/>
      <c r="AH3" s="154">
        <v>7</v>
      </c>
      <c r="AL3" s="10"/>
      <c r="AM3" s="12" t="s">
        <v>8</v>
      </c>
      <c r="AN3" s="15"/>
      <c r="AO3" s="154">
        <v>107</v>
      </c>
      <c r="AP3" s="10"/>
    </row>
    <row r="4" spans="1:42" ht="15.75" x14ac:dyDescent="0.25">
      <c r="B4" s="7" t="s">
        <v>9</v>
      </c>
      <c r="C4" s="8"/>
      <c r="D4" s="155"/>
      <c r="H4" s="10"/>
      <c r="I4" s="7" t="s">
        <v>9</v>
      </c>
      <c r="J4" s="11"/>
      <c r="K4" s="155"/>
      <c r="O4" s="10"/>
      <c r="P4" s="7" t="s">
        <v>9</v>
      </c>
      <c r="Q4" s="11"/>
      <c r="R4" s="155"/>
      <c r="V4" s="10"/>
      <c r="W4" s="7" t="s">
        <v>9</v>
      </c>
      <c r="X4" s="11"/>
      <c r="Y4" s="155"/>
      <c r="Z4" s="10"/>
      <c r="AA4" s="16"/>
      <c r="AE4" s="10"/>
      <c r="AF4" s="7" t="s">
        <v>9</v>
      </c>
      <c r="AG4" s="11"/>
      <c r="AH4" s="155"/>
      <c r="AL4" s="10"/>
      <c r="AM4" s="7" t="s">
        <v>9</v>
      </c>
      <c r="AN4" s="11"/>
      <c r="AO4" s="155"/>
      <c r="AP4" s="10"/>
    </row>
    <row r="5" spans="1:42" ht="15.75" x14ac:dyDescent="0.25">
      <c r="B5" s="17" t="s">
        <v>10</v>
      </c>
      <c r="C5" s="18"/>
      <c r="D5" s="156"/>
      <c r="H5" s="20"/>
      <c r="I5" s="17" t="s">
        <v>10</v>
      </c>
      <c r="J5" s="21"/>
      <c r="K5" s="156"/>
      <c r="O5" s="20"/>
      <c r="P5" s="17" t="s">
        <v>10</v>
      </c>
      <c r="Q5" s="21"/>
      <c r="R5" s="156"/>
      <c r="V5" s="20"/>
      <c r="W5" s="17" t="s">
        <v>10</v>
      </c>
      <c r="X5" s="21"/>
      <c r="Y5" s="156"/>
      <c r="Z5" s="20"/>
      <c r="AA5" s="22"/>
      <c r="AB5" s="23"/>
      <c r="AE5" s="20"/>
      <c r="AF5" s="17" t="s">
        <v>10</v>
      </c>
      <c r="AG5" s="21"/>
      <c r="AH5" s="156"/>
      <c r="AL5" s="20"/>
      <c r="AM5" s="17" t="s">
        <v>10</v>
      </c>
      <c r="AN5" s="21"/>
      <c r="AO5" s="156"/>
      <c r="AP5" s="20"/>
    </row>
    <row r="6" spans="1:42" ht="15.75" x14ac:dyDescent="0.25">
      <c r="A6" s="24" t="s">
        <v>11</v>
      </c>
      <c r="B6" s="25" t="s">
        <v>12</v>
      </c>
      <c r="C6" s="26" t="s">
        <v>12</v>
      </c>
      <c r="D6" s="26" t="s">
        <v>12</v>
      </c>
      <c r="E6" s="26" t="s">
        <v>12</v>
      </c>
      <c r="F6" s="27" t="s">
        <v>12</v>
      </c>
      <c r="G6" s="26" t="s">
        <v>12</v>
      </c>
      <c r="H6" s="28" t="s">
        <v>12</v>
      </c>
      <c r="I6" s="25" t="s">
        <v>13</v>
      </c>
      <c r="J6" s="26" t="s">
        <v>13</v>
      </c>
      <c r="K6" s="26" t="s">
        <v>13</v>
      </c>
      <c r="L6" s="26" t="s">
        <v>13</v>
      </c>
      <c r="M6" s="26" t="s">
        <v>13</v>
      </c>
      <c r="N6" s="26" t="s">
        <v>13</v>
      </c>
      <c r="O6" s="28" t="s">
        <v>13</v>
      </c>
      <c r="P6" s="25" t="s">
        <v>14</v>
      </c>
      <c r="Q6" s="26" t="s">
        <v>14</v>
      </c>
      <c r="R6" s="26" t="s">
        <v>14</v>
      </c>
      <c r="S6" s="26" t="s">
        <v>14</v>
      </c>
      <c r="T6" s="26" t="s">
        <v>14</v>
      </c>
      <c r="U6" s="26" t="s">
        <v>14</v>
      </c>
      <c r="V6" s="28" t="s">
        <v>14</v>
      </c>
      <c r="W6" s="25" t="s">
        <v>15</v>
      </c>
      <c r="X6" s="26" t="s">
        <v>15</v>
      </c>
      <c r="Y6" s="26" t="s">
        <v>15</v>
      </c>
      <c r="Z6" s="28" t="s">
        <v>15</v>
      </c>
      <c r="AA6" s="25" t="s">
        <v>16</v>
      </c>
      <c r="AB6" s="26" t="s">
        <v>16</v>
      </c>
      <c r="AC6" s="26" t="s">
        <v>16</v>
      </c>
      <c r="AD6" s="26" t="s">
        <v>16</v>
      </c>
      <c r="AE6" s="28" t="s">
        <v>16</v>
      </c>
      <c r="AF6" s="25" t="s">
        <v>17</v>
      </c>
      <c r="AG6" s="26" t="s">
        <v>17</v>
      </c>
      <c r="AH6" s="26" t="s">
        <v>17</v>
      </c>
      <c r="AI6" s="26" t="s">
        <v>17</v>
      </c>
      <c r="AJ6" s="26" t="s">
        <v>17</v>
      </c>
      <c r="AK6" s="26" t="s">
        <v>17</v>
      </c>
      <c r="AL6" s="28" t="s">
        <v>17</v>
      </c>
      <c r="AM6" s="25" t="s">
        <v>18</v>
      </c>
      <c r="AN6" s="26" t="s">
        <v>18</v>
      </c>
      <c r="AO6" s="26" t="s">
        <v>18</v>
      </c>
      <c r="AP6" s="28" t="s">
        <v>18</v>
      </c>
    </row>
    <row r="7" spans="1:42" ht="30" x14ac:dyDescent="0.25">
      <c r="A7" s="24" t="s">
        <v>19</v>
      </c>
      <c r="B7" s="29" t="s">
        <v>20</v>
      </c>
      <c r="C7" s="30" t="s">
        <v>21</v>
      </c>
      <c r="D7" s="30" t="s">
        <v>22</v>
      </c>
      <c r="E7" s="30" t="s">
        <v>23</v>
      </c>
      <c r="F7" s="31" t="s">
        <v>24</v>
      </c>
      <c r="G7" s="30" t="s">
        <v>25</v>
      </c>
      <c r="H7" s="32" t="s">
        <v>26</v>
      </c>
      <c r="I7" s="29" t="s">
        <v>20</v>
      </c>
      <c r="J7" s="30" t="s">
        <v>21</v>
      </c>
      <c r="K7" s="30" t="s">
        <v>22</v>
      </c>
      <c r="L7" s="30" t="s">
        <v>23</v>
      </c>
      <c r="M7" s="31" t="s">
        <v>24</v>
      </c>
      <c r="N7" s="30" t="s">
        <v>25</v>
      </c>
      <c r="O7" s="32" t="s">
        <v>26</v>
      </c>
      <c r="P7" s="29" t="s">
        <v>20</v>
      </c>
      <c r="Q7" s="30" t="s">
        <v>21</v>
      </c>
      <c r="R7" s="30" t="s">
        <v>22</v>
      </c>
      <c r="S7" s="30" t="s">
        <v>23</v>
      </c>
      <c r="T7" s="31" t="s">
        <v>24</v>
      </c>
      <c r="U7" s="30" t="s">
        <v>25</v>
      </c>
      <c r="V7" s="32" t="s">
        <v>26</v>
      </c>
      <c r="W7" s="29" t="s">
        <v>20</v>
      </c>
      <c r="X7" s="30" t="s">
        <v>21</v>
      </c>
      <c r="Y7" s="30" t="s">
        <v>25</v>
      </c>
      <c r="Z7" s="32" t="s">
        <v>26</v>
      </c>
      <c r="AA7" s="29" t="s">
        <v>20</v>
      </c>
      <c r="AB7" s="30" t="s">
        <v>21</v>
      </c>
      <c r="AC7" s="30" t="s">
        <v>27</v>
      </c>
      <c r="AD7" s="30" t="s">
        <v>25</v>
      </c>
      <c r="AE7" s="32" t="s">
        <v>26</v>
      </c>
      <c r="AF7" s="29" t="s">
        <v>20</v>
      </c>
      <c r="AG7" s="30" t="s">
        <v>21</v>
      </c>
      <c r="AH7" s="30" t="s">
        <v>22</v>
      </c>
      <c r="AI7" s="30" t="s">
        <v>23</v>
      </c>
      <c r="AJ7" s="31" t="s">
        <v>24</v>
      </c>
      <c r="AK7" s="30" t="s">
        <v>25</v>
      </c>
      <c r="AL7" s="32" t="s">
        <v>26</v>
      </c>
      <c r="AM7" s="29" t="s">
        <v>20</v>
      </c>
      <c r="AN7" s="30" t="s">
        <v>21</v>
      </c>
      <c r="AO7" s="30" t="s">
        <v>25</v>
      </c>
      <c r="AP7" s="32" t="s">
        <v>26</v>
      </c>
    </row>
    <row r="8" spans="1:42" ht="15.75" x14ac:dyDescent="0.25">
      <c r="A8" s="33" t="s">
        <v>28</v>
      </c>
      <c r="B8" s="34">
        <f t="shared" ref="B8:AP8" si="0">SUMIF($A$11:$A$122,"&lt;="&amp;$A$1,B$11:B$122)</f>
        <v>84</v>
      </c>
      <c r="C8" s="35">
        <f t="shared" si="0"/>
        <v>5441368</v>
      </c>
      <c r="D8" s="35">
        <f t="shared" si="0"/>
        <v>10969791</v>
      </c>
      <c r="E8" s="35">
        <f t="shared" si="0"/>
        <v>2076560</v>
      </c>
      <c r="F8" s="36">
        <f t="shared" si="0"/>
        <v>0</v>
      </c>
      <c r="G8" s="35">
        <f t="shared" si="0"/>
        <v>0</v>
      </c>
      <c r="H8" s="37">
        <f t="shared" si="0"/>
        <v>0</v>
      </c>
      <c r="I8" s="34">
        <f t="shared" si="0"/>
        <v>151</v>
      </c>
      <c r="J8" s="35">
        <f t="shared" si="0"/>
        <v>17547728</v>
      </c>
      <c r="K8" s="35">
        <f t="shared" si="0"/>
        <v>18611890</v>
      </c>
      <c r="L8" s="35">
        <f t="shared" si="0"/>
        <v>3812440</v>
      </c>
      <c r="M8" s="36">
        <f t="shared" si="0"/>
        <v>0</v>
      </c>
      <c r="N8" s="35">
        <f t="shared" si="0"/>
        <v>0</v>
      </c>
      <c r="O8" s="37">
        <f t="shared" si="0"/>
        <v>0</v>
      </c>
      <c r="P8" s="34">
        <f>SUMIF($A$11:$A$122,"&lt;="&amp;$A$1,P$11:P$122)</f>
        <v>128</v>
      </c>
      <c r="Q8" s="35">
        <f t="shared" si="0"/>
        <v>8224551</v>
      </c>
      <c r="R8" s="35">
        <f t="shared" si="0"/>
        <v>4747377</v>
      </c>
      <c r="S8" s="35">
        <f t="shared" si="0"/>
        <v>4683225</v>
      </c>
      <c r="T8" s="36">
        <f t="shared" si="0"/>
        <v>0</v>
      </c>
      <c r="U8" s="35">
        <f t="shared" si="0"/>
        <v>0</v>
      </c>
      <c r="V8" s="37">
        <f t="shared" si="0"/>
        <v>0</v>
      </c>
      <c r="W8" s="34">
        <f t="shared" ref="W8:AM8" si="1">SUMIF($A$11:$A$122,"&lt;="&amp;$A$1,W$11:W$122)</f>
        <v>121</v>
      </c>
      <c r="X8" s="35">
        <f t="shared" si="0"/>
        <v>1155519</v>
      </c>
      <c r="Y8" s="35">
        <f t="shared" si="0"/>
        <v>0</v>
      </c>
      <c r="Z8" s="37">
        <f t="shared" si="0"/>
        <v>0</v>
      </c>
      <c r="AA8" s="34">
        <f t="shared" si="1"/>
        <v>55</v>
      </c>
      <c r="AB8" s="35">
        <f t="shared" si="0"/>
        <v>8478046</v>
      </c>
      <c r="AC8" s="38" t="s">
        <v>44</v>
      </c>
      <c r="AD8" s="35">
        <f t="shared" si="0"/>
        <v>0</v>
      </c>
      <c r="AE8" s="37">
        <f t="shared" si="0"/>
        <v>0</v>
      </c>
      <c r="AF8" s="34">
        <f t="shared" si="1"/>
        <v>190</v>
      </c>
      <c r="AG8" s="35">
        <f t="shared" si="0"/>
        <v>11982013.73</v>
      </c>
      <c r="AH8" s="35">
        <f t="shared" si="0"/>
        <v>6607255</v>
      </c>
      <c r="AI8" s="35">
        <f t="shared" si="0"/>
        <v>6328879</v>
      </c>
      <c r="AJ8" s="36">
        <f t="shared" si="0"/>
        <v>0</v>
      </c>
      <c r="AK8" s="35">
        <f t="shared" si="0"/>
        <v>0</v>
      </c>
      <c r="AL8" s="37">
        <f t="shared" si="0"/>
        <v>0</v>
      </c>
      <c r="AM8" s="34">
        <f t="shared" si="1"/>
        <v>270</v>
      </c>
      <c r="AN8" s="35">
        <f t="shared" si="0"/>
        <v>4070583</v>
      </c>
      <c r="AO8" s="35">
        <f t="shared" si="0"/>
        <v>0</v>
      </c>
      <c r="AP8" s="37">
        <f t="shared" si="0"/>
        <v>0</v>
      </c>
    </row>
    <row r="9" spans="1:42" ht="15.75" x14ac:dyDescent="0.25">
      <c r="A9" s="33" t="s">
        <v>29</v>
      </c>
      <c r="B9" s="34">
        <f>B$10-B$8</f>
        <v>-84</v>
      </c>
      <c r="C9" s="35">
        <f>SUMIF($A$11:$A$122,"&gt;"&amp;$A$1,C$11:C$122)</f>
        <v>2532963</v>
      </c>
      <c r="D9" s="150">
        <f t="shared" ref="D9:H9" si="2">SUMIF($A$11:$A$122,"&gt;"&amp;$A$1,D$11:D$122)</f>
        <v>2411486</v>
      </c>
      <c r="E9" s="150">
        <f t="shared" si="2"/>
        <v>163842</v>
      </c>
      <c r="F9" s="151">
        <f t="shared" si="2"/>
        <v>0</v>
      </c>
      <c r="G9" s="35">
        <f t="shared" si="2"/>
        <v>0</v>
      </c>
      <c r="H9" s="152">
        <f t="shared" si="2"/>
        <v>0</v>
      </c>
      <c r="I9" s="34">
        <f>I$10-I$8</f>
        <v>-151</v>
      </c>
      <c r="J9" s="35">
        <f t="shared" ref="J9:AP9" si="3">SUMIF($A$11:$A$122,"&gt;"&amp;$A$1,J$11:J$122)</f>
        <v>42900</v>
      </c>
      <c r="K9" s="150">
        <f t="shared" si="3"/>
        <v>0</v>
      </c>
      <c r="L9" s="150">
        <f t="shared" si="3"/>
        <v>0</v>
      </c>
      <c r="M9" s="151">
        <f t="shared" si="3"/>
        <v>0</v>
      </c>
      <c r="N9" s="35">
        <f t="shared" si="3"/>
        <v>0</v>
      </c>
      <c r="O9" s="152">
        <f t="shared" si="3"/>
        <v>0</v>
      </c>
      <c r="P9" s="34">
        <f>P$10-P$8</f>
        <v>-128</v>
      </c>
      <c r="Q9" s="35">
        <f t="shared" si="3"/>
        <v>6883519</v>
      </c>
      <c r="R9" s="150">
        <f t="shared" si="3"/>
        <v>17101428</v>
      </c>
      <c r="S9" s="150">
        <f t="shared" si="3"/>
        <v>148936</v>
      </c>
      <c r="T9" s="151">
        <f t="shared" si="3"/>
        <v>0</v>
      </c>
      <c r="U9" s="35">
        <f t="shared" si="3"/>
        <v>0</v>
      </c>
      <c r="V9" s="152">
        <f t="shared" si="3"/>
        <v>0</v>
      </c>
      <c r="W9" s="34">
        <f>W$10-W$8</f>
        <v>-121</v>
      </c>
      <c r="X9" s="35">
        <f t="shared" si="3"/>
        <v>5494622</v>
      </c>
      <c r="Y9" s="35">
        <f t="shared" si="3"/>
        <v>0</v>
      </c>
      <c r="Z9" s="152">
        <f t="shared" si="3"/>
        <v>0</v>
      </c>
      <c r="AA9" s="34">
        <f>AA$10-AA$8</f>
        <v>-55</v>
      </c>
      <c r="AB9" s="35">
        <f t="shared" si="3"/>
        <v>3542427</v>
      </c>
      <c r="AC9" s="150">
        <f>SUMIF($A$11:$A$122,"&gt;"&amp;$A$1,AC$11:AC$122)</f>
        <v>13476430</v>
      </c>
      <c r="AD9" s="35">
        <f t="shared" si="3"/>
        <v>0</v>
      </c>
      <c r="AE9" s="152">
        <f t="shared" si="3"/>
        <v>0</v>
      </c>
      <c r="AF9" s="34">
        <f>AF$10-AF$8</f>
        <v>-190</v>
      </c>
      <c r="AG9" s="35">
        <f t="shared" si="3"/>
        <v>6927535</v>
      </c>
      <c r="AH9" s="150">
        <f t="shared" si="3"/>
        <v>25947554</v>
      </c>
      <c r="AI9" s="150">
        <f t="shared" si="3"/>
        <v>369231</v>
      </c>
      <c r="AJ9" s="151">
        <f t="shared" si="3"/>
        <v>0</v>
      </c>
      <c r="AK9" s="35">
        <f t="shared" si="3"/>
        <v>0</v>
      </c>
      <c r="AL9" s="152">
        <f t="shared" si="3"/>
        <v>0</v>
      </c>
      <c r="AM9" s="34">
        <f>AM$10-AM$8</f>
        <v>-270</v>
      </c>
      <c r="AN9" s="35">
        <f t="shared" si="3"/>
        <v>14956888</v>
      </c>
      <c r="AO9" s="35">
        <f t="shared" si="3"/>
        <v>0</v>
      </c>
      <c r="AP9" s="152">
        <f t="shared" si="3"/>
        <v>0</v>
      </c>
    </row>
    <row r="10" spans="1:42" ht="15.75" x14ac:dyDescent="0.25">
      <c r="A10" s="43" t="s">
        <v>30</v>
      </c>
      <c r="B10" s="142">
        <f>status.unis!H4</f>
        <v>0</v>
      </c>
      <c r="C10" s="44">
        <f t="shared" ref="C10:H10" si="4">SUM(C8:C9)</f>
        <v>7974331</v>
      </c>
      <c r="D10" s="44">
        <f t="shared" si="4"/>
        <v>13381277</v>
      </c>
      <c r="E10" s="44">
        <f t="shared" si="4"/>
        <v>2240402</v>
      </c>
      <c r="F10" s="45">
        <f t="shared" si="4"/>
        <v>0</v>
      </c>
      <c r="G10" s="44">
        <f t="shared" si="4"/>
        <v>0</v>
      </c>
      <c r="H10" s="46">
        <f t="shared" si="4"/>
        <v>0</v>
      </c>
      <c r="I10" s="142">
        <f>status.unis!H8</f>
        <v>0</v>
      </c>
      <c r="J10" s="44">
        <f t="shared" ref="J10:O10" si="5">SUM(J8:J9)</f>
        <v>17590628</v>
      </c>
      <c r="K10" s="44">
        <f t="shared" si="5"/>
        <v>18611890</v>
      </c>
      <c r="L10" s="44">
        <f t="shared" si="5"/>
        <v>3812440</v>
      </c>
      <c r="M10" s="45">
        <f t="shared" si="5"/>
        <v>0</v>
      </c>
      <c r="N10" s="44">
        <f t="shared" si="5"/>
        <v>0</v>
      </c>
      <c r="O10" s="46">
        <f t="shared" si="5"/>
        <v>0</v>
      </c>
      <c r="P10" s="142">
        <f>status.unis!H12</f>
        <v>0</v>
      </c>
      <c r="Q10" s="44">
        <f t="shared" ref="Q10:V10" si="6">SUM(Q8:Q9)</f>
        <v>15108070</v>
      </c>
      <c r="R10" s="44">
        <f t="shared" si="6"/>
        <v>21848805</v>
      </c>
      <c r="S10" s="44">
        <f t="shared" si="6"/>
        <v>4832161</v>
      </c>
      <c r="T10" s="45">
        <f t="shared" si="6"/>
        <v>0</v>
      </c>
      <c r="U10" s="44">
        <f t="shared" si="6"/>
        <v>0</v>
      </c>
      <c r="V10" s="46">
        <f t="shared" si="6"/>
        <v>0</v>
      </c>
      <c r="W10" s="142">
        <f>status.unis!H16</f>
        <v>0</v>
      </c>
      <c r="X10" s="44">
        <f>SUM(X8:X9)</f>
        <v>6650141</v>
      </c>
      <c r="Y10" s="44">
        <f>SUM(Y8:Y9)</f>
        <v>0</v>
      </c>
      <c r="Z10" s="46">
        <f>SUM(Z8:Z9)</f>
        <v>0</v>
      </c>
      <c r="AA10" s="142">
        <f>status.unis!H20</f>
        <v>0</v>
      </c>
      <c r="AB10" s="44">
        <f>SUM(AB8:AB9)</f>
        <v>12020473</v>
      </c>
      <c r="AC10" s="44">
        <f>SUM(AC8:AC9)</f>
        <v>13476430</v>
      </c>
      <c r="AD10" s="44">
        <f>SUM(AD8:AD9)</f>
        <v>0</v>
      </c>
      <c r="AE10" s="46">
        <f>SUM(AE8:AE9)</f>
        <v>0</v>
      </c>
      <c r="AF10" s="142">
        <f>status.unis!H24</f>
        <v>0</v>
      </c>
      <c r="AG10" s="44">
        <f t="shared" ref="AG10:AL10" si="7">SUM(AG8:AG9)</f>
        <v>18909548.73</v>
      </c>
      <c r="AH10" s="44">
        <f t="shared" si="7"/>
        <v>32554809</v>
      </c>
      <c r="AI10" s="44">
        <f t="shared" si="7"/>
        <v>6698110</v>
      </c>
      <c r="AJ10" s="45">
        <f t="shared" si="7"/>
        <v>0</v>
      </c>
      <c r="AK10" s="44">
        <f t="shared" si="7"/>
        <v>0</v>
      </c>
      <c r="AL10" s="46">
        <f t="shared" si="7"/>
        <v>0</v>
      </c>
      <c r="AM10" s="142">
        <f>status.unis!H28</f>
        <v>0</v>
      </c>
      <c r="AN10" s="44">
        <f>SUM(AN8:AN9)</f>
        <v>19027471</v>
      </c>
      <c r="AO10" s="44">
        <f>SUM(AO8:AO9)</f>
        <v>0</v>
      </c>
      <c r="AP10" s="46">
        <f>SUM(AP8:AP9)</f>
        <v>0</v>
      </c>
    </row>
    <row r="11" spans="1:42" x14ac:dyDescent="0.25">
      <c r="A11" s="47">
        <v>44440</v>
      </c>
      <c r="B11" s="142"/>
      <c r="C11" s="143"/>
      <c r="D11" s="143"/>
      <c r="E11" s="143"/>
      <c r="F11" s="143"/>
      <c r="G11" s="143"/>
      <c r="H11" s="144"/>
      <c r="I11" s="142"/>
      <c r="J11" s="143"/>
      <c r="K11" s="143"/>
      <c r="L11" s="143"/>
      <c r="M11" s="143"/>
      <c r="N11" s="143"/>
      <c r="O11" s="144"/>
      <c r="P11" s="142"/>
      <c r="Q11" s="143"/>
      <c r="R11" s="143"/>
      <c r="S11" s="143"/>
      <c r="T11" s="143"/>
      <c r="U11" s="143"/>
      <c r="V11" s="144"/>
      <c r="W11" s="142"/>
      <c r="X11" s="143"/>
      <c r="Y11" s="143"/>
      <c r="Z11" s="144"/>
      <c r="AA11" s="142"/>
      <c r="AB11" s="143"/>
      <c r="AC11" s="143"/>
      <c r="AD11" s="143"/>
      <c r="AE11" s="144"/>
      <c r="AF11" s="142"/>
      <c r="AG11" s="143"/>
      <c r="AH11" s="143"/>
      <c r="AI11" s="143"/>
      <c r="AJ11" s="143"/>
      <c r="AK11" s="143"/>
      <c r="AL11" s="144"/>
      <c r="AM11" s="142"/>
      <c r="AN11" s="143"/>
      <c r="AO11" s="143"/>
      <c r="AP11" s="144"/>
    </row>
    <row r="12" spans="1:42" x14ac:dyDescent="0.25">
      <c r="A12" s="47">
        <v>44470</v>
      </c>
      <c r="B12" s="142"/>
      <c r="C12" s="143"/>
      <c r="D12" s="143"/>
      <c r="E12" s="143"/>
      <c r="F12" s="143"/>
      <c r="G12" s="143"/>
      <c r="H12" s="144"/>
      <c r="I12" s="142"/>
      <c r="J12" s="143"/>
      <c r="K12" s="143"/>
      <c r="L12" s="143"/>
      <c r="M12" s="143"/>
      <c r="N12" s="143"/>
      <c r="O12" s="144"/>
      <c r="P12" s="142"/>
      <c r="Q12" s="143"/>
      <c r="R12" s="143"/>
      <c r="S12" s="143"/>
      <c r="T12" s="143"/>
      <c r="U12" s="143"/>
      <c r="V12" s="144"/>
      <c r="W12" s="142"/>
      <c r="X12" s="143"/>
      <c r="Y12" s="143"/>
      <c r="Z12" s="144"/>
      <c r="AA12" s="142"/>
      <c r="AB12" s="143"/>
      <c r="AC12" s="143"/>
      <c r="AD12" s="143"/>
      <c r="AE12" s="144"/>
      <c r="AF12" s="142"/>
      <c r="AG12" s="143"/>
      <c r="AH12" s="143"/>
      <c r="AI12" s="143"/>
      <c r="AJ12" s="143"/>
      <c r="AK12" s="143"/>
      <c r="AL12" s="144"/>
      <c r="AM12" s="142"/>
      <c r="AN12" s="143"/>
      <c r="AO12" s="143"/>
      <c r="AP12" s="144"/>
    </row>
    <row r="13" spans="1:42" x14ac:dyDescent="0.25">
      <c r="A13" s="47">
        <v>44501</v>
      </c>
      <c r="B13" s="142"/>
      <c r="C13" s="143"/>
      <c r="D13" s="143"/>
      <c r="E13" s="143"/>
      <c r="F13" s="143"/>
      <c r="G13" s="143"/>
      <c r="H13" s="144"/>
      <c r="I13" s="142"/>
      <c r="J13" s="143"/>
      <c r="K13" s="143"/>
      <c r="L13" s="143"/>
      <c r="M13" s="143"/>
      <c r="N13" s="143"/>
      <c r="O13" s="144"/>
      <c r="P13" s="142"/>
      <c r="Q13" s="143"/>
      <c r="R13" s="143"/>
      <c r="S13" s="143"/>
      <c r="T13" s="143"/>
      <c r="U13" s="143"/>
      <c r="V13" s="144"/>
      <c r="W13" s="142"/>
      <c r="X13" s="143"/>
      <c r="Y13" s="143"/>
      <c r="Z13" s="144"/>
      <c r="AA13" s="142"/>
      <c r="AB13" s="143"/>
      <c r="AC13" s="143"/>
      <c r="AD13" s="143"/>
      <c r="AE13" s="144"/>
      <c r="AF13" s="142"/>
      <c r="AG13" s="143"/>
      <c r="AH13" s="143"/>
      <c r="AI13" s="143"/>
      <c r="AJ13" s="143"/>
      <c r="AK13" s="143"/>
      <c r="AL13" s="144"/>
      <c r="AM13" s="142"/>
      <c r="AN13" s="143"/>
      <c r="AO13" s="143"/>
      <c r="AP13" s="144"/>
    </row>
    <row r="14" spans="1:42" x14ac:dyDescent="0.25">
      <c r="A14" s="47">
        <v>44531</v>
      </c>
      <c r="B14" s="142"/>
      <c r="C14" s="143"/>
      <c r="D14" s="143"/>
      <c r="E14" s="143"/>
      <c r="F14" s="143"/>
      <c r="G14" s="143"/>
      <c r="H14" s="144"/>
      <c r="I14" s="142"/>
      <c r="J14" s="143"/>
      <c r="K14" s="143"/>
      <c r="L14" s="143"/>
      <c r="M14" s="143"/>
      <c r="N14" s="143"/>
      <c r="O14" s="144"/>
      <c r="P14" s="142"/>
      <c r="Q14" s="143"/>
      <c r="R14" s="143"/>
      <c r="S14" s="143"/>
      <c r="T14" s="143"/>
      <c r="U14" s="143"/>
      <c r="V14" s="144"/>
      <c r="W14" s="142"/>
      <c r="X14" s="143"/>
      <c r="Y14" s="143"/>
      <c r="Z14" s="144"/>
      <c r="AA14" s="142"/>
      <c r="AB14" s="143"/>
      <c r="AC14" s="143"/>
      <c r="AD14" s="143"/>
      <c r="AE14" s="144"/>
      <c r="AF14" s="142"/>
      <c r="AG14" s="143"/>
      <c r="AH14" s="143"/>
      <c r="AI14" s="143"/>
      <c r="AJ14" s="143"/>
      <c r="AK14" s="143"/>
      <c r="AL14" s="144"/>
      <c r="AM14" s="142"/>
      <c r="AN14" s="143"/>
      <c r="AO14" s="143"/>
      <c r="AP14" s="144"/>
    </row>
    <row r="15" spans="1:42" x14ac:dyDescent="0.25">
      <c r="A15" s="47">
        <v>44562</v>
      </c>
      <c r="B15" s="142"/>
      <c r="C15" s="143"/>
      <c r="D15" s="143"/>
      <c r="E15" s="143"/>
      <c r="F15" s="143"/>
      <c r="G15" s="143"/>
      <c r="H15" s="144"/>
      <c r="I15" s="142">
        <v>17</v>
      </c>
      <c r="J15" s="143">
        <v>1297500</v>
      </c>
      <c r="K15" s="143"/>
      <c r="L15" s="143"/>
      <c r="M15" s="143"/>
      <c r="N15" s="143"/>
      <c r="O15" s="144"/>
      <c r="P15" s="142"/>
      <c r="Q15" s="143"/>
      <c r="R15" s="143"/>
      <c r="S15" s="143"/>
      <c r="T15" s="143"/>
      <c r="U15" s="143"/>
      <c r="V15" s="144"/>
      <c r="W15" s="142"/>
      <c r="X15" s="143"/>
      <c r="Y15" s="143"/>
      <c r="Z15" s="144"/>
      <c r="AA15" s="142"/>
      <c r="AB15" s="143"/>
      <c r="AC15" s="143"/>
      <c r="AD15" s="143"/>
      <c r="AE15" s="144"/>
      <c r="AF15" s="142"/>
      <c r="AG15" s="143"/>
      <c r="AH15" s="143"/>
      <c r="AI15" s="143"/>
      <c r="AJ15" s="143"/>
      <c r="AK15" s="143"/>
      <c r="AL15" s="144"/>
      <c r="AM15" s="142"/>
      <c r="AN15" s="143"/>
      <c r="AO15" s="143"/>
      <c r="AP15" s="144"/>
    </row>
    <row r="16" spans="1:42" x14ac:dyDescent="0.25">
      <c r="A16" s="47">
        <v>44593</v>
      </c>
      <c r="B16" s="142"/>
      <c r="C16" s="143"/>
      <c r="D16" s="143"/>
      <c r="E16" s="143"/>
      <c r="F16" s="143"/>
      <c r="G16" s="143"/>
      <c r="H16" s="144"/>
      <c r="I16" s="142" t="s">
        <v>45</v>
      </c>
      <c r="J16" s="143">
        <v>547500</v>
      </c>
      <c r="K16" s="143"/>
      <c r="L16" s="143"/>
      <c r="M16" s="143"/>
      <c r="N16" s="143"/>
      <c r="O16" s="144"/>
      <c r="P16" s="142"/>
      <c r="Q16" s="143"/>
      <c r="R16" s="143"/>
      <c r="S16" s="143"/>
      <c r="T16" s="143"/>
      <c r="U16" s="143"/>
      <c r="V16" s="144"/>
      <c r="W16" s="142"/>
      <c r="X16" s="143"/>
      <c r="Y16" s="143"/>
      <c r="Z16" s="144"/>
      <c r="AA16" s="142"/>
      <c r="AB16" s="143"/>
      <c r="AC16" s="143"/>
      <c r="AD16" s="143"/>
      <c r="AE16" s="144"/>
      <c r="AF16" s="142"/>
      <c r="AG16" s="143"/>
      <c r="AH16" s="143"/>
      <c r="AI16" s="143"/>
      <c r="AJ16" s="143"/>
      <c r="AK16" s="143"/>
      <c r="AL16" s="144"/>
      <c r="AM16" s="142"/>
      <c r="AN16" s="143"/>
      <c r="AO16" s="143"/>
      <c r="AP16" s="144"/>
    </row>
    <row r="17" spans="1:42" x14ac:dyDescent="0.25">
      <c r="A17" s="47">
        <v>44621</v>
      </c>
      <c r="B17" s="142"/>
      <c r="C17" s="143"/>
      <c r="D17" s="143"/>
      <c r="E17" s="143"/>
      <c r="F17" s="143"/>
      <c r="G17" s="143"/>
      <c r="H17" s="144"/>
      <c r="I17" s="142">
        <v>34</v>
      </c>
      <c r="J17" s="143">
        <v>445979</v>
      </c>
      <c r="K17" s="143"/>
      <c r="L17" s="143"/>
      <c r="M17" s="143"/>
      <c r="N17" s="143"/>
      <c r="O17" s="144"/>
      <c r="P17" s="142"/>
      <c r="Q17" s="143"/>
      <c r="R17" s="143"/>
      <c r="S17" s="143"/>
      <c r="T17" s="143"/>
      <c r="U17" s="143"/>
      <c r="V17" s="144"/>
      <c r="W17" s="142"/>
      <c r="X17" s="143"/>
      <c r="Y17" s="143"/>
      <c r="Z17" s="144"/>
      <c r="AA17" s="142"/>
      <c r="AB17" s="143"/>
      <c r="AC17" s="143"/>
      <c r="AD17" s="143"/>
      <c r="AE17" s="144"/>
      <c r="AF17" s="142"/>
      <c r="AG17" s="143"/>
      <c r="AH17" s="143"/>
      <c r="AI17" s="143"/>
      <c r="AJ17" s="143"/>
      <c r="AK17" s="143"/>
      <c r="AL17" s="144"/>
      <c r="AM17" s="142"/>
      <c r="AN17" s="143"/>
      <c r="AO17" s="143"/>
      <c r="AP17" s="144"/>
    </row>
    <row r="18" spans="1:42" x14ac:dyDescent="0.25">
      <c r="A18" s="47">
        <v>44652</v>
      </c>
      <c r="B18" s="142"/>
      <c r="C18" s="143"/>
      <c r="D18" s="143"/>
      <c r="E18" s="143"/>
      <c r="F18" s="143"/>
      <c r="G18" s="143"/>
      <c r="H18" s="144"/>
      <c r="I18" s="142">
        <v>17</v>
      </c>
      <c r="J18" s="143">
        <v>1071608</v>
      </c>
      <c r="K18" s="143"/>
      <c r="L18" s="143"/>
      <c r="M18" s="143"/>
      <c r="N18" s="143"/>
      <c r="O18" s="144"/>
      <c r="P18" s="142"/>
      <c r="Q18" s="143"/>
      <c r="R18" s="143"/>
      <c r="S18" s="143"/>
      <c r="T18" s="143"/>
      <c r="U18" s="143"/>
      <c r="V18" s="144"/>
      <c r="W18" s="142"/>
      <c r="X18" s="143"/>
      <c r="Y18" s="143"/>
      <c r="Z18" s="144"/>
      <c r="AA18" s="142"/>
      <c r="AB18" s="143"/>
      <c r="AC18" s="143"/>
      <c r="AD18" s="143"/>
      <c r="AE18" s="144"/>
      <c r="AF18" s="142"/>
      <c r="AG18" s="143"/>
      <c r="AH18" s="143"/>
      <c r="AI18" s="143"/>
      <c r="AJ18" s="143"/>
      <c r="AK18" s="143"/>
      <c r="AL18" s="144"/>
      <c r="AM18" s="142"/>
      <c r="AN18" s="143"/>
      <c r="AO18" s="143"/>
      <c r="AP18" s="144"/>
    </row>
    <row r="19" spans="1:42" x14ac:dyDescent="0.25">
      <c r="A19" s="47">
        <v>44682</v>
      </c>
      <c r="B19" s="142"/>
      <c r="C19" s="143"/>
      <c r="D19" s="143"/>
      <c r="E19" s="143"/>
      <c r="F19" s="143"/>
      <c r="G19" s="143"/>
      <c r="H19" s="144"/>
      <c r="I19" s="142">
        <v>23</v>
      </c>
      <c r="J19" s="143">
        <v>162495</v>
      </c>
      <c r="K19" s="143"/>
      <c r="L19" s="143"/>
      <c r="M19" s="143"/>
      <c r="N19" s="143"/>
      <c r="O19" s="144"/>
      <c r="P19" s="142"/>
      <c r="Q19" s="143"/>
      <c r="R19" s="143"/>
      <c r="S19" s="143"/>
      <c r="T19" s="143"/>
      <c r="U19" s="143"/>
      <c r="V19" s="144"/>
      <c r="W19" s="142"/>
      <c r="X19" s="143"/>
      <c r="Y19" s="143"/>
      <c r="Z19" s="144"/>
      <c r="AA19" s="142"/>
      <c r="AB19" s="143"/>
      <c r="AC19" s="143"/>
      <c r="AD19" s="143"/>
      <c r="AE19" s="144"/>
      <c r="AF19" s="142"/>
      <c r="AG19" s="143"/>
      <c r="AH19" s="143"/>
      <c r="AI19" s="143"/>
      <c r="AJ19" s="143"/>
      <c r="AK19" s="143"/>
      <c r="AL19" s="144"/>
      <c r="AM19" s="142"/>
      <c r="AN19" s="143"/>
      <c r="AO19" s="143"/>
      <c r="AP19" s="144"/>
    </row>
    <row r="20" spans="1:42" x14ac:dyDescent="0.25">
      <c r="A20" s="47">
        <v>44713</v>
      </c>
      <c r="B20" s="142"/>
      <c r="C20" s="143"/>
      <c r="D20" s="143"/>
      <c r="E20" s="143"/>
      <c r="F20" s="143"/>
      <c r="G20" s="143"/>
      <c r="H20" s="144"/>
      <c r="I20" s="142">
        <v>10</v>
      </c>
      <c r="J20" s="143">
        <v>48360</v>
      </c>
      <c r="K20" s="143"/>
      <c r="L20" s="143"/>
      <c r="M20" s="143"/>
      <c r="N20" s="143"/>
      <c r="O20" s="144"/>
      <c r="P20" s="142"/>
      <c r="Q20" s="143"/>
      <c r="R20" s="143"/>
      <c r="S20" s="143"/>
      <c r="T20" s="143"/>
      <c r="U20" s="143"/>
      <c r="V20" s="144"/>
      <c r="W20" s="142"/>
      <c r="X20" s="143"/>
      <c r="Y20" s="143"/>
      <c r="Z20" s="144"/>
      <c r="AA20" s="142"/>
      <c r="AB20" s="143"/>
      <c r="AC20" s="143"/>
      <c r="AD20" s="143"/>
      <c r="AE20" s="144"/>
      <c r="AF20" s="142"/>
      <c r="AG20" s="143"/>
      <c r="AH20" s="143"/>
      <c r="AI20" s="143"/>
      <c r="AJ20" s="143"/>
      <c r="AK20" s="143"/>
      <c r="AL20" s="144"/>
      <c r="AM20" s="142"/>
      <c r="AN20" s="143"/>
      <c r="AO20" s="143"/>
      <c r="AP20" s="144"/>
    </row>
    <row r="21" spans="1:42" x14ac:dyDescent="0.25">
      <c r="A21" s="47">
        <v>44743</v>
      </c>
      <c r="B21" s="142"/>
      <c r="C21" s="143"/>
      <c r="D21" s="143"/>
      <c r="E21" s="143"/>
      <c r="F21" s="143"/>
      <c r="G21" s="143"/>
      <c r="H21" s="144"/>
      <c r="I21" s="142">
        <v>10</v>
      </c>
      <c r="J21" s="143">
        <v>285668</v>
      </c>
      <c r="K21" s="143"/>
      <c r="L21" s="143"/>
      <c r="M21" s="143"/>
      <c r="N21" s="143"/>
      <c r="O21" s="144"/>
      <c r="P21" s="142"/>
      <c r="Q21" s="143"/>
      <c r="R21" s="143"/>
      <c r="S21" s="143"/>
      <c r="T21" s="143"/>
      <c r="U21" s="143"/>
      <c r="V21" s="144"/>
      <c r="W21" s="142"/>
      <c r="X21" s="143"/>
      <c r="Y21" s="143"/>
      <c r="Z21" s="144"/>
      <c r="AA21" s="142"/>
      <c r="AB21" s="143"/>
      <c r="AC21" s="143"/>
      <c r="AD21" s="143"/>
      <c r="AE21" s="144"/>
      <c r="AF21" s="142"/>
      <c r="AG21" s="143"/>
      <c r="AH21" s="143"/>
      <c r="AI21" s="143"/>
      <c r="AJ21" s="143"/>
      <c r="AK21" s="143"/>
      <c r="AL21" s="144"/>
      <c r="AM21" s="142"/>
      <c r="AN21" s="143"/>
      <c r="AO21" s="143"/>
      <c r="AP21" s="144"/>
    </row>
    <row r="22" spans="1:42" x14ac:dyDescent="0.25">
      <c r="A22" s="47">
        <v>44774</v>
      </c>
      <c r="B22" s="142"/>
      <c r="C22" s="143"/>
      <c r="D22" s="143"/>
      <c r="E22" s="143"/>
      <c r="F22" s="143"/>
      <c r="G22" s="143"/>
      <c r="H22" s="144"/>
      <c r="I22" s="142">
        <v>10</v>
      </c>
      <c r="J22" s="143">
        <v>762659</v>
      </c>
      <c r="K22" s="143"/>
      <c r="L22" s="143"/>
      <c r="M22" s="143"/>
      <c r="N22" s="143"/>
      <c r="O22" s="144"/>
      <c r="P22" s="142"/>
      <c r="Q22" s="143"/>
      <c r="R22" s="143"/>
      <c r="S22" s="143"/>
      <c r="T22" s="143"/>
      <c r="U22" s="143"/>
      <c r="V22" s="144"/>
      <c r="W22" s="142"/>
      <c r="X22" s="143"/>
      <c r="Y22" s="143"/>
      <c r="Z22" s="144"/>
      <c r="AA22" s="142"/>
      <c r="AB22" s="143"/>
      <c r="AC22" s="143"/>
      <c r="AD22" s="143"/>
      <c r="AE22" s="144"/>
      <c r="AF22" s="142"/>
      <c r="AG22" s="143"/>
      <c r="AH22" s="143"/>
      <c r="AI22" s="143"/>
      <c r="AJ22" s="143"/>
      <c r="AK22" s="143"/>
      <c r="AL22" s="144"/>
      <c r="AM22" s="142"/>
      <c r="AN22" s="143"/>
      <c r="AO22" s="143"/>
      <c r="AP22" s="144"/>
    </row>
    <row r="23" spans="1:42" x14ac:dyDescent="0.25">
      <c r="A23" s="47">
        <v>44805</v>
      </c>
      <c r="B23" s="142"/>
      <c r="C23" s="143"/>
      <c r="D23" s="143"/>
      <c r="E23" s="143"/>
      <c r="F23" s="143"/>
      <c r="G23" s="143"/>
      <c r="H23" s="144"/>
      <c r="I23" s="142">
        <v>6</v>
      </c>
      <c r="J23" s="143">
        <v>82249</v>
      </c>
      <c r="K23" s="143"/>
      <c r="L23" s="143"/>
      <c r="M23" s="143"/>
      <c r="N23" s="143"/>
      <c r="O23" s="144"/>
      <c r="P23" s="142"/>
      <c r="Q23" s="143"/>
      <c r="R23" s="143"/>
      <c r="S23" s="143"/>
      <c r="T23" s="143"/>
      <c r="U23" s="143"/>
      <c r="V23" s="144"/>
      <c r="W23" s="142"/>
      <c r="X23" s="143"/>
      <c r="Y23" s="143"/>
      <c r="Z23" s="144"/>
      <c r="AA23" s="142"/>
      <c r="AB23" s="143"/>
      <c r="AC23" s="143"/>
      <c r="AD23" s="143"/>
      <c r="AE23" s="144"/>
      <c r="AF23" s="142"/>
      <c r="AG23" s="143"/>
      <c r="AH23" s="143"/>
      <c r="AI23" s="143"/>
      <c r="AJ23" s="143"/>
      <c r="AK23" s="143"/>
      <c r="AL23" s="144"/>
      <c r="AM23" s="142"/>
      <c r="AN23" s="143"/>
      <c r="AO23" s="143"/>
      <c r="AP23" s="144"/>
    </row>
    <row r="24" spans="1:42" x14ac:dyDescent="0.25">
      <c r="A24" s="47">
        <v>44835</v>
      </c>
      <c r="B24" s="142"/>
      <c r="C24" s="143"/>
      <c r="D24" s="143"/>
      <c r="E24" s="143"/>
      <c r="F24" s="143"/>
      <c r="G24" s="143"/>
      <c r="H24" s="144"/>
      <c r="I24" s="142">
        <v>3</v>
      </c>
      <c r="J24" s="143">
        <v>99316</v>
      </c>
      <c r="K24" s="143"/>
      <c r="L24" s="143"/>
      <c r="M24" s="143"/>
      <c r="N24" s="143"/>
      <c r="O24" s="144"/>
      <c r="P24" s="142"/>
      <c r="Q24" s="143"/>
      <c r="R24" s="143"/>
      <c r="S24" s="143"/>
      <c r="T24" s="143"/>
      <c r="U24" s="143"/>
      <c r="V24" s="144"/>
      <c r="W24" s="142"/>
      <c r="X24" s="143"/>
      <c r="Y24" s="143"/>
      <c r="Z24" s="144"/>
      <c r="AA24" s="142"/>
      <c r="AB24" s="143"/>
      <c r="AC24" s="143"/>
      <c r="AD24" s="143"/>
      <c r="AE24" s="144"/>
      <c r="AF24" s="142"/>
      <c r="AG24" s="143"/>
      <c r="AH24" s="143"/>
      <c r="AI24" s="143"/>
      <c r="AJ24" s="143"/>
      <c r="AK24" s="143"/>
      <c r="AL24" s="144"/>
      <c r="AM24" s="142"/>
      <c r="AN24" s="143"/>
      <c r="AO24" s="143"/>
      <c r="AP24" s="144"/>
    </row>
    <row r="25" spans="1:42" x14ac:dyDescent="0.25">
      <c r="A25" s="47">
        <v>44866</v>
      </c>
      <c r="B25" s="142"/>
      <c r="C25" s="143"/>
      <c r="D25" s="143"/>
      <c r="E25" s="143"/>
      <c r="F25" s="143"/>
      <c r="G25" s="143"/>
      <c r="H25" s="144"/>
      <c r="I25" s="142">
        <v>5</v>
      </c>
      <c r="J25" s="143">
        <v>158293</v>
      </c>
      <c r="K25" s="143"/>
      <c r="L25" s="143"/>
      <c r="M25" s="143"/>
      <c r="N25" s="143"/>
      <c r="O25" s="144"/>
      <c r="P25" s="142"/>
      <c r="Q25" s="143"/>
      <c r="R25" s="143"/>
      <c r="S25" s="143"/>
      <c r="T25" s="143"/>
      <c r="U25" s="143"/>
      <c r="V25" s="144"/>
      <c r="W25" s="142"/>
      <c r="X25" s="143"/>
      <c r="Y25" s="143"/>
      <c r="Z25" s="144"/>
      <c r="AA25" s="142"/>
      <c r="AB25" s="143"/>
      <c r="AC25" s="143"/>
      <c r="AD25" s="143"/>
      <c r="AE25" s="144"/>
      <c r="AF25" s="142"/>
      <c r="AG25" s="143"/>
      <c r="AH25" s="143"/>
      <c r="AI25" s="143"/>
      <c r="AJ25" s="143"/>
      <c r="AK25" s="143"/>
      <c r="AL25" s="144"/>
      <c r="AM25" s="142"/>
      <c r="AN25" s="143"/>
      <c r="AO25" s="143"/>
      <c r="AP25" s="144"/>
    </row>
    <row r="26" spans="1:42" x14ac:dyDescent="0.25">
      <c r="A26" s="47">
        <v>44896</v>
      </c>
      <c r="B26" s="142"/>
      <c r="C26" s="143"/>
      <c r="D26" s="143"/>
      <c r="E26" s="143"/>
      <c r="F26" s="143"/>
      <c r="G26" s="143"/>
      <c r="H26" s="144"/>
      <c r="I26" s="142">
        <v>2</v>
      </c>
      <c r="J26" s="143">
        <v>343398</v>
      </c>
      <c r="K26" s="143"/>
      <c r="L26" s="143"/>
      <c r="M26" s="143"/>
      <c r="N26" s="143"/>
      <c r="O26" s="144"/>
      <c r="P26" s="142"/>
      <c r="Q26" s="143"/>
      <c r="R26" s="143"/>
      <c r="S26" s="143"/>
      <c r="T26" s="143"/>
      <c r="U26" s="143"/>
      <c r="V26" s="144"/>
      <c r="W26" s="142"/>
      <c r="X26" s="143"/>
      <c r="Y26" s="143"/>
      <c r="Z26" s="144"/>
      <c r="AA26" s="142"/>
      <c r="AB26" s="143"/>
      <c r="AC26" s="143"/>
      <c r="AD26" s="143"/>
      <c r="AE26" s="144"/>
      <c r="AF26" s="142"/>
      <c r="AG26" s="143"/>
      <c r="AH26" s="143"/>
      <c r="AI26" s="143"/>
      <c r="AJ26" s="143"/>
      <c r="AK26" s="143"/>
      <c r="AL26" s="144"/>
      <c r="AM26" s="142"/>
      <c r="AN26" s="143"/>
      <c r="AO26" s="143"/>
      <c r="AP26" s="144"/>
    </row>
    <row r="27" spans="1:42" x14ac:dyDescent="0.25">
      <c r="A27" s="47">
        <v>44927</v>
      </c>
      <c r="B27" s="142"/>
      <c r="C27" s="143"/>
      <c r="D27" s="143"/>
      <c r="E27" s="143"/>
      <c r="F27" s="143"/>
      <c r="G27" s="143"/>
      <c r="H27" s="144"/>
      <c r="I27" s="142" t="s">
        <v>45</v>
      </c>
      <c r="J27" s="143">
        <v>194374</v>
      </c>
      <c r="K27" s="143"/>
      <c r="L27" s="143">
        <v>2375950</v>
      </c>
      <c r="M27" s="143"/>
      <c r="N27" s="143"/>
      <c r="O27" s="144"/>
      <c r="P27" s="142"/>
      <c r="Q27" s="143"/>
      <c r="R27" s="143"/>
      <c r="S27" s="143"/>
      <c r="T27" s="143"/>
      <c r="U27" s="143"/>
      <c r="V27" s="144"/>
      <c r="W27" s="142"/>
      <c r="X27" s="143"/>
      <c r="Y27" s="143"/>
      <c r="Z27" s="144"/>
      <c r="AA27" s="142"/>
      <c r="AB27" s="143"/>
      <c r="AC27" s="143"/>
      <c r="AD27" s="143"/>
      <c r="AE27" s="144"/>
      <c r="AF27" s="142"/>
      <c r="AG27" s="143"/>
      <c r="AH27" s="143"/>
      <c r="AI27" s="143"/>
      <c r="AJ27" s="143"/>
      <c r="AK27" s="143"/>
      <c r="AL27" s="144"/>
      <c r="AM27" s="142"/>
      <c r="AN27" s="143"/>
      <c r="AO27" s="143"/>
      <c r="AP27" s="144"/>
    </row>
    <row r="28" spans="1:42" x14ac:dyDescent="0.25">
      <c r="A28" s="47">
        <v>44958</v>
      </c>
      <c r="B28" s="142"/>
      <c r="C28" s="143"/>
      <c r="D28" s="143"/>
      <c r="E28" s="143"/>
      <c r="F28" s="143"/>
      <c r="G28" s="143"/>
      <c r="H28" s="144"/>
      <c r="I28" s="142">
        <v>1</v>
      </c>
      <c r="J28" s="143">
        <v>175007</v>
      </c>
      <c r="K28" s="143"/>
      <c r="L28" s="143">
        <v>63903</v>
      </c>
      <c r="M28" s="143"/>
      <c r="N28" s="143"/>
      <c r="O28" s="144"/>
      <c r="P28" s="142"/>
      <c r="Q28" s="143"/>
      <c r="R28" s="143"/>
      <c r="S28" s="143"/>
      <c r="T28" s="143"/>
      <c r="U28" s="143"/>
      <c r="V28" s="144"/>
      <c r="W28" s="142"/>
      <c r="X28" s="143"/>
      <c r="Y28" s="143"/>
      <c r="Z28" s="144"/>
      <c r="AA28" s="142"/>
      <c r="AB28" s="143"/>
      <c r="AC28" s="143"/>
      <c r="AD28" s="143"/>
      <c r="AE28" s="144"/>
      <c r="AF28" s="142"/>
      <c r="AG28" s="143"/>
      <c r="AH28" s="143"/>
      <c r="AI28" s="143"/>
      <c r="AJ28" s="143"/>
      <c r="AK28" s="143"/>
      <c r="AL28" s="144"/>
      <c r="AM28" s="142"/>
      <c r="AN28" s="143"/>
      <c r="AO28" s="143"/>
      <c r="AP28" s="144"/>
    </row>
    <row r="29" spans="1:42" x14ac:dyDescent="0.25">
      <c r="A29" s="47">
        <v>44986</v>
      </c>
      <c r="B29" s="142"/>
      <c r="C29" s="143"/>
      <c r="D29" s="143"/>
      <c r="E29" s="143"/>
      <c r="F29" s="143"/>
      <c r="G29" s="143"/>
      <c r="H29" s="144"/>
      <c r="I29" s="142">
        <v>3</v>
      </c>
      <c r="J29" s="143">
        <v>418097</v>
      </c>
      <c r="K29" s="143">
        <v>966522</v>
      </c>
      <c r="L29" s="143">
        <v>420493</v>
      </c>
      <c r="M29" s="143"/>
      <c r="N29" s="143"/>
      <c r="O29" s="144"/>
      <c r="P29" s="142"/>
      <c r="Q29" s="143"/>
      <c r="R29" s="143"/>
      <c r="S29" s="143"/>
      <c r="T29" s="143"/>
      <c r="U29" s="143"/>
      <c r="V29" s="144"/>
      <c r="W29" s="142"/>
      <c r="X29" s="143"/>
      <c r="Y29" s="143"/>
      <c r="Z29" s="144"/>
      <c r="AA29" s="142"/>
      <c r="AB29" s="143"/>
      <c r="AC29" s="143"/>
      <c r="AD29" s="143"/>
      <c r="AE29" s="144"/>
      <c r="AF29" s="142"/>
      <c r="AG29" s="143"/>
      <c r="AH29" s="143"/>
      <c r="AI29" s="143"/>
      <c r="AJ29" s="143"/>
      <c r="AK29" s="143"/>
      <c r="AL29" s="144"/>
      <c r="AM29" s="142"/>
      <c r="AN29" s="143"/>
      <c r="AO29" s="143"/>
      <c r="AP29" s="144"/>
    </row>
    <row r="30" spans="1:42" x14ac:dyDescent="0.25">
      <c r="A30" s="47">
        <v>45017</v>
      </c>
      <c r="B30" s="142">
        <v>5</v>
      </c>
      <c r="C30" s="143"/>
      <c r="D30" s="143"/>
      <c r="E30" s="143"/>
      <c r="F30" s="143"/>
      <c r="G30" s="143"/>
      <c r="H30" s="144"/>
      <c r="I30" s="142">
        <v>1</v>
      </c>
      <c r="J30" s="143">
        <v>143416</v>
      </c>
      <c r="K30" s="143" t="s">
        <v>45</v>
      </c>
      <c r="L30" s="143" t="s">
        <v>45</v>
      </c>
      <c r="M30" s="143"/>
      <c r="N30" s="143"/>
      <c r="O30" s="144"/>
      <c r="P30" s="142"/>
      <c r="Q30" s="143"/>
      <c r="R30" s="143"/>
      <c r="S30" s="143"/>
      <c r="T30" s="143"/>
      <c r="U30" s="143"/>
      <c r="V30" s="144"/>
      <c r="W30" s="142"/>
      <c r="X30" s="143"/>
      <c r="Y30" s="143"/>
      <c r="Z30" s="144"/>
      <c r="AA30" s="142"/>
      <c r="AB30" s="143"/>
      <c r="AC30" s="143"/>
      <c r="AD30" s="143"/>
      <c r="AE30" s="144"/>
      <c r="AF30" s="142"/>
      <c r="AG30" s="143"/>
      <c r="AH30" s="143"/>
      <c r="AI30" s="143"/>
      <c r="AJ30" s="143"/>
      <c r="AK30" s="143"/>
      <c r="AL30" s="144"/>
      <c r="AM30" s="142"/>
      <c r="AN30" s="143"/>
      <c r="AO30" s="143"/>
      <c r="AP30" s="144"/>
    </row>
    <row r="31" spans="1:42" x14ac:dyDescent="0.25">
      <c r="A31" s="47">
        <v>45047</v>
      </c>
      <c r="B31" s="142">
        <v>4</v>
      </c>
      <c r="C31" s="143"/>
      <c r="D31" s="143"/>
      <c r="E31" s="143"/>
      <c r="F31" s="143"/>
      <c r="G31" s="143"/>
      <c r="H31" s="144"/>
      <c r="I31" s="142">
        <v>2</v>
      </c>
      <c r="J31" s="143">
        <v>125617</v>
      </c>
      <c r="K31" s="143">
        <v>363997</v>
      </c>
      <c r="L31" s="143" t="s">
        <v>45</v>
      </c>
      <c r="M31" s="143"/>
      <c r="N31" s="143"/>
      <c r="O31" s="144"/>
      <c r="P31" s="142"/>
      <c r="Q31" s="143"/>
      <c r="R31" s="143"/>
      <c r="S31" s="143"/>
      <c r="T31" s="143"/>
      <c r="U31" s="143"/>
      <c r="V31" s="144"/>
      <c r="W31" s="142"/>
      <c r="X31" s="143"/>
      <c r="Y31" s="143"/>
      <c r="Z31" s="144"/>
      <c r="AA31" s="142">
        <v>10</v>
      </c>
      <c r="AB31" s="143">
        <v>499400</v>
      </c>
      <c r="AC31" s="143"/>
      <c r="AD31" s="143"/>
      <c r="AE31" s="144"/>
      <c r="AF31" s="142"/>
      <c r="AG31" s="143"/>
      <c r="AH31" s="143"/>
      <c r="AI31" s="143"/>
      <c r="AJ31" s="143"/>
      <c r="AK31" s="143"/>
      <c r="AL31" s="144"/>
      <c r="AM31" s="142"/>
      <c r="AN31" s="143"/>
      <c r="AO31" s="143"/>
      <c r="AP31" s="144"/>
    </row>
    <row r="32" spans="1:42" x14ac:dyDescent="0.25">
      <c r="A32" s="47">
        <v>45078</v>
      </c>
      <c r="B32" s="142">
        <v>6</v>
      </c>
      <c r="C32" s="143"/>
      <c r="D32" s="143"/>
      <c r="E32" s="143"/>
      <c r="F32" s="143"/>
      <c r="G32" s="143"/>
      <c r="H32" s="144"/>
      <c r="I32" s="142" t="s">
        <v>45</v>
      </c>
      <c r="J32" s="143">
        <v>198451</v>
      </c>
      <c r="K32" s="143">
        <v>100651</v>
      </c>
      <c r="L32" s="143" t="s">
        <v>45</v>
      </c>
      <c r="M32" s="143"/>
      <c r="N32" s="143"/>
      <c r="O32" s="144"/>
      <c r="P32" s="142"/>
      <c r="Q32" s="143"/>
      <c r="R32" s="143"/>
      <c r="S32" s="143"/>
      <c r="T32" s="143"/>
      <c r="U32" s="143"/>
      <c r="V32" s="144"/>
      <c r="W32" s="142"/>
      <c r="X32" s="143"/>
      <c r="Y32" s="143"/>
      <c r="Z32" s="144"/>
      <c r="AA32" s="142" t="s">
        <v>45</v>
      </c>
      <c r="AB32" s="143" t="s">
        <v>45</v>
      </c>
      <c r="AC32" s="143"/>
      <c r="AD32" s="143"/>
      <c r="AE32" s="144"/>
      <c r="AF32" s="142"/>
      <c r="AG32" s="143"/>
      <c r="AH32" s="143"/>
      <c r="AI32" s="143"/>
      <c r="AJ32" s="143"/>
      <c r="AK32" s="143"/>
      <c r="AL32" s="144"/>
      <c r="AM32" s="142"/>
      <c r="AN32" s="143"/>
      <c r="AO32" s="143"/>
      <c r="AP32" s="144"/>
    </row>
    <row r="33" spans="1:42" x14ac:dyDescent="0.25">
      <c r="A33" s="47">
        <v>45108</v>
      </c>
      <c r="B33" s="142">
        <v>2</v>
      </c>
      <c r="C33" s="143"/>
      <c r="D33" s="143"/>
      <c r="E33" s="143"/>
      <c r="F33" s="143"/>
      <c r="G33" s="143"/>
      <c r="H33" s="144"/>
      <c r="I33" s="142" t="s">
        <v>45</v>
      </c>
      <c r="J33" s="143">
        <v>145549</v>
      </c>
      <c r="K33" s="143">
        <v>298156</v>
      </c>
      <c r="L33" s="143">
        <v>186371</v>
      </c>
      <c r="M33" s="143"/>
      <c r="N33" s="143"/>
      <c r="O33" s="144"/>
      <c r="P33" s="142"/>
      <c r="Q33" s="143"/>
      <c r="R33" s="143"/>
      <c r="S33" s="143"/>
      <c r="T33" s="143"/>
      <c r="U33" s="143"/>
      <c r="V33" s="144"/>
      <c r="W33" s="142"/>
      <c r="X33" s="143"/>
      <c r="Y33" s="143"/>
      <c r="Z33" s="144"/>
      <c r="AA33" s="142" t="s">
        <v>45</v>
      </c>
      <c r="AB33" s="143">
        <v>5000</v>
      </c>
      <c r="AC33" s="143"/>
      <c r="AD33" s="143"/>
      <c r="AE33" s="144"/>
      <c r="AF33" s="142"/>
      <c r="AG33" s="143"/>
      <c r="AH33" s="143"/>
      <c r="AI33" s="143"/>
      <c r="AJ33" s="143"/>
      <c r="AK33" s="143"/>
      <c r="AL33" s="144"/>
      <c r="AM33" s="142"/>
      <c r="AN33" s="143"/>
      <c r="AO33" s="143"/>
      <c r="AP33" s="144"/>
    </row>
    <row r="34" spans="1:42" x14ac:dyDescent="0.25">
      <c r="A34" s="47">
        <v>45139</v>
      </c>
      <c r="B34" s="142">
        <v>31</v>
      </c>
      <c r="C34" s="143"/>
      <c r="D34" s="143"/>
      <c r="E34" s="143"/>
      <c r="F34" s="143"/>
      <c r="G34" s="143"/>
      <c r="H34" s="144"/>
      <c r="I34" s="142">
        <v>1</v>
      </c>
      <c r="J34" s="143">
        <v>243439</v>
      </c>
      <c r="K34" s="143">
        <v>390493</v>
      </c>
      <c r="L34" s="143" t="s">
        <v>45</v>
      </c>
      <c r="M34" s="143"/>
      <c r="N34" s="143"/>
      <c r="O34" s="144"/>
      <c r="P34" s="142"/>
      <c r="Q34" s="143"/>
      <c r="R34" s="143"/>
      <c r="S34" s="143"/>
      <c r="T34" s="143"/>
      <c r="U34" s="143"/>
      <c r="V34" s="144"/>
      <c r="W34" s="142"/>
      <c r="X34" s="143"/>
      <c r="Y34" s="143"/>
      <c r="Z34" s="144"/>
      <c r="AA34" s="142" t="s">
        <v>45</v>
      </c>
      <c r="AB34" s="143">
        <v>374675</v>
      </c>
      <c r="AC34" s="143"/>
      <c r="AD34" s="143"/>
      <c r="AE34" s="144"/>
      <c r="AF34" s="142"/>
      <c r="AG34" s="143">
        <v>150000</v>
      </c>
      <c r="AH34" s="143"/>
      <c r="AI34" s="143"/>
      <c r="AJ34" s="143"/>
      <c r="AK34" s="143"/>
      <c r="AL34" s="144"/>
      <c r="AM34" s="142"/>
      <c r="AN34" s="143"/>
      <c r="AO34" s="143"/>
      <c r="AP34" s="144"/>
    </row>
    <row r="35" spans="1:42" x14ac:dyDescent="0.25">
      <c r="A35" s="47">
        <v>45170</v>
      </c>
      <c r="B35" s="142">
        <v>2</v>
      </c>
      <c r="C35" s="143"/>
      <c r="D35" s="143"/>
      <c r="E35" s="143"/>
      <c r="F35" s="143"/>
      <c r="G35" s="143"/>
      <c r="H35" s="144"/>
      <c r="I35" s="142">
        <v>1</v>
      </c>
      <c r="J35" s="143">
        <v>184722</v>
      </c>
      <c r="K35" s="143">
        <v>589751</v>
      </c>
      <c r="L35" s="143">
        <v>72032</v>
      </c>
      <c r="M35" s="143"/>
      <c r="N35" s="143"/>
      <c r="O35" s="144"/>
      <c r="P35" s="142"/>
      <c r="Q35" s="143"/>
      <c r="R35" s="143"/>
      <c r="S35" s="143"/>
      <c r="T35" s="143"/>
      <c r="U35" s="143"/>
      <c r="V35" s="144"/>
      <c r="W35" s="142"/>
      <c r="X35" s="143"/>
      <c r="Y35" s="143"/>
      <c r="Z35" s="144"/>
      <c r="AA35" s="142" t="s">
        <v>45</v>
      </c>
      <c r="AB35" s="143">
        <v>1456250</v>
      </c>
      <c r="AC35" s="143"/>
      <c r="AD35" s="143"/>
      <c r="AE35" s="144"/>
      <c r="AF35" s="142"/>
      <c r="AG35" s="143" t="s">
        <v>45</v>
      </c>
      <c r="AH35" s="143"/>
      <c r="AI35" s="143"/>
      <c r="AJ35" s="143"/>
      <c r="AK35" s="143"/>
      <c r="AL35" s="144"/>
      <c r="AM35" s="142"/>
      <c r="AN35" s="143"/>
      <c r="AO35" s="143"/>
      <c r="AP35" s="144"/>
    </row>
    <row r="36" spans="1:42" x14ac:dyDescent="0.25">
      <c r="A36" s="47">
        <v>45200</v>
      </c>
      <c r="B36" s="142" t="s">
        <v>45</v>
      </c>
      <c r="C36" s="143"/>
      <c r="D36" s="143"/>
      <c r="E36" s="143">
        <v>967838</v>
      </c>
      <c r="F36" s="143"/>
      <c r="G36" s="143"/>
      <c r="H36" s="144"/>
      <c r="I36" s="142">
        <v>1</v>
      </c>
      <c r="J36" s="143">
        <v>226050</v>
      </c>
      <c r="K36" s="143">
        <v>837176</v>
      </c>
      <c r="L36" s="143" t="s">
        <v>45</v>
      </c>
      <c r="M36" s="143"/>
      <c r="N36" s="143"/>
      <c r="O36" s="144"/>
      <c r="P36" s="142"/>
      <c r="Q36" s="143"/>
      <c r="R36" s="143"/>
      <c r="S36" s="143"/>
      <c r="T36" s="143"/>
      <c r="U36" s="143"/>
      <c r="V36" s="144"/>
      <c r="W36" s="142"/>
      <c r="X36" s="143"/>
      <c r="Y36" s="143"/>
      <c r="Z36" s="144"/>
      <c r="AA36" s="142" t="s">
        <v>45</v>
      </c>
      <c r="AB36" s="143">
        <v>540500</v>
      </c>
      <c r="AC36" s="143"/>
      <c r="AD36" s="143"/>
      <c r="AE36" s="144"/>
      <c r="AF36" s="142"/>
      <c r="AG36" s="143" t="s">
        <v>45</v>
      </c>
      <c r="AH36" s="143"/>
      <c r="AI36" s="143"/>
      <c r="AJ36" s="143"/>
      <c r="AK36" s="143"/>
      <c r="AL36" s="144"/>
      <c r="AM36" s="142"/>
      <c r="AN36" s="143"/>
      <c r="AO36" s="143"/>
      <c r="AP36" s="144"/>
    </row>
    <row r="37" spans="1:42" x14ac:dyDescent="0.25">
      <c r="A37" s="47">
        <v>45231</v>
      </c>
      <c r="B37" s="142">
        <v>1</v>
      </c>
      <c r="C37" s="143"/>
      <c r="D37" s="143"/>
      <c r="E37" s="143" t="s">
        <v>45</v>
      </c>
      <c r="F37" s="143"/>
      <c r="G37" s="143"/>
      <c r="H37" s="144"/>
      <c r="I37" s="142">
        <v>1</v>
      </c>
      <c r="J37" s="143">
        <v>301352</v>
      </c>
      <c r="K37" s="143">
        <v>1061327</v>
      </c>
      <c r="L37" s="143">
        <v>41248</v>
      </c>
      <c r="M37" s="143"/>
      <c r="N37" s="143"/>
      <c r="O37" s="144"/>
      <c r="P37" s="142"/>
      <c r="Q37" s="143"/>
      <c r="R37" s="143"/>
      <c r="S37" s="143"/>
      <c r="T37" s="143"/>
      <c r="U37" s="143"/>
      <c r="V37" s="144"/>
      <c r="W37" s="142"/>
      <c r="X37" s="143"/>
      <c r="Y37" s="143"/>
      <c r="Z37" s="144"/>
      <c r="AA37" s="142" t="s">
        <v>45</v>
      </c>
      <c r="AB37" s="143">
        <v>1500</v>
      </c>
      <c r="AC37" s="143"/>
      <c r="AD37" s="143"/>
      <c r="AE37" s="144"/>
      <c r="AF37" s="142"/>
      <c r="AG37" s="143" t="s">
        <v>45</v>
      </c>
      <c r="AH37" s="143"/>
      <c r="AI37" s="143"/>
      <c r="AJ37" s="143"/>
      <c r="AK37" s="143"/>
      <c r="AL37" s="144"/>
      <c r="AM37" s="142"/>
      <c r="AN37" s="143"/>
      <c r="AO37" s="143"/>
      <c r="AP37" s="144"/>
    </row>
    <row r="38" spans="1:42" x14ac:dyDescent="0.25">
      <c r="A38" s="47">
        <v>45261</v>
      </c>
      <c r="B38" s="142">
        <v>1</v>
      </c>
      <c r="C38" s="143">
        <v>252528</v>
      </c>
      <c r="D38" s="143"/>
      <c r="E38" s="143" t="s">
        <v>45</v>
      </c>
      <c r="F38" s="143"/>
      <c r="G38" s="143"/>
      <c r="H38" s="144"/>
      <c r="I38" s="142" t="s">
        <v>45</v>
      </c>
      <c r="J38" s="143">
        <v>443264</v>
      </c>
      <c r="K38" s="143" t="s">
        <v>45</v>
      </c>
      <c r="L38" s="143" t="s">
        <v>45</v>
      </c>
      <c r="M38" s="143"/>
      <c r="N38" s="143"/>
      <c r="O38" s="144"/>
      <c r="P38" s="142"/>
      <c r="Q38" s="143"/>
      <c r="R38" s="143"/>
      <c r="S38" s="143"/>
      <c r="T38" s="143"/>
      <c r="U38" s="143"/>
      <c r="V38" s="144"/>
      <c r="W38" s="142"/>
      <c r="X38" s="143"/>
      <c r="Y38" s="143"/>
      <c r="Z38" s="144"/>
      <c r="AA38" s="142" t="s">
        <v>45</v>
      </c>
      <c r="AB38" s="143">
        <v>1500</v>
      </c>
      <c r="AC38" s="143"/>
      <c r="AD38" s="143"/>
      <c r="AE38" s="144"/>
      <c r="AF38" s="142">
        <v>64</v>
      </c>
      <c r="AG38" s="143">
        <v>173815.8</v>
      </c>
      <c r="AH38" s="143"/>
      <c r="AI38" s="143"/>
      <c r="AJ38" s="143"/>
      <c r="AK38" s="143"/>
      <c r="AL38" s="144"/>
      <c r="AM38" s="142"/>
      <c r="AN38" s="143"/>
      <c r="AO38" s="143"/>
      <c r="AP38" s="144"/>
    </row>
    <row r="39" spans="1:42" x14ac:dyDescent="0.25">
      <c r="A39" s="47">
        <v>45292</v>
      </c>
      <c r="B39" s="142">
        <v>4</v>
      </c>
      <c r="C39" s="143">
        <v>4343</v>
      </c>
      <c r="D39" s="143"/>
      <c r="E39" s="143">
        <v>209069</v>
      </c>
      <c r="F39" s="143"/>
      <c r="G39" s="143"/>
      <c r="H39" s="144"/>
      <c r="I39" s="142" t="s">
        <v>45</v>
      </c>
      <c r="J39" s="143">
        <v>1790508</v>
      </c>
      <c r="K39" s="143">
        <v>2095060</v>
      </c>
      <c r="L39" s="143">
        <v>179663</v>
      </c>
      <c r="M39" s="143"/>
      <c r="N39" s="143"/>
      <c r="O39" s="144"/>
      <c r="P39" s="142"/>
      <c r="Q39" s="143"/>
      <c r="R39" s="143"/>
      <c r="S39" s="143"/>
      <c r="T39" s="143"/>
      <c r="U39" s="143"/>
      <c r="V39" s="144"/>
      <c r="W39" s="142"/>
      <c r="X39" s="143"/>
      <c r="Y39" s="143"/>
      <c r="Z39" s="144"/>
      <c r="AA39" s="142" t="s">
        <v>45</v>
      </c>
      <c r="AB39" s="143" t="s">
        <v>45</v>
      </c>
      <c r="AC39" s="143"/>
      <c r="AD39" s="143"/>
      <c r="AE39" s="144"/>
      <c r="AF39" s="142">
        <v>29</v>
      </c>
      <c r="AG39" s="143">
        <v>510112.2</v>
      </c>
      <c r="AH39" s="143"/>
      <c r="AI39" s="143"/>
      <c r="AJ39" s="143"/>
      <c r="AK39" s="143"/>
      <c r="AL39" s="144"/>
      <c r="AM39" s="142"/>
      <c r="AN39" s="143"/>
      <c r="AO39" s="143"/>
      <c r="AP39" s="144"/>
    </row>
    <row r="40" spans="1:42" x14ac:dyDescent="0.25">
      <c r="A40" s="47">
        <v>45323</v>
      </c>
      <c r="B40" s="142" t="s">
        <v>45</v>
      </c>
      <c r="C40" s="143">
        <v>249066</v>
      </c>
      <c r="D40" s="143"/>
      <c r="E40" s="143" t="s">
        <v>45</v>
      </c>
      <c r="F40" s="143"/>
      <c r="G40" s="143"/>
      <c r="H40" s="144"/>
      <c r="I40" s="142" t="s">
        <v>45</v>
      </c>
      <c r="J40" s="143">
        <v>963116</v>
      </c>
      <c r="K40" s="143">
        <v>917624</v>
      </c>
      <c r="L40" s="143" t="s">
        <v>45</v>
      </c>
      <c r="M40" s="143"/>
      <c r="N40" s="143"/>
      <c r="O40" s="144"/>
      <c r="P40" s="142"/>
      <c r="Q40" s="143"/>
      <c r="R40" s="143"/>
      <c r="S40" s="143"/>
      <c r="T40" s="143"/>
      <c r="U40" s="143"/>
      <c r="V40" s="144"/>
      <c r="W40" s="142"/>
      <c r="X40" s="143"/>
      <c r="Y40" s="143"/>
      <c r="Z40" s="144"/>
      <c r="AA40" s="142" t="s">
        <v>45</v>
      </c>
      <c r="AB40" s="143" t="s">
        <v>45</v>
      </c>
      <c r="AC40" s="143"/>
      <c r="AD40" s="143"/>
      <c r="AE40" s="144"/>
      <c r="AF40" s="142">
        <v>18</v>
      </c>
      <c r="AG40" s="143">
        <v>427104.25</v>
      </c>
      <c r="AH40" s="143"/>
      <c r="AI40" s="143"/>
      <c r="AJ40" s="143"/>
      <c r="AK40" s="143"/>
      <c r="AL40" s="144"/>
      <c r="AM40" s="142"/>
      <c r="AN40" s="143"/>
      <c r="AO40" s="143"/>
      <c r="AP40" s="144"/>
    </row>
    <row r="41" spans="1:42" x14ac:dyDescent="0.25">
      <c r="A41" s="47">
        <v>45352</v>
      </c>
      <c r="B41" s="142" t="s">
        <v>45</v>
      </c>
      <c r="C41" s="143">
        <v>54720</v>
      </c>
      <c r="D41" s="143">
        <v>292376</v>
      </c>
      <c r="E41" s="143" t="s">
        <v>45</v>
      </c>
      <c r="F41" s="143"/>
      <c r="G41" s="143"/>
      <c r="H41" s="144"/>
      <c r="I41" s="142" t="s">
        <v>45</v>
      </c>
      <c r="J41" s="143">
        <v>700166</v>
      </c>
      <c r="K41" s="143">
        <v>589902</v>
      </c>
      <c r="L41" s="143" t="s">
        <v>45</v>
      </c>
      <c r="M41" s="143"/>
      <c r="N41" s="143"/>
      <c r="O41" s="144"/>
      <c r="P41" s="142"/>
      <c r="Q41" s="143"/>
      <c r="R41" s="143"/>
      <c r="S41" s="143"/>
      <c r="T41" s="143"/>
      <c r="U41" s="143"/>
      <c r="V41" s="144"/>
      <c r="W41" s="142"/>
      <c r="X41" s="143"/>
      <c r="Y41" s="143"/>
      <c r="Z41" s="144"/>
      <c r="AA41" s="142">
        <v>35</v>
      </c>
      <c r="AB41" s="143">
        <v>550139</v>
      </c>
      <c r="AC41" s="143"/>
      <c r="AD41" s="143"/>
      <c r="AE41" s="144"/>
      <c r="AF41" s="142">
        <v>36</v>
      </c>
      <c r="AG41" s="143">
        <v>623169.46</v>
      </c>
      <c r="AH41" s="143"/>
      <c r="AI41" s="143"/>
      <c r="AJ41" s="143"/>
      <c r="AK41" s="143"/>
      <c r="AL41" s="144"/>
      <c r="AM41" s="142"/>
      <c r="AN41" s="143"/>
      <c r="AO41" s="143"/>
      <c r="AP41" s="144"/>
    </row>
    <row r="42" spans="1:42" x14ac:dyDescent="0.25">
      <c r="A42" s="47">
        <v>45383</v>
      </c>
      <c r="B42" s="142">
        <v>2</v>
      </c>
      <c r="C42" s="143">
        <v>42122</v>
      </c>
      <c r="D42" s="143">
        <v>478730</v>
      </c>
      <c r="E42" s="143">
        <v>185855</v>
      </c>
      <c r="F42" s="143"/>
      <c r="G42" s="143"/>
      <c r="H42" s="144"/>
      <c r="I42" s="142" t="s">
        <v>45</v>
      </c>
      <c r="J42" s="143">
        <v>1274523</v>
      </c>
      <c r="K42" s="143">
        <v>1048323</v>
      </c>
      <c r="L42" s="143">
        <v>71590</v>
      </c>
      <c r="M42" s="143"/>
      <c r="N42" s="143"/>
      <c r="O42" s="144"/>
      <c r="P42" s="142"/>
      <c r="Q42" s="143"/>
      <c r="R42" s="143"/>
      <c r="S42" s="143"/>
      <c r="T42" s="143"/>
      <c r="U42" s="143"/>
      <c r="V42" s="144"/>
      <c r="W42" s="142"/>
      <c r="X42" s="143"/>
      <c r="Y42" s="143"/>
      <c r="Z42" s="144"/>
      <c r="AA42" s="142">
        <v>5</v>
      </c>
      <c r="AB42" s="143">
        <v>1269411</v>
      </c>
      <c r="AC42" s="143"/>
      <c r="AD42" s="143"/>
      <c r="AE42" s="144"/>
      <c r="AF42" s="142">
        <v>2</v>
      </c>
      <c r="AG42" s="143">
        <v>559633.68999999994</v>
      </c>
      <c r="AH42" s="143"/>
      <c r="AI42" s="143"/>
      <c r="AJ42" s="143"/>
      <c r="AK42" s="143"/>
      <c r="AL42" s="144"/>
      <c r="AM42" s="142"/>
      <c r="AN42" s="143"/>
      <c r="AO42" s="143"/>
      <c r="AP42" s="144"/>
    </row>
    <row r="43" spans="1:42" x14ac:dyDescent="0.25">
      <c r="A43" s="47">
        <v>45413</v>
      </c>
      <c r="B43" s="142">
        <v>1</v>
      </c>
      <c r="C43" s="143">
        <v>134549</v>
      </c>
      <c r="D43" s="143">
        <v>440382</v>
      </c>
      <c r="E43" s="143">
        <v>145966</v>
      </c>
      <c r="F43" s="143"/>
      <c r="G43" s="143"/>
      <c r="H43" s="144"/>
      <c r="I43" s="142" t="s">
        <v>45</v>
      </c>
      <c r="J43" s="143">
        <v>722207</v>
      </c>
      <c r="K43" s="143">
        <v>951264</v>
      </c>
      <c r="L43" s="143">
        <v>76601</v>
      </c>
      <c r="M43" s="143"/>
      <c r="N43" s="143"/>
      <c r="O43" s="144"/>
      <c r="P43" s="142"/>
      <c r="Q43" s="143"/>
      <c r="R43" s="143"/>
      <c r="S43" s="143"/>
      <c r="T43" s="143"/>
      <c r="U43" s="143"/>
      <c r="V43" s="144"/>
      <c r="W43" s="142"/>
      <c r="X43" s="143"/>
      <c r="Y43" s="143"/>
      <c r="Z43" s="144"/>
      <c r="AA43" s="142">
        <v>3</v>
      </c>
      <c r="AB43" s="143">
        <v>723043</v>
      </c>
      <c r="AC43" s="143"/>
      <c r="AD43" s="143"/>
      <c r="AE43" s="144"/>
      <c r="AF43" s="142">
        <v>2</v>
      </c>
      <c r="AG43" s="143">
        <v>230958.13</v>
      </c>
      <c r="AH43" s="143"/>
      <c r="AI43" s="143"/>
      <c r="AJ43" s="143"/>
      <c r="AK43" s="143"/>
      <c r="AL43" s="144"/>
      <c r="AM43" s="142"/>
      <c r="AN43" s="143"/>
      <c r="AO43" s="143"/>
      <c r="AP43" s="144"/>
    </row>
    <row r="44" spans="1:42" x14ac:dyDescent="0.25">
      <c r="A44" s="47">
        <v>45444</v>
      </c>
      <c r="B44" s="142">
        <v>1</v>
      </c>
      <c r="C44" s="143">
        <v>90998</v>
      </c>
      <c r="D44" s="143" t="s">
        <v>45</v>
      </c>
      <c r="E44" s="143" t="s">
        <v>45</v>
      </c>
      <c r="F44" s="143"/>
      <c r="G44" s="143"/>
      <c r="H44" s="144"/>
      <c r="I44" s="142" t="s">
        <v>45</v>
      </c>
      <c r="J44" s="143">
        <v>971975</v>
      </c>
      <c r="K44" s="143">
        <v>823434</v>
      </c>
      <c r="L44" s="143" t="s">
        <v>45</v>
      </c>
      <c r="M44" s="143"/>
      <c r="N44" s="143"/>
      <c r="O44" s="144"/>
      <c r="P44" s="142"/>
      <c r="Q44" s="143"/>
      <c r="R44" s="143"/>
      <c r="S44" s="143"/>
      <c r="T44" s="143"/>
      <c r="U44" s="143"/>
      <c r="V44" s="144"/>
      <c r="W44" s="142"/>
      <c r="X44" s="143"/>
      <c r="Y44" s="143"/>
      <c r="Z44" s="144"/>
      <c r="AA44" s="142" t="s">
        <v>45</v>
      </c>
      <c r="AB44" s="143">
        <v>170633</v>
      </c>
      <c r="AC44" s="143"/>
      <c r="AD44" s="143"/>
      <c r="AE44" s="144"/>
      <c r="AF44" s="142">
        <v>6</v>
      </c>
      <c r="AG44" s="143">
        <v>180845.32</v>
      </c>
      <c r="AH44" s="143"/>
      <c r="AI44" s="143"/>
      <c r="AJ44" s="143"/>
      <c r="AK44" s="143"/>
      <c r="AL44" s="144"/>
      <c r="AM44" s="142"/>
      <c r="AN44" s="143"/>
      <c r="AO44" s="143"/>
      <c r="AP44" s="144"/>
    </row>
    <row r="45" spans="1:42" x14ac:dyDescent="0.25">
      <c r="A45" s="47">
        <v>45474</v>
      </c>
      <c r="B45" s="142">
        <v>7</v>
      </c>
      <c r="C45" s="143">
        <v>79132</v>
      </c>
      <c r="D45" s="143">
        <v>355484</v>
      </c>
      <c r="E45" s="143">
        <v>34076</v>
      </c>
      <c r="F45" s="143"/>
      <c r="G45" s="143"/>
      <c r="H45" s="144"/>
      <c r="I45" s="142">
        <v>1</v>
      </c>
      <c r="J45" s="143">
        <v>164960</v>
      </c>
      <c r="K45" s="143">
        <v>834056</v>
      </c>
      <c r="L45" s="143">
        <v>99305</v>
      </c>
      <c r="M45" s="143"/>
      <c r="N45" s="143"/>
      <c r="O45" s="144"/>
      <c r="P45" s="142">
        <v>32</v>
      </c>
      <c r="Q45" s="143">
        <v>580237</v>
      </c>
      <c r="R45" s="143"/>
      <c r="S45" s="143"/>
      <c r="T45" s="143"/>
      <c r="U45" s="143"/>
      <c r="V45" s="144"/>
      <c r="W45" s="142"/>
      <c r="X45" s="143"/>
      <c r="Y45" s="143"/>
      <c r="Z45" s="144"/>
      <c r="AA45" s="142" t="s">
        <v>45</v>
      </c>
      <c r="AB45" s="143">
        <v>248148</v>
      </c>
      <c r="AC45" s="143"/>
      <c r="AD45" s="143"/>
      <c r="AE45" s="144"/>
      <c r="AF45" s="142">
        <v>2</v>
      </c>
      <c r="AG45" s="143">
        <v>190831.38</v>
      </c>
      <c r="AH45" s="143"/>
      <c r="AI45" s="143"/>
      <c r="AJ45" s="143"/>
      <c r="AK45" s="143"/>
      <c r="AL45" s="144"/>
      <c r="AM45" s="142"/>
      <c r="AN45" s="143"/>
      <c r="AO45" s="143"/>
      <c r="AP45" s="144"/>
    </row>
    <row r="46" spans="1:42" x14ac:dyDescent="0.25">
      <c r="A46" s="47">
        <v>45505</v>
      </c>
      <c r="B46" s="142">
        <v>1</v>
      </c>
      <c r="C46" s="143">
        <v>250222</v>
      </c>
      <c r="D46" s="143">
        <v>151586</v>
      </c>
      <c r="E46" s="143">
        <v>116958</v>
      </c>
      <c r="F46" s="143"/>
      <c r="G46" s="143"/>
      <c r="H46" s="144"/>
      <c r="I46" s="142">
        <v>1</v>
      </c>
      <c r="J46" s="143">
        <v>548222</v>
      </c>
      <c r="K46" s="143">
        <v>592696</v>
      </c>
      <c r="L46" s="143" t="s">
        <v>45</v>
      </c>
      <c r="M46" s="143"/>
      <c r="N46" s="143"/>
      <c r="O46" s="144"/>
      <c r="P46" s="142">
        <v>30</v>
      </c>
      <c r="Q46" s="143">
        <v>299399</v>
      </c>
      <c r="R46" s="143"/>
      <c r="S46" s="143"/>
      <c r="T46" s="143"/>
      <c r="U46" s="143"/>
      <c r="V46" s="144"/>
      <c r="W46" s="142"/>
      <c r="X46" s="143"/>
      <c r="Y46" s="143"/>
      <c r="Z46" s="144"/>
      <c r="AA46" s="142" t="s">
        <v>45</v>
      </c>
      <c r="AB46" s="143">
        <v>116356</v>
      </c>
      <c r="AC46" s="143"/>
      <c r="AD46" s="143"/>
      <c r="AE46" s="144"/>
      <c r="AF46" s="142">
        <v>2</v>
      </c>
      <c r="AG46" s="143">
        <v>220373.27</v>
      </c>
      <c r="AH46" s="143"/>
      <c r="AI46" s="143"/>
      <c r="AJ46" s="143"/>
      <c r="AK46" s="143"/>
      <c r="AL46" s="144"/>
      <c r="AM46" s="142"/>
      <c r="AN46" s="143"/>
      <c r="AO46" s="143"/>
      <c r="AP46" s="144"/>
    </row>
    <row r="47" spans="1:42" x14ac:dyDescent="0.25">
      <c r="A47" s="47">
        <v>45536</v>
      </c>
      <c r="B47" s="142">
        <v>3</v>
      </c>
      <c r="C47" s="143">
        <v>288783</v>
      </c>
      <c r="D47" s="143">
        <v>600424</v>
      </c>
      <c r="E47" s="143">
        <v>229817</v>
      </c>
      <c r="F47" s="143"/>
      <c r="G47" s="143"/>
      <c r="H47" s="144"/>
      <c r="I47" s="142">
        <v>1</v>
      </c>
      <c r="J47" s="143">
        <v>201279</v>
      </c>
      <c r="K47" s="143">
        <v>494201</v>
      </c>
      <c r="L47" s="143" t="s">
        <v>45</v>
      </c>
      <c r="M47" s="143"/>
      <c r="N47" s="143"/>
      <c r="O47" s="144"/>
      <c r="P47" s="142">
        <v>22</v>
      </c>
      <c r="Q47" s="143">
        <v>42952</v>
      </c>
      <c r="R47" s="143"/>
      <c r="S47" s="143"/>
      <c r="T47" s="143"/>
      <c r="U47" s="143"/>
      <c r="V47" s="144"/>
      <c r="W47" s="142"/>
      <c r="X47" s="143"/>
      <c r="Y47" s="143"/>
      <c r="Z47" s="144"/>
      <c r="AA47" s="142" t="s">
        <v>45</v>
      </c>
      <c r="AB47" s="143">
        <v>95410</v>
      </c>
      <c r="AC47" s="143"/>
      <c r="AD47" s="143"/>
      <c r="AE47" s="144"/>
      <c r="AF47" s="142">
        <v>2</v>
      </c>
      <c r="AG47" s="143">
        <v>402034.39</v>
      </c>
      <c r="AH47" s="143"/>
      <c r="AI47" s="143"/>
      <c r="AJ47" s="143"/>
      <c r="AK47" s="143"/>
      <c r="AL47" s="144"/>
      <c r="AM47" s="142"/>
      <c r="AN47" s="143"/>
      <c r="AO47" s="143"/>
      <c r="AP47" s="144"/>
    </row>
    <row r="48" spans="1:42" x14ac:dyDescent="0.25">
      <c r="A48" s="47">
        <v>45566</v>
      </c>
      <c r="B48" s="142">
        <v>1</v>
      </c>
      <c r="C48" s="143">
        <v>85079</v>
      </c>
      <c r="D48" s="143">
        <v>1033883</v>
      </c>
      <c r="E48" s="143">
        <v>34374</v>
      </c>
      <c r="F48" s="143"/>
      <c r="G48" s="143"/>
      <c r="H48" s="144"/>
      <c r="I48" s="142" t="s">
        <v>45</v>
      </c>
      <c r="J48" s="143">
        <v>403061</v>
      </c>
      <c r="K48" s="143">
        <v>750025</v>
      </c>
      <c r="L48" s="143">
        <v>36237</v>
      </c>
      <c r="M48" s="143"/>
      <c r="N48" s="143"/>
      <c r="O48" s="144"/>
      <c r="P48" s="142">
        <v>14</v>
      </c>
      <c r="Q48" s="143">
        <v>115273</v>
      </c>
      <c r="R48" s="143"/>
      <c r="S48" s="143"/>
      <c r="T48" s="143"/>
      <c r="U48" s="143"/>
      <c r="V48" s="144"/>
      <c r="W48" s="142"/>
      <c r="X48" s="143"/>
      <c r="Y48" s="143"/>
      <c r="Z48" s="144"/>
      <c r="AA48" s="142" t="s">
        <v>45</v>
      </c>
      <c r="AB48" s="143">
        <v>116427</v>
      </c>
      <c r="AC48" s="143"/>
      <c r="AD48" s="143"/>
      <c r="AE48" s="144"/>
      <c r="AF48" s="142">
        <v>2</v>
      </c>
      <c r="AG48" s="143">
        <v>416087.06</v>
      </c>
      <c r="AH48" s="143"/>
      <c r="AI48" s="143"/>
      <c r="AJ48" s="143"/>
      <c r="AK48" s="143"/>
      <c r="AL48" s="144"/>
      <c r="AM48" s="142"/>
      <c r="AN48" s="143"/>
      <c r="AO48" s="143"/>
      <c r="AP48" s="144"/>
    </row>
    <row r="49" spans="1:42" x14ac:dyDescent="0.25">
      <c r="A49" s="47">
        <v>45597</v>
      </c>
      <c r="B49" s="142" t="s">
        <v>45</v>
      </c>
      <c r="C49" s="143">
        <v>356149</v>
      </c>
      <c r="D49" s="143">
        <v>52708</v>
      </c>
      <c r="E49" s="143">
        <v>29331</v>
      </c>
      <c r="F49" s="143"/>
      <c r="G49" s="143"/>
      <c r="H49" s="144"/>
      <c r="I49" s="142" t="s">
        <v>45</v>
      </c>
      <c r="J49" s="143">
        <v>208700</v>
      </c>
      <c r="K49" s="143">
        <v>1004267</v>
      </c>
      <c r="L49" s="143">
        <v>35599</v>
      </c>
      <c r="M49" s="143"/>
      <c r="N49" s="143"/>
      <c r="O49" s="144"/>
      <c r="P49" s="142">
        <v>10</v>
      </c>
      <c r="Q49" s="143">
        <v>45450</v>
      </c>
      <c r="R49" s="143"/>
      <c r="S49" s="143"/>
      <c r="T49" s="143"/>
      <c r="U49" s="143"/>
      <c r="V49" s="144"/>
      <c r="W49" s="142"/>
      <c r="X49" s="143"/>
      <c r="Y49" s="143"/>
      <c r="Z49" s="144"/>
      <c r="AA49" s="142" t="s">
        <v>45</v>
      </c>
      <c r="AB49" s="143">
        <v>96304</v>
      </c>
      <c r="AC49" s="143"/>
      <c r="AD49" s="143"/>
      <c r="AE49" s="144"/>
      <c r="AF49" s="142">
        <v>1</v>
      </c>
      <c r="AG49" s="143">
        <v>3023371.18</v>
      </c>
      <c r="AH49" s="143"/>
      <c r="AI49" s="143">
        <v>2828889</v>
      </c>
      <c r="AJ49" s="143"/>
      <c r="AK49" s="143"/>
      <c r="AL49" s="144"/>
      <c r="AM49" s="142"/>
      <c r="AN49" s="143"/>
      <c r="AO49" s="143"/>
      <c r="AP49" s="144"/>
    </row>
    <row r="50" spans="1:42" x14ac:dyDescent="0.25">
      <c r="A50" s="47">
        <v>45627</v>
      </c>
      <c r="B50" s="142" t="s">
        <v>45</v>
      </c>
      <c r="C50" s="143">
        <v>594301</v>
      </c>
      <c r="D50" s="143">
        <v>643506</v>
      </c>
      <c r="E50" s="143" t="s">
        <v>45</v>
      </c>
      <c r="F50" s="143"/>
      <c r="G50" s="143"/>
      <c r="H50" s="144"/>
      <c r="I50" s="142" t="s">
        <v>45</v>
      </c>
      <c r="J50" s="143">
        <v>357717</v>
      </c>
      <c r="K50" s="143">
        <v>734496</v>
      </c>
      <c r="L50" s="143">
        <v>41248</v>
      </c>
      <c r="M50" s="143"/>
      <c r="N50" s="143"/>
      <c r="O50" s="144"/>
      <c r="P50" s="142">
        <v>5</v>
      </c>
      <c r="Q50" s="143">
        <v>61032</v>
      </c>
      <c r="R50" s="143"/>
      <c r="S50" s="143"/>
      <c r="T50" s="143"/>
      <c r="U50" s="143"/>
      <c r="V50" s="144"/>
      <c r="W50" s="142">
        <v>37</v>
      </c>
      <c r="X50" s="143">
        <v>262541</v>
      </c>
      <c r="Y50" s="143"/>
      <c r="Z50" s="144"/>
      <c r="AA50" s="142" t="s">
        <v>45</v>
      </c>
      <c r="AB50" s="143">
        <v>294651</v>
      </c>
      <c r="AC50" s="143"/>
      <c r="AD50" s="143"/>
      <c r="AE50" s="144"/>
      <c r="AF50" s="142">
        <v>2</v>
      </c>
      <c r="AG50" s="143">
        <v>1362090.6</v>
      </c>
      <c r="AH50" s="143">
        <v>495939</v>
      </c>
      <c r="AI50" s="143">
        <v>103299</v>
      </c>
      <c r="AJ50" s="143"/>
      <c r="AK50" s="143"/>
      <c r="AL50" s="144"/>
      <c r="AM50" s="142"/>
      <c r="AN50" s="143"/>
      <c r="AO50" s="143"/>
      <c r="AP50" s="144"/>
    </row>
    <row r="51" spans="1:42" x14ac:dyDescent="0.25">
      <c r="A51" s="47">
        <v>45658</v>
      </c>
      <c r="B51" s="142" t="s">
        <v>45</v>
      </c>
      <c r="C51" s="143">
        <v>498417</v>
      </c>
      <c r="D51" s="143">
        <v>1163143</v>
      </c>
      <c r="E51" s="143">
        <v>29331</v>
      </c>
      <c r="F51" s="143"/>
      <c r="G51" s="143"/>
      <c r="H51" s="144"/>
      <c r="I51" s="142" t="s">
        <v>45</v>
      </c>
      <c r="J51" s="143">
        <v>162303</v>
      </c>
      <c r="K51" s="143" t="s">
        <v>45</v>
      </c>
      <c r="L51" s="143" t="s">
        <v>45</v>
      </c>
      <c r="M51" s="143"/>
      <c r="N51" s="143"/>
      <c r="O51" s="144"/>
      <c r="P51" s="142">
        <v>5</v>
      </c>
      <c r="Q51" s="143">
        <v>54250</v>
      </c>
      <c r="R51" s="143"/>
      <c r="S51" s="143"/>
      <c r="T51" s="143"/>
      <c r="U51" s="143"/>
      <c r="V51" s="144"/>
      <c r="W51" s="142">
        <v>15</v>
      </c>
      <c r="X51" s="143">
        <v>155415</v>
      </c>
      <c r="Y51" s="143"/>
      <c r="Z51" s="144"/>
      <c r="AA51" s="142" t="s">
        <v>45</v>
      </c>
      <c r="AB51" s="143">
        <v>172391</v>
      </c>
      <c r="AC51" s="143"/>
      <c r="AD51" s="143"/>
      <c r="AE51" s="144"/>
      <c r="AF51" s="142">
        <v>1</v>
      </c>
      <c r="AG51" s="143">
        <v>463163</v>
      </c>
      <c r="AH51" s="143">
        <v>44304</v>
      </c>
      <c r="AI51" s="143">
        <v>61297</v>
      </c>
      <c r="AJ51" s="143"/>
      <c r="AK51" s="143"/>
      <c r="AL51" s="144"/>
      <c r="AM51" s="142">
        <v>2</v>
      </c>
      <c r="AN51" s="143"/>
      <c r="AO51" s="143"/>
      <c r="AP51" s="144"/>
    </row>
    <row r="52" spans="1:42" x14ac:dyDescent="0.25">
      <c r="A52" s="47">
        <v>45689</v>
      </c>
      <c r="B52" s="142" t="s">
        <v>45</v>
      </c>
      <c r="C52" s="143">
        <v>105008</v>
      </c>
      <c r="D52" s="143" t="s">
        <v>45</v>
      </c>
      <c r="E52" s="143" t="s">
        <v>45</v>
      </c>
      <c r="F52" s="143"/>
      <c r="G52" s="143"/>
      <c r="H52" s="144"/>
      <c r="I52" s="142" t="s">
        <v>45</v>
      </c>
      <c r="J52" s="143">
        <v>617475</v>
      </c>
      <c r="K52" s="143">
        <v>93151</v>
      </c>
      <c r="L52" s="143" t="s">
        <v>45</v>
      </c>
      <c r="M52" s="143"/>
      <c r="N52" s="143"/>
      <c r="O52" s="144"/>
      <c r="P52" s="142">
        <v>5</v>
      </c>
      <c r="Q52" s="143">
        <v>46310</v>
      </c>
      <c r="R52" s="143"/>
      <c r="S52" s="143"/>
      <c r="T52" s="143"/>
      <c r="U52" s="143"/>
      <c r="V52" s="144"/>
      <c r="W52" s="142">
        <v>11</v>
      </c>
      <c r="X52" s="143">
        <v>106136</v>
      </c>
      <c r="Y52" s="143"/>
      <c r="Z52" s="144"/>
      <c r="AA52" s="142" t="s">
        <v>45</v>
      </c>
      <c r="AB52" s="143">
        <v>104494</v>
      </c>
      <c r="AC52" s="143"/>
      <c r="AD52" s="143"/>
      <c r="AE52" s="144"/>
      <c r="AF52" s="142">
        <v>1</v>
      </c>
      <c r="AG52" s="143">
        <v>242545</v>
      </c>
      <c r="AH52" s="143">
        <v>58613</v>
      </c>
      <c r="AI52" s="143">
        <v>318826</v>
      </c>
      <c r="AJ52" s="143"/>
      <c r="AK52" s="143"/>
      <c r="AL52" s="144"/>
      <c r="AM52" s="142" t="s">
        <v>45</v>
      </c>
      <c r="AN52" s="143"/>
      <c r="AO52" s="143"/>
      <c r="AP52" s="144"/>
    </row>
    <row r="53" spans="1:42" x14ac:dyDescent="0.25">
      <c r="A53" s="47">
        <v>45717</v>
      </c>
      <c r="B53" s="142" t="s">
        <v>45</v>
      </c>
      <c r="C53" s="143">
        <v>361694</v>
      </c>
      <c r="D53" s="143">
        <v>867482</v>
      </c>
      <c r="E53" s="143" t="s">
        <v>45</v>
      </c>
      <c r="F53" s="143"/>
      <c r="G53" s="143"/>
      <c r="H53" s="144"/>
      <c r="I53" s="142" t="s">
        <v>45</v>
      </c>
      <c r="J53" s="143">
        <v>65451</v>
      </c>
      <c r="K53" s="143">
        <v>352901</v>
      </c>
      <c r="L53" s="143" t="s">
        <v>45</v>
      </c>
      <c r="M53" s="143"/>
      <c r="N53" s="143"/>
      <c r="O53" s="144"/>
      <c r="P53" s="142">
        <v>5</v>
      </c>
      <c r="Q53" s="143">
        <v>56284</v>
      </c>
      <c r="R53" s="143"/>
      <c r="S53" s="143"/>
      <c r="T53" s="143"/>
      <c r="U53" s="143"/>
      <c r="V53" s="144"/>
      <c r="W53" s="142">
        <v>5</v>
      </c>
      <c r="X53" s="143">
        <v>67242</v>
      </c>
      <c r="Y53" s="143"/>
      <c r="Z53" s="144"/>
      <c r="AA53" s="142" t="s">
        <v>45</v>
      </c>
      <c r="AB53" s="143">
        <v>254718</v>
      </c>
      <c r="AC53" s="143"/>
      <c r="AD53" s="143"/>
      <c r="AE53" s="144"/>
      <c r="AF53" s="142">
        <v>1</v>
      </c>
      <c r="AG53" s="143">
        <v>305213</v>
      </c>
      <c r="AH53" s="143">
        <v>527178</v>
      </c>
      <c r="AI53" s="143">
        <v>1687809</v>
      </c>
      <c r="AJ53" s="143"/>
      <c r="AK53" s="143"/>
      <c r="AL53" s="144"/>
      <c r="AM53" s="142" t="s">
        <v>45</v>
      </c>
      <c r="AN53" s="143"/>
      <c r="AO53" s="143"/>
      <c r="AP53" s="144"/>
    </row>
    <row r="54" spans="1:42" x14ac:dyDescent="0.25">
      <c r="A54" s="47">
        <v>45748</v>
      </c>
      <c r="B54" s="142" t="s">
        <v>45</v>
      </c>
      <c r="C54" s="143">
        <v>184143</v>
      </c>
      <c r="D54" s="143">
        <v>504379</v>
      </c>
      <c r="E54" s="143" t="s">
        <v>45</v>
      </c>
      <c r="F54" s="143"/>
      <c r="G54" s="143"/>
      <c r="H54" s="144"/>
      <c r="I54" s="142" t="s">
        <v>45</v>
      </c>
      <c r="J54" s="143">
        <v>40080</v>
      </c>
      <c r="K54" s="143" t="s">
        <v>45</v>
      </c>
      <c r="L54" s="143" t="s">
        <v>45</v>
      </c>
      <c r="M54" s="143"/>
      <c r="N54" s="143"/>
      <c r="O54" s="144"/>
      <c r="P54" s="142">
        <v>-2</v>
      </c>
      <c r="Q54" s="143">
        <v>63633</v>
      </c>
      <c r="R54" s="143"/>
      <c r="S54" s="143"/>
      <c r="T54" s="143"/>
      <c r="U54" s="143"/>
      <c r="V54" s="144"/>
      <c r="W54" s="142">
        <v>6</v>
      </c>
      <c r="X54" s="143">
        <v>53259</v>
      </c>
      <c r="Y54" s="143"/>
      <c r="Z54" s="144"/>
      <c r="AA54" s="142" t="s">
        <v>45</v>
      </c>
      <c r="AB54" s="143">
        <v>138414</v>
      </c>
      <c r="AC54" s="143"/>
      <c r="AD54" s="143"/>
      <c r="AE54" s="144"/>
      <c r="AF54" s="142">
        <v>1</v>
      </c>
      <c r="AG54" s="143">
        <v>379772</v>
      </c>
      <c r="AH54" s="143">
        <v>381667</v>
      </c>
      <c r="AI54" s="143" t="s">
        <v>45</v>
      </c>
      <c r="AJ54" s="143"/>
      <c r="AK54" s="143"/>
      <c r="AL54" s="144"/>
      <c r="AM54" s="142" t="s">
        <v>45</v>
      </c>
      <c r="AN54" s="143"/>
      <c r="AO54" s="143"/>
      <c r="AP54" s="144"/>
    </row>
    <row r="55" spans="1:42" x14ac:dyDescent="0.25">
      <c r="A55" s="47">
        <v>45778</v>
      </c>
      <c r="B55" s="142">
        <v>8</v>
      </c>
      <c r="C55" s="143">
        <v>393264</v>
      </c>
      <c r="D55" s="143">
        <v>303619</v>
      </c>
      <c r="E55" s="143" t="s">
        <v>45</v>
      </c>
      <c r="F55" s="143"/>
      <c r="G55" s="143"/>
      <c r="H55" s="144"/>
      <c r="I55" s="142" t="s">
        <v>45</v>
      </c>
      <c r="J55" s="143">
        <v>32565</v>
      </c>
      <c r="K55" s="143">
        <v>443100</v>
      </c>
      <c r="L55" s="143">
        <v>76405</v>
      </c>
      <c r="M55" s="143"/>
      <c r="N55" s="143"/>
      <c r="O55" s="144"/>
      <c r="P55" s="142" t="s">
        <v>45</v>
      </c>
      <c r="Q55" s="143">
        <v>157227</v>
      </c>
      <c r="R55" s="143"/>
      <c r="S55" s="143"/>
      <c r="T55" s="143"/>
      <c r="U55" s="143"/>
      <c r="V55" s="144"/>
      <c r="W55" s="142">
        <v>8</v>
      </c>
      <c r="X55" s="143">
        <v>54106</v>
      </c>
      <c r="Y55" s="143"/>
      <c r="Z55" s="144"/>
      <c r="AA55" s="142" t="s">
        <v>45</v>
      </c>
      <c r="AB55" s="143">
        <v>116203</v>
      </c>
      <c r="AC55" s="143"/>
      <c r="AD55" s="143"/>
      <c r="AE55" s="144"/>
      <c r="AF55" s="142">
        <v>1</v>
      </c>
      <c r="AG55" s="143">
        <v>287507</v>
      </c>
      <c r="AH55" s="143">
        <v>84505</v>
      </c>
      <c r="AI55" s="143">
        <v>236330</v>
      </c>
      <c r="AJ55" s="143"/>
      <c r="AK55" s="143"/>
      <c r="AL55" s="144"/>
      <c r="AM55" s="142" t="s">
        <v>45</v>
      </c>
      <c r="AN55" s="143"/>
      <c r="AO55" s="143"/>
      <c r="AP55" s="144"/>
    </row>
    <row r="56" spans="1:42" x14ac:dyDescent="0.25">
      <c r="A56" s="47">
        <v>45809</v>
      </c>
      <c r="B56" s="142">
        <v>1</v>
      </c>
      <c r="C56" s="143">
        <v>322109</v>
      </c>
      <c r="D56" s="143">
        <v>651851</v>
      </c>
      <c r="E56" s="143" t="s">
        <v>45</v>
      </c>
      <c r="F56" s="143"/>
      <c r="G56" s="143"/>
      <c r="H56" s="144"/>
      <c r="I56" s="142" t="s">
        <v>45</v>
      </c>
      <c r="J56" s="143">
        <v>28121</v>
      </c>
      <c r="K56" s="143">
        <v>1160037</v>
      </c>
      <c r="L56" s="143" t="s">
        <v>45</v>
      </c>
      <c r="M56" s="143"/>
      <c r="N56" s="143"/>
      <c r="O56" s="144"/>
      <c r="P56" s="142" t="s">
        <v>45</v>
      </c>
      <c r="Q56" s="143">
        <v>1549051</v>
      </c>
      <c r="R56" s="143"/>
      <c r="S56" s="143">
        <v>1443110</v>
      </c>
      <c r="T56" s="143"/>
      <c r="U56" s="143"/>
      <c r="V56" s="144"/>
      <c r="W56" s="142">
        <v>9</v>
      </c>
      <c r="X56" s="143">
        <v>52368</v>
      </c>
      <c r="Y56" s="143"/>
      <c r="Z56" s="144"/>
      <c r="AA56" s="142" t="s">
        <v>45</v>
      </c>
      <c r="AB56" s="143">
        <v>662741</v>
      </c>
      <c r="AC56" s="143"/>
      <c r="AD56" s="143"/>
      <c r="AE56" s="144"/>
      <c r="AF56" s="142">
        <v>1</v>
      </c>
      <c r="AG56" s="143">
        <v>311613</v>
      </c>
      <c r="AH56" s="143">
        <v>81943</v>
      </c>
      <c r="AI56" s="143">
        <v>235728</v>
      </c>
      <c r="AJ56" s="143"/>
      <c r="AK56" s="143"/>
      <c r="AL56" s="144"/>
      <c r="AM56" s="142" t="s">
        <v>45</v>
      </c>
      <c r="AN56" s="143"/>
      <c r="AO56" s="143"/>
      <c r="AP56" s="144"/>
    </row>
    <row r="57" spans="1:42" x14ac:dyDescent="0.25">
      <c r="A57" s="47">
        <v>45839</v>
      </c>
      <c r="B57" s="142">
        <v>1</v>
      </c>
      <c r="C57" s="143">
        <v>198354</v>
      </c>
      <c r="D57" s="143">
        <v>386649</v>
      </c>
      <c r="E57" s="143" t="s">
        <v>45</v>
      </c>
      <c r="F57" s="143"/>
      <c r="G57" s="143"/>
      <c r="H57" s="144"/>
      <c r="I57" s="142">
        <v>-1</v>
      </c>
      <c r="J57" s="143">
        <v>96843</v>
      </c>
      <c r="K57" s="143" t="s">
        <v>45</v>
      </c>
      <c r="L57" s="143" t="s">
        <v>45</v>
      </c>
      <c r="M57" s="143"/>
      <c r="N57" s="143"/>
      <c r="O57" s="144"/>
      <c r="P57" s="142" t="s">
        <v>45</v>
      </c>
      <c r="Q57" s="143">
        <v>2893764</v>
      </c>
      <c r="R57" s="143">
        <v>837585</v>
      </c>
      <c r="S57" s="143">
        <v>1974732</v>
      </c>
      <c r="T57" s="143"/>
      <c r="U57" s="143"/>
      <c r="V57" s="144"/>
      <c r="W57" s="142">
        <v>7</v>
      </c>
      <c r="X57" s="143">
        <v>116668</v>
      </c>
      <c r="Y57" s="143"/>
      <c r="Z57" s="144"/>
      <c r="AA57" s="142" t="s">
        <v>45</v>
      </c>
      <c r="AB57" s="143">
        <v>111735</v>
      </c>
      <c r="AC57" s="143"/>
      <c r="AD57" s="143"/>
      <c r="AE57" s="144"/>
      <c r="AF57" s="142">
        <v>1</v>
      </c>
      <c r="AG57" s="143">
        <v>336890</v>
      </c>
      <c r="AH57" s="143">
        <v>1698788</v>
      </c>
      <c r="AI57" s="143">
        <v>503380</v>
      </c>
      <c r="AJ57" s="143"/>
      <c r="AK57" s="143"/>
      <c r="AL57" s="144"/>
      <c r="AM57" s="142">
        <v>181</v>
      </c>
      <c r="AN57" s="143">
        <v>1915241</v>
      </c>
      <c r="AO57" s="143"/>
      <c r="AP57" s="144"/>
    </row>
    <row r="58" spans="1:42" x14ac:dyDescent="0.25">
      <c r="A58" s="47">
        <v>45870</v>
      </c>
      <c r="B58" s="142">
        <v>1</v>
      </c>
      <c r="C58" s="143">
        <v>425551</v>
      </c>
      <c r="D58" s="143">
        <v>1166855</v>
      </c>
      <c r="E58" s="143">
        <v>58842</v>
      </c>
      <c r="F58" s="143"/>
      <c r="G58" s="143"/>
      <c r="H58" s="144"/>
      <c r="I58" s="142" t="s">
        <v>45</v>
      </c>
      <c r="J58" s="143">
        <v>64422</v>
      </c>
      <c r="K58" s="143">
        <v>185306</v>
      </c>
      <c r="L58" s="143">
        <v>35795</v>
      </c>
      <c r="M58" s="143"/>
      <c r="N58" s="143"/>
      <c r="O58" s="144"/>
      <c r="P58" s="142">
        <v>1</v>
      </c>
      <c r="Q58" s="143">
        <v>1260483</v>
      </c>
      <c r="R58" s="143">
        <v>995004</v>
      </c>
      <c r="S58" s="143" t="s">
        <v>45</v>
      </c>
      <c r="T58" s="143"/>
      <c r="U58" s="143"/>
      <c r="V58" s="144"/>
      <c r="W58" s="142">
        <v>7</v>
      </c>
      <c r="X58" s="143">
        <v>61363</v>
      </c>
      <c r="Y58" s="143"/>
      <c r="Z58" s="144"/>
      <c r="AA58" s="142">
        <v>2</v>
      </c>
      <c r="AB58" s="143">
        <v>121872</v>
      </c>
      <c r="AC58" s="143"/>
      <c r="AD58" s="143"/>
      <c r="AE58" s="144"/>
      <c r="AF58" s="142" t="s">
        <v>45</v>
      </c>
      <c r="AG58" s="143">
        <v>387302</v>
      </c>
      <c r="AH58" s="143">
        <v>658563</v>
      </c>
      <c r="AI58" s="143">
        <v>92717</v>
      </c>
      <c r="AJ58" s="143"/>
      <c r="AK58" s="143"/>
      <c r="AL58" s="144"/>
      <c r="AM58" s="142">
        <v>19</v>
      </c>
      <c r="AN58" s="143">
        <v>888444</v>
      </c>
      <c r="AO58" s="143"/>
      <c r="AP58" s="144"/>
    </row>
    <row r="59" spans="1:42" x14ac:dyDescent="0.25">
      <c r="A59" s="47">
        <v>45901</v>
      </c>
      <c r="B59" s="142">
        <v>1</v>
      </c>
      <c r="C59" s="143">
        <v>154765</v>
      </c>
      <c r="D59" s="143">
        <v>563535</v>
      </c>
      <c r="E59" s="143">
        <v>35103</v>
      </c>
      <c r="F59" s="143"/>
      <c r="G59" s="143"/>
      <c r="H59" s="144"/>
      <c r="I59" s="142">
        <v>1</v>
      </c>
      <c r="J59" s="143">
        <v>21166</v>
      </c>
      <c r="K59" s="143">
        <v>933974</v>
      </c>
      <c r="L59" s="143" t="s">
        <v>45</v>
      </c>
      <c r="M59" s="143"/>
      <c r="N59" s="143"/>
      <c r="O59" s="144"/>
      <c r="P59" s="142">
        <v>1</v>
      </c>
      <c r="Q59" s="143">
        <v>456912</v>
      </c>
      <c r="R59" s="143">
        <v>973533</v>
      </c>
      <c r="S59" s="143">
        <v>1120860</v>
      </c>
      <c r="T59" s="143"/>
      <c r="U59" s="143"/>
      <c r="V59" s="144"/>
      <c r="W59" s="142">
        <v>8</v>
      </c>
      <c r="X59" s="143">
        <v>86815</v>
      </c>
      <c r="Y59" s="143"/>
      <c r="Z59" s="144"/>
      <c r="AA59" s="142" t="s">
        <v>45</v>
      </c>
      <c r="AB59" s="143">
        <v>107535</v>
      </c>
      <c r="AC59" s="143"/>
      <c r="AD59" s="143"/>
      <c r="AE59" s="144"/>
      <c r="AF59" s="142" t="s">
        <v>45</v>
      </c>
      <c r="AG59" s="143">
        <v>313641</v>
      </c>
      <c r="AH59" s="143">
        <v>946843</v>
      </c>
      <c r="AI59" s="143">
        <v>165441</v>
      </c>
      <c r="AJ59" s="143"/>
      <c r="AK59" s="143"/>
      <c r="AL59" s="144"/>
      <c r="AM59" s="142">
        <v>13</v>
      </c>
      <c r="AN59" s="143">
        <v>419611</v>
      </c>
      <c r="AO59" s="143"/>
      <c r="AP59" s="144"/>
    </row>
    <row r="60" spans="1:42" x14ac:dyDescent="0.25">
      <c r="A60" s="47">
        <v>45931</v>
      </c>
      <c r="B60" s="142" t="s">
        <v>45</v>
      </c>
      <c r="C60" s="143">
        <v>154874</v>
      </c>
      <c r="D60" s="143">
        <v>710328</v>
      </c>
      <c r="E60" s="143" t="s">
        <v>45</v>
      </c>
      <c r="F60" s="143"/>
      <c r="G60" s="143"/>
      <c r="H60" s="144"/>
      <c r="I60" s="142" t="s">
        <v>45</v>
      </c>
      <c r="J60" s="143">
        <v>3382</v>
      </c>
      <c r="K60" s="143" t="s">
        <v>45</v>
      </c>
      <c r="L60" s="143" t="s">
        <v>45</v>
      </c>
      <c r="M60" s="143"/>
      <c r="N60" s="143"/>
      <c r="O60" s="144"/>
      <c r="P60" s="142" t="s">
        <v>45</v>
      </c>
      <c r="Q60" s="143">
        <v>428046</v>
      </c>
      <c r="R60" s="143">
        <v>956562</v>
      </c>
      <c r="S60" s="143">
        <v>144523</v>
      </c>
      <c r="T60" s="143"/>
      <c r="U60" s="143"/>
      <c r="V60" s="144"/>
      <c r="W60" s="142">
        <v>8</v>
      </c>
      <c r="X60" s="143">
        <v>76138</v>
      </c>
      <c r="Y60" s="143"/>
      <c r="Z60" s="144"/>
      <c r="AA60" s="142" t="s">
        <v>45</v>
      </c>
      <c r="AB60" s="143">
        <v>81980</v>
      </c>
      <c r="AC60" s="143"/>
      <c r="AD60" s="143"/>
      <c r="AE60" s="144"/>
      <c r="AF60" s="142">
        <v>15</v>
      </c>
      <c r="AG60" s="143">
        <v>333428</v>
      </c>
      <c r="AH60" s="143">
        <v>547764</v>
      </c>
      <c r="AI60" s="143">
        <v>95163</v>
      </c>
      <c r="AJ60" s="143"/>
      <c r="AK60" s="143"/>
      <c r="AL60" s="144"/>
      <c r="AM60" s="142">
        <v>55</v>
      </c>
      <c r="AN60" s="143">
        <v>727302</v>
      </c>
      <c r="AO60" s="143"/>
      <c r="AP60" s="144"/>
    </row>
    <row r="61" spans="1:42" x14ac:dyDescent="0.25">
      <c r="A61" s="47">
        <v>45962</v>
      </c>
      <c r="B61" s="142"/>
      <c r="C61" s="143">
        <v>161197</v>
      </c>
      <c r="D61" s="143">
        <v>602871</v>
      </c>
      <c r="E61" s="145"/>
      <c r="F61" s="145"/>
      <c r="G61" s="143"/>
      <c r="H61" s="144"/>
      <c r="I61" s="142"/>
      <c r="J61" s="143">
        <v>5123</v>
      </c>
      <c r="K61" s="143"/>
      <c r="L61" s="145"/>
      <c r="M61" s="145"/>
      <c r="N61" s="143"/>
      <c r="O61" s="144"/>
      <c r="P61" s="142"/>
      <c r="Q61" s="143">
        <v>114248</v>
      </c>
      <c r="R61" s="143">
        <v>984693</v>
      </c>
      <c r="S61" s="145"/>
      <c r="T61" s="145"/>
      <c r="U61" s="143"/>
      <c r="V61" s="144"/>
      <c r="W61" s="142"/>
      <c r="X61" s="143">
        <v>63468</v>
      </c>
      <c r="Y61" s="143"/>
      <c r="Z61" s="144"/>
      <c r="AA61" s="142"/>
      <c r="AB61" s="143">
        <v>46616</v>
      </c>
      <c r="AC61" s="145"/>
      <c r="AD61" s="143"/>
      <c r="AE61" s="144"/>
      <c r="AF61" s="142"/>
      <c r="AG61" s="143">
        <v>150513</v>
      </c>
      <c r="AH61" s="143">
        <v>1081148</v>
      </c>
      <c r="AI61" s="145"/>
      <c r="AJ61" s="145"/>
      <c r="AK61" s="143"/>
      <c r="AL61" s="144"/>
      <c r="AM61" s="142"/>
      <c r="AN61" s="143">
        <v>119985</v>
      </c>
      <c r="AO61" s="143"/>
      <c r="AP61" s="144"/>
    </row>
    <row r="62" spans="1:42" x14ac:dyDescent="0.25">
      <c r="A62" s="47">
        <v>45992</v>
      </c>
      <c r="B62" s="142"/>
      <c r="C62" s="143">
        <v>141631</v>
      </c>
      <c r="D62" s="143">
        <v>602871</v>
      </c>
      <c r="E62" s="145"/>
      <c r="F62" s="145"/>
      <c r="G62" s="143"/>
      <c r="H62" s="145"/>
      <c r="I62" s="142"/>
      <c r="J62" s="143">
        <v>9894</v>
      </c>
      <c r="K62" s="143"/>
      <c r="L62" s="145"/>
      <c r="M62" s="145"/>
      <c r="N62" s="143"/>
      <c r="O62" s="145"/>
      <c r="P62" s="142"/>
      <c r="Q62" s="143">
        <v>554354</v>
      </c>
      <c r="R62" s="143">
        <v>984693</v>
      </c>
      <c r="S62" s="145"/>
      <c r="T62" s="145"/>
      <c r="U62" s="143"/>
      <c r="V62" s="145"/>
      <c r="W62" s="142"/>
      <c r="X62" s="143">
        <v>630431</v>
      </c>
      <c r="Y62" s="143"/>
      <c r="Z62" s="145"/>
      <c r="AA62" s="142"/>
      <c r="AB62" s="143">
        <v>400120</v>
      </c>
      <c r="AC62" s="145"/>
      <c r="AD62" s="143"/>
      <c r="AE62" s="145"/>
      <c r="AF62" s="142"/>
      <c r="AG62" s="143">
        <v>1425862</v>
      </c>
      <c r="AH62" s="143">
        <v>1081148</v>
      </c>
      <c r="AI62" s="145"/>
      <c r="AJ62" s="145"/>
      <c r="AK62" s="143"/>
      <c r="AL62" s="145"/>
      <c r="AM62" s="142"/>
      <c r="AN62" s="143">
        <v>536488</v>
      </c>
      <c r="AO62" s="143"/>
      <c r="AP62" s="144"/>
    </row>
    <row r="63" spans="1:42" x14ac:dyDescent="0.25">
      <c r="A63" s="47">
        <v>46023</v>
      </c>
      <c r="B63" s="142"/>
      <c r="C63" s="143">
        <v>134552</v>
      </c>
      <c r="D63" s="143">
        <v>452154</v>
      </c>
      <c r="E63" s="145">
        <v>163842</v>
      </c>
      <c r="F63" s="145"/>
      <c r="G63" s="143"/>
      <c r="H63" s="145"/>
      <c r="I63" s="142"/>
      <c r="J63" s="143">
        <v>1796</v>
      </c>
      <c r="K63" s="143"/>
      <c r="L63" s="145"/>
      <c r="M63" s="145"/>
      <c r="N63" s="143"/>
      <c r="O63" s="145"/>
      <c r="P63" s="142"/>
      <c r="Q63" s="143">
        <v>206072</v>
      </c>
      <c r="R63" s="143">
        <v>984693</v>
      </c>
      <c r="S63" s="145"/>
      <c r="T63" s="145"/>
      <c r="U63" s="143"/>
      <c r="V63" s="145"/>
      <c r="W63" s="142"/>
      <c r="X63" s="143">
        <v>87746</v>
      </c>
      <c r="Y63" s="143"/>
      <c r="Z63" s="145"/>
      <c r="AA63" s="142"/>
      <c r="AB63" s="143">
        <v>146553</v>
      </c>
      <c r="AC63" s="145"/>
      <c r="AD63" s="143"/>
      <c r="AE63" s="145"/>
      <c r="AF63" s="142"/>
      <c r="AG63" s="143">
        <v>415011</v>
      </c>
      <c r="AH63" s="143">
        <v>1081148</v>
      </c>
      <c r="AI63" s="145"/>
      <c r="AJ63" s="145"/>
      <c r="AK63" s="143"/>
      <c r="AL63" s="145"/>
      <c r="AM63" s="142"/>
      <c r="AN63" s="143">
        <v>224803</v>
      </c>
      <c r="AO63" s="143"/>
      <c r="AP63" s="144"/>
    </row>
    <row r="64" spans="1:42" x14ac:dyDescent="0.25">
      <c r="A64" s="47">
        <v>46054</v>
      </c>
      <c r="B64" s="142"/>
      <c r="C64" s="143">
        <v>196652</v>
      </c>
      <c r="D64" s="143">
        <v>371313</v>
      </c>
      <c r="E64" s="145"/>
      <c r="F64" s="145"/>
      <c r="G64" s="143"/>
      <c r="H64" s="145"/>
      <c r="I64" s="142"/>
      <c r="J64" s="143">
        <v>2059</v>
      </c>
      <c r="K64" s="143"/>
      <c r="L64" s="145"/>
      <c r="M64" s="145"/>
      <c r="N64" s="143"/>
      <c r="O64" s="145"/>
      <c r="P64" s="142"/>
      <c r="Q64" s="143">
        <v>189120</v>
      </c>
      <c r="R64" s="143">
        <v>984693</v>
      </c>
      <c r="S64" s="145">
        <v>148936</v>
      </c>
      <c r="T64" s="145"/>
      <c r="U64" s="143"/>
      <c r="V64" s="145"/>
      <c r="W64" s="142"/>
      <c r="X64" s="143">
        <v>88705</v>
      </c>
      <c r="Y64" s="143"/>
      <c r="Z64" s="145"/>
      <c r="AA64" s="142"/>
      <c r="AB64" s="143">
        <v>82751</v>
      </c>
      <c r="AC64" s="145"/>
      <c r="AD64" s="143"/>
      <c r="AE64" s="145"/>
      <c r="AF64" s="142"/>
      <c r="AG64" s="143">
        <v>316791</v>
      </c>
      <c r="AH64" s="143">
        <v>1081148</v>
      </c>
      <c r="AI64" s="145"/>
      <c r="AJ64" s="145"/>
      <c r="AK64" s="143"/>
      <c r="AL64" s="145"/>
      <c r="AM64" s="142"/>
      <c r="AN64" s="143">
        <v>231915</v>
      </c>
      <c r="AO64" s="143"/>
      <c r="AP64" s="144"/>
    </row>
    <row r="65" spans="1:42" x14ac:dyDescent="0.25">
      <c r="A65" s="47">
        <v>46082</v>
      </c>
      <c r="B65" s="142"/>
      <c r="C65" s="143">
        <v>190600</v>
      </c>
      <c r="D65" s="143">
        <v>985148</v>
      </c>
      <c r="E65" s="145"/>
      <c r="F65" s="145"/>
      <c r="G65" s="143"/>
      <c r="H65" s="145"/>
      <c r="I65" s="142"/>
      <c r="J65" s="143">
        <v>2153</v>
      </c>
      <c r="K65" s="143"/>
      <c r="L65" s="145"/>
      <c r="M65" s="145"/>
      <c r="N65" s="143"/>
      <c r="O65" s="145"/>
      <c r="P65" s="142"/>
      <c r="Q65" s="143">
        <v>256209</v>
      </c>
      <c r="R65" s="143">
        <v>729402</v>
      </c>
      <c r="S65" s="145" t="s">
        <v>45</v>
      </c>
      <c r="T65" s="145"/>
      <c r="U65" s="143"/>
      <c r="V65" s="145"/>
      <c r="W65" s="142"/>
      <c r="X65" s="143">
        <v>89085</v>
      </c>
      <c r="Y65" s="143"/>
      <c r="Z65" s="145"/>
      <c r="AA65" s="142"/>
      <c r="AB65" s="143">
        <v>262310</v>
      </c>
      <c r="AC65" s="145"/>
      <c r="AD65" s="143"/>
      <c r="AE65" s="145"/>
      <c r="AF65" s="142"/>
      <c r="AG65" s="143">
        <v>419249</v>
      </c>
      <c r="AH65" s="143">
        <v>1621722</v>
      </c>
      <c r="AI65" s="145">
        <v>205128</v>
      </c>
      <c r="AJ65" s="145"/>
      <c r="AK65" s="143"/>
      <c r="AL65" s="145"/>
      <c r="AM65" s="142"/>
      <c r="AN65" s="143">
        <v>215074</v>
      </c>
      <c r="AO65" s="143"/>
      <c r="AP65" s="144"/>
    </row>
    <row r="66" spans="1:42" x14ac:dyDescent="0.25">
      <c r="A66" s="47">
        <v>46113</v>
      </c>
      <c r="B66" s="142"/>
      <c r="C66" s="143">
        <v>149202</v>
      </c>
      <c r="D66" s="143" t="s">
        <v>45</v>
      </c>
      <c r="E66" s="145"/>
      <c r="F66" s="145"/>
      <c r="G66" s="143"/>
      <c r="H66" s="145"/>
      <c r="I66" s="142"/>
      <c r="J66" s="143">
        <v>1796</v>
      </c>
      <c r="K66" s="143"/>
      <c r="L66" s="145"/>
      <c r="M66" s="145"/>
      <c r="N66" s="143"/>
      <c r="O66" s="145"/>
      <c r="P66" s="142"/>
      <c r="Q66" s="143">
        <v>202833</v>
      </c>
      <c r="R66" s="143">
        <v>729402</v>
      </c>
      <c r="S66" s="145" t="s">
        <v>45</v>
      </c>
      <c r="T66" s="145"/>
      <c r="U66" s="143"/>
      <c r="V66" s="145"/>
      <c r="W66" s="142"/>
      <c r="X66" s="143">
        <v>89761</v>
      </c>
      <c r="Y66" s="143"/>
      <c r="Z66" s="145"/>
      <c r="AA66" s="142"/>
      <c r="AB66" s="143">
        <v>185568</v>
      </c>
      <c r="AC66" s="145"/>
      <c r="AD66" s="143"/>
      <c r="AE66" s="145"/>
      <c r="AF66" s="142"/>
      <c r="AG66" s="143">
        <v>336277</v>
      </c>
      <c r="AH66" s="143">
        <v>1621722</v>
      </c>
      <c r="AI66" s="145">
        <v>164103</v>
      </c>
      <c r="AJ66" s="145"/>
      <c r="AK66" s="143"/>
      <c r="AL66" s="145"/>
      <c r="AM66" s="142"/>
      <c r="AN66" s="143">
        <v>226155</v>
      </c>
      <c r="AO66" s="143"/>
      <c r="AP66" s="144"/>
    </row>
    <row r="67" spans="1:42" x14ac:dyDescent="0.25">
      <c r="A67" s="47">
        <v>46143</v>
      </c>
      <c r="B67" s="142"/>
      <c r="C67" s="143">
        <v>158391</v>
      </c>
      <c r="D67" s="143"/>
      <c r="E67" s="145"/>
      <c r="F67" s="145"/>
      <c r="G67" s="143"/>
      <c r="H67" s="145"/>
      <c r="I67" s="142"/>
      <c r="J67" s="143">
        <v>1796</v>
      </c>
      <c r="K67" s="143"/>
      <c r="L67" s="145"/>
      <c r="M67" s="145"/>
      <c r="N67" s="143"/>
      <c r="O67" s="145"/>
      <c r="P67" s="142"/>
      <c r="Q67" s="143">
        <v>218049</v>
      </c>
      <c r="R67" s="143">
        <v>911753</v>
      </c>
      <c r="S67" s="145"/>
      <c r="T67" s="145"/>
      <c r="U67" s="143"/>
      <c r="V67" s="145"/>
      <c r="W67" s="142"/>
      <c r="X67" s="143">
        <v>91254</v>
      </c>
      <c r="Y67" s="143"/>
      <c r="Z67" s="145"/>
      <c r="AA67" s="142"/>
      <c r="AB67" s="143">
        <v>90787</v>
      </c>
      <c r="AC67" s="145"/>
      <c r="AD67" s="143"/>
      <c r="AE67" s="145"/>
      <c r="AF67" s="142"/>
      <c r="AG67" s="143">
        <v>295161</v>
      </c>
      <c r="AH67" s="143">
        <v>1621722</v>
      </c>
      <c r="AI67" s="145"/>
      <c r="AJ67" s="145"/>
      <c r="AK67" s="143"/>
      <c r="AL67" s="145"/>
      <c r="AM67" s="142"/>
      <c r="AN67" s="143">
        <v>432293</v>
      </c>
      <c r="AO67" s="143"/>
      <c r="AP67" s="144"/>
    </row>
    <row r="68" spans="1:42" x14ac:dyDescent="0.25">
      <c r="A68" s="47">
        <v>46174</v>
      </c>
      <c r="B68" s="142"/>
      <c r="C68" s="143">
        <v>163064</v>
      </c>
      <c r="D68" s="143"/>
      <c r="E68" s="145"/>
      <c r="F68" s="145"/>
      <c r="G68" s="143"/>
      <c r="H68" s="145"/>
      <c r="I68" s="142"/>
      <c r="J68" s="143">
        <v>1796</v>
      </c>
      <c r="K68" s="143"/>
      <c r="L68" s="145"/>
      <c r="M68" s="145"/>
      <c r="N68" s="143"/>
      <c r="O68" s="145"/>
      <c r="P68" s="142"/>
      <c r="Q68" s="143">
        <v>221372</v>
      </c>
      <c r="R68" s="143">
        <v>911753</v>
      </c>
      <c r="S68" s="145"/>
      <c r="T68" s="145"/>
      <c r="U68" s="143"/>
      <c r="V68" s="145"/>
      <c r="W68" s="142"/>
      <c r="X68" s="143">
        <v>111142</v>
      </c>
      <c r="Y68" s="143"/>
      <c r="Z68" s="145"/>
      <c r="AA68" s="142"/>
      <c r="AB68" s="143">
        <v>124863</v>
      </c>
      <c r="AC68" s="145"/>
      <c r="AD68" s="143"/>
      <c r="AE68" s="145"/>
      <c r="AF68" s="142"/>
      <c r="AG68" s="143">
        <v>360216</v>
      </c>
      <c r="AH68" s="143">
        <v>1621722</v>
      </c>
      <c r="AI68" s="145"/>
      <c r="AJ68" s="145"/>
      <c r="AK68" s="143"/>
      <c r="AL68" s="145"/>
      <c r="AM68" s="142"/>
      <c r="AN68" s="143">
        <v>369900</v>
      </c>
      <c r="AO68" s="143"/>
      <c r="AP68" s="144"/>
    </row>
    <row r="69" spans="1:42" x14ac:dyDescent="0.25">
      <c r="A69" s="47">
        <v>46204</v>
      </c>
      <c r="B69" s="142"/>
      <c r="C69" s="143">
        <v>128658</v>
      </c>
      <c r="D69" s="143"/>
      <c r="E69" s="145"/>
      <c r="F69" s="145"/>
      <c r="G69" s="143"/>
      <c r="H69" s="145"/>
      <c r="I69" s="142"/>
      <c r="J69" s="143">
        <v>1796</v>
      </c>
      <c r="K69" s="143"/>
      <c r="L69" s="145"/>
      <c r="M69" s="145"/>
      <c r="N69" s="143"/>
      <c r="O69" s="145"/>
      <c r="P69" s="142"/>
      <c r="Q69" s="143">
        <v>553738</v>
      </c>
      <c r="R69" s="143">
        <v>911753</v>
      </c>
      <c r="S69" s="145"/>
      <c r="T69" s="145"/>
      <c r="U69" s="143"/>
      <c r="V69" s="145"/>
      <c r="W69" s="142"/>
      <c r="X69" s="143">
        <v>95634</v>
      </c>
      <c r="Y69" s="143"/>
      <c r="Z69" s="145"/>
      <c r="AA69" s="142"/>
      <c r="AB69" s="143">
        <v>101893</v>
      </c>
      <c r="AC69" s="145"/>
      <c r="AD69" s="143"/>
      <c r="AE69" s="145"/>
      <c r="AF69" s="142"/>
      <c r="AG69" s="143">
        <v>381626</v>
      </c>
      <c r="AH69" s="143">
        <v>1621722</v>
      </c>
      <c r="AI69" s="145"/>
      <c r="AJ69" s="145"/>
      <c r="AK69" s="143"/>
      <c r="AL69" s="145"/>
      <c r="AM69" s="142"/>
      <c r="AN69" s="143">
        <v>742240</v>
      </c>
      <c r="AO69" s="143"/>
      <c r="AP69" s="144"/>
    </row>
    <row r="70" spans="1:42" x14ac:dyDescent="0.25">
      <c r="A70" s="47">
        <v>46235</v>
      </c>
      <c r="B70" s="142"/>
      <c r="C70" s="143">
        <v>432380</v>
      </c>
      <c r="D70" s="143"/>
      <c r="E70" s="145"/>
      <c r="F70" s="145"/>
      <c r="G70" s="143"/>
      <c r="H70" s="145"/>
      <c r="I70" s="142"/>
      <c r="J70" s="143">
        <v>1796</v>
      </c>
      <c r="K70" s="143"/>
      <c r="L70" s="145"/>
      <c r="M70" s="145"/>
      <c r="N70" s="143"/>
      <c r="O70" s="145"/>
      <c r="P70" s="142"/>
      <c r="Q70" s="143">
        <v>317105</v>
      </c>
      <c r="R70" s="143">
        <v>911753</v>
      </c>
      <c r="S70" s="145"/>
      <c r="T70" s="145"/>
      <c r="U70" s="143"/>
      <c r="V70" s="145"/>
      <c r="W70" s="142"/>
      <c r="X70" s="143">
        <v>97346</v>
      </c>
      <c r="Y70" s="143"/>
      <c r="Z70" s="145"/>
      <c r="AA70" s="142"/>
      <c r="AB70" s="143">
        <v>82751</v>
      </c>
      <c r="AC70" s="145">
        <v>2695286</v>
      </c>
      <c r="AD70" s="143"/>
      <c r="AE70" s="145"/>
      <c r="AF70" s="142"/>
      <c r="AG70" s="143">
        <v>302622</v>
      </c>
      <c r="AH70" s="143">
        <v>1621722</v>
      </c>
      <c r="AI70" s="145"/>
      <c r="AJ70" s="145"/>
      <c r="AK70" s="143"/>
      <c r="AL70" s="145"/>
      <c r="AM70" s="142"/>
      <c r="AN70" s="143">
        <v>254784</v>
      </c>
      <c r="AO70" s="143"/>
      <c r="AP70" s="144"/>
    </row>
    <row r="71" spans="1:42" x14ac:dyDescent="0.25">
      <c r="A71" s="47">
        <v>46266</v>
      </c>
      <c r="B71" s="142"/>
      <c r="C71" s="143">
        <v>459696</v>
      </c>
      <c r="D71" s="143"/>
      <c r="E71" s="145"/>
      <c r="F71" s="145"/>
      <c r="G71" s="143"/>
      <c r="H71" s="145"/>
      <c r="I71" s="142"/>
      <c r="J71" s="143">
        <v>1796</v>
      </c>
      <c r="K71" s="143"/>
      <c r="L71" s="145"/>
      <c r="M71" s="145"/>
      <c r="N71" s="143"/>
      <c r="O71" s="145"/>
      <c r="P71" s="142"/>
      <c r="Q71" s="143">
        <v>202828</v>
      </c>
      <c r="R71" s="143">
        <v>911753</v>
      </c>
      <c r="S71" s="145"/>
      <c r="T71" s="145"/>
      <c r="U71" s="143"/>
      <c r="V71" s="145"/>
      <c r="W71" s="142"/>
      <c r="X71" s="143">
        <v>98315</v>
      </c>
      <c r="Y71" s="143"/>
      <c r="Z71" s="145"/>
      <c r="AA71" s="142"/>
      <c r="AB71" s="143">
        <v>82751</v>
      </c>
      <c r="AC71" s="145">
        <v>2695286</v>
      </c>
      <c r="AD71" s="143"/>
      <c r="AE71" s="145"/>
      <c r="AF71" s="142"/>
      <c r="AG71" s="143">
        <v>276582</v>
      </c>
      <c r="AH71" s="143">
        <v>1621722</v>
      </c>
      <c r="AI71" s="145"/>
      <c r="AJ71" s="145"/>
      <c r="AK71" s="143"/>
      <c r="AL71" s="145"/>
      <c r="AM71" s="142"/>
      <c r="AN71" s="143">
        <v>285230</v>
      </c>
      <c r="AO71" s="143"/>
      <c r="AP71" s="144"/>
    </row>
    <row r="72" spans="1:42" x14ac:dyDescent="0.25">
      <c r="A72" s="47">
        <v>46296</v>
      </c>
      <c r="B72" s="142"/>
      <c r="C72" s="143">
        <v>128929</v>
      </c>
      <c r="D72" s="143"/>
      <c r="E72" s="145"/>
      <c r="F72" s="145"/>
      <c r="G72" s="143"/>
      <c r="H72" s="145"/>
      <c r="I72" s="142"/>
      <c r="J72" s="143">
        <v>1796</v>
      </c>
      <c r="K72" s="143"/>
      <c r="L72" s="145"/>
      <c r="M72" s="145"/>
      <c r="N72" s="143"/>
      <c r="O72" s="145"/>
      <c r="P72" s="142"/>
      <c r="Q72" s="143">
        <v>198013</v>
      </c>
      <c r="R72" s="143">
        <v>911753</v>
      </c>
      <c r="S72" s="145"/>
      <c r="T72" s="145"/>
      <c r="U72" s="143"/>
      <c r="V72" s="145"/>
      <c r="W72" s="142"/>
      <c r="X72" s="143">
        <v>98983</v>
      </c>
      <c r="Y72" s="143"/>
      <c r="Z72" s="145"/>
      <c r="AA72" s="142"/>
      <c r="AB72" s="143">
        <v>82751</v>
      </c>
      <c r="AC72" s="145">
        <v>2695286</v>
      </c>
      <c r="AD72" s="143"/>
      <c r="AE72" s="145"/>
      <c r="AF72" s="142"/>
      <c r="AG72" s="143">
        <v>1404421</v>
      </c>
      <c r="AH72" s="143">
        <v>1621722</v>
      </c>
      <c r="AI72" s="145"/>
      <c r="AJ72" s="145"/>
      <c r="AK72" s="143"/>
      <c r="AL72" s="145"/>
      <c r="AM72" s="142"/>
      <c r="AN72" s="143">
        <v>281965</v>
      </c>
      <c r="AO72" s="143"/>
      <c r="AP72" s="144"/>
    </row>
    <row r="73" spans="1:42" x14ac:dyDescent="0.25">
      <c r="A73" s="47">
        <v>46327</v>
      </c>
      <c r="B73" s="142"/>
      <c r="C73" s="143">
        <v>21390</v>
      </c>
      <c r="D73" s="143"/>
      <c r="E73" s="145"/>
      <c r="F73" s="145"/>
      <c r="G73" s="143"/>
      <c r="H73" s="145"/>
      <c r="I73" s="142"/>
      <c r="J73" s="143">
        <v>1796</v>
      </c>
      <c r="K73" s="143"/>
      <c r="L73" s="145"/>
      <c r="M73" s="145"/>
      <c r="N73" s="143"/>
      <c r="O73" s="145"/>
      <c r="P73" s="142"/>
      <c r="Q73" s="143">
        <v>208674</v>
      </c>
      <c r="R73" s="143">
        <v>911753</v>
      </c>
      <c r="S73" s="145"/>
      <c r="T73" s="145"/>
      <c r="U73" s="143"/>
      <c r="V73" s="145"/>
      <c r="W73" s="142"/>
      <c r="X73" s="143">
        <v>100463</v>
      </c>
      <c r="Y73" s="143"/>
      <c r="Z73" s="145"/>
      <c r="AA73" s="142"/>
      <c r="AB73" s="143">
        <v>80901</v>
      </c>
      <c r="AC73" s="145">
        <v>2695286</v>
      </c>
      <c r="AD73" s="143"/>
      <c r="AE73" s="145"/>
      <c r="AF73" s="142"/>
      <c r="AG73" s="143">
        <v>308532</v>
      </c>
      <c r="AH73" s="143">
        <v>1216292</v>
      </c>
      <c r="AI73" s="145"/>
      <c r="AJ73" s="145"/>
      <c r="AK73" s="143"/>
      <c r="AL73" s="145"/>
      <c r="AM73" s="142"/>
      <c r="AN73" s="143">
        <v>253816</v>
      </c>
      <c r="AO73" s="143"/>
      <c r="AP73" s="144"/>
    </row>
    <row r="74" spans="1:42" x14ac:dyDescent="0.25">
      <c r="A74" s="47">
        <v>46357</v>
      </c>
      <c r="B74" s="142"/>
      <c r="C74" s="143">
        <v>29191</v>
      </c>
      <c r="D74" s="143"/>
      <c r="E74" s="145"/>
      <c r="F74" s="145"/>
      <c r="G74" s="143"/>
      <c r="H74" s="145"/>
      <c r="I74" s="142"/>
      <c r="J74" s="143">
        <v>1909</v>
      </c>
      <c r="K74" s="143"/>
      <c r="L74" s="145"/>
      <c r="M74" s="145"/>
      <c r="N74" s="143"/>
      <c r="O74" s="145"/>
      <c r="P74" s="142"/>
      <c r="Q74" s="143">
        <v>677780</v>
      </c>
      <c r="R74" s="143">
        <v>911753</v>
      </c>
      <c r="S74" s="145"/>
      <c r="T74" s="145"/>
      <c r="U74" s="143"/>
      <c r="V74" s="145"/>
      <c r="W74" s="142"/>
      <c r="X74" s="143">
        <v>769598</v>
      </c>
      <c r="Y74" s="143"/>
      <c r="Z74" s="145"/>
      <c r="AA74" s="142"/>
      <c r="AB74" s="143">
        <v>209858</v>
      </c>
      <c r="AC74" s="145">
        <v>2695286</v>
      </c>
      <c r="AD74" s="143"/>
      <c r="AE74" s="145"/>
      <c r="AF74" s="142"/>
      <c r="AG74" s="143">
        <v>452852</v>
      </c>
      <c r="AH74" s="143">
        <v>1216292</v>
      </c>
      <c r="AI74" s="145"/>
      <c r="AJ74" s="145"/>
      <c r="AK74" s="143"/>
      <c r="AL74" s="145"/>
      <c r="AM74" s="142"/>
      <c r="AN74" s="143">
        <v>813260</v>
      </c>
      <c r="AO74" s="143"/>
      <c r="AP74" s="144"/>
    </row>
    <row r="75" spans="1:42" x14ac:dyDescent="0.25">
      <c r="A75" s="47">
        <v>46388</v>
      </c>
      <c r="B75" s="142"/>
      <c r="C75" s="143">
        <v>9509</v>
      </c>
      <c r="D75" s="143"/>
      <c r="E75" s="145"/>
      <c r="F75" s="145"/>
      <c r="G75" s="143"/>
      <c r="H75" s="145"/>
      <c r="I75" s="142"/>
      <c r="J75" s="143">
        <v>1796</v>
      </c>
      <c r="K75" s="143"/>
      <c r="L75" s="145"/>
      <c r="M75" s="145"/>
      <c r="N75" s="143"/>
      <c r="O75" s="145"/>
      <c r="P75" s="142"/>
      <c r="Q75" s="143">
        <v>212201</v>
      </c>
      <c r="R75" s="143">
        <v>729402</v>
      </c>
      <c r="S75" s="145"/>
      <c r="T75" s="145"/>
      <c r="U75" s="143"/>
      <c r="V75" s="145"/>
      <c r="W75" s="142"/>
      <c r="X75" s="143">
        <v>105699</v>
      </c>
      <c r="Y75" s="143"/>
      <c r="Z75" s="145"/>
      <c r="AA75" s="142"/>
      <c r="AB75" s="143">
        <v>185357</v>
      </c>
      <c r="AC75" s="145"/>
      <c r="AD75" s="143"/>
      <c r="AE75" s="145"/>
      <c r="AF75" s="142"/>
      <c r="AG75" s="143">
        <v>51436</v>
      </c>
      <c r="AH75" s="143">
        <v>1216292</v>
      </c>
      <c r="AI75" s="145"/>
      <c r="AJ75" s="145"/>
      <c r="AK75" s="143"/>
      <c r="AL75" s="145"/>
      <c r="AM75" s="142"/>
      <c r="AN75" s="143">
        <v>292055</v>
      </c>
      <c r="AO75" s="143"/>
      <c r="AP75" s="144"/>
    </row>
    <row r="76" spans="1:42" x14ac:dyDescent="0.25">
      <c r="A76" s="47">
        <v>46419</v>
      </c>
      <c r="B76" s="142"/>
      <c r="C76" s="143">
        <v>11193</v>
      </c>
      <c r="D76" s="143"/>
      <c r="E76" s="145"/>
      <c r="F76" s="145"/>
      <c r="G76" s="143"/>
      <c r="H76" s="145"/>
      <c r="I76" s="142"/>
      <c r="J76" s="143">
        <v>1796</v>
      </c>
      <c r="K76" s="143"/>
      <c r="L76" s="145"/>
      <c r="M76" s="145"/>
      <c r="N76" s="143"/>
      <c r="O76" s="145"/>
      <c r="P76" s="142"/>
      <c r="Q76" s="143">
        <v>198026</v>
      </c>
      <c r="R76" s="143">
        <v>729402</v>
      </c>
      <c r="S76" s="145"/>
      <c r="T76" s="145"/>
      <c r="U76" s="143"/>
      <c r="V76" s="145"/>
      <c r="W76" s="142"/>
      <c r="X76" s="143">
        <v>105206</v>
      </c>
      <c r="Y76" s="143"/>
      <c r="Z76" s="145"/>
      <c r="AA76" s="142"/>
      <c r="AB76" s="143">
        <v>1266146</v>
      </c>
      <c r="AC76" s="145"/>
      <c r="AD76" s="143"/>
      <c r="AE76" s="145"/>
      <c r="AF76" s="142"/>
      <c r="AG76" s="143">
        <v>67827</v>
      </c>
      <c r="AH76" s="143">
        <v>1216292</v>
      </c>
      <c r="AI76" s="145"/>
      <c r="AJ76" s="145"/>
      <c r="AK76" s="143"/>
      <c r="AL76" s="145"/>
      <c r="AM76" s="142"/>
      <c r="AN76" s="143">
        <v>273100</v>
      </c>
      <c r="AO76" s="143"/>
      <c r="AP76" s="144"/>
    </row>
    <row r="77" spans="1:42" x14ac:dyDescent="0.25">
      <c r="A77" s="47">
        <v>46447</v>
      </c>
      <c r="B77" s="142"/>
      <c r="C77" s="143">
        <v>18437</v>
      </c>
      <c r="D77" s="143"/>
      <c r="E77" s="145"/>
      <c r="F77" s="145"/>
      <c r="G77" s="143"/>
      <c r="H77" s="145"/>
      <c r="I77" s="142"/>
      <c r="J77" s="143">
        <v>2210</v>
      </c>
      <c r="K77" s="143"/>
      <c r="L77" s="145"/>
      <c r="M77" s="145"/>
      <c r="N77" s="143"/>
      <c r="O77" s="145"/>
      <c r="P77" s="142"/>
      <c r="Q77" s="143">
        <v>216721</v>
      </c>
      <c r="R77" s="143">
        <v>729402</v>
      </c>
      <c r="S77" s="145"/>
      <c r="T77" s="145"/>
      <c r="U77" s="143"/>
      <c r="V77" s="145"/>
      <c r="W77" s="142"/>
      <c r="X77" s="143">
        <v>107013</v>
      </c>
      <c r="Y77" s="143"/>
      <c r="Z77" s="145"/>
      <c r="AA77" s="142"/>
      <c r="AB77" s="143">
        <v>91177</v>
      </c>
      <c r="AC77" s="145"/>
      <c r="AD77" s="143"/>
      <c r="AE77" s="145"/>
      <c r="AF77" s="142"/>
      <c r="AG77" s="143">
        <v>32553</v>
      </c>
      <c r="AH77" s="143">
        <v>2940616</v>
      </c>
      <c r="AI77" s="145"/>
      <c r="AJ77" s="145"/>
      <c r="AK77" s="143"/>
      <c r="AL77" s="145"/>
      <c r="AM77" s="142"/>
      <c r="AN77" s="143">
        <v>288860</v>
      </c>
      <c r="AO77" s="143"/>
      <c r="AP77" s="144"/>
    </row>
    <row r="78" spans="1:42" x14ac:dyDescent="0.25">
      <c r="A78" s="47">
        <v>46478</v>
      </c>
      <c r="B78" s="142"/>
      <c r="C78" s="143">
        <v>8630</v>
      </c>
      <c r="D78" s="143"/>
      <c r="E78" s="145"/>
      <c r="F78" s="145"/>
      <c r="G78" s="143"/>
      <c r="H78" s="145"/>
      <c r="I78" s="142"/>
      <c r="J78" s="143">
        <v>924</v>
      </c>
      <c r="K78" s="143"/>
      <c r="L78" s="145"/>
      <c r="M78" s="145"/>
      <c r="N78" s="143"/>
      <c r="O78" s="145"/>
      <c r="P78" s="142"/>
      <c r="Q78" s="143">
        <v>201235</v>
      </c>
      <c r="R78" s="143">
        <v>547052</v>
      </c>
      <c r="S78" s="145"/>
      <c r="T78" s="145"/>
      <c r="U78" s="143"/>
      <c r="V78" s="145"/>
      <c r="W78" s="142"/>
      <c r="X78" s="143">
        <v>108470</v>
      </c>
      <c r="Y78" s="143"/>
      <c r="Z78" s="145"/>
      <c r="AA78" s="142"/>
      <c r="AB78" s="143">
        <v>16867</v>
      </c>
      <c r="AC78" s="145"/>
      <c r="AD78" s="143"/>
      <c r="AE78" s="145"/>
      <c r="AF78" s="142"/>
      <c r="AG78" s="143">
        <v>29847</v>
      </c>
      <c r="AH78" s="143">
        <v>1924550</v>
      </c>
      <c r="AI78" s="145"/>
      <c r="AJ78" s="145"/>
      <c r="AK78" s="143"/>
      <c r="AL78" s="145"/>
      <c r="AM78" s="142"/>
      <c r="AN78" s="143">
        <v>288143</v>
      </c>
      <c r="AO78" s="143"/>
      <c r="AP78" s="144"/>
    </row>
    <row r="79" spans="1:42" x14ac:dyDescent="0.25">
      <c r="A79" s="47">
        <v>46508</v>
      </c>
      <c r="B79" s="142"/>
      <c r="C79" s="143">
        <v>9032</v>
      </c>
      <c r="D79" s="143"/>
      <c r="E79" s="145"/>
      <c r="F79" s="145"/>
      <c r="G79" s="143"/>
      <c r="H79" s="145"/>
      <c r="I79" s="142"/>
      <c r="J79" s="143">
        <v>924</v>
      </c>
      <c r="K79" s="143"/>
      <c r="L79" s="145"/>
      <c r="M79" s="145"/>
      <c r="N79" s="143"/>
      <c r="O79" s="145"/>
      <c r="P79" s="142"/>
      <c r="Q79" s="143">
        <v>190188</v>
      </c>
      <c r="R79" s="143">
        <v>1424313</v>
      </c>
      <c r="S79" s="145"/>
      <c r="T79" s="145"/>
      <c r="U79" s="143"/>
      <c r="V79" s="145"/>
      <c r="W79" s="142"/>
      <c r="X79" s="143">
        <v>107983</v>
      </c>
      <c r="Y79" s="143"/>
      <c r="Z79" s="145"/>
      <c r="AA79" s="142"/>
      <c r="AB79" s="143">
        <v>39232</v>
      </c>
      <c r="AC79" s="145"/>
      <c r="AD79" s="143"/>
      <c r="AE79" s="145"/>
      <c r="AF79" s="142"/>
      <c r="AG79" s="143">
        <v>21569</v>
      </c>
      <c r="AH79" s="143" t="s">
        <v>45</v>
      </c>
      <c r="AI79" s="145"/>
      <c r="AJ79" s="145"/>
      <c r="AK79" s="143"/>
      <c r="AL79" s="145"/>
      <c r="AM79" s="142"/>
      <c r="AN79" s="143">
        <v>493906</v>
      </c>
      <c r="AO79" s="143"/>
      <c r="AP79" s="144"/>
    </row>
    <row r="80" spans="1:42" x14ac:dyDescent="0.25">
      <c r="A80" s="47">
        <v>46539</v>
      </c>
      <c r="B80" s="142"/>
      <c r="C80" s="143">
        <v>14257</v>
      </c>
      <c r="D80" s="143"/>
      <c r="E80" s="145"/>
      <c r="F80" s="145"/>
      <c r="G80" s="143"/>
      <c r="H80" s="145"/>
      <c r="I80" s="142"/>
      <c r="J80" s="143">
        <v>924</v>
      </c>
      <c r="K80" s="143"/>
      <c r="L80" s="145"/>
      <c r="M80" s="145"/>
      <c r="N80" s="143"/>
      <c r="O80" s="145"/>
      <c r="P80" s="142"/>
      <c r="Q80" s="143">
        <v>367598</v>
      </c>
      <c r="R80" s="143">
        <v>1234950</v>
      </c>
      <c r="S80" s="145"/>
      <c r="T80" s="145"/>
      <c r="U80" s="143"/>
      <c r="V80" s="145"/>
      <c r="W80" s="142"/>
      <c r="X80" s="143">
        <v>162030</v>
      </c>
      <c r="Y80" s="143"/>
      <c r="Z80" s="145"/>
      <c r="AA80" s="142"/>
      <c r="AB80" s="143">
        <v>4843</v>
      </c>
      <c r="AC80" s="145"/>
      <c r="AD80" s="143"/>
      <c r="AE80" s="145"/>
      <c r="AF80" s="142"/>
      <c r="AG80" s="143">
        <v>19047</v>
      </c>
      <c r="AH80" s="143"/>
      <c r="AI80" s="145"/>
      <c r="AJ80" s="145"/>
      <c r="AK80" s="143"/>
      <c r="AL80" s="145"/>
      <c r="AM80" s="142"/>
      <c r="AN80" s="143">
        <v>360051</v>
      </c>
      <c r="AO80" s="143"/>
      <c r="AP80" s="144"/>
    </row>
    <row r="81" spans="1:42" x14ac:dyDescent="0.25">
      <c r="A81" s="47">
        <v>46569</v>
      </c>
      <c r="B81" s="142"/>
      <c r="C81" s="143">
        <v>5458</v>
      </c>
      <c r="D81" s="143"/>
      <c r="E81" s="145"/>
      <c r="F81" s="145"/>
      <c r="G81" s="143"/>
      <c r="H81" s="145"/>
      <c r="I81" s="142"/>
      <c r="J81" s="143">
        <v>924</v>
      </c>
      <c r="K81" s="143"/>
      <c r="L81" s="145"/>
      <c r="M81" s="145"/>
      <c r="N81" s="143"/>
      <c r="O81" s="145"/>
      <c r="P81" s="142"/>
      <c r="Q81" s="143">
        <v>1291991</v>
      </c>
      <c r="R81" s="143"/>
      <c r="S81" s="145"/>
      <c r="T81" s="145"/>
      <c r="U81" s="143"/>
      <c r="V81" s="145"/>
      <c r="W81" s="142"/>
      <c r="X81" s="143">
        <v>109480</v>
      </c>
      <c r="Y81" s="143"/>
      <c r="Z81" s="145"/>
      <c r="AA81" s="142"/>
      <c r="AB81" s="143">
        <v>4843</v>
      </c>
      <c r="AC81" s="145"/>
      <c r="AD81" s="143"/>
      <c r="AE81" s="145"/>
      <c r="AF81" s="142"/>
      <c r="AG81" s="143">
        <v>5015</v>
      </c>
      <c r="AH81" s="143"/>
      <c r="AI81" s="145"/>
      <c r="AJ81" s="145"/>
      <c r="AK81" s="143"/>
      <c r="AL81" s="145"/>
      <c r="AM81" s="142"/>
      <c r="AN81" s="143">
        <v>821462</v>
      </c>
      <c r="AO81" s="143"/>
      <c r="AP81" s="144"/>
    </row>
    <row r="82" spans="1:42" x14ac:dyDescent="0.25">
      <c r="A82" s="47">
        <v>46600</v>
      </c>
      <c r="B82" s="142"/>
      <c r="C82" s="143">
        <v>5345</v>
      </c>
      <c r="D82" s="143"/>
      <c r="E82" s="145"/>
      <c r="F82" s="145"/>
      <c r="G82" s="143"/>
      <c r="H82" s="145"/>
      <c r="I82" s="142"/>
      <c r="J82" s="143">
        <v>1223</v>
      </c>
      <c r="K82" s="143"/>
      <c r="L82" s="145"/>
      <c r="M82" s="145"/>
      <c r="N82" s="143"/>
      <c r="O82" s="145"/>
      <c r="P82" s="142"/>
      <c r="Q82" s="143">
        <v>82744</v>
      </c>
      <c r="R82" s="143"/>
      <c r="S82" s="145"/>
      <c r="T82" s="145"/>
      <c r="U82" s="143"/>
      <c r="V82" s="145"/>
      <c r="W82" s="142"/>
      <c r="X82" s="143">
        <v>110341</v>
      </c>
      <c r="Y82" s="143"/>
      <c r="Z82" s="145"/>
      <c r="AA82" s="142"/>
      <c r="AB82" s="143" t="s">
        <v>45</v>
      </c>
      <c r="AC82" s="145"/>
      <c r="AD82" s="143"/>
      <c r="AE82" s="145"/>
      <c r="AF82" s="142"/>
      <c r="AG82" s="143">
        <v>1638</v>
      </c>
      <c r="AH82" s="143"/>
      <c r="AI82" s="145"/>
      <c r="AJ82" s="145"/>
      <c r="AK82" s="143"/>
      <c r="AL82" s="145"/>
      <c r="AM82" s="142"/>
      <c r="AN82" s="143">
        <v>285920</v>
      </c>
      <c r="AO82" s="143"/>
      <c r="AP82" s="144"/>
    </row>
    <row r="83" spans="1:42" x14ac:dyDescent="0.25">
      <c r="A83" s="47">
        <v>46631</v>
      </c>
      <c r="B83" s="142"/>
      <c r="C83" s="143">
        <v>5232</v>
      </c>
      <c r="D83" s="143"/>
      <c r="E83" s="145"/>
      <c r="F83" s="145"/>
      <c r="G83" s="143"/>
      <c r="H83" s="145"/>
      <c r="I83" s="142"/>
      <c r="J83" s="143"/>
      <c r="K83" s="143"/>
      <c r="L83" s="145"/>
      <c r="M83" s="145"/>
      <c r="N83" s="143"/>
      <c r="O83" s="145"/>
      <c r="P83" s="142"/>
      <c r="Q83" s="143">
        <v>63451</v>
      </c>
      <c r="R83" s="143"/>
      <c r="S83" s="145"/>
      <c r="T83" s="145"/>
      <c r="U83" s="143"/>
      <c r="V83" s="145"/>
      <c r="W83" s="142"/>
      <c r="X83" s="143">
        <v>110877</v>
      </c>
      <c r="Y83" s="143"/>
      <c r="Z83" s="145"/>
      <c r="AA83" s="142"/>
      <c r="AB83" s="143" t="s">
        <v>45</v>
      </c>
      <c r="AC83" s="145"/>
      <c r="AD83" s="143"/>
      <c r="AE83" s="145"/>
      <c r="AF83" s="142"/>
      <c r="AG83" s="143">
        <v>442</v>
      </c>
      <c r="AH83" s="143"/>
      <c r="AI83" s="145"/>
      <c r="AJ83" s="145"/>
      <c r="AK83" s="143"/>
      <c r="AL83" s="145"/>
      <c r="AM83" s="142"/>
      <c r="AN83" s="143">
        <v>311130</v>
      </c>
      <c r="AO83" s="143"/>
      <c r="AP83" s="144"/>
    </row>
    <row r="84" spans="1:42" x14ac:dyDescent="0.25">
      <c r="A84" s="47">
        <v>46661</v>
      </c>
      <c r="B84" s="142"/>
      <c r="C84" s="143">
        <v>4973</v>
      </c>
      <c r="D84" s="143"/>
      <c r="E84" s="145"/>
      <c r="F84" s="145"/>
      <c r="G84" s="143"/>
      <c r="H84" s="145"/>
      <c r="I84" s="142"/>
      <c r="J84" s="143"/>
      <c r="K84" s="143"/>
      <c r="L84" s="145"/>
      <c r="M84" s="145"/>
      <c r="N84" s="143"/>
      <c r="O84" s="145"/>
      <c r="P84" s="142"/>
      <c r="Q84" s="143">
        <v>41197</v>
      </c>
      <c r="R84" s="143"/>
      <c r="S84" s="145"/>
      <c r="T84" s="145"/>
      <c r="U84" s="143"/>
      <c r="V84" s="145"/>
      <c r="W84" s="142"/>
      <c r="X84" s="143">
        <v>110373</v>
      </c>
      <c r="Y84" s="143"/>
      <c r="Z84" s="145"/>
      <c r="AA84" s="142"/>
      <c r="AB84" s="143" t="s">
        <v>45</v>
      </c>
      <c r="AC84" s="145"/>
      <c r="AD84" s="143"/>
      <c r="AE84" s="145"/>
      <c r="AF84" s="142"/>
      <c r="AG84" s="143">
        <v>213</v>
      </c>
      <c r="AH84" s="143"/>
      <c r="AI84" s="145"/>
      <c r="AJ84" s="145"/>
      <c r="AK84" s="143"/>
      <c r="AL84" s="145"/>
      <c r="AM84" s="142"/>
      <c r="AN84" s="143">
        <v>307951</v>
      </c>
      <c r="AO84" s="143"/>
      <c r="AP84" s="144"/>
    </row>
    <row r="85" spans="1:42" x14ac:dyDescent="0.25">
      <c r="A85" s="47">
        <v>46692</v>
      </c>
      <c r="B85" s="142"/>
      <c r="C85" s="143">
        <v>5110</v>
      </c>
      <c r="D85" s="143"/>
      <c r="E85" s="145"/>
      <c r="F85" s="145"/>
      <c r="G85" s="143"/>
      <c r="H85" s="145"/>
      <c r="I85" s="142"/>
      <c r="J85" s="143"/>
      <c r="K85" s="143"/>
      <c r="L85" s="145"/>
      <c r="M85" s="145"/>
      <c r="N85" s="143"/>
      <c r="O85" s="145"/>
      <c r="P85" s="142"/>
      <c r="Q85" s="143">
        <v>3682</v>
      </c>
      <c r="R85" s="143"/>
      <c r="S85" s="145"/>
      <c r="T85" s="145"/>
      <c r="U85" s="143"/>
      <c r="V85" s="145"/>
      <c r="W85" s="142"/>
      <c r="X85" s="143">
        <v>110353</v>
      </c>
      <c r="Y85" s="143"/>
      <c r="Z85" s="145"/>
      <c r="AA85" s="142"/>
      <c r="AB85" s="143" t="s">
        <v>45</v>
      </c>
      <c r="AC85" s="145"/>
      <c r="AD85" s="143"/>
      <c r="AE85" s="145"/>
      <c r="AF85" s="142"/>
      <c r="AG85" s="143">
        <v>106</v>
      </c>
      <c r="AH85" s="143"/>
      <c r="AI85" s="145"/>
      <c r="AJ85" s="145"/>
      <c r="AK85" s="143"/>
      <c r="AL85" s="145"/>
      <c r="AM85" s="142"/>
      <c r="AN85" s="143">
        <v>278471</v>
      </c>
      <c r="AO85" s="143"/>
      <c r="AP85" s="144"/>
    </row>
    <row r="86" spans="1:42" x14ac:dyDescent="0.25">
      <c r="A86" s="47">
        <v>46722</v>
      </c>
      <c r="B86" s="142"/>
      <c r="C86" s="143">
        <v>4447</v>
      </c>
      <c r="D86" s="143"/>
      <c r="E86" s="145"/>
      <c r="F86" s="145"/>
      <c r="G86" s="143"/>
      <c r="H86" s="145"/>
      <c r="I86" s="142"/>
      <c r="J86" s="143"/>
      <c r="K86" s="143"/>
      <c r="L86" s="145"/>
      <c r="M86" s="145"/>
      <c r="N86" s="143"/>
      <c r="O86" s="145"/>
      <c r="P86" s="142"/>
      <c r="Q86" s="143">
        <v>3371</v>
      </c>
      <c r="R86" s="143"/>
      <c r="S86" s="145"/>
      <c r="T86" s="145"/>
      <c r="U86" s="143"/>
      <c r="V86" s="145"/>
      <c r="W86" s="142"/>
      <c r="X86" s="143">
        <v>772771</v>
      </c>
      <c r="Y86" s="143"/>
      <c r="Z86" s="145"/>
      <c r="AA86" s="142"/>
      <c r="AB86" s="143">
        <v>105</v>
      </c>
      <c r="AC86" s="145"/>
      <c r="AD86" s="143"/>
      <c r="AE86" s="145"/>
      <c r="AF86" s="142"/>
      <c r="AG86" s="143">
        <v>1364</v>
      </c>
      <c r="AH86" s="143"/>
      <c r="AI86" s="145"/>
      <c r="AJ86" s="145"/>
      <c r="AK86" s="143"/>
      <c r="AL86" s="145"/>
      <c r="AM86" s="142"/>
      <c r="AN86" s="143">
        <v>899551</v>
      </c>
      <c r="AO86" s="143"/>
      <c r="AP86" s="144"/>
    </row>
    <row r="87" spans="1:42" x14ac:dyDescent="0.25">
      <c r="A87" s="47">
        <v>46753</v>
      </c>
      <c r="B87" s="142"/>
      <c r="C87" s="143">
        <v>5287</v>
      </c>
      <c r="D87" s="143"/>
      <c r="E87" s="145"/>
      <c r="F87" s="145"/>
      <c r="G87" s="143"/>
      <c r="H87" s="145"/>
      <c r="I87" s="142"/>
      <c r="J87" s="143"/>
      <c r="K87" s="143"/>
      <c r="L87" s="145"/>
      <c r="M87" s="145"/>
      <c r="N87" s="143"/>
      <c r="O87" s="145"/>
      <c r="P87" s="142"/>
      <c r="Q87" s="143">
        <v>2590</v>
      </c>
      <c r="R87" s="143"/>
      <c r="S87" s="145"/>
      <c r="T87" s="145"/>
      <c r="U87" s="143"/>
      <c r="V87" s="145"/>
      <c r="W87" s="142"/>
      <c r="X87" s="143">
        <v>99334</v>
      </c>
      <c r="Y87" s="143"/>
      <c r="Z87" s="145"/>
      <c r="AA87" s="142"/>
      <c r="AB87" s="143"/>
      <c r="AC87" s="145"/>
      <c r="AD87" s="143"/>
      <c r="AE87" s="145"/>
      <c r="AF87" s="142"/>
      <c r="AG87" s="143">
        <v>358</v>
      </c>
      <c r="AH87" s="143"/>
      <c r="AI87" s="145"/>
      <c r="AJ87" s="145"/>
      <c r="AK87" s="143"/>
      <c r="AL87" s="145"/>
      <c r="AM87" s="142"/>
      <c r="AN87" s="143">
        <v>282765</v>
      </c>
      <c r="AO87" s="143"/>
      <c r="AP87" s="144"/>
    </row>
    <row r="88" spans="1:42" x14ac:dyDescent="0.25">
      <c r="A88" s="47">
        <v>46784</v>
      </c>
      <c r="B88" s="142"/>
      <c r="C88" s="143">
        <v>4669</v>
      </c>
      <c r="D88" s="143"/>
      <c r="E88" s="145"/>
      <c r="F88" s="145"/>
      <c r="G88" s="143"/>
      <c r="H88" s="145"/>
      <c r="I88" s="142"/>
      <c r="J88" s="143"/>
      <c r="K88" s="143"/>
      <c r="L88" s="145"/>
      <c r="M88" s="145"/>
      <c r="N88" s="143"/>
      <c r="O88" s="145"/>
      <c r="P88" s="142"/>
      <c r="Q88" s="143">
        <v>589</v>
      </c>
      <c r="R88" s="143"/>
      <c r="S88" s="145"/>
      <c r="T88" s="145"/>
      <c r="U88" s="143"/>
      <c r="V88" s="145"/>
      <c r="W88" s="142"/>
      <c r="X88" s="143">
        <v>97950</v>
      </c>
      <c r="Y88" s="143"/>
      <c r="Z88" s="145"/>
      <c r="AA88" s="142"/>
      <c r="AB88" s="143"/>
      <c r="AC88" s="145"/>
      <c r="AD88" s="143"/>
      <c r="AE88" s="145"/>
      <c r="AF88" s="142"/>
      <c r="AG88" s="143" t="s">
        <v>45</v>
      </c>
      <c r="AH88" s="143"/>
      <c r="AI88" s="145"/>
      <c r="AJ88" s="145"/>
      <c r="AK88" s="143"/>
      <c r="AL88" s="145"/>
      <c r="AM88" s="142"/>
      <c r="AN88" s="143">
        <v>278865</v>
      </c>
      <c r="AO88" s="143"/>
      <c r="AP88" s="144"/>
    </row>
    <row r="89" spans="1:42" x14ac:dyDescent="0.25">
      <c r="A89" s="47">
        <v>46813</v>
      </c>
      <c r="B89" s="142"/>
      <c r="C89" s="143">
        <v>10476</v>
      </c>
      <c r="D89" s="143"/>
      <c r="E89" s="145"/>
      <c r="F89" s="145"/>
      <c r="G89" s="143"/>
      <c r="H89" s="145"/>
      <c r="I89" s="142"/>
      <c r="J89" s="143"/>
      <c r="K89" s="143"/>
      <c r="L89" s="145"/>
      <c r="M89" s="145"/>
      <c r="N89" s="143"/>
      <c r="O89" s="145"/>
      <c r="P89" s="142"/>
      <c r="Q89" s="143">
        <v>217</v>
      </c>
      <c r="R89" s="143"/>
      <c r="S89" s="145"/>
      <c r="T89" s="145"/>
      <c r="U89" s="143"/>
      <c r="V89" s="145"/>
      <c r="W89" s="142"/>
      <c r="X89" s="143">
        <v>188615</v>
      </c>
      <c r="Y89" s="143"/>
      <c r="Z89" s="145"/>
      <c r="AA89" s="142"/>
      <c r="AB89" s="143"/>
      <c r="AC89" s="145"/>
      <c r="AD89" s="143"/>
      <c r="AE89" s="145"/>
      <c r="AF89" s="142"/>
      <c r="AG89" s="143">
        <v>713</v>
      </c>
      <c r="AH89" s="143"/>
      <c r="AI89" s="145"/>
      <c r="AJ89" s="145"/>
      <c r="AK89" s="143"/>
      <c r="AL89" s="145"/>
      <c r="AM89" s="142"/>
      <c r="AN89" s="143">
        <v>294959</v>
      </c>
      <c r="AO89" s="143"/>
      <c r="AP89" s="144"/>
    </row>
    <row r="90" spans="1:42" x14ac:dyDescent="0.25">
      <c r="A90" s="47">
        <v>46844</v>
      </c>
      <c r="B90" s="142"/>
      <c r="C90" s="143">
        <v>4243</v>
      </c>
      <c r="D90" s="143"/>
      <c r="E90" s="145"/>
      <c r="F90" s="145"/>
      <c r="G90" s="143"/>
      <c r="H90" s="145"/>
      <c r="I90" s="142"/>
      <c r="J90" s="143"/>
      <c r="K90" s="143"/>
      <c r="L90" s="145"/>
      <c r="M90" s="145"/>
      <c r="N90" s="143"/>
      <c r="O90" s="145"/>
      <c r="P90" s="142"/>
      <c r="Q90" s="143">
        <v>112</v>
      </c>
      <c r="R90" s="143"/>
      <c r="S90" s="145"/>
      <c r="T90" s="145"/>
      <c r="U90" s="143"/>
      <c r="V90" s="145"/>
      <c r="W90" s="142"/>
      <c r="X90" s="143">
        <v>70356</v>
      </c>
      <c r="Y90" s="143"/>
      <c r="Z90" s="145"/>
      <c r="AA90" s="142"/>
      <c r="AB90" s="143"/>
      <c r="AC90" s="145"/>
      <c r="AD90" s="143"/>
      <c r="AE90" s="145"/>
      <c r="AF90" s="142"/>
      <c r="AG90" s="143" t="s">
        <v>45</v>
      </c>
      <c r="AH90" s="143"/>
      <c r="AI90" s="145"/>
      <c r="AJ90" s="145"/>
      <c r="AK90" s="143"/>
      <c r="AL90" s="145"/>
      <c r="AM90" s="142"/>
      <c r="AN90" s="143">
        <v>280072</v>
      </c>
      <c r="AO90" s="143"/>
      <c r="AP90" s="144"/>
    </row>
    <row r="91" spans="1:42" x14ac:dyDescent="0.25">
      <c r="A91" s="47">
        <v>46874</v>
      </c>
      <c r="B91" s="142"/>
      <c r="C91" s="143">
        <v>4756</v>
      </c>
      <c r="D91" s="143"/>
      <c r="E91" s="145"/>
      <c r="F91" s="145"/>
      <c r="G91" s="143"/>
      <c r="H91" s="145"/>
      <c r="I91" s="142"/>
      <c r="J91" s="143"/>
      <c r="K91" s="143"/>
      <c r="L91" s="145"/>
      <c r="M91" s="145"/>
      <c r="N91" s="143"/>
      <c r="O91" s="145"/>
      <c r="P91" s="142"/>
      <c r="Q91" s="143">
        <v>112</v>
      </c>
      <c r="R91" s="143"/>
      <c r="S91" s="145"/>
      <c r="T91" s="145"/>
      <c r="U91" s="143"/>
      <c r="V91" s="145"/>
      <c r="W91" s="142"/>
      <c r="X91" s="143">
        <v>18285</v>
      </c>
      <c r="Y91" s="143"/>
      <c r="Z91" s="145"/>
      <c r="AA91" s="142"/>
      <c r="AB91" s="143"/>
      <c r="AC91" s="145"/>
      <c r="AD91" s="143"/>
      <c r="AE91" s="145"/>
      <c r="AF91" s="142"/>
      <c r="AG91" s="143">
        <v>205</v>
      </c>
      <c r="AH91" s="143"/>
      <c r="AI91" s="145"/>
      <c r="AJ91" s="145"/>
      <c r="AK91" s="143"/>
      <c r="AL91" s="145"/>
      <c r="AM91" s="142"/>
      <c r="AN91" s="143">
        <v>629366</v>
      </c>
      <c r="AO91" s="143"/>
      <c r="AP91" s="144"/>
    </row>
    <row r="92" spans="1:42" x14ac:dyDescent="0.25">
      <c r="A92" s="47">
        <v>46905</v>
      </c>
      <c r="B92" s="142"/>
      <c r="C92" s="143">
        <v>4003</v>
      </c>
      <c r="D92" s="143"/>
      <c r="E92" s="145"/>
      <c r="F92" s="145"/>
      <c r="G92" s="143"/>
      <c r="H92" s="145"/>
      <c r="I92" s="142"/>
      <c r="J92" s="143"/>
      <c r="K92" s="143"/>
      <c r="L92" s="145"/>
      <c r="M92" s="145"/>
      <c r="N92" s="143"/>
      <c r="O92" s="145"/>
      <c r="P92" s="142"/>
      <c r="Q92" s="143">
        <v>363</v>
      </c>
      <c r="R92" s="143"/>
      <c r="S92" s="145"/>
      <c r="T92" s="145"/>
      <c r="U92" s="143"/>
      <c r="V92" s="145"/>
      <c r="W92" s="142"/>
      <c r="X92" s="143">
        <v>68819</v>
      </c>
      <c r="Y92" s="143"/>
      <c r="Z92" s="145"/>
      <c r="AA92" s="142"/>
      <c r="AB92" s="143"/>
      <c r="AC92" s="145"/>
      <c r="AD92" s="143"/>
      <c r="AE92" s="145"/>
      <c r="AF92" s="142"/>
      <c r="AG92" s="143"/>
      <c r="AH92" s="143"/>
      <c r="AI92" s="145"/>
      <c r="AJ92" s="145"/>
      <c r="AK92" s="143"/>
      <c r="AL92" s="145"/>
      <c r="AM92" s="142"/>
      <c r="AN92" s="143">
        <v>390452</v>
      </c>
      <c r="AO92" s="143"/>
      <c r="AP92" s="144"/>
    </row>
    <row r="93" spans="1:42" x14ac:dyDescent="0.25">
      <c r="A93" s="47">
        <v>46935</v>
      </c>
      <c r="B93" s="142"/>
      <c r="C93" s="143">
        <v>4110</v>
      </c>
      <c r="D93" s="143"/>
      <c r="E93" s="145"/>
      <c r="F93" s="145"/>
      <c r="G93" s="143"/>
      <c r="H93" s="145"/>
      <c r="I93" s="142"/>
      <c r="J93" s="143"/>
      <c r="K93" s="143"/>
      <c r="L93" s="145"/>
      <c r="M93" s="145"/>
      <c r="N93" s="143"/>
      <c r="O93" s="145"/>
      <c r="P93" s="142"/>
      <c r="Q93" s="143">
        <v>205</v>
      </c>
      <c r="R93" s="143"/>
      <c r="S93" s="145"/>
      <c r="T93" s="145"/>
      <c r="U93" s="143"/>
      <c r="V93" s="145"/>
      <c r="W93" s="142"/>
      <c r="X93" s="143">
        <v>135574</v>
      </c>
      <c r="Y93" s="143"/>
      <c r="Z93" s="145"/>
      <c r="AA93" s="142"/>
      <c r="AB93" s="143"/>
      <c r="AC93" s="145"/>
      <c r="AD93" s="143"/>
      <c r="AE93" s="145"/>
      <c r="AF93" s="142"/>
      <c r="AG93" s="143"/>
      <c r="AH93" s="143"/>
      <c r="AI93" s="145"/>
      <c r="AJ93" s="145"/>
      <c r="AK93" s="143"/>
      <c r="AL93" s="145"/>
      <c r="AM93" s="142"/>
      <c r="AN93" s="143">
        <v>808570</v>
      </c>
      <c r="AO93" s="143"/>
      <c r="AP93" s="144"/>
    </row>
    <row r="94" spans="1:42" x14ac:dyDescent="0.25">
      <c r="A94" s="47">
        <v>46966</v>
      </c>
      <c r="B94" s="142"/>
      <c r="C94" s="143">
        <v>4003</v>
      </c>
      <c r="D94" s="143"/>
      <c r="E94" s="145"/>
      <c r="F94" s="145"/>
      <c r="G94" s="143"/>
      <c r="H94" s="145"/>
      <c r="I94" s="142"/>
      <c r="J94" s="143"/>
      <c r="K94" s="143"/>
      <c r="L94" s="145"/>
      <c r="M94" s="145"/>
      <c r="N94" s="143"/>
      <c r="O94" s="145"/>
      <c r="P94" s="142"/>
      <c r="Q94" s="143" t="s">
        <v>45</v>
      </c>
      <c r="R94" s="143"/>
      <c r="S94" s="145"/>
      <c r="T94" s="145"/>
      <c r="U94" s="143"/>
      <c r="V94" s="145"/>
      <c r="W94" s="142"/>
      <c r="X94" s="143">
        <v>12400</v>
      </c>
      <c r="Y94" s="143"/>
      <c r="Z94" s="145"/>
      <c r="AA94" s="142"/>
      <c r="AB94" s="143"/>
      <c r="AC94" s="145"/>
      <c r="AD94" s="143"/>
      <c r="AE94" s="145"/>
      <c r="AF94" s="142"/>
      <c r="AG94" s="143"/>
      <c r="AH94" s="143"/>
      <c r="AI94" s="145"/>
      <c r="AJ94" s="145"/>
      <c r="AK94" s="143"/>
      <c r="AL94" s="145"/>
      <c r="AM94" s="142"/>
      <c r="AN94" s="143">
        <v>275315</v>
      </c>
      <c r="AO94" s="143"/>
      <c r="AP94" s="144"/>
    </row>
    <row r="95" spans="1:42" x14ac:dyDescent="0.25">
      <c r="A95" s="47">
        <v>46997</v>
      </c>
      <c r="B95" s="142"/>
      <c r="C95" s="143">
        <v>4003</v>
      </c>
      <c r="D95" s="143"/>
      <c r="E95" s="145"/>
      <c r="F95" s="145"/>
      <c r="G95" s="143"/>
      <c r="H95" s="145"/>
      <c r="I95" s="142"/>
      <c r="J95" s="143"/>
      <c r="K95" s="143"/>
      <c r="L95" s="145"/>
      <c r="M95" s="145"/>
      <c r="N95" s="143"/>
      <c r="O95" s="145"/>
      <c r="P95" s="142"/>
      <c r="Q95" s="143">
        <v>679</v>
      </c>
      <c r="R95" s="143"/>
      <c r="S95" s="145"/>
      <c r="T95" s="145"/>
      <c r="U95" s="143"/>
      <c r="V95" s="145"/>
      <c r="W95" s="142"/>
      <c r="X95" s="143">
        <v>11535</v>
      </c>
      <c r="Y95" s="143"/>
      <c r="Z95" s="145"/>
      <c r="AA95" s="142"/>
      <c r="AB95" s="143"/>
      <c r="AC95" s="145"/>
      <c r="AD95" s="143"/>
      <c r="AE95" s="145"/>
      <c r="AF95" s="142"/>
      <c r="AG95" s="143"/>
      <c r="AH95" s="143"/>
      <c r="AI95" s="145"/>
      <c r="AJ95" s="145"/>
      <c r="AK95" s="143"/>
      <c r="AL95" s="145"/>
      <c r="AM95" s="142"/>
      <c r="AN95" s="143">
        <v>272519</v>
      </c>
      <c r="AO95" s="143"/>
      <c r="AP95" s="144"/>
    </row>
    <row r="96" spans="1:42" x14ac:dyDescent="0.25">
      <c r="A96" s="47">
        <v>47027</v>
      </c>
      <c r="B96" s="142"/>
      <c r="C96" s="143">
        <v>4003</v>
      </c>
      <c r="D96" s="143"/>
      <c r="E96" s="145"/>
      <c r="F96" s="145"/>
      <c r="G96" s="143"/>
      <c r="H96" s="145"/>
      <c r="I96" s="142"/>
      <c r="J96" s="143"/>
      <c r="K96" s="143"/>
      <c r="L96" s="145"/>
      <c r="M96" s="145"/>
      <c r="N96" s="143"/>
      <c r="O96" s="145"/>
      <c r="P96" s="142"/>
      <c r="Q96" s="143" t="s">
        <v>45</v>
      </c>
      <c r="R96" s="143"/>
      <c r="S96" s="145"/>
      <c r="T96" s="145"/>
      <c r="U96" s="143"/>
      <c r="V96" s="145"/>
      <c r="W96" s="142"/>
      <c r="X96" s="143">
        <v>12655</v>
      </c>
      <c r="Y96" s="143"/>
      <c r="Z96" s="145"/>
      <c r="AA96" s="142"/>
      <c r="AB96" s="143"/>
      <c r="AC96" s="145"/>
      <c r="AD96" s="143"/>
      <c r="AE96" s="145"/>
      <c r="AF96" s="142"/>
      <c r="AG96" s="143"/>
      <c r="AH96" s="143"/>
      <c r="AI96" s="145"/>
      <c r="AJ96" s="145"/>
      <c r="AK96" s="143"/>
      <c r="AL96" s="145"/>
      <c r="AM96" s="142"/>
      <c r="AN96" s="143">
        <v>292761</v>
      </c>
      <c r="AO96" s="143"/>
      <c r="AP96" s="144"/>
    </row>
    <row r="97" spans="1:42" x14ac:dyDescent="0.25">
      <c r="A97" s="47">
        <v>47058</v>
      </c>
      <c r="B97" s="142"/>
      <c r="C97" s="143">
        <v>4108</v>
      </c>
      <c r="D97" s="143"/>
      <c r="E97" s="145"/>
      <c r="F97" s="145"/>
      <c r="G97" s="143"/>
      <c r="H97" s="145"/>
      <c r="I97" s="142"/>
      <c r="J97" s="143"/>
      <c r="K97" s="143"/>
      <c r="L97" s="145"/>
      <c r="M97" s="145"/>
      <c r="N97" s="143"/>
      <c r="O97" s="145"/>
      <c r="P97" s="142"/>
      <c r="Q97" s="143">
        <v>100</v>
      </c>
      <c r="R97" s="143"/>
      <c r="S97" s="145"/>
      <c r="T97" s="145"/>
      <c r="U97" s="143"/>
      <c r="V97" s="145"/>
      <c r="W97" s="142"/>
      <c r="X97" s="143">
        <v>11741</v>
      </c>
      <c r="Y97" s="143"/>
      <c r="Z97" s="145"/>
      <c r="AA97" s="142"/>
      <c r="AB97" s="143"/>
      <c r="AC97" s="145"/>
      <c r="AD97" s="143"/>
      <c r="AE97" s="145"/>
      <c r="AF97" s="142"/>
      <c r="AG97" s="143"/>
      <c r="AH97" s="143"/>
      <c r="AI97" s="145"/>
      <c r="AJ97" s="145"/>
      <c r="AK97" s="143"/>
      <c r="AL97" s="145"/>
      <c r="AM97" s="142"/>
      <c r="AN97" s="143">
        <v>266712</v>
      </c>
      <c r="AO97" s="143"/>
      <c r="AP97" s="144"/>
    </row>
    <row r="98" spans="1:42" x14ac:dyDescent="0.25">
      <c r="A98" s="47">
        <v>47088</v>
      </c>
      <c r="B98" s="142"/>
      <c r="C98" s="143">
        <v>4003</v>
      </c>
      <c r="D98" s="143"/>
      <c r="E98" s="145"/>
      <c r="F98" s="145"/>
      <c r="G98" s="143"/>
      <c r="H98" s="145"/>
      <c r="I98" s="142"/>
      <c r="J98" s="143"/>
      <c r="K98" s="143"/>
      <c r="L98" s="145"/>
      <c r="M98" s="145"/>
      <c r="N98" s="143"/>
      <c r="O98" s="145"/>
      <c r="P98" s="142"/>
      <c r="Q98" s="143"/>
      <c r="R98" s="143"/>
      <c r="S98" s="145"/>
      <c r="T98" s="145"/>
      <c r="U98" s="143"/>
      <c r="V98" s="145"/>
      <c r="W98" s="142"/>
      <c r="X98" s="143">
        <v>64035</v>
      </c>
      <c r="Y98" s="143"/>
      <c r="Z98" s="145"/>
      <c r="AA98" s="142"/>
      <c r="AB98" s="143"/>
      <c r="AC98" s="145"/>
      <c r="AD98" s="143"/>
      <c r="AE98" s="145"/>
      <c r="AF98" s="142"/>
      <c r="AG98" s="143"/>
      <c r="AH98" s="143"/>
      <c r="AI98" s="145"/>
      <c r="AJ98" s="145"/>
      <c r="AK98" s="143"/>
      <c r="AL98" s="145"/>
      <c r="AM98" s="142"/>
      <c r="AN98" s="143">
        <v>989655</v>
      </c>
      <c r="AO98" s="143"/>
      <c r="AP98" s="144"/>
    </row>
    <row r="99" spans="1:42" x14ac:dyDescent="0.25">
      <c r="A99" s="47">
        <v>47119</v>
      </c>
      <c r="B99" s="142"/>
      <c r="C99" s="143">
        <v>4346</v>
      </c>
      <c r="D99" s="143"/>
      <c r="E99" s="145"/>
      <c r="F99" s="145"/>
      <c r="G99" s="143"/>
      <c r="H99" s="145"/>
      <c r="I99" s="142"/>
      <c r="J99" s="143"/>
      <c r="K99" s="143"/>
      <c r="L99" s="145"/>
      <c r="M99" s="145"/>
      <c r="N99" s="143"/>
      <c r="O99" s="145"/>
      <c r="P99" s="142"/>
      <c r="Q99" s="143"/>
      <c r="R99" s="143"/>
      <c r="S99" s="145"/>
      <c r="T99" s="145"/>
      <c r="U99" s="143"/>
      <c r="V99" s="145"/>
      <c r="W99" s="142"/>
      <c r="X99" s="143">
        <v>11135</v>
      </c>
      <c r="Y99" s="143"/>
      <c r="Z99" s="145"/>
      <c r="AA99" s="142"/>
      <c r="AB99" s="143"/>
      <c r="AC99" s="145"/>
      <c r="AD99" s="143"/>
      <c r="AE99" s="145"/>
      <c r="AF99" s="142"/>
      <c r="AG99" s="143"/>
      <c r="AH99" s="143"/>
      <c r="AI99" s="145"/>
      <c r="AJ99" s="145"/>
      <c r="AK99" s="143"/>
      <c r="AL99" s="145"/>
      <c r="AM99" s="142"/>
      <c r="AN99" s="143">
        <v>20170</v>
      </c>
      <c r="AO99" s="143"/>
      <c r="AP99" s="144"/>
    </row>
    <row r="100" spans="1:42" x14ac:dyDescent="0.25">
      <c r="A100" s="47">
        <v>47150</v>
      </c>
      <c r="B100" s="142"/>
      <c r="C100" s="143">
        <v>4003</v>
      </c>
      <c r="D100" s="143"/>
      <c r="E100" s="145"/>
      <c r="F100" s="145"/>
      <c r="G100" s="143"/>
      <c r="H100" s="145"/>
      <c r="I100" s="142"/>
      <c r="J100" s="143"/>
      <c r="K100" s="143"/>
      <c r="L100" s="145"/>
      <c r="M100" s="145"/>
      <c r="N100" s="143"/>
      <c r="O100" s="145"/>
      <c r="P100" s="142"/>
      <c r="Q100" s="143"/>
      <c r="R100" s="143"/>
      <c r="S100" s="145"/>
      <c r="T100" s="145"/>
      <c r="U100" s="143"/>
      <c r="V100" s="145"/>
      <c r="W100" s="142"/>
      <c r="X100" s="143">
        <v>11135</v>
      </c>
      <c r="Y100" s="143"/>
      <c r="Z100" s="145"/>
      <c r="AA100" s="142"/>
      <c r="AB100" s="143"/>
      <c r="AC100" s="145"/>
      <c r="AD100" s="143"/>
      <c r="AE100" s="145"/>
      <c r="AF100" s="142"/>
      <c r="AG100" s="143"/>
      <c r="AH100" s="143"/>
      <c r="AI100" s="145"/>
      <c r="AJ100" s="145"/>
      <c r="AK100" s="143"/>
      <c r="AL100" s="145"/>
      <c r="AM100" s="142"/>
      <c r="AN100" s="143">
        <v>7043</v>
      </c>
      <c r="AO100" s="143"/>
      <c r="AP100" s="144"/>
    </row>
    <row r="101" spans="1:42" x14ac:dyDescent="0.25">
      <c r="A101" s="47">
        <v>47178</v>
      </c>
      <c r="B101" s="142"/>
      <c r="C101" s="143">
        <v>4003</v>
      </c>
      <c r="D101" s="143"/>
      <c r="E101" s="145"/>
      <c r="F101" s="145"/>
      <c r="G101" s="143"/>
      <c r="H101" s="145"/>
      <c r="I101" s="142"/>
      <c r="J101" s="143"/>
      <c r="K101" s="143"/>
      <c r="L101" s="145"/>
      <c r="M101" s="145"/>
      <c r="N101" s="143"/>
      <c r="O101" s="145"/>
      <c r="P101" s="142"/>
      <c r="Q101" s="143"/>
      <c r="R101" s="143"/>
      <c r="S101" s="145"/>
      <c r="T101" s="145"/>
      <c r="U101" s="143"/>
      <c r="V101" s="145"/>
      <c r="W101" s="142"/>
      <c r="X101" s="143">
        <v>11135</v>
      </c>
      <c r="Y101" s="143"/>
      <c r="Z101" s="145"/>
      <c r="AA101" s="142"/>
      <c r="AB101" s="143"/>
      <c r="AC101" s="145"/>
      <c r="AD101" s="143"/>
      <c r="AE101" s="145"/>
      <c r="AF101" s="142"/>
      <c r="AG101" s="143"/>
      <c r="AH101" s="143"/>
      <c r="AI101" s="145"/>
      <c r="AJ101" s="145"/>
      <c r="AK101" s="143"/>
      <c r="AL101" s="145"/>
      <c r="AM101" s="142"/>
      <c r="AN101" s="143">
        <v>6389</v>
      </c>
      <c r="AO101" s="143"/>
      <c r="AP101" s="144"/>
    </row>
    <row r="102" spans="1:42" x14ac:dyDescent="0.25">
      <c r="A102" s="47">
        <v>47209</v>
      </c>
      <c r="B102" s="142"/>
      <c r="C102" s="143">
        <v>4003</v>
      </c>
      <c r="D102" s="143"/>
      <c r="E102" s="145"/>
      <c r="F102" s="145"/>
      <c r="G102" s="143"/>
      <c r="H102" s="145"/>
      <c r="I102" s="142"/>
      <c r="J102" s="143"/>
      <c r="K102" s="143"/>
      <c r="L102" s="145"/>
      <c r="M102" s="145"/>
      <c r="N102" s="143"/>
      <c r="O102" s="145"/>
      <c r="P102" s="142"/>
      <c r="Q102" s="143"/>
      <c r="R102" s="143"/>
      <c r="S102" s="145"/>
      <c r="T102" s="145"/>
      <c r="U102" s="143"/>
      <c r="V102" s="145"/>
      <c r="W102" s="142"/>
      <c r="X102" s="143">
        <v>11135</v>
      </c>
      <c r="Y102" s="143"/>
      <c r="Z102" s="145"/>
      <c r="AA102" s="142"/>
      <c r="AB102" s="143"/>
      <c r="AC102" s="145"/>
      <c r="AD102" s="143"/>
      <c r="AE102" s="145"/>
      <c r="AF102" s="142"/>
      <c r="AG102" s="143"/>
      <c r="AH102" s="143"/>
      <c r="AI102" s="145"/>
      <c r="AJ102" s="145"/>
      <c r="AK102" s="143"/>
      <c r="AL102" s="145"/>
      <c r="AM102" s="142"/>
      <c r="AN102" s="143">
        <v>4942</v>
      </c>
      <c r="AO102" s="143"/>
      <c r="AP102" s="144"/>
    </row>
    <row r="103" spans="1:42" x14ac:dyDescent="0.25">
      <c r="A103" s="47">
        <v>47239</v>
      </c>
      <c r="B103" s="142"/>
      <c r="C103" s="143">
        <v>4003</v>
      </c>
      <c r="D103" s="143"/>
      <c r="E103" s="145"/>
      <c r="F103" s="145"/>
      <c r="G103" s="143"/>
      <c r="H103" s="145"/>
      <c r="I103" s="142"/>
      <c r="J103" s="143"/>
      <c r="K103" s="143"/>
      <c r="L103" s="145"/>
      <c r="M103" s="145"/>
      <c r="N103" s="143"/>
      <c r="O103" s="145"/>
      <c r="P103" s="142"/>
      <c r="Q103" s="143"/>
      <c r="R103" s="143"/>
      <c r="S103" s="145"/>
      <c r="T103" s="145"/>
      <c r="U103" s="143"/>
      <c r="V103" s="145"/>
      <c r="W103" s="142"/>
      <c r="X103" s="143">
        <v>11135</v>
      </c>
      <c r="Y103" s="143"/>
      <c r="Z103" s="145"/>
      <c r="AA103" s="142"/>
      <c r="AB103" s="143"/>
      <c r="AC103" s="145"/>
      <c r="AD103" s="143"/>
      <c r="AE103" s="145"/>
      <c r="AF103" s="142"/>
      <c r="AG103" s="143"/>
      <c r="AH103" s="143"/>
      <c r="AI103" s="145"/>
      <c r="AJ103" s="145"/>
      <c r="AK103" s="143"/>
      <c r="AL103" s="145"/>
      <c r="AM103" s="142"/>
      <c r="AN103" s="143">
        <v>4942</v>
      </c>
      <c r="AO103" s="143"/>
      <c r="AP103" s="144"/>
    </row>
    <row r="104" spans="1:42" x14ac:dyDescent="0.25">
      <c r="A104" s="47">
        <v>47270</v>
      </c>
      <c r="B104" s="142"/>
      <c r="C104" s="143">
        <v>4003</v>
      </c>
      <c r="D104" s="143"/>
      <c r="E104" s="145"/>
      <c r="F104" s="145"/>
      <c r="G104" s="143"/>
      <c r="H104" s="145"/>
      <c r="I104" s="142"/>
      <c r="J104" s="143"/>
      <c r="K104" s="143"/>
      <c r="L104" s="145"/>
      <c r="M104" s="145"/>
      <c r="N104" s="143"/>
      <c r="O104" s="145"/>
      <c r="P104" s="142"/>
      <c r="Q104" s="143"/>
      <c r="R104" s="143"/>
      <c r="S104" s="145"/>
      <c r="T104" s="145"/>
      <c r="U104" s="143"/>
      <c r="V104" s="145"/>
      <c r="W104" s="142"/>
      <c r="X104" s="143">
        <v>11353</v>
      </c>
      <c r="Y104" s="143"/>
      <c r="Z104" s="145"/>
      <c r="AA104" s="142"/>
      <c r="AB104" s="143"/>
      <c r="AC104" s="145"/>
      <c r="AD104" s="143"/>
      <c r="AE104" s="145"/>
      <c r="AF104" s="142"/>
      <c r="AG104" s="143"/>
      <c r="AH104" s="143"/>
      <c r="AI104" s="145"/>
      <c r="AJ104" s="145"/>
      <c r="AK104" s="143"/>
      <c r="AL104" s="145"/>
      <c r="AM104" s="142"/>
      <c r="AN104" s="143">
        <v>4942</v>
      </c>
      <c r="AO104" s="143"/>
      <c r="AP104" s="144"/>
    </row>
    <row r="105" spans="1:42" x14ac:dyDescent="0.25">
      <c r="A105" s="47">
        <v>47300</v>
      </c>
      <c r="B105" s="142"/>
      <c r="C105" s="143">
        <v>3861</v>
      </c>
      <c r="D105" s="143"/>
      <c r="E105" s="145"/>
      <c r="F105" s="145"/>
      <c r="G105" s="143"/>
      <c r="H105" s="145"/>
      <c r="I105" s="142"/>
      <c r="J105" s="143"/>
      <c r="K105" s="143"/>
      <c r="L105" s="145"/>
      <c r="M105" s="145"/>
      <c r="N105" s="143"/>
      <c r="O105" s="145"/>
      <c r="P105" s="142"/>
      <c r="Q105" s="143"/>
      <c r="R105" s="143"/>
      <c r="S105" s="145"/>
      <c r="T105" s="145"/>
      <c r="U105" s="143"/>
      <c r="V105" s="145"/>
      <c r="W105" s="142"/>
      <c r="X105" s="143">
        <v>11502</v>
      </c>
      <c r="Y105" s="143"/>
      <c r="Z105" s="145"/>
      <c r="AA105" s="142"/>
      <c r="AB105" s="143"/>
      <c r="AC105" s="145"/>
      <c r="AD105" s="143"/>
      <c r="AE105" s="145"/>
      <c r="AF105" s="142"/>
      <c r="AG105" s="143"/>
      <c r="AH105" s="143"/>
      <c r="AI105" s="145"/>
      <c r="AJ105" s="145"/>
      <c r="AK105" s="143"/>
      <c r="AL105" s="145"/>
      <c r="AM105" s="142"/>
      <c r="AN105" s="143">
        <v>4942</v>
      </c>
      <c r="AO105" s="143"/>
      <c r="AP105" s="144"/>
    </row>
    <row r="106" spans="1:42" x14ac:dyDescent="0.25">
      <c r="A106" s="47">
        <v>47331</v>
      </c>
      <c r="B106" s="142"/>
      <c r="C106" s="143">
        <v>4003</v>
      </c>
      <c r="D106" s="143"/>
      <c r="E106" s="145"/>
      <c r="F106" s="145"/>
      <c r="G106" s="143"/>
      <c r="H106" s="145"/>
      <c r="I106" s="142"/>
      <c r="J106" s="143"/>
      <c r="K106" s="143"/>
      <c r="L106" s="145"/>
      <c r="M106" s="145"/>
      <c r="N106" s="143"/>
      <c r="O106" s="145"/>
      <c r="P106" s="142"/>
      <c r="Q106" s="143"/>
      <c r="R106" s="143"/>
      <c r="S106" s="145"/>
      <c r="T106" s="145"/>
      <c r="U106" s="143"/>
      <c r="V106" s="145"/>
      <c r="W106" s="142"/>
      <c r="X106" s="143">
        <v>11702</v>
      </c>
      <c r="Y106" s="143"/>
      <c r="Z106" s="145"/>
      <c r="AA106" s="142"/>
      <c r="AB106" s="143"/>
      <c r="AC106" s="145"/>
      <c r="AD106" s="143"/>
      <c r="AE106" s="145"/>
      <c r="AF106" s="142"/>
      <c r="AG106" s="143"/>
      <c r="AH106" s="143"/>
      <c r="AI106" s="145"/>
      <c r="AJ106" s="145"/>
      <c r="AK106" s="143"/>
      <c r="AL106" s="145"/>
      <c r="AM106" s="142"/>
      <c r="AN106" s="143">
        <v>4942</v>
      </c>
      <c r="AO106" s="143"/>
      <c r="AP106" s="144"/>
    </row>
    <row r="107" spans="1:42" x14ac:dyDescent="0.25">
      <c r="A107" s="47">
        <v>47362</v>
      </c>
      <c r="B107" s="142"/>
      <c r="C107" s="143">
        <v>4003</v>
      </c>
      <c r="D107" s="143"/>
      <c r="E107" s="145"/>
      <c r="F107" s="145"/>
      <c r="G107" s="143"/>
      <c r="H107" s="145"/>
      <c r="I107" s="142"/>
      <c r="J107" s="143"/>
      <c r="K107" s="143"/>
      <c r="L107" s="145"/>
      <c r="M107" s="145"/>
      <c r="N107" s="143"/>
      <c r="O107" s="145"/>
      <c r="P107" s="142"/>
      <c r="Q107" s="143"/>
      <c r="R107" s="143"/>
      <c r="S107" s="145"/>
      <c r="T107" s="145"/>
      <c r="U107" s="143"/>
      <c r="V107" s="145"/>
      <c r="W107" s="142"/>
      <c r="X107" s="143">
        <v>11702</v>
      </c>
      <c r="Y107" s="143"/>
      <c r="Z107" s="145"/>
      <c r="AA107" s="142"/>
      <c r="AB107" s="143"/>
      <c r="AC107" s="145"/>
      <c r="AD107" s="143"/>
      <c r="AE107" s="145"/>
      <c r="AF107" s="142"/>
      <c r="AG107" s="143"/>
      <c r="AH107" s="143"/>
      <c r="AI107" s="145"/>
      <c r="AJ107" s="145"/>
      <c r="AK107" s="143"/>
      <c r="AL107" s="145"/>
      <c r="AM107" s="142"/>
      <c r="AN107" s="143">
        <v>4942</v>
      </c>
      <c r="AO107" s="143"/>
      <c r="AP107" s="144"/>
    </row>
    <row r="108" spans="1:42" x14ac:dyDescent="0.25">
      <c r="A108" s="47">
        <v>47392</v>
      </c>
      <c r="B108" s="142"/>
      <c r="C108" s="143">
        <v>991</v>
      </c>
      <c r="D108" s="143"/>
      <c r="E108" s="145"/>
      <c r="F108" s="145"/>
      <c r="G108" s="143"/>
      <c r="H108" s="145"/>
      <c r="I108" s="142"/>
      <c r="J108" s="143"/>
      <c r="K108" s="143"/>
      <c r="L108" s="145"/>
      <c r="M108" s="145"/>
      <c r="N108" s="143"/>
      <c r="O108" s="145"/>
      <c r="P108" s="142"/>
      <c r="Q108" s="143"/>
      <c r="R108" s="143"/>
      <c r="S108" s="145"/>
      <c r="T108" s="145"/>
      <c r="U108" s="143"/>
      <c r="V108" s="145"/>
      <c r="W108" s="142"/>
      <c r="X108" s="143">
        <v>11702</v>
      </c>
      <c r="Y108" s="143"/>
      <c r="Z108" s="145"/>
      <c r="AA108" s="142"/>
      <c r="AB108" s="143"/>
      <c r="AC108" s="145"/>
      <c r="AD108" s="143"/>
      <c r="AE108" s="145"/>
      <c r="AF108" s="142"/>
      <c r="AG108" s="143"/>
      <c r="AH108" s="143"/>
      <c r="AI108" s="145"/>
      <c r="AJ108" s="145"/>
      <c r="AK108" s="143"/>
      <c r="AL108" s="145"/>
      <c r="AM108" s="142"/>
      <c r="AN108" s="143">
        <v>4942</v>
      </c>
      <c r="AO108" s="143"/>
      <c r="AP108" s="144"/>
    </row>
    <row r="109" spans="1:42" x14ac:dyDescent="0.25">
      <c r="A109" s="47">
        <v>47423</v>
      </c>
      <c r="B109" s="142"/>
      <c r="C109" s="143">
        <v>991</v>
      </c>
      <c r="D109" s="143"/>
      <c r="E109" s="145"/>
      <c r="F109" s="145"/>
      <c r="G109" s="143"/>
      <c r="H109" s="145"/>
      <c r="I109" s="142"/>
      <c r="J109" s="143"/>
      <c r="K109" s="143"/>
      <c r="L109" s="145"/>
      <c r="M109" s="145"/>
      <c r="N109" s="143"/>
      <c r="O109" s="145"/>
      <c r="P109" s="142"/>
      <c r="Q109" s="143"/>
      <c r="R109" s="143"/>
      <c r="S109" s="145"/>
      <c r="T109" s="145"/>
      <c r="U109" s="143"/>
      <c r="V109" s="145"/>
      <c r="W109" s="142"/>
      <c r="X109" s="143">
        <v>11702</v>
      </c>
      <c r="Y109" s="143"/>
      <c r="Z109" s="145"/>
      <c r="AA109" s="142"/>
      <c r="AB109" s="143"/>
      <c r="AC109" s="145"/>
      <c r="AD109" s="143"/>
      <c r="AE109" s="145"/>
      <c r="AF109" s="142"/>
      <c r="AG109" s="143"/>
      <c r="AH109" s="143"/>
      <c r="AI109" s="145"/>
      <c r="AJ109" s="145"/>
      <c r="AK109" s="143"/>
      <c r="AL109" s="145"/>
      <c r="AM109" s="142"/>
      <c r="AN109" s="143">
        <v>4942</v>
      </c>
      <c r="AO109" s="143"/>
      <c r="AP109" s="144"/>
    </row>
    <row r="110" spans="1:42" x14ac:dyDescent="0.25">
      <c r="A110" s="47">
        <v>47453</v>
      </c>
      <c r="B110" s="142"/>
      <c r="C110" s="143">
        <v>565</v>
      </c>
      <c r="D110" s="143"/>
      <c r="E110" s="145"/>
      <c r="F110" s="145"/>
      <c r="G110" s="143"/>
      <c r="H110" s="145"/>
      <c r="I110" s="142"/>
      <c r="J110" s="143"/>
      <c r="K110" s="143"/>
      <c r="L110" s="145"/>
      <c r="M110" s="145"/>
      <c r="N110" s="143"/>
      <c r="O110" s="145"/>
      <c r="P110" s="142"/>
      <c r="Q110" s="143"/>
      <c r="R110" s="143"/>
      <c r="S110" s="145"/>
      <c r="T110" s="145"/>
      <c r="U110" s="143"/>
      <c r="V110" s="145"/>
      <c r="W110" s="142"/>
      <c r="X110" s="143">
        <v>11702</v>
      </c>
      <c r="Y110" s="143"/>
      <c r="Z110" s="145"/>
      <c r="AA110" s="142"/>
      <c r="AB110" s="143"/>
      <c r="AC110" s="145"/>
      <c r="AD110" s="143"/>
      <c r="AE110" s="145"/>
      <c r="AF110" s="142"/>
      <c r="AG110" s="143"/>
      <c r="AH110" s="143"/>
      <c r="AI110" s="145"/>
      <c r="AJ110" s="145"/>
      <c r="AK110" s="143"/>
      <c r="AL110" s="145"/>
      <c r="AM110" s="142"/>
      <c r="AN110" s="143">
        <v>4942</v>
      </c>
      <c r="AO110" s="143"/>
      <c r="AP110" s="144"/>
    </row>
    <row r="111" spans="1:42" x14ac:dyDescent="0.25">
      <c r="A111" s="47">
        <v>47484</v>
      </c>
      <c r="B111" s="142"/>
      <c r="C111" s="143">
        <v>565</v>
      </c>
      <c r="D111" s="143"/>
      <c r="E111" s="145"/>
      <c r="F111" s="145"/>
      <c r="G111" s="143"/>
      <c r="H111" s="145"/>
      <c r="I111" s="142"/>
      <c r="J111" s="143"/>
      <c r="K111" s="143"/>
      <c r="L111" s="145"/>
      <c r="M111" s="145"/>
      <c r="N111" s="143"/>
      <c r="O111" s="145"/>
      <c r="P111" s="142"/>
      <c r="Q111" s="143"/>
      <c r="R111" s="143"/>
      <c r="S111" s="145"/>
      <c r="T111" s="145"/>
      <c r="U111" s="143"/>
      <c r="V111" s="145"/>
      <c r="W111" s="142"/>
      <c r="X111" s="143">
        <v>11702</v>
      </c>
      <c r="Y111" s="143"/>
      <c r="Z111" s="145"/>
      <c r="AA111" s="142"/>
      <c r="AB111" s="143"/>
      <c r="AC111" s="145"/>
      <c r="AD111" s="143"/>
      <c r="AE111" s="145"/>
      <c r="AF111" s="142"/>
      <c r="AG111" s="143"/>
      <c r="AH111" s="143"/>
      <c r="AI111" s="145"/>
      <c r="AJ111" s="145"/>
      <c r="AK111" s="143"/>
      <c r="AL111" s="145"/>
      <c r="AM111" s="142"/>
      <c r="AN111" s="143">
        <v>4942</v>
      </c>
      <c r="AO111" s="143"/>
      <c r="AP111" s="144"/>
    </row>
    <row r="112" spans="1:42" x14ac:dyDescent="0.25">
      <c r="A112" s="47">
        <v>47515</v>
      </c>
      <c r="B112" s="142"/>
      <c r="C112" s="143" t="s">
        <v>45</v>
      </c>
      <c r="D112" s="143"/>
      <c r="E112" s="145"/>
      <c r="F112" s="145"/>
      <c r="G112" s="143"/>
      <c r="H112" s="145"/>
      <c r="I112" s="142"/>
      <c r="J112" s="143"/>
      <c r="K112" s="143"/>
      <c r="L112" s="145"/>
      <c r="M112" s="145"/>
      <c r="N112" s="143"/>
      <c r="O112" s="145"/>
      <c r="P112" s="142"/>
      <c r="Q112" s="143"/>
      <c r="R112" s="143"/>
      <c r="S112" s="145"/>
      <c r="T112" s="145"/>
      <c r="U112" s="143"/>
      <c r="V112" s="145"/>
      <c r="W112" s="142"/>
      <c r="X112" s="143">
        <v>11702</v>
      </c>
      <c r="Y112" s="143"/>
      <c r="Z112" s="145"/>
      <c r="AA112" s="142"/>
      <c r="AB112" s="143"/>
      <c r="AC112" s="145"/>
      <c r="AD112" s="143"/>
      <c r="AE112" s="145"/>
      <c r="AF112" s="142"/>
      <c r="AG112" s="143"/>
      <c r="AH112" s="143"/>
      <c r="AI112" s="145"/>
      <c r="AJ112" s="145"/>
      <c r="AK112" s="143"/>
      <c r="AL112" s="145"/>
      <c r="AM112" s="142"/>
      <c r="AN112" s="143">
        <v>4942</v>
      </c>
      <c r="AO112" s="143"/>
      <c r="AP112" s="144"/>
    </row>
    <row r="113" spans="1:42" x14ac:dyDescent="0.25">
      <c r="A113" s="47">
        <v>47543</v>
      </c>
      <c r="B113" s="142"/>
      <c r="C113" s="143" t="s">
        <v>45</v>
      </c>
      <c r="D113" s="143"/>
      <c r="E113" s="145"/>
      <c r="F113" s="145"/>
      <c r="G113" s="143"/>
      <c r="H113" s="145"/>
      <c r="I113" s="142"/>
      <c r="J113" s="143"/>
      <c r="K113" s="143"/>
      <c r="L113" s="145"/>
      <c r="M113" s="145"/>
      <c r="N113" s="143"/>
      <c r="O113" s="145"/>
      <c r="P113" s="142"/>
      <c r="Q113" s="143"/>
      <c r="R113" s="143"/>
      <c r="S113" s="145"/>
      <c r="T113" s="145"/>
      <c r="U113" s="143"/>
      <c r="V113" s="145"/>
      <c r="W113" s="142"/>
      <c r="X113" s="143">
        <v>11702</v>
      </c>
      <c r="Y113" s="143"/>
      <c r="Z113" s="145"/>
      <c r="AA113" s="142"/>
      <c r="AB113" s="143"/>
      <c r="AC113" s="145"/>
      <c r="AD113" s="143"/>
      <c r="AE113" s="145"/>
      <c r="AF113" s="142"/>
      <c r="AG113" s="143"/>
      <c r="AH113" s="143"/>
      <c r="AI113" s="145"/>
      <c r="AJ113" s="145"/>
      <c r="AK113" s="143"/>
      <c r="AL113" s="145"/>
      <c r="AM113" s="142"/>
      <c r="AN113" s="143">
        <v>4942</v>
      </c>
      <c r="AO113" s="143"/>
      <c r="AP113" s="144"/>
    </row>
    <row r="114" spans="1:42" x14ac:dyDescent="0.25">
      <c r="A114" s="47">
        <v>47574</v>
      </c>
      <c r="B114" s="142"/>
      <c r="C114" s="143" t="s">
        <v>45</v>
      </c>
      <c r="D114" s="143"/>
      <c r="E114" s="145"/>
      <c r="F114" s="145"/>
      <c r="G114" s="143"/>
      <c r="H114" s="145"/>
      <c r="I114" s="142"/>
      <c r="J114" s="143"/>
      <c r="K114" s="143"/>
      <c r="L114" s="145"/>
      <c r="M114" s="145"/>
      <c r="N114" s="143"/>
      <c r="O114" s="145"/>
      <c r="P114" s="142"/>
      <c r="Q114" s="143"/>
      <c r="R114" s="143"/>
      <c r="S114" s="145"/>
      <c r="T114" s="145"/>
      <c r="U114" s="143"/>
      <c r="V114" s="145"/>
      <c r="W114" s="142"/>
      <c r="X114" s="143">
        <v>11702</v>
      </c>
      <c r="Y114" s="143"/>
      <c r="Z114" s="145"/>
      <c r="AA114" s="142"/>
      <c r="AB114" s="143"/>
      <c r="AC114" s="145"/>
      <c r="AD114" s="143"/>
      <c r="AE114" s="145"/>
      <c r="AF114" s="142"/>
      <c r="AG114" s="143"/>
      <c r="AH114" s="143"/>
      <c r="AI114" s="145"/>
      <c r="AJ114" s="145"/>
      <c r="AK114" s="143"/>
      <c r="AL114" s="145"/>
      <c r="AM114" s="142"/>
      <c r="AN114" s="143">
        <v>4942</v>
      </c>
      <c r="AO114" s="143"/>
      <c r="AP114" s="144"/>
    </row>
    <row r="115" spans="1:42" x14ac:dyDescent="0.25">
      <c r="A115" s="47">
        <v>47604</v>
      </c>
      <c r="B115" s="142"/>
      <c r="C115" s="143" t="s">
        <v>45</v>
      </c>
      <c r="D115" s="143"/>
      <c r="E115" s="145"/>
      <c r="F115" s="145"/>
      <c r="G115" s="143"/>
      <c r="H115" s="145"/>
      <c r="I115" s="142"/>
      <c r="J115" s="143"/>
      <c r="K115" s="143"/>
      <c r="L115" s="145"/>
      <c r="M115" s="145"/>
      <c r="N115" s="143"/>
      <c r="O115" s="145"/>
      <c r="P115" s="142"/>
      <c r="Q115" s="143"/>
      <c r="R115" s="143"/>
      <c r="S115" s="145"/>
      <c r="T115" s="145"/>
      <c r="U115" s="143"/>
      <c r="V115" s="145"/>
      <c r="W115" s="142"/>
      <c r="X115" s="143">
        <v>11702</v>
      </c>
      <c r="Y115" s="143"/>
      <c r="Z115" s="145"/>
      <c r="AA115" s="142"/>
      <c r="AB115" s="143"/>
      <c r="AC115" s="145"/>
      <c r="AD115" s="143"/>
      <c r="AE115" s="145"/>
      <c r="AF115" s="142"/>
      <c r="AG115" s="143"/>
      <c r="AH115" s="143"/>
      <c r="AI115" s="145"/>
      <c r="AJ115" s="145"/>
      <c r="AK115" s="143"/>
      <c r="AL115" s="145"/>
      <c r="AM115" s="142"/>
      <c r="AN115" s="143">
        <v>4942</v>
      </c>
      <c r="AO115" s="143"/>
      <c r="AP115" s="144"/>
    </row>
    <row r="116" spans="1:42" x14ac:dyDescent="0.25">
      <c r="A116" s="47">
        <v>47635</v>
      </c>
      <c r="B116" s="142"/>
      <c r="C116" s="143" t="s">
        <v>45</v>
      </c>
      <c r="D116" s="143"/>
      <c r="E116" s="145"/>
      <c r="F116" s="145"/>
      <c r="G116" s="143"/>
      <c r="H116" s="145"/>
      <c r="I116" s="142"/>
      <c r="J116" s="143"/>
      <c r="K116" s="143"/>
      <c r="L116" s="145"/>
      <c r="M116" s="145"/>
      <c r="N116" s="143"/>
      <c r="O116" s="145"/>
      <c r="P116" s="142"/>
      <c r="Q116" s="143"/>
      <c r="R116" s="143"/>
      <c r="S116" s="145"/>
      <c r="T116" s="145"/>
      <c r="U116" s="143"/>
      <c r="V116" s="145"/>
      <c r="W116" s="142"/>
      <c r="X116" s="143">
        <v>11702</v>
      </c>
      <c r="Y116" s="143"/>
      <c r="Z116" s="145"/>
      <c r="AA116" s="142"/>
      <c r="AB116" s="143"/>
      <c r="AC116" s="145"/>
      <c r="AD116" s="143"/>
      <c r="AE116" s="145"/>
      <c r="AF116" s="142"/>
      <c r="AG116" s="143"/>
      <c r="AH116" s="143"/>
      <c r="AI116" s="145"/>
      <c r="AJ116" s="145"/>
      <c r="AK116" s="143"/>
      <c r="AL116" s="145"/>
      <c r="AM116" s="142"/>
      <c r="AN116" s="143">
        <v>4942</v>
      </c>
      <c r="AO116" s="143"/>
      <c r="AP116" s="144"/>
    </row>
    <row r="117" spans="1:42" x14ac:dyDescent="0.25">
      <c r="A117" s="47">
        <v>47665</v>
      </c>
      <c r="B117" s="142"/>
      <c r="C117" s="143" t="s">
        <v>45</v>
      </c>
      <c r="D117" s="143"/>
      <c r="E117" s="145"/>
      <c r="F117" s="145"/>
      <c r="G117" s="143"/>
      <c r="H117" s="145"/>
      <c r="I117" s="142"/>
      <c r="J117" s="143"/>
      <c r="K117" s="143"/>
      <c r="L117" s="145"/>
      <c r="M117" s="145"/>
      <c r="N117" s="143"/>
      <c r="O117" s="145"/>
      <c r="P117" s="142"/>
      <c r="Q117" s="143"/>
      <c r="R117" s="143"/>
      <c r="S117" s="145"/>
      <c r="T117" s="145"/>
      <c r="U117" s="143"/>
      <c r="V117" s="145"/>
      <c r="W117" s="142"/>
      <c r="X117" s="143">
        <v>11302</v>
      </c>
      <c r="Y117" s="143"/>
      <c r="Z117" s="145"/>
      <c r="AA117" s="142"/>
      <c r="AB117" s="143"/>
      <c r="AC117" s="145"/>
      <c r="AD117" s="143"/>
      <c r="AE117" s="145"/>
      <c r="AF117" s="142"/>
      <c r="AG117" s="143"/>
      <c r="AH117" s="143"/>
      <c r="AI117" s="145"/>
      <c r="AJ117" s="145"/>
      <c r="AK117" s="143"/>
      <c r="AL117" s="145"/>
      <c r="AM117" s="142"/>
      <c r="AN117" s="143">
        <v>4942</v>
      </c>
      <c r="AO117" s="143"/>
      <c r="AP117" s="144"/>
    </row>
    <row r="118" spans="1:42" x14ac:dyDescent="0.25">
      <c r="A118" s="47">
        <v>47696</v>
      </c>
      <c r="B118" s="142"/>
      <c r="C118" s="143" t="s">
        <v>45</v>
      </c>
      <c r="D118" s="143"/>
      <c r="E118" s="145"/>
      <c r="F118" s="145"/>
      <c r="G118" s="143"/>
      <c r="H118" s="145"/>
      <c r="I118" s="142"/>
      <c r="J118" s="143"/>
      <c r="K118" s="143"/>
      <c r="L118" s="145"/>
      <c r="M118" s="145"/>
      <c r="N118" s="143"/>
      <c r="O118" s="145"/>
      <c r="P118" s="142"/>
      <c r="Q118" s="143"/>
      <c r="R118" s="143"/>
      <c r="S118" s="145"/>
      <c r="T118" s="145"/>
      <c r="U118" s="143"/>
      <c r="V118" s="145"/>
      <c r="W118" s="142"/>
      <c r="X118" s="143">
        <v>8899</v>
      </c>
      <c r="Y118" s="143"/>
      <c r="Z118" s="145"/>
      <c r="AA118" s="142"/>
      <c r="AB118" s="143"/>
      <c r="AC118" s="145"/>
      <c r="AD118" s="143"/>
      <c r="AE118" s="145"/>
      <c r="AF118" s="142"/>
      <c r="AG118" s="143"/>
      <c r="AH118" s="143"/>
      <c r="AI118" s="145"/>
      <c r="AJ118" s="145"/>
      <c r="AK118" s="143"/>
      <c r="AL118" s="145"/>
      <c r="AM118" s="142"/>
      <c r="AN118" s="143">
        <v>4942</v>
      </c>
      <c r="AO118" s="143"/>
      <c r="AP118" s="144"/>
    </row>
    <row r="119" spans="1:42" x14ac:dyDescent="0.25">
      <c r="A119" s="47">
        <v>47727</v>
      </c>
      <c r="B119" s="142"/>
      <c r="C119" s="143" t="s">
        <v>45</v>
      </c>
      <c r="D119" s="143"/>
      <c r="E119" s="145"/>
      <c r="F119" s="145"/>
      <c r="G119" s="143"/>
      <c r="H119" s="145"/>
      <c r="I119" s="142"/>
      <c r="J119" s="143"/>
      <c r="K119" s="143"/>
      <c r="L119" s="145"/>
      <c r="M119" s="145"/>
      <c r="N119" s="143"/>
      <c r="O119" s="145"/>
      <c r="P119" s="142"/>
      <c r="Q119" s="143"/>
      <c r="R119" s="143"/>
      <c r="S119" s="145"/>
      <c r="T119" s="145"/>
      <c r="U119" s="143"/>
      <c r="V119" s="145"/>
      <c r="W119" s="142"/>
      <c r="X119" s="143">
        <v>5351</v>
      </c>
      <c r="Y119" s="143"/>
      <c r="Z119" s="145"/>
      <c r="AA119" s="142"/>
      <c r="AB119" s="143"/>
      <c r="AC119" s="145"/>
      <c r="AD119" s="143"/>
      <c r="AE119" s="145"/>
      <c r="AF119" s="142"/>
      <c r="AG119" s="143"/>
      <c r="AH119" s="143"/>
      <c r="AI119" s="145"/>
      <c r="AJ119" s="145"/>
      <c r="AK119" s="143"/>
      <c r="AL119" s="145"/>
      <c r="AM119" s="142"/>
      <c r="AN119" s="143">
        <v>4942</v>
      </c>
      <c r="AO119" s="143"/>
      <c r="AP119" s="144"/>
    </row>
    <row r="120" spans="1:42" x14ac:dyDescent="0.25">
      <c r="A120" s="47">
        <v>47757</v>
      </c>
      <c r="B120" s="142"/>
      <c r="C120" s="143" t="s">
        <v>45</v>
      </c>
      <c r="D120" s="143"/>
      <c r="E120" s="145"/>
      <c r="F120" s="145"/>
      <c r="G120" s="143"/>
      <c r="H120" s="145"/>
      <c r="I120" s="142"/>
      <c r="J120" s="143"/>
      <c r="K120" s="143"/>
      <c r="L120" s="145"/>
      <c r="M120" s="145"/>
      <c r="N120" s="143"/>
      <c r="O120" s="145"/>
      <c r="P120" s="142"/>
      <c r="Q120" s="143"/>
      <c r="R120" s="143"/>
      <c r="S120" s="145"/>
      <c r="T120" s="145"/>
      <c r="U120" s="143"/>
      <c r="V120" s="145"/>
      <c r="W120" s="142"/>
      <c r="X120" s="143">
        <v>760</v>
      </c>
      <c r="Y120" s="143"/>
      <c r="Z120" s="145"/>
      <c r="AA120" s="142"/>
      <c r="AB120" s="143"/>
      <c r="AC120" s="145"/>
      <c r="AD120" s="143"/>
      <c r="AE120" s="145"/>
      <c r="AF120" s="142"/>
      <c r="AG120" s="143"/>
      <c r="AH120" s="143"/>
      <c r="AI120" s="145"/>
      <c r="AJ120" s="145"/>
      <c r="AK120" s="143"/>
      <c r="AL120" s="145"/>
      <c r="AM120" s="142"/>
      <c r="AN120" s="143">
        <v>2522</v>
      </c>
      <c r="AO120" s="143"/>
      <c r="AP120" s="144"/>
    </row>
    <row r="121" spans="1:42" x14ac:dyDescent="0.25">
      <c r="A121" s="47">
        <v>47788</v>
      </c>
      <c r="B121" s="142"/>
      <c r="C121" s="143" t="s">
        <v>45</v>
      </c>
      <c r="D121" s="143"/>
      <c r="E121" s="145"/>
      <c r="F121" s="145"/>
      <c r="G121" s="143"/>
      <c r="H121" s="145"/>
      <c r="I121" s="142"/>
      <c r="J121" s="143"/>
      <c r="K121" s="143"/>
      <c r="L121" s="145"/>
      <c r="M121" s="145"/>
      <c r="N121" s="143"/>
      <c r="O121" s="145"/>
      <c r="P121" s="142"/>
      <c r="Q121" s="143"/>
      <c r="R121" s="143"/>
      <c r="S121" s="145"/>
      <c r="T121" s="145"/>
      <c r="U121" s="143"/>
      <c r="V121" s="145"/>
      <c r="W121" s="142"/>
      <c r="X121" s="143">
        <v>350</v>
      </c>
      <c r="Y121" s="143"/>
      <c r="Z121" s="145"/>
      <c r="AA121" s="142"/>
      <c r="AB121" s="143"/>
      <c r="AC121" s="145"/>
      <c r="AD121" s="143"/>
      <c r="AE121" s="145"/>
      <c r="AF121" s="142"/>
      <c r="AG121" s="143"/>
      <c r="AH121" s="143"/>
      <c r="AI121" s="145"/>
      <c r="AJ121" s="145"/>
      <c r="AK121" s="143"/>
      <c r="AL121" s="145"/>
      <c r="AM121" s="142"/>
      <c r="AN121" s="143">
        <v>637</v>
      </c>
      <c r="AO121" s="143"/>
      <c r="AP121" s="144"/>
    </row>
    <row r="122" spans="1:42" x14ac:dyDescent="0.25">
      <c r="A122" s="47">
        <v>47818</v>
      </c>
      <c r="B122" s="146"/>
      <c r="C122" s="147" t="s">
        <v>45</v>
      </c>
      <c r="D122" s="147"/>
      <c r="E122" s="148"/>
      <c r="F122" s="148"/>
      <c r="G122" s="147"/>
      <c r="H122" s="148"/>
      <c r="I122" s="146"/>
      <c r="J122" s="147"/>
      <c r="K122" s="147"/>
      <c r="L122" s="148"/>
      <c r="M122" s="148"/>
      <c r="N122" s="147"/>
      <c r="O122" s="148"/>
      <c r="P122" s="146"/>
      <c r="Q122" s="147"/>
      <c r="R122" s="147"/>
      <c r="S122" s="148"/>
      <c r="T122" s="148"/>
      <c r="U122" s="147"/>
      <c r="V122" s="148"/>
      <c r="W122" s="146"/>
      <c r="X122" s="147">
        <v>350</v>
      </c>
      <c r="Y122" s="147"/>
      <c r="Z122" s="148"/>
      <c r="AA122" s="146"/>
      <c r="AB122" s="147"/>
      <c r="AC122" s="148"/>
      <c r="AD122" s="147"/>
      <c r="AE122" s="148"/>
      <c r="AF122" s="146"/>
      <c r="AG122" s="147"/>
      <c r="AH122" s="147"/>
      <c r="AI122" s="148"/>
      <c r="AJ122" s="148"/>
      <c r="AK122" s="147"/>
      <c r="AL122" s="148"/>
      <c r="AM122" s="146"/>
      <c r="AN122" s="147">
        <v>637</v>
      </c>
      <c r="AO122" s="147"/>
      <c r="AP122" s="149"/>
    </row>
  </sheetData>
  <conditionalFormatting sqref="A11:AP122">
    <cfRule type="expression" dxfId="0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ignoredErrors>
    <ignoredError sqref="I9 P9:P10 W9:W10 AA9:AA10 AF9:AF10 AM9:AM10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1DE23-B053-4BDA-9CB5-E5E10352A267}">
  <sheetPr>
    <tabColor theme="3" tint="9.9978637043366805E-2"/>
  </sheetPr>
  <dimension ref="A1:M17"/>
  <sheetViews>
    <sheetView showGridLines="0" zoomScale="80" zoomScaleNormal="80" workbookViewId="0"/>
  </sheetViews>
  <sheetFormatPr defaultRowHeight="15" x14ac:dyDescent="0.25"/>
  <cols>
    <col min="1" max="1" width="19" style="6" bestFit="1" customWidth="1"/>
    <col min="2" max="2" width="12.85546875" style="6" bestFit="1" customWidth="1"/>
    <col min="3" max="13" width="14.7109375" style="6" customWidth="1"/>
    <col min="14" max="16384" width="9.140625" style="6"/>
  </cols>
  <sheetData>
    <row r="1" spans="1:13" ht="31.5" x14ac:dyDescent="0.5">
      <c r="A1" s="87" t="str">
        <f>_xlfn.CONCAT("Resumo dos empreendimentos ativos em ", TEXT(inputs!A1, "dd/mmm/aaaa"))</f>
        <v>Resumo dos empreendimentos ativos em 30/nov/2025</v>
      </c>
      <c r="B1" s="57"/>
    </row>
    <row r="2" spans="1:13" ht="34.5" x14ac:dyDescent="0.25">
      <c r="A2" s="58"/>
      <c r="B2" s="58"/>
      <c r="C2" s="59" t="s">
        <v>31</v>
      </c>
      <c r="D2" s="59" t="s">
        <v>32</v>
      </c>
      <c r="E2" s="59" t="s">
        <v>31</v>
      </c>
      <c r="F2" s="59" t="s">
        <v>33</v>
      </c>
      <c r="G2" s="59" t="s">
        <v>34</v>
      </c>
      <c r="H2" s="59" t="s">
        <v>34</v>
      </c>
      <c r="I2" s="59" t="s">
        <v>34</v>
      </c>
      <c r="J2" s="59" t="s">
        <v>35</v>
      </c>
      <c r="K2" s="59" t="s">
        <v>35</v>
      </c>
      <c r="L2" s="60" t="s">
        <v>36</v>
      </c>
      <c r="M2" s="59" t="s">
        <v>37</v>
      </c>
    </row>
    <row r="3" spans="1:13" ht="45" x14ac:dyDescent="0.25">
      <c r="A3" s="61" t="s">
        <v>38</v>
      </c>
      <c r="B3" s="61" t="s">
        <v>39</v>
      </c>
      <c r="C3" s="62" t="s">
        <v>67</v>
      </c>
      <c r="D3" s="63" t="s">
        <v>68</v>
      </c>
      <c r="E3" s="62" t="s">
        <v>69</v>
      </c>
      <c r="F3" s="63" t="s">
        <v>70</v>
      </c>
      <c r="G3" s="63" t="s">
        <v>66</v>
      </c>
      <c r="H3" s="62" t="s">
        <v>40</v>
      </c>
      <c r="I3" s="63" t="s">
        <v>41</v>
      </c>
      <c r="J3" s="63" t="s">
        <v>71</v>
      </c>
      <c r="K3" s="64" t="s">
        <v>72</v>
      </c>
      <c r="L3" s="65" t="s">
        <v>73</v>
      </c>
      <c r="M3" s="65" t="s">
        <v>42</v>
      </c>
    </row>
    <row r="4" spans="1:13" x14ac:dyDescent="0.25">
      <c r="A4" s="66" t="s">
        <v>12</v>
      </c>
      <c r="B4" s="67" t="s">
        <v>43</v>
      </c>
      <c r="C4" s="82">
        <f ca="1">inputs!D8</f>
        <v>0</v>
      </c>
      <c r="D4" s="82">
        <f ca="1">inputs!D9</f>
        <v>0</v>
      </c>
      <c r="E4" s="82">
        <f ca="1">inputs!E8</f>
        <v>0</v>
      </c>
      <c r="F4" s="82">
        <f>inputs!E9</f>
        <v>0</v>
      </c>
      <c r="G4" s="82">
        <f ca="1">inputs!D4</f>
        <v>0</v>
      </c>
      <c r="H4" s="82">
        <f ca="1">inputs!C8</f>
        <v>0</v>
      </c>
      <c r="I4" s="82">
        <f ca="1">inputs!C9</f>
        <v>0</v>
      </c>
      <c r="J4" s="83">
        <f>inputs!D3</f>
        <v>0</v>
      </c>
      <c r="K4" s="82">
        <f>inputs!D2</f>
        <v>0</v>
      </c>
      <c r="L4" s="68">
        <f ca="1">SUM(C4:I4,K4)</f>
        <v>0</v>
      </c>
      <c r="M4" s="84">
        <v>25897161</v>
      </c>
    </row>
    <row r="5" spans="1:13" collapsed="1" x14ac:dyDescent="0.25">
      <c r="A5" s="69" t="s">
        <v>12</v>
      </c>
      <c r="B5" s="70" t="s">
        <v>37</v>
      </c>
      <c r="C5" s="90">
        <f>viabs!D8</f>
        <v>10969791</v>
      </c>
      <c r="D5" s="90">
        <f>viabs!D9</f>
        <v>2411486</v>
      </c>
      <c r="E5" s="90">
        <f>viabs!E8</f>
        <v>2076560</v>
      </c>
      <c r="F5" s="90">
        <f>viabs!E9</f>
        <v>163842</v>
      </c>
      <c r="G5" s="90">
        <f>viabs!D4</f>
        <v>0</v>
      </c>
      <c r="H5" s="90">
        <f>viabs!C8</f>
        <v>5441368</v>
      </c>
      <c r="I5" s="90">
        <f>viabs!C9</f>
        <v>2532963</v>
      </c>
      <c r="J5" s="91">
        <f>viabs!D3</f>
        <v>12</v>
      </c>
      <c r="K5" s="90">
        <f>viabs!D2</f>
        <v>2301149</v>
      </c>
      <c r="L5" s="158">
        <f t="shared" ref="L5:L17" si="0">SUM(C5:I5,K5)</f>
        <v>25897159</v>
      </c>
      <c r="M5" s="159">
        <f>M4</f>
        <v>25897161</v>
      </c>
    </row>
    <row r="6" spans="1:13" x14ac:dyDescent="0.25">
      <c r="A6" s="71" t="s">
        <v>13</v>
      </c>
      <c r="B6" s="72" t="s">
        <v>43</v>
      </c>
      <c r="C6" s="81">
        <f ca="1">inputs!K8</f>
        <v>0</v>
      </c>
      <c r="D6" s="81">
        <f>inputs!K9</f>
        <v>0</v>
      </c>
      <c r="E6" s="81">
        <f ca="1">inputs!L8</f>
        <v>0</v>
      </c>
      <c r="F6" s="81">
        <f>inputs!L9</f>
        <v>0</v>
      </c>
      <c r="G6" s="81">
        <f ca="1">inputs!K4</f>
        <v>0</v>
      </c>
      <c r="H6" s="81">
        <f ca="1">inputs!J8</f>
        <v>0</v>
      </c>
      <c r="I6" s="81">
        <f ca="1">inputs!J9</f>
        <v>0</v>
      </c>
      <c r="J6" s="83">
        <f>inputs!K3</f>
        <v>0</v>
      </c>
      <c r="K6" s="82">
        <f>inputs!K2</f>
        <v>0</v>
      </c>
      <c r="L6" s="73">
        <f t="shared" ca="1" si="0"/>
        <v>0</v>
      </c>
      <c r="M6" s="85">
        <v>41582807</v>
      </c>
    </row>
    <row r="7" spans="1:13" collapsed="1" x14ac:dyDescent="0.25">
      <c r="A7" s="69" t="s">
        <v>13</v>
      </c>
      <c r="B7" s="70" t="s">
        <v>37</v>
      </c>
      <c r="C7" s="90">
        <f>viabs!K8</f>
        <v>18611890</v>
      </c>
      <c r="D7" s="90">
        <f>viabs!K9</f>
        <v>0</v>
      </c>
      <c r="E7" s="90">
        <f>viabs!L8</f>
        <v>3812440</v>
      </c>
      <c r="F7" s="90">
        <f>viabs!L9</f>
        <v>0</v>
      </c>
      <c r="G7" s="90">
        <f>viabs!K4</f>
        <v>0</v>
      </c>
      <c r="H7" s="90">
        <f>viabs!J8</f>
        <v>17547728</v>
      </c>
      <c r="I7" s="90">
        <f>viabs!J9</f>
        <v>42900</v>
      </c>
      <c r="J7" s="91">
        <f>viabs!K3</f>
        <v>6</v>
      </c>
      <c r="K7" s="90">
        <f>viabs!K2</f>
        <v>1567849</v>
      </c>
      <c r="L7" s="158">
        <f t="shared" si="0"/>
        <v>41582807</v>
      </c>
      <c r="M7" s="159">
        <f>M6</f>
        <v>41582807</v>
      </c>
    </row>
    <row r="8" spans="1:13" x14ac:dyDescent="0.25">
      <c r="A8" s="71" t="s">
        <v>14</v>
      </c>
      <c r="B8" s="72" t="s">
        <v>43</v>
      </c>
      <c r="C8" s="81">
        <f ca="1">inputs!R8</f>
        <v>0</v>
      </c>
      <c r="D8" s="81">
        <f ca="1">inputs!R9</f>
        <v>0</v>
      </c>
      <c r="E8" s="81">
        <f ca="1">inputs!S8</f>
        <v>0</v>
      </c>
      <c r="F8" s="81">
        <f>inputs!S9</f>
        <v>0</v>
      </c>
      <c r="G8" s="81">
        <f ca="1">inputs!R4</f>
        <v>0</v>
      </c>
      <c r="H8" s="81">
        <f ca="1">inputs!Q8</f>
        <v>0</v>
      </c>
      <c r="I8" s="81">
        <f ca="1">inputs!Q9</f>
        <v>0</v>
      </c>
      <c r="J8" s="83">
        <f>inputs!R3</f>
        <v>0</v>
      </c>
      <c r="K8" s="82">
        <f>inputs!R2</f>
        <v>0</v>
      </c>
      <c r="L8" s="73">
        <f t="shared" ca="1" si="0"/>
        <v>0</v>
      </c>
      <c r="M8" s="85">
        <v>47237835</v>
      </c>
    </row>
    <row r="9" spans="1:13" collapsed="1" x14ac:dyDescent="0.25">
      <c r="A9" s="69" t="s">
        <v>14</v>
      </c>
      <c r="B9" s="70" t="s">
        <v>37</v>
      </c>
      <c r="C9" s="90">
        <f>viabs!R8</f>
        <v>4747377</v>
      </c>
      <c r="D9" s="90">
        <f>viabs!R9</f>
        <v>17101428</v>
      </c>
      <c r="E9" s="90">
        <f>viabs!S8</f>
        <v>4683225</v>
      </c>
      <c r="F9" s="90">
        <f>viabs!S9</f>
        <v>148936</v>
      </c>
      <c r="G9" s="90">
        <f>viabs!R4</f>
        <v>0</v>
      </c>
      <c r="H9" s="90">
        <f>viabs!Q8</f>
        <v>8224551</v>
      </c>
      <c r="I9" s="90">
        <f>viabs!Q9</f>
        <v>6883519</v>
      </c>
      <c r="J9" s="91">
        <f>viabs!R3</f>
        <v>13</v>
      </c>
      <c r="K9" s="90">
        <f>viabs!R2</f>
        <v>5448793</v>
      </c>
      <c r="L9" s="158">
        <f t="shared" si="0"/>
        <v>47237829</v>
      </c>
      <c r="M9" s="159">
        <f>M8</f>
        <v>47237835</v>
      </c>
    </row>
    <row r="10" spans="1:13" x14ac:dyDescent="0.25">
      <c r="A10" s="71" t="s">
        <v>15</v>
      </c>
      <c r="B10" s="72" t="s">
        <v>43</v>
      </c>
      <c r="C10" s="74">
        <v>0</v>
      </c>
      <c r="D10" s="74" t="s">
        <v>44</v>
      </c>
      <c r="E10" s="74">
        <v>0</v>
      </c>
      <c r="F10" s="74" t="s">
        <v>44</v>
      </c>
      <c r="G10" s="81">
        <f ca="1">inputs!Y4</f>
        <v>0</v>
      </c>
      <c r="H10" s="81">
        <f ca="1">inputs!X8</f>
        <v>0</v>
      </c>
      <c r="I10" s="81">
        <f ca="1">inputs!X9</f>
        <v>0</v>
      </c>
      <c r="J10" s="83">
        <f>inputs!Y3</f>
        <v>0</v>
      </c>
      <c r="K10" s="82">
        <f>inputs!Y2</f>
        <v>0</v>
      </c>
      <c r="L10" s="73">
        <f t="shared" ca="1" si="0"/>
        <v>0</v>
      </c>
      <c r="M10" s="85">
        <v>64482292</v>
      </c>
    </row>
    <row r="11" spans="1:13" collapsed="1" x14ac:dyDescent="0.25">
      <c r="A11" s="69" t="s">
        <v>15</v>
      </c>
      <c r="B11" s="70" t="s">
        <v>37</v>
      </c>
      <c r="C11" s="157"/>
      <c r="D11" s="157"/>
      <c r="E11" s="157"/>
      <c r="F11" s="157"/>
      <c r="G11" s="157">
        <f>viabs!Y4</f>
        <v>0</v>
      </c>
      <c r="H11" s="90">
        <f>viabs!X8</f>
        <v>1155519</v>
      </c>
      <c r="I11" s="90">
        <f>viabs!X9</f>
        <v>5494622</v>
      </c>
      <c r="J11" s="91">
        <f>viabs!Y3</f>
        <v>93</v>
      </c>
      <c r="K11" s="90">
        <f>viabs!Y2</f>
        <v>30073218</v>
      </c>
      <c r="L11" s="158">
        <f t="shared" si="0"/>
        <v>36723359</v>
      </c>
      <c r="M11" s="159">
        <f>M10</f>
        <v>64482292</v>
      </c>
    </row>
    <row r="12" spans="1:13" x14ac:dyDescent="0.25">
      <c r="A12" s="71" t="s">
        <v>16</v>
      </c>
      <c r="B12" s="72" t="s">
        <v>43</v>
      </c>
      <c r="C12" s="74" t="s">
        <v>44</v>
      </c>
      <c r="D12" s="74" t="s">
        <v>44</v>
      </c>
      <c r="E12" s="74" t="s">
        <v>44</v>
      </c>
      <c r="F12" s="74" t="s">
        <v>44</v>
      </c>
      <c r="G12" s="74">
        <f ca="1">inputs!AC10</f>
        <v>0</v>
      </c>
      <c r="H12" s="81">
        <f ca="1">inputs!AB8</f>
        <v>0</v>
      </c>
      <c r="I12" s="81">
        <f ca="1">inputs!AB9</f>
        <v>0</v>
      </c>
      <c r="J12" s="83">
        <f>inputs!AC3</f>
        <v>0</v>
      </c>
      <c r="K12" s="82">
        <f>inputs!AC2</f>
        <v>0</v>
      </c>
      <c r="L12" s="73">
        <f t="shared" ca="1" si="0"/>
        <v>0</v>
      </c>
      <c r="M12" s="85">
        <v>25916905</v>
      </c>
    </row>
    <row r="13" spans="1:13" collapsed="1" x14ac:dyDescent="0.25">
      <c r="A13" s="69" t="s">
        <v>16</v>
      </c>
      <c r="B13" s="70" t="s">
        <v>37</v>
      </c>
      <c r="C13" s="157"/>
      <c r="D13" s="157"/>
      <c r="E13" s="157"/>
      <c r="F13" s="157"/>
      <c r="G13" s="157">
        <f>viabs!AC10</f>
        <v>13476430</v>
      </c>
      <c r="H13" s="90">
        <f>viabs!AB8</f>
        <v>8478046</v>
      </c>
      <c r="I13" s="90">
        <f>viabs!AB9</f>
        <v>3542427</v>
      </c>
      <c r="J13" s="91">
        <f>viabs!AC3</f>
        <v>1</v>
      </c>
      <c r="K13" s="90">
        <f>viabs!AC2</f>
        <v>420000</v>
      </c>
      <c r="L13" s="158">
        <f t="shared" si="0"/>
        <v>25916903</v>
      </c>
      <c r="M13" s="159">
        <f>M12</f>
        <v>25916905</v>
      </c>
    </row>
    <row r="14" spans="1:13" x14ac:dyDescent="0.25">
      <c r="A14" s="71" t="s">
        <v>17</v>
      </c>
      <c r="B14" s="72" t="s">
        <v>43</v>
      </c>
      <c r="C14" s="81">
        <f ca="1">inputs!AH8</f>
        <v>0</v>
      </c>
      <c r="D14" s="81">
        <f ca="1">inputs!AH9</f>
        <v>0</v>
      </c>
      <c r="E14" s="81">
        <f ca="1">inputs!AI8</f>
        <v>0</v>
      </c>
      <c r="F14" s="81">
        <f>inputs!AI9</f>
        <v>0</v>
      </c>
      <c r="G14" s="81">
        <f ca="1">inputs!AH4</f>
        <v>0</v>
      </c>
      <c r="H14" s="81">
        <f ca="1">inputs!AG8</f>
        <v>0</v>
      </c>
      <c r="I14" s="81">
        <f ca="1">inputs!AG9</f>
        <v>0</v>
      </c>
      <c r="J14" s="83">
        <f>inputs!AH3</f>
        <v>0</v>
      </c>
      <c r="K14" s="82">
        <f>inputs!AH2</f>
        <v>0</v>
      </c>
      <c r="L14" s="73">
        <f t="shared" ca="1" si="0"/>
        <v>0</v>
      </c>
      <c r="M14" s="85">
        <v>60385343</v>
      </c>
    </row>
    <row r="15" spans="1:13" collapsed="1" x14ac:dyDescent="0.25">
      <c r="A15" s="69" t="s">
        <v>17</v>
      </c>
      <c r="B15" s="70" t="s">
        <v>37</v>
      </c>
      <c r="C15" s="90">
        <f>viabs!AH8</f>
        <v>6607255</v>
      </c>
      <c r="D15" s="90">
        <f>viabs!AH9</f>
        <v>25947554</v>
      </c>
      <c r="E15" s="90">
        <f>viabs!AI8</f>
        <v>6328879</v>
      </c>
      <c r="F15" s="90">
        <f>viabs!AI9</f>
        <v>369231</v>
      </c>
      <c r="G15" s="90">
        <f>viabs!AH4</f>
        <v>0</v>
      </c>
      <c r="H15" s="90">
        <f>viabs!AG8</f>
        <v>11982013.73</v>
      </c>
      <c r="I15" s="90">
        <f>viabs!AG9</f>
        <v>6927535</v>
      </c>
      <c r="J15" s="91">
        <f>viabs!AH3</f>
        <v>7</v>
      </c>
      <c r="K15" s="90">
        <f>viabs!AH2</f>
        <v>2222876</v>
      </c>
      <c r="L15" s="158">
        <f t="shared" si="0"/>
        <v>60385343.730000004</v>
      </c>
      <c r="M15" s="159">
        <f>M14</f>
        <v>60385343</v>
      </c>
    </row>
    <row r="16" spans="1:13" x14ac:dyDescent="0.25">
      <c r="A16" s="71" t="s">
        <v>18</v>
      </c>
      <c r="B16" s="72" t="s">
        <v>43</v>
      </c>
      <c r="C16" s="74">
        <v>0</v>
      </c>
      <c r="D16" s="74" t="s">
        <v>44</v>
      </c>
      <c r="E16" s="74">
        <v>0</v>
      </c>
      <c r="F16" s="74" t="s">
        <v>44</v>
      </c>
      <c r="G16" s="81">
        <f ca="1">inputs!AO4</f>
        <v>0</v>
      </c>
      <c r="H16" s="81">
        <f ca="1">inputs!AN8</f>
        <v>0</v>
      </c>
      <c r="I16" s="81">
        <f ca="1">inputs!AN9</f>
        <v>0</v>
      </c>
      <c r="J16" s="83">
        <f>inputs!AO3</f>
        <v>0</v>
      </c>
      <c r="K16" s="82">
        <f>inputs!AO2</f>
        <v>0</v>
      </c>
      <c r="L16" s="73">
        <f t="shared" ca="1" si="0"/>
        <v>0</v>
      </c>
      <c r="M16" s="85">
        <v>106533245</v>
      </c>
    </row>
    <row r="17" spans="1:13" x14ac:dyDescent="0.25">
      <c r="A17" s="69" t="s">
        <v>18</v>
      </c>
      <c r="B17" s="70" t="s">
        <v>37</v>
      </c>
      <c r="C17" s="157"/>
      <c r="D17" s="157"/>
      <c r="E17" s="157"/>
      <c r="F17" s="157"/>
      <c r="G17" s="157">
        <f>viabs!AO4</f>
        <v>0</v>
      </c>
      <c r="H17" s="90">
        <f>viabs!AN8</f>
        <v>4070583</v>
      </c>
      <c r="I17" s="90">
        <f>viabs!AN9</f>
        <v>14956888</v>
      </c>
      <c r="J17" s="91">
        <f>viabs!AO3</f>
        <v>107</v>
      </c>
      <c r="K17" s="90">
        <f>viabs!AO2</f>
        <v>35524021</v>
      </c>
      <c r="L17" s="158">
        <f t="shared" si="0"/>
        <v>54551492</v>
      </c>
      <c r="M17" s="159">
        <f>M16</f>
        <v>106533245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C051-9BB8-43E1-86F4-817F1654B013}">
  <sheetPr>
    <tabColor theme="3" tint="9.9978637043366805E-2"/>
  </sheetPr>
  <dimension ref="A1:Y32"/>
  <sheetViews>
    <sheetView showGridLines="0" topLeftCell="B2" zoomScale="80" zoomScaleNormal="80" workbookViewId="0">
      <selection activeCell="AD20" sqref="AD20"/>
    </sheetView>
  </sheetViews>
  <sheetFormatPr defaultRowHeight="15" x14ac:dyDescent="0.25"/>
  <cols>
    <col min="1" max="1" width="8.7109375" style="6" customWidth="1"/>
    <col min="2" max="11" width="12.7109375" style="6" customWidth="1"/>
    <col min="12" max="15" width="15.7109375" style="6" customWidth="1"/>
    <col min="16" max="16" width="5.7109375" style="6" customWidth="1"/>
    <col min="17" max="17" width="9.140625" style="6"/>
    <col min="18" max="24" width="12.7109375" style="6" customWidth="1"/>
    <col min="25" max="16384" width="9.140625" style="6"/>
  </cols>
  <sheetData>
    <row r="1" spans="1:25" ht="26.25" x14ac:dyDescent="0.4">
      <c r="A1" s="87" t="s">
        <v>192</v>
      </c>
      <c r="Q1" s="87" t="s">
        <v>35</v>
      </c>
    </row>
    <row r="2" spans="1:25" s="126" customFormat="1" ht="15" customHeight="1" thickBot="1" x14ac:dyDescent="0.3">
      <c r="A2" s="125"/>
      <c r="C2" s="127" t="s">
        <v>53</v>
      </c>
      <c r="D2" s="128"/>
      <c r="E2" s="128"/>
      <c r="F2" s="128"/>
      <c r="I2" s="129" t="s">
        <v>54</v>
      </c>
      <c r="J2" s="130"/>
      <c r="K2" s="130"/>
      <c r="L2" s="130"/>
      <c r="M2" s="131"/>
      <c r="N2" s="131"/>
      <c r="O2" s="131"/>
    </row>
    <row r="3" spans="1:25" ht="30.75" thickTop="1" x14ac:dyDescent="0.25">
      <c r="A3" s="104" t="s">
        <v>38</v>
      </c>
      <c r="B3" s="105" t="s">
        <v>39</v>
      </c>
      <c r="C3" s="121" t="s">
        <v>296</v>
      </c>
      <c r="D3" s="122" t="s">
        <v>297</v>
      </c>
      <c r="E3" s="123" t="s">
        <v>50</v>
      </c>
      <c r="F3" s="124" t="s">
        <v>55</v>
      </c>
      <c r="G3" s="107" t="s">
        <v>56</v>
      </c>
      <c r="H3" s="108" t="s">
        <v>57</v>
      </c>
      <c r="I3" s="109" t="s">
        <v>58</v>
      </c>
      <c r="J3" s="106" t="s">
        <v>59</v>
      </c>
      <c r="K3" s="106" t="s">
        <v>60</v>
      </c>
      <c r="L3" s="110" t="s">
        <v>61</v>
      </c>
      <c r="M3" s="110" t="s">
        <v>62</v>
      </c>
      <c r="N3" s="110" t="s">
        <v>63</v>
      </c>
      <c r="O3" s="111" t="s">
        <v>64</v>
      </c>
      <c r="Q3" s="76" t="s">
        <v>38</v>
      </c>
      <c r="R3" s="136" t="s">
        <v>46</v>
      </c>
      <c r="S3" s="79" t="s">
        <v>47</v>
      </c>
      <c r="T3" s="79" t="s">
        <v>49</v>
      </c>
      <c r="U3" s="137" t="s">
        <v>48</v>
      </c>
      <c r="V3" s="137" t="s">
        <v>51</v>
      </c>
      <c r="W3" s="137" t="s">
        <v>50</v>
      </c>
      <c r="X3" s="80" t="s">
        <v>52</v>
      </c>
      <c r="Y3" s="78" t="s">
        <v>30</v>
      </c>
    </row>
    <row r="4" spans="1:25" x14ac:dyDescent="0.25">
      <c r="A4" s="25" t="s">
        <v>12</v>
      </c>
      <c r="B4" s="26" t="s">
        <v>35</v>
      </c>
      <c r="C4" s="26">
        <f>R4</f>
        <v>0</v>
      </c>
      <c r="D4" s="26">
        <f>S4+T4</f>
        <v>0</v>
      </c>
      <c r="E4" s="26">
        <f>U4+W4+V4</f>
        <v>0</v>
      </c>
      <c r="F4" s="93">
        <f>X4</f>
        <v>0</v>
      </c>
      <c r="G4" s="113">
        <f>SUM(C4:F4)</f>
        <v>0</v>
      </c>
      <c r="H4" s="114">
        <f>G4-C4</f>
        <v>0</v>
      </c>
      <c r="I4" s="112">
        <f>COUNTIFS(
    unis[empresa], $A4,
    unis[especie],I$3
)</f>
        <v>0</v>
      </c>
      <c r="J4" s="26">
        <f>COUNTIFS(
    unis[empresa], $A4,
    unis[especie],J$3
)</f>
        <v>0</v>
      </c>
      <c r="K4" s="26">
        <f>COUNTIFS(
    unis[empresa], $A4,
    unis[especie],K$3
)</f>
        <v>0</v>
      </c>
      <c r="L4" s="75">
        <f>COUNTIFS(
    estq[empresa], $A4,
    estq[especie], "Garagem",
    estq[Planta], "Vagas Autônomas"
)</f>
        <v>0</v>
      </c>
      <c r="M4" s="26"/>
      <c r="N4" s="26"/>
      <c r="O4" s="28"/>
      <c r="Q4" s="76" t="s">
        <v>12</v>
      </c>
      <c r="R4" s="61">
        <f>COUNTIFS(
    estq[empresa], $Q4,
    estq[Status],R$3)</f>
        <v>0</v>
      </c>
      <c r="S4" s="61">
        <f>COUNTIFS(
    estq[empresa], $Q4,
    estq[Status],S$3)</f>
        <v>0</v>
      </c>
      <c r="T4" s="61">
        <f>COUNTIFS(
    estq[empresa], $Q4,
    estq[Status],T$3)</f>
        <v>0</v>
      </c>
      <c r="U4" s="61">
        <f>COUNTIFS(
    estq[empresa], $Q4,
    estq[Status],U$3)</f>
        <v>0</v>
      </c>
      <c r="V4" s="61">
        <f>COUNTIFS(
    estq[empresa], $Q4,
    estq[Status],V$3)</f>
        <v>0</v>
      </c>
      <c r="W4" s="61">
        <f>COUNTIFS(
    estq[empresa], $Q4,
    estq[Status],W$3)</f>
        <v>0</v>
      </c>
      <c r="X4" s="61">
        <f>COUNTIFS(
    estq[empresa], $Q4,
    estq[Status],X$3)</f>
        <v>0</v>
      </c>
      <c r="Y4" s="77">
        <f t="shared" ref="Y4:Y11" si="0">SUM(R4:X4)</f>
        <v>0</v>
      </c>
    </row>
    <row r="5" spans="1:25" x14ac:dyDescent="0.25">
      <c r="A5" s="95" t="s">
        <v>12</v>
      </c>
      <c r="B5" s="96" t="s">
        <v>34</v>
      </c>
      <c r="C5" s="96">
        <f>COUNTIFS(
    unis[empresa], $A7,
    unis[situacao], C$3
)</f>
        <v>0</v>
      </c>
      <c r="D5" s="96">
        <f>COUNTIFS(
    unis[empresa], $A7,
    unis[situacao], D$3
)</f>
        <v>0</v>
      </c>
      <c r="E5" s="96">
        <f>COUNTIFS(
    unis[empresa], $A5,
    unis[situacao], E$3
)
+COUNTIFS(
    unis[empresa], $A5,
    unis[situacao], F$3,
    unis[data], "&gt;" &amp; inputs!$A$1
)</f>
        <v>0</v>
      </c>
      <c r="F5" s="94">
        <f>COUNTIFS(
    unis[empresa], $A5,
    unis[situacao], F$3,
    unis[data], "&lt;=" &amp; inputs!$A$1
)</f>
        <v>0</v>
      </c>
      <c r="G5" s="115">
        <f t="shared" ref="G5:G31" si="1">SUM(C5:F5)</f>
        <v>0</v>
      </c>
      <c r="H5" s="116">
        <f t="shared" ref="H5:H31" si="2">G5-C5</f>
        <v>0</v>
      </c>
      <c r="I5" s="102">
        <f>COUNTIFS(
    unis[empresa], $A5,
    unis[especie],I$3
)</f>
        <v>0</v>
      </c>
      <c r="J5" s="96">
        <f>COUNTIFS(
    estq[empresa], $A5,
    estq[especie],J$3
)</f>
        <v>0</v>
      </c>
      <c r="K5" s="96">
        <f>COUNTIFS(
    estq[empresa], $A5,
    estq[especie],K$3
)
+COUNTIFS(
    unis[empresa], $A5,
    unis[especie],"Moto"
)</f>
        <v>0</v>
      </c>
      <c r="L5" s="138">
        <f>COUNTIFS(
    unis[empresa], $A4,
    unis[especie], "Garagem",
    unis[obs.situacao], "*venda*"
)</f>
        <v>0</v>
      </c>
      <c r="M5" s="96"/>
      <c r="N5" s="138">
        <f>COUNTIFS(
    unis[empresa], $A5,
    unis[especie], "Moto",
    unis[obs.situacao], "*venda*"
)</f>
        <v>0</v>
      </c>
      <c r="O5" s="139">
        <f>COUNTIFS(
    unis[empresa], $A5,
    unis[especie], "Moto"
)-N$5</f>
        <v>0</v>
      </c>
      <c r="Q5" s="76" t="s">
        <v>13</v>
      </c>
      <c r="R5" s="61">
        <f>COUNTIFS(
    estq[empresa], $Q5,
    estq[Status],R$3)</f>
        <v>0</v>
      </c>
      <c r="S5" s="61">
        <f>COUNTIFS(
    estq[empresa], $Q5,
    estq[Status],S$3)</f>
        <v>0</v>
      </c>
      <c r="T5" s="61">
        <f>COUNTIFS(
    estq[empresa], $Q5,
    estq[Status],T$3)</f>
        <v>0</v>
      </c>
      <c r="U5" s="61">
        <f>COUNTIFS(
    estq[empresa], $Q5,
    estq[Status],U$3)</f>
        <v>0</v>
      </c>
      <c r="V5" s="61">
        <f>COUNTIFS(
    estq[empresa], $Q5,
    estq[Status],V$3)</f>
        <v>0</v>
      </c>
      <c r="W5" s="61">
        <f>COUNTIFS(
    estq[empresa], $Q5,
    estq[Status],W$3)</f>
        <v>0</v>
      </c>
      <c r="X5" s="61">
        <f>COUNTIFS(
    estq[empresa], $Q5,
    estq[Status],X$3)</f>
        <v>0</v>
      </c>
      <c r="Y5" s="77">
        <f t="shared" si="0"/>
        <v>0</v>
      </c>
    </row>
    <row r="6" spans="1:25" x14ac:dyDescent="0.25">
      <c r="A6" s="95" t="s">
        <v>12</v>
      </c>
      <c r="B6" s="96" t="s">
        <v>37</v>
      </c>
      <c r="C6" s="132">
        <v>10</v>
      </c>
      <c r="D6" s="132">
        <v>6</v>
      </c>
      <c r="E6" s="132">
        <v>6</v>
      </c>
      <c r="F6" s="133">
        <v>84</v>
      </c>
      <c r="G6" s="115">
        <f t="shared" si="1"/>
        <v>106</v>
      </c>
      <c r="H6" s="116">
        <f t="shared" si="2"/>
        <v>96</v>
      </c>
      <c r="I6" s="134"/>
      <c r="J6" s="132"/>
      <c r="K6" s="132"/>
      <c r="L6" s="132"/>
      <c r="M6" s="132"/>
      <c r="N6" s="132"/>
      <c r="O6" s="135"/>
      <c r="Q6" s="76" t="s">
        <v>14</v>
      </c>
      <c r="R6" s="61">
        <f>COUNTIFS(
    estq[empresa], $Q6,
    estq[Status],R$3)</f>
        <v>0</v>
      </c>
      <c r="S6" s="61">
        <f>COUNTIFS(
    estq[empresa], $Q6,
    estq[Status],S$3)</f>
        <v>0</v>
      </c>
      <c r="T6" s="61">
        <f>COUNTIFS(
    estq[empresa], $Q6,
    estq[Status],T$3)</f>
        <v>0</v>
      </c>
      <c r="U6" s="61">
        <f>COUNTIFS(
    estq[empresa], $Q6,
    estq[Status],U$3)</f>
        <v>0</v>
      </c>
      <c r="V6" s="61">
        <f>COUNTIFS(
    estq[empresa], $Q6,
    estq[Status],V$3)</f>
        <v>0</v>
      </c>
      <c r="W6" s="61">
        <f>COUNTIFS(
    estq[empresa], $Q6,
    estq[Status],W$3)</f>
        <v>0</v>
      </c>
      <c r="X6" s="61">
        <f>COUNTIFS(
    estq[empresa], $Q6,
    estq[Status],X$3)</f>
        <v>0</v>
      </c>
      <c r="Y6" s="77">
        <f t="shared" si="0"/>
        <v>0</v>
      </c>
    </row>
    <row r="7" spans="1:25" x14ac:dyDescent="0.25">
      <c r="A7" s="97" t="s">
        <v>12</v>
      </c>
      <c r="B7" s="98" t="s">
        <v>65</v>
      </c>
      <c r="C7" s="99"/>
      <c r="D7" s="99"/>
      <c r="E7" s="99"/>
      <c r="F7" s="101"/>
      <c r="G7" s="117">
        <f t="shared" si="1"/>
        <v>0</v>
      </c>
      <c r="H7" s="118">
        <f t="shared" si="2"/>
        <v>0</v>
      </c>
      <c r="I7" s="103"/>
      <c r="J7" s="99"/>
      <c r="K7" s="99"/>
      <c r="L7" s="99"/>
      <c r="M7" s="99"/>
      <c r="N7" s="99"/>
      <c r="O7" s="100"/>
      <c r="Q7" s="76" t="s">
        <v>15</v>
      </c>
      <c r="R7" s="61">
        <f>COUNTIFS(
    estq[empresa], $Q7,
    estq[Status],R$3)</f>
        <v>0</v>
      </c>
      <c r="S7" s="61">
        <f>COUNTIFS(
    estq[empresa], $Q7,
    estq[Status],S$3)</f>
        <v>0</v>
      </c>
      <c r="T7" s="61">
        <f>COUNTIFS(
    estq[empresa], $Q7,
    estq[Status],T$3)</f>
        <v>0</v>
      </c>
      <c r="U7" s="61">
        <f>COUNTIFS(
    estq[empresa], $Q7,
    estq[Status],U$3)</f>
        <v>0</v>
      </c>
      <c r="V7" s="61">
        <f>COUNTIFS(
    estq[empresa], $Q7,
    estq[Status],V$3)</f>
        <v>0</v>
      </c>
      <c r="W7" s="61">
        <f>COUNTIFS(
    estq[empresa], $Q7,
    estq[Status],W$3)</f>
        <v>0</v>
      </c>
      <c r="X7" s="61">
        <f>COUNTIFS(
    estq[empresa], $Q7,
    estq[Status],X$3)</f>
        <v>0</v>
      </c>
      <c r="Y7" s="77">
        <f t="shared" si="0"/>
        <v>0</v>
      </c>
    </row>
    <row r="8" spans="1:25" x14ac:dyDescent="0.25">
      <c r="A8" s="25" t="s">
        <v>13</v>
      </c>
      <c r="B8" s="26" t="s">
        <v>35</v>
      </c>
      <c r="C8" s="26">
        <f>R5</f>
        <v>0</v>
      </c>
      <c r="D8" s="26">
        <f>S5+T5</f>
        <v>0</v>
      </c>
      <c r="E8" s="26">
        <f>U5+W5+V5</f>
        <v>0</v>
      </c>
      <c r="F8" s="93">
        <f>X5</f>
        <v>0</v>
      </c>
      <c r="G8" s="113">
        <f t="shared" si="1"/>
        <v>0</v>
      </c>
      <c r="H8" s="114">
        <f t="shared" si="2"/>
        <v>0</v>
      </c>
      <c r="I8" s="112">
        <f>COUNTIFS(
    unis[empresa], $A8,
    unis[especie],I$3
)</f>
        <v>0</v>
      </c>
      <c r="J8" s="26">
        <f>COUNTIFS(
    unis[empresa], $A8,
    unis[especie],J$3
)</f>
        <v>0</v>
      </c>
      <c r="K8" s="26">
        <f>COUNTIFS(
    unis[empresa], $A8,
    unis[especie],K$3
)</f>
        <v>0</v>
      </c>
      <c r="L8" s="26"/>
      <c r="M8" s="26"/>
      <c r="N8" s="26"/>
      <c r="O8" s="28"/>
      <c r="Q8" s="76" t="s">
        <v>16</v>
      </c>
      <c r="R8" s="61">
        <f>COUNTIFS(
    estq[empresa], $Q8,
    estq[Status],R$3)</f>
        <v>0</v>
      </c>
      <c r="S8" s="61">
        <f>COUNTIFS(
    estq[empresa], $Q8,
    estq[Status],S$3)</f>
        <v>0</v>
      </c>
      <c r="T8" s="61">
        <f>COUNTIFS(
    estq[empresa], $Q8,
    estq[Status],T$3)</f>
        <v>0</v>
      </c>
      <c r="U8" s="61">
        <f>COUNTIFS(
    estq[empresa], $Q8,
    estq[Status],U$3)</f>
        <v>0</v>
      </c>
      <c r="V8" s="61">
        <f>COUNTIFS(
    estq[empresa], $Q8,
    estq[Status],V$3)</f>
        <v>0</v>
      </c>
      <c r="W8" s="61">
        <f>COUNTIFS(
    estq[empresa], $Q8,
    estq[Status],W$3)</f>
        <v>0</v>
      </c>
      <c r="X8" s="61">
        <f>COUNTIFS(
    estq[empresa], $Q8,
    estq[Status],X$3)</f>
        <v>0</v>
      </c>
      <c r="Y8" s="77">
        <f t="shared" si="0"/>
        <v>0</v>
      </c>
    </row>
    <row r="9" spans="1:25" x14ac:dyDescent="0.25">
      <c r="A9" s="95" t="s">
        <v>13</v>
      </c>
      <c r="B9" s="96" t="s">
        <v>34</v>
      </c>
      <c r="C9" s="96">
        <f>COUNTIFS(
    unis[empresa], $A11,
    unis[situacao], C$3
)</f>
        <v>0</v>
      </c>
      <c r="D9" s="96">
        <f>COUNTIFS(
    unis[empresa], $A11,
    unis[situacao], D$3
)</f>
        <v>0</v>
      </c>
      <c r="E9" s="96">
        <f>COUNTIFS(
    unis[empresa], $A9,
    unis[situacao], E$3
)
+COUNTIFS(
    unis[empresa], $A9,
    unis[situacao], F$3,
    unis[data], "&gt;" &amp; inputs!$A$1
)</f>
        <v>0</v>
      </c>
      <c r="F9" s="94">
        <f>COUNTIFS(
    unis[empresa], $A9,
    unis[situacao], F$3,
    unis[data], "&lt;=" &amp; inputs!$A$1
)</f>
        <v>0</v>
      </c>
      <c r="G9" s="115">
        <f t="shared" si="1"/>
        <v>0</v>
      </c>
      <c r="H9" s="116">
        <f t="shared" si="2"/>
        <v>0</v>
      </c>
      <c r="I9" s="102">
        <f>COUNTIFS(
    unis[empresa], $A9,
    unis[especie],I$3
)</f>
        <v>0</v>
      </c>
      <c r="J9" s="96">
        <f>COUNTIFS(
    estq[empresa], $A9,
    estq[especie],J$3
)</f>
        <v>0</v>
      </c>
      <c r="K9" s="96">
        <f>COUNTIFS(
    estq[empresa], $A9,
    estq[especie],K$3
)
+COUNTIFS(
    unis[empresa], $A9,
    unis[especie],"Moto"
)</f>
        <v>0</v>
      </c>
      <c r="L9" s="96"/>
      <c r="M9" s="96"/>
      <c r="N9" s="96"/>
      <c r="O9" s="92"/>
      <c r="Q9" s="76" t="s">
        <v>17</v>
      </c>
      <c r="R9" s="61">
        <f>COUNTIFS(
    estq[empresa], $Q9,
    estq[Status],R$3)</f>
        <v>0</v>
      </c>
      <c r="S9" s="61">
        <f>COUNTIFS(
    estq[empresa], $Q9,
    estq[Status],S$3)</f>
        <v>0</v>
      </c>
      <c r="T9" s="61">
        <f>COUNTIFS(
    estq[empresa], $Q9,
    estq[Status],T$3)</f>
        <v>0</v>
      </c>
      <c r="U9" s="61">
        <f>COUNTIFS(
    estq[empresa], $Q9,
    estq[Status],U$3)</f>
        <v>0</v>
      </c>
      <c r="V9" s="61">
        <f>COUNTIFS(
    estq[empresa], $Q9,
    estq[Status],V$3)</f>
        <v>0</v>
      </c>
      <c r="W9" s="61">
        <f>COUNTIFS(
    estq[empresa], $Q9,
    estq[Status],W$3)</f>
        <v>0</v>
      </c>
      <c r="X9" s="61">
        <f>COUNTIFS(
    estq[empresa], $Q9,
    estq[Status],X$3)</f>
        <v>0</v>
      </c>
      <c r="Y9" s="77">
        <f t="shared" si="0"/>
        <v>0</v>
      </c>
    </row>
    <row r="10" spans="1:25" x14ac:dyDescent="0.25">
      <c r="A10" s="95" t="s">
        <v>13</v>
      </c>
      <c r="B10" s="96" t="s">
        <v>37</v>
      </c>
      <c r="C10" s="132">
        <v>23</v>
      </c>
      <c r="D10" s="132">
        <v>5</v>
      </c>
      <c r="E10" s="132">
        <v>1</v>
      </c>
      <c r="F10" s="133">
        <v>151</v>
      </c>
      <c r="G10" s="115">
        <f t="shared" si="1"/>
        <v>180</v>
      </c>
      <c r="H10" s="116">
        <f t="shared" si="2"/>
        <v>157</v>
      </c>
      <c r="I10" s="134"/>
      <c r="J10" s="132"/>
      <c r="K10" s="132"/>
      <c r="L10" s="132"/>
      <c r="M10" s="132"/>
      <c r="N10" s="132"/>
      <c r="O10" s="135"/>
      <c r="Q10" s="76" t="s">
        <v>18</v>
      </c>
      <c r="R10" s="61">
        <f>COUNTIFS(
    estq[empresa], $Q10,
    estq[Status],R$3)</f>
        <v>0</v>
      </c>
      <c r="S10" s="61">
        <f>COUNTIFS(
    estq[empresa], $Q10,
    estq[Status],S$3)</f>
        <v>0</v>
      </c>
      <c r="T10" s="61">
        <f>COUNTIFS(
    estq[empresa], $Q10,
    estq[Status],T$3)</f>
        <v>0</v>
      </c>
      <c r="U10" s="61">
        <f>COUNTIFS(
    estq[empresa], $Q10,
    estq[Status],U$3)</f>
        <v>0</v>
      </c>
      <c r="V10" s="61">
        <f>COUNTIFS(
    estq[empresa], $Q10,
    estq[Status],V$3)</f>
        <v>0</v>
      </c>
      <c r="W10" s="61">
        <f>COUNTIFS(
    estq[empresa], $Q10,
    estq[Status],W$3)</f>
        <v>0</v>
      </c>
      <c r="X10" s="61">
        <f>COUNTIFS(
    estq[empresa], $Q10,
    estq[Status],X$3)</f>
        <v>0</v>
      </c>
      <c r="Y10" s="77">
        <f t="shared" si="0"/>
        <v>0</v>
      </c>
    </row>
    <row r="11" spans="1:25" x14ac:dyDescent="0.25">
      <c r="A11" s="97" t="s">
        <v>13</v>
      </c>
      <c r="B11" s="98" t="s">
        <v>65</v>
      </c>
      <c r="C11" s="99"/>
      <c r="D11" s="99"/>
      <c r="E11" s="99"/>
      <c r="F11" s="101"/>
      <c r="G11" s="117">
        <f t="shared" si="1"/>
        <v>0</v>
      </c>
      <c r="H11" s="118">
        <f t="shared" si="2"/>
        <v>0</v>
      </c>
      <c r="I11" s="103"/>
      <c r="J11" s="99"/>
      <c r="K11" s="99"/>
      <c r="L11" s="99"/>
      <c r="M11" s="99"/>
      <c r="N11" s="99"/>
      <c r="O11" s="100"/>
      <c r="Q11" s="78" t="s">
        <v>30</v>
      </c>
      <c r="R11" s="77">
        <f t="shared" ref="R11:S11" si="3">SUM(R4:R10)</f>
        <v>0</v>
      </c>
      <c r="S11" s="77">
        <f t="shared" si="3"/>
        <v>0</v>
      </c>
      <c r="T11" s="77">
        <f>SUM(T4:T10)</f>
        <v>0</v>
      </c>
      <c r="U11" s="77">
        <f>SUM(U4:U10)</f>
        <v>0</v>
      </c>
      <c r="V11" s="77">
        <f>SUM(V4:V10)</f>
        <v>0</v>
      </c>
      <c r="W11" s="77">
        <f>SUM(W4:W10)</f>
        <v>0</v>
      </c>
      <c r="X11" s="77">
        <f>SUM(X4:X10)</f>
        <v>0</v>
      </c>
      <c r="Y11" s="77">
        <f t="shared" si="0"/>
        <v>0</v>
      </c>
    </row>
    <row r="12" spans="1:25" x14ac:dyDescent="0.25">
      <c r="A12" s="25" t="s">
        <v>14</v>
      </c>
      <c r="B12" s="26" t="s">
        <v>35</v>
      </c>
      <c r="C12" s="26">
        <f>R6</f>
        <v>0</v>
      </c>
      <c r="D12" s="26">
        <f>S6+T6</f>
        <v>0</v>
      </c>
      <c r="E12" s="26">
        <f>U6+W6+V6</f>
        <v>0</v>
      </c>
      <c r="F12" s="93">
        <f>X6</f>
        <v>0</v>
      </c>
      <c r="G12" s="113">
        <f t="shared" si="1"/>
        <v>0</v>
      </c>
      <c r="H12" s="114">
        <f t="shared" si="2"/>
        <v>0</v>
      </c>
      <c r="I12" s="112">
        <f>COUNTIFS(
    unis[empresa], $A12,
    unis[especie],I$3
)</f>
        <v>0</v>
      </c>
      <c r="J12" s="26">
        <f>COUNTIFS(
    unis[empresa], $A12,
    unis[especie],J$3
)</f>
        <v>0</v>
      </c>
      <c r="K12" s="26">
        <f>COUNTIFS(
    unis[empresa], $A12,
    unis[especie],K$3
)</f>
        <v>0</v>
      </c>
      <c r="L12" s="26"/>
      <c r="M12" s="26"/>
      <c r="N12" s="26"/>
      <c r="O12" s="28"/>
    </row>
    <row r="13" spans="1:25" x14ac:dyDescent="0.25">
      <c r="A13" s="95" t="s">
        <v>14</v>
      </c>
      <c r="B13" s="96" t="s">
        <v>34</v>
      </c>
      <c r="C13" s="96">
        <f>COUNTIFS(
    unis[empresa], $A15,
    unis[situacao], C$3
)</f>
        <v>0</v>
      </c>
      <c r="D13" s="96">
        <f>COUNTIFS(
    unis[empresa], $A15,
    unis[situacao], D$3
)</f>
        <v>0</v>
      </c>
      <c r="E13" s="96">
        <f>COUNTIFS(
    unis[empresa], $A13,
    unis[situacao], E$3
)
+COUNTIFS(
    unis[empresa], $A13,
    unis[situacao], F$3,
    unis[data], "&gt;" &amp; inputs!$A$1
)</f>
        <v>0</v>
      </c>
      <c r="F13" s="94">
        <f>COUNTIFS(
    unis[empresa], $A13,
    unis[situacao], F$3,
    unis[data], "&lt;=" &amp; inputs!$A$1
)</f>
        <v>0</v>
      </c>
      <c r="G13" s="115">
        <f t="shared" si="1"/>
        <v>0</v>
      </c>
      <c r="H13" s="116">
        <f t="shared" si="2"/>
        <v>0</v>
      </c>
      <c r="I13" s="102">
        <f>COUNTIFS(
    unis[empresa], $A13,
    unis[especie],I$3
)</f>
        <v>0</v>
      </c>
      <c r="J13" s="96">
        <f>COUNTIFS(
    estq[empresa], $A13,
    estq[especie],J$3
)</f>
        <v>0</v>
      </c>
      <c r="K13" s="96">
        <f>COUNTIFS(
    estq[empresa], $A13,
    estq[especie],K$3
)
+COUNTIFS(
    unis[empresa], $A13,
    unis[especie],"Moto"
)</f>
        <v>0</v>
      </c>
      <c r="L13" s="96"/>
      <c r="M13" s="96"/>
      <c r="N13" s="96"/>
      <c r="O13" s="92"/>
    </row>
    <row r="14" spans="1:25" x14ac:dyDescent="0.25">
      <c r="A14" s="95" t="s">
        <v>14</v>
      </c>
      <c r="B14" s="96" t="s">
        <v>37</v>
      </c>
      <c r="C14" s="132">
        <v>0</v>
      </c>
      <c r="D14" s="132">
        <v>2</v>
      </c>
      <c r="E14" s="132">
        <v>11</v>
      </c>
      <c r="F14" s="133">
        <v>128</v>
      </c>
      <c r="G14" s="115">
        <f t="shared" si="1"/>
        <v>141</v>
      </c>
      <c r="H14" s="116">
        <f t="shared" si="2"/>
        <v>141</v>
      </c>
      <c r="I14" s="134"/>
      <c r="J14" s="132"/>
      <c r="K14" s="132"/>
      <c r="L14" s="132"/>
      <c r="M14" s="132"/>
      <c r="N14" s="132"/>
      <c r="O14" s="135"/>
    </row>
    <row r="15" spans="1:25" x14ac:dyDescent="0.25">
      <c r="A15" s="97" t="s">
        <v>14</v>
      </c>
      <c r="B15" s="98" t="s">
        <v>65</v>
      </c>
      <c r="C15" s="99"/>
      <c r="D15" s="99"/>
      <c r="E15" s="99"/>
      <c r="F15" s="101"/>
      <c r="G15" s="117">
        <f t="shared" si="1"/>
        <v>0</v>
      </c>
      <c r="H15" s="118">
        <f t="shared" si="2"/>
        <v>0</v>
      </c>
      <c r="I15" s="103"/>
      <c r="J15" s="99"/>
      <c r="K15" s="99"/>
      <c r="L15" s="99"/>
      <c r="M15" s="99"/>
      <c r="N15" s="99"/>
      <c r="O15" s="100"/>
    </row>
    <row r="16" spans="1:25" x14ac:dyDescent="0.25">
      <c r="A16" s="25" t="s">
        <v>15</v>
      </c>
      <c r="B16" s="26" t="s">
        <v>35</v>
      </c>
      <c r="C16" s="26">
        <f>R7</f>
        <v>0</v>
      </c>
      <c r="D16" s="26">
        <f>S7+T7</f>
        <v>0</v>
      </c>
      <c r="E16" s="26">
        <f>U7+W7+V7</f>
        <v>0</v>
      </c>
      <c r="F16" s="93">
        <f>X7</f>
        <v>0</v>
      </c>
      <c r="G16" s="113">
        <f t="shared" si="1"/>
        <v>0</v>
      </c>
      <c r="H16" s="114">
        <f t="shared" si="2"/>
        <v>0</v>
      </c>
      <c r="I16" s="112">
        <f>COUNTIFS(
    unis[empresa], $A16,
    unis[especie],I$3
)</f>
        <v>0</v>
      </c>
      <c r="J16" s="26">
        <f>COUNTIFS(
    unis[empresa], $A16,
    unis[especie],J$3
)</f>
        <v>0</v>
      </c>
      <c r="K16" s="26">
        <f>COUNTIFS(
    unis[empresa], $A16,
    unis[especie],K$3
)</f>
        <v>0</v>
      </c>
      <c r="L16" s="26"/>
      <c r="M16" s="26"/>
      <c r="N16" s="26"/>
      <c r="O16" s="28"/>
    </row>
    <row r="17" spans="1:15" x14ac:dyDescent="0.25">
      <c r="A17" s="95" t="s">
        <v>15</v>
      </c>
      <c r="B17" s="96" t="s">
        <v>34</v>
      </c>
      <c r="C17" s="96">
        <f>COUNTIFS(
    unis[empresa], $A19,
    unis[situacao], C$3
)</f>
        <v>0</v>
      </c>
      <c r="D17" s="96">
        <f>COUNTIFS(
    unis[empresa], $A19,
    unis[situacao], D$3
)</f>
        <v>0</v>
      </c>
      <c r="E17" s="96">
        <f>COUNTIFS(
    unis[empresa], $A17,
    unis[situacao], E$3
)
+COUNTIFS(
    unis[empresa], $A17,
    unis[situacao], F$3,
    unis[data], "&gt;" &amp; inputs!$A$1
)</f>
        <v>0</v>
      </c>
      <c r="F17" s="94">
        <f>COUNTIFS(
    unis[empresa], $A17,
    unis[situacao], F$3,
    unis[data], "&lt;=" &amp; inputs!$A$1
)</f>
        <v>0</v>
      </c>
      <c r="G17" s="115">
        <f t="shared" si="1"/>
        <v>0</v>
      </c>
      <c r="H17" s="116">
        <f t="shared" si="2"/>
        <v>0</v>
      </c>
      <c r="I17" s="102">
        <f>COUNTIFS(
    unis[empresa], $A17,
    unis[especie],I$3
)</f>
        <v>0</v>
      </c>
      <c r="J17" s="96">
        <f>COUNTIFS(
    estq[empresa], $A17,
    estq[especie],J$3
)</f>
        <v>0</v>
      </c>
      <c r="K17" s="96">
        <f>COUNTIFS(
    estq[empresa], $A17,
    estq[especie],K$3
)
+COUNTIFS(
    unis[empresa], $A17,
    unis[especie],"Moto"
)</f>
        <v>0</v>
      </c>
      <c r="L17" s="96"/>
      <c r="M17" s="96"/>
      <c r="N17" s="96"/>
      <c r="O17" s="92"/>
    </row>
    <row r="18" spans="1:15" x14ac:dyDescent="0.25">
      <c r="A18" s="95" t="s">
        <v>15</v>
      </c>
      <c r="B18" s="96" t="s">
        <v>37</v>
      </c>
      <c r="C18" s="132">
        <v>12</v>
      </c>
      <c r="D18" s="132">
        <v>0</v>
      </c>
      <c r="E18" s="132">
        <v>93</v>
      </c>
      <c r="F18" s="133">
        <v>121</v>
      </c>
      <c r="G18" s="115">
        <f t="shared" si="1"/>
        <v>226</v>
      </c>
      <c r="H18" s="116">
        <f t="shared" si="2"/>
        <v>214</v>
      </c>
      <c r="I18" s="134"/>
      <c r="J18" s="132"/>
      <c r="K18" s="132"/>
      <c r="L18" s="132"/>
      <c r="M18" s="132"/>
      <c r="N18" s="132"/>
      <c r="O18" s="135"/>
    </row>
    <row r="19" spans="1:15" x14ac:dyDescent="0.25">
      <c r="A19" s="97" t="s">
        <v>15</v>
      </c>
      <c r="B19" s="98" t="s">
        <v>65</v>
      </c>
      <c r="C19" s="99"/>
      <c r="D19" s="99"/>
      <c r="E19" s="99"/>
      <c r="F19" s="101"/>
      <c r="G19" s="117">
        <f t="shared" si="1"/>
        <v>0</v>
      </c>
      <c r="H19" s="118">
        <f t="shared" si="2"/>
        <v>0</v>
      </c>
      <c r="I19" s="103"/>
      <c r="J19" s="99"/>
      <c r="K19" s="99"/>
      <c r="L19" s="99"/>
      <c r="M19" s="99"/>
      <c r="N19" s="99"/>
      <c r="O19" s="100"/>
    </row>
    <row r="20" spans="1:15" x14ac:dyDescent="0.25">
      <c r="A20" s="25" t="s">
        <v>16</v>
      </c>
      <c r="B20" s="26" t="s">
        <v>35</v>
      </c>
      <c r="C20" s="26">
        <f>R8</f>
        <v>0</v>
      </c>
      <c r="D20" s="26">
        <f>S8+T8</f>
        <v>0</v>
      </c>
      <c r="E20" s="26">
        <f>U8+W8+V8</f>
        <v>0</v>
      </c>
      <c r="F20" s="93">
        <f>X8</f>
        <v>0</v>
      </c>
      <c r="G20" s="113">
        <f t="shared" si="1"/>
        <v>0</v>
      </c>
      <c r="H20" s="114">
        <f t="shared" si="2"/>
        <v>0</v>
      </c>
      <c r="I20" s="112">
        <f>COUNTIFS(
    unis[empresa], $A20,
    unis[especie],I$3
)</f>
        <v>0</v>
      </c>
      <c r="J20" s="26">
        <f>COUNTIFS(
    unis[empresa], $A20,
    unis[especie],J$3
)</f>
        <v>0</v>
      </c>
      <c r="K20" s="26">
        <f>COUNTIFS(
    unis[empresa], $A20,
    unis[especie],K$3
)</f>
        <v>0</v>
      </c>
      <c r="L20" s="26"/>
      <c r="M20" s="26"/>
      <c r="N20" s="26"/>
      <c r="O20" s="28"/>
    </row>
    <row r="21" spans="1:15" x14ac:dyDescent="0.25">
      <c r="A21" s="95" t="s">
        <v>16</v>
      </c>
      <c r="B21" s="96" t="s">
        <v>34</v>
      </c>
      <c r="C21" s="96">
        <f>COUNTIFS(
    unis[empresa], $A23,
    unis[situacao], C$3
)</f>
        <v>0</v>
      </c>
      <c r="D21" s="96">
        <f>COUNTIFS(
    unis[empresa], $A23,
    unis[situacao], D$3
)</f>
        <v>0</v>
      </c>
      <c r="E21" s="96">
        <f>COUNTIFS(
    unis[empresa], $A21,
    unis[situacao], E$3
)
+COUNTIFS(
    unis[empresa], $A21,
    unis[situacao], F$3,
    unis[data], "&gt;" &amp; inputs!$A$1
)</f>
        <v>0</v>
      </c>
      <c r="F21" s="94">
        <f>COUNTIFS(
    unis[empresa], $A21,
    unis[situacao], F$3,
    unis[data], "&lt;=" &amp; inputs!$A$1
)</f>
        <v>0</v>
      </c>
      <c r="G21" s="115">
        <f t="shared" si="1"/>
        <v>0</v>
      </c>
      <c r="H21" s="116">
        <f t="shared" si="2"/>
        <v>0</v>
      </c>
      <c r="I21" s="102">
        <f>COUNTIFS(
    unis[empresa], $A21,
    unis[especie],I$3
)</f>
        <v>0</v>
      </c>
      <c r="J21" s="96">
        <f>COUNTIFS(
    estq[empresa], $A21,
    estq[especie],J$3
)</f>
        <v>0</v>
      </c>
      <c r="K21" s="96">
        <f>COUNTIFS(
    estq[empresa], $A21,
    estq[especie],K$3
)
+COUNTIFS(
    unis[empresa], $A21,
    unis[especie],"Moto"
)</f>
        <v>0</v>
      </c>
      <c r="L21" s="96"/>
      <c r="M21" s="96"/>
      <c r="N21" s="96"/>
      <c r="O21" s="92"/>
    </row>
    <row r="22" spans="1:15" x14ac:dyDescent="0.25">
      <c r="A22" s="95" t="s">
        <v>16</v>
      </c>
      <c r="B22" s="96" t="s">
        <v>37</v>
      </c>
      <c r="C22" s="132">
        <v>16</v>
      </c>
      <c r="D22" s="132">
        <v>1</v>
      </c>
      <c r="E22" s="132">
        <v>0</v>
      </c>
      <c r="F22" s="133">
        <v>55</v>
      </c>
      <c r="G22" s="115">
        <f t="shared" si="1"/>
        <v>72</v>
      </c>
      <c r="H22" s="116">
        <f t="shared" si="2"/>
        <v>56</v>
      </c>
      <c r="I22" s="134"/>
      <c r="J22" s="132"/>
      <c r="K22" s="132"/>
      <c r="L22" s="132"/>
      <c r="M22" s="132"/>
      <c r="N22" s="132"/>
      <c r="O22" s="135"/>
    </row>
    <row r="23" spans="1:15" x14ac:dyDescent="0.25">
      <c r="A23" s="97" t="s">
        <v>16</v>
      </c>
      <c r="B23" s="98" t="s">
        <v>65</v>
      </c>
      <c r="C23" s="99"/>
      <c r="D23" s="99"/>
      <c r="E23" s="99"/>
      <c r="F23" s="101"/>
      <c r="G23" s="117">
        <f t="shared" si="1"/>
        <v>0</v>
      </c>
      <c r="H23" s="118">
        <f t="shared" si="2"/>
        <v>0</v>
      </c>
      <c r="I23" s="103"/>
      <c r="J23" s="99"/>
      <c r="K23" s="99"/>
      <c r="L23" s="99"/>
      <c r="M23" s="99"/>
      <c r="N23" s="99"/>
      <c r="O23" s="100"/>
    </row>
    <row r="24" spans="1:15" x14ac:dyDescent="0.25">
      <c r="A24" s="25" t="s">
        <v>17</v>
      </c>
      <c r="B24" s="26" t="s">
        <v>35</v>
      </c>
      <c r="C24" s="26">
        <f>R9</f>
        <v>0</v>
      </c>
      <c r="D24" s="26">
        <f>S9+T9</f>
        <v>0</v>
      </c>
      <c r="E24" s="26">
        <f>U9+W9+V9</f>
        <v>0</v>
      </c>
      <c r="F24" s="93">
        <f>X9</f>
        <v>0</v>
      </c>
      <c r="G24" s="113">
        <f t="shared" si="1"/>
        <v>0</v>
      </c>
      <c r="H24" s="114">
        <f t="shared" si="2"/>
        <v>0</v>
      </c>
      <c r="I24" s="112">
        <f>COUNTIFS(
    unis[empresa], $A24,
    unis[especie],I$3
)</f>
        <v>0</v>
      </c>
      <c r="J24" s="26">
        <f>COUNTIFS(
    unis[empresa], $A24,
    unis[especie],J$3
)</f>
        <v>0</v>
      </c>
      <c r="K24" s="26">
        <f>COUNTIFS(
    unis[empresa], $A24,
    unis[especie],K$3
)</f>
        <v>0</v>
      </c>
      <c r="L24" s="26"/>
      <c r="M24" s="26"/>
      <c r="N24" s="26"/>
      <c r="O24" s="28"/>
    </row>
    <row r="25" spans="1:15" x14ac:dyDescent="0.25">
      <c r="A25" s="95" t="s">
        <v>17</v>
      </c>
      <c r="B25" s="96" t="s">
        <v>34</v>
      </c>
      <c r="C25" s="96">
        <f>COUNTIFS(
    unis[empresa], $A27,
    unis[situacao], C$3
)</f>
        <v>0</v>
      </c>
      <c r="D25" s="96">
        <f>COUNTIFS(
    unis[empresa], $A27,
    unis[situacao], D$3
)</f>
        <v>0</v>
      </c>
      <c r="E25" s="96">
        <f>COUNTIFS(
    unis[empresa], $A25,
    unis[situacao], E$3
)
+COUNTIFS(
    unis[empresa], $A25,
    unis[situacao], F$3,
    unis[data], "&gt;" &amp; inputs!$A$1
)</f>
        <v>0</v>
      </c>
      <c r="F25" s="94">
        <f>COUNTIFS(
    unis[empresa], $A25,
    unis[situacao], F$3,
    unis[data], "&lt;=" &amp; inputs!$A$1
)</f>
        <v>0</v>
      </c>
      <c r="G25" s="115">
        <f t="shared" si="1"/>
        <v>0</v>
      </c>
      <c r="H25" s="116">
        <f t="shared" si="2"/>
        <v>0</v>
      </c>
      <c r="I25" s="102">
        <f>COUNTIFS(
    unis[empresa], $A25,
    unis[especie],I$3
)</f>
        <v>0</v>
      </c>
      <c r="J25" s="96">
        <f>COUNTIFS(
    estq[empresa], $A25,
    estq[especie],J$3
)</f>
        <v>0</v>
      </c>
      <c r="K25" s="96">
        <f>COUNTIFS(
    estq[empresa], $A25,
    estq[especie],K$3
)
+COUNTIFS(
    unis[empresa], $A25,
    unis[especie],"Moto"
)</f>
        <v>0</v>
      </c>
      <c r="L25" s="96"/>
      <c r="M25" s="96"/>
      <c r="N25" s="96"/>
      <c r="O25" s="92"/>
    </row>
    <row r="26" spans="1:15" x14ac:dyDescent="0.25">
      <c r="A26" s="95" t="s">
        <v>17</v>
      </c>
      <c r="B26" s="96" t="s">
        <v>37</v>
      </c>
      <c r="C26" s="132">
        <v>37</v>
      </c>
      <c r="D26" s="132">
        <v>2</v>
      </c>
      <c r="E26" s="132">
        <v>5</v>
      </c>
      <c r="F26" s="133">
        <v>190</v>
      </c>
      <c r="G26" s="115">
        <f t="shared" si="1"/>
        <v>234</v>
      </c>
      <c r="H26" s="116">
        <f t="shared" si="2"/>
        <v>197</v>
      </c>
      <c r="I26" s="134"/>
      <c r="J26" s="132"/>
      <c r="K26" s="132"/>
      <c r="L26" s="132"/>
      <c r="M26" s="132"/>
      <c r="N26" s="132"/>
      <c r="O26" s="135"/>
    </row>
    <row r="27" spans="1:15" x14ac:dyDescent="0.25">
      <c r="A27" s="97" t="s">
        <v>17</v>
      </c>
      <c r="B27" s="98" t="s">
        <v>65</v>
      </c>
      <c r="C27" s="99"/>
      <c r="D27" s="99"/>
      <c r="E27" s="99"/>
      <c r="F27" s="101"/>
      <c r="G27" s="117">
        <f t="shared" si="1"/>
        <v>0</v>
      </c>
      <c r="H27" s="118">
        <f t="shared" si="2"/>
        <v>0</v>
      </c>
      <c r="I27" s="103"/>
      <c r="J27" s="99"/>
      <c r="K27" s="99"/>
      <c r="L27" s="99"/>
      <c r="M27" s="99"/>
      <c r="N27" s="99"/>
      <c r="O27" s="100"/>
    </row>
    <row r="28" spans="1:15" x14ac:dyDescent="0.25">
      <c r="A28" s="25" t="s">
        <v>18</v>
      </c>
      <c r="B28" s="26" t="s">
        <v>35</v>
      </c>
      <c r="C28" s="26">
        <f>R10</f>
        <v>0</v>
      </c>
      <c r="D28" s="26">
        <f>S10+T10</f>
        <v>0</v>
      </c>
      <c r="E28" s="26">
        <f>U10+W10+V10</f>
        <v>0</v>
      </c>
      <c r="F28" s="93">
        <f>X10</f>
        <v>0</v>
      </c>
      <c r="G28" s="113">
        <f t="shared" si="1"/>
        <v>0</v>
      </c>
      <c r="H28" s="114">
        <f t="shared" si="2"/>
        <v>0</v>
      </c>
      <c r="I28" s="112">
        <f>COUNTIFS(
    unis[empresa], $A28,
    unis[especie],I$3
)</f>
        <v>0</v>
      </c>
      <c r="J28" s="26">
        <f>COUNTIFS(
    unis[empresa], $A28,
    unis[especie],J$3
)</f>
        <v>0</v>
      </c>
      <c r="K28" s="26">
        <f>COUNTIFS(
    unis[empresa], $A28,
    unis[especie],K$3
)</f>
        <v>0</v>
      </c>
      <c r="L28" s="26"/>
      <c r="M28" s="26"/>
      <c r="N28" s="26"/>
      <c r="O28" s="28"/>
    </row>
    <row r="29" spans="1:15" x14ac:dyDescent="0.25">
      <c r="A29" s="95" t="s">
        <v>18</v>
      </c>
      <c r="B29" s="96" t="s">
        <v>34</v>
      </c>
      <c r="C29" s="96">
        <f>COUNTIFS(
    unis[empresa], $A31,
    unis[situacao], C$3
)</f>
        <v>0</v>
      </c>
      <c r="D29" s="96">
        <f>COUNTIFS(
    unis[empresa], $A31,
    unis[situacao], D$3
)</f>
        <v>0</v>
      </c>
      <c r="E29" s="96">
        <f>COUNTIFS(
    unis[empresa], $A29,
    unis[situacao], E$3
)
+COUNTIFS(
    unis[empresa], $A29,
    unis[situacao], F$3,
    unis[data], "&gt;" &amp; inputs!$A$1
)</f>
        <v>0</v>
      </c>
      <c r="F29" s="94">
        <f>COUNTIFS(
    unis[empresa], $A29,
    unis[situacao], F$3,
    unis[data], "&lt;=" &amp; inputs!$A$1
)</f>
        <v>0</v>
      </c>
      <c r="G29" s="115">
        <f t="shared" si="1"/>
        <v>0</v>
      </c>
      <c r="H29" s="116">
        <f t="shared" si="2"/>
        <v>0</v>
      </c>
      <c r="I29" s="102">
        <f>COUNTIFS(
    unis[empresa], $A29,
    unis[especie],I$3
)</f>
        <v>0</v>
      </c>
      <c r="J29" s="96">
        <f>COUNTIFS(
    estq[empresa], $A29,
    estq[especie],J$3
)</f>
        <v>0</v>
      </c>
      <c r="K29" s="96">
        <f>COUNTIFS(
    estq[empresa], $A29,
    estq[especie],K$3
)
+COUNTIFS(
    unis[empresa], $A29,
    unis[especie],"Moto"
)</f>
        <v>0</v>
      </c>
      <c r="L29" s="96"/>
      <c r="M29" s="96"/>
      <c r="N29" s="96"/>
      <c r="O29" s="92"/>
    </row>
    <row r="30" spans="1:15" x14ac:dyDescent="0.25">
      <c r="A30" s="95" t="s">
        <v>18</v>
      </c>
      <c r="B30" s="96" t="s">
        <v>37</v>
      </c>
      <c r="C30" s="132"/>
      <c r="D30" s="132"/>
      <c r="E30" s="132"/>
      <c r="F30" s="133"/>
      <c r="G30" s="115">
        <f t="shared" si="1"/>
        <v>0</v>
      </c>
      <c r="H30" s="116">
        <f t="shared" si="2"/>
        <v>0</v>
      </c>
      <c r="I30" s="134"/>
      <c r="J30" s="132"/>
      <c r="K30" s="132"/>
      <c r="L30" s="132"/>
      <c r="M30" s="132"/>
      <c r="N30" s="132"/>
      <c r="O30" s="135"/>
    </row>
    <row r="31" spans="1:15" ht="15.75" thickBot="1" x14ac:dyDescent="0.3">
      <c r="A31" s="97" t="s">
        <v>18</v>
      </c>
      <c r="B31" s="98" t="s">
        <v>65</v>
      </c>
      <c r="C31" s="99"/>
      <c r="D31" s="99"/>
      <c r="E31" s="99"/>
      <c r="F31" s="101"/>
      <c r="G31" s="119">
        <f t="shared" si="1"/>
        <v>0</v>
      </c>
      <c r="H31" s="120">
        <f t="shared" si="2"/>
        <v>0</v>
      </c>
      <c r="I31" s="103"/>
      <c r="J31" s="99"/>
      <c r="K31" s="99"/>
      <c r="L31" s="99"/>
      <c r="M31" s="99"/>
      <c r="N31" s="99"/>
      <c r="O31" s="100"/>
    </row>
    <row r="32" spans="1:15" ht="15.75" thickTop="1" x14ac:dyDescent="0.25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1C574-590B-429A-8AFA-B34A188CD529}">
  <sheetPr>
    <tabColor theme="3" tint="0.749992370372631"/>
  </sheetPr>
  <dimension ref="A1:Q1"/>
  <sheetViews>
    <sheetView showGridLines="0" tabSelected="1" workbookViewId="0">
      <selection activeCell="H15" sqref="H15"/>
    </sheetView>
  </sheetViews>
  <sheetFormatPr defaultRowHeight="15" x14ac:dyDescent="0.25"/>
  <sheetData>
    <row r="1" spans="1:17" x14ac:dyDescent="0.25">
      <c r="A1" t="s">
        <v>233</v>
      </c>
      <c r="B1" s="160" t="s">
        <v>188</v>
      </c>
      <c r="C1" s="160" t="s">
        <v>234</v>
      </c>
      <c r="D1" s="161" t="s">
        <v>235</v>
      </c>
      <c r="E1" s="160" t="s">
        <v>236</v>
      </c>
      <c r="F1" s="160" t="s">
        <v>237</v>
      </c>
      <c r="G1" s="160" t="s">
        <v>238</v>
      </c>
      <c r="H1" s="160" t="s">
        <v>239</v>
      </c>
      <c r="I1" s="160" t="s">
        <v>240</v>
      </c>
      <c r="J1" s="162" t="s">
        <v>329</v>
      </c>
      <c r="K1" s="163" t="s">
        <v>330</v>
      </c>
      <c r="L1" s="160" t="s">
        <v>241</v>
      </c>
      <c r="M1" s="162" t="s">
        <v>331</v>
      </c>
      <c r="N1" s="163" t="s">
        <v>332</v>
      </c>
      <c r="O1" s="162" t="s">
        <v>333</v>
      </c>
      <c r="P1" s="162" t="s">
        <v>334</v>
      </c>
      <c r="Q1" s="162" t="s">
        <v>335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40E31-D6FE-44FB-917A-E88A615FA370}">
  <sheetPr>
    <tabColor theme="3" tint="0.749992370372631"/>
  </sheetPr>
  <dimension ref="A1:AZ1"/>
  <sheetViews>
    <sheetView showGridLines="0" workbookViewId="0">
      <selection activeCell="H11" sqref="H11"/>
    </sheetView>
  </sheetViews>
  <sheetFormatPr defaultRowHeight="15" x14ac:dyDescent="0.25"/>
  <sheetData>
    <row r="1" spans="1:52" x14ac:dyDescent="0.25">
      <c r="A1" t="s">
        <v>193</v>
      </c>
      <c r="B1" t="s">
        <v>74</v>
      </c>
      <c r="C1" t="s">
        <v>194</v>
      </c>
      <c r="D1" t="s">
        <v>195</v>
      </c>
      <c r="E1" t="s">
        <v>196</v>
      </c>
      <c r="F1" t="s">
        <v>197</v>
      </c>
      <c r="G1" t="s">
        <v>198</v>
      </c>
      <c r="H1" t="s">
        <v>199</v>
      </c>
      <c r="I1" t="s">
        <v>271</v>
      </c>
      <c r="J1" t="s">
        <v>202</v>
      </c>
      <c r="K1" t="s">
        <v>258</v>
      </c>
      <c r="L1" t="s">
        <v>188</v>
      </c>
      <c r="M1" t="s">
        <v>206</v>
      </c>
      <c r="N1" t="s">
        <v>76</v>
      </c>
      <c r="O1" t="s">
        <v>78</v>
      </c>
      <c r="P1" t="s">
        <v>91</v>
      </c>
      <c r="Q1" t="s">
        <v>92</v>
      </c>
      <c r="R1" t="s">
        <v>93</v>
      </c>
      <c r="S1" t="s">
        <v>94</v>
      </c>
      <c r="T1" t="s">
        <v>95</v>
      </c>
      <c r="U1" t="s">
        <v>96</v>
      </c>
      <c r="V1" t="s">
        <v>97</v>
      </c>
      <c r="W1" t="s">
        <v>98</v>
      </c>
      <c r="X1" t="s">
        <v>99</v>
      </c>
      <c r="Y1" t="s">
        <v>100</v>
      </c>
      <c r="Z1" t="s">
        <v>101</v>
      </c>
      <c r="AA1" t="s">
        <v>102</v>
      </c>
      <c r="AB1" t="s">
        <v>103</v>
      </c>
      <c r="AC1" t="s">
        <v>104</v>
      </c>
      <c r="AD1" t="s">
        <v>105</v>
      </c>
      <c r="AE1" t="s">
        <v>106</v>
      </c>
      <c r="AF1" t="s">
        <v>107</v>
      </c>
      <c r="AG1" t="s">
        <v>108</v>
      </c>
      <c r="AH1" t="s">
        <v>109</v>
      </c>
      <c r="AI1" t="s">
        <v>110</v>
      </c>
      <c r="AJ1" t="s">
        <v>111</v>
      </c>
      <c r="AK1" t="s">
        <v>112</v>
      </c>
      <c r="AL1" t="s">
        <v>113</v>
      </c>
      <c r="AM1" t="s">
        <v>114</v>
      </c>
      <c r="AN1" t="s">
        <v>115</v>
      </c>
      <c r="AO1" t="s">
        <v>116</v>
      </c>
      <c r="AP1" t="s">
        <v>117</v>
      </c>
      <c r="AQ1" t="s">
        <v>118</v>
      </c>
      <c r="AR1" t="s">
        <v>119</v>
      </c>
      <c r="AS1" t="s">
        <v>120</v>
      </c>
      <c r="AT1" t="s">
        <v>121</v>
      </c>
      <c r="AU1" t="s">
        <v>122</v>
      </c>
      <c r="AV1" t="s">
        <v>123</v>
      </c>
      <c r="AW1" t="s">
        <v>124</v>
      </c>
      <c r="AX1" t="s">
        <v>125</v>
      </c>
      <c r="AY1" t="s">
        <v>126</v>
      </c>
      <c r="AZ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72DB7-C907-4CDA-B84D-97D4C4BAE473}">
  <sheetPr>
    <tabColor theme="3" tint="0.749992370372631"/>
  </sheetPr>
  <dimension ref="A1:AO1"/>
  <sheetViews>
    <sheetView showGridLines="0" workbookViewId="0">
      <selection activeCell="A2" sqref="A2"/>
    </sheetView>
  </sheetViews>
  <sheetFormatPr defaultRowHeight="15" x14ac:dyDescent="0.25"/>
  <sheetData>
    <row r="1" spans="1:41" x14ac:dyDescent="0.25">
      <c r="A1" t="s">
        <v>74</v>
      </c>
      <c r="B1" t="s">
        <v>233</v>
      </c>
      <c r="C1" t="s">
        <v>76</v>
      </c>
      <c r="D1" t="s">
        <v>77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  <c r="R1" t="s">
        <v>104</v>
      </c>
      <c r="S1" t="s">
        <v>105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  <c r="AB1" t="s">
        <v>114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  <c r="AH1" t="s">
        <v>120</v>
      </c>
      <c r="AI1" t="s">
        <v>121</v>
      </c>
      <c r="AJ1" t="s">
        <v>122</v>
      </c>
      <c r="AK1" t="s">
        <v>123</v>
      </c>
      <c r="AL1" t="s">
        <v>124</v>
      </c>
      <c r="AM1" t="s">
        <v>125</v>
      </c>
      <c r="AN1" t="s">
        <v>126</v>
      </c>
      <c r="AO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AF4F2-1EBA-4F4F-AEFA-EFC02C62BA8E}">
  <sheetPr>
    <tabColor theme="3" tint="0.749992370372631"/>
  </sheetPr>
  <dimension ref="A1:AO1"/>
  <sheetViews>
    <sheetView showGridLines="0" workbookViewId="0">
      <selection activeCell="A2" sqref="A2"/>
    </sheetView>
  </sheetViews>
  <sheetFormatPr defaultRowHeight="15" x14ac:dyDescent="0.25"/>
  <sheetData>
    <row r="1" spans="1:41" x14ac:dyDescent="0.25">
      <c r="A1" t="s">
        <v>74</v>
      </c>
      <c r="B1" t="s">
        <v>233</v>
      </c>
      <c r="C1" t="s">
        <v>76</v>
      </c>
      <c r="D1" t="s">
        <v>77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  <c r="R1" t="s">
        <v>104</v>
      </c>
      <c r="S1" t="s">
        <v>105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  <c r="AB1" t="s">
        <v>114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  <c r="AH1" t="s">
        <v>120</v>
      </c>
      <c r="AI1" t="s">
        <v>121</v>
      </c>
      <c r="AJ1" t="s">
        <v>122</v>
      </c>
      <c r="AK1" t="s">
        <v>123</v>
      </c>
      <c r="AL1" t="s">
        <v>124</v>
      </c>
      <c r="AM1" t="s">
        <v>125</v>
      </c>
      <c r="AN1" t="s">
        <v>126</v>
      </c>
      <c r="AO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B9CB7-D4DE-486A-A801-0CCD64FD3D23}">
  <sheetPr>
    <tabColor theme="3" tint="0.749992370372631"/>
  </sheetPr>
  <dimension ref="A1:Z1"/>
  <sheetViews>
    <sheetView showGridLines="0" workbookViewId="0">
      <selection sqref="A1:Z1"/>
    </sheetView>
  </sheetViews>
  <sheetFormatPr defaultRowHeight="15" x14ac:dyDescent="0.25"/>
  <sheetData>
    <row r="1" spans="1:26" x14ac:dyDescent="0.25">
      <c r="A1" t="s">
        <v>336</v>
      </c>
      <c r="B1" t="s">
        <v>337</v>
      </c>
      <c r="C1" t="s">
        <v>303</v>
      </c>
      <c r="D1" t="s">
        <v>74</v>
      </c>
      <c r="E1" t="s">
        <v>338</v>
      </c>
      <c r="F1" t="s">
        <v>339</v>
      </c>
      <c r="G1" t="s">
        <v>340</v>
      </c>
      <c r="H1" t="s">
        <v>312</v>
      </c>
      <c r="I1" t="s">
        <v>341</v>
      </c>
      <c r="J1" t="s">
        <v>342</v>
      </c>
      <c r="K1" t="s">
        <v>343</v>
      </c>
      <c r="L1" t="s">
        <v>344</v>
      </c>
      <c r="M1" t="s">
        <v>345</v>
      </c>
      <c r="N1" t="s">
        <v>346</v>
      </c>
      <c r="O1" t="s">
        <v>347</v>
      </c>
      <c r="P1" t="s">
        <v>348</v>
      </c>
      <c r="Q1" t="s">
        <v>349</v>
      </c>
      <c r="R1" t="s">
        <v>76</v>
      </c>
      <c r="S1" t="s">
        <v>197</v>
      </c>
      <c r="T1" t="s">
        <v>350</v>
      </c>
      <c r="U1" t="s">
        <v>300</v>
      </c>
      <c r="V1" t="s">
        <v>301</v>
      </c>
      <c r="W1" t="s">
        <v>302</v>
      </c>
      <c r="X1" t="s">
        <v>271</v>
      </c>
      <c r="Y1" t="s">
        <v>304</v>
      </c>
      <c r="Z1" t="s">
        <v>351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C17CE-2B4A-4599-A7EC-BCA5C360D9BA}">
  <sheetPr>
    <tabColor theme="3" tint="0.749992370372631"/>
  </sheetPr>
  <dimension ref="A1:AO1"/>
  <sheetViews>
    <sheetView showGridLines="0" topLeftCell="AH1" workbookViewId="0">
      <selection sqref="A1:AO1"/>
    </sheetView>
  </sheetViews>
  <sheetFormatPr defaultRowHeight="15" x14ac:dyDescent="0.25"/>
  <sheetData>
    <row r="1" spans="1:41" x14ac:dyDescent="0.25">
      <c r="A1" t="s">
        <v>74</v>
      </c>
      <c r="B1" t="s">
        <v>233</v>
      </c>
      <c r="C1" t="s">
        <v>76</v>
      </c>
      <c r="D1" t="s">
        <v>77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  <c r="R1" t="s">
        <v>104</v>
      </c>
      <c r="S1" t="s">
        <v>105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  <c r="AB1" t="s">
        <v>114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  <c r="AH1" t="s">
        <v>120</v>
      </c>
      <c r="AI1" t="s">
        <v>121</v>
      </c>
      <c r="AJ1" t="s">
        <v>122</v>
      </c>
      <c r="AK1" t="s">
        <v>123</v>
      </c>
      <c r="AL1" t="s">
        <v>124</v>
      </c>
      <c r="AM1" t="s">
        <v>125</v>
      </c>
      <c r="AN1" t="s">
        <v>126</v>
      </c>
      <c r="AO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7E49C-6FDB-46C8-96AF-F4ACF5DCC4EA}">
  <sheetPr>
    <tabColor theme="3" tint="0.749992370372631"/>
  </sheetPr>
  <dimension ref="A1:DV1"/>
  <sheetViews>
    <sheetView showGridLines="0" workbookViewId="0">
      <selection activeCell="M9" sqref="M9"/>
    </sheetView>
  </sheetViews>
  <sheetFormatPr defaultRowHeight="15" x14ac:dyDescent="0.25"/>
  <sheetData>
    <row r="1" spans="1:126" x14ac:dyDescent="0.25">
      <c r="A1" t="s">
        <v>193</v>
      </c>
      <c r="B1" t="s">
        <v>74</v>
      </c>
      <c r="C1" t="s">
        <v>194</v>
      </c>
      <c r="D1" t="s">
        <v>195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s="88" t="s">
        <v>188</v>
      </c>
      <c r="P1" s="89" t="s">
        <v>206</v>
      </c>
      <c r="Q1" t="s">
        <v>76</v>
      </c>
      <c r="R1" t="s">
        <v>78</v>
      </c>
      <c r="S1" t="s">
        <v>79</v>
      </c>
      <c r="T1" t="s">
        <v>80</v>
      </c>
      <c r="U1" t="s">
        <v>81</v>
      </c>
      <c r="V1" t="s">
        <v>82</v>
      </c>
      <c r="W1" t="s">
        <v>83</v>
      </c>
      <c r="X1" t="s">
        <v>84</v>
      </c>
      <c r="Y1" t="s">
        <v>85</v>
      </c>
      <c r="Z1" t="s">
        <v>86</v>
      </c>
      <c r="AA1" t="s">
        <v>87</v>
      </c>
      <c r="AB1" t="s">
        <v>88</v>
      </c>
      <c r="AC1" t="s">
        <v>89</v>
      </c>
      <c r="AD1" t="s">
        <v>90</v>
      </c>
      <c r="AE1" t="s">
        <v>91</v>
      </c>
      <c r="AF1" t="s">
        <v>92</v>
      </c>
      <c r="AG1" t="s">
        <v>93</v>
      </c>
      <c r="AH1" t="s">
        <v>94</v>
      </c>
      <c r="AI1" t="s">
        <v>95</v>
      </c>
      <c r="AJ1" t="s">
        <v>96</v>
      </c>
      <c r="AK1" t="s">
        <v>97</v>
      </c>
      <c r="AL1" t="s">
        <v>98</v>
      </c>
      <c r="AM1" t="s">
        <v>99</v>
      </c>
      <c r="AN1" t="s">
        <v>100</v>
      </c>
      <c r="AO1" t="s">
        <v>101</v>
      </c>
      <c r="AP1" t="s">
        <v>102</v>
      </c>
      <c r="AQ1" t="s">
        <v>103</v>
      </c>
      <c r="AR1" t="s">
        <v>104</v>
      </c>
      <c r="AS1" t="s">
        <v>105</v>
      </c>
      <c r="AT1" t="s">
        <v>106</v>
      </c>
      <c r="AU1" t="s">
        <v>107</v>
      </c>
      <c r="AV1" t="s">
        <v>108</v>
      </c>
      <c r="AW1" t="s">
        <v>109</v>
      </c>
      <c r="AX1" t="s">
        <v>110</v>
      </c>
      <c r="AY1" t="s">
        <v>111</v>
      </c>
      <c r="AZ1" t="s">
        <v>112</v>
      </c>
      <c r="BA1" t="s">
        <v>113</v>
      </c>
      <c r="BB1" t="s">
        <v>114</v>
      </c>
      <c r="BC1" t="s">
        <v>115</v>
      </c>
      <c r="BD1" t="s">
        <v>116</v>
      </c>
      <c r="BE1" t="s">
        <v>117</v>
      </c>
      <c r="BF1" t="s">
        <v>118</v>
      </c>
      <c r="BG1" t="s">
        <v>119</v>
      </c>
      <c r="BH1" t="s">
        <v>120</v>
      </c>
      <c r="BI1" t="s">
        <v>121</v>
      </c>
      <c r="BJ1" t="s">
        <v>122</v>
      </c>
      <c r="BK1" t="s">
        <v>123</v>
      </c>
      <c r="BL1" t="s">
        <v>124</v>
      </c>
      <c r="BM1" t="s">
        <v>125</v>
      </c>
      <c r="BN1" t="s">
        <v>126</v>
      </c>
      <c r="BO1" t="s">
        <v>127</v>
      </c>
      <c r="BP1" t="s">
        <v>128</v>
      </c>
      <c r="BQ1" t="s">
        <v>129</v>
      </c>
      <c r="BR1" t="s">
        <v>130</v>
      </c>
      <c r="BS1" t="s">
        <v>131</v>
      </c>
      <c r="BT1" t="s">
        <v>132</v>
      </c>
      <c r="BU1" t="s">
        <v>133</v>
      </c>
      <c r="BV1" t="s">
        <v>134</v>
      </c>
      <c r="BW1" t="s">
        <v>135</v>
      </c>
      <c r="BX1" t="s">
        <v>136</v>
      </c>
      <c r="BY1" t="s">
        <v>137</v>
      </c>
      <c r="BZ1" t="s">
        <v>138</v>
      </c>
      <c r="CA1" t="s">
        <v>139</v>
      </c>
      <c r="CB1" t="s">
        <v>140</v>
      </c>
      <c r="CC1" t="s">
        <v>141</v>
      </c>
      <c r="CD1" t="s">
        <v>142</v>
      </c>
      <c r="CE1" t="s">
        <v>143</v>
      </c>
      <c r="CF1" t="s">
        <v>144</v>
      </c>
      <c r="CG1" t="s">
        <v>145</v>
      </c>
      <c r="CH1" t="s">
        <v>146</v>
      </c>
      <c r="CI1" t="s">
        <v>147</v>
      </c>
      <c r="CJ1" t="s">
        <v>148</v>
      </c>
      <c r="CK1" t="s">
        <v>149</v>
      </c>
      <c r="CL1" t="s">
        <v>150</v>
      </c>
      <c r="CM1" t="s">
        <v>151</v>
      </c>
      <c r="CN1" t="s">
        <v>152</v>
      </c>
      <c r="CO1" t="s">
        <v>153</v>
      </c>
      <c r="CP1" t="s">
        <v>154</v>
      </c>
      <c r="CQ1" t="s">
        <v>155</v>
      </c>
      <c r="CR1" t="s">
        <v>156</v>
      </c>
      <c r="CS1" t="s">
        <v>157</v>
      </c>
      <c r="CT1" t="s">
        <v>158</v>
      </c>
      <c r="CU1" t="s">
        <v>159</v>
      </c>
      <c r="CV1" t="s">
        <v>160</v>
      </c>
      <c r="CW1" t="s">
        <v>161</v>
      </c>
      <c r="CX1" t="s">
        <v>162</v>
      </c>
      <c r="CY1" t="s">
        <v>163</v>
      </c>
      <c r="CZ1" t="s">
        <v>164</v>
      </c>
      <c r="DA1" t="s">
        <v>165</v>
      </c>
      <c r="DB1" t="s">
        <v>166</v>
      </c>
      <c r="DC1" t="s">
        <v>167</v>
      </c>
      <c r="DD1" t="s">
        <v>168</v>
      </c>
      <c r="DE1" t="s">
        <v>169</v>
      </c>
      <c r="DF1" t="s">
        <v>170</v>
      </c>
      <c r="DG1" t="s">
        <v>171</v>
      </c>
      <c r="DH1" t="s">
        <v>172</v>
      </c>
      <c r="DI1" t="s">
        <v>173</v>
      </c>
      <c r="DJ1" t="s">
        <v>174</v>
      </c>
      <c r="DK1" t="s">
        <v>175</v>
      </c>
      <c r="DL1" t="s">
        <v>176</v>
      </c>
      <c r="DM1" t="s">
        <v>177</v>
      </c>
      <c r="DN1" t="s">
        <v>178</v>
      </c>
      <c r="DO1" t="s">
        <v>179</v>
      </c>
      <c r="DP1" t="s">
        <v>180</v>
      </c>
      <c r="DQ1" t="s">
        <v>181</v>
      </c>
      <c r="DR1" t="s">
        <v>182</v>
      </c>
      <c r="DS1" t="s">
        <v>183</v>
      </c>
      <c r="DT1" t="s">
        <v>184</v>
      </c>
      <c r="DU1" t="s">
        <v>185</v>
      </c>
      <c r="DV1" t="s">
        <v>186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A92E9-BDE5-4BCA-908C-7D238D9360BD}">
  <sheetPr>
    <tabColor theme="3" tint="0.749992370372631"/>
  </sheetPr>
  <dimension ref="A1:AM1"/>
  <sheetViews>
    <sheetView showGridLines="0" workbookViewId="0">
      <selection activeCell="B1" sqref="B1"/>
    </sheetView>
  </sheetViews>
  <sheetFormatPr defaultRowHeight="15" x14ac:dyDescent="0.25"/>
  <sheetData>
    <row r="1" spans="1:39" x14ac:dyDescent="0.25">
      <c r="A1" t="s">
        <v>207</v>
      </c>
      <c r="B1" t="s">
        <v>74</v>
      </c>
      <c r="C1" t="s">
        <v>77</v>
      </c>
      <c r="D1" t="s">
        <v>190</v>
      </c>
      <c r="E1" t="s">
        <v>189</v>
      </c>
      <c r="F1" t="s">
        <v>196</v>
      </c>
      <c r="G1" t="s">
        <v>197</v>
      </c>
      <c r="H1" t="s">
        <v>198</v>
      </c>
      <c r="I1" t="s">
        <v>208</v>
      </c>
      <c r="J1" t="s">
        <v>191</v>
      </c>
      <c r="K1" t="s">
        <v>209</v>
      </c>
      <c r="L1" t="s">
        <v>210</v>
      </c>
      <c r="M1" t="s">
        <v>211</v>
      </c>
      <c r="N1" t="s">
        <v>212</v>
      </c>
      <c r="O1" t="s">
        <v>213</v>
      </c>
      <c r="P1" t="s">
        <v>214</v>
      </c>
      <c r="Q1" t="s">
        <v>215</v>
      </c>
      <c r="R1" t="s">
        <v>216</v>
      </c>
      <c r="S1" t="s">
        <v>217</v>
      </c>
      <c r="T1" t="s">
        <v>218</v>
      </c>
      <c r="U1" t="s">
        <v>219</v>
      </c>
      <c r="V1" t="s">
        <v>220</v>
      </c>
      <c r="W1" t="s">
        <v>221</v>
      </c>
      <c r="X1" t="s">
        <v>222</v>
      </c>
      <c r="Y1" t="s">
        <v>223</v>
      </c>
      <c r="Z1" t="s">
        <v>224</v>
      </c>
      <c r="AA1" t="s">
        <v>194</v>
      </c>
      <c r="AB1" t="s">
        <v>195</v>
      </c>
      <c r="AC1" t="s">
        <v>225</v>
      </c>
      <c r="AD1" t="s">
        <v>226</v>
      </c>
      <c r="AE1" t="s">
        <v>199</v>
      </c>
      <c r="AF1" t="s">
        <v>227</v>
      </c>
      <c r="AG1" t="s">
        <v>228</v>
      </c>
      <c r="AH1" t="s">
        <v>229</v>
      </c>
      <c r="AI1" t="s">
        <v>230</v>
      </c>
      <c r="AJ1" t="s">
        <v>231</v>
      </c>
      <c r="AK1" t="s">
        <v>232</v>
      </c>
      <c r="AL1" t="s">
        <v>193</v>
      </c>
      <c r="AM1" t="s">
        <v>76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12298-0E1F-4B26-8F61-F212C42A9ACB}">
  <sheetPr>
    <tabColor theme="3" tint="0.749992370372631"/>
  </sheetPr>
  <dimension ref="A1:BZ1"/>
  <sheetViews>
    <sheetView showGridLines="0" workbookViewId="0"/>
  </sheetViews>
  <sheetFormatPr defaultRowHeight="15" x14ac:dyDescent="0.25"/>
  <sheetData>
    <row r="1" spans="1:78" x14ac:dyDescent="0.25">
      <c r="A1" t="s">
        <v>207</v>
      </c>
      <c r="B1" t="s">
        <v>269</v>
      </c>
      <c r="C1" t="s">
        <v>224</v>
      </c>
      <c r="D1" t="s">
        <v>352</v>
      </c>
      <c r="E1" t="s">
        <v>270</v>
      </c>
      <c r="F1" t="s">
        <v>353</v>
      </c>
      <c r="G1" t="s">
        <v>199</v>
      </c>
      <c r="H1" t="s">
        <v>271</v>
      </c>
      <c r="I1" t="s">
        <v>272</v>
      </c>
      <c r="J1" t="s">
        <v>273</v>
      </c>
      <c r="K1" t="s">
        <v>274</v>
      </c>
      <c r="L1" t="s">
        <v>275</v>
      </c>
      <c r="M1" t="s">
        <v>276</v>
      </c>
      <c r="N1" t="s">
        <v>277</v>
      </c>
      <c r="O1" t="s">
        <v>278</v>
      </c>
      <c r="P1" t="s">
        <v>279</v>
      </c>
      <c r="Q1" t="s">
        <v>280</v>
      </c>
      <c r="R1" t="s">
        <v>281</v>
      </c>
      <c r="S1" t="s">
        <v>282</v>
      </c>
      <c r="T1" t="s">
        <v>196</v>
      </c>
      <c r="U1" t="s">
        <v>283</v>
      </c>
      <c r="V1" t="s">
        <v>232</v>
      </c>
      <c r="W1" t="s">
        <v>284</v>
      </c>
      <c r="X1" t="s">
        <v>285</v>
      </c>
      <c r="Y1" t="s">
        <v>286</v>
      </c>
      <c r="Z1" t="s">
        <v>287</v>
      </c>
      <c r="AA1" t="s">
        <v>288</v>
      </c>
      <c r="AB1" t="s">
        <v>205</v>
      </c>
      <c r="AC1" t="s">
        <v>289</v>
      </c>
      <c r="AD1" t="s">
        <v>290</v>
      </c>
      <c r="AE1" t="s">
        <v>291</v>
      </c>
      <c r="AF1" t="s">
        <v>292</v>
      </c>
      <c r="AG1" t="s">
        <v>293</v>
      </c>
      <c r="AH1" t="s">
        <v>294</v>
      </c>
      <c r="AI1" t="s">
        <v>295</v>
      </c>
      <c r="AJ1" t="s">
        <v>354</v>
      </c>
      <c r="AK1" t="s">
        <v>355</v>
      </c>
      <c r="AL1" t="s">
        <v>229</v>
      </c>
      <c r="AM1" t="s">
        <v>356</v>
      </c>
      <c r="AN1" t="s">
        <v>357</v>
      </c>
      <c r="AO1" t="s">
        <v>193</v>
      </c>
      <c r="AP1" t="s">
        <v>358</v>
      </c>
      <c r="AQ1" t="s">
        <v>359</v>
      </c>
      <c r="AR1" t="s">
        <v>360</v>
      </c>
      <c r="AS1" t="s">
        <v>361</v>
      </c>
      <c r="AT1" t="s">
        <v>362</v>
      </c>
      <c r="AU1" t="s">
        <v>243</v>
      </c>
      <c r="AV1" t="s">
        <v>244</v>
      </c>
      <c r="AW1" t="s">
        <v>53</v>
      </c>
      <c r="AX1" t="s">
        <v>245</v>
      </c>
      <c r="AY1" t="s">
        <v>246</v>
      </c>
      <c r="AZ1" t="s">
        <v>363</v>
      </c>
      <c r="BA1" t="s">
        <v>248</v>
      </c>
      <c r="BB1" t="s">
        <v>249</v>
      </c>
      <c r="BC1" t="s">
        <v>250</v>
      </c>
      <c r="BD1" t="s">
        <v>251</v>
      </c>
      <c r="BE1" t="s">
        <v>252</v>
      </c>
      <c r="BF1" t="s">
        <v>253</v>
      </c>
      <c r="BG1" t="s">
        <v>254</v>
      </c>
      <c r="BH1" t="s">
        <v>255</v>
      </c>
      <c r="BI1" t="s">
        <v>256</v>
      </c>
      <c r="BJ1" t="s">
        <v>75</v>
      </c>
      <c r="BK1" t="s">
        <v>257</v>
      </c>
      <c r="BL1" t="s">
        <v>204</v>
      </c>
      <c r="BM1" t="s">
        <v>259</v>
      </c>
      <c r="BN1" t="s">
        <v>260</v>
      </c>
      <c r="BO1" t="s">
        <v>187</v>
      </c>
      <c r="BP1" t="s">
        <v>261</v>
      </c>
      <c r="BQ1" t="s">
        <v>262</v>
      </c>
      <c r="BR1" t="s">
        <v>263</v>
      </c>
      <c r="BS1" t="s">
        <v>264</v>
      </c>
      <c r="BT1" t="s">
        <v>265</v>
      </c>
      <c r="BU1" t="s">
        <v>266</v>
      </c>
      <c r="BV1" t="s">
        <v>267</v>
      </c>
      <c r="BW1" t="s">
        <v>268</v>
      </c>
      <c r="BX1" t="s">
        <v>364</v>
      </c>
      <c r="BY1" t="s">
        <v>365</v>
      </c>
      <c r="BZ1" t="s">
        <v>366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7DE44-FDDF-43EB-ABFC-286A43D25025}">
  <sheetPr>
    <tabColor theme="3" tint="0.749992370372631"/>
  </sheetPr>
  <dimension ref="A1:AO1"/>
  <sheetViews>
    <sheetView showGridLines="0" workbookViewId="0"/>
  </sheetViews>
  <sheetFormatPr defaultRowHeight="15" x14ac:dyDescent="0.25"/>
  <sheetData>
    <row r="1" spans="1:41" x14ac:dyDescent="0.25">
      <c r="A1" t="s">
        <v>74</v>
      </c>
      <c r="B1" t="s">
        <v>233</v>
      </c>
      <c r="C1" t="s">
        <v>76</v>
      </c>
      <c r="D1" t="s">
        <v>77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  <c r="R1" t="s">
        <v>104</v>
      </c>
      <c r="S1" t="s">
        <v>105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  <c r="AB1" t="s">
        <v>114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  <c r="AH1" t="s">
        <v>120</v>
      </c>
      <c r="AI1" t="s">
        <v>121</v>
      </c>
      <c r="AJ1" t="s">
        <v>122</v>
      </c>
      <c r="AK1" t="s">
        <v>123</v>
      </c>
      <c r="AL1" t="s">
        <v>124</v>
      </c>
      <c r="AM1" t="s">
        <v>125</v>
      </c>
      <c r="AN1" t="s">
        <v>126</v>
      </c>
      <c r="AO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F6529-FD8C-4C23-89B1-3C59B2336264}">
  <dimension ref="A1:AI2"/>
  <sheetViews>
    <sheetView showGridLines="0" workbookViewId="0">
      <selection sqref="A1:AI1"/>
    </sheetView>
  </sheetViews>
  <sheetFormatPr defaultRowHeight="15" x14ac:dyDescent="0.25"/>
  <sheetData>
    <row r="1" spans="1:35" x14ac:dyDescent="0.25">
      <c r="A1" s="86" t="s">
        <v>207</v>
      </c>
      <c r="B1" s="86" t="s">
        <v>74</v>
      </c>
      <c r="C1" s="86" t="s">
        <v>77</v>
      </c>
      <c r="D1" s="86" t="s">
        <v>190</v>
      </c>
      <c r="E1" s="86" t="s">
        <v>189</v>
      </c>
      <c r="F1" s="86" t="s">
        <v>196</v>
      </c>
      <c r="G1" s="86" t="s">
        <v>197</v>
      </c>
      <c r="H1" s="86" t="s">
        <v>198</v>
      </c>
      <c r="I1" s="86" t="s">
        <v>208</v>
      </c>
      <c r="J1" s="86" t="s">
        <v>191</v>
      </c>
      <c r="K1" s="86" t="s">
        <v>209</v>
      </c>
      <c r="L1" s="86" t="s">
        <v>210</v>
      </c>
      <c r="M1" s="86" t="s">
        <v>211</v>
      </c>
      <c r="N1" s="86" t="s">
        <v>212</v>
      </c>
      <c r="O1" s="86" t="s">
        <v>213</v>
      </c>
      <c r="P1" s="86" t="s">
        <v>214</v>
      </c>
      <c r="Q1" s="86" t="s">
        <v>215</v>
      </c>
      <c r="R1" s="86" t="s">
        <v>216</v>
      </c>
      <c r="S1" s="86" t="s">
        <v>217</v>
      </c>
      <c r="T1" s="86" t="s">
        <v>218</v>
      </c>
      <c r="U1" s="86" t="s">
        <v>219</v>
      </c>
      <c r="V1" s="86" t="s">
        <v>220</v>
      </c>
      <c r="W1" s="86" t="s">
        <v>221</v>
      </c>
      <c r="X1" s="86" t="s">
        <v>222</v>
      </c>
      <c r="Y1" s="86" t="s">
        <v>223</v>
      </c>
      <c r="Z1" s="86" t="s">
        <v>224</v>
      </c>
      <c r="AA1" s="86" t="s">
        <v>194</v>
      </c>
      <c r="AB1" s="86" t="s">
        <v>195</v>
      </c>
      <c r="AC1" s="86" t="s">
        <v>225</v>
      </c>
      <c r="AD1" s="86" t="s">
        <v>226</v>
      </c>
      <c r="AE1" s="86" t="s">
        <v>199</v>
      </c>
      <c r="AF1" s="86" t="s">
        <v>227</v>
      </c>
      <c r="AG1" s="86" t="s">
        <v>228</v>
      </c>
      <c r="AH1" s="86" t="s">
        <v>229</v>
      </c>
      <c r="AI1" s="86" t="s">
        <v>230</v>
      </c>
    </row>
    <row r="2" spans="1:35" x14ac:dyDescent="0.25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8D895-4AD3-4AD0-BDAF-D1A6D8E20245}">
  <dimension ref="A1:P2"/>
  <sheetViews>
    <sheetView showGridLines="0" workbookViewId="0">
      <selection activeCell="K6" sqref="K6"/>
    </sheetView>
  </sheetViews>
  <sheetFormatPr defaultRowHeight="15" x14ac:dyDescent="0.25"/>
  <sheetData>
    <row r="1" spans="1:16" x14ac:dyDescent="0.25">
      <c r="A1" s="86" t="s">
        <v>74</v>
      </c>
      <c r="B1" s="86" t="s">
        <v>197</v>
      </c>
      <c r="C1" s="86" t="s">
        <v>298</v>
      </c>
      <c r="D1" s="86" t="s">
        <v>299</v>
      </c>
      <c r="E1" s="86" t="s">
        <v>300</v>
      </c>
      <c r="F1" s="86" t="s">
        <v>301</v>
      </c>
      <c r="G1" s="86" t="s">
        <v>302</v>
      </c>
      <c r="H1" s="86" t="s">
        <v>303</v>
      </c>
      <c r="I1" s="86" t="s">
        <v>271</v>
      </c>
      <c r="J1" s="86" t="s">
        <v>304</v>
      </c>
      <c r="K1" s="86" t="s">
        <v>305</v>
      </c>
      <c r="L1" s="86" t="s">
        <v>76</v>
      </c>
      <c r="M1" s="86" t="s">
        <v>227</v>
      </c>
      <c r="N1" s="86" t="s">
        <v>228</v>
      </c>
      <c r="O1" s="86" t="s">
        <v>229</v>
      </c>
      <c r="P1" s="86" t="s">
        <v>230</v>
      </c>
    </row>
    <row r="2" spans="1:16" x14ac:dyDescent="0.25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BCF40-DA17-4CA1-9593-49CE8C5842B9}">
  <dimension ref="A1:E2"/>
  <sheetViews>
    <sheetView showGridLines="0" workbookViewId="0">
      <selection activeCell="F1" sqref="F1"/>
    </sheetView>
  </sheetViews>
  <sheetFormatPr defaultRowHeight="15" x14ac:dyDescent="0.25"/>
  <sheetData>
    <row r="1" spans="1:5" x14ac:dyDescent="0.25">
      <c r="A1" t="s">
        <v>306</v>
      </c>
      <c r="B1" t="s">
        <v>74</v>
      </c>
      <c r="C1" t="s">
        <v>197</v>
      </c>
      <c r="D1" t="s">
        <v>198</v>
      </c>
      <c r="E1" t="s">
        <v>208</v>
      </c>
    </row>
    <row r="2" spans="1:5" x14ac:dyDescent="0.25">
      <c r="A2" s="86"/>
      <c r="B2" s="86"/>
      <c r="C2" s="86"/>
      <c r="D2" s="86"/>
      <c r="E2" s="86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74214-3A91-4A21-9E7D-1128FF43B23D}">
  <dimension ref="A1:AI2"/>
  <sheetViews>
    <sheetView showGridLines="0" workbookViewId="0">
      <selection sqref="A1:AI1"/>
    </sheetView>
  </sheetViews>
  <sheetFormatPr defaultRowHeight="15" x14ac:dyDescent="0.25"/>
  <sheetData>
    <row r="1" spans="1:35" x14ac:dyDescent="0.25">
      <c r="A1" t="s">
        <v>207</v>
      </c>
      <c r="B1" t="s">
        <v>74</v>
      </c>
      <c r="C1" t="s">
        <v>77</v>
      </c>
      <c r="D1" t="s">
        <v>190</v>
      </c>
      <c r="E1" t="s">
        <v>189</v>
      </c>
      <c r="F1" s="86" t="s">
        <v>196</v>
      </c>
      <c r="G1" s="86" t="s">
        <v>197</v>
      </c>
      <c r="H1" s="86" t="s">
        <v>198</v>
      </c>
      <c r="I1" s="86" t="s">
        <v>208</v>
      </c>
      <c r="J1" s="86" t="s">
        <v>191</v>
      </c>
      <c r="K1" s="86" t="s">
        <v>209</v>
      </c>
      <c r="L1" s="86" t="s">
        <v>210</v>
      </c>
      <c r="M1" s="86" t="s">
        <v>211</v>
      </c>
      <c r="N1" s="86" t="s">
        <v>212</v>
      </c>
      <c r="O1" s="86" t="s">
        <v>213</v>
      </c>
      <c r="P1" s="86" t="s">
        <v>214</v>
      </c>
      <c r="Q1" s="86" t="s">
        <v>215</v>
      </c>
      <c r="R1" s="86" t="s">
        <v>216</v>
      </c>
      <c r="S1" s="86" t="s">
        <v>217</v>
      </c>
      <c r="T1" s="86" t="s">
        <v>218</v>
      </c>
      <c r="U1" s="86" t="s">
        <v>219</v>
      </c>
      <c r="V1" s="86" t="s">
        <v>220</v>
      </c>
      <c r="W1" s="86" t="s">
        <v>221</v>
      </c>
      <c r="X1" s="86" t="s">
        <v>222</v>
      </c>
      <c r="Y1" s="86" t="s">
        <v>223</v>
      </c>
      <c r="Z1" s="86" t="s">
        <v>224</v>
      </c>
      <c r="AA1" s="86" t="s">
        <v>194</v>
      </c>
      <c r="AB1" s="86" t="s">
        <v>195</v>
      </c>
      <c r="AC1" s="86" t="s">
        <v>225</v>
      </c>
      <c r="AD1" s="86" t="s">
        <v>226</v>
      </c>
      <c r="AE1" s="86" t="s">
        <v>199</v>
      </c>
      <c r="AF1" s="86" t="s">
        <v>227</v>
      </c>
      <c r="AG1" s="86" t="s">
        <v>228</v>
      </c>
      <c r="AH1" s="86" t="s">
        <v>229</v>
      </c>
      <c r="AI1" s="86" t="s">
        <v>230</v>
      </c>
    </row>
    <row r="2" spans="1:35" x14ac:dyDescent="0.25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86AAA-481C-492E-AFBA-EE583EDCF55E}">
  <dimension ref="A1:AE2"/>
  <sheetViews>
    <sheetView showGridLines="0" topLeftCell="R1" workbookViewId="0">
      <selection sqref="A1:AE1"/>
    </sheetView>
  </sheetViews>
  <sheetFormatPr defaultRowHeight="15" x14ac:dyDescent="0.25"/>
  <sheetData>
    <row r="1" spans="1:31" x14ac:dyDescent="0.25">
      <c r="A1" t="s">
        <v>307</v>
      </c>
      <c r="B1" t="s">
        <v>308</v>
      </c>
      <c r="C1" t="s">
        <v>74</v>
      </c>
      <c r="D1" t="s">
        <v>309</v>
      </c>
      <c r="E1" t="s">
        <v>310</v>
      </c>
      <c r="F1" s="86" t="s">
        <v>311</v>
      </c>
      <c r="G1" s="86" t="s">
        <v>312</v>
      </c>
      <c r="H1" s="86" t="s">
        <v>212</v>
      </c>
      <c r="I1" s="86" t="s">
        <v>190</v>
      </c>
      <c r="J1" s="86" t="s">
        <v>189</v>
      </c>
      <c r="K1" s="86" t="s">
        <v>303</v>
      </c>
      <c r="L1" s="86" t="s">
        <v>313</v>
      </c>
      <c r="M1" s="86" t="s">
        <v>314</v>
      </c>
      <c r="N1" s="86" t="s">
        <v>315</v>
      </c>
      <c r="O1" s="86" t="s">
        <v>316</v>
      </c>
      <c r="P1" s="86" t="s">
        <v>317</v>
      </c>
      <c r="Q1" s="86" t="s">
        <v>318</v>
      </c>
      <c r="R1" s="86" t="s">
        <v>319</v>
      </c>
      <c r="S1" s="86" t="s">
        <v>320</v>
      </c>
      <c r="T1" s="86" t="s">
        <v>321</v>
      </c>
      <c r="U1" s="86" t="s">
        <v>322</v>
      </c>
      <c r="V1" s="86" t="s">
        <v>323</v>
      </c>
      <c r="W1" s="86" t="s">
        <v>324</v>
      </c>
      <c r="X1" s="86" t="s">
        <v>325</v>
      </c>
      <c r="Y1" s="86" t="s">
        <v>326</v>
      </c>
      <c r="Z1" s="86" t="s">
        <v>327</v>
      </c>
      <c r="AA1" s="86" t="s">
        <v>328</v>
      </c>
      <c r="AB1" s="86" t="s">
        <v>227</v>
      </c>
      <c r="AC1" s="86" t="s">
        <v>229</v>
      </c>
      <c r="AD1" s="86" t="s">
        <v>228</v>
      </c>
      <c r="AE1" s="86" t="s">
        <v>230</v>
      </c>
    </row>
    <row r="2" spans="1:31" x14ac:dyDescent="0.25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5A17C-A507-4AE0-BAA5-FB8C2035E939}">
  <dimension ref="A1:L2"/>
  <sheetViews>
    <sheetView showGridLines="0" workbookViewId="0">
      <selection activeCell="L1" sqref="L1"/>
    </sheetView>
  </sheetViews>
  <sheetFormatPr defaultRowHeight="15" x14ac:dyDescent="0.25"/>
  <sheetData>
    <row r="1" spans="1:12" x14ac:dyDescent="0.25">
      <c r="A1" s="86" t="s">
        <v>74</v>
      </c>
      <c r="B1" s="86" t="s">
        <v>233</v>
      </c>
      <c r="C1" s="86" t="s">
        <v>188</v>
      </c>
      <c r="D1" s="86" t="s">
        <v>234</v>
      </c>
      <c r="E1" s="86" t="s">
        <v>235</v>
      </c>
      <c r="F1" s="86" t="s">
        <v>236</v>
      </c>
      <c r="G1" s="86" t="s">
        <v>237</v>
      </c>
      <c r="H1" s="86" t="s">
        <v>238</v>
      </c>
      <c r="I1" s="86" t="s">
        <v>239</v>
      </c>
      <c r="J1" s="86" t="s">
        <v>240</v>
      </c>
      <c r="K1" s="86" t="s">
        <v>241</v>
      </c>
      <c r="L1" s="86" t="s">
        <v>227</v>
      </c>
    </row>
    <row r="2" spans="1:12" x14ac:dyDescent="0.25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06C34-C11A-42F5-BC6B-E7BB8C75D151}">
  <dimension ref="A1:AL1"/>
  <sheetViews>
    <sheetView showGridLines="0" topLeftCell="A10" workbookViewId="0">
      <selection activeCell="I18" sqref="I18"/>
    </sheetView>
  </sheetViews>
  <sheetFormatPr defaultRowHeight="15" x14ac:dyDescent="0.25"/>
  <sheetData>
    <row r="1" spans="1:38" x14ac:dyDescent="0.25">
      <c r="A1" t="s">
        <v>193</v>
      </c>
      <c r="B1" t="s">
        <v>74</v>
      </c>
      <c r="C1" t="s">
        <v>194</v>
      </c>
      <c r="D1" t="s">
        <v>195</v>
      </c>
      <c r="E1" t="s">
        <v>11</v>
      </c>
      <c r="F1" t="s">
        <v>242</v>
      </c>
      <c r="G1" t="s">
        <v>243</v>
      </c>
      <c r="H1" t="s">
        <v>244</v>
      </c>
      <c r="I1" t="s">
        <v>53</v>
      </c>
      <c r="J1" t="s">
        <v>245</v>
      </c>
      <c r="K1" t="s">
        <v>246</v>
      </c>
      <c r="L1" t="s">
        <v>247</v>
      </c>
      <c r="M1" t="s">
        <v>248</v>
      </c>
      <c r="N1" t="s">
        <v>249</v>
      </c>
      <c r="O1" t="s">
        <v>250</v>
      </c>
      <c r="P1" t="s">
        <v>251</v>
      </c>
      <c r="Q1" t="s">
        <v>252</v>
      </c>
      <c r="R1" t="s">
        <v>253</v>
      </c>
      <c r="S1" t="s">
        <v>254</v>
      </c>
      <c r="T1" t="s">
        <v>255</v>
      </c>
      <c r="U1" t="s">
        <v>256</v>
      </c>
      <c r="V1" t="s">
        <v>75</v>
      </c>
      <c r="W1" t="s">
        <v>257</v>
      </c>
      <c r="X1" t="s">
        <v>258</v>
      </c>
      <c r="Y1" t="s">
        <v>259</v>
      </c>
      <c r="Z1" t="s">
        <v>260</v>
      </c>
      <c r="AA1" t="s">
        <v>187</v>
      </c>
      <c r="AB1" t="s">
        <v>261</v>
      </c>
      <c r="AC1" t="s">
        <v>262</v>
      </c>
      <c r="AD1" t="s">
        <v>263</v>
      </c>
      <c r="AE1" t="s">
        <v>264</v>
      </c>
      <c r="AF1" t="s">
        <v>265</v>
      </c>
      <c r="AG1" t="s">
        <v>266</v>
      </c>
      <c r="AH1" t="s">
        <v>267</v>
      </c>
      <c r="AI1" t="s">
        <v>268</v>
      </c>
      <c r="AJ1" t="s">
        <v>227</v>
      </c>
      <c r="AK1" t="s">
        <v>228</v>
      </c>
      <c r="AL1" t="s">
        <v>230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41288-A54F-4CEE-8617-C0CB569F77EC}">
  <dimension ref="A1:AO1"/>
  <sheetViews>
    <sheetView showGridLines="0" workbookViewId="0">
      <selection activeCell="P14" sqref="P14"/>
    </sheetView>
  </sheetViews>
  <sheetFormatPr defaultRowHeight="15" x14ac:dyDescent="0.25"/>
  <cols>
    <col min="1" max="1" width="10.42578125" customWidth="1"/>
  </cols>
  <sheetData>
    <row r="1" spans="1:41" x14ac:dyDescent="0.25">
      <c r="A1" t="s">
        <v>207</v>
      </c>
      <c r="B1" t="s">
        <v>269</v>
      </c>
      <c r="C1" t="s">
        <v>224</v>
      </c>
      <c r="D1" t="s">
        <v>195</v>
      </c>
      <c r="E1" t="s">
        <v>270</v>
      </c>
      <c r="F1" t="s">
        <v>194</v>
      </c>
      <c r="G1" t="s">
        <v>199</v>
      </c>
      <c r="H1" t="s">
        <v>271</v>
      </c>
      <c r="I1" t="s">
        <v>272</v>
      </c>
      <c r="J1" t="s">
        <v>273</v>
      </c>
      <c r="K1" t="s">
        <v>274</v>
      </c>
      <c r="L1" t="s">
        <v>275</v>
      </c>
      <c r="M1" t="s">
        <v>276</v>
      </c>
      <c r="N1" t="s">
        <v>277</v>
      </c>
      <c r="O1" t="s">
        <v>278</v>
      </c>
      <c r="P1" t="s">
        <v>279</v>
      </c>
      <c r="Q1" t="s">
        <v>280</v>
      </c>
      <c r="R1" t="s">
        <v>281</v>
      </c>
      <c r="S1" t="s">
        <v>282</v>
      </c>
      <c r="T1" t="s">
        <v>196</v>
      </c>
      <c r="U1" t="s">
        <v>283</v>
      </c>
      <c r="V1" t="s">
        <v>232</v>
      </c>
      <c r="W1" t="s">
        <v>284</v>
      </c>
      <c r="X1" t="s">
        <v>285</v>
      </c>
      <c r="Y1" t="s">
        <v>286</v>
      </c>
      <c r="Z1" t="s">
        <v>287</v>
      </c>
      <c r="AA1" t="s">
        <v>288</v>
      </c>
      <c r="AB1" t="s">
        <v>258</v>
      </c>
      <c r="AC1" t="s">
        <v>289</v>
      </c>
      <c r="AD1" t="s">
        <v>290</v>
      </c>
      <c r="AE1" t="s">
        <v>291</v>
      </c>
      <c r="AF1" t="s">
        <v>292</v>
      </c>
      <c r="AG1" t="s">
        <v>293</v>
      </c>
      <c r="AH1" t="s">
        <v>294</v>
      </c>
      <c r="AI1" t="s">
        <v>295</v>
      </c>
      <c r="AJ1" t="s">
        <v>227</v>
      </c>
      <c r="AK1" t="s">
        <v>228</v>
      </c>
      <c r="AL1" t="s">
        <v>229</v>
      </c>
      <c r="AM1" t="s">
        <v>230</v>
      </c>
      <c r="AN1" t="s">
        <v>74</v>
      </c>
      <c r="AO1" t="s">
        <v>193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4F309-3629-4BE8-90B4-52E5466D2C1D}">
  <dimension ref="A1:E2"/>
  <sheetViews>
    <sheetView showGridLines="0" workbookViewId="0">
      <selection activeCell="G10" sqref="G10"/>
    </sheetView>
  </sheetViews>
  <sheetFormatPr defaultRowHeight="15" x14ac:dyDescent="0.25"/>
  <sheetData>
    <row r="1" spans="1:5" x14ac:dyDescent="0.25">
      <c r="A1" t="s">
        <v>306</v>
      </c>
      <c r="B1" t="s">
        <v>74</v>
      </c>
      <c r="C1" t="s">
        <v>197</v>
      </c>
      <c r="D1" t="s">
        <v>198</v>
      </c>
      <c r="E1" t="s">
        <v>208</v>
      </c>
    </row>
    <row r="2" spans="1:5" x14ac:dyDescent="0.25">
      <c r="A2" s="86"/>
      <c r="B2" s="86"/>
      <c r="C2" s="86"/>
      <c r="D2" s="86"/>
      <c r="E2" s="86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716d902fbf996f37ba3a641cf96573da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89c6024831a252706c7c482af6114049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9D408E9-843B-4B4D-ABCA-8AC42B79683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f483f-f768-438e-b4ef-63f46a7558dd"/>
    <ds:schemaRef ds:uri="dd8c73df-45bd-468c-aae5-f3faedcbd5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FA2C9CE-9A48-4583-9E2D-F6FE93468BA8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customXml/itemProps3.xml><?xml version="1.0" encoding="utf-8"?>
<ds:datastoreItem xmlns:ds="http://schemas.openxmlformats.org/officeDocument/2006/customXml" ds:itemID="{DC7F4FB2-FEF0-494F-9A3C-60C7A7B091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23</vt:i4>
      </vt:variant>
    </vt:vector>
  </HeadingPairs>
  <TitlesOfParts>
    <vt:vector size="23" baseType="lpstr">
      <vt:lpstr>inputs</vt:lpstr>
      <vt:lpstr>viabs</vt:lpstr>
      <vt:lpstr>vgv</vt:lpstr>
      <vt:lpstr>status.unis</vt:lpstr>
      <vt:lpstr>cef</vt:lpstr>
      <vt:lpstr>cef.detalhado</vt:lpstr>
      <vt:lpstr>cef.mensal</vt:lpstr>
      <vt:lpstr>cmfcns.mensal</vt:lpstr>
      <vt:lpstr>cmfcn.xcef</vt:lpstr>
      <vt:lpstr>cmfcn.xcef.mensal</vt:lpstr>
      <vt:lpstr>rec.uni</vt:lpstr>
      <vt:lpstr>rec</vt:lpstr>
      <vt:lpstr>unis.cruzado</vt:lpstr>
      <vt:lpstr>xcef.mensal</vt:lpstr>
      <vt:lpstr>car</vt:lpstr>
      <vt:lpstr>cmfcns</vt:lpstr>
      <vt:lpstr>contr</vt:lpstr>
      <vt:lpstr>cr</vt:lpstr>
      <vt:lpstr>desp</vt:lpstr>
      <vt:lpstr>ecns</vt:lpstr>
      <vt:lpstr>estq</vt:lpstr>
      <vt:lpstr>unis</vt:lpstr>
      <vt:lpstr>xcef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2025-12-16T16:41:56Z</dcterms:created>
  <dcterms:modified xsi:type="dcterms:W3CDTF">2026-01-07T21:26:47Z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