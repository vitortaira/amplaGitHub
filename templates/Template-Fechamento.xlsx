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1892" documentId="8_{C6C56A3F-2425-44CF-8BE3-ECE51A50A5D5}" xr6:coauthVersionLast="47" xr6:coauthVersionMax="47" xr10:uidLastSave="{371F9724-CD66-4B9D-A979-2B2E71F045ED}"/>
  <bookViews>
    <workbookView xWindow="-3825" yWindow="-16320" windowWidth="29040" windowHeight="15840" xr2:uid="{1B0C981B-E8E0-4D34-AA77-181FE8531CD8}"/>
  </bookViews>
  <sheets>
    <sheet name="fechamento" sheetId="31" r:id="rId1"/>
    <sheet name="n&amp;cn" sheetId="30" r:id="rId2"/>
    <sheet name="ik-&gt;viab" sheetId="27" r:id="rId3"/>
    <sheet name="fin" sheetId="29" r:id="rId4"/>
    <sheet name="inputs" sheetId="28" r:id="rId5"/>
    <sheet name="viabs" sheetId="12" r:id="rId6"/>
    <sheet name="vgv" sheetId="3" r:id="rId7"/>
    <sheet name="status.unis" sheetId="5" r:id="rId8"/>
    <sheet name="rec.uni" sheetId="10" r:id="rId9"/>
    <sheet name="rec" sheetId="9" r:id="rId10"/>
    <sheet name="unis.cruzado" sheetId="26" r:id="rId11"/>
    <sheet name="contr" sheetId="15" r:id="rId12"/>
    <sheet name="desp" sheetId="17" r:id="rId13"/>
    <sheet name="ecns" sheetId="8" r:id="rId14"/>
    <sheet name="estq" sheetId="7" r:id="rId15"/>
    <sheet name="unis" sheetId="11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3" i="31" l="1" a="1"/>
  <c r="AH43" i="31" s="1"/>
  <c r="AG43" i="31" a="1"/>
  <c r="AG43" i="31" s="1"/>
  <c r="AF43" i="31" a="1"/>
  <c r="AF43" i="31" s="1"/>
  <c r="AE43" i="31"/>
  <c r="AE43" i="31" a="1"/>
  <c r="AD43" i="31" a="1"/>
  <c r="AD43" i="31" s="1"/>
  <c r="AC43" i="31" a="1"/>
  <c r="AC43" i="31" s="1"/>
  <c r="AB43" i="31" a="1"/>
  <c r="AB43" i="31" s="1"/>
  <c r="AA43" i="31"/>
  <c r="AA43" i="31" a="1"/>
  <c r="Z43" i="31" a="1"/>
  <c r="Z43" i="31" s="1"/>
  <c r="AH33" i="31" a="1"/>
  <c r="AH33" i="31" s="1"/>
  <c r="AG33" i="31" a="1"/>
  <c r="AG33" i="31" s="1"/>
  <c r="AF33" i="31"/>
  <c r="AF33" i="31" a="1"/>
  <c r="AE33" i="31" a="1"/>
  <c r="AE33" i="31" s="1"/>
  <c r="AD33" i="31" a="1"/>
  <c r="AD33" i="31" s="1"/>
  <c r="AC33" i="31" a="1"/>
  <c r="AC33" i="31" s="1"/>
  <c r="AB33" i="31"/>
  <c r="AB33" i="31" a="1"/>
  <c r="AA33" i="31" a="1"/>
  <c r="AA33" i="31" s="1"/>
  <c r="Z33" i="31" a="1"/>
  <c r="Z33" i="31" s="1"/>
  <c r="AH26" i="31"/>
  <c r="AH26" i="31" a="1"/>
  <c r="AG26" i="31" a="1"/>
  <c r="AG26" i="31" s="1"/>
  <c r="AF26" i="31" a="1"/>
  <c r="AF26" i="31" s="1"/>
  <c r="AE26" i="31" a="1"/>
  <c r="AE26" i="31" s="1"/>
  <c r="AD26" i="31"/>
  <c r="AD26" i="31" a="1"/>
  <c r="AC26" i="31" a="1"/>
  <c r="AC26" i="31" s="1"/>
  <c r="AB26" i="31" a="1"/>
  <c r="AB26" i="31" s="1"/>
  <c r="AA26" i="31" a="1"/>
  <c r="AA26" i="31" s="1"/>
  <c r="Z26" i="31"/>
  <c r="Z26" i="31" a="1"/>
  <c r="AH25" i="31" a="1"/>
  <c r="AH25" i="31" s="1"/>
  <c r="AG25" i="31" a="1"/>
  <c r="AG25" i="31" s="1"/>
  <c r="AF25" i="31" a="1"/>
  <c r="AF25" i="31" s="1"/>
  <c r="AE25" i="31"/>
  <c r="AE25" i="31" a="1"/>
  <c r="AD25" i="31" a="1"/>
  <c r="AD25" i="31" s="1"/>
  <c r="AC25" i="31" a="1"/>
  <c r="AC25" i="31" s="1"/>
  <c r="AB25" i="31" a="1"/>
  <c r="AB25" i="31" s="1"/>
  <c r="AA25" i="31"/>
  <c r="AA25" i="31" a="1"/>
  <c r="Z25" i="31" a="1"/>
  <c r="Z25" i="31" s="1"/>
  <c r="AH24" i="31" a="1"/>
  <c r="AH24" i="31" s="1"/>
  <c r="AG24" i="31" a="1"/>
  <c r="AG24" i="31" s="1"/>
  <c r="AF24" i="31"/>
  <c r="AF24" i="31" a="1"/>
  <c r="AE24" i="31" a="1"/>
  <c r="AE24" i="31" s="1"/>
  <c r="AD24" i="31" a="1"/>
  <c r="AD24" i="31" s="1"/>
  <c r="AC24" i="31" a="1"/>
  <c r="AC24" i="31" s="1"/>
  <c r="AB24" i="31"/>
  <c r="AB24" i="31" a="1"/>
  <c r="AA24" i="31" a="1"/>
  <c r="AA24" i="31" s="1"/>
  <c r="Z24" i="31" a="1"/>
  <c r="Z24" i="31" s="1"/>
  <c r="AH23" i="31" a="1"/>
  <c r="AH23" i="31" s="1"/>
  <c r="AG23" i="31"/>
  <c r="AG23" i="31" a="1"/>
  <c r="AF23" i="31" a="1"/>
  <c r="AF23" i="31" s="1"/>
  <c r="AE23" i="31" a="1"/>
  <c r="AE23" i="31" s="1"/>
  <c r="AD23" i="31" a="1"/>
  <c r="AD23" i="31" s="1"/>
  <c r="AC23" i="31"/>
  <c r="AC23" i="31" a="1"/>
  <c r="AB23" i="31" a="1"/>
  <c r="AB23" i="31" s="1"/>
  <c r="AA23" i="31" a="1"/>
  <c r="AA23" i="31" s="1"/>
  <c r="Z23" i="31" a="1"/>
  <c r="Z23" i="31" s="1"/>
  <c r="AH22" i="31"/>
  <c r="AH22" i="31" a="1"/>
  <c r="AG22" i="31" a="1"/>
  <c r="AG22" i="31" s="1"/>
  <c r="AF22" i="31" a="1"/>
  <c r="AF22" i="31" s="1"/>
  <c r="AE22" i="31" a="1"/>
  <c r="AE22" i="31" s="1"/>
  <c r="AD22" i="31"/>
  <c r="AD22" i="31" a="1"/>
  <c r="AC22" i="31" a="1"/>
  <c r="AC22" i="31" s="1"/>
  <c r="AB22" i="31" a="1"/>
  <c r="AB22" i="31" s="1"/>
  <c r="AA22" i="31" a="1"/>
  <c r="AA22" i="31" s="1"/>
  <c r="Z22" i="31"/>
  <c r="Z22" i="31" a="1"/>
  <c r="AH21" i="31" a="1"/>
  <c r="AH21" i="31" s="1"/>
  <c r="AG21" i="31" a="1"/>
  <c r="AG21" i="31" s="1"/>
  <c r="AF21" i="31" a="1"/>
  <c r="AF21" i="31" s="1"/>
  <c r="AE21" i="31"/>
  <c r="AE21" i="31" a="1"/>
  <c r="AD21" i="31" a="1"/>
  <c r="AD21" i="31" s="1"/>
  <c r="AC21" i="31" a="1"/>
  <c r="AC21" i="31" s="1"/>
  <c r="AB21" i="31" a="1"/>
  <c r="AB21" i="31" s="1"/>
  <c r="AA21" i="31"/>
  <c r="AA21" i="31" a="1"/>
  <c r="Z21" i="31" a="1"/>
  <c r="Z21" i="31" s="1"/>
  <c r="AH20" i="31" a="1"/>
  <c r="AH20" i="31" s="1"/>
  <c r="AG20" i="31" a="1"/>
  <c r="AG20" i="31" s="1"/>
  <c r="AF20" i="31"/>
  <c r="AF20" i="31" a="1"/>
  <c r="AE20" i="31" a="1"/>
  <c r="AE20" i="31" s="1"/>
  <c r="AD20" i="31" a="1"/>
  <c r="AD20" i="31" s="1"/>
  <c r="AC20" i="31" a="1"/>
  <c r="AC20" i="31" s="1"/>
  <c r="AB20" i="31"/>
  <c r="AB20" i="31" a="1"/>
  <c r="AA20" i="31" a="1"/>
  <c r="AA20" i="31" s="1"/>
  <c r="Z20" i="31" a="1"/>
  <c r="Z20" i="31" s="1"/>
  <c r="AH19" i="31" a="1"/>
  <c r="AH19" i="31" s="1"/>
  <c r="AG19" i="31"/>
  <c r="AG19" i="31" a="1"/>
  <c r="AF19" i="31" a="1"/>
  <c r="AF19" i="31" s="1"/>
  <c r="AE19" i="31" a="1"/>
  <c r="AE19" i="31" s="1"/>
  <c r="AD19" i="31" a="1"/>
  <c r="AD19" i="31" s="1"/>
  <c r="AC19" i="31"/>
  <c r="AC19" i="31" a="1"/>
  <c r="AB19" i="31" a="1"/>
  <c r="AB19" i="31" s="1"/>
  <c r="AA19" i="31" a="1"/>
  <c r="AA19" i="31" s="1"/>
  <c r="Z19" i="31" a="1"/>
  <c r="Z19" i="31" s="1"/>
  <c r="AH18" i="31"/>
  <c r="AH18" i="31" a="1"/>
  <c r="AG18" i="31" a="1"/>
  <c r="AG18" i="31" s="1"/>
  <c r="AF18" i="31" a="1"/>
  <c r="AF18" i="31" s="1"/>
  <c r="AE18" i="31" a="1"/>
  <c r="AE18" i="31" s="1"/>
  <c r="AD18" i="31"/>
  <c r="AD18" i="31" a="1"/>
  <c r="AC18" i="31" a="1"/>
  <c r="AC18" i="31" s="1"/>
  <c r="AB18" i="31" a="1"/>
  <c r="AB18" i="31" s="1"/>
  <c r="AA18" i="31" a="1"/>
  <c r="AA18" i="31" s="1"/>
  <c r="Z18" i="31"/>
  <c r="Z18" i="31" a="1"/>
  <c r="AH17" i="31" a="1"/>
  <c r="AH17" i="31" s="1"/>
  <c r="AG17" i="31" a="1"/>
  <c r="AG17" i="31" s="1"/>
  <c r="AF17" i="31" a="1"/>
  <c r="AF17" i="31" s="1"/>
  <c r="AE17" i="31"/>
  <c r="AE17" i="31" a="1"/>
  <c r="AD17" i="31" a="1"/>
  <c r="AD17" i="31" s="1"/>
  <c r="AC17" i="31" a="1"/>
  <c r="AC17" i="31" s="1"/>
  <c r="AB17" i="31" a="1"/>
  <c r="AB17" i="31" s="1"/>
  <c r="AA17" i="31"/>
  <c r="AA17" i="31" a="1"/>
  <c r="Z17" i="31" a="1"/>
  <c r="Z17" i="31" s="1"/>
  <c r="AH16" i="31" a="1"/>
  <c r="AH16" i="31" s="1"/>
  <c r="AG16" i="31" a="1"/>
  <c r="AG16" i="31" s="1"/>
  <c r="AF16" i="31"/>
  <c r="AF16" i="31" a="1"/>
  <c r="AE16" i="31" a="1"/>
  <c r="AE16" i="31" s="1"/>
  <c r="AD16" i="31" a="1"/>
  <c r="AD16" i="31" s="1"/>
  <c r="AC16" i="31" a="1"/>
  <c r="AC16" i="31" s="1"/>
  <c r="AB16" i="31"/>
  <c r="AB16" i="31" a="1"/>
  <c r="AA16" i="31" a="1"/>
  <c r="AA16" i="31" s="1"/>
  <c r="Z16" i="31" a="1"/>
  <c r="Z16" i="31" s="1"/>
  <c r="AH15" i="31" a="1"/>
  <c r="AH15" i="31" s="1"/>
  <c r="AG15" i="31"/>
  <c r="AG15" i="31" a="1"/>
  <c r="AF15" i="31" a="1"/>
  <c r="AF15" i="31" s="1"/>
  <c r="AE15" i="31" a="1"/>
  <c r="AE15" i="31" s="1"/>
  <c r="AD15" i="31" a="1"/>
  <c r="AD15" i="31" s="1"/>
  <c r="AC15" i="31"/>
  <c r="AC15" i="31" a="1"/>
  <c r="AB15" i="31" a="1"/>
  <c r="AB15" i="31" s="1"/>
  <c r="AA15" i="31" a="1"/>
  <c r="AA15" i="31" s="1"/>
  <c r="Z15" i="31" a="1"/>
  <c r="Z15" i="31" s="1"/>
  <c r="AH14" i="31"/>
  <c r="AH14" i="31" a="1"/>
  <c r="AG14" i="31" a="1"/>
  <c r="AG14" i="31" s="1"/>
  <c r="AF14" i="31" a="1"/>
  <c r="AF14" i="31" s="1"/>
  <c r="AE14" i="31" a="1"/>
  <c r="AE14" i="31" s="1"/>
  <c r="AD14" i="31"/>
  <c r="AD14" i="31" a="1"/>
  <c r="AC14" i="31" a="1"/>
  <c r="AC14" i="31" s="1"/>
  <c r="AB14" i="31" a="1"/>
  <c r="AB14" i="31" s="1"/>
  <c r="AA14" i="31" a="1"/>
  <c r="AA14" i="31" s="1"/>
  <c r="Z14" i="31"/>
  <c r="Z14" i="31" a="1"/>
  <c r="AH13" i="31" a="1"/>
  <c r="AH13" i="31" s="1"/>
  <c r="AG13" i="31" a="1"/>
  <c r="AG13" i="31" s="1"/>
  <c r="AF13" i="31" a="1"/>
  <c r="AF13" i="31" s="1"/>
  <c r="AE13" i="31"/>
  <c r="AE13" i="31" a="1"/>
  <c r="AD13" i="31" a="1"/>
  <c r="AD13" i="31" s="1"/>
  <c r="AC13" i="31" a="1"/>
  <c r="AC13" i="31" s="1"/>
  <c r="AB13" i="31" a="1"/>
  <c r="AB13" i="31" s="1"/>
  <c r="AA13" i="31"/>
  <c r="AA13" i="31" a="1"/>
  <c r="Z13" i="31" a="1"/>
  <c r="Z13" i="31" s="1"/>
  <c r="AH12" i="31" a="1"/>
  <c r="AH12" i="31" s="1"/>
  <c r="AG12" i="31" a="1"/>
  <c r="AG12" i="31" s="1"/>
  <c r="AF12" i="31"/>
  <c r="AF12" i="31" a="1"/>
  <c r="AE12" i="31" a="1"/>
  <c r="AE12" i="31" s="1"/>
  <c r="AD12" i="31" a="1"/>
  <c r="AD12" i="31" s="1"/>
  <c r="AC12" i="31" a="1"/>
  <c r="AC12" i="31" s="1"/>
  <c r="AB12" i="31"/>
  <c r="AB12" i="31" a="1"/>
  <c r="AA12" i="31" a="1"/>
  <c r="AA12" i="31" s="1"/>
  <c r="Z12" i="31" a="1"/>
  <c r="Z12" i="31" s="1"/>
  <c r="AH11" i="31" a="1"/>
  <c r="AH11" i="31" s="1"/>
  <c r="AG11" i="31"/>
  <c r="AG11" i="31" a="1"/>
  <c r="AF11" i="31" a="1"/>
  <c r="AF11" i="31" s="1"/>
  <c r="AE11" i="31" a="1"/>
  <c r="AE11" i="31" s="1"/>
  <c r="AD11" i="31" a="1"/>
  <c r="AD11" i="31" s="1"/>
  <c r="AC11" i="31"/>
  <c r="AC11" i="31" a="1"/>
  <c r="AB11" i="31" a="1"/>
  <c r="AB11" i="31" s="1"/>
  <c r="AA11" i="31" a="1"/>
  <c r="AA11" i="31" s="1"/>
  <c r="Z11" i="31" a="1"/>
  <c r="Z11" i="31" s="1"/>
  <c r="AH10" i="31"/>
  <c r="AH27" i="31" s="1" a="1"/>
  <c r="AH27" i="31" s="1"/>
  <c r="AH10" i="31" a="1"/>
  <c r="AG10" i="31" a="1"/>
  <c r="AG10" i="31" s="1"/>
  <c r="AF10" i="31" a="1"/>
  <c r="AF10" i="31" s="1"/>
  <c r="AE10" i="31" a="1"/>
  <c r="AE10" i="31" s="1"/>
  <c r="AE27" i="31" s="1" a="1"/>
  <c r="AE27" i="31" s="1"/>
  <c r="AD10" i="31"/>
  <c r="AD10" i="31" a="1"/>
  <c r="AC10" i="31" a="1"/>
  <c r="AC10" i="31" s="1"/>
  <c r="AC27" i="31" s="1" a="1"/>
  <c r="AC27" i="31" s="1"/>
  <c r="AB10" i="31" a="1"/>
  <c r="AB10" i="31" s="1"/>
  <c r="AA10" i="31" a="1"/>
  <c r="AA10" i="31" s="1"/>
  <c r="Z10" i="31"/>
  <c r="Z10" i="31" a="1"/>
  <c r="R157" i="31" a="1"/>
  <c r="R157" i="31" s="1"/>
  <c r="Q157" i="31" a="1"/>
  <c r="Q157" i="31" s="1"/>
  <c r="P157" i="31" a="1"/>
  <c r="P157" i="31" s="1"/>
  <c r="O157" i="31" a="1"/>
  <c r="O157" i="31" s="1"/>
  <c r="N157" i="31" a="1"/>
  <c r="N157" i="31" s="1"/>
  <c r="M157" i="31" a="1"/>
  <c r="M157" i="31" s="1"/>
  <c r="L157" i="31" a="1"/>
  <c r="L157" i="31" s="1"/>
  <c r="K157" i="31" a="1"/>
  <c r="K157" i="31" s="1"/>
  <c r="J157" i="31" a="1"/>
  <c r="J157" i="31" s="1"/>
  <c r="I157" i="31" a="1"/>
  <c r="I157" i="31" s="1"/>
  <c r="H157" i="31" a="1"/>
  <c r="H157" i="31" s="1"/>
  <c r="G157" i="31" a="1"/>
  <c r="G157" i="31" s="1"/>
  <c r="F157" i="31" a="1"/>
  <c r="F157" i="31" s="1"/>
  <c r="E157" i="31" a="1"/>
  <c r="E157" i="31" s="1"/>
  <c r="D157" i="31" a="1"/>
  <c r="D157" i="31" s="1"/>
  <c r="Z39" i="31"/>
  <c r="AE8" i="31"/>
  <c r="AN65" i="28"/>
  <c r="R203" i="31" a="1"/>
  <c r="R203" i="31" s="1"/>
  <c r="R202" i="31" a="1"/>
  <c r="R202" i="31" s="1"/>
  <c r="R201" i="31" a="1"/>
  <c r="R201" i="31" s="1"/>
  <c r="R200" i="31"/>
  <c r="R200" i="31" a="1"/>
  <c r="R199" i="31" a="1"/>
  <c r="R199" i="31" s="1"/>
  <c r="R198" i="31" a="1"/>
  <c r="R198" i="31" s="1"/>
  <c r="R197" i="31" a="1"/>
  <c r="R197" i="31" s="1"/>
  <c r="R196" i="31"/>
  <c r="R196" i="31" a="1"/>
  <c r="R195" i="31" a="1"/>
  <c r="R195" i="31" s="1"/>
  <c r="R194" i="31" a="1"/>
  <c r="R194" i="31" s="1"/>
  <c r="R193" i="31" a="1"/>
  <c r="R193" i="31" s="1"/>
  <c r="R192" i="31"/>
  <c r="R192" i="31" a="1"/>
  <c r="D190" i="31" a="1"/>
  <c r="D190" i="31" s="1"/>
  <c r="D189" i="31" a="1"/>
  <c r="D189" i="31" s="1"/>
  <c r="D188" i="31" a="1"/>
  <c r="D188" i="31" s="1"/>
  <c r="D187" i="31" a="1"/>
  <c r="D187" i="31" s="1"/>
  <c r="D186" i="31" a="1"/>
  <c r="D186" i="31" s="1"/>
  <c r="D30" i="31" a="1"/>
  <c r="D30" i="31" s="1"/>
  <c r="Q730" i="31" a="1"/>
  <c r="Q730" i="31" s="1"/>
  <c r="Q729" i="31" s="1"/>
  <c r="Q725" i="31"/>
  <c r="Q724" i="31" s="1"/>
  <c r="Q720" i="31"/>
  <c r="Q719" i="31" s="1"/>
  <c r="Q720" i="31" a="1"/>
  <c r="Q716" i="31"/>
  <c r="Q715" i="31" s="1"/>
  <c r="Q713" i="31"/>
  <c r="Q713" i="31" a="1"/>
  <c r="Q712" i="31"/>
  <c r="Q712" i="31" a="1"/>
  <c r="Q711" i="31"/>
  <c r="Q711" i="31" a="1"/>
  <c r="Q710" i="31" a="1"/>
  <c r="Q710" i="31" s="1"/>
  <c r="Q709" i="31"/>
  <c r="Q709" i="31" a="1"/>
  <c r="Q708" i="31" a="1"/>
  <c r="Q708" i="31" s="1"/>
  <c r="Q707" i="31" a="1"/>
  <c r="Q707" i="31" s="1"/>
  <c r="Q706" i="31" a="1"/>
  <c r="Q706" i="31" s="1"/>
  <c r="Q705" i="31"/>
  <c r="Q705" i="31" a="1"/>
  <c r="Q704" i="31" a="1"/>
  <c r="Q704" i="31" s="1"/>
  <c r="Q703" i="31" a="1"/>
  <c r="Q703" i="31" s="1"/>
  <c r="Q702" i="31" a="1"/>
  <c r="Q702" i="31" s="1"/>
  <c r="Q701" i="31"/>
  <c r="Q701" i="31" a="1"/>
  <c r="Q700" i="31" a="1"/>
  <c r="Q700" i="31" s="1"/>
  <c r="Q699" i="31" a="1"/>
  <c r="Q699" i="31" s="1"/>
  <c r="Q698" i="31" a="1"/>
  <c r="Q698" i="31" s="1"/>
  <c r="Q697" i="31"/>
  <c r="Q697" i="31" a="1"/>
  <c r="Q680" i="31"/>
  <c r="Q679" i="31" s="1"/>
  <c r="Q680" i="31" a="1"/>
  <c r="Q675" i="31"/>
  <c r="Q674" i="31" s="1"/>
  <c r="Q670" i="31" a="1"/>
  <c r="Q670" i="31" s="1"/>
  <c r="Q669" i="31" s="1"/>
  <c r="Q665" i="31" s="1"/>
  <c r="Q666" i="31"/>
  <c r="Q663" i="31" a="1"/>
  <c r="Q663" i="31" s="1"/>
  <c r="Q662" i="31"/>
  <c r="Q662" i="31" a="1"/>
  <c r="Q661" i="31" a="1"/>
  <c r="Q661" i="31" s="1"/>
  <c r="Q660" i="31" a="1"/>
  <c r="Q660" i="31" s="1"/>
  <c r="Q659" i="31" a="1"/>
  <c r="Q659" i="31" s="1"/>
  <c r="Q658" i="31"/>
  <c r="Q658" i="31" a="1"/>
  <c r="Q657" i="31" a="1"/>
  <c r="Q657" i="31" s="1"/>
  <c r="Q656" i="31" a="1"/>
  <c r="Q656" i="31" s="1"/>
  <c r="Q655" i="31" a="1"/>
  <c r="Q655" i="31" s="1"/>
  <c r="Q654" i="31"/>
  <c r="Q654" i="31" a="1"/>
  <c r="Q653" i="31" a="1"/>
  <c r="Q653" i="31" s="1"/>
  <c r="Q652" i="31" a="1"/>
  <c r="Q652" i="31" s="1"/>
  <c r="Q651" i="31" a="1"/>
  <c r="Q651" i="31" s="1"/>
  <c r="Q650" i="31"/>
  <c r="Q650" i="31" a="1"/>
  <c r="Q649" i="31" a="1"/>
  <c r="Q649" i="31" s="1"/>
  <c r="Q648" i="31" a="1"/>
  <c r="Q648" i="31" s="1"/>
  <c r="Q647" i="31" a="1"/>
  <c r="Q647" i="31" s="1"/>
  <c r="Q630" i="31" a="1"/>
  <c r="Q630" i="31" s="1"/>
  <c r="Q629" i="31" s="1"/>
  <c r="Q625" i="31"/>
  <c r="Q624" i="31" s="1"/>
  <c r="Q623" i="31" s="1"/>
  <c r="Q620" i="31"/>
  <c r="Q620" i="31" a="1"/>
  <c r="Q619" i="31"/>
  <c r="Q616" i="31"/>
  <c r="Q615" i="31" s="1"/>
  <c r="Q613" i="31" a="1"/>
  <c r="Q613" i="31" s="1"/>
  <c r="Q612" i="31" a="1"/>
  <c r="Q612" i="31" s="1"/>
  <c r="Q611" i="31"/>
  <c r="Q611" i="31" a="1"/>
  <c r="Q610" i="31" a="1"/>
  <c r="Q610" i="31" s="1"/>
  <c r="Q609" i="31" a="1"/>
  <c r="Q609" i="31" s="1"/>
  <c r="Q608" i="31" a="1"/>
  <c r="Q608" i="31" s="1"/>
  <c r="Q607" i="31"/>
  <c r="Q607" i="31" a="1"/>
  <c r="Q606" i="31" a="1"/>
  <c r="Q606" i="31" s="1"/>
  <c r="Q605" i="31" a="1"/>
  <c r="Q605" i="31" s="1"/>
  <c r="Q604" i="31" a="1"/>
  <c r="Q604" i="31" s="1"/>
  <c r="Q603" i="31"/>
  <c r="Q603" i="31" a="1"/>
  <c r="Q602" i="31" a="1"/>
  <c r="Q602" i="31" s="1"/>
  <c r="Q601" i="31" a="1"/>
  <c r="Q601" i="31" s="1"/>
  <c r="Q600" i="31" a="1"/>
  <c r="Q600" i="31" s="1"/>
  <c r="Q599" i="31"/>
  <c r="Q599" i="31" a="1"/>
  <c r="Q598" i="31" a="1"/>
  <c r="Q598" i="31" s="1"/>
  <c r="Q597" i="31" a="1"/>
  <c r="Q597" i="31" s="1"/>
  <c r="Q580" i="31"/>
  <c r="Q580" i="31" a="1"/>
  <c r="Q579" i="31"/>
  <c r="Q575" i="31"/>
  <c r="Q574" i="31" s="1"/>
  <c r="Q573" i="31" s="1"/>
  <c r="Q570" i="31"/>
  <c r="Q570" i="31" a="1"/>
  <c r="Q569" i="31"/>
  <c r="Q566" i="31"/>
  <c r="Q565" i="31"/>
  <c r="Q563" i="31" a="1"/>
  <c r="Q563" i="31" s="1"/>
  <c r="Q562" i="31" a="1"/>
  <c r="Q562" i="31" s="1"/>
  <c r="Q561" i="31" a="1"/>
  <c r="Q561" i="31" s="1"/>
  <c r="Q560" i="31"/>
  <c r="Q560" i="31" a="1"/>
  <c r="Q559" i="31" a="1"/>
  <c r="Q559" i="31" s="1"/>
  <c r="Q558" i="31" a="1"/>
  <c r="Q558" i="31" s="1"/>
  <c r="Q557" i="31" a="1"/>
  <c r="Q557" i="31" s="1"/>
  <c r="Q556" i="31"/>
  <c r="Q556" i="31" a="1"/>
  <c r="Q555" i="31" a="1"/>
  <c r="Q555" i="31" s="1"/>
  <c r="Q554" i="31" a="1"/>
  <c r="Q554" i="31" s="1"/>
  <c r="Q553" i="31" a="1"/>
  <c r="Q553" i="31" s="1"/>
  <c r="Q552" i="31"/>
  <c r="Q552" i="31" a="1"/>
  <c r="Q551" i="31" a="1"/>
  <c r="Q551" i="31" s="1"/>
  <c r="Q550" i="31" a="1"/>
  <c r="Q550" i="31" s="1"/>
  <c r="Q549" i="31" a="1"/>
  <c r="Q549" i="31" s="1"/>
  <c r="Q548" i="31"/>
  <c r="Q548" i="31" a="1"/>
  <c r="Q547" i="31" a="1"/>
  <c r="Q547" i="31" s="1"/>
  <c r="Q530" i="31"/>
  <c r="Q530" i="31" a="1"/>
  <c r="Q529" i="31"/>
  <c r="Q525" i="31"/>
  <c r="Q524" i="31" s="1"/>
  <c r="Q523" i="31" s="1"/>
  <c r="Q520" i="31"/>
  <c r="Q519" i="31" s="1"/>
  <c r="Q515" i="31" s="1"/>
  <c r="Q520" i="31" a="1"/>
  <c r="Q516" i="31"/>
  <c r="Q513" i="31"/>
  <c r="Q513" i="31" a="1"/>
  <c r="Q512" i="31" a="1"/>
  <c r="Q512" i="31" s="1"/>
  <c r="Q511" i="31" a="1"/>
  <c r="Q511" i="31" s="1"/>
  <c r="Q510" i="31" a="1"/>
  <c r="Q510" i="31" s="1"/>
  <c r="Q509" i="31"/>
  <c r="Q509" i="31" a="1"/>
  <c r="Q508" i="31" a="1"/>
  <c r="Q508" i="31" s="1"/>
  <c r="Q507" i="31" a="1"/>
  <c r="Q507" i="31" s="1"/>
  <c r="Q506" i="31" a="1"/>
  <c r="Q506" i="31" s="1"/>
  <c r="Q505" i="31"/>
  <c r="Q505" i="31" a="1"/>
  <c r="Q504" i="31" a="1"/>
  <c r="Q504" i="31" s="1"/>
  <c r="Q503" i="31" a="1"/>
  <c r="Q503" i="31" s="1"/>
  <c r="Q502" i="31" a="1"/>
  <c r="Q502" i="31" s="1"/>
  <c r="Q501" i="31"/>
  <c r="Q501" i="31" a="1"/>
  <c r="Q500" i="31" a="1"/>
  <c r="Q500" i="31" s="1"/>
  <c r="Q499" i="31" a="1"/>
  <c r="Q499" i="31" s="1"/>
  <c r="Q498" i="31" a="1"/>
  <c r="Q498" i="31" s="1"/>
  <c r="Q497" i="31"/>
  <c r="Q497" i="31" a="1"/>
  <c r="Q480" i="31"/>
  <c r="Q479" i="31" s="1"/>
  <c r="Q480" i="31" a="1"/>
  <c r="Q475" i="31"/>
  <c r="Q474" i="31"/>
  <c r="Q473" i="31" s="1"/>
  <c r="Q470" i="31" a="1"/>
  <c r="Q470" i="31" s="1"/>
  <c r="Q469" i="31" s="1"/>
  <c r="Q465" i="31" s="1"/>
  <c r="Q466" i="31"/>
  <c r="Q463" i="31" a="1"/>
  <c r="Q463" i="31" s="1"/>
  <c r="Q462" i="31"/>
  <c r="Q462" i="31" a="1"/>
  <c r="Q461" i="31" a="1"/>
  <c r="Q461" i="31" s="1"/>
  <c r="Q460" i="31" a="1"/>
  <c r="Q460" i="31" s="1"/>
  <c r="Q459" i="31" a="1"/>
  <c r="Q459" i="31" s="1"/>
  <c r="Q458" i="31"/>
  <c r="Q458" i="31" a="1"/>
  <c r="Q457" i="31" a="1"/>
  <c r="Q457" i="31" s="1"/>
  <c r="Q456" i="31" a="1"/>
  <c r="Q456" i="31" s="1"/>
  <c r="Q455" i="31" a="1"/>
  <c r="Q455" i="31" s="1"/>
  <c r="Q454" i="31"/>
  <c r="Q454" i="31" a="1"/>
  <c r="Q453" i="31" a="1"/>
  <c r="Q453" i="31" s="1"/>
  <c r="Q452" i="31" a="1"/>
  <c r="Q452" i="31" s="1"/>
  <c r="Q451" i="31" a="1"/>
  <c r="Q451" i="31" s="1"/>
  <c r="Q450" i="31"/>
  <c r="Q450" i="31" a="1"/>
  <c r="Q449" i="31" a="1"/>
  <c r="Q449" i="31" s="1"/>
  <c r="Q448" i="31" a="1"/>
  <c r="Q448" i="31" s="1"/>
  <c r="Q447" i="31" a="1"/>
  <c r="Q447" i="31" s="1"/>
  <c r="Q430" i="31" a="1"/>
  <c r="Q430" i="31" s="1"/>
  <c r="Q429" i="31" s="1"/>
  <c r="Q425" i="31"/>
  <c r="Q424" i="31"/>
  <c r="Q420" i="31"/>
  <c r="Q420" i="31" a="1"/>
  <c r="Q419" i="31"/>
  <c r="Q416" i="31"/>
  <c r="Q415" i="31" s="1"/>
  <c r="Q413" i="31" a="1"/>
  <c r="Q413" i="31" s="1"/>
  <c r="Q412" i="31" a="1"/>
  <c r="Q412" i="31" s="1"/>
  <c r="Q411" i="31"/>
  <c r="Q411" i="31" a="1"/>
  <c r="Q410" i="31" a="1"/>
  <c r="Q410" i="31" s="1"/>
  <c r="Q409" i="31" a="1"/>
  <c r="Q409" i="31" s="1"/>
  <c r="Q408" i="31" a="1"/>
  <c r="Q408" i="31" s="1"/>
  <c r="Q407" i="31"/>
  <c r="Q407" i="31" a="1"/>
  <c r="Q406" i="31" a="1"/>
  <c r="Q406" i="31" s="1"/>
  <c r="Q405" i="31" a="1"/>
  <c r="Q405" i="31" s="1"/>
  <c r="Q404" i="31" a="1"/>
  <c r="Q404" i="31" s="1"/>
  <c r="Q403" i="31"/>
  <c r="Q403" i="31" a="1"/>
  <c r="Q402" i="31" a="1"/>
  <c r="Q402" i="31" s="1"/>
  <c r="Q401" i="31" a="1"/>
  <c r="Q401" i="31" s="1"/>
  <c r="Q400" i="31" a="1"/>
  <c r="Q400" i="31" s="1"/>
  <c r="Q399" i="31"/>
  <c r="Q399" i="31" a="1"/>
  <c r="Q398" i="31" a="1"/>
  <c r="Q398" i="31" s="1"/>
  <c r="Q397" i="31" a="1"/>
  <c r="Q397" i="31" s="1"/>
  <c r="Q380" i="31"/>
  <c r="Q380" i="31" a="1"/>
  <c r="Q379" i="31"/>
  <c r="Q375" i="31"/>
  <c r="Q374" i="31" s="1"/>
  <c r="Q373" i="31" s="1"/>
  <c r="Q370" i="31"/>
  <c r="Q370" i="31" a="1"/>
  <c r="Q369" i="31"/>
  <c r="Q366" i="31"/>
  <c r="Q365" i="31"/>
  <c r="Q363" i="31" a="1"/>
  <c r="Q363" i="31" s="1"/>
  <c r="Q362" i="31" a="1"/>
  <c r="Q362" i="31" s="1"/>
  <c r="Q361" i="31" a="1"/>
  <c r="Q361" i="31" s="1"/>
  <c r="Q360" i="31"/>
  <c r="Q360" i="31" a="1"/>
  <c r="Q359" i="31" a="1"/>
  <c r="Q359" i="31" s="1"/>
  <c r="Q358" i="31" a="1"/>
  <c r="Q358" i="31" s="1"/>
  <c r="Q357" i="31" a="1"/>
  <c r="Q357" i="31" s="1"/>
  <c r="Q356" i="31"/>
  <c r="Q356" i="31" a="1"/>
  <c r="Q355" i="31" a="1"/>
  <c r="Q355" i="31" s="1"/>
  <c r="Q354" i="31" a="1"/>
  <c r="Q354" i="31" s="1"/>
  <c r="Q353" i="31" a="1"/>
  <c r="Q353" i="31" s="1"/>
  <c r="Q352" i="31"/>
  <c r="Q352" i="31" a="1"/>
  <c r="Q351" i="31" a="1"/>
  <c r="Q351" i="31" s="1"/>
  <c r="Q350" i="31" a="1"/>
  <c r="Q350" i="31" s="1"/>
  <c r="Q349" i="31" a="1"/>
  <c r="Q349" i="31" s="1"/>
  <c r="Q348" i="31"/>
  <c r="Q348" i="31" a="1"/>
  <c r="Q347" i="31" a="1"/>
  <c r="Q347" i="31" s="1"/>
  <c r="Q330" i="31"/>
  <c r="Q330" i="31" a="1"/>
  <c r="Q329" i="31"/>
  <c r="Q325" i="31"/>
  <c r="Q324" i="31" s="1"/>
  <c r="Q323" i="31" s="1"/>
  <c r="Q320" i="31"/>
  <c r="Q319" i="31" s="1"/>
  <c r="Q315" i="31" s="1"/>
  <c r="Q320" i="31" a="1"/>
  <c r="Q316" i="31"/>
  <c r="Q313" i="31"/>
  <c r="Q313" i="31" a="1"/>
  <c r="Q312" i="31" a="1"/>
  <c r="Q312" i="31" s="1"/>
  <c r="Q311" i="31" a="1"/>
  <c r="Q311" i="31" s="1"/>
  <c r="Q310" i="31" a="1"/>
  <c r="Q310" i="31" s="1"/>
  <c r="Q309" i="31"/>
  <c r="Q309" i="31" a="1"/>
  <c r="Q308" i="31" a="1"/>
  <c r="Q308" i="31" s="1"/>
  <c r="Q307" i="31" a="1"/>
  <c r="Q307" i="31" s="1"/>
  <c r="Q306" i="31" a="1"/>
  <c r="Q306" i="31" s="1"/>
  <c r="Q305" i="31"/>
  <c r="Q305" i="31" a="1"/>
  <c r="Q304" i="31" a="1"/>
  <c r="Q304" i="31" s="1"/>
  <c r="Q303" i="31" a="1"/>
  <c r="Q303" i="31" s="1"/>
  <c r="Q302" i="31" a="1"/>
  <c r="Q302" i="31" s="1"/>
  <c r="Q301" i="31"/>
  <c r="Q301" i="31" a="1"/>
  <c r="Q300" i="31" a="1"/>
  <c r="Q300" i="31" s="1"/>
  <c r="Q299" i="31" a="1"/>
  <c r="Q299" i="31" s="1"/>
  <c r="Q298" i="31" a="1"/>
  <c r="Q298" i="31" s="1"/>
  <c r="Q297" i="31"/>
  <c r="Q297" i="31" a="1"/>
  <c r="Q221" i="31"/>
  <c r="Q221" i="31" a="1"/>
  <c r="Q220" i="31"/>
  <c r="Q220" i="31" a="1"/>
  <c r="Q219" i="31"/>
  <c r="Q219" i="31" a="1"/>
  <c r="Q218" i="31" a="1"/>
  <c r="Q218" i="31" s="1"/>
  <c r="Q217" i="31"/>
  <c r="Q217" i="31" a="1"/>
  <c r="Q216" i="31"/>
  <c r="Q216" i="31" a="1"/>
  <c r="Q215" i="31"/>
  <c r="Q215" i="31" a="1"/>
  <c r="Q214" i="31" a="1"/>
  <c r="Q214" i="31" s="1"/>
  <c r="Q213" i="31"/>
  <c r="Q213" i="31" a="1"/>
  <c r="Q212" i="31"/>
  <c r="Q212" i="31" a="1"/>
  <c r="Q211" i="31"/>
  <c r="Q211" i="31" a="1"/>
  <c r="Q210" i="31" a="1"/>
  <c r="Q210" i="31" s="1"/>
  <c r="Q209" i="31"/>
  <c r="Q209" i="31" a="1"/>
  <c r="Q208" i="31"/>
  <c r="Q208" i="31" a="1"/>
  <c r="Q207" i="31"/>
  <c r="Q207" i="31" a="1"/>
  <c r="Q179" i="31" a="1"/>
  <c r="Q179" i="31" s="1"/>
  <c r="Q178" i="31"/>
  <c r="Q178" i="31" a="1"/>
  <c r="Q177" i="31" a="1"/>
  <c r="Q177" i="31" s="1"/>
  <c r="Q176" i="31" a="1"/>
  <c r="Q176" i="31" s="1"/>
  <c r="Q175" i="31" a="1"/>
  <c r="Q175" i="31" s="1"/>
  <c r="Q174" i="31"/>
  <c r="Q174" i="31" a="1"/>
  <c r="Q173" i="31" a="1"/>
  <c r="Q173" i="31" s="1"/>
  <c r="Q172" i="31" a="1"/>
  <c r="Q172" i="31" s="1"/>
  <c r="Q171" i="31" a="1"/>
  <c r="Q171" i="31" s="1"/>
  <c r="Q170" i="31"/>
  <c r="Q170" i="31" a="1"/>
  <c r="Q169" i="31" a="1"/>
  <c r="Q169" i="31" s="1"/>
  <c r="Q168" i="31" a="1"/>
  <c r="Q168" i="31" s="1"/>
  <c r="Q167" i="31" a="1"/>
  <c r="Q167" i="31" s="1"/>
  <c r="Q166" i="31"/>
  <c r="Q166" i="31" a="1"/>
  <c r="Q165" i="31" a="1"/>
  <c r="Q165" i="31" s="1"/>
  <c r="Q164" i="31" a="1"/>
  <c r="Q164" i="31" s="1"/>
  <c r="Q159" i="31"/>
  <c r="Q156" i="31" a="1"/>
  <c r="Q156" i="31" s="1"/>
  <c r="Q155" i="31" a="1"/>
  <c r="Q155" i="31" s="1"/>
  <c r="Q154" i="31" s="1"/>
  <c r="Q153" i="31"/>
  <c r="Q153" i="31" a="1"/>
  <c r="Q152" i="31"/>
  <c r="Q152" i="31" a="1"/>
  <c r="Q151" i="31"/>
  <c r="Q151" i="31" a="1"/>
  <c r="Q150" i="31" a="1"/>
  <c r="Q150" i="31" s="1"/>
  <c r="Q149" i="31"/>
  <c r="Q149" i="31" a="1"/>
  <c r="Q148" i="31"/>
  <c r="Q148" i="31" a="1"/>
  <c r="Q147" i="31"/>
  <c r="Q147" i="31" a="1"/>
  <c r="Q146" i="31" a="1"/>
  <c r="Q146" i="31" s="1"/>
  <c r="Q145" i="31"/>
  <c r="Q145" i="31" a="1"/>
  <c r="Q144" i="31"/>
  <c r="Q144" i="31" a="1"/>
  <c r="Q142" i="31" a="1"/>
  <c r="Q142" i="31" s="1"/>
  <c r="Q141" i="31"/>
  <c r="Q140" i="31"/>
  <c r="Q139" i="31" s="1"/>
  <c r="Q140" i="31" a="1"/>
  <c r="Q138" i="31" a="1"/>
  <c r="Q138" i="31" s="1"/>
  <c r="Q137" i="31" a="1"/>
  <c r="Q137" i="31" s="1"/>
  <c r="Q136" i="31"/>
  <c r="Q136" i="31" a="1"/>
  <c r="Q135" i="31" a="1"/>
  <c r="Q135" i="31" s="1"/>
  <c r="Q133" i="31"/>
  <c r="Q133" i="31" a="1"/>
  <c r="Q132" i="31" a="1"/>
  <c r="Q132" i="31" s="1"/>
  <c r="Q131" i="31"/>
  <c r="Q131" i="31" a="1"/>
  <c r="Q130" i="31"/>
  <c r="Q130" i="31" a="1"/>
  <c r="Q129" i="31"/>
  <c r="Q129" i="31" a="1"/>
  <c r="Q128" i="31" a="1"/>
  <c r="Q128" i="31" s="1"/>
  <c r="Q127" i="31"/>
  <c r="Q127" i="31" a="1"/>
  <c r="Q126" i="31"/>
  <c r="Q126" i="31" a="1"/>
  <c r="Q125" i="31"/>
  <c r="Q125" i="31" a="1"/>
  <c r="Q124" i="31" a="1"/>
  <c r="Q124" i="31" s="1"/>
  <c r="Q120" i="31" s="1"/>
  <c r="Q123" i="31"/>
  <c r="Q123" i="31" a="1"/>
  <c r="Q122" i="31"/>
  <c r="Q122" i="31" a="1"/>
  <c r="Q121" i="31"/>
  <c r="Q121" i="31" a="1"/>
  <c r="Q119" i="31"/>
  <c r="Q119" i="31" a="1"/>
  <c r="Q118" i="31" a="1"/>
  <c r="Q118" i="31" s="1"/>
  <c r="Q117" i="31" a="1"/>
  <c r="Q117" i="31" s="1"/>
  <c r="Q116" i="31" a="1"/>
  <c r="Q116" i="31" s="1"/>
  <c r="Q115" i="31"/>
  <c r="Q115" i="31" a="1"/>
  <c r="Q114" i="31" a="1"/>
  <c r="Q114" i="31" s="1"/>
  <c r="Q113" i="31" a="1"/>
  <c r="Q113" i="31" s="1"/>
  <c r="Q112" i="31" a="1"/>
  <c r="Q112" i="31" s="1"/>
  <c r="Q111" i="31"/>
  <c r="Q111" i="31" a="1"/>
  <c r="Q110" i="31" a="1"/>
  <c r="Q110" i="31" s="1"/>
  <c r="Q109" i="31" a="1"/>
  <c r="Q109" i="31" s="1"/>
  <c r="Q108" i="31" a="1"/>
  <c r="Q108" i="31" s="1"/>
  <c r="Q107" i="31"/>
  <c r="Q107" i="31" a="1"/>
  <c r="Q106" i="31" a="1"/>
  <c r="Q106" i="31" s="1"/>
  <c r="Q105" i="31" a="1"/>
  <c r="Q105" i="31" s="1"/>
  <c r="Q104" i="31" a="1"/>
  <c r="Q104" i="31" s="1"/>
  <c r="Q103" i="31"/>
  <c r="Q103" i="31" a="1"/>
  <c r="Q102" i="31" a="1"/>
  <c r="Q102" i="31" s="1"/>
  <c r="Q101" i="31" a="1"/>
  <c r="Q101" i="31" s="1"/>
  <c r="Q100" i="31" a="1"/>
  <c r="Q100" i="31" s="1"/>
  <c r="Q99" i="31"/>
  <c r="Q99" i="31" a="1"/>
  <c r="Q98" i="31" a="1"/>
  <c r="Q98" i="31" s="1"/>
  <c r="Q97" i="31" a="1"/>
  <c r="Q97" i="31" s="1"/>
  <c r="Q96" i="31" a="1"/>
  <c r="Q96" i="31" s="1"/>
  <c r="Q95" i="31"/>
  <c r="Q95" i="31" a="1"/>
  <c r="Q93" i="31"/>
  <c r="Q93" i="31" a="1"/>
  <c r="Q92" i="31"/>
  <c r="Q92" i="31" a="1"/>
  <c r="Q91" i="31" a="1"/>
  <c r="Q91" i="31" s="1"/>
  <c r="Q90" i="31"/>
  <c r="Q90" i="31" a="1"/>
  <c r="Q89" i="31"/>
  <c r="Q89" i="31" a="1"/>
  <c r="Q88" i="31"/>
  <c r="Q88" i="31" a="1"/>
  <c r="Q87" i="31" a="1"/>
  <c r="Q87" i="31" s="1"/>
  <c r="Q86" i="31"/>
  <c r="Q86" i="31" a="1"/>
  <c r="Q85" i="31"/>
  <c r="Q85" i="31" a="1"/>
  <c r="Q84" i="31"/>
  <c r="Q84" i="31" a="1"/>
  <c r="Q83" i="31" a="1"/>
  <c r="Q83" i="31" s="1"/>
  <c r="Q82" i="31"/>
  <c r="Q81" i="31" s="1"/>
  <c r="Q82" i="31" a="1"/>
  <c r="Q80" i="31" a="1"/>
  <c r="Q80" i="31" s="1"/>
  <c r="Q79" i="31" a="1"/>
  <c r="Q79" i="31" s="1"/>
  <c r="Q78" i="31"/>
  <c r="Q78" i="31" a="1"/>
  <c r="Q77" i="31" a="1"/>
  <c r="Q77" i="31" s="1"/>
  <c r="Q75" i="31"/>
  <c r="Q75" i="31" a="1"/>
  <c r="Q74" i="31"/>
  <c r="Q73" i="31"/>
  <c r="Q72" i="31" s="1"/>
  <c r="Q73" i="31" a="1"/>
  <c r="Q71" i="31"/>
  <c r="Q71" i="31" a="1"/>
  <c r="Q70" i="31"/>
  <c r="Q69" i="31" a="1"/>
  <c r="Q69" i="31" s="1"/>
  <c r="Q68" i="31"/>
  <c r="Q68" i="31" a="1"/>
  <c r="Q67" i="31" a="1"/>
  <c r="Q67" i="31" s="1"/>
  <c r="Q65" i="31"/>
  <c r="Q65" i="31" a="1"/>
  <c r="Q64" i="31"/>
  <c r="Q63" i="31"/>
  <c r="Q63" i="31" a="1"/>
  <c r="Q62" i="31" a="1"/>
  <c r="Q62" i="31" s="1"/>
  <c r="Q61" i="31" a="1"/>
  <c r="Q61" i="31" s="1"/>
  <c r="Q60" i="31" a="1"/>
  <c r="Q60" i="31" s="1"/>
  <c r="Q59" i="31"/>
  <c r="Q59" i="31" a="1"/>
  <c r="Q58" i="31" a="1"/>
  <c r="Q58" i="31" s="1"/>
  <c r="Q57" i="31" a="1"/>
  <c r="Q57" i="31" s="1"/>
  <c r="Q56" i="31" a="1"/>
  <c r="Q56" i="31" s="1"/>
  <c r="Q55" i="31"/>
  <c r="Q55" i="31" a="1"/>
  <c r="Q54" i="31" a="1"/>
  <c r="Q54" i="31" s="1"/>
  <c r="Q53" i="31" a="1"/>
  <c r="Q53" i="31" s="1"/>
  <c r="Q52" i="31" a="1"/>
  <c r="Q52" i="31" s="1"/>
  <c r="Q51" i="31" s="1"/>
  <c r="Q50" i="31"/>
  <c r="Q50" i="31" a="1"/>
  <c r="Q49" i="31"/>
  <c r="Q49" i="31" a="1"/>
  <c r="Q48" i="31"/>
  <c r="Q48" i="31" a="1"/>
  <c r="Q47" i="31" a="1"/>
  <c r="Q47" i="31" s="1"/>
  <c r="Q43" i="31" s="1"/>
  <c r="Q46" i="31"/>
  <c r="Q46" i="31" a="1"/>
  <c r="Q45" i="31"/>
  <c r="Q45" i="31" a="1"/>
  <c r="Q44" i="31"/>
  <c r="Q44" i="31" a="1"/>
  <c r="Q42" i="31"/>
  <c r="Q42" i="31" a="1"/>
  <c r="Q41" i="31" a="1"/>
  <c r="Q41" i="31" s="1"/>
  <c r="Q40" i="31" a="1"/>
  <c r="Q40" i="31" s="1"/>
  <c r="Q39" i="31" a="1"/>
  <c r="Q39" i="31" s="1"/>
  <c r="Q38" i="31"/>
  <c r="Q38" i="31" a="1"/>
  <c r="Q37" i="31" a="1"/>
  <c r="Q37" i="31" s="1"/>
  <c r="Q36" i="31" a="1"/>
  <c r="Q36" i="31" s="1"/>
  <c r="Q35" i="31" a="1"/>
  <c r="Q35" i="31" s="1"/>
  <c r="Q34" i="31"/>
  <c r="Q34" i="31" a="1"/>
  <c r="Q33" i="31" a="1"/>
  <c r="Q33" i="31" s="1"/>
  <c r="Q29" i="31"/>
  <c r="R221" i="31" a="1"/>
  <c r="R221" i="31" s="1"/>
  <c r="P221" i="31" a="1"/>
  <c r="P221" i="31" s="1"/>
  <c r="O221" i="31" a="1"/>
  <c r="O221" i="31" s="1"/>
  <c r="N221" i="31" a="1"/>
  <c r="N221" i="31" s="1"/>
  <c r="M221" i="31" a="1"/>
  <c r="M221" i="31" s="1"/>
  <c r="L221" i="31" a="1"/>
  <c r="L221" i="31" s="1"/>
  <c r="K221" i="31" a="1"/>
  <c r="K221" i="31" s="1"/>
  <c r="J221" i="31" a="1"/>
  <c r="J221" i="31" s="1"/>
  <c r="I221" i="31" a="1"/>
  <c r="I221" i="31" s="1"/>
  <c r="H221" i="31" a="1"/>
  <c r="H221" i="31" s="1"/>
  <c r="G221" i="31" a="1"/>
  <c r="G221" i="31" s="1"/>
  <c r="F221" i="31" a="1"/>
  <c r="F221" i="31" s="1"/>
  <c r="E221" i="31" a="1"/>
  <c r="E221" i="31" s="1"/>
  <c r="D221" i="31" a="1"/>
  <c r="D221" i="31" s="1"/>
  <c r="R220" i="31" a="1"/>
  <c r="R220" i="31" s="1"/>
  <c r="P220" i="31"/>
  <c r="P220" i="31" a="1"/>
  <c r="O220" i="31" a="1"/>
  <c r="O220" i="31" s="1"/>
  <c r="N220" i="31" a="1"/>
  <c r="N220" i="31" s="1"/>
  <c r="M220" i="31" a="1"/>
  <c r="M220" i="31" s="1"/>
  <c r="L220" i="31" a="1"/>
  <c r="L220" i="31" s="1"/>
  <c r="K220" i="31" a="1"/>
  <c r="K220" i="31" s="1"/>
  <c r="J220" i="31" a="1"/>
  <c r="J220" i="31" s="1"/>
  <c r="I220" i="31" a="1"/>
  <c r="I220" i="31" s="1"/>
  <c r="H220" i="31" a="1"/>
  <c r="H220" i="31" s="1"/>
  <c r="G220" i="31" a="1"/>
  <c r="G220" i="31" s="1"/>
  <c r="F220" i="31" a="1"/>
  <c r="F220" i="31" s="1"/>
  <c r="E220" i="31" a="1"/>
  <c r="E220" i="31" s="1"/>
  <c r="D220" i="31"/>
  <c r="D220" i="31" a="1"/>
  <c r="R219" i="31" a="1"/>
  <c r="R219" i="31" s="1"/>
  <c r="P219" i="31" a="1"/>
  <c r="P219" i="31" s="1"/>
  <c r="O219" i="31" a="1"/>
  <c r="O219" i="31" s="1"/>
  <c r="N219" i="31"/>
  <c r="N219" i="31" a="1"/>
  <c r="M219" i="31" a="1"/>
  <c r="M219" i="31" s="1"/>
  <c r="L219" i="31" a="1"/>
  <c r="L219" i="31" s="1"/>
  <c r="K219" i="31" a="1"/>
  <c r="K219" i="31" s="1"/>
  <c r="J219" i="31" a="1"/>
  <c r="J219" i="31" s="1"/>
  <c r="I219" i="31" a="1"/>
  <c r="I219" i="31" s="1"/>
  <c r="H219" i="31" a="1"/>
  <c r="H219" i="31" s="1"/>
  <c r="G219" i="31" a="1"/>
  <c r="G219" i="31" s="1"/>
  <c r="F219" i="31" a="1"/>
  <c r="F219" i="31" s="1"/>
  <c r="E219" i="31" a="1"/>
  <c r="E219" i="31" s="1"/>
  <c r="D219" i="31" a="1"/>
  <c r="D219" i="31" s="1"/>
  <c r="R218" i="31" a="1"/>
  <c r="R218" i="31" s="1"/>
  <c r="P218" i="31" a="1"/>
  <c r="P218" i="31" s="1"/>
  <c r="O218" i="31" a="1"/>
  <c r="O218" i="31" s="1"/>
  <c r="N218" i="31" a="1"/>
  <c r="N218" i="31" s="1"/>
  <c r="M218" i="31" a="1"/>
  <c r="M218" i="31" s="1"/>
  <c r="L218" i="31"/>
  <c r="L218" i="31" a="1"/>
  <c r="K218" i="31" a="1"/>
  <c r="K218" i="31" s="1"/>
  <c r="J218" i="31" a="1"/>
  <c r="J218" i="31" s="1"/>
  <c r="I218" i="31" a="1"/>
  <c r="I218" i="31" s="1"/>
  <c r="H218" i="31" a="1"/>
  <c r="H218" i="31" s="1"/>
  <c r="G218" i="31" a="1"/>
  <c r="G218" i="31" s="1"/>
  <c r="F218" i="31" a="1"/>
  <c r="F218" i="31" s="1"/>
  <c r="E218" i="31" a="1"/>
  <c r="E218" i="31" s="1"/>
  <c r="D218" i="31"/>
  <c r="D218" i="31" a="1"/>
  <c r="R217" i="31" a="1"/>
  <c r="R217" i="31" s="1"/>
  <c r="P217" i="31" a="1"/>
  <c r="P217" i="31" s="1"/>
  <c r="O217" i="31" a="1"/>
  <c r="O217" i="31" s="1"/>
  <c r="N217" i="31"/>
  <c r="N217" i="31" a="1"/>
  <c r="M217" i="31" a="1"/>
  <c r="M217" i="31" s="1"/>
  <c r="L217" i="31" a="1"/>
  <c r="L217" i="31" s="1"/>
  <c r="K217" i="31" a="1"/>
  <c r="K217" i="31" s="1"/>
  <c r="J217" i="31"/>
  <c r="J217" i="31" a="1"/>
  <c r="I217" i="31" a="1"/>
  <c r="I217" i="31" s="1"/>
  <c r="H217" i="31" a="1"/>
  <c r="H217" i="31" s="1"/>
  <c r="G217" i="31" a="1"/>
  <c r="G217" i="31" s="1"/>
  <c r="F217" i="31" a="1"/>
  <c r="F217" i="31" s="1"/>
  <c r="E217" i="31" a="1"/>
  <c r="E217" i="31" s="1"/>
  <c r="D217" i="31" a="1"/>
  <c r="D217" i="31" s="1"/>
  <c r="R216" i="31" a="1"/>
  <c r="R216" i="31" s="1"/>
  <c r="P216" i="31" a="1"/>
  <c r="P216" i="31" s="1"/>
  <c r="O216" i="31" a="1"/>
  <c r="O216" i="31" s="1"/>
  <c r="N216" i="31" a="1"/>
  <c r="N216" i="31" s="1"/>
  <c r="M216" i="31" a="1"/>
  <c r="M216" i="31" s="1"/>
  <c r="L216" i="31" a="1"/>
  <c r="L216" i="31" s="1"/>
  <c r="K216" i="31" a="1"/>
  <c r="K216" i="31" s="1"/>
  <c r="J216" i="31" a="1"/>
  <c r="J216" i="31" s="1"/>
  <c r="I216" i="31" a="1"/>
  <c r="I216" i="31" s="1"/>
  <c r="H216" i="31"/>
  <c r="H216" i="31" a="1"/>
  <c r="G216" i="31" a="1"/>
  <c r="G216" i="31" s="1"/>
  <c r="F216" i="31" a="1"/>
  <c r="F216" i="31" s="1"/>
  <c r="E216" i="31" a="1"/>
  <c r="E216" i="31" s="1"/>
  <c r="D216" i="31" a="1"/>
  <c r="D216" i="31" s="1"/>
  <c r="R215" i="31" a="1"/>
  <c r="R215" i="31" s="1"/>
  <c r="P215" i="31" a="1"/>
  <c r="P215" i="31" s="1"/>
  <c r="O215" i="31" a="1"/>
  <c r="O215" i="31" s="1"/>
  <c r="N215" i="31"/>
  <c r="N215" i="31" a="1"/>
  <c r="M215" i="31" a="1"/>
  <c r="M215" i="31" s="1"/>
  <c r="L215" i="31" a="1"/>
  <c r="L215" i="31" s="1"/>
  <c r="K215" i="31" a="1"/>
  <c r="K215" i="31" s="1"/>
  <c r="J215" i="31"/>
  <c r="J215" i="31" a="1"/>
  <c r="I215" i="31" a="1"/>
  <c r="I215" i="31" s="1"/>
  <c r="H215" i="31" a="1"/>
  <c r="H215" i="31" s="1"/>
  <c r="G215" i="31" a="1"/>
  <c r="G215" i="31" s="1"/>
  <c r="F215" i="31"/>
  <c r="F215" i="31" a="1"/>
  <c r="E215" i="31" a="1"/>
  <c r="E215" i="31" s="1"/>
  <c r="D215" i="31" a="1"/>
  <c r="D215" i="31" s="1"/>
  <c r="R214" i="31" a="1"/>
  <c r="R214" i="31" s="1"/>
  <c r="P214" i="31" a="1"/>
  <c r="P214" i="31" s="1"/>
  <c r="O214" i="31" a="1"/>
  <c r="O214" i="31" s="1"/>
  <c r="N214" i="31" a="1"/>
  <c r="N214" i="31" s="1"/>
  <c r="M214" i="31" a="1"/>
  <c r="M214" i="31" s="1"/>
  <c r="L214" i="31" a="1"/>
  <c r="L214" i="31" s="1"/>
  <c r="K214" i="31" a="1"/>
  <c r="K214" i="31" s="1"/>
  <c r="J214" i="31" a="1"/>
  <c r="J214" i="31" s="1"/>
  <c r="I214" i="31" a="1"/>
  <c r="I214" i="31" s="1"/>
  <c r="H214" i="31" a="1"/>
  <c r="H214" i="31" s="1"/>
  <c r="G214" i="31" a="1"/>
  <c r="G214" i="31" s="1"/>
  <c r="F214" i="31" a="1"/>
  <c r="F214" i="31" s="1"/>
  <c r="E214" i="31" a="1"/>
  <c r="E214" i="31" s="1"/>
  <c r="D214" i="31" a="1"/>
  <c r="D214" i="31" s="1"/>
  <c r="R213" i="31" a="1"/>
  <c r="R213" i="31" s="1"/>
  <c r="P213" i="31" a="1"/>
  <c r="P213" i="31" s="1"/>
  <c r="O213" i="31" a="1"/>
  <c r="O213" i="31" s="1"/>
  <c r="N213" i="31" a="1"/>
  <c r="N213" i="31" s="1"/>
  <c r="M213" i="31" a="1"/>
  <c r="M213" i="31" s="1"/>
  <c r="L213" i="31" a="1"/>
  <c r="L213" i="31" s="1"/>
  <c r="K213" i="31" a="1"/>
  <c r="K213" i="31" s="1"/>
  <c r="J213" i="31" a="1"/>
  <c r="J213" i="31" s="1"/>
  <c r="I213" i="31" a="1"/>
  <c r="I213" i="31" s="1"/>
  <c r="H213" i="31" a="1"/>
  <c r="H213" i="31" s="1"/>
  <c r="G213" i="31" a="1"/>
  <c r="G213" i="31" s="1"/>
  <c r="F213" i="31"/>
  <c r="F213" i="31" a="1"/>
  <c r="E213" i="31" a="1"/>
  <c r="E213" i="31" s="1"/>
  <c r="D213" i="31" a="1"/>
  <c r="D213" i="31" s="1"/>
  <c r="R212" i="31" a="1"/>
  <c r="R212" i="31" s="1"/>
  <c r="P212" i="31"/>
  <c r="P212" i="31" a="1"/>
  <c r="O212" i="31" a="1"/>
  <c r="O212" i="31" s="1"/>
  <c r="N212" i="31" a="1"/>
  <c r="N212" i="31" s="1"/>
  <c r="M212" i="31" a="1"/>
  <c r="M212" i="31" s="1"/>
  <c r="L212" i="31" a="1"/>
  <c r="L212" i="31" s="1"/>
  <c r="K212" i="31" a="1"/>
  <c r="K212" i="31" s="1"/>
  <c r="J212" i="31" a="1"/>
  <c r="J212" i="31" s="1"/>
  <c r="I212" i="31" a="1"/>
  <c r="I212" i="31" s="1"/>
  <c r="H212" i="31" a="1"/>
  <c r="H212" i="31" s="1"/>
  <c r="G212" i="31" a="1"/>
  <c r="G212" i="31" s="1"/>
  <c r="F212" i="31" a="1"/>
  <c r="F212" i="31" s="1"/>
  <c r="E212" i="31" a="1"/>
  <c r="E212" i="31" s="1"/>
  <c r="D212" i="31" a="1"/>
  <c r="D212" i="31" s="1"/>
  <c r="R211" i="31" a="1"/>
  <c r="R211" i="31" s="1"/>
  <c r="P211" i="31" a="1"/>
  <c r="P211" i="31" s="1"/>
  <c r="O211" i="31" a="1"/>
  <c r="O211" i="31" s="1"/>
  <c r="N211" i="31" a="1"/>
  <c r="N211" i="31" s="1"/>
  <c r="M211" i="31" a="1"/>
  <c r="M211" i="31" s="1"/>
  <c r="L211" i="31" a="1"/>
  <c r="L211" i="31" s="1"/>
  <c r="K211" i="31" a="1"/>
  <c r="K211" i="31" s="1"/>
  <c r="J211" i="31" a="1"/>
  <c r="J211" i="31" s="1"/>
  <c r="I211" i="31" a="1"/>
  <c r="I211" i="31" s="1"/>
  <c r="H211" i="31" a="1"/>
  <c r="H211" i="31" s="1"/>
  <c r="G211" i="31" a="1"/>
  <c r="G211" i="31" s="1"/>
  <c r="F211" i="31"/>
  <c r="F211" i="31" a="1"/>
  <c r="E211" i="31" a="1"/>
  <c r="E211" i="31" s="1"/>
  <c r="D211" i="31" a="1"/>
  <c r="D211" i="31" s="1"/>
  <c r="R210" i="31" a="1"/>
  <c r="R210" i="31" s="1"/>
  <c r="P210" i="31"/>
  <c r="P210" i="31" a="1"/>
  <c r="O210" i="31" a="1"/>
  <c r="O210" i="31" s="1"/>
  <c r="N210" i="31" a="1"/>
  <c r="N210" i="31" s="1"/>
  <c r="M210" i="31" a="1"/>
  <c r="M210" i="31" s="1"/>
  <c r="L210" i="31"/>
  <c r="L210" i="31" a="1"/>
  <c r="K210" i="31" a="1"/>
  <c r="K210" i="31" s="1"/>
  <c r="J210" i="31" a="1"/>
  <c r="J210" i="31" s="1"/>
  <c r="I210" i="31" a="1"/>
  <c r="I210" i="31" s="1"/>
  <c r="H210" i="31" a="1"/>
  <c r="H210" i="31" s="1"/>
  <c r="G210" i="31" a="1"/>
  <c r="G210" i="31" s="1"/>
  <c r="F210" i="31" a="1"/>
  <c r="F210" i="31" s="1"/>
  <c r="E210" i="31" a="1"/>
  <c r="E210" i="31" s="1"/>
  <c r="D210" i="31" a="1"/>
  <c r="D210" i="31" s="1"/>
  <c r="R209" i="31" a="1"/>
  <c r="R209" i="31" s="1"/>
  <c r="P209" i="31" a="1"/>
  <c r="P209" i="31" s="1"/>
  <c r="O209" i="31" a="1"/>
  <c r="O209" i="31" s="1"/>
  <c r="N209" i="31" a="1"/>
  <c r="N209" i="31" s="1"/>
  <c r="M209" i="31" a="1"/>
  <c r="M209" i="31" s="1"/>
  <c r="L209" i="31" a="1"/>
  <c r="L209" i="31" s="1"/>
  <c r="K209" i="31" a="1"/>
  <c r="K209" i="31" s="1"/>
  <c r="J209" i="31" a="1"/>
  <c r="J209" i="31" s="1"/>
  <c r="I209" i="31" a="1"/>
  <c r="I209" i="31" s="1"/>
  <c r="H209" i="31" a="1"/>
  <c r="H209" i="31" s="1"/>
  <c r="G209" i="31" a="1"/>
  <c r="G209" i="31" s="1"/>
  <c r="F209" i="31" a="1"/>
  <c r="F209" i="31" s="1"/>
  <c r="E209" i="31" a="1"/>
  <c r="E209" i="31" s="1"/>
  <c r="D209" i="31" a="1"/>
  <c r="D209" i="31" s="1"/>
  <c r="R208" i="31" a="1"/>
  <c r="R208" i="31" s="1"/>
  <c r="P208" i="31"/>
  <c r="P208" i="31" a="1"/>
  <c r="O208" i="31" a="1"/>
  <c r="O208" i="31" s="1"/>
  <c r="N208" i="31" a="1"/>
  <c r="N208" i="31" s="1"/>
  <c r="M208" i="31" a="1"/>
  <c r="M208" i="31" s="1"/>
  <c r="L208" i="31"/>
  <c r="L208" i="31" a="1"/>
  <c r="K208" i="31" a="1"/>
  <c r="K208" i="31" s="1"/>
  <c r="J208" i="31" a="1"/>
  <c r="J208" i="31" s="1"/>
  <c r="I208" i="31" a="1"/>
  <c r="I208" i="31" s="1"/>
  <c r="H208" i="31"/>
  <c r="H208" i="31" a="1"/>
  <c r="G208" i="31" a="1"/>
  <c r="G208" i="31" s="1"/>
  <c r="F208" i="31" a="1"/>
  <c r="F208" i="31" s="1"/>
  <c r="E208" i="31" a="1"/>
  <c r="E208" i="31" s="1"/>
  <c r="D208" i="31" a="1"/>
  <c r="D208" i="31" s="1"/>
  <c r="R207" i="31" a="1"/>
  <c r="R207" i="31" s="1"/>
  <c r="P207" i="31" a="1"/>
  <c r="P207" i="31" s="1"/>
  <c r="O207" i="31" a="1"/>
  <c r="O207" i="31" s="1"/>
  <c r="N207" i="31" a="1"/>
  <c r="N207" i="31" s="1"/>
  <c r="M207" i="31" a="1"/>
  <c r="M207" i="31" s="1"/>
  <c r="L207" i="31" a="1"/>
  <c r="L207" i="31" s="1"/>
  <c r="K207" i="31" a="1"/>
  <c r="K207" i="31" s="1"/>
  <c r="J207" i="31" a="1"/>
  <c r="J207" i="31" s="1"/>
  <c r="I207" i="31" a="1"/>
  <c r="I207" i="31" s="1"/>
  <c r="H207" i="31" a="1"/>
  <c r="H207" i="31" s="1"/>
  <c r="G207" i="31" a="1"/>
  <c r="G207" i="31" s="1"/>
  <c r="F207" i="31" a="1"/>
  <c r="F207" i="31" s="1"/>
  <c r="E207" i="31" a="1"/>
  <c r="E207" i="31" s="1"/>
  <c r="D207" i="31" a="1"/>
  <c r="D207" i="31" s="1"/>
  <c r="R179" i="31" a="1"/>
  <c r="R179" i="31" s="1"/>
  <c r="P179" i="31" a="1"/>
  <c r="P179" i="31" s="1"/>
  <c r="O179" i="31" a="1"/>
  <c r="O179" i="31" s="1"/>
  <c r="N179" i="31" a="1"/>
  <c r="N179" i="31" s="1"/>
  <c r="M179" i="31" a="1"/>
  <c r="M179" i="31" s="1"/>
  <c r="L179" i="31" a="1"/>
  <c r="L179" i="31" s="1"/>
  <c r="K179" i="31"/>
  <c r="K179" i="31" a="1"/>
  <c r="J179" i="31" a="1"/>
  <c r="J179" i="31" s="1"/>
  <c r="I179" i="31" a="1"/>
  <c r="I179" i="31" s="1"/>
  <c r="H179" i="31" a="1"/>
  <c r="H179" i="31" s="1"/>
  <c r="G179" i="31" a="1"/>
  <c r="G179" i="31" s="1"/>
  <c r="F179" i="31" a="1"/>
  <c r="F179" i="31" s="1"/>
  <c r="E179" i="31" a="1"/>
  <c r="E179" i="31" s="1"/>
  <c r="D179" i="31" a="1"/>
  <c r="D179" i="31" s="1"/>
  <c r="R178" i="31" a="1"/>
  <c r="R178" i="31" s="1"/>
  <c r="P178" i="31" a="1"/>
  <c r="P178" i="31" s="1"/>
  <c r="O178" i="31" a="1"/>
  <c r="O178" i="31" s="1"/>
  <c r="N178" i="31" a="1"/>
  <c r="N178" i="31" s="1"/>
  <c r="M178" i="31" a="1"/>
  <c r="M178" i="31" s="1"/>
  <c r="L178" i="31" a="1"/>
  <c r="L178" i="31" s="1"/>
  <c r="K178" i="31" a="1"/>
  <c r="K178" i="31" s="1"/>
  <c r="J178" i="31" a="1"/>
  <c r="J178" i="31" s="1"/>
  <c r="I178" i="31" a="1"/>
  <c r="I178" i="31" s="1"/>
  <c r="H178" i="31" a="1"/>
  <c r="H178" i="31" s="1"/>
  <c r="G178" i="31" a="1"/>
  <c r="G178" i="31" s="1"/>
  <c r="F178" i="31" a="1"/>
  <c r="F178" i="31" s="1"/>
  <c r="E178" i="31" a="1"/>
  <c r="E178" i="31" s="1"/>
  <c r="D178" i="31" a="1"/>
  <c r="D178" i="31" s="1"/>
  <c r="R177" i="31" a="1"/>
  <c r="R177" i="31" s="1"/>
  <c r="P177" i="31" a="1"/>
  <c r="P177" i="31" s="1"/>
  <c r="O177" i="31" a="1"/>
  <c r="O177" i="31" s="1"/>
  <c r="N177" i="31" a="1"/>
  <c r="N177" i="31" s="1"/>
  <c r="M177" i="31" a="1"/>
  <c r="M177" i="31" s="1"/>
  <c r="L177" i="31" a="1"/>
  <c r="L177" i="31" s="1"/>
  <c r="K177" i="31" a="1"/>
  <c r="K177" i="31" s="1"/>
  <c r="J177" i="31" a="1"/>
  <c r="J177" i="31" s="1"/>
  <c r="I177" i="31" a="1"/>
  <c r="I177" i="31" s="1"/>
  <c r="H177" i="31" a="1"/>
  <c r="H177" i="31" s="1"/>
  <c r="G177" i="31" a="1"/>
  <c r="G177" i="31" s="1"/>
  <c r="F177" i="31" a="1"/>
  <c r="F177" i="31" s="1"/>
  <c r="E177" i="31" a="1"/>
  <c r="E177" i="31" s="1"/>
  <c r="D177" i="31" a="1"/>
  <c r="D177" i="31" s="1"/>
  <c r="R176" i="31" a="1"/>
  <c r="R176" i="31" s="1"/>
  <c r="P176" i="31" a="1"/>
  <c r="P176" i="31" s="1"/>
  <c r="O176" i="31" a="1"/>
  <c r="O176" i="31" s="1"/>
  <c r="N176" i="31" a="1"/>
  <c r="N176" i="31" s="1"/>
  <c r="M176" i="31" a="1"/>
  <c r="M176" i="31" s="1"/>
  <c r="L176" i="31" a="1"/>
  <c r="L176" i="31" s="1"/>
  <c r="K176" i="31" a="1"/>
  <c r="K176" i="31" s="1"/>
  <c r="J176" i="31" a="1"/>
  <c r="J176" i="31" s="1"/>
  <c r="I176" i="31" a="1"/>
  <c r="I176" i="31" s="1"/>
  <c r="H176" i="31" a="1"/>
  <c r="H176" i="31" s="1"/>
  <c r="G176" i="31" a="1"/>
  <c r="G176" i="31" s="1"/>
  <c r="F176" i="31" a="1"/>
  <c r="F176" i="31" s="1"/>
  <c r="E176" i="31" a="1"/>
  <c r="E176" i="31" s="1"/>
  <c r="D176" i="31" a="1"/>
  <c r="D176" i="31" s="1"/>
  <c r="R175" i="31" a="1"/>
  <c r="R175" i="31" s="1"/>
  <c r="P175" i="31" a="1"/>
  <c r="P175" i="31" s="1"/>
  <c r="O175" i="31" a="1"/>
  <c r="O175" i="31" s="1"/>
  <c r="N175" i="31" a="1"/>
  <c r="N175" i="31" s="1"/>
  <c r="M175" i="31" a="1"/>
  <c r="M175" i="31" s="1"/>
  <c r="L175" i="31" a="1"/>
  <c r="L175" i="31" s="1"/>
  <c r="K175" i="31" a="1"/>
  <c r="K175" i="31" s="1"/>
  <c r="J175" i="31" a="1"/>
  <c r="J175" i="31" s="1"/>
  <c r="I175" i="31" a="1"/>
  <c r="I175" i="31" s="1"/>
  <c r="H175" i="31" a="1"/>
  <c r="H175" i="31" s="1"/>
  <c r="G175" i="31" a="1"/>
  <c r="G175" i="31" s="1"/>
  <c r="F175" i="31" a="1"/>
  <c r="F175" i="31" s="1"/>
  <c r="E175" i="31" a="1"/>
  <c r="E175" i="31" s="1"/>
  <c r="D175" i="31" a="1"/>
  <c r="D175" i="31" s="1"/>
  <c r="R174" i="31" a="1"/>
  <c r="R174" i="31" s="1"/>
  <c r="P174" i="31" a="1"/>
  <c r="P174" i="31" s="1"/>
  <c r="O174" i="31" a="1"/>
  <c r="O174" i="31" s="1"/>
  <c r="N174" i="31" a="1"/>
  <c r="N174" i="31" s="1"/>
  <c r="M174" i="31" a="1"/>
  <c r="M174" i="31" s="1"/>
  <c r="L174" i="31" a="1"/>
  <c r="L174" i="31" s="1"/>
  <c r="K174" i="31" a="1"/>
  <c r="K174" i="31" s="1"/>
  <c r="J174" i="31" a="1"/>
  <c r="J174" i="31" s="1"/>
  <c r="I174" i="31" a="1"/>
  <c r="I174" i="31" s="1"/>
  <c r="H174" i="31" a="1"/>
  <c r="H174" i="31" s="1"/>
  <c r="G174" i="31" a="1"/>
  <c r="G174" i="31" s="1"/>
  <c r="F174" i="31" a="1"/>
  <c r="F174" i="31" s="1"/>
  <c r="E174" i="31" a="1"/>
  <c r="E174" i="31" s="1"/>
  <c r="D174" i="31" a="1"/>
  <c r="D174" i="31" s="1"/>
  <c r="R173" i="31" a="1"/>
  <c r="R173" i="31" s="1"/>
  <c r="P173" i="31" a="1"/>
  <c r="P173" i="31" s="1"/>
  <c r="O173" i="31" a="1"/>
  <c r="O173" i="31" s="1"/>
  <c r="N173" i="31" a="1"/>
  <c r="N173" i="31" s="1"/>
  <c r="M173" i="31" a="1"/>
  <c r="M173" i="31" s="1"/>
  <c r="L173" i="31" a="1"/>
  <c r="L173" i="31" s="1"/>
  <c r="K173" i="31" a="1"/>
  <c r="K173" i="31" s="1"/>
  <c r="J173" i="31" a="1"/>
  <c r="J173" i="31" s="1"/>
  <c r="I173" i="31" a="1"/>
  <c r="I173" i="31" s="1"/>
  <c r="H173" i="31" a="1"/>
  <c r="H173" i="31" s="1"/>
  <c r="G173" i="31" a="1"/>
  <c r="G173" i="31" s="1"/>
  <c r="F173" i="31" a="1"/>
  <c r="F173" i="31" s="1"/>
  <c r="E173" i="31" a="1"/>
  <c r="E173" i="31" s="1"/>
  <c r="D173" i="31" a="1"/>
  <c r="D173" i="31" s="1"/>
  <c r="R172" i="31" a="1"/>
  <c r="R172" i="31" s="1"/>
  <c r="P172" i="31" a="1"/>
  <c r="P172" i="31" s="1"/>
  <c r="O172" i="31" a="1"/>
  <c r="O172" i="31" s="1"/>
  <c r="N172" i="31" a="1"/>
  <c r="N172" i="31" s="1"/>
  <c r="M172" i="31" a="1"/>
  <c r="M172" i="31" s="1"/>
  <c r="L172" i="31" a="1"/>
  <c r="L172" i="31" s="1"/>
  <c r="K172" i="31" a="1"/>
  <c r="K172" i="31" s="1"/>
  <c r="J172" i="31" a="1"/>
  <c r="J172" i="31" s="1"/>
  <c r="I172" i="31" a="1"/>
  <c r="I172" i="31" s="1"/>
  <c r="H172" i="31" a="1"/>
  <c r="H172" i="31" s="1"/>
  <c r="G172" i="31" a="1"/>
  <c r="G172" i="31" s="1"/>
  <c r="F172" i="31" a="1"/>
  <c r="F172" i="31" s="1"/>
  <c r="E172" i="31" a="1"/>
  <c r="E172" i="31" s="1"/>
  <c r="D172" i="31" a="1"/>
  <c r="D172" i="31" s="1"/>
  <c r="R171" i="31" a="1"/>
  <c r="R171" i="31" s="1"/>
  <c r="P171" i="31" a="1"/>
  <c r="P171" i="31" s="1"/>
  <c r="O171" i="31" a="1"/>
  <c r="O171" i="31" s="1"/>
  <c r="N171" i="31" a="1"/>
  <c r="N171" i="31" s="1"/>
  <c r="M171" i="31" a="1"/>
  <c r="M171" i="31" s="1"/>
  <c r="L171" i="31" a="1"/>
  <c r="L171" i="31" s="1"/>
  <c r="K171" i="31" a="1"/>
  <c r="K171" i="31" s="1"/>
  <c r="J171" i="31" a="1"/>
  <c r="J171" i="31" s="1"/>
  <c r="I171" i="31" a="1"/>
  <c r="I171" i="31" s="1"/>
  <c r="H171" i="31" a="1"/>
  <c r="H171" i="31" s="1"/>
  <c r="G171" i="31" a="1"/>
  <c r="G171" i="31" s="1"/>
  <c r="F171" i="31" a="1"/>
  <c r="F171" i="31" s="1"/>
  <c r="E171" i="31" a="1"/>
  <c r="E171" i="31" s="1"/>
  <c r="D171" i="31" a="1"/>
  <c r="D171" i="31" s="1"/>
  <c r="R170" i="31" a="1"/>
  <c r="R170" i="31" s="1"/>
  <c r="P170" i="31" a="1"/>
  <c r="P170" i="31" s="1"/>
  <c r="O170" i="31" a="1"/>
  <c r="O170" i="31" s="1"/>
  <c r="N170" i="31" a="1"/>
  <c r="N170" i="31" s="1"/>
  <c r="M170" i="31" a="1"/>
  <c r="M170" i="31" s="1"/>
  <c r="L170" i="31" a="1"/>
  <c r="L170" i="31" s="1"/>
  <c r="K170" i="31" a="1"/>
  <c r="K170" i="31" s="1"/>
  <c r="J170" i="31" a="1"/>
  <c r="J170" i="31" s="1"/>
  <c r="I170" i="31" a="1"/>
  <c r="I170" i="31" s="1"/>
  <c r="H170" i="31" a="1"/>
  <c r="H170" i="31" s="1"/>
  <c r="G170" i="31" a="1"/>
  <c r="G170" i="31" s="1"/>
  <c r="F170" i="31" a="1"/>
  <c r="F170" i="31" s="1"/>
  <c r="E170" i="31" a="1"/>
  <c r="E170" i="31" s="1"/>
  <c r="D170" i="31" a="1"/>
  <c r="D170" i="31" s="1"/>
  <c r="R169" i="31" a="1"/>
  <c r="R169" i="31" s="1"/>
  <c r="P169" i="31" a="1"/>
  <c r="P169" i="31" s="1"/>
  <c r="O169" i="31" a="1"/>
  <c r="O169" i="31" s="1"/>
  <c r="N169" i="31" a="1"/>
  <c r="N169" i="31" s="1"/>
  <c r="M169" i="31" a="1"/>
  <c r="M169" i="31" s="1"/>
  <c r="L169" i="31" a="1"/>
  <c r="L169" i="31" s="1"/>
  <c r="K169" i="31" a="1"/>
  <c r="K169" i="31" s="1"/>
  <c r="J169" i="31" a="1"/>
  <c r="J169" i="31" s="1"/>
  <c r="I169" i="31" a="1"/>
  <c r="I169" i="31" s="1"/>
  <c r="H169" i="31" a="1"/>
  <c r="H169" i="31" s="1"/>
  <c r="G169" i="31" a="1"/>
  <c r="G169" i="31" s="1"/>
  <c r="F169" i="31" a="1"/>
  <c r="F169" i="31" s="1"/>
  <c r="E169" i="31" a="1"/>
  <c r="E169" i="31" s="1"/>
  <c r="D169" i="31" a="1"/>
  <c r="D169" i="31" s="1"/>
  <c r="R168" i="31" a="1"/>
  <c r="R168" i="31" s="1"/>
  <c r="P168" i="31" a="1"/>
  <c r="P168" i="31" s="1"/>
  <c r="O168" i="31" a="1"/>
  <c r="O168" i="31" s="1"/>
  <c r="N168" i="31" a="1"/>
  <c r="N168" i="31" s="1"/>
  <c r="M168" i="31" a="1"/>
  <c r="M168" i="31" s="1"/>
  <c r="L168" i="31" a="1"/>
  <c r="L168" i="31" s="1"/>
  <c r="K168" i="31" a="1"/>
  <c r="K168" i="31" s="1"/>
  <c r="J168" i="31" a="1"/>
  <c r="J168" i="31" s="1"/>
  <c r="I168" i="31"/>
  <c r="I168" i="31" a="1"/>
  <c r="H168" i="31" a="1"/>
  <c r="H168" i="31" s="1"/>
  <c r="G168" i="31" a="1"/>
  <c r="G168" i="31" s="1"/>
  <c r="F168" i="31" a="1"/>
  <c r="F168" i="31" s="1"/>
  <c r="E168" i="31"/>
  <c r="E168" i="31" a="1"/>
  <c r="D168" i="31" a="1"/>
  <c r="D168" i="31" s="1"/>
  <c r="R167" i="31" a="1"/>
  <c r="R167" i="31" s="1"/>
  <c r="P167" i="31" a="1"/>
  <c r="P167" i="31" s="1"/>
  <c r="O167" i="31" a="1"/>
  <c r="O167" i="31" s="1"/>
  <c r="N167" i="31" a="1"/>
  <c r="N167" i="31" s="1"/>
  <c r="M167" i="31" a="1"/>
  <c r="M167" i="31" s="1"/>
  <c r="L167" i="31" a="1"/>
  <c r="L167" i="31" s="1"/>
  <c r="K167" i="31" a="1"/>
  <c r="K167" i="31" s="1"/>
  <c r="J167" i="31" a="1"/>
  <c r="J167" i="31" s="1"/>
  <c r="I167" i="31" a="1"/>
  <c r="I167" i="31" s="1"/>
  <c r="H167" i="31" a="1"/>
  <c r="H167" i="31" s="1"/>
  <c r="G167" i="31" a="1"/>
  <c r="G167" i="31" s="1"/>
  <c r="F167" i="31" a="1"/>
  <c r="F167" i="31" s="1"/>
  <c r="E167" i="31" a="1"/>
  <c r="E167" i="31" s="1"/>
  <c r="D167" i="31" a="1"/>
  <c r="D167" i="31" s="1"/>
  <c r="R166" i="31" a="1"/>
  <c r="R166" i="31" s="1"/>
  <c r="P166" i="31" a="1"/>
  <c r="P166" i="31" s="1"/>
  <c r="O166" i="31" a="1"/>
  <c r="O166" i="31" s="1"/>
  <c r="N166" i="31" a="1"/>
  <c r="N166" i="31" s="1"/>
  <c r="M166" i="31" a="1"/>
  <c r="M166" i="31" s="1"/>
  <c r="L166" i="31" a="1"/>
  <c r="L166" i="31" s="1"/>
  <c r="K166" i="31" a="1"/>
  <c r="K166" i="31" s="1"/>
  <c r="J166" i="31" a="1"/>
  <c r="J166" i="31" s="1"/>
  <c r="I166" i="31" a="1"/>
  <c r="I166" i="31" s="1"/>
  <c r="H166" i="31" a="1"/>
  <c r="H166" i="31" s="1"/>
  <c r="G166" i="31" a="1"/>
  <c r="G166" i="31" s="1"/>
  <c r="F166" i="31" a="1"/>
  <c r="F166" i="31" s="1"/>
  <c r="E166" i="31" a="1"/>
  <c r="E166" i="31" s="1"/>
  <c r="D166" i="31" a="1"/>
  <c r="D166" i="31" s="1"/>
  <c r="R165" i="31" a="1"/>
  <c r="R165" i="31" s="1"/>
  <c r="P165" i="31" a="1"/>
  <c r="P165" i="31" s="1"/>
  <c r="O165" i="31"/>
  <c r="O165" i="31" a="1"/>
  <c r="N165" i="31" a="1"/>
  <c r="N165" i="31" s="1"/>
  <c r="M165" i="31" a="1"/>
  <c r="M165" i="31" s="1"/>
  <c r="L165" i="31" a="1"/>
  <c r="L165" i="31" s="1"/>
  <c r="K165" i="31"/>
  <c r="K165" i="31" a="1"/>
  <c r="J165" i="31" a="1"/>
  <c r="J165" i="31" s="1"/>
  <c r="I165" i="31" a="1"/>
  <c r="I165" i="31" s="1"/>
  <c r="H165" i="31" a="1"/>
  <c r="H165" i="31" s="1"/>
  <c r="G165" i="31" a="1"/>
  <c r="G165" i="31" s="1"/>
  <c r="F165" i="31" a="1"/>
  <c r="F165" i="31" s="1"/>
  <c r="E165" i="31" a="1"/>
  <c r="E165" i="31" s="1"/>
  <c r="D165" i="31" a="1"/>
  <c r="D165" i="31" s="1"/>
  <c r="R164" i="31" a="1"/>
  <c r="R164" i="31" s="1"/>
  <c r="P164" i="31" a="1"/>
  <c r="P164" i="31" s="1"/>
  <c r="O164" i="31" a="1"/>
  <c r="O164" i="31" s="1"/>
  <c r="N164" i="31" a="1"/>
  <c r="N164" i="31" s="1"/>
  <c r="M164" i="31" a="1"/>
  <c r="M164" i="31" s="1"/>
  <c r="L164" i="31" a="1"/>
  <c r="L164" i="31" s="1"/>
  <c r="K164" i="31" a="1"/>
  <c r="K164" i="31" s="1"/>
  <c r="J164" i="31" a="1"/>
  <c r="J164" i="31" s="1"/>
  <c r="I164" i="31" a="1"/>
  <c r="I164" i="31" s="1"/>
  <c r="H164" i="31" a="1"/>
  <c r="H164" i="31" s="1"/>
  <c r="G164" i="31" a="1"/>
  <c r="G164" i="31" s="1"/>
  <c r="F164" i="31" a="1"/>
  <c r="F164" i="31" s="1"/>
  <c r="E164" i="31" a="1"/>
  <c r="E164" i="31" s="1"/>
  <c r="D164" i="31" a="1"/>
  <c r="D164" i="31" s="1"/>
  <c r="R156" i="31" a="1"/>
  <c r="R156" i="31" s="1"/>
  <c r="P156" i="31" a="1"/>
  <c r="P156" i="31" s="1"/>
  <c r="O156" i="31" a="1"/>
  <c r="O156" i="31" s="1"/>
  <c r="N156" i="31" a="1"/>
  <c r="N156" i="31" s="1"/>
  <c r="M156" i="31" a="1"/>
  <c r="M156" i="31" s="1"/>
  <c r="L156" i="31" a="1"/>
  <c r="L156" i="31" s="1"/>
  <c r="K156" i="31" a="1"/>
  <c r="K156" i="31" s="1"/>
  <c r="J156" i="31" a="1"/>
  <c r="J156" i="31" s="1"/>
  <c r="I156" i="31" a="1"/>
  <c r="I156" i="31" s="1"/>
  <c r="H156" i="31" a="1"/>
  <c r="H156" i="31" s="1"/>
  <c r="G156" i="31" a="1"/>
  <c r="G156" i="31" s="1"/>
  <c r="F156" i="31" a="1"/>
  <c r="F156" i="31" s="1"/>
  <c r="E156" i="31" a="1"/>
  <c r="E156" i="31" s="1"/>
  <c r="D156" i="31" a="1"/>
  <c r="D156" i="31" s="1"/>
  <c r="R155" i="31" a="1"/>
  <c r="R155" i="31" s="1"/>
  <c r="P155" i="31" a="1"/>
  <c r="P155" i="31" s="1"/>
  <c r="O155" i="31" a="1"/>
  <c r="O155" i="31" s="1"/>
  <c r="N155" i="31" a="1"/>
  <c r="N155" i="31" s="1"/>
  <c r="M155" i="31" a="1"/>
  <c r="M155" i="31" s="1"/>
  <c r="L155" i="31" a="1"/>
  <c r="L155" i="31" s="1"/>
  <c r="K155" i="31" a="1"/>
  <c r="K155" i="31" s="1"/>
  <c r="J155" i="31" a="1"/>
  <c r="J155" i="31" s="1"/>
  <c r="I155" i="31" a="1"/>
  <c r="I155" i="31" s="1"/>
  <c r="H155" i="31" a="1"/>
  <c r="H155" i="31" s="1"/>
  <c r="G155" i="31" a="1"/>
  <c r="G155" i="31" s="1"/>
  <c r="F155" i="31" a="1"/>
  <c r="F155" i="31" s="1"/>
  <c r="E155" i="31" a="1"/>
  <c r="E155" i="31" s="1"/>
  <c r="D155" i="31" a="1"/>
  <c r="D155" i="31" s="1"/>
  <c r="R153" i="31"/>
  <c r="R153" i="31" a="1"/>
  <c r="P153" i="31" a="1"/>
  <c r="P153" i="31" s="1"/>
  <c r="O153" i="31" a="1"/>
  <c r="O153" i="31" s="1"/>
  <c r="N153" i="31" a="1"/>
  <c r="N153" i="31" s="1"/>
  <c r="M153" i="31" a="1"/>
  <c r="M153" i="31" s="1"/>
  <c r="L153" i="31" a="1"/>
  <c r="L153" i="31" s="1"/>
  <c r="K153" i="31" a="1"/>
  <c r="K153" i="31" s="1"/>
  <c r="J153" i="31" a="1"/>
  <c r="J153" i="31" s="1"/>
  <c r="I153" i="31" a="1"/>
  <c r="I153" i="31" s="1"/>
  <c r="H153" i="31" a="1"/>
  <c r="H153" i="31" s="1"/>
  <c r="G153" i="31" a="1"/>
  <c r="G153" i="31" s="1"/>
  <c r="F153" i="31" a="1"/>
  <c r="F153" i="31" s="1"/>
  <c r="E153" i="31" a="1"/>
  <c r="E153" i="31" s="1"/>
  <c r="D153" i="31" a="1"/>
  <c r="D153" i="31" s="1"/>
  <c r="R152" i="31" a="1"/>
  <c r="R152" i="31" s="1"/>
  <c r="P152" i="31" a="1"/>
  <c r="P152" i="31" s="1"/>
  <c r="O152" i="31" a="1"/>
  <c r="O152" i="31" s="1"/>
  <c r="N152" i="31" a="1"/>
  <c r="N152" i="31" s="1"/>
  <c r="M152" i="31" a="1"/>
  <c r="M152" i="31" s="1"/>
  <c r="L152" i="31" a="1"/>
  <c r="L152" i="31" s="1"/>
  <c r="K152" i="31" a="1"/>
  <c r="K152" i="31" s="1"/>
  <c r="J152" i="31" a="1"/>
  <c r="J152" i="31" s="1"/>
  <c r="I152" i="31" a="1"/>
  <c r="I152" i="31" s="1"/>
  <c r="H152" i="31" a="1"/>
  <c r="H152" i="31" s="1"/>
  <c r="G152" i="31" a="1"/>
  <c r="G152" i="31" s="1"/>
  <c r="F152" i="31" a="1"/>
  <c r="F152" i="31" s="1"/>
  <c r="E152" i="31" a="1"/>
  <c r="E152" i="31" s="1"/>
  <c r="D152" i="31" a="1"/>
  <c r="D152" i="31" s="1"/>
  <c r="R151" i="31" a="1"/>
  <c r="R151" i="31" s="1"/>
  <c r="P151" i="31" a="1"/>
  <c r="P151" i="31" s="1"/>
  <c r="O151" i="31" a="1"/>
  <c r="O151" i="31" s="1"/>
  <c r="N151" i="31" a="1"/>
  <c r="N151" i="31" s="1"/>
  <c r="M151" i="31" a="1"/>
  <c r="M151" i="31" s="1"/>
  <c r="L151" i="31" a="1"/>
  <c r="L151" i="31" s="1"/>
  <c r="K151" i="31" a="1"/>
  <c r="K151" i="31" s="1"/>
  <c r="J151" i="31" a="1"/>
  <c r="J151" i="31" s="1"/>
  <c r="I151" i="31" a="1"/>
  <c r="I151" i="31" s="1"/>
  <c r="H151" i="31" a="1"/>
  <c r="H151" i="31" s="1"/>
  <c r="G151" i="31" a="1"/>
  <c r="G151" i="31" s="1"/>
  <c r="F151" i="31" a="1"/>
  <c r="F151" i="31" s="1"/>
  <c r="E151" i="31" a="1"/>
  <c r="E151" i="31" s="1"/>
  <c r="D151" i="31" a="1"/>
  <c r="D151" i="31" s="1"/>
  <c r="R150" i="31" a="1"/>
  <c r="R150" i="31" s="1"/>
  <c r="P150" i="31" a="1"/>
  <c r="P150" i="31" s="1"/>
  <c r="O150" i="31" a="1"/>
  <c r="O150" i="31" s="1"/>
  <c r="N150" i="31" a="1"/>
  <c r="N150" i="31" s="1"/>
  <c r="M150" i="31" a="1"/>
  <c r="M150" i="31" s="1"/>
  <c r="L150" i="31" a="1"/>
  <c r="L150" i="31" s="1"/>
  <c r="K150" i="31" a="1"/>
  <c r="K150" i="31" s="1"/>
  <c r="J150" i="31" a="1"/>
  <c r="J150" i="31" s="1"/>
  <c r="I150" i="31" a="1"/>
  <c r="I150" i="31" s="1"/>
  <c r="H150" i="31" a="1"/>
  <c r="H150" i="31" s="1"/>
  <c r="G150" i="31" a="1"/>
  <c r="G150" i="31" s="1"/>
  <c r="F150" i="31" a="1"/>
  <c r="F150" i="31" s="1"/>
  <c r="E150" i="31" a="1"/>
  <c r="E150" i="31" s="1"/>
  <c r="D150" i="31" a="1"/>
  <c r="D150" i="31" s="1"/>
  <c r="R149" i="31" a="1"/>
  <c r="R149" i="31" s="1"/>
  <c r="P149" i="31" a="1"/>
  <c r="P149" i="31" s="1"/>
  <c r="O149" i="31" a="1"/>
  <c r="O149" i="31" s="1"/>
  <c r="N149" i="31" a="1"/>
  <c r="N149" i="31" s="1"/>
  <c r="M149" i="31" a="1"/>
  <c r="M149" i="31" s="1"/>
  <c r="L149" i="31" a="1"/>
  <c r="L149" i="31" s="1"/>
  <c r="K149" i="31" a="1"/>
  <c r="K149" i="31" s="1"/>
  <c r="J149" i="31" a="1"/>
  <c r="J149" i="31" s="1"/>
  <c r="I149" i="31" a="1"/>
  <c r="I149" i="31" s="1"/>
  <c r="H149" i="31" a="1"/>
  <c r="H149" i="31" s="1"/>
  <c r="G149" i="31" a="1"/>
  <c r="G149" i="31" s="1"/>
  <c r="F149" i="31" a="1"/>
  <c r="F149" i="31" s="1"/>
  <c r="E149" i="31" a="1"/>
  <c r="E149" i="31" s="1"/>
  <c r="D149" i="31" a="1"/>
  <c r="D149" i="31" s="1"/>
  <c r="R148" i="31" a="1"/>
  <c r="R148" i="31" s="1"/>
  <c r="P148" i="31" a="1"/>
  <c r="P148" i="31" s="1"/>
  <c r="O148" i="31" a="1"/>
  <c r="O148" i="31" s="1"/>
  <c r="N148" i="31" a="1"/>
  <c r="N148" i="31" s="1"/>
  <c r="M148" i="31" a="1"/>
  <c r="M148" i="31" s="1"/>
  <c r="L148" i="31" a="1"/>
  <c r="L148" i="31" s="1"/>
  <c r="K148" i="31" a="1"/>
  <c r="K148" i="31" s="1"/>
  <c r="J148" i="31" a="1"/>
  <c r="J148" i="31" s="1"/>
  <c r="I148" i="31" a="1"/>
  <c r="I148" i="31" s="1"/>
  <c r="H148" i="31" a="1"/>
  <c r="H148" i="31" s="1"/>
  <c r="G148" i="31" a="1"/>
  <c r="G148" i="31" s="1"/>
  <c r="F148" i="31" a="1"/>
  <c r="F148" i="31" s="1"/>
  <c r="E148" i="31" a="1"/>
  <c r="E148" i="31" s="1"/>
  <c r="D148" i="31" a="1"/>
  <c r="D148" i="31" s="1"/>
  <c r="R147" i="31" a="1"/>
  <c r="R147" i="31" s="1"/>
  <c r="P147" i="31" a="1"/>
  <c r="P147" i="31" s="1"/>
  <c r="O147" i="31" a="1"/>
  <c r="O147" i="31" s="1"/>
  <c r="N147" i="31" a="1"/>
  <c r="N147" i="31" s="1"/>
  <c r="M147" i="31" a="1"/>
  <c r="M147" i="31" s="1"/>
  <c r="L147" i="31" a="1"/>
  <c r="L147" i="31" s="1"/>
  <c r="K147" i="31" a="1"/>
  <c r="K147" i="31" s="1"/>
  <c r="J147" i="31" a="1"/>
  <c r="J147" i="31" s="1"/>
  <c r="I147" i="31" a="1"/>
  <c r="I147" i="31" s="1"/>
  <c r="H147" i="31" a="1"/>
  <c r="H147" i="31" s="1"/>
  <c r="G147" i="31" a="1"/>
  <c r="G147" i="31" s="1"/>
  <c r="F147" i="31" a="1"/>
  <c r="F147" i="31" s="1"/>
  <c r="E147" i="31" a="1"/>
  <c r="E147" i="31" s="1"/>
  <c r="D147" i="31" a="1"/>
  <c r="D147" i="31" s="1"/>
  <c r="R146" i="31" a="1"/>
  <c r="R146" i="31" s="1"/>
  <c r="P146" i="31" a="1"/>
  <c r="P146" i="31" s="1"/>
  <c r="O146" i="31" a="1"/>
  <c r="O146" i="31" s="1"/>
  <c r="N146" i="31" a="1"/>
  <c r="N146" i="31" s="1"/>
  <c r="M146" i="31" a="1"/>
  <c r="M146" i="31" s="1"/>
  <c r="L146" i="31" a="1"/>
  <c r="L146" i="31" s="1"/>
  <c r="K146" i="31" a="1"/>
  <c r="K146" i="31" s="1"/>
  <c r="J146" i="31" a="1"/>
  <c r="J146" i="31" s="1"/>
  <c r="I146" i="31" a="1"/>
  <c r="I146" i="31" s="1"/>
  <c r="H146" i="31" a="1"/>
  <c r="H146" i="31" s="1"/>
  <c r="G146" i="31" a="1"/>
  <c r="G146" i="31" s="1"/>
  <c r="F146" i="31" a="1"/>
  <c r="F146" i="31" s="1"/>
  <c r="E146" i="31" a="1"/>
  <c r="E146" i="31" s="1"/>
  <c r="D146" i="31" a="1"/>
  <c r="D146" i="31" s="1"/>
  <c r="R145" i="31" a="1"/>
  <c r="R145" i="31" s="1"/>
  <c r="P145" i="31" a="1"/>
  <c r="P145" i="31" s="1"/>
  <c r="O145" i="31" a="1"/>
  <c r="O145" i="31" s="1"/>
  <c r="N145" i="31" a="1"/>
  <c r="N145" i="31" s="1"/>
  <c r="M145" i="31" a="1"/>
  <c r="M145" i="31" s="1"/>
  <c r="L145" i="31" a="1"/>
  <c r="L145" i="31" s="1"/>
  <c r="K145" i="31" a="1"/>
  <c r="K145" i="31" s="1"/>
  <c r="J145" i="31" a="1"/>
  <c r="J145" i="31" s="1"/>
  <c r="I145" i="31" a="1"/>
  <c r="I145" i="31" s="1"/>
  <c r="H145" i="31" a="1"/>
  <c r="H145" i="31" s="1"/>
  <c r="G145" i="31" a="1"/>
  <c r="G145" i="31" s="1"/>
  <c r="F145" i="31" a="1"/>
  <c r="F145" i="31" s="1"/>
  <c r="E145" i="31" a="1"/>
  <c r="E145" i="31" s="1"/>
  <c r="D145" i="31" a="1"/>
  <c r="D145" i="31" s="1"/>
  <c r="R144" i="31" a="1"/>
  <c r="R144" i="31" s="1"/>
  <c r="P144" i="31" a="1"/>
  <c r="P144" i="31" s="1"/>
  <c r="O144" i="31" a="1"/>
  <c r="O144" i="31" s="1"/>
  <c r="N144" i="31"/>
  <c r="N144" i="31" a="1"/>
  <c r="M144" i="31" a="1"/>
  <c r="M144" i="31" s="1"/>
  <c r="L144" i="31" a="1"/>
  <c r="L144" i="31" s="1"/>
  <c r="K144" i="31" a="1"/>
  <c r="K144" i="31" s="1"/>
  <c r="J144" i="31" a="1"/>
  <c r="J144" i="31" s="1"/>
  <c r="I144" i="31" a="1"/>
  <c r="I144" i="31" s="1"/>
  <c r="H144" i="31" a="1"/>
  <c r="H144" i="31" s="1"/>
  <c r="G144" i="31" a="1"/>
  <c r="G144" i="31" s="1"/>
  <c r="F144" i="31"/>
  <c r="F144" i="31" a="1"/>
  <c r="E144" i="31" a="1"/>
  <c r="E144" i="31" s="1"/>
  <c r="D144" i="31" a="1"/>
  <c r="D144" i="31" s="1"/>
  <c r="R142" i="31" a="1"/>
  <c r="R142" i="31" s="1"/>
  <c r="P142" i="31" a="1"/>
  <c r="P142" i="31" s="1"/>
  <c r="O142" i="31" a="1"/>
  <c r="O142" i="31" s="1"/>
  <c r="N142" i="31" a="1"/>
  <c r="N142" i="31" s="1"/>
  <c r="M142" i="31" a="1"/>
  <c r="M142" i="31" s="1"/>
  <c r="L142" i="31" a="1"/>
  <c r="L142" i="31" s="1"/>
  <c r="K142" i="31" a="1"/>
  <c r="K142" i="31" s="1"/>
  <c r="J142" i="31" a="1"/>
  <c r="J142" i="31" s="1"/>
  <c r="I142" i="31" a="1"/>
  <c r="I142" i="31" s="1"/>
  <c r="H142" i="31" a="1"/>
  <c r="H142" i="31" s="1"/>
  <c r="G142" i="31" a="1"/>
  <c r="G142" i="31" s="1"/>
  <c r="F142" i="31" a="1"/>
  <c r="F142" i="31" s="1"/>
  <c r="E142" i="31" a="1"/>
  <c r="E142" i="31" s="1"/>
  <c r="D142" i="31" a="1"/>
  <c r="D142" i="31" s="1"/>
  <c r="R140" i="31" a="1"/>
  <c r="R140" i="31" s="1"/>
  <c r="P140" i="31" a="1"/>
  <c r="P140" i="31" s="1"/>
  <c r="O140" i="31"/>
  <c r="O140" i="31" a="1"/>
  <c r="N140" i="31" a="1"/>
  <c r="N140" i="31" s="1"/>
  <c r="M140" i="31" a="1"/>
  <c r="M140" i="31" s="1"/>
  <c r="L140" i="31" a="1"/>
  <c r="L140" i="31" s="1"/>
  <c r="K140" i="31" a="1"/>
  <c r="K140" i="31" s="1"/>
  <c r="J140" i="31" a="1"/>
  <c r="J140" i="31" s="1"/>
  <c r="I140" i="31" a="1"/>
  <c r="I140" i="31" s="1"/>
  <c r="H140" i="31" a="1"/>
  <c r="H140" i="31" s="1"/>
  <c r="G140" i="31"/>
  <c r="G140" i="31" a="1"/>
  <c r="F140" i="31" a="1"/>
  <c r="F140" i="31" s="1"/>
  <c r="E140" i="31" a="1"/>
  <c r="E140" i="31" s="1"/>
  <c r="D140" i="31" a="1"/>
  <c r="D140" i="31" s="1"/>
  <c r="R138" i="31" a="1"/>
  <c r="R138" i="31" s="1"/>
  <c r="P138" i="31" a="1"/>
  <c r="P138" i="31" s="1"/>
  <c r="O138" i="31" a="1"/>
  <c r="O138" i="31" s="1"/>
  <c r="N138" i="31"/>
  <c r="N138" i="31" a="1"/>
  <c r="M138" i="31" a="1"/>
  <c r="M138" i="31" s="1"/>
  <c r="L138" i="31" a="1"/>
  <c r="L138" i="31" s="1"/>
  <c r="K138" i="31" a="1"/>
  <c r="K138" i="31" s="1"/>
  <c r="J138" i="31" a="1"/>
  <c r="J138" i="31" s="1"/>
  <c r="I138" i="31" a="1"/>
  <c r="I138" i="31" s="1"/>
  <c r="H138" i="31" a="1"/>
  <c r="H138" i="31" s="1"/>
  <c r="G138" i="31" a="1"/>
  <c r="G138" i="31" s="1"/>
  <c r="F138" i="31"/>
  <c r="F138" i="31" a="1"/>
  <c r="E138" i="31" a="1"/>
  <c r="E138" i="31" s="1"/>
  <c r="D138" i="31" a="1"/>
  <c r="D138" i="31" s="1"/>
  <c r="R137" i="31" a="1"/>
  <c r="R137" i="31" s="1"/>
  <c r="P137" i="31" a="1"/>
  <c r="P137" i="31" s="1"/>
  <c r="O137" i="31" a="1"/>
  <c r="O137" i="31" s="1"/>
  <c r="N137" i="31" a="1"/>
  <c r="N137" i="31" s="1"/>
  <c r="M137" i="31" a="1"/>
  <c r="M137" i="31" s="1"/>
  <c r="L137" i="31"/>
  <c r="L137" i="31" a="1"/>
  <c r="K137" i="31" a="1"/>
  <c r="K137" i="31" s="1"/>
  <c r="J137" i="31" a="1"/>
  <c r="J137" i="31" s="1"/>
  <c r="I137" i="31" a="1"/>
  <c r="I137" i="31" s="1"/>
  <c r="H137" i="31" a="1"/>
  <c r="H137" i="31" s="1"/>
  <c r="G137" i="31" a="1"/>
  <c r="G137" i="31" s="1"/>
  <c r="F137" i="31" a="1"/>
  <c r="F137" i="31" s="1"/>
  <c r="E137" i="31" a="1"/>
  <c r="E137" i="31" s="1"/>
  <c r="D137" i="31"/>
  <c r="D137" i="31" a="1"/>
  <c r="R136" i="31" a="1"/>
  <c r="R136" i="31" s="1"/>
  <c r="P136" i="31" a="1"/>
  <c r="P136" i="31" s="1"/>
  <c r="O136" i="31" a="1"/>
  <c r="O136" i="31" s="1"/>
  <c r="N136" i="31" a="1"/>
  <c r="N136" i="31" s="1"/>
  <c r="M136" i="31" a="1"/>
  <c r="M136" i="31" s="1"/>
  <c r="L136" i="31" a="1"/>
  <c r="L136" i="31" s="1"/>
  <c r="K136" i="31" a="1"/>
  <c r="K136" i="31" s="1"/>
  <c r="J136" i="31"/>
  <c r="J136" i="31" a="1"/>
  <c r="I136" i="31" a="1"/>
  <c r="I136" i="31" s="1"/>
  <c r="H136" i="31" a="1"/>
  <c r="H136" i="31" s="1"/>
  <c r="G136" i="31" a="1"/>
  <c r="G136" i="31" s="1"/>
  <c r="F136" i="31" a="1"/>
  <c r="F136" i="31" s="1"/>
  <c r="E136" i="31" a="1"/>
  <c r="E136" i="31" s="1"/>
  <c r="D136" i="31" a="1"/>
  <c r="D136" i="31" s="1"/>
  <c r="R135" i="31" a="1"/>
  <c r="R135" i="31" s="1"/>
  <c r="P135" i="31" a="1"/>
  <c r="P135" i="31" s="1"/>
  <c r="O135" i="31" a="1"/>
  <c r="O135" i="31" s="1"/>
  <c r="N135" i="31"/>
  <c r="N135" i="31" a="1"/>
  <c r="M135" i="31" a="1"/>
  <c r="M135" i="31" s="1"/>
  <c r="L135" i="31" a="1"/>
  <c r="L135" i="31" s="1"/>
  <c r="K135" i="31" a="1"/>
  <c r="K135" i="31" s="1"/>
  <c r="J135" i="31" a="1"/>
  <c r="J135" i="31" s="1"/>
  <c r="I135" i="31" a="1"/>
  <c r="I135" i="31" s="1"/>
  <c r="H135" i="31" a="1"/>
  <c r="H135" i="31" s="1"/>
  <c r="G135" i="31" a="1"/>
  <c r="G135" i="31" s="1"/>
  <c r="F135" i="31"/>
  <c r="F135" i="31" a="1"/>
  <c r="E135" i="31" a="1"/>
  <c r="E135" i="31" s="1"/>
  <c r="D135" i="31" a="1"/>
  <c r="D135" i="31" s="1"/>
  <c r="R133" i="31" a="1"/>
  <c r="R133" i="31" s="1"/>
  <c r="P133" i="31"/>
  <c r="P133" i="31" a="1"/>
  <c r="O133" i="31"/>
  <c r="O133" i="31" a="1"/>
  <c r="N133" i="31"/>
  <c r="N133" i="31" a="1"/>
  <c r="M133" i="31"/>
  <c r="M133" i="31" a="1"/>
  <c r="L133" i="31"/>
  <c r="L133" i="31" a="1"/>
  <c r="K133" i="31"/>
  <c r="K133" i="31" a="1"/>
  <c r="J133" i="31"/>
  <c r="J133" i="31" a="1"/>
  <c r="I133" i="31"/>
  <c r="I133" i="31" a="1"/>
  <c r="H133" i="31"/>
  <c r="H133" i="31" a="1"/>
  <c r="G133" i="31"/>
  <c r="G133" i="31" a="1"/>
  <c r="F133" i="31"/>
  <c r="F133" i="31" a="1"/>
  <c r="E133" i="31"/>
  <c r="E133" i="31" a="1"/>
  <c r="D133" i="31"/>
  <c r="D133" i="31" a="1"/>
  <c r="R132" i="31" a="1"/>
  <c r="R132" i="31" s="1"/>
  <c r="P132" i="31"/>
  <c r="P132" i="31" a="1"/>
  <c r="O132" i="31"/>
  <c r="O132" i="31" a="1"/>
  <c r="N132" i="31"/>
  <c r="N132" i="31" a="1"/>
  <c r="M132" i="31"/>
  <c r="M132" i="31" a="1"/>
  <c r="L132" i="31"/>
  <c r="L132" i="31" a="1"/>
  <c r="K132" i="31"/>
  <c r="K132" i="31" a="1"/>
  <c r="J132" i="31"/>
  <c r="J132" i="31" a="1"/>
  <c r="I132" i="31"/>
  <c r="I132" i="31" a="1"/>
  <c r="H132" i="31"/>
  <c r="H132" i="31" a="1"/>
  <c r="G132" i="31"/>
  <c r="G132" i="31" a="1"/>
  <c r="F132" i="31"/>
  <c r="F132" i="31" a="1"/>
  <c r="E132" i="31"/>
  <c r="E132" i="31" a="1"/>
  <c r="D132" i="31"/>
  <c r="D132" i="31" a="1"/>
  <c r="R131" i="31" a="1"/>
  <c r="R131" i="31" s="1"/>
  <c r="P131" i="31"/>
  <c r="P131" i="31" a="1"/>
  <c r="O131" i="31"/>
  <c r="O131" i="31" a="1"/>
  <c r="N131" i="31"/>
  <c r="N131" i="31" a="1"/>
  <c r="M131" i="31"/>
  <c r="M131" i="31" a="1"/>
  <c r="L131" i="31"/>
  <c r="L131" i="31" a="1"/>
  <c r="K131" i="31"/>
  <c r="K131" i="31" a="1"/>
  <c r="J131" i="31"/>
  <c r="J131" i="31" a="1"/>
  <c r="I131" i="31"/>
  <c r="I131" i="31" a="1"/>
  <c r="H131" i="31"/>
  <c r="H131" i="31" a="1"/>
  <c r="G131" i="31"/>
  <c r="G131" i="31" a="1"/>
  <c r="F131" i="31"/>
  <c r="F131" i="31" a="1"/>
  <c r="E131" i="31"/>
  <c r="E131" i="31" a="1"/>
  <c r="D131" i="31"/>
  <c r="D131" i="31" a="1"/>
  <c r="R130" i="31" a="1"/>
  <c r="R130" i="31" s="1"/>
  <c r="P130" i="31"/>
  <c r="P130" i="31" a="1"/>
  <c r="O130" i="31"/>
  <c r="O130" i="31" a="1"/>
  <c r="N130" i="31"/>
  <c r="N130" i="31" a="1"/>
  <c r="M130" i="31"/>
  <c r="M130" i="31" a="1"/>
  <c r="L130" i="31"/>
  <c r="L130" i="31" a="1"/>
  <c r="K130" i="31"/>
  <c r="K130" i="31" a="1"/>
  <c r="J130" i="31"/>
  <c r="J130" i="31" a="1"/>
  <c r="I130" i="31"/>
  <c r="I130" i="31" a="1"/>
  <c r="H130" i="31"/>
  <c r="H130" i="31" a="1"/>
  <c r="G130" i="31"/>
  <c r="G130" i="31" a="1"/>
  <c r="F130" i="31"/>
  <c r="F130" i="31" a="1"/>
  <c r="E130" i="31"/>
  <c r="E130" i="31" a="1"/>
  <c r="D130" i="31"/>
  <c r="D130" i="31" a="1"/>
  <c r="R129" i="31" a="1"/>
  <c r="R129" i="31" s="1"/>
  <c r="P129" i="31"/>
  <c r="P129" i="31" a="1"/>
  <c r="O129" i="31"/>
  <c r="O129" i="31" a="1"/>
  <c r="N129" i="31"/>
  <c r="N129" i="31" a="1"/>
  <c r="M129" i="31"/>
  <c r="M129" i="31" a="1"/>
  <c r="L129" i="31"/>
  <c r="L129" i="31" a="1"/>
  <c r="K129" i="31"/>
  <c r="K129" i="31" a="1"/>
  <c r="J129" i="31"/>
  <c r="J129" i="31" a="1"/>
  <c r="I129" i="31"/>
  <c r="I129" i="31" a="1"/>
  <c r="H129" i="31"/>
  <c r="H129" i="31" a="1"/>
  <c r="G129" i="31"/>
  <c r="G129" i="31" a="1"/>
  <c r="F129" i="31"/>
  <c r="F129" i="31" a="1"/>
  <c r="E129" i="31"/>
  <c r="E129" i="31" a="1"/>
  <c r="D129" i="31"/>
  <c r="D129" i="31" a="1"/>
  <c r="R128" i="31" a="1"/>
  <c r="R128" i="31" s="1"/>
  <c r="P128" i="31"/>
  <c r="P128" i="31" a="1"/>
  <c r="O128" i="31"/>
  <c r="O128" i="31" a="1"/>
  <c r="N128" i="31"/>
  <c r="N128" i="31" a="1"/>
  <c r="M128" i="31"/>
  <c r="M128" i="31" a="1"/>
  <c r="L128" i="31"/>
  <c r="L128" i="31" a="1"/>
  <c r="K128" i="31"/>
  <c r="K128" i="31" a="1"/>
  <c r="J128" i="31"/>
  <c r="J128" i="31" a="1"/>
  <c r="I128" i="31"/>
  <c r="I128" i="31" a="1"/>
  <c r="H128" i="31"/>
  <c r="H128" i="31" a="1"/>
  <c r="G128" i="31"/>
  <c r="G128" i="31" a="1"/>
  <c r="F128" i="31"/>
  <c r="F128" i="31" a="1"/>
  <c r="E128" i="31"/>
  <c r="E128" i="31" a="1"/>
  <c r="D128" i="31"/>
  <c r="D128" i="31" a="1"/>
  <c r="R127" i="31" a="1"/>
  <c r="R127" i="31" s="1"/>
  <c r="P127" i="31"/>
  <c r="P127" i="31" a="1"/>
  <c r="O127" i="31"/>
  <c r="O127" i="31" a="1"/>
  <c r="N127" i="31"/>
  <c r="N127" i="31" a="1"/>
  <c r="M127" i="31"/>
  <c r="M127" i="31" a="1"/>
  <c r="L127" i="31"/>
  <c r="L127" i="31" a="1"/>
  <c r="K127" i="31"/>
  <c r="K127" i="31" a="1"/>
  <c r="J127" i="31"/>
  <c r="J127" i="31" a="1"/>
  <c r="I127" i="31"/>
  <c r="I127" i="31" a="1"/>
  <c r="H127" i="31"/>
  <c r="H127" i="31" a="1"/>
  <c r="G127" i="31"/>
  <c r="G127" i="31" a="1"/>
  <c r="F127" i="31"/>
  <c r="F127" i="31" a="1"/>
  <c r="E127" i="31"/>
  <c r="E127" i="31" a="1"/>
  <c r="D127" i="31"/>
  <c r="D127" i="31" a="1"/>
  <c r="R126" i="31" a="1"/>
  <c r="R126" i="31" s="1"/>
  <c r="P126" i="31"/>
  <c r="P126" i="31" a="1"/>
  <c r="O126" i="31"/>
  <c r="O126" i="31" a="1"/>
  <c r="N126" i="31"/>
  <c r="N126" i="31" a="1"/>
  <c r="M126" i="31"/>
  <c r="M126" i="31" a="1"/>
  <c r="L126" i="31"/>
  <c r="L126" i="31" a="1"/>
  <c r="K126" i="31"/>
  <c r="K126" i="31" a="1"/>
  <c r="J126" i="31"/>
  <c r="J126" i="31" a="1"/>
  <c r="I126" i="31"/>
  <c r="I126" i="31" a="1"/>
  <c r="H126" i="31" a="1"/>
  <c r="H126" i="31" s="1"/>
  <c r="G126" i="31"/>
  <c r="G126" i="31" a="1"/>
  <c r="F126" i="31"/>
  <c r="F126" i="31" a="1"/>
  <c r="E126" i="31"/>
  <c r="E126" i="31" a="1"/>
  <c r="D126" i="31" a="1"/>
  <c r="D126" i="31" s="1"/>
  <c r="R125" i="31"/>
  <c r="R125" i="31" a="1"/>
  <c r="P125" i="31"/>
  <c r="P125" i="31" a="1"/>
  <c r="O125" i="31"/>
  <c r="O125" i="31" a="1"/>
  <c r="N125" i="31" a="1"/>
  <c r="N125" i="31" s="1"/>
  <c r="M125" i="31"/>
  <c r="M125" i="31" a="1"/>
  <c r="L125" i="31"/>
  <c r="L125" i="31" a="1"/>
  <c r="K125" i="31"/>
  <c r="K125" i="31" a="1"/>
  <c r="J125" i="31" a="1"/>
  <c r="J125" i="31" s="1"/>
  <c r="I125" i="31" a="1"/>
  <c r="I125" i="31" s="1"/>
  <c r="H125" i="31"/>
  <c r="H125" i="31" a="1"/>
  <c r="G125" i="31"/>
  <c r="G125" i="31" a="1"/>
  <c r="F125" i="31" a="1"/>
  <c r="F125" i="31" s="1"/>
  <c r="E125" i="31" a="1"/>
  <c r="E125" i="31" s="1"/>
  <c r="D125" i="31" a="1"/>
  <c r="D125" i="31" s="1"/>
  <c r="R124" i="31" a="1"/>
  <c r="R124" i="31" s="1"/>
  <c r="P124" i="31" a="1"/>
  <c r="P124" i="31" s="1"/>
  <c r="O124" i="31" a="1"/>
  <c r="O124" i="31" s="1"/>
  <c r="N124" i="31" a="1"/>
  <c r="N124" i="31" s="1"/>
  <c r="M124" i="31"/>
  <c r="M124" i="31" a="1"/>
  <c r="L124" i="31" a="1"/>
  <c r="L124" i="31" s="1"/>
  <c r="K124" i="31" a="1"/>
  <c r="K124" i="31" s="1"/>
  <c r="J124" i="31" a="1"/>
  <c r="J124" i="31" s="1"/>
  <c r="I124" i="31"/>
  <c r="I124" i="31" a="1"/>
  <c r="H124" i="31" a="1"/>
  <c r="H124" i="31" s="1"/>
  <c r="G124" i="31" a="1"/>
  <c r="G124" i="31" s="1"/>
  <c r="F124" i="31" a="1"/>
  <c r="F124" i="31" s="1"/>
  <c r="E124" i="31"/>
  <c r="E124" i="31" a="1"/>
  <c r="D124" i="31" a="1"/>
  <c r="D124" i="31" s="1"/>
  <c r="R123" i="31" a="1"/>
  <c r="R123" i="31" s="1"/>
  <c r="P123" i="31" a="1"/>
  <c r="P123" i="31" s="1"/>
  <c r="O123" i="31"/>
  <c r="O123" i="31" a="1"/>
  <c r="N123" i="31" a="1"/>
  <c r="N123" i="31" s="1"/>
  <c r="M123" i="31" a="1"/>
  <c r="M123" i="31" s="1"/>
  <c r="L123" i="31" a="1"/>
  <c r="L123" i="31" s="1"/>
  <c r="K123" i="31"/>
  <c r="K123" i="31" a="1"/>
  <c r="J123" i="31" a="1"/>
  <c r="J123" i="31" s="1"/>
  <c r="I123" i="31" a="1"/>
  <c r="I123" i="31" s="1"/>
  <c r="H123" i="31" a="1"/>
  <c r="H123" i="31" s="1"/>
  <c r="G123" i="31"/>
  <c r="G123" i="31" a="1"/>
  <c r="F123" i="31" a="1"/>
  <c r="F123" i="31" s="1"/>
  <c r="E123" i="31" a="1"/>
  <c r="E123" i="31" s="1"/>
  <c r="D123" i="31" a="1"/>
  <c r="D123" i="31" s="1"/>
  <c r="R122" i="31" a="1"/>
  <c r="R122" i="31" s="1"/>
  <c r="P122" i="31" a="1"/>
  <c r="P122" i="31" s="1"/>
  <c r="O122" i="31" a="1"/>
  <c r="O122" i="31" s="1"/>
  <c r="N122" i="31" a="1"/>
  <c r="N122" i="31" s="1"/>
  <c r="M122" i="31"/>
  <c r="M122" i="31" a="1"/>
  <c r="L122" i="31" a="1"/>
  <c r="L122" i="31" s="1"/>
  <c r="K122" i="31" a="1"/>
  <c r="K122" i="31" s="1"/>
  <c r="J122" i="31" a="1"/>
  <c r="J122" i="31" s="1"/>
  <c r="I122" i="31"/>
  <c r="I122" i="31" a="1"/>
  <c r="H122" i="31" a="1"/>
  <c r="H122" i="31" s="1"/>
  <c r="G122" i="31" a="1"/>
  <c r="G122" i="31" s="1"/>
  <c r="F122" i="31" a="1"/>
  <c r="F122" i="31" s="1"/>
  <c r="E122" i="31"/>
  <c r="E122" i="31" a="1"/>
  <c r="D122" i="31" a="1"/>
  <c r="D122" i="31" s="1"/>
  <c r="R121" i="31" a="1"/>
  <c r="R121" i="31" s="1"/>
  <c r="P121" i="31" a="1"/>
  <c r="P121" i="31" s="1"/>
  <c r="O121" i="31" a="1"/>
  <c r="O121" i="31" s="1"/>
  <c r="N121" i="31" a="1"/>
  <c r="N121" i="31" s="1"/>
  <c r="M121" i="31" a="1"/>
  <c r="M121" i="31" s="1"/>
  <c r="L121" i="31" a="1"/>
  <c r="L121" i="31" s="1"/>
  <c r="K121" i="31" a="1"/>
  <c r="K121" i="31" s="1"/>
  <c r="J121" i="31" a="1"/>
  <c r="J121" i="31" s="1"/>
  <c r="I121" i="31" a="1"/>
  <c r="I121" i="31" s="1"/>
  <c r="H121" i="31" a="1"/>
  <c r="H121" i="31" s="1"/>
  <c r="G121" i="31" a="1"/>
  <c r="G121" i="31" s="1"/>
  <c r="F121" i="31"/>
  <c r="F121" i="31" a="1"/>
  <c r="E121" i="31" a="1"/>
  <c r="E121" i="31" s="1"/>
  <c r="D121" i="31" a="1"/>
  <c r="D121" i="31" s="1"/>
  <c r="R119" i="31" a="1"/>
  <c r="R119" i="31" s="1"/>
  <c r="P119" i="31" a="1"/>
  <c r="P119" i="31" s="1"/>
  <c r="O119" i="31" a="1"/>
  <c r="O119" i="31" s="1"/>
  <c r="N119" i="31" a="1"/>
  <c r="N119" i="31" s="1"/>
  <c r="M119" i="31" a="1"/>
  <c r="M119" i="31" s="1"/>
  <c r="L119" i="31" a="1"/>
  <c r="L119" i="31" s="1"/>
  <c r="K119" i="31" a="1"/>
  <c r="K119" i="31" s="1"/>
  <c r="J119" i="31" a="1"/>
  <c r="J119" i="31" s="1"/>
  <c r="I119" i="31" a="1"/>
  <c r="I119" i="31" s="1"/>
  <c r="H119" i="31" a="1"/>
  <c r="H119" i="31" s="1"/>
  <c r="G119" i="31"/>
  <c r="G119" i="31" a="1"/>
  <c r="F119" i="31" a="1"/>
  <c r="F119" i="31" s="1"/>
  <c r="E119" i="31" a="1"/>
  <c r="E119" i="31" s="1"/>
  <c r="D119" i="31" a="1"/>
  <c r="D119" i="31" s="1"/>
  <c r="R118" i="31" a="1"/>
  <c r="R118" i="31" s="1"/>
  <c r="P118" i="31" a="1"/>
  <c r="P118" i="31" s="1"/>
  <c r="O118" i="31" a="1"/>
  <c r="O118" i="31" s="1"/>
  <c r="N118" i="31" a="1"/>
  <c r="N118" i="31" s="1"/>
  <c r="M118" i="31"/>
  <c r="M118" i="31" a="1"/>
  <c r="L118" i="31" a="1"/>
  <c r="L118" i="31" s="1"/>
  <c r="K118" i="31" a="1"/>
  <c r="K118" i="31" s="1"/>
  <c r="J118" i="31" a="1"/>
  <c r="J118" i="31" s="1"/>
  <c r="I118" i="31"/>
  <c r="I118" i="31" a="1"/>
  <c r="H118" i="31" a="1"/>
  <c r="H118" i="31" s="1"/>
  <c r="G118" i="31" a="1"/>
  <c r="G118" i="31" s="1"/>
  <c r="F118" i="31" a="1"/>
  <c r="F118" i="31" s="1"/>
  <c r="E118" i="31"/>
  <c r="E118" i="31" a="1"/>
  <c r="D118" i="31" a="1"/>
  <c r="D118" i="31" s="1"/>
  <c r="R117" i="31" a="1"/>
  <c r="R117" i="31" s="1"/>
  <c r="P117" i="31" a="1"/>
  <c r="P117" i="31" s="1"/>
  <c r="O117" i="31" a="1"/>
  <c r="O117" i="31" s="1"/>
  <c r="N117" i="31" a="1"/>
  <c r="N117" i="31" s="1"/>
  <c r="M117" i="31" a="1"/>
  <c r="M117" i="31" s="1"/>
  <c r="L117" i="31" a="1"/>
  <c r="L117" i="31" s="1"/>
  <c r="K117" i="31" a="1"/>
  <c r="K117" i="31" s="1"/>
  <c r="J117" i="31" a="1"/>
  <c r="J117" i="31" s="1"/>
  <c r="I117" i="31" a="1"/>
  <c r="I117" i="31" s="1"/>
  <c r="H117" i="31" a="1"/>
  <c r="H117" i="31" s="1"/>
  <c r="G117" i="31" a="1"/>
  <c r="G117" i="31" s="1"/>
  <c r="F117" i="31" a="1"/>
  <c r="F117" i="31" s="1"/>
  <c r="E117" i="31" a="1"/>
  <c r="E117" i="31" s="1"/>
  <c r="D117" i="31" a="1"/>
  <c r="D117" i="31" s="1"/>
  <c r="R116" i="31"/>
  <c r="R116" i="31" a="1"/>
  <c r="P116" i="31" a="1"/>
  <c r="P116" i="31" s="1"/>
  <c r="O116" i="31" a="1"/>
  <c r="O116" i="31" s="1"/>
  <c r="N116" i="31" a="1"/>
  <c r="N116" i="31" s="1"/>
  <c r="M116" i="31" a="1"/>
  <c r="M116" i="31" s="1"/>
  <c r="L116" i="31" a="1"/>
  <c r="L116" i="31" s="1"/>
  <c r="K116" i="31" a="1"/>
  <c r="K116" i="31" s="1"/>
  <c r="J116" i="31" a="1"/>
  <c r="J116" i="31" s="1"/>
  <c r="I116" i="31"/>
  <c r="I116" i="31" a="1"/>
  <c r="H116" i="31" a="1"/>
  <c r="H116" i="31" s="1"/>
  <c r="G116" i="31" a="1"/>
  <c r="G116" i="31" s="1"/>
  <c r="F116" i="31" a="1"/>
  <c r="F116" i="31" s="1"/>
  <c r="E116" i="31"/>
  <c r="E116" i="31" a="1"/>
  <c r="D116" i="31" a="1"/>
  <c r="D116" i="31" s="1"/>
  <c r="R115" i="31" a="1"/>
  <c r="R115" i="31" s="1"/>
  <c r="P115" i="31" a="1"/>
  <c r="P115" i="31" s="1"/>
  <c r="O115" i="31"/>
  <c r="O115" i="31" a="1"/>
  <c r="N115" i="31" a="1"/>
  <c r="N115" i="31" s="1"/>
  <c r="M115" i="31" a="1"/>
  <c r="M115" i="31" s="1"/>
  <c r="L115" i="31" a="1"/>
  <c r="L115" i="31" s="1"/>
  <c r="K115" i="31" a="1"/>
  <c r="K115" i="31" s="1"/>
  <c r="J115" i="31" a="1"/>
  <c r="J115" i="31" s="1"/>
  <c r="I115" i="31" a="1"/>
  <c r="I115" i="31" s="1"/>
  <c r="H115" i="31" a="1"/>
  <c r="H115" i="31" s="1"/>
  <c r="G115" i="31" a="1"/>
  <c r="G115" i="31" s="1"/>
  <c r="F115" i="31" a="1"/>
  <c r="F115" i="31" s="1"/>
  <c r="E115" i="31" a="1"/>
  <c r="E115" i="31" s="1"/>
  <c r="D115" i="31" a="1"/>
  <c r="D115" i="31" s="1"/>
  <c r="R114" i="31" a="1"/>
  <c r="R114" i="31" s="1"/>
  <c r="P114" i="31" a="1"/>
  <c r="P114" i="31" s="1"/>
  <c r="O114" i="31" a="1"/>
  <c r="O114" i="31" s="1"/>
  <c r="N114" i="31" a="1"/>
  <c r="N114" i="31" s="1"/>
  <c r="M114" i="31"/>
  <c r="M114" i="31" a="1"/>
  <c r="L114" i="31" a="1"/>
  <c r="L114" i="31" s="1"/>
  <c r="K114" i="31" a="1"/>
  <c r="K114" i="31" s="1"/>
  <c r="J114" i="31" a="1"/>
  <c r="J114" i="31" s="1"/>
  <c r="I114" i="31" a="1"/>
  <c r="I114" i="31" s="1"/>
  <c r="H114" i="31" a="1"/>
  <c r="H114" i="31" s="1"/>
  <c r="G114" i="31" a="1"/>
  <c r="G114" i="31" s="1"/>
  <c r="F114" i="31" a="1"/>
  <c r="F114" i="31" s="1"/>
  <c r="E114" i="31"/>
  <c r="E114" i="31" a="1"/>
  <c r="D114" i="31" a="1"/>
  <c r="D114" i="31" s="1"/>
  <c r="R113" i="31" a="1"/>
  <c r="R113" i="31" s="1"/>
  <c r="P113" i="31" a="1"/>
  <c r="P113" i="31" s="1"/>
  <c r="O113" i="31"/>
  <c r="O113" i="31" a="1"/>
  <c r="N113" i="31" a="1"/>
  <c r="N113" i="31" s="1"/>
  <c r="M113" i="31" a="1"/>
  <c r="M113" i="31" s="1"/>
  <c r="L113" i="31" a="1"/>
  <c r="L113" i="31" s="1"/>
  <c r="K113" i="31"/>
  <c r="K113" i="31" a="1"/>
  <c r="J113" i="31" a="1"/>
  <c r="J113" i="31" s="1"/>
  <c r="I113" i="31" a="1"/>
  <c r="I113" i="31" s="1"/>
  <c r="H113" i="31" a="1"/>
  <c r="H113" i="31" s="1"/>
  <c r="G113" i="31" a="1"/>
  <c r="G113" i="31" s="1"/>
  <c r="F113" i="31" a="1"/>
  <c r="F113" i="31" s="1"/>
  <c r="E113" i="31" a="1"/>
  <c r="E113" i="31" s="1"/>
  <c r="D113" i="31" a="1"/>
  <c r="D113" i="31" s="1"/>
  <c r="R112" i="31" a="1"/>
  <c r="R112" i="31" s="1"/>
  <c r="P112" i="31" a="1"/>
  <c r="P112" i="31" s="1"/>
  <c r="O112" i="31" a="1"/>
  <c r="O112" i="31" s="1"/>
  <c r="N112" i="31" a="1"/>
  <c r="N112" i="31" s="1"/>
  <c r="M112" i="31" a="1"/>
  <c r="M112" i="31" s="1"/>
  <c r="L112" i="31" a="1"/>
  <c r="L112" i="31" s="1"/>
  <c r="K112" i="31" a="1"/>
  <c r="K112" i="31" s="1"/>
  <c r="J112" i="31" a="1"/>
  <c r="J112" i="31" s="1"/>
  <c r="I112" i="31"/>
  <c r="I112" i="31" a="1"/>
  <c r="H112" i="31" a="1"/>
  <c r="H112" i="31" s="1"/>
  <c r="G112" i="31" a="1"/>
  <c r="G112" i="31" s="1"/>
  <c r="F112" i="31" a="1"/>
  <c r="F112" i="31" s="1"/>
  <c r="E112" i="31" a="1"/>
  <c r="E112" i="31" s="1"/>
  <c r="D112" i="31" a="1"/>
  <c r="D112" i="31" s="1"/>
  <c r="R111" i="31" a="1"/>
  <c r="R111" i="31" s="1"/>
  <c r="P111" i="31" a="1"/>
  <c r="P111" i="31" s="1"/>
  <c r="O111" i="31"/>
  <c r="O111" i="31" a="1"/>
  <c r="N111" i="31" a="1"/>
  <c r="N111" i="31" s="1"/>
  <c r="M111" i="31" a="1"/>
  <c r="M111" i="31" s="1"/>
  <c r="L111" i="31" a="1"/>
  <c r="L111" i="31" s="1"/>
  <c r="K111" i="31"/>
  <c r="K111" i="31" a="1"/>
  <c r="J111" i="31" a="1"/>
  <c r="J111" i="31" s="1"/>
  <c r="I111" i="31" a="1"/>
  <c r="I111" i="31" s="1"/>
  <c r="H111" i="31" a="1"/>
  <c r="H111" i="31" s="1"/>
  <c r="G111" i="31"/>
  <c r="G111" i="31" a="1"/>
  <c r="F111" i="31" a="1"/>
  <c r="F111" i="31" s="1"/>
  <c r="E111" i="31" a="1"/>
  <c r="E111" i="31" s="1"/>
  <c r="D111" i="31" a="1"/>
  <c r="D111" i="31" s="1"/>
  <c r="R110" i="31" a="1"/>
  <c r="R110" i="31" s="1"/>
  <c r="P110" i="31" a="1"/>
  <c r="P110" i="31" s="1"/>
  <c r="O110" i="31" a="1"/>
  <c r="O110" i="31" s="1"/>
  <c r="N110" i="31" a="1"/>
  <c r="N110" i="31" s="1"/>
  <c r="M110" i="31" a="1"/>
  <c r="M110" i="31" s="1"/>
  <c r="L110" i="31" a="1"/>
  <c r="L110" i="31" s="1"/>
  <c r="K110" i="31" a="1"/>
  <c r="K110" i="31" s="1"/>
  <c r="J110" i="31" a="1"/>
  <c r="J110" i="31" s="1"/>
  <c r="I110" i="31" a="1"/>
  <c r="I110" i="31" s="1"/>
  <c r="H110" i="31" a="1"/>
  <c r="H110" i="31" s="1"/>
  <c r="G110" i="31" a="1"/>
  <c r="G110" i="31" s="1"/>
  <c r="F110" i="31" a="1"/>
  <c r="F110" i="31" s="1"/>
  <c r="E110" i="31"/>
  <c r="E110" i="31" a="1"/>
  <c r="D110" i="31" a="1"/>
  <c r="D110" i="31" s="1"/>
  <c r="R109" i="31" a="1"/>
  <c r="R109" i="31" s="1"/>
  <c r="P109" i="31" a="1"/>
  <c r="P109" i="31" s="1"/>
  <c r="O109" i="31" a="1"/>
  <c r="O109" i="31" s="1"/>
  <c r="N109" i="31" a="1"/>
  <c r="N109" i="31" s="1"/>
  <c r="M109" i="31" a="1"/>
  <c r="M109" i="31" s="1"/>
  <c r="L109" i="31" a="1"/>
  <c r="L109" i="31" s="1"/>
  <c r="K109" i="31"/>
  <c r="K109" i="31" a="1"/>
  <c r="J109" i="31" a="1"/>
  <c r="J109" i="31" s="1"/>
  <c r="I109" i="31" a="1"/>
  <c r="I109" i="31" s="1"/>
  <c r="H109" i="31" a="1"/>
  <c r="H109" i="31" s="1"/>
  <c r="G109" i="31"/>
  <c r="G109" i="31" a="1"/>
  <c r="F109" i="31" a="1"/>
  <c r="F109" i="31" s="1"/>
  <c r="E109" i="31" a="1"/>
  <c r="E109" i="31" s="1"/>
  <c r="D109" i="31" a="1"/>
  <c r="D109" i="31" s="1"/>
  <c r="R108" i="31" a="1"/>
  <c r="R108" i="31" s="1"/>
  <c r="P108" i="31" a="1"/>
  <c r="P108" i="31" s="1"/>
  <c r="O108" i="31" a="1"/>
  <c r="O108" i="31" s="1"/>
  <c r="N108" i="31" a="1"/>
  <c r="N108" i="31" s="1"/>
  <c r="M108" i="31" a="1"/>
  <c r="M108" i="31" s="1"/>
  <c r="L108" i="31" a="1"/>
  <c r="L108" i="31" s="1"/>
  <c r="K108" i="31" a="1"/>
  <c r="K108" i="31" s="1"/>
  <c r="J108" i="31" a="1"/>
  <c r="J108" i="31" s="1"/>
  <c r="I108" i="31" a="1"/>
  <c r="I108" i="31" s="1"/>
  <c r="H108" i="31" a="1"/>
  <c r="H108" i="31" s="1"/>
  <c r="G108" i="31" a="1"/>
  <c r="G108" i="31" s="1"/>
  <c r="F108" i="31" a="1"/>
  <c r="F108" i="31" s="1"/>
  <c r="E108" i="31" a="1"/>
  <c r="E108" i="31" s="1"/>
  <c r="D108" i="31" a="1"/>
  <c r="D108" i="31" s="1"/>
  <c r="R107" i="31" a="1"/>
  <c r="R107" i="31" s="1"/>
  <c r="P107" i="31" a="1"/>
  <c r="P107" i="31" s="1"/>
  <c r="O107" i="31"/>
  <c r="O107" i="31" a="1"/>
  <c r="N107" i="31" a="1"/>
  <c r="N107" i="31" s="1"/>
  <c r="M107" i="31" a="1"/>
  <c r="M107" i="31" s="1"/>
  <c r="L107" i="31" a="1"/>
  <c r="L107" i="31" s="1"/>
  <c r="K107" i="31" a="1"/>
  <c r="K107" i="31" s="1"/>
  <c r="J107" i="31" a="1"/>
  <c r="J107" i="31" s="1"/>
  <c r="I107" i="31" a="1"/>
  <c r="I107" i="31" s="1"/>
  <c r="H107" i="31" a="1"/>
  <c r="H107" i="31" s="1"/>
  <c r="G107" i="31"/>
  <c r="G107" i="31" a="1"/>
  <c r="F107" i="31" a="1"/>
  <c r="F107" i="31" s="1"/>
  <c r="E107" i="31" a="1"/>
  <c r="E107" i="31" s="1"/>
  <c r="D107" i="31" a="1"/>
  <c r="D107" i="31" s="1"/>
  <c r="R106" i="31" a="1"/>
  <c r="R106" i="31" s="1"/>
  <c r="P106" i="31" a="1"/>
  <c r="P106" i="31" s="1"/>
  <c r="O106" i="31" a="1"/>
  <c r="O106" i="31" s="1"/>
  <c r="N106" i="31" a="1"/>
  <c r="N106" i="31" s="1"/>
  <c r="M106" i="31"/>
  <c r="M106" i="31" a="1"/>
  <c r="L106" i="31" a="1"/>
  <c r="L106" i="31" s="1"/>
  <c r="K106" i="31" a="1"/>
  <c r="K106" i="31" s="1"/>
  <c r="J106" i="31" a="1"/>
  <c r="J106" i="31" s="1"/>
  <c r="I106" i="31" a="1"/>
  <c r="I106" i="31" s="1"/>
  <c r="H106" i="31" a="1"/>
  <c r="H106" i="31" s="1"/>
  <c r="G106" i="31" a="1"/>
  <c r="G106" i="31" s="1"/>
  <c r="F106" i="31" a="1"/>
  <c r="F106" i="31" s="1"/>
  <c r="E106" i="31" a="1"/>
  <c r="E106" i="31" s="1"/>
  <c r="D106" i="31" a="1"/>
  <c r="D106" i="31" s="1"/>
  <c r="R105" i="31" a="1"/>
  <c r="R105" i="31" s="1"/>
  <c r="P105" i="31" a="1"/>
  <c r="P105" i="31" s="1"/>
  <c r="O105" i="31" a="1"/>
  <c r="O105" i="31" s="1"/>
  <c r="N105" i="31" a="1"/>
  <c r="N105" i="31" s="1"/>
  <c r="M105" i="31" a="1"/>
  <c r="M105" i="31" s="1"/>
  <c r="L105" i="31" a="1"/>
  <c r="L105" i="31" s="1"/>
  <c r="K105" i="31"/>
  <c r="K105" i="31" a="1"/>
  <c r="J105" i="31" a="1"/>
  <c r="J105" i="31" s="1"/>
  <c r="I105" i="31" a="1"/>
  <c r="I105" i="31" s="1"/>
  <c r="H105" i="31" a="1"/>
  <c r="H105" i="31" s="1"/>
  <c r="G105" i="31" a="1"/>
  <c r="G105" i="31" s="1"/>
  <c r="F105" i="31" a="1"/>
  <c r="F105" i="31" s="1"/>
  <c r="E105" i="31" a="1"/>
  <c r="E105" i="31" s="1"/>
  <c r="D105" i="31" a="1"/>
  <c r="D105" i="31" s="1"/>
  <c r="R104" i="31" a="1"/>
  <c r="R104" i="31" s="1"/>
  <c r="P104" i="31" a="1"/>
  <c r="P104" i="31" s="1"/>
  <c r="O104" i="31" a="1"/>
  <c r="O104" i="31" s="1"/>
  <c r="N104" i="31" a="1"/>
  <c r="N104" i="31" s="1"/>
  <c r="M104" i="31"/>
  <c r="M104" i="31" a="1"/>
  <c r="L104" i="31" a="1"/>
  <c r="L104" i="31" s="1"/>
  <c r="K104" i="31" a="1"/>
  <c r="K104" i="31" s="1"/>
  <c r="J104" i="31" a="1"/>
  <c r="J104" i="31" s="1"/>
  <c r="I104" i="31"/>
  <c r="I104" i="31" a="1"/>
  <c r="H104" i="31" a="1"/>
  <c r="H104" i="31" s="1"/>
  <c r="G104" i="31" a="1"/>
  <c r="G104" i="31" s="1"/>
  <c r="F104" i="31" a="1"/>
  <c r="F104" i="31" s="1"/>
  <c r="E104" i="31" a="1"/>
  <c r="E104" i="31" s="1"/>
  <c r="D104" i="31" a="1"/>
  <c r="D104" i="31" s="1"/>
  <c r="R103" i="31" a="1"/>
  <c r="R103" i="31" s="1"/>
  <c r="P103" i="31" a="1"/>
  <c r="P103" i="31" s="1"/>
  <c r="O103" i="31" a="1"/>
  <c r="O103" i="31" s="1"/>
  <c r="N103" i="31" a="1"/>
  <c r="N103" i="31" s="1"/>
  <c r="M103" i="31" a="1"/>
  <c r="M103" i="31" s="1"/>
  <c r="L103" i="31" a="1"/>
  <c r="L103" i="31" s="1"/>
  <c r="K103" i="31" a="1"/>
  <c r="K103" i="31" s="1"/>
  <c r="J103" i="31" a="1"/>
  <c r="J103" i="31" s="1"/>
  <c r="I103" i="31" a="1"/>
  <c r="I103" i="31" s="1"/>
  <c r="H103" i="31" a="1"/>
  <c r="H103" i="31" s="1"/>
  <c r="G103" i="31"/>
  <c r="G103" i="31" a="1"/>
  <c r="F103" i="31" a="1"/>
  <c r="F103" i="31" s="1"/>
  <c r="E103" i="31" a="1"/>
  <c r="E103" i="31" s="1"/>
  <c r="D103" i="31" a="1"/>
  <c r="D103" i="31" s="1"/>
  <c r="R102" i="31" a="1"/>
  <c r="R102" i="31" s="1"/>
  <c r="P102" i="31" a="1"/>
  <c r="P102" i="31" s="1"/>
  <c r="O102" i="31" a="1"/>
  <c r="O102" i="31" s="1"/>
  <c r="N102" i="31" a="1"/>
  <c r="N102" i="31" s="1"/>
  <c r="M102" i="31"/>
  <c r="M102" i="31" a="1"/>
  <c r="L102" i="31" a="1"/>
  <c r="L102" i="31" s="1"/>
  <c r="K102" i="31" a="1"/>
  <c r="K102" i="31" s="1"/>
  <c r="J102" i="31" a="1"/>
  <c r="J102" i="31" s="1"/>
  <c r="I102" i="31"/>
  <c r="I102" i="31" a="1"/>
  <c r="H102" i="31" a="1"/>
  <c r="H102" i="31" s="1"/>
  <c r="G102" i="31" a="1"/>
  <c r="G102" i="31" s="1"/>
  <c r="F102" i="31" a="1"/>
  <c r="F102" i="31" s="1"/>
  <c r="E102" i="31"/>
  <c r="E102" i="31" a="1"/>
  <c r="D102" i="31" a="1"/>
  <c r="D102" i="31" s="1"/>
  <c r="R101" i="31" a="1"/>
  <c r="R101" i="31" s="1"/>
  <c r="P101" i="31" a="1"/>
  <c r="P101" i="31" s="1"/>
  <c r="O101" i="31" a="1"/>
  <c r="O101" i="31" s="1"/>
  <c r="N101" i="31" a="1"/>
  <c r="N101" i="31" s="1"/>
  <c r="M101" i="31" a="1"/>
  <c r="M101" i="31" s="1"/>
  <c r="L101" i="31" a="1"/>
  <c r="L101" i="31" s="1"/>
  <c r="K101" i="31" a="1"/>
  <c r="K101" i="31" s="1"/>
  <c r="J101" i="31" a="1"/>
  <c r="J101" i="31" s="1"/>
  <c r="I101" i="31" a="1"/>
  <c r="I101" i="31" s="1"/>
  <c r="H101" i="31" a="1"/>
  <c r="H101" i="31" s="1"/>
  <c r="G101" i="31" a="1"/>
  <c r="G101" i="31" s="1"/>
  <c r="F101" i="31" a="1"/>
  <c r="F101" i="31" s="1"/>
  <c r="E101" i="31" a="1"/>
  <c r="E101" i="31" s="1"/>
  <c r="D101" i="31" a="1"/>
  <c r="D101" i="31" s="1"/>
  <c r="R100" i="31" a="1"/>
  <c r="R100" i="31" s="1"/>
  <c r="P100" i="31" a="1"/>
  <c r="P100" i="31" s="1"/>
  <c r="O100" i="31" a="1"/>
  <c r="O100" i="31" s="1"/>
  <c r="N100" i="31" a="1"/>
  <c r="N100" i="31" s="1"/>
  <c r="M100" i="31" a="1"/>
  <c r="M100" i="31" s="1"/>
  <c r="L100" i="31" a="1"/>
  <c r="L100" i="31" s="1"/>
  <c r="K100" i="31" a="1"/>
  <c r="K100" i="31" s="1"/>
  <c r="J100" i="31" a="1"/>
  <c r="J100" i="31" s="1"/>
  <c r="I100" i="31"/>
  <c r="I100" i="31" a="1"/>
  <c r="H100" i="31" a="1"/>
  <c r="H100" i="31" s="1"/>
  <c r="G100" i="31" a="1"/>
  <c r="G100" i="31" s="1"/>
  <c r="F100" i="31" a="1"/>
  <c r="F100" i="31" s="1"/>
  <c r="E100" i="31"/>
  <c r="E100" i="31" a="1"/>
  <c r="D100" i="31" a="1"/>
  <c r="D100" i="31" s="1"/>
  <c r="R99" i="31" a="1"/>
  <c r="R99" i="31" s="1"/>
  <c r="P99" i="31" a="1"/>
  <c r="P99" i="31" s="1"/>
  <c r="O99" i="31"/>
  <c r="O99" i="31" a="1"/>
  <c r="N99" i="31" a="1"/>
  <c r="N99" i="31" s="1"/>
  <c r="M99" i="31" a="1"/>
  <c r="M99" i="31" s="1"/>
  <c r="L99" i="31" a="1"/>
  <c r="L99" i="31" s="1"/>
  <c r="K99" i="31" a="1"/>
  <c r="K99" i="31" s="1"/>
  <c r="J99" i="31" a="1"/>
  <c r="J99" i="31" s="1"/>
  <c r="I99" i="31" a="1"/>
  <c r="I99" i="31" s="1"/>
  <c r="H99" i="31" a="1"/>
  <c r="H99" i="31" s="1"/>
  <c r="G99" i="31" a="1"/>
  <c r="G99" i="31" s="1"/>
  <c r="F99" i="31" a="1"/>
  <c r="F99" i="31" s="1"/>
  <c r="E99" i="31" a="1"/>
  <c r="E99" i="31" s="1"/>
  <c r="D99" i="31" a="1"/>
  <c r="D99" i="31" s="1"/>
  <c r="R98" i="31" a="1"/>
  <c r="R98" i="31" s="1"/>
  <c r="P98" i="31" a="1"/>
  <c r="P98" i="31" s="1"/>
  <c r="O98" i="31" a="1"/>
  <c r="O98" i="31" s="1"/>
  <c r="N98" i="31" a="1"/>
  <c r="N98" i="31" s="1"/>
  <c r="M98" i="31"/>
  <c r="M98" i="31" a="1"/>
  <c r="L98" i="31" a="1"/>
  <c r="L98" i="31" s="1"/>
  <c r="K98" i="31" a="1"/>
  <c r="K98" i="31" s="1"/>
  <c r="J98" i="31" a="1"/>
  <c r="J98" i="31" s="1"/>
  <c r="I98" i="31" a="1"/>
  <c r="I98" i="31" s="1"/>
  <c r="H98" i="31" a="1"/>
  <c r="H98" i="31" s="1"/>
  <c r="G98" i="31" a="1"/>
  <c r="G98" i="31" s="1"/>
  <c r="F98" i="31" a="1"/>
  <c r="F98" i="31" s="1"/>
  <c r="E98" i="31"/>
  <c r="E98" i="31" a="1"/>
  <c r="D98" i="31" a="1"/>
  <c r="D98" i="31" s="1"/>
  <c r="R97" i="31" a="1"/>
  <c r="R97" i="31" s="1"/>
  <c r="P97" i="31" a="1"/>
  <c r="P97" i="31" s="1"/>
  <c r="O97" i="31"/>
  <c r="O97" i="31" a="1"/>
  <c r="N97" i="31" a="1"/>
  <c r="N97" i="31" s="1"/>
  <c r="M97" i="31" a="1"/>
  <c r="M97" i="31" s="1"/>
  <c r="L97" i="31" a="1"/>
  <c r="L97" i="31" s="1"/>
  <c r="K97" i="31"/>
  <c r="K97" i="31" a="1"/>
  <c r="J97" i="31" a="1"/>
  <c r="J97" i="31" s="1"/>
  <c r="I97" i="31" a="1"/>
  <c r="I97" i="31" s="1"/>
  <c r="H97" i="31" a="1"/>
  <c r="H97" i="31" s="1"/>
  <c r="G97" i="31" a="1"/>
  <c r="G97" i="31" s="1"/>
  <c r="F97" i="31" a="1"/>
  <c r="F97" i="31" s="1"/>
  <c r="E97" i="31" a="1"/>
  <c r="E97" i="31" s="1"/>
  <c r="D97" i="31" a="1"/>
  <c r="D97" i="31" s="1"/>
  <c r="R96" i="31" a="1"/>
  <c r="R96" i="31" s="1"/>
  <c r="P96" i="31" a="1"/>
  <c r="P96" i="31" s="1"/>
  <c r="O96" i="31" a="1"/>
  <c r="O96" i="31" s="1"/>
  <c r="N96" i="31" a="1"/>
  <c r="N96" i="31" s="1"/>
  <c r="M96" i="31" a="1"/>
  <c r="M96" i="31" s="1"/>
  <c r="L96" i="31" a="1"/>
  <c r="L96" i="31" s="1"/>
  <c r="K96" i="31" a="1"/>
  <c r="K96" i="31" s="1"/>
  <c r="J96" i="31" a="1"/>
  <c r="J96" i="31" s="1"/>
  <c r="I96" i="31"/>
  <c r="I96" i="31" a="1"/>
  <c r="H96" i="31" a="1"/>
  <c r="H96" i="31" s="1"/>
  <c r="G96" i="31" a="1"/>
  <c r="G96" i="31" s="1"/>
  <c r="F96" i="31" a="1"/>
  <c r="F96" i="31" s="1"/>
  <c r="E96" i="31" a="1"/>
  <c r="E96" i="31" s="1"/>
  <c r="D96" i="31" a="1"/>
  <c r="D96" i="31" s="1"/>
  <c r="R95" i="31" a="1"/>
  <c r="R95" i="31" s="1"/>
  <c r="P95" i="31" a="1"/>
  <c r="P95" i="31" s="1"/>
  <c r="O95" i="31" a="1"/>
  <c r="O95" i="31" s="1"/>
  <c r="N95" i="31" a="1"/>
  <c r="N95" i="31" s="1"/>
  <c r="M95" i="31" a="1"/>
  <c r="M95" i="31" s="1"/>
  <c r="L95" i="31" a="1"/>
  <c r="L95" i="31" s="1"/>
  <c r="K95" i="31" a="1"/>
  <c r="K95" i="31" s="1"/>
  <c r="J95" i="31"/>
  <c r="J95" i="31" a="1"/>
  <c r="I95" i="31" a="1"/>
  <c r="I95" i="31" s="1"/>
  <c r="H95" i="31" a="1"/>
  <c r="H95" i="31" s="1"/>
  <c r="G95" i="31" a="1"/>
  <c r="G95" i="31" s="1"/>
  <c r="F95" i="31" a="1"/>
  <c r="F95" i="31" s="1"/>
  <c r="E95" i="31" a="1"/>
  <c r="E95" i="31" s="1"/>
  <c r="D95" i="31" a="1"/>
  <c r="D95" i="31" s="1"/>
  <c r="R93" i="31" a="1"/>
  <c r="R93" i="31" s="1"/>
  <c r="P93" i="31" a="1"/>
  <c r="P93" i="31" s="1"/>
  <c r="O93" i="31" a="1"/>
  <c r="O93" i="31" s="1"/>
  <c r="N93" i="31" a="1"/>
  <c r="N93" i="31" s="1"/>
  <c r="M93" i="31" a="1"/>
  <c r="M93" i="31" s="1"/>
  <c r="L93" i="31" a="1"/>
  <c r="L93" i="31" s="1"/>
  <c r="K93" i="31"/>
  <c r="K93" i="31" a="1"/>
  <c r="J93" i="31" a="1"/>
  <c r="J93" i="31" s="1"/>
  <c r="I93" i="31" a="1"/>
  <c r="I93" i="31" s="1"/>
  <c r="H93" i="31" a="1"/>
  <c r="H93" i="31" s="1"/>
  <c r="G93" i="31" a="1"/>
  <c r="G93" i="31" s="1"/>
  <c r="F93" i="31" a="1"/>
  <c r="F93" i="31" s="1"/>
  <c r="E93" i="31" a="1"/>
  <c r="E93" i="31" s="1"/>
  <c r="D93" i="31" a="1"/>
  <c r="D93" i="31" s="1"/>
  <c r="R92" i="31" a="1"/>
  <c r="R92" i="31" s="1"/>
  <c r="P92" i="31" a="1"/>
  <c r="P92" i="31" s="1"/>
  <c r="O92" i="31" a="1"/>
  <c r="O92" i="31" s="1"/>
  <c r="N92" i="31" a="1"/>
  <c r="N92" i="31" s="1"/>
  <c r="M92" i="31"/>
  <c r="M92" i="31" a="1"/>
  <c r="L92" i="31" a="1"/>
  <c r="L92" i="31" s="1"/>
  <c r="K92" i="31" a="1"/>
  <c r="K92" i="31" s="1"/>
  <c r="J92" i="31" a="1"/>
  <c r="J92" i="31" s="1"/>
  <c r="I92" i="31"/>
  <c r="I92" i="31" a="1"/>
  <c r="H92" i="31" a="1"/>
  <c r="H92" i="31" s="1"/>
  <c r="G92" i="31" a="1"/>
  <c r="G92" i="31" s="1"/>
  <c r="F92" i="31" a="1"/>
  <c r="F92" i="31" s="1"/>
  <c r="E92" i="31" a="1"/>
  <c r="E92" i="31" s="1"/>
  <c r="D92" i="31" a="1"/>
  <c r="D92" i="31" s="1"/>
  <c r="R91" i="31" a="1"/>
  <c r="R91" i="31" s="1"/>
  <c r="P91" i="31" a="1"/>
  <c r="P91" i="31" s="1"/>
  <c r="O91" i="31" a="1"/>
  <c r="O91" i="31" s="1"/>
  <c r="N91" i="31" a="1"/>
  <c r="N91" i="31" s="1"/>
  <c r="M91" i="31" a="1"/>
  <c r="M91" i="31" s="1"/>
  <c r="L91" i="31" a="1"/>
  <c r="L91" i="31" s="1"/>
  <c r="K91" i="31" a="1"/>
  <c r="K91" i="31" s="1"/>
  <c r="J91" i="31" a="1"/>
  <c r="J91" i="31" s="1"/>
  <c r="I91" i="31" a="1"/>
  <c r="I91" i="31" s="1"/>
  <c r="H91" i="31" a="1"/>
  <c r="H91" i="31" s="1"/>
  <c r="G91" i="31"/>
  <c r="G91" i="31" a="1"/>
  <c r="F91" i="31" a="1"/>
  <c r="F91" i="31" s="1"/>
  <c r="E91" i="31" a="1"/>
  <c r="E91" i="31" s="1"/>
  <c r="D91" i="31" a="1"/>
  <c r="D91" i="31" s="1"/>
  <c r="R90" i="31" a="1"/>
  <c r="R90" i="31" s="1"/>
  <c r="P90" i="31" a="1"/>
  <c r="P90" i="31" s="1"/>
  <c r="O90" i="31" a="1"/>
  <c r="O90" i="31" s="1"/>
  <c r="N90" i="31" a="1"/>
  <c r="N90" i="31" s="1"/>
  <c r="M90" i="31"/>
  <c r="M90" i="31" a="1"/>
  <c r="L90" i="31" a="1"/>
  <c r="L90" i="31" s="1"/>
  <c r="K90" i="31" a="1"/>
  <c r="K90" i="31" s="1"/>
  <c r="J90" i="31" a="1"/>
  <c r="J90" i="31" s="1"/>
  <c r="I90" i="31"/>
  <c r="I90" i="31" a="1"/>
  <c r="H90" i="31" a="1"/>
  <c r="H90" i="31" s="1"/>
  <c r="G90" i="31" a="1"/>
  <c r="G90" i="31" s="1"/>
  <c r="F90" i="31" a="1"/>
  <c r="F90" i="31" s="1"/>
  <c r="E90" i="31"/>
  <c r="E90" i="31" a="1"/>
  <c r="D90" i="31" a="1"/>
  <c r="D90" i="31" s="1"/>
  <c r="R89" i="31" a="1"/>
  <c r="R89" i="31" s="1"/>
  <c r="P89" i="31" a="1"/>
  <c r="P89" i="31" s="1"/>
  <c r="O89" i="31" a="1"/>
  <c r="O89" i="31" s="1"/>
  <c r="N89" i="31" a="1"/>
  <c r="N89" i="31" s="1"/>
  <c r="M89" i="31" a="1"/>
  <c r="M89" i="31" s="1"/>
  <c r="L89" i="31" a="1"/>
  <c r="L89" i="31" s="1"/>
  <c r="K89" i="31" a="1"/>
  <c r="K89" i="31" s="1"/>
  <c r="J89" i="31" a="1"/>
  <c r="J89" i="31" s="1"/>
  <c r="I89" i="31" a="1"/>
  <c r="I89" i="31" s="1"/>
  <c r="H89" i="31" a="1"/>
  <c r="H89" i="31" s="1"/>
  <c r="G89" i="31" a="1"/>
  <c r="G89" i="31" s="1"/>
  <c r="F89" i="31" a="1"/>
  <c r="F89" i="31" s="1"/>
  <c r="E89" i="31" a="1"/>
  <c r="E89" i="31" s="1"/>
  <c r="D89" i="31" a="1"/>
  <c r="D89" i="31" s="1"/>
  <c r="R88" i="31"/>
  <c r="R88" i="31" a="1"/>
  <c r="P88" i="31" a="1"/>
  <c r="P88" i="31" s="1"/>
  <c r="O88" i="31" a="1"/>
  <c r="O88" i="31" s="1"/>
  <c r="N88" i="31" a="1"/>
  <c r="N88" i="31" s="1"/>
  <c r="M88" i="31" a="1"/>
  <c r="M88" i="31" s="1"/>
  <c r="L88" i="31" a="1"/>
  <c r="L88" i="31" s="1"/>
  <c r="K88" i="31" a="1"/>
  <c r="K88" i="31" s="1"/>
  <c r="J88" i="31" a="1"/>
  <c r="J88" i="31" s="1"/>
  <c r="I88" i="31"/>
  <c r="I88" i="31" a="1"/>
  <c r="H88" i="31" a="1"/>
  <c r="H88" i="31" s="1"/>
  <c r="G88" i="31" a="1"/>
  <c r="G88" i="31" s="1"/>
  <c r="F88" i="31" a="1"/>
  <c r="F88" i="31" s="1"/>
  <c r="E88" i="31"/>
  <c r="E88" i="31" a="1"/>
  <c r="D88" i="31" a="1"/>
  <c r="D88" i="31" s="1"/>
  <c r="R87" i="31" a="1"/>
  <c r="R87" i="31" s="1"/>
  <c r="P87" i="31" a="1"/>
  <c r="P87" i="31" s="1"/>
  <c r="O87" i="31"/>
  <c r="O87" i="31" a="1"/>
  <c r="N87" i="31" a="1"/>
  <c r="N87" i="31" s="1"/>
  <c r="M87" i="31" a="1"/>
  <c r="M87" i="31" s="1"/>
  <c r="L87" i="31" a="1"/>
  <c r="L87" i="31" s="1"/>
  <c r="K87" i="31" a="1"/>
  <c r="K87" i="31" s="1"/>
  <c r="J87" i="31" a="1"/>
  <c r="J87" i="31" s="1"/>
  <c r="I87" i="31" a="1"/>
  <c r="I87" i="31" s="1"/>
  <c r="H87" i="31" a="1"/>
  <c r="H87" i="31" s="1"/>
  <c r="G87" i="31" a="1"/>
  <c r="G87" i="31" s="1"/>
  <c r="F87" i="31" a="1"/>
  <c r="F87" i="31" s="1"/>
  <c r="E87" i="31" a="1"/>
  <c r="E87" i="31" s="1"/>
  <c r="D87" i="31" a="1"/>
  <c r="D87" i="31" s="1"/>
  <c r="R86" i="31" a="1"/>
  <c r="R86" i="31" s="1"/>
  <c r="P86" i="31" a="1"/>
  <c r="P86" i="31" s="1"/>
  <c r="O86" i="31" a="1"/>
  <c r="O86" i="31" s="1"/>
  <c r="N86" i="31" a="1"/>
  <c r="N86" i="31" s="1"/>
  <c r="M86" i="31"/>
  <c r="M86" i="31" a="1"/>
  <c r="L86" i="31" a="1"/>
  <c r="L86" i="31" s="1"/>
  <c r="K86" i="31" a="1"/>
  <c r="K86" i="31" s="1"/>
  <c r="J86" i="31" a="1"/>
  <c r="J86" i="31" s="1"/>
  <c r="I86" i="31" a="1"/>
  <c r="I86" i="31" s="1"/>
  <c r="H86" i="31" a="1"/>
  <c r="H86" i="31" s="1"/>
  <c r="G86" i="31" a="1"/>
  <c r="G86" i="31" s="1"/>
  <c r="F86" i="31" a="1"/>
  <c r="F86" i="31" s="1"/>
  <c r="E86" i="31"/>
  <c r="E86" i="31" a="1"/>
  <c r="D86" i="31" a="1"/>
  <c r="D86" i="31" s="1"/>
  <c r="R85" i="31" a="1"/>
  <c r="R85" i="31" s="1"/>
  <c r="P85" i="31" a="1"/>
  <c r="P85" i="31" s="1"/>
  <c r="O85" i="31"/>
  <c r="O85" i="31" a="1"/>
  <c r="N85" i="31" a="1"/>
  <c r="N85" i="31" s="1"/>
  <c r="M85" i="31" a="1"/>
  <c r="M85" i="31" s="1"/>
  <c r="L85" i="31" a="1"/>
  <c r="L85" i="31" s="1"/>
  <c r="K85" i="31"/>
  <c r="K85" i="31" a="1"/>
  <c r="J85" i="31" a="1"/>
  <c r="J85" i="31" s="1"/>
  <c r="I85" i="31" a="1"/>
  <c r="I85" i="31" s="1"/>
  <c r="H85" i="31" a="1"/>
  <c r="H85" i="31" s="1"/>
  <c r="G85" i="31" a="1"/>
  <c r="G85" i="31" s="1"/>
  <c r="F85" i="31" a="1"/>
  <c r="F85" i="31" s="1"/>
  <c r="E85" i="31" a="1"/>
  <c r="E85" i="31" s="1"/>
  <c r="D85" i="31" a="1"/>
  <c r="D85" i="31" s="1"/>
  <c r="R84" i="31" a="1"/>
  <c r="R84" i="31" s="1"/>
  <c r="P84" i="31" a="1"/>
  <c r="P84" i="31" s="1"/>
  <c r="O84" i="31" a="1"/>
  <c r="O84" i="31" s="1"/>
  <c r="N84" i="31" a="1"/>
  <c r="N84" i="31" s="1"/>
  <c r="M84" i="31" a="1"/>
  <c r="M84" i="31" s="1"/>
  <c r="L84" i="31" a="1"/>
  <c r="L84" i="31" s="1"/>
  <c r="K84" i="31" a="1"/>
  <c r="K84" i="31" s="1"/>
  <c r="J84" i="31" a="1"/>
  <c r="J84" i="31" s="1"/>
  <c r="I84" i="31"/>
  <c r="I84" i="31" a="1"/>
  <c r="H84" i="31" a="1"/>
  <c r="H84" i="31" s="1"/>
  <c r="G84" i="31" a="1"/>
  <c r="G84" i="31" s="1"/>
  <c r="F84" i="31" a="1"/>
  <c r="F84" i="31" s="1"/>
  <c r="E84" i="31" a="1"/>
  <c r="E84" i="31" s="1"/>
  <c r="D84" i="31" a="1"/>
  <c r="D84" i="31" s="1"/>
  <c r="R83" i="31" a="1"/>
  <c r="R83" i="31" s="1"/>
  <c r="P83" i="31" a="1"/>
  <c r="P83" i="31" s="1"/>
  <c r="O83" i="31"/>
  <c r="O83" i="31" a="1"/>
  <c r="N83" i="31" a="1"/>
  <c r="N83" i="31" s="1"/>
  <c r="M83" i="31" a="1"/>
  <c r="M83" i="31" s="1"/>
  <c r="L83" i="31" a="1"/>
  <c r="L83" i="31" s="1"/>
  <c r="K83" i="31"/>
  <c r="K83" i="31" a="1"/>
  <c r="J83" i="31" a="1"/>
  <c r="J83" i="31" s="1"/>
  <c r="I83" i="31" a="1"/>
  <c r="I83" i="31" s="1"/>
  <c r="H83" i="31" a="1"/>
  <c r="H83" i="31" s="1"/>
  <c r="G83" i="31"/>
  <c r="G83" i="31" a="1"/>
  <c r="F83" i="31" a="1"/>
  <c r="F83" i="31" s="1"/>
  <c r="E83" i="31" a="1"/>
  <c r="E83" i="31" s="1"/>
  <c r="D83" i="31" a="1"/>
  <c r="D83" i="31" s="1"/>
  <c r="R82" i="31" a="1"/>
  <c r="R82" i="31" s="1"/>
  <c r="P82" i="31" a="1"/>
  <c r="P82" i="31" s="1"/>
  <c r="O82" i="31" a="1"/>
  <c r="O82" i="31" s="1"/>
  <c r="N82" i="31" a="1"/>
  <c r="N82" i="31" s="1"/>
  <c r="M82" i="31" a="1"/>
  <c r="M82" i="31" s="1"/>
  <c r="L82" i="31" a="1"/>
  <c r="L82" i="31" s="1"/>
  <c r="K82" i="31" a="1"/>
  <c r="K82" i="31" s="1"/>
  <c r="J82" i="31" a="1"/>
  <c r="J82" i="31" s="1"/>
  <c r="I82" i="31" a="1"/>
  <c r="I82" i="31" s="1"/>
  <c r="H82" i="31" a="1"/>
  <c r="H82" i="31" s="1"/>
  <c r="G82" i="31" a="1"/>
  <c r="G82" i="31" s="1"/>
  <c r="F82" i="31"/>
  <c r="F82" i="31" a="1"/>
  <c r="E82" i="31" a="1"/>
  <c r="E82" i="31" s="1"/>
  <c r="D82" i="31" a="1"/>
  <c r="D82" i="31" s="1"/>
  <c r="R80" i="31" a="1"/>
  <c r="R80" i="31" s="1"/>
  <c r="P80" i="31" a="1"/>
  <c r="P80" i="31" s="1"/>
  <c r="O80" i="31"/>
  <c r="O80" i="31" a="1"/>
  <c r="N80" i="31" a="1"/>
  <c r="N80" i="31" s="1"/>
  <c r="M80" i="31" a="1"/>
  <c r="M80" i="31" s="1"/>
  <c r="L80" i="31" a="1"/>
  <c r="L80" i="31" s="1"/>
  <c r="K80" i="31"/>
  <c r="K80" i="31" a="1"/>
  <c r="J80" i="31" a="1"/>
  <c r="J80" i="31" s="1"/>
  <c r="I80" i="31" a="1"/>
  <c r="I80" i="31" s="1"/>
  <c r="H80" i="31" a="1"/>
  <c r="H80" i="31" s="1"/>
  <c r="G80" i="31"/>
  <c r="G80" i="31" a="1"/>
  <c r="F80" i="31" a="1"/>
  <c r="F80" i="31" s="1"/>
  <c r="E80" i="31" a="1"/>
  <c r="E80" i="31" s="1"/>
  <c r="D80" i="31" a="1"/>
  <c r="D80" i="31" s="1"/>
  <c r="R79" i="31" a="1"/>
  <c r="R79" i="31" s="1"/>
  <c r="P79" i="31" a="1"/>
  <c r="P79" i="31" s="1"/>
  <c r="O79" i="31" a="1"/>
  <c r="O79" i="31" s="1"/>
  <c r="N79" i="31" a="1"/>
  <c r="N79" i="31" s="1"/>
  <c r="M79" i="31" a="1"/>
  <c r="M79" i="31" s="1"/>
  <c r="L79" i="31" a="1"/>
  <c r="L79" i="31" s="1"/>
  <c r="K79" i="31" a="1"/>
  <c r="K79" i="31" s="1"/>
  <c r="J79" i="31" a="1"/>
  <c r="J79" i="31" s="1"/>
  <c r="I79" i="31" a="1"/>
  <c r="I79" i="31" s="1"/>
  <c r="H79" i="31" a="1"/>
  <c r="H79" i="31" s="1"/>
  <c r="G79" i="31" a="1"/>
  <c r="G79" i="31" s="1"/>
  <c r="F79" i="31" a="1"/>
  <c r="F79" i="31" s="1"/>
  <c r="E79" i="31"/>
  <c r="E79" i="31" a="1"/>
  <c r="D79" i="31" a="1"/>
  <c r="D79" i="31" s="1"/>
  <c r="R78" i="31" a="1"/>
  <c r="R78" i="31" s="1"/>
  <c r="P78" i="31" a="1"/>
  <c r="P78" i="31" s="1"/>
  <c r="O78" i="31" a="1"/>
  <c r="O78" i="31" s="1"/>
  <c r="N78" i="31" a="1"/>
  <c r="N78" i="31" s="1"/>
  <c r="M78" i="31" a="1"/>
  <c r="M78" i="31" s="1"/>
  <c r="L78" i="31" a="1"/>
  <c r="L78" i="31" s="1"/>
  <c r="K78" i="31"/>
  <c r="K78" i="31" a="1"/>
  <c r="J78" i="31" a="1"/>
  <c r="J78" i="31" s="1"/>
  <c r="I78" i="31" a="1"/>
  <c r="I78" i="31" s="1"/>
  <c r="H78" i="31" a="1"/>
  <c r="H78" i="31" s="1"/>
  <c r="G78" i="31"/>
  <c r="G78" i="31" a="1"/>
  <c r="F78" i="31" a="1"/>
  <c r="F78" i="31" s="1"/>
  <c r="E78" i="31" a="1"/>
  <c r="E78" i="31" s="1"/>
  <c r="D78" i="31" a="1"/>
  <c r="D78" i="31" s="1"/>
  <c r="R77" i="31" a="1"/>
  <c r="R77" i="31" s="1"/>
  <c r="P77" i="31" a="1"/>
  <c r="P77" i="31" s="1"/>
  <c r="O77" i="31"/>
  <c r="O77" i="31" a="1"/>
  <c r="N77" i="31"/>
  <c r="N77" i="31" a="1"/>
  <c r="M77" i="31"/>
  <c r="M77" i="31" a="1"/>
  <c r="L77" i="31" a="1"/>
  <c r="L77" i="31" s="1"/>
  <c r="K77" i="31"/>
  <c r="K77" i="31" a="1"/>
  <c r="J77" i="31"/>
  <c r="J77" i="31" a="1"/>
  <c r="I77" i="31"/>
  <c r="I77" i="31" a="1"/>
  <c r="H77" i="31" a="1"/>
  <c r="H77" i="31" s="1"/>
  <c r="G77" i="31"/>
  <c r="G77" i="31" a="1"/>
  <c r="F77" i="31"/>
  <c r="F77" i="31" a="1"/>
  <c r="E77" i="31"/>
  <c r="E77" i="31" a="1"/>
  <c r="D77" i="31" a="1"/>
  <c r="D77" i="31" s="1"/>
  <c r="R75" i="31" a="1"/>
  <c r="R75" i="31" s="1"/>
  <c r="P75" i="31" a="1"/>
  <c r="P75" i="31" s="1"/>
  <c r="O75" i="31" a="1"/>
  <c r="O75" i="31" s="1"/>
  <c r="N75" i="31" a="1"/>
  <c r="N75" i="31" s="1"/>
  <c r="M75" i="31" a="1"/>
  <c r="M75" i="31" s="1"/>
  <c r="L75" i="31" a="1"/>
  <c r="L75" i="31" s="1"/>
  <c r="K75" i="31" a="1"/>
  <c r="K75" i="31" s="1"/>
  <c r="J75" i="31" a="1"/>
  <c r="J75" i="31" s="1"/>
  <c r="I75" i="31" a="1"/>
  <c r="I75" i="31" s="1"/>
  <c r="H75" i="31" a="1"/>
  <c r="H75" i="31" s="1"/>
  <c r="G75" i="31" a="1"/>
  <c r="G75" i="31" s="1"/>
  <c r="F75" i="31" a="1"/>
  <c r="F75" i="31" s="1"/>
  <c r="E75" i="31" a="1"/>
  <c r="E75" i="31" s="1"/>
  <c r="D75" i="31" a="1"/>
  <c r="D75" i="31" s="1"/>
  <c r="R73" i="31" a="1"/>
  <c r="R73" i="31" s="1"/>
  <c r="P73" i="31" a="1"/>
  <c r="P73" i="31" s="1"/>
  <c r="O73" i="31"/>
  <c r="O73" i="31" a="1"/>
  <c r="N73" i="31" a="1"/>
  <c r="N73" i="31" s="1"/>
  <c r="M73" i="31" a="1"/>
  <c r="M73" i="31" s="1"/>
  <c r="L73" i="31" a="1"/>
  <c r="L73" i="31" s="1"/>
  <c r="K73" i="31"/>
  <c r="K73" i="31" a="1"/>
  <c r="J73" i="31" a="1"/>
  <c r="J73" i="31" s="1"/>
  <c r="I73" i="31" a="1"/>
  <c r="I73" i="31" s="1"/>
  <c r="H73" i="31" a="1"/>
  <c r="H73" i="31" s="1"/>
  <c r="G73" i="31"/>
  <c r="G73" i="31" a="1"/>
  <c r="F73" i="31" a="1"/>
  <c r="F73" i="31" s="1"/>
  <c r="E73" i="31" a="1"/>
  <c r="E73" i="31" s="1"/>
  <c r="D73" i="31" a="1"/>
  <c r="D73" i="31" s="1"/>
  <c r="R71" i="31" a="1"/>
  <c r="R71" i="31" s="1"/>
  <c r="P71" i="31" a="1"/>
  <c r="P71" i="31" s="1"/>
  <c r="O71" i="31" a="1"/>
  <c r="O71" i="31" s="1"/>
  <c r="N71" i="31" a="1"/>
  <c r="N71" i="31" s="1"/>
  <c r="M71" i="31" a="1"/>
  <c r="M71" i="31" s="1"/>
  <c r="L71" i="31" a="1"/>
  <c r="L71" i="31" s="1"/>
  <c r="K71" i="31" a="1"/>
  <c r="K71" i="31" s="1"/>
  <c r="J71" i="31" a="1"/>
  <c r="J71" i="31" s="1"/>
  <c r="I71" i="31" a="1"/>
  <c r="I71" i="31" s="1"/>
  <c r="H71" i="31" a="1"/>
  <c r="H71" i="31" s="1"/>
  <c r="G71" i="31" a="1"/>
  <c r="G71" i="31" s="1"/>
  <c r="F71" i="31" a="1"/>
  <c r="F71" i="31" s="1"/>
  <c r="E71" i="31" a="1"/>
  <c r="E71" i="31" s="1"/>
  <c r="D71" i="31" a="1"/>
  <c r="D71" i="31" s="1"/>
  <c r="R69" i="31" a="1"/>
  <c r="R69" i="31" s="1"/>
  <c r="P69" i="31" a="1"/>
  <c r="P69" i="31" s="1"/>
  <c r="O69" i="31" a="1"/>
  <c r="O69" i="31" s="1"/>
  <c r="N69" i="31"/>
  <c r="N69" i="31" a="1"/>
  <c r="M69" i="31" a="1"/>
  <c r="M69" i="31" s="1"/>
  <c r="L69" i="31" a="1"/>
  <c r="L69" i="31" s="1"/>
  <c r="K69" i="31" a="1"/>
  <c r="K69" i="31" s="1"/>
  <c r="J69" i="31"/>
  <c r="J69" i="31" a="1"/>
  <c r="I69" i="31" a="1"/>
  <c r="I69" i="31" s="1"/>
  <c r="H69" i="31" a="1"/>
  <c r="H69" i="31" s="1"/>
  <c r="G69" i="31" a="1"/>
  <c r="G69" i="31" s="1"/>
  <c r="F69" i="31"/>
  <c r="F69" i="31" a="1"/>
  <c r="E69" i="31" a="1"/>
  <c r="E69" i="31" s="1"/>
  <c r="D69" i="31" a="1"/>
  <c r="D69" i="31" s="1"/>
  <c r="R68" i="31" a="1"/>
  <c r="R68" i="31" s="1"/>
  <c r="P68" i="31" a="1"/>
  <c r="P68" i="31" s="1"/>
  <c r="O68" i="31" a="1"/>
  <c r="O68" i="31" s="1"/>
  <c r="N68" i="31" a="1"/>
  <c r="N68" i="31" s="1"/>
  <c r="M68" i="31" a="1"/>
  <c r="M68" i="31" s="1"/>
  <c r="L68" i="31" a="1"/>
  <c r="L68" i="31" s="1"/>
  <c r="K68" i="31" a="1"/>
  <c r="K68" i="31" s="1"/>
  <c r="J68" i="31" a="1"/>
  <c r="J68" i="31" s="1"/>
  <c r="I68" i="31" a="1"/>
  <c r="I68" i="31" s="1"/>
  <c r="H68" i="31" a="1"/>
  <c r="H68" i="31" s="1"/>
  <c r="G68" i="31" a="1"/>
  <c r="G68" i="31" s="1"/>
  <c r="F68" i="31" a="1"/>
  <c r="F68" i="31" s="1"/>
  <c r="E68" i="31" a="1"/>
  <c r="E68" i="31" s="1"/>
  <c r="D68" i="31"/>
  <c r="D68" i="31" a="1"/>
  <c r="R67" i="31" a="1"/>
  <c r="R67" i="31" s="1"/>
  <c r="P67" i="31" a="1"/>
  <c r="P67" i="31" s="1"/>
  <c r="O67" i="31" a="1"/>
  <c r="O67" i="31" s="1"/>
  <c r="N67" i="31"/>
  <c r="N67" i="31" a="1"/>
  <c r="M67" i="31" a="1"/>
  <c r="M67" i="31" s="1"/>
  <c r="L67" i="31" a="1"/>
  <c r="L67" i="31" s="1"/>
  <c r="K67" i="31" a="1"/>
  <c r="K67" i="31" s="1"/>
  <c r="J67" i="31"/>
  <c r="J67" i="31" a="1"/>
  <c r="I67" i="31" a="1"/>
  <c r="I67" i="31" s="1"/>
  <c r="H67" i="31" a="1"/>
  <c r="H67" i="31" s="1"/>
  <c r="G67" i="31" a="1"/>
  <c r="G67" i="31" s="1"/>
  <c r="F67" i="31"/>
  <c r="F67" i="31" a="1"/>
  <c r="E67" i="31" a="1"/>
  <c r="E67" i="31" s="1"/>
  <c r="D67" i="31" a="1"/>
  <c r="D67" i="31" s="1"/>
  <c r="R65" i="31" a="1"/>
  <c r="R65" i="31" s="1"/>
  <c r="P65" i="31" a="1"/>
  <c r="P65" i="31" s="1"/>
  <c r="O65" i="31" a="1"/>
  <c r="O65" i="31" s="1"/>
  <c r="N65" i="31" a="1"/>
  <c r="N65" i="31" s="1"/>
  <c r="M65" i="31" a="1"/>
  <c r="M65" i="31" s="1"/>
  <c r="L65" i="31" a="1"/>
  <c r="L65" i="31" s="1"/>
  <c r="K65" i="31" a="1"/>
  <c r="K65" i="31" s="1"/>
  <c r="J65" i="31" a="1"/>
  <c r="J65" i="31" s="1"/>
  <c r="I65" i="31" a="1"/>
  <c r="I65" i="31" s="1"/>
  <c r="H65" i="31" a="1"/>
  <c r="H65" i="31" s="1"/>
  <c r="G65" i="31" a="1"/>
  <c r="G65" i="31" s="1"/>
  <c r="F65" i="31" a="1"/>
  <c r="F65" i="31" s="1"/>
  <c r="E65" i="31" a="1"/>
  <c r="E65" i="31" s="1"/>
  <c r="D65" i="31" a="1"/>
  <c r="D65" i="31" s="1"/>
  <c r="R63" i="31" a="1"/>
  <c r="R63" i="31" s="1"/>
  <c r="P63" i="31" a="1"/>
  <c r="P63" i="31" s="1"/>
  <c r="O63" i="31" a="1"/>
  <c r="O63" i="31" s="1"/>
  <c r="N63" i="31" a="1"/>
  <c r="N63" i="31" s="1"/>
  <c r="M63" i="31" a="1"/>
  <c r="M63" i="31" s="1"/>
  <c r="L63" i="31" a="1"/>
  <c r="L63" i="31" s="1"/>
  <c r="K63" i="31"/>
  <c r="K63" i="31" a="1"/>
  <c r="J63" i="31" a="1"/>
  <c r="J63" i="31" s="1"/>
  <c r="I63" i="31" a="1"/>
  <c r="I63" i="31" s="1"/>
  <c r="H63" i="31" a="1"/>
  <c r="H63" i="31" s="1"/>
  <c r="G63" i="31"/>
  <c r="G63" i="31" a="1"/>
  <c r="F63" i="31" a="1"/>
  <c r="F63" i="31" s="1"/>
  <c r="E63" i="31" a="1"/>
  <c r="E63" i="31" s="1"/>
  <c r="D63" i="31" a="1"/>
  <c r="D63" i="31" s="1"/>
  <c r="R62" i="31"/>
  <c r="R62" i="31" a="1"/>
  <c r="P62" i="31" a="1"/>
  <c r="P62" i="31" s="1"/>
  <c r="O62" i="31" a="1"/>
  <c r="O62" i="31" s="1"/>
  <c r="N62" i="31" a="1"/>
  <c r="N62" i="31" s="1"/>
  <c r="M62" i="31"/>
  <c r="M62" i="31" a="1"/>
  <c r="L62" i="31" a="1"/>
  <c r="L62" i="31" s="1"/>
  <c r="K62" i="31" a="1"/>
  <c r="K62" i="31" s="1"/>
  <c r="J62" i="31" a="1"/>
  <c r="J62" i="31" s="1"/>
  <c r="I62" i="31"/>
  <c r="I62" i="31" a="1"/>
  <c r="H62" i="31" a="1"/>
  <c r="H62" i="31" s="1"/>
  <c r="G62" i="31" a="1"/>
  <c r="G62" i="31" s="1"/>
  <c r="F62" i="31" a="1"/>
  <c r="F62" i="31" s="1"/>
  <c r="E62" i="31" a="1"/>
  <c r="E62" i="31" s="1"/>
  <c r="D62" i="31" a="1"/>
  <c r="D62" i="31" s="1"/>
  <c r="R61" i="31" a="1"/>
  <c r="R61" i="31" s="1"/>
  <c r="P61" i="31" a="1"/>
  <c r="P61" i="31" s="1"/>
  <c r="O61" i="31" a="1"/>
  <c r="O61" i="31" s="1"/>
  <c r="N61" i="31" a="1"/>
  <c r="N61" i="31" s="1"/>
  <c r="M61" i="31" a="1"/>
  <c r="M61" i="31" s="1"/>
  <c r="L61" i="31" a="1"/>
  <c r="L61" i="31" s="1"/>
  <c r="K61" i="31" a="1"/>
  <c r="K61" i="31" s="1"/>
  <c r="J61" i="31" a="1"/>
  <c r="J61" i="31" s="1"/>
  <c r="I61" i="31" a="1"/>
  <c r="I61" i="31" s="1"/>
  <c r="H61" i="31" a="1"/>
  <c r="H61" i="31" s="1"/>
  <c r="G61" i="31"/>
  <c r="G61" i="31" a="1"/>
  <c r="F61" i="31" a="1"/>
  <c r="F61" i="31" s="1"/>
  <c r="E61" i="31" a="1"/>
  <c r="E61" i="31" s="1"/>
  <c r="D61" i="31" a="1"/>
  <c r="D61" i="31" s="1"/>
  <c r="R60" i="31"/>
  <c r="R60" i="31" a="1"/>
  <c r="P60" i="31" a="1"/>
  <c r="P60" i="31" s="1"/>
  <c r="O60" i="31" a="1"/>
  <c r="O60" i="31" s="1"/>
  <c r="N60" i="31" a="1"/>
  <c r="N60" i="31" s="1"/>
  <c r="M60" i="31"/>
  <c r="M60" i="31" a="1"/>
  <c r="L60" i="31" a="1"/>
  <c r="L60" i="31" s="1"/>
  <c r="K60" i="31" a="1"/>
  <c r="K60" i="31" s="1"/>
  <c r="J60" i="31" a="1"/>
  <c r="J60" i="31" s="1"/>
  <c r="I60" i="31"/>
  <c r="I60" i="31" a="1"/>
  <c r="H60" i="31" a="1"/>
  <c r="H60" i="31" s="1"/>
  <c r="G60" i="31" a="1"/>
  <c r="G60" i="31" s="1"/>
  <c r="F60" i="31" a="1"/>
  <c r="F60" i="31" s="1"/>
  <c r="E60" i="31"/>
  <c r="E60" i="31" a="1"/>
  <c r="D60" i="31" a="1"/>
  <c r="D60" i="31" s="1"/>
  <c r="R59" i="31" a="1"/>
  <c r="R59" i="31" s="1"/>
  <c r="P59" i="31" a="1"/>
  <c r="P59" i="31" s="1"/>
  <c r="O59" i="31" a="1"/>
  <c r="O59" i="31" s="1"/>
  <c r="N59" i="31" a="1"/>
  <c r="N59" i="31" s="1"/>
  <c r="M59" i="31" a="1"/>
  <c r="M59" i="31" s="1"/>
  <c r="L59" i="31" a="1"/>
  <c r="L59" i="31" s="1"/>
  <c r="K59" i="31" a="1"/>
  <c r="K59" i="31" s="1"/>
  <c r="J59" i="31" a="1"/>
  <c r="J59" i="31" s="1"/>
  <c r="I59" i="31" a="1"/>
  <c r="I59" i="31" s="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R58" i="31"/>
  <c r="R58" i="31" a="1"/>
  <c r="P58" i="31" a="1"/>
  <c r="P58" i="31" s="1"/>
  <c r="O58" i="31" a="1"/>
  <c r="O58" i="31" s="1"/>
  <c r="N58" i="31" a="1"/>
  <c r="N58" i="31" s="1"/>
  <c r="M58" i="31"/>
  <c r="M58" i="31" a="1"/>
  <c r="L58" i="31" a="1"/>
  <c r="L58" i="31" s="1"/>
  <c r="K58" i="31" a="1"/>
  <c r="K58" i="31" s="1"/>
  <c r="J58" i="31" a="1"/>
  <c r="J58" i="31" s="1"/>
  <c r="I58" i="31"/>
  <c r="I58" i="31" a="1"/>
  <c r="H58" i="31" a="1"/>
  <c r="H58" i="31" s="1"/>
  <c r="G58" i="31" a="1"/>
  <c r="G58" i="31" s="1"/>
  <c r="F58" i="31" a="1"/>
  <c r="F58" i="31" s="1"/>
  <c r="E58" i="31"/>
  <c r="E58" i="31" a="1"/>
  <c r="D58" i="31" a="1"/>
  <c r="D58" i="31" s="1"/>
  <c r="R57" i="31" a="1"/>
  <c r="R57" i="31" s="1"/>
  <c r="P57" i="31" a="1"/>
  <c r="P57" i="31" s="1"/>
  <c r="O57" i="31"/>
  <c r="O57" i="31" a="1"/>
  <c r="N57" i="31" a="1"/>
  <c r="N57" i="31" s="1"/>
  <c r="M57" i="31" a="1"/>
  <c r="M57" i="31" s="1"/>
  <c r="L57" i="31" a="1"/>
  <c r="L57" i="31" s="1"/>
  <c r="K57" i="31" a="1"/>
  <c r="K57" i="31" s="1"/>
  <c r="J57" i="31" a="1"/>
  <c r="J57" i="31" s="1"/>
  <c r="I57" i="31" a="1"/>
  <c r="I57" i="31" s="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R56" i="31" a="1"/>
  <c r="R56" i="31" s="1"/>
  <c r="P56" i="31" a="1"/>
  <c r="P56" i="31" s="1"/>
  <c r="O56" i="31" a="1"/>
  <c r="O56" i="31" s="1"/>
  <c r="N56" i="31" a="1"/>
  <c r="N56" i="31" s="1"/>
  <c r="M56" i="31"/>
  <c r="M56" i="31" a="1"/>
  <c r="L56" i="31" a="1"/>
  <c r="L56" i="31" s="1"/>
  <c r="K56" i="31" a="1"/>
  <c r="K56" i="31" s="1"/>
  <c r="J56" i="31" a="1"/>
  <c r="J56" i="31" s="1"/>
  <c r="I56" i="31"/>
  <c r="I56" i="31" a="1"/>
  <c r="H56" i="31" a="1"/>
  <c r="H56" i="31" s="1"/>
  <c r="G56" i="31" a="1"/>
  <c r="G56" i="31" s="1"/>
  <c r="F56" i="31" a="1"/>
  <c r="F56" i="31" s="1"/>
  <c r="E56" i="31"/>
  <c r="E56" i="31" a="1"/>
  <c r="D56" i="31" a="1"/>
  <c r="D56" i="31" s="1"/>
  <c r="R55" i="31" a="1"/>
  <c r="R55" i="31" s="1"/>
  <c r="P55" i="31" a="1"/>
  <c r="P55" i="31" s="1"/>
  <c r="O55" i="31"/>
  <c r="O55" i="31" a="1"/>
  <c r="N55" i="31" a="1"/>
  <c r="N55" i="31" s="1"/>
  <c r="M55" i="31" a="1"/>
  <c r="M55" i="31" s="1"/>
  <c r="L55" i="31" a="1"/>
  <c r="L55" i="31" s="1"/>
  <c r="K55" i="31"/>
  <c r="K55" i="31" a="1"/>
  <c r="J55" i="31" a="1"/>
  <c r="J55" i="31" s="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R54" i="31" a="1"/>
  <c r="R54" i="31" s="1"/>
  <c r="P54" i="31" a="1"/>
  <c r="P54" i="31" s="1"/>
  <c r="O54" i="31" a="1"/>
  <c r="O54" i="31" s="1"/>
  <c r="N54" i="31" a="1"/>
  <c r="N54" i="31" s="1"/>
  <c r="M54" i="31" a="1"/>
  <c r="M54" i="31" s="1"/>
  <c r="L54" i="31" a="1"/>
  <c r="L54" i="31" s="1"/>
  <c r="K54" i="31" a="1"/>
  <c r="K54" i="31" s="1"/>
  <c r="J54" i="31" a="1"/>
  <c r="J54" i="31" s="1"/>
  <c r="I54" i="31"/>
  <c r="I54" i="31" a="1"/>
  <c r="H54" i="31" a="1"/>
  <c r="H54" i="31" s="1"/>
  <c r="G54" i="31" a="1"/>
  <c r="G54" i="31" s="1"/>
  <c r="F54" i="31" a="1"/>
  <c r="F54" i="31" s="1"/>
  <c r="E54" i="31"/>
  <c r="E54" i="31" a="1"/>
  <c r="D54" i="31" a="1"/>
  <c r="D54" i="31" s="1"/>
  <c r="R53" i="31" a="1"/>
  <c r="R53" i="31" s="1"/>
  <c r="P53" i="31" a="1"/>
  <c r="P53" i="31" s="1"/>
  <c r="O53" i="31"/>
  <c r="O53" i="31" a="1"/>
  <c r="N53" i="31" a="1"/>
  <c r="N53" i="31" s="1"/>
  <c r="M53" i="31" a="1"/>
  <c r="M53" i="31" s="1"/>
  <c r="L53" i="31" a="1"/>
  <c r="L53" i="31" s="1"/>
  <c r="K53" i="31"/>
  <c r="K53" i="31" a="1"/>
  <c r="J53" i="31" a="1"/>
  <c r="J53" i="31" s="1"/>
  <c r="I53" i="31" a="1"/>
  <c r="I53" i="31" s="1"/>
  <c r="H53" i="31" a="1"/>
  <c r="H53" i="31" s="1"/>
  <c r="G53" i="31"/>
  <c r="G53" i="31" a="1"/>
  <c r="F53" i="31" a="1"/>
  <c r="F53" i="31" s="1"/>
  <c r="E53" i="31" a="1"/>
  <c r="E53" i="31" s="1"/>
  <c r="D53" i="31" a="1"/>
  <c r="D53" i="31" s="1"/>
  <c r="R52" i="31" a="1"/>
  <c r="R52" i="31" s="1"/>
  <c r="P52" i="31" a="1"/>
  <c r="P52" i="31" s="1"/>
  <c r="O52" i="31" a="1"/>
  <c r="O52" i="31" s="1"/>
  <c r="N52" i="31" a="1"/>
  <c r="N52" i="31" s="1"/>
  <c r="M52" i="31" a="1"/>
  <c r="M52" i="31" s="1"/>
  <c r="L52" i="31" a="1"/>
  <c r="L52" i="31" s="1"/>
  <c r="K52" i="31" a="1"/>
  <c r="K52" i="31" s="1"/>
  <c r="J52" i="31" a="1"/>
  <c r="J52" i="31" s="1"/>
  <c r="I52" i="31" a="1"/>
  <c r="I52" i="31" s="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R50" i="31" a="1"/>
  <c r="R50" i="31" s="1"/>
  <c r="P50" i="31" a="1"/>
  <c r="P50" i="31" s="1"/>
  <c r="O50" i="31" a="1"/>
  <c r="O50" i="31" s="1"/>
  <c r="N50" i="31" a="1"/>
  <c r="N50" i="31" s="1"/>
  <c r="M50" i="31" a="1"/>
  <c r="M50" i="31" s="1"/>
  <c r="L50" i="31" a="1"/>
  <c r="L50" i="31" s="1"/>
  <c r="K50" i="31" a="1"/>
  <c r="K50" i="31" s="1"/>
  <c r="J50" i="31" a="1"/>
  <c r="J50" i="31" s="1"/>
  <c r="I50" i="31" a="1"/>
  <c r="I50" i="31" s="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R49" i="31" a="1"/>
  <c r="R49" i="31" s="1"/>
  <c r="P49" i="31" a="1"/>
  <c r="P49" i="31" s="1"/>
  <c r="O49" i="31" a="1"/>
  <c r="O49" i="31" s="1"/>
  <c r="N49" i="31" a="1"/>
  <c r="N49" i="31" s="1"/>
  <c r="M49" i="31" a="1"/>
  <c r="M49" i="31" s="1"/>
  <c r="L49" i="31" a="1"/>
  <c r="L49" i="31" s="1"/>
  <c r="K49" i="31" a="1"/>
  <c r="K49" i="31" s="1"/>
  <c r="J49" i="31" a="1"/>
  <c r="J49" i="31" s="1"/>
  <c r="I49" i="31" a="1"/>
  <c r="I49" i="31" s="1"/>
  <c r="H49" i="31" a="1"/>
  <c r="H49" i="31" s="1"/>
  <c r="G49" i="31" a="1"/>
  <c r="G49" i="31" s="1"/>
  <c r="F49" i="31" a="1"/>
  <c r="F49" i="31" s="1"/>
  <c r="E49" i="31" a="1"/>
  <c r="E49" i="31" s="1"/>
  <c r="D49" i="31" a="1"/>
  <c r="D49" i="31" s="1"/>
  <c r="R48" i="31" a="1"/>
  <c r="R48" i="31" s="1"/>
  <c r="P48" i="31" a="1"/>
  <c r="P48" i="31" s="1"/>
  <c r="O48" i="31" a="1"/>
  <c r="O48" i="31" s="1"/>
  <c r="N48" i="31" a="1"/>
  <c r="N48" i="31" s="1"/>
  <c r="M48" i="31" a="1"/>
  <c r="M48" i="31" s="1"/>
  <c r="L48" i="31" a="1"/>
  <c r="L48" i="31" s="1"/>
  <c r="K48" i="31" a="1"/>
  <c r="K48" i="31" s="1"/>
  <c r="J48" i="31" a="1"/>
  <c r="J48" i="31" s="1"/>
  <c r="I48" i="31" a="1"/>
  <c r="I48" i="31" s="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R47" i="31" a="1"/>
  <c r="R47" i="31" s="1"/>
  <c r="P47" i="31" a="1"/>
  <c r="P47" i="31" s="1"/>
  <c r="O47" i="31" a="1"/>
  <c r="O47" i="31" s="1"/>
  <c r="N47" i="31" a="1"/>
  <c r="N47" i="31" s="1"/>
  <c r="M47" i="31" a="1"/>
  <c r="M47" i="31" s="1"/>
  <c r="L47" i="31" a="1"/>
  <c r="L47" i="31" s="1"/>
  <c r="K47" i="31" a="1"/>
  <c r="K47" i="31" s="1"/>
  <c r="J47" i="31" a="1"/>
  <c r="J47" i="31" s="1"/>
  <c r="I47" i="31" a="1"/>
  <c r="I47" i="31" s="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R46" i="31" a="1"/>
  <c r="R46" i="31" s="1"/>
  <c r="P46" i="31" a="1"/>
  <c r="P46" i="31" s="1"/>
  <c r="O46" i="31" a="1"/>
  <c r="O46" i="31" s="1"/>
  <c r="N46" i="31" a="1"/>
  <c r="N46" i="31" s="1"/>
  <c r="M46" i="31" a="1"/>
  <c r="M46" i="31" s="1"/>
  <c r="L46" i="31" a="1"/>
  <c r="L46" i="31" s="1"/>
  <c r="K46" i="31" a="1"/>
  <c r="K46" i="31" s="1"/>
  <c r="J46" i="31" a="1"/>
  <c r="J46" i="31" s="1"/>
  <c r="I46" i="31" a="1"/>
  <c r="I46" i="31" s="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R45" i="31" a="1"/>
  <c r="R45" i="31" s="1"/>
  <c r="P45" i="31" a="1"/>
  <c r="P45" i="31" s="1"/>
  <c r="O45" i="31" a="1"/>
  <c r="O45" i="31" s="1"/>
  <c r="N45" i="31" a="1"/>
  <c r="N45" i="31" s="1"/>
  <c r="M45" i="31" a="1"/>
  <c r="M45" i="31" s="1"/>
  <c r="L45" i="31" a="1"/>
  <c r="L45" i="31" s="1"/>
  <c r="K45" i="31" a="1"/>
  <c r="K45" i="31" s="1"/>
  <c r="J45" i="31" a="1"/>
  <c r="J45" i="31" s="1"/>
  <c r="I45" i="31" a="1"/>
  <c r="I45" i="31" s="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D44" i="31" a="1"/>
  <c r="D44" i="31" s="1"/>
  <c r="R44" i="31" a="1"/>
  <c r="R44" i="31" s="1"/>
  <c r="P44" i="31" a="1"/>
  <c r="P44" i="31" s="1"/>
  <c r="O44" i="31" a="1"/>
  <c r="O44" i="31" s="1"/>
  <c r="N44" i="31"/>
  <c r="N44" i="31" a="1"/>
  <c r="M44" i="31" a="1"/>
  <c r="M44" i="31" s="1"/>
  <c r="L44" i="31" a="1"/>
  <c r="L44" i="31" s="1"/>
  <c r="K44" i="31"/>
  <c r="K44" i="31" a="1"/>
  <c r="J44" i="31" a="1"/>
  <c r="J44" i="31" s="1"/>
  <c r="I44" i="31" a="1"/>
  <c r="I44" i="31" s="1"/>
  <c r="H44" i="31" a="1"/>
  <c r="H44" i="31" s="1"/>
  <c r="G44" i="31"/>
  <c r="G44" i="31" a="1"/>
  <c r="F44" i="31" a="1"/>
  <c r="F44" i="31" s="1"/>
  <c r="E44" i="31" a="1"/>
  <c r="E44" i="31" s="1"/>
  <c r="R42" i="31" a="1"/>
  <c r="R42" i="31" s="1"/>
  <c r="P42" i="31" a="1"/>
  <c r="P42" i="31" s="1"/>
  <c r="O42" i="31" a="1"/>
  <c r="O42" i="31" s="1"/>
  <c r="N42" i="31" a="1"/>
  <c r="N42" i="31" s="1"/>
  <c r="M42" i="31" a="1"/>
  <c r="M42" i="31" s="1"/>
  <c r="L42" i="31" a="1"/>
  <c r="L42" i="31" s="1"/>
  <c r="K42" i="31" a="1"/>
  <c r="K42" i="31" s="1"/>
  <c r="J42" i="31" a="1"/>
  <c r="J42" i="31" s="1"/>
  <c r="I42" i="31" a="1"/>
  <c r="I42" i="31" s="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R41" i="31" a="1"/>
  <c r="R41" i="31" s="1"/>
  <c r="P41" i="31" a="1"/>
  <c r="P41" i="31" s="1"/>
  <c r="O41" i="31" a="1"/>
  <c r="O41" i="31" s="1"/>
  <c r="N41" i="31" a="1"/>
  <c r="N41" i="31" s="1"/>
  <c r="M41" i="31" a="1"/>
  <c r="M41" i="31" s="1"/>
  <c r="L41" i="31" a="1"/>
  <c r="L41" i="31" s="1"/>
  <c r="K41" i="31" a="1"/>
  <c r="K41" i="31" s="1"/>
  <c r="J41" i="31" a="1"/>
  <c r="J41" i="31" s="1"/>
  <c r="I41" i="31" a="1"/>
  <c r="I41" i="31" s="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R40" i="31" a="1"/>
  <c r="R40" i="31" s="1"/>
  <c r="P40" i="31" a="1"/>
  <c r="P40" i="31" s="1"/>
  <c r="O40" i="31" a="1"/>
  <c r="O40" i="31" s="1"/>
  <c r="N40" i="31" a="1"/>
  <c r="N40" i="31" s="1"/>
  <c r="M40" i="31" a="1"/>
  <c r="M40" i="31" s="1"/>
  <c r="L40" i="31" a="1"/>
  <c r="L40" i="31" s="1"/>
  <c r="K40" i="31" a="1"/>
  <c r="K40" i="31" s="1"/>
  <c r="J40" i="31" a="1"/>
  <c r="J40" i="31" s="1"/>
  <c r="I40" i="31" a="1"/>
  <c r="I40" i="31" s="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R39" i="31" a="1"/>
  <c r="R39" i="31" s="1"/>
  <c r="P39" i="31" a="1"/>
  <c r="P39" i="31" s="1"/>
  <c r="O39" i="31" a="1"/>
  <c r="O39" i="31" s="1"/>
  <c r="N39" i="31" a="1"/>
  <c r="N39" i="31" s="1"/>
  <c r="M39" i="31" a="1"/>
  <c r="M39" i="31" s="1"/>
  <c r="L39" i="31" a="1"/>
  <c r="L39" i="31" s="1"/>
  <c r="K39" i="31" a="1"/>
  <c r="K39" i="31" s="1"/>
  <c r="J39" i="31" a="1"/>
  <c r="J39" i="31" s="1"/>
  <c r="I39" i="31" a="1"/>
  <c r="I39" i="31" s="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R38" i="31" a="1"/>
  <c r="R38" i="31" s="1"/>
  <c r="P38" i="31" a="1"/>
  <c r="P38" i="31" s="1"/>
  <c r="O38" i="31" a="1"/>
  <c r="O38" i="31" s="1"/>
  <c r="N38" i="31" a="1"/>
  <c r="N38" i="31" s="1"/>
  <c r="M38" i="31" a="1"/>
  <c r="M38" i="31" s="1"/>
  <c r="L38" i="31" a="1"/>
  <c r="L38" i="31" s="1"/>
  <c r="K38" i="31" a="1"/>
  <c r="K38" i="31" s="1"/>
  <c r="J38" i="31" a="1"/>
  <c r="J38" i="31" s="1"/>
  <c r="I38" i="31" a="1"/>
  <c r="I38" i="31" s="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R37" i="31" a="1"/>
  <c r="R37" i="31" s="1"/>
  <c r="P37" i="31" a="1"/>
  <c r="P37" i="31" s="1"/>
  <c r="O37" i="31" a="1"/>
  <c r="O37" i="31" s="1"/>
  <c r="N37" i="31" a="1"/>
  <c r="N37" i="31" s="1"/>
  <c r="M37" i="31" a="1"/>
  <c r="M37" i="31" s="1"/>
  <c r="L37" i="31" a="1"/>
  <c r="L37" i="31" s="1"/>
  <c r="K37" i="31" a="1"/>
  <c r="K37" i="31" s="1"/>
  <c r="J37" i="31" a="1"/>
  <c r="J37" i="31" s="1"/>
  <c r="I37" i="31" a="1"/>
  <c r="I37" i="31" s="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R36" i="31" a="1"/>
  <c r="R36" i="31" s="1"/>
  <c r="P36" i="31" a="1"/>
  <c r="P36" i="31" s="1"/>
  <c r="O36" i="31" a="1"/>
  <c r="O36" i="31" s="1"/>
  <c r="N36" i="31" a="1"/>
  <c r="N36" i="31" s="1"/>
  <c r="M36" i="31" a="1"/>
  <c r="M36" i="31" s="1"/>
  <c r="L36" i="31" a="1"/>
  <c r="L36" i="31" s="1"/>
  <c r="K36" i="31" a="1"/>
  <c r="K36" i="31" s="1"/>
  <c r="J36" i="31" a="1"/>
  <c r="J36" i="31" s="1"/>
  <c r="I36" i="31" a="1"/>
  <c r="I36" i="31" s="1"/>
  <c r="H36" i="31" a="1"/>
  <c r="H36" i="31" s="1"/>
  <c r="G36" i="31" a="1"/>
  <c r="G36" i="31" s="1"/>
  <c r="F36" i="31" a="1"/>
  <c r="F36" i="31" s="1"/>
  <c r="E36" i="31" a="1"/>
  <c r="E36" i="31" s="1"/>
  <c r="D36" i="31" a="1"/>
  <c r="D36" i="31" s="1"/>
  <c r="R35" i="31" a="1"/>
  <c r="R35" i="31" s="1"/>
  <c r="P35" i="31" a="1"/>
  <c r="P35" i="31" s="1"/>
  <c r="O35" i="31" a="1"/>
  <c r="O35" i="31" s="1"/>
  <c r="N35" i="31" a="1"/>
  <c r="N35" i="31" s="1"/>
  <c r="M35" i="31" a="1"/>
  <c r="M35" i="31" s="1"/>
  <c r="L35" i="31" a="1"/>
  <c r="L35" i="31" s="1"/>
  <c r="K35" i="31" a="1"/>
  <c r="K35" i="31" s="1"/>
  <c r="J35" i="31" a="1"/>
  <c r="J35" i="31" s="1"/>
  <c r="I35" i="31" a="1"/>
  <c r="I35" i="31" s="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R34" i="31" a="1"/>
  <c r="R34" i="31" s="1"/>
  <c r="P34" i="31" a="1"/>
  <c r="P34" i="31" s="1"/>
  <c r="O34" i="31" a="1"/>
  <c r="O34" i="31" s="1"/>
  <c r="N34" i="31" a="1"/>
  <c r="N34" i="31" s="1"/>
  <c r="M34" i="31" a="1"/>
  <c r="M34" i="31" s="1"/>
  <c r="L34" i="31" a="1"/>
  <c r="L34" i="31" s="1"/>
  <c r="K34" i="31" a="1"/>
  <c r="K34" i="31" s="1"/>
  <c r="J34" i="31" a="1"/>
  <c r="J34" i="31" s="1"/>
  <c r="I34" i="31" a="1"/>
  <c r="I34" i="31" s="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R33" i="31" a="1"/>
  <c r="R33" i="31" s="1"/>
  <c r="P33" i="31" a="1"/>
  <c r="P33" i="31" s="1"/>
  <c r="O33" i="31" a="1"/>
  <c r="O33" i="31" s="1"/>
  <c r="N33" i="31"/>
  <c r="N33" i="31" a="1"/>
  <c r="M33" i="31" a="1"/>
  <c r="M33" i="31" s="1"/>
  <c r="L33" i="31" a="1"/>
  <c r="L33" i="31" s="1"/>
  <c r="K33" i="31" a="1"/>
  <c r="K33" i="31" s="1"/>
  <c r="J33" i="31"/>
  <c r="J33" i="31" a="1"/>
  <c r="I33" i="31" a="1"/>
  <c r="I33" i="31" s="1"/>
  <c r="H33" i="31" a="1"/>
  <c r="H33" i="31" s="1"/>
  <c r="G33" i="31" a="1"/>
  <c r="G33" i="31" s="1"/>
  <c r="F33" i="31"/>
  <c r="F33" i="31" a="1"/>
  <c r="E33" i="31" a="1"/>
  <c r="E33" i="31" s="1"/>
  <c r="D33" i="31" a="1"/>
  <c r="D33" i="31" s="1"/>
  <c r="CY122" i="28"/>
  <c r="CY122" i="28" a="1"/>
  <c r="CX122" i="28"/>
  <c r="CX122" i="28" a="1"/>
  <c r="CW122" i="28"/>
  <c r="CW122" i="28" a="1"/>
  <c r="CV122" i="28" a="1"/>
  <c r="CV122" i="28" s="1"/>
  <c r="CY121" i="28" a="1"/>
  <c r="CY121" i="28" s="1"/>
  <c r="CX121" i="28" a="1"/>
  <c r="CX121" i="28" s="1"/>
  <c r="CW121" i="28"/>
  <c r="CW121" i="28" a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/>
  <c r="CX36" i="28" a="1"/>
  <c r="CW36" i="28"/>
  <c r="CW36" i="28" a="1"/>
  <c r="CV36" i="28"/>
  <c r="CV36" i="28" a="1"/>
  <c r="CY35" i="28"/>
  <c r="CY35" i="28" a="1"/>
  <c r="CX35" i="28"/>
  <c r="CX35" i="28" a="1"/>
  <c r="CW35" i="28"/>
  <c r="CW35" i="28" a="1"/>
  <c r="CV35" i="28"/>
  <c r="CV35" i="28" a="1"/>
  <c r="CY34" i="28"/>
  <c r="CY34" i="28" a="1"/>
  <c r="CX34" i="28"/>
  <c r="CX34" i="28" a="1"/>
  <c r="CW34" i="28"/>
  <c r="CW34" i="28" a="1"/>
  <c r="CV34" i="28"/>
  <c r="CV34" i="28" a="1"/>
  <c r="CY33" i="28"/>
  <c r="CY33" i="28" a="1"/>
  <c r="CX33" i="28"/>
  <c r="CX33" i="28" a="1"/>
  <c r="CW33" i="28"/>
  <c r="CW33" i="28" a="1"/>
  <c r="CV33" i="28"/>
  <c r="CV33" i="28" a="1"/>
  <c r="CY32" i="28"/>
  <c r="CY32" i="28" a="1"/>
  <c r="CX32" i="28"/>
  <c r="CX32" i="28" a="1"/>
  <c r="CW32" i="28"/>
  <c r="CW32" i="28" a="1"/>
  <c r="CV32" i="28"/>
  <c r="CV32" i="28" a="1"/>
  <c r="CY31" i="28"/>
  <c r="CY31" i="28" a="1"/>
  <c r="CX31" i="28"/>
  <c r="CX31" i="28" a="1"/>
  <c r="CW31" i="28"/>
  <c r="CW31" i="28" a="1"/>
  <c r="CV31" i="28"/>
  <c r="CV31" i="28" a="1"/>
  <c r="CY30" i="28"/>
  <c r="CY30" i="28" a="1"/>
  <c r="CX30" i="28"/>
  <c r="CX30" i="28" a="1"/>
  <c r="CW30" i="28"/>
  <c r="CW30" i="28" a="1"/>
  <c r="CV30" i="28"/>
  <c r="CV30" i="28" a="1"/>
  <c r="CY29" i="28"/>
  <c r="CY29" i="28" a="1"/>
  <c r="CX29" i="28"/>
  <c r="CX29" i="28" a="1"/>
  <c r="CW29" i="28"/>
  <c r="CW29" i="28" a="1"/>
  <c r="CV29" i="28"/>
  <c r="CV29" i="28" a="1"/>
  <c r="CY28" i="28"/>
  <c r="CY28" i="28" a="1"/>
  <c r="CX28" i="28"/>
  <c r="CX28" i="28" a="1"/>
  <c r="CW28" i="28"/>
  <c r="CW28" i="28" a="1"/>
  <c r="CV28" i="28"/>
  <c r="CV28" i="28" a="1"/>
  <c r="CY27" i="28"/>
  <c r="CY27" i="28" a="1"/>
  <c r="CX27" i="28"/>
  <c r="CX27" i="28" a="1"/>
  <c r="CW27" i="28"/>
  <c r="CW27" i="28" a="1"/>
  <c r="CV27" i="28"/>
  <c r="CV27" i="28" a="1"/>
  <c r="CY26" i="28"/>
  <c r="CY26" i="28" a="1"/>
  <c r="CX26" i="28"/>
  <c r="CX26" i="28" a="1"/>
  <c r="CW26" i="28"/>
  <c r="CW26" i="28" a="1"/>
  <c r="CV26" i="28"/>
  <c r="CV26" i="28" a="1"/>
  <c r="CY25" i="28"/>
  <c r="CY25" i="28" a="1"/>
  <c r="CX25" i="28"/>
  <c r="CX25" i="28" a="1"/>
  <c r="CW25" i="28"/>
  <c r="CW25" i="28" a="1"/>
  <c r="CV25" i="28"/>
  <c r="CV25" i="28" a="1"/>
  <c r="CY24" i="28"/>
  <c r="CY24" i="28" a="1"/>
  <c r="CX24" i="28"/>
  <c r="CX24" i="28" a="1"/>
  <c r="CW24" i="28"/>
  <c r="CW24" i="28" a="1"/>
  <c r="CV24" i="28"/>
  <c r="CV24" i="28" a="1"/>
  <c r="CY23" i="28"/>
  <c r="CY23" i="28" a="1"/>
  <c r="CX23" i="28"/>
  <c r="CX23" i="28" a="1"/>
  <c r="CW23" i="28"/>
  <c r="CW23" i="28" a="1"/>
  <c r="CV23" i="28"/>
  <c r="CV23" i="28" a="1"/>
  <c r="CY22" i="28"/>
  <c r="CY22" i="28" a="1"/>
  <c r="CX22" i="28"/>
  <c r="CX22" i="28" a="1"/>
  <c r="CW22" i="28"/>
  <c r="CW22" i="28" a="1"/>
  <c r="CV22" i="28"/>
  <c r="CV22" i="28" a="1"/>
  <c r="CY21" i="28"/>
  <c r="CY21" i="28" a="1"/>
  <c r="CX21" i="28"/>
  <c r="CX21" i="28" a="1"/>
  <c r="CW21" i="28"/>
  <c r="CW21" i="28" a="1"/>
  <c r="CV21" i="28"/>
  <c r="CV21" i="28" a="1"/>
  <c r="CY20" i="28"/>
  <c r="CY20" i="28" a="1"/>
  <c r="CX20" i="28"/>
  <c r="CX20" i="28" a="1"/>
  <c r="CW20" i="28"/>
  <c r="CW20" i="28" a="1"/>
  <c r="CV20" i="28"/>
  <c r="CV20" i="28" a="1"/>
  <c r="CY19" i="28"/>
  <c r="CY19" i="28" a="1"/>
  <c r="CX19" i="28"/>
  <c r="CX19" i="28" a="1"/>
  <c r="CW19" i="28"/>
  <c r="CW19" i="28" a="1"/>
  <c r="CV19" i="28"/>
  <c r="CV19" i="28" a="1"/>
  <c r="CY18" i="28"/>
  <c r="CY18" i="28" a="1"/>
  <c r="CX18" i="28"/>
  <c r="CX18" i="28" a="1"/>
  <c r="CW18" i="28"/>
  <c r="CW18" i="28" a="1"/>
  <c r="CV18" i="28"/>
  <c r="CV18" i="28" a="1"/>
  <c r="CY17" i="28"/>
  <c r="CY17" i="28" a="1"/>
  <c r="CX17" i="28"/>
  <c r="CX17" i="28" a="1"/>
  <c r="CW17" i="28"/>
  <c r="CW17" i="28" a="1"/>
  <c r="CV17" i="28"/>
  <c r="CV17" i="28" a="1"/>
  <c r="CY16" i="28"/>
  <c r="CY16" i="28" a="1"/>
  <c r="CX16" i="28"/>
  <c r="CX16" i="28" a="1"/>
  <c r="CW16" i="28"/>
  <c r="CW16" i="28" a="1"/>
  <c r="CV16" i="28"/>
  <c r="CV16" i="28" a="1"/>
  <c r="CY15" i="28"/>
  <c r="CY15" i="28" a="1"/>
  <c r="CX15" i="28"/>
  <c r="CX15" i="28" a="1"/>
  <c r="CW15" i="28"/>
  <c r="CW15" i="28" a="1"/>
  <c r="CV15" i="28"/>
  <c r="CV15" i="28" a="1"/>
  <c r="CY14" i="28"/>
  <c r="CY14" i="28" a="1"/>
  <c r="CX14" i="28"/>
  <c r="CX14" i="28" a="1"/>
  <c r="CW14" i="28"/>
  <c r="CW14" i="28" a="1"/>
  <c r="CV14" i="28"/>
  <c r="CV14" i="28" a="1"/>
  <c r="CY13" i="28"/>
  <c r="CY13" i="28" a="1"/>
  <c r="CX13" i="28"/>
  <c r="CX13" i="28" a="1"/>
  <c r="CW13" i="28"/>
  <c r="CW13" i="28" a="1"/>
  <c r="CV13" i="28"/>
  <c r="CV13" i="28" a="1"/>
  <c r="CY12" i="28"/>
  <c r="CY12" i="28" a="1"/>
  <c r="CX12" i="28"/>
  <c r="CX12" i="28" a="1"/>
  <c r="CW12" i="28"/>
  <c r="CW12" i="28" a="1"/>
  <c r="CV12" i="28"/>
  <c r="CV12" i="28" a="1"/>
  <c r="CY11" i="28"/>
  <c r="CY11" i="28" a="1"/>
  <c r="CX11" i="28"/>
  <c r="CX11" i="28" a="1"/>
  <c r="CW11" i="28"/>
  <c r="CW11" i="28" a="1"/>
  <c r="CV11" i="28"/>
  <c r="CV11" i="28" a="1"/>
  <c r="CU122" i="28" a="1"/>
  <c r="CU122" i="28" s="1"/>
  <c r="CU121" i="28"/>
  <c r="CU121" i="28" a="1"/>
  <c r="CU120" i="28"/>
  <c r="CU120" i="28" a="1"/>
  <c r="CU119" i="28" a="1"/>
  <c r="CU119" i="28" s="1"/>
  <c r="CU118" i="28" a="1"/>
  <c r="CU118" i="28" s="1"/>
  <c r="CU117" i="28"/>
  <c r="CU117" i="28" a="1"/>
  <c r="CU116" i="28"/>
  <c r="CU116" i="28" a="1"/>
  <c r="CU115" i="28" a="1"/>
  <c r="CU115" i="28" s="1"/>
  <c r="CU114" i="28" a="1"/>
  <c r="CU114" i="28" s="1"/>
  <c r="CU113" i="28" a="1"/>
  <c r="CU113" i="28" s="1"/>
  <c r="CU112" i="28"/>
  <c r="CU112" i="28" a="1"/>
  <c r="CU111" i="28" a="1"/>
  <c r="CU111" i="28" s="1"/>
  <c r="CU110" i="28" a="1"/>
  <c r="CU110" i="28" s="1"/>
  <c r="CU109" i="28" a="1"/>
  <c r="CU109" i="28" s="1"/>
  <c r="CU108" i="28"/>
  <c r="CU108" i="28" a="1"/>
  <c r="CU107" i="28" a="1"/>
  <c r="CU107" i="28" s="1"/>
  <c r="CU106" i="28" a="1"/>
  <c r="CU106" i="28" s="1"/>
  <c r="CU105" i="28" a="1"/>
  <c r="CU105" i="28" s="1"/>
  <c r="CU104" i="28"/>
  <c r="CU104" i="28" a="1"/>
  <c r="CU103" i="28" a="1"/>
  <c r="CU103" i="28" s="1"/>
  <c r="CU102" i="28" a="1"/>
  <c r="CU102" i="28" s="1"/>
  <c r="CU101" i="28" a="1"/>
  <c r="CU101" i="28" s="1"/>
  <c r="CU100" i="28"/>
  <c r="CU100" i="28" a="1"/>
  <c r="CU99" i="28" a="1"/>
  <c r="CU99" i="28" s="1"/>
  <c r="CU98" i="28" a="1"/>
  <c r="CU98" i="28" s="1"/>
  <c r="CU97" i="28" a="1"/>
  <c r="CU97" i="28" s="1"/>
  <c r="CU96" i="28"/>
  <c r="CU96" i="28" a="1"/>
  <c r="CU95" i="28" a="1"/>
  <c r="CU95" i="28" s="1"/>
  <c r="CU94" i="28" a="1"/>
  <c r="CU94" i="28" s="1"/>
  <c r="CU93" i="28" a="1"/>
  <c r="CU93" i="28" s="1"/>
  <c r="CU92" i="28"/>
  <c r="CU92" i="28" a="1"/>
  <c r="CU91" i="28" a="1"/>
  <c r="CU91" i="28" s="1"/>
  <c r="CU90" i="28" a="1"/>
  <c r="CU90" i="28" s="1"/>
  <c r="CU89" i="28" a="1"/>
  <c r="CU89" i="28" s="1"/>
  <c r="CU88" i="28"/>
  <c r="CU88" i="28" a="1"/>
  <c r="CU87" i="28" a="1"/>
  <c r="CU87" i="28" s="1"/>
  <c r="CU86" i="28" a="1"/>
  <c r="CU86" i="28" s="1"/>
  <c r="CU85" i="28" a="1"/>
  <c r="CU85" i="28" s="1"/>
  <c r="CU84" i="28"/>
  <c r="CU84" i="28" a="1"/>
  <c r="CU83" i="28" a="1"/>
  <c r="CU83" i="28" s="1"/>
  <c r="CU82" i="28" a="1"/>
  <c r="CU82" i="28" s="1"/>
  <c r="CU81" i="28" a="1"/>
  <c r="CU81" i="28" s="1"/>
  <c r="CU80" i="28"/>
  <c r="CU80" i="28" a="1"/>
  <c r="CU79" i="28" a="1"/>
  <c r="CU79" i="28" s="1"/>
  <c r="CU78" i="28" a="1"/>
  <c r="CU78" i="28" s="1"/>
  <c r="CU77" i="28" a="1"/>
  <c r="CU77" i="28" s="1"/>
  <c r="CU76" i="28"/>
  <c r="CU76" i="28" a="1"/>
  <c r="CU75" i="28" a="1"/>
  <c r="CU75" i="28" s="1"/>
  <c r="CU74" i="28" a="1"/>
  <c r="CU74" i="28" s="1"/>
  <c r="CU73" i="28" a="1"/>
  <c r="CU73" i="28" s="1"/>
  <c r="CU72" i="28"/>
  <c r="CU72" i="28" a="1"/>
  <c r="CU71" i="28" a="1"/>
  <c r="CU71" i="28" s="1"/>
  <c r="CU70" i="28" a="1"/>
  <c r="CU70" i="28" s="1"/>
  <c r="CU69" i="28" a="1"/>
  <c r="CU69" i="28" s="1"/>
  <c r="CU68" i="28"/>
  <c r="CU68" i="28" a="1"/>
  <c r="CU67" i="28" a="1"/>
  <c r="CU67" i="28" s="1"/>
  <c r="CU66" i="28" a="1"/>
  <c r="CU66" i="28" s="1"/>
  <c r="CU65" i="28" a="1"/>
  <c r="CU65" i="28" s="1"/>
  <c r="CU64" i="28"/>
  <c r="CU64" i="28" a="1"/>
  <c r="CU63" i="28" a="1"/>
  <c r="CU63" i="28" s="1"/>
  <c r="CU62" i="28" a="1"/>
  <c r="CU62" i="28" s="1"/>
  <c r="CU61" i="28" a="1"/>
  <c r="CU61" i="28" s="1"/>
  <c r="CU60" i="28"/>
  <c r="CU60" i="28" a="1"/>
  <c r="CU59" i="28" a="1"/>
  <c r="CU59" i="28" s="1"/>
  <c r="CU58" i="28" a="1"/>
  <c r="CU58" i="28" s="1"/>
  <c r="CU57" i="28" a="1"/>
  <c r="CU57" i="28" s="1"/>
  <c r="CU56" i="28"/>
  <c r="CU56" i="28" a="1"/>
  <c r="CU55" i="28" a="1"/>
  <c r="CU55" i="28" s="1"/>
  <c r="CU54" i="28" a="1"/>
  <c r="CU54" i="28" s="1"/>
  <c r="CU53" i="28" a="1"/>
  <c r="CU53" i="28" s="1"/>
  <c r="CU52" i="28"/>
  <c r="CU52" i="28" a="1"/>
  <c r="CU51" i="28" a="1"/>
  <c r="CU51" i="28" s="1"/>
  <c r="CU50" i="28" a="1"/>
  <c r="CU50" i="28" s="1"/>
  <c r="CU49" i="28" a="1"/>
  <c r="CU49" i="28" s="1"/>
  <c r="CU48" i="28"/>
  <c r="CU48" i="28" a="1"/>
  <c r="CU47" i="28" a="1"/>
  <c r="CU47" i="28" s="1"/>
  <c r="CU46" i="28" a="1"/>
  <c r="CU46" i="28" s="1"/>
  <c r="CU45" i="28" a="1"/>
  <c r="CU45" i="28" s="1"/>
  <c r="CU44" i="28"/>
  <c r="CU44" i="28" a="1"/>
  <c r="CU43" i="28" a="1"/>
  <c r="CU43" i="28" s="1"/>
  <c r="CU42" i="28" a="1"/>
  <c r="CU42" i="28" s="1"/>
  <c r="CU41" i="28" a="1"/>
  <c r="CU41" i="28" s="1"/>
  <c r="CU40" i="28"/>
  <c r="CU40" i="28" a="1"/>
  <c r="CU39" i="28" a="1"/>
  <c r="CU39" i="28" s="1"/>
  <c r="CU38" i="28" a="1"/>
  <c r="CU38" i="28" s="1"/>
  <c r="CU37" i="28" a="1"/>
  <c r="CU37" i="28" s="1"/>
  <c r="CU36" i="28"/>
  <c r="CU36" i="28" a="1"/>
  <c r="CU35" i="28" a="1"/>
  <c r="CU35" i="28" s="1"/>
  <c r="CU34" i="28" a="1"/>
  <c r="CU34" i="28" s="1"/>
  <c r="CU33" i="28" a="1"/>
  <c r="CU33" i="28" s="1"/>
  <c r="CU32" i="28"/>
  <c r="CU32" i="28" a="1"/>
  <c r="CU31" i="28" a="1"/>
  <c r="CU31" i="28" s="1"/>
  <c r="CU30" i="28" a="1"/>
  <c r="CU30" i="28" s="1"/>
  <c r="CU29" i="28" a="1"/>
  <c r="CU29" i="28" s="1"/>
  <c r="CU28" i="28"/>
  <c r="CU28" i="28" a="1"/>
  <c r="CU27" i="28" a="1"/>
  <c r="CU27" i="28" s="1"/>
  <c r="CU26" i="28" a="1"/>
  <c r="CU26" i="28" s="1"/>
  <c r="CU25" i="28" a="1"/>
  <c r="CU25" i="28" s="1"/>
  <c r="CU24" i="28"/>
  <c r="CU24" i="28" a="1"/>
  <c r="CU23" i="28" a="1"/>
  <c r="CU23" i="28" s="1"/>
  <c r="CU22" i="28" a="1"/>
  <c r="CU22" i="28" s="1"/>
  <c r="CU21" i="28" a="1"/>
  <c r="CU21" i="28" s="1"/>
  <c r="CU20" i="28"/>
  <c r="CU20" i="28" a="1"/>
  <c r="CU19" i="28" a="1"/>
  <c r="CU19" i="28" s="1"/>
  <c r="CU18" i="28" a="1"/>
  <c r="CU18" i="28" s="1"/>
  <c r="CU17" i="28" a="1"/>
  <c r="CU17" i="28" s="1"/>
  <c r="CU16" i="28"/>
  <c r="CU16" i="28" a="1"/>
  <c r="CU15" i="28" a="1"/>
  <c r="CU15" i="28" s="1"/>
  <c r="CU14" i="28" a="1"/>
  <c r="CU14" i="28" s="1"/>
  <c r="CU13" i="28" a="1"/>
  <c r="CU13" i="28" s="1"/>
  <c r="CU12" i="28"/>
  <c r="CU12" i="28" a="1"/>
  <c r="CU11" i="28" a="1"/>
  <c r="CU11" i="28" s="1"/>
  <c r="CM122" i="28" a="1"/>
  <c r="CM122" i="28" s="1"/>
  <c r="CL122" i="28" a="1"/>
  <c r="CL122" i="28" s="1"/>
  <c r="CK122" i="28"/>
  <c r="CK122" i="28" a="1"/>
  <c r="CJ122" i="28"/>
  <c r="CJ122" i="28" a="1"/>
  <c r="CM121" i="28" a="1"/>
  <c r="CM121" i="28" s="1"/>
  <c r="CL121" i="28" a="1"/>
  <c r="CL121" i="28" s="1"/>
  <c r="CK121" i="28"/>
  <c r="CK121" i="28" a="1"/>
  <c r="CJ121" i="28" a="1"/>
  <c r="CJ121" i="28" s="1"/>
  <c r="CM120" i="28" a="1"/>
  <c r="CM120" i="28" s="1"/>
  <c r="CL120" i="28" a="1"/>
  <c r="CL120" i="28" s="1"/>
  <c r="CK120" i="28" a="1"/>
  <c r="CK120" i="28" s="1"/>
  <c r="CJ120" i="28" a="1"/>
  <c r="CJ120" i="28" s="1"/>
  <c r="CM119" i="28" a="1"/>
  <c r="CM119" i="28" s="1"/>
  <c r="CL119" i="28" a="1"/>
  <c r="CL119" i="28" s="1"/>
  <c r="CK119" i="28"/>
  <c r="CK119" i="28" a="1"/>
  <c r="CJ119" i="28" a="1"/>
  <c r="CJ119" i="28" s="1"/>
  <c r="CM118" i="28" a="1"/>
  <c r="CM118" i="28" s="1"/>
  <c r="CL118" i="28" a="1"/>
  <c r="CL118" i="28" s="1"/>
  <c r="CK118" i="28" a="1"/>
  <c r="CK118" i="28" s="1"/>
  <c r="CJ118" i="28"/>
  <c r="CJ118" i="28" a="1"/>
  <c r="CM117" i="28" a="1"/>
  <c r="CM117" i="28" s="1"/>
  <c r="CL117" i="28" a="1"/>
  <c r="CL117" i="28" s="1"/>
  <c r="CK117" i="28" a="1"/>
  <c r="CK117" i="28" s="1"/>
  <c r="CJ117" i="28" a="1"/>
  <c r="CJ117" i="28" s="1"/>
  <c r="CM116" i="28" a="1"/>
  <c r="CM116" i="28" s="1"/>
  <c r="CL116" i="28" a="1"/>
  <c r="CL116" i="28" s="1"/>
  <c r="CK116" i="28" a="1"/>
  <c r="CK116" i="28" s="1"/>
  <c r="CJ116" i="28" a="1"/>
  <c r="CJ116" i="28" s="1"/>
  <c r="CM115" i="28" a="1"/>
  <c r="CM115" i="28" s="1"/>
  <c r="CL115" i="28" a="1"/>
  <c r="CL115" i="28" s="1"/>
  <c r="CK115" i="28"/>
  <c r="CK115" i="28" a="1"/>
  <c r="CJ115" i="28" a="1"/>
  <c r="CJ115" i="28" s="1"/>
  <c r="CM114" i="28" a="1"/>
  <c r="CM114" i="28" s="1"/>
  <c r="CL114" i="28" a="1"/>
  <c r="CL114" i="28" s="1"/>
  <c r="CK114" i="28" a="1"/>
  <c r="CK114" i="28" s="1"/>
  <c r="CJ114" i="28"/>
  <c r="CJ114" i="28" a="1"/>
  <c r="CM113" i="28" a="1"/>
  <c r="CM113" i="28" s="1"/>
  <c r="CL113" i="28" a="1"/>
  <c r="CL113" i="28" s="1"/>
  <c r="CK113" i="28" a="1"/>
  <c r="CK113" i="28" s="1"/>
  <c r="CJ113" i="28" a="1"/>
  <c r="CJ113" i="28" s="1"/>
  <c r="CM112" i="28" a="1"/>
  <c r="CM112" i="28" s="1"/>
  <c r="CL112" i="28" a="1"/>
  <c r="CL112" i="28" s="1"/>
  <c r="CK112" i="28" a="1"/>
  <c r="CK112" i="28" s="1"/>
  <c r="CJ112" i="28" a="1"/>
  <c r="CJ112" i="28" s="1"/>
  <c r="CM111" i="28" a="1"/>
  <c r="CM111" i="28" s="1"/>
  <c r="CL111" i="28" a="1"/>
  <c r="CL111" i="28" s="1"/>
  <c r="CK111" i="28"/>
  <c r="CK111" i="28" a="1"/>
  <c r="CJ111" i="28" a="1"/>
  <c r="CJ111" i="28" s="1"/>
  <c r="CM110" i="28" a="1"/>
  <c r="CM110" i="28" s="1"/>
  <c r="CL110" i="28" a="1"/>
  <c r="CL110" i="28" s="1"/>
  <c r="CK110" i="28" a="1"/>
  <c r="CK110" i="28" s="1"/>
  <c r="CJ110" i="28"/>
  <c r="CJ110" i="28" a="1"/>
  <c r="CM109" i="28" a="1"/>
  <c r="CM109" i="28" s="1"/>
  <c r="CL109" i="28" a="1"/>
  <c r="CL109" i="28" s="1"/>
  <c r="CK109" i="28" a="1"/>
  <c r="CK109" i="28" s="1"/>
  <c r="CJ109" i="28" a="1"/>
  <c r="CJ109" i="28" s="1"/>
  <c r="CM108" i="28" a="1"/>
  <c r="CM108" i="28" s="1"/>
  <c r="CL108" i="28" a="1"/>
  <c r="CL108" i="28" s="1"/>
  <c r="CK108" i="28" a="1"/>
  <c r="CK108" i="28" s="1"/>
  <c r="CJ108" i="28" a="1"/>
  <c r="CJ108" i="28" s="1"/>
  <c r="CM107" i="28" a="1"/>
  <c r="CM107" i="28" s="1"/>
  <c r="CL107" i="28" a="1"/>
  <c r="CL107" i="28" s="1"/>
  <c r="CK107" i="28"/>
  <c r="CK107" i="28" a="1"/>
  <c r="CJ107" i="28" a="1"/>
  <c r="CJ107" i="28" s="1"/>
  <c r="CM106" i="28" a="1"/>
  <c r="CM106" i="28" s="1"/>
  <c r="CL106" i="28" a="1"/>
  <c r="CL106" i="28" s="1"/>
  <c r="CK106" i="28" a="1"/>
  <c r="CK106" i="28" s="1"/>
  <c r="CJ106" i="28"/>
  <c r="CJ106" i="28" a="1"/>
  <c r="CM105" i="28" a="1"/>
  <c r="CM105" i="28" s="1"/>
  <c r="CL105" i="28" a="1"/>
  <c r="CL105" i="28" s="1"/>
  <c r="CK105" i="28" a="1"/>
  <c r="CK105" i="28" s="1"/>
  <c r="CJ105" i="28" a="1"/>
  <c r="CJ105" i="28" s="1"/>
  <c r="CM104" i="28" a="1"/>
  <c r="CM104" i="28" s="1"/>
  <c r="CL104" i="28" a="1"/>
  <c r="CL104" i="28" s="1"/>
  <c r="CK104" i="28" a="1"/>
  <c r="CK104" i="28" s="1"/>
  <c r="CJ104" i="28" a="1"/>
  <c r="CJ104" i="28" s="1"/>
  <c r="CM103" i="28" a="1"/>
  <c r="CM103" i="28" s="1"/>
  <c r="CL103" i="28" a="1"/>
  <c r="CL103" i="28" s="1"/>
  <c r="CK103" i="28"/>
  <c r="CK103" i="28" a="1"/>
  <c r="CJ103" i="28" a="1"/>
  <c r="CJ103" i="28" s="1"/>
  <c r="CM102" i="28" a="1"/>
  <c r="CM102" i="28" s="1"/>
  <c r="CL102" i="28" a="1"/>
  <c r="CL102" i="28" s="1"/>
  <c r="CK102" i="28" a="1"/>
  <c r="CK102" i="28" s="1"/>
  <c r="CJ102" i="28"/>
  <c r="CJ102" i="28" a="1"/>
  <c r="CM101" i="28" a="1"/>
  <c r="CM101" i="28" s="1"/>
  <c r="CL101" i="28" a="1"/>
  <c r="CL101" i="28" s="1"/>
  <c r="CK101" i="28" a="1"/>
  <c r="CK101" i="28" s="1"/>
  <c r="CJ101" i="28" a="1"/>
  <c r="CJ101" i="28" s="1"/>
  <c r="CM100" i="28" a="1"/>
  <c r="CM100" i="28" s="1"/>
  <c r="CL100" i="28" a="1"/>
  <c r="CL100" i="28" s="1"/>
  <c r="CK100" i="28" a="1"/>
  <c r="CK100" i="28" s="1"/>
  <c r="CJ100" i="28" a="1"/>
  <c r="CJ100" i="28" s="1"/>
  <c r="CM99" i="28" a="1"/>
  <c r="CM99" i="28" s="1"/>
  <c r="CL99" i="28" a="1"/>
  <c r="CL99" i="28" s="1"/>
  <c r="CK99" i="28"/>
  <c r="CK99" i="28" a="1"/>
  <c r="CJ99" i="28" a="1"/>
  <c r="CJ99" i="28" s="1"/>
  <c r="CM98" i="28" a="1"/>
  <c r="CM98" i="28" s="1"/>
  <c r="CL98" i="28" a="1"/>
  <c r="CL98" i="28" s="1"/>
  <c r="CK98" i="28" a="1"/>
  <c r="CK98" i="28" s="1"/>
  <c r="CJ98" i="28"/>
  <c r="CJ98" i="28" a="1"/>
  <c r="CM97" i="28" a="1"/>
  <c r="CM97" i="28" s="1"/>
  <c r="CL97" i="28" a="1"/>
  <c r="CL97" i="28" s="1"/>
  <c r="CK97" i="28" a="1"/>
  <c r="CK97" i="28" s="1"/>
  <c r="CJ97" i="28" a="1"/>
  <c r="CJ97" i="28" s="1"/>
  <c r="CM96" i="28" a="1"/>
  <c r="CM96" i="28" s="1"/>
  <c r="CL96" i="28" a="1"/>
  <c r="CL96" i="28" s="1"/>
  <c r="CK96" i="28" a="1"/>
  <c r="CK96" i="28" s="1"/>
  <c r="CJ96" i="28" a="1"/>
  <c r="CJ96" i="28" s="1"/>
  <c r="CM95" i="28" a="1"/>
  <c r="CM95" i="28" s="1"/>
  <c r="CL95" i="28" a="1"/>
  <c r="CL95" i="28" s="1"/>
  <c r="CK95" i="28"/>
  <c r="CK95" i="28" a="1"/>
  <c r="CJ95" i="28" a="1"/>
  <c r="CJ95" i="28" s="1"/>
  <c r="CM94" i="28" a="1"/>
  <c r="CM94" i="28" s="1"/>
  <c r="CL94" i="28" a="1"/>
  <c r="CL94" i="28" s="1"/>
  <c r="CK94" i="28" a="1"/>
  <c r="CK94" i="28" s="1"/>
  <c r="CJ94" i="28"/>
  <c r="CJ94" i="28" a="1"/>
  <c r="CM93" i="28" a="1"/>
  <c r="CM93" i="28" s="1"/>
  <c r="CL93" i="28" a="1"/>
  <c r="CL93" i="28" s="1"/>
  <c r="CK93" i="28" a="1"/>
  <c r="CK93" i="28" s="1"/>
  <c r="CJ93" i="28" a="1"/>
  <c r="CJ93" i="28" s="1"/>
  <c r="CM92" i="28" a="1"/>
  <c r="CM92" i="28" s="1"/>
  <c r="CL92" i="28" a="1"/>
  <c r="CL92" i="28" s="1"/>
  <c r="CK92" i="28" a="1"/>
  <c r="CK92" i="28" s="1"/>
  <c r="CJ92" i="28" a="1"/>
  <c r="CJ92" i="28" s="1"/>
  <c r="CM91" i="28" a="1"/>
  <c r="CM91" i="28" s="1"/>
  <c r="CL91" i="28" a="1"/>
  <c r="CL91" i="28" s="1"/>
  <c r="CK91" i="28"/>
  <c r="CK91" i="28" a="1"/>
  <c r="CJ91" i="28" a="1"/>
  <c r="CJ91" i="28" s="1"/>
  <c r="CM90" i="28" a="1"/>
  <c r="CM90" i="28" s="1"/>
  <c r="CL90" i="28" a="1"/>
  <c r="CL90" i="28" s="1"/>
  <c r="CK90" i="28" a="1"/>
  <c r="CK90" i="28" s="1"/>
  <c r="CJ90" i="28"/>
  <c r="CJ90" i="28" a="1"/>
  <c r="CM89" i="28" a="1"/>
  <c r="CM89" i="28" s="1"/>
  <c r="CL89" i="28" a="1"/>
  <c r="CL89" i="28" s="1"/>
  <c r="CK89" i="28" a="1"/>
  <c r="CK89" i="28" s="1"/>
  <c r="CJ89" i="28" a="1"/>
  <c r="CJ89" i="28" s="1"/>
  <c r="CM88" i="28" a="1"/>
  <c r="CM88" i="28" s="1"/>
  <c r="CL88" i="28" a="1"/>
  <c r="CL88" i="28" s="1"/>
  <c r="CK88" i="28" a="1"/>
  <c r="CK88" i="28" s="1"/>
  <c r="CJ88" i="28" a="1"/>
  <c r="CJ88" i="28" s="1"/>
  <c r="CM87" i="28" a="1"/>
  <c r="CM87" i="28" s="1"/>
  <c r="CL87" i="28" a="1"/>
  <c r="CL87" i="28" s="1"/>
  <c r="CK87" i="28"/>
  <c r="CK87" i="28" a="1"/>
  <c r="CJ87" i="28" a="1"/>
  <c r="CJ87" i="28" s="1"/>
  <c r="CM86" i="28" a="1"/>
  <c r="CM86" i="28" s="1"/>
  <c r="CL86" i="28" a="1"/>
  <c r="CL86" i="28" s="1"/>
  <c r="CK86" i="28" a="1"/>
  <c r="CK86" i="28" s="1"/>
  <c r="CJ86" i="28"/>
  <c r="CJ86" i="28" a="1"/>
  <c r="CM85" i="28" a="1"/>
  <c r="CM85" i="28" s="1"/>
  <c r="CL85" i="28" a="1"/>
  <c r="CL85" i="28" s="1"/>
  <c r="CK85" i="28" a="1"/>
  <c r="CK85" i="28" s="1"/>
  <c r="CJ85" i="28" a="1"/>
  <c r="CJ85" i="28" s="1"/>
  <c r="CM84" i="28" a="1"/>
  <c r="CM84" i="28" s="1"/>
  <c r="CL84" i="28" a="1"/>
  <c r="CL84" i="28" s="1"/>
  <c r="CK84" i="28" a="1"/>
  <c r="CK84" i="28" s="1"/>
  <c r="CJ84" i="28" a="1"/>
  <c r="CJ84" i="28" s="1"/>
  <c r="CM83" i="28" a="1"/>
  <c r="CM83" i="28" s="1"/>
  <c r="CL83" i="28" a="1"/>
  <c r="CL83" i="28" s="1"/>
  <c r="CK83" i="28"/>
  <c r="CK83" i="28" a="1"/>
  <c r="CJ83" i="28" a="1"/>
  <c r="CJ83" i="28" s="1"/>
  <c r="CM82" i="28" a="1"/>
  <c r="CM82" i="28" s="1"/>
  <c r="CL82" i="28" a="1"/>
  <c r="CL82" i="28" s="1"/>
  <c r="CK82" i="28" a="1"/>
  <c r="CK82" i="28" s="1"/>
  <c r="CJ82" i="28"/>
  <c r="CJ82" i="28" a="1"/>
  <c r="CM81" i="28" a="1"/>
  <c r="CM81" i="28" s="1"/>
  <c r="CL81" i="28" a="1"/>
  <c r="CL81" i="28" s="1"/>
  <c r="CK81" i="28" a="1"/>
  <c r="CK81" i="28" s="1"/>
  <c r="CJ81" i="28" a="1"/>
  <c r="CJ81" i="28" s="1"/>
  <c r="CM80" i="28" a="1"/>
  <c r="CM80" i="28" s="1"/>
  <c r="CL80" i="28" a="1"/>
  <c r="CL80" i="28" s="1"/>
  <c r="CK80" i="28" a="1"/>
  <c r="CK80" i="28" s="1"/>
  <c r="CJ80" i="28" a="1"/>
  <c r="CJ80" i="28" s="1"/>
  <c r="CM79" i="28" a="1"/>
  <c r="CM79" i="28" s="1"/>
  <c r="CL79" i="28" a="1"/>
  <c r="CL79" i="28" s="1"/>
  <c r="CK79" i="28"/>
  <c r="CK79" i="28" a="1"/>
  <c r="CJ79" i="28" a="1"/>
  <c r="CJ79" i="28" s="1"/>
  <c r="CM78" i="28" a="1"/>
  <c r="CM78" i="28" s="1"/>
  <c r="CL78" i="28" a="1"/>
  <c r="CL78" i="28" s="1"/>
  <c r="CK78" i="28" a="1"/>
  <c r="CK78" i="28" s="1"/>
  <c r="CJ78" i="28"/>
  <c r="CJ78" i="28" a="1"/>
  <c r="CM77" i="28" a="1"/>
  <c r="CM77" i="28" s="1"/>
  <c r="CL77" i="28" a="1"/>
  <c r="CL77" i="28" s="1"/>
  <c r="CK77" i="28" a="1"/>
  <c r="CK77" i="28" s="1"/>
  <c r="CJ77" i="28" a="1"/>
  <c r="CJ77" i="28" s="1"/>
  <c r="CM76" i="28" a="1"/>
  <c r="CM76" i="28" s="1"/>
  <c r="CL76" i="28" a="1"/>
  <c r="CL76" i="28" s="1"/>
  <c r="CK76" i="28" a="1"/>
  <c r="CK76" i="28" s="1"/>
  <c r="CJ76" i="28" a="1"/>
  <c r="CJ76" i="28" s="1"/>
  <c r="CM75" i="28" a="1"/>
  <c r="CM75" i="28" s="1"/>
  <c r="CL75" i="28" a="1"/>
  <c r="CL75" i="28" s="1"/>
  <c r="CK75" i="28"/>
  <c r="CK75" i="28" a="1"/>
  <c r="CJ75" i="28" a="1"/>
  <c r="CJ75" i="28" s="1"/>
  <c r="CM74" i="28" a="1"/>
  <c r="CM74" i="28" s="1"/>
  <c r="CL74" i="28" a="1"/>
  <c r="CL74" i="28" s="1"/>
  <c r="CK74" i="28" a="1"/>
  <c r="CK74" i="28" s="1"/>
  <c r="CJ74" i="28"/>
  <c r="CJ74" i="28" a="1"/>
  <c r="CM73" i="28" a="1"/>
  <c r="CM73" i="28" s="1"/>
  <c r="CL73" i="28" a="1"/>
  <c r="CL73" i="28" s="1"/>
  <c r="CK73" i="28" a="1"/>
  <c r="CK73" i="28" s="1"/>
  <c r="CJ73" i="28" a="1"/>
  <c r="CJ73" i="28" s="1"/>
  <c r="CM72" i="28" a="1"/>
  <c r="CM72" i="28" s="1"/>
  <c r="CL72" i="28" a="1"/>
  <c r="CL72" i="28" s="1"/>
  <c r="CK72" i="28" a="1"/>
  <c r="CK72" i="28" s="1"/>
  <c r="CJ72" i="28" a="1"/>
  <c r="CJ72" i="28" s="1"/>
  <c r="CM71" i="28" a="1"/>
  <c r="CM71" i="28" s="1"/>
  <c r="CL71" i="28" a="1"/>
  <c r="CL71" i="28" s="1"/>
  <c r="CK71" i="28"/>
  <c r="CK71" i="28" a="1"/>
  <c r="CJ71" i="28" a="1"/>
  <c r="CJ71" i="28" s="1"/>
  <c r="CM70" i="28" a="1"/>
  <c r="CM70" i="28" s="1"/>
  <c r="CL70" i="28" a="1"/>
  <c r="CL70" i="28" s="1"/>
  <c r="CK70" i="28" a="1"/>
  <c r="CK70" i="28" s="1"/>
  <c r="CJ70" i="28"/>
  <c r="CJ70" i="28" a="1"/>
  <c r="CM69" i="28" a="1"/>
  <c r="CM69" i="28" s="1"/>
  <c r="CL69" i="28" a="1"/>
  <c r="CL69" i="28" s="1"/>
  <c r="CK69" i="28" a="1"/>
  <c r="CK69" i="28" s="1"/>
  <c r="CJ69" i="28" a="1"/>
  <c r="CJ69" i="28" s="1"/>
  <c r="CM68" i="28" a="1"/>
  <c r="CM68" i="28" s="1"/>
  <c r="CL68" i="28" a="1"/>
  <c r="CL68" i="28" s="1"/>
  <c r="CK68" i="28" a="1"/>
  <c r="CK68" i="28" s="1"/>
  <c r="CJ68" i="28" a="1"/>
  <c r="CJ68" i="28" s="1"/>
  <c r="CM67" i="28" a="1"/>
  <c r="CM67" i="28" s="1"/>
  <c r="CL67" i="28" a="1"/>
  <c r="CL67" i="28" s="1"/>
  <c r="CK67" i="28"/>
  <c r="CK67" i="28" a="1"/>
  <c r="CJ67" i="28" a="1"/>
  <c r="CJ67" i="28" s="1"/>
  <c r="CM66" i="28" a="1"/>
  <c r="CM66" i="28" s="1"/>
  <c r="CL66" i="28" a="1"/>
  <c r="CL66" i="28" s="1"/>
  <c r="CK66" i="28" a="1"/>
  <c r="CK66" i="28" s="1"/>
  <c r="CJ66" i="28"/>
  <c r="CJ66" i="28" a="1"/>
  <c r="CM65" i="28" a="1"/>
  <c r="CM65" i="28" s="1"/>
  <c r="CL65" i="28" a="1"/>
  <c r="CL65" i="28" s="1"/>
  <c r="CK65" i="28" a="1"/>
  <c r="CK65" i="28" s="1"/>
  <c r="CJ65" i="28" a="1"/>
  <c r="CJ65" i="28" s="1"/>
  <c r="CM64" i="28" a="1"/>
  <c r="CM64" i="28" s="1"/>
  <c r="CL64" i="28" a="1"/>
  <c r="CL64" i="28" s="1"/>
  <c r="CK64" i="28" a="1"/>
  <c r="CK64" i="28" s="1"/>
  <c r="CJ64" i="28" a="1"/>
  <c r="CJ64" i="28" s="1"/>
  <c r="CM63" i="28" a="1"/>
  <c r="CM63" i="28" s="1"/>
  <c r="CL63" i="28" a="1"/>
  <c r="CL63" i="28" s="1"/>
  <c r="CK63" i="28"/>
  <c r="CK63" i="28" a="1"/>
  <c r="CJ63" i="28" a="1"/>
  <c r="CJ63" i="28" s="1"/>
  <c r="CM62" i="28" a="1"/>
  <c r="CM62" i="28" s="1"/>
  <c r="CL62" i="28" a="1"/>
  <c r="CL62" i="28" s="1"/>
  <c r="CK62" i="28" a="1"/>
  <c r="CK62" i="28" s="1"/>
  <c r="CJ62" i="28"/>
  <c r="CJ62" i="28" a="1"/>
  <c r="CM61" i="28" a="1"/>
  <c r="CM61" i="28" s="1"/>
  <c r="CL61" i="28" a="1"/>
  <c r="CL61" i="28" s="1"/>
  <c r="CK61" i="28" a="1"/>
  <c r="CK61" i="28" s="1"/>
  <c r="CJ61" i="28" a="1"/>
  <c r="CJ61" i="28" s="1"/>
  <c r="CM60" i="28" a="1"/>
  <c r="CM60" i="28" s="1"/>
  <c r="CL60" i="28" a="1"/>
  <c r="CL60" i="28" s="1"/>
  <c r="CK60" i="28" a="1"/>
  <c r="CK60" i="28" s="1"/>
  <c r="CJ60" i="28" a="1"/>
  <c r="CJ60" i="28" s="1"/>
  <c r="CM59" i="28" a="1"/>
  <c r="CM59" i="28" s="1"/>
  <c r="CL59" i="28" a="1"/>
  <c r="CL59" i="28" s="1"/>
  <c r="CK59" i="28"/>
  <c r="CK59" i="28" a="1"/>
  <c r="CJ59" i="28" a="1"/>
  <c r="CJ59" i="28" s="1"/>
  <c r="CM58" i="28" a="1"/>
  <c r="CM58" i="28" s="1"/>
  <c r="CL58" i="28" a="1"/>
  <c r="CL58" i="28" s="1"/>
  <c r="CK58" i="28" a="1"/>
  <c r="CK58" i="28" s="1"/>
  <c r="CJ58" i="28"/>
  <c r="CJ58" i="28" a="1"/>
  <c r="CM57" i="28" a="1"/>
  <c r="CM57" i="28" s="1"/>
  <c r="CL57" i="28" a="1"/>
  <c r="CL57" i="28" s="1"/>
  <c r="CK57" i="28" a="1"/>
  <c r="CK57" i="28" s="1"/>
  <c r="CJ57" i="28" a="1"/>
  <c r="CJ57" i="28" s="1"/>
  <c r="CM56" i="28" a="1"/>
  <c r="CM56" i="28" s="1"/>
  <c r="CL56" i="28" a="1"/>
  <c r="CL56" i="28" s="1"/>
  <c r="CK56" i="28" a="1"/>
  <c r="CK56" i="28" s="1"/>
  <c r="CJ56" i="28" a="1"/>
  <c r="CJ56" i="28" s="1"/>
  <c r="CM55" i="28" a="1"/>
  <c r="CM55" i="28" s="1"/>
  <c r="CL55" i="28" a="1"/>
  <c r="CL55" i="28" s="1"/>
  <c r="CK55" i="28"/>
  <c r="CK55" i="28" a="1"/>
  <c r="CJ55" i="28" a="1"/>
  <c r="CJ55" i="28" s="1"/>
  <c r="CM54" i="28" a="1"/>
  <c r="CM54" i="28" s="1"/>
  <c r="CL54" i="28" a="1"/>
  <c r="CL54" i="28" s="1"/>
  <c r="CK54" i="28" a="1"/>
  <c r="CK54" i="28" s="1"/>
  <c r="CJ54" i="28"/>
  <c r="CJ54" i="28" a="1"/>
  <c r="CM53" i="28" a="1"/>
  <c r="CM53" i="28" s="1"/>
  <c r="CL53" i="28" a="1"/>
  <c r="CL53" i="28" s="1"/>
  <c r="CK53" i="28" a="1"/>
  <c r="CK53" i="28" s="1"/>
  <c r="CJ53" i="28" a="1"/>
  <c r="CJ53" i="28" s="1"/>
  <c r="CM52" i="28" a="1"/>
  <c r="CM52" i="28" s="1"/>
  <c r="CL52" i="28" a="1"/>
  <c r="CL52" i="28" s="1"/>
  <c r="CK52" i="28" a="1"/>
  <c r="CK52" i="28" s="1"/>
  <c r="CJ52" i="28" a="1"/>
  <c r="CJ52" i="28" s="1"/>
  <c r="CM51" i="28" a="1"/>
  <c r="CM51" i="28" s="1"/>
  <c r="CL51" i="28" a="1"/>
  <c r="CL51" i="28" s="1"/>
  <c r="CK51" i="28"/>
  <c r="CK51" i="28" a="1"/>
  <c r="CJ51" i="28" a="1"/>
  <c r="CJ51" i="28" s="1"/>
  <c r="CM50" i="28" a="1"/>
  <c r="CM50" i="28" s="1"/>
  <c r="CL50" i="28" a="1"/>
  <c r="CL50" i="28" s="1"/>
  <c r="CK50" i="28" a="1"/>
  <c r="CK50" i="28" s="1"/>
  <c r="CJ50" i="28"/>
  <c r="CJ50" i="28" a="1"/>
  <c r="CM49" i="28" a="1"/>
  <c r="CM49" i="28" s="1"/>
  <c r="CL49" i="28" a="1"/>
  <c r="CL49" i="28" s="1"/>
  <c r="CK49" i="28" a="1"/>
  <c r="CK49" i="28" s="1"/>
  <c r="CJ49" i="28" a="1"/>
  <c r="CJ49" i="28" s="1"/>
  <c r="CM48" i="28" a="1"/>
  <c r="CM48" i="28" s="1"/>
  <c r="CL48" i="28" a="1"/>
  <c r="CL48" i="28" s="1"/>
  <c r="CK48" i="28" a="1"/>
  <c r="CK48" i="28" s="1"/>
  <c r="CJ48" i="28" a="1"/>
  <c r="CJ48" i="28" s="1"/>
  <c r="CM47" i="28" a="1"/>
  <c r="CM47" i="28" s="1"/>
  <c r="CL47" i="28" a="1"/>
  <c r="CL47" i="28" s="1"/>
  <c r="CK47" i="28"/>
  <c r="CK47" i="28" a="1"/>
  <c r="CJ47" i="28" a="1"/>
  <c r="CJ47" i="28" s="1"/>
  <c r="CM46" i="28" a="1"/>
  <c r="CM46" i="28" s="1"/>
  <c r="CL46" i="28" a="1"/>
  <c r="CL46" i="28" s="1"/>
  <c r="CK46" i="28" a="1"/>
  <c r="CK46" i="28" s="1"/>
  <c r="CJ46" i="28"/>
  <c r="CJ46" i="28" a="1"/>
  <c r="CM45" i="28" a="1"/>
  <c r="CM45" i="28" s="1"/>
  <c r="CL45" i="28" a="1"/>
  <c r="CL45" i="28" s="1"/>
  <c r="CK45" i="28" a="1"/>
  <c r="CK45" i="28" s="1"/>
  <c r="CJ45" i="28" a="1"/>
  <c r="CJ45" i="28" s="1"/>
  <c r="CM44" i="28" a="1"/>
  <c r="CM44" i="28" s="1"/>
  <c r="CL44" i="28" a="1"/>
  <c r="CL44" i="28" s="1"/>
  <c r="CK44" i="28" a="1"/>
  <c r="CK44" i="28" s="1"/>
  <c r="CJ44" i="28" a="1"/>
  <c r="CJ44" i="28" s="1"/>
  <c r="CM43" i="28" a="1"/>
  <c r="CM43" i="28" s="1"/>
  <c r="CL43" i="28" a="1"/>
  <c r="CL43" i="28" s="1"/>
  <c r="CK43" i="28"/>
  <c r="CK43" i="28" a="1"/>
  <c r="CJ43" i="28" a="1"/>
  <c r="CJ43" i="28" s="1"/>
  <c r="CM42" i="28" a="1"/>
  <c r="CM42" i="28" s="1"/>
  <c r="CL42" i="28" a="1"/>
  <c r="CL42" i="28" s="1"/>
  <c r="CK42" i="28" a="1"/>
  <c r="CK42" i="28" s="1"/>
  <c r="CJ42" i="28"/>
  <c r="CJ42" i="28" a="1"/>
  <c r="CM41" i="28" a="1"/>
  <c r="CM41" i="28" s="1"/>
  <c r="CL41" i="28" a="1"/>
  <c r="CL41" i="28" s="1"/>
  <c r="CK41" i="28" a="1"/>
  <c r="CK41" i="28" s="1"/>
  <c r="CJ41" i="28" a="1"/>
  <c r="CJ41" i="28" s="1"/>
  <c r="CM40" i="28" a="1"/>
  <c r="CM40" i="28" s="1"/>
  <c r="CL40" i="28" a="1"/>
  <c r="CL40" i="28" s="1"/>
  <c r="CK40" i="28" a="1"/>
  <c r="CK40" i="28" s="1"/>
  <c r="CJ40" i="28" a="1"/>
  <c r="CJ40" i="28" s="1"/>
  <c r="CM39" i="28" a="1"/>
  <c r="CM39" i="28" s="1"/>
  <c r="CL39" i="28" a="1"/>
  <c r="CL39" i="28" s="1"/>
  <c r="CK39" i="28"/>
  <c r="CK39" i="28" a="1"/>
  <c r="CJ39" i="28" a="1"/>
  <c r="CJ39" i="28" s="1"/>
  <c r="CM38" i="28" a="1"/>
  <c r="CM38" i="28" s="1"/>
  <c r="CL38" i="28" a="1"/>
  <c r="CL38" i="28" s="1"/>
  <c r="CK38" i="28" a="1"/>
  <c r="CK38" i="28" s="1"/>
  <c r="CJ38" i="28"/>
  <c r="CJ38" i="28" a="1"/>
  <c r="CM37" i="28" a="1"/>
  <c r="CM37" i="28" s="1"/>
  <c r="CL37" i="28" a="1"/>
  <c r="CL37" i="28" s="1"/>
  <c r="CK37" i="28" a="1"/>
  <c r="CK37" i="28" s="1"/>
  <c r="CJ37" i="28"/>
  <c r="CJ37" i="28" a="1"/>
  <c r="CM36" i="28" a="1"/>
  <c r="CM36" i="28" s="1"/>
  <c r="CL36" i="28" a="1"/>
  <c r="CL36" i="28" s="1"/>
  <c r="CK36" i="28" a="1"/>
  <c r="CK36" i="28" s="1"/>
  <c r="CJ36" i="28"/>
  <c r="CJ36" i="28" a="1"/>
  <c r="CM35" i="28" a="1"/>
  <c r="CM35" i="28" s="1"/>
  <c r="CL35" i="28" a="1"/>
  <c r="CL35" i="28" s="1"/>
  <c r="CK35" i="28" a="1"/>
  <c r="CK35" i="28" s="1"/>
  <c r="CJ35" i="28"/>
  <c r="CJ35" i="28" a="1"/>
  <c r="CM34" i="28" a="1"/>
  <c r="CM34" i="28" s="1"/>
  <c r="CL34" i="28" a="1"/>
  <c r="CL34" i="28" s="1"/>
  <c r="CK34" i="28" a="1"/>
  <c r="CK34" i="28" s="1"/>
  <c r="CJ34" i="28"/>
  <c r="CJ34" i="28" a="1"/>
  <c r="CM33" i="28" a="1"/>
  <c r="CM33" i="28" s="1"/>
  <c r="CL33" i="28" a="1"/>
  <c r="CL33" i="28" s="1"/>
  <c r="CK33" i="28" a="1"/>
  <c r="CK33" i="28" s="1"/>
  <c r="CJ33" i="28"/>
  <c r="CJ33" i="28" a="1"/>
  <c r="CM32" i="28" a="1"/>
  <c r="CM32" i="28" s="1"/>
  <c r="CL32" i="28" a="1"/>
  <c r="CL32" i="28" s="1"/>
  <c r="CK32" i="28" a="1"/>
  <c r="CK32" i="28" s="1"/>
  <c r="CJ32" i="28"/>
  <c r="CJ32" i="28" a="1"/>
  <c r="CM31" i="28" a="1"/>
  <c r="CM31" i="28" s="1"/>
  <c r="CL31" i="28" a="1"/>
  <c r="CL31" i="28" s="1"/>
  <c r="CK31" i="28" a="1"/>
  <c r="CK31" i="28" s="1"/>
  <c r="CJ31" i="28"/>
  <c r="CJ31" i="28" a="1"/>
  <c r="CM30" i="28" a="1"/>
  <c r="CM30" i="28" s="1"/>
  <c r="CL30" i="28" a="1"/>
  <c r="CL30" i="28" s="1"/>
  <c r="CK30" i="28" a="1"/>
  <c r="CK30" i="28" s="1"/>
  <c r="CJ30" i="28"/>
  <c r="CJ30" i="28" a="1"/>
  <c r="CM29" i="28" a="1"/>
  <c r="CM29" i="28" s="1"/>
  <c r="CL29" i="28" a="1"/>
  <c r="CL29" i="28" s="1"/>
  <c r="CK29" i="28" a="1"/>
  <c r="CK29" i="28" s="1"/>
  <c r="CJ29" i="28"/>
  <c r="CJ29" i="28" a="1"/>
  <c r="CM28" i="28" a="1"/>
  <c r="CM28" i="28" s="1"/>
  <c r="CL28" i="28" a="1"/>
  <c r="CL28" i="28" s="1"/>
  <c r="CK28" i="28" a="1"/>
  <c r="CK28" i="28" s="1"/>
  <c r="CJ28" i="28"/>
  <c r="CJ28" i="28" a="1"/>
  <c r="CM27" i="28" a="1"/>
  <c r="CM27" i="28" s="1"/>
  <c r="CL27" i="28" a="1"/>
  <c r="CL27" i="28" s="1"/>
  <c r="CK27" i="28" a="1"/>
  <c r="CK27" i="28" s="1"/>
  <c r="CJ27" i="28"/>
  <c r="CJ27" i="28" a="1"/>
  <c r="CM26" i="28" a="1"/>
  <c r="CM26" i="28" s="1"/>
  <c r="CL26" i="28" a="1"/>
  <c r="CL26" i="28" s="1"/>
  <c r="CK26" i="28" a="1"/>
  <c r="CK26" i="28" s="1"/>
  <c r="CJ26" i="28"/>
  <c r="CJ26" i="28" a="1"/>
  <c r="CM25" i="28" a="1"/>
  <c r="CM25" i="28" s="1"/>
  <c r="CL25" i="28" a="1"/>
  <c r="CL25" i="28" s="1"/>
  <c r="CK25" i="28" a="1"/>
  <c r="CK25" i="28" s="1"/>
  <c r="CJ25" i="28"/>
  <c r="CJ25" i="28" a="1"/>
  <c r="CM24" i="28" a="1"/>
  <c r="CM24" i="28" s="1"/>
  <c r="CL24" i="28" a="1"/>
  <c r="CL24" i="28" s="1"/>
  <c r="CK24" i="28" a="1"/>
  <c r="CK24" i="28" s="1"/>
  <c r="CJ24" i="28"/>
  <c r="CJ24" i="28" a="1"/>
  <c r="CM23" i="28" a="1"/>
  <c r="CM23" i="28" s="1"/>
  <c r="CL23" i="28" a="1"/>
  <c r="CL23" i="28" s="1"/>
  <c r="CK23" i="28" a="1"/>
  <c r="CK23" i="28" s="1"/>
  <c r="CJ23" i="28"/>
  <c r="CJ23" i="28" a="1"/>
  <c r="CM22" i="28" a="1"/>
  <c r="CM22" i="28" s="1"/>
  <c r="CL22" i="28" a="1"/>
  <c r="CL22" i="28" s="1"/>
  <c r="CK22" i="28" a="1"/>
  <c r="CK22" i="28" s="1"/>
  <c r="CJ22" i="28"/>
  <c r="CJ22" i="28" a="1"/>
  <c r="CM21" i="28" a="1"/>
  <c r="CM21" i="28" s="1"/>
  <c r="CL21" i="28" a="1"/>
  <c r="CL21" i="28" s="1"/>
  <c r="CK21" i="28" a="1"/>
  <c r="CK21" i="28" s="1"/>
  <c r="CJ21" i="28"/>
  <c r="CJ21" i="28" a="1"/>
  <c r="CM20" i="28" a="1"/>
  <c r="CM20" i="28" s="1"/>
  <c r="CL20" i="28" a="1"/>
  <c r="CL20" i="28" s="1"/>
  <c r="CK20" i="28" a="1"/>
  <c r="CK20" i="28" s="1"/>
  <c r="CJ20" i="28"/>
  <c r="CJ20" i="28" a="1"/>
  <c r="CM19" i="28" a="1"/>
  <c r="CM19" i="28" s="1"/>
  <c r="CL19" i="28" a="1"/>
  <c r="CL19" i="28" s="1"/>
  <c r="CK19" i="28" a="1"/>
  <c r="CK19" i="28" s="1"/>
  <c r="CJ19" i="28"/>
  <c r="CJ19" i="28" a="1"/>
  <c r="CM18" i="28" a="1"/>
  <c r="CM18" i="28" s="1"/>
  <c r="CL18" i="28" a="1"/>
  <c r="CL18" i="28" s="1"/>
  <c r="CK18" i="28" a="1"/>
  <c r="CK18" i="28" s="1"/>
  <c r="CJ18" i="28"/>
  <c r="CJ18" i="28" a="1"/>
  <c r="CM17" i="28" a="1"/>
  <c r="CM17" i="28" s="1"/>
  <c r="CL17" i="28" a="1"/>
  <c r="CL17" i="28" s="1"/>
  <c r="CK17" i="28" a="1"/>
  <c r="CK17" i="28" s="1"/>
  <c r="CJ17" i="28"/>
  <c r="CJ17" i="28" a="1"/>
  <c r="CM16" i="28" a="1"/>
  <c r="CM16" i="28" s="1"/>
  <c r="CL16" i="28" a="1"/>
  <c r="CL16" i="28" s="1"/>
  <c r="CK16" i="28" a="1"/>
  <c r="CK16" i="28" s="1"/>
  <c r="CJ16" i="28"/>
  <c r="CJ16" i="28" a="1"/>
  <c r="CM15" i="28" a="1"/>
  <c r="CM15" i="28" s="1"/>
  <c r="CL15" i="28" a="1"/>
  <c r="CL15" i="28" s="1"/>
  <c r="CK15" i="28" a="1"/>
  <c r="CK15" i="28" s="1"/>
  <c r="CJ15" i="28"/>
  <c r="CJ15" i="28" a="1"/>
  <c r="CM14" i="28" a="1"/>
  <c r="CM14" i="28" s="1"/>
  <c r="CL14" i="28" a="1"/>
  <c r="CL14" i="28" s="1"/>
  <c r="CK14" i="28" a="1"/>
  <c r="CK14" i="28" s="1"/>
  <c r="CJ14" i="28"/>
  <c r="CJ14" i="28" a="1"/>
  <c r="CM13" i="28" a="1"/>
  <c r="CM13" i="28" s="1"/>
  <c r="CL13" i="28" a="1"/>
  <c r="CL13" i="28" s="1"/>
  <c r="CK13" i="28" a="1"/>
  <c r="CK13" i="28" s="1"/>
  <c r="CJ13" i="28"/>
  <c r="CJ13" i="28" a="1"/>
  <c r="CM12" i="28" a="1"/>
  <c r="CM12" i="28" s="1"/>
  <c r="CL12" i="28" a="1"/>
  <c r="CL12" i="28" s="1"/>
  <c r="CK12" i="28" a="1"/>
  <c r="CK12" i="28" s="1"/>
  <c r="CJ12" i="28"/>
  <c r="CJ12" i="28" a="1"/>
  <c r="CM11" i="28" a="1"/>
  <c r="CM11" i="28" s="1"/>
  <c r="CL11" i="28" a="1"/>
  <c r="CL11" i="28" s="1"/>
  <c r="CK11" i="28" a="1"/>
  <c r="CK11" i="28" s="1"/>
  <c r="CJ11" i="28"/>
  <c r="CJ11" i="28" a="1"/>
  <c r="CI122" i="28" a="1"/>
  <c r="CI122" i="28" s="1"/>
  <c r="CI121" i="28" a="1"/>
  <c r="CI121" i="28" s="1"/>
  <c r="CI120" i="28"/>
  <c r="CI120" i="28" a="1"/>
  <c r="CI119" i="28" a="1"/>
  <c r="CI119" i="28" s="1"/>
  <c r="CI118" i="28" a="1"/>
  <c r="CI118" i="28" s="1"/>
  <c r="CI117" i="28" a="1"/>
  <c r="CI117" i="28" s="1"/>
  <c r="CI116" i="28"/>
  <c r="CI116" i="28" a="1"/>
  <c r="CI115" i="28" a="1"/>
  <c r="CI115" i="28" s="1"/>
  <c r="CI114" i="28" a="1"/>
  <c r="CI114" i="28" s="1"/>
  <c r="CI113" i="28" a="1"/>
  <c r="CI113" i="28" s="1"/>
  <c r="CI112" i="28"/>
  <c r="CI112" i="28" a="1"/>
  <c r="CI111" i="28" a="1"/>
  <c r="CI111" i="28" s="1"/>
  <c r="CI110" i="28" a="1"/>
  <c r="CI110" i="28" s="1"/>
  <c r="CI109" i="28" a="1"/>
  <c r="CI109" i="28" s="1"/>
  <c r="CI108" i="28"/>
  <c r="CI108" i="28" a="1"/>
  <c r="CI107" i="28" a="1"/>
  <c r="CI107" i="28" s="1"/>
  <c r="CI106" i="28" a="1"/>
  <c r="CI106" i="28" s="1"/>
  <c r="CI105" i="28" a="1"/>
  <c r="CI105" i="28" s="1"/>
  <c r="CI104" i="28"/>
  <c r="CI104" i="28" a="1"/>
  <c r="CI103" i="28" a="1"/>
  <c r="CI103" i="28" s="1"/>
  <c r="CI102" i="28" a="1"/>
  <c r="CI102" i="28" s="1"/>
  <c r="CI101" i="28" a="1"/>
  <c r="CI101" i="28" s="1"/>
  <c r="CI100" i="28"/>
  <c r="CI100" i="28" a="1"/>
  <c r="CI99" i="28" a="1"/>
  <c r="CI99" i="28" s="1"/>
  <c r="CI98" i="28" a="1"/>
  <c r="CI98" i="28" s="1"/>
  <c r="CI97" i="28" a="1"/>
  <c r="CI97" i="28" s="1"/>
  <c r="CI96" i="28"/>
  <c r="CI96" i="28" a="1"/>
  <c r="CI95" i="28" a="1"/>
  <c r="CI95" i="28" s="1"/>
  <c r="CI94" i="28" a="1"/>
  <c r="CI94" i="28" s="1"/>
  <c r="CI93" i="28" a="1"/>
  <c r="CI93" i="28" s="1"/>
  <c r="CI92" i="28"/>
  <c r="CI92" i="28" a="1"/>
  <c r="CI91" i="28" a="1"/>
  <c r="CI91" i="28" s="1"/>
  <c r="CI90" i="28" a="1"/>
  <c r="CI90" i="28" s="1"/>
  <c r="CI89" i="28" a="1"/>
  <c r="CI89" i="28" s="1"/>
  <c r="CI88" i="28"/>
  <c r="CI88" i="28" a="1"/>
  <c r="CI87" i="28" a="1"/>
  <c r="CI87" i="28" s="1"/>
  <c r="CI86" i="28" a="1"/>
  <c r="CI86" i="28" s="1"/>
  <c r="CI85" i="28" a="1"/>
  <c r="CI85" i="28" s="1"/>
  <c r="CI84" i="28"/>
  <c r="CI84" i="28" a="1"/>
  <c r="CI83" i="28" a="1"/>
  <c r="CI83" i="28" s="1"/>
  <c r="CI82" i="28" a="1"/>
  <c r="CI82" i="28" s="1"/>
  <c r="CI81" i="28" a="1"/>
  <c r="CI81" i="28" s="1"/>
  <c r="CI80" i="28"/>
  <c r="CI80" i="28" a="1"/>
  <c r="CI79" i="28" a="1"/>
  <c r="CI79" i="28" s="1"/>
  <c r="CI78" i="28" a="1"/>
  <c r="CI78" i="28" s="1"/>
  <c r="CI77" i="28" a="1"/>
  <c r="CI77" i="28" s="1"/>
  <c r="CI76" i="28"/>
  <c r="CI76" i="28" a="1"/>
  <c r="CI75" i="28" a="1"/>
  <c r="CI75" i="28" s="1"/>
  <c r="CI74" i="28" a="1"/>
  <c r="CI74" i="28" s="1"/>
  <c r="CI73" i="28" a="1"/>
  <c r="CI73" i="28" s="1"/>
  <c r="CI72" i="28"/>
  <c r="CI72" i="28" a="1"/>
  <c r="CI71" i="28" a="1"/>
  <c r="CI71" i="28" s="1"/>
  <c r="CI70" i="28" a="1"/>
  <c r="CI70" i="28" s="1"/>
  <c r="CI69" i="28" a="1"/>
  <c r="CI69" i="28" s="1"/>
  <c r="CI68" i="28"/>
  <c r="CI68" i="28" a="1"/>
  <c r="CI67" i="28" a="1"/>
  <c r="CI67" i="28" s="1"/>
  <c r="CI66" i="28" a="1"/>
  <c r="CI66" i="28" s="1"/>
  <c r="CI65" i="28" a="1"/>
  <c r="CI65" i="28" s="1"/>
  <c r="CI64" i="28"/>
  <c r="CI64" i="28" a="1"/>
  <c r="CI63" i="28" a="1"/>
  <c r="CI63" i="28" s="1"/>
  <c r="CI62" i="28" a="1"/>
  <c r="CI62" i="28" s="1"/>
  <c r="CI61" i="28" a="1"/>
  <c r="CI61" i="28" s="1"/>
  <c r="CI60" i="28"/>
  <c r="CI60" i="28" a="1"/>
  <c r="CI59" i="28" a="1"/>
  <c r="CI59" i="28" s="1"/>
  <c r="CI58" i="28" a="1"/>
  <c r="CI58" i="28" s="1"/>
  <c r="CI57" i="28" a="1"/>
  <c r="CI57" i="28" s="1"/>
  <c r="CI56" i="28"/>
  <c r="CI56" i="28" a="1"/>
  <c r="CI55" i="28" a="1"/>
  <c r="CI55" i="28" s="1"/>
  <c r="CI54" i="28" a="1"/>
  <c r="CI54" i="28" s="1"/>
  <c r="CI53" i="28" a="1"/>
  <c r="CI53" i="28" s="1"/>
  <c r="CI52" i="28"/>
  <c r="CI52" i="28" a="1"/>
  <c r="CI51" i="28" a="1"/>
  <c r="CI51" i="28" s="1"/>
  <c r="CI50" i="28" a="1"/>
  <c r="CI50" i="28" s="1"/>
  <c r="CI49" i="28" a="1"/>
  <c r="CI49" i="28" s="1"/>
  <c r="CI48" i="28"/>
  <c r="CI48" i="28" a="1"/>
  <c r="CI47" i="28" a="1"/>
  <c r="CI47" i="28" s="1"/>
  <c r="CI46" i="28" a="1"/>
  <c r="CI46" i="28" s="1"/>
  <c r="CI45" i="28" a="1"/>
  <c r="CI45" i="28" s="1"/>
  <c r="CI44" i="28"/>
  <c r="CI44" i="28" a="1"/>
  <c r="CI43" i="28" a="1"/>
  <c r="CI43" i="28" s="1"/>
  <c r="CI42" i="28" a="1"/>
  <c r="CI42" i="28" s="1"/>
  <c r="CI41" i="28" a="1"/>
  <c r="CI41" i="28" s="1"/>
  <c r="CI40" i="28"/>
  <c r="CI40" i="28" a="1"/>
  <c r="CI39" i="28" a="1"/>
  <c r="CI39" i="28" s="1"/>
  <c r="CI38" i="28" a="1"/>
  <c r="CI38" i="28" s="1"/>
  <c r="CI37" i="28" a="1"/>
  <c r="CI37" i="28" s="1"/>
  <c r="CI36" i="28"/>
  <c r="CI36" i="28" a="1"/>
  <c r="CI35" i="28" a="1"/>
  <c r="CI35" i="28" s="1"/>
  <c r="CI34" i="28" a="1"/>
  <c r="CI34" i="28" s="1"/>
  <c r="CI33" i="28" a="1"/>
  <c r="CI33" i="28" s="1"/>
  <c r="CI32" i="28"/>
  <c r="CI32" i="28" a="1"/>
  <c r="CI31" i="28" a="1"/>
  <c r="CI31" i="28" s="1"/>
  <c r="CI30" i="28" a="1"/>
  <c r="CI30" i="28" s="1"/>
  <c r="CI29" i="28" a="1"/>
  <c r="CI29" i="28" s="1"/>
  <c r="CI28" i="28"/>
  <c r="CI28" i="28" a="1"/>
  <c r="CI27" i="28" a="1"/>
  <c r="CI27" i="28" s="1"/>
  <c r="CI26" i="28" a="1"/>
  <c r="CI26" i="28" s="1"/>
  <c r="CI25" i="28" a="1"/>
  <c r="CI25" i="28" s="1"/>
  <c r="CI24" i="28"/>
  <c r="CI24" i="28" a="1"/>
  <c r="CI23" i="28" a="1"/>
  <c r="CI23" i="28" s="1"/>
  <c r="CI22" i="28" a="1"/>
  <c r="CI22" i="28" s="1"/>
  <c r="CI21" i="28" a="1"/>
  <c r="CI21" i="28" s="1"/>
  <c r="CI20" i="28"/>
  <c r="CI20" i="28" a="1"/>
  <c r="CI19" i="28" a="1"/>
  <c r="CI19" i="28" s="1"/>
  <c r="CI18" i="28" a="1"/>
  <c r="CI18" i="28" s="1"/>
  <c r="CI17" i="28" a="1"/>
  <c r="CI17" i="28" s="1"/>
  <c r="CI16" i="28"/>
  <c r="CI16" i="28" a="1"/>
  <c r="CI15" i="28" a="1"/>
  <c r="CI15" i="28" s="1"/>
  <c r="CI14" i="28" a="1"/>
  <c r="CI14" i="28" s="1"/>
  <c r="CI13" i="28" a="1"/>
  <c r="CI13" i="28" s="1"/>
  <c r="CI12" i="28"/>
  <c r="CI12" i="28" a="1"/>
  <c r="CI11" i="28" a="1"/>
  <c r="CI11" i="28" s="1"/>
  <c r="CA122" i="28" a="1"/>
  <c r="CA122" i="28" s="1"/>
  <c r="BZ122" i="28" a="1"/>
  <c r="BZ122" i="28" s="1"/>
  <c r="BY122" i="28" a="1"/>
  <c r="BY122" i="28" s="1"/>
  <c r="BX122" i="28" a="1"/>
  <c r="BX122" i="28" s="1"/>
  <c r="CA121" i="28" a="1"/>
  <c r="CA121" i="28" s="1"/>
  <c r="BZ121" i="28" a="1"/>
  <c r="BZ121" i="28" s="1"/>
  <c r="BY121" i="28" a="1"/>
  <c r="BY121" i="28" s="1"/>
  <c r="BX121" i="28" a="1"/>
  <c r="BX121" i="28" s="1"/>
  <c r="CA120" i="28" a="1"/>
  <c r="CA120" i="28" s="1"/>
  <c r="BZ120" i="28" a="1"/>
  <c r="BZ120" i="28" s="1"/>
  <c r="BY120" i="28" a="1"/>
  <c r="BY120" i="28" s="1"/>
  <c r="BX120" i="28" a="1"/>
  <c r="BX120" i="28" s="1"/>
  <c r="CA119" i="28" a="1"/>
  <c r="CA119" i="28" s="1"/>
  <c r="BZ119" i="28" a="1"/>
  <c r="BZ119" i="28" s="1"/>
  <c r="BY119" i="28" a="1"/>
  <c r="BY119" i="28" s="1"/>
  <c r="BX119" i="28" a="1"/>
  <c r="BX119" i="28" s="1"/>
  <c r="CA118" i="28" a="1"/>
  <c r="CA118" i="28" s="1"/>
  <c r="BZ118" i="28" a="1"/>
  <c r="BZ118" i="28" s="1"/>
  <c r="BY118" i="28" a="1"/>
  <c r="BY118" i="28" s="1"/>
  <c r="BX118" i="28" a="1"/>
  <c r="BX118" i="28" s="1"/>
  <c r="CA117" i="28" a="1"/>
  <c r="CA117" i="28" s="1"/>
  <c r="BZ117" i="28" a="1"/>
  <c r="BZ117" i="28" s="1"/>
  <c r="BY117" i="28" a="1"/>
  <c r="BY117" i="28" s="1"/>
  <c r="BX117" i="28" a="1"/>
  <c r="BX117" i="28" s="1"/>
  <c r="CA116" i="28" a="1"/>
  <c r="CA116" i="28" s="1"/>
  <c r="BZ116" i="28" a="1"/>
  <c r="BZ116" i="28" s="1"/>
  <c r="BY116" i="28" a="1"/>
  <c r="BY116" i="28" s="1"/>
  <c r="BX116" i="28" a="1"/>
  <c r="BX116" i="28" s="1"/>
  <c r="CA115" i="28" a="1"/>
  <c r="CA115" i="28" s="1"/>
  <c r="BZ115" i="28" a="1"/>
  <c r="BZ115" i="28" s="1"/>
  <c r="BY115" i="28" a="1"/>
  <c r="BY115" i="28" s="1"/>
  <c r="BX115" i="28" a="1"/>
  <c r="BX115" i="28" s="1"/>
  <c r="CA114" i="28" a="1"/>
  <c r="CA114" i="28" s="1"/>
  <c r="BZ114" i="28" a="1"/>
  <c r="BZ114" i="28" s="1"/>
  <c r="BY114" i="28" a="1"/>
  <c r="BY114" i="28" s="1"/>
  <c r="BX114" i="28" a="1"/>
  <c r="BX114" i="28" s="1"/>
  <c r="CA113" i="28" a="1"/>
  <c r="CA113" i="28" s="1"/>
  <c r="BZ113" i="28" a="1"/>
  <c r="BZ113" i="28" s="1"/>
  <c r="BY113" i="28" a="1"/>
  <c r="BY113" i="28" s="1"/>
  <c r="BX113" i="28" a="1"/>
  <c r="BX113" i="28" s="1"/>
  <c r="CA112" i="28" a="1"/>
  <c r="CA112" i="28" s="1"/>
  <c r="BZ112" i="28" a="1"/>
  <c r="BZ112" i="28" s="1"/>
  <c r="BY112" i="28" a="1"/>
  <c r="BY112" i="28" s="1"/>
  <c r="BX112" i="28" a="1"/>
  <c r="BX112" i="28" s="1"/>
  <c r="CA111" i="28" a="1"/>
  <c r="CA111" i="28" s="1"/>
  <c r="BZ111" i="28" a="1"/>
  <c r="BZ111" i="28" s="1"/>
  <c r="BY111" i="28" a="1"/>
  <c r="BY111" i="28" s="1"/>
  <c r="BX111" i="28" a="1"/>
  <c r="BX111" i="28" s="1"/>
  <c r="CA110" i="28" a="1"/>
  <c r="CA110" i="28" s="1"/>
  <c r="BZ110" i="28" a="1"/>
  <c r="BZ110" i="28" s="1"/>
  <c r="BY110" i="28" a="1"/>
  <c r="BY110" i="28" s="1"/>
  <c r="BX110" i="28" a="1"/>
  <c r="BX110" i="28" s="1"/>
  <c r="CA109" i="28" a="1"/>
  <c r="CA109" i="28" s="1"/>
  <c r="BZ109" i="28" a="1"/>
  <c r="BZ109" i="28" s="1"/>
  <c r="BY109" i="28" a="1"/>
  <c r="BY109" i="28" s="1"/>
  <c r="BX109" i="28" a="1"/>
  <c r="BX109" i="28" s="1"/>
  <c r="CA108" i="28" a="1"/>
  <c r="CA108" i="28" s="1"/>
  <c r="BZ108" i="28" a="1"/>
  <c r="BZ108" i="28" s="1"/>
  <c r="BY108" i="28" a="1"/>
  <c r="BY108" i="28" s="1"/>
  <c r="BX108" i="28" a="1"/>
  <c r="BX108" i="28" s="1"/>
  <c r="CA107" i="28" a="1"/>
  <c r="CA107" i="28" s="1"/>
  <c r="BZ107" i="28" a="1"/>
  <c r="BZ107" i="28" s="1"/>
  <c r="BY107" i="28" a="1"/>
  <c r="BY107" i="28" s="1"/>
  <c r="BX107" i="28" a="1"/>
  <c r="BX107" i="28" s="1"/>
  <c r="CA106" i="28" a="1"/>
  <c r="CA106" i="28" s="1"/>
  <c r="BZ106" i="28" a="1"/>
  <c r="BZ106" i="28" s="1"/>
  <c r="BY106" i="28" a="1"/>
  <c r="BY106" i="28" s="1"/>
  <c r="BX106" i="28" a="1"/>
  <c r="BX106" i="28" s="1"/>
  <c r="CA105" i="28" a="1"/>
  <c r="CA105" i="28" s="1"/>
  <c r="BZ105" i="28" a="1"/>
  <c r="BZ105" i="28" s="1"/>
  <c r="BY105" i="28" a="1"/>
  <c r="BY105" i="28" s="1"/>
  <c r="BX105" i="28" a="1"/>
  <c r="BX105" i="28" s="1"/>
  <c r="CA104" i="28" a="1"/>
  <c r="CA104" i="28" s="1"/>
  <c r="BZ104" i="28" a="1"/>
  <c r="BZ104" i="28" s="1"/>
  <c r="BY104" i="28" a="1"/>
  <c r="BY104" i="28" s="1"/>
  <c r="BX104" i="28" a="1"/>
  <c r="BX104" i="28" s="1"/>
  <c r="CA103" i="28" a="1"/>
  <c r="CA103" i="28" s="1"/>
  <c r="BZ103" i="28" a="1"/>
  <c r="BZ103" i="28" s="1"/>
  <c r="BY103" i="28" a="1"/>
  <c r="BY103" i="28" s="1"/>
  <c r="BX103" i="28" a="1"/>
  <c r="BX103" i="28" s="1"/>
  <c r="CA102" i="28" a="1"/>
  <c r="CA102" i="28" s="1"/>
  <c r="BZ102" i="28" a="1"/>
  <c r="BZ102" i="28" s="1"/>
  <c r="BY102" i="28" a="1"/>
  <c r="BY102" i="28" s="1"/>
  <c r="BX102" i="28" a="1"/>
  <c r="BX102" i="28" s="1"/>
  <c r="CA101" i="28" a="1"/>
  <c r="CA101" i="28" s="1"/>
  <c r="BZ101" i="28" a="1"/>
  <c r="BZ101" i="28" s="1"/>
  <c r="BY101" i="28" a="1"/>
  <c r="BY101" i="28" s="1"/>
  <c r="BX101" i="28" a="1"/>
  <c r="BX101" i="28" s="1"/>
  <c r="CA100" i="28" a="1"/>
  <c r="CA100" i="28" s="1"/>
  <c r="BZ100" i="28" a="1"/>
  <c r="BZ100" i="28" s="1"/>
  <c r="BY100" i="28" a="1"/>
  <c r="BY100" i="28" s="1"/>
  <c r="BX100" i="28" a="1"/>
  <c r="BX100" i="28" s="1"/>
  <c r="CA99" i="28" a="1"/>
  <c r="CA99" i="28" s="1"/>
  <c r="BZ99" i="28" a="1"/>
  <c r="BZ99" i="28" s="1"/>
  <c r="BY99" i="28" a="1"/>
  <c r="BY99" i="28" s="1"/>
  <c r="BX99" i="28" a="1"/>
  <c r="BX99" i="28" s="1"/>
  <c r="CA98" i="28" a="1"/>
  <c r="CA98" i="28" s="1"/>
  <c r="BZ98" i="28" a="1"/>
  <c r="BZ98" i="28" s="1"/>
  <c r="BY98" i="28" a="1"/>
  <c r="BY98" i="28" s="1"/>
  <c r="BX98" i="28" a="1"/>
  <c r="BX98" i="28" s="1"/>
  <c r="CA97" i="28" a="1"/>
  <c r="CA97" i="28" s="1"/>
  <c r="BZ97" i="28" a="1"/>
  <c r="BZ97" i="28" s="1"/>
  <c r="BY97" i="28" a="1"/>
  <c r="BY97" i="28" s="1"/>
  <c r="BX97" i="28" a="1"/>
  <c r="BX97" i="28" s="1"/>
  <c r="CA96" i="28" a="1"/>
  <c r="CA96" i="28" s="1"/>
  <c r="BZ96" i="28" a="1"/>
  <c r="BZ96" i="28" s="1"/>
  <c r="BY96" i="28" a="1"/>
  <c r="BY96" i="28" s="1"/>
  <c r="BX96" i="28" a="1"/>
  <c r="BX96" i="28" s="1"/>
  <c r="CA95" i="28" a="1"/>
  <c r="CA95" i="28" s="1"/>
  <c r="BZ95" i="28" a="1"/>
  <c r="BZ95" i="28" s="1"/>
  <c r="BY95" i="28" a="1"/>
  <c r="BY95" i="28" s="1"/>
  <c r="BX95" i="28" a="1"/>
  <c r="BX95" i="28" s="1"/>
  <c r="CA94" i="28" a="1"/>
  <c r="CA94" i="28" s="1"/>
  <c r="BZ94" i="28" a="1"/>
  <c r="BZ94" i="28" s="1"/>
  <c r="BY94" i="28" a="1"/>
  <c r="BY94" i="28" s="1"/>
  <c r="BX94" i="28" a="1"/>
  <c r="BX94" i="28" s="1"/>
  <c r="CA93" i="28" a="1"/>
  <c r="CA93" i="28" s="1"/>
  <c r="BZ93" i="28" a="1"/>
  <c r="BZ93" i="28" s="1"/>
  <c r="BY93" i="28" a="1"/>
  <c r="BY93" i="28" s="1"/>
  <c r="BX93" i="28" a="1"/>
  <c r="BX93" i="28" s="1"/>
  <c r="CA92" i="28" a="1"/>
  <c r="CA92" i="28" s="1"/>
  <c r="BZ92" i="28" a="1"/>
  <c r="BZ92" i="28" s="1"/>
  <c r="BY92" i="28" a="1"/>
  <c r="BY92" i="28" s="1"/>
  <c r="BX92" i="28" a="1"/>
  <c r="BX92" i="28" s="1"/>
  <c r="CA91" i="28" a="1"/>
  <c r="CA91" i="28" s="1"/>
  <c r="BZ91" i="28" a="1"/>
  <c r="BZ91" i="28" s="1"/>
  <c r="BY91" i="28" a="1"/>
  <c r="BY91" i="28" s="1"/>
  <c r="BX91" i="28" a="1"/>
  <c r="BX91" i="28" s="1"/>
  <c r="CA90" i="28" a="1"/>
  <c r="CA90" i="28" s="1"/>
  <c r="BZ90" i="28" a="1"/>
  <c r="BZ90" i="28" s="1"/>
  <c r="BY90" i="28" a="1"/>
  <c r="BY90" i="28" s="1"/>
  <c r="BX90" i="28" a="1"/>
  <c r="BX90" i="28" s="1"/>
  <c r="CA89" i="28" a="1"/>
  <c r="CA89" i="28" s="1"/>
  <c r="BZ89" i="28" a="1"/>
  <c r="BZ89" i="28" s="1"/>
  <c r="BY89" i="28" a="1"/>
  <c r="BY89" i="28" s="1"/>
  <c r="BX89" i="28" a="1"/>
  <c r="BX89" i="28" s="1"/>
  <c r="CA88" i="28" a="1"/>
  <c r="CA88" i="28" s="1"/>
  <c r="BZ88" i="28" a="1"/>
  <c r="BZ88" i="28" s="1"/>
  <c r="BY88" i="28" a="1"/>
  <c r="BY88" i="28" s="1"/>
  <c r="BX88" i="28" a="1"/>
  <c r="BX88" i="28" s="1"/>
  <c r="CA87" i="28" a="1"/>
  <c r="CA87" i="28" s="1"/>
  <c r="BZ87" i="28" a="1"/>
  <c r="BZ87" i="28" s="1"/>
  <c r="BY87" i="28" a="1"/>
  <c r="BY87" i="28" s="1"/>
  <c r="BX87" i="28" a="1"/>
  <c r="BX87" i="28" s="1"/>
  <c r="CA86" i="28" a="1"/>
  <c r="CA86" i="28" s="1"/>
  <c r="BZ86" i="28" a="1"/>
  <c r="BZ86" i="28" s="1"/>
  <c r="BY86" i="28" a="1"/>
  <c r="BY86" i="28" s="1"/>
  <c r="BX86" i="28" a="1"/>
  <c r="BX86" i="28" s="1"/>
  <c r="CA85" i="28" a="1"/>
  <c r="CA85" i="28" s="1"/>
  <c r="BZ85" i="28" a="1"/>
  <c r="BZ85" i="28" s="1"/>
  <c r="BY85" i="28" a="1"/>
  <c r="BY85" i="28" s="1"/>
  <c r="BX85" i="28" a="1"/>
  <c r="BX85" i="28" s="1"/>
  <c r="CA84" i="28" a="1"/>
  <c r="CA84" i="28" s="1"/>
  <c r="BZ84" i="28" a="1"/>
  <c r="BZ84" i="28" s="1"/>
  <c r="BY84" i="28" a="1"/>
  <c r="BY84" i="28" s="1"/>
  <c r="BX84" i="28" a="1"/>
  <c r="BX84" i="28" s="1"/>
  <c r="CA83" i="28" a="1"/>
  <c r="CA83" i="28" s="1"/>
  <c r="BZ83" i="28" a="1"/>
  <c r="BZ83" i="28" s="1"/>
  <c r="BY83" i="28" a="1"/>
  <c r="BY83" i="28" s="1"/>
  <c r="BX83" i="28" a="1"/>
  <c r="BX83" i="28" s="1"/>
  <c r="CA82" i="28" a="1"/>
  <c r="CA82" i="28" s="1"/>
  <c r="BZ82" i="28" a="1"/>
  <c r="BZ82" i="28" s="1"/>
  <c r="BY82" i="28" a="1"/>
  <c r="BY82" i="28" s="1"/>
  <c r="BX82" i="28" a="1"/>
  <c r="BX82" i="28" s="1"/>
  <c r="CA81" i="28" a="1"/>
  <c r="CA81" i="28" s="1"/>
  <c r="BZ81" i="28" a="1"/>
  <c r="BZ81" i="28" s="1"/>
  <c r="BY81" i="28" a="1"/>
  <c r="BY81" i="28" s="1"/>
  <c r="BX81" i="28" a="1"/>
  <c r="BX81" i="28" s="1"/>
  <c r="CA80" i="28" a="1"/>
  <c r="CA80" i="28" s="1"/>
  <c r="BZ80" i="28" a="1"/>
  <c r="BZ80" i="28" s="1"/>
  <c r="BY80" i="28" a="1"/>
  <c r="BY80" i="28" s="1"/>
  <c r="BX80" i="28" a="1"/>
  <c r="BX80" i="28" s="1"/>
  <c r="CA79" i="28" a="1"/>
  <c r="CA79" i="28" s="1"/>
  <c r="BZ79" i="28" a="1"/>
  <c r="BZ79" i="28" s="1"/>
  <c r="BY79" i="28" a="1"/>
  <c r="BY79" i="28" s="1"/>
  <c r="BX79" i="28" a="1"/>
  <c r="BX79" i="28" s="1"/>
  <c r="CA78" i="28" a="1"/>
  <c r="CA78" i="28" s="1"/>
  <c r="BZ78" i="28" a="1"/>
  <c r="BZ78" i="28" s="1"/>
  <c r="BY78" i="28" a="1"/>
  <c r="BY78" i="28" s="1"/>
  <c r="BX78" i="28" a="1"/>
  <c r="BX78" i="28" s="1"/>
  <c r="CA77" i="28" a="1"/>
  <c r="CA77" i="28" s="1"/>
  <c r="BZ77" i="28" a="1"/>
  <c r="BZ77" i="28" s="1"/>
  <c r="BY77" i="28" a="1"/>
  <c r="BY77" i="28" s="1"/>
  <c r="BX77" i="28" a="1"/>
  <c r="BX77" i="28" s="1"/>
  <c r="CA76" i="28" a="1"/>
  <c r="CA76" i="28" s="1"/>
  <c r="BZ76" i="28" a="1"/>
  <c r="BZ76" i="28" s="1"/>
  <c r="BY76" i="28" a="1"/>
  <c r="BY76" i="28" s="1"/>
  <c r="BX76" i="28" a="1"/>
  <c r="BX76" i="28" s="1"/>
  <c r="CA75" i="28" a="1"/>
  <c r="CA75" i="28" s="1"/>
  <c r="BZ75" i="28" a="1"/>
  <c r="BZ75" i="28" s="1"/>
  <c r="BY75" i="28" a="1"/>
  <c r="BY75" i="28" s="1"/>
  <c r="BX75" i="28" a="1"/>
  <c r="BX75" i="28" s="1"/>
  <c r="CA74" i="28" a="1"/>
  <c r="CA74" i="28" s="1"/>
  <c r="BZ74" i="28" a="1"/>
  <c r="BZ74" i="28" s="1"/>
  <c r="BY74" i="28" a="1"/>
  <c r="BY74" i="28" s="1"/>
  <c r="BX74" i="28" a="1"/>
  <c r="BX74" i="28" s="1"/>
  <c r="CA73" i="28" a="1"/>
  <c r="CA73" i="28" s="1"/>
  <c r="BZ73" i="28" a="1"/>
  <c r="BZ73" i="28" s="1"/>
  <c r="BY73" i="28" a="1"/>
  <c r="BY73" i="28" s="1"/>
  <c r="BX73" i="28" a="1"/>
  <c r="BX73" i="28" s="1"/>
  <c r="CA72" i="28" a="1"/>
  <c r="CA72" i="28" s="1"/>
  <c r="BZ72" i="28" a="1"/>
  <c r="BZ72" i="28" s="1"/>
  <c r="BY72" i="28" a="1"/>
  <c r="BY72" i="28" s="1"/>
  <c r="BX72" i="28" a="1"/>
  <c r="BX72" i="28" s="1"/>
  <c r="CA71" i="28" a="1"/>
  <c r="CA71" i="28" s="1"/>
  <c r="BZ71" i="28" a="1"/>
  <c r="BZ71" i="28" s="1"/>
  <c r="BY71" i="28" a="1"/>
  <c r="BY71" i="28" s="1"/>
  <c r="BX71" i="28" a="1"/>
  <c r="BX71" i="28" s="1"/>
  <c r="CA70" i="28" a="1"/>
  <c r="CA70" i="28" s="1"/>
  <c r="BZ70" i="28" a="1"/>
  <c r="BZ70" i="28" s="1"/>
  <c r="BY70" i="28" a="1"/>
  <c r="BY70" i="28" s="1"/>
  <c r="BX70" i="28" a="1"/>
  <c r="BX70" i="28" s="1"/>
  <c r="CA69" i="28" a="1"/>
  <c r="CA69" i="28" s="1"/>
  <c r="BZ69" i="28" a="1"/>
  <c r="BZ69" i="28" s="1"/>
  <c r="BY69" i="28" a="1"/>
  <c r="BY69" i="28" s="1"/>
  <c r="BX69" i="28" a="1"/>
  <c r="BX69" i="28" s="1"/>
  <c r="CA68" i="28" a="1"/>
  <c r="CA68" i="28" s="1"/>
  <c r="BZ68" i="28" a="1"/>
  <c r="BZ68" i="28" s="1"/>
  <c r="BY68" i="28" a="1"/>
  <c r="BY68" i="28" s="1"/>
  <c r="BX68" i="28" a="1"/>
  <c r="BX68" i="28" s="1"/>
  <c r="CA67" i="28" a="1"/>
  <c r="CA67" i="28" s="1"/>
  <c r="BZ67" i="28" a="1"/>
  <c r="BZ67" i="28" s="1"/>
  <c r="BY67" i="28" a="1"/>
  <c r="BY67" i="28" s="1"/>
  <c r="BX67" i="28" a="1"/>
  <c r="BX67" i="28" s="1"/>
  <c r="CA66" i="28" a="1"/>
  <c r="CA66" i="28" s="1"/>
  <c r="BZ66" i="28" a="1"/>
  <c r="BZ66" i="28" s="1"/>
  <c r="BY66" i="28" a="1"/>
  <c r="BY66" i="28" s="1"/>
  <c r="BX66" i="28" a="1"/>
  <c r="BX66" i="28" s="1"/>
  <c r="CA65" i="28" a="1"/>
  <c r="CA65" i="28" s="1"/>
  <c r="BZ65" i="28" a="1"/>
  <c r="BZ65" i="28" s="1"/>
  <c r="BY65" i="28" a="1"/>
  <c r="BY65" i="28" s="1"/>
  <c r="BX65" i="28" a="1"/>
  <c r="BX65" i="28" s="1"/>
  <c r="CA64" i="28" a="1"/>
  <c r="CA64" i="28" s="1"/>
  <c r="BZ64" i="28" a="1"/>
  <c r="BZ64" i="28" s="1"/>
  <c r="BY64" i="28" a="1"/>
  <c r="BY64" i="28" s="1"/>
  <c r="BX64" i="28" a="1"/>
  <c r="BX64" i="28" s="1"/>
  <c r="CA63" i="28" a="1"/>
  <c r="CA63" i="28" s="1"/>
  <c r="BZ63" i="28" a="1"/>
  <c r="BZ63" i="28" s="1"/>
  <c r="BY63" i="28" a="1"/>
  <c r="BY63" i="28" s="1"/>
  <c r="BX63" i="28" a="1"/>
  <c r="BX63" i="28" s="1"/>
  <c r="CA62" i="28" a="1"/>
  <c r="CA62" i="28" s="1"/>
  <c r="BZ62" i="28" a="1"/>
  <c r="BZ62" i="28" s="1"/>
  <c r="BY62" i="28" a="1"/>
  <c r="BY62" i="28" s="1"/>
  <c r="BX62" i="28" a="1"/>
  <c r="BX62" i="28" s="1"/>
  <c r="CA61" i="28" a="1"/>
  <c r="CA61" i="28" s="1"/>
  <c r="BZ61" i="28" a="1"/>
  <c r="BZ61" i="28" s="1"/>
  <c r="BY61" i="28" a="1"/>
  <c r="BY61" i="28" s="1"/>
  <c r="BX61" i="28" a="1"/>
  <c r="BX61" i="28" s="1"/>
  <c r="CA60" i="28" a="1"/>
  <c r="CA60" i="28" s="1"/>
  <c r="BZ60" i="28" a="1"/>
  <c r="BZ60" i="28" s="1"/>
  <c r="BY60" i="28" a="1"/>
  <c r="BY60" i="28" s="1"/>
  <c r="BX60" i="28" a="1"/>
  <c r="BX60" i="28" s="1"/>
  <c r="CA59" i="28" a="1"/>
  <c r="CA59" i="28" s="1"/>
  <c r="BZ59" i="28" a="1"/>
  <c r="BZ59" i="28" s="1"/>
  <c r="BY59" i="28" a="1"/>
  <c r="BY59" i="28" s="1"/>
  <c r="BX59" i="28" a="1"/>
  <c r="BX59" i="28" s="1"/>
  <c r="CA58" i="28" a="1"/>
  <c r="CA58" i="28" s="1"/>
  <c r="BZ58" i="28" a="1"/>
  <c r="BZ58" i="28" s="1"/>
  <c r="BY58" i="28" a="1"/>
  <c r="BY58" i="28" s="1"/>
  <c r="BX58" i="28" a="1"/>
  <c r="BX58" i="28" s="1"/>
  <c r="CA57" i="28" a="1"/>
  <c r="CA57" i="28" s="1"/>
  <c r="BZ57" i="28" a="1"/>
  <c r="BZ57" i="28" s="1"/>
  <c r="BY57" i="28" a="1"/>
  <c r="BY57" i="28" s="1"/>
  <c r="BX57" i="28" a="1"/>
  <c r="BX57" i="28" s="1"/>
  <c r="CA56" i="28" a="1"/>
  <c r="CA56" i="28" s="1"/>
  <c r="BZ56" i="28" a="1"/>
  <c r="BZ56" i="28" s="1"/>
  <c r="BY56" i="28" a="1"/>
  <c r="BY56" i="28" s="1"/>
  <c r="BX56" i="28" a="1"/>
  <c r="BX56" i="28" s="1"/>
  <c r="CA55" i="28" a="1"/>
  <c r="CA55" i="28" s="1"/>
  <c r="BZ55" i="28" a="1"/>
  <c r="BZ55" i="28" s="1"/>
  <c r="BY55" i="28" a="1"/>
  <c r="BY55" i="28" s="1"/>
  <c r="BX55" i="28" a="1"/>
  <c r="BX55" i="28" s="1"/>
  <c r="CA54" i="28" a="1"/>
  <c r="CA54" i="28" s="1"/>
  <c r="BZ54" i="28" a="1"/>
  <c r="BZ54" i="28" s="1"/>
  <c r="BY54" i="28" a="1"/>
  <c r="BY54" i="28" s="1"/>
  <c r="BX54" i="28" a="1"/>
  <c r="BX54" i="28" s="1"/>
  <c r="CA53" i="28" a="1"/>
  <c r="CA53" i="28" s="1"/>
  <c r="BZ53" i="28" a="1"/>
  <c r="BZ53" i="28" s="1"/>
  <c r="BY53" i="28" a="1"/>
  <c r="BY53" i="28" s="1"/>
  <c r="BX53" i="28" a="1"/>
  <c r="BX53" i="28" s="1"/>
  <c r="CA52" i="28" a="1"/>
  <c r="CA52" i="28" s="1"/>
  <c r="BZ52" i="28" a="1"/>
  <c r="BZ52" i="28" s="1"/>
  <c r="BY52" i="28" a="1"/>
  <c r="BY52" i="28" s="1"/>
  <c r="BX52" i="28" a="1"/>
  <c r="BX52" i="28" s="1"/>
  <c r="CA51" i="28" a="1"/>
  <c r="CA51" i="28" s="1"/>
  <c r="BZ51" i="28" a="1"/>
  <c r="BZ51" i="28" s="1"/>
  <c r="BY51" i="28" a="1"/>
  <c r="BY51" i="28" s="1"/>
  <c r="BX51" i="28" a="1"/>
  <c r="BX51" i="28" s="1"/>
  <c r="CA50" i="28" a="1"/>
  <c r="CA50" i="28" s="1"/>
  <c r="BZ50" i="28" a="1"/>
  <c r="BZ50" i="28" s="1"/>
  <c r="BY50" i="28" a="1"/>
  <c r="BY50" i="28" s="1"/>
  <c r="BX50" i="28" a="1"/>
  <c r="BX50" i="28" s="1"/>
  <c r="CA49" i="28" a="1"/>
  <c r="CA49" i="28" s="1"/>
  <c r="BZ49" i="28" a="1"/>
  <c r="BZ49" i="28" s="1"/>
  <c r="BY49" i="28" a="1"/>
  <c r="BY49" i="28" s="1"/>
  <c r="BX49" i="28" a="1"/>
  <c r="BX49" i="28" s="1"/>
  <c r="CA48" i="28" a="1"/>
  <c r="CA48" i="28" s="1"/>
  <c r="BZ48" i="28" a="1"/>
  <c r="BZ48" i="28" s="1"/>
  <c r="BY48" i="28" a="1"/>
  <c r="BY48" i="28" s="1"/>
  <c r="BX48" i="28" a="1"/>
  <c r="BX48" i="28" s="1"/>
  <c r="CA47" i="28" a="1"/>
  <c r="CA47" i="28" s="1"/>
  <c r="BZ47" i="28" a="1"/>
  <c r="BZ47" i="28" s="1"/>
  <c r="BY47" i="28" a="1"/>
  <c r="BY47" i="28" s="1"/>
  <c r="BX47" i="28" a="1"/>
  <c r="BX47" i="28" s="1"/>
  <c r="CA46" i="28" a="1"/>
  <c r="CA46" i="28" s="1"/>
  <c r="BZ46" i="28" a="1"/>
  <c r="BZ46" i="28" s="1"/>
  <c r="BY46" i="28" a="1"/>
  <c r="BY46" i="28" s="1"/>
  <c r="BX46" i="28" a="1"/>
  <c r="BX46" i="28" s="1"/>
  <c r="CA45" i="28" a="1"/>
  <c r="CA45" i="28" s="1"/>
  <c r="BZ45" i="28" a="1"/>
  <c r="BZ45" i="28" s="1"/>
  <c r="BY45" i="28" a="1"/>
  <c r="BY45" i="28" s="1"/>
  <c r="BX45" i="28" a="1"/>
  <c r="BX45" i="28" s="1"/>
  <c r="CA44" i="28" a="1"/>
  <c r="CA44" i="28" s="1"/>
  <c r="BZ44" i="28" a="1"/>
  <c r="BZ44" i="28" s="1"/>
  <c r="BY44" i="28" a="1"/>
  <c r="BY44" i="28" s="1"/>
  <c r="BX44" i="28" a="1"/>
  <c r="BX44" i="28" s="1"/>
  <c r="CA43" i="28" a="1"/>
  <c r="CA43" i="28" s="1"/>
  <c r="BZ43" i="28" a="1"/>
  <c r="BZ43" i="28" s="1"/>
  <c r="BY43" i="28" a="1"/>
  <c r="BY43" i="28" s="1"/>
  <c r="BX43" i="28" a="1"/>
  <c r="BX43" i="28" s="1"/>
  <c r="CA42" i="28" a="1"/>
  <c r="CA42" i="28" s="1"/>
  <c r="BZ42" i="28" a="1"/>
  <c r="BZ42" i="28" s="1"/>
  <c r="BY42" i="28" a="1"/>
  <c r="BY42" i="28" s="1"/>
  <c r="BX42" i="28" a="1"/>
  <c r="BX42" i="28" s="1"/>
  <c r="CA41" i="28" a="1"/>
  <c r="CA41" i="28" s="1"/>
  <c r="BZ41" i="28" a="1"/>
  <c r="BZ41" i="28" s="1"/>
  <c r="BY41" i="28" a="1"/>
  <c r="BY41" i="28" s="1"/>
  <c r="BX41" i="28" a="1"/>
  <c r="BX41" i="28" s="1"/>
  <c r="CA40" i="28" a="1"/>
  <c r="CA40" i="28" s="1"/>
  <c r="BZ40" i="28" a="1"/>
  <c r="BZ40" i="28" s="1"/>
  <c r="BY40" i="28" a="1"/>
  <c r="BY40" i="28" s="1"/>
  <c r="BX40" i="28" a="1"/>
  <c r="BX40" i="28" s="1"/>
  <c r="CA39" i="28" a="1"/>
  <c r="CA39" i="28" s="1"/>
  <c r="BZ39" i="28" a="1"/>
  <c r="BZ39" i="28" s="1"/>
  <c r="BY39" i="28" a="1"/>
  <c r="BY39" i="28" s="1"/>
  <c r="BX39" i="28" a="1"/>
  <c r="BX39" i="28" s="1"/>
  <c r="CA38" i="28" a="1"/>
  <c r="CA38" i="28" s="1"/>
  <c r="BZ38" i="28" a="1"/>
  <c r="BZ38" i="28" s="1"/>
  <c r="BY38" i="28" a="1"/>
  <c r="BY38" i="28" s="1"/>
  <c r="BX38" i="28" a="1"/>
  <c r="BX38" i="28" s="1"/>
  <c r="CA37" i="28" a="1"/>
  <c r="CA37" i="28" s="1"/>
  <c r="BZ37" i="28" a="1"/>
  <c r="BZ37" i="28" s="1"/>
  <c r="BY37" i="28" a="1"/>
  <c r="BY37" i="28" s="1"/>
  <c r="BX37" i="28" a="1"/>
  <c r="BX37" i="28" s="1"/>
  <c r="CA36" i="28" a="1"/>
  <c r="CA36" i="28" s="1"/>
  <c r="BZ36" i="28" a="1"/>
  <c r="BZ36" i="28" s="1"/>
  <c r="BY36" i="28" a="1"/>
  <c r="BY36" i="28" s="1"/>
  <c r="BX36" i="28" a="1"/>
  <c r="BX36" i="28" s="1"/>
  <c r="CA35" i="28" a="1"/>
  <c r="CA35" i="28" s="1"/>
  <c r="BZ35" i="28" a="1"/>
  <c r="BZ35" i="28" s="1"/>
  <c r="BY35" i="28" a="1"/>
  <c r="BY35" i="28" s="1"/>
  <c r="BX35" i="28" a="1"/>
  <c r="BX35" i="28" s="1"/>
  <c r="CA34" i="28" a="1"/>
  <c r="CA34" i="28" s="1"/>
  <c r="BZ34" i="28" a="1"/>
  <c r="BZ34" i="28" s="1"/>
  <c r="BY34" i="28" a="1"/>
  <c r="BY34" i="28" s="1"/>
  <c r="BX34" i="28" a="1"/>
  <c r="BX34" i="28" s="1"/>
  <c r="CA33" i="28" a="1"/>
  <c r="CA33" i="28" s="1"/>
  <c r="BZ33" i="28" a="1"/>
  <c r="BZ33" i="28" s="1"/>
  <c r="BY33" i="28" a="1"/>
  <c r="BY33" i="28" s="1"/>
  <c r="BX33" i="28" a="1"/>
  <c r="BX33" i="28" s="1"/>
  <c r="CA32" i="28" a="1"/>
  <c r="CA32" i="28" s="1"/>
  <c r="BZ32" i="28" a="1"/>
  <c r="BZ32" i="28" s="1"/>
  <c r="BY32" i="28" a="1"/>
  <c r="BY32" i="28" s="1"/>
  <c r="BX32" i="28" a="1"/>
  <c r="BX32" i="28" s="1"/>
  <c r="CA31" i="28" a="1"/>
  <c r="CA31" i="28" s="1"/>
  <c r="BZ31" i="28" a="1"/>
  <c r="BZ31" i="28" s="1"/>
  <c r="BY31" i="28" a="1"/>
  <c r="BY31" i="28" s="1"/>
  <c r="BX31" i="28" a="1"/>
  <c r="BX31" i="28" s="1"/>
  <c r="CA30" i="28" a="1"/>
  <c r="CA30" i="28" s="1"/>
  <c r="BZ30" i="28" a="1"/>
  <c r="BZ30" i="28" s="1"/>
  <c r="BY30" i="28" a="1"/>
  <c r="BY30" i="28" s="1"/>
  <c r="BX30" i="28" a="1"/>
  <c r="BX30" i="28" s="1"/>
  <c r="CA29" i="28" a="1"/>
  <c r="CA29" i="28" s="1"/>
  <c r="BZ29" i="28" a="1"/>
  <c r="BZ29" i="28" s="1"/>
  <c r="BY29" i="28" a="1"/>
  <c r="BY29" i="28" s="1"/>
  <c r="BX29" i="28" a="1"/>
  <c r="BX29" i="28" s="1"/>
  <c r="CA28" i="28" a="1"/>
  <c r="CA28" i="28" s="1"/>
  <c r="BZ28" i="28" a="1"/>
  <c r="BZ28" i="28" s="1"/>
  <c r="BY28" i="28" a="1"/>
  <c r="BY28" i="28" s="1"/>
  <c r="BX28" i="28" a="1"/>
  <c r="BX28" i="28" s="1"/>
  <c r="CA27" i="28" a="1"/>
  <c r="CA27" i="28" s="1"/>
  <c r="BZ27" i="28" a="1"/>
  <c r="BZ27" i="28" s="1"/>
  <c r="BY27" i="28" a="1"/>
  <c r="BY27" i="28" s="1"/>
  <c r="BX27" i="28" a="1"/>
  <c r="BX27" i="28" s="1"/>
  <c r="CA26" i="28" a="1"/>
  <c r="CA26" i="28" s="1"/>
  <c r="BZ26" i="28" a="1"/>
  <c r="BZ26" i="28" s="1"/>
  <c r="BY26" i="28" a="1"/>
  <c r="BY26" i="28" s="1"/>
  <c r="BX26" i="28" a="1"/>
  <c r="BX26" i="28" s="1"/>
  <c r="CA25" i="28" a="1"/>
  <c r="CA25" i="28" s="1"/>
  <c r="BZ25" i="28" a="1"/>
  <c r="BZ25" i="28" s="1"/>
  <c r="BY25" i="28" a="1"/>
  <c r="BY25" i="28" s="1"/>
  <c r="BX25" i="28" a="1"/>
  <c r="BX25" i="28" s="1"/>
  <c r="CA24" i="28" a="1"/>
  <c r="CA24" i="28" s="1"/>
  <c r="BZ24" i="28" a="1"/>
  <c r="BZ24" i="28" s="1"/>
  <c r="BY24" i="28" a="1"/>
  <c r="BY24" i="28" s="1"/>
  <c r="BX24" i="28" a="1"/>
  <c r="BX24" i="28" s="1"/>
  <c r="CA23" i="28" a="1"/>
  <c r="CA23" i="28" s="1"/>
  <c r="BZ23" i="28" a="1"/>
  <c r="BZ23" i="28" s="1"/>
  <c r="BY23" i="28" a="1"/>
  <c r="BY23" i="28" s="1"/>
  <c r="BX23" i="28" a="1"/>
  <c r="BX23" i="28" s="1"/>
  <c r="CA22" i="28" a="1"/>
  <c r="CA22" i="28" s="1"/>
  <c r="BZ22" i="28" a="1"/>
  <c r="BZ22" i="28" s="1"/>
  <c r="BY22" i="28" a="1"/>
  <c r="BY22" i="28" s="1"/>
  <c r="BX22" i="28" a="1"/>
  <c r="BX22" i="28" s="1"/>
  <c r="CA21" i="28" a="1"/>
  <c r="CA21" i="28" s="1"/>
  <c r="BZ21" i="28" a="1"/>
  <c r="BZ21" i="28" s="1"/>
  <c r="BY21" i="28" a="1"/>
  <c r="BY21" i="28" s="1"/>
  <c r="BX21" i="28" a="1"/>
  <c r="BX21" i="28" s="1"/>
  <c r="CA20" i="28" a="1"/>
  <c r="CA20" i="28" s="1"/>
  <c r="BZ20" i="28" a="1"/>
  <c r="BZ20" i="28" s="1"/>
  <c r="BY20" i="28" a="1"/>
  <c r="BY20" i="28" s="1"/>
  <c r="BX20" i="28" a="1"/>
  <c r="BX20" i="28" s="1"/>
  <c r="CA19" i="28" a="1"/>
  <c r="CA19" i="28" s="1"/>
  <c r="BZ19" i="28" a="1"/>
  <c r="BZ19" i="28" s="1"/>
  <c r="BY19" i="28" a="1"/>
  <c r="BY19" i="28" s="1"/>
  <c r="BX19" i="28" a="1"/>
  <c r="BX19" i="28" s="1"/>
  <c r="CA18" i="28" a="1"/>
  <c r="CA18" i="28" s="1"/>
  <c r="BZ18" i="28" a="1"/>
  <c r="BZ18" i="28" s="1"/>
  <c r="BY18" i="28" a="1"/>
  <c r="BY18" i="28" s="1"/>
  <c r="BX18" i="28" a="1"/>
  <c r="BX18" i="28" s="1"/>
  <c r="CA17" i="28" a="1"/>
  <c r="CA17" i="28" s="1"/>
  <c r="BZ17" i="28" a="1"/>
  <c r="BZ17" i="28" s="1"/>
  <c r="BY17" i="28" a="1"/>
  <c r="BY17" i="28" s="1"/>
  <c r="BX17" i="28" a="1"/>
  <c r="BX17" i="28" s="1"/>
  <c r="CA16" i="28" a="1"/>
  <c r="CA16" i="28" s="1"/>
  <c r="BZ16" i="28" a="1"/>
  <c r="BZ16" i="28" s="1"/>
  <c r="BY16" i="28" a="1"/>
  <c r="BY16" i="28" s="1"/>
  <c r="BX16" i="28" a="1"/>
  <c r="BX16" i="28" s="1"/>
  <c r="CA15" i="28" a="1"/>
  <c r="CA15" i="28" s="1"/>
  <c r="BZ15" i="28" a="1"/>
  <c r="BZ15" i="28" s="1"/>
  <c r="BY15" i="28" a="1"/>
  <c r="BY15" i="28" s="1"/>
  <c r="BX15" i="28" a="1"/>
  <c r="BX15" i="28" s="1"/>
  <c r="CA14" i="28" a="1"/>
  <c r="CA14" i="28" s="1"/>
  <c r="BZ14" i="28" a="1"/>
  <c r="BZ14" i="28" s="1"/>
  <c r="BY14" i="28" a="1"/>
  <c r="BY14" i="28" s="1"/>
  <c r="BX14" i="28" a="1"/>
  <c r="BX14" i="28" s="1"/>
  <c r="CA13" i="28" a="1"/>
  <c r="CA13" i="28" s="1"/>
  <c r="BZ13" i="28" a="1"/>
  <c r="BZ13" i="28" s="1"/>
  <c r="BY13" i="28" a="1"/>
  <c r="BY13" i="28" s="1"/>
  <c r="BX13" i="28" a="1"/>
  <c r="BX13" i="28" s="1"/>
  <c r="CA12" i="28" a="1"/>
  <c r="CA12" i="28" s="1"/>
  <c r="BZ12" i="28" a="1"/>
  <c r="BZ12" i="28" s="1"/>
  <c r="BY12" i="28" a="1"/>
  <c r="BY12" i="28" s="1"/>
  <c r="BX12" i="28" a="1"/>
  <c r="BX12" i="28" s="1"/>
  <c r="CA11" i="28" a="1"/>
  <c r="CA11" i="28" s="1"/>
  <c r="BZ11" i="28" a="1"/>
  <c r="BZ11" i="28" s="1"/>
  <c r="BY11" i="28" a="1"/>
  <c r="BY11" i="28" s="1"/>
  <c r="BX11" i="28" a="1"/>
  <c r="BX11" i="28" s="1"/>
  <c r="BW122" i="28" a="1"/>
  <c r="BW122" i="28" s="1"/>
  <c r="BW121" i="28" a="1"/>
  <c r="BW121" i="28" s="1"/>
  <c r="BW120" i="28" a="1"/>
  <c r="BW120" i="28" s="1"/>
  <c r="BW119" i="28" a="1"/>
  <c r="BW119" i="28" s="1"/>
  <c r="BW118" i="28" a="1"/>
  <c r="BW118" i="28" s="1"/>
  <c r="BW117" i="28" a="1"/>
  <c r="BW117" i="28" s="1"/>
  <c r="BW116" i="28" a="1"/>
  <c r="BW116" i="28" s="1"/>
  <c r="BW115" i="28" a="1"/>
  <c r="BW115" i="28" s="1"/>
  <c r="BW114" i="28" a="1"/>
  <c r="BW114" i="28" s="1"/>
  <c r="BW113" i="28" a="1"/>
  <c r="BW113" i="28" s="1"/>
  <c r="BW112" i="28" a="1"/>
  <c r="BW112" i="28" s="1"/>
  <c r="BW111" i="28" a="1"/>
  <c r="BW111" i="28" s="1"/>
  <c r="BW110" i="28" a="1"/>
  <c r="BW110" i="28" s="1"/>
  <c r="BW109" i="28" a="1"/>
  <c r="BW109" i="28" s="1"/>
  <c r="BW108" i="28" a="1"/>
  <c r="BW108" i="28" s="1"/>
  <c r="BW107" i="28" a="1"/>
  <c r="BW107" i="28" s="1"/>
  <c r="BW106" i="28" a="1"/>
  <c r="BW106" i="28" s="1"/>
  <c r="BW105" i="28" a="1"/>
  <c r="BW105" i="28" s="1"/>
  <c r="BW104" i="28" a="1"/>
  <c r="BW104" i="28" s="1"/>
  <c r="BW103" i="28" a="1"/>
  <c r="BW103" i="28" s="1"/>
  <c r="BW102" i="28" a="1"/>
  <c r="BW102" i="28" s="1"/>
  <c r="BW101" i="28" a="1"/>
  <c r="BW101" i="28" s="1"/>
  <c r="BW100" i="28" a="1"/>
  <c r="BW100" i="28" s="1"/>
  <c r="BW99" i="28" a="1"/>
  <c r="BW99" i="28" s="1"/>
  <c r="BW98" i="28" a="1"/>
  <c r="BW98" i="28" s="1"/>
  <c r="BW97" i="28" a="1"/>
  <c r="BW97" i="28" s="1"/>
  <c r="BW96" i="28" a="1"/>
  <c r="BW96" i="28" s="1"/>
  <c r="BW95" i="28" a="1"/>
  <c r="BW95" i="28" s="1"/>
  <c r="BW94" i="28" a="1"/>
  <c r="BW94" i="28" s="1"/>
  <c r="BW93" i="28" a="1"/>
  <c r="BW93" i="28" s="1"/>
  <c r="BW92" i="28" a="1"/>
  <c r="BW92" i="28" s="1"/>
  <c r="BW91" i="28" a="1"/>
  <c r="BW91" i="28" s="1"/>
  <c r="BW90" i="28" a="1"/>
  <c r="BW90" i="28" s="1"/>
  <c r="BW89" i="28" a="1"/>
  <c r="BW89" i="28" s="1"/>
  <c r="BW88" i="28" a="1"/>
  <c r="BW88" i="28" s="1"/>
  <c r="BW87" i="28" a="1"/>
  <c r="BW87" i="28" s="1"/>
  <c r="BW86" i="28" a="1"/>
  <c r="BW86" i="28" s="1"/>
  <c r="BW85" i="28" a="1"/>
  <c r="BW85" i="28" s="1"/>
  <c r="BW84" i="28" a="1"/>
  <c r="BW84" i="28" s="1"/>
  <c r="BW83" i="28" a="1"/>
  <c r="BW83" i="28" s="1"/>
  <c r="BW82" i="28" a="1"/>
  <c r="BW82" i="28" s="1"/>
  <c r="BW81" i="28" a="1"/>
  <c r="BW81" i="28" s="1"/>
  <c r="BW80" i="28" a="1"/>
  <c r="BW80" i="28" s="1"/>
  <c r="BW79" i="28" a="1"/>
  <c r="BW79" i="28" s="1"/>
  <c r="BW78" i="28" a="1"/>
  <c r="BW78" i="28" s="1"/>
  <c r="BW77" i="28" a="1"/>
  <c r="BW77" i="28" s="1"/>
  <c r="BW76" i="28" a="1"/>
  <c r="BW76" i="28" s="1"/>
  <c r="BW75" i="28" a="1"/>
  <c r="BW75" i="28" s="1"/>
  <c r="BW74" i="28" a="1"/>
  <c r="BW74" i="28" s="1"/>
  <c r="BW73" i="28" a="1"/>
  <c r="BW73" i="28" s="1"/>
  <c r="BW72" i="28" a="1"/>
  <c r="BW72" i="28" s="1"/>
  <c r="BW71" i="28" a="1"/>
  <c r="BW71" i="28" s="1"/>
  <c r="BW70" i="28" a="1"/>
  <c r="BW70" i="28" s="1"/>
  <c r="BW69" i="28" a="1"/>
  <c r="BW69" i="28" s="1"/>
  <c r="BW68" i="28" a="1"/>
  <c r="BW68" i="28" s="1"/>
  <c r="BW67" i="28" a="1"/>
  <c r="BW67" i="28" s="1"/>
  <c r="BW66" i="28" a="1"/>
  <c r="BW66" i="28" s="1"/>
  <c r="BW65" i="28" a="1"/>
  <c r="BW65" i="28" s="1"/>
  <c r="BW64" i="28" a="1"/>
  <c r="BW64" i="28" s="1"/>
  <c r="BW63" i="28" a="1"/>
  <c r="BW63" i="28" s="1"/>
  <c r="BW62" i="28" a="1"/>
  <c r="BW62" i="28" s="1"/>
  <c r="BW61" i="28" a="1"/>
  <c r="BW61" i="28" s="1"/>
  <c r="BW60" i="28" a="1"/>
  <c r="BW60" i="28" s="1"/>
  <c r="BW59" i="28" a="1"/>
  <c r="BW59" i="28" s="1"/>
  <c r="BW58" i="28" a="1"/>
  <c r="BW58" i="28" s="1"/>
  <c r="BW57" i="28" a="1"/>
  <c r="BW57" i="28" s="1"/>
  <c r="BW56" i="28" a="1"/>
  <c r="BW56" i="28" s="1"/>
  <c r="BW55" i="28" a="1"/>
  <c r="BW55" i="28" s="1"/>
  <c r="BW54" i="28" a="1"/>
  <c r="BW54" i="28" s="1"/>
  <c r="BW53" i="28" a="1"/>
  <c r="BW53" i="28" s="1"/>
  <c r="BW52" i="28" a="1"/>
  <c r="BW52" i="28" s="1"/>
  <c r="BW51" i="28" a="1"/>
  <c r="BW51" i="28" s="1"/>
  <c r="BW50" i="28" a="1"/>
  <c r="BW50" i="28" s="1"/>
  <c r="BW49" i="28" a="1"/>
  <c r="BW49" i="28" s="1"/>
  <c r="BW48" i="28" a="1"/>
  <c r="BW48" i="28" s="1"/>
  <c r="BW47" i="28" a="1"/>
  <c r="BW47" i="28" s="1"/>
  <c r="BW46" i="28" a="1"/>
  <c r="BW46" i="28" s="1"/>
  <c r="BW45" i="28" a="1"/>
  <c r="BW45" i="28" s="1"/>
  <c r="BW44" i="28" a="1"/>
  <c r="BW44" i="28" s="1"/>
  <c r="BW43" i="28" a="1"/>
  <c r="BW43" i="28" s="1"/>
  <c r="BW42" i="28" a="1"/>
  <c r="BW42" i="28" s="1"/>
  <c r="BW41" i="28" a="1"/>
  <c r="BW41" i="28" s="1"/>
  <c r="BW40" i="28" a="1"/>
  <c r="BW40" i="28" s="1"/>
  <c r="BW39" i="28" a="1"/>
  <c r="BW39" i="28" s="1"/>
  <c r="BW38" i="28" a="1"/>
  <c r="BW38" i="28" s="1"/>
  <c r="BW37" i="28" a="1"/>
  <c r="BW37" i="28" s="1"/>
  <c r="BW36" i="28" a="1"/>
  <c r="BW36" i="28" s="1"/>
  <c r="BW35" i="28" a="1"/>
  <c r="BW35" i="28" s="1"/>
  <c r="BW34" i="28" a="1"/>
  <c r="BW34" i="28" s="1"/>
  <c r="BW33" i="28" a="1"/>
  <c r="BW33" i="28" s="1"/>
  <c r="BW32" i="28" a="1"/>
  <c r="BW32" i="28" s="1"/>
  <c r="BW31" i="28" a="1"/>
  <c r="BW31" i="28" s="1"/>
  <c r="BW30" i="28" a="1"/>
  <c r="BW30" i="28" s="1"/>
  <c r="BW29" i="28" a="1"/>
  <c r="BW29" i="28" s="1"/>
  <c r="BW28" i="28" a="1"/>
  <c r="BW28" i="28" s="1"/>
  <c r="BW27" i="28" a="1"/>
  <c r="BW27" i="28" s="1"/>
  <c r="BW26" i="28" a="1"/>
  <c r="BW26" i="28" s="1"/>
  <c r="BW25" i="28" a="1"/>
  <c r="BW25" i="28" s="1"/>
  <c r="BW24" i="28" a="1"/>
  <c r="BW24" i="28" s="1"/>
  <c r="BW23" i="28" a="1"/>
  <c r="BW23" i="28" s="1"/>
  <c r="BW22" i="28" a="1"/>
  <c r="BW22" i="28" s="1"/>
  <c r="BW21" i="28" a="1"/>
  <c r="BW21" i="28" s="1"/>
  <c r="BW20" i="28" a="1"/>
  <c r="BW20" i="28" s="1"/>
  <c r="BW19" i="28" a="1"/>
  <c r="BW19" i="28" s="1"/>
  <c r="BW18" i="28" a="1"/>
  <c r="BW18" i="28" s="1"/>
  <c r="BW17" i="28" a="1"/>
  <c r="BW17" i="28" s="1"/>
  <c r="BW16" i="28" a="1"/>
  <c r="BW16" i="28" s="1"/>
  <c r="BW15" i="28" a="1"/>
  <c r="BW15" i="28" s="1"/>
  <c r="BW14" i="28" a="1"/>
  <c r="BW14" i="28" s="1"/>
  <c r="BW13" i="28" a="1"/>
  <c r="BW13" i="28" s="1"/>
  <c r="BW12" i="28" a="1"/>
  <c r="BW12" i="28" s="1"/>
  <c r="BW11" i="28" a="1"/>
  <c r="BW11" i="28" s="1"/>
  <c r="BQ122" i="28" a="1"/>
  <c r="BQ122" i="28" s="1"/>
  <c r="BP122" i="28" a="1"/>
  <c r="BP122" i="28" s="1"/>
  <c r="BO122" i="28" a="1"/>
  <c r="BO122" i="28" s="1"/>
  <c r="BN122" i="28" a="1"/>
  <c r="BN122" i="28" s="1"/>
  <c r="BQ121" i="28" a="1"/>
  <c r="BQ121" i="28" s="1"/>
  <c r="BP121" i="28" a="1"/>
  <c r="BP121" i="28" s="1"/>
  <c r="BO121" i="28" a="1"/>
  <c r="BO121" i="28" s="1"/>
  <c r="BN121" i="28" a="1"/>
  <c r="BN121" i="28" s="1"/>
  <c r="BQ120" i="28" a="1"/>
  <c r="BQ120" i="28" s="1"/>
  <c r="BP120" i="28" a="1"/>
  <c r="BP120" i="28" s="1"/>
  <c r="BO120" i="28" a="1"/>
  <c r="BO120" i="28" s="1"/>
  <c r="BN120" i="28" a="1"/>
  <c r="BN120" i="28" s="1"/>
  <c r="BQ119" i="28" a="1"/>
  <c r="BQ119" i="28" s="1"/>
  <c r="BP119" i="28" a="1"/>
  <c r="BP119" i="28" s="1"/>
  <c r="BO119" i="28" a="1"/>
  <c r="BO119" i="28" s="1"/>
  <c r="BN119" i="28" a="1"/>
  <c r="BN119" i="28" s="1"/>
  <c r="BQ118" i="28" a="1"/>
  <c r="BQ118" i="28" s="1"/>
  <c r="BP118" i="28" a="1"/>
  <c r="BP118" i="28" s="1"/>
  <c r="BO118" i="28" a="1"/>
  <c r="BO118" i="28" s="1"/>
  <c r="BN118" i="28" a="1"/>
  <c r="BN118" i="28" s="1"/>
  <c r="BQ117" i="28" a="1"/>
  <c r="BQ117" i="28" s="1"/>
  <c r="BP117" i="28" a="1"/>
  <c r="BP117" i="28" s="1"/>
  <c r="BO117" i="28" a="1"/>
  <c r="BO117" i="28" s="1"/>
  <c r="BN117" i="28" a="1"/>
  <c r="BN117" i="28" s="1"/>
  <c r="BQ116" i="28" a="1"/>
  <c r="BQ116" i="28" s="1"/>
  <c r="BP116" i="28" a="1"/>
  <c r="BP116" i="28" s="1"/>
  <c r="BO116" i="28" a="1"/>
  <c r="BO116" i="28" s="1"/>
  <c r="BN116" i="28" a="1"/>
  <c r="BN116" i="28" s="1"/>
  <c r="BQ115" i="28" a="1"/>
  <c r="BQ115" i="28" s="1"/>
  <c r="BP115" i="28" a="1"/>
  <c r="BP115" i="28" s="1"/>
  <c r="BO115" i="28" a="1"/>
  <c r="BO115" i="28" s="1"/>
  <c r="BN115" i="28" a="1"/>
  <c r="BN115" i="28" s="1"/>
  <c r="BQ114" i="28" a="1"/>
  <c r="BQ114" i="28" s="1"/>
  <c r="BP114" i="28" a="1"/>
  <c r="BP114" i="28" s="1"/>
  <c r="BO114" i="28" a="1"/>
  <c r="BO114" i="28" s="1"/>
  <c r="BN114" i="28" a="1"/>
  <c r="BN114" i="28" s="1"/>
  <c r="BQ113" i="28" a="1"/>
  <c r="BQ113" i="28" s="1"/>
  <c r="BP113" i="28" a="1"/>
  <c r="BP113" i="28" s="1"/>
  <c r="BO113" i="28" a="1"/>
  <c r="BO113" i="28" s="1"/>
  <c r="BN113" i="28" a="1"/>
  <c r="BN113" i="28" s="1"/>
  <c r="BQ112" i="28" a="1"/>
  <c r="BQ112" i="28" s="1"/>
  <c r="BP112" i="28" a="1"/>
  <c r="BP112" i="28" s="1"/>
  <c r="BO112" i="28" a="1"/>
  <c r="BO112" i="28" s="1"/>
  <c r="BN112" i="28" a="1"/>
  <c r="BN112" i="28" s="1"/>
  <c r="BQ111" i="28" a="1"/>
  <c r="BQ111" i="28" s="1"/>
  <c r="BP111" i="28" a="1"/>
  <c r="BP111" i="28" s="1"/>
  <c r="BO111" i="28" a="1"/>
  <c r="BO111" i="28" s="1"/>
  <c r="BN111" i="28" a="1"/>
  <c r="BN111" i="28" s="1"/>
  <c r="BQ110" i="28" a="1"/>
  <c r="BQ110" i="28" s="1"/>
  <c r="BP110" i="28" a="1"/>
  <c r="BP110" i="28" s="1"/>
  <c r="BO110" i="28" a="1"/>
  <c r="BO110" i="28" s="1"/>
  <c r="BN110" i="28" a="1"/>
  <c r="BN110" i="28" s="1"/>
  <c r="BQ109" i="28" a="1"/>
  <c r="BQ109" i="28" s="1"/>
  <c r="BP109" i="28" a="1"/>
  <c r="BP109" i="28" s="1"/>
  <c r="BO109" i="28" a="1"/>
  <c r="BO109" i="28" s="1"/>
  <c r="BN109" i="28" a="1"/>
  <c r="BN109" i="28" s="1"/>
  <c r="BQ108" i="28" a="1"/>
  <c r="BQ108" i="28" s="1"/>
  <c r="BP108" i="28" a="1"/>
  <c r="BP108" i="28" s="1"/>
  <c r="BO108" i="28" a="1"/>
  <c r="BO108" i="28" s="1"/>
  <c r="BN108" i="28" a="1"/>
  <c r="BN108" i="28" s="1"/>
  <c r="BQ107" i="28" a="1"/>
  <c r="BQ107" i="28" s="1"/>
  <c r="BP107" i="28" a="1"/>
  <c r="BP107" i="28" s="1"/>
  <c r="BO107" i="28" a="1"/>
  <c r="BO107" i="28" s="1"/>
  <c r="BN107" i="28" a="1"/>
  <c r="BN107" i="28" s="1"/>
  <c r="BQ106" i="28" a="1"/>
  <c r="BQ106" i="28" s="1"/>
  <c r="BP106" i="28" a="1"/>
  <c r="BP106" i="28" s="1"/>
  <c r="BO106" i="28" a="1"/>
  <c r="BO106" i="28" s="1"/>
  <c r="BN106" i="28" a="1"/>
  <c r="BN106" i="28" s="1"/>
  <c r="BQ105" i="28" a="1"/>
  <c r="BQ105" i="28" s="1"/>
  <c r="BP105" i="28" a="1"/>
  <c r="BP105" i="28" s="1"/>
  <c r="BO105" i="28" a="1"/>
  <c r="BO105" i="28" s="1"/>
  <c r="BN105" i="28" a="1"/>
  <c r="BN105" i="28" s="1"/>
  <c r="BQ104" i="28" a="1"/>
  <c r="BQ104" i="28" s="1"/>
  <c r="BP104" i="28" a="1"/>
  <c r="BP104" i="28" s="1"/>
  <c r="BO104" i="28" a="1"/>
  <c r="BO104" i="28" s="1"/>
  <c r="BN104" i="28" a="1"/>
  <c r="BN104" i="28" s="1"/>
  <c r="BQ103" i="28" a="1"/>
  <c r="BQ103" i="28" s="1"/>
  <c r="BP103" i="28" a="1"/>
  <c r="BP103" i="28" s="1"/>
  <c r="BO103" i="28" a="1"/>
  <c r="BO103" i="28" s="1"/>
  <c r="BN103" i="28" a="1"/>
  <c r="BN103" i="28" s="1"/>
  <c r="BQ102" i="28" a="1"/>
  <c r="BQ102" i="28" s="1"/>
  <c r="BP102" i="28" a="1"/>
  <c r="BP102" i="28" s="1"/>
  <c r="BO102" i="28" a="1"/>
  <c r="BO102" i="28" s="1"/>
  <c r="BN102" i="28" a="1"/>
  <c r="BN102" i="28" s="1"/>
  <c r="BQ101" i="28" a="1"/>
  <c r="BQ101" i="28" s="1"/>
  <c r="BP101" i="28" a="1"/>
  <c r="BP101" i="28" s="1"/>
  <c r="BO101" i="28" a="1"/>
  <c r="BO101" i="28" s="1"/>
  <c r="BN101" i="28" a="1"/>
  <c r="BN101" i="28" s="1"/>
  <c r="BQ100" i="28" a="1"/>
  <c r="BQ100" i="28" s="1"/>
  <c r="BP100" i="28" a="1"/>
  <c r="BP100" i="28" s="1"/>
  <c r="BO100" i="28" a="1"/>
  <c r="BO100" i="28" s="1"/>
  <c r="BN100" i="28" a="1"/>
  <c r="BN100" i="28" s="1"/>
  <c r="BQ99" i="28" a="1"/>
  <c r="BQ99" i="28" s="1"/>
  <c r="BP99" i="28" a="1"/>
  <c r="BP99" i="28" s="1"/>
  <c r="BO99" i="28" a="1"/>
  <c r="BO99" i="28" s="1"/>
  <c r="BN99" i="28" a="1"/>
  <c r="BN99" i="28" s="1"/>
  <c r="BQ98" i="28" a="1"/>
  <c r="BQ98" i="28" s="1"/>
  <c r="BP98" i="28" a="1"/>
  <c r="BP98" i="28" s="1"/>
  <c r="BO98" i="28" a="1"/>
  <c r="BO98" i="28" s="1"/>
  <c r="BN98" i="28" a="1"/>
  <c r="BN98" i="28" s="1"/>
  <c r="BQ97" i="28" a="1"/>
  <c r="BQ97" i="28" s="1"/>
  <c r="BP97" i="28" a="1"/>
  <c r="BP97" i="28" s="1"/>
  <c r="BO97" i="28" a="1"/>
  <c r="BO97" i="28" s="1"/>
  <c r="BN97" i="28" a="1"/>
  <c r="BN97" i="28" s="1"/>
  <c r="BQ96" i="28" a="1"/>
  <c r="BQ96" i="28" s="1"/>
  <c r="BP96" i="28" a="1"/>
  <c r="BP96" i="28" s="1"/>
  <c r="BO96" i="28" a="1"/>
  <c r="BO96" i="28" s="1"/>
  <c r="BN96" i="28" a="1"/>
  <c r="BN96" i="28" s="1"/>
  <c r="BQ95" i="28" a="1"/>
  <c r="BQ95" i="28" s="1"/>
  <c r="BP95" i="28" a="1"/>
  <c r="BP95" i="28" s="1"/>
  <c r="BO95" i="28" a="1"/>
  <c r="BO95" i="28" s="1"/>
  <c r="BN95" i="28" a="1"/>
  <c r="BN95" i="28" s="1"/>
  <c r="BQ94" i="28" a="1"/>
  <c r="BQ94" i="28" s="1"/>
  <c r="BP94" i="28" a="1"/>
  <c r="BP94" i="28" s="1"/>
  <c r="BO94" i="28" a="1"/>
  <c r="BO94" i="28" s="1"/>
  <c r="BN94" i="28" a="1"/>
  <c r="BN94" i="28" s="1"/>
  <c r="BQ93" i="28" a="1"/>
  <c r="BQ93" i="28" s="1"/>
  <c r="BP93" i="28" a="1"/>
  <c r="BP93" i="28" s="1"/>
  <c r="BO93" i="28" a="1"/>
  <c r="BO93" i="28" s="1"/>
  <c r="BN93" i="28" a="1"/>
  <c r="BN93" i="28" s="1"/>
  <c r="BQ92" i="28" a="1"/>
  <c r="BQ92" i="28" s="1"/>
  <c r="BP92" i="28" a="1"/>
  <c r="BP92" i="28" s="1"/>
  <c r="BO92" i="28" a="1"/>
  <c r="BO92" i="28" s="1"/>
  <c r="BN92" i="28" a="1"/>
  <c r="BN92" i="28" s="1"/>
  <c r="BQ91" i="28" a="1"/>
  <c r="BQ91" i="28" s="1"/>
  <c r="BP91" i="28" a="1"/>
  <c r="BP91" i="28" s="1"/>
  <c r="BO91" i="28" a="1"/>
  <c r="BO91" i="28" s="1"/>
  <c r="BN91" i="28" a="1"/>
  <c r="BN91" i="28" s="1"/>
  <c r="BQ90" i="28" a="1"/>
  <c r="BQ90" i="28" s="1"/>
  <c r="BP90" i="28" a="1"/>
  <c r="BP90" i="28" s="1"/>
  <c r="BO90" i="28" a="1"/>
  <c r="BO90" i="28" s="1"/>
  <c r="BN90" i="28" a="1"/>
  <c r="BN90" i="28" s="1"/>
  <c r="BQ89" i="28" a="1"/>
  <c r="BQ89" i="28" s="1"/>
  <c r="BP89" i="28" a="1"/>
  <c r="BP89" i="28" s="1"/>
  <c r="BO89" i="28" a="1"/>
  <c r="BO89" i="28" s="1"/>
  <c r="BN89" i="28" a="1"/>
  <c r="BN89" i="28" s="1"/>
  <c r="BQ88" i="28" a="1"/>
  <c r="BQ88" i="28" s="1"/>
  <c r="BP88" i="28" a="1"/>
  <c r="BP88" i="28" s="1"/>
  <c r="BO88" i="28" a="1"/>
  <c r="BO88" i="28" s="1"/>
  <c r="BN88" i="28" a="1"/>
  <c r="BN88" i="28" s="1"/>
  <c r="BQ87" i="28" a="1"/>
  <c r="BQ87" i="28" s="1"/>
  <c r="BP87" i="28" a="1"/>
  <c r="BP87" i="28" s="1"/>
  <c r="BO87" i="28" a="1"/>
  <c r="BO87" i="28" s="1"/>
  <c r="BN87" i="28" a="1"/>
  <c r="BN87" i="28" s="1"/>
  <c r="BQ86" i="28" a="1"/>
  <c r="BQ86" i="28" s="1"/>
  <c r="BP86" i="28" a="1"/>
  <c r="BP86" i="28" s="1"/>
  <c r="BO86" i="28" a="1"/>
  <c r="BO86" i="28" s="1"/>
  <c r="BN86" i="28" a="1"/>
  <c r="BN86" i="28" s="1"/>
  <c r="BQ85" i="28" a="1"/>
  <c r="BQ85" i="28" s="1"/>
  <c r="BP85" i="28" a="1"/>
  <c r="BP85" i="28" s="1"/>
  <c r="BO85" i="28" a="1"/>
  <c r="BO85" i="28" s="1"/>
  <c r="BN85" i="28" a="1"/>
  <c r="BN85" i="28" s="1"/>
  <c r="BQ84" i="28" a="1"/>
  <c r="BQ84" i="28" s="1"/>
  <c r="BP84" i="28" a="1"/>
  <c r="BP84" i="28" s="1"/>
  <c r="BO84" i="28" a="1"/>
  <c r="BO84" i="28" s="1"/>
  <c r="BN84" i="28" a="1"/>
  <c r="BN84" i="28" s="1"/>
  <c r="BQ83" i="28" a="1"/>
  <c r="BQ83" i="28" s="1"/>
  <c r="BP83" i="28" a="1"/>
  <c r="BP83" i="28" s="1"/>
  <c r="BO83" i="28" a="1"/>
  <c r="BO83" i="28" s="1"/>
  <c r="BN83" i="28" a="1"/>
  <c r="BN83" i="28" s="1"/>
  <c r="BQ82" i="28" a="1"/>
  <c r="BQ82" i="28" s="1"/>
  <c r="BP82" i="28" a="1"/>
  <c r="BP82" i="28" s="1"/>
  <c r="BO82" i="28" a="1"/>
  <c r="BO82" i="28" s="1"/>
  <c r="BN82" i="28" a="1"/>
  <c r="BN82" i="28" s="1"/>
  <c r="BQ81" i="28" a="1"/>
  <c r="BQ81" i="28" s="1"/>
  <c r="BP81" i="28" a="1"/>
  <c r="BP81" i="28" s="1"/>
  <c r="BO81" i="28" a="1"/>
  <c r="BO81" i="28" s="1"/>
  <c r="BN81" i="28" a="1"/>
  <c r="BN81" i="28" s="1"/>
  <c r="BQ80" i="28" a="1"/>
  <c r="BQ80" i="28" s="1"/>
  <c r="BP80" i="28" a="1"/>
  <c r="BP80" i="28" s="1"/>
  <c r="BO80" i="28" a="1"/>
  <c r="BO80" i="28" s="1"/>
  <c r="BN80" i="28" a="1"/>
  <c r="BN80" i="28" s="1"/>
  <c r="BQ79" i="28" a="1"/>
  <c r="BQ79" i="28" s="1"/>
  <c r="BP79" i="28" a="1"/>
  <c r="BP79" i="28" s="1"/>
  <c r="BO79" i="28" a="1"/>
  <c r="BO79" i="28" s="1"/>
  <c r="BN79" i="28" a="1"/>
  <c r="BN79" i="28" s="1"/>
  <c r="BQ78" i="28" a="1"/>
  <c r="BQ78" i="28" s="1"/>
  <c r="BP78" i="28" a="1"/>
  <c r="BP78" i="28" s="1"/>
  <c r="BO78" i="28" a="1"/>
  <c r="BO78" i="28" s="1"/>
  <c r="BN78" i="28" a="1"/>
  <c r="BN78" i="28" s="1"/>
  <c r="BQ77" i="28" a="1"/>
  <c r="BQ77" i="28" s="1"/>
  <c r="BP77" i="28" a="1"/>
  <c r="BP77" i="28" s="1"/>
  <c r="BO77" i="28" a="1"/>
  <c r="BO77" i="28" s="1"/>
  <c r="BN77" i="28" a="1"/>
  <c r="BN77" i="28" s="1"/>
  <c r="BQ76" i="28" a="1"/>
  <c r="BQ76" i="28" s="1"/>
  <c r="BP76" i="28" a="1"/>
  <c r="BP76" i="28" s="1"/>
  <c r="BO76" i="28" a="1"/>
  <c r="BO76" i="28" s="1"/>
  <c r="BN76" i="28" a="1"/>
  <c r="BN76" i="28" s="1"/>
  <c r="BQ75" i="28" a="1"/>
  <c r="BQ75" i="28" s="1"/>
  <c r="BP75" i="28" a="1"/>
  <c r="BP75" i="28" s="1"/>
  <c r="BO75" i="28" a="1"/>
  <c r="BO75" i="28" s="1"/>
  <c r="BN75" i="28" a="1"/>
  <c r="BN75" i="28" s="1"/>
  <c r="BQ74" i="28" a="1"/>
  <c r="BQ74" i="28" s="1"/>
  <c r="BP74" i="28" a="1"/>
  <c r="BP74" i="28" s="1"/>
  <c r="BO74" i="28" a="1"/>
  <c r="BO74" i="28" s="1"/>
  <c r="BN74" i="28" a="1"/>
  <c r="BN74" i="28" s="1"/>
  <c r="BQ73" i="28" a="1"/>
  <c r="BQ73" i="28" s="1"/>
  <c r="BP73" i="28" a="1"/>
  <c r="BP73" i="28" s="1"/>
  <c r="BO73" i="28" a="1"/>
  <c r="BO73" i="28" s="1"/>
  <c r="BN73" i="28" a="1"/>
  <c r="BN73" i="28" s="1"/>
  <c r="BQ72" i="28" a="1"/>
  <c r="BQ72" i="28" s="1"/>
  <c r="BP72" i="28" a="1"/>
  <c r="BP72" i="28" s="1"/>
  <c r="BO72" i="28" a="1"/>
  <c r="BO72" i="28" s="1"/>
  <c r="BN72" i="28" a="1"/>
  <c r="BN72" i="28" s="1"/>
  <c r="BQ71" i="28" a="1"/>
  <c r="BQ71" i="28" s="1"/>
  <c r="BP71" i="28" a="1"/>
  <c r="BP71" i="28" s="1"/>
  <c r="BO71" i="28" a="1"/>
  <c r="BO71" i="28" s="1"/>
  <c r="BN71" i="28" a="1"/>
  <c r="BN71" i="28" s="1"/>
  <c r="BQ70" i="28" a="1"/>
  <c r="BQ70" i="28" s="1"/>
  <c r="BP70" i="28" a="1"/>
  <c r="BP70" i="28" s="1"/>
  <c r="BO70" i="28" a="1"/>
  <c r="BO70" i="28" s="1"/>
  <c r="BN70" i="28" a="1"/>
  <c r="BN70" i="28" s="1"/>
  <c r="BQ69" i="28" a="1"/>
  <c r="BQ69" i="28" s="1"/>
  <c r="BP69" i="28" a="1"/>
  <c r="BP69" i="28" s="1"/>
  <c r="BO69" i="28" a="1"/>
  <c r="BO69" i="28" s="1"/>
  <c r="BN69" i="28" a="1"/>
  <c r="BN69" i="28" s="1"/>
  <c r="BQ68" i="28" a="1"/>
  <c r="BQ68" i="28" s="1"/>
  <c r="BP68" i="28" a="1"/>
  <c r="BP68" i="28" s="1"/>
  <c r="BO68" i="28" a="1"/>
  <c r="BO68" i="28" s="1"/>
  <c r="BN68" i="28" a="1"/>
  <c r="BN68" i="28" s="1"/>
  <c r="BQ67" i="28" a="1"/>
  <c r="BQ67" i="28" s="1"/>
  <c r="BP67" i="28" a="1"/>
  <c r="BP67" i="28" s="1"/>
  <c r="BO67" i="28" a="1"/>
  <c r="BO67" i="28" s="1"/>
  <c r="BN67" i="28" a="1"/>
  <c r="BN67" i="28" s="1"/>
  <c r="BQ66" i="28" a="1"/>
  <c r="BQ66" i="28" s="1"/>
  <c r="BP66" i="28" a="1"/>
  <c r="BP66" i="28" s="1"/>
  <c r="BO66" i="28" a="1"/>
  <c r="BO66" i="28" s="1"/>
  <c r="BN66" i="28" a="1"/>
  <c r="BN66" i="28" s="1"/>
  <c r="BQ65" i="28" a="1"/>
  <c r="BQ65" i="28" s="1"/>
  <c r="BP65" i="28" a="1"/>
  <c r="BP65" i="28" s="1"/>
  <c r="BO65" i="28" a="1"/>
  <c r="BO65" i="28" s="1"/>
  <c r="BN65" i="28" a="1"/>
  <c r="BN65" i="28" s="1"/>
  <c r="BQ64" i="28" a="1"/>
  <c r="BQ64" i="28" s="1"/>
  <c r="BP64" i="28" a="1"/>
  <c r="BP64" i="28" s="1"/>
  <c r="BO64" i="28" a="1"/>
  <c r="BO64" i="28" s="1"/>
  <c r="BN64" i="28" a="1"/>
  <c r="BN64" i="28" s="1"/>
  <c r="BQ63" i="28" a="1"/>
  <c r="BQ63" i="28" s="1"/>
  <c r="BP63" i="28" a="1"/>
  <c r="BP63" i="28" s="1"/>
  <c r="BO63" i="28" a="1"/>
  <c r="BO63" i="28" s="1"/>
  <c r="BN63" i="28" a="1"/>
  <c r="BN63" i="28" s="1"/>
  <c r="BQ62" i="28" a="1"/>
  <c r="BQ62" i="28" s="1"/>
  <c r="BP62" i="28" a="1"/>
  <c r="BP62" i="28" s="1"/>
  <c r="BO62" i="28" a="1"/>
  <c r="BO62" i="28" s="1"/>
  <c r="BN62" i="28" a="1"/>
  <c r="BN62" i="28" s="1"/>
  <c r="BQ61" i="28" a="1"/>
  <c r="BQ61" i="28" s="1"/>
  <c r="BP61" i="28" a="1"/>
  <c r="BP61" i="28" s="1"/>
  <c r="BO61" i="28" a="1"/>
  <c r="BO61" i="28" s="1"/>
  <c r="BN61" i="28" a="1"/>
  <c r="BN61" i="28" s="1"/>
  <c r="BQ60" i="28" a="1"/>
  <c r="BQ60" i="28" s="1"/>
  <c r="BP60" i="28" a="1"/>
  <c r="BP60" i="28" s="1"/>
  <c r="BO60" i="28" a="1"/>
  <c r="BO60" i="28" s="1"/>
  <c r="BN60" i="28" a="1"/>
  <c r="BN60" i="28" s="1"/>
  <c r="BQ59" i="28" a="1"/>
  <c r="BQ59" i="28" s="1"/>
  <c r="BP59" i="28" a="1"/>
  <c r="BP59" i="28" s="1"/>
  <c r="BO59" i="28" a="1"/>
  <c r="BO59" i="28" s="1"/>
  <c r="BN59" i="28" a="1"/>
  <c r="BN59" i="28" s="1"/>
  <c r="BQ58" i="28" a="1"/>
  <c r="BQ58" i="28" s="1"/>
  <c r="BP58" i="28" a="1"/>
  <c r="BP58" i="28" s="1"/>
  <c r="BO58" i="28" a="1"/>
  <c r="BO58" i="28" s="1"/>
  <c r="BN58" i="28" a="1"/>
  <c r="BN58" i="28" s="1"/>
  <c r="BQ57" i="28" a="1"/>
  <c r="BQ57" i="28" s="1"/>
  <c r="BP57" i="28" a="1"/>
  <c r="BP57" i="28" s="1"/>
  <c r="BO57" i="28" a="1"/>
  <c r="BO57" i="28" s="1"/>
  <c r="BN57" i="28" a="1"/>
  <c r="BN57" i="28" s="1"/>
  <c r="BQ56" i="28" a="1"/>
  <c r="BQ56" i="28" s="1"/>
  <c r="BP56" i="28" a="1"/>
  <c r="BP56" i="28" s="1"/>
  <c r="BO56" i="28" a="1"/>
  <c r="BO56" i="28" s="1"/>
  <c r="BN56" i="28" a="1"/>
  <c r="BN56" i="28" s="1"/>
  <c r="BQ55" i="28" a="1"/>
  <c r="BQ55" i="28" s="1"/>
  <c r="BP55" i="28" a="1"/>
  <c r="BP55" i="28" s="1"/>
  <c r="BO55" i="28" a="1"/>
  <c r="BO55" i="28" s="1"/>
  <c r="BN55" i="28" a="1"/>
  <c r="BN55" i="28" s="1"/>
  <c r="BQ54" i="28" a="1"/>
  <c r="BQ54" i="28" s="1"/>
  <c r="BP54" i="28" a="1"/>
  <c r="BP54" i="28" s="1"/>
  <c r="BO54" i="28" a="1"/>
  <c r="BO54" i="28" s="1"/>
  <c r="BN54" i="28" a="1"/>
  <c r="BN54" i="28" s="1"/>
  <c r="BQ53" i="28" a="1"/>
  <c r="BQ53" i="28" s="1"/>
  <c r="BP53" i="28" a="1"/>
  <c r="BP53" i="28" s="1"/>
  <c r="BO53" i="28" a="1"/>
  <c r="BO53" i="28" s="1"/>
  <c r="BN53" i="28" a="1"/>
  <c r="BN53" i="28" s="1"/>
  <c r="BQ52" i="28" a="1"/>
  <c r="BQ52" i="28" s="1"/>
  <c r="BP52" i="28" a="1"/>
  <c r="BP52" i="28" s="1"/>
  <c r="BO52" i="28" a="1"/>
  <c r="BO52" i="28" s="1"/>
  <c r="BN52" i="28" a="1"/>
  <c r="BN52" i="28" s="1"/>
  <c r="BQ51" i="28" a="1"/>
  <c r="BQ51" i="28" s="1"/>
  <c r="BP51" i="28" a="1"/>
  <c r="BP51" i="28" s="1"/>
  <c r="BO51" i="28" a="1"/>
  <c r="BO51" i="28" s="1"/>
  <c r="BN51" i="28" a="1"/>
  <c r="BN51" i="28" s="1"/>
  <c r="BQ50" i="28" a="1"/>
  <c r="BQ50" i="28" s="1"/>
  <c r="BP50" i="28" a="1"/>
  <c r="BP50" i="28" s="1"/>
  <c r="BO50" i="28" a="1"/>
  <c r="BO50" i="28" s="1"/>
  <c r="BN50" i="28" a="1"/>
  <c r="BN50" i="28" s="1"/>
  <c r="BQ49" i="28" a="1"/>
  <c r="BQ49" i="28" s="1"/>
  <c r="BP49" i="28" a="1"/>
  <c r="BP49" i="28" s="1"/>
  <c r="BO49" i="28" a="1"/>
  <c r="BO49" i="28" s="1"/>
  <c r="BN49" i="28" a="1"/>
  <c r="BN49" i="28" s="1"/>
  <c r="BQ48" i="28" a="1"/>
  <c r="BQ48" i="28" s="1"/>
  <c r="BP48" i="28" a="1"/>
  <c r="BP48" i="28" s="1"/>
  <c r="BO48" i="28" a="1"/>
  <c r="BO48" i="28" s="1"/>
  <c r="BN48" i="28" a="1"/>
  <c r="BN48" i="28" s="1"/>
  <c r="BQ47" i="28" a="1"/>
  <c r="BQ47" i="28" s="1"/>
  <c r="BP47" i="28" a="1"/>
  <c r="BP47" i="28" s="1"/>
  <c r="BO47" i="28" a="1"/>
  <c r="BO47" i="28" s="1"/>
  <c r="BN47" i="28" a="1"/>
  <c r="BN47" i="28" s="1"/>
  <c r="BQ46" i="28" a="1"/>
  <c r="BQ46" i="28" s="1"/>
  <c r="BP46" i="28" a="1"/>
  <c r="BP46" i="28" s="1"/>
  <c r="BO46" i="28" a="1"/>
  <c r="BO46" i="28" s="1"/>
  <c r="BN46" i="28" a="1"/>
  <c r="BN46" i="28" s="1"/>
  <c r="BQ45" i="28" a="1"/>
  <c r="BQ45" i="28" s="1"/>
  <c r="BP45" i="28" a="1"/>
  <c r="BP45" i="28" s="1"/>
  <c r="BO45" i="28" a="1"/>
  <c r="BO45" i="28" s="1"/>
  <c r="BN45" i="28" a="1"/>
  <c r="BN45" i="28" s="1"/>
  <c r="BQ44" i="28" a="1"/>
  <c r="BQ44" i="28" s="1"/>
  <c r="BP44" i="28" a="1"/>
  <c r="BP44" i="28" s="1"/>
  <c r="BO44" i="28" a="1"/>
  <c r="BO44" i="28" s="1"/>
  <c r="BN44" i="28" a="1"/>
  <c r="BN44" i="28" s="1"/>
  <c r="BQ43" i="28" a="1"/>
  <c r="BQ43" i="28" s="1"/>
  <c r="BP43" i="28" a="1"/>
  <c r="BP43" i="28" s="1"/>
  <c r="BO43" i="28" a="1"/>
  <c r="BO43" i="28" s="1"/>
  <c r="BN43" i="28" a="1"/>
  <c r="BN43" i="28" s="1"/>
  <c r="BQ42" i="28" a="1"/>
  <c r="BQ42" i="28" s="1"/>
  <c r="BP42" i="28" a="1"/>
  <c r="BP42" i="28" s="1"/>
  <c r="BO42" i="28" a="1"/>
  <c r="BO42" i="28" s="1"/>
  <c r="BN42" i="28" a="1"/>
  <c r="BN42" i="28" s="1"/>
  <c r="BQ41" i="28" a="1"/>
  <c r="BQ41" i="28" s="1"/>
  <c r="BP41" i="28" a="1"/>
  <c r="BP41" i="28" s="1"/>
  <c r="BO41" i="28" a="1"/>
  <c r="BO41" i="28" s="1"/>
  <c r="BN41" i="28" a="1"/>
  <c r="BN41" i="28" s="1"/>
  <c r="BQ40" i="28" a="1"/>
  <c r="BQ40" i="28" s="1"/>
  <c r="BP40" i="28" a="1"/>
  <c r="BP40" i="28" s="1"/>
  <c r="BO40" i="28" a="1"/>
  <c r="BO40" i="28" s="1"/>
  <c r="BN40" i="28" a="1"/>
  <c r="BN40" i="28" s="1"/>
  <c r="BQ39" i="28" a="1"/>
  <c r="BQ39" i="28" s="1"/>
  <c r="BP39" i="28" a="1"/>
  <c r="BP39" i="28" s="1"/>
  <c r="BO39" i="28" a="1"/>
  <c r="BO39" i="28" s="1"/>
  <c r="BN39" i="28" a="1"/>
  <c r="BN39" i="28" s="1"/>
  <c r="BQ38" i="28" a="1"/>
  <c r="BQ38" i="28" s="1"/>
  <c r="BP38" i="28" a="1"/>
  <c r="BP38" i="28" s="1"/>
  <c r="BO38" i="28" a="1"/>
  <c r="BO38" i="28" s="1"/>
  <c r="BN38" i="28" a="1"/>
  <c r="BN38" i="28" s="1"/>
  <c r="BQ37" i="28"/>
  <c r="BQ37" i="28" a="1"/>
  <c r="BP37" i="28" a="1"/>
  <c r="BP37" i="28" s="1"/>
  <c r="BO37" i="28" a="1"/>
  <c r="BO37" i="28" s="1"/>
  <c r="BN37" i="28" a="1"/>
  <c r="BN37" i="28" s="1"/>
  <c r="BQ36" i="28"/>
  <c r="BQ36" i="28" a="1"/>
  <c r="BP36" i="28" a="1"/>
  <c r="BP36" i="28" s="1"/>
  <c r="BO36" i="28" a="1"/>
  <c r="BO36" i="28" s="1"/>
  <c r="BN36" i="28" a="1"/>
  <c r="BN36" i="28" s="1"/>
  <c r="BQ35" i="28"/>
  <c r="BQ35" i="28" a="1"/>
  <c r="BP35" i="28" a="1"/>
  <c r="BP35" i="28" s="1"/>
  <c r="BO35" i="28" a="1"/>
  <c r="BO35" i="28" s="1"/>
  <c r="BN35" i="28" a="1"/>
  <c r="BN35" i="28" s="1"/>
  <c r="BQ34" i="28"/>
  <c r="BQ34" i="28" a="1"/>
  <c r="BP34" i="28" a="1"/>
  <c r="BP34" i="28" s="1"/>
  <c r="BO34" i="28" a="1"/>
  <c r="BO34" i="28" s="1"/>
  <c r="BN34" i="28" a="1"/>
  <c r="BN34" i="28" s="1"/>
  <c r="BQ33" i="28"/>
  <c r="BQ33" i="28" a="1"/>
  <c r="BP33" i="28" a="1"/>
  <c r="BP33" i="28" s="1"/>
  <c r="BO33" i="28" a="1"/>
  <c r="BO33" i="28" s="1"/>
  <c r="BN33" i="28" a="1"/>
  <c r="BN33" i="28" s="1"/>
  <c r="BQ32" i="28"/>
  <c r="BQ32" i="28" a="1"/>
  <c r="BP32" i="28" a="1"/>
  <c r="BP32" i="28" s="1"/>
  <c r="BO32" i="28" a="1"/>
  <c r="BO32" i="28" s="1"/>
  <c r="BN32" i="28" a="1"/>
  <c r="BN32" i="28" s="1"/>
  <c r="BQ31" i="28"/>
  <c r="BQ31" i="28" a="1"/>
  <c r="BP31" i="28" a="1"/>
  <c r="BP31" i="28" s="1"/>
  <c r="BO31" i="28" a="1"/>
  <c r="BO31" i="28" s="1"/>
  <c r="BN31" i="28" a="1"/>
  <c r="BN31" i="28" s="1"/>
  <c r="BQ30" i="28"/>
  <c r="BQ30" i="28" a="1"/>
  <c r="BP30" i="28" a="1"/>
  <c r="BP30" i="28" s="1"/>
  <c r="BO30" i="28" a="1"/>
  <c r="BO30" i="28" s="1"/>
  <c r="BN30" i="28" a="1"/>
  <c r="BN30" i="28" s="1"/>
  <c r="BQ29" i="28"/>
  <c r="BQ29" i="28" a="1"/>
  <c r="BP29" i="28" a="1"/>
  <c r="BP29" i="28" s="1"/>
  <c r="BO29" i="28" a="1"/>
  <c r="BO29" i="28" s="1"/>
  <c r="BN29" i="28" a="1"/>
  <c r="BN29" i="28" s="1"/>
  <c r="BQ28" i="28"/>
  <c r="BQ28" i="28" a="1"/>
  <c r="BP28" i="28" a="1"/>
  <c r="BP28" i="28" s="1"/>
  <c r="BO28" i="28" a="1"/>
  <c r="BO28" i="28" s="1"/>
  <c r="BN28" i="28" a="1"/>
  <c r="BN28" i="28" s="1"/>
  <c r="BQ27" i="28"/>
  <c r="BQ27" i="28" a="1"/>
  <c r="BP27" i="28" a="1"/>
  <c r="BP27" i="28" s="1"/>
  <c r="BO27" i="28" a="1"/>
  <c r="BO27" i="28" s="1"/>
  <c r="BN27" i="28" a="1"/>
  <c r="BN27" i="28" s="1"/>
  <c r="BQ26" i="28"/>
  <c r="BQ26" i="28" a="1"/>
  <c r="BP26" i="28" a="1"/>
  <c r="BP26" i="28" s="1"/>
  <c r="BO26" i="28" a="1"/>
  <c r="BO26" i="28" s="1"/>
  <c r="BN26" i="28" a="1"/>
  <c r="BN26" i="28" s="1"/>
  <c r="BQ25" i="28"/>
  <c r="BQ25" i="28" a="1"/>
  <c r="BP25" i="28" a="1"/>
  <c r="BP25" i="28" s="1"/>
  <c r="BO25" i="28" a="1"/>
  <c r="BO25" i="28" s="1"/>
  <c r="BN25" i="28" a="1"/>
  <c r="BN25" i="28" s="1"/>
  <c r="BQ24" i="28"/>
  <c r="BQ24" i="28" a="1"/>
  <c r="BP24" i="28" a="1"/>
  <c r="BP24" i="28" s="1"/>
  <c r="BO24" i="28" a="1"/>
  <c r="BO24" i="28" s="1"/>
  <c r="BN24" i="28" a="1"/>
  <c r="BN24" i="28" s="1"/>
  <c r="BQ23" i="28"/>
  <c r="BQ23" i="28" a="1"/>
  <c r="BP23" i="28" a="1"/>
  <c r="BP23" i="28" s="1"/>
  <c r="BO23" i="28" a="1"/>
  <c r="BO23" i="28" s="1"/>
  <c r="BN23" i="28" a="1"/>
  <c r="BN23" i="28" s="1"/>
  <c r="BQ22" i="28"/>
  <c r="BQ22" i="28" a="1"/>
  <c r="BP22" i="28" a="1"/>
  <c r="BP22" i="28" s="1"/>
  <c r="BO22" i="28" a="1"/>
  <c r="BO22" i="28" s="1"/>
  <c r="BN22" i="28" a="1"/>
  <c r="BN22" i="28" s="1"/>
  <c r="BQ21" i="28"/>
  <c r="BQ21" i="28" a="1"/>
  <c r="BP21" i="28" a="1"/>
  <c r="BP21" i="28" s="1"/>
  <c r="BO21" i="28" a="1"/>
  <c r="BO21" i="28" s="1"/>
  <c r="BN21" i="28" a="1"/>
  <c r="BN21" i="28" s="1"/>
  <c r="BQ20" i="28"/>
  <c r="BQ20" i="28" a="1"/>
  <c r="BP20" i="28" a="1"/>
  <c r="BP20" i="28" s="1"/>
  <c r="BO20" i="28" a="1"/>
  <c r="BO20" i="28" s="1"/>
  <c r="BN20" i="28" a="1"/>
  <c r="BN20" i="28" s="1"/>
  <c r="BQ19" i="28"/>
  <c r="BQ19" i="28" a="1"/>
  <c r="BP19" i="28" a="1"/>
  <c r="BP19" i="28" s="1"/>
  <c r="BO19" i="28" a="1"/>
  <c r="BO19" i="28" s="1"/>
  <c r="BN19" i="28" a="1"/>
  <c r="BN19" i="28" s="1"/>
  <c r="BQ18" i="28"/>
  <c r="BQ18" i="28" a="1"/>
  <c r="BP18" i="28" a="1"/>
  <c r="BP18" i="28" s="1"/>
  <c r="BO18" i="28" a="1"/>
  <c r="BO18" i="28" s="1"/>
  <c r="BN18" i="28" a="1"/>
  <c r="BN18" i="28" s="1"/>
  <c r="BQ17" i="28"/>
  <c r="BQ17" i="28" a="1"/>
  <c r="BP17" i="28" a="1"/>
  <c r="BP17" i="28" s="1"/>
  <c r="BO17" i="28" a="1"/>
  <c r="BO17" i="28" s="1"/>
  <c r="BN17" i="28" a="1"/>
  <c r="BN17" i="28" s="1"/>
  <c r="BQ16" i="28" a="1"/>
  <c r="BQ16" i="28" s="1"/>
  <c r="BP16" i="28" a="1"/>
  <c r="BP16" i="28" s="1"/>
  <c r="BO16" i="28" a="1"/>
  <c r="BO16" i="28" s="1"/>
  <c r="BN16" i="28" a="1"/>
  <c r="BN16" i="28" s="1"/>
  <c r="BQ15" i="28" a="1"/>
  <c r="BQ15" i="28" s="1"/>
  <c r="BP15" i="28" a="1"/>
  <c r="BP15" i="28" s="1"/>
  <c r="BO15" i="28" a="1"/>
  <c r="BO15" i="28" s="1"/>
  <c r="BN15" i="28" a="1"/>
  <c r="BN15" i="28" s="1"/>
  <c r="BQ14" i="28" a="1"/>
  <c r="BQ14" i="28" s="1"/>
  <c r="BP14" i="28" a="1"/>
  <c r="BP14" i="28" s="1"/>
  <c r="BO14" i="28" a="1"/>
  <c r="BO14" i="28" s="1"/>
  <c r="BN14" i="28" a="1"/>
  <c r="BN14" i="28" s="1"/>
  <c r="BQ13" i="28" a="1"/>
  <c r="BQ13" i="28" s="1"/>
  <c r="BP13" i="28" a="1"/>
  <c r="BP13" i="28" s="1"/>
  <c r="BO13" i="28" a="1"/>
  <c r="BO13" i="28" s="1"/>
  <c r="BN13" i="28" a="1"/>
  <c r="BN13" i="28" s="1"/>
  <c r="BQ12" i="28" a="1"/>
  <c r="BQ12" i="28" s="1"/>
  <c r="BP12" i="28" a="1"/>
  <c r="BP12" i="28" s="1"/>
  <c r="BO12" i="28" a="1"/>
  <c r="BO12" i="28" s="1"/>
  <c r="BN12" i="28" a="1"/>
  <c r="BN12" i="28" s="1"/>
  <c r="BQ11" i="28" a="1"/>
  <c r="BQ11" i="28" s="1"/>
  <c r="BP11" i="28" a="1"/>
  <c r="BP11" i="28" s="1"/>
  <c r="BO11" i="28" a="1"/>
  <c r="BO11" i="28" s="1"/>
  <c r="BN11" i="28" a="1"/>
  <c r="BN11" i="28" s="1"/>
  <c r="BM122" i="28" a="1"/>
  <c r="BM122" i="28" s="1"/>
  <c r="BM121" i="28" a="1"/>
  <c r="BM121" i="28" s="1"/>
  <c r="BM120" i="28" a="1"/>
  <c r="BM120" i="28" s="1"/>
  <c r="BM119" i="28" a="1"/>
  <c r="BM119" i="28" s="1"/>
  <c r="BM118" i="28" a="1"/>
  <c r="BM118" i="28" s="1"/>
  <c r="BM117" i="28" a="1"/>
  <c r="BM117" i="28" s="1"/>
  <c r="BM116" i="28" a="1"/>
  <c r="BM116" i="28" s="1"/>
  <c r="BM115" i="28" a="1"/>
  <c r="BM115" i="28" s="1"/>
  <c r="BM114" i="28" a="1"/>
  <c r="BM114" i="28" s="1"/>
  <c r="BM113" i="28" a="1"/>
  <c r="BM113" i="28" s="1"/>
  <c r="BM112" i="28" a="1"/>
  <c r="BM112" i="28" s="1"/>
  <c r="BM111" i="28" a="1"/>
  <c r="BM111" i="28" s="1"/>
  <c r="BM110" i="28" a="1"/>
  <c r="BM110" i="28" s="1"/>
  <c r="BM109" i="28" a="1"/>
  <c r="BM109" i="28" s="1"/>
  <c r="BM108" i="28" a="1"/>
  <c r="BM108" i="28" s="1"/>
  <c r="BM107" i="28" a="1"/>
  <c r="BM107" i="28" s="1"/>
  <c r="BM106" i="28" a="1"/>
  <c r="BM106" i="28" s="1"/>
  <c r="BM105" i="28" a="1"/>
  <c r="BM105" i="28" s="1"/>
  <c r="BM104" i="28" a="1"/>
  <c r="BM104" i="28" s="1"/>
  <c r="BM103" i="28" a="1"/>
  <c r="BM103" i="28" s="1"/>
  <c r="BM102" i="28" a="1"/>
  <c r="BM102" i="28" s="1"/>
  <c r="BM101" i="28" a="1"/>
  <c r="BM101" i="28" s="1"/>
  <c r="BM100" i="28" a="1"/>
  <c r="BM100" i="28" s="1"/>
  <c r="BM99" i="28" a="1"/>
  <c r="BM99" i="28" s="1"/>
  <c r="BM98" i="28" a="1"/>
  <c r="BM98" i="28" s="1"/>
  <c r="BM97" i="28" a="1"/>
  <c r="BM97" i="28" s="1"/>
  <c r="BM96" i="28" a="1"/>
  <c r="BM96" i="28" s="1"/>
  <c r="BM95" i="28" a="1"/>
  <c r="BM95" i="28" s="1"/>
  <c r="BM94" i="28" a="1"/>
  <c r="BM94" i="28" s="1"/>
  <c r="BM93" i="28" a="1"/>
  <c r="BM93" i="28" s="1"/>
  <c r="BM92" i="28" a="1"/>
  <c r="BM92" i="28" s="1"/>
  <c r="BM91" i="28" a="1"/>
  <c r="BM91" i="28" s="1"/>
  <c r="BM90" i="28" a="1"/>
  <c r="BM90" i="28" s="1"/>
  <c r="BM89" i="28" a="1"/>
  <c r="BM89" i="28" s="1"/>
  <c r="BM88" i="28" a="1"/>
  <c r="BM88" i="28" s="1"/>
  <c r="BM87" i="28" a="1"/>
  <c r="BM87" i="28" s="1"/>
  <c r="BM86" i="28" a="1"/>
  <c r="BM86" i="28" s="1"/>
  <c r="BM85" i="28" a="1"/>
  <c r="BM85" i="28" s="1"/>
  <c r="BM84" i="28" a="1"/>
  <c r="BM84" i="28" s="1"/>
  <c r="BM83" i="28" a="1"/>
  <c r="BM83" i="28" s="1"/>
  <c r="BM82" i="28" a="1"/>
  <c r="BM82" i="28" s="1"/>
  <c r="BM81" i="28" a="1"/>
  <c r="BM81" i="28" s="1"/>
  <c r="BM80" i="28" a="1"/>
  <c r="BM80" i="28" s="1"/>
  <c r="BM79" i="28" a="1"/>
  <c r="BM79" i="28" s="1"/>
  <c r="BM78" i="28" a="1"/>
  <c r="BM78" i="28" s="1"/>
  <c r="BM77" i="28" a="1"/>
  <c r="BM77" i="28" s="1"/>
  <c r="BM76" i="28" a="1"/>
  <c r="BM76" i="28" s="1"/>
  <c r="BM75" i="28" a="1"/>
  <c r="BM75" i="28" s="1"/>
  <c r="BM74" i="28" a="1"/>
  <c r="BM74" i="28" s="1"/>
  <c r="BM73" i="28" a="1"/>
  <c r="BM73" i="28" s="1"/>
  <c r="BM72" i="28" a="1"/>
  <c r="BM72" i="28" s="1"/>
  <c r="BM71" i="28" a="1"/>
  <c r="BM71" i="28" s="1"/>
  <c r="BM70" i="28" a="1"/>
  <c r="BM70" i="28" s="1"/>
  <c r="BM69" i="28" a="1"/>
  <c r="BM69" i="28" s="1"/>
  <c r="BM68" i="28" a="1"/>
  <c r="BM68" i="28" s="1"/>
  <c r="BM67" i="28" a="1"/>
  <c r="BM67" i="28" s="1"/>
  <c r="BM66" i="28" a="1"/>
  <c r="BM66" i="28" s="1"/>
  <c r="BM65" i="28" a="1"/>
  <c r="BM65" i="28" s="1"/>
  <c r="BM64" i="28" a="1"/>
  <c r="BM64" i="28" s="1"/>
  <c r="BM63" i="28" a="1"/>
  <c r="BM63" i="28" s="1"/>
  <c r="BM62" i="28" a="1"/>
  <c r="BM62" i="28" s="1"/>
  <c r="BM61" i="28" a="1"/>
  <c r="BM61" i="28" s="1"/>
  <c r="BM60" i="28" a="1"/>
  <c r="BM60" i="28" s="1"/>
  <c r="BM59" i="28" a="1"/>
  <c r="BM59" i="28" s="1"/>
  <c r="BM58" i="28" a="1"/>
  <c r="BM58" i="28" s="1"/>
  <c r="BM57" i="28" a="1"/>
  <c r="BM57" i="28" s="1"/>
  <c r="BM56" i="28" a="1"/>
  <c r="BM56" i="28" s="1"/>
  <c r="BM55" i="28" a="1"/>
  <c r="BM55" i="28" s="1"/>
  <c r="BM54" i="28" a="1"/>
  <c r="BM54" i="28" s="1"/>
  <c r="BM53" i="28" a="1"/>
  <c r="BM53" i="28" s="1"/>
  <c r="BM52" i="28" a="1"/>
  <c r="BM52" i="28" s="1"/>
  <c r="BM51" i="28" a="1"/>
  <c r="BM51" i="28" s="1"/>
  <c r="BM50" i="28" a="1"/>
  <c r="BM50" i="28" s="1"/>
  <c r="BM49" i="28" a="1"/>
  <c r="BM49" i="28" s="1"/>
  <c r="BM48" i="28" a="1"/>
  <c r="BM48" i="28" s="1"/>
  <c r="BM47" i="28" a="1"/>
  <c r="BM47" i="28" s="1"/>
  <c r="BM46" i="28" a="1"/>
  <c r="BM46" i="28" s="1"/>
  <c r="BM45" i="28" a="1"/>
  <c r="BM45" i="28" s="1"/>
  <c r="BM44" i="28" a="1"/>
  <c r="BM44" i="28" s="1"/>
  <c r="BM43" i="28" a="1"/>
  <c r="BM43" i="28" s="1"/>
  <c r="BM42" i="28" a="1"/>
  <c r="BM42" i="28" s="1"/>
  <c r="BM41" i="28" a="1"/>
  <c r="BM41" i="28" s="1"/>
  <c r="BM40" i="28" a="1"/>
  <c r="BM40" i="28" s="1"/>
  <c r="BM39" i="28" a="1"/>
  <c r="BM39" i="28" s="1"/>
  <c r="BM38" i="28" a="1"/>
  <c r="BM38" i="28" s="1"/>
  <c r="BM37" i="28" a="1"/>
  <c r="BM37" i="28" s="1"/>
  <c r="BM36" i="28" a="1"/>
  <c r="BM36" i="28" s="1"/>
  <c r="BM35" i="28" a="1"/>
  <c r="BM35" i="28" s="1"/>
  <c r="BM34" i="28" a="1"/>
  <c r="BM34" i="28" s="1"/>
  <c r="BM33" i="28" a="1"/>
  <c r="BM33" i="28" s="1"/>
  <c r="BM32" i="28" a="1"/>
  <c r="BM32" i="28" s="1"/>
  <c r="BM31" i="28" a="1"/>
  <c r="BM31" i="28" s="1"/>
  <c r="BM30" i="28" a="1"/>
  <c r="BM30" i="28" s="1"/>
  <c r="BM29" i="28" a="1"/>
  <c r="BM29" i="28" s="1"/>
  <c r="BM28" i="28" a="1"/>
  <c r="BM28" i="28" s="1"/>
  <c r="BM27" i="28" a="1"/>
  <c r="BM27" i="28" s="1"/>
  <c r="BM26" i="28" a="1"/>
  <c r="BM26" i="28" s="1"/>
  <c r="BM25" i="28" a="1"/>
  <c r="BM25" i="28" s="1"/>
  <c r="BM24" i="28" a="1"/>
  <c r="BM24" i="28" s="1"/>
  <c r="BM23" i="28" a="1"/>
  <c r="BM23" i="28" s="1"/>
  <c r="BM22" i="28" a="1"/>
  <c r="BM22" i="28" s="1"/>
  <c r="BM21" i="28" a="1"/>
  <c r="BM21" i="28" s="1"/>
  <c r="BM20" i="28" a="1"/>
  <c r="BM20" i="28" s="1"/>
  <c r="BM19" i="28" a="1"/>
  <c r="BM19" i="28" s="1"/>
  <c r="BM18" i="28" a="1"/>
  <c r="BM18" i="28" s="1"/>
  <c r="BM17" i="28" a="1"/>
  <c r="BM17" i="28" s="1"/>
  <c r="BM16" i="28" a="1"/>
  <c r="BM16" i="28" s="1"/>
  <c r="BM15" i="28" a="1"/>
  <c r="BM15" i="28" s="1"/>
  <c r="BM14" i="28" a="1"/>
  <c r="BM14" i="28" s="1"/>
  <c r="BM13" i="28" a="1"/>
  <c r="BM13" i="28" s="1"/>
  <c r="BM12" i="28" a="1"/>
  <c r="BM12" i="28" s="1"/>
  <c r="BM11" i="28" a="1"/>
  <c r="BM11" i="28" s="1"/>
  <c r="BG14" i="28" a="1"/>
  <c r="BG14" i="28"/>
  <c r="BG122" i="28"/>
  <c r="BG122" i="28" a="1"/>
  <c r="BF122" i="28"/>
  <c r="BF122" i="28" a="1"/>
  <c r="BE122" i="28"/>
  <c r="BE122" i="28" a="1"/>
  <c r="BD122" i="28"/>
  <c r="BD122" i="28" a="1"/>
  <c r="BG121" i="28" a="1"/>
  <c r="BG121" i="28" s="1"/>
  <c r="BF121" i="28" a="1"/>
  <c r="BF121" i="28" s="1"/>
  <c r="BE121" i="28" a="1"/>
  <c r="BE121" i="28" s="1"/>
  <c r="BD121" i="28"/>
  <c r="BD121" i="28" a="1"/>
  <c r="BG120" i="28" a="1"/>
  <c r="BG120" i="28" s="1"/>
  <c r="BF120" i="28" a="1"/>
  <c r="BF120" i="28" s="1"/>
  <c r="BE120" i="28" a="1"/>
  <c r="BE120" i="28" s="1"/>
  <c r="BD120" i="28" a="1"/>
  <c r="BD120" i="28" s="1"/>
  <c r="BG119" i="28" a="1"/>
  <c r="BG119" i="28" s="1"/>
  <c r="BF119" i="28" a="1"/>
  <c r="BF119" i="28" s="1"/>
  <c r="BE119" i="28" a="1"/>
  <c r="BE119" i="28" s="1"/>
  <c r="BD119" i="28" a="1"/>
  <c r="BD119" i="28" s="1"/>
  <c r="BG118" i="28" a="1"/>
  <c r="BG118" i="28" s="1"/>
  <c r="BF118" i="28" a="1"/>
  <c r="BF118" i="28" s="1"/>
  <c r="BE118" i="28" a="1"/>
  <c r="BE118" i="28" s="1"/>
  <c r="BD118" i="28" a="1"/>
  <c r="BD118" i="28" s="1"/>
  <c r="BG117" i="28" a="1"/>
  <c r="BG117" i="28" s="1"/>
  <c r="BF117" i="28" a="1"/>
  <c r="BF117" i="28" s="1"/>
  <c r="BE117" i="28" a="1"/>
  <c r="BE117" i="28" s="1"/>
  <c r="BD117" i="28" a="1"/>
  <c r="BD117" i="28" s="1"/>
  <c r="BG116" i="28" a="1"/>
  <c r="BG116" i="28" s="1"/>
  <c r="BF116" i="28" a="1"/>
  <c r="BF116" i="28" s="1"/>
  <c r="BE116" i="28" a="1"/>
  <c r="BE116" i="28" s="1"/>
  <c r="BD116" i="28" a="1"/>
  <c r="BD116" i="28" s="1"/>
  <c r="BG115" i="28" a="1"/>
  <c r="BG115" i="28" s="1"/>
  <c r="BF115" i="28" a="1"/>
  <c r="BF115" i="28" s="1"/>
  <c r="BE115" i="28" a="1"/>
  <c r="BE115" i="28" s="1"/>
  <c r="BD115" i="28" a="1"/>
  <c r="BD115" i="28" s="1"/>
  <c r="BG114" i="28" a="1"/>
  <c r="BG114" i="28" s="1"/>
  <c r="BF114" i="28" a="1"/>
  <c r="BF114" i="28" s="1"/>
  <c r="BE114" i="28" a="1"/>
  <c r="BE114" i="28" s="1"/>
  <c r="BD114" i="28"/>
  <c r="BD114" i="28" a="1"/>
  <c r="BG113" i="28" a="1"/>
  <c r="BG113" i="28" s="1"/>
  <c r="BF113" i="28" a="1"/>
  <c r="BF113" i="28" s="1"/>
  <c r="BE113" i="28" a="1"/>
  <c r="BE113" i="28" s="1"/>
  <c r="BD113" i="28"/>
  <c r="BD113" i="28" a="1"/>
  <c r="BG112" i="28" a="1"/>
  <c r="BG112" i="28" s="1"/>
  <c r="BF112" i="28" a="1"/>
  <c r="BF112" i="28" s="1"/>
  <c r="BE112" i="28" a="1"/>
  <c r="BE112" i="28" s="1"/>
  <c r="BD112" i="28"/>
  <c r="BD112" i="28" a="1"/>
  <c r="BG111" i="28" a="1"/>
  <c r="BG111" i="28" s="1"/>
  <c r="BF111" i="28" a="1"/>
  <c r="BF111" i="28" s="1"/>
  <c r="BE111" i="28" a="1"/>
  <c r="BE111" i="28" s="1"/>
  <c r="BD111" i="28" a="1"/>
  <c r="BD111" i="28" s="1"/>
  <c r="BG110" i="28" a="1"/>
  <c r="BG110" i="28" s="1"/>
  <c r="BF110" i="28" a="1"/>
  <c r="BF110" i="28" s="1"/>
  <c r="BE110" i="28" a="1"/>
  <c r="BE110" i="28" s="1"/>
  <c r="BD110" i="28" a="1"/>
  <c r="BD110" i="28" s="1"/>
  <c r="BG109" i="28" a="1"/>
  <c r="BG109" i="28" s="1"/>
  <c r="BF109" i="28" a="1"/>
  <c r="BF109" i="28" s="1"/>
  <c r="BE109" i="28" a="1"/>
  <c r="BE109" i="28" s="1"/>
  <c r="BD109" i="28" a="1"/>
  <c r="BD109" i="28" s="1"/>
  <c r="BG108" i="28" a="1"/>
  <c r="BG108" i="28" s="1"/>
  <c r="BF108" i="28" a="1"/>
  <c r="BF108" i="28" s="1"/>
  <c r="BE108" i="28" a="1"/>
  <c r="BE108" i="28" s="1"/>
  <c r="BD108" i="28" a="1"/>
  <c r="BD108" i="28" s="1"/>
  <c r="BG107" i="28" a="1"/>
  <c r="BG107" i="28" s="1"/>
  <c r="BF107" i="28" a="1"/>
  <c r="BF107" i="28" s="1"/>
  <c r="BE107" i="28" a="1"/>
  <c r="BE107" i="28" s="1"/>
  <c r="BD107" i="28" a="1"/>
  <c r="BD107" i="28" s="1"/>
  <c r="BG106" i="28" a="1"/>
  <c r="BG106" i="28" s="1"/>
  <c r="BF106" i="28" a="1"/>
  <c r="BF106" i="28" s="1"/>
  <c r="BE106" i="28" a="1"/>
  <c r="BE106" i="28" s="1"/>
  <c r="BD106" i="28"/>
  <c r="BD106" i="28" a="1"/>
  <c r="BG105" i="28" a="1"/>
  <c r="BG105" i="28" s="1"/>
  <c r="BF105" i="28" a="1"/>
  <c r="BF105" i="28" s="1"/>
  <c r="BE105" i="28" a="1"/>
  <c r="BE105" i="28" s="1"/>
  <c r="BD105" i="28"/>
  <c r="BD105" i="28" a="1"/>
  <c r="BG104" i="28" a="1"/>
  <c r="BG104" i="28" s="1"/>
  <c r="BF104" i="28" a="1"/>
  <c r="BF104" i="28" s="1"/>
  <c r="BE104" i="28" a="1"/>
  <c r="BE104" i="28" s="1"/>
  <c r="BD104" i="28"/>
  <c r="BD104" i="28" a="1"/>
  <c r="BG103" i="28" a="1"/>
  <c r="BG103" i="28" s="1"/>
  <c r="BF103" i="28" a="1"/>
  <c r="BF103" i="28" s="1"/>
  <c r="BE103" i="28" a="1"/>
  <c r="BE103" i="28" s="1"/>
  <c r="BD103" i="28" a="1"/>
  <c r="BD103" i="28" s="1"/>
  <c r="BG102" i="28" a="1"/>
  <c r="BG102" i="28" s="1"/>
  <c r="BF102" i="28" a="1"/>
  <c r="BF102" i="28" s="1"/>
  <c r="BE102" i="28" a="1"/>
  <c r="BE102" i="28" s="1"/>
  <c r="BD102" i="28" a="1"/>
  <c r="BD102" i="28" s="1"/>
  <c r="BG101" i="28" a="1"/>
  <c r="BG101" i="28" s="1"/>
  <c r="BF101" i="28" a="1"/>
  <c r="BF101" i="28" s="1"/>
  <c r="BE101" i="28" a="1"/>
  <c r="BE101" i="28" s="1"/>
  <c r="BD101" i="28" a="1"/>
  <c r="BD101" i="28" s="1"/>
  <c r="BG100" i="28" a="1"/>
  <c r="BG100" i="28" s="1"/>
  <c r="BF100" i="28" a="1"/>
  <c r="BF100" i="28" s="1"/>
  <c r="BE100" i="28" a="1"/>
  <c r="BE100" i="28" s="1"/>
  <c r="BD100" i="28" a="1"/>
  <c r="BD100" i="28" s="1"/>
  <c r="BG99" i="28" a="1"/>
  <c r="BG99" i="28" s="1"/>
  <c r="BF99" i="28" a="1"/>
  <c r="BF99" i="28" s="1"/>
  <c r="BE99" i="28" a="1"/>
  <c r="BE99" i="28" s="1"/>
  <c r="BD99" i="28" a="1"/>
  <c r="BD99" i="28" s="1"/>
  <c r="BG98" i="28" a="1"/>
  <c r="BG98" i="28" s="1"/>
  <c r="BF98" i="28" a="1"/>
  <c r="BF98" i="28" s="1"/>
  <c r="BE98" i="28" a="1"/>
  <c r="BE98" i="28" s="1"/>
  <c r="BD98" i="28"/>
  <c r="BD98" i="28" a="1"/>
  <c r="BG97" i="28" a="1"/>
  <c r="BG97" i="28" s="1"/>
  <c r="BF97" i="28" a="1"/>
  <c r="BF97" i="28" s="1"/>
  <c r="BE97" i="28" a="1"/>
  <c r="BE97" i="28" s="1"/>
  <c r="BD97" i="28"/>
  <c r="BD97" i="28" a="1"/>
  <c r="BG96" i="28" a="1"/>
  <c r="BG96" i="28" s="1"/>
  <c r="BF96" i="28" a="1"/>
  <c r="BF96" i="28" s="1"/>
  <c r="BE96" i="28" a="1"/>
  <c r="BE96" i="28" s="1"/>
  <c r="BD96" i="28"/>
  <c r="BD96" i="28" a="1"/>
  <c r="BG95" i="28" a="1"/>
  <c r="BG95" i="28" s="1"/>
  <c r="BF95" i="28" a="1"/>
  <c r="BF95" i="28" s="1"/>
  <c r="BE95" i="28" a="1"/>
  <c r="BE95" i="28" s="1"/>
  <c r="BD95" i="28" a="1"/>
  <c r="BD95" i="28" s="1"/>
  <c r="BG94" i="28" a="1"/>
  <c r="BG94" i="28" s="1"/>
  <c r="BF94" i="28" a="1"/>
  <c r="BF94" i="28" s="1"/>
  <c r="BE94" i="28" a="1"/>
  <c r="BE94" i="28" s="1"/>
  <c r="BD94" i="28" a="1"/>
  <c r="BD94" i="28" s="1"/>
  <c r="BG93" i="28" a="1"/>
  <c r="BG93" i="28" s="1"/>
  <c r="BF93" i="28" a="1"/>
  <c r="BF93" i="28" s="1"/>
  <c r="BE93" i="28" a="1"/>
  <c r="BE93" i="28" s="1"/>
  <c r="BD93" i="28" a="1"/>
  <c r="BD93" i="28" s="1"/>
  <c r="BG92" i="28" a="1"/>
  <c r="BG92" i="28" s="1"/>
  <c r="BF92" i="28" a="1"/>
  <c r="BF92" i="28" s="1"/>
  <c r="BE92" i="28" a="1"/>
  <c r="BE92" i="28" s="1"/>
  <c r="BD92" i="28" a="1"/>
  <c r="BD92" i="28" s="1"/>
  <c r="BG91" i="28" a="1"/>
  <c r="BG91" i="28" s="1"/>
  <c r="BF91" i="28" a="1"/>
  <c r="BF91" i="28" s="1"/>
  <c r="BE91" i="28" a="1"/>
  <c r="BE91" i="28" s="1"/>
  <c r="BD91" i="28" a="1"/>
  <c r="BD91" i="28" s="1"/>
  <c r="BG90" i="28" a="1"/>
  <c r="BG90" i="28" s="1"/>
  <c r="BF90" i="28" a="1"/>
  <c r="BF90" i="28" s="1"/>
  <c r="BE90" i="28" a="1"/>
  <c r="BE90" i="28" s="1"/>
  <c r="BD90" i="28"/>
  <c r="BD90" i="28" a="1"/>
  <c r="BG89" i="28" a="1"/>
  <c r="BG89" i="28" s="1"/>
  <c r="BF89" i="28" a="1"/>
  <c r="BF89" i="28" s="1"/>
  <c r="BE89" i="28" a="1"/>
  <c r="BE89" i="28" s="1"/>
  <c r="BD89" i="28" a="1"/>
  <c r="BD89" i="28" s="1"/>
  <c r="BG88" i="28" a="1"/>
  <c r="BG88" i="28" s="1"/>
  <c r="BF88" i="28" a="1"/>
  <c r="BF88" i="28" s="1"/>
  <c r="BE88" i="28" a="1"/>
  <c r="BE88" i="28" s="1"/>
  <c r="BD88" i="28"/>
  <c r="BD88" i="28" a="1"/>
  <c r="BG87" i="28" a="1"/>
  <c r="BG87" i="28" s="1"/>
  <c r="BF87" i="28" a="1"/>
  <c r="BF87" i="28" s="1"/>
  <c r="BE87" i="28" a="1"/>
  <c r="BE87" i="28" s="1"/>
  <c r="BD87" i="28" a="1"/>
  <c r="BD87" i="28" s="1"/>
  <c r="BG86" i="28" a="1"/>
  <c r="BG86" i="28" s="1"/>
  <c r="BF86" i="28" a="1"/>
  <c r="BF86" i="28" s="1"/>
  <c r="BE86" i="28" a="1"/>
  <c r="BE86" i="28" s="1"/>
  <c r="BD86" i="28" a="1"/>
  <c r="BD86" i="28" s="1"/>
  <c r="BG85" i="28" a="1"/>
  <c r="BG85" i="28" s="1"/>
  <c r="BF85" i="28" a="1"/>
  <c r="BF85" i="28" s="1"/>
  <c r="BE85" i="28" a="1"/>
  <c r="BE85" i="28" s="1"/>
  <c r="BD85" i="28" a="1"/>
  <c r="BD85" i="28" s="1"/>
  <c r="BG84" i="28" a="1"/>
  <c r="BG84" i="28" s="1"/>
  <c r="BF84" i="28" a="1"/>
  <c r="BF84" i="28" s="1"/>
  <c r="BE84" i="28" a="1"/>
  <c r="BE84" i="28" s="1"/>
  <c r="BD84" i="28" a="1"/>
  <c r="BD84" i="28" s="1"/>
  <c r="BG83" i="28" a="1"/>
  <c r="BG83" i="28" s="1"/>
  <c r="BF83" i="28" a="1"/>
  <c r="BF83" i="28" s="1"/>
  <c r="BE83" i="28" a="1"/>
  <c r="BE83" i="28" s="1"/>
  <c r="BD83" i="28"/>
  <c r="BD83" i="28" a="1"/>
  <c r="BG82" i="28" a="1"/>
  <c r="BG82" i="28" s="1"/>
  <c r="BF82" i="28" a="1"/>
  <c r="BF82" i="28" s="1"/>
  <c r="BE82" i="28" a="1"/>
  <c r="BE82" i="28" s="1"/>
  <c r="BD82" i="28"/>
  <c r="BD82" i="28" a="1"/>
  <c r="BG81" i="28" a="1"/>
  <c r="BG81" i="28" s="1"/>
  <c r="BF81" i="28" a="1"/>
  <c r="BF81" i="28" s="1"/>
  <c r="BE81" i="28" a="1"/>
  <c r="BE81" i="28" s="1"/>
  <c r="BD81" i="28" a="1"/>
  <c r="BD81" i="28" s="1"/>
  <c r="BG80" i="28" a="1"/>
  <c r="BG80" i="28" s="1"/>
  <c r="BF80" i="28" a="1"/>
  <c r="BF80" i="28" s="1"/>
  <c r="BE80" i="28" a="1"/>
  <c r="BE80" i="28" s="1"/>
  <c r="BD80" i="28"/>
  <c r="BD80" i="28" a="1"/>
  <c r="BG79" i="28" a="1"/>
  <c r="BG79" i="28" s="1"/>
  <c r="BF79" i="28" a="1"/>
  <c r="BF79" i="28" s="1"/>
  <c r="BE79" i="28" a="1"/>
  <c r="BE79" i="28" s="1"/>
  <c r="BD79" i="28" a="1"/>
  <c r="BD79" i="28" s="1"/>
  <c r="BG78" i="28" a="1"/>
  <c r="BG78" i="28" s="1"/>
  <c r="BF78" i="28" a="1"/>
  <c r="BF78" i="28" s="1"/>
  <c r="BE78" i="28" a="1"/>
  <c r="BE78" i="28" s="1"/>
  <c r="BD78" i="28" a="1"/>
  <c r="BD78" i="28" s="1"/>
  <c r="BG77" i="28" a="1"/>
  <c r="BG77" i="28" s="1"/>
  <c r="BF77" i="28" a="1"/>
  <c r="BF77" i="28" s="1"/>
  <c r="BE77" i="28" a="1"/>
  <c r="BE77" i="28" s="1"/>
  <c r="BD77" i="28" a="1"/>
  <c r="BD77" i="28" s="1"/>
  <c r="BG76" i="28" a="1"/>
  <c r="BG76" i="28" s="1"/>
  <c r="BF76" i="28" a="1"/>
  <c r="BF76" i="28" s="1"/>
  <c r="BE76" i="28" a="1"/>
  <c r="BE76" i="28" s="1"/>
  <c r="BD76" i="28" a="1"/>
  <c r="BD76" i="28" s="1"/>
  <c r="BG75" i="28" a="1"/>
  <c r="BG75" i="28" s="1"/>
  <c r="BF75" i="28" a="1"/>
  <c r="BF75" i="28" s="1"/>
  <c r="BE75" i="28" a="1"/>
  <c r="BE75" i="28" s="1"/>
  <c r="BD75" i="28"/>
  <c r="BD75" i="28" a="1"/>
  <c r="BG74" i="28" a="1"/>
  <c r="BG74" i="28" s="1"/>
  <c r="BF74" i="28" a="1"/>
  <c r="BF74" i="28" s="1"/>
  <c r="BE74" i="28" a="1"/>
  <c r="BE74" i="28" s="1"/>
  <c r="BD74" i="28"/>
  <c r="BD74" i="28" a="1"/>
  <c r="BG73" i="28" a="1"/>
  <c r="BG73" i="28" s="1"/>
  <c r="BF73" i="28" a="1"/>
  <c r="BF73" i="28" s="1"/>
  <c r="BE73" i="28" a="1"/>
  <c r="BE73" i="28" s="1"/>
  <c r="BD73" i="28" a="1"/>
  <c r="BD73" i="28" s="1"/>
  <c r="BG72" i="28" a="1"/>
  <c r="BG72" i="28" s="1"/>
  <c r="BF72" i="28" a="1"/>
  <c r="BF72" i="28" s="1"/>
  <c r="BE72" i="28" a="1"/>
  <c r="BE72" i="28" s="1"/>
  <c r="BD72" i="28"/>
  <c r="BD72" i="28" a="1"/>
  <c r="BG71" i="28" a="1"/>
  <c r="BG71" i="28" s="1"/>
  <c r="BF71" i="28" a="1"/>
  <c r="BF71" i="28" s="1"/>
  <c r="BE71" i="28" a="1"/>
  <c r="BE71" i="28" s="1"/>
  <c r="BD71" i="28" a="1"/>
  <c r="BD71" i="28" s="1"/>
  <c r="BG70" i="28" a="1"/>
  <c r="BG70" i="28" s="1"/>
  <c r="BF70" i="28" a="1"/>
  <c r="BF70" i="28" s="1"/>
  <c r="BE70" i="28" a="1"/>
  <c r="BE70" i="28" s="1"/>
  <c r="BD70" i="28" a="1"/>
  <c r="BD70" i="28" s="1"/>
  <c r="BG69" i="28" a="1"/>
  <c r="BG69" i="28" s="1"/>
  <c r="BF69" i="28" a="1"/>
  <c r="BF69" i="28" s="1"/>
  <c r="BE69" i="28" a="1"/>
  <c r="BE69" i="28" s="1"/>
  <c r="BD69" i="28" a="1"/>
  <c r="BD69" i="28" s="1"/>
  <c r="BG68" i="28" a="1"/>
  <c r="BG68" i="28" s="1"/>
  <c r="BF68" i="28" a="1"/>
  <c r="BF68" i="28" s="1"/>
  <c r="BE68" i="28" a="1"/>
  <c r="BE68" i="28" s="1"/>
  <c r="BD68" i="28" a="1"/>
  <c r="BD68" i="28" s="1"/>
  <c r="BG67" i="28" a="1"/>
  <c r="BG67" i="28" s="1"/>
  <c r="BF67" i="28" a="1"/>
  <c r="BF67" i="28" s="1"/>
  <c r="BE67" i="28" a="1"/>
  <c r="BE67" i="28" s="1"/>
  <c r="BD67" i="28"/>
  <c r="BD67" i="28" a="1"/>
  <c r="BG66" i="28" a="1"/>
  <c r="BG66" i="28" s="1"/>
  <c r="BF66" i="28" a="1"/>
  <c r="BF66" i="28" s="1"/>
  <c r="BE66" i="28" a="1"/>
  <c r="BE66" i="28" s="1"/>
  <c r="BD66" i="28"/>
  <c r="BD66" i="28" a="1"/>
  <c r="BG65" i="28" a="1"/>
  <c r="BG65" i="28" s="1"/>
  <c r="BF65" i="28" a="1"/>
  <c r="BF65" i="28" s="1"/>
  <c r="BE65" i="28" a="1"/>
  <c r="BE65" i="28" s="1"/>
  <c r="BD65" i="28"/>
  <c r="BD65" i="28" a="1"/>
  <c r="BG64" i="28" a="1"/>
  <c r="BG64" i="28" s="1"/>
  <c r="BF64" i="28" a="1"/>
  <c r="BF64" i="28" s="1"/>
  <c r="BE64" i="28" a="1"/>
  <c r="BE64" i="28" s="1"/>
  <c r="BD64" i="28"/>
  <c r="BD64" i="28" a="1"/>
  <c r="BG63" i="28" a="1"/>
  <c r="BG63" i="28" s="1"/>
  <c r="BF63" i="28" a="1"/>
  <c r="BF63" i="28" s="1"/>
  <c r="BE63" i="28" a="1"/>
  <c r="BE63" i="28" s="1"/>
  <c r="BD63" i="28" a="1"/>
  <c r="BD63" i="28" s="1"/>
  <c r="BG62" i="28" a="1"/>
  <c r="BG62" i="28" s="1"/>
  <c r="BF62" i="28" a="1"/>
  <c r="BF62" i="28" s="1"/>
  <c r="BE62" i="28" a="1"/>
  <c r="BE62" i="28" s="1"/>
  <c r="BD62" i="28" a="1"/>
  <c r="BD62" i="28" s="1"/>
  <c r="BG61" i="28" a="1"/>
  <c r="BG61" i="28" s="1"/>
  <c r="BF61" i="28" a="1"/>
  <c r="BF61" i="28" s="1"/>
  <c r="BE61" i="28" a="1"/>
  <c r="BE61" i="28" s="1"/>
  <c r="BD61" i="28" a="1"/>
  <c r="BD61" i="28" s="1"/>
  <c r="BG60" i="28" a="1"/>
  <c r="BG60" i="28" s="1"/>
  <c r="BF60" i="28" a="1"/>
  <c r="BF60" i="28" s="1"/>
  <c r="BE60" i="28" a="1"/>
  <c r="BE60" i="28" s="1"/>
  <c r="BD60" i="28" a="1"/>
  <c r="BD60" i="28" s="1"/>
  <c r="BG59" i="28" a="1"/>
  <c r="BG59" i="28" s="1"/>
  <c r="BF59" i="28" a="1"/>
  <c r="BF59" i="28" s="1"/>
  <c r="BE59" i="28" a="1"/>
  <c r="BE59" i="28" s="1"/>
  <c r="BD59" i="28"/>
  <c r="BD59" i="28" a="1"/>
  <c r="BG58" i="28" a="1"/>
  <c r="BG58" i="28" s="1"/>
  <c r="BF58" i="28" a="1"/>
  <c r="BF58" i="28" s="1"/>
  <c r="BE58" i="28" a="1"/>
  <c r="BE58" i="28" s="1"/>
  <c r="BD58" i="28"/>
  <c r="BD58" i="28" a="1"/>
  <c r="BG57" i="28" a="1"/>
  <c r="BG57" i="28" s="1"/>
  <c r="BF57" i="28" a="1"/>
  <c r="BF57" i="28" s="1"/>
  <c r="BE57" i="28" a="1"/>
  <c r="BE57" i="28" s="1"/>
  <c r="BD57" i="28" a="1"/>
  <c r="BD57" i="28" s="1"/>
  <c r="BG56" i="28" a="1"/>
  <c r="BG56" i="28" s="1"/>
  <c r="BF56" i="28" a="1"/>
  <c r="BF56" i="28" s="1"/>
  <c r="BE56" i="28" a="1"/>
  <c r="BE56" i="28" s="1"/>
  <c r="BD56" i="28"/>
  <c r="BD56" i="28" a="1"/>
  <c r="BG55" i="28" a="1"/>
  <c r="BG55" i="28" s="1"/>
  <c r="BF55" i="28" a="1"/>
  <c r="BF55" i="28" s="1"/>
  <c r="BE55" i="28" a="1"/>
  <c r="BE55" i="28" s="1"/>
  <c r="BD55" i="28" a="1"/>
  <c r="BD55" i="28" s="1"/>
  <c r="BG54" i="28" a="1"/>
  <c r="BG54" i="28" s="1"/>
  <c r="BF54" i="28" a="1"/>
  <c r="BF54" i="28" s="1"/>
  <c r="BE54" i="28" a="1"/>
  <c r="BE54" i="28" s="1"/>
  <c r="BD54" i="28" a="1"/>
  <c r="BD54" i="28" s="1"/>
  <c r="BG53" i="28" a="1"/>
  <c r="BG53" i="28" s="1"/>
  <c r="BF53" i="28" a="1"/>
  <c r="BF53" i="28" s="1"/>
  <c r="BE53" i="28" a="1"/>
  <c r="BE53" i="28" s="1"/>
  <c r="BD53" i="28" a="1"/>
  <c r="BD53" i="28" s="1"/>
  <c r="BG52" i="28" a="1"/>
  <c r="BG52" i="28" s="1"/>
  <c r="BF52" i="28" a="1"/>
  <c r="BF52" i="28" s="1"/>
  <c r="BE52" i="28" a="1"/>
  <c r="BE52" i="28" s="1"/>
  <c r="BD52" i="28" a="1"/>
  <c r="BD52" i="28" s="1"/>
  <c r="BG51" i="28" a="1"/>
  <c r="BG51" i="28" s="1"/>
  <c r="BF51" i="28" a="1"/>
  <c r="BF51" i="28" s="1"/>
  <c r="BE51" i="28" a="1"/>
  <c r="BE51" i="28" s="1"/>
  <c r="BD51" i="28"/>
  <c r="BD51" i="28" a="1"/>
  <c r="BG50" i="28" a="1"/>
  <c r="BG50" i="28" s="1"/>
  <c r="BF50" i="28" a="1"/>
  <c r="BF50" i="28" s="1"/>
  <c r="BE50" i="28" a="1"/>
  <c r="BE50" i="28" s="1"/>
  <c r="BD50" i="28"/>
  <c r="BD50" i="28" a="1"/>
  <c r="BG49" i="28" a="1"/>
  <c r="BG49" i="28" s="1"/>
  <c r="BF49" i="28" a="1"/>
  <c r="BF49" i="28" s="1"/>
  <c r="BE49" i="28" a="1"/>
  <c r="BE49" i="28" s="1"/>
  <c r="BD49" i="28" a="1"/>
  <c r="BD49" i="28" s="1"/>
  <c r="BG48" i="28" a="1"/>
  <c r="BG48" i="28" s="1"/>
  <c r="BF48" i="28" a="1"/>
  <c r="BF48" i="28" s="1"/>
  <c r="BE48" i="28" a="1"/>
  <c r="BE48" i="28" s="1"/>
  <c r="BD48" i="28"/>
  <c r="BD48" i="28" a="1"/>
  <c r="BG47" i="28" a="1"/>
  <c r="BG47" i="28" s="1"/>
  <c r="BF47" i="28" a="1"/>
  <c r="BF47" i="28" s="1"/>
  <c r="BE47" i="28" a="1"/>
  <c r="BE47" i="28" s="1"/>
  <c r="BD47" i="28" a="1"/>
  <c r="BD47" i="28" s="1"/>
  <c r="BG46" i="28" a="1"/>
  <c r="BG46" i="28" s="1"/>
  <c r="BF46" i="28" a="1"/>
  <c r="BF46" i="28" s="1"/>
  <c r="BE46" i="28" a="1"/>
  <c r="BE46" i="28" s="1"/>
  <c r="BD46" i="28" a="1"/>
  <c r="BD46" i="28" s="1"/>
  <c r="BG45" i="28" a="1"/>
  <c r="BG45" i="28" s="1"/>
  <c r="BF45" i="28" a="1"/>
  <c r="BF45" i="28" s="1"/>
  <c r="BE45" i="28" a="1"/>
  <c r="BE45" i="28" s="1"/>
  <c r="BD45" i="28" a="1"/>
  <c r="BD45" i="28" s="1"/>
  <c r="BG44" i="28" a="1"/>
  <c r="BG44" i="28" s="1"/>
  <c r="BF44" i="28" a="1"/>
  <c r="BF44" i="28" s="1"/>
  <c r="BE44" i="28" a="1"/>
  <c r="BE44" i="28" s="1"/>
  <c r="BD44" i="28" a="1"/>
  <c r="BD44" i="28" s="1"/>
  <c r="BG43" i="28" a="1"/>
  <c r="BG43" i="28" s="1"/>
  <c r="BF43" i="28" a="1"/>
  <c r="BF43" i="28" s="1"/>
  <c r="BE43" i="28" a="1"/>
  <c r="BE43" i="28" s="1"/>
  <c r="BD43" i="28"/>
  <c r="BD43" i="28" a="1"/>
  <c r="BG42" i="28" a="1"/>
  <c r="BG42" i="28" s="1"/>
  <c r="BF42" i="28" a="1"/>
  <c r="BF42" i="28" s="1"/>
  <c r="BE42" i="28" a="1"/>
  <c r="BE42" i="28" s="1"/>
  <c r="BD42" i="28"/>
  <c r="BD42" i="28" a="1"/>
  <c r="BG41" i="28" a="1"/>
  <c r="BG41" i="28" s="1"/>
  <c r="BF41" i="28" a="1"/>
  <c r="BF41" i="28" s="1"/>
  <c r="BE41" i="28" a="1"/>
  <c r="BE41" i="28" s="1"/>
  <c r="BD41" i="28" a="1"/>
  <c r="BD41" i="28" s="1"/>
  <c r="BG40" i="28" a="1"/>
  <c r="BG40" i="28" s="1"/>
  <c r="BF40" i="28" a="1"/>
  <c r="BF40" i="28" s="1"/>
  <c r="BE40" i="28" a="1"/>
  <c r="BE40" i="28" s="1"/>
  <c r="BD40" i="28"/>
  <c r="BD40" i="28" a="1"/>
  <c r="BG39" i="28" a="1"/>
  <c r="BG39" i="28" s="1"/>
  <c r="BF39" i="28" a="1"/>
  <c r="BF39" i="28" s="1"/>
  <c r="BE39" i="28" a="1"/>
  <c r="BE39" i="28" s="1"/>
  <c r="BD39" i="28" a="1"/>
  <c r="BD39" i="28" s="1"/>
  <c r="BG38" i="28" a="1"/>
  <c r="BG38" i="28" s="1"/>
  <c r="BF38" i="28" a="1"/>
  <c r="BF38" i="28" s="1"/>
  <c r="BE38" i="28" a="1"/>
  <c r="BE38" i="28" s="1"/>
  <c r="BD38" i="28" a="1"/>
  <c r="BD38" i="28" s="1"/>
  <c r="BG37" i="28" a="1"/>
  <c r="BG37" i="28" s="1"/>
  <c r="BF37" i="28" a="1"/>
  <c r="BF37" i="28" s="1"/>
  <c r="BE37" i="28" a="1"/>
  <c r="BE37" i="28" s="1"/>
  <c r="BD37" i="28" a="1"/>
  <c r="BD37" i="28" s="1"/>
  <c r="BG36" i="28" a="1"/>
  <c r="BG36" i="28" s="1"/>
  <c r="BF36" i="28" a="1"/>
  <c r="BF36" i="28" s="1"/>
  <c r="BE36" i="28" a="1"/>
  <c r="BE36" i="28" s="1"/>
  <c r="BD36" i="28" a="1"/>
  <c r="BD36" i="28" s="1"/>
  <c r="BG35" i="28" a="1"/>
  <c r="BG35" i="28" s="1"/>
  <c r="BF35" i="28" a="1"/>
  <c r="BF35" i="28" s="1"/>
  <c r="BE35" i="28"/>
  <c r="BE35" i="28" a="1"/>
  <c r="BD35" i="28" a="1"/>
  <c r="BD35" i="28" s="1"/>
  <c r="BG34" i="28" a="1"/>
  <c r="BG34" i="28" s="1"/>
  <c r="BF34" i="28" a="1"/>
  <c r="BF34" i="28" s="1"/>
  <c r="BE34" i="28"/>
  <c r="BE34" i="28" a="1"/>
  <c r="BD34" i="28" a="1"/>
  <c r="BD34" i="28" s="1"/>
  <c r="BG33" i="28"/>
  <c r="BG33" i="28" a="1"/>
  <c r="BF33" i="28" a="1"/>
  <c r="BF33" i="28" s="1"/>
  <c r="BE33" i="28" a="1"/>
  <c r="BE33" i="28" s="1"/>
  <c r="BD33" i="28"/>
  <c r="BD33" i="28" a="1"/>
  <c r="BG32" i="28" a="1"/>
  <c r="BG32" i="28" s="1"/>
  <c r="BF32" i="28" a="1"/>
  <c r="BF32" i="28" s="1"/>
  <c r="BE32" i="28"/>
  <c r="BE32" i="28" a="1"/>
  <c r="BD32" i="28"/>
  <c r="BD32" i="28" a="1"/>
  <c r="BG31" i="28" a="1"/>
  <c r="BG31" i="28" s="1"/>
  <c r="BF31" i="28" a="1"/>
  <c r="BF31" i="28" s="1"/>
  <c r="BE31" i="28" a="1"/>
  <c r="BE31" i="28" s="1"/>
  <c r="BD31" i="28" a="1"/>
  <c r="BD31" i="28" s="1"/>
  <c r="BG30" i="28"/>
  <c r="BG30" i="28" a="1"/>
  <c r="BF30" i="28" a="1"/>
  <c r="BF30" i="28" s="1"/>
  <c r="BE30" i="28"/>
  <c r="BE30" i="28" a="1"/>
  <c r="BD30" i="28"/>
  <c r="BD30" i="28" a="1"/>
  <c r="BG29" i="28"/>
  <c r="BG29" i="28" a="1"/>
  <c r="BF29" i="28" a="1"/>
  <c r="BF29" i="28" s="1"/>
  <c r="BE29" i="28" a="1"/>
  <c r="BE29" i="28" s="1"/>
  <c r="BD29" i="28" a="1"/>
  <c r="BD29" i="28" s="1"/>
  <c r="BG28" i="28" a="1"/>
  <c r="BG28" i="28" s="1"/>
  <c r="BF28" i="28" a="1"/>
  <c r="BF28" i="28" s="1"/>
  <c r="BE28" i="28" a="1"/>
  <c r="BE28" i="28" s="1"/>
  <c r="BD28" i="28"/>
  <c r="BD28" i="28" a="1"/>
  <c r="BG27" i="28"/>
  <c r="BG27" i="28" a="1"/>
  <c r="BF27" i="28" a="1"/>
  <c r="BF27" i="28" s="1"/>
  <c r="BE27" i="28"/>
  <c r="BE27" i="28" a="1"/>
  <c r="BD27" i="28" a="1"/>
  <c r="BD27" i="28" s="1"/>
  <c r="BG26" i="28" a="1"/>
  <c r="BG26" i="28" s="1"/>
  <c r="BF26" i="28" a="1"/>
  <c r="BF26" i="28" s="1"/>
  <c r="BE26" i="28"/>
  <c r="BE26" i="28" a="1"/>
  <c r="BD26" i="28" a="1"/>
  <c r="BD26" i="28" s="1"/>
  <c r="BG25" i="28"/>
  <c r="BG25" i="28" a="1"/>
  <c r="BF25" i="28" a="1"/>
  <c r="BF25" i="28" s="1"/>
  <c r="BE25" i="28" a="1"/>
  <c r="BE25" i="28" s="1"/>
  <c r="BD25" i="28"/>
  <c r="BD25" i="28" a="1"/>
  <c r="BG24" i="28" a="1"/>
  <c r="BG24" i="28" s="1"/>
  <c r="BF24" i="28" a="1"/>
  <c r="BF24" i="28" s="1"/>
  <c r="BE24" i="28"/>
  <c r="BE24" i="28" a="1"/>
  <c r="BD24" i="28"/>
  <c r="BD24" i="28" a="1"/>
  <c r="BG23" i="28" a="1"/>
  <c r="BG23" i="28" s="1"/>
  <c r="BF23" i="28" a="1"/>
  <c r="BF23" i="28" s="1"/>
  <c r="BE23" i="28" a="1"/>
  <c r="BE23" i="28" s="1"/>
  <c r="BD23" i="28" a="1"/>
  <c r="BD23" i="28" s="1"/>
  <c r="BG22" i="28"/>
  <c r="BG22" i="28" a="1"/>
  <c r="BF22" i="28" a="1"/>
  <c r="BF22" i="28" s="1"/>
  <c r="BE22" i="28"/>
  <c r="BE22" i="28" a="1"/>
  <c r="BD22" i="28"/>
  <c r="BD22" i="28" a="1"/>
  <c r="BG21" i="28"/>
  <c r="BG21" i="28" a="1"/>
  <c r="BF21" i="28" a="1"/>
  <c r="BF21" i="28" s="1"/>
  <c r="BE21" i="28" a="1"/>
  <c r="BE21" i="28" s="1"/>
  <c r="BD21" i="28" a="1"/>
  <c r="BD21" i="28" s="1"/>
  <c r="BG20" i="28" a="1"/>
  <c r="BG20" i="28" s="1"/>
  <c r="BF20" i="28" a="1"/>
  <c r="BF20" i="28" s="1"/>
  <c r="BE20" i="28" a="1"/>
  <c r="BE20" i="28" s="1"/>
  <c r="BD20" i="28"/>
  <c r="BD20" i="28" a="1"/>
  <c r="BG19" i="28"/>
  <c r="BG19" i="28" a="1"/>
  <c r="BF19" i="28" a="1"/>
  <c r="BF19" i="28" s="1"/>
  <c r="BE19" i="28"/>
  <c r="BE19" i="28" a="1"/>
  <c r="BD19" i="28" a="1"/>
  <c r="BD19" i="28" s="1"/>
  <c r="BG18" i="28" a="1"/>
  <c r="BG18" i="28" s="1"/>
  <c r="BF18" i="28" a="1"/>
  <c r="BF18" i="28" s="1"/>
  <c r="BE18" i="28"/>
  <c r="BE18" i="28" a="1"/>
  <c r="BD18" i="28" a="1"/>
  <c r="BD18" i="28" s="1"/>
  <c r="BG17" i="28"/>
  <c r="BG17" i="28" a="1"/>
  <c r="BF17" i="28" a="1"/>
  <c r="BF17" i="28" s="1"/>
  <c r="BE17" i="28" a="1"/>
  <c r="BE17" i="28" s="1"/>
  <c r="BD17" i="28"/>
  <c r="BD17" i="28" a="1"/>
  <c r="BG16" i="28" a="1"/>
  <c r="BG16" i="28" s="1"/>
  <c r="BF16" i="28" a="1"/>
  <c r="BF16" i="28" s="1"/>
  <c r="BE16" i="28"/>
  <c r="BE16" i="28" a="1"/>
  <c r="BD16" i="28"/>
  <c r="BD16" i="28" a="1"/>
  <c r="BG15" i="28" a="1"/>
  <c r="BG15" i="28" s="1"/>
  <c r="BF15" i="28" a="1"/>
  <c r="BF15" i="28" s="1"/>
  <c r="BE15" i="28" a="1"/>
  <c r="BE15" i="28" s="1"/>
  <c r="BD15" i="28" a="1"/>
  <c r="BD15" i="28" s="1"/>
  <c r="BF14" i="28" a="1"/>
  <c r="BF14" i="28" s="1"/>
  <c r="BE14" i="28"/>
  <c r="BE14" i="28" a="1"/>
  <c r="BD14" i="28"/>
  <c r="BD14" i="28" a="1"/>
  <c r="BG13" i="28"/>
  <c r="BG13" i="28" a="1"/>
  <c r="BF13" i="28" a="1"/>
  <c r="BF13" i="28" s="1"/>
  <c r="BE13" i="28" a="1"/>
  <c r="BE13" i="28" s="1"/>
  <c r="BD13" i="28" a="1"/>
  <c r="BD13" i="28" s="1"/>
  <c r="BG12" i="28" a="1"/>
  <c r="BG12" i="28" s="1"/>
  <c r="BF12" i="28" a="1"/>
  <c r="BF12" i="28" s="1"/>
  <c r="BE12" i="28" a="1"/>
  <c r="BE12" i="28" s="1"/>
  <c r="BD12" i="28"/>
  <c r="BD12" i="28" a="1"/>
  <c r="BG11" i="28"/>
  <c r="BG11" i="28" a="1"/>
  <c r="BF11" i="28" a="1"/>
  <c r="BF11" i="28" s="1"/>
  <c r="BE11" i="28"/>
  <c r="BE11" i="28" a="1"/>
  <c r="BD11" i="28" a="1"/>
  <c r="BD11" i="28" s="1"/>
  <c r="BC122" i="28" a="1"/>
  <c r="BC122" i="28" s="1"/>
  <c r="BC121" i="28" a="1"/>
  <c r="BC121" i="28" s="1"/>
  <c r="BC120" i="28"/>
  <c r="BC120" i="28" a="1"/>
  <c r="BC119" i="28" a="1"/>
  <c r="BC119" i="28" s="1"/>
  <c r="BC118" i="28" a="1"/>
  <c r="BC118" i="28" s="1"/>
  <c r="BC117" i="28" a="1"/>
  <c r="BC117" i="28" s="1"/>
  <c r="BC116" i="28"/>
  <c r="BC116" i="28" a="1"/>
  <c r="BC115" i="28" a="1"/>
  <c r="BC115" i="28" s="1"/>
  <c r="BC114" i="28" a="1"/>
  <c r="BC114" i="28" s="1"/>
  <c r="BC113" i="28" a="1"/>
  <c r="BC113" i="28" s="1"/>
  <c r="BC112" i="28"/>
  <c r="BC112" i="28" a="1"/>
  <c r="BC111" i="28" a="1"/>
  <c r="BC111" i="28" s="1"/>
  <c r="BC110" i="28" a="1"/>
  <c r="BC110" i="28" s="1"/>
  <c r="BC109" i="28" a="1"/>
  <c r="BC109" i="28" s="1"/>
  <c r="BC108" i="28"/>
  <c r="BC108" i="28" a="1"/>
  <c r="BC107" i="28" a="1"/>
  <c r="BC107" i="28" s="1"/>
  <c r="BC106" i="28" a="1"/>
  <c r="BC106" i="28" s="1"/>
  <c r="BC105" i="28" a="1"/>
  <c r="BC105" i="28" s="1"/>
  <c r="BC104" i="28"/>
  <c r="BC104" i="28" a="1"/>
  <c r="BC103" i="28" a="1"/>
  <c r="BC103" i="28" s="1"/>
  <c r="BC102" i="28" a="1"/>
  <c r="BC102" i="28" s="1"/>
  <c r="BC101" i="28" a="1"/>
  <c r="BC101" i="28" s="1"/>
  <c r="BC100" i="28"/>
  <c r="BC100" i="28" a="1"/>
  <c r="BC99" i="28" a="1"/>
  <c r="BC99" i="28" s="1"/>
  <c r="BC98" i="28" a="1"/>
  <c r="BC98" i="28" s="1"/>
  <c r="BC97" i="28" a="1"/>
  <c r="BC97" i="28" s="1"/>
  <c r="BC96" i="28"/>
  <c r="BC96" i="28" a="1"/>
  <c r="BC95" i="28" a="1"/>
  <c r="BC95" i="28" s="1"/>
  <c r="BC94" i="28" a="1"/>
  <c r="BC94" i="28" s="1"/>
  <c r="BC93" i="28" a="1"/>
  <c r="BC93" i="28" s="1"/>
  <c r="BC92" i="28"/>
  <c r="BC92" i="28" a="1"/>
  <c r="BC91" i="28" a="1"/>
  <c r="BC91" i="28" s="1"/>
  <c r="BC90" i="28" a="1"/>
  <c r="BC90" i="28" s="1"/>
  <c r="BC89" i="28" a="1"/>
  <c r="BC89" i="28" s="1"/>
  <c r="BC88" i="28"/>
  <c r="BC88" i="28" a="1"/>
  <c r="BC87" i="28" a="1"/>
  <c r="BC87" i="28" s="1"/>
  <c r="BC86" i="28" a="1"/>
  <c r="BC86" i="28" s="1"/>
  <c r="BC85" i="28" a="1"/>
  <c r="BC85" i="28" s="1"/>
  <c r="BC84" i="28"/>
  <c r="BC84" i="28" a="1"/>
  <c r="BC83" i="28" a="1"/>
  <c r="BC83" i="28" s="1"/>
  <c r="BC82" i="28" a="1"/>
  <c r="BC82" i="28" s="1"/>
  <c r="BC81" i="28" a="1"/>
  <c r="BC81" i="28" s="1"/>
  <c r="BC80" i="28"/>
  <c r="BC80" i="28" a="1"/>
  <c r="BC79" i="28" a="1"/>
  <c r="BC79" i="28" s="1"/>
  <c r="BC78" i="28" a="1"/>
  <c r="BC78" i="28" s="1"/>
  <c r="BC77" i="28" a="1"/>
  <c r="BC77" i="28" s="1"/>
  <c r="BC76" i="28"/>
  <c r="BC76" i="28" a="1"/>
  <c r="BC75" i="28" a="1"/>
  <c r="BC75" i="28" s="1"/>
  <c r="BC74" i="28" a="1"/>
  <c r="BC74" i="28" s="1"/>
  <c r="BC73" i="28" a="1"/>
  <c r="BC73" i="28" s="1"/>
  <c r="BC72" i="28"/>
  <c r="BC72" i="28" a="1"/>
  <c r="BC71" i="28" a="1"/>
  <c r="BC71" i="28" s="1"/>
  <c r="BC70" i="28" a="1"/>
  <c r="BC70" i="28" s="1"/>
  <c r="BC69" i="28" a="1"/>
  <c r="BC69" i="28" s="1"/>
  <c r="BC68" i="28"/>
  <c r="BC68" i="28" a="1"/>
  <c r="BC67" i="28" a="1"/>
  <c r="BC67" i="28" s="1"/>
  <c r="BC66" i="28" a="1"/>
  <c r="BC66" i="28" s="1"/>
  <c r="BC65" i="28" a="1"/>
  <c r="BC65" i="28" s="1"/>
  <c r="BC64" i="28"/>
  <c r="BC64" i="28" a="1"/>
  <c r="BC63" i="28" a="1"/>
  <c r="BC63" i="28" s="1"/>
  <c r="BC62" i="28" a="1"/>
  <c r="BC62" i="28" s="1"/>
  <c r="BC61" i="28" a="1"/>
  <c r="BC61" i="28" s="1"/>
  <c r="BC60" i="28"/>
  <c r="BC60" i="28" a="1"/>
  <c r="BC59" i="28" a="1"/>
  <c r="BC59" i="28" s="1"/>
  <c r="BC58" i="28" a="1"/>
  <c r="BC58" i="28" s="1"/>
  <c r="BC57" i="28" a="1"/>
  <c r="BC57" i="28" s="1"/>
  <c r="BC56" i="28"/>
  <c r="BC56" i="28" a="1"/>
  <c r="BC55" i="28" a="1"/>
  <c r="BC55" i="28" s="1"/>
  <c r="BC54" i="28" a="1"/>
  <c r="BC54" i="28" s="1"/>
  <c r="BC53" i="28" a="1"/>
  <c r="BC53" i="28" s="1"/>
  <c r="BC52" i="28"/>
  <c r="BC52" i="28" a="1"/>
  <c r="BC51" i="28" a="1"/>
  <c r="BC51" i="28" s="1"/>
  <c r="BC50" i="28" a="1"/>
  <c r="BC50" i="28" s="1"/>
  <c r="BC49" i="28" a="1"/>
  <c r="BC49" i="28" s="1"/>
  <c r="BC48" i="28"/>
  <c r="BC48" i="28" a="1"/>
  <c r="BC47" i="28" a="1"/>
  <c r="BC47" i="28" s="1"/>
  <c r="BC46" i="28" a="1"/>
  <c r="BC46" i="28" s="1"/>
  <c r="BC45" i="28" a="1"/>
  <c r="BC45" i="28" s="1"/>
  <c r="BC44" i="28"/>
  <c r="BC44" i="28" a="1"/>
  <c r="BC43" i="28" a="1"/>
  <c r="BC43" i="28" s="1"/>
  <c r="BC42" i="28" a="1"/>
  <c r="BC42" i="28" s="1"/>
  <c r="BC41" i="28" a="1"/>
  <c r="BC41" i="28" s="1"/>
  <c r="BC40" i="28"/>
  <c r="BC40" i="28" a="1"/>
  <c r="BC39" i="28" a="1"/>
  <c r="BC39" i="28" s="1"/>
  <c r="BC38" i="28" a="1"/>
  <c r="BC38" i="28" s="1"/>
  <c r="BC37" i="28" a="1"/>
  <c r="BC37" i="28" s="1"/>
  <c r="BC36" i="28"/>
  <c r="BC36" i="28" a="1"/>
  <c r="BC35" i="28" a="1"/>
  <c r="BC35" i="28" s="1"/>
  <c r="BC34" i="28" a="1"/>
  <c r="BC34" i="28" s="1"/>
  <c r="BC33" i="28" a="1"/>
  <c r="BC33" i="28" s="1"/>
  <c r="BC32" i="28"/>
  <c r="BC32" i="28" a="1"/>
  <c r="BC31" i="28" a="1"/>
  <c r="BC31" i="28" s="1"/>
  <c r="BC30" i="28" a="1"/>
  <c r="BC30" i="28" s="1"/>
  <c r="BC29" i="28" a="1"/>
  <c r="BC29" i="28" s="1"/>
  <c r="BC28" i="28"/>
  <c r="BC28" i="28" a="1"/>
  <c r="BC27" i="28" a="1"/>
  <c r="BC27" i="28" s="1"/>
  <c r="BC26" i="28" a="1"/>
  <c r="BC26" i="28" s="1"/>
  <c r="BC25" i="28" a="1"/>
  <c r="BC25" i="28" s="1"/>
  <c r="BC24" i="28"/>
  <c r="BC24" i="28" a="1"/>
  <c r="BC23" i="28" a="1"/>
  <c r="BC23" i="28" s="1"/>
  <c r="BC22" i="28" a="1"/>
  <c r="BC22" i="28" s="1"/>
  <c r="BC21" i="28" a="1"/>
  <c r="BC21" i="28" s="1"/>
  <c r="BC20" i="28"/>
  <c r="BC20" i="28" a="1"/>
  <c r="BC19" i="28" a="1"/>
  <c r="BC19" i="28" s="1"/>
  <c r="BC18" i="28" a="1"/>
  <c r="BC18" i="28" s="1"/>
  <c r="BC17" i="28" a="1"/>
  <c r="BC17" i="28" s="1"/>
  <c r="BC16" i="28"/>
  <c r="BC16" i="28" a="1"/>
  <c r="BC15" i="28" a="1"/>
  <c r="BC15" i="28" s="1"/>
  <c r="BC14" i="28" a="1"/>
  <c r="BC14" i="28" s="1"/>
  <c r="BC13" i="28" a="1"/>
  <c r="BC13" i="28" s="1"/>
  <c r="BC12" i="28"/>
  <c r="BC12" i="28" a="1"/>
  <c r="BC11" i="28" a="1"/>
  <c r="BC11" i="28" s="1"/>
  <c r="AU122" i="28" a="1"/>
  <c r="AU122" i="28" s="1"/>
  <c r="AT122" i="28" a="1"/>
  <c r="AT122" i="28" s="1"/>
  <c r="AS122" i="28" a="1"/>
  <c r="AS122" i="28" s="1"/>
  <c r="AR122" i="28" a="1"/>
  <c r="AR122" i="28" s="1"/>
  <c r="AU121" i="28" a="1"/>
  <c r="AU121" i="28" s="1"/>
  <c r="AT121" i="28" a="1"/>
  <c r="AT121" i="28" s="1"/>
  <c r="AS121" i="28" a="1"/>
  <c r="AS121" i="28" s="1"/>
  <c r="AR121" i="28" a="1"/>
  <c r="AR121" i="28" s="1"/>
  <c r="AU120" i="28" a="1"/>
  <c r="AU120" i="28" s="1"/>
  <c r="AT120" i="28" a="1"/>
  <c r="AT120" i="28" s="1"/>
  <c r="AS120" i="28" a="1"/>
  <c r="AS120" i="28" s="1"/>
  <c r="AR120" i="28" a="1"/>
  <c r="AR120" i="28" s="1"/>
  <c r="AU119" i="28" a="1"/>
  <c r="AU119" i="28" s="1"/>
  <c r="AT119" i="28" a="1"/>
  <c r="AT119" i="28" s="1"/>
  <c r="AS119" i="28" a="1"/>
  <c r="AS119" i="28" s="1"/>
  <c r="AR119" i="28" a="1"/>
  <c r="AR119" i="28" s="1"/>
  <c r="AU118" i="28" a="1"/>
  <c r="AU118" i="28" s="1"/>
  <c r="AT118" i="28" a="1"/>
  <c r="AT118" i="28" s="1"/>
  <c r="AS118" i="28" a="1"/>
  <c r="AS118" i="28" s="1"/>
  <c r="AR118" i="28" a="1"/>
  <c r="AR118" i="28" s="1"/>
  <c r="AU117" i="28" a="1"/>
  <c r="AU117" i="28" s="1"/>
  <c r="AT117" i="28" a="1"/>
  <c r="AT117" i="28" s="1"/>
  <c r="AS117" i="28" a="1"/>
  <c r="AS117" i="28" s="1"/>
  <c r="AR117" i="28" a="1"/>
  <c r="AR117" i="28" s="1"/>
  <c r="AU116" i="28" a="1"/>
  <c r="AU116" i="28" s="1"/>
  <c r="AT116" i="28" a="1"/>
  <c r="AT116" i="28" s="1"/>
  <c r="AS116" i="28" a="1"/>
  <c r="AS116" i="28" s="1"/>
  <c r="AR116" i="28" a="1"/>
  <c r="AR116" i="28" s="1"/>
  <c r="AU115" i="28" a="1"/>
  <c r="AU115" i="28" s="1"/>
  <c r="AT115" i="28" a="1"/>
  <c r="AT115" i="28" s="1"/>
  <c r="AS115" i="28" a="1"/>
  <c r="AS115" i="28" s="1"/>
  <c r="AR115" i="28" a="1"/>
  <c r="AR115" i="28" s="1"/>
  <c r="AU114" i="28" a="1"/>
  <c r="AU114" i="28" s="1"/>
  <c r="AT114" i="28" a="1"/>
  <c r="AT114" i="28" s="1"/>
  <c r="AS114" i="28" a="1"/>
  <c r="AS114" i="28" s="1"/>
  <c r="AR114" i="28" a="1"/>
  <c r="AR114" i="28" s="1"/>
  <c r="AU113" i="28" a="1"/>
  <c r="AU113" i="28" s="1"/>
  <c r="AT113" i="28" a="1"/>
  <c r="AT113" i="28" s="1"/>
  <c r="AS113" i="28" a="1"/>
  <c r="AS113" i="28" s="1"/>
  <c r="AR113" i="28" a="1"/>
  <c r="AR113" i="28" s="1"/>
  <c r="AU112" i="28" a="1"/>
  <c r="AU112" i="28" s="1"/>
  <c r="AT112" i="28" a="1"/>
  <c r="AT112" i="28" s="1"/>
  <c r="AS112" i="28" a="1"/>
  <c r="AS112" i="28" s="1"/>
  <c r="AR112" i="28" a="1"/>
  <c r="AR112" i="28" s="1"/>
  <c r="AU111" i="28" a="1"/>
  <c r="AU111" i="28" s="1"/>
  <c r="AT111" i="28" a="1"/>
  <c r="AT111" i="28" s="1"/>
  <c r="AS111" i="28" a="1"/>
  <c r="AS111" i="28" s="1"/>
  <c r="AR111" i="28" a="1"/>
  <c r="AR111" i="28" s="1"/>
  <c r="AU110" i="28" a="1"/>
  <c r="AU110" i="28" s="1"/>
  <c r="AT110" i="28" a="1"/>
  <c r="AT110" i="28" s="1"/>
  <c r="AS110" i="28" a="1"/>
  <c r="AS110" i="28" s="1"/>
  <c r="AR110" i="28" a="1"/>
  <c r="AR110" i="28" s="1"/>
  <c r="AU109" i="28" a="1"/>
  <c r="AU109" i="28" s="1"/>
  <c r="AT109" i="28" a="1"/>
  <c r="AT109" i="28" s="1"/>
  <c r="AS109" i="28" a="1"/>
  <c r="AS109" i="28" s="1"/>
  <c r="AR109" i="28" a="1"/>
  <c r="AR109" i="28" s="1"/>
  <c r="AU108" i="28" a="1"/>
  <c r="AU108" i="28" s="1"/>
  <c r="AT108" i="28" a="1"/>
  <c r="AT108" i="28" s="1"/>
  <c r="AS108" i="28" a="1"/>
  <c r="AS108" i="28" s="1"/>
  <c r="AR108" i="28" a="1"/>
  <c r="AR108" i="28" s="1"/>
  <c r="AU107" i="28" a="1"/>
  <c r="AU107" i="28" s="1"/>
  <c r="AT107" i="28" a="1"/>
  <c r="AT107" i="28" s="1"/>
  <c r="AS107" i="28" a="1"/>
  <c r="AS107" i="28" s="1"/>
  <c r="AR107" i="28" a="1"/>
  <c r="AR107" i="28" s="1"/>
  <c r="AU106" i="28" a="1"/>
  <c r="AU106" i="28" s="1"/>
  <c r="AT106" i="28" a="1"/>
  <c r="AT106" i="28" s="1"/>
  <c r="AS106" i="28" a="1"/>
  <c r="AS106" i="28" s="1"/>
  <c r="AR106" i="28" a="1"/>
  <c r="AR106" i="28" s="1"/>
  <c r="AU105" i="28" a="1"/>
  <c r="AU105" i="28" s="1"/>
  <c r="AT105" i="28" a="1"/>
  <c r="AT105" i="28" s="1"/>
  <c r="AS105" i="28" a="1"/>
  <c r="AS105" i="28" s="1"/>
  <c r="AR105" i="28" a="1"/>
  <c r="AR105" i="28" s="1"/>
  <c r="AU104" i="28" a="1"/>
  <c r="AU104" i="28" s="1"/>
  <c r="AT104" i="28" a="1"/>
  <c r="AT104" i="28" s="1"/>
  <c r="AS104" i="28" a="1"/>
  <c r="AS104" i="28" s="1"/>
  <c r="AR104" i="28" a="1"/>
  <c r="AR104" i="28" s="1"/>
  <c r="AU103" i="28" a="1"/>
  <c r="AU103" i="28" s="1"/>
  <c r="AT103" i="28" a="1"/>
  <c r="AT103" i="28" s="1"/>
  <c r="AS103" i="28" a="1"/>
  <c r="AS103" i="28" s="1"/>
  <c r="AR103" i="28" a="1"/>
  <c r="AR103" i="28" s="1"/>
  <c r="AU102" i="28" a="1"/>
  <c r="AU102" i="28" s="1"/>
  <c r="AT102" i="28" a="1"/>
  <c r="AT102" i="28" s="1"/>
  <c r="AS102" i="28" a="1"/>
  <c r="AS102" i="28" s="1"/>
  <c r="AR102" i="28" a="1"/>
  <c r="AR102" i="28" s="1"/>
  <c r="AU101" i="28" a="1"/>
  <c r="AU101" i="28" s="1"/>
  <c r="AT101" i="28" a="1"/>
  <c r="AT101" i="28" s="1"/>
  <c r="AS101" i="28" a="1"/>
  <c r="AS101" i="28" s="1"/>
  <c r="AR101" i="28" a="1"/>
  <c r="AR101" i="28" s="1"/>
  <c r="AU100" i="28" a="1"/>
  <c r="AU100" i="28" s="1"/>
  <c r="AT100" i="28" a="1"/>
  <c r="AT100" i="28" s="1"/>
  <c r="AS100" i="28" a="1"/>
  <c r="AS100" i="28" s="1"/>
  <c r="AR100" i="28" a="1"/>
  <c r="AR100" i="28" s="1"/>
  <c r="AU99" i="28" a="1"/>
  <c r="AU99" i="28" s="1"/>
  <c r="AT99" i="28" a="1"/>
  <c r="AT99" i="28" s="1"/>
  <c r="AS99" i="28" a="1"/>
  <c r="AS99" i="28" s="1"/>
  <c r="AR99" i="28" a="1"/>
  <c r="AR99" i="28" s="1"/>
  <c r="AU98" i="28" a="1"/>
  <c r="AU98" i="28" s="1"/>
  <c r="AT98" i="28" a="1"/>
  <c r="AT98" i="28" s="1"/>
  <c r="AS98" i="28" a="1"/>
  <c r="AS98" i="28" s="1"/>
  <c r="AR98" i="28" a="1"/>
  <c r="AR98" i="28" s="1"/>
  <c r="AU97" i="28" a="1"/>
  <c r="AU97" i="28" s="1"/>
  <c r="AT97" i="28" a="1"/>
  <c r="AT97" i="28" s="1"/>
  <c r="AS97" i="28" a="1"/>
  <c r="AS97" i="28" s="1"/>
  <c r="AR97" i="28" a="1"/>
  <c r="AR97" i="28" s="1"/>
  <c r="AU96" i="28" a="1"/>
  <c r="AU96" i="28" s="1"/>
  <c r="AT96" i="28" a="1"/>
  <c r="AT96" i="28" s="1"/>
  <c r="AS96" i="28" a="1"/>
  <c r="AS96" i="28" s="1"/>
  <c r="AR96" i="28" a="1"/>
  <c r="AR96" i="28" s="1"/>
  <c r="AU95" i="28" a="1"/>
  <c r="AU95" i="28" s="1"/>
  <c r="AT95" i="28" a="1"/>
  <c r="AT95" i="28" s="1"/>
  <c r="AS95" i="28" a="1"/>
  <c r="AS95" i="28" s="1"/>
  <c r="AR95" i="28" a="1"/>
  <c r="AR95" i="28" s="1"/>
  <c r="AU94" i="28" a="1"/>
  <c r="AU94" i="28" s="1"/>
  <c r="AT94" i="28" a="1"/>
  <c r="AT94" i="28" s="1"/>
  <c r="AS94" i="28" a="1"/>
  <c r="AS94" i="28" s="1"/>
  <c r="AR94" i="28" a="1"/>
  <c r="AR94" i="28" s="1"/>
  <c r="AU93" i="28" a="1"/>
  <c r="AU93" i="28" s="1"/>
  <c r="AT93" i="28" a="1"/>
  <c r="AT93" i="28" s="1"/>
  <c r="AS93" i="28" a="1"/>
  <c r="AS93" i="28" s="1"/>
  <c r="AR93" i="28" a="1"/>
  <c r="AR93" i="28" s="1"/>
  <c r="AU92" i="28" a="1"/>
  <c r="AU92" i="28" s="1"/>
  <c r="AT92" i="28" a="1"/>
  <c r="AT92" i="28" s="1"/>
  <c r="AS92" i="28" a="1"/>
  <c r="AS92" i="28" s="1"/>
  <c r="AR92" i="28" a="1"/>
  <c r="AR92" i="28" s="1"/>
  <c r="AU91" i="28" a="1"/>
  <c r="AU91" i="28" s="1"/>
  <c r="AT91" i="28" a="1"/>
  <c r="AT91" i="28" s="1"/>
  <c r="AS91" i="28" a="1"/>
  <c r="AS91" i="28" s="1"/>
  <c r="AR91" i="28" a="1"/>
  <c r="AR91" i="28" s="1"/>
  <c r="AU90" i="28" a="1"/>
  <c r="AU90" i="28" s="1"/>
  <c r="AT90" i="28" a="1"/>
  <c r="AT90" i="28" s="1"/>
  <c r="AS90" i="28" a="1"/>
  <c r="AS90" i="28" s="1"/>
  <c r="AR90" i="28" a="1"/>
  <c r="AR90" i="28" s="1"/>
  <c r="AU89" i="28" a="1"/>
  <c r="AU89" i="28" s="1"/>
  <c r="AT89" i="28" a="1"/>
  <c r="AT89" i="28" s="1"/>
  <c r="AS89" i="28" a="1"/>
  <c r="AS89" i="28" s="1"/>
  <c r="AR89" i="28" a="1"/>
  <c r="AR89" i="28" s="1"/>
  <c r="AU88" i="28" a="1"/>
  <c r="AU88" i="28" s="1"/>
  <c r="AT88" i="28" a="1"/>
  <c r="AT88" i="28" s="1"/>
  <c r="AS88" i="28" a="1"/>
  <c r="AS88" i="28" s="1"/>
  <c r="AR88" i="28" a="1"/>
  <c r="AR88" i="28" s="1"/>
  <c r="AU87" i="28" a="1"/>
  <c r="AU87" i="28" s="1"/>
  <c r="AT87" i="28" a="1"/>
  <c r="AT87" i="28" s="1"/>
  <c r="AS87" i="28" a="1"/>
  <c r="AS87" i="28" s="1"/>
  <c r="AR87" i="28" a="1"/>
  <c r="AR87" i="28" s="1"/>
  <c r="AU86" i="28" a="1"/>
  <c r="AU86" i="28" s="1"/>
  <c r="AT86" i="28" a="1"/>
  <c r="AT86" i="28" s="1"/>
  <c r="AS86" i="28" a="1"/>
  <c r="AS86" i="28" s="1"/>
  <c r="AR86" i="28" a="1"/>
  <c r="AR86" i="28" s="1"/>
  <c r="AU85" i="28" a="1"/>
  <c r="AU85" i="28" s="1"/>
  <c r="AT85" i="28" a="1"/>
  <c r="AT85" i="28" s="1"/>
  <c r="AS85" i="28" a="1"/>
  <c r="AS85" i="28" s="1"/>
  <c r="AR85" i="28" a="1"/>
  <c r="AR85" i="28" s="1"/>
  <c r="AU84" i="28" a="1"/>
  <c r="AU84" i="28" s="1"/>
  <c r="AT84" i="28" a="1"/>
  <c r="AT84" i="28" s="1"/>
  <c r="AS84" i="28" a="1"/>
  <c r="AS84" i="28" s="1"/>
  <c r="AR84" i="28" a="1"/>
  <c r="AR84" i="28" s="1"/>
  <c r="AU83" i="28" a="1"/>
  <c r="AU83" i="28" s="1"/>
  <c r="AT83" i="28" a="1"/>
  <c r="AT83" i="28" s="1"/>
  <c r="AS83" i="28" a="1"/>
  <c r="AS83" i="28" s="1"/>
  <c r="AR83" i="28" a="1"/>
  <c r="AR83" i="28" s="1"/>
  <c r="AU82" i="28" a="1"/>
  <c r="AU82" i="28" s="1"/>
  <c r="AT82" i="28" a="1"/>
  <c r="AT82" i="28" s="1"/>
  <c r="AS82" i="28" a="1"/>
  <c r="AS82" i="28" s="1"/>
  <c r="AR82" i="28" a="1"/>
  <c r="AR82" i="28" s="1"/>
  <c r="AU81" i="28" a="1"/>
  <c r="AU81" i="28" s="1"/>
  <c r="AT81" i="28" a="1"/>
  <c r="AT81" i="28" s="1"/>
  <c r="AS81" i="28" a="1"/>
  <c r="AS81" i="28" s="1"/>
  <c r="AR81" i="28" a="1"/>
  <c r="AR81" i="28" s="1"/>
  <c r="AU80" i="28" a="1"/>
  <c r="AU80" i="28" s="1"/>
  <c r="AT80" i="28" a="1"/>
  <c r="AT80" i="28" s="1"/>
  <c r="AS80" i="28" a="1"/>
  <c r="AS80" i="28" s="1"/>
  <c r="AR80" i="28" a="1"/>
  <c r="AR80" i="28" s="1"/>
  <c r="AU79" i="28" a="1"/>
  <c r="AU79" i="28" s="1"/>
  <c r="AT79" i="28" a="1"/>
  <c r="AT79" i="28" s="1"/>
  <c r="AS79" i="28" a="1"/>
  <c r="AS79" i="28" s="1"/>
  <c r="AR79" i="28" a="1"/>
  <c r="AR79" i="28" s="1"/>
  <c r="AU78" i="28" a="1"/>
  <c r="AU78" i="28" s="1"/>
  <c r="AT78" i="28" a="1"/>
  <c r="AT78" i="28" s="1"/>
  <c r="AS78" i="28" a="1"/>
  <c r="AS78" i="28" s="1"/>
  <c r="AR78" i="28" a="1"/>
  <c r="AR78" i="28" s="1"/>
  <c r="AU77" i="28" a="1"/>
  <c r="AU77" i="28" s="1"/>
  <c r="AT77" i="28" a="1"/>
  <c r="AT77" i="28" s="1"/>
  <c r="AS77" i="28" a="1"/>
  <c r="AS77" i="28" s="1"/>
  <c r="AR77" i="28" a="1"/>
  <c r="AR77" i="28" s="1"/>
  <c r="AU76" i="28" a="1"/>
  <c r="AU76" i="28" s="1"/>
  <c r="AT76" i="28" a="1"/>
  <c r="AT76" i="28" s="1"/>
  <c r="AS76" i="28" a="1"/>
  <c r="AS76" i="28" s="1"/>
  <c r="AR76" i="28" a="1"/>
  <c r="AR76" i="28" s="1"/>
  <c r="AU75" i="28" a="1"/>
  <c r="AU75" i="28" s="1"/>
  <c r="AT75" i="28" a="1"/>
  <c r="AT75" i="28" s="1"/>
  <c r="AS75" i="28" a="1"/>
  <c r="AS75" i="28" s="1"/>
  <c r="AR75" i="28" a="1"/>
  <c r="AR75" i="28" s="1"/>
  <c r="AU74" i="28" a="1"/>
  <c r="AU74" i="28" s="1"/>
  <c r="AT74" i="28" a="1"/>
  <c r="AT74" i="28" s="1"/>
  <c r="AS74" i="28" a="1"/>
  <c r="AS74" i="28" s="1"/>
  <c r="AR74" i="28" a="1"/>
  <c r="AR74" i="28" s="1"/>
  <c r="AU73" i="28" a="1"/>
  <c r="AU73" i="28" s="1"/>
  <c r="AT73" i="28" a="1"/>
  <c r="AT73" i="28" s="1"/>
  <c r="AS73" i="28" a="1"/>
  <c r="AS73" i="28" s="1"/>
  <c r="AR73" i="28" a="1"/>
  <c r="AR73" i="28" s="1"/>
  <c r="AU72" i="28" a="1"/>
  <c r="AU72" i="28" s="1"/>
  <c r="AT72" i="28" a="1"/>
  <c r="AT72" i="28" s="1"/>
  <c r="AS72" i="28" a="1"/>
  <c r="AS72" i="28" s="1"/>
  <c r="AR72" i="28" a="1"/>
  <c r="AR72" i="28" s="1"/>
  <c r="AU71" i="28" a="1"/>
  <c r="AU71" i="28" s="1"/>
  <c r="AT71" i="28" a="1"/>
  <c r="AT71" i="28" s="1"/>
  <c r="AS71" i="28" a="1"/>
  <c r="AS71" i="28" s="1"/>
  <c r="AR71" i="28" a="1"/>
  <c r="AR71" i="28" s="1"/>
  <c r="AU70" i="28" a="1"/>
  <c r="AU70" i="28" s="1"/>
  <c r="AT70" i="28" a="1"/>
  <c r="AT70" i="28" s="1"/>
  <c r="AS70" i="28" a="1"/>
  <c r="AS70" i="28" s="1"/>
  <c r="AR70" i="28" a="1"/>
  <c r="AR70" i="28" s="1"/>
  <c r="AU69" i="28" a="1"/>
  <c r="AU69" i="28" s="1"/>
  <c r="AT69" i="28" a="1"/>
  <c r="AT69" i="28" s="1"/>
  <c r="AS69" i="28" a="1"/>
  <c r="AS69" i="28" s="1"/>
  <c r="AR69" i="28" a="1"/>
  <c r="AR69" i="28" s="1"/>
  <c r="AU68" i="28" a="1"/>
  <c r="AU68" i="28" s="1"/>
  <c r="AT68" i="28" a="1"/>
  <c r="AT68" i="28" s="1"/>
  <c r="AS68" i="28" a="1"/>
  <c r="AS68" i="28" s="1"/>
  <c r="AR68" i="28" a="1"/>
  <c r="AR68" i="28" s="1"/>
  <c r="AU67" i="28" a="1"/>
  <c r="AU67" i="28" s="1"/>
  <c r="AT67" i="28" a="1"/>
  <c r="AT67" i="28" s="1"/>
  <c r="AS67" i="28" a="1"/>
  <c r="AS67" i="28" s="1"/>
  <c r="AR67" i="28" a="1"/>
  <c r="AR67" i="28" s="1"/>
  <c r="AU66" i="28" a="1"/>
  <c r="AU66" i="28" s="1"/>
  <c r="AT66" i="28" a="1"/>
  <c r="AT66" i="28" s="1"/>
  <c r="AS66" i="28" a="1"/>
  <c r="AS66" i="28" s="1"/>
  <c r="AR66" i="28" a="1"/>
  <c r="AR66" i="28" s="1"/>
  <c r="AU65" i="28" a="1"/>
  <c r="AU65" i="28" s="1"/>
  <c r="AT65" i="28" a="1"/>
  <c r="AT65" i="28" s="1"/>
  <c r="AS65" i="28" a="1"/>
  <c r="AS65" i="28" s="1"/>
  <c r="AR65" i="28" a="1"/>
  <c r="AR65" i="28" s="1"/>
  <c r="AU64" i="28" a="1"/>
  <c r="AU64" i="28" s="1"/>
  <c r="AT64" i="28" a="1"/>
  <c r="AT64" i="28" s="1"/>
  <c r="AS64" i="28" a="1"/>
  <c r="AS64" i="28" s="1"/>
  <c r="AR64" i="28" a="1"/>
  <c r="AR64" i="28" s="1"/>
  <c r="AU63" i="28" a="1"/>
  <c r="AU63" i="28" s="1"/>
  <c r="AT63" i="28" a="1"/>
  <c r="AT63" i="28" s="1"/>
  <c r="AS63" i="28" a="1"/>
  <c r="AS63" i="28" s="1"/>
  <c r="AR63" i="28" a="1"/>
  <c r="AR63" i="28" s="1"/>
  <c r="AU62" i="28" a="1"/>
  <c r="AU62" i="28" s="1"/>
  <c r="AT62" i="28" a="1"/>
  <c r="AT62" i="28" s="1"/>
  <c r="AS62" i="28" a="1"/>
  <c r="AS62" i="28" s="1"/>
  <c r="AR62" i="28" a="1"/>
  <c r="AR62" i="28" s="1"/>
  <c r="AU61" i="28" a="1"/>
  <c r="AU61" i="28" s="1"/>
  <c r="AT61" i="28" a="1"/>
  <c r="AT61" i="28" s="1"/>
  <c r="AS61" i="28" a="1"/>
  <c r="AS61" i="28" s="1"/>
  <c r="AR61" i="28" a="1"/>
  <c r="AR61" i="28" s="1"/>
  <c r="AU60" i="28" a="1"/>
  <c r="AU60" i="28" s="1"/>
  <c r="AT60" i="28" a="1"/>
  <c r="AT60" i="28" s="1"/>
  <c r="AS60" i="28" a="1"/>
  <c r="AS60" i="28" s="1"/>
  <c r="AR60" i="28" a="1"/>
  <c r="AR60" i="28" s="1"/>
  <c r="AU59" i="28" a="1"/>
  <c r="AU59" i="28" s="1"/>
  <c r="AT59" i="28" a="1"/>
  <c r="AT59" i="28" s="1"/>
  <c r="AS59" i="28" a="1"/>
  <c r="AS59" i="28" s="1"/>
  <c r="AR59" i="28" a="1"/>
  <c r="AR59" i="28" s="1"/>
  <c r="AU58" i="28" a="1"/>
  <c r="AU58" i="28" s="1"/>
  <c r="AT58" i="28" a="1"/>
  <c r="AT58" i="28" s="1"/>
  <c r="AS58" i="28" a="1"/>
  <c r="AS58" i="28" s="1"/>
  <c r="AR58" i="28" a="1"/>
  <c r="AR58" i="28" s="1"/>
  <c r="AU57" i="28" a="1"/>
  <c r="AU57" i="28" s="1"/>
  <c r="AT57" i="28" a="1"/>
  <c r="AT57" i="28" s="1"/>
  <c r="AS57" i="28" a="1"/>
  <c r="AS57" i="28" s="1"/>
  <c r="AR57" i="28" a="1"/>
  <c r="AR57" i="28" s="1"/>
  <c r="AU56" i="28" a="1"/>
  <c r="AU56" i="28" s="1"/>
  <c r="AT56" i="28" a="1"/>
  <c r="AT56" i="28" s="1"/>
  <c r="AS56" i="28" a="1"/>
  <c r="AS56" i="28" s="1"/>
  <c r="AR56" i="28" a="1"/>
  <c r="AR56" i="28" s="1"/>
  <c r="AU55" i="28" a="1"/>
  <c r="AU55" i="28" s="1"/>
  <c r="AT55" i="28" a="1"/>
  <c r="AT55" i="28" s="1"/>
  <c r="AS55" i="28" a="1"/>
  <c r="AS55" i="28" s="1"/>
  <c r="AR55" i="28" a="1"/>
  <c r="AR55" i="28" s="1"/>
  <c r="AU54" i="28" a="1"/>
  <c r="AU54" i="28" s="1"/>
  <c r="AT54" i="28" a="1"/>
  <c r="AT54" i="28" s="1"/>
  <c r="AS54" i="28" a="1"/>
  <c r="AS54" i="28" s="1"/>
  <c r="AR54" i="28" a="1"/>
  <c r="AR54" i="28" s="1"/>
  <c r="AU53" i="28" a="1"/>
  <c r="AU53" i="28" s="1"/>
  <c r="AT53" i="28" a="1"/>
  <c r="AT53" i="28" s="1"/>
  <c r="AS53" i="28" a="1"/>
  <c r="AS53" i="28" s="1"/>
  <c r="AR53" i="28" a="1"/>
  <c r="AR53" i="28" s="1"/>
  <c r="AU52" i="28" a="1"/>
  <c r="AU52" i="28" s="1"/>
  <c r="AT52" i="28" a="1"/>
  <c r="AT52" i="28" s="1"/>
  <c r="AS52" i="28" a="1"/>
  <c r="AS52" i="28" s="1"/>
  <c r="AR52" i="28" a="1"/>
  <c r="AR52" i="28" s="1"/>
  <c r="AU51" i="28" a="1"/>
  <c r="AU51" i="28" s="1"/>
  <c r="AT51" i="28" a="1"/>
  <c r="AT51" i="28" s="1"/>
  <c r="AS51" i="28" a="1"/>
  <c r="AS51" i="28" s="1"/>
  <c r="AR51" i="28" a="1"/>
  <c r="AR51" i="28" s="1"/>
  <c r="AU50" i="28" a="1"/>
  <c r="AU50" i="28" s="1"/>
  <c r="AT50" i="28" a="1"/>
  <c r="AT50" i="28" s="1"/>
  <c r="AS50" i="28" a="1"/>
  <c r="AS50" i="28" s="1"/>
  <c r="AR50" i="28" a="1"/>
  <c r="AR50" i="28" s="1"/>
  <c r="AU49" i="28" a="1"/>
  <c r="AU49" i="28" s="1"/>
  <c r="AT49" i="28" a="1"/>
  <c r="AT49" i="28" s="1"/>
  <c r="AS49" i="28" a="1"/>
  <c r="AS49" i="28" s="1"/>
  <c r="AR49" i="28" a="1"/>
  <c r="AR49" i="28" s="1"/>
  <c r="AU48" i="28" a="1"/>
  <c r="AU48" i="28" s="1"/>
  <c r="AT48" i="28" a="1"/>
  <c r="AT48" i="28" s="1"/>
  <c r="AS48" i="28" a="1"/>
  <c r="AS48" i="28" s="1"/>
  <c r="AR48" i="28" a="1"/>
  <c r="AR48" i="28" s="1"/>
  <c r="AU47" i="28" a="1"/>
  <c r="AU47" i="28" s="1"/>
  <c r="AT47" i="28" a="1"/>
  <c r="AT47" i="28" s="1"/>
  <c r="AS47" i="28" a="1"/>
  <c r="AS47" i="28" s="1"/>
  <c r="AR47" i="28" a="1"/>
  <c r="AR47" i="28" s="1"/>
  <c r="AU46" i="28" a="1"/>
  <c r="AU46" i="28" s="1"/>
  <c r="AT46" i="28" a="1"/>
  <c r="AT46" i="28" s="1"/>
  <c r="AS46" i="28" a="1"/>
  <c r="AS46" i="28" s="1"/>
  <c r="AR46" i="28" a="1"/>
  <c r="AR46" i="28" s="1"/>
  <c r="AU45" i="28" a="1"/>
  <c r="AU45" i="28" s="1"/>
  <c r="AT45" i="28" a="1"/>
  <c r="AT45" i="28" s="1"/>
  <c r="AS45" i="28" a="1"/>
  <c r="AS45" i="28" s="1"/>
  <c r="AR45" i="28" a="1"/>
  <c r="AR45" i="28" s="1"/>
  <c r="AU44" i="28" a="1"/>
  <c r="AU44" i="28" s="1"/>
  <c r="AT44" i="28" a="1"/>
  <c r="AT44" i="28" s="1"/>
  <c r="AS44" i="28" a="1"/>
  <c r="AS44" i="28" s="1"/>
  <c r="AR44" i="28" a="1"/>
  <c r="AR44" i="28" s="1"/>
  <c r="AU43" i="28" a="1"/>
  <c r="AU43" i="28" s="1"/>
  <c r="AT43" i="28" a="1"/>
  <c r="AT43" i="28" s="1"/>
  <c r="AS43" i="28" a="1"/>
  <c r="AS43" i="28" s="1"/>
  <c r="AR43" i="28" a="1"/>
  <c r="AR43" i="28" s="1"/>
  <c r="AU42" i="28" a="1"/>
  <c r="AU42" i="28" s="1"/>
  <c r="AT42" i="28" a="1"/>
  <c r="AT42" i="28" s="1"/>
  <c r="AS42" i="28" a="1"/>
  <c r="AS42" i="28" s="1"/>
  <c r="AR42" i="28" a="1"/>
  <c r="AR42" i="28" s="1"/>
  <c r="AU41" i="28" a="1"/>
  <c r="AU41" i="28" s="1"/>
  <c r="AT41" i="28" a="1"/>
  <c r="AT41" i="28" s="1"/>
  <c r="AS41" i="28" a="1"/>
  <c r="AS41" i="28" s="1"/>
  <c r="AR41" i="28" a="1"/>
  <c r="AR41" i="28" s="1"/>
  <c r="AU40" i="28" a="1"/>
  <c r="AU40" i="28" s="1"/>
  <c r="AT40" i="28" a="1"/>
  <c r="AT40" i="28" s="1"/>
  <c r="AS40" i="28" a="1"/>
  <c r="AS40" i="28" s="1"/>
  <c r="AR40" i="28" a="1"/>
  <c r="AR40" i="28" s="1"/>
  <c r="AU39" i="28" a="1"/>
  <c r="AU39" i="28" s="1"/>
  <c r="AT39" i="28" a="1"/>
  <c r="AT39" i="28" s="1"/>
  <c r="AS39" i="28" a="1"/>
  <c r="AS39" i="28" s="1"/>
  <c r="AR39" i="28" a="1"/>
  <c r="AR39" i="28" s="1"/>
  <c r="AU38" i="28" a="1"/>
  <c r="AU38" i="28" s="1"/>
  <c r="AT38" i="28" a="1"/>
  <c r="AT38" i="28" s="1"/>
  <c r="AS38" i="28" a="1"/>
  <c r="AS38" i="28" s="1"/>
  <c r="AR38" i="28" a="1"/>
  <c r="AR38" i="28" s="1"/>
  <c r="AU37" i="28" a="1"/>
  <c r="AU37" i="28" s="1"/>
  <c r="AT37" i="28" a="1"/>
  <c r="AT37" i="28" s="1"/>
  <c r="AS37" i="28"/>
  <c r="AS37" i="28" a="1"/>
  <c r="AR37" i="28" a="1"/>
  <c r="AR37" i="28" s="1"/>
  <c r="AU36" i="28" a="1"/>
  <c r="AU36" i="28" s="1"/>
  <c r="AT36" i="28" a="1"/>
  <c r="AT36" i="28" s="1"/>
  <c r="AS36" i="28"/>
  <c r="AS36" i="28" a="1"/>
  <c r="AR36" i="28" a="1"/>
  <c r="AR36" i="28" s="1"/>
  <c r="AU35" i="28" a="1"/>
  <c r="AU35" i="28" s="1"/>
  <c r="AT35" i="28" a="1"/>
  <c r="AT35" i="28" s="1"/>
  <c r="AS35" i="28"/>
  <c r="AS35" i="28" a="1"/>
  <c r="AR35" i="28" a="1"/>
  <c r="AR35" i="28" s="1"/>
  <c r="AU34" i="28" a="1"/>
  <c r="AU34" i="28" s="1"/>
  <c r="AT34" i="28" a="1"/>
  <c r="AT34" i="28" s="1"/>
  <c r="AS34" i="28"/>
  <c r="AS34" i="28" a="1"/>
  <c r="AR34" i="28" a="1"/>
  <c r="AR34" i="28" s="1"/>
  <c r="AU33" i="28" a="1"/>
  <c r="AU33" i="28" s="1"/>
  <c r="AT33" i="28" a="1"/>
  <c r="AT33" i="28" s="1"/>
  <c r="AS33" i="28"/>
  <c r="AS33" i="28" a="1"/>
  <c r="AR33" i="28" a="1"/>
  <c r="AR33" i="28" s="1"/>
  <c r="AU32" i="28" a="1"/>
  <c r="AU32" i="28" s="1"/>
  <c r="AT32" i="28" a="1"/>
  <c r="AT32" i="28" s="1"/>
  <c r="AS32" i="28"/>
  <c r="AS32" i="28" a="1"/>
  <c r="AR32" i="28" a="1"/>
  <c r="AR32" i="28" s="1"/>
  <c r="AU31" i="28" a="1"/>
  <c r="AU31" i="28" s="1"/>
  <c r="AT31" i="28" a="1"/>
  <c r="AT31" i="28" s="1"/>
  <c r="AS31" i="28"/>
  <c r="AS31" i="28" a="1"/>
  <c r="AR31" i="28" a="1"/>
  <c r="AR31" i="28" s="1"/>
  <c r="AU30" i="28" a="1"/>
  <c r="AU30" i="28" s="1"/>
  <c r="AT30" i="28" a="1"/>
  <c r="AT30" i="28" s="1"/>
  <c r="AS30" i="28"/>
  <c r="AS30" i="28" a="1"/>
  <c r="AR30" i="28" a="1"/>
  <c r="AR30" i="28" s="1"/>
  <c r="AU29" i="28" a="1"/>
  <c r="AU29" i="28" s="1"/>
  <c r="AT29" i="28" a="1"/>
  <c r="AT29" i="28" s="1"/>
  <c r="AS29" i="28"/>
  <c r="AS29" i="28" a="1"/>
  <c r="AR29" i="28" a="1"/>
  <c r="AR29" i="28" s="1"/>
  <c r="AU28" i="28" a="1"/>
  <c r="AU28" i="28" s="1"/>
  <c r="AT28" i="28" a="1"/>
  <c r="AT28" i="28" s="1"/>
  <c r="AS28" i="28"/>
  <c r="AS28" i="28" a="1"/>
  <c r="AR28" i="28" a="1"/>
  <c r="AR28" i="28" s="1"/>
  <c r="AU27" i="28" a="1"/>
  <c r="AU27" i="28" s="1"/>
  <c r="AT27" i="28" a="1"/>
  <c r="AT27" i="28" s="1"/>
  <c r="AS27" i="28"/>
  <c r="AS27" i="28" a="1"/>
  <c r="AR27" i="28" a="1"/>
  <c r="AR27" i="28" s="1"/>
  <c r="AU26" i="28" a="1"/>
  <c r="AU26" i="28" s="1"/>
  <c r="AT26" i="28" a="1"/>
  <c r="AT26" i="28" s="1"/>
  <c r="AS26" i="28"/>
  <c r="AS26" i="28" a="1"/>
  <c r="AR26" i="28" a="1"/>
  <c r="AR26" i="28" s="1"/>
  <c r="AU25" i="28" a="1"/>
  <c r="AU25" i="28" s="1"/>
  <c r="AT25" i="28" a="1"/>
  <c r="AT25" i="28" s="1"/>
  <c r="AS25" i="28"/>
  <c r="AS25" i="28" a="1"/>
  <c r="AR25" i="28" a="1"/>
  <c r="AR25" i="28" s="1"/>
  <c r="AU24" i="28" a="1"/>
  <c r="AU24" i="28" s="1"/>
  <c r="AT24" i="28" a="1"/>
  <c r="AT24" i="28" s="1"/>
  <c r="AS24" i="28"/>
  <c r="AS24" i="28" a="1"/>
  <c r="AR24" i="28" a="1"/>
  <c r="AR24" i="28" s="1"/>
  <c r="AU23" i="28" a="1"/>
  <c r="AU23" i="28" s="1"/>
  <c r="AT23" i="28" a="1"/>
  <c r="AT23" i="28" s="1"/>
  <c r="AS23" i="28"/>
  <c r="AS23" i="28" a="1"/>
  <c r="AR23" i="28" a="1"/>
  <c r="AR23" i="28" s="1"/>
  <c r="AU22" i="28" a="1"/>
  <c r="AU22" i="28" s="1"/>
  <c r="AT22" i="28" a="1"/>
  <c r="AT22" i="28" s="1"/>
  <c r="AS22" i="28"/>
  <c r="AS22" i="28" a="1"/>
  <c r="AR22" i="28" a="1"/>
  <c r="AR22" i="28" s="1"/>
  <c r="AU21" i="28" a="1"/>
  <c r="AU21" i="28" s="1"/>
  <c r="AT21" i="28" a="1"/>
  <c r="AT21" i="28" s="1"/>
  <c r="AS21" i="28"/>
  <c r="AS21" i="28" a="1"/>
  <c r="AR21" i="28" a="1"/>
  <c r="AR21" i="28" s="1"/>
  <c r="AU20" i="28" a="1"/>
  <c r="AU20" i="28" s="1"/>
  <c r="AT20" i="28" a="1"/>
  <c r="AT20" i="28" s="1"/>
  <c r="AS20" i="28"/>
  <c r="AS20" i="28" a="1"/>
  <c r="AR20" i="28" a="1"/>
  <c r="AR20" i="28" s="1"/>
  <c r="AU19" i="28" a="1"/>
  <c r="AU19" i="28" s="1"/>
  <c r="AT19" i="28" a="1"/>
  <c r="AT19" i="28" s="1"/>
  <c r="AS19" i="28"/>
  <c r="AS19" i="28" a="1"/>
  <c r="AR19" i="28" a="1"/>
  <c r="AR19" i="28" s="1"/>
  <c r="AU18" i="28" a="1"/>
  <c r="AU18" i="28" s="1"/>
  <c r="AT18" i="28" a="1"/>
  <c r="AT18" i="28" s="1"/>
  <c r="AS18" i="28"/>
  <c r="AS18" i="28" a="1"/>
  <c r="AR18" i="28" a="1"/>
  <c r="AR18" i="28" s="1"/>
  <c r="AU17" i="28" a="1"/>
  <c r="AU17" i="28" s="1"/>
  <c r="AT17" i="28" a="1"/>
  <c r="AT17" i="28" s="1"/>
  <c r="AS17" i="28"/>
  <c r="AS17" i="28" a="1"/>
  <c r="AR17" i="28" a="1"/>
  <c r="AR17" i="28" s="1"/>
  <c r="AU16" i="28" a="1"/>
  <c r="AU16" i="28" s="1"/>
  <c r="AT16" i="28" a="1"/>
  <c r="AT16" i="28" s="1"/>
  <c r="AS16" i="28"/>
  <c r="AS16" i="28" a="1"/>
  <c r="AR16" i="28" a="1"/>
  <c r="AR16" i="28" s="1"/>
  <c r="AU15" i="28" a="1"/>
  <c r="AU15" i="28" s="1"/>
  <c r="AT15" i="28" a="1"/>
  <c r="AT15" i="28" s="1"/>
  <c r="AS15" i="28"/>
  <c r="AS15" i="28" a="1"/>
  <c r="AR15" i="28" a="1"/>
  <c r="AR15" i="28" s="1"/>
  <c r="AU14" i="28" a="1"/>
  <c r="AU14" i="28" s="1"/>
  <c r="AT14" i="28" a="1"/>
  <c r="AT14" i="28" s="1"/>
  <c r="AS14" i="28"/>
  <c r="AS14" i="28" a="1"/>
  <c r="AR14" i="28" a="1"/>
  <c r="AR14" i="28" s="1"/>
  <c r="AU13" i="28" a="1"/>
  <c r="AU13" i="28" s="1"/>
  <c r="AT13" i="28" a="1"/>
  <c r="AT13" i="28" s="1"/>
  <c r="AS13" i="28"/>
  <c r="AS13" i="28" a="1"/>
  <c r="AR13" i="28" a="1"/>
  <c r="AR13" i="28" s="1"/>
  <c r="AU12" i="28" a="1"/>
  <c r="AU12" i="28" s="1"/>
  <c r="AT12" i="28" a="1"/>
  <c r="AT12" i="28" s="1"/>
  <c r="AS12" i="28"/>
  <c r="AS12" i="28" a="1"/>
  <c r="AR12" i="28" a="1"/>
  <c r="AR12" i="28" s="1"/>
  <c r="AU11" i="28" a="1"/>
  <c r="AU11" i="28" s="1"/>
  <c r="AT11" i="28" a="1"/>
  <c r="AT11" i="28" s="1"/>
  <c r="AS11" i="28"/>
  <c r="AS11" i="28" a="1"/>
  <c r="AR11" i="28" a="1"/>
  <c r="AR11" i="28" s="1"/>
  <c r="AQ122" i="28" a="1"/>
  <c r="AQ122" i="28" s="1"/>
  <c r="AQ121" i="28" a="1"/>
  <c r="AQ121" i="28" s="1"/>
  <c r="AQ120" i="28" a="1"/>
  <c r="AQ120" i="28" s="1"/>
  <c r="AQ119" i="28" a="1"/>
  <c r="AQ119" i="28" s="1"/>
  <c r="AQ118" i="28" a="1"/>
  <c r="AQ118" i="28" s="1"/>
  <c r="AQ117" i="28" a="1"/>
  <c r="AQ117" i="28" s="1"/>
  <c r="AQ116" i="28" a="1"/>
  <c r="AQ116" i="28" s="1"/>
  <c r="AQ115" i="28" a="1"/>
  <c r="AQ115" i="28" s="1"/>
  <c r="AQ114" i="28" a="1"/>
  <c r="AQ114" i="28" s="1"/>
  <c r="AQ113" i="28" a="1"/>
  <c r="AQ113" i="28" s="1"/>
  <c r="AQ112" i="28" a="1"/>
  <c r="AQ112" i="28" s="1"/>
  <c r="AQ111" i="28" a="1"/>
  <c r="AQ111" i="28" s="1"/>
  <c r="AQ110" i="28" a="1"/>
  <c r="AQ110" i="28" s="1"/>
  <c r="AQ109" i="28" a="1"/>
  <c r="AQ109" i="28" s="1"/>
  <c r="AQ108" i="28" a="1"/>
  <c r="AQ108" i="28" s="1"/>
  <c r="AQ107" i="28" a="1"/>
  <c r="AQ107" i="28" s="1"/>
  <c r="AQ106" i="28" a="1"/>
  <c r="AQ106" i="28" s="1"/>
  <c r="AQ105" i="28" a="1"/>
  <c r="AQ105" i="28" s="1"/>
  <c r="AQ104" i="28" a="1"/>
  <c r="AQ104" i="28" s="1"/>
  <c r="AQ103" i="28" a="1"/>
  <c r="AQ103" i="28" s="1"/>
  <c r="AQ102" i="28" a="1"/>
  <c r="AQ102" i="28" s="1"/>
  <c r="AQ101" i="28" a="1"/>
  <c r="AQ101" i="28" s="1"/>
  <c r="AQ100" i="28" a="1"/>
  <c r="AQ100" i="28" s="1"/>
  <c r="AQ99" i="28" a="1"/>
  <c r="AQ99" i="28" s="1"/>
  <c r="AQ98" i="28" a="1"/>
  <c r="AQ98" i="28" s="1"/>
  <c r="AQ97" i="28" a="1"/>
  <c r="AQ97" i="28" s="1"/>
  <c r="AQ96" i="28" a="1"/>
  <c r="AQ96" i="28" s="1"/>
  <c r="AQ95" i="28" a="1"/>
  <c r="AQ95" i="28" s="1"/>
  <c r="AQ94" i="28" a="1"/>
  <c r="AQ94" i="28" s="1"/>
  <c r="AQ93" i="28" a="1"/>
  <c r="AQ93" i="28" s="1"/>
  <c r="AQ92" i="28" a="1"/>
  <c r="AQ92" i="28" s="1"/>
  <c r="AQ91" i="28" a="1"/>
  <c r="AQ91" i="28" s="1"/>
  <c r="AQ90" i="28" a="1"/>
  <c r="AQ90" i="28" s="1"/>
  <c r="AQ89" i="28" a="1"/>
  <c r="AQ89" i="28" s="1"/>
  <c r="AQ88" i="28" a="1"/>
  <c r="AQ88" i="28" s="1"/>
  <c r="AQ87" i="28" a="1"/>
  <c r="AQ87" i="28" s="1"/>
  <c r="AQ86" i="28" a="1"/>
  <c r="AQ86" i="28" s="1"/>
  <c r="AQ85" i="28" a="1"/>
  <c r="AQ85" i="28" s="1"/>
  <c r="AQ84" i="28" a="1"/>
  <c r="AQ84" i="28" s="1"/>
  <c r="AQ83" i="28" a="1"/>
  <c r="AQ83" i="28" s="1"/>
  <c r="AQ82" i="28" a="1"/>
  <c r="AQ82" i="28" s="1"/>
  <c r="AQ81" i="28" a="1"/>
  <c r="AQ81" i="28" s="1"/>
  <c r="AQ80" i="28" a="1"/>
  <c r="AQ80" i="28" s="1"/>
  <c r="AQ79" i="28" a="1"/>
  <c r="AQ79" i="28" s="1"/>
  <c r="AQ78" i="28" a="1"/>
  <c r="AQ78" i="28" s="1"/>
  <c r="AQ77" i="28" a="1"/>
  <c r="AQ77" i="28" s="1"/>
  <c r="AQ76" i="28" a="1"/>
  <c r="AQ76" i="28" s="1"/>
  <c r="AQ75" i="28" a="1"/>
  <c r="AQ75" i="28" s="1"/>
  <c r="AQ74" i="28" a="1"/>
  <c r="AQ74" i="28" s="1"/>
  <c r="AQ73" i="28" a="1"/>
  <c r="AQ73" i="28" s="1"/>
  <c r="AQ72" i="28" a="1"/>
  <c r="AQ72" i="28" s="1"/>
  <c r="AQ71" i="28" a="1"/>
  <c r="AQ71" i="28" s="1"/>
  <c r="AQ70" i="28" a="1"/>
  <c r="AQ70" i="28" s="1"/>
  <c r="AQ69" i="28" a="1"/>
  <c r="AQ69" i="28" s="1"/>
  <c r="AQ68" i="28" a="1"/>
  <c r="AQ68" i="28" s="1"/>
  <c r="AQ67" i="28" a="1"/>
  <c r="AQ67" i="28" s="1"/>
  <c r="AQ66" i="28" a="1"/>
  <c r="AQ66" i="28" s="1"/>
  <c r="AQ65" i="28" a="1"/>
  <c r="AQ65" i="28" s="1"/>
  <c r="AQ64" i="28" a="1"/>
  <c r="AQ64" i="28" s="1"/>
  <c r="AQ63" i="28" a="1"/>
  <c r="AQ63" i="28" s="1"/>
  <c r="AQ62" i="28" a="1"/>
  <c r="AQ62" i="28" s="1"/>
  <c r="AQ61" i="28" a="1"/>
  <c r="AQ61" i="28" s="1"/>
  <c r="AQ60" i="28" a="1"/>
  <c r="AQ60" i="28" s="1"/>
  <c r="AQ59" i="28" a="1"/>
  <c r="AQ59" i="28" s="1"/>
  <c r="AQ58" i="28" a="1"/>
  <c r="AQ58" i="28" s="1"/>
  <c r="AQ57" i="28" a="1"/>
  <c r="AQ57" i="28" s="1"/>
  <c r="AQ56" i="28" a="1"/>
  <c r="AQ56" i="28" s="1"/>
  <c r="AQ55" i="28" a="1"/>
  <c r="AQ55" i="28" s="1"/>
  <c r="AQ54" i="28" a="1"/>
  <c r="AQ54" i="28" s="1"/>
  <c r="AQ53" i="28" a="1"/>
  <c r="AQ53" i="28" s="1"/>
  <c r="AQ52" i="28" a="1"/>
  <c r="AQ52" i="28" s="1"/>
  <c r="AQ51" i="28" a="1"/>
  <c r="AQ51" i="28" s="1"/>
  <c r="AQ50" i="28" a="1"/>
  <c r="AQ50" i="28" s="1"/>
  <c r="AQ49" i="28" a="1"/>
  <c r="AQ49" i="28" s="1"/>
  <c r="AQ48" i="28" a="1"/>
  <c r="AQ48" i="28" s="1"/>
  <c r="AQ47" i="28" a="1"/>
  <c r="AQ47" i="28" s="1"/>
  <c r="AQ46" i="28" a="1"/>
  <c r="AQ46" i="28" s="1"/>
  <c r="AQ45" i="28" a="1"/>
  <c r="AQ45" i="28" s="1"/>
  <c r="AQ44" i="28" a="1"/>
  <c r="AQ44" i="28" s="1"/>
  <c r="AQ43" i="28" a="1"/>
  <c r="AQ43" i="28" s="1"/>
  <c r="AQ42" i="28" a="1"/>
  <c r="AQ42" i="28" s="1"/>
  <c r="AQ41" i="28" a="1"/>
  <c r="AQ41" i="28" s="1"/>
  <c r="AQ40" i="28" a="1"/>
  <c r="AQ40" i="28" s="1"/>
  <c r="AQ39" i="28" a="1"/>
  <c r="AQ39" i="28" s="1"/>
  <c r="AQ38" i="28" a="1"/>
  <c r="AQ38" i="28" s="1"/>
  <c r="AQ37" i="28" a="1"/>
  <c r="AQ37" i="28" s="1"/>
  <c r="AQ36" i="28" a="1"/>
  <c r="AQ36" i="28" s="1"/>
  <c r="AQ35" i="28" a="1"/>
  <c r="AQ35" i="28" s="1"/>
  <c r="AQ34" i="28" a="1"/>
  <c r="AQ34" i="28" s="1"/>
  <c r="AQ33" i="28" a="1"/>
  <c r="AQ33" i="28" s="1"/>
  <c r="AQ32" i="28" a="1"/>
  <c r="AQ32" i="28" s="1"/>
  <c r="AQ31" i="28" a="1"/>
  <c r="AQ31" i="28" s="1"/>
  <c r="AQ30" i="28" a="1"/>
  <c r="AQ30" i="28" s="1"/>
  <c r="AQ29" i="28" a="1"/>
  <c r="AQ29" i="28" s="1"/>
  <c r="AQ28" i="28" a="1"/>
  <c r="AQ28" i="28" s="1"/>
  <c r="AQ27" i="28" a="1"/>
  <c r="AQ27" i="28" s="1"/>
  <c r="AQ26" i="28" a="1"/>
  <c r="AQ26" i="28" s="1"/>
  <c r="AQ25" i="28" a="1"/>
  <c r="AQ25" i="28" s="1"/>
  <c r="AQ24" i="28" a="1"/>
  <c r="AQ24" i="28" s="1"/>
  <c r="AQ23" i="28" a="1"/>
  <c r="AQ23" i="28" s="1"/>
  <c r="AQ22" i="28" a="1"/>
  <c r="AQ22" i="28" s="1"/>
  <c r="AQ21" i="28" a="1"/>
  <c r="AQ21" i="28" s="1"/>
  <c r="AQ20" i="28" a="1"/>
  <c r="AQ20" i="28" s="1"/>
  <c r="AQ19" i="28" a="1"/>
  <c r="AQ19" i="28" s="1"/>
  <c r="AQ18" i="28" a="1"/>
  <c r="AQ18" i="28" s="1"/>
  <c r="AQ17" i="28" a="1"/>
  <c r="AQ17" i="28" s="1"/>
  <c r="AQ16" i="28" a="1"/>
  <c r="AQ16" i="28" s="1"/>
  <c r="AQ15" i="28" a="1"/>
  <c r="AQ15" i="28" s="1"/>
  <c r="AQ14" i="28" a="1"/>
  <c r="AQ14" i="28" s="1"/>
  <c r="AQ13" i="28" a="1"/>
  <c r="AQ13" i="28" s="1"/>
  <c r="AQ12" i="28" a="1"/>
  <c r="AQ12" i="28" s="1"/>
  <c r="AQ11" i="28" a="1"/>
  <c r="AQ11" i="28" s="1"/>
  <c r="AI122" i="28" a="1"/>
  <c r="AI122" i="28" s="1"/>
  <c r="AH122" i="28" a="1"/>
  <c r="AH122" i="28" s="1"/>
  <c r="AG122" i="28" a="1"/>
  <c r="AG122" i="28" s="1"/>
  <c r="AF122" i="28" a="1"/>
  <c r="AF122" i="28" s="1"/>
  <c r="AI121" i="28" a="1"/>
  <c r="AI121" i="28" s="1"/>
  <c r="AH121" i="28" a="1"/>
  <c r="AH121" i="28" s="1"/>
  <c r="AG121" i="28" a="1"/>
  <c r="AG121" i="28" s="1"/>
  <c r="AF121" i="28" a="1"/>
  <c r="AF121" i="28" s="1"/>
  <c r="AI120" i="28" a="1"/>
  <c r="AI120" i="28" s="1"/>
  <c r="AH120" i="28" a="1"/>
  <c r="AH120" i="28" s="1"/>
  <c r="AG120" i="28" a="1"/>
  <c r="AG120" i="28" s="1"/>
  <c r="AF120" i="28" a="1"/>
  <c r="AF120" i="28" s="1"/>
  <c r="AI119" i="28" a="1"/>
  <c r="AI119" i="28" s="1"/>
  <c r="AH119" i="28" a="1"/>
  <c r="AH119" i="28" s="1"/>
  <c r="AG119" i="28" a="1"/>
  <c r="AG119" i="28" s="1"/>
  <c r="AF119" i="28" a="1"/>
  <c r="AF119" i="28" s="1"/>
  <c r="AI118" i="28" a="1"/>
  <c r="AI118" i="28" s="1"/>
  <c r="AH118" i="28" a="1"/>
  <c r="AH118" i="28" s="1"/>
  <c r="AG118" i="28" a="1"/>
  <c r="AG118" i="28" s="1"/>
  <c r="AF118" i="28"/>
  <c r="AF118" i="28" a="1"/>
  <c r="AI117" i="28" a="1"/>
  <c r="AI117" i="28" s="1"/>
  <c r="AH117" i="28" a="1"/>
  <c r="AH117" i="28" s="1"/>
  <c r="AG117" i="28" a="1"/>
  <c r="AG117" i="28" s="1"/>
  <c r="AF117" i="28"/>
  <c r="AF117" i="28" a="1"/>
  <c r="AI116" i="28" a="1"/>
  <c r="AI116" i="28" s="1"/>
  <c r="AH116" i="28" a="1"/>
  <c r="AH116" i="28" s="1"/>
  <c r="AG116" i="28" a="1"/>
  <c r="AG116" i="28" s="1"/>
  <c r="AF116" i="28" a="1"/>
  <c r="AF116" i="28" s="1"/>
  <c r="AI115" i="28" a="1"/>
  <c r="AI115" i="28" s="1"/>
  <c r="AH115" i="28" a="1"/>
  <c r="AH115" i="28" s="1"/>
  <c r="AG115" i="28" a="1"/>
  <c r="AG115" i="28" s="1"/>
  <c r="AF115" i="28" a="1"/>
  <c r="AF115" i="28" s="1"/>
  <c r="AI114" i="28" a="1"/>
  <c r="AI114" i="28" s="1"/>
  <c r="AH114" i="28" a="1"/>
  <c r="AH114" i="28" s="1"/>
  <c r="AG114" i="28" a="1"/>
  <c r="AG114" i="28" s="1"/>
  <c r="AF114" i="28" a="1"/>
  <c r="AF114" i="28" s="1"/>
  <c r="AI113" i="28" a="1"/>
  <c r="AI113" i="28" s="1"/>
  <c r="AH113" i="28" a="1"/>
  <c r="AH113" i="28" s="1"/>
  <c r="AG113" i="28" a="1"/>
  <c r="AG113" i="28" s="1"/>
  <c r="AF113" i="28" a="1"/>
  <c r="AF113" i="28" s="1"/>
  <c r="AI112" i="28" a="1"/>
  <c r="AI112" i="28" s="1"/>
  <c r="AH112" i="28" a="1"/>
  <c r="AH112" i="28" s="1"/>
  <c r="AG112" i="28" a="1"/>
  <c r="AG112" i="28" s="1"/>
  <c r="AF112" i="28" a="1"/>
  <c r="AF112" i="28" s="1"/>
  <c r="AI111" i="28" a="1"/>
  <c r="AI111" i="28" s="1"/>
  <c r="AH111" i="28" a="1"/>
  <c r="AH111" i="28" s="1"/>
  <c r="AG111" i="28" a="1"/>
  <c r="AG111" i="28" s="1"/>
  <c r="AF111" i="28" a="1"/>
  <c r="AF111" i="28" s="1"/>
  <c r="AI110" i="28" a="1"/>
  <c r="AI110" i="28" s="1"/>
  <c r="AH110" i="28" a="1"/>
  <c r="AH110" i="28" s="1"/>
  <c r="AG110" i="28" a="1"/>
  <c r="AG110" i="28" s="1"/>
  <c r="AF110" i="28"/>
  <c r="AF110" i="28" a="1"/>
  <c r="AI109" i="28" a="1"/>
  <c r="AI109" i="28" s="1"/>
  <c r="AH109" i="28" a="1"/>
  <c r="AH109" i="28" s="1"/>
  <c r="AG109" i="28" a="1"/>
  <c r="AG109" i="28" s="1"/>
  <c r="AF109" i="28"/>
  <c r="AF109" i="28" a="1"/>
  <c r="AI108" i="28" a="1"/>
  <c r="AI108" i="28" s="1"/>
  <c r="AH108" i="28" a="1"/>
  <c r="AH108" i="28" s="1"/>
  <c r="AG108" i="28" a="1"/>
  <c r="AG108" i="28" s="1"/>
  <c r="AF108" i="28" a="1"/>
  <c r="AF108" i="28" s="1"/>
  <c r="AI107" i="28" a="1"/>
  <c r="AI107" i="28" s="1"/>
  <c r="AH107" i="28" a="1"/>
  <c r="AH107" i="28" s="1"/>
  <c r="AG107" i="28" a="1"/>
  <c r="AG107" i="28" s="1"/>
  <c r="AF107" i="28" a="1"/>
  <c r="AF107" i="28" s="1"/>
  <c r="AI106" i="28" a="1"/>
  <c r="AI106" i="28" s="1"/>
  <c r="AH106" i="28" a="1"/>
  <c r="AH106" i="28" s="1"/>
  <c r="AG106" i="28" a="1"/>
  <c r="AG106" i="28" s="1"/>
  <c r="AF106" i="28" a="1"/>
  <c r="AF106" i="28" s="1"/>
  <c r="AI105" i="28" a="1"/>
  <c r="AI105" i="28" s="1"/>
  <c r="AH105" i="28" a="1"/>
  <c r="AH105" i="28" s="1"/>
  <c r="AG105" i="28" a="1"/>
  <c r="AG105" i="28" s="1"/>
  <c r="AF105" i="28" a="1"/>
  <c r="AF105" i="28" s="1"/>
  <c r="AI104" i="28" a="1"/>
  <c r="AI104" i="28" s="1"/>
  <c r="AH104" i="28" a="1"/>
  <c r="AH104" i="28" s="1"/>
  <c r="AG104" i="28" a="1"/>
  <c r="AG104" i="28" s="1"/>
  <c r="AF104" i="28" a="1"/>
  <c r="AF104" i="28" s="1"/>
  <c r="AI103" i="28" a="1"/>
  <c r="AI103" i="28" s="1"/>
  <c r="AH103" i="28" a="1"/>
  <c r="AH103" i="28" s="1"/>
  <c r="AG103" i="28" a="1"/>
  <c r="AG103" i="28" s="1"/>
  <c r="AF103" i="28" a="1"/>
  <c r="AF103" i="28" s="1"/>
  <c r="AI102" i="28" a="1"/>
  <c r="AI102" i="28" s="1"/>
  <c r="AH102" i="28" a="1"/>
  <c r="AH102" i="28" s="1"/>
  <c r="AG102" i="28" a="1"/>
  <c r="AG102" i="28" s="1"/>
  <c r="AF102" i="28"/>
  <c r="AF102" i="28" a="1"/>
  <c r="AI101" i="28" a="1"/>
  <c r="AI101" i="28" s="1"/>
  <c r="AH101" i="28" a="1"/>
  <c r="AH101" i="28" s="1"/>
  <c r="AG101" i="28" a="1"/>
  <c r="AG101" i="28" s="1"/>
  <c r="AF101" i="28"/>
  <c r="AF101" i="28" a="1"/>
  <c r="AI100" i="28" a="1"/>
  <c r="AI100" i="28" s="1"/>
  <c r="AH100" i="28" a="1"/>
  <c r="AH100" i="28" s="1"/>
  <c r="AG100" i="28" a="1"/>
  <c r="AG100" i="28" s="1"/>
  <c r="AF100" i="28" a="1"/>
  <c r="AF100" i="28" s="1"/>
  <c r="AI99" i="28" a="1"/>
  <c r="AI99" i="28" s="1"/>
  <c r="AH99" i="28" a="1"/>
  <c r="AH99" i="28" s="1"/>
  <c r="AG99" i="28" a="1"/>
  <c r="AG99" i="28" s="1"/>
  <c r="AF99" i="28" a="1"/>
  <c r="AF99" i="28" s="1"/>
  <c r="AI98" i="28" a="1"/>
  <c r="AI98" i="28" s="1"/>
  <c r="AH98" i="28" a="1"/>
  <c r="AH98" i="28" s="1"/>
  <c r="AG98" i="28" a="1"/>
  <c r="AG98" i="28" s="1"/>
  <c r="AF98" i="28" a="1"/>
  <c r="AF98" i="28" s="1"/>
  <c r="AI97" i="28" a="1"/>
  <c r="AI97" i="28" s="1"/>
  <c r="AH97" i="28" a="1"/>
  <c r="AH97" i="28" s="1"/>
  <c r="AG97" i="28" a="1"/>
  <c r="AG97" i="28" s="1"/>
  <c r="AF97" i="28" a="1"/>
  <c r="AF97" i="28" s="1"/>
  <c r="AI96" i="28" a="1"/>
  <c r="AI96" i="28" s="1"/>
  <c r="AH96" i="28" a="1"/>
  <c r="AH96" i="28" s="1"/>
  <c r="AG96" i="28" a="1"/>
  <c r="AG96" i="28" s="1"/>
  <c r="AF96" i="28" a="1"/>
  <c r="AF96" i="28" s="1"/>
  <c r="AI95" i="28" a="1"/>
  <c r="AI95" i="28" s="1"/>
  <c r="AH95" i="28" a="1"/>
  <c r="AH95" i="28" s="1"/>
  <c r="AG95" i="28" a="1"/>
  <c r="AG95" i="28" s="1"/>
  <c r="AF95" i="28" a="1"/>
  <c r="AF95" i="28" s="1"/>
  <c r="AI94" i="28" a="1"/>
  <c r="AI94" i="28" s="1"/>
  <c r="AH94" i="28" a="1"/>
  <c r="AH94" i="28" s="1"/>
  <c r="AG94" i="28" a="1"/>
  <c r="AG94" i="28" s="1"/>
  <c r="AF94" i="28"/>
  <c r="AF94" i="28" a="1"/>
  <c r="AI93" i="28" a="1"/>
  <c r="AI93" i="28" s="1"/>
  <c r="AH93" i="28" a="1"/>
  <c r="AH93" i="28" s="1"/>
  <c r="AG93" i="28" a="1"/>
  <c r="AG93" i="28" s="1"/>
  <c r="AF93" i="28"/>
  <c r="AF93" i="28" a="1"/>
  <c r="AI92" i="28" a="1"/>
  <c r="AI92" i="28" s="1"/>
  <c r="AH92" i="28" a="1"/>
  <c r="AH92" i="28" s="1"/>
  <c r="AG92" i="28" a="1"/>
  <c r="AG92" i="28" s="1"/>
  <c r="AF92" i="28" a="1"/>
  <c r="AF92" i="28" s="1"/>
  <c r="AI91" i="28" a="1"/>
  <c r="AI91" i="28" s="1"/>
  <c r="AH91" i="28" a="1"/>
  <c r="AH91" i="28" s="1"/>
  <c r="AG91" i="28" a="1"/>
  <c r="AG91" i="28" s="1"/>
  <c r="AF91" i="28" a="1"/>
  <c r="AF91" i="28" s="1"/>
  <c r="AI90" i="28" a="1"/>
  <c r="AI90" i="28" s="1"/>
  <c r="AH90" i="28" a="1"/>
  <c r="AH90" i="28" s="1"/>
  <c r="AG90" i="28" a="1"/>
  <c r="AG90" i="28" s="1"/>
  <c r="AF90" i="28" a="1"/>
  <c r="AF90" i="28" s="1"/>
  <c r="AI89" i="28" a="1"/>
  <c r="AI89" i="28" s="1"/>
  <c r="AH89" i="28" a="1"/>
  <c r="AH89" i="28" s="1"/>
  <c r="AG89" i="28" a="1"/>
  <c r="AG89" i="28" s="1"/>
  <c r="AF89" i="28" a="1"/>
  <c r="AF89" i="28" s="1"/>
  <c r="AI88" i="28" a="1"/>
  <c r="AI88" i="28" s="1"/>
  <c r="AH88" i="28" a="1"/>
  <c r="AH88" i="28" s="1"/>
  <c r="AG88" i="28" a="1"/>
  <c r="AG88" i="28" s="1"/>
  <c r="AF88" i="28" a="1"/>
  <c r="AF88" i="28" s="1"/>
  <c r="AI87" i="28" a="1"/>
  <c r="AI87" i="28" s="1"/>
  <c r="AH87" i="28" a="1"/>
  <c r="AH87" i="28" s="1"/>
  <c r="AG87" i="28" a="1"/>
  <c r="AG87" i="28" s="1"/>
  <c r="AF87" i="28" a="1"/>
  <c r="AF87" i="28" s="1"/>
  <c r="AI86" i="28" a="1"/>
  <c r="AI86" i="28" s="1"/>
  <c r="AH86" i="28" a="1"/>
  <c r="AH86" i="28" s="1"/>
  <c r="AG86" i="28" a="1"/>
  <c r="AG86" i="28" s="1"/>
  <c r="AF86" i="28"/>
  <c r="AF86" i="28" a="1"/>
  <c r="AI85" i="28" a="1"/>
  <c r="AI85" i="28" s="1"/>
  <c r="AH85" i="28" a="1"/>
  <c r="AH85" i="28" s="1"/>
  <c r="AG85" i="28" a="1"/>
  <c r="AG85" i="28" s="1"/>
  <c r="AF85" i="28"/>
  <c r="AF85" i="28" a="1"/>
  <c r="AI84" i="28" a="1"/>
  <c r="AI84" i="28" s="1"/>
  <c r="AH84" i="28" a="1"/>
  <c r="AH84" i="28" s="1"/>
  <c r="AG84" i="28" a="1"/>
  <c r="AG84" i="28" s="1"/>
  <c r="AF84" i="28" a="1"/>
  <c r="AF84" i="28" s="1"/>
  <c r="AI83" i="28" a="1"/>
  <c r="AI83" i="28" s="1"/>
  <c r="AH83" i="28" a="1"/>
  <c r="AH83" i="28" s="1"/>
  <c r="AG83" i="28" a="1"/>
  <c r="AG83" i="28" s="1"/>
  <c r="AF83" i="28" a="1"/>
  <c r="AF83" i="28" s="1"/>
  <c r="AI82" i="28" a="1"/>
  <c r="AI82" i="28" s="1"/>
  <c r="AH82" i="28" a="1"/>
  <c r="AH82" i="28" s="1"/>
  <c r="AG82" i="28" a="1"/>
  <c r="AG82" i="28" s="1"/>
  <c r="AF82" i="28" a="1"/>
  <c r="AF82" i="28" s="1"/>
  <c r="AI81" i="28" a="1"/>
  <c r="AI81" i="28" s="1"/>
  <c r="AH81" i="28" a="1"/>
  <c r="AH81" i="28" s="1"/>
  <c r="AG81" i="28" a="1"/>
  <c r="AG81" i="28" s="1"/>
  <c r="AF81" i="28" a="1"/>
  <c r="AF81" i="28" s="1"/>
  <c r="AI80" i="28" a="1"/>
  <c r="AI80" i="28" s="1"/>
  <c r="AH80" i="28" a="1"/>
  <c r="AH80" i="28" s="1"/>
  <c r="AG80" i="28" a="1"/>
  <c r="AG80" i="28" s="1"/>
  <c r="AF80" i="28" a="1"/>
  <c r="AF80" i="28" s="1"/>
  <c r="AI79" i="28" a="1"/>
  <c r="AI79" i="28" s="1"/>
  <c r="AH79" i="28" a="1"/>
  <c r="AH79" i="28" s="1"/>
  <c r="AG79" i="28" a="1"/>
  <c r="AG79" i="28" s="1"/>
  <c r="AF79" i="28" a="1"/>
  <c r="AF79" i="28" s="1"/>
  <c r="AI78" i="28" a="1"/>
  <c r="AI78" i="28" s="1"/>
  <c r="AH78" i="28" a="1"/>
  <c r="AH78" i="28" s="1"/>
  <c r="AG78" i="28" a="1"/>
  <c r="AG78" i="28" s="1"/>
  <c r="AF78" i="28"/>
  <c r="AF78" i="28" a="1"/>
  <c r="AI77" i="28" a="1"/>
  <c r="AI77" i="28" s="1"/>
  <c r="AH77" i="28" a="1"/>
  <c r="AH77" i="28" s="1"/>
  <c r="AG77" i="28" a="1"/>
  <c r="AG77" i="28" s="1"/>
  <c r="AF77" i="28"/>
  <c r="AF77" i="28" a="1"/>
  <c r="AI76" i="28" a="1"/>
  <c r="AI76" i="28" s="1"/>
  <c r="AH76" i="28" a="1"/>
  <c r="AH76" i="28" s="1"/>
  <c r="AG76" i="28" a="1"/>
  <c r="AG76" i="28" s="1"/>
  <c r="AF76" i="28" a="1"/>
  <c r="AF76" i="28" s="1"/>
  <c r="AI75" i="28" a="1"/>
  <c r="AI75" i="28" s="1"/>
  <c r="AH75" i="28" a="1"/>
  <c r="AH75" i="28" s="1"/>
  <c r="AG75" i="28" a="1"/>
  <c r="AG75" i="28" s="1"/>
  <c r="AF75" i="28" a="1"/>
  <c r="AF75" i="28" s="1"/>
  <c r="AI74" i="28" a="1"/>
  <c r="AI74" i="28" s="1"/>
  <c r="AH74" i="28" a="1"/>
  <c r="AH74" i="28" s="1"/>
  <c r="AG74" i="28" a="1"/>
  <c r="AG74" i="28" s="1"/>
  <c r="AF74" i="28" a="1"/>
  <c r="AF74" i="28" s="1"/>
  <c r="AI73" i="28" a="1"/>
  <c r="AI73" i="28" s="1"/>
  <c r="AH73" i="28" a="1"/>
  <c r="AH73" i="28" s="1"/>
  <c r="AG73" i="28" a="1"/>
  <c r="AG73" i="28" s="1"/>
  <c r="AF73" i="28" a="1"/>
  <c r="AF73" i="28" s="1"/>
  <c r="AI72" i="28" a="1"/>
  <c r="AI72" i="28" s="1"/>
  <c r="AH72" i="28" a="1"/>
  <c r="AH72" i="28" s="1"/>
  <c r="AG72" i="28" a="1"/>
  <c r="AG72" i="28" s="1"/>
  <c r="AF72" i="28" a="1"/>
  <c r="AF72" i="28" s="1"/>
  <c r="AI71" i="28" a="1"/>
  <c r="AI71" i="28" s="1"/>
  <c r="AH71" i="28" a="1"/>
  <c r="AH71" i="28" s="1"/>
  <c r="AG71" i="28" a="1"/>
  <c r="AG71" i="28" s="1"/>
  <c r="AF71" i="28" a="1"/>
  <c r="AF71" i="28" s="1"/>
  <c r="AI70" i="28" a="1"/>
  <c r="AI70" i="28" s="1"/>
  <c r="AH70" i="28" a="1"/>
  <c r="AH70" i="28" s="1"/>
  <c r="AG70" i="28" a="1"/>
  <c r="AG70" i="28" s="1"/>
  <c r="AF70" i="28"/>
  <c r="AF70" i="28" a="1"/>
  <c r="AI69" i="28" a="1"/>
  <c r="AI69" i="28" s="1"/>
  <c r="AH69" i="28" a="1"/>
  <c r="AH69" i="28" s="1"/>
  <c r="AG69" i="28" a="1"/>
  <c r="AG69" i="28" s="1"/>
  <c r="AF69" i="28"/>
  <c r="AF69" i="28" a="1"/>
  <c r="AI68" i="28" a="1"/>
  <c r="AI68" i="28" s="1"/>
  <c r="AH68" i="28" a="1"/>
  <c r="AH68" i="28" s="1"/>
  <c r="AG68" i="28" a="1"/>
  <c r="AG68" i="28" s="1"/>
  <c r="AF68" i="28" a="1"/>
  <c r="AF68" i="28" s="1"/>
  <c r="AI67" i="28" a="1"/>
  <c r="AI67" i="28" s="1"/>
  <c r="AH67" i="28" a="1"/>
  <c r="AH67" i="28" s="1"/>
  <c r="AG67" i="28" a="1"/>
  <c r="AG67" i="28" s="1"/>
  <c r="AF67" i="28" a="1"/>
  <c r="AF67" i="28" s="1"/>
  <c r="AI66" i="28" a="1"/>
  <c r="AI66" i="28" s="1"/>
  <c r="AH66" i="28" a="1"/>
  <c r="AH66" i="28" s="1"/>
  <c r="AG66" i="28" a="1"/>
  <c r="AG66" i="28" s="1"/>
  <c r="AF66" i="28" a="1"/>
  <c r="AF66" i="28" s="1"/>
  <c r="AI65" i="28" a="1"/>
  <c r="AI65" i="28" s="1"/>
  <c r="AH65" i="28" a="1"/>
  <c r="AH65" i="28" s="1"/>
  <c r="AG65" i="28" a="1"/>
  <c r="AG65" i="28" s="1"/>
  <c r="AF65" i="28"/>
  <c r="AF65" i="28" a="1"/>
  <c r="AI64" i="28" a="1"/>
  <c r="AI64" i="28" s="1"/>
  <c r="AH64" i="28" a="1"/>
  <c r="AH64" i="28" s="1"/>
  <c r="AG64" i="28" a="1"/>
  <c r="AG64" i="28" s="1"/>
  <c r="AF64" i="28" a="1"/>
  <c r="AF64" i="28" s="1"/>
  <c r="AI63" i="28" a="1"/>
  <c r="AI63" i="28" s="1"/>
  <c r="AH63" i="28" a="1"/>
  <c r="AH63" i="28" s="1"/>
  <c r="AG63" i="28" a="1"/>
  <c r="AG63" i="28" s="1"/>
  <c r="AF63" i="28" a="1"/>
  <c r="AF63" i="28" s="1"/>
  <c r="AI62" i="28" a="1"/>
  <c r="AI62" i="28" s="1"/>
  <c r="AH62" i="28" a="1"/>
  <c r="AH62" i="28" s="1"/>
  <c r="AG62" i="28" a="1"/>
  <c r="AG62" i="28" s="1"/>
  <c r="AF62" i="28"/>
  <c r="AF62" i="28" a="1"/>
  <c r="AI61" i="28" a="1"/>
  <c r="AI61" i="28" s="1"/>
  <c r="AH61" i="28" a="1"/>
  <c r="AH61" i="28" s="1"/>
  <c r="AG61" i="28" a="1"/>
  <c r="AG61" i="28" s="1"/>
  <c r="AF61" i="28"/>
  <c r="AF61" i="28" a="1"/>
  <c r="AI60" i="28" a="1"/>
  <c r="AI60" i="28" s="1"/>
  <c r="AH60" i="28" a="1"/>
  <c r="AH60" i="28" s="1"/>
  <c r="AG60" i="28" a="1"/>
  <c r="AG60" i="28" s="1"/>
  <c r="AF60" i="28" a="1"/>
  <c r="AF60" i="28" s="1"/>
  <c r="AI59" i="28" a="1"/>
  <c r="AI59" i="28" s="1"/>
  <c r="AH59" i="28" a="1"/>
  <c r="AH59" i="28" s="1"/>
  <c r="AG59" i="28" a="1"/>
  <c r="AG59" i="28" s="1"/>
  <c r="AF59" i="28" a="1"/>
  <c r="AF59" i="28" s="1"/>
  <c r="AI58" i="28" a="1"/>
  <c r="AI58" i="28" s="1"/>
  <c r="AH58" i="28" a="1"/>
  <c r="AH58" i="28" s="1"/>
  <c r="AG58" i="28" a="1"/>
  <c r="AG58" i="28" s="1"/>
  <c r="AF58" i="28" a="1"/>
  <c r="AF58" i="28" s="1"/>
  <c r="AI57" i="28" a="1"/>
  <c r="AI57" i="28" s="1"/>
  <c r="AH57" i="28" a="1"/>
  <c r="AH57" i="28" s="1"/>
  <c r="AG57" i="28" a="1"/>
  <c r="AG57" i="28" s="1"/>
  <c r="AF57" i="28"/>
  <c r="AF57" i="28" a="1"/>
  <c r="AI56" i="28" a="1"/>
  <c r="AI56" i="28" s="1"/>
  <c r="AH56" i="28" a="1"/>
  <c r="AH56" i="28" s="1"/>
  <c r="AG56" i="28" a="1"/>
  <c r="AG56" i="28" s="1"/>
  <c r="AF56" i="28" a="1"/>
  <c r="AF56" i="28" s="1"/>
  <c r="AI55" i="28" a="1"/>
  <c r="AI55" i="28" s="1"/>
  <c r="AH55" i="28" a="1"/>
  <c r="AH55" i="28" s="1"/>
  <c r="AG55" i="28" a="1"/>
  <c r="AG55" i="28" s="1"/>
  <c r="AF55" i="28" a="1"/>
  <c r="AF55" i="28" s="1"/>
  <c r="AI54" i="28" a="1"/>
  <c r="AI54" i="28" s="1"/>
  <c r="AH54" i="28" a="1"/>
  <c r="AH54" i="28" s="1"/>
  <c r="AG54" i="28" a="1"/>
  <c r="AG54" i="28" s="1"/>
  <c r="AF54" i="28"/>
  <c r="AF54" i="28" a="1"/>
  <c r="AI53" i="28" a="1"/>
  <c r="AI53" i="28" s="1"/>
  <c r="AH53" i="28" a="1"/>
  <c r="AH53" i="28" s="1"/>
  <c r="AG53" i="28" a="1"/>
  <c r="AG53" i="28" s="1"/>
  <c r="AF53" i="28"/>
  <c r="AF53" i="28" a="1"/>
  <c r="AI52" i="28" a="1"/>
  <c r="AI52" i="28" s="1"/>
  <c r="AH52" i="28" a="1"/>
  <c r="AH52" i="28" s="1"/>
  <c r="AG52" i="28" a="1"/>
  <c r="AG52" i="28" s="1"/>
  <c r="AF52" i="28" a="1"/>
  <c r="AF52" i="28" s="1"/>
  <c r="AI51" i="28" a="1"/>
  <c r="AI51" i="28" s="1"/>
  <c r="AH51" i="28" a="1"/>
  <c r="AH51" i="28" s="1"/>
  <c r="AG51" i="28" a="1"/>
  <c r="AG51" i="28" s="1"/>
  <c r="AF51" i="28" a="1"/>
  <c r="AF51" i="28" s="1"/>
  <c r="AI50" i="28" a="1"/>
  <c r="AI50" i="28" s="1"/>
  <c r="AH50" i="28" a="1"/>
  <c r="AH50" i="28" s="1"/>
  <c r="AG50" i="28" a="1"/>
  <c r="AG50" i="28" s="1"/>
  <c r="AF50" i="28" a="1"/>
  <c r="AF50" i="28" s="1"/>
  <c r="AI49" i="28" a="1"/>
  <c r="AI49" i="28" s="1"/>
  <c r="AH49" i="28" a="1"/>
  <c r="AH49" i="28" s="1"/>
  <c r="AG49" i="28" a="1"/>
  <c r="AG49" i="28" s="1"/>
  <c r="AF49" i="28"/>
  <c r="AF49" i="28" a="1"/>
  <c r="AI48" i="28" a="1"/>
  <c r="AI48" i="28" s="1"/>
  <c r="AH48" i="28" a="1"/>
  <c r="AH48" i="28" s="1"/>
  <c r="AG48" i="28" a="1"/>
  <c r="AG48" i="28" s="1"/>
  <c r="AF48" i="28" a="1"/>
  <c r="AF48" i="28" s="1"/>
  <c r="AI47" i="28" a="1"/>
  <c r="AI47" i="28" s="1"/>
  <c r="AH47" i="28" a="1"/>
  <c r="AH47" i="28" s="1"/>
  <c r="AG47" i="28" a="1"/>
  <c r="AG47" i="28" s="1"/>
  <c r="AF47" i="28" a="1"/>
  <c r="AF47" i="28" s="1"/>
  <c r="AI46" i="28" a="1"/>
  <c r="AI46" i="28" s="1"/>
  <c r="AH46" i="28" a="1"/>
  <c r="AH46" i="28" s="1"/>
  <c r="AG46" i="28" a="1"/>
  <c r="AG46" i="28" s="1"/>
  <c r="AF46" i="28"/>
  <c r="AF46" i="28" a="1"/>
  <c r="AI45" i="28" a="1"/>
  <c r="AI45" i="28" s="1"/>
  <c r="AH45" i="28" a="1"/>
  <c r="AH45" i="28" s="1"/>
  <c r="AG45" i="28" a="1"/>
  <c r="AG45" i="28" s="1"/>
  <c r="AF45" i="28"/>
  <c r="AF45" i="28" a="1"/>
  <c r="AI44" i="28" a="1"/>
  <c r="AI44" i="28" s="1"/>
  <c r="AH44" i="28" a="1"/>
  <c r="AH44" i="28" s="1"/>
  <c r="AG44" i="28" a="1"/>
  <c r="AG44" i="28" s="1"/>
  <c r="AF44" i="28" a="1"/>
  <c r="AF44" i="28" s="1"/>
  <c r="AI43" i="28" a="1"/>
  <c r="AI43" i="28" s="1"/>
  <c r="AH43" i="28" a="1"/>
  <c r="AH43" i="28" s="1"/>
  <c r="AG43" i="28" a="1"/>
  <c r="AG43" i="28" s="1"/>
  <c r="AF43" i="28" a="1"/>
  <c r="AF43" i="28" s="1"/>
  <c r="AI42" i="28" a="1"/>
  <c r="AI42" i="28" s="1"/>
  <c r="AH42" i="28" a="1"/>
  <c r="AH42" i="28" s="1"/>
  <c r="AG42" i="28" a="1"/>
  <c r="AG42" i="28" s="1"/>
  <c r="AF42" i="28" a="1"/>
  <c r="AF42" i="28" s="1"/>
  <c r="AI41" i="28" a="1"/>
  <c r="AI41" i="28" s="1"/>
  <c r="AH41" i="28" a="1"/>
  <c r="AH41" i="28" s="1"/>
  <c r="AG41" i="28" a="1"/>
  <c r="AG41" i="28" s="1"/>
  <c r="AF41" i="28"/>
  <c r="AF41" i="28" a="1"/>
  <c r="AI40" i="28" a="1"/>
  <c r="AI40" i="28" s="1"/>
  <c r="AH40" i="28" a="1"/>
  <c r="AH40" i="28" s="1"/>
  <c r="AG40" i="28" a="1"/>
  <c r="AG40" i="28" s="1"/>
  <c r="AF40" i="28" a="1"/>
  <c r="AF40" i="28" s="1"/>
  <c r="AI39" i="28" a="1"/>
  <c r="AI39" i="28" s="1"/>
  <c r="AH39" i="28" a="1"/>
  <c r="AH39" i="28" s="1"/>
  <c r="AG39" i="28" a="1"/>
  <c r="AG39" i="28" s="1"/>
  <c r="AF39" i="28" a="1"/>
  <c r="AF39" i="28" s="1"/>
  <c r="AI38" i="28" a="1"/>
  <c r="AI38" i="28" s="1"/>
  <c r="AH38" i="28" a="1"/>
  <c r="AH38" i="28" s="1"/>
  <c r="AG38" i="28" a="1"/>
  <c r="AG38" i="28" s="1"/>
  <c r="AF38" i="28"/>
  <c r="AF38" i="28" a="1"/>
  <c r="AI37" i="28" a="1"/>
  <c r="AI37" i="28" s="1"/>
  <c r="AH37" i="28" a="1"/>
  <c r="AH37" i="28" s="1"/>
  <c r="AG37" i="28" a="1"/>
  <c r="AG37" i="28" s="1"/>
  <c r="AF37" i="28"/>
  <c r="AF37" i="28" a="1"/>
  <c r="AI36" i="28" a="1"/>
  <c r="AI36" i="28" s="1"/>
  <c r="AH36" i="28" a="1"/>
  <c r="AH36" i="28" s="1"/>
  <c r="AG36" i="28" a="1"/>
  <c r="AG36" i="28" s="1"/>
  <c r="AF36" i="28"/>
  <c r="AF36" i="28" a="1"/>
  <c r="AI35" i="28" a="1"/>
  <c r="AI35" i="28" s="1"/>
  <c r="AH35" i="28" a="1"/>
  <c r="AH35" i="28" s="1"/>
  <c r="AG35" i="28" a="1"/>
  <c r="AG35" i="28" s="1"/>
  <c r="AF35" i="28"/>
  <c r="AF35" i="28" a="1"/>
  <c r="AI34" i="28" a="1"/>
  <c r="AI34" i="28" s="1"/>
  <c r="AH34" i="28" a="1"/>
  <c r="AH34" i="28" s="1"/>
  <c r="AG34" i="28" a="1"/>
  <c r="AG34" i="28" s="1"/>
  <c r="AF34" i="28"/>
  <c r="AF34" i="28" a="1"/>
  <c r="AI33" i="28" a="1"/>
  <c r="AI33" i="28" s="1"/>
  <c r="AH33" i="28" a="1"/>
  <c r="AH33" i="28" s="1"/>
  <c r="AG33" i="28" a="1"/>
  <c r="AG33" i="28" s="1"/>
  <c r="AF33" i="28"/>
  <c r="AF33" i="28" a="1"/>
  <c r="AI32" i="28" a="1"/>
  <c r="AI32" i="28" s="1"/>
  <c r="AH32" i="28" a="1"/>
  <c r="AH32" i="28" s="1"/>
  <c r="AG32" i="28" a="1"/>
  <c r="AG32" i="28" s="1"/>
  <c r="AF32" i="28"/>
  <c r="AF32" i="28" a="1"/>
  <c r="AI31" i="28" a="1"/>
  <c r="AI31" i="28" s="1"/>
  <c r="AH31" i="28" a="1"/>
  <c r="AH31" i="28" s="1"/>
  <c r="AG31" i="28" a="1"/>
  <c r="AG31" i="28" s="1"/>
  <c r="AF31" i="28"/>
  <c r="AF31" i="28" a="1"/>
  <c r="AI30" i="28" a="1"/>
  <c r="AI30" i="28" s="1"/>
  <c r="AH30" i="28" a="1"/>
  <c r="AH30" i="28" s="1"/>
  <c r="AG30" i="28" a="1"/>
  <c r="AG30" i="28" s="1"/>
  <c r="AF30" i="28"/>
  <c r="AF30" i="28" a="1"/>
  <c r="AI29" i="28" a="1"/>
  <c r="AI29" i="28" s="1"/>
  <c r="AH29" i="28" a="1"/>
  <c r="AH29" i="28" s="1"/>
  <c r="AG29" i="28" a="1"/>
  <c r="AG29" i="28" s="1"/>
  <c r="AF29" i="28"/>
  <c r="AF29" i="28" a="1"/>
  <c r="AI28" i="28" a="1"/>
  <c r="AI28" i="28" s="1"/>
  <c r="AH28" i="28" a="1"/>
  <c r="AH28" i="28" s="1"/>
  <c r="AG28" i="28" a="1"/>
  <c r="AG28" i="28" s="1"/>
  <c r="AF28" i="28"/>
  <c r="AF28" i="28" a="1"/>
  <c r="AI27" i="28" a="1"/>
  <c r="AI27" i="28" s="1"/>
  <c r="AH27" i="28" a="1"/>
  <c r="AH27" i="28" s="1"/>
  <c r="AG27" i="28" a="1"/>
  <c r="AG27" i="28" s="1"/>
  <c r="AF27" i="28"/>
  <c r="AF27" i="28" a="1"/>
  <c r="AI26" i="28" a="1"/>
  <c r="AI26" i="28" s="1"/>
  <c r="AH26" i="28" a="1"/>
  <c r="AH26" i="28" s="1"/>
  <c r="AG26" i="28" a="1"/>
  <c r="AG26" i="28" s="1"/>
  <c r="AF26" i="28"/>
  <c r="AF26" i="28" a="1"/>
  <c r="AI25" i="28" a="1"/>
  <c r="AI25" i="28" s="1"/>
  <c r="AH25" i="28" a="1"/>
  <c r="AH25" i="28" s="1"/>
  <c r="AG25" i="28" a="1"/>
  <c r="AG25" i="28" s="1"/>
  <c r="AF25" i="28"/>
  <c r="AF25" i="28" a="1"/>
  <c r="AI24" i="28" a="1"/>
  <c r="AI24" i="28" s="1"/>
  <c r="AH24" i="28" a="1"/>
  <c r="AH24" i="28" s="1"/>
  <c r="AG24" i="28" a="1"/>
  <c r="AG24" i="28" s="1"/>
  <c r="AF24" i="28"/>
  <c r="AF24" i="28" a="1"/>
  <c r="AI23" i="28" a="1"/>
  <c r="AI23" i="28" s="1"/>
  <c r="AH23" i="28" a="1"/>
  <c r="AH23" i="28" s="1"/>
  <c r="AG23" i="28" a="1"/>
  <c r="AG23" i="28" s="1"/>
  <c r="AF23" i="28"/>
  <c r="AF23" i="28" a="1"/>
  <c r="AI22" i="28" a="1"/>
  <c r="AI22" i="28" s="1"/>
  <c r="AH22" i="28" a="1"/>
  <c r="AH22" i="28" s="1"/>
  <c r="AG22" i="28" a="1"/>
  <c r="AG22" i="28" s="1"/>
  <c r="AF22" i="28"/>
  <c r="AF22" i="28" a="1"/>
  <c r="AI21" i="28" a="1"/>
  <c r="AI21" i="28" s="1"/>
  <c r="AH21" i="28" a="1"/>
  <c r="AH21" i="28" s="1"/>
  <c r="AG21" i="28" a="1"/>
  <c r="AG21" i="28" s="1"/>
  <c r="AF21" i="28"/>
  <c r="AF21" i="28" a="1"/>
  <c r="AI20" i="28" a="1"/>
  <c r="AI20" i="28" s="1"/>
  <c r="AH20" i="28" a="1"/>
  <c r="AH20" i="28" s="1"/>
  <c r="AG20" i="28" a="1"/>
  <c r="AG20" i="28" s="1"/>
  <c r="AF20" i="28"/>
  <c r="AF20" i="28" a="1"/>
  <c r="AI19" i="28" a="1"/>
  <c r="AI19" i="28" s="1"/>
  <c r="AH19" i="28" a="1"/>
  <c r="AH19" i="28" s="1"/>
  <c r="AG19" i="28" a="1"/>
  <c r="AG19" i="28" s="1"/>
  <c r="AF19" i="28"/>
  <c r="AF19" i="28" a="1"/>
  <c r="AI18" i="28" a="1"/>
  <c r="AI18" i="28" s="1"/>
  <c r="AH18" i="28" a="1"/>
  <c r="AH18" i="28" s="1"/>
  <c r="AG18" i="28" a="1"/>
  <c r="AG18" i="28" s="1"/>
  <c r="AF18" i="28"/>
  <c r="AF18" i="28" a="1"/>
  <c r="AI17" i="28" a="1"/>
  <c r="AI17" i="28" s="1"/>
  <c r="AH17" i="28" a="1"/>
  <c r="AH17" i="28" s="1"/>
  <c r="AG17" i="28" a="1"/>
  <c r="AG17" i="28" s="1"/>
  <c r="AF17" i="28"/>
  <c r="AF17" i="28" a="1"/>
  <c r="AI16" i="28" a="1"/>
  <c r="AI16" i="28" s="1"/>
  <c r="AH16" i="28" a="1"/>
  <c r="AH16" i="28" s="1"/>
  <c r="AG16" i="28" a="1"/>
  <c r="AG16" i="28" s="1"/>
  <c r="AF16" i="28"/>
  <c r="AF16" i="28" a="1"/>
  <c r="AI15" i="28" a="1"/>
  <c r="AI15" i="28" s="1"/>
  <c r="AH15" i="28" a="1"/>
  <c r="AH15" i="28" s="1"/>
  <c r="AG15" i="28" a="1"/>
  <c r="AG15" i="28" s="1"/>
  <c r="AF15" i="28"/>
  <c r="AF15" i="28" a="1"/>
  <c r="AI14" i="28" a="1"/>
  <c r="AI14" i="28" s="1"/>
  <c r="AH14" i="28" a="1"/>
  <c r="AH14" i="28" s="1"/>
  <c r="AG14" i="28" a="1"/>
  <c r="AG14" i="28" s="1"/>
  <c r="AF14" i="28"/>
  <c r="AF14" i="28" a="1"/>
  <c r="AI13" i="28" a="1"/>
  <c r="AI13" i="28" s="1"/>
  <c r="AH13" i="28" a="1"/>
  <c r="AH13" i="28" s="1"/>
  <c r="AG13" i="28" a="1"/>
  <c r="AG13" i="28" s="1"/>
  <c r="AF13" i="28"/>
  <c r="AF13" i="28" a="1"/>
  <c r="AI12" i="28" a="1"/>
  <c r="AI12" i="28" s="1"/>
  <c r="AH12" i="28" a="1"/>
  <c r="AH12" i="28" s="1"/>
  <c r="AG12" i="28" a="1"/>
  <c r="AG12" i="28" s="1"/>
  <c r="AF12" i="28"/>
  <c r="AF12" i="28" a="1"/>
  <c r="AI11" i="28" a="1"/>
  <c r="AI11" i="28" s="1"/>
  <c r="AH11" i="28" a="1"/>
  <c r="AH11" i="28" s="1"/>
  <c r="AG11" i="28" a="1"/>
  <c r="AG11" i="28" s="1"/>
  <c r="AF11" i="28"/>
  <c r="AF11" i="28" a="1"/>
  <c r="AE122" i="28" a="1"/>
  <c r="AE122" i="28" s="1"/>
  <c r="AE121" i="28" a="1"/>
  <c r="AE121" i="28" s="1"/>
  <c r="AE120" i="28" a="1"/>
  <c r="AE120" i="28" s="1"/>
  <c r="AE119" i="28" a="1"/>
  <c r="AE119" i="28" s="1"/>
  <c r="AE118" i="28" a="1"/>
  <c r="AE118" i="28" s="1"/>
  <c r="AE117" i="28" a="1"/>
  <c r="AE117" i="28" s="1"/>
  <c r="AE116" i="28" a="1"/>
  <c r="AE116" i="28" s="1"/>
  <c r="AE115" i="28" a="1"/>
  <c r="AE115" i="28" s="1"/>
  <c r="AE114" i="28" a="1"/>
  <c r="AE114" i="28" s="1"/>
  <c r="AE113" i="28" a="1"/>
  <c r="AE113" i="28" s="1"/>
  <c r="AE112" i="28" a="1"/>
  <c r="AE112" i="28" s="1"/>
  <c r="AE111" i="28" a="1"/>
  <c r="AE111" i="28" s="1"/>
  <c r="AE110" i="28" a="1"/>
  <c r="AE110" i="28" s="1"/>
  <c r="AE109" i="28" a="1"/>
  <c r="AE109" i="28" s="1"/>
  <c r="AE108" i="28" a="1"/>
  <c r="AE108" i="28" s="1"/>
  <c r="AE107" i="28" a="1"/>
  <c r="AE107" i="28" s="1"/>
  <c r="AE106" i="28" a="1"/>
  <c r="AE106" i="28" s="1"/>
  <c r="AE105" i="28" a="1"/>
  <c r="AE105" i="28" s="1"/>
  <c r="AE104" i="28" a="1"/>
  <c r="AE104" i="28" s="1"/>
  <c r="AE103" i="28" a="1"/>
  <c r="AE103" i="28" s="1"/>
  <c r="AE102" i="28" a="1"/>
  <c r="AE102" i="28" s="1"/>
  <c r="AE101" i="28" a="1"/>
  <c r="AE101" i="28" s="1"/>
  <c r="AE100" i="28" a="1"/>
  <c r="AE100" i="28" s="1"/>
  <c r="AE99" i="28" a="1"/>
  <c r="AE99" i="28" s="1"/>
  <c r="AE98" i="28" a="1"/>
  <c r="AE98" i="28" s="1"/>
  <c r="AE97" i="28" a="1"/>
  <c r="AE97" i="28" s="1"/>
  <c r="AE96" i="28" a="1"/>
  <c r="AE96" i="28" s="1"/>
  <c r="AE95" i="28" a="1"/>
  <c r="AE95" i="28" s="1"/>
  <c r="AE94" i="28" a="1"/>
  <c r="AE94" i="28" s="1"/>
  <c r="AE93" i="28" a="1"/>
  <c r="AE93" i="28" s="1"/>
  <c r="AE92" i="28" a="1"/>
  <c r="AE92" i="28" s="1"/>
  <c r="AE91" i="28" a="1"/>
  <c r="AE91" i="28" s="1"/>
  <c r="AE90" i="28" a="1"/>
  <c r="AE90" i="28" s="1"/>
  <c r="AE89" i="28" a="1"/>
  <c r="AE89" i="28" s="1"/>
  <c r="AE88" i="28" a="1"/>
  <c r="AE88" i="28" s="1"/>
  <c r="AE87" i="28" a="1"/>
  <c r="AE87" i="28" s="1"/>
  <c r="AE86" i="28" a="1"/>
  <c r="AE86" i="28" s="1"/>
  <c r="AE85" i="28" a="1"/>
  <c r="AE85" i="28" s="1"/>
  <c r="AE84" i="28" a="1"/>
  <c r="AE84" i="28" s="1"/>
  <c r="AE83" i="28" a="1"/>
  <c r="AE83" i="28" s="1"/>
  <c r="AE82" i="28" a="1"/>
  <c r="AE82" i="28" s="1"/>
  <c r="AE81" i="28" a="1"/>
  <c r="AE81" i="28" s="1"/>
  <c r="AE80" i="28" a="1"/>
  <c r="AE80" i="28" s="1"/>
  <c r="AE79" i="28" a="1"/>
  <c r="AE79" i="28" s="1"/>
  <c r="AE78" i="28" a="1"/>
  <c r="AE78" i="28" s="1"/>
  <c r="AE77" i="28" a="1"/>
  <c r="AE77" i="28" s="1"/>
  <c r="AE76" i="28" a="1"/>
  <c r="AE76" i="28" s="1"/>
  <c r="AE75" i="28" a="1"/>
  <c r="AE75" i="28" s="1"/>
  <c r="AE74" i="28" a="1"/>
  <c r="AE74" i="28" s="1"/>
  <c r="AE73" i="28" a="1"/>
  <c r="AE73" i="28" s="1"/>
  <c r="AE72" i="28" a="1"/>
  <c r="AE72" i="28" s="1"/>
  <c r="AE71" i="28" a="1"/>
  <c r="AE71" i="28" s="1"/>
  <c r="AE70" i="28" a="1"/>
  <c r="AE70" i="28" s="1"/>
  <c r="AE69" i="28" a="1"/>
  <c r="AE69" i="28" s="1"/>
  <c r="AE68" i="28" a="1"/>
  <c r="AE68" i="28" s="1"/>
  <c r="AE67" i="28" a="1"/>
  <c r="AE67" i="28" s="1"/>
  <c r="AE66" i="28" a="1"/>
  <c r="AE66" i="28" s="1"/>
  <c r="AE65" i="28" a="1"/>
  <c r="AE65" i="28" s="1"/>
  <c r="AE64" i="28" a="1"/>
  <c r="AE64" i="28" s="1"/>
  <c r="AE63" i="28" a="1"/>
  <c r="AE63" i="28" s="1"/>
  <c r="AE62" i="28" a="1"/>
  <c r="AE62" i="28" s="1"/>
  <c r="AE61" i="28" a="1"/>
  <c r="AE61" i="28" s="1"/>
  <c r="AE60" i="28" a="1"/>
  <c r="AE60" i="28" s="1"/>
  <c r="AE59" i="28" a="1"/>
  <c r="AE59" i="28" s="1"/>
  <c r="AE58" i="28" a="1"/>
  <c r="AE58" i="28" s="1"/>
  <c r="AE57" i="28" a="1"/>
  <c r="AE57" i="28" s="1"/>
  <c r="AE56" i="28" a="1"/>
  <c r="AE56" i="28" s="1"/>
  <c r="AE55" i="28" a="1"/>
  <c r="AE55" i="28" s="1"/>
  <c r="AE54" i="28" a="1"/>
  <c r="AE54" i="28" s="1"/>
  <c r="AE53" i="28" a="1"/>
  <c r="AE53" i="28" s="1"/>
  <c r="AE52" i="28" a="1"/>
  <c r="AE52" i="28" s="1"/>
  <c r="AE51" i="28" a="1"/>
  <c r="AE51" i="28" s="1"/>
  <c r="AE50" i="28" a="1"/>
  <c r="AE50" i="28" s="1"/>
  <c r="AE49" i="28" a="1"/>
  <c r="AE49" i="28" s="1"/>
  <c r="AE48" i="28" a="1"/>
  <c r="AE48" i="28" s="1"/>
  <c r="AE47" i="28" a="1"/>
  <c r="AE47" i="28" s="1"/>
  <c r="AE46" i="28" a="1"/>
  <c r="AE46" i="28" s="1"/>
  <c r="AE45" i="28" a="1"/>
  <c r="AE45" i="28" s="1"/>
  <c r="AE44" i="28" a="1"/>
  <c r="AE44" i="28" s="1"/>
  <c r="AE43" i="28" a="1"/>
  <c r="AE43" i="28" s="1"/>
  <c r="AE42" i="28" a="1"/>
  <c r="AE42" i="28" s="1"/>
  <c r="AE41" i="28" a="1"/>
  <c r="AE41" i="28" s="1"/>
  <c r="AE40" i="28" a="1"/>
  <c r="AE40" i="28" s="1"/>
  <c r="AE39" i="28" a="1"/>
  <c r="AE39" i="28" s="1"/>
  <c r="AE38" i="28" a="1"/>
  <c r="AE38" i="28" s="1"/>
  <c r="AE37" i="28" a="1"/>
  <c r="AE37" i="28" s="1"/>
  <c r="AE36" i="28" a="1"/>
  <c r="AE36" i="28" s="1"/>
  <c r="AE35" i="28" a="1"/>
  <c r="AE35" i="28" s="1"/>
  <c r="AE34" i="28" a="1"/>
  <c r="AE34" i="28" s="1"/>
  <c r="AE33" i="28" a="1"/>
  <c r="AE33" i="28" s="1"/>
  <c r="AE32" i="28" a="1"/>
  <c r="AE32" i="28" s="1"/>
  <c r="AE31" i="28" a="1"/>
  <c r="AE31" i="28" s="1"/>
  <c r="AE30" i="28" a="1"/>
  <c r="AE30" i="28" s="1"/>
  <c r="AE29" i="28" a="1"/>
  <c r="AE29" i="28" s="1"/>
  <c r="AE28" i="28" a="1"/>
  <c r="AE28" i="28" s="1"/>
  <c r="AE27" i="28" a="1"/>
  <c r="AE27" i="28" s="1"/>
  <c r="AE26" i="28" a="1"/>
  <c r="AE26" i="28" s="1"/>
  <c r="AE25" i="28" a="1"/>
  <c r="AE25" i="28" s="1"/>
  <c r="AE24" i="28" a="1"/>
  <c r="AE24" i="28" s="1"/>
  <c r="AE23" i="28" a="1"/>
  <c r="AE23" i="28" s="1"/>
  <c r="AE22" i="28" a="1"/>
  <c r="AE22" i="28" s="1"/>
  <c r="AE21" i="28" a="1"/>
  <c r="AE21" i="28" s="1"/>
  <c r="AE20" i="28" a="1"/>
  <c r="AE20" i="28" s="1"/>
  <c r="AE19" i="28" a="1"/>
  <c r="AE19" i="28" s="1"/>
  <c r="AE18" i="28" a="1"/>
  <c r="AE18" i="28" s="1"/>
  <c r="AE17" i="28" a="1"/>
  <c r="AE17" i="28" s="1"/>
  <c r="AE16" i="28" a="1"/>
  <c r="AE16" i="28" s="1"/>
  <c r="AE15" i="28" a="1"/>
  <c r="AE15" i="28" s="1"/>
  <c r="AE14" i="28" a="1"/>
  <c r="AE14" i="28" s="1"/>
  <c r="AE13" i="28" a="1"/>
  <c r="AE13" i="28" s="1"/>
  <c r="AE12" i="28" a="1"/>
  <c r="AE12" i="28" s="1"/>
  <c r="AE11" i="28" a="1"/>
  <c r="AE11" i="28" s="1"/>
  <c r="Y122" i="28" a="1"/>
  <c r="Y122" i="28" s="1"/>
  <c r="X122" i="28" a="1"/>
  <c r="X122" i="28" s="1"/>
  <c r="W122" i="28" a="1"/>
  <c r="W122" i="28" s="1"/>
  <c r="V122" i="28"/>
  <c r="V122" i="28" a="1"/>
  <c r="Y121" i="28" a="1"/>
  <c r="Y121" i="28" s="1"/>
  <c r="X121" i="28" a="1"/>
  <c r="X121" i="28" s="1"/>
  <c r="W121" i="28" a="1"/>
  <c r="W121" i="28" s="1"/>
  <c r="V121" i="28"/>
  <c r="V121" i="28" a="1"/>
  <c r="Y120" i="28" a="1"/>
  <c r="Y120" i="28" s="1"/>
  <c r="X120" i="28" a="1"/>
  <c r="X120" i="28" s="1"/>
  <c r="W120" i="28" a="1"/>
  <c r="W120" i="28" s="1"/>
  <c r="V120" i="28" a="1"/>
  <c r="V120" i="28" s="1"/>
  <c r="Y119" i="28" a="1"/>
  <c r="Y119" i="28" s="1"/>
  <c r="X119" i="28" a="1"/>
  <c r="X119" i="28" s="1"/>
  <c r="W119" i="28" a="1"/>
  <c r="W119" i="28" s="1"/>
  <c r="V119" i="28" a="1"/>
  <c r="V119" i="28" s="1"/>
  <c r="Y118" i="28" a="1"/>
  <c r="Y118" i="28" s="1"/>
  <c r="X118" i="28" a="1"/>
  <c r="X118" i="28" s="1"/>
  <c r="W118" i="28" a="1"/>
  <c r="W118" i="28" s="1"/>
  <c r="V118" i="28" a="1"/>
  <c r="V118" i="28" s="1"/>
  <c r="Y117" i="28" a="1"/>
  <c r="Y117" i="28" s="1"/>
  <c r="X117" i="28" a="1"/>
  <c r="X117" i="28" s="1"/>
  <c r="W117" i="28" a="1"/>
  <c r="W117" i="28" s="1"/>
  <c r="V117" i="28" a="1"/>
  <c r="V117" i="28" s="1"/>
  <c r="Y116" i="28" a="1"/>
  <c r="Y116" i="28" s="1"/>
  <c r="X116" i="28" a="1"/>
  <c r="X116" i="28" s="1"/>
  <c r="W116" i="28" a="1"/>
  <c r="W116" i="28" s="1"/>
  <c r="V116" i="28" a="1"/>
  <c r="V116" i="28" s="1"/>
  <c r="Y115" i="28" a="1"/>
  <c r="Y115" i="28" s="1"/>
  <c r="X115" i="28" a="1"/>
  <c r="X115" i="28" s="1"/>
  <c r="W115" i="28" a="1"/>
  <c r="W115" i="28" s="1"/>
  <c r="V115" i="28"/>
  <c r="V115" i="28" a="1"/>
  <c r="Y114" i="28" a="1"/>
  <c r="Y114" i="28" s="1"/>
  <c r="X114" i="28" a="1"/>
  <c r="X114" i="28" s="1"/>
  <c r="W114" i="28" a="1"/>
  <c r="W114" i="28" s="1"/>
  <c r="V114" i="28" a="1"/>
  <c r="V114" i="28" s="1"/>
  <c r="Y113" i="28" a="1"/>
  <c r="Y113" i="28" s="1"/>
  <c r="X113" i="28" a="1"/>
  <c r="X113" i="28" s="1"/>
  <c r="W113" i="28" a="1"/>
  <c r="W113" i="28" s="1"/>
  <c r="V113" i="28" a="1"/>
  <c r="V113" i="28" s="1"/>
  <c r="Y112" i="28" a="1"/>
  <c r="Y112" i="28" s="1"/>
  <c r="X112" i="28" a="1"/>
  <c r="X112" i="28" s="1"/>
  <c r="W112" i="28" a="1"/>
  <c r="W112" i="28" s="1"/>
  <c r="V112" i="28" a="1"/>
  <c r="V112" i="28" s="1"/>
  <c r="Y111" i="28" a="1"/>
  <c r="Y111" i="28" s="1"/>
  <c r="X111" i="28" a="1"/>
  <c r="X111" i="28" s="1"/>
  <c r="W111" i="28" a="1"/>
  <c r="W111" i="28" s="1"/>
  <c r="V111" i="28" a="1"/>
  <c r="V111" i="28" s="1"/>
  <c r="Y110" i="28" a="1"/>
  <c r="Y110" i="28" s="1"/>
  <c r="X110" i="28" a="1"/>
  <c r="X110" i="28" s="1"/>
  <c r="W110" i="28" a="1"/>
  <c r="W110" i="28" s="1"/>
  <c r="V110" i="28" a="1"/>
  <c r="V110" i="28" s="1"/>
  <c r="Y109" i="28" a="1"/>
  <c r="Y109" i="28" s="1"/>
  <c r="X109" i="28" a="1"/>
  <c r="X109" i="28" s="1"/>
  <c r="W109" i="28" a="1"/>
  <c r="W109" i="28" s="1"/>
  <c r="V109" i="28" a="1"/>
  <c r="V109" i="28" s="1"/>
  <c r="Y108" i="28" a="1"/>
  <c r="Y108" i="28" s="1"/>
  <c r="X108" i="28" a="1"/>
  <c r="X108" i="28" s="1"/>
  <c r="W108" i="28" a="1"/>
  <c r="W108" i="28" s="1"/>
  <c r="V108" i="28" a="1"/>
  <c r="V108" i="28" s="1"/>
  <c r="Y107" i="28" a="1"/>
  <c r="Y107" i="28" s="1"/>
  <c r="X107" i="28" a="1"/>
  <c r="X107" i="28" s="1"/>
  <c r="W107" i="28" a="1"/>
  <c r="W107" i="28" s="1"/>
  <c r="V107" i="28"/>
  <c r="V107" i="28" a="1"/>
  <c r="Y106" i="28" a="1"/>
  <c r="Y106" i="28" s="1"/>
  <c r="X106" i="28" a="1"/>
  <c r="X106" i="28" s="1"/>
  <c r="W106" i="28" a="1"/>
  <c r="W106" i="28" s="1"/>
  <c r="V106" i="28" a="1"/>
  <c r="V106" i="28" s="1"/>
  <c r="Y105" i="28" a="1"/>
  <c r="Y105" i="28" s="1"/>
  <c r="X105" i="28" a="1"/>
  <c r="X105" i="28" s="1"/>
  <c r="W105" i="28" a="1"/>
  <c r="W105" i="28" s="1"/>
  <c r="V105" i="28" a="1"/>
  <c r="V105" i="28" s="1"/>
  <c r="Y104" i="28" a="1"/>
  <c r="Y104" i="28" s="1"/>
  <c r="X104" i="28" a="1"/>
  <c r="X104" i="28" s="1"/>
  <c r="W104" i="28" a="1"/>
  <c r="W104" i="28" s="1"/>
  <c r="V104" i="28" a="1"/>
  <c r="V104" i="28" s="1"/>
  <c r="Y103" i="28" a="1"/>
  <c r="Y103" i="28" s="1"/>
  <c r="X103" i="28" a="1"/>
  <c r="X103" i="28" s="1"/>
  <c r="W103" i="28" a="1"/>
  <c r="W103" i="28" s="1"/>
  <c r="V103" i="28" a="1"/>
  <c r="V103" i="28" s="1"/>
  <c r="Y102" i="28" a="1"/>
  <c r="Y102" i="28" s="1"/>
  <c r="X102" i="28" a="1"/>
  <c r="X102" i="28" s="1"/>
  <c r="W102" i="28" a="1"/>
  <c r="W102" i="28" s="1"/>
  <c r="V102" i="28" a="1"/>
  <c r="V102" i="28" s="1"/>
  <c r="Y101" i="28" a="1"/>
  <c r="Y101" i="28" s="1"/>
  <c r="X101" i="28" a="1"/>
  <c r="X101" i="28" s="1"/>
  <c r="W101" i="28" a="1"/>
  <c r="W101" i="28" s="1"/>
  <c r="V101" i="28" a="1"/>
  <c r="V101" i="28" s="1"/>
  <c r="Y100" i="28" a="1"/>
  <c r="Y100" i="28" s="1"/>
  <c r="X100" i="28" a="1"/>
  <c r="X100" i="28" s="1"/>
  <c r="W100" i="28" a="1"/>
  <c r="W100" i="28" s="1"/>
  <c r="V100" i="28" a="1"/>
  <c r="V100" i="28" s="1"/>
  <c r="Y99" i="28" a="1"/>
  <c r="Y99" i="28" s="1"/>
  <c r="X99" i="28" a="1"/>
  <c r="X99" i="28" s="1"/>
  <c r="W99" i="28" a="1"/>
  <c r="W99" i="28" s="1"/>
  <c r="V99" i="28"/>
  <c r="V99" i="28" a="1"/>
  <c r="Y98" i="28" a="1"/>
  <c r="Y98" i="28" s="1"/>
  <c r="X98" i="28" a="1"/>
  <c r="X98" i="28" s="1"/>
  <c r="W98" i="28" a="1"/>
  <c r="W98" i="28" s="1"/>
  <c r="V98" i="28" a="1"/>
  <c r="V98" i="28" s="1"/>
  <c r="Y97" i="28" a="1"/>
  <c r="Y97" i="28" s="1"/>
  <c r="X97" i="28" a="1"/>
  <c r="X97" i="28" s="1"/>
  <c r="W97" i="28" a="1"/>
  <c r="W97" i="28" s="1"/>
  <c r="V97" i="28" a="1"/>
  <c r="V97" i="28" s="1"/>
  <c r="Y96" i="28" a="1"/>
  <c r="Y96" i="28" s="1"/>
  <c r="X96" i="28" a="1"/>
  <c r="X96" i="28" s="1"/>
  <c r="W96" i="28" a="1"/>
  <c r="W96" i="28" s="1"/>
  <c r="V96" i="28" a="1"/>
  <c r="V96" i="28" s="1"/>
  <c r="Y95" i="28" a="1"/>
  <c r="Y95" i="28" s="1"/>
  <c r="X95" i="28" a="1"/>
  <c r="X95" i="28" s="1"/>
  <c r="W95" i="28" a="1"/>
  <c r="W95" i="28" s="1"/>
  <c r="V95" i="28" a="1"/>
  <c r="V95" i="28" s="1"/>
  <c r="Y94" i="28" a="1"/>
  <c r="Y94" i="28" s="1"/>
  <c r="X94" i="28" a="1"/>
  <c r="X94" i="28" s="1"/>
  <c r="W94" i="28" a="1"/>
  <c r="W94" i="28" s="1"/>
  <c r="V94" i="28"/>
  <c r="V94" i="28" a="1"/>
  <c r="Y93" i="28" a="1"/>
  <c r="Y93" i="28" s="1"/>
  <c r="X93" i="28" a="1"/>
  <c r="X93" i="28" s="1"/>
  <c r="W93" i="28" a="1"/>
  <c r="W93" i="28" s="1"/>
  <c r="V93" i="28" a="1"/>
  <c r="V93" i="28" s="1"/>
  <c r="Y92" i="28" a="1"/>
  <c r="Y92" i="28" s="1"/>
  <c r="X92" i="28" a="1"/>
  <c r="X92" i="28" s="1"/>
  <c r="W92" i="28" a="1"/>
  <c r="W92" i="28" s="1"/>
  <c r="V92" i="28" a="1"/>
  <c r="V92" i="28" s="1"/>
  <c r="Y91" i="28" a="1"/>
  <c r="Y91" i="28" s="1"/>
  <c r="X91" i="28" a="1"/>
  <c r="X91" i="28" s="1"/>
  <c r="W91" i="28" a="1"/>
  <c r="W91" i="28" s="1"/>
  <c r="V91" i="28"/>
  <c r="V91" i="28" a="1"/>
  <c r="Y90" i="28" a="1"/>
  <c r="Y90" i="28" s="1"/>
  <c r="X90" i="28" a="1"/>
  <c r="X90" i="28" s="1"/>
  <c r="W90" i="28" a="1"/>
  <c r="W90" i="28" s="1"/>
  <c r="V90" i="28" a="1"/>
  <c r="V90" i="28" s="1"/>
  <c r="Y89" i="28" a="1"/>
  <c r="Y89" i="28" s="1"/>
  <c r="X89" i="28" a="1"/>
  <c r="X89" i="28" s="1"/>
  <c r="W89" i="28" a="1"/>
  <c r="W89" i="28" s="1"/>
  <c r="V89" i="28" a="1"/>
  <c r="V89" i="28" s="1"/>
  <c r="Y88" i="28" a="1"/>
  <c r="Y88" i="28" s="1"/>
  <c r="X88" i="28" a="1"/>
  <c r="X88" i="28" s="1"/>
  <c r="W88" i="28" a="1"/>
  <c r="W88" i="28" s="1"/>
  <c r="V88" i="28" a="1"/>
  <c r="V88" i="28" s="1"/>
  <c r="Y87" i="28" a="1"/>
  <c r="Y87" i="28" s="1"/>
  <c r="X87" i="28" a="1"/>
  <c r="X87" i="28" s="1"/>
  <c r="W87" i="28" a="1"/>
  <c r="W87" i="28" s="1"/>
  <c r="V87" i="28" a="1"/>
  <c r="V87" i="28" s="1"/>
  <c r="Y86" i="28" a="1"/>
  <c r="Y86" i="28" s="1"/>
  <c r="X86" i="28" a="1"/>
  <c r="X86" i="28" s="1"/>
  <c r="W86" i="28" a="1"/>
  <c r="W86" i="28" s="1"/>
  <c r="V86" i="28"/>
  <c r="V86" i="28" a="1"/>
  <c r="Y85" i="28" a="1"/>
  <c r="Y85" i="28" s="1"/>
  <c r="X85" i="28" a="1"/>
  <c r="X85" i="28" s="1"/>
  <c r="W85" i="28" a="1"/>
  <c r="W85" i="28" s="1"/>
  <c r="V85" i="28" a="1"/>
  <c r="V85" i="28" s="1"/>
  <c r="Y84" i="28" a="1"/>
  <c r="Y84" i="28" s="1"/>
  <c r="X84" i="28" a="1"/>
  <c r="X84" i="28" s="1"/>
  <c r="W84" i="28" a="1"/>
  <c r="W84" i="28" s="1"/>
  <c r="V84" i="28" a="1"/>
  <c r="V84" i="28" s="1"/>
  <c r="Y83" i="28" a="1"/>
  <c r="Y83" i="28" s="1"/>
  <c r="X83" i="28" a="1"/>
  <c r="X83" i="28" s="1"/>
  <c r="W83" i="28" a="1"/>
  <c r="W83" i="28" s="1"/>
  <c r="V83" i="28"/>
  <c r="V83" i="28" a="1"/>
  <c r="Y82" i="28" a="1"/>
  <c r="Y82" i="28" s="1"/>
  <c r="X82" i="28" a="1"/>
  <c r="X82" i="28" s="1"/>
  <c r="W82" i="28" a="1"/>
  <c r="W82" i="28" s="1"/>
  <c r="V82" i="28" a="1"/>
  <c r="V82" i="28" s="1"/>
  <c r="Y81" i="28" a="1"/>
  <c r="Y81" i="28" s="1"/>
  <c r="X81" i="28" a="1"/>
  <c r="X81" i="28" s="1"/>
  <c r="W81" i="28" a="1"/>
  <c r="W81" i="28" s="1"/>
  <c r="V81" i="28" a="1"/>
  <c r="V81" i="28" s="1"/>
  <c r="Y80" i="28" a="1"/>
  <c r="Y80" i="28" s="1"/>
  <c r="X80" i="28" a="1"/>
  <c r="X80" i="28" s="1"/>
  <c r="W80" i="28" a="1"/>
  <c r="W80" i="28" s="1"/>
  <c r="V80" i="28" a="1"/>
  <c r="V80" i="28" s="1"/>
  <c r="Y79" i="28" a="1"/>
  <c r="Y79" i="28" s="1"/>
  <c r="X79" i="28" a="1"/>
  <c r="X79" i="28" s="1"/>
  <c r="W79" i="28" a="1"/>
  <c r="W79" i="28" s="1"/>
  <c r="V79" i="28" a="1"/>
  <c r="V79" i="28" s="1"/>
  <c r="Y78" i="28" a="1"/>
  <c r="Y78" i="28" s="1"/>
  <c r="X78" i="28" a="1"/>
  <c r="X78" i="28" s="1"/>
  <c r="W78" i="28" a="1"/>
  <c r="W78" i="28" s="1"/>
  <c r="V78" i="28"/>
  <c r="V78" i="28" a="1"/>
  <c r="Y77" i="28" a="1"/>
  <c r="Y77" i="28" s="1"/>
  <c r="X77" i="28" a="1"/>
  <c r="X77" i="28" s="1"/>
  <c r="W77" i="28" a="1"/>
  <c r="W77" i="28" s="1"/>
  <c r="V77" i="28" a="1"/>
  <c r="V77" i="28" s="1"/>
  <c r="Y76" i="28" a="1"/>
  <c r="Y76" i="28" s="1"/>
  <c r="X76" i="28" a="1"/>
  <c r="X76" i="28" s="1"/>
  <c r="W76" i="28" a="1"/>
  <c r="W76" i="28" s="1"/>
  <c r="V76" i="28" a="1"/>
  <c r="V76" i="28" s="1"/>
  <c r="Y75" i="28" a="1"/>
  <c r="Y75" i="28" s="1"/>
  <c r="X75" i="28" a="1"/>
  <c r="X75" i="28" s="1"/>
  <c r="W75" i="28" a="1"/>
  <c r="W75" i="28" s="1"/>
  <c r="V75" i="28"/>
  <c r="V75" i="28" a="1"/>
  <c r="Y74" i="28" a="1"/>
  <c r="Y74" i="28" s="1"/>
  <c r="X74" i="28" a="1"/>
  <c r="X74" i="28" s="1"/>
  <c r="W74" i="28" a="1"/>
  <c r="W74" i="28" s="1"/>
  <c r="V74" i="28" a="1"/>
  <c r="V74" i="28" s="1"/>
  <c r="Y73" i="28" a="1"/>
  <c r="Y73" i="28" s="1"/>
  <c r="X73" i="28" a="1"/>
  <c r="X73" i="28" s="1"/>
  <c r="W73" i="28" a="1"/>
  <c r="W73" i="28" s="1"/>
  <c r="V73" i="28" a="1"/>
  <c r="V73" i="28" s="1"/>
  <c r="Y72" i="28" a="1"/>
  <c r="Y72" i="28" s="1"/>
  <c r="X72" i="28" a="1"/>
  <c r="X72" i="28" s="1"/>
  <c r="W72" i="28" a="1"/>
  <c r="W72" i="28" s="1"/>
  <c r="V72" i="28" a="1"/>
  <c r="V72" i="28" s="1"/>
  <c r="Y71" i="28" a="1"/>
  <c r="Y71" i="28" s="1"/>
  <c r="X71" i="28" a="1"/>
  <c r="X71" i="28" s="1"/>
  <c r="W71" i="28" a="1"/>
  <c r="W71" i="28" s="1"/>
  <c r="V71" i="28" a="1"/>
  <c r="V71" i="28" s="1"/>
  <c r="Y70" i="28" a="1"/>
  <c r="Y70" i="28" s="1"/>
  <c r="X70" i="28" a="1"/>
  <c r="X70" i="28" s="1"/>
  <c r="W70" i="28" a="1"/>
  <c r="W70" i="28" s="1"/>
  <c r="V70" i="28"/>
  <c r="V70" i="28" a="1"/>
  <c r="Y69" i="28" a="1"/>
  <c r="Y69" i="28" s="1"/>
  <c r="X69" i="28" a="1"/>
  <c r="X69" i="28" s="1"/>
  <c r="W69" i="28" a="1"/>
  <c r="W69" i="28" s="1"/>
  <c r="V69" i="28" a="1"/>
  <c r="V69" i="28" s="1"/>
  <c r="Y68" i="28" a="1"/>
  <c r="Y68" i="28" s="1"/>
  <c r="X68" i="28" a="1"/>
  <c r="X68" i="28" s="1"/>
  <c r="W68" i="28" a="1"/>
  <c r="W68" i="28" s="1"/>
  <c r="V68" i="28" a="1"/>
  <c r="V68" i="28" s="1"/>
  <c r="Y67" i="28" a="1"/>
  <c r="Y67" i="28" s="1"/>
  <c r="X67" i="28" a="1"/>
  <c r="X67" i="28" s="1"/>
  <c r="W67" i="28" a="1"/>
  <c r="W67" i="28" s="1"/>
  <c r="V67" i="28" a="1"/>
  <c r="V67" i="28" s="1"/>
  <c r="Y66" i="28" a="1"/>
  <c r="Y66" i="28" s="1"/>
  <c r="X66" i="28" a="1"/>
  <c r="X66" i="28" s="1"/>
  <c r="W66" i="28" a="1"/>
  <c r="W66" i="28" s="1"/>
  <c r="V66" i="28" a="1"/>
  <c r="V66" i="28" s="1"/>
  <c r="Y65" i="28" a="1"/>
  <c r="Y65" i="28" s="1"/>
  <c r="X65" i="28" a="1"/>
  <c r="X65" i="28" s="1"/>
  <c r="W65" i="28" a="1"/>
  <c r="W65" i="28" s="1"/>
  <c r="V65" i="28" a="1"/>
  <c r="V65" i="28" s="1"/>
  <c r="Y64" i="28" a="1"/>
  <c r="Y64" i="28" s="1"/>
  <c r="X64" i="28" a="1"/>
  <c r="X64" i="28" s="1"/>
  <c r="W64" i="28" a="1"/>
  <c r="W64" i="28" s="1"/>
  <c r="V64" i="28" a="1"/>
  <c r="V64" i="28" s="1"/>
  <c r="Y63" i="28" a="1"/>
  <c r="Y63" i="28" s="1"/>
  <c r="X63" i="28" a="1"/>
  <c r="X63" i="28" s="1"/>
  <c r="W63" i="28" a="1"/>
  <c r="W63" i="28" s="1"/>
  <c r="V63" i="28" a="1"/>
  <c r="V63" i="28" s="1"/>
  <c r="Y62" i="28" a="1"/>
  <c r="Y62" i="28" s="1"/>
  <c r="X62" i="28" a="1"/>
  <c r="X62" i="28" s="1"/>
  <c r="W62" i="28" a="1"/>
  <c r="W62" i="28" s="1"/>
  <c r="V62" i="28"/>
  <c r="V62" i="28" a="1"/>
  <c r="Y61" i="28" a="1"/>
  <c r="Y61" i="28" s="1"/>
  <c r="X61" i="28" a="1"/>
  <c r="X61" i="28" s="1"/>
  <c r="W61" i="28" a="1"/>
  <c r="W61" i="28" s="1"/>
  <c r="V61" i="28" a="1"/>
  <c r="V61" i="28" s="1"/>
  <c r="Y60" i="28" a="1"/>
  <c r="Y60" i="28" s="1"/>
  <c r="X60" i="28" a="1"/>
  <c r="X60" i="28" s="1"/>
  <c r="W60" i="28" a="1"/>
  <c r="W60" i="28" s="1"/>
  <c r="V60" i="28" a="1"/>
  <c r="V60" i="28" s="1"/>
  <c r="Y59" i="28" a="1"/>
  <c r="Y59" i="28" s="1"/>
  <c r="X59" i="28" a="1"/>
  <c r="X59" i="28" s="1"/>
  <c r="W59" i="28" a="1"/>
  <c r="W59" i="28" s="1"/>
  <c r="V59" i="28" a="1"/>
  <c r="V59" i="28" s="1"/>
  <c r="Y58" i="28" a="1"/>
  <c r="Y58" i="28" s="1"/>
  <c r="X58" i="28" a="1"/>
  <c r="X58" i="28" s="1"/>
  <c r="W58" i="28" a="1"/>
  <c r="W58" i="28" s="1"/>
  <c r="V58" i="28" a="1"/>
  <c r="V58" i="28" s="1"/>
  <c r="Y57" i="28" a="1"/>
  <c r="Y57" i="28" s="1"/>
  <c r="X57" i="28" a="1"/>
  <c r="X57" i="28" s="1"/>
  <c r="W57" i="28" a="1"/>
  <c r="W57" i="28" s="1"/>
  <c r="V57" i="28" a="1"/>
  <c r="V57" i="28" s="1"/>
  <c r="Y56" i="28" a="1"/>
  <c r="Y56" i="28" s="1"/>
  <c r="X56" i="28" a="1"/>
  <c r="X56" i="28" s="1"/>
  <c r="W56" i="28" a="1"/>
  <c r="W56" i="28" s="1"/>
  <c r="V56" i="28" a="1"/>
  <c r="V56" i="28" s="1"/>
  <c r="Y55" i="28" a="1"/>
  <c r="Y55" i="28" s="1"/>
  <c r="X55" i="28" a="1"/>
  <c r="X55" i="28" s="1"/>
  <c r="W55" i="28" a="1"/>
  <c r="W55" i="28" s="1"/>
  <c r="V55" i="28" a="1"/>
  <c r="V55" i="28" s="1"/>
  <c r="Y54" i="28" a="1"/>
  <c r="Y54" i="28" s="1"/>
  <c r="X54" i="28" a="1"/>
  <c r="X54" i="28" s="1"/>
  <c r="W54" i="28" a="1"/>
  <c r="W54" i="28" s="1"/>
  <c r="V54" i="28"/>
  <c r="V54" i="28" a="1"/>
  <c r="Y53" i="28" a="1"/>
  <c r="Y53" i="28" s="1"/>
  <c r="X53" i="28" a="1"/>
  <c r="X53" i="28" s="1"/>
  <c r="W53" i="28" a="1"/>
  <c r="W53" i="28" s="1"/>
  <c r="V53" i="28" a="1"/>
  <c r="V53" i="28" s="1"/>
  <c r="Y52" i="28" a="1"/>
  <c r="Y52" i="28" s="1"/>
  <c r="X52" i="28" a="1"/>
  <c r="X52" i="28" s="1"/>
  <c r="W52" i="28" a="1"/>
  <c r="W52" i="28" s="1"/>
  <c r="V52" i="28" a="1"/>
  <c r="V52" i="28" s="1"/>
  <c r="Y51" i="28" a="1"/>
  <c r="Y51" i="28" s="1"/>
  <c r="X51" i="28" a="1"/>
  <c r="X51" i="28" s="1"/>
  <c r="W51" i="28" a="1"/>
  <c r="W51" i="28" s="1"/>
  <c r="V51" i="28" a="1"/>
  <c r="V51" i="28" s="1"/>
  <c r="Y50" i="28" a="1"/>
  <c r="Y50" i="28" s="1"/>
  <c r="X50" i="28" a="1"/>
  <c r="X50" i="28" s="1"/>
  <c r="W50" i="28" a="1"/>
  <c r="W50" i="28" s="1"/>
  <c r="V50" i="28" a="1"/>
  <c r="V50" i="28" s="1"/>
  <c r="Y49" i="28" a="1"/>
  <c r="Y49" i="28" s="1"/>
  <c r="X49" i="28" a="1"/>
  <c r="X49" i="28" s="1"/>
  <c r="W49" i="28" a="1"/>
  <c r="W49" i="28" s="1"/>
  <c r="V49" i="28" a="1"/>
  <c r="V49" i="28" s="1"/>
  <c r="Y48" i="28" a="1"/>
  <c r="Y48" i="28" s="1"/>
  <c r="X48" i="28" a="1"/>
  <c r="X48" i="28" s="1"/>
  <c r="W48" i="28" a="1"/>
  <c r="W48" i="28" s="1"/>
  <c r="V48" i="28" a="1"/>
  <c r="V48" i="28" s="1"/>
  <c r="Y47" i="28" a="1"/>
  <c r="Y47" i="28" s="1"/>
  <c r="X47" i="28" a="1"/>
  <c r="X47" i="28" s="1"/>
  <c r="W47" i="28" a="1"/>
  <c r="W47" i="28" s="1"/>
  <c r="V47" i="28" a="1"/>
  <c r="V47" i="28" s="1"/>
  <c r="Y46" i="28" a="1"/>
  <c r="Y46" i="28" s="1"/>
  <c r="X46" i="28" a="1"/>
  <c r="X46" i="28" s="1"/>
  <c r="W46" i="28" a="1"/>
  <c r="W46" i="28" s="1"/>
  <c r="V46" i="28"/>
  <c r="V46" i="28" a="1"/>
  <c r="Y45" i="28" a="1"/>
  <c r="Y45" i="28" s="1"/>
  <c r="X45" i="28" a="1"/>
  <c r="X45" i="28" s="1"/>
  <c r="W45" i="28" a="1"/>
  <c r="W45" i="28" s="1"/>
  <c r="V45" i="28" a="1"/>
  <c r="V45" i="28" s="1"/>
  <c r="Y44" i="28" a="1"/>
  <c r="Y44" i="28" s="1"/>
  <c r="X44" i="28" a="1"/>
  <c r="X44" i="28" s="1"/>
  <c r="W44" i="28" a="1"/>
  <c r="W44" i="28" s="1"/>
  <c r="V44" i="28" a="1"/>
  <c r="V44" i="28" s="1"/>
  <c r="Y43" i="28" a="1"/>
  <c r="Y43" i="28" s="1"/>
  <c r="X43" i="28" a="1"/>
  <c r="X43" i="28" s="1"/>
  <c r="W43" i="28" a="1"/>
  <c r="W43" i="28" s="1"/>
  <c r="V43" i="28" a="1"/>
  <c r="V43" i="28" s="1"/>
  <c r="Y42" i="28" a="1"/>
  <c r="Y42" i="28" s="1"/>
  <c r="X42" i="28" a="1"/>
  <c r="X42" i="28" s="1"/>
  <c r="W42" i="28" a="1"/>
  <c r="W42" i="28" s="1"/>
  <c r="V42" i="28" a="1"/>
  <c r="V42" i="28" s="1"/>
  <c r="Y41" i="28" a="1"/>
  <c r="Y41" i="28" s="1"/>
  <c r="X41" i="28" a="1"/>
  <c r="X41" i="28" s="1"/>
  <c r="W41" i="28" a="1"/>
  <c r="W41" i="28" s="1"/>
  <c r="V41" i="28" a="1"/>
  <c r="V41" i="28" s="1"/>
  <c r="Y40" i="28" a="1"/>
  <c r="Y40" i="28" s="1"/>
  <c r="X40" i="28" a="1"/>
  <c r="X40" i="28" s="1"/>
  <c r="W40" i="28" a="1"/>
  <c r="W40" i="28" s="1"/>
  <c r="V40" i="28" a="1"/>
  <c r="V40" i="28" s="1"/>
  <c r="Y39" i="28" a="1"/>
  <c r="Y39" i="28" s="1"/>
  <c r="X39" i="28" a="1"/>
  <c r="X39" i="28" s="1"/>
  <c r="W39" i="28" a="1"/>
  <c r="W39" i="28" s="1"/>
  <c r="V39" i="28" a="1"/>
  <c r="V39" i="28" s="1"/>
  <c r="Y38" i="28" a="1"/>
  <c r="Y38" i="28" s="1"/>
  <c r="X38" i="28" a="1"/>
  <c r="X38" i="28" s="1"/>
  <c r="W38" i="28" a="1"/>
  <c r="W38" i="28" s="1"/>
  <c r="V38" i="28"/>
  <c r="V38" i="28" a="1"/>
  <c r="Y37" i="28" a="1"/>
  <c r="Y37" i="28" s="1"/>
  <c r="X37" i="28" a="1"/>
  <c r="X37" i="28" s="1"/>
  <c r="W37" i="28" a="1"/>
  <c r="W37" i="28" s="1"/>
  <c r="V37" i="28"/>
  <c r="V37" i="28" a="1"/>
  <c r="Y36" i="28" a="1"/>
  <c r="Y36" i="28" s="1"/>
  <c r="X36" i="28" a="1"/>
  <c r="X36" i="28" s="1"/>
  <c r="W36" i="28" a="1"/>
  <c r="W36" i="28" s="1"/>
  <c r="V36" i="28"/>
  <c r="V36" i="28" a="1"/>
  <c r="Y35" i="28" a="1"/>
  <c r="Y35" i="28" s="1"/>
  <c r="X35" i="28" a="1"/>
  <c r="X35" i="28" s="1"/>
  <c r="W35" i="28" a="1"/>
  <c r="W35" i="28" s="1"/>
  <c r="V35" i="28"/>
  <c r="V35" i="28" a="1"/>
  <c r="Y34" i="28" a="1"/>
  <c r="Y34" i="28" s="1"/>
  <c r="X34" i="28" a="1"/>
  <c r="X34" i="28" s="1"/>
  <c r="W34" i="28" a="1"/>
  <c r="W34" i="28" s="1"/>
  <c r="V34" i="28"/>
  <c r="V34" i="28" a="1"/>
  <c r="Y33" i="28" a="1"/>
  <c r="Y33" i="28" s="1"/>
  <c r="X33" i="28" a="1"/>
  <c r="X33" i="28" s="1"/>
  <c r="W33" i="28" a="1"/>
  <c r="W33" i="28" s="1"/>
  <c r="V33" i="28"/>
  <c r="V33" i="28" a="1"/>
  <c r="Y32" i="28" a="1"/>
  <c r="Y32" i="28" s="1"/>
  <c r="X32" i="28" a="1"/>
  <c r="X32" i="28" s="1"/>
  <c r="W32" i="28" a="1"/>
  <c r="W32" i="28" s="1"/>
  <c r="V32" i="28"/>
  <c r="V32" i="28" a="1"/>
  <c r="Y31" i="28" a="1"/>
  <c r="Y31" i="28" s="1"/>
  <c r="X31" i="28" a="1"/>
  <c r="X31" i="28" s="1"/>
  <c r="W31" i="28" a="1"/>
  <c r="W31" i="28" s="1"/>
  <c r="V31" i="28"/>
  <c r="V31" i="28" a="1"/>
  <c r="Y30" i="28" a="1"/>
  <c r="Y30" i="28" s="1"/>
  <c r="X30" i="28" a="1"/>
  <c r="X30" i="28" s="1"/>
  <c r="W30" i="28" a="1"/>
  <c r="W30" i="28" s="1"/>
  <c r="V30" i="28"/>
  <c r="V30" i="28" a="1"/>
  <c r="Y29" i="28" a="1"/>
  <c r="Y29" i="28" s="1"/>
  <c r="X29" i="28" a="1"/>
  <c r="X29" i="28" s="1"/>
  <c r="W29" i="28" a="1"/>
  <c r="W29" i="28" s="1"/>
  <c r="V29" i="28"/>
  <c r="V29" i="28" a="1"/>
  <c r="Y28" i="28" a="1"/>
  <c r="Y28" i="28" s="1"/>
  <c r="X28" i="28" a="1"/>
  <c r="X28" i="28" s="1"/>
  <c r="W28" i="28" a="1"/>
  <c r="W28" i="28" s="1"/>
  <c r="V28" i="28"/>
  <c r="V28" i="28" a="1"/>
  <c r="Y27" i="28" a="1"/>
  <c r="Y27" i="28" s="1"/>
  <c r="X27" i="28" a="1"/>
  <c r="X27" i="28" s="1"/>
  <c r="W27" i="28" a="1"/>
  <c r="W27" i="28" s="1"/>
  <c r="V27" i="28"/>
  <c r="V27" i="28" a="1"/>
  <c r="Y26" i="28" a="1"/>
  <c r="Y26" i="28" s="1"/>
  <c r="X26" i="28" a="1"/>
  <c r="X26" i="28" s="1"/>
  <c r="W26" i="28" a="1"/>
  <c r="W26" i="28" s="1"/>
  <c r="V26" i="28"/>
  <c r="V26" i="28" a="1"/>
  <c r="Y25" i="28" a="1"/>
  <c r="Y25" i="28" s="1"/>
  <c r="X25" i="28" a="1"/>
  <c r="X25" i="28" s="1"/>
  <c r="W25" i="28" a="1"/>
  <c r="W25" i="28" s="1"/>
  <c r="V25" i="28"/>
  <c r="V25" i="28" a="1"/>
  <c r="Y24" i="28" a="1"/>
  <c r="Y24" i="28" s="1"/>
  <c r="X24" i="28" a="1"/>
  <c r="X24" i="28" s="1"/>
  <c r="W24" i="28" a="1"/>
  <c r="W24" i="28" s="1"/>
  <c r="V24" i="28"/>
  <c r="V24" i="28" a="1"/>
  <c r="Y23" i="28" a="1"/>
  <c r="Y23" i="28" s="1"/>
  <c r="X23" i="28" a="1"/>
  <c r="X23" i="28" s="1"/>
  <c r="W23" i="28" a="1"/>
  <c r="W23" i="28" s="1"/>
  <c r="V23" i="28"/>
  <c r="V23" i="28" a="1"/>
  <c r="Y22" i="28" a="1"/>
  <c r="Y22" i="28" s="1"/>
  <c r="X22" i="28" a="1"/>
  <c r="X22" i="28" s="1"/>
  <c r="W22" i="28" a="1"/>
  <c r="W22" i="28" s="1"/>
  <c r="V22" i="28"/>
  <c r="V22" i="28" a="1"/>
  <c r="Y21" i="28" a="1"/>
  <c r="Y21" i="28" s="1"/>
  <c r="X21" i="28" a="1"/>
  <c r="X21" i="28" s="1"/>
  <c r="W21" i="28" a="1"/>
  <c r="W21" i="28" s="1"/>
  <c r="V21" i="28"/>
  <c r="V21" i="28" a="1"/>
  <c r="Y20" i="28" a="1"/>
  <c r="Y20" i="28" s="1"/>
  <c r="X20" i="28" a="1"/>
  <c r="X20" i="28" s="1"/>
  <c r="W20" i="28" a="1"/>
  <c r="W20" i="28" s="1"/>
  <c r="V20" i="28"/>
  <c r="V20" i="28" a="1"/>
  <c r="Y19" i="28" a="1"/>
  <c r="Y19" i="28" s="1"/>
  <c r="X19" i="28" a="1"/>
  <c r="X19" i="28" s="1"/>
  <c r="W19" i="28" a="1"/>
  <c r="W19" i="28" s="1"/>
  <c r="V19" i="28"/>
  <c r="V19" i="28" a="1"/>
  <c r="Y18" i="28" a="1"/>
  <c r="Y18" i="28" s="1"/>
  <c r="X18" i="28" a="1"/>
  <c r="X18" i="28" s="1"/>
  <c r="W18" i="28" a="1"/>
  <c r="W18" i="28" s="1"/>
  <c r="V18" i="28"/>
  <c r="V18" i="28" a="1"/>
  <c r="Y17" i="28" a="1"/>
  <c r="Y17" i="28" s="1"/>
  <c r="X17" i="28" a="1"/>
  <c r="X17" i="28" s="1"/>
  <c r="W17" i="28" a="1"/>
  <c r="W17" i="28" s="1"/>
  <c r="V17" i="28"/>
  <c r="V17" i="28" a="1"/>
  <c r="Y16" i="28" a="1"/>
  <c r="Y16" i="28" s="1"/>
  <c r="X16" i="28" a="1"/>
  <c r="X16" i="28" s="1"/>
  <c r="W16" i="28" a="1"/>
  <c r="W16" i="28" s="1"/>
  <c r="V16" i="28"/>
  <c r="V16" i="28" a="1"/>
  <c r="Y15" i="28" a="1"/>
  <c r="Y15" i="28" s="1"/>
  <c r="X15" i="28" a="1"/>
  <c r="X15" i="28" s="1"/>
  <c r="W15" i="28" a="1"/>
  <c r="W15" i="28" s="1"/>
  <c r="V15" i="28"/>
  <c r="V15" i="28" a="1"/>
  <c r="Y14" i="28" a="1"/>
  <c r="Y14" i="28" s="1"/>
  <c r="X14" i="28" a="1"/>
  <c r="X14" i="28" s="1"/>
  <c r="W14" i="28" a="1"/>
  <c r="W14" i="28" s="1"/>
  <c r="V14" i="28"/>
  <c r="V14" i="28" a="1"/>
  <c r="Y13" i="28" a="1"/>
  <c r="Y13" i="28" s="1"/>
  <c r="X13" i="28" a="1"/>
  <c r="X13" i="28" s="1"/>
  <c r="W13" i="28" a="1"/>
  <c r="W13" i="28" s="1"/>
  <c r="V13" i="28"/>
  <c r="V13" i="28" a="1"/>
  <c r="Y12" i="28" a="1"/>
  <c r="Y12" i="28" s="1"/>
  <c r="X12" i="28" a="1"/>
  <c r="X12" i="28" s="1"/>
  <c r="W12" i="28" a="1"/>
  <c r="W12" i="28" s="1"/>
  <c r="V12" i="28"/>
  <c r="V12" i="28" a="1"/>
  <c r="Y11" i="28" a="1"/>
  <c r="Y11" i="28" s="1"/>
  <c r="X11" i="28" a="1"/>
  <c r="X11" i="28" s="1"/>
  <c r="W11" i="28" a="1"/>
  <c r="W11" i="28" s="1"/>
  <c r="V11" i="28"/>
  <c r="V11" i="28" a="1"/>
  <c r="U122" i="28" a="1"/>
  <c r="U122" i="28" s="1"/>
  <c r="U121" i="28" a="1"/>
  <c r="U121" i="28" s="1"/>
  <c r="U120" i="28" a="1"/>
  <c r="U120" i="28" s="1"/>
  <c r="U119" i="28" a="1"/>
  <c r="U119" i="28" s="1"/>
  <c r="U118" i="28" a="1"/>
  <c r="U118" i="28" s="1"/>
  <c r="U117" i="28" a="1"/>
  <c r="U117" i="28" s="1"/>
  <c r="U116" i="28" a="1"/>
  <c r="U116" i="28" s="1"/>
  <c r="U115" i="28" a="1"/>
  <c r="U115" i="28" s="1"/>
  <c r="U114" i="28" a="1"/>
  <c r="U114" i="28" s="1"/>
  <c r="U113" i="28" a="1"/>
  <c r="U113" i="28" s="1"/>
  <c r="U112" i="28" a="1"/>
  <c r="U112" i="28" s="1"/>
  <c r="U111" i="28" a="1"/>
  <c r="U111" i="28" s="1"/>
  <c r="U110" i="28" a="1"/>
  <c r="U110" i="28" s="1"/>
  <c r="U109" i="28" a="1"/>
  <c r="U109" i="28" s="1"/>
  <c r="U108" i="28" a="1"/>
  <c r="U108" i="28" s="1"/>
  <c r="U107" i="28" a="1"/>
  <c r="U107" i="28" s="1"/>
  <c r="U106" i="28" a="1"/>
  <c r="U106" i="28" s="1"/>
  <c r="U105" i="28" a="1"/>
  <c r="U105" i="28" s="1"/>
  <c r="U104" i="28" a="1"/>
  <c r="U104" i="28" s="1"/>
  <c r="U103" i="28" a="1"/>
  <c r="U103" i="28" s="1"/>
  <c r="U102" i="28" a="1"/>
  <c r="U102" i="28" s="1"/>
  <c r="U101" i="28" a="1"/>
  <c r="U101" i="28" s="1"/>
  <c r="U100" i="28" a="1"/>
  <c r="U100" i="28" s="1"/>
  <c r="U99" i="28" a="1"/>
  <c r="U99" i="28" s="1"/>
  <c r="U98" i="28" a="1"/>
  <c r="U98" i="28" s="1"/>
  <c r="U97" i="28" a="1"/>
  <c r="U97" i="28" s="1"/>
  <c r="U96" i="28" a="1"/>
  <c r="U96" i="28" s="1"/>
  <c r="U95" i="28" a="1"/>
  <c r="U95" i="28" s="1"/>
  <c r="U94" i="28" a="1"/>
  <c r="U94" i="28" s="1"/>
  <c r="U93" i="28" a="1"/>
  <c r="U93" i="28" s="1"/>
  <c r="U92" i="28" a="1"/>
  <c r="U92" i="28" s="1"/>
  <c r="U91" i="28" a="1"/>
  <c r="U91" i="28" s="1"/>
  <c r="U90" i="28" a="1"/>
  <c r="U90" i="28" s="1"/>
  <c r="U89" i="28" a="1"/>
  <c r="U89" i="28" s="1"/>
  <c r="U88" i="28" a="1"/>
  <c r="U88" i="28" s="1"/>
  <c r="U87" i="28" a="1"/>
  <c r="U87" i="28" s="1"/>
  <c r="U86" i="28" a="1"/>
  <c r="U86" i="28" s="1"/>
  <c r="U85" i="28" a="1"/>
  <c r="U85" i="28" s="1"/>
  <c r="U84" i="28" a="1"/>
  <c r="U84" i="28" s="1"/>
  <c r="U83" i="28" a="1"/>
  <c r="U83" i="28" s="1"/>
  <c r="U82" i="28" a="1"/>
  <c r="U82" i="28" s="1"/>
  <c r="U81" i="28" a="1"/>
  <c r="U81" i="28" s="1"/>
  <c r="U80" i="28" a="1"/>
  <c r="U80" i="28" s="1"/>
  <c r="U79" i="28" a="1"/>
  <c r="U79" i="28" s="1"/>
  <c r="U78" i="28" a="1"/>
  <c r="U78" i="28" s="1"/>
  <c r="U77" i="28" a="1"/>
  <c r="U77" i="28" s="1"/>
  <c r="U76" i="28" a="1"/>
  <c r="U76" i="28" s="1"/>
  <c r="U75" i="28" a="1"/>
  <c r="U75" i="28" s="1"/>
  <c r="U74" i="28" a="1"/>
  <c r="U74" i="28" s="1"/>
  <c r="U73" i="28" a="1"/>
  <c r="U73" i="28" s="1"/>
  <c r="U72" i="28" a="1"/>
  <c r="U72" i="28" s="1"/>
  <c r="U71" i="28" a="1"/>
  <c r="U71" i="28" s="1"/>
  <c r="U70" i="28" a="1"/>
  <c r="U70" i="28" s="1"/>
  <c r="U69" i="28" a="1"/>
  <c r="U69" i="28" s="1"/>
  <c r="U68" i="28" a="1"/>
  <c r="U68" i="28" s="1"/>
  <c r="U67" i="28" a="1"/>
  <c r="U67" i="28" s="1"/>
  <c r="U66" i="28" a="1"/>
  <c r="U66" i="28" s="1"/>
  <c r="U65" i="28" a="1"/>
  <c r="U65" i="28" s="1"/>
  <c r="U64" i="28" a="1"/>
  <c r="U64" i="28" s="1"/>
  <c r="U63" i="28" a="1"/>
  <c r="U63" i="28" s="1"/>
  <c r="U62" i="28" a="1"/>
  <c r="U62" i="28" s="1"/>
  <c r="U61" i="28" a="1"/>
  <c r="U61" i="28" s="1"/>
  <c r="U60" i="28" a="1"/>
  <c r="U60" i="28" s="1"/>
  <c r="U59" i="28" a="1"/>
  <c r="U59" i="28" s="1"/>
  <c r="U58" i="28" a="1"/>
  <c r="U58" i="28" s="1"/>
  <c r="U57" i="28" a="1"/>
  <c r="U57" i="28" s="1"/>
  <c r="U56" i="28" a="1"/>
  <c r="U56" i="28" s="1"/>
  <c r="U55" i="28" a="1"/>
  <c r="U55" i="28" s="1"/>
  <c r="U54" i="28" a="1"/>
  <c r="U54" i="28" s="1"/>
  <c r="U53" i="28" a="1"/>
  <c r="U53" i="28" s="1"/>
  <c r="U52" i="28" a="1"/>
  <c r="U52" i="28" s="1"/>
  <c r="U51" i="28" a="1"/>
  <c r="U51" i="28" s="1"/>
  <c r="U50" i="28" a="1"/>
  <c r="U50" i="28" s="1"/>
  <c r="U49" i="28" a="1"/>
  <c r="U49" i="28" s="1"/>
  <c r="U48" i="28" a="1"/>
  <c r="U48" i="28" s="1"/>
  <c r="U47" i="28" a="1"/>
  <c r="U47" i="28" s="1"/>
  <c r="U46" i="28" a="1"/>
  <c r="U46" i="28" s="1"/>
  <c r="U45" i="28" a="1"/>
  <c r="U45" i="28" s="1"/>
  <c r="U44" i="28" a="1"/>
  <c r="U44" i="28" s="1"/>
  <c r="U43" i="28" a="1"/>
  <c r="U43" i="28" s="1"/>
  <c r="U42" i="28" a="1"/>
  <c r="U42" i="28" s="1"/>
  <c r="U41" i="28" a="1"/>
  <c r="U41" i="28" s="1"/>
  <c r="U40" i="28" a="1"/>
  <c r="U40" i="28" s="1"/>
  <c r="U39" i="28" a="1"/>
  <c r="U39" i="28" s="1"/>
  <c r="U38" i="28" a="1"/>
  <c r="U38" i="28" s="1"/>
  <c r="U37" i="28" a="1"/>
  <c r="U37" i="28" s="1"/>
  <c r="U36" i="28" a="1"/>
  <c r="U36" i="28" s="1"/>
  <c r="U35" i="28" a="1"/>
  <c r="U35" i="28" s="1"/>
  <c r="U34" i="28" a="1"/>
  <c r="U34" i="28" s="1"/>
  <c r="U33" i="28" a="1"/>
  <c r="U33" i="28" s="1"/>
  <c r="U32" i="28" a="1"/>
  <c r="U32" i="28" s="1"/>
  <c r="U31" i="28" a="1"/>
  <c r="U31" i="28" s="1"/>
  <c r="U30" i="28" a="1"/>
  <c r="U30" i="28" s="1"/>
  <c r="U29" i="28" a="1"/>
  <c r="U29" i="28" s="1"/>
  <c r="U28" i="28" a="1"/>
  <c r="U28" i="28" s="1"/>
  <c r="U27" i="28" a="1"/>
  <c r="U27" i="28" s="1"/>
  <c r="U26" i="28" a="1"/>
  <c r="U26" i="28" s="1"/>
  <c r="U25" i="28" a="1"/>
  <c r="U25" i="28" s="1"/>
  <c r="U24" i="28" a="1"/>
  <c r="U24" i="28" s="1"/>
  <c r="U23" i="28" a="1"/>
  <c r="U23" i="28" s="1"/>
  <c r="U22" i="28" a="1"/>
  <c r="U22" i="28" s="1"/>
  <c r="U21" i="28" a="1"/>
  <c r="U21" i="28" s="1"/>
  <c r="U20" i="28" a="1"/>
  <c r="U20" i="28" s="1"/>
  <c r="U19" i="28" a="1"/>
  <c r="U19" i="28" s="1"/>
  <c r="U18" i="28" a="1"/>
  <c r="U18" i="28" s="1"/>
  <c r="U17" i="28" a="1"/>
  <c r="U17" i="28" s="1"/>
  <c r="U16" i="28" a="1"/>
  <c r="U16" i="28" s="1"/>
  <c r="U15" i="28" a="1"/>
  <c r="U15" i="28" s="1"/>
  <c r="U14" i="28" a="1"/>
  <c r="U14" i="28" s="1"/>
  <c r="U13" i="28" a="1"/>
  <c r="U13" i="28" s="1"/>
  <c r="U12" i="28" a="1"/>
  <c r="U12" i="28" s="1"/>
  <c r="U11" i="28" a="1"/>
  <c r="U11" i="28" s="1"/>
  <c r="M122" i="28" a="1"/>
  <c r="M122" i="28" s="1"/>
  <c r="L122" i="28" a="1"/>
  <c r="L122" i="28" s="1"/>
  <c r="K122" i="28" a="1"/>
  <c r="K122" i="28" s="1"/>
  <c r="J122" i="28" a="1"/>
  <c r="J122" i="28" s="1"/>
  <c r="M121" i="28" a="1"/>
  <c r="M121" i="28" s="1"/>
  <c r="L121" i="28" a="1"/>
  <c r="L121" i="28" s="1"/>
  <c r="K121" i="28" a="1"/>
  <c r="K121" i="28" s="1"/>
  <c r="J121" i="28" a="1"/>
  <c r="J121" i="28" s="1"/>
  <c r="M120" i="28" a="1"/>
  <c r="M120" i="28" s="1"/>
  <c r="L120" i="28" a="1"/>
  <c r="L120" i="28" s="1"/>
  <c r="K120" i="28" a="1"/>
  <c r="K120" i="28" s="1"/>
  <c r="J120" i="28"/>
  <c r="J120" i="28" a="1"/>
  <c r="M119" i="28" a="1"/>
  <c r="M119" i="28" s="1"/>
  <c r="L119" i="28" a="1"/>
  <c r="L119" i="28" s="1"/>
  <c r="K119" i="28" a="1"/>
  <c r="K119" i="28" s="1"/>
  <c r="J119" i="28" a="1"/>
  <c r="J119" i="28" s="1"/>
  <c r="M118" i="28" a="1"/>
  <c r="M118" i="28" s="1"/>
  <c r="L118" i="28" a="1"/>
  <c r="L118" i="28" s="1"/>
  <c r="K118" i="28" a="1"/>
  <c r="K118" i="28" s="1"/>
  <c r="J118" i="28" a="1"/>
  <c r="J118" i="28" s="1"/>
  <c r="M117" i="28" a="1"/>
  <c r="M117" i="28" s="1"/>
  <c r="L117" i="28" a="1"/>
  <c r="L117" i="28" s="1"/>
  <c r="K117" i="28" a="1"/>
  <c r="K117" i="28" s="1"/>
  <c r="J117" i="28" a="1"/>
  <c r="J117" i="28" s="1"/>
  <c r="M116" i="28" a="1"/>
  <c r="M116" i="28" s="1"/>
  <c r="L116" i="28" a="1"/>
  <c r="L116" i="28" s="1"/>
  <c r="K116" i="28" a="1"/>
  <c r="K116" i="28" s="1"/>
  <c r="J116" i="28" a="1"/>
  <c r="J116" i="28" s="1"/>
  <c r="M115" i="28" a="1"/>
  <c r="M115" i="28" s="1"/>
  <c r="L115" i="28" a="1"/>
  <c r="L115" i="28" s="1"/>
  <c r="K115" i="28" a="1"/>
  <c r="K115" i="28" s="1"/>
  <c r="J115" i="28" a="1"/>
  <c r="J115" i="28" s="1"/>
  <c r="M114" i="28" a="1"/>
  <c r="M114" i="28" s="1"/>
  <c r="L114" i="28" a="1"/>
  <c r="L114" i="28" s="1"/>
  <c r="K114" i="28" a="1"/>
  <c r="K114" i="28" s="1"/>
  <c r="J114" i="28" a="1"/>
  <c r="J114" i="28" s="1"/>
  <c r="M113" i="28" a="1"/>
  <c r="M113" i="28" s="1"/>
  <c r="L113" i="28" a="1"/>
  <c r="L113" i="28" s="1"/>
  <c r="K113" i="28" a="1"/>
  <c r="K113" i="28" s="1"/>
  <c r="J113" i="28" a="1"/>
  <c r="J113" i="28" s="1"/>
  <c r="M112" i="28" a="1"/>
  <c r="M112" i="28" s="1"/>
  <c r="L112" i="28" a="1"/>
  <c r="L112" i="28" s="1"/>
  <c r="K112" i="28" a="1"/>
  <c r="K112" i="28" s="1"/>
  <c r="J112" i="28"/>
  <c r="J112" i="28" a="1"/>
  <c r="M111" i="28" a="1"/>
  <c r="M111" i="28" s="1"/>
  <c r="L111" i="28" a="1"/>
  <c r="L111" i="28" s="1"/>
  <c r="K111" i="28" a="1"/>
  <c r="K111" i="28" s="1"/>
  <c r="J111" i="28" a="1"/>
  <c r="J111" i="28" s="1"/>
  <c r="M110" i="28" a="1"/>
  <c r="M110" i="28" s="1"/>
  <c r="L110" i="28" a="1"/>
  <c r="L110" i="28" s="1"/>
  <c r="K110" i="28" a="1"/>
  <c r="K110" i="28" s="1"/>
  <c r="J110" i="28" a="1"/>
  <c r="J110" i="28" s="1"/>
  <c r="M109" i="28" a="1"/>
  <c r="M109" i="28" s="1"/>
  <c r="L109" i="28" a="1"/>
  <c r="L109" i="28" s="1"/>
  <c r="K109" i="28" a="1"/>
  <c r="K109" i="28" s="1"/>
  <c r="J109" i="28" a="1"/>
  <c r="J109" i="28" s="1"/>
  <c r="M108" i="28" a="1"/>
  <c r="M108" i="28" s="1"/>
  <c r="L108" i="28" a="1"/>
  <c r="L108" i="28" s="1"/>
  <c r="K108" i="28" a="1"/>
  <c r="K108" i="28" s="1"/>
  <c r="J108" i="28" a="1"/>
  <c r="J108" i="28" s="1"/>
  <c r="M107" i="28" a="1"/>
  <c r="M107" i="28" s="1"/>
  <c r="L107" i="28" a="1"/>
  <c r="L107" i="28" s="1"/>
  <c r="K107" i="28" a="1"/>
  <c r="K107" i="28" s="1"/>
  <c r="J107" i="28" a="1"/>
  <c r="J107" i="28" s="1"/>
  <c r="M106" i="28" a="1"/>
  <c r="M106" i="28" s="1"/>
  <c r="L106" i="28" a="1"/>
  <c r="L106" i="28" s="1"/>
  <c r="K106" i="28" a="1"/>
  <c r="K106" i="28" s="1"/>
  <c r="J106" i="28" a="1"/>
  <c r="J106" i="28" s="1"/>
  <c r="M105" i="28" a="1"/>
  <c r="M105" i="28" s="1"/>
  <c r="L105" i="28" a="1"/>
  <c r="L105" i="28" s="1"/>
  <c r="K105" i="28" a="1"/>
  <c r="K105" i="28" s="1"/>
  <c r="J105" i="28"/>
  <c r="J105" i="28" a="1"/>
  <c r="M104" i="28" a="1"/>
  <c r="M104" i="28" s="1"/>
  <c r="L104" i="28" a="1"/>
  <c r="L104" i="28" s="1"/>
  <c r="K104" i="28" a="1"/>
  <c r="K104" i="28" s="1"/>
  <c r="J104" i="28" a="1"/>
  <c r="J104" i="28" s="1"/>
  <c r="M103" i="28" a="1"/>
  <c r="M103" i="28" s="1"/>
  <c r="L103" i="28" a="1"/>
  <c r="L103" i="28" s="1"/>
  <c r="K103" i="28" a="1"/>
  <c r="K103" i="28" s="1"/>
  <c r="J103" i="28" a="1"/>
  <c r="J103" i="28" s="1"/>
  <c r="M102" i="28" a="1"/>
  <c r="M102" i="28" s="1"/>
  <c r="L102" i="28" a="1"/>
  <c r="L102" i="28" s="1"/>
  <c r="K102" i="28" a="1"/>
  <c r="K102" i="28" s="1"/>
  <c r="J102" i="28" a="1"/>
  <c r="J102" i="28" s="1"/>
  <c r="M101" i="28" a="1"/>
  <c r="M101" i="28" s="1"/>
  <c r="L101" i="28" a="1"/>
  <c r="L101" i="28" s="1"/>
  <c r="K101" i="28" a="1"/>
  <c r="K101" i="28" s="1"/>
  <c r="J101" i="28" a="1"/>
  <c r="J101" i="28" s="1"/>
  <c r="M100" i="28" a="1"/>
  <c r="M100" i="28" s="1"/>
  <c r="L100" i="28" a="1"/>
  <c r="L100" i="28" s="1"/>
  <c r="K100" i="28" a="1"/>
  <c r="K100" i="28" s="1"/>
  <c r="J100" i="28" a="1"/>
  <c r="J100" i="28" s="1"/>
  <c r="M99" i="28" a="1"/>
  <c r="M99" i="28" s="1"/>
  <c r="L99" i="28" a="1"/>
  <c r="L99" i="28" s="1"/>
  <c r="K99" i="28" a="1"/>
  <c r="K99" i="28" s="1"/>
  <c r="J99" i="28" a="1"/>
  <c r="J99" i="28" s="1"/>
  <c r="M98" i="28" a="1"/>
  <c r="M98" i="28" s="1"/>
  <c r="L98" i="28" a="1"/>
  <c r="L98" i="28" s="1"/>
  <c r="K98" i="28" a="1"/>
  <c r="K98" i="28" s="1"/>
  <c r="J98" i="28" a="1"/>
  <c r="J98" i="28" s="1"/>
  <c r="M97" i="28" a="1"/>
  <c r="M97" i="28" s="1"/>
  <c r="L97" i="28" a="1"/>
  <c r="L97" i="28" s="1"/>
  <c r="K97" i="28" a="1"/>
  <c r="K97" i="28" s="1"/>
  <c r="J97" i="28" a="1"/>
  <c r="J97" i="28" s="1"/>
  <c r="M96" i="28" a="1"/>
  <c r="M96" i="28" s="1"/>
  <c r="L96" i="28" a="1"/>
  <c r="L96" i="28" s="1"/>
  <c r="K96" i="28" a="1"/>
  <c r="K96" i="28" s="1"/>
  <c r="J96" i="28"/>
  <c r="J96" i="28" a="1"/>
  <c r="M95" i="28" a="1"/>
  <c r="M95" i="28" s="1"/>
  <c r="L95" i="28" a="1"/>
  <c r="L95" i="28" s="1"/>
  <c r="K95" i="28" a="1"/>
  <c r="K95" i="28" s="1"/>
  <c r="J95" i="28" a="1"/>
  <c r="J95" i="28" s="1"/>
  <c r="M94" i="28" a="1"/>
  <c r="M94" i="28" s="1"/>
  <c r="L94" i="28" a="1"/>
  <c r="L94" i="28" s="1"/>
  <c r="K94" i="28" a="1"/>
  <c r="K94" i="28" s="1"/>
  <c r="J94" i="28" a="1"/>
  <c r="J94" i="28" s="1"/>
  <c r="M93" i="28" a="1"/>
  <c r="M93" i="28" s="1"/>
  <c r="L93" i="28" a="1"/>
  <c r="L93" i="28" s="1"/>
  <c r="K93" i="28" a="1"/>
  <c r="K93" i="28" s="1"/>
  <c r="J93" i="28" a="1"/>
  <c r="J93" i="28" s="1"/>
  <c r="M92" i="28" a="1"/>
  <c r="M92" i="28" s="1"/>
  <c r="L92" i="28" a="1"/>
  <c r="L92" i="28" s="1"/>
  <c r="K92" i="28" a="1"/>
  <c r="K92" i="28" s="1"/>
  <c r="J92" i="28" a="1"/>
  <c r="J92" i="28" s="1"/>
  <c r="M91" i="28" a="1"/>
  <c r="M91" i="28" s="1"/>
  <c r="L91" i="28" a="1"/>
  <c r="L91" i="28" s="1"/>
  <c r="K91" i="28" a="1"/>
  <c r="K91" i="28" s="1"/>
  <c r="J91" i="28" a="1"/>
  <c r="J91" i="28" s="1"/>
  <c r="M90" i="28" a="1"/>
  <c r="M90" i="28" s="1"/>
  <c r="L90" i="28" a="1"/>
  <c r="L90" i="28" s="1"/>
  <c r="K90" i="28" a="1"/>
  <c r="K90" i="28" s="1"/>
  <c r="J90" i="28" a="1"/>
  <c r="J90" i="28" s="1"/>
  <c r="M89" i="28" a="1"/>
  <c r="M89" i="28" s="1"/>
  <c r="L89" i="28" a="1"/>
  <c r="L89" i="28" s="1"/>
  <c r="K89" i="28" a="1"/>
  <c r="K89" i="28" s="1"/>
  <c r="J89" i="28" a="1"/>
  <c r="J89" i="28" s="1"/>
  <c r="M88" i="28" a="1"/>
  <c r="M88" i="28" s="1"/>
  <c r="L88" i="28" a="1"/>
  <c r="L88" i="28" s="1"/>
  <c r="K88" i="28" a="1"/>
  <c r="K88" i="28" s="1"/>
  <c r="J88" i="28" a="1"/>
  <c r="J88" i="28" s="1"/>
  <c r="M87" i="28" a="1"/>
  <c r="M87" i="28" s="1"/>
  <c r="L87" i="28"/>
  <c r="L87" i="28" a="1"/>
  <c r="K87" i="28" a="1"/>
  <c r="K87" i="28" s="1"/>
  <c r="J87" i="28" a="1"/>
  <c r="J87" i="28" s="1"/>
  <c r="M86" i="28" a="1"/>
  <c r="M86" i="28" s="1"/>
  <c r="L86" i="28" a="1"/>
  <c r="L86" i="28" s="1"/>
  <c r="K86" i="28" a="1"/>
  <c r="K86" i="28" s="1"/>
  <c r="J86" i="28" a="1"/>
  <c r="J86" i="28" s="1"/>
  <c r="M85" i="28" a="1"/>
  <c r="M85" i="28" s="1"/>
  <c r="L85" i="28" a="1"/>
  <c r="L85" i="28" s="1"/>
  <c r="K85" i="28" a="1"/>
  <c r="K85" i="28" s="1"/>
  <c r="J85" i="28"/>
  <c r="J85" i="28" a="1"/>
  <c r="M84" i="28"/>
  <c r="M84" i="28" a="1"/>
  <c r="L84" i="28" a="1"/>
  <c r="L84" i="28" s="1"/>
  <c r="K84" i="28" a="1"/>
  <c r="K84" i="28" s="1"/>
  <c r="J84" i="28"/>
  <c r="J84" i="28" a="1"/>
  <c r="M83" i="28" a="1"/>
  <c r="M83" i="28" s="1"/>
  <c r="L83" i="28" a="1"/>
  <c r="L83" i="28" s="1"/>
  <c r="K83" i="28" a="1"/>
  <c r="K83" i="28" s="1"/>
  <c r="J83" i="28" a="1"/>
  <c r="J83" i="28" s="1"/>
  <c r="M82" i="28" a="1"/>
  <c r="M82" i="28" s="1"/>
  <c r="L82" i="28"/>
  <c r="L82" i="28" a="1"/>
  <c r="K82" i="28" a="1"/>
  <c r="K82" i="28" s="1"/>
  <c r="J82" i="28" a="1"/>
  <c r="J82" i="28" s="1"/>
  <c r="M81" i="28"/>
  <c r="M81" i="28" a="1"/>
  <c r="L81" i="28" a="1"/>
  <c r="L81" i="28" s="1"/>
  <c r="K81" i="28" a="1"/>
  <c r="K81" i="28" s="1"/>
  <c r="J81" i="28" a="1"/>
  <c r="J81" i="28" s="1"/>
  <c r="M80" i="28" a="1"/>
  <c r="M80" i="28" s="1"/>
  <c r="L80" i="28" a="1"/>
  <c r="L80" i="28" s="1"/>
  <c r="K80" i="28" a="1"/>
  <c r="K80" i="28" s="1"/>
  <c r="J80" i="28" a="1"/>
  <c r="J80" i="28" s="1"/>
  <c r="M79" i="28" a="1"/>
  <c r="M79" i="28" s="1"/>
  <c r="L79" i="28" a="1"/>
  <c r="L79" i="28" s="1"/>
  <c r="K79" i="28" a="1"/>
  <c r="K79" i="28" s="1"/>
  <c r="J79" i="28" a="1"/>
  <c r="J79" i="28" s="1"/>
  <c r="M78" i="28" a="1"/>
  <c r="M78" i="28" s="1"/>
  <c r="L78" i="28" a="1"/>
  <c r="L78" i="28" s="1"/>
  <c r="K78" i="28" a="1"/>
  <c r="K78" i="28" s="1"/>
  <c r="J78" i="28" a="1"/>
  <c r="J78" i="28" s="1"/>
  <c r="M77" i="28" a="1"/>
  <c r="M77" i="28" s="1"/>
  <c r="L77" i="28" a="1"/>
  <c r="L77" i="28" s="1"/>
  <c r="K77" i="28" a="1"/>
  <c r="K77" i="28" s="1"/>
  <c r="J77" i="28" a="1"/>
  <c r="J77" i="28" s="1"/>
  <c r="M76" i="28" a="1"/>
  <c r="M76" i="28" s="1"/>
  <c r="L76" i="28" a="1"/>
  <c r="L76" i="28" s="1"/>
  <c r="K76" i="28" a="1"/>
  <c r="K76" i="28" s="1"/>
  <c r="J76" i="28" a="1"/>
  <c r="J76" i="28" s="1"/>
  <c r="M75" i="28" a="1"/>
  <c r="M75" i="28" s="1"/>
  <c r="L75" i="28" a="1"/>
  <c r="L75" i="28" s="1"/>
  <c r="K75" i="28" a="1"/>
  <c r="K75" i="28" s="1"/>
  <c r="J75" i="28" a="1"/>
  <c r="J75" i="28" s="1"/>
  <c r="M74" i="28" a="1"/>
  <c r="M74" i="28" s="1"/>
  <c r="L74" i="28" a="1"/>
  <c r="L74" i="28" s="1"/>
  <c r="K74" i="28" a="1"/>
  <c r="K74" i="28" s="1"/>
  <c r="J74" i="28" a="1"/>
  <c r="J74" i="28" s="1"/>
  <c r="M73" i="28" a="1"/>
  <c r="M73" i="28" s="1"/>
  <c r="L73" i="28" a="1"/>
  <c r="L73" i="28" s="1"/>
  <c r="K73" i="28" a="1"/>
  <c r="K73" i="28" s="1"/>
  <c r="J73" i="28" a="1"/>
  <c r="J73" i="28" s="1"/>
  <c r="M72" i="28" a="1"/>
  <c r="M72" i="28" s="1"/>
  <c r="L72" i="28" a="1"/>
  <c r="L72" i="28" s="1"/>
  <c r="K72" i="28" a="1"/>
  <c r="K72" i="28" s="1"/>
  <c r="J72" i="28" a="1"/>
  <c r="J72" i="28" s="1"/>
  <c r="M71" i="28" a="1"/>
  <c r="M71" i="28" s="1"/>
  <c r="L71" i="28"/>
  <c r="L71" i="28" a="1"/>
  <c r="K71" i="28" a="1"/>
  <c r="K71" i="28" s="1"/>
  <c r="J71" i="28" a="1"/>
  <c r="J71" i="28" s="1"/>
  <c r="M70" i="28" a="1"/>
  <c r="M70" i="28" s="1"/>
  <c r="L70" i="28" a="1"/>
  <c r="L70" i="28" s="1"/>
  <c r="K70" i="28" a="1"/>
  <c r="K70" i="28" s="1"/>
  <c r="J70" i="28" a="1"/>
  <c r="J70" i="28" s="1"/>
  <c r="M69" i="28" a="1"/>
  <c r="M69" i="28" s="1"/>
  <c r="L69" i="28" a="1"/>
  <c r="L69" i="28" s="1"/>
  <c r="K69" i="28" a="1"/>
  <c r="K69" i="28" s="1"/>
  <c r="J69" i="28" a="1"/>
  <c r="J69" i="28" s="1"/>
  <c r="M68" i="28" a="1"/>
  <c r="M68" i="28" s="1"/>
  <c r="L68" i="28" a="1"/>
  <c r="L68" i="28" s="1"/>
  <c r="K68" i="28" a="1"/>
  <c r="K68" i="28" s="1"/>
  <c r="J68" i="28" a="1"/>
  <c r="J68" i="28" s="1"/>
  <c r="M67" i="28" a="1"/>
  <c r="M67" i="28" s="1"/>
  <c r="L67" i="28" a="1"/>
  <c r="L67" i="28" s="1"/>
  <c r="K67" i="28" a="1"/>
  <c r="K67" i="28" s="1"/>
  <c r="J67" i="28" a="1"/>
  <c r="J67" i="28" s="1"/>
  <c r="M66" i="28" a="1"/>
  <c r="M66" i="28" s="1"/>
  <c r="L66" i="28" a="1"/>
  <c r="L66" i="28" s="1"/>
  <c r="K66" i="28" a="1"/>
  <c r="K66" i="28" s="1"/>
  <c r="J66" i="28" a="1"/>
  <c r="J66" i="28" s="1"/>
  <c r="M65" i="28" a="1"/>
  <c r="M65" i="28" s="1"/>
  <c r="L65" i="28" a="1"/>
  <c r="L65" i="28" s="1"/>
  <c r="K65" i="28" a="1"/>
  <c r="K65" i="28" s="1"/>
  <c r="J65" i="28" a="1"/>
  <c r="J65" i="28" s="1"/>
  <c r="M64" i="28" a="1"/>
  <c r="M64" i="28" s="1"/>
  <c r="L64" i="28" a="1"/>
  <c r="L64" i="28" s="1"/>
  <c r="K64" i="28" a="1"/>
  <c r="K64" i="28" s="1"/>
  <c r="J64" i="28" a="1"/>
  <c r="J64" i="28" s="1"/>
  <c r="M63" i="28" a="1"/>
  <c r="M63" i="28" s="1"/>
  <c r="L63" i="28" a="1"/>
  <c r="L63" i="28" s="1"/>
  <c r="K63" i="28" a="1"/>
  <c r="K63" i="28" s="1"/>
  <c r="J63" i="28" a="1"/>
  <c r="J63" i="28" s="1"/>
  <c r="M62" i="28" a="1"/>
  <c r="M62" i="28" s="1"/>
  <c r="L62" i="28" a="1"/>
  <c r="L62" i="28" s="1"/>
  <c r="K62" i="28" a="1"/>
  <c r="K62" i="28" s="1"/>
  <c r="J62" i="28" a="1"/>
  <c r="J62" i="28" s="1"/>
  <c r="M61" i="28" a="1"/>
  <c r="M61" i="28" s="1"/>
  <c r="L61" i="28" a="1"/>
  <c r="L61" i="28" s="1"/>
  <c r="K61" i="28" a="1"/>
  <c r="K61" i="28" s="1"/>
  <c r="J61" i="28"/>
  <c r="J61" i="28" a="1"/>
  <c r="M60" i="28"/>
  <c r="M60" i="28" a="1"/>
  <c r="L60" i="28" a="1"/>
  <c r="L60" i="28" s="1"/>
  <c r="K60" i="28" a="1"/>
  <c r="K60" i="28" s="1"/>
  <c r="J60" i="28"/>
  <c r="J60" i="28" a="1"/>
  <c r="M59" i="28" a="1"/>
  <c r="M59" i="28" s="1"/>
  <c r="L59" i="28" a="1"/>
  <c r="L59" i="28" s="1"/>
  <c r="K59" i="28" a="1"/>
  <c r="K59" i="28" s="1"/>
  <c r="J59" i="28" a="1"/>
  <c r="J59" i="28" s="1"/>
  <c r="M58" i="28" a="1"/>
  <c r="M58" i="28" s="1"/>
  <c r="L58" i="28" a="1"/>
  <c r="L58" i="28" s="1"/>
  <c r="K58" i="28" a="1"/>
  <c r="K58" i="28" s="1"/>
  <c r="J58" i="28" a="1"/>
  <c r="J58" i="28" s="1"/>
  <c r="M57" i="28"/>
  <c r="M57" i="28" a="1"/>
  <c r="L57" i="28" a="1"/>
  <c r="L57" i="28" s="1"/>
  <c r="K57" i="28" a="1"/>
  <c r="K57" i="28" s="1"/>
  <c r="J57" i="28" a="1"/>
  <c r="J57" i="28" s="1"/>
  <c r="M56" i="28" a="1"/>
  <c r="M56" i="28" s="1"/>
  <c r="L56" i="28" a="1"/>
  <c r="L56" i="28" s="1"/>
  <c r="K56" i="28" a="1"/>
  <c r="K56" i="28" s="1"/>
  <c r="J56" i="28" a="1"/>
  <c r="J56" i="28" s="1"/>
  <c r="M55" i="28" a="1"/>
  <c r="M55" i="28" s="1"/>
  <c r="L55" i="28" a="1"/>
  <c r="L55" i="28" s="1"/>
  <c r="K55" i="28" a="1"/>
  <c r="K55" i="28" s="1"/>
  <c r="J55" i="28" a="1"/>
  <c r="J55" i="28" s="1"/>
  <c r="M54" i="28" a="1"/>
  <c r="M54" i="28" s="1"/>
  <c r="L54" i="28" a="1"/>
  <c r="L54" i="28" s="1"/>
  <c r="K54" i="28" a="1"/>
  <c r="K54" i="28" s="1"/>
  <c r="J54" i="28" a="1"/>
  <c r="J54" i="28" s="1"/>
  <c r="M53" i="28" a="1"/>
  <c r="M53" i="28" s="1"/>
  <c r="L53" i="28" a="1"/>
  <c r="L53" i="28" s="1"/>
  <c r="K53" i="28" a="1"/>
  <c r="K53" i="28" s="1"/>
  <c r="J53" i="28" a="1"/>
  <c r="J53" i="28" s="1"/>
  <c r="M52" i="28" a="1"/>
  <c r="M52" i="28" s="1"/>
  <c r="L52" i="28" a="1"/>
  <c r="L52" i="28" s="1"/>
  <c r="K52" i="28" a="1"/>
  <c r="K52" i="28" s="1"/>
  <c r="J52" i="28" a="1"/>
  <c r="J52" i="28" s="1"/>
  <c r="M51" i="28" a="1"/>
  <c r="M51" i="28" s="1"/>
  <c r="L51" i="28" a="1"/>
  <c r="L51" i="28" s="1"/>
  <c r="K51" i="28" a="1"/>
  <c r="K51" i="28" s="1"/>
  <c r="J51" i="28" a="1"/>
  <c r="J51" i="28" s="1"/>
  <c r="M50" i="28" a="1"/>
  <c r="M50" i="28" s="1"/>
  <c r="L50" i="28" a="1"/>
  <c r="L50" i="28" s="1"/>
  <c r="K50" i="28" a="1"/>
  <c r="K50" i="28" s="1"/>
  <c r="J50" i="28" a="1"/>
  <c r="J50" i="28" s="1"/>
  <c r="M49" i="28"/>
  <c r="M49" i="28" a="1"/>
  <c r="L49" i="28" a="1"/>
  <c r="L49" i="28" s="1"/>
  <c r="K49" i="28" a="1"/>
  <c r="K49" i="28" s="1"/>
  <c r="J49" i="28" a="1"/>
  <c r="J49" i="28" s="1"/>
  <c r="M48" i="28" a="1"/>
  <c r="M48" i="28" s="1"/>
  <c r="L48" i="28" a="1"/>
  <c r="L48" i="28" s="1"/>
  <c r="K48" i="28" a="1"/>
  <c r="K48" i="28" s="1"/>
  <c r="J48" i="28" a="1"/>
  <c r="J48" i="28" s="1"/>
  <c r="M47" i="28" a="1"/>
  <c r="M47" i="28" s="1"/>
  <c r="L47" i="28" a="1"/>
  <c r="L47" i="28" s="1"/>
  <c r="K47" i="28" a="1"/>
  <c r="K47" i="28" s="1"/>
  <c r="J47" i="28" a="1"/>
  <c r="J47" i="28" s="1"/>
  <c r="M46" i="28" a="1"/>
  <c r="M46" i="28" s="1"/>
  <c r="L46" i="28" a="1"/>
  <c r="L46" i="28" s="1"/>
  <c r="K46" i="28" a="1"/>
  <c r="K46" i="28" s="1"/>
  <c r="J46" i="28" a="1"/>
  <c r="J46" i="28" s="1"/>
  <c r="M45" i="28" a="1"/>
  <c r="M45" i="28" s="1"/>
  <c r="L45" i="28" a="1"/>
  <c r="L45" i="28" s="1"/>
  <c r="K45" i="28" a="1"/>
  <c r="K45" i="28" s="1"/>
  <c r="J45" i="28" a="1"/>
  <c r="J45" i="28" s="1"/>
  <c r="M44" i="28" a="1"/>
  <c r="M44" i="28" s="1"/>
  <c r="L44" i="28" a="1"/>
  <c r="L44" i="28" s="1"/>
  <c r="K44" i="28" a="1"/>
  <c r="K44" i="28" s="1"/>
  <c r="J44" i="28" a="1"/>
  <c r="J44" i="28" s="1"/>
  <c r="M43" i="28" a="1"/>
  <c r="M43" i="28" s="1"/>
  <c r="L43" i="28" a="1"/>
  <c r="L43" i="28" s="1"/>
  <c r="K43" i="28" a="1"/>
  <c r="K43" i="28" s="1"/>
  <c r="J43" i="28" a="1"/>
  <c r="J43" i="28" s="1"/>
  <c r="M42" i="28" a="1"/>
  <c r="M42" i="28" s="1"/>
  <c r="L42" i="28" a="1"/>
  <c r="L42" i="28" s="1"/>
  <c r="K42" i="28" a="1"/>
  <c r="K42" i="28" s="1"/>
  <c r="J42" i="28" a="1"/>
  <c r="J42" i="28" s="1"/>
  <c r="M41" i="28" a="1"/>
  <c r="M41" i="28" s="1"/>
  <c r="L41" i="28" a="1"/>
  <c r="L41" i="28" s="1"/>
  <c r="K41" i="28" a="1"/>
  <c r="K41" i="28" s="1"/>
  <c r="J41" i="28" a="1"/>
  <c r="J41" i="28" s="1"/>
  <c r="M40" i="28" a="1"/>
  <c r="M40" i="28" s="1"/>
  <c r="L40" i="28" a="1"/>
  <c r="L40" i="28" s="1"/>
  <c r="K40" i="28" a="1"/>
  <c r="K40" i="28" s="1"/>
  <c r="J40" i="28" a="1"/>
  <c r="J40" i="28" s="1"/>
  <c r="M39" i="28" a="1"/>
  <c r="M39" i="28" s="1"/>
  <c r="L39" i="28"/>
  <c r="L39" i="28" a="1"/>
  <c r="K39" i="28" a="1"/>
  <c r="K39" i="28" s="1"/>
  <c r="J39" i="28" a="1"/>
  <c r="J39" i="28" s="1"/>
  <c r="M38" i="28" a="1"/>
  <c r="M38" i="28" s="1"/>
  <c r="L38" i="28" a="1"/>
  <c r="L38" i="28" s="1"/>
  <c r="K38" i="28" a="1"/>
  <c r="K38" i="28" s="1"/>
  <c r="J38" i="28" a="1"/>
  <c r="J38" i="28" s="1"/>
  <c r="M37" i="28" a="1"/>
  <c r="M37" i="28" s="1"/>
  <c r="L37" i="28" a="1"/>
  <c r="L37" i="28" s="1"/>
  <c r="K37" i="28" a="1"/>
  <c r="K37" i="28" s="1"/>
  <c r="J37" i="28" a="1"/>
  <c r="J37" i="28" s="1"/>
  <c r="M36" i="28" a="1"/>
  <c r="M36" i="28" s="1"/>
  <c r="L36" i="28" a="1"/>
  <c r="L36" i="28" s="1"/>
  <c r="K36" i="28"/>
  <c r="K36" i="28" a="1"/>
  <c r="J36" i="28" a="1"/>
  <c r="J36" i="28" s="1"/>
  <c r="M35" i="28" a="1"/>
  <c r="M35" i="28" s="1"/>
  <c r="L35" i="28" a="1"/>
  <c r="L35" i="28" s="1"/>
  <c r="K35" i="28" a="1"/>
  <c r="K35" i="28" s="1"/>
  <c r="J35" i="28" a="1"/>
  <c r="J35" i="28" s="1"/>
  <c r="M34" i="28" a="1"/>
  <c r="M34" i="28" s="1"/>
  <c r="L34" i="28" a="1"/>
  <c r="L34" i="28" s="1"/>
  <c r="K34" i="28" a="1"/>
  <c r="K34" i="28" s="1"/>
  <c r="J34" i="28" a="1"/>
  <c r="J34" i="28" s="1"/>
  <c r="M33" i="28" a="1"/>
  <c r="M33" i="28" s="1"/>
  <c r="L33" i="28" a="1"/>
  <c r="L33" i="28" s="1"/>
  <c r="K33" i="28" a="1"/>
  <c r="K33" i="28" s="1"/>
  <c r="J33" i="28" a="1"/>
  <c r="J33" i="28" s="1"/>
  <c r="M32" i="28" a="1"/>
  <c r="M32" i="28" s="1"/>
  <c r="L32" i="28" a="1"/>
  <c r="L32" i="28" s="1"/>
  <c r="K32" i="28" a="1"/>
  <c r="K32" i="28" s="1"/>
  <c r="J32" i="28" a="1"/>
  <c r="J32" i="28" s="1"/>
  <c r="M31" i="28" a="1"/>
  <c r="M31" i="28" s="1"/>
  <c r="L31" i="28" a="1"/>
  <c r="L31" i="28" s="1"/>
  <c r="K31" i="28"/>
  <c r="K31" i="28" a="1"/>
  <c r="J31" i="28" a="1"/>
  <c r="J31" i="28" s="1"/>
  <c r="M30" i="28" a="1"/>
  <c r="M30" i="28" s="1"/>
  <c r="L30" i="28" a="1"/>
  <c r="L30" i="28" s="1"/>
  <c r="K30" i="28" a="1"/>
  <c r="K30" i="28" s="1"/>
  <c r="J30" i="28" a="1"/>
  <c r="J30" i="28" s="1"/>
  <c r="M29" i="28" a="1"/>
  <c r="M29" i="28" s="1"/>
  <c r="L29" i="28" a="1"/>
  <c r="L29" i="28" s="1"/>
  <c r="K29" i="28" a="1"/>
  <c r="K29" i="28" s="1"/>
  <c r="J29" i="28" a="1"/>
  <c r="J29" i="28" s="1"/>
  <c r="M28" i="28" a="1"/>
  <c r="M28" i="28" s="1"/>
  <c r="L28" i="28" a="1"/>
  <c r="L28" i="28" s="1"/>
  <c r="K28" i="28"/>
  <c r="K28" i="28" a="1"/>
  <c r="J28" i="28" a="1"/>
  <c r="J28" i="28" s="1"/>
  <c r="M27" i="28" a="1"/>
  <c r="M27" i="28" s="1"/>
  <c r="L27" i="28" a="1"/>
  <c r="L27" i="28" s="1"/>
  <c r="K27" i="28" a="1"/>
  <c r="K27" i="28" s="1"/>
  <c r="J27" i="28" a="1"/>
  <c r="J27" i="28" s="1"/>
  <c r="M26" i="28" a="1"/>
  <c r="M26" i="28" s="1"/>
  <c r="L26" i="28" a="1"/>
  <c r="L26" i="28" s="1"/>
  <c r="K26" i="28" a="1"/>
  <c r="K26" i="28" s="1"/>
  <c r="J26" i="28" a="1"/>
  <c r="J26" i="28" s="1"/>
  <c r="M25" i="28" a="1"/>
  <c r="M25" i="28" s="1"/>
  <c r="L25" i="28" a="1"/>
  <c r="L25" i="28" s="1"/>
  <c r="K25" i="28" a="1"/>
  <c r="K25" i="28" s="1"/>
  <c r="J25" i="28" a="1"/>
  <c r="J25" i="28" s="1"/>
  <c r="M24" i="28" a="1"/>
  <c r="M24" i="28" s="1"/>
  <c r="L24" i="28" a="1"/>
  <c r="L24" i="28" s="1"/>
  <c r="K24" i="28" a="1"/>
  <c r="K24" i="28" s="1"/>
  <c r="J24" i="28" a="1"/>
  <c r="J24" i="28" s="1"/>
  <c r="M23" i="28" a="1"/>
  <c r="M23" i="28" s="1"/>
  <c r="L23" i="28" a="1"/>
  <c r="L23" i="28" s="1"/>
  <c r="K23" i="28"/>
  <c r="K23" i="28" a="1"/>
  <c r="J23" i="28" a="1"/>
  <c r="J23" i="28" s="1"/>
  <c r="M22" i="28" a="1"/>
  <c r="M22" i="28" s="1"/>
  <c r="L22" i="28" a="1"/>
  <c r="L22" i="28" s="1"/>
  <c r="K22" i="28" a="1"/>
  <c r="K22" i="28" s="1"/>
  <c r="J22" i="28" a="1"/>
  <c r="J22" i="28" s="1"/>
  <c r="M21" i="28" a="1"/>
  <c r="M21" i="28" s="1"/>
  <c r="L21" i="28" a="1"/>
  <c r="L21" i="28" s="1"/>
  <c r="K21" i="28" a="1"/>
  <c r="K21" i="28" s="1"/>
  <c r="J21" i="28" a="1"/>
  <c r="J21" i="28" s="1"/>
  <c r="M20" i="28" a="1"/>
  <c r="M20" i="28" s="1"/>
  <c r="L20" i="28" a="1"/>
  <c r="L20" i="28" s="1"/>
  <c r="K20" i="28"/>
  <c r="K20" i="28" a="1"/>
  <c r="J20" i="28" a="1"/>
  <c r="J20" i="28" s="1"/>
  <c r="M19" i="28" a="1"/>
  <c r="M19" i="28" s="1"/>
  <c r="L19" i="28" a="1"/>
  <c r="L19" i="28" s="1"/>
  <c r="K19" i="28" a="1"/>
  <c r="K19" i="28" s="1"/>
  <c r="J19" i="28" a="1"/>
  <c r="J19" i="28" s="1"/>
  <c r="M18" i="28" a="1"/>
  <c r="M18" i="28" s="1"/>
  <c r="L18" i="28" a="1"/>
  <c r="L18" i="28" s="1"/>
  <c r="K18" i="28" a="1"/>
  <c r="K18" i="28" s="1"/>
  <c r="J18" i="28" a="1"/>
  <c r="J18" i="28" s="1"/>
  <c r="M17" i="28" a="1"/>
  <c r="M17" i="28" s="1"/>
  <c r="L17" i="28" a="1"/>
  <c r="L17" i="28" s="1"/>
  <c r="K17" i="28" a="1"/>
  <c r="K17" i="28" s="1"/>
  <c r="J17" i="28" a="1"/>
  <c r="J17" i="28" s="1"/>
  <c r="M16" i="28" a="1"/>
  <c r="M16" i="28" s="1"/>
  <c r="L16" i="28" a="1"/>
  <c r="L16" i="28" s="1"/>
  <c r="K16" i="28" a="1"/>
  <c r="K16" i="28" s="1"/>
  <c r="J16" i="28" a="1"/>
  <c r="J16" i="28" s="1"/>
  <c r="M15" i="28" a="1"/>
  <c r="M15" i="28" s="1"/>
  <c r="L15" i="28" a="1"/>
  <c r="L15" i="28" s="1"/>
  <c r="K15" i="28" a="1"/>
  <c r="K15" i="28" s="1"/>
  <c r="J15" i="28" a="1"/>
  <c r="J15" i="28" s="1"/>
  <c r="M14" i="28" a="1"/>
  <c r="M14" i="28" s="1"/>
  <c r="L14" i="28" a="1"/>
  <c r="L14" i="28" s="1"/>
  <c r="K14" i="28" a="1"/>
  <c r="K14" i="28" s="1"/>
  <c r="J14" i="28" a="1"/>
  <c r="J14" i="28" s="1"/>
  <c r="M13" i="28" a="1"/>
  <c r="M13" i="28" s="1"/>
  <c r="L13" i="28" a="1"/>
  <c r="L13" i="28" s="1"/>
  <c r="K13" i="28" a="1"/>
  <c r="K13" i="28" s="1"/>
  <c r="J13" i="28" a="1"/>
  <c r="J13" i="28" s="1"/>
  <c r="M12" i="28" a="1"/>
  <c r="M12" i="28" s="1"/>
  <c r="L12" i="28" a="1"/>
  <c r="L12" i="28" s="1"/>
  <c r="K12" i="28"/>
  <c r="K12" i="28" a="1"/>
  <c r="J12" i="28" a="1"/>
  <c r="J12" i="28" s="1"/>
  <c r="M11" i="28" a="1"/>
  <c r="M11" i="28" s="1"/>
  <c r="L11" i="28" a="1"/>
  <c r="L11" i="28" s="1"/>
  <c r="K11" i="28" a="1"/>
  <c r="K11" i="28" s="1"/>
  <c r="J11" i="28" a="1"/>
  <c r="J11" i="28" s="1"/>
  <c r="I122" i="28" a="1"/>
  <c r="I122" i="28" s="1"/>
  <c r="I121" i="28" a="1"/>
  <c r="I121" i="28" s="1"/>
  <c r="I120" i="28" a="1"/>
  <c r="I120" i="28" s="1"/>
  <c r="I119" i="28" a="1"/>
  <c r="I119" i="28" s="1"/>
  <c r="I118" i="28" a="1"/>
  <c r="I118" i="28" s="1"/>
  <c r="I117" i="28" a="1"/>
  <c r="I117" i="28" s="1"/>
  <c r="I116" i="28" a="1"/>
  <c r="I116" i="28" s="1"/>
  <c r="I115" i="28" a="1"/>
  <c r="I115" i="28" s="1"/>
  <c r="I114" i="28" a="1"/>
  <c r="I114" i="28" s="1"/>
  <c r="I113" i="28" a="1"/>
  <c r="I113" i="28" s="1"/>
  <c r="I112" i="28" a="1"/>
  <c r="I112" i="28" s="1"/>
  <c r="I111" i="28" a="1"/>
  <c r="I111" i="28" s="1"/>
  <c r="I110" i="28" a="1"/>
  <c r="I110" i="28" s="1"/>
  <c r="I109" i="28" a="1"/>
  <c r="I109" i="28" s="1"/>
  <c r="I108" i="28" a="1"/>
  <c r="I108" i="28" s="1"/>
  <c r="I107" i="28" a="1"/>
  <c r="I107" i="28" s="1"/>
  <c r="I106" i="28" a="1"/>
  <c r="I106" i="28" s="1"/>
  <c r="I105" i="28" a="1"/>
  <c r="I105" i="28" s="1"/>
  <c r="I104" i="28" a="1"/>
  <c r="I104" i="28" s="1"/>
  <c r="I103" i="28" a="1"/>
  <c r="I103" i="28" s="1"/>
  <c r="I102" i="28" a="1"/>
  <c r="I102" i="28" s="1"/>
  <c r="I101" i="28" a="1"/>
  <c r="I101" i="28" s="1"/>
  <c r="I100" i="28" a="1"/>
  <c r="I100" i="28" s="1"/>
  <c r="I99" i="28" a="1"/>
  <c r="I99" i="28" s="1"/>
  <c r="I98" i="28" a="1"/>
  <c r="I98" i="28" s="1"/>
  <c r="I97" i="28" a="1"/>
  <c r="I97" i="28" s="1"/>
  <c r="I96" i="28" a="1"/>
  <c r="I96" i="28" s="1"/>
  <c r="I95" i="28" a="1"/>
  <c r="I95" i="28" s="1"/>
  <c r="I94" i="28" a="1"/>
  <c r="I94" i="28" s="1"/>
  <c r="I93" i="28" a="1"/>
  <c r="I93" i="28" s="1"/>
  <c r="I92" i="28" a="1"/>
  <c r="I92" i="28" s="1"/>
  <c r="I91" i="28" a="1"/>
  <c r="I91" i="28" s="1"/>
  <c r="I90" i="28" a="1"/>
  <c r="I90" i="28" s="1"/>
  <c r="I89" i="28" a="1"/>
  <c r="I89" i="28" s="1"/>
  <c r="I88" i="28" a="1"/>
  <c r="I88" i="28" s="1"/>
  <c r="I87" i="28" a="1"/>
  <c r="I87" i="28" s="1"/>
  <c r="I86" i="28" a="1"/>
  <c r="I86" i="28" s="1"/>
  <c r="I85" i="28" a="1"/>
  <c r="I85" i="28" s="1"/>
  <c r="I84" i="28" a="1"/>
  <c r="I84" i="28" s="1"/>
  <c r="I83" i="28" a="1"/>
  <c r="I83" i="28" s="1"/>
  <c r="I82" i="28" a="1"/>
  <c r="I82" i="28" s="1"/>
  <c r="I81" i="28" a="1"/>
  <c r="I81" i="28" s="1"/>
  <c r="I80" i="28" a="1"/>
  <c r="I80" i="28" s="1"/>
  <c r="I79" i="28" a="1"/>
  <c r="I79" i="28" s="1"/>
  <c r="I78" i="28" a="1"/>
  <c r="I78" i="28" s="1"/>
  <c r="I77" i="28" a="1"/>
  <c r="I77" i="28" s="1"/>
  <c r="I76" i="28" a="1"/>
  <c r="I76" i="28" s="1"/>
  <c r="I75" i="28" a="1"/>
  <c r="I75" i="28" s="1"/>
  <c r="I74" i="28" a="1"/>
  <c r="I74" i="28" s="1"/>
  <c r="I73" i="28" a="1"/>
  <c r="I73" i="28" s="1"/>
  <c r="I72" i="28" a="1"/>
  <c r="I72" i="28" s="1"/>
  <c r="I71" i="28" a="1"/>
  <c r="I71" i="28" s="1"/>
  <c r="I70" i="28" a="1"/>
  <c r="I70" i="28" s="1"/>
  <c r="I69" i="28" a="1"/>
  <c r="I69" i="28" s="1"/>
  <c r="I68" i="28" a="1"/>
  <c r="I68" i="28" s="1"/>
  <c r="I67" i="28" a="1"/>
  <c r="I67" i="28" s="1"/>
  <c r="I66" i="28" a="1"/>
  <c r="I66" i="28" s="1"/>
  <c r="I65" i="28" a="1"/>
  <c r="I65" i="28" s="1"/>
  <c r="I64" i="28" a="1"/>
  <c r="I64" i="28" s="1"/>
  <c r="I63" i="28" a="1"/>
  <c r="I63" i="28" s="1"/>
  <c r="I62" i="28" a="1"/>
  <c r="I62" i="28" s="1"/>
  <c r="I61" i="28" a="1"/>
  <c r="I61" i="28" s="1"/>
  <c r="I60" i="28" a="1"/>
  <c r="I60" i="28" s="1"/>
  <c r="I59" i="28" a="1"/>
  <c r="I59" i="28" s="1"/>
  <c r="I58" i="28" a="1"/>
  <c r="I58" i="28" s="1"/>
  <c r="I57" i="28" a="1"/>
  <c r="I57" i="28" s="1"/>
  <c r="I56" i="28" a="1"/>
  <c r="I56" i="28" s="1"/>
  <c r="I55" i="28" a="1"/>
  <c r="I55" i="28" s="1"/>
  <c r="I54" i="28" a="1"/>
  <c r="I54" i="28" s="1"/>
  <c r="I53" i="28" a="1"/>
  <c r="I53" i="28" s="1"/>
  <c r="I52" i="28" a="1"/>
  <c r="I52" i="28" s="1"/>
  <c r="I51" i="28" a="1"/>
  <c r="I51" i="28" s="1"/>
  <c r="I50" i="28" a="1"/>
  <c r="I50" i="28" s="1"/>
  <c r="I49" i="28" a="1"/>
  <c r="I49" i="28" s="1"/>
  <c r="I48" i="28" a="1"/>
  <c r="I48" i="28" s="1"/>
  <c r="I47" i="28" a="1"/>
  <c r="I47" i="28" s="1"/>
  <c r="I46" i="28" a="1"/>
  <c r="I46" i="28" s="1"/>
  <c r="I45" i="28" a="1"/>
  <c r="I45" i="28" s="1"/>
  <c r="I44" i="28" a="1"/>
  <c r="I44" i="28" s="1"/>
  <c r="I43" i="28" a="1"/>
  <c r="I43" i="28" s="1"/>
  <c r="I42" i="28" a="1"/>
  <c r="I42" i="28" s="1"/>
  <c r="I41" i="28" a="1"/>
  <c r="I41" i="28" s="1"/>
  <c r="I40" i="28" a="1"/>
  <c r="I40" i="28" s="1"/>
  <c r="I39" i="28" a="1"/>
  <c r="I39" i="28" s="1"/>
  <c r="I38" i="28" a="1"/>
  <c r="I38" i="28" s="1"/>
  <c r="I37" i="28" a="1"/>
  <c r="I37" i="28" s="1"/>
  <c r="I36" i="28" a="1"/>
  <c r="I36" i="28" s="1"/>
  <c r="I35" i="28" a="1"/>
  <c r="I35" i="28" s="1"/>
  <c r="I34" i="28" a="1"/>
  <c r="I34" i="28" s="1"/>
  <c r="I33" i="28" a="1"/>
  <c r="I33" i="28" s="1"/>
  <c r="I32" i="28" a="1"/>
  <c r="I32" i="28" s="1"/>
  <c r="I31" i="28" a="1"/>
  <c r="I31" i="28" s="1"/>
  <c r="I30" i="28" a="1"/>
  <c r="I30" i="28" s="1"/>
  <c r="I29" i="28" a="1"/>
  <c r="I29" i="28" s="1"/>
  <c r="I28" i="28" a="1"/>
  <c r="I28" i="28" s="1"/>
  <c r="I27" i="28" a="1"/>
  <c r="I27" i="28" s="1"/>
  <c r="I26" i="28" a="1"/>
  <c r="I26" i="28" s="1"/>
  <c r="I25" i="28" a="1"/>
  <c r="I25" i="28" s="1"/>
  <c r="I24" i="28" a="1"/>
  <c r="I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7" i="28" a="1"/>
  <c r="I17" i="28" s="1"/>
  <c r="I16" i="28" a="1"/>
  <c r="I16" i="28" s="1"/>
  <c r="I15" i="28" a="1"/>
  <c r="I15" i="28" s="1"/>
  <c r="I14" i="28" a="1"/>
  <c r="I14" i="28" s="1"/>
  <c r="I13" i="28" a="1"/>
  <c r="I13" i="28" s="1"/>
  <c r="I12" i="28" a="1"/>
  <c r="I12" i="28" s="1"/>
  <c r="I11" i="28" a="1"/>
  <c r="I11" i="28" s="1"/>
  <c r="AJ47" i="31"/>
  <c r="AJ46" i="31"/>
  <c r="AJ44" i="31"/>
  <c r="AJ41" i="31"/>
  <c r="AJ40" i="31"/>
  <c r="AJ35" i="31"/>
  <c r="AJ34" i="31"/>
  <c r="AJ31" i="31"/>
  <c r="AJ30" i="31"/>
  <c r="AJ3" i="31"/>
  <c r="AH48" i="31"/>
  <c r="AG48" i="31"/>
  <c r="AF48" i="31"/>
  <c r="AE48" i="31"/>
  <c r="AD48" i="31"/>
  <c r="AC48" i="31"/>
  <c r="AB48" i="31"/>
  <c r="AA48" i="31"/>
  <c r="Z48" i="31"/>
  <c r="AJ48" i="31" s="1"/>
  <c r="AH7" i="31"/>
  <c r="Z7" i="31"/>
  <c r="AA6" i="31"/>
  <c r="AB5" i="31"/>
  <c r="AG7" i="31"/>
  <c r="AH6" i="31"/>
  <c r="Z6" i="31"/>
  <c r="AA5" i="31"/>
  <c r="AF7" i="31"/>
  <c r="AG6" i="31"/>
  <c r="AH5" i="31"/>
  <c r="Z5" i="31"/>
  <c r="AE7" i="31"/>
  <c r="AF6" i="31"/>
  <c r="AG5" i="31"/>
  <c r="AC6" i="31"/>
  <c r="AD7" i="31"/>
  <c r="AE6" i="31"/>
  <c r="AF5" i="31"/>
  <c r="AD5" i="31"/>
  <c r="AC7" i="31"/>
  <c r="AD6" i="31"/>
  <c r="AE5" i="31"/>
  <c r="AB7" i="31"/>
  <c r="AA7" i="31"/>
  <c r="AB6" i="31"/>
  <c r="AC5" i="31"/>
  <c r="R14" i="31"/>
  <c r="R21" i="31"/>
  <c r="R20" i="31"/>
  <c r="R19" i="31"/>
  <c r="R18" i="31"/>
  <c r="R15" i="31"/>
  <c r="Q9" i="31"/>
  <c r="Q16" i="31"/>
  <c r="Q7" i="31"/>
  <c r="Q292" i="31"/>
  <c r="Q13" i="31"/>
  <c r="Q18" i="31"/>
  <c r="R544" i="31"/>
  <c r="R543" i="31"/>
  <c r="R494" i="31"/>
  <c r="Q443" i="31"/>
  <c r="Q293" i="31"/>
  <c r="Q543" i="31"/>
  <c r="R442" i="31"/>
  <c r="R342" i="31"/>
  <c r="Q294" i="31"/>
  <c r="Q343" i="31"/>
  <c r="Q392" i="31"/>
  <c r="R292" i="31"/>
  <c r="R27" i="31"/>
  <c r="Q24" i="31"/>
  <c r="Q21" i="31"/>
  <c r="R5" i="31"/>
  <c r="R13" i="31"/>
  <c r="R12" i="31"/>
  <c r="R11" i="31"/>
  <c r="R9" i="31"/>
  <c r="R6" i="31"/>
  <c r="Q593" i="31"/>
  <c r="Q8" i="31"/>
  <c r="Q342" i="31"/>
  <c r="Q14" i="31"/>
  <c r="Q5" i="31"/>
  <c r="Q11" i="31"/>
  <c r="R443" i="31"/>
  <c r="R542" i="31"/>
  <c r="R444" i="31"/>
  <c r="Q442" i="31"/>
  <c r="Q544" i="31"/>
  <c r="Q444" i="31"/>
  <c r="R294" i="31"/>
  <c r="R392" i="31"/>
  <c r="Q25" i="31"/>
  <c r="Q492" i="31"/>
  <c r="R23" i="31"/>
  <c r="R24" i="31"/>
  <c r="Q15" i="31"/>
  <c r="Q26" i="31"/>
  <c r="R8" i="31"/>
  <c r="R344" i="31"/>
  <c r="R26" i="31"/>
  <c r="R493" i="31"/>
  <c r="R642" i="31"/>
  <c r="R17" i="31"/>
  <c r="Q694" i="31"/>
  <c r="Q20" i="31"/>
  <c r="Q28" i="31"/>
  <c r="Q6" i="31"/>
  <c r="Q394" i="31"/>
  <c r="Q393" i="31"/>
  <c r="Q23" i="31"/>
  <c r="R293" i="31"/>
  <c r="Q17" i="31"/>
  <c r="Q344" i="31"/>
  <c r="R694" i="31"/>
  <c r="R7" i="31"/>
  <c r="R16" i="31"/>
  <c r="R25" i="31"/>
  <c r="R343" i="31"/>
  <c r="R492" i="31"/>
  <c r="R594" i="31"/>
  <c r="Q642" i="31"/>
  <c r="Q693" i="31"/>
  <c r="Q12" i="31"/>
  <c r="Q594" i="31"/>
  <c r="Q644" i="31"/>
  <c r="Q27" i="31"/>
  <c r="R394" i="31"/>
  <c r="R592" i="31"/>
  <c r="R693" i="31"/>
  <c r="R692" i="31"/>
  <c r="R644" i="31"/>
  <c r="R643" i="31"/>
  <c r="R593" i="31"/>
  <c r="Q643" i="31"/>
  <c r="Q494" i="31"/>
  <c r="Q493" i="31"/>
  <c r="Q692" i="31"/>
  <c r="Q542" i="31"/>
  <c r="Q592" i="31"/>
  <c r="Q19" i="31"/>
  <c r="R393" i="31"/>
  <c r="R28" i="31"/>
  <c r="AD27" i="31" l="1" a="1"/>
  <c r="AD27" i="31" s="1"/>
  <c r="AF27" i="31" a="1"/>
  <c r="AF27" i="31" s="1"/>
  <c r="Z27" i="31" a="1"/>
  <c r="Z27" i="31" s="1"/>
  <c r="AG27" i="31" a="1"/>
  <c r="AG27" i="31" s="1"/>
  <c r="AA27" i="31" a="1"/>
  <c r="AA27" i="31" s="1"/>
  <c r="AB27" i="31" a="1"/>
  <c r="AB27" i="31" s="1"/>
  <c r="AJ33" i="31"/>
  <c r="Q185" i="31"/>
  <c r="Q723" i="31"/>
  <c r="Q10" i="31"/>
  <c r="Q391" i="31"/>
  <c r="Q591" i="31"/>
  <c r="Q4" i="31"/>
  <c r="Q541" i="31"/>
  <c r="Q291" i="31"/>
  <c r="Q491" i="31"/>
  <c r="Q490" i="31" s="1"/>
  <c r="Q532" i="31" s="1"/>
  <c r="Q691" i="31"/>
  <c r="Q341" i="31"/>
  <c r="Q22" i="31"/>
  <c r="Q441" i="31"/>
  <c r="Q641" i="31"/>
  <c r="Q94" i="31"/>
  <c r="Q134" i="31"/>
  <c r="Q206" i="31"/>
  <c r="Q205" i="31" s="1"/>
  <c r="Q66" i="31"/>
  <c r="Q143" i="31"/>
  <c r="Q32" i="31"/>
  <c r="Q396" i="31"/>
  <c r="Q673" i="31"/>
  <c r="Q76" i="31"/>
  <c r="Q163" i="31"/>
  <c r="Q162" i="31" s="1"/>
  <c r="Q158" i="31" s="1"/>
  <c r="Q614" i="31" a="1"/>
  <c r="Q614" i="31" s="1"/>
  <c r="Q596" i="31" s="1"/>
  <c r="Q414" i="31" a="1"/>
  <c r="Q414" i="31" s="1"/>
  <c r="Q514" i="31" a="1"/>
  <c r="Q514" i="31" s="1"/>
  <c r="Q664" i="31" a="1"/>
  <c r="Q664" i="31" s="1"/>
  <c r="Q646" i="31" s="1"/>
  <c r="Q464" i="31" a="1"/>
  <c r="Q464" i="31" s="1"/>
  <c r="Q446" i="31" s="1"/>
  <c r="Q714" i="31" a="1"/>
  <c r="Q714" i="31" s="1"/>
  <c r="Q696" i="31" s="1"/>
  <c r="Q314" i="31" a="1"/>
  <c r="Q314" i="31" s="1"/>
  <c r="Q296" i="31" s="1"/>
  <c r="Q564" i="31" a="1"/>
  <c r="Q564" i="31" s="1"/>
  <c r="Q546" i="31" s="1"/>
  <c r="Q364" i="31" a="1"/>
  <c r="Q364" i="31" s="1"/>
  <c r="Q346" i="31" s="1"/>
  <c r="Q423" i="31"/>
  <c r="Q496" i="31"/>
  <c r="AJ14" i="31"/>
  <c r="AJ17" i="31"/>
  <c r="AJ25" i="31"/>
  <c r="AJ12" i="31"/>
  <c r="AJ13" i="31"/>
  <c r="AJ21" i="31"/>
  <c r="AJ19" i="31"/>
  <c r="AJ15" i="31"/>
  <c r="AJ18" i="31"/>
  <c r="AJ23" i="31"/>
  <c r="AJ10" i="31"/>
  <c r="AJ11" i="31"/>
  <c r="AJ16" i="31"/>
  <c r="AJ24" i="31"/>
  <c r="AJ26" i="31"/>
  <c r="AJ43" i="31"/>
  <c r="AJ22" i="31"/>
  <c r="AJ20" i="31"/>
  <c r="AJ5" i="31"/>
  <c r="AJ6" i="31"/>
  <c r="AJ7" i="31"/>
  <c r="Q690" i="31" l="1"/>
  <c r="Q732" i="31" s="1"/>
  <c r="Q290" i="31"/>
  <c r="Q332" i="31" s="1"/>
  <c r="Q31" i="31"/>
  <c r="Q540" i="31"/>
  <c r="Q582" i="31" s="1"/>
  <c r="Q3" i="31"/>
  <c r="Q640" i="31"/>
  <c r="Q682" i="31" s="1"/>
  <c r="Q440" i="31"/>
  <c r="Q482" i="31" s="1"/>
  <c r="Q590" i="31"/>
  <c r="Q632" i="31" s="1"/>
  <c r="Q390" i="31"/>
  <c r="Q432" i="31" s="1"/>
  <c r="Q340" i="31"/>
  <c r="Q382" i="31" s="1"/>
  <c r="AJ27" i="31"/>
  <c r="B2" i="30"/>
  <c r="Q2" i="31" l="1"/>
  <c r="AH29" i="31"/>
  <c r="AG29" i="31"/>
  <c r="AF29" i="31"/>
  <c r="AE29" i="31"/>
  <c r="AD29" i="31"/>
  <c r="AC29" i="31"/>
  <c r="AB29" i="31"/>
  <c r="AA29" i="31"/>
  <c r="Z29" i="31"/>
  <c r="R630" i="31" a="1"/>
  <c r="R630" i="31" s="1"/>
  <c r="R629" i="31" s="1"/>
  <c r="P630" i="31" a="1"/>
  <c r="P630" i="31" s="1"/>
  <c r="P629" i="31" s="1"/>
  <c r="O630" i="31" a="1"/>
  <c r="O630" i="31" s="1"/>
  <c r="O629" i="31" s="1"/>
  <c r="N630" i="31" a="1"/>
  <c r="N630" i="31" s="1"/>
  <c r="N629" i="31" s="1"/>
  <c r="M630" i="31" a="1"/>
  <c r="M630" i="31" s="1"/>
  <c r="M629" i="31" s="1"/>
  <c r="L630" i="31" a="1"/>
  <c r="L630" i="31" s="1"/>
  <c r="L629" i="31" s="1"/>
  <c r="K630" i="31" a="1"/>
  <c r="K630" i="31" s="1"/>
  <c r="K629" i="31" s="1"/>
  <c r="J630" i="31" a="1"/>
  <c r="J630" i="31" s="1"/>
  <c r="J629" i="31" s="1"/>
  <c r="I630" i="31" a="1"/>
  <c r="I630" i="31" s="1"/>
  <c r="I629" i="31" s="1"/>
  <c r="H630" i="31" a="1"/>
  <c r="H630" i="31" s="1"/>
  <c r="H629" i="31" s="1"/>
  <c r="G630" i="31" a="1"/>
  <c r="G630" i="31" s="1"/>
  <c r="G629" i="31" s="1"/>
  <c r="F630" i="31" a="1"/>
  <c r="F630" i="31" s="1"/>
  <c r="F629" i="31" s="1"/>
  <c r="E630" i="31" a="1"/>
  <c r="E630" i="31" s="1"/>
  <c r="E629" i="31" s="1"/>
  <c r="D630" i="31" a="1"/>
  <c r="D630" i="31" s="1"/>
  <c r="D629" i="31" s="1"/>
  <c r="D626" i="31" a="1"/>
  <c r="D626" i="31" s="1"/>
  <c r="D625" i="31" s="1"/>
  <c r="D624" i="31" s="1"/>
  <c r="R620" i="31" a="1"/>
  <c r="R620" i="31" s="1"/>
  <c r="R619" i="31" s="1"/>
  <c r="P620" i="31" a="1"/>
  <c r="P620" i="31" s="1"/>
  <c r="P619" i="31" s="1"/>
  <c r="O620" i="31" a="1"/>
  <c r="O620" i="31" s="1"/>
  <c r="O619" i="31" s="1"/>
  <c r="N620" i="31" a="1"/>
  <c r="N620" i="31" s="1"/>
  <c r="N619" i="31" s="1"/>
  <c r="M620" i="31" a="1"/>
  <c r="M620" i="31" s="1"/>
  <c r="M619" i="31" s="1"/>
  <c r="L620" i="31" a="1"/>
  <c r="L620" i="31" s="1"/>
  <c r="L619" i="31" s="1"/>
  <c r="K620" i="31" a="1"/>
  <c r="K620" i="31" s="1"/>
  <c r="K619" i="31" s="1"/>
  <c r="J620" i="31" a="1"/>
  <c r="J620" i="31" s="1"/>
  <c r="J619" i="31" s="1"/>
  <c r="I620" i="31" a="1"/>
  <c r="I620" i="31" s="1"/>
  <c r="I619" i="31" s="1"/>
  <c r="H620" i="31" a="1"/>
  <c r="H620" i="31" s="1"/>
  <c r="H619" i="31" s="1"/>
  <c r="G620" i="31" a="1"/>
  <c r="G620" i="31" s="1"/>
  <c r="G619" i="31" s="1"/>
  <c r="F620" i="31" a="1"/>
  <c r="F620" i="31" s="1"/>
  <c r="F619" i="31" s="1"/>
  <c r="E620" i="31" a="1"/>
  <c r="E620" i="31" s="1"/>
  <c r="E619" i="31" s="1"/>
  <c r="D620" i="31" a="1"/>
  <c r="D620" i="31" s="1"/>
  <c r="D619" i="31" s="1"/>
  <c r="R616" i="31"/>
  <c r="P616" i="31"/>
  <c r="O616" i="31"/>
  <c r="N616" i="31"/>
  <c r="M616" i="31"/>
  <c r="L616" i="31"/>
  <c r="K616" i="31"/>
  <c r="J616" i="31"/>
  <c r="I616" i="31"/>
  <c r="H616" i="31"/>
  <c r="G616" i="31"/>
  <c r="F616" i="31"/>
  <c r="E616" i="31"/>
  <c r="D616" i="31"/>
  <c r="R613" i="31" a="1"/>
  <c r="R613" i="31" s="1"/>
  <c r="P613" i="31" a="1"/>
  <c r="P613" i="31" s="1"/>
  <c r="O613" i="31" a="1"/>
  <c r="O613" i="31" s="1"/>
  <c r="N613" i="31" a="1"/>
  <c r="N613" i="31" s="1"/>
  <c r="M613" i="31" a="1"/>
  <c r="M613" i="31" s="1"/>
  <c r="L613" i="31" a="1"/>
  <c r="L613" i="31" s="1"/>
  <c r="K613" i="31" a="1"/>
  <c r="K613" i="31" s="1"/>
  <c r="J613" i="31" a="1"/>
  <c r="J613" i="31" s="1"/>
  <c r="I613" i="31" a="1"/>
  <c r="I613" i="31" s="1"/>
  <c r="H613" i="31" a="1"/>
  <c r="H613" i="31" s="1"/>
  <c r="G613" i="31" a="1"/>
  <c r="G613" i="31" s="1"/>
  <c r="F613" i="31" a="1"/>
  <c r="F613" i="31" s="1"/>
  <c r="E613" i="31" a="1"/>
  <c r="E613" i="31" s="1"/>
  <c r="D613" i="31" a="1"/>
  <c r="D613" i="31" s="1"/>
  <c r="R612" i="31" a="1"/>
  <c r="R612" i="31" s="1"/>
  <c r="P612" i="31" a="1"/>
  <c r="P612" i="31" s="1"/>
  <c r="O612" i="31" a="1"/>
  <c r="O612" i="31" s="1"/>
  <c r="N612" i="31" a="1"/>
  <c r="N612" i="31" s="1"/>
  <c r="M612" i="31" a="1"/>
  <c r="M612" i="31" s="1"/>
  <c r="L612" i="31" a="1"/>
  <c r="L612" i="31" s="1"/>
  <c r="K612" i="31" a="1"/>
  <c r="K612" i="31" s="1"/>
  <c r="J612" i="31" a="1"/>
  <c r="J612" i="31" s="1"/>
  <c r="I612" i="31" a="1"/>
  <c r="I612" i="31" s="1"/>
  <c r="H612" i="31" a="1"/>
  <c r="H612" i="31" s="1"/>
  <c r="G612" i="31" a="1"/>
  <c r="G612" i="31" s="1"/>
  <c r="F612" i="31" a="1"/>
  <c r="F612" i="31" s="1"/>
  <c r="E612" i="31" a="1"/>
  <c r="E612" i="31" s="1"/>
  <c r="D612" i="31" a="1"/>
  <c r="D612" i="31" s="1"/>
  <c r="R611" i="31" a="1"/>
  <c r="R611" i="31" s="1"/>
  <c r="P611" i="31" a="1"/>
  <c r="P611" i="31" s="1"/>
  <c r="O611" i="31" a="1"/>
  <c r="O611" i="31" s="1"/>
  <c r="N611" i="31" a="1"/>
  <c r="N611" i="31" s="1"/>
  <c r="M611" i="31" a="1"/>
  <c r="M611" i="31" s="1"/>
  <c r="L611" i="31" a="1"/>
  <c r="L611" i="31" s="1"/>
  <c r="K611" i="31" a="1"/>
  <c r="K611" i="31" s="1"/>
  <c r="J611" i="31" a="1"/>
  <c r="J611" i="31" s="1"/>
  <c r="I611" i="31" a="1"/>
  <c r="I611" i="31" s="1"/>
  <c r="H611" i="31" a="1"/>
  <c r="H611" i="31" s="1"/>
  <c r="G611" i="31" a="1"/>
  <c r="G611" i="31" s="1"/>
  <c r="F611" i="31" a="1"/>
  <c r="F611" i="31" s="1"/>
  <c r="E611" i="31" a="1"/>
  <c r="E611" i="31" s="1"/>
  <c r="D611" i="31" a="1"/>
  <c r="D611" i="31" s="1"/>
  <c r="R610" i="31" a="1"/>
  <c r="R610" i="31" s="1"/>
  <c r="P610" i="31" a="1"/>
  <c r="P610" i="31" s="1"/>
  <c r="O610" i="31" a="1"/>
  <c r="O610" i="31" s="1"/>
  <c r="N610" i="31" a="1"/>
  <c r="N610" i="31" s="1"/>
  <c r="M610" i="31" a="1"/>
  <c r="M610" i="31" s="1"/>
  <c r="L610" i="31" a="1"/>
  <c r="L610" i="31" s="1"/>
  <c r="K610" i="31" a="1"/>
  <c r="K610" i="31" s="1"/>
  <c r="J610" i="31" a="1"/>
  <c r="J610" i="31" s="1"/>
  <c r="I610" i="31" a="1"/>
  <c r="I610" i="31" s="1"/>
  <c r="H610" i="31" a="1"/>
  <c r="H610" i="31" s="1"/>
  <c r="G610" i="31" a="1"/>
  <c r="G610" i="31" s="1"/>
  <c r="F610" i="31" a="1"/>
  <c r="F610" i="31" s="1"/>
  <c r="E610" i="31" a="1"/>
  <c r="E610" i="31" s="1"/>
  <c r="D610" i="31" a="1"/>
  <c r="D610" i="31" s="1"/>
  <c r="R609" i="31" a="1"/>
  <c r="R609" i="31" s="1"/>
  <c r="P609" i="31" a="1"/>
  <c r="P609" i="31" s="1"/>
  <c r="O609" i="31" a="1"/>
  <c r="O609" i="31" s="1"/>
  <c r="N609" i="31" a="1"/>
  <c r="N609" i="31" s="1"/>
  <c r="M609" i="31" a="1"/>
  <c r="M609" i="31" s="1"/>
  <c r="L609" i="31" a="1"/>
  <c r="L609" i="31" s="1"/>
  <c r="K609" i="31" a="1"/>
  <c r="K609" i="31" s="1"/>
  <c r="J609" i="31" a="1"/>
  <c r="J609" i="31" s="1"/>
  <c r="I609" i="31" a="1"/>
  <c r="I609" i="31" s="1"/>
  <c r="H609" i="31" a="1"/>
  <c r="H609" i="31" s="1"/>
  <c r="G609" i="31" a="1"/>
  <c r="G609" i="31" s="1"/>
  <c r="F609" i="31" a="1"/>
  <c r="F609" i="31" s="1"/>
  <c r="E609" i="31" a="1"/>
  <c r="E609" i="31" s="1"/>
  <c r="D609" i="31" a="1"/>
  <c r="D609" i="31" s="1"/>
  <c r="R608" i="31" a="1"/>
  <c r="R608" i="31" s="1"/>
  <c r="P608" i="31" a="1"/>
  <c r="P608" i="31" s="1"/>
  <c r="O608" i="31" a="1"/>
  <c r="O608" i="31" s="1"/>
  <c r="N608" i="31" a="1"/>
  <c r="N608" i="31" s="1"/>
  <c r="M608" i="31" a="1"/>
  <c r="M608" i="31" s="1"/>
  <c r="L608" i="31" a="1"/>
  <c r="L608" i="31" s="1"/>
  <c r="K608" i="31" a="1"/>
  <c r="K608" i="31" s="1"/>
  <c r="J608" i="31" a="1"/>
  <c r="J608" i="31" s="1"/>
  <c r="I608" i="31" a="1"/>
  <c r="I608" i="31" s="1"/>
  <c r="H608" i="31" a="1"/>
  <c r="H608" i="31" s="1"/>
  <c r="G608" i="31" a="1"/>
  <c r="G608" i="31" s="1"/>
  <c r="F608" i="31" a="1"/>
  <c r="F608" i="31" s="1"/>
  <c r="E608" i="31" a="1"/>
  <c r="E608" i="31" s="1"/>
  <c r="D608" i="31" a="1"/>
  <c r="D608" i="31" s="1"/>
  <c r="R607" i="31" a="1"/>
  <c r="R607" i="31" s="1"/>
  <c r="P607" i="31" a="1"/>
  <c r="P607" i="31" s="1"/>
  <c r="O607" i="31" a="1"/>
  <c r="O607" i="31" s="1"/>
  <c r="N607" i="31" a="1"/>
  <c r="N607" i="31" s="1"/>
  <c r="M607" i="31" a="1"/>
  <c r="M607" i="31" s="1"/>
  <c r="L607" i="31" a="1"/>
  <c r="L607" i="31" s="1"/>
  <c r="K607" i="31" a="1"/>
  <c r="K607" i="31" s="1"/>
  <c r="J607" i="31" a="1"/>
  <c r="J607" i="31" s="1"/>
  <c r="I607" i="31" a="1"/>
  <c r="I607" i="31" s="1"/>
  <c r="H607" i="31" a="1"/>
  <c r="H607" i="31" s="1"/>
  <c r="G607" i="31" a="1"/>
  <c r="G607" i="31" s="1"/>
  <c r="F607" i="31" a="1"/>
  <c r="F607" i="31" s="1"/>
  <c r="E607" i="31" a="1"/>
  <c r="E607" i="31" s="1"/>
  <c r="D607" i="31" a="1"/>
  <c r="D607" i="31" s="1"/>
  <c r="R606" i="31" a="1"/>
  <c r="R606" i="31" s="1"/>
  <c r="P606" i="31" a="1"/>
  <c r="P606" i="31" s="1"/>
  <c r="O606" i="31" a="1"/>
  <c r="O606" i="31" s="1"/>
  <c r="N606" i="31" a="1"/>
  <c r="N606" i="31" s="1"/>
  <c r="M606" i="31" a="1"/>
  <c r="M606" i="31" s="1"/>
  <c r="L606" i="31" a="1"/>
  <c r="L606" i="31" s="1"/>
  <c r="K606" i="31" a="1"/>
  <c r="K606" i="31" s="1"/>
  <c r="J606" i="31" a="1"/>
  <c r="J606" i="31" s="1"/>
  <c r="I606" i="31" a="1"/>
  <c r="I606" i="31" s="1"/>
  <c r="H606" i="31" a="1"/>
  <c r="H606" i="31" s="1"/>
  <c r="G606" i="31" a="1"/>
  <c r="G606" i="31" s="1"/>
  <c r="F606" i="31" a="1"/>
  <c r="F606" i="31" s="1"/>
  <c r="E606" i="31" a="1"/>
  <c r="E606" i="31" s="1"/>
  <c r="D606" i="31" a="1"/>
  <c r="D606" i="31" s="1"/>
  <c r="R605" i="31" a="1"/>
  <c r="R605" i="31" s="1"/>
  <c r="P605" i="31" a="1"/>
  <c r="P605" i="31" s="1"/>
  <c r="O605" i="31" a="1"/>
  <c r="O605" i="31" s="1"/>
  <c r="N605" i="31" a="1"/>
  <c r="N605" i="31" s="1"/>
  <c r="M605" i="31" a="1"/>
  <c r="M605" i="31" s="1"/>
  <c r="L605" i="31" a="1"/>
  <c r="L605" i="31" s="1"/>
  <c r="K605" i="31" a="1"/>
  <c r="K605" i="31" s="1"/>
  <c r="J605" i="31" a="1"/>
  <c r="J605" i="31" s="1"/>
  <c r="I605" i="31" a="1"/>
  <c r="I605" i="31" s="1"/>
  <c r="H605" i="31" a="1"/>
  <c r="H605" i="31" s="1"/>
  <c r="G605" i="31" a="1"/>
  <c r="G605" i="31" s="1"/>
  <c r="F605" i="31" a="1"/>
  <c r="F605" i="31" s="1"/>
  <c r="E605" i="31" a="1"/>
  <c r="E605" i="31" s="1"/>
  <c r="D605" i="31" a="1"/>
  <c r="D605" i="31" s="1"/>
  <c r="R604" i="31" a="1"/>
  <c r="R604" i="31" s="1"/>
  <c r="P604" i="31" a="1"/>
  <c r="P604" i="31" s="1"/>
  <c r="O604" i="31" a="1"/>
  <c r="O604" i="31" s="1"/>
  <c r="N604" i="31" a="1"/>
  <c r="N604" i="31" s="1"/>
  <c r="M604" i="31" a="1"/>
  <c r="M604" i="31" s="1"/>
  <c r="L604" i="31" a="1"/>
  <c r="L604" i="31" s="1"/>
  <c r="K604" i="31" a="1"/>
  <c r="K604" i="31" s="1"/>
  <c r="J604" i="31" a="1"/>
  <c r="J604" i="31" s="1"/>
  <c r="I604" i="31" a="1"/>
  <c r="I604" i="31" s="1"/>
  <c r="H604" i="31" a="1"/>
  <c r="H604" i="31" s="1"/>
  <c r="G604" i="31" a="1"/>
  <c r="G604" i="31" s="1"/>
  <c r="F604" i="31" a="1"/>
  <c r="F604" i="31" s="1"/>
  <c r="E604" i="31" a="1"/>
  <c r="E604" i="31" s="1"/>
  <c r="D604" i="31" a="1"/>
  <c r="D604" i="31" s="1"/>
  <c r="R603" i="31" a="1"/>
  <c r="R603" i="31" s="1"/>
  <c r="P603" i="31" a="1"/>
  <c r="P603" i="31" s="1"/>
  <c r="O603" i="31" a="1"/>
  <c r="O603" i="31" s="1"/>
  <c r="N603" i="31" a="1"/>
  <c r="N603" i="31" s="1"/>
  <c r="M603" i="31" a="1"/>
  <c r="M603" i="31" s="1"/>
  <c r="L603" i="31" a="1"/>
  <c r="L603" i="31" s="1"/>
  <c r="K603" i="31" a="1"/>
  <c r="K603" i="31" s="1"/>
  <c r="J603" i="31" a="1"/>
  <c r="J603" i="31" s="1"/>
  <c r="I603" i="31" a="1"/>
  <c r="I603" i="31" s="1"/>
  <c r="H603" i="31" a="1"/>
  <c r="H603" i="31" s="1"/>
  <c r="G603" i="31" a="1"/>
  <c r="G603" i="31" s="1"/>
  <c r="F603" i="31" a="1"/>
  <c r="F603" i="31" s="1"/>
  <c r="E603" i="31" a="1"/>
  <c r="E603" i="31" s="1"/>
  <c r="D603" i="31" a="1"/>
  <c r="D603" i="31" s="1"/>
  <c r="R602" i="31" a="1"/>
  <c r="R602" i="31" s="1"/>
  <c r="P602" i="31" a="1"/>
  <c r="P602" i="31" s="1"/>
  <c r="O602" i="31" a="1"/>
  <c r="O602" i="31" s="1"/>
  <c r="N602" i="31" a="1"/>
  <c r="N602" i="31" s="1"/>
  <c r="M602" i="31" a="1"/>
  <c r="M602" i="31" s="1"/>
  <c r="L602" i="31" a="1"/>
  <c r="L602" i="31" s="1"/>
  <c r="K602" i="31" a="1"/>
  <c r="K602" i="31" s="1"/>
  <c r="J602" i="31" a="1"/>
  <c r="J602" i="31" s="1"/>
  <c r="I602" i="31" a="1"/>
  <c r="I602" i="31" s="1"/>
  <c r="H602" i="31" a="1"/>
  <c r="H602" i="31" s="1"/>
  <c r="G602" i="31" a="1"/>
  <c r="G602" i="31" s="1"/>
  <c r="F602" i="31" a="1"/>
  <c r="F602" i="31" s="1"/>
  <c r="E602" i="31" a="1"/>
  <c r="E602" i="31" s="1"/>
  <c r="D602" i="31" a="1"/>
  <c r="D602" i="31" s="1"/>
  <c r="R601" i="31" a="1"/>
  <c r="R601" i="31" s="1"/>
  <c r="P601" i="31" a="1"/>
  <c r="P601" i="31" s="1"/>
  <c r="O601" i="31" a="1"/>
  <c r="O601" i="31" s="1"/>
  <c r="N601" i="31" a="1"/>
  <c r="N601" i="31" s="1"/>
  <c r="M601" i="31" a="1"/>
  <c r="M601" i="31" s="1"/>
  <c r="L601" i="31" a="1"/>
  <c r="L601" i="31" s="1"/>
  <c r="K601" i="31" a="1"/>
  <c r="K601" i="31" s="1"/>
  <c r="J601" i="31" a="1"/>
  <c r="J601" i="31" s="1"/>
  <c r="I601" i="31" a="1"/>
  <c r="I601" i="31" s="1"/>
  <c r="H601" i="31" a="1"/>
  <c r="H601" i="31" s="1"/>
  <c r="G601" i="31" a="1"/>
  <c r="G601" i="31" s="1"/>
  <c r="F601" i="31" a="1"/>
  <c r="F601" i="31" s="1"/>
  <c r="E601" i="31" a="1"/>
  <c r="E601" i="31" s="1"/>
  <c r="D601" i="31" a="1"/>
  <c r="D601" i="31" s="1"/>
  <c r="R600" i="31" a="1"/>
  <c r="R600" i="31" s="1"/>
  <c r="P600" i="31" a="1"/>
  <c r="P600" i="31" s="1"/>
  <c r="O600" i="31" a="1"/>
  <c r="O600" i="31" s="1"/>
  <c r="N600" i="31" a="1"/>
  <c r="N600" i="31" s="1"/>
  <c r="M600" i="31" a="1"/>
  <c r="M600" i="31" s="1"/>
  <c r="L600" i="31" a="1"/>
  <c r="L600" i="31" s="1"/>
  <c r="K600" i="31" a="1"/>
  <c r="K600" i="31" s="1"/>
  <c r="J600" i="31" a="1"/>
  <c r="J600" i="31" s="1"/>
  <c r="I600" i="31" a="1"/>
  <c r="I600" i="31" s="1"/>
  <c r="H600" i="31" a="1"/>
  <c r="H600" i="31" s="1"/>
  <c r="G600" i="31" a="1"/>
  <c r="G600" i="31" s="1"/>
  <c r="F600" i="31" a="1"/>
  <c r="F600" i="31" s="1"/>
  <c r="E600" i="31" a="1"/>
  <c r="E600" i="31" s="1"/>
  <c r="D600" i="31" a="1"/>
  <c r="D600" i="31" s="1"/>
  <c r="R599" i="31" a="1"/>
  <c r="R599" i="31" s="1"/>
  <c r="P599" i="31" a="1"/>
  <c r="P599" i="31" s="1"/>
  <c r="O599" i="31" a="1"/>
  <c r="O599" i="31" s="1"/>
  <c r="N599" i="31" a="1"/>
  <c r="N599" i="31" s="1"/>
  <c r="M599" i="31" a="1"/>
  <c r="M599" i="31" s="1"/>
  <c r="L599" i="31" a="1"/>
  <c r="L599" i="31" s="1"/>
  <c r="K599" i="31" a="1"/>
  <c r="K599" i="31" s="1"/>
  <c r="J599" i="31" a="1"/>
  <c r="J599" i="31" s="1"/>
  <c r="I599" i="31" a="1"/>
  <c r="I599" i="31" s="1"/>
  <c r="H599" i="31" a="1"/>
  <c r="H599" i="31" s="1"/>
  <c r="G599" i="31" a="1"/>
  <c r="G599" i="31" s="1"/>
  <c r="F599" i="31" a="1"/>
  <c r="F599" i="31" s="1"/>
  <c r="E599" i="31" a="1"/>
  <c r="E599" i="31" s="1"/>
  <c r="D599" i="31" a="1"/>
  <c r="D599" i="31" s="1"/>
  <c r="R598" i="31" a="1"/>
  <c r="R598" i="31" s="1"/>
  <c r="P598" i="31" a="1"/>
  <c r="P598" i="31" s="1"/>
  <c r="O598" i="31" a="1"/>
  <c r="O598" i="31" s="1"/>
  <c r="N598" i="31" a="1"/>
  <c r="N598" i="31" s="1"/>
  <c r="M598" i="31" a="1"/>
  <c r="M598" i="31" s="1"/>
  <c r="L598" i="31" a="1"/>
  <c r="L598" i="31" s="1"/>
  <c r="K598" i="31" a="1"/>
  <c r="K598" i="31" s="1"/>
  <c r="J598" i="31" a="1"/>
  <c r="J598" i="31" s="1"/>
  <c r="I598" i="31" a="1"/>
  <c r="I598" i="31" s="1"/>
  <c r="H598" i="31" a="1"/>
  <c r="H598" i="31" s="1"/>
  <c r="G598" i="31" a="1"/>
  <c r="G598" i="31" s="1"/>
  <c r="F598" i="31" a="1"/>
  <c r="F598" i="31" s="1"/>
  <c r="E598" i="31" a="1"/>
  <c r="E598" i="31" s="1"/>
  <c r="D598" i="31" a="1"/>
  <c r="D598" i="31" s="1"/>
  <c r="R597" i="31" a="1"/>
  <c r="R597" i="31" s="1"/>
  <c r="P597" i="31" a="1"/>
  <c r="P597" i="31" s="1"/>
  <c r="O597" i="31" a="1"/>
  <c r="O597" i="31" s="1"/>
  <c r="N597" i="31" a="1"/>
  <c r="N597" i="31" s="1"/>
  <c r="M597" i="31" a="1"/>
  <c r="M597" i="31" s="1"/>
  <c r="L597" i="31" a="1"/>
  <c r="L597" i="31" s="1"/>
  <c r="K597" i="31" a="1"/>
  <c r="K597" i="31" s="1"/>
  <c r="J597" i="31" a="1"/>
  <c r="J597" i="31" s="1"/>
  <c r="I597" i="31" a="1"/>
  <c r="I597" i="31" s="1"/>
  <c r="H597" i="31" a="1"/>
  <c r="H597" i="31" s="1"/>
  <c r="G597" i="31" a="1"/>
  <c r="G597" i="31" s="1"/>
  <c r="F597" i="31" a="1"/>
  <c r="F597" i="31" s="1"/>
  <c r="E597" i="31" a="1"/>
  <c r="E597" i="31" s="1"/>
  <c r="D597" i="31" a="1"/>
  <c r="D597" i="31" s="1"/>
  <c r="R730" i="31" a="1"/>
  <c r="R730" i="31" s="1"/>
  <c r="R729" i="31" s="1"/>
  <c r="P730" i="31" a="1"/>
  <c r="P730" i="31" s="1"/>
  <c r="P729" i="31" s="1"/>
  <c r="O730" i="31" a="1"/>
  <c r="O730" i="31" s="1"/>
  <c r="O729" i="31" s="1"/>
  <c r="N730" i="31" a="1"/>
  <c r="N730" i="31" s="1"/>
  <c r="N729" i="31" s="1"/>
  <c r="M730" i="31" a="1"/>
  <c r="M730" i="31" s="1"/>
  <c r="M729" i="31" s="1"/>
  <c r="L730" i="31" a="1"/>
  <c r="L730" i="31" s="1"/>
  <c r="L729" i="31" s="1"/>
  <c r="K730" i="31" a="1"/>
  <c r="K730" i="31" s="1"/>
  <c r="K729" i="31" s="1"/>
  <c r="J730" i="31" a="1"/>
  <c r="J730" i="31" s="1"/>
  <c r="J729" i="31" s="1"/>
  <c r="I730" i="31" a="1"/>
  <c r="I730" i="31" s="1"/>
  <c r="I729" i="31" s="1"/>
  <c r="H730" i="31" a="1"/>
  <c r="H730" i="31" s="1"/>
  <c r="H729" i="31" s="1"/>
  <c r="G730" i="31" a="1"/>
  <c r="G730" i="31" s="1"/>
  <c r="G729" i="31" s="1"/>
  <c r="F730" i="31" a="1"/>
  <c r="F730" i="31" s="1"/>
  <c r="F729" i="31" s="1"/>
  <c r="E730" i="31" a="1"/>
  <c r="E730" i="31" s="1"/>
  <c r="E729" i="31" s="1"/>
  <c r="D730" i="31" a="1"/>
  <c r="D730" i="31" s="1"/>
  <c r="D729" i="31" s="1"/>
  <c r="D726" i="31" a="1"/>
  <c r="D726" i="31" s="1"/>
  <c r="D725" i="31" s="1"/>
  <c r="D724" i="31" s="1"/>
  <c r="R720" i="31" a="1"/>
  <c r="R720" i="31" s="1"/>
  <c r="R719" i="31" s="1"/>
  <c r="P720" i="31" a="1"/>
  <c r="P720" i="31" s="1"/>
  <c r="P719" i="31" s="1"/>
  <c r="O720" i="31" a="1"/>
  <c r="O720" i="31" s="1"/>
  <c r="O719" i="31" s="1"/>
  <c r="N720" i="31" a="1"/>
  <c r="N720" i="31" s="1"/>
  <c r="N719" i="31" s="1"/>
  <c r="M720" i="31" a="1"/>
  <c r="M720" i="31" s="1"/>
  <c r="M719" i="31" s="1"/>
  <c r="L720" i="31" a="1"/>
  <c r="L720" i="31" s="1"/>
  <c r="L719" i="31" s="1"/>
  <c r="K720" i="31" a="1"/>
  <c r="K720" i="31" s="1"/>
  <c r="K719" i="31" s="1"/>
  <c r="J720" i="31" a="1"/>
  <c r="J720" i="31" s="1"/>
  <c r="J719" i="31" s="1"/>
  <c r="I720" i="31" a="1"/>
  <c r="I720" i="31" s="1"/>
  <c r="I719" i="31" s="1"/>
  <c r="H720" i="31" a="1"/>
  <c r="H720" i="31" s="1"/>
  <c r="H719" i="31" s="1"/>
  <c r="G720" i="31" a="1"/>
  <c r="G720" i="31" s="1"/>
  <c r="G719" i="31" s="1"/>
  <c r="F720" i="31" a="1"/>
  <c r="F720" i="31" s="1"/>
  <c r="F719" i="31" s="1"/>
  <c r="E720" i="31" a="1"/>
  <c r="E720" i="31" s="1"/>
  <c r="E719" i="31" s="1"/>
  <c r="D720" i="31" a="1"/>
  <c r="D720" i="31" s="1"/>
  <c r="D719" i="31" s="1"/>
  <c r="R716" i="31"/>
  <c r="P716" i="31"/>
  <c r="O716" i="31"/>
  <c r="N716" i="31"/>
  <c r="M716" i="31"/>
  <c r="L716" i="31"/>
  <c r="K716" i="31"/>
  <c r="J716" i="31"/>
  <c r="I716" i="31"/>
  <c r="H716" i="31"/>
  <c r="G716" i="31"/>
  <c r="F716" i="31"/>
  <c r="E716" i="31"/>
  <c r="D716" i="31"/>
  <c r="R713" i="31" a="1"/>
  <c r="R713" i="31" s="1"/>
  <c r="P713" i="31" a="1"/>
  <c r="P713" i="31" s="1"/>
  <c r="O713" i="31" a="1"/>
  <c r="O713" i="31" s="1"/>
  <c r="N713" i="31" a="1"/>
  <c r="N713" i="31" s="1"/>
  <c r="M713" i="31" a="1"/>
  <c r="M713" i="31" s="1"/>
  <c r="L713" i="31" a="1"/>
  <c r="L713" i="31" s="1"/>
  <c r="K713" i="31" a="1"/>
  <c r="K713" i="31" s="1"/>
  <c r="J713" i="31" a="1"/>
  <c r="J713" i="31" s="1"/>
  <c r="I713" i="31" a="1"/>
  <c r="I713" i="31" s="1"/>
  <c r="H713" i="31" a="1"/>
  <c r="H713" i="31" s="1"/>
  <c r="G713" i="31" a="1"/>
  <c r="G713" i="31" s="1"/>
  <c r="F713" i="31" a="1"/>
  <c r="F713" i="31" s="1"/>
  <c r="E713" i="31" a="1"/>
  <c r="E713" i="31" s="1"/>
  <c r="D713" i="31" a="1"/>
  <c r="D713" i="31" s="1"/>
  <c r="R712" i="31" a="1"/>
  <c r="R712" i="31" s="1"/>
  <c r="P712" i="31" a="1"/>
  <c r="P712" i="31" s="1"/>
  <c r="O712" i="31" a="1"/>
  <c r="O712" i="31" s="1"/>
  <c r="N712" i="31" a="1"/>
  <c r="N712" i="31" s="1"/>
  <c r="M712" i="31" a="1"/>
  <c r="M712" i="31" s="1"/>
  <c r="L712" i="31" a="1"/>
  <c r="L712" i="31" s="1"/>
  <c r="K712" i="31" a="1"/>
  <c r="K712" i="31" s="1"/>
  <c r="J712" i="31" a="1"/>
  <c r="J712" i="31" s="1"/>
  <c r="I712" i="31" a="1"/>
  <c r="I712" i="31" s="1"/>
  <c r="H712" i="31" a="1"/>
  <c r="H712" i="31" s="1"/>
  <c r="G712" i="31" a="1"/>
  <c r="G712" i="31" s="1"/>
  <c r="F712" i="31" a="1"/>
  <c r="F712" i="31" s="1"/>
  <c r="E712" i="31" a="1"/>
  <c r="E712" i="31" s="1"/>
  <c r="D712" i="31" a="1"/>
  <c r="D712" i="31" s="1"/>
  <c r="R711" i="31" a="1"/>
  <c r="R711" i="31" s="1"/>
  <c r="P711" i="31" a="1"/>
  <c r="P711" i="31" s="1"/>
  <c r="O711" i="31" a="1"/>
  <c r="O711" i="31" s="1"/>
  <c r="N711" i="31" a="1"/>
  <c r="N711" i="31" s="1"/>
  <c r="M711" i="31" a="1"/>
  <c r="M711" i="31" s="1"/>
  <c r="L711" i="31" a="1"/>
  <c r="L711" i="31" s="1"/>
  <c r="K711" i="31" a="1"/>
  <c r="K711" i="31" s="1"/>
  <c r="J711" i="31" a="1"/>
  <c r="J711" i="31" s="1"/>
  <c r="I711" i="31" a="1"/>
  <c r="I711" i="31" s="1"/>
  <c r="H711" i="31" a="1"/>
  <c r="H711" i="31" s="1"/>
  <c r="G711" i="31" a="1"/>
  <c r="G711" i="31" s="1"/>
  <c r="F711" i="31" a="1"/>
  <c r="F711" i="31" s="1"/>
  <c r="E711" i="31" a="1"/>
  <c r="E711" i="31" s="1"/>
  <c r="D711" i="31" a="1"/>
  <c r="D711" i="31" s="1"/>
  <c r="R710" i="31" a="1"/>
  <c r="R710" i="31" s="1"/>
  <c r="P710" i="31" a="1"/>
  <c r="P710" i="31" s="1"/>
  <c r="O710" i="31" a="1"/>
  <c r="O710" i="31" s="1"/>
  <c r="N710" i="31" a="1"/>
  <c r="N710" i="31" s="1"/>
  <c r="M710" i="31" a="1"/>
  <c r="M710" i="31" s="1"/>
  <c r="L710" i="31" a="1"/>
  <c r="L710" i="31" s="1"/>
  <c r="K710" i="31" a="1"/>
  <c r="K710" i="31" s="1"/>
  <c r="J710" i="31" a="1"/>
  <c r="J710" i="31" s="1"/>
  <c r="I710" i="31" a="1"/>
  <c r="I710" i="31" s="1"/>
  <c r="H710" i="31" a="1"/>
  <c r="H710" i="31" s="1"/>
  <c r="G710" i="31" a="1"/>
  <c r="G710" i="31" s="1"/>
  <c r="F710" i="31" a="1"/>
  <c r="F710" i="31" s="1"/>
  <c r="E710" i="31" a="1"/>
  <c r="E710" i="31" s="1"/>
  <c r="D710" i="31" a="1"/>
  <c r="D710" i="31" s="1"/>
  <c r="R709" i="31" a="1"/>
  <c r="R709" i="31" s="1"/>
  <c r="P709" i="31" a="1"/>
  <c r="P709" i="31" s="1"/>
  <c r="O709" i="31" a="1"/>
  <c r="O709" i="31" s="1"/>
  <c r="N709" i="31" a="1"/>
  <c r="N709" i="31" s="1"/>
  <c r="M709" i="31" a="1"/>
  <c r="M709" i="31" s="1"/>
  <c r="L709" i="31" a="1"/>
  <c r="L709" i="31" s="1"/>
  <c r="K709" i="31" a="1"/>
  <c r="K709" i="31" s="1"/>
  <c r="J709" i="31" a="1"/>
  <c r="J709" i="31" s="1"/>
  <c r="I709" i="31" a="1"/>
  <c r="I709" i="31" s="1"/>
  <c r="H709" i="31" a="1"/>
  <c r="H709" i="31" s="1"/>
  <c r="G709" i="31" a="1"/>
  <c r="G709" i="31" s="1"/>
  <c r="F709" i="31" a="1"/>
  <c r="F709" i="31" s="1"/>
  <c r="E709" i="31" a="1"/>
  <c r="E709" i="31" s="1"/>
  <c r="D709" i="31" a="1"/>
  <c r="D709" i="31" s="1"/>
  <c r="R708" i="31" a="1"/>
  <c r="R708" i="31" s="1"/>
  <c r="P708" i="31" a="1"/>
  <c r="P708" i="31" s="1"/>
  <c r="O708" i="31" a="1"/>
  <c r="O708" i="31" s="1"/>
  <c r="N708" i="31" a="1"/>
  <c r="N708" i="31" s="1"/>
  <c r="M708" i="31" a="1"/>
  <c r="M708" i="31" s="1"/>
  <c r="L708" i="31" a="1"/>
  <c r="L708" i="31" s="1"/>
  <c r="K708" i="31" a="1"/>
  <c r="K708" i="31" s="1"/>
  <c r="J708" i="31" a="1"/>
  <c r="J708" i="31" s="1"/>
  <c r="I708" i="31" a="1"/>
  <c r="I708" i="31" s="1"/>
  <c r="H708" i="31" a="1"/>
  <c r="H708" i="31" s="1"/>
  <c r="G708" i="31" a="1"/>
  <c r="G708" i="31" s="1"/>
  <c r="F708" i="31" a="1"/>
  <c r="F708" i="31" s="1"/>
  <c r="E708" i="31" a="1"/>
  <c r="E708" i="31" s="1"/>
  <c r="D708" i="31" a="1"/>
  <c r="D708" i="31" s="1"/>
  <c r="R707" i="31" a="1"/>
  <c r="R707" i="31" s="1"/>
  <c r="P707" i="31" a="1"/>
  <c r="P707" i="31" s="1"/>
  <c r="O707" i="31" a="1"/>
  <c r="O707" i="31" s="1"/>
  <c r="N707" i="31" a="1"/>
  <c r="N707" i="31" s="1"/>
  <c r="M707" i="31" a="1"/>
  <c r="M707" i="31" s="1"/>
  <c r="L707" i="31" a="1"/>
  <c r="L707" i="31" s="1"/>
  <c r="K707" i="31" a="1"/>
  <c r="K707" i="31" s="1"/>
  <c r="J707" i="31" a="1"/>
  <c r="J707" i="31" s="1"/>
  <c r="I707" i="31" a="1"/>
  <c r="I707" i="31" s="1"/>
  <c r="H707" i="31" a="1"/>
  <c r="H707" i="31" s="1"/>
  <c r="G707" i="31" a="1"/>
  <c r="G707" i="31" s="1"/>
  <c r="F707" i="31" a="1"/>
  <c r="F707" i="31" s="1"/>
  <c r="E707" i="31" a="1"/>
  <c r="E707" i="31" s="1"/>
  <c r="D707" i="31" a="1"/>
  <c r="D707" i="31" s="1"/>
  <c r="R706" i="31" a="1"/>
  <c r="R706" i="31" s="1"/>
  <c r="P706" i="31" a="1"/>
  <c r="P706" i="31" s="1"/>
  <c r="O706" i="31" a="1"/>
  <c r="O706" i="31" s="1"/>
  <c r="N706" i="31" a="1"/>
  <c r="N706" i="31" s="1"/>
  <c r="M706" i="31" a="1"/>
  <c r="M706" i="31" s="1"/>
  <c r="L706" i="31" a="1"/>
  <c r="L706" i="31" s="1"/>
  <c r="K706" i="31" a="1"/>
  <c r="K706" i="31" s="1"/>
  <c r="J706" i="31" a="1"/>
  <c r="J706" i="31" s="1"/>
  <c r="I706" i="31" a="1"/>
  <c r="I706" i="31" s="1"/>
  <c r="H706" i="31" a="1"/>
  <c r="H706" i="31" s="1"/>
  <c r="G706" i="31" a="1"/>
  <c r="G706" i="31" s="1"/>
  <c r="F706" i="31" a="1"/>
  <c r="F706" i="31" s="1"/>
  <c r="E706" i="31" a="1"/>
  <c r="E706" i="31" s="1"/>
  <c r="D706" i="31" a="1"/>
  <c r="D706" i="31" s="1"/>
  <c r="R705" i="31" a="1"/>
  <c r="R705" i="31" s="1"/>
  <c r="P705" i="31" a="1"/>
  <c r="P705" i="31" s="1"/>
  <c r="O705" i="31" a="1"/>
  <c r="O705" i="31" s="1"/>
  <c r="N705" i="31" a="1"/>
  <c r="N705" i="31" s="1"/>
  <c r="M705" i="31" a="1"/>
  <c r="M705" i="31" s="1"/>
  <c r="L705" i="31" a="1"/>
  <c r="L705" i="31" s="1"/>
  <c r="K705" i="31" a="1"/>
  <c r="K705" i="31" s="1"/>
  <c r="J705" i="31" a="1"/>
  <c r="J705" i="31" s="1"/>
  <c r="I705" i="31" a="1"/>
  <c r="I705" i="31" s="1"/>
  <c r="H705" i="31" a="1"/>
  <c r="H705" i="31" s="1"/>
  <c r="G705" i="31" a="1"/>
  <c r="G705" i="31" s="1"/>
  <c r="F705" i="31" a="1"/>
  <c r="F705" i="31" s="1"/>
  <c r="E705" i="31" a="1"/>
  <c r="E705" i="31" s="1"/>
  <c r="D705" i="31" a="1"/>
  <c r="D705" i="31" s="1"/>
  <c r="R704" i="31" a="1"/>
  <c r="R704" i="31" s="1"/>
  <c r="P704" i="31" a="1"/>
  <c r="P704" i="31" s="1"/>
  <c r="O704" i="31" a="1"/>
  <c r="O704" i="31" s="1"/>
  <c r="N704" i="31" a="1"/>
  <c r="N704" i="31" s="1"/>
  <c r="M704" i="31" a="1"/>
  <c r="M704" i="31" s="1"/>
  <c r="L704" i="31" a="1"/>
  <c r="L704" i="31" s="1"/>
  <c r="K704" i="31" a="1"/>
  <c r="K704" i="31" s="1"/>
  <c r="J704" i="31" a="1"/>
  <c r="J704" i="31" s="1"/>
  <c r="I704" i="31" a="1"/>
  <c r="I704" i="31" s="1"/>
  <c r="H704" i="31" a="1"/>
  <c r="H704" i="31" s="1"/>
  <c r="G704" i="31" a="1"/>
  <c r="G704" i="31" s="1"/>
  <c r="F704" i="31" a="1"/>
  <c r="F704" i="31" s="1"/>
  <c r="E704" i="31" a="1"/>
  <c r="E704" i="31" s="1"/>
  <c r="D704" i="31" a="1"/>
  <c r="D704" i="31" s="1"/>
  <c r="R703" i="31" a="1"/>
  <c r="R703" i="31" s="1"/>
  <c r="P703" i="31" a="1"/>
  <c r="P703" i="31" s="1"/>
  <c r="O703" i="31" a="1"/>
  <c r="O703" i="31" s="1"/>
  <c r="N703" i="31" a="1"/>
  <c r="N703" i="31" s="1"/>
  <c r="M703" i="31" a="1"/>
  <c r="M703" i="31" s="1"/>
  <c r="L703" i="31" a="1"/>
  <c r="L703" i="31" s="1"/>
  <c r="K703" i="31" a="1"/>
  <c r="K703" i="31" s="1"/>
  <c r="J703" i="31" a="1"/>
  <c r="J703" i="31" s="1"/>
  <c r="I703" i="31" a="1"/>
  <c r="I703" i="31" s="1"/>
  <c r="H703" i="31" a="1"/>
  <c r="H703" i="31" s="1"/>
  <c r="G703" i="31" a="1"/>
  <c r="G703" i="31" s="1"/>
  <c r="F703" i="31" a="1"/>
  <c r="F703" i="31" s="1"/>
  <c r="E703" i="31" a="1"/>
  <c r="E703" i="31" s="1"/>
  <c r="D703" i="31" a="1"/>
  <c r="D703" i="31" s="1"/>
  <c r="R702" i="31" a="1"/>
  <c r="R702" i="31" s="1"/>
  <c r="P702" i="31" a="1"/>
  <c r="P702" i="31" s="1"/>
  <c r="O702" i="31" a="1"/>
  <c r="O702" i="31" s="1"/>
  <c r="N702" i="31" a="1"/>
  <c r="N702" i="31" s="1"/>
  <c r="M702" i="31" a="1"/>
  <c r="M702" i="31" s="1"/>
  <c r="L702" i="31" a="1"/>
  <c r="L702" i="31" s="1"/>
  <c r="K702" i="31" a="1"/>
  <c r="K702" i="31" s="1"/>
  <c r="J702" i="31" a="1"/>
  <c r="J702" i="31" s="1"/>
  <c r="I702" i="31" a="1"/>
  <c r="I702" i="31" s="1"/>
  <c r="H702" i="31" a="1"/>
  <c r="H702" i="31" s="1"/>
  <c r="G702" i="31" a="1"/>
  <c r="G702" i="31" s="1"/>
  <c r="F702" i="31" a="1"/>
  <c r="F702" i="31" s="1"/>
  <c r="E702" i="31" a="1"/>
  <c r="E702" i="31" s="1"/>
  <c r="D702" i="31" a="1"/>
  <c r="D702" i="31" s="1"/>
  <c r="R701" i="31" a="1"/>
  <c r="R701" i="31" s="1"/>
  <c r="P701" i="31" a="1"/>
  <c r="P701" i="31" s="1"/>
  <c r="O701" i="31" a="1"/>
  <c r="O701" i="31" s="1"/>
  <c r="N701" i="31" a="1"/>
  <c r="N701" i="31" s="1"/>
  <c r="M701" i="31" a="1"/>
  <c r="M701" i="31" s="1"/>
  <c r="L701" i="31" a="1"/>
  <c r="L701" i="31" s="1"/>
  <c r="K701" i="31" a="1"/>
  <c r="K701" i="31" s="1"/>
  <c r="J701" i="31" a="1"/>
  <c r="J701" i="31" s="1"/>
  <c r="I701" i="31" a="1"/>
  <c r="I701" i="31" s="1"/>
  <c r="H701" i="31" a="1"/>
  <c r="H701" i="31" s="1"/>
  <c r="G701" i="31" a="1"/>
  <c r="G701" i="31" s="1"/>
  <c r="F701" i="31" a="1"/>
  <c r="F701" i="31" s="1"/>
  <c r="E701" i="31" a="1"/>
  <c r="E701" i="31" s="1"/>
  <c r="D701" i="31" a="1"/>
  <c r="D701" i="31" s="1"/>
  <c r="R700" i="31" a="1"/>
  <c r="R700" i="31" s="1"/>
  <c r="P700" i="31" a="1"/>
  <c r="P700" i="31" s="1"/>
  <c r="O700" i="31" a="1"/>
  <c r="O700" i="31" s="1"/>
  <c r="N700" i="31" a="1"/>
  <c r="N700" i="31" s="1"/>
  <c r="M700" i="31" a="1"/>
  <c r="M700" i="31" s="1"/>
  <c r="L700" i="31" a="1"/>
  <c r="L700" i="31" s="1"/>
  <c r="K700" i="31" a="1"/>
  <c r="K700" i="31" s="1"/>
  <c r="J700" i="31" a="1"/>
  <c r="J700" i="31" s="1"/>
  <c r="I700" i="31" a="1"/>
  <c r="I700" i="31" s="1"/>
  <c r="H700" i="31" a="1"/>
  <c r="H700" i="31" s="1"/>
  <c r="G700" i="31" a="1"/>
  <c r="G700" i="31" s="1"/>
  <c r="F700" i="31" a="1"/>
  <c r="F700" i="31" s="1"/>
  <c r="E700" i="31" a="1"/>
  <c r="E700" i="31" s="1"/>
  <c r="D700" i="31" a="1"/>
  <c r="D700" i="31" s="1"/>
  <c r="R699" i="31" a="1"/>
  <c r="R699" i="31" s="1"/>
  <c r="P699" i="31" a="1"/>
  <c r="P699" i="31" s="1"/>
  <c r="O699" i="31" a="1"/>
  <c r="O699" i="31" s="1"/>
  <c r="N699" i="31" a="1"/>
  <c r="N699" i="31" s="1"/>
  <c r="M699" i="31" a="1"/>
  <c r="M699" i="31" s="1"/>
  <c r="L699" i="31" a="1"/>
  <c r="L699" i="31" s="1"/>
  <c r="K699" i="31" a="1"/>
  <c r="K699" i="31" s="1"/>
  <c r="J699" i="31" a="1"/>
  <c r="J699" i="31" s="1"/>
  <c r="I699" i="31" a="1"/>
  <c r="I699" i="31" s="1"/>
  <c r="H699" i="31" a="1"/>
  <c r="H699" i="31" s="1"/>
  <c r="G699" i="31" a="1"/>
  <c r="G699" i="31" s="1"/>
  <c r="F699" i="31" a="1"/>
  <c r="F699" i="31" s="1"/>
  <c r="E699" i="31" a="1"/>
  <c r="E699" i="31" s="1"/>
  <c r="D699" i="31" a="1"/>
  <c r="D699" i="31" s="1"/>
  <c r="R698" i="31" a="1"/>
  <c r="R698" i="31" s="1"/>
  <c r="P698" i="31" a="1"/>
  <c r="P698" i="31" s="1"/>
  <c r="O698" i="31" a="1"/>
  <c r="O698" i="31" s="1"/>
  <c r="N698" i="31" a="1"/>
  <c r="N698" i="31" s="1"/>
  <c r="M698" i="31" a="1"/>
  <c r="M698" i="31" s="1"/>
  <c r="L698" i="31" a="1"/>
  <c r="L698" i="31" s="1"/>
  <c r="K698" i="31" a="1"/>
  <c r="K698" i="31" s="1"/>
  <c r="J698" i="31" a="1"/>
  <c r="J698" i="31" s="1"/>
  <c r="I698" i="31" a="1"/>
  <c r="I698" i="31" s="1"/>
  <c r="H698" i="31" a="1"/>
  <c r="H698" i="31" s="1"/>
  <c r="G698" i="31" a="1"/>
  <c r="G698" i="31" s="1"/>
  <c r="F698" i="31" a="1"/>
  <c r="F698" i="31" s="1"/>
  <c r="E698" i="31" a="1"/>
  <c r="E698" i="31" s="1"/>
  <c r="D698" i="31" a="1"/>
  <c r="D698" i="31" s="1"/>
  <c r="R697" i="31" a="1"/>
  <c r="R697" i="31" s="1"/>
  <c r="P697" i="31" a="1"/>
  <c r="P697" i="31" s="1"/>
  <c r="O697" i="31" a="1"/>
  <c r="O697" i="31" s="1"/>
  <c r="N697" i="31" a="1"/>
  <c r="N697" i="31" s="1"/>
  <c r="M697" i="31" a="1"/>
  <c r="M697" i="31" s="1"/>
  <c r="L697" i="31" a="1"/>
  <c r="L697" i="31" s="1"/>
  <c r="K697" i="31" a="1"/>
  <c r="K697" i="31" s="1"/>
  <c r="J697" i="31" a="1"/>
  <c r="J697" i="31" s="1"/>
  <c r="I697" i="31" a="1"/>
  <c r="I697" i="31" s="1"/>
  <c r="H697" i="31" a="1"/>
  <c r="H697" i="31" s="1"/>
  <c r="G697" i="31" a="1"/>
  <c r="G697" i="31" s="1"/>
  <c r="F697" i="31" a="1"/>
  <c r="F697" i="31" s="1"/>
  <c r="E697" i="31" a="1"/>
  <c r="E697" i="31" s="1"/>
  <c r="D697" i="31" a="1"/>
  <c r="D697" i="31" s="1"/>
  <c r="R680" i="31" a="1"/>
  <c r="R680" i="31" s="1"/>
  <c r="R679" i="31" s="1"/>
  <c r="P680" i="31" a="1"/>
  <c r="P680" i="31" s="1"/>
  <c r="P679" i="31" s="1"/>
  <c r="O680" i="31" a="1"/>
  <c r="O680" i="31" s="1"/>
  <c r="O679" i="31" s="1"/>
  <c r="N680" i="31" a="1"/>
  <c r="N680" i="31" s="1"/>
  <c r="N679" i="31" s="1"/>
  <c r="M680" i="31" a="1"/>
  <c r="M680" i="31" s="1"/>
  <c r="M679" i="31" s="1"/>
  <c r="L680" i="31" a="1"/>
  <c r="L680" i="31" s="1"/>
  <c r="L679" i="31" s="1"/>
  <c r="K680" i="31" a="1"/>
  <c r="K680" i="31" s="1"/>
  <c r="K679" i="31" s="1"/>
  <c r="J680" i="31" a="1"/>
  <c r="J680" i="31" s="1"/>
  <c r="J679" i="31" s="1"/>
  <c r="I680" i="31" a="1"/>
  <c r="I680" i="31" s="1"/>
  <c r="I679" i="31" s="1"/>
  <c r="H680" i="31" a="1"/>
  <c r="H680" i="31" s="1"/>
  <c r="H679" i="31" s="1"/>
  <c r="G680" i="31" a="1"/>
  <c r="G680" i="31" s="1"/>
  <c r="G679" i="31" s="1"/>
  <c r="F680" i="31" a="1"/>
  <c r="F680" i="31" s="1"/>
  <c r="F679" i="31" s="1"/>
  <c r="E680" i="31" a="1"/>
  <c r="E680" i="31" s="1"/>
  <c r="E679" i="31" s="1"/>
  <c r="D680" i="31" a="1"/>
  <c r="D680" i="31" s="1"/>
  <c r="D679" i="31" s="1"/>
  <c r="D676" i="31" a="1"/>
  <c r="P675" i="31" s="1"/>
  <c r="P674" i="31" s="1"/>
  <c r="R670" i="31" a="1"/>
  <c r="R670" i="31" s="1"/>
  <c r="R669" i="31" s="1"/>
  <c r="P670" i="31" a="1"/>
  <c r="P670" i="31" s="1"/>
  <c r="P669" i="31" s="1"/>
  <c r="O670" i="31" a="1"/>
  <c r="O670" i="31" s="1"/>
  <c r="O669" i="31" s="1"/>
  <c r="N670" i="31" a="1"/>
  <c r="N670" i="31" s="1"/>
  <c r="N669" i="31" s="1"/>
  <c r="M670" i="31" a="1"/>
  <c r="M670" i="31" s="1"/>
  <c r="M669" i="31" s="1"/>
  <c r="L670" i="31" a="1"/>
  <c r="L670" i="31" s="1"/>
  <c r="L669" i="31" s="1"/>
  <c r="K670" i="31" a="1"/>
  <c r="K670" i="31" s="1"/>
  <c r="K669" i="31" s="1"/>
  <c r="J670" i="31" a="1"/>
  <c r="J670" i="31" s="1"/>
  <c r="J669" i="31" s="1"/>
  <c r="I670" i="31" a="1"/>
  <c r="I670" i="31" s="1"/>
  <c r="I669" i="31" s="1"/>
  <c r="H670" i="31" a="1"/>
  <c r="H670" i="31" s="1"/>
  <c r="H669" i="31" s="1"/>
  <c r="G670" i="31" a="1"/>
  <c r="G670" i="31" s="1"/>
  <c r="G669" i="31" s="1"/>
  <c r="F670" i="31" a="1"/>
  <c r="F670" i="31" s="1"/>
  <c r="F669" i="31" s="1"/>
  <c r="E670" i="31" a="1"/>
  <c r="E670" i="31" s="1"/>
  <c r="E669" i="31" s="1"/>
  <c r="D670" i="31" a="1"/>
  <c r="D670" i="31" s="1"/>
  <c r="D669" i="31" s="1"/>
  <c r="R666" i="31"/>
  <c r="P666" i="31"/>
  <c r="O666" i="31"/>
  <c r="N666" i="31"/>
  <c r="M666" i="31"/>
  <c r="L666" i="31"/>
  <c r="K666" i="31"/>
  <c r="J666" i="31"/>
  <c r="I666" i="31"/>
  <c r="H666" i="31"/>
  <c r="G666" i="31"/>
  <c r="F666" i="31"/>
  <c r="E666" i="31"/>
  <c r="D666" i="31"/>
  <c r="R663" i="31" a="1"/>
  <c r="R663" i="31" s="1"/>
  <c r="P663" i="31" a="1"/>
  <c r="P663" i="31" s="1"/>
  <c r="O663" i="31" a="1"/>
  <c r="O663" i="31" s="1"/>
  <c r="N663" i="31" a="1"/>
  <c r="N663" i="31" s="1"/>
  <c r="M663" i="31" a="1"/>
  <c r="M663" i="31" s="1"/>
  <c r="L663" i="31" a="1"/>
  <c r="L663" i="31" s="1"/>
  <c r="K663" i="31" a="1"/>
  <c r="K663" i="31" s="1"/>
  <c r="J663" i="31" a="1"/>
  <c r="J663" i="31" s="1"/>
  <c r="I663" i="31" a="1"/>
  <c r="I663" i="31" s="1"/>
  <c r="H663" i="31" a="1"/>
  <c r="H663" i="31" s="1"/>
  <c r="G663" i="31" a="1"/>
  <c r="G663" i="31" s="1"/>
  <c r="F663" i="31" a="1"/>
  <c r="F663" i="31" s="1"/>
  <c r="E663" i="31" a="1"/>
  <c r="E663" i="31" s="1"/>
  <c r="D663" i="31" a="1"/>
  <c r="D663" i="31" s="1"/>
  <c r="R662" i="31" a="1"/>
  <c r="R662" i="31" s="1"/>
  <c r="P662" i="31" a="1"/>
  <c r="P662" i="31" s="1"/>
  <c r="O662" i="31" a="1"/>
  <c r="O662" i="31" s="1"/>
  <c r="N662" i="31" a="1"/>
  <c r="N662" i="31" s="1"/>
  <c r="M662" i="31" a="1"/>
  <c r="M662" i="31" s="1"/>
  <c r="L662" i="31" a="1"/>
  <c r="L662" i="31" s="1"/>
  <c r="K662" i="31" a="1"/>
  <c r="K662" i="31" s="1"/>
  <c r="J662" i="31" a="1"/>
  <c r="J662" i="31" s="1"/>
  <c r="I662" i="31" a="1"/>
  <c r="I662" i="31" s="1"/>
  <c r="H662" i="31" a="1"/>
  <c r="H662" i="31" s="1"/>
  <c r="G662" i="31" a="1"/>
  <c r="G662" i="31" s="1"/>
  <c r="F662" i="31" a="1"/>
  <c r="F662" i="31" s="1"/>
  <c r="E662" i="31" a="1"/>
  <c r="E662" i="31" s="1"/>
  <c r="D662" i="31" a="1"/>
  <c r="D662" i="31" s="1"/>
  <c r="R661" i="31" a="1"/>
  <c r="R661" i="31" s="1"/>
  <c r="P661" i="31" a="1"/>
  <c r="P661" i="31" s="1"/>
  <c r="O661" i="31" a="1"/>
  <c r="O661" i="31" s="1"/>
  <c r="N661" i="31" a="1"/>
  <c r="N661" i="31" s="1"/>
  <c r="M661" i="31" a="1"/>
  <c r="M661" i="31" s="1"/>
  <c r="L661" i="31" a="1"/>
  <c r="L661" i="31" s="1"/>
  <c r="K661" i="31" a="1"/>
  <c r="K661" i="31" s="1"/>
  <c r="J661" i="31" a="1"/>
  <c r="J661" i="31" s="1"/>
  <c r="I661" i="31" a="1"/>
  <c r="I661" i="31" s="1"/>
  <c r="H661" i="31" a="1"/>
  <c r="H661" i="31" s="1"/>
  <c r="G661" i="31" a="1"/>
  <c r="G661" i="31" s="1"/>
  <c r="F661" i="31" a="1"/>
  <c r="F661" i="31" s="1"/>
  <c r="E661" i="31" a="1"/>
  <c r="E661" i="31" s="1"/>
  <c r="D661" i="31" a="1"/>
  <c r="D661" i="31" s="1"/>
  <c r="R660" i="31" a="1"/>
  <c r="R660" i="31" s="1"/>
  <c r="P660" i="31" a="1"/>
  <c r="P660" i="31" s="1"/>
  <c r="O660" i="31" a="1"/>
  <c r="O660" i="31" s="1"/>
  <c r="N660" i="31" a="1"/>
  <c r="N660" i="31" s="1"/>
  <c r="M660" i="31" a="1"/>
  <c r="M660" i="31" s="1"/>
  <c r="L660" i="31" a="1"/>
  <c r="L660" i="31" s="1"/>
  <c r="K660" i="31" a="1"/>
  <c r="K660" i="31" s="1"/>
  <c r="J660" i="31" a="1"/>
  <c r="J660" i="31" s="1"/>
  <c r="I660" i="31" a="1"/>
  <c r="I660" i="31" s="1"/>
  <c r="H660" i="31" a="1"/>
  <c r="H660" i="31" s="1"/>
  <c r="G660" i="31" a="1"/>
  <c r="G660" i="31" s="1"/>
  <c r="F660" i="31" a="1"/>
  <c r="F660" i="31" s="1"/>
  <c r="E660" i="31" a="1"/>
  <c r="E660" i="31" s="1"/>
  <c r="D660" i="31" a="1"/>
  <c r="D660" i="31" s="1"/>
  <c r="R659" i="31" a="1"/>
  <c r="R659" i="31" s="1"/>
  <c r="P659" i="31" a="1"/>
  <c r="P659" i="31" s="1"/>
  <c r="O659" i="31" a="1"/>
  <c r="O659" i="31" s="1"/>
  <c r="N659" i="31" a="1"/>
  <c r="N659" i="31" s="1"/>
  <c r="M659" i="31" a="1"/>
  <c r="M659" i="31" s="1"/>
  <c r="L659" i="31" a="1"/>
  <c r="L659" i="31" s="1"/>
  <c r="K659" i="31" a="1"/>
  <c r="K659" i="31" s="1"/>
  <c r="J659" i="31" a="1"/>
  <c r="J659" i="31" s="1"/>
  <c r="I659" i="31" a="1"/>
  <c r="I659" i="31" s="1"/>
  <c r="H659" i="31" a="1"/>
  <c r="H659" i="31" s="1"/>
  <c r="G659" i="31" a="1"/>
  <c r="G659" i="31" s="1"/>
  <c r="F659" i="31" a="1"/>
  <c r="F659" i="31" s="1"/>
  <c r="E659" i="31" a="1"/>
  <c r="E659" i="31" s="1"/>
  <c r="D659" i="31" a="1"/>
  <c r="D659" i="31" s="1"/>
  <c r="R658" i="31" a="1"/>
  <c r="R658" i="31" s="1"/>
  <c r="P658" i="31" a="1"/>
  <c r="P658" i="31" s="1"/>
  <c r="O658" i="31" a="1"/>
  <c r="O658" i="31" s="1"/>
  <c r="N658" i="31" a="1"/>
  <c r="N658" i="31" s="1"/>
  <c r="M658" i="31" a="1"/>
  <c r="M658" i="31" s="1"/>
  <c r="L658" i="31" a="1"/>
  <c r="L658" i="31" s="1"/>
  <c r="K658" i="31" a="1"/>
  <c r="K658" i="31" s="1"/>
  <c r="J658" i="31" a="1"/>
  <c r="J658" i="31" s="1"/>
  <c r="I658" i="31" a="1"/>
  <c r="I658" i="31" s="1"/>
  <c r="H658" i="31" a="1"/>
  <c r="H658" i="31" s="1"/>
  <c r="G658" i="31" a="1"/>
  <c r="G658" i="31" s="1"/>
  <c r="F658" i="31" a="1"/>
  <c r="F658" i="31" s="1"/>
  <c r="E658" i="31" a="1"/>
  <c r="E658" i="31" s="1"/>
  <c r="D658" i="31" a="1"/>
  <c r="D658" i="31" s="1"/>
  <c r="R657" i="31" a="1"/>
  <c r="R657" i="31" s="1"/>
  <c r="P657" i="31" a="1"/>
  <c r="P657" i="31" s="1"/>
  <c r="O657" i="31" a="1"/>
  <c r="O657" i="31" s="1"/>
  <c r="N657" i="31" a="1"/>
  <c r="N657" i="31" s="1"/>
  <c r="M657" i="31" a="1"/>
  <c r="M657" i="31" s="1"/>
  <c r="L657" i="31" a="1"/>
  <c r="L657" i="31" s="1"/>
  <c r="K657" i="31" a="1"/>
  <c r="K657" i="31" s="1"/>
  <c r="J657" i="31" a="1"/>
  <c r="J657" i="31" s="1"/>
  <c r="I657" i="31" a="1"/>
  <c r="I657" i="31" s="1"/>
  <c r="H657" i="31" a="1"/>
  <c r="H657" i="31" s="1"/>
  <c r="G657" i="31" a="1"/>
  <c r="G657" i="31" s="1"/>
  <c r="F657" i="31" a="1"/>
  <c r="F657" i="31" s="1"/>
  <c r="E657" i="31" a="1"/>
  <c r="E657" i="31" s="1"/>
  <c r="D657" i="31" a="1"/>
  <c r="D657" i="31" s="1"/>
  <c r="R656" i="31" a="1"/>
  <c r="R656" i="31" s="1"/>
  <c r="P656" i="31" a="1"/>
  <c r="P656" i="31" s="1"/>
  <c r="O656" i="31" a="1"/>
  <c r="O656" i="31" s="1"/>
  <c r="N656" i="31" a="1"/>
  <c r="N656" i="31" s="1"/>
  <c r="M656" i="31" a="1"/>
  <c r="M656" i="31" s="1"/>
  <c r="L656" i="31" a="1"/>
  <c r="L656" i="31" s="1"/>
  <c r="K656" i="31" a="1"/>
  <c r="K656" i="31" s="1"/>
  <c r="J656" i="31" a="1"/>
  <c r="J656" i="31" s="1"/>
  <c r="I656" i="31" a="1"/>
  <c r="I656" i="31" s="1"/>
  <c r="H656" i="31" a="1"/>
  <c r="H656" i="31" s="1"/>
  <c r="G656" i="31" a="1"/>
  <c r="G656" i="31" s="1"/>
  <c r="F656" i="31" a="1"/>
  <c r="F656" i="31" s="1"/>
  <c r="E656" i="31" a="1"/>
  <c r="E656" i="31" s="1"/>
  <c r="D656" i="31" a="1"/>
  <c r="D656" i="31" s="1"/>
  <c r="R655" i="31" a="1"/>
  <c r="R655" i="31" s="1"/>
  <c r="P655" i="31" a="1"/>
  <c r="P655" i="31" s="1"/>
  <c r="O655" i="31" a="1"/>
  <c r="O655" i="31" s="1"/>
  <c r="N655" i="31" a="1"/>
  <c r="N655" i="31" s="1"/>
  <c r="M655" i="31" a="1"/>
  <c r="M655" i="31" s="1"/>
  <c r="L655" i="31" a="1"/>
  <c r="L655" i="31" s="1"/>
  <c r="K655" i="31" a="1"/>
  <c r="K655" i="31" s="1"/>
  <c r="J655" i="31" a="1"/>
  <c r="J655" i="31" s="1"/>
  <c r="I655" i="31" a="1"/>
  <c r="I655" i="31" s="1"/>
  <c r="H655" i="31" a="1"/>
  <c r="H655" i="31" s="1"/>
  <c r="G655" i="31" a="1"/>
  <c r="G655" i="31" s="1"/>
  <c r="F655" i="31" a="1"/>
  <c r="F655" i="31" s="1"/>
  <c r="E655" i="31" a="1"/>
  <c r="E655" i="31" s="1"/>
  <c r="D655" i="31" a="1"/>
  <c r="D655" i="31" s="1"/>
  <c r="R654" i="31" a="1"/>
  <c r="R654" i="31" s="1"/>
  <c r="P654" i="31" a="1"/>
  <c r="P654" i="31" s="1"/>
  <c r="O654" i="31" a="1"/>
  <c r="O654" i="31" s="1"/>
  <c r="N654" i="31" a="1"/>
  <c r="N654" i="31" s="1"/>
  <c r="M654" i="31" a="1"/>
  <c r="M654" i="31" s="1"/>
  <c r="L654" i="31" a="1"/>
  <c r="L654" i="31" s="1"/>
  <c r="K654" i="31" a="1"/>
  <c r="K654" i="31" s="1"/>
  <c r="J654" i="31" a="1"/>
  <c r="J654" i="31" s="1"/>
  <c r="I654" i="31" a="1"/>
  <c r="I654" i="31" s="1"/>
  <c r="H654" i="31" a="1"/>
  <c r="H654" i="31" s="1"/>
  <c r="G654" i="31" a="1"/>
  <c r="G654" i="31" s="1"/>
  <c r="F654" i="31" a="1"/>
  <c r="F654" i="31" s="1"/>
  <c r="E654" i="31" a="1"/>
  <c r="E654" i="31" s="1"/>
  <c r="D654" i="31" a="1"/>
  <c r="D654" i="31" s="1"/>
  <c r="R653" i="31" a="1"/>
  <c r="R653" i="31" s="1"/>
  <c r="P653" i="31" a="1"/>
  <c r="P653" i="31" s="1"/>
  <c r="O653" i="31" a="1"/>
  <c r="O653" i="31" s="1"/>
  <c r="N653" i="31" a="1"/>
  <c r="N653" i="31" s="1"/>
  <c r="M653" i="31" a="1"/>
  <c r="M653" i="31" s="1"/>
  <c r="L653" i="31" a="1"/>
  <c r="L653" i="31" s="1"/>
  <c r="K653" i="31" a="1"/>
  <c r="K653" i="31" s="1"/>
  <c r="J653" i="31" a="1"/>
  <c r="J653" i="31" s="1"/>
  <c r="I653" i="31" a="1"/>
  <c r="I653" i="31" s="1"/>
  <c r="H653" i="31" a="1"/>
  <c r="H653" i="31" s="1"/>
  <c r="G653" i="31" a="1"/>
  <c r="G653" i="31" s="1"/>
  <c r="F653" i="31" a="1"/>
  <c r="F653" i="31" s="1"/>
  <c r="E653" i="31" a="1"/>
  <c r="E653" i="31" s="1"/>
  <c r="D653" i="31" a="1"/>
  <c r="D653" i="31" s="1"/>
  <c r="R652" i="31" a="1"/>
  <c r="R652" i="31" s="1"/>
  <c r="P652" i="31" a="1"/>
  <c r="P652" i="31" s="1"/>
  <c r="O652" i="31" a="1"/>
  <c r="O652" i="31" s="1"/>
  <c r="N652" i="31" a="1"/>
  <c r="N652" i="31" s="1"/>
  <c r="M652" i="31" a="1"/>
  <c r="M652" i="31" s="1"/>
  <c r="L652" i="31" a="1"/>
  <c r="L652" i="31" s="1"/>
  <c r="K652" i="31" a="1"/>
  <c r="K652" i="31" s="1"/>
  <c r="J652" i="31" a="1"/>
  <c r="J652" i="31" s="1"/>
  <c r="I652" i="31" a="1"/>
  <c r="I652" i="31" s="1"/>
  <c r="H652" i="31" a="1"/>
  <c r="H652" i="31" s="1"/>
  <c r="G652" i="31" a="1"/>
  <c r="G652" i="31" s="1"/>
  <c r="F652" i="31" a="1"/>
  <c r="F652" i="31" s="1"/>
  <c r="E652" i="31" a="1"/>
  <c r="E652" i="31" s="1"/>
  <c r="D652" i="31" a="1"/>
  <c r="D652" i="31" s="1"/>
  <c r="R651" i="31" a="1"/>
  <c r="R651" i="31" s="1"/>
  <c r="P651" i="31" a="1"/>
  <c r="P651" i="31" s="1"/>
  <c r="O651" i="31" a="1"/>
  <c r="O651" i="31" s="1"/>
  <c r="N651" i="31" a="1"/>
  <c r="N651" i="31" s="1"/>
  <c r="M651" i="31" a="1"/>
  <c r="M651" i="31" s="1"/>
  <c r="L651" i="31" a="1"/>
  <c r="L651" i="31" s="1"/>
  <c r="K651" i="31" a="1"/>
  <c r="K651" i="31" s="1"/>
  <c r="J651" i="31" a="1"/>
  <c r="J651" i="31" s="1"/>
  <c r="I651" i="31" a="1"/>
  <c r="I651" i="31" s="1"/>
  <c r="H651" i="31" a="1"/>
  <c r="H651" i="31" s="1"/>
  <c r="G651" i="31" a="1"/>
  <c r="G651" i="31" s="1"/>
  <c r="F651" i="31" a="1"/>
  <c r="F651" i="31" s="1"/>
  <c r="E651" i="31" a="1"/>
  <c r="E651" i="31" s="1"/>
  <c r="D651" i="31" a="1"/>
  <c r="D651" i="31" s="1"/>
  <c r="R650" i="31" a="1"/>
  <c r="R650" i="31" s="1"/>
  <c r="P650" i="31" a="1"/>
  <c r="P650" i="31" s="1"/>
  <c r="O650" i="31" a="1"/>
  <c r="O650" i="31" s="1"/>
  <c r="N650" i="31" a="1"/>
  <c r="N650" i="31" s="1"/>
  <c r="M650" i="31" a="1"/>
  <c r="M650" i="31" s="1"/>
  <c r="L650" i="31" a="1"/>
  <c r="L650" i="31" s="1"/>
  <c r="K650" i="31" a="1"/>
  <c r="K650" i="31" s="1"/>
  <c r="J650" i="31" a="1"/>
  <c r="J650" i="31" s="1"/>
  <c r="I650" i="31" a="1"/>
  <c r="I650" i="31" s="1"/>
  <c r="H650" i="31" a="1"/>
  <c r="H650" i="31" s="1"/>
  <c r="G650" i="31" a="1"/>
  <c r="G650" i="31" s="1"/>
  <c r="F650" i="31" a="1"/>
  <c r="F650" i="31" s="1"/>
  <c r="E650" i="31" a="1"/>
  <c r="E650" i="31" s="1"/>
  <c r="D650" i="31" a="1"/>
  <c r="D650" i="31" s="1"/>
  <c r="R649" i="31" a="1"/>
  <c r="R649" i="31" s="1"/>
  <c r="P649" i="31" a="1"/>
  <c r="P649" i="31" s="1"/>
  <c r="O649" i="31" a="1"/>
  <c r="O649" i="31" s="1"/>
  <c r="N649" i="31" a="1"/>
  <c r="N649" i="31" s="1"/>
  <c r="M649" i="31" a="1"/>
  <c r="M649" i="31" s="1"/>
  <c r="L649" i="31" a="1"/>
  <c r="L649" i="31" s="1"/>
  <c r="K649" i="31" a="1"/>
  <c r="K649" i="31" s="1"/>
  <c r="J649" i="31" a="1"/>
  <c r="J649" i="31" s="1"/>
  <c r="I649" i="31" a="1"/>
  <c r="I649" i="31" s="1"/>
  <c r="H649" i="31" a="1"/>
  <c r="H649" i="31" s="1"/>
  <c r="G649" i="31" a="1"/>
  <c r="G649" i="31" s="1"/>
  <c r="F649" i="31" a="1"/>
  <c r="F649" i="31" s="1"/>
  <c r="E649" i="31" a="1"/>
  <c r="E649" i="31" s="1"/>
  <c r="D649" i="31" a="1"/>
  <c r="D649" i="31" s="1"/>
  <c r="R648" i="31" a="1"/>
  <c r="R648" i="31" s="1"/>
  <c r="P648" i="31" a="1"/>
  <c r="P648" i="31" s="1"/>
  <c r="O648" i="31" a="1"/>
  <c r="O648" i="31" s="1"/>
  <c r="N648" i="31" a="1"/>
  <c r="N648" i="31" s="1"/>
  <c r="M648" i="31" a="1"/>
  <c r="M648" i="31" s="1"/>
  <c r="L648" i="31" a="1"/>
  <c r="L648" i="31" s="1"/>
  <c r="K648" i="31" a="1"/>
  <c r="K648" i="31" s="1"/>
  <c r="J648" i="31" a="1"/>
  <c r="J648" i="31" s="1"/>
  <c r="I648" i="31" a="1"/>
  <c r="I648" i="31" s="1"/>
  <c r="H648" i="31" a="1"/>
  <c r="H648" i="31" s="1"/>
  <c r="G648" i="31" a="1"/>
  <c r="G648" i="31" s="1"/>
  <c r="F648" i="31" a="1"/>
  <c r="F648" i="31" s="1"/>
  <c r="E648" i="31" a="1"/>
  <c r="E648" i="31" s="1"/>
  <c r="D648" i="31" a="1"/>
  <c r="D648" i="31" s="1"/>
  <c r="R647" i="31" a="1"/>
  <c r="R647" i="31" s="1"/>
  <c r="P647" i="31" a="1"/>
  <c r="P647" i="31" s="1"/>
  <c r="O647" i="31" a="1"/>
  <c r="O647" i="31" s="1"/>
  <c r="N647" i="31" a="1"/>
  <c r="N647" i="31" s="1"/>
  <c r="M647" i="31" a="1"/>
  <c r="M647" i="31" s="1"/>
  <c r="L647" i="31" a="1"/>
  <c r="L647" i="31" s="1"/>
  <c r="K647" i="31" a="1"/>
  <c r="K647" i="31" s="1"/>
  <c r="J647" i="31" a="1"/>
  <c r="J647" i="31" s="1"/>
  <c r="I647" i="31" a="1"/>
  <c r="I647" i="31" s="1"/>
  <c r="H647" i="31" a="1"/>
  <c r="H647" i="31" s="1"/>
  <c r="G647" i="31" a="1"/>
  <c r="G647" i="31" s="1"/>
  <c r="F647" i="31" a="1"/>
  <c r="F647" i="31" s="1"/>
  <c r="E647" i="31" a="1"/>
  <c r="E647" i="31" s="1"/>
  <c r="D647" i="31" a="1"/>
  <c r="D647" i="31" s="1"/>
  <c r="R580" i="31" a="1"/>
  <c r="R580" i="31" s="1"/>
  <c r="R579" i="31" s="1"/>
  <c r="P580" i="31" a="1"/>
  <c r="P580" i="31" s="1"/>
  <c r="P579" i="31" s="1"/>
  <c r="O580" i="31" a="1"/>
  <c r="O580" i="31" s="1"/>
  <c r="O579" i="31" s="1"/>
  <c r="N580" i="31" a="1"/>
  <c r="N580" i="31" s="1"/>
  <c r="N579" i="31" s="1"/>
  <c r="M580" i="31" a="1"/>
  <c r="M580" i="31" s="1"/>
  <c r="M579" i="31" s="1"/>
  <c r="L580" i="31" a="1"/>
  <c r="L580" i="31" s="1"/>
  <c r="L579" i="31" s="1"/>
  <c r="K580" i="31" a="1"/>
  <c r="K580" i="31" s="1"/>
  <c r="K579" i="31" s="1"/>
  <c r="J580" i="31" a="1"/>
  <c r="J580" i="31" s="1"/>
  <c r="J579" i="31" s="1"/>
  <c r="I580" i="31" a="1"/>
  <c r="I580" i="31" s="1"/>
  <c r="I579" i="31" s="1"/>
  <c r="H580" i="31" a="1"/>
  <c r="H580" i="31" s="1"/>
  <c r="H579" i="31" s="1"/>
  <c r="G580" i="31" a="1"/>
  <c r="G580" i="31" s="1"/>
  <c r="G579" i="31" s="1"/>
  <c r="F580" i="31" a="1"/>
  <c r="F580" i="31" s="1"/>
  <c r="F579" i="31" s="1"/>
  <c r="E580" i="31" a="1"/>
  <c r="E580" i="31" s="1"/>
  <c r="E579" i="31" s="1"/>
  <c r="D580" i="31" a="1"/>
  <c r="D580" i="31" s="1"/>
  <c r="D579" i="31" s="1"/>
  <c r="D576" i="31" a="1"/>
  <c r="P575" i="31" s="1"/>
  <c r="P574" i="31" s="1"/>
  <c r="R570" i="31" a="1"/>
  <c r="R570" i="31" s="1"/>
  <c r="R569" i="31" s="1"/>
  <c r="P570" i="31" a="1"/>
  <c r="P570" i="31" s="1"/>
  <c r="P569" i="31" s="1"/>
  <c r="O570" i="31" a="1"/>
  <c r="O570" i="31" s="1"/>
  <c r="O569" i="31" s="1"/>
  <c r="N570" i="31" a="1"/>
  <c r="N570" i="31" s="1"/>
  <c r="N569" i="31" s="1"/>
  <c r="M570" i="31" a="1"/>
  <c r="M570" i="31" s="1"/>
  <c r="M569" i="31" s="1"/>
  <c r="L570" i="31" a="1"/>
  <c r="L570" i="31" s="1"/>
  <c r="L569" i="31" s="1"/>
  <c r="K570" i="31" a="1"/>
  <c r="K570" i="31" s="1"/>
  <c r="K569" i="31" s="1"/>
  <c r="J570" i="31" a="1"/>
  <c r="J570" i="31" s="1"/>
  <c r="J569" i="31" s="1"/>
  <c r="I570" i="31" a="1"/>
  <c r="I570" i="31" s="1"/>
  <c r="I569" i="31" s="1"/>
  <c r="H570" i="31" a="1"/>
  <c r="H570" i="31" s="1"/>
  <c r="H569" i="31" s="1"/>
  <c r="G570" i="31" a="1"/>
  <c r="G570" i="31" s="1"/>
  <c r="G569" i="31" s="1"/>
  <c r="F570" i="31" a="1"/>
  <c r="F570" i="31" s="1"/>
  <c r="F569" i="31" s="1"/>
  <c r="E570" i="31" a="1"/>
  <c r="E570" i="31" s="1"/>
  <c r="E569" i="31" s="1"/>
  <c r="D570" i="31" a="1"/>
  <c r="D570" i="31" s="1"/>
  <c r="D569" i="31" s="1"/>
  <c r="R566" i="31"/>
  <c r="P566" i="31"/>
  <c r="O566" i="31"/>
  <c r="N566" i="31"/>
  <c r="M566" i="31"/>
  <c r="L566" i="31"/>
  <c r="K566" i="31"/>
  <c r="J566" i="31"/>
  <c r="I566" i="31"/>
  <c r="H566" i="31"/>
  <c r="G566" i="31"/>
  <c r="F566" i="31"/>
  <c r="E566" i="31"/>
  <c r="D566" i="31"/>
  <c r="R563" i="31" a="1"/>
  <c r="R563" i="31" s="1"/>
  <c r="P563" i="31" a="1"/>
  <c r="P563" i="31" s="1"/>
  <c r="O563" i="31" a="1"/>
  <c r="O563" i="31" s="1"/>
  <c r="N563" i="31" a="1"/>
  <c r="N563" i="31" s="1"/>
  <c r="M563" i="31" a="1"/>
  <c r="M563" i="31" s="1"/>
  <c r="L563" i="31" a="1"/>
  <c r="L563" i="31" s="1"/>
  <c r="K563" i="31" a="1"/>
  <c r="K563" i="31" s="1"/>
  <c r="J563" i="31" a="1"/>
  <c r="J563" i="31" s="1"/>
  <c r="I563" i="31" a="1"/>
  <c r="I563" i="31" s="1"/>
  <c r="H563" i="31" a="1"/>
  <c r="H563" i="31" s="1"/>
  <c r="G563" i="31" a="1"/>
  <c r="G563" i="31" s="1"/>
  <c r="F563" i="31" a="1"/>
  <c r="F563" i="31" s="1"/>
  <c r="E563" i="31" a="1"/>
  <c r="E563" i="31" s="1"/>
  <c r="D563" i="31" a="1"/>
  <c r="D563" i="31" s="1"/>
  <c r="R562" i="31" a="1"/>
  <c r="R562" i="31" s="1"/>
  <c r="P562" i="31" a="1"/>
  <c r="P562" i="31" s="1"/>
  <c r="O562" i="31" a="1"/>
  <c r="O562" i="31" s="1"/>
  <c r="N562" i="31" a="1"/>
  <c r="N562" i="31" s="1"/>
  <c r="M562" i="31" a="1"/>
  <c r="M562" i="31" s="1"/>
  <c r="L562" i="31" a="1"/>
  <c r="L562" i="31" s="1"/>
  <c r="K562" i="31" a="1"/>
  <c r="K562" i="31" s="1"/>
  <c r="J562" i="31" a="1"/>
  <c r="J562" i="31" s="1"/>
  <c r="I562" i="31" a="1"/>
  <c r="I562" i="31" s="1"/>
  <c r="H562" i="31" a="1"/>
  <c r="H562" i="31" s="1"/>
  <c r="G562" i="31" a="1"/>
  <c r="G562" i="31" s="1"/>
  <c r="F562" i="31" a="1"/>
  <c r="F562" i="31" s="1"/>
  <c r="E562" i="31" a="1"/>
  <c r="E562" i="31" s="1"/>
  <c r="D562" i="31" a="1"/>
  <c r="D562" i="31" s="1"/>
  <c r="R561" i="31" a="1"/>
  <c r="R561" i="31" s="1"/>
  <c r="P561" i="31" a="1"/>
  <c r="P561" i="31" s="1"/>
  <c r="O561" i="31" a="1"/>
  <c r="O561" i="31" s="1"/>
  <c r="N561" i="31" a="1"/>
  <c r="N561" i="31" s="1"/>
  <c r="M561" i="31" a="1"/>
  <c r="M561" i="31" s="1"/>
  <c r="L561" i="31" a="1"/>
  <c r="L561" i="31" s="1"/>
  <c r="K561" i="31" a="1"/>
  <c r="K561" i="31" s="1"/>
  <c r="J561" i="31" a="1"/>
  <c r="J561" i="31" s="1"/>
  <c r="I561" i="31" a="1"/>
  <c r="I561" i="31" s="1"/>
  <c r="H561" i="31" a="1"/>
  <c r="H561" i="31" s="1"/>
  <c r="G561" i="31" a="1"/>
  <c r="G561" i="31" s="1"/>
  <c r="F561" i="31" a="1"/>
  <c r="F561" i="31" s="1"/>
  <c r="E561" i="31" a="1"/>
  <c r="E561" i="31" s="1"/>
  <c r="D561" i="31" a="1"/>
  <c r="D561" i="31" s="1"/>
  <c r="R560" i="31" a="1"/>
  <c r="R560" i="31" s="1"/>
  <c r="P560" i="31" a="1"/>
  <c r="P560" i="31" s="1"/>
  <c r="O560" i="31" a="1"/>
  <c r="O560" i="31" s="1"/>
  <c r="N560" i="31" a="1"/>
  <c r="N560" i="31" s="1"/>
  <c r="M560" i="31" a="1"/>
  <c r="M560" i="31" s="1"/>
  <c r="L560" i="31" a="1"/>
  <c r="L560" i="31" s="1"/>
  <c r="K560" i="31" a="1"/>
  <c r="K560" i="31" s="1"/>
  <c r="J560" i="31" a="1"/>
  <c r="J560" i="31" s="1"/>
  <c r="I560" i="31" a="1"/>
  <c r="I560" i="31" s="1"/>
  <c r="H560" i="31" a="1"/>
  <c r="H560" i="31" s="1"/>
  <c r="G560" i="31" a="1"/>
  <c r="G560" i="31" s="1"/>
  <c r="F560" i="31" a="1"/>
  <c r="F560" i="31" s="1"/>
  <c r="E560" i="31" a="1"/>
  <c r="E560" i="31" s="1"/>
  <c r="D560" i="31" a="1"/>
  <c r="D560" i="31" s="1"/>
  <c r="R559" i="31" a="1"/>
  <c r="R559" i="31" s="1"/>
  <c r="P559" i="31" a="1"/>
  <c r="P559" i="31" s="1"/>
  <c r="O559" i="31" a="1"/>
  <c r="O559" i="31" s="1"/>
  <c r="N559" i="31" a="1"/>
  <c r="N559" i="31" s="1"/>
  <c r="M559" i="31" a="1"/>
  <c r="M559" i="31" s="1"/>
  <c r="L559" i="31" a="1"/>
  <c r="L559" i="31" s="1"/>
  <c r="K559" i="31" a="1"/>
  <c r="K559" i="31" s="1"/>
  <c r="J559" i="31" a="1"/>
  <c r="J559" i="31" s="1"/>
  <c r="I559" i="31" a="1"/>
  <c r="I559" i="31" s="1"/>
  <c r="H559" i="31" a="1"/>
  <c r="H559" i="31" s="1"/>
  <c r="G559" i="31" a="1"/>
  <c r="G559" i="31" s="1"/>
  <c r="F559" i="31" a="1"/>
  <c r="F559" i="31" s="1"/>
  <c r="E559" i="31" a="1"/>
  <c r="E559" i="31" s="1"/>
  <c r="D559" i="31" a="1"/>
  <c r="D559" i="31" s="1"/>
  <c r="R558" i="31" a="1"/>
  <c r="R558" i="31" s="1"/>
  <c r="P558" i="31" a="1"/>
  <c r="P558" i="31" s="1"/>
  <c r="O558" i="31" a="1"/>
  <c r="O558" i="31" s="1"/>
  <c r="N558" i="31" a="1"/>
  <c r="N558" i="31" s="1"/>
  <c r="M558" i="31" a="1"/>
  <c r="M558" i="31" s="1"/>
  <c r="L558" i="31" a="1"/>
  <c r="L558" i="31" s="1"/>
  <c r="K558" i="31" a="1"/>
  <c r="K558" i="31" s="1"/>
  <c r="J558" i="31" a="1"/>
  <c r="J558" i="31" s="1"/>
  <c r="I558" i="31" a="1"/>
  <c r="I558" i="31" s="1"/>
  <c r="H558" i="31" a="1"/>
  <c r="H558" i="31" s="1"/>
  <c r="G558" i="31" a="1"/>
  <c r="G558" i="31" s="1"/>
  <c r="F558" i="31" a="1"/>
  <c r="F558" i="31" s="1"/>
  <c r="E558" i="31" a="1"/>
  <c r="E558" i="31" s="1"/>
  <c r="D558" i="31" a="1"/>
  <c r="D558" i="31" s="1"/>
  <c r="R557" i="31" a="1"/>
  <c r="R557" i="31" s="1"/>
  <c r="P557" i="31" a="1"/>
  <c r="P557" i="31" s="1"/>
  <c r="O557" i="31" a="1"/>
  <c r="O557" i="31" s="1"/>
  <c r="N557" i="31" a="1"/>
  <c r="N557" i="31" s="1"/>
  <c r="M557" i="31" a="1"/>
  <c r="M557" i="31" s="1"/>
  <c r="L557" i="31" a="1"/>
  <c r="L557" i="31" s="1"/>
  <c r="K557" i="31" a="1"/>
  <c r="K557" i="31" s="1"/>
  <c r="J557" i="31" a="1"/>
  <c r="J557" i="31" s="1"/>
  <c r="I557" i="31" a="1"/>
  <c r="I557" i="31" s="1"/>
  <c r="H557" i="31" a="1"/>
  <c r="H557" i="31" s="1"/>
  <c r="G557" i="31" a="1"/>
  <c r="G557" i="31" s="1"/>
  <c r="F557" i="31" a="1"/>
  <c r="F557" i="31" s="1"/>
  <c r="E557" i="31" a="1"/>
  <c r="E557" i="31" s="1"/>
  <c r="D557" i="31" a="1"/>
  <c r="D557" i="31" s="1"/>
  <c r="R556" i="31" a="1"/>
  <c r="R556" i="31" s="1"/>
  <c r="P556" i="31" a="1"/>
  <c r="P556" i="31" s="1"/>
  <c r="O556" i="31" a="1"/>
  <c r="O556" i="31" s="1"/>
  <c r="N556" i="31" a="1"/>
  <c r="N556" i="31" s="1"/>
  <c r="M556" i="31" a="1"/>
  <c r="M556" i="31" s="1"/>
  <c r="L556" i="31" a="1"/>
  <c r="L556" i="31" s="1"/>
  <c r="K556" i="31" a="1"/>
  <c r="K556" i="31" s="1"/>
  <c r="J556" i="31" a="1"/>
  <c r="J556" i="31" s="1"/>
  <c r="I556" i="31" a="1"/>
  <c r="I556" i="31" s="1"/>
  <c r="H556" i="31" a="1"/>
  <c r="H556" i="31" s="1"/>
  <c r="G556" i="31" a="1"/>
  <c r="G556" i="31" s="1"/>
  <c r="F556" i="31" a="1"/>
  <c r="F556" i="31" s="1"/>
  <c r="E556" i="31" a="1"/>
  <c r="E556" i="31" s="1"/>
  <c r="D556" i="31" a="1"/>
  <c r="D556" i="31" s="1"/>
  <c r="R555" i="31" a="1"/>
  <c r="R555" i="31" s="1"/>
  <c r="P555" i="31" a="1"/>
  <c r="P555" i="31" s="1"/>
  <c r="O555" i="31" a="1"/>
  <c r="O555" i="31" s="1"/>
  <c r="N555" i="31" a="1"/>
  <c r="N555" i="31" s="1"/>
  <c r="M555" i="31" a="1"/>
  <c r="M555" i="31" s="1"/>
  <c r="L555" i="31" a="1"/>
  <c r="L555" i="31" s="1"/>
  <c r="K555" i="31" a="1"/>
  <c r="K555" i="31" s="1"/>
  <c r="J555" i="31" a="1"/>
  <c r="J555" i="31" s="1"/>
  <c r="I555" i="31" a="1"/>
  <c r="I555" i="31" s="1"/>
  <c r="H555" i="31" a="1"/>
  <c r="H555" i="31" s="1"/>
  <c r="G555" i="31" a="1"/>
  <c r="G555" i="31" s="1"/>
  <c r="F555" i="31" a="1"/>
  <c r="F555" i="31" s="1"/>
  <c r="E555" i="31" a="1"/>
  <c r="E555" i="31" s="1"/>
  <c r="D555" i="31" a="1"/>
  <c r="D555" i="31" s="1"/>
  <c r="R554" i="31" a="1"/>
  <c r="R554" i="31" s="1"/>
  <c r="P554" i="31" a="1"/>
  <c r="P554" i="31" s="1"/>
  <c r="O554" i="31" a="1"/>
  <c r="O554" i="31" s="1"/>
  <c r="N554" i="31" a="1"/>
  <c r="N554" i="31" s="1"/>
  <c r="M554" i="31" a="1"/>
  <c r="M554" i="31" s="1"/>
  <c r="L554" i="31" a="1"/>
  <c r="L554" i="31" s="1"/>
  <c r="K554" i="31" a="1"/>
  <c r="K554" i="31" s="1"/>
  <c r="J554" i="31" a="1"/>
  <c r="J554" i="31" s="1"/>
  <c r="I554" i="31" a="1"/>
  <c r="I554" i="31" s="1"/>
  <c r="H554" i="31" a="1"/>
  <c r="H554" i="31" s="1"/>
  <c r="G554" i="31" a="1"/>
  <c r="G554" i="31" s="1"/>
  <c r="F554" i="31" a="1"/>
  <c r="F554" i="31" s="1"/>
  <c r="E554" i="31" a="1"/>
  <c r="E554" i="31" s="1"/>
  <c r="D554" i="31" a="1"/>
  <c r="D554" i="31" s="1"/>
  <c r="R553" i="31" a="1"/>
  <c r="R553" i="31" s="1"/>
  <c r="P553" i="31" a="1"/>
  <c r="P553" i="31" s="1"/>
  <c r="O553" i="31" a="1"/>
  <c r="O553" i="31" s="1"/>
  <c r="N553" i="31" a="1"/>
  <c r="N553" i="31" s="1"/>
  <c r="M553" i="31" a="1"/>
  <c r="M553" i="31" s="1"/>
  <c r="L553" i="31" a="1"/>
  <c r="L553" i="31" s="1"/>
  <c r="K553" i="31" a="1"/>
  <c r="K553" i="31" s="1"/>
  <c r="J553" i="31" a="1"/>
  <c r="J553" i="31" s="1"/>
  <c r="I553" i="31" a="1"/>
  <c r="I553" i="31" s="1"/>
  <c r="H553" i="31" a="1"/>
  <c r="H553" i="31" s="1"/>
  <c r="G553" i="31" a="1"/>
  <c r="G553" i="31" s="1"/>
  <c r="F553" i="31" a="1"/>
  <c r="F553" i="31" s="1"/>
  <c r="E553" i="31" a="1"/>
  <c r="E553" i="31" s="1"/>
  <c r="D553" i="31" a="1"/>
  <c r="D553" i="31" s="1"/>
  <c r="R552" i="31" a="1"/>
  <c r="R552" i="31" s="1"/>
  <c r="P552" i="31" a="1"/>
  <c r="P552" i="31" s="1"/>
  <c r="O552" i="31" a="1"/>
  <c r="O552" i="31" s="1"/>
  <c r="N552" i="31" a="1"/>
  <c r="N552" i="31" s="1"/>
  <c r="M552" i="31" a="1"/>
  <c r="M552" i="31" s="1"/>
  <c r="L552" i="31" a="1"/>
  <c r="L552" i="31" s="1"/>
  <c r="K552" i="31" a="1"/>
  <c r="K552" i="31" s="1"/>
  <c r="J552" i="31" a="1"/>
  <c r="J552" i="31" s="1"/>
  <c r="I552" i="31" a="1"/>
  <c r="I552" i="31" s="1"/>
  <c r="H552" i="31" a="1"/>
  <c r="H552" i="31" s="1"/>
  <c r="G552" i="31" a="1"/>
  <c r="G552" i="31" s="1"/>
  <c r="F552" i="31" a="1"/>
  <c r="F552" i="31" s="1"/>
  <c r="E552" i="31" a="1"/>
  <c r="E552" i="31" s="1"/>
  <c r="D552" i="31" a="1"/>
  <c r="D552" i="31" s="1"/>
  <c r="R551" i="31" a="1"/>
  <c r="R551" i="31" s="1"/>
  <c r="P551" i="31" a="1"/>
  <c r="P551" i="31" s="1"/>
  <c r="O551" i="31" a="1"/>
  <c r="O551" i="31" s="1"/>
  <c r="N551" i="31" a="1"/>
  <c r="N551" i="31" s="1"/>
  <c r="M551" i="31" a="1"/>
  <c r="M551" i="31" s="1"/>
  <c r="L551" i="31" a="1"/>
  <c r="L551" i="31" s="1"/>
  <c r="K551" i="31" a="1"/>
  <c r="K551" i="31" s="1"/>
  <c r="J551" i="31" a="1"/>
  <c r="J551" i="31" s="1"/>
  <c r="I551" i="31" a="1"/>
  <c r="I551" i="31" s="1"/>
  <c r="H551" i="31" a="1"/>
  <c r="H551" i="31" s="1"/>
  <c r="G551" i="31" a="1"/>
  <c r="G551" i="31" s="1"/>
  <c r="F551" i="31" a="1"/>
  <c r="F551" i="31" s="1"/>
  <c r="E551" i="31" a="1"/>
  <c r="E551" i="31" s="1"/>
  <c r="D551" i="31" a="1"/>
  <c r="D551" i="31" s="1"/>
  <c r="R550" i="31" a="1"/>
  <c r="R550" i="31" s="1"/>
  <c r="P550" i="31" a="1"/>
  <c r="P550" i="31" s="1"/>
  <c r="O550" i="31" a="1"/>
  <c r="O550" i="31" s="1"/>
  <c r="N550" i="31" a="1"/>
  <c r="N550" i="31" s="1"/>
  <c r="M550" i="31" a="1"/>
  <c r="M550" i="31" s="1"/>
  <c r="L550" i="31" a="1"/>
  <c r="L550" i="31" s="1"/>
  <c r="K550" i="31" a="1"/>
  <c r="K550" i="31" s="1"/>
  <c r="J550" i="31" a="1"/>
  <c r="J550" i="31" s="1"/>
  <c r="I550" i="31" a="1"/>
  <c r="I550" i="31" s="1"/>
  <c r="H550" i="31" a="1"/>
  <c r="H550" i="31" s="1"/>
  <c r="G550" i="31" a="1"/>
  <c r="G550" i="31" s="1"/>
  <c r="F550" i="31" a="1"/>
  <c r="F550" i="31" s="1"/>
  <c r="E550" i="31" a="1"/>
  <c r="E550" i="31" s="1"/>
  <c r="D550" i="31" a="1"/>
  <c r="D550" i="31" s="1"/>
  <c r="R549" i="31" a="1"/>
  <c r="R549" i="31" s="1"/>
  <c r="P549" i="31" a="1"/>
  <c r="P549" i="31" s="1"/>
  <c r="O549" i="31" a="1"/>
  <c r="O549" i="31" s="1"/>
  <c r="N549" i="31" a="1"/>
  <c r="N549" i="31" s="1"/>
  <c r="M549" i="31" a="1"/>
  <c r="M549" i="31" s="1"/>
  <c r="L549" i="31" a="1"/>
  <c r="L549" i="31" s="1"/>
  <c r="K549" i="31" a="1"/>
  <c r="K549" i="31" s="1"/>
  <c r="J549" i="31" a="1"/>
  <c r="J549" i="31" s="1"/>
  <c r="I549" i="31" a="1"/>
  <c r="I549" i="31" s="1"/>
  <c r="H549" i="31" a="1"/>
  <c r="H549" i="31" s="1"/>
  <c r="G549" i="31" a="1"/>
  <c r="G549" i="31" s="1"/>
  <c r="F549" i="31" a="1"/>
  <c r="F549" i="31" s="1"/>
  <c r="E549" i="31" a="1"/>
  <c r="E549" i="31" s="1"/>
  <c r="D549" i="31" a="1"/>
  <c r="D549" i="31" s="1"/>
  <c r="R548" i="31" a="1"/>
  <c r="R548" i="31" s="1"/>
  <c r="P548" i="31" a="1"/>
  <c r="P548" i="31" s="1"/>
  <c r="O548" i="31" a="1"/>
  <c r="O548" i="31" s="1"/>
  <c r="N548" i="31" a="1"/>
  <c r="N548" i="31" s="1"/>
  <c r="M548" i="31" a="1"/>
  <c r="M548" i="31" s="1"/>
  <c r="L548" i="31" a="1"/>
  <c r="L548" i="31" s="1"/>
  <c r="K548" i="31" a="1"/>
  <c r="K548" i="31" s="1"/>
  <c r="J548" i="31" a="1"/>
  <c r="J548" i="31" s="1"/>
  <c r="I548" i="31" a="1"/>
  <c r="I548" i="31" s="1"/>
  <c r="H548" i="31" a="1"/>
  <c r="H548" i="31" s="1"/>
  <c r="G548" i="31" a="1"/>
  <c r="G548" i="31" s="1"/>
  <c r="F548" i="31" a="1"/>
  <c r="F548" i="31" s="1"/>
  <c r="E548" i="31" a="1"/>
  <c r="E548" i="31" s="1"/>
  <c r="D548" i="31" a="1"/>
  <c r="D548" i="31" s="1"/>
  <c r="R547" i="31" a="1"/>
  <c r="R547" i="31" s="1"/>
  <c r="P547" i="31" a="1"/>
  <c r="P547" i="31" s="1"/>
  <c r="O547" i="31" a="1"/>
  <c r="O547" i="31" s="1"/>
  <c r="N547" i="31" a="1"/>
  <c r="N547" i="31" s="1"/>
  <c r="M547" i="31" a="1"/>
  <c r="M547" i="31" s="1"/>
  <c r="L547" i="31" a="1"/>
  <c r="L547" i="31" s="1"/>
  <c r="K547" i="31" a="1"/>
  <c r="K547" i="31" s="1"/>
  <c r="J547" i="31" a="1"/>
  <c r="J547" i="31" s="1"/>
  <c r="I547" i="31" a="1"/>
  <c r="I547" i="31" s="1"/>
  <c r="H547" i="31" a="1"/>
  <c r="H547" i="31" s="1"/>
  <c r="G547" i="31" a="1"/>
  <c r="G547" i="31" s="1"/>
  <c r="F547" i="31" a="1"/>
  <c r="F547" i="31" s="1"/>
  <c r="E547" i="31" a="1"/>
  <c r="E547" i="31" s="1"/>
  <c r="D547" i="31" a="1"/>
  <c r="D547" i="31" s="1"/>
  <c r="R530" i="31" a="1"/>
  <c r="R530" i="31" s="1"/>
  <c r="R529" i="31" s="1"/>
  <c r="P530" i="31" a="1"/>
  <c r="P530" i="31" s="1"/>
  <c r="P529" i="31" s="1"/>
  <c r="O530" i="31" a="1"/>
  <c r="O530" i="31" s="1"/>
  <c r="O529" i="31" s="1"/>
  <c r="N530" i="31" a="1"/>
  <c r="N530" i="31" s="1"/>
  <c r="N529" i="31" s="1"/>
  <c r="M530" i="31" a="1"/>
  <c r="M530" i="31" s="1"/>
  <c r="M529" i="31" s="1"/>
  <c r="L530" i="31" a="1"/>
  <c r="L530" i="31" s="1"/>
  <c r="L529" i="31" s="1"/>
  <c r="K530" i="31" a="1"/>
  <c r="K530" i="31" s="1"/>
  <c r="K529" i="31" s="1"/>
  <c r="J530" i="31" a="1"/>
  <c r="J530" i="31" s="1"/>
  <c r="J529" i="31" s="1"/>
  <c r="I530" i="31" a="1"/>
  <c r="I530" i="31" s="1"/>
  <c r="I529" i="31" s="1"/>
  <c r="H530" i="31" a="1"/>
  <c r="H530" i="31" s="1"/>
  <c r="H529" i="31" s="1"/>
  <c r="G530" i="31" a="1"/>
  <c r="G530" i="31" s="1"/>
  <c r="G529" i="31" s="1"/>
  <c r="F530" i="31" a="1"/>
  <c r="F530" i="31" s="1"/>
  <c r="F529" i="31" s="1"/>
  <c r="E530" i="31" a="1"/>
  <c r="E530" i="31" s="1"/>
  <c r="E529" i="31" s="1"/>
  <c r="D530" i="31" a="1"/>
  <c r="D530" i="31" s="1"/>
  <c r="D529" i="31" s="1"/>
  <c r="D526" i="31" a="1"/>
  <c r="R520" i="31" a="1"/>
  <c r="R520" i="31" s="1"/>
  <c r="R519" i="31" s="1"/>
  <c r="P520" i="31" a="1"/>
  <c r="P520" i="31" s="1"/>
  <c r="P519" i="31" s="1"/>
  <c r="O520" i="31" a="1"/>
  <c r="O520" i="31" s="1"/>
  <c r="O519" i="31" s="1"/>
  <c r="N520" i="31" a="1"/>
  <c r="N520" i="31" s="1"/>
  <c r="N519" i="31" s="1"/>
  <c r="M520" i="31" a="1"/>
  <c r="M520" i="31" s="1"/>
  <c r="M519" i="31" s="1"/>
  <c r="L520" i="31" a="1"/>
  <c r="L520" i="31" s="1"/>
  <c r="L519" i="31" s="1"/>
  <c r="K520" i="31" a="1"/>
  <c r="K520" i="31" s="1"/>
  <c r="K519" i="31" s="1"/>
  <c r="J520" i="31" a="1"/>
  <c r="J520" i="31" s="1"/>
  <c r="J519" i="31" s="1"/>
  <c r="I520" i="31" a="1"/>
  <c r="I520" i="31" s="1"/>
  <c r="I519" i="31" s="1"/>
  <c r="H520" i="31" a="1"/>
  <c r="H520" i="31" s="1"/>
  <c r="H519" i="31" s="1"/>
  <c r="G520" i="31" a="1"/>
  <c r="G520" i="31" s="1"/>
  <c r="G519" i="31" s="1"/>
  <c r="F520" i="31" a="1"/>
  <c r="F520" i="31" s="1"/>
  <c r="F519" i="31" s="1"/>
  <c r="E520" i="31" a="1"/>
  <c r="E520" i="31" s="1"/>
  <c r="E519" i="31" s="1"/>
  <c r="D520" i="31" a="1"/>
  <c r="D520" i="31" s="1"/>
  <c r="D519" i="31" s="1"/>
  <c r="R516" i="31"/>
  <c r="P516" i="31"/>
  <c r="O516" i="31"/>
  <c r="N516" i="31"/>
  <c r="M516" i="31"/>
  <c r="L516" i="31"/>
  <c r="K516" i="31"/>
  <c r="J516" i="31"/>
  <c r="I516" i="31"/>
  <c r="H516" i="31"/>
  <c r="G516" i="31"/>
  <c r="F516" i="31"/>
  <c r="E516" i="31"/>
  <c r="D516" i="31"/>
  <c r="R513" i="31" a="1"/>
  <c r="R513" i="31" s="1"/>
  <c r="P513" i="31" a="1"/>
  <c r="P513" i="31" s="1"/>
  <c r="O513" i="31" a="1"/>
  <c r="O513" i="31" s="1"/>
  <c r="N513" i="31" a="1"/>
  <c r="N513" i="31" s="1"/>
  <c r="M513" i="31" a="1"/>
  <c r="M513" i="31" s="1"/>
  <c r="L513" i="31" a="1"/>
  <c r="L513" i="31" s="1"/>
  <c r="K513" i="31" a="1"/>
  <c r="K513" i="31" s="1"/>
  <c r="J513" i="31" a="1"/>
  <c r="J513" i="31" s="1"/>
  <c r="I513" i="31" a="1"/>
  <c r="I513" i="31" s="1"/>
  <c r="H513" i="31" a="1"/>
  <c r="H513" i="31" s="1"/>
  <c r="G513" i="31" a="1"/>
  <c r="G513" i="31" s="1"/>
  <c r="F513" i="31" a="1"/>
  <c r="F513" i="31" s="1"/>
  <c r="E513" i="31" a="1"/>
  <c r="E513" i="31" s="1"/>
  <c r="D513" i="31" a="1"/>
  <c r="D513" i="31" s="1"/>
  <c r="R512" i="31" a="1"/>
  <c r="R512" i="31" s="1"/>
  <c r="P512" i="31" a="1"/>
  <c r="P512" i="31" s="1"/>
  <c r="O512" i="31" a="1"/>
  <c r="O512" i="31" s="1"/>
  <c r="N512" i="31" a="1"/>
  <c r="N512" i="31" s="1"/>
  <c r="M512" i="31" a="1"/>
  <c r="M512" i="31" s="1"/>
  <c r="L512" i="31" a="1"/>
  <c r="L512" i="31" s="1"/>
  <c r="K512" i="31" a="1"/>
  <c r="K512" i="31" s="1"/>
  <c r="J512" i="31" a="1"/>
  <c r="J512" i="31" s="1"/>
  <c r="I512" i="31" a="1"/>
  <c r="I512" i="31" s="1"/>
  <c r="H512" i="31" a="1"/>
  <c r="H512" i="31" s="1"/>
  <c r="G512" i="31" a="1"/>
  <c r="G512" i="31" s="1"/>
  <c r="F512" i="31" a="1"/>
  <c r="F512" i="31" s="1"/>
  <c r="E512" i="31" a="1"/>
  <c r="E512" i="31" s="1"/>
  <c r="D512" i="31" a="1"/>
  <c r="D512" i="31" s="1"/>
  <c r="R511" i="31" a="1"/>
  <c r="R511" i="31" s="1"/>
  <c r="P511" i="31" a="1"/>
  <c r="P511" i="31" s="1"/>
  <c r="O511" i="31" a="1"/>
  <c r="O511" i="31" s="1"/>
  <c r="N511" i="31" a="1"/>
  <c r="N511" i="31" s="1"/>
  <c r="M511" i="31" a="1"/>
  <c r="M511" i="31" s="1"/>
  <c r="L511" i="31" a="1"/>
  <c r="L511" i="31" s="1"/>
  <c r="K511" i="31" a="1"/>
  <c r="K511" i="31" s="1"/>
  <c r="J511" i="31" a="1"/>
  <c r="J511" i="31" s="1"/>
  <c r="I511" i="31" a="1"/>
  <c r="I511" i="31" s="1"/>
  <c r="H511" i="31" a="1"/>
  <c r="H511" i="31" s="1"/>
  <c r="G511" i="31" a="1"/>
  <c r="G511" i="31" s="1"/>
  <c r="F511" i="31" a="1"/>
  <c r="F511" i="31" s="1"/>
  <c r="E511" i="31" a="1"/>
  <c r="E511" i="31" s="1"/>
  <c r="D511" i="31" a="1"/>
  <c r="D511" i="31" s="1"/>
  <c r="R510" i="31" a="1"/>
  <c r="R510" i="31" s="1"/>
  <c r="P510" i="31" a="1"/>
  <c r="P510" i="31" s="1"/>
  <c r="O510" i="31" a="1"/>
  <c r="O510" i="31" s="1"/>
  <c r="N510" i="31" a="1"/>
  <c r="N510" i="31" s="1"/>
  <c r="M510" i="31" a="1"/>
  <c r="M510" i="31" s="1"/>
  <c r="L510" i="31" a="1"/>
  <c r="L510" i="31" s="1"/>
  <c r="K510" i="31" a="1"/>
  <c r="K510" i="31" s="1"/>
  <c r="J510" i="31" a="1"/>
  <c r="J510" i="31" s="1"/>
  <c r="I510" i="31" a="1"/>
  <c r="I510" i="31" s="1"/>
  <c r="H510" i="31" a="1"/>
  <c r="H510" i="31" s="1"/>
  <c r="G510" i="31" a="1"/>
  <c r="G510" i="31" s="1"/>
  <c r="F510" i="31" a="1"/>
  <c r="F510" i="31" s="1"/>
  <c r="E510" i="31" a="1"/>
  <c r="E510" i="31" s="1"/>
  <c r="D510" i="31" a="1"/>
  <c r="D510" i="31" s="1"/>
  <c r="R509" i="31" a="1"/>
  <c r="R509" i="31" s="1"/>
  <c r="P509" i="31" a="1"/>
  <c r="P509" i="31" s="1"/>
  <c r="O509" i="31" a="1"/>
  <c r="O509" i="31" s="1"/>
  <c r="N509" i="31" a="1"/>
  <c r="N509" i="31" s="1"/>
  <c r="M509" i="31" a="1"/>
  <c r="M509" i="31" s="1"/>
  <c r="L509" i="31" a="1"/>
  <c r="L509" i="31" s="1"/>
  <c r="K509" i="31" a="1"/>
  <c r="K509" i="31" s="1"/>
  <c r="J509" i="31" a="1"/>
  <c r="J509" i="31" s="1"/>
  <c r="I509" i="31" a="1"/>
  <c r="I509" i="31" s="1"/>
  <c r="H509" i="31" a="1"/>
  <c r="H509" i="31" s="1"/>
  <c r="G509" i="31" a="1"/>
  <c r="G509" i="31" s="1"/>
  <c r="F509" i="31" a="1"/>
  <c r="F509" i="31" s="1"/>
  <c r="E509" i="31" a="1"/>
  <c r="E509" i="31" s="1"/>
  <c r="D509" i="31" a="1"/>
  <c r="D509" i="31" s="1"/>
  <c r="R508" i="31" a="1"/>
  <c r="R508" i="31" s="1"/>
  <c r="P508" i="31" a="1"/>
  <c r="P508" i="31" s="1"/>
  <c r="O508" i="31" a="1"/>
  <c r="O508" i="31" s="1"/>
  <c r="N508" i="31" a="1"/>
  <c r="N508" i="31" s="1"/>
  <c r="M508" i="31" a="1"/>
  <c r="M508" i="31" s="1"/>
  <c r="L508" i="31" a="1"/>
  <c r="L508" i="31" s="1"/>
  <c r="K508" i="31" a="1"/>
  <c r="K508" i="31" s="1"/>
  <c r="J508" i="31" a="1"/>
  <c r="J508" i="31" s="1"/>
  <c r="I508" i="31" a="1"/>
  <c r="I508" i="31" s="1"/>
  <c r="H508" i="31" a="1"/>
  <c r="H508" i="31" s="1"/>
  <c r="G508" i="31" a="1"/>
  <c r="G508" i="31" s="1"/>
  <c r="F508" i="31" a="1"/>
  <c r="F508" i="31" s="1"/>
  <c r="E508" i="31" a="1"/>
  <c r="E508" i="31" s="1"/>
  <c r="D508" i="31" a="1"/>
  <c r="D508" i="31" s="1"/>
  <c r="R507" i="31" a="1"/>
  <c r="R507" i="31" s="1"/>
  <c r="P507" i="31" a="1"/>
  <c r="P507" i="31" s="1"/>
  <c r="O507" i="31" a="1"/>
  <c r="O507" i="31" s="1"/>
  <c r="N507" i="31" a="1"/>
  <c r="N507" i="31" s="1"/>
  <c r="M507" i="31" a="1"/>
  <c r="M507" i="31" s="1"/>
  <c r="L507" i="31" a="1"/>
  <c r="L507" i="31" s="1"/>
  <c r="K507" i="31" a="1"/>
  <c r="K507" i="31" s="1"/>
  <c r="J507" i="31" a="1"/>
  <c r="J507" i="31" s="1"/>
  <c r="I507" i="31" a="1"/>
  <c r="I507" i="31" s="1"/>
  <c r="H507" i="31" a="1"/>
  <c r="H507" i="31" s="1"/>
  <c r="G507" i="31" a="1"/>
  <c r="G507" i="31" s="1"/>
  <c r="F507" i="31" a="1"/>
  <c r="F507" i="31" s="1"/>
  <c r="E507" i="31" a="1"/>
  <c r="E507" i="31" s="1"/>
  <c r="D507" i="31" a="1"/>
  <c r="D507" i="31" s="1"/>
  <c r="R506" i="31" a="1"/>
  <c r="R506" i="31" s="1"/>
  <c r="P506" i="31" a="1"/>
  <c r="P506" i="31" s="1"/>
  <c r="O506" i="31" a="1"/>
  <c r="O506" i="31" s="1"/>
  <c r="N506" i="31" a="1"/>
  <c r="N506" i="31" s="1"/>
  <c r="M506" i="31" a="1"/>
  <c r="M506" i="31" s="1"/>
  <c r="L506" i="31" a="1"/>
  <c r="L506" i="31" s="1"/>
  <c r="K506" i="31" a="1"/>
  <c r="K506" i="31" s="1"/>
  <c r="J506" i="31" a="1"/>
  <c r="J506" i="31" s="1"/>
  <c r="I506" i="31" a="1"/>
  <c r="I506" i="31" s="1"/>
  <c r="H506" i="31" a="1"/>
  <c r="H506" i="31" s="1"/>
  <c r="G506" i="31" a="1"/>
  <c r="G506" i="31" s="1"/>
  <c r="F506" i="31" a="1"/>
  <c r="F506" i="31" s="1"/>
  <c r="E506" i="31" a="1"/>
  <c r="E506" i="31" s="1"/>
  <c r="D506" i="31" a="1"/>
  <c r="D506" i="31" s="1"/>
  <c r="R505" i="31" a="1"/>
  <c r="R505" i="31" s="1"/>
  <c r="P505" i="31" a="1"/>
  <c r="P505" i="31" s="1"/>
  <c r="O505" i="31" a="1"/>
  <c r="O505" i="31" s="1"/>
  <c r="N505" i="31" a="1"/>
  <c r="N505" i="31" s="1"/>
  <c r="M505" i="31" a="1"/>
  <c r="M505" i="31" s="1"/>
  <c r="L505" i="31" a="1"/>
  <c r="L505" i="31" s="1"/>
  <c r="K505" i="31" a="1"/>
  <c r="K505" i="31" s="1"/>
  <c r="J505" i="31" a="1"/>
  <c r="J505" i="31" s="1"/>
  <c r="I505" i="31" a="1"/>
  <c r="I505" i="31" s="1"/>
  <c r="H505" i="31" a="1"/>
  <c r="H505" i="31" s="1"/>
  <c r="G505" i="31" a="1"/>
  <c r="G505" i="31" s="1"/>
  <c r="F505" i="31" a="1"/>
  <c r="F505" i="31" s="1"/>
  <c r="E505" i="31" a="1"/>
  <c r="E505" i="31" s="1"/>
  <c r="D505" i="31" a="1"/>
  <c r="D505" i="31" s="1"/>
  <c r="R504" i="31" a="1"/>
  <c r="R504" i="31" s="1"/>
  <c r="P504" i="31" a="1"/>
  <c r="P504" i="31" s="1"/>
  <c r="O504" i="31" a="1"/>
  <c r="O504" i="31" s="1"/>
  <c r="N504" i="31" a="1"/>
  <c r="N504" i="31" s="1"/>
  <c r="M504" i="31" a="1"/>
  <c r="M504" i="31" s="1"/>
  <c r="L504" i="31" a="1"/>
  <c r="L504" i="31" s="1"/>
  <c r="K504" i="31" a="1"/>
  <c r="K504" i="31" s="1"/>
  <c r="J504" i="31" a="1"/>
  <c r="J504" i="31" s="1"/>
  <c r="I504" i="31" a="1"/>
  <c r="I504" i="31" s="1"/>
  <c r="H504" i="31" a="1"/>
  <c r="H504" i="31" s="1"/>
  <c r="G504" i="31" a="1"/>
  <c r="G504" i="31" s="1"/>
  <c r="F504" i="31" a="1"/>
  <c r="F504" i="31" s="1"/>
  <c r="E504" i="31" a="1"/>
  <c r="E504" i="31" s="1"/>
  <c r="D504" i="31" a="1"/>
  <c r="D504" i="31" s="1"/>
  <c r="R503" i="31" a="1"/>
  <c r="R503" i="31" s="1"/>
  <c r="P503" i="31" a="1"/>
  <c r="P503" i="31" s="1"/>
  <c r="O503" i="31" a="1"/>
  <c r="O503" i="31" s="1"/>
  <c r="N503" i="31" a="1"/>
  <c r="N503" i="31" s="1"/>
  <c r="M503" i="31" a="1"/>
  <c r="M503" i="31" s="1"/>
  <c r="L503" i="31" a="1"/>
  <c r="L503" i="31" s="1"/>
  <c r="K503" i="31" a="1"/>
  <c r="K503" i="31" s="1"/>
  <c r="J503" i="31" a="1"/>
  <c r="J503" i="31" s="1"/>
  <c r="I503" i="31" a="1"/>
  <c r="I503" i="31" s="1"/>
  <c r="H503" i="31" a="1"/>
  <c r="H503" i="31" s="1"/>
  <c r="G503" i="31" a="1"/>
  <c r="G503" i="31" s="1"/>
  <c r="F503" i="31" a="1"/>
  <c r="F503" i="31" s="1"/>
  <c r="E503" i="31" a="1"/>
  <c r="E503" i="31" s="1"/>
  <c r="D503" i="31" a="1"/>
  <c r="D503" i="31" s="1"/>
  <c r="R502" i="31" a="1"/>
  <c r="R502" i="31" s="1"/>
  <c r="P502" i="31" a="1"/>
  <c r="P502" i="31" s="1"/>
  <c r="O502" i="31" a="1"/>
  <c r="O502" i="31" s="1"/>
  <c r="N502" i="31" a="1"/>
  <c r="N502" i="31" s="1"/>
  <c r="M502" i="31" a="1"/>
  <c r="M502" i="31" s="1"/>
  <c r="L502" i="31" a="1"/>
  <c r="L502" i="31" s="1"/>
  <c r="K502" i="31" a="1"/>
  <c r="K502" i="31" s="1"/>
  <c r="J502" i="31" a="1"/>
  <c r="J502" i="31" s="1"/>
  <c r="I502" i="31" a="1"/>
  <c r="I502" i="31" s="1"/>
  <c r="H502" i="31" a="1"/>
  <c r="H502" i="31" s="1"/>
  <c r="G502" i="31" a="1"/>
  <c r="G502" i="31" s="1"/>
  <c r="F502" i="31" a="1"/>
  <c r="F502" i="31" s="1"/>
  <c r="E502" i="31" a="1"/>
  <c r="E502" i="31" s="1"/>
  <c r="D502" i="31" a="1"/>
  <c r="D502" i="31" s="1"/>
  <c r="R501" i="31" a="1"/>
  <c r="R501" i="31" s="1"/>
  <c r="P501" i="31" a="1"/>
  <c r="P501" i="31" s="1"/>
  <c r="O501" i="31" a="1"/>
  <c r="O501" i="31" s="1"/>
  <c r="N501" i="31" a="1"/>
  <c r="N501" i="31" s="1"/>
  <c r="M501" i="31" a="1"/>
  <c r="M501" i="31" s="1"/>
  <c r="L501" i="31" a="1"/>
  <c r="L501" i="31" s="1"/>
  <c r="K501" i="31" a="1"/>
  <c r="K501" i="31" s="1"/>
  <c r="J501" i="31" a="1"/>
  <c r="J501" i="31" s="1"/>
  <c r="I501" i="31" a="1"/>
  <c r="I501" i="31" s="1"/>
  <c r="H501" i="31" a="1"/>
  <c r="H501" i="31" s="1"/>
  <c r="G501" i="31" a="1"/>
  <c r="G501" i="31" s="1"/>
  <c r="F501" i="31" a="1"/>
  <c r="F501" i="31" s="1"/>
  <c r="E501" i="31" a="1"/>
  <c r="E501" i="31" s="1"/>
  <c r="D501" i="31" a="1"/>
  <c r="D501" i="31" s="1"/>
  <c r="R500" i="31" a="1"/>
  <c r="R500" i="31" s="1"/>
  <c r="P500" i="31" a="1"/>
  <c r="P500" i="31" s="1"/>
  <c r="O500" i="31" a="1"/>
  <c r="O500" i="31" s="1"/>
  <c r="N500" i="31" a="1"/>
  <c r="N500" i="31" s="1"/>
  <c r="M500" i="31" a="1"/>
  <c r="M500" i="31" s="1"/>
  <c r="L500" i="31" a="1"/>
  <c r="L500" i="31" s="1"/>
  <c r="K500" i="31" a="1"/>
  <c r="K500" i="31" s="1"/>
  <c r="J500" i="31" a="1"/>
  <c r="J500" i="31" s="1"/>
  <c r="I500" i="31" a="1"/>
  <c r="I500" i="31" s="1"/>
  <c r="H500" i="31" a="1"/>
  <c r="H500" i="31" s="1"/>
  <c r="G500" i="31" a="1"/>
  <c r="G500" i="31" s="1"/>
  <c r="F500" i="31" a="1"/>
  <c r="F500" i="31" s="1"/>
  <c r="E500" i="31" a="1"/>
  <c r="E500" i="31" s="1"/>
  <c r="D500" i="31" a="1"/>
  <c r="D500" i="31" s="1"/>
  <c r="R499" i="31" a="1"/>
  <c r="R499" i="31" s="1"/>
  <c r="P499" i="31" a="1"/>
  <c r="P499" i="31" s="1"/>
  <c r="O499" i="31" a="1"/>
  <c r="O499" i="31" s="1"/>
  <c r="N499" i="31" a="1"/>
  <c r="N499" i="31" s="1"/>
  <c r="M499" i="31" a="1"/>
  <c r="M499" i="31" s="1"/>
  <c r="L499" i="31" a="1"/>
  <c r="L499" i="31" s="1"/>
  <c r="K499" i="31" a="1"/>
  <c r="K499" i="31" s="1"/>
  <c r="J499" i="31" a="1"/>
  <c r="J499" i="31" s="1"/>
  <c r="I499" i="31" a="1"/>
  <c r="I499" i="31" s="1"/>
  <c r="H499" i="31" a="1"/>
  <c r="H499" i="31" s="1"/>
  <c r="G499" i="31" a="1"/>
  <c r="G499" i="31" s="1"/>
  <c r="F499" i="31" a="1"/>
  <c r="F499" i="31" s="1"/>
  <c r="E499" i="31" a="1"/>
  <c r="E499" i="31" s="1"/>
  <c r="D499" i="31" a="1"/>
  <c r="D499" i="31" s="1"/>
  <c r="R498" i="31" a="1"/>
  <c r="R498" i="31" s="1"/>
  <c r="P498" i="31" a="1"/>
  <c r="P498" i="31" s="1"/>
  <c r="O498" i="31" a="1"/>
  <c r="O498" i="31" s="1"/>
  <c r="N498" i="31" a="1"/>
  <c r="N498" i="31" s="1"/>
  <c r="M498" i="31" a="1"/>
  <c r="M498" i="31" s="1"/>
  <c r="L498" i="31" a="1"/>
  <c r="L498" i="31" s="1"/>
  <c r="K498" i="31" a="1"/>
  <c r="K498" i="31" s="1"/>
  <c r="J498" i="31" a="1"/>
  <c r="J498" i="31" s="1"/>
  <c r="I498" i="31" a="1"/>
  <c r="I498" i="31" s="1"/>
  <c r="H498" i="31" a="1"/>
  <c r="H498" i="31" s="1"/>
  <c r="G498" i="31" a="1"/>
  <c r="G498" i="31" s="1"/>
  <c r="F498" i="31" a="1"/>
  <c r="F498" i="31" s="1"/>
  <c r="E498" i="31" a="1"/>
  <c r="E498" i="31" s="1"/>
  <c r="D498" i="31" a="1"/>
  <c r="D498" i="31" s="1"/>
  <c r="R497" i="31" a="1"/>
  <c r="R497" i="31" s="1"/>
  <c r="P497" i="31" a="1"/>
  <c r="P497" i="31" s="1"/>
  <c r="O497" i="31" a="1"/>
  <c r="O497" i="31" s="1"/>
  <c r="N497" i="31" a="1"/>
  <c r="N497" i="31" s="1"/>
  <c r="M497" i="31" a="1"/>
  <c r="M497" i="31" s="1"/>
  <c r="L497" i="31" a="1"/>
  <c r="L497" i="31" s="1"/>
  <c r="K497" i="31" a="1"/>
  <c r="K497" i="31" s="1"/>
  <c r="J497" i="31" a="1"/>
  <c r="J497" i="31" s="1"/>
  <c r="I497" i="31" a="1"/>
  <c r="I497" i="31" s="1"/>
  <c r="H497" i="31" a="1"/>
  <c r="H497" i="31" s="1"/>
  <c r="G497" i="31" a="1"/>
  <c r="G497" i="31" s="1"/>
  <c r="F497" i="31" a="1"/>
  <c r="F497" i="31" s="1"/>
  <c r="E497" i="31" a="1"/>
  <c r="E497" i="31" s="1"/>
  <c r="D497" i="31" a="1"/>
  <c r="D497" i="31" s="1"/>
  <c r="R480" i="31" a="1"/>
  <c r="R480" i="31" s="1"/>
  <c r="R479" i="31" s="1"/>
  <c r="P480" i="31" a="1"/>
  <c r="P480" i="31" s="1"/>
  <c r="P479" i="31" s="1"/>
  <c r="O480" i="31" a="1"/>
  <c r="O480" i="31" s="1"/>
  <c r="O479" i="31" s="1"/>
  <c r="N480" i="31" a="1"/>
  <c r="N480" i="31" s="1"/>
  <c r="N479" i="31" s="1"/>
  <c r="M480" i="31" a="1"/>
  <c r="M480" i="31" s="1"/>
  <c r="M479" i="31" s="1"/>
  <c r="L480" i="31" a="1"/>
  <c r="L480" i="31" s="1"/>
  <c r="L479" i="31" s="1"/>
  <c r="K480" i="31" a="1"/>
  <c r="K480" i="31" s="1"/>
  <c r="K479" i="31" s="1"/>
  <c r="J480" i="31" a="1"/>
  <c r="J480" i="31" s="1"/>
  <c r="J479" i="31" s="1"/>
  <c r="I480" i="31" a="1"/>
  <c r="I480" i="31" s="1"/>
  <c r="I479" i="31" s="1"/>
  <c r="H480" i="31" a="1"/>
  <c r="H480" i="31" s="1"/>
  <c r="H479" i="31" s="1"/>
  <c r="G480" i="31" a="1"/>
  <c r="G480" i="31" s="1"/>
  <c r="G479" i="31" s="1"/>
  <c r="F480" i="31" a="1"/>
  <c r="F480" i="31" s="1"/>
  <c r="F479" i="31" s="1"/>
  <c r="E480" i="31" a="1"/>
  <c r="E480" i="31" s="1"/>
  <c r="E479" i="31" s="1"/>
  <c r="D480" i="31" a="1"/>
  <c r="D480" i="31" s="1"/>
  <c r="D479" i="31" s="1"/>
  <c r="D476" i="31" a="1"/>
  <c r="P475" i="31" s="1"/>
  <c r="P474" i="31" s="1"/>
  <c r="R470" i="31" a="1"/>
  <c r="R470" i="31" s="1"/>
  <c r="R469" i="31" s="1"/>
  <c r="P470" i="31" a="1"/>
  <c r="P470" i="31" s="1"/>
  <c r="P469" i="31" s="1"/>
  <c r="O470" i="31" a="1"/>
  <c r="O470" i="31" s="1"/>
  <c r="O469" i="31" s="1"/>
  <c r="N470" i="31" a="1"/>
  <c r="N470" i="31" s="1"/>
  <c r="N469" i="31" s="1"/>
  <c r="M470" i="31" a="1"/>
  <c r="M470" i="31" s="1"/>
  <c r="M469" i="31" s="1"/>
  <c r="L470" i="31" a="1"/>
  <c r="L470" i="31" s="1"/>
  <c r="L469" i="31" s="1"/>
  <c r="K470" i="31" a="1"/>
  <c r="K470" i="31" s="1"/>
  <c r="K469" i="31" s="1"/>
  <c r="J470" i="31" a="1"/>
  <c r="J470" i="31" s="1"/>
  <c r="J469" i="31" s="1"/>
  <c r="I470" i="31" a="1"/>
  <c r="I470" i="31" s="1"/>
  <c r="I469" i="31" s="1"/>
  <c r="H470" i="31" a="1"/>
  <c r="H470" i="31" s="1"/>
  <c r="H469" i="31" s="1"/>
  <c r="G470" i="31" a="1"/>
  <c r="G470" i="31" s="1"/>
  <c r="G469" i="31" s="1"/>
  <c r="F470" i="31" a="1"/>
  <c r="F470" i="31" s="1"/>
  <c r="F469" i="31" s="1"/>
  <c r="E470" i="31" a="1"/>
  <c r="E470" i="31" s="1"/>
  <c r="E469" i="31" s="1"/>
  <c r="D470" i="31" a="1"/>
  <c r="D470" i="31" s="1"/>
  <c r="D469" i="31" s="1"/>
  <c r="R466" i="31"/>
  <c r="P466" i="31"/>
  <c r="O466" i="31"/>
  <c r="N466" i="31"/>
  <c r="M466" i="31"/>
  <c r="L466" i="31"/>
  <c r="K466" i="31"/>
  <c r="J466" i="31"/>
  <c r="I466" i="31"/>
  <c r="H466" i="31"/>
  <c r="G466" i="31"/>
  <c r="F466" i="31"/>
  <c r="E466" i="31"/>
  <c r="D466" i="31"/>
  <c r="R463" i="31" a="1"/>
  <c r="R463" i="31" s="1"/>
  <c r="P463" i="31" a="1"/>
  <c r="P463" i="31" s="1"/>
  <c r="O463" i="31" a="1"/>
  <c r="O463" i="31" s="1"/>
  <c r="N463" i="31" a="1"/>
  <c r="N463" i="31" s="1"/>
  <c r="M463" i="31" a="1"/>
  <c r="M463" i="31" s="1"/>
  <c r="L463" i="31" a="1"/>
  <c r="L463" i="31" s="1"/>
  <c r="K463" i="31" a="1"/>
  <c r="K463" i="31" s="1"/>
  <c r="J463" i="31" a="1"/>
  <c r="J463" i="31" s="1"/>
  <c r="I463" i="31" a="1"/>
  <c r="I463" i="31" s="1"/>
  <c r="H463" i="31" a="1"/>
  <c r="H463" i="31" s="1"/>
  <c r="G463" i="31" a="1"/>
  <c r="G463" i="31" s="1"/>
  <c r="F463" i="31" a="1"/>
  <c r="F463" i="31" s="1"/>
  <c r="E463" i="31" a="1"/>
  <c r="E463" i="31" s="1"/>
  <c r="D463" i="31" a="1"/>
  <c r="D463" i="31" s="1"/>
  <c r="R462" i="31" a="1"/>
  <c r="R462" i="31" s="1"/>
  <c r="P462" i="31" a="1"/>
  <c r="P462" i="31" s="1"/>
  <c r="O462" i="31" a="1"/>
  <c r="O462" i="31" s="1"/>
  <c r="N462" i="31" a="1"/>
  <c r="N462" i="31" s="1"/>
  <c r="M462" i="31" a="1"/>
  <c r="M462" i="31" s="1"/>
  <c r="L462" i="31" a="1"/>
  <c r="L462" i="31" s="1"/>
  <c r="K462" i="31" a="1"/>
  <c r="K462" i="31" s="1"/>
  <c r="J462" i="31" a="1"/>
  <c r="J462" i="31" s="1"/>
  <c r="I462" i="31" a="1"/>
  <c r="I462" i="31" s="1"/>
  <c r="H462" i="31" a="1"/>
  <c r="H462" i="31" s="1"/>
  <c r="G462" i="31" a="1"/>
  <c r="G462" i="31" s="1"/>
  <c r="F462" i="31" a="1"/>
  <c r="F462" i="31" s="1"/>
  <c r="E462" i="31" a="1"/>
  <c r="E462" i="31" s="1"/>
  <c r="D462" i="31" a="1"/>
  <c r="D462" i="31" s="1"/>
  <c r="R461" i="31" a="1"/>
  <c r="R461" i="31" s="1"/>
  <c r="P461" i="31" a="1"/>
  <c r="P461" i="31" s="1"/>
  <c r="O461" i="31" a="1"/>
  <c r="O461" i="31" s="1"/>
  <c r="N461" i="31" a="1"/>
  <c r="N461" i="31" s="1"/>
  <c r="M461" i="31" a="1"/>
  <c r="M461" i="31" s="1"/>
  <c r="L461" i="31" a="1"/>
  <c r="L461" i="31" s="1"/>
  <c r="K461" i="31" a="1"/>
  <c r="K461" i="31" s="1"/>
  <c r="J461" i="31" a="1"/>
  <c r="J461" i="31" s="1"/>
  <c r="I461" i="31" a="1"/>
  <c r="I461" i="31" s="1"/>
  <c r="H461" i="31" a="1"/>
  <c r="H461" i="31" s="1"/>
  <c r="G461" i="31" a="1"/>
  <c r="G461" i="31" s="1"/>
  <c r="F461" i="31" a="1"/>
  <c r="F461" i="31" s="1"/>
  <c r="E461" i="31" a="1"/>
  <c r="E461" i="31" s="1"/>
  <c r="D461" i="31" a="1"/>
  <c r="D461" i="31" s="1"/>
  <c r="R460" i="31" a="1"/>
  <c r="R460" i="31" s="1"/>
  <c r="P460" i="31" a="1"/>
  <c r="P460" i="31" s="1"/>
  <c r="O460" i="31" a="1"/>
  <c r="O460" i="31" s="1"/>
  <c r="N460" i="31" a="1"/>
  <c r="N460" i="31" s="1"/>
  <c r="M460" i="31" a="1"/>
  <c r="M460" i="31" s="1"/>
  <c r="L460" i="31" a="1"/>
  <c r="L460" i="31" s="1"/>
  <c r="K460" i="31" a="1"/>
  <c r="K460" i="31" s="1"/>
  <c r="J460" i="31" a="1"/>
  <c r="J460" i="31" s="1"/>
  <c r="I460" i="31" a="1"/>
  <c r="I460" i="31" s="1"/>
  <c r="H460" i="31" a="1"/>
  <c r="H460" i="31" s="1"/>
  <c r="G460" i="31" a="1"/>
  <c r="G460" i="31" s="1"/>
  <c r="F460" i="31" a="1"/>
  <c r="F460" i="31" s="1"/>
  <c r="E460" i="31" a="1"/>
  <c r="E460" i="31" s="1"/>
  <c r="D460" i="31" a="1"/>
  <c r="D460" i="31" s="1"/>
  <c r="R459" i="31" a="1"/>
  <c r="R459" i="31" s="1"/>
  <c r="P459" i="31" a="1"/>
  <c r="P459" i="31" s="1"/>
  <c r="O459" i="31" a="1"/>
  <c r="O459" i="31" s="1"/>
  <c r="N459" i="31" a="1"/>
  <c r="N459" i="31" s="1"/>
  <c r="M459" i="31" a="1"/>
  <c r="M459" i="31" s="1"/>
  <c r="L459" i="31" a="1"/>
  <c r="L459" i="31" s="1"/>
  <c r="K459" i="31" a="1"/>
  <c r="K459" i="31" s="1"/>
  <c r="J459" i="31" a="1"/>
  <c r="J459" i="31" s="1"/>
  <c r="I459" i="31" a="1"/>
  <c r="I459" i="31" s="1"/>
  <c r="H459" i="31" a="1"/>
  <c r="H459" i="31" s="1"/>
  <c r="G459" i="31" a="1"/>
  <c r="G459" i="31" s="1"/>
  <c r="F459" i="31" a="1"/>
  <c r="F459" i="31" s="1"/>
  <c r="E459" i="31" a="1"/>
  <c r="E459" i="31" s="1"/>
  <c r="D459" i="31" a="1"/>
  <c r="D459" i="31" s="1"/>
  <c r="R458" i="31" a="1"/>
  <c r="R458" i="31" s="1"/>
  <c r="P458" i="31" a="1"/>
  <c r="P458" i="31" s="1"/>
  <c r="O458" i="31" a="1"/>
  <c r="O458" i="31" s="1"/>
  <c r="N458" i="31" a="1"/>
  <c r="N458" i="31" s="1"/>
  <c r="M458" i="31" a="1"/>
  <c r="M458" i="31" s="1"/>
  <c r="L458" i="31" a="1"/>
  <c r="L458" i="31" s="1"/>
  <c r="K458" i="31" a="1"/>
  <c r="K458" i="31" s="1"/>
  <c r="J458" i="31" a="1"/>
  <c r="J458" i="31" s="1"/>
  <c r="I458" i="31" a="1"/>
  <c r="I458" i="31" s="1"/>
  <c r="H458" i="31" a="1"/>
  <c r="H458" i="31" s="1"/>
  <c r="G458" i="31" a="1"/>
  <c r="G458" i="31" s="1"/>
  <c r="F458" i="31" a="1"/>
  <c r="F458" i="31" s="1"/>
  <c r="E458" i="31" a="1"/>
  <c r="E458" i="31" s="1"/>
  <c r="D458" i="31" a="1"/>
  <c r="D458" i="31" s="1"/>
  <c r="R457" i="31" a="1"/>
  <c r="R457" i="31" s="1"/>
  <c r="P457" i="31" a="1"/>
  <c r="P457" i="31" s="1"/>
  <c r="O457" i="31" a="1"/>
  <c r="O457" i="31" s="1"/>
  <c r="N457" i="31" a="1"/>
  <c r="N457" i="31" s="1"/>
  <c r="M457" i="31" a="1"/>
  <c r="M457" i="31" s="1"/>
  <c r="L457" i="31" a="1"/>
  <c r="L457" i="31" s="1"/>
  <c r="K457" i="31" a="1"/>
  <c r="K457" i="31" s="1"/>
  <c r="J457" i="31" a="1"/>
  <c r="J457" i="31" s="1"/>
  <c r="I457" i="31" a="1"/>
  <c r="I457" i="31" s="1"/>
  <c r="H457" i="31" a="1"/>
  <c r="H457" i="31" s="1"/>
  <c r="G457" i="31" a="1"/>
  <c r="G457" i="31" s="1"/>
  <c r="F457" i="31" a="1"/>
  <c r="F457" i="31" s="1"/>
  <c r="E457" i="31" a="1"/>
  <c r="E457" i="31" s="1"/>
  <c r="D457" i="31" a="1"/>
  <c r="D457" i="31" s="1"/>
  <c r="R456" i="31" a="1"/>
  <c r="R456" i="31" s="1"/>
  <c r="P456" i="31" a="1"/>
  <c r="P456" i="31" s="1"/>
  <c r="O456" i="31" a="1"/>
  <c r="O456" i="31" s="1"/>
  <c r="N456" i="31" a="1"/>
  <c r="N456" i="31" s="1"/>
  <c r="M456" i="31" a="1"/>
  <c r="M456" i="31" s="1"/>
  <c r="L456" i="31" a="1"/>
  <c r="L456" i="31" s="1"/>
  <c r="K456" i="31" a="1"/>
  <c r="K456" i="31" s="1"/>
  <c r="J456" i="31" a="1"/>
  <c r="J456" i="31" s="1"/>
  <c r="I456" i="31" a="1"/>
  <c r="I456" i="31" s="1"/>
  <c r="H456" i="31" a="1"/>
  <c r="H456" i="31" s="1"/>
  <c r="G456" i="31" a="1"/>
  <c r="G456" i="31" s="1"/>
  <c r="F456" i="31" a="1"/>
  <c r="F456" i="31" s="1"/>
  <c r="E456" i="31" a="1"/>
  <c r="E456" i="31" s="1"/>
  <c r="D456" i="31" a="1"/>
  <c r="D456" i="31" s="1"/>
  <c r="R455" i="31" a="1"/>
  <c r="R455" i="31" s="1"/>
  <c r="P455" i="31" a="1"/>
  <c r="P455" i="31" s="1"/>
  <c r="O455" i="31" a="1"/>
  <c r="O455" i="31" s="1"/>
  <c r="N455" i="31" a="1"/>
  <c r="N455" i="31" s="1"/>
  <c r="M455" i="31" a="1"/>
  <c r="M455" i="31" s="1"/>
  <c r="L455" i="31" a="1"/>
  <c r="L455" i="31" s="1"/>
  <c r="K455" i="31" a="1"/>
  <c r="K455" i="31" s="1"/>
  <c r="J455" i="31" a="1"/>
  <c r="J455" i="31" s="1"/>
  <c r="I455" i="31" a="1"/>
  <c r="I455" i="31" s="1"/>
  <c r="H455" i="31" a="1"/>
  <c r="H455" i="31" s="1"/>
  <c r="G455" i="31" a="1"/>
  <c r="G455" i="31" s="1"/>
  <c r="F455" i="31" a="1"/>
  <c r="F455" i="31" s="1"/>
  <c r="E455" i="31" a="1"/>
  <c r="E455" i="31" s="1"/>
  <c r="D455" i="31" a="1"/>
  <c r="D455" i="31" s="1"/>
  <c r="R454" i="31" a="1"/>
  <c r="R454" i="31" s="1"/>
  <c r="P454" i="31" a="1"/>
  <c r="P454" i="31" s="1"/>
  <c r="O454" i="31" a="1"/>
  <c r="O454" i="31" s="1"/>
  <c r="N454" i="31" a="1"/>
  <c r="N454" i="31" s="1"/>
  <c r="M454" i="31" a="1"/>
  <c r="M454" i="31" s="1"/>
  <c r="L454" i="31" a="1"/>
  <c r="L454" i="31" s="1"/>
  <c r="K454" i="31" a="1"/>
  <c r="K454" i="31" s="1"/>
  <c r="J454" i="31" a="1"/>
  <c r="J454" i="31" s="1"/>
  <c r="I454" i="31" a="1"/>
  <c r="I454" i="31" s="1"/>
  <c r="H454" i="31" a="1"/>
  <c r="H454" i="31" s="1"/>
  <c r="G454" i="31" a="1"/>
  <c r="G454" i="31" s="1"/>
  <c r="F454" i="31" a="1"/>
  <c r="F454" i="31" s="1"/>
  <c r="E454" i="31" a="1"/>
  <c r="E454" i="31" s="1"/>
  <c r="D454" i="31" a="1"/>
  <c r="D454" i="31" s="1"/>
  <c r="R453" i="31" a="1"/>
  <c r="R453" i="31" s="1"/>
  <c r="P453" i="31" a="1"/>
  <c r="P453" i="31" s="1"/>
  <c r="O453" i="31" a="1"/>
  <c r="O453" i="31" s="1"/>
  <c r="N453" i="31" a="1"/>
  <c r="N453" i="31" s="1"/>
  <c r="M453" i="31" a="1"/>
  <c r="M453" i="31" s="1"/>
  <c r="L453" i="31" a="1"/>
  <c r="L453" i="31" s="1"/>
  <c r="K453" i="31" a="1"/>
  <c r="K453" i="31" s="1"/>
  <c r="J453" i="31" a="1"/>
  <c r="J453" i="31" s="1"/>
  <c r="I453" i="31" a="1"/>
  <c r="I453" i="31" s="1"/>
  <c r="H453" i="31" a="1"/>
  <c r="H453" i="31" s="1"/>
  <c r="G453" i="31" a="1"/>
  <c r="G453" i="31" s="1"/>
  <c r="F453" i="31" a="1"/>
  <c r="F453" i="31" s="1"/>
  <c r="E453" i="31" a="1"/>
  <c r="E453" i="31" s="1"/>
  <c r="D453" i="31" a="1"/>
  <c r="D453" i="31" s="1"/>
  <c r="R452" i="31" a="1"/>
  <c r="R452" i="31" s="1"/>
  <c r="P452" i="31" a="1"/>
  <c r="P452" i="31" s="1"/>
  <c r="O452" i="31" a="1"/>
  <c r="O452" i="31" s="1"/>
  <c r="N452" i="31" a="1"/>
  <c r="N452" i="31" s="1"/>
  <c r="M452" i="31" a="1"/>
  <c r="M452" i="31" s="1"/>
  <c r="L452" i="31" a="1"/>
  <c r="L452" i="31" s="1"/>
  <c r="K452" i="31" a="1"/>
  <c r="K452" i="31" s="1"/>
  <c r="J452" i="31" a="1"/>
  <c r="J452" i="31" s="1"/>
  <c r="I452" i="31" a="1"/>
  <c r="I452" i="31" s="1"/>
  <c r="H452" i="31" a="1"/>
  <c r="H452" i="31" s="1"/>
  <c r="G452" i="31" a="1"/>
  <c r="G452" i="31" s="1"/>
  <c r="F452" i="31" a="1"/>
  <c r="F452" i="31" s="1"/>
  <c r="E452" i="31" a="1"/>
  <c r="E452" i="31" s="1"/>
  <c r="D452" i="31" a="1"/>
  <c r="D452" i="31" s="1"/>
  <c r="R451" i="31" a="1"/>
  <c r="R451" i="31" s="1"/>
  <c r="P451" i="31" a="1"/>
  <c r="P451" i="31" s="1"/>
  <c r="O451" i="31" a="1"/>
  <c r="O451" i="31" s="1"/>
  <c r="N451" i="31" a="1"/>
  <c r="N451" i="31" s="1"/>
  <c r="M451" i="31" a="1"/>
  <c r="M451" i="31" s="1"/>
  <c r="L451" i="31" a="1"/>
  <c r="L451" i="31" s="1"/>
  <c r="K451" i="31" a="1"/>
  <c r="K451" i="31" s="1"/>
  <c r="J451" i="31" a="1"/>
  <c r="J451" i="31" s="1"/>
  <c r="I451" i="31" a="1"/>
  <c r="I451" i="31" s="1"/>
  <c r="H451" i="31" a="1"/>
  <c r="H451" i="31" s="1"/>
  <c r="G451" i="31" a="1"/>
  <c r="G451" i="31" s="1"/>
  <c r="F451" i="31" a="1"/>
  <c r="F451" i="31" s="1"/>
  <c r="E451" i="31" a="1"/>
  <c r="E451" i="31" s="1"/>
  <c r="D451" i="31" a="1"/>
  <c r="D451" i="31" s="1"/>
  <c r="R450" i="31" a="1"/>
  <c r="R450" i="31" s="1"/>
  <c r="P450" i="31" a="1"/>
  <c r="P450" i="31" s="1"/>
  <c r="O450" i="31" a="1"/>
  <c r="O450" i="31" s="1"/>
  <c r="N450" i="31" a="1"/>
  <c r="N450" i="31" s="1"/>
  <c r="M450" i="31" a="1"/>
  <c r="M450" i="31" s="1"/>
  <c r="L450" i="31" a="1"/>
  <c r="L450" i="31" s="1"/>
  <c r="K450" i="31" a="1"/>
  <c r="K450" i="31" s="1"/>
  <c r="J450" i="31" a="1"/>
  <c r="J450" i="31" s="1"/>
  <c r="I450" i="31" a="1"/>
  <c r="I450" i="31" s="1"/>
  <c r="H450" i="31" a="1"/>
  <c r="H450" i="31" s="1"/>
  <c r="G450" i="31" a="1"/>
  <c r="G450" i="31" s="1"/>
  <c r="F450" i="31" a="1"/>
  <c r="F450" i="31" s="1"/>
  <c r="E450" i="31" a="1"/>
  <c r="E450" i="31" s="1"/>
  <c r="D450" i="31" a="1"/>
  <c r="D450" i="31" s="1"/>
  <c r="R449" i="31" a="1"/>
  <c r="R449" i="31" s="1"/>
  <c r="P449" i="31" a="1"/>
  <c r="P449" i="31" s="1"/>
  <c r="O449" i="31" a="1"/>
  <c r="O449" i="31" s="1"/>
  <c r="N449" i="31" a="1"/>
  <c r="N449" i="31" s="1"/>
  <c r="M449" i="31" a="1"/>
  <c r="M449" i="31" s="1"/>
  <c r="L449" i="31" a="1"/>
  <c r="L449" i="31" s="1"/>
  <c r="K449" i="31" a="1"/>
  <c r="K449" i="31" s="1"/>
  <c r="J449" i="31" a="1"/>
  <c r="J449" i="31" s="1"/>
  <c r="I449" i="31" a="1"/>
  <c r="I449" i="31" s="1"/>
  <c r="H449" i="31" a="1"/>
  <c r="H449" i="31" s="1"/>
  <c r="G449" i="31" a="1"/>
  <c r="G449" i="31" s="1"/>
  <c r="F449" i="31" a="1"/>
  <c r="F449" i="31" s="1"/>
  <c r="E449" i="31" a="1"/>
  <c r="E449" i="31" s="1"/>
  <c r="D449" i="31" a="1"/>
  <c r="D449" i="31" s="1"/>
  <c r="R448" i="31" a="1"/>
  <c r="R448" i="31" s="1"/>
  <c r="P448" i="31" a="1"/>
  <c r="P448" i="31" s="1"/>
  <c r="O448" i="31" a="1"/>
  <c r="O448" i="31" s="1"/>
  <c r="N448" i="31" a="1"/>
  <c r="N448" i="31" s="1"/>
  <c r="M448" i="31" a="1"/>
  <c r="M448" i="31" s="1"/>
  <c r="L448" i="31" a="1"/>
  <c r="L448" i="31" s="1"/>
  <c r="K448" i="31" a="1"/>
  <c r="K448" i="31" s="1"/>
  <c r="J448" i="31" a="1"/>
  <c r="J448" i="31" s="1"/>
  <c r="I448" i="31" a="1"/>
  <c r="I448" i="31" s="1"/>
  <c r="H448" i="31" a="1"/>
  <c r="H448" i="31" s="1"/>
  <c r="G448" i="31" a="1"/>
  <c r="G448" i="31" s="1"/>
  <c r="F448" i="31" a="1"/>
  <c r="F448" i="31" s="1"/>
  <c r="E448" i="31" a="1"/>
  <c r="E448" i="31" s="1"/>
  <c r="D448" i="31" a="1"/>
  <c r="D448" i="31" s="1"/>
  <c r="R447" i="31" a="1"/>
  <c r="R447" i="31" s="1"/>
  <c r="P447" i="31" a="1"/>
  <c r="P447" i="31" s="1"/>
  <c r="O447" i="31" a="1"/>
  <c r="O447" i="31" s="1"/>
  <c r="N447" i="31" a="1"/>
  <c r="N447" i="31" s="1"/>
  <c r="M447" i="31" a="1"/>
  <c r="M447" i="31" s="1"/>
  <c r="L447" i="31" a="1"/>
  <c r="L447" i="31" s="1"/>
  <c r="K447" i="31" a="1"/>
  <c r="K447" i="31" s="1"/>
  <c r="J447" i="31" a="1"/>
  <c r="J447" i="31" s="1"/>
  <c r="I447" i="31" a="1"/>
  <c r="I447" i="31" s="1"/>
  <c r="H447" i="31" a="1"/>
  <c r="H447" i="31" s="1"/>
  <c r="G447" i="31" a="1"/>
  <c r="G447" i="31" s="1"/>
  <c r="F447" i="31" a="1"/>
  <c r="F447" i="31" s="1"/>
  <c r="E447" i="31" a="1"/>
  <c r="E447" i="31" s="1"/>
  <c r="D447" i="31" a="1"/>
  <c r="D447" i="31" s="1"/>
  <c r="R430" i="31" a="1"/>
  <c r="R430" i="31" s="1"/>
  <c r="R429" i="31" s="1"/>
  <c r="P430" i="31" a="1"/>
  <c r="P430" i="31" s="1"/>
  <c r="P429" i="31" s="1"/>
  <c r="O430" i="31" a="1"/>
  <c r="O430" i="31" s="1"/>
  <c r="O429" i="31" s="1"/>
  <c r="N430" i="31" a="1"/>
  <c r="N430" i="31" s="1"/>
  <c r="N429" i="31" s="1"/>
  <c r="M430" i="31" a="1"/>
  <c r="M430" i="31" s="1"/>
  <c r="M429" i="31" s="1"/>
  <c r="L430" i="31" a="1"/>
  <c r="L430" i="31" s="1"/>
  <c r="L429" i="31" s="1"/>
  <c r="K430" i="31" a="1"/>
  <c r="K430" i="31" s="1"/>
  <c r="K429" i="31" s="1"/>
  <c r="J430" i="31" a="1"/>
  <c r="J430" i="31" s="1"/>
  <c r="J429" i="31" s="1"/>
  <c r="I430" i="31" a="1"/>
  <c r="I430" i="31" s="1"/>
  <c r="I429" i="31" s="1"/>
  <c r="H430" i="31" a="1"/>
  <c r="H430" i="31" s="1"/>
  <c r="H429" i="31" s="1"/>
  <c r="G430" i="31" a="1"/>
  <c r="G430" i="31" s="1"/>
  <c r="G429" i="31" s="1"/>
  <c r="F430" i="31" a="1"/>
  <c r="F430" i="31" s="1"/>
  <c r="F429" i="31" s="1"/>
  <c r="E430" i="31" a="1"/>
  <c r="E430" i="31" s="1"/>
  <c r="E429" i="31" s="1"/>
  <c r="D430" i="31" a="1"/>
  <c r="D430" i="31" s="1"/>
  <c r="D429" i="31" s="1"/>
  <c r="D426" i="31" a="1"/>
  <c r="J425" i="31" s="1"/>
  <c r="J424" i="31" s="1"/>
  <c r="R420" i="31" a="1"/>
  <c r="R420" i="31" s="1"/>
  <c r="R419" i="31" s="1"/>
  <c r="P420" i="31" a="1"/>
  <c r="P420" i="31" s="1"/>
  <c r="P419" i="31" s="1"/>
  <c r="O420" i="31" a="1"/>
  <c r="O420" i="31" s="1"/>
  <c r="O419" i="31" s="1"/>
  <c r="N420" i="31" a="1"/>
  <c r="N420" i="31" s="1"/>
  <c r="N419" i="31" s="1"/>
  <c r="M420" i="31" a="1"/>
  <c r="M420" i="31" s="1"/>
  <c r="M419" i="31" s="1"/>
  <c r="L420" i="31" a="1"/>
  <c r="L420" i="31" s="1"/>
  <c r="L419" i="31" s="1"/>
  <c r="K420" i="31" a="1"/>
  <c r="K420" i="31" s="1"/>
  <c r="K419" i="31" s="1"/>
  <c r="J420" i="31" a="1"/>
  <c r="J420" i="31" s="1"/>
  <c r="J419" i="31" s="1"/>
  <c r="I420" i="31" a="1"/>
  <c r="I420" i="31" s="1"/>
  <c r="I419" i="31" s="1"/>
  <c r="H420" i="31" a="1"/>
  <c r="H420" i="31" s="1"/>
  <c r="H419" i="31" s="1"/>
  <c r="G420" i="31" a="1"/>
  <c r="G420" i="31" s="1"/>
  <c r="G419" i="31" s="1"/>
  <c r="F420" i="31" a="1"/>
  <c r="F420" i="31" s="1"/>
  <c r="F419" i="31" s="1"/>
  <c r="E420" i="31" a="1"/>
  <c r="E420" i="31" s="1"/>
  <c r="E419" i="31" s="1"/>
  <c r="D420" i="31" a="1"/>
  <c r="D420" i="31" s="1"/>
  <c r="D419" i="31" s="1"/>
  <c r="R416" i="31"/>
  <c r="P416" i="31"/>
  <c r="O416" i="31"/>
  <c r="N416" i="31"/>
  <c r="M416" i="31"/>
  <c r="L416" i="31"/>
  <c r="K416" i="31"/>
  <c r="J416" i="31"/>
  <c r="I416" i="31"/>
  <c r="H416" i="31"/>
  <c r="G416" i="31"/>
  <c r="F416" i="31"/>
  <c r="E416" i="31"/>
  <c r="D416" i="31"/>
  <c r="R413" i="31" a="1"/>
  <c r="R413" i="31" s="1"/>
  <c r="P413" i="31" a="1"/>
  <c r="P413" i="31" s="1"/>
  <c r="O413" i="31" a="1"/>
  <c r="O413" i="31" s="1"/>
  <c r="N413" i="31" a="1"/>
  <c r="N413" i="31" s="1"/>
  <c r="M413" i="31" a="1"/>
  <c r="M413" i="31" s="1"/>
  <c r="L413" i="31" a="1"/>
  <c r="L413" i="31" s="1"/>
  <c r="K413" i="31" a="1"/>
  <c r="K413" i="31" s="1"/>
  <c r="J413" i="31" a="1"/>
  <c r="J413" i="31" s="1"/>
  <c r="I413" i="31" a="1"/>
  <c r="I413" i="31" s="1"/>
  <c r="H413" i="31" a="1"/>
  <c r="H413" i="31" s="1"/>
  <c r="G413" i="31" a="1"/>
  <c r="G413" i="31" s="1"/>
  <c r="F413" i="31" a="1"/>
  <c r="F413" i="31" s="1"/>
  <c r="E413" i="31" a="1"/>
  <c r="E413" i="31" s="1"/>
  <c r="D413" i="31" a="1"/>
  <c r="D413" i="31" s="1"/>
  <c r="R412" i="31" a="1"/>
  <c r="R412" i="31" s="1"/>
  <c r="P412" i="31" a="1"/>
  <c r="P412" i="31" s="1"/>
  <c r="O412" i="31" a="1"/>
  <c r="O412" i="31" s="1"/>
  <c r="N412" i="31" a="1"/>
  <c r="N412" i="31" s="1"/>
  <c r="M412" i="31" a="1"/>
  <c r="M412" i="31" s="1"/>
  <c r="L412" i="31" a="1"/>
  <c r="L412" i="31" s="1"/>
  <c r="K412" i="31" a="1"/>
  <c r="K412" i="31" s="1"/>
  <c r="J412" i="31" a="1"/>
  <c r="J412" i="31" s="1"/>
  <c r="I412" i="31" a="1"/>
  <c r="I412" i="31" s="1"/>
  <c r="H412" i="31" a="1"/>
  <c r="H412" i="31" s="1"/>
  <c r="G412" i="31" a="1"/>
  <c r="G412" i="31" s="1"/>
  <c r="F412" i="31" a="1"/>
  <c r="F412" i="31" s="1"/>
  <c r="E412" i="31" a="1"/>
  <c r="E412" i="31" s="1"/>
  <c r="D412" i="31" a="1"/>
  <c r="D412" i="31" s="1"/>
  <c r="R411" i="31" a="1"/>
  <c r="R411" i="31" s="1"/>
  <c r="P411" i="31" a="1"/>
  <c r="P411" i="31" s="1"/>
  <c r="O411" i="31" a="1"/>
  <c r="O411" i="31" s="1"/>
  <c r="N411" i="31" a="1"/>
  <c r="N411" i="31" s="1"/>
  <c r="M411" i="31" a="1"/>
  <c r="M411" i="31" s="1"/>
  <c r="L411" i="31" a="1"/>
  <c r="L411" i="31" s="1"/>
  <c r="K411" i="31" a="1"/>
  <c r="K411" i="31" s="1"/>
  <c r="J411" i="31" a="1"/>
  <c r="J411" i="31" s="1"/>
  <c r="I411" i="31" a="1"/>
  <c r="I411" i="31" s="1"/>
  <c r="H411" i="31" a="1"/>
  <c r="H411" i="31" s="1"/>
  <c r="G411" i="31" a="1"/>
  <c r="G411" i="31" s="1"/>
  <c r="F411" i="31" a="1"/>
  <c r="F411" i="31" s="1"/>
  <c r="E411" i="31" a="1"/>
  <c r="E411" i="31" s="1"/>
  <c r="D411" i="31" a="1"/>
  <c r="D411" i="31" s="1"/>
  <c r="R410" i="31" a="1"/>
  <c r="R410" i="31" s="1"/>
  <c r="P410" i="31" a="1"/>
  <c r="P410" i="31" s="1"/>
  <c r="O410" i="31" a="1"/>
  <c r="O410" i="31" s="1"/>
  <c r="N410" i="31" a="1"/>
  <c r="N410" i="31" s="1"/>
  <c r="M410" i="31" a="1"/>
  <c r="M410" i="31" s="1"/>
  <c r="L410" i="31" a="1"/>
  <c r="L410" i="31" s="1"/>
  <c r="K410" i="31" a="1"/>
  <c r="K410" i="31" s="1"/>
  <c r="J410" i="31" a="1"/>
  <c r="J410" i="31" s="1"/>
  <c r="I410" i="31" a="1"/>
  <c r="I410" i="31" s="1"/>
  <c r="H410" i="31" a="1"/>
  <c r="H410" i="31" s="1"/>
  <c r="G410" i="31" a="1"/>
  <c r="G410" i="31" s="1"/>
  <c r="F410" i="31" a="1"/>
  <c r="F410" i="31" s="1"/>
  <c r="E410" i="31" a="1"/>
  <c r="E410" i="31" s="1"/>
  <c r="D410" i="31" a="1"/>
  <c r="D410" i="31" s="1"/>
  <c r="R409" i="31" a="1"/>
  <c r="R409" i="31" s="1"/>
  <c r="P409" i="31" a="1"/>
  <c r="P409" i="31" s="1"/>
  <c r="O409" i="31" a="1"/>
  <c r="O409" i="31" s="1"/>
  <c r="N409" i="31" a="1"/>
  <c r="N409" i="31" s="1"/>
  <c r="M409" i="31" a="1"/>
  <c r="M409" i="31" s="1"/>
  <c r="L409" i="31" a="1"/>
  <c r="L409" i="31" s="1"/>
  <c r="K409" i="31" a="1"/>
  <c r="K409" i="31" s="1"/>
  <c r="J409" i="31" a="1"/>
  <c r="J409" i="31" s="1"/>
  <c r="I409" i="31" a="1"/>
  <c r="I409" i="31" s="1"/>
  <c r="H409" i="31" a="1"/>
  <c r="H409" i="31" s="1"/>
  <c r="G409" i="31" a="1"/>
  <c r="G409" i="31" s="1"/>
  <c r="F409" i="31" a="1"/>
  <c r="F409" i="31" s="1"/>
  <c r="E409" i="31" a="1"/>
  <c r="E409" i="31" s="1"/>
  <c r="D409" i="31" a="1"/>
  <c r="D409" i="31" s="1"/>
  <c r="R408" i="31" a="1"/>
  <c r="R408" i="31" s="1"/>
  <c r="P408" i="31" a="1"/>
  <c r="P408" i="31" s="1"/>
  <c r="O408" i="31" a="1"/>
  <c r="O408" i="31" s="1"/>
  <c r="N408" i="31" a="1"/>
  <c r="N408" i="31" s="1"/>
  <c r="M408" i="31" a="1"/>
  <c r="M408" i="31" s="1"/>
  <c r="L408" i="31" a="1"/>
  <c r="L408" i="31" s="1"/>
  <c r="K408" i="31" a="1"/>
  <c r="K408" i="31" s="1"/>
  <c r="J408" i="31" a="1"/>
  <c r="J408" i="31" s="1"/>
  <c r="I408" i="31" a="1"/>
  <c r="I408" i="31" s="1"/>
  <c r="H408" i="31" a="1"/>
  <c r="H408" i="31" s="1"/>
  <c r="G408" i="31" a="1"/>
  <c r="G408" i="31" s="1"/>
  <c r="F408" i="31" a="1"/>
  <c r="F408" i="31" s="1"/>
  <c r="E408" i="31" a="1"/>
  <c r="E408" i="31" s="1"/>
  <c r="D408" i="31" a="1"/>
  <c r="D408" i="31" s="1"/>
  <c r="R407" i="31" a="1"/>
  <c r="R407" i="31" s="1"/>
  <c r="P407" i="31" a="1"/>
  <c r="P407" i="31" s="1"/>
  <c r="O407" i="31" a="1"/>
  <c r="O407" i="31" s="1"/>
  <c r="N407" i="31" a="1"/>
  <c r="N407" i="31" s="1"/>
  <c r="M407" i="31" a="1"/>
  <c r="M407" i="31" s="1"/>
  <c r="L407" i="31" a="1"/>
  <c r="L407" i="31" s="1"/>
  <c r="K407" i="31" a="1"/>
  <c r="K407" i="31" s="1"/>
  <c r="J407" i="31" a="1"/>
  <c r="J407" i="31" s="1"/>
  <c r="I407" i="31" a="1"/>
  <c r="I407" i="31" s="1"/>
  <c r="H407" i="31" a="1"/>
  <c r="H407" i="31" s="1"/>
  <c r="G407" i="31" a="1"/>
  <c r="G407" i="31" s="1"/>
  <c r="F407" i="31" a="1"/>
  <c r="F407" i="31" s="1"/>
  <c r="E407" i="31" a="1"/>
  <c r="E407" i="31" s="1"/>
  <c r="D407" i="31" a="1"/>
  <c r="D407" i="31" s="1"/>
  <c r="R406" i="31" a="1"/>
  <c r="R406" i="31" s="1"/>
  <c r="P406" i="31" a="1"/>
  <c r="P406" i="31" s="1"/>
  <c r="O406" i="31" a="1"/>
  <c r="O406" i="31" s="1"/>
  <c r="N406" i="31" a="1"/>
  <c r="N406" i="31" s="1"/>
  <c r="M406" i="31" a="1"/>
  <c r="M406" i="31" s="1"/>
  <c r="L406" i="31" a="1"/>
  <c r="L406" i="31" s="1"/>
  <c r="K406" i="31" a="1"/>
  <c r="K406" i="31" s="1"/>
  <c r="J406" i="31" a="1"/>
  <c r="J406" i="31" s="1"/>
  <c r="I406" i="31" a="1"/>
  <c r="I406" i="31" s="1"/>
  <c r="H406" i="31" a="1"/>
  <c r="H406" i="31" s="1"/>
  <c r="G406" i="31" a="1"/>
  <c r="G406" i="31" s="1"/>
  <c r="F406" i="31" a="1"/>
  <c r="F406" i="31" s="1"/>
  <c r="E406" i="31" a="1"/>
  <c r="E406" i="31" s="1"/>
  <c r="D406" i="31" a="1"/>
  <c r="D406" i="31" s="1"/>
  <c r="R405" i="31" a="1"/>
  <c r="R405" i="31" s="1"/>
  <c r="P405" i="31" a="1"/>
  <c r="P405" i="31" s="1"/>
  <c r="O405" i="31" a="1"/>
  <c r="O405" i="31" s="1"/>
  <c r="N405" i="31" a="1"/>
  <c r="N405" i="31" s="1"/>
  <c r="M405" i="31" a="1"/>
  <c r="M405" i="31" s="1"/>
  <c r="L405" i="31" a="1"/>
  <c r="L405" i="31" s="1"/>
  <c r="K405" i="31" a="1"/>
  <c r="K405" i="31" s="1"/>
  <c r="J405" i="31" a="1"/>
  <c r="J405" i="31" s="1"/>
  <c r="I405" i="31" a="1"/>
  <c r="I405" i="31" s="1"/>
  <c r="H405" i="31" a="1"/>
  <c r="H405" i="31" s="1"/>
  <c r="G405" i="31" a="1"/>
  <c r="G405" i="31" s="1"/>
  <c r="F405" i="31" a="1"/>
  <c r="F405" i="31" s="1"/>
  <c r="E405" i="31" a="1"/>
  <c r="E405" i="31" s="1"/>
  <c r="D405" i="31" a="1"/>
  <c r="D405" i="31" s="1"/>
  <c r="R404" i="31" a="1"/>
  <c r="R404" i="31" s="1"/>
  <c r="P404" i="31" a="1"/>
  <c r="P404" i="31" s="1"/>
  <c r="O404" i="31" a="1"/>
  <c r="O404" i="31" s="1"/>
  <c r="N404" i="31" a="1"/>
  <c r="N404" i="31" s="1"/>
  <c r="M404" i="31" a="1"/>
  <c r="M404" i="31" s="1"/>
  <c r="L404" i="31" a="1"/>
  <c r="L404" i="31" s="1"/>
  <c r="K404" i="31" a="1"/>
  <c r="K404" i="31" s="1"/>
  <c r="J404" i="31" a="1"/>
  <c r="J404" i="31" s="1"/>
  <c r="I404" i="31" a="1"/>
  <c r="I404" i="31" s="1"/>
  <c r="H404" i="31" a="1"/>
  <c r="H404" i="31" s="1"/>
  <c r="G404" i="31" a="1"/>
  <c r="G404" i="31" s="1"/>
  <c r="F404" i="31" a="1"/>
  <c r="F404" i="31" s="1"/>
  <c r="E404" i="31" a="1"/>
  <c r="E404" i="31" s="1"/>
  <c r="D404" i="31" a="1"/>
  <c r="D404" i="31" s="1"/>
  <c r="R403" i="31" a="1"/>
  <c r="R403" i="31" s="1"/>
  <c r="P403" i="31" a="1"/>
  <c r="P403" i="31" s="1"/>
  <c r="O403" i="31" a="1"/>
  <c r="O403" i="31" s="1"/>
  <c r="N403" i="31" a="1"/>
  <c r="N403" i="31" s="1"/>
  <c r="M403" i="31" a="1"/>
  <c r="M403" i="31" s="1"/>
  <c r="L403" i="31" a="1"/>
  <c r="L403" i="31" s="1"/>
  <c r="K403" i="31" a="1"/>
  <c r="K403" i="31" s="1"/>
  <c r="J403" i="31" a="1"/>
  <c r="J403" i="31" s="1"/>
  <c r="I403" i="31" a="1"/>
  <c r="I403" i="31" s="1"/>
  <c r="H403" i="31" a="1"/>
  <c r="H403" i="31" s="1"/>
  <c r="G403" i="31" a="1"/>
  <c r="G403" i="31" s="1"/>
  <c r="F403" i="31" a="1"/>
  <c r="F403" i="31" s="1"/>
  <c r="E403" i="31" a="1"/>
  <c r="E403" i="31" s="1"/>
  <c r="D403" i="31" a="1"/>
  <c r="D403" i="31" s="1"/>
  <c r="R402" i="31" a="1"/>
  <c r="R402" i="31" s="1"/>
  <c r="P402" i="31" a="1"/>
  <c r="P402" i="31" s="1"/>
  <c r="O402" i="31" a="1"/>
  <c r="O402" i="31" s="1"/>
  <c r="N402" i="31" a="1"/>
  <c r="N402" i="31" s="1"/>
  <c r="M402" i="31" a="1"/>
  <c r="M402" i="31" s="1"/>
  <c r="L402" i="31" a="1"/>
  <c r="L402" i="31" s="1"/>
  <c r="K402" i="31" a="1"/>
  <c r="K402" i="31" s="1"/>
  <c r="J402" i="31" a="1"/>
  <c r="J402" i="31" s="1"/>
  <c r="I402" i="31" a="1"/>
  <c r="I402" i="31" s="1"/>
  <c r="H402" i="31" a="1"/>
  <c r="H402" i="31" s="1"/>
  <c r="G402" i="31" a="1"/>
  <c r="G402" i="31" s="1"/>
  <c r="F402" i="31" a="1"/>
  <c r="F402" i="31" s="1"/>
  <c r="E402" i="31" a="1"/>
  <c r="E402" i="31" s="1"/>
  <c r="D402" i="31" a="1"/>
  <c r="D402" i="31" s="1"/>
  <c r="R401" i="31" a="1"/>
  <c r="R401" i="31" s="1"/>
  <c r="P401" i="31" a="1"/>
  <c r="P401" i="31" s="1"/>
  <c r="O401" i="31" a="1"/>
  <c r="O401" i="31" s="1"/>
  <c r="N401" i="31" a="1"/>
  <c r="N401" i="31" s="1"/>
  <c r="M401" i="31" a="1"/>
  <c r="M401" i="31" s="1"/>
  <c r="L401" i="31" a="1"/>
  <c r="L401" i="31" s="1"/>
  <c r="K401" i="31" a="1"/>
  <c r="K401" i="31" s="1"/>
  <c r="J401" i="31" a="1"/>
  <c r="J401" i="31" s="1"/>
  <c r="I401" i="31" a="1"/>
  <c r="I401" i="31" s="1"/>
  <c r="H401" i="31" a="1"/>
  <c r="H401" i="31" s="1"/>
  <c r="G401" i="31" a="1"/>
  <c r="G401" i="31" s="1"/>
  <c r="F401" i="31" a="1"/>
  <c r="F401" i="31" s="1"/>
  <c r="E401" i="31" a="1"/>
  <c r="E401" i="31" s="1"/>
  <c r="D401" i="31" a="1"/>
  <c r="D401" i="31" s="1"/>
  <c r="R400" i="31" a="1"/>
  <c r="R400" i="31" s="1"/>
  <c r="P400" i="31" a="1"/>
  <c r="P400" i="31" s="1"/>
  <c r="O400" i="31" a="1"/>
  <c r="O400" i="31" s="1"/>
  <c r="N400" i="31" a="1"/>
  <c r="N400" i="31" s="1"/>
  <c r="M400" i="31" a="1"/>
  <c r="M400" i="31" s="1"/>
  <c r="L400" i="31" a="1"/>
  <c r="L400" i="31" s="1"/>
  <c r="K400" i="31" a="1"/>
  <c r="K400" i="31" s="1"/>
  <c r="J400" i="31" a="1"/>
  <c r="J400" i="31" s="1"/>
  <c r="I400" i="31" a="1"/>
  <c r="I400" i="31" s="1"/>
  <c r="H400" i="31" a="1"/>
  <c r="H400" i="31" s="1"/>
  <c r="G400" i="31" a="1"/>
  <c r="G400" i="31" s="1"/>
  <c r="F400" i="31" a="1"/>
  <c r="F400" i="31" s="1"/>
  <c r="E400" i="31" a="1"/>
  <c r="E400" i="31" s="1"/>
  <c r="D400" i="31" a="1"/>
  <c r="D400" i="31" s="1"/>
  <c r="R399" i="31" a="1"/>
  <c r="R399" i="31" s="1"/>
  <c r="P399" i="31" a="1"/>
  <c r="P399" i="31" s="1"/>
  <c r="O399" i="31" a="1"/>
  <c r="O399" i="31" s="1"/>
  <c r="N399" i="31" a="1"/>
  <c r="N399" i="31" s="1"/>
  <c r="M399" i="31" a="1"/>
  <c r="M399" i="31" s="1"/>
  <c r="L399" i="31" a="1"/>
  <c r="L399" i="31" s="1"/>
  <c r="K399" i="31" a="1"/>
  <c r="K399" i="31" s="1"/>
  <c r="J399" i="31" a="1"/>
  <c r="J399" i="31" s="1"/>
  <c r="I399" i="31" a="1"/>
  <c r="I399" i="31" s="1"/>
  <c r="H399" i="31" a="1"/>
  <c r="H399" i="31" s="1"/>
  <c r="G399" i="31" a="1"/>
  <c r="G399" i="31" s="1"/>
  <c r="F399" i="31" a="1"/>
  <c r="F399" i="31" s="1"/>
  <c r="E399" i="31" a="1"/>
  <c r="E399" i="31" s="1"/>
  <c r="D399" i="31" a="1"/>
  <c r="D399" i="31" s="1"/>
  <c r="R398" i="31" a="1"/>
  <c r="R398" i="31" s="1"/>
  <c r="P398" i="31" a="1"/>
  <c r="P398" i="31" s="1"/>
  <c r="O398" i="31" a="1"/>
  <c r="O398" i="31" s="1"/>
  <c r="N398" i="31" a="1"/>
  <c r="N398" i="31" s="1"/>
  <c r="M398" i="31" a="1"/>
  <c r="M398" i="31" s="1"/>
  <c r="L398" i="31" a="1"/>
  <c r="L398" i="31" s="1"/>
  <c r="K398" i="31" a="1"/>
  <c r="K398" i="31" s="1"/>
  <c r="J398" i="31" a="1"/>
  <c r="J398" i="31" s="1"/>
  <c r="I398" i="31" a="1"/>
  <c r="I398" i="31" s="1"/>
  <c r="H398" i="31" a="1"/>
  <c r="H398" i="31" s="1"/>
  <c r="G398" i="31" a="1"/>
  <c r="G398" i="31" s="1"/>
  <c r="F398" i="31" a="1"/>
  <c r="F398" i="31" s="1"/>
  <c r="E398" i="31" a="1"/>
  <c r="E398" i="31" s="1"/>
  <c r="D398" i="31" a="1"/>
  <c r="D398" i="31" s="1"/>
  <c r="R397" i="31" a="1"/>
  <c r="R397" i="31" s="1"/>
  <c r="P397" i="31" a="1"/>
  <c r="P397" i="31" s="1"/>
  <c r="O397" i="31" a="1"/>
  <c r="O397" i="31" s="1"/>
  <c r="N397" i="31" a="1"/>
  <c r="N397" i="31" s="1"/>
  <c r="M397" i="31" a="1"/>
  <c r="M397" i="31" s="1"/>
  <c r="L397" i="31" a="1"/>
  <c r="L397" i="31" s="1"/>
  <c r="K397" i="31" a="1"/>
  <c r="K397" i="31" s="1"/>
  <c r="J397" i="31" a="1"/>
  <c r="J397" i="31" s="1"/>
  <c r="I397" i="31" a="1"/>
  <c r="I397" i="31" s="1"/>
  <c r="H397" i="31" a="1"/>
  <c r="H397" i="31" s="1"/>
  <c r="G397" i="31" a="1"/>
  <c r="G397" i="31" s="1"/>
  <c r="F397" i="31" a="1"/>
  <c r="F397" i="31" s="1"/>
  <c r="E397" i="31" a="1"/>
  <c r="E397" i="31" s="1"/>
  <c r="D397" i="31" a="1"/>
  <c r="D397" i="31" s="1"/>
  <c r="R380" i="31" a="1"/>
  <c r="R380" i="31" s="1"/>
  <c r="R379" i="31" s="1"/>
  <c r="P380" i="31" a="1"/>
  <c r="P380" i="31" s="1"/>
  <c r="P379" i="31" s="1"/>
  <c r="O380" i="31" a="1"/>
  <c r="O380" i="31" s="1"/>
  <c r="O379" i="31" s="1"/>
  <c r="N380" i="31" a="1"/>
  <c r="N380" i="31" s="1"/>
  <c r="N379" i="31" s="1"/>
  <c r="M380" i="31" a="1"/>
  <c r="M380" i="31" s="1"/>
  <c r="M379" i="31" s="1"/>
  <c r="L380" i="31" a="1"/>
  <c r="L380" i="31" s="1"/>
  <c r="L379" i="31" s="1"/>
  <c r="K380" i="31" a="1"/>
  <c r="K380" i="31" s="1"/>
  <c r="K379" i="31" s="1"/>
  <c r="J380" i="31" a="1"/>
  <c r="J380" i="31" s="1"/>
  <c r="J379" i="31" s="1"/>
  <c r="I380" i="31" a="1"/>
  <c r="I380" i="31" s="1"/>
  <c r="I379" i="31" s="1"/>
  <c r="H380" i="31" a="1"/>
  <c r="H380" i="31" s="1"/>
  <c r="H379" i="31" s="1"/>
  <c r="G380" i="31" a="1"/>
  <c r="G380" i="31" s="1"/>
  <c r="G379" i="31" s="1"/>
  <c r="F380" i="31" a="1"/>
  <c r="F380" i="31" s="1"/>
  <c r="F379" i="31" s="1"/>
  <c r="E380" i="31" a="1"/>
  <c r="E380" i="31" s="1"/>
  <c r="E379" i="31" s="1"/>
  <c r="D380" i="31" a="1"/>
  <c r="D380" i="31" s="1"/>
  <c r="D379" i="31" s="1"/>
  <c r="D376" i="31" a="1"/>
  <c r="L375" i="31" s="1"/>
  <c r="L374" i="31" s="1"/>
  <c r="R370" i="31" a="1"/>
  <c r="R370" i="31" s="1"/>
  <c r="R369" i="31" s="1"/>
  <c r="P370" i="31" a="1"/>
  <c r="P370" i="31" s="1"/>
  <c r="P369" i="31" s="1"/>
  <c r="O370" i="31" a="1"/>
  <c r="O370" i="31" s="1"/>
  <c r="O369" i="31" s="1"/>
  <c r="N370" i="31" a="1"/>
  <c r="N370" i="31" s="1"/>
  <c r="N369" i="31" s="1"/>
  <c r="M370" i="31" a="1"/>
  <c r="M370" i="31" s="1"/>
  <c r="M369" i="31" s="1"/>
  <c r="L370" i="31" a="1"/>
  <c r="L370" i="31" s="1"/>
  <c r="L369" i="31" s="1"/>
  <c r="K370" i="31" a="1"/>
  <c r="K370" i="31" s="1"/>
  <c r="K369" i="31" s="1"/>
  <c r="J370" i="31" a="1"/>
  <c r="J370" i="31" s="1"/>
  <c r="J369" i="31" s="1"/>
  <c r="I370" i="31" a="1"/>
  <c r="I370" i="31" s="1"/>
  <c r="I369" i="31" s="1"/>
  <c r="H370" i="31" a="1"/>
  <c r="H370" i="31" s="1"/>
  <c r="H369" i="31" s="1"/>
  <c r="G370" i="31" a="1"/>
  <c r="G370" i="31" s="1"/>
  <c r="G369" i="31" s="1"/>
  <c r="F370" i="31" a="1"/>
  <c r="F370" i="31" s="1"/>
  <c r="F369" i="31" s="1"/>
  <c r="E370" i="31" a="1"/>
  <c r="E370" i="31" s="1"/>
  <c r="E369" i="31" s="1"/>
  <c r="D370" i="31" a="1"/>
  <c r="D370" i="31" s="1"/>
  <c r="D369" i="31" s="1"/>
  <c r="R366" i="31"/>
  <c r="P366" i="31"/>
  <c r="O366" i="31"/>
  <c r="N366" i="31"/>
  <c r="M366" i="31"/>
  <c r="L366" i="31"/>
  <c r="K366" i="31"/>
  <c r="J366" i="31"/>
  <c r="I366" i="31"/>
  <c r="H366" i="31"/>
  <c r="G366" i="31"/>
  <c r="F366" i="31"/>
  <c r="E366" i="31"/>
  <c r="D366" i="31"/>
  <c r="R363" i="31" a="1"/>
  <c r="R363" i="31" s="1"/>
  <c r="P363" i="31" a="1"/>
  <c r="P363" i="31" s="1"/>
  <c r="O363" i="31" a="1"/>
  <c r="O363" i="31" s="1"/>
  <c r="N363" i="31" a="1"/>
  <c r="N363" i="31" s="1"/>
  <c r="M363" i="31" a="1"/>
  <c r="M363" i="31" s="1"/>
  <c r="L363" i="31" a="1"/>
  <c r="L363" i="31" s="1"/>
  <c r="K363" i="31" a="1"/>
  <c r="K363" i="31" s="1"/>
  <c r="J363" i="31" a="1"/>
  <c r="J363" i="31" s="1"/>
  <c r="I363" i="31" a="1"/>
  <c r="I363" i="31" s="1"/>
  <c r="H363" i="31" a="1"/>
  <c r="H363" i="31" s="1"/>
  <c r="G363" i="31" a="1"/>
  <c r="G363" i="31" s="1"/>
  <c r="F363" i="31" a="1"/>
  <c r="F363" i="31" s="1"/>
  <c r="E363" i="31" a="1"/>
  <c r="E363" i="31" s="1"/>
  <c r="D363" i="31" a="1"/>
  <c r="D363" i="31" s="1"/>
  <c r="R362" i="31" a="1"/>
  <c r="R362" i="31" s="1"/>
  <c r="P362" i="31" a="1"/>
  <c r="P362" i="31" s="1"/>
  <c r="O362" i="31" a="1"/>
  <c r="O362" i="31" s="1"/>
  <c r="N362" i="31" a="1"/>
  <c r="N362" i="31" s="1"/>
  <c r="M362" i="31" a="1"/>
  <c r="M362" i="31" s="1"/>
  <c r="L362" i="31" a="1"/>
  <c r="L362" i="31" s="1"/>
  <c r="K362" i="31" a="1"/>
  <c r="K362" i="31" s="1"/>
  <c r="J362" i="31" a="1"/>
  <c r="J362" i="31" s="1"/>
  <c r="I362" i="31" a="1"/>
  <c r="I362" i="31" s="1"/>
  <c r="H362" i="31" a="1"/>
  <c r="H362" i="31" s="1"/>
  <c r="G362" i="31" a="1"/>
  <c r="G362" i="31" s="1"/>
  <c r="F362" i="31" a="1"/>
  <c r="F362" i="31" s="1"/>
  <c r="E362" i="31" a="1"/>
  <c r="E362" i="31" s="1"/>
  <c r="D362" i="31" a="1"/>
  <c r="D362" i="31" s="1"/>
  <c r="R361" i="31" a="1"/>
  <c r="R361" i="31" s="1"/>
  <c r="P361" i="31" a="1"/>
  <c r="P361" i="31" s="1"/>
  <c r="O361" i="31" a="1"/>
  <c r="O361" i="31" s="1"/>
  <c r="N361" i="31" a="1"/>
  <c r="N361" i="31" s="1"/>
  <c r="M361" i="31" a="1"/>
  <c r="M361" i="31" s="1"/>
  <c r="L361" i="31" a="1"/>
  <c r="L361" i="31" s="1"/>
  <c r="K361" i="31" a="1"/>
  <c r="K361" i="31" s="1"/>
  <c r="J361" i="31" a="1"/>
  <c r="J361" i="31" s="1"/>
  <c r="I361" i="31" a="1"/>
  <c r="I361" i="31" s="1"/>
  <c r="H361" i="31" a="1"/>
  <c r="H361" i="31" s="1"/>
  <c r="G361" i="31" a="1"/>
  <c r="G361" i="31" s="1"/>
  <c r="F361" i="31" a="1"/>
  <c r="F361" i="31" s="1"/>
  <c r="E361" i="31" a="1"/>
  <c r="E361" i="31" s="1"/>
  <c r="D361" i="31" a="1"/>
  <c r="D361" i="31" s="1"/>
  <c r="R360" i="31" a="1"/>
  <c r="R360" i="31" s="1"/>
  <c r="P360" i="31" a="1"/>
  <c r="P360" i="31" s="1"/>
  <c r="O360" i="31" a="1"/>
  <c r="O360" i="31" s="1"/>
  <c r="N360" i="31" a="1"/>
  <c r="N360" i="31" s="1"/>
  <c r="M360" i="31" a="1"/>
  <c r="M360" i="31" s="1"/>
  <c r="L360" i="31" a="1"/>
  <c r="L360" i="31" s="1"/>
  <c r="K360" i="31" a="1"/>
  <c r="K360" i="31" s="1"/>
  <c r="J360" i="31" a="1"/>
  <c r="J360" i="31" s="1"/>
  <c r="I360" i="31" a="1"/>
  <c r="I360" i="31" s="1"/>
  <c r="H360" i="31" a="1"/>
  <c r="H360" i="31" s="1"/>
  <c r="G360" i="31" a="1"/>
  <c r="G360" i="31" s="1"/>
  <c r="F360" i="31" a="1"/>
  <c r="F360" i="31" s="1"/>
  <c r="E360" i="31" a="1"/>
  <c r="E360" i="31" s="1"/>
  <c r="D360" i="31" a="1"/>
  <c r="D360" i="31" s="1"/>
  <c r="R359" i="31" a="1"/>
  <c r="R359" i="31" s="1"/>
  <c r="P359" i="31" a="1"/>
  <c r="P359" i="31" s="1"/>
  <c r="O359" i="31" a="1"/>
  <c r="O359" i="31" s="1"/>
  <c r="N359" i="31" a="1"/>
  <c r="N359" i="31" s="1"/>
  <c r="M359" i="31" a="1"/>
  <c r="M359" i="31" s="1"/>
  <c r="L359" i="31" a="1"/>
  <c r="L359" i="31" s="1"/>
  <c r="K359" i="31" a="1"/>
  <c r="K359" i="31" s="1"/>
  <c r="J359" i="31" a="1"/>
  <c r="J359" i="31" s="1"/>
  <c r="I359" i="31" a="1"/>
  <c r="I359" i="31" s="1"/>
  <c r="H359" i="31" a="1"/>
  <c r="H359" i="31" s="1"/>
  <c r="G359" i="31" a="1"/>
  <c r="G359" i="31" s="1"/>
  <c r="F359" i="31" a="1"/>
  <c r="F359" i="31" s="1"/>
  <c r="E359" i="31" a="1"/>
  <c r="E359" i="31" s="1"/>
  <c r="D359" i="31" a="1"/>
  <c r="D359" i="31" s="1"/>
  <c r="R358" i="31" a="1"/>
  <c r="R358" i="31" s="1"/>
  <c r="P358" i="31" a="1"/>
  <c r="P358" i="31" s="1"/>
  <c r="O358" i="31" a="1"/>
  <c r="O358" i="31" s="1"/>
  <c r="N358" i="31" a="1"/>
  <c r="N358" i="31" s="1"/>
  <c r="M358" i="31" a="1"/>
  <c r="M358" i="31" s="1"/>
  <c r="L358" i="31" a="1"/>
  <c r="L358" i="31" s="1"/>
  <c r="K358" i="31" a="1"/>
  <c r="K358" i="31" s="1"/>
  <c r="J358" i="31" a="1"/>
  <c r="J358" i="31" s="1"/>
  <c r="I358" i="31" a="1"/>
  <c r="I358" i="31" s="1"/>
  <c r="H358" i="31" a="1"/>
  <c r="H358" i="31" s="1"/>
  <c r="G358" i="31" a="1"/>
  <c r="G358" i="31" s="1"/>
  <c r="F358" i="31" a="1"/>
  <c r="F358" i="31" s="1"/>
  <c r="E358" i="31" a="1"/>
  <c r="E358" i="31" s="1"/>
  <c r="D358" i="31" a="1"/>
  <c r="D358" i="31" s="1"/>
  <c r="R357" i="31" a="1"/>
  <c r="R357" i="31" s="1"/>
  <c r="P357" i="31" a="1"/>
  <c r="P357" i="31" s="1"/>
  <c r="O357" i="31" a="1"/>
  <c r="O357" i="31" s="1"/>
  <c r="N357" i="31" a="1"/>
  <c r="N357" i="31" s="1"/>
  <c r="M357" i="31" a="1"/>
  <c r="M357" i="31" s="1"/>
  <c r="L357" i="31" a="1"/>
  <c r="L357" i="31" s="1"/>
  <c r="K357" i="31" a="1"/>
  <c r="K357" i="31" s="1"/>
  <c r="J357" i="31" a="1"/>
  <c r="J357" i="31" s="1"/>
  <c r="I357" i="31" a="1"/>
  <c r="I357" i="31" s="1"/>
  <c r="H357" i="31" a="1"/>
  <c r="H357" i="31" s="1"/>
  <c r="G357" i="31" a="1"/>
  <c r="G357" i="31" s="1"/>
  <c r="F357" i="31" a="1"/>
  <c r="F357" i="31" s="1"/>
  <c r="E357" i="31" a="1"/>
  <c r="E357" i="31" s="1"/>
  <c r="D357" i="31" a="1"/>
  <c r="D357" i="31" s="1"/>
  <c r="R356" i="31" a="1"/>
  <c r="R356" i="31" s="1"/>
  <c r="P356" i="31" a="1"/>
  <c r="P356" i="31" s="1"/>
  <c r="O356" i="31" a="1"/>
  <c r="O356" i="31" s="1"/>
  <c r="N356" i="31" a="1"/>
  <c r="N356" i="31" s="1"/>
  <c r="M356" i="31" a="1"/>
  <c r="M356" i="31" s="1"/>
  <c r="L356" i="31" a="1"/>
  <c r="L356" i="31" s="1"/>
  <c r="K356" i="31" a="1"/>
  <c r="K356" i="31" s="1"/>
  <c r="J356" i="31" a="1"/>
  <c r="J356" i="31" s="1"/>
  <c r="I356" i="31" a="1"/>
  <c r="I356" i="31" s="1"/>
  <c r="H356" i="31" a="1"/>
  <c r="H356" i="31" s="1"/>
  <c r="G356" i="31" a="1"/>
  <c r="G356" i="31" s="1"/>
  <c r="F356" i="31" a="1"/>
  <c r="F356" i="31" s="1"/>
  <c r="E356" i="31" a="1"/>
  <c r="E356" i="31" s="1"/>
  <c r="D356" i="31" a="1"/>
  <c r="D356" i="31" s="1"/>
  <c r="R355" i="31" a="1"/>
  <c r="R355" i="31" s="1"/>
  <c r="P355" i="31" a="1"/>
  <c r="P355" i="31" s="1"/>
  <c r="O355" i="31" a="1"/>
  <c r="O355" i="31" s="1"/>
  <c r="N355" i="31" a="1"/>
  <c r="N355" i="31" s="1"/>
  <c r="M355" i="31" a="1"/>
  <c r="M355" i="31" s="1"/>
  <c r="L355" i="31" a="1"/>
  <c r="L355" i="31" s="1"/>
  <c r="K355" i="31" a="1"/>
  <c r="K355" i="31" s="1"/>
  <c r="J355" i="31" a="1"/>
  <c r="J355" i="31" s="1"/>
  <c r="I355" i="31" a="1"/>
  <c r="I355" i="31" s="1"/>
  <c r="H355" i="31" a="1"/>
  <c r="H355" i="31" s="1"/>
  <c r="G355" i="31" a="1"/>
  <c r="G355" i="31" s="1"/>
  <c r="F355" i="31" a="1"/>
  <c r="F355" i="31" s="1"/>
  <c r="E355" i="31" a="1"/>
  <c r="E355" i="31" s="1"/>
  <c r="D355" i="31" a="1"/>
  <c r="D355" i="31" s="1"/>
  <c r="R354" i="31" a="1"/>
  <c r="R354" i="31" s="1"/>
  <c r="P354" i="31" a="1"/>
  <c r="P354" i="31" s="1"/>
  <c r="O354" i="31" a="1"/>
  <c r="O354" i="31" s="1"/>
  <c r="N354" i="31" a="1"/>
  <c r="N354" i="31" s="1"/>
  <c r="M354" i="31" a="1"/>
  <c r="M354" i="31" s="1"/>
  <c r="L354" i="31" a="1"/>
  <c r="L354" i="31" s="1"/>
  <c r="K354" i="31" a="1"/>
  <c r="K354" i="31" s="1"/>
  <c r="J354" i="31" a="1"/>
  <c r="J354" i="31" s="1"/>
  <c r="I354" i="31" a="1"/>
  <c r="I354" i="31" s="1"/>
  <c r="H354" i="31" a="1"/>
  <c r="H354" i="31" s="1"/>
  <c r="G354" i="31" a="1"/>
  <c r="G354" i="31" s="1"/>
  <c r="F354" i="31" a="1"/>
  <c r="F354" i="31" s="1"/>
  <c r="E354" i="31" a="1"/>
  <c r="E354" i="31" s="1"/>
  <c r="D354" i="31" a="1"/>
  <c r="D354" i="31" s="1"/>
  <c r="R353" i="31" a="1"/>
  <c r="R353" i="31" s="1"/>
  <c r="P353" i="31" a="1"/>
  <c r="P353" i="31" s="1"/>
  <c r="O353" i="31" a="1"/>
  <c r="O353" i="31" s="1"/>
  <c r="N353" i="31" a="1"/>
  <c r="N353" i="31" s="1"/>
  <c r="M353" i="31" a="1"/>
  <c r="M353" i="31" s="1"/>
  <c r="L353" i="31" a="1"/>
  <c r="L353" i="31" s="1"/>
  <c r="K353" i="31" a="1"/>
  <c r="K353" i="31" s="1"/>
  <c r="J353" i="31" a="1"/>
  <c r="J353" i="31" s="1"/>
  <c r="I353" i="31" a="1"/>
  <c r="I353" i="31" s="1"/>
  <c r="H353" i="31" a="1"/>
  <c r="H353" i="31" s="1"/>
  <c r="G353" i="31" a="1"/>
  <c r="G353" i="31" s="1"/>
  <c r="F353" i="31" a="1"/>
  <c r="F353" i="31" s="1"/>
  <c r="E353" i="31" a="1"/>
  <c r="E353" i="31" s="1"/>
  <c r="D353" i="31" a="1"/>
  <c r="D353" i="31" s="1"/>
  <c r="R352" i="31" a="1"/>
  <c r="R352" i="31" s="1"/>
  <c r="P352" i="31" a="1"/>
  <c r="P352" i="31" s="1"/>
  <c r="O352" i="31" a="1"/>
  <c r="O352" i="31" s="1"/>
  <c r="N352" i="31" a="1"/>
  <c r="N352" i="31" s="1"/>
  <c r="M352" i="31" a="1"/>
  <c r="M352" i="31" s="1"/>
  <c r="L352" i="31" a="1"/>
  <c r="L352" i="31" s="1"/>
  <c r="K352" i="31" a="1"/>
  <c r="K352" i="31" s="1"/>
  <c r="J352" i="31" a="1"/>
  <c r="J352" i="31" s="1"/>
  <c r="I352" i="31" a="1"/>
  <c r="I352" i="31" s="1"/>
  <c r="H352" i="31" a="1"/>
  <c r="H352" i="31" s="1"/>
  <c r="G352" i="31" a="1"/>
  <c r="G352" i="31" s="1"/>
  <c r="F352" i="31" a="1"/>
  <c r="F352" i="31" s="1"/>
  <c r="E352" i="31" a="1"/>
  <c r="E352" i="31" s="1"/>
  <c r="D352" i="31" a="1"/>
  <c r="D352" i="31" s="1"/>
  <c r="R351" i="31" a="1"/>
  <c r="R351" i="31" s="1"/>
  <c r="P351" i="31" a="1"/>
  <c r="P351" i="31" s="1"/>
  <c r="O351" i="31" a="1"/>
  <c r="O351" i="31" s="1"/>
  <c r="N351" i="31" a="1"/>
  <c r="N351" i="31" s="1"/>
  <c r="M351" i="31" a="1"/>
  <c r="M351" i="31" s="1"/>
  <c r="L351" i="31" a="1"/>
  <c r="L351" i="31" s="1"/>
  <c r="K351" i="31" a="1"/>
  <c r="K351" i="31" s="1"/>
  <c r="J351" i="31" a="1"/>
  <c r="J351" i="31" s="1"/>
  <c r="I351" i="31" a="1"/>
  <c r="I351" i="31" s="1"/>
  <c r="H351" i="31" a="1"/>
  <c r="H351" i="31" s="1"/>
  <c r="G351" i="31" a="1"/>
  <c r="G351" i="31" s="1"/>
  <c r="F351" i="31" a="1"/>
  <c r="F351" i="31" s="1"/>
  <c r="E351" i="31" a="1"/>
  <c r="E351" i="31" s="1"/>
  <c r="D351" i="31" a="1"/>
  <c r="D351" i="31" s="1"/>
  <c r="R350" i="31" a="1"/>
  <c r="R350" i="31" s="1"/>
  <c r="P350" i="31" a="1"/>
  <c r="P350" i="31" s="1"/>
  <c r="O350" i="31" a="1"/>
  <c r="O350" i="31" s="1"/>
  <c r="N350" i="31" a="1"/>
  <c r="N350" i="31" s="1"/>
  <c r="M350" i="31" a="1"/>
  <c r="M350" i="31" s="1"/>
  <c r="L350" i="31" a="1"/>
  <c r="L350" i="31" s="1"/>
  <c r="K350" i="31" a="1"/>
  <c r="K350" i="31" s="1"/>
  <c r="J350" i="31" a="1"/>
  <c r="J350" i="31" s="1"/>
  <c r="I350" i="31" a="1"/>
  <c r="I350" i="31" s="1"/>
  <c r="H350" i="31" a="1"/>
  <c r="H350" i="31" s="1"/>
  <c r="G350" i="31" a="1"/>
  <c r="G350" i="31" s="1"/>
  <c r="F350" i="31" a="1"/>
  <c r="F350" i="31" s="1"/>
  <c r="E350" i="31" a="1"/>
  <c r="E350" i="31" s="1"/>
  <c r="D350" i="31" a="1"/>
  <c r="D350" i="31" s="1"/>
  <c r="R349" i="31" a="1"/>
  <c r="R349" i="31" s="1"/>
  <c r="P349" i="31" a="1"/>
  <c r="P349" i="31" s="1"/>
  <c r="O349" i="31" a="1"/>
  <c r="O349" i="31" s="1"/>
  <c r="N349" i="31" a="1"/>
  <c r="N349" i="31" s="1"/>
  <c r="M349" i="31" a="1"/>
  <c r="M349" i="31" s="1"/>
  <c r="L349" i="31" a="1"/>
  <c r="L349" i="31" s="1"/>
  <c r="K349" i="31" a="1"/>
  <c r="K349" i="31" s="1"/>
  <c r="J349" i="31" a="1"/>
  <c r="J349" i="31" s="1"/>
  <c r="I349" i="31" a="1"/>
  <c r="I349" i="31" s="1"/>
  <c r="H349" i="31" a="1"/>
  <c r="H349" i="31" s="1"/>
  <c r="G349" i="31" a="1"/>
  <c r="G349" i="31" s="1"/>
  <c r="F349" i="31" a="1"/>
  <c r="F349" i="31" s="1"/>
  <c r="E349" i="31" a="1"/>
  <c r="E349" i="31" s="1"/>
  <c r="D349" i="31" a="1"/>
  <c r="D349" i="31" s="1"/>
  <c r="R348" i="31" a="1"/>
  <c r="R348" i="31" s="1"/>
  <c r="P348" i="31" a="1"/>
  <c r="P348" i="31" s="1"/>
  <c r="O348" i="31" a="1"/>
  <c r="O348" i="31" s="1"/>
  <c r="N348" i="31" a="1"/>
  <c r="N348" i="31" s="1"/>
  <c r="M348" i="31" a="1"/>
  <c r="M348" i="31" s="1"/>
  <c r="L348" i="31" a="1"/>
  <c r="L348" i="31" s="1"/>
  <c r="K348" i="31" a="1"/>
  <c r="K348" i="31" s="1"/>
  <c r="J348" i="31" a="1"/>
  <c r="J348" i="31" s="1"/>
  <c r="I348" i="31" a="1"/>
  <c r="I348" i="31" s="1"/>
  <c r="H348" i="31" a="1"/>
  <c r="H348" i="31" s="1"/>
  <c r="G348" i="31" a="1"/>
  <c r="G348" i="31" s="1"/>
  <c r="F348" i="31" a="1"/>
  <c r="F348" i="31" s="1"/>
  <c r="E348" i="31" a="1"/>
  <c r="E348" i="31" s="1"/>
  <c r="D348" i="31" a="1"/>
  <c r="D348" i="31" s="1"/>
  <c r="R347" i="31" a="1"/>
  <c r="R347" i="31" s="1"/>
  <c r="P347" i="31" a="1"/>
  <c r="P347" i="31" s="1"/>
  <c r="O347" i="31" a="1"/>
  <c r="O347" i="31" s="1"/>
  <c r="N347" i="31" a="1"/>
  <c r="N347" i="31" s="1"/>
  <c r="M347" i="31" a="1"/>
  <c r="M347" i="31" s="1"/>
  <c r="L347" i="31" a="1"/>
  <c r="L347" i="31" s="1"/>
  <c r="K347" i="31" a="1"/>
  <c r="K347" i="31" s="1"/>
  <c r="J347" i="31" a="1"/>
  <c r="J347" i="31" s="1"/>
  <c r="I347" i="31" a="1"/>
  <c r="I347" i="31" s="1"/>
  <c r="H347" i="31" a="1"/>
  <c r="H347" i="31" s="1"/>
  <c r="G347" i="31" a="1"/>
  <c r="G347" i="31" s="1"/>
  <c r="F347" i="31" a="1"/>
  <c r="F347" i="31" s="1"/>
  <c r="E347" i="31" a="1"/>
  <c r="E347" i="31" s="1"/>
  <c r="D347" i="31" a="1"/>
  <c r="D347" i="31" s="1"/>
  <c r="D330" i="31" a="1"/>
  <c r="D330" i="31" s="1"/>
  <c r="D329" i="31" s="1"/>
  <c r="R316" i="31"/>
  <c r="P316" i="31"/>
  <c r="O316" i="31"/>
  <c r="N316" i="31"/>
  <c r="M316" i="31"/>
  <c r="L316" i="31"/>
  <c r="K316" i="31"/>
  <c r="J316" i="31"/>
  <c r="I316" i="31"/>
  <c r="H316" i="31"/>
  <c r="G316" i="31"/>
  <c r="F316" i="31"/>
  <c r="E316" i="31"/>
  <c r="D316" i="31"/>
  <c r="D326" i="31" a="1"/>
  <c r="D326" i="31" s="1"/>
  <c r="D325" i="31" s="1"/>
  <c r="D324" i="31" s="1"/>
  <c r="R330" i="31" a="1"/>
  <c r="R330" i="31" s="1"/>
  <c r="R329" i="31" s="1"/>
  <c r="P330" i="31" a="1"/>
  <c r="P330" i="31" s="1"/>
  <c r="P329" i="31" s="1"/>
  <c r="O330" i="31" a="1"/>
  <c r="O330" i="31" s="1"/>
  <c r="O329" i="31" s="1"/>
  <c r="N330" i="31" a="1"/>
  <c r="N330" i="31" s="1"/>
  <c r="N329" i="31" s="1"/>
  <c r="M330" i="31" a="1"/>
  <c r="M330" i="31" s="1"/>
  <c r="M329" i="31" s="1"/>
  <c r="L330" i="31" a="1"/>
  <c r="L330" i="31" s="1"/>
  <c r="L329" i="31" s="1"/>
  <c r="K330" i="31" a="1"/>
  <c r="K330" i="31" s="1"/>
  <c r="K329" i="31" s="1"/>
  <c r="J330" i="31" a="1"/>
  <c r="J330" i="31" s="1"/>
  <c r="J329" i="31" s="1"/>
  <c r="I330" i="31" a="1"/>
  <c r="I330" i="31" s="1"/>
  <c r="I329" i="31" s="1"/>
  <c r="H330" i="31" a="1"/>
  <c r="H330" i="31" s="1"/>
  <c r="H329" i="31" s="1"/>
  <c r="G330" i="31" a="1"/>
  <c r="G330" i="31" s="1"/>
  <c r="G329" i="31" s="1"/>
  <c r="F330" i="31" a="1"/>
  <c r="F330" i="31" s="1"/>
  <c r="F329" i="31" s="1"/>
  <c r="E330" i="31" a="1"/>
  <c r="E330" i="31" s="1"/>
  <c r="E329" i="31" s="1"/>
  <c r="R320" i="31" a="1"/>
  <c r="R320" i="31" s="1"/>
  <c r="R319" i="31" s="1"/>
  <c r="P320" i="31" a="1"/>
  <c r="P320" i="31" s="1"/>
  <c r="P319" i="31" s="1"/>
  <c r="O320" i="31" a="1"/>
  <c r="O320" i="31" s="1"/>
  <c r="O319" i="31" s="1"/>
  <c r="N320" i="31" a="1"/>
  <c r="N320" i="31" s="1"/>
  <c r="N319" i="31" s="1"/>
  <c r="M320" i="31" a="1"/>
  <c r="M320" i="31" s="1"/>
  <c r="M319" i="31" s="1"/>
  <c r="L320" i="31" a="1"/>
  <c r="L320" i="31" s="1"/>
  <c r="L319" i="31" s="1"/>
  <c r="K320" i="31" a="1"/>
  <c r="K320" i="31" s="1"/>
  <c r="K319" i="31" s="1"/>
  <c r="J320" i="31" a="1"/>
  <c r="J320" i="31" s="1"/>
  <c r="J319" i="31" s="1"/>
  <c r="I320" i="31" a="1"/>
  <c r="I320" i="31" s="1"/>
  <c r="I319" i="31" s="1"/>
  <c r="H320" i="31" a="1"/>
  <c r="H320" i="31" s="1"/>
  <c r="H319" i="31" s="1"/>
  <c r="G320" i="31" a="1"/>
  <c r="G320" i="31" s="1"/>
  <c r="G319" i="31" s="1"/>
  <c r="F320" i="31" a="1"/>
  <c r="F320" i="31" s="1"/>
  <c r="F319" i="31" s="1"/>
  <c r="E320" i="31" a="1"/>
  <c r="E320" i="31" s="1"/>
  <c r="E319" i="31" s="1"/>
  <c r="D320" i="31" a="1"/>
  <c r="D320" i="31" s="1"/>
  <c r="D319" i="31" s="1"/>
  <c r="R313" i="31" a="1"/>
  <c r="R313" i="31" s="1"/>
  <c r="P313" i="31" a="1"/>
  <c r="P313" i="31" s="1"/>
  <c r="O313" i="31" a="1"/>
  <c r="O313" i="31" s="1"/>
  <c r="N313" i="31" a="1"/>
  <c r="N313" i="31" s="1"/>
  <c r="M313" i="31" a="1"/>
  <c r="M313" i="31" s="1"/>
  <c r="L313" i="31" a="1"/>
  <c r="L313" i="31" s="1"/>
  <c r="K313" i="31" a="1"/>
  <c r="K313" i="31" s="1"/>
  <c r="J313" i="31" a="1"/>
  <c r="J313" i="31" s="1"/>
  <c r="I313" i="31" a="1"/>
  <c r="I313" i="31" s="1"/>
  <c r="H313" i="31" a="1"/>
  <c r="H313" i="31" s="1"/>
  <c r="G313" i="31" a="1"/>
  <c r="G313" i="31" s="1"/>
  <c r="F313" i="31" a="1"/>
  <c r="F313" i="31" s="1"/>
  <c r="E313" i="31" a="1"/>
  <c r="E313" i="31" s="1"/>
  <c r="D313" i="31" a="1"/>
  <c r="D313" i="31" s="1"/>
  <c r="R312" i="31" a="1"/>
  <c r="R312" i="31" s="1"/>
  <c r="P312" i="31" a="1"/>
  <c r="P312" i="31" s="1"/>
  <c r="O312" i="31" a="1"/>
  <c r="O312" i="31" s="1"/>
  <c r="N312" i="31" a="1"/>
  <c r="N312" i="31" s="1"/>
  <c r="M312" i="31" a="1"/>
  <c r="M312" i="31" s="1"/>
  <c r="L312" i="31" a="1"/>
  <c r="L312" i="31" s="1"/>
  <c r="K312" i="31" a="1"/>
  <c r="K312" i="31" s="1"/>
  <c r="J312" i="31" a="1"/>
  <c r="J312" i="31" s="1"/>
  <c r="I312" i="31" a="1"/>
  <c r="I312" i="31" s="1"/>
  <c r="H312" i="31" a="1"/>
  <c r="H312" i="31" s="1"/>
  <c r="G312" i="31" a="1"/>
  <c r="G312" i="31" s="1"/>
  <c r="F312" i="31" a="1"/>
  <c r="F312" i="31" s="1"/>
  <c r="E312" i="31" a="1"/>
  <c r="E312" i="31" s="1"/>
  <c r="D312" i="31" a="1"/>
  <c r="D312" i="31" s="1"/>
  <c r="R311" i="31" a="1"/>
  <c r="R311" i="31" s="1"/>
  <c r="P311" i="31" a="1"/>
  <c r="P311" i="31" s="1"/>
  <c r="O311" i="31" a="1"/>
  <c r="O311" i="31" s="1"/>
  <c r="N311" i="31" a="1"/>
  <c r="N311" i="31" s="1"/>
  <c r="M311" i="31" a="1"/>
  <c r="M311" i="31" s="1"/>
  <c r="L311" i="31" a="1"/>
  <c r="L311" i="31" s="1"/>
  <c r="K311" i="31" a="1"/>
  <c r="K311" i="31" s="1"/>
  <c r="J311" i="31" a="1"/>
  <c r="J311" i="31" s="1"/>
  <c r="I311" i="31" a="1"/>
  <c r="I311" i="31" s="1"/>
  <c r="H311" i="31" a="1"/>
  <c r="H311" i="31" s="1"/>
  <c r="G311" i="31" a="1"/>
  <c r="G311" i="31" s="1"/>
  <c r="F311" i="31" a="1"/>
  <c r="F311" i="31" s="1"/>
  <c r="E311" i="31" a="1"/>
  <c r="E311" i="31" s="1"/>
  <c r="D311" i="31" a="1"/>
  <c r="D311" i="31" s="1"/>
  <c r="R310" i="31" a="1"/>
  <c r="R310" i="31" s="1"/>
  <c r="P310" i="31" a="1"/>
  <c r="P310" i="31" s="1"/>
  <c r="O310" i="31" a="1"/>
  <c r="O310" i="31" s="1"/>
  <c r="N310" i="31" a="1"/>
  <c r="N310" i="31" s="1"/>
  <c r="M310" i="31" a="1"/>
  <c r="M310" i="31" s="1"/>
  <c r="L310" i="31" a="1"/>
  <c r="L310" i="31" s="1"/>
  <c r="K310" i="31" a="1"/>
  <c r="K310" i="31" s="1"/>
  <c r="J310" i="31" a="1"/>
  <c r="J310" i="31" s="1"/>
  <c r="I310" i="31" a="1"/>
  <c r="I310" i="31" s="1"/>
  <c r="H310" i="31" a="1"/>
  <c r="H310" i="31" s="1"/>
  <c r="G310" i="31" a="1"/>
  <c r="G310" i="31" s="1"/>
  <c r="F310" i="31" a="1"/>
  <c r="F310" i="31" s="1"/>
  <c r="E310" i="31" a="1"/>
  <c r="E310" i="31" s="1"/>
  <c r="D310" i="31" a="1"/>
  <c r="D310" i="31" s="1"/>
  <c r="R309" i="31" a="1"/>
  <c r="R309" i="31" s="1"/>
  <c r="P309" i="31" a="1"/>
  <c r="P309" i="31" s="1"/>
  <c r="O309" i="31" a="1"/>
  <c r="O309" i="31" s="1"/>
  <c r="N309" i="31" a="1"/>
  <c r="N309" i="31" s="1"/>
  <c r="M309" i="31" a="1"/>
  <c r="M309" i="31" s="1"/>
  <c r="L309" i="31" a="1"/>
  <c r="L309" i="31" s="1"/>
  <c r="K309" i="31" a="1"/>
  <c r="K309" i="31" s="1"/>
  <c r="J309" i="31" a="1"/>
  <c r="J309" i="31" s="1"/>
  <c r="I309" i="31" a="1"/>
  <c r="I309" i="31" s="1"/>
  <c r="H309" i="31" a="1"/>
  <c r="H309" i="31" s="1"/>
  <c r="G309" i="31" a="1"/>
  <c r="G309" i="31" s="1"/>
  <c r="F309" i="31" a="1"/>
  <c r="F309" i="31" s="1"/>
  <c r="E309" i="31" a="1"/>
  <c r="E309" i="31" s="1"/>
  <c r="D309" i="31" a="1"/>
  <c r="D309" i="31" s="1"/>
  <c r="R308" i="31" a="1"/>
  <c r="R308" i="31" s="1"/>
  <c r="P308" i="31" a="1"/>
  <c r="P308" i="31" s="1"/>
  <c r="O308" i="31" a="1"/>
  <c r="O308" i="31" s="1"/>
  <c r="N308" i="31" a="1"/>
  <c r="N308" i="31" s="1"/>
  <c r="M308" i="31" a="1"/>
  <c r="M308" i="31" s="1"/>
  <c r="L308" i="31" a="1"/>
  <c r="L308" i="31" s="1"/>
  <c r="K308" i="31" a="1"/>
  <c r="K308" i="31" s="1"/>
  <c r="J308" i="31" a="1"/>
  <c r="J308" i="31" s="1"/>
  <c r="I308" i="31" a="1"/>
  <c r="I308" i="31" s="1"/>
  <c r="H308" i="31" a="1"/>
  <c r="H308" i="31" s="1"/>
  <c r="G308" i="31" a="1"/>
  <c r="G308" i="31" s="1"/>
  <c r="F308" i="31" a="1"/>
  <c r="F308" i="31" s="1"/>
  <c r="E308" i="31" a="1"/>
  <c r="E308" i="31" s="1"/>
  <c r="D308" i="31" a="1"/>
  <c r="D308" i="31" s="1"/>
  <c r="R307" i="31" a="1"/>
  <c r="R307" i="31" s="1"/>
  <c r="P307" i="31" a="1"/>
  <c r="P307" i="31" s="1"/>
  <c r="O307" i="31" a="1"/>
  <c r="O307" i="31" s="1"/>
  <c r="N307" i="31" a="1"/>
  <c r="N307" i="31" s="1"/>
  <c r="M307" i="31" a="1"/>
  <c r="M307" i="31" s="1"/>
  <c r="L307" i="31" a="1"/>
  <c r="L307" i="31" s="1"/>
  <c r="K307" i="31" a="1"/>
  <c r="K307" i="31" s="1"/>
  <c r="J307" i="31" a="1"/>
  <c r="J307" i="31" s="1"/>
  <c r="I307" i="31" a="1"/>
  <c r="I307" i="31" s="1"/>
  <c r="H307" i="31" a="1"/>
  <c r="H307" i="31" s="1"/>
  <c r="G307" i="31" a="1"/>
  <c r="G307" i="31" s="1"/>
  <c r="F307" i="31" a="1"/>
  <c r="F307" i="31" s="1"/>
  <c r="E307" i="31" a="1"/>
  <c r="E307" i="31" s="1"/>
  <c r="D307" i="31" a="1"/>
  <c r="D307" i="31" s="1"/>
  <c r="R306" i="31" a="1"/>
  <c r="R306" i="31" s="1"/>
  <c r="P306" i="31" a="1"/>
  <c r="P306" i="31" s="1"/>
  <c r="O306" i="31" a="1"/>
  <c r="O306" i="31" s="1"/>
  <c r="N306" i="31" a="1"/>
  <c r="N306" i="31" s="1"/>
  <c r="M306" i="31" a="1"/>
  <c r="M306" i="31" s="1"/>
  <c r="L306" i="31" a="1"/>
  <c r="L306" i="31" s="1"/>
  <c r="K306" i="31" a="1"/>
  <c r="K306" i="31" s="1"/>
  <c r="J306" i="31" a="1"/>
  <c r="J306" i="31" s="1"/>
  <c r="I306" i="31" a="1"/>
  <c r="I306" i="31" s="1"/>
  <c r="H306" i="31" a="1"/>
  <c r="H306" i="31" s="1"/>
  <c r="G306" i="31" a="1"/>
  <c r="G306" i="31" s="1"/>
  <c r="F306" i="31" a="1"/>
  <c r="F306" i="31" s="1"/>
  <c r="E306" i="31" a="1"/>
  <c r="E306" i="31" s="1"/>
  <c r="D306" i="31" a="1"/>
  <c r="D306" i="31" s="1"/>
  <c r="R305" i="31" a="1"/>
  <c r="R305" i="31" s="1"/>
  <c r="P305" i="31" a="1"/>
  <c r="P305" i="31" s="1"/>
  <c r="O305" i="31" a="1"/>
  <c r="O305" i="31" s="1"/>
  <c r="N305" i="31" a="1"/>
  <c r="N305" i="31" s="1"/>
  <c r="M305" i="31" a="1"/>
  <c r="M305" i="31" s="1"/>
  <c r="L305" i="31" a="1"/>
  <c r="L305" i="31" s="1"/>
  <c r="K305" i="31" a="1"/>
  <c r="K305" i="31" s="1"/>
  <c r="J305" i="31" a="1"/>
  <c r="J305" i="31" s="1"/>
  <c r="I305" i="31" a="1"/>
  <c r="I305" i="31" s="1"/>
  <c r="H305" i="31" a="1"/>
  <c r="H305" i="31" s="1"/>
  <c r="G305" i="31" a="1"/>
  <c r="G305" i="31" s="1"/>
  <c r="F305" i="31" a="1"/>
  <c r="F305" i="31" s="1"/>
  <c r="E305" i="31" a="1"/>
  <c r="E305" i="31" s="1"/>
  <c r="D305" i="31" a="1"/>
  <c r="D305" i="31" s="1"/>
  <c r="R304" i="31" a="1"/>
  <c r="R304" i="31" s="1"/>
  <c r="P304" i="31" a="1"/>
  <c r="P304" i="31" s="1"/>
  <c r="O304" i="31" a="1"/>
  <c r="O304" i="31" s="1"/>
  <c r="N304" i="31" a="1"/>
  <c r="N304" i="31" s="1"/>
  <c r="M304" i="31" a="1"/>
  <c r="M304" i="31" s="1"/>
  <c r="L304" i="31" a="1"/>
  <c r="L304" i="31" s="1"/>
  <c r="K304" i="31" a="1"/>
  <c r="K304" i="31" s="1"/>
  <c r="J304" i="31" a="1"/>
  <c r="J304" i="31" s="1"/>
  <c r="I304" i="31" a="1"/>
  <c r="I304" i="31" s="1"/>
  <c r="H304" i="31" a="1"/>
  <c r="H304" i="31" s="1"/>
  <c r="G304" i="31" a="1"/>
  <c r="G304" i="31" s="1"/>
  <c r="F304" i="31" a="1"/>
  <c r="F304" i="31" s="1"/>
  <c r="E304" i="31" a="1"/>
  <c r="E304" i="31" s="1"/>
  <c r="D304" i="31" a="1"/>
  <c r="D304" i="31" s="1"/>
  <c r="R303" i="31" a="1"/>
  <c r="R303" i="31" s="1"/>
  <c r="P303" i="31" a="1"/>
  <c r="P303" i="31" s="1"/>
  <c r="O303" i="31" a="1"/>
  <c r="O303" i="31" s="1"/>
  <c r="N303" i="31" a="1"/>
  <c r="N303" i="31" s="1"/>
  <c r="M303" i="31" a="1"/>
  <c r="M303" i="31" s="1"/>
  <c r="L303" i="31" a="1"/>
  <c r="L303" i="31" s="1"/>
  <c r="K303" i="31" a="1"/>
  <c r="K303" i="31" s="1"/>
  <c r="J303" i="31" a="1"/>
  <c r="J303" i="31" s="1"/>
  <c r="I303" i="31" a="1"/>
  <c r="I303" i="31" s="1"/>
  <c r="H303" i="31" a="1"/>
  <c r="H303" i="31" s="1"/>
  <c r="G303" i="31" a="1"/>
  <c r="G303" i="31" s="1"/>
  <c r="F303" i="31" a="1"/>
  <c r="F303" i="31" s="1"/>
  <c r="E303" i="31" a="1"/>
  <c r="E303" i="31" s="1"/>
  <c r="D303" i="31" a="1"/>
  <c r="D303" i="31" s="1"/>
  <c r="R302" i="31" a="1"/>
  <c r="R302" i="31" s="1"/>
  <c r="P302" i="31" a="1"/>
  <c r="P302" i="31" s="1"/>
  <c r="O302" i="31" a="1"/>
  <c r="O302" i="31" s="1"/>
  <c r="N302" i="31" a="1"/>
  <c r="N302" i="31" s="1"/>
  <c r="M302" i="31" a="1"/>
  <c r="M302" i="31" s="1"/>
  <c r="L302" i="31" a="1"/>
  <c r="L302" i="31" s="1"/>
  <c r="K302" i="31" a="1"/>
  <c r="K302" i="31" s="1"/>
  <c r="J302" i="31" a="1"/>
  <c r="J302" i="31" s="1"/>
  <c r="I302" i="31" a="1"/>
  <c r="I302" i="31" s="1"/>
  <c r="H302" i="31" a="1"/>
  <c r="H302" i="31" s="1"/>
  <c r="G302" i="31" a="1"/>
  <c r="G302" i="31" s="1"/>
  <c r="F302" i="31" a="1"/>
  <c r="F302" i="31" s="1"/>
  <c r="E302" i="31" a="1"/>
  <c r="E302" i="31" s="1"/>
  <c r="D302" i="31" a="1"/>
  <c r="D302" i="31" s="1"/>
  <c r="R301" i="31" a="1"/>
  <c r="R301" i="31" s="1"/>
  <c r="P301" i="31" a="1"/>
  <c r="P301" i="31" s="1"/>
  <c r="O301" i="31" a="1"/>
  <c r="O301" i="31" s="1"/>
  <c r="N301" i="31" a="1"/>
  <c r="N301" i="31" s="1"/>
  <c r="M301" i="31" a="1"/>
  <c r="M301" i="31" s="1"/>
  <c r="L301" i="31" a="1"/>
  <c r="L301" i="31" s="1"/>
  <c r="K301" i="31" a="1"/>
  <c r="K301" i="31" s="1"/>
  <c r="J301" i="31" a="1"/>
  <c r="J301" i="31" s="1"/>
  <c r="I301" i="31" a="1"/>
  <c r="I301" i="31" s="1"/>
  <c r="H301" i="31" a="1"/>
  <c r="H301" i="31" s="1"/>
  <c r="G301" i="31" a="1"/>
  <c r="G301" i="31" s="1"/>
  <c r="F301" i="31" a="1"/>
  <c r="F301" i="31" s="1"/>
  <c r="E301" i="31" a="1"/>
  <c r="E301" i="31" s="1"/>
  <c r="D301" i="31" a="1"/>
  <c r="D301" i="31" s="1"/>
  <c r="R300" i="31" a="1"/>
  <c r="R300" i="31" s="1"/>
  <c r="P300" i="31" a="1"/>
  <c r="P300" i="31" s="1"/>
  <c r="O300" i="31" a="1"/>
  <c r="O300" i="31" s="1"/>
  <c r="N300" i="31" a="1"/>
  <c r="N300" i="31" s="1"/>
  <c r="M300" i="31" a="1"/>
  <c r="M300" i="31" s="1"/>
  <c r="L300" i="31" a="1"/>
  <c r="L300" i="31" s="1"/>
  <c r="K300" i="31" a="1"/>
  <c r="K300" i="31" s="1"/>
  <c r="J300" i="31" a="1"/>
  <c r="J300" i="31" s="1"/>
  <c r="I300" i="31" a="1"/>
  <c r="I300" i="31" s="1"/>
  <c r="H300" i="31" a="1"/>
  <c r="H300" i="31" s="1"/>
  <c r="G300" i="31" a="1"/>
  <c r="G300" i="31" s="1"/>
  <c r="F300" i="31" a="1"/>
  <c r="F300" i="31" s="1"/>
  <c r="E300" i="31" a="1"/>
  <c r="E300" i="31" s="1"/>
  <c r="D300" i="31" a="1"/>
  <c r="D300" i="31" s="1"/>
  <c r="R299" i="31" a="1"/>
  <c r="R299" i="31" s="1"/>
  <c r="P299" i="31" a="1"/>
  <c r="P299" i="31" s="1"/>
  <c r="O299" i="31" a="1"/>
  <c r="O299" i="31" s="1"/>
  <c r="N299" i="31" a="1"/>
  <c r="N299" i="31" s="1"/>
  <c r="M299" i="31" a="1"/>
  <c r="M299" i="31" s="1"/>
  <c r="L299" i="31" a="1"/>
  <c r="L299" i="31" s="1"/>
  <c r="K299" i="31" a="1"/>
  <c r="K299" i="31" s="1"/>
  <c r="J299" i="31" a="1"/>
  <c r="J299" i="31" s="1"/>
  <c r="I299" i="31" a="1"/>
  <c r="I299" i="31" s="1"/>
  <c r="H299" i="31" a="1"/>
  <c r="H299" i="31" s="1"/>
  <c r="G299" i="31" a="1"/>
  <c r="G299" i="31" s="1"/>
  <c r="F299" i="31" a="1"/>
  <c r="F299" i="31" s="1"/>
  <c r="E299" i="31" a="1"/>
  <c r="E299" i="31" s="1"/>
  <c r="D299" i="31" a="1"/>
  <c r="D299" i="31" s="1"/>
  <c r="R298" i="31" a="1"/>
  <c r="R298" i="31" s="1"/>
  <c r="P298" i="31" a="1"/>
  <c r="P298" i="31" s="1"/>
  <c r="O298" i="31" a="1"/>
  <c r="O298" i="31" s="1"/>
  <c r="N298" i="31" a="1"/>
  <c r="N298" i="31" s="1"/>
  <c r="M298" i="31" a="1"/>
  <c r="M298" i="31" s="1"/>
  <c r="L298" i="31" a="1"/>
  <c r="L298" i="31" s="1"/>
  <c r="K298" i="31" a="1"/>
  <c r="K298" i="31" s="1"/>
  <c r="J298" i="31" a="1"/>
  <c r="J298" i="31" s="1"/>
  <c r="I298" i="31" a="1"/>
  <c r="I298" i="31" s="1"/>
  <c r="H298" i="31" a="1"/>
  <c r="H298" i="31" s="1"/>
  <c r="G298" i="31" a="1"/>
  <c r="G298" i="31" s="1"/>
  <c r="F298" i="31" a="1"/>
  <c r="F298" i="31" s="1"/>
  <c r="E298" i="31" a="1"/>
  <c r="E298" i="31" s="1"/>
  <c r="D298" i="31" a="1"/>
  <c r="D298" i="31" s="1"/>
  <c r="R297" i="31" a="1"/>
  <c r="R297" i="31" s="1"/>
  <c r="P297" i="31" a="1"/>
  <c r="P297" i="31" s="1"/>
  <c r="O297" i="31" a="1"/>
  <c r="O297" i="31" s="1"/>
  <c r="N297" i="31" a="1"/>
  <c r="N297" i="31" s="1"/>
  <c r="M297" i="31" a="1"/>
  <c r="M297" i="31" s="1"/>
  <c r="L297" i="31" a="1"/>
  <c r="L297" i="31" s="1"/>
  <c r="K297" i="31" a="1"/>
  <c r="K297" i="31" s="1"/>
  <c r="J297" i="31" a="1"/>
  <c r="J297" i="31" s="1"/>
  <c r="I297" i="31" a="1"/>
  <c r="I297" i="31" s="1"/>
  <c r="H297" i="31" a="1"/>
  <c r="H297" i="31" s="1"/>
  <c r="G297" i="31" a="1"/>
  <c r="G297" i="31" s="1"/>
  <c r="F297" i="31" a="1"/>
  <c r="F297" i="31" s="1"/>
  <c r="E297" i="31" a="1"/>
  <c r="E297" i="31" s="1"/>
  <c r="D297" i="31" a="1"/>
  <c r="D297" i="31" s="1"/>
  <c r="M13" i="3"/>
  <c r="K10" i="3"/>
  <c r="J10" i="3"/>
  <c r="K6" i="3"/>
  <c r="J6" i="3"/>
  <c r="K12" i="5"/>
  <c r="J12" i="5"/>
  <c r="I12" i="5"/>
  <c r="F12" i="5"/>
  <c r="E12" i="5"/>
  <c r="D12" i="5"/>
  <c r="C12" i="5"/>
  <c r="G12" i="5" s="1"/>
  <c r="H12" i="5" s="1"/>
  <c r="G15" i="5"/>
  <c r="H15" i="5" s="1"/>
  <c r="K13" i="5"/>
  <c r="J13" i="5"/>
  <c r="I13" i="5"/>
  <c r="F13" i="5"/>
  <c r="E13" i="5"/>
  <c r="D13" i="5"/>
  <c r="C13" i="5"/>
  <c r="Y6" i="5"/>
  <c r="X6" i="5"/>
  <c r="W6" i="5"/>
  <c r="V6" i="5"/>
  <c r="U6" i="5"/>
  <c r="T6" i="5"/>
  <c r="S6" i="5"/>
  <c r="Y10" i="5"/>
  <c r="F28" i="5" s="1"/>
  <c r="X10" i="5"/>
  <c r="W10" i="5"/>
  <c r="V10" i="5"/>
  <c r="E28" i="5" s="1"/>
  <c r="U10" i="5"/>
  <c r="T10" i="5"/>
  <c r="D28" i="5" s="1"/>
  <c r="S10" i="5"/>
  <c r="C28" i="5" s="1"/>
  <c r="G31" i="5"/>
  <c r="H31" i="5" s="1"/>
  <c r="K29" i="5"/>
  <c r="J29" i="5"/>
  <c r="I29" i="5"/>
  <c r="F29" i="5"/>
  <c r="E29" i="5"/>
  <c r="D29" i="5"/>
  <c r="C29" i="5"/>
  <c r="K28" i="5"/>
  <c r="J28" i="5"/>
  <c r="I28" i="5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AB2" i="28"/>
  <c r="AB2" i="28" a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BT2" i="28" a="1"/>
  <c r="BT2" i="28" s="1"/>
  <c r="P544" i="31"/>
  <c r="D544" i="31"/>
  <c r="P342" i="31"/>
  <c r="F394" i="31"/>
  <c r="O544" i="31"/>
  <c r="L344" i="31"/>
  <c r="J442" i="31"/>
  <c r="M444" i="31"/>
  <c r="O393" i="31"/>
  <c r="J642" i="31"/>
  <c r="G543" i="31"/>
  <c r="L694" i="31"/>
  <c r="E343" i="31"/>
  <c r="H394" i="31"/>
  <c r="H443" i="31"/>
  <c r="D694" i="31"/>
  <c r="G643" i="31"/>
  <c r="O593" i="31"/>
  <c r="E543" i="31"/>
  <c r="F692" i="31"/>
  <c r="G642" i="31"/>
  <c r="P443" i="31"/>
  <c r="L693" i="31"/>
  <c r="G492" i="31"/>
  <c r="M443" i="31"/>
  <c r="P693" i="31"/>
  <c r="N492" i="31"/>
  <c r="L443" i="31"/>
  <c r="H544" i="31"/>
  <c r="O342" i="31"/>
  <c r="M343" i="31"/>
  <c r="F594" i="31"/>
  <c r="G344" i="31"/>
  <c r="D493" i="31"/>
  <c r="F342" i="31"/>
  <c r="G694" i="31"/>
  <c r="M694" i="31"/>
  <c r="D642" i="31"/>
  <c r="P494" i="31"/>
  <c r="L544" i="31"/>
  <c r="O692" i="31"/>
  <c r="O444" i="31"/>
  <c r="D343" i="31"/>
  <c r="H342" i="31"/>
  <c r="G392" i="31"/>
  <c r="J692" i="31"/>
  <c r="N543" i="31"/>
  <c r="J392" i="31"/>
  <c r="D392" i="31"/>
  <c r="I442" i="31"/>
  <c r="E643" i="31"/>
  <c r="H592" i="31"/>
  <c r="E492" i="31"/>
  <c r="H694" i="31"/>
  <c r="G693" i="31"/>
  <c r="E694" i="31"/>
  <c r="F393" i="31"/>
  <c r="H493" i="31"/>
  <c r="L592" i="31"/>
  <c r="L342" i="31"/>
  <c r="H643" i="31"/>
  <c r="P542" i="31"/>
  <c r="G493" i="31"/>
  <c r="E344" i="31"/>
  <c r="P493" i="31"/>
  <c r="D444" i="31"/>
  <c r="F642" i="31"/>
  <c r="E442" i="31"/>
  <c r="M344" i="31"/>
  <c r="O592" i="31"/>
  <c r="N544" i="31"/>
  <c r="G343" i="31"/>
  <c r="M394" i="31"/>
  <c r="N344" i="31"/>
  <c r="F544" i="31"/>
  <c r="J543" i="31"/>
  <c r="O443" i="31"/>
  <c r="I592" i="31"/>
  <c r="M492" i="31"/>
  <c r="K394" i="31"/>
  <c r="D693" i="31"/>
  <c r="G394" i="31"/>
  <c r="J492" i="31"/>
  <c r="G442" i="31"/>
  <c r="F344" i="31"/>
  <c r="F542" i="31"/>
  <c r="J343" i="31"/>
  <c r="E493" i="31"/>
  <c r="P394" i="31"/>
  <c r="D494" i="31"/>
  <c r="M493" i="31"/>
  <c r="E392" i="31"/>
  <c r="I492" i="31"/>
  <c r="N693" i="31"/>
  <c r="D443" i="31"/>
  <c r="I642" i="31"/>
  <c r="L493" i="31"/>
  <c r="N392" i="31"/>
  <c r="P692" i="31"/>
  <c r="O494" i="31"/>
  <c r="N593" i="31"/>
  <c r="M644" i="31"/>
  <c r="F644" i="31"/>
  <c r="F693" i="31"/>
  <c r="N393" i="31"/>
  <c r="I343" i="31"/>
  <c r="I692" i="31"/>
  <c r="P643" i="31"/>
  <c r="D342" i="31"/>
  <c r="O442" i="31"/>
  <c r="P442" i="31"/>
  <c r="E444" i="31"/>
  <c r="M442" i="31"/>
  <c r="I544" i="31"/>
  <c r="N493" i="31"/>
  <c r="K393" i="31"/>
  <c r="P343" i="31"/>
  <c r="E443" i="31"/>
  <c r="P593" i="31"/>
  <c r="K494" i="31"/>
  <c r="H392" i="31"/>
  <c r="P543" i="31"/>
  <c r="M692" i="31"/>
  <c r="L494" i="31"/>
  <c r="D692" i="31"/>
  <c r="K593" i="31"/>
  <c r="N494" i="31"/>
  <c r="M542" i="31"/>
  <c r="K392" i="31"/>
  <c r="I443" i="31"/>
  <c r="F593" i="31"/>
  <c r="O392" i="31"/>
  <c r="D594" i="31"/>
  <c r="E692" i="31"/>
  <c r="I493" i="31"/>
  <c r="O493" i="31"/>
  <c r="O542" i="31"/>
  <c r="N594" i="31"/>
  <c r="J542" i="31"/>
  <c r="M593" i="31"/>
  <c r="J393" i="31"/>
  <c r="K493" i="31"/>
  <c r="E542" i="31"/>
  <c r="O343" i="31"/>
  <c r="N643" i="31"/>
  <c r="L393" i="31"/>
  <c r="J344" i="31"/>
  <c r="K592" i="31"/>
  <c r="J592" i="31"/>
  <c r="P393" i="31"/>
  <c r="P592" i="31"/>
  <c r="K692" i="31"/>
  <c r="K443" i="31"/>
  <c r="P344" i="31"/>
  <c r="K543" i="31"/>
  <c r="I594" i="31"/>
  <c r="H543" i="31"/>
  <c r="I393" i="31"/>
  <c r="P644" i="31"/>
  <c r="H343" i="31"/>
  <c r="H494" i="31"/>
  <c r="E593" i="31"/>
  <c r="N343" i="31"/>
  <c r="L643" i="31"/>
  <c r="D492" i="31"/>
  <c r="I644" i="31"/>
  <c r="K642" i="31"/>
  <c r="I694" i="31"/>
  <c r="E642" i="31"/>
  <c r="I543" i="31"/>
  <c r="I342" i="31"/>
  <c r="L394" i="31"/>
  <c r="J342" i="31"/>
  <c r="H444" i="31"/>
  <c r="P642" i="31"/>
  <c r="N342" i="31"/>
  <c r="E544" i="31"/>
  <c r="F543" i="31"/>
  <c r="O643" i="31"/>
  <c r="O594" i="31"/>
  <c r="F694" i="31"/>
  <c r="O693" i="31"/>
  <c r="N394" i="31"/>
  <c r="E592" i="31"/>
  <c r="J593" i="31"/>
  <c r="G443" i="31"/>
  <c r="F444" i="31"/>
  <c r="K492" i="31"/>
  <c r="M494" i="31"/>
  <c r="D344" i="31"/>
  <c r="H344" i="31"/>
  <c r="D644" i="31"/>
  <c r="J693" i="31"/>
  <c r="G692" i="31"/>
  <c r="K542" i="31"/>
  <c r="L593" i="31"/>
  <c r="D394" i="31"/>
  <c r="J444" i="31"/>
  <c r="N444" i="31"/>
  <c r="F343" i="31"/>
  <c r="H542" i="31"/>
  <c r="F493" i="31"/>
  <c r="O492" i="31"/>
  <c r="D542" i="31"/>
  <c r="I394" i="31"/>
  <c r="H492" i="31"/>
  <c r="M643" i="31"/>
  <c r="L543" i="31"/>
  <c r="N644" i="31"/>
  <c r="F494" i="31"/>
  <c r="K344" i="31"/>
  <c r="E594" i="31"/>
  <c r="J594" i="31"/>
  <c r="D393" i="31"/>
  <c r="L644" i="31"/>
  <c r="N642" i="31"/>
  <c r="N542" i="31"/>
  <c r="I444" i="31"/>
  <c r="K594" i="31"/>
  <c r="I593" i="31"/>
  <c r="K343" i="31"/>
  <c r="L392" i="31"/>
  <c r="L542" i="31"/>
  <c r="F492" i="31"/>
  <c r="E394" i="31"/>
  <c r="I344" i="31"/>
  <c r="K444" i="31"/>
  <c r="P444" i="31"/>
  <c r="D593" i="31"/>
  <c r="G444" i="31"/>
  <c r="L444" i="31"/>
  <c r="J443" i="31"/>
  <c r="M594" i="31"/>
  <c r="G342" i="31"/>
  <c r="M392" i="31"/>
  <c r="G593" i="31"/>
  <c r="K544" i="31"/>
  <c r="D592" i="31"/>
  <c r="N692" i="31"/>
  <c r="O644" i="31"/>
  <c r="J694" i="31"/>
  <c r="M592" i="31"/>
  <c r="K342" i="31"/>
  <c r="I643" i="31"/>
  <c r="K693" i="31"/>
  <c r="O694" i="31"/>
  <c r="D643" i="31"/>
  <c r="O642" i="31"/>
  <c r="L594" i="31"/>
  <c r="F643" i="31"/>
  <c r="P594" i="31"/>
  <c r="N443" i="31"/>
  <c r="M543" i="31"/>
  <c r="M642" i="31"/>
  <c r="J394" i="31"/>
  <c r="G592" i="31"/>
  <c r="D543" i="31"/>
  <c r="H642" i="31"/>
  <c r="L492" i="31"/>
  <c r="P392" i="31"/>
  <c r="G393" i="31"/>
  <c r="L442" i="31"/>
  <c r="F592" i="31"/>
  <c r="J643" i="31"/>
  <c r="N592" i="31"/>
  <c r="N442" i="31"/>
  <c r="H594" i="31"/>
  <c r="E494" i="31"/>
  <c r="J494" i="31"/>
  <c r="L692" i="31"/>
  <c r="F442" i="31"/>
  <c r="O394" i="31"/>
  <c r="I693" i="31"/>
  <c r="F392" i="31"/>
  <c r="L642" i="31"/>
  <c r="E342" i="31"/>
  <c r="I392" i="31"/>
  <c r="F443" i="31"/>
  <c r="O344" i="31"/>
  <c r="G644" i="31"/>
  <c r="J493" i="31"/>
  <c r="H692" i="31"/>
  <c r="J544" i="31"/>
  <c r="G494" i="31"/>
  <c r="L343" i="31"/>
  <c r="M393" i="31"/>
  <c r="I542" i="31"/>
  <c r="J644" i="31"/>
  <c r="K643" i="31"/>
  <c r="H693" i="31"/>
  <c r="G594" i="31"/>
  <c r="E393" i="31"/>
  <c r="D442" i="31"/>
  <c r="H393" i="31"/>
  <c r="G544" i="31"/>
  <c r="H593" i="31"/>
  <c r="H442" i="31"/>
  <c r="M693" i="31"/>
  <c r="O543" i="31"/>
  <c r="P694" i="31"/>
  <c r="N694" i="31"/>
  <c r="K694" i="31"/>
  <c r="G542" i="31"/>
  <c r="E693" i="31"/>
  <c r="I494" i="31"/>
  <c r="H644" i="31"/>
  <c r="P492" i="31"/>
  <c r="K644" i="31"/>
  <c r="M342" i="31"/>
  <c r="M544" i="31"/>
  <c r="K442" i="31"/>
  <c r="E644" i="31"/>
  <c r="R715" i="31" l="1"/>
  <c r="AJ29" i="31"/>
  <c r="AG9" i="28"/>
  <c r="BX9" i="28"/>
  <c r="AI9" i="28"/>
  <c r="AE9" i="28"/>
  <c r="AH9" i="28"/>
  <c r="AF9" i="28"/>
  <c r="I715" i="31"/>
  <c r="D565" i="31"/>
  <c r="K665" i="31"/>
  <c r="H715" i="31"/>
  <c r="H614" i="31" a="1"/>
  <c r="H614" i="31" s="1"/>
  <c r="H596" i="31" s="1"/>
  <c r="O615" i="31"/>
  <c r="J714" i="31" a="1"/>
  <c r="J714" i="31" s="1"/>
  <c r="AF4" i="31"/>
  <c r="AH4" i="31"/>
  <c r="AB4" i="31"/>
  <c r="H525" i="31"/>
  <c r="H524" i="31" s="1"/>
  <c r="L525" i="31"/>
  <c r="L524" i="31" s="1"/>
  <c r="L523" i="31" s="1"/>
  <c r="O715" i="31"/>
  <c r="I714" i="31" a="1"/>
  <c r="I714" i="31" s="1"/>
  <c r="I696" i="31" s="1"/>
  <c r="R614" i="31" a="1"/>
  <c r="R614" i="31" s="1"/>
  <c r="R596" i="31" s="1"/>
  <c r="O614" i="31" a="1"/>
  <c r="O614" i="31" s="1"/>
  <c r="P664" i="31" a="1"/>
  <c r="P664" i="31" s="1"/>
  <c r="P646" i="31" s="1"/>
  <c r="H665" i="31"/>
  <c r="I615" i="31"/>
  <c r="F625" i="31"/>
  <c r="F624" i="31" s="1"/>
  <c r="F623" i="31" s="1"/>
  <c r="D623" i="31"/>
  <c r="D615" i="31"/>
  <c r="L615" i="31"/>
  <c r="I565" i="31"/>
  <c r="G615" i="31"/>
  <c r="E625" i="31"/>
  <c r="E624" i="31" s="1"/>
  <c r="E623" i="31" s="1"/>
  <c r="H625" i="31"/>
  <c r="H624" i="31" s="1"/>
  <c r="J565" i="31"/>
  <c r="E475" i="31"/>
  <c r="E474" i="31" s="1"/>
  <c r="E473" i="31" s="1"/>
  <c r="K565" i="31"/>
  <c r="J615" i="31"/>
  <c r="J625" i="31"/>
  <c r="J624" i="31" s="1"/>
  <c r="J623" i="31" s="1"/>
  <c r="D614" i="31" a="1"/>
  <c r="D614" i="31" s="1"/>
  <c r="D596" i="31" s="1"/>
  <c r="L614" i="31" a="1"/>
  <c r="L614" i="31" s="1"/>
  <c r="L596" i="31" s="1"/>
  <c r="E665" i="31"/>
  <c r="J715" i="31"/>
  <c r="K615" i="31"/>
  <c r="M625" i="31"/>
  <c r="M624" i="31" s="1"/>
  <c r="M623" i="31" s="1"/>
  <c r="E725" i="31"/>
  <c r="E724" i="31" s="1"/>
  <c r="F615" i="31"/>
  <c r="N625" i="31"/>
  <c r="N624" i="31" s="1"/>
  <c r="N623" i="31" s="1"/>
  <c r="N614" i="31" a="1"/>
  <c r="N614" i="31" s="1"/>
  <c r="N596" i="31" s="1"/>
  <c r="G665" i="31"/>
  <c r="F725" i="31"/>
  <c r="F724" i="31" s="1"/>
  <c r="F723" i="31" s="1"/>
  <c r="E615" i="31"/>
  <c r="P625" i="31"/>
  <c r="P624" i="31" s="1"/>
  <c r="P623" i="31" s="1"/>
  <c r="E715" i="31"/>
  <c r="M715" i="31"/>
  <c r="M725" i="31"/>
  <c r="M724" i="31" s="1"/>
  <c r="M723" i="31" s="1"/>
  <c r="P615" i="31"/>
  <c r="M615" i="31"/>
  <c r="K591" i="31"/>
  <c r="D591" i="31"/>
  <c r="E591" i="31"/>
  <c r="F591" i="31"/>
  <c r="N591" i="31"/>
  <c r="L591" i="31"/>
  <c r="G591" i="31"/>
  <c r="O591" i="31"/>
  <c r="H591" i="31"/>
  <c r="P591" i="31"/>
  <c r="I591" i="31"/>
  <c r="R591" i="31"/>
  <c r="M591" i="31"/>
  <c r="J591" i="31"/>
  <c r="N615" i="31"/>
  <c r="H615" i="31"/>
  <c r="H664" i="31" a="1"/>
  <c r="H664" i="31" s="1"/>
  <c r="H646" i="31" s="1"/>
  <c r="P714" i="31" a="1"/>
  <c r="P714" i="31" s="1"/>
  <c r="P696" i="31" s="1"/>
  <c r="J665" i="31"/>
  <c r="I614" i="31" a="1"/>
  <c r="I614" i="31" s="1"/>
  <c r="I596" i="31" s="1"/>
  <c r="K714" i="31" a="1"/>
  <c r="K714" i="31" s="1"/>
  <c r="K696" i="31" s="1"/>
  <c r="P525" i="31"/>
  <c r="P524" i="31" s="1"/>
  <c r="P523" i="31" s="1"/>
  <c r="O565" i="31"/>
  <c r="G715" i="31"/>
  <c r="J725" i="31"/>
  <c r="J724" i="31" s="1"/>
  <c r="J723" i="31" s="1"/>
  <c r="J614" i="31" a="1"/>
  <c r="J614" i="31" s="1"/>
  <c r="J596" i="31" s="1"/>
  <c r="P614" i="31" a="1"/>
  <c r="P614" i="31" s="1"/>
  <c r="P596" i="31" s="1"/>
  <c r="R615" i="31"/>
  <c r="N665" i="31"/>
  <c r="L665" i="31"/>
  <c r="K614" i="31" a="1"/>
  <c r="K614" i="31" s="1"/>
  <c r="K596" i="31" s="1"/>
  <c r="E714" i="31" a="1"/>
  <c r="E714" i="31" s="1"/>
  <c r="E696" i="31" s="1"/>
  <c r="M564" i="31" a="1"/>
  <c r="M564" i="31" s="1"/>
  <c r="M546" i="31" s="1"/>
  <c r="O714" i="31" a="1"/>
  <c r="O714" i="31" s="1"/>
  <c r="O696" i="31" s="1"/>
  <c r="I664" i="31" a="1"/>
  <c r="I664" i="31" s="1"/>
  <c r="R664" i="31" a="1"/>
  <c r="R664" i="31" s="1"/>
  <c r="R646" i="31" s="1"/>
  <c r="H475" i="31"/>
  <c r="H474" i="31" s="1"/>
  <c r="H473" i="31" s="1"/>
  <c r="H565" i="31"/>
  <c r="P565" i="31"/>
  <c r="M665" i="31"/>
  <c r="P715" i="31"/>
  <c r="N725" i="31"/>
  <c r="N724" i="31" s="1"/>
  <c r="N723" i="31" s="1"/>
  <c r="O596" i="31"/>
  <c r="E614" i="31" a="1"/>
  <c r="E614" i="31" s="1"/>
  <c r="E596" i="31" s="1"/>
  <c r="F464" i="31" a="1"/>
  <c r="F464" i="31" s="1"/>
  <c r="F446" i="31" s="1"/>
  <c r="N464" i="31" a="1"/>
  <c r="N464" i="31" s="1"/>
  <c r="H714" i="31" a="1"/>
  <c r="H714" i="31" s="1"/>
  <c r="H696" i="31" s="1"/>
  <c r="J664" i="31" a="1"/>
  <c r="J664" i="31" s="1"/>
  <c r="J646" i="31" s="1"/>
  <c r="D465" i="31"/>
  <c r="L465" i="31"/>
  <c r="J475" i="31"/>
  <c r="J474" i="31" s="1"/>
  <c r="J473" i="31" s="1"/>
  <c r="J696" i="31"/>
  <c r="F614" i="31" a="1"/>
  <c r="F614" i="31" s="1"/>
  <c r="F596" i="31" s="1"/>
  <c r="E723" i="31"/>
  <c r="P673" i="31"/>
  <c r="G714" i="31" a="1"/>
  <c r="G714" i="31" s="1"/>
  <c r="G696" i="31" s="1"/>
  <c r="O665" i="31"/>
  <c r="N714" i="31" a="1"/>
  <c r="N714" i="31" s="1"/>
  <c r="N696" i="31" s="1"/>
  <c r="K715" i="31"/>
  <c r="G614" i="31" a="1"/>
  <c r="G614" i="31" s="1"/>
  <c r="G596" i="31" s="1"/>
  <c r="M614" i="31" a="1"/>
  <c r="M614" i="31" s="1"/>
  <c r="M596" i="31" s="1"/>
  <c r="H623" i="31"/>
  <c r="L625" i="31"/>
  <c r="L624" i="31" s="1"/>
  <c r="L623" i="31" s="1"/>
  <c r="G625" i="31"/>
  <c r="G624" i="31" s="1"/>
  <c r="G623" i="31" s="1"/>
  <c r="O625" i="31"/>
  <c r="O624" i="31" s="1"/>
  <c r="O623" i="31" s="1"/>
  <c r="I625" i="31"/>
  <c r="I624" i="31" s="1"/>
  <c r="I623" i="31" s="1"/>
  <c r="R625" i="31"/>
  <c r="R624" i="31" s="1"/>
  <c r="R623" i="31" s="1"/>
  <c r="K625" i="31"/>
  <c r="K624" i="31" s="1"/>
  <c r="K623" i="31" s="1"/>
  <c r="L691" i="31"/>
  <c r="J691" i="31"/>
  <c r="D691" i="31"/>
  <c r="E691" i="31"/>
  <c r="M691" i="31"/>
  <c r="K691" i="31"/>
  <c r="F691" i="31"/>
  <c r="N691" i="31"/>
  <c r="G691" i="31"/>
  <c r="O691" i="31"/>
  <c r="H691" i="31"/>
  <c r="P691" i="31"/>
  <c r="I691" i="31"/>
  <c r="R691" i="31"/>
  <c r="D715" i="31"/>
  <c r="L715" i="31"/>
  <c r="F715" i="31"/>
  <c r="N715" i="31"/>
  <c r="D514" i="31" a="1"/>
  <c r="D514" i="31" s="1"/>
  <c r="D496" i="31" s="1"/>
  <c r="L514" i="31" a="1"/>
  <c r="L514" i="31" s="1"/>
  <c r="G465" i="31"/>
  <c r="G565" i="31"/>
  <c r="I665" i="31"/>
  <c r="R665" i="31"/>
  <c r="M714" i="31" a="1"/>
  <c r="M714" i="31" s="1"/>
  <c r="M696" i="31" s="1"/>
  <c r="G564" i="31" a="1"/>
  <c r="G564" i="31" s="1"/>
  <c r="G546" i="31" s="1"/>
  <c r="O564" i="31" a="1"/>
  <c r="O564" i="31" s="1"/>
  <c r="I515" i="31"/>
  <c r="R515" i="31"/>
  <c r="E575" i="31"/>
  <c r="E574" i="31" s="1"/>
  <c r="E573" i="31" s="1"/>
  <c r="D664" i="31" a="1"/>
  <c r="D664" i="31" s="1"/>
  <c r="K664" i="31" a="1"/>
  <c r="K664" i="31" s="1"/>
  <c r="K646" i="31" s="1"/>
  <c r="D665" i="31"/>
  <c r="L565" i="31"/>
  <c r="M575" i="31"/>
  <c r="M574" i="31" s="1"/>
  <c r="M573" i="31" s="1"/>
  <c r="E664" i="31" a="1"/>
  <c r="E664" i="31" s="1"/>
  <c r="E646" i="31" s="1"/>
  <c r="L664" i="31" a="1"/>
  <c r="L664" i="31" s="1"/>
  <c r="L646" i="31" s="1"/>
  <c r="D723" i="31"/>
  <c r="I514" i="31" a="1"/>
  <c r="I514" i="31" s="1"/>
  <c r="I496" i="31" s="1"/>
  <c r="R514" i="31" a="1"/>
  <c r="R514" i="31" s="1"/>
  <c r="R496" i="31" s="1"/>
  <c r="E564" i="31" a="1"/>
  <c r="E564" i="31" s="1"/>
  <c r="E546" i="31" s="1"/>
  <c r="K515" i="31"/>
  <c r="P573" i="31"/>
  <c r="D646" i="31"/>
  <c r="F664" i="31" a="1"/>
  <c r="F664" i="31" s="1"/>
  <c r="F646" i="31" s="1"/>
  <c r="M664" i="31" a="1"/>
  <c r="M664" i="31" s="1"/>
  <c r="M646" i="31" s="1"/>
  <c r="H675" i="31"/>
  <c r="H674" i="31" s="1"/>
  <c r="H673" i="31" s="1"/>
  <c r="D714" i="31" a="1"/>
  <c r="D714" i="31" s="1"/>
  <c r="D696" i="31" s="1"/>
  <c r="R714" i="31" a="1"/>
  <c r="R714" i="31" s="1"/>
  <c r="R696" i="31" s="1"/>
  <c r="J514" i="31" a="1"/>
  <c r="J514" i="31" s="1"/>
  <c r="J496" i="31" s="1"/>
  <c r="E465" i="31"/>
  <c r="M465" i="31"/>
  <c r="M475" i="31"/>
  <c r="M474" i="31" s="1"/>
  <c r="M473" i="31" s="1"/>
  <c r="D515" i="31"/>
  <c r="L515" i="31"/>
  <c r="F565" i="31"/>
  <c r="N565" i="31"/>
  <c r="E565" i="31"/>
  <c r="M565" i="31"/>
  <c r="G664" i="31" a="1"/>
  <c r="G664" i="31" s="1"/>
  <c r="G646" i="31" s="1"/>
  <c r="N664" i="31" a="1"/>
  <c r="N664" i="31" s="1"/>
  <c r="N646" i="31" s="1"/>
  <c r="M675" i="31"/>
  <c r="M674" i="31" s="1"/>
  <c r="M673" i="31" s="1"/>
  <c r="K564" i="31" a="1"/>
  <c r="K564" i="31" s="1"/>
  <c r="K546" i="31" s="1"/>
  <c r="F515" i="31"/>
  <c r="N515" i="31"/>
  <c r="O664" i="31" a="1"/>
  <c r="O664" i="31" s="1"/>
  <c r="O646" i="31" s="1"/>
  <c r="P665" i="31"/>
  <c r="F714" i="31" a="1"/>
  <c r="F714" i="31" s="1"/>
  <c r="F696" i="31" s="1"/>
  <c r="L714" i="31" a="1"/>
  <c r="L714" i="31" s="1"/>
  <c r="L696" i="31" s="1"/>
  <c r="L725" i="31"/>
  <c r="L724" i="31" s="1"/>
  <c r="L723" i="31" s="1"/>
  <c r="G725" i="31"/>
  <c r="G724" i="31" s="1"/>
  <c r="G723" i="31" s="1"/>
  <c r="O725" i="31"/>
  <c r="O724" i="31" s="1"/>
  <c r="O723" i="31" s="1"/>
  <c r="H725" i="31"/>
  <c r="H724" i="31" s="1"/>
  <c r="H723" i="31" s="1"/>
  <c r="P725" i="31"/>
  <c r="P724" i="31" s="1"/>
  <c r="P723" i="31" s="1"/>
  <c r="I725" i="31"/>
  <c r="I724" i="31" s="1"/>
  <c r="I723" i="31" s="1"/>
  <c r="R725" i="31"/>
  <c r="R724" i="31" s="1"/>
  <c r="R723" i="31" s="1"/>
  <c r="K725" i="31"/>
  <c r="K724" i="31" s="1"/>
  <c r="K723" i="31" s="1"/>
  <c r="J641" i="31"/>
  <c r="D641" i="31"/>
  <c r="D640" i="31" s="1"/>
  <c r="L641" i="31"/>
  <c r="K641" i="31"/>
  <c r="E641" i="31"/>
  <c r="M641" i="31"/>
  <c r="F641" i="31"/>
  <c r="N641" i="31"/>
  <c r="G641" i="31"/>
  <c r="O641" i="31"/>
  <c r="H641" i="31"/>
  <c r="P641" i="31"/>
  <c r="I641" i="31"/>
  <c r="R641" i="31"/>
  <c r="I646" i="31"/>
  <c r="F665" i="31"/>
  <c r="E675" i="31"/>
  <c r="E674" i="31" s="1"/>
  <c r="E673" i="31" s="1"/>
  <c r="J675" i="31"/>
  <c r="J674" i="31" s="1"/>
  <c r="J673" i="31" s="1"/>
  <c r="D676" i="31"/>
  <c r="D675" i="31" s="1"/>
  <c r="D674" i="31" s="1"/>
  <c r="D673" i="31" s="1"/>
  <c r="K675" i="31"/>
  <c r="K674" i="31" s="1"/>
  <c r="K673" i="31" s="1"/>
  <c r="R675" i="31"/>
  <c r="R674" i="31" s="1"/>
  <c r="R673" i="31" s="1"/>
  <c r="I675" i="31"/>
  <c r="I674" i="31" s="1"/>
  <c r="I673" i="31" s="1"/>
  <c r="O675" i="31"/>
  <c r="O674" i="31" s="1"/>
  <c r="O673" i="31" s="1"/>
  <c r="G675" i="31"/>
  <c r="G674" i="31" s="1"/>
  <c r="G673" i="31" s="1"/>
  <c r="N675" i="31"/>
  <c r="N674" i="31" s="1"/>
  <c r="N673" i="31" s="1"/>
  <c r="F675" i="31"/>
  <c r="F674" i="31" s="1"/>
  <c r="F673" i="31" s="1"/>
  <c r="L675" i="31"/>
  <c r="L674" i="31" s="1"/>
  <c r="L673" i="31" s="1"/>
  <c r="K541" i="31"/>
  <c r="L541" i="31"/>
  <c r="E541" i="31"/>
  <c r="M541" i="31"/>
  <c r="F541" i="31"/>
  <c r="N541" i="31"/>
  <c r="D541" i="31"/>
  <c r="G541" i="31"/>
  <c r="O541" i="31"/>
  <c r="H541" i="31"/>
  <c r="P541" i="31"/>
  <c r="I541" i="31"/>
  <c r="R541" i="31"/>
  <c r="J541" i="31"/>
  <c r="H514" i="31" a="1"/>
  <c r="H514" i="31" s="1"/>
  <c r="H496" i="31" s="1"/>
  <c r="P514" i="31" a="1"/>
  <c r="P514" i="31" s="1"/>
  <c r="P496" i="31" s="1"/>
  <c r="K465" i="31"/>
  <c r="D564" i="31" a="1"/>
  <c r="D564" i="31" s="1"/>
  <c r="D546" i="31" s="1"/>
  <c r="R564" i="31" a="1"/>
  <c r="R564" i="31" s="1"/>
  <c r="R546" i="31" s="1"/>
  <c r="L575" i="31"/>
  <c r="L574" i="31" s="1"/>
  <c r="L573" i="31" s="1"/>
  <c r="G415" i="31"/>
  <c r="E515" i="31"/>
  <c r="M515" i="31"/>
  <c r="H523" i="31"/>
  <c r="F564" i="31" a="1"/>
  <c r="F564" i="31" s="1"/>
  <c r="F546" i="31" s="1"/>
  <c r="L564" i="31" a="1"/>
  <c r="L564" i="31" s="1"/>
  <c r="L546" i="31" s="1"/>
  <c r="N575" i="31"/>
  <c r="N574" i="31" s="1"/>
  <c r="N573" i="31" s="1"/>
  <c r="K514" i="31" a="1"/>
  <c r="K514" i="31" s="1"/>
  <c r="K496" i="31" s="1"/>
  <c r="N465" i="31"/>
  <c r="G515" i="31"/>
  <c r="O515" i="31"/>
  <c r="N564" i="31" a="1"/>
  <c r="N564" i="31" s="1"/>
  <c r="N546" i="31" s="1"/>
  <c r="D576" i="31"/>
  <c r="D575" i="31" s="1"/>
  <c r="D574" i="31" s="1"/>
  <c r="D573" i="31" s="1"/>
  <c r="K575" i="31"/>
  <c r="K574" i="31" s="1"/>
  <c r="K573" i="31" s="1"/>
  <c r="R575" i="31"/>
  <c r="R574" i="31" s="1"/>
  <c r="R573" i="31" s="1"/>
  <c r="I575" i="31"/>
  <c r="I574" i="31" s="1"/>
  <c r="I573" i="31" s="1"/>
  <c r="O575" i="31"/>
  <c r="O574" i="31" s="1"/>
  <c r="O573" i="31" s="1"/>
  <c r="G575" i="31"/>
  <c r="G574" i="31" s="1"/>
  <c r="G573" i="31" s="1"/>
  <c r="E514" i="31" a="1"/>
  <c r="E514" i="31" s="1"/>
  <c r="E496" i="31" s="1"/>
  <c r="M414" i="31" a="1"/>
  <c r="M414" i="31" s="1"/>
  <c r="M396" i="31" s="1"/>
  <c r="J423" i="31"/>
  <c r="F514" i="31" a="1"/>
  <c r="F514" i="31" s="1"/>
  <c r="F496" i="31" s="1"/>
  <c r="H515" i="31"/>
  <c r="O546" i="31"/>
  <c r="H564" i="31" a="1"/>
  <c r="H564" i="31" s="1"/>
  <c r="H546" i="31" s="1"/>
  <c r="F575" i="31"/>
  <c r="F574" i="31" s="1"/>
  <c r="F573" i="31" s="1"/>
  <c r="R415" i="31"/>
  <c r="L496" i="31"/>
  <c r="N514" i="31" a="1"/>
  <c r="N514" i="31" s="1"/>
  <c r="N496" i="31" s="1"/>
  <c r="I564" i="31" a="1"/>
  <c r="I564" i="31" s="1"/>
  <c r="I546" i="31" s="1"/>
  <c r="H575" i="31"/>
  <c r="H574" i="31" s="1"/>
  <c r="H573" i="31" s="1"/>
  <c r="G514" i="31" a="1"/>
  <c r="G514" i="31" s="1"/>
  <c r="G496" i="31" s="1"/>
  <c r="O514" i="31" a="1"/>
  <c r="O514" i="31" s="1"/>
  <c r="O496" i="31" s="1"/>
  <c r="I465" i="31"/>
  <c r="J515" i="31"/>
  <c r="J525" i="31"/>
  <c r="J524" i="31" s="1"/>
  <c r="J523" i="31" s="1"/>
  <c r="J564" i="31" a="1"/>
  <c r="J564" i="31" s="1"/>
  <c r="J546" i="31" s="1"/>
  <c r="P564" i="31" a="1"/>
  <c r="P564" i="31" s="1"/>
  <c r="P546" i="31" s="1"/>
  <c r="R565" i="31"/>
  <c r="J575" i="31"/>
  <c r="J574" i="31" s="1"/>
  <c r="J573" i="31" s="1"/>
  <c r="E491" i="31"/>
  <c r="M491" i="31"/>
  <c r="F491" i="31"/>
  <c r="N491" i="31"/>
  <c r="G491" i="31"/>
  <c r="O491" i="31"/>
  <c r="H491" i="31"/>
  <c r="P491" i="31"/>
  <c r="D491" i="31"/>
  <c r="I491" i="31"/>
  <c r="R491" i="31"/>
  <c r="J491" i="31"/>
  <c r="L491" i="31"/>
  <c r="K491" i="31"/>
  <c r="P515" i="31"/>
  <c r="F415" i="31"/>
  <c r="J465" i="31"/>
  <c r="O465" i="31"/>
  <c r="P473" i="31"/>
  <c r="G464" i="31" a="1"/>
  <c r="G464" i="31" s="1"/>
  <c r="G446" i="31" s="1"/>
  <c r="O464" i="31" a="1"/>
  <c r="O464" i="31" s="1"/>
  <c r="O446" i="31" s="1"/>
  <c r="E464" i="31" a="1"/>
  <c r="E464" i="31" s="1"/>
  <c r="E446" i="31" s="1"/>
  <c r="P465" i="31"/>
  <c r="H464" i="31" a="1"/>
  <c r="H464" i="31" s="1"/>
  <c r="H446" i="31" s="1"/>
  <c r="P464" i="31" a="1"/>
  <c r="P464" i="31" s="1"/>
  <c r="P446" i="31" s="1"/>
  <c r="H415" i="31"/>
  <c r="J415" i="31"/>
  <c r="J375" i="31"/>
  <c r="J374" i="31" s="1"/>
  <c r="J373" i="31" s="1"/>
  <c r="J464" i="31" a="1"/>
  <c r="J464" i="31" s="1"/>
  <c r="J446" i="31" s="1"/>
  <c r="D415" i="31"/>
  <c r="F465" i="31"/>
  <c r="K464" i="31" a="1"/>
  <c r="K464" i="31" s="1"/>
  <c r="K446" i="31" s="1"/>
  <c r="D464" i="31" a="1"/>
  <c r="D464" i="31" s="1"/>
  <c r="D446" i="31" s="1"/>
  <c r="L464" i="31" a="1"/>
  <c r="L464" i="31" s="1"/>
  <c r="L446" i="31" s="1"/>
  <c r="H465" i="31"/>
  <c r="M514" i="31" a="1"/>
  <c r="M514" i="31" s="1"/>
  <c r="M496" i="31" s="1"/>
  <c r="D526" i="31"/>
  <c r="D525" i="31" s="1"/>
  <c r="D524" i="31" s="1"/>
  <c r="D523" i="31" s="1"/>
  <c r="K525" i="31"/>
  <c r="K524" i="31" s="1"/>
  <c r="K523" i="31" s="1"/>
  <c r="R525" i="31"/>
  <c r="R524" i="31" s="1"/>
  <c r="R523" i="31" s="1"/>
  <c r="I525" i="31"/>
  <c r="I524" i="31" s="1"/>
  <c r="I523" i="31" s="1"/>
  <c r="O525" i="31"/>
  <c r="O524" i="31" s="1"/>
  <c r="O523" i="31" s="1"/>
  <c r="G525" i="31"/>
  <c r="G524" i="31" s="1"/>
  <c r="G523" i="31" s="1"/>
  <c r="N525" i="31"/>
  <c r="N524" i="31" s="1"/>
  <c r="N523" i="31" s="1"/>
  <c r="F525" i="31"/>
  <c r="F524" i="31" s="1"/>
  <c r="F523" i="31" s="1"/>
  <c r="M525" i="31"/>
  <c r="M524" i="31" s="1"/>
  <c r="M523" i="31" s="1"/>
  <c r="E525" i="31"/>
  <c r="E524" i="31" s="1"/>
  <c r="E523" i="31" s="1"/>
  <c r="J441" i="31"/>
  <c r="K441" i="31"/>
  <c r="D441" i="31"/>
  <c r="L441" i="31"/>
  <c r="R441" i="31"/>
  <c r="E441" i="31"/>
  <c r="M441" i="31"/>
  <c r="F441" i="31"/>
  <c r="N441" i="31"/>
  <c r="G441" i="31"/>
  <c r="O441" i="31"/>
  <c r="I441" i="31"/>
  <c r="H441" i="31"/>
  <c r="P441" i="31"/>
  <c r="N446" i="31"/>
  <c r="I414" i="31" a="1"/>
  <c r="I414" i="31" s="1"/>
  <c r="I396" i="31" s="1"/>
  <c r="R414" i="31" a="1"/>
  <c r="R414" i="31" s="1"/>
  <c r="R396" i="31" s="1"/>
  <c r="N475" i="31"/>
  <c r="N474" i="31" s="1"/>
  <c r="N473" i="31" s="1"/>
  <c r="M464" i="31" a="1"/>
  <c r="M464" i="31" s="1"/>
  <c r="M446" i="31" s="1"/>
  <c r="D476" i="31"/>
  <c r="D475" i="31" s="1"/>
  <c r="D474" i="31" s="1"/>
  <c r="D473" i="31" s="1"/>
  <c r="K475" i="31"/>
  <c r="K474" i="31" s="1"/>
  <c r="K473" i="31" s="1"/>
  <c r="R475" i="31"/>
  <c r="R474" i="31" s="1"/>
  <c r="R473" i="31" s="1"/>
  <c r="I475" i="31"/>
  <c r="I474" i="31" s="1"/>
  <c r="I473" i="31" s="1"/>
  <c r="O475" i="31"/>
  <c r="O474" i="31" s="1"/>
  <c r="O473" i="31" s="1"/>
  <c r="G475" i="31"/>
  <c r="G474" i="31" s="1"/>
  <c r="G473" i="31" s="1"/>
  <c r="L414" i="31" a="1"/>
  <c r="L414" i="31" s="1"/>
  <c r="L396" i="31" s="1"/>
  <c r="P415" i="31"/>
  <c r="F475" i="31"/>
  <c r="F474" i="31" s="1"/>
  <c r="F473" i="31" s="1"/>
  <c r="I464" i="31" a="1"/>
  <c r="I464" i="31" s="1"/>
  <c r="I446" i="31" s="1"/>
  <c r="R465" i="31"/>
  <c r="G414" i="31" a="1"/>
  <c r="G414" i="31" s="1"/>
  <c r="G396" i="31" s="1"/>
  <c r="F365" i="31"/>
  <c r="K415" i="31"/>
  <c r="R464" i="31" a="1"/>
  <c r="R464" i="31" s="1"/>
  <c r="R446" i="31" s="1"/>
  <c r="L475" i="31"/>
  <c r="L474" i="31" s="1"/>
  <c r="L473" i="31" s="1"/>
  <c r="E365" i="31"/>
  <c r="M365" i="31"/>
  <c r="L415" i="31"/>
  <c r="O415" i="31"/>
  <c r="N415" i="31"/>
  <c r="F414" i="31" a="1"/>
  <c r="F414" i="31" s="1"/>
  <c r="F396" i="31" s="1"/>
  <c r="P365" i="31"/>
  <c r="P425" i="31"/>
  <c r="P424" i="31" s="1"/>
  <c r="P423" i="31" s="1"/>
  <c r="N365" i="31"/>
  <c r="I365" i="31"/>
  <c r="R365" i="31"/>
  <c r="E415" i="31"/>
  <c r="H364" i="31" a="1"/>
  <c r="H364" i="31" s="1"/>
  <c r="P364" i="31" a="1"/>
  <c r="P364" i="31" s="1"/>
  <c r="P346" i="31" s="1"/>
  <c r="N414" i="31" a="1"/>
  <c r="N414" i="31" s="1"/>
  <c r="N396" i="31" s="1"/>
  <c r="I415" i="31"/>
  <c r="K365" i="31"/>
  <c r="P375" i="31"/>
  <c r="P374" i="31" s="1"/>
  <c r="P373" i="31" s="1"/>
  <c r="M415" i="31"/>
  <c r="D391" i="31"/>
  <c r="J391" i="31"/>
  <c r="E391" i="31"/>
  <c r="M391" i="31"/>
  <c r="K391" i="31"/>
  <c r="F391" i="31"/>
  <c r="N391" i="31"/>
  <c r="L391" i="31"/>
  <c r="G391" i="31"/>
  <c r="O391" i="31"/>
  <c r="H391" i="31"/>
  <c r="P391" i="31"/>
  <c r="I391" i="31"/>
  <c r="R391" i="31"/>
  <c r="E425" i="31"/>
  <c r="E424" i="31" s="1"/>
  <c r="E423" i="31" s="1"/>
  <c r="G364" i="31" a="1"/>
  <c r="G364" i="31" s="1"/>
  <c r="G346" i="31" s="1"/>
  <c r="O364" i="31" a="1"/>
  <c r="O364" i="31" s="1"/>
  <c r="O346" i="31" s="1"/>
  <c r="J365" i="31"/>
  <c r="H375" i="31"/>
  <c r="H374" i="31" s="1"/>
  <c r="H373" i="31" s="1"/>
  <c r="N425" i="31"/>
  <c r="N424" i="31" s="1"/>
  <c r="N423" i="31" s="1"/>
  <c r="J364" i="31" a="1"/>
  <c r="J364" i="31" s="1"/>
  <c r="J346" i="31" s="1"/>
  <c r="H365" i="31"/>
  <c r="L373" i="31"/>
  <c r="H414" i="31" a="1"/>
  <c r="H414" i="31" s="1"/>
  <c r="H396" i="31" s="1"/>
  <c r="O414" i="31" a="1"/>
  <c r="O414" i="31" s="1"/>
  <c r="O396" i="31" s="1"/>
  <c r="F425" i="31"/>
  <c r="F424" i="31" s="1"/>
  <c r="F423" i="31" s="1"/>
  <c r="K364" i="31" a="1"/>
  <c r="K364" i="31" s="1"/>
  <c r="K346" i="31" s="1"/>
  <c r="I364" i="31" a="1"/>
  <c r="I364" i="31" s="1"/>
  <c r="I346" i="31" s="1"/>
  <c r="H425" i="31"/>
  <c r="H424" i="31" s="1"/>
  <c r="H423" i="31" s="1"/>
  <c r="D364" i="31" a="1"/>
  <c r="D364" i="31" s="1"/>
  <c r="D346" i="31" s="1"/>
  <c r="L364" i="31" a="1"/>
  <c r="L364" i="31" s="1"/>
  <c r="L346" i="31" s="1"/>
  <c r="R364" i="31" a="1"/>
  <c r="R364" i="31" s="1"/>
  <c r="R346" i="31" s="1"/>
  <c r="J414" i="31" a="1"/>
  <c r="J414" i="31" s="1"/>
  <c r="J396" i="31" s="1"/>
  <c r="P414" i="31" a="1"/>
  <c r="P414" i="31" s="1"/>
  <c r="P396" i="31" s="1"/>
  <c r="D426" i="31"/>
  <c r="D425" i="31" s="1"/>
  <c r="D424" i="31" s="1"/>
  <c r="D423" i="31" s="1"/>
  <c r="K425" i="31"/>
  <c r="K424" i="31" s="1"/>
  <c r="K423" i="31" s="1"/>
  <c r="R425" i="31"/>
  <c r="R424" i="31" s="1"/>
  <c r="R423" i="31" s="1"/>
  <c r="I425" i="31"/>
  <c r="I424" i="31" s="1"/>
  <c r="I423" i="31" s="1"/>
  <c r="O425" i="31"/>
  <c r="O424" i="31" s="1"/>
  <c r="O423" i="31" s="1"/>
  <c r="G425" i="31"/>
  <c r="G424" i="31" s="1"/>
  <c r="G423" i="31" s="1"/>
  <c r="E364" i="31" a="1"/>
  <c r="E364" i="31" s="1"/>
  <c r="E346" i="31" s="1"/>
  <c r="M364" i="31" a="1"/>
  <c r="M364" i="31" s="1"/>
  <c r="M346" i="31" s="1"/>
  <c r="D414" i="31" a="1"/>
  <c r="D414" i="31" s="1"/>
  <c r="D396" i="31" s="1"/>
  <c r="K414" i="31" a="1"/>
  <c r="K414" i="31" s="1"/>
  <c r="K396" i="31" s="1"/>
  <c r="L425" i="31"/>
  <c r="L424" i="31" s="1"/>
  <c r="L423" i="31" s="1"/>
  <c r="F364" i="31" a="1"/>
  <c r="F364" i="31" s="1"/>
  <c r="F346" i="31" s="1"/>
  <c r="N364" i="31" a="1"/>
  <c r="N364" i="31" s="1"/>
  <c r="N346" i="31" s="1"/>
  <c r="D365" i="31"/>
  <c r="L365" i="31"/>
  <c r="E414" i="31" a="1"/>
  <c r="E414" i="31" s="1"/>
  <c r="E396" i="31" s="1"/>
  <c r="M425" i="31"/>
  <c r="M424" i="31" s="1"/>
  <c r="M423" i="31" s="1"/>
  <c r="G341" i="31"/>
  <c r="O341" i="31"/>
  <c r="H341" i="31"/>
  <c r="P341" i="31"/>
  <c r="I341" i="31"/>
  <c r="R341" i="31"/>
  <c r="J341" i="31"/>
  <c r="F341" i="31"/>
  <c r="K341" i="31"/>
  <c r="D341" i="31"/>
  <c r="L341" i="31"/>
  <c r="N341" i="31"/>
  <c r="E341" i="31"/>
  <c r="M341" i="31"/>
  <c r="H346" i="31"/>
  <c r="E325" i="31"/>
  <c r="E324" i="31" s="1"/>
  <c r="E323" i="31" s="1"/>
  <c r="F325" i="31"/>
  <c r="F324" i="31" s="1"/>
  <c r="F323" i="31" s="1"/>
  <c r="I325" i="31"/>
  <c r="I324" i="31" s="1"/>
  <c r="I323" i="31" s="1"/>
  <c r="G365" i="31"/>
  <c r="O365" i="31"/>
  <c r="D376" i="31"/>
  <c r="D375" i="31" s="1"/>
  <c r="D374" i="31" s="1"/>
  <c r="D373" i="31" s="1"/>
  <c r="K375" i="31"/>
  <c r="K374" i="31" s="1"/>
  <c r="K373" i="31" s="1"/>
  <c r="R375" i="31"/>
  <c r="R374" i="31" s="1"/>
  <c r="R373" i="31" s="1"/>
  <c r="I375" i="31"/>
  <c r="I374" i="31" s="1"/>
  <c r="I373" i="31" s="1"/>
  <c r="O375" i="31"/>
  <c r="O374" i="31" s="1"/>
  <c r="O373" i="31" s="1"/>
  <c r="G375" i="31"/>
  <c r="G374" i="31" s="1"/>
  <c r="G373" i="31" s="1"/>
  <c r="N375" i="31"/>
  <c r="N374" i="31" s="1"/>
  <c r="N373" i="31" s="1"/>
  <c r="F375" i="31"/>
  <c r="F374" i="31" s="1"/>
  <c r="F373" i="31" s="1"/>
  <c r="M375" i="31"/>
  <c r="M374" i="31" s="1"/>
  <c r="M373" i="31" s="1"/>
  <c r="E375" i="31"/>
  <c r="E374" i="31" s="1"/>
  <c r="E373" i="31" s="1"/>
  <c r="L325" i="31"/>
  <c r="L324" i="31" s="1"/>
  <c r="L323" i="31" s="1"/>
  <c r="M325" i="31"/>
  <c r="M324" i="31" s="1"/>
  <c r="M323" i="31" s="1"/>
  <c r="N325" i="31"/>
  <c r="N324" i="31" s="1"/>
  <c r="N323" i="31" s="1"/>
  <c r="R325" i="31"/>
  <c r="R324" i="31" s="1"/>
  <c r="R323" i="31" s="1"/>
  <c r="G325" i="31"/>
  <c r="G324" i="31" s="1"/>
  <c r="G323" i="31" s="1"/>
  <c r="O325" i="31"/>
  <c r="O324" i="31" s="1"/>
  <c r="O323" i="31" s="1"/>
  <c r="F315" i="31"/>
  <c r="N315" i="31"/>
  <c r="H325" i="31"/>
  <c r="H324" i="31" s="1"/>
  <c r="H323" i="31" s="1"/>
  <c r="P325" i="31"/>
  <c r="P324" i="31" s="1"/>
  <c r="P323" i="31" s="1"/>
  <c r="G315" i="31"/>
  <c r="J325" i="31"/>
  <c r="J324" i="31" s="1"/>
  <c r="J323" i="31" s="1"/>
  <c r="K325" i="31"/>
  <c r="K324" i="31" s="1"/>
  <c r="K323" i="31" s="1"/>
  <c r="D315" i="31"/>
  <c r="O315" i="31"/>
  <c r="D323" i="31"/>
  <c r="I315" i="31"/>
  <c r="R315" i="31"/>
  <c r="H315" i="31"/>
  <c r="P315" i="31"/>
  <c r="E315" i="31"/>
  <c r="M315" i="31"/>
  <c r="H314" i="31" a="1"/>
  <c r="H314" i="31" s="1"/>
  <c r="H296" i="31" s="1"/>
  <c r="J315" i="31"/>
  <c r="K315" i="31"/>
  <c r="L315" i="31"/>
  <c r="K314" i="31" a="1"/>
  <c r="K314" i="31" s="1"/>
  <c r="K296" i="31" s="1"/>
  <c r="I314" i="31" a="1"/>
  <c r="I314" i="31" s="1"/>
  <c r="I296" i="31" s="1"/>
  <c r="M314" i="31" a="1"/>
  <c r="M314" i="31" s="1"/>
  <c r="M296" i="31" s="1"/>
  <c r="D314" i="31" a="1"/>
  <c r="D314" i="31" s="1"/>
  <c r="D296" i="31" s="1"/>
  <c r="L314" i="31" a="1"/>
  <c r="L314" i="31" s="1"/>
  <c r="L296" i="31" s="1"/>
  <c r="J314" i="31" a="1"/>
  <c r="J314" i="31" s="1"/>
  <c r="J296" i="31" s="1"/>
  <c r="G314" i="31" a="1"/>
  <c r="G314" i="31" s="1"/>
  <c r="G296" i="31" s="1"/>
  <c r="N314" i="31" a="1"/>
  <c r="N314" i="31" s="1"/>
  <c r="N296" i="31" s="1"/>
  <c r="O314" i="31" a="1"/>
  <c r="O314" i="31" s="1"/>
  <c r="O296" i="31" s="1"/>
  <c r="P314" i="31" a="1"/>
  <c r="P314" i="31" s="1"/>
  <c r="P296" i="31" s="1"/>
  <c r="E314" i="31" a="1"/>
  <c r="E314" i="31" s="1"/>
  <c r="E296" i="31" s="1"/>
  <c r="F314" i="31" a="1"/>
  <c r="F314" i="31" s="1"/>
  <c r="F296" i="31" s="1"/>
  <c r="R314" i="31" a="1"/>
  <c r="R314" i="31" s="1"/>
  <c r="R296" i="31" s="1"/>
  <c r="G13" i="5"/>
  <c r="H13" i="5" s="1"/>
  <c r="Z6" i="5"/>
  <c r="Z10" i="5"/>
  <c r="G29" i="5"/>
  <c r="H29" i="5" s="1"/>
  <c r="AD10" i="28"/>
  <c r="BV10" i="28"/>
  <c r="Z8" i="28"/>
  <c r="Z9" i="28" s="1"/>
  <c r="AH8" i="28"/>
  <c r="AH10" i="28" s="1"/>
  <c r="AE8" i="28"/>
  <c r="AE10" i="28" s="1"/>
  <c r="AI8" i="28"/>
  <c r="AI10" i="28" s="1"/>
  <c r="AF8" i="28"/>
  <c r="AF10" i="28" s="1"/>
  <c r="AG8" i="28"/>
  <c r="AG10" i="28" s="1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BX10" i="28" s="1"/>
  <c r="L490" i="31" l="1"/>
  <c r="L532" i="31" s="1"/>
  <c r="H590" i="31"/>
  <c r="H632" i="31" s="1"/>
  <c r="P640" i="31"/>
  <c r="P682" i="31" s="1"/>
  <c r="H640" i="31"/>
  <c r="H682" i="31" s="1"/>
  <c r="O690" i="31"/>
  <c r="O732" i="31" s="1"/>
  <c r="J690" i="31"/>
  <c r="J732" i="31" s="1"/>
  <c r="P490" i="31"/>
  <c r="P532" i="31" s="1"/>
  <c r="R590" i="31"/>
  <c r="R632" i="31" s="1"/>
  <c r="N640" i="31"/>
  <c r="N682" i="31" s="1"/>
  <c r="E690" i="31"/>
  <c r="E732" i="31" s="1"/>
  <c r="O590" i="31"/>
  <c r="O632" i="31" s="1"/>
  <c r="G590" i="31"/>
  <c r="G632" i="31" s="1"/>
  <c r="J490" i="31"/>
  <c r="J532" i="31" s="1"/>
  <c r="R640" i="31"/>
  <c r="R682" i="31" s="1"/>
  <c r="M640" i="31"/>
  <c r="M682" i="31" s="1"/>
  <c r="J590" i="31"/>
  <c r="J632" i="31" s="1"/>
  <c r="L590" i="31"/>
  <c r="L632" i="31" s="1"/>
  <c r="M590" i="31"/>
  <c r="M632" i="31" s="1"/>
  <c r="N590" i="31"/>
  <c r="N632" i="31" s="1"/>
  <c r="N690" i="31"/>
  <c r="N732" i="31" s="1"/>
  <c r="F590" i="31"/>
  <c r="F632" i="31" s="1"/>
  <c r="I590" i="31"/>
  <c r="I632" i="31" s="1"/>
  <c r="E590" i="31"/>
  <c r="E632" i="31" s="1"/>
  <c r="K690" i="31"/>
  <c r="K732" i="31" s="1"/>
  <c r="P590" i="31"/>
  <c r="P632" i="31" s="1"/>
  <c r="D590" i="31"/>
  <c r="D632" i="31" s="1"/>
  <c r="F640" i="31"/>
  <c r="F682" i="31" s="1"/>
  <c r="J640" i="31"/>
  <c r="J682" i="31" s="1"/>
  <c r="K590" i="31"/>
  <c r="K632" i="31" s="1"/>
  <c r="E440" i="31"/>
  <c r="E482" i="31" s="1"/>
  <c r="K490" i="31"/>
  <c r="K532" i="31" s="1"/>
  <c r="K640" i="31"/>
  <c r="K682" i="31" s="1"/>
  <c r="R690" i="31"/>
  <c r="R732" i="31" s="1"/>
  <c r="E640" i="31"/>
  <c r="E682" i="31" s="1"/>
  <c r="L640" i="31"/>
  <c r="L682" i="31" s="1"/>
  <c r="I690" i="31"/>
  <c r="I732" i="31" s="1"/>
  <c r="M690" i="31"/>
  <c r="M732" i="31" s="1"/>
  <c r="O640" i="31"/>
  <c r="O682" i="31" s="1"/>
  <c r="D682" i="31"/>
  <c r="P690" i="31"/>
  <c r="P732" i="31" s="1"/>
  <c r="F690" i="31"/>
  <c r="F732" i="31" s="1"/>
  <c r="H690" i="31"/>
  <c r="H732" i="31" s="1"/>
  <c r="D690" i="31"/>
  <c r="D732" i="31" s="1"/>
  <c r="G690" i="31"/>
  <c r="G732" i="31" s="1"/>
  <c r="L690" i="31"/>
  <c r="L732" i="31" s="1"/>
  <c r="I640" i="31"/>
  <c r="I682" i="31" s="1"/>
  <c r="G640" i="31"/>
  <c r="G682" i="31" s="1"/>
  <c r="G540" i="31"/>
  <c r="G582" i="31" s="1"/>
  <c r="J540" i="31"/>
  <c r="J582" i="31" s="1"/>
  <c r="N540" i="31"/>
  <c r="N582" i="31" s="1"/>
  <c r="R540" i="31"/>
  <c r="R582" i="31" s="1"/>
  <c r="F540" i="31"/>
  <c r="F582" i="31" s="1"/>
  <c r="N490" i="31"/>
  <c r="N532" i="31" s="1"/>
  <c r="I540" i="31"/>
  <c r="I582" i="31" s="1"/>
  <c r="M540" i="31"/>
  <c r="M582" i="31" s="1"/>
  <c r="F490" i="31"/>
  <c r="F532" i="31" s="1"/>
  <c r="P540" i="31"/>
  <c r="P582" i="31" s="1"/>
  <c r="E540" i="31"/>
  <c r="E582" i="31" s="1"/>
  <c r="H540" i="31"/>
  <c r="H582" i="31" s="1"/>
  <c r="L540" i="31"/>
  <c r="L582" i="31" s="1"/>
  <c r="D540" i="31"/>
  <c r="D582" i="31" s="1"/>
  <c r="D490" i="31"/>
  <c r="D532" i="31" s="1"/>
  <c r="E490" i="31"/>
  <c r="E532" i="31" s="1"/>
  <c r="O540" i="31"/>
  <c r="O582" i="31" s="1"/>
  <c r="K540" i="31"/>
  <c r="K582" i="31" s="1"/>
  <c r="H490" i="31"/>
  <c r="H532" i="31" s="1"/>
  <c r="O490" i="31"/>
  <c r="O532" i="31" s="1"/>
  <c r="G490" i="31"/>
  <c r="G532" i="31" s="1"/>
  <c r="J440" i="31"/>
  <c r="J482" i="31" s="1"/>
  <c r="R490" i="31"/>
  <c r="R532" i="31" s="1"/>
  <c r="I490" i="31"/>
  <c r="I532" i="31" s="1"/>
  <c r="M490" i="31"/>
  <c r="M532" i="31" s="1"/>
  <c r="L340" i="31"/>
  <c r="L382" i="31" s="1"/>
  <c r="F440" i="31"/>
  <c r="F482" i="31" s="1"/>
  <c r="M440" i="31"/>
  <c r="M482" i="31" s="1"/>
  <c r="P440" i="31"/>
  <c r="P482" i="31" s="1"/>
  <c r="H440" i="31"/>
  <c r="H482" i="31" s="1"/>
  <c r="R440" i="31"/>
  <c r="R482" i="31" s="1"/>
  <c r="I440" i="31"/>
  <c r="I482" i="31" s="1"/>
  <c r="L440" i="31"/>
  <c r="L482" i="31" s="1"/>
  <c r="O440" i="31"/>
  <c r="O482" i="31" s="1"/>
  <c r="D440" i="31"/>
  <c r="D482" i="31" s="1"/>
  <c r="G440" i="31"/>
  <c r="G482" i="31" s="1"/>
  <c r="K440" i="31"/>
  <c r="K482" i="31" s="1"/>
  <c r="N440" i="31"/>
  <c r="N482" i="31" s="1"/>
  <c r="L390" i="31"/>
  <c r="L432" i="31" s="1"/>
  <c r="F390" i="31"/>
  <c r="F432" i="31" s="1"/>
  <c r="N390" i="31"/>
  <c r="N432" i="31" s="1"/>
  <c r="R390" i="31"/>
  <c r="R432" i="31" s="1"/>
  <c r="D340" i="31"/>
  <c r="D382" i="31" s="1"/>
  <c r="I390" i="31"/>
  <c r="I432" i="31" s="1"/>
  <c r="K390" i="31"/>
  <c r="K432" i="31" s="1"/>
  <c r="K340" i="31"/>
  <c r="K382" i="31" s="1"/>
  <c r="P390" i="31"/>
  <c r="P432" i="31" s="1"/>
  <c r="M390" i="31"/>
  <c r="M432" i="31" s="1"/>
  <c r="F340" i="31"/>
  <c r="F382" i="31" s="1"/>
  <c r="H390" i="31"/>
  <c r="H432" i="31" s="1"/>
  <c r="E390" i="31"/>
  <c r="E432" i="31" s="1"/>
  <c r="O390" i="31"/>
  <c r="O432" i="31" s="1"/>
  <c r="J390" i="31"/>
  <c r="J432" i="31" s="1"/>
  <c r="G390" i="31"/>
  <c r="G432" i="31" s="1"/>
  <c r="D390" i="31"/>
  <c r="D432" i="31" s="1"/>
  <c r="G340" i="31"/>
  <c r="G382" i="31" s="1"/>
  <c r="J340" i="31"/>
  <c r="J382" i="31" s="1"/>
  <c r="M340" i="31"/>
  <c r="M382" i="31" s="1"/>
  <c r="R340" i="31"/>
  <c r="R382" i="31" s="1"/>
  <c r="E340" i="31"/>
  <c r="E382" i="31" s="1"/>
  <c r="I340" i="31"/>
  <c r="I382" i="31" s="1"/>
  <c r="N340" i="31"/>
  <c r="N382" i="31" s="1"/>
  <c r="P340" i="31"/>
  <c r="P382" i="31" s="1"/>
  <c r="H340" i="31"/>
  <c r="H382" i="31" s="1"/>
  <c r="O340" i="31"/>
  <c r="O382" i="31" s="1"/>
  <c r="R291" i="31"/>
  <c r="R290" i="31" s="1"/>
  <c r="R332" i="31" s="1"/>
  <c r="BT34" i="28"/>
  <c r="BT87" i="28"/>
  <c r="AA49" i="28"/>
  <c r="AC28" i="28"/>
  <c r="AB64" i="28"/>
  <c r="AA24" i="28"/>
  <c r="AB19" i="28"/>
  <c r="BT17" i="28"/>
  <c r="AA39" i="28"/>
  <c r="BU114" i="28"/>
  <c r="AB43" i="28"/>
  <c r="BT50" i="28"/>
  <c r="BT65" i="28"/>
  <c r="BU29" i="28"/>
  <c r="AC60" i="28"/>
  <c r="E293" i="31"/>
  <c r="AA72" i="28"/>
  <c r="BU77" i="28"/>
  <c r="BU115" i="28"/>
  <c r="BT118" i="28"/>
  <c r="BU25" i="28"/>
  <c r="BT94" i="28"/>
  <c r="BS34" i="28"/>
  <c r="E292" i="31"/>
  <c r="AC95" i="28"/>
  <c r="BS74" i="28"/>
  <c r="AB38" i="28"/>
  <c r="BT23" i="28"/>
  <c r="AC22" i="28"/>
  <c r="BT88" i="28"/>
  <c r="AA62" i="28"/>
  <c r="BS38" i="28"/>
  <c r="AC116" i="28"/>
  <c r="BS72" i="28"/>
  <c r="BU56" i="28"/>
  <c r="AA29" i="28"/>
  <c r="AA75" i="28"/>
  <c r="AB103" i="28"/>
  <c r="K293" i="31"/>
  <c r="N292" i="31"/>
  <c r="BS71" i="28"/>
  <c r="AY64" i="28"/>
  <c r="BT121" i="28"/>
  <c r="BT37" i="28"/>
  <c r="BU95" i="28"/>
  <c r="AC17" i="28"/>
  <c r="AC82" i="28"/>
  <c r="AC26" i="28"/>
  <c r="BS58" i="28"/>
  <c r="BS118" i="28"/>
  <c r="BT80" i="28"/>
  <c r="BU108" i="28"/>
  <c r="AC74" i="28"/>
  <c r="BT112" i="28"/>
  <c r="BT45" i="28"/>
  <c r="BS42" i="28"/>
  <c r="BU91" i="28"/>
  <c r="AA92" i="28"/>
  <c r="AB45" i="28"/>
  <c r="AB86" i="28"/>
  <c r="AB74" i="28"/>
  <c r="AB47" i="28"/>
  <c r="BT46" i="28"/>
  <c r="BU93" i="28"/>
  <c r="BT96" i="28"/>
  <c r="E64" i="28"/>
  <c r="AA23" i="28"/>
  <c r="BS91" i="28"/>
  <c r="BS83" i="28"/>
  <c r="BT97" i="28"/>
  <c r="AC94" i="28"/>
  <c r="BS21" i="28"/>
  <c r="BS96" i="28"/>
  <c r="AA83" i="28"/>
  <c r="BT75" i="28"/>
  <c r="AA30" i="28"/>
  <c r="AA107" i="28"/>
  <c r="BT101" i="28"/>
  <c r="AC93" i="28"/>
  <c r="BU118" i="28"/>
  <c r="AA103" i="28"/>
  <c r="AC49" i="28"/>
  <c r="AA118" i="28"/>
  <c r="AB37" i="28"/>
  <c r="BT108" i="28"/>
  <c r="BU55" i="28"/>
  <c r="AA57" i="28"/>
  <c r="AC113" i="28"/>
  <c r="AC23" i="28"/>
  <c r="AB104" i="28"/>
  <c r="AA90" i="28"/>
  <c r="BS29" i="28"/>
  <c r="AC108" i="28"/>
  <c r="AC59" i="28"/>
  <c r="BU96" i="28"/>
  <c r="BS98" i="28"/>
  <c r="AC75" i="28"/>
  <c r="BT122" i="28"/>
  <c r="BU98" i="28"/>
  <c r="BU90" i="28"/>
  <c r="BS111" i="28"/>
  <c r="AA35" i="28"/>
  <c r="AA109" i="28"/>
  <c r="BS67" i="28"/>
  <c r="BT32" i="28"/>
  <c r="BU60" i="28"/>
  <c r="AA88" i="28"/>
  <c r="BS24" i="28"/>
  <c r="BS86" i="28"/>
  <c r="BS107" i="28"/>
  <c r="BT58" i="28"/>
  <c r="BS56" i="28"/>
  <c r="AB61" i="28"/>
  <c r="BU85" i="28"/>
  <c r="AB32" i="28"/>
  <c r="AC50" i="28"/>
  <c r="AB42" i="28"/>
  <c r="BU66" i="28"/>
  <c r="BT99" i="28"/>
  <c r="M292" i="31"/>
  <c r="AC27" i="28"/>
  <c r="AC58" i="28"/>
  <c r="CC64" i="28"/>
  <c r="F294" i="31"/>
  <c r="AA101" i="28"/>
  <c r="BT117" i="28"/>
  <c r="BU30" i="28"/>
  <c r="BS22" i="28"/>
  <c r="BT18" i="28"/>
  <c r="P293" i="31"/>
  <c r="BU19" i="28"/>
  <c r="AB54" i="28"/>
  <c r="AB55" i="28"/>
  <c r="BU110" i="28"/>
  <c r="AC52" i="28"/>
  <c r="BU37" i="28"/>
  <c r="AB76" i="28"/>
  <c r="BU41" i="28"/>
  <c r="AA81" i="28"/>
  <c r="BT42" i="28"/>
  <c r="AB97" i="28"/>
  <c r="AB58" i="28"/>
  <c r="BT28" i="28"/>
  <c r="AC88" i="28"/>
  <c r="BS102" i="28"/>
  <c r="BS70" i="28"/>
  <c r="BU82" i="28"/>
  <c r="AB65" i="28"/>
  <c r="AB122" i="28"/>
  <c r="AA18" i="28"/>
  <c r="AC122" i="28"/>
  <c r="AB114" i="28"/>
  <c r="BT26" i="28"/>
  <c r="BS48" i="28"/>
  <c r="BT56" i="28"/>
  <c r="BS41" i="28"/>
  <c r="BS36" i="28"/>
  <c r="D293" i="31"/>
  <c r="AB50" i="28"/>
  <c r="BU104" i="28"/>
  <c r="BT74" i="28"/>
  <c r="AB40" i="28"/>
  <c r="BU75" i="28"/>
  <c r="AC99" i="28"/>
  <c r="BT105" i="28"/>
  <c r="BU121" i="28"/>
  <c r="AC115" i="28"/>
  <c r="BS16" i="28"/>
  <c r="BT79" i="28"/>
  <c r="BS79" i="28"/>
  <c r="BS53" i="28"/>
  <c r="M293" i="31"/>
  <c r="AB88" i="28"/>
  <c r="BU86" i="28"/>
  <c r="AA31" i="28"/>
  <c r="BS77" i="28"/>
  <c r="J293" i="31"/>
  <c r="BT116" i="28"/>
  <c r="AA54" i="28"/>
  <c r="BS106" i="28"/>
  <c r="BU87" i="28"/>
  <c r="BT43" i="28"/>
  <c r="AA70" i="28"/>
  <c r="AB26" i="28"/>
  <c r="BS46" i="28"/>
  <c r="BS61" i="28"/>
  <c r="BT66" i="28"/>
  <c r="AB73" i="28"/>
  <c r="BS101" i="28"/>
  <c r="AC98" i="28"/>
  <c r="AB63" i="28"/>
  <c r="BT120" i="28"/>
  <c r="AC25" i="28"/>
  <c r="AC44" i="28"/>
  <c r="BT48" i="28"/>
  <c r="BS84" i="28"/>
  <c r="AB18" i="28"/>
  <c r="BS33" i="28"/>
  <c r="AA17" i="28"/>
  <c r="BU20" i="28"/>
  <c r="AB46" i="28"/>
  <c r="AA100" i="28"/>
  <c r="AA108" i="28"/>
  <c r="AA87" i="28"/>
  <c r="AA119" i="28"/>
  <c r="BU50" i="28"/>
  <c r="AC65" i="28"/>
  <c r="BU78" i="28"/>
  <c r="AC69" i="28"/>
  <c r="BT47" i="28"/>
  <c r="AB80" i="28"/>
  <c r="BS114" i="28"/>
  <c r="AB16" i="28"/>
  <c r="AB17" i="28"/>
  <c r="AA76" i="28"/>
  <c r="BU111" i="28"/>
  <c r="AO64" i="28"/>
  <c r="AA50" i="28"/>
  <c r="BS59" i="28"/>
  <c r="AA80" i="28"/>
  <c r="BU38" i="28"/>
  <c r="AC107" i="28"/>
  <c r="K294" i="31"/>
  <c r="BT54" i="28"/>
  <c r="AC102" i="28"/>
  <c r="BU59" i="28"/>
  <c r="BU49" i="28"/>
  <c r="AA33" i="28"/>
  <c r="AB113" i="28"/>
  <c r="BU48" i="28"/>
  <c r="BT84" i="28"/>
  <c r="AA28" i="28"/>
  <c r="AC29" i="28"/>
  <c r="BS105" i="28"/>
  <c r="AA16" i="28"/>
  <c r="AB70" i="28"/>
  <c r="AB72" i="28"/>
  <c r="AB35" i="28"/>
  <c r="BU73" i="28"/>
  <c r="BU65" i="28"/>
  <c r="BT36" i="28"/>
  <c r="BU63" i="28"/>
  <c r="AC87" i="28"/>
  <c r="BU51" i="28"/>
  <c r="AC91" i="28"/>
  <c r="AB68" i="28"/>
  <c r="BT68" i="28"/>
  <c r="AA15" i="28"/>
  <c r="AB85" i="28"/>
  <c r="BT59" i="28"/>
  <c r="BU116" i="28"/>
  <c r="BS87" i="28"/>
  <c r="BU122" i="28"/>
  <c r="P64" i="28"/>
  <c r="BU92" i="28"/>
  <c r="AC32" i="28"/>
  <c r="BS49" i="28"/>
  <c r="AA110" i="28"/>
  <c r="BT115" i="28"/>
  <c r="AA63" i="28"/>
  <c r="L293" i="31"/>
  <c r="AB36" i="28"/>
  <c r="BT55" i="28"/>
  <c r="D64" i="28"/>
  <c r="BT100" i="28"/>
  <c r="BT86" i="28"/>
  <c r="AC117" i="28"/>
  <c r="AB15" i="28"/>
  <c r="BU22" i="28"/>
  <c r="BU52" i="28"/>
  <c r="BU74" i="28"/>
  <c r="BU27" i="28"/>
  <c r="AA91" i="28"/>
  <c r="AC61" i="28"/>
  <c r="BU26" i="28"/>
  <c r="CO64" i="28"/>
  <c r="BT57" i="28"/>
  <c r="AA53" i="28"/>
  <c r="BS103" i="28"/>
  <c r="BS113" i="28"/>
  <c r="BS122" i="28"/>
  <c r="BU99" i="28"/>
  <c r="AC67" i="28"/>
  <c r="BT76" i="28"/>
  <c r="AB56" i="28"/>
  <c r="BS95" i="28"/>
  <c r="BT92" i="28"/>
  <c r="BT52" i="28"/>
  <c r="BT63" i="28"/>
  <c r="BT119" i="28"/>
  <c r="BA64" i="28"/>
  <c r="BT83" i="28"/>
  <c r="BS19" i="28"/>
  <c r="BS50" i="28"/>
  <c r="AB20" i="28"/>
  <c r="AB89" i="28"/>
  <c r="BS119" i="28"/>
  <c r="BS31" i="28"/>
  <c r="CD64" i="28"/>
  <c r="BS81" i="28"/>
  <c r="CE64" i="28"/>
  <c r="AB100" i="28"/>
  <c r="AC20" i="28"/>
  <c r="BS92" i="28"/>
  <c r="AC36" i="28"/>
  <c r="AB29" i="28"/>
  <c r="BT15" i="28"/>
  <c r="AB110" i="28"/>
  <c r="AB67" i="28"/>
  <c r="BT107" i="28"/>
  <c r="BU68" i="28"/>
  <c r="AC48" i="28"/>
  <c r="AC38" i="28"/>
  <c r="AA64" i="28"/>
  <c r="AC34" i="28"/>
  <c r="N293" i="31"/>
  <c r="BT85" i="28"/>
  <c r="AB83" i="28"/>
  <c r="AA85" i="28"/>
  <c r="AA56" i="28"/>
  <c r="BU43" i="28"/>
  <c r="BS51" i="28"/>
  <c r="AB102" i="28"/>
  <c r="AA69" i="28"/>
  <c r="AB111" i="28"/>
  <c r="BU80" i="28"/>
  <c r="AA73" i="28"/>
  <c r="D292" i="31"/>
  <c r="AC42" i="28"/>
  <c r="L292" i="31"/>
  <c r="AB117" i="28"/>
  <c r="BU97" i="28"/>
  <c r="AC79" i="28"/>
  <c r="AB44" i="28"/>
  <c r="BS28" i="28"/>
  <c r="BT98" i="28"/>
  <c r="AC43" i="28"/>
  <c r="AA41" i="28"/>
  <c r="BT25" i="28"/>
  <c r="BS37" i="28"/>
  <c r="AC15" i="28"/>
  <c r="AC78" i="28"/>
  <c r="AB108" i="28"/>
  <c r="BU17" i="28"/>
  <c r="BU113" i="28"/>
  <c r="AA45" i="28"/>
  <c r="AB87" i="28"/>
  <c r="O293" i="31"/>
  <c r="BT67" i="28"/>
  <c r="BS23" i="28"/>
  <c r="P292" i="31"/>
  <c r="AB92" i="28"/>
  <c r="BS27" i="28"/>
  <c r="AB24" i="28"/>
  <c r="AB81" i="28"/>
  <c r="BT40" i="28"/>
  <c r="BS117" i="28"/>
  <c r="BU84" i="28"/>
  <c r="AB121" i="28"/>
  <c r="AC96" i="28"/>
  <c r="AC47" i="28"/>
  <c r="AB96" i="28"/>
  <c r="AC45" i="28"/>
  <c r="AA19" i="28"/>
  <c r="BS99" i="28"/>
  <c r="BU53" i="28"/>
  <c r="AA84" i="28"/>
  <c r="BS60" i="28"/>
  <c r="BT20" i="28"/>
  <c r="BS121" i="28"/>
  <c r="BU106" i="28"/>
  <c r="AA77" i="28"/>
  <c r="AA34" i="28"/>
  <c r="AC19" i="28"/>
  <c r="BT49" i="28"/>
  <c r="AA21" i="28"/>
  <c r="BU100" i="28"/>
  <c r="AC54" i="28"/>
  <c r="AB101" i="28"/>
  <c r="O294" i="31"/>
  <c r="AA26" i="28"/>
  <c r="BT69" i="28"/>
  <c r="AB60" i="28"/>
  <c r="AA59" i="28"/>
  <c r="AA113" i="28"/>
  <c r="BS20" i="28"/>
  <c r="BU107" i="28"/>
  <c r="AA122" i="28"/>
  <c r="AA22" i="28"/>
  <c r="BU64" i="28"/>
  <c r="BT51" i="28"/>
  <c r="AA61" i="28"/>
  <c r="BS44" i="28"/>
  <c r="BU120" i="28"/>
  <c r="AC81" i="28"/>
  <c r="Q64" i="28"/>
  <c r="BT93" i="28"/>
  <c r="BT78" i="28"/>
  <c r="AB95" i="28"/>
  <c r="BU70" i="28"/>
  <c r="AC33" i="28"/>
  <c r="AB78" i="28"/>
  <c r="BU35" i="28"/>
  <c r="BS26" i="28"/>
  <c r="AC118" i="28"/>
  <c r="AA79" i="28"/>
  <c r="BS32" i="28"/>
  <c r="BT21" i="28"/>
  <c r="BS69" i="28"/>
  <c r="AC40" i="28"/>
  <c r="BT27" i="28"/>
  <c r="BS88" i="28"/>
  <c r="BU103" i="28"/>
  <c r="AB71" i="28"/>
  <c r="G64" i="28"/>
  <c r="S64" i="28"/>
  <c r="BS25" i="28"/>
  <c r="BU102" i="28"/>
  <c r="AA43" i="28"/>
  <c r="AA32" i="28"/>
  <c r="BT90" i="28"/>
  <c r="AB91" i="28"/>
  <c r="BU36" i="28"/>
  <c r="F293" i="31"/>
  <c r="AC89" i="28"/>
  <c r="BU101" i="28"/>
  <c r="AB57" i="28"/>
  <c r="BS109" i="28"/>
  <c r="BS39" i="28"/>
  <c r="AC68" i="28"/>
  <c r="AW64" i="28"/>
  <c r="AA71" i="28"/>
  <c r="AC90" i="28"/>
  <c r="AC70" i="28"/>
  <c r="AC76" i="28"/>
  <c r="AC24" i="28"/>
  <c r="AB66" i="28"/>
  <c r="AB48" i="28"/>
  <c r="BS52" i="28"/>
  <c r="AB120" i="28"/>
  <c r="BU40" i="28"/>
  <c r="AC77" i="28"/>
  <c r="AC112" i="28"/>
  <c r="AA37" i="28"/>
  <c r="AA97" i="28"/>
  <c r="AA40" i="28"/>
  <c r="AC121" i="28"/>
  <c r="BT82" i="28"/>
  <c r="BT33" i="28"/>
  <c r="AA55" i="28"/>
  <c r="BI64" i="28"/>
  <c r="BS78" i="28"/>
  <c r="BS45" i="28"/>
  <c r="J292" i="31"/>
  <c r="AB22" i="28"/>
  <c r="AA117" i="28"/>
  <c r="AB69" i="28"/>
  <c r="AX64" i="28"/>
  <c r="AB106" i="28"/>
  <c r="BU105" i="28"/>
  <c r="BT44" i="28"/>
  <c r="M294" i="31"/>
  <c r="BT19" i="28"/>
  <c r="AC46" i="28"/>
  <c r="O292" i="31"/>
  <c r="AC66" i="28"/>
  <c r="AA114" i="28"/>
  <c r="BU61" i="28"/>
  <c r="AB59" i="28"/>
  <c r="G293" i="31"/>
  <c r="AC55" i="28"/>
  <c r="BT35" i="28"/>
  <c r="AA96" i="28"/>
  <c r="AC100" i="28"/>
  <c r="AC101" i="28"/>
  <c r="BT113" i="28"/>
  <c r="AB93" i="28"/>
  <c r="BS89" i="28"/>
  <c r="CP64" i="28"/>
  <c r="I292" i="31"/>
  <c r="AA121" i="28"/>
  <c r="AA48" i="28"/>
  <c r="AB99" i="28"/>
  <c r="AC18" i="28"/>
  <c r="AA93" i="28"/>
  <c r="AA67" i="28"/>
  <c r="BU15" i="28"/>
  <c r="BU44" i="28"/>
  <c r="AA74" i="28"/>
  <c r="AC120" i="28"/>
  <c r="N294" i="31"/>
  <c r="BT64" i="28"/>
  <c r="AC105" i="28"/>
  <c r="BU67" i="28"/>
  <c r="BS80" i="28"/>
  <c r="BS66" i="28"/>
  <c r="BT89" i="28"/>
  <c r="BT111" i="28"/>
  <c r="BS64" i="28"/>
  <c r="BS108" i="28"/>
  <c r="BU45" i="28"/>
  <c r="AC21" i="28"/>
  <c r="AC31" i="28"/>
  <c r="BU46" i="28"/>
  <c r="P294" i="31"/>
  <c r="AC103" i="28"/>
  <c r="AA46" i="28"/>
  <c r="BT114" i="28"/>
  <c r="BS85" i="28"/>
  <c r="AB33" i="28"/>
  <c r="BT104" i="28"/>
  <c r="BU23" i="28"/>
  <c r="CG64" i="28"/>
  <c r="BT62" i="28"/>
  <c r="BS94" i="28"/>
  <c r="BU76" i="28"/>
  <c r="AL64" i="28"/>
  <c r="AA105" i="28"/>
  <c r="BS68" i="28"/>
  <c r="AA25" i="28"/>
  <c r="BS65" i="28"/>
  <c r="H292" i="31"/>
  <c r="BS120" i="28"/>
  <c r="AA42" i="28"/>
  <c r="AA82" i="28"/>
  <c r="BU69" i="28"/>
  <c r="AA106" i="28"/>
  <c r="AB98" i="28"/>
  <c r="AB82" i="28"/>
  <c r="AC57" i="28"/>
  <c r="AB25" i="28"/>
  <c r="AB79" i="28"/>
  <c r="AB105" i="28"/>
  <c r="BU79" i="28"/>
  <c r="AB28" i="28"/>
  <c r="AA116" i="28"/>
  <c r="AA102" i="28"/>
  <c r="G292" i="31"/>
  <c r="BU39" i="28"/>
  <c r="BT71" i="28"/>
  <c r="AB77" i="28"/>
  <c r="BU24" i="28"/>
  <c r="AC97" i="28"/>
  <c r="BT60" i="28"/>
  <c r="BU21" i="28"/>
  <c r="AB112" i="28"/>
  <c r="O64" i="28"/>
  <c r="AC111" i="28"/>
  <c r="AB75" i="28"/>
  <c r="AC62" i="28"/>
  <c r="AB109" i="28"/>
  <c r="AA44" i="28"/>
  <c r="BU33" i="28"/>
  <c r="BT30" i="28"/>
  <c r="AA115" i="28"/>
  <c r="AA68" i="28"/>
  <c r="AC114" i="28"/>
  <c r="BT41" i="28"/>
  <c r="BU83" i="28"/>
  <c r="BT70" i="28"/>
  <c r="AC30" i="28"/>
  <c r="BU58" i="28"/>
  <c r="AC72" i="28"/>
  <c r="AC53" i="28"/>
  <c r="BS54" i="28"/>
  <c r="BS47" i="28"/>
  <c r="AB94" i="28"/>
  <c r="BU42" i="28"/>
  <c r="BT109" i="28"/>
  <c r="BS100" i="28"/>
  <c r="I294" i="31"/>
  <c r="AC41" i="28"/>
  <c r="BT16" i="28"/>
  <c r="AC56" i="28"/>
  <c r="BT31" i="28"/>
  <c r="AB30" i="28"/>
  <c r="BU81" i="28"/>
  <c r="BU117" i="28"/>
  <c r="AC71" i="28"/>
  <c r="AA20" i="28"/>
  <c r="AC86" i="28"/>
  <c r="BU112" i="28"/>
  <c r="BT38" i="28"/>
  <c r="BS93" i="28"/>
  <c r="AA65" i="28"/>
  <c r="H293" i="31"/>
  <c r="AB51" i="28"/>
  <c r="AB34" i="28"/>
  <c r="AB49" i="28"/>
  <c r="BS76" i="28"/>
  <c r="BT103" i="28"/>
  <c r="BS63" i="28"/>
  <c r="BS43" i="28"/>
  <c r="AC106" i="28"/>
  <c r="AB52" i="28"/>
  <c r="AK64" i="28"/>
  <c r="BK64" i="28"/>
  <c r="L294" i="31"/>
  <c r="AA47" i="28"/>
  <c r="BS116" i="28"/>
  <c r="BS30" i="28"/>
  <c r="BS15" i="28"/>
  <c r="BU47" i="28"/>
  <c r="BS97" i="28"/>
  <c r="BU62" i="28"/>
  <c r="AC92" i="28"/>
  <c r="BT102" i="28"/>
  <c r="BS57" i="28"/>
  <c r="AC85" i="28"/>
  <c r="BT29" i="28"/>
  <c r="AA60" i="28"/>
  <c r="AC110" i="28"/>
  <c r="AB23" i="28"/>
  <c r="AC64" i="28"/>
  <c r="AA99" i="28"/>
  <c r="AB39" i="28"/>
  <c r="BU32" i="28"/>
  <c r="AA66" i="28"/>
  <c r="AB115" i="28"/>
  <c r="BS104" i="28"/>
  <c r="AA112" i="28"/>
  <c r="BU94" i="28"/>
  <c r="BU18" i="28"/>
  <c r="BT91" i="28"/>
  <c r="CQ64" i="28"/>
  <c r="AB90" i="28"/>
  <c r="BU119" i="28"/>
  <c r="BU31" i="28"/>
  <c r="BS75" i="28"/>
  <c r="BT106" i="28"/>
  <c r="BS90" i="28"/>
  <c r="BU34" i="28"/>
  <c r="BT72" i="28"/>
  <c r="AA86" i="28"/>
  <c r="AA52" i="28"/>
  <c r="BU54" i="28"/>
  <c r="AB41" i="28"/>
  <c r="AB31" i="28"/>
  <c r="BS55" i="28"/>
  <c r="BT39" i="28"/>
  <c r="AA98" i="28"/>
  <c r="BU57" i="28"/>
  <c r="AA94" i="28"/>
  <c r="E294" i="31"/>
  <c r="AC119" i="28"/>
  <c r="J294" i="31"/>
  <c r="AC73" i="28"/>
  <c r="BT77" i="28"/>
  <c r="BU72" i="28"/>
  <c r="BT81" i="28"/>
  <c r="AM64" i="28"/>
  <c r="AB116" i="28"/>
  <c r="K292" i="31"/>
  <c r="AB118" i="28"/>
  <c r="BS82" i="28"/>
  <c r="G294" i="31"/>
  <c r="BS17" i="28"/>
  <c r="AB107" i="28"/>
  <c r="BT95" i="28"/>
  <c r="AA89" i="28"/>
  <c r="BS115" i="28"/>
  <c r="AA104" i="28"/>
  <c r="AA51" i="28"/>
  <c r="BT73" i="28"/>
  <c r="I293" i="31"/>
  <c r="BU89" i="28"/>
  <c r="BT22" i="28"/>
  <c r="AB62" i="28"/>
  <c r="BS35" i="28"/>
  <c r="AB84" i="28"/>
  <c r="AA111" i="28"/>
  <c r="AC83" i="28"/>
  <c r="BS62" i="28"/>
  <c r="BT24" i="28"/>
  <c r="AC16" i="28"/>
  <c r="AB21" i="28"/>
  <c r="BU109" i="28"/>
  <c r="AC51" i="28"/>
  <c r="AA27" i="28"/>
  <c r="AB53" i="28"/>
  <c r="BS40" i="28"/>
  <c r="BS112" i="28"/>
  <c r="AB27" i="28"/>
  <c r="H294" i="31"/>
  <c r="BS18" i="28"/>
  <c r="AA36" i="28"/>
  <c r="AC84" i="28"/>
  <c r="AB119" i="28"/>
  <c r="BT110" i="28"/>
  <c r="AC63" i="28"/>
  <c r="BS110" i="28"/>
  <c r="BS73" i="28"/>
  <c r="BU28" i="28"/>
  <c r="AC39" i="28"/>
  <c r="BU88" i="28"/>
  <c r="BT61" i="28"/>
  <c r="AC104" i="28"/>
  <c r="AC80" i="28"/>
  <c r="F292" i="31"/>
  <c r="AC35" i="28"/>
  <c r="BU16" i="28"/>
  <c r="AA38" i="28"/>
  <c r="AA120" i="28"/>
  <c r="AA78" i="28"/>
  <c r="BU71" i="28"/>
  <c r="AC37" i="28"/>
  <c r="D294" i="31"/>
  <c r="AA95" i="28"/>
  <c r="AC109" i="28"/>
  <c r="C64" i="28"/>
  <c r="AA58" i="28"/>
  <c r="BT53" i="28"/>
  <c r="F291" i="31" l="1"/>
  <c r="F290" i="31" s="1"/>
  <c r="F332" i="31" s="1"/>
  <c r="K291" i="31"/>
  <c r="K290" i="31" s="1"/>
  <c r="K332" i="31" s="1"/>
  <c r="AA9" i="28"/>
  <c r="I6" i="3" s="1"/>
  <c r="BS8" i="28"/>
  <c r="H10" i="3" s="1"/>
  <c r="G291" i="31"/>
  <c r="G290" i="31" s="1"/>
  <c r="G332" i="31" s="1"/>
  <c r="H291" i="31"/>
  <c r="H290" i="31" s="1"/>
  <c r="H332" i="31" s="1"/>
  <c r="BS9" i="28"/>
  <c r="I10" i="3" s="1"/>
  <c r="BU8" i="28"/>
  <c r="I291" i="31"/>
  <c r="I290" i="31" s="1"/>
  <c r="I332" i="31" s="1"/>
  <c r="AC9" i="28"/>
  <c r="O291" i="31"/>
  <c r="O290" i="31" s="1"/>
  <c r="O332" i="31" s="1"/>
  <c r="J291" i="31"/>
  <c r="J290" i="31" s="1"/>
  <c r="J332" i="31" s="1"/>
  <c r="P291" i="31"/>
  <c r="P290" i="31" s="1"/>
  <c r="P332" i="31" s="1"/>
  <c r="AC8" i="28"/>
  <c r="L291" i="31"/>
  <c r="L290" i="31" s="1"/>
  <c r="L332" i="31" s="1"/>
  <c r="D291" i="31"/>
  <c r="D290" i="31" s="1"/>
  <c r="D332" i="31" s="1"/>
  <c r="BT8" i="28"/>
  <c r="AB8" i="28"/>
  <c r="AA8" i="28"/>
  <c r="H6" i="3" s="1"/>
  <c r="M291" i="31"/>
  <c r="M290" i="31" s="1"/>
  <c r="M332" i="31" s="1"/>
  <c r="BU9" i="28"/>
  <c r="N291" i="31"/>
  <c r="N290" i="31" s="1"/>
  <c r="N332" i="31" s="1"/>
  <c r="E291" i="31"/>
  <c r="E290" i="31" s="1"/>
  <c r="E332" i="31" s="1"/>
  <c r="AF38" i="31"/>
  <c r="AF37" i="31" s="1"/>
  <c r="AE38" i="31"/>
  <c r="AE37" i="31" s="1"/>
  <c r="AH38" i="31"/>
  <c r="AH37" i="31" s="1"/>
  <c r="Z38" i="31"/>
  <c r="AB38" i="31"/>
  <c r="AB37" i="31" s="1"/>
  <c r="BT9" i="28"/>
  <c r="AB9" i="28"/>
  <c r="BU10" i="28" l="1"/>
  <c r="AC10" i="28"/>
  <c r="BT10" i="28"/>
  <c r="G10" i="3" s="1"/>
  <c r="AB10" i="28"/>
  <c r="G6" i="3" s="1"/>
  <c r="L6" i="3" s="1"/>
  <c r="AA10" i="28"/>
  <c r="BS10" i="28"/>
  <c r="Z37" i="31"/>
  <c r="P159" i="31"/>
  <c r="P141" i="31"/>
  <c r="P139" i="31"/>
  <c r="P74" i="31"/>
  <c r="P72" i="31"/>
  <c r="P70" i="31"/>
  <c r="P64" i="31"/>
  <c r="A6" i="30" a="1"/>
  <c r="A6" i="30" s="1"/>
  <c r="G6" i="30" a="1"/>
  <c r="G6" i="30" s="1"/>
  <c r="P27" i="31"/>
  <c r="K20" i="31"/>
  <c r="F16" i="31"/>
  <c r="O18" i="31"/>
  <c r="F18" i="31"/>
  <c r="P18" i="31"/>
  <c r="P20" i="31"/>
  <c r="P9" i="31"/>
  <c r="P19" i="31"/>
  <c r="G16" i="31"/>
  <c r="M19" i="31"/>
  <c r="K16" i="31"/>
  <c r="P11" i="31"/>
  <c r="G18" i="31"/>
  <c r="M18" i="31"/>
  <c r="O8" i="31"/>
  <c r="O19" i="31"/>
  <c r="J16" i="31"/>
  <c r="E19" i="31"/>
  <c r="K19" i="31"/>
  <c r="N20" i="31"/>
  <c r="I20" i="31"/>
  <c r="O16" i="31"/>
  <c r="G20" i="31"/>
  <c r="I8" i="31"/>
  <c r="L20" i="31"/>
  <c r="E8" i="31"/>
  <c r="P7" i="31"/>
  <c r="H16" i="31"/>
  <c r="K8" i="31"/>
  <c r="H8" i="31"/>
  <c r="P25" i="31"/>
  <c r="N16" i="31"/>
  <c r="D20" i="31"/>
  <c r="M20" i="31"/>
  <c r="G8" i="31"/>
  <c r="E16" i="31"/>
  <c r="M16" i="31"/>
  <c r="P14" i="31"/>
  <c r="E18" i="31"/>
  <c r="L8" i="31"/>
  <c r="J19" i="31"/>
  <c r="K18" i="31"/>
  <c r="H18" i="31"/>
  <c r="P17" i="31"/>
  <c r="P5" i="31"/>
  <c r="I18" i="31"/>
  <c r="P12" i="31"/>
  <c r="N8" i="31"/>
  <c r="P28" i="31"/>
  <c r="P23" i="31"/>
  <c r="N19" i="31"/>
  <c r="L19" i="31"/>
  <c r="D16" i="31"/>
  <c r="P15" i="31"/>
  <c r="P16" i="31"/>
  <c r="P13" i="31"/>
  <c r="BJ47" i="28"/>
  <c r="H19" i="31"/>
  <c r="F8" i="31"/>
  <c r="J20" i="31"/>
  <c r="L18" i="31"/>
  <c r="F20" i="31"/>
  <c r="P24" i="31"/>
  <c r="N18" i="31"/>
  <c r="F19" i="31"/>
  <c r="D8" i="31"/>
  <c r="D18" i="31"/>
  <c r="E20" i="31"/>
  <c r="H20" i="31"/>
  <c r="P21" i="31"/>
  <c r="M8" i="31"/>
  <c r="I19" i="31"/>
  <c r="J18" i="31"/>
  <c r="I16" i="31"/>
  <c r="O20" i="31"/>
  <c r="D19" i="31"/>
  <c r="J8" i="31"/>
  <c r="L16" i="31"/>
  <c r="P6" i="31"/>
  <c r="P26" i="31"/>
  <c r="P8" i="31"/>
  <c r="G19" i="31"/>
  <c r="AA39" i="31" l="1"/>
  <c r="AC39" i="31"/>
  <c r="AC38" i="31" s="1"/>
  <c r="AC37" i="31" s="1"/>
  <c r="T189" i="31"/>
  <c r="AG39" i="31"/>
  <c r="AG38" i="31" s="1"/>
  <c r="AG37" i="31" s="1"/>
  <c r="T190" i="31"/>
  <c r="AD39" i="31"/>
  <c r="AD38" i="31" s="1"/>
  <c r="AD37" i="31" s="1"/>
  <c r="AG4" i="31"/>
  <c r="AD4" i="31"/>
  <c r="AC4" i="31"/>
  <c r="AA4" i="31"/>
  <c r="P154" i="31"/>
  <c r="P143" i="31"/>
  <c r="P43" i="31"/>
  <c r="P134" i="31"/>
  <c r="P185" i="31"/>
  <c r="P4" i="31"/>
  <c r="P22" i="31"/>
  <c r="P10" i="31"/>
  <c r="P32" i="31"/>
  <c r="P206" i="31"/>
  <c r="P205" i="31" s="1"/>
  <c r="P81" i="31"/>
  <c r="P163" i="31"/>
  <c r="P162" i="31" s="1"/>
  <c r="P158" i="31" s="1"/>
  <c r="P51" i="31"/>
  <c r="P94" i="31"/>
  <c r="P66" i="31"/>
  <c r="P76" i="31"/>
  <c r="P120" i="31"/>
  <c r="T16" i="31"/>
  <c r="T19" i="31"/>
  <c r="T18" i="31"/>
  <c r="T20" i="31"/>
  <c r="T8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8" i="28" s="1"/>
  <c r="BJ52" i="28"/>
  <c r="BJ51" i="28"/>
  <c r="O185" i="31"/>
  <c r="O159" i="31"/>
  <c r="O141" i="31"/>
  <c r="O139" i="31"/>
  <c r="O74" i="31"/>
  <c r="O72" i="31"/>
  <c r="O70" i="31"/>
  <c r="O64" i="31"/>
  <c r="F11" i="3"/>
  <c r="F8" i="3"/>
  <c r="F7" i="3"/>
  <c r="F5" i="3"/>
  <c r="D5" i="3"/>
  <c r="F4" i="3"/>
  <c r="T187" i="31"/>
  <c r="H6" i="30" a="1"/>
  <c r="H6" i="30" s="1"/>
  <c r="B6" i="30" a="1"/>
  <c r="B6" i="30" s="1"/>
  <c r="M3" i="30" a="1"/>
  <c r="M3" i="30" s="1"/>
  <c r="N3" i="30" s="1"/>
  <c r="R141" i="31"/>
  <c r="N141" i="31"/>
  <c r="M141" i="31"/>
  <c r="L141" i="31"/>
  <c r="K141" i="31"/>
  <c r="J141" i="31"/>
  <c r="I141" i="31"/>
  <c r="H141" i="31"/>
  <c r="G141" i="31"/>
  <c r="F141" i="31"/>
  <c r="E141" i="31"/>
  <c r="D141" i="31"/>
  <c r="R139" i="31"/>
  <c r="N139" i="31"/>
  <c r="M139" i="31"/>
  <c r="L139" i="31"/>
  <c r="K139" i="31"/>
  <c r="J139" i="31"/>
  <c r="I139" i="31"/>
  <c r="H139" i="31"/>
  <c r="G139" i="31"/>
  <c r="F139" i="31"/>
  <c r="E139" i="31"/>
  <c r="R74" i="31"/>
  <c r="N74" i="31"/>
  <c r="M74" i="31"/>
  <c r="L74" i="31"/>
  <c r="K74" i="31"/>
  <c r="J74" i="31"/>
  <c r="I74" i="31"/>
  <c r="H74" i="31"/>
  <c r="G74" i="31"/>
  <c r="F74" i="31"/>
  <c r="E74" i="31"/>
  <c r="R72" i="31"/>
  <c r="N72" i="31"/>
  <c r="M72" i="31"/>
  <c r="L72" i="31"/>
  <c r="K72" i="31"/>
  <c r="J72" i="31"/>
  <c r="I72" i="31"/>
  <c r="H72" i="31"/>
  <c r="G72" i="31"/>
  <c r="F72" i="31"/>
  <c r="E72" i="31"/>
  <c r="D72" i="31"/>
  <c r="R70" i="31"/>
  <c r="N70" i="31"/>
  <c r="M70" i="31"/>
  <c r="L70" i="31"/>
  <c r="K70" i="31"/>
  <c r="J70" i="31"/>
  <c r="I70" i="31"/>
  <c r="H70" i="31"/>
  <c r="G70" i="31"/>
  <c r="F70" i="31"/>
  <c r="E70" i="31"/>
  <c r="D70" i="31"/>
  <c r="R64" i="31"/>
  <c r="N64" i="31"/>
  <c r="M64" i="31"/>
  <c r="L64" i="31"/>
  <c r="K64" i="31"/>
  <c r="J64" i="31"/>
  <c r="I64" i="31"/>
  <c r="H64" i="31"/>
  <c r="G64" i="31"/>
  <c r="F64" i="31"/>
  <c r="E64" i="31"/>
  <c r="T222" i="31"/>
  <c r="T204" i="31"/>
  <c r="M185" i="31"/>
  <c r="T181" i="31"/>
  <c r="T180" i="31"/>
  <c r="T161" i="31"/>
  <c r="T160" i="31"/>
  <c r="R159" i="31"/>
  <c r="N159" i="31"/>
  <c r="M159" i="31"/>
  <c r="L159" i="31"/>
  <c r="K159" i="31"/>
  <c r="J159" i="31"/>
  <c r="I159" i="31"/>
  <c r="H159" i="31"/>
  <c r="G159" i="31"/>
  <c r="F159" i="31"/>
  <c r="E159" i="31"/>
  <c r="D159" i="31"/>
  <c r="D42" i="30"/>
  <c r="B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S3" i="29"/>
  <c r="R3" i="29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N8" i="28" s="1"/>
  <c r="CB18" i="28"/>
  <c r="BH18" i="28"/>
  <c r="AV18" i="28"/>
  <c r="AJ18" i="28"/>
  <c r="N18" i="28"/>
  <c r="N8" i="28" s="1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CB8" i="28" s="1"/>
  <c r="BH11" i="28"/>
  <c r="AV11" i="28"/>
  <c r="AJ11" i="28"/>
  <c r="AJ8" i="28" s="1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D2" i="28" a="1"/>
  <c r="D2" i="28" s="1"/>
  <c r="K4" i="3" s="1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Z10" i="28" s="1"/>
  <c r="AP8" i="28"/>
  <c r="AN8" i="28"/>
  <c r="T8" i="28"/>
  <c r="R8" i="28"/>
  <c r="H8" i="28"/>
  <c r="F8" i="28"/>
  <c r="E1" i="27" a="1"/>
  <c r="E1" i="27" s="1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AM8" i="12"/>
  <c r="AF8" i="12"/>
  <c r="W8" i="12"/>
  <c r="AP10" i="12"/>
  <c r="AL10" i="12"/>
  <c r="AA8" i="12"/>
  <c r="Z10" i="12"/>
  <c r="I8" i="12"/>
  <c r="H10" i="12"/>
  <c r="B8" i="12"/>
  <c r="Q203" i="31" l="1" a="1"/>
  <c r="Q203" i="31" s="1"/>
  <c r="Q202" i="31" a="1"/>
  <c r="Q202" i="31" s="1"/>
  <c r="Q197" i="31" a="1"/>
  <c r="Q197" i="31" s="1"/>
  <c r="Q201" i="31" a="1"/>
  <c r="Q201" i="31" s="1"/>
  <c r="Q196" i="31" a="1"/>
  <c r="Q196" i="31" s="1"/>
  <c r="Q200" i="31" a="1"/>
  <c r="Q200" i="31" s="1"/>
  <c r="Q195" i="31" a="1"/>
  <c r="Q195" i="31" s="1"/>
  <c r="Q194" i="31" a="1"/>
  <c r="Q194" i="31" s="1"/>
  <c r="Q199" i="31" a="1"/>
  <c r="Q199" i="31" s="1"/>
  <c r="Q193" i="31" a="1"/>
  <c r="Q193" i="31" s="1"/>
  <c r="Q192" i="31" a="1"/>
  <c r="Q192" i="31" s="1"/>
  <c r="Q198" i="31" a="1"/>
  <c r="Q198" i="31" s="1"/>
  <c r="F192" i="31" a="1"/>
  <c r="F192" i="31" s="1"/>
  <c r="AA38" i="31"/>
  <c r="AJ39" i="3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198" i="31" a="1"/>
  <c r="O198" i="31" s="1"/>
  <c r="P203" i="31" a="1"/>
  <c r="P203" i="31" s="1"/>
  <c r="P202" i="31" a="1"/>
  <c r="P202" i="31" s="1"/>
  <c r="P196" i="31" a="1"/>
  <c r="P196" i="31" s="1"/>
  <c r="P201" i="31" a="1"/>
  <c r="P201" i="31" s="1"/>
  <c r="P195" i="31" a="1"/>
  <c r="P195" i="31" s="1"/>
  <c r="P194" i="31" a="1"/>
  <c r="P194" i="31" s="1"/>
  <c r="P200" i="31" a="1"/>
  <c r="P200" i="31" s="1"/>
  <c r="P193" i="31" a="1"/>
  <c r="P193" i="31" s="1"/>
  <c r="P199" i="31" a="1"/>
  <c r="P199" i="31" s="1"/>
  <c r="P198" i="31" a="1"/>
  <c r="P198" i="31" s="1"/>
  <c r="P192" i="31" a="1"/>
  <c r="P192" i="31" s="1"/>
  <c r="P197" i="31" a="1"/>
  <c r="P197" i="31" s="1"/>
  <c r="P31" i="31"/>
  <c r="H154" i="31"/>
  <c r="L154" i="31"/>
  <c r="H163" i="31"/>
  <c r="H162" i="31" s="1"/>
  <c r="H158" i="31" s="1"/>
  <c r="D163" i="31"/>
  <c r="D162" i="31" s="1"/>
  <c r="L163" i="31"/>
  <c r="L162" i="31" s="1"/>
  <c r="L158" i="31" s="1"/>
  <c r="E154" i="31"/>
  <c r="M154" i="31"/>
  <c r="M163" i="31"/>
  <c r="M162" i="31" s="1"/>
  <c r="M158" i="31" s="1"/>
  <c r="K192" i="31" a="1"/>
  <c r="K192" i="31" s="1"/>
  <c r="G193" i="31" a="1"/>
  <c r="G193" i="31" s="1"/>
  <c r="K194" i="31" a="1"/>
  <c r="K194" i="31" s="1"/>
  <c r="G195" i="31" a="1"/>
  <c r="G195" i="31" s="1"/>
  <c r="K196" i="31" a="1"/>
  <c r="K196" i="31" s="1"/>
  <c r="G197" i="31" a="1"/>
  <c r="G197" i="31" s="1"/>
  <c r="K198" i="31" a="1"/>
  <c r="K198" i="31" s="1"/>
  <c r="G199" i="31" a="1"/>
  <c r="G199" i="31" s="1"/>
  <c r="K200" i="31" a="1"/>
  <c r="K200" i="31" s="1"/>
  <c r="G201" i="31" a="1"/>
  <c r="G201" i="31" s="1"/>
  <c r="K202" i="31" a="1"/>
  <c r="K202" i="31" s="1"/>
  <c r="G203" i="31" a="1"/>
  <c r="G203" i="31" s="1"/>
  <c r="O199" i="31" a="1"/>
  <c r="O199" i="31" s="1"/>
  <c r="D192" i="31" a="1"/>
  <c r="D192" i="31" s="1"/>
  <c r="L192" i="31" a="1"/>
  <c r="L192" i="31" s="1"/>
  <c r="H193" i="31" a="1"/>
  <c r="H193" i="31" s="1"/>
  <c r="D194" i="31" a="1"/>
  <c r="D194" i="31" s="1"/>
  <c r="L194" i="31" a="1"/>
  <c r="L194" i="31" s="1"/>
  <c r="H195" i="31" a="1"/>
  <c r="H195" i="31" s="1"/>
  <c r="D196" i="31" a="1"/>
  <c r="D196" i="31" s="1"/>
  <c r="L196" i="31" a="1"/>
  <c r="L196" i="31" s="1"/>
  <c r="H197" i="31" a="1"/>
  <c r="H197" i="31" s="1"/>
  <c r="D198" i="31" a="1"/>
  <c r="D198" i="31" s="1"/>
  <c r="L198" i="31" a="1"/>
  <c r="L198" i="31" s="1"/>
  <c r="H199" i="31" a="1"/>
  <c r="H199" i="31" s="1"/>
  <c r="D200" i="31" a="1"/>
  <c r="D200" i="31" s="1"/>
  <c r="L200" i="31" a="1"/>
  <c r="L200" i="31" s="1"/>
  <c r="H201" i="31" a="1"/>
  <c r="H201" i="31" s="1"/>
  <c r="D202" i="31" a="1"/>
  <c r="D202" i="31" s="1"/>
  <c r="L202" i="31" a="1"/>
  <c r="L202" i="31" s="1"/>
  <c r="H203" i="31" a="1"/>
  <c r="H203" i="31" s="1"/>
  <c r="O192" i="31" a="1"/>
  <c r="O192" i="31" s="1"/>
  <c r="O200" i="31" a="1"/>
  <c r="O200" i="31" s="1"/>
  <c r="E192" i="31" a="1"/>
  <c r="E192" i="31" s="1"/>
  <c r="M192" i="31" a="1"/>
  <c r="M192" i="31" s="1"/>
  <c r="I193" i="31" a="1"/>
  <c r="I193" i="31" s="1"/>
  <c r="E194" i="31" a="1"/>
  <c r="E194" i="31" s="1"/>
  <c r="M194" i="31" a="1"/>
  <c r="M194" i="31" s="1"/>
  <c r="I195" i="31" a="1"/>
  <c r="I195" i="31" s="1"/>
  <c r="E196" i="31" a="1"/>
  <c r="E196" i="31" s="1"/>
  <c r="M196" i="31" a="1"/>
  <c r="M196" i="31" s="1"/>
  <c r="I197" i="31" a="1"/>
  <c r="I197" i="31" s="1"/>
  <c r="E198" i="31" a="1"/>
  <c r="E198" i="31" s="1"/>
  <c r="M198" i="31" a="1"/>
  <c r="M198" i="31" s="1"/>
  <c r="I199" i="31" a="1"/>
  <c r="I199" i="31" s="1"/>
  <c r="E200" i="31" a="1"/>
  <c r="E200" i="31" s="1"/>
  <c r="M200" i="31" a="1"/>
  <c r="M200" i="31" s="1"/>
  <c r="I201" i="31" a="1"/>
  <c r="I201" i="31" s="1"/>
  <c r="E202" i="31" a="1"/>
  <c r="E202" i="31" s="1"/>
  <c r="M202" i="31" a="1"/>
  <c r="M202" i="31" s="1"/>
  <c r="I203" i="31" a="1"/>
  <c r="I203" i="31" s="1"/>
  <c r="O193" i="31" a="1"/>
  <c r="O193" i="31" s="1"/>
  <c r="O201" i="31" a="1"/>
  <c r="O201" i="31" s="1"/>
  <c r="N192" i="31" a="1"/>
  <c r="N192" i="31" s="1"/>
  <c r="J193" i="31" a="1"/>
  <c r="J193" i="31" s="1"/>
  <c r="F194" i="31" a="1"/>
  <c r="F194" i="31" s="1"/>
  <c r="N194" i="31" a="1"/>
  <c r="N194" i="31" s="1"/>
  <c r="J195" i="31" a="1"/>
  <c r="J195" i="31" s="1"/>
  <c r="F196" i="31" a="1"/>
  <c r="F196" i="31" s="1"/>
  <c r="N196" i="31" a="1"/>
  <c r="N196" i="31" s="1"/>
  <c r="J197" i="31" a="1"/>
  <c r="J197" i="31" s="1"/>
  <c r="F198" i="31" a="1"/>
  <c r="F198" i="31" s="1"/>
  <c r="N198" i="31" a="1"/>
  <c r="N198" i="31" s="1"/>
  <c r="J199" i="31" a="1"/>
  <c r="J199" i="31" s="1"/>
  <c r="F200" i="31" a="1"/>
  <c r="F200" i="31" s="1"/>
  <c r="N200" i="31" a="1"/>
  <c r="N200" i="31" s="1"/>
  <c r="J201" i="31" a="1"/>
  <c r="J201" i="31" s="1"/>
  <c r="F202" i="31" a="1"/>
  <c r="F202" i="31" s="1"/>
  <c r="N202" i="31" a="1"/>
  <c r="N202" i="31" s="1"/>
  <c r="J203" i="31" a="1"/>
  <c r="J203" i="31" s="1"/>
  <c r="O194" i="31" a="1"/>
  <c r="O194" i="31" s="1"/>
  <c r="O202" i="31" a="1"/>
  <c r="O202" i="31" s="1"/>
  <c r="G192" i="31" a="1"/>
  <c r="G192" i="31" s="1"/>
  <c r="K193" i="31" a="1"/>
  <c r="K193" i="31" s="1"/>
  <c r="G194" i="31" a="1"/>
  <c r="G194" i="31" s="1"/>
  <c r="K195" i="31" a="1"/>
  <c r="K195" i="31" s="1"/>
  <c r="G196" i="31" a="1"/>
  <c r="G196" i="31" s="1"/>
  <c r="K197" i="31" a="1"/>
  <c r="K197" i="31" s="1"/>
  <c r="G198" i="31" a="1"/>
  <c r="G198" i="31" s="1"/>
  <c r="K199" i="31" a="1"/>
  <c r="K199" i="31" s="1"/>
  <c r="G200" i="31" a="1"/>
  <c r="G200" i="31" s="1"/>
  <c r="K201" i="31" a="1"/>
  <c r="K201" i="31" s="1"/>
  <c r="G202" i="31" a="1"/>
  <c r="G202" i="31" s="1"/>
  <c r="K203" i="31" a="1"/>
  <c r="K203" i="31" s="1"/>
  <c r="O195" i="31" a="1"/>
  <c r="O195" i="31" s="1"/>
  <c r="O203" i="31" a="1"/>
  <c r="O203" i="31" s="1"/>
  <c r="H192" i="31" a="1"/>
  <c r="H192" i="31" s="1"/>
  <c r="D193" i="31" a="1"/>
  <c r="D193" i="31" s="1"/>
  <c r="L193" i="31" a="1"/>
  <c r="L193" i="31" s="1"/>
  <c r="H194" i="31" a="1"/>
  <c r="H194" i="31" s="1"/>
  <c r="D195" i="31" a="1"/>
  <c r="D195" i="31" s="1"/>
  <c r="L195" i="31" a="1"/>
  <c r="L195" i="31" s="1"/>
  <c r="H196" i="31" a="1"/>
  <c r="H196" i="31" s="1"/>
  <c r="D197" i="31" a="1"/>
  <c r="D197" i="31" s="1"/>
  <c r="L197" i="31" a="1"/>
  <c r="L197" i="31" s="1"/>
  <c r="H198" i="31" a="1"/>
  <c r="H198" i="31" s="1"/>
  <c r="D199" i="31" a="1"/>
  <c r="D199" i="31" s="1"/>
  <c r="L199" i="31" a="1"/>
  <c r="L199" i="31" s="1"/>
  <c r="H200" i="31" a="1"/>
  <c r="H200" i="31" s="1"/>
  <c r="D201" i="31" a="1"/>
  <c r="D201" i="31" s="1"/>
  <c r="L201" i="31" a="1"/>
  <c r="L201" i="31" s="1"/>
  <c r="H202" i="31" a="1"/>
  <c r="H202" i="31" s="1"/>
  <c r="D203" i="31" a="1"/>
  <c r="D203" i="31" s="1"/>
  <c r="L203" i="31" a="1"/>
  <c r="L203" i="31" s="1"/>
  <c r="O196" i="31" a="1"/>
  <c r="O196" i="31" s="1"/>
  <c r="I192" i="31" a="1"/>
  <c r="I192" i="31" s="1"/>
  <c r="E193" i="31" a="1"/>
  <c r="E193" i="31" s="1"/>
  <c r="M193" i="31" a="1"/>
  <c r="M193" i="31" s="1"/>
  <c r="I194" i="31" a="1"/>
  <c r="I194" i="31" s="1"/>
  <c r="E195" i="31" a="1"/>
  <c r="E195" i="31" s="1"/>
  <c r="M195" i="31" a="1"/>
  <c r="M195" i="31" s="1"/>
  <c r="I196" i="31" a="1"/>
  <c r="I196" i="31" s="1"/>
  <c r="E197" i="31" a="1"/>
  <c r="E197" i="31" s="1"/>
  <c r="M197" i="31" a="1"/>
  <c r="M197" i="31" s="1"/>
  <c r="I198" i="31" a="1"/>
  <c r="I198" i="31" s="1"/>
  <c r="E199" i="31" a="1"/>
  <c r="E199" i="31" s="1"/>
  <c r="M199" i="31" a="1"/>
  <c r="M199" i="31" s="1"/>
  <c r="I200" i="31" a="1"/>
  <c r="I200" i="31" s="1"/>
  <c r="E201" i="31" a="1"/>
  <c r="E201" i="31" s="1"/>
  <c r="M201" i="31" a="1"/>
  <c r="M201" i="31" s="1"/>
  <c r="I202" i="31" a="1"/>
  <c r="I202" i="31" s="1"/>
  <c r="E203" i="31" a="1"/>
  <c r="E203" i="31" s="1"/>
  <c r="M203" i="31" a="1"/>
  <c r="M203" i="31" s="1"/>
  <c r="O197" i="31" a="1"/>
  <c r="O197" i="31" s="1"/>
  <c r="J192" i="31" a="1"/>
  <c r="J192" i="31" s="1"/>
  <c r="F193" i="31" a="1"/>
  <c r="F193" i="31" s="1"/>
  <c r="N193" i="31" a="1"/>
  <c r="N193" i="31" s="1"/>
  <c r="J194" i="31" a="1"/>
  <c r="J194" i="31" s="1"/>
  <c r="F195" i="31" a="1"/>
  <c r="F195" i="31" s="1"/>
  <c r="N195" i="31" a="1"/>
  <c r="N195" i="31" s="1"/>
  <c r="J196" i="31" a="1"/>
  <c r="J196" i="31" s="1"/>
  <c r="F197" i="31" a="1"/>
  <c r="F197" i="31" s="1"/>
  <c r="N197" i="31" a="1"/>
  <c r="N197" i="31" s="1"/>
  <c r="J198" i="31" a="1"/>
  <c r="J198" i="31" s="1"/>
  <c r="F199" i="31" a="1"/>
  <c r="F199" i="31" s="1"/>
  <c r="N199" i="31" a="1"/>
  <c r="N199" i="31" s="1"/>
  <c r="J200" i="31" a="1"/>
  <c r="J200" i="31" s="1"/>
  <c r="F201" i="31" a="1"/>
  <c r="F201" i="31" s="1"/>
  <c r="N201" i="31" a="1"/>
  <c r="N201" i="31" s="1"/>
  <c r="J202" i="31" a="1"/>
  <c r="J202" i="31" s="1"/>
  <c r="F203" i="31" a="1"/>
  <c r="F203" i="31" s="1"/>
  <c r="N203" i="31" a="1"/>
  <c r="N203" i="31" s="1"/>
  <c r="H66" i="31"/>
  <c r="I66" i="31"/>
  <c r="J154" i="31"/>
  <c r="G154" i="31"/>
  <c r="R154" i="31"/>
  <c r="L66" i="31"/>
  <c r="O154" i="31"/>
  <c r="I154" i="31"/>
  <c r="I163" i="31"/>
  <c r="I162" i="31" s="1"/>
  <c r="I158" i="31" s="1"/>
  <c r="K134" i="31"/>
  <c r="F154" i="31"/>
  <c r="F163" i="31"/>
  <c r="F162" i="31" s="1"/>
  <c r="F158" i="31" s="1"/>
  <c r="E134" i="31"/>
  <c r="M134" i="31"/>
  <c r="O66" i="31"/>
  <c r="O163" i="31"/>
  <c r="O162" i="31" s="1"/>
  <c r="O158" i="31" s="1"/>
  <c r="I134" i="31"/>
  <c r="N154" i="31"/>
  <c r="N163" i="31"/>
  <c r="N162" i="31" s="1"/>
  <c r="N158" i="31" s="1"/>
  <c r="K143" i="31"/>
  <c r="G143" i="31"/>
  <c r="K154" i="31"/>
  <c r="G163" i="31"/>
  <c r="G162" i="31" s="1"/>
  <c r="G158" i="31" s="1"/>
  <c r="R163" i="31"/>
  <c r="R162" i="31" s="1"/>
  <c r="R158" i="31" s="1"/>
  <c r="K163" i="31"/>
  <c r="K162" i="31" s="1"/>
  <c r="K158" i="31" s="1"/>
  <c r="O76" i="31"/>
  <c r="O120" i="31"/>
  <c r="O94" i="31"/>
  <c r="O134" i="31"/>
  <c r="O32" i="31"/>
  <c r="O51" i="31"/>
  <c r="O81" i="31"/>
  <c r="O143" i="31"/>
  <c r="O206" i="31"/>
  <c r="O205" i="31" s="1"/>
  <c r="O43" i="31"/>
  <c r="N206" i="31"/>
  <c r="N205" i="31" s="1"/>
  <c r="M66" i="31"/>
  <c r="D76" i="31"/>
  <c r="L76" i="31"/>
  <c r="T104" i="31"/>
  <c r="T90" i="31"/>
  <c r="H81" i="31"/>
  <c r="T137" i="31"/>
  <c r="N134" i="31"/>
  <c r="E51" i="31"/>
  <c r="T92" i="31"/>
  <c r="T101" i="31"/>
  <c r="T111" i="31"/>
  <c r="L120" i="31"/>
  <c r="G134" i="31"/>
  <c r="T146" i="31"/>
  <c r="T214" i="31"/>
  <c r="E43" i="31"/>
  <c r="M51" i="31"/>
  <c r="I120" i="31"/>
  <c r="T148" i="31"/>
  <c r="T149" i="31"/>
  <c r="T150" i="31"/>
  <c r="T152" i="31"/>
  <c r="T153" i="31"/>
  <c r="T156" i="31"/>
  <c r="E163" i="31"/>
  <c r="E162" i="31" s="1"/>
  <c r="E158" i="31" s="1"/>
  <c r="T171" i="31"/>
  <c r="T179" i="31"/>
  <c r="T219" i="31"/>
  <c r="G120" i="31"/>
  <c r="T138" i="31"/>
  <c r="I81" i="31"/>
  <c r="R94" i="31"/>
  <c r="J206" i="31"/>
  <c r="J205" i="31" s="1"/>
  <c r="K66" i="31"/>
  <c r="H120" i="31"/>
  <c r="J143" i="31"/>
  <c r="R134" i="31"/>
  <c r="H143" i="31"/>
  <c r="T211" i="31"/>
  <c r="I43" i="31"/>
  <c r="L143" i="31"/>
  <c r="I143" i="31"/>
  <c r="F143" i="31"/>
  <c r="T144" i="31"/>
  <c r="N143" i="31"/>
  <c r="E143" i="31"/>
  <c r="T57" i="31"/>
  <c r="T84" i="31"/>
  <c r="T133" i="31"/>
  <c r="J134" i="31"/>
  <c r="T216" i="31"/>
  <c r="H76" i="31"/>
  <c r="T88" i="31"/>
  <c r="T114" i="31"/>
  <c r="I32" i="31"/>
  <c r="L51" i="31"/>
  <c r="E76" i="31"/>
  <c r="G94" i="31"/>
  <c r="T115" i="31"/>
  <c r="T116" i="31"/>
  <c r="T89" i="31"/>
  <c r="E32" i="31"/>
  <c r="M43" i="31"/>
  <c r="R76" i="31"/>
  <c r="K81" i="31"/>
  <c r="F32" i="31"/>
  <c r="H43" i="31"/>
  <c r="N43" i="31"/>
  <c r="T47" i="31"/>
  <c r="G51" i="31"/>
  <c r="J66" i="31"/>
  <c r="T68" i="31"/>
  <c r="I76" i="31"/>
  <c r="L81" i="31"/>
  <c r="K94" i="31"/>
  <c r="M94" i="31"/>
  <c r="T117" i="31"/>
  <c r="E94" i="31"/>
  <c r="M32" i="31"/>
  <c r="T46" i="31"/>
  <c r="J76" i="31"/>
  <c r="G81" i="31"/>
  <c r="M81" i="31"/>
  <c r="H94" i="31"/>
  <c r="J94" i="31"/>
  <c r="T97" i="31"/>
  <c r="L94" i="31"/>
  <c r="T131" i="31"/>
  <c r="K120" i="31"/>
  <c r="J163" i="31"/>
  <c r="J162" i="31" s="1"/>
  <c r="J158" i="31" s="1"/>
  <c r="T167" i="31"/>
  <c r="T169" i="31"/>
  <c r="T173" i="31"/>
  <c r="T175" i="31"/>
  <c r="T177" i="31"/>
  <c r="T215" i="31"/>
  <c r="T218" i="31"/>
  <c r="M76" i="31"/>
  <c r="T86" i="31"/>
  <c r="I94" i="31"/>
  <c r="M120" i="31"/>
  <c r="T129" i="31"/>
  <c r="N120" i="31"/>
  <c r="T212" i="31"/>
  <c r="I51" i="31"/>
  <c r="R81" i="31"/>
  <c r="R120" i="31"/>
  <c r="E120" i="31"/>
  <c r="L185" i="31"/>
  <c r="G185" i="31"/>
  <c r="R185" i="31"/>
  <c r="R43" i="31"/>
  <c r="H51" i="31"/>
  <c r="N51" i="31"/>
  <c r="N94" i="31"/>
  <c r="H32" i="31"/>
  <c r="N32" i="31"/>
  <c r="T36" i="31"/>
  <c r="T45" i="31"/>
  <c r="T54" i="31"/>
  <c r="K76" i="31"/>
  <c r="N81" i="31"/>
  <c r="J43" i="31"/>
  <c r="J120" i="31"/>
  <c r="T42" i="31"/>
  <c r="K43" i="31"/>
  <c r="J51" i="31"/>
  <c r="T58" i="31"/>
  <c r="F66" i="31"/>
  <c r="T82" i="31"/>
  <c r="J81" i="31"/>
  <c r="T118" i="31"/>
  <c r="J32" i="31"/>
  <c r="T41" i="31"/>
  <c r="L43" i="31"/>
  <c r="K51" i="31"/>
  <c r="G66" i="31"/>
  <c r="N66" i="31"/>
  <c r="T69" i="31"/>
  <c r="F76" i="31"/>
  <c r="F120" i="31"/>
  <c r="T125" i="31"/>
  <c r="K32" i="31"/>
  <c r="T40" i="31"/>
  <c r="F43" i="31"/>
  <c r="R66" i="31"/>
  <c r="G76" i="31"/>
  <c r="N76" i="31"/>
  <c r="L32" i="31"/>
  <c r="T39" i="31"/>
  <c r="G43" i="31"/>
  <c r="F51" i="31"/>
  <c r="E81" i="31"/>
  <c r="T80" i="31"/>
  <c r="F81" i="31"/>
  <c r="F94" i="31"/>
  <c r="E66" i="31"/>
  <c r="T96" i="31"/>
  <c r="F206" i="31"/>
  <c r="F205" i="31" s="1"/>
  <c r="R4" i="31"/>
  <c r="R10" i="31"/>
  <c r="R22" i="31"/>
  <c r="T33" i="31"/>
  <c r="D32" i="31"/>
  <c r="T34" i="31"/>
  <c r="G32" i="31"/>
  <c r="R32" i="31"/>
  <c r="T53" i="31"/>
  <c r="T63" i="31"/>
  <c r="D51" i="31"/>
  <c r="T52" i="31"/>
  <c r="T62" i="31"/>
  <c r="T35" i="31"/>
  <c r="T44" i="31"/>
  <c r="D43" i="31"/>
  <c r="T48" i="31"/>
  <c r="T59" i="31"/>
  <c r="T65" i="31"/>
  <c r="D64" i="31"/>
  <c r="T64" i="31" s="1"/>
  <c r="R51" i="31"/>
  <c r="T67" i="31"/>
  <c r="T55" i="31"/>
  <c r="T50" i="31"/>
  <c r="T61" i="31"/>
  <c r="T38" i="31"/>
  <c r="T60" i="31"/>
  <c r="T37" i="31"/>
  <c r="T49" i="31"/>
  <c r="T56" i="31"/>
  <c r="T70" i="31"/>
  <c r="T79" i="31"/>
  <c r="D94" i="31"/>
  <c r="T95" i="31"/>
  <c r="T100" i="31"/>
  <c r="T108" i="31"/>
  <c r="T102" i="31"/>
  <c r="T103" i="31"/>
  <c r="D81" i="31"/>
  <c r="T83" i="31"/>
  <c r="T110" i="31"/>
  <c r="T72" i="31"/>
  <c r="T93" i="31"/>
  <c r="T105" i="31"/>
  <c r="D66" i="31"/>
  <c r="T71" i="31"/>
  <c r="T87" i="31"/>
  <c r="T98" i="31"/>
  <c r="D74" i="31"/>
  <c r="T74" i="31" s="1"/>
  <c r="T75" i="31"/>
  <c r="T77" i="31"/>
  <c r="T99" i="31"/>
  <c r="T106" i="31"/>
  <c r="T78" i="31"/>
  <c r="T91" i="31"/>
  <c r="T73" i="31"/>
  <c r="T85" i="31"/>
  <c r="T107" i="31"/>
  <c r="T109" i="31"/>
  <c r="T127" i="31"/>
  <c r="T136" i="31"/>
  <c r="L134" i="31"/>
  <c r="R143" i="31"/>
  <c r="T130" i="31"/>
  <c r="T132" i="31"/>
  <c r="H134" i="31"/>
  <c r="T145" i="31"/>
  <c r="D143" i="31"/>
  <c r="T121" i="31"/>
  <c r="D120" i="31"/>
  <c r="T122" i="31"/>
  <c r="D134" i="31"/>
  <c r="T135" i="31"/>
  <c r="D139" i="31"/>
  <c r="T139" i="31" s="1"/>
  <c r="T140" i="31"/>
  <c r="T141" i="31"/>
  <c r="T124" i="31"/>
  <c r="T123" i="31"/>
  <c r="M143" i="31"/>
  <c r="T119" i="31"/>
  <c r="T126" i="31"/>
  <c r="F134" i="31"/>
  <c r="T147" i="31"/>
  <c r="T151" i="31"/>
  <c r="T155" i="31"/>
  <c r="D154" i="31"/>
  <c r="T164" i="31"/>
  <c r="T113" i="31"/>
  <c r="T112" i="31"/>
  <c r="T128" i="31"/>
  <c r="T142" i="31"/>
  <c r="T159" i="31"/>
  <c r="K206" i="31"/>
  <c r="K205" i="31" s="1"/>
  <c r="D206" i="31"/>
  <c r="T207" i="31"/>
  <c r="L206" i="31"/>
  <c r="L205" i="31" s="1"/>
  <c r="T210" i="31"/>
  <c r="T170" i="31"/>
  <c r="T174" i="31"/>
  <c r="T178" i="31"/>
  <c r="E206" i="31"/>
  <c r="E205" i="31" s="1"/>
  <c r="M206" i="31"/>
  <c r="M205" i="31" s="1"/>
  <c r="T221" i="31"/>
  <c r="T166" i="31"/>
  <c r="T213" i="31"/>
  <c r="T217" i="31"/>
  <c r="T165" i="31"/>
  <c r="G206" i="31"/>
  <c r="G205" i="31" s="1"/>
  <c r="R206" i="31"/>
  <c r="R205" i="31" s="1"/>
  <c r="T209" i="31"/>
  <c r="T220" i="31"/>
  <c r="H206" i="31"/>
  <c r="H205" i="31" s="1"/>
  <c r="T168" i="31"/>
  <c r="T172" i="31"/>
  <c r="T176" i="31"/>
  <c r="I206" i="31"/>
  <c r="I205" i="31" s="1"/>
  <c r="T208" i="31"/>
  <c r="F185" i="31"/>
  <c r="N185" i="31"/>
  <c r="H185" i="31"/>
  <c r="T188" i="31"/>
  <c r="I185" i="31"/>
  <c r="J185" i="31"/>
  <c r="K185" i="31"/>
  <c r="E185" i="31"/>
  <c r="J6" i="30"/>
  <c r="J10" i="30"/>
  <c r="J14" i="30"/>
  <c r="J18" i="30"/>
  <c r="J22" i="30"/>
  <c r="J28" i="30"/>
  <c r="J30" i="30"/>
  <c r="J34" i="30"/>
  <c r="J38" i="30"/>
  <c r="J40" i="30"/>
  <c r="J45" i="30"/>
  <c r="J53" i="30"/>
  <c r="J61" i="30"/>
  <c r="J69" i="30"/>
  <c r="J73" i="30"/>
  <c r="D6" i="30"/>
  <c r="D7" i="30"/>
  <c r="D9" i="30"/>
  <c r="D11" i="30"/>
  <c r="D13" i="30"/>
  <c r="D15" i="30"/>
  <c r="D17" i="30"/>
  <c r="D19" i="30"/>
  <c r="D21" i="30"/>
  <c r="D23" i="30"/>
  <c r="D25" i="30"/>
  <c r="D27" i="30"/>
  <c r="D29" i="30"/>
  <c r="D31" i="30"/>
  <c r="D33" i="30"/>
  <c r="D35" i="30"/>
  <c r="D37" i="30"/>
  <c r="D39" i="30"/>
  <c r="D41" i="30"/>
  <c r="D43" i="30"/>
  <c r="J46" i="30"/>
  <c r="J50" i="30"/>
  <c r="J54" i="30"/>
  <c r="J58" i="30"/>
  <c r="J62" i="30"/>
  <c r="J66" i="30"/>
  <c r="J70" i="30"/>
  <c r="J74" i="30"/>
  <c r="J78" i="30"/>
  <c r="J8" i="30"/>
  <c r="J12" i="30"/>
  <c r="J16" i="30"/>
  <c r="J20" i="30"/>
  <c r="J24" i="30"/>
  <c r="J26" i="30"/>
  <c r="J32" i="30"/>
  <c r="J36" i="30"/>
  <c r="J42" i="30"/>
  <c r="J49" i="30"/>
  <c r="J57" i="30"/>
  <c r="J65" i="30"/>
  <c r="J77" i="30"/>
  <c r="J7" i="30"/>
  <c r="J9" i="30"/>
  <c r="J11" i="30"/>
  <c r="J13" i="30"/>
  <c r="J15" i="30"/>
  <c r="J17" i="30"/>
  <c r="J19" i="30"/>
  <c r="J21" i="30"/>
  <c r="J23" i="30"/>
  <c r="J25" i="30"/>
  <c r="J27" i="30"/>
  <c r="J29" i="30"/>
  <c r="J31" i="30"/>
  <c r="J33" i="30"/>
  <c r="J35" i="30"/>
  <c r="J37" i="30"/>
  <c r="J39" i="30"/>
  <c r="J41" i="30"/>
  <c r="J43" i="30"/>
  <c r="J47" i="30"/>
  <c r="J51" i="30"/>
  <c r="J55" i="30"/>
  <c r="J59" i="30"/>
  <c r="J63" i="30"/>
  <c r="J67" i="30"/>
  <c r="J71" i="30"/>
  <c r="J75" i="30"/>
  <c r="J79" i="30"/>
  <c r="D8" i="30"/>
  <c r="D10" i="30"/>
  <c r="D12" i="30"/>
  <c r="D14" i="30"/>
  <c r="D16" i="30"/>
  <c r="D18" i="30"/>
  <c r="D20" i="30"/>
  <c r="D22" i="30"/>
  <c r="D24" i="30"/>
  <c r="D26" i="30"/>
  <c r="D28" i="30"/>
  <c r="D30" i="30"/>
  <c r="D32" i="30"/>
  <c r="D34" i="30"/>
  <c r="D36" i="30"/>
  <c r="D38" i="30"/>
  <c r="D40" i="30"/>
  <c r="J44" i="30"/>
  <c r="J48" i="30"/>
  <c r="J52" i="30"/>
  <c r="J56" i="30"/>
  <c r="J60" i="30"/>
  <c r="J64" i="30"/>
  <c r="J68" i="30"/>
  <c r="J72" i="30"/>
  <c r="J76" i="30"/>
  <c r="J80" i="30"/>
  <c r="W1" i="29"/>
  <c r="BP8" i="28"/>
  <c r="BP10" i="28" s="1"/>
  <c r="L8" i="28"/>
  <c r="L10" i="28" s="1"/>
  <c r="BM8" i="28"/>
  <c r="BM10" i="28" s="1"/>
  <c r="AU8" i="28"/>
  <c r="AU10" i="28" s="1"/>
  <c r="AE10" i="12"/>
  <c r="F10" i="12"/>
  <c r="AJ10" i="12"/>
  <c r="V10" i="12"/>
  <c r="K10" i="12"/>
  <c r="C8" i="12"/>
  <c r="L10" i="12"/>
  <c r="C9" i="12"/>
  <c r="AC9" i="12"/>
  <c r="AC10" i="12" s="1"/>
  <c r="N5" i="5"/>
  <c r="O5" i="5" s="1"/>
  <c r="L5" i="5"/>
  <c r="L4" i="5"/>
  <c r="K36" i="5"/>
  <c r="J36" i="5"/>
  <c r="I36" i="5"/>
  <c r="K32" i="5"/>
  <c r="J32" i="5"/>
  <c r="I32" i="5"/>
  <c r="K24" i="5"/>
  <c r="J24" i="5"/>
  <c r="I24" i="5"/>
  <c r="K20" i="5"/>
  <c r="J20" i="5"/>
  <c r="I20" i="5"/>
  <c r="K16" i="5"/>
  <c r="J16" i="5"/>
  <c r="I16" i="5"/>
  <c r="K8" i="5"/>
  <c r="J8" i="5"/>
  <c r="I8" i="5"/>
  <c r="K4" i="5"/>
  <c r="J4" i="5"/>
  <c r="I4" i="5"/>
  <c r="K37" i="5"/>
  <c r="J37" i="5"/>
  <c r="I37" i="5"/>
  <c r="K33" i="5"/>
  <c r="J33" i="5"/>
  <c r="I33" i="5"/>
  <c r="K25" i="5"/>
  <c r="J25" i="5"/>
  <c r="I25" i="5"/>
  <c r="K21" i="5"/>
  <c r="J21" i="5"/>
  <c r="I21" i="5"/>
  <c r="K17" i="5"/>
  <c r="J17" i="5"/>
  <c r="I17" i="5"/>
  <c r="K9" i="5"/>
  <c r="J9" i="5"/>
  <c r="I9" i="5"/>
  <c r="K5" i="5"/>
  <c r="J5" i="5"/>
  <c r="I5" i="5"/>
  <c r="G39" i="5"/>
  <c r="H39" i="5" s="1"/>
  <c r="G38" i="5"/>
  <c r="H38" i="5" s="1"/>
  <c r="G35" i="5"/>
  <c r="H35" i="5" s="1"/>
  <c r="G34" i="5"/>
  <c r="H34" i="5" s="1"/>
  <c r="G27" i="5"/>
  <c r="H27" i="5" s="1"/>
  <c r="G26" i="5"/>
  <c r="H26" i="5" s="1"/>
  <c r="G23" i="5"/>
  <c r="H23" i="5" s="1"/>
  <c r="G22" i="5"/>
  <c r="H22" i="5" s="1"/>
  <c r="G19" i="5"/>
  <c r="H19" i="5" s="1"/>
  <c r="G18" i="5"/>
  <c r="H18" i="5" s="1"/>
  <c r="G11" i="5"/>
  <c r="H11" i="5" s="1"/>
  <c r="G10" i="5"/>
  <c r="H10" i="5" s="1"/>
  <c r="G7" i="5"/>
  <c r="H7" i="5" s="1"/>
  <c r="G6" i="5"/>
  <c r="H6" i="5" s="1"/>
  <c r="F37" i="5"/>
  <c r="E37" i="5"/>
  <c r="D37" i="5"/>
  <c r="C37" i="5"/>
  <c r="F33" i="5"/>
  <c r="E33" i="5"/>
  <c r="D33" i="5"/>
  <c r="C33" i="5"/>
  <c r="F25" i="5"/>
  <c r="E25" i="5"/>
  <c r="D25" i="5"/>
  <c r="C25" i="5"/>
  <c r="F21" i="5"/>
  <c r="E21" i="5"/>
  <c r="D21" i="5"/>
  <c r="C21" i="5"/>
  <c r="F17" i="5"/>
  <c r="E17" i="5"/>
  <c r="D17" i="5"/>
  <c r="C17" i="5"/>
  <c r="F9" i="5"/>
  <c r="E9" i="5"/>
  <c r="D9" i="5"/>
  <c r="C9" i="5"/>
  <c r="E5" i="5"/>
  <c r="F5" i="5"/>
  <c r="D5" i="5"/>
  <c r="C5" i="5"/>
  <c r="Q191" i="31" l="1"/>
  <c r="Q184" i="31" s="1"/>
  <c r="Q183" i="31" s="1"/>
  <c r="Q182" i="31" s="1"/>
  <c r="Q223" i="31" s="1"/>
  <c r="AA37" i="31"/>
  <c r="AJ37" i="31" s="1"/>
  <c r="AJ38" i="31"/>
  <c r="P191" i="31"/>
  <c r="P184" i="31" s="1"/>
  <c r="P183" i="31" s="1"/>
  <c r="P182" i="31" s="1"/>
  <c r="G21" i="5"/>
  <c r="H21" i="5" s="1"/>
  <c r="G9" i="5"/>
  <c r="H9" i="5" s="1"/>
  <c r="P29" i="31"/>
  <c r="P3" i="31" s="1"/>
  <c r="I29" i="31"/>
  <c r="H29" i="31"/>
  <c r="O29" i="31"/>
  <c r="G29" i="31"/>
  <c r="R29" i="31"/>
  <c r="F29" i="31"/>
  <c r="N29" i="31"/>
  <c r="E29" i="31"/>
  <c r="M29" i="31"/>
  <c r="L29" i="31"/>
  <c r="K29" i="31"/>
  <c r="J29" i="31"/>
  <c r="T196" i="31"/>
  <c r="H191" i="31"/>
  <c r="H184" i="31" s="1"/>
  <c r="H183" i="31" s="1"/>
  <c r="H182" i="31" s="1"/>
  <c r="T198" i="31"/>
  <c r="N191" i="31"/>
  <c r="N184" i="31" s="1"/>
  <c r="N183" i="31" s="1"/>
  <c r="N182" i="31" s="1"/>
  <c r="T201" i="31"/>
  <c r="T203" i="31"/>
  <c r="M191" i="31"/>
  <c r="M184" i="31" s="1"/>
  <c r="M183" i="31" s="1"/>
  <c r="M182" i="31" s="1"/>
  <c r="T194" i="31"/>
  <c r="R191" i="31"/>
  <c r="R184" i="31" s="1"/>
  <c r="R183" i="31" s="1"/>
  <c r="R182" i="31" s="1"/>
  <c r="K191" i="31"/>
  <c r="K184" i="31" s="1"/>
  <c r="K183" i="31" s="1"/>
  <c r="K182" i="31" s="1"/>
  <c r="I191" i="31"/>
  <c r="I184" i="31" s="1"/>
  <c r="I183" i="31" s="1"/>
  <c r="I182" i="31" s="1"/>
  <c r="T193" i="31"/>
  <c r="D191" i="31"/>
  <c r="G191" i="31"/>
  <c r="G184" i="31" s="1"/>
  <c r="G183" i="31" s="1"/>
  <c r="G182" i="31" s="1"/>
  <c r="E191" i="31"/>
  <c r="E184" i="31" s="1"/>
  <c r="E183" i="31" s="1"/>
  <c r="E182" i="31" s="1"/>
  <c r="T200" i="31"/>
  <c r="L191" i="31"/>
  <c r="L184" i="31" s="1"/>
  <c r="L183" i="31" s="1"/>
  <c r="L182" i="31" s="1"/>
  <c r="T197" i="31"/>
  <c r="T192" i="31"/>
  <c r="T199" i="31"/>
  <c r="T195" i="31"/>
  <c r="O191" i="31"/>
  <c r="O184" i="31" s="1"/>
  <c r="O183" i="31" s="1"/>
  <c r="O182" i="31" s="1"/>
  <c r="J191" i="31"/>
  <c r="J184" i="31" s="1"/>
  <c r="J183" i="31" s="1"/>
  <c r="J182" i="31" s="1"/>
  <c r="F191" i="31"/>
  <c r="F184" i="31" s="1"/>
  <c r="F183" i="31" s="1"/>
  <c r="F182" i="31" s="1"/>
  <c r="T202" i="31"/>
  <c r="T154" i="31"/>
  <c r="I31" i="31"/>
  <c r="T163" i="31"/>
  <c r="G31" i="31"/>
  <c r="O31" i="31"/>
  <c r="T120" i="31"/>
  <c r="T43" i="31"/>
  <c r="E31" i="31"/>
  <c r="T162" i="31"/>
  <c r="T66" i="31"/>
  <c r="T76" i="31"/>
  <c r="T134" i="31"/>
  <c r="J31" i="31"/>
  <c r="F31" i="31"/>
  <c r="N31" i="31"/>
  <c r="T94" i="31"/>
  <c r="H31" i="31"/>
  <c r="R31" i="31"/>
  <c r="D31" i="31"/>
  <c r="T81" i="31"/>
  <c r="T143" i="31"/>
  <c r="K31" i="31"/>
  <c r="L31" i="31"/>
  <c r="M31" i="31"/>
  <c r="T32" i="31"/>
  <c r="T206" i="31"/>
  <c r="D205" i="31"/>
  <c r="T205" i="31" s="1"/>
  <c r="T51" i="31"/>
  <c r="D185" i="31"/>
  <c r="T186" i="31"/>
  <c r="D158" i="31"/>
  <c r="T158" i="31" s="1"/>
  <c r="E42" i="30"/>
  <c r="E40" i="30"/>
  <c r="E38" i="30"/>
  <c r="E36" i="30"/>
  <c r="E34" i="30"/>
  <c r="E32" i="30"/>
  <c r="E30" i="30"/>
  <c r="E28" i="30"/>
  <c r="E26" i="30"/>
  <c r="E24" i="30"/>
  <c r="E22" i="30"/>
  <c r="E20" i="30"/>
  <c r="E18" i="30"/>
  <c r="E16" i="30"/>
  <c r="E14" i="30"/>
  <c r="E12" i="30"/>
  <c r="E10" i="30"/>
  <c r="E8" i="30"/>
  <c r="E43" i="30"/>
  <c r="E41" i="30"/>
  <c r="E39" i="30"/>
  <c r="E37" i="30"/>
  <c r="E35" i="30"/>
  <c r="E33" i="30"/>
  <c r="E31" i="30"/>
  <c r="E29" i="30"/>
  <c r="E27" i="30"/>
  <c r="E25" i="30"/>
  <c r="E23" i="30"/>
  <c r="E21" i="30"/>
  <c r="E19" i="30"/>
  <c r="E17" i="30"/>
  <c r="E15" i="30"/>
  <c r="E13" i="30"/>
  <c r="E11" i="30"/>
  <c r="E9" i="30"/>
  <c r="E7" i="30"/>
  <c r="E6" i="30"/>
  <c r="K80" i="30"/>
  <c r="K76" i="30"/>
  <c r="K72" i="30"/>
  <c r="K68" i="30"/>
  <c r="K64" i="30"/>
  <c r="K60" i="30"/>
  <c r="K56" i="30"/>
  <c r="K52" i="30"/>
  <c r="K48" i="30"/>
  <c r="K44" i="30"/>
  <c r="K79" i="30"/>
  <c r="K75" i="30"/>
  <c r="K71" i="30"/>
  <c r="K67" i="30"/>
  <c r="K63" i="30"/>
  <c r="K59" i="30"/>
  <c r="K55" i="30"/>
  <c r="K51" i="30"/>
  <c r="K47" i="30"/>
  <c r="K43" i="30"/>
  <c r="K41" i="30"/>
  <c r="K39" i="30"/>
  <c r="K37" i="30"/>
  <c r="K35" i="30"/>
  <c r="K33" i="30"/>
  <c r="K31" i="30"/>
  <c r="K29" i="30"/>
  <c r="K27" i="30"/>
  <c r="K25" i="30"/>
  <c r="K23" i="30"/>
  <c r="K21" i="30"/>
  <c r="K19" i="30"/>
  <c r="K17" i="30"/>
  <c r="K15" i="30"/>
  <c r="K13" i="30"/>
  <c r="K11" i="30"/>
  <c r="K9" i="30"/>
  <c r="K7" i="30"/>
  <c r="K78" i="30"/>
  <c r="K74" i="30"/>
  <c r="K70" i="30"/>
  <c r="K66" i="30"/>
  <c r="K62" i="30"/>
  <c r="K58" i="30"/>
  <c r="K54" i="30"/>
  <c r="K50" i="30"/>
  <c r="K46" i="30"/>
  <c r="K73" i="30"/>
  <c r="K77" i="30"/>
  <c r="K69" i="30"/>
  <c r="K65" i="30"/>
  <c r="K61" i="30"/>
  <c r="K57" i="30"/>
  <c r="K53" i="30"/>
  <c r="K49" i="30"/>
  <c r="K45" i="30"/>
  <c r="K42" i="30"/>
  <c r="K40" i="30"/>
  <c r="K38" i="30"/>
  <c r="K36" i="30"/>
  <c r="K34" i="30"/>
  <c r="K32" i="30"/>
  <c r="K30" i="30"/>
  <c r="K28" i="30"/>
  <c r="K26" i="30"/>
  <c r="K24" i="30"/>
  <c r="K22" i="30"/>
  <c r="K20" i="30"/>
  <c r="K18" i="30"/>
  <c r="K16" i="30"/>
  <c r="K14" i="30"/>
  <c r="K12" i="30"/>
  <c r="K10" i="30"/>
  <c r="K8" i="30"/>
  <c r="K6" i="30"/>
  <c r="G17" i="5"/>
  <c r="H17" i="5" s="1"/>
  <c r="G25" i="5"/>
  <c r="H25" i="5" s="1"/>
  <c r="G37" i="5"/>
  <c r="H37" i="5" s="1"/>
  <c r="G33" i="5"/>
  <c r="H33" i="5" s="1"/>
  <c r="G5" i="5"/>
  <c r="H5" i="5" s="1"/>
  <c r="AO10" i="12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Y12" i="5"/>
  <c r="W12" i="5"/>
  <c r="X12" i="5"/>
  <c r="U12" i="5"/>
  <c r="V12" i="5"/>
  <c r="T12" i="5"/>
  <c r="S12" i="5"/>
  <c r="Y11" i="5"/>
  <c r="W11" i="5"/>
  <c r="X11" i="5"/>
  <c r="U11" i="5"/>
  <c r="V11" i="5"/>
  <c r="T11" i="5"/>
  <c r="S11" i="5"/>
  <c r="Y9" i="5"/>
  <c r="W9" i="5"/>
  <c r="X9" i="5"/>
  <c r="U9" i="5"/>
  <c r="V9" i="5"/>
  <c r="T9" i="5"/>
  <c r="S9" i="5"/>
  <c r="Y8" i="5"/>
  <c r="W8" i="5"/>
  <c r="X8" i="5"/>
  <c r="U8" i="5"/>
  <c r="V8" i="5"/>
  <c r="T8" i="5"/>
  <c r="S8" i="5"/>
  <c r="Y7" i="5"/>
  <c r="W7" i="5"/>
  <c r="X7" i="5"/>
  <c r="U7" i="5"/>
  <c r="V7" i="5"/>
  <c r="T7" i="5"/>
  <c r="S7" i="5"/>
  <c r="Y5" i="5"/>
  <c r="W5" i="5"/>
  <c r="X5" i="5"/>
  <c r="U5" i="5"/>
  <c r="V5" i="5"/>
  <c r="T5" i="5"/>
  <c r="S5" i="5"/>
  <c r="G28" i="5" s="1"/>
  <c r="H28" i="5" s="1"/>
  <c r="Y4" i="5"/>
  <c r="W4" i="5"/>
  <c r="X4" i="5"/>
  <c r="U4" i="5"/>
  <c r="V4" i="5"/>
  <c r="T4" i="5"/>
  <c r="S4" i="5"/>
  <c r="R3" i="31" l="1"/>
  <c r="R2" i="31" s="1"/>
  <c r="R223" i="31" s="1"/>
  <c r="P2" i="31"/>
  <c r="P223" i="31" s="1"/>
  <c r="D29" i="31"/>
  <c r="T30" i="31"/>
  <c r="T191" i="31"/>
  <c r="T31" i="31"/>
  <c r="T157" i="31"/>
  <c r="T185" i="31"/>
  <c r="D184" i="31"/>
  <c r="F36" i="5"/>
  <c r="D36" i="5"/>
  <c r="C36" i="5"/>
  <c r="F32" i="5"/>
  <c r="C32" i="5"/>
  <c r="F24" i="5"/>
  <c r="D24" i="5"/>
  <c r="F20" i="5"/>
  <c r="C20" i="5"/>
  <c r="F16" i="5"/>
  <c r="C16" i="5"/>
  <c r="F8" i="5"/>
  <c r="C4" i="5"/>
  <c r="AE4" i="31" l="1"/>
  <c r="AJ8" i="31"/>
  <c r="T29" i="31"/>
  <c r="T184" i="31"/>
  <c r="D183" i="31"/>
  <c r="D16" i="5"/>
  <c r="Z5" i="5"/>
  <c r="E20" i="5"/>
  <c r="E4" i="5"/>
  <c r="Y13" i="5"/>
  <c r="D20" i="5"/>
  <c r="E24" i="5"/>
  <c r="Z12" i="5"/>
  <c r="Z11" i="5"/>
  <c r="D8" i="5"/>
  <c r="E16" i="5"/>
  <c r="D4" i="5"/>
  <c r="E8" i="5"/>
  <c r="U13" i="5"/>
  <c r="X13" i="5"/>
  <c r="Z9" i="5"/>
  <c r="D32" i="5"/>
  <c r="E36" i="5"/>
  <c r="G36" i="5" s="1"/>
  <c r="H36" i="5" s="1"/>
  <c r="C24" i="5"/>
  <c r="W13" i="5"/>
  <c r="E32" i="5"/>
  <c r="F4" i="5"/>
  <c r="C8" i="5"/>
  <c r="Z4" i="5"/>
  <c r="Z7" i="5"/>
  <c r="Z8" i="5"/>
  <c r="S13" i="5"/>
  <c r="T13" i="5"/>
  <c r="V13" i="5"/>
  <c r="G24" i="5" l="1"/>
  <c r="H24" i="5" s="1"/>
  <c r="CN10" i="28"/>
  <c r="CN9" i="28" s="1"/>
  <c r="AM10" i="12"/>
  <c r="AM9" i="12" s="1"/>
  <c r="D182" i="31"/>
  <c r="T183" i="31"/>
  <c r="G32" i="5"/>
  <c r="H32" i="5" s="1"/>
  <c r="G20" i="5"/>
  <c r="H20" i="5" s="1"/>
  <c r="G8" i="5"/>
  <c r="H8" i="5" s="1"/>
  <c r="G16" i="5"/>
  <c r="H16" i="5" s="1"/>
  <c r="G4" i="5"/>
  <c r="H4" i="5" s="1"/>
  <c r="Z13" i="5"/>
  <c r="P10" i="12" l="1"/>
  <c r="P9" i="12" s="1"/>
  <c r="AJ10" i="28"/>
  <c r="AJ9" i="28" s="1"/>
  <c r="AV10" i="28"/>
  <c r="AV9" i="28" s="1"/>
  <c r="W10" i="12"/>
  <c r="W9" i="12" s="1"/>
  <c r="BH10" i="28"/>
  <c r="BH9" i="28" s="1"/>
  <c r="AA10" i="12"/>
  <c r="AA9" i="12" s="1"/>
  <c r="CB10" i="28"/>
  <c r="CB9" i="28" s="1"/>
  <c r="AF10" i="12"/>
  <c r="AF9" i="12" s="1"/>
  <c r="B10" i="28"/>
  <c r="B9" i="28" s="1"/>
  <c r="B10" i="12"/>
  <c r="B9" i="12" s="1"/>
  <c r="I10" i="12"/>
  <c r="I9" i="12" s="1"/>
  <c r="N10" i="28"/>
  <c r="N9" i="28" s="1"/>
  <c r="T182" i="31"/>
  <c r="Z32" i="31" l="1"/>
  <c r="Z42" i="31"/>
  <c r="AA32" i="31"/>
  <c r="AA28" i="31" s="1"/>
  <c r="AA42" i="31"/>
  <c r="AA36" i="31" s="1"/>
  <c r="AB32" i="31"/>
  <c r="AB28" i="31" s="1"/>
  <c r="AB42" i="31"/>
  <c r="AB36" i="31" s="1"/>
  <c r="Z36" i="31" l="1"/>
  <c r="Z28" i="31"/>
  <c r="AB45" i="31"/>
  <c r="AB9" i="31"/>
  <c r="AA9" i="31"/>
  <c r="AA45" i="31"/>
  <c r="AC32" i="31"/>
  <c r="AC28" i="31" s="1"/>
  <c r="AC42" i="31"/>
  <c r="AC36" i="31" s="1"/>
  <c r="AD32" i="31"/>
  <c r="AD28" i="31" s="1"/>
  <c r="AD42" i="31"/>
  <c r="AD36" i="31" s="1"/>
  <c r="Z45" i="31" l="1"/>
  <c r="AD45" i="31"/>
  <c r="AC9" i="31"/>
  <c r="AD9" i="31"/>
  <c r="AC45" i="31"/>
  <c r="AE42" i="31"/>
  <c r="AE36" i="31" s="1"/>
  <c r="AE32" i="31"/>
  <c r="AE28" i="31" s="1"/>
  <c r="AF32" i="31"/>
  <c r="AF28" i="31" s="1"/>
  <c r="AF42" i="31"/>
  <c r="AF36" i="31" s="1"/>
  <c r="AG32" i="31"/>
  <c r="AG28" i="31" s="1"/>
  <c r="AG42" i="31"/>
  <c r="AG36" i="31" s="1"/>
  <c r="AH32" i="31"/>
  <c r="AH28" i="31" s="1"/>
  <c r="AH42" i="31"/>
  <c r="AH36" i="31" s="1"/>
  <c r="AJ36" i="31" l="1"/>
  <c r="AJ28" i="31"/>
  <c r="AJ42" i="31"/>
  <c r="AJ32" i="31"/>
  <c r="AE45" i="31"/>
  <c r="AH9" i="31"/>
  <c r="AE9" i="31"/>
  <c r="AH45" i="31"/>
  <c r="AG45" i="31"/>
  <c r="AG9" i="31"/>
  <c r="AF9" i="31"/>
  <c r="AF45" i="31"/>
  <c r="AJ45" i="31" l="1"/>
  <c r="Z4" i="31"/>
  <c r="AJ4" i="31" s="1"/>
  <c r="Z9" i="31" l="1"/>
  <c r="AJ9" i="31" s="1"/>
  <c r="CG47" i="28" l="1"/>
  <c r="S33" i="28"/>
  <c r="G112" i="28"/>
  <c r="AL59" i="28"/>
  <c r="G17" i="31"/>
  <c r="CG75" i="28"/>
  <c r="J28" i="31"/>
  <c r="AW87" i="28"/>
  <c r="S58" i="28"/>
  <c r="G51" i="28"/>
  <c r="Q93" i="28"/>
  <c r="BK116" i="28"/>
  <c r="AO76" i="28"/>
  <c r="CS102" i="28"/>
  <c r="CO97" i="28"/>
  <c r="AL74" i="28"/>
  <c r="AY31" i="28"/>
  <c r="BJ122" i="28"/>
  <c r="CG90" i="28"/>
  <c r="BI98" i="28"/>
  <c r="AX87" i="28"/>
  <c r="CE29" i="28"/>
  <c r="CG62" i="28"/>
  <c r="AM92" i="28"/>
  <c r="C62" i="28"/>
  <c r="G117" i="28"/>
  <c r="BI76" i="28"/>
  <c r="BK88" i="28"/>
  <c r="D14" i="31"/>
  <c r="Q58" i="28"/>
  <c r="CD114" i="28"/>
  <c r="BK67" i="28"/>
  <c r="E95" i="28"/>
  <c r="AM46" i="28"/>
  <c r="CC115" i="28"/>
  <c r="H17" i="31"/>
  <c r="P26" i="28"/>
  <c r="CE61" i="28"/>
  <c r="G28" i="28"/>
  <c r="AL57" i="28"/>
  <c r="CS70" i="28"/>
  <c r="BK94" i="28"/>
  <c r="CQ38" i="28"/>
  <c r="BJ107" i="28"/>
  <c r="H12" i="31"/>
  <c r="CC108" i="28"/>
  <c r="CD19" i="28"/>
  <c r="E38" i="28"/>
  <c r="F23" i="31"/>
  <c r="CC16" i="28"/>
  <c r="P68" i="28"/>
  <c r="AK69" i="28"/>
  <c r="AK97" i="28"/>
  <c r="D36" i="28"/>
  <c r="AO48" i="28"/>
  <c r="CO99" i="28"/>
  <c r="CO29" i="28"/>
  <c r="CG117" i="28"/>
  <c r="L27" i="31"/>
  <c r="AL23" i="28"/>
  <c r="O62" i="28"/>
  <c r="S91" i="28"/>
  <c r="D6" i="31"/>
  <c r="M6" i="31"/>
  <c r="E22" i="28"/>
  <c r="O86" i="28"/>
  <c r="I5" i="31"/>
  <c r="CP75" i="28"/>
  <c r="S88" i="28"/>
  <c r="BJ115" i="28"/>
  <c r="CE102" i="28"/>
  <c r="CQ67" i="28"/>
  <c r="P74" i="28"/>
  <c r="G26" i="31"/>
  <c r="AX96" i="28"/>
  <c r="BA25" i="28"/>
  <c r="CO44" i="28"/>
  <c r="BA56" i="28"/>
  <c r="CQ25" i="28"/>
  <c r="AX99" i="28"/>
  <c r="CE100" i="28"/>
  <c r="CO100" i="28"/>
  <c r="D61" i="28"/>
  <c r="CC91" i="28"/>
  <c r="AY43" i="28"/>
  <c r="CQ87" i="28"/>
  <c r="AY46" i="28"/>
  <c r="AY89" i="28"/>
  <c r="AY79" i="28"/>
  <c r="G61" i="28"/>
  <c r="AO42" i="28"/>
  <c r="AO24" i="28"/>
  <c r="CD83" i="28"/>
  <c r="AL47" i="28"/>
  <c r="CQ72" i="28"/>
  <c r="CQ50" i="28"/>
  <c r="I9" i="31"/>
  <c r="E107" i="28"/>
  <c r="CS16" i="28"/>
  <c r="E51" i="28"/>
  <c r="BI51" i="28"/>
  <c r="AL114" i="28"/>
  <c r="AX54" i="28"/>
  <c r="CQ115" i="28"/>
  <c r="O7" i="31"/>
  <c r="N27" i="31"/>
  <c r="CD111" i="28"/>
  <c r="G70" i="28"/>
  <c r="H15" i="31"/>
  <c r="CD107" i="28"/>
  <c r="CP40" i="28"/>
  <c r="CP55" i="28"/>
  <c r="CS99" i="28"/>
  <c r="BK61" i="28"/>
  <c r="AO101" i="28"/>
  <c r="S78" i="28"/>
  <c r="K7" i="31"/>
  <c r="S84" i="28"/>
  <c r="H21" i="31"/>
  <c r="G25" i="31"/>
  <c r="AK67" i="28"/>
  <c r="BI72" i="28"/>
  <c r="AL115" i="28"/>
  <c r="CD22" i="28"/>
  <c r="CG35" i="28"/>
  <c r="AM88" i="28"/>
  <c r="AX113" i="28"/>
  <c r="AK58" i="28"/>
  <c r="G5" i="31"/>
  <c r="AY116" i="28"/>
  <c r="CO61" i="28"/>
  <c r="M26" i="31"/>
  <c r="E122" i="28"/>
  <c r="BA98" i="28"/>
  <c r="C57" i="28"/>
  <c r="G27" i="28"/>
  <c r="D47" i="28"/>
  <c r="BJ66" i="28"/>
  <c r="CP38" i="28"/>
  <c r="CS84" i="28"/>
  <c r="CE28" i="28"/>
  <c r="S32" i="28"/>
  <c r="AW21" i="28"/>
  <c r="AO114" i="28"/>
  <c r="O105" i="28"/>
  <c r="CP32" i="28"/>
  <c r="BA22" i="28"/>
  <c r="F13" i="31"/>
  <c r="S106" i="28"/>
  <c r="G24" i="31"/>
  <c r="Q37" i="28"/>
  <c r="BJ118" i="28"/>
  <c r="AW96" i="28"/>
  <c r="D70" i="28"/>
  <c r="CE22" i="28"/>
  <c r="CC17" i="28"/>
  <c r="P96" i="28"/>
  <c r="CC102" i="28"/>
  <c r="AL70" i="28"/>
  <c r="BK33" i="28"/>
  <c r="E30" i="28"/>
  <c r="CE57" i="28"/>
  <c r="Q38" i="28"/>
  <c r="AW35" i="28"/>
  <c r="AX48" i="28"/>
  <c r="BI114" i="28"/>
  <c r="CP78" i="28"/>
  <c r="CO31" i="28"/>
  <c r="D93" i="28"/>
  <c r="AY35" i="28"/>
  <c r="D38" i="28"/>
  <c r="C77" i="28"/>
  <c r="E15" i="28"/>
  <c r="J15" i="31"/>
  <c r="S15" i="28"/>
  <c r="E12" i="31"/>
  <c r="AK65" i="28"/>
  <c r="CQ77" i="28"/>
  <c r="Q22" i="28"/>
  <c r="AW116" i="28"/>
  <c r="BA116" i="28"/>
  <c r="BK73" i="28"/>
  <c r="AW112" i="28"/>
  <c r="AK44" i="28"/>
  <c r="P94" i="28"/>
  <c r="AX62" i="28"/>
  <c r="S19" i="28"/>
  <c r="BK69" i="28"/>
  <c r="AX97" i="28"/>
  <c r="AL110" i="28"/>
  <c r="Q63" i="28"/>
  <c r="CQ19" i="28"/>
  <c r="E115" i="28"/>
  <c r="AO27" i="28"/>
  <c r="E118" i="28"/>
  <c r="AY69" i="28"/>
  <c r="AW59" i="28"/>
  <c r="CD33" i="28"/>
  <c r="CG93" i="28"/>
  <c r="AM108" i="28"/>
  <c r="S48" i="28"/>
  <c r="BI15" i="28"/>
  <c r="CD46" i="28"/>
  <c r="CO122" i="28"/>
  <c r="BK62" i="28"/>
  <c r="Q109" i="28"/>
  <c r="CP45" i="28"/>
  <c r="CC92" i="28"/>
  <c r="CD76" i="28"/>
  <c r="C69" i="28"/>
  <c r="AL97" i="28"/>
  <c r="BJ69" i="28"/>
  <c r="CS96" i="28"/>
  <c r="CD34" i="28"/>
  <c r="CP35" i="28"/>
  <c r="O68" i="28"/>
  <c r="BJ71" i="28"/>
  <c r="BA31" i="28"/>
  <c r="Q25" i="28"/>
  <c r="CC47" i="28"/>
  <c r="AX55" i="28"/>
  <c r="D28" i="28"/>
  <c r="C17" i="28"/>
  <c r="AY113" i="28"/>
  <c r="AK117" i="28"/>
  <c r="CP20" i="28"/>
  <c r="CD47" i="28"/>
  <c r="Q57" i="28"/>
  <c r="G79" i="28"/>
  <c r="AO113" i="28"/>
  <c r="D34" i="28"/>
  <c r="AX34" i="28"/>
  <c r="BI93" i="28"/>
  <c r="G96" i="28"/>
  <c r="CG88" i="28"/>
  <c r="K26" i="31"/>
  <c r="AL66" i="28"/>
  <c r="K9" i="31"/>
  <c r="AY30" i="28"/>
  <c r="D27" i="28"/>
  <c r="AX104" i="28"/>
  <c r="CQ35" i="28"/>
  <c r="E82" i="28"/>
  <c r="CC74" i="28"/>
  <c r="CQ61" i="28"/>
  <c r="F26" i="31"/>
  <c r="BA76" i="28"/>
  <c r="E39" i="28"/>
  <c r="CG55" i="28"/>
  <c r="BA47" i="28"/>
  <c r="AO32" i="28"/>
  <c r="E57" i="28"/>
  <c r="CE101" i="28"/>
  <c r="CO39" i="28"/>
  <c r="CO51" i="28"/>
  <c r="AK29" i="28"/>
  <c r="AM41" i="28"/>
  <c r="AL27" i="28"/>
  <c r="CS62" i="28"/>
  <c r="BI87" i="28"/>
  <c r="CS47" i="28"/>
  <c r="CQ60" i="28"/>
  <c r="AM103" i="28"/>
  <c r="S87" i="28"/>
  <c r="S71" i="28"/>
  <c r="CC120" i="28"/>
  <c r="S35" i="28"/>
  <c r="Q34" i="28"/>
  <c r="AK24" i="28"/>
  <c r="G57" i="28"/>
  <c r="AW95" i="28"/>
  <c r="AO68" i="28"/>
  <c r="AM82" i="28"/>
  <c r="AY65" i="28"/>
  <c r="CO105" i="28"/>
  <c r="O15" i="28"/>
  <c r="BA96" i="28"/>
  <c r="CG122" i="28"/>
  <c r="BK74" i="28"/>
  <c r="D111" i="28"/>
  <c r="AK112" i="28"/>
  <c r="CP105" i="28"/>
  <c r="I7" i="31"/>
  <c r="G15" i="31"/>
  <c r="C103" i="28"/>
  <c r="CC90" i="28"/>
  <c r="BA83" i="28"/>
  <c r="CD97" i="28"/>
  <c r="AL26" i="28"/>
  <c r="BK92" i="28"/>
  <c r="S26" i="28"/>
  <c r="AM42" i="28"/>
  <c r="AO95" i="28"/>
  <c r="CE21" i="28"/>
  <c r="G24" i="28"/>
  <c r="BK32" i="28"/>
  <c r="AX77" i="28"/>
  <c r="AW119" i="28"/>
  <c r="CQ43" i="28"/>
  <c r="AK23" i="28"/>
  <c r="CP50" i="28"/>
  <c r="P72" i="28"/>
  <c r="CQ104" i="28"/>
  <c r="CO26" i="28"/>
  <c r="AO89" i="28"/>
  <c r="AM69" i="28"/>
  <c r="AY56" i="28"/>
  <c r="CQ82" i="28"/>
  <c r="BI46" i="28"/>
  <c r="C24" i="28"/>
  <c r="BI94" i="28"/>
  <c r="AX69" i="28"/>
  <c r="CG100" i="28"/>
  <c r="CS44" i="28"/>
  <c r="D69" i="28"/>
  <c r="CQ59" i="28"/>
  <c r="AX75" i="28"/>
  <c r="H25" i="31"/>
  <c r="CS71" i="28"/>
  <c r="O24" i="31"/>
  <c r="BA122" i="28"/>
  <c r="BA19" i="28"/>
  <c r="CC44" i="28"/>
  <c r="CG120" i="28"/>
  <c r="CO119" i="28"/>
  <c r="AW105" i="28"/>
  <c r="C18" i="28"/>
  <c r="BK113" i="28"/>
  <c r="CS87" i="28"/>
  <c r="AM100" i="28"/>
  <c r="O100" i="28"/>
  <c r="AK25" i="28"/>
  <c r="AW69" i="28"/>
  <c r="AY33" i="28"/>
  <c r="AK37" i="28"/>
  <c r="J12" i="31"/>
  <c r="CE104" i="28"/>
  <c r="CE83" i="28"/>
  <c r="BK37" i="28"/>
  <c r="AW97" i="28"/>
  <c r="CD84" i="28"/>
  <c r="G30" i="28"/>
  <c r="AW74" i="28"/>
  <c r="Q43" i="28"/>
  <c r="D13" i="31"/>
  <c r="CE50" i="28"/>
  <c r="AK73" i="28"/>
  <c r="C63" i="28"/>
  <c r="P38" i="28"/>
  <c r="AO26" i="28"/>
  <c r="AX68" i="28"/>
  <c r="E15" i="31"/>
  <c r="C115" i="28"/>
  <c r="AO82" i="28"/>
  <c r="AW81" i="28"/>
  <c r="Q35" i="28"/>
  <c r="CE75" i="28"/>
  <c r="CC40" i="28"/>
  <c r="AO19" i="28"/>
  <c r="CE37" i="28"/>
  <c r="AX63" i="28"/>
  <c r="CS51" i="28"/>
  <c r="Q18" i="28"/>
  <c r="E71" i="28"/>
  <c r="O17" i="28"/>
  <c r="D42" i="28"/>
  <c r="AL96" i="28"/>
  <c r="CG30" i="28"/>
  <c r="CS57" i="28"/>
  <c r="CO30" i="28"/>
  <c r="AX27" i="28"/>
  <c r="P48" i="28"/>
  <c r="G20" i="28"/>
  <c r="BI60" i="28"/>
  <c r="G49" i="28"/>
  <c r="CD42" i="28"/>
  <c r="CC58" i="28"/>
  <c r="O23" i="31"/>
  <c r="AX26" i="28"/>
  <c r="CG45" i="28"/>
  <c r="CD95" i="28"/>
  <c r="D62" i="28"/>
  <c r="CG34" i="28"/>
  <c r="AM120" i="28"/>
  <c r="AL117" i="28"/>
  <c r="AX92" i="28"/>
  <c r="G106" i="28"/>
  <c r="CG73" i="28"/>
  <c r="AY70" i="28"/>
  <c r="P61" i="28"/>
  <c r="P69" i="28"/>
  <c r="CQ24" i="28"/>
  <c r="Q65" i="28"/>
  <c r="CE19" i="28"/>
  <c r="O89" i="28"/>
  <c r="CS53" i="28"/>
  <c r="CC39" i="28"/>
  <c r="CC24" i="28"/>
  <c r="AK57" i="28"/>
  <c r="CD51" i="28"/>
  <c r="CO54" i="28"/>
  <c r="K13" i="31"/>
  <c r="AK82" i="28"/>
  <c r="BI115" i="28"/>
  <c r="AK119" i="28"/>
  <c r="CG57" i="28"/>
  <c r="O31" i="28"/>
  <c r="AX29" i="28"/>
  <c r="CG77" i="28"/>
  <c r="CD48" i="28"/>
  <c r="CO81" i="28"/>
  <c r="CQ91" i="28"/>
  <c r="CD106" i="28"/>
  <c r="E103" i="28"/>
  <c r="P87" i="28"/>
  <c r="AY107" i="28"/>
  <c r="S18" i="28"/>
  <c r="CQ22" i="28"/>
  <c r="AM51" i="28"/>
  <c r="AW68" i="28"/>
  <c r="O104" i="28"/>
  <c r="AO73" i="28"/>
  <c r="CC118" i="28"/>
  <c r="CP59" i="28"/>
  <c r="E83" i="28"/>
  <c r="AY71" i="28"/>
  <c r="CD93" i="28"/>
  <c r="CO35" i="28"/>
  <c r="BA44" i="28"/>
  <c r="CE40" i="28"/>
  <c r="CO66" i="28"/>
  <c r="CE26" i="28"/>
  <c r="CC67" i="28"/>
  <c r="AY120" i="28"/>
  <c r="S31" i="28"/>
  <c r="O37" i="28"/>
  <c r="F24" i="31"/>
  <c r="BI99" i="28"/>
  <c r="CC88" i="28"/>
  <c r="C34" i="28"/>
  <c r="AL101" i="28"/>
  <c r="BA43" i="28"/>
  <c r="P120" i="28"/>
  <c r="O33" i="28"/>
  <c r="K21" i="31"/>
  <c r="AO90" i="28"/>
  <c r="Q60" i="28"/>
  <c r="S61" i="28"/>
  <c r="C27" i="28"/>
  <c r="N21" i="31"/>
  <c r="BK101" i="28"/>
  <c r="CP69" i="28"/>
  <c r="P66" i="28"/>
  <c r="BA90" i="28"/>
  <c r="AO55" i="28"/>
  <c r="K6" i="31"/>
  <c r="S40" i="28"/>
  <c r="BJ81" i="28"/>
  <c r="AM105" i="28"/>
  <c r="D5" i="31"/>
  <c r="BK120" i="28"/>
  <c r="C87" i="28"/>
  <c r="G23" i="28"/>
  <c r="CQ99" i="28"/>
  <c r="S38" i="28"/>
  <c r="BA16" i="28"/>
  <c r="D75" i="28"/>
  <c r="AX59" i="28"/>
  <c r="CD18" i="28"/>
  <c r="O87" i="28"/>
  <c r="Q26" i="28"/>
  <c r="AX47" i="28"/>
  <c r="CP72" i="28"/>
  <c r="CS120" i="28"/>
  <c r="BA49" i="28"/>
  <c r="BA48" i="28"/>
  <c r="AL51" i="28"/>
  <c r="CC29" i="28"/>
  <c r="AY103" i="28"/>
  <c r="BK100" i="28"/>
  <c r="AK87" i="28"/>
  <c r="C121" i="28"/>
  <c r="AM95" i="28"/>
  <c r="CS108" i="28"/>
  <c r="G39" i="28"/>
  <c r="BK52" i="28"/>
  <c r="CQ18" i="28"/>
  <c r="AO117" i="28"/>
  <c r="CS111" i="28"/>
  <c r="CD17" i="28"/>
  <c r="C44" i="28"/>
  <c r="CD117" i="28"/>
  <c r="BA29" i="28"/>
  <c r="D44" i="28"/>
  <c r="AM111" i="28"/>
  <c r="C68" i="28"/>
  <c r="CP23" i="28"/>
  <c r="S21" i="28"/>
  <c r="CD94" i="28"/>
  <c r="CP60" i="28"/>
  <c r="CG95" i="28"/>
  <c r="AM22" i="28"/>
  <c r="AW45" i="28"/>
  <c r="AL67" i="28"/>
  <c r="CO121" i="28"/>
  <c r="AM73" i="28"/>
  <c r="AO47" i="28"/>
  <c r="AM104" i="28"/>
  <c r="E45" i="28"/>
  <c r="CD75" i="28"/>
  <c r="CG19" i="28"/>
  <c r="CO18" i="28"/>
  <c r="CE120" i="28"/>
  <c r="CG92" i="28"/>
  <c r="AY94" i="28"/>
  <c r="BA54" i="28"/>
  <c r="CC15" i="28"/>
  <c r="D117" i="28"/>
  <c r="CP31" i="28"/>
  <c r="F5" i="31"/>
  <c r="CS93" i="28"/>
  <c r="BA38" i="28"/>
  <c r="AY53" i="28"/>
  <c r="C96" i="28"/>
  <c r="CP101" i="28"/>
  <c r="AM93" i="28"/>
  <c r="CE90" i="28"/>
  <c r="G41" i="28"/>
  <c r="CO85" i="28"/>
  <c r="P101" i="28"/>
  <c r="BA24" i="28"/>
  <c r="P91" i="28"/>
  <c r="O95" i="28"/>
  <c r="AY25" i="28"/>
  <c r="CP53" i="28"/>
  <c r="E120" i="28"/>
  <c r="S27" i="28"/>
  <c r="AK91" i="28"/>
  <c r="CQ34" i="28"/>
  <c r="CE107" i="28"/>
  <c r="S24" i="28"/>
  <c r="G38" i="28"/>
  <c r="AK26" i="28"/>
  <c r="C42" i="28"/>
  <c r="CO28" i="28"/>
  <c r="Q85" i="28"/>
  <c r="AO100" i="28"/>
  <c r="BK83" i="28"/>
  <c r="F28" i="31"/>
  <c r="CO40" i="28"/>
  <c r="AX31" i="28"/>
  <c r="Q73" i="28"/>
  <c r="AM23" i="28"/>
  <c r="L11" i="31"/>
  <c r="AX51" i="28"/>
  <c r="CO76" i="28"/>
  <c r="CG119" i="28"/>
  <c r="C56" i="28"/>
  <c r="E17" i="31"/>
  <c r="E116" i="28"/>
  <c r="AW91" i="28"/>
  <c r="AO66" i="28"/>
  <c r="AO58" i="28"/>
  <c r="CD31" i="28"/>
  <c r="E27" i="31"/>
  <c r="AL90" i="28"/>
  <c r="BK78" i="28"/>
  <c r="AL36" i="28"/>
  <c r="O46" i="28"/>
  <c r="AW92" i="28"/>
  <c r="C117" i="28"/>
  <c r="AO16" i="28"/>
  <c r="BK121" i="28"/>
  <c r="CQ55" i="28"/>
  <c r="Q23" i="28"/>
  <c r="P45" i="28"/>
  <c r="CD86" i="28"/>
  <c r="CQ107" i="28"/>
  <c r="C40" i="28"/>
  <c r="CP120" i="28"/>
  <c r="AO60" i="28"/>
  <c r="CG67" i="28"/>
  <c r="E84" i="28"/>
  <c r="BJ120" i="28"/>
  <c r="AW88" i="28"/>
  <c r="E16" i="28"/>
  <c r="AK28" i="28"/>
  <c r="CC109" i="28"/>
  <c r="CD27" i="28"/>
  <c r="P52" i="28"/>
  <c r="AK33" i="28"/>
  <c r="Q78" i="28"/>
  <c r="CO67" i="28"/>
  <c r="AX98" i="28"/>
  <c r="G28" i="31"/>
  <c r="AW82" i="28"/>
  <c r="P20" i="28"/>
  <c r="M7" i="31"/>
  <c r="AX117" i="28"/>
  <c r="AX23" i="28"/>
  <c r="AO71" i="28"/>
  <c r="D68" i="28"/>
  <c r="CG16" i="28"/>
  <c r="CG38" i="28"/>
  <c r="O38" i="28"/>
  <c r="S70" i="28"/>
  <c r="M27" i="31"/>
  <c r="CC61" i="28"/>
  <c r="CD56" i="28"/>
  <c r="P114" i="28"/>
  <c r="BI118" i="28"/>
  <c r="Q88" i="28"/>
  <c r="AO106" i="28"/>
  <c r="AM34" i="28"/>
  <c r="AO43" i="28"/>
  <c r="AX107" i="28"/>
  <c r="AY27" i="28"/>
  <c r="AW34" i="28"/>
  <c r="CC54" i="28"/>
  <c r="AX100" i="28"/>
  <c r="AM97" i="28"/>
  <c r="E7" i="31"/>
  <c r="CO33" i="28"/>
  <c r="AW27" i="28"/>
  <c r="CS28" i="28"/>
  <c r="AO56" i="28"/>
  <c r="CQ121" i="28"/>
  <c r="Q69" i="28"/>
  <c r="AY83" i="28"/>
  <c r="Q83" i="28"/>
  <c r="E96" i="28"/>
  <c r="CP27" i="28"/>
  <c r="G9" i="31"/>
  <c r="AL119" i="28"/>
  <c r="C98" i="28"/>
  <c r="CP57" i="28"/>
  <c r="AO116" i="28"/>
  <c r="G13" i="31"/>
  <c r="S85" i="28"/>
  <c r="AK15" i="28"/>
  <c r="CG17" i="28"/>
  <c r="O106" i="28"/>
  <c r="AW26" i="28"/>
  <c r="Q24" i="28"/>
  <c r="AY78" i="28"/>
  <c r="CS18" i="28"/>
  <c r="BJ72" i="28"/>
  <c r="CQ97" i="28"/>
  <c r="BK79" i="28"/>
  <c r="CE20" i="28"/>
  <c r="CC60" i="28"/>
  <c r="CC122" i="28"/>
  <c r="CC117" i="28"/>
  <c r="O79" i="28"/>
  <c r="O40" i="28"/>
  <c r="BA103" i="28"/>
  <c r="CP88" i="28"/>
  <c r="AY38" i="28"/>
  <c r="CO104" i="28"/>
  <c r="CP36" i="28"/>
  <c r="CG89" i="28"/>
  <c r="G35" i="28"/>
  <c r="AW19" i="28"/>
  <c r="BJ88" i="28"/>
  <c r="C73" i="28"/>
  <c r="CG68" i="28"/>
  <c r="AW72" i="28"/>
  <c r="CO19" i="28"/>
  <c r="F11" i="31"/>
  <c r="CS114" i="28"/>
  <c r="AY77" i="28"/>
  <c r="P100" i="28"/>
  <c r="CD72" i="28"/>
  <c r="E29" i="28"/>
  <c r="G44" i="28"/>
  <c r="BI53" i="28"/>
  <c r="BA17" i="28"/>
  <c r="BI24" i="28"/>
  <c r="S112" i="28"/>
  <c r="BJ117" i="28"/>
  <c r="CP29" i="28"/>
  <c r="P75" i="28"/>
  <c r="AX43" i="28"/>
  <c r="AK81" i="28"/>
  <c r="AL86" i="28"/>
  <c r="D7" i="31"/>
  <c r="Q111" i="28"/>
  <c r="P90" i="28"/>
  <c r="D110" i="28"/>
  <c r="AO93" i="28"/>
  <c r="BI90" i="28"/>
  <c r="O121" i="28"/>
  <c r="G78" i="28"/>
  <c r="AY104" i="28"/>
  <c r="D73" i="28"/>
  <c r="N12" i="31"/>
  <c r="CQ98" i="28"/>
  <c r="BI44" i="28"/>
  <c r="E48" i="28"/>
  <c r="CC31" i="28"/>
  <c r="AL111" i="28"/>
  <c r="CO52" i="28"/>
  <c r="AY17" i="28"/>
  <c r="BK29" i="28"/>
  <c r="AO111" i="28"/>
  <c r="CC113" i="28"/>
  <c r="CP86" i="28"/>
  <c r="E25" i="31"/>
  <c r="BI21" i="28"/>
  <c r="CP87" i="28"/>
  <c r="CG37" i="28"/>
  <c r="CE30" i="28"/>
  <c r="AO41" i="28"/>
  <c r="Q75" i="28"/>
  <c r="J25" i="31"/>
  <c r="AL30" i="28"/>
  <c r="BI55" i="28"/>
  <c r="AL60" i="28"/>
  <c r="CG20" i="28"/>
  <c r="CE36" i="28"/>
  <c r="CG31" i="28"/>
  <c r="P110" i="28"/>
  <c r="CE35" i="28"/>
  <c r="Q98" i="28"/>
  <c r="BA78" i="28"/>
  <c r="S108" i="28"/>
  <c r="AM70" i="28"/>
  <c r="CP111" i="28"/>
  <c r="J17" i="31"/>
  <c r="CS80" i="28"/>
  <c r="AY28" i="28"/>
  <c r="BI31" i="28"/>
  <c r="AL28" i="28"/>
  <c r="CO45" i="28"/>
  <c r="BJ90" i="28"/>
  <c r="AK101" i="28"/>
  <c r="AY52" i="28"/>
  <c r="D52" i="28"/>
  <c r="BK71" i="28"/>
  <c r="G52" i="28"/>
  <c r="CP21" i="28"/>
  <c r="AO51" i="28"/>
  <c r="E108" i="28"/>
  <c r="H27" i="31"/>
  <c r="O57" i="28"/>
  <c r="G85" i="28"/>
  <c r="K27" i="31"/>
  <c r="D77" i="28"/>
  <c r="AK35" i="28"/>
  <c r="Q94" i="28"/>
  <c r="O9" i="31"/>
  <c r="O120" i="28"/>
  <c r="CD36" i="28"/>
  <c r="E110" i="28"/>
  <c r="CS19" i="28"/>
  <c r="E21" i="31"/>
  <c r="AL105" i="28"/>
  <c r="CP41" i="28"/>
  <c r="BK43" i="28"/>
  <c r="S101" i="28"/>
  <c r="CD29" i="28"/>
  <c r="AO83" i="28"/>
  <c r="CO34" i="28"/>
  <c r="AM89" i="28"/>
  <c r="K28" i="31"/>
  <c r="BI30" i="28"/>
  <c r="O30" i="28"/>
  <c r="AO122" i="28"/>
  <c r="CC70" i="28"/>
  <c r="O59" i="28"/>
  <c r="D122" i="28"/>
  <c r="BK59" i="28"/>
  <c r="AY26" i="28"/>
  <c r="AW73" i="28"/>
  <c r="BJ100" i="28"/>
  <c r="N15" i="31"/>
  <c r="CD115" i="28"/>
  <c r="AL68" i="28"/>
  <c r="AL61" i="28"/>
  <c r="P85" i="28"/>
  <c r="AO74" i="28"/>
  <c r="CQ39" i="28"/>
  <c r="AX121" i="28"/>
  <c r="AX52" i="28"/>
  <c r="AM118" i="28"/>
  <c r="AM53" i="28"/>
  <c r="AK42" i="28"/>
  <c r="CE113" i="28"/>
  <c r="AX60" i="28"/>
  <c r="G68" i="28"/>
  <c r="AO59" i="28"/>
  <c r="CD87" i="28"/>
  <c r="CG41" i="28"/>
  <c r="AO88" i="28"/>
  <c r="AL103" i="28"/>
  <c r="BI59" i="28"/>
  <c r="AM102" i="28"/>
  <c r="P30" i="28"/>
  <c r="F14" i="31"/>
  <c r="P79" i="28"/>
  <c r="AX46" i="28"/>
  <c r="O24" i="28"/>
  <c r="CS109" i="28"/>
  <c r="S105" i="28"/>
  <c r="K14" i="31"/>
  <c r="BA71" i="28"/>
  <c r="CP91" i="28"/>
  <c r="S81" i="28"/>
  <c r="CE88" i="28"/>
  <c r="E17" i="28"/>
  <c r="AY68" i="28"/>
  <c r="AY22" i="28"/>
  <c r="AW17" i="28"/>
  <c r="AM54" i="28"/>
  <c r="CD108" i="28"/>
  <c r="D60" i="28"/>
  <c r="CD101" i="28"/>
  <c r="O15" i="31"/>
  <c r="E97" i="28"/>
  <c r="CP112" i="28"/>
  <c r="BJ113" i="28"/>
  <c r="BI61" i="28"/>
  <c r="C94" i="28"/>
  <c r="BA85" i="28"/>
  <c r="CP24" i="28"/>
  <c r="E55" i="28"/>
  <c r="S103" i="28"/>
  <c r="C102" i="28"/>
  <c r="CE54" i="28"/>
  <c r="AO25" i="28"/>
  <c r="E105" i="28"/>
  <c r="CC87" i="28"/>
  <c r="AX94" i="28"/>
  <c r="CS83" i="28"/>
  <c r="AL73" i="28"/>
  <c r="CS25" i="28"/>
  <c r="CS61" i="28"/>
  <c r="CO75" i="28"/>
  <c r="CP108" i="28"/>
  <c r="CQ76" i="28"/>
  <c r="BJ102" i="28"/>
  <c r="G73" i="28"/>
  <c r="CP68" i="28"/>
  <c r="CC41" i="28"/>
  <c r="O54" i="28"/>
  <c r="CD82" i="28"/>
  <c r="CE53" i="28"/>
  <c r="N17" i="31"/>
  <c r="G98" i="28"/>
  <c r="CQ113" i="28"/>
  <c r="D49" i="28"/>
  <c r="BK47" i="28"/>
  <c r="AW15" i="28"/>
  <c r="Q40" i="28"/>
  <c r="Q103" i="28"/>
  <c r="AY122" i="28"/>
  <c r="BI49" i="28"/>
  <c r="BK20" i="28"/>
  <c r="CQ88" i="28"/>
  <c r="BJ103" i="28"/>
  <c r="CE16" i="28"/>
  <c r="E53" i="28"/>
  <c r="AL78" i="28"/>
  <c r="O45" i="28"/>
  <c r="CS37" i="28"/>
  <c r="CO49" i="28"/>
  <c r="H23" i="31"/>
  <c r="Q15" i="28"/>
  <c r="Q36" i="28"/>
  <c r="CE24" i="28"/>
  <c r="CC119" i="28"/>
  <c r="S72" i="28"/>
  <c r="C26" i="28"/>
  <c r="O12" i="31"/>
  <c r="CQ47" i="28"/>
  <c r="CE48" i="28"/>
  <c r="E50" i="28"/>
  <c r="CS118" i="28"/>
  <c r="CS40" i="28"/>
  <c r="G15" i="28"/>
  <c r="CG91" i="28"/>
  <c r="CD38" i="28"/>
  <c r="C30" i="28"/>
  <c r="C85" i="28"/>
  <c r="H14" i="31"/>
  <c r="AO67" i="28"/>
  <c r="AO53" i="28"/>
  <c r="D28" i="31"/>
  <c r="BA52" i="28"/>
  <c r="AL84" i="28"/>
  <c r="CS92" i="28"/>
  <c r="J23" i="31"/>
  <c r="BA58" i="28"/>
  <c r="Q68" i="28"/>
  <c r="CE93" i="28"/>
  <c r="AX81" i="28"/>
  <c r="E86" i="28"/>
  <c r="AW16" i="28"/>
  <c r="AK77" i="28"/>
  <c r="AK62" i="28"/>
  <c r="BK107" i="28"/>
  <c r="AX41" i="28"/>
  <c r="C58" i="28"/>
  <c r="BI74" i="28"/>
  <c r="AW40" i="28"/>
  <c r="CE49" i="28"/>
  <c r="O84" i="28"/>
  <c r="CO23" i="28"/>
  <c r="D84" i="28"/>
  <c r="I14" i="31"/>
  <c r="Q59" i="28"/>
  <c r="CP15" i="28"/>
  <c r="AO62" i="28"/>
  <c r="CQ17" i="28"/>
  <c r="C89" i="28"/>
  <c r="BK122" i="28"/>
  <c r="F9" i="31"/>
  <c r="G59" i="28"/>
  <c r="BK45" i="28"/>
  <c r="AY32" i="28"/>
  <c r="S79" i="28"/>
  <c r="S99" i="28"/>
  <c r="E28" i="31"/>
  <c r="CS116" i="28"/>
  <c r="AL49" i="28"/>
  <c r="L12" i="31"/>
  <c r="AY99" i="28"/>
  <c r="BK17" i="28"/>
  <c r="CS24" i="28"/>
  <c r="S65" i="28"/>
  <c r="AL4" i="28"/>
  <c r="CP17" i="28"/>
  <c r="C15" i="28"/>
  <c r="CG36" i="28"/>
  <c r="AW86" i="28"/>
  <c r="E102" i="28"/>
  <c r="AX32" i="28"/>
  <c r="D95" i="28"/>
  <c r="AL82" i="28"/>
  <c r="Q77" i="28"/>
  <c r="C105" i="28"/>
  <c r="AO105" i="28"/>
  <c r="CC72" i="28"/>
  <c r="E34" i="28"/>
  <c r="AW110" i="28"/>
  <c r="O75" i="28"/>
  <c r="Q105" i="28"/>
  <c r="AM110" i="28"/>
  <c r="AX28" i="28"/>
  <c r="BA99" i="28"/>
  <c r="AM36" i="28"/>
  <c r="D15" i="31"/>
  <c r="E33" i="28"/>
  <c r="P97" i="28"/>
  <c r="AY81" i="28"/>
  <c r="C67" i="28"/>
  <c r="AK63" i="28"/>
  <c r="C37" i="28"/>
  <c r="E41" i="28"/>
  <c r="BK95" i="28"/>
  <c r="CD50" i="28"/>
  <c r="CG50" i="28"/>
  <c r="K25" i="31"/>
  <c r="CD40" i="28"/>
  <c r="AY40" i="28"/>
  <c r="CC71" i="28"/>
  <c r="BI41" i="28"/>
  <c r="E62" i="28"/>
  <c r="BA101" i="28"/>
  <c r="CO70" i="28"/>
  <c r="BK54" i="28"/>
  <c r="BK18" i="28"/>
  <c r="BJ9" i="28"/>
  <c r="AK55" i="28"/>
  <c r="P4" i="28"/>
  <c r="Q100" i="28"/>
  <c r="C84" i="28"/>
  <c r="AL89" i="28"/>
  <c r="AO61" i="28"/>
  <c r="AW55" i="28"/>
  <c r="BA106" i="28"/>
  <c r="AX30" i="28"/>
  <c r="P121" i="28"/>
  <c r="CD28" i="28"/>
  <c r="BI112" i="28"/>
  <c r="BI79" i="28"/>
  <c r="AW85" i="28"/>
  <c r="CG115" i="28"/>
  <c r="CP110" i="28"/>
  <c r="E52" i="28"/>
  <c r="AL112" i="28"/>
  <c r="S82" i="28"/>
  <c r="CD99" i="28"/>
  <c r="O35" i="28"/>
  <c r="CG40" i="28"/>
  <c r="Q55" i="28"/>
  <c r="O19" i="28"/>
  <c r="C78" i="28"/>
  <c r="D121" i="28"/>
  <c r="AK84" i="28"/>
  <c r="AY47" i="28"/>
  <c r="CO32" i="28"/>
  <c r="AW120" i="28"/>
  <c r="CE92" i="28"/>
  <c r="CG70" i="28"/>
  <c r="C75" i="28"/>
  <c r="CP90" i="28"/>
  <c r="CD32" i="28"/>
  <c r="P88" i="28"/>
  <c r="AO107" i="28"/>
  <c r="CO42" i="28"/>
  <c r="CD65" i="28"/>
  <c r="AK115" i="28"/>
  <c r="BK103" i="28"/>
  <c r="CC101" i="28"/>
  <c r="AW108" i="28"/>
  <c r="AX102" i="28"/>
  <c r="G72" i="28"/>
  <c r="BI65" i="28"/>
  <c r="AO35" i="28"/>
  <c r="C107" i="28"/>
  <c r="AX50" i="28"/>
  <c r="AW118" i="28"/>
  <c r="S117" i="28"/>
  <c r="BA27" i="28"/>
  <c r="BJ87" i="28"/>
  <c r="BA65" i="28"/>
  <c r="BK60" i="28"/>
  <c r="BK36" i="28"/>
  <c r="AK107" i="28"/>
  <c r="E112" i="28"/>
  <c r="BI113" i="28"/>
  <c r="P34" i="28"/>
  <c r="AL29" i="28"/>
  <c r="BI17" i="28"/>
  <c r="BI107" i="28"/>
  <c r="BA115" i="28"/>
  <c r="Q62" i="28"/>
  <c r="BI109" i="28"/>
  <c r="BA75" i="28"/>
  <c r="AL46" i="28"/>
  <c r="CQ37" i="28"/>
  <c r="P122" i="28"/>
  <c r="S121" i="28"/>
  <c r="CC97" i="28"/>
  <c r="CD61" i="28"/>
  <c r="AK80" i="28"/>
  <c r="CP92" i="28"/>
  <c r="E32" i="28"/>
  <c r="E28" i="28"/>
  <c r="G99" i="28"/>
  <c r="CC27" i="28"/>
  <c r="P57" i="28"/>
  <c r="Q47" i="28"/>
  <c r="CC66" i="28"/>
  <c r="Q28" i="28"/>
  <c r="G37" i="28"/>
  <c r="S119" i="28"/>
  <c r="P99" i="28"/>
  <c r="CG84" i="28"/>
  <c r="K15" i="31"/>
  <c r="CC37" i="28"/>
  <c r="BI111" i="28"/>
  <c r="CE86" i="28"/>
  <c r="CP81" i="28"/>
  <c r="AW54" i="28"/>
  <c r="BA50" i="28"/>
  <c r="O102" i="28"/>
  <c r="D90" i="28"/>
  <c r="AX76" i="28"/>
  <c r="Q39" i="28"/>
  <c r="AK47" i="28"/>
  <c r="AY19" i="28"/>
  <c r="AL38" i="28"/>
  <c r="P54" i="28"/>
  <c r="G108" i="28"/>
  <c r="AK19" i="28"/>
  <c r="BA84" i="28"/>
  <c r="O85" i="28"/>
  <c r="I15" i="31"/>
  <c r="H5" i="31"/>
  <c r="Q99" i="28"/>
  <c r="AL50" i="28"/>
  <c r="F25" i="31"/>
  <c r="BI66" i="28"/>
  <c r="G107" i="28"/>
  <c r="CQ69" i="28"/>
  <c r="M24" i="31"/>
  <c r="O110" i="28"/>
  <c r="CC55" i="28"/>
  <c r="CQ110" i="28"/>
  <c r="AY59" i="28"/>
  <c r="CP56" i="28"/>
  <c r="AY24" i="28"/>
  <c r="CC75" i="28"/>
  <c r="CS52" i="28"/>
  <c r="CS81" i="28"/>
  <c r="P60" i="28"/>
  <c r="CP107" i="28"/>
  <c r="D100" i="28"/>
  <c r="O97" i="28"/>
  <c r="AW30" i="28"/>
  <c r="CQ100" i="28"/>
  <c r="E98" i="28"/>
  <c r="C90" i="28"/>
  <c r="AW28" i="28"/>
  <c r="BJ67" i="28"/>
  <c r="G27" i="31"/>
  <c r="BI45" i="28"/>
  <c r="CO112" i="28"/>
  <c r="CD16" i="28"/>
  <c r="CO72" i="28"/>
  <c r="P29" i="28"/>
  <c r="CQ65" i="28"/>
  <c r="O114" i="28"/>
  <c r="AW83" i="28"/>
  <c r="O28" i="28"/>
  <c r="AO110" i="28"/>
  <c r="CE78" i="28"/>
  <c r="CS38" i="28"/>
  <c r="C109" i="28"/>
  <c r="AL99" i="28"/>
  <c r="BA51" i="28"/>
  <c r="CC121" i="28"/>
  <c r="CE68" i="28"/>
  <c r="Q20" i="28"/>
  <c r="CS88" i="28"/>
  <c r="G43" i="28"/>
  <c r="CC19" i="28"/>
  <c r="AX105" i="28"/>
  <c r="AK96" i="28"/>
  <c r="AL83" i="28"/>
  <c r="C66" i="28"/>
  <c r="CD41" i="28"/>
  <c r="CS79" i="28"/>
  <c r="CE122" i="28"/>
  <c r="P93" i="28"/>
  <c r="CS91" i="28"/>
  <c r="CQ103" i="28"/>
  <c r="CD60" i="28"/>
  <c r="O63" i="28"/>
  <c r="CQ120" i="28"/>
  <c r="AO109" i="28"/>
  <c r="AK79" i="28"/>
  <c r="CD103" i="28"/>
  <c r="C25" i="28"/>
  <c r="H7" i="31"/>
  <c r="P104" i="28"/>
  <c r="AK27" i="28"/>
  <c r="BK58" i="28"/>
  <c r="AM77" i="28"/>
  <c r="AY41" i="28"/>
  <c r="D116" i="28"/>
  <c r="O76" i="28"/>
  <c r="P42" i="28"/>
  <c r="S62" i="28"/>
  <c r="BI116" i="28"/>
  <c r="AK95" i="28"/>
  <c r="AW61" i="28"/>
  <c r="O11" i="31"/>
  <c r="CS30" i="28"/>
  <c r="G119" i="28"/>
  <c r="AY55" i="28"/>
  <c r="AK49" i="28"/>
  <c r="CG98" i="28"/>
  <c r="S37" i="28"/>
  <c r="CO20" i="28"/>
  <c r="BK66" i="28"/>
  <c r="BK72" i="28"/>
  <c r="CO90" i="28"/>
  <c r="P17" i="28"/>
  <c r="CQ56" i="28"/>
  <c r="P78" i="28"/>
  <c r="O77" i="28"/>
  <c r="BA35" i="28"/>
  <c r="I11" i="31"/>
  <c r="AM107" i="28"/>
  <c r="AW67" i="28"/>
  <c r="CS65" i="28"/>
  <c r="D9" i="31"/>
  <c r="CO56" i="28"/>
  <c r="CP93" i="28"/>
  <c r="O70" i="28"/>
  <c r="CS27" i="28"/>
  <c r="CE77" i="28"/>
  <c r="CG26" i="28"/>
  <c r="AO36" i="28"/>
  <c r="E76" i="28"/>
  <c r="BJ95" i="28"/>
  <c r="O117" i="28"/>
  <c r="AK108" i="28"/>
  <c r="CQ109" i="28"/>
  <c r="Q90" i="28"/>
  <c r="Q84" i="28"/>
  <c r="CE110" i="28"/>
  <c r="CO50" i="28"/>
  <c r="AW104" i="28"/>
  <c r="BA33" i="28"/>
  <c r="D101" i="28"/>
  <c r="AL37" i="28"/>
  <c r="AM99" i="28"/>
  <c r="E25" i="28"/>
  <c r="CC86" i="28"/>
  <c r="E13" i="31"/>
  <c r="CD78" i="28"/>
  <c r="CP30" i="28"/>
  <c r="Q108" i="28"/>
  <c r="BJ78" i="28"/>
  <c r="C49" i="28"/>
  <c r="D24" i="28"/>
  <c r="AO29" i="28"/>
  <c r="CP25" i="28"/>
  <c r="AY121" i="28"/>
  <c r="P81" i="28"/>
  <c r="C54" i="28"/>
  <c r="BA57" i="28"/>
  <c r="Q76" i="28"/>
  <c r="E47" i="28"/>
  <c r="Q51" i="28"/>
  <c r="CE96" i="28"/>
  <c r="CC22" i="28"/>
  <c r="BJ101" i="28"/>
  <c r="AO80" i="28"/>
  <c r="D11" i="31"/>
  <c r="S68" i="28"/>
  <c r="D39" i="28"/>
  <c r="CC80" i="28"/>
  <c r="AW77" i="28"/>
  <c r="CP119" i="28"/>
  <c r="AL58" i="28"/>
  <c r="CG72" i="28"/>
  <c r="C83" i="28"/>
  <c r="CE38" i="28"/>
  <c r="F27" i="31"/>
  <c r="CE34" i="28"/>
  <c r="L17" i="31"/>
  <c r="O25" i="28"/>
  <c r="AM106" i="28"/>
  <c r="CD58" i="28"/>
  <c r="AK100" i="28"/>
  <c r="CO120" i="28"/>
  <c r="O115" i="28"/>
  <c r="AK76" i="28"/>
  <c r="BI34" i="28"/>
  <c r="CP77" i="28"/>
  <c r="AY74" i="28"/>
  <c r="CP18" i="28"/>
  <c r="S114" i="28"/>
  <c r="CP83" i="28"/>
  <c r="CQ96" i="28"/>
  <c r="AM101" i="28"/>
  <c r="CE73" i="28"/>
  <c r="P67" i="28"/>
  <c r="AM116" i="28"/>
  <c r="AW53" i="28"/>
  <c r="CC49" i="28"/>
  <c r="AO103" i="28"/>
  <c r="C82" i="28"/>
  <c r="BK23" i="28"/>
  <c r="BA74" i="28"/>
  <c r="CO115" i="28"/>
  <c r="CG97" i="28"/>
  <c r="BJ85" i="28"/>
  <c r="C50" i="28"/>
  <c r="CP117" i="28"/>
  <c r="CG107" i="28"/>
  <c r="P35" i="28"/>
  <c r="BJ76" i="28"/>
  <c r="CE56" i="28"/>
  <c r="CS45" i="28"/>
  <c r="Q89" i="28"/>
  <c r="CS69" i="28"/>
  <c r="AY51" i="28"/>
  <c r="Q31" i="28"/>
  <c r="AK18" i="28"/>
  <c r="AK54" i="28"/>
  <c r="AK105" i="28"/>
  <c r="E60" i="28"/>
  <c r="BA39" i="28"/>
  <c r="C45" i="28"/>
  <c r="BA108" i="28"/>
  <c r="Q87" i="28"/>
  <c r="BI104" i="28"/>
  <c r="CO60" i="28"/>
  <c r="S120" i="28"/>
  <c r="G116" i="28"/>
  <c r="D119" i="28"/>
  <c r="AW101" i="28"/>
  <c r="CQ93" i="28"/>
  <c r="BI67" i="28"/>
  <c r="S113" i="28"/>
  <c r="AM45" i="28"/>
  <c r="AX116" i="28"/>
  <c r="CC26" i="28"/>
  <c r="G93" i="28"/>
  <c r="CO114" i="28"/>
  <c r="O26" i="28"/>
  <c r="AW62" i="28"/>
  <c r="CD77" i="28"/>
  <c r="AK103" i="28"/>
  <c r="G100" i="28"/>
  <c r="BI84" i="28"/>
  <c r="BI43" i="28"/>
  <c r="AY16" i="28"/>
  <c r="AW103" i="28"/>
  <c r="G67" i="28"/>
  <c r="Q106" i="28"/>
  <c r="C41" i="28"/>
  <c r="BA32" i="28"/>
  <c r="AX115" i="28"/>
  <c r="CO83" i="28"/>
  <c r="CP100" i="28"/>
  <c r="BK49" i="28"/>
  <c r="AY98" i="28"/>
  <c r="E5" i="31"/>
  <c r="CO21" i="28"/>
  <c r="CO113" i="28"/>
  <c r="CP47" i="28"/>
  <c r="AM60" i="28"/>
  <c r="BA86" i="28"/>
  <c r="AO85" i="28"/>
  <c r="CE85" i="28"/>
  <c r="P18" i="28"/>
  <c r="E26" i="28"/>
  <c r="AY108" i="28"/>
  <c r="O101" i="28"/>
  <c r="E119" i="28"/>
  <c r="Q86" i="28"/>
  <c r="BA102" i="28"/>
  <c r="AY102" i="28"/>
  <c r="CQ20" i="28"/>
  <c r="CS23" i="28"/>
  <c r="CO101" i="28"/>
  <c r="CP33" i="28"/>
  <c r="AX109" i="28"/>
  <c r="O112" i="28"/>
  <c r="BJ80" i="28"/>
  <c r="AW93" i="28"/>
  <c r="AO34" i="28"/>
  <c r="BA30" i="28"/>
  <c r="CP74" i="28"/>
  <c r="AW113" i="28"/>
  <c r="CP96" i="28"/>
  <c r="L15" i="31"/>
  <c r="S47" i="28"/>
  <c r="AM81" i="28"/>
  <c r="C19" i="28"/>
  <c r="CQ36" i="28"/>
  <c r="BI38" i="28"/>
  <c r="CG121" i="28"/>
  <c r="S104" i="28"/>
  <c r="BJ68" i="28"/>
  <c r="J24" i="31"/>
  <c r="BK53" i="28"/>
  <c r="CD91" i="28"/>
  <c r="D109" i="28"/>
  <c r="CG80" i="28"/>
  <c r="AL79" i="28"/>
  <c r="AX45" i="28"/>
  <c r="CE84" i="28"/>
  <c r="D56" i="28"/>
  <c r="CQ116" i="28"/>
  <c r="S111" i="28"/>
  <c r="BI78" i="28"/>
  <c r="AO54" i="28"/>
  <c r="AM31" i="28"/>
  <c r="CG71" i="28"/>
  <c r="AL93" i="28"/>
  <c r="CO91" i="28"/>
  <c r="AO79" i="28"/>
  <c r="AK99" i="28"/>
  <c r="AK89" i="28"/>
  <c r="CO77" i="28"/>
  <c r="CS101" i="28"/>
  <c r="AM76" i="28"/>
  <c r="AM49" i="28"/>
  <c r="C51" i="28"/>
  <c r="CD74" i="28"/>
  <c r="CP62" i="28"/>
  <c r="G25" i="28"/>
  <c r="BA46" i="28"/>
  <c r="CP114" i="28"/>
  <c r="BJ121" i="28"/>
  <c r="CD121" i="28"/>
  <c r="CQ108" i="28"/>
  <c r="CG78" i="28"/>
  <c r="E121" i="28"/>
  <c r="G40" i="28"/>
  <c r="AY45" i="28"/>
  <c r="O90" i="28"/>
  <c r="E24" i="31"/>
  <c r="I17" i="31"/>
  <c r="O20" i="28"/>
  <c r="BJ84" i="28"/>
  <c r="CS34" i="28"/>
  <c r="BI58" i="28"/>
  <c r="AK22" i="28"/>
  <c r="CE55" i="28"/>
  <c r="CQ53" i="28"/>
  <c r="BA69" i="28"/>
  <c r="S41" i="28"/>
  <c r="O48" i="28"/>
  <c r="CC96" i="28"/>
  <c r="AO97" i="28"/>
  <c r="CE94" i="28"/>
  <c r="AO94" i="28"/>
  <c r="D41" i="28"/>
  <c r="CC82" i="28"/>
  <c r="O49" i="28"/>
  <c r="CS50" i="28"/>
  <c r="CC93" i="28"/>
  <c r="D33" i="28"/>
  <c r="I24" i="31"/>
  <c r="AM117" i="28"/>
  <c r="AK102" i="28"/>
  <c r="Q92" i="28"/>
  <c r="C97" i="28"/>
  <c r="O103" i="28"/>
  <c r="CC83" i="28"/>
  <c r="CP84" i="28"/>
  <c r="C118" i="28"/>
  <c r="BA41" i="28"/>
  <c r="BJ79" i="28"/>
  <c r="O41" i="28"/>
  <c r="AO121" i="28"/>
  <c r="S34" i="28"/>
  <c r="C59" i="28"/>
  <c r="AY96" i="28"/>
  <c r="CC34" i="28"/>
  <c r="BJ82" i="28"/>
  <c r="P103" i="28"/>
  <c r="O28" i="31"/>
  <c r="BI32" i="28"/>
  <c r="AL116" i="28"/>
  <c r="C16" i="28"/>
  <c r="E77" i="28"/>
  <c r="CC32" i="28"/>
  <c r="CC116" i="28"/>
  <c r="AX72" i="28"/>
  <c r="AK21" i="28"/>
  <c r="CO87" i="28"/>
  <c r="S118" i="28"/>
  <c r="BI69" i="28"/>
  <c r="E21" i="28"/>
  <c r="BK68" i="28"/>
  <c r="BI57" i="28"/>
  <c r="CQ45" i="28"/>
  <c r="CQ75" i="28"/>
  <c r="G42" i="28"/>
  <c r="AX67" i="28"/>
  <c r="AY80" i="28"/>
  <c r="D22" i="28"/>
  <c r="CQ117" i="28"/>
  <c r="C112" i="28"/>
  <c r="BJ77" i="28"/>
  <c r="CD43" i="28"/>
  <c r="P86" i="28"/>
  <c r="G121" i="28"/>
  <c r="AM33" i="28"/>
  <c r="BK84" i="28"/>
  <c r="G7" i="31"/>
  <c r="CC112" i="28"/>
  <c r="G46" i="28"/>
  <c r="CE105" i="28"/>
  <c r="G33" i="28"/>
  <c r="Q82" i="28"/>
  <c r="AM25" i="28"/>
  <c r="BI37" i="28"/>
  <c r="AK72" i="28"/>
  <c r="O65" i="28"/>
  <c r="S51" i="28"/>
  <c r="P32" i="28"/>
  <c r="CE43" i="28"/>
  <c r="CS94" i="28"/>
  <c r="BK86" i="28"/>
  <c r="AW60" i="28"/>
  <c r="CQ105" i="28"/>
  <c r="O5" i="31"/>
  <c r="G31" i="28"/>
  <c r="O27" i="28"/>
  <c r="CQ73" i="28"/>
  <c r="AY23" i="28"/>
  <c r="BI70" i="28"/>
  <c r="AL56" i="28"/>
  <c r="S17" i="28"/>
  <c r="CS112" i="28"/>
  <c r="P23" i="28"/>
  <c r="L26" i="31"/>
  <c r="AL32" i="28"/>
  <c r="O17" i="31"/>
  <c r="G87" i="28"/>
  <c r="P98" i="28"/>
  <c r="AK88" i="28"/>
  <c r="I26" i="31"/>
  <c r="AX103" i="28"/>
  <c r="CG63" i="28"/>
  <c r="AW117" i="28"/>
  <c r="BK30" i="28"/>
  <c r="CC89" i="28"/>
  <c r="CQ90" i="28"/>
  <c r="AM18" i="28"/>
  <c r="S50" i="28"/>
  <c r="BA66" i="28"/>
  <c r="BI106" i="28"/>
  <c r="Q49" i="28"/>
  <c r="S16" i="28"/>
  <c r="AO77" i="28"/>
  <c r="BK93" i="28"/>
  <c r="AO17" i="28"/>
  <c r="BA107" i="28"/>
  <c r="CG42" i="28"/>
  <c r="P27" i="28"/>
  <c r="D45" i="28"/>
  <c r="AW122" i="28"/>
  <c r="AO96" i="28"/>
  <c r="CO108" i="28"/>
  <c r="CO94" i="28"/>
  <c r="C92" i="28"/>
  <c r="AX16" i="28"/>
  <c r="CP116" i="28"/>
  <c r="AY20" i="28"/>
  <c r="P47" i="28"/>
  <c r="AM109" i="28"/>
  <c r="CD30" i="28"/>
  <c r="G21" i="28"/>
  <c r="CS89" i="28"/>
  <c r="AM30" i="28"/>
  <c r="D106" i="28"/>
  <c r="CP71" i="28"/>
  <c r="P116" i="28"/>
  <c r="CE31" i="28"/>
  <c r="D65" i="28"/>
  <c r="CE45" i="28"/>
  <c r="AW41" i="28"/>
  <c r="E100" i="28"/>
  <c r="AW76" i="28"/>
  <c r="BA72" i="28"/>
  <c r="CC43" i="28"/>
  <c r="AM29" i="28"/>
  <c r="BA91" i="28"/>
  <c r="AX84" i="28"/>
  <c r="CG109" i="28"/>
  <c r="AK40" i="28"/>
  <c r="G11" i="31"/>
  <c r="CG112" i="28"/>
  <c r="CO78" i="28"/>
  <c r="S110" i="28"/>
  <c r="AM56" i="28"/>
  <c r="BK25" i="28"/>
  <c r="G65" i="28"/>
  <c r="Q95" i="28"/>
  <c r="BK91" i="28"/>
  <c r="S86" i="28"/>
  <c r="CQ62" i="28"/>
  <c r="CG65" i="28"/>
  <c r="Q61" i="28"/>
  <c r="CG87" i="28"/>
  <c r="AO104" i="28"/>
  <c r="Q52" i="28"/>
  <c r="BK34" i="28"/>
  <c r="D80" i="28"/>
  <c r="CG58" i="28"/>
  <c r="AW115" i="28"/>
  <c r="D15" i="28"/>
  <c r="AL41" i="28"/>
  <c r="AO70" i="28"/>
  <c r="CQ57" i="28"/>
  <c r="BJ70" i="28"/>
  <c r="CC62" i="28"/>
  <c r="CC59" i="28"/>
  <c r="CS31" i="28"/>
  <c r="CP44" i="28"/>
  <c r="BK40" i="28"/>
  <c r="P82" i="28"/>
  <c r="AX44" i="28"/>
  <c r="CD39" i="28"/>
  <c r="CO36" i="28"/>
  <c r="CC28" i="28"/>
  <c r="AY75" i="28"/>
  <c r="AK38" i="28"/>
  <c r="CE17" i="28"/>
  <c r="G21" i="31"/>
  <c r="P106" i="28"/>
  <c r="J26" i="31"/>
  <c r="D79" i="28"/>
  <c r="AO119" i="28"/>
  <c r="AW23" i="28"/>
  <c r="AW57" i="28"/>
  <c r="CG56" i="28"/>
  <c r="O98" i="28"/>
  <c r="F6" i="31"/>
  <c r="M12" i="31"/>
  <c r="G95" i="28"/>
  <c r="CP99" i="28"/>
  <c r="BI23" i="28"/>
  <c r="CQ70" i="28"/>
  <c r="BJ111" i="28"/>
  <c r="S74" i="28"/>
  <c r="AY111" i="28"/>
  <c r="L7" i="31"/>
  <c r="AX108" i="28"/>
  <c r="AL104" i="28"/>
  <c r="O69" i="28"/>
  <c r="CD67" i="28"/>
  <c r="AY110" i="28"/>
  <c r="AO65" i="28"/>
  <c r="S94" i="28"/>
  <c r="AO102" i="28"/>
  <c r="P84" i="28"/>
  <c r="AM47" i="28"/>
  <c r="E111" i="28"/>
  <c r="S39" i="28"/>
  <c r="CD85" i="28"/>
  <c r="CQ58" i="28"/>
  <c r="O44" i="28"/>
  <c r="D17" i="31"/>
  <c r="AL43" i="28"/>
  <c r="AL22" i="28"/>
  <c r="BK75" i="28"/>
  <c r="P62" i="28"/>
  <c r="BA104" i="28"/>
  <c r="BI96" i="28"/>
  <c r="CO110" i="28"/>
  <c r="D99" i="28"/>
  <c r="CD113" i="28"/>
  <c r="N9" i="31"/>
  <c r="O92" i="28"/>
  <c r="CQ51" i="28"/>
  <c r="AX4" i="28"/>
  <c r="BI54" i="28"/>
  <c r="S63" i="28"/>
  <c r="Q32" i="28"/>
  <c r="CG76" i="28"/>
  <c r="AL45" i="28"/>
  <c r="I13" i="31"/>
  <c r="BI48" i="28"/>
  <c r="BK110" i="28"/>
  <c r="P22" i="28"/>
  <c r="C111" i="28"/>
  <c r="CP26" i="28"/>
  <c r="Q33" i="28"/>
  <c r="BI50" i="28"/>
  <c r="P51" i="28"/>
  <c r="D85" i="28"/>
  <c r="M21" i="31"/>
  <c r="G77" i="28"/>
  <c r="CG82" i="28"/>
  <c r="C39" i="28"/>
  <c r="BA89" i="28"/>
  <c r="AM114" i="28"/>
  <c r="BA110" i="28"/>
  <c r="E80" i="28"/>
  <c r="G94" i="28"/>
  <c r="AK53" i="28"/>
  <c r="BI20" i="28"/>
  <c r="AO44" i="28"/>
  <c r="AL48" i="28"/>
  <c r="BI122" i="28"/>
  <c r="CE109" i="28"/>
  <c r="BK99" i="28"/>
  <c r="BJ108" i="28"/>
  <c r="P107" i="28"/>
  <c r="Q46" i="28"/>
  <c r="AK68" i="28"/>
  <c r="AY37" i="28"/>
  <c r="BI27" i="28"/>
  <c r="O99" i="28"/>
  <c r="AW58" i="28"/>
  <c r="D118" i="28"/>
  <c r="BJ112" i="28"/>
  <c r="CO84" i="28"/>
  <c r="AW36" i="28"/>
  <c r="C61" i="28"/>
  <c r="CD105" i="28"/>
  <c r="BI63" i="28"/>
  <c r="BI91" i="28"/>
  <c r="AL118" i="28"/>
  <c r="S90" i="28"/>
  <c r="AM19" i="28"/>
  <c r="CD59" i="28"/>
  <c r="M17" i="31"/>
  <c r="CG48" i="28"/>
  <c r="AX61" i="28"/>
  <c r="AK20" i="28"/>
  <c r="M23" i="31"/>
  <c r="O67" i="28"/>
  <c r="Q115" i="28"/>
  <c r="AY72" i="28"/>
  <c r="BJ96" i="28"/>
  <c r="CD119" i="28"/>
  <c r="C21" i="28"/>
  <c r="CD79" i="28"/>
  <c r="AL102" i="28"/>
  <c r="BI73" i="28"/>
  <c r="AY76" i="28"/>
  <c r="AO69" i="28"/>
  <c r="O72" i="28"/>
  <c r="E61" i="28"/>
  <c r="AX78" i="28"/>
  <c r="E109" i="28"/>
  <c r="BI39" i="28"/>
  <c r="Q104" i="28"/>
  <c r="AY92" i="28"/>
  <c r="AX85" i="28"/>
  <c r="D78" i="28"/>
  <c r="CS43" i="28"/>
  <c r="AX70" i="28"/>
  <c r="J11" i="31"/>
  <c r="O109" i="28"/>
  <c r="D103" i="28"/>
  <c r="BA113" i="28"/>
  <c r="AW38" i="28"/>
  <c r="AY42" i="28"/>
  <c r="AK98" i="28"/>
  <c r="CS68" i="28"/>
  <c r="N5" i="31"/>
  <c r="AK92" i="28"/>
  <c r="S96" i="28"/>
  <c r="J14" i="31"/>
  <c r="AY86" i="28"/>
  <c r="G74" i="28"/>
  <c r="O27" i="31"/>
  <c r="BJ93" i="28"/>
  <c r="CC25" i="28"/>
  <c r="Q119" i="28"/>
  <c r="D4" i="28"/>
  <c r="BJ94" i="28"/>
  <c r="CG83" i="28"/>
  <c r="Q107" i="28"/>
  <c r="AM67" i="28"/>
  <c r="CS122" i="28"/>
  <c r="P76" i="28"/>
  <c r="BA20" i="28"/>
  <c r="G105" i="28"/>
  <c r="D21" i="28"/>
  <c r="Q122" i="28"/>
  <c r="CE114" i="28"/>
  <c r="E91" i="28"/>
  <c r="CD92" i="28"/>
  <c r="CS86" i="28"/>
  <c r="BA55" i="28"/>
  <c r="AL33" i="28"/>
  <c r="G69" i="28"/>
  <c r="CP49" i="28"/>
  <c r="Q80" i="28"/>
  <c r="M11" i="31"/>
  <c r="C86" i="28"/>
  <c r="D91" i="28"/>
  <c r="AO91" i="28"/>
  <c r="AL122" i="28"/>
  <c r="C35" i="28"/>
  <c r="AK116" i="28"/>
  <c r="AW48" i="28"/>
  <c r="E31" i="28"/>
  <c r="C116" i="28"/>
  <c r="CS82" i="28"/>
  <c r="P109" i="28"/>
  <c r="AW18" i="28"/>
  <c r="S23" i="28"/>
  <c r="BI19" i="28"/>
  <c r="D23" i="28"/>
  <c r="CC42" i="28"/>
  <c r="C120" i="28"/>
  <c r="CQ95" i="28"/>
  <c r="E66" i="28"/>
  <c r="BI121" i="28"/>
  <c r="AX90" i="28"/>
  <c r="P15" i="28"/>
  <c r="AL87" i="28"/>
  <c r="BI77" i="28"/>
  <c r="O108" i="28"/>
  <c r="BK112" i="28"/>
  <c r="CP58" i="28"/>
  <c r="D40" i="28"/>
  <c r="BJ119" i="28"/>
  <c r="AM80" i="28"/>
  <c r="AM24" i="28"/>
  <c r="O93" i="28"/>
  <c r="CC98" i="28"/>
  <c r="BJ104" i="28"/>
  <c r="CE41" i="28"/>
  <c r="AM39" i="28"/>
  <c r="AM55" i="28"/>
  <c r="C88" i="28"/>
  <c r="CQ33" i="28"/>
  <c r="C119" i="28"/>
  <c r="O118" i="28"/>
  <c r="C76" i="28"/>
  <c r="AL121" i="28"/>
  <c r="AO52" i="28"/>
  <c r="CP85" i="28"/>
  <c r="O26" i="31"/>
  <c r="CC69" i="28"/>
  <c r="AO84" i="28"/>
  <c r="Q114" i="28"/>
  <c r="AM78" i="28"/>
  <c r="CG94" i="28"/>
  <c r="BK119" i="28"/>
  <c r="P40" i="28"/>
  <c r="CO102" i="28"/>
  <c r="CE32" i="28"/>
  <c r="CC36" i="28"/>
  <c r="AL100" i="28"/>
  <c r="BI82" i="28"/>
  <c r="CE106" i="28"/>
  <c r="CD52" i="28"/>
  <c r="BA80" i="28"/>
  <c r="CD44" i="28"/>
  <c r="BA53" i="28"/>
  <c r="E36" i="28"/>
  <c r="G45" i="28"/>
  <c r="E9" i="31"/>
  <c r="CG53" i="28"/>
  <c r="CE80" i="28"/>
  <c r="BK48" i="28"/>
  <c r="G36" i="28"/>
  <c r="AX112" i="28"/>
  <c r="C74" i="28"/>
  <c r="Q56" i="28"/>
  <c r="CP79" i="28"/>
  <c r="D37" i="28"/>
  <c r="CO86" i="28"/>
  <c r="AO49" i="28"/>
  <c r="CS77" i="28"/>
  <c r="BJ98" i="28"/>
  <c r="D59" i="28"/>
  <c r="CC20" i="28"/>
  <c r="AL16" i="28"/>
  <c r="O23" i="28"/>
  <c r="C91" i="28"/>
  <c r="AX24" i="28"/>
  <c r="AM85" i="28"/>
  <c r="CC77" i="28"/>
  <c r="CS56" i="28"/>
  <c r="J21" i="31"/>
  <c r="CQ26" i="28"/>
  <c r="CE39" i="28"/>
  <c r="AK113" i="28"/>
  <c r="E67" i="28"/>
  <c r="CO111" i="28"/>
  <c r="P83" i="28"/>
  <c r="O53" i="28"/>
  <c r="AO57" i="28"/>
  <c r="E49" i="28"/>
  <c r="BI86" i="28"/>
  <c r="CC111" i="28"/>
  <c r="BA45" i="28"/>
  <c r="CE121" i="28"/>
  <c r="D31" i="28"/>
  <c r="S115" i="28"/>
  <c r="AW31" i="28"/>
  <c r="BA119" i="28"/>
  <c r="BK65" i="28"/>
  <c r="AW109" i="28"/>
  <c r="BI119" i="28"/>
  <c r="CC106" i="28"/>
  <c r="L23" i="31"/>
  <c r="D51" i="28"/>
  <c r="E59" i="28"/>
  <c r="AW98" i="28"/>
  <c r="D25" i="28"/>
  <c r="P92" i="28"/>
  <c r="AM72" i="28"/>
  <c r="CO55" i="28"/>
  <c r="CO79" i="28"/>
  <c r="BI18" i="28"/>
  <c r="D27" i="31"/>
  <c r="AK50" i="28"/>
  <c r="BA111" i="28"/>
  <c r="CS115" i="28"/>
  <c r="O42" i="28"/>
  <c r="M9" i="31"/>
  <c r="E27" i="28"/>
  <c r="AO21" i="28"/>
  <c r="O21" i="31"/>
  <c r="BA42" i="28"/>
  <c r="BK15" i="28"/>
  <c r="AK32" i="28"/>
  <c r="CO59" i="28"/>
  <c r="CE46" i="28"/>
  <c r="AW75" i="28"/>
  <c r="BK19" i="28"/>
  <c r="CC30" i="28"/>
  <c r="AO81" i="28"/>
  <c r="AL34" i="28"/>
  <c r="AW70" i="28"/>
  <c r="O60" i="28"/>
  <c r="Q71" i="28"/>
  <c r="BK39" i="28"/>
  <c r="CG111" i="28"/>
  <c r="G83" i="28"/>
  <c r="AM58" i="28"/>
  <c r="O50" i="28"/>
  <c r="E70" i="28"/>
  <c r="S28" i="28"/>
  <c r="CO41" i="28"/>
  <c r="AL94" i="28"/>
  <c r="S77" i="28"/>
  <c r="D83" i="28"/>
  <c r="AO87" i="28"/>
  <c r="O111" i="28"/>
  <c r="CG85" i="28"/>
  <c r="CD4" i="28"/>
  <c r="AK104" i="28"/>
  <c r="BA118" i="28"/>
  <c r="BI85" i="28"/>
  <c r="BK102" i="28"/>
  <c r="O80" i="28"/>
  <c r="AM94" i="28"/>
  <c r="O74" i="28"/>
  <c r="CO43" i="28"/>
  <c r="CD23" i="28"/>
  <c r="AX53" i="28"/>
  <c r="Q42" i="28"/>
  <c r="L14" i="31"/>
  <c r="CC68" i="28"/>
  <c r="AX93" i="28"/>
  <c r="CE91" i="28"/>
  <c r="BA37" i="28"/>
  <c r="CQ80" i="28"/>
  <c r="E14" i="31"/>
  <c r="CS95" i="28"/>
  <c r="BA59" i="28"/>
  <c r="P80" i="28"/>
  <c r="CP106" i="28"/>
  <c r="E42" i="28"/>
  <c r="D23" i="31"/>
  <c r="K12" i="31"/>
  <c r="S89" i="28"/>
  <c r="S69" i="28"/>
  <c r="BA62" i="28"/>
  <c r="BK27" i="28"/>
  <c r="G81" i="28"/>
  <c r="CC65" i="28"/>
  <c r="CS73" i="28"/>
  <c r="CE76" i="28"/>
  <c r="P115" i="28"/>
  <c r="D48" i="28"/>
  <c r="CP113" i="28"/>
  <c r="AM98" i="28"/>
  <c r="BK63" i="28"/>
  <c r="CS29" i="28"/>
  <c r="C122" i="28"/>
  <c r="CG104" i="28"/>
  <c r="Q116" i="28"/>
  <c r="AL39" i="28"/>
  <c r="D30" i="28"/>
  <c r="BI75" i="28"/>
  <c r="E19" i="28"/>
  <c r="AW22" i="28"/>
  <c r="AY62" i="28"/>
  <c r="BI52" i="28"/>
  <c r="AM16" i="28"/>
  <c r="CP52" i="28"/>
  <c r="AX33" i="28"/>
  <c r="O88" i="28"/>
  <c r="CE103" i="28"/>
  <c r="Q29" i="28"/>
  <c r="AM90" i="28"/>
  <c r="AM66" i="28"/>
  <c r="C100" i="28"/>
  <c r="CO57" i="28"/>
  <c r="S102" i="28"/>
  <c r="C52" i="28"/>
  <c r="AW46" i="28"/>
  <c r="E40" i="28"/>
  <c r="E74" i="28"/>
  <c r="P36" i="28"/>
  <c r="BI35" i="28"/>
  <c r="CG54" i="28"/>
  <c r="E99" i="28"/>
  <c r="AM122" i="28"/>
  <c r="AX111" i="28"/>
  <c r="AW80" i="28"/>
  <c r="AX101" i="28"/>
  <c r="CD69" i="28"/>
  <c r="E43" i="28"/>
  <c r="AO39" i="28"/>
  <c r="CP46" i="28"/>
  <c r="O56" i="28"/>
  <c r="CE47" i="28"/>
  <c r="CG69" i="28"/>
  <c r="CE82" i="28"/>
  <c r="C33" i="28"/>
  <c r="C80" i="28"/>
  <c r="BI103" i="28"/>
  <c r="AX49" i="28"/>
  <c r="CQ89" i="28"/>
  <c r="BA81" i="28"/>
  <c r="AL63" i="28"/>
  <c r="L5" i="31"/>
  <c r="CC51" i="28"/>
  <c r="CS103" i="28"/>
  <c r="AM40" i="28"/>
  <c r="D50" i="28"/>
  <c r="AL77" i="28"/>
  <c r="G75" i="28"/>
  <c r="G113" i="28"/>
  <c r="AY109" i="28"/>
  <c r="AK110" i="28"/>
  <c r="BK41" i="28"/>
  <c r="CQ81" i="28"/>
  <c r="CE79" i="28"/>
  <c r="CD54" i="28"/>
  <c r="C43" i="28"/>
  <c r="CS59" i="28"/>
  <c r="CC73" i="28"/>
  <c r="K23" i="31"/>
  <c r="CE71" i="28"/>
  <c r="K5" i="31"/>
  <c r="D12" i="31"/>
  <c r="CP76" i="28"/>
  <c r="AY84" i="28"/>
  <c r="P77" i="28"/>
  <c r="CQ16" i="28"/>
  <c r="AY88" i="28"/>
  <c r="AK114" i="28"/>
  <c r="P53" i="28"/>
  <c r="CE66" i="28"/>
  <c r="CP104" i="28"/>
  <c r="AM17" i="28"/>
  <c r="AW51" i="28"/>
  <c r="AY21" i="28"/>
  <c r="BJ105" i="28"/>
  <c r="AW99" i="28"/>
  <c r="E35" i="28"/>
  <c r="BK85" i="28"/>
  <c r="CP122" i="28"/>
  <c r="N14" i="31"/>
  <c r="D92" i="28"/>
  <c r="BK51" i="28"/>
  <c r="D57" i="28"/>
  <c r="C108" i="28"/>
  <c r="C55" i="28"/>
  <c r="E92" i="28"/>
  <c r="N11" i="31"/>
  <c r="AL109" i="28"/>
  <c r="H28" i="31"/>
  <c r="AO46" i="28"/>
  <c r="G86" i="28"/>
  <c r="CP66" i="28"/>
  <c r="O43" i="28"/>
  <c r="C104" i="28"/>
  <c r="CS58" i="28"/>
  <c r="CE74" i="28"/>
  <c r="AX25" i="28"/>
  <c r="CP22" i="28"/>
  <c r="H9" i="31"/>
  <c r="CQ32" i="28"/>
  <c r="CQ106" i="28"/>
  <c r="M25" i="31"/>
  <c r="AK75" i="28"/>
  <c r="C79" i="28"/>
  <c r="AX95" i="28"/>
  <c r="AK43" i="28"/>
  <c r="CG105" i="28"/>
  <c r="BA105" i="28"/>
  <c r="AY58" i="28"/>
  <c r="CE111" i="28"/>
  <c r="AM15" i="28"/>
  <c r="CE25" i="28"/>
  <c r="AK86" i="28"/>
  <c r="AK52" i="28"/>
  <c r="CS74" i="28"/>
  <c r="AW50" i="28"/>
  <c r="D105" i="28"/>
  <c r="AY112" i="28"/>
  <c r="AM59" i="28"/>
  <c r="AX56" i="28"/>
  <c r="AW29" i="28"/>
  <c r="CQ94" i="28"/>
  <c r="O34" i="28"/>
  <c r="CQ85" i="28"/>
  <c r="O91" i="28"/>
  <c r="CE69" i="28"/>
  <c r="CE62" i="28"/>
  <c r="CO71" i="28"/>
  <c r="AM87" i="28"/>
  <c r="BK57" i="28"/>
  <c r="AK45" i="28"/>
  <c r="C95" i="28"/>
  <c r="BI71" i="28"/>
  <c r="AY39" i="28"/>
  <c r="CE115" i="28"/>
  <c r="G115" i="28"/>
  <c r="D35" i="28"/>
  <c r="CO95" i="28"/>
  <c r="S29" i="28"/>
  <c r="AK120" i="28"/>
  <c r="AW114" i="28"/>
  <c r="BI36" i="28"/>
  <c r="D32" i="28"/>
  <c r="J7" i="31"/>
  <c r="BA112" i="28"/>
  <c r="BK115" i="28"/>
  <c r="AO75" i="28"/>
  <c r="CS76" i="28"/>
  <c r="CE44" i="28"/>
  <c r="CG15" i="28"/>
  <c r="D19" i="28"/>
  <c r="BA18" i="28"/>
  <c r="CQ31" i="28"/>
  <c r="CE95" i="28"/>
  <c r="G56" i="28"/>
  <c r="C110" i="28"/>
  <c r="Q101" i="28"/>
  <c r="AK106" i="28"/>
  <c r="CG60" i="28"/>
  <c r="CQ54" i="28"/>
  <c r="AY106" i="28"/>
  <c r="S75" i="28"/>
  <c r="G47" i="28"/>
  <c r="E37" i="28"/>
  <c r="P117" i="28"/>
  <c r="AL44" i="28"/>
  <c r="D63" i="28"/>
  <c r="D29" i="28"/>
  <c r="CS90" i="28"/>
  <c r="CS36" i="28"/>
  <c r="BI88" i="28"/>
  <c r="CQ66" i="28"/>
  <c r="AW25" i="28"/>
  <c r="CG96" i="28"/>
  <c r="I25" i="31"/>
  <c r="CC81" i="28"/>
  <c r="G19" i="28"/>
  <c r="AW102" i="28"/>
  <c r="S36" i="28"/>
  <c r="BA21" i="28"/>
  <c r="C113" i="28"/>
  <c r="AK70" i="28"/>
  <c r="N24" i="31"/>
  <c r="AM65" i="28"/>
  <c r="AK90" i="28"/>
  <c r="CE81" i="28"/>
  <c r="P105" i="28"/>
  <c r="D66" i="28"/>
  <c r="AM35" i="28"/>
  <c r="BK82" i="28"/>
  <c r="CP61" i="28"/>
  <c r="AL91" i="28"/>
  <c r="CD68" i="28"/>
  <c r="AL113" i="28"/>
  <c r="CP109" i="28"/>
  <c r="G34" i="28"/>
  <c r="CS107" i="28"/>
  <c r="CO98" i="28"/>
  <c r="G55" i="28"/>
  <c r="AM44" i="28"/>
  <c r="AW37" i="28"/>
  <c r="D107" i="28"/>
  <c r="BK106" i="28"/>
  <c r="CQ49" i="28"/>
  <c r="CQ27" i="28"/>
  <c r="P49" i="28"/>
  <c r="Q96" i="28"/>
  <c r="S67" i="28"/>
  <c r="AK41" i="28"/>
  <c r="AL31" i="28"/>
  <c r="CQ63" i="28"/>
  <c r="D54" i="28"/>
  <c r="CQ114" i="28"/>
  <c r="BI117" i="28"/>
  <c r="AK61" i="28"/>
  <c r="BK89" i="28"/>
  <c r="Q21" i="28"/>
  <c r="BK105" i="28"/>
  <c r="C46" i="28"/>
  <c r="C65" i="28"/>
  <c r="CC45" i="28"/>
  <c r="AX21" i="28"/>
  <c r="BK90" i="28"/>
  <c r="AK36" i="28"/>
  <c r="CS66" i="28"/>
  <c r="C60" i="28"/>
  <c r="CS64" i="28"/>
  <c r="AX20" i="28"/>
  <c r="CQ102" i="28"/>
  <c r="G97" i="28"/>
  <c r="CG106" i="28"/>
  <c r="AW71" i="28"/>
  <c r="BK98" i="28"/>
  <c r="S22" i="28"/>
  <c r="AW90" i="28"/>
  <c r="D74" i="28"/>
  <c r="CD26" i="28"/>
  <c r="CD100" i="28"/>
  <c r="AX114" i="28"/>
  <c r="AL88" i="28"/>
  <c r="G90" i="28"/>
  <c r="BI62" i="28"/>
  <c r="E79" i="28"/>
  <c r="CP42" i="28"/>
  <c r="G12" i="31"/>
  <c r="CC107" i="28"/>
  <c r="CG39" i="28"/>
  <c r="AX22" i="28"/>
  <c r="CG23" i="28"/>
  <c r="CP103" i="28"/>
  <c r="CS113" i="28"/>
  <c r="O21" i="28"/>
  <c r="BK96" i="28"/>
  <c r="P28" i="28"/>
  <c r="CG116" i="28"/>
  <c r="AY60" i="28"/>
  <c r="CO17" i="28"/>
  <c r="AL25" i="28"/>
  <c r="H6" i="31"/>
  <c r="AL18" i="28"/>
  <c r="BA109" i="28"/>
  <c r="G63" i="28"/>
  <c r="S49" i="28"/>
  <c r="CS39" i="28"/>
  <c r="CE98" i="28"/>
  <c r="E23" i="28"/>
  <c r="CC35" i="28"/>
  <c r="M15" i="31"/>
  <c r="AK39" i="28"/>
  <c r="E26" i="31"/>
  <c r="BA60" i="28"/>
  <c r="M28" i="31"/>
  <c r="CP67" i="28"/>
  <c r="CD66" i="28"/>
  <c r="AW106" i="28"/>
  <c r="O32" i="28"/>
  <c r="G14" i="31"/>
  <c r="D108" i="28"/>
  <c r="CQ84" i="28"/>
  <c r="AL120" i="28"/>
  <c r="BK28" i="28"/>
  <c r="CO74" i="28"/>
  <c r="C32" i="28"/>
  <c r="CO62" i="28"/>
  <c r="AX36" i="28"/>
  <c r="BJ73" i="28"/>
  <c r="BI108" i="28"/>
  <c r="BI83" i="28"/>
  <c r="D89" i="28"/>
  <c r="AM63" i="28"/>
  <c r="BJ97" i="28"/>
  <c r="CS117" i="28"/>
  <c r="AX91" i="28"/>
  <c r="Q72" i="28"/>
  <c r="S55" i="28"/>
  <c r="AY66" i="28"/>
  <c r="AK48" i="28"/>
  <c r="Q118" i="28"/>
  <c r="CG51" i="28"/>
  <c r="C106" i="28"/>
  <c r="P41" i="28"/>
  <c r="CE117" i="28"/>
  <c r="BA70" i="28"/>
  <c r="E73" i="28"/>
  <c r="CC95" i="28"/>
  <c r="P73" i="28"/>
  <c r="G122" i="28"/>
  <c r="G88" i="28"/>
  <c r="D115" i="28"/>
  <c r="S107" i="28"/>
  <c r="O122" i="28"/>
  <c r="AK60" i="28"/>
  <c r="BK87" i="28"/>
  <c r="CO27" i="28"/>
  <c r="S66" i="28"/>
  <c r="CE60" i="28"/>
  <c r="BJ75" i="28"/>
  <c r="BJ99" i="28"/>
  <c r="AL81" i="28"/>
  <c r="D112" i="28"/>
  <c r="CG27" i="28"/>
  <c r="D87" i="28"/>
  <c r="CE52" i="28"/>
  <c r="CG52" i="28"/>
  <c r="AX86" i="28"/>
  <c r="CP43" i="28"/>
  <c r="AO20" i="28"/>
  <c r="I12" i="31"/>
  <c r="CO16" i="28"/>
  <c r="AX35" i="28"/>
  <c r="AL21" i="28"/>
  <c r="AK109" i="28"/>
  <c r="AO38" i="28"/>
  <c r="CG108" i="28"/>
  <c r="AW121" i="28"/>
  <c r="CQ74" i="28"/>
  <c r="Q27" i="28"/>
  <c r="CQ111" i="28"/>
  <c r="E93" i="28"/>
  <c r="AW43" i="28"/>
  <c r="CO48" i="28"/>
  <c r="Q66" i="28"/>
  <c r="CG18" i="28"/>
  <c r="CO53" i="28"/>
  <c r="D17" i="28"/>
  <c r="CD55" i="28"/>
  <c r="CG66" i="28"/>
  <c r="CG29" i="28"/>
  <c r="CP16" i="28"/>
  <c r="AO99" i="28"/>
  <c r="AX110" i="28"/>
  <c r="CO93" i="28"/>
  <c r="BJ116" i="28"/>
  <c r="P25" i="28"/>
  <c r="S45" i="28"/>
  <c r="BK46" i="28"/>
  <c r="BI26" i="28"/>
  <c r="E24" i="28"/>
  <c r="C101" i="28"/>
  <c r="AM57" i="28"/>
  <c r="CE63" i="28"/>
  <c r="AK31" i="28"/>
  <c r="CO92" i="28"/>
  <c r="AY48" i="28"/>
  <c r="CG33" i="28"/>
  <c r="AO50" i="28"/>
  <c r="AK122" i="28"/>
  <c r="E58" i="28"/>
  <c r="CD112" i="28"/>
  <c r="O107" i="28"/>
  <c r="D16" i="28"/>
  <c r="F12" i="31"/>
  <c r="E87" i="28"/>
  <c r="AK121" i="28"/>
  <c r="S25" i="28"/>
  <c r="C81" i="28"/>
  <c r="CQ78" i="28"/>
  <c r="H26" i="31"/>
  <c r="P43" i="28"/>
  <c r="S46" i="28"/>
  <c r="AY54" i="28"/>
  <c r="F21" i="31"/>
  <c r="C31" i="28"/>
  <c r="D102" i="28"/>
  <c r="CD116" i="28"/>
  <c r="CP115" i="28"/>
  <c r="CQ29" i="28"/>
  <c r="AX37" i="28"/>
  <c r="BI33" i="28"/>
  <c r="AY114" i="28"/>
  <c r="P118" i="28"/>
  <c r="CD96" i="28"/>
  <c r="CO107" i="28"/>
  <c r="BA100" i="28"/>
  <c r="AY63" i="28"/>
  <c r="CS46" i="28"/>
  <c r="L13" i="31"/>
  <c r="AX74" i="28"/>
  <c r="CO22" i="28"/>
  <c r="BK77" i="28"/>
  <c r="CC76" i="28"/>
  <c r="AK111" i="28"/>
  <c r="AO37" i="28"/>
  <c r="AL52" i="28"/>
  <c r="CO37" i="28"/>
  <c r="AW94" i="28"/>
  <c r="E6" i="31"/>
  <c r="C99" i="28"/>
  <c r="AX40" i="28"/>
  <c r="AL35" i="28"/>
  <c r="CG102" i="28"/>
  <c r="O51" i="28"/>
  <c r="CE99" i="28"/>
  <c r="F17" i="31"/>
  <c r="AK85" i="28"/>
  <c r="AY119" i="28"/>
  <c r="D18" i="28"/>
  <c r="AO33" i="28"/>
  <c r="AM71" i="28"/>
  <c r="Q44" i="28"/>
  <c r="BK55" i="28"/>
  <c r="CQ119" i="28"/>
  <c r="CD21" i="28"/>
  <c r="E113" i="28"/>
  <c r="C70" i="28"/>
  <c r="AX80" i="28"/>
  <c r="AL80" i="28"/>
  <c r="E94" i="28"/>
  <c r="AW107" i="28"/>
  <c r="CC23" i="28"/>
  <c r="BI110" i="28"/>
  <c r="AK78" i="28"/>
  <c r="M13" i="31"/>
  <c r="AY44" i="28"/>
  <c r="CD25" i="28"/>
  <c r="AY87" i="28"/>
  <c r="BJ92" i="28"/>
  <c r="S98" i="28"/>
  <c r="BI25" i="28"/>
  <c r="AM62" i="28"/>
  <c r="P44" i="28"/>
  <c r="CD120" i="28"/>
  <c r="CQ28" i="28"/>
  <c r="S54" i="28"/>
  <c r="E46" i="28"/>
  <c r="Q117" i="28"/>
  <c r="CD20" i="28"/>
  <c r="G101" i="28"/>
  <c r="CC104" i="28"/>
  <c r="AX57" i="28"/>
  <c r="J5" i="31"/>
  <c r="BA36" i="28"/>
  <c r="Q30" i="28"/>
  <c r="Q102" i="28"/>
  <c r="BA68" i="28"/>
  <c r="E11" i="31"/>
  <c r="D98" i="28"/>
  <c r="AX65" i="28"/>
  <c r="CG114" i="28"/>
  <c r="AO18" i="28"/>
  <c r="CO63" i="28"/>
  <c r="BA87" i="28"/>
  <c r="AM79" i="28"/>
  <c r="CC114" i="28"/>
  <c r="BI105" i="28"/>
  <c r="BA40" i="28"/>
  <c r="CG113" i="28"/>
  <c r="BI29" i="28"/>
  <c r="I27" i="31"/>
  <c r="CG44" i="28"/>
  <c r="P108" i="28"/>
  <c r="G109" i="28"/>
  <c r="AO72" i="28"/>
  <c r="O61" i="28"/>
  <c r="CD102" i="28"/>
  <c r="O47" i="28"/>
  <c r="CG86" i="28"/>
  <c r="AO31" i="28"/>
  <c r="C53" i="28"/>
  <c r="G84" i="28"/>
  <c r="D96" i="28"/>
  <c r="Q121" i="28"/>
  <c r="O58" i="28"/>
  <c r="CP80" i="28"/>
  <c r="CE51" i="28"/>
  <c r="P113" i="28"/>
  <c r="CQ101" i="28"/>
  <c r="BK24" i="28"/>
  <c r="CC63" i="28"/>
  <c r="CQ46" i="28"/>
  <c r="E104" i="28"/>
  <c r="AO30" i="28"/>
  <c r="S73" i="28"/>
  <c r="CQ48" i="28"/>
  <c r="AX120" i="28"/>
  <c r="CQ79" i="28"/>
  <c r="CS67" i="28"/>
  <c r="CD62" i="28"/>
  <c r="BJ109" i="28"/>
  <c r="CC52" i="28"/>
  <c r="K11" i="31"/>
  <c r="Q120" i="28"/>
  <c r="BK38" i="28"/>
  <c r="BA82" i="28"/>
  <c r="CG101" i="28"/>
  <c r="AW89" i="28"/>
  <c r="BJ74" i="28"/>
  <c r="AY15" i="28"/>
  <c r="J13" i="31"/>
  <c r="CD24" i="28"/>
  <c r="BK114" i="28"/>
  <c r="Q67" i="28"/>
  <c r="CE33" i="28"/>
  <c r="CO65" i="28"/>
  <c r="D26" i="28"/>
  <c r="S80" i="28"/>
  <c r="CP121" i="28"/>
  <c r="AX19" i="28"/>
  <c r="AK66" i="28"/>
  <c r="AM83" i="28"/>
  <c r="AM91" i="28"/>
  <c r="G103" i="28"/>
  <c r="S53" i="28"/>
  <c r="AW100" i="28"/>
  <c r="CD110" i="28"/>
  <c r="Q41" i="28"/>
  <c r="AX79" i="28"/>
  <c r="CG99" i="28"/>
  <c r="CS22" i="28"/>
  <c r="BA97" i="28"/>
  <c r="G23" i="31"/>
  <c r="CE108" i="28"/>
  <c r="CG103" i="28"/>
  <c r="CE89" i="28"/>
  <c r="AO98" i="28"/>
  <c r="Q113" i="28"/>
  <c r="CD70" i="28"/>
  <c r="E72" i="28"/>
  <c r="CG43" i="28"/>
  <c r="CD63" i="28"/>
  <c r="AO86" i="28"/>
  <c r="CD89" i="28"/>
  <c r="O71" i="28"/>
  <c r="H13" i="31"/>
  <c r="AW56" i="28"/>
  <c r="BK109" i="28"/>
  <c r="BA117" i="28"/>
  <c r="BA15" i="28"/>
  <c r="O73" i="28"/>
  <c r="BA94" i="28"/>
  <c r="CO89" i="28"/>
  <c r="CP98" i="28"/>
  <c r="D72" i="28"/>
  <c r="AK51" i="28"/>
  <c r="AL20" i="28"/>
  <c r="AL85" i="28"/>
  <c r="S43" i="28"/>
  <c r="P63" i="28"/>
  <c r="CP34" i="28"/>
  <c r="BA88" i="28"/>
  <c r="BJ86" i="28"/>
  <c r="BK56" i="28"/>
  <c r="CC46" i="28"/>
  <c r="BJ89" i="28"/>
  <c r="CS119" i="28"/>
  <c r="C114" i="28"/>
  <c r="CE112" i="28"/>
  <c r="CG46" i="28"/>
  <c r="BI92" i="28"/>
  <c r="BI16" i="28"/>
  <c r="D20" i="28"/>
  <c r="G50" i="28"/>
  <c r="D120" i="28"/>
  <c r="BA28" i="28"/>
  <c r="AM27" i="28"/>
  <c r="Q97" i="28"/>
  <c r="CS21" i="28"/>
  <c r="CE65" i="28"/>
  <c r="CP102" i="28"/>
  <c r="AO22" i="28"/>
  <c r="CC33" i="28"/>
  <c r="G92" i="28"/>
  <c r="AM74" i="28"/>
  <c r="D88" i="28"/>
  <c r="CC103" i="28"/>
  <c r="BA77" i="28"/>
  <c r="CP95" i="28"/>
  <c r="O39" i="28"/>
  <c r="CO96" i="28"/>
  <c r="CP19" i="28"/>
  <c r="AW39" i="28"/>
  <c r="O29" i="28"/>
  <c r="G17" i="28"/>
  <c r="P33" i="28"/>
  <c r="AX66" i="28"/>
  <c r="AL17" i="28"/>
  <c r="L24" i="31"/>
  <c r="CD49" i="28"/>
  <c r="E90" i="28"/>
  <c r="O82" i="28"/>
  <c r="CP54" i="28"/>
  <c r="CQ41" i="28"/>
  <c r="O113" i="28"/>
  <c r="C47" i="28"/>
  <c r="C20" i="28"/>
  <c r="BI95" i="28"/>
  <c r="AY18" i="28"/>
  <c r="CO15" i="28"/>
  <c r="G110" i="28"/>
  <c r="CS60" i="28"/>
  <c r="S109" i="28"/>
  <c r="J27" i="31"/>
  <c r="O96" i="28"/>
  <c r="CC56" i="28"/>
  <c r="AX73" i="28"/>
  <c r="P46" i="28"/>
  <c r="BI101" i="28"/>
  <c r="CC18" i="28"/>
  <c r="AY105" i="28"/>
  <c r="G111" i="28"/>
  <c r="E68" i="28"/>
  <c r="CE59" i="28"/>
  <c r="D53" i="28"/>
  <c r="P55" i="28"/>
  <c r="AM20" i="28"/>
  <c r="CQ44" i="28"/>
  <c r="AO112" i="28"/>
  <c r="G6" i="31"/>
  <c r="S100" i="28"/>
  <c r="AM121" i="28"/>
  <c r="AL53" i="28"/>
  <c r="CP39" i="28"/>
  <c r="P56" i="28"/>
  <c r="I6" i="31"/>
  <c r="Q48" i="28"/>
  <c r="AL72" i="28"/>
  <c r="CQ86" i="28"/>
  <c r="AY57" i="28"/>
  <c r="P16" i="28"/>
  <c r="AY100" i="28"/>
  <c r="CC78" i="28"/>
  <c r="AY73" i="28"/>
  <c r="AL24" i="28"/>
  <c r="CQ21" i="28"/>
  <c r="CE58" i="28"/>
  <c r="BI89" i="28"/>
  <c r="AK74" i="28"/>
  <c r="AW79" i="28"/>
  <c r="CG74" i="28"/>
  <c r="AL98" i="28"/>
  <c r="P37" i="28"/>
  <c r="O25" i="31"/>
  <c r="CP51" i="28"/>
  <c r="AW84" i="28"/>
  <c r="CG118" i="28"/>
  <c r="BI47" i="28"/>
  <c r="CS97" i="28"/>
  <c r="AK93" i="28"/>
  <c r="O116" i="28"/>
  <c r="AY97" i="28"/>
  <c r="AW66" i="28"/>
  <c r="AO45" i="28"/>
  <c r="S60" i="28"/>
  <c r="CO82" i="28"/>
  <c r="C48" i="28"/>
  <c r="CG79" i="28"/>
  <c r="G66" i="28"/>
  <c r="AX119" i="28"/>
  <c r="CD122" i="28"/>
  <c r="Q54" i="28"/>
  <c r="J6" i="31"/>
  <c r="CP28" i="28"/>
  <c r="I23" i="31"/>
  <c r="CQ112" i="28"/>
  <c r="AM96" i="28"/>
  <c r="AL69" i="28"/>
  <c r="AY49" i="28"/>
  <c r="P31" i="28"/>
  <c r="Q45" i="28"/>
  <c r="S83" i="28"/>
  <c r="CP48" i="28"/>
  <c r="CD35" i="28"/>
  <c r="F7" i="31"/>
  <c r="O16" i="28"/>
  <c r="O36" i="28"/>
  <c r="BK104" i="28"/>
  <c r="AX88" i="28"/>
  <c r="BA79" i="28"/>
  <c r="AY34" i="28"/>
  <c r="E81" i="28"/>
  <c r="CS72" i="28"/>
  <c r="L6" i="31"/>
  <c r="E89" i="28"/>
  <c r="E88" i="28"/>
  <c r="AY101" i="28"/>
  <c r="AL95" i="28"/>
  <c r="Q110" i="28"/>
  <c r="Q79" i="28"/>
  <c r="CS48" i="28"/>
  <c r="G80" i="28"/>
  <c r="AM28" i="28"/>
  <c r="CS32" i="28"/>
  <c r="E56" i="28"/>
  <c r="CS26" i="28"/>
  <c r="BK117" i="28"/>
  <c r="CG81" i="28"/>
  <c r="C28" i="28"/>
  <c r="Q70" i="28"/>
  <c r="CO103" i="28"/>
  <c r="CE72" i="28"/>
  <c r="AL19" i="28"/>
  <c r="AK56" i="28"/>
  <c r="CO116" i="28"/>
  <c r="C72" i="28"/>
  <c r="O18" i="28"/>
  <c r="G71" i="28"/>
  <c r="AO118" i="28"/>
  <c r="D58" i="28"/>
  <c r="E85" i="28"/>
  <c r="CE42" i="28"/>
  <c r="H11" i="31"/>
  <c r="G58" i="28"/>
  <c r="E114" i="28"/>
  <c r="AW33" i="28"/>
  <c r="G102" i="28"/>
  <c r="C22" i="28"/>
  <c r="Q53" i="28"/>
  <c r="O13" i="31"/>
  <c r="L25" i="31"/>
  <c r="BI22" i="28"/>
  <c r="CE23" i="28"/>
  <c r="CD104" i="28"/>
  <c r="P119" i="28"/>
  <c r="E106" i="28"/>
  <c r="CQ122" i="28"/>
  <c r="D67" i="28"/>
  <c r="O83" i="28"/>
  <c r="CE18" i="28"/>
  <c r="CC57" i="28"/>
  <c r="AO92" i="28"/>
  <c r="E101" i="28"/>
  <c r="CQ83" i="28"/>
  <c r="CG25" i="28"/>
  <c r="AM26" i="28"/>
  <c r="CO38" i="28"/>
  <c r="S97" i="28"/>
  <c r="BI80" i="28"/>
  <c r="CC79" i="28"/>
  <c r="AO120" i="28"/>
  <c r="CQ71" i="28"/>
  <c r="O94" i="28"/>
  <c r="AL92" i="28"/>
  <c r="Q91" i="28"/>
  <c r="AW47" i="28"/>
  <c r="E69" i="28"/>
  <c r="CE97" i="28"/>
  <c r="S57" i="28"/>
  <c r="G118" i="28"/>
  <c r="C38" i="28"/>
  <c r="AL42" i="28"/>
  <c r="CO47" i="28"/>
  <c r="J9" i="31"/>
  <c r="BA63" i="28"/>
  <c r="BK31" i="28"/>
  <c r="AX82" i="28"/>
  <c r="CP63" i="28"/>
  <c r="CE27" i="28"/>
  <c r="E54" i="28"/>
  <c r="D86" i="28"/>
  <c r="G22" i="28"/>
  <c r="C36" i="28"/>
  <c r="CD81" i="28"/>
  <c r="Q112" i="28"/>
  <c r="BI100" i="28"/>
  <c r="BA114" i="28"/>
  <c r="AW32" i="28"/>
  <c r="P58" i="28"/>
  <c r="CO117" i="28"/>
  <c r="CS100" i="28"/>
  <c r="N26" i="31"/>
  <c r="D46" i="28"/>
  <c r="CG61" i="28"/>
  <c r="AO115" i="28"/>
  <c r="CO68" i="28"/>
  <c r="D21" i="31"/>
  <c r="BA23" i="28"/>
  <c r="CG110" i="28"/>
  <c r="AX38" i="28"/>
  <c r="AW20" i="28"/>
  <c r="P71" i="28"/>
  <c r="AX83" i="28"/>
  <c r="K24" i="31"/>
  <c r="D71" i="28"/>
  <c r="G120" i="28"/>
  <c r="BK80" i="28"/>
  <c r="Q81" i="28"/>
  <c r="AW78" i="28"/>
  <c r="S56" i="28"/>
  <c r="BI120" i="28"/>
  <c r="CS105" i="28"/>
  <c r="AM75" i="28"/>
  <c r="G16" i="28"/>
  <c r="CP73" i="28"/>
  <c r="BJ110" i="28"/>
  <c r="AO40" i="28"/>
  <c r="AX17" i="28"/>
  <c r="BK21" i="28"/>
  <c r="G91" i="28"/>
  <c r="CE116" i="28"/>
  <c r="BJ83" i="28"/>
  <c r="BK44" i="28"/>
  <c r="D114" i="28"/>
  <c r="N23" i="31"/>
  <c r="CS75" i="28"/>
  <c r="CC53" i="28"/>
  <c r="N7" i="31"/>
  <c r="S44" i="28"/>
  <c r="CG21" i="28"/>
  <c r="CC99" i="28"/>
  <c r="O52" i="28"/>
  <c r="CQ92" i="28"/>
  <c r="BI40" i="28"/>
  <c r="C29" i="28"/>
  <c r="CQ30" i="28"/>
  <c r="BJ106" i="28"/>
  <c r="BK111" i="28"/>
  <c r="S42" i="28"/>
  <c r="G82" i="28"/>
  <c r="S92" i="28"/>
  <c r="M14" i="31"/>
  <c r="AK46" i="28"/>
  <c r="P102" i="28"/>
  <c r="D94" i="28"/>
  <c r="S20" i="28"/>
  <c r="AY82" i="28"/>
  <c r="CS85" i="28"/>
  <c r="BA67" i="28"/>
  <c r="AY90" i="28"/>
  <c r="G18" i="28"/>
  <c r="AM52" i="28"/>
  <c r="CO80" i="28"/>
  <c r="AM86" i="28"/>
  <c r="CD73" i="28"/>
  <c r="AK34" i="28"/>
  <c r="AO15" i="28"/>
  <c r="CG28" i="28"/>
  <c r="F15" i="31"/>
  <c r="CS98" i="28"/>
  <c r="D76" i="28"/>
  <c r="AL65" i="28"/>
  <c r="CP82" i="28"/>
  <c r="BK16" i="28"/>
  <c r="G32" i="28"/>
  <c r="S30" i="28"/>
  <c r="CC50" i="28"/>
  <c r="BA61" i="28"/>
  <c r="N13" i="31"/>
  <c r="CQ15" i="28"/>
  <c r="L9" i="31"/>
  <c r="AX18" i="28"/>
  <c r="P21" i="28"/>
  <c r="BK22" i="28"/>
  <c r="BK42" i="28"/>
  <c r="O119" i="28"/>
  <c r="CD71" i="28"/>
  <c r="G76" i="28"/>
  <c r="BK76" i="28"/>
  <c r="AM50" i="28"/>
  <c r="CP37" i="28"/>
  <c r="P24" i="28"/>
  <c r="AX122" i="28"/>
  <c r="L28" i="31"/>
  <c r="AX39" i="28"/>
  <c r="BI81" i="28"/>
  <c r="CG22" i="28"/>
  <c r="E75" i="28"/>
  <c r="AM112" i="28"/>
  <c r="P112" i="28"/>
  <c r="D113" i="28"/>
  <c r="G54" i="28"/>
  <c r="AM115" i="28"/>
  <c r="CS110" i="28"/>
  <c r="G29" i="28"/>
  <c r="CC38" i="28"/>
  <c r="CS54" i="28"/>
  <c r="CQ23" i="28"/>
  <c r="CS121" i="28"/>
  <c r="AK17" i="28"/>
  <c r="AM43" i="28"/>
  <c r="CG32" i="28"/>
  <c r="AM68" i="28"/>
  <c r="N6" i="31"/>
  <c r="P39" i="28"/>
  <c r="AL106" i="28"/>
  <c r="AX58" i="28"/>
  <c r="CO69" i="28"/>
  <c r="AY36" i="28"/>
  <c r="AL62" i="28"/>
  <c r="BK118" i="28"/>
  <c r="BI102" i="28"/>
  <c r="AY115" i="28"/>
  <c r="CG24" i="28"/>
  <c r="D24" i="31"/>
  <c r="CS20" i="28"/>
  <c r="AW42" i="28"/>
  <c r="CS17" i="28"/>
  <c r="CD53" i="28"/>
  <c r="BA93" i="28"/>
  <c r="CQ68" i="28"/>
  <c r="P70" i="28"/>
  <c r="AY95" i="28"/>
  <c r="S76" i="28"/>
  <c r="AK30" i="28"/>
  <c r="P89" i="28"/>
  <c r="CS42" i="28"/>
  <c r="AY29" i="28"/>
  <c r="CD90" i="28"/>
  <c r="AM37" i="28"/>
  <c r="D82" i="28"/>
  <c r="AK94" i="28"/>
  <c r="CC110" i="28"/>
  <c r="P59" i="28"/>
  <c r="AL54" i="28"/>
  <c r="O81" i="28"/>
  <c r="BK81" i="28"/>
  <c r="AW24" i="28"/>
  <c r="CP70" i="28"/>
  <c r="AO63" i="28"/>
  <c r="G89" i="28"/>
  <c r="CS49" i="28"/>
  <c r="CC85" i="28"/>
  <c r="CS33" i="28"/>
  <c r="S59" i="28"/>
  <c r="BA34" i="28"/>
  <c r="CG49" i="28"/>
  <c r="S95" i="28"/>
  <c r="M5" i="31"/>
  <c r="AY117" i="28"/>
  <c r="AL75" i="28"/>
  <c r="E117" i="28"/>
  <c r="E44" i="28"/>
  <c r="AO108" i="28"/>
  <c r="BA26" i="28"/>
  <c r="AO23" i="28"/>
  <c r="CE118" i="28"/>
  <c r="E20" i="28"/>
  <c r="AO78" i="28"/>
  <c r="AK71" i="28"/>
  <c r="CC84" i="28"/>
  <c r="CS104" i="28"/>
  <c r="K17" i="31"/>
  <c r="CD109" i="28"/>
  <c r="AL15" i="28"/>
  <c r="E18" i="28"/>
  <c r="AL55" i="28"/>
  <c r="CO106" i="28"/>
  <c r="P65" i="28"/>
  <c r="N28" i="31"/>
  <c r="CS41" i="28"/>
  <c r="BI28" i="28"/>
  <c r="CP118" i="28"/>
  <c r="D55" i="28"/>
  <c r="CQ42" i="28"/>
  <c r="G62" i="28"/>
  <c r="BJ114" i="28"/>
  <c r="G26" i="28"/>
  <c r="P19" i="28"/>
  <c r="CE67" i="28"/>
  <c r="AL76" i="28"/>
  <c r="D104" i="28"/>
  <c r="AW44" i="28"/>
  <c r="Q50" i="28"/>
  <c r="CD98" i="28"/>
  <c r="CS35" i="28"/>
  <c r="CS15" i="28"/>
  <c r="P111" i="28"/>
  <c r="BK35" i="28"/>
  <c r="AM48" i="28"/>
  <c r="CE87" i="28"/>
  <c r="BA95" i="28"/>
  <c r="CS55" i="28"/>
  <c r="BA121" i="28"/>
  <c r="CD37" i="28"/>
  <c r="CO73" i="28"/>
  <c r="AW65" i="28"/>
  <c r="CP94" i="28"/>
  <c r="D43" i="28"/>
  <c r="AK83" i="28"/>
  <c r="AW111" i="28"/>
  <c r="Q19" i="28"/>
  <c r="AY118" i="28"/>
  <c r="E23" i="31"/>
  <c r="CS63" i="28"/>
  <c r="BI97" i="28"/>
  <c r="AK16" i="28"/>
  <c r="CC94" i="28"/>
  <c r="CO46" i="28"/>
  <c r="O6" i="31"/>
  <c r="AW52" i="28"/>
  <c r="CE15" i="28"/>
  <c r="S52" i="28"/>
  <c r="AM32" i="28"/>
  <c r="S116" i="28"/>
  <c r="CS78" i="28"/>
  <c r="C71" i="28"/>
  <c r="N25" i="31"/>
  <c r="CC48" i="28"/>
  <c r="CO24" i="28"/>
  <c r="P95" i="28"/>
  <c r="BI68" i="28"/>
  <c r="AY50" i="28"/>
  <c r="CO109" i="28"/>
  <c r="C93" i="28"/>
  <c r="G104" i="28"/>
  <c r="BK97" i="28"/>
  <c r="AX15" i="28"/>
  <c r="AW49" i="28"/>
  <c r="S122" i="28"/>
  <c r="CO118" i="28"/>
  <c r="BK50" i="28"/>
  <c r="CE70" i="28"/>
  <c r="CO25" i="28"/>
  <c r="E78" i="28"/>
  <c r="CC100" i="28"/>
  <c r="AK59" i="28"/>
  <c r="C23" i="28"/>
  <c r="CD88" i="28"/>
  <c r="D25" i="31"/>
  <c r="G53" i="28"/>
  <c r="Q16" i="28"/>
  <c r="CP89" i="28"/>
  <c r="P50" i="28"/>
  <c r="CO58" i="28"/>
  <c r="BA92" i="28"/>
  <c r="G60" i="28"/>
  <c r="H24" i="31"/>
  <c r="BK108" i="28"/>
  <c r="L21" i="31"/>
  <c r="AK118" i="28"/>
  <c r="CO88" i="28"/>
  <c r="CD15" i="28"/>
  <c r="D81" i="28"/>
  <c r="CD118" i="28"/>
  <c r="CQ40" i="28"/>
  <c r="AO28" i="28"/>
  <c r="BI42" i="28"/>
  <c r="AY67" i="28"/>
  <c r="AL71" i="28"/>
  <c r="AM119" i="28"/>
  <c r="D97" i="28"/>
  <c r="CP4" i="28"/>
  <c r="BA120" i="28"/>
  <c r="O55" i="28"/>
  <c r="CP97" i="28"/>
  <c r="CE119" i="28"/>
  <c r="BA73" i="28"/>
  <c r="O78" i="28"/>
  <c r="BI56" i="28"/>
  <c r="G48" i="28"/>
  <c r="O66" i="28"/>
  <c r="Q17" i="28"/>
  <c r="AL108" i="28"/>
  <c r="D26" i="31"/>
  <c r="CD57" i="28"/>
  <c r="AY61" i="28"/>
  <c r="AM84" i="28"/>
  <c r="E63" i="28"/>
  <c r="BJ91" i="28"/>
  <c r="I21" i="31"/>
  <c r="G114" i="28"/>
  <c r="BK70" i="28"/>
  <c r="S93" i="28"/>
  <c r="AW63" i="28"/>
  <c r="CP65" i="28"/>
  <c r="AX118" i="28"/>
  <c r="AL40" i="28"/>
  <c r="BK26" i="28"/>
  <c r="CD45" i="28"/>
  <c r="AY85" i="28"/>
  <c r="AX71" i="28"/>
  <c r="CG59" i="28"/>
  <c r="CQ52" i="28"/>
  <c r="AM61" i="28"/>
  <c r="AX89" i="28"/>
  <c r="AM21" i="28"/>
  <c r="I28" i="31"/>
  <c r="CD80" i="28"/>
  <c r="Q74" i="28"/>
  <c r="AM38" i="28"/>
  <c r="AM113" i="28"/>
  <c r="E65" i="28"/>
  <c r="CC105" i="28"/>
  <c r="AX106" i="28"/>
  <c r="CS106" i="28"/>
  <c r="AY91" i="28"/>
  <c r="O14" i="31"/>
  <c r="AX42" i="28"/>
  <c r="CC21" i="28"/>
  <c r="AY93" i="28"/>
  <c r="CQ118" i="28"/>
  <c r="O22" i="28"/>
  <c r="AL107" i="28"/>
  <c r="T26" i="31" l="1"/>
  <c r="O9" i="28"/>
  <c r="I5" i="3" s="1"/>
  <c r="G12" i="3"/>
  <c r="CD8" i="28"/>
  <c r="T25" i="31"/>
  <c r="AX8" i="28"/>
  <c r="CE8" i="28"/>
  <c r="E22" i="31"/>
  <c r="CS8" i="28"/>
  <c r="AL8" i="28"/>
  <c r="M4" i="31"/>
  <c r="T24" i="31"/>
  <c r="CQ8" i="28"/>
  <c r="AO8" i="28"/>
  <c r="N22" i="31"/>
  <c r="T21" i="31"/>
  <c r="H10" i="31"/>
  <c r="I22" i="31"/>
  <c r="G9" i="28"/>
  <c r="AW9" i="28"/>
  <c r="I8" i="3" s="1"/>
  <c r="CO8" i="28"/>
  <c r="BA8" i="28"/>
  <c r="G22" i="31"/>
  <c r="AK9" i="28"/>
  <c r="I7" i="3" s="1"/>
  <c r="AY8" i="28"/>
  <c r="K10" i="31"/>
  <c r="E10" i="31"/>
  <c r="J4" i="31"/>
  <c r="CG9" i="28"/>
  <c r="S9" i="28"/>
  <c r="CS9" i="28"/>
  <c r="CG8" i="28"/>
  <c r="AM8" i="28"/>
  <c r="N10" i="31"/>
  <c r="T12" i="31"/>
  <c r="K4" i="31"/>
  <c r="K22" i="31"/>
  <c r="L4" i="31"/>
  <c r="D22" i="31"/>
  <c r="T23" i="31"/>
  <c r="G11" i="3"/>
  <c r="BK8" i="28"/>
  <c r="T27" i="31"/>
  <c r="L22" i="31"/>
  <c r="P8" i="28"/>
  <c r="M10" i="31"/>
  <c r="G4" i="3"/>
  <c r="N4" i="31"/>
  <c r="J10" i="31"/>
  <c r="M22" i="31"/>
  <c r="G8" i="3"/>
  <c r="T17" i="31"/>
  <c r="D8" i="28"/>
  <c r="G10" i="31"/>
  <c r="BA9" i="28"/>
  <c r="O4" i="31"/>
  <c r="E4" i="31"/>
  <c r="T11" i="31"/>
  <c r="D10" i="31"/>
  <c r="T9" i="31"/>
  <c r="I10" i="31"/>
  <c r="BK9" i="28"/>
  <c r="O10" i="31"/>
  <c r="C9" i="28"/>
  <c r="I4" i="3" s="1"/>
  <c r="BI9" i="28"/>
  <c r="I9" i="3" s="1"/>
  <c r="H4" i="31"/>
  <c r="CC9" i="28"/>
  <c r="I11" i="3" s="1"/>
  <c r="G5" i="3"/>
  <c r="BJ10" i="28"/>
  <c r="G9" i="3" s="1"/>
  <c r="T15" i="31"/>
  <c r="C8" i="28"/>
  <c r="G7" i="3"/>
  <c r="CP8" i="28"/>
  <c r="J22" i="31"/>
  <c r="T28" i="31"/>
  <c r="G8" i="28"/>
  <c r="G10" i="28" s="1"/>
  <c r="Q8" i="28"/>
  <c r="H22" i="31"/>
  <c r="AW8" i="28"/>
  <c r="T7" i="31"/>
  <c r="F10" i="31"/>
  <c r="AK8" i="28"/>
  <c r="AO9" i="28"/>
  <c r="L10" i="31"/>
  <c r="F4" i="31"/>
  <c r="CC8" i="28"/>
  <c r="T5" i="31"/>
  <c r="D4" i="31"/>
  <c r="CO9" i="28"/>
  <c r="I12" i="3" s="1"/>
  <c r="O22" i="31"/>
  <c r="T13" i="31"/>
  <c r="O8" i="28"/>
  <c r="BI8" i="28"/>
  <c r="S8" i="28"/>
  <c r="S10" i="28" s="1"/>
  <c r="E8" i="28"/>
  <c r="G4" i="31"/>
  <c r="I4" i="31"/>
  <c r="I3" i="31" s="1"/>
  <c r="I2" i="31" s="1"/>
  <c r="I223" i="31" s="1"/>
  <c r="T6" i="31"/>
  <c r="F22" i="31"/>
  <c r="T14" i="31"/>
  <c r="E3" i="31" l="1"/>
  <c r="E2" i="31" s="1"/>
  <c r="E223" i="31" s="1"/>
  <c r="F3" i="31"/>
  <c r="F2" i="31" s="1"/>
  <c r="F223" i="31" s="1"/>
  <c r="L3" i="31"/>
  <c r="L2" i="31" s="1"/>
  <c r="L223" i="31" s="1"/>
  <c r="G3" i="31"/>
  <c r="G2" i="31" s="1"/>
  <c r="G223" i="31" s="1"/>
  <c r="D3" i="31"/>
  <c r="T4" i="31"/>
  <c r="O3" i="31"/>
  <c r="O2" i="31" s="1"/>
  <c r="O223" i="31" s="1"/>
  <c r="N3" i="31"/>
  <c r="N2" i="31" s="1"/>
  <c r="N223" i="31" s="1"/>
  <c r="CG10" i="28"/>
  <c r="E4" i="3"/>
  <c r="D9" i="28"/>
  <c r="D4" i="3" s="1"/>
  <c r="E10" i="28"/>
  <c r="AW10" i="28"/>
  <c r="H8" i="3"/>
  <c r="H4" i="3"/>
  <c r="C10" i="28"/>
  <c r="T22" i="31"/>
  <c r="CD9" i="28"/>
  <c r="D11" i="3" s="1"/>
  <c r="E11" i="3"/>
  <c r="CE10" i="28"/>
  <c r="H11" i="3"/>
  <c r="CC10" i="28"/>
  <c r="BA10" i="28"/>
  <c r="AO10" i="28"/>
  <c r="C8" i="3"/>
  <c r="H9" i="3"/>
  <c r="L9" i="3" s="1"/>
  <c r="BI10" i="28"/>
  <c r="L10" i="3" s="1"/>
  <c r="E5" i="3"/>
  <c r="Q10" i="28"/>
  <c r="C4" i="3"/>
  <c r="P10" i="28"/>
  <c r="C5" i="3"/>
  <c r="CO10" i="28"/>
  <c r="H12" i="3"/>
  <c r="L12" i="3" s="1"/>
  <c r="CQ10" i="28"/>
  <c r="CP9" i="28"/>
  <c r="CP10" i="28" s="1"/>
  <c r="O10" i="28"/>
  <c r="H5" i="3"/>
  <c r="K3" i="31"/>
  <c r="K2" i="31" s="1"/>
  <c r="K223" i="31" s="1"/>
  <c r="J3" i="31"/>
  <c r="J2" i="31" s="1"/>
  <c r="J223" i="31" s="1"/>
  <c r="C11" i="3"/>
  <c r="T10" i="31"/>
  <c r="M3" i="31"/>
  <c r="M2" i="31" s="1"/>
  <c r="M223" i="31" s="1"/>
  <c r="H7" i="3"/>
  <c r="AK10" i="28"/>
  <c r="H3" i="31"/>
  <c r="H2" i="31" s="1"/>
  <c r="H223" i="31" s="1"/>
  <c r="BK10" i="28"/>
  <c r="C7" i="3"/>
  <c r="E7" i="3"/>
  <c r="AM10" i="28"/>
  <c r="AL9" i="28"/>
  <c r="D7" i="3" s="1"/>
  <c r="AY10" i="28"/>
  <c r="AX9" i="28"/>
  <c r="D8" i="3" s="1"/>
  <c r="E8" i="3"/>
  <c r="CS10" i="28"/>
  <c r="L4" i="3" l="1"/>
  <c r="D10" i="28"/>
  <c r="CD10" i="28"/>
  <c r="L7" i="3"/>
  <c r="L11" i="3"/>
  <c r="L5" i="3"/>
  <c r="AX10" i="28"/>
  <c r="L8" i="3"/>
  <c r="D2" i="31"/>
  <c r="T3" i="31"/>
  <c r="AL10" i="28"/>
  <c r="L13" i="3" l="1"/>
  <c r="D223" i="31"/>
  <c r="T223" i="31" s="1"/>
  <c r="T2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tc={71AECCF4-1039-4119-B445-56D75C5B7AB2}</author>
    <author>tc={15093130-B4FB-4BD7-A1F7-B271BFEE904D}</author>
    <author>tc={B97EF171-1111-419D-8615-2A0F4FE5751F}</author>
    <author>tc={36865222-C131-45FD-9980-EEE90DD0E7E9}</author>
    <author>tc={928B6802-F15E-48F8-B189-5913C3914911}</author>
    <author>tc={AFF6F1F2-B677-4C59-8119-C4E0594B1C8A}</author>
    <author>tc={BE90F4E6-0C79-4CC8-B115-15B33318F924}</author>
    <author>tc={B56A27B2-3AA8-492F-91C5-A51285EDC049}</author>
    <author>tc={C03799A5-8295-4FB6-B4F2-084A1DEED588}</author>
    <author>tc={4EA0565C-9B02-452D-B0F8-5A0DE32ECA71}</author>
    <author>tc={23141CED-4107-4E5D-9F45-B7FAADCFAF70}</author>
    <author>tc={ED9B8938-72F3-4AB4-8A8F-90E4664C949D}</author>
    <author>tc={F07B97DB-C806-4C11-BC4F-CF392F84C1BA}</author>
    <author>tc={C2A2027F-01C9-49DD-9485-341C0C4D36B0}</author>
  </authors>
  <commentList>
    <comment ref="BU42" authorId="0" shapeId="0" xr:uid="{71AECCF4-1039-4119-B445-56D75C5B7A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Y43" authorId="1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206" authorId="2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10" authorId="3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10" authorId="4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B330" authorId="5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380" authorId="6" shapeId="0" xr:uid="{BE90F4E6-0C79-4CC8-B115-15B33318F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430" authorId="7" shapeId="0" xr:uid="{B56A27B2-3AA8-492F-91C5-A51285EDC0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480" authorId="8" shapeId="0" xr:uid="{C03799A5-8295-4FB6-B4F2-084A1DEED5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530" authorId="9" shapeId="0" xr:uid="{4EA0565C-9B02-452D-B0F8-5A0DE32ECA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580" authorId="10" shapeId="0" xr:uid="{23141CED-4107-4E5D-9F45-B7FAADCFAF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630" authorId="11" shapeId="0" xr:uid="{ED9B8938-72F3-4AB4-8A8F-90E4664C94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680" authorId="12" shapeId="0" xr:uid="{F07B97DB-C806-4C11-BC4F-CF392F84C1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730" authorId="13" shapeId="0" xr:uid="{C2A2027F-01C9-49DD-9485-341C0C4D36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<sst xmlns="http://schemas.openxmlformats.org/spreadsheetml/2006/main" count="3343" uniqueCount="799">
  <si>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</si>
  <si>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</si>
  <si>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</si>
  <si>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</si>
  <si>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</si>
  <si>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</si>
  <si>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</si>
  <si>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</si>
  <si>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</si>
  <si>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</si>
  <si>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</si>
  <si>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</si>
  <si>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</si>
  <si>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</si>
  <si>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</si>
  <si>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</si>
  <si>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</si>
  <si>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</si>
  <si>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</si>
  <si>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</si>
  <si>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</si>
  <si>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</si>
  <si>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</si>
  <si>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</si>
  <si>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</si>
  <si>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</si>
  <si>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</si>
  <si>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</si>
  <si>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</si>
  <si>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</si>
  <si>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</si>
  <si>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</si>
  <si>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</si>
  <si>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</si>
  <si>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</si>
  <si>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</si>
  <si>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</si>
  <si>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</si>
  <si>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</si>
  <si>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</si>
  <si>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</si>
  <si>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</si>
  <si>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</si>
  <si>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</si>
  <si>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</si>
  <si>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</si>
  <si>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</si>
  <si>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</si>
  <si>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</si>
  <si>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</si>
  <si>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</si>
  <si>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</si>
  <si>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</si>
  <si>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</si>
  <si>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</si>
  <si>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</si>
  <si>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</si>
  <si>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</si>
  <si>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</si>
  <si>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</si>
  <si>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</si>
  <si>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</si>
  <si>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</si>
  <si>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</si>
  <si>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</si>
  <si>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</si>
  <si>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</si>
  <si>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</si>
  <si>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</si>
  <si>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</si>
  <si>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</si>
  <si>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</si>
  <si>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</si>
  <si>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</si>
  <si>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</si>
  <si>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</si>
  <si>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</si>
  <si>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</si>
  <si>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</si>
  <si>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</si>
  <si>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</si>
  <si>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</si>
  <si>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</si>
  <si>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</si>
  <si>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</si>
  <si>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</si>
  <si>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</si>
  <si>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</si>
  <si>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</si>
  <si>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</si>
  <si>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</si>
  <si>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</si>
  <si>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</si>
  <si>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</si>
  <si>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</si>
  <si>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</si>
  <si>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</si>
  <si>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</si>
  <si>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</si>
  <si>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</si>
  <si>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</si>
  <si>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</si>
  <si>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</si>
  <si>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</si>
  <si>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</si>
  <si>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</si>
  <si>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</si>
  <si>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</si>
  <si>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</si>
  <si>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</si>
  <si>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</si>
  <si>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</si>
  <si>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</si>
  <si>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</si>
  <si>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</si>
  <si>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</si>
  <si>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</si>
  <si>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</si>
  <si>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</si>
  <si>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</si>
  <si>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</si>
  <si>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</si>
  <si>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</si>
  <si>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</si>
  <si>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</si>
  <si>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</si>
  <si>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</si>
  <si>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</si>
  <si>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</si>
  <si>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</si>
  <si>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</si>
  <si>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</si>
  <si>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</si>
  <si>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</si>
  <si>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</si>
  <si>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</si>
  <si>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</si>
  <si>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</si>
  <si>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</si>
  <si>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</si>
  <si>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</si>
  <si>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</si>
  <si>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</si>
  <si>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</si>
  <si>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</si>
  <si>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</si>
  <si>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</si>
  <si>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</si>
  <si>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</si>
  <si>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</si>
  <si>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</si>
  <si>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</si>
  <si>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</si>
  <si>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</si>
  <si>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</si>
  <si>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</si>
  <si>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</si>
  <si>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</si>
  <si>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</si>
  <si>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</si>
  <si>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</si>
  <si>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</si>
  <si>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</si>
  <si>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</si>
  <si>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</si>
  <si>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</si>
  <si>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</si>
  <si>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</si>
  <si>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</si>
  <si>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</si>
  <si>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</si>
  <si>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</si>
  <si>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</si>
  <si>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</si>
  <si>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</si>
  <si>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</si>
  <si>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</si>
  <si>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</si>
  <si>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</si>
  <si>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</si>
  <si>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</si>
  <si>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</si>
  <si>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</si>
  <si>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</si>
  <si>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</si>
  <si>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</si>
  <si>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</si>
  <si>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</si>
  <si>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</si>
  <si>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</si>
  <si>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</si>
  <si>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</si>
  <si>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</si>
  <si>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</si>
  <si>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</si>
  <si>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</si>
  <si>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</si>
  <si>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</si>
  <si>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</si>
  <si>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</si>
  <si>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</si>
  <si>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</si>
  <si>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</si>
  <si>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</si>
  <si>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</si>
  <si>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</si>
  <si>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</si>
  <si>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</si>
  <si>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</si>
  <si>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</si>
  <si>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</si>
  <si>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</si>
  <si>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</si>
  <si>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</si>
  <si>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</si>
  <si>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</si>
  <si>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</si>
  <si>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</si>
  <si>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</si>
  <si>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</si>
  <si>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</si>
  <si>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</si>
  <si>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</si>
  <si>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</si>
  <si>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</si>
  <si>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</si>
  <si>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</si>
  <si>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</si>
  <si>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</si>
  <si>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</si>
  <si>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</si>
  <si>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</si>
  <si>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</si>
  <si>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</si>
  <si>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</si>
  <si>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</si>
  <si>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</si>
  <si>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</si>
  <si>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</si>
  <si>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</si>
  <si>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</si>
  <si>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</si>
  <si>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</si>
  <si>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</si>
  <si>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</si>
  <si>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</si>
  <si>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</si>
  <si>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</si>
  <si>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</si>
  <si>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</si>
  <si>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</si>
  <si>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</si>
  <si>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</si>
  <si>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</si>
  <si>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</si>
  <si>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</si>
  <si>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</si>
  <si>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</si>
  <si>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</si>
  <si>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</si>
  <si>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</si>
  <si>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</si>
  <si>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</si>
  <si>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</si>
  <si>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</si>
  <si>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</si>
  <si>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</si>
  <si>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</si>
  <si>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</si>
  <si>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</si>
  <si>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</si>
  <si>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</si>
  <si>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</si>
  <si>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</si>
  <si>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</si>
  <si>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</si>
  <si>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</si>
  <si>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</si>
  <si>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</si>
  <si>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</si>
  <si>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</si>
  <si>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</si>
  <si>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</si>
  <si>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</si>
  <si>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</si>
  <si>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</si>
  <si>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</si>
  <si>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</si>
  <si>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</si>
  <si>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</si>
  <si>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</si>
  <si>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</si>
  <si>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</si>
  <si>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</si>
  <si>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</si>
  <si>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</si>
  <si>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</si>
  <si>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</si>
  <si>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</si>
  <si>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</si>
  <si>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</si>
  <si>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</si>
  <si>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</si>
  <si>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</si>
  <si>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</si>
  <si>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</si>
  <si>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</si>
  <si>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</si>
  <si>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</si>
  <si>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</si>
  <si>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</si>
  <si>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</si>
  <si>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</si>
  <si>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</si>
  <si>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</si>
  <si>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</si>
  <si>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</si>
  <si>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</si>
  <si>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</si>
  <si>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</si>
  <si>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</si>
  <si>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</si>
  <si>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</si>
  <si>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</si>
  <si>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</si>
  <si>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</si>
  <si>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</si>
  <si>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</si>
  <si>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</si>
  <si>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</si>
  <si>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</si>
  <si>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</si>
  <si>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</si>
  <si>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</si>
  <si>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</si>
  <si>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</si>
  <si>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</si>
  <si>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</si>
  <si>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</si>
  <si>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</si>
  <si>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</si>
  <si>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</si>
  <si>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</si>
  <si>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</si>
  <si>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</si>
  <si>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</si>
  <si>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</si>
  <si>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</si>
  <si>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</si>
  <si>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</si>
  <si>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</si>
  <si>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</si>
  <si>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</si>
  <si>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</si>
  <si>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</si>
  <si>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</si>
  <si>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</si>
  <si>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</si>
  <si>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</si>
  <si>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</si>
  <si>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</si>
  <si>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</si>
  <si>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</si>
  <si>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</si>
  <si>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</si>
  <si>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</si>
  <si>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</si>
  <si>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</si>
  <si>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</si>
  <si>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</si>
  <si>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</si>
  <si>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</si>
  <si>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</si>
  <si>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</si>
  <si>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</si>
  <si>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</si>
  <si>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</si>
  <si>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</si>
  <si>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</si>
  <si>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</si>
  <si>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</si>
  <si>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</si>
  <si>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</si>
  <si>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</si>
  <si>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</si>
  <si>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</si>
  <si>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</si>
  <si>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</si>
  <si>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</si>
  <si>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</si>
  <si>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</si>
  <si>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</si>
  <si>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</si>
  <si>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</si>
  <si>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</si>
  <si>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</si>
  <si>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</si>
  <si>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</si>
  <si>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</si>
  <si>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</si>
  <si>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</si>
  <si>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</si>
  <si>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</si>
  <si>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</si>
  <si>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</si>
  <si>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</si>
  <si>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</si>
  <si>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</si>
  <si>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</si>
  <si>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</si>
  <si>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</si>
  <si>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</si>
  <si>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</si>
  <si>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</si>
  <si>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</si>
  <si>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</si>
  <si>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</si>
  <si>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</si>
  <si>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</si>
  <si>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</si>
  <si>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</si>
  <si>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</si>
  <si>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</si>
  <si>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</si>
  <si>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</si>
  <si>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</si>
  <si>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</si>
  <si>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</si>
  <si>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</si>
  <si>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</si>
  <si>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</si>
  <si>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</si>
  <si>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</si>
  <si>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</si>
  <si>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</si>
  <si>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</si>
  <si>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</si>
  <si>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</si>
  <si>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</si>
  <si>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</si>
  <si>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</si>
  <si>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</si>
  <si>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</si>
  <si>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</si>
  <si>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</si>
  <si>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</si>
  <si>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</si>
  <si>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</si>
  <si>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</si>
  <si>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</si>
  <si>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</si>
  <si>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</si>
  <si>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</si>
  <si>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</si>
  <si>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</si>
  <si>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</si>
  <si>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</si>
  <si>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</si>
  <si>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</si>
  <si>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</si>
  <si>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</si>
  <si>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</si>
  <si>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</si>
  <si>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AMPLA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</si>
  <si>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</si>
  <si>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</si>
  <si>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</si>
  <si>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</si>
  <si>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</si>
  <si>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</si>
  <si>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</si>
  <si>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</si>
  <si>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</si>
  <si>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</si>
  <si>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</si>
  <si>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</si>
  <si>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</si>
  <si>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</si>
  <si>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</si>
  <si>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</si>
  <si>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</si>
  <si>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</si>
  <si>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</si>
  <si>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</si>
  <si>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</si>
  <si>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</si>
  <si>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</si>
  <si>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</si>
  <si>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</si>
  <si>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</si>
  <si>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</si>
  <si>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</si>
  <si>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</si>
  <si>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</si>
  <si>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</si>
  <si>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</si>
  <si>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</si>
  <si>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</si>
  <si>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</si>
  <si>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</si>
  <si>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</si>
  <si>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</si>
  <si>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</si>
  <si>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</si>
  <si>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</si>
  <si>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</si>
  <si>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</si>
  <si>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</si>
  <si>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</si>
  <si>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</si>
  <si>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</si>
  <si>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</si>
  <si>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</si>
  <si>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</si>
  <si>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</si>
  <si>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</si>
  <si>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</si>
  <si>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</si>
  <si>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</si>
  <si>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</si>
  <si>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</si>
  <si>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</si>
  <si>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</si>
  <si>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</si>
  <si>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</si>
  <si>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</si>
  <si>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</si>
  <si>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</si>
  <si>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</si>
  <si>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</si>
  <si>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</si>
  <si>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</si>
  <si>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1.1.3.SN2.</t>
  </si>
  <si>
    <t>Ik</t>
  </si>
  <si>
    <t>1.1.3.GRA.</t>
  </si>
  <si>
    <t>1.1.3.AVS.</t>
  </si>
  <si>
    <t>1.1.3.AMP.</t>
  </si>
  <si>
    <t>1.1.3.LUC.</t>
  </si>
  <si>
    <t>1.1.3.SN4.</t>
  </si>
  <si>
    <t>1.1.4.</t>
  </si>
  <si>
    <t>Repasse ABC</t>
  </si>
  <si>
    <t>1.1.4.POM.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</si>
  <si>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</si>
  <si>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</si>
  <si>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</si>
  <si>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</si>
  <si>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</si>
  <si>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</si>
  <si>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</si>
  <si>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</si>
  <si>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</si>
  <si>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</si>
  <si>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</si>
  <si>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</si>
  <si>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</si>
  <si>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</si>
  <si>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</si>
  <si>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</si>
  <si>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JURUPITÉ - VLS5</t>
  </si>
  <si>
    <t>1.2.1.SAU.</t>
  </si>
  <si>
    <t>UP SAUDE</t>
  </si>
  <si>
    <t>1.2.1.SN4.</t>
  </si>
  <si>
    <t>UP MOVE VILA SONIA</t>
  </si>
  <si>
    <t>1.2.1.CBL.</t>
  </si>
  <si>
    <t>UP CAMPO BELO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</si>
  <si>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</si>
  <si>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</si>
  <si>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</si>
  <si>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</si>
  <si>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</si>
  <si>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</si>
  <si>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</si>
  <si>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</si>
  <si>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</si>
  <si>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</si>
  <si>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1.2.3.GRA.</t>
  </si>
  <si>
    <t>1.2.3.SN4.</t>
  </si>
  <si>
    <t>1.2.3.LUC.</t>
  </si>
  <si>
    <t>1.2.3.SBB.</t>
  </si>
  <si>
    <t>SANTA BIBIANA - VLS6</t>
  </si>
  <si>
    <t>1.2.3.AVS.</t>
  </si>
  <si>
    <t>1.2.3.AMP.</t>
  </si>
  <si>
    <t>1.2.3.SAU.</t>
  </si>
  <si>
    <t>1.2.3.POM.</t>
  </si>
  <si>
    <t>1.2.3.AVR.</t>
  </si>
  <si>
    <t>IBIRAPUERA</t>
  </si>
  <si>
    <t>1.2.3.NOVOS.</t>
  </si>
  <si>
    <t>NOVOS NEGOCIOS</t>
  </si>
  <si>
    <t>1.2.3.JRP.</t>
  </si>
  <si>
    <t>1.2.4.</t>
  </si>
  <si>
    <t>1.2.4.AMPLA.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</si>
  <si>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</si>
  <si>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</si>
  <si>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</si>
  <si>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</si>
  <si>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</si>
  <si>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</si>
  <si>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</si>
  <si>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1.2.6.AMP.</t>
  </si>
  <si>
    <t>1.2.7.</t>
  </si>
  <si>
    <t>1.2.7.POM.</t>
  </si>
  <si>
    <t>1.2.8.</t>
  </si>
  <si>
    <t>1.2.8.SN2.</t>
  </si>
  <si>
    <t>1.2.9.</t>
  </si>
  <si>
    <t>1.2.9.GRA.</t>
  </si>
  <si>
    <t>1.2.9.AMP.</t>
  </si>
  <si>
    <t>1.2.9.AVS.</t>
  </si>
  <si>
    <t>1.2.9.LUC.</t>
  </si>
  <si>
    <t>1.2.10.</t>
  </si>
  <si>
    <t>1.2.10.SN4.</t>
  </si>
  <si>
    <t>1.2.10.LUC.</t>
  </si>
  <si>
    <t>1.2.10.SAU.</t>
  </si>
  <si>
    <t>1.2.10.GRA.</t>
  </si>
  <si>
    <t>1.2.10.JRP.</t>
  </si>
  <si>
    <t>1.2.10.AMPLA.</t>
  </si>
  <si>
    <t>1.2.10.POM.</t>
  </si>
  <si>
    <t>1.2.10.SN2.</t>
  </si>
  <si>
    <t>1.2.10.AVS.</t>
  </si>
  <si>
    <t>1.2.10.AMP.</t>
  </si>
  <si>
    <t>1.2.10..</t>
  </si>
  <si>
    <t>LEAF POMPEO</t>
  </si>
  <si>
    <t>1.2.10.CBL.</t>
  </si>
  <si>
    <t>1.2.11.</t>
  </si>
  <si>
    <t>1.2.11.SN2.</t>
  </si>
  <si>
    <t>1.2.11.SN4.</t>
  </si>
  <si>
    <t>1.2.11.AVS.</t>
  </si>
  <si>
    <t>1.2.11.CBL.</t>
  </si>
  <si>
    <t>1.2.11.LUC.</t>
  </si>
  <si>
    <t>1.2.11.SAU.</t>
  </si>
  <si>
    <t>1.2.11.POM.</t>
  </si>
  <si>
    <t>1.2.11.BUT.</t>
  </si>
  <si>
    <t>BUTIA</t>
  </si>
  <si>
    <t>1.2.11.AVR.</t>
  </si>
  <si>
    <t>1.2.11.USL.</t>
  </si>
  <si>
    <t>1.2.11.GRA.</t>
  </si>
  <si>
    <t>1.2.11.AMP.</t>
  </si>
  <si>
    <t>1.2.11.ENC.</t>
  </si>
  <si>
    <t>1.2.11.CPE.</t>
  </si>
  <si>
    <t>CAMPOLARGO</t>
  </si>
  <si>
    <t>1.2.11.JRP.</t>
  </si>
  <si>
    <t>1.2.11.LUG.</t>
  </si>
  <si>
    <t>LUGANO</t>
  </si>
  <si>
    <t>1.2.11.SBB.</t>
  </si>
  <si>
    <t>1.2.11.INC.</t>
  </si>
  <si>
    <t>INCORFLORA</t>
  </si>
  <si>
    <t>1.2.11.DEC.</t>
  </si>
  <si>
    <t>UP DECOR</t>
  </si>
  <si>
    <t>1.2.11..</t>
  </si>
  <si>
    <t>LEAF ALVORADA</t>
  </si>
  <si>
    <t>1.2.11.JSP.</t>
  </si>
  <si>
    <t>UP JARDIM SÃO PAULO</t>
  </si>
  <si>
    <t>1.2.11.PDI.</t>
  </si>
  <si>
    <t>UP PARADA INGLESA</t>
  </si>
  <si>
    <t>1.2.11.SOC.</t>
  </si>
  <si>
    <t>UP SOCORRO</t>
  </si>
  <si>
    <t>LEAF TEIXEIRA</t>
  </si>
  <si>
    <t>1.2.12.</t>
  </si>
  <si>
    <t>1.2.12.POM.</t>
  </si>
  <si>
    <t>1.2.12.CBL.</t>
  </si>
  <si>
    <t>1.2.12.SN4.</t>
  </si>
  <si>
    <t>1.2.12.SAU.</t>
  </si>
  <si>
    <t>1.2.12.AVS.</t>
  </si>
  <si>
    <t>1.2.12.GRA.</t>
  </si>
  <si>
    <t>1.2.12.JRP.</t>
  </si>
  <si>
    <t>1.2.12.LUC.</t>
  </si>
  <si>
    <t>1.2.12.AMPLA.</t>
  </si>
  <si>
    <t>1.2.12..</t>
  </si>
  <si>
    <t>1.2.12.AMP.</t>
  </si>
  <si>
    <t>1.2.12.SN2.</t>
  </si>
  <si>
    <t>1.2.13.</t>
  </si>
  <si>
    <t>1.2.13.AMP.</t>
  </si>
  <si>
    <t>1.2.13.SN2.</t>
  </si>
  <si>
    <t>1.2.13.GRA.</t>
  </si>
  <si>
    <t>1.2.13.POM.</t>
  </si>
  <si>
    <t>1.2.14.</t>
  </si>
  <si>
    <t>1.2.14..</t>
  </si>
  <si>
    <t>ITU 38 L 12</t>
  </si>
  <si>
    <t>1.2.15.</t>
  </si>
  <si>
    <t>1.2.15.GRA.</t>
  </si>
  <si>
    <t>1.2.16.</t>
  </si>
  <si>
    <t>1.2.16.GRA.</t>
  </si>
  <si>
    <t>1.2.16.LUC.</t>
  </si>
  <si>
    <t>1.2.16.CBL.</t>
  </si>
  <si>
    <t>1.2.16.SN4.</t>
  </si>
  <si>
    <t>1.2.16.JRP.</t>
  </si>
  <si>
    <t>1.2.16.SAU.</t>
  </si>
  <si>
    <t>1.2.16.SN2.</t>
  </si>
  <si>
    <t>1.2.16.JSP.</t>
  </si>
  <si>
    <t>1.2.16.POM.</t>
  </si>
  <si>
    <t>1.2.16.SBB.</t>
  </si>
  <si>
    <t>1.2.17.</t>
  </si>
  <si>
    <t>1.2.17.AVS.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</si>
  <si>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</si>
  <si>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</si>
  <si>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</si>
  <si>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</si>
  <si>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</si>
  <si>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</si>
  <si>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</si>
  <si>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</si>
  <si>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</si>
  <si>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</si>
  <si>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</si>
  <si>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</si>
  <si>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</si>
  <si>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</si>
  <si>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</si>
  <si>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</si>
  <si>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</si>
  <si>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</si>
  <si>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</si>
  <si>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</si>
  <si>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</si>
  <si>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</si>
  <si>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</si>
  <si>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</si>
  <si>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</si>
  <si>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</si>
  <si>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</si>
  <si>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</si>
  <si>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</si>
  <si>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</si>
  <si>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</si>
  <si>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</si>
  <si>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</si>
  <si>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</si>
  <si>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</si>
  <si>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</si>
  <si>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</si>
  <si>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</si>
  <si>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</si>
  <si>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</si>
  <si>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</si>
  <si>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</si>
  <si>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</si>
  <si>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</si>
  <si>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</si>
  <si>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</si>
  <si>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</si>
  <si>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AMPLA-Blue3-24500</t>
  </si>
  <si>
    <t>LUC-Eldorado -6000</t>
  </si>
  <si>
    <t>VLS IV-Pedro Maria-5000</t>
  </si>
  <si>
    <t>SAU-Cy Capital-22000</t>
  </si>
  <si>
    <t>AMPLA-Safra-2750</t>
  </si>
  <si>
    <t>AMPLA-CEF-4472</t>
  </si>
  <si>
    <t>LUC-URBEME-612</t>
  </si>
  <si>
    <t>ENC-CEF-545</t>
  </si>
  <si>
    <t>ENC-CEF-500</t>
  </si>
  <si>
    <t>INC-CEF-500</t>
  </si>
  <si>
    <t>LCG-Bradesco-400</t>
  </si>
  <si>
    <t>AMPLA-CEF-300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</si>
  <si>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</si>
  <si>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</si>
  <si>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</si>
  <si>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</si>
  <si>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</si>
  <si>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</si>
  <si>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</si>
  <si>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</si>
  <si>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</si>
  <si>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</si>
  <si>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</si>
  <si>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</si>
  <si>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</si>
  <si>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</si>
  <si>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</si>
  <si>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</si>
  <si>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</si>
  <si>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</si>
  <si>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</si>
  <si>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</si>
  <si>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</si>
  <si>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</si>
  <si>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</si>
  <si>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Distribuição de dividendos / JCP</t>
  </si>
  <si>
    <t>Variação líquida de caixa no período</t>
  </si>
  <si>
    <t>Caixa e equivalentes no início do período</t>
  </si>
  <si>
    <t>Caixa e equivalentes no fim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</si>
  <si>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</si>
  <si>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</si>
  <si>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</si>
  <si>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</si>
  <si>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</si>
  <si>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</si>
  <si>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</si>
  <si>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</si>
  <si>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</si>
  <si>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</si>
  <si>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</si>
  <si>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Up Saúde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</si>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</sst>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</numFmts>
  <fonts count="2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8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339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0" fontId="10" fillId="0" borderId="0" xfId="1" applyFont="1"/>
    <xf numFmtId="0" fontId="4" fillId="0" borderId="31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40" xfId="0" applyFont="1" applyFill="1" applyBorder="1" applyAlignment="1">
      <alignment horizontal="center" vertical="center"/>
    </xf>
    <xf numFmtId="0" fontId="15" fillId="15" borderId="40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39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7" fillId="0" borderId="47" xfId="1" applyFont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18" borderId="48" xfId="1" applyFont="1" applyFill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center" wrapText="1"/>
    </xf>
    <xf numFmtId="0" fontId="7" fillId="0" borderId="51" xfId="1" applyFont="1" applyBorder="1" applyAlignment="1">
      <alignment horizontal="center" vertical="center" wrapText="1"/>
    </xf>
    <xf numFmtId="0" fontId="7" fillId="18" borderId="52" xfId="1" applyFont="1" applyFill="1" applyBorder="1" applyAlignment="1">
      <alignment horizontal="center" vertical="center" wrapText="1"/>
    </xf>
    <xf numFmtId="0" fontId="7" fillId="17" borderId="48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4" fillId="0" borderId="56" xfId="1" applyBorder="1" applyAlignment="1">
      <alignment horizontal="center" vertical="center"/>
    </xf>
    <xf numFmtId="0" fontId="4" fillId="0" borderId="57" xfId="1" applyBorder="1" applyAlignment="1">
      <alignment horizontal="center" vertical="center"/>
    </xf>
    <xf numFmtId="0" fontId="4" fillId="0" borderId="45" xfId="1" applyBorder="1" applyAlignment="1">
      <alignment horizontal="center" vertical="center"/>
    </xf>
    <xf numFmtId="0" fontId="4" fillId="0" borderId="46" xfId="1" applyBorder="1" applyAlignment="1">
      <alignment horizontal="center" vertical="center"/>
    </xf>
    <xf numFmtId="0" fontId="1" fillId="19" borderId="48" xfId="1" applyFont="1" applyFill="1" applyBorder="1" applyAlignment="1">
      <alignment horizontal="center" vertical="center" wrapText="1"/>
    </xf>
    <xf numFmtId="0" fontId="7" fillId="7" borderId="48" xfId="1" applyFont="1" applyFill="1" applyBorder="1" applyAlignment="1">
      <alignment horizontal="center" vertical="center" wrapText="1"/>
    </xf>
    <xf numFmtId="0" fontId="7" fillId="16" borderId="48" xfId="1" applyFont="1" applyFill="1" applyBorder="1" applyAlignment="1">
      <alignment horizontal="center" vertical="center" wrapText="1"/>
    </xf>
    <xf numFmtId="0" fontId="7" fillId="10" borderId="49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1" xfId="1" applyFont="1" applyFill="1" applyBorder="1" applyAlignment="1">
      <alignment horizontal="centerContinuous" vertical="center"/>
    </xf>
    <xf numFmtId="0" fontId="3" fillId="12" borderId="41" xfId="1" applyFont="1" applyFill="1" applyBorder="1" applyAlignment="1">
      <alignment horizontal="centerContinuous" vertical="center"/>
    </xf>
    <xf numFmtId="0" fontId="1" fillId="2" borderId="41" xfId="1" applyFont="1" applyFill="1" applyBorder="1" applyAlignment="1">
      <alignment horizontal="centerContinuous" vertical="center"/>
    </xf>
    <xf numFmtId="0" fontId="3" fillId="2" borderId="41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36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39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0" fontId="16" fillId="0" borderId="0" xfId="0" applyFont="1"/>
    <xf numFmtId="0" fontId="0" fillId="0" borderId="58" xfId="0" applyBorder="1" applyAlignment="1">
      <alignment horizontal="left"/>
    </xf>
    <xf numFmtId="0" fontId="0" fillId="0" borderId="25" xfId="0" applyBorder="1" applyAlignment="1">
      <alignment horizontal="left"/>
    </xf>
    <xf numFmtId="0" fontId="17" fillId="0" borderId="59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7" fillId="0" borderId="27" xfId="0" applyFont="1" applyBorder="1"/>
    <xf numFmtId="0" fontId="17" fillId="0" borderId="19" xfId="0" applyFont="1" applyBorder="1" applyAlignment="1">
      <alignment horizontal="left"/>
    </xf>
    <xf numFmtId="0" fontId="0" fillId="0" borderId="60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61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2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2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3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25" xfId="0" applyNumberFormat="1" applyFont="1" applyFill="1" applyBorder="1" applyAlignment="1">
      <alignment horizontal="center" vertical="center"/>
    </xf>
    <xf numFmtId="43" fontId="3" fillId="8" borderId="64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2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1" fontId="4" fillId="0" borderId="28" xfId="0" applyNumberFormat="1" applyFont="1" applyBorder="1" applyAlignment="1">
      <alignment horizontal="center" vertical="center"/>
    </xf>
    <xf numFmtId="43" fontId="4" fillId="0" borderId="29" xfId="0" applyNumberFormat="1" applyFont="1" applyBorder="1" applyAlignment="1">
      <alignment horizontal="center" vertical="center"/>
    </xf>
    <xf numFmtId="43" fontId="4" fillId="7" borderId="30" xfId="0" applyNumberFormat="1" applyFont="1" applyFill="1" applyBorder="1" applyAlignment="1">
      <alignment horizontal="center" vertical="center"/>
    </xf>
    <xf numFmtId="43" fontId="4" fillId="7" borderId="29" xfId="0" applyNumberFormat="1" applyFont="1" applyFill="1" applyBorder="1" applyAlignment="1">
      <alignment horizontal="center" vertical="center"/>
    </xf>
    <xf numFmtId="43" fontId="4" fillId="0" borderId="30" xfId="0" applyNumberFormat="1" applyFont="1" applyBorder="1" applyAlignment="1">
      <alignment horizontal="center" vertical="center"/>
    </xf>
    <xf numFmtId="0" fontId="16" fillId="0" borderId="65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6" xfId="0" applyBorder="1"/>
    <xf numFmtId="0" fontId="0" fillId="0" borderId="67" xfId="0" applyBorder="1"/>
    <xf numFmtId="0" fontId="0" fillId="0" borderId="3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41" fontId="0" fillId="0" borderId="6" xfId="0" applyNumberFormat="1" applyBorder="1"/>
    <xf numFmtId="0" fontId="0" fillId="0" borderId="71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8" xfId="0" applyBorder="1" applyAlignment="1">
      <alignment horizontal="left"/>
    </xf>
    <xf numFmtId="0" fontId="0" fillId="0" borderId="69" xfId="0" applyBorder="1" applyAlignment="1">
      <alignment horizontal="left"/>
    </xf>
    <xf numFmtId="0" fontId="0" fillId="10" borderId="70" xfId="0" applyFill="1" applyBorder="1"/>
    <xf numFmtId="0" fontId="0" fillId="7" borderId="70" xfId="0" applyFill="1" applyBorder="1"/>
    <xf numFmtId="0" fontId="0" fillId="11" borderId="70" xfId="0" applyFill="1" applyBorder="1"/>
    <xf numFmtId="0" fontId="0" fillId="20" borderId="70" xfId="0" applyFill="1" applyBorder="1"/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0" fillId="0" borderId="72" xfId="0" applyBorder="1"/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3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0" fontId="0" fillId="7" borderId="0" xfId="0" applyFill="1" applyAlignment="1">
      <alignment horizontal="left" vertical="center" indent="3"/>
    </xf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165" fontId="0" fillId="0" borderId="74" xfId="0" applyNumberFormat="1" applyBorder="1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41" fontId="4" fillId="0" borderId="75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6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31" xfId="0" applyFont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 wrapText="1"/>
    </xf>
    <xf numFmtId="0" fontId="4" fillId="9" borderId="31" xfId="0" applyFont="1" applyFill="1" applyBorder="1" applyAlignment="1">
      <alignment horizontal="center" vertical="center" wrapText="1"/>
    </xf>
    <xf numFmtId="0" fontId="18" fillId="9" borderId="31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13" borderId="16" xfId="0" applyNumberFormat="1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41" fontId="4" fillId="13" borderId="20" xfId="0" applyNumberFormat="1" applyFont="1" applyFill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9" xfId="0" applyNumberFormat="1" applyFont="1" applyFill="1" applyBorder="1" applyAlignment="1">
      <alignment horizontal="center" vertical="center"/>
    </xf>
    <xf numFmtId="0" fontId="4" fillId="0" borderId="69" xfId="0" applyFont="1" applyBorder="1" applyAlignment="1">
      <alignment horizontal="center" vertical="center"/>
    </xf>
    <xf numFmtId="0" fontId="4" fillId="0" borderId="77" xfId="0" applyFont="1" applyBorder="1" applyAlignment="1">
      <alignment horizontal="center" vertical="center"/>
    </xf>
    <xf numFmtId="41" fontId="4" fillId="7" borderId="78" xfId="0" applyNumberFormat="1" applyFont="1" applyFill="1" applyBorder="1" applyAlignment="1">
      <alignment horizontal="center" vertical="center"/>
    </xf>
    <xf numFmtId="41" fontId="4" fillId="7" borderId="29" xfId="0" applyNumberFormat="1" applyFont="1" applyFill="1" applyBorder="1" applyAlignment="1">
      <alignment horizontal="center" vertical="center"/>
    </xf>
    <xf numFmtId="41" fontId="4" fillId="0" borderId="29" xfId="0" applyNumberFormat="1" applyFont="1" applyBorder="1" applyAlignment="1">
      <alignment horizontal="center" vertical="center"/>
    </xf>
    <xf numFmtId="1" fontId="4" fillId="0" borderId="29" xfId="0" applyNumberFormat="1" applyFont="1" applyBorder="1" applyAlignment="1">
      <alignment horizontal="center" vertical="center"/>
    </xf>
    <xf numFmtId="41" fontId="4" fillId="13" borderId="39" xfId="0" applyNumberFormat="1" applyFont="1" applyFill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165" fontId="2" fillId="7" borderId="0" xfId="0" applyNumberFormat="1" applyFont="1" applyFill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0" fontId="2" fillId="0" borderId="59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165" fontId="1" fillId="22" borderId="79" xfId="0" applyNumberFormat="1" applyFont="1" applyFill="1" applyBorder="1"/>
    <xf numFmtId="165" fontId="1" fillId="22" borderId="5" xfId="0" applyNumberFormat="1" applyFont="1" applyFill="1" applyBorder="1"/>
    <xf numFmtId="165" fontId="2" fillId="23" borderId="79" xfId="0" applyNumberFormat="1" applyFont="1" applyFill="1" applyBorder="1"/>
    <xf numFmtId="165" fontId="2" fillId="23" borderId="5" xfId="0" applyNumberFormat="1" applyFont="1" applyFill="1" applyBorder="1"/>
    <xf numFmtId="165" fontId="2" fillId="0" borderId="79" xfId="0" applyNumberFormat="1" applyFont="1" applyBorder="1"/>
    <xf numFmtId="165" fontId="2" fillId="0" borderId="5" xfId="0" applyNumberFormat="1" applyFont="1" applyBorder="1"/>
    <xf numFmtId="165" fontId="20" fillId="24" borderId="79" xfId="0" applyNumberFormat="1" applyFont="1" applyFill="1" applyBorder="1"/>
    <xf numFmtId="165" fontId="20" fillId="24" borderId="5" xfId="0" applyNumberFormat="1" applyFont="1" applyFill="1" applyBorder="1"/>
    <xf numFmtId="165" fontId="1" fillId="22" borderId="79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9" xfId="0" applyNumberFormat="1" applyBorder="1"/>
    <xf numFmtId="165" fontId="0" fillId="0" borderId="5" xfId="0" applyNumberFormat="1" applyBorder="1"/>
    <xf numFmtId="165" fontId="2" fillId="24" borderId="79" xfId="0" applyNumberFormat="1" applyFont="1" applyFill="1" applyBorder="1"/>
    <xf numFmtId="165" fontId="2" fillId="24" borderId="5" xfId="0" applyNumberFormat="1" applyFont="1" applyFill="1" applyBorder="1"/>
    <xf numFmtId="165" fontId="2" fillId="7" borderId="79" xfId="0" applyNumberFormat="1" applyFont="1" applyFill="1" applyBorder="1"/>
    <xf numFmtId="165" fontId="2" fillId="7" borderId="5" xfId="0" applyNumberFormat="1" applyFont="1" applyFill="1" applyBorder="1"/>
    <xf numFmtId="165" fontId="1" fillId="2" borderId="79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96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Types" Target="richData/rdRichValueTyp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fechamento!$B$3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fechamento!$D$3:$R$3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B3-4EA3-BBA5-E683885CE2F0}"/>
            </c:ext>
          </c:extLst>
        </c:ser>
        <c:ser>
          <c:idx val="2"/>
          <c:order val="2"/>
          <c:tx>
            <c:strRef>
              <c:f>fechamento!$B$31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fechamento!$D$31:$R$31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B3-4EA3-BBA5-E683885CE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fechamento!$B$2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fechamento!$D$2:$R$2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B3-4EA3-BBA5-E683885CE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tx2">
                <a:lumMod val="90000"/>
                <a:lumOff val="10000"/>
              </a:schemeClr>
            </a:solidFill>
            <a:ln>
              <a:noFill/>
            </a:ln>
            <a:effectLst/>
          </c:spPr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fechamento!$D$4:$R$4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4-4131-9C0F-7D811EF4E1CE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fechamento!$D$10:$R$10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4-4131-9C0F-7D811EF4E1CE}"/>
            </c:ext>
          </c:extLst>
        </c:ser>
        <c:ser>
          <c:idx val="3"/>
          <c:order val="2"/>
          <c:tx>
            <c:strRef>
              <c:f>fechamento!$B$22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fechamento!$D$22:$R$22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4-4131-9C0F-7D811EF4E1CE}"/>
            </c:ext>
          </c:extLst>
        </c:ser>
        <c:ser>
          <c:idx val="4"/>
          <c:order val="3"/>
          <c:tx>
            <c:strRef>
              <c:f>fechamento!$B$29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fechamento!$D$29:$R$29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84-4131-9C0F-7D811EF4E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fechamento!$B$2:$C$2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fechamento!$D$2:$R$2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4F-42DD-9F63-26F2B976180D}"/>
            </c:ext>
          </c:extLst>
        </c:ser>
        <c:ser>
          <c:idx val="1"/>
          <c:order val="1"/>
          <c:tx>
            <c:strRef>
              <c:f>fechamento!$B$158:$C$158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fechamento!$D$158:$R$158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4F-42DD-9F63-26F2B976180D}"/>
            </c:ext>
          </c:extLst>
        </c:ser>
        <c:ser>
          <c:idx val="2"/>
          <c:order val="2"/>
          <c:tx>
            <c:strRef>
              <c:f>fechamento!$B$182:$C$182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fechamento!$D$182:$R$182</c:f>
              <c:numCache>
                <c:formatCode>#,##0;\(#,##0\)</c:formatCode>
                <c:ptCount val="15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3408120.66</c:v>
                </c:pt>
                <c:pt idx="4">
                  <c:v>6070665.4500000002</c:v>
                </c:pt>
                <c:pt idx="5">
                  <c:v>2693304.8</c:v>
                </c:pt>
                <c:pt idx="6">
                  <c:v>1715270.17</c:v>
                </c:pt>
                <c:pt idx="7">
                  <c:v>8459049.3599999994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697790.27</c:v>
                </c:pt>
                <c:pt idx="14">
                  <c:v>2245616.4500000002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4F-42DD-9F63-26F2B976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3"/>
          <c:tx>
            <c:strRef>
              <c:f>fechamento!$B$223:$C$223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fechamento!$D$223:$R$223</c:f>
              <c:numCache>
                <c:formatCode>#,##0;\(#,##0\)</c:formatCode>
                <c:ptCount val="15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3770012.18</c:v>
                </c:pt>
                <c:pt idx="4">
                  <c:v>6876868.8100000005</c:v>
                </c:pt>
                <c:pt idx="5">
                  <c:v>3463508.48</c:v>
                </c:pt>
                <c:pt idx="6">
                  <c:v>2746945.21</c:v>
                </c:pt>
                <c:pt idx="7">
                  <c:v>8859782.6399999987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970629.95</c:v>
                </c:pt>
                <c:pt idx="14">
                  <c:v>2886031.81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4F-42DD-9F63-26F2B976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fechamento!$D$4:$R$4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BD-43CF-8FD9-7FCBB6AE4DB4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fechamento!$D$10:$R$10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BD-43CF-8FD9-7FCBB6AE4DB4}"/>
            </c:ext>
          </c:extLst>
        </c:ser>
        <c:ser>
          <c:idx val="3"/>
          <c:order val="2"/>
          <c:tx>
            <c:strRef>
              <c:f>fechamento!$B$22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fechamento!$D$22:$R$22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BD-43CF-8FD9-7FCBB6AE4DB4}"/>
            </c:ext>
          </c:extLst>
        </c:ser>
        <c:ser>
          <c:idx val="4"/>
          <c:order val="3"/>
          <c:tx>
            <c:strRef>
              <c:f>fechamento!$B$29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fechamento!$D$29:$R$29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BD-43CF-8FD9-7FCBB6AE4D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25897161</c:v>
                      </c:pt>
                      <c:pt idx="1">
                        <c:v>41582807</c:v>
                      </c:pt>
                      <c:pt idx="3">
                        <c:v>47237835</c:v>
                      </c:pt>
                      <c:pt idx="4">
                        <c:v>64482292</c:v>
                      </c:pt>
                      <c:pt idx="5">
                        <c:v>25916905</c:v>
                      </c:pt>
                      <c:pt idx="7">
                        <c:v>60385343</c:v>
                      </c:pt>
                      <c:pt idx="8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25897161</c:v>
                      </c:pt>
                      <c:pt idx="1">
                        <c:v>41582807</c:v>
                      </c:pt>
                      <c:pt idx="3">
                        <c:v>47237835</c:v>
                      </c:pt>
                      <c:pt idx="4">
                        <c:v>64482292</c:v>
                      </c:pt>
                      <c:pt idx="5">
                        <c:v>25916905</c:v>
                      </c:pt>
                      <c:pt idx="7">
                        <c:v>60385343</c:v>
                      </c:pt>
                      <c:pt idx="8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21</xdr:row>
      <xdr:rowOff>0</xdr:rowOff>
    </xdr:from>
    <xdr:to>
      <xdr:col>47</xdr:col>
      <xdr:colOff>0</xdr:colOff>
      <xdr:row>40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A494EA-80FA-4ACE-AB62-96B6DE9FB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48</xdr:col>
      <xdr:colOff>0</xdr:colOff>
      <xdr:row>21</xdr:row>
      <xdr:rowOff>0</xdr:rowOff>
    </xdr:from>
    <xdr:to>
      <xdr:col>58</xdr:col>
      <xdr:colOff>0</xdr:colOff>
      <xdr:row>41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A5730EC-9DA7-40B8-A25C-1E0D015152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47</xdr:col>
      <xdr:colOff>0</xdr:colOff>
      <xdr:row>19</xdr:row>
      <xdr:rowOff>190499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320D12E-B11C-4D5D-8A4F-8318FC4C98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392907</xdr:colOff>
      <xdr:row>21</xdr:row>
      <xdr:rowOff>0</xdr:rowOff>
    </xdr:from>
    <xdr:to>
      <xdr:col>69</xdr:col>
      <xdr:colOff>404812</xdr:colOff>
      <xdr:row>41</xdr:row>
      <xdr:rowOff>23813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FEA726D-9E85-4742-9C4E-9DD16F64A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21</xdr:row>
      <xdr:rowOff>0</xdr:rowOff>
    </xdr:from>
    <xdr:to>
      <xdr:col>50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20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A1:C76" totalsRowShown="0" headerRowDxfId="95">
  <autoFilter ref="A1:C76" xr:uid="{F2C31A30-48D6-4D3D-80E6-ADE1D2C39D89}"/>
  <tableColumns count="3">
    <tableColumn id="1" xr3:uid="{D7E0E5A7-FFDC-45DB-8427-200B1C655ECC}" name="Centros de negócio do Ik" dataDxfId="94"/>
    <tableColumn id="3" xr3:uid="{95650756-BB0B-4093-8A97-AA45406AFC61}" name="Categoria na viabilidade" dataDxfId="93"/>
    <tableColumn id="2" xr3:uid="{24FD4B2C-A596-4FF8-A2FE-E07069551FB8}" name="Subcategoria na viabilidade" dataDxfId="9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A78:B102" totalsRowShown="0" headerRowDxfId="91">
  <autoFilter ref="A78:B102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B14" totalsRowShown="0" headerRowDxfId="90">
  <autoFilter ref="A2:AB14" xr:uid="{E2096D7E-B911-4A38-A00A-E842E0AFE37E}"/>
  <sortState xmlns:xlrd2="http://schemas.microsoft.com/office/spreadsheetml/2017/richdata2" ref="A3:Y14">
    <sortCondition descending="1" ref="E2:E14"/>
  </sortState>
  <tableColumns count="28">
    <tableColumn id="1" xr3:uid="{EF216543-CABE-4D5E-861E-FE0ADE601EF3}" name="Id" dataDxfId="89">
      <calculatedColumnFormula>fin[[#This Row],[Tomadora]]&amp;"-"&amp;fin[[#This Row],[Agente]]&amp;"-"&amp;LEFT(D3,LEN(D3)-3)</calculatedColumnFormula>
    </tableColumn>
    <tableColumn id="25" xr3:uid="{5B243200-F3C0-4C7B-9DCC-2B08D171E3CF}" name="Tomadora" dataDxfId="88"/>
    <tableColumn id="2" xr3:uid="{2B3FCC14-01DF-4F8B-9F0D-27B2D101F30F}" name="Agente" dataDxfId="87"/>
    <tableColumn id="3" xr3:uid="{92F1792E-178D-4E41-88BE-8431F51DBF81}" name="Valor principal" dataDxfId="86" dataCellStyle="Moeda"/>
    <tableColumn id="12" xr3:uid="{3A475916-95DA-4E27-8994-3F9E06A21440}" name="Entrada em 2025" dataDxfId="85">
      <calculatedColumnFormula>SUM(fin[[#This Row],[jan/25]:[dez/25]])</calculatedColumnFormula>
    </tableColumn>
    <tableColumn id="4" xr3:uid="{089F25C9-6052-451B-A3E3-CCB27B5347B6}" name="Juros a.a." dataDxfId="84"/>
    <tableColumn id="5" xr3:uid="{5A5616BC-7F6C-41C4-AE15-915C36A0EAD5}" name="Data início" dataDxfId="83"/>
    <tableColumn id="6" xr3:uid="{73F0ED5F-6941-43E2-BA16-39E3DFF6E955}" name="Última parcela" dataDxfId="82"/>
    <tableColumn id="7" xr3:uid="{3C5E87F6-FDFE-4532-AA1E-B281E82393CB}" name="Valor parcela" dataDxfId="81" dataCellStyle="Moeda"/>
    <tableColumn id="8" xr3:uid="{0CF28A1A-D62F-4035-B6DD-809A41022A51}" name="Saldo" dataDxfId="80" dataCellStyle="Moeda"/>
    <tableColumn id="9" xr3:uid="{BA759F07-5419-4D6D-92D4-A84CCCFC19C2}" name="Garantia" dataDxfId="79"/>
    <tableColumn id="10" xr3:uid="{6749CF21-5EFE-4273-86E3-CB1322907385}" name="Tipo" dataDxfId="78"/>
    <tableColumn id="11" xr3:uid="{E5F28758-32FF-43F6-8F6E-D3E93CBC64CE}" name="Obs" dataDxfId="77"/>
    <tableColumn id="13" xr3:uid="{A7B1CD51-FDF4-4077-8516-3178DBD2111F}" name="jan/25" dataDxfId="76"/>
    <tableColumn id="14" xr3:uid="{46293D95-2F3B-4756-A777-3E38B9E86145}" name="fev/25" dataDxfId="75"/>
    <tableColumn id="15" xr3:uid="{E825D63D-F0DC-4560-8B74-F6E7C22556DA}" name="mar/25" dataDxfId="74"/>
    <tableColumn id="16" xr3:uid="{B6CFDC17-F3CD-4B65-8ED3-0A308627EF3F}" name="abr/25" dataDxfId="73"/>
    <tableColumn id="17" xr3:uid="{0226DA9F-D27A-4A0C-B6E8-46AB13B14A07}" name="mai/25" dataDxfId="72"/>
    <tableColumn id="18" xr3:uid="{8FF537B3-703C-45FB-BAC1-81B866E10A33}" name="jun/25" dataDxfId="71"/>
    <tableColumn id="19" xr3:uid="{FD809B44-BFA8-4055-A608-EFAA1CE73FBB}" name="jul/25" dataDxfId="70"/>
    <tableColumn id="20" xr3:uid="{5F57F0E9-1EB0-451E-ACA0-6FC49080E0F3}" name="ago/25" dataDxfId="69"/>
    <tableColumn id="21" xr3:uid="{1FB017F7-FB43-4CA4-8D8B-634C099AAF8E}" name="set/25" dataDxfId="68"/>
    <tableColumn id="22" xr3:uid="{07B9394B-217E-46F7-B59B-68886D137270}" name="out/25" dataDxfId="67"/>
    <tableColumn id="23" xr3:uid="{8BBC8703-F3F6-45E8-80D4-6CBFF8B1389F}" name="nov/25" dataDxfId="66"/>
    <tableColumn id="24" xr3:uid="{B1C13C7F-61EB-4E51-95E6-13EA8F74FE09}" name="dez/25" dataDxfId="65"/>
    <tableColumn id="26" xr3:uid="{2A2C3C61-2847-4850-AA13-E4EDE668DB8B}" name="jan/26" dataDxfId="64"/>
    <tableColumn id="27" xr3:uid="{800A30B9-1CB1-4021-AF38-5D83A719F7CB}" name="fev/26" dataDxfId="63"/>
    <tableColumn id="28" xr3:uid="{C5F7A8D4-69ED-4F97-85B1-E06E6C7B7038}" name="mar/26" dataDxfId="6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Tabela23" displayName="Tabela23" ref="A17:C25" totalsRowShown="0" headerRowDxfId="61">
  <autoFilter ref="A17:C25" xr:uid="{DAD1975B-BB5E-4125-9663-BECD29C92DFB}"/>
  <tableColumns count="3">
    <tableColumn id="1" xr3:uid="{122618B0-276B-47FA-8B33-4F78FB94DEB9}" name="Empresa"/>
    <tableColumn id="2" xr3:uid="{63DE63CF-3E7F-4C63-92DE-3C8F28971E8B}" name="Data de pagamento" dataDxfId="60"/>
    <tableColumn id="3" xr3:uid="{6958B4BC-5026-4FD4-B921-FC6476D9D883}" name="Valor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59" dataDxfId="58">
  <autoFilter ref="A1:E2" xr:uid="{E04C97D4-C6EC-4BA2-BDB8-ED5F99D32C7B}"/>
  <tableColumns count="5">
    <tableColumn id="1" xr3:uid="{F8991AC9-B496-4071-88D0-965AA7E56347}" name="id.contr" dataDxfId="57"/>
    <tableColumn id="2" xr3:uid="{848121DC-6D2B-4A17-AB11-1C54A6302ADF}" name="empresa" dataDxfId="56"/>
    <tableColumn id="3" xr3:uid="{996BCA97-A76D-4FF6-9F2B-C2FD653CD03C}" name="contrato" dataDxfId="55"/>
    <tableColumn id="4" xr3:uid="{0BD26A3E-381C-43D9-88DA-1591A2D9509E}" name="contrato.cef" dataDxfId="54"/>
    <tableColumn id="5" xr3:uid="{C3B3C125-1D2F-4D6D-B9A4-2B2A5043EC4D}" name="repassado" dataDxfId="5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F2" insertRow="1" totalsRowShown="0" headerRowDxfId="52" dataDxfId="51">
  <autoFilter ref="A1:AF2" xr:uid="{E04C97D4-C6EC-4BA2-BDB8-ED5F99D32C7B}"/>
  <tableColumns count="32">
    <tableColumn id="1" xr3:uid="{7591C1E4-333E-46EC-B95F-BF5541B357A4}" name="nucleo" dataDxfId="50"/>
    <tableColumn id="2" xr3:uid="{96E89845-4235-4A02-B7CE-0DF0B7B694DB}" name="nucleo.num" dataDxfId="49"/>
    <tableColumn id="3" xr3:uid="{0F46A9C7-7C83-42D1-A309-7325397F5236}" name="empresa" dataDxfId="48"/>
    <tableColumn id="4" xr3:uid="{F721C566-B42C-4B2C-9946-7DA03969DC90}" name="centro.negocio" dataDxfId="47"/>
    <tableColumn id="5" xr3:uid="{8D9D4173-C28C-4992-A064-F483ADDB0E23}" name="categoria" dataDxfId="46"/>
    <tableColumn id="6" xr3:uid="{81048B38-F467-4E84-8A20-F585D954E066}" name="n.siban" dataDxfId="45"/>
    <tableColumn id="7" xr3:uid="{6CBBA08B-DF25-4369-A82D-8FA8F29EFA80}" name="origem" dataDxfId="44"/>
    <tableColumn id="8" xr3:uid="{7ABB27F8-B8CB-470A-8419-30B67BC51AD4}" name="tipo.entrada" dataDxfId="43"/>
    <tableColumn id="9" xr3:uid="{69DFD527-31D6-4991-B07E-927ACDC7CCA5}" name="documento" dataDxfId="42"/>
    <tableColumn id="10" xr3:uid="{A011B5AE-D821-47F3-A9A6-F73395565959}" name="parcela" dataDxfId="41"/>
    <tableColumn id="11" xr3:uid="{C3536954-73DF-43E9-B074-638C86E811AA}" name="data.vencimento" dataDxfId="40"/>
    <tableColumn id="12" xr3:uid="{F3716B11-9C97-4DB0-8371-CE9B5B6B2835}" name="data.pagamento" dataDxfId="39"/>
    <tableColumn id="13" xr3:uid="{22491C3C-25CC-446A-9E63-A4864D1C0FC9}" name="valor" dataDxfId="38"/>
    <tableColumn id="14" xr3:uid="{9F6A6033-77D1-4985-A84E-8552AC4C5382}" name="a/c" dataDxfId="37"/>
    <tableColumn id="15" xr3:uid="{E076FDFD-C917-4899-BB40-F4499FF592BE}" name="documento.pagto" dataDxfId="36"/>
    <tableColumn id="16" xr3:uid="{75ABA4F4-48E3-4C5F-8173-5ED4DBFA82D8}" name="credor" dataDxfId="35"/>
    <tableColumn id="17" xr3:uid="{8CA2E840-C63A-4531-93C8-123AFA79FB8C}" name="classe" dataDxfId="34"/>
    <tableColumn id="18" xr3:uid="{5752141F-D6C3-4E1A-B10F-5C08983DA09A}" name="assunto.titulo" dataDxfId="33"/>
    <tableColumn id="19" xr3:uid="{4F627380-75D5-43C0-9A09-E48059974E95}" name="grupo.titulo" dataDxfId="32"/>
    <tableColumn id="20" xr3:uid="{58602D9F-504C-4459-831A-2C342BEDC48D}" name="subgrupo.titulo" dataDxfId="31"/>
    <tableColumn id="21" xr3:uid="{327A2116-6BB3-4610-A671-1A4C96BFEC0F}" name="classificacao" dataDxfId="30"/>
    <tableColumn id="22" xr3:uid="{983BAABF-26E4-4519-AA67-4856AFC95801}" name="d/c" dataDxfId="29"/>
    <tableColumn id="23" xr3:uid="{80C8F68F-ECB3-49D4-A74E-D629239E9C92}" name="cod.grupo.nuc" dataDxfId="28"/>
    <tableColumn id="24" xr3:uid="{D442FD0E-1287-4A06-98FC-6B0AEAD7BEC9}" name="grupo.nucleo" dataDxfId="27"/>
    <tableColumn id="25" xr3:uid="{6DFAC642-E786-4831-B43F-F44A89E2D703}" name="cod.grupo.cen" dataDxfId="26"/>
    <tableColumn id="26" xr3:uid="{C2FECD4D-2685-40F5-8A02-E4AF08AA3A80}" name="grupo.centro" dataDxfId="25"/>
    <tableColumn id="27" xr3:uid="{C9A23853-8F7E-4588-B7FD-8D6378266F1E}" name="cod.classe.cen" dataDxfId="24"/>
    <tableColumn id="28" xr3:uid="{F2EB607E-C2EE-4A67-B514-8C0634DDFE5B}" name="classe.centro" dataDxfId="23"/>
    <tableColumn id="29" xr3:uid="{F25F60B2-DE2C-4070-9B2E-8992D19A74E5}" name="arquivo" dataDxfId="22"/>
    <tableColumn id="30" xr3:uid="{BD1F13BE-7F96-454A-BF6E-E5CC7E3E33C5}" name="arquivo.tabela.tipo" dataDxfId="21"/>
    <tableColumn id="31" xr3:uid="{EABBC6B5-0899-4C37-87FE-DAB7CEAB1319}" name="arquivo.tipo" dataDxfId="20"/>
    <tableColumn id="32" xr3:uid="{41C21546-62DD-45A0-8F9F-8E92FA4F8E75}" name="arquivo.fonte" dataDxfId="19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18" dataDxfId="17">
  <autoFilter ref="A1:L2" xr:uid="{E04C97D4-C6EC-4BA2-BDB8-ED5F99D32C7B}"/>
  <tableColumns count="12">
    <tableColumn id="1" xr3:uid="{B5DFC91C-E081-4C3D-92BC-96E63DBDA06E}" name="empresa" dataDxfId="16"/>
    <tableColumn id="2" xr3:uid="{FA8F031D-9B1D-4B80-B82B-8AD3A6BAC081}" name="contrato.cef.5" dataDxfId="15"/>
    <tableColumn id="3" xr3:uid="{AA23661F-0E86-454B-B6FA-A33BA6F0CD1B}" name="repasse.cef.total" dataDxfId="14"/>
    <tableColumn id="4" xr3:uid="{EE24BE11-7DE0-4865-9425-57AA4E53C3E7}" name="repasse.cef.incorrido" dataDxfId="13"/>
    <tableColumn id="5" xr3:uid="{0F4302C0-1CDD-4B4D-A83B-6214CFBCD2EA}" name="repasse.cef.a.incorrer" dataDxfId="12"/>
    <tableColumn id="6" xr3:uid="{9D6ADF16-5B0C-4F1A-AEEF-585B9E5F5755}" name="repasse.cef.fin" dataDxfId="11"/>
    <tableColumn id="7" xr3:uid="{37A1F46E-AFA9-4CD2-A308-F4D6219EF875}" name="repasse.cef.desc.subs" dataDxfId="10"/>
    <tableColumn id="8" xr3:uid="{E6BABD7C-7C5B-4C88-A5BF-AF4E450F389B}" name="repasse.cef.fgts" dataDxfId="9"/>
    <tableColumn id="9" xr3:uid="{A2FE521F-3077-4FE2-BEC6-79AE0FCEB217}" name="repasse.cef.rec.prop" dataDxfId="8"/>
    <tableColumn id="10" xr3:uid="{68CE88C2-EF45-4F98-8368-487AAE13F73A}" name="repasse.cef.terreno.acum" dataDxfId="7"/>
    <tableColumn id="11" xr3:uid="{6013DC4F-C554-47DC-9D7B-BF1FFA36C501}" name="repasse.cef.obra.acum" dataDxfId="6"/>
    <tableColumn id="12" xr3:uid="{2706354C-F402-4E95-A801-2AA598F4077D}" name="arquivo" dataDxfId="5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U42" dT="2026-01-16T14:46:35.94" personId="{42E265A3-45EC-48D4-9B29-0671EDA53BA5}" id="{71AECCF4-1039-4119-B445-56D75C5B7AB2}">
    <text>Deveria ser possível separar entre amortização e juros</text>
  </threadedComment>
  <threadedComment ref="Y43" dT="2026-01-16T14:46:35.94" personId="{42E265A3-45EC-48D4-9B29-0671EDA53BA5}" id="{15093130-B4FB-4BD7-A1F7-B271BFEE904D}">
    <text>Deveria ser possível separar entre amortização e juros</text>
  </threadedComment>
  <threadedComment ref="B206" dT="2026-01-16T14:46:35.94" personId="{42E265A3-45EC-48D4-9B29-0671EDA53BA5}" id="{B97EF171-1111-419D-8615-2A0F4FE5751F}">
    <text>Deveria ser possível separar entre amortização e juros</text>
  </threadedComment>
  <threadedComment ref="M210" dT="2026-02-06T16:34:53.82" personId="{42E265A3-45EC-48D4-9B29-0671EDA53BA5}" id="{36865222-C131-45FD-9980-EEE90DD0E7E9}">
    <text>3M incluído manualmente</text>
  </threadedComment>
  <threadedComment ref="N210" dT="2026-02-06T16:36:34.39" personId="{42E265A3-45EC-48D4-9B29-0671EDA53BA5}" id="{928B6802-F15E-48F8-B189-5913C3914911}">
    <text>4,2M incluído manualmente</text>
  </threadedComment>
  <threadedComment ref="B330" dT="2026-01-16T14:46:35.94" personId="{42E265A3-45EC-48D4-9B29-0671EDA53BA5}" id="{AFF6F1F2-B677-4C59-8119-C4E0594B1C8A}">
    <text>Deveria ser possível separar entre amortização e juros</text>
  </threadedComment>
  <threadedComment ref="B380" dT="2026-01-16T14:46:35.94" personId="{42E265A3-45EC-48D4-9B29-0671EDA53BA5}" id="{BE90F4E6-0C79-4CC8-B115-15B33318F924}">
    <text>Deveria ser possível separar entre amortização e juros</text>
  </threadedComment>
  <threadedComment ref="B430" dT="2026-01-16T14:46:35.94" personId="{42E265A3-45EC-48D4-9B29-0671EDA53BA5}" id="{B56A27B2-3AA8-492F-91C5-A51285EDC049}">
    <text>Deveria ser possível separar entre amortização e juros</text>
  </threadedComment>
  <threadedComment ref="B480" dT="2026-01-16T14:46:35.94" personId="{42E265A3-45EC-48D4-9B29-0671EDA53BA5}" id="{C03799A5-8295-4FB6-B4F2-084A1DEED588}">
    <text>Deveria ser possível separar entre amortização e juros</text>
  </threadedComment>
  <threadedComment ref="B530" dT="2026-01-16T14:46:35.94" personId="{42E265A3-45EC-48D4-9B29-0671EDA53BA5}" id="{4EA0565C-9B02-452D-B0F8-5A0DE32ECA71}">
    <text>Deveria ser possível separar entre amortização e juros</text>
  </threadedComment>
  <threadedComment ref="B580" dT="2026-01-16T14:46:35.94" personId="{42E265A3-45EC-48D4-9B29-0671EDA53BA5}" id="{23141CED-4107-4E5D-9F45-B7FAADCFAF70}">
    <text>Deveria ser possível separar entre amortização e juros</text>
  </threadedComment>
  <threadedComment ref="B630" dT="2026-01-16T14:46:35.94" personId="{42E265A3-45EC-48D4-9B29-0671EDA53BA5}" id="{ED9B8938-72F3-4AB4-8A8F-90E4664C949D}">
    <text>Deveria ser possível separar entre amortização e juros</text>
  </threadedComment>
  <threadedComment ref="B680" dT="2026-01-16T14:46:35.94" personId="{42E265A3-45EC-48D4-9B29-0671EDA53BA5}" id="{F07B97DB-C806-4C11-BC4F-CF392F84C1BA}">
    <text>Deveria ser possível separar entre amortização e juros</text>
  </threadedComment>
  <threadedComment ref="B730" dT="2026-01-16T14:46:35.94" personId="{42E265A3-45EC-48D4-9B29-0671EDA53BA5}" id="{C2A2027F-01C9-49DD-9485-341C0C4D36B0}">
    <text>Deveria ser possível separar entre amortização e juros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dimension ref="A1:CJ735"/>
  <sheetViews>
    <sheetView showGridLines="0" tabSelected="1" zoomScale="80" zoomScaleNormal="80" workbookViewId="0">
      <pane xSplit="2" ySplit="1" topLeftCell="U27" activePane="bottomRight" state="frozen"/>
      <selection pane="topRight" activeCell="C1" sqref="C1"/>
      <selection pane="bottomLeft" activeCell="A2" sqref="A2"/>
      <selection pane="bottomRight" activeCell="Y56" sqref="Y56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18" width="15.7109375" customWidth="1"/>
    <col min="19" max="19" width="3.7109375" customWidth="1"/>
    <col min="20" max="20" width="15.7109375" customWidth="1"/>
    <col min="21" max="21" width="3.7109375" customWidth="1"/>
    <col min="22" max="22" width="15.7109375" customWidth="1"/>
    <col min="23" max="23" width="3.7109375" customWidth="1"/>
    <col min="24" max="24" width="18.7109375" customWidth="1"/>
    <col min="25" max="25" width="51.7109375" customWidth="1"/>
    <col min="26" max="34" width="15.7109375" customWidth="1"/>
    <col min="35" max="35" width="3.7109375" customWidth="1"/>
    <col min="36" max="36" width="15.7109375" customWidth="1"/>
    <col min="37" max="37" width="3.7109375" customWidth="1"/>
  </cols>
  <sheetData>
    <row r="1" spans="1:88" ht="30" x14ac:dyDescent="0.25">
      <c r="A1" s="233" t="s">
        <v>506</v>
      </c>
      <c r="B1" s="233" t="s">
        <v>507</v>
      </c>
      <c r="C1" s="233" t="s">
        <v>508</v>
      </c>
      <c r="D1" s="234">
        <v>45658</v>
      </c>
      <c r="E1" s="234">
        <v>45689</v>
      </c>
      <c r="F1" s="234">
        <v>45717</v>
      </c>
      <c r="G1" s="234">
        <v>45748</v>
      </c>
      <c r="H1" s="234">
        <v>45778</v>
      </c>
      <c r="I1" s="234">
        <v>45809</v>
      </c>
      <c r="J1" s="234">
        <v>45839</v>
      </c>
      <c r="K1" s="234">
        <v>45870</v>
      </c>
      <c r="L1" s="234">
        <v>45901</v>
      </c>
      <c r="M1" s="234">
        <v>45931</v>
      </c>
      <c r="N1" s="234">
        <v>45962</v>
      </c>
      <c r="O1" s="234">
        <v>45992</v>
      </c>
      <c r="P1" s="234">
        <v>46023</v>
      </c>
      <c r="Q1" s="234">
        <v>46054</v>
      </c>
      <c r="R1" s="234">
        <v>46082</v>
      </c>
      <c r="T1" s="235" t="s">
        <v>30</v>
      </c>
      <c r="V1" s="213" t="s">
        <v>509</v>
      </c>
      <c r="Y1" s="329"/>
      <c r="Z1" s="307" t="s">
        <v>548</v>
      </c>
      <c r="AA1" s="307" t="s">
        <v>554</v>
      </c>
      <c r="AB1" s="307" t="s">
        <v>564</v>
      </c>
      <c r="AC1" s="307" t="s">
        <v>552</v>
      </c>
      <c r="AD1" s="307" t="s">
        <v>556</v>
      </c>
      <c r="AE1" s="307" t="s">
        <v>550</v>
      </c>
      <c r="AF1" s="307" t="s">
        <v>560</v>
      </c>
      <c r="AG1" s="307" t="s">
        <v>546</v>
      </c>
      <c r="AH1" s="308" t="s">
        <v>562</v>
      </c>
      <c r="BT1" s="233" t="s">
        <v>506</v>
      </c>
      <c r="BU1" s="233" t="s">
        <v>507</v>
      </c>
      <c r="BV1" s="233" t="s">
        <v>508</v>
      </c>
      <c r="BW1" s="234">
        <v>45658</v>
      </c>
      <c r="BX1" s="234">
        <v>45689</v>
      </c>
      <c r="BY1" s="234">
        <v>45717</v>
      </c>
      <c r="BZ1" s="234">
        <v>45748</v>
      </c>
      <c r="CA1" s="234">
        <v>45778</v>
      </c>
      <c r="CB1" s="234">
        <v>45809</v>
      </c>
      <c r="CC1" s="234">
        <v>45839</v>
      </c>
      <c r="CD1" s="234">
        <v>45870</v>
      </c>
      <c r="CE1" s="234">
        <v>45901</v>
      </c>
      <c r="CF1" s="234">
        <v>45931</v>
      </c>
      <c r="CG1" s="234">
        <v>45962</v>
      </c>
      <c r="CH1" s="234">
        <v>45992</v>
      </c>
      <c r="CI1" s="234">
        <v>46023</v>
      </c>
      <c r="CJ1" s="234">
        <v>46054</v>
      </c>
    </row>
    <row r="2" spans="1:88" x14ac:dyDescent="0.25">
      <c r="A2" s="236" t="s">
        <v>510</v>
      </c>
      <c r="B2" s="236" t="s">
        <v>511</v>
      </c>
      <c r="C2" s="237"/>
      <c r="D2" s="238">
        <f ca="1">D$3+D$31</f>
        <v>66315.199999999997</v>
      </c>
      <c r="E2" s="238">
        <f t="shared" ref="E2:R2" ca="1" si="0">E$3+E$31</f>
        <v>102314.88</v>
      </c>
      <c r="F2" s="238">
        <f t="shared" ca="1" si="0"/>
        <v>247260.96</v>
      </c>
      <c r="G2" s="238">
        <f t="shared" ca="1" si="0"/>
        <v>361891.51999999996</v>
      </c>
      <c r="H2" s="238">
        <f t="shared" ca="1" si="0"/>
        <v>806203.36</v>
      </c>
      <c r="I2" s="238">
        <f t="shared" ca="1" si="0"/>
        <v>770203.68</v>
      </c>
      <c r="J2" s="238">
        <f t="shared" ca="1" si="0"/>
        <v>1031675.04</v>
      </c>
      <c r="K2" s="238">
        <f t="shared" ca="1" si="0"/>
        <v>400733.28</v>
      </c>
      <c r="L2" s="238">
        <f t="shared" ca="1" si="0"/>
        <v>345786.39999999997</v>
      </c>
      <c r="M2" s="238">
        <f t="shared" ca="1" si="0"/>
        <v>622415.52</v>
      </c>
      <c r="N2" s="238">
        <f t="shared" ca="1" si="0"/>
        <v>378944</v>
      </c>
      <c r="O2" s="238">
        <f t="shared" ca="1" si="0"/>
        <v>324944.48000000004</v>
      </c>
      <c r="P2" s="238">
        <f t="shared" ca="1" si="0"/>
        <v>179998.4</v>
      </c>
      <c r="Q2" s="238">
        <f t="shared" ca="1" si="0"/>
        <v>272839.67999999999</v>
      </c>
      <c r="R2" s="238">
        <f t="shared" ca="1" si="0"/>
        <v>640415.36</v>
      </c>
      <c r="T2" s="239">
        <f t="shared" ref="T2:T28" ca="1" si="1">SUM(D2:R2)</f>
        <v>6551941.7600000007</v>
      </c>
      <c r="V2" s="214" t="s">
        <v>512</v>
      </c>
      <c r="Y2" s="329"/>
      <c r="Z2" s="309" t="s">
        <v>12</v>
      </c>
      <c r="AA2" s="309" t="s">
        <v>13</v>
      </c>
      <c r="AB2" s="309" t="s">
        <v>787</v>
      </c>
      <c r="AC2" s="309" t="s">
        <v>14</v>
      </c>
      <c r="AD2" s="309" t="s">
        <v>15</v>
      </c>
      <c r="AE2" s="309" t="s">
        <v>16</v>
      </c>
      <c r="AF2" s="309" t="s">
        <v>473</v>
      </c>
      <c r="AG2" s="309" t="s">
        <v>17</v>
      </c>
      <c r="AH2" s="310" t="s">
        <v>18</v>
      </c>
      <c r="BT2" s="236" t="s">
        <v>510</v>
      </c>
      <c r="BU2" s="236" t="s">
        <v>511</v>
      </c>
      <c r="BV2" s="237"/>
      <c r="BW2" s="238">
        <v>66315.199999999997</v>
      </c>
      <c r="BX2" s="238">
        <v>102314.88</v>
      </c>
      <c r="BY2" s="238">
        <v>247260.96</v>
      </c>
      <c r="BZ2" s="238">
        <v>361891.51999999996</v>
      </c>
      <c r="CA2" s="238">
        <v>806203.36</v>
      </c>
      <c r="CB2" s="238">
        <v>770203.68</v>
      </c>
      <c r="CC2" s="238">
        <v>1031675.04</v>
      </c>
      <c r="CD2" s="238">
        <v>400733.28</v>
      </c>
      <c r="CE2" s="238">
        <v>345786.39999999997</v>
      </c>
      <c r="CF2" s="238">
        <v>622415.52</v>
      </c>
      <c r="CG2" s="238">
        <v>378944</v>
      </c>
      <c r="CH2" s="238">
        <v>324944.48000000004</v>
      </c>
      <c r="CI2" s="238">
        <v>179998.4</v>
      </c>
      <c r="CJ2" s="238">
        <v>272839.67999999999</v>
      </c>
    </row>
    <row r="3" spans="1:88" x14ac:dyDescent="0.25">
      <c r="A3" s="240" t="s">
        <v>513</v>
      </c>
      <c r="B3" s="240" t="s">
        <v>514</v>
      </c>
      <c r="C3" s="241"/>
      <c r="D3" s="242">
        <f t="shared" ref="D3:R3" ca="1" si="2">SUM(D$4,D$10,D$22,D$29)</f>
        <v>66315.199999999997</v>
      </c>
      <c r="E3" s="242">
        <f t="shared" ca="1" si="2"/>
        <v>102314.88</v>
      </c>
      <c r="F3" s="242">
        <f t="shared" ca="1" si="2"/>
        <v>247260.96</v>
      </c>
      <c r="G3" s="242">
        <f t="shared" ca="1" si="2"/>
        <v>361891.51999999996</v>
      </c>
      <c r="H3" s="242">
        <f t="shared" ca="1" si="2"/>
        <v>806203.36</v>
      </c>
      <c r="I3" s="242">
        <f t="shared" ca="1" si="2"/>
        <v>770203.68</v>
      </c>
      <c r="J3" s="242">
        <f t="shared" ca="1" si="2"/>
        <v>1031675.04</v>
      </c>
      <c r="K3" s="242">
        <f t="shared" ca="1" si="2"/>
        <v>400733.28</v>
      </c>
      <c r="L3" s="242">
        <f t="shared" ca="1" si="2"/>
        <v>345786.39999999997</v>
      </c>
      <c r="M3" s="242">
        <f t="shared" ca="1" si="2"/>
        <v>622415.52</v>
      </c>
      <c r="N3" s="242">
        <f t="shared" ca="1" si="2"/>
        <v>378944</v>
      </c>
      <c r="O3" s="242">
        <f t="shared" ca="1" si="2"/>
        <v>324944.48000000004</v>
      </c>
      <c r="P3" s="242">
        <f t="shared" ca="1" si="2"/>
        <v>179998.4</v>
      </c>
      <c r="Q3" s="242">
        <f t="shared" ca="1" si="2"/>
        <v>272839.67999999999</v>
      </c>
      <c r="R3" s="242">
        <f t="shared" ca="1" si="2"/>
        <v>640415.36</v>
      </c>
      <c r="T3" s="239">
        <f t="shared" ca="1" si="1"/>
        <v>6551941.7600000007</v>
      </c>
      <c r="X3" s="236" t="s">
        <v>510</v>
      </c>
      <c r="Y3" s="330" t="s">
        <v>511</v>
      </c>
      <c r="Z3" s="311"/>
      <c r="AA3" s="311"/>
      <c r="AB3" s="311"/>
      <c r="AC3" s="311"/>
      <c r="AD3" s="311"/>
      <c r="AE3" s="311"/>
      <c r="AF3" s="311"/>
      <c r="AG3" s="311"/>
      <c r="AH3" s="312"/>
      <c r="AJ3" s="247">
        <f>SUM(Z3:AH3)</f>
        <v>0</v>
      </c>
      <c r="BT3" s="240" t="s">
        <v>513</v>
      </c>
      <c r="BU3" s="240" t="s">
        <v>514</v>
      </c>
      <c r="BV3" s="241"/>
      <c r="BW3" s="242">
        <v>66315.199999999997</v>
      </c>
      <c r="BX3" s="242">
        <v>102314.88</v>
      </c>
      <c r="BY3" s="242">
        <v>247260.96</v>
      </c>
      <c r="BZ3" s="242">
        <v>361891.51999999996</v>
      </c>
      <c r="CA3" s="242">
        <v>806203.36</v>
      </c>
      <c r="CB3" s="242">
        <v>770203.68</v>
      </c>
      <c r="CC3" s="242">
        <v>1031675.04</v>
      </c>
      <c r="CD3" s="242">
        <v>400733.28</v>
      </c>
      <c r="CE3" s="242">
        <v>345786.39999999997</v>
      </c>
      <c r="CF3" s="242">
        <v>622415.52</v>
      </c>
      <c r="CG3" s="242">
        <v>378944</v>
      </c>
      <c r="CH3" s="242">
        <v>324944.48000000004</v>
      </c>
      <c r="CI3" s="242">
        <v>179998.4</v>
      </c>
      <c r="CJ3" s="242">
        <v>272839.67999999999</v>
      </c>
    </row>
    <row r="4" spans="1:88" outlineLevel="1" x14ac:dyDescent="0.25">
      <c r="A4" s="243" t="s">
        <v>515</v>
      </c>
      <c r="B4" s="243" t="s">
        <v>516</v>
      </c>
      <c r="C4" s="244" t="s">
        <v>482</v>
      </c>
      <c r="D4" s="245">
        <f t="shared" ref="D4:R4" ca="1" si="3">SUM(D$5:D$9)</f>
        <v>0</v>
      </c>
      <c r="E4" s="245">
        <f t="shared" ca="1" si="3"/>
        <v>0</v>
      </c>
      <c r="F4" s="245">
        <f t="shared" ca="1" si="3"/>
        <v>0</v>
      </c>
      <c r="G4" s="245">
        <f t="shared" ca="1" si="3"/>
        <v>0</v>
      </c>
      <c r="H4" s="245">
        <f t="shared" ca="1" si="3"/>
        <v>0</v>
      </c>
      <c r="I4" s="245">
        <f t="shared" ca="1" si="3"/>
        <v>0</v>
      </c>
      <c r="J4" s="245">
        <f t="shared" ca="1" si="3"/>
        <v>0</v>
      </c>
      <c r="K4" s="245">
        <f t="shared" ca="1" si="3"/>
        <v>0</v>
      </c>
      <c r="L4" s="245">
        <f t="shared" ca="1" si="3"/>
        <v>0</v>
      </c>
      <c r="M4" s="245">
        <f t="shared" ca="1" si="3"/>
        <v>0</v>
      </c>
      <c r="N4" s="245">
        <f t="shared" ca="1" si="3"/>
        <v>0</v>
      </c>
      <c r="O4" s="245">
        <f t="shared" ca="1" si="3"/>
        <v>0</v>
      </c>
      <c r="P4" s="245">
        <f t="shared" ca="1" si="3"/>
        <v>0</v>
      </c>
      <c r="Q4" s="245">
        <f t="shared" ca="1" si="3"/>
        <v>0</v>
      </c>
      <c r="R4" s="245">
        <f t="shared" ca="1" si="3"/>
        <v>0</v>
      </c>
      <c r="T4" s="239">
        <f t="shared" ca="1" si="1"/>
        <v>0</v>
      </c>
      <c r="X4" s="240" t="s">
        <v>513</v>
      </c>
      <c r="Y4" s="331" t="s">
        <v>514</v>
      </c>
      <c r="Z4" s="313">
        <f ca="1">SUM(Z5:Z8)</f>
        <v>0</v>
      </c>
      <c r="AA4" s="313">
        <f t="shared" ref="AA4:AH4" ca="1" si="4">SUM(AA5:AA8)</f>
        <v>0</v>
      </c>
      <c r="AB4" s="313">
        <f t="shared" ca="1" si="4"/>
        <v>0</v>
      </c>
      <c r="AC4" s="313">
        <f t="shared" ca="1" si="4"/>
        <v>0</v>
      </c>
      <c r="AD4" s="313">
        <f t="shared" ca="1" si="4"/>
        <v>0</v>
      </c>
      <c r="AE4" s="313">
        <f t="shared" ca="1" si="4"/>
        <v>640415.36</v>
      </c>
      <c r="AF4" s="313">
        <f t="shared" ca="1" si="4"/>
        <v>0</v>
      </c>
      <c r="AG4" s="313">
        <f t="shared" ca="1" si="4"/>
        <v>0</v>
      </c>
      <c r="AH4" s="314">
        <f t="shared" ca="1" si="4"/>
        <v>0</v>
      </c>
      <c r="AJ4" s="247">
        <f t="shared" ref="AJ4:AJ48" ca="1" si="5">SUM(Z4:AH4)</f>
        <v>640415.36</v>
      </c>
      <c r="BT4" s="243" t="s">
        <v>515</v>
      </c>
      <c r="BU4" s="243" t="s">
        <v>516</v>
      </c>
      <c r="BV4" s="244" t="s">
        <v>482</v>
      </c>
      <c r="BW4" s="245">
        <v>0</v>
      </c>
      <c r="BX4" s="245">
        <v>0</v>
      </c>
      <c r="BY4" s="245">
        <v>0</v>
      </c>
      <c r="BZ4" s="245">
        <v>0</v>
      </c>
      <c r="CA4" s="245">
        <v>0</v>
      </c>
      <c r="CB4" s="245">
        <v>0</v>
      </c>
      <c r="CC4" s="245">
        <v>0</v>
      </c>
      <c r="CD4" s="245">
        <v>0</v>
      </c>
      <c r="CE4" s="245">
        <v>0</v>
      </c>
      <c r="CF4" s="245">
        <v>0</v>
      </c>
      <c r="CG4" s="245">
        <v>0</v>
      </c>
      <c r="CH4" s="245">
        <v>0</v>
      </c>
      <c r="CI4" s="245">
        <v>0</v>
      </c>
      <c r="CJ4" s="245">
        <v>0</v>
      </c>
    </row>
    <row r="5" spans="1:88" outlineLevel="2" x14ac:dyDescent="0.25">
      <c r="A5" s="246" t="s">
        <v>517</v>
      </c>
      <c r="B5" s="246" t="s">
        <v>17</v>
      </c>
      <c r="C5" s="193" t="s">
        <v>482</v>
      </c>
      <c r="D5" s="247">
        <f ca="1">SUMIFS(rec.uni[2025-01-01],
INDIRECT("rec.uni[natureza]"),"repasse.cef.obra",
INDIRECT("rec.uni[empresa]"),$B5)+
SUMIFS(rec.uni[2025-01-01],
INDIRECT("rec.uni[natureza]"),"repasse.cef.terreno",
INDIRECT("rec.uni[empresa]"),$B5)</f>
        <v>0</v>
      </c>
      <c r="E5" s="247">
        <f ca="1">SUMIFS(rec.uni[2025-02-01],
INDIRECT("rec.uni[natureza]"),"repasse.cef.obra",
INDIRECT("rec.uni[empresa]"),$B5)+
SUMIFS(rec.uni[2025-02-01],
INDIRECT("rec.uni[natureza]"),"repasse.cef.terreno",
INDIRECT("rec.uni[empresa]"),$B5)</f>
        <v>0</v>
      </c>
      <c r="F5" s="247">
        <f ca="1">SUMIFS(rec.uni[2025-03-01],
INDIRECT("rec.uni[natureza]"),"repasse.cef.obra",
INDIRECT("rec.uni[empresa]"),$B5)+
SUMIFS(rec.uni[2025-03-01],
INDIRECT("rec.uni[natureza]"),"repasse.cef.terreno",
INDIRECT("rec.uni[empresa]"),$B5)</f>
        <v>0</v>
      </c>
      <c r="G5" s="247">
        <f ca="1">SUMIFS(rec.uni[2025-04-01],
INDIRECT("rec.uni[natureza]"),"repasse.cef.obra",
INDIRECT("rec.uni[empresa]"),$B5)+
SUMIFS(rec.uni[2025-04-01],
INDIRECT("rec.uni[natureza]"),"repasse.cef.terreno",
INDIRECT("rec.uni[empresa]"),$B5)</f>
        <v>0</v>
      </c>
      <c r="H5" s="247">
        <f ca="1">SUMIFS(rec.uni[2025-05-01],
INDIRECT("rec.uni[natureza]"),"repasse.cef.obra",
INDIRECT("rec.uni[empresa]"),$B5)+
SUMIFS(rec.uni[2025-05-01],
INDIRECT("rec.uni[natureza]"),"repasse.cef.terreno",
INDIRECT("rec.uni[empresa]"),$B5)</f>
        <v>0</v>
      </c>
      <c r="I5" s="247">
        <f ca="1">SUMIFS(rec.uni[2025-06-01],
INDIRECT("rec.uni[natureza]"),"repasse.cef.obra",
INDIRECT("rec.uni[empresa]"),$B5)+
SUMIFS(rec.uni[2025-06-01],
INDIRECT("rec.uni[natureza]"),"repasse.cef.terreno",
INDIRECT("rec.uni[empresa]"),$B5)</f>
        <v>0</v>
      </c>
      <c r="J5" s="247">
        <f ca="1">SUMIFS(rec.uni[2025-07-01],
INDIRECT("rec.uni[natureza]"),"repasse.cef.obra",
INDIRECT("rec.uni[empresa]"),$B5)+
SUMIFS(rec.uni[2025-07-01],
INDIRECT("rec.uni[natureza]"),"repasse.cef.terreno",
INDIRECT("rec.uni[empresa]"),$B5)</f>
        <v>0</v>
      </c>
      <c r="K5" s="247">
        <f ca="1">SUMIFS(rec.uni[2025-08-01],
INDIRECT("rec.uni[natureza]"),"repasse.cef.obra",
INDIRECT("rec.uni[empresa]"),$B5)+
SUMIFS(rec.uni[2025-08-01],
INDIRECT("rec.uni[natureza]"),"repasse.cef.terreno",
INDIRECT("rec.uni[empresa]"),$B5)</f>
        <v>0</v>
      </c>
      <c r="L5" s="247">
        <f ca="1">SUMIFS(rec.uni[2025-09-01],
INDIRECT("rec.uni[natureza]"),"repasse.cef.obra",
INDIRECT("rec.uni[empresa]"),$B5)+
SUMIFS(rec.uni[2025-09-01],
INDIRECT("rec.uni[natureza]"),"repasse.cef.terreno",
INDIRECT("rec.uni[empresa]"),$B5)</f>
        <v>0</v>
      </c>
      <c r="M5" s="247">
        <f ca="1">SUMIFS(rec.uni[2025-10-01],
INDIRECT("rec.uni[natureza]"),"repasse.cef.obra",
INDIRECT("rec.uni[empresa]"),$B5)+
SUMIFS(rec.uni[2025-10-01],
INDIRECT("rec.uni[natureza]"),"repasse.cef.terreno",
INDIRECT("rec.uni[empresa]"),$B5)</f>
        <v>0</v>
      </c>
      <c r="N5" s="247">
        <f ca="1">SUMIFS(rec.uni[2025-11-01],
INDIRECT("rec.uni[natureza]"),"repasse.cef.obra",
INDIRECT("rec.uni[empresa]"),$B5)+
SUMIFS(rec.uni[2025-11-01],
INDIRECT("rec.uni[natureza]"),"repasse.cef.terreno",
INDIRECT("rec.uni[empresa]"),$B5)</f>
        <v>0</v>
      </c>
      <c r="O5" s="247">
        <f ca="1">SUMIFS(rec.uni[2025-12-01],
INDIRECT("rec.uni[natureza]"),"repasse.cef.obra",
INDIRECT("rec.uni[empresa]"),$B5)+
SUMIFS(rec.uni[2025-12-01],
INDIRECT("rec.uni[natureza]"),"repasse.cef.terreno",
INDIRECT("rec.uni[empresa]"),$B5)</f>
        <v>0</v>
      </c>
      <c r="P5" s="247">
        <f ca="1">SUMIFS(rec.uni[2026-01-01],
INDIRECT("rec.uni[natureza]"),"repasse.cef.obra",
INDIRECT("rec.uni[empresa]"),$B5)+
SUMIFS(rec.uni[2026-01-01],
INDIRECT("rec.uni[natureza]"),"repasse.cef.terreno",
INDIRECT("rec.uni[empresa]"),$B5)</f>
        <v>0</v>
      </c>
      <c r="Q5" s="247">
        <f ca="1">SUMIFS(rec.uni[2026-02-01],
INDIRECT("rec.uni[natureza]"),"repasse.cef.obra",
INDIRECT("rec.uni[empresa]"),$B5)+
SUMIFS(rec.uni[2026-02-01],
INDIRECT("rec.uni[natureza]"),"repasse.cef.terreno",
INDIRECT("rec.uni[empresa]"),$B5)</f>
        <v>0</v>
      </c>
      <c r="R5" s="247">
        <f ca="1">SUMIFS(rec.uni[2026-03-01],
INDIRECT("rec.uni[natureza]"),"repasse.cef.obra",
INDIRECT("rec.uni[empresa]"),$B5)+
SUMIFS(rec.uni[2026-03-01],
INDIRECT("rec.uni[natureza]"),"repasse.cef.terreno",
INDIRECT("rec.uni[empresa]"),$B5)</f>
        <v>0</v>
      </c>
      <c r="T5" s="239">
        <f t="shared" ca="1" si="1"/>
        <v>0</v>
      </c>
      <c r="X5" s="243" t="s">
        <v>515</v>
      </c>
      <c r="Y5" s="332" t="s">
        <v>516</v>
      </c>
      <c r="Z5" s="315">
        <f ca="1">SUMIFS(rec.uni[2026-03-01],
INDIRECT("rec.uni[natureza]"),"repasse.cef.obra",
INDIRECT("rec.uni[empresa]"),Z$2)+
SUMIFS(rec.uni[2026-03-01],
INDIRECT("rec.uni[natureza]"),"repasse.cef.terreno",
INDIRECT("rec.uni[empresa]"),Z$2)</f>
        <v>0</v>
      </c>
      <c r="AA5" s="315">
        <f ca="1">SUMIFS(rec.uni[2026-03-01],
INDIRECT("rec.uni[natureza]"),"repasse.cef.obra",
INDIRECT("rec.uni[empresa]"),AA$2)+
SUMIFS(rec.uni[2026-03-01],
INDIRECT("rec.uni[natureza]"),"repasse.cef.terreno",
INDIRECT("rec.uni[empresa]"),AA$2)</f>
        <v>0</v>
      </c>
      <c r="AB5" s="315">
        <f ca="1">SUMIFS(rec.uni[2026-03-01],
INDIRECT("rec.uni[natureza]"),"repasse.cef.obra",
INDIRECT("rec.uni[empresa]"),AB$2)+
SUMIFS(rec.uni[2026-03-01],
INDIRECT("rec.uni[natureza]"),"repasse.cef.terreno",
INDIRECT("rec.uni[empresa]"),AB$2)</f>
        <v>0</v>
      </c>
      <c r="AC5" s="315">
        <f ca="1">SUMIFS(rec.uni[2026-03-01],
INDIRECT("rec.uni[natureza]"),"repasse.cef.obra",
INDIRECT("rec.uni[empresa]"),AC$2)+
SUMIFS(rec.uni[2026-03-01],
INDIRECT("rec.uni[natureza]"),"repasse.cef.terreno",
INDIRECT("rec.uni[empresa]"),AC$2)</f>
        <v>0</v>
      </c>
      <c r="AD5" s="315">
        <f ca="1">SUMIFS(rec.uni[2026-03-01],
INDIRECT("rec.uni[natureza]"),"repasse.cef.obra",
INDIRECT("rec.uni[empresa]"),AD$2)+
SUMIFS(rec.uni[2026-03-01],
INDIRECT("rec.uni[natureza]"),"repasse.cef.terreno",
INDIRECT("rec.uni[empresa]"),AD$2)</f>
        <v>0</v>
      </c>
      <c r="AE5" s="315">
        <f ca="1">SUMIFS(rec.uni[2026-03-01],
INDIRECT("rec.uni[natureza]"),"repasse.cef.obra",
INDIRECT("rec.uni[empresa]"),AE$2)+
SUMIFS(rec.uni[2026-03-01],
INDIRECT("rec.uni[natureza]"),"repasse.cef.terreno",
INDIRECT("rec.uni[empresa]"),AE$2)</f>
        <v>0</v>
      </c>
      <c r="AF5" s="315">
        <f ca="1">SUMIFS(rec.uni[2026-03-01],
INDIRECT("rec.uni[natureza]"),"repasse.cef.obra",
INDIRECT("rec.uni[empresa]"),AF$2)+
SUMIFS(rec.uni[2026-03-01],
INDIRECT("rec.uni[natureza]"),"repasse.cef.terreno",
INDIRECT("rec.uni[empresa]"),AF$2)</f>
        <v>0</v>
      </c>
      <c r="AG5" s="315">
        <f ca="1">SUMIFS(rec.uni[2026-03-01],
INDIRECT("rec.uni[natureza]"),"repasse.cef.obra",
INDIRECT("rec.uni[empresa]"),AG$2)+
SUMIFS(rec.uni[2026-03-01],
INDIRECT("rec.uni[natureza]"),"repasse.cef.terreno",
INDIRECT("rec.uni[empresa]"),AG$2)</f>
        <v>0</v>
      </c>
      <c r="AH5" s="316">
        <f ca="1">SUMIFS(rec.uni[2026-03-01],
INDIRECT("rec.uni[natureza]"),"repasse.cef.obra",
INDIRECT("rec.uni[empresa]"),AH$2)+
SUMIFS(rec.uni[2026-03-01],
INDIRECT("rec.uni[natureza]"),"repasse.cef.terreno",
INDIRECT("rec.uni[empresa]"),AH$2)</f>
        <v>0</v>
      </c>
      <c r="AJ5" s="247">
        <f t="shared" ca="1" si="5"/>
        <v>0</v>
      </c>
      <c r="BT5" s="243" t="s">
        <v>521</v>
      </c>
      <c r="BU5" s="243" t="s">
        <v>21</v>
      </c>
      <c r="BV5" s="244" t="s">
        <v>522</v>
      </c>
      <c r="BW5" s="245">
        <v>0</v>
      </c>
      <c r="BX5" s="245">
        <v>0</v>
      </c>
      <c r="BY5" s="245">
        <v>0</v>
      </c>
      <c r="BZ5" s="245">
        <v>0</v>
      </c>
      <c r="CA5" s="245">
        <v>0</v>
      </c>
      <c r="CB5" s="245">
        <v>0</v>
      </c>
      <c r="CC5" s="245">
        <v>0</v>
      </c>
      <c r="CD5" s="245">
        <v>0</v>
      </c>
      <c r="CE5" s="245">
        <v>0</v>
      </c>
      <c r="CF5" s="245">
        <v>0</v>
      </c>
      <c r="CG5" s="245">
        <v>0</v>
      </c>
      <c r="CH5" s="245">
        <v>0</v>
      </c>
      <c r="CI5" s="245">
        <v>0</v>
      </c>
      <c r="CJ5" s="245">
        <v>0</v>
      </c>
    </row>
    <row r="6" spans="1:88" outlineLevel="2" x14ac:dyDescent="0.25">
      <c r="A6" s="246" t="s">
        <v>518</v>
      </c>
      <c r="B6" s="246" t="s">
        <v>14</v>
      </c>
      <c r="C6" s="193" t="s">
        <v>482</v>
      </c>
      <c r="D6" s="247">
        <f ca="1">SUMIFS(rec.uni[2025-01-01],
INDIRECT("rec.uni[natureza]"),"repasse.cef.obra",
INDIRECT("rec.uni[empresa]"),$B6)+
SUMIFS(rec.uni[2025-01-01],
INDIRECT("rec.uni[natureza]"),"repasse.cef.terreno",
INDIRECT("rec.uni[empresa]"),$B6)</f>
        <v>0</v>
      </c>
      <c r="E6" s="247">
        <f ca="1">SUMIFS(rec.uni[2025-02-01],
INDIRECT("rec.uni[natureza]"),"repasse.cef.obra",
INDIRECT("rec.uni[empresa]"),$B6)+
SUMIFS(rec.uni[2025-02-01],
INDIRECT("rec.uni[natureza]"),"repasse.cef.terreno",
INDIRECT("rec.uni[empresa]"),$B6)</f>
        <v>0</v>
      </c>
      <c r="F6" s="247">
        <f ca="1">SUMIFS(rec.uni[2025-03-01],
INDIRECT("rec.uni[natureza]"),"repasse.cef.obra",
INDIRECT("rec.uni[empresa]"),$B6)+
SUMIFS(rec.uni[2025-03-01],
INDIRECT("rec.uni[natureza]"),"repasse.cef.terreno",
INDIRECT("rec.uni[empresa]"),$B6)</f>
        <v>0</v>
      </c>
      <c r="G6" s="247">
        <f ca="1">SUMIFS(rec.uni[2025-04-01],
INDIRECT("rec.uni[natureza]"),"repasse.cef.obra",
INDIRECT("rec.uni[empresa]"),$B6)+
SUMIFS(rec.uni[2025-04-01],
INDIRECT("rec.uni[natureza]"),"repasse.cef.terreno",
INDIRECT("rec.uni[empresa]"),$B6)</f>
        <v>0</v>
      </c>
      <c r="H6" s="247">
        <f ca="1">SUMIFS(rec.uni[2025-05-01],
INDIRECT("rec.uni[natureza]"),"repasse.cef.obra",
INDIRECT("rec.uni[empresa]"),$B6)+
SUMIFS(rec.uni[2025-05-01],
INDIRECT("rec.uni[natureza]"),"repasse.cef.terreno",
INDIRECT("rec.uni[empresa]"),$B6)</f>
        <v>0</v>
      </c>
      <c r="I6" s="247">
        <f ca="1">SUMIFS(rec.uni[2025-06-01],
INDIRECT("rec.uni[natureza]"),"repasse.cef.obra",
INDIRECT("rec.uni[empresa]"),$B6)+
SUMIFS(rec.uni[2025-06-01],
INDIRECT("rec.uni[natureza]"),"repasse.cef.terreno",
INDIRECT("rec.uni[empresa]"),$B6)</f>
        <v>0</v>
      </c>
      <c r="J6" s="247">
        <f ca="1">SUMIFS(rec.uni[2025-07-01],
INDIRECT("rec.uni[natureza]"),"repasse.cef.obra",
INDIRECT("rec.uni[empresa]"),$B6)+
SUMIFS(rec.uni[2025-07-01],
INDIRECT("rec.uni[natureza]"),"repasse.cef.terreno",
INDIRECT("rec.uni[empresa]"),$B6)</f>
        <v>0</v>
      </c>
      <c r="K6" s="247">
        <f ca="1">SUMIFS(rec.uni[2025-08-01],
INDIRECT("rec.uni[natureza]"),"repasse.cef.obra",
INDIRECT("rec.uni[empresa]"),$B6)+
SUMIFS(rec.uni[2025-08-01],
INDIRECT("rec.uni[natureza]"),"repasse.cef.terreno",
INDIRECT("rec.uni[empresa]"),$B6)</f>
        <v>0</v>
      </c>
      <c r="L6" s="247">
        <f ca="1">SUMIFS(rec.uni[2025-09-01],
INDIRECT("rec.uni[natureza]"),"repasse.cef.obra",
INDIRECT("rec.uni[empresa]"),$B6)+
SUMIFS(rec.uni[2025-09-01],
INDIRECT("rec.uni[natureza]"),"repasse.cef.terreno",
INDIRECT("rec.uni[empresa]"),$B6)</f>
        <v>0</v>
      </c>
      <c r="M6" s="247">
        <f ca="1">SUMIFS(rec.uni[2025-10-01],
INDIRECT("rec.uni[natureza]"),"repasse.cef.obra",
INDIRECT("rec.uni[empresa]"),$B6)+
SUMIFS(rec.uni[2025-10-01],
INDIRECT("rec.uni[natureza]"),"repasse.cef.terreno",
INDIRECT("rec.uni[empresa]"),$B6)</f>
        <v>0</v>
      </c>
      <c r="N6" s="247">
        <f ca="1">SUMIFS(rec.uni[2025-11-01],
INDIRECT("rec.uni[natureza]"),"repasse.cef.obra",
INDIRECT("rec.uni[empresa]"),$B6)+
SUMIFS(rec.uni[2025-11-01],
INDIRECT("rec.uni[natureza]"),"repasse.cef.terreno",
INDIRECT("rec.uni[empresa]"),$B6)</f>
        <v>0</v>
      </c>
      <c r="O6" s="247">
        <f ca="1">SUMIFS(rec.uni[2025-12-01],
INDIRECT("rec.uni[natureza]"),"repasse.cef.obra",
INDIRECT("rec.uni[empresa]"),$B6)+
SUMIFS(rec.uni[2025-12-01],
INDIRECT("rec.uni[natureza]"),"repasse.cef.terreno",
INDIRECT("rec.uni[empresa]"),$B6)</f>
        <v>0</v>
      </c>
      <c r="P6" s="247">
        <f ca="1">SUMIFS(rec.uni[2026-01-01],
INDIRECT("rec.uni[natureza]"),"repasse.cef.obra",
INDIRECT("rec.uni[empresa]"),$B6)+
SUMIFS(rec.uni[2026-01-01],
INDIRECT("rec.uni[natureza]"),"repasse.cef.terreno",
INDIRECT("rec.uni[empresa]"),$B6)</f>
        <v>0</v>
      </c>
      <c r="Q6" s="247">
        <f ca="1">SUMIFS(rec.uni[2026-02-01],
INDIRECT("rec.uni[natureza]"),"repasse.cef.obra",
INDIRECT("rec.uni[empresa]"),$B6)+
SUMIFS(rec.uni[2026-02-01],
INDIRECT("rec.uni[natureza]"),"repasse.cef.terreno",
INDIRECT("rec.uni[empresa]"),$B6)</f>
        <v>0</v>
      </c>
      <c r="R6" s="247">
        <f ca="1">SUMIFS(rec.uni[2026-03-01],
INDIRECT("rec.uni[natureza]"),"repasse.cef.obra",
INDIRECT("rec.uni[empresa]"),$B6)+
SUMIFS(rec.uni[2026-03-01],
INDIRECT("rec.uni[natureza]"),"repasse.cef.terreno",
INDIRECT("rec.uni[empresa]"),$B6)</f>
        <v>0</v>
      </c>
      <c r="T6" s="239">
        <f t="shared" ca="1" si="1"/>
        <v>0</v>
      </c>
      <c r="X6" s="243" t="s">
        <v>521</v>
      </c>
      <c r="Y6" s="332" t="s">
        <v>21</v>
      </c>
      <c r="Z6" s="315">
        <f ca="1">SUMIFS(rec.uni[2026-03-01],
INDIRECT("rec.uni[natureza]"),"pro.soluto",
INDIRECT("rec.uni[empresa]"),Z$2)</f>
        <v>0</v>
      </c>
      <c r="AA6" s="315">
        <f ca="1">SUMIFS(rec.uni[2026-03-01],
INDIRECT("rec.uni[natureza]"),"pro.soluto",
INDIRECT("rec.uni[empresa]"),AA$2)</f>
        <v>0</v>
      </c>
      <c r="AB6" s="315">
        <f ca="1">SUMIFS(rec.uni[2026-03-01],
INDIRECT("rec.uni[natureza]"),"pro.soluto",
INDIRECT("rec.uni[empresa]"),AB$2)</f>
        <v>0</v>
      </c>
      <c r="AC6" s="315">
        <f ca="1">SUMIFS(rec.uni[2026-03-01],
INDIRECT("rec.uni[natureza]"),"pro.soluto",
INDIRECT("rec.uni[empresa]"),AC$2)</f>
        <v>0</v>
      </c>
      <c r="AD6" s="315">
        <f ca="1">SUMIFS(rec.uni[2026-03-01],
INDIRECT("rec.uni[natureza]"),"pro.soluto",
INDIRECT("rec.uni[empresa]"),AD$2)</f>
        <v>0</v>
      </c>
      <c r="AE6" s="315">
        <f ca="1">SUMIFS(rec.uni[2026-03-01],
INDIRECT("rec.uni[natureza]"),"pro.soluto",
INDIRECT("rec.uni[empresa]"),AE$2)</f>
        <v>0</v>
      </c>
      <c r="AF6" s="315">
        <f ca="1">SUMIFS(rec.uni[2026-03-01],
INDIRECT("rec.uni[natureza]"),"pro.soluto",
INDIRECT("rec.uni[empresa]"),AF$2)</f>
        <v>0</v>
      </c>
      <c r="AG6" s="315">
        <f ca="1">SUMIFS(rec.uni[2026-03-01],
INDIRECT("rec.uni[natureza]"),"pro.soluto",
INDIRECT("rec.uni[empresa]"),AG$2)</f>
        <v>0</v>
      </c>
      <c r="AH6" s="316">
        <f ca="1">SUMIFS(rec.uni[2026-03-01],
INDIRECT("rec.uni[natureza]"),"pro.soluto",
INDIRECT("rec.uni[empresa]"),AH$2)</f>
        <v>0</v>
      </c>
      <c r="AJ6" s="247">
        <f t="shared" ca="1" si="5"/>
        <v>0</v>
      </c>
      <c r="BT6" s="243" t="s">
        <v>530</v>
      </c>
      <c r="BU6" s="243" t="s">
        <v>531</v>
      </c>
      <c r="BV6" s="244" t="s">
        <v>522</v>
      </c>
      <c r="BW6" s="245">
        <v>0</v>
      </c>
      <c r="BX6" s="245">
        <v>0</v>
      </c>
      <c r="BY6" s="245">
        <v>0</v>
      </c>
      <c r="BZ6" s="245">
        <v>0</v>
      </c>
      <c r="CA6" s="245">
        <v>0</v>
      </c>
      <c r="CB6" s="245">
        <v>0</v>
      </c>
      <c r="CC6" s="245">
        <v>0</v>
      </c>
      <c r="CD6" s="245">
        <v>0</v>
      </c>
      <c r="CE6" s="245">
        <v>0</v>
      </c>
      <c r="CF6" s="245">
        <v>0</v>
      </c>
      <c r="CG6" s="245">
        <v>0</v>
      </c>
      <c r="CH6" s="245">
        <v>0</v>
      </c>
      <c r="CI6" s="245">
        <v>0</v>
      </c>
      <c r="CJ6" s="245">
        <v>0</v>
      </c>
    </row>
    <row r="7" spans="1:88" outlineLevel="2" x14ac:dyDescent="0.25">
      <c r="A7" s="246" t="s">
        <v>519</v>
      </c>
      <c r="B7" s="246" t="s">
        <v>12</v>
      </c>
      <c r="C7" s="193" t="s">
        <v>482</v>
      </c>
      <c r="D7" s="247">
        <f ca="1">SUMIFS(rec.uni[2025-01-01],
INDIRECT("rec.uni[natureza]"),"repasse.cef.obra",
INDIRECT("rec.uni[empresa]"),$B7)+
SUMIFS(rec.uni[2025-01-01],
INDIRECT("rec.uni[natureza]"),"repasse.cef.terreno",
INDIRECT("rec.uni[empresa]"),$B7)</f>
        <v>0</v>
      </c>
      <c r="E7" s="247">
        <f ca="1">SUMIFS(rec.uni[2025-02-01],
INDIRECT("rec.uni[natureza]"),"repasse.cef.obra",
INDIRECT("rec.uni[empresa]"),$B7)+
SUMIFS(rec.uni[2025-02-01],
INDIRECT("rec.uni[natureza]"),"repasse.cef.terreno",
INDIRECT("rec.uni[empresa]"),$B7)</f>
        <v>0</v>
      </c>
      <c r="F7" s="247">
        <f ca="1">SUMIFS(rec.uni[2025-03-01],
INDIRECT("rec.uni[natureza]"),"repasse.cef.obra",
INDIRECT("rec.uni[empresa]"),$B7)+
SUMIFS(rec.uni[2025-03-01],
INDIRECT("rec.uni[natureza]"),"repasse.cef.terreno",
INDIRECT("rec.uni[empresa]"),$B7)</f>
        <v>0</v>
      </c>
      <c r="G7" s="247">
        <f ca="1">SUMIFS(rec.uni[2025-04-01],
INDIRECT("rec.uni[natureza]"),"repasse.cef.obra",
INDIRECT("rec.uni[empresa]"),$B7)+
SUMIFS(rec.uni[2025-04-01],
INDIRECT("rec.uni[natureza]"),"repasse.cef.terreno",
INDIRECT("rec.uni[empresa]"),$B7)</f>
        <v>0</v>
      </c>
      <c r="H7" s="247">
        <f ca="1">SUMIFS(rec.uni[2025-05-01],
INDIRECT("rec.uni[natureza]"),"repasse.cef.obra",
INDIRECT("rec.uni[empresa]"),$B7)+
SUMIFS(rec.uni[2025-05-01],
INDIRECT("rec.uni[natureza]"),"repasse.cef.terreno",
INDIRECT("rec.uni[empresa]"),$B7)</f>
        <v>0</v>
      </c>
      <c r="I7" s="247">
        <f ca="1">SUMIFS(rec.uni[2025-06-01],
INDIRECT("rec.uni[natureza]"),"repasse.cef.obra",
INDIRECT("rec.uni[empresa]"),$B7)+
SUMIFS(rec.uni[2025-06-01],
INDIRECT("rec.uni[natureza]"),"repasse.cef.terreno",
INDIRECT("rec.uni[empresa]"),$B7)</f>
        <v>0</v>
      </c>
      <c r="J7" s="247">
        <f ca="1">SUMIFS(rec.uni[2025-07-01],
INDIRECT("rec.uni[natureza]"),"repasse.cef.obra",
INDIRECT("rec.uni[empresa]"),$B7)+
SUMIFS(rec.uni[2025-07-01],
INDIRECT("rec.uni[natureza]"),"repasse.cef.terreno",
INDIRECT("rec.uni[empresa]"),$B7)</f>
        <v>0</v>
      </c>
      <c r="K7" s="247">
        <f ca="1">SUMIFS(rec.uni[2025-08-01],
INDIRECT("rec.uni[natureza]"),"repasse.cef.obra",
INDIRECT("rec.uni[empresa]"),$B7)+
SUMIFS(rec.uni[2025-08-01],
INDIRECT("rec.uni[natureza]"),"repasse.cef.terreno",
INDIRECT("rec.uni[empresa]"),$B7)</f>
        <v>0</v>
      </c>
      <c r="L7" s="247">
        <f ca="1">SUMIFS(rec.uni[2025-09-01],
INDIRECT("rec.uni[natureza]"),"repasse.cef.obra",
INDIRECT("rec.uni[empresa]"),$B7)+
SUMIFS(rec.uni[2025-09-01],
INDIRECT("rec.uni[natureza]"),"repasse.cef.terreno",
INDIRECT("rec.uni[empresa]"),$B7)</f>
        <v>0</v>
      </c>
      <c r="M7" s="247">
        <f ca="1">SUMIFS(rec.uni[2025-10-01],
INDIRECT("rec.uni[natureza]"),"repasse.cef.obra",
INDIRECT("rec.uni[empresa]"),$B7)+
SUMIFS(rec.uni[2025-10-01],
INDIRECT("rec.uni[natureza]"),"repasse.cef.terreno",
INDIRECT("rec.uni[empresa]"),$B7)</f>
        <v>0</v>
      </c>
      <c r="N7" s="247">
        <f ca="1">SUMIFS(rec.uni[2025-11-01],
INDIRECT("rec.uni[natureza]"),"repasse.cef.obra",
INDIRECT("rec.uni[empresa]"),$B7)+
SUMIFS(rec.uni[2025-11-01],
INDIRECT("rec.uni[natureza]"),"repasse.cef.terreno",
INDIRECT("rec.uni[empresa]"),$B7)</f>
        <v>0</v>
      </c>
      <c r="O7" s="247">
        <f ca="1">SUMIFS(rec.uni[2025-12-01],
INDIRECT("rec.uni[natureza]"),"repasse.cef.obra",
INDIRECT("rec.uni[empresa]"),$B7)+
SUMIFS(rec.uni[2025-12-01],
INDIRECT("rec.uni[natureza]"),"repasse.cef.terreno",
INDIRECT("rec.uni[empresa]"),$B7)</f>
        <v>0</v>
      </c>
      <c r="P7" s="247">
        <f ca="1">SUMIFS(rec.uni[2026-01-01],
INDIRECT("rec.uni[natureza]"),"repasse.cef.obra",
INDIRECT("rec.uni[empresa]"),$B7)+
SUMIFS(rec.uni[2026-01-01],
INDIRECT("rec.uni[natureza]"),"repasse.cef.terreno",
INDIRECT("rec.uni[empresa]"),$B7)</f>
        <v>0</v>
      </c>
      <c r="Q7" s="247">
        <f ca="1">SUMIFS(rec.uni[2026-02-01],
INDIRECT("rec.uni[natureza]"),"repasse.cef.obra",
INDIRECT("rec.uni[empresa]"),$B7)+
SUMIFS(rec.uni[2026-02-01],
INDIRECT("rec.uni[natureza]"),"repasse.cef.terreno",
INDIRECT("rec.uni[empresa]"),$B7)</f>
        <v>0</v>
      </c>
      <c r="R7" s="247">
        <f ca="1">SUMIFS(rec.uni[2026-03-01],
INDIRECT("rec.uni[natureza]"),"repasse.cef.obra",
INDIRECT("rec.uni[empresa]"),$B7)+
SUMIFS(rec.uni[2026-03-01],
INDIRECT("rec.uni[natureza]"),"repasse.cef.terreno",
INDIRECT("rec.uni[empresa]"),$B7)</f>
        <v>0</v>
      </c>
      <c r="T7" s="239">
        <f t="shared" ca="1" si="1"/>
        <v>0</v>
      </c>
      <c r="X7" s="243" t="s">
        <v>530</v>
      </c>
      <c r="Y7" s="332" t="s">
        <v>531</v>
      </c>
      <c r="Z7" s="315">
        <f ca="1">SUMIFS(rec.uni[2026-03-01],
INDIRECT("rec.uni[natureza]"),"taxa.extra",
INDIRECT("rec.uni[empresa]"),Z$2)</f>
        <v>0</v>
      </c>
      <c r="AA7" s="315">
        <f ca="1">SUMIFS(rec.uni[2026-03-01],
INDIRECT("rec.uni[natureza]"),"taxa.extra",
INDIRECT("rec.uni[empresa]"),AA$2)</f>
        <v>0</v>
      </c>
      <c r="AB7" s="315">
        <f ca="1">SUMIFS(rec.uni[2026-03-01],
INDIRECT("rec.uni[natureza]"),"taxa.extra",
INDIRECT("rec.uni[empresa]"),AB$2)</f>
        <v>0</v>
      </c>
      <c r="AC7" s="315">
        <f ca="1">SUMIFS(rec.uni[2026-03-01],
INDIRECT("rec.uni[natureza]"),"taxa.extra",
INDIRECT("rec.uni[empresa]"),AC$2)</f>
        <v>0</v>
      </c>
      <c r="AD7" s="315">
        <f ca="1">SUMIFS(rec.uni[2026-03-01],
INDIRECT("rec.uni[natureza]"),"taxa.extra",
INDIRECT("rec.uni[empresa]"),AD$2)</f>
        <v>0</v>
      </c>
      <c r="AE7" s="315">
        <f ca="1">SUMIFS(rec.uni[2026-03-01],
INDIRECT("rec.uni[natureza]"),"taxa.extra",
INDIRECT("rec.uni[empresa]"),AE$2)</f>
        <v>0</v>
      </c>
      <c r="AF7" s="315">
        <f ca="1">SUMIFS(rec.uni[2026-03-01],
INDIRECT("rec.uni[natureza]"),"taxa.extra",
INDIRECT("rec.uni[empresa]"),AF$2)</f>
        <v>0</v>
      </c>
      <c r="AG7" s="315">
        <f ca="1">SUMIFS(rec.uni[2026-03-01],
INDIRECT("rec.uni[natureza]"),"taxa.extra",
INDIRECT("rec.uni[empresa]"),AG$2)</f>
        <v>0</v>
      </c>
      <c r="AH7" s="316">
        <f ca="1">SUMIFS(rec.uni[2026-03-01],
INDIRECT("rec.uni[natureza]"),"taxa.extra",
INDIRECT("rec.uni[empresa]"),AH$2)</f>
        <v>0</v>
      </c>
      <c r="AJ7" s="247">
        <f t="shared" ca="1" si="5"/>
        <v>0</v>
      </c>
      <c r="BT7" s="243" t="s">
        <v>539</v>
      </c>
      <c r="BU7" s="248" t="s">
        <v>540</v>
      </c>
      <c r="BV7" s="244" t="s">
        <v>27</v>
      </c>
      <c r="BW7" s="245">
        <v>66315.199999999997</v>
      </c>
      <c r="BX7" s="245">
        <v>102314.88</v>
      </c>
      <c r="BY7" s="245">
        <v>247260.96</v>
      </c>
      <c r="BZ7" s="245">
        <v>361891.51999999996</v>
      </c>
      <c r="CA7" s="245">
        <v>806203.36</v>
      </c>
      <c r="CB7" s="245">
        <v>770203.68</v>
      </c>
      <c r="CC7" s="245">
        <v>1031675.04</v>
      </c>
      <c r="CD7" s="245">
        <v>400733.28</v>
      </c>
      <c r="CE7" s="245">
        <v>345786.39999999997</v>
      </c>
      <c r="CF7" s="245">
        <v>622415.52</v>
      </c>
      <c r="CG7" s="245">
        <v>378944</v>
      </c>
      <c r="CH7" s="245">
        <v>324944.48000000004</v>
      </c>
      <c r="CI7" s="245">
        <v>179998.4</v>
      </c>
      <c r="CJ7" s="245">
        <v>272839.67999999999</v>
      </c>
    </row>
    <row r="8" spans="1:88" outlineLevel="2" x14ac:dyDescent="0.25">
      <c r="A8" s="246" t="s">
        <v>520</v>
      </c>
      <c r="B8" s="246" t="s">
        <v>13</v>
      </c>
      <c r="C8" s="193" t="s">
        <v>482</v>
      </c>
      <c r="D8" s="247">
        <f ca="1">SUMIFS(rec.uni[2025-01-01],
INDIRECT("rec.uni[natureza]"),"repasse.cef.obra",
INDIRECT("rec.uni[empresa]"),$B8)+
SUMIFS(rec.uni[2025-01-01],
INDIRECT("rec.uni[natureza]"),"repasse.cef.terreno",
INDIRECT("rec.uni[empresa]"),$B8)</f>
        <v>0</v>
      </c>
      <c r="E8" s="247">
        <f ca="1">SUMIFS(rec.uni[2025-02-01],
INDIRECT("rec.uni[natureza]"),"repasse.cef.obra",
INDIRECT("rec.uni[empresa]"),$B8)+
SUMIFS(rec.uni[2025-02-01],
INDIRECT("rec.uni[natureza]"),"repasse.cef.terreno",
INDIRECT("rec.uni[empresa]"),$B8)</f>
        <v>0</v>
      </c>
      <c r="F8" s="247">
        <f ca="1">SUMIFS(rec.uni[2025-03-01],
INDIRECT("rec.uni[natureza]"),"repasse.cef.obra",
INDIRECT("rec.uni[empresa]"),$B8)+
SUMIFS(rec.uni[2025-03-01],
INDIRECT("rec.uni[natureza]"),"repasse.cef.terreno",
INDIRECT("rec.uni[empresa]"),$B8)</f>
        <v>0</v>
      </c>
      <c r="G8" s="247">
        <f ca="1">SUMIFS(rec.uni[2025-04-01],
INDIRECT("rec.uni[natureza]"),"repasse.cef.obra",
INDIRECT("rec.uni[empresa]"),$B8)+
SUMIFS(rec.uni[2025-04-01],
INDIRECT("rec.uni[natureza]"),"repasse.cef.terreno",
INDIRECT("rec.uni[empresa]"),$B8)</f>
        <v>0</v>
      </c>
      <c r="H8" s="247">
        <f ca="1">SUMIFS(rec.uni[2025-05-01],
INDIRECT("rec.uni[natureza]"),"repasse.cef.obra",
INDIRECT("rec.uni[empresa]"),$B8)+
SUMIFS(rec.uni[2025-05-01],
INDIRECT("rec.uni[natureza]"),"repasse.cef.terreno",
INDIRECT("rec.uni[empresa]"),$B8)</f>
        <v>0</v>
      </c>
      <c r="I8" s="247">
        <f ca="1">SUMIFS(rec.uni[2025-06-01],
INDIRECT("rec.uni[natureza]"),"repasse.cef.obra",
INDIRECT("rec.uni[empresa]"),$B8)+
SUMIFS(rec.uni[2025-06-01],
INDIRECT("rec.uni[natureza]"),"repasse.cef.terreno",
INDIRECT("rec.uni[empresa]"),$B8)</f>
        <v>0</v>
      </c>
      <c r="J8" s="247">
        <f ca="1">SUMIFS(rec.uni[2025-07-01],
INDIRECT("rec.uni[natureza]"),"repasse.cef.obra",
INDIRECT("rec.uni[empresa]"),$B8)+
SUMIFS(rec.uni[2025-07-01],
INDIRECT("rec.uni[natureza]"),"repasse.cef.terreno",
INDIRECT("rec.uni[empresa]"),$B8)</f>
        <v>0</v>
      </c>
      <c r="K8" s="247">
        <f ca="1">SUMIFS(rec.uni[2025-08-01],
INDIRECT("rec.uni[natureza]"),"repasse.cef.obra",
INDIRECT("rec.uni[empresa]"),$B8)+
SUMIFS(rec.uni[2025-08-01],
INDIRECT("rec.uni[natureza]"),"repasse.cef.terreno",
INDIRECT("rec.uni[empresa]"),$B8)</f>
        <v>0</v>
      </c>
      <c r="L8" s="247">
        <f ca="1">SUMIFS(rec.uni[2025-09-01],
INDIRECT("rec.uni[natureza]"),"repasse.cef.obra",
INDIRECT("rec.uni[empresa]"),$B8)+
SUMIFS(rec.uni[2025-09-01],
INDIRECT("rec.uni[natureza]"),"repasse.cef.terreno",
INDIRECT("rec.uni[empresa]"),$B8)</f>
        <v>0</v>
      </c>
      <c r="M8" s="247">
        <f ca="1">SUMIFS(rec.uni[2025-10-01],
INDIRECT("rec.uni[natureza]"),"repasse.cef.obra",
INDIRECT("rec.uni[empresa]"),$B8)+
SUMIFS(rec.uni[2025-10-01],
INDIRECT("rec.uni[natureza]"),"repasse.cef.terreno",
INDIRECT("rec.uni[empresa]"),$B8)</f>
        <v>0</v>
      </c>
      <c r="N8" s="247">
        <f ca="1">SUMIFS(rec.uni[2025-11-01],
INDIRECT("rec.uni[natureza]"),"repasse.cef.obra",
INDIRECT("rec.uni[empresa]"),$B8)+
SUMIFS(rec.uni[2025-11-01],
INDIRECT("rec.uni[natureza]"),"repasse.cef.terreno",
INDIRECT("rec.uni[empresa]"),$B8)</f>
        <v>0</v>
      </c>
      <c r="O8" s="247">
        <f ca="1">SUMIFS(rec.uni[2025-12-01],
INDIRECT("rec.uni[natureza]"),"repasse.cef.obra",
INDIRECT("rec.uni[empresa]"),$B8)+
SUMIFS(rec.uni[2025-12-01],
INDIRECT("rec.uni[natureza]"),"repasse.cef.terreno",
INDIRECT("rec.uni[empresa]"),$B8)</f>
        <v>0</v>
      </c>
      <c r="P8" s="247">
        <f ca="1">SUMIFS(rec.uni[2026-01-01],
INDIRECT("rec.uni[natureza]"),"repasse.cef.obra",
INDIRECT("rec.uni[empresa]"),$B8)+
SUMIFS(rec.uni[2026-01-01],
INDIRECT("rec.uni[natureza]"),"repasse.cef.terreno",
INDIRECT("rec.uni[empresa]"),$B8)</f>
        <v>0</v>
      </c>
      <c r="Q8" s="247">
        <f ca="1">SUMIFS(rec.uni[2026-02-01],
INDIRECT("rec.uni[natureza]"),"repasse.cef.obra",
INDIRECT("rec.uni[empresa]"),$B8)+
SUMIFS(rec.uni[2026-02-01],
INDIRECT("rec.uni[natureza]"),"repasse.cef.terreno",
INDIRECT("rec.uni[empresa]"),$B8)</f>
        <v>0</v>
      </c>
      <c r="R8" s="247">
        <f ca="1">SUMIFS(rec.uni[2026-03-01],
INDIRECT("rec.uni[natureza]"),"repasse.cef.obra",
INDIRECT("rec.uni[empresa]"),$B8)+
SUMIFS(rec.uni[2026-03-01],
INDIRECT("rec.uni[natureza]"),"repasse.cef.terreno",
INDIRECT("rec.uni[empresa]"),$B8)</f>
        <v>0</v>
      </c>
      <c r="T8" s="239">
        <f t="shared" ref="T8" ca="1" si="6">SUM(D8:R8)</f>
        <v>0</v>
      </c>
      <c r="X8" s="243" t="s">
        <v>539</v>
      </c>
      <c r="Y8" s="332" t="s">
        <v>540</v>
      </c>
      <c r="Z8" s="315">
        <v>0</v>
      </c>
      <c r="AA8" s="315">
        <v>0</v>
      </c>
      <c r="AB8" s="315">
        <v>0</v>
      </c>
      <c r="AC8" s="315">
        <v>0</v>
      </c>
      <c r="AD8" s="315">
        <v>0</v>
      </c>
      <c r="AE8" s="315">
        <f>R30</f>
        <v>640415.36</v>
      </c>
      <c r="AF8" s="315">
        <v>0</v>
      </c>
      <c r="AG8" s="315">
        <v>0</v>
      </c>
      <c r="AH8" s="316">
        <v>0</v>
      </c>
      <c r="AJ8" s="247">
        <f t="shared" si="5"/>
        <v>640415.36</v>
      </c>
      <c r="BT8" s="249" t="s">
        <v>542</v>
      </c>
      <c r="BU8" s="249" t="s">
        <v>543</v>
      </c>
      <c r="BV8" s="250" t="s">
        <v>522</v>
      </c>
      <c r="BW8" s="251">
        <v>0</v>
      </c>
      <c r="BX8" s="251">
        <v>0</v>
      </c>
      <c r="BY8" s="251">
        <v>0</v>
      </c>
      <c r="BZ8" s="251">
        <v>0</v>
      </c>
      <c r="CA8" s="251">
        <v>0</v>
      </c>
      <c r="CB8" s="251">
        <v>0</v>
      </c>
      <c r="CC8" s="251">
        <v>0</v>
      </c>
      <c r="CD8" s="251">
        <v>0</v>
      </c>
      <c r="CE8" s="251">
        <v>0</v>
      </c>
      <c r="CF8" s="251">
        <v>0</v>
      </c>
      <c r="CG8" s="251">
        <v>0</v>
      </c>
      <c r="CH8" s="251">
        <v>0</v>
      </c>
      <c r="CI8" s="251">
        <v>0</v>
      </c>
      <c r="CJ8" s="251">
        <v>0</v>
      </c>
    </row>
    <row r="9" spans="1:88" outlineLevel="2" x14ac:dyDescent="0.25">
      <c r="A9" s="246" t="s">
        <v>779</v>
      </c>
      <c r="B9" s="246" t="s">
        <v>15</v>
      </c>
      <c r="C9" s="193" t="s">
        <v>482</v>
      </c>
      <c r="D9" s="247">
        <f ca="1">SUMIFS(rec.uni[2025-01-01],
INDIRECT("rec.uni[natureza]"),"repasse.cef.obra",
INDIRECT("rec.uni[empresa]"),$B9)+
SUMIFS(rec.uni[2025-01-01],
INDIRECT("rec.uni[natureza]"),"repasse.cef.terreno",
INDIRECT("rec.uni[empresa]"),$B9)</f>
        <v>0</v>
      </c>
      <c r="E9" s="247">
        <f ca="1">SUMIFS(rec.uni[2025-02-01],
INDIRECT("rec.uni[natureza]"),"repasse.cef.obra",
INDIRECT("rec.uni[empresa]"),$B9)+
SUMIFS(rec.uni[2025-02-01],
INDIRECT("rec.uni[natureza]"),"repasse.cef.terreno",
INDIRECT("rec.uni[empresa]"),$B9)</f>
        <v>0</v>
      </c>
      <c r="F9" s="247">
        <f ca="1">SUMIFS(rec.uni[2025-03-01],
INDIRECT("rec.uni[natureza]"),"repasse.cef.obra",
INDIRECT("rec.uni[empresa]"),$B9)+
SUMIFS(rec.uni[2025-03-01],
INDIRECT("rec.uni[natureza]"),"repasse.cef.terreno",
INDIRECT("rec.uni[empresa]"),$B9)</f>
        <v>0</v>
      </c>
      <c r="G9" s="247">
        <f ca="1">SUMIFS(rec.uni[2025-04-01],
INDIRECT("rec.uni[natureza]"),"repasse.cef.obra",
INDIRECT("rec.uni[empresa]"),$B9)+
SUMIFS(rec.uni[2025-04-01],
INDIRECT("rec.uni[natureza]"),"repasse.cef.terreno",
INDIRECT("rec.uni[empresa]"),$B9)</f>
        <v>0</v>
      </c>
      <c r="H9" s="247">
        <f ca="1">SUMIFS(rec.uni[2025-05-01],
INDIRECT("rec.uni[natureza]"),"repasse.cef.obra",
INDIRECT("rec.uni[empresa]"),$B9)+
SUMIFS(rec.uni[2025-05-01],
INDIRECT("rec.uni[natureza]"),"repasse.cef.terreno",
INDIRECT("rec.uni[empresa]"),$B9)</f>
        <v>0</v>
      </c>
      <c r="I9" s="247">
        <f ca="1">SUMIFS(rec.uni[2025-06-01],
INDIRECT("rec.uni[natureza]"),"repasse.cef.obra",
INDIRECT("rec.uni[empresa]"),$B9)+
SUMIFS(rec.uni[2025-06-01],
INDIRECT("rec.uni[natureza]"),"repasse.cef.terreno",
INDIRECT("rec.uni[empresa]"),$B9)</f>
        <v>0</v>
      </c>
      <c r="J9" s="247">
        <f ca="1">SUMIFS(rec.uni[2025-07-01],
INDIRECT("rec.uni[natureza]"),"repasse.cef.obra",
INDIRECT("rec.uni[empresa]"),$B9)+
SUMIFS(rec.uni[2025-07-01],
INDIRECT("rec.uni[natureza]"),"repasse.cef.terreno",
INDIRECT("rec.uni[empresa]"),$B9)</f>
        <v>0</v>
      </c>
      <c r="K9" s="247">
        <f ca="1">SUMIFS(rec.uni[2025-08-01],
INDIRECT("rec.uni[natureza]"),"repasse.cef.obra",
INDIRECT("rec.uni[empresa]"),$B9)+
SUMIFS(rec.uni[2025-08-01],
INDIRECT("rec.uni[natureza]"),"repasse.cef.terreno",
INDIRECT("rec.uni[empresa]"),$B9)</f>
        <v>0</v>
      </c>
      <c r="L9" s="247">
        <f ca="1">SUMIFS(rec.uni[2025-09-01],
INDIRECT("rec.uni[natureza]"),"repasse.cef.obra",
INDIRECT("rec.uni[empresa]"),$B9)+
SUMIFS(rec.uni[2025-09-01],
INDIRECT("rec.uni[natureza]"),"repasse.cef.terreno",
INDIRECT("rec.uni[empresa]"),$B9)</f>
        <v>0</v>
      </c>
      <c r="M9" s="247">
        <f ca="1">SUMIFS(rec.uni[2025-10-01],
INDIRECT("rec.uni[natureza]"),"repasse.cef.obra",
INDIRECT("rec.uni[empresa]"),$B9)+
SUMIFS(rec.uni[2025-10-01],
INDIRECT("rec.uni[natureza]"),"repasse.cef.terreno",
INDIRECT("rec.uni[empresa]"),$B9)</f>
        <v>0</v>
      </c>
      <c r="N9" s="247">
        <f ca="1">SUMIFS(rec.uni[2025-11-01],
INDIRECT("rec.uni[natureza]"),"repasse.cef.obra",
INDIRECT("rec.uni[empresa]"),$B9)+
SUMIFS(rec.uni[2025-11-01],
INDIRECT("rec.uni[natureza]"),"repasse.cef.terreno",
INDIRECT("rec.uni[empresa]"),$B9)</f>
        <v>0</v>
      </c>
      <c r="O9" s="247">
        <f ca="1">SUMIFS(rec.uni[2025-12-01],
INDIRECT("rec.uni[natureza]"),"repasse.cef.obra",
INDIRECT("rec.uni[empresa]"),$B9)+
SUMIFS(rec.uni[2025-12-01],
INDIRECT("rec.uni[natureza]"),"repasse.cef.terreno",
INDIRECT("rec.uni[empresa]"),$B9)</f>
        <v>0</v>
      </c>
      <c r="P9" s="247">
        <f ca="1">SUMIFS(rec.uni[2026-01-01],
INDIRECT("rec.uni[natureza]"),"repasse.cef.obra",
INDIRECT("rec.uni[empresa]"),$B9)+
SUMIFS(rec.uni[2026-01-01],
INDIRECT("rec.uni[natureza]"),"repasse.cef.terreno",
INDIRECT("rec.uni[empresa]"),$B9)</f>
        <v>0</v>
      </c>
      <c r="Q9" s="247">
        <f ca="1">SUMIFS(rec.uni[2026-02-01],
INDIRECT("rec.uni[natureza]"),"repasse.cef.obra",
INDIRECT("rec.uni[empresa]"),$B9)+
SUMIFS(rec.uni[2026-02-01],
INDIRECT("rec.uni[natureza]"),"repasse.cef.terreno",
INDIRECT("rec.uni[empresa]"),$B9)</f>
        <v>0</v>
      </c>
      <c r="R9" s="247">
        <f ca="1">SUMIFS(rec.uni[2026-03-01],
INDIRECT("rec.uni[natureza]"),"repasse.cef.obra",
INDIRECT("rec.uni[empresa]"),$B9)+
SUMIFS(rec.uni[2026-03-01],
INDIRECT("rec.uni[natureza]"),"repasse.cef.terreno",
INDIRECT("rec.uni[empresa]"),$B9)</f>
        <v>0</v>
      </c>
      <c r="T9" s="239">
        <f t="shared" ca="1" si="1"/>
        <v>0</v>
      </c>
      <c r="X9" s="249" t="s">
        <v>542</v>
      </c>
      <c r="Y9" s="333" t="s">
        <v>543</v>
      </c>
      <c r="Z9" s="317">
        <f>SUM(Z10:Z27)</f>
        <v>0</v>
      </c>
      <c r="AA9" s="317">
        <f t="shared" ref="AA9:AH9" si="7">SUM(AA10:AA27)</f>
        <v>0</v>
      </c>
      <c r="AB9" s="317">
        <f t="shared" si="7"/>
        <v>0</v>
      </c>
      <c r="AC9" s="317">
        <f t="shared" si="7"/>
        <v>0</v>
      </c>
      <c r="AD9" s="317">
        <f t="shared" si="7"/>
        <v>0</v>
      </c>
      <c r="AE9" s="317">
        <f t="shared" si="7"/>
        <v>0</v>
      </c>
      <c r="AF9" s="317">
        <f t="shared" si="7"/>
        <v>0</v>
      </c>
      <c r="AG9" s="317">
        <f t="shared" si="7"/>
        <v>0</v>
      </c>
      <c r="AH9" s="318">
        <f t="shared" si="7"/>
        <v>0</v>
      </c>
      <c r="AJ9" s="247">
        <f t="shared" si="5"/>
        <v>0</v>
      </c>
      <c r="BT9" s="243" t="s">
        <v>544</v>
      </c>
      <c r="BU9" s="243" t="s">
        <v>358</v>
      </c>
      <c r="BV9" s="244" t="s">
        <v>522</v>
      </c>
      <c r="BW9" s="245">
        <v>0</v>
      </c>
      <c r="BX9" s="245">
        <v>0</v>
      </c>
      <c r="BY9" s="245">
        <v>0</v>
      </c>
      <c r="BZ9" s="245">
        <v>0</v>
      </c>
      <c r="CA9" s="245">
        <v>0</v>
      </c>
      <c r="CB9" s="245">
        <v>0</v>
      </c>
      <c r="CC9" s="245">
        <v>0</v>
      </c>
      <c r="CD9" s="245">
        <v>0</v>
      </c>
      <c r="CE9" s="245">
        <v>0</v>
      </c>
      <c r="CF9" s="245">
        <v>0</v>
      </c>
      <c r="CG9" s="245">
        <v>0</v>
      </c>
      <c r="CH9" s="245">
        <v>0</v>
      </c>
      <c r="CI9" s="245">
        <v>0</v>
      </c>
      <c r="CJ9" s="245">
        <v>0</v>
      </c>
    </row>
    <row r="10" spans="1:88" outlineLevel="1" x14ac:dyDescent="0.25">
      <c r="A10" s="243" t="s">
        <v>521</v>
      </c>
      <c r="B10" s="243" t="s">
        <v>21</v>
      </c>
      <c r="C10" s="244" t="s">
        <v>522</v>
      </c>
      <c r="D10" s="245">
        <f t="shared" ref="D10:R10" ca="1" si="8">SUM(D$11:D$21)</f>
        <v>0</v>
      </c>
      <c r="E10" s="245">
        <f t="shared" ca="1" si="8"/>
        <v>0</v>
      </c>
      <c r="F10" s="245">
        <f t="shared" ca="1" si="8"/>
        <v>0</v>
      </c>
      <c r="G10" s="245">
        <f t="shared" ca="1" si="8"/>
        <v>0</v>
      </c>
      <c r="H10" s="245">
        <f t="shared" ca="1" si="8"/>
        <v>0</v>
      </c>
      <c r="I10" s="245">
        <f t="shared" ca="1" si="8"/>
        <v>0</v>
      </c>
      <c r="J10" s="245">
        <f t="shared" ca="1" si="8"/>
        <v>0</v>
      </c>
      <c r="K10" s="245">
        <f t="shared" ca="1" si="8"/>
        <v>0</v>
      </c>
      <c r="L10" s="245">
        <f t="shared" ca="1" si="8"/>
        <v>0</v>
      </c>
      <c r="M10" s="245">
        <f t="shared" ca="1" si="8"/>
        <v>0</v>
      </c>
      <c r="N10" s="245">
        <f t="shared" ca="1" si="8"/>
        <v>0</v>
      </c>
      <c r="O10" s="245">
        <f t="shared" ca="1" si="8"/>
        <v>0</v>
      </c>
      <c r="P10" s="245">
        <f t="shared" ca="1" si="8"/>
        <v>0</v>
      </c>
      <c r="Q10" s="245">
        <f t="shared" ca="1" si="8"/>
        <v>0</v>
      </c>
      <c r="R10" s="245">
        <f t="shared" ca="1" si="8"/>
        <v>0</v>
      </c>
      <c r="T10" s="239">
        <f t="shared" ca="1" si="1"/>
        <v>0</v>
      </c>
      <c r="X10" s="243" t="s">
        <v>544</v>
      </c>
      <c r="Y10" s="332" t="s">
        <v>358</v>
      </c>
      <c r="Z10" s="315" cm="1">
        <f t="array" ref="Z10">-SUMPRODUCT(
  desp[valor] *
  (desp[nucleo]=Z$1) *
  (desp[centro.negocio]=$Y10) *
  (desp[data.pagamento]&gt;=DATE(YEAR(inputs!$A$1),MONTH(inputs!$A$1),1)) *
  (desp[data.pagamento]&lt;EOMONTH(inputs!$A$1,0)+1)
)</f>
        <v>0</v>
      </c>
      <c r="AA10" s="315" cm="1">
        <f t="array" ref="AA10">-SUMPRODUCT(
  desp[valor] *
  (desp[nucleo]=AA$1) *
  (desp[centro.negocio]=$Y10) *
  (desp[data.pagamento]&gt;=DATE(YEAR(inputs!$A$1),MONTH(inputs!$A$1),1)) *
  (desp[data.pagamento]&lt;EOMONTH(inputs!$A$1,0)+1)
)</f>
        <v>0</v>
      </c>
      <c r="AB10" s="315" cm="1">
        <f t="array" ref="AB10">-SUMPRODUCT(
  desp[valor] *
  (desp[nucleo]=AB$1) *
  (desp[centro.negocio]=$Y10) *
  (desp[data.pagamento]&gt;=DATE(YEAR(inputs!$A$1),MONTH(inputs!$A$1),1)) *
  (desp[data.pagamento]&lt;EOMONTH(inputs!$A$1,0)+1)
)</f>
        <v>0</v>
      </c>
      <c r="AC10" s="315" cm="1">
        <f t="array" ref="AC10">-SUMPRODUCT(
  desp[valor] *
  (desp[nucleo]=AC$1) *
  (desp[centro.negocio]=$Y10) *
  (desp[data.pagamento]&gt;=DATE(YEAR(inputs!$A$1),MONTH(inputs!$A$1),1)) *
  (desp[data.pagamento]&lt;EOMONTH(inputs!$A$1,0)+1)
)</f>
        <v>0</v>
      </c>
      <c r="AD10" s="315" cm="1">
        <f t="array" ref="AD10">-SUMPRODUCT(
  desp[valor] *
  (desp[nucleo]=AD$1) *
  (desp[centro.negocio]=$Y10) *
  (desp[data.pagamento]&gt;=DATE(YEAR(inputs!$A$1),MONTH(inputs!$A$1),1)) *
  (desp[data.pagamento]&lt;EOMONTH(inputs!$A$1,0)+1)
)</f>
        <v>0</v>
      </c>
      <c r="AE10" s="315" cm="1">
        <f t="array" ref="AE10">-SUMPRODUCT(
  desp[valor] *
  (desp[nucleo]=AE$1) *
  (desp[centro.negocio]=$Y10) *
  (desp[data.pagamento]&gt;=DATE(YEAR(inputs!$A$1),MONTH(inputs!$A$1),1)) *
  (desp[data.pagamento]&lt;EOMONTH(inputs!$A$1,0)+1)
)</f>
        <v>0</v>
      </c>
      <c r="AF10" s="315" cm="1">
        <f t="array" ref="AF10">-SUMPRODUCT(
  desp[valor] *
  (desp[nucleo]=AF$1) *
  (desp[centro.negocio]=$Y10) *
  (desp[data.pagamento]&gt;=DATE(YEAR(inputs!$A$1),MONTH(inputs!$A$1),1)) *
  (desp[data.pagamento]&lt;EOMONTH(inputs!$A$1,0)+1)
)</f>
        <v>0</v>
      </c>
      <c r="AG10" s="315" cm="1">
        <f t="array" ref="AG10">-SUMPRODUCT(
  desp[valor] *
  (desp[nucleo]=AG$1) *
  (desp[centro.negocio]=$Y10) *
  (desp[data.pagamento]&gt;=DATE(YEAR(inputs!$A$1),MONTH(inputs!$A$1),1)) *
  (desp[data.pagamento]&lt;EOMONTH(inputs!$A$1,0)+1)
)</f>
        <v>0</v>
      </c>
      <c r="AH10" s="316" cm="1">
        <f t="array" ref="AH10">-SUMPRODUCT(
  desp[valor] *
  (desp[nucleo]=AH$1) *
  (desp[centro.negocio]=$Y10) *
  (desp[data.pagamento]&gt;=DATE(YEAR(inputs!$A$1),MONTH(inputs!$A$1),1)) *
  (desp[data.pagamento]&lt;EOMONTH(inputs!$A$1,0)+1)
)</f>
        <v>0</v>
      </c>
      <c r="AJ10" s="247">
        <f t="shared" si="5"/>
        <v>0</v>
      </c>
      <c r="BT10" s="243" t="s">
        <v>565</v>
      </c>
      <c r="BU10" s="243" t="s">
        <v>398</v>
      </c>
      <c r="BV10" s="244" t="s">
        <v>522</v>
      </c>
      <c r="BW10" s="245">
        <v>0</v>
      </c>
      <c r="BX10" s="245">
        <v>0</v>
      </c>
      <c r="BY10" s="245">
        <v>0</v>
      </c>
      <c r="BZ10" s="245">
        <v>0</v>
      </c>
      <c r="CA10" s="245">
        <v>0</v>
      </c>
      <c r="CB10" s="245">
        <v>0</v>
      </c>
      <c r="CC10" s="245">
        <v>0</v>
      </c>
      <c r="CD10" s="245">
        <v>0</v>
      </c>
      <c r="CE10" s="245">
        <v>0</v>
      </c>
      <c r="CF10" s="245">
        <v>0</v>
      </c>
      <c r="CG10" s="245">
        <v>0</v>
      </c>
      <c r="CH10" s="245">
        <v>0</v>
      </c>
      <c r="CI10" s="245">
        <v>0</v>
      </c>
      <c r="CJ10" s="245">
        <v>0</v>
      </c>
    </row>
    <row r="11" spans="1:88" outlineLevel="2" x14ac:dyDescent="0.25">
      <c r="A11" s="246" t="s">
        <v>523</v>
      </c>
      <c r="B11" s="246" t="s">
        <v>17</v>
      </c>
      <c r="C11" s="193" t="s">
        <v>522</v>
      </c>
      <c r="D11" s="247">
        <f ca="1">SUMIFS(rec.uni[2025-01-01],
INDIRECT("rec.uni[natureza]"),"pro.soluto",
INDIRECT("rec.uni[empresa]"),$B11)</f>
        <v>0</v>
      </c>
      <c r="E11" s="247">
        <f ca="1">SUMIFS(rec.uni[2025-02-01],
INDIRECT("rec.uni[natureza]"),"pro.soluto",
INDIRECT("rec.uni[empresa]"),$B11)</f>
        <v>0</v>
      </c>
      <c r="F11" s="247">
        <f ca="1">SUMIFS(rec.uni[2025-03-01],
INDIRECT("rec.uni[natureza]"),"pro.soluto",
INDIRECT("rec.uni[empresa]"),$B11)</f>
        <v>0</v>
      </c>
      <c r="G11" s="247">
        <f ca="1">SUMIFS(rec.uni[2025-04-01],
INDIRECT("rec.uni[natureza]"),"pro.soluto",
INDIRECT("rec.uni[empresa]"),$B11)</f>
        <v>0</v>
      </c>
      <c r="H11" s="247">
        <f ca="1">SUMIFS(rec.uni[2025-05-01],
INDIRECT("rec.uni[natureza]"),"pro.soluto",
INDIRECT("rec.uni[empresa]"),$B11)</f>
        <v>0</v>
      </c>
      <c r="I11" s="247">
        <f ca="1">SUMIFS(rec.uni[2025-06-01],
INDIRECT("rec.uni[natureza]"),"pro.soluto",
INDIRECT("rec.uni[empresa]"),$B11)</f>
        <v>0</v>
      </c>
      <c r="J11" s="247">
        <f ca="1">SUMIFS(rec.uni[2025-07-01],
INDIRECT("rec.uni[natureza]"),"pro.soluto",
INDIRECT("rec.uni[empresa]"),$B11)</f>
        <v>0</v>
      </c>
      <c r="K11" s="247">
        <f ca="1">SUMIFS(rec.uni[2025-08-01],
INDIRECT("rec.uni[natureza]"),"pro.soluto",
INDIRECT("rec.uni[empresa]"),$B11)</f>
        <v>0</v>
      </c>
      <c r="L11" s="247">
        <f ca="1">SUMIFS(rec.uni[2025-09-01],
INDIRECT("rec.uni[natureza]"),"pro.soluto",
INDIRECT("rec.uni[empresa]"),$B11)</f>
        <v>0</v>
      </c>
      <c r="M11" s="247">
        <f ca="1">SUMIFS(rec.uni[2025-10-01],
INDIRECT("rec.uni[natureza]"),"pro.soluto",
INDIRECT("rec.uni[empresa]"),$B11)</f>
        <v>0</v>
      </c>
      <c r="N11" s="247">
        <f ca="1">SUMIFS(rec.uni[2025-11-01],
INDIRECT("rec.uni[natureza]"),"pro.soluto",
INDIRECT("rec.uni[empresa]"),$B11)</f>
        <v>0</v>
      </c>
      <c r="O11" s="247">
        <f ca="1">SUMIFS(rec.uni[2025-12-01],
INDIRECT("rec.uni[natureza]"),"pro.soluto",
INDIRECT("rec.uni[empresa]"),$B11)</f>
        <v>0</v>
      </c>
      <c r="P11" s="247">
        <f ca="1">SUMIFS(rec.uni[2026-01-01],
INDIRECT("rec.uni[natureza]"),"pro.soluto",
INDIRECT("rec.uni[empresa]"),$B11)</f>
        <v>0</v>
      </c>
      <c r="Q11" s="247">
        <f ca="1">SUMIFS(rec.uni[2026-02-01],
INDIRECT("rec.uni[natureza]"),"pro.soluto",
INDIRECT("rec.uni[empresa]"),$B11)</f>
        <v>0</v>
      </c>
      <c r="R11" s="247">
        <f ca="1">SUMIFS(rec.uni[2026-03-01],
INDIRECT("rec.uni[natureza]"),"pro.soluto",
INDIRECT("rec.uni[empresa]"),$B11)</f>
        <v>0</v>
      </c>
      <c r="T11" s="239">
        <f t="shared" ca="1" si="1"/>
        <v>0</v>
      </c>
      <c r="X11" s="243" t="s">
        <v>565</v>
      </c>
      <c r="Y11" s="332" t="s">
        <v>398</v>
      </c>
      <c r="Z11" s="315" cm="1">
        <f t="array" ref="Z11">-SUMPRODUCT(
  desp[valor] *
  (desp[nucleo]=Z$1) *
  (desp[centro.negocio]=$Y11) *
  (desp[data.pagamento]&gt;=DATE(YEAR(inputs!$A$1),MONTH(inputs!$A$1),1)) *
  (desp[data.pagamento]&lt;EOMONTH(inputs!$A$1,0)+1)
)</f>
        <v>0</v>
      </c>
      <c r="AA11" s="315" cm="1">
        <f t="array" ref="AA11">-SUMPRODUCT(
  desp[valor] *
  (desp[nucleo]=AA$1) *
  (desp[centro.negocio]=$Y11) *
  (desp[data.pagamento]&gt;=DATE(YEAR(inputs!$A$1),MONTH(inputs!$A$1),1)) *
  (desp[data.pagamento]&lt;EOMONTH(inputs!$A$1,0)+1)
)</f>
        <v>0</v>
      </c>
      <c r="AB11" s="315" cm="1">
        <f t="array" ref="AB11">-SUMPRODUCT(
  desp[valor] *
  (desp[nucleo]=AB$1) *
  (desp[centro.negocio]=$Y11) *
  (desp[data.pagamento]&gt;=DATE(YEAR(inputs!$A$1),MONTH(inputs!$A$1),1)) *
  (desp[data.pagamento]&lt;EOMONTH(inputs!$A$1,0)+1)
)</f>
        <v>0</v>
      </c>
      <c r="AC11" s="315" cm="1">
        <f t="array" ref="AC11">-SUMPRODUCT(
  desp[valor] *
  (desp[nucleo]=AC$1) *
  (desp[centro.negocio]=$Y11) *
  (desp[data.pagamento]&gt;=DATE(YEAR(inputs!$A$1),MONTH(inputs!$A$1),1)) *
  (desp[data.pagamento]&lt;EOMONTH(inputs!$A$1,0)+1)
)</f>
        <v>0</v>
      </c>
      <c r="AD11" s="315" cm="1">
        <f t="array" ref="AD11">-SUMPRODUCT(
  desp[valor] *
  (desp[nucleo]=AD$1) *
  (desp[centro.negocio]=$Y11) *
  (desp[data.pagamento]&gt;=DATE(YEAR(inputs!$A$1),MONTH(inputs!$A$1),1)) *
  (desp[data.pagamento]&lt;EOMONTH(inputs!$A$1,0)+1)
)</f>
        <v>0</v>
      </c>
      <c r="AE11" s="315" cm="1">
        <f t="array" ref="AE11">-SUMPRODUCT(
  desp[valor] *
  (desp[nucleo]=AE$1) *
  (desp[centro.negocio]=$Y11) *
  (desp[data.pagamento]&gt;=DATE(YEAR(inputs!$A$1),MONTH(inputs!$A$1),1)) *
  (desp[data.pagamento]&lt;EOMONTH(inputs!$A$1,0)+1)
)</f>
        <v>0</v>
      </c>
      <c r="AF11" s="315" cm="1">
        <f t="array" ref="AF11">-SUMPRODUCT(
  desp[valor] *
  (desp[nucleo]=AF$1) *
  (desp[centro.negocio]=$Y11) *
  (desp[data.pagamento]&gt;=DATE(YEAR(inputs!$A$1),MONTH(inputs!$A$1),1)) *
  (desp[data.pagamento]&lt;EOMONTH(inputs!$A$1,0)+1)
)</f>
        <v>0</v>
      </c>
      <c r="AG11" s="315" cm="1">
        <f t="array" ref="AG11">-SUMPRODUCT(
  desp[valor] *
  (desp[nucleo]=AG$1) *
  (desp[centro.negocio]=$Y11) *
  (desp[data.pagamento]&gt;=DATE(YEAR(inputs!$A$1),MONTH(inputs!$A$1),1)) *
  (desp[data.pagamento]&lt;EOMONTH(inputs!$A$1,0)+1)
)</f>
        <v>0</v>
      </c>
      <c r="AH11" s="316" cm="1">
        <f t="array" ref="AH11">-SUMPRODUCT(
  desp[valor] *
  (desp[nucleo]=AH$1) *
  (desp[centro.negocio]=$Y11) *
  (desp[data.pagamento]&gt;=DATE(YEAR(inputs!$A$1),MONTH(inputs!$A$1),1)) *
  (desp[data.pagamento]&lt;EOMONTH(inputs!$A$1,0)+1)
)</f>
        <v>0</v>
      </c>
      <c r="AJ11" s="247">
        <f t="shared" si="5"/>
        <v>0</v>
      </c>
      <c r="BT11" s="243" t="s">
        <v>573</v>
      </c>
      <c r="BU11" s="243" t="s">
        <v>356</v>
      </c>
      <c r="BV11" s="244" t="s">
        <v>522</v>
      </c>
      <c r="BW11" s="245">
        <v>0</v>
      </c>
      <c r="BX11" s="245">
        <v>0</v>
      </c>
      <c r="BY11" s="245">
        <v>0</v>
      </c>
      <c r="BZ11" s="245">
        <v>0</v>
      </c>
      <c r="CA11" s="245">
        <v>0</v>
      </c>
      <c r="CB11" s="245">
        <v>0</v>
      </c>
      <c r="CC11" s="245">
        <v>0</v>
      </c>
      <c r="CD11" s="245">
        <v>0</v>
      </c>
      <c r="CE11" s="245">
        <v>0</v>
      </c>
      <c r="CF11" s="245">
        <v>0</v>
      </c>
      <c r="CG11" s="245">
        <v>0</v>
      </c>
      <c r="CH11" s="245">
        <v>0</v>
      </c>
      <c r="CI11" s="245">
        <v>0</v>
      </c>
      <c r="CJ11" s="245">
        <v>0</v>
      </c>
    </row>
    <row r="12" spans="1:88" outlineLevel="2" x14ac:dyDescent="0.25">
      <c r="A12" s="246" t="s">
        <v>524</v>
      </c>
      <c r="B12" s="246" t="s">
        <v>18</v>
      </c>
      <c r="C12" s="193" t="s">
        <v>522</v>
      </c>
      <c r="D12" s="247">
        <f ca="1">SUMIFS(rec.uni[2025-01-01],
INDIRECT("rec.uni[natureza]"),"pro.soluto",
INDIRECT("rec.uni[empresa]"),$B12)</f>
        <v>0</v>
      </c>
      <c r="E12" s="247">
        <f ca="1">SUMIFS(rec.uni[2025-02-01],
INDIRECT("rec.uni[natureza]"),"pro.soluto",
INDIRECT("rec.uni[empresa]"),$B12)</f>
        <v>0</v>
      </c>
      <c r="F12" s="247">
        <f ca="1">SUMIFS(rec.uni[2025-03-01],
INDIRECT("rec.uni[natureza]"),"pro.soluto",
INDIRECT("rec.uni[empresa]"),$B12)</f>
        <v>0</v>
      </c>
      <c r="G12" s="247">
        <f ca="1">SUMIFS(rec.uni[2025-04-01],
INDIRECT("rec.uni[natureza]"),"pro.soluto",
INDIRECT("rec.uni[empresa]"),$B12)</f>
        <v>0</v>
      </c>
      <c r="H12" s="247">
        <f ca="1">SUMIFS(rec.uni[2025-05-01],
INDIRECT("rec.uni[natureza]"),"pro.soluto",
INDIRECT("rec.uni[empresa]"),$B12)</f>
        <v>0</v>
      </c>
      <c r="I12" s="247">
        <f ca="1">SUMIFS(rec.uni[2025-06-01],
INDIRECT("rec.uni[natureza]"),"pro.soluto",
INDIRECT("rec.uni[empresa]"),$B12)</f>
        <v>0</v>
      </c>
      <c r="J12" s="247">
        <f ca="1">SUMIFS(rec.uni[2025-07-01],
INDIRECT("rec.uni[natureza]"),"pro.soluto",
INDIRECT("rec.uni[empresa]"),$B12)</f>
        <v>0</v>
      </c>
      <c r="K12" s="247">
        <f ca="1">SUMIFS(rec.uni[2025-08-01],
INDIRECT("rec.uni[natureza]"),"pro.soluto",
INDIRECT("rec.uni[empresa]"),$B12)</f>
        <v>0</v>
      </c>
      <c r="L12" s="247">
        <f ca="1">SUMIFS(rec.uni[2025-09-01],
INDIRECT("rec.uni[natureza]"),"pro.soluto",
INDIRECT("rec.uni[empresa]"),$B12)</f>
        <v>0</v>
      </c>
      <c r="M12" s="247">
        <f ca="1">SUMIFS(rec.uni[2025-10-01],
INDIRECT("rec.uni[natureza]"),"pro.soluto",
INDIRECT("rec.uni[empresa]"),$B12)</f>
        <v>0</v>
      </c>
      <c r="N12" s="247">
        <f ca="1">SUMIFS(rec.uni[2025-11-01],
INDIRECT("rec.uni[natureza]"),"pro.soluto",
INDIRECT("rec.uni[empresa]"),$B12)</f>
        <v>0</v>
      </c>
      <c r="O12" s="247">
        <f ca="1">SUMIFS(rec.uni[2025-12-01],
INDIRECT("rec.uni[natureza]"),"pro.soluto",
INDIRECT("rec.uni[empresa]"),$B12)</f>
        <v>0</v>
      </c>
      <c r="P12" s="247">
        <f ca="1">SUMIFS(rec.uni[2026-01-01],
INDIRECT("rec.uni[natureza]"),"pro.soluto",
INDIRECT("rec.uni[empresa]"),$B12)</f>
        <v>0</v>
      </c>
      <c r="Q12" s="247">
        <f ca="1">SUMIFS(rec.uni[2026-02-01],
INDIRECT("rec.uni[natureza]"),"pro.soluto",
INDIRECT("rec.uni[empresa]"),$B12)</f>
        <v>0</v>
      </c>
      <c r="R12" s="247">
        <f ca="1">SUMIFS(rec.uni[2026-03-01],
INDIRECT("rec.uni[natureza]"),"pro.soluto",
INDIRECT("rec.uni[empresa]"),$B12)</f>
        <v>0</v>
      </c>
      <c r="T12" s="239">
        <f t="shared" ca="1" si="1"/>
        <v>0</v>
      </c>
      <c r="X12" s="243" t="s">
        <v>573</v>
      </c>
      <c r="Y12" s="332" t="s">
        <v>356</v>
      </c>
      <c r="Z12" s="315" cm="1">
        <f t="array" ref="Z12">-SUMPRODUCT(
  desp[valor] *
  (desp[nucleo]=Z$1) *
  (desp[centro.negocio]=$Y12) *
  (desp[data.pagamento]&gt;=DATE(YEAR(inputs!$A$1),MONTH(inputs!$A$1),1)) *
  (desp[data.pagamento]&lt;EOMONTH(inputs!$A$1,0)+1)
)</f>
        <v>0</v>
      </c>
      <c r="AA12" s="315" cm="1">
        <f t="array" ref="AA12">-SUMPRODUCT(
  desp[valor] *
  (desp[nucleo]=AA$1) *
  (desp[centro.negocio]=$Y12) *
  (desp[data.pagamento]&gt;=DATE(YEAR(inputs!$A$1),MONTH(inputs!$A$1),1)) *
  (desp[data.pagamento]&lt;EOMONTH(inputs!$A$1,0)+1)
)</f>
        <v>0</v>
      </c>
      <c r="AB12" s="315" cm="1">
        <f t="array" ref="AB12">-SUMPRODUCT(
  desp[valor] *
  (desp[nucleo]=AB$1) *
  (desp[centro.negocio]=$Y12) *
  (desp[data.pagamento]&gt;=DATE(YEAR(inputs!$A$1),MONTH(inputs!$A$1),1)) *
  (desp[data.pagamento]&lt;EOMONTH(inputs!$A$1,0)+1)
)</f>
        <v>0</v>
      </c>
      <c r="AC12" s="315" cm="1">
        <f t="array" ref="AC12">-SUMPRODUCT(
  desp[valor] *
  (desp[nucleo]=AC$1) *
  (desp[centro.negocio]=$Y12) *
  (desp[data.pagamento]&gt;=DATE(YEAR(inputs!$A$1),MONTH(inputs!$A$1),1)) *
  (desp[data.pagamento]&lt;EOMONTH(inputs!$A$1,0)+1)
)</f>
        <v>0</v>
      </c>
      <c r="AD12" s="315" cm="1">
        <f t="array" ref="AD12">-SUMPRODUCT(
  desp[valor] *
  (desp[nucleo]=AD$1) *
  (desp[centro.negocio]=$Y12) *
  (desp[data.pagamento]&gt;=DATE(YEAR(inputs!$A$1),MONTH(inputs!$A$1),1)) *
  (desp[data.pagamento]&lt;EOMONTH(inputs!$A$1,0)+1)
)</f>
        <v>0</v>
      </c>
      <c r="AE12" s="315" cm="1">
        <f t="array" ref="AE12">-SUMPRODUCT(
  desp[valor] *
  (desp[nucleo]=AE$1) *
  (desp[centro.negocio]=$Y12) *
  (desp[data.pagamento]&gt;=DATE(YEAR(inputs!$A$1),MONTH(inputs!$A$1),1)) *
  (desp[data.pagamento]&lt;EOMONTH(inputs!$A$1,0)+1)
)</f>
        <v>0</v>
      </c>
      <c r="AF12" s="315" cm="1">
        <f t="array" ref="AF12">-SUMPRODUCT(
  desp[valor] *
  (desp[nucleo]=AF$1) *
  (desp[centro.negocio]=$Y12) *
  (desp[data.pagamento]&gt;=DATE(YEAR(inputs!$A$1),MONTH(inputs!$A$1),1)) *
  (desp[data.pagamento]&lt;EOMONTH(inputs!$A$1,0)+1)
)</f>
        <v>0</v>
      </c>
      <c r="AG12" s="315" cm="1">
        <f t="array" ref="AG12">-SUMPRODUCT(
  desp[valor] *
  (desp[nucleo]=AG$1) *
  (desp[centro.negocio]=$Y12) *
  (desp[data.pagamento]&gt;=DATE(YEAR(inputs!$A$1),MONTH(inputs!$A$1),1)) *
  (desp[data.pagamento]&lt;EOMONTH(inputs!$A$1,0)+1)
)</f>
        <v>0</v>
      </c>
      <c r="AH12" s="316" cm="1">
        <f t="array" ref="AH12">-SUMPRODUCT(
  desp[valor] *
  (desp[nucleo]=AH$1) *
  (desp[centro.negocio]=$Y12) *
  (desp[data.pagamento]&gt;=DATE(YEAR(inputs!$A$1),MONTH(inputs!$A$1),1)) *
  (desp[data.pagamento]&lt;EOMONTH(inputs!$A$1,0)+1)
)</f>
        <v>0</v>
      </c>
      <c r="AJ12" s="247">
        <f t="shared" si="5"/>
        <v>0</v>
      </c>
      <c r="BT12" s="243" t="s">
        <v>589</v>
      </c>
      <c r="BU12" s="243" t="s">
        <v>343</v>
      </c>
      <c r="BV12" s="244" t="s">
        <v>522</v>
      </c>
      <c r="BW12" s="245">
        <v>0</v>
      </c>
      <c r="BX12" s="245">
        <v>0</v>
      </c>
      <c r="BY12" s="245">
        <v>0</v>
      </c>
      <c r="BZ12" s="245">
        <v>0</v>
      </c>
      <c r="CA12" s="245">
        <v>0</v>
      </c>
      <c r="CB12" s="245">
        <v>0</v>
      </c>
      <c r="CC12" s="245">
        <v>0</v>
      </c>
      <c r="CD12" s="245">
        <v>0</v>
      </c>
      <c r="CE12" s="245">
        <v>0</v>
      </c>
      <c r="CF12" s="245">
        <v>0</v>
      </c>
      <c r="CG12" s="245">
        <v>0</v>
      </c>
      <c r="CH12" s="245">
        <v>0</v>
      </c>
      <c r="CI12" s="245">
        <v>0</v>
      </c>
      <c r="CJ12" s="245">
        <v>0</v>
      </c>
    </row>
    <row r="13" spans="1:88" outlineLevel="2" x14ac:dyDescent="0.25">
      <c r="A13" s="246" t="s">
        <v>525</v>
      </c>
      <c r="B13" s="246" t="s">
        <v>14</v>
      </c>
      <c r="C13" s="193" t="s">
        <v>522</v>
      </c>
      <c r="D13" s="247">
        <f ca="1">SUMIFS(rec.uni[2025-01-01],
INDIRECT("rec.uni[natureza]"),"pro.soluto",
INDIRECT("rec.uni[empresa]"),$B13)</f>
        <v>0</v>
      </c>
      <c r="E13" s="247">
        <f ca="1">SUMIFS(rec.uni[2025-02-01],
INDIRECT("rec.uni[natureza]"),"pro.soluto",
INDIRECT("rec.uni[empresa]"),$B13)</f>
        <v>0</v>
      </c>
      <c r="F13" s="247">
        <f ca="1">SUMIFS(rec.uni[2025-03-01],
INDIRECT("rec.uni[natureza]"),"pro.soluto",
INDIRECT("rec.uni[empresa]"),$B13)</f>
        <v>0</v>
      </c>
      <c r="G13" s="247">
        <f ca="1">SUMIFS(rec.uni[2025-04-01],
INDIRECT("rec.uni[natureza]"),"pro.soluto",
INDIRECT("rec.uni[empresa]"),$B13)</f>
        <v>0</v>
      </c>
      <c r="H13" s="247">
        <f ca="1">SUMIFS(rec.uni[2025-05-01],
INDIRECT("rec.uni[natureza]"),"pro.soluto",
INDIRECT("rec.uni[empresa]"),$B13)</f>
        <v>0</v>
      </c>
      <c r="I13" s="247">
        <f ca="1">SUMIFS(rec.uni[2025-06-01],
INDIRECT("rec.uni[natureza]"),"pro.soluto",
INDIRECT("rec.uni[empresa]"),$B13)</f>
        <v>0</v>
      </c>
      <c r="J13" s="247">
        <f ca="1">SUMIFS(rec.uni[2025-07-01],
INDIRECT("rec.uni[natureza]"),"pro.soluto",
INDIRECT("rec.uni[empresa]"),$B13)</f>
        <v>0</v>
      </c>
      <c r="K13" s="247">
        <f ca="1">SUMIFS(rec.uni[2025-08-01],
INDIRECT("rec.uni[natureza]"),"pro.soluto",
INDIRECT("rec.uni[empresa]"),$B13)</f>
        <v>0</v>
      </c>
      <c r="L13" s="247">
        <f ca="1">SUMIFS(rec.uni[2025-09-01],
INDIRECT("rec.uni[natureza]"),"pro.soluto",
INDIRECT("rec.uni[empresa]"),$B13)</f>
        <v>0</v>
      </c>
      <c r="M13" s="247">
        <f ca="1">SUMIFS(rec.uni[2025-10-01],
INDIRECT("rec.uni[natureza]"),"pro.soluto",
INDIRECT("rec.uni[empresa]"),$B13)</f>
        <v>0</v>
      </c>
      <c r="N13" s="247">
        <f ca="1">SUMIFS(rec.uni[2025-11-01],
INDIRECT("rec.uni[natureza]"),"pro.soluto",
INDIRECT("rec.uni[empresa]"),$B13)</f>
        <v>0</v>
      </c>
      <c r="O13" s="247">
        <f ca="1">SUMIFS(rec.uni[2025-12-01],
INDIRECT("rec.uni[natureza]"),"pro.soluto",
INDIRECT("rec.uni[empresa]"),$B13)</f>
        <v>0</v>
      </c>
      <c r="P13" s="247">
        <f ca="1">SUMIFS(rec.uni[2026-01-01],
INDIRECT("rec.uni[natureza]"),"pro.soluto",
INDIRECT("rec.uni[empresa]"),$B13)</f>
        <v>0</v>
      </c>
      <c r="Q13" s="247">
        <f ca="1">SUMIFS(rec.uni[2026-02-01],
INDIRECT("rec.uni[natureza]"),"pro.soluto",
INDIRECT("rec.uni[empresa]"),$B13)</f>
        <v>0</v>
      </c>
      <c r="R13" s="247">
        <f ca="1">SUMIFS(rec.uni[2026-03-01],
INDIRECT("rec.uni[natureza]"),"pro.soluto",
INDIRECT("rec.uni[empresa]"),$B13)</f>
        <v>0</v>
      </c>
      <c r="T13" s="239">
        <f t="shared" ca="1" si="1"/>
        <v>0</v>
      </c>
      <c r="X13" s="243" t="s">
        <v>589</v>
      </c>
      <c r="Y13" s="332" t="s">
        <v>343</v>
      </c>
      <c r="Z13" s="315" cm="1">
        <f t="array" ref="Z13">-SUMPRODUCT(
  desp[valor] *
  (desp[nucleo]=Z$1) *
  (desp[centro.negocio]=$Y13) *
  (desp[data.pagamento]&gt;=DATE(YEAR(inputs!$A$1),MONTH(inputs!$A$1),1)) *
  (desp[data.pagamento]&lt;EOMONTH(inputs!$A$1,0)+1)
)</f>
        <v>0</v>
      </c>
      <c r="AA13" s="315" cm="1">
        <f t="array" ref="AA13">-SUMPRODUCT(
  desp[valor] *
  (desp[nucleo]=AA$1) *
  (desp[centro.negocio]=$Y13) *
  (desp[data.pagamento]&gt;=DATE(YEAR(inputs!$A$1),MONTH(inputs!$A$1),1)) *
  (desp[data.pagamento]&lt;EOMONTH(inputs!$A$1,0)+1)
)</f>
        <v>0</v>
      </c>
      <c r="AB13" s="315" cm="1">
        <f t="array" ref="AB13">-SUMPRODUCT(
  desp[valor] *
  (desp[nucleo]=AB$1) *
  (desp[centro.negocio]=$Y13) *
  (desp[data.pagamento]&gt;=DATE(YEAR(inputs!$A$1),MONTH(inputs!$A$1),1)) *
  (desp[data.pagamento]&lt;EOMONTH(inputs!$A$1,0)+1)
)</f>
        <v>0</v>
      </c>
      <c r="AC13" s="315" cm="1">
        <f t="array" ref="AC13">-SUMPRODUCT(
  desp[valor] *
  (desp[nucleo]=AC$1) *
  (desp[centro.negocio]=$Y13) *
  (desp[data.pagamento]&gt;=DATE(YEAR(inputs!$A$1),MONTH(inputs!$A$1),1)) *
  (desp[data.pagamento]&lt;EOMONTH(inputs!$A$1,0)+1)
)</f>
        <v>0</v>
      </c>
      <c r="AD13" s="315" cm="1">
        <f t="array" ref="AD13">-SUMPRODUCT(
  desp[valor] *
  (desp[nucleo]=AD$1) *
  (desp[centro.negocio]=$Y13) *
  (desp[data.pagamento]&gt;=DATE(YEAR(inputs!$A$1),MONTH(inputs!$A$1),1)) *
  (desp[data.pagamento]&lt;EOMONTH(inputs!$A$1,0)+1)
)</f>
        <v>0</v>
      </c>
      <c r="AE13" s="315" cm="1">
        <f t="array" ref="AE13">-SUMPRODUCT(
  desp[valor] *
  (desp[nucleo]=AE$1) *
  (desp[centro.negocio]=$Y13) *
  (desp[data.pagamento]&gt;=DATE(YEAR(inputs!$A$1),MONTH(inputs!$A$1),1)) *
  (desp[data.pagamento]&lt;EOMONTH(inputs!$A$1,0)+1)
)</f>
        <v>0</v>
      </c>
      <c r="AF13" s="315" cm="1">
        <f t="array" ref="AF13">-SUMPRODUCT(
  desp[valor] *
  (desp[nucleo]=AF$1) *
  (desp[centro.negocio]=$Y13) *
  (desp[data.pagamento]&gt;=DATE(YEAR(inputs!$A$1),MONTH(inputs!$A$1),1)) *
  (desp[data.pagamento]&lt;EOMONTH(inputs!$A$1,0)+1)
)</f>
        <v>0</v>
      </c>
      <c r="AG13" s="315" cm="1">
        <f t="array" ref="AG13">-SUMPRODUCT(
  desp[valor] *
  (desp[nucleo]=AG$1) *
  (desp[centro.negocio]=$Y13) *
  (desp[data.pagamento]&gt;=DATE(YEAR(inputs!$A$1),MONTH(inputs!$A$1),1)) *
  (desp[data.pagamento]&lt;EOMONTH(inputs!$A$1,0)+1)
)</f>
        <v>0</v>
      </c>
      <c r="AH13" s="316" cm="1">
        <f t="array" ref="AH13">-SUMPRODUCT(
  desp[valor] *
  (desp[nucleo]=AH$1) *
  (desp[centro.negocio]=$Y13) *
  (desp[data.pagamento]&gt;=DATE(YEAR(inputs!$A$1),MONTH(inputs!$A$1),1)) *
  (desp[data.pagamento]&lt;EOMONTH(inputs!$A$1,0)+1)
)</f>
        <v>0</v>
      </c>
      <c r="AJ13" s="247">
        <f t="shared" si="5"/>
        <v>0</v>
      </c>
      <c r="BT13" s="243" t="s">
        <v>591</v>
      </c>
      <c r="BU13" s="243" t="s">
        <v>380</v>
      </c>
      <c r="BV13" s="244" t="s">
        <v>522</v>
      </c>
      <c r="BW13" s="245">
        <v>0</v>
      </c>
      <c r="BX13" s="245">
        <v>0</v>
      </c>
      <c r="BY13" s="245">
        <v>0</v>
      </c>
      <c r="BZ13" s="245">
        <v>0</v>
      </c>
      <c r="CA13" s="245">
        <v>0</v>
      </c>
      <c r="CB13" s="245">
        <v>0</v>
      </c>
      <c r="CC13" s="245">
        <v>0</v>
      </c>
      <c r="CD13" s="245">
        <v>0</v>
      </c>
      <c r="CE13" s="245">
        <v>0</v>
      </c>
      <c r="CF13" s="245">
        <v>0</v>
      </c>
      <c r="CG13" s="245">
        <v>0</v>
      </c>
      <c r="CH13" s="245">
        <v>0</v>
      </c>
      <c r="CI13" s="245">
        <v>0</v>
      </c>
      <c r="CJ13" s="245">
        <v>0</v>
      </c>
    </row>
    <row r="14" spans="1:88" outlineLevel="2" x14ac:dyDescent="0.25">
      <c r="A14" s="246" t="s">
        <v>526</v>
      </c>
      <c r="B14" s="246" t="s">
        <v>12</v>
      </c>
      <c r="C14" s="193" t="s">
        <v>522</v>
      </c>
      <c r="D14" s="247">
        <f ca="1">SUMIFS(rec.uni[2025-01-01],
INDIRECT("rec.uni[natureza]"),"pro.soluto",
INDIRECT("rec.uni[empresa]"),$B14)</f>
        <v>0</v>
      </c>
      <c r="E14" s="247">
        <f ca="1">SUMIFS(rec.uni[2025-02-01],
INDIRECT("rec.uni[natureza]"),"pro.soluto",
INDIRECT("rec.uni[empresa]"),$B14)</f>
        <v>0</v>
      </c>
      <c r="F14" s="247">
        <f ca="1">SUMIFS(rec.uni[2025-03-01],
INDIRECT("rec.uni[natureza]"),"pro.soluto",
INDIRECT("rec.uni[empresa]"),$B14)</f>
        <v>0</v>
      </c>
      <c r="G14" s="247">
        <f ca="1">SUMIFS(rec.uni[2025-04-01],
INDIRECT("rec.uni[natureza]"),"pro.soluto",
INDIRECT("rec.uni[empresa]"),$B14)</f>
        <v>0</v>
      </c>
      <c r="H14" s="247">
        <f ca="1">SUMIFS(rec.uni[2025-05-01],
INDIRECT("rec.uni[natureza]"),"pro.soluto",
INDIRECT("rec.uni[empresa]"),$B14)</f>
        <v>0</v>
      </c>
      <c r="I14" s="247">
        <f ca="1">SUMIFS(rec.uni[2025-06-01],
INDIRECT("rec.uni[natureza]"),"pro.soluto",
INDIRECT("rec.uni[empresa]"),$B14)</f>
        <v>0</v>
      </c>
      <c r="J14" s="247">
        <f ca="1">SUMIFS(rec.uni[2025-07-01],
INDIRECT("rec.uni[natureza]"),"pro.soluto",
INDIRECT("rec.uni[empresa]"),$B14)</f>
        <v>0</v>
      </c>
      <c r="K14" s="247">
        <f ca="1">SUMIFS(rec.uni[2025-08-01],
INDIRECT("rec.uni[natureza]"),"pro.soluto",
INDIRECT("rec.uni[empresa]"),$B14)</f>
        <v>0</v>
      </c>
      <c r="L14" s="247">
        <f ca="1">SUMIFS(rec.uni[2025-09-01],
INDIRECT("rec.uni[natureza]"),"pro.soluto",
INDIRECT("rec.uni[empresa]"),$B14)</f>
        <v>0</v>
      </c>
      <c r="M14" s="247">
        <f ca="1">SUMIFS(rec.uni[2025-10-01],
INDIRECT("rec.uni[natureza]"),"pro.soluto",
INDIRECT("rec.uni[empresa]"),$B14)</f>
        <v>0</v>
      </c>
      <c r="N14" s="247">
        <f ca="1">SUMIFS(rec.uni[2025-11-01],
INDIRECT("rec.uni[natureza]"),"pro.soluto",
INDIRECT("rec.uni[empresa]"),$B14)</f>
        <v>0</v>
      </c>
      <c r="O14" s="247">
        <f ca="1">SUMIFS(rec.uni[2025-12-01],
INDIRECT("rec.uni[natureza]"),"pro.soluto",
INDIRECT("rec.uni[empresa]"),$B14)</f>
        <v>0</v>
      </c>
      <c r="P14" s="247">
        <f ca="1">SUMIFS(rec.uni[2026-01-01],
INDIRECT("rec.uni[natureza]"),"pro.soluto",
INDIRECT("rec.uni[empresa]"),$B14)</f>
        <v>0</v>
      </c>
      <c r="Q14" s="247">
        <f ca="1">SUMIFS(rec.uni[2026-02-01],
INDIRECT("rec.uni[natureza]"),"pro.soluto",
INDIRECT("rec.uni[empresa]"),$B14)</f>
        <v>0</v>
      </c>
      <c r="R14" s="247">
        <f ca="1">SUMIFS(rec.uni[2026-03-01],
INDIRECT("rec.uni[natureza]"),"pro.soluto",
INDIRECT("rec.uni[empresa]"),$B14)</f>
        <v>0</v>
      </c>
      <c r="T14" s="239">
        <f t="shared" ca="1" si="1"/>
        <v>0</v>
      </c>
      <c r="X14" s="243" t="s">
        <v>591</v>
      </c>
      <c r="Y14" s="332" t="s">
        <v>380</v>
      </c>
      <c r="Z14" s="315" cm="1">
        <f t="array" ref="Z14">-SUMPRODUCT(
  desp[valor] *
  (desp[nucleo]=Z$1) *
  (desp[centro.negocio]=$Y14) *
  (desp[data.pagamento]&gt;=DATE(YEAR(inputs!$A$1),MONTH(inputs!$A$1),1)) *
  (desp[data.pagamento]&lt;EOMONTH(inputs!$A$1,0)+1)
)</f>
        <v>0</v>
      </c>
      <c r="AA14" s="315" cm="1">
        <f t="array" ref="AA14">-SUMPRODUCT(
  desp[valor] *
  (desp[nucleo]=AA$1) *
  (desp[centro.negocio]=$Y14) *
  (desp[data.pagamento]&gt;=DATE(YEAR(inputs!$A$1),MONTH(inputs!$A$1),1)) *
  (desp[data.pagamento]&lt;EOMONTH(inputs!$A$1,0)+1)
)</f>
        <v>0</v>
      </c>
      <c r="AB14" s="315" cm="1">
        <f t="array" ref="AB14">-SUMPRODUCT(
  desp[valor] *
  (desp[nucleo]=AB$1) *
  (desp[centro.negocio]=$Y14) *
  (desp[data.pagamento]&gt;=DATE(YEAR(inputs!$A$1),MONTH(inputs!$A$1),1)) *
  (desp[data.pagamento]&lt;EOMONTH(inputs!$A$1,0)+1)
)</f>
        <v>0</v>
      </c>
      <c r="AC14" s="315" cm="1">
        <f t="array" ref="AC14">-SUMPRODUCT(
  desp[valor] *
  (desp[nucleo]=AC$1) *
  (desp[centro.negocio]=$Y14) *
  (desp[data.pagamento]&gt;=DATE(YEAR(inputs!$A$1),MONTH(inputs!$A$1),1)) *
  (desp[data.pagamento]&lt;EOMONTH(inputs!$A$1,0)+1)
)</f>
        <v>0</v>
      </c>
      <c r="AD14" s="315" cm="1">
        <f t="array" ref="AD14">-SUMPRODUCT(
  desp[valor] *
  (desp[nucleo]=AD$1) *
  (desp[centro.negocio]=$Y14) *
  (desp[data.pagamento]&gt;=DATE(YEAR(inputs!$A$1),MONTH(inputs!$A$1),1)) *
  (desp[data.pagamento]&lt;EOMONTH(inputs!$A$1,0)+1)
)</f>
        <v>0</v>
      </c>
      <c r="AE14" s="315" cm="1">
        <f t="array" ref="AE14">-SUMPRODUCT(
  desp[valor] *
  (desp[nucleo]=AE$1) *
  (desp[centro.negocio]=$Y14) *
  (desp[data.pagamento]&gt;=DATE(YEAR(inputs!$A$1),MONTH(inputs!$A$1),1)) *
  (desp[data.pagamento]&lt;EOMONTH(inputs!$A$1,0)+1)
)</f>
        <v>0</v>
      </c>
      <c r="AF14" s="315" cm="1">
        <f t="array" ref="AF14">-SUMPRODUCT(
  desp[valor] *
  (desp[nucleo]=AF$1) *
  (desp[centro.negocio]=$Y14) *
  (desp[data.pagamento]&gt;=DATE(YEAR(inputs!$A$1),MONTH(inputs!$A$1),1)) *
  (desp[data.pagamento]&lt;EOMONTH(inputs!$A$1,0)+1)
)</f>
        <v>0</v>
      </c>
      <c r="AG14" s="315" cm="1">
        <f t="array" ref="AG14">-SUMPRODUCT(
  desp[valor] *
  (desp[nucleo]=AG$1) *
  (desp[centro.negocio]=$Y14) *
  (desp[data.pagamento]&gt;=DATE(YEAR(inputs!$A$1),MONTH(inputs!$A$1),1)) *
  (desp[data.pagamento]&lt;EOMONTH(inputs!$A$1,0)+1)
)</f>
        <v>0</v>
      </c>
      <c r="AH14" s="316" cm="1">
        <f t="array" ref="AH14">-SUMPRODUCT(
  desp[valor] *
  (desp[nucleo]=AH$1) *
  (desp[centro.negocio]=$Y14) *
  (desp[data.pagamento]&gt;=DATE(YEAR(inputs!$A$1),MONTH(inputs!$A$1),1)) *
  (desp[data.pagamento]&lt;EOMONTH(inputs!$A$1,0)+1)
)</f>
        <v>0</v>
      </c>
      <c r="AJ14" s="247">
        <f t="shared" si="5"/>
        <v>0</v>
      </c>
      <c r="BT14" s="243" t="s">
        <v>597</v>
      </c>
      <c r="BU14" s="243" t="s">
        <v>375</v>
      </c>
      <c r="BV14" s="244" t="s">
        <v>522</v>
      </c>
      <c r="BW14" s="245">
        <v>0</v>
      </c>
      <c r="BX14" s="245">
        <v>0</v>
      </c>
      <c r="BY14" s="245">
        <v>0</v>
      </c>
      <c r="BZ14" s="245">
        <v>0</v>
      </c>
      <c r="CA14" s="245">
        <v>0</v>
      </c>
      <c r="CB14" s="245">
        <v>0</v>
      </c>
      <c r="CC14" s="245">
        <v>0</v>
      </c>
      <c r="CD14" s="245">
        <v>0</v>
      </c>
      <c r="CE14" s="245">
        <v>0</v>
      </c>
      <c r="CF14" s="245">
        <v>0</v>
      </c>
      <c r="CG14" s="245">
        <v>0</v>
      </c>
      <c r="CH14" s="245">
        <v>0</v>
      </c>
      <c r="CI14" s="245">
        <v>0</v>
      </c>
      <c r="CJ14" s="245">
        <v>0</v>
      </c>
    </row>
    <row r="15" spans="1:88" outlineLevel="2" x14ac:dyDescent="0.25">
      <c r="A15" s="246" t="s">
        <v>527</v>
      </c>
      <c r="B15" s="246" t="s">
        <v>16</v>
      </c>
      <c r="C15" s="193" t="s">
        <v>522</v>
      </c>
      <c r="D15" s="247">
        <f ca="1">SUMIFS(rec.uni[2025-01-01],
INDIRECT("rec.uni[natureza]"),"pro.soluto",
INDIRECT("rec.uni[empresa]"),$B15)</f>
        <v>0</v>
      </c>
      <c r="E15" s="247">
        <f ca="1">SUMIFS(rec.uni[2025-02-01],
INDIRECT("rec.uni[natureza]"),"pro.soluto",
INDIRECT("rec.uni[empresa]"),$B15)</f>
        <v>0</v>
      </c>
      <c r="F15" s="247">
        <f ca="1">SUMIFS(rec.uni[2025-03-01],
INDIRECT("rec.uni[natureza]"),"pro.soluto",
INDIRECT("rec.uni[empresa]"),$B15)</f>
        <v>0</v>
      </c>
      <c r="G15" s="247">
        <f ca="1">SUMIFS(rec.uni[2025-04-01],
INDIRECT("rec.uni[natureza]"),"pro.soluto",
INDIRECT("rec.uni[empresa]"),$B15)</f>
        <v>0</v>
      </c>
      <c r="H15" s="247">
        <f ca="1">SUMIFS(rec.uni[2025-05-01],
INDIRECT("rec.uni[natureza]"),"pro.soluto",
INDIRECT("rec.uni[empresa]"),$B15)</f>
        <v>0</v>
      </c>
      <c r="I15" s="247">
        <f ca="1">SUMIFS(rec.uni[2025-06-01],
INDIRECT("rec.uni[natureza]"),"pro.soluto",
INDIRECT("rec.uni[empresa]"),$B15)</f>
        <v>0</v>
      </c>
      <c r="J15" s="247">
        <f ca="1">SUMIFS(rec.uni[2025-07-01],
INDIRECT("rec.uni[natureza]"),"pro.soluto",
INDIRECT("rec.uni[empresa]"),$B15)</f>
        <v>0</v>
      </c>
      <c r="K15" s="247">
        <f ca="1">SUMIFS(rec.uni[2025-08-01],
INDIRECT("rec.uni[natureza]"),"pro.soluto",
INDIRECT("rec.uni[empresa]"),$B15)</f>
        <v>0</v>
      </c>
      <c r="L15" s="247">
        <f ca="1">SUMIFS(rec.uni[2025-09-01],
INDIRECT("rec.uni[natureza]"),"pro.soluto",
INDIRECT("rec.uni[empresa]"),$B15)</f>
        <v>0</v>
      </c>
      <c r="M15" s="247">
        <f ca="1">SUMIFS(rec.uni[2025-10-01],
INDIRECT("rec.uni[natureza]"),"pro.soluto",
INDIRECT("rec.uni[empresa]"),$B15)</f>
        <v>0</v>
      </c>
      <c r="N15" s="247">
        <f ca="1">SUMIFS(rec.uni[2025-11-01],
INDIRECT("rec.uni[natureza]"),"pro.soluto",
INDIRECT("rec.uni[empresa]"),$B15)</f>
        <v>0</v>
      </c>
      <c r="O15" s="247">
        <f ca="1">SUMIFS(rec.uni[2025-12-01],
INDIRECT("rec.uni[natureza]"),"pro.soluto",
INDIRECT("rec.uni[empresa]"),$B15)</f>
        <v>0</v>
      </c>
      <c r="P15" s="247">
        <f ca="1">SUMIFS(rec.uni[2026-01-01],
INDIRECT("rec.uni[natureza]"),"pro.soluto",
INDIRECT("rec.uni[empresa]"),$B15)</f>
        <v>0</v>
      </c>
      <c r="Q15" s="247">
        <f ca="1">SUMIFS(rec.uni[2026-02-01],
INDIRECT("rec.uni[natureza]"),"pro.soluto",
INDIRECT("rec.uni[empresa]"),$B15)</f>
        <v>0</v>
      </c>
      <c r="R15" s="247">
        <f ca="1">SUMIFS(rec.uni[2026-03-01],
INDIRECT("rec.uni[natureza]"),"pro.soluto",
INDIRECT("rec.uni[empresa]"),$B15)</f>
        <v>0</v>
      </c>
      <c r="T15" s="239">
        <f t="shared" ca="1" si="1"/>
        <v>0</v>
      </c>
      <c r="X15" s="243" t="s">
        <v>597</v>
      </c>
      <c r="Y15" s="332" t="s">
        <v>375</v>
      </c>
      <c r="Z15" s="315" cm="1">
        <f t="array" ref="Z15">-SUMPRODUCT(
  desp[valor] *
  (desp[nucleo]=Z$1) *
  (desp[centro.negocio]=$Y15) *
  (desp[data.pagamento]&gt;=DATE(YEAR(inputs!$A$1),MONTH(inputs!$A$1),1)) *
  (desp[data.pagamento]&lt;EOMONTH(inputs!$A$1,0)+1)
)</f>
        <v>0</v>
      </c>
      <c r="AA15" s="315" cm="1">
        <f t="array" ref="AA15">-SUMPRODUCT(
  desp[valor] *
  (desp[nucleo]=AA$1) *
  (desp[centro.negocio]=$Y15) *
  (desp[data.pagamento]&gt;=DATE(YEAR(inputs!$A$1),MONTH(inputs!$A$1),1)) *
  (desp[data.pagamento]&lt;EOMONTH(inputs!$A$1,0)+1)
)</f>
        <v>0</v>
      </c>
      <c r="AB15" s="315" cm="1">
        <f t="array" ref="AB15">-SUMPRODUCT(
  desp[valor] *
  (desp[nucleo]=AB$1) *
  (desp[centro.negocio]=$Y15) *
  (desp[data.pagamento]&gt;=DATE(YEAR(inputs!$A$1),MONTH(inputs!$A$1),1)) *
  (desp[data.pagamento]&lt;EOMONTH(inputs!$A$1,0)+1)
)</f>
        <v>0</v>
      </c>
      <c r="AC15" s="315" cm="1">
        <f t="array" ref="AC15">-SUMPRODUCT(
  desp[valor] *
  (desp[nucleo]=AC$1) *
  (desp[centro.negocio]=$Y15) *
  (desp[data.pagamento]&gt;=DATE(YEAR(inputs!$A$1),MONTH(inputs!$A$1),1)) *
  (desp[data.pagamento]&lt;EOMONTH(inputs!$A$1,0)+1)
)</f>
        <v>0</v>
      </c>
      <c r="AD15" s="315" cm="1">
        <f t="array" ref="AD15">-SUMPRODUCT(
  desp[valor] *
  (desp[nucleo]=AD$1) *
  (desp[centro.negocio]=$Y15) *
  (desp[data.pagamento]&gt;=DATE(YEAR(inputs!$A$1),MONTH(inputs!$A$1),1)) *
  (desp[data.pagamento]&lt;EOMONTH(inputs!$A$1,0)+1)
)</f>
        <v>0</v>
      </c>
      <c r="AE15" s="315" cm="1">
        <f t="array" ref="AE15">-SUMPRODUCT(
  desp[valor] *
  (desp[nucleo]=AE$1) *
  (desp[centro.negocio]=$Y15) *
  (desp[data.pagamento]&gt;=DATE(YEAR(inputs!$A$1),MONTH(inputs!$A$1),1)) *
  (desp[data.pagamento]&lt;EOMONTH(inputs!$A$1,0)+1)
)</f>
        <v>0</v>
      </c>
      <c r="AF15" s="315" cm="1">
        <f t="array" ref="AF15">-SUMPRODUCT(
  desp[valor] *
  (desp[nucleo]=AF$1) *
  (desp[centro.negocio]=$Y15) *
  (desp[data.pagamento]&gt;=DATE(YEAR(inputs!$A$1),MONTH(inputs!$A$1),1)) *
  (desp[data.pagamento]&lt;EOMONTH(inputs!$A$1,0)+1)
)</f>
        <v>0</v>
      </c>
      <c r="AG15" s="315" cm="1">
        <f t="array" ref="AG15">-SUMPRODUCT(
  desp[valor] *
  (desp[nucleo]=AG$1) *
  (desp[centro.negocio]=$Y15) *
  (desp[data.pagamento]&gt;=DATE(YEAR(inputs!$A$1),MONTH(inputs!$A$1),1)) *
  (desp[data.pagamento]&lt;EOMONTH(inputs!$A$1,0)+1)
)</f>
        <v>0</v>
      </c>
      <c r="AH15" s="316" cm="1">
        <f t="array" ref="AH15">-SUMPRODUCT(
  desp[valor] *
  (desp[nucleo]=AH$1) *
  (desp[centro.negocio]=$Y15) *
  (desp[data.pagamento]&gt;=DATE(YEAR(inputs!$A$1),MONTH(inputs!$A$1),1)) *
  (desp[data.pagamento]&lt;EOMONTH(inputs!$A$1,0)+1)
)</f>
        <v>0</v>
      </c>
      <c r="AJ15" s="247">
        <f t="shared" si="5"/>
        <v>0</v>
      </c>
      <c r="BT15" s="243" t="s">
        <v>599</v>
      </c>
      <c r="BU15" s="243" t="s">
        <v>376</v>
      </c>
      <c r="BV15" s="244" t="s">
        <v>522</v>
      </c>
      <c r="BW15" s="245">
        <v>0</v>
      </c>
      <c r="BX15" s="245">
        <v>0</v>
      </c>
      <c r="BY15" s="245">
        <v>0</v>
      </c>
      <c r="BZ15" s="245">
        <v>0</v>
      </c>
      <c r="CA15" s="245">
        <v>0</v>
      </c>
      <c r="CB15" s="245">
        <v>0</v>
      </c>
      <c r="CC15" s="245">
        <v>0</v>
      </c>
      <c r="CD15" s="245">
        <v>0</v>
      </c>
      <c r="CE15" s="245">
        <v>0</v>
      </c>
      <c r="CF15" s="245">
        <v>0</v>
      </c>
      <c r="CG15" s="245">
        <v>0</v>
      </c>
      <c r="CH15" s="245">
        <v>0</v>
      </c>
      <c r="CI15" s="245">
        <v>0</v>
      </c>
      <c r="CJ15" s="245">
        <v>0</v>
      </c>
    </row>
    <row r="16" spans="1:88" outlineLevel="2" x14ac:dyDescent="0.25">
      <c r="A16" s="246" t="s">
        <v>786</v>
      </c>
      <c r="B16" s="246" t="s">
        <v>787</v>
      </c>
      <c r="C16" s="193" t="s">
        <v>522</v>
      </c>
      <c r="D16" s="247">
        <f ca="1">SUMIFS(rec.uni[2025-01-01],
INDIRECT("rec.uni[natureza]"),"pro.soluto",
INDIRECT("rec.uni[empresa]"),$B16)</f>
        <v>0</v>
      </c>
      <c r="E16" s="247">
        <f ca="1">SUMIFS(rec.uni[2025-02-01],
INDIRECT("rec.uni[natureza]"),"pro.soluto",
INDIRECT("rec.uni[empresa]"),$B16)</f>
        <v>0</v>
      </c>
      <c r="F16" s="247">
        <f ca="1">SUMIFS(rec.uni[2025-03-01],
INDIRECT("rec.uni[natureza]"),"pro.soluto",
INDIRECT("rec.uni[empresa]"),$B16)</f>
        <v>0</v>
      </c>
      <c r="G16" s="247">
        <f ca="1">SUMIFS(rec.uni[2025-04-01],
INDIRECT("rec.uni[natureza]"),"pro.soluto",
INDIRECT("rec.uni[empresa]"),$B16)</f>
        <v>0</v>
      </c>
      <c r="H16" s="247">
        <f ca="1">SUMIFS(rec.uni[2025-05-01],
INDIRECT("rec.uni[natureza]"),"pro.soluto",
INDIRECT("rec.uni[empresa]"),$B16)</f>
        <v>0</v>
      </c>
      <c r="I16" s="247">
        <f ca="1">SUMIFS(rec.uni[2025-06-01],
INDIRECT("rec.uni[natureza]"),"pro.soluto",
INDIRECT("rec.uni[empresa]"),$B16)</f>
        <v>0</v>
      </c>
      <c r="J16" s="247">
        <f ca="1">SUMIFS(rec.uni[2025-07-01],
INDIRECT("rec.uni[natureza]"),"pro.soluto",
INDIRECT("rec.uni[empresa]"),$B16)</f>
        <v>0</v>
      </c>
      <c r="K16" s="247">
        <f ca="1">SUMIFS(rec.uni[2025-08-01],
INDIRECT("rec.uni[natureza]"),"pro.soluto",
INDIRECT("rec.uni[empresa]"),$B16)</f>
        <v>0</v>
      </c>
      <c r="L16" s="247">
        <f ca="1">SUMIFS(rec.uni[2025-09-01],
INDIRECT("rec.uni[natureza]"),"pro.soluto",
INDIRECT("rec.uni[empresa]"),$B16)</f>
        <v>0</v>
      </c>
      <c r="M16" s="247">
        <f ca="1">SUMIFS(rec.uni[2025-10-01],
INDIRECT("rec.uni[natureza]"),"pro.soluto",
INDIRECT("rec.uni[empresa]"),$B16)</f>
        <v>0</v>
      </c>
      <c r="N16" s="247">
        <f ca="1">SUMIFS(rec.uni[2025-11-01],
INDIRECT("rec.uni[natureza]"),"pro.soluto",
INDIRECT("rec.uni[empresa]"),$B16)</f>
        <v>0</v>
      </c>
      <c r="O16" s="247">
        <f ca="1">SUMIFS(rec.uni[2025-12-01],
INDIRECT("rec.uni[natureza]"),"pro.soluto",
INDIRECT("rec.uni[empresa]"),$B16)</f>
        <v>0</v>
      </c>
      <c r="P16" s="247">
        <f ca="1">SUMIFS(rec.uni[2026-01-01],
INDIRECT("rec.uni[natureza]"),"pro.soluto",
INDIRECT("rec.uni[empresa]"),$B16)</f>
        <v>0</v>
      </c>
      <c r="Q16" s="247">
        <f ca="1">SUMIFS(rec.uni[2026-02-01],
INDIRECT("rec.uni[natureza]"),"pro.soluto",
INDIRECT("rec.uni[empresa]"),$B16)</f>
        <v>0</v>
      </c>
      <c r="R16" s="247">
        <f ca="1">SUMIFS(rec.uni[2026-03-01],
INDIRECT("rec.uni[natureza]"),"pro.soluto",
INDIRECT("rec.uni[empresa]"),$B16)</f>
        <v>0</v>
      </c>
      <c r="T16" s="239">
        <f t="shared" ref="T16" ca="1" si="9">SUM(D16:R16)</f>
        <v>0</v>
      </c>
      <c r="X16" s="243" t="s">
        <v>599</v>
      </c>
      <c r="Y16" s="332" t="s">
        <v>376</v>
      </c>
      <c r="Z16" s="315" cm="1">
        <f t="array" ref="Z16">-SUMPRODUCT(
  desp[valor] *
  (desp[nucleo]=Z$1) *
  (desp[centro.negocio]=$Y16) *
  (desp[data.pagamento]&gt;=DATE(YEAR(inputs!$A$1),MONTH(inputs!$A$1),1)) *
  (desp[data.pagamento]&lt;EOMONTH(inputs!$A$1,0)+1)
)</f>
        <v>0</v>
      </c>
      <c r="AA16" s="315" cm="1">
        <f t="array" ref="AA16">-SUMPRODUCT(
  desp[valor] *
  (desp[nucleo]=AA$1) *
  (desp[centro.negocio]=$Y16) *
  (desp[data.pagamento]&gt;=DATE(YEAR(inputs!$A$1),MONTH(inputs!$A$1),1)) *
  (desp[data.pagamento]&lt;EOMONTH(inputs!$A$1,0)+1)
)</f>
        <v>0</v>
      </c>
      <c r="AB16" s="315" cm="1">
        <f t="array" ref="AB16">-SUMPRODUCT(
  desp[valor] *
  (desp[nucleo]=AB$1) *
  (desp[centro.negocio]=$Y16) *
  (desp[data.pagamento]&gt;=DATE(YEAR(inputs!$A$1),MONTH(inputs!$A$1),1)) *
  (desp[data.pagamento]&lt;EOMONTH(inputs!$A$1,0)+1)
)</f>
        <v>0</v>
      </c>
      <c r="AC16" s="315" cm="1">
        <f t="array" ref="AC16">-SUMPRODUCT(
  desp[valor] *
  (desp[nucleo]=AC$1) *
  (desp[centro.negocio]=$Y16) *
  (desp[data.pagamento]&gt;=DATE(YEAR(inputs!$A$1),MONTH(inputs!$A$1),1)) *
  (desp[data.pagamento]&lt;EOMONTH(inputs!$A$1,0)+1)
)</f>
        <v>0</v>
      </c>
      <c r="AD16" s="315" cm="1">
        <f t="array" ref="AD16">-SUMPRODUCT(
  desp[valor] *
  (desp[nucleo]=AD$1) *
  (desp[centro.negocio]=$Y16) *
  (desp[data.pagamento]&gt;=DATE(YEAR(inputs!$A$1),MONTH(inputs!$A$1),1)) *
  (desp[data.pagamento]&lt;EOMONTH(inputs!$A$1,0)+1)
)</f>
        <v>0</v>
      </c>
      <c r="AE16" s="315" cm="1">
        <f t="array" ref="AE16">-SUMPRODUCT(
  desp[valor] *
  (desp[nucleo]=AE$1) *
  (desp[centro.negocio]=$Y16) *
  (desp[data.pagamento]&gt;=DATE(YEAR(inputs!$A$1),MONTH(inputs!$A$1),1)) *
  (desp[data.pagamento]&lt;EOMONTH(inputs!$A$1,0)+1)
)</f>
        <v>0</v>
      </c>
      <c r="AF16" s="315" cm="1">
        <f t="array" ref="AF16">-SUMPRODUCT(
  desp[valor] *
  (desp[nucleo]=AF$1) *
  (desp[centro.negocio]=$Y16) *
  (desp[data.pagamento]&gt;=DATE(YEAR(inputs!$A$1),MONTH(inputs!$A$1),1)) *
  (desp[data.pagamento]&lt;EOMONTH(inputs!$A$1,0)+1)
)</f>
        <v>0</v>
      </c>
      <c r="AG16" s="315" cm="1">
        <f t="array" ref="AG16">-SUMPRODUCT(
  desp[valor] *
  (desp[nucleo]=AG$1) *
  (desp[centro.negocio]=$Y16) *
  (desp[data.pagamento]&gt;=DATE(YEAR(inputs!$A$1),MONTH(inputs!$A$1),1)) *
  (desp[data.pagamento]&lt;EOMONTH(inputs!$A$1,0)+1)
)</f>
        <v>0</v>
      </c>
      <c r="AH16" s="316" cm="1">
        <f t="array" ref="AH16">-SUMPRODUCT(
  desp[valor] *
  (desp[nucleo]=AH$1) *
  (desp[centro.negocio]=$Y16) *
  (desp[data.pagamento]&gt;=DATE(YEAR(inputs!$A$1),MONTH(inputs!$A$1),1)) *
  (desp[data.pagamento]&lt;EOMONTH(inputs!$A$1,0)+1)
)</f>
        <v>0</v>
      </c>
      <c r="AJ16" s="247">
        <f t="shared" si="5"/>
        <v>0</v>
      </c>
      <c r="BT16" s="243" t="s">
        <v>601</v>
      </c>
      <c r="BU16" s="243" t="s">
        <v>374</v>
      </c>
      <c r="BV16" s="244" t="s">
        <v>522</v>
      </c>
      <c r="BW16" s="245">
        <v>0</v>
      </c>
      <c r="BX16" s="245">
        <v>0</v>
      </c>
      <c r="BY16" s="245">
        <v>0</v>
      </c>
      <c r="BZ16" s="245">
        <v>0</v>
      </c>
      <c r="CA16" s="245">
        <v>0</v>
      </c>
      <c r="CB16" s="245">
        <v>0</v>
      </c>
      <c r="CC16" s="245">
        <v>0</v>
      </c>
      <c r="CD16" s="245">
        <v>0</v>
      </c>
      <c r="CE16" s="245">
        <v>0</v>
      </c>
      <c r="CF16" s="245">
        <v>0</v>
      </c>
      <c r="CG16" s="245">
        <v>0</v>
      </c>
      <c r="CH16" s="245">
        <v>0</v>
      </c>
      <c r="CI16" s="245">
        <v>0</v>
      </c>
      <c r="CJ16" s="245">
        <v>0</v>
      </c>
    </row>
    <row r="17" spans="1:88" outlineLevel="2" x14ac:dyDescent="0.25">
      <c r="A17" s="246" t="s">
        <v>528</v>
      </c>
      <c r="B17" s="246" t="s">
        <v>15</v>
      </c>
      <c r="C17" s="193" t="s">
        <v>522</v>
      </c>
      <c r="D17" s="247">
        <f ca="1">SUMIFS(rec.uni[2025-01-01],
INDIRECT("rec.uni[natureza]"),"pro.soluto",
INDIRECT("rec.uni[empresa]"),$B17)</f>
        <v>0</v>
      </c>
      <c r="E17" s="247">
        <f ca="1">SUMIFS(rec.uni[2025-02-01],
INDIRECT("rec.uni[natureza]"),"pro.soluto",
INDIRECT("rec.uni[empresa]"),$B17)</f>
        <v>0</v>
      </c>
      <c r="F17" s="247">
        <f ca="1">SUMIFS(rec.uni[2025-03-01],
INDIRECT("rec.uni[natureza]"),"pro.soluto",
INDIRECT("rec.uni[empresa]"),$B17)</f>
        <v>0</v>
      </c>
      <c r="G17" s="247">
        <f ca="1">SUMIFS(rec.uni[2025-04-01],
INDIRECT("rec.uni[natureza]"),"pro.soluto",
INDIRECT("rec.uni[empresa]"),$B17)</f>
        <v>0</v>
      </c>
      <c r="H17" s="247">
        <f ca="1">SUMIFS(rec.uni[2025-05-01],
INDIRECT("rec.uni[natureza]"),"pro.soluto",
INDIRECT("rec.uni[empresa]"),$B17)</f>
        <v>0</v>
      </c>
      <c r="I17" s="247">
        <f ca="1">SUMIFS(rec.uni[2025-06-01],
INDIRECT("rec.uni[natureza]"),"pro.soluto",
INDIRECT("rec.uni[empresa]"),$B17)</f>
        <v>0</v>
      </c>
      <c r="J17" s="247">
        <f ca="1">SUMIFS(rec.uni[2025-07-01],
INDIRECT("rec.uni[natureza]"),"pro.soluto",
INDIRECT("rec.uni[empresa]"),$B17)</f>
        <v>0</v>
      </c>
      <c r="K17" s="247">
        <f ca="1">SUMIFS(rec.uni[2025-08-01],
INDIRECT("rec.uni[natureza]"),"pro.soluto",
INDIRECT("rec.uni[empresa]"),$B17)</f>
        <v>0</v>
      </c>
      <c r="L17" s="247">
        <f ca="1">SUMIFS(rec.uni[2025-09-01],
INDIRECT("rec.uni[natureza]"),"pro.soluto",
INDIRECT("rec.uni[empresa]"),$B17)</f>
        <v>0</v>
      </c>
      <c r="M17" s="247">
        <f ca="1">SUMIFS(rec.uni[2025-10-01],
INDIRECT("rec.uni[natureza]"),"pro.soluto",
INDIRECT("rec.uni[empresa]"),$B17)</f>
        <v>0</v>
      </c>
      <c r="N17" s="247">
        <f ca="1">SUMIFS(rec.uni[2025-11-01],
INDIRECT("rec.uni[natureza]"),"pro.soluto",
INDIRECT("rec.uni[empresa]"),$B17)</f>
        <v>0</v>
      </c>
      <c r="O17" s="247">
        <f ca="1">SUMIFS(rec.uni[2025-12-01],
INDIRECT("rec.uni[natureza]"),"pro.soluto",
INDIRECT("rec.uni[empresa]"),$B17)</f>
        <v>0</v>
      </c>
      <c r="P17" s="247">
        <f ca="1">SUMIFS(rec.uni[2026-01-01],
INDIRECT("rec.uni[natureza]"),"pro.soluto",
INDIRECT("rec.uni[empresa]"),$B17)</f>
        <v>0</v>
      </c>
      <c r="Q17" s="247">
        <f ca="1">SUMIFS(rec.uni[2026-02-01],
INDIRECT("rec.uni[natureza]"),"pro.soluto",
INDIRECT("rec.uni[empresa]"),$B17)</f>
        <v>0</v>
      </c>
      <c r="R17" s="247">
        <f ca="1">SUMIFS(rec.uni[2026-03-01],
INDIRECT("rec.uni[natureza]"),"pro.soluto",
INDIRECT("rec.uni[empresa]"),$B17)</f>
        <v>0</v>
      </c>
      <c r="T17" s="239">
        <f t="shared" ca="1" si="1"/>
        <v>0</v>
      </c>
      <c r="X17" s="243" t="s">
        <v>601</v>
      </c>
      <c r="Y17" s="332" t="s">
        <v>374</v>
      </c>
      <c r="Z17" s="315" cm="1">
        <f t="array" ref="Z17">-SUMPRODUCT(
  desp[valor] *
  (desp[nucleo]=Z$1) *
  (desp[centro.negocio]=$Y17) *
  (desp[data.pagamento]&gt;=DATE(YEAR(inputs!$A$1),MONTH(inputs!$A$1),1)) *
  (desp[data.pagamento]&lt;EOMONTH(inputs!$A$1,0)+1)
)</f>
        <v>0</v>
      </c>
      <c r="AA17" s="315" cm="1">
        <f t="array" ref="AA17">-SUMPRODUCT(
  desp[valor] *
  (desp[nucleo]=AA$1) *
  (desp[centro.negocio]=$Y17) *
  (desp[data.pagamento]&gt;=DATE(YEAR(inputs!$A$1),MONTH(inputs!$A$1),1)) *
  (desp[data.pagamento]&lt;EOMONTH(inputs!$A$1,0)+1)
)</f>
        <v>0</v>
      </c>
      <c r="AB17" s="315" cm="1">
        <f t="array" ref="AB17">-SUMPRODUCT(
  desp[valor] *
  (desp[nucleo]=AB$1) *
  (desp[centro.negocio]=$Y17) *
  (desp[data.pagamento]&gt;=DATE(YEAR(inputs!$A$1),MONTH(inputs!$A$1),1)) *
  (desp[data.pagamento]&lt;EOMONTH(inputs!$A$1,0)+1)
)</f>
        <v>0</v>
      </c>
      <c r="AC17" s="315" cm="1">
        <f t="array" ref="AC17">-SUMPRODUCT(
  desp[valor] *
  (desp[nucleo]=AC$1) *
  (desp[centro.negocio]=$Y17) *
  (desp[data.pagamento]&gt;=DATE(YEAR(inputs!$A$1),MONTH(inputs!$A$1),1)) *
  (desp[data.pagamento]&lt;EOMONTH(inputs!$A$1,0)+1)
)</f>
        <v>0</v>
      </c>
      <c r="AD17" s="315" cm="1">
        <f t="array" ref="AD17">-SUMPRODUCT(
  desp[valor] *
  (desp[nucleo]=AD$1) *
  (desp[centro.negocio]=$Y17) *
  (desp[data.pagamento]&gt;=DATE(YEAR(inputs!$A$1),MONTH(inputs!$A$1),1)) *
  (desp[data.pagamento]&lt;EOMONTH(inputs!$A$1,0)+1)
)</f>
        <v>0</v>
      </c>
      <c r="AE17" s="315" cm="1">
        <f t="array" ref="AE17">-SUMPRODUCT(
  desp[valor] *
  (desp[nucleo]=AE$1) *
  (desp[centro.negocio]=$Y17) *
  (desp[data.pagamento]&gt;=DATE(YEAR(inputs!$A$1),MONTH(inputs!$A$1),1)) *
  (desp[data.pagamento]&lt;EOMONTH(inputs!$A$1,0)+1)
)</f>
        <v>0</v>
      </c>
      <c r="AF17" s="315" cm="1">
        <f t="array" ref="AF17">-SUMPRODUCT(
  desp[valor] *
  (desp[nucleo]=AF$1) *
  (desp[centro.negocio]=$Y17) *
  (desp[data.pagamento]&gt;=DATE(YEAR(inputs!$A$1),MONTH(inputs!$A$1),1)) *
  (desp[data.pagamento]&lt;EOMONTH(inputs!$A$1,0)+1)
)</f>
        <v>0</v>
      </c>
      <c r="AG17" s="315" cm="1">
        <f t="array" ref="AG17">-SUMPRODUCT(
  desp[valor] *
  (desp[nucleo]=AG$1) *
  (desp[centro.negocio]=$Y17) *
  (desp[data.pagamento]&gt;=DATE(YEAR(inputs!$A$1),MONTH(inputs!$A$1),1)) *
  (desp[data.pagamento]&lt;EOMONTH(inputs!$A$1,0)+1)
)</f>
        <v>0</v>
      </c>
      <c r="AH17" s="316" cm="1">
        <f t="array" ref="AH17">-SUMPRODUCT(
  desp[valor] *
  (desp[nucleo]=AH$1) *
  (desp[centro.negocio]=$Y17) *
  (desp[data.pagamento]&gt;=DATE(YEAR(inputs!$A$1),MONTH(inputs!$A$1),1)) *
  (desp[data.pagamento]&lt;EOMONTH(inputs!$A$1,0)+1)
)</f>
        <v>0</v>
      </c>
      <c r="AJ17" s="247">
        <f t="shared" si="5"/>
        <v>0</v>
      </c>
      <c r="BT17" s="243" t="s">
        <v>603</v>
      </c>
      <c r="BU17" s="243" t="s">
        <v>381</v>
      </c>
      <c r="BV17" s="244" t="s">
        <v>522</v>
      </c>
      <c r="BW17" s="245">
        <v>0</v>
      </c>
      <c r="BX17" s="245">
        <v>0</v>
      </c>
      <c r="BY17" s="245">
        <v>0</v>
      </c>
      <c r="BZ17" s="245">
        <v>0</v>
      </c>
      <c r="CA17" s="245">
        <v>0</v>
      </c>
      <c r="CB17" s="245">
        <v>0</v>
      </c>
      <c r="CC17" s="245">
        <v>0</v>
      </c>
      <c r="CD17" s="245">
        <v>0</v>
      </c>
      <c r="CE17" s="245">
        <v>0</v>
      </c>
      <c r="CF17" s="245">
        <v>0</v>
      </c>
      <c r="CG17" s="245">
        <v>0</v>
      </c>
      <c r="CH17" s="245">
        <v>0</v>
      </c>
      <c r="CI17" s="245">
        <v>0</v>
      </c>
      <c r="CJ17" s="245">
        <v>0</v>
      </c>
    </row>
    <row r="18" spans="1:88" outlineLevel="2" x14ac:dyDescent="0.25">
      <c r="A18" s="246" t="s">
        <v>529</v>
      </c>
      <c r="B18" s="246" t="s">
        <v>13</v>
      </c>
      <c r="C18" s="193" t="s">
        <v>522</v>
      </c>
      <c r="D18" s="247">
        <f ca="1">SUMIFS(rec.uni[2025-01-01],
INDIRECT("rec.uni[natureza]"),"pro.soluto",
INDIRECT("rec.uni[empresa]"),$B18)</f>
        <v>0</v>
      </c>
      <c r="E18" s="247">
        <f ca="1">SUMIFS(rec.uni[2025-02-01],
INDIRECT("rec.uni[natureza]"),"pro.soluto",
INDIRECT("rec.uni[empresa]"),$B18)</f>
        <v>0</v>
      </c>
      <c r="F18" s="247">
        <f ca="1">SUMIFS(rec.uni[2025-03-01],
INDIRECT("rec.uni[natureza]"),"pro.soluto",
INDIRECT("rec.uni[empresa]"),$B18)</f>
        <v>0</v>
      </c>
      <c r="G18" s="247">
        <f ca="1">SUMIFS(rec.uni[2025-04-01],
INDIRECT("rec.uni[natureza]"),"pro.soluto",
INDIRECT("rec.uni[empresa]"),$B18)</f>
        <v>0</v>
      </c>
      <c r="H18" s="247">
        <f ca="1">SUMIFS(rec.uni[2025-05-01],
INDIRECT("rec.uni[natureza]"),"pro.soluto",
INDIRECT("rec.uni[empresa]"),$B18)</f>
        <v>0</v>
      </c>
      <c r="I18" s="247">
        <f ca="1">SUMIFS(rec.uni[2025-06-01],
INDIRECT("rec.uni[natureza]"),"pro.soluto",
INDIRECT("rec.uni[empresa]"),$B18)</f>
        <v>0</v>
      </c>
      <c r="J18" s="247">
        <f ca="1">SUMIFS(rec.uni[2025-07-01],
INDIRECT("rec.uni[natureza]"),"pro.soluto",
INDIRECT("rec.uni[empresa]"),$B18)</f>
        <v>0</v>
      </c>
      <c r="K18" s="247">
        <f ca="1">SUMIFS(rec.uni[2025-08-01],
INDIRECT("rec.uni[natureza]"),"pro.soluto",
INDIRECT("rec.uni[empresa]"),$B18)</f>
        <v>0</v>
      </c>
      <c r="L18" s="247">
        <f ca="1">SUMIFS(rec.uni[2025-09-01],
INDIRECT("rec.uni[natureza]"),"pro.soluto",
INDIRECT("rec.uni[empresa]"),$B18)</f>
        <v>0</v>
      </c>
      <c r="M18" s="247">
        <f ca="1">SUMIFS(rec.uni[2025-10-01],
INDIRECT("rec.uni[natureza]"),"pro.soluto",
INDIRECT("rec.uni[empresa]"),$B18)</f>
        <v>0</v>
      </c>
      <c r="N18" s="247">
        <f ca="1">SUMIFS(rec.uni[2025-11-01],
INDIRECT("rec.uni[natureza]"),"pro.soluto",
INDIRECT("rec.uni[empresa]"),$B18)</f>
        <v>0</v>
      </c>
      <c r="O18" s="247">
        <f ca="1">SUMIFS(rec.uni[2025-12-01],
INDIRECT("rec.uni[natureza]"),"pro.soluto",
INDIRECT("rec.uni[empresa]"),$B18)</f>
        <v>0</v>
      </c>
      <c r="P18" s="247">
        <f ca="1">SUMIFS(rec.uni[2026-01-01],
INDIRECT("rec.uni[natureza]"),"pro.soluto",
INDIRECT("rec.uni[empresa]"),$B18)</f>
        <v>0</v>
      </c>
      <c r="Q18" s="247">
        <f ca="1">SUMIFS(rec.uni[2026-02-01],
INDIRECT("rec.uni[natureza]"),"pro.soluto",
INDIRECT("rec.uni[empresa]"),$B18)</f>
        <v>0</v>
      </c>
      <c r="R18" s="247">
        <f ca="1">SUMIFS(rec.uni[2026-03-01],
INDIRECT("rec.uni[natureza]"),"pro.soluto",
INDIRECT("rec.uni[empresa]"),$B18)</f>
        <v>0</v>
      </c>
      <c r="T18" s="239">
        <f t="shared" ca="1" si="1"/>
        <v>0</v>
      </c>
      <c r="X18" s="243" t="s">
        <v>603</v>
      </c>
      <c r="Y18" s="332" t="s">
        <v>381</v>
      </c>
      <c r="Z18" s="315" cm="1">
        <f t="array" ref="Z18">-SUMPRODUCT(
  desp[valor] *
  (desp[nucleo]=Z$1) *
  (desp[centro.negocio]=$Y18) *
  (desp[data.pagamento]&gt;=DATE(YEAR(inputs!$A$1),MONTH(inputs!$A$1),1)) *
  (desp[data.pagamento]&lt;EOMONTH(inputs!$A$1,0)+1)
)</f>
        <v>0</v>
      </c>
      <c r="AA18" s="315" cm="1">
        <f t="array" ref="AA18">-SUMPRODUCT(
  desp[valor] *
  (desp[nucleo]=AA$1) *
  (desp[centro.negocio]=$Y18) *
  (desp[data.pagamento]&gt;=DATE(YEAR(inputs!$A$1),MONTH(inputs!$A$1),1)) *
  (desp[data.pagamento]&lt;EOMONTH(inputs!$A$1,0)+1)
)</f>
        <v>0</v>
      </c>
      <c r="AB18" s="315" cm="1">
        <f t="array" ref="AB18">-SUMPRODUCT(
  desp[valor] *
  (desp[nucleo]=AB$1) *
  (desp[centro.negocio]=$Y18) *
  (desp[data.pagamento]&gt;=DATE(YEAR(inputs!$A$1),MONTH(inputs!$A$1),1)) *
  (desp[data.pagamento]&lt;EOMONTH(inputs!$A$1,0)+1)
)</f>
        <v>0</v>
      </c>
      <c r="AC18" s="315" cm="1">
        <f t="array" ref="AC18">-SUMPRODUCT(
  desp[valor] *
  (desp[nucleo]=AC$1) *
  (desp[centro.negocio]=$Y18) *
  (desp[data.pagamento]&gt;=DATE(YEAR(inputs!$A$1),MONTH(inputs!$A$1),1)) *
  (desp[data.pagamento]&lt;EOMONTH(inputs!$A$1,0)+1)
)</f>
        <v>0</v>
      </c>
      <c r="AD18" s="315" cm="1">
        <f t="array" ref="AD18">-SUMPRODUCT(
  desp[valor] *
  (desp[nucleo]=AD$1) *
  (desp[centro.negocio]=$Y18) *
  (desp[data.pagamento]&gt;=DATE(YEAR(inputs!$A$1),MONTH(inputs!$A$1),1)) *
  (desp[data.pagamento]&lt;EOMONTH(inputs!$A$1,0)+1)
)</f>
        <v>0</v>
      </c>
      <c r="AE18" s="315" cm="1">
        <f t="array" ref="AE18">-SUMPRODUCT(
  desp[valor] *
  (desp[nucleo]=AE$1) *
  (desp[centro.negocio]=$Y18) *
  (desp[data.pagamento]&gt;=DATE(YEAR(inputs!$A$1),MONTH(inputs!$A$1),1)) *
  (desp[data.pagamento]&lt;EOMONTH(inputs!$A$1,0)+1)
)</f>
        <v>0</v>
      </c>
      <c r="AF18" s="315" cm="1">
        <f t="array" ref="AF18">-SUMPRODUCT(
  desp[valor] *
  (desp[nucleo]=AF$1) *
  (desp[centro.negocio]=$Y18) *
  (desp[data.pagamento]&gt;=DATE(YEAR(inputs!$A$1),MONTH(inputs!$A$1),1)) *
  (desp[data.pagamento]&lt;EOMONTH(inputs!$A$1,0)+1)
)</f>
        <v>0</v>
      </c>
      <c r="AG18" s="315" cm="1">
        <f t="array" ref="AG18">-SUMPRODUCT(
  desp[valor] *
  (desp[nucleo]=AG$1) *
  (desp[centro.negocio]=$Y18) *
  (desp[data.pagamento]&gt;=DATE(YEAR(inputs!$A$1),MONTH(inputs!$A$1),1)) *
  (desp[data.pagamento]&lt;EOMONTH(inputs!$A$1,0)+1)
)</f>
        <v>0</v>
      </c>
      <c r="AH18" s="316" cm="1">
        <f t="array" ref="AH18">-SUMPRODUCT(
  desp[valor] *
  (desp[nucleo]=AH$1) *
  (desp[centro.negocio]=$Y18) *
  (desp[data.pagamento]&gt;=DATE(YEAR(inputs!$A$1),MONTH(inputs!$A$1),1)) *
  (desp[data.pagamento]&lt;EOMONTH(inputs!$A$1,0)+1)
)</f>
        <v>0</v>
      </c>
      <c r="AJ18" s="247">
        <f t="shared" si="5"/>
        <v>0</v>
      </c>
      <c r="BT18" s="243" t="s">
        <v>608</v>
      </c>
      <c r="BU18" s="243" t="s">
        <v>393</v>
      </c>
      <c r="BV18" s="244" t="s">
        <v>522</v>
      </c>
      <c r="BW18" s="245">
        <v>0</v>
      </c>
      <c r="BX18" s="245">
        <v>0</v>
      </c>
      <c r="BY18" s="245">
        <v>0</v>
      </c>
      <c r="BZ18" s="245">
        <v>0</v>
      </c>
      <c r="CA18" s="245">
        <v>0</v>
      </c>
      <c r="CB18" s="245">
        <v>0</v>
      </c>
      <c r="CC18" s="245">
        <v>0</v>
      </c>
      <c r="CD18" s="245">
        <v>0</v>
      </c>
      <c r="CE18" s="245">
        <v>0</v>
      </c>
      <c r="CF18" s="245">
        <v>0</v>
      </c>
      <c r="CG18" s="245">
        <v>0</v>
      </c>
      <c r="CH18" s="245">
        <v>0</v>
      </c>
      <c r="CI18" s="245">
        <v>0</v>
      </c>
      <c r="CJ18" s="245">
        <v>0</v>
      </c>
    </row>
    <row r="19" spans="1:88" outlineLevel="2" x14ac:dyDescent="0.25">
      <c r="A19" s="246" t="s">
        <v>781</v>
      </c>
      <c r="B19" s="246" t="s">
        <v>473</v>
      </c>
      <c r="C19" s="193" t="s">
        <v>522</v>
      </c>
      <c r="D19" s="247">
        <f ca="1">SUMIFS(rec.uni[2025-01-01],
INDIRECT("rec.uni[natureza]"),"pro.soluto",
INDIRECT("rec.uni[empresa]"),$B19)</f>
        <v>0</v>
      </c>
      <c r="E19" s="247">
        <f ca="1">SUMIFS(rec.uni[2025-02-01],
INDIRECT("rec.uni[natureza]"),"pro.soluto",
INDIRECT("rec.uni[empresa]"),$B19)</f>
        <v>0</v>
      </c>
      <c r="F19" s="247">
        <f ca="1">SUMIFS(rec.uni[2025-03-01],
INDIRECT("rec.uni[natureza]"),"pro.soluto",
INDIRECT("rec.uni[empresa]"),$B19)</f>
        <v>0</v>
      </c>
      <c r="G19" s="247">
        <f ca="1">SUMIFS(rec.uni[2025-04-01],
INDIRECT("rec.uni[natureza]"),"pro.soluto",
INDIRECT("rec.uni[empresa]"),$B19)</f>
        <v>0</v>
      </c>
      <c r="H19" s="247">
        <f ca="1">SUMIFS(rec.uni[2025-05-01],
INDIRECT("rec.uni[natureza]"),"pro.soluto",
INDIRECT("rec.uni[empresa]"),$B19)</f>
        <v>0</v>
      </c>
      <c r="I19" s="247">
        <f ca="1">SUMIFS(rec.uni[2025-06-01],
INDIRECT("rec.uni[natureza]"),"pro.soluto",
INDIRECT("rec.uni[empresa]"),$B19)</f>
        <v>0</v>
      </c>
      <c r="J19" s="247">
        <f ca="1">SUMIFS(rec.uni[2025-07-01],
INDIRECT("rec.uni[natureza]"),"pro.soluto",
INDIRECT("rec.uni[empresa]"),$B19)</f>
        <v>0</v>
      </c>
      <c r="K19" s="247">
        <f ca="1">SUMIFS(rec.uni[2025-08-01],
INDIRECT("rec.uni[natureza]"),"pro.soluto",
INDIRECT("rec.uni[empresa]"),$B19)</f>
        <v>0</v>
      </c>
      <c r="L19" s="247">
        <f ca="1">SUMIFS(rec.uni[2025-09-01],
INDIRECT("rec.uni[natureza]"),"pro.soluto",
INDIRECT("rec.uni[empresa]"),$B19)</f>
        <v>0</v>
      </c>
      <c r="M19" s="247">
        <f ca="1">SUMIFS(rec.uni[2025-10-01],
INDIRECT("rec.uni[natureza]"),"pro.soluto",
INDIRECT("rec.uni[empresa]"),$B19)</f>
        <v>0</v>
      </c>
      <c r="N19" s="247">
        <f ca="1">SUMIFS(rec.uni[2025-11-01],
INDIRECT("rec.uni[natureza]"),"pro.soluto",
INDIRECT("rec.uni[empresa]"),$B19)</f>
        <v>0</v>
      </c>
      <c r="O19" s="247">
        <f ca="1">SUMIFS(rec.uni[2025-12-01],
INDIRECT("rec.uni[natureza]"),"pro.soluto",
INDIRECT("rec.uni[empresa]"),$B19)</f>
        <v>0</v>
      </c>
      <c r="P19" s="247">
        <f ca="1">SUMIFS(rec.uni[2026-01-01],
INDIRECT("rec.uni[natureza]"),"pro.soluto",
INDIRECT("rec.uni[empresa]"),$B19)</f>
        <v>0</v>
      </c>
      <c r="Q19" s="247">
        <f ca="1">SUMIFS(rec.uni[2026-02-01],
INDIRECT("rec.uni[natureza]"),"pro.soluto",
INDIRECT("rec.uni[empresa]"),$B19)</f>
        <v>0</v>
      </c>
      <c r="R19" s="247">
        <f ca="1">SUMIFS(rec.uni[2026-03-01],
INDIRECT("rec.uni[natureza]"),"pro.soluto",
INDIRECT("rec.uni[empresa]"),$B19)</f>
        <v>0</v>
      </c>
      <c r="T19" s="239">
        <f t="shared" ca="1" si="1"/>
        <v>0</v>
      </c>
      <c r="X19" s="243" t="s">
        <v>608</v>
      </c>
      <c r="Y19" s="332" t="s">
        <v>393</v>
      </c>
      <c r="Z19" s="315" cm="1">
        <f t="array" ref="Z19">-SUMPRODUCT(
  desp[valor] *
  (desp[nucleo]=Z$1) *
  (desp[centro.negocio]=$Y19) *
  (desp[data.pagamento]&gt;=DATE(YEAR(inputs!$A$1),MONTH(inputs!$A$1),1)) *
  (desp[data.pagamento]&lt;EOMONTH(inputs!$A$1,0)+1)
)</f>
        <v>0</v>
      </c>
      <c r="AA19" s="315" cm="1">
        <f t="array" ref="AA19">-SUMPRODUCT(
  desp[valor] *
  (desp[nucleo]=AA$1) *
  (desp[centro.negocio]=$Y19) *
  (desp[data.pagamento]&gt;=DATE(YEAR(inputs!$A$1),MONTH(inputs!$A$1),1)) *
  (desp[data.pagamento]&lt;EOMONTH(inputs!$A$1,0)+1)
)</f>
        <v>0</v>
      </c>
      <c r="AB19" s="315" cm="1">
        <f t="array" ref="AB19">-SUMPRODUCT(
  desp[valor] *
  (desp[nucleo]=AB$1) *
  (desp[centro.negocio]=$Y19) *
  (desp[data.pagamento]&gt;=DATE(YEAR(inputs!$A$1),MONTH(inputs!$A$1),1)) *
  (desp[data.pagamento]&lt;EOMONTH(inputs!$A$1,0)+1)
)</f>
        <v>0</v>
      </c>
      <c r="AC19" s="315" cm="1">
        <f t="array" ref="AC19">-SUMPRODUCT(
  desp[valor] *
  (desp[nucleo]=AC$1) *
  (desp[centro.negocio]=$Y19) *
  (desp[data.pagamento]&gt;=DATE(YEAR(inputs!$A$1),MONTH(inputs!$A$1),1)) *
  (desp[data.pagamento]&lt;EOMONTH(inputs!$A$1,0)+1)
)</f>
        <v>0</v>
      </c>
      <c r="AD19" s="315" cm="1">
        <f t="array" ref="AD19">-SUMPRODUCT(
  desp[valor] *
  (desp[nucleo]=AD$1) *
  (desp[centro.negocio]=$Y19) *
  (desp[data.pagamento]&gt;=DATE(YEAR(inputs!$A$1),MONTH(inputs!$A$1),1)) *
  (desp[data.pagamento]&lt;EOMONTH(inputs!$A$1,0)+1)
)</f>
        <v>0</v>
      </c>
      <c r="AE19" s="315" cm="1">
        <f t="array" ref="AE19">-SUMPRODUCT(
  desp[valor] *
  (desp[nucleo]=AE$1) *
  (desp[centro.negocio]=$Y19) *
  (desp[data.pagamento]&gt;=DATE(YEAR(inputs!$A$1),MONTH(inputs!$A$1),1)) *
  (desp[data.pagamento]&lt;EOMONTH(inputs!$A$1,0)+1)
)</f>
        <v>0</v>
      </c>
      <c r="AF19" s="315" cm="1">
        <f t="array" ref="AF19">-SUMPRODUCT(
  desp[valor] *
  (desp[nucleo]=AF$1) *
  (desp[centro.negocio]=$Y19) *
  (desp[data.pagamento]&gt;=DATE(YEAR(inputs!$A$1),MONTH(inputs!$A$1),1)) *
  (desp[data.pagamento]&lt;EOMONTH(inputs!$A$1,0)+1)
)</f>
        <v>0</v>
      </c>
      <c r="AG19" s="315" cm="1">
        <f t="array" ref="AG19">-SUMPRODUCT(
  desp[valor] *
  (desp[nucleo]=AG$1) *
  (desp[centro.negocio]=$Y19) *
  (desp[data.pagamento]&gt;=DATE(YEAR(inputs!$A$1),MONTH(inputs!$A$1),1)) *
  (desp[data.pagamento]&lt;EOMONTH(inputs!$A$1,0)+1)
)</f>
        <v>0</v>
      </c>
      <c r="AH19" s="316" cm="1">
        <f t="array" ref="AH19">-SUMPRODUCT(
  desp[valor] *
  (desp[nucleo]=AH$1) *
  (desp[centro.negocio]=$Y19) *
  (desp[data.pagamento]&gt;=DATE(YEAR(inputs!$A$1),MONTH(inputs!$A$1),1)) *
  (desp[data.pagamento]&lt;EOMONTH(inputs!$A$1,0)+1)
)</f>
        <v>0</v>
      </c>
      <c r="AJ19" s="247">
        <f t="shared" si="5"/>
        <v>0</v>
      </c>
      <c r="BT19" s="243" t="s">
        <v>622</v>
      </c>
      <c r="BU19" s="243" t="s">
        <v>346</v>
      </c>
      <c r="BV19" s="244" t="s">
        <v>522</v>
      </c>
      <c r="BW19" s="245">
        <v>0</v>
      </c>
      <c r="BX19" s="245">
        <v>0</v>
      </c>
      <c r="BY19" s="245">
        <v>0</v>
      </c>
      <c r="BZ19" s="245">
        <v>0</v>
      </c>
      <c r="CA19" s="245">
        <v>0</v>
      </c>
      <c r="CB19" s="245">
        <v>0</v>
      </c>
      <c r="CC19" s="245">
        <v>0</v>
      </c>
      <c r="CD19" s="245">
        <v>0</v>
      </c>
      <c r="CE19" s="245">
        <v>0</v>
      </c>
      <c r="CF19" s="245">
        <v>0</v>
      </c>
      <c r="CG19" s="245">
        <v>0</v>
      </c>
      <c r="CH19" s="245">
        <v>0</v>
      </c>
      <c r="CI19" s="245">
        <v>0</v>
      </c>
      <c r="CJ19" s="245">
        <v>0</v>
      </c>
    </row>
    <row r="20" spans="1:88" outlineLevel="2" x14ac:dyDescent="0.25">
      <c r="A20" s="246" t="s">
        <v>782</v>
      </c>
      <c r="B20" s="246" t="s">
        <v>784</v>
      </c>
      <c r="C20" s="193" t="s">
        <v>522</v>
      </c>
      <c r="D20" s="247">
        <f ca="1">SUMIFS(rec.uni[2025-01-01],
INDIRECT("rec.uni[natureza]"),"pro.soluto",
INDIRECT("rec.uni[empresa]"),$B20)</f>
        <v>0</v>
      </c>
      <c r="E20" s="247">
        <f ca="1">SUMIFS(rec.uni[2025-02-01],
INDIRECT("rec.uni[natureza]"),"pro.soluto",
INDIRECT("rec.uni[empresa]"),$B20)</f>
        <v>0</v>
      </c>
      <c r="F20" s="247">
        <f ca="1">SUMIFS(rec.uni[2025-03-01],
INDIRECT("rec.uni[natureza]"),"pro.soluto",
INDIRECT("rec.uni[empresa]"),$B20)</f>
        <v>0</v>
      </c>
      <c r="G20" s="247">
        <f ca="1">SUMIFS(rec.uni[2025-04-01],
INDIRECT("rec.uni[natureza]"),"pro.soluto",
INDIRECT("rec.uni[empresa]"),$B20)</f>
        <v>0</v>
      </c>
      <c r="H20" s="247">
        <f ca="1">SUMIFS(rec.uni[2025-05-01],
INDIRECT("rec.uni[natureza]"),"pro.soluto",
INDIRECT("rec.uni[empresa]"),$B20)</f>
        <v>0</v>
      </c>
      <c r="I20" s="247">
        <f ca="1">SUMIFS(rec.uni[2025-06-01],
INDIRECT("rec.uni[natureza]"),"pro.soluto",
INDIRECT("rec.uni[empresa]"),$B20)</f>
        <v>0</v>
      </c>
      <c r="J20" s="247">
        <f ca="1">SUMIFS(rec.uni[2025-07-01],
INDIRECT("rec.uni[natureza]"),"pro.soluto",
INDIRECT("rec.uni[empresa]"),$B20)</f>
        <v>0</v>
      </c>
      <c r="K20" s="247">
        <f ca="1">SUMIFS(rec.uni[2025-08-01],
INDIRECT("rec.uni[natureza]"),"pro.soluto",
INDIRECT("rec.uni[empresa]"),$B20)</f>
        <v>0</v>
      </c>
      <c r="L20" s="247">
        <f ca="1">SUMIFS(rec.uni[2025-09-01],
INDIRECT("rec.uni[natureza]"),"pro.soluto",
INDIRECT("rec.uni[empresa]"),$B20)</f>
        <v>0</v>
      </c>
      <c r="M20" s="247">
        <f ca="1">SUMIFS(rec.uni[2025-10-01],
INDIRECT("rec.uni[natureza]"),"pro.soluto",
INDIRECT("rec.uni[empresa]"),$B20)</f>
        <v>0</v>
      </c>
      <c r="N20" s="247">
        <f ca="1">SUMIFS(rec.uni[2025-11-01],
INDIRECT("rec.uni[natureza]"),"pro.soluto",
INDIRECT("rec.uni[empresa]"),$B20)</f>
        <v>0</v>
      </c>
      <c r="O20" s="247">
        <f ca="1">SUMIFS(rec.uni[2025-12-01],
INDIRECT("rec.uni[natureza]"),"pro.soluto",
INDIRECT("rec.uni[empresa]"),$B20)</f>
        <v>0</v>
      </c>
      <c r="P20" s="247">
        <f ca="1">SUMIFS(rec.uni[2026-01-01],
INDIRECT("rec.uni[natureza]"),"pro.soluto",
INDIRECT("rec.uni[empresa]"),$B20)</f>
        <v>0</v>
      </c>
      <c r="Q20" s="247">
        <f ca="1">SUMIFS(rec.uni[2026-02-01],
INDIRECT("rec.uni[natureza]"),"pro.soluto",
INDIRECT("rec.uni[empresa]"),$B20)</f>
        <v>0</v>
      </c>
      <c r="R20" s="247">
        <f ca="1">SUMIFS(rec.uni[2026-03-01],
INDIRECT("rec.uni[natureza]"),"pro.soluto",
INDIRECT("rec.uni[empresa]"),$B20)</f>
        <v>0</v>
      </c>
      <c r="T20" s="239">
        <f t="shared" ref="T20" ca="1" si="10">SUM(D20:R20)</f>
        <v>0</v>
      </c>
      <c r="X20" s="243" t="s">
        <v>622</v>
      </c>
      <c r="Y20" s="332" t="s">
        <v>346</v>
      </c>
      <c r="Z20" s="315" cm="1">
        <f t="array" ref="Z20">-SUMPRODUCT(
  desp[valor] *
  (desp[nucleo]=Z$1) *
  (desp[centro.negocio]=$Y20) *
  (desp[data.pagamento]&gt;=DATE(YEAR(inputs!$A$1),MONTH(inputs!$A$1),1)) *
  (desp[data.pagamento]&lt;EOMONTH(inputs!$A$1,0)+1)
)</f>
        <v>0</v>
      </c>
      <c r="AA20" s="315" cm="1">
        <f t="array" ref="AA20">-SUMPRODUCT(
  desp[valor] *
  (desp[nucleo]=AA$1) *
  (desp[centro.negocio]=$Y20) *
  (desp[data.pagamento]&gt;=DATE(YEAR(inputs!$A$1),MONTH(inputs!$A$1),1)) *
  (desp[data.pagamento]&lt;EOMONTH(inputs!$A$1,0)+1)
)</f>
        <v>0</v>
      </c>
      <c r="AB20" s="315" cm="1">
        <f t="array" ref="AB20">-SUMPRODUCT(
  desp[valor] *
  (desp[nucleo]=AB$1) *
  (desp[centro.negocio]=$Y20) *
  (desp[data.pagamento]&gt;=DATE(YEAR(inputs!$A$1),MONTH(inputs!$A$1),1)) *
  (desp[data.pagamento]&lt;EOMONTH(inputs!$A$1,0)+1)
)</f>
        <v>0</v>
      </c>
      <c r="AC20" s="315" cm="1">
        <f t="array" ref="AC20">-SUMPRODUCT(
  desp[valor] *
  (desp[nucleo]=AC$1) *
  (desp[centro.negocio]=$Y20) *
  (desp[data.pagamento]&gt;=DATE(YEAR(inputs!$A$1),MONTH(inputs!$A$1),1)) *
  (desp[data.pagamento]&lt;EOMONTH(inputs!$A$1,0)+1)
)</f>
        <v>0</v>
      </c>
      <c r="AD20" s="315" cm="1">
        <f t="array" ref="AD20">-SUMPRODUCT(
  desp[valor] *
  (desp[nucleo]=AD$1) *
  (desp[centro.negocio]=$Y20) *
  (desp[data.pagamento]&gt;=DATE(YEAR(inputs!$A$1),MONTH(inputs!$A$1),1)) *
  (desp[data.pagamento]&lt;EOMONTH(inputs!$A$1,0)+1)
)</f>
        <v>0</v>
      </c>
      <c r="AE20" s="315" cm="1">
        <f t="array" ref="AE20">-SUMPRODUCT(
  desp[valor] *
  (desp[nucleo]=AE$1) *
  (desp[centro.negocio]=$Y20) *
  (desp[data.pagamento]&gt;=DATE(YEAR(inputs!$A$1),MONTH(inputs!$A$1),1)) *
  (desp[data.pagamento]&lt;EOMONTH(inputs!$A$1,0)+1)
)</f>
        <v>0</v>
      </c>
      <c r="AF20" s="315" cm="1">
        <f t="array" ref="AF20">-SUMPRODUCT(
  desp[valor] *
  (desp[nucleo]=AF$1) *
  (desp[centro.negocio]=$Y20) *
  (desp[data.pagamento]&gt;=DATE(YEAR(inputs!$A$1),MONTH(inputs!$A$1),1)) *
  (desp[data.pagamento]&lt;EOMONTH(inputs!$A$1,0)+1)
)</f>
        <v>0</v>
      </c>
      <c r="AG20" s="315" cm="1">
        <f t="array" ref="AG20">-SUMPRODUCT(
  desp[valor] *
  (desp[nucleo]=AG$1) *
  (desp[centro.negocio]=$Y20) *
  (desp[data.pagamento]&gt;=DATE(YEAR(inputs!$A$1),MONTH(inputs!$A$1),1)) *
  (desp[data.pagamento]&lt;EOMONTH(inputs!$A$1,0)+1)
)</f>
        <v>0</v>
      </c>
      <c r="AH20" s="316" cm="1">
        <f t="array" ref="AH20">-SUMPRODUCT(
  desp[valor] *
  (desp[nucleo]=AH$1) *
  (desp[centro.negocio]=$Y20) *
  (desp[data.pagamento]&gt;=DATE(YEAR(inputs!$A$1),MONTH(inputs!$A$1),1)) *
  (desp[data.pagamento]&lt;EOMONTH(inputs!$A$1,0)+1)
)</f>
        <v>0</v>
      </c>
      <c r="AJ20" s="247">
        <f t="shared" si="5"/>
        <v>0</v>
      </c>
      <c r="BT20" s="243" t="s">
        <v>656</v>
      </c>
      <c r="BU20" s="243" t="s">
        <v>390</v>
      </c>
      <c r="BV20" s="244" t="s">
        <v>522</v>
      </c>
      <c r="BW20" s="245">
        <v>0</v>
      </c>
      <c r="BX20" s="245">
        <v>0</v>
      </c>
      <c r="BY20" s="245">
        <v>0</v>
      </c>
      <c r="BZ20" s="245">
        <v>0</v>
      </c>
      <c r="CA20" s="245">
        <v>0</v>
      </c>
      <c r="CB20" s="245">
        <v>0</v>
      </c>
      <c r="CC20" s="245">
        <v>0</v>
      </c>
      <c r="CD20" s="245">
        <v>0</v>
      </c>
      <c r="CE20" s="245">
        <v>0</v>
      </c>
      <c r="CF20" s="245">
        <v>0</v>
      </c>
      <c r="CG20" s="245">
        <v>0</v>
      </c>
      <c r="CH20" s="245">
        <v>0</v>
      </c>
      <c r="CI20" s="245">
        <v>0</v>
      </c>
      <c r="CJ20" s="245">
        <v>0</v>
      </c>
    </row>
    <row r="21" spans="1:88" outlineLevel="2" x14ac:dyDescent="0.25">
      <c r="A21" s="246" t="s">
        <v>783</v>
      </c>
      <c r="B21" s="246" t="s">
        <v>785</v>
      </c>
      <c r="C21" s="193" t="s">
        <v>522</v>
      </c>
      <c r="D21" s="247">
        <f ca="1">SUMIFS(rec.uni[2025-01-01],
INDIRECT("rec.uni[natureza]"),"pro.soluto",
INDIRECT("rec.uni[empresa]"),$B21)</f>
        <v>0</v>
      </c>
      <c r="E21" s="247">
        <f ca="1">SUMIFS(rec.uni[2025-02-01],
INDIRECT("rec.uni[natureza]"),"pro.soluto",
INDIRECT("rec.uni[empresa]"),$B21)</f>
        <v>0</v>
      </c>
      <c r="F21" s="247">
        <f ca="1">SUMIFS(rec.uni[2025-03-01],
INDIRECT("rec.uni[natureza]"),"pro.soluto",
INDIRECT("rec.uni[empresa]"),$B21)</f>
        <v>0</v>
      </c>
      <c r="G21" s="247">
        <f ca="1">SUMIFS(rec.uni[2025-04-01],
INDIRECT("rec.uni[natureza]"),"pro.soluto",
INDIRECT("rec.uni[empresa]"),$B21)</f>
        <v>0</v>
      </c>
      <c r="H21" s="247">
        <f ca="1">SUMIFS(rec.uni[2025-05-01],
INDIRECT("rec.uni[natureza]"),"pro.soluto",
INDIRECT("rec.uni[empresa]"),$B21)</f>
        <v>0</v>
      </c>
      <c r="I21" s="247">
        <f ca="1">SUMIFS(rec.uni[2025-06-01],
INDIRECT("rec.uni[natureza]"),"pro.soluto",
INDIRECT("rec.uni[empresa]"),$B21)</f>
        <v>0</v>
      </c>
      <c r="J21" s="247">
        <f ca="1">SUMIFS(rec.uni[2025-07-01],
INDIRECT("rec.uni[natureza]"),"pro.soluto",
INDIRECT("rec.uni[empresa]"),$B21)</f>
        <v>0</v>
      </c>
      <c r="K21" s="247">
        <f ca="1">SUMIFS(rec.uni[2025-08-01],
INDIRECT("rec.uni[natureza]"),"pro.soluto",
INDIRECT("rec.uni[empresa]"),$B21)</f>
        <v>0</v>
      </c>
      <c r="L21" s="247">
        <f ca="1">SUMIFS(rec.uni[2025-09-01],
INDIRECT("rec.uni[natureza]"),"pro.soluto",
INDIRECT("rec.uni[empresa]"),$B21)</f>
        <v>0</v>
      </c>
      <c r="M21" s="247">
        <f ca="1">SUMIFS(rec.uni[2025-10-01],
INDIRECT("rec.uni[natureza]"),"pro.soluto",
INDIRECT("rec.uni[empresa]"),$B21)</f>
        <v>0</v>
      </c>
      <c r="N21" s="247">
        <f ca="1">SUMIFS(rec.uni[2025-11-01],
INDIRECT("rec.uni[natureza]"),"pro.soluto",
INDIRECT("rec.uni[empresa]"),$B21)</f>
        <v>0</v>
      </c>
      <c r="O21" s="247">
        <f ca="1">SUMIFS(rec.uni[2025-12-01],
INDIRECT("rec.uni[natureza]"),"pro.soluto",
INDIRECT("rec.uni[empresa]"),$B21)</f>
        <v>0</v>
      </c>
      <c r="P21" s="247">
        <f ca="1">SUMIFS(rec.uni[2026-01-01],
INDIRECT("rec.uni[natureza]"),"pro.soluto",
INDIRECT("rec.uni[empresa]"),$B21)</f>
        <v>0</v>
      </c>
      <c r="Q21" s="247">
        <f ca="1">SUMIFS(rec.uni[2026-02-01],
INDIRECT("rec.uni[natureza]"),"pro.soluto",
INDIRECT("rec.uni[empresa]"),$B21)</f>
        <v>0</v>
      </c>
      <c r="R21" s="247">
        <f ca="1">SUMIFS(rec.uni[2026-03-01],
INDIRECT("rec.uni[natureza]"),"pro.soluto",
INDIRECT("rec.uni[empresa]"),$B21)</f>
        <v>0</v>
      </c>
      <c r="T21" s="239">
        <f t="shared" ca="1" si="1"/>
        <v>0</v>
      </c>
      <c r="X21" s="243" t="s">
        <v>656</v>
      </c>
      <c r="Y21" s="332" t="s">
        <v>390</v>
      </c>
      <c r="Z21" s="315" cm="1">
        <f t="array" ref="Z21">-SUMPRODUCT(
  desp[valor] *
  (desp[nucleo]=Z$1) *
  (desp[centro.negocio]=$Y21) *
  (desp[data.pagamento]&gt;=DATE(YEAR(inputs!$A$1),MONTH(inputs!$A$1),1)) *
  (desp[data.pagamento]&lt;EOMONTH(inputs!$A$1,0)+1)
)</f>
        <v>0</v>
      </c>
      <c r="AA21" s="315" cm="1">
        <f t="array" ref="AA21">-SUMPRODUCT(
  desp[valor] *
  (desp[nucleo]=AA$1) *
  (desp[centro.negocio]=$Y21) *
  (desp[data.pagamento]&gt;=DATE(YEAR(inputs!$A$1),MONTH(inputs!$A$1),1)) *
  (desp[data.pagamento]&lt;EOMONTH(inputs!$A$1,0)+1)
)</f>
        <v>0</v>
      </c>
      <c r="AB21" s="315" cm="1">
        <f t="array" ref="AB21">-SUMPRODUCT(
  desp[valor] *
  (desp[nucleo]=AB$1) *
  (desp[centro.negocio]=$Y21) *
  (desp[data.pagamento]&gt;=DATE(YEAR(inputs!$A$1),MONTH(inputs!$A$1),1)) *
  (desp[data.pagamento]&lt;EOMONTH(inputs!$A$1,0)+1)
)</f>
        <v>0</v>
      </c>
      <c r="AC21" s="315" cm="1">
        <f t="array" ref="AC21">-SUMPRODUCT(
  desp[valor] *
  (desp[nucleo]=AC$1) *
  (desp[centro.negocio]=$Y21) *
  (desp[data.pagamento]&gt;=DATE(YEAR(inputs!$A$1),MONTH(inputs!$A$1),1)) *
  (desp[data.pagamento]&lt;EOMONTH(inputs!$A$1,0)+1)
)</f>
        <v>0</v>
      </c>
      <c r="AD21" s="315" cm="1">
        <f t="array" ref="AD21">-SUMPRODUCT(
  desp[valor] *
  (desp[nucleo]=AD$1) *
  (desp[centro.negocio]=$Y21) *
  (desp[data.pagamento]&gt;=DATE(YEAR(inputs!$A$1),MONTH(inputs!$A$1),1)) *
  (desp[data.pagamento]&lt;EOMONTH(inputs!$A$1,0)+1)
)</f>
        <v>0</v>
      </c>
      <c r="AE21" s="315" cm="1">
        <f t="array" ref="AE21">-SUMPRODUCT(
  desp[valor] *
  (desp[nucleo]=AE$1) *
  (desp[centro.negocio]=$Y21) *
  (desp[data.pagamento]&gt;=DATE(YEAR(inputs!$A$1),MONTH(inputs!$A$1),1)) *
  (desp[data.pagamento]&lt;EOMONTH(inputs!$A$1,0)+1)
)</f>
        <v>0</v>
      </c>
      <c r="AF21" s="315" cm="1">
        <f t="array" ref="AF21">-SUMPRODUCT(
  desp[valor] *
  (desp[nucleo]=AF$1) *
  (desp[centro.negocio]=$Y21) *
  (desp[data.pagamento]&gt;=DATE(YEAR(inputs!$A$1),MONTH(inputs!$A$1),1)) *
  (desp[data.pagamento]&lt;EOMONTH(inputs!$A$1,0)+1)
)</f>
        <v>0</v>
      </c>
      <c r="AG21" s="315" cm="1">
        <f t="array" ref="AG21">-SUMPRODUCT(
  desp[valor] *
  (desp[nucleo]=AG$1) *
  (desp[centro.negocio]=$Y21) *
  (desp[data.pagamento]&gt;=DATE(YEAR(inputs!$A$1),MONTH(inputs!$A$1),1)) *
  (desp[data.pagamento]&lt;EOMONTH(inputs!$A$1,0)+1)
)</f>
        <v>0</v>
      </c>
      <c r="AH21" s="316" cm="1">
        <f t="array" ref="AH21">-SUMPRODUCT(
  desp[valor] *
  (desp[nucleo]=AH$1) *
  (desp[centro.negocio]=$Y21) *
  (desp[data.pagamento]&gt;=DATE(YEAR(inputs!$A$1),MONTH(inputs!$A$1),1)) *
  (desp[data.pagamento]&lt;EOMONTH(inputs!$A$1,0)+1)
)</f>
        <v>0</v>
      </c>
      <c r="AJ21" s="247">
        <f t="shared" si="5"/>
        <v>0</v>
      </c>
      <c r="BT21" s="243" t="s">
        <v>669</v>
      </c>
      <c r="BU21" s="243" t="s">
        <v>385</v>
      </c>
      <c r="BV21" s="244" t="s">
        <v>522</v>
      </c>
      <c r="BW21" s="245">
        <v>0</v>
      </c>
      <c r="BX21" s="245">
        <v>0</v>
      </c>
      <c r="BY21" s="245">
        <v>0</v>
      </c>
      <c r="BZ21" s="245">
        <v>0</v>
      </c>
      <c r="CA21" s="245">
        <v>0</v>
      </c>
      <c r="CB21" s="245">
        <v>0</v>
      </c>
      <c r="CC21" s="245">
        <v>0</v>
      </c>
      <c r="CD21" s="245">
        <v>0</v>
      </c>
      <c r="CE21" s="245">
        <v>0</v>
      </c>
      <c r="CF21" s="245">
        <v>0</v>
      </c>
      <c r="CG21" s="245">
        <v>0</v>
      </c>
      <c r="CH21" s="245">
        <v>0</v>
      </c>
      <c r="CI21" s="245">
        <v>0</v>
      </c>
      <c r="CJ21" s="245">
        <v>0</v>
      </c>
    </row>
    <row r="22" spans="1:88" outlineLevel="1" x14ac:dyDescent="0.25">
      <c r="A22" s="243" t="s">
        <v>530</v>
      </c>
      <c r="B22" s="243" t="s">
        <v>531</v>
      </c>
      <c r="C22" s="244" t="s">
        <v>522</v>
      </c>
      <c r="D22" s="245">
        <f t="shared" ref="D22:R22" ca="1" si="11">SUM(D$23:D$28)</f>
        <v>0</v>
      </c>
      <c r="E22" s="245">
        <f t="shared" ca="1" si="11"/>
        <v>0</v>
      </c>
      <c r="F22" s="245">
        <f t="shared" ca="1" si="11"/>
        <v>0</v>
      </c>
      <c r="G22" s="245">
        <f t="shared" ca="1" si="11"/>
        <v>0</v>
      </c>
      <c r="H22" s="245">
        <f t="shared" ca="1" si="11"/>
        <v>0</v>
      </c>
      <c r="I22" s="245">
        <f t="shared" ca="1" si="11"/>
        <v>0</v>
      </c>
      <c r="J22" s="245">
        <f t="shared" ca="1" si="11"/>
        <v>0</v>
      </c>
      <c r="K22" s="245">
        <f t="shared" ca="1" si="11"/>
        <v>0</v>
      </c>
      <c r="L22" s="245">
        <f t="shared" ca="1" si="11"/>
        <v>0</v>
      </c>
      <c r="M22" s="245">
        <f t="shared" ca="1" si="11"/>
        <v>0</v>
      </c>
      <c r="N22" s="245">
        <f t="shared" ca="1" si="11"/>
        <v>0</v>
      </c>
      <c r="O22" s="245">
        <f t="shared" ca="1" si="11"/>
        <v>0</v>
      </c>
      <c r="P22" s="245">
        <f t="shared" ca="1" si="11"/>
        <v>0</v>
      </c>
      <c r="Q22" s="245">
        <f t="shared" ca="1" si="11"/>
        <v>0</v>
      </c>
      <c r="R22" s="245">
        <f t="shared" ca="1" si="11"/>
        <v>0</v>
      </c>
      <c r="T22" s="239">
        <f t="shared" ca="1" si="1"/>
        <v>0</v>
      </c>
      <c r="X22" s="243" t="s">
        <v>669</v>
      </c>
      <c r="Y22" s="332" t="s">
        <v>385</v>
      </c>
      <c r="Z22" s="315" cm="1">
        <f t="array" ref="Z22">-SUMPRODUCT(
  desp[valor] *
  (desp[nucleo]=Z$1) *
  (desp[centro.negocio]=$Y22) *
  (desp[data.pagamento]&gt;=DATE(YEAR(inputs!$A$1),MONTH(inputs!$A$1),1)) *
  (desp[data.pagamento]&lt;EOMONTH(inputs!$A$1,0)+1)
)</f>
        <v>0</v>
      </c>
      <c r="AA22" s="315" cm="1">
        <f t="array" ref="AA22">-SUMPRODUCT(
  desp[valor] *
  (desp[nucleo]=AA$1) *
  (desp[centro.negocio]=$Y22) *
  (desp[data.pagamento]&gt;=DATE(YEAR(inputs!$A$1),MONTH(inputs!$A$1),1)) *
  (desp[data.pagamento]&lt;EOMONTH(inputs!$A$1,0)+1)
)</f>
        <v>0</v>
      </c>
      <c r="AB22" s="315" cm="1">
        <f t="array" ref="AB22">-SUMPRODUCT(
  desp[valor] *
  (desp[nucleo]=AB$1) *
  (desp[centro.negocio]=$Y22) *
  (desp[data.pagamento]&gt;=DATE(YEAR(inputs!$A$1),MONTH(inputs!$A$1),1)) *
  (desp[data.pagamento]&lt;EOMONTH(inputs!$A$1,0)+1)
)</f>
        <v>0</v>
      </c>
      <c r="AC22" s="315" cm="1">
        <f t="array" ref="AC22">-SUMPRODUCT(
  desp[valor] *
  (desp[nucleo]=AC$1) *
  (desp[centro.negocio]=$Y22) *
  (desp[data.pagamento]&gt;=DATE(YEAR(inputs!$A$1),MONTH(inputs!$A$1),1)) *
  (desp[data.pagamento]&lt;EOMONTH(inputs!$A$1,0)+1)
)</f>
        <v>0</v>
      </c>
      <c r="AD22" s="315" cm="1">
        <f t="array" ref="AD22">-SUMPRODUCT(
  desp[valor] *
  (desp[nucleo]=AD$1) *
  (desp[centro.negocio]=$Y22) *
  (desp[data.pagamento]&gt;=DATE(YEAR(inputs!$A$1),MONTH(inputs!$A$1),1)) *
  (desp[data.pagamento]&lt;EOMONTH(inputs!$A$1,0)+1)
)</f>
        <v>0</v>
      </c>
      <c r="AE22" s="315" cm="1">
        <f t="array" ref="AE22">-SUMPRODUCT(
  desp[valor] *
  (desp[nucleo]=AE$1) *
  (desp[centro.negocio]=$Y22) *
  (desp[data.pagamento]&gt;=DATE(YEAR(inputs!$A$1),MONTH(inputs!$A$1),1)) *
  (desp[data.pagamento]&lt;EOMONTH(inputs!$A$1,0)+1)
)</f>
        <v>0</v>
      </c>
      <c r="AF22" s="315" cm="1">
        <f t="array" ref="AF22">-SUMPRODUCT(
  desp[valor] *
  (desp[nucleo]=AF$1) *
  (desp[centro.negocio]=$Y22) *
  (desp[data.pagamento]&gt;=DATE(YEAR(inputs!$A$1),MONTH(inputs!$A$1),1)) *
  (desp[data.pagamento]&lt;EOMONTH(inputs!$A$1,0)+1)
)</f>
        <v>0</v>
      </c>
      <c r="AG22" s="315" cm="1">
        <f t="array" ref="AG22">-SUMPRODUCT(
  desp[valor] *
  (desp[nucleo]=AG$1) *
  (desp[centro.negocio]=$Y22) *
  (desp[data.pagamento]&gt;=DATE(YEAR(inputs!$A$1),MONTH(inputs!$A$1),1)) *
  (desp[data.pagamento]&lt;EOMONTH(inputs!$A$1,0)+1)
)</f>
        <v>0</v>
      </c>
      <c r="AH22" s="316" cm="1">
        <f t="array" ref="AH22">-SUMPRODUCT(
  desp[valor] *
  (desp[nucleo]=AH$1) *
  (desp[centro.negocio]=$Y22) *
  (desp[data.pagamento]&gt;=DATE(YEAR(inputs!$A$1),MONTH(inputs!$A$1),1)) *
  (desp[data.pagamento]&lt;EOMONTH(inputs!$A$1,0)+1)
)</f>
        <v>0</v>
      </c>
      <c r="AJ22" s="247">
        <f t="shared" si="5"/>
        <v>0</v>
      </c>
      <c r="BT22" s="243" t="s">
        <v>674</v>
      </c>
      <c r="BU22" s="243" t="s">
        <v>361</v>
      </c>
      <c r="BV22" s="244" t="s">
        <v>522</v>
      </c>
      <c r="BW22" s="245">
        <v>0</v>
      </c>
      <c r="BX22" s="245">
        <v>0</v>
      </c>
      <c r="BY22" s="245">
        <v>0</v>
      </c>
      <c r="BZ22" s="245">
        <v>0</v>
      </c>
      <c r="CA22" s="245">
        <v>0</v>
      </c>
      <c r="CB22" s="245">
        <v>0</v>
      </c>
      <c r="CC22" s="245">
        <v>0</v>
      </c>
      <c r="CD22" s="245">
        <v>0</v>
      </c>
      <c r="CE22" s="245">
        <v>0</v>
      </c>
      <c r="CF22" s="245">
        <v>0</v>
      </c>
      <c r="CG22" s="245">
        <v>0</v>
      </c>
      <c r="CH22" s="245">
        <v>0</v>
      </c>
      <c r="CI22" s="245">
        <v>0</v>
      </c>
      <c r="CJ22" s="245">
        <v>0</v>
      </c>
    </row>
    <row r="23" spans="1:88" outlineLevel="2" x14ac:dyDescent="0.25">
      <c r="A23" s="246" t="s">
        <v>532</v>
      </c>
      <c r="B23" s="246" t="s">
        <v>17</v>
      </c>
      <c r="C23" s="193" t="s">
        <v>533</v>
      </c>
      <c r="D23" s="247">
        <f ca="1">SUMIFS(rec.uni[2025-01-01],
INDIRECT("rec.uni[natureza]"),"taxa.extra",
INDIRECT("rec.uni[empresa]"),$B23)</f>
        <v>0</v>
      </c>
      <c r="E23" s="247">
        <f ca="1">SUMIFS(rec.uni[2025-02-01],
INDIRECT("rec.uni[natureza]"),"taxa.extra",
INDIRECT("rec.uni[empresa]"),$B23)</f>
        <v>0</v>
      </c>
      <c r="F23" s="247">
        <f ca="1">SUMIFS(rec.uni[2025-03-01],
INDIRECT("rec.uni[natureza]"),"taxa.extra",
INDIRECT("rec.uni[empresa]"),$B23)</f>
        <v>0</v>
      </c>
      <c r="G23" s="247">
        <f ca="1">SUMIFS(rec.uni[2025-04-01],
INDIRECT("rec.uni[natureza]"),"taxa.extra",
INDIRECT("rec.uni[empresa]"),$B23)</f>
        <v>0</v>
      </c>
      <c r="H23" s="247">
        <f ca="1">SUMIFS(rec.uni[2025-05-01],
INDIRECT("rec.uni[natureza]"),"taxa.extra",
INDIRECT("rec.uni[empresa]"),$B23)</f>
        <v>0</v>
      </c>
      <c r="I23" s="247">
        <f ca="1">SUMIFS(rec.uni[2025-06-01],
INDIRECT("rec.uni[natureza]"),"taxa.extra",
INDIRECT("rec.uni[empresa]"),$B23)</f>
        <v>0</v>
      </c>
      <c r="J23" s="247">
        <f ca="1">SUMIFS(rec.uni[2025-07-01],
INDIRECT("rec.uni[natureza]"),"taxa.extra",
INDIRECT("rec.uni[empresa]"),$B23)</f>
        <v>0</v>
      </c>
      <c r="K23" s="247">
        <f ca="1">SUMIFS(rec.uni[2025-08-01],
INDIRECT("rec.uni[natureza]"),"taxa.extra",
INDIRECT("rec.uni[empresa]"),$B23)</f>
        <v>0</v>
      </c>
      <c r="L23" s="247">
        <f ca="1">SUMIFS(rec.uni[2025-09-01],
INDIRECT("rec.uni[natureza]"),"taxa.extra",
INDIRECT("rec.uni[empresa]"),$B23)</f>
        <v>0</v>
      </c>
      <c r="M23" s="247">
        <f ca="1">SUMIFS(rec.uni[2025-10-01],
INDIRECT("rec.uni[natureza]"),"taxa.extra",
INDIRECT("rec.uni[empresa]"),$B23)</f>
        <v>0</v>
      </c>
      <c r="N23" s="247">
        <f ca="1">SUMIFS(rec.uni[2025-11-01],
INDIRECT("rec.uni[natureza]"),"taxa.extra",
INDIRECT("rec.uni[empresa]"),$B23)</f>
        <v>0</v>
      </c>
      <c r="O23" s="247">
        <f ca="1">SUMIFS(rec.uni[2025-12-01],
INDIRECT("rec.uni[natureza]"),"taxa.extra",
INDIRECT("rec.uni[empresa]"),$B23)</f>
        <v>0</v>
      </c>
      <c r="P23" s="247">
        <f ca="1">SUMIFS(rec.uni[2026-01-01],
INDIRECT("rec.uni[natureza]"),"taxa.extra",
INDIRECT("rec.uni[empresa]"),$B23)</f>
        <v>0</v>
      </c>
      <c r="Q23" s="247">
        <f ca="1">SUMIFS(rec.uni[2026-02-01],
INDIRECT("rec.uni[natureza]"),"taxa.extra",
INDIRECT("rec.uni[empresa]"),$B23)</f>
        <v>0</v>
      </c>
      <c r="R23" s="247">
        <f ca="1">SUMIFS(rec.uni[2026-03-01],
INDIRECT("rec.uni[natureza]"),"taxa.extra",
INDIRECT("rec.uni[empresa]"),$B23)</f>
        <v>0</v>
      </c>
      <c r="T23" s="239">
        <f t="shared" ca="1" si="1"/>
        <v>0</v>
      </c>
      <c r="X23" s="243" t="s">
        <v>674</v>
      </c>
      <c r="Y23" s="332" t="s">
        <v>361</v>
      </c>
      <c r="Z23" s="315" cm="1">
        <f t="array" ref="Z23">-SUMPRODUCT(
  desp[valor] *
  (desp[nucleo]=Z$1) *
  (desp[centro.negocio]=$Y23) *
  (desp[data.pagamento]&gt;=DATE(YEAR(inputs!$A$1),MONTH(inputs!$A$1),1)) *
  (desp[data.pagamento]&lt;EOMONTH(inputs!$A$1,0)+1)
)</f>
        <v>0</v>
      </c>
      <c r="AA23" s="315" cm="1">
        <f t="array" ref="AA23">-SUMPRODUCT(
  desp[valor] *
  (desp[nucleo]=AA$1) *
  (desp[centro.negocio]=$Y23) *
  (desp[data.pagamento]&gt;=DATE(YEAR(inputs!$A$1),MONTH(inputs!$A$1),1)) *
  (desp[data.pagamento]&lt;EOMONTH(inputs!$A$1,0)+1)
)</f>
        <v>0</v>
      </c>
      <c r="AB23" s="315" cm="1">
        <f t="array" ref="AB23">-SUMPRODUCT(
  desp[valor] *
  (desp[nucleo]=AB$1) *
  (desp[centro.negocio]=$Y23) *
  (desp[data.pagamento]&gt;=DATE(YEAR(inputs!$A$1),MONTH(inputs!$A$1),1)) *
  (desp[data.pagamento]&lt;EOMONTH(inputs!$A$1,0)+1)
)</f>
        <v>0</v>
      </c>
      <c r="AC23" s="315" cm="1">
        <f t="array" ref="AC23">-SUMPRODUCT(
  desp[valor] *
  (desp[nucleo]=AC$1) *
  (desp[centro.negocio]=$Y23) *
  (desp[data.pagamento]&gt;=DATE(YEAR(inputs!$A$1),MONTH(inputs!$A$1),1)) *
  (desp[data.pagamento]&lt;EOMONTH(inputs!$A$1,0)+1)
)</f>
        <v>0</v>
      </c>
      <c r="AD23" s="315" cm="1">
        <f t="array" ref="AD23">-SUMPRODUCT(
  desp[valor] *
  (desp[nucleo]=AD$1) *
  (desp[centro.negocio]=$Y23) *
  (desp[data.pagamento]&gt;=DATE(YEAR(inputs!$A$1),MONTH(inputs!$A$1),1)) *
  (desp[data.pagamento]&lt;EOMONTH(inputs!$A$1,0)+1)
)</f>
        <v>0</v>
      </c>
      <c r="AE23" s="315" cm="1">
        <f t="array" ref="AE23">-SUMPRODUCT(
  desp[valor] *
  (desp[nucleo]=AE$1) *
  (desp[centro.negocio]=$Y23) *
  (desp[data.pagamento]&gt;=DATE(YEAR(inputs!$A$1),MONTH(inputs!$A$1),1)) *
  (desp[data.pagamento]&lt;EOMONTH(inputs!$A$1,0)+1)
)</f>
        <v>0</v>
      </c>
      <c r="AF23" s="315" cm="1">
        <f t="array" ref="AF23">-SUMPRODUCT(
  desp[valor] *
  (desp[nucleo]=AF$1) *
  (desp[centro.negocio]=$Y23) *
  (desp[data.pagamento]&gt;=DATE(YEAR(inputs!$A$1),MONTH(inputs!$A$1),1)) *
  (desp[data.pagamento]&lt;EOMONTH(inputs!$A$1,0)+1)
)</f>
        <v>0</v>
      </c>
      <c r="AG23" s="315" cm="1">
        <f t="array" ref="AG23">-SUMPRODUCT(
  desp[valor] *
  (desp[nucleo]=AG$1) *
  (desp[centro.negocio]=$Y23) *
  (desp[data.pagamento]&gt;=DATE(YEAR(inputs!$A$1),MONTH(inputs!$A$1),1)) *
  (desp[data.pagamento]&lt;EOMONTH(inputs!$A$1,0)+1)
)</f>
        <v>0</v>
      </c>
      <c r="AH23" s="316" cm="1">
        <f t="array" ref="AH23">-SUMPRODUCT(
  desp[valor] *
  (desp[nucleo]=AH$1) *
  (desp[centro.negocio]=$Y23) *
  (desp[data.pagamento]&gt;=DATE(YEAR(inputs!$A$1),MONTH(inputs!$A$1),1)) *
  (desp[data.pagamento]&lt;EOMONTH(inputs!$A$1,0)+1)
)</f>
        <v>0</v>
      </c>
      <c r="AJ23" s="247">
        <f t="shared" si="5"/>
        <v>0</v>
      </c>
      <c r="BT23" s="243" t="s">
        <v>677</v>
      </c>
      <c r="BU23" s="243" t="s">
        <v>377</v>
      </c>
      <c r="BV23" s="244" t="s">
        <v>522</v>
      </c>
      <c r="BW23" s="245">
        <v>0</v>
      </c>
      <c r="BX23" s="245">
        <v>0</v>
      </c>
      <c r="BY23" s="245">
        <v>0</v>
      </c>
      <c r="BZ23" s="245">
        <v>0</v>
      </c>
      <c r="CA23" s="245">
        <v>0</v>
      </c>
      <c r="CB23" s="245">
        <v>0</v>
      </c>
      <c r="CC23" s="245">
        <v>0</v>
      </c>
      <c r="CD23" s="245">
        <v>0</v>
      </c>
      <c r="CE23" s="245">
        <v>0</v>
      </c>
      <c r="CF23" s="245">
        <v>0</v>
      </c>
      <c r="CG23" s="245">
        <v>0</v>
      </c>
      <c r="CH23" s="245">
        <v>0</v>
      </c>
      <c r="CI23" s="245">
        <v>0</v>
      </c>
      <c r="CJ23" s="245">
        <v>0</v>
      </c>
    </row>
    <row r="24" spans="1:88" outlineLevel="2" x14ac:dyDescent="0.25">
      <c r="A24" s="246" t="s">
        <v>534</v>
      </c>
      <c r="B24" s="246" t="s">
        <v>14</v>
      </c>
      <c r="C24" s="193" t="s">
        <v>533</v>
      </c>
      <c r="D24" s="247">
        <f ca="1">SUMIFS(rec.uni[2025-01-01],
INDIRECT("rec.uni[natureza]"),"taxa.extra",
INDIRECT("rec.uni[empresa]"),$B24)</f>
        <v>0</v>
      </c>
      <c r="E24" s="247">
        <f ca="1">SUMIFS(rec.uni[2025-02-01],
INDIRECT("rec.uni[natureza]"),"taxa.extra",
INDIRECT("rec.uni[empresa]"),$B24)</f>
        <v>0</v>
      </c>
      <c r="F24" s="247">
        <f ca="1">SUMIFS(rec.uni[2025-03-01],
INDIRECT("rec.uni[natureza]"),"taxa.extra",
INDIRECT("rec.uni[empresa]"),$B24)</f>
        <v>0</v>
      </c>
      <c r="G24" s="247">
        <f ca="1">SUMIFS(rec.uni[2025-04-01],
INDIRECT("rec.uni[natureza]"),"taxa.extra",
INDIRECT("rec.uni[empresa]"),$B24)</f>
        <v>0</v>
      </c>
      <c r="H24" s="247">
        <f ca="1">SUMIFS(rec.uni[2025-05-01],
INDIRECT("rec.uni[natureza]"),"taxa.extra",
INDIRECT("rec.uni[empresa]"),$B24)</f>
        <v>0</v>
      </c>
      <c r="I24" s="247">
        <f ca="1">SUMIFS(rec.uni[2025-06-01],
INDIRECT("rec.uni[natureza]"),"taxa.extra",
INDIRECT("rec.uni[empresa]"),$B24)</f>
        <v>0</v>
      </c>
      <c r="J24" s="247">
        <f ca="1">SUMIFS(rec.uni[2025-07-01],
INDIRECT("rec.uni[natureza]"),"taxa.extra",
INDIRECT("rec.uni[empresa]"),$B24)</f>
        <v>0</v>
      </c>
      <c r="K24" s="247">
        <f ca="1">SUMIFS(rec.uni[2025-08-01],
INDIRECT("rec.uni[natureza]"),"taxa.extra",
INDIRECT("rec.uni[empresa]"),$B24)</f>
        <v>0</v>
      </c>
      <c r="L24" s="247">
        <f ca="1">SUMIFS(rec.uni[2025-09-01],
INDIRECT("rec.uni[natureza]"),"taxa.extra",
INDIRECT("rec.uni[empresa]"),$B24)</f>
        <v>0</v>
      </c>
      <c r="M24" s="247">
        <f ca="1">SUMIFS(rec.uni[2025-10-01],
INDIRECT("rec.uni[natureza]"),"taxa.extra",
INDIRECT("rec.uni[empresa]"),$B24)</f>
        <v>0</v>
      </c>
      <c r="N24" s="247">
        <f ca="1">SUMIFS(rec.uni[2025-11-01],
INDIRECT("rec.uni[natureza]"),"taxa.extra",
INDIRECT("rec.uni[empresa]"),$B24)</f>
        <v>0</v>
      </c>
      <c r="O24" s="247">
        <f ca="1">SUMIFS(rec.uni[2025-12-01],
INDIRECT("rec.uni[natureza]"),"taxa.extra",
INDIRECT("rec.uni[empresa]"),$B24)</f>
        <v>0</v>
      </c>
      <c r="P24" s="247">
        <f ca="1">SUMIFS(rec.uni[2026-01-01],
INDIRECT("rec.uni[natureza]"),"taxa.extra",
INDIRECT("rec.uni[empresa]"),$B24)</f>
        <v>0</v>
      </c>
      <c r="Q24" s="247">
        <f ca="1">SUMIFS(rec.uni[2026-02-01],
INDIRECT("rec.uni[natureza]"),"taxa.extra",
INDIRECT("rec.uni[empresa]"),$B24)</f>
        <v>0</v>
      </c>
      <c r="R24" s="247">
        <f ca="1">SUMIFS(rec.uni[2026-03-01],
INDIRECT("rec.uni[natureza]"),"taxa.extra",
INDIRECT("rec.uni[empresa]"),$B24)</f>
        <v>0</v>
      </c>
      <c r="T24" s="239">
        <f t="shared" ca="1" si="1"/>
        <v>0</v>
      </c>
      <c r="X24" s="243" t="s">
        <v>677</v>
      </c>
      <c r="Y24" s="332" t="s">
        <v>377</v>
      </c>
      <c r="Z24" s="315" cm="1">
        <f t="array" ref="Z24">-SUMPRODUCT(
  desp[valor] *
  (desp[nucleo]=Z$1) *
  (desp[centro.negocio]=$Y24) *
  (desp[data.pagamento]&gt;=DATE(YEAR(inputs!$A$1),MONTH(inputs!$A$1),1)) *
  (desp[data.pagamento]&lt;EOMONTH(inputs!$A$1,0)+1)
)</f>
        <v>0</v>
      </c>
      <c r="AA24" s="315" cm="1">
        <f t="array" ref="AA24">-SUMPRODUCT(
  desp[valor] *
  (desp[nucleo]=AA$1) *
  (desp[centro.negocio]=$Y24) *
  (desp[data.pagamento]&gt;=DATE(YEAR(inputs!$A$1),MONTH(inputs!$A$1),1)) *
  (desp[data.pagamento]&lt;EOMONTH(inputs!$A$1,0)+1)
)</f>
        <v>0</v>
      </c>
      <c r="AB24" s="315" cm="1">
        <f t="array" ref="AB24">-SUMPRODUCT(
  desp[valor] *
  (desp[nucleo]=AB$1) *
  (desp[centro.negocio]=$Y24) *
  (desp[data.pagamento]&gt;=DATE(YEAR(inputs!$A$1),MONTH(inputs!$A$1),1)) *
  (desp[data.pagamento]&lt;EOMONTH(inputs!$A$1,0)+1)
)</f>
        <v>0</v>
      </c>
      <c r="AC24" s="315" cm="1">
        <f t="array" ref="AC24">-SUMPRODUCT(
  desp[valor] *
  (desp[nucleo]=AC$1) *
  (desp[centro.negocio]=$Y24) *
  (desp[data.pagamento]&gt;=DATE(YEAR(inputs!$A$1),MONTH(inputs!$A$1),1)) *
  (desp[data.pagamento]&lt;EOMONTH(inputs!$A$1,0)+1)
)</f>
        <v>0</v>
      </c>
      <c r="AD24" s="315" cm="1">
        <f t="array" ref="AD24">-SUMPRODUCT(
  desp[valor] *
  (desp[nucleo]=AD$1) *
  (desp[centro.negocio]=$Y24) *
  (desp[data.pagamento]&gt;=DATE(YEAR(inputs!$A$1),MONTH(inputs!$A$1),1)) *
  (desp[data.pagamento]&lt;EOMONTH(inputs!$A$1,0)+1)
)</f>
        <v>0</v>
      </c>
      <c r="AE24" s="315" cm="1">
        <f t="array" ref="AE24">-SUMPRODUCT(
  desp[valor] *
  (desp[nucleo]=AE$1) *
  (desp[centro.negocio]=$Y24) *
  (desp[data.pagamento]&gt;=DATE(YEAR(inputs!$A$1),MONTH(inputs!$A$1),1)) *
  (desp[data.pagamento]&lt;EOMONTH(inputs!$A$1,0)+1)
)</f>
        <v>0</v>
      </c>
      <c r="AF24" s="315" cm="1">
        <f t="array" ref="AF24">-SUMPRODUCT(
  desp[valor] *
  (desp[nucleo]=AF$1) *
  (desp[centro.negocio]=$Y24) *
  (desp[data.pagamento]&gt;=DATE(YEAR(inputs!$A$1),MONTH(inputs!$A$1),1)) *
  (desp[data.pagamento]&lt;EOMONTH(inputs!$A$1,0)+1)
)</f>
        <v>0</v>
      </c>
      <c r="AG24" s="315" cm="1">
        <f t="array" ref="AG24">-SUMPRODUCT(
  desp[valor] *
  (desp[nucleo]=AG$1) *
  (desp[centro.negocio]=$Y24) *
  (desp[data.pagamento]&gt;=DATE(YEAR(inputs!$A$1),MONTH(inputs!$A$1),1)) *
  (desp[data.pagamento]&lt;EOMONTH(inputs!$A$1,0)+1)
)</f>
        <v>0</v>
      </c>
      <c r="AH24" s="316" cm="1">
        <f t="array" ref="AH24">-SUMPRODUCT(
  desp[valor] *
  (desp[nucleo]=AH$1) *
  (desp[centro.negocio]=$Y24) *
  (desp[data.pagamento]&gt;=DATE(YEAR(inputs!$A$1),MONTH(inputs!$A$1),1)) *
  (desp[data.pagamento]&lt;EOMONTH(inputs!$A$1,0)+1)
)</f>
        <v>0</v>
      </c>
      <c r="AJ24" s="247">
        <f t="shared" si="5"/>
        <v>0</v>
      </c>
      <c r="BT24" s="243" t="s">
        <v>679</v>
      </c>
      <c r="BU24" s="243" t="s">
        <v>403</v>
      </c>
      <c r="BV24" s="244" t="s">
        <v>522</v>
      </c>
      <c r="BW24" s="245">
        <v>0</v>
      </c>
      <c r="BX24" s="245">
        <v>0</v>
      </c>
      <c r="BY24" s="245">
        <v>0</v>
      </c>
      <c r="BZ24" s="245">
        <v>0</v>
      </c>
      <c r="CA24" s="245">
        <v>0</v>
      </c>
      <c r="CB24" s="245">
        <v>0</v>
      </c>
      <c r="CC24" s="245">
        <v>0</v>
      </c>
      <c r="CD24" s="245">
        <v>0</v>
      </c>
      <c r="CE24" s="245">
        <v>0</v>
      </c>
      <c r="CF24" s="245">
        <v>0</v>
      </c>
      <c r="CG24" s="245">
        <v>0</v>
      </c>
      <c r="CH24" s="245">
        <v>0</v>
      </c>
      <c r="CI24" s="245">
        <v>0</v>
      </c>
      <c r="CJ24" s="245">
        <v>0</v>
      </c>
    </row>
    <row r="25" spans="1:88" outlineLevel="2" x14ac:dyDescent="0.25">
      <c r="A25" s="246" t="s">
        <v>535</v>
      </c>
      <c r="B25" s="246" t="s">
        <v>13</v>
      </c>
      <c r="C25" s="193" t="s">
        <v>533</v>
      </c>
      <c r="D25" s="247">
        <f ca="1">SUMIFS(rec.uni[2025-01-01],
INDIRECT("rec.uni[natureza]"),"taxa.extra",
INDIRECT("rec.uni[empresa]"),$B25)</f>
        <v>0</v>
      </c>
      <c r="E25" s="247">
        <f ca="1">SUMIFS(rec.uni[2025-02-01],
INDIRECT("rec.uni[natureza]"),"taxa.extra",
INDIRECT("rec.uni[empresa]"),$B25)</f>
        <v>0</v>
      </c>
      <c r="F25" s="247">
        <f ca="1">SUMIFS(rec.uni[2025-03-01],
INDIRECT("rec.uni[natureza]"),"taxa.extra",
INDIRECT("rec.uni[empresa]"),$B25)</f>
        <v>0</v>
      </c>
      <c r="G25" s="247">
        <f ca="1">SUMIFS(rec.uni[2025-04-01],
INDIRECT("rec.uni[natureza]"),"taxa.extra",
INDIRECT("rec.uni[empresa]"),$B25)</f>
        <v>0</v>
      </c>
      <c r="H25" s="247">
        <f ca="1">SUMIFS(rec.uni[2025-05-01],
INDIRECT("rec.uni[natureza]"),"taxa.extra",
INDIRECT("rec.uni[empresa]"),$B25)</f>
        <v>0</v>
      </c>
      <c r="I25" s="247">
        <f ca="1">SUMIFS(rec.uni[2025-06-01],
INDIRECT("rec.uni[natureza]"),"taxa.extra",
INDIRECT("rec.uni[empresa]"),$B25)</f>
        <v>0</v>
      </c>
      <c r="J25" s="247">
        <f ca="1">SUMIFS(rec.uni[2025-07-01],
INDIRECT("rec.uni[natureza]"),"taxa.extra",
INDIRECT("rec.uni[empresa]"),$B25)</f>
        <v>0</v>
      </c>
      <c r="K25" s="247">
        <f ca="1">SUMIFS(rec.uni[2025-08-01],
INDIRECT("rec.uni[natureza]"),"taxa.extra",
INDIRECT("rec.uni[empresa]"),$B25)</f>
        <v>0</v>
      </c>
      <c r="L25" s="247">
        <f ca="1">SUMIFS(rec.uni[2025-09-01],
INDIRECT("rec.uni[natureza]"),"taxa.extra",
INDIRECT("rec.uni[empresa]"),$B25)</f>
        <v>0</v>
      </c>
      <c r="M25" s="247">
        <f ca="1">SUMIFS(rec.uni[2025-10-01],
INDIRECT("rec.uni[natureza]"),"taxa.extra",
INDIRECT("rec.uni[empresa]"),$B25)</f>
        <v>0</v>
      </c>
      <c r="N25" s="247">
        <f ca="1">SUMIFS(rec.uni[2025-11-01],
INDIRECT("rec.uni[natureza]"),"taxa.extra",
INDIRECT("rec.uni[empresa]"),$B25)</f>
        <v>0</v>
      </c>
      <c r="O25" s="247">
        <f ca="1">SUMIFS(rec.uni[2025-12-01],
INDIRECT("rec.uni[natureza]"),"taxa.extra",
INDIRECT("rec.uni[empresa]"),$B25)</f>
        <v>0</v>
      </c>
      <c r="P25" s="247">
        <f ca="1">SUMIFS(rec.uni[2026-01-01],
INDIRECT("rec.uni[natureza]"),"taxa.extra",
INDIRECT("rec.uni[empresa]"),$B25)</f>
        <v>0</v>
      </c>
      <c r="Q25" s="247">
        <f ca="1">SUMIFS(rec.uni[2026-02-01],
INDIRECT("rec.uni[natureza]"),"taxa.extra",
INDIRECT("rec.uni[empresa]"),$B25)</f>
        <v>0</v>
      </c>
      <c r="R25" s="247">
        <f ca="1">SUMIFS(rec.uni[2026-03-01],
INDIRECT("rec.uni[natureza]"),"taxa.extra",
INDIRECT("rec.uni[empresa]"),$B25)</f>
        <v>0</v>
      </c>
      <c r="T25" s="239">
        <f t="shared" ca="1" si="1"/>
        <v>0</v>
      </c>
      <c r="X25" s="243" t="s">
        <v>679</v>
      </c>
      <c r="Y25" s="332" t="s">
        <v>403</v>
      </c>
      <c r="Z25" s="315" cm="1">
        <f t="array" ref="Z25">-SUMPRODUCT(
  desp[valor] *
  (desp[nucleo]=Z$1) *
  (desp[centro.negocio]=$Y25) *
  (desp[data.pagamento]&gt;=DATE(YEAR(inputs!$A$1),MONTH(inputs!$A$1),1)) *
  (desp[data.pagamento]&lt;EOMONTH(inputs!$A$1,0)+1)
)</f>
        <v>0</v>
      </c>
      <c r="AA25" s="315" cm="1">
        <f t="array" ref="AA25">-SUMPRODUCT(
  desp[valor] *
  (desp[nucleo]=AA$1) *
  (desp[centro.negocio]=$Y25) *
  (desp[data.pagamento]&gt;=DATE(YEAR(inputs!$A$1),MONTH(inputs!$A$1),1)) *
  (desp[data.pagamento]&lt;EOMONTH(inputs!$A$1,0)+1)
)</f>
        <v>0</v>
      </c>
      <c r="AB25" s="315" cm="1">
        <f t="array" ref="AB25">-SUMPRODUCT(
  desp[valor] *
  (desp[nucleo]=AB$1) *
  (desp[centro.negocio]=$Y25) *
  (desp[data.pagamento]&gt;=DATE(YEAR(inputs!$A$1),MONTH(inputs!$A$1),1)) *
  (desp[data.pagamento]&lt;EOMONTH(inputs!$A$1,0)+1)
)</f>
        <v>0</v>
      </c>
      <c r="AC25" s="315" cm="1">
        <f t="array" ref="AC25">-SUMPRODUCT(
  desp[valor] *
  (desp[nucleo]=AC$1) *
  (desp[centro.negocio]=$Y25) *
  (desp[data.pagamento]&gt;=DATE(YEAR(inputs!$A$1),MONTH(inputs!$A$1),1)) *
  (desp[data.pagamento]&lt;EOMONTH(inputs!$A$1,0)+1)
)</f>
        <v>0</v>
      </c>
      <c r="AD25" s="315" cm="1">
        <f t="array" ref="AD25">-SUMPRODUCT(
  desp[valor] *
  (desp[nucleo]=AD$1) *
  (desp[centro.negocio]=$Y25) *
  (desp[data.pagamento]&gt;=DATE(YEAR(inputs!$A$1),MONTH(inputs!$A$1),1)) *
  (desp[data.pagamento]&lt;EOMONTH(inputs!$A$1,0)+1)
)</f>
        <v>0</v>
      </c>
      <c r="AE25" s="315" cm="1">
        <f t="array" ref="AE25">-SUMPRODUCT(
  desp[valor] *
  (desp[nucleo]=AE$1) *
  (desp[centro.negocio]=$Y25) *
  (desp[data.pagamento]&gt;=DATE(YEAR(inputs!$A$1),MONTH(inputs!$A$1),1)) *
  (desp[data.pagamento]&lt;EOMONTH(inputs!$A$1,0)+1)
)</f>
        <v>0</v>
      </c>
      <c r="AF25" s="315" cm="1">
        <f t="array" ref="AF25">-SUMPRODUCT(
  desp[valor] *
  (desp[nucleo]=AF$1) *
  (desp[centro.negocio]=$Y25) *
  (desp[data.pagamento]&gt;=DATE(YEAR(inputs!$A$1),MONTH(inputs!$A$1),1)) *
  (desp[data.pagamento]&lt;EOMONTH(inputs!$A$1,0)+1)
)</f>
        <v>0</v>
      </c>
      <c r="AG25" s="315" cm="1">
        <f t="array" ref="AG25">-SUMPRODUCT(
  desp[valor] *
  (desp[nucleo]=AG$1) *
  (desp[centro.negocio]=$Y25) *
  (desp[data.pagamento]&gt;=DATE(YEAR(inputs!$A$1),MONTH(inputs!$A$1),1)) *
  (desp[data.pagamento]&lt;EOMONTH(inputs!$A$1,0)+1)
)</f>
        <v>0</v>
      </c>
      <c r="AH25" s="316" cm="1">
        <f t="array" ref="AH25">-SUMPRODUCT(
  desp[valor] *
  (desp[nucleo]=AH$1) *
  (desp[centro.negocio]=$Y25) *
  (desp[data.pagamento]&gt;=DATE(YEAR(inputs!$A$1),MONTH(inputs!$A$1),1)) *
  (desp[data.pagamento]&lt;EOMONTH(inputs!$A$1,0)+1)
)</f>
        <v>0</v>
      </c>
      <c r="AJ25" s="247">
        <f t="shared" si="5"/>
        <v>0</v>
      </c>
      <c r="BT25" s="243" t="s">
        <v>690</v>
      </c>
      <c r="BU25" s="243" t="s">
        <v>378</v>
      </c>
      <c r="BV25" s="244" t="s">
        <v>522</v>
      </c>
      <c r="BW25" s="245">
        <v>0</v>
      </c>
      <c r="BX25" s="245">
        <v>0</v>
      </c>
      <c r="BY25" s="245">
        <v>0</v>
      </c>
      <c r="BZ25" s="245">
        <v>0</v>
      </c>
      <c r="CA25" s="245">
        <v>0</v>
      </c>
      <c r="CB25" s="245">
        <v>0</v>
      </c>
      <c r="CC25" s="245">
        <v>0</v>
      </c>
      <c r="CD25" s="245">
        <v>0</v>
      </c>
      <c r="CE25" s="245">
        <v>0</v>
      </c>
      <c r="CF25" s="245">
        <v>0</v>
      </c>
      <c r="CG25" s="245">
        <v>0</v>
      </c>
      <c r="CH25" s="245">
        <v>0</v>
      </c>
      <c r="CI25" s="245">
        <v>0</v>
      </c>
      <c r="CJ25" s="245">
        <v>0</v>
      </c>
    </row>
    <row r="26" spans="1:88" outlineLevel="2" x14ac:dyDescent="0.25">
      <c r="A26" s="246" t="s">
        <v>536</v>
      </c>
      <c r="B26" s="246" t="s">
        <v>12</v>
      </c>
      <c r="C26" s="193" t="s">
        <v>533</v>
      </c>
      <c r="D26" s="247">
        <f ca="1">SUMIFS(rec.uni[2025-01-01],
INDIRECT("rec.uni[natureza]"),"taxa.extra",
INDIRECT("rec.uni[empresa]"),$B26)</f>
        <v>0</v>
      </c>
      <c r="E26" s="247">
        <f ca="1">SUMIFS(rec.uni[2025-02-01],
INDIRECT("rec.uni[natureza]"),"taxa.extra",
INDIRECT("rec.uni[empresa]"),$B26)</f>
        <v>0</v>
      </c>
      <c r="F26" s="247">
        <f ca="1">SUMIFS(rec.uni[2025-03-01],
INDIRECT("rec.uni[natureza]"),"taxa.extra",
INDIRECT("rec.uni[empresa]"),$B26)</f>
        <v>0</v>
      </c>
      <c r="G26" s="247">
        <f ca="1">SUMIFS(rec.uni[2025-04-01],
INDIRECT("rec.uni[natureza]"),"taxa.extra",
INDIRECT("rec.uni[empresa]"),$B26)</f>
        <v>0</v>
      </c>
      <c r="H26" s="247">
        <f ca="1">SUMIFS(rec.uni[2025-05-01],
INDIRECT("rec.uni[natureza]"),"taxa.extra",
INDIRECT("rec.uni[empresa]"),$B26)</f>
        <v>0</v>
      </c>
      <c r="I26" s="247">
        <f ca="1">SUMIFS(rec.uni[2025-06-01],
INDIRECT("rec.uni[natureza]"),"taxa.extra",
INDIRECT("rec.uni[empresa]"),$B26)</f>
        <v>0</v>
      </c>
      <c r="J26" s="247">
        <f ca="1">SUMIFS(rec.uni[2025-07-01],
INDIRECT("rec.uni[natureza]"),"taxa.extra",
INDIRECT("rec.uni[empresa]"),$B26)</f>
        <v>0</v>
      </c>
      <c r="K26" s="247">
        <f ca="1">SUMIFS(rec.uni[2025-08-01],
INDIRECT("rec.uni[natureza]"),"taxa.extra",
INDIRECT("rec.uni[empresa]"),$B26)</f>
        <v>0</v>
      </c>
      <c r="L26" s="247">
        <f ca="1">SUMIFS(rec.uni[2025-09-01],
INDIRECT("rec.uni[natureza]"),"taxa.extra",
INDIRECT("rec.uni[empresa]"),$B26)</f>
        <v>0</v>
      </c>
      <c r="M26" s="247">
        <f ca="1">SUMIFS(rec.uni[2025-10-01],
INDIRECT("rec.uni[natureza]"),"taxa.extra",
INDIRECT("rec.uni[empresa]"),$B26)</f>
        <v>0</v>
      </c>
      <c r="N26" s="247">
        <f ca="1">SUMIFS(rec.uni[2025-11-01],
INDIRECT("rec.uni[natureza]"),"taxa.extra",
INDIRECT("rec.uni[empresa]"),$B26)</f>
        <v>0</v>
      </c>
      <c r="O26" s="247">
        <f ca="1">SUMIFS(rec.uni[2025-12-01],
INDIRECT("rec.uni[natureza]"),"taxa.extra",
INDIRECT("rec.uni[empresa]"),$B26)</f>
        <v>0</v>
      </c>
      <c r="P26" s="247">
        <f ca="1">SUMIFS(rec.uni[2026-01-01],
INDIRECT("rec.uni[natureza]"),"taxa.extra",
INDIRECT("rec.uni[empresa]"),$B26)</f>
        <v>0</v>
      </c>
      <c r="Q26" s="247">
        <f ca="1">SUMIFS(rec.uni[2026-02-01],
INDIRECT("rec.uni[natureza]"),"taxa.extra",
INDIRECT("rec.uni[empresa]"),$B26)</f>
        <v>0</v>
      </c>
      <c r="R26" s="247">
        <f ca="1">SUMIFS(rec.uni[2026-03-01],
INDIRECT("rec.uni[natureza]"),"taxa.extra",
INDIRECT("rec.uni[empresa]"),$B26)</f>
        <v>0</v>
      </c>
      <c r="T26" s="239">
        <f t="shared" ca="1" si="1"/>
        <v>0</v>
      </c>
      <c r="X26" s="243" t="s">
        <v>690</v>
      </c>
      <c r="Y26" s="332" t="s">
        <v>378</v>
      </c>
      <c r="Z26" s="315" cm="1">
        <f t="array" ref="Z26">-SUMPRODUCT(
  desp[valor] *
  (desp[nucleo]=Z$1) *
  (desp[centro.negocio]=$Y26) *
  (desp[data.pagamento]&gt;=DATE(YEAR(inputs!$A$1),MONTH(inputs!$A$1),1)) *
  (desp[data.pagamento]&lt;EOMONTH(inputs!$A$1,0)+1)
)</f>
        <v>0</v>
      </c>
      <c r="AA26" s="315" cm="1">
        <f t="array" ref="AA26">-SUMPRODUCT(
  desp[valor] *
  (desp[nucleo]=AA$1) *
  (desp[centro.negocio]=$Y26) *
  (desp[data.pagamento]&gt;=DATE(YEAR(inputs!$A$1),MONTH(inputs!$A$1),1)) *
  (desp[data.pagamento]&lt;EOMONTH(inputs!$A$1,0)+1)
)</f>
        <v>0</v>
      </c>
      <c r="AB26" s="315" cm="1">
        <f t="array" ref="AB26">-SUMPRODUCT(
  desp[valor] *
  (desp[nucleo]=AB$1) *
  (desp[centro.negocio]=$Y26) *
  (desp[data.pagamento]&gt;=DATE(YEAR(inputs!$A$1),MONTH(inputs!$A$1),1)) *
  (desp[data.pagamento]&lt;EOMONTH(inputs!$A$1,0)+1)
)</f>
        <v>0</v>
      </c>
      <c r="AC26" s="315" cm="1">
        <f t="array" ref="AC26">-SUMPRODUCT(
  desp[valor] *
  (desp[nucleo]=AC$1) *
  (desp[centro.negocio]=$Y26) *
  (desp[data.pagamento]&gt;=DATE(YEAR(inputs!$A$1),MONTH(inputs!$A$1),1)) *
  (desp[data.pagamento]&lt;EOMONTH(inputs!$A$1,0)+1)
)</f>
        <v>0</v>
      </c>
      <c r="AD26" s="315" cm="1">
        <f t="array" ref="AD26">-SUMPRODUCT(
  desp[valor] *
  (desp[nucleo]=AD$1) *
  (desp[centro.negocio]=$Y26) *
  (desp[data.pagamento]&gt;=DATE(YEAR(inputs!$A$1),MONTH(inputs!$A$1),1)) *
  (desp[data.pagamento]&lt;EOMONTH(inputs!$A$1,0)+1)
)</f>
        <v>0</v>
      </c>
      <c r="AE26" s="315" cm="1">
        <f t="array" ref="AE26">-SUMPRODUCT(
  desp[valor] *
  (desp[nucleo]=AE$1) *
  (desp[centro.negocio]=$Y26) *
  (desp[data.pagamento]&gt;=DATE(YEAR(inputs!$A$1),MONTH(inputs!$A$1),1)) *
  (desp[data.pagamento]&lt;EOMONTH(inputs!$A$1,0)+1)
)</f>
        <v>0</v>
      </c>
      <c r="AF26" s="315" cm="1">
        <f t="array" ref="AF26">-SUMPRODUCT(
  desp[valor] *
  (desp[nucleo]=AF$1) *
  (desp[centro.negocio]=$Y26) *
  (desp[data.pagamento]&gt;=DATE(YEAR(inputs!$A$1),MONTH(inputs!$A$1),1)) *
  (desp[data.pagamento]&lt;EOMONTH(inputs!$A$1,0)+1)
)</f>
        <v>0</v>
      </c>
      <c r="AG26" s="315" cm="1">
        <f t="array" ref="AG26">-SUMPRODUCT(
  desp[valor] *
  (desp[nucleo]=AG$1) *
  (desp[centro.negocio]=$Y26) *
  (desp[data.pagamento]&gt;=DATE(YEAR(inputs!$A$1),MONTH(inputs!$A$1),1)) *
  (desp[data.pagamento]&lt;EOMONTH(inputs!$A$1,0)+1)
)</f>
        <v>0</v>
      </c>
      <c r="AH26" s="316" cm="1">
        <f t="array" ref="AH26">-SUMPRODUCT(
  desp[valor] *
  (desp[nucleo]=AH$1) *
  (desp[centro.negocio]=$Y26) *
  (desp[data.pagamento]&gt;=DATE(YEAR(inputs!$A$1),MONTH(inputs!$A$1),1)) *
  (desp[data.pagamento]&lt;EOMONTH(inputs!$A$1,0)+1)
)</f>
        <v>0</v>
      </c>
      <c r="AJ26" s="247">
        <f t="shared" si="5"/>
        <v>0</v>
      </c>
      <c r="BT26" s="243" t="s">
        <v>692</v>
      </c>
      <c r="BU26" s="243" t="s">
        <v>350</v>
      </c>
      <c r="BV26" s="244" t="s">
        <v>522</v>
      </c>
      <c r="BW26" s="245">
        <v>0</v>
      </c>
      <c r="BX26" s="245">
        <v>0</v>
      </c>
      <c r="BY26" s="245">
        <v>0</v>
      </c>
      <c r="BZ26" s="245">
        <v>0</v>
      </c>
      <c r="CA26" s="245">
        <v>0</v>
      </c>
      <c r="CB26" s="245">
        <v>0</v>
      </c>
      <c r="CC26" s="245">
        <v>0</v>
      </c>
      <c r="CD26" s="245">
        <v>0</v>
      </c>
      <c r="CE26" s="245">
        <v>0</v>
      </c>
      <c r="CF26" s="245">
        <v>0</v>
      </c>
      <c r="CG26" s="245">
        <v>0</v>
      </c>
      <c r="CH26" s="245">
        <v>0</v>
      </c>
      <c r="CI26" s="245">
        <v>0</v>
      </c>
      <c r="CJ26" s="245">
        <v>0</v>
      </c>
    </row>
    <row r="27" spans="1:88" outlineLevel="2" x14ac:dyDescent="0.25">
      <c r="A27" s="246" t="s">
        <v>537</v>
      </c>
      <c r="B27" s="246" t="s">
        <v>15</v>
      </c>
      <c r="C27" s="193" t="s">
        <v>533</v>
      </c>
      <c r="D27" s="247">
        <f ca="1">SUMIFS(rec.uni[2025-01-01],
INDIRECT("rec.uni[natureza]"),"taxa.extra",
INDIRECT("rec.uni[empresa]"),$B27)</f>
        <v>0</v>
      </c>
      <c r="E27" s="247">
        <f ca="1">SUMIFS(rec.uni[2025-02-01],
INDIRECT("rec.uni[natureza]"),"taxa.extra",
INDIRECT("rec.uni[empresa]"),$B27)</f>
        <v>0</v>
      </c>
      <c r="F27" s="247">
        <f ca="1">SUMIFS(rec.uni[2025-03-01],
INDIRECT("rec.uni[natureza]"),"taxa.extra",
INDIRECT("rec.uni[empresa]"),$B27)</f>
        <v>0</v>
      </c>
      <c r="G27" s="247">
        <f ca="1">SUMIFS(rec.uni[2025-04-01],
INDIRECT("rec.uni[natureza]"),"taxa.extra",
INDIRECT("rec.uni[empresa]"),$B27)</f>
        <v>0</v>
      </c>
      <c r="H27" s="247">
        <f ca="1">SUMIFS(rec.uni[2025-05-01],
INDIRECT("rec.uni[natureza]"),"taxa.extra",
INDIRECT("rec.uni[empresa]"),$B27)</f>
        <v>0</v>
      </c>
      <c r="I27" s="247">
        <f ca="1">SUMIFS(rec.uni[2025-06-01],
INDIRECT("rec.uni[natureza]"),"taxa.extra",
INDIRECT("rec.uni[empresa]"),$B27)</f>
        <v>0</v>
      </c>
      <c r="J27" s="247">
        <f ca="1">SUMIFS(rec.uni[2025-07-01],
INDIRECT("rec.uni[natureza]"),"taxa.extra",
INDIRECT("rec.uni[empresa]"),$B27)</f>
        <v>0</v>
      </c>
      <c r="K27" s="247">
        <f ca="1">SUMIFS(rec.uni[2025-08-01],
INDIRECT("rec.uni[natureza]"),"taxa.extra",
INDIRECT("rec.uni[empresa]"),$B27)</f>
        <v>0</v>
      </c>
      <c r="L27" s="247">
        <f ca="1">SUMIFS(rec.uni[2025-09-01],
INDIRECT("rec.uni[natureza]"),"taxa.extra",
INDIRECT("rec.uni[empresa]"),$B27)</f>
        <v>0</v>
      </c>
      <c r="M27" s="247">
        <f ca="1">SUMIFS(rec.uni[2025-10-01],
INDIRECT("rec.uni[natureza]"),"taxa.extra",
INDIRECT("rec.uni[empresa]"),$B27)</f>
        <v>0</v>
      </c>
      <c r="N27" s="247">
        <f ca="1">SUMIFS(rec.uni[2025-11-01],
INDIRECT("rec.uni[natureza]"),"taxa.extra",
INDIRECT("rec.uni[empresa]"),$B27)</f>
        <v>0</v>
      </c>
      <c r="O27" s="247">
        <f ca="1">SUMIFS(rec.uni[2025-12-01],
INDIRECT("rec.uni[natureza]"),"taxa.extra",
INDIRECT("rec.uni[empresa]"),$B27)</f>
        <v>0</v>
      </c>
      <c r="P27" s="247">
        <f ca="1">SUMIFS(rec.uni[2026-01-01],
INDIRECT("rec.uni[natureza]"),"taxa.extra",
INDIRECT("rec.uni[empresa]"),$B27)</f>
        <v>0</v>
      </c>
      <c r="Q27" s="247">
        <f ca="1">SUMIFS(rec.uni[2026-02-01],
INDIRECT("rec.uni[natureza]"),"taxa.extra",
INDIRECT("rec.uni[empresa]"),$B27)</f>
        <v>0</v>
      </c>
      <c r="R27" s="247">
        <f ca="1">SUMIFS(rec.uni[2026-03-01],
INDIRECT("rec.uni[natureza]"),"taxa.extra",
INDIRECT("rec.uni[empresa]"),$B27)</f>
        <v>0</v>
      </c>
      <c r="T27" s="239">
        <f t="shared" ca="1" si="1"/>
        <v>0</v>
      </c>
      <c r="X27" s="243" t="s">
        <v>692</v>
      </c>
      <c r="Y27" s="332" t="s">
        <v>350</v>
      </c>
      <c r="Z27" s="315" cm="1">
        <f t="array" ref="Z27">-SUMPRODUCT(
  desp[valor] *
  (desp[nucleo] = Z$1) *
  (desp[data.pagamento]&gt;=DATE(YEAR(inputs!$A$1),MONTH(inputs!$A$1),1)) *
  (desp[data.pagamento]&lt;EOMONTH(inputs!$A$1,0)+1) *
  --ISNA(MATCH(desp[centro.negocio], {"NF - Mão de Obra";"Operações Financeiras/juros";"Terreno"}, 0))
)-
SUM(Z$10:Z$26)</f>
        <v>0</v>
      </c>
      <c r="AA27" s="315" cm="1">
        <f t="array" ref="AA27">-SUMPRODUCT(
  desp[valor] *
  (desp[nucleo] = AA$1) *
  (desp[data.pagamento]&gt;=DATE(YEAR(inputs!$A$1),MONTH(inputs!$A$1),1)) *
  (desp[data.pagamento]&lt;EOMONTH(inputs!$A$1,0)+1) *
  --ISNA(MATCH(desp[centro.negocio], {"NF - Mão de Obra";"Operações Financeiras/juros";"Terreno"}, 0))
)-
SUM(AA$10:AA$26)</f>
        <v>0</v>
      </c>
      <c r="AB27" s="315" cm="1">
        <f t="array" ref="AB27">-SUMPRODUCT(
  desp[valor] *
  (desp[nucleo] = AB$1) *
  (desp[data.pagamento]&gt;=DATE(YEAR(inputs!$A$1),MONTH(inputs!$A$1),1)) *
  (desp[data.pagamento]&lt;EOMONTH(inputs!$A$1,0)+1) *
  --ISNA(MATCH(desp[centro.negocio], {"NF - Mão de Obra";"Operações Financeiras/juros";"Terreno"}, 0))
)-
SUM(AB$10:AB$26)</f>
        <v>0</v>
      </c>
      <c r="AC27" s="315" cm="1">
        <f t="array" ref="AC27">-SUMPRODUCT(
  desp[valor] *
  (desp[nucleo] = AC$1) *
  (desp[data.pagamento]&gt;=DATE(YEAR(inputs!$A$1),MONTH(inputs!$A$1),1)) *
  (desp[data.pagamento]&lt;EOMONTH(inputs!$A$1,0)+1) *
  --ISNA(MATCH(desp[centro.negocio], {"NF - Mão de Obra";"Operações Financeiras/juros";"Terreno"}, 0))
)-
SUM(AC$10:AC$26)</f>
        <v>0</v>
      </c>
      <c r="AD27" s="315" cm="1">
        <f t="array" ref="AD27">-SUMPRODUCT(
  desp[valor] *
  (desp[nucleo] = AD$1) *
  (desp[data.pagamento]&gt;=DATE(YEAR(inputs!$A$1),MONTH(inputs!$A$1),1)) *
  (desp[data.pagamento]&lt;EOMONTH(inputs!$A$1,0)+1) *
  --ISNA(MATCH(desp[centro.negocio], {"NF - Mão de Obra";"Operações Financeiras/juros";"Terreno"}, 0))
)-
SUM(AD$10:AD$26)</f>
        <v>0</v>
      </c>
      <c r="AE27" s="315" cm="1">
        <f t="array" ref="AE27">-SUMPRODUCT(
  desp[valor] *
  (desp[nucleo] = AE$1) *
  (desp[data.pagamento]&gt;=DATE(YEAR(inputs!$A$1),MONTH(inputs!$A$1),1)) *
  (desp[data.pagamento]&lt;EOMONTH(inputs!$A$1,0)+1) *
  --ISNA(MATCH(desp[centro.negocio], {"NF - Mão de Obra";"Operações Financeiras/juros";"Terreno"}, 0))
)-
SUM(AE$10:AE$26)</f>
        <v>0</v>
      </c>
      <c r="AF27" s="315" cm="1">
        <f t="array" ref="AF27">-SUMPRODUCT(
  desp[valor] *
  (desp[nucleo] = AF$1) *
  (desp[data.pagamento]&gt;=DATE(YEAR(inputs!$A$1),MONTH(inputs!$A$1),1)) *
  (desp[data.pagamento]&lt;EOMONTH(inputs!$A$1,0)+1) *
  --ISNA(MATCH(desp[centro.negocio], {"NF - Mão de Obra";"Operações Financeiras/juros";"Terreno"}, 0))
)-
SUM(AF$10:AF$26)</f>
        <v>0</v>
      </c>
      <c r="AG27" s="315" cm="1">
        <f t="array" ref="AG27">-SUMPRODUCT(
  desp[valor] *
  (desp[nucleo] = AG$1) *
  (desp[data.pagamento]&gt;=DATE(YEAR(inputs!$A$1),MONTH(inputs!$A$1),1)) *
  (desp[data.pagamento]&lt;EOMONTH(inputs!$A$1,0)+1) *
  --ISNA(MATCH(desp[centro.negocio], {"NF - Mão de Obra";"Operações Financeiras/juros";"Terreno"}, 0))
)-
SUM(AG$10:AG$26)</f>
        <v>0</v>
      </c>
      <c r="AH27" s="316" cm="1">
        <f t="array" ref="AH27">-SUMPRODUCT(
  desp[valor] *
  (desp[nucleo] = AH$1) *
  (desp[data.pagamento]&gt;=DATE(YEAR(inputs!$A$1),MONTH(inputs!$A$1),1)) *
  (desp[data.pagamento]&lt;EOMONTH(inputs!$A$1,0)+1) *
  --ISNA(MATCH(desp[centro.negocio], {"NF - Mão de Obra";"Operações Financeiras/juros";"Terreno"}, 0))
)-
SUM(AH$10:AH$26)</f>
        <v>0</v>
      </c>
      <c r="AJ27" s="247">
        <f t="shared" si="5"/>
        <v>0</v>
      </c>
      <c r="BT27" s="236" t="s">
        <v>693</v>
      </c>
      <c r="BU27" s="236" t="s">
        <v>694</v>
      </c>
      <c r="BV27" s="237"/>
      <c r="BW27" s="253">
        <v>0</v>
      </c>
      <c r="BX27" s="253">
        <v>0</v>
      </c>
      <c r="BY27" s="253">
        <v>0</v>
      </c>
      <c r="BZ27" s="253">
        <v>0</v>
      </c>
      <c r="CA27" s="253">
        <v>0</v>
      </c>
      <c r="CB27" s="253">
        <v>0</v>
      </c>
      <c r="CC27" s="253">
        <v>0</v>
      </c>
      <c r="CD27" s="253">
        <v>0</v>
      </c>
      <c r="CE27" s="253">
        <v>0</v>
      </c>
      <c r="CF27" s="253">
        <v>0</v>
      </c>
      <c r="CG27" s="253">
        <v>0</v>
      </c>
      <c r="CH27" s="253">
        <v>0</v>
      </c>
      <c r="CI27" s="253">
        <v>0</v>
      </c>
      <c r="CJ27" s="253">
        <v>0</v>
      </c>
    </row>
    <row r="28" spans="1:88" outlineLevel="2" x14ac:dyDescent="0.25">
      <c r="A28" s="246" t="s">
        <v>538</v>
      </c>
      <c r="B28" s="246" t="s">
        <v>18</v>
      </c>
      <c r="C28" s="193" t="s">
        <v>533</v>
      </c>
      <c r="D28" s="247">
        <f ca="1">SUMIFS(rec.uni[2025-01-01],
INDIRECT("rec.uni[natureza]"),"taxa.extra",
INDIRECT("rec.uni[empresa]"),$B28)</f>
        <v>0</v>
      </c>
      <c r="E28" s="247">
        <f ca="1">SUMIFS(rec.uni[2025-02-01],
INDIRECT("rec.uni[natureza]"),"taxa.extra",
INDIRECT("rec.uni[empresa]"),$B28)</f>
        <v>0</v>
      </c>
      <c r="F28" s="247">
        <f ca="1">SUMIFS(rec.uni[2025-03-01],
INDIRECT("rec.uni[natureza]"),"taxa.extra",
INDIRECT("rec.uni[empresa]"),$B28)</f>
        <v>0</v>
      </c>
      <c r="G28" s="247">
        <f ca="1">SUMIFS(rec.uni[2025-04-01],
INDIRECT("rec.uni[natureza]"),"taxa.extra",
INDIRECT("rec.uni[empresa]"),$B28)</f>
        <v>0</v>
      </c>
      <c r="H28" s="247">
        <f ca="1">SUMIFS(rec.uni[2025-05-01],
INDIRECT("rec.uni[natureza]"),"taxa.extra",
INDIRECT("rec.uni[empresa]"),$B28)</f>
        <v>0</v>
      </c>
      <c r="I28" s="247">
        <f ca="1">SUMIFS(rec.uni[2025-06-01],
INDIRECT("rec.uni[natureza]"),"taxa.extra",
INDIRECT("rec.uni[empresa]"),$B28)</f>
        <v>0</v>
      </c>
      <c r="J28" s="247">
        <f ca="1">SUMIFS(rec.uni[2025-07-01],
INDIRECT("rec.uni[natureza]"),"taxa.extra",
INDIRECT("rec.uni[empresa]"),$B28)</f>
        <v>0</v>
      </c>
      <c r="K28" s="247">
        <f ca="1">SUMIFS(rec.uni[2025-08-01],
INDIRECT("rec.uni[natureza]"),"taxa.extra",
INDIRECT("rec.uni[empresa]"),$B28)</f>
        <v>0</v>
      </c>
      <c r="L28" s="247">
        <f ca="1">SUMIFS(rec.uni[2025-09-01],
INDIRECT("rec.uni[natureza]"),"taxa.extra",
INDIRECT("rec.uni[empresa]"),$B28)</f>
        <v>0</v>
      </c>
      <c r="M28" s="247">
        <f ca="1">SUMIFS(rec.uni[2025-10-01],
INDIRECT("rec.uni[natureza]"),"taxa.extra",
INDIRECT("rec.uni[empresa]"),$B28)</f>
        <v>0</v>
      </c>
      <c r="N28" s="247">
        <f ca="1">SUMIFS(rec.uni[2025-11-01],
INDIRECT("rec.uni[natureza]"),"taxa.extra",
INDIRECT("rec.uni[empresa]"),$B28)</f>
        <v>0</v>
      </c>
      <c r="O28" s="247">
        <f ca="1">SUMIFS(rec.uni[2025-12-01],
INDIRECT("rec.uni[natureza]"),"taxa.extra",
INDIRECT("rec.uni[empresa]"),$B28)</f>
        <v>0</v>
      </c>
      <c r="P28" s="247">
        <f ca="1">SUMIFS(rec.uni[2026-01-01],
INDIRECT("rec.uni[natureza]"),"taxa.extra",
INDIRECT("rec.uni[empresa]"),$B28)</f>
        <v>0</v>
      </c>
      <c r="Q28" s="247">
        <f ca="1">SUMIFS(rec.uni[2026-02-01],
INDIRECT("rec.uni[natureza]"),"taxa.extra",
INDIRECT("rec.uni[empresa]"),$B28)</f>
        <v>0</v>
      </c>
      <c r="R28" s="247">
        <f ca="1">SUMIFS(rec.uni[2026-03-01],
INDIRECT("rec.uni[natureza]"),"taxa.extra",
INDIRECT("rec.uni[empresa]"),$B28)</f>
        <v>0</v>
      </c>
      <c r="T28" s="239">
        <f t="shared" ca="1" si="1"/>
        <v>0</v>
      </c>
      <c r="X28" s="236" t="s">
        <v>693</v>
      </c>
      <c r="Y28" s="330" t="s">
        <v>694</v>
      </c>
      <c r="Z28" s="319">
        <f>Z29+Z32</f>
        <v>0</v>
      </c>
      <c r="AA28" s="319">
        <f t="shared" ref="AA28:AH28" si="12">AA29+AA32</f>
        <v>0</v>
      </c>
      <c r="AB28" s="319">
        <f t="shared" si="12"/>
        <v>0</v>
      </c>
      <c r="AC28" s="319">
        <f t="shared" si="12"/>
        <v>0</v>
      </c>
      <c r="AD28" s="319">
        <f t="shared" si="12"/>
        <v>0</v>
      </c>
      <c r="AE28" s="319">
        <f t="shared" si="12"/>
        <v>0</v>
      </c>
      <c r="AF28" s="319">
        <f t="shared" si="12"/>
        <v>0</v>
      </c>
      <c r="AG28" s="319">
        <f t="shared" si="12"/>
        <v>0</v>
      </c>
      <c r="AH28" s="320">
        <f t="shared" si="12"/>
        <v>0</v>
      </c>
      <c r="AJ28" s="247">
        <f t="shared" si="5"/>
        <v>0</v>
      </c>
      <c r="BT28" s="240" t="s">
        <v>695</v>
      </c>
      <c r="BU28" s="240" t="s">
        <v>696</v>
      </c>
      <c r="BV28" s="241"/>
      <c r="BW28" s="242">
        <v>0</v>
      </c>
      <c r="BX28" s="242">
        <v>0</v>
      </c>
      <c r="BY28" s="242">
        <v>0</v>
      </c>
      <c r="BZ28" s="242">
        <v>0</v>
      </c>
      <c r="CA28" s="242">
        <v>0</v>
      </c>
      <c r="CB28" s="242">
        <v>0</v>
      </c>
      <c r="CC28" s="242">
        <v>0</v>
      </c>
      <c r="CD28" s="242">
        <v>0</v>
      </c>
      <c r="CE28" s="242">
        <v>0</v>
      </c>
      <c r="CF28" s="242">
        <v>0</v>
      </c>
      <c r="CG28" s="242">
        <v>0</v>
      </c>
      <c r="CH28" s="242">
        <v>0</v>
      </c>
      <c r="CI28" s="242">
        <v>0</v>
      </c>
      <c r="CJ28" s="242">
        <v>0</v>
      </c>
    </row>
    <row r="29" spans="1:88" outlineLevel="1" x14ac:dyDescent="0.25">
      <c r="A29" s="243" t="s">
        <v>539</v>
      </c>
      <c r="B29" s="248" t="s">
        <v>540</v>
      </c>
      <c r="C29" s="244" t="s">
        <v>27</v>
      </c>
      <c r="D29" s="245">
        <f t="shared" ref="D29:R29" si="13">SUM(D$30)</f>
        <v>66315.199999999997</v>
      </c>
      <c r="E29" s="245">
        <f t="shared" si="13"/>
        <v>102314.88</v>
      </c>
      <c r="F29" s="245">
        <f t="shared" si="13"/>
        <v>247260.96</v>
      </c>
      <c r="G29" s="245">
        <f t="shared" si="13"/>
        <v>361891.51999999996</v>
      </c>
      <c r="H29" s="245">
        <f t="shared" si="13"/>
        <v>806203.36</v>
      </c>
      <c r="I29" s="245">
        <f t="shared" si="13"/>
        <v>770203.68</v>
      </c>
      <c r="J29" s="245">
        <f t="shared" si="13"/>
        <v>1031675.04</v>
      </c>
      <c r="K29" s="245">
        <f t="shared" si="13"/>
        <v>400733.28</v>
      </c>
      <c r="L29" s="245">
        <f t="shared" si="13"/>
        <v>345786.39999999997</v>
      </c>
      <c r="M29" s="245">
        <f t="shared" si="13"/>
        <v>622415.52</v>
      </c>
      <c r="N29" s="245">
        <f t="shared" si="13"/>
        <v>378944</v>
      </c>
      <c r="O29" s="245">
        <f t="shared" si="13"/>
        <v>324944.48000000004</v>
      </c>
      <c r="P29" s="245">
        <f t="shared" si="13"/>
        <v>179998.4</v>
      </c>
      <c r="Q29" s="245">
        <f t="shared" si="13"/>
        <v>272839.67999999999</v>
      </c>
      <c r="R29" s="245">
        <f t="shared" si="13"/>
        <v>640415.36</v>
      </c>
      <c r="T29" s="239">
        <f t="shared" ref="T29:T42" si="14">SUM(D29:R29)</f>
        <v>6551941.7600000007</v>
      </c>
      <c r="X29" s="240" t="s">
        <v>695</v>
      </c>
      <c r="Y29" s="331" t="s">
        <v>696</v>
      </c>
      <c r="Z29" s="313">
        <f>SUM(Z30:Z31)</f>
        <v>0</v>
      </c>
      <c r="AA29" s="313">
        <f t="shared" ref="AA29:AH29" si="15">SUM(AA30:AA31)</f>
        <v>0</v>
      </c>
      <c r="AB29" s="313">
        <f t="shared" si="15"/>
        <v>0</v>
      </c>
      <c r="AC29" s="313">
        <f t="shared" si="15"/>
        <v>0</v>
      </c>
      <c r="AD29" s="313">
        <f t="shared" si="15"/>
        <v>0</v>
      </c>
      <c r="AE29" s="313">
        <f t="shared" si="15"/>
        <v>0</v>
      </c>
      <c r="AF29" s="313">
        <f t="shared" si="15"/>
        <v>0</v>
      </c>
      <c r="AG29" s="313">
        <f t="shared" si="15"/>
        <v>0</v>
      </c>
      <c r="AH29" s="314">
        <f t="shared" si="15"/>
        <v>0</v>
      </c>
      <c r="AJ29" s="247">
        <f t="shared" si="5"/>
        <v>0</v>
      </c>
      <c r="BT29" s="243" t="s">
        <v>697</v>
      </c>
      <c r="BU29" s="254" t="s">
        <v>698</v>
      </c>
      <c r="BV29" s="193"/>
      <c r="BW29" s="247"/>
      <c r="BX29" s="247"/>
      <c r="BY29" s="247"/>
      <c r="BZ29" s="247"/>
      <c r="CA29" s="247"/>
      <c r="CB29" s="247"/>
      <c r="CC29" s="247"/>
      <c r="CD29" s="247"/>
      <c r="CE29" s="247"/>
      <c r="CF29" s="247"/>
      <c r="CG29" s="247"/>
      <c r="CH29" s="247"/>
      <c r="CI29" s="247"/>
      <c r="CJ29" s="247"/>
    </row>
    <row r="30" spans="1:88" outlineLevel="2" x14ac:dyDescent="0.25">
      <c r="A30" s="246" t="s">
        <v>541</v>
      </c>
      <c r="B30" s="246" t="s">
        <v>16</v>
      </c>
      <c r="C30" s="193" t="s">
        <v>27</v>
      </c>
      <c r="D30" s="247" cm="1">
        <f t="array" ref="D30:R30">TRANSPOSE(inputs!BJ$51:BJ$65)</f>
        <v>66315.199999999997</v>
      </c>
      <c r="E30" s="247">
        <v>102314.88</v>
      </c>
      <c r="F30" s="247">
        <v>247260.96</v>
      </c>
      <c r="G30" s="247">
        <v>361891.51999999996</v>
      </c>
      <c r="H30" s="247">
        <v>806203.36</v>
      </c>
      <c r="I30" s="247">
        <v>770203.68</v>
      </c>
      <c r="J30" s="247">
        <v>1031675.04</v>
      </c>
      <c r="K30" s="247">
        <v>400733.28</v>
      </c>
      <c r="L30" s="247">
        <v>345786.39999999997</v>
      </c>
      <c r="M30" s="247">
        <v>622415.52</v>
      </c>
      <c r="N30" s="247">
        <v>378944</v>
      </c>
      <c r="O30" s="247">
        <v>324944.48000000004</v>
      </c>
      <c r="P30" s="247">
        <v>179998.4</v>
      </c>
      <c r="Q30" s="247">
        <v>272839.67999999999</v>
      </c>
      <c r="R30" s="247">
        <v>640415.36</v>
      </c>
      <c r="T30" s="239">
        <f t="shared" si="14"/>
        <v>6551941.7600000007</v>
      </c>
      <c r="X30" s="243" t="s">
        <v>697</v>
      </c>
      <c r="Y30" s="334" t="s">
        <v>698</v>
      </c>
      <c r="Z30" s="321"/>
      <c r="AA30" s="321"/>
      <c r="AB30" s="321"/>
      <c r="AC30" s="321"/>
      <c r="AD30" s="321"/>
      <c r="AE30" s="321"/>
      <c r="AF30" s="321"/>
      <c r="AG30" s="321"/>
      <c r="AH30" s="322"/>
      <c r="AJ30" s="247">
        <f t="shared" si="5"/>
        <v>0</v>
      </c>
      <c r="BT30" s="243" t="s">
        <v>699</v>
      </c>
      <c r="BU30" s="254" t="s">
        <v>700</v>
      </c>
      <c r="BV30" s="193"/>
      <c r="BW30" s="247"/>
      <c r="BX30" s="247"/>
      <c r="BY30" s="247"/>
      <c r="BZ30" s="247"/>
      <c r="CA30" s="247"/>
      <c r="CB30" s="247"/>
      <c r="CC30" s="247"/>
      <c r="CD30" s="247"/>
      <c r="CE30" s="247"/>
      <c r="CF30" s="247"/>
      <c r="CG30" s="247"/>
      <c r="CH30" s="247"/>
      <c r="CI30" s="247"/>
      <c r="CJ30" s="247"/>
    </row>
    <row r="31" spans="1:88" x14ac:dyDescent="0.25">
      <c r="A31" s="249" t="s">
        <v>542</v>
      </c>
      <c r="B31" s="249" t="s">
        <v>543</v>
      </c>
      <c r="C31" s="250" t="s">
        <v>522</v>
      </c>
      <c r="D31" s="251">
        <f>SUM(D$32,D$43,D$51,D$64,D$66,D$70,D$72,D$74,D$76,D$81,D$94,D$120,D$134,D$139,D$141,D$143,D$154,D$157)</f>
        <v>0</v>
      </c>
      <c r="E31" s="251">
        <f t="shared" ref="E31:R31" si="16">SUM(E$32,E$43,E$51,E$64,E$66,E$70,E$72,E$74,E$76,E$81,E$94,E$120,E$134,E$139,E$141,E$143,E$154,E$157)</f>
        <v>0</v>
      </c>
      <c r="F31" s="251">
        <f t="shared" si="16"/>
        <v>0</v>
      </c>
      <c r="G31" s="251">
        <f t="shared" si="16"/>
        <v>0</v>
      </c>
      <c r="H31" s="251">
        <f t="shared" si="16"/>
        <v>0</v>
      </c>
      <c r="I31" s="251">
        <f t="shared" si="16"/>
        <v>0</v>
      </c>
      <c r="J31" s="251">
        <f t="shared" si="16"/>
        <v>0</v>
      </c>
      <c r="K31" s="251">
        <f t="shared" si="16"/>
        <v>0</v>
      </c>
      <c r="L31" s="251">
        <f t="shared" si="16"/>
        <v>0</v>
      </c>
      <c r="M31" s="251">
        <f t="shared" si="16"/>
        <v>0</v>
      </c>
      <c r="N31" s="251">
        <f t="shared" si="16"/>
        <v>0</v>
      </c>
      <c r="O31" s="251">
        <f t="shared" si="16"/>
        <v>0</v>
      </c>
      <c r="P31" s="251">
        <f t="shared" si="16"/>
        <v>0</v>
      </c>
      <c r="Q31" s="251">
        <f t="shared" si="16"/>
        <v>0</v>
      </c>
      <c r="R31" s="251">
        <f t="shared" si="16"/>
        <v>0</v>
      </c>
      <c r="T31" s="239">
        <f t="shared" si="14"/>
        <v>0</v>
      </c>
      <c r="X31" s="243" t="s">
        <v>699</v>
      </c>
      <c r="Y31" s="334" t="s">
        <v>700</v>
      </c>
      <c r="Z31" s="321"/>
      <c r="AA31" s="321"/>
      <c r="AB31" s="321"/>
      <c r="AC31" s="321"/>
      <c r="AD31" s="321"/>
      <c r="AE31" s="321"/>
      <c r="AF31" s="321"/>
      <c r="AG31" s="321"/>
      <c r="AH31" s="322"/>
      <c r="AJ31" s="247">
        <f t="shared" si="5"/>
        <v>0</v>
      </c>
      <c r="BT31" s="249" t="s">
        <v>701</v>
      </c>
      <c r="BU31" s="249" t="s">
        <v>702</v>
      </c>
      <c r="BV31" s="255"/>
      <c r="BW31" s="256">
        <v>0</v>
      </c>
      <c r="BX31" s="256">
        <v>0</v>
      </c>
      <c r="BY31" s="256">
        <v>0</v>
      </c>
      <c r="BZ31" s="256">
        <v>0</v>
      </c>
      <c r="CA31" s="256">
        <v>0</v>
      </c>
      <c r="CB31" s="256">
        <v>0</v>
      </c>
      <c r="CC31" s="256">
        <v>0</v>
      </c>
      <c r="CD31" s="256">
        <v>0</v>
      </c>
      <c r="CE31" s="256">
        <v>0</v>
      </c>
      <c r="CF31" s="256">
        <v>0</v>
      </c>
      <c r="CG31" s="256">
        <v>0</v>
      </c>
      <c r="CH31" s="256">
        <v>0</v>
      </c>
      <c r="CI31" s="256">
        <v>0</v>
      </c>
      <c r="CJ31" s="256">
        <v>0</v>
      </c>
    </row>
    <row r="32" spans="1:88" outlineLevel="1" x14ac:dyDescent="0.25">
      <c r="A32" s="243" t="s">
        <v>544</v>
      </c>
      <c r="B32" s="243" t="s">
        <v>358</v>
      </c>
      <c r="C32" s="244" t="s">
        <v>522</v>
      </c>
      <c r="D32" s="245">
        <f>SUM(D$33:D$42)</f>
        <v>0</v>
      </c>
      <c r="E32" s="245">
        <f t="shared" ref="E32:R32" si="17">SUM(E$33:E$42)</f>
        <v>0</v>
      </c>
      <c r="F32" s="245">
        <f t="shared" si="17"/>
        <v>0</v>
      </c>
      <c r="G32" s="245">
        <f t="shared" si="17"/>
        <v>0</v>
      </c>
      <c r="H32" s="245">
        <f t="shared" si="17"/>
        <v>0</v>
      </c>
      <c r="I32" s="245">
        <f t="shared" si="17"/>
        <v>0</v>
      </c>
      <c r="J32" s="245">
        <f t="shared" si="17"/>
        <v>0</v>
      </c>
      <c r="K32" s="245">
        <f t="shared" si="17"/>
        <v>0</v>
      </c>
      <c r="L32" s="245">
        <f t="shared" si="17"/>
        <v>0</v>
      </c>
      <c r="M32" s="245">
        <f t="shared" si="17"/>
        <v>0</v>
      </c>
      <c r="N32" s="245">
        <f t="shared" si="17"/>
        <v>0</v>
      </c>
      <c r="O32" s="245">
        <f t="shared" si="17"/>
        <v>0</v>
      </c>
      <c r="P32" s="245">
        <f t="shared" si="17"/>
        <v>0</v>
      </c>
      <c r="Q32" s="245">
        <f t="shared" si="17"/>
        <v>0</v>
      </c>
      <c r="R32" s="245">
        <f t="shared" si="17"/>
        <v>0</v>
      </c>
      <c r="T32" s="239">
        <f t="shared" si="14"/>
        <v>0</v>
      </c>
      <c r="X32" s="249" t="s">
        <v>701</v>
      </c>
      <c r="Y32" s="333" t="s">
        <v>702</v>
      </c>
      <c r="Z32" s="323">
        <f>SUM(Z33:Z35)</f>
        <v>0</v>
      </c>
      <c r="AA32" s="323">
        <f t="shared" ref="AA32:AH32" si="18">SUM(AA33:AA35)</f>
        <v>0</v>
      </c>
      <c r="AB32" s="323">
        <f t="shared" si="18"/>
        <v>0</v>
      </c>
      <c r="AC32" s="323">
        <f t="shared" si="18"/>
        <v>0</v>
      </c>
      <c r="AD32" s="323">
        <f t="shared" si="18"/>
        <v>0</v>
      </c>
      <c r="AE32" s="323">
        <f t="shared" si="18"/>
        <v>0</v>
      </c>
      <c r="AF32" s="323">
        <f t="shared" si="18"/>
        <v>0</v>
      </c>
      <c r="AG32" s="323">
        <f t="shared" si="18"/>
        <v>0</v>
      </c>
      <c r="AH32" s="324">
        <f t="shared" si="18"/>
        <v>0</v>
      </c>
      <c r="AJ32" s="247">
        <f t="shared" si="5"/>
        <v>0</v>
      </c>
      <c r="BT32" s="243" t="s">
        <v>703</v>
      </c>
      <c r="BU32" s="243" t="s">
        <v>407</v>
      </c>
      <c r="BV32" s="244" t="s">
        <v>522</v>
      </c>
      <c r="BW32" s="245">
        <v>0</v>
      </c>
      <c r="BX32" s="245">
        <v>0</v>
      </c>
      <c r="BY32" s="245">
        <v>0</v>
      </c>
      <c r="BZ32" s="245">
        <v>0</v>
      </c>
      <c r="CA32" s="245">
        <v>0</v>
      </c>
      <c r="CB32" s="245">
        <v>0</v>
      </c>
      <c r="CC32" s="245">
        <v>0</v>
      </c>
      <c r="CD32" s="245">
        <v>0</v>
      </c>
      <c r="CE32" s="245">
        <v>0</v>
      </c>
      <c r="CF32" s="245">
        <v>0</v>
      </c>
      <c r="CG32" s="245">
        <v>0</v>
      </c>
      <c r="CH32" s="245">
        <v>0</v>
      </c>
      <c r="CI32" s="245">
        <v>0</v>
      </c>
      <c r="CJ32" s="245">
        <v>0</v>
      </c>
    </row>
    <row r="33" spans="1:88" outlineLevel="2" x14ac:dyDescent="0.25">
      <c r="A33" s="246" t="s">
        <v>545</v>
      </c>
      <c r="B33" s="246" t="s">
        <v>546</v>
      </c>
      <c r="C33" s="193" t="s">
        <v>522</v>
      </c>
      <c r="D33" s="247" cm="1">
        <f t="array" ref="D33">-SUMPRODUCT(
  desp[valor] *
  (desp[nucleo]=$B33) *
  (desp[centro.negocio]=$B$32) *
  (desp[data.pagamento]&gt;=D$1) *
  (desp[data.pagamento]&lt;EOMONTH(D$1,0)+1)
)</f>
        <v>0</v>
      </c>
      <c r="E33" s="247" cm="1">
        <f t="array" ref="E33">-SUMPRODUCT(
  desp[valor] *
  (desp[nucleo]=$B33) *
  (desp[centro.negocio]=$B$32) *
  (desp[data.pagamento]&gt;=E$1) *
  (desp[data.pagamento]&lt;EOMONTH(E$1,0)+1)
)</f>
        <v>0</v>
      </c>
      <c r="F33" s="247" cm="1">
        <f t="array" ref="F33">-SUMPRODUCT(
  desp[valor] *
  (desp[nucleo]=$B33) *
  (desp[centro.negocio]=$B$32) *
  (desp[data.pagamento]&gt;=F$1) *
  (desp[data.pagamento]&lt;EOMONTH(F$1,0)+1)
)</f>
        <v>0</v>
      </c>
      <c r="G33" s="247" cm="1">
        <f t="array" ref="G33">-SUMPRODUCT(
  desp[valor] *
  (desp[nucleo]=$B33) *
  (desp[centro.negocio]=$B$32) *
  (desp[data.pagamento]&gt;=G$1) *
  (desp[data.pagamento]&lt;EOMONTH(G$1,0)+1)
)</f>
        <v>0</v>
      </c>
      <c r="H33" s="247" cm="1">
        <f t="array" ref="H33">-SUMPRODUCT(
  desp[valor] *
  (desp[nucleo]=$B33) *
  (desp[centro.negocio]=$B$32) *
  (desp[data.pagamento]&gt;=H$1) *
  (desp[data.pagamento]&lt;EOMONTH(H$1,0)+1)
)</f>
        <v>0</v>
      </c>
      <c r="I33" s="247" cm="1">
        <f t="array" ref="I33">-SUMPRODUCT(
  desp[valor] *
  (desp[nucleo]=$B33) *
  (desp[centro.negocio]=$B$32) *
  (desp[data.pagamento]&gt;=I$1) *
  (desp[data.pagamento]&lt;EOMONTH(I$1,0)+1)
)</f>
        <v>0</v>
      </c>
      <c r="J33" s="247" cm="1">
        <f t="array" ref="J33">-SUMPRODUCT(
  desp[valor] *
  (desp[nucleo]=$B33) *
  (desp[centro.negocio]=$B$32) *
  (desp[data.pagamento]&gt;=J$1) *
  (desp[data.pagamento]&lt;EOMONTH(J$1,0)+1)
)</f>
        <v>0</v>
      </c>
      <c r="K33" s="247" cm="1">
        <f t="array" ref="K33">-SUMPRODUCT(
  desp[valor] *
  (desp[nucleo]=$B33) *
  (desp[centro.negocio]=$B$32) *
  (desp[data.pagamento]&gt;=K$1) *
  (desp[data.pagamento]&lt;EOMONTH(K$1,0)+1)
)</f>
        <v>0</v>
      </c>
      <c r="L33" s="247" cm="1">
        <f t="array" ref="L33">-SUMPRODUCT(
  desp[valor] *
  (desp[nucleo]=$B33) *
  (desp[centro.negocio]=$B$32) *
  (desp[data.pagamento]&gt;=L$1) *
  (desp[data.pagamento]&lt;EOMONTH(L$1,0)+1)
)</f>
        <v>0</v>
      </c>
      <c r="M33" s="247" cm="1">
        <f t="array" ref="M33">-SUMPRODUCT(
  desp[valor] *
  (desp[nucleo]=$B33) *
  (desp[centro.negocio]=$B$32) *
  (desp[data.pagamento]&gt;=M$1) *
  (desp[data.pagamento]&lt;EOMONTH(M$1,0)+1)
)</f>
        <v>0</v>
      </c>
      <c r="N33" s="247" cm="1">
        <f t="array" ref="N33">-SUMPRODUCT(
  desp[valor] *
  (desp[nucleo]=$B33) *
  (desp[centro.negocio]=$B$32) *
  (desp[data.pagamento]&gt;=N$1) *
  (desp[data.pagamento]&lt;EOMONTH(N$1,0)+1)
)</f>
        <v>0</v>
      </c>
      <c r="O33" s="247" cm="1">
        <f t="array" ref="O33">-SUMPRODUCT(
  desp[valor] *
  (desp[nucleo]=$B33) *
  (desp[centro.negocio]=$B$32) *
  (desp[data.pagamento]&gt;=O$1) *
  (desp[data.pagamento]&lt;EOMONTH(O$1,0)+1)
)</f>
        <v>0</v>
      </c>
      <c r="P33" s="247" cm="1">
        <f t="array" ref="P33">-SUMPRODUCT(
  desp[valor] *
  (desp[nucleo]=$B33) *
  (desp[centro.negocio]=$B$32) *
  (desp[data.pagamento]&gt;=P$1) *
  (desp[data.pagamento]&lt;EOMONTH(P$1,0)+1)
)</f>
        <v>0</v>
      </c>
      <c r="Q33" s="247" cm="1">
        <f t="array" ref="Q33">-SUMPRODUCT(
  desp[valor] *
  (desp[nucleo]=$B33) *
  (desp[centro.negocio]=$B$32) *
  (desp[data.pagamento]&gt;=Q$1) *
  (desp[data.pagamento]&lt;EOMONTH(Q$1,0)+1)
)</f>
        <v>0</v>
      </c>
      <c r="R33" s="247" cm="1">
        <f t="array" ref="R33">-SUMPRODUCT(
  desp[valor] *
  (desp[nucleo]=$B33) *
  (desp[centro.negocio]=$B$32) *
  (desp[data.pagamento]&gt;=R$1) *
  (desp[data.pagamento]&lt;EOMONTH(R$1,0)+1)
)</f>
        <v>0</v>
      </c>
      <c r="T33" s="239">
        <f t="shared" si="14"/>
        <v>0</v>
      </c>
      <c r="X33" s="243" t="s">
        <v>703</v>
      </c>
      <c r="Y33" s="332" t="s">
        <v>407</v>
      </c>
      <c r="Z33" s="315" cm="1">
        <f t="array" ref="Z33">-SUMPRODUCT(
  desp[valor] *
  (desp[nucleo]=Z$1) *
  (desp[centro.negocio]=$Y33) *
  (desp[data.pagamento]&gt;=DATE(YEAR(inputs!$A$1),MONTH(inputs!$A$1),1)) *
  (desp[data.pagamento]&lt;EOMONTH(inputs!$A$1,0)+1)
)</f>
        <v>0</v>
      </c>
      <c r="AA33" s="315" cm="1">
        <f t="array" ref="AA33">-SUMPRODUCT(
  desp[valor] *
  (desp[nucleo]=AA$1) *
  (desp[centro.negocio]=$Y33) *
  (desp[data.pagamento]&gt;=DATE(YEAR(inputs!$A$1),MONTH(inputs!$A$1),1)) *
  (desp[data.pagamento]&lt;EOMONTH(inputs!$A$1,0)+1)
)</f>
        <v>0</v>
      </c>
      <c r="AB33" s="315" cm="1">
        <f t="array" ref="AB33">-SUMPRODUCT(
  desp[valor] *
  (desp[nucleo]=AB$1) *
  (desp[centro.negocio]=$Y33) *
  (desp[data.pagamento]&gt;=DATE(YEAR(inputs!$A$1),MONTH(inputs!$A$1),1)) *
  (desp[data.pagamento]&lt;EOMONTH(inputs!$A$1,0)+1)
)</f>
        <v>0</v>
      </c>
      <c r="AC33" s="315" cm="1">
        <f t="array" ref="AC33">-SUMPRODUCT(
  desp[valor] *
  (desp[nucleo]=AC$1) *
  (desp[centro.negocio]=$Y33) *
  (desp[data.pagamento]&gt;=DATE(YEAR(inputs!$A$1),MONTH(inputs!$A$1),1)) *
  (desp[data.pagamento]&lt;EOMONTH(inputs!$A$1,0)+1)
)</f>
        <v>0</v>
      </c>
      <c r="AD33" s="315" cm="1">
        <f t="array" ref="AD33">-SUMPRODUCT(
  desp[valor] *
  (desp[nucleo]=AD$1) *
  (desp[centro.negocio]=$Y33) *
  (desp[data.pagamento]&gt;=DATE(YEAR(inputs!$A$1),MONTH(inputs!$A$1),1)) *
  (desp[data.pagamento]&lt;EOMONTH(inputs!$A$1,0)+1)
)</f>
        <v>0</v>
      </c>
      <c r="AE33" s="315" cm="1">
        <f t="array" ref="AE33">-SUMPRODUCT(
  desp[valor] *
  (desp[nucleo]=AE$1) *
  (desp[centro.negocio]=$Y33) *
  (desp[data.pagamento]&gt;=DATE(YEAR(inputs!$A$1),MONTH(inputs!$A$1),1)) *
  (desp[data.pagamento]&lt;EOMONTH(inputs!$A$1,0)+1)
)</f>
        <v>0</v>
      </c>
      <c r="AF33" s="315" cm="1">
        <f t="array" ref="AF33">-SUMPRODUCT(
  desp[valor] *
  (desp[nucleo]=AF$1) *
  (desp[centro.negocio]=$Y33) *
  (desp[data.pagamento]&gt;=DATE(YEAR(inputs!$A$1),MONTH(inputs!$A$1),1)) *
  (desp[data.pagamento]&lt;EOMONTH(inputs!$A$1,0)+1)
)</f>
        <v>0</v>
      </c>
      <c r="AG33" s="315" cm="1">
        <f t="array" ref="AG33">-SUMPRODUCT(
  desp[valor] *
  (desp[nucleo]=AG$1) *
  (desp[centro.negocio]=$Y33) *
  (desp[data.pagamento]&gt;=DATE(YEAR(inputs!$A$1),MONTH(inputs!$A$1),1)) *
  (desp[data.pagamento]&lt;EOMONTH(inputs!$A$1,0)+1)
)</f>
        <v>0</v>
      </c>
      <c r="AH33" s="316" cm="1">
        <f t="array" ref="AH33">-SUMPRODUCT(
  desp[valor] *
  (desp[nucleo]=AH$1) *
  (desp[centro.negocio]=$Y33) *
  (desp[data.pagamento]&gt;=DATE(YEAR(inputs!$A$1),MONTH(inputs!$A$1),1)) *
  (desp[data.pagamento]&lt;EOMONTH(inputs!$A$1,0)+1)
)</f>
        <v>0</v>
      </c>
      <c r="AJ33" s="247">
        <f t="shared" si="5"/>
        <v>0</v>
      </c>
      <c r="BT33" s="257" t="s">
        <v>719</v>
      </c>
      <c r="BU33" s="254" t="s">
        <v>720</v>
      </c>
      <c r="BV33" s="193"/>
      <c r="BW33" s="247"/>
      <c r="BX33" s="247"/>
      <c r="BY33" s="247"/>
      <c r="BZ33" s="247"/>
      <c r="CA33" s="247"/>
      <c r="CB33" s="247"/>
      <c r="CC33" s="247"/>
      <c r="CD33" s="247"/>
      <c r="CE33" s="247"/>
      <c r="CF33" s="247"/>
      <c r="CG33" s="247"/>
      <c r="CH33" s="247"/>
      <c r="CI33" s="247"/>
      <c r="CJ33" s="247"/>
    </row>
    <row r="34" spans="1:88" outlineLevel="2" x14ac:dyDescent="0.25">
      <c r="A34" s="246" t="s">
        <v>547</v>
      </c>
      <c r="B34" s="246" t="s">
        <v>548</v>
      </c>
      <c r="C34" s="193" t="s">
        <v>522</v>
      </c>
      <c r="D34" s="247" cm="1">
        <f t="array" ref="D34">-SUMPRODUCT(
  desp[valor] *
  (desp[nucleo]=$B34) *
  (desp[centro.negocio]=$B$32) *
  (desp[data.pagamento]&gt;=D$1) *
  (desp[data.pagamento]&lt;EOMONTH(D$1,0)+1)
)</f>
        <v>0</v>
      </c>
      <c r="E34" s="247" cm="1">
        <f t="array" ref="E34">-SUMPRODUCT(
  desp[valor] *
  (desp[nucleo]=$B34) *
  (desp[centro.negocio]=$B$32) *
  (desp[data.pagamento]&gt;=E$1) *
  (desp[data.pagamento]&lt;EOMONTH(E$1,0)+1)
)</f>
        <v>0</v>
      </c>
      <c r="F34" s="247" cm="1">
        <f t="array" ref="F34">-SUMPRODUCT(
  desp[valor] *
  (desp[nucleo]=$B34) *
  (desp[centro.negocio]=$B$32) *
  (desp[data.pagamento]&gt;=F$1) *
  (desp[data.pagamento]&lt;EOMONTH(F$1,0)+1)
)</f>
        <v>0</v>
      </c>
      <c r="G34" s="247" cm="1">
        <f t="array" ref="G34">-SUMPRODUCT(
  desp[valor] *
  (desp[nucleo]=$B34) *
  (desp[centro.negocio]=$B$32) *
  (desp[data.pagamento]&gt;=G$1) *
  (desp[data.pagamento]&lt;EOMONTH(G$1,0)+1)
)</f>
        <v>0</v>
      </c>
      <c r="H34" s="247" cm="1">
        <f t="array" ref="H34">-SUMPRODUCT(
  desp[valor] *
  (desp[nucleo]=$B34) *
  (desp[centro.negocio]=$B$32) *
  (desp[data.pagamento]&gt;=H$1) *
  (desp[data.pagamento]&lt;EOMONTH(H$1,0)+1)
)</f>
        <v>0</v>
      </c>
      <c r="I34" s="247" cm="1">
        <f t="array" ref="I34">-SUMPRODUCT(
  desp[valor] *
  (desp[nucleo]=$B34) *
  (desp[centro.negocio]=$B$32) *
  (desp[data.pagamento]&gt;=I$1) *
  (desp[data.pagamento]&lt;EOMONTH(I$1,0)+1)
)</f>
        <v>0</v>
      </c>
      <c r="J34" s="247" cm="1">
        <f t="array" ref="J34">-SUMPRODUCT(
  desp[valor] *
  (desp[nucleo]=$B34) *
  (desp[centro.negocio]=$B$32) *
  (desp[data.pagamento]&gt;=J$1) *
  (desp[data.pagamento]&lt;EOMONTH(J$1,0)+1)
)</f>
        <v>0</v>
      </c>
      <c r="K34" s="247" cm="1">
        <f t="array" ref="K34">-SUMPRODUCT(
  desp[valor] *
  (desp[nucleo]=$B34) *
  (desp[centro.negocio]=$B$32) *
  (desp[data.pagamento]&gt;=K$1) *
  (desp[data.pagamento]&lt;EOMONTH(K$1,0)+1)
)</f>
        <v>0</v>
      </c>
      <c r="L34" s="247" cm="1">
        <f t="array" ref="L34">-SUMPRODUCT(
  desp[valor] *
  (desp[nucleo]=$B34) *
  (desp[centro.negocio]=$B$32) *
  (desp[data.pagamento]&gt;=L$1) *
  (desp[data.pagamento]&lt;EOMONTH(L$1,0)+1)
)</f>
        <v>0</v>
      </c>
      <c r="M34" s="247" cm="1">
        <f t="array" ref="M34">-SUMPRODUCT(
  desp[valor] *
  (desp[nucleo]=$B34) *
  (desp[centro.negocio]=$B$32) *
  (desp[data.pagamento]&gt;=M$1) *
  (desp[data.pagamento]&lt;EOMONTH(M$1,0)+1)
)</f>
        <v>0</v>
      </c>
      <c r="N34" s="247" cm="1">
        <f t="array" ref="N34">-SUMPRODUCT(
  desp[valor] *
  (desp[nucleo]=$B34) *
  (desp[centro.negocio]=$B$32) *
  (desp[data.pagamento]&gt;=N$1) *
  (desp[data.pagamento]&lt;EOMONTH(N$1,0)+1)
)</f>
        <v>0</v>
      </c>
      <c r="O34" s="247" cm="1">
        <f t="array" ref="O34">-SUMPRODUCT(
  desp[valor] *
  (desp[nucleo]=$B34) *
  (desp[centro.negocio]=$B$32) *
  (desp[data.pagamento]&gt;=O$1) *
  (desp[data.pagamento]&lt;EOMONTH(O$1,0)+1)
)</f>
        <v>0</v>
      </c>
      <c r="P34" s="247" cm="1">
        <f t="array" ref="P34">-SUMPRODUCT(
  desp[valor] *
  (desp[nucleo]=$B34) *
  (desp[centro.negocio]=$B$32) *
  (desp[data.pagamento]&gt;=P$1) *
  (desp[data.pagamento]&lt;EOMONTH(P$1,0)+1)
)</f>
        <v>0</v>
      </c>
      <c r="Q34" s="247" cm="1">
        <f t="array" ref="Q34">-SUMPRODUCT(
  desp[valor] *
  (desp[nucleo]=$B34) *
  (desp[centro.negocio]=$B$32) *
  (desp[data.pagamento]&gt;=Q$1) *
  (desp[data.pagamento]&lt;EOMONTH(Q$1,0)+1)
)</f>
        <v>0</v>
      </c>
      <c r="R34" s="247" cm="1">
        <f t="array" ref="R34">-SUMPRODUCT(
  desp[valor] *
  (desp[nucleo]=$B34) *
  (desp[centro.negocio]=$B$32) *
  (desp[data.pagamento]&gt;=R$1) *
  (desp[data.pagamento]&lt;EOMONTH(R$1,0)+1)
)</f>
        <v>0</v>
      </c>
      <c r="T34" s="239">
        <f t="shared" si="14"/>
        <v>0</v>
      </c>
      <c r="X34" s="243" t="s">
        <v>719</v>
      </c>
      <c r="Y34" s="334" t="s">
        <v>720</v>
      </c>
      <c r="Z34" s="321"/>
      <c r="AA34" s="321"/>
      <c r="AB34" s="321"/>
      <c r="AC34" s="321"/>
      <c r="AD34" s="321"/>
      <c r="AE34" s="321"/>
      <c r="AF34" s="321"/>
      <c r="AG34" s="321"/>
      <c r="AH34" s="322"/>
      <c r="AJ34" s="247">
        <f t="shared" si="5"/>
        <v>0</v>
      </c>
      <c r="BT34" s="257" t="s">
        <v>721</v>
      </c>
      <c r="BU34" s="254" t="s">
        <v>722</v>
      </c>
      <c r="BV34" s="193"/>
      <c r="BW34" s="247"/>
      <c r="BX34" s="247"/>
      <c r="BY34" s="247"/>
      <c r="BZ34" s="247"/>
      <c r="CA34" s="247"/>
      <c r="CB34" s="247"/>
      <c r="CC34" s="247"/>
      <c r="CD34" s="247"/>
      <c r="CE34" s="247"/>
      <c r="CF34" s="247"/>
      <c r="CG34" s="247"/>
      <c r="CH34" s="247"/>
      <c r="CI34" s="247"/>
      <c r="CJ34" s="247"/>
    </row>
    <row r="35" spans="1:88" outlineLevel="2" x14ac:dyDescent="0.25">
      <c r="A35" s="246" t="s">
        <v>549</v>
      </c>
      <c r="B35" s="246" t="s">
        <v>550</v>
      </c>
      <c r="C35" s="193" t="s">
        <v>522</v>
      </c>
      <c r="D35" s="247" cm="1">
        <f t="array" ref="D35">-SUMPRODUCT(
  desp[valor] *
  (desp[nucleo]=$B35) *
  (desp[centro.negocio]=$B$32) *
  (desp[data.pagamento]&gt;=D$1) *
  (desp[data.pagamento]&lt;EOMONTH(D$1,0)+1)
)</f>
        <v>0</v>
      </c>
      <c r="E35" s="247" cm="1">
        <f t="array" ref="E35">-SUMPRODUCT(
  desp[valor] *
  (desp[nucleo]=$B35) *
  (desp[centro.negocio]=$B$32) *
  (desp[data.pagamento]&gt;=E$1) *
  (desp[data.pagamento]&lt;EOMONTH(E$1,0)+1)
)</f>
        <v>0</v>
      </c>
      <c r="F35" s="247" cm="1">
        <f t="array" ref="F35">-SUMPRODUCT(
  desp[valor] *
  (desp[nucleo]=$B35) *
  (desp[centro.negocio]=$B$32) *
  (desp[data.pagamento]&gt;=F$1) *
  (desp[data.pagamento]&lt;EOMONTH(F$1,0)+1)
)</f>
        <v>0</v>
      </c>
      <c r="G35" s="247" cm="1">
        <f t="array" ref="G35">-SUMPRODUCT(
  desp[valor] *
  (desp[nucleo]=$B35) *
  (desp[centro.negocio]=$B$32) *
  (desp[data.pagamento]&gt;=G$1) *
  (desp[data.pagamento]&lt;EOMONTH(G$1,0)+1)
)</f>
        <v>0</v>
      </c>
      <c r="H35" s="247" cm="1">
        <f t="array" ref="H35">-SUMPRODUCT(
  desp[valor] *
  (desp[nucleo]=$B35) *
  (desp[centro.negocio]=$B$32) *
  (desp[data.pagamento]&gt;=H$1) *
  (desp[data.pagamento]&lt;EOMONTH(H$1,0)+1)
)</f>
        <v>0</v>
      </c>
      <c r="I35" s="247" cm="1">
        <f t="array" ref="I35">-SUMPRODUCT(
  desp[valor] *
  (desp[nucleo]=$B35) *
  (desp[centro.negocio]=$B$32) *
  (desp[data.pagamento]&gt;=I$1) *
  (desp[data.pagamento]&lt;EOMONTH(I$1,0)+1)
)</f>
        <v>0</v>
      </c>
      <c r="J35" s="247" cm="1">
        <f t="array" ref="J35">-SUMPRODUCT(
  desp[valor] *
  (desp[nucleo]=$B35) *
  (desp[centro.negocio]=$B$32) *
  (desp[data.pagamento]&gt;=J$1) *
  (desp[data.pagamento]&lt;EOMONTH(J$1,0)+1)
)</f>
        <v>0</v>
      </c>
      <c r="K35" s="247" cm="1">
        <f t="array" ref="K35">-SUMPRODUCT(
  desp[valor] *
  (desp[nucleo]=$B35) *
  (desp[centro.negocio]=$B$32) *
  (desp[data.pagamento]&gt;=K$1) *
  (desp[data.pagamento]&lt;EOMONTH(K$1,0)+1)
)</f>
        <v>0</v>
      </c>
      <c r="L35" s="247" cm="1">
        <f t="array" ref="L35">-SUMPRODUCT(
  desp[valor] *
  (desp[nucleo]=$B35) *
  (desp[centro.negocio]=$B$32) *
  (desp[data.pagamento]&gt;=L$1) *
  (desp[data.pagamento]&lt;EOMONTH(L$1,0)+1)
)</f>
        <v>0</v>
      </c>
      <c r="M35" s="247" cm="1">
        <f t="array" ref="M35">-SUMPRODUCT(
  desp[valor] *
  (desp[nucleo]=$B35) *
  (desp[centro.negocio]=$B$32) *
  (desp[data.pagamento]&gt;=M$1) *
  (desp[data.pagamento]&lt;EOMONTH(M$1,0)+1)
)</f>
        <v>0</v>
      </c>
      <c r="N35" s="247" cm="1">
        <f t="array" ref="N35">-SUMPRODUCT(
  desp[valor] *
  (desp[nucleo]=$B35) *
  (desp[centro.negocio]=$B$32) *
  (desp[data.pagamento]&gt;=N$1) *
  (desp[data.pagamento]&lt;EOMONTH(N$1,0)+1)
)</f>
        <v>0</v>
      </c>
      <c r="O35" s="247" cm="1">
        <f t="array" ref="O35">-SUMPRODUCT(
  desp[valor] *
  (desp[nucleo]=$B35) *
  (desp[centro.negocio]=$B$32) *
  (desp[data.pagamento]&gt;=O$1) *
  (desp[data.pagamento]&lt;EOMONTH(O$1,0)+1)
)</f>
        <v>0</v>
      </c>
      <c r="P35" s="247" cm="1">
        <f t="array" ref="P35">-SUMPRODUCT(
  desp[valor] *
  (desp[nucleo]=$B35) *
  (desp[centro.negocio]=$B$32) *
  (desp[data.pagamento]&gt;=P$1) *
  (desp[data.pagamento]&lt;EOMONTH(P$1,0)+1)
)</f>
        <v>0</v>
      </c>
      <c r="Q35" s="247" cm="1">
        <f t="array" ref="Q35">-SUMPRODUCT(
  desp[valor] *
  (desp[nucleo]=$B35) *
  (desp[centro.negocio]=$B$32) *
  (desp[data.pagamento]&gt;=Q$1) *
  (desp[data.pagamento]&lt;EOMONTH(Q$1,0)+1)
)</f>
        <v>0</v>
      </c>
      <c r="R35" s="247" cm="1">
        <f t="array" ref="R35">-SUMPRODUCT(
  desp[valor] *
  (desp[nucleo]=$B35) *
  (desp[centro.negocio]=$B$32) *
  (desp[data.pagamento]&gt;=R$1) *
  (desp[data.pagamento]&lt;EOMONTH(R$1,0)+1)
)</f>
        <v>0</v>
      </c>
      <c r="T35" s="239">
        <f t="shared" si="14"/>
        <v>0</v>
      </c>
      <c r="X35" s="243" t="s">
        <v>721</v>
      </c>
      <c r="Y35" s="334" t="s">
        <v>722</v>
      </c>
      <c r="Z35" s="321"/>
      <c r="AA35" s="321"/>
      <c r="AB35" s="321"/>
      <c r="AC35" s="321"/>
      <c r="AD35" s="321"/>
      <c r="AE35" s="321"/>
      <c r="AF35" s="321"/>
      <c r="AG35" s="321"/>
      <c r="AH35" s="322"/>
      <c r="AJ35" s="247">
        <f t="shared" si="5"/>
        <v>0</v>
      </c>
      <c r="BT35" s="236" t="s">
        <v>723</v>
      </c>
      <c r="BU35" s="236" t="s">
        <v>724</v>
      </c>
      <c r="BV35" s="237"/>
      <c r="BW35" s="238">
        <v>1301708.8500000001</v>
      </c>
      <c r="BX35" s="238">
        <v>0</v>
      </c>
      <c r="BY35" s="238">
        <v>621715.06000000006</v>
      </c>
      <c r="BZ35" s="238">
        <v>3408120.66</v>
      </c>
      <c r="CA35" s="238">
        <v>6070665.4500000002</v>
      </c>
      <c r="CB35" s="238">
        <v>2693304.8</v>
      </c>
      <c r="CC35" s="238">
        <v>1715270.17</v>
      </c>
      <c r="CD35" s="238">
        <v>8459049.3599999994</v>
      </c>
      <c r="CE35" s="238">
        <v>1226397.81</v>
      </c>
      <c r="CF35" s="238">
        <v>3497137.5199999996</v>
      </c>
      <c r="CG35" s="238">
        <v>-3397342.11</v>
      </c>
      <c r="CH35" s="238">
        <v>471701.2</v>
      </c>
      <c r="CI35" s="238">
        <v>1138483.6300000001</v>
      </c>
      <c r="CJ35" s="238">
        <v>650997.91</v>
      </c>
    </row>
    <row r="36" spans="1:88" outlineLevel="2" x14ac:dyDescent="0.25">
      <c r="A36" s="246" t="s">
        <v>551</v>
      </c>
      <c r="B36" s="246" t="s">
        <v>552</v>
      </c>
      <c r="C36" s="193" t="s">
        <v>522</v>
      </c>
      <c r="D36" s="247" cm="1">
        <f t="array" ref="D36">-SUMPRODUCT(
  desp[valor] *
  (desp[nucleo]=$B36) *
  (desp[centro.negocio]=$B$32) *
  (desp[data.pagamento]&gt;=D$1) *
  (desp[data.pagamento]&lt;EOMONTH(D$1,0)+1)
)</f>
        <v>0</v>
      </c>
      <c r="E36" s="247" cm="1">
        <f t="array" ref="E36">-SUMPRODUCT(
  desp[valor] *
  (desp[nucleo]=$B36) *
  (desp[centro.negocio]=$B$32) *
  (desp[data.pagamento]&gt;=E$1) *
  (desp[data.pagamento]&lt;EOMONTH(E$1,0)+1)
)</f>
        <v>0</v>
      </c>
      <c r="F36" s="247" cm="1">
        <f t="array" ref="F36">-SUMPRODUCT(
  desp[valor] *
  (desp[nucleo]=$B36) *
  (desp[centro.negocio]=$B$32) *
  (desp[data.pagamento]&gt;=F$1) *
  (desp[data.pagamento]&lt;EOMONTH(F$1,0)+1)
)</f>
        <v>0</v>
      </c>
      <c r="G36" s="247" cm="1">
        <f t="array" ref="G36">-SUMPRODUCT(
  desp[valor] *
  (desp[nucleo]=$B36) *
  (desp[centro.negocio]=$B$32) *
  (desp[data.pagamento]&gt;=G$1) *
  (desp[data.pagamento]&lt;EOMONTH(G$1,0)+1)
)</f>
        <v>0</v>
      </c>
      <c r="H36" s="247" cm="1">
        <f t="array" ref="H36">-SUMPRODUCT(
  desp[valor] *
  (desp[nucleo]=$B36) *
  (desp[centro.negocio]=$B$32) *
  (desp[data.pagamento]&gt;=H$1) *
  (desp[data.pagamento]&lt;EOMONTH(H$1,0)+1)
)</f>
        <v>0</v>
      </c>
      <c r="I36" s="247" cm="1">
        <f t="array" ref="I36">-SUMPRODUCT(
  desp[valor] *
  (desp[nucleo]=$B36) *
  (desp[centro.negocio]=$B$32) *
  (desp[data.pagamento]&gt;=I$1) *
  (desp[data.pagamento]&lt;EOMONTH(I$1,0)+1)
)</f>
        <v>0</v>
      </c>
      <c r="J36" s="247" cm="1">
        <f t="array" ref="J36">-SUMPRODUCT(
  desp[valor] *
  (desp[nucleo]=$B36) *
  (desp[centro.negocio]=$B$32) *
  (desp[data.pagamento]&gt;=J$1) *
  (desp[data.pagamento]&lt;EOMONTH(J$1,0)+1)
)</f>
        <v>0</v>
      </c>
      <c r="K36" s="247" cm="1">
        <f t="array" ref="K36">-SUMPRODUCT(
  desp[valor] *
  (desp[nucleo]=$B36) *
  (desp[centro.negocio]=$B$32) *
  (desp[data.pagamento]&gt;=K$1) *
  (desp[data.pagamento]&lt;EOMONTH(K$1,0)+1)
)</f>
        <v>0</v>
      </c>
      <c r="L36" s="247" cm="1">
        <f t="array" ref="L36">-SUMPRODUCT(
  desp[valor] *
  (desp[nucleo]=$B36) *
  (desp[centro.negocio]=$B$32) *
  (desp[data.pagamento]&gt;=L$1) *
  (desp[data.pagamento]&lt;EOMONTH(L$1,0)+1)
)</f>
        <v>0</v>
      </c>
      <c r="M36" s="247" cm="1">
        <f t="array" ref="M36">-SUMPRODUCT(
  desp[valor] *
  (desp[nucleo]=$B36) *
  (desp[centro.negocio]=$B$32) *
  (desp[data.pagamento]&gt;=M$1) *
  (desp[data.pagamento]&lt;EOMONTH(M$1,0)+1)
)</f>
        <v>0</v>
      </c>
      <c r="N36" s="247" cm="1">
        <f t="array" ref="N36">-SUMPRODUCT(
  desp[valor] *
  (desp[nucleo]=$B36) *
  (desp[centro.negocio]=$B$32) *
  (desp[data.pagamento]&gt;=N$1) *
  (desp[data.pagamento]&lt;EOMONTH(N$1,0)+1)
)</f>
        <v>0</v>
      </c>
      <c r="O36" s="247" cm="1">
        <f t="array" ref="O36">-SUMPRODUCT(
  desp[valor] *
  (desp[nucleo]=$B36) *
  (desp[centro.negocio]=$B$32) *
  (desp[data.pagamento]&gt;=O$1) *
  (desp[data.pagamento]&lt;EOMONTH(O$1,0)+1)
)</f>
        <v>0</v>
      </c>
      <c r="P36" s="247" cm="1">
        <f t="array" ref="P36">-SUMPRODUCT(
  desp[valor] *
  (desp[nucleo]=$B36) *
  (desp[centro.negocio]=$B$32) *
  (desp[data.pagamento]&gt;=P$1) *
  (desp[data.pagamento]&lt;EOMONTH(P$1,0)+1)
)</f>
        <v>0</v>
      </c>
      <c r="Q36" s="247" cm="1">
        <f t="array" ref="Q36">-SUMPRODUCT(
  desp[valor] *
  (desp[nucleo]=$B36) *
  (desp[centro.negocio]=$B$32) *
  (desp[data.pagamento]&gt;=Q$1) *
  (desp[data.pagamento]&lt;EOMONTH(Q$1,0)+1)
)</f>
        <v>0</v>
      </c>
      <c r="R36" s="247" cm="1">
        <f t="array" ref="R36">-SUMPRODUCT(
  desp[valor] *
  (desp[nucleo]=$B36) *
  (desp[centro.negocio]=$B$32) *
  (desp[data.pagamento]&gt;=R$1) *
  (desp[data.pagamento]&lt;EOMONTH(R$1,0)+1)
)</f>
        <v>0</v>
      </c>
      <c r="T36" s="239">
        <f t="shared" si="14"/>
        <v>0</v>
      </c>
      <c r="X36" s="236" t="s">
        <v>723</v>
      </c>
      <c r="Y36" s="330" t="s">
        <v>724</v>
      </c>
      <c r="Z36" s="311">
        <f>Z37+Z42</f>
        <v>0</v>
      </c>
      <c r="AA36" s="311">
        <f t="shared" ref="AA36:AH36" si="19">AA37+AA42</f>
        <v>0</v>
      </c>
      <c r="AB36" s="311">
        <f t="shared" si="19"/>
        <v>0</v>
      </c>
      <c r="AC36" s="311">
        <f t="shared" si="19"/>
        <v>528249.98</v>
      </c>
      <c r="AD36" s="311">
        <f t="shared" si="19"/>
        <v>1245070.1599999999</v>
      </c>
      <c r="AE36" s="311">
        <f t="shared" si="19"/>
        <v>0</v>
      </c>
      <c r="AF36" s="311">
        <f t="shared" si="19"/>
        <v>0</v>
      </c>
      <c r="AG36" s="311">
        <f t="shared" si="19"/>
        <v>472296.31</v>
      </c>
      <c r="AH36" s="312">
        <f t="shared" si="19"/>
        <v>0</v>
      </c>
      <c r="AJ36" s="247">
        <f t="shared" si="5"/>
        <v>2245616.4499999997</v>
      </c>
      <c r="BT36" s="240" t="s">
        <v>725</v>
      </c>
      <c r="BU36" s="240" t="s">
        <v>726</v>
      </c>
      <c r="BV36" s="241"/>
      <c r="BW36" s="242">
        <v>1301708.8500000001</v>
      </c>
      <c r="BX36" s="242">
        <v>0</v>
      </c>
      <c r="BY36" s="242">
        <v>621715.06000000006</v>
      </c>
      <c r="BZ36" s="242">
        <v>3408120.66</v>
      </c>
      <c r="CA36" s="242">
        <v>6070665.4500000002</v>
      </c>
      <c r="CB36" s="242">
        <v>2693304.8</v>
      </c>
      <c r="CC36" s="242">
        <v>1715270.17</v>
      </c>
      <c r="CD36" s="242">
        <v>8459049.3599999994</v>
      </c>
      <c r="CE36" s="242">
        <v>1226397.81</v>
      </c>
      <c r="CF36" s="242">
        <v>6497137.5199999996</v>
      </c>
      <c r="CG36" s="242">
        <v>809114.02</v>
      </c>
      <c r="CH36" s="242">
        <v>471701.2</v>
      </c>
      <c r="CI36" s="242">
        <v>1138483.6300000001</v>
      </c>
      <c r="CJ36" s="242">
        <v>650997.91</v>
      </c>
    </row>
    <row r="37" spans="1:88" outlineLevel="2" x14ac:dyDescent="0.25">
      <c r="A37" s="246" t="s">
        <v>553</v>
      </c>
      <c r="B37" s="246" t="s">
        <v>554</v>
      </c>
      <c r="C37" s="193" t="s">
        <v>522</v>
      </c>
      <c r="D37" s="247" cm="1">
        <f t="array" ref="D37">-SUMPRODUCT(
  desp[valor] *
  (desp[nucleo]=$B37) *
  (desp[centro.negocio]=$B$32) *
  (desp[data.pagamento]&gt;=D$1) *
  (desp[data.pagamento]&lt;EOMONTH(D$1,0)+1)
)</f>
        <v>0</v>
      </c>
      <c r="E37" s="247" cm="1">
        <f t="array" ref="E37">-SUMPRODUCT(
  desp[valor] *
  (desp[nucleo]=$B37) *
  (desp[centro.negocio]=$B$32) *
  (desp[data.pagamento]&gt;=E$1) *
  (desp[data.pagamento]&lt;EOMONTH(E$1,0)+1)
)</f>
        <v>0</v>
      </c>
      <c r="F37" s="247" cm="1">
        <f t="array" ref="F37">-SUMPRODUCT(
  desp[valor] *
  (desp[nucleo]=$B37) *
  (desp[centro.negocio]=$B$32) *
  (desp[data.pagamento]&gt;=F$1) *
  (desp[data.pagamento]&lt;EOMONTH(F$1,0)+1)
)</f>
        <v>0</v>
      </c>
      <c r="G37" s="247" cm="1">
        <f t="array" ref="G37">-SUMPRODUCT(
  desp[valor] *
  (desp[nucleo]=$B37) *
  (desp[centro.negocio]=$B$32) *
  (desp[data.pagamento]&gt;=G$1) *
  (desp[data.pagamento]&lt;EOMONTH(G$1,0)+1)
)</f>
        <v>0</v>
      </c>
      <c r="H37" s="247" cm="1">
        <f t="array" ref="H37">-SUMPRODUCT(
  desp[valor] *
  (desp[nucleo]=$B37) *
  (desp[centro.negocio]=$B$32) *
  (desp[data.pagamento]&gt;=H$1) *
  (desp[data.pagamento]&lt;EOMONTH(H$1,0)+1)
)</f>
        <v>0</v>
      </c>
      <c r="I37" s="247" cm="1">
        <f t="array" ref="I37">-SUMPRODUCT(
  desp[valor] *
  (desp[nucleo]=$B37) *
  (desp[centro.negocio]=$B$32) *
  (desp[data.pagamento]&gt;=I$1) *
  (desp[data.pagamento]&lt;EOMONTH(I$1,0)+1)
)</f>
        <v>0</v>
      </c>
      <c r="J37" s="247" cm="1">
        <f t="array" ref="J37">-SUMPRODUCT(
  desp[valor] *
  (desp[nucleo]=$B37) *
  (desp[centro.negocio]=$B$32) *
  (desp[data.pagamento]&gt;=J$1) *
  (desp[data.pagamento]&lt;EOMONTH(J$1,0)+1)
)</f>
        <v>0</v>
      </c>
      <c r="K37" s="247" cm="1">
        <f t="array" ref="K37">-SUMPRODUCT(
  desp[valor] *
  (desp[nucleo]=$B37) *
  (desp[centro.negocio]=$B$32) *
  (desp[data.pagamento]&gt;=K$1) *
  (desp[data.pagamento]&lt;EOMONTH(K$1,0)+1)
)</f>
        <v>0</v>
      </c>
      <c r="L37" s="247" cm="1">
        <f t="array" ref="L37">-SUMPRODUCT(
  desp[valor] *
  (desp[nucleo]=$B37) *
  (desp[centro.negocio]=$B$32) *
  (desp[data.pagamento]&gt;=L$1) *
  (desp[data.pagamento]&lt;EOMONTH(L$1,0)+1)
)</f>
        <v>0</v>
      </c>
      <c r="M37" s="247" cm="1">
        <f t="array" ref="M37">-SUMPRODUCT(
  desp[valor] *
  (desp[nucleo]=$B37) *
  (desp[centro.negocio]=$B$32) *
  (desp[data.pagamento]&gt;=M$1) *
  (desp[data.pagamento]&lt;EOMONTH(M$1,0)+1)
)</f>
        <v>0</v>
      </c>
      <c r="N37" s="247" cm="1">
        <f t="array" ref="N37">-SUMPRODUCT(
  desp[valor] *
  (desp[nucleo]=$B37) *
  (desp[centro.negocio]=$B$32) *
  (desp[data.pagamento]&gt;=N$1) *
  (desp[data.pagamento]&lt;EOMONTH(N$1,0)+1)
)</f>
        <v>0</v>
      </c>
      <c r="O37" s="247" cm="1">
        <f t="array" ref="O37">-SUMPRODUCT(
  desp[valor] *
  (desp[nucleo]=$B37) *
  (desp[centro.negocio]=$B$32) *
  (desp[data.pagamento]&gt;=O$1) *
  (desp[data.pagamento]&lt;EOMONTH(O$1,0)+1)
)</f>
        <v>0</v>
      </c>
      <c r="P37" s="247" cm="1">
        <f t="array" ref="P37">-SUMPRODUCT(
  desp[valor] *
  (desp[nucleo]=$B37) *
  (desp[centro.negocio]=$B$32) *
  (desp[data.pagamento]&gt;=P$1) *
  (desp[data.pagamento]&lt;EOMONTH(P$1,0)+1)
)</f>
        <v>0</v>
      </c>
      <c r="Q37" s="247" cm="1">
        <f t="array" ref="Q37">-SUMPRODUCT(
  desp[valor] *
  (desp[nucleo]=$B37) *
  (desp[centro.negocio]=$B$32) *
  (desp[data.pagamento]&gt;=Q$1) *
  (desp[data.pagamento]&lt;EOMONTH(Q$1,0)+1)
)</f>
        <v>0</v>
      </c>
      <c r="R37" s="247" cm="1">
        <f t="array" ref="R37">-SUMPRODUCT(
  desp[valor] *
  (desp[nucleo]=$B37) *
  (desp[centro.negocio]=$B$32) *
  (desp[data.pagamento]&gt;=R$1) *
  (desp[data.pagamento]&lt;EOMONTH(R$1,0)+1)
)</f>
        <v>0</v>
      </c>
      <c r="T37" s="239">
        <f t="shared" si="14"/>
        <v>0</v>
      </c>
      <c r="X37" s="240" t="s">
        <v>725</v>
      </c>
      <c r="Y37" s="331" t="s">
        <v>726</v>
      </c>
      <c r="Z37" s="313">
        <f>Z38+Z41</f>
        <v>0</v>
      </c>
      <c r="AA37" s="313">
        <f t="shared" ref="AA37:AH37" si="20">AA38+AA41</f>
        <v>0</v>
      </c>
      <c r="AB37" s="313">
        <f t="shared" si="20"/>
        <v>0</v>
      </c>
      <c r="AC37" s="313">
        <f t="shared" si="20"/>
        <v>528249.98</v>
      </c>
      <c r="AD37" s="313">
        <f t="shared" si="20"/>
        <v>1245070.1599999999</v>
      </c>
      <c r="AE37" s="313">
        <f t="shared" si="20"/>
        <v>0</v>
      </c>
      <c r="AF37" s="313">
        <f t="shared" si="20"/>
        <v>0</v>
      </c>
      <c r="AG37" s="313">
        <f t="shared" si="20"/>
        <v>472296.31</v>
      </c>
      <c r="AH37" s="314">
        <f t="shared" si="20"/>
        <v>0</v>
      </c>
      <c r="AJ37" s="247">
        <f t="shared" si="5"/>
        <v>2245616.4499999997</v>
      </c>
      <c r="BT37" s="243" t="s">
        <v>727</v>
      </c>
      <c r="BU37" s="243" t="s">
        <v>728</v>
      </c>
      <c r="BV37" s="244" t="s">
        <v>729</v>
      </c>
      <c r="BW37" s="245">
        <v>1301708.8500000001</v>
      </c>
      <c r="BX37" s="245">
        <v>0</v>
      </c>
      <c r="BY37" s="245">
        <v>621715.06000000006</v>
      </c>
      <c r="BZ37" s="245">
        <v>3408120.66</v>
      </c>
      <c r="CA37" s="245">
        <v>6070665.4500000002</v>
      </c>
      <c r="CB37" s="245">
        <v>2693304.8</v>
      </c>
      <c r="CC37" s="245">
        <v>1715270.17</v>
      </c>
      <c r="CD37" s="245">
        <v>8459049.3599999994</v>
      </c>
      <c r="CE37" s="245">
        <v>1226397.81</v>
      </c>
      <c r="CF37" s="245">
        <v>6497137.5199999996</v>
      </c>
      <c r="CG37" s="245">
        <v>809114.02</v>
      </c>
      <c r="CH37" s="245">
        <v>471701.2</v>
      </c>
      <c r="CI37" s="245">
        <v>1138483.6300000001</v>
      </c>
      <c r="CJ37" s="245">
        <v>650997.91</v>
      </c>
    </row>
    <row r="38" spans="1:88" outlineLevel="2" x14ac:dyDescent="0.25">
      <c r="A38" s="246" t="s">
        <v>555</v>
      </c>
      <c r="B38" s="246" t="s">
        <v>556</v>
      </c>
      <c r="C38" s="193" t="s">
        <v>522</v>
      </c>
      <c r="D38" s="247" cm="1">
        <f t="array" ref="D38">-SUMPRODUCT(
  desp[valor] *
  (desp[nucleo]=$B38) *
  (desp[centro.negocio]=$B$32) *
  (desp[data.pagamento]&gt;=D$1) *
  (desp[data.pagamento]&lt;EOMONTH(D$1,0)+1)
)</f>
        <v>0</v>
      </c>
      <c r="E38" s="247" cm="1">
        <f t="array" ref="E38">-SUMPRODUCT(
  desp[valor] *
  (desp[nucleo]=$B38) *
  (desp[centro.negocio]=$B$32) *
  (desp[data.pagamento]&gt;=E$1) *
  (desp[data.pagamento]&lt;EOMONTH(E$1,0)+1)
)</f>
        <v>0</v>
      </c>
      <c r="F38" s="247" cm="1">
        <f t="array" ref="F38">-SUMPRODUCT(
  desp[valor] *
  (desp[nucleo]=$B38) *
  (desp[centro.negocio]=$B$32) *
  (desp[data.pagamento]&gt;=F$1) *
  (desp[data.pagamento]&lt;EOMONTH(F$1,0)+1)
)</f>
        <v>0</v>
      </c>
      <c r="G38" s="247" cm="1">
        <f t="array" ref="G38">-SUMPRODUCT(
  desp[valor] *
  (desp[nucleo]=$B38) *
  (desp[centro.negocio]=$B$32) *
  (desp[data.pagamento]&gt;=G$1) *
  (desp[data.pagamento]&lt;EOMONTH(G$1,0)+1)
)</f>
        <v>0</v>
      </c>
      <c r="H38" s="247" cm="1">
        <f t="array" ref="H38">-SUMPRODUCT(
  desp[valor] *
  (desp[nucleo]=$B38) *
  (desp[centro.negocio]=$B$32) *
  (desp[data.pagamento]&gt;=H$1) *
  (desp[data.pagamento]&lt;EOMONTH(H$1,0)+1)
)</f>
        <v>0</v>
      </c>
      <c r="I38" s="247" cm="1">
        <f t="array" ref="I38">-SUMPRODUCT(
  desp[valor] *
  (desp[nucleo]=$B38) *
  (desp[centro.negocio]=$B$32) *
  (desp[data.pagamento]&gt;=I$1) *
  (desp[data.pagamento]&lt;EOMONTH(I$1,0)+1)
)</f>
        <v>0</v>
      </c>
      <c r="J38" s="247" cm="1">
        <f t="array" ref="J38">-SUMPRODUCT(
  desp[valor] *
  (desp[nucleo]=$B38) *
  (desp[centro.negocio]=$B$32) *
  (desp[data.pagamento]&gt;=J$1) *
  (desp[data.pagamento]&lt;EOMONTH(J$1,0)+1)
)</f>
        <v>0</v>
      </c>
      <c r="K38" s="247" cm="1">
        <f t="array" ref="K38">-SUMPRODUCT(
  desp[valor] *
  (desp[nucleo]=$B38) *
  (desp[centro.negocio]=$B$32) *
  (desp[data.pagamento]&gt;=K$1) *
  (desp[data.pagamento]&lt;EOMONTH(K$1,0)+1)
)</f>
        <v>0</v>
      </c>
      <c r="L38" s="247" cm="1">
        <f t="array" ref="L38">-SUMPRODUCT(
  desp[valor] *
  (desp[nucleo]=$B38) *
  (desp[centro.negocio]=$B$32) *
  (desp[data.pagamento]&gt;=L$1) *
  (desp[data.pagamento]&lt;EOMONTH(L$1,0)+1)
)</f>
        <v>0</v>
      </c>
      <c r="M38" s="247" cm="1">
        <f t="array" ref="M38">-SUMPRODUCT(
  desp[valor] *
  (desp[nucleo]=$B38) *
  (desp[centro.negocio]=$B$32) *
  (desp[data.pagamento]&gt;=M$1) *
  (desp[data.pagamento]&lt;EOMONTH(M$1,0)+1)
)</f>
        <v>0</v>
      </c>
      <c r="N38" s="247" cm="1">
        <f t="array" ref="N38">-SUMPRODUCT(
  desp[valor] *
  (desp[nucleo]=$B38) *
  (desp[centro.negocio]=$B$32) *
  (desp[data.pagamento]&gt;=N$1) *
  (desp[data.pagamento]&lt;EOMONTH(N$1,0)+1)
)</f>
        <v>0</v>
      </c>
      <c r="O38" s="247" cm="1">
        <f t="array" ref="O38">-SUMPRODUCT(
  desp[valor] *
  (desp[nucleo]=$B38) *
  (desp[centro.negocio]=$B$32) *
  (desp[data.pagamento]&gt;=O$1) *
  (desp[data.pagamento]&lt;EOMONTH(O$1,0)+1)
)</f>
        <v>0</v>
      </c>
      <c r="P38" s="247" cm="1">
        <f t="array" ref="P38">-SUMPRODUCT(
  desp[valor] *
  (desp[nucleo]=$B38) *
  (desp[centro.negocio]=$B$32) *
  (desp[data.pagamento]&gt;=P$1) *
  (desp[data.pagamento]&lt;EOMONTH(P$1,0)+1)
)</f>
        <v>0</v>
      </c>
      <c r="Q38" s="247" cm="1">
        <f t="array" ref="Q38">-SUMPRODUCT(
  desp[valor] *
  (desp[nucleo]=$B38) *
  (desp[centro.negocio]=$B$32) *
  (desp[data.pagamento]&gt;=Q$1) *
  (desp[data.pagamento]&lt;EOMONTH(Q$1,0)+1)
)</f>
        <v>0</v>
      </c>
      <c r="R38" s="247" cm="1">
        <f t="array" ref="R38">-SUMPRODUCT(
  desp[valor] *
  (desp[nucleo]=$B38) *
  (desp[centro.negocio]=$B$32) *
  (desp[data.pagamento]&gt;=R$1) *
  (desp[data.pagamento]&lt;EOMONTH(R$1,0)+1)
)</f>
        <v>0</v>
      </c>
      <c r="T38" s="239">
        <f t="shared" si="14"/>
        <v>0</v>
      </c>
      <c r="X38" s="243" t="s">
        <v>727</v>
      </c>
      <c r="Y38" s="332" t="s">
        <v>728</v>
      </c>
      <c r="Z38" s="315">
        <f>SUM(Z39:Z40)</f>
        <v>0</v>
      </c>
      <c r="AA38" s="315">
        <f t="shared" ref="AA38:AH38" si="21">SUM(AA39:AA40)</f>
        <v>0</v>
      </c>
      <c r="AB38" s="315">
        <f t="shared" si="21"/>
        <v>0</v>
      </c>
      <c r="AC38" s="315">
        <f t="shared" si="21"/>
        <v>528249.98</v>
      </c>
      <c r="AD38" s="315">
        <f t="shared" si="21"/>
        <v>1245070.1599999999</v>
      </c>
      <c r="AE38" s="315">
        <f t="shared" si="21"/>
        <v>0</v>
      </c>
      <c r="AF38" s="315">
        <f t="shared" si="21"/>
        <v>0</v>
      </c>
      <c r="AG38" s="315">
        <f t="shared" si="21"/>
        <v>472296.31</v>
      </c>
      <c r="AH38" s="316">
        <f t="shared" si="21"/>
        <v>0</v>
      </c>
      <c r="AJ38" s="247">
        <f t="shared" si="5"/>
        <v>2245616.4499999997</v>
      </c>
      <c r="BT38" s="258" t="s">
        <v>730</v>
      </c>
      <c r="BU38" s="258" t="s">
        <v>731</v>
      </c>
      <c r="BV38" s="244" t="s">
        <v>482</v>
      </c>
      <c r="BW38" s="245">
        <v>489068.85</v>
      </c>
      <c r="BX38" s="245">
        <v>0</v>
      </c>
      <c r="BY38" s="245">
        <v>621715.06000000006</v>
      </c>
      <c r="BZ38" s="245">
        <v>497086.75</v>
      </c>
      <c r="CA38" s="245">
        <v>134752.4</v>
      </c>
      <c r="CB38" s="245">
        <v>289304.8</v>
      </c>
      <c r="CC38" s="245">
        <v>1169364.17</v>
      </c>
      <c r="CD38" s="245">
        <v>1447049.36</v>
      </c>
      <c r="CE38" s="245">
        <v>726397.81</v>
      </c>
      <c r="CF38" s="245">
        <v>746758.73</v>
      </c>
      <c r="CG38" s="245">
        <v>809114.02</v>
      </c>
      <c r="CH38" s="245">
        <v>471701.2</v>
      </c>
      <c r="CI38" s="245">
        <v>1138483.6300000001</v>
      </c>
      <c r="CJ38" s="245">
        <v>650997.91</v>
      </c>
    </row>
    <row r="39" spans="1:88" outlineLevel="2" x14ac:dyDescent="0.25">
      <c r="A39" s="246" t="s">
        <v>557</v>
      </c>
      <c r="B39" s="246" t="s">
        <v>558</v>
      </c>
      <c r="C39" s="193" t="s">
        <v>522</v>
      </c>
      <c r="D39" s="247" cm="1">
        <f t="array" ref="D39">-SUMPRODUCT(
  desp[valor] *
  (desp[nucleo]=$B39) *
  (desp[centro.negocio]=$B$32) *
  (desp[data.pagamento]&gt;=D$1) *
  (desp[data.pagamento]&lt;EOMONTH(D$1,0)+1)
)</f>
        <v>0</v>
      </c>
      <c r="E39" s="247" cm="1">
        <f t="array" ref="E39">-SUMPRODUCT(
  desp[valor] *
  (desp[nucleo]=$B39) *
  (desp[centro.negocio]=$B$32) *
  (desp[data.pagamento]&gt;=E$1) *
  (desp[data.pagamento]&lt;EOMONTH(E$1,0)+1)
)</f>
        <v>0</v>
      </c>
      <c r="F39" s="247" cm="1">
        <f t="array" ref="F39">-SUMPRODUCT(
  desp[valor] *
  (desp[nucleo]=$B39) *
  (desp[centro.negocio]=$B$32) *
  (desp[data.pagamento]&gt;=F$1) *
  (desp[data.pagamento]&lt;EOMONTH(F$1,0)+1)
)</f>
        <v>0</v>
      </c>
      <c r="G39" s="247" cm="1">
        <f t="array" ref="G39">-SUMPRODUCT(
  desp[valor] *
  (desp[nucleo]=$B39) *
  (desp[centro.negocio]=$B$32) *
  (desp[data.pagamento]&gt;=G$1) *
  (desp[data.pagamento]&lt;EOMONTH(G$1,0)+1)
)</f>
        <v>0</v>
      </c>
      <c r="H39" s="247" cm="1">
        <f t="array" ref="H39">-SUMPRODUCT(
  desp[valor] *
  (desp[nucleo]=$B39) *
  (desp[centro.negocio]=$B$32) *
  (desp[data.pagamento]&gt;=H$1) *
  (desp[data.pagamento]&lt;EOMONTH(H$1,0)+1)
)</f>
        <v>0</v>
      </c>
      <c r="I39" s="247" cm="1">
        <f t="array" ref="I39">-SUMPRODUCT(
  desp[valor] *
  (desp[nucleo]=$B39) *
  (desp[centro.negocio]=$B$32) *
  (desp[data.pagamento]&gt;=I$1) *
  (desp[data.pagamento]&lt;EOMONTH(I$1,0)+1)
)</f>
        <v>0</v>
      </c>
      <c r="J39" s="247" cm="1">
        <f t="array" ref="J39">-SUMPRODUCT(
  desp[valor] *
  (desp[nucleo]=$B39) *
  (desp[centro.negocio]=$B$32) *
  (desp[data.pagamento]&gt;=J$1) *
  (desp[data.pagamento]&lt;EOMONTH(J$1,0)+1)
)</f>
        <v>0</v>
      </c>
      <c r="K39" s="247" cm="1">
        <f t="array" ref="K39">-SUMPRODUCT(
  desp[valor] *
  (desp[nucleo]=$B39) *
  (desp[centro.negocio]=$B$32) *
  (desp[data.pagamento]&gt;=K$1) *
  (desp[data.pagamento]&lt;EOMONTH(K$1,0)+1)
)</f>
        <v>0</v>
      </c>
      <c r="L39" s="247" cm="1">
        <f t="array" ref="L39">-SUMPRODUCT(
  desp[valor] *
  (desp[nucleo]=$B39) *
  (desp[centro.negocio]=$B$32) *
  (desp[data.pagamento]&gt;=L$1) *
  (desp[data.pagamento]&lt;EOMONTH(L$1,0)+1)
)</f>
        <v>0</v>
      </c>
      <c r="M39" s="247" cm="1">
        <f t="array" ref="M39">-SUMPRODUCT(
  desp[valor] *
  (desp[nucleo]=$B39) *
  (desp[centro.negocio]=$B$32) *
  (desp[data.pagamento]&gt;=M$1) *
  (desp[data.pagamento]&lt;EOMONTH(M$1,0)+1)
)</f>
        <v>0</v>
      </c>
      <c r="N39" s="247" cm="1">
        <f t="array" ref="N39">-SUMPRODUCT(
  desp[valor] *
  (desp[nucleo]=$B39) *
  (desp[centro.negocio]=$B$32) *
  (desp[data.pagamento]&gt;=N$1) *
  (desp[data.pagamento]&lt;EOMONTH(N$1,0)+1)
)</f>
        <v>0</v>
      </c>
      <c r="O39" s="247" cm="1">
        <f t="array" ref="O39">-SUMPRODUCT(
  desp[valor] *
  (desp[nucleo]=$B39) *
  (desp[centro.negocio]=$B$32) *
  (desp[data.pagamento]&gt;=O$1) *
  (desp[data.pagamento]&lt;EOMONTH(O$1,0)+1)
)</f>
        <v>0</v>
      </c>
      <c r="P39" s="247" cm="1">
        <f t="array" ref="P39">-SUMPRODUCT(
  desp[valor] *
  (desp[nucleo]=$B39) *
  (desp[centro.negocio]=$B$32) *
  (desp[data.pagamento]&gt;=P$1) *
  (desp[data.pagamento]&lt;EOMONTH(P$1,0)+1)
)</f>
        <v>0</v>
      </c>
      <c r="Q39" s="247" cm="1">
        <f t="array" ref="Q39">-SUMPRODUCT(
  desp[valor] *
  (desp[nucleo]=$B39) *
  (desp[centro.negocio]=$B$32) *
  (desp[data.pagamento]&gt;=Q$1) *
  (desp[data.pagamento]&lt;EOMONTH(Q$1,0)+1)
)</f>
        <v>0</v>
      </c>
      <c r="R39" s="247" cm="1">
        <f t="array" ref="R39">-SUMPRODUCT(
  desp[valor] *
  (desp[nucleo]=$B39) *
  (desp[centro.negocio]=$B$32) *
  (desp[data.pagamento]&gt;=R$1) *
  (desp[data.pagamento]&lt;EOMONTH(R$1,0)+1)
)</f>
        <v>0</v>
      </c>
      <c r="T39" s="239">
        <f t="shared" si="14"/>
        <v>0</v>
      </c>
      <c r="X39" s="258" t="s">
        <v>730</v>
      </c>
      <c r="Y39" s="335" t="s">
        <v>731</v>
      </c>
      <c r="Z39" s="315">
        <f>R186</f>
        <v>0</v>
      </c>
      <c r="AA39" s="315">
        <f>R187</f>
        <v>0</v>
      </c>
      <c r="AB39" s="315">
        <v>0</v>
      </c>
      <c r="AC39" s="315">
        <f>R188</f>
        <v>528249.98</v>
      </c>
      <c r="AD39" s="315">
        <f>R190</f>
        <v>1245070.1599999999</v>
      </c>
      <c r="AE39" s="315">
        <v>0</v>
      </c>
      <c r="AF39" s="315">
        <v>0</v>
      </c>
      <c r="AG39" s="315">
        <f>R189</f>
        <v>472296.31</v>
      </c>
      <c r="AH39" s="316">
        <v>0</v>
      </c>
      <c r="AJ39" s="247">
        <f t="shared" si="5"/>
        <v>2245616.4499999997</v>
      </c>
      <c r="BT39" s="258" t="s">
        <v>736</v>
      </c>
      <c r="BU39" s="258" t="s">
        <v>350</v>
      </c>
      <c r="BV39" s="244" t="s">
        <v>737</v>
      </c>
      <c r="BW39" s="245">
        <v>812640</v>
      </c>
      <c r="BX39" s="245">
        <v>0</v>
      </c>
      <c r="BY39" s="245">
        <v>0</v>
      </c>
      <c r="BZ39" s="245">
        <v>2911033.91</v>
      </c>
      <c r="CA39" s="245">
        <v>5935913.0499999998</v>
      </c>
      <c r="CB39" s="245">
        <v>2404000</v>
      </c>
      <c r="CC39" s="245">
        <v>545906</v>
      </c>
      <c r="CD39" s="245">
        <v>7012000</v>
      </c>
      <c r="CE39" s="245">
        <v>500000</v>
      </c>
      <c r="CF39" s="245">
        <v>5750378.79</v>
      </c>
      <c r="CG39" s="245">
        <v>0</v>
      </c>
      <c r="CH39" s="245">
        <v>0</v>
      </c>
      <c r="CI39" s="245">
        <v>0</v>
      </c>
      <c r="CJ39" s="245">
        <v>0</v>
      </c>
    </row>
    <row r="40" spans="1:88" outlineLevel="2" x14ac:dyDescent="0.25">
      <c r="A40" s="246" t="s">
        <v>559</v>
      </c>
      <c r="B40" s="246" t="s">
        <v>560</v>
      </c>
      <c r="C40" s="193" t="s">
        <v>522</v>
      </c>
      <c r="D40" s="247" cm="1">
        <f t="array" ref="D40">-SUMPRODUCT(
  desp[valor] *
  (desp[nucleo]=$B40) *
  (desp[centro.negocio]=$B$32) *
  (desp[data.pagamento]&gt;=D$1) *
  (desp[data.pagamento]&lt;EOMONTH(D$1,0)+1)
)</f>
        <v>0</v>
      </c>
      <c r="E40" s="247" cm="1">
        <f t="array" ref="E40">-SUMPRODUCT(
  desp[valor] *
  (desp[nucleo]=$B40) *
  (desp[centro.negocio]=$B$32) *
  (desp[data.pagamento]&gt;=E$1) *
  (desp[data.pagamento]&lt;EOMONTH(E$1,0)+1)
)</f>
        <v>0</v>
      </c>
      <c r="F40" s="247" cm="1">
        <f t="array" ref="F40">-SUMPRODUCT(
  desp[valor] *
  (desp[nucleo]=$B40) *
  (desp[centro.negocio]=$B$32) *
  (desp[data.pagamento]&gt;=F$1) *
  (desp[data.pagamento]&lt;EOMONTH(F$1,0)+1)
)</f>
        <v>0</v>
      </c>
      <c r="G40" s="247" cm="1">
        <f t="array" ref="G40">-SUMPRODUCT(
  desp[valor] *
  (desp[nucleo]=$B40) *
  (desp[centro.negocio]=$B$32) *
  (desp[data.pagamento]&gt;=G$1) *
  (desp[data.pagamento]&lt;EOMONTH(G$1,0)+1)
)</f>
        <v>0</v>
      </c>
      <c r="H40" s="247" cm="1">
        <f t="array" ref="H40">-SUMPRODUCT(
  desp[valor] *
  (desp[nucleo]=$B40) *
  (desp[centro.negocio]=$B$32) *
  (desp[data.pagamento]&gt;=H$1) *
  (desp[data.pagamento]&lt;EOMONTH(H$1,0)+1)
)</f>
        <v>0</v>
      </c>
      <c r="I40" s="247" cm="1">
        <f t="array" ref="I40">-SUMPRODUCT(
  desp[valor] *
  (desp[nucleo]=$B40) *
  (desp[centro.negocio]=$B$32) *
  (desp[data.pagamento]&gt;=I$1) *
  (desp[data.pagamento]&lt;EOMONTH(I$1,0)+1)
)</f>
        <v>0</v>
      </c>
      <c r="J40" s="247" cm="1">
        <f t="array" ref="J40">-SUMPRODUCT(
  desp[valor] *
  (desp[nucleo]=$B40) *
  (desp[centro.negocio]=$B$32) *
  (desp[data.pagamento]&gt;=J$1) *
  (desp[data.pagamento]&lt;EOMONTH(J$1,0)+1)
)</f>
        <v>0</v>
      </c>
      <c r="K40" s="247" cm="1">
        <f t="array" ref="K40">-SUMPRODUCT(
  desp[valor] *
  (desp[nucleo]=$B40) *
  (desp[centro.negocio]=$B$32) *
  (desp[data.pagamento]&gt;=K$1) *
  (desp[data.pagamento]&lt;EOMONTH(K$1,0)+1)
)</f>
        <v>0</v>
      </c>
      <c r="L40" s="247" cm="1">
        <f t="array" ref="L40">-SUMPRODUCT(
  desp[valor] *
  (desp[nucleo]=$B40) *
  (desp[centro.negocio]=$B$32) *
  (desp[data.pagamento]&gt;=L$1) *
  (desp[data.pagamento]&lt;EOMONTH(L$1,0)+1)
)</f>
        <v>0</v>
      </c>
      <c r="M40" s="247" cm="1">
        <f t="array" ref="M40">-SUMPRODUCT(
  desp[valor] *
  (desp[nucleo]=$B40) *
  (desp[centro.negocio]=$B$32) *
  (desp[data.pagamento]&gt;=M$1) *
  (desp[data.pagamento]&lt;EOMONTH(M$1,0)+1)
)</f>
        <v>0</v>
      </c>
      <c r="N40" s="247" cm="1">
        <f t="array" ref="N40">-SUMPRODUCT(
  desp[valor] *
  (desp[nucleo]=$B40) *
  (desp[centro.negocio]=$B$32) *
  (desp[data.pagamento]&gt;=N$1) *
  (desp[data.pagamento]&lt;EOMONTH(N$1,0)+1)
)</f>
        <v>0</v>
      </c>
      <c r="O40" s="247" cm="1">
        <f t="array" ref="O40">-SUMPRODUCT(
  desp[valor] *
  (desp[nucleo]=$B40) *
  (desp[centro.negocio]=$B$32) *
  (desp[data.pagamento]&gt;=O$1) *
  (desp[data.pagamento]&lt;EOMONTH(O$1,0)+1)
)</f>
        <v>0</v>
      </c>
      <c r="P40" s="247" cm="1">
        <f t="array" ref="P40">-SUMPRODUCT(
  desp[valor] *
  (desp[nucleo]=$B40) *
  (desp[centro.negocio]=$B$32) *
  (desp[data.pagamento]&gt;=P$1) *
  (desp[data.pagamento]&lt;EOMONTH(P$1,0)+1)
)</f>
        <v>0</v>
      </c>
      <c r="Q40" s="247" cm="1">
        <f t="array" ref="Q40">-SUMPRODUCT(
  desp[valor] *
  (desp[nucleo]=$B40) *
  (desp[centro.negocio]=$B$32) *
  (desp[data.pagamento]&gt;=Q$1) *
  (desp[data.pagamento]&lt;EOMONTH(Q$1,0)+1)
)</f>
        <v>0</v>
      </c>
      <c r="R40" s="247" cm="1">
        <f t="array" ref="R40">-SUMPRODUCT(
  desp[valor] *
  (desp[nucleo]=$B40) *
  (desp[centro.negocio]=$B$32) *
  (desp[data.pagamento]&gt;=R$1) *
  (desp[data.pagamento]&lt;EOMONTH(R$1,0)+1)
)</f>
        <v>0</v>
      </c>
      <c r="T40" s="239">
        <f t="shared" si="14"/>
        <v>0</v>
      </c>
      <c r="X40" s="258" t="s">
        <v>736</v>
      </c>
      <c r="Y40" s="335" t="s">
        <v>350</v>
      </c>
      <c r="Z40" s="325"/>
      <c r="AA40" s="325"/>
      <c r="AB40" s="325"/>
      <c r="AC40" s="325"/>
      <c r="AD40" s="325"/>
      <c r="AE40" s="325"/>
      <c r="AF40" s="325"/>
      <c r="AG40" s="325"/>
      <c r="AH40" s="326"/>
      <c r="AJ40" s="247">
        <f t="shared" si="5"/>
        <v>0</v>
      </c>
      <c r="BT40" s="243" t="s">
        <v>751</v>
      </c>
      <c r="BU40" s="254" t="s">
        <v>752</v>
      </c>
      <c r="BV40" s="244" t="s">
        <v>522</v>
      </c>
      <c r="BW40" s="245"/>
      <c r="BX40" s="245"/>
      <c r="BY40" s="245"/>
      <c r="BZ40" s="245"/>
      <c r="CA40" s="245"/>
      <c r="CB40" s="245"/>
      <c r="CC40" s="245"/>
      <c r="CD40" s="245"/>
      <c r="CE40" s="245"/>
      <c r="CF40" s="245"/>
      <c r="CG40" s="245"/>
      <c r="CH40" s="245"/>
      <c r="CI40" s="245"/>
      <c r="CJ40" s="245"/>
    </row>
    <row r="41" spans="1:88" outlineLevel="2" x14ac:dyDescent="0.25">
      <c r="A41" s="246" t="s">
        <v>561</v>
      </c>
      <c r="B41" s="246" t="s">
        <v>562</v>
      </c>
      <c r="C41" s="193" t="s">
        <v>522</v>
      </c>
      <c r="D41" s="247" cm="1">
        <f t="array" ref="D41">-SUMPRODUCT(
  desp[valor] *
  (desp[nucleo]=$B41) *
  (desp[centro.negocio]=$B$32) *
  (desp[data.pagamento]&gt;=D$1) *
  (desp[data.pagamento]&lt;EOMONTH(D$1,0)+1)
)</f>
        <v>0</v>
      </c>
      <c r="E41" s="247" cm="1">
        <f t="array" ref="E41">-SUMPRODUCT(
  desp[valor] *
  (desp[nucleo]=$B41) *
  (desp[centro.negocio]=$B$32) *
  (desp[data.pagamento]&gt;=E$1) *
  (desp[data.pagamento]&lt;EOMONTH(E$1,0)+1)
)</f>
        <v>0</v>
      </c>
      <c r="F41" s="247" cm="1">
        <f t="array" ref="F41">-SUMPRODUCT(
  desp[valor] *
  (desp[nucleo]=$B41) *
  (desp[centro.negocio]=$B$32) *
  (desp[data.pagamento]&gt;=F$1) *
  (desp[data.pagamento]&lt;EOMONTH(F$1,0)+1)
)</f>
        <v>0</v>
      </c>
      <c r="G41" s="247" cm="1">
        <f t="array" ref="G41">-SUMPRODUCT(
  desp[valor] *
  (desp[nucleo]=$B41) *
  (desp[centro.negocio]=$B$32) *
  (desp[data.pagamento]&gt;=G$1) *
  (desp[data.pagamento]&lt;EOMONTH(G$1,0)+1)
)</f>
        <v>0</v>
      </c>
      <c r="H41" s="247" cm="1">
        <f t="array" ref="H41">-SUMPRODUCT(
  desp[valor] *
  (desp[nucleo]=$B41) *
  (desp[centro.negocio]=$B$32) *
  (desp[data.pagamento]&gt;=H$1) *
  (desp[data.pagamento]&lt;EOMONTH(H$1,0)+1)
)</f>
        <v>0</v>
      </c>
      <c r="I41" s="247" cm="1">
        <f t="array" ref="I41">-SUMPRODUCT(
  desp[valor] *
  (desp[nucleo]=$B41) *
  (desp[centro.negocio]=$B$32) *
  (desp[data.pagamento]&gt;=I$1) *
  (desp[data.pagamento]&lt;EOMONTH(I$1,0)+1)
)</f>
        <v>0</v>
      </c>
      <c r="J41" s="247" cm="1">
        <f t="array" ref="J41">-SUMPRODUCT(
  desp[valor] *
  (desp[nucleo]=$B41) *
  (desp[centro.negocio]=$B$32) *
  (desp[data.pagamento]&gt;=J$1) *
  (desp[data.pagamento]&lt;EOMONTH(J$1,0)+1)
)</f>
        <v>0</v>
      </c>
      <c r="K41" s="247" cm="1">
        <f t="array" ref="K41">-SUMPRODUCT(
  desp[valor] *
  (desp[nucleo]=$B41) *
  (desp[centro.negocio]=$B$32) *
  (desp[data.pagamento]&gt;=K$1) *
  (desp[data.pagamento]&lt;EOMONTH(K$1,0)+1)
)</f>
        <v>0</v>
      </c>
      <c r="L41" s="247" cm="1">
        <f t="array" ref="L41">-SUMPRODUCT(
  desp[valor] *
  (desp[nucleo]=$B41) *
  (desp[centro.negocio]=$B$32) *
  (desp[data.pagamento]&gt;=L$1) *
  (desp[data.pagamento]&lt;EOMONTH(L$1,0)+1)
)</f>
        <v>0</v>
      </c>
      <c r="M41" s="247" cm="1">
        <f t="array" ref="M41">-SUMPRODUCT(
  desp[valor] *
  (desp[nucleo]=$B41) *
  (desp[centro.negocio]=$B$32) *
  (desp[data.pagamento]&gt;=M$1) *
  (desp[data.pagamento]&lt;EOMONTH(M$1,0)+1)
)</f>
        <v>0</v>
      </c>
      <c r="N41" s="247" cm="1">
        <f t="array" ref="N41">-SUMPRODUCT(
  desp[valor] *
  (desp[nucleo]=$B41) *
  (desp[centro.negocio]=$B$32) *
  (desp[data.pagamento]&gt;=N$1) *
  (desp[data.pagamento]&lt;EOMONTH(N$1,0)+1)
)</f>
        <v>0</v>
      </c>
      <c r="O41" s="247" cm="1">
        <f t="array" ref="O41">-SUMPRODUCT(
  desp[valor] *
  (desp[nucleo]=$B41) *
  (desp[centro.negocio]=$B$32) *
  (desp[data.pagamento]&gt;=O$1) *
  (desp[data.pagamento]&lt;EOMONTH(O$1,0)+1)
)</f>
        <v>0</v>
      </c>
      <c r="P41" s="247" cm="1">
        <f t="array" ref="P41">-SUMPRODUCT(
  desp[valor] *
  (desp[nucleo]=$B41) *
  (desp[centro.negocio]=$B$32) *
  (desp[data.pagamento]&gt;=P$1) *
  (desp[data.pagamento]&lt;EOMONTH(P$1,0)+1)
)</f>
        <v>0</v>
      </c>
      <c r="Q41" s="247" cm="1">
        <f t="array" ref="Q41">-SUMPRODUCT(
  desp[valor] *
  (desp[nucleo]=$B41) *
  (desp[centro.negocio]=$B$32) *
  (desp[data.pagamento]&gt;=Q$1) *
  (desp[data.pagamento]&lt;EOMONTH(Q$1,0)+1)
)</f>
        <v>0</v>
      </c>
      <c r="R41" s="247" cm="1">
        <f t="array" ref="R41">-SUMPRODUCT(
  desp[valor] *
  (desp[nucleo]=$B41) *
  (desp[centro.negocio]=$B$32) *
  (desp[data.pagamento]&gt;=R$1) *
  (desp[data.pagamento]&lt;EOMONTH(R$1,0)+1)
)</f>
        <v>0</v>
      </c>
      <c r="T41" s="239">
        <f t="shared" si="14"/>
        <v>0</v>
      </c>
      <c r="X41" s="243" t="s">
        <v>751</v>
      </c>
      <c r="Y41" s="334" t="s">
        <v>752</v>
      </c>
      <c r="Z41" s="315"/>
      <c r="AA41" s="315"/>
      <c r="AB41" s="315"/>
      <c r="AC41" s="315"/>
      <c r="AD41" s="315"/>
      <c r="AE41" s="315"/>
      <c r="AF41" s="315"/>
      <c r="AG41" s="315"/>
      <c r="AH41" s="316"/>
      <c r="AJ41" s="247">
        <f t="shared" si="5"/>
        <v>0</v>
      </c>
      <c r="BT41" s="249" t="s">
        <v>753</v>
      </c>
      <c r="BU41" s="249" t="s">
        <v>754</v>
      </c>
      <c r="BV41" s="255"/>
      <c r="BW41" s="256">
        <v>0</v>
      </c>
      <c r="BX41" s="256">
        <v>0</v>
      </c>
      <c r="BY41" s="256">
        <v>0</v>
      </c>
      <c r="BZ41" s="256">
        <v>0</v>
      </c>
      <c r="CA41" s="256">
        <v>0</v>
      </c>
      <c r="CB41" s="256">
        <v>0</v>
      </c>
      <c r="CC41" s="256">
        <v>0</v>
      </c>
      <c r="CD41" s="256">
        <v>0</v>
      </c>
      <c r="CE41" s="256">
        <v>0</v>
      </c>
      <c r="CF41" s="256">
        <v>-3000000</v>
      </c>
      <c r="CG41" s="256">
        <v>-4206456.13</v>
      </c>
      <c r="CH41" s="256">
        <v>0</v>
      </c>
      <c r="CI41" s="256">
        <v>0</v>
      </c>
      <c r="CJ41" s="256">
        <v>0</v>
      </c>
    </row>
    <row r="42" spans="1:88" outlineLevel="2" x14ac:dyDescent="0.25">
      <c r="A42" s="246" t="s">
        <v>563</v>
      </c>
      <c r="B42" s="246" t="s">
        <v>564</v>
      </c>
      <c r="C42" s="193" t="s">
        <v>522</v>
      </c>
      <c r="D42" s="247" cm="1">
        <f t="array" ref="D42">-SUMPRODUCT(
  desp[valor] *
  (desp[nucleo]=$B42) *
  (desp[centro.negocio]=$B$32) *
  (desp[data.pagamento]&gt;=D$1) *
  (desp[data.pagamento]&lt;EOMONTH(D$1,0)+1)
)</f>
        <v>0</v>
      </c>
      <c r="E42" s="247" cm="1">
        <f t="array" ref="E42">-SUMPRODUCT(
  desp[valor] *
  (desp[nucleo]=$B42) *
  (desp[centro.negocio]=$B$32) *
  (desp[data.pagamento]&gt;=E$1) *
  (desp[data.pagamento]&lt;EOMONTH(E$1,0)+1)
)</f>
        <v>0</v>
      </c>
      <c r="F42" s="247" cm="1">
        <f t="array" ref="F42">-SUMPRODUCT(
  desp[valor] *
  (desp[nucleo]=$B42) *
  (desp[centro.negocio]=$B$32) *
  (desp[data.pagamento]&gt;=F$1) *
  (desp[data.pagamento]&lt;EOMONTH(F$1,0)+1)
)</f>
        <v>0</v>
      </c>
      <c r="G42" s="247" cm="1">
        <f t="array" ref="G42">-SUMPRODUCT(
  desp[valor] *
  (desp[nucleo]=$B42) *
  (desp[centro.negocio]=$B$32) *
  (desp[data.pagamento]&gt;=G$1) *
  (desp[data.pagamento]&lt;EOMONTH(G$1,0)+1)
)</f>
        <v>0</v>
      </c>
      <c r="H42" s="247" cm="1">
        <f t="array" ref="H42">-SUMPRODUCT(
  desp[valor] *
  (desp[nucleo]=$B42) *
  (desp[centro.negocio]=$B$32) *
  (desp[data.pagamento]&gt;=H$1) *
  (desp[data.pagamento]&lt;EOMONTH(H$1,0)+1)
)</f>
        <v>0</v>
      </c>
      <c r="I42" s="247" cm="1">
        <f t="array" ref="I42">-SUMPRODUCT(
  desp[valor] *
  (desp[nucleo]=$B42) *
  (desp[centro.negocio]=$B$32) *
  (desp[data.pagamento]&gt;=I$1) *
  (desp[data.pagamento]&lt;EOMONTH(I$1,0)+1)
)</f>
        <v>0</v>
      </c>
      <c r="J42" s="247" cm="1">
        <f t="array" ref="J42">-SUMPRODUCT(
  desp[valor] *
  (desp[nucleo]=$B42) *
  (desp[centro.negocio]=$B$32) *
  (desp[data.pagamento]&gt;=J$1) *
  (desp[data.pagamento]&lt;EOMONTH(J$1,0)+1)
)</f>
        <v>0</v>
      </c>
      <c r="K42" s="247" cm="1">
        <f t="array" ref="K42">-SUMPRODUCT(
  desp[valor] *
  (desp[nucleo]=$B42) *
  (desp[centro.negocio]=$B$32) *
  (desp[data.pagamento]&gt;=K$1) *
  (desp[data.pagamento]&lt;EOMONTH(K$1,0)+1)
)</f>
        <v>0</v>
      </c>
      <c r="L42" s="247" cm="1">
        <f t="array" ref="L42">-SUMPRODUCT(
  desp[valor] *
  (desp[nucleo]=$B42) *
  (desp[centro.negocio]=$B$32) *
  (desp[data.pagamento]&gt;=L$1) *
  (desp[data.pagamento]&lt;EOMONTH(L$1,0)+1)
)</f>
        <v>0</v>
      </c>
      <c r="M42" s="247" cm="1">
        <f t="array" ref="M42">-SUMPRODUCT(
  desp[valor] *
  (desp[nucleo]=$B42) *
  (desp[centro.negocio]=$B$32) *
  (desp[data.pagamento]&gt;=M$1) *
  (desp[data.pagamento]&lt;EOMONTH(M$1,0)+1)
)</f>
        <v>0</v>
      </c>
      <c r="N42" s="247" cm="1">
        <f t="array" ref="N42">-SUMPRODUCT(
  desp[valor] *
  (desp[nucleo]=$B42) *
  (desp[centro.negocio]=$B$32) *
  (desp[data.pagamento]&gt;=N$1) *
  (desp[data.pagamento]&lt;EOMONTH(N$1,0)+1)
)</f>
        <v>0</v>
      </c>
      <c r="O42" s="247" cm="1">
        <f t="array" ref="O42">-SUMPRODUCT(
  desp[valor] *
  (desp[nucleo]=$B42) *
  (desp[centro.negocio]=$B$32) *
  (desp[data.pagamento]&gt;=O$1) *
  (desp[data.pagamento]&lt;EOMONTH(O$1,0)+1)
)</f>
        <v>0</v>
      </c>
      <c r="P42" s="247" cm="1">
        <f t="array" ref="P42">-SUMPRODUCT(
  desp[valor] *
  (desp[nucleo]=$B42) *
  (desp[centro.negocio]=$B$32) *
  (desp[data.pagamento]&gt;=P$1) *
  (desp[data.pagamento]&lt;EOMONTH(P$1,0)+1)
)</f>
        <v>0</v>
      </c>
      <c r="Q42" s="247" cm="1">
        <f t="array" ref="Q42">-SUMPRODUCT(
  desp[valor] *
  (desp[nucleo]=$B42) *
  (desp[centro.negocio]=$B$32) *
  (desp[data.pagamento]&gt;=Q$1) *
  (desp[data.pagamento]&lt;EOMONTH(Q$1,0)+1)
)</f>
        <v>0</v>
      </c>
      <c r="R42" s="247" cm="1">
        <f t="array" ref="R42">-SUMPRODUCT(
  desp[valor] *
  (desp[nucleo]=$B42) *
  (desp[centro.negocio]=$B$32) *
  (desp[data.pagamento]&gt;=R$1) *
  (desp[data.pagamento]&lt;EOMONTH(R$1,0)+1)
)</f>
        <v>0</v>
      </c>
      <c r="T42" s="239">
        <f t="shared" si="14"/>
        <v>0</v>
      </c>
      <c r="X42" s="249" t="s">
        <v>753</v>
      </c>
      <c r="Y42" s="333" t="s">
        <v>754</v>
      </c>
      <c r="Z42" s="323">
        <f>SUM(Z43:Z44)</f>
        <v>0</v>
      </c>
      <c r="AA42" s="323">
        <f t="shared" ref="AA42:AH42" si="22">SUM(AA43:AA44)</f>
        <v>0</v>
      </c>
      <c r="AB42" s="323">
        <f t="shared" si="22"/>
        <v>0</v>
      </c>
      <c r="AC42" s="323">
        <f t="shared" si="22"/>
        <v>0</v>
      </c>
      <c r="AD42" s="323">
        <f t="shared" si="22"/>
        <v>0</v>
      </c>
      <c r="AE42" s="323">
        <f t="shared" si="22"/>
        <v>0</v>
      </c>
      <c r="AF42" s="323">
        <f t="shared" si="22"/>
        <v>0</v>
      </c>
      <c r="AG42" s="323">
        <f t="shared" si="22"/>
        <v>0</v>
      </c>
      <c r="AH42" s="324">
        <f t="shared" si="22"/>
        <v>0</v>
      </c>
      <c r="AJ42" s="247">
        <f t="shared" si="5"/>
        <v>0</v>
      </c>
      <c r="BT42" s="243" t="s">
        <v>755</v>
      </c>
      <c r="BU42" s="248" t="s">
        <v>396</v>
      </c>
      <c r="BV42" s="244" t="s">
        <v>522</v>
      </c>
      <c r="BW42" s="245">
        <v>0</v>
      </c>
      <c r="BX42" s="245">
        <v>0</v>
      </c>
      <c r="BY42" s="245">
        <v>0</v>
      </c>
      <c r="BZ42" s="245">
        <v>0</v>
      </c>
      <c r="CA42" s="245">
        <v>0</v>
      </c>
      <c r="CB42" s="245">
        <v>0</v>
      </c>
      <c r="CC42" s="245">
        <v>0</v>
      </c>
      <c r="CD42" s="245">
        <v>0</v>
      </c>
      <c r="CE42" s="245">
        <v>0</v>
      </c>
      <c r="CF42" s="245">
        <v>-3000000</v>
      </c>
      <c r="CG42" s="245">
        <v>-4206456.13</v>
      </c>
      <c r="CH42" s="245">
        <v>0</v>
      </c>
      <c r="CI42" s="245">
        <v>0</v>
      </c>
      <c r="CJ42" s="245">
        <v>0</v>
      </c>
    </row>
    <row r="43" spans="1:88" outlineLevel="1" x14ac:dyDescent="0.25">
      <c r="A43" s="243" t="s">
        <v>565</v>
      </c>
      <c r="B43" s="243" t="s">
        <v>398</v>
      </c>
      <c r="C43" s="244" t="s">
        <v>522</v>
      </c>
      <c r="D43" s="245">
        <f>SUM(D$44:D$50)</f>
        <v>0</v>
      </c>
      <c r="E43" s="245">
        <f t="shared" ref="E43:R43" si="23">SUM(E$44:E$50)</f>
        <v>0</v>
      </c>
      <c r="F43" s="245">
        <f t="shared" si="23"/>
        <v>0</v>
      </c>
      <c r="G43" s="245">
        <f t="shared" si="23"/>
        <v>0</v>
      </c>
      <c r="H43" s="245">
        <f t="shared" si="23"/>
        <v>0</v>
      </c>
      <c r="I43" s="245">
        <f t="shared" si="23"/>
        <v>0</v>
      </c>
      <c r="J43" s="245">
        <f t="shared" si="23"/>
        <v>0</v>
      </c>
      <c r="K43" s="245">
        <f t="shared" si="23"/>
        <v>0</v>
      </c>
      <c r="L43" s="245">
        <f t="shared" si="23"/>
        <v>0</v>
      </c>
      <c r="M43" s="245">
        <f t="shared" si="23"/>
        <v>0</v>
      </c>
      <c r="N43" s="245">
        <f t="shared" si="23"/>
        <v>0</v>
      </c>
      <c r="O43" s="245">
        <f t="shared" si="23"/>
        <v>0</v>
      </c>
      <c r="P43" s="245">
        <f t="shared" si="23"/>
        <v>0</v>
      </c>
      <c r="Q43" s="245">
        <f t="shared" si="23"/>
        <v>0</v>
      </c>
      <c r="R43" s="245">
        <f t="shared" si="23"/>
        <v>0</v>
      </c>
      <c r="T43" s="239">
        <f t="shared" ref="T43" si="24">SUM(D43:R43)</f>
        <v>0</v>
      </c>
      <c r="X43" s="243" t="s">
        <v>755</v>
      </c>
      <c r="Y43" s="336" t="s">
        <v>396</v>
      </c>
      <c r="Z43" s="315" cm="1">
        <f t="array" ref="Z43">-SUMPRODUCT(
  desp[valor] *
  (desp[nucleo]=Z$1) *
  (desp[centro.negocio]=$Y43) *
  (desp[data.pagamento]&gt;=DATE(YEAR(inputs!$A$1),MONTH(inputs!$A$1),1)) *
  (desp[data.pagamento]&lt;EOMONTH(inputs!$A$1,0)+1)
)</f>
        <v>0</v>
      </c>
      <c r="AA43" s="315" cm="1">
        <f t="array" ref="AA43">-SUMPRODUCT(
  desp[valor] *
  (desp[nucleo]=AA$1) *
  (desp[centro.negocio]=$Y43) *
  (desp[data.pagamento]&gt;=DATE(YEAR(inputs!$A$1),MONTH(inputs!$A$1),1)) *
  (desp[data.pagamento]&lt;EOMONTH(inputs!$A$1,0)+1)
)</f>
        <v>0</v>
      </c>
      <c r="AB43" s="315" cm="1">
        <f t="array" ref="AB43">-SUMPRODUCT(
  desp[valor] *
  (desp[nucleo]=AB$1) *
  (desp[centro.negocio]=$Y43) *
  (desp[data.pagamento]&gt;=DATE(YEAR(inputs!$A$1),MONTH(inputs!$A$1),1)) *
  (desp[data.pagamento]&lt;EOMONTH(inputs!$A$1,0)+1)
)</f>
        <v>0</v>
      </c>
      <c r="AC43" s="315" cm="1">
        <f t="array" ref="AC43">-SUMPRODUCT(
  desp[valor] *
  (desp[nucleo]=AC$1) *
  (desp[centro.negocio]=$Y43) *
  (desp[data.pagamento]&gt;=DATE(YEAR(inputs!$A$1),MONTH(inputs!$A$1),1)) *
  (desp[data.pagamento]&lt;EOMONTH(inputs!$A$1,0)+1)
)</f>
        <v>0</v>
      </c>
      <c r="AD43" s="315" cm="1">
        <f t="array" ref="AD43">-SUMPRODUCT(
  desp[valor] *
  (desp[nucleo]=AD$1) *
  (desp[centro.negocio]=$Y43) *
  (desp[data.pagamento]&gt;=DATE(YEAR(inputs!$A$1),MONTH(inputs!$A$1),1)) *
  (desp[data.pagamento]&lt;EOMONTH(inputs!$A$1,0)+1)
)</f>
        <v>0</v>
      </c>
      <c r="AE43" s="315" cm="1">
        <f t="array" ref="AE43">-SUMPRODUCT(
  desp[valor] *
  (desp[nucleo]=AE$1) *
  (desp[centro.negocio]=$Y43) *
  (desp[data.pagamento]&gt;=DATE(YEAR(inputs!$A$1),MONTH(inputs!$A$1),1)) *
  (desp[data.pagamento]&lt;EOMONTH(inputs!$A$1,0)+1)
)</f>
        <v>0</v>
      </c>
      <c r="AF43" s="315" cm="1">
        <f t="array" ref="AF43">-SUMPRODUCT(
  desp[valor] *
  (desp[nucleo]=AF$1) *
  (desp[centro.negocio]=$Y43) *
  (desp[data.pagamento]&gt;=DATE(YEAR(inputs!$A$1),MONTH(inputs!$A$1),1)) *
  (desp[data.pagamento]&lt;EOMONTH(inputs!$A$1,0)+1)
)</f>
        <v>0</v>
      </c>
      <c r="AG43" s="315" cm="1">
        <f t="array" ref="AG43">-SUMPRODUCT(
  desp[valor] *
  (desp[nucleo]=AG$1) *
  (desp[centro.negocio]=$Y43) *
  (desp[data.pagamento]&gt;=DATE(YEAR(inputs!$A$1),MONTH(inputs!$A$1),1)) *
  (desp[data.pagamento]&lt;EOMONTH(inputs!$A$1,0)+1)
)</f>
        <v>0</v>
      </c>
      <c r="AH43" s="316" cm="1">
        <f t="array" ref="AH43">-SUMPRODUCT(
  desp[valor] *
  (desp[nucleo]=AH$1) *
  (desp[centro.negocio]=$Y43) *
  (desp[data.pagamento]&gt;=DATE(YEAR(inputs!$A$1),MONTH(inputs!$A$1),1)) *
  (desp[data.pagamento]&lt;EOMONTH(inputs!$A$1,0)+1)
)</f>
        <v>0</v>
      </c>
      <c r="AJ43" s="247">
        <f t="shared" si="5"/>
        <v>0</v>
      </c>
      <c r="BT43" s="243" t="s">
        <v>773</v>
      </c>
      <c r="BU43" s="254" t="s">
        <v>774</v>
      </c>
      <c r="BV43" s="193"/>
      <c r="BW43" s="247"/>
      <c r="BX43" s="247"/>
      <c r="BY43" s="247"/>
      <c r="BZ43" s="247"/>
      <c r="CA43" s="247"/>
      <c r="CB43" s="247"/>
      <c r="CC43" s="247"/>
      <c r="CD43" s="247"/>
      <c r="CE43" s="247"/>
      <c r="CF43" s="247"/>
      <c r="CG43" s="247"/>
      <c r="CH43" s="247"/>
      <c r="CI43" s="247"/>
      <c r="CJ43" s="247"/>
    </row>
    <row r="44" spans="1:88" outlineLevel="2" x14ac:dyDescent="0.25">
      <c r="A44" s="246" t="s">
        <v>566</v>
      </c>
      <c r="B44" s="246" t="s">
        <v>562</v>
      </c>
      <c r="C44" s="193" t="s">
        <v>522</v>
      </c>
      <c r="D44" s="247" cm="1">
        <f t="array" ref="D44">-SUMPRODUCT(
  desp[valor] *
  (desp[nucleo]=$B44) *
  (desp[centro.negocio]=$B$43) *
  (desp[data.pagamento]&gt;=D$1) *
  (desp[data.pagamento]&lt;EOMONTH(D$1,0)+1)
)</f>
        <v>0</v>
      </c>
      <c r="E44" s="247" cm="1">
        <f t="array" ref="E44">-SUMPRODUCT(
  desp[valor] *
  (desp[nucleo]=$B44) *
  (desp[centro.negocio]=$B$43) *
  (desp[data.pagamento]&gt;=E$1) *
  (desp[data.pagamento]&lt;EOMONTH(E$1,0)+1)
)</f>
        <v>0</v>
      </c>
      <c r="F44" s="247" cm="1">
        <f t="array" ref="F44">-SUMPRODUCT(
  desp[valor] *
  (desp[nucleo]=$B44) *
  (desp[centro.negocio]=$B$43) *
  (desp[data.pagamento]&gt;=F$1) *
  (desp[data.pagamento]&lt;EOMONTH(F$1,0)+1)
)</f>
        <v>0</v>
      </c>
      <c r="G44" s="247" cm="1">
        <f t="array" ref="G44">-SUMPRODUCT(
  desp[valor] *
  (desp[nucleo]=$B44) *
  (desp[centro.negocio]=$B$43) *
  (desp[data.pagamento]&gt;=G$1) *
  (desp[data.pagamento]&lt;EOMONTH(G$1,0)+1)
)</f>
        <v>0</v>
      </c>
      <c r="H44" s="247" cm="1">
        <f t="array" ref="H44">-SUMPRODUCT(
  desp[valor] *
  (desp[nucleo]=$B44) *
  (desp[centro.negocio]=$B$43) *
  (desp[data.pagamento]&gt;=H$1) *
  (desp[data.pagamento]&lt;EOMONTH(H$1,0)+1)
)</f>
        <v>0</v>
      </c>
      <c r="I44" s="247" cm="1">
        <f t="array" ref="I44">-SUMPRODUCT(
  desp[valor] *
  (desp[nucleo]=$B44) *
  (desp[centro.negocio]=$B$43) *
  (desp[data.pagamento]&gt;=I$1) *
  (desp[data.pagamento]&lt;EOMONTH(I$1,0)+1)
)</f>
        <v>0</v>
      </c>
      <c r="J44" s="247" cm="1">
        <f t="array" ref="J44">-SUMPRODUCT(
  desp[valor] *
  (desp[nucleo]=$B44) *
  (desp[centro.negocio]=$B$43) *
  (desp[data.pagamento]&gt;=J$1) *
  (desp[data.pagamento]&lt;EOMONTH(J$1,0)+1)
)</f>
        <v>0</v>
      </c>
      <c r="K44" s="247" cm="1">
        <f t="array" ref="K44">-SUMPRODUCT(
  desp[valor] *
  (desp[nucleo]=$B44) *
  (desp[centro.negocio]=$B$43) *
  (desp[data.pagamento]&gt;=K$1) *
  (desp[data.pagamento]&lt;EOMONTH(K$1,0)+1)
)</f>
        <v>0</v>
      </c>
      <c r="L44" s="247" cm="1">
        <f t="array" ref="L44">-SUMPRODUCT(
  desp[valor] *
  (desp[nucleo]=$B44) *
  (desp[centro.negocio]=$B$43) *
  (desp[data.pagamento]&gt;=L$1) *
  (desp[data.pagamento]&lt;EOMONTH(L$1,0)+1)
)</f>
        <v>0</v>
      </c>
      <c r="M44" s="247" cm="1">
        <f t="array" ref="M44">-SUMPRODUCT(
  desp[valor] *
  (desp[nucleo]=$B44) *
  (desp[centro.negocio]=$B$43) *
  (desp[data.pagamento]&gt;=M$1) *
  (desp[data.pagamento]&lt;EOMONTH(M$1,0)+1)
)</f>
        <v>0</v>
      </c>
      <c r="N44" s="247" cm="1">
        <f t="array" ref="N44">-SUMPRODUCT(
  desp[valor] *
  (desp[nucleo]=$B44) *
  (desp[centro.negocio]=$B$43) *
  (desp[data.pagamento]&gt;=N$1) *
  (desp[data.pagamento]&lt;EOMONTH(N$1,0)+1)
)</f>
        <v>0</v>
      </c>
      <c r="O44" s="247" cm="1">
        <f t="array" ref="O44">-SUMPRODUCT(
  desp[valor] *
  (desp[nucleo]=$B44) *
  (desp[centro.negocio]=$B$43) *
  (desp[data.pagamento]&gt;=O$1) *
  (desp[data.pagamento]&lt;EOMONTH(O$1,0)+1)
)</f>
        <v>0</v>
      </c>
      <c r="P44" s="247" cm="1">
        <f t="array" ref="P44">-SUMPRODUCT(
  desp[valor] *
  (desp[nucleo]=$B44) *
  (desp[centro.negocio]=$B$43) *
  (desp[data.pagamento]&gt;=P$1) *
  (desp[data.pagamento]&lt;EOMONTH(P$1,0)+1)
)</f>
        <v>0</v>
      </c>
      <c r="Q44" s="247" cm="1">
        <f t="array" ref="Q44">-SUMPRODUCT(
  desp[valor] *
  (desp[nucleo]=$B44) *
  (desp[centro.negocio]=$B$43) *
  (desp[data.pagamento]&gt;=Q$1) *
  (desp[data.pagamento]&lt;EOMONTH(Q$1,0)+1)
)</f>
        <v>0</v>
      </c>
      <c r="R44" s="247" cm="1">
        <f t="array" ref="R44">-SUMPRODUCT(
  desp[valor] *
  (desp[nucleo]=$B44) *
  (desp[centro.negocio]=$B$43) *
  (desp[data.pagamento]&gt;=R$1) *
  (desp[data.pagamento]&lt;EOMONTH(R$1,0)+1)
)</f>
        <v>0</v>
      </c>
      <c r="T44" s="239">
        <f>SUM(D44:R44)</f>
        <v>0</v>
      </c>
      <c r="X44" s="243" t="s">
        <v>773</v>
      </c>
      <c r="Y44" s="334" t="s">
        <v>774</v>
      </c>
      <c r="Z44" s="321"/>
      <c r="AA44" s="321"/>
      <c r="AB44" s="321"/>
      <c r="AC44" s="321"/>
      <c r="AD44" s="321"/>
      <c r="AE44" s="321"/>
      <c r="AF44" s="321"/>
      <c r="AG44" s="321"/>
      <c r="AH44" s="322"/>
      <c r="AJ44" s="247">
        <f t="shared" si="5"/>
        <v>0</v>
      </c>
      <c r="BT44" s="233"/>
      <c r="BU44" s="233" t="s">
        <v>775</v>
      </c>
      <c r="BV44" s="260"/>
      <c r="BW44" s="261">
        <v>1368024.05</v>
      </c>
      <c r="BX44" s="261">
        <v>102314.88</v>
      </c>
      <c r="BY44" s="261">
        <v>868976.02</v>
      </c>
      <c r="BZ44" s="261">
        <v>3770012.18</v>
      </c>
      <c r="CA44" s="261">
        <v>6876868.8100000005</v>
      </c>
      <c r="CB44" s="261">
        <v>3463508.48</v>
      </c>
      <c r="CC44" s="261">
        <v>2746945.21</v>
      </c>
      <c r="CD44" s="261">
        <v>8859782.6399999987</v>
      </c>
      <c r="CE44" s="261">
        <v>1572184.21</v>
      </c>
      <c r="CF44" s="261">
        <v>4119553.0399999996</v>
      </c>
      <c r="CG44" s="261">
        <v>-3018398.11</v>
      </c>
      <c r="CH44" s="261">
        <v>796645.68</v>
      </c>
      <c r="CI44" s="261">
        <v>1318482.03</v>
      </c>
      <c r="CJ44" s="261">
        <v>923837.59000000008</v>
      </c>
    </row>
    <row r="45" spans="1:88" outlineLevel="2" x14ac:dyDescent="0.25">
      <c r="A45" s="246" t="s">
        <v>567</v>
      </c>
      <c r="B45" s="246" t="s">
        <v>556</v>
      </c>
      <c r="C45" s="193" t="s">
        <v>522</v>
      </c>
      <c r="D45" s="247" cm="1">
        <f t="array" ref="D45">-SUMPRODUCT(
  desp[valor] *
  (desp[nucleo]=$B45) *
  (desp[centro.negocio]=$B$43) *
  (desp[data.pagamento]&gt;=D$1) *
  (desp[data.pagamento]&lt;EOMONTH(D$1,0)+1)
)</f>
        <v>0</v>
      </c>
      <c r="E45" s="247" cm="1">
        <f t="array" ref="E45">-SUMPRODUCT(
  desp[valor] *
  (desp[nucleo]=$B45) *
  (desp[centro.negocio]=$B$43) *
  (desp[data.pagamento]&gt;=E$1) *
  (desp[data.pagamento]&lt;EOMONTH(E$1,0)+1)
)</f>
        <v>0</v>
      </c>
      <c r="F45" s="247" cm="1">
        <f t="array" ref="F45">-SUMPRODUCT(
  desp[valor] *
  (desp[nucleo]=$B45) *
  (desp[centro.negocio]=$B$43) *
  (desp[data.pagamento]&gt;=F$1) *
  (desp[data.pagamento]&lt;EOMONTH(F$1,0)+1)
)</f>
        <v>0</v>
      </c>
      <c r="G45" s="247" cm="1">
        <f t="array" ref="G45">-SUMPRODUCT(
  desp[valor] *
  (desp[nucleo]=$B45) *
  (desp[centro.negocio]=$B$43) *
  (desp[data.pagamento]&gt;=G$1) *
  (desp[data.pagamento]&lt;EOMONTH(G$1,0)+1)
)</f>
        <v>0</v>
      </c>
      <c r="H45" s="247" cm="1">
        <f t="array" ref="H45">-SUMPRODUCT(
  desp[valor] *
  (desp[nucleo]=$B45) *
  (desp[centro.negocio]=$B$43) *
  (desp[data.pagamento]&gt;=H$1) *
  (desp[data.pagamento]&lt;EOMONTH(H$1,0)+1)
)</f>
        <v>0</v>
      </c>
      <c r="I45" s="247" cm="1">
        <f t="array" ref="I45">-SUMPRODUCT(
  desp[valor] *
  (desp[nucleo]=$B45) *
  (desp[centro.negocio]=$B$43) *
  (desp[data.pagamento]&gt;=I$1) *
  (desp[data.pagamento]&lt;EOMONTH(I$1,0)+1)
)</f>
        <v>0</v>
      </c>
      <c r="J45" s="247" cm="1">
        <f t="array" ref="J45">-SUMPRODUCT(
  desp[valor] *
  (desp[nucleo]=$B45) *
  (desp[centro.negocio]=$B$43) *
  (desp[data.pagamento]&gt;=J$1) *
  (desp[data.pagamento]&lt;EOMONTH(J$1,0)+1)
)</f>
        <v>0</v>
      </c>
      <c r="K45" s="247" cm="1">
        <f t="array" ref="K45">-SUMPRODUCT(
  desp[valor] *
  (desp[nucleo]=$B45) *
  (desp[centro.negocio]=$B$43) *
  (desp[data.pagamento]&gt;=K$1) *
  (desp[data.pagamento]&lt;EOMONTH(K$1,0)+1)
)</f>
        <v>0</v>
      </c>
      <c r="L45" s="247" cm="1">
        <f t="array" ref="L45">-SUMPRODUCT(
  desp[valor] *
  (desp[nucleo]=$B45) *
  (desp[centro.negocio]=$B$43) *
  (desp[data.pagamento]&gt;=L$1) *
  (desp[data.pagamento]&lt;EOMONTH(L$1,0)+1)
)</f>
        <v>0</v>
      </c>
      <c r="M45" s="247" cm="1">
        <f t="array" ref="M45">-SUMPRODUCT(
  desp[valor] *
  (desp[nucleo]=$B45) *
  (desp[centro.negocio]=$B$43) *
  (desp[data.pagamento]&gt;=M$1) *
  (desp[data.pagamento]&lt;EOMONTH(M$1,0)+1)
)</f>
        <v>0</v>
      </c>
      <c r="N45" s="247" cm="1">
        <f t="array" ref="N45">-SUMPRODUCT(
  desp[valor] *
  (desp[nucleo]=$B45) *
  (desp[centro.negocio]=$B$43) *
  (desp[data.pagamento]&gt;=N$1) *
  (desp[data.pagamento]&lt;EOMONTH(N$1,0)+1)
)</f>
        <v>0</v>
      </c>
      <c r="O45" s="247" cm="1">
        <f t="array" ref="O45">-SUMPRODUCT(
  desp[valor] *
  (desp[nucleo]=$B45) *
  (desp[centro.negocio]=$B$43) *
  (desp[data.pagamento]&gt;=O$1) *
  (desp[data.pagamento]&lt;EOMONTH(O$1,0)+1)
)</f>
        <v>0</v>
      </c>
      <c r="P45" s="247" cm="1">
        <f t="array" ref="P45">-SUMPRODUCT(
  desp[valor] *
  (desp[nucleo]=$B45) *
  (desp[centro.negocio]=$B$43) *
  (desp[data.pagamento]&gt;=P$1) *
  (desp[data.pagamento]&lt;EOMONTH(P$1,0)+1)
)</f>
        <v>0</v>
      </c>
      <c r="Q45" s="247" cm="1">
        <f t="array" ref="Q45">-SUMPRODUCT(
  desp[valor] *
  (desp[nucleo]=$B45) *
  (desp[centro.negocio]=$B$43) *
  (desp[data.pagamento]&gt;=Q$1) *
  (desp[data.pagamento]&lt;EOMONTH(Q$1,0)+1)
)</f>
        <v>0</v>
      </c>
      <c r="R45" s="247" cm="1">
        <f t="array" ref="R45">-SUMPRODUCT(
  desp[valor] *
  (desp[nucleo]=$B45) *
  (desp[centro.negocio]=$B$43) *
  (desp[data.pagamento]&gt;=R$1) *
  (desp[data.pagamento]&lt;EOMONTH(R$1,0)+1)
)</f>
        <v>0</v>
      </c>
      <c r="T45" s="239">
        <f>SUM(D45:R45)</f>
        <v>0</v>
      </c>
      <c r="X45" s="233"/>
      <c r="Y45" s="337" t="s">
        <v>775</v>
      </c>
      <c r="Z45" s="327">
        <f>Z3+Z28+Z36</f>
        <v>0</v>
      </c>
      <c r="AA45" s="327">
        <f t="shared" ref="AA45:AH45" si="25">AA3+AA28+AA36</f>
        <v>0</v>
      </c>
      <c r="AB45" s="327">
        <f t="shared" si="25"/>
        <v>0</v>
      </c>
      <c r="AC45" s="327">
        <f t="shared" si="25"/>
        <v>528249.98</v>
      </c>
      <c r="AD45" s="327">
        <f t="shared" si="25"/>
        <v>1245070.1599999999</v>
      </c>
      <c r="AE45" s="327">
        <f t="shared" si="25"/>
        <v>0</v>
      </c>
      <c r="AF45" s="327">
        <f t="shared" si="25"/>
        <v>0</v>
      </c>
      <c r="AG45" s="327">
        <f t="shared" si="25"/>
        <v>472296.31</v>
      </c>
      <c r="AH45" s="328">
        <f t="shared" si="25"/>
        <v>0</v>
      </c>
      <c r="AJ45" s="247">
        <f t="shared" si="5"/>
        <v>2245616.4499999997</v>
      </c>
      <c r="BT45" s="263"/>
      <c r="BU45" s="263" t="s">
        <v>776</v>
      </c>
      <c r="BV45" s="264"/>
      <c r="BW45" s="247"/>
      <c r="BX45" s="247"/>
      <c r="BY45" s="247"/>
      <c r="BZ45" s="247"/>
      <c r="CA45" s="247"/>
      <c r="CB45" s="247"/>
      <c r="CC45" s="247"/>
      <c r="CD45" s="247"/>
      <c r="CE45" s="247"/>
      <c r="CF45" s="247"/>
      <c r="CG45" s="247"/>
      <c r="CH45" s="247"/>
      <c r="CI45" s="247"/>
      <c r="CJ45" s="247"/>
    </row>
    <row r="46" spans="1:88" outlineLevel="2" x14ac:dyDescent="0.25">
      <c r="A46" s="246" t="s">
        <v>568</v>
      </c>
      <c r="B46" s="246" t="s">
        <v>560</v>
      </c>
      <c r="C46" s="193" t="s">
        <v>522</v>
      </c>
      <c r="D46" s="247" cm="1">
        <f t="array" ref="D46">-SUMPRODUCT(
  desp[valor] *
  (desp[nucleo]=$B46) *
  (desp[centro.negocio]=$B$43) *
  (desp[data.pagamento]&gt;=D$1) *
  (desp[data.pagamento]&lt;EOMONTH(D$1,0)+1)
)</f>
        <v>0</v>
      </c>
      <c r="E46" s="247" cm="1">
        <f t="array" ref="E46">-SUMPRODUCT(
  desp[valor] *
  (desp[nucleo]=$B46) *
  (desp[centro.negocio]=$B$43) *
  (desp[data.pagamento]&gt;=E$1) *
  (desp[data.pagamento]&lt;EOMONTH(E$1,0)+1)
)</f>
        <v>0</v>
      </c>
      <c r="F46" s="247" cm="1">
        <f t="array" ref="F46">-SUMPRODUCT(
  desp[valor] *
  (desp[nucleo]=$B46) *
  (desp[centro.negocio]=$B$43) *
  (desp[data.pagamento]&gt;=F$1) *
  (desp[data.pagamento]&lt;EOMONTH(F$1,0)+1)
)</f>
        <v>0</v>
      </c>
      <c r="G46" s="247" cm="1">
        <f t="array" ref="G46">-SUMPRODUCT(
  desp[valor] *
  (desp[nucleo]=$B46) *
  (desp[centro.negocio]=$B$43) *
  (desp[data.pagamento]&gt;=G$1) *
  (desp[data.pagamento]&lt;EOMONTH(G$1,0)+1)
)</f>
        <v>0</v>
      </c>
      <c r="H46" s="247" cm="1">
        <f t="array" ref="H46">-SUMPRODUCT(
  desp[valor] *
  (desp[nucleo]=$B46) *
  (desp[centro.negocio]=$B$43) *
  (desp[data.pagamento]&gt;=H$1) *
  (desp[data.pagamento]&lt;EOMONTH(H$1,0)+1)
)</f>
        <v>0</v>
      </c>
      <c r="I46" s="247" cm="1">
        <f t="array" ref="I46">-SUMPRODUCT(
  desp[valor] *
  (desp[nucleo]=$B46) *
  (desp[centro.negocio]=$B$43) *
  (desp[data.pagamento]&gt;=I$1) *
  (desp[data.pagamento]&lt;EOMONTH(I$1,0)+1)
)</f>
        <v>0</v>
      </c>
      <c r="J46" s="247" cm="1">
        <f t="array" ref="J46">-SUMPRODUCT(
  desp[valor] *
  (desp[nucleo]=$B46) *
  (desp[centro.negocio]=$B$43) *
  (desp[data.pagamento]&gt;=J$1) *
  (desp[data.pagamento]&lt;EOMONTH(J$1,0)+1)
)</f>
        <v>0</v>
      </c>
      <c r="K46" s="247" cm="1">
        <f t="array" ref="K46">-SUMPRODUCT(
  desp[valor] *
  (desp[nucleo]=$B46) *
  (desp[centro.negocio]=$B$43) *
  (desp[data.pagamento]&gt;=K$1) *
  (desp[data.pagamento]&lt;EOMONTH(K$1,0)+1)
)</f>
        <v>0</v>
      </c>
      <c r="L46" s="247" cm="1">
        <f t="array" ref="L46">-SUMPRODUCT(
  desp[valor] *
  (desp[nucleo]=$B46) *
  (desp[centro.negocio]=$B$43) *
  (desp[data.pagamento]&gt;=L$1) *
  (desp[data.pagamento]&lt;EOMONTH(L$1,0)+1)
)</f>
        <v>0</v>
      </c>
      <c r="M46" s="247" cm="1">
        <f t="array" ref="M46">-SUMPRODUCT(
  desp[valor] *
  (desp[nucleo]=$B46) *
  (desp[centro.negocio]=$B$43) *
  (desp[data.pagamento]&gt;=M$1) *
  (desp[data.pagamento]&lt;EOMONTH(M$1,0)+1)
)</f>
        <v>0</v>
      </c>
      <c r="N46" s="247" cm="1">
        <f t="array" ref="N46">-SUMPRODUCT(
  desp[valor] *
  (desp[nucleo]=$B46) *
  (desp[centro.negocio]=$B$43) *
  (desp[data.pagamento]&gt;=N$1) *
  (desp[data.pagamento]&lt;EOMONTH(N$1,0)+1)
)</f>
        <v>0</v>
      </c>
      <c r="O46" s="247" cm="1">
        <f t="array" ref="O46">-SUMPRODUCT(
  desp[valor] *
  (desp[nucleo]=$B46) *
  (desp[centro.negocio]=$B$43) *
  (desp[data.pagamento]&gt;=O$1) *
  (desp[data.pagamento]&lt;EOMONTH(O$1,0)+1)
)</f>
        <v>0</v>
      </c>
      <c r="P46" s="247" cm="1">
        <f t="array" ref="P46">-SUMPRODUCT(
  desp[valor] *
  (desp[nucleo]=$B46) *
  (desp[centro.negocio]=$B$43) *
  (desp[data.pagamento]&gt;=P$1) *
  (desp[data.pagamento]&lt;EOMONTH(P$1,0)+1)
)</f>
        <v>0</v>
      </c>
      <c r="Q46" s="247" cm="1">
        <f t="array" ref="Q46">-SUMPRODUCT(
  desp[valor] *
  (desp[nucleo]=$B46) *
  (desp[centro.negocio]=$B$43) *
  (desp[data.pagamento]&gt;=Q$1) *
  (desp[data.pagamento]&lt;EOMONTH(Q$1,0)+1)
)</f>
        <v>0</v>
      </c>
      <c r="R46" s="247" cm="1">
        <f t="array" ref="R46">-SUMPRODUCT(
  desp[valor] *
  (desp[nucleo]=$B46) *
  (desp[centro.negocio]=$B$43) *
  (desp[data.pagamento]&gt;=R$1) *
  (desp[data.pagamento]&lt;EOMONTH(R$1,0)+1)
)</f>
        <v>0</v>
      </c>
      <c r="T46" s="239">
        <f t="shared" ref="T46" si="26">SUM(D46:R46)</f>
        <v>0</v>
      </c>
      <c r="X46" s="305"/>
      <c r="Y46" s="338" t="s">
        <v>776</v>
      </c>
      <c r="Z46" s="311"/>
      <c r="AA46" s="311"/>
      <c r="AB46" s="311"/>
      <c r="AC46" s="311"/>
      <c r="AD46" s="311"/>
      <c r="AE46" s="311"/>
      <c r="AF46" s="311"/>
      <c r="AG46" s="311"/>
      <c r="AH46" s="312"/>
      <c r="AJ46" s="247">
        <f t="shared" si="5"/>
        <v>0</v>
      </c>
      <c r="BT46" s="263"/>
      <c r="BU46" s="263" t="s">
        <v>777</v>
      </c>
      <c r="BV46" s="264"/>
      <c r="BW46" s="247"/>
      <c r="BX46" s="247"/>
      <c r="BY46" s="247"/>
      <c r="BZ46" s="247"/>
      <c r="CA46" s="247"/>
      <c r="CB46" s="247"/>
      <c r="CC46" s="247"/>
      <c r="CD46" s="247"/>
      <c r="CE46" s="247"/>
      <c r="CF46" s="247"/>
      <c r="CG46" s="247"/>
      <c r="CH46" s="247"/>
      <c r="CI46" s="247"/>
      <c r="CJ46" s="247"/>
    </row>
    <row r="47" spans="1:88" outlineLevel="2" x14ac:dyDescent="0.25">
      <c r="A47" s="246" t="s">
        <v>569</v>
      </c>
      <c r="B47" s="246" t="s">
        <v>552</v>
      </c>
      <c r="C47" s="193" t="s">
        <v>522</v>
      </c>
      <c r="D47" s="247" cm="1">
        <f t="array" ref="D47">-SUMPRODUCT(
  desp[valor] *
  (desp[nucleo]=$B47) *
  (desp[centro.negocio]=$B$43) *
  (desp[data.pagamento]&gt;=D$1) *
  (desp[data.pagamento]&lt;EOMONTH(D$1,0)+1)
)</f>
        <v>0</v>
      </c>
      <c r="E47" s="247" cm="1">
        <f t="array" ref="E47">-SUMPRODUCT(
  desp[valor] *
  (desp[nucleo]=$B47) *
  (desp[centro.negocio]=$B$43) *
  (desp[data.pagamento]&gt;=E$1) *
  (desp[data.pagamento]&lt;EOMONTH(E$1,0)+1)
)</f>
        <v>0</v>
      </c>
      <c r="F47" s="247" cm="1">
        <f t="array" ref="F47">-SUMPRODUCT(
  desp[valor] *
  (desp[nucleo]=$B47) *
  (desp[centro.negocio]=$B$43) *
  (desp[data.pagamento]&gt;=F$1) *
  (desp[data.pagamento]&lt;EOMONTH(F$1,0)+1)
)</f>
        <v>0</v>
      </c>
      <c r="G47" s="247" cm="1">
        <f t="array" ref="G47">-SUMPRODUCT(
  desp[valor] *
  (desp[nucleo]=$B47) *
  (desp[centro.negocio]=$B$43) *
  (desp[data.pagamento]&gt;=G$1) *
  (desp[data.pagamento]&lt;EOMONTH(G$1,0)+1)
)</f>
        <v>0</v>
      </c>
      <c r="H47" s="247" cm="1">
        <f t="array" ref="H47">-SUMPRODUCT(
  desp[valor] *
  (desp[nucleo]=$B47) *
  (desp[centro.negocio]=$B$43) *
  (desp[data.pagamento]&gt;=H$1) *
  (desp[data.pagamento]&lt;EOMONTH(H$1,0)+1)
)</f>
        <v>0</v>
      </c>
      <c r="I47" s="247" cm="1">
        <f t="array" ref="I47">-SUMPRODUCT(
  desp[valor] *
  (desp[nucleo]=$B47) *
  (desp[centro.negocio]=$B$43) *
  (desp[data.pagamento]&gt;=I$1) *
  (desp[data.pagamento]&lt;EOMONTH(I$1,0)+1)
)</f>
        <v>0</v>
      </c>
      <c r="J47" s="247" cm="1">
        <f t="array" ref="J47">-SUMPRODUCT(
  desp[valor] *
  (desp[nucleo]=$B47) *
  (desp[centro.negocio]=$B$43) *
  (desp[data.pagamento]&gt;=J$1) *
  (desp[data.pagamento]&lt;EOMONTH(J$1,0)+1)
)</f>
        <v>0</v>
      </c>
      <c r="K47" s="247" cm="1">
        <f t="array" ref="K47">-SUMPRODUCT(
  desp[valor] *
  (desp[nucleo]=$B47) *
  (desp[centro.negocio]=$B$43) *
  (desp[data.pagamento]&gt;=K$1) *
  (desp[data.pagamento]&lt;EOMONTH(K$1,0)+1)
)</f>
        <v>0</v>
      </c>
      <c r="L47" s="247" cm="1">
        <f t="array" ref="L47">-SUMPRODUCT(
  desp[valor] *
  (desp[nucleo]=$B47) *
  (desp[centro.negocio]=$B$43) *
  (desp[data.pagamento]&gt;=L$1) *
  (desp[data.pagamento]&lt;EOMONTH(L$1,0)+1)
)</f>
        <v>0</v>
      </c>
      <c r="M47" s="247" cm="1">
        <f t="array" ref="M47">-SUMPRODUCT(
  desp[valor] *
  (desp[nucleo]=$B47) *
  (desp[centro.negocio]=$B$43) *
  (desp[data.pagamento]&gt;=M$1) *
  (desp[data.pagamento]&lt;EOMONTH(M$1,0)+1)
)</f>
        <v>0</v>
      </c>
      <c r="N47" s="247" cm="1">
        <f t="array" ref="N47">-SUMPRODUCT(
  desp[valor] *
  (desp[nucleo]=$B47) *
  (desp[centro.negocio]=$B$43) *
  (desp[data.pagamento]&gt;=N$1) *
  (desp[data.pagamento]&lt;EOMONTH(N$1,0)+1)
)</f>
        <v>0</v>
      </c>
      <c r="O47" s="247" cm="1">
        <f t="array" ref="O47">-SUMPRODUCT(
  desp[valor] *
  (desp[nucleo]=$B47) *
  (desp[centro.negocio]=$B$43) *
  (desp[data.pagamento]&gt;=O$1) *
  (desp[data.pagamento]&lt;EOMONTH(O$1,0)+1)
)</f>
        <v>0</v>
      </c>
      <c r="P47" s="247" cm="1">
        <f t="array" ref="P47">-SUMPRODUCT(
  desp[valor] *
  (desp[nucleo]=$B47) *
  (desp[centro.negocio]=$B$43) *
  (desp[data.pagamento]&gt;=P$1) *
  (desp[data.pagamento]&lt;EOMONTH(P$1,0)+1)
)</f>
        <v>0</v>
      </c>
      <c r="Q47" s="247" cm="1">
        <f t="array" ref="Q47">-SUMPRODUCT(
  desp[valor] *
  (desp[nucleo]=$B47) *
  (desp[centro.negocio]=$B$43) *
  (desp[data.pagamento]&gt;=Q$1) *
  (desp[data.pagamento]&lt;EOMONTH(Q$1,0)+1)
)</f>
        <v>0</v>
      </c>
      <c r="R47" s="247" cm="1">
        <f t="array" ref="R47">-SUMPRODUCT(
  desp[valor] *
  (desp[nucleo]=$B47) *
  (desp[centro.negocio]=$B$43) *
  (desp[data.pagamento]&gt;=R$1) *
  (desp[data.pagamento]&lt;EOMONTH(R$1,0)+1)
)</f>
        <v>0</v>
      </c>
      <c r="T47" s="239">
        <f>SUM(D47:R47)</f>
        <v>0</v>
      </c>
      <c r="X47" s="305"/>
      <c r="Y47" s="338" t="s">
        <v>777</v>
      </c>
      <c r="Z47" s="311"/>
      <c r="AA47" s="311"/>
      <c r="AB47" s="311"/>
      <c r="AC47" s="311"/>
      <c r="AD47" s="311"/>
      <c r="AE47" s="311"/>
      <c r="AF47" s="311"/>
      <c r="AG47" s="311"/>
      <c r="AH47" s="312"/>
      <c r="AJ47" s="247">
        <f t="shared" si="5"/>
        <v>0</v>
      </c>
    </row>
    <row r="48" spans="1:88" outlineLevel="2" x14ac:dyDescent="0.25">
      <c r="A48" s="246" t="s">
        <v>570</v>
      </c>
      <c r="B48" s="246" t="s">
        <v>546</v>
      </c>
      <c r="C48" s="193" t="s">
        <v>522</v>
      </c>
      <c r="D48" s="247" cm="1">
        <f t="array" ref="D48">-SUMPRODUCT(
  desp[valor] *
  (desp[nucleo]=$B48) *
  (desp[centro.negocio]=$B$43) *
  (desp[data.pagamento]&gt;=D$1) *
  (desp[data.pagamento]&lt;EOMONTH(D$1,0)+1)
)</f>
        <v>0</v>
      </c>
      <c r="E48" s="247" cm="1">
        <f t="array" ref="E48">-SUMPRODUCT(
  desp[valor] *
  (desp[nucleo]=$B48) *
  (desp[centro.negocio]=$B$43) *
  (desp[data.pagamento]&gt;=E$1) *
  (desp[data.pagamento]&lt;EOMONTH(E$1,0)+1)
)</f>
        <v>0</v>
      </c>
      <c r="F48" s="247" cm="1">
        <f t="array" ref="F48">-SUMPRODUCT(
  desp[valor] *
  (desp[nucleo]=$B48) *
  (desp[centro.negocio]=$B$43) *
  (desp[data.pagamento]&gt;=F$1) *
  (desp[data.pagamento]&lt;EOMONTH(F$1,0)+1)
)</f>
        <v>0</v>
      </c>
      <c r="G48" s="247" cm="1">
        <f t="array" ref="G48">-SUMPRODUCT(
  desp[valor] *
  (desp[nucleo]=$B48) *
  (desp[centro.negocio]=$B$43) *
  (desp[data.pagamento]&gt;=G$1) *
  (desp[data.pagamento]&lt;EOMONTH(G$1,0)+1)
)</f>
        <v>0</v>
      </c>
      <c r="H48" s="247" cm="1">
        <f t="array" ref="H48">-SUMPRODUCT(
  desp[valor] *
  (desp[nucleo]=$B48) *
  (desp[centro.negocio]=$B$43) *
  (desp[data.pagamento]&gt;=H$1) *
  (desp[data.pagamento]&lt;EOMONTH(H$1,0)+1)
)</f>
        <v>0</v>
      </c>
      <c r="I48" s="247" cm="1">
        <f t="array" ref="I48">-SUMPRODUCT(
  desp[valor] *
  (desp[nucleo]=$B48) *
  (desp[centro.negocio]=$B$43) *
  (desp[data.pagamento]&gt;=I$1) *
  (desp[data.pagamento]&lt;EOMONTH(I$1,0)+1)
)</f>
        <v>0</v>
      </c>
      <c r="J48" s="247" cm="1">
        <f t="array" ref="J48">-SUMPRODUCT(
  desp[valor] *
  (desp[nucleo]=$B48) *
  (desp[centro.negocio]=$B$43) *
  (desp[data.pagamento]&gt;=J$1) *
  (desp[data.pagamento]&lt;EOMONTH(J$1,0)+1)
)</f>
        <v>0</v>
      </c>
      <c r="K48" s="247" cm="1">
        <f t="array" ref="K48">-SUMPRODUCT(
  desp[valor] *
  (desp[nucleo]=$B48) *
  (desp[centro.negocio]=$B$43) *
  (desp[data.pagamento]&gt;=K$1) *
  (desp[data.pagamento]&lt;EOMONTH(K$1,0)+1)
)</f>
        <v>0</v>
      </c>
      <c r="L48" s="247" cm="1">
        <f t="array" ref="L48">-SUMPRODUCT(
  desp[valor] *
  (desp[nucleo]=$B48) *
  (desp[centro.negocio]=$B$43) *
  (desp[data.pagamento]&gt;=L$1) *
  (desp[data.pagamento]&lt;EOMONTH(L$1,0)+1)
)</f>
        <v>0</v>
      </c>
      <c r="M48" s="247" cm="1">
        <f t="array" ref="M48">-SUMPRODUCT(
  desp[valor] *
  (desp[nucleo]=$B48) *
  (desp[centro.negocio]=$B$43) *
  (desp[data.pagamento]&gt;=M$1) *
  (desp[data.pagamento]&lt;EOMONTH(M$1,0)+1)
)</f>
        <v>0</v>
      </c>
      <c r="N48" s="247" cm="1">
        <f t="array" ref="N48">-SUMPRODUCT(
  desp[valor] *
  (desp[nucleo]=$B48) *
  (desp[centro.negocio]=$B$43) *
  (desp[data.pagamento]&gt;=N$1) *
  (desp[data.pagamento]&lt;EOMONTH(N$1,0)+1)
)</f>
        <v>0</v>
      </c>
      <c r="O48" s="247" cm="1">
        <f t="array" ref="O48">-SUMPRODUCT(
  desp[valor] *
  (desp[nucleo]=$B48) *
  (desp[centro.negocio]=$B$43) *
  (desp[data.pagamento]&gt;=O$1) *
  (desp[data.pagamento]&lt;EOMONTH(O$1,0)+1)
)</f>
        <v>0</v>
      </c>
      <c r="P48" s="247" cm="1">
        <f t="array" ref="P48">-SUMPRODUCT(
  desp[valor] *
  (desp[nucleo]=$B48) *
  (desp[centro.negocio]=$B$43) *
  (desp[data.pagamento]&gt;=P$1) *
  (desp[data.pagamento]&lt;EOMONTH(P$1,0)+1)
)</f>
        <v>0</v>
      </c>
      <c r="Q48" s="247" cm="1">
        <f t="array" ref="Q48">-SUMPRODUCT(
  desp[valor] *
  (desp[nucleo]=$B48) *
  (desp[centro.negocio]=$B$43) *
  (desp[data.pagamento]&gt;=Q$1) *
  (desp[data.pagamento]&lt;EOMONTH(Q$1,0)+1)
)</f>
        <v>0</v>
      </c>
      <c r="R48" s="247" cm="1">
        <f t="array" ref="R48">-SUMPRODUCT(
  desp[valor] *
  (desp[nucleo]=$B48) *
  (desp[centro.negocio]=$B$43) *
  (desp[data.pagamento]&gt;=R$1) *
  (desp[data.pagamento]&lt;EOMONTH(R$1,0)+1)
)</f>
        <v>0</v>
      </c>
      <c r="T48" s="239">
        <f t="shared" ref="T48:T55" si="27">SUM(D48:R48)</f>
        <v>0</v>
      </c>
      <c r="X48" s="305"/>
      <c r="Y48" s="338" t="s">
        <v>796</v>
      </c>
      <c r="Z48" s="311">
        <f>Z47-Z46</f>
        <v>0</v>
      </c>
      <c r="AA48" s="311">
        <f t="shared" ref="AA48:AH48" si="28">AA47-AA46</f>
        <v>0</v>
      </c>
      <c r="AB48" s="311">
        <f t="shared" si="28"/>
        <v>0</v>
      </c>
      <c r="AC48" s="311">
        <f t="shared" si="28"/>
        <v>0</v>
      </c>
      <c r="AD48" s="311">
        <f t="shared" si="28"/>
        <v>0</v>
      </c>
      <c r="AE48" s="311">
        <f t="shared" si="28"/>
        <v>0</v>
      </c>
      <c r="AF48" s="311">
        <f t="shared" si="28"/>
        <v>0</v>
      </c>
      <c r="AG48" s="311">
        <f t="shared" si="28"/>
        <v>0</v>
      </c>
      <c r="AH48" s="312">
        <f t="shared" si="28"/>
        <v>0</v>
      </c>
      <c r="AJ48" s="247">
        <f t="shared" si="5"/>
        <v>0</v>
      </c>
    </row>
    <row r="49" spans="1:20" outlineLevel="2" x14ac:dyDescent="0.25">
      <c r="A49" s="246" t="s">
        <v>571</v>
      </c>
      <c r="B49" s="246" t="s">
        <v>554</v>
      </c>
      <c r="C49" s="193" t="s">
        <v>522</v>
      </c>
      <c r="D49" s="247" cm="1">
        <f t="array" ref="D49">-SUMPRODUCT(
  desp[valor] *
  (desp[nucleo]=$B49) *
  (desp[centro.negocio]=$B$43) *
  (desp[data.pagamento]&gt;=D$1) *
  (desp[data.pagamento]&lt;EOMONTH(D$1,0)+1)
)</f>
        <v>0</v>
      </c>
      <c r="E49" s="247" cm="1">
        <f t="array" ref="E49">-SUMPRODUCT(
  desp[valor] *
  (desp[nucleo]=$B49) *
  (desp[centro.negocio]=$B$43) *
  (desp[data.pagamento]&gt;=E$1) *
  (desp[data.pagamento]&lt;EOMONTH(E$1,0)+1)
)</f>
        <v>0</v>
      </c>
      <c r="F49" s="247" cm="1">
        <f t="array" ref="F49">-SUMPRODUCT(
  desp[valor] *
  (desp[nucleo]=$B49) *
  (desp[centro.negocio]=$B$43) *
  (desp[data.pagamento]&gt;=F$1) *
  (desp[data.pagamento]&lt;EOMONTH(F$1,0)+1)
)</f>
        <v>0</v>
      </c>
      <c r="G49" s="247" cm="1">
        <f t="array" ref="G49">-SUMPRODUCT(
  desp[valor] *
  (desp[nucleo]=$B49) *
  (desp[centro.negocio]=$B$43) *
  (desp[data.pagamento]&gt;=G$1) *
  (desp[data.pagamento]&lt;EOMONTH(G$1,0)+1)
)</f>
        <v>0</v>
      </c>
      <c r="H49" s="247" cm="1">
        <f t="array" ref="H49">-SUMPRODUCT(
  desp[valor] *
  (desp[nucleo]=$B49) *
  (desp[centro.negocio]=$B$43) *
  (desp[data.pagamento]&gt;=H$1) *
  (desp[data.pagamento]&lt;EOMONTH(H$1,0)+1)
)</f>
        <v>0</v>
      </c>
      <c r="I49" s="247" cm="1">
        <f t="array" ref="I49">-SUMPRODUCT(
  desp[valor] *
  (desp[nucleo]=$B49) *
  (desp[centro.negocio]=$B$43) *
  (desp[data.pagamento]&gt;=I$1) *
  (desp[data.pagamento]&lt;EOMONTH(I$1,0)+1)
)</f>
        <v>0</v>
      </c>
      <c r="J49" s="247" cm="1">
        <f t="array" ref="J49">-SUMPRODUCT(
  desp[valor] *
  (desp[nucleo]=$B49) *
  (desp[centro.negocio]=$B$43) *
  (desp[data.pagamento]&gt;=J$1) *
  (desp[data.pagamento]&lt;EOMONTH(J$1,0)+1)
)</f>
        <v>0</v>
      </c>
      <c r="K49" s="247" cm="1">
        <f t="array" ref="K49">-SUMPRODUCT(
  desp[valor] *
  (desp[nucleo]=$B49) *
  (desp[centro.negocio]=$B$43) *
  (desp[data.pagamento]&gt;=K$1) *
  (desp[data.pagamento]&lt;EOMONTH(K$1,0)+1)
)</f>
        <v>0</v>
      </c>
      <c r="L49" s="247" cm="1">
        <f t="array" ref="L49">-SUMPRODUCT(
  desp[valor] *
  (desp[nucleo]=$B49) *
  (desp[centro.negocio]=$B$43) *
  (desp[data.pagamento]&gt;=L$1) *
  (desp[data.pagamento]&lt;EOMONTH(L$1,0)+1)
)</f>
        <v>0</v>
      </c>
      <c r="M49" s="247" cm="1">
        <f t="array" ref="M49">-SUMPRODUCT(
  desp[valor] *
  (desp[nucleo]=$B49) *
  (desp[centro.negocio]=$B$43) *
  (desp[data.pagamento]&gt;=M$1) *
  (desp[data.pagamento]&lt;EOMONTH(M$1,0)+1)
)</f>
        <v>0</v>
      </c>
      <c r="N49" s="247" cm="1">
        <f t="array" ref="N49">-SUMPRODUCT(
  desp[valor] *
  (desp[nucleo]=$B49) *
  (desp[centro.negocio]=$B$43) *
  (desp[data.pagamento]&gt;=N$1) *
  (desp[data.pagamento]&lt;EOMONTH(N$1,0)+1)
)</f>
        <v>0</v>
      </c>
      <c r="O49" s="247" cm="1">
        <f t="array" ref="O49">-SUMPRODUCT(
  desp[valor] *
  (desp[nucleo]=$B49) *
  (desp[centro.negocio]=$B$43) *
  (desp[data.pagamento]&gt;=O$1) *
  (desp[data.pagamento]&lt;EOMONTH(O$1,0)+1)
)</f>
        <v>0</v>
      </c>
      <c r="P49" s="247" cm="1">
        <f t="array" ref="P49">-SUMPRODUCT(
  desp[valor] *
  (desp[nucleo]=$B49) *
  (desp[centro.negocio]=$B$43) *
  (desp[data.pagamento]&gt;=P$1) *
  (desp[data.pagamento]&lt;EOMONTH(P$1,0)+1)
)</f>
        <v>0</v>
      </c>
      <c r="Q49" s="247" cm="1">
        <f t="array" ref="Q49">-SUMPRODUCT(
  desp[valor] *
  (desp[nucleo]=$B49) *
  (desp[centro.negocio]=$B$43) *
  (desp[data.pagamento]&gt;=Q$1) *
  (desp[data.pagamento]&lt;EOMONTH(Q$1,0)+1)
)</f>
        <v>0</v>
      </c>
      <c r="R49" s="247" cm="1">
        <f t="array" ref="R49">-SUMPRODUCT(
  desp[valor] *
  (desp[nucleo]=$B49) *
  (desp[centro.negocio]=$B$43) *
  (desp[data.pagamento]&gt;=R$1) *
  (desp[data.pagamento]&lt;EOMONTH(R$1,0)+1)
)</f>
        <v>0</v>
      </c>
      <c r="T49" s="239">
        <f t="shared" si="27"/>
        <v>0</v>
      </c>
    </row>
    <row r="50" spans="1:20" outlineLevel="2" x14ac:dyDescent="0.25">
      <c r="A50" s="246" t="s">
        <v>572</v>
      </c>
      <c r="B50" s="246" t="s">
        <v>550</v>
      </c>
      <c r="C50" s="193" t="s">
        <v>522</v>
      </c>
      <c r="D50" s="247" cm="1">
        <f t="array" ref="D50">-SUMPRODUCT(
  desp[valor] *
  (desp[nucleo]=$B50) *
  (desp[centro.negocio]=$B$43) *
  (desp[data.pagamento]&gt;=D$1) *
  (desp[data.pagamento]&lt;EOMONTH(D$1,0)+1)
)</f>
        <v>0</v>
      </c>
      <c r="E50" s="247" cm="1">
        <f t="array" ref="E50">-SUMPRODUCT(
  desp[valor] *
  (desp[nucleo]=$B50) *
  (desp[centro.negocio]=$B$43) *
  (desp[data.pagamento]&gt;=E$1) *
  (desp[data.pagamento]&lt;EOMONTH(E$1,0)+1)
)</f>
        <v>0</v>
      </c>
      <c r="F50" s="247" cm="1">
        <f t="array" ref="F50">-SUMPRODUCT(
  desp[valor] *
  (desp[nucleo]=$B50) *
  (desp[centro.negocio]=$B$43) *
  (desp[data.pagamento]&gt;=F$1) *
  (desp[data.pagamento]&lt;EOMONTH(F$1,0)+1)
)</f>
        <v>0</v>
      </c>
      <c r="G50" s="247" cm="1">
        <f t="array" ref="G50">-SUMPRODUCT(
  desp[valor] *
  (desp[nucleo]=$B50) *
  (desp[centro.negocio]=$B$43) *
  (desp[data.pagamento]&gt;=G$1) *
  (desp[data.pagamento]&lt;EOMONTH(G$1,0)+1)
)</f>
        <v>0</v>
      </c>
      <c r="H50" s="247" cm="1">
        <f t="array" ref="H50">-SUMPRODUCT(
  desp[valor] *
  (desp[nucleo]=$B50) *
  (desp[centro.negocio]=$B$43) *
  (desp[data.pagamento]&gt;=H$1) *
  (desp[data.pagamento]&lt;EOMONTH(H$1,0)+1)
)</f>
        <v>0</v>
      </c>
      <c r="I50" s="247" cm="1">
        <f t="array" ref="I50">-SUMPRODUCT(
  desp[valor] *
  (desp[nucleo]=$B50) *
  (desp[centro.negocio]=$B$43) *
  (desp[data.pagamento]&gt;=I$1) *
  (desp[data.pagamento]&lt;EOMONTH(I$1,0)+1)
)</f>
        <v>0</v>
      </c>
      <c r="J50" s="247" cm="1">
        <f t="array" ref="J50">-SUMPRODUCT(
  desp[valor] *
  (desp[nucleo]=$B50) *
  (desp[centro.negocio]=$B$43) *
  (desp[data.pagamento]&gt;=J$1) *
  (desp[data.pagamento]&lt;EOMONTH(J$1,0)+1)
)</f>
        <v>0</v>
      </c>
      <c r="K50" s="247" cm="1">
        <f t="array" ref="K50">-SUMPRODUCT(
  desp[valor] *
  (desp[nucleo]=$B50) *
  (desp[centro.negocio]=$B$43) *
  (desp[data.pagamento]&gt;=K$1) *
  (desp[data.pagamento]&lt;EOMONTH(K$1,0)+1)
)</f>
        <v>0</v>
      </c>
      <c r="L50" s="247" cm="1">
        <f t="array" ref="L50">-SUMPRODUCT(
  desp[valor] *
  (desp[nucleo]=$B50) *
  (desp[centro.negocio]=$B$43) *
  (desp[data.pagamento]&gt;=L$1) *
  (desp[data.pagamento]&lt;EOMONTH(L$1,0)+1)
)</f>
        <v>0</v>
      </c>
      <c r="M50" s="247" cm="1">
        <f t="array" ref="M50">-SUMPRODUCT(
  desp[valor] *
  (desp[nucleo]=$B50) *
  (desp[centro.negocio]=$B$43) *
  (desp[data.pagamento]&gt;=M$1) *
  (desp[data.pagamento]&lt;EOMONTH(M$1,0)+1)
)</f>
        <v>0</v>
      </c>
      <c r="N50" s="247" cm="1">
        <f t="array" ref="N50">-SUMPRODUCT(
  desp[valor] *
  (desp[nucleo]=$B50) *
  (desp[centro.negocio]=$B$43) *
  (desp[data.pagamento]&gt;=N$1) *
  (desp[data.pagamento]&lt;EOMONTH(N$1,0)+1)
)</f>
        <v>0</v>
      </c>
      <c r="O50" s="247" cm="1">
        <f t="array" ref="O50">-SUMPRODUCT(
  desp[valor] *
  (desp[nucleo]=$B50) *
  (desp[centro.negocio]=$B$43) *
  (desp[data.pagamento]&gt;=O$1) *
  (desp[data.pagamento]&lt;EOMONTH(O$1,0)+1)
)</f>
        <v>0</v>
      </c>
      <c r="P50" s="247" cm="1">
        <f t="array" ref="P50">-SUMPRODUCT(
  desp[valor] *
  (desp[nucleo]=$B50) *
  (desp[centro.negocio]=$B$43) *
  (desp[data.pagamento]&gt;=P$1) *
  (desp[data.pagamento]&lt;EOMONTH(P$1,0)+1)
)</f>
        <v>0</v>
      </c>
      <c r="Q50" s="247" cm="1">
        <f t="array" ref="Q50">-SUMPRODUCT(
  desp[valor] *
  (desp[nucleo]=$B50) *
  (desp[centro.negocio]=$B$43) *
  (desp[data.pagamento]&gt;=Q$1) *
  (desp[data.pagamento]&lt;EOMONTH(Q$1,0)+1)
)</f>
        <v>0</v>
      </c>
      <c r="R50" s="247" cm="1">
        <f t="array" ref="R50">-SUMPRODUCT(
  desp[valor] *
  (desp[nucleo]=$B50) *
  (desp[centro.negocio]=$B$43) *
  (desp[data.pagamento]&gt;=R$1) *
  (desp[data.pagamento]&lt;EOMONTH(R$1,0)+1)
)</f>
        <v>0</v>
      </c>
      <c r="T50" s="239">
        <f t="shared" si="27"/>
        <v>0</v>
      </c>
    </row>
    <row r="51" spans="1:20" outlineLevel="1" x14ac:dyDescent="0.25">
      <c r="A51" s="243" t="s">
        <v>573</v>
      </c>
      <c r="B51" s="243" t="s">
        <v>356</v>
      </c>
      <c r="C51" s="244" t="s">
        <v>522</v>
      </c>
      <c r="D51" s="245">
        <f>SUM(D$52:D$63)</f>
        <v>0</v>
      </c>
      <c r="E51" s="245">
        <f t="shared" ref="E51:R51" si="29">SUM(E$52:E$63)</f>
        <v>0</v>
      </c>
      <c r="F51" s="245">
        <f t="shared" si="29"/>
        <v>0</v>
      </c>
      <c r="G51" s="245">
        <f t="shared" si="29"/>
        <v>0</v>
      </c>
      <c r="H51" s="245">
        <f t="shared" si="29"/>
        <v>0</v>
      </c>
      <c r="I51" s="245">
        <f t="shared" si="29"/>
        <v>0</v>
      </c>
      <c r="J51" s="245">
        <f t="shared" si="29"/>
        <v>0</v>
      </c>
      <c r="K51" s="245">
        <f t="shared" si="29"/>
        <v>0</v>
      </c>
      <c r="L51" s="245">
        <f t="shared" si="29"/>
        <v>0</v>
      </c>
      <c r="M51" s="245">
        <f t="shared" si="29"/>
        <v>0</v>
      </c>
      <c r="N51" s="245">
        <f t="shared" si="29"/>
        <v>0</v>
      </c>
      <c r="O51" s="245">
        <f t="shared" si="29"/>
        <v>0</v>
      </c>
      <c r="P51" s="245">
        <f t="shared" si="29"/>
        <v>0</v>
      </c>
      <c r="Q51" s="245">
        <f t="shared" si="29"/>
        <v>0</v>
      </c>
      <c r="R51" s="245">
        <f t="shared" si="29"/>
        <v>0</v>
      </c>
      <c r="T51" s="239">
        <f t="shared" si="27"/>
        <v>0</v>
      </c>
    </row>
    <row r="52" spans="1:20" outlineLevel="2" x14ac:dyDescent="0.25">
      <c r="A52" s="246" t="s">
        <v>574</v>
      </c>
      <c r="B52" s="246" t="s">
        <v>546</v>
      </c>
      <c r="C52" s="193" t="s">
        <v>522</v>
      </c>
      <c r="D52" s="247" cm="1">
        <f t="array" ref="D52">-SUMPRODUCT(
  desp[valor] *
  (desp[nucleo]=$B52) *
  (desp[centro.negocio]=$B$51) *
  (desp[data.pagamento]&gt;=D$1) *
  (desp[data.pagamento]&lt;EOMONTH(D$1,0)+1)
)</f>
        <v>0</v>
      </c>
      <c r="E52" s="247" cm="1">
        <f t="array" ref="E52">-SUMPRODUCT(
  desp[valor] *
  (desp[nucleo]=$B52) *
  (desp[centro.negocio]=$B$51) *
  (desp[data.pagamento]&gt;=E$1) *
  (desp[data.pagamento]&lt;EOMONTH(E$1,0)+1)
)</f>
        <v>0</v>
      </c>
      <c r="F52" s="247" cm="1">
        <f t="array" ref="F52">-SUMPRODUCT(
  desp[valor] *
  (desp[nucleo]=$B52) *
  (desp[centro.negocio]=$B$51) *
  (desp[data.pagamento]&gt;=F$1) *
  (desp[data.pagamento]&lt;EOMONTH(F$1,0)+1)
)</f>
        <v>0</v>
      </c>
      <c r="G52" s="247" cm="1">
        <f t="array" ref="G52">-SUMPRODUCT(
  desp[valor] *
  (desp[nucleo]=$B52) *
  (desp[centro.negocio]=$B$51) *
  (desp[data.pagamento]&gt;=G$1) *
  (desp[data.pagamento]&lt;EOMONTH(G$1,0)+1)
)</f>
        <v>0</v>
      </c>
      <c r="H52" s="247" cm="1">
        <f t="array" ref="H52">-SUMPRODUCT(
  desp[valor] *
  (desp[nucleo]=$B52) *
  (desp[centro.negocio]=$B$51) *
  (desp[data.pagamento]&gt;=H$1) *
  (desp[data.pagamento]&lt;EOMONTH(H$1,0)+1)
)</f>
        <v>0</v>
      </c>
      <c r="I52" s="247" cm="1">
        <f t="array" ref="I52">-SUMPRODUCT(
  desp[valor] *
  (desp[nucleo]=$B52) *
  (desp[centro.negocio]=$B$51) *
  (desp[data.pagamento]&gt;=I$1) *
  (desp[data.pagamento]&lt;EOMONTH(I$1,0)+1)
)</f>
        <v>0</v>
      </c>
      <c r="J52" s="247" cm="1">
        <f t="array" ref="J52">-SUMPRODUCT(
  desp[valor] *
  (desp[nucleo]=$B52) *
  (desp[centro.negocio]=$B$51) *
  (desp[data.pagamento]&gt;=J$1) *
  (desp[data.pagamento]&lt;EOMONTH(J$1,0)+1)
)</f>
        <v>0</v>
      </c>
      <c r="K52" s="247" cm="1">
        <f t="array" ref="K52">-SUMPRODUCT(
  desp[valor] *
  (desp[nucleo]=$B52) *
  (desp[centro.negocio]=$B$51) *
  (desp[data.pagamento]&gt;=K$1) *
  (desp[data.pagamento]&lt;EOMONTH(K$1,0)+1)
)</f>
        <v>0</v>
      </c>
      <c r="L52" s="247" cm="1">
        <f t="array" ref="L52">-SUMPRODUCT(
  desp[valor] *
  (desp[nucleo]=$B52) *
  (desp[centro.negocio]=$B$51) *
  (desp[data.pagamento]&gt;=L$1) *
  (desp[data.pagamento]&lt;EOMONTH(L$1,0)+1)
)</f>
        <v>0</v>
      </c>
      <c r="M52" s="247" cm="1">
        <f t="array" ref="M52">-SUMPRODUCT(
  desp[valor] *
  (desp[nucleo]=$B52) *
  (desp[centro.negocio]=$B$51) *
  (desp[data.pagamento]&gt;=M$1) *
  (desp[data.pagamento]&lt;EOMONTH(M$1,0)+1)
)</f>
        <v>0</v>
      </c>
      <c r="N52" s="247" cm="1">
        <f t="array" ref="N52">-SUMPRODUCT(
  desp[valor] *
  (desp[nucleo]=$B52) *
  (desp[centro.negocio]=$B$51) *
  (desp[data.pagamento]&gt;=N$1) *
  (desp[data.pagamento]&lt;EOMONTH(N$1,0)+1)
)</f>
        <v>0</v>
      </c>
      <c r="O52" s="247" cm="1">
        <f t="array" ref="O52">-SUMPRODUCT(
  desp[valor] *
  (desp[nucleo]=$B52) *
  (desp[centro.negocio]=$B$51) *
  (desp[data.pagamento]&gt;=O$1) *
  (desp[data.pagamento]&lt;EOMONTH(O$1,0)+1)
)</f>
        <v>0</v>
      </c>
      <c r="P52" s="247" cm="1">
        <f t="array" ref="P52">-SUMPRODUCT(
  desp[valor] *
  (desp[nucleo]=$B52) *
  (desp[centro.negocio]=$B$51) *
  (desp[data.pagamento]&gt;=P$1) *
  (desp[data.pagamento]&lt;EOMONTH(P$1,0)+1)
)</f>
        <v>0</v>
      </c>
      <c r="Q52" s="247" cm="1">
        <f t="array" ref="Q52">-SUMPRODUCT(
  desp[valor] *
  (desp[nucleo]=$B52) *
  (desp[centro.negocio]=$B$51) *
  (desp[data.pagamento]&gt;=Q$1) *
  (desp[data.pagamento]&lt;EOMONTH(Q$1,0)+1)
)</f>
        <v>0</v>
      </c>
      <c r="R52" s="247" cm="1">
        <f t="array" ref="R52">-SUMPRODUCT(
  desp[valor] *
  (desp[nucleo]=$B52) *
  (desp[centro.negocio]=$B$51) *
  (desp[data.pagamento]&gt;=R$1) *
  (desp[data.pagamento]&lt;EOMONTH(R$1,0)+1)
)</f>
        <v>0</v>
      </c>
      <c r="T52" s="239">
        <f t="shared" si="27"/>
        <v>0</v>
      </c>
    </row>
    <row r="53" spans="1:20" outlineLevel="2" x14ac:dyDescent="0.25">
      <c r="A53" s="246" t="s">
        <v>575</v>
      </c>
      <c r="B53" s="246" t="s">
        <v>552</v>
      </c>
      <c r="C53" s="193" t="s">
        <v>522</v>
      </c>
      <c r="D53" s="247" cm="1">
        <f t="array" ref="D53">-SUMPRODUCT(
  desp[valor] *
  (desp[nucleo]=$B53) *
  (desp[centro.negocio]=$B$51) *
  (desp[data.pagamento]&gt;=D$1) *
  (desp[data.pagamento]&lt;EOMONTH(D$1,0)+1)
)</f>
        <v>0</v>
      </c>
      <c r="E53" s="247" cm="1">
        <f t="array" ref="E53">-SUMPRODUCT(
  desp[valor] *
  (desp[nucleo]=$B53) *
  (desp[centro.negocio]=$B$51) *
  (desp[data.pagamento]&gt;=E$1) *
  (desp[data.pagamento]&lt;EOMONTH(E$1,0)+1)
)</f>
        <v>0</v>
      </c>
      <c r="F53" s="247" cm="1">
        <f t="array" ref="F53">-SUMPRODUCT(
  desp[valor] *
  (desp[nucleo]=$B53) *
  (desp[centro.negocio]=$B$51) *
  (desp[data.pagamento]&gt;=F$1) *
  (desp[data.pagamento]&lt;EOMONTH(F$1,0)+1)
)</f>
        <v>0</v>
      </c>
      <c r="G53" s="247" cm="1">
        <f t="array" ref="G53">-SUMPRODUCT(
  desp[valor] *
  (desp[nucleo]=$B53) *
  (desp[centro.negocio]=$B$51) *
  (desp[data.pagamento]&gt;=G$1) *
  (desp[data.pagamento]&lt;EOMONTH(G$1,0)+1)
)</f>
        <v>0</v>
      </c>
      <c r="H53" s="247" cm="1">
        <f t="array" ref="H53">-SUMPRODUCT(
  desp[valor] *
  (desp[nucleo]=$B53) *
  (desp[centro.negocio]=$B$51) *
  (desp[data.pagamento]&gt;=H$1) *
  (desp[data.pagamento]&lt;EOMONTH(H$1,0)+1)
)</f>
        <v>0</v>
      </c>
      <c r="I53" s="247" cm="1">
        <f t="array" ref="I53">-SUMPRODUCT(
  desp[valor] *
  (desp[nucleo]=$B53) *
  (desp[centro.negocio]=$B$51) *
  (desp[data.pagamento]&gt;=I$1) *
  (desp[data.pagamento]&lt;EOMONTH(I$1,0)+1)
)</f>
        <v>0</v>
      </c>
      <c r="J53" s="247" cm="1">
        <f t="array" ref="J53">-SUMPRODUCT(
  desp[valor] *
  (desp[nucleo]=$B53) *
  (desp[centro.negocio]=$B$51) *
  (desp[data.pagamento]&gt;=J$1) *
  (desp[data.pagamento]&lt;EOMONTH(J$1,0)+1)
)</f>
        <v>0</v>
      </c>
      <c r="K53" s="247" cm="1">
        <f t="array" ref="K53">-SUMPRODUCT(
  desp[valor] *
  (desp[nucleo]=$B53) *
  (desp[centro.negocio]=$B$51) *
  (desp[data.pagamento]&gt;=K$1) *
  (desp[data.pagamento]&lt;EOMONTH(K$1,0)+1)
)</f>
        <v>0</v>
      </c>
      <c r="L53" s="247" cm="1">
        <f t="array" ref="L53">-SUMPRODUCT(
  desp[valor] *
  (desp[nucleo]=$B53) *
  (desp[centro.negocio]=$B$51) *
  (desp[data.pagamento]&gt;=L$1) *
  (desp[data.pagamento]&lt;EOMONTH(L$1,0)+1)
)</f>
        <v>0</v>
      </c>
      <c r="M53" s="247" cm="1">
        <f t="array" ref="M53">-SUMPRODUCT(
  desp[valor] *
  (desp[nucleo]=$B53) *
  (desp[centro.negocio]=$B$51) *
  (desp[data.pagamento]&gt;=M$1) *
  (desp[data.pagamento]&lt;EOMONTH(M$1,0)+1)
)</f>
        <v>0</v>
      </c>
      <c r="N53" s="247" cm="1">
        <f t="array" ref="N53">-SUMPRODUCT(
  desp[valor] *
  (desp[nucleo]=$B53) *
  (desp[centro.negocio]=$B$51) *
  (desp[data.pagamento]&gt;=N$1) *
  (desp[data.pagamento]&lt;EOMONTH(N$1,0)+1)
)</f>
        <v>0</v>
      </c>
      <c r="O53" s="247" cm="1">
        <f t="array" ref="O53">-SUMPRODUCT(
  desp[valor] *
  (desp[nucleo]=$B53) *
  (desp[centro.negocio]=$B$51) *
  (desp[data.pagamento]&gt;=O$1) *
  (desp[data.pagamento]&lt;EOMONTH(O$1,0)+1)
)</f>
        <v>0</v>
      </c>
      <c r="P53" s="247" cm="1">
        <f t="array" ref="P53">-SUMPRODUCT(
  desp[valor] *
  (desp[nucleo]=$B53) *
  (desp[centro.negocio]=$B$51) *
  (desp[data.pagamento]&gt;=P$1) *
  (desp[data.pagamento]&lt;EOMONTH(P$1,0)+1)
)</f>
        <v>0</v>
      </c>
      <c r="Q53" s="247" cm="1">
        <f t="array" ref="Q53">-SUMPRODUCT(
  desp[valor] *
  (desp[nucleo]=$B53) *
  (desp[centro.negocio]=$B$51) *
  (desp[data.pagamento]&gt;=Q$1) *
  (desp[data.pagamento]&lt;EOMONTH(Q$1,0)+1)
)</f>
        <v>0</v>
      </c>
      <c r="R53" s="247" cm="1">
        <f t="array" ref="R53">-SUMPRODUCT(
  desp[valor] *
  (desp[nucleo]=$B53) *
  (desp[centro.negocio]=$B$51) *
  (desp[data.pagamento]&gt;=R$1) *
  (desp[data.pagamento]&lt;EOMONTH(R$1,0)+1)
)</f>
        <v>0</v>
      </c>
      <c r="T53" s="239">
        <f t="shared" si="27"/>
        <v>0</v>
      </c>
    </row>
    <row r="54" spans="1:20" outlineLevel="2" x14ac:dyDescent="0.25">
      <c r="A54" s="246" t="s">
        <v>576</v>
      </c>
      <c r="B54" s="246" t="s">
        <v>562</v>
      </c>
      <c r="C54" s="193" t="s">
        <v>522</v>
      </c>
      <c r="D54" s="247" cm="1">
        <f t="array" ref="D54">-SUMPRODUCT(
  desp[valor] *
  (desp[nucleo]=$B54) *
  (desp[centro.negocio]=$B$51) *
  (desp[data.pagamento]&gt;=D$1) *
  (desp[data.pagamento]&lt;EOMONTH(D$1,0)+1)
)</f>
        <v>0</v>
      </c>
      <c r="E54" s="247" cm="1">
        <f t="array" ref="E54">-SUMPRODUCT(
  desp[valor] *
  (desp[nucleo]=$B54) *
  (desp[centro.negocio]=$B$51) *
  (desp[data.pagamento]&gt;=E$1) *
  (desp[data.pagamento]&lt;EOMONTH(E$1,0)+1)
)</f>
        <v>0</v>
      </c>
      <c r="F54" s="247" cm="1">
        <f t="array" ref="F54">-SUMPRODUCT(
  desp[valor] *
  (desp[nucleo]=$B54) *
  (desp[centro.negocio]=$B$51) *
  (desp[data.pagamento]&gt;=F$1) *
  (desp[data.pagamento]&lt;EOMONTH(F$1,0)+1)
)</f>
        <v>0</v>
      </c>
      <c r="G54" s="247" cm="1">
        <f t="array" ref="G54">-SUMPRODUCT(
  desp[valor] *
  (desp[nucleo]=$B54) *
  (desp[centro.negocio]=$B$51) *
  (desp[data.pagamento]&gt;=G$1) *
  (desp[data.pagamento]&lt;EOMONTH(G$1,0)+1)
)</f>
        <v>0</v>
      </c>
      <c r="H54" s="247" cm="1">
        <f t="array" ref="H54">-SUMPRODUCT(
  desp[valor] *
  (desp[nucleo]=$B54) *
  (desp[centro.negocio]=$B$51) *
  (desp[data.pagamento]&gt;=H$1) *
  (desp[data.pagamento]&lt;EOMONTH(H$1,0)+1)
)</f>
        <v>0</v>
      </c>
      <c r="I54" s="247" cm="1">
        <f t="array" ref="I54">-SUMPRODUCT(
  desp[valor] *
  (desp[nucleo]=$B54) *
  (desp[centro.negocio]=$B$51) *
  (desp[data.pagamento]&gt;=I$1) *
  (desp[data.pagamento]&lt;EOMONTH(I$1,0)+1)
)</f>
        <v>0</v>
      </c>
      <c r="J54" s="247" cm="1">
        <f t="array" ref="J54">-SUMPRODUCT(
  desp[valor] *
  (desp[nucleo]=$B54) *
  (desp[centro.negocio]=$B$51) *
  (desp[data.pagamento]&gt;=J$1) *
  (desp[data.pagamento]&lt;EOMONTH(J$1,0)+1)
)</f>
        <v>0</v>
      </c>
      <c r="K54" s="247" cm="1">
        <f t="array" ref="K54">-SUMPRODUCT(
  desp[valor] *
  (desp[nucleo]=$B54) *
  (desp[centro.negocio]=$B$51) *
  (desp[data.pagamento]&gt;=K$1) *
  (desp[data.pagamento]&lt;EOMONTH(K$1,0)+1)
)</f>
        <v>0</v>
      </c>
      <c r="L54" s="247" cm="1">
        <f t="array" ref="L54">-SUMPRODUCT(
  desp[valor] *
  (desp[nucleo]=$B54) *
  (desp[centro.negocio]=$B$51) *
  (desp[data.pagamento]&gt;=L$1) *
  (desp[data.pagamento]&lt;EOMONTH(L$1,0)+1)
)</f>
        <v>0</v>
      </c>
      <c r="M54" s="247" cm="1">
        <f t="array" ref="M54">-SUMPRODUCT(
  desp[valor] *
  (desp[nucleo]=$B54) *
  (desp[centro.negocio]=$B$51) *
  (desp[data.pagamento]&gt;=M$1) *
  (desp[data.pagamento]&lt;EOMONTH(M$1,0)+1)
)</f>
        <v>0</v>
      </c>
      <c r="N54" s="247" cm="1">
        <f t="array" ref="N54">-SUMPRODUCT(
  desp[valor] *
  (desp[nucleo]=$B54) *
  (desp[centro.negocio]=$B$51) *
  (desp[data.pagamento]&gt;=N$1) *
  (desp[data.pagamento]&lt;EOMONTH(N$1,0)+1)
)</f>
        <v>0</v>
      </c>
      <c r="O54" s="247" cm="1">
        <f t="array" ref="O54">-SUMPRODUCT(
  desp[valor] *
  (desp[nucleo]=$B54) *
  (desp[centro.negocio]=$B$51) *
  (desp[data.pagamento]&gt;=O$1) *
  (desp[data.pagamento]&lt;EOMONTH(O$1,0)+1)
)</f>
        <v>0</v>
      </c>
      <c r="P54" s="247" cm="1">
        <f t="array" ref="P54">-SUMPRODUCT(
  desp[valor] *
  (desp[nucleo]=$B54) *
  (desp[centro.negocio]=$B$51) *
  (desp[data.pagamento]&gt;=P$1) *
  (desp[data.pagamento]&lt;EOMONTH(P$1,0)+1)
)</f>
        <v>0</v>
      </c>
      <c r="Q54" s="247" cm="1">
        <f t="array" ref="Q54">-SUMPRODUCT(
  desp[valor] *
  (desp[nucleo]=$B54) *
  (desp[centro.negocio]=$B$51) *
  (desp[data.pagamento]&gt;=Q$1) *
  (desp[data.pagamento]&lt;EOMONTH(Q$1,0)+1)
)</f>
        <v>0</v>
      </c>
      <c r="R54" s="247" cm="1">
        <f t="array" ref="R54">-SUMPRODUCT(
  desp[valor] *
  (desp[nucleo]=$B54) *
  (desp[centro.negocio]=$B$51) *
  (desp[data.pagamento]&gt;=R$1) *
  (desp[data.pagamento]&lt;EOMONTH(R$1,0)+1)
)</f>
        <v>0</v>
      </c>
      <c r="T54" s="239">
        <f t="shared" si="27"/>
        <v>0</v>
      </c>
    </row>
    <row r="55" spans="1:20" outlineLevel="2" x14ac:dyDescent="0.25">
      <c r="A55" s="246" t="s">
        <v>577</v>
      </c>
      <c r="B55" s="246" t="s">
        <v>556</v>
      </c>
      <c r="C55" s="193" t="s">
        <v>522</v>
      </c>
      <c r="D55" s="247" cm="1">
        <f t="array" ref="D55">-SUMPRODUCT(
  desp[valor] *
  (desp[nucleo]=$B55) *
  (desp[centro.negocio]=$B$51) *
  (desp[data.pagamento]&gt;=D$1) *
  (desp[data.pagamento]&lt;EOMONTH(D$1,0)+1)
)</f>
        <v>0</v>
      </c>
      <c r="E55" s="247" cm="1">
        <f t="array" ref="E55">-SUMPRODUCT(
  desp[valor] *
  (desp[nucleo]=$B55) *
  (desp[centro.negocio]=$B$51) *
  (desp[data.pagamento]&gt;=E$1) *
  (desp[data.pagamento]&lt;EOMONTH(E$1,0)+1)
)</f>
        <v>0</v>
      </c>
      <c r="F55" s="247" cm="1">
        <f t="array" ref="F55">-SUMPRODUCT(
  desp[valor] *
  (desp[nucleo]=$B55) *
  (desp[centro.negocio]=$B$51) *
  (desp[data.pagamento]&gt;=F$1) *
  (desp[data.pagamento]&lt;EOMONTH(F$1,0)+1)
)</f>
        <v>0</v>
      </c>
      <c r="G55" s="247" cm="1">
        <f t="array" ref="G55">-SUMPRODUCT(
  desp[valor] *
  (desp[nucleo]=$B55) *
  (desp[centro.negocio]=$B$51) *
  (desp[data.pagamento]&gt;=G$1) *
  (desp[data.pagamento]&lt;EOMONTH(G$1,0)+1)
)</f>
        <v>0</v>
      </c>
      <c r="H55" s="247" cm="1">
        <f t="array" ref="H55">-SUMPRODUCT(
  desp[valor] *
  (desp[nucleo]=$B55) *
  (desp[centro.negocio]=$B$51) *
  (desp[data.pagamento]&gt;=H$1) *
  (desp[data.pagamento]&lt;EOMONTH(H$1,0)+1)
)</f>
        <v>0</v>
      </c>
      <c r="I55" s="247" cm="1">
        <f t="array" ref="I55">-SUMPRODUCT(
  desp[valor] *
  (desp[nucleo]=$B55) *
  (desp[centro.negocio]=$B$51) *
  (desp[data.pagamento]&gt;=I$1) *
  (desp[data.pagamento]&lt;EOMONTH(I$1,0)+1)
)</f>
        <v>0</v>
      </c>
      <c r="J55" s="247" cm="1">
        <f t="array" ref="J55">-SUMPRODUCT(
  desp[valor] *
  (desp[nucleo]=$B55) *
  (desp[centro.negocio]=$B$51) *
  (desp[data.pagamento]&gt;=J$1) *
  (desp[data.pagamento]&lt;EOMONTH(J$1,0)+1)
)</f>
        <v>0</v>
      </c>
      <c r="K55" s="247" cm="1">
        <f t="array" ref="K55">-SUMPRODUCT(
  desp[valor] *
  (desp[nucleo]=$B55) *
  (desp[centro.negocio]=$B$51) *
  (desp[data.pagamento]&gt;=K$1) *
  (desp[data.pagamento]&lt;EOMONTH(K$1,0)+1)
)</f>
        <v>0</v>
      </c>
      <c r="L55" s="247" cm="1">
        <f t="array" ref="L55">-SUMPRODUCT(
  desp[valor] *
  (desp[nucleo]=$B55) *
  (desp[centro.negocio]=$B$51) *
  (desp[data.pagamento]&gt;=L$1) *
  (desp[data.pagamento]&lt;EOMONTH(L$1,0)+1)
)</f>
        <v>0</v>
      </c>
      <c r="M55" s="247" cm="1">
        <f t="array" ref="M55">-SUMPRODUCT(
  desp[valor] *
  (desp[nucleo]=$B55) *
  (desp[centro.negocio]=$B$51) *
  (desp[data.pagamento]&gt;=M$1) *
  (desp[data.pagamento]&lt;EOMONTH(M$1,0)+1)
)</f>
        <v>0</v>
      </c>
      <c r="N55" s="247" cm="1">
        <f t="array" ref="N55">-SUMPRODUCT(
  desp[valor] *
  (desp[nucleo]=$B55) *
  (desp[centro.negocio]=$B$51) *
  (desp[data.pagamento]&gt;=N$1) *
  (desp[data.pagamento]&lt;EOMONTH(N$1,0)+1)
)</f>
        <v>0</v>
      </c>
      <c r="O55" s="247" cm="1">
        <f t="array" ref="O55">-SUMPRODUCT(
  desp[valor] *
  (desp[nucleo]=$B55) *
  (desp[centro.negocio]=$B$51) *
  (desp[data.pagamento]&gt;=O$1) *
  (desp[data.pagamento]&lt;EOMONTH(O$1,0)+1)
)</f>
        <v>0</v>
      </c>
      <c r="P55" s="247" cm="1">
        <f t="array" ref="P55">-SUMPRODUCT(
  desp[valor] *
  (desp[nucleo]=$B55) *
  (desp[centro.negocio]=$B$51) *
  (desp[data.pagamento]&gt;=P$1) *
  (desp[data.pagamento]&lt;EOMONTH(P$1,0)+1)
)</f>
        <v>0</v>
      </c>
      <c r="Q55" s="247" cm="1">
        <f t="array" ref="Q55">-SUMPRODUCT(
  desp[valor] *
  (desp[nucleo]=$B55) *
  (desp[centro.negocio]=$B$51) *
  (desp[data.pagamento]&gt;=Q$1) *
  (desp[data.pagamento]&lt;EOMONTH(Q$1,0)+1)
)</f>
        <v>0</v>
      </c>
      <c r="R55" s="247" cm="1">
        <f t="array" ref="R55">-SUMPRODUCT(
  desp[valor] *
  (desp[nucleo]=$B55) *
  (desp[centro.negocio]=$B$51) *
  (desp[data.pagamento]&gt;=R$1) *
  (desp[data.pagamento]&lt;EOMONTH(R$1,0)+1)
)</f>
        <v>0</v>
      </c>
      <c r="T55" s="239">
        <f t="shared" si="27"/>
        <v>0</v>
      </c>
    </row>
    <row r="56" spans="1:20" outlineLevel="2" x14ac:dyDescent="0.25">
      <c r="A56" s="246" t="s">
        <v>578</v>
      </c>
      <c r="B56" s="246" t="s">
        <v>579</v>
      </c>
      <c r="C56" s="193" t="s">
        <v>522</v>
      </c>
      <c r="D56" s="247" cm="1">
        <f t="array" ref="D56">-SUMPRODUCT(
  desp[valor] *
  (desp[nucleo]=$B56) *
  (desp[centro.negocio]=$B$51) *
  (desp[data.pagamento]&gt;=D$1) *
  (desp[data.pagamento]&lt;EOMONTH(D$1,0)+1)
)</f>
        <v>0</v>
      </c>
      <c r="E56" s="247" cm="1">
        <f t="array" ref="E56">-SUMPRODUCT(
  desp[valor] *
  (desp[nucleo]=$B56) *
  (desp[centro.negocio]=$B$51) *
  (desp[data.pagamento]&gt;=E$1) *
  (desp[data.pagamento]&lt;EOMONTH(E$1,0)+1)
)</f>
        <v>0</v>
      </c>
      <c r="F56" s="247" cm="1">
        <f t="array" ref="F56">-SUMPRODUCT(
  desp[valor] *
  (desp[nucleo]=$B56) *
  (desp[centro.negocio]=$B$51) *
  (desp[data.pagamento]&gt;=F$1) *
  (desp[data.pagamento]&lt;EOMONTH(F$1,0)+1)
)</f>
        <v>0</v>
      </c>
      <c r="G56" s="247" cm="1">
        <f t="array" ref="G56">-SUMPRODUCT(
  desp[valor] *
  (desp[nucleo]=$B56) *
  (desp[centro.negocio]=$B$51) *
  (desp[data.pagamento]&gt;=G$1) *
  (desp[data.pagamento]&lt;EOMONTH(G$1,0)+1)
)</f>
        <v>0</v>
      </c>
      <c r="H56" s="247" cm="1">
        <f t="array" ref="H56">-SUMPRODUCT(
  desp[valor] *
  (desp[nucleo]=$B56) *
  (desp[centro.negocio]=$B$51) *
  (desp[data.pagamento]&gt;=H$1) *
  (desp[data.pagamento]&lt;EOMONTH(H$1,0)+1)
)</f>
        <v>0</v>
      </c>
      <c r="I56" s="247" cm="1">
        <f t="array" ref="I56">-SUMPRODUCT(
  desp[valor] *
  (desp[nucleo]=$B56) *
  (desp[centro.negocio]=$B$51) *
  (desp[data.pagamento]&gt;=I$1) *
  (desp[data.pagamento]&lt;EOMONTH(I$1,0)+1)
)</f>
        <v>0</v>
      </c>
      <c r="J56" s="247" cm="1">
        <f t="array" ref="J56">-SUMPRODUCT(
  desp[valor] *
  (desp[nucleo]=$B56) *
  (desp[centro.negocio]=$B$51) *
  (desp[data.pagamento]&gt;=J$1) *
  (desp[data.pagamento]&lt;EOMONTH(J$1,0)+1)
)</f>
        <v>0</v>
      </c>
      <c r="K56" s="247" cm="1">
        <f t="array" ref="K56">-SUMPRODUCT(
  desp[valor] *
  (desp[nucleo]=$B56) *
  (desp[centro.negocio]=$B$51) *
  (desp[data.pagamento]&gt;=K$1) *
  (desp[data.pagamento]&lt;EOMONTH(K$1,0)+1)
)</f>
        <v>0</v>
      </c>
      <c r="L56" s="247" cm="1">
        <f t="array" ref="L56">-SUMPRODUCT(
  desp[valor] *
  (desp[nucleo]=$B56) *
  (desp[centro.negocio]=$B$51) *
  (desp[data.pagamento]&gt;=L$1) *
  (desp[data.pagamento]&lt;EOMONTH(L$1,0)+1)
)</f>
        <v>0</v>
      </c>
      <c r="M56" s="247" cm="1">
        <f t="array" ref="M56">-SUMPRODUCT(
  desp[valor] *
  (desp[nucleo]=$B56) *
  (desp[centro.negocio]=$B$51) *
  (desp[data.pagamento]&gt;=M$1) *
  (desp[data.pagamento]&lt;EOMONTH(M$1,0)+1)
)</f>
        <v>0</v>
      </c>
      <c r="N56" s="247" cm="1">
        <f t="array" ref="N56">-SUMPRODUCT(
  desp[valor] *
  (desp[nucleo]=$B56) *
  (desp[centro.negocio]=$B$51) *
  (desp[data.pagamento]&gt;=N$1) *
  (desp[data.pagamento]&lt;EOMONTH(N$1,0)+1)
)</f>
        <v>0</v>
      </c>
      <c r="O56" s="247" cm="1">
        <f t="array" ref="O56">-SUMPRODUCT(
  desp[valor] *
  (desp[nucleo]=$B56) *
  (desp[centro.negocio]=$B$51) *
  (desp[data.pagamento]&gt;=O$1) *
  (desp[data.pagamento]&lt;EOMONTH(O$1,0)+1)
)</f>
        <v>0</v>
      </c>
      <c r="P56" s="247" cm="1">
        <f t="array" ref="P56">-SUMPRODUCT(
  desp[valor] *
  (desp[nucleo]=$B56) *
  (desp[centro.negocio]=$B$51) *
  (desp[data.pagamento]&gt;=P$1) *
  (desp[data.pagamento]&lt;EOMONTH(P$1,0)+1)
)</f>
        <v>0</v>
      </c>
      <c r="Q56" s="247" cm="1">
        <f t="array" ref="Q56">-SUMPRODUCT(
  desp[valor] *
  (desp[nucleo]=$B56) *
  (desp[centro.negocio]=$B$51) *
  (desp[data.pagamento]&gt;=Q$1) *
  (desp[data.pagamento]&lt;EOMONTH(Q$1,0)+1)
)</f>
        <v>0</v>
      </c>
      <c r="R56" s="247" cm="1">
        <f t="array" ref="R56">-SUMPRODUCT(
  desp[valor] *
  (desp[nucleo]=$B56) *
  (desp[centro.negocio]=$B$51) *
  (desp[data.pagamento]&gt;=R$1) *
  (desp[data.pagamento]&lt;EOMONTH(R$1,0)+1)
)</f>
        <v>0</v>
      </c>
      <c r="T56" s="239">
        <f>SUM(D56:R56)</f>
        <v>0</v>
      </c>
    </row>
    <row r="57" spans="1:20" outlineLevel="2" x14ac:dyDescent="0.25">
      <c r="A57" s="246" t="s">
        <v>580</v>
      </c>
      <c r="B57" s="246" t="s">
        <v>554</v>
      </c>
      <c r="C57" s="193" t="s">
        <v>522</v>
      </c>
      <c r="D57" s="247" cm="1">
        <f t="array" ref="D57">-SUMPRODUCT(
  desp[valor] *
  (desp[nucleo]=$B57) *
  (desp[centro.negocio]=$B$51) *
  (desp[data.pagamento]&gt;=D$1) *
  (desp[data.pagamento]&lt;EOMONTH(D$1,0)+1)
)</f>
        <v>0</v>
      </c>
      <c r="E57" s="247" cm="1">
        <f t="array" ref="E57">-SUMPRODUCT(
  desp[valor] *
  (desp[nucleo]=$B57) *
  (desp[centro.negocio]=$B$51) *
  (desp[data.pagamento]&gt;=E$1) *
  (desp[data.pagamento]&lt;EOMONTH(E$1,0)+1)
)</f>
        <v>0</v>
      </c>
      <c r="F57" s="247" cm="1">
        <f t="array" ref="F57">-SUMPRODUCT(
  desp[valor] *
  (desp[nucleo]=$B57) *
  (desp[centro.negocio]=$B$51) *
  (desp[data.pagamento]&gt;=F$1) *
  (desp[data.pagamento]&lt;EOMONTH(F$1,0)+1)
)</f>
        <v>0</v>
      </c>
      <c r="G57" s="247" cm="1">
        <f t="array" ref="G57">-SUMPRODUCT(
  desp[valor] *
  (desp[nucleo]=$B57) *
  (desp[centro.negocio]=$B$51) *
  (desp[data.pagamento]&gt;=G$1) *
  (desp[data.pagamento]&lt;EOMONTH(G$1,0)+1)
)</f>
        <v>0</v>
      </c>
      <c r="H57" s="247" cm="1">
        <f t="array" ref="H57">-SUMPRODUCT(
  desp[valor] *
  (desp[nucleo]=$B57) *
  (desp[centro.negocio]=$B$51) *
  (desp[data.pagamento]&gt;=H$1) *
  (desp[data.pagamento]&lt;EOMONTH(H$1,0)+1)
)</f>
        <v>0</v>
      </c>
      <c r="I57" s="247" cm="1">
        <f t="array" ref="I57">-SUMPRODUCT(
  desp[valor] *
  (desp[nucleo]=$B57) *
  (desp[centro.negocio]=$B$51) *
  (desp[data.pagamento]&gt;=I$1) *
  (desp[data.pagamento]&lt;EOMONTH(I$1,0)+1)
)</f>
        <v>0</v>
      </c>
      <c r="J57" s="247" cm="1">
        <f t="array" ref="J57">-SUMPRODUCT(
  desp[valor] *
  (desp[nucleo]=$B57) *
  (desp[centro.negocio]=$B$51) *
  (desp[data.pagamento]&gt;=J$1) *
  (desp[data.pagamento]&lt;EOMONTH(J$1,0)+1)
)</f>
        <v>0</v>
      </c>
      <c r="K57" s="247" cm="1">
        <f t="array" ref="K57">-SUMPRODUCT(
  desp[valor] *
  (desp[nucleo]=$B57) *
  (desp[centro.negocio]=$B$51) *
  (desp[data.pagamento]&gt;=K$1) *
  (desp[data.pagamento]&lt;EOMONTH(K$1,0)+1)
)</f>
        <v>0</v>
      </c>
      <c r="L57" s="247" cm="1">
        <f t="array" ref="L57">-SUMPRODUCT(
  desp[valor] *
  (desp[nucleo]=$B57) *
  (desp[centro.negocio]=$B$51) *
  (desp[data.pagamento]&gt;=L$1) *
  (desp[data.pagamento]&lt;EOMONTH(L$1,0)+1)
)</f>
        <v>0</v>
      </c>
      <c r="M57" s="247" cm="1">
        <f t="array" ref="M57">-SUMPRODUCT(
  desp[valor] *
  (desp[nucleo]=$B57) *
  (desp[centro.negocio]=$B$51) *
  (desp[data.pagamento]&gt;=M$1) *
  (desp[data.pagamento]&lt;EOMONTH(M$1,0)+1)
)</f>
        <v>0</v>
      </c>
      <c r="N57" s="247" cm="1">
        <f t="array" ref="N57">-SUMPRODUCT(
  desp[valor] *
  (desp[nucleo]=$B57) *
  (desp[centro.negocio]=$B$51) *
  (desp[data.pagamento]&gt;=N$1) *
  (desp[data.pagamento]&lt;EOMONTH(N$1,0)+1)
)</f>
        <v>0</v>
      </c>
      <c r="O57" s="247" cm="1">
        <f t="array" ref="O57">-SUMPRODUCT(
  desp[valor] *
  (desp[nucleo]=$B57) *
  (desp[centro.negocio]=$B$51) *
  (desp[data.pagamento]&gt;=O$1) *
  (desp[data.pagamento]&lt;EOMONTH(O$1,0)+1)
)</f>
        <v>0</v>
      </c>
      <c r="P57" s="247" cm="1">
        <f t="array" ref="P57">-SUMPRODUCT(
  desp[valor] *
  (desp[nucleo]=$B57) *
  (desp[centro.negocio]=$B$51) *
  (desp[data.pagamento]&gt;=P$1) *
  (desp[data.pagamento]&lt;EOMONTH(P$1,0)+1)
)</f>
        <v>0</v>
      </c>
      <c r="Q57" s="247" cm="1">
        <f t="array" ref="Q57">-SUMPRODUCT(
  desp[valor] *
  (desp[nucleo]=$B57) *
  (desp[centro.negocio]=$B$51) *
  (desp[data.pagamento]&gt;=Q$1) *
  (desp[data.pagamento]&lt;EOMONTH(Q$1,0)+1)
)</f>
        <v>0</v>
      </c>
      <c r="R57" s="247" cm="1">
        <f t="array" ref="R57">-SUMPRODUCT(
  desp[valor] *
  (desp[nucleo]=$B57) *
  (desp[centro.negocio]=$B$51) *
  (desp[data.pagamento]&gt;=R$1) *
  (desp[data.pagamento]&lt;EOMONTH(R$1,0)+1)
)</f>
        <v>0</v>
      </c>
      <c r="T57" s="239">
        <f t="shared" ref="T57" si="30">SUM(D57:R57)</f>
        <v>0</v>
      </c>
    </row>
    <row r="58" spans="1:20" outlineLevel="2" x14ac:dyDescent="0.25">
      <c r="A58" s="246" t="s">
        <v>581</v>
      </c>
      <c r="B58" s="246" t="s">
        <v>548</v>
      </c>
      <c r="C58" s="193" t="s">
        <v>522</v>
      </c>
      <c r="D58" s="247" cm="1">
        <f t="array" ref="D58">-SUMPRODUCT(
  desp[valor] *
  (desp[nucleo]=$B58) *
  (desp[centro.negocio]=$B$51) *
  (desp[data.pagamento]&gt;=D$1) *
  (desp[data.pagamento]&lt;EOMONTH(D$1,0)+1)
)</f>
        <v>0</v>
      </c>
      <c r="E58" s="247" cm="1">
        <f t="array" ref="E58">-SUMPRODUCT(
  desp[valor] *
  (desp[nucleo]=$B58) *
  (desp[centro.negocio]=$B$51) *
  (desp[data.pagamento]&gt;=E$1) *
  (desp[data.pagamento]&lt;EOMONTH(E$1,0)+1)
)</f>
        <v>0</v>
      </c>
      <c r="F58" s="247" cm="1">
        <f t="array" ref="F58">-SUMPRODUCT(
  desp[valor] *
  (desp[nucleo]=$B58) *
  (desp[centro.negocio]=$B$51) *
  (desp[data.pagamento]&gt;=F$1) *
  (desp[data.pagamento]&lt;EOMONTH(F$1,0)+1)
)</f>
        <v>0</v>
      </c>
      <c r="G58" s="247" cm="1">
        <f t="array" ref="G58">-SUMPRODUCT(
  desp[valor] *
  (desp[nucleo]=$B58) *
  (desp[centro.negocio]=$B$51) *
  (desp[data.pagamento]&gt;=G$1) *
  (desp[data.pagamento]&lt;EOMONTH(G$1,0)+1)
)</f>
        <v>0</v>
      </c>
      <c r="H58" s="247" cm="1">
        <f t="array" ref="H58">-SUMPRODUCT(
  desp[valor] *
  (desp[nucleo]=$B58) *
  (desp[centro.negocio]=$B$51) *
  (desp[data.pagamento]&gt;=H$1) *
  (desp[data.pagamento]&lt;EOMONTH(H$1,0)+1)
)</f>
        <v>0</v>
      </c>
      <c r="I58" s="247" cm="1">
        <f t="array" ref="I58">-SUMPRODUCT(
  desp[valor] *
  (desp[nucleo]=$B58) *
  (desp[centro.negocio]=$B$51) *
  (desp[data.pagamento]&gt;=I$1) *
  (desp[data.pagamento]&lt;EOMONTH(I$1,0)+1)
)</f>
        <v>0</v>
      </c>
      <c r="J58" s="247" cm="1">
        <f t="array" ref="J58">-SUMPRODUCT(
  desp[valor] *
  (desp[nucleo]=$B58) *
  (desp[centro.negocio]=$B$51) *
  (desp[data.pagamento]&gt;=J$1) *
  (desp[data.pagamento]&lt;EOMONTH(J$1,0)+1)
)</f>
        <v>0</v>
      </c>
      <c r="K58" s="247" cm="1">
        <f t="array" ref="K58">-SUMPRODUCT(
  desp[valor] *
  (desp[nucleo]=$B58) *
  (desp[centro.negocio]=$B$51) *
  (desp[data.pagamento]&gt;=K$1) *
  (desp[data.pagamento]&lt;EOMONTH(K$1,0)+1)
)</f>
        <v>0</v>
      </c>
      <c r="L58" s="247" cm="1">
        <f t="array" ref="L58">-SUMPRODUCT(
  desp[valor] *
  (desp[nucleo]=$B58) *
  (desp[centro.negocio]=$B$51) *
  (desp[data.pagamento]&gt;=L$1) *
  (desp[data.pagamento]&lt;EOMONTH(L$1,0)+1)
)</f>
        <v>0</v>
      </c>
      <c r="M58" s="247" cm="1">
        <f t="array" ref="M58">-SUMPRODUCT(
  desp[valor] *
  (desp[nucleo]=$B58) *
  (desp[centro.negocio]=$B$51) *
  (desp[data.pagamento]&gt;=M$1) *
  (desp[data.pagamento]&lt;EOMONTH(M$1,0)+1)
)</f>
        <v>0</v>
      </c>
      <c r="N58" s="247" cm="1">
        <f t="array" ref="N58">-SUMPRODUCT(
  desp[valor] *
  (desp[nucleo]=$B58) *
  (desp[centro.negocio]=$B$51) *
  (desp[data.pagamento]&gt;=N$1) *
  (desp[data.pagamento]&lt;EOMONTH(N$1,0)+1)
)</f>
        <v>0</v>
      </c>
      <c r="O58" s="247" cm="1">
        <f t="array" ref="O58">-SUMPRODUCT(
  desp[valor] *
  (desp[nucleo]=$B58) *
  (desp[centro.negocio]=$B$51) *
  (desp[data.pagamento]&gt;=O$1) *
  (desp[data.pagamento]&lt;EOMONTH(O$1,0)+1)
)</f>
        <v>0</v>
      </c>
      <c r="P58" s="247" cm="1">
        <f t="array" ref="P58">-SUMPRODUCT(
  desp[valor] *
  (desp[nucleo]=$B58) *
  (desp[centro.negocio]=$B$51) *
  (desp[data.pagamento]&gt;=P$1) *
  (desp[data.pagamento]&lt;EOMONTH(P$1,0)+1)
)</f>
        <v>0</v>
      </c>
      <c r="Q58" s="247" cm="1">
        <f t="array" ref="Q58">-SUMPRODUCT(
  desp[valor] *
  (desp[nucleo]=$B58) *
  (desp[centro.negocio]=$B$51) *
  (desp[data.pagamento]&gt;=Q$1) *
  (desp[data.pagamento]&lt;EOMONTH(Q$1,0)+1)
)</f>
        <v>0</v>
      </c>
      <c r="R58" s="247" cm="1">
        <f t="array" ref="R58">-SUMPRODUCT(
  desp[valor] *
  (desp[nucleo]=$B58) *
  (desp[centro.negocio]=$B$51) *
  (desp[data.pagamento]&gt;=R$1) *
  (desp[data.pagamento]&lt;EOMONTH(R$1,0)+1)
)</f>
        <v>0</v>
      </c>
      <c r="T58" s="239">
        <f>SUM(D58:R58)</f>
        <v>0</v>
      </c>
    </row>
    <row r="59" spans="1:20" outlineLevel="2" x14ac:dyDescent="0.25">
      <c r="A59" s="246" t="s">
        <v>582</v>
      </c>
      <c r="B59" s="246" t="s">
        <v>560</v>
      </c>
      <c r="C59" s="193" t="s">
        <v>522</v>
      </c>
      <c r="D59" s="247" cm="1">
        <f t="array" ref="D59">-SUMPRODUCT(
  desp[valor] *
  (desp[nucleo]=$B59) *
  (desp[centro.negocio]=$B$51) *
  (desp[data.pagamento]&gt;=D$1) *
  (desp[data.pagamento]&lt;EOMONTH(D$1,0)+1)
)</f>
        <v>0</v>
      </c>
      <c r="E59" s="247" cm="1">
        <f t="array" ref="E59">-SUMPRODUCT(
  desp[valor] *
  (desp[nucleo]=$B59) *
  (desp[centro.negocio]=$B$51) *
  (desp[data.pagamento]&gt;=E$1) *
  (desp[data.pagamento]&lt;EOMONTH(E$1,0)+1)
)</f>
        <v>0</v>
      </c>
      <c r="F59" s="247" cm="1">
        <f t="array" ref="F59">-SUMPRODUCT(
  desp[valor] *
  (desp[nucleo]=$B59) *
  (desp[centro.negocio]=$B$51) *
  (desp[data.pagamento]&gt;=F$1) *
  (desp[data.pagamento]&lt;EOMONTH(F$1,0)+1)
)</f>
        <v>0</v>
      </c>
      <c r="G59" s="247" cm="1">
        <f t="array" ref="G59">-SUMPRODUCT(
  desp[valor] *
  (desp[nucleo]=$B59) *
  (desp[centro.negocio]=$B$51) *
  (desp[data.pagamento]&gt;=G$1) *
  (desp[data.pagamento]&lt;EOMONTH(G$1,0)+1)
)</f>
        <v>0</v>
      </c>
      <c r="H59" s="247" cm="1">
        <f t="array" ref="H59">-SUMPRODUCT(
  desp[valor] *
  (desp[nucleo]=$B59) *
  (desp[centro.negocio]=$B$51) *
  (desp[data.pagamento]&gt;=H$1) *
  (desp[data.pagamento]&lt;EOMONTH(H$1,0)+1)
)</f>
        <v>0</v>
      </c>
      <c r="I59" s="247" cm="1">
        <f t="array" ref="I59">-SUMPRODUCT(
  desp[valor] *
  (desp[nucleo]=$B59) *
  (desp[centro.negocio]=$B$51) *
  (desp[data.pagamento]&gt;=I$1) *
  (desp[data.pagamento]&lt;EOMONTH(I$1,0)+1)
)</f>
        <v>0</v>
      </c>
      <c r="J59" s="247" cm="1">
        <f t="array" ref="J59">-SUMPRODUCT(
  desp[valor] *
  (desp[nucleo]=$B59) *
  (desp[centro.negocio]=$B$51) *
  (desp[data.pagamento]&gt;=J$1) *
  (desp[data.pagamento]&lt;EOMONTH(J$1,0)+1)
)</f>
        <v>0</v>
      </c>
      <c r="K59" s="247" cm="1">
        <f t="array" ref="K59">-SUMPRODUCT(
  desp[valor] *
  (desp[nucleo]=$B59) *
  (desp[centro.negocio]=$B$51) *
  (desp[data.pagamento]&gt;=K$1) *
  (desp[data.pagamento]&lt;EOMONTH(K$1,0)+1)
)</f>
        <v>0</v>
      </c>
      <c r="L59" s="247" cm="1">
        <f t="array" ref="L59">-SUMPRODUCT(
  desp[valor] *
  (desp[nucleo]=$B59) *
  (desp[centro.negocio]=$B$51) *
  (desp[data.pagamento]&gt;=L$1) *
  (desp[data.pagamento]&lt;EOMONTH(L$1,0)+1)
)</f>
        <v>0</v>
      </c>
      <c r="M59" s="247" cm="1">
        <f t="array" ref="M59">-SUMPRODUCT(
  desp[valor] *
  (desp[nucleo]=$B59) *
  (desp[centro.negocio]=$B$51) *
  (desp[data.pagamento]&gt;=M$1) *
  (desp[data.pagamento]&lt;EOMONTH(M$1,0)+1)
)</f>
        <v>0</v>
      </c>
      <c r="N59" s="247" cm="1">
        <f t="array" ref="N59">-SUMPRODUCT(
  desp[valor] *
  (desp[nucleo]=$B59) *
  (desp[centro.negocio]=$B$51) *
  (desp[data.pagamento]&gt;=N$1) *
  (desp[data.pagamento]&lt;EOMONTH(N$1,0)+1)
)</f>
        <v>0</v>
      </c>
      <c r="O59" s="247" cm="1">
        <f t="array" ref="O59">-SUMPRODUCT(
  desp[valor] *
  (desp[nucleo]=$B59) *
  (desp[centro.negocio]=$B$51) *
  (desp[data.pagamento]&gt;=O$1) *
  (desp[data.pagamento]&lt;EOMONTH(O$1,0)+1)
)</f>
        <v>0</v>
      </c>
      <c r="P59" s="247" cm="1">
        <f t="array" ref="P59">-SUMPRODUCT(
  desp[valor] *
  (desp[nucleo]=$B59) *
  (desp[centro.negocio]=$B$51) *
  (desp[data.pagamento]&gt;=P$1) *
  (desp[data.pagamento]&lt;EOMONTH(P$1,0)+1)
)</f>
        <v>0</v>
      </c>
      <c r="Q59" s="247" cm="1">
        <f t="array" ref="Q59">-SUMPRODUCT(
  desp[valor] *
  (desp[nucleo]=$B59) *
  (desp[centro.negocio]=$B$51) *
  (desp[data.pagamento]&gt;=Q$1) *
  (desp[data.pagamento]&lt;EOMONTH(Q$1,0)+1)
)</f>
        <v>0</v>
      </c>
      <c r="R59" s="247" cm="1">
        <f t="array" ref="R59">-SUMPRODUCT(
  desp[valor] *
  (desp[nucleo]=$B59) *
  (desp[centro.negocio]=$B$51) *
  (desp[data.pagamento]&gt;=R$1) *
  (desp[data.pagamento]&lt;EOMONTH(R$1,0)+1)
)</f>
        <v>0</v>
      </c>
      <c r="T59" s="239">
        <f>SUM(D59:R59)</f>
        <v>0</v>
      </c>
    </row>
    <row r="60" spans="1:20" outlineLevel="2" x14ac:dyDescent="0.25">
      <c r="A60" s="246" t="s">
        <v>583</v>
      </c>
      <c r="B60" s="246" t="s">
        <v>550</v>
      </c>
      <c r="C60" s="193" t="s">
        <v>522</v>
      </c>
      <c r="D60" s="247" cm="1">
        <f t="array" ref="D60">-SUMPRODUCT(
  desp[valor] *
  (desp[nucleo]=$B60) *
  (desp[centro.negocio]=$B$51) *
  (desp[data.pagamento]&gt;=D$1) *
  (desp[data.pagamento]&lt;EOMONTH(D$1,0)+1)
)</f>
        <v>0</v>
      </c>
      <c r="E60" s="247" cm="1">
        <f t="array" ref="E60">-SUMPRODUCT(
  desp[valor] *
  (desp[nucleo]=$B60) *
  (desp[centro.negocio]=$B$51) *
  (desp[data.pagamento]&gt;=E$1) *
  (desp[data.pagamento]&lt;EOMONTH(E$1,0)+1)
)</f>
        <v>0</v>
      </c>
      <c r="F60" s="247" cm="1">
        <f t="array" ref="F60">-SUMPRODUCT(
  desp[valor] *
  (desp[nucleo]=$B60) *
  (desp[centro.negocio]=$B$51) *
  (desp[data.pagamento]&gt;=F$1) *
  (desp[data.pagamento]&lt;EOMONTH(F$1,0)+1)
)</f>
        <v>0</v>
      </c>
      <c r="G60" s="247" cm="1">
        <f t="array" ref="G60">-SUMPRODUCT(
  desp[valor] *
  (desp[nucleo]=$B60) *
  (desp[centro.negocio]=$B$51) *
  (desp[data.pagamento]&gt;=G$1) *
  (desp[data.pagamento]&lt;EOMONTH(G$1,0)+1)
)</f>
        <v>0</v>
      </c>
      <c r="H60" s="247" cm="1">
        <f t="array" ref="H60">-SUMPRODUCT(
  desp[valor] *
  (desp[nucleo]=$B60) *
  (desp[centro.negocio]=$B$51) *
  (desp[data.pagamento]&gt;=H$1) *
  (desp[data.pagamento]&lt;EOMONTH(H$1,0)+1)
)</f>
        <v>0</v>
      </c>
      <c r="I60" s="247" cm="1">
        <f t="array" ref="I60">-SUMPRODUCT(
  desp[valor] *
  (desp[nucleo]=$B60) *
  (desp[centro.negocio]=$B$51) *
  (desp[data.pagamento]&gt;=I$1) *
  (desp[data.pagamento]&lt;EOMONTH(I$1,0)+1)
)</f>
        <v>0</v>
      </c>
      <c r="J60" s="247" cm="1">
        <f t="array" ref="J60">-SUMPRODUCT(
  desp[valor] *
  (desp[nucleo]=$B60) *
  (desp[centro.negocio]=$B$51) *
  (desp[data.pagamento]&gt;=J$1) *
  (desp[data.pagamento]&lt;EOMONTH(J$1,0)+1)
)</f>
        <v>0</v>
      </c>
      <c r="K60" s="247" cm="1">
        <f t="array" ref="K60">-SUMPRODUCT(
  desp[valor] *
  (desp[nucleo]=$B60) *
  (desp[centro.negocio]=$B$51) *
  (desp[data.pagamento]&gt;=K$1) *
  (desp[data.pagamento]&lt;EOMONTH(K$1,0)+1)
)</f>
        <v>0</v>
      </c>
      <c r="L60" s="247" cm="1">
        <f t="array" ref="L60">-SUMPRODUCT(
  desp[valor] *
  (desp[nucleo]=$B60) *
  (desp[centro.negocio]=$B$51) *
  (desp[data.pagamento]&gt;=L$1) *
  (desp[data.pagamento]&lt;EOMONTH(L$1,0)+1)
)</f>
        <v>0</v>
      </c>
      <c r="M60" s="247" cm="1">
        <f t="array" ref="M60">-SUMPRODUCT(
  desp[valor] *
  (desp[nucleo]=$B60) *
  (desp[centro.negocio]=$B$51) *
  (desp[data.pagamento]&gt;=M$1) *
  (desp[data.pagamento]&lt;EOMONTH(M$1,0)+1)
)</f>
        <v>0</v>
      </c>
      <c r="N60" s="247" cm="1">
        <f t="array" ref="N60">-SUMPRODUCT(
  desp[valor] *
  (desp[nucleo]=$B60) *
  (desp[centro.negocio]=$B$51) *
  (desp[data.pagamento]&gt;=N$1) *
  (desp[data.pagamento]&lt;EOMONTH(N$1,0)+1)
)</f>
        <v>0</v>
      </c>
      <c r="O60" s="247" cm="1">
        <f t="array" ref="O60">-SUMPRODUCT(
  desp[valor] *
  (desp[nucleo]=$B60) *
  (desp[centro.negocio]=$B$51) *
  (desp[data.pagamento]&gt;=O$1) *
  (desp[data.pagamento]&lt;EOMONTH(O$1,0)+1)
)</f>
        <v>0</v>
      </c>
      <c r="P60" s="247" cm="1">
        <f t="array" ref="P60">-SUMPRODUCT(
  desp[valor] *
  (desp[nucleo]=$B60) *
  (desp[centro.negocio]=$B$51) *
  (desp[data.pagamento]&gt;=P$1) *
  (desp[data.pagamento]&lt;EOMONTH(P$1,0)+1)
)</f>
        <v>0</v>
      </c>
      <c r="Q60" s="247" cm="1">
        <f t="array" ref="Q60">-SUMPRODUCT(
  desp[valor] *
  (desp[nucleo]=$B60) *
  (desp[centro.negocio]=$B$51) *
  (desp[data.pagamento]&gt;=Q$1) *
  (desp[data.pagamento]&lt;EOMONTH(Q$1,0)+1)
)</f>
        <v>0</v>
      </c>
      <c r="R60" s="247" cm="1">
        <f t="array" ref="R60">-SUMPRODUCT(
  desp[valor] *
  (desp[nucleo]=$B60) *
  (desp[centro.negocio]=$B$51) *
  (desp[data.pagamento]&gt;=R$1) *
  (desp[data.pagamento]&lt;EOMONTH(R$1,0)+1)
)</f>
        <v>0</v>
      </c>
      <c r="T60" s="239">
        <f t="shared" ref="T60:T89" si="31">SUM(D60:R60)</f>
        <v>0</v>
      </c>
    </row>
    <row r="61" spans="1:20" outlineLevel="2" x14ac:dyDescent="0.25">
      <c r="A61" s="246" t="s">
        <v>584</v>
      </c>
      <c r="B61" s="246" t="s">
        <v>585</v>
      </c>
      <c r="C61" s="193" t="s">
        <v>522</v>
      </c>
      <c r="D61" s="247" cm="1">
        <f t="array" ref="D61">-SUMPRODUCT(
  desp[valor] *
  (desp[nucleo]=$B61) *
  (desp[centro.negocio]=$B$51) *
  (desp[data.pagamento]&gt;=D$1) *
  (desp[data.pagamento]&lt;EOMONTH(D$1,0)+1)
)</f>
        <v>0</v>
      </c>
      <c r="E61" s="247" cm="1">
        <f t="array" ref="E61">-SUMPRODUCT(
  desp[valor] *
  (desp[nucleo]=$B61) *
  (desp[centro.negocio]=$B$51) *
  (desp[data.pagamento]&gt;=E$1) *
  (desp[data.pagamento]&lt;EOMONTH(E$1,0)+1)
)</f>
        <v>0</v>
      </c>
      <c r="F61" s="247" cm="1">
        <f t="array" ref="F61">-SUMPRODUCT(
  desp[valor] *
  (desp[nucleo]=$B61) *
  (desp[centro.negocio]=$B$51) *
  (desp[data.pagamento]&gt;=F$1) *
  (desp[data.pagamento]&lt;EOMONTH(F$1,0)+1)
)</f>
        <v>0</v>
      </c>
      <c r="G61" s="247" cm="1">
        <f t="array" ref="G61">-SUMPRODUCT(
  desp[valor] *
  (desp[nucleo]=$B61) *
  (desp[centro.negocio]=$B$51) *
  (desp[data.pagamento]&gt;=G$1) *
  (desp[data.pagamento]&lt;EOMONTH(G$1,0)+1)
)</f>
        <v>0</v>
      </c>
      <c r="H61" s="247" cm="1">
        <f t="array" ref="H61">-SUMPRODUCT(
  desp[valor] *
  (desp[nucleo]=$B61) *
  (desp[centro.negocio]=$B$51) *
  (desp[data.pagamento]&gt;=H$1) *
  (desp[data.pagamento]&lt;EOMONTH(H$1,0)+1)
)</f>
        <v>0</v>
      </c>
      <c r="I61" s="247" cm="1">
        <f t="array" ref="I61">-SUMPRODUCT(
  desp[valor] *
  (desp[nucleo]=$B61) *
  (desp[centro.negocio]=$B$51) *
  (desp[data.pagamento]&gt;=I$1) *
  (desp[data.pagamento]&lt;EOMONTH(I$1,0)+1)
)</f>
        <v>0</v>
      </c>
      <c r="J61" s="247" cm="1">
        <f t="array" ref="J61">-SUMPRODUCT(
  desp[valor] *
  (desp[nucleo]=$B61) *
  (desp[centro.negocio]=$B$51) *
  (desp[data.pagamento]&gt;=J$1) *
  (desp[data.pagamento]&lt;EOMONTH(J$1,0)+1)
)</f>
        <v>0</v>
      </c>
      <c r="K61" s="247" cm="1">
        <f t="array" ref="K61">-SUMPRODUCT(
  desp[valor] *
  (desp[nucleo]=$B61) *
  (desp[centro.negocio]=$B$51) *
  (desp[data.pagamento]&gt;=K$1) *
  (desp[data.pagamento]&lt;EOMONTH(K$1,0)+1)
)</f>
        <v>0</v>
      </c>
      <c r="L61" s="247" cm="1">
        <f t="array" ref="L61">-SUMPRODUCT(
  desp[valor] *
  (desp[nucleo]=$B61) *
  (desp[centro.negocio]=$B$51) *
  (desp[data.pagamento]&gt;=L$1) *
  (desp[data.pagamento]&lt;EOMONTH(L$1,0)+1)
)</f>
        <v>0</v>
      </c>
      <c r="M61" s="247" cm="1">
        <f t="array" ref="M61">-SUMPRODUCT(
  desp[valor] *
  (desp[nucleo]=$B61) *
  (desp[centro.negocio]=$B$51) *
  (desp[data.pagamento]&gt;=M$1) *
  (desp[data.pagamento]&lt;EOMONTH(M$1,0)+1)
)</f>
        <v>0</v>
      </c>
      <c r="N61" s="247" cm="1">
        <f t="array" ref="N61">-SUMPRODUCT(
  desp[valor] *
  (desp[nucleo]=$B61) *
  (desp[centro.negocio]=$B$51) *
  (desp[data.pagamento]&gt;=N$1) *
  (desp[data.pagamento]&lt;EOMONTH(N$1,0)+1)
)</f>
        <v>0</v>
      </c>
      <c r="O61" s="247" cm="1">
        <f t="array" ref="O61">-SUMPRODUCT(
  desp[valor] *
  (desp[nucleo]=$B61) *
  (desp[centro.negocio]=$B$51) *
  (desp[data.pagamento]&gt;=O$1) *
  (desp[data.pagamento]&lt;EOMONTH(O$1,0)+1)
)</f>
        <v>0</v>
      </c>
      <c r="P61" s="247" cm="1">
        <f t="array" ref="P61">-SUMPRODUCT(
  desp[valor] *
  (desp[nucleo]=$B61) *
  (desp[centro.negocio]=$B$51) *
  (desp[data.pagamento]&gt;=P$1) *
  (desp[data.pagamento]&lt;EOMONTH(P$1,0)+1)
)</f>
        <v>0</v>
      </c>
      <c r="Q61" s="247" cm="1">
        <f t="array" ref="Q61">-SUMPRODUCT(
  desp[valor] *
  (desp[nucleo]=$B61) *
  (desp[centro.negocio]=$B$51) *
  (desp[data.pagamento]&gt;=Q$1) *
  (desp[data.pagamento]&lt;EOMONTH(Q$1,0)+1)
)</f>
        <v>0</v>
      </c>
      <c r="R61" s="247" cm="1">
        <f t="array" ref="R61">-SUMPRODUCT(
  desp[valor] *
  (desp[nucleo]=$B61) *
  (desp[centro.negocio]=$B$51) *
  (desp[data.pagamento]&gt;=R$1) *
  (desp[data.pagamento]&lt;EOMONTH(R$1,0)+1)
)</f>
        <v>0</v>
      </c>
      <c r="T61" s="239">
        <f t="shared" si="31"/>
        <v>0</v>
      </c>
    </row>
    <row r="62" spans="1:20" outlineLevel="2" x14ac:dyDescent="0.25">
      <c r="A62" s="246" t="s">
        <v>586</v>
      </c>
      <c r="B62" s="246" t="s">
        <v>587</v>
      </c>
      <c r="C62" s="193" t="s">
        <v>522</v>
      </c>
      <c r="D62" s="247" cm="1">
        <f t="array" ref="D62">-SUMPRODUCT(
  desp[valor] *
  (desp[nucleo]=$B62) *
  (desp[centro.negocio]=$B$51) *
  (desp[data.pagamento]&gt;=D$1) *
  (desp[data.pagamento]&lt;EOMONTH(D$1,0)+1)
)</f>
        <v>0</v>
      </c>
      <c r="E62" s="247" cm="1">
        <f t="array" ref="E62">-SUMPRODUCT(
  desp[valor] *
  (desp[nucleo]=$B62) *
  (desp[centro.negocio]=$B$51) *
  (desp[data.pagamento]&gt;=E$1) *
  (desp[data.pagamento]&lt;EOMONTH(E$1,0)+1)
)</f>
        <v>0</v>
      </c>
      <c r="F62" s="247" cm="1">
        <f t="array" ref="F62">-SUMPRODUCT(
  desp[valor] *
  (desp[nucleo]=$B62) *
  (desp[centro.negocio]=$B$51) *
  (desp[data.pagamento]&gt;=F$1) *
  (desp[data.pagamento]&lt;EOMONTH(F$1,0)+1)
)</f>
        <v>0</v>
      </c>
      <c r="G62" s="247" cm="1">
        <f t="array" ref="G62">-SUMPRODUCT(
  desp[valor] *
  (desp[nucleo]=$B62) *
  (desp[centro.negocio]=$B$51) *
  (desp[data.pagamento]&gt;=G$1) *
  (desp[data.pagamento]&lt;EOMONTH(G$1,0)+1)
)</f>
        <v>0</v>
      </c>
      <c r="H62" s="247" cm="1">
        <f t="array" ref="H62">-SUMPRODUCT(
  desp[valor] *
  (desp[nucleo]=$B62) *
  (desp[centro.negocio]=$B$51) *
  (desp[data.pagamento]&gt;=H$1) *
  (desp[data.pagamento]&lt;EOMONTH(H$1,0)+1)
)</f>
        <v>0</v>
      </c>
      <c r="I62" s="247" cm="1">
        <f t="array" ref="I62">-SUMPRODUCT(
  desp[valor] *
  (desp[nucleo]=$B62) *
  (desp[centro.negocio]=$B$51) *
  (desp[data.pagamento]&gt;=I$1) *
  (desp[data.pagamento]&lt;EOMONTH(I$1,0)+1)
)</f>
        <v>0</v>
      </c>
      <c r="J62" s="247" cm="1">
        <f t="array" ref="J62">-SUMPRODUCT(
  desp[valor] *
  (desp[nucleo]=$B62) *
  (desp[centro.negocio]=$B$51) *
  (desp[data.pagamento]&gt;=J$1) *
  (desp[data.pagamento]&lt;EOMONTH(J$1,0)+1)
)</f>
        <v>0</v>
      </c>
      <c r="K62" s="247" cm="1">
        <f t="array" ref="K62">-SUMPRODUCT(
  desp[valor] *
  (desp[nucleo]=$B62) *
  (desp[centro.negocio]=$B$51) *
  (desp[data.pagamento]&gt;=K$1) *
  (desp[data.pagamento]&lt;EOMONTH(K$1,0)+1)
)</f>
        <v>0</v>
      </c>
      <c r="L62" s="247" cm="1">
        <f t="array" ref="L62">-SUMPRODUCT(
  desp[valor] *
  (desp[nucleo]=$B62) *
  (desp[centro.negocio]=$B$51) *
  (desp[data.pagamento]&gt;=L$1) *
  (desp[data.pagamento]&lt;EOMONTH(L$1,0)+1)
)</f>
        <v>0</v>
      </c>
      <c r="M62" s="247" cm="1">
        <f t="array" ref="M62">-SUMPRODUCT(
  desp[valor] *
  (desp[nucleo]=$B62) *
  (desp[centro.negocio]=$B$51) *
  (desp[data.pagamento]&gt;=M$1) *
  (desp[data.pagamento]&lt;EOMONTH(M$1,0)+1)
)</f>
        <v>0</v>
      </c>
      <c r="N62" s="247" cm="1">
        <f t="array" ref="N62">-SUMPRODUCT(
  desp[valor] *
  (desp[nucleo]=$B62) *
  (desp[centro.negocio]=$B$51) *
  (desp[data.pagamento]&gt;=N$1) *
  (desp[data.pagamento]&lt;EOMONTH(N$1,0)+1)
)</f>
        <v>0</v>
      </c>
      <c r="O62" s="247" cm="1">
        <f t="array" ref="O62">-SUMPRODUCT(
  desp[valor] *
  (desp[nucleo]=$B62) *
  (desp[centro.negocio]=$B$51) *
  (desp[data.pagamento]&gt;=O$1) *
  (desp[data.pagamento]&lt;EOMONTH(O$1,0)+1)
)</f>
        <v>0</v>
      </c>
      <c r="P62" s="247" cm="1">
        <f t="array" ref="P62">-SUMPRODUCT(
  desp[valor] *
  (desp[nucleo]=$B62) *
  (desp[centro.negocio]=$B$51) *
  (desp[data.pagamento]&gt;=P$1) *
  (desp[data.pagamento]&lt;EOMONTH(P$1,0)+1)
)</f>
        <v>0</v>
      </c>
      <c r="Q62" s="247" cm="1">
        <f t="array" ref="Q62">-SUMPRODUCT(
  desp[valor] *
  (desp[nucleo]=$B62) *
  (desp[centro.negocio]=$B$51) *
  (desp[data.pagamento]&gt;=Q$1) *
  (desp[data.pagamento]&lt;EOMONTH(Q$1,0)+1)
)</f>
        <v>0</v>
      </c>
      <c r="R62" s="247" cm="1">
        <f t="array" ref="R62">-SUMPRODUCT(
  desp[valor] *
  (desp[nucleo]=$B62) *
  (desp[centro.negocio]=$B$51) *
  (desp[data.pagamento]&gt;=R$1) *
  (desp[data.pagamento]&lt;EOMONTH(R$1,0)+1)
)</f>
        <v>0</v>
      </c>
      <c r="T62" s="239">
        <f t="shared" si="31"/>
        <v>0</v>
      </c>
    </row>
    <row r="63" spans="1:20" outlineLevel="2" x14ac:dyDescent="0.25">
      <c r="A63" s="246" t="s">
        <v>588</v>
      </c>
      <c r="B63" s="246" t="s">
        <v>558</v>
      </c>
      <c r="C63" s="193" t="s">
        <v>522</v>
      </c>
      <c r="D63" s="247" cm="1">
        <f t="array" ref="D63">-SUMPRODUCT(
  desp[valor] *
  (desp[nucleo]=$B63) *
  (desp[centro.negocio]=$B$51) *
  (desp[data.pagamento]&gt;=D$1) *
  (desp[data.pagamento]&lt;EOMONTH(D$1,0)+1)
)</f>
        <v>0</v>
      </c>
      <c r="E63" s="247" cm="1">
        <f t="array" ref="E63">-SUMPRODUCT(
  desp[valor] *
  (desp[nucleo]=$B63) *
  (desp[centro.negocio]=$B$51) *
  (desp[data.pagamento]&gt;=E$1) *
  (desp[data.pagamento]&lt;EOMONTH(E$1,0)+1)
)</f>
        <v>0</v>
      </c>
      <c r="F63" s="247" cm="1">
        <f t="array" ref="F63">-SUMPRODUCT(
  desp[valor] *
  (desp[nucleo]=$B63) *
  (desp[centro.negocio]=$B$51) *
  (desp[data.pagamento]&gt;=F$1) *
  (desp[data.pagamento]&lt;EOMONTH(F$1,0)+1)
)</f>
        <v>0</v>
      </c>
      <c r="G63" s="247" cm="1">
        <f t="array" ref="G63">-SUMPRODUCT(
  desp[valor] *
  (desp[nucleo]=$B63) *
  (desp[centro.negocio]=$B$51) *
  (desp[data.pagamento]&gt;=G$1) *
  (desp[data.pagamento]&lt;EOMONTH(G$1,0)+1)
)</f>
        <v>0</v>
      </c>
      <c r="H63" s="247" cm="1">
        <f t="array" ref="H63">-SUMPRODUCT(
  desp[valor] *
  (desp[nucleo]=$B63) *
  (desp[centro.negocio]=$B$51) *
  (desp[data.pagamento]&gt;=H$1) *
  (desp[data.pagamento]&lt;EOMONTH(H$1,0)+1)
)</f>
        <v>0</v>
      </c>
      <c r="I63" s="247" cm="1">
        <f t="array" ref="I63">-SUMPRODUCT(
  desp[valor] *
  (desp[nucleo]=$B63) *
  (desp[centro.negocio]=$B$51) *
  (desp[data.pagamento]&gt;=I$1) *
  (desp[data.pagamento]&lt;EOMONTH(I$1,0)+1)
)</f>
        <v>0</v>
      </c>
      <c r="J63" s="247" cm="1">
        <f t="array" ref="J63">-SUMPRODUCT(
  desp[valor] *
  (desp[nucleo]=$B63) *
  (desp[centro.negocio]=$B$51) *
  (desp[data.pagamento]&gt;=J$1) *
  (desp[data.pagamento]&lt;EOMONTH(J$1,0)+1)
)</f>
        <v>0</v>
      </c>
      <c r="K63" s="247" cm="1">
        <f t="array" ref="K63">-SUMPRODUCT(
  desp[valor] *
  (desp[nucleo]=$B63) *
  (desp[centro.negocio]=$B$51) *
  (desp[data.pagamento]&gt;=K$1) *
  (desp[data.pagamento]&lt;EOMONTH(K$1,0)+1)
)</f>
        <v>0</v>
      </c>
      <c r="L63" s="247" cm="1">
        <f t="array" ref="L63">-SUMPRODUCT(
  desp[valor] *
  (desp[nucleo]=$B63) *
  (desp[centro.negocio]=$B$51) *
  (desp[data.pagamento]&gt;=L$1) *
  (desp[data.pagamento]&lt;EOMONTH(L$1,0)+1)
)</f>
        <v>0</v>
      </c>
      <c r="M63" s="247" cm="1">
        <f t="array" ref="M63">-SUMPRODUCT(
  desp[valor] *
  (desp[nucleo]=$B63) *
  (desp[centro.negocio]=$B$51) *
  (desp[data.pagamento]&gt;=M$1) *
  (desp[data.pagamento]&lt;EOMONTH(M$1,0)+1)
)</f>
        <v>0</v>
      </c>
      <c r="N63" s="247" cm="1">
        <f t="array" ref="N63">-SUMPRODUCT(
  desp[valor] *
  (desp[nucleo]=$B63) *
  (desp[centro.negocio]=$B$51) *
  (desp[data.pagamento]&gt;=N$1) *
  (desp[data.pagamento]&lt;EOMONTH(N$1,0)+1)
)</f>
        <v>0</v>
      </c>
      <c r="O63" s="247" cm="1">
        <f t="array" ref="O63">-SUMPRODUCT(
  desp[valor] *
  (desp[nucleo]=$B63) *
  (desp[centro.negocio]=$B$51) *
  (desp[data.pagamento]&gt;=O$1) *
  (desp[data.pagamento]&lt;EOMONTH(O$1,0)+1)
)</f>
        <v>0</v>
      </c>
      <c r="P63" s="247" cm="1">
        <f t="array" ref="P63">-SUMPRODUCT(
  desp[valor] *
  (desp[nucleo]=$B63) *
  (desp[centro.negocio]=$B$51) *
  (desp[data.pagamento]&gt;=P$1) *
  (desp[data.pagamento]&lt;EOMONTH(P$1,0)+1)
)</f>
        <v>0</v>
      </c>
      <c r="Q63" s="247" cm="1">
        <f t="array" ref="Q63">-SUMPRODUCT(
  desp[valor] *
  (desp[nucleo]=$B63) *
  (desp[centro.negocio]=$B$51) *
  (desp[data.pagamento]&gt;=Q$1) *
  (desp[data.pagamento]&lt;EOMONTH(Q$1,0)+1)
)</f>
        <v>0</v>
      </c>
      <c r="R63" s="247" cm="1">
        <f t="array" ref="R63">-SUMPRODUCT(
  desp[valor] *
  (desp[nucleo]=$B63) *
  (desp[centro.negocio]=$B$51) *
  (desp[data.pagamento]&gt;=R$1) *
  (desp[data.pagamento]&lt;EOMONTH(R$1,0)+1)
)</f>
        <v>0</v>
      </c>
      <c r="T63" s="239">
        <f t="shared" si="31"/>
        <v>0</v>
      </c>
    </row>
    <row r="64" spans="1:20" outlineLevel="1" x14ac:dyDescent="0.25">
      <c r="A64" s="243" t="s">
        <v>589</v>
      </c>
      <c r="B64" s="243" t="s">
        <v>343</v>
      </c>
      <c r="C64" s="244" t="s">
        <v>522</v>
      </c>
      <c r="D64" s="245">
        <f>SUM(D$65)</f>
        <v>0</v>
      </c>
      <c r="E64" s="245">
        <f t="shared" ref="E64:R64" si="32">SUM(E$65)</f>
        <v>0</v>
      </c>
      <c r="F64" s="245">
        <f t="shared" si="32"/>
        <v>0</v>
      </c>
      <c r="G64" s="245">
        <f t="shared" si="32"/>
        <v>0</v>
      </c>
      <c r="H64" s="245">
        <f t="shared" si="32"/>
        <v>0</v>
      </c>
      <c r="I64" s="245">
        <f t="shared" si="32"/>
        <v>0</v>
      </c>
      <c r="J64" s="245">
        <f t="shared" si="32"/>
        <v>0</v>
      </c>
      <c r="K64" s="245">
        <f t="shared" si="32"/>
        <v>0</v>
      </c>
      <c r="L64" s="245">
        <f t="shared" si="32"/>
        <v>0</v>
      </c>
      <c r="M64" s="245">
        <f t="shared" si="32"/>
        <v>0</v>
      </c>
      <c r="N64" s="245">
        <f t="shared" si="32"/>
        <v>0</v>
      </c>
      <c r="O64" s="245">
        <f t="shared" si="32"/>
        <v>0</v>
      </c>
      <c r="P64" s="245">
        <f t="shared" si="32"/>
        <v>0</v>
      </c>
      <c r="Q64" s="245">
        <f t="shared" si="32"/>
        <v>0</v>
      </c>
      <c r="R64" s="245">
        <f t="shared" si="32"/>
        <v>0</v>
      </c>
      <c r="T64" s="239">
        <f t="shared" si="31"/>
        <v>0</v>
      </c>
    </row>
    <row r="65" spans="1:20" outlineLevel="2" x14ac:dyDescent="0.25">
      <c r="A65" s="246" t="s">
        <v>590</v>
      </c>
      <c r="B65" s="246" t="s">
        <v>502</v>
      </c>
      <c r="C65" s="193" t="s">
        <v>522</v>
      </c>
      <c r="D65" s="247" cm="1">
        <f t="array" ref="D65">-SUMPRODUCT(
  desp[valor] *
  (desp[nucleo]=$B65) *
  (desp[centro.negocio]=$B$64) *
  (desp[data.pagamento]&gt;=D$1) *
  (desp[data.pagamento]&lt;EOMONTH(D$1,0)+1)
)</f>
        <v>0</v>
      </c>
      <c r="E65" s="247" cm="1">
        <f t="array" ref="E65">-SUMPRODUCT(
  desp[valor] *
  (desp[nucleo]=$B65) *
  (desp[centro.negocio]=$B$64) *
  (desp[data.pagamento]&gt;=E$1) *
  (desp[data.pagamento]&lt;EOMONTH(E$1,0)+1)
)</f>
        <v>0</v>
      </c>
      <c r="F65" s="247" cm="1">
        <f t="array" ref="F65">-SUMPRODUCT(
  desp[valor] *
  (desp[nucleo]=$B65) *
  (desp[centro.negocio]=$B$64) *
  (desp[data.pagamento]&gt;=F$1) *
  (desp[data.pagamento]&lt;EOMONTH(F$1,0)+1)
)</f>
        <v>0</v>
      </c>
      <c r="G65" s="247" cm="1">
        <f t="array" ref="G65">-SUMPRODUCT(
  desp[valor] *
  (desp[nucleo]=$B65) *
  (desp[centro.negocio]=$B$64) *
  (desp[data.pagamento]&gt;=G$1) *
  (desp[data.pagamento]&lt;EOMONTH(G$1,0)+1)
)</f>
        <v>0</v>
      </c>
      <c r="H65" s="247" cm="1">
        <f t="array" ref="H65">-SUMPRODUCT(
  desp[valor] *
  (desp[nucleo]=$B65) *
  (desp[centro.negocio]=$B$64) *
  (desp[data.pagamento]&gt;=H$1) *
  (desp[data.pagamento]&lt;EOMONTH(H$1,0)+1)
)</f>
        <v>0</v>
      </c>
      <c r="I65" s="247" cm="1">
        <f t="array" ref="I65">-SUMPRODUCT(
  desp[valor] *
  (desp[nucleo]=$B65) *
  (desp[centro.negocio]=$B$64) *
  (desp[data.pagamento]&gt;=I$1) *
  (desp[data.pagamento]&lt;EOMONTH(I$1,0)+1)
)</f>
        <v>0</v>
      </c>
      <c r="J65" s="247" cm="1">
        <f t="array" ref="J65">-SUMPRODUCT(
  desp[valor] *
  (desp[nucleo]=$B65) *
  (desp[centro.negocio]=$B$64) *
  (desp[data.pagamento]&gt;=J$1) *
  (desp[data.pagamento]&lt;EOMONTH(J$1,0)+1)
)</f>
        <v>0</v>
      </c>
      <c r="K65" s="247" cm="1">
        <f t="array" ref="K65">-SUMPRODUCT(
  desp[valor] *
  (desp[nucleo]=$B65) *
  (desp[centro.negocio]=$B$64) *
  (desp[data.pagamento]&gt;=K$1) *
  (desp[data.pagamento]&lt;EOMONTH(K$1,0)+1)
)</f>
        <v>0</v>
      </c>
      <c r="L65" s="247" cm="1">
        <f t="array" ref="L65">-SUMPRODUCT(
  desp[valor] *
  (desp[nucleo]=$B65) *
  (desp[centro.negocio]=$B$64) *
  (desp[data.pagamento]&gt;=L$1) *
  (desp[data.pagamento]&lt;EOMONTH(L$1,0)+1)
)</f>
        <v>0</v>
      </c>
      <c r="M65" s="247" cm="1">
        <f t="array" ref="M65">-SUMPRODUCT(
  desp[valor] *
  (desp[nucleo]=$B65) *
  (desp[centro.negocio]=$B$64) *
  (desp[data.pagamento]&gt;=M$1) *
  (desp[data.pagamento]&lt;EOMONTH(M$1,0)+1)
)</f>
        <v>0</v>
      </c>
      <c r="N65" s="247" cm="1">
        <f t="array" ref="N65">-SUMPRODUCT(
  desp[valor] *
  (desp[nucleo]=$B65) *
  (desp[centro.negocio]=$B$64) *
  (desp[data.pagamento]&gt;=N$1) *
  (desp[data.pagamento]&lt;EOMONTH(N$1,0)+1)
)</f>
        <v>0</v>
      </c>
      <c r="O65" s="247" cm="1">
        <f t="array" ref="O65">-SUMPRODUCT(
  desp[valor] *
  (desp[nucleo]=$B65) *
  (desp[centro.negocio]=$B$64) *
  (desp[data.pagamento]&gt;=O$1) *
  (desp[data.pagamento]&lt;EOMONTH(O$1,0)+1)
)</f>
        <v>0</v>
      </c>
      <c r="P65" s="247" cm="1">
        <f t="array" ref="P65">-SUMPRODUCT(
  desp[valor] *
  (desp[nucleo]=$B65) *
  (desp[centro.negocio]=$B$64) *
  (desp[data.pagamento]&gt;=P$1) *
  (desp[data.pagamento]&lt;EOMONTH(P$1,0)+1)
)</f>
        <v>0</v>
      </c>
      <c r="Q65" s="247" cm="1">
        <f t="array" ref="Q65">-SUMPRODUCT(
  desp[valor] *
  (desp[nucleo]=$B65) *
  (desp[centro.negocio]=$B$64) *
  (desp[data.pagamento]&gt;=Q$1) *
  (desp[data.pagamento]&lt;EOMONTH(Q$1,0)+1)
)</f>
        <v>0</v>
      </c>
      <c r="R65" s="247" cm="1">
        <f t="array" ref="R65">-SUMPRODUCT(
  desp[valor] *
  (desp[nucleo]=$B65) *
  (desp[centro.negocio]=$B$64) *
  (desp[data.pagamento]&gt;=R$1) *
  (desp[data.pagamento]&lt;EOMONTH(R$1,0)+1)
)</f>
        <v>0</v>
      </c>
      <c r="T65" s="239">
        <f t="shared" si="31"/>
        <v>0</v>
      </c>
    </row>
    <row r="66" spans="1:20" outlineLevel="1" x14ac:dyDescent="0.25">
      <c r="A66" s="243" t="s">
        <v>591</v>
      </c>
      <c r="B66" s="243" t="s">
        <v>380</v>
      </c>
      <c r="C66" s="244" t="s">
        <v>522</v>
      </c>
      <c r="D66" s="245">
        <f>SUM(D$67:D$69)</f>
        <v>0</v>
      </c>
      <c r="E66" s="245">
        <f t="shared" ref="E66:R66" si="33">SUM(E$67:E$69)</f>
        <v>0</v>
      </c>
      <c r="F66" s="245">
        <f t="shared" si="33"/>
        <v>0</v>
      </c>
      <c r="G66" s="245">
        <f t="shared" si="33"/>
        <v>0</v>
      </c>
      <c r="H66" s="245">
        <f t="shared" si="33"/>
        <v>0</v>
      </c>
      <c r="I66" s="245">
        <f t="shared" si="33"/>
        <v>0</v>
      </c>
      <c r="J66" s="245">
        <f t="shared" si="33"/>
        <v>0</v>
      </c>
      <c r="K66" s="245">
        <f t="shared" si="33"/>
        <v>0</v>
      </c>
      <c r="L66" s="245">
        <f t="shared" si="33"/>
        <v>0</v>
      </c>
      <c r="M66" s="245">
        <f t="shared" si="33"/>
        <v>0</v>
      </c>
      <c r="N66" s="245">
        <f t="shared" si="33"/>
        <v>0</v>
      </c>
      <c r="O66" s="245">
        <f t="shared" si="33"/>
        <v>0</v>
      </c>
      <c r="P66" s="245">
        <f t="shared" si="33"/>
        <v>0</v>
      </c>
      <c r="Q66" s="245">
        <f t="shared" si="33"/>
        <v>0</v>
      </c>
      <c r="R66" s="245">
        <f t="shared" si="33"/>
        <v>0</v>
      </c>
      <c r="T66" s="239">
        <f t="shared" si="31"/>
        <v>0</v>
      </c>
    </row>
    <row r="67" spans="1:20" outlineLevel="2" x14ac:dyDescent="0.25">
      <c r="A67" s="246" t="s">
        <v>592</v>
      </c>
      <c r="B67" s="246" t="s">
        <v>502</v>
      </c>
      <c r="C67" s="193" t="s">
        <v>522</v>
      </c>
      <c r="D67" s="247" cm="1">
        <f t="array" ref="D67">-SUMPRODUCT(
  desp[valor] *
  (desp[nucleo]=$B67) *
  (desp[centro.negocio]=$B$66) *
  (desp[data.pagamento]&gt;=D$1) *
  (desp[data.pagamento]&lt;EOMONTH(D$1,0)+1)
)</f>
        <v>0</v>
      </c>
      <c r="E67" s="247" cm="1">
        <f t="array" ref="E67">-SUMPRODUCT(
  desp[valor] *
  (desp[nucleo]=$B67) *
  (desp[centro.negocio]=$B$66) *
  (desp[data.pagamento]&gt;=E$1) *
  (desp[data.pagamento]&lt;EOMONTH(E$1,0)+1)
)</f>
        <v>0</v>
      </c>
      <c r="F67" s="247" cm="1">
        <f t="array" ref="F67">-SUMPRODUCT(
  desp[valor] *
  (desp[nucleo]=$B67) *
  (desp[centro.negocio]=$B$66) *
  (desp[data.pagamento]&gt;=F$1) *
  (desp[data.pagamento]&lt;EOMONTH(F$1,0)+1)
)</f>
        <v>0</v>
      </c>
      <c r="G67" s="247" cm="1">
        <f t="array" ref="G67">-SUMPRODUCT(
  desp[valor] *
  (desp[nucleo]=$B67) *
  (desp[centro.negocio]=$B$66) *
  (desp[data.pagamento]&gt;=G$1) *
  (desp[data.pagamento]&lt;EOMONTH(G$1,0)+1)
)</f>
        <v>0</v>
      </c>
      <c r="H67" s="247" cm="1">
        <f t="array" ref="H67">-SUMPRODUCT(
  desp[valor] *
  (desp[nucleo]=$B67) *
  (desp[centro.negocio]=$B$66) *
  (desp[data.pagamento]&gt;=H$1) *
  (desp[data.pagamento]&lt;EOMONTH(H$1,0)+1)
)</f>
        <v>0</v>
      </c>
      <c r="I67" s="247" cm="1">
        <f t="array" ref="I67">-SUMPRODUCT(
  desp[valor] *
  (desp[nucleo]=$B67) *
  (desp[centro.negocio]=$B$66) *
  (desp[data.pagamento]&gt;=I$1) *
  (desp[data.pagamento]&lt;EOMONTH(I$1,0)+1)
)</f>
        <v>0</v>
      </c>
      <c r="J67" s="247" cm="1">
        <f t="array" ref="J67">-SUMPRODUCT(
  desp[valor] *
  (desp[nucleo]=$B67) *
  (desp[centro.negocio]=$B$66) *
  (desp[data.pagamento]&gt;=J$1) *
  (desp[data.pagamento]&lt;EOMONTH(J$1,0)+1)
)</f>
        <v>0</v>
      </c>
      <c r="K67" s="247" cm="1">
        <f t="array" ref="K67">-SUMPRODUCT(
  desp[valor] *
  (desp[nucleo]=$B67) *
  (desp[centro.negocio]=$B$66) *
  (desp[data.pagamento]&gt;=K$1) *
  (desp[data.pagamento]&lt;EOMONTH(K$1,0)+1)
)</f>
        <v>0</v>
      </c>
      <c r="L67" s="247" cm="1">
        <f t="array" ref="L67">-SUMPRODUCT(
  desp[valor] *
  (desp[nucleo]=$B67) *
  (desp[centro.negocio]=$B$66) *
  (desp[data.pagamento]&gt;=L$1) *
  (desp[data.pagamento]&lt;EOMONTH(L$1,0)+1)
)</f>
        <v>0</v>
      </c>
      <c r="M67" s="247" cm="1">
        <f t="array" ref="M67">-SUMPRODUCT(
  desp[valor] *
  (desp[nucleo]=$B67) *
  (desp[centro.negocio]=$B$66) *
  (desp[data.pagamento]&gt;=M$1) *
  (desp[data.pagamento]&lt;EOMONTH(M$1,0)+1)
)</f>
        <v>0</v>
      </c>
      <c r="N67" s="247" cm="1">
        <f t="array" ref="N67">-SUMPRODUCT(
  desp[valor] *
  (desp[nucleo]=$B67) *
  (desp[centro.negocio]=$B$66) *
  (desp[data.pagamento]&gt;=N$1) *
  (desp[data.pagamento]&lt;EOMONTH(N$1,0)+1)
)</f>
        <v>0</v>
      </c>
      <c r="O67" s="247" cm="1">
        <f t="array" ref="O67">-SUMPRODUCT(
  desp[valor] *
  (desp[nucleo]=$B67) *
  (desp[centro.negocio]=$B$66) *
  (desp[data.pagamento]&gt;=O$1) *
  (desp[data.pagamento]&lt;EOMONTH(O$1,0)+1)
)</f>
        <v>0</v>
      </c>
      <c r="P67" s="247" cm="1">
        <f t="array" ref="P67">-SUMPRODUCT(
  desp[valor] *
  (desp[nucleo]=$B67) *
  (desp[centro.negocio]=$B$66) *
  (desp[data.pagamento]&gt;=P$1) *
  (desp[data.pagamento]&lt;EOMONTH(P$1,0)+1)
)</f>
        <v>0</v>
      </c>
      <c r="Q67" s="247" cm="1">
        <f t="array" ref="Q67">-SUMPRODUCT(
  desp[valor] *
  (desp[nucleo]=$B67) *
  (desp[centro.negocio]=$B$66) *
  (desp[data.pagamento]&gt;=Q$1) *
  (desp[data.pagamento]&lt;EOMONTH(Q$1,0)+1)
)</f>
        <v>0</v>
      </c>
      <c r="R67" s="247" cm="1">
        <f t="array" ref="R67">-SUMPRODUCT(
  desp[valor] *
  (desp[nucleo]=$B67) *
  (desp[centro.negocio]=$B$66) *
  (desp[data.pagamento]&gt;=R$1) *
  (desp[data.pagamento]&lt;EOMONTH(R$1,0)+1)
)</f>
        <v>0</v>
      </c>
      <c r="T67" s="239">
        <f t="shared" si="31"/>
        <v>0</v>
      </c>
    </row>
    <row r="68" spans="1:20" outlineLevel="2" x14ac:dyDescent="0.25">
      <c r="A68" s="246" t="s">
        <v>593</v>
      </c>
      <c r="B68" s="246" t="s">
        <v>594</v>
      </c>
      <c r="C68" s="193" t="s">
        <v>522</v>
      </c>
      <c r="D68" s="247" cm="1">
        <f t="array" ref="D68">-SUMPRODUCT(
  desp[valor] *
  (desp[nucleo]=$B68) *
  (desp[centro.negocio]=$B$66) *
  (desp[data.pagamento]&gt;=D$1) *
  (desp[data.pagamento]&lt;EOMONTH(D$1,0)+1)
)</f>
        <v>0</v>
      </c>
      <c r="E68" s="247" cm="1">
        <f t="array" ref="E68">-SUMPRODUCT(
  desp[valor] *
  (desp[nucleo]=$B68) *
  (desp[centro.negocio]=$B$66) *
  (desp[data.pagamento]&gt;=E$1) *
  (desp[data.pagamento]&lt;EOMONTH(E$1,0)+1)
)</f>
        <v>0</v>
      </c>
      <c r="F68" s="247" cm="1">
        <f t="array" ref="F68">-SUMPRODUCT(
  desp[valor] *
  (desp[nucleo]=$B68) *
  (desp[centro.negocio]=$B$66) *
  (desp[data.pagamento]&gt;=F$1) *
  (desp[data.pagamento]&lt;EOMONTH(F$1,0)+1)
)</f>
        <v>0</v>
      </c>
      <c r="G68" s="247" cm="1">
        <f t="array" ref="G68">-SUMPRODUCT(
  desp[valor] *
  (desp[nucleo]=$B68) *
  (desp[centro.negocio]=$B$66) *
  (desp[data.pagamento]&gt;=G$1) *
  (desp[data.pagamento]&lt;EOMONTH(G$1,0)+1)
)</f>
        <v>0</v>
      </c>
      <c r="H68" s="247" cm="1">
        <f t="array" ref="H68">-SUMPRODUCT(
  desp[valor] *
  (desp[nucleo]=$B68) *
  (desp[centro.negocio]=$B$66) *
  (desp[data.pagamento]&gt;=H$1) *
  (desp[data.pagamento]&lt;EOMONTH(H$1,0)+1)
)</f>
        <v>0</v>
      </c>
      <c r="I68" s="247" cm="1">
        <f t="array" ref="I68">-SUMPRODUCT(
  desp[valor] *
  (desp[nucleo]=$B68) *
  (desp[centro.negocio]=$B$66) *
  (desp[data.pagamento]&gt;=I$1) *
  (desp[data.pagamento]&lt;EOMONTH(I$1,0)+1)
)</f>
        <v>0</v>
      </c>
      <c r="J68" s="247" cm="1">
        <f t="array" ref="J68">-SUMPRODUCT(
  desp[valor] *
  (desp[nucleo]=$B68) *
  (desp[centro.negocio]=$B$66) *
  (desp[data.pagamento]&gt;=J$1) *
  (desp[data.pagamento]&lt;EOMONTH(J$1,0)+1)
)</f>
        <v>0</v>
      </c>
      <c r="K68" s="247" cm="1">
        <f t="array" ref="K68">-SUMPRODUCT(
  desp[valor] *
  (desp[nucleo]=$B68) *
  (desp[centro.negocio]=$B$66) *
  (desp[data.pagamento]&gt;=K$1) *
  (desp[data.pagamento]&lt;EOMONTH(K$1,0)+1)
)</f>
        <v>0</v>
      </c>
      <c r="L68" s="247" cm="1">
        <f t="array" ref="L68">-SUMPRODUCT(
  desp[valor] *
  (desp[nucleo]=$B68) *
  (desp[centro.negocio]=$B$66) *
  (desp[data.pagamento]&gt;=L$1) *
  (desp[data.pagamento]&lt;EOMONTH(L$1,0)+1)
)</f>
        <v>0</v>
      </c>
      <c r="M68" s="247" cm="1">
        <f t="array" ref="M68">-SUMPRODUCT(
  desp[valor] *
  (desp[nucleo]=$B68) *
  (desp[centro.negocio]=$B$66) *
  (desp[data.pagamento]&gt;=M$1) *
  (desp[data.pagamento]&lt;EOMONTH(M$1,0)+1)
)</f>
        <v>0</v>
      </c>
      <c r="N68" s="247" cm="1">
        <f t="array" ref="N68">-SUMPRODUCT(
  desp[valor] *
  (desp[nucleo]=$B68) *
  (desp[centro.negocio]=$B$66) *
  (desp[data.pagamento]&gt;=N$1) *
  (desp[data.pagamento]&lt;EOMONTH(N$1,0)+1)
)</f>
        <v>0</v>
      </c>
      <c r="O68" s="247" cm="1">
        <f t="array" ref="O68">-SUMPRODUCT(
  desp[valor] *
  (desp[nucleo]=$B68) *
  (desp[centro.negocio]=$B$66) *
  (desp[data.pagamento]&gt;=O$1) *
  (desp[data.pagamento]&lt;EOMONTH(O$1,0)+1)
)</f>
        <v>0</v>
      </c>
      <c r="P68" s="247" cm="1">
        <f t="array" ref="P68">-SUMPRODUCT(
  desp[valor] *
  (desp[nucleo]=$B68) *
  (desp[centro.negocio]=$B$66) *
  (desp[data.pagamento]&gt;=P$1) *
  (desp[data.pagamento]&lt;EOMONTH(P$1,0)+1)
)</f>
        <v>0</v>
      </c>
      <c r="Q68" s="247" cm="1">
        <f t="array" ref="Q68">-SUMPRODUCT(
  desp[valor] *
  (desp[nucleo]=$B68) *
  (desp[centro.negocio]=$B$66) *
  (desp[data.pagamento]&gt;=Q$1) *
  (desp[data.pagamento]&lt;EOMONTH(Q$1,0)+1)
)</f>
        <v>0</v>
      </c>
      <c r="R68" s="247" cm="1">
        <f t="array" ref="R68">-SUMPRODUCT(
  desp[valor] *
  (desp[nucleo]=$B68) *
  (desp[centro.negocio]=$B$66) *
  (desp[data.pagamento]&gt;=R$1) *
  (desp[data.pagamento]&lt;EOMONTH(R$1,0)+1)
)</f>
        <v>0</v>
      </c>
      <c r="T68" s="239">
        <f t="shared" si="31"/>
        <v>0</v>
      </c>
    </row>
    <row r="69" spans="1:20" outlineLevel="2" x14ac:dyDescent="0.25">
      <c r="A69" s="246" t="s">
        <v>595</v>
      </c>
      <c r="B69" s="246" t="s">
        <v>596</v>
      </c>
      <c r="C69" s="193" t="s">
        <v>522</v>
      </c>
      <c r="D69" s="247" cm="1">
        <f t="array" ref="D69">-SUMPRODUCT(
  desp[valor] *
  (desp[nucleo]=$B69) *
  (desp[centro.negocio]=$B$66) *
  (desp[data.pagamento]&gt;=D$1) *
  (desp[data.pagamento]&lt;EOMONTH(D$1,0)+1)
)</f>
        <v>0</v>
      </c>
      <c r="E69" s="247" cm="1">
        <f t="array" ref="E69">-SUMPRODUCT(
  desp[valor] *
  (desp[nucleo]=$B69) *
  (desp[centro.negocio]=$B$66) *
  (desp[data.pagamento]&gt;=E$1) *
  (desp[data.pagamento]&lt;EOMONTH(E$1,0)+1)
)</f>
        <v>0</v>
      </c>
      <c r="F69" s="247" cm="1">
        <f t="array" ref="F69">-SUMPRODUCT(
  desp[valor] *
  (desp[nucleo]=$B69) *
  (desp[centro.negocio]=$B$66) *
  (desp[data.pagamento]&gt;=F$1) *
  (desp[data.pagamento]&lt;EOMONTH(F$1,0)+1)
)</f>
        <v>0</v>
      </c>
      <c r="G69" s="247" cm="1">
        <f t="array" ref="G69">-SUMPRODUCT(
  desp[valor] *
  (desp[nucleo]=$B69) *
  (desp[centro.negocio]=$B$66) *
  (desp[data.pagamento]&gt;=G$1) *
  (desp[data.pagamento]&lt;EOMONTH(G$1,0)+1)
)</f>
        <v>0</v>
      </c>
      <c r="H69" s="247" cm="1">
        <f t="array" ref="H69">-SUMPRODUCT(
  desp[valor] *
  (desp[nucleo]=$B69) *
  (desp[centro.negocio]=$B$66) *
  (desp[data.pagamento]&gt;=H$1) *
  (desp[data.pagamento]&lt;EOMONTH(H$1,0)+1)
)</f>
        <v>0</v>
      </c>
      <c r="I69" s="247" cm="1">
        <f t="array" ref="I69">-SUMPRODUCT(
  desp[valor] *
  (desp[nucleo]=$B69) *
  (desp[centro.negocio]=$B$66) *
  (desp[data.pagamento]&gt;=I$1) *
  (desp[data.pagamento]&lt;EOMONTH(I$1,0)+1)
)</f>
        <v>0</v>
      </c>
      <c r="J69" s="247" cm="1">
        <f t="array" ref="J69">-SUMPRODUCT(
  desp[valor] *
  (desp[nucleo]=$B69) *
  (desp[centro.negocio]=$B$66) *
  (desp[data.pagamento]&gt;=J$1) *
  (desp[data.pagamento]&lt;EOMONTH(J$1,0)+1)
)</f>
        <v>0</v>
      </c>
      <c r="K69" s="247" cm="1">
        <f t="array" ref="K69">-SUMPRODUCT(
  desp[valor] *
  (desp[nucleo]=$B69) *
  (desp[centro.negocio]=$B$66) *
  (desp[data.pagamento]&gt;=K$1) *
  (desp[data.pagamento]&lt;EOMONTH(K$1,0)+1)
)</f>
        <v>0</v>
      </c>
      <c r="L69" s="247" cm="1">
        <f t="array" ref="L69">-SUMPRODUCT(
  desp[valor] *
  (desp[nucleo]=$B69) *
  (desp[centro.negocio]=$B$66) *
  (desp[data.pagamento]&gt;=L$1) *
  (desp[data.pagamento]&lt;EOMONTH(L$1,0)+1)
)</f>
        <v>0</v>
      </c>
      <c r="M69" s="247" cm="1">
        <f t="array" ref="M69">-SUMPRODUCT(
  desp[valor] *
  (desp[nucleo]=$B69) *
  (desp[centro.negocio]=$B$66) *
  (desp[data.pagamento]&gt;=M$1) *
  (desp[data.pagamento]&lt;EOMONTH(M$1,0)+1)
)</f>
        <v>0</v>
      </c>
      <c r="N69" s="247" cm="1">
        <f t="array" ref="N69">-SUMPRODUCT(
  desp[valor] *
  (desp[nucleo]=$B69) *
  (desp[centro.negocio]=$B$66) *
  (desp[data.pagamento]&gt;=N$1) *
  (desp[data.pagamento]&lt;EOMONTH(N$1,0)+1)
)</f>
        <v>0</v>
      </c>
      <c r="O69" s="247" cm="1">
        <f t="array" ref="O69">-SUMPRODUCT(
  desp[valor] *
  (desp[nucleo]=$B69) *
  (desp[centro.negocio]=$B$66) *
  (desp[data.pagamento]&gt;=O$1) *
  (desp[data.pagamento]&lt;EOMONTH(O$1,0)+1)
)</f>
        <v>0</v>
      </c>
      <c r="P69" s="247" cm="1">
        <f t="array" ref="P69">-SUMPRODUCT(
  desp[valor] *
  (desp[nucleo]=$B69) *
  (desp[centro.negocio]=$B$66) *
  (desp[data.pagamento]&gt;=P$1) *
  (desp[data.pagamento]&lt;EOMONTH(P$1,0)+1)
)</f>
        <v>0</v>
      </c>
      <c r="Q69" s="247" cm="1">
        <f t="array" ref="Q69">-SUMPRODUCT(
  desp[valor] *
  (desp[nucleo]=$B69) *
  (desp[centro.negocio]=$B$66) *
  (desp[data.pagamento]&gt;=Q$1) *
  (desp[data.pagamento]&lt;EOMONTH(Q$1,0)+1)
)</f>
        <v>0</v>
      </c>
      <c r="R69" s="247" cm="1">
        <f t="array" ref="R69">-SUMPRODUCT(
  desp[valor] *
  (desp[nucleo]=$B69) *
  (desp[centro.negocio]=$B$66) *
  (desp[data.pagamento]&gt;=R$1) *
  (desp[data.pagamento]&lt;EOMONTH(R$1,0)+1)
)</f>
        <v>0</v>
      </c>
      <c r="T69" s="239">
        <f t="shared" si="31"/>
        <v>0</v>
      </c>
    </row>
    <row r="70" spans="1:20" outlineLevel="1" x14ac:dyDescent="0.25">
      <c r="A70" s="243" t="s">
        <v>597</v>
      </c>
      <c r="B70" s="243" t="s">
        <v>375</v>
      </c>
      <c r="C70" s="244" t="s">
        <v>522</v>
      </c>
      <c r="D70" s="245">
        <f t="shared" ref="D70:R70" si="34">SUM(D$71)</f>
        <v>0</v>
      </c>
      <c r="E70" s="245">
        <f t="shared" si="34"/>
        <v>0</v>
      </c>
      <c r="F70" s="245">
        <f t="shared" si="34"/>
        <v>0</v>
      </c>
      <c r="G70" s="245">
        <f t="shared" si="34"/>
        <v>0</v>
      </c>
      <c r="H70" s="245">
        <f t="shared" si="34"/>
        <v>0</v>
      </c>
      <c r="I70" s="245">
        <f t="shared" si="34"/>
        <v>0</v>
      </c>
      <c r="J70" s="245">
        <f t="shared" si="34"/>
        <v>0</v>
      </c>
      <c r="K70" s="245">
        <f t="shared" si="34"/>
        <v>0</v>
      </c>
      <c r="L70" s="245">
        <f t="shared" si="34"/>
        <v>0</v>
      </c>
      <c r="M70" s="245">
        <f t="shared" si="34"/>
        <v>0</v>
      </c>
      <c r="N70" s="245">
        <f t="shared" si="34"/>
        <v>0</v>
      </c>
      <c r="O70" s="245">
        <f t="shared" si="34"/>
        <v>0</v>
      </c>
      <c r="P70" s="245">
        <f t="shared" si="34"/>
        <v>0</v>
      </c>
      <c r="Q70" s="245">
        <f t="shared" si="34"/>
        <v>0</v>
      </c>
      <c r="R70" s="245">
        <f t="shared" si="34"/>
        <v>0</v>
      </c>
      <c r="T70" s="239">
        <f t="shared" si="31"/>
        <v>0</v>
      </c>
    </row>
    <row r="71" spans="1:20" outlineLevel="2" x14ac:dyDescent="0.25">
      <c r="A71" s="246" t="s">
        <v>598</v>
      </c>
      <c r="B71" s="246" t="s">
        <v>548</v>
      </c>
      <c r="C71" s="193" t="s">
        <v>522</v>
      </c>
      <c r="D71" s="247" cm="1">
        <f t="array" ref="D71">-SUMPRODUCT(
  desp[valor] *
  (desp[nucleo]=$B71) *
  (desp[centro.negocio]=$B$70) *
  (desp[data.pagamento]&gt;=D$1) *
  (desp[data.pagamento]&lt;EOMONTH(D$1,0)+1)
)</f>
        <v>0</v>
      </c>
      <c r="E71" s="247" cm="1">
        <f t="array" ref="E71">-SUMPRODUCT(
  desp[valor] *
  (desp[nucleo]=$B71) *
  (desp[centro.negocio]=$B$70) *
  (desp[data.pagamento]&gt;=E$1) *
  (desp[data.pagamento]&lt;EOMONTH(E$1,0)+1)
)</f>
        <v>0</v>
      </c>
      <c r="F71" s="247" cm="1">
        <f t="array" ref="F71">-SUMPRODUCT(
  desp[valor] *
  (desp[nucleo]=$B71) *
  (desp[centro.negocio]=$B$70) *
  (desp[data.pagamento]&gt;=F$1) *
  (desp[data.pagamento]&lt;EOMONTH(F$1,0)+1)
)</f>
        <v>0</v>
      </c>
      <c r="G71" s="247" cm="1">
        <f t="array" ref="G71">-SUMPRODUCT(
  desp[valor] *
  (desp[nucleo]=$B71) *
  (desp[centro.negocio]=$B$70) *
  (desp[data.pagamento]&gt;=G$1) *
  (desp[data.pagamento]&lt;EOMONTH(G$1,0)+1)
)</f>
        <v>0</v>
      </c>
      <c r="H71" s="247" cm="1">
        <f t="array" ref="H71">-SUMPRODUCT(
  desp[valor] *
  (desp[nucleo]=$B71) *
  (desp[centro.negocio]=$B$70) *
  (desp[data.pagamento]&gt;=H$1) *
  (desp[data.pagamento]&lt;EOMONTH(H$1,0)+1)
)</f>
        <v>0</v>
      </c>
      <c r="I71" s="247" cm="1">
        <f t="array" ref="I71">-SUMPRODUCT(
  desp[valor] *
  (desp[nucleo]=$B71) *
  (desp[centro.negocio]=$B$70) *
  (desp[data.pagamento]&gt;=I$1) *
  (desp[data.pagamento]&lt;EOMONTH(I$1,0)+1)
)</f>
        <v>0</v>
      </c>
      <c r="J71" s="247" cm="1">
        <f t="array" ref="J71">-SUMPRODUCT(
  desp[valor] *
  (desp[nucleo]=$B71) *
  (desp[centro.negocio]=$B$70) *
  (desp[data.pagamento]&gt;=J$1) *
  (desp[data.pagamento]&lt;EOMONTH(J$1,0)+1)
)</f>
        <v>0</v>
      </c>
      <c r="K71" s="247" cm="1">
        <f t="array" ref="K71">-SUMPRODUCT(
  desp[valor] *
  (desp[nucleo]=$B71) *
  (desp[centro.negocio]=$B$70) *
  (desp[data.pagamento]&gt;=K$1) *
  (desp[data.pagamento]&lt;EOMONTH(K$1,0)+1)
)</f>
        <v>0</v>
      </c>
      <c r="L71" s="247" cm="1">
        <f t="array" ref="L71">-SUMPRODUCT(
  desp[valor] *
  (desp[nucleo]=$B71) *
  (desp[centro.negocio]=$B$70) *
  (desp[data.pagamento]&gt;=L$1) *
  (desp[data.pagamento]&lt;EOMONTH(L$1,0)+1)
)</f>
        <v>0</v>
      </c>
      <c r="M71" s="247" cm="1">
        <f t="array" ref="M71">-SUMPRODUCT(
  desp[valor] *
  (desp[nucleo]=$B71) *
  (desp[centro.negocio]=$B$70) *
  (desp[data.pagamento]&gt;=M$1) *
  (desp[data.pagamento]&lt;EOMONTH(M$1,0)+1)
)</f>
        <v>0</v>
      </c>
      <c r="N71" s="247" cm="1">
        <f t="array" ref="N71">-SUMPRODUCT(
  desp[valor] *
  (desp[nucleo]=$B71) *
  (desp[centro.negocio]=$B$70) *
  (desp[data.pagamento]&gt;=N$1) *
  (desp[data.pagamento]&lt;EOMONTH(N$1,0)+1)
)</f>
        <v>0</v>
      </c>
      <c r="O71" s="247" cm="1">
        <f t="array" ref="O71">-SUMPRODUCT(
  desp[valor] *
  (desp[nucleo]=$B71) *
  (desp[centro.negocio]=$B$70) *
  (desp[data.pagamento]&gt;=O$1) *
  (desp[data.pagamento]&lt;EOMONTH(O$1,0)+1)
)</f>
        <v>0</v>
      </c>
      <c r="P71" s="247" cm="1">
        <f t="array" ref="P71">-SUMPRODUCT(
  desp[valor] *
  (desp[nucleo]=$B71) *
  (desp[centro.negocio]=$B$70) *
  (desp[data.pagamento]&gt;=P$1) *
  (desp[data.pagamento]&lt;EOMONTH(P$1,0)+1)
)</f>
        <v>0</v>
      </c>
      <c r="Q71" s="247" cm="1">
        <f t="array" ref="Q71">-SUMPRODUCT(
  desp[valor] *
  (desp[nucleo]=$B71) *
  (desp[centro.negocio]=$B$70) *
  (desp[data.pagamento]&gt;=Q$1) *
  (desp[data.pagamento]&lt;EOMONTH(Q$1,0)+1)
)</f>
        <v>0</v>
      </c>
      <c r="R71" s="247" cm="1">
        <f t="array" ref="R71">-SUMPRODUCT(
  desp[valor] *
  (desp[nucleo]=$B71) *
  (desp[centro.negocio]=$B$70) *
  (desp[data.pagamento]&gt;=R$1) *
  (desp[data.pagamento]&lt;EOMONTH(R$1,0)+1)
)</f>
        <v>0</v>
      </c>
      <c r="T71" s="239">
        <f t="shared" si="31"/>
        <v>0</v>
      </c>
    </row>
    <row r="72" spans="1:20" outlineLevel="1" x14ac:dyDescent="0.25">
      <c r="A72" s="243" t="s">
        <v>599</v>
      </c>
      <c r="B72" s="243" t="s">
        <v>376</v>
      </c>
      <c r="C72" s="244" t="s">
        <v>522</v>
      </c>
      <c r="D72" s="245">
        <f t="shared" ref="D72:R72" si="35">SUM(D$73)</f>
        <v>0</v>
      </c>
      <c r="E72" s="245">
        <f t="shared" si="35"/>
        <v>0</v>
      </c>
      <c r="F72" s="245">
        <f t="shared" si="35"/>
        <v>0</v>
      </c>
      <c r="G72" s="245">
        <f t="shared" si="35"/>
        <v>0</v>
      </c>
      <c r="H72" s="245">
        <f t="shared" si="35"/>
        <v>0</v>
      </c>
      <c r="I72" s="245">
        <f t="shared" si="35"/>
        <v>0</v>
      </c>
      <c r="J72" s="245">
        <f t="shared" si="35"/>
        <v>0</v>
      </c>
      <c r="K72" s="245">
        <f t="shared" si="35"/>
        <v>0</v>
      </c>
      <c r="L72" s="245">
        <f t="shared" si="35"/>
        <v>0</v>
      </c>
      <c r="M72" s="245">
        <f t="shared" si="35"/>
        <v>0</v>
      </c>
      <c r="N72" s="245">
        <f t="shared" si="35"/>
        <v>0</v>
      </c>
      <c r="O72" s="245">
        <f t="shared" si="35"/>
        <v>0</v>
      </c>
      <c r="P72" s="245">
        <f t="shared" si="35"/>
        <v>0</v>
      </c>
      <c r="Q72" s="245">
        <f t="shared" si="35"/>
        <v>0</v>
      </c>
      <c r="R72" s="245">
        <f t="shared" si="35"/>
        <v>0</v>
      </c>
      <c r="T72" s="239">
        <f t="shared" si="31"/>
        <v>0</v>
      </c>
    </row>
    <row r="73" spans="1:20" outlineLevel="2" x14ac:dyDescent="0.25">
      <c r="A73" s="246" t="s">
        <v>600</v>
      </c>
      <c r="B73" s="246" t="s">
        <v>550</v>
      </c>
      <c r="C73" s="193" t="s">
        <v>522</v>
      </c>
      <c r="D73" s="247" cm="1">
        <f t="array" ref="D73">-SUMPRODUCT(
  desp[valor] *
  (desp[nucleo]=$B73) *
  (desp[centro.negocio]=$B$72) *
  (desp[data.pagamento]&gt;=D$1) *
  (desp[data.pagamento]&lt;EOMONTH(D$1,0)+1)
)</f>
        <v>0</v>
      </c>
      <c r="E73" s="247" cm="1">
        <f t="array" ref="E73">-SUMPRODUCT(
  desp[valor] *
  (desp[nucleo]=$B73) *
  (desp[centro.negocio]=$B$72) *
  (desp[data.pagamento]&gt;=E$1) *
  (desp[data.pagamento]&lt;EOMONTH(E$1,0)+1)
)</f>
        <v>0</v>
      </c>
      <c r="F73" s="247" cm="1">
        <f t="array" ref="F73">-SUMPRODUCT(
  desp[valor] *
  (desp[nucleo]=$B73) *
  (desp[centro.negocio]=$B$72) *
  (desp[data.pagamento]&gt;=F$1) *
  (desp[data.pagamento]&lt;EOMONTH(F$1,0)+1)
)</f>
        <v>0</v>
      </c>
      <c r="G73" s="247" cm="1">
        <f t="array" ref="G73">-SUMPRODUCT(
  desp[valor] *
  (desp[nucleo]=$B73) *
  (desp[centro.negocio]=$B$72) *
  (desp[data.pagamento]&gt;=G$1) *
  (desp[data.pagamento]&lt;EOMONTH(G$1,0)+1)
)</f>
        <v>0</v>
      </c>
      <c r="H73" s="247" cm="1">
        <f t="array" ref="H73">-SUMPRODUCT(
  desp[valor] *
  (desp[nucleo]=$B73) *
  (desp[centro.negocio]=$B$72) *
  (desp[data.pagamento]&gt;=H$1) *
  (desp[data.pagamento]&lt;EOMONTH(H$1,0)+1)
)</f>
        <v>0</v>
      </c>
      <c r="I73" s="247" cm="1">
        <f t="array" ref="I73">-SUMPRODUCT(
  desp[valor] *
  (desp[nucleo]=$B73) *
  (desp[centro.negocio]=$B$72) *
  (desp[data.pagamento]&gt;=I$1) *
  (desp[data.pagamento]&lt;EOMONTH(I$1,0)+1)
)</f>
        <v>0</v>
      </c>
      <c r="J73" s="247" cm="1">
        <f t="array" ref="J73">-SUMPRODUCT(
  desp[valor] *
  (desp[nucleo]=$B73) *
  (desp[centro.negocio]=$B$72) *
  (desp[data.pagamento]&gt;=J$1) *
  (desp[data.pagamento]&lt;EOMONTH(J$1,0)+1)
)</f>
        <v>0</v>
      </c>
      <c r="K73" s="247" cm="1">
        <f t="array" ref="K73">-SUMPRODUCT(
  desp[valor] *
  (desp[nucleo]=$B73) *
  (desp[centro.negocio]=$B$72) *
  (desp[data.pagamento]&gt;=K$1) *
  (desp[data.pagamento]&lt;EOMONTH(K$1,0)+1)
)</f>
        <v>0</v>
      </c>
      <c r="L73" s="247" cm="1">
        <f t="array" ref="L73">-SUMPRODUCT(
  desp[valor] *
  (desp[nucleo]=$B73) *
  (desp[centro.negocio]=$B$72) *
  (desp[data.pagamento]&gt;=L$1) *
  (desp[data.pagamento]&lt;EOMONTH(L$1,0)+1)
)</f>
        <v>0</v>
      </c>
      <c r="M73" s="247" cm="1">
        <f t="array" ref="M73">-SUMPRODUCT(
  desp[valor] *
  (desp[nucleo]=$B73) *
  (desp[centro.negocio]=$B$72) *
  (desp[data.pagamento]&gt;=M$1) *
  (desp[data.pagamento]&lt;EOMONTH(M$1,0)+1)
)</f>
        <v>0</v>
      </c>
      <c r="N73" s="247" cm="1">
        <f t="array" ref="N73">-SUMPRODUCT(
  desp[valor] *
  (desp[nucleo]=$B73) *
  (desp[centro.negocio]=$B$72) *
  (desp[data.pagamento]&gt;=N$1) *
  (desp[data.pagamento]&lt;EOMONTH(N$1,0)+1)
)</f>
        <v>0</v>
      </c>
      <c r="O73" s="247" cm="1">
        <f t="array" ref="O73">-SUMPRODUCT(
  desp[valor] *
  (desp[nucleo]=$B73) *
  (desp[centro.negocio]=$B$72) *
  (desp[data.pagamento]&gt;=O$1) *
  (desp[data.pagamento]&lt;EOMONTH(O$1,0)+1)
)</f>
        <v>0</v>
      </c>
      <c r="P73" s="247" cm="1">
        <f t="array" ref="P73">-SUMPRODUCT(
  desp[valor] *
  (desp[nucleo]=$B73) *
  (desp[centro.negocio]=$B$72) *
  (desp[data.pagamento]&gt;=P$1) *
  (desp[data.pagamento]&lt;EOMONTH(P$1,0)+1)
)</f>
        <v>0</v>
      </c>
      <c r="Q73" s="247" cm="1">
        <f t="array" ref="Q73">-SUMPRODUCT(
  desp[valor] *
  (desp[nucleo]=$B73) *
  (desp[centro.negocio]=$B$72) *
  (desp[data.pagamento]&gt;=Q$1) *
  (desp[data.pagamento]&lt;EOMONTH(Q$1,0)+1)
)</f>
        <v>0</v>
      </c>
      <c r="R73" s="247" cm="1">
        <f t="array" ref="R73">-SUMPRODUCT(
  desp[valor] *
  (desp[nucleo]=$B73) *
  (desp[centro.negocio]=$B$72) *
  (desp[data.pagamento]&gt;=R$1) *
  (desp[data.pagamento]&lt;EOMONTH(R$1,0)+1)
)</f>
        <v>0</v>
      </c>
      <c r="T73" s="239">
        <f t="shared" si="31"/>
        <v>0</v>
      </c>
    </row>
    <row r="74" spans="1:20" outlineLevel="1" x14ac:dyDescent="0.25">
      <c r="A74" s="243" t="s">
        <v>601</v>
      </c>
      <c r="B74" s="243" t="s">
        <v>374</v>
      </c>
      <c r="C74" s="244" t="s">
        <v>522</v>
      </c>
      <c r="D74" s="245">
        <f>SUM(D$75)</f>
        <v>0</v>
      </c>
      <c r="E74" s="245">
        <f t="shared" ref="E74:R74" si="36">SUM(E$75)</f>
        <v>0</v>
      </c>
      <c r="F74" s="245">
        <f t="shared" si="36"/>
        <v>0</v>
      </c>
      <c r="G74" s="245">
        <f t="shared" si="36"/>
        <v>0</v>
      </c>
      <c r="H74" s="245">
        <f t="shared" si="36"/>
        <v>0</v>
      </c>
      <c r="I74" s="245">
        <f t="shared" si="36"/>
        <v>0</v>
      </c>
      <c r="J74" s="245">
        <f t="shared" si="36"/>
        <v>0</v>
      </c>
      <c r="K74" s="245">
        <f t="shared" si="36"/>
        <v>0</v>
      </c>
      <c r="L74" s="245">
        <f t="shared" si="36"/>
        <v>0</v>
      </c>
      <c r="M74" s="245">
        <f t="shared" si="36"/>
        <v>0</v>
      </c>
      <c r="N74" s="245">
        <f t="shared" si="36"/>
        <v>0</v>
      </c>
      <c r="O74" s="245">
        <f t="shared" si="36"/>
        <v>0</v>
      </c>
      <c r="P74" s="245">
        <f t="shared" si="36"/>
        <v>0</v>
      </c>
      <c r="Q74" s="245">
        <f t="shared" si="36"/>
        <v>0</v>
      </c>
      <c r="R74" s="245">
        <f t="shared" si="36"/>
        <v>0</v>
      </c>
      <c r="T74" s="239">
        <f t="shared" si="31"/>
        <v>0</v>
      </c>
    </row>
    <row r="75" spans="1:20" outlineLevel="2" x14ac:dyDescent="0.25">
      <c r="A75" s="246" t="s">
        <v>602</v>
      </c>
      <c r="B75" s="246" t="s">
        <v>546</v>
      </c>
      <c r="C75" s="193" t="s">
        <v>522</v>
      </c>
      <c r="D75" s="247" cm="1">
        <f t="array" ref="D75">-SUMPRODUCT(
  desp[valor] *
  (desp[nucleo]=$B75) *
  (desp[centro.negocio]=$B$74) *
  (desp[data.pagamento]&gt;=D$1) *
  (desp[data.pagamento]&lt;EOMONTH(D$1,0)+1)
)</f>
        <v>0</v>
      </c>
      <c r="E75" s="247" cm="1">
        <f t="array" ref="E75">-SUMPRODUCT(
  desp[valor] *
  (desp[nucleo]=$B75) *
  (desp[centro.negocio]=$B$74) *
  (desp[data.pagamento]&gt;=E$1) *
  (desp[data.pagamento]&lt;EOMONTH(E$1,0)+1)
)</f>
        <v>0</v>
      </c>
      <c r="F75" s="247" cm="1">
        <f t="array" ref="F75">-SUMPRODUCT(
  desp[valor] *
  (desp[nucleo]=$B75) *
  (desp[centro.negocio]=$B$74) *
  (desp[data.pagamento]&gt;=F$1) *
  (desp[data.pagamento]&lt;EOMONTH(F$1,0)+1)
)</f>
        <v>0</v>
      </c>
      <c r="G75" s="247" cm="1">
        <f t="array" ref="G75">-SUMPRODUCT(
  desp[valor] *
  (desp[nucleo]=$B75) *
  (desp[centro.negocio]=$B$74) *
  (desp[data.pagamento]&gt;=G$1) *
  (desp[data.pagamento]&lt;EOMONTH(G$1,0)+1)
)</f>
        <v>0</v>
      </c>
      <c r="H75" s="247" cm="1">
        <f t="array" ref="H75">-SUMPRODUCT(
  desp[valor] *
  (desp[nucleo]=$B75) *
  (desp[centro.negocio]=$B$74) *
  (desp[data.pagamento]&gt;=H$1) *
  (desp[data.pagamento]&lt;EOMONTH(H$1,0)+1)
)</f>
        <v>0</v>
      </c>
      <c r="I75" s="247" cm="1">
        <f t="array" ref="I75">-SUMPRODUCT(
  desp[valor] *
  (desp[nucleo]=$B75) *
  (desp[centro.negocio]=$B$74) *
  (desp[data.pagamento]&gt;=I$1) *
  (desp[data.pagamento]&lt;EOMONTH(I$1,0)+1)
)</f>
        <v>0</v>
      </c>
      <c r="J75" s="247" cm="1">
        <f t="array" ref="J75">-SUMPRODUCT(
  desp[valor] *
  (desp[nucleo]=$B75) *
  (desp[centro.negocio]=$B$74) *
  (desp[data.pagamento]&gt;=J$1) *
  (desp[data.pagamento]&lt;EOMONTH(J$1,0)+1)
)</f>
        <v>0</v>
      </c>
      <c r="K75" s="247" cm="1">
        <f t="array" ref="K75">-SUMPRODUCT(
  desp[valor] *
  (desp[nucleo]=$B75) *
  (desp[centro.negocio]=$B$74) *
  (desp[data.pagamento]&gt;=K$1) *
  (desp[data.pagamento]&lt;EOMONTH(K$1,0)+1)
)</f>
        <v>0</v>
      </c>
      <c r="L75" s="247" cm="1">
        <f t="array" ref="L75">-SUMPRODUCT(
  desp[valor] *
  (desp[nucleo]=$B75) *
  (desp[centro.negocio]=$B$74) *
  (desp[data.pagamento]&gt;=L$1) *
  (desp[data.pagamento]&lt;EOMONTH(L$1,0)+1)
)</f>
        <v>0</v>
      </c>
      <c r="M75" s="247" cm="1">
        <f t="array" ref="M75">-SUMPRODUCT(
  desp[valor] *
  (desp[nucleo]=$B75) *
  (desp[centro.negocio]=$B$74) *
  (desp[data.pagamento]&gt;=M$1) *
  (desp[data.pagamento]&lt;EOMONTH(M$1,0)+1)
)</f>
        <v>0</v>
      </c>
      <c r="N75" s="247" cm="1">
        <f t="array" ref="N75">-SUMPRODUCT(
  desp[valor] *
  (desp[nucleo]=$B75) *
  (desp[centro.negocio]=$B$74) *
  (desp[data.pagamento]&gt;=N$1) *
  (desp[data.pagamento]&lt;EOMONTH(N$1,0)+1)
)</f>
        <v>0</v>
      </c>
      <c r="O75" s="247" cm="1">
        <f t="array" ref="O75">-SUMPRODUCT(
  desp[valor] *
  (desp[nucleo]=$B75) *
  (desp[centro.negocio]=$B$74) *
  (desp[data.pagamento]&gt;=O$1) *
  (desp[data.pagamento]&lt;EOMONTH(O$1,0)+1)
)</f>
        <v>0</v>
      </c>
      <c r="P75" s="247" cm="1">
        <f t="array" ref="P75">-SUMPRODUCT(
  desp[valor] *
  (desp[nucleo]=$B75) *
  (desp[centro.negocio]=$B$74) *
  (desp[data.pagamento]&gt;=P$1) *
  (desp[data.pagamento]&lt;EOMONTH(P$1,0)+1)
)</f>
        <v>0</v>
      </c>
      <c r="Q75" s="247" cm="1">
        <f t="array" ref="Q75">-SUMPRODUCT(
  desp[valor] *
  (desp[nucleo]=$B75) *
  (desp[centro.negocio]=$B$74) *
  (desp[data.pagamento]&gt;=Q$1) *
  (desp[data.pagamento]&lt;EOMONTH(Q$1,0)+1)
)</f>
        <v>0</v>
      </c>
      <c r="R75" s="247" cm="1">
        <f t="array" ref="R75">-SUMPRODUCT(
  desp[valor] *
  (desp[nucleo]=$B75) *
  (desp[centro.negocio]=$B$74) *
  (desp[data.pagamento]&gt;=R$1) *
  (desp[data.pagamento]&lt;EOMONTH(R$1,0)+1)
)</f>
        <v>0</v>
      </c>
      <c r="T75" s="239">
        <f t="shared" si="31"/>
        <v>0</v>
      </c>
    </row>
    <row r="76" spans="1:20" outlineLevel="1" x14ac:dyDescent="0.25">
      <c r="A76" s="243" t="s">
        <v>603</v>
      </c>
      <c r="B76" s="243" t="s">
        <v>381</v>
      </c>
      <c r="C76" s="244" t="s">
        <v>522</v>
      </c>
      <c r="D76" s="245">
        <f>SUM(D$77:D$80)</f>
        <v>0</v>
      </c>
      <c r="E76" s="245">
        <f t="shared" ref="E76:R76" si="37">SUM(E$77:E$80)</f>
        <v>0</v>
      </c>
      <c r="F76" s="245">
        <f t="shared" si="37"/>
        <v>0</v>
      </c>
      <c r="G76" s="245">
        <f t="shared" si="37"/>
        <v>0</v>
      </c>
      <c r="H76" s="245">
        <f t="shared" si="37"/>
        <v>0</v>
      </c>
      <c r="I76" s="245">
        <f t="shared" si="37"/>
        <v>0</v>
      </c>
      <c r="J76" s="245">
        <f t="shared" si="37"/>
        <v>0</v>
      </c>
      <c r="K76" s="245">
        <f t="shared" si="37"/>
        <v>0</v>
      </c>
      <c r="L76" s="245">
        <f t="shared" si="37"/>
        <v>0</v>
      </c>
      <c r="M76" s="245">
        <f t="shared" si="37"/>
        <v>0</v>
      </c>
      <c r="N76" s="245">
        <f t="shared" si="37"/>
        <v>0</v>
      </c>
      <c r="O76" s="245">
        <f t="shared" si="37"/>
        <v>0</v>
      </c>
      <c r="P76" s="245">
        <f t="shared" si="37"/>
        <v>0</v>
      </c>
      <c r="Q76" s="245">
        <f t="shared" si="37"/>
        <v>0</v>
      </c>
      <c r="R76" s="245">
        <f t="shared" si="37"/>
        <v>0</v>
      </c>
      <c r="T76" s="239">
        <f t="shared" si="31"/>
        <v>0</v>
      </c>
    </row>
    <row r="77" spans="1:20" outlineLevel="2" x14ac:dyDescent="0.25">
      <c r="A77" s="246" t="s">
        <v>604</v>
      </c>
      <c r="B77" s="246" t="s">
        <v>552</v>
      </c>
      <c r="C77" s="193" t="s">
        <v>522</v>
      </c>
      <c r="D77" s="247" cm="1">
        <f t="array" ref="D77">-SUMPRODUCT(
  desp[valor] *
  (desp[nucleo]=$B77) *
  (desp[centro.negocio]=$B$76) *
  (desp[data.pagamento]&gt;=D$1) *
  (desp[data.pagamento]&lt;EOMONTH(D$1,0)+1)
)</f>
        <v>0</v>
      </c>
      <c r="E77" s="247" cm="1">
        <f t="array" ref="E77">-SUMPRODUCT(
  desp[valor] *
  (desp[nucleo]=$B77) *
  (desp[centro.negocio]=$B$76) *
  (desp[data.pagamento]&gt;=E$1) *
  (desp[data.pagamento]&lt;EOMONTH(E$1,0)+1)
)</f>
        <v>0</v>
      </c>
      <c r="F77" s="247" cm="1">
        <f t="array" ref="F77">-SUMPRODUCT(
  desp[valor] *
  (desp[nucleo]=$B77) *
  (desp[centro.negocio]=$B$76) *
  (desp[data.pagamento]&gt;=F$1) *
  (desp[data.pagamento]&lt;EOMONTH(F$1,0)+1)
)</f>
        <v>0</v>
      </c>
      <c r="G77" s="247" cm="1">
        <f t="array" ref="G77">-SUMPRODUCT(
  desp[valor] *
  (desp[nucleo]=$B77) *
  (desp[centro.negocio]=$B$76) *
  (desp[data.pagamento]&gt;=G$1) *
  (desp[data.pagamento]&lt;EOMONTH(G$1,0)+1)
)</f>
        <v>0</v>
      </c>
      <c r="H77" s="247" cm="1">
        <f t="array" ref="H77">-SUMPRODUCT(
  desp[valor] *
  (desp[nucleo]=$B77) *
  (desp[centro.negocio]=$B$76) *
  (desp[data.pagamento]&gt;=H$1) *
  (desp[data.pagamento]&lt;EOMONTH(H$1,0)+1)
)</f>
        <v>0</v>
      </c>
      <c r="I77" s="247" cm="1">
        <f t="array" ref="I77">-SUMPRODUCT(
  desp[valor] *
  (desp[nucleo]=$B77) *
  (desp[centro.negocio]=$B$76) *
  (desp[data.pagamento]&gt;=I$1) *
  (desp[data.pagamento]&lt;EOMONTH(I$1,0)+1)
)</f>
        <v>0</v>
      </c>
      <c r="J77" s="247" cm="1">
        <f t="array" ref="J77">-SUMPRODUCT(
  desp[valor] *
  (desp[nucleo]=$B77) *
  (desp[centro.negocio]=$B$76) *
  (desp[data.pagamento]&gt;=J$1) *
  (desp[data.pagamento]&lt;EOMONTH(J$1,0)+1)
)</f>
        <v>0</v>
      </c>
      <c r="K77" s="247" cm="1">
        <f t="array" ref="K77">-SUMPRODUCT(
  desp[valor] *
  (desp[nucleo]=$B77) *
  (desp[centro.negocio]=$B$76) *
  (desp[data.pagamento]&gt;=K$1) *
  (desp[data.pagamento]&lt;EOMONTH(K$1,0)+1)
)</f>
        <v>0</v>
      </c>
      <c r="L77" s="247" cm="1">
        <f t="array" ref="L77">-SUMPRODUCT(
  desp[valor] *
  (desp[nucleo]=$B77) *
  (desp[centro.negocio]=$B$76) *
  (desp[data.pagamento]&gt;=L$1) *
  (desp[data.pagamento]&lt;EOMONTH(L$1,0)+1)
)</f>
        <v>0</v>
      </c>
      <c r="M77" s="247" cm="1">
        <f t="array" ref="M77">-SUMPRODUCT(
  desp[valor] *
  (desp[nucleo]=$B77) *
  (desp[centro.negocio]=$B$76) *
  (desp[data.pagamento]&gt;=M$1) *
  (desp[data.pagamento]&lt;EOMONTH(M$1,0)+1)
)</f>
        <v>0</v>
      </c>
      <c r="N77" s="247" cm="1">
        <f t="array" ref="N77">-SUMPRODUCT(
  desp[valor] *
  (desp[nucleo]=$B77) *
  (desp[centro.negocio]=$B$76) *
  (desp[data.pagamento]&gt;=N$1) *
  (desp[data.pagamento]&lt;EOMONTH(N$1,0)+1)
)</f>
        <v>0</v>
      </c>
      <c r="O77" s="247" cm="1">
        <f t="array" ref="O77">-SUMPRODUCT(
  desp[valor] *
  (desp[nucleo]=$B77) *
  (desp[centro.negocio]=$B$76) *
  (desp[data.pagamento]&gt;=O$1) *
  (desp[data.pagamento]&lt;EOMONTH(O$1,0)+1)
)</f>
        <v>0</v>
      </c>
      <c r="P77" s="247" cm="1">
        <f t="array" ref="P77">-SUMPRODUCT(
  desp[valor] *
  (desp[nucleo]=$B77) *
  (desp[centro.negocio]=$B$76) *
  (desp[data.pagamento]&gt;=P$1) *
  (desp[data.pagamento]&lt;EOMONTH(P$1,0)+1)
)</f>
        <v>0</v>
      </c>
      <c r="Q77" s="247" cm="1">
        <f t="array" ref="Q77">-SUMPRODUCT(
  desp[valor] *
  (desp[nucleo]=$B77) *
  (desp[centro.negocio]=$B$76) *
  (desp[data.pagamento]&gt;=Q$1) *
  (desp[data.pagamento]&lt;EOMONTH(Q$1,0)+1)
)</f>
        <v>0</v>
      </c>
      <c r="R77" s="247" cm="1">
        <f t="array" ref="R77">-SUMPRODUCT(
  desp[valor] *
  (desp[nucleo]=$B77) *
  (desp[centro.negocio]=$B$76) *
  (desp[data.pagamento]&gt;=R$1) *
  (desp[data.pagamento]&lt;EOMONTH(R$1,0)+1)
)</f>
        <v>0</v>
      </c>
      <c r="T77" s="239">
        <f t="shared" si="31"/>
        <v>0</v>
      </c>
    </row>
    <row r="78" spans="1:20" outlineLevel="2" x14ac:dyDescent="0.25">
      <c r="A78" s="246" t="s">
        <v>605</v>
      </c>
      <c r="B78" s="246" t="s">
        <v>548</v>
      </c>
      <c r="C78" s="193" t="s">
        <v>522</v>
      </c>
      <c r="D78" s="247" cm="1">
        <f t="array" ref="D78">-SUMPRODUCT(
  desp[valor] *
  (desp[nucleo]=$B78) *
  (desp[centro.negocio]=$B$76) *
  (desp[data.pagamento]&gt;=D$1) *
  (desp[data.pagamento]&lt;EOMONTH(D$1,0)+1)
)</f>
        <v>0</v>
      </c>
      <c r="E78" s="247" cm="1">
        <f t="array" ref="E78">-SUMPRODUCT(
  desp[valor] *
  (desp[nucleo]=$B78) *
  (desp[centro.negocio]=$B$76) *
  (desp[data.pagamento]&gt;=E$1) *
  (desp[data.pagamento]&lt;EOMONTH(E$1,0)+1)
)</f>
        <v>0</v>
      </c>
      <c r="F78" s="247" cm="1">
        <f t="array" ref="F78">-SUMPRODUCT(
  desp[valor] *
  (desp[nucleo]=$B78) *
  (desp[centro.negocio]=$B$76) *
  (desp[data.pagamento]&gt;=F$1) *
  (desp[data.pagamento]&lt;EOMONTH(F$1,0)+1)
)</f>
        <v>0</v>
      </c>
      <c r="G78" s="247" cm="1">
        <f t="array" ref="G78">-SUMPRODUCT(
  desp[valor] *
  (desp[nucleo]=$B78) *
  (desp[centro.negocio]=$B$76) *
  (desp[data.pagamento]&gt;=G$1) *
  (desp[data.pagamento]&lt;EOMONTH(G$1,0)+1)
)</f>
        <v>0</v>
      </c>
      <c r="H78" s="247" cm="1">
        <f t="array" ref="H78">-SUMPRODUCT(
  desp[valor] *
  (desp[nucleo]=$B78) *
  (desp[centro.negocio]=$B$76) *
  (desp[data.pagamento]&gt;=H$1) *
  (desp[data.pagamento]&lt;EOMONTH(H$1,0)+1)
)</f>
        <v>0</v>
      </c>
      <c r="I78" s="247" cm="1">
        <f t="array" ref="I78">-SUMPRODUCT(
  desp[valor] *
  (desp[nucleo]=$B78) *
  (desp[centro.negocio]=$B$76) *
  (desp[data.pagamento]&gt;=I$1) *
  (desp[data.pagamento]&lt;EOMONTH(I$1,0)+1)
)</f>
        <v>0</v>
      </c>
      <c r="J78" s="247" cm="1">
        <f t="array" ref="J78">-SUMPRODUCT(
  desp[valor] *
  (desp[nucleo]=$B78) *
  (desp[centro.negocio]=$B$76) *
  (desp[data.pagamento]&gt;=J$1) *
  (desp[data.pagamento]&lt;EOMONTH(J$1,0)+1)
)</f>
        <v>0</v>
      </c>
      <c r="K78" s="247" cm="1">
        <f t="array" ref="K78">-SUMPRODUCT(
  desp[valor] *
  (desp[nucleo]=$B78) *
  (desp[centro.negocio]=$B$76) *
  (desp[data.pagamento]&gt;=K$1) *
  (desp[data.pagamento]&lt;EOMONTH(K$1,0)+1)
)</f>
        <v>0</v>
      </c>
      <c r="L78" s="247" cm="1">
        <f t="array" ref="L78">-SUMPRODUCT(
  desp[valor] *
  (desp[nucleo]=$B78) *
  (desp[centro.negocio]=$B$76) *
  (desp[data.pagamento]&gt;=L$1) *
  (desp[data.pagamento]&lt;EOMONTH(L$1,0)+1)
)</f>
        <v>0</v>
      </c>
      <c r="M78" s="247" cm="1">
        <f t="array" ref="M78">-SUMPRODUCT(
  desp[valor] *
  (desp[nucleo]=$B78) *
  (desp[centro.negocio]=$B$76) *
  (desp[data.pagamento]&gt;=M$1) *
  (desp[data.pagamento]&lt;EOMONTH(M$1,0)+1)
)</f>
        <v>0</v>
      </c>
      <c r="N78" s="247" cm="1">
        <f t="array" ref="N78">-SUMPRODUCT(
  desp[valor] *
  (desp[nucleo]=$B78) *
  (desp[centro.negocio]=$B$76) *
  (desp[data.pagamento]&gt;=N$1) *
  (desp[data.pagamento]&lt;EOMONTH(N$1,0)+1)
)</f>
        <v>0</v>
      </c>
      <c r="O78" s="247" cm="1">
        <f t="array" ref="O78">-SUMPRODUCT(
  desp[valor] *
  (desp[nucleo]=$B78) *
  (desp[centro.negocio]=$B$76) *
  (desp[data.pagamento]&gt;=O$1) *
  (desp[data.pagamento]&lt;EOMONTH(O$1,0)+1)
)</f>
        <v>0</v>
      </c>
      <c r="P78" s="247" cm="1">
        <f t="array" ref="P78">-SUMPRODUCT(
  desp[valor] *
  (desp[nucleo]=$B78) *
  (desp[centro.negocio]=$B$76) *
  (desp[data.pagamento]&gt;=P$1) *
  (desp[data.pagamento]&lt;EOMONTH(P$1,0)+1)
)</f>
        <v>0</v>
      </c>
      <c r="Q78" s="247" cm="1">
        <f t="array" ref="Q78">-SUMPRODUCT(
  desp[valor] *
  (desp[nucleo]=$B78) *
  (desp[centro.negocio]=$B$76) *
  (desp[data.pagamento]&gt;=Q$1) *
  (desp[data.pagamento]&lt;EOMONTH(Q$1,0)+1)
)</f>
        <v>0</v>
      </c>
      <c r="R78" s="247" cm="1">
        <f t="array" ref="R78">-SUMPRODUCT(
  desp[valor] *
  (desp[nucleo]=$B78) *
  (desp[centro.negocio]=$B$76) *
  (desp[data.pagamento]&gt;=R$1) *
  (desp[data.pagamento]&lt;EOMONTH(R$1,0)+1)
)</f>
        <v>0</v>
      </c>
      <c r="T78" s="239">
        <f t="shared" si="31"/>
        <v>0</v>
      </c>
    </row>
    <row r="79" spans="1:20" outlineLevel="2" x14ac:dyDescent="0.25">
      <c r="A79" s="246" t="s">
        <v>606</v>
      </c>
      <c r="B79" s="246" t="s">
        <v>554</v>
      </c>
      <c r="C79" s="193" t="s">
        <v>522</v>
      </c>
      <c r="D79" s="247" cm="1">
        <f t="array" ref="D79">-SUMPRODUCT(
  desp[valor] *
  (desp[nucleo]=$B79) *
  (desp[centro.negocio]=$B$76) *
  (desp[data.pagamento]&gt;=D$1) *
  (desp[data.pagamento]&lt;EOMONTH(D$1,0)+1)
)</f>
        <v>0</v>
      </c>
      <c r="E79" s="247" cm="1">
        <f t="array" ref="E79">-SUMPRODUCT(
  desp[valor] *
  (desp[nucleo]=$B79) *
  (desp[centro.negocio]=$B$76) *
  (desp[data.pagamento]&gt;=E$1) *
  (desp[data.pagamento]&lt;EOMONTH(E$1,0)+1)
)</f>
        <v>0</v>
      </c>
      <c r="F79" s="247" cm="1">
        <f t="array" ref="F79">-SUMPRODUCT(
  desp[valor] *
  (desp[nucleo]=$B79) *
  (desp[centro.negocio]=$B$76) *
  (desp[data.pagamento]&gt;=F$1) *
  (desp[data.pagamento]&lt;EOMONTH(F$1,0)+1)
)</f>
        <v>0</v>
      </c>
      <c r="G79" s="247" cm="1">
        <f t="array" ref="G79">-SUMPRODUCT(
  desp[valor] *
  (desp[nucleo]=$B79) *
  (desp[centro.negocio]=$B$76) *
  (desp[data.pagamento]&gt;=G$1) *
  (desp[data.pagamento]&lt;EOMONTH(G$1,0)+1)
)</f>
        <v>0</v>
      </c>
      <c r="H79" s="247" cm="1">
        <f t="array" ref="H79">-SUMPRODUCT(
  desp[valor] *
  (desp[nucleo]=$B79) *
  (desp[centro.negocio]=$B$76) *
  (desp[data.pagamento]&gt;=H$1) *
  (desp[data.pagamento]&lt;EOMONTH(H$1,0)+1)
)</f>
        <v>0</v>
      </c>
      <c r="I79" s="247" cm="1">
        <f t="array" ref="I79">-SUMPRODUCT(
  desp[valor] *
  (desp[nucleo]=$B79) *
  (desp[centro.negocio]=$B$76) *
  (desp[data.pagamento]&gt;=I$1) *
  (desp[data.pagamento]&lt;EOMONTH(I$1,0)+1)
)</f>
        <v>0</v>
      </c>
      <c r="J79" s="247" cm="1">
        <f t="array" ref="J79">-SUMPRODUCT(
  desp[valor] *
  (desp[nucleo]=$B79) *
  (desp[centro.negocio]=$B$76) *
  (desp[data.pagamento]&gt;=J$1) *
  (desp[data.pagamento]&lt;EOMONTH(J$1,0)+1)
)</f>
        <v>0</v>
      </c>
      <c r="K79" s="247" cm="1">
        <f t="array" ref="K79">-SUMPRODUCT(
  desp[valor] *
  (desp[nucleo]=$B79) *
  (desp[centro.negocio]=$B$76) *
  (desp[data.pagamento]&gt;=K$1) *
  (desp[data.pagamento]&lt;EOMONTH(K$1,0)+1)
)</f>
        <v>0</v>
      </c>
      <c r="L79" s="247" cm="1">
        <f t="array" ref="L79">-SUMPRODUCT(
  desp[valor] *
  (desp[nucleo]=$B79) *
  (desp[centro.negocio]=$B$76) *
  (desp[data.pagamento]&gt;=L$1) *
  (desp[data.pagamento]&lt;EOMONTH(L$1,0)+1)
)</f>
        <v>0</v>
      </c>
      <c r="M79" s="247" cm="1">
        <f t="array" ref="M79">-SUMPRODUCT(
  desp[valor] *
  (desp[nucleo]=$B79) *
  (desp[centro.negocio]=$B$76) *
  (desp[data.pagamento]&gt;=M$1) *
  (desp[data.pagamento]&lt;EOMONTH(M$1,0)+1)
)</f>
        <v>0</v>
      </c>
      <c r="N79" s="247" cm="1">
        <f t="array" ref="N79">-SUMPRODUCT(
  desp[valor] *
  (desp[nucleo]=$B79) *
  (desp[centro.negocio]=$B$76) *
  (desp[data.pagamento]&gt;=N$1) *
  (desp[data.pagamento]&lt;EOMONTH(N$1,0)+1)
)</f>
        <v>0</v>
      </c>
      <c r="O79" s="247" cm="1">
        <f t="array" ref="O79">-SUMPRODUCT(
  desp[valor] *
  (desp[nucleo]=$B79) *
  (desp[centro.negocio]=$B$76) *
  (desp[data.pagamento]&gt;=O$1) *
  (desp[data.pagamento]&lt;EOMONTH(O$1,0)+1)
)</f>
        <v>0</v>
      </c>
      <c r="P79" s="247" cm="1">
        <f t="array" ref="P79">-SUMPRODUCT(
  desp[valor] *
  (desp[nucleo]=$B79) *
  (desp[centro.negocio]=$B$76) *
  (desp[data.pagamento]&gt;=P$1) *
  (desp[data.pagamento]&lt;EOMONTH(P$1,0)+1)
)</f>
        <v>0</v>
      </c>
      <c r="Q79" s="247" cm="1">
        <f t="array" ref="Q79">-SUMPRODUCT(
  desp[valor] *
  (desp[nucleo]=$B79) *
  (desp[centro.negocio]=$B$76) *
  (desp[data.pagamento]&gt;=Q$1) *
  (desp[data.pagamento]&lt;EOMONTH(Q$1,0)+1)
)</f>
        <v>0</v>
      </c>
      <c r="R79" s="247" cm="1">
        <f t="array" ref="R79">-SUMPRODUCT(
  desp[valor] *
  (desp[nucleo]=$B79) *
  (desp[centro.negocio]=$B$76) *
  (desp[data.pagamento]&gt;=R$1) *
  (desp[data.pagamento]&lt;EOMONTH(R$1,0)+1)
)</f>
        <v>0</v>
      </c>
      <c r="T79" s="239">
        <f t="shared" si="31"/>
        <v>0</v>
      </c>
    </row>
    <row r="80" spans="1:20" outlineLevel="2" x14ac:dyDescent="0.25">
      <c r="A80" s="246" t="s">
        <v>607</v>
      </c>
      <c r="B80" s="246" t="s">
        <v>556</v>
      </c>
      <c r="C80" s="193" t="s">
        <v>522</v>
      </c>
      <c r="D80" s="247" cm="1">
        <f t="array" ref="D80">-SUMPRODUCT(
  desp[valor] *
  (desp[nucleo]=$B80) *
  (desp[centro.negocio]=$B$76) *
  (desp[data.pagamento]&gt;=D$1) *
  (desp[data.pagamento]&lt;EOMONTH(D$1,0)+1)
)</f>
        <v>0</v>
      </c>
      <c r="E80" s="247" cm="1">
        <f t="array" ref="E80">-SUMPRODUCT(
  desp[valor] *
  (desp[nucleo]=$B80) *
  (desp[centro.negocio]=$B$76) *
  (desp[data.pagamento]&gt;=E$1) *
  (desp[data.pagamento]&lt;EOMONTH(E$1,0)+1)
)</f>
        <v>0</v>
      </c>
      <c r="F80" s="247" cm="1">
        <f t="array" ref="F80">-SUMPRODUCT(
  desp[valor] *
  (desp[nucleo]=$B80) *
  (desp[centro.negocio]=$B$76) *
  (desp[data.pagamento]&gt;=F$1) *
  (desp[data.pagamento]&lt;EOMONTH(F$1,0)+1)
)</f>
        <v>0</v>
      </c>
      <c r="G80" s="247" cm="1">
        <f t="array" ref="G80">-SUMPRODUCT(
  desp[valor] *
  (desp[nucleo]=$B80) *
  (desp[centro.negocio]=$B$76) *
  (desp[data.pagamento]&gt;=G$1) *
  (desp[data.pagamento]&lt;EOMONTH(G$1,0)+1)
)</f>
        <v>0</v>
      </c>
      <c r="H80" s="247" cm="1">
        <f t="array" ref="H80">-SUMPRODUCT(
  desp[valor] *
  (desp[nucleo]=$B80) *
  (desp[centro.negocio]=$B$76) *
  (desp[data.pagamento]&gt;=H$1) *
  (desp[data.pagamento]&lt;EOMONTH(H$1,0)+1)
)</f>
        <v>0</v>
      </c>
      <c r="I80" s="247" cm="1">
        <f t="array" ref="I80">-SUMPRODUCT(
  desp[valor] *
  (desp[nucleo]=$B80) *
  (desp[centro.negocio]=$B$76) *
  (desp[data.pagamento]&gt;=I$1) *
  (desp[data.pagamento]&lt;EOMONTH(I$1,0)+1)
)</f>
        <v>0</v>
      </c>
      <c r="J80" s="247" cm="1">
        <f t="array" ref="J80">-SUMPRODUCT(
  desp[valor] *
  (desp[nucleo]=$B80) *
  (desp[centro.negocio]=$B$76) *
  (desp[data.pagamento]&gt;=J$1) *
  (desp[data.pagamento]&lt;EOMONTH(J$1,0)+1)
)</f>
        <v>0</v>
      </c>
      <c r="K80" s="247" cm="1">
        <f t="array" ref="K80">-SUMPRODUCT(
  desp[valor] *
  (desp[nucleo]=$B80) *
  (desp[centro.negocio]=$B$76) *
  (desp[data.pagamento]&gt;=K$1) *
  (desp[data.pagamento]&lt;EOMONTH(K$1,0)+1)
)</f>
        <v>0</v>
      </c>
      <c r="L80" s="247" cm="1">
        <f t="array" ref="L80">-SUMPRODUCT(
  desp[valor] *
  (desp[nucleo]=$B80) *
  (desp[centro.negocio]=$B$76) *
  (desp[data.pagamento]&gt;=L$1) *
  (desp[data.pagamento]&lt;EOMONTH(L$1,0)+1)
)</f>
        <v>0</v>
      </c>
      <c r="M80" s="247" cm="1">
        <f t="array" ref="M80">-SUMPRODUCT(
  desp[valor] *
  (desp[nucleo]=$B80) *
  (desp[centro.negocio]=$B$76) *
  (desp[data.pagamento]&gt;=M$1) *
  (desp[data.pagamento]&lt;EOMONTH(M$1,0)+1)
)</f>
        <v>0</v>
      </c>
      <c r="N80" s="247" cm="1">
        <f t="array" ref="N80">-SUMPRODUCT(
  desp[valor] *
  (desp[nucleo]=$B80) *
  (desp[centro.negocio]=$B$76) *
  (desp[data.pagamento]&gt;=N$1) *
  (desp[data.pagamento]&lt;EOMONTH(N$1,0)+1)
)</f>
        <v>0</v>
      </c>
      <c r="O80" s="247" cm="1">
        <f t="array" ref="O80">-SUMPRODUCT(
  desp[valor] *
  (desp[nucleo]=$B80) *
  (desp[centro.negocio]=$B$76) *
  (desp[data.pagamento]&gt;=O$1) *
  (desp[data.pagamento]&lt;EOMONTH(O$1,0)+1)
)</f>
        <v>0</v>
      </c>
      <c r="P80" s="247" cm="1">
        <f t="array" ref="P80">-SUMPRODUCT(
  desp[valor] *
  (desp[nucleo]=$B80) *
  (desp[centro.negocio]=$B$76) *
  (desp[data.pagamento]&gt;=P$1) *
  (desp[data.pagamento]&lt;EOMONTH(P$1,0)+1)
)</f>
        <v>0</v>
      </c>
      <c r="Q80" s="247" cm="1">
        <f t="array" ref="Q80">-SUMPRODUCT(
  desp[valor] *
  (desp[nucleo]=$B80) *
  (desp[centro.negocio]=$B$76) *
  (desp[data.pagamento]&gt;=Q$1) *
  (desp[data.pagamento]&lt;EOMONTH(Q$1,0)+1)
)</f>
        <v>0</v>
      </c>
      <c r="R80" s="247" cm="1">
        <f t="array" ref="R80">-SUMPRODUCT(
  desp[valor] *
  (desp[nucleo]=$B80) *
  (desp[centro.negocio]=$B$76) *
  (desp[data.pagamento]&gt;=R$1) *
  (desp[data.pagamento]&lt;EOMONTH(R$1,0)+1)
)</f>
        <v>0</v>
      </c>
      <c r="T80" s="239">
        <f t="shared" si="31"/>
        <v>0</v>
      </c>
    </row>
    <row r="81" spans="1:20" outlineLevel="1" x14ac:dyDescent="0.25">
      <c r="A81" s="243" t="s">
        <v>608</v>
      </c>
      <c r="B81" s="243" t="s">
        <v>393</v>
      </c>
      <c r="C81" s="244" t="s">
        <v>522</v>
      </c>
      <c r="D81" s="245">
        <f>SUM(D$82:D$93)</f>
        <v>0</v>
      </c>
      <c r="E81" s="245">
        <f t="shared" ref="E81:R81" si="38">SUM(E$82:E$93)</f>
        <v>0</v>
      </c>
      <c r="F81" s="245">
        <f t="shared" si="38"/>
        <v>0</v>
      </c>
      <c r="G81" s="245">
        <f t="shared" si="38"/>
        <v>0</v>
      </c>
      <c r="H81" s="245">
        <f t="shared" si="38"/>
        <v>0</v>
      </c>
      <c r="I81" s="245">
        <f t="shared" si="38"/>
        <v>0</v>
      </c>
      <c r="J81" s="245">
        <f t="shared" si="38"/>
        <v>0</v>
      </c>
      <c r="K81" s="245">
        <f t="shared" si="38"/>
        <v>0</v>
      </c>
      <c r="L81" s="245">
        <f t="shared" si="38"/>
        <v>0</v>
      </c>
      <c r="M81" s="245">
        <f t="shared" si="38"/>
        <v>0</v>
      </c>
      <c r="N81" s="245">
        <f t="shared" si="38"/>
        <v>0</v>
      </c>
      <c r="O81" s="245">
        <f t="shared" si="38"/>
        <v>0</v>
      </c>
      <c r="P81" s="245">
        <f t="shared" si="38"/>
        <v>0</v>
      </c>
      <c r="Q81" s="245">
        <f t="shared" si="38"/>
        <v>0</v>
      </c>
      <c r="R81" s="245">
        <f t="shared" si="38"/>
        <v>0</v>
      </c>
      <c r="T81" s="239">
        <f t="shared" si="31"/>
        <v>0</v>
      </c>
    </row>
    <row r="82" spans="1:20" outlineLevel="2" x14ac:dyDescent="0.25">
      <c r="A82" s="246" t="s">
        <v>609</v>
      </c>
      <c r="B82" s="246" t="s">
        <v>562</v>
      </c>
      <c r="C82" s="193" t="s">
        <v>522</v>
      </c>
      <c r="D82" s="247" cm="1">
        <f t="array" ref="D82">-SUMPRODUCT(
  desp[valor] *
  (desp[nucleo]=$B82) *
  (desp[centro.negocio]=$B$81) *
  (desp[data.pagamento]&gt;=D$1) *
  (desp[data.pagamento]&lt;EOMONTH(D$1,0)+1)
)</f>
        <v>0</v>
      </c>
      <c r="E82" s="247" cm="1">
        <f t="array" ref="E82">-SUMPRODUCT(
  desp[valor] *
  (desp[nucleo]=$B82) *
  (desp[centro.negocio]=$B$81) *
  (desp[data.pagamento]&gt;=E$1) *
  (desp[data.pagamento]&lt;EOMONTH(E$1,0)+1)
)</f>
        <v>0</v>
      </c>
      <c r="F82" s="247" cm="1">
        <f t="array" ref="F82">-SUMPRODUCT(
  desp[valor] *
  (desp[nucleo]=$B82) *
  (desp[centro.negocio]=$B$81) *
  (desp[data.pagamento]&gt;=F$1) *
  (desp[data.pagamento]&lt;EOMONTH(F$1,0)+1)
)</f>
        <v>0</v>
      </c>
      <c r="G82" s="247" cm="1">
        <f t="array" ref="G82">-SUMPRODUCT(
  desp[valor] *
  (desp[nucleo]=$B82) *
  (desp[centro.negocio]=$B$81) *
  (desp[data.pagamento]&gt;=G$1) *
  (desp[data.pagamento]&lt;EOMONTH(G$1,0)+1)
)</f>
        <v>0</v>
      </c>
      <c r="H82" s="247" cm="1">
        <f t="array" ref="H82">-SUMPRODUCT(
  desp[valor] *
  (desp[nucleo]=$B82) *
  (desp[centro.negocio]=$B$81) *
  (desp[data.pagamento]&gt;=H$1) *
  (desp[data.pagamento]&lt;EOMONTH(H$1,0)+1)
)</f>
        <v>0</v>
      </c>
      <c r="I82" s="247" cm="1">
        <f t="array" ref="I82">-SUMPRODUCT(
  desp[valor] *
  (desp[nucleo]=$B82) *
  (desp[centro.negocio]=$B$81) *
  (desp[data.pagamento]&gt;=I$1) *
  (desp[data.pagamento]&lt;EOMONTH(I$1,0)+1)
)</f>
        <v>0</v>
      </c>
      <c r="J82" s="247" cm="1">
        <f t="array" ref="J82">-SUMPRODUCT(
  desp[valor] *
  (desp[nucleo]=$B82) *
  (desp[centro.negocio]=$B$81) *
  (desp[data.pagamento]&gt;=J$1) *
  (desp[data.pagamento]&lt;EOMONTH(J$1,0)+1)
)</f>
        <v>0</v>
      </c>
      <c r="K82" s="247" cm="1">
        <f t="array" ref="K82">-SUMPRODUCT(
  desp[valor] *
  (desp[nucleo]=$B82) *
  (desp[centro.negocio]=$B$81) *
  (desp[data.pagamento]&gt;=K$1) *
  (desp[data.pagamento]&lt;EOMONTH(K$1,0)+1)
)</f>
        <v>0</v>
      </c>
      <c r="L82" s="247" cm="1">
        <f t="array" ref="L82">-SUMPRODUCT(
  desp[valor] *
  (desp[nucleo]=$B82) *
  (desp[centro.negocio]=$B$81) *
  (desp[data.pagamento]&gt;=L$1) *
  (desp[data.pagamento]&lt;EOMONTH(L$1,0)+1)
)</f>
        <v>0</v>
      </c>
      <c r="M82" s="247" cm="1">
        <f t="array" ref="M82">-SUMPRODUCT(
  desp[valor] *
  (desp[nucleo]=$B82) *
  (desp[centro.negocio]=$B$81) *
  (desp[data.pagamento]&gt;=M$1) *
  (desp[data.pagamento]&lt;EOMONTH(M$1,0)+1)
)</f>
        <v>0</v>
      </c>
      <c r="N82" s="247" cm="1">
        <f t="array" ref="N82">-SUMPRODUCT(
  desp[valor] *
  (desp[nucleo]=$B82) *
  (desp[centro.negocio]=$B$81) *
  (desp[data.pagamento]&gt;=N$1) *
  (desp[data.pagamento]&lt;EOMONTH(N$1,0)+1)
)</f>
        <v>0</v>
      </c>
      <c r="O82" s="247" cm="1">
        <f t="array" ref="O82">-SUMPRODUCT(
  desp[valor] *
  (desp[nucleo]=$B82) *
  (desp[centro.negocio]=$B$81) *
  (desp[data.pagamento]&gt;=O$1) *
  (desp[data.pagamento]&lt;EOMONTH(O$1,0)+1)
)</f>
        <v>0</v>
      </c>
      <c r="P82" s="247" cm="1">
        <f t="array" ref="P82">-SUMPRODUCT(
  desp[valor] *
  (desp[nucleo]=$B82) *
  (desp[centro.negocio]=$B$81) *
  (desp[data.pagamento]&gt;=P$1) *
  (desp[data.pagamento]&lt;EOMONTH(P$1,0)+1)
)</f>
        <v>0</v>
      </c>
      <c r="Q82" s="247" cm="1">
        <f t="array" ref="Q82">-SUMPRODUCT(
  desp[valor] *
  (desp[nucleo]=$B82) *
  (desp[centro.negocio]=$B$81) *
  (desp[data.pagamento]&gt;=Q$1) *
  (desp[data.pagamento]&lt;EOMONTH(Q$1,0)+1)
)</f>
        <v>0</v>
      </c>
      <c r="R82" s="247" cm="1">
        <f t="array" ref="R82">-SUMPRODUCT(
  desp[valor] *
  (desp[nucleo]=$B82) *
  (desp[centro.negocio]=$B$81) *
  (desp[data.pagamento]&gt;=R$1) *
  (desp[data.pagamento]&lt;EOMONTH(R$1,0)+1)
)</f>
        <v>0</v>
      </c>
      <c r="T82" s="239">
        <f t="shared" si="31"/>
        <v>0</v>
      </c>
    </row>
    <row r="83" spans="1:20" outlineLevel="2" x14ac:dyDescent="0.25">
      <c r="A83" s="246" t="s">
        <v>610</v>
      </c>
      <c r="B83" s="246" t="s">
        <v>556</v>
      </c>
      <c r="C83" s="193" t="s">
        <v>522</v>
      </c>
      <c r="D83" s="247" cm="1">
        <f t="array" ref="D83">-SUMPRODUCT(
  desp[valor] *
  (desp[nucleo]=$B83) *
  (desp[centro.negocio]=$B$81) *
  (desp[data.pagamento]&gt;=D$1) *
  (desp[data.pagamento]&lt;EOMONTH(D$1,0)+1)
)</f>
        <v>0</v>
      </c>
      <c r="E83" s="247" cm="1">
        <f t="array" ref="E83">-SUMPRODUCT(
  desp[valor] *
  (desp[nucleo]=$B83) *
  (desp[centro.negocio]=$B$81) *
  (desp[data.pagamento]&gt;=E$1) *
  (desp[data.pagamento]&lt;EOMONTH(E$1,0)+1)
)</f>
        <v>0</v>
      </c>
      <c r="F83" s="247" cm="1">
        <f t="array" ref="F83">-SUMPRODUCT(
  desp[valor] *
  (desp[nucleo]=$B83) *
  (desp[centro.negocio]=$B$81) *
  (desp[data.pagamento]&gt;=F$1) *
  (desp[data.pagamento]&lt;EOMONTH(F$1,0)+1)
)</f>
        <v>0</v>
      </c>
      <c r="G83" s="247" cm="1">
        <f t="array" ref="G83">-SUMPRODUCT(
  desp[valor] *
  (desp[nucleo]=$B83) *
  (desp[centro.negocio]=$B$81) *
  (desp[data.pagamento]&gt;=G$1) *
  (desp[data.pagamento]&lt;EOMONTH(G$1,0)+1)
)</f>
        <v>0</v>
      </c>
      <c r="H83" s="247" cm="1">
        <f t="array" ref="H83">-SUMPRODUCT(
  desp[valor] *
  (desp[nucleo]=$B83) *
  (desp[centro.negocio]=$B$81) *
  (desp[data.pagamento]&gt;=H$1) *
  (desp[data.pagamento]&lt;EOMONTH(H$1,0)+1)
)</f>
        <v>0</v>
      </c>
      <c r="I83" s="247" cm="1">
        <f t="array" ref="I83">-SUMPRODUCT(
  desp[valor] *
  (desp[nucleo]=$B83) *
  (desp[centro.negocio]=$B$81) *
  (desp[data.pagamento]&gt;=I$1) *
  (desp[data.pagamento]&lt;EOMONTH(I$1,0)+1)
)</f>
        <v>0</v>
      </c>
      <c r="J83" s="247" cm="1">
        <f t="array" ref="J83">-SUMPRODUCT(
  desp[valor] *
  (desp[nucleo]=$B83) *
  (desp[centro.negocio]=$B$81) *
  (desp[data.pagamento]&gt;=J$1) *
  (desp[data.pagamento]&lt;EOMONTH(J$1,0)+1)
)</f>
        <v>0</v>
      </c>
      <c r="K83" s="247" cm="1">
        <f t="array" ref="K83">-SUMPRODUCT(
  desp[valor] *
  (desp[nucleo]=$B83) *
  (desp[centro.negocio]=$B$81) *
  (desp[data.pagamento]&gt;=K$1) *
  (desp[data.pagamento]&lt;EOMONTH(K$1,0)+1)
)</f>
        <v>0</v>
      </c>
      <c r="L83" s="247" cm="1">
        <f t="array" ref="L83">-SUMPRODUCT(
  desp[valor] *
  (desp[nucleo]=$B83) *
  (desp[centro.negocio]=$B$81) *
  (desp[data.pagamento]&gt;=L$1) *
  (desp[data.pagamento]&lt;EOMONTH(L$1,0)+1)
)</f>
        <v>0</v>
      </c>
      <c r="M83" s="247" cm="1">
        <f t="array" ref="M83">-SUMPRODUCT(
  desp[valor] *
  (desp[nucleo]=$B83) *
  (desp[centro.negocio]=$B$81) *
  (desp[data.pagamento]&gt;=M$1) *
  (desp[data.pagamento]&lt;EOMONTH(M$1,0)+1)
)</f>
        <v>0</v>
      </c>
      <c r="N83" s="247" cm="1">
        <f t="array" ref="N83">-SUMPRODUCT(
  desp[valor] *
  (desp[nucleo]=$B83) *
  (desp[centro.negocio]=$B$81) *
  (desp[data.pagamento]&gt;=N$1) *
  (desp[data.pagamento]&lt;EOMONTH(N$1,0)+1)
)</f>
        <v>0</v>
      </c>
      <c r="O83" s="247" cm="1">
        <f t="array" ref="O83">-SUMPRODUCT(
  desp[valor] *
  (desp[nucleo]=$B83) *
  (desp[centro.negocio]=$B$81) *
  (desp[data.pagamento]&gt;=O$1) *
  (desp[data.pagamento]&lt;EOMONTH(O$1,0)+1)
)</f>
        <v>0</v>
      </c>
      <c r="P83" s="247" cm="1">
        <f t="array" ref="P83">-SUMPRODUCT(
  desp[valor] *
  (desp[nucleo]=$B83) *
  (desp[centro.negocio]=$B$81) *
  (desp[data.pagamento]&gt;=P$1) *
  (desp[data.pagamento]&lt;EOMONTH(P$1,0)+1)
)</f>
        <v>0</v>
      </c>
      <c r="Q83" s="247" cm="1">
        <f t="array" ref="Q83">-SUMPRODUCT(
  desp[valor] *
  (desp[nucleo]=$B83) *
  (desp[centro.negocio]=$B$81) *
  (desp[data.pagamento]&gt;=Q$1) *
  (desp[data.pagamento]&lt;EOMONTH(Q$1,0)+1)
)</f>
        <v>0</v>
      </c>
      <c r="R83" s="247" cm="1">
        <f t="array" ref="R83">-SUMPRODUCT(
  desp[valor] *
  (desp[nucleo]=$B83) *
  (desp[centro.negocio]=$B$81) *
  (desp[data.pagamento]&gt;=R$1) *
  (desp[data.pagamento]&lt;EOMONTH(R$1,0)+1)
)</f>
        <v>0</v>
      </c>
      <c r="T83" s="239">
        <f t="shared" si="31"/>
        <v>0</v>
      </c>
    </row>
    <row r="84" spans="1:20" outlineLevel="2" x14ac:dyDescent="0.25">
      <c r="A84" s="246" t="s">
        <v>611</v>
      </c>
      <c r="B84" s="246" t="s">
        <v>560</v>
      </c>
      <c r="C84" s="193" t="s">
        <v>522</v>
      </c>
      <c r="D84" s="247" cm="1">
        <f t="array" ref="D84">-SUMPRODUCT(
  desp[valor] *
  (desp[nucleo]=$B84) *
  (desp[centro.negocio]=$B$81) *
  (desp[data.pagamento]&gt;=D$1) *
  (desp[data.pagamento]&lt;EOMONTH(D$1,0)+1)
)</f>
        <v>0</v>
      </c>
      <c r="E84" s="247" cm="1">
        <f t="array" ref="E84">-SUMPRODUCT(
  desp[valor] *
  (desp[nucleo]=$B84) *
  (desp[centro.negocio]=$B$81) *
  (desp[data.pagamento]&gt;=E$1) *
  (desp[data.pagamento]&lt;EOMONTH(E$1,0)+1)
)</f>
        <v>0</v>
      </c>
      <c r="F84" s="247" cm="1">
        <f t="array" ref="F84">-SUMPRODUCT(
  desp[valor] *
  (desp[nucleo]=$B84) *
  (desp[centro.negocio]=$B$81) *
  (desp[data.pagamento]&gt;=F$1) *
  (desp[data.pagamento]&lt;EOMONTH(F$1,0)+1)
)</f>
        <v>0</v>
      </c>
      <c r="G84" s="247" cm="1">
        <f t="array" ref="G84">-SUMPRODUCT(
  desp[valor] *
  (desp[nucleo]=$B84) *
  (desp[centro.negocio]=$B$81) *
  (desp[data.pagamento]&gt;=G$1) *
  (desp[data.pagamento]&lt;EOMONTH(G$1,0)+1)
)</f>
        <v>0</v>
      </c>
      <c r="H84" s="247" cm="1">
        <f t="array" ref="H84">-SUMPRODUCT(
  desp[valor] *
  (desp[nucleo]=$B84) *
  (desp[centro.negocio]=$B$81) *
  (desp[data.pagamento]&gt;=H$1) *
  (desp[data.pagamento]&lt;EOMONTH(H$1,0)+1)
)</f>
        <v>0</v>
      </c>
      <c r="I84" s="247" cm="1">
        <f t="array" ref="I84">-SUMPRODUCT(
  desp[valor] *
  (desp[nucleo]=$B84) *
  (desp[centro.negocio]=$B$81) *
  (desp[data.pagamento]&gt;=I$1) *
  (desp[data.pagamento]&lt;EOMONTH(I$1,0)+1)
)</f>
        <v>0</v>
      </c>
      <c r="J84" s="247" cm="1">
        <f t="array" ref="J84">-SUMPRODUCT(
  desp[valor] *
  (desp[nucleo]=$B84) *
  (desp[centro.negocio]=$B$81) *
  (desp[data.pagamento]&gt;=J$1) *
  (desp[data.pagamento]&lt;EOMONTH(J$1,0)+1)
)</f>
        <v>0</v>
      </c>
      <c r="K84" s="247" cm="1">
        <f t="array" ref="K84">-SUMPRODUCT(
  desp[valor] *
  (desp[nucleo]=$B84) *
  (desp[centro.negocio]=$B$81) *
  (desp[data.pagamento]&gt;=K$1) *
  (desp[data.pagamento]&lt;EOMONTH(K$1,0)+1)
)</f>
        <v>0</v>
      </c>
      <c r="L84" s="247" cm="1">
        <f t="array" ref="L84">-SUMPRODUCT(
  desp[valor] *
  (desp[nucleo]=$B84) *
  (desp[centro.negocio]=$B$81) *
  (desp[data.pagamento]&gt;=L$1) *
  (desp[data.pagamento]&lt;EOMONTH(L$1,0)+1)
)</f>
        <v>0</v>
      </c>
      <c r="M84" s="247" cm="1">
        <f t="array" ref="M84">-SUMPRODUCT(
  desp[valor] *
  (desp[nucleo]=$B84) *
  (desp[centro.negocio]=$B$81) *
  (desp[data.pagamento]&gt;=M$1) *
  (desp[data.pagamento]&lt;EOMONTH(M$1,0)+1)
)</f>
        <v>0</v>
      </c>
      <c r="N84" s="247" cm="1">
        <f t="array" ref="N84">-SUMPRODUCT(
  desp[valor] *
  (desp[nucleo]=$B84) *
  (desp[centro.negocio]=$B$81) *
  (desp[data.pagamento]&gt;=N$1) *
  (desp[data.pagamento]&lt;EOMONTH(N$1,0)+1)
)</f>
        <v>0</v>
      </c>
      <c r="O84" s="247" cm="1">
        <f t="array" ref="O84">-SUMPRODUCT(
  desp[valor] *
  (desp[nucleo]=$B84) *
  (desp[centro.negocio]=$B$81) *
  (desp[data.pagamento]&gt;=O$1) *
  (desp[data.pagamento]&lt;EOMONTH(O$1,0)+1)
)</f>
        <v>0</v>
      </c>
      <c r="P84" s="247" cm="1">
        <f t="array" ref="P84">-SUMPRODUCT(
  desp[valor] *
  (desp[nucleo]=$B84) *
  (desp[centro.negocio]=$B$81) *
  (desp[data.pagamento]&gt;=P$1) *
  (desp[data.pagamento]&lt;EOMONTH(P$1,0)+1)
)</f>
        <v>0</v>
      </c>
      <c r="Q84" s="247" cm="1">
        <f t="array" ref="Q84">-SUMPRODUCT(
  desp[valor] *
  (desp[nucleo]=$B84) *
  (desp[centro.negocio]=$B$81) *
  (desp[data.pagamento]&gt;=Q$1) *
  (desp[data.pagamento]&lt;EOMONTH(Q$1,0)+1)
)</f>
        <v>0</v>
      </c>
      <c r="R84" s="247" cm="1">
        <f t="array" ref="R84">-SUMPRODUCT(
  desp[valor] *
  (desp[nucleo]=$B84) *
  (desp[centro.negocio]=$B$81) *
  (desp[data.pagamento]&gt;=R$1) *
  (desp[data.pagamento]&lt;EOMONTH(R$1,0)+1)
)</f>
        <v>0</v>
      </c>
      <c r="T84" s="239">
        <f t="shared" si="31"/>
        <v>0</v>
      </c>
    </row>
    <row r="85" spans="1:20" outlineLevel="2" x14ac:dyDescent="0.25">
      <c r="A85" s="246" t="s">
        <v>612</v>
      </c>
      <c r="B85" s="246" t="s">
        <v>552</v>
      </c>
      <c r="C85" s="193" t="s">
        <v>522</v>
      </c>
      <c r="D85" s="247" cm="1">
        <f t="array" ref="D85">-SUMPRODUCT(
  desp[valor] *
  (desp[nucleo]=$B85) *
  (desp[centro.negocio]=$B$81) *
  (desp[data.pagamento]&gt;=D$1) *
  (desp[data.pagamento]&lt;EOMONTH(D$1,0)+1)
)</f>
        <v>0</v>
      </c>
      <c r="E85" s="247" cm="1">
        <f t="array" ref="E85">-SUMPRODUCT(
  desp[valor] *
  (desp[nucleo]=$B85) *
  (desp[centro.negocio]=$B$81) *
  (desp[data.pagamento]&gt;=E$1) *
  (desp[data.pagamento]&lt;EOMONTH(E$1,0)+1)
)</f>
        <v>0</v>
      </c>
      <c r="F85" s="247" cm="1">
        <f t="array" ref="F85">-SUMPRODUCT(
  desp[valor] *
  (desp[nucleo]=$B85) *
  (desp[centro.negocio]=$B$81) *
  (desp[data.pagamento]&gt;=F$1) *
  (desp[data.pagamento]&lt;EOMONTH(F$1,0)+1)
)</f>
        <v>0</v>
      </c>
      <c r="G85" s="247" cm="1">
        <f t="array" ref="G85">-SUMPRODUCT(
  desp[valor] *
  (desp[nucleo]=$B85) *
  (desp[centro.negocio]=$B$81) *
  (desp[data.pagamento]&gt;=G$1) *
  (desp[data.pagamento]&lt;EOMONTH(G$1,0)+1)
)</f>
        <v>0</v>
      </c>
      <c r="H85" s="247" cm="1">
        <f t="array" ref="H85">-SUMPRODUCT(
  desp[valor] *
  (desp[nucleo]=$B85) *
  (desp[centro.negocio]=$B$81) *
  (desp[data.pagamento]&gt;=H$1) *
  (desp[data.pagamento]&lt;EOMONTH(H$1,0)+1)
)</f>
        <v>0</v>
      </c>
      <c r="I85" s="247" cm="1">
        <f t="array" ref="I85">-SUMPRODUCT(
  desp[valor] *
  (desp[nucleo]=$B85) *
  (desp[centro.negocio]=$B$81) *
  (desp[data.pagamento]&gt;=I$1) *
  (desp[data.pagamento]&lt;EOMONTH(I$1,0)+1)
)</f>
        <v>0</v>
      </c>
      <c r="J85" s="247" cm="1">
        <f t="array" ref="J85">-SUMPRODUCT(
  desp[valor] *
  (desp[nucleo]=$B85) *
  (desp[centro.negocio]=$B$81) *
  (desp[data.pagamento]&gt;=J$1) *
  (desp[data.pagamento]&lt;EOMONTH(J$1,0)+1)
)</f>
        <v>0</v>
      </c>
      <c r="K85" s="247" cm="1">
        <f t="array" ref="K85">-SUMPRODUCT(
  desp[valor] *
  (desp[nucleo]=$B85) *
  (desp[centro.negocio]=$B$81) *
  (desp[data.pagamento]&gt;=K$1) *
  (desp[data.pagamento]&lt;EOMONTH(K$1,0)+1)
)</f>
        <v>0</v>
      </c>
      <c r="L85" s="247" cm="1">
        <f t="array" ref="L85">-SUMPRODUCT(
  desp[valor] *
  (desp[nucleo]=$B85) *
  (desp[centro.negocio]=$B$81) *
  (desp[data.pagamento]&gt;=L$1) *
  (desp[data.pagamento]&lt;EOMONTH(L$1,0)+1)
)</f>
        <v>0</v>
      </c>
      <c r="M85" s="247" cm="1">
        <f t="array" ref="M85">-SUMPRODUCT(
  desp[valor] *
  (desp[nucleo]=$B85) *
  (desp[centro.negocio]=$B$81) *
  (desp[data.pagamento]&gt;=M$1) *
  (desp[data.pagamento]&lt;EOMONTH(M$1,0)+1)
)</f>
        <v>0</v>
      </c>
      <c r="N85" s="247" cm="1">
        <f t="array" ref="N85">-SUMPRODUCT(
  desp[valor] *
  (desp[nucleo]=$B85) *
  (desp[centro.negocio]=$B$81) *
  (desp[data.pagamento]&gt;=N$1) *
  (desp[data.pagamento]&lt;EOMONTH(N$1,0)+1)
)</f>
        <v>0</v>
      </c>
      <c r="O85" s="247" cm="1">
        <f t="array" ref="O85">-SUMPRODUCT(
  desp[valor] *
  (desp[nucleo]=$B85) *
  (desp[centro.negocio]=$B$81) *
  (desp[data.pagamento]&gt;=O$1) *
  (desp[data.pagamento]&lt;EOMONTH(O$1,0)+1)
)</f>
        <v>0</v>
      </c>
      <c r="P85" s="247" cm="1">
        <f t="array" ref="P85">-SUMPRODUCT(
  desp[valor] *
  (desp[nucleo]=$B85) *
  (desp[centro.negocio]=$B$81) *
  (desp[data.pagamento]&gt;=P$1) *
  (desp[data.pagamento]&lt;EOMONTH(P$1,0)+1)
)</f>
        <v>0</v>
      </c>
      <c r="Q85" s="247" cm="1">
        <f t="array" ref="Q85">-SUMPRODUCT(
  desp[valor] *
  (desp[nucleo]=$B85) *
  (desp[centro.negocio]=$B$81) *
  (desp[data.pagamento]&gt;=Q$1) *
  (desp[data.pagamento]&lt;EOMONTH(Q$1,0)+1)
)</f>
        <v>0</v>
      </c>
      <c r="R85" s="247" cm="1">
        <f t="array" ref="R85">-SUMPRODUCT(
  desp[valor] *
  (desp[nucleo]=$B85) *
  (desp[centro.negocio]=$B$81) *
  (desp[data.pagamento]&gt;=R$1) *
  (desp[data.pagamento]&lt;EOMONTH(R$1,0)+1)
)</f>
        <v>0</v>
      </c>
      <c r="T85" s="239">
        <f t="shared" si="31"/>
        <v>0</v>
      </c>
    </row>
    <row r="86" spans="1:20" outlineLevel="2" x14ac:dyDescent="0.25">
      <c r="A86" s="246" t="s">
        <v>613</v>
      </c>
      <c r="B86" s="246" t="s">
        <v>558</v>
      </c>
      <c r="C86" s="193" t="s">
        <v>522</v>
      </c>
      <c r="D86" s="247" cm="1">
        <f t="array" ref="D86">-SUMPRODUCT(
  desp[valor] *
  (desp[nucleo]=$B86) *
  (desp[centro.negocio]=$B$81) *
  (desp[data.pagamento]&gt;=D$1) *
  (desp[data.pagamento]&lt;EOMONTH(D$1,0)+1)
)</f>
        <v>0</v>
      </c>
      <c r="E86" s="247" cm="1">
        <f t="array" ref="E86">-SUMPRODUCT(
  desp[valor] *
  (desp[nucleo]=$B86) *
  (desp[centro.negocio]=$B$81) *
  (desp[data.pagamento]&gt;=E$1) *
  (desp[data.pagamento]&lt;EOMONTH(E$1,0)+1)
)</f>
        <v>0</v>
      </c>
      <c r="F86" s="247" cm="1">
        <f t="array" ref="F86">-SUMPRODUCT(
  desp[valor] *
  (desp[nucleo]=$B86) *
  (desp[centro.negocio]=$B$81) *
  (desp[data.pagamento]&gt;=F$1) *
  (desp[data.pagamento]&lt;EOMONTH(F$1,0)+1)
)</f>
        <v>0</v>
      </c>
      <c r="G86" s="247" cm="1">
        <f t="array" ref="G86">-SUMPRODUCT(
  desp[valor] *
  (desp[nucleo]=$B86) *
  (desp[centro.negocio]=$B$81) *
  (desp[data.pagamento]&gt;=G$1) *
  (desp[data.pagamento]&lt;EOMONTH(G$1,0)+1)
)</f>
        <v>0</v>
      </c>
      <c r="H86" s="247" cm="1">
        <f t="array" ref="H86">-SUMPRODUCT(
  desp[valor] *
  (desp[nucleo]=$B86) *
  (desp[centro.negocio]=$B$81) *
  (desp[data.pagamento]&gt;=H$1) *
  (desp[data.pagamento]&lt;EOMONTH(H$1,0)+1)
)</f>
        <v>0</v>
      </c>
      <c r="I86" s="247" cm="1">
        <f t="array" ref="I86">-SUMPRODUCT(
  desp[valor] *
  (desp[nucleo]=$B86) *
  (desp[centro.negocio]=$B$81) *
  (desp[data.pagamento]&gt;=I$1) *
  (desp[data.pagamento]&lt;EOMONTH(I$1,0)+1)
)</f>
        <v>0</v>
      </c>
      <c r="J86" s="247" cm="1">
        <f t="array" ref="J86">-SUMPRODUCT(
  desp[valor] *
  (desp[nucleo]=$B86) *
  (desp[centro.negocio]=$B$81) *
  (desp[data.pagamento]&gt;=J$1) *
  (desp[data.pagamento]&lt;EOMONTH(J$1,0)+1)
)</f>
        <v>0</v>
      </c>
      <c r="K86" s="247" cm="1">
        <f t="array" ref="K86">-SUMPRODUCT(
  desp[valor] *
  (desp[nucleo]=$B86) *
  (desp[centro.negocio]=$B$81) *
  (desp[data.pagamento]&gt;=K$1) *
  (desp[data.pagamento]&lt;EOMONTH(K$1,0)+1)
)</f>
        <v>0</v>
      </c>
      <c r="L86" s="247" cm="1">
        <f t="array" ref="L86">-SUMPRODUCT(
  desp[valor] *
  (desp[nucleo]=$B86) *
  (desp[centro.negocio]=$B$81) *
  (desp[data.pagamento]&gt;=L$1) *
  (desp[data.pagamento]&lt;EOMONTH(L$1,0)+1)
)</f>
        <v>0</v>
      </c>
      <c r="M86" s="247" cm="1">
        <f t="array" ref="M86">-SUMPRODUCT(
  desp[valor] *
  (desp[nucleo]=$B86) *
  (desp[centro.negocio]=$B$81) *
  (desp[data.pagamento]&gt;=M$1) *
  (desp[data.pagamento]&lt;EOMONTH(M$1,0)+1)
)</f>
        <v>0</v>
      </c>
      <c r="N86" s="247" cm="1">
        <f t="array" ref="N86">-SUMPRODUCT(
  desp[valor] *
  (desp[nucleo]=$B86) *
  (desp[centro.negocio]=$B$81) *
  (desp[data.pagamento]&gt;=N$1) *
  (desp[data.pagamento]&lt;EOMONTH(N$1,0)+1)
)</f>
        <v>0</v>
      </c>
      <c r="O86" s="247" cm="1">
        <f t="array" ref="O86">-SUMPRODUCT(
  desp[valor] *
  (desp[nucleo]=$B86) *
  (desp[centro.negocio]=$B$81) *
  (desp[data.pagamento]&gt;=O$1) *
  (desp[data.pagamento]&lt;EOMONTH(O$1,0)+1)
)</f>
        <v>0</v>
      </c>
      <c r="P86" s="247" cm="1">
        <f t="array" ref="P86">-SUMPRODUCT(
  desp[valor] *
  (desp[nucleo]=$B86) *
  (desp[centro.negocio]=$B$81) *
  (desp[data.pagamento]&gt;=P$1) *
  (desp[data.pagamento]&lt;EOMONTH(P$1,0)+1)
)</f>
        <v>0</v>
      </c>
      <c r="Q86" s="247" cm="1">
        <f t="array" ref="Q86">-SUMPRODUCT(
  desp[valor] *
  (desp[nucleo]=$B86) *
  (desp[centro.negocio]=$B$81) *
  (desp[data.pagamento]&gt;=Q$1) *
  (desp[data.pagamento]&lt;EOMONTH(Q$1,0)+1)
)</f>
        <v>0</v>
      </c>
      <c r="R86" s="247" cm="1">
        <f t="array" ref="R86">-SUMPRODUCT(
  desp[valor] *
  (desp[nucleo]=$B86) *
  (desp[centro.negocio]=$B$81) *
  (desp[data.pagamento]&gt;=R$1) *
  (desp[data.pagamento]&lt;EOMONTH(R$1,0)+1)
)</f>
        <v>0</v>
      </c>
      <c r="T86" s="239">
        <f t="shared" si="31"/>
        <v>0</v>
      </c>
    </row>
    <row r="87" spans="1:20" outlineLevel="2" x14ac:dyDescent="0.25">
      <c r="A87" s="246" t="s">
        <v>614</v>
      </c>
      <c r="B87" s="246" t="s">
        <v>502</v>
      </c>
      <c r="C87" s="193" t="s">
        <v>522</v>
      </c>
      <c r="D87" s="247" cm="1">
        <f t="array" ref="D87">-SUMPRODUCT(
  desp[valor] *
  (desp[nucleo]=$B87) *
  (desp[centro.negocio]=$B$81) *
  (desp[data.pagamento]&gt;=D$1) *
  (desp[data.pagamento]&lt;EOMONTH(D$1,0)+1)
)</f>
        <v>0</v>
      </c>
      <c r="E87" s="247" cm="1">
        <f t="array" ref="E87">-SUMPRODUCT(
  desp[valor] *
  (desp[nucleo]=$B87) *
  (desp[centro.negocio]=$B$81) *
  (desp[data.pagamento]&gt;=E$1) *
  (desp[data.pagamento]&lt;EOMONTH(E$1,0)+1)
)</f>
        <v>0</v>
      </c>
      <c r="F87" s="247" cm="1">
        <f t="array" ref="F87">-SUMPRODUCT(
  desp[valor] *
  (desp[nucleo]=$B87) *
  (desp[centro.negocio]=$B$81) *
  (desp[data.pagamento]&gt;=F$1) *
  (desp[data.pagamento]&lt;EOMONTH(F$1,0)+1)
)</f>
        <v>0</v>
      </c>
      <c r="G87" s="247" cm="1">
        <f t="array" ref="G87">-SUMPRODUCT(
  desp[valor] *
  (desp[nucleo]=$B87) *
  (desp[centro.negocio]=$B$81) *
  (desp[data.pagamento]&gt;=G$1) *
  (desp[data.pagamento]&lt;EOMONTH(G$1,0)+1)
)</f>
        <v>0</v>
      </c>
      <c r="H87" s="247" cm="1">
        <f t="array" ref="H87">-SUMPRODUCT(
  desp[valor] *
  (desp[nucleo]=$B87) *
  (desp[centro.negocio]=$B$81) *
  (desp[data.pagamento]&gt;=H$1) *
  (desp[data.pagamento]&lt;EOMONTH(H$1,0)+1)
)</f>
        <v>0</v>
      </c>
      <c r="I87" s="247" cm="1">
        <f t="array" ref="I87">-SUMPRODUCT(
  desp[valor] *
  (desp[nucleo]=$B87) *
  (desp[centro.negocio]=$B$81) *
  (desp[data.pagamento]&gt;=I$1) *
  (desp[data.pagamento]&lt;EOMONTH(I$1,0)+1)
)</f>
        <v>0</v>
      </c>
      <c r="J87" s="247" cm="1">
        <f t="array" ref="J87">-SUMPRODUCT(
  desp[valor] *
  (desp[nucleo]=$B87) *
  (desp[centro.negocio]=$B$81) *
  (desp[data.pagamento]&gt;=J$1) *
  (desp[data.pagamento]&lt;EOMONTH(J$1,0)+1)
)</f>
        <v>0</v>
      </c>
      <c r="K87" s="247" cm="1">
        <f t="array" ref="K87">-SUMPRODUCT(
  desp[valor] *
  (desp[nucleo]=$B87) *
  (desp[centro.negocio]=$B$81) *
  (desp[data.pagamento]&gt;=K$1) *
  (desp[data.pagamento]&lt;EOMONTH(K$1,0)+1)
)</f>
        <v>0</v>
      </c>
      <c r="L87" s="247" cm="1">
        <f t="array" ref="L87">-SUMPRODUCT(
  desp[valor] *
  (desp[nucleo]=$B87) *
  (desp[centro.negocio]=$B$81) *
  (desp[data.pagamento]&gt;=L$1) *
  (desp[data.pagamento]&lt;EOMONTH(L$1,0)+1)
)</f>
        <v>0</v>
      </c>
      <c r="M87" s="247" cm="1">
        <f t="array" ref="M87">-SUMPRODUCT(
  desp[valor] *
  (desp[nucleo]=$B87) *
  (desp[centro.negocio]=$B$81) *
  (desp[data.pagamento]&gt;=M$1) *
  (desp[data.pagamento]&lt;EOMONTH(M$1,0)+1)
)</f>
        <v>0</v>
      </c>
      <c r="N87" s="247" cm="1">
        <f t="array" ref="N87">-SUMPRODUCT(
  desp[valor] *
  (desp[nucleo]=$B87) *
  (desp[centro.negocio]=$B$81) *
  (desp[data.pagamento]&gt;=N$1) *
  (desp[data.pagamento]&lt;EOMONTH(N$1,0)+1)
)</f>
        <v>0</v>
      </c>
      <c r="O87" s="247" cm="1">
        <f t="array" ref="O87">-SUMPRODUCT(
  desp[valor] *
  (desp[nucleo]=$B87) *
  (desp[centro.negocio]=$B$81) *
  (desp[data.pagamento]&gt;=O$1) *
  (desp[data.pagamento]&lt;EOMONTH(O$1,0)+1)
)</f>
        <v>0</v>
      </c>
      <c r="P87" s="247" cm="1">
        <f t="array" ref="P87">-SUMPRODUCT(
  desp[valor] *
  (desp[nucleo]=$B87) *
  (desp[centro.negocio]=$B$81) *
  (desp[data.pagamento]&gt;=P$1) *
  (desp[data.pagamento]&lt;EOMONTH(P$1,0)+1)
)</f>
        <v>0</v>
      </c>
      <c r="Q87" s="247" cm="1">
        <f t="array" ref="Q87">-SUMPRODUCT(
  desp[valor] *
  (desp[nucleo]=$B87) *
  (desp[centro.negocio]=$B$81) *
  (desp[data.pagamento]&gt;=Q$1) *
  (desp[data.pagamento]&lt;EOMONTH(Q$1,0)+1)
)</f>
        <v>0</v>
      </c>
      <c r="R87" s="247" cm="1">
        <f t="array" ref="R87">-SUMPRODUCT(
  desp[valor] *
  (desp[nucleo]=$B87) *
  (desp[centro.negocio]=$B$81) *
  (desp[data.pagamento]&gt;=R$1) *
  (desp[data.pagamento]&lt;EOMONTH(R$1,0)+1)
)</f>
        <v>0</v>
      </c>
      <c r="T87" s="239">
        <f t="shared" si="31"/>
        <v>0</v>
      </c>
    </row>
    <row r="88" spans="1:20" outlineLevel="2" x14ac:dyDescent="0.25">
      <c r="A88" s="246" t="s">
        <v>615</v>
      </c>
      <c r="B88" s="246" t="s">
        <v>550</v>
      </c>
      <c r="C88" s="193" t="s">
        <v>522</v>
      </c>
      <c r="D88" s="247" cm="1">
        <f t="array" ref="D88">-SUMPRODUCT(
  desp[valor] *
  (desp[nucleo]=$B88) *
  (desp[centro.negocio]=$B$81) *
  (desp[data.pagamento]&gt;=D$1) *
  (desp[data.pagamento]&lt;EOMONTH(D$1,0)+1)
)</f>
        <v>0</v>
      </c>
      <c r="E88" s="247" cm="1">
        <f t="array" ref="E88">-SUMPRODUCT(
  desp[valor] *
  (desp[nucleo]=$B88) *
  (desp[centro.negocio]=$B$81) *
  (desp[data.pagamento]&gt;=E$1) *
  (desp[data.pagamento]&lt;EOMONTH(E$1,0)+1)
)</f>
        <v>0</v>
      </c>
      <c r="F88" s="247" cm="1">
        <f t="array" ref="F88">-SUMPRODUCT(
  desp[valor] *
  (desp[nucleo]=$B88) *
  (desp[centro.negocio]=$B$81) *
  (desp[data.pagamento]&gt;=F$1) *
  (desp[data.pagamento]&lt;EOMONTH(F$1,0)+1)
)</f>
        <v>0</v>
      </c>
      <c r="G88" s="247" cm="1">
        <f t="array" ref="G88">-SUMPRODUCT(
  desp[valor] *
  (desp[nucleo]=$B88) *
  (desp[centro.negocio]=$B$81) *
  (desp[data.pagamento]&gt;=G$1) *
  (desp[data.pagamento]&lt;EOMONTH(G$1,0)+1)
)</f>
        <v>0</v>
      </c>
      <c r="H88" s="247" cm="1">
        <f t="array" ref="H88">-SUMPRODUCT(
  desp[valor] *
  (desp[nucleo]=$B88) *
  (desp[centro.negocio]=$B$81) *
  (desp[data.pagamento]&gt;=H$1) *
  (desp[data.pagamento]&lt;EOMONTH(H$1,0)+1)
)</f>
        <v>0</v>
      </c>
      <c r="I88" s="247" cm="1">
        <f t="array" ref="I88">-SUMPRODUCT(
  desp[valor] *
  (desp[nucleo]=$B88) *
  (desp[centro.negocio]=$B$81) *
  (desp[data.pagamento]&gt;=I$1) *
  (desp[data.pagamento]&lt;EOMONTH(I$1,0)+1)
)</f>
        <v>0</v>
      </c>
      <c r="J88" s="247" cm="1">
        <f t="array" ref="J88">-SUMPRODUCT(
  desp[valor] *
  (desp[nucleo]=$B88) *
  (desp[centro.negocio]=$B$81) *
  (desp[data.pagamento]&gt;=J$1) *
  (desp[data.pagamento]&lt;EOMONTH(J$1,0)+1)
)</f>
        <v>0</v>
      </c>
      <c r="K88" s="247" cm="1">
        <f t="array" ref="K88">-SUMPRODUCT(
  desp[valor] *
  (desp[nucleo]=$B88) *
  (desp[centro.negocio]=$B$81) *
  (desp[data.pagamento]&gt;=K$1) *
  (desp[data.pagamento]&lt;EOMONTH(K$1,0)+1)
)</f>
        <v>0</v>
      </c>
      <c r="L88" s="247" cm="1">
        <f t="array" ref="L88">-SUMPRODUCT(
  desp[valor] *
  (desp[nucleo]=$B88) *
  (desp[centro.negocio]=$B$81) *
  (desp[data.pagamento]&gt;=L$1) *
  (desp[data.pagamento]&lt;EOMONTH(L$1,0)+1)
)</f>
        <v>0</v>
      </c>
      <c r="M88" s="247" cm="1">
        <f t="array" ref="M88">-SUMPRODUCT(
  desp[valor] *
  (desp[nucleo]=$B88) *
  (desp[centro.negocio]=$B$81) *
  (desp[data.pagamento]&gt;=M$1) *
  (desp[data.pagamento]&lt;EOMONTH(M$1,0)+1)
)</f>
        <v>0</v>
      </c>
      <c r="N88" s="247" cm="1">
        <f t="array" ref="N88">-SUMPRODUCT(
  desp[valor] *
  (desp[nucleo]=$B88) *
  (desp[centro.negocio]=$B$81) *
  (desp[data.pagamento]&gt;=N$1) *
  (desp[data.pagamento]&lt;EOMONTH(N$1,0)+1)
)</f>
        <v>0</v>
      </c>
      <c r="O88" s="247" cm="1">
        <f t="array" ref="O88">-SUMPRODUCT(
  desp[valor] *
  (desp[nucleo]=$B88) *
  (desp[centro.negocio]=$B$81) *
  (desp[data.pagamento]&gt;=O$1) *
  (desp[data.pagamento]&lt;EOMONTH(O$1,0)+1)
)</f>
        <v>0</v>
      </c>
      <c r="P88" s="247" cm="1">
        <f t="array" ref="P88">-SUMPRODUCT(
  desp[valor] *
  (desp[nucleo]=$B88) *
  (desp[centro.negocio]=$B$81) *
  (desp[data.pagamento]&gt;=P$1) *
  (desp[data.pagamento]&lt;EOMONTH(P$1,0)+1)
)</f>
        <v>0</v>
      </c>
      <c r="Q88" s="247" cm="1">
        <f t="array" ref="Q88">-SUMPRODUCT(
  desp[valor] *
  (desp[nucleo]=$B88) *
  (desp[centro.negocio]=$B$81) *
  (desp[data.pagamento]&gt;=Q$1) *
  (desp[data.pagamento]&lt;EOMONTH(Q$1,0)+1)
)</f>
        <v>0</v>
      </c>
      <c r="R88" s="247" cm="1">
        <f t="array" ref="R88">-SUMPRODUCT(
  desp[valor] *
  (desp[nucleo]=$B88) *
  (desp[centro.negocio]=$B$81) *
  (desp[data.pagamento]&gt;=R$1) *
  (desp[data.pagamento]&lt;EOMONTH(R$1,0)+1)
)</f>
        <v>0</v>
      </c>
      <c r="T88" s="239">
        <f t="shared" si="31"/>
        <v>0</v>
      </c>
    </row>
    <row r="89" spans="1:20" outlineLevel="2" x14ac:dyDescent="0.25">
      <c r="A89" s="246" t="s">
        <v>616</v>
      </c>
      <c r="B89" s="246" t="s">
        <v>546</v>
      </c>
      <c r="C89" s="193" t="s">
        <v>522</v>
      </c>
      <c r="D89" s="247" cm="1">
        <f t="array" ref="D89">-SUMPRODUCT(
  desp[valor] *
  (desp[nucleo]=$B89) *
  (desp[centro.negocio]=$B$81) *
  (desp[data.pagamento]&gt;=D$1) *
  (desp[data.pagamento]&lt;EOMONTH(D$1,0)+1)
)</f>
        <v>0</v>
      </c>
      <c r="E89" s="247" cm="1">
        <f t="array" ref="E89">-SUMPRODUCT(
  desp[valor] *
  (desp[nucleo]=$B89) *
  (desp[centro.negocio]=$B$81) *
  (desp[data.pagamento]&gt;=E$1) *
  (desp[data.pagamento]&lt;EOMONTH(E$1,0)+1)
)</f>
        <v>0</v>
      </c>
      <c r="F89" s="247" cm="1">
        <f t="array" ref="F89">-SUMPRODUCT(
  desp[valor] *
  (desp[nucleo]=$B89) *
  (desp[centro.negocio]=$B$81) *
  (desp[data.pagamento]&gt;=F$1) *
  (desp[data.pagamento]&lt;EOMONTH(F$1,0)+1)
)</f>
        <v>0</v>
      </c>
      <c r="G89" s="247" cm="1">
        <f t="array" ref="G89">-SUMPRODUCT(
  desp[valor] *
  (desp[nucleo]=$B89) *
  (desp[centro.negocio]=$B$81) *
  (desp[data.pagamento]&gt;=G$1) *
  (desp[data.pagamento]&lt;EOMONTH(G$1,0)+1)
)</f>
        <v>0</v>
      </c>
      <c r="H89" s="247" cm="1">
        <f t="array" ref="H89">-SUMPRODUCT(
  desp[valor] *
  (desp[nucleo]=$B89) *
  (desp[centro.negocio]=$B$81) *
  (desp[data.pagamento]&gt;=H$1) *
  (desp[data.pagamento]&lt;EOMONTH(H$1,0)+1)
)</f>
        <v>0</v>
      </c>
      <c r="I89" s="247" cm="1">
        <f t="array" ref="I89">-SUMPRODUCT(
  desp[valor] *
  (desp[nucleo]=$B89) *
  (desp[centro.negocio]=$B$81) *
  (desp[data.pagamento]&gt;=I$1) *
  (desp[data.pagamento]&lt;EOMONTH(I$1,0)+1)
)</f>
        <v>0</v>
      </c>
      <c r="J89" s="247" cm="1">
        <f t="array" ref="J89">-SUMPRODUCT(
  desp[valor] *
  (desp[nucleo]=$B89) *
  (desp[centro.negocio]=$B$81) *
  (desp[data.pagamento]&gt;=J$1) *
  (desp[data.pagamento]&lt;EOMONTH(J$1,0)+1)
)</f>
        <v>0</v>
      </c>
      <c r="K89" s="247" cm="1">
        <f t="array" ref="K89">-SUMPRODUCT(
  desp[valor] *
  (desp[nucleo]=$B89) *
  (desp[centro.negocio]=$B$81) *
  (desp[data.pagamento]&gt;=K$1) *
  (desp[data.pagamento]&lt;EOMONTH(K$1,0)+1)
)</f>
        <v>0</v>
      </c>
      <c r="L89" s="247" cm="1">
        <f t="array" ref="L89">-SUMPRODUCT(
  desp[valor] *
  (desp[nucleo]=$B89) *
  (desp[centro.negocio]=$B$81) *
  (desp[data.pagamento]&gt;=L$1) *
  (desp[data.pagamento]&lt;EOMONTH(L$1,0)+1)
)</f>
        <v>0</v>
      </c>
      <c r="M89" s="247" cm="1">
        <f t="array" ref="M89">-SUMPRODUCT(
  desp[valor] *
  (desp[nucleo]=$B89) *
  (desp[centro.negocio]=$B$81) *
  (desp[data.pagamento]&gt;=M$1) *
  (desp[data.pagamento]&lt;EOMONTH(M$1,0)+1)
)</f>
        <v>0</v>
      </c>
      <c r="N89" s="247" cm="1">
        <f t="array" ref="N89">-SUMPRODUCT(
  desp[valor] *
  (desp[nucleo]=$B89) *
  (desp[centro.negocio]=$B$81) *
  (desp[data.pagamento]&gt;=N$1) *
  (desp[data.pagamento]&lt;EOMONTH(N$1,0)+1)
)</f>
        <v>0</v>
      </c>
      <c r="O89" s="247" cm="1">
        <f t="array" ref="O89">-SUMPRODUCT(
  desp[valor] *
  (desp[nucleo]=$B89) *
  (desp[centro.negocio]=$B$81) *
  (desp[data.pagamento]&gt;=O$1) *
  (desp[data.pagamento]&lt;EOMONTH(O$1,0)+1)
)</f>
        <v>0</v>
      </c>
      <c r="P89" s="247" cm="1">
        <f t="array" ref="P89">-SUMPRODUCT(
  desp[valor] *
  (desp[nucleo]=$B89) *
  (desp[centro.negocio]=$B$81) *
  (desp[data.pagamento]&gt;=P$1) *
  (desp[data.pagamento]&lt;EOMONTH(P$1,0)+1)
)</f>
        <v>0</v>
      </c>
      <c r="Q89" s="247" cm="1">
        <f t="array" ref="Q89">-SUMPRODUCT(
  desp[valor] *
  (desp[nucleo]=$B89) *
  (desp[centro.negocio]=$B$81) *
  (desp[data.pagamento]&gt;=Q$1) *
  (desp[data.pagamento]&lt;EOMONTH(Q$1,0)+1)
)</f>
        <v>0</v>
      </c>
      <c r="R89" s="247" cm="1">
        <f t="array" ref="R89">-SUMPRODUCT(
  desp[valor] *
  (desp[nucleo]=$B89) *
  (desp[centro.negocio]=$B$81) *
  (desp[data.pagamento]&gt;=R$1) *
  (desp[data.pagamento]&lt;EOMONTH(R$1,0)+1)
)</f>
        <v>0</v>
      </c>
      <c r="T89" s="239">
        <f t="shared" si="31"/>
        <v>0</v>
      </c>
    </row>
    <row r="90" spans="1:20" outlineLevel="2" x14ac:dyDescent="0.25">
      <c r="A90" s="246" t="s">
        <v>617</v>
      </c>
      <c r="B90" s="246" t="s">
        <v>554</v>
      </c>
      <c r="C90" s="193" t="s">
        <v>522</v>
      </c>
      <c r="D90" s="247" cm="1">
        <f t="array" ref="D90">-SUMPRODUCT(
  desp[valor] *
  (desp[nucleo]=$B90) *
  (desp[centro.negocio]=$B$81) *
  (desp[data.pagamento]&gt;=D$1) *
  (desp[data.pagamento]&lt;EOMONTH(D$1,0)+1)
)</f>
        <v>0</v>
      </c>
      <c r="E90" s="247" cm="1">
        <f t="array" ref="E90">-SUMPRODUCT(
  desp[valor] *
  (desp[nucleo]=$B90) *
  (desp[centro.negocio]=$B$81) *
  (desp[data.pagamento]&gt;=E$1) *
  (desp[data.pagamento]&lt;EOMONTH(E$1,0)+1)
)</f>
        <v>0</v>
      </c>
      <c r="F90" s="247" cm="1">
        <f t="array" ref="F90">-SUMPRODUCT(
  desp[valor] *
  (desp[nucleo]=$B90) *
  (desp[centro.negocio]=$B$81) *
  (desp[data.pagamento]&gt;=F$1) *
  (desp[data.pagamento]&lt;EOMONTH(F$1,0)+1)
)</f>
        <v>0</v>
      </c>
      <c r="G90" s="247" cm="1">
        <f t="array" ref="G90">-SUMPRODUCT(
  desp[valor] *
  (desp[nucleo]=$B90) *
  (desp[centro.negocio]=$B$81) *
  (desp[data.pagamento]&gt;=G$1) *
  (desp[data.pagamento]&lt;EOMONTH(G$1,0)+1)
)</f>
        <v>0</v>
      </c>
      <c r="H90" s="247" cm="1">
        <f t="array" ref="H90">-SUMPRODUCT(
  desp[valor] *
  (desp[nucleo]=$B90) *
  (desp[centro.negocio]=$B$81) *
  (desp[data.pagamento]&gt;=H$1) *
  (desp[data.pagamento]&lt;EOMONTH(H$1,0)+1)
)</f>
        <v>0</v>
      </c>
      <c r="I90" s="247" cm="1">
        <f t="array" ref="I90">-SUMPRODUCT(
  desp[valor] *
  (desp[nucleo]=$B90) *
  (desp[centro.negocio]=$B$81) *
  (desp[data.pagamento]&gt;=I$1) *
  (desp[data.pagamento]&lt;EOMONTH(I$1,0)+1)
)</f>
        <v>0</v>
      </c>
      <c r="J90" s="247" cm="1">
        <f t="array" ref="J90">-SUMPRODUCT(
  desp[valor] *
  (desp[nucleo]=$B90) *
  (desp[centro.negocio]=$B$81) *
  (desp[data.pagamento]&gt;=J$1) *
  (desp[data.pagamento]&lt;EOMONTH(J$1,0)+1)
)</f>
        <v>0</v>
      </c>
      <c r="K90" s="247" cm="1">
        <f t="array" ref="K90">-SUMPRODUCT(
  desp[valor] *
  (desp[nucleo]=$B90) *
  (desp[centro.negocio]=$B$81) *
  (desp[data.pagamento]&gt;=K$1) *
  (desp[data.pagamento]&lt;EOMONTH(K$1,0)+1)
)</f>
        <v>0</v>
      </c>
      <c r="L90" s="247" cm="1">
        <f t="array" ref="L90">-SUMPRODUCT(
  desp[valor] *
  (desp[nucleo]=$B90) *
  (desp[centro.negocio]=$B$81) *
  (desp[data.pagamento]&gt;=L$1) *
  (desp[data.pagamento]&lt;EOMONTH(L$1,0)+1)
)</f>
        <v>0</v>
      </c>
      <c r="M90" s="247" cm="1">
        <f t="array" ref="M90">-SUMPRODUCT(
  desp[valor] *
  (desp[nucleo]=$B90) *
  (desp[centro.negocio]=$B$81) *
  (desp[data.pagamento]&gt;=M$1) *
  (desp[data.pagamento]&lt;EOMONTH(M$1,0)+1)
)</f>
        <v>0</v>
      </c>
      <c r="N90" s="247" cm="1">
        <f t="array" ref="N90">-SUMPRODUCT(
  desp[valor] *
  (desp[nucleo]=$B90) *
  (desp[centro.negocio]=$B$81) *
  (desp[data.pagamento]&gt;=N$1) *
  (desp[data.pagamento]&lt;EOMONTH(N$1,0)+1)
)</f>
        <v>0</v>
      </c>
      <c r="O90" s="247" cm="1">
        <f t="array" ref="O90">-SUMPRODUCT(
  desp[valor] *
  (desp[nucleo]=$B90) *
  (desp[centro.negocio]=$B$81) *
  (desp[data.pagamento]&gt;=O$1) *
  (desp[data.pagamento]&lt;EOMONTH(O$1,0)+1)
)</f>
        <v>0</v>
      </c>
      <c r="P90" s="247" cm="1">
        <f t="array" ref="P90">-SUMPRODUCT(
  desp[valor] *
  (desp[nucleo]=$B90) *
  (desp[centro.negocio]=$B$81) *
  (desp[data.pagamento]&gt;=P$1) *
  (desp[data.pagamento]&lt;EOMONTH(P$1,0)+1)
)</f>
        <v>0</v>
      </c>
      <c r="Q90" s="247" cm="1">
        <f t="array" ref="Q90">-SUMPRODUCT(
  desp[valor] *
  (desp[nucleo]=$B90) *
  (desp[centro.negocio]=$B$81) *
  (desp[data.pagamento]&gt;=Q$1) *
  (desp[data.pagamento]&lt;EOMONTH(Q$1,0)+1)
)</f>
        <v>0</v>
      </c>
      <c r="R90" s="247" cm="1">
        <f t="array" ref="R90">-SUMPRODUCT(
  desp[valor] *
  (desp[nucleo]=$B90) *
  (desp[centro.negocio]=$B$81) *
  (desp[data.pagamento]&gt;=R$1) *
  (desp[data.pagamento]&lt;EOMONTH(R$1,0)+1)
)</f>
        <v>0</v>
      </c>
      <c r="T90" s="239">
        <f>SUM(D90:R90)</f>
        <v>0</v>
      </c>
    </row>
    <row r="91" spans="1:20" outlineLevel="2" x14ac:dyDescent="0.25">
      <c r="A91" s="246" t="s">
        <v>618</v>
      </c>
      <c r="B91" s="246" t="s">
        <v>548</v>
      </c>
      <c r="C91" s="193" t="s">
        <v>522</v>
      </c>
      <c r="D91" s="247" cm="1">
        <f t="array" ref="D91">-SUMPRODUCT(
  desp[valor] *
  (desp[nucleo]=$B91) *
  (desp[centro.negocio]=$B$81) *
  (desp[data.pagamento]&gt;=D$1) *
  (desp[data.pagamento]&lt;EOMONTH(D$1,0)+1)
)</f>
        <v>0</v>
      </c>
      <c r="E91" s="247" cm="1">
        <f t="array" ref="E91">-SUMPRODUCT(
  desp[valor] *
  (desp[nucleo]=$B91) *
  (desp[centro.negocio]=$B$81) *
  (desp[data.pagamento]&gt;=E$1) *
  (desp[data.pagamento]&lt;EOMONTH(E$1,0)+1)
)</f>
        <v>0</v>
      </c>
      <c r="F91" s="247" cm="1">
        <f t="array" ref="F91">-SUMPRODUCT(
  desp[valor] *
  (desp[nucleo]=$B91) *
  (desp[centro.negocio]=$B$81) *
  (desp[data.pagamento]&gt;=F$1) *
  (desp[data.pagamento]&lt;EOMONTH(F$1,0)+1)
)</f>
        <v>0</v>
      </c>
      <c r="G91" s="247" cm="1">
        <f t="array" ref="G91">-SUMPRODUCT(
  desp[valor] *
  (desp[nucleo]=$B91) *
  (desp[centro.negocio]=$B$81) *
  (desp[data.pagamento]&gt;=G$1) *
  (desp[data.pagamento]&lt;EOMONTH(G$1,0)+1)
)</f>
        <v>0</v>
      </c>
      <c r="H91" s="247" cm="1">
        <f t="array" ref="H91">-SUMPRODUCT(
  desp[valor] *
  (desp[nucleo]=$B91) *
  (desp[centro.negocio]=$B$81) *
  (desp[data.pagamento]&gt;=H$1) *
  (desp[data.pagamento]&lt;EOMONTH(H$1,0)+1)
)</f>
        <v>0</v>
      </c>
      <c r="I91" s="247" cm="1">
        <f t="array" ref="I91">-SUMPRODUCT(
  desp[valor] *
  (desp[nucleo]=$B91) *
  (desp[centro.negocio]=$B$81) *
  (desp[data.pagamento]&gt;=I$1) *
  (desp[data.pagamento]&lt;EOMONTH(I$1,0)+1)
)</f>
        <v>0</v>
      </c>
      <c r="J91" s="247" cm="1">
        <f t="array" ref="J91">-SUMPRODUCT(
  desp[valor] *
  (desp[nucleo]=$B91) *
  (desp[centro.negocio]=$B$81) *
  (desp[data.pagamento]&gt;=J$1) *
  (desp[data.pagamento]&lt;EOMONTH(J$1,0)+1)
)</f>
        <v>0</v>
      </c>
      <c r="K91" s="247" cm="1">
        <f t="array" ref="K91">-SUMPRODUCT(
  desp[valor] *
  (desp[nucleo]=$B91) *
  (desp[centro.negocio]=$B$81) *
  (desp[data.pagamento]&gt;=K$1) *
  (desp[data.pagamento]&lt;EOMONTH(K$1,0)+1)
)</f>
        <v>0</v>
      </c>
      <c r="L91" s="247" cm="1">
        <f t="array" ref="L91">-SUMPRODUCT(
  desp[valor] *
  (desp[nucleo]=$B91) *
  (desp[centro.negocio]=$B$81) *
  (desp[data.pagamento]&gt;=L$1) *
  (desp[data.pagamento]&lt;EOMONTH(L$1,0)+1)
)</f>
        <v>0</v>
      </c>
      <c r="M91" s="247" cm="1">
        <f t="array" ref="M91">-SUMPRODUCT(
  desp[valor] *
  (desp[nucleo]=$B91) *
  (desp[centro.negocio]=$B$81) *
  (desp[data.pagamento]&gt;=M$1) *
  (desp[data.pagamento]&lt;EOMONTH(M$1,0)+1)
)</f>
        <v>0</v>
      </c>
      <c r="N91" s="247" cm="1">
        <f t="array" ref="N91">-SUMPRODUCT(
  desp[valor] *
  (desp[nucleo]=$B91) *
  (desp[centro.negocio]=$B$81) *
  (desp[data.pagamento]&gt;=N$1) *
  (desp[data.pagamento]&lt;EOMONTH(N$1,0)+1)
)</f>
        <v>0</v>
      </c>
      <c r="O91" s="247" cm="1">
        <f t="array" ref="O91">-SUMPRODUCT(
  desp[valor] *
  (desp[nucleo]=$B91) *
  (desp[centro.negocio]=$B$81) *
  (desp[data.pagamento]&gt;=O$1) *
  (desp[data.pagamento]&lt;EOMONTH(O$1,0)+1)
)</f>
        <v>0</v>
      </c>
      <c r="P91" s="247" cm="1">
        <f t="array" ref="P91">-SUMPRODUCT(
  desp[valor] *
  (desp[nucleo]=$B91) *
  (desp[centro.negocio]=$B$81) *
  (desp[data.pagamento]&gt;=P$1) *
  (desp[data.pagamento]&lt;EOMONTH(P$1,0)+1)
)</f>
        <v>0</v>
      </c>
      <c r="Q91" s="247" cm="1">
        <f t="array" ref="Q91">-SUMPRODUCT(
  desp[valor] *
  (desp[nucleo]=$B91) *
  (desp[centro.negocio]=$B$81) *
  (desp[data.pagamento]&gt;=Q$1) *
  (desp[data.pagamento]&lt;EOMONTH(Q$1,0)+1)
)</f>
        <v>0</v>
      </c>
      <c r="R91" s="247" cm="1">
        <f t="array" ref="R91">-SUMPRODUCT(
  desp[valor] *
  (desp[nucleo]=$B91) *
  (desp[centro.negocio]=$B$81) *
  (desp[data.pagamento]&gt;=R$1) *
  (desp[data.pagamento]&lt;EOMONTH(R$1,0)+1)
)</f>
        <v>0</v>
      </c>
      <c r="T91" s="239">
        <f>SUM(D91:R91)</f>
        <v>0</v>
      </c>
    </row>
    <row r="92" spans="1:20" outlineLevel="2" x14ac:dyDescent="0.25">
      <c r="A92" s="252" t="s">
        <v>619</v>
      </c>
      <c r="B92" s="246" t="s">
        <v>620</v>
      </c>
      <c r="C92" s="193" t="s">
        <v>522</v>
      </c>
      <c r="D92" s="247" cm="1">
        <f t="array" ref="D92">-SUMPRODUCT(
  desp[valor] *
  (desp[nucleo]=$B92) *
  (desp[centro.negocio]=$B$81) *
  (desp[data.pagamento]&gt;=D$1) *
  (desp[data.pagamento]&lt;EOMONTH(D$1,0)+1)
)</f>
        <v>0</v>
      </c>
      <c r="E92" s="247" cm="1">
        <f t="array" ref="E92">-SUMPRODUCT(
  desp[valor] *
  (desp[nucleo]=$B92) *
  (desp[centro.negocio]=$B$81) *
  (desp[data.pagamento]&gt;=E$1) *
  (desp[data.pagamento]&lt;EOMONTH(E$1,0)+1)
)</f>
        <v>0</v>
      </c>
      <c r="F92" s="247" cm="1">
        <f t="array" ref="F92">-SUMPRODUCT(
  desp[valor] *
  (desp[nucleo]=$B92) *
  (desp[centro.negocio]=$B$81) *
  (desp[data.pagamento]&gt;=F$1) *
  (desp[data.pagamento]&lt;EOMONTH(F$1,0)+1)
)</f>
        <v>0</v>
      </c>
      <c r="G92" s="247" cm="1">
        <f t="array" ref="G92">-SUMPRODUCT(
  desp[valor] *
  (desp[nucleo]=$B92) *
  (desp[centro.negocio]=$B$81) *
  (desp[data.pagamento]&gt;=G$1) *
  (desp[data.pagamento]&lt;EOMONTH(G$1,0)+1)
)</f>
        <v>0</v>
      </c>
      <c r="H92" s="247" cm="1">
        <f t="array" ref="H92">-SUMPRODUCT(
  desp[valor] *
  (desp[nucleo]=$B92) *
  (desp[centro.negocio]=$B$81) *
  (desp[data.pagamento]&gt;=H$1) *
  (desp[data.pagamento]&lt;EOMONTH(H$1,0)+1)
)</f>
        <v>0</v>
      </c>
      <c r="I92" s="247" cm="1">
        <f t="array" ref="I92">-SUMPRODUCT(
  desp[valor] *
  (desp[nucleo]=$B92) *
  (desp[centro.negocio]=$B$81) *
  (desp[data.pagamento]&gt;=I$1) *
  (desp[data.pagamento]&lt;EOMONTH(I$1,0)+1)
)</f>
        <v>0</v>
      </c>
      <c r="J92" s="247" cm="1">
        <f t="array" ref="J92">-SUMPRODUCT(
  desp[valor] *
  (desp[nucleo]=$B92) *
  (desp[centro.negocio]=$B$81) *
  (desp[data.pagamento]&gt;=J$1) *
  (desp[data.pagamento]&lt;EOMONTH(J$1,0)+1)
)</f>
        <v>0</v>
      </c>
      <c r="K92" s="247" cm="1">
        <f t="array" ref="K92">-SUMPRODUCT(
  desp[valor] *
  (desp[nucleo]=$B92) *
  (desp[centro.negocio]=$B$81) *
  (desp[data.pagamento]&gt;=K$1) *
  (desp[data.pagamento]&lt;EOMONTH(K$1,0)+1)
)</f>
        <v>0</v>
      </c>
      <c r="L92" s="247" cm="1">
        <f t="array" ref="L92">-SUMPRODUCT(
  desp[valor] *
  (desp[nucleo]=$B92) *
  (desp[centro.negocio]=$B$81) *
  (desp[data.pagamento]&gt;=L$1) *
  (desp[data.pagamento]&lt;EOMONTH(L$1,0)+1)
)</f>
        <v>0</v>
      </c>
      <c r="M92" s="247" cm="1">
        <f t="array" ref="M92">-SUMPRODUCT(
  desp[valor] *
  (desp[nucleo]=$B92) *
  (desp[centro.negocio]=$B$81) *
  (desp[data.pagamento]&gt;=M$1) *
  (desp[data.pagamento]&lt;EOMONTH(M$1,0)+1)
)</f>
        <v>0</v>
      </c>
      <c r="N92" s="247" cm="1">
        <f t="array" ref="N92">-SUMPRODUCT(
  desp[valor] *
  (desp[nucleo]=$B92) *
  (desp[centro.negocio]=$B$81) *
  (desp[data.pagamento]&gt;=N$1) *
  (desp[data.pagamento]&lt;EOMONTH(N$1,0)+1)
)</f>
        <v>0</v>
      </c>
      <c r="O92" s="247" cm="1">
        <f t="array" ref="O92">-SUMPRODUCT(
  desp[valor] *
  (desp[nucleo]=$B92) *
  (desp[centro.negocio]=$B$81) *
  (desp[data.pagamento]&gt;=O$1) *
  (desp[data.pagamento]&lt;EOMONTH(O$1,0)+1)
)</f>
        <v>0</v>
      </c>
      <c r="P92" s="247" cm="1">
        <f t="array" ref="P92">-SUMPRODUCT(
  desp[valor] *
  (desp[nucleo]=$B92) *
  (desp[centro.negocio]=$B$81) *
  (desp[data.pagamento]&gt;=P$1) *
  (desp[data.pagamento]&lt;EOMONTH(P$1,0)+1)
)</f>
        <v>0</v>
      </c>
      <c r="Q92" s="247" cm="1">
        <f t="array" ref="Q92">-SUMPRODUCT(
  desp[valor] *
  (desp[nucleo]=$B92) *
  (desp[centro.negocio]=$B$81) *
  (desp[data.pagamento]&gt;=Q$1) *
  (desp[data.pagamento]&lt;EOMONTH(Q$1,0)+1)
)</f>
        <v>0</v>
      </c>
      <c r="R92" s="247" cm="1">
        <f t="array" ref="R92">-SUMPRODUCT(
  desp[valor] *
  (desp[nucleo]=$B92) *
  (desp[centro.negocio]=$B$81) *
  (desp[data.pagamento]&gt;=R$1) *
  (desp[data.pagamento]&lt;EOMONTH(R$1,0)+1)
)</f>
        <v>0</v>
      </c>
      <c r="T92" s="239">
        <f>SUM(D92:R92)</f>
        <v>0</v>
      </c>
    </row>
    <row r="93" spans="1:20" outlineLevel="2" x14ac:dyDescent="0.25">
      <c r="A93" s="246" t="s">
        <v>621</v>
      </c>
      <c r="B93" s="246" t="s">
        <v>564</v>
      </c>
      <c r="C93" s="193" t="s">
        <v>522</v>
      </c>
      <c r="D93" s="247" cm="1">
        <f t="array" ref="D93">-SUMPRODUCT(
  desp[valor] *
  (desp[nucleo]=$B93) *
  (desp[centro.negocio]=$B$81) *
  (desp[data.pagamento]&gt;=D$1) *
  (desp[data.pagamento]&lt;EOMONTH(D$1,0)+1)
)</f>
        <v>0</v>
      </c>
      <c r="E93" s="247" cm="1">
        <f t="array" ref="E93">-SUMPRODUCT(
  desp[valor] *
  (desp[nucleo]=$B93) *
  (desp[centro.negocio]=$B$81) *
  (desp[data.pagamento]&gt;=E$1) *
  (desp[data.pagamento]&lt;EOMONTH(E$1,0)+1)
)</f>
        <v>0</v>
      </c>
      <c r="F93" s="247" cm="1">
        <f t="array" ref="F93">-SUMPRODUCT(
  desp[valor] *
  (desp[nucleo]=$B93) *
  (desp[centro.negocio]=$B$81) *
  (desp[data.pagamento]&gt;=F$1) *
  (desp[data.pagamento]&lt;EOMONTH(F$1,0)+1)
)</f>
        <v>0</v>
      </c>
      <c r="G93" s="247" cm="1">
        <f t="array" ref="G93">-SUMPRODUCT(
  desp[valor] *
  (desp[nucleo]=$B93) *
  (desp[centro.negocio]=$B$81) *
  (desp[data.pagamento]&gt;=G$1) *
  (desp[data.pagamento]&lt;EOMONTH(G$1,0)+1)
)</f>
        <v>0</v>
      </c>
      <c r="H93" s="247" cm="1">
        <f t="array" ref="H93">-SUMPRODUCT(
  desp[valor] *
  (desp[nucleo]=$B93) *
  (desp[centro.negocio]=$B$81) *
  (desp[data.pagamento]&gt;=H$1) *
  (desp[data.pagamento]&lt;EOMONTH(H$1,0)+1)
)</f>
        <v>0</v>
      </c>
      <c r="I93" s="247" cm="1">
        <f t="array" ref="I93">-SUMPRODUCT(
  desp[valor] *
  (desp[nucleo]=$B93) *
  (desp[centro.negocio]=$B$81) *
  (desp[data.pagamento]&gt;=I$1) *
  (desp[data.pagamento]&lt;EOMONTH(I$1,0)+1)
)</f>
        <v>0</v>
      </c>
      <c r="J93" s="247" cm="1">
        <f t="array" ref="J93">-SUMPRODUCT(
  desp[valor] *
  (desp[nucleo]=$B93) *
  (desp[centro.negocio]=$B$81) *
  (desp[data.pagamento]&gt;=J$1) *
  (desp[data.pagamento]&lt;EOMONTH(J$1,0)+1)
)</f>
        <v>0</v>
      </c>
      <c r="K93" s="247" cm="1">
        <f t="array" ref="K93">-SUMPRODUCT(
  desp[valor] *
  (desp[nucleo]=$B93) *
  (desp[centro.negocio]=$B$81) *
  (desp[data.pagamento]&gt;=K$1) *
  (desp[data.pagamento]&lt;EOMONTH(K$1,0)+1)
)</f>
        <v>0</v>
      </c>
      <c r="L93" s="247" cm="1">
        <f t="array" ref="L93">-SUMPRODUCT(
  desp[valor] *
  (desp[nucleo]=$B93) *
  (desp[centro.negocio]=$B$81) *
  (desp[data.pagamento]&gt;=L$1) *
  (desp[data.pagamento]&lt;EOMONTH(L$1,0)+1)
)</f>
        <v>0</v>
      </c>
      <c r="M93" s="247" cm="1">
        <f t="array" ref="M93">-SUMPRODUCT(
  desp[valor] *
  (desp[nucleo]=$B93) *
  (desp[centro.negocio]=$B$81) *
  (desp[data.pagamento]&gt;=M$1) *
  (desp[data.pagamento]&lt;EOMONTH(M$1,0)+1)
)</f>
        <v>0</v>
      </c>
      <c r="N93" s="247" cm="1">
        <f t="array" ref="N93">-SUMPRODUCT(
  desp[valor] *
  (desp[nucleo]=$B93) *
  (desp[centro.negocio]=$B$81) *
  (desp[data.pagamento]&gt;=N$1) *
  (desp[data.pagamento]&lt;EOMONTH(N$1,0)+1)
)</f>
        <v>0</v>
      </c>
      <c r="O93" s="247" cm="1">
        <f t="array" ref="O93">-SUMPRODUCT(
  desp[valor] *
  (desp[nucleo]=$B93) *
  (desp[centro.negocio]=$B$81) *
  (desp[data.pagamento]&gt;=O$1) *
  (desp[data.pagamento]&lt;EOMONTH(O$1,0)+1)
)</f>
        <v>0</v>
      </c>
      <c r="P93" s="247" cm="1">
        <f t="array" ref="P93">-SUMPRODUCT(
  desp[valor] *
  (desp[nucleo]=$B93) *
  (desp[centro.negocio]=$B$81) *
  (desp[data.pagamento]&gt;=P$1) *
  (desp[data.pagamento]&lt;EOMONTH(P$1,0)+1)
)</f>
        <v>0</v>
      </c>
      <c r="Q93" s="247" cm="1">
        <f t="array" ref="Q93">-SUMPRODUCT(
  desp[valor] *
  (desp[nucleo]=$B93) *
  (desp[centro.negocio]=$B$81) *
  (desp[data.pagamento]&gt;=Q$1) *
  (desp[data.pagamento]&lt;EOMONTH(Q$1,0)+1)
)</f>
        <v>0</v>
      </c>
      <c r="R93" s="247" cm="1">
        <f t="array" ref="R93">-SUMPRODUCT(
  desp[valor] *
  (desp[nucleo]=$B93) *
  (desp[centro.negocio]=$B$81) *
  (desp[data.pagamento]&gt;=R$1) *
  (desp[data.pagamento]&lt;EOMONTH(R$1,0)+1)
)</f>
        <v>0</v>
      </c>
      <c r="T93" s="239">
        <f t="shared" ref="T93" si="39">SUM(D93:R93)</f>
        <v>0</v>
      </c>
    </row>
    <row r="94" spans="1:20" outlineLevel="1" x14ac:dyDescent="0.25">
      <c r="A94" s="243" t="s">
        <v>622</v>
      </c>
      <c r="B94" s="243" t="s">
        <v>346</v>
      </c>
      <c r="C94" s="244" t="s">
        <v>522</v>
      </c>
      <c r="D94" s="245">
        <f>SUM(D$95:D$119)</f>
        <v>0</v>
      </c>
      <c r="E94" s="245">
        <f t="shared" ref="E94:R94" si="40">SUM(E$95:E$119)</f>
        <v>0</v>
      </c>
      <c r="F94" s="245">
        <f t="shared" si="40"/>
        <v>0</v>
      </c>
      <c r="G94" s="245">
        <f t="shared" si="40"/>
        <v>0</v>
      </c>
      <c r="H94" s="245">
        <f t="shared" si="40"/>
        <v>0</v>
      </c>
      <c r="I94" s="245">
        <f t="shared" si="40"/>
        <v>0</v>
      </c>
      <c r="J94" s="245">
        <f t="shared" si="40"/>
        <v>0</v>
      </c>
      <c r="K94" s="245">
        <f t="shared" si="40"/>
        <v>0</v>
      </c>
      <c r="L94" s="245">
        <f t="shared" si="40"/>
        <v>0</v>
      </c>
      <c r="M94" s="245">
        <f t="shared" si="40"/>
        <v>0</v>
      </c>
      <c r="N94" s="245">
        <f t="shared" si="40"/>
        <v>0</v>
      </c>
      <c r="O94" s="245">
        <f t="shared" si="40"/>
        <v>0</v>
      </c>
      <c r="P94" s="245">
        <f t="shared" si="40"/>
        <v>0</v>
      </c>
      <c r="Q94" s="245">
        <f t="shared" si="40"/>
        <v>0</v>
      </c>
      <c r="R94" s="245">
        <f t="shared" si="40"/>
        <v>0</v>
      </c>
      <c r="T94" s="239">
        <f>SUM(D94:R94)</f>
        <v>0</v>
      </c>
    </row>
    <row r="95" spans="1:20" outlineLevel="2" x14ac:dyDescent="0.25">
      <c r="A95" s="246" t="s">
        <v>623</v>
      </c>
      <c r="B95" s="246" t="s">
        <v>546</v>
      </c>
      <c r="C95" s="193" t="s">
        <v>522</v>
      </c>
      <c r="D95" s="247" cm="1">
        <f t="array" ref="D95">-SUMPRODUCT(
  desp[valor] *
  (desp[nucleo]=$B95) *
  (desp[centro.negocio]=$B$94) *
  (desp[data.pagamento]&gt;=D$1) *
  (desp[data.pagamento]&lt;EOMONTH(D$1,0)+1)
)</f>
        <v>0</v>
      </c>
      <c r="E95" s="247" cm="1">
        <f t="array" ref="E95">-SUMPRODUCT(
  desp[valor] *
  (desp[nucleo]=$B95) *
  (desp[centro.negocio]=$B$94) *
  (desp[data.pagamento]&gt;=E$1) *
  (desp[data.pagamento]&lt;EOMONTH(E$1,0)+1)
)</f>
        <v>0</v>
      </c>
      <c r="F95" s="247" cm="1">
        <f t="array" ref="F95">-SUMPRODUCT(
  desp[valor] *
  (desp[nucleo]=$B95) *
  (desp[centro.negocio]=$B$94) *
  (desp[data.pagamento]&gt;=F$1) *
  (desp[data.pagamento]&lt;EOMONTH(F$1,0)+1)
)</f>
        <v>0</v>
      </c>
      <c r="G95" s="247" cm="1">
        <f t="array" ref="G95">-SUMPRODUCT(
  desp[valor] *
  (desp[nucleo]=$B95) *
  (desp[centro.negocio]=$B$94) *
  (desp[data.pagamento]&gt;=G$1) *
  (desp[data.pagamento]&lt;EOMONTH(G$1,0)+1)
)</f>
        <v>0</v>
      </c>
      <c r="H95" s="247" cm="1">
        <f t="array" ref="H95">-SUMPRODUCT(
  desp[valor] *
  (desp[nucleo]=$B95) *
  (desp[centro.negocio]=$B$94) *
  (desp[data.pagamento]&gt;=H$1) *
  (desp[data.pagamento]&lt;EOMONTH(H$1,0)+1)
)</f>
        <v>0</v>
      </c>
      <c r="I95" s="247" cm="1">
        <f t="array" ref="I95">-SUMPRODUCT(
  desp[valor] *
  (desp[nucleo]=$B95) *
  (desp[centro.negocio]=$B$94) *
  (desp[data.pagamento]&gt;=I$1) *
  (desp[data.pagamento]&lt;EOMONTH(I$1,0)+1)
)</f>
        <v>0</v>
      </c>
      <c r="J95" s="247" cm="1">
        <f t="array" ref="J95">-SUMPRODUCT(
  desp[valor] *
  (desp[nucleo]=$B95) *
  (desp[centro.negocio]=$B$94) *
  (desp[data.pagamento]&gt;=J$1) *
  (desp[data.pagamento]&lt;EOMONTH(J$1,0)+1)
)</f>
        <v>0</v>
      </c>
      <c r="K95" s="247" cm="1">
        <f t="array" ref="K95">-SUMPRODUCT(
  desp[valor] *
  (desp[nucleo]=$B95) *
  (desp[centro.negocio]=$B$94) *
  (desp[data.pagamento]&gt;=K$1) *
  (desp[data.pagamento]&lt;EOMONTH(K$1,0)+1)
)</f>
        <v>0</v>
      </c>
      <c r="L95" s="247" cm="1">
        <f t="array" ref="L95">-SUMPRODUCT(
  desp[valor] *
  (desp[nucleo]=$B95) *
  (desp[centro.negocio]=$B$94) *
  (desp[data.pagamento]&gt;=L$1) *
  (desp[data.pagamento]&lt;EOMONTH(L$1,0)+1)
)</f>
        <v>0</v>
      </c>
      <c r="M95" s="247" cm="1">
        <f t="array" ref="M95">-SUMPRODUCT(
  desp[valor] *
  (desp[nucleo]=$B95) *
  (desp[centro.negocio]=$B$94) *
  (desp[data.pagamento]&gt;=M$1) *
  (desp[data.pagamento]&lt;EOMONTH(M$1,0)+1)
)</f>
        <v>0</v>
      </c>
      <c r="N95" s="247" cm="1">
        <f t="array" ref="N95">-SUMPRODUCT(
  desp[valor] *
  (desp[nucleo]=$B95) *
  (desp[centro.negocio]=$B$94) *
  (desp[data.pagamento]&gt;=N$1) *
  (desp[data.pagamento]&lt;EOMONTH(N$1,0)+1)
)</f>
        <v>0</v>
      </c>
      <c r="O95" s="247" cm="1">
        <f t="array" ref="O95">-SUMPRODUCT(
  desp[valor] *
  (desp[nucleo]=$B95) *
  (desp[centro.negocio]=$B$94) *
  (desp[data.pagamento]&gt;=O$1) *
  (desp[data.pagamento]&lt;EOMONTH(O$1,0)+1)
)</f>
        <v>0</v>
      </c>
      <c r="P95" s="247" cm="1">
        <f t="array" ref="P95">-SUMPRODUCT(
  desp[valor] *
  (desp[nucleo]=$B95) *
  (desp[centro.negocio]=$B$94) *
  (desp[data.pagamento]&gt;=P$1) *
  (desp[data.pagamento]&lt;EOMONTH(P$1,0)+1)
)</f>
        <v>0</v>
      </c>
      <c r="Q95" s="247" cm="1">
        <f t="array" ref="Q95">-SUMPRODUCT(
  desp[valor] *
  (desp[nucleo]=$B95) *
  (desp[centro.negocio]=$B$94) *
  (desp[data.pagamento]&gt;=Q$1) *
  (desp[data.pagamento]&lt;EOMONTH(Q$1,0)+1)
)</f>
        <v>0</v>
      </c>
      <c r="R95" s="247" cm="1">
        <f t="array" ref="R95">-SUMPRODUCT(
  desp[valor] *
  (desp[nucleo]=$B95) *
  (desp[centro.negocio]=$B$94) *
  (desp[data.pagamento]&gt;=R$1) *
  (desp[data.pagamento]&lt;EOMONTH(R$1,0)+1)
)</f>
        <v>0</v>
      </c>
      <c r="T95" s="239">
        <f>SUM(D95:R95)</f>
        <v>0</v>
      </c>
    </row>
    <row r="96" spans="1:20" outlineLevel="2" x14ac:dyDescent="0.25">
      <c r="A96" s="246" t="s">
        <v>624</v>
      </c>
      <c r="B96" s="246" t="s">
        <v>562</v>
      </c>
      <c r="C96" s="193" t="s">
        <v>522</v>
      </c>
      <c r="D96" s="247" cm="1">
        <f t="array" ref="D96">-SUMPRODUCT(
  desp[valor] *
  (desp[nucleo]=$B96) *
  (desp[centro.negocio]=$B$94) *
  (desp[data.pagamento]&gt;=D$1) *
  (desp[data.pagamento]&lt;EOMONTH(D$1,0)+1)
)</f>
        <v>0</v>
      </c>
      <c r="E96" s="247" cm="1">
        <f t="array" ref="E96">-SUMPRODUCT(
  desp[valor] *
  (desp[nucleo]=$B96) *
  (desp[centro.negocio]=$B$94) *
  (desp[data.pagamento]&gt;=E$1) *
  (desp[data.pagamento]&lt;EOMONTH(E$1,0)+1)
)</f>
        <v>0</v>
      </c>
      <c r="F96" s="247" cm="1">
        <f t="array" ref="F96">-SUMPRODUCT(
  desp[valor] *
  (desp[nucleo]=$B96) *
  (desp[centro.negocio]=$B$94) *
  (desp[data.pagamento]&gt;=F$1) *
  (desp[data.pagamento]&lt;EOMONTH(F$1,0)+1)
)</f>
        <v>0</v>
      </c>
      <c r="G96" s="247" cm="1">
        <f t="array" ref="G96">-SUMPRODUCT(
  desp[valor] *
  (desp[nucleo]=$B96) *
  (desp[centro.negocio]=$B$94) *
  (desp[data.pagamento]&gt;=G$1) *
  (desp[data.pagamento]&lt;EOMONTH(G$1,0)+1)
)</f>
        <v>0</v>
      </c>
      <c r="H96" s="247" cm="1">
        <f t="array" ref="H96">-SUMPRODUCT(
  desp[valor] *
  (desp[nucleo]=$B96) *
  (desp[centro.negocio]=$B$94) *
  (desp[data.pagamento]&gt;=H$1) *
  (desp[data.pagamento]&lt;EOMONTH(H$1,0)+1)
)</f>
        <v>0</v>
      </c>
      <c r="I96" s="247" cm="1">
        <f t="array" ref="I96">-SUMPRODUCT(
  desp[valor] *
  (desp[nucleo]=$B96) *
  (desp[centro.negocio]=$B$94) *
  (desp[data.pagamento]&gt;=I$1) *
  (desp[data.pagamento]&lt;EOMONTH(I$1,0)+1)
)</f>
        <v>0</v>
      </c>
      <c r="J96" s="247" cm="1">
        <f t="array" ref="J96">-SUMPRODUCT(
  desp[valor] *
  (desp[nucleo]=$B96) *
  (desp[centro.negocio]=$B$94) *
  (desp[data.pagamento]&gt;=J$1) *
  (desp[data.pagamento]&lt;EOMONTH(J$1,0)+1)
)</f>
        <v>0</v>
      </c>
      <c r="K96" s="247" cm="1">
        <f t="array" ref="K96">-SUMPRODUCT(
  desp[valor] *
  (desp[nucleo]=$B96) *
  (desp[centro.negocio]=$B$94) *
  (desp[data.pagamento]&gt;=K$1) *
  (desp[data.pagamento]&lt;EOMONTH(K$1,0)+1)
)</f>
        <v>0</v>
      </c>
      <c r="L96" s="247" cm="1">
        <f t="array" ref="L96">-SUMPRODUCT(
  desp[valor] *
  (desp[nucleo]=$B96) *
  (desp[centro.negocio]=$B$94) *
  (desp[data.pagamento]&gt;=L$1) *
  (desp[data.pagamento]&lt;EOMONTH(L$1,0)+1)
)</f>
        <v>0</v>
      </c>
      <c r="M96" s="247" cm="1">
        <f t="array" ref="M96">-SUMPRODUCT(
  desp[valor] *
  (desp[nucleo]=$B96) *
  (desp[centro.negocio]=$B$94) *
  (desp[data.pagamento]&gt;=M$1) *
  (desp[data.pagamento]&lt;EOMONTH(M$1,0)+1)
)</f>
        <v>0</v>
      </c>
      <c r="N96" s="247" cm="1">
        <f t="array" ref="N96">-SUMPRODUCT(
  desp[valor] *
  (desp[nucleo]=$B96) *
  (desp[centro.negocio]=$B$94) *
  (desp[data.pagamento]&gt;=N$1) *
  (desp[data.pagamento]&lt;EOMONTH(N$1,0)+1)
)</f>
        <v>0</v>
      </c>
      <c r="O96" s="247" cm="1">
        <f t="array" ref="O96">-SUMPRODUCT(
  desp[valor] *
  (desp[nucleo]=$B96) *
  (desp[centro.negocio]=$B$94) *
  (desp[data.pagamento]&gt;=O$1) *
  (desp[data.pagamento]&lt;EOMONTH(O$1,0)+1)
)</f>
        <v>0</v>
      </c>
      <c r="P96" s="247" cm="1">
        <f t="array" ref="P96">-SUMPRODUCT(
  desp[valor] *
  (desp[nucleo]=$B96) *
  (desp[centro.negocio]=$B$94) *
  (desp[data.pagamento]&gt;=P$1) *
  (desp[data.pagamento]&lt;EOMONTH(P$1,0)+1)
)</f>
        <v>0</v>
      </c>
      <c r="Q96" s="247" cm="1">
        <f t="array" ref="Q96">-SUMPRODUCT(
  desp[valor] *
  (desp[nucleo]=$B96) *
  (desp[centro.negocio]=$B$94) *
  (desp[data.pagamento]&gt;=Q$1) *
  (desp[data.pagamento]&lt;EOMONTH(Q$1,0)+1)
)</f>
        <v>0</v>
      </c>
      <c r="R96" s="247" cm="1">
        <f t="array" ref="R96">-SUMPRODUCT(
  desp[valor] *
  (desp[nucleo]=$B96) *
  (desp[centro.negocio]=$B$94) *
  (desp[data.pagamento]&gt;=R$1) *
  (desp[data.pagamento]&lt;EOMONTH(R$1,0)+1)
)</f>
        <v>0</v>
      </c>
      <c r="T96" s="239">
        <f>SUM(D96:R96)</f>
        <v>0</v>
      </c>
    </row>
    <row r="97" spans="1:20" outlineLevel="2" x14ac:dyDescent="0.25">
      <c r="A97" s="246" t="s">
        <v>625</v>
      </c>
      <c r="B97" s="246" t="s">
        <v>554</v>
      </c>
      <c r="C97" s="193" t="s">
        <v>522</v>
      </c>
      <c r="D97" s="247" cm="1">
        <f t="array" ref="D97">-SUMPRODUCT(
  desp[valor] *
  (desp[nucleo]=$B97) *
  (desp[centro.negocio]=$B$94) *
  (desp[data.pagamento]&gt;=D$1) *
  (desp[data.pagamento]&lt;EOMONTH(D$1,0)+1)
)</f>
        <v>0</v>
      </c>
      <c r="E97" s="247" cm="1">
        <f t="array" ref="E97">-SUMPRODUCT(
  desp[valor] *
  (desp[nucleo]=$B97) *
  (desp[centro.negocio]=$B$94) *
  (desp[data.pagamento]&gt;=E$1) *
  (desp[data.pagamento]&lt;EOMONTH(E$1,0)+1)
)</f>
        <v>0</v>
      </c>
      <c r="F97" s="247" cm="1">
        <f t="array" ref="F97">-SUMPRODUCT(
  desp[valor] *
  (desp[nucleo]=$B97) *
  (desp[centro.negocio]=$B$94) *
  (desp[data.pagamento]&gt;=F$1) *
  (desp[data.pagamento]&lt;EOMONTH(F$1,0)+1)
)</f>
        <v>0</v>
      </c>
      <c r="G97" s="247" cm="1">
        <f t="array" ref="G97">-SUMPRODUCT(
  desp[valor] *
  (desp[nucleo]=$B97) *
  (desp[centro.negocio]=$B$94) *
  (desp[data.pagamento]&gt;=G$1) *
  (desp[data.pagamento]&lt;EOMONTH(G$1,0)+1)
)</f>
        <v>0</v>
      </c>
      <c r="H97" s="247" cm="1">
        <f t="array" ref="H97">-SUMPRODUCT(
  desp[valor] *
  (desp[nucleo]=$B97) *
  (desp[centro.negocio]=$B$94) *
  (desp[data.pagamento]&gt;=H$1) *
  (desp[data.pagamento]&lt;EOMONTH(H$1,0)+1)
)</f>
        <v>0</v>
      </c>
      <c r="I97" s="247" cm="1">
        <f t="array" ref="I97">-SUMPRODUCT(
  desp[valor] *
  (desp[nucleo]=$B97) *
  (desp[centro.negocio]=$B$94) *
  (desp[data.pagamento]&gt;=I$1) *
  (desp[data.pagamento]&lt;EOMONTH(I$1,0)+1)
)</f>
        <v>0</v>
      </c>
      <c r="J97" s="247" cm="1">
        <f t="array" ref="J97">-SUMPRODUCT(
  desp[valor] *
  (desp[nucleo]=$B97) *
  (desp[centro.negocio]=$B$94) *
  (desp[data.pagamento]&gt;=J$1) *
  (desp[data.pagamento]&lt;EOMONTH(J$1,0)+1)
)</f>
        <v>0</v>
      </c>
      <c r="K97" s="247" cm="1">
        <f t="array" ref="K97">-SUMPRODUCT(
  desp[valor] *
  (desp[nucleo]=$B97) *
  (desp[centro.negocio]=$B$94) *
  (desp[data.pagamento]&gt;=K$1) *
  (desp[data.pagamento]&lt;EOMONTH(K$1,0)+1)
)</f>
        <v>0</v>
      </c>
      <c r="L97" s="247" cm="1">
        <f t="array" ref="L97">-SUMPRODUCT(
  desp[valor] *
  (desp[nucleo]=$B97) *
  (desp[centro.negocio]=$B$94) *
  (desp[data.pagamento]&gt;=L$1) *
  (desp[data.pagamento]&lt;EOMONTH(L$1,0)+1)
)</f>
        <v>0</v>
      </c>
      <c r="M97" s="247" cm="1">
        <f t="array" ref="M97">-SUMPRODUCT(
  desp[valor] *
  (desp[nucleo]=$B97) *
  (desp[centro.negocio]=$B$94) *
  (desp[data.pagamento]&gt;=M$1) *
  (desp[data.pagamento]&lt;EOMONTH(M$1,0)+1)
)</f>
        <v>0</v>
      </c>
      <c r="N97" s="247" cm="1">
        <f t="array" ref="N97">-SUMPRODUCT(
  desp[valor] *
  (desp[nucleo]=$B97) *
  (desp[centro.negocio]=$B$94) *
  (desp[data.pagamento]&gt;=N$1) *
  (desp[data.pagamento]&lt;EOMONTH(N$1,0)+1)
)</f>
        <v>0</v>
      </c>
      <c r="O97" s="247" cm="1">
        <f t="array" ref="O97">-SUMPRODUCT(
  desp[valor] *
  (desp[nucleo]=$B97) *
  (desp[centro.negocio]=$B$94) *
  (desp[data.pagamento]&gt;=O$1) *
  (desp[data.pagamento]&lt;EOMONTH(O$1,0)+1)
)</f>
        <v>0</v>
      </c>
      <c r="P97" s="247" cm="1">
        <f t="array" ref="P97">-SUMPRODUCT(
  desp[valor] *
  (desp[nucleo]=$B97) *
  (desp[centro.negocio]=$B$94) *
  (desp[data.pagamento]&gt;=P$1) *
  (desp[data.pagamento]&lt;EOMONTH(P$1,0)+1)
)</f>
        <v>0</v>
      </c>
      <c r="Q97" s="247" cm="1">
        <f t="array" ref="Q97">-SUMPRODUCT(
  desp[valor] *
  (desp[nucleo]=$B97) *
  (desp[centro.negocio]=$B$94) *
  (desp[data.pagamento]&gt;=Q$1) *
  (desp[data.pagamento]&lt;EOMONTH(Q$1,0)+1)
)</f>
        <v>0</v>
      </c>
      <c r="R97" s="247" cm="1">
        <f t="array" ref="R97">-SUMPRODUCT(
  desp[valor] *
  (desp[nucleo]=$B97) *
  (desp[centro.negocio]=$B$94) *
  (desp[data.pagamento]&gt;=R$1) *
  (desp[data.pagamento]&lt;EOMONTH(R$1,0)+1)
)</f>
        <v>0</v>
      </c>
      <c r="T97" s="239">
        <f t="shared" ref="T97" si="41">SUM(D97:R97)</f>
        <v>0</v>
      </c>
    </row>
    <row r="98" spans="1:20" outlineLevel="2" x14ac:dyDescent="0.25">
      <c r="A98" s="246" t="s">
        <v>626</v>
      </c>
      <c r="B98" s="246" t="s">
        <v>564</v>
      </c>
      <c r="C98" s="193" t="s">
        <v>522</v>
      </c>
      <c r="D98" s="247" cm="1">
        <f t="array" ref="D98">-SUMPRODUCT(
  desp[valor] *
  (desp[nucleo]=$B98) *
  (desp[centro.negocio]=$B$94) *
  (desp[data.pagamento]&gt;=D$1) *
  (desp[data.pagamento]&lt;EOMONTH(D$1,0)+1)
)</f>
        <v>0</v>
      </c>
      <c r="E98" s="247" cm="1">
        <f t="array" ref="E98">-SUMPRODUCT(
  desp[valor] *
  (desp[nucleo]=$B98) *
  (desp[centro.negocio]=$B$94) *
  (desp[data.pagamento]&gt;=E$1) *
  (desp[data.pagamento]&lt;EOMONTH(E$1,0)+1)
)</f>
        <v>0</v>
      </c>
      <c r="F98" s="247" cm="1">
        <f t="array" ref="F98">-SUMPRODUCT(
  desp[valor] *
  (desp[nucleo]=$B98) *
  (desp[centro.negocio]=$B$94) *
  (desp[data.pagamento]&gt;=F$1) *
  (desp[data.pagamento]&lt;EOMONTH(F$1,0)+1)
)</f>
        <v>0</v>
      </c>
      <c r="G98" s="247" cm="1">
        <f t="array" ref="G98">-SUMPRODUCT(
  desp[valor] *
  (desp[nucleo]=$B98) *
  (desp[centro.negocio]=$B$94) *
  (desp[data.pagamento]&gt;=G$1) *
  (desp[data.pagamento]&lt;EOMONTH(G$1,0)+1)
)</f>
        <v>0</v>
      </c>
      <c r="H98" s="247" cm="1">
        <f t="array" ref="H98">-SUMPRODUCT(
  desp[valor] *
  (desp[nucleo]=$B98) *
  (desp[centro.negocio]=$B$94) *
  (desp[data.pagamento]&gt;=H$1) *
  (desp[data.pagamento]&lt;EOMONTH(H$1,0)+1)
)</f>
        <v>0</v>
      </c>
      <c r="I98" s="247" cm="1">
        <f t="array" ref="I98">-SUMPRODUCT(
  desp[valor] *
  (desp[nucleo]=$B98) *
  (desp[centro.negocio]=$B$94) *
  (desp[data.pagamento]&gt;=I$1) *
  (desp[data.pagamento]&lt;EOMONTH(I$1,0)+1)
)</f>
        <v>0</v>
      </c>
      <c r="J98" s="247" cm="1">
        <f t="array" ref="J98">-SUMPRODUCT(
  desp[valor] *
  (desp[nucleo]=$B98) *
  (desp[centro.negocio]=$B$94) *
  (desp[data.pagamento]&gt;=J$1) *
  (desp[data.pagamento]&lt;EOMONTH(J$1,0)+1)
)</f>
        <v>0</v>
      </c>
      <c r="K98" s="247" cm="1">
        <f t="array" ref="K98">-SUMPRODUCT(
  desp[valor] *
  (desp[nucleo]=$B98) *
  (desp[centro.negocio]=$B$94) *
  (desp[data.pagamento]&gt;=K$1) *
  (desp[data.pagamento]&lt;EOMONTH(K$1,0)+1)
)</f>
        <v>0</v>
      </c>
      <c r="L98" s="247" cm="1">
        <f t="array" ref="L98">-SUMPRODUCT(
  desp[valor] *
  (desp[nucleo]=$B98) *
  (desp[centro.negocio]=$B$94) *
  (desp[data.pagamento]&gt;=L$1) *
  (desp[data.pagamento]&lt;EOMONTH(L$1,0)+1)
)</f>
        <v>0</v>
      </c>
      <c r="M98" s="247" cm="1">
        <f t="array" ref="M98">-SUMPRODUCT(
  desp[valor] *
  (desp[nucleo]=$B98) *
  (desp[centro.negocio]=$B$94) *
  (desp[data.pagamento]&gt;=M$1) *
  (desp[data.pagamento]&lt;EOMONTH(M$1,0)+1)
)</f>
        <v>0</v>
      </c>
      <c r="N98" s="247" cm="1">
        <f t="array" ref="N98">-SUMPRODUCT(
  desp[valor] *
  (desp[nucleo]=$B98) *
  (desp[centro.negocio]=$B$94) *
  (desp[data.pagamento]&gt;=N$1) *
  (desp[data.pagamento]&lt;EOMONTH(N$1,0)+1)
)</f>
        <v>0</v>
      </c>
      <c r="O98" s="247" cm="1">
        <f t="array" ref="O98">-SUMPRODUCT(
  desp[valor] *
  (desp[nucleo]=$B98) *
  (desp[centro.negocio]=$B$94) *
  (desp[data.pagamento]&gt;=O$1) *
  (desp[data.pagamento]&lt;EOMONTH(O$1,0)+1)
)</f>
        <v>0</v>
      </c>
      <c r="P98" s="247" cm="1">
        <f t="array" ref="P98">-SUMPRODUCT(
  desp[valor] *
  (desp[nucleo]=$B98) *
  (desp[centro.negocio]=$B$94) *
  (desp[data.pagamento]&gt;=P$1) *
  (desp[data.pagamento]&lt;EOMONTH(P$1,0)+1)
)</f>
        <v>0</v>
      </c>
      <c r="Q98" s="247" cm="1">
        <f t="array" ref="Q98">-SUMPRODUCT(
  desp[valor] *
  (desp[nucleo]=$B98) *
  (desp[centro.negocio]=$B$94) *
  (desp[data.pagamento]&gt;=Q$1) *
  (desp[data.pagamento]&lt;EOMONTH(Q$1,0)+1)
)</f>
        <v>0</v>
      </c>
      <c r="R98" s="247" cm="1">
        <f t="array" ref="R98">-SUMPRODUCT(
  desp[valor] *
  (desp[nucleo]=$B98) *
  (desp[centro.negocio]=$B$94) *
  (desp[data.pagamento]&gt;=R$1) *
  (desp[data.pagamento]&lt;EOMONTH(R$1,0)+1)
)</f>
        <v>0</v>
      </c>
      <c r="T98" s="239">
        <f>SUM(D98:R98)</f>
        <v>0</v>
      </c>
    </row>
    <row r="99" spans="1:20" outlineLevel="2" x14ac:dyDescent="0.25">
      <c r="A99" s="246" t="s">
        <v>627</v>
      </c>
      <c r="B99" s="246" t="s">
        <v>556</v>
      </c>
      <c r="C99" s="193" t="s">
        <v>522</v>
      </c>
      <c r="D99" s="247" cm="1">
        <f t="array" ref="D99">-SUMPRODUCT(
  desp[valor] *
  (desp[nucleo]=$B99) *
  (desp[centro.negocio]=$B$94) *
  (desp[data.pagamento]&gt;=D$1) *
  (desp[data.pagamento]&lt;EOMONTH(D$1,0)+1)
)</f>
        <v>0</v>
      </c>
      <c r="E99" s="247" cm="1">
        <f t="array" ref="E99">-SUMPRODUCT(
  desp[valor] *
  (desp[nucleo]=$B99) *
  (desp[centro.negocio]=$B$94) *
  (desp[data.pagamento]&gt;=E$1) *
  (desp[data.pagamento]&lt;EOMONTH(E$1,0)+1)
)</f>
        <v>0</v>
      </c>
      <c r="F99" s="247" cm="1">
        <f t="array" ref="F99">-SUMPRODUCT(
  desp[valor] *
  (desp[nucleo]=$B99) *
  (desp[centro.negocio]=$B$94) *
  (desp[data.pagamento]&gt;=F$1) *
  (desp[data.pagamento]&lt;EOMONTH(F$1,0)+1)
)</f>
        <v>0</v>
      </c>
      <c r="G99" s="247" cm="1">
        <f t="array" ref="G99">-SUMPRODUCT(
  desp[valor] *
  (desp[nucleo]=$B99) *
  (desp[centro.negocio]=$B$94) *
  (desp[data.pagamento]&gt;=G$1) *
  (desp[data.pagamento]&lt;EOMONTH(G$1,0)+1)
)</f>
        <v>0</v>
      </c>
      <c r="H99" s="247" cm="1">
        <f t="array" ref="H99">-SUMPRODUCT(
  desp[valor] *
  (desp[nucleo]=$B99) *
  (desp[centro.negocio]=$B$94) *
  (desp[data.pagamento]&gt;=H$1) *
  (desp[data.pagamento]&lt;EOMONTH(H$1,0)+1)
)</f>
        <v>0</v>
      </c>
      <c r="I99" s="247" cm="1">
        <f t="array" ref="I99">-SUMPRODUCT(
  desp[valor] *
  (desp[nucleo]=$B99) *
  (desp[centro.negocio]=$B$94) *
  (desp[data.pagamento]&gt;=I$1) *
  (desp[data.pagamento]&lt;EOMONTH(I$1,0)+1)
)</f>
        <v>0</v>
      </c>
      <c r="J99" s="247" cm="1">
        <f t="array" ref="J99">-SUMPRODUCT(
  desp[valor] *
  (desp[nucleo]=$B99) *
  (desp[centro.negocio]=$B$94) *
  (desp[data.pagamento]&gt;=J$1) *
  (desp[data.pagamento]&lt;EOMONTH(J$1,0)+1)
)</f>
        <v>0</v>
      </c>
      <c r="K99" s="247" cm="1">
        <f t="array" ref="K99">-SUMPRODUCT(
  desp[valor] *
  (desp[nucleo]=$B99) *
  (desp[centro.negocio]=$B$94) *
  (desp[data.pagamento]&gt;=K$1) *
  (desp[data.pagamento]&lt;EOMONTH(K$1,0)+1)
)</f>
        <v>0</v>
      </c>
      <c r="L99" s="247" cm="1">
        <f t="array" ref="L99">-SUMPRODUCT(
  desp[valor] *
  (desp[nucleo]=$B99) *
  (desp[centro.negocio]=$B$94) *
  (desp[data.pagamento]&gt;=L$1) *
  (desp[data.pagamento]&lt;EOMONTH(L$1,0)+1)
)</f>
        <v>0</v>
      </c>
      <c r="M99" s="247" cm="1">
        <f t="array" ref="M99">-SUMPRODUCT(
  desp[valor] *
  (desp[nucleo]=$B99) *
  (desp[centro.negocio]=$B$94) *
  (desp[data.pagamento]&gt;=M$1) *
  (desp[data.pagamento]&lt;EOMONTH(M$1,0)+1)
)</f>
        <v>0</v>
      </c>
      <c r="N99" s="247" cm="1">
        <f t="array" ref="N99">-SUMPRODUCT(
  desp[valor] *
  (desp[nucleo]=$B99) *
  (desp[centro.negocio]=$B$94) *
  (desp[data.pagamento]&gt;=N$1) *
  (desp[data.pagamento]&lt;EOMONTH(N$1,0)+1)
)</f>
        <v>0</v>
      </c>
      <c r="O99" s="247" cm="1">
        <f t="array" ref="O99">-SUMPRODUCT(
  desp[valor] *
  (desp[nucleo]=$B99) *
  (desp[centro.negocio]=$B$94) *
  (desp[data.pagamento]&gt;=O$1) *
  (desp[data.pagamento]&lt;EOMONTH(O$1,0)+1)
)</f>
        <v>0</v>
      </c>
      <c r="P99" s="247" cm="1">
        <f t="array" ref="P99">-SUMPRODUCT(
  desp[valor] *
  (desp[nucleo]=$B99) *
  (desp[centro.negocio]=$B$94) *
  (desp[data.pagamento]&gt;=P$1) *
  (desp[data.pagamento]&lt;EOMONTH(P$1,0)+1)
)</f>
        <v>0</v>
      </c>
      <c r="Q99" s="247" cm="1">
        <f t="array" ref="Q99">-SUMPRODUCT(
  desp[valor] *
  (desp[nucleo]=$B99) *
  (desp[centro.negocio]=$B$94) *
  (desp[data.pagamento]&gt;=Q$1) *
  (desp[data.pagamento]&lt;EOMONTH(Q$1,0)+1)
)</f>
        <v>0</v>
      </c>
      <c r="R99" s="247" cm="1">
        <f t="array" ref="R99">-SUMPRODUCT(
  desp[valor] *
  (desp[nucleo]=$B99) *
  (desp[centro.negocio]=$B$94) *
  (desp[data.pagamento]&gt;=R$1) *
  (desp[data.pagamento]&lt;EOMONTH(R$1,0)+1)
)</f>
        <v>0</v>
      </c>
      <c r="T99" s="239">
        <f>SUM(D99:R99)</f>
        <v>0</v>
      </c>
    </row>
    <row r="100" spans="1:20" outlineLevel="2" x14ac:dyDescent="0.25">
      <c r="A100" s="246" t="s">
        <v>628</v>
      </c>
      <c r="B100" s="246" t="s">
        <v>560</v>
      </c>
      <c r="C100" s="193" t="s">
        <v>522</v>
      </c>
      <c r="D100" s="247" cm="1">
        <f t="array" ref="D100">-SUMPRODUCT(
  desp[valor] *
  (desp[nucleo]=$B100) *
  (desp[centro.negocio]=$B$94) *
  (desp[data.pagamento]&gt;=D$1) *
  (desp[data.pagamento]&lt;EOMONTH(D$1,0)+1)
)</f>
        <v>0</v>
      </c>
      <c r="E100" s="247" cm="1">
        <f t="array" ref="E100">-SUMPRODUCT(
  desp[valor] *
  (desp[nucleo]=$B100) *
  (desp[centro.negocio]=$B$94) *
  (desp[data.pagamento]&gt;=E$1) *
  (desp[data.pagamento]&lt;EOMONTH(E$1,0)+1)
)</f>
        <v>0</v>
      </c>
      <c r="F100" s="247" cm="1">
        <f t="array" ref="F100">-SUMPRODUCT(
  desp[valor] *
  (desp[nucleo]=$B100) *
  (desp[centro.negocio]=$B$94) *
  (desp[data.pagamento]&gt;=F$1) *
  (desp[data.pagamento]&lt;EOMONTH(F$1,0)+1)
)</f>
        <v>0</v>
      </c>
      <c r="G100" s="247" cm="1">
        <f t="array" ref="G100">-SUMPRODUCT(
  desp[valor] *
  (desp[nucleo]=$B100) *
  (desp[centro.negocio]=$B$94) *
  (desp[data.pagamento]&gt;=G$1) *
  (desp[data.pagamento]&lt;EOMONTH(G$1,0)+1)
)</f>
        <v>0</v>
      </c>
      <c r="H100" s="247" cm="1">
        <f t="array" ref="H100">-SUMPRODUCT(
  desp[valor] *
  (desp[nucleo]=$B100) *
  (desp[centro.negocio]=$B$94) *
  (desp[data.pagamento]&gt;=H$1) *
  (desp[data.pagamento]&lt;EOMONTH(H$1,0)+1)
)</f>
        <v>0</v>
      </c>
      <c r="I100" s="247" cm="1">
        <f t="array" ref="I100">-SUMPRODUCT(
  desp[valor] *
  (desp[nucleo]=$B100) *
  (desp[centro.negocio]=$B$94) *
  (desp[data.pagamento]&gt;=I$1) *
  (desp[data.pagamento]&lt;EOMONTH(I$1,0)+1)
)</f>
        <v>0</v>
      </c>
      <c r="J100" s="247" cm="1">
        <f t="array" ref="J100">-SUMPRODUCT(
  desp[valor] *
  (desp[nucleo]=$B100) *
  (desp[centro.negocio]=$B$94) *
  (desp[data.pagamento]&gt;=J$1) *
  (desp[data.pagamento]&lt;EOMONTH(J$1,0)+1)
)</f>
        <v>0</v>
      </c>
      <c r="K100" s="247" cm="1">
        <f t="array" ref="K100">-SUMPRODUCT(
  desp[valor] *
  (desp[nucleo]=$B100) *
  (desp[centro.negocio]=$B$94) *
  (desp[data.pagamento]&gt;=K$1) *
  (desp[data.pagamento]&lt;EOMONTH(K$1,0)+1)
)</f>
        <v>0</v>
      </c>
      <c r="L100" s="247" cm="1">
        <f t="array" ref="L100">-SUMPRODUCT(
  desp[valor] *
  (desp[nucleo]=$B100) *
  (desp[centro.negocio]=$B$94) *
  (desp[data.pagamento]&gt;=L$1) *
  (desp[data.pagamento]&lt;EOMONTH(L$1,0)+1)
)</f>
        <v>0</v>
      </c>
      <c r="M100" s="247" cm="1">
        <f t="array" ref="M100">-SUMPRODUCT(
  desp[valor] *
  (desp[nucleo]=$B100) *
  (desp[centro.negocio]=$B$94) *
  (desp[data.pagamento]&gt;=M$1) *
  (desp[data.pagamento]&lt;EOMONTH(M$1,0)+1)
)</f>
        <v>0</v>
      </c>
      <c r="N100" s="247" cm="1">
        <f t="array" ref="N100">-SUMPRODUCT(
  desp[valor] *
  (desp[nucleo]=$B100) *
  (desp[centro.negocio]=$B$94) *
  (desp[data.pagamento]&gt;=N$1) *
  (desp[data.pagamento]&lt;EOMONTH(N$1,0)+1)
)</f>
        <v>0</v>
      </c>
      <c r="O100" s="247" cm="1">
        <f t="array" ref="O100">-SUMPRODUCT(
  desp[valor] *
  (desp[nucleo]=$B100) *
  (desp[centro.negocio]=$B$94) *
  (desp[data.pagamento]&gt;=O$1) *
  (desp[data.pagamento]&lt;EOMONTH(O$1,0)+1)
)</f>
        <v>0</v>
      </c>
      <c r="P100" s="247" cm="1">
        <f t="array" ref="P100">-SUMPRODUCT(
  desp[valor] *
  (desp[nucleo]=$B100) *
  (desp[centro.negocio]=$B$94) *
  (desp[data.pagamento]&gt;=P$1) *
  (desp[data.pagamento]&lt;EOMONTH(P$1,0)+1)
)</f>
        <v>0</v>
      </c>
      <c r="Q100" s="247" cm="1">
        <f t="array" ref="Q100">-SUMPRODUCT(
  desp[valor] *
  (desp[nucleo]=$B100) *
  (desp[centro.negocio]=$B$94) *
  (desp[data.pagamento]&gt;=Q$1) *
  (desp[data.pagamento]&lt;EOMONTH(Q$1,0)+1)
)</f>
        <v>0</v>
      </c>
      <c r="R100" s="247" cm="1">
        <f t="array" ref="R100">-SUMPRODUCT(
  desp[valor] *
  (desp[nucleo]=$B100) *
  (desp[centro.negocio]=$B$94) *
  (desp[data.pagamento]&gt;=R$1) *
  (desp[data.pagamento]&lt;EOMONTH(R$1,0)+1)
)</f>
        <v>0</v>
      </c>
      <c r="T100" s="239">
        <f>SUM(D100:R100)</f>
        <v>0</v>
      </c>
    </row>
    <row r="101" spans="1:20" outlineLevel="2" x14ac:dyDescent="0.25">
      <c r="A101" s="246" t="s">
        <v>629</v>
      </c>
      <c r="B101" s="246" t="s">
        <v>550</v>
      </c>
      <c r="C101" s="193" t="s">
        <v>522</v>
      </c>
      <c r="D101" s="247" cm="1">
        <f t="array" ref="D101">-SUMPRODUCT(
  desp[valor] *
  (desp[nucleo]=$B101) *
  (desp[centro.negocio]=$B$94) *
  (desp[data.pagamento]&gt;=D$1) *
  (desp[data.pagamento]&lt;EOMONTH(D$1,0)+1)
)</f>
        <v>0</v>
      </c>
      <c r="E101" s="247" cm="1">
        <f t="array" ref="E101">-SUMPRODUCT(
  desp[valor] *
  (desp[nucleo]=$B101) *
  (desp[centro.negocio]=$B$94) *
  (desp[data.pagamento]&gt;=E$1) *
  (desp[data.pagamento]&lt;EOMONTH(E$1,0)+1)
)</f>
        <v>0</v>
      </c>
      <c r="F101" s="247" cm="1">
        <f t="array" ref="F101">-SUMPRODUCT(
  desp[valor] *
  (desp[nucleo]=$B101) *
  (desp[centro.negocio]=$B$94) *
  (desp[data.pagamento]&gt;=F$1) *
  (desp[data.pagamento]&lt;EOMONTH(F$1,0)+1)
)</f>
        <v>0</v>
      </c>
      <c r="G101" s="247" cm="1">
        <f t="array" ref="G101">-SUMPRODUCT(
  desp[valor] *
  (desp[nucleo]=$B101) *
  (desp[centro.negocio]=$B$94) *
  (desp[data.pagamento]&gt;=G$1) *
  (desp[data.pagamento]&lt;EOMONTH(G$1,0)+1)
)</f>
        <v>0</v>
      </c>
      <c r="H101" s="247" cm="1">
        <f t="array" ref="H101">-SUMPRODUCT(
  desp[valor] *
  (desp[nucleo]=$B101) *
  (desp[centro.negocio]=$B$94) *
  (desp[data.pagamento]&gt;=H$1) *
  (desp[data.pagamento]&lt;EOMONTH(H$1,0)+1)
)</f>
        <v>0</v>
      </c>
      <c r="I101" s="247" cm="1">
        <f t="array" ref="I101">-SUMPRODUCT(
  desp[valor] *
  (desp[nucleo]=$B101) *
  (desp[centro.negocio]=$B$94) *
  (desp[data.pagamento]&gt;=I$1) *
  (desp[data.pagamento]&lt;EOMONTH(I$1,0)+1)
)</f>
        <v>0</v>
      </c>
      <c r="J101" s="247" cm="1">
        <f t="array" ref="J101">-SUMPRODUCT(
  desp[valor] *
  (desp[nucleo]=$B101) *
  (desp[centro.negocio]=$B$94) *
  (desp[data.pagamento]&gt;=J$1) *
  (desp[data.pagamento]&lt;EOMONTH(J$1,0)+1)
)</f>
        <v>0</v>
      </c>
      <c r="K101" s="247" cm="1">
        <f t="array" ref="K101">-SUMPRODUCT(
  desp[valor] *
  (desp[nucleo]=$B101) *
  (desp[centro.negocio]=$B$94) *
  (desp[data.pagamento]&gt;=K$1) *
  (desp[data.pagamento]&lt;EOMONTH(K$1,0)+1)
)</f>
        <v>0</v>
      </c>
      <c r="L101" s="247" cm="1">
        <f t="array" ref="L101">-SUMPRODUCT(
  desp[valor] *
  (desp[nucleo]=$B101) *
  (desp[centro.negocio]=$B$94) *
  (desp[data.pagamento]&gt;=L$1) *
  (desp[data.pagamento]&lt;EOMONTH(L$1,0)+1)
)</f>
        <v>0</v>
      </c>
      <c r="M101" s="247" cm="1">
        <f t="array" ref="M101">-SUMPRODUCT(
  desp[valor] *
  (desp[nucleo]=$B101) *
  (desp[centro.negocio]=$B$94) *
  (desp[data.pagamento]&gt;=M$1) *
  (desp[data.pagamento]&lt;EOMONTH(M$1,0)+1)
)</f>
        <v>0</v>
      </c>
      <c r="N101" s="247" cm="1">
        <f t="array" ref="N101">-SUMPRODUCT(
  desp[valor] *
  (desp[nucleo]=$B101) *
  (desp[centro.negocio]=$B$94) *
  (desp[data.pagamento]&gt;=N$1) *
  (desp[data.pagamento]&lt;EOMONTH(N$1,0)+1)
)</f>
        <v>0</v>
      </c>
      <c r="O101" s="247" cm="1">
        <f t="array" ref="O101">-SUMPRODUCT(
  desp[valor] *
  (desp[nucleo]=$B101) *
  (desp[centro.negocio]=$B$94) *
  (desp[data.pagamento]&gt;=O$1) *
  (desp[data.pagamento]&lt;EOMONTH(O$1,0)+1)
)</f>
        <v>0</v>
      </c>
      <c r="P101" s="247" cm="1">
        <f t="array" ref="P101">-SUMPRODUCT(
  desp[valor] *
  (desp[nucleo]=$B101) *
  (desp[centro.negocio]=$B$94) *
  (desp[data.pagamento]&gt;=P$1) *
  (desp[data.pagamento]&lt;EOMONTH(P$1,0)+1)
)</f>
        <v>0</v>
      </c>
      <c r="Q101" s="247" cm="1">
        <f t="array" ref="Q101">-SUMPRODUCT(
  desp[valor] *
  (desp[nucleo]=$B101) *
  (desp[centro.negocio]=$B$94) *
  (desp[data.pagamento]&gt;=Q$1) *
  (desp[data.pagamento]&lt;EOMONTH(Q$1,0)+1)
)</f>
        <v>0</v>
      </c>
      <c r="R101" s="247" cm="1">
        <f t="array" ref="R101">-SUMPRODUCT(
  desp[valor] *
  (desp[nucleo]=$B101) *
  (desp[centro.negocio]=$B$94) *
  (desp[data.pagamento]&gt;=R$1) *
  (desp[data.pagamento]&lt;EOMONTH(R$1,0)+1)
)</f>
        <v>0</v>
      </c>
      <c r="T101" s="239">
        <f>SUM(D101:R101)</f>
        <v>0</v>
      </c>
    </row>
    <row r="102" spans="1:20" outlineLevel="2" x14ac:dyDescent="0.25">
      <c r="A102" s="246" t="s">
        <v>630</v>
      </c>
      <c r="B102" s="246" t="s">
        <v>631</v>
      </c>
      <c r="C102" s="193" t="s">
        <v>522</v>
      </c>
      <c r="D102" s="247" cm="1">
        <f t="array" ref="D102">-SUMPRODUCT(
  desp[valor] *
  (desp[nucleo]=$B102) *
  (desp[centro.negocio]=$B$94) *
  (desp[data.pagamento]&gt;=D$1) *
  (desp[data.pagamento]&lt;EOMONTH(D$1,0)+1)
)</f>
        <v>0</v>
      </c>
      <c r="E102" s="247" cm="1">
        <f t="array" ref="E102">-SUMPRODUCT(
  desp[valor] *
  (desp[nucleo]=$B102) *
  (desp[centro.negocio]=$B$94) *
  (desp[data.pagamento]&gt;=E$1) *
  (desp[data.pagamento]&lt;EOMONTH(E$1,0)+1)
)</f>
        <v>0</v>
      </c>
      <c r="F102" s="247" cm="1">
        <f t="array" ref="F102">-SUMPRODUCT(
  desp[valor] *
  (desp[nucleo]=$B102) *
  (desp[centro.negocio]=$B$94) *
  (desp[data.pagamento]&gt;=F$1) *
  (desp[data.pagamento]&lt;EOMONTH(F$1,0)+1)
)</f>
        <v>0</v>
      </c>
      <c r="G102" s="247" cm="1">
        <f t="array" ref="G102">-SUMPRODUCT(
  desp[valor] *
  (desp[nucleo]=$B102) *
  (desp[centro.negocio]=$B$94) *
  (desp[data.pagamento]&gt;=G$1) *
  (desp[data.pagamento]&lt;EOMONTH(G$1,0)+1)
)</f>
        <v>0</v>
      </c>
      <c r="H102" s="247" cm="1">
        <f t="array" ref="H102">-SUMPRODUCT(
  desp[valor] *
  (desp[nucleo]=$B102) *
  (desp[centro.negocio]=$B$94) *
  (desp[data.pagamento]&gt;=H$1) *
  (desp[data.pagamento]&lt;EOMONTH(H$1,0)+1)
)</f>
        <v>0</v>
      </c>
      <c r="I102" s="247" cm="1">
        <f t="array" ref="I102">-SUMPRODUCT(
  desp[valor] *
  (desp[nucleo]=$B102) *
  (desp[centro.negocio]=$B$94) *
  (desp[data.pagamento]&gt;=I$1) *
  (desp[data.pagamento]&lt;EOMONTH(I$1,0)+1)
)</f>
        <v>0</v>
      </c>
      <c r="J102" s="247" cm="1">
        <f t="array" ref="J102">-SUMPRODUCT(
  desp[valor] *
  (desp[nucleo]=$B102) *
  (desp[centro.negocio]=$B$94) *
  (desp[data.pagamento]&gt;=J$1) *
  (desp[data.pagamento]&lt;EOMONTH(J$1,0)+1)
)</f>
        <v>0</v>
      </c>
      <c r="K102" s="247" cm="1">
        <f t="array" ref="K102">-SUMPRODUCT(
  desp[valor] *
  (desp[nucleo]=$B102) *
  (desp[centro.negocio]=$B$94) *
  (desp[data.pagamento]&gt;=K$1) *
  (desp[data.pagamento]&lt;EOMONTH(K$1,0)+1)
)</f>
        <v>0</v>
      </c>
      <c r="L102" s="247" cm="1">
        <f t="array" ref="L102">-SUMPRODUCT(
  desp[valor] *
  (desp[nucleo]=$B102) *
  (desp[centro.negocio]=$B$94) *
  (desp[data.pagamento]&gt;=L$1) *
  (desp[data.pagamento]&lt;EOMONTH(L$1,0)+1)
)</f>
        <v>0</v>
      </c>
      <c r="M102" s="247" cm="1">
        <f t="array" ref="M102">-SUMPRODUCT(
  desp[valor] *
  (desp[nucleo]=$B102) *
  (desp[centro.negocio]=$B$94) *
  (desp[data.pagamento]&gt;=M$1) *
  (desp[data.pagamento]&lt;EOMONTH(M$1,0)+1)
)</f>
        <v>0</v>
      </c>
      <c r="N102" s="247" cm="1">
        <f t="array" ref="N102">-SUMPRODUCT(
  desp[valor] *
  (desp[nucleo]=$B102) *
  (desp[centro.negocio]=$B$94) *
  (desp[data.pagamento]&gt;=N$1) *
  (desp[data.pagamento]&lt;EOMONTH(N$1,0)+1)
)</f>
        <v>0</v>
      </c>
      <c r="O102" s="247" cm="1">
        <f t="array" ref="O102">-SUMPRODUCT(
  desp[valor] *
  (desp[nucleo]=$B102) *
  (desp[centro.negocio]=$B$94) *
  (desp[data.pagamento]&gt;=O$1) *
  (desp[data.pagamento]&lt;EOMONTH(O$1,0)+1)
)</f>
        <v>0</v>
      </c>
      <c r="P102" s="247" cm="1">
        <f t="array" ref="P102">-SUMPRODUCT(
  desp[valor] *
  (desp[nucleo]=$B102) *
  (desp[centro.negocio]=$B$94) *
  (desp[data.pagamento]&gt;=P$1) *
  (desp[data.pagamento]&lt;EOMONTH(P$1,0)+1)
)</f>
        <v>0</v>
      </c>
      <c r="Q102" s="247" cm="1">
        <f t="array" ref="Q102">-SUMPRODUCT(
  desp[valor] *
  (desp[nucleo]=$B102) *
  (desp[centro.negocio]=$B$94) *
  (desp[data.pagamento]&gt;=Q$1) *
  (desp[data.pagamento]&lt;EOMONTH(Q$1,0)+1)
)</f>
        <v>0</v>
      </c>
      <c r="R102" s="247" cm="1">
        <f t="array" ref="R102">-SUMPRODUCT(
  desp[valor] *
  (desp[nucleo]=$B102) *
  (desp[centro.negocio]=$B$94) *
  (desp[data.pagamento]&gt;=R$1) *
  (desp[data.pagamento]&lt;EOMONTH(R$1,0)+1)
)</f>
        <v>0</v>
      </c>
      <c r="T102" s="239">
        <f t="shared" ref="T102" si="42">SUM(D102:R102)</f>
        <v>0</v>
      </c>
    </row>
    <row r="103" spans="1:20" outlineLevel="2" x14ac:dyDescent="0.25">
      <c r="A103" s="246" t="s">
        <v>632</v>
      </c>
      <c r="B103" s="246" t="s">
        <v>585</v>
      </c>
      <c r="C103" s="193" t="s">
        <v>522</v>
      </c>
      <c r="D103" s="247" cm="1">
        <f t="array" ref="D103">-SUMPRODUCT(
  desp[valor] *
  (desp[nucleo]=$B103) *
  (desp[centro.negocio]=$B$94) *
  (desp[data.pagamento]&gt;=D$1) *
  (desp[data.pagamento]&lt;EOMONTH(D$1,0)+1)
)</f>
        <v>0</v>
      </c>
      <c r="E103" s="247" cm="1">
        <f t="array" ref="E103">-SUMPRODUCT(
  desp[valor] *
  (desp[nucleo]=$B103) *
  (desp[centro.negocio]=$B$94) *
  (desp[data.pagamento]&gt;=E$1) *
  (desp[data.pagamento]&lt;EOMONTH(E$1,0)+1)
)</f>
        <v>0</v>
      </c>
      <c r="F103" s="247" cm="1">
        <f t="array" ref="F103">-SUMPRODUCT(
  desp[valor] *
  (desp[nucleo]=$B103) *
  (desp[centro.negocio]=$B$94) *
  (desp[data.pagamento]&gt;=F$1) *
  (desp[data.pagamento]&lt;EOMONTH(F$1,0)+1)
)</f>
        <v>0</v>
      </c>
      <c r="G103" s="247" cm="1">
        <f t="array" ref="G103">-SUMPRODUCT(
  desp[valor] *
  (desp[nucleo]=$B103) *
  (desp[centro.negocio]=$B$94) *
  (desp[data.pagamento]&gt;=G$1) *
  (desp[data.pagamento]&lt;EOMONTH(G$1,0)+1)
)</f>
        <v>0</v>
      </c>
      <c r="H103" s="247" cm="1">
        <f t="array" ref="H103">-SUMPRODUCT(
  desp[valor] *
  (desp[nucleo]=$B103) *
  (desp[centro.negocio]=$B$94) *
  (desp[data.pagamento]&gt;=H$1) *
  (desp[data.pagamento]&lt;EOMONTH(H$1,0)+1)
)</f>
        <v>0</v>
      </c>
      <c r="I103" s="247" cm="1">
        <f t="array" ref="I103">-SUMPRODUCT(
  desp[valor] *
  (desp[nucleo]=$B103) *
  (desp[centro.negocio]=$B$94) *
  (desp[data.pagamento]&gt;=I$1) *
  (desp[data.pagamento]&lt;EOMONTH(I$1,0)+1)
)</f>
        <v>0</v>
      </c>
      <c r="J103" s="247" cm="1">
        <f t="array" ref="J103">-SUMPRODUCT(
  desp[valor] *
  (desp[nucleo]=$B103) *
  (desp[centro.negocio]=$B$94) *
  (desp[data.pagamento]&gt;=J$1) *
  (desp[data.pagamento]&lt;EOMONTH(J$1,0)+1)
)</f>
        <v>0</v>
      </c>
      <c r="K103" s="247" cm="1">
        <f t="array" ref="K103">-SUMPRODUCT(
  desp[valor] *
  (desp[nucleo]=$B103) *
  (desp[centro.negocio]=$B$94) *
  (desp[data.pagamento]&gt;=K$1) *
  (desp[data.pagamento]&lt;EOMONTH(K$1,0)+1)
)</f>
        <v>0</v>
      </c>
      <c r="L103" s="247" cm="1">
        <f t="array" ref="L103">-SUMPRODUCT(
  desp[valor] *
  (desp[nucleo]=$B103) *
  (desp[centro.negocio]=$B$94) *
  (desp[data.pagamento]&gt;=L$1) *
  (desp[data.pagamento]&lt;EOMONTH(L$1,0)+1)
)</f>
        <v>0</v>
      </c>
      <c r="M103" s="247" cm="1">
        <f t="array" ref="M103">-SUMPRODUCT(
  desp[valor] *
  (desp[nucleo]=$B103) *
  (desp[centro.negocio]=$B$94) *
  (desp[data.pagamento]&gt;=M$1) *
  (desp[data.pagamento]&lt;EOMONTH(M$1,0)+1)
)</f>
        <v>0</v>
      </c>
      <c r="N103" s="247" cm="1">
        <f t="array" ref="N103">-SUMPRODUCT(
  desp[valor] *
  (desp[nucleo]=$B103) *
  (desp[centro.negocio]=$B$94) *
  (desp[data.pagamento]&gt;=N$1) *
  (desp[data.pagamento]&lt;EOMONTH(N$1,0)+1)
)</f>
        <v>0</v>
      </c>
      <c r="O103" s="247" cm="1">
        <f t="array" ref="O103">-SUMPRODUCT(
  desp[valor] *
  (desp[nucleo]=$B103) *
  (desp[centro.negocio]=$B$94) *
  (desp[data.pagamento]&gt;=O$1) *
  (desp[data.pagamento]&lt;EOMONTH(O$1,0)+1)
)</f>
        <v>0</v>
      </c>
      <c r="P103" s="247" cm="1">
        <f t="array" ref="P103">-SUMPRODUCT(
  desp[valor] *
  (desp[nucleo]=$B103) *
  (desp[centro.negocio]=$B$94) *
  (desp[data.pagamento]&gt;=P$1) *
  (desp[data.pagamento]&lt;EOMONTH(P$1,0)+1)
)</f>
        <v>0</v>
      </c>
      <c r="Q103" s="247" cm="1">
        <f t="array" ref="Q103">-SUMPRODUCT(
  desp[valor] *
  (desp[nucleo]=$B103) *
  (desp[centro.negocio]=$B$94) *
  (desp[data.pagamento]&gt;=Q$1) *
  (desp[data.pagamento]&lt;EOMONTH(Q$1,0)+1)
)</f>
        <v>0</v>
      </c>
      <c r="R103" s="247" cm="1">
        <f t="array" ref="R103">-SUMPRODUCT(
  desp[valor] *
  (desp[nucleo]=$B103) *
  (desp[centro.negocio]=$B$94) *
  (desp[data.pagamento]&gt;=R$1) *
  (desp[data.pagamento]&lt;EOMONTH(R$1,0)+1)
)</f>
        <v>0</v>
      </c>
      <c r="T103" s="239">
        <f>SUM(D103:R103)</f>
        <v>0</v>
      </c>
    </row>
    <row r="104" spans="1:20" outlineLevel="2" x14ac:dyDescent="0.25">
      <c r="A104" s="246" t="s">
        <v>633</v>
      </c>
      <c r="B104" s="246" t="s">
        <v>596</v>
      </c>
      <c r="C104" s="193" t="s">
        <v>522</v>
      </c>
      <c r="D104" s="247" cm="1">
        <f t="array" ref="D104">-SUMPRODUCT(
  desp[valor] *
  (desp[nucleo]=$B104) *
  (desp[centro.negocio]=$B$94) *
  (desp[data.pagamento]&gt;=D$1) *
  (desp[data.pagamento]&lt;EOMONTH(D$1,0)+1)
)</f>
        <v>0</v>
      </c>
      <c r="E104" s="247" cm="1">
        <f t="array" ref="E104">-SUMPRODUCT(
  desp[valor] *
  (desp[nucleo]=$B104) *
  (desp[centro.negocio]=$B$94) *
  (desp[data.pagamento]&gt;=E$1) *
  (desp[data.pagamento]&lt;EOMONTH(E$1,0)+1)
)</f>
        <v>0</v>
      </c>
      <c r="F104" s="247" cm="1">
        <f t="array" ref="F104">-SUMPRODUCT(
  desp[valor] *
  (desp[nucleo]=$B104) *
  (desp[centro.negocio]=$B$94) *
  (desp[data.pagamento]&gt;=F$1) *
  (desp[data.pagamento]&lt;EOMONTH(F$1,0)+1)
)</f>
        <v>0</v>
      </c>
      <c r="G104" s="247" cm="1">
        <f t="array" ref="G104">-SUMPRODUCT(
  desp[valor] *
  (desp[nucleo]=$B104) *
  (desp[centro.negocio]=$B$94) *
  (desp[data.pagamento]&gt;=G$1) *
  (desp[data.pagamento]&lt;EOMONTH(G$1,0)+1)
)</f>
        <v>0</v>
      </c>
      <c r="H104" s="247" cm="1">
        <f t="array" ref="H104">-SUMPRODUCT(
  desp[valor] *
  (desp[nucleo]=$B104) *
  (desp[centro.negocio]=$B$94) *
  (desp[data.pagamento]&gt;=H$1) *
  (desp[data.pagamento]&lt;EOMONTH(H$1,0)+1)
)</f>
        <v>0</v>
      </c>
      <c r="I104" s="247" cm="1">
        <f t="array" ref="I104">-SUMPRODUCT(
  desp[valor] *
  (desp[nucleo]=$B104) *
  (desp[centro.negocio]=$B$94) *
  (desp[data.pagamento]&gt;=I$1) *
  (desp[data.pagamento]&lt;EOMONTH(I$1,0)+1)
)</f>
        <v>0</v>
      </c>
      <c r="J104" s="247" cm="1">
        <f t="array" ref="J104">-SUMPRODUCT(
  desp[valor] *
  (desp[nucleo]=$B104) *
  (desp[centro.negocio]=$B$94) *
  (desp[data.pagamento]&gt;=J$1) *
  (desp[data.pagamento]&lt;EOMONTH(J$1,0)+1)
)</f>
        <v>0</v>
      </c>
      <c r="K104" s="247" cm="1">
        <f t="array" ref="K104">-SUMPRODUCT(
  desp[valor] *
  (desp[nucleo]=$B104) *
  (desp[centro.negocio]=$B$94) *
  (desp[data.pagamento]&gt;=K$1) *
  (desp[data.pagamento]&lt;EOMONTH(K$1,0)+1)
)</f>
        <v>0</v>
      </c>
      <c r="L104" s="247" cm="1">
        <f t="array" ref="L104">-SUMPRODUCT(
  desp[valor] *
  (desp[nucleo]=$B104) *
  (desp[centro.negocio]=$B$94) *
  (desp[data.pagamento]&gt;=L$1) *
  (desp[data.pagamento]&lt;EOMONTH(L$1,0)+1)
)</f>
        <v>0</v>
      </c>
      <c r="M104" s="247" cm="1">
        <f t="array" ref="M104">-SUMPRODUCT(
  desp[valor] *
  (desp[nucleo]=$B104) *
  (desp[centro.negocio]=$B$94) *
  (desp[data.pagamento]&gt;=M$1) *
  (desp[data.pagamento]&lt;EOMONTH(M$1,0)+1)
)</f>
        <v>0</v>
      </c>
      <c r="N104" s="247" cm="1">
        <f t="array" ref="N104">-SUMPRODUCT(
  desp[valor] *
  (desp[nucleo]=$B104) *
  (desp[centro.negocio]=$B$94) *
  (desp[data.pagamento]&gt;=N$1) *
  (desp[data.pagamento]&lt;EOMONTH(N$1,0)+1)
)</f>
        <v>0</v>
      </c>
      <c r="O104" s="247" cm="1">
        <f t="array" ref="O104">-SUMPRODUCT(
  desp[valor] *
  (desp[nucleo]=$B104) *
  (desp[centro.negocio]=$B$94) *
  (desp[data.pagamento]&gt;=O$1) *
  (desp[data.pagamento]&lt;EOMONTH(O$1,0)+1)
)</f>
        <v>0</v>
      </c>
      <c r="P104" s="247" cm="1">
        <f t="array" ref="P104">-SUMPRODUCT(
  desp[valor] *
  (desp[nucleo]=$B104) *
  (desp[centro.negocio]=$B$94) *
  (desp[data.pagamento]&gt;=P$1) *
  (desp[data.pagamento]&lt;EOMONTH(P$1,0)+1)
)</f>
        <v>0</v>
      </c>
      <c r="Q104" s="247" cm="1">
        <f t="array" ref="Q104">-SUMPRODUCT(
  desp[valor] *
  (desp[nucleo]=$B104) *
  (desp[centro.negocio]=$B$94) *
  (desp[data.pagamento]&gt;=Q$1) *
  (desp[data.pagamento]&lt;EOMONTH(Q$1,0)+1)
)</f>
        <v>0</v>
      </c>
      <c r="R104" s="247" cm="1">
        <f t="array" ref="R104">-SUMPRODUCT(
  desp[valor] *
  (desp[nucleo]=$B104) *
  (desp[centro.negocio]=$B$94) *
  (desp[data.pagamento]&gt;=R$1) *
  (desp[data.pagamento]&lt;EOMONTH(R$1,0)+1)
)</f>
        <v>0</v>
      </c>
      <c r="T104" s="239">
        <f t="shared" ref="T104" si="43">SUM(D104:R104)</f>
        <v>0</v>
      </c>
    </row>
    <row r="105" spans="1:20" outlineLevel="2" x14ac:dyDescent="0.25">
      <c r="A105" s="246" t="s">
        <v>634</v>
      </c>
      <c r="B105" s="246" t="s">
        <v>552</v>
      </c>
      <c r="C105" s="193" t="s">
        <v>522</v>
      </c>
      <c r="D105" s="247" cm="1">
        <f t="array" ref="D105">-SUMPRODUCT(
  desp[valor] *
  (desp[nucleo]=$B105) *
  (desp[centro.negocio]=$B$94) *
  (desp[data.pagamento]&gt;=D$1) *
  (desp[data.pagamento]&lt;EOMONTH(D$1,0)+1)
)</f>
        <v>0</v>
      </c>
      <c r="E105" s="247" cm="1">
        <f t="array" ref="E105">-SUMPRODUCT(
  desp[valor] *
  (desp[nucleo]=$B105) *
  (desp[centro.negocio]=$B$94) *
  (desp[data.pagamento]&gt;=E$1) *
  (desp[data.pagamento]&lt;EOMONTH(E$1,0)+1)
)</f>
        <v>0</v>
      </c>
      <c r="F105" s="247" cm="1">
        <f t="array" ref="F105">-SUMPRODUCT(
  desp[valor] *
  (desp[nucleo]=$B105) *
  (desp[centro.negocio]=$B$94) *
  (desp[data.pagamento]&gt;=F$1) *
  (desp[data.pagamento]&lt;EOMONTH(F$1,0)+1)
)</f>
        <v>0</v>
      </c>
      <c r="G105" s="247" cm="1">
        <f t="array" ref="G105">-SUMPRODUCT(
  desp[valor] *
  (desp[nucleo]=$B105) *
  (desp[centro.negocio]=$B$94) *
  (desp[data.pagamento]&gt;=G$1) *
  (desp[data.pagamento]&lt;EOMONTH(G$1,0)+1)
)</f>
        <v>0</v>
      </c>
      <c r="H105" s="247" cm="1">
        <f t="array" ref="H105">-SUMPRODUCT(
  desp[valor] *
  (desp[nucleo]=$B105) *
  (desp[centro.negocio]=$B$94) *
  (desp[data.pagamento]&gt;=H$1) *
  (desp[data.pagamento]&lt;EOMONTH(H$1,0)+1)
)</f>
        <v>0</v>
      </c>
      <c r="I105" s="247" cm="1">
        <f t="array" ref="I105">-SUMPRODUCT(
  desp[valor] *
  (desp[nucleo]=$B105) *
  (desp[centro.negocio]=$B$94) *
  (desp[data.pagamento]&gt;=I$1) *
  (desp[data.pagamento]&lt;EOMONTH(I$1,0)+1)
)</f>
        <v>0</v>
      </c>
      <c r="J105" s="247" cm="1">
        <f t="array" ref="J105">-SUMPRODUCT(
  desp[valor] *
  (desp[nucleo]=$B105) *
  (desp[centro.negocio]=$B$94) *
  (desp[data.pagamento]&gt;=J$1) *
  (desp[data.pagamento]&lt;EOMONTH(J$1,0)+1)
)</f>
        <v>0</v>
      </c>
      <c r="K105" s="247" cm="1">
        <f t="array" ref="K105">-SUMPRODUCT(
  desp[valor] *
  (desp[nucleo]=$B105) *
  (desp[centro.negocio]=$B$94) *
  (desp[data.pagamento]&gt;=K$1) *
  (desp[data.pagamento]&lt;EOMONTH(K$1,0)+1)
)</f>
        <v>0</v>
      </c>
      <c r="L105" s="247" cm="1">
        <f t="array" ref="L105">-SUMPRODUCT(
  desp[valor] *
  (desp[nucleo]=$B105) *
  (desp[centro.negocio]=$B$94) *
  (desp[data.pagamento]&gt;=L$1) *
  (desp[data.pagamento]&lt;EOMONTH(L$1,0)+1)
)</f>
        <v>0</v>
      </c>
      <c r="M105" s="247" cm="1">
        <f t="array" ref="M105">-SUMPRODUCT(
  desp[valor] *
  (desp[nucleo]=$B105) *
  (desp[centro.negocio]=$B$94) *
  (desp[data.pagamento]&gt;=M$1) *
  (desp[data.pagamento]&lt;EOMONTH(M$1,0)+1)
)</f>
        <v>0</v>
      </c>
      <c r="N105" s="247" cm="1">
        <f t="array" ref="N105">-SUMPRODUCT(
  desp[valor] *
  (desp[nucleo]=$B105) *
  (desp[centro.negocio]=$B$94) *
  (desp[data.pagamento]&gt;=N$1) *
  (desp[data.pagamento]&lt;EOMONTH(N$1,0)+1)
)</f>
        <v>0</v>
      </c>
      <c r="O105" s="247" cm="1">
        <f t="array" ref="O105">-SUMPRODUCT(
  desp[valor] *
  (desp[nucleo]=$B105) *
  (desp[centro.negocio]=$B$94) *
  (desp[data.pagamento]&gt;=O$1) *
  (desp[data.pagamento]&lt;EOMONTH(O$1,0)+1)
)</f>
        <v>0</v>
      </c>
      <c r="P105" s="247" cm="1">
        <f t="array" ref="P105">-SUMPRODUCT(
  desp[valor] *
  (desp[nucleo]=$B105) *
  (desp[centro.negocio]=$B$94) *
  (desp[data.pagamento]&gt;=P$1) *
  (desp[data.pagamento]&lt;EOMONTH(P$1,0)+1)
)</f>
        <v>0</v>
      </c>
      <c r="Q105" s="247" cm="1">
        <f t="array" ref="Q105">-SUMPRODUCT(
  desp[valor] *
  (desp[nucleo]=$B105) *
  (desp[centro.negocio]=$B$94) *
  (desp[data.pagamento]&gt;=Q$1) *
  (desp[data.pagamento]&lt;EOMONTH(Q$1,0)+1)
)</f>
        <v>0</v>
      </c>
      <c r="R105" s="247" cm="1">
        <f t="array" ref="R105">-SUMPRODUCT(
  desp[valor] *
  (desp[nucleo]=$B105) *
  (desp[centro.negocio]=$B$94) *
  (desp[data.pagamento]&gt;=R$1) *
  (desp[data.pagamento]&lt;EOMONTH(R$1,0)+1)
)</f>
        <v>0</v>
      </c>
      <c r="T105" s="239">
        <f>SUM(D105:R105)</f>
        <v>0</v>
      </c>
    </row>
    <row r="106" spans="1:20" outlineLevel="2" x14ac:dyDescent="0.25">
      <c r="A106" s="246" t="s">
        <v>635</v>
      </c>
      <c r="B106" s="246" t="s">
        <v>548</v>
      </c>
      <c r="C106" s="193" t="s">
        <v>522</v>
      </c>
      <c r="D106" s="247" cm="1">
        <f t="array" ref="D106">-SUMPRODUCT(
  desp[valor] *
  (desp[nucleo]=$B106) *
  (desp[centro.negocio]=$B$94) *
  (desp[data.pagamento]&gt;=D$1) *
  (desp[data.pagamento]&lt;EOMONTH(D$1,0)+1)
)</f>
        <v>0</v>
      </c>
      <c r="E106" s="247" cm="1">
        <f t="array" ref="E106">-SUMPRODUCT(
  desp[valor] *
  (desp[nucleo]=$B106) *
  (desp[centro.negocio]=$B$94) *
  (desp[data.pagamento]&gt;=E$1) *
  (desp[data.pagamento]&lt;EOMONTH(E$1,0)+1)
)</f>
        <v>0</v>
      </c>
      <c r="F106" s="247" cm="1">
        <f t="array" ref="F106">-SUMPRODUCT(
  desp[valor] *
  (desp[nucleo]=$B106) *
  (desp[centro.negocio]=$B$94) *
  (desp[data.pagamento]&gt;=F$1) *
  (desp[data.pagamento]&lt;EOMONTH(F$1,0)+1)
)</f>
        <v>0</v>
      </c>
      <c r="G106" s="247" cm="1">
        <f t="array" ref="G106">-SUMPRODUCT(
  desp[valor] *
  (desp[nucleo]=$B106) *
  (desp[centro.negocio]=$B$94) *
  (desp[data.pagamento]&gt;=G$1) *
  (desp[data.pagamento]&lt;EOMONTH(G$1,0)+1)
)</f>
        <v>0</v>
      </c>
      <c r="H106" s="247" cm="1">
        <f t="array" ref="H106">-SUMPRODUCT(
  desp[valor] *
  (desp[nucleo]=$B106) *
  (desp[centro.negocio]=$B$94) *
  (desp[data.pagamento]&gt;=H$1) *
  (desp[data.pagamento]&lt;EOMONTH(H$1,0)+1)
)</f>
        <v>0</v>
      </c>
      <c r="I106" s="247" cm="1">
        <f t="array" ref="I106">-SUMPRODUCT(
  desp[valor] *
  (desp[nucleo]=$B106) *
  (desp[centro.negocio]=$B$94) *
  (desp[data.pagamento]&gt;=I$1) *
  (desp[data.pagamento]&lt;EOMONTH(I$1,0)+1)
)</f>
        <v>0</v>
      </c>
      <c r="J106" s="247" cm="1">
        <f t="array" ref="J106">-SUMPRODUCT(
  desp[valor] *
  (desp[nucleo]=$B106) *
  (desp[centro.negocio]=$B$94) *
  (desp[data.pagamento]&gt;=J$1) *
  (desp[data.pagamento]&lt;EOMONTH(J$1,0)+1)
)</f>
        <v>0</v>
      </c>
      <c r="K106" s="247" cm="1">
        <f t="array" ref="K106">-SUMPRODUCT(
  desp[valor] *
  (desp[nucleo]=$B106) *
  (desp[centro.negocio]=$B$94) *
  (desp[data.pagamento]&gt;=K$1) *
  (desp[data.pagamento]&lt;EOMONTH(K$1,0)+1)
)</f>
        <v>0</v>
      </c>
      <c r="L106" s="247" cm="1">
        <f t="array" ref="L106">-SUMPRODUCT(
  desp[valor] *
  (desp[nucleo]=$B106) *
  (desp[centro.negocio]=$B$94) *
  (desp[data.pagamento]&gt;=L$1) *
  (desp[data.pagamento]&lt;EOMONTH(L$1,0)+1)
)</f>
        <v>0</v>
      </c>
      <c r="M106" s="247" cm="1">
        <f t="array" ref="M106">-SUMPRODUCT(
  desp[valor] *
  (desp[nucleo]=$B106) *
  (desp[centro.negocio]=$B$94) *
  (desp[data.pagamento]&gt;=M$1) *
  (desp[data.pagamento]&lt;EOMONTH(M$1,0)+1)
)</f>
        <v>0</v>
      </c>
      <c r="N106" s="247" cm="1">
        <f t="array" ref="N106">-SUMPRODUCT(
  desp[valor] *
  (desp[nucleo]=$B106) *
  (desp[centro.negocio]=$B$94) *
  (desp[data.pagamento]&gt;=N$1) *
  (desp[data.pagamento]&lt;EOMONTH(N$1,0)+1)
)</f>
        <v>0</v>
      </c>
      <c r="O106" s="247" cm="1">
        <f t="array" ref="O106">-SUMPRODUCT(
  desp[valor] *
  (desp[nucleo]=$B106) *
  (desp[centro.negocio]=$B$94) *
  (desp[data.pagamento]&gt;=O$1) *
  (desp[data.pagamento]&lt;EOMONTH(O$1,0)+1)
)</f>
        <v>0</v>
      </c>
      <c r="P106" s="247" cm="1">
        <f t="array" ref="P106">-SUMPRODUCT(
  desp[valor] *
  (desp[nucleo]=$B106) *
  (desp[centro.negocio]=$B$94) *
  (desp[data.pagamento]&gt;=P$1) *
  (desp[data.pagamento]&lt;EOMONTH(P$1,0)+1)
)</f>
        <v>0</v>
      </c>
      <c r="Q106" s="247" cm="1">
        <f t="array" ref="Q106">-SUMPRODUCT(
  desp[valor] *
  (desp[nucleo]=$B106) *
  (desp[centro.negocio]=$B$94) *
  (desp[data.pagamento]&gt;=Q$1) *
  (desp[data.pagamento]&lt;EOMONTH(Q$1,0)+1)
)</f>
        <v>0</v>
      </c>
      <c r="R106" s="247" cm="1">
        <f t="array" ref="R106">-SUMPRODUCT(
  desp[valor] *
  (desp[nucleo]=$B106) *
  (desp[centro.negocio]=$B$94) *
  (desp[data.pagamento]&gt;=R$1) *
  (desp[data.pagamento]&lt;EOMONTH(R$1,0)+1)
)</f>
        <v>0</v>
      </c>
      <c r="T106" s="239">
        <f>SUM(D106:R106)</f>
        <v>0</v>
      </c>
    </row>
    <row r="107" spans="1:20" outlineLevel="2" x14ac:dyDescent="0.25">
      <c r="A107" s="246" t="s">
        <v>636</v>
      </c>
      <c r="B107" s="246" t="s">
        <v>594</v>
      </c>
      <c r="C107" s="193" t="s">
        <v>522</v>
      </c>
      <c r="D107" s="247" cm="1">
        <f t="array" ref="D107">-SUMPRODUCT(
  desp[valor] *
  (desp[nucleo]=$B107) *
  (desp[centro.negocio]=$B$94) *
  (desp[data.pagamento]&gt;=D$1) *
  (desp[data.pagamento]&lt;EOMONTH(D$1,0)+1)
)</f>
        <v>0</v>
      </c>
      <c r="E107" s="247" cm="1">
        <f t="array" ref="E107">-SUMPRODUCT(
  desp[valor] *
  (desp[nucleo]=$B107) *
  (desp[centro.negocio]=$B$94) *
  (desp[data.pagamento]&gt;=E$1) *
  (desp[data.pagamento]&lt;EOMONTH(E$1,0)+1)
)</f>
        <v>0</v>
      </c>
      <c r="F107" s="247" cm="1">
        <f t="array" ref="F107">-SUMPRODUCT(
  desp[valor] *
  (desp[nucleo]=$B107) *
  (desp[centro.negocio]=$B$94) *
  (desp[data.pagamento]&gt;=F$1) *
  (desp[data.pagamento]&lt;EOMONTH(F$1,0)+1)
)</f>
        <v>0</v>
      </c>
      <c r="G107" s="247" cm="1">
        <f t="array" ref="G107">-SUMPRODUCT(
  desp[valor] *
  (desp[nucleo]=$B107) *
  (desp[centro.negocio]=$B$94) *
  (desp[data.pagamento]&gt;=G$1) *
  (desp[data.pagamento]&lt;EOMONTH(G$1,0)+1)
)</f>
        <v>0</v>
      </c>
      <c r="H107" s="247" cm="1">
        <f t="array" ref="H107">-SUMPRODUCT(
  desp[valor] *
  (desp[nucleo]=$B107) *
  (desp[centro.negocio]=$B$94) *
  (desp[data.pagamento]&gt;=H$1) *
  (desp[data.pagamento]&lt;EOMONTH(H$1,0)+1)
)</f>
        <v>0</v>
      </c>
      <c r="I107" s="247" cm="1">
        <f t="array" ref="I107">-SUMPRODUCT(
  desp[valor] *
  (desp[nucleo]=$B107) *
  (desp[centro.negocio]=$B$94) *
  (desp[data.pagamento]&gt;=I$1) *
  (desp[data.pagamento]&lt;EOMONTH(I$1,0)+1)
)</f>
        <v>0</v>
      </c>
      <c r="J107" s="247" cm="1">
        <f t="array" ref="J107">-SUMPRODUCT(
  desp[valor] *
  (desp[nucleo]=$B107) *
  (desp[centro.negocio]=$B$94) *
  (desp[data.pagamento]&gt;=J$1) *
  (desp[data.pagamento]&lt;EOMONTH(J$1,0)+1)
)</f>
        <v>0</v>
      </c>
      <c r="K107" s="247" cm="1">
        <f t="array" ref="K107">-SUMPRODUCT(
  desp[valor] *
  (desp[nucleo]=$B107) *
  (desp[centro.negocio]=$B$94) *
  (desp[data.pagamento]&gt;=K$1) *
  (desp[data.pagamento]&lt;EOMONTH(K$1,0)+1)
)</f>
        <v>0</v>
      </c>
      <c r="L107" s="247" cm="1">
        <f t="array" ref="L107">-SUMPRODUCT(
  desp[valor] *
  (desp[nucleo]=$B107) *
  (desp[centro.negocio]=$B$94) *
  (desp[data.pagamento]&gt;=L$1) *
  (desp[data.pagamento]&lt;EOMONTH(L$1,0)+1)
)</f>
        <v>0</v>
      </c>
      <c r="M107" s="247" cm="1">
        <f t="array" ref="M107">-SUMPRODUCT(
  desp[valor] *
  (desp[nucleo]=$B107) *
  (desp[centro.negocio]=$B$94) *
  (desp[data.pagamento]&gt;=M$1) *
  (desp[data.pagamento]&lt;EOMONTH(M$1,0)+1)
)</f>
        <v>0</v>
      </c>
      <c r="N107" s="247" cm="1">
        <f t="array" ref="N107">-SUMPRODUCT(
  desp[valor] *
  (desp[nucleo]=$B107) *
  (desp[centro.negocio]=$B$94) *
  (desp[data.pagamento]&gt;=N$1) *
  (desp[data.pagamento]&lt;EOMONTH(N$1,0)+1)
)</f>
        <v>0</v>
      </c>
      <c r="O107" s="247" cm="1">
        <f t="array" ref="O107">-SUMPRODUCT(
  desp[valor] *
  (desp[nucleo]=$B107) *
  (desp[centro.negocio]=$B$94) *
  (desp[data.pagamento]&gt;=O$1) *
  (desp[data.pagamento]&lt;EOMONTH(O$1,0)+1)
)</f>
        <v>0</v>
      </c>
      <c r="P107" s="247" cm="1">
        <f t="array" ref="P107">-SUMPRODUCT(
  desp[valor] *
  (desp[nucleo]=$B107) *
  (desp[centro.negocio]=$B$94) *
  (desp[data.pagamento]&gt;=P$1) *
  (desp[data.pagamento]&lt;EOMONTH(P$1,0)+1)
)</f>
        <v>0</v>
      </c>
      <c r="Q107" s="247" cm="1">
        <f t="array" ref="Q107">-SUMPRODUCT(
  desp[valor] *
  (desp[nucleo]=$B107) *
  (desp[centro.negocio]=$B$94) *
  (desp[data.pagamento]&gt;=Q$1) *
  (desp[data.pagamento]&lt;EOMONTH(Q$1,0)+1)
)</f>
        <v>0</v>
      </c>
      <c r="R107" s="247" cm="1">
        <f t="array" ref="R107">-SUMPRODUCT(
  desp[valor] *
  (desp[nucleo]=$B107) *
  (desp[centro.negocio]=$B$94) *
  (desp[data.pagamento]&gt;=R$1) *
  (desp[data.pagamento]&lt;EOMONTH(R$1,0)+1)
)</f>
        <v>0</v>
      </c>
      <c r="T107" s="239">
        <f>SUM(D107:R107)</f>
        <v>0</v>
      </c>
    </row>
    <row r="108" spans="1:20" outlineLevel="2" x14ac:dyDescent="0.25">
      <c r="A108" s="246" t="s">
        <v>637</v>
      </c>
      <c r="B108" s="246" t="s">
        <v>638</v>
      </c>
      <c r="C108" s="193" t="s">
        <v>522</v>
      </c>
      <c r="D108" s="247" cm="1">
        <f t="array" ref="D108">-SUMPRODUCT(
  desp[valor] *
  (desp[nucleo]=$B108) *
  (desp[centro.negocio]=$B$94) *
  (desp[data.pagamento]&gt;=D$1) *
  (desp[data.pagamento]&lt;EOMONTH(D$1,0)+1)
)</f>
        <v>0</v>
      </c>
      <c r="E108" s="247" cm="1">
        <f t="array" ref="E108">-SUMPRODUCT(
  desp[valor] *
  (desp[nucleo]=$B108) *
  (desp[centro.negocio]=$B$94) *
  (desp[data.pagamento]&gt;=E$1) *
  (desp[data.pagamento]&lt;EOMONTH(E$1,0)+1)
)</f>
        <v>0</v>
      </c>
      <c r="F108" s="247" cm="1">
        <f t="array" ref="F108">-SUMPRODUCT(
  desp[valor] *
  (desp[nucleo]=$B108) *
  (desp[centro.negocio]=$B$94) *
  (desp[data.pagamento]&gt;=F$1) *
  (desp[data.pagamento]&lt;EOMONTH(F$1,0)+1)
)</f>
        <v>0</v>
      </c>
      <c r="G108" s="247" cm="1">
        <f t="array" ref="G108">-SUMPRODUCT(
  desp[valor] *
  (desp[nucleo]=$B108) *
  (desp[centro.negocio]=$B$94) *
  (desp[data.pagamento]&gt;=G$1) *
  (desp[data.pagamento]&lt;EOMONTH(G$1,0)+1)
)</f>
        <v>0</v>
      </c>
      <c r="H108" s="247" cm="1">
        <f t="array" ref="H108">-SUMPRODUCT(
  desp[valor] *
  (desp[nucleo]=$B108) *
  (desp[centro.negocio]=$B$94) *
  (desp[data.pagamento]&gt;=H$1) *
  (desp[data.pagamento]&lt;EOMONTH(H$1,0)+1)
)</f>
        <v>0</v>
      </c>
      <c r="I108" s="247" cm="1">
        <f t="array" ref="I108">-SUMPRODUCT(
  desp[valor] *
  (desp[nucleo]=$B108) *
  (desp[centro.negocio]=$B$94) *
  (desp[data.pagamento]&gt;=I$1) *
  (desp[data.pagamento]&lt;EOMONTH(I$1,0)+1)
)</f>
        <v>0</v>
      </c>
      <c r="J108" s="247" cm="1">
        <f t="array" ref="J108">-SUMPRODUCT(
  desp[valor] *
  (desp[nucleo]=$B108) *
  (desp[centro.negocio]=$B$94) *
  (desp[data.pagamento]&gt;=J$1) *
  (desp[data.pagamento]&lt;EOMONTH(J$1,0)+1)
)</f>
        <v>0</v>
      </c>
      <c r="K108" s="247" cm="1">
        <f t="array" ref="K108">-SUMPRODUCT(
  desp[valor] *
  (desp[nucleo]=$B108) *
  (desp[centro.negocio]=$B$94) *
  (desp[data.pagamento]&gt;=K$1) *
  (desp[data.pagamento]&lt;EOMONTH(K$1,0)+1)
)</f>
        <v>0</v>
      </c>
      <c r="L108" s="247" cm="1">
        <f t="array" ref="L108">-SUMPRODUCT(
  desp[valor] *
  (desp[nucleo]=$B108) *
  (desp[centro.negocio]=$B$94) *
  (desp[data.pagamento]&gt;=L$1) *
  (desp[data.pagamento]&lt;EOMONTH(L$1,0)+1)
)</f>
        <v>0</v>
      </c>
      <c r="M108" s="247" cm="1">
        <f t="array" ref="M108">-SUMPRODUCT(
  desp[valor] *
  (desp[nucleo]=$B108) *
  (desp[centro.negocio]=$B$94) *
  (desp[data.pagamento]&gt;=M$1) *
  (desp[data.pagamento]&lt;EOMONTH(M$1,0)+1)
)</f>
        <v>0</v>
      </c>
      <c r="N108" s="247" cm="1">
        <f t="array" ref="N108">-SUMPRODUCT(
  desp[valor] *
  (desp[nucleo]=$B108) *
  (desp[centro.negocio]=$B$94) *
  (desp[data.pagamento]&gt;=N$1) *
  (desp[data.pagamento]&lt;EOMONTH(N$1,0)+1)
)</f>
        <v>0</v>
      </c>
      <c r="O108" s="247" cm="1">
        <f t="array" ref="O108">-SUMPRODUCT(
  desp[valor] *
  (desp[nucleo]=$B108) *
  (desp[centro.negocio]=$B$94) *
  (desp[data.pagamento]&gt;=O$1) *
  (desp[data.pagamento]&lt;EOMONTH(O$1,0)+1)
)</f>
        <v>0</v>
      </c>
      <c r="P108" s="247" cm="1">
        <f t="array" ref="P108">-SUMPRODUCT(
  desp[valor] *
  (desp[nucleo]=$B108) *
  (desp[centro.negocio]=$B$94) *
  (desp[data.pagamento]&gt;=P$1) *
  (desp[data.pagamento]&lt;EOMONTH(P$1,0)+1)
)</f>
        <v>0</v>
      </c>
      <c r="Q108" s="247" cm="1">
        <f t="array" ref="Q108">-SUMPRODUCT(
  desp[valor] *
  (desp[nucleo]=$B108) *
  (desp[centro.negocio]=$B$94) *
  (desp[data.pagamento]&gt;=Q$1) *
  (desp[data.pagamento]&lt;EOMONTH(Q$1,0)+1)
)</f>
        <v>0</v>
      </c>
      <c r="R108" s="247" cm="1">
        <f t="array" ref="R108">-SUMPRODUCT(
  desp[valor] *
  (desp[nucleo]=$B108) *
  (desp[centro.negocio]=$B$94) *
  (desp[data.pagamento]&gt;=R$1) *
  (desp[data.pagamento]&lt;EOMONTH(R$1,0)+1)
)</f>
        <v>0</v>
      </c>
      <c r="T108" s="239">
        <f t="shared" ref="T108" si="44">SUM(D108:R108)</f>
        <v>0</v>
      </c>
    </row>
    <row r="109" spans="1:20" outlineLevel="2" x14ac:dyDescent="0.25">
      <c r="A109" s="246" t="s">
        <v>639</v>
      </c>
      <c r="B109" s="246" t="s">
        <v>558</v>
      </c>
      <c r="C109" s="193" t="s">
        <v>522</v>
      </c>
      <c r="D109" s="247" cm="1">
        <f t="array" ref="D109">-SUMPRODUCT(
  desp[valor] *
  (desp[nucleo]=$B109) *
  (desp[centro.negocio]=$B$94) *
  (desp[data.pagamento]&gt;=D$1) *
  (desp[data.pagamento]&lt;EOMONTH(D$1,0)+1)
)</f>
        <v>0</v>
      </c>
      <c r="E109" s="247" cm="1">
        <f t="array" ref="E109">-SUMPRODUCT(
  desp[valor] *
  (desp[nucleo]=$B109) *
  (desp[centro.negocio]=$B$94) *
  (desp[data.pagamento]&gt;=E$1) *
  (desp[data.pagamento]&lt;EOMONTH(E$1,0)+1)
)</f>
        <v>0</v>
      </c>
      <c r="F109" s="247" cm="1">
        <f t="array" ref="F109">-SUMPRODUCT(
  desp[valor] *
  (desp[nucleo]=$B109) *
  (desp[centro.negocio]=$B$94) *
  (desp[data.pagamento]&gt;=F$1) *
  (desp[data.pagamento]&lt;EOMONTH(F$1,0)+1)
)</f>
        <v>0</v>
      </c>
      <c r="G109" s="247" cm="1">
        <f t="array" ref="G109">-SUMPRODUCT(
  desp[valor] *
  (desp[nucleo]=$B109) *
  (desp[centro.negocio]=$B$94) *
  (desp[data.pagamento]&gt;=G$1) *
  (desp[data.pagamento]&lt;EOMONTH(G$1,0)+1)
)</f>
        <v>0</v>
      </c>
      <c r="H109" s="247" cm="1">
        <f t="array" ref="H109">-SUMPRODUCT(
  desp[valor] *
  (desp[nucleo]=$B109) *
  (desp[centro.negocio]=$B$94) *
  (desp[data.pagamento]&gt;=H$1) *
  (desp[data.pagamento]&lt;EOMONTH(H$1,0)+1)
)</f>
        <v>0</v>
      </c>
      <c r="I109" s="247" cm="1">
        <f t="array" ref="I109">-SUMPRODUCT(
  desp[valor] *
  (desp[nucleo]=$B109) *
  (desp[centro.negocio]=$B$94) *
  (desp[data.pagamento]&gt;=I$1) *
  (desp[data.pagamento]&lt;EOMONTH(I$1,0)+1)
)</f>
        <v>0</v>
      </c>
      <c r="J109" s="247" cm="1">
        <f t="array" ref="J109">-SUMPRODUCT(
  desp[valor] *
  (desp[nucleo]=$B109) *
  (desp[centro.negocio]=$B$94) *
  (desp[data.pagamento]&gt;=J$1) *
  (desp[data.pagamento]&lt;EOMONTH(J$1,0)+1)
)</f>
        <v>0</v>
      </c>
      <c r="K109" s="247" cm="1">
        <f t="array" ref="K109">-SUMPRODUCT(
  desp[valor] *
  (desp[nucleo]=$B109) *
  (desp[centro.negocio]=$B$94) *
  (desp[data.pagamento]&gt;=K$1) *
  (desp[data.pagamento]&lt;EOMONTH(K$1,0)+1)
)</f>
        <v>0</v>
      </c>
      <c r="L109" s="247" cm="1">
        <f t="array" ref="L109">-SUMPRODUCT(
  desp[valor] *
  (desp[nucleo]=$B109) *
  (desp[centro.negocio]=$B$94) *
  (desp[data.pagamento]&gt;=L$1) *
  (desp[data.pagamento]&lt;EOMONTH(L$1,0)+1)
)</f>
        <v>0</v>
      </c>
      <c r="M109" s="247" cm="1">
        <f t="array" ref="M109">-SUMPRODUCT(
  desp[valor] *
  (desp[nucleo]=$B109) *
  (desp[centro.negocio]=$B$94) *
  (desp[data.pagamento]&gt;=M$1) *
  (desp[data.pagamento]&lt;EOMONTH(M$1,0)+1)
)</f>
        <v>0</v>
      </c>
      <c r="N109" s="247" cm="1">
        <f t="array" ref="N109">-SUMPRODUCT(
  desp[valor] *
  (desp[nucleo]=$B109) *
  (desp[centro.negocio]=$B$94) *
  (desp[data.pagamento]&gt;=N$1) *
  (desp[data.pagamento]&lt;EOMONTH(N$1,0)+1)
)</f>
        <v>0</v>
      </c>
      <c r="O109" s="247" cm="1">
        <f t="array" ref="O109">-SUMPRODUCT(
  desp[valor] *
  (desp[nucleo]=$B109) *
  (desp[centro.negocio]=$B$94) *
  (desp[data.pagamento]&gt;=O$1) *
  (desp[data.pagamento]&lt;EOMONTH(O$1,0)+1)
)</f>
        <v>0</v>
      </c>
      <c r="P109" s="247" cm="1">
        <f t="array" ref="P109">-SUMPRODUCT(
  desp[valor] *
  (desp[nucleo]=$B109) *
  (desp[centro.negocio]=$B$94) *
  (desp[data.pagamento]&gt;=P$1) *
  (desp[data.pagamento]&lt;EOMONTH(P$1,0)+1)
)</f>
        <v>0</v>
      </c>
      <c r="Q109" s="247" cm="1">
        <f t="array" ref="Q109">-SUMPRODUCT(
  desp[valor] *
  (desp[nucleo]=$B109) *
  (desp[centro.negocio]=$B$94) *
  (desp[data.pagamento]&gt;=Q$1) *
  (desp[data.pagamento]&lt;EOMONTH(Q$1,0)+1)
)</f>
        <v>0</v>
      </c>
      <c r="R109" s="247" cm="1">
        <f t="array" ref="R109">-SUMPRODUCT(
  desp[valor] *
  (desp[nucleo]=$B109) *
  (desp[centro.negocio]=$B$94) *
  (desp[data.pagamento]&gt;=R$1) *
  (desp[data.pagamento]&lt;EOMONTH(R$1,0)+1)
)</f>
        <v>0</v>
      </c>
      <c r="T109" s="239">
        <f>SUM(D109:R109)</f>
        <v>0</v>
      </c>
    </row>
    <row r="110" spans="1:20" outlineLevel="2" x14ac:dyDescent="0.25">
      <c r="A110" s="246" t="s">
        <v>640</v>
      </c>
      <c r="B110" s="246" t="s">
        <v>641</v>
      </c>
      <c r="C110" s="193" t="s">
        <v>522</v>
      </c>
      <c r="D110" s="247" cm="1">
        <f t="array" ref="D110">-SUMPRODUCT(
  desp[valor] *
  (desp[nucleo]=$B110) *
  (desp[centro.negocio]=$B$94) *
  (desp[data.pagamento]&gt;=D$1) *
  (desp[data.pagamento]&lt;EOMONTH(D$1,0)+1)
)</f>
        <v>0</v>
      </c>
      <c r="E110" s="247" cm="1">
        <f t="array" ref="E110">-SUMPRODUCT(
  desp[valor] *
  (desp[nucleo]=$B110) *
  (desp[centro.negocio]=$B$94) *
  (desp[data.pagamento]&gt;=E$1) *
  (desp[data.pagamento]&lt;EOMONTH(E$1,0)+1)
)</f>
        <v>0</v>
      </c>
      <c r="F110" s="247" cm="1">
        <f t="array" ref="F110">-SUMPRODUCT(
  desp[valor] *
  (desp[nucleo]=$B110) *
  (desp[centro.negocio]=$B$94) *
  (desp[data.pagamento]&gt;=F$1) *
  (desp[data.pagamento]&lt;EOMONTH(F$1,0)+1)
)</f>
        <v>0</v>
      </c>
      <c r="G110" s="247" cm="1">
        <f t="array" ref="G110">-SUMPRODUCT(
  desp[valor] *
  (desp[nucleo]=$B110) *
  (desp[centro.negocio]=$B$94) *
  (desp[data.pagamento]&gt;=G$1) *
  (desp[data.pagamento]&lt;EOMONTH(G$1,0)+1)
)</f>
        <v>0</v>
      </c>
      <c r="H110" s="247" cm="1">
        <f t="array" ref="H110">-SUMPRODUCT(
  desp[valor] *
  (desp[nucleo]=$B110) *
  (desp[centro.negocio]=$B$94) *
  (desp[data.pagamento]&gt;=H$1) *
  (desp[data.pagamento]&lt;EOMONTH(H$1,0)+1)
)</f>
        <v>0</v>
      </c>
      <c r="I110" s="247" cm="1">
        <f t="array" ref="I110">-SUMPRODUCT(
  desp[valor] *
  (desp[nucleo]=$B110) *
  (desp[centro.negocio]=$B$94) *
  (desp[data.pagamento]&gt;=I$1) *
  (desp[data.pagamento]&lt;EOMONTH(I$1,0)+1)
)</f>
        <v>0</v>
      </c>
      <c r="J110" s="247" cm="1">
        <f t="array" ref="J110">-SUMPRODUCT(
  desp[valor] *
  (desp[nucleo]=$B110) *
  (desp[centro.negocio]=$B$94) *
  (desp[data.pagamento]&gt;=J$1) *
  (desp[data.pagamento]&lt;EOMONTH(J$1,0)+1)
)</f>
        <v>0</v>
      </c>
      <c r="K110" s="247" cm="1">
        <f t="array" ref="K110">-SUMPRODUCT(
  desp[valor] *
  (desp[nucleo]=$B110) *
  (desp[centro.negocio]=$B$94) *
  (desp[data.pagamento]&gt;=K$1) *
  (desp[data.pagamento]&lt;EOMONTH(K$1,0)+1)
)</f>
        <v>0</v>
      </c>
      <c r="L110" s="247" cm="1">
        <f t="array" ref="L110">-SUMPRODUCT(
  desp[valor] *
  (desp[nucleo]=$B110) *
  (desp[centro.negocio]=$B$94) *
  (desp[data.pagamento]&gt;=L$1) *
  (desp[data.pagamento]&lt;EOMONTH(L$1,0)+1)
)</f>
        <v>0</v>
      </c>
      <c r="M110" s="247" cm="1">
        <f t="array" ref="M110">-SUMPRODUCT(
  desp[valor] *
  (desp[nucleo]=$B110) *
  (desp[centro.negocio]=$B$94) *
  (desp[data.pagamento]&gt;=M$1) *
  (desp[data.pagamento]&lt;EOMONTH(M$1,0)+1)
)</f>
        <v>0</v>
      </c>
      <c r="N110" s="247" cm="1">
        <f t="array" ref="N110">-SUMPRODUCT(
  desp[valor] *
  (desp[nucleo]=$B110) *
  (desp[centro.negocio]=$B$94) *
  (desp[data.pagamento]&gt;=N$1) *
  (desp[data.pagamento]&lt;EOMONTH(N$1,0)+1)
)</f>
        <v>0</v>
      </c>
      <c r="O110" s="247" cm="1">
        <f t="array" ref="O110">-SUMPRODUCT(
  desp[valor] *
  (desp[nucleo]=$B110) *
  (desp[centro.negocio]=$B$94) *
  (desp[data.pagamento]&gt;=O$1) *
  (desp[data.pagamento]&lt;EOMONTH(O$1,0)+1)
)</f>
        <v>0</v>
      </c>
      <c r="P110" s="247" cm="1">
        <f t="array" ref="P110">-SUMPRODUCT(
  desp[valor] *
  (desp[nucleo]=$B110) *
  (desp[centro.negocio]=$B$94) *
  (desp[data.pagamento]&gt;=P$1) *
  (desp[data.pagamento]&lt;EOMONTH(P$1,0)+1)
)</f>
        <v>0</v>
      </c>
      <c r="Q110" s="247" cm="1">
        <f t="array" ref="Q110">-SUMPRODUCT(
  desp[valor] *
  (desp[nucleo]=$B110) *
  (desp[centro.negocio]=$B$94) *
  (desp[data.pagamento]&gt;=Q$1) *
  (desp[data.pagamento]&lt;EOMONTH(Q$1,0)+1)
)</f>
        <v>0</v>
      </c>
      <c r="R110" s="247" cm="1">
        <f t="array" ref="R110">-SUMPRODUCT(
  desp[valor] *
  (desp[nucleo]=$B110) *
  (desp[centro.negocio]=$B$94) *
  (desp[data.pagamento]&gt;=R$1) *
  (desp[data.pagamento]&lt;EOMONTH(R$1,0)+1)
)</f>
        <v>0</v>
      </c>
      <c r="T110" s="239">
        <f>SUM(D110:R110)</f>
        <v>0</v>
      </c>
    </row>
    <row r="111" spans="1:20" outlineLevel="2" x14ac:dyDescent="0.25">
      <c r="A111" s="246" t="s">
        <v>642</v>
      </c>
      <c r="B111" s="246" t="s">
        <v>579</v>
      </c>
      <c r="C111" s="193" t="s">
        <v>522</v>
      </c>
      <c r="D111" s="247" cm="1">
        <f t="array" ref="D111">-SUMPRODUCT(
  desp[valor] *
  (desp[nucleo]=$B111) *
  (desp[centro.negocio]=$B$94) *
  (desp[data.pagamento]&gt;=D$1) *
  (desp[data.pagamento]&lt;EOMONTH(D$1,0)+1)
)</f>
        <v>0</v>
      </c>
      <c r="E111" s="247" cm="1">
        <f t="array" ref="E111">-SUMPRODUCT(
  desp[valor] *
  (desp[nucleo]=$B111) *
  (desp[centro.negocio]=$B$94) *
  (desp[data.pagamento]&gt;=E$1) *
  (desp[data.pagamento]&lt;EOMONTH(E$1,0)+1)
)</f>
        <v>0</v>
      </c>
      <c r="F111" s="247" cm="1">
        <f t="array" ref="F111">-SUMPRODUCT(
  desp[valor] *
  (desp[nucleo]=$B111) *
  (desp[centro.negocio]=$B$94) *
  (desp[data.pagamento]&gt;=F$1) *
  (desp[data.pagamento]&lt;EOMONTH(F$1,0)+1)
)</f>
        <v>0</v>
      </c>
      <c r="G111" s="247" cm="1">
        <f t="array" ref="G111">-SUMPRODUCT(
  desp[valor] *
  (desp[nucleo]=$B111) *
  (desp[centro.negocio]=$B$94) *
  (desp[data.pagamento]&gt;=G$1) *
  (desp[data.pagamento]&lt;EOMONTH(G$1,0)+1)
)</f>
        <v>0</v>
      </c>
      <c r="H111" s="247" cm="1">
        <f t="array" ref="H111">-SUMPRODUCT(
  desp[valor] *
  (desp[nucleo]=$B111) *
  (desp[centro.negocio]=$B$94) *
  (desp[data.pagamento]&gt;=H$1) *
  (desp[data.pagamento]&lt;EOMONTH(H$1,0)+1)
)</f>
        <v>0</v>
      </c>
      <c r="I111" s="247" cm="1">
        <f t="array" ref="I111">-SUMPRODUCT(
  desp[valor] *
  (desp[nucleo]=$B111) *
  (desp[centro.negocio]=$B$94) *
  (desp[data.pagamento]&gt;=I$1) *
  (desp[data.pagamento]&lt;EOMONTH(I$1,0)+1)
)</f>
        <v>0</v>
      </c>
      <c r="J111" s="247" cm="1">
        <f t="array" ref="J111">-SUMPRODUCT(
  desp[valor] *
  (desp[nucleo]=$B111) *
  (desp[centro.negocio]=$B$94) *
  (desp[data.pagamento]&gt;=J$1) *
  (desp[data.pagamento]&lt;EOMONTH(J$1,0)+1)
)</f>
        <v>0</v>
      </c>
      <c r="K111" s="247" cm="1">
        <f t="array" ref="K111">-SUMPRODUCT(
  desp[valor] *
  (desp[nucleo]=$B111) *
  (desp[centro.negocio]=$B$94) *
  (desp[data.pagamento]&gt;=K$1) *
  (desp[data.pagamento]&lt;EOMONTH(K$1,0)+1)
)</f>
        <v>0</v>
      </c>
      <c r="L111" s="247" cm="1">
        <f t="array" ref="L111">-SUMPRODUCT(
  desp[valor] *
  (desp[nucleo]=$B111) *
  (desp[centro.negocio]=$B$94) *
  (desp[data.pagamento]&gt;=L$1) *
  (desp[data.pagamento]&lt;EOMONTH(L$1,0)+1)
)</f>
        <v>0</v>
      </c>
      <c r="M111" s="247" cm="1">
        <f t="array" ref="M111">-SUMPRODUCT(
  desp[valor] *
  (desp[nucleo]=$B111) *
  (desp[centro.negocio]=$B$94) *
  (desp[data.pagamento]&gt;=M$1) *
  (desp[data.pagamento]&lt;EOMONTH(M$1,0)+1)
)</f>
        <v>0</v>
      </c>
      <c r="N111" s="247" cm="1">
        <f t="array" ref="N111">-SUMPRODUCT(
  desp[valor] *
  (desp[nucleo]=$B111) *
  (desp[centro.negocio]=$B$94) *
  (desp[data.pagamento]&gt;=N$1) *
  (desp[data.pagamento]&lt;EOMONTH(N$1,0)+1)
)</f>
        <v>0</v>
      </c>
      <c r="O111" s="247" cm="1">
        <f t="array" ref="O111">-SUMPRODUCT(
  desp[valor] *
  (desp[nucleo]=$B111) *
  (desp[centro.negocio]=$B$94) *
  (desp[data.pagamento]&gt;=O$1) *
  (desp[data.pagamento]&lt;EOMONTH(O$1,0)+1)
)</f>
        <v>0</v>
      </c>
      <c r="P111" s="247" cm="1">
        <f t="array" ref="P111">-SUMPRODUCT(
  desp[valor] *
  (desp[nucleo]=$B111) *
  (desp[centro.negocio]=$B$94) *
  (desp[data.pagamento]&gt;=P$1) *
  (desp[data.pagamento]&lt;EOMONTH(P$1,0)+1)
)</f>
        <v>0</v>
      </c>
      <c r="Q111" s="247" cm="1">
        <f t="array" ref="Q111">-SUMPRODUCT(
  desp[valor] *
  (desp[nucleo]=$B111) *
  (desp[centro.negocio]=$B$94) *
  (desp[data.pagamento]&gt;=Q$1) *
  (desp[data.pagamento]&lt;EOMONTH(Q$1,0)+1)
)</f>
        <v>0</v>
      </c>
      <c r="R111" s="247" cm="1">
        <f t="array" ref="R111">-SUMPRODUCT(
  desp[valor] *
  (desp[nucleo]=$B111) *
  (desp[centro.negocio]=$B$94) *
  (desp[data.pagamento]&gt;=R$1) *
  (desp[data.pagamento]&lt;EOMONTH(R$1,0)+1)
)</f>
        <v>0</v>
      </c>
      <c r="T111" s="239">
        <f>SUM(D111:R111)</f>
        <v>0</v>
      </c>
    </row>
    <row r="112" spans="1:20" outlineLevel="2" x14ac:dyDescent="0.25">
      <c r="A112" s="246" t="s">
        <v>643</v>
      </c>
      <c r="B112" s="246" t="s">
        <v>644</v>
      </c>
      <c r="C112" s="193" t="s">
        <v>522</v>
      </c>
      <c r="D112" s="247" cm="1">
        <f t="array" ref="D112">-SUMPRODUCT(
  desp[valor] *
  (desp[nucleo]=$B112) *
  (desp[centro.negocio]=$B$94) *
  (desp[data.pagamento]&gt;=D$1) *
  (desp[data.pagamento]&lt;EOMONTH(D$1,0)+1)
)</f>
        <v>0</v>
      </c>
      <c r="E112" s="247" cm="1">
        <f t="array" ref="E112">-SUMPRODUCT(
  desp[valor] *
  (desp[nucleo]=$B112) *
  (desp[centro.negocio]=$B$94) *
  (desp[data.pagamento]&gt;=E$1) *
  (desp[data.pagamento]&lt;EOMONTH(E$1,0)+1)
)</f>
        <v>0</v>
      </c>
      <c r="F112" s="247" cm="1">
        <f t="array" ref="F112">-SUMPRODUCT(
  desp[valor] *
  (desp[nucleo]=$B112) *
  (desp[centro.negocio]=$B$94) *
  (desp[data.pagamento]&gt;=F$1) *
  (desp[data.pagamento]&lt;EOMONTH(F$1,0)+1)
)</f>
        <v>0</v>
      </c>
      <c r="G112" s="247" cm="1">
        <f t="array" ref="G112">-SUMPRODUCT(
  desp[valor] *
  (desp[nucleo]=$B112) *
  (desp[centro.negocio]=$B$94) *
  (desp[data.pagamento]&gt;=G$1) *
  (desp[data.pagamento]&lt;EOMONTH(G$1,0)+1)
)</f>
        <v>0</v>
      </c>
      <c r="H112" s="247" cm="1">
        <f t="array" ref="H112">-SUMPRODUCT(
  desp[valor] *
  (desp[nucleo]=$B112) *
  (desp[centro.negocio]=$B$94) *
  (desp[data.pagamento]&gt;=H$1) *
  (desp[data.pagamento]&lt;EOMONTH(H$1,0)+1)
)</f>
        <v>0</v>
      </c>
      <c r="I112" s="247" cm="1">
        <f t="array" ref="I112">-SUMPRODUCT(
  desp[valor] *
  (desp[nucleo]=$B112) *
  (desp[centro.negocio]=$B$94) *
  (desp[data.pagamento]&gt;=I$1) *
  (desp[data.pagamento]&lt;EOMONTH(I$1,0)+1)
)</f>
        <v>0</v>
      </c>
      <c r="J112" s="247" cm="1">
        <f t="array" ref="J112">-SUMPRODUCT(
  desp[valor] *
  (desp[nucleo]=$B112) *
  (desp[centro.negocio]=$B$94) *
  (desp[data.pagamento]&gt;=J$1) *
  (desp[data.pagamento]&lt;EOMONTH(J$1,0)+1)
)</f>
        <v>0</v>
      </c>
      <c r="K112" s="247" cm="1">
        <f t="array" ref="K112">-SUMPRODUCT(
  desp[valor] *
  (desp[nucleo]=$B112) *
  (desp[centro.negocio]=$B$94) *
  (desp[data.pagamento]&gt;=K$1) *
  (desp[data.pagamento]&lt;EOMONTH(K$1,0)+1)
)</f>
        <v>0</v>
      </c>
      <c r="L112" s="247" cm="1">
        <f t="array" ref="L112">-SUMPRODUCT(
  desp[valor] *
  (desp[nucleo]=$B112) *
  (desp[centro.negocio]=$B$94) *
  (desp[data.pagamento]&gt;=L$1) *
  (desp[data.pagamento]&lt;EOMONTH(L$1,0)+1)
)</f>
        <v>0</v>
      </c>
      <c r="M112" s="247" cm="1">
        <f t="array" ref="M112">-SUMPRODUCT(
  desp[valor] *
  (desp[nucleo]=$B112) *
  (desp[centro.negocio]=$B$94) *
  (desp[data.pagamento]&gt;=M$1) *
  (desp[data.pagamento]&lt;EOMONTH(M$1,0)+1)
)</f>
        <v>0</v>
      </c>
      <c r="N112" s="247" cm="1">
        <f t="array" ref="N112">-SUMPRODUCT(
  desp[valor] *
  (desp[nucleo]=$B112) *
  (desp[centro.negocio]=$B$94) *
  (desp[data.pagamento]&gt;=N$1) *
  (desp[data.pagamento]&lt;EOMONTH(N$1,0)+1)
)</f>
        <v>0</v>
      </c>
      <c r="O112" s="247" cm="1">
        <f t="array" ref="O112">-SUMPRODUCT(
  desp[valor] *
  (desp[nucleo]=$B112) *
  (desp[centro.negocio]=$B$94) *
  (desp[data.pagamento]&gt;=O$1) *
  (desp[data.pagamento]&lt;EOMONTH(O$1,0)+1)
)</f>
        <v>0</v>
      </c>
      <c r="P112" s="247" cm="1">
        <f t="array" ref="P112">-SUMPRODUCT(
  desp[valor] *
  (desp[nucleo]=$B112) *
  (desp[centro.negocio]=$B$94) *
  (desp[data.pagamento]&gt;=P$1) *
  (desp[data.pagamento]&lt;EOMONTH(P$1,0)+1)
)</f>
        <v>0</v>
      </c>
      <c r="Q112" s="247" cm="1">
        <f t="array" ref="Q112">-SUMPRODUCT(
  desp[valor] *
  (desp[nucleo]=$B112) *
  (desp[centro.negocio]=$B$94) *
  (desp[data.pagamento]&gt;=Q$1) *
  (desp[data.pagamento]&lt;EOMONTH(Q$1,0)+1)
)</f>
        <v>0</v>
      </c>
      <c r="R112" s="247" cm="1">
        <f t="array" ref="R112">-SUMPRODUCT(
  desp[valor] *
  (desp[nucleo]=$B112) *
  (desp[centro.negocio]=$B$94) *
  (desp[data.pagamento]&gt;=R$1) *
  (desp[data.pagamento]&lt;EOMONTH(R$1,0)+1)
)</f>
        <v>0</v>
      </c>
      <c r="T112" s="239">
        <f t="shared" ref="T112:T165" si="45">SUM(D112:R112)</f>
        <v>0</v>
      </c>
    </row>
    <row r="113" spans="1:20" outlineLevel="2" x14ac:dyDescent="0.25">
      <c r="A113" s="246" t="s">
        <v>645</v>
      </c>
      <c r="B113" s="246" t="s">
        <v>646</v>
      </c>
      <c r="C113" s="193" t="s">
        <v>522</v>
      </c>
      <c r="D113" s="247" cm="1">
        <f t="array" ref="D113">-SUMPRODUCT(
  desp[valor] *
  (desp[nucleo]=$B113) *
  (desp[centro.negocio]=$B$94) *
  (desp[data.pagamento]&gt;=D$1) *
  (desp[data.pagamento]&lt;EOMONTH(D$1,0)+1)
)</f>
        <v>0</v>
      </c>
      <c r="E113" s="247" cm="1">
        <f t="array" ref="E113">-SUMPRODUCT(
  desp[valor] *
  (desp[nucleo]=$B113) *
  (desp[centro.negocio]=$B$94) *
  (desp[data.pagamento]&gt;=E$1) *
  (desp[data.pagamento]&lt;EOMONTH(E$1,0)+1)
)</f>
        <v>0</v>
      </c>
      <c r="F113" s="247" cm="1">
        <f t="array" ref="F113">-SUMPRODUCT(
  desp[valor] *
  (desp[nucleo]=$B113) *
  (desp[centro.negocio]=$B$94) *
  (desp[data.pagamento]&gt;=F$1) *
  (desp[data.pagamento]&lt;EOMONTH(F$1,0)+1)
)</f>
        <v>0</v>
      </c>
      <c r="G113" s="247" cm="1">
        <f t="array" ref="G113">-SUMPRODUCT(
  desp[valor] *
  (desp[nucleo]=$B113) *
  (desp[centro.negocio]=$B$94) *
  (desp[data.pagamento]&gt;=G$1) *
  (desp[data.pagamento]&lt;EOMONTH(G$1,0)+1)
)</f>
        <v>0</v>
      </c>
      <c r="H113" s="247" cm="1">
        <f t="array" ref="H113">-SUMPRODUCT(
  desp[valor] *
  (desp[nucleo]=$B113) *
  (desp[centro.negocio]=$B$94) *
  (desp[data.pagamento]&gt;=H$1) *
  (desp[data.pagamento]&lt;EOMONTH(H$1,0)+1)
)</f>
        <v>0</v>
      </c>
      <c r="I113" s="247" cm="1">
        <f t="array" ref="I113">-SUMPRODUCT(
  desp[valor] *
  (desp[nucleo]=$B113) *
  (desp[centro.negocio]=$B$94) *
  (desp[data.pagamento]&gt;=I$1) *
  (desp[data.pagamento]&lt;EOMONTH(I$1,0)+1)
)</f>
        <v>0</v>
      </c>
      <c r="J113" s="247" cm="1">
        <f t="array" ref="J113">-SUMPRODUCT(
  desp[valor] *
  (desp[nucleo]=$B113) *
  (desp[centro.negocio]=$B$94) *
  (desp[data.pagamento]&gt;=J$1) *
  (desp[data.pagamento]&lt;EOMONTH(J$1,0)+1)
)</f>
        <v>0</v>
      </c>
      <c r="K113" s="247" cm="1">
        <f t="array" ref="K113">-SUMPRODUCT(
  desp[valor] *
  (desp[nucleo]=$B113) *
  (desp[centro.negocio]=$B$94) *
  (desp[data.pagamento]&gt;=K$1) *
  (desp[data.pagamento]&lt;EOMONTH(K$1,0)+1)
)</f>
        <v>0</v>
      </c>
      <c r="L113" s="247" cm="1">
        <f t="array" ref="L113">-SUMPRODUCT(
  desp[valor] *
  (desp[nucleo]=$B113) *
  (desp[centro.negocio]=$B$94) *
  (desp[data.pagamento]&gt;=L$1) *
  (desp[data.pagamento]&lt;EOMONTH(L$1,0)+1)
)</f>
        <v>0</v>
      </c>
      <c r="M113" s="247" cm="1">
        <f t="array" ref="M113">-SUMPRODUCT(
  desp[valor] *
  (desp[nucleo]=$B113) *
  (desp[centro.negocio]=$B$94) *
  (desp[data.pagamento]&gt;=M$1) *
  (desp[data.pagamento]&lt;EOMONTH(M$1,0)+1)
)</f>
        <v>0</v>
      </c>
      <c r="N113" s="247" cm="1">
        <f t="array" ref="N113">-SUMPRODUCT(
  desp[valor] *
  (desp[nucleo]=$B113) *
  (desp[centro.negocio]=$B$94) *
  (desp[data.pagamento]&gt;=N$1) *
  (desp[data.pagamento]&lt;EOMONTH(N$1,0)+1)
)</f>
        <v>0</v>
      </c>
      <c r="O113" s="247" cm="1">
        <f t="array" ref="O113">-SUMPRODUCT(
  desp[valor] *
  (desp[nucleo]=$B113) *
  (desp[centro.negocio]=$B$94) *
  (desp[data.pagamento]&gt;=O$1) *
  (desp[data.pagamento]&lt;EOMONTH(O$1,0)+1)
)</f>
        <v>0</v>
      </c>
      <c r="P113" s="247" cm="1">
        <f t="array" ref="P113">-SUMPRODUCT(
  desp[valor] *
  (desp[nucleo]=$B113) *
  (desp[centro.negocio]=$B$94) *
  (desp[data.pagamento]&gt;=P$1) *
  (desp[data.pagamento]&lt;EOMONTH(P$1,0)+1)
)</f>
        <v>0</v>
      </c>
      <c r="Q113" s="247" cm="1">
        <f t="array" ref="Q113">-SUMPRODUCT(
  desp[valor] *
  (desp[nucleo]=$B113) *
  (desp[centro.negocio]=$B$94) *
  (desp[data.pagamento]&gt;=Q$1) *
  (desp[data.pagamento]&lt;EOMONTH(Q$1,0)+1)
)</f>
        <v>0</v>
      </c>
      <c r="R113" s="247" cm="1">
        <f t="array" ref="R113">-SUMPRODUCT(
  desp[valor] *
  (desp[nucleo]=$B113) *
  (desp[centro.negocio]=$B$94) *
  (desp[data.pagamento]&gt;=R$1) *
  (desp[data.pagamento]&lt;EOMONTH(R$1,0)+1)
)</f>
        <v>0</v>
      </c>
      <c r="T113" s="239">
        <f t="shared" si="45"/>
        <v>0</v>
      </c>
    </row>
    <row r="114" spans="1:20" outlineLevel="2" x14ac:dyDescent="0.25">
      <c r="A114" s="252" t="s">
        <v>647</v>
      </c>
      <c r="B114" s="246" t="s">
        <v>648</v>
      </c>
      <c r="C114" s="193" t="s">
        <v>522</v>
      </c>
      <c r="D114" s="247" cm="1">
        <f t="array" ref="D114">-SUMPRODUCT(
  desp[valor] *
  (desp[nucleo]=$B114) *
  (desp[centro.negocio]=$B$94) *
  (desp[data.pagamento]&gt;=D$1) *
  (desp[data.pagamento]&lt;EOMONTH(D$1,0)+1)
)</f>
        <v>0</v>
      </c>
      <c r="E114" s="247" cm="1">
        <f t="array" ref="E114">-SUMPRODUCT(
  desp[valor] *
  (desp[nucleo]=$B114) *
  (desp[centro.negocio]=$B$94) *
  (desp[data.pagamento]&gt;=E$1) *
  (desp[data.pagamento]&lt;EOMONTH(E$1,0)+1)
)</f>
        <v>0</v>
      </c>
      <c r="F114" s="247" cm="1">
        <f t="array" ref="F114">-SUMPRODUCT(
  desp[valor] *
  (desp[nucleo]=$B114) *
  (desp[centro.negocio]=$B$94) *
  (desp[data.pagamento]&gt;=F$1) *
  (desp[data.pagamento]&lt;EOMONTH(F$1,0)+1)
)</f>
        <v>0</v>
      </c>
      <c r="G114" s="247" cm="1">
        <f t="array" ref="G114">-SUMPRODUCT(
  desp[valor] *
  (desp[nucleo]=$B114) *
  (desp[centro.negocio]=$B$94) *
  (desp[data.pagamento]&gt;=G$1) *
  (desp[data.pagamento]&lt;EOMONTH(G$1,0)+1)
)</f>
        <v>0</v>
      </c>
      <c r="H114" s="247" cm="1">
        <f t="array" ref="H114">-SUMPRODUCT(
  desp[valor] *
  (desp[nucleo]=$B114) *
  (desp[centro.negocio]=$B$94) *
  (desp[data.pagamento]&gt;=H$1) *
  (desp[data.pagamento]&lt;EOMONTH(H$1,0)+1)
)</f>
        <v>0</v>
      </c>
      <c r="I114" s="247" cm="1">
        <f t="array" ref="I114">-SUMPRODUCT(
  desp[valor] *
  (desp[nucleo]=$B114) *
  (desp[centro.negocio]=$B$94) *
  (desp[data.pagamento]&gt;=I$1) *
  (desp[data.pagamento]&lt;EOMONTH(I$1,0)+1)
)</f>
        <v>0</v>
      </c>
      <c r="J114" s="247" cm="1">
        <f t="array" ref="J114">-SUMPRODUCT(
  desp[valor] *
  (desp[nucleo]=$B114) *
  (desp[centro.negocio]=$B$94) *
  (desp[data.pagamento]&gt;=J$1) *
  (desp[data.pagamento]&lt;EOMONTH(J$1,0)+1)
)</f>
        <v>0</v>
      </c>
      <c r="K114" s="247" cm="1">
        <f t="array" ref="K114">-SUMPRODUCT(
  desp[valor] *
  (desp[nucleo]=$B114) *
  (desp[centro.negocio]=$B$94) *
  (desp[data.pagamento]&gt;=K$1) *
  (desp[data.pagamento]&lt;EOMONTH(K$1,0)+1)
)</f>
        <v>0</v>
      </c>
      <c r="L114" s="247" cm="1">
        <f t="array" ref="L114">-SUMPRODUCT(
  desp[valor] *
  (desp[nucleo]=$B114) *
  (desp[centro.negocio]=$B$94) *
  (desp[data.pagamento]&gt;=L$1) *
  (desp[data.pagamento]&lt;EOMONTH(L$1,0)+1)
)</f>
        <v>0</v>
      </c>
      <c r="M114" s="247" cm="1">
        <f t="array" ref="M114">-SUMPRODUCT(
  desp[valor] *
  (desp[nucleo]=$B114) *
  (desp[centro.negocio]=$B$94) *
  (desp[data.pagamento]&gt;=M$1) *
  (desp[data.pagamento]&lt;EOMONTH(M$1,0)+1)
)</f>
        <v>0</v>
      </c>
      <c r="N114" s="247" cm="1">
        <f t="array" ref="N114">-SUMPRODUCT(
  desp[valor] *
  (desp[nucleo]=$B114) *
  (desp[centro.negocio]=$B$94) *
  (desp[data.pagamento]&gt;=N$1) *
  (desp[data.pagamento]&lt;EOMONTH(N$1,0)+1)
)</f>
        <v>0</v>
      </c>
      <c r="O114" s="247" cm="1">
        <f t="array" ref="O114">-SUMPRODUCT(
  desp[valor] *
  (desp[nucleo]=$B114) *
  (desp[centro.negocio]=$B$94) *
  (desp[data.pagamento]&gt;=O$1) *
  (desp[data.pagamento]&lt;EOMONTH(O$1,0)+1)
)</f>
        <v>0</v>
      </c>
      <c r="P114" s="247" cm="1">
        <f t="array" ref="P114">-SUMPRODUCT(
  desp[valor] *
  (desp[nucleo]=$B114) *
  (desp[centro.negocio]=$B$94) *
  (desp[data.pagamento]&gt;=P$1) *
  (desp[data.pagamento]&lt;EOMONTH(P$1,0)+1)
)</f>
        <v>0</v>
      </c>
      <c r="Q114" s="247" cm="1">
        <f t="array" ref="Q114">-SUMPRODUCT(
  desp[valor] *
  (desp[nucleo]=$B114) *
  (desp[centro.negocio]=$B$94) *
  (desp[data.pagamento]&gt;=Q$1) *
  (desp[data.pagamento]&lt;EOMONTH(Q$1,0)+1)
)</f>
        <v>0</v>
      </c>
      <c r="R114" s="247" cm="1">
        <f t="array" ref="R114">-SUMPRODUCT(
  desp[valor] *
  (desp[nucleo]=$B114) *
  (desp[centro.negocio]=$B$94) *
  (desp[data.pagamento]&gt;=R$1) *
  (desp[data.pagamento]&lt;EOMONTH(R$1,0)+1)
)</f>
        <v>0</v>
      </c>
      <c r="T114" s="239">
        <f t="shared" si="45"/>
        <v>0</v>
      </c>
    </row>
    <row r="115" spans="1:20" outlineLevel="2" x14ac:dyDescent="0.25">
      <c r="A115" s="246" t="s">
        <v>649</v>
      </c>
      <c r="B115" s="246" t="s">
        <v>650</v>
      </c>
      <c r="C115" s="193" t="s">
        <v>522</v>
      </c>
      <c r="D115" s="247" cm="1">
        <f t="array" ref="D115">-SUMPRODUCT(
  desp[valor] *
  (desp[nucleo]=$B115) *
  (desp[centro.negocio]=$B$94) *
  (desp[data.pagamento]&gt;=D$1) *
  (desp[data.pagamento]&lt;EOMONTH(D$1,0)+1)
)</f>
        <v>0</v>
      </c>
      <c r="E115" s="247" cm="1">
        <f t="array" ref="E115">-SUMPRODUCT(
  desp[valor] *
  (desp[nucleo]=$B115) *
  (desp[centro.negocio]=$B$94) *
  (desp[data.pagamento]&gt;=E$1) *
  (desp[data.pagamento]&lt;EOMONTH(E$1,0)+1)
)</f>
        <v>0</v>
      </c>
      <c r="F115" s="247" cm="1">
        <f t="array" ref="F115">-SUMPRODUCT(
  desp[valor] *
  (desp[nucleo]=$B115) *
  (desp[centro.negocio]=$B$94) *
  (desp[data.pagamento]&gt;=F$1) *
  (desp[data.pagamento]&lt;EOMONTH(F$1,0)+1)
)</f>
        <v>0</v>
      </c>
      <c r="G115" s="247" cm="1">
        <f t="array" ref="G115">-SUMPRODUCT(
  desp[valor] *
  (desp[nucleo]=$B115) *
  (desp[centro.negocio]=$B$94) *
  (desp[data.pagamento]&gt;=G$1) *
  (desp[data.pagamento]&lt;EOMONTH(G$1,0)+1)
)</f>
        <v>0</v>
      </c>
      <c r="H115" s="247" cm="1">
        <f t="array" ref="H115">-SUMPRODUCT(
  desp[valor] *
  (desp[nucleo]=$B115) *
  (desp[centro.negocio]=$B$94) *
  (desp[data.pagamento]&gt;=H$1) *
  (desp[data.pagamento]&lt;EOMONTH(H$1,0)+1)
)</f>
        <v>0</v>
      </c>
      <c r="I115" s="247" cm="1">
        <f t="array" ref="I115">-SUMPRODUCT(
  desp[valor] *
  (desp[nucleo]=$B115) *
  (desp[centro.negocio]=$B$94) *
  (desp[data.pagamento]&gt;=I$1) *
  (desp[data.pagamento]&lt;EOMONTH(I$1,0)+1)
)</f>
        <v>0</v>
      </c>
      <c r="J115" s="247" cm="1">
        <f t="array" ref="J115">-SUMPRODUCT(
  desp[valor] *
  (desp[nucleo]=$B115) *
  (desp[centro.negocio]=$B$94) *
  (desp[data.pagamento]&gt;=J$1) *
  (desp[data.pagamento]&lt;EOMONTH(J$1,0)+1)
)</f>
        <v>0</v>
      </c>
      <c r="K115" s="247" cm="1">
        <f t="array" ref="K115">-SUMPRODUCT(
  desp[valor] *
  (desp[nucleo]=$B115) *
  (desp[centro.negocio]=$B$94) *
  (desp[data.pagamento]&gt;=K$1) *
  (desp[data.pagamento]&lt;EOMONTH(K$1,0)+1)
)</f>
        <v>0</v>
      </c>
      <c r="L115" s="247" cm="1">
        <f t="array" ref="L115">-SUMPRODUCT(
  desp[valor] *
  (desp[nucleo]=$B115) *
  (desp[centro.negocio]=$B$94) *
  (desp[data.pagamento]&gt;=L$1) *
  (desp[data.pagamento]&lt;EOMONTH(L$1,0)+1)
)</f>
        <v>0</v>
      </c>
      <c r="M115" s="247" cm="1">
        <f t="array" ref="M115">-SUMPRODUCT(
  desp[valor] *
  (desp[nucleo]=$B115) *
  (desp[centro.negocio]=$B$94) *
  (desp[data.pagamento]&gt;=M$1) *
  (desp[data.pagamento]&lt;EOMONTH(M$1,0)+1)
)</f>
        <v>0</v>
      </c>
      <c r="N115" s="247" cm="1">
        <f t="array" ref="N115">-SUMPRODUCT(
  desp[valor] *
  (desp[nucleo]=$B115) *
  (desp[centro.negocio]=$B$94) *
  (desp[data.pagamento]&gt;=N$1) *
  (desp[data.pagamento]&lt;EOMONTH(N$1,0)+1)
)</f>
        <v>0</v>
      </c>
      <c r="O115" s="247" cm="1">
        <f t="array" ref="O115">-SUMPRODUCT(
  desp[valor] *
  (desp[nucleo]=$B115) *
  (desp[centro.negocio]=$B$94) *
  (desp[data.pagamento]&gt;=O$1) *
  (desp[data.pagamento]&lt;EOMONTH(O$1,0)+1)
)</f>
        <v>0</v>
      </c>
      <c r="P115" s="247" cm="1">
        <f t="array" ref="P115">-SUMPRODUCT(
  desp[valor] *
  (desp[nucleo]=$B115) *
  (desp[centro.negocio]=$B$94) *
  (desp[data.pagamento]&gt;=P$1) *
  (desp[data.pagamento]&lt;EOMONTH(P$1,0)+1)
)</f>
        <v>0</v>
      </c>
      <c r="Q115" s="247" cm="1">
        <f t="array" ref="Q115">-SUMPRODUCT(
  desp[valor] *
  (desp[nucleo]=$B115) *
  (desp[centro.negocio]=$B$94) *
  (desp[data.pagamento]&gt;=Q$1) *
  (desp[data.pagamento]&lt;EOMONTH(Q$1,0)+1)
)</f>
        <v>0</v>
      </c>
      <c r="R115" s="247" cm="1">
        <f t="array" ref="R115">-SUMPRODUCT(
  desp[valor] *
  (desp[nucleo]=$B115) *
  (desp[centro.negocio]=$B$94) *
  (desp[data.pagamento]&gt;=R$1) *
  (desp[data.pagamento]&lt;EOMONTH(R$1,0)+1)
)</f>
        <v>0</v>
      </c>
      <c r="T115" s="239">
        <f t="shared" si="45"/>
        <v>0</v>
      </c>
    </row>
    <row r="116" spans="1:20" outlineLevel="2" x14ac:dyDescent="0.25">
      <c r="A116" s="246" t="s">
        <v>651</v>
      </c>
      <c r="B116" s="246" t="s">
        <v>652</v>
      </c>
      <c r="C116" s="193" t="s">
        <v>522</v>
      </c>
      <c r="D116" s="247" cm="1">
        <f t="array" ref="D116">-SUMPRODUCT(
  desp[valor] *
  (desp[nucleo]=$B116) *
  (desp[centro.negocio]=$B$94) *
  (desp[data.pagamento]&gt;=D$1) *
  (desp[data.pagamento]&lt;EOMONTH(D$1,0)+1)
)</f>
        <v>0</v>
      </c>
      <c r="E116" s="247" cm="1">
        <f t="array" ref="E116">-SUMPRODUCT(
  desp[valor] *
  (desp[nucleo]=$B116) *
  (desp[centro.negocio]=$B$94) *
  (desp[data.pagamento]&gt;=E$1) *
  (desp[data.pagamento]&lt;EOMONTH(E$1,0)+1)
)</f>
        <v>0</v>
      </c>
      <c r="F116" s="247" cm="1">
        <f t="array" ref="F116">-SUMPRODUCT(
  desp[valor] *
  (desp[nucleo]=$B116) *
  (desp[centro.negocio]=$B$94) *
  (desp[data.pagamento]&gt;=F$1) *
  (desp[data.pagamento]&lt;EOMONTH(F$1,0)+1)
)</f>
        <v>0</v>
      </c>
      <c r="G116" s="247" cm="1">
        <f t="array" ref="G116">-SUMPRODUCT(
  desp[valor] *
  (desp[nucleo]=$B116) *
  (desp[centro.negocio]=$B$94) *
  (desp[data.pagamento]&gt;=G$1) *
  (desp[data.pagamento]&lt;EOMONTH(G$1,0)+1)
)</f>
        <v>0</v>
      </c>
      <c r="H116" s="247" cm="1">
        <f t="array" ref="H116">-SUMPRODUCT(
  desp[valor] *
  (desp[nucleo]=$B116) *
  (desp[centro.negocio]=$B$94) *
  (desp[data.pagamento]&gt;=H$1) *
  (desp[data.pagamento]&lt;EOMONTH(H$1,0)+1)
)</f>
        <v>0</v>
      </c>
      <c r="I116" s="247" cm="1">
        <f t="array" ref="I116">-SUMPRODUCT(
  desp[valor] *
  (desp[nucleo]=$B116) *
  (desp[centro.negocio]=$B$94) *
  (desp[data.pagamento]&gt;=I$1) *
  (desp[data.pagamento]&lt;EOMONTH(I$1,0)+1)
)</f>
        <v>0</v>
      </c>
      <c r="J116" s="247" cm="1">
        <f t="array" ref="J116">-SUMPRODUCT(
  desp[valor] *
  (desp[nucleo]=$B116) *
  (desp[centro.negocio]=$B$94) *
  (desp[data.pagamento]&gt;=J$1) *
  (desp[data.pagamento]&lt;EOMONTH(J$1,0)+1)
)</f>
        <v>0</v>
      </c>
      <c r="K116" s="247" cm="1">
        <f t="array" ref="K116">-SUMPRODUCT(
  desp[valor] *
  (desp[nucleo]=$B116) *
  (desp[centro.negocio]=$B$94) *
  (desp[data.pagamento]&gt;=K$1) *
  (desp[data.pagamento]&lt;EOMONTH(K$1,0)+1)
)</f>
        <v>0</v>
      </c>
      <c r="L116" s="247" cm="1">
        <f t="array" ref="L116">-SUMPRODUCT(
  desp[valor] *
  (desp[nucleo]=$B116) *
  (desp[centro.negocio]=$B$94) *
  (desp[data.pagamento]&gt;=L$1) *
  (desp[data.pagamento]&lt;EOMONTH(L$1,0)+1)
)</f>
        <v>0</v>
      </c>
      <c r="M116" s="247" cm="1">
        <f t="array" ref="M116">-SUMPRODUCT(
  desp[valor] *
  (desp[nucleo]=$B116) *
  (desp[centro.negocio]=$B$94) *
  (desp[data.pagamento]&gt;=M$1) *
  (desp[data.pagamento]&lt;EOMONTH(M$1,0)+1)
)</f>
        <v>0</v>
      </c>
      <c r="N116" s="247" cm="1">
        <f t="array" ref="N116">-SUMPRODUCT(
  desp[valor] *
  (desp[nucleo]=$B116) *
  (desp[centro.negocio]=$B$94) *
  (desp[data.pagamento]&gt;=N$1) *
  (desp[data.pagamento]&lt;EOMONTH(N$1,0)+1)
)</f>
        <v>0</v>
      </c>
      <c r="O116" s="247" cm="1">
        <f t="array" ref="O116">-SUMPRODUCT(
  desp[valor] *
  (desp[nucleo]=$B116) *
  (desp[centro.negocio]=$B$94) *
  (desp[data.pagamento]&gt;=O$1) *
  (desp[data.pagamento]&lt;EOMONTH(O$1,0)+1)
)</f>
        <v>0</v>
      </c>
      <c r="P116" s="247" cm="1">
        <f t="array" ref="P116">-SUMPRODUCT(
  desp[valor] *
  (desp[nucleo]=$B116) *
  (desp[centro.negocio]=$B$94) *
  (desp[data.pagamento]&gt;=P$1) *
  (desp[data.pagamento]&lt;EOMONTH(P$1,0)+1)
)</f>
        <v>0</v>
      </c>
      <c r="Q116" s="247" cm="1">
        <f t="array" ref="Q116">-SUMPRODUCT(
  desp[valor] *
  (desp[nucleo]=$B116) *
  (desp[centro.negocio]=$B$94) *
  (desp[data.pagamento]&gt;=Q$1) *
  (desp[data.pagamento]&lt;EOMONTH(Q$1,0)+1)
)</f>
        <v>0</v>
      </c>
      <c r="R116" s="247" cm="1">
        <f t="array" ref="R116">-SUMPRODUCT(
  desp[valor] *
  (desp[nucleo]=$B116) *
  (desp[centro.negocio]=$B$94) *
  (desp[data.pagamento]&gt;=R$1) *
  (desp[data.pagamento]&lt;EOMONTH(R$1,0)+1)
)</f>
        <v>0</v>
      </c>
      <c r="T116" s="239">
        <f t="shared" si="45"/>
        <v>0</v>
      </c>
    </row>
    <row r="117" spans="1:20" outlineLevel="2" x14ac:dyDescent="0.25">
      <c r="A117" s="246" t="s">
        <v>653</v>
      </c>
      <c r="B117" s="246" t="s">
        <v>654</v>
      </c>
      <c r="C117" s="193" t="s">
        <v>522</v>
      </c>
      <c r="D117" s="247" cm="1">
        <f t="array" ref="D117">-SUMPRODUCT(
  desp[valor] *
  (desp[nucleo]=$B117) *
  (desp[centro.negocio]=$B$94) *
  (desp[data.pagamento]&gt;=D$1) *
  (desp[data.pagamento]&lt;EOMONTH(D$1,0)+1)
)</f>
        <v>0</v>
      </c>
      <c r="E117" s="247" cm="1">
        <f t="array" ref="E117">-SUMPRODUCT(
  desp[valor] *
  (desp[nucleo]=$B117) *
  (desp[centro.negocio]=$B$94) *
  (desp[data.pagamento]&gt;=E$1) *
  (desp[data.pagamento]&lt;EOMONTH(E$1,0)+1)
)</f>
        <v>0</v>
      </c>
      <c r="F117" s="247" cm="1">
        <f t="array" ref="F117">-SUMPRODUCT(
  desp[valor] *
  (desp[nucleo]=$B117) *
  (desp[centro.negocio]=$B$94) *
  (desp[data.pagamento]&gt;=F$1) *
  (desp[data.pagamento]&lt;EOMONTH(F$1,0)+1)
)</f>
        <v>0</v>
      </c>
      <c r="G117" s="247" cm="1">
        <f t="array" ref="G117">-SUMPRODUCT(
  desp[valor] *
  (desp[nucleo]=$B117) *
  (desp[centro.negocio]=$B$94) *
  (desp[data.pagamento]&gt;=G$1) *
  (desp[data.pagamento]&lt;EOMONTH(G$1,0)+1)
)</f>
        <v>0</v>
      </c>
      <c r="H117" s="247" cm="1">
        <f t="array" ref="H117">-SUMPRODUCT(
  desp[valor] *
  (desp[nucleo]=$B117) *
  (desp[centro.negocio]=$B$94) *
  (desp[data.pagamento]&gt;=H$1) *
  (desp[data.pagamento]&lt;EOMONTH(H$1,0)+1)
)</f>
        <v>0</v>
      </c>
      <c r="I117" s="247" cm="1">
        <f t="array" ref="I117">-SUMPRODUCT(
  desp[valor] *
  (desp[nucleo]=$B117) *
  (desp[centro.negocio]=$B$94) *
  (desp[data.pagamento]&gt;=I$1) *
  (desp[data.pagamento]&lt;EOMONTH(I$1,0)+1)
)</f>
        <v>0</v>
      </c>
      <c r="J117" s="247" cm="1">
        <f t="array" ref="J117">-SUMPRODUCT(
  desp[valor] *
  (desp[nucleo]=$B117) *
  (desp[centro.negocio]=$B$94) *
  (desp[data.pagamento]&gt;=J$1) *
  (desp[data.pagamento]&lt;EOMONTH(J$1,0)+1)
)</f>
        <v>0</v>
      </c>
      <c r="K117" s="247" cm="1">
        <f t="array" ref="K117">-SUMPRODUCT(
  desp[valor] *
  (desp[nucleo]=$B117) *
  (desp[centro.negocio]=$B$94) *
  (desp[data.pagamento]&gt;=K$1) *
  (desp[data.pagamento]&lt;EOMONTH(K$1,0)+1)
)</f>
        <v>0</v>
      </c>
      <c r="L117" s="247" cm="1">
        <f t="array" ref="L117">-SUMPRODUCT(
  desp[valor] *
  (desp[nucleo]=$B117) *
  (desp[centro.negocio]=$B$94) *
  (desp[data.pagamento]&gt;=L$1) *
  (desp[data.pagamento]&lt;EOMONTH(L$1,0)+1)
)</f>
        <v>0</v>
      </c>
      <c r="M117" s="247" cm="1">
        <f t="array" ref="M117">-SUMPRODUCT(
  desp[valor] *
  (desp[nucleo]=$B117) *
  (desp[centro.negocio]=$B$94) *
  (desp[data.pagamento]&gt;=M$1) *
  (desp[data.pagamento]&lt;EOMONTH(M$1,0)+1)
)</f>
        <v>0</v>
      </c>
      <c r="N117" s="247" cm="1">
        <f t="array" ref="N117">-SUMPRODUCT(
  desp[valor] *
  (desp[nucleo]=$B117) *
  (desp[centro.negocio]=$B$94) *
  (desp[data.pagamento]&gt;=N$1) *
  (desp[data.pagamento]&lt;EOMONTH(N$1,0)+1)
)</f>
        <v>0</v>
      </c>
      <c r="O117" s="247" cm="1">
        <f t="array" ref="O117">-SUMPRODUCT(
  desp[valor] *
  (desp[nucleo]=$B117) *
  (desp[centro.negocio]=$B$94) *
  (desp[data.pagamento]&gt;=O$1) *
  (desp[data.pagamento]&lt;EOMONTH(O$1,0)+1)
)</f>
        <v>0</v>
      </c>
      <c r="P117" s="247" cm="1">
        <f t="array" ref="P117">-SUMPRODUCT(
  desp[valor] *
  (desp[nucleo]=$B117) *
  (desp[centro.negocio]=$B$94) *
  (desp[data.pagamento]&gt;=P$1) *
  (desp[data.pagamento]&lt;EOMONTH(P$1,0)+1)
)</f>
        <v>0</v>
      </c>
      <c r="Q117" s="247" cm="1">
        <f t="array" ref="Q117">-SUMPRODUCT(
  desp[valor] *
  (desp[nucleo]=$B117) *
  (desp[centro.negocio]=$B$94) *
  (desp[data.pagamento]&gt;=Q$1) *
  (desp[data.pagamento]&lt;EOMONTH(Q$1,0)+1)
)</f>
        <v>0</v>
      </c>
      <c r="R117" s="247" cm="1">
        <f t="array" ref="R117">-SUMPRODUCT(
  desp[valor] *
  (desp[nucleo]=$B117) *
  (desp[centro.negocio]=$B$94) *
  (desp[data.pagamento]&gt;=R$1) *
  (desp[data.pagamento]&lt;EOMONTH(R$1,0)+1)
)</f>
        <v>0</v>
      </c>
      <c r="T117" s="239">
        <f t="shared" si="45"/>
        <v>0</v>
      </c>
    </row>
    <row r="118" spans="1:20" outlineLevel="2" x14ac:dyDescent="0.25">
      <c r="A118" s="252" t="s">
        <v>647</v>
      </c>
      <c r="B118" s="246" t="s">
        <v>620</v>
      </c>
      <c r="C118" s="193" t="s">
        <v>522</v>
      </c>
      <c r="D118" s="247" cm="1">
        <f t="array" ref="D118">-SUMPRODUCT(
  desp[valor] *
  (desp[nucleo]=$B118) *
  (desp[centro.negocio]=$B$94) *
  (desp[data.pagamento]&gt;=D$1) *
  (desp[data.pagamento]&lt;EOMONTH(D$1,0)+1)
)</f>
        <v>0</v>
      </c>
      <c r="E118" s="247" cm="1">
        <f t="array" ref="E118">-SUMPRODUCT(
  desp[valor] *
  (desp[nucleo]=$B118) *
  (desp[centro.negocio]=$B$94) *
  (desp[data.pagamento]&gt;=E$1) *
  (desp[data.pagamento]&lt;EOMONTH(E$1,0)+1)
)</f>
        <v>0</v>
      </c>
      <c r="F118" s="247" cm="1">
        <f t="array" ref="F118">-SUMPRODUCT(
  desp[valor] *
  (desp[nucleo]=$B118) *
  (desp[centro.negocio]=$B$94) *
  (desp[data.pagamento]&gt;=F$1) *
  (desp[data.pagamento]&lt;EOMONTH(F$1,0)+1)
)</f>
        <v>0</v>
      </c>
      <c r="G118" s="247" cm="1">
        <f t="array" ref="G118">-SUMPRODUCT(
  desp[valor] *
  (desp[nucleo]=$B118) *
  (desp[centro.negocio]=$B$94) *
  (desp[data.pagamento]&gt;=G$1) *
  (desp[data.pagamento]&lt;EOMONTH(G$1,0)+1)
)</f>
        <v>0</v>
      </c>
      <c r="H118" s="247" cm="1">
        <f t="array" ref="H118">-SUMPRODUCT(
  desp[valor] *
  (desp[nucleo]=$B118) *
  (desp[centro.negocio]=$B$94) *
  (desp[data.pagamento]&gt;=H$1) *
  (desp[data.pagamento]&lt;EOMONTH(H$1,0)+1)
)</f>
        <v>0</v>
      </c>
      <c r="I118" s="247" cm="1">
        <f t="array" ref="I118">-SUMPRODUCT(
  desp[valor] *
  (desp[nucleo]=$B118) *
  (desp[centro.negocio]=$B$94) *
  (desp[data.pagamento]&gt;=I$1) *
  (desp[data.pagamento]&lt;EOMONTH(I$1,0)+1)
)</f>
        <v>0</v>
      </c>
      <c r="J118" s="247" cm="1">
        <f t="array" ref="J118">-SUMPRODUCT(
  desp[valor] *
  (desp[nucleo]=$B118) *
  (desp[centro.negocio]=$B$94) *
  (desp[data.pagamento]&gt;=J$1) *
  (desp[data.pagamento]&lt;EOMONTH(J$1,0)+1)
)</f>
        <v>0</v>
      </c>
      <c r="K118" s="247" cm="1">
        <f t="array" ref="K118">-SUMPRODUCT(
  desp[valor] *
  (desp[nucleo]=$B118) *
  (desp[centro.negocio]=$B$94) *
  (desp[data.pagamento]&gt;=K$1) *
  (desp[data.pagamento]&lt;EOMONTH(K$1,0)+1)
)</f>
        <v>0</v>
      </c>
      <c r="L118" s="247" cm="1">
        <f t="array" ref="L118">-SUMPRODUCT(
  desp[valor] *
  (desp[nucleo]=$B118) *
  (desp[centro.negocio]=$B$94) *
  (desp[data.pagamento]&gt;=L$1) *
  (desp[data.pagamento]&lt;EOMONTH(L$1,0)+1)
)</f>
        <v>0</v>
      </c>
      <c r="M118" s="247" cm="1">
        <f t="array" ref="M118">-SUMPRODUCT(
  desp[valor] *
  (desp[nucleo]=$B118) *
  (desp[centro.negocio]=$B$94) *
  (desp[data.pagamento]&gt;=M$1) *
  (desp[data.pagamento]&lt;EOMONTH(M$1,0)+1)
)</f>
        <v>0</v>
      </c>
      <c r="N118" s="247" cm="1">
        <f t="array" ref="N118">-SUMPRODUCT(
  desp[valor] *
  (desp[nucleo]=$B118) *
  (desp[centro.negocio]=$B$94) *
  (desp[data.pagamento]&gt;=N$1) *
  (desp[data.pagamento]&lt;EOMONTH(N$1,0)+1)
)</f>
        <v>0</v>
      </c>
      <c r="O118" s="247" cm="1">
        <f t="array" ref="O118">-SUMPRODUCT(
  desp[valor] *
  (desp[nucleo]=$B118) *
  (desp[centro.negocio]=$B$94) *
  (desp[data.pagamento]&gt;=O$1) *
  (desp[data.pagamento]&lt;EOMONTH(O$1,0)+1)
)</f>
        <v>0</v>
      </c>
      <c r="P118" s="247" cm="1">
        <f t="array" ref="P118">-SUMPRODUCT(
  desp[valor] *
  (desp[nucleo]=$B118) *
  (desp[centro.negocio]=$B$94) *
  (desp[data.pagamento]&gt;=P$1) *
  (desp[data.pagamento]&lt;EOMONTH(P$1,0)+1)
)</f>
        <v>0</v>
      </c>
      <c r="Q118" s="247" cm="1">
        <f t="array" ref="Q118">-SUMPRODUCT(
  desp[valor] *
  (desp[nucleo]=$B118) *
  (desp[centro.negocio]=$B$94) *
  (desp[data.pagamento]&gt;=Q$1) *
  (desp[data.pagamento]&lt;EOMONTH(Q$1,0)+1)
)</f>
        <v>0</v>
      </c>
      <c r="R118" s="247" cm="1">
        <f t="array" ref="R118">-SUMPRODUCT(
  desp[valor] *
  (desp[nucleo]=$B118) *
  (desp[centro.negocio]=$B$94) *
  (desp[data.pagamento]&gt;=R$1) *
  (desp[data.pagamento]&lt;EOMONTH(R$1,0)+1)
)</f>
        <v>0</v>
      </c>
      <c r="T118" s="239">
        <f t="shared" si="45"/>
        <v>0</v>
      </c>
    </row>
    <row r="119" spans="1:20" outlineLevel="2" x14ac:dyDescent="0.25">
      <c r="A119" s="252" t="s">
        <v>647</v>
      </c>
      <c r="B119" s="246" t="s">
        <v>655</v>
      </c>
      <c r="C119" s="193" t="s">
        <v>522</v>
      </c>
      <c r="D119" s="247" cm="1">
        <f t="array" ref="D119">-SUMPRODUCT(
  desp[valor] *
  (desp[nucleo]=$B119) *
  (desp[centro.negocio]=$B$94) *
  (desp[data.pagamento]&gt;=D$1) *
  (desp[data.pagamento]&lt;EOMONTH(D$1,0)+1)
)</f>
        <v>0</v>
      </c>
      <c r="E119" s="247" cm="1">
        <f t="array" ref="E119">-SUMPRODUCT(
  desp[valor] *
  (desp[nucleo]=$B119) *
  (desp[centro.negocio]=$B$94) *
  (desp[data.pagamento]&gt;=E$1) *
  (desp[data.pagamento]&lt;EOMONTH(E$1,0)+1)
)</f>
        <v>0</v>
      </c>
      <c r="F119" s="247" cm="1">
        <f t="array" ref="F119">-SUMPRODUCT(
  desp[valor] *
  (desp[nucleo]=$B119) *
  (desp[centro.negocio]=$B$94) *
  (desp[data.pagamento]&gt;=F$1) *
  (desp[data.pagamento]&lt;EOMONTH(F$1,0)+1)
)</f>
        <v>0</v>
      </c>
      <c r="G119" s="247" cm="1">
        <f t="array" ref="G119">-SUMPRODUCT(
  desp[valor] *
  (desp[nucleo]=$B119) *
  (desp[centro.negocio]=$B$94) *
  (desp[data.pagamento]&gt;=G$1) *
  (desp[data.pagamento]&lt;EOMONTH(G$1,0)+1)
)</f>
        <v>0</v>
      </c>
      <c r="H119" s="247" cm="1">
        <f t="array" ref="H119">-SUMPRODUCT(
  desp[valor] *
  (desp[nucleo]=$B119) *
  (desp[centro.negocio]=$B$94) *
  (desp[data.pagamento]&gt;=H$1) *
  (desp[data.pagamento]&lt;EOMONTH(H$1,0)+1)
)</f>
        <v>0</v>
      </c>
      <c r="I119" s="247" cm="1">
        <f t="array" ref="I119">-SUMPRODUCT(
  desp[valor] *
  (desp[nucleo]=$B119) *
  (desp[centro.negocio]=$B$94) *
  (desp[data.pagamento]&gt;=I$1) *
  (desp[data.pagamento]&lt;EOMONTH(I$1,0)+1)
)</f>
        <v>0</v>
      </c>
      <c r="J119" s="247" cm="1">
        <f t="array" ref="J119">-SUMPRODUCT(
  desp[valor] *
  (desp[nucleo]=$B119) *
  (desp[centro.negocio]=$B$94) *
  (desp[data.pagamento]&gt;=J$1) *
  (desp[data.pagamento]&lt;EOMONTH(J$1,0)+1)
)</f>
        <v>0</v>
      </c>
      <c r="K119" s="247" cm="1">
        <f t="array" ref="K119">-SUMPRODUCT(
  desp[valor] *
  (desp[nucleo]=$B119) *
  (desp[centro.negocio]=$B$94) *
  (desp[data.pagamento]&gt;=K$1) *
  (desp[data.pagamento]&lt;EOMONTH(K$1,0)+1)
)</f>
        <v>0</v>
      </c>
      <c r="L119" s="247" cm="1">
        <f t="array" ref="L119">-SUMPRODUCT(
  desp[valor] *
  (desp[nucleo]=$B119) *
  (desp[centro.negocio]=$B$94) *
  (desp[data.pagamento]&gt;=L$1) *
  (desp[data.pagamento]&lt;EOMONTH(L$1,0)+1)
)</f>
        <v>0</v>
      </c>
      <c r="M119" s="247" cm="1">
        <f t="array" ref="M119">-SUMPRODUCT(
  desp[valor] *
  (desp[nucleo]=$B119) *
  (desp[centro.negocio]=$B$94) *
  (desp[data.pagamento]&gt;=M$1) *
  (desp[data.pagamento]&lt;EOMONTH(M$1,0)+1)
)</f>
        <v>0</v>
      </c>
      <c r="N119" s="247" cm="1">
        <f t="array" ref="N119">-SUMPRODUCT(
  desp[valor] *
  (desp[nucleo]=$B119) *
  (desp[centro.negocio]=$B$94) *
  (desp[data.pagamento]&gt;=N$1) *
  (desp[data.pagamento]&lt;EOMONTH(N$1,0)+1)
)</f>
        <v>0</v>
      </c>
      <c r="O119" s="247" cm="1">
        <f t="array" ref="O119">-SUMPRODUCT(
  desp[valor] *
  (desp[nucleo]=$B119) *
  (desp[centro.negocio]=$B$94) *
  (desp[data.pagamento]&gt;=O$1) *
  (desp[data.pagamento]&lt;EOMONTH(O$1,0)+1)
)</f>
        <v>0</v>
      </c>
      <c r="P119" s="247" cm="1">
        <f t="array" ref="P119">-SUMPRODUCT(
  desp[valor] *
  (desp[nucleo]=$B119) *
  (desp[centro.negocio]=$B$94) *
  (desp[data.pagamento]&gt;=P$1) *
  (desp[data.pagamento]&lt;EOMONTH(P$1,0)+1)
)</f>
        <v>0</v>
      </c>
      <c r="Q119" s="247" cm="1">
        <f t="array" ref="Q119">-SUMPRODUCT(
  desp[valor] *
  (desp[nucleo]=$B119) *
  (desp[centro.negocio]=$B$94) *
  (desp[data.pagamento]&gt;=Q$1) *
  (desp[data.pagamento]&lt;EOMONTH(Q$1,0)+1)
)</f>
        <v>0</v>
      </c>
      <c r="R119" s="247" cm="1">
        <f t="array" ref="R119">-SUMPRODUCT(
  desp[valor] *
  (desp[nucleo]=$B119) *
  (desp[centro.negocio]=$B$94) *
  (desp[data.pagamento]&gt;=R$1) *
  (desp[data.pagamento]&lt;EOMONTH(R$1,0)+1)
)</f>
        <v>0</v>
      </c>
      <c r="T119" s="239">
        <f t="shared" si="45"/>
        <v>0</v>
      </c>
    </row>
    <row r="120" spans="1:20" outlineLevel="1" x14ac:dyDescent="0.25">
      <c r="A120" s="243" t="s">
        <v>656</v>
      </c>
      <c r="B120" s="243" t="s">
        <v>390</v>
      </c>
      <c r="C120" s="244" t="s">
        <v>522</v>
      </c>
      <c r="D120" s="245">
        <f>SUM(D$121:D$133)</f>
        <v>0</v>
      </c>
      <c r="E120" s="245">
        <f t="shared" ref="E120:R120" si="46">SUM(E$121:E$133)</f>
        <v>0</v>
      </c>
      <c r="F120" s="245">
        <f t="shared" si="46"/>
        <v>0</v>
      </c>
      <c r="G120" s="245">
        <f t="shared" si="46"/>
        <v>0</v>
      </c>
      <c r="H120" s="245">
        <f t="shared" si="46"/>
        <v>0</v>
      </c>
      <c r="I120" s="245">
        <f t="shared" si="46"/>
        <v>0</v>
      </c>
      <c r="J120" s="245">
        <f t="shared" si="46"/>
        <v>0</v>
      </c>
      <c r="K120" s="245">
        <f t="shared" si="46"/>
        <v>0</v>
      </c>
      <c r="L120" s="245">
        <f t="shared" si="46"/>
        <v>0</v>
      </c>
      <c r="M120" s="245">
        <f t="shared" si="46"/>
        <v>0</v>
      </c>
      <c r="N120" s="245">
        <f t="shared" si="46"/>
        <v>0</v>
      </c>
      <c r="O120" s="245">
        <f t="shared" si="46"/>
        <v>0</v>
      </c>
      <c r="P120" s="245">
        <f t="shared" si="46"/>
        <v>0</v>
      </c>
      <c r="Q120" s="245">
        <f t="shared" si="46"/>
        <v>0</v>
      </c>
      <c r="R120" s="245">
        <f t="shared" si="46"/>
        <v>0</v>
      </c>
      <c r="T120" s="239">
        <f t="shared" si="45"/>
        <v>0</v>
      </c>
    </row>
    <row r="121" spans="1:20" outlineLevel="2" x14ac:dyDescent="0.25">
      <c r="A121" s="246" t="s">
        <v>657</v>
      </c>
      <c r="B121" s="246" t="s">
        <v>562</v>
      </c>
      <c r="C121" s="193" t="s">
        <v>522</v>
      </c>
      <c r="D121" s="247" cm="1">
        <f t="array" ref="D121">-SUMPRODUCT(
  desp[valor] *
  (desp[nucleo]=$B121) *
  (desp[centro.negocio]=$B$120) *
  (desp[data.pagamento]&gt;=D$1) *
  (desp[data.pagamento]&lt;EOMONTH(D$1,0)+1)
)</f>
        <v>0</v>
      </c>
      <c r="E121" s="247" cm="1">
        <f t="array" ref="E121">-SUMPRODUCT(
  desp[valor] *
  (desp[nucleo]=$B121) *
  (desp[centro.negocio]=$B$120) *
  (desp[data.pagamento]&gt;=E$1) *
  (desp[data.pagamento]&lt;EOMONTH(E$1,0)+1)
)</f>
        <v>0</v>
      </c>
      <c r="F121" s="247" cm="1">
        <f t="array" ref="F121">-SUMPRODUCT(
  desp[valor] *
  (desp[nucleo]=$B121) *
  (desp[centro.negocio]=$B$120) *
  (desp[data.pagamento]&gt;=F$1) *
  (desp[data.pagamento]&lt;EOMONTH(F$1,0)+1)
)</f>
        <v>0</v>
      </c>
      <c r="G121" s="247" cm="1">
        <f t="array" ref="G121">-SUMPRODUCT(
  desp[valor] *
  (desp[nucleo]=$B121) *
  (desp[centro.negocio]=$B$120) *
  (desp[data.pagamento]&gt;=G$1) *
  (desp[data.pagamento]&lt;EOMONTH(G$1,0)+1)
)</f>
        <v>0</v>
      </c>
      <c r="H121" s="247" cm="1">
        <f t="array" ref="H121">-SUMPRODUCT(
  desp[valor] *
  (desp[nucleo]=$B121) *
  (desp[centro.negocio]=$B$120) *
  (desp[data.pagamento]&gt;=H$1) *
  (desp[data.pagamento]&lt;EOMONTH(H$1,0)+1)
)</f>
        <v>0</v>
      </c>
      <c r="I121" s="247" cm="1">
        <f t="array" ref="I121">-SUMPRODUCT(
  desp[valor] *
  (desp[nucleo]=$B121) *
  (desp[centro.negocio]=$B$120) *
  (desp[data.pagamento]&gt;=I$1) *
  (desp[data.pagamento]&lt;EOMONTH(I$1,0)+1)
)</f>
        <v>0</v>
      </c>
      <c r="J121" s="247" cm="1">
        <f t="array" ref="J121">-SUMPRODUCT(
  desp[valor] *
  (desp[nucleo]=$B121) *
  (desp[centro.negocio]=$B$120) *
  (desp[data.pagamento]&gt;=J$1) *
  (desp[data.pagamento]&lt;EOMONTH(J$1,0)+1)
)</f>
        <v>0</v>
      </c>
      <c r="K121" s="247" cm="1">
        <f t="array" ref="K121">-SUMPRODUCT(
  desp[valor] *
  (desp[nucleo]=$B121) *
  (desp[centro.negocio]=$B$120) *
  (desp[data.pagamento]&gt;=K$1) *
  (desp[data.pagamento]&lt;EOMONTH(K$1,0)+1)
)</f>
        <v>0</v>
      </c>
      <c r="L121" s="247" cm="1">
        <f t="array" ref="L121">-SUMPRODUCT(
  desp[valor] *
  (desp[nucleo]=$B121) *
  (desp[centro.negocio]=$B$120) *
  (desp[data.pagamento]&gt;=L$1) *
  (desp[data.pagamento]&lt;EOMONTH(L$1,0)+1)
)</f>
        <v>0</v>
      </c>
      <c r="M121" s="247" cm="1">
        <f t="array" ref="M121">-SUMPRODUCT(
  desp[valor] *
  (desp[nucleo]=$B121) *
  (desp[centro.negocio]=$B$120) *
  (desp[data.pagamento]&gt;=M$1) *
  (desp[data.pagamento]&lt;EOMONTH(M$1,0)+1)
)</f>
        <v>0</v>
      </c>
      <c r="N121" s="247" cm="1">
        <f t="array" ref="N121">-SUMPRODUCT(
  desp[valor] *
  (desp[nucleo]=$B121) *
  (desp[centro.negocio]=$B$120) *
  (desp[data.pagamento]&gt;=N$1) *
  (desp[data.pagamento]&lt;EOMONTH(N$1,0)+1)
)</f>
        <v>0</v>
      </c>
      <c r="O121" s="247" cm="1">
        <f t="array" ref="O121">-SUMPRODUCT(
  desp[valor] *
  (desp[nucleo]=$B121) *
  (desp[centro.negocio]=$B$120) *
  (desp[data.pagamento]&gt;=O$1) *
  (desp[data.pagamento]&lt;EOMONTH(O$1,0)+1)
)</f>
        <v>0</v>
      </c>
      <c r="P121" s="247" cm="1">
        <f t="array" ref="P121">-SUMPRODUCT(
  desp[valor] *
  (desp[nucleo]=$B121) *
  (desp[centro.negocio]=$B$120) *
  (desp[data.pagamento]&gt;=P$1) *
  (desp[data.pagamento]&lt;EOMONTH(P$1,0)+1)
)</f>
        <v>0</v>
      </c>
      <c r="Q121" s="247" cm="1">
        <f t="array" ref="Q121">-SUMPRODUCT(
  desp[valor] *
  (desp[nucleo]=$B121) *
  (desp[centro.negocio]=$B$120) *
  (desp[data.pagamento]&gt;=Q$1) *
  (desp[data.pagamento]&lt;EOMONTH(Q$1,0)+1)
)</f>
        <v>0</v>
      </c>
      <c r="R121" s="247" cm="1">
        <f t="array" ref="R121">-SUMPRODUCT(
  desp[valor] *
  (desp[nucleo]=$B121) *
  (desp[centro.negocio]=$B$120) *
  (desp[data.pagamento]&gt;=R$1) *
  (desp[data.pagamento]&lt;EOMONTH(R$1,0)+1)
)</f>
        <v>0</v>
      </c>
      <c r="T121" s="239">
        <f t="shared" si="45"/>
        <v>0</v>
      </c>
    </row>
    <row r="122" spans="1:20" outlineLevel="2" x14ac:dyDescent="0.25">
      <c r="A122" s="246" t="s">
        <v>658</v>
      </c>
      <c r="B122" s="246" t="s">
        <v>554</v>
      </c>
      <c r="C122" s="193" t="s">
        <v>522</v>
      </c>
      <c r="D122" s="247" cm="1">
        <f t="array" ref="D122">-SUMPRODUCT(
  desp[valor] *
  (desp[nucleo]=$B122) *
  (desp[centro.negocio]=$B$120) *
  (desp[data.pagamento]&gt;=D$1) *
  (desp[data.pagamento]&lt;EOMONTH(D$1,0)+1)
)</f>
        <v>0</v>
      </c>
      <c r="E122" s="247" cm="1">
        <f t="array" ref="E122">-SUMPRODUCT(
  desp[valor] *
  (desp[nucleo]=$B122) *
  (desp[centro.negocio]=$B$120) *
  (desp[data.pagamento]&gt;=E$1) *
  (desp[data.pagamento]&lt;EOMONTH(E$1,0)+1)
)</f>
        <v>0</v>
      </c>
      <c r="F122" s="247" cm="1">
        <f t="array" ref="F122">-SUMPRODUCT(
  desp[valor] *
  (desp[nucleo]=$B122) *
  (desp[centro.negocio]=$B$120) *
  (desp[data.pagamento]&gt;=F$1) *
  (desp[data.pagamento]&lt;EOMONTH(F$1,0)+1)
)</f>
        <v>0</v>
      </c>
      <c r="G122" s="247" cm="1">
        <f t="array" ref="G122">-SUMPRODUCT(
  desp[valor] *
  (desp[nucleo]=$B122) *
  (desp[centro.negocio]=$B$120) *
  (desp[data.pagamento]&gt;=G$1) *
  (desp[data.pagamento]&lt;EOMONTH(G$1,0)+1)
)</f>
        <v>0</v>
      </c>
      <c r="H122" s="247" cm="1">
        <f t="array" ref="H122">-SUMPRODUCT(
  desp[valor] *
  (desp[nucleo]=$B122) *
  (desp[centro.negocio]=$B$120) *
  (desp[data.pagamento]&gt;=H$1) *
  (desp[data.pagamento]&lt;EOMONTH(H$1,0)+1)
)</f>
        <v>0</v>
      </c>
      <c r="I122" s="247" cm="1">
        <f t="array" ref="I122">-SUMPRODUCT(
  desp[valor] *
  (desp[nucleo]=$B122) *
  (desp[centro.negocio]=$B$120) *
  (desp[data.pagamento]&gt;=I$1) *
  (desp[data.pagamento]&lt;EOMONTH(I$1,0)+1)
)</f>
        <v>0</v>
      </c>
      <c r="J122" s="247" cm="1">
        <f t="array" ref="J122">-SUMPRODUCT(
  desp[valor] *
  (desp[nucleo]=$B122) *
  (desp[centro.negocio]=$B$120) *
  (desp[data.pagamento]&gt;=J$1) *
  (desp[data.pagamento]&lt;EOMONTH(J$1,0)+1)
)</f>
        <v>0</v>
      </c>
      <c r="K122" s="247" cm="1">
        <f t="array" ref="K122">-SUMPRODUCT(
  desp[valor] *
  (desp[nucleo]=$B122) *
  (desp[centro.negocio]=$B$120) *
  (desp[data.pagamento]&gt;=K$1) *
  (desp[data.pagamento]&lt;EOMONTH(K$1,0)+1)
)</f>
        <v>0</v>
      </c>
      <c r="L122" s="247" cm="1">
        <f t="array" ref="L122">-SUMPRODUCT(
  desp[valor] *
  (desp[nucleo]=$B122) *
  (desp[centro.negocio]=$B$120) *
  (desp[data.pagamento]&gt;=L$1) *
  (desp[data.pagamento]&lt;EOMONTH(L$1,0)+1)
)</f>
        <v>0</v>
      </c>
      <c r="M122" s="247" cm="1">
        <f t="array" ref="M122">-SUMPRODUCT(
  desp[valor] *
  (desp[nucleo]=$B122) *
  (desp[centro.negocio]=$B$120) *
  (desp[data.pagamento]&gt;=M$1) *
  (desp[data.pagamento]&lt;EOMONTH(M$1,0)+1)
)</f>
        <v>0</v>
      </c>
      <c r="N122" s="247" cm="1">
        <f t="array" ref="N122">-SUMPRODUCT(
  desp[valor] *
  (desp[nucleo]=$B122) *
  (desp[centro.negocio]=$B$120) *
  (desp[data.pagamento]&gt;=N$1) *
  (desp[data.pagamento]&lt;EOMONTH(N$1,0)+1)
)</f>
        <v>0</v>
      </c>
      <c r="O122" s="247" cm="1">
        <f t="array" ref="O122">-SUMPRODUCT(
  desp[valor] *
  (desp[nucleo]=$B122) *
  (desp[centro.negocio]=$B$120) *
  (desp[data.pagamento]&gt;=O$1) *
  (desp[data.pagamento]&lt;EOMONTH(O$1,0)+1)
)</f>
        <v>0</v>
      </c>
      <c r="P122" s="247" cm="1">
        <f t="array" ref="P122">-SUMPRODUCT(
  desp[valor] *
  (desp[nucleo]=$B122) *
  (desp[centro.negocio]=$B$120) *
  (desp[data.pagamento]&gt;=P$1) *
  (desp[data.pagamento]&lt;EOMONTH(P$1,0)+1)
)</f>
        <v>0</v>
      </c>
      <c r="Q122" s="247" cm="1">
        <f t="array" ref="Q122">-SUMPRODUCT(
  desp[valor] *
  (desp[nucleo]=$B122) *
  (desp[centro.negocio]=$B$120) *
  (desp[data.pagamento]&gt;=Q$1) *
  (desp[data.pagamento]&lt;EOMONTH(Q$1,0)+1)
)</f>
        <v>0</v>
      </c>
      <c r="R122" s="247" cm="1">
        <f t="array" ref="R122">-SUMPRODUCT(
  desp[valor] *
  (desp[nucleo]=$B122) *
  (desp[centro.negocio]=$B$120) *
  (desp[data.pagamento]&gt;=R$1) *
  (desp[data.pagamento]&lt;EOMONTH(R$1,0)+1)
)</f>
        <v>0</v>
      </c>
      <c r="T122" s="239">
        <f t="shared" si="45"/>
        <v>0</v>
      </c>
    </row>
    <row r="123" spans="1:20" outlineLevel="2" x14ac:dyDescent="0.25">
      <c r="A123" s="246" t="s">
        <v>659</v>
      </c>
      <c r="B123" s="246" t="s">
        <v>558</v>
      </c>
      <c r="C123" s="193" t="s">
        <v>522</v>
      </c>
      <c r="D123" s="247" cm="1">
        <f t="array" ref="D123">-SUMPRODUCT(
  desp[valor] *
  (desp[nucleo]=$B123) *
  (desp[centro.negocio]=$B$120) *
  (desp[data.pagamento]&gt;=D$1) *
  (desp[data.pagamento]&lt;EOMONTH(D$1,0)+1)
)</f>
        <v>0</v>
      </c>
      <c r="E123" s="247" cm="1">
        <f t="array" ref="E123">-SUMPRODUCT(
  desp[valor] *
  (desp[nucleo]=$B123) *
  (desp[centro.negocio]=$B$120) *
  (desp[data.pagamento]&gt;=E$1) *
  (desp[data.pagamento]&lt;EOMONTH(E$1,0)+1)
)</f>
        <v>0</v>
      </c>
      <c r="F123" s="247" cm="1">
        <f t="array" ref="F123">-SUMPRODUCT(
  desp[valor] *
  (desp[nucleo]=$B123) *
  (desp[centro.negocio]=$B$120) *
  (desp[data.pagamento]&gt;=F$1) *
  (desp[data.pagamento]&lt;EOMONTH(F$1,0)+1)
)</f>
        <v>0</v>
      </c>
      <c r="G123" s="247" cm="1">
        <f t="array" ref="G123">-SUMPRODUCT(
  desp[valor] *
  (desp[nucleo]=$B123) *
  (desp[centro.negocio]=$B$120) *
  (desp[data.pagamento]&gt;=G$1) *
  (desp[data.pagamento]&lt;EOMONTH(G$1,0)+1)
)</f>
        <v>0</v>
      </c>
      <c r="H123" s="247" cm="1">
        <f t="array" ref="H123">-SUMPRODUCT(
  desp[valor] *
  (desp[nucleo]=$B123) *
  (desp[centro.negocio]=$B$120) *
  (desp[data.pagamento]&gt;=H$1) *
  (desp[data.pagamento]&lt;EOMONTH(H$1,0)+1)
)</f>
        <v>0</v>
      </c>
      <c r="I123" s="247" cm="1">
        <f t="array" ref="I123">-SUMPRODUCT(
  desp[valor] *
  (desp[nucleo]=$B123) *
  (desp[centro.negocio]=$B$120) *
  (desp[data.pagamento]&gt;=I$1) *
  (desp[data.pagamento]&lt;EOMONTH(I$1,0)+1)
)</f>
        <v>0</v>
      </c>
      <c r="J123" s="247" cm="1">
        <f t="array" ref="J123">-SUMPRODUCT(
  desp[valor] *
  (desp[nucleo]=$B123) *
  (desp[centro.negocio]=$B$120) *
  (desp[data.pagamento]&gt;=J$1) *
  (desp[data.pagamento]&lt;EOMONTH(J$1,0)+1)
)</f>
        <v>0</v>
      </c>
      <c r="K123" s="247" cm="1">
        <f t="array" ref="K123">-SUMPRODUCT(
  desp[valor] *
  (desp[nucleo]=$B123) *
  (desp[centro.negocio]=$B$120) *
  (desp[data.pagamento]&gt;=K$1) *
  (desp[data.pagamento]&lt;EOMONTH(K$1,0)+1)
)</f>
        <v>0</v>
      </c>
      <c r="L123" s="247" cm="1">
        <f t="array" ref="L123">-SUMPRODUCT(
  desp[valor] *
  (desp[nucleo]=$B123) *
  (desp[centro.negocio]=$B$120) *
  (desp[data.pagamento]&gt;=L$1) *
  (desp[data.pagamento]&lt;EOMONTH(L$1,0)+1)
)</f>
        <v>0</v>
      </c>
      <c r="M123" s="247" cm="1">
        <f t="array" ref="M123">-SUMPRODUCT(
  desp[valor] *
  (desp[nucleo]=$B123) *
  (desp[centro.negocio]=$B$120) *
  (desp[data.pagamento]&gt;=M$1) *
  (desp[data.pagamento]&lt;EOMONTH(M$1,0)+1)
)</f>
        <v>0</v>
      </c>
      <c r="N123" s="247" cm="1">
        <f t="array" ref="N123">-SUMPRODUCT(
  desp[valor] *
  (desp[nucleo]=$B123) *
  (desp[centro.negocio]=$B$120) *
  (desp[data.pagamento]&gt;=N$1) *
  (desp[data.pagamento]&lt;EOMONTH(N$1,0)+1)
)</f>
        <v>0</v>
      </c>
      <c r="O123" s="247" cm="1">
        <f t="array" ref="O123">-SUMPRODUCT(
  desp[valor] *
  (desp[nucleo]=$B123) *
  (desp[centro.negocio]=$B$120) *
  (desp[data.pagamento]&gt;=O$1) *
  (desp[data.pagamento]&lt;EOMONTH(O$1,0)+1)
)</f>
        <v>0</v>
      </c>
      <c r="P123" s="247" cm="1">
        <f t="array" ref="P123">-SUMPRODUCT(
  desp[valor] *
  (desp[nucleo]=$B123) *
  (desp[centro.negocio]=$B$120) *
  (desp[data.pagamento]&gt;=P$1) *
  (desp[data.pagamento]&lt;EOMONTH(P$1,0)+1)
)</f>
        <v>0</v>
      </c>
      <c r="Q123" s="247" cm="1">
        <f t="array" ref="Q123">-SUMPRODUCT(
  desp[valor] *
  (desp[nucleo]=$B123) *
  (desp[centro.negocio]=$B$120) *
  (desp[data.pagamento]&gt;=Q$1) *
  (desp[data.pagamento]&lt;EOMONTH(Q$1,0)+1)
)</f>
        <v>0</v>
      </c>
      <c r="R123" s="247" cm="1">
        <f t="array" ref="R123">-SUMPRODUCT(
  desp[valor] *
  (desp[nucleo]=$B123) *
  (desp[centro.negocio]=$B$120) *
  (desp[data.pagamento]&gt;=R$1) *
  (desp[data.pagamento]&lt;EOMONTH(R$1,0)+1)
)</f>
        <v>0</v>
      </c>
      <c r="T123" s="239">
        <f t="shared" si="45"/>
        <v>0</v>
      </c>
    </row>
    <row r="124" spans="1:20" outlineLevel="2" x14ac:dyDescent="0.25">
      <c r="A124" s="246" t="s">
        <v>660</v>
      </c>
      <c r="B124" s="246" t="s">
        <v>564</v>
      </c>
      <c r="C124" s="193" t="s">
        <v>522</v>
      </c>
      <c r="D124" s="247" cm="1">
        <f t="array" ref="D124">-SUMPRODUCT(
  desp[valor] *
  (desp[nucleo]=$B124) *
  (desp[centro.negocio]=$B$120) *
  (desp[data.pagamento]&gt;=D$1) *
  (desp[data.pagamento]&lt;EOMONTH(D$1,0)+1)
)</f>
        <v>0</v>
      </c>
      <c r="E124" s="247" cm="1">
        <f t="array" ref="E124">-SUMPRODUCT(
  desp[valor] *
  (desp[nucleo]=$B124) *
  (desp[centro.negocio]=$B$120) *
  (desp[data.pagamento]&gt;=E$1) *
  (desp[data.pagamento]&lt;EOMONTH(E$1,0)+1)
)</f>
        <v>0</v>
      </c>
      <c r="F124" s="247" cm="1">
        <f t="array" ref="F124">-SUMPRODUCT(
  desp[valor] *
  (desp[nucleo]=$B124) *
  (desp[centro.negocio]=$B$120) *
  (desp[data.pagamento]&gt;=F$1) *
  (desp[data.pagamento]&lt;EOMONTH(F$1,0)+1)
)</f>
        <v>0</v>
      </c>
      <c r="G124" s="247" cm="1">
        <f t="array" ref="G124">-SUMPRODUCT(
  desp[valor] *
  (desp[nucleo]=$B124) *
  (desp[centro.negocio]=$B$120) *
  (desp[data.pagamento]&gt;=G$1) *
  (desp[data.pagamento]&lt;EOMONTH(G$1,0)+1)
)</f>
        <v>0</v>
      </c>
      <c r="H124" s="247" cm="1">
        <f t="array" ref="H124">-SUMPRODUCT(
  desp[valor] *
  (desp[nucleo]=$B124) *
  (desp[centro.negocio]=$B$120) *
  (desp[data.pagamento]&gt;=H$1) *
  (desp[data.pagamento]&lt;EOMONTH(H$1,0)+1)
)</f>
        <v>0</v>
      </c>
      <c r="I124" s="247" cm="1">
        <f t="array" ref="I124">-SUMPRODUCT(
  desp[valor] *
  (desp[nucleo]=$B124) *
  (desp[centro.negocio]=$B$120) *
  (desp[data.pagamento]&gt;=I$1) *
  (desp[data.pagamento]&lt;EOMONTH(I$1,0)+1)
)</f>
        <v>0</v>
      </c>
      <c r="J124" s="247" cm="1">
        <f t="array" ref="J124">-SUMPRODUCT(
  desp[valor] *
  (desp[nucleo]=$B124) *
  (desp[centro.negocio]=$B$120) *
  (desp[data.pagamento]&gt;=J$1) *
  (desp[data.pagamento]&lt;EOMONTH(J$1,0)+1)
)</f>
        <v>0</v>
      </c>
      <c r="K124" s="247" cm="1">
        <f t="array" ref="K124">-SUMPRODUCT(
  desp[valor] *
  (desp[nucleo]=$B124) *
  (desp[centro.negocio]=$B$120) *
  (desp[data.pagamento]&gt;=K$1) *
  (desp[data.pagamento]&lt;EOMONTH(K$1,0)+1)
)</f>
        <v>0</v>
      </c>
      <c r="L124" s="247" cm="1">
        <f t="array" ref="L124">-SUMPRODUCT(
  desp[valor] *
  (desp[nucleo]=$B124) *
  (desp[centro.negocio]=$B$120) *
  (desp[data.pagamento]&gt;=L$1) *
  (desp[data.pagamento]&lt;EOMONTH(L$1,0)+1)
)</f>
        <v>0</v>
      </c>
      <c r="M124" s="247" cm="1">
        <f t="array" ref="M124">-SUMPRODUCT(
  desp[valor] *
  (desp[nucleo]=$B124) *
  (desp[centro.negocio]=$B$120) *
  (desp[data.pagamento]&gt;=M$1) *
  (desp[data.pagamento]&lt;EOMONTH(M$1,0)+1)
)</f>
        <v>0</v>
      </c>
      <c r="N124" s="247" cm="1">
        <f t="array" ref="N124">-SUMPRODUCT(
  desp[valor] *
  (desp[nucleo]=$B124) *
  (desp[centro.negocio]=$B$120) *
  (desp[data.pagamento]&gt;=N$1) *
  (desp[data.pagamento]&lt;EOMONTH(N$1,0)+1)
)</f>
        <v>0</v>
      </c>
      <c r="O124" s="247" cm="1">
        <f t="array" ref="O124">-SUMPRODUCT(
  desp[valor] *
  (desp[nucleo]=$B124) *
  (desp[centro.negocio]=$B$120) *
  (desp[data.pagamento]&gt;=O$1) *
  (desp[data.pagamento]&lt;EOMONTH(O$1,0)+1)
)</f>
        <v>0</v>
      </c>
      <c r="P124" s="247" cm="1">
        <f t="array" ref="P124">-SUMPRODUCT(
  desp[valor] *
  (desp[nucleo]=$B124) *
  (desp[centro.negocio]=$B$120) *
  (desp[data.pagamento]&gt;=P$1) *
  (desp[data.pagamento]&lt;EOMONTH(P$1,0)+1)
)</f>
        <v>0</v>
      </c>
      <c r="Q124" s="247" cm="1">
        <f t="array" ref="Q124">-SUMPRODUCT(
  desp[valor] *
  (desp[nucleo]=$B124) *
  (desp[centro.negocio]=$B$120) *
  (desp[data.pagamento]&gt;=Q$1) *
  (desp[data.pagamento]&lt;EOMONTH(Q$1,0)+1)
)</f>
        <v>0</v>
      </c>
      <c r="R124" s="247" cm="1">
        <f t="array" ref="R124">-SUMPRODUCT(
  desp[valor] *
  (desp[nucleo]=$B124) *
  (desp[centro.negocio]=$B$120) *
  (desp[data.pagamento]&gt;=R$1) *
  (desp[data.pagamento]&lt;EOMONTH(R$1,0)+1)
)</f>
        <v>0</v>
      </c>
      <c r="T124" s="239">
        <f t="shared" si="45"/>
        <v>0</v>
      </c>
    </row>
    <row r="125" spans="1:20" outlineLevel="2" x14ac:dyDescent="0.25">
      <c r="A125" s="246" t="s">
        <v>661</v>
      </c>
      <c r="B125" s="246" t="s">
        <v>560</v>
      </c>
      <c r="C125" s="193" t="s">
        <v>522</v>
      </c>
      <c r="D125" s="247" cm="1">
        <f t="array" ref="D125">-SUMPRODUCT(
  desp[valor] *
  (desp[nucleo]=$B125) *
  (desp[centro.negocio]=$B$120) *
  (desp[data.pagamento]&gt;=D$1) *
  (desp[data.pagamento]&lt;EOMONTH(D$1,0)+1)
)</f>
        <v>0</v>
      </c>
      <c r="E125" s="247" cm="1">
        <f t="array" ref="E125">-SUMPRODUCT(
  desp[valor] *
  (desp[nucleo]=$B125) *
  (desp[centro.negocio]=$B$120) *
  (desp[data.pagamento]&gt;=E$1) *
  (desp[data.pagamento]&lt;EOMONTH(E$1,0)+1)
)</f>
        <v>0</v>
      </c>
      <c r="F125" s="247" cm="1">
        <f t="array" ref="F125">-SUMPRODUCT(
  desp[valor] *
  (desp[nucleo]=$B125) *
  (desp[centro.negocio]=$B$120) *
  (desp[data.pagamento]&gt;=F$1) *
  (desp[data.pagamento]&lt;EOMONTH(F$1,0)+1)
)</f>
        <v>0</v>
      </c>
      <c r="G125" s="247" cm="1">
        <f t="array" ref="G125">-SUMPRODUCT(
  desp[valor] *
  (desp[nucleo]=$B125) *
  (desp[centro.negocio]=$B$120) *
  (desp[data.pagamento]&gt;=G$1) *
  (desp[data.pagamento]&lt;EOMONTH(G$1,0)+1)
)</f>
        <v>0</v>
      </c>
      <c r="H125" s="247" cm="1">
        <f t="array" ref="H125">-SUMPRODUCT(
  desp[valor] *
  (desp[nucleo]=$B125) *
  (desp[centro.negocio]=$B$120) *
  (desp[data.pagamento]&gt;=H$1) *
  (desp[data.pagamento]&lt;EOMONTH(H$1,0)+1)
)</f>
        <v>0</v>
      </c>
      <c r="I125" s="247" cm="1">
        <f t="array" ref="I125">-SUMPRODUCT(
  desp[valor] *
  (desp[nucleo]=$B125) *
  (desp[centro.negocio]=$B$120) *
  (desp[data.pagamento]&gt;=I$1) *
  (desp[data.pagamento]&lt;EOMONTH(I$1,0)+1)
)</f>
        <v>0</v>
      </c>
      <c r="J125" s="247" cm="1">
        <f t="array" ref="J125">-SUMPRODUCT(
  desp[valor] *
  (desp[nucleo]=$B125) *
  (desp[centro.negocio]=$B$120) *
  (desp[data.pagamento]&gt;=J$1) *
  (desp[data.pagamento]&lt;EOMONTH(J$1,0)+1)
)</f>
        <v>0</v>
      </c>
      <c r="K125" s="247" cm="1">
        <f t="array" ref="K125">-SUMPRODUCT(
  desp[valor] *
  (desp[nucleo]=$B125) *
  (desp[centro.negocio]=$B$120) *
  (desp[data.pagamento]&gt;=K$1) *
  (desp[data.pagamento]&lt;EOMONTH(K$1,0)+1)
)</f>
        <v>0</v>
      </c>
      <c r="L125" s="247" cm="1">
        <f t="array" ref="L125">-SUMPRODUCT(
  desp[valor] *
  (desp[nucleo]=$B125) *
  (desp[centro.negocio]=$B$120) *
  (desp[data.pagamento]&gt;=L$1) *
  (desp[data.pagamento]&lt;EOMONTH(L$1,0)+1)
)</f>
        <v>0</v>
      </c>
      <c r="M125" s="247" cm="1">
        <f t="array" ref="M125">-SUMPRODUCT(
  desp[valor] *
  (desp[nucleo]=$B125) *
  (desp[centro.negocio]=$B$120) *
  (desp[data.pagamento]&gt;=M$1) *
  (desp[data.pagamento]&lt;EOMONTH(M$1,0)+1)
)</f>
        <v>0</v>
      </c>
      <c r="N125" s="247" cm="1">
        <f t="array" ref="N125">-SUMPRODUCT(
  desp[valor] *
  (desp[nucleo]=$B125) *
  (desp[centro.negocio]=$B$120) *
  (desp[data.pagamento]&gt;=N$1) *
  (desp[data.pagamento]&lt;EOMONTH(N$1,0)+1)
)</f>
        <v>0</v>
      </c>
      <c r="O125" s="247" cm="1">
        <f t="array" ref="O125">-SUMPRODUCT(
  desp[valor] *
  (desp[nucleo]=$B125) *
  (desp[centro.negocio]=$B$120) *
  (desp[data.pagamento]&gt;=O$1) *
  (desp[data.pagamento]&lt;EOMONTH(O$1,0)+1)
)</f>
        <v>0</v>
      </c>
      <c r="P125" s="247" cm="1">
        <f t="array" ref="P125">-SUMPRODUCT(
  desp[valor] *
  (desp[nucleo]=$B125) *
  (desp[centro.negocio]=$B$120) *
  (desp[data.pagamento]&gt;=P$1) *
  (desp[data.pagamento]&lt;EOMONTH(P$1,0)+1)
)</f>
        <v>0</v>
      </c>
      <c r="Q125" s="247" cm="1">
        <f t="array" ref="Q125">-SUMPRODUCT(
  desp[valor] *
  (desp[nucleo]=$B125) *
  (desp[centro.negocio]=$B$120) *
  (desp[data.pagamento]&gt;=Q$1) *
  (desp[data.pagamento]&lt;EOMONTH(Q$1,0)+1)
)</f>
        <v>0</v>
      </c>
      <c r="R125" s="247" cm="1">
        <f t="array" ref="R125">-SUMPRODUCT(
  desp[valor] *
  (desp[nucleo]=$B125) *
  (desp[centro.negocio]=$B$120) *
  (desp[data.pagamento]&gt;=R$1) *
  (desp[data.pagamento]&lt;EOMONTH(R$1,0)+1)
)</f>
        <v>0</v>
      </c>
      <c r="T125" s="239">
        <f t="shared" si="45"/>
        <v>0</v>
      </c>
    </row>
    <row r="126" spans="1:20" outlineLevel="2" x14ac:dyDescent="0.25">
      <c r="A126" s="246" t="s">
        <v>662</v>
      </c>
      <c r="B126" s="246" t="s">
        <v>556</v>
      </c>
      <c r="C126" s="193" t="s">
        <v>522</v>
      </c>
      <c r="D126" s="247" cm="1">
        <f t="array" ref="D126">-SUMPRODUCT(
  desp[valor] *
  (desp[nucleo]=$B126) *
  (desp[centro.negocio]=$B$120) *
  (desp[data.pagamento]&gt;=D$1) *
  (desp[data.pagamento]&lt;EOMONTH(D$1,0)+1)
)</f>
        <v>0</v>
      </c>
      <c r="E126" s="247" cm="1">
        <f t="array" ref="E126">-SUMPRODUCT(
  desp[valor] *
  (desp[nucleo]=$B126) *
  (desp[centro.negocio]=$B$120) *
  (desp[data.pagamento]&gt;=E$1) *
  (desp[data.pagamento]&lt;EOMONTH(E$1,0)+1)
)</f>
        <v>0</v>
      </c>
      <c r="F126" s="247" cm="1">
        <f t="array" ref="F126">-SUMPRODUCT(
  desp[valor] *
  (desp[nucleo]=$B126) *
  (desp[centro.negocio]=$B$120) *
  (desp[data.pagamento]&gt;=F$1) *
  (desp[data.pagamento]&lt;EOMONTH(F$1,0)+1)
)</f>
        <v>0</v>
      </c>
      <c r="G126" s="247" cm="1">
        <f t="array" ref="G126">-SUMPRODUCT(
  desp[valor] *
  (desp[nucleo]=$B126) *
  (desp[centro.negocio]=$B$120) *
  (desp[data.pagamento]&gt;=G$1) *
  (desp[data.pagamento]&lt;EOMONTH(G$1,0)+1)
)</f>
        <v>0</v>
      </c>
      <c r="H126" s="247" cm="1">
        <f t="array" ref="H126">-SUMPRODUCT(
  desp[valor] *
  (desp[nucleo]=$B126) *
  (desp[centro.negocio]=$B$120) *
  (desp[data.pagamento]&gt;=H$1) *
  (desp[data.pagamento]&lt;EOMONTH(H$1,0)+1)
)</f>
        <v>0</v>
      </c>
      <c r="I126" s="247" cm="1">
        <f t="array" ref="I126">-SUMPRODUCT(
  desp[valor] *
  (desp[nucleo]=$B126) *
  (desp[centro.negocio]=$B$120) *
  (desp[data.pagamento]&gt;=I$1) *
  (desp[data.pagamento]&lt;EOMONTH(I$1,0)+1)
)</f>
        <v>0</v>
      </c>
      <c r="J126" s="247" cm="1">
        <f t="array" ref="J126">-SUMPRODUCT(
  desp[valor] *
  (desp[nucleo]=$B126) *
  (desp[centro.negocio]=$B$120) *
  (desp[data.pagamento]&gt;=J$1) *
  (desp[data.pagamento]&lt;EOMONTH(J$1,0)+1)
)</f>
        <v>0</v>
      </c>
      <c r="K126" s="247" cm="1">
        <f t="array" ref="K126">-SUMPRODUCT(
  desp[valor] *
  (desp[nucleo]=$B126) *
  (desp[centro.negocio]=$B$120) *
  (desp[data.pagamento]&gt;=K$1) *
  (desp[data.pagamento]&lt;EOMONTH(K$1,0)+1)
)</f>
        <v>0</v>
      </c>
      <c r="L126" s="247" cm="1">
        <f t="array" ref="L126">-SUMPRODUCT(
  desp[valor] *
  (desp[nucleo]=$B126) *
  (desp[centro.negocio]=$B$120) *
  (desp[data.pagamento]&gt;=L$1) *
  (desp[data.pagamento]&lt;EOMONTH(L$1,0)+1)
)</f>
        <v>0</v>
      </c>
      <c r="M126" s="247" cm="1">
        <f t="array" ref="M126">-SUMPRODUCT(
  desp[valor] *
  (desp[nucleo]=$B126) *
  (desp[centro.negocio]=$B$120) *
  (desp[data.pagamento]&gt;=M$1) *
  (desp[data.pagamento]&lt;EOMONTH(M$1,0)+1)
)</f>
        <v>0</v>
      </c>
      <c r="N126" s="247" cm="1">
        <f t="array" ref="N126">-SUMPRODUCT(
  desp[valor] *
  (desp[nucleo]=$B126) *
  (desp[centro.negocio]=$B$120) *
  (desp[data.pagamento]&gt;=N$1) *
  (desp[data.pagamento]&lt;EOMONTH(N$1,0)+1)
)</f>
        <v>0</v>
      </c>
      <c r="O126" s="247" cm="1">
        <f t="array" ref="O126">-SUMPRODUCT(
  desp[valor] *
  (desp[nucleo]=$B126) *
  (desp[centro.negocio]=$B$120) *
  (desp[data.pagamento]&gt;=O$1) *
  (desp[data.pagamento]&lt;EOMONTH(O$1,0)+1)
)</f>
        <v>0</v>
      </c>
      <c r="P126" s="247" cm="1">
        <f t="array" ref="P126">-SUMPRODUCT(
  desp[valor] *
  (desp[nucleo]=$B126) *
  (desp[centro.negocio]=$B$120) *
  (desp[data.pagamento]&gt;=P$1) *
  (desp[data.pagamento]&lt;EOMONTH(P$1,0)+1)
)</f>
        <v>0</v>
      </c>
      <c r="Q126" s="247" cm="1">
        <f t="array" ref="Q126">-SUMPRODUCT(
  desp[valor] *
  (desp[nucleo]=$B126) *
  (desp[centro.negocio]=$B$120) *
  (desp[data.pagamento]&gt;=Q$1) *
  (desp[data.pagamento]&lt;EOMONTH(Q$1,0)+1)
)</f>
        <v>0</v>
      </c>
      <c r="R126" s="247" cm="1">
        <f t="array" ref="R126">-SUMPRODUCT(
  desp[valor] *
  (desp[nucleo]=$B126) *
  (desp[centro.negocio]=$B$120) *
  (desp[data.pagamento]&gt;=R$1) *
  (desp[data.pagamento]&lt;EOMONTH(R$1,0)+1)
)</f>
        <v>0</v>
      </c>
      <c r="T126" s="239">
        <f t="shared" si="45"/>
        <v>0</v>
      </c>
    </row>
    <row r="127" spans="1:20" outlineLevel="2" x14ac:dyDescent="0.25">
      <c r="A127" s="246" t="s">
        <v>663</v>
      </c>
      <c r="B127" s="246" t="s">
        <v>546</v>
      </c>
      <c r="C127" s="193" t="s">
        <v>522</v>
      </c>
      <c r="D127" s="247" cm="1">
        <f t="array" ref="D127">-SUMPRODUCT(
  desp[valor] *
  (desp[nucleo]=$B127) *
  (desp[centro.negocio]=$B$120) *
  (desp[data.pagamento]&gt;=D$1) *
  (desp[data.pagamento]&lt;EOMONTH(D$1,0)+1)
)</f>
        <v>0</v>
      </c>
      <c r="E127" s="247" cm="1">
        <f t="array" ref="E127">-SUMPRODUCT(
  desp[valor] *
  (desp[nucleo]=$B127) *
  (desp[centro.negocio]=$B$120) *
  (desp[data.pagamento]&gt;=E$1) *
  (desp[data.pagamento]&lt;EOMONTH(E$1,0)+1)
)</f>
        <v>0</v>
      </c>
      <c r="F127" s="247" cm="1">
        <f t="array" ref="F127">-SUMPRODUCT(
  desp[valor] *
  (desp[nucleo]=$B127) *
  (desp[centro.negocio]=$B$120) *
  (desp[data.pagamento]&gt;=F$1) *
  (desp[data.pagamento]&lt;EOMONTH(F$1,0)+1)
)</f>
        <v>0</v>
      </c>
      <c r="G127" s="247" cm="1">
        <f t="array" ref="G127">-SUMPRODUCT(
  desp[valor] *
  (desp[nucleo]=$B127) *
  (desp[centro.negocio]=$B$120) *
  (desp[data.pagamento]&gt;=G$1) *
  (desp[data.pagamento]&lt;EOMONTH(G$1,0)+1)
)</f>
        <v>0</v>
      </c>
      <c r="H127" s="247" cm="1">
        <f t="array" ref="H127">-SUMPRODUCT(
  desp[valor] *
  (desp[nucleo]=$B127) *
  (desp[centro.negocio]=$B$120) *
  (desp[data.pagamento]&gt;=H$1) *
  (desp[data.pagamento]&lt;EOMONTH(H$1,0)+1)
)</f>
        <v>0</v>
      </c>
      <c r="I127" s="247" cm="1">
        <f t="array" ref="I127">-SUMPRODUCT(
  desp[valor] *
  (desp[nucleo]=$B127) *
  (desp[centro.negocio]=$B$120) *
  (desp[data.pagamento]&gt;=I$1) *
  (desp[data.pagamento]&lt;EOMONTH(I$1,0)+1)
)</f>
        <v>0</v>
      </c>
      <c r="J127" s="247" cm="1">
        <f t="array" ref="J127">-SUMPRODUCT(
  desp[valor] *
  (desp[nucleo]=$B127) *
  (desp[centro.negocio]=$B$120) *
  (desp[data.pagamento]&gt;=J$1) *
  (desp[data.pagamento]&lt;EOMONTH(J$1,0)+1)
)</f>
        <v>0</v>
      </c>
      <c r="K127" s="247" cm="1">
        <f t="array" ref="K127">-SUMPRODUCT(
  desp[valor] *
  (desp[nucleo]=$B127) *
  (desp[centro.negocio]=$B$120) *
  (desp[data.pagamento]&gt;=K$1) *
  (desp[data.pagamento]&lt;EOMONTH(K$1,0)+1)
)</f>
        <v>0</v>
      </c>
      <c r="L127" s="247" cm="1">
        <f t="array" ref="L127">-SUMPRODUCT(
  desp[valor] *
  (desp[nucleo]=$B127) *
  (desp[centro.negocio]=$B$120) *
  (desp[data.pagamento]&gt;=L$1) *
  (desp[data.pagamento]&lt;EOMONTH(L$1,0)+1)
)</f>
        <v>0</v>
      </c>
      <c r="M127" s="247" cm="1">
        <f t="array" ref="M127">-SUMPRODUCT(
  desp[valor] *
  (desp[nucleo]=$B127) *
  (desp[centro.negocio]=$B$120) *
  (desp[data.pagamento]&gt;=M$1) *
  (desp[data.pagamento]&lt;EOMONTH(M$1,0)+1)
)</f>
        <v>0</v>
      </c>
      <c r="N127" s="247" cm="1">
        <f t="array" ref="N127">-SUMPRODUCT(
  desp[valor] *
  (desp[nucleo]=$B127) *
  (desp[centro.negocio]=$B$120) *
  (desp[data.pagamento]&gt;=N$1) *
  (desp[data.pagamento]&lt;EOMONTH(N$1,0)+1)
)</f>
        <v>0</v>
      </c>
      <c r="O127" s="247" cm="1">
        <f t="array" ref="O127">-SUMPRODUCT(
  desp[valor] *
  (desp[nucleo]=$B127) *
  (desp[centro.negocio]=$B$120) *
  (desp[data.pagamento]&gt;=O$1) *
  (desp[data.pagamento]&lt;EOMONTH(O$1,0)+1)
)</f>
        <v>0</v>
      </c>
      <c r="P127" s="247" cm="1">
        <f t="array" ref="P127">-SUMPRODUCT(
  desp[valor] *
  (desp[nucleo]=$B127) *
  (desp[centro.negocio]=$B$120) *
  (desp[data.pagamento]&gt;=P$1) *
  (desp[data.pagamento]&lt;EOMONTH(P$1,0)+1)
)</f>
        <v>0</v>
      </c>
      <c r="Q127" s="247" cm="1">
        <f t="array" ref="Q127">-SUMPRODUCT(
  desp[valor] *
  (desp[nucleo]=$B127) *
  (desp[centro.negocio]=$B$120) *
  (desp[data.pagamento]&gt;=Q$1) *
  (desp[data.pagamento]&lt;EOMONTH(Q$1,0)+1)
)</f>
        <v>0</v>
      </c>
      <c r="R127" s="247" cm="1">
        <f t="array" ref="R127">-SUMPRODUCT(
  desp[valor] *
  (desp[nucleo]=$B127) *
  (desp[centro.negocio]=$B$120) *
  (desp[data.pagamento]&gt;=R$1) *
  (desp[data.pagamento]&lt;EOMONTH(R$1,0)+1)
)</f>
        <v>0</v>
      </c>
      <c r="T127" s="239">
        <f t="shared" si="45"/>
        <v>0</v>
      </c>
    </row>
    <row r="128" spans="1:20" outlineLevel="2" x14ac:dyDescent="0.25">
      <c r="A128" s="246" t="s">
        <v>664</v>
      </c>
      <c r="B128" s="246" t="s">
        <v>579</v>
      </c>
      <c r="C128" s="193" t="s">
        <v>522</v>
      </c>
      <c r="D128" s="247" cm="1">
        <f t="array" ref="D128">-SUMPRODUCT(
  desp[valor] *
  (desp[nucleo]=$B128) *
  (desp[centro.negocio]=$B$120) *
  (desp[data.pagamento]&gt;=D$1) *
  (desp[data.pagamento]&lt;EOMONTH(D$1,0)+1)
)</f>
        <v>0</v>
      </c>
      <c r="E128" s="247" cm="1">
        <f t="array" ref="E128">-SUMPRODUCT(
  desp[valor] *
  (desp[nucleo]=$B128) *
  (desp[centro.negocio]=$B$120) *
  (desp[data.pagamento]&gt;=E$1) *
  (desp[data.pagamento]&lt;EOMONTH(E$1,0)+1)
)</f>
        <v>0</v>
      </c>
      <c r="F128" s="247" cm="1">
        <f t="array" ref="F128">-SUMPRODUCT(
  desp[valor] *
  (desp[nucleo]=$B128) *
  (desp[centro.negocio]=$B$120) *
  (desp[data.pagamento]&gt;=F$1) *
  (desp[data.pagamento]&lt;EOMONTH(F$1,0)+1)
)</f>
        <v>0</v>
      </c>
      <c r="G128" s="247" cm="1">
        <f t="array" ref="G128">-SUMPRODUCT(
  desp[valor] *
  (desp[nucleo]=$B128) *
  (desp[centro.negocio]=$B$120) *
  (desp[data.pagamento]&gt;=G$1) *
  (desp[data.pagamento]&lt;EOMONTH(G$1,0)+1)
)</f>
        <v>0</v>
      </c>
      <c r="H128" s="247" cm="1">
        <f t="array" ref="H128">-SUMPRODUCT(
  desp[valor] *
  (desp[nucleo]=$B128) *
  (desp[centro.negocio]=$B$120) *
  (desp[data.pagamento]&gt;=H$1) *
  (desp[data.pagamento]&lt;EOMONTH(H$1,0)+1)
)</f>
        <v>0</v>
      </c>
      <c r="I128" s="247" cm="1">
        <f t="array" ref="I128">-SUMPRODUCT(
  desp[valor] *
  (desp[nucleo]=$B128) *
  (desp[centro.negocio]=$B$120) *
  (desp[data.pagamento]&gt;=I$1) *
  (desp[data.pagamento]&lt;EOMONTH(I$1,0)+1)
)</f>
        <v>0</v>
      </c>
      <c r="J128" s="247" cm="1">
        <f t="array" ref="J128">-SUMPRODUCT(
  desp[valor] *
  (desp[nucleo]=$B128) *
  (desp[centro.negocio]=$B$120) *
  (desp[data.pagamento]&gt;=J$1) *
  (desp[data.pagamento]&lt;EOMONTH(J$1,0)+1)
)</f>
        <v>0</v>
      </c>
      <c r="K128" s="247" cm="1">
        <f t="array" ref="K128">-SUMPRODUCT(
  desp[valor] *
  (desp[nucleo]=$B128) *
  (desp[centro.negocio]=$B$120) *
  (desp[data.pagamento]&gt;=K$1) *
  (desp[data.pagamento]&lt;EOMONTH(K$1,0)+1)
)</f>
        <v>0</v>
      </c>
      <c r="L128" s="247" cm="1">
        <f t="array" ref="L128">-SUMPRODUCT(
  desp[valor] *
  (desp[nucleo]=$B128) *
  (desp[centro.negocio]=$B$120) *
  (desp[data.pagamento]&gt;=L$1) *
  (desp[data.pagamento]&lt;EOMONTH(L$1,0)+1)
)</f>
        <v>0</v>
      </c>
      <c r="M128" s="247" cm="1">
        <f t="array" ref="M128">-SUMPRODUCT(
  desp[valor] *
  (desp[nucleo]=$B128) *
  (desp[centro.negocio]=$B$120) *
  (desp[data.pagamento]&gt;=M$1) *
  (desp[data.pagamento]&lt;EOMONTH(M$1,0)+1)
)</f>
        <v>0</v>
      </c>
      <c r="N128" s="247" cm="1">
        <f t="array" ref="N128">-SUMPRODUCT(
  desp[valor] *
  (desp[nucleo]=$B128) *
  (desp[centro.negocio]=$B$120) *
  (desp[data.pagamento]&gt;=N$1) *
  (desp[data.pagamento]&lt;EOMONTH(N$1,0)+1)
)</f>
        <v>0</v>
      </c>
      <c r="O128" s="247" cm="1">
        <f t="array" ref="O128">-SUMPRODUCT(
  desp[valor] *
  (desp[nucleo]=$B128) *
  (desp[centro.negocio]=$B$120) *
  (desp[data.pagamento]&gt;=O$1) *
  (desp[data.pagamento]&lt;EOMONTH(O$1,0)+1)
)</f>
        <v>0</v>
      </c>
      <c r="P128" s="247" cm="1">
        <f t="array" ref="P128">-SUMPRODUCT(
  desp[valor] *
  (desp[nucleo]=$B128) *
  (desp[centro.negocio]=$B$120) *
  (desp[data.pagamento]&gt;=P$1) *
  (desp[data.pagamento]&lt;EOMONTH(P$1,0)+1)
)</f>
        <v>0</v>
      </c>
      <c r="Q128" s="247" cm="1">
        <f t="array" ref="Q128">-SUMPRODUCT(
  desp[valor] *
  (desp[nucleo]=$B128) *
  (desp[centro.negocio]=$B$120) *
  (desp[data.pagamento]&gt;=Q$1) *
  (desp[data.pagamento]&lt;EOMONTH(Q$1,0)+1)
)</f>
        <v>0</v>
      </c>
      <c r="R128" s="247" cm="1">
        <f t="array" ref="R128">-SUMPRODUCT(
  desp[valor] *
  (desp[nucleo]=$B128) *
  (desp[centro.negocio]=$B$120) *
  (desp[data.pagamento]&gt;=R$1) *
  (desp[data.pagamento]&lt;EOMONTH(R$1,0)+1)
)</f>
        <v>0</v>
      </c>
      <c r="T128" s="239">
        <f t="shared" si="45"/>
        <v>0</v>
      </c>
    </row>
    <row r="129" spans="1:20" outlineLevel="2" x14ac:dyDescent="0.25">
      <c r="A129" s="246" t="s">
        <v>665</v>
      </c>
      <c r="B129" s="246" t="s">
        <v>548</v>
      </c>
      <c r="C129" s="193" t="s">
        <v>522</v>
      </c>
      <c r="D129" s="247" cm="1">
        <f t="array" ref="D129">-SUMPRODUCT(
  desp[valor] *
  (desp[nucleo]=$B129) *
  (desp[centro.negocio]=$B$120) *
  (desp[data.pagamento]&gt;=D$1) *
  (desp[data.pagamento]&lt;EOMONTH(D$1,0)+1)
)</f>
        <v>0</v>
      </c>
      <c r="E129" s="247" cm="1">
        <f t="array" ref="E129">-SUMPRODUCT(
  desp[valor] *
  (desp[nucleo]=$B129) *
  (desp[centro.negocio]=$B$120) *
  (desp[data.pagamento]&gt;=E$1) *
  (desp[data.pagamento]&lt;EOMONTH(E$1,0)+1)
)</f>
        <v>0</v>
      </c>
      <c r="F129" s="247" cm="1">
        <f t="array" ref="F129">-SUMPRODUCT(
  desp[valor] *
  (desp[nucleo]=$B129) *
  (desp[centro.negocio]=$B$120) *
  (desp[data.pagamento]&gt;=F$1) *
  (desp[data.pagamento]&lt;EOMONTH(F$1,0)+1)
)</f>
        <v>0</v>
      </c>
      <c r="G129" s="247" cm="1">
        <f t="array" ref="G129">-SUMPRODUCT(
  desp[valor] *
  (desp[nucleo]=$B129) *
  (desp[centro.negocio]=$B$120) *
  (desp[data.pagamento]&gt;=G$1) *
  (desp[data.pagamento]&lt;EOMONTH(G$1,0)+1)
)</f>
        <v>0</v>
      </c>
      <c r="H129" s="247" cm="1">
        <f t="array" ref="H129">-SUMPRODUCT(
  desp[valor] *
  (desp[nucleo]=$B129) *
  (desp[centro.negocio]=$B$120) *
  (desp[data.pagamento]&gt;=H$1) *
  (desp[data.pagamento]&lt;EOMONTH(H$1,0)+1)
)</f>
        <v>0</v>
      </c>
      <c r="I129" s="247" cm="1">
        <f t="array" ref="I129">-SUMPRODUCT(
  desp[valor] *
  (desp[nucleo]=$B129) *
  (desp[centro.negocio]=$B$120) *
  (desp[data.pagamento]&gt;=I$1) *
  (desp[data.pagamento]&lt;EOMONTH(I$1,0)+1)
)</f>
        <v>0</v>
      </c>
      <c r="J129" s="247" cm="1">
        <f t="array" ref="J129">-SUMPRODUCT(
  desp[valor] *
  (desp[nucleo]=$B129) *
  (desp[centro.negocio]=$B$120) *
  (desp[data.pagamento]&gt;=J$1) *
  (desp[data.pagamento]&lt;EOMONTH(J$1,0)+1)
)</f>
        <v>0</v>
      </c>
      <c r="K129" s="247" cm="1">
        <f t="array" ref="K129">-SUMPRODUCT(
  desp[valor] *
  (desp[nucleo]=$B129) *
  (desp[centro.negocio]=$B$120) *
  (desp[data.pagamento]&gt;=K$1) *
  (desp[data.pagamento]&lt;EOMONTH(K$1,0)+1)
)</f>
        <v>0</v>
      </c>
      <c r="L129" s="247" cm="1">
        <f t="array" ref="L129">-SUMPRODUCT(
  desp[valor] *
  (desp[nucleo]=$B129) *
  (desp[centro.negocio]=$B$120) *
  (desp[data.pagamento]&gt;=L$1) *
  (desp[data.pagamento]&lt;EOMONTH(L$1,0)+1)
)</f>
        <v>0</v>
      </c>
      <c r="M129" s="247" cm="1">
        <f t="array" ref="M129">-SUMPRODUCT(
  desp[valor] *
  (desp[nucleo]=$B129) *
  (desp[centro.negocio]=$B$120) *
  (desp[data.pagamento]&gt;=M$1) *
  (desp[data.pagamento]&lt;EOMONTH(M$1,0)+1)
)</f>
        <v>0</v>
      </c>
      <c r="N129" s="247" cm="1">
        <f t="array" ref="N129">-SUMPRODUCT(
  desp[valor] *
  (desp[nucleo]=$B129) *
  (desp[centro.negocio]=$B$120) *
  (desp[data.pagamento]&gt;=N$1) *
  (desp[data.pagamento]&lt;EOMONTH(N$1,0)+1)
)</f>
        <v>0</v>
      </c>
      <c r="O129" s="247" cm="1">
        <f t="array" ref="O129">-SUMPRODUCT(
  desp[valor] *
  (desp[nucleo]=$B129) *
  (desp[centro.negocio]=$B$120) *
  (desp[data.pagamento]&gt;=O$1) *
  (desp[data.pagamento]&lt;EOMONTH(O$1,0)+1)
)</f>
        <v>0</v>
      </c>
      <c r="P129" s="247" cm="1">
        <f t="array" ref="P129">-SUMPRODUCT(
  desp[valor] *
  (desp[nucleo]=$B129) *
  (desp[centro.negocio]=$B$120) *
  (desp[data.pagamento]&gt;=P$1) *
  (desp[data.pagamento]&lt;EOMONTH(P$1,0)+1)
)</f>
        <v>0</v>
      </c>
      <c r="Q129" s="247" cm="1">
        <f t="array" ref="Q129">-SUMPRODUCT(
  desp[valor] *
  (desp[nucleo]=$B129) *
  (desp[centro.negocio]=$B$120) *
  (desp[data.pagamento]&gt;=Q$1) *
  (desp[data.pagamento]&lt;EOMONTH(Q$1,0)+1)
)</f>
        <v>0</v>
      </c>
      <c r="R129" s="247" cm="1">
        <f t="array" ref="R129">-SUMPRODUCT(
  desp[valor] *
  (desp[nucleo]=$B129) *
  (desp[centro.negocio]=$B$120) *
  (desp[data.pagamento]&gt;=R$1) *
  (desp[data.pagamento]&lt;EOMONTH(R$1,0)+1)
)</f>
        <v>0</v>
      </c>
      <c r="T129" s="239">
        <f t="shared" si="45"/>
        <v>0</v>
      </c>
    </row>
    <row r="130" spans="1:20" outlineLevel="2" x14ac:dyDescent="0.25">
      <c r="A130" s="252" t="s">
        <v>666</v>
      </c>
      <c r="B130" s="246" t="s">
        <v>654</v>
      </c>
      <c r="C130" s="193" t="s">
        <v>522</v>
      </c>
      <c r="D130" s="247" cm="1">
        <f t="array" ref="D130">-SUMPRODUCT(
  desp[valor] *
  (desp[nucleo]=$B130) *
  (desp[centro.negocio]=$B$120) *
  (desp[data.pagamento]&gt;=D$1) *
  (desp[data.pagamento]&lt;EOMONTH(D$1,0)+1)
)</f>
        <v>0</v>
      </c>
      <c r="E130" s="247" cm="1">
        <f t="array" ref="E130">-SUMPRODUCT(
  desp[valor] *
  (desp[nucleo]=$B130) *
  (desp[centro.negocio]=$B$120) *
  (desp[data.pagamento]&gt;=E$1) *
  (desp[data.pagamento]&lt;EOMONTH(E$1,0)+1)
)</f>
        <v>0</v>
      </c>
      <c r="F130" s="247" cm="1">
        <f t="array" ref="F130">-SUMPRODUCT(
  desp[valor] *
  (desp[nucleo]=$B130) *
  (desp[centro.negocio]=$B$120) *
  (desp[data.pagamento]&gt;=F$1) *
  (desp[data.pagamento]&lt;EOMONTH(F$1,0)+1)
)</f>
        <v>0</v>
      </c>
      <c r="G130" s="247" cm="1">
        <f t="array" ref="G130">-SUMPRODUCT(
  desp[valor] *
  (desp[nucleo]=$B130) *
  (desp[centro.negocio]=$B$120) *
  (desp[data.pagamento]&gt;=G$1) *
  (desp[data.pagamento]&lt;EOMONTH(G$1,0)+1)
)</f>
        <v>0</v>
      </c>
      <c r="H130" s="247" cm="1">
        <f t="array" ref="H130">-SUMPRODUCT(
  desp[valor] *
  (desp[nucleo]=$B130) *
  (desp[centro.negocio]=$B$120) *
  (desp[data.pagamento]&gt;=H$1) *
  (desp[data.pagamento]&lt;EOMONTH(H$1,0)+1)
)</f>
        <v>0</v>
      </c>
      <c r="I130" s="247" cm="1">
        <f t="array" ref="I130">-SUMPRODUCT(
  desp[valor] *
  (desp[nucleo]=$B130) *
  (desp[centro.negocio]=$B$120) *
  (desp[data.pagamento]&gt;=I$1) *
  (desp[data.pagamento]&lt;EOMONTH(I$1,0)+1)
)</f>
        <v>0</v>
      </c>
      <c r="J130" s="247" cm="1">
        <f t="array" ref="J130">-SUMPRODUCT(
  desp[valor] *
  (desp[nucleo]=$B130) *
  (desp[centro.negocio]=$B$120) *
  (desp[data.pagamento]&gt;=J$1) *
  (desp[data.pagamento]&lt;EOMONTH(J$1,0)+1)
)</f>
        <v>0</v>
      </c>
      <c r="K130" s="247" cm="1">
        <f t="array" ref="K130">-SUMPRODUCT(
  desp[valor] *
  (desp[nucleo]=$B130) *
  (desp[centro.negocio]=$B$120) *
  (desp[data.pagamento]&gt;=K$1) *
  (desp[data.pagamento]&lt;EOMONTH(K$1,0)+1)
)</f>
        <v>0</v>
      </c>
      <c r="L130" s="247" cm="1">
        <f t="array" ref="L130">-SUMPRODUCT(
  desp[valor] *
  (desp[nucleo]=$B130) *
  (desp[centro.negocio]=$B$120) *
  (desp[data.pagamento]&gt;=L$1) *
  (desp[data.pagamento]&lt;EOMONTH(L$1,0)+1)
)</f>
        <v>0</v>
      </c>
      <c r="M130" s="247" cm="1">
        <f t="array" ref="M130">-SUMPRODUCT(
  desp[valor] *
  (desp[nucleo]=$B130) *
  (desp[centro.negocio]=$B$120) *
  (desp[data.pagamento]&gt;=M$1) *
  (desp[data.pagamento]&lt;EOMONTH(M$1,0)+1)
)</f>
        <v>0</v>
      </c>
      <c r="N130" s="247" cm="1">
        <f t="array" ref="N130">-SUMPRODUCT(
  desp[valor] *
  (desp[nucleo]=$B130) *
  (desp[centro.negocio]=$B$120) *
  (desp[data.pagamento]&gt;=N$1) *
  (desp[data.pagamento]&lt;EOMONTH(N$1,0)+1)
)</f>
        <v>0</v>
      </c>
      <c r="O130" s="247" cm="1">
        <f t="array" ref="O130">-SUMPRODUCT(
  desp[valor] *
  (desp[nucleo]=$B130) *
  (desp[centro.negocio]=$B$120) *
  (desp[data.pagamento]&gt;=O$1) *
  (desp[data.pagamento]&lt;EOMONTH(O$1,0)+1)
)</f>
        <v>0</v>
      </c>
      <c r="P130" s="247" cm="1">
        <f t="array" ref="P130">-SUMPRODUCT(
  desp[valor] *
  (desp[nucleo]=$B130) *
  (desp[centro.negocio]=$B$120) *
  (desp[data.pagamento]&gt;=P$1) *
  (desp[data.pagamento]&lt;EOMONTH(P$1,0)+1)
)</f>
        <v>0</v>
      </c>
      <c r="Q130" s="247" cm="1">
        <f t="array" ref="Q130">-SUMPRODUCT(
  desp[valor] *
  (desp[nucleo]=$B130) *
  (desp[centro.negocio]=$B$120) *
  (desp[data.pagamento]&gt;=Q$1) *
  (desp[data.pagamento]&lt;EOMONTH(Q$1,0)+1)
)</f>
        <v>0</v>
      </c>
      <c r="R130" s="247" cm="1">
        <f t="array" ref="R130">-SUMPRODUCT(
  desp[valor] *
  (desp[nucleo]=$B130) *
  (desp[centro.negocio]=$B$120) *
  (desp[data.pagamento]&gt;=R$1) *
  (desp[data.pagamento]&lt;EOMONTH(R$1,0)+1)
)</f>
        <v>0</v>
      </c>
      <c r="T130" s="239">
        <f t="shared" si="45"/>
        <v>0</v>
      </c>
    </row>
    <row r="131" spans="1:20" outlineLevel="2" x14ac:dyDescent="0.25">
      <c r="A131" s="246" t="s">
        <v>667</v>
      </c>
      <c r="B131" s="246" t="s">
        <v>552</v>
      </c>
      <c r="C131" s="193" t="s">
        <v>522</v>
      </c>
      <c r="D131" s="247" cm="1">
        <f t="array" ref="D131">-SUMPRODUCT(
  desp[valor] *
  (desp[nucleo]=$B131) *
  (desp[centro.negocio]=$B$120) *
  (desp[data.pagamento]&gt;=D$1) *
  (desp[data.pagamento]&lt;EOMONTH(D$1,0)+1)
)</f>
        <v>0</v>
      </c>
      <c r="E131" s="247" cm="1">
        <f t="array" ref="E131">-SUMPRODUCT(
  desp[valor] *
  (desp[nucleo]=$B131) *
  (desp[centro.negocio]=$B$120) *
  (desp[data.pagamento]&gt;=E$1) *
  (desp[data.pagamento]&lt;EOMONTH(E$1,0)+1)
)</f>
        <v>0</v>
      </c>
      <c r="F131" s="247" cm="1">
        <f t="array" ref="F131">-SUMPRODUCT(
  desp[valor] *
  (desp[nucleo]=$B131) *
  (desp[centro.negocio]=$B$120) *
  (desp[data.pagamento]&gt;=F$1) *
  (desp[data.pagamento]&lt;EOMONTH(F$1,0)+1)
)</f>
        <v>0</v>
      </c>
      <c r="G131" s="247" cm="1">
        <f t="array" ref="G131">-SUMPRODUCT(
  desp[valor] *
  (desp[nucleo]=$B131) *
  (desp[centro.negocio]=$B$120) *
  (desp[data.pagamento]&gt;=G$1) *
  (desp[data.pagamento]&lt;EOMONTH(G$1,0)+1)
)</f>
        <v>0</v>
      </c>
      <c r="H131" s="247" cm="1">
        <f t="array" ref="H131">-SUMPRODUCT(
  desp[valor] *
  (desp[nucleo]=$B131) *
  (desp[centro.negocio]=$B$120) *
  (desp[data.pagamento]&gt;=H$1) *
  (desp[data.pagamento]&lt;EOMONTH(H$1,0)+1)
)</f>
        <v>0</v>
      </c>
      <c r="I131" s="247" cm="1">
        <f t="array" ref="I131">-SUMPRODUCT(
  desp[valor] *
  (desp[nucleo]=$B131) *
  (desp[centro.negocio]=$B$120) *
  (desp[data.pagamento]&gt;=I$1) *
  (desp[data.pagamento]&lt;EOMONTH(I$1,0)+1)
)</f>
        <v>0</v>
      </c>
      <c r="J131" s="247" cm="1">
        <f t="array" ref="J131">-SUMPRODUCT(
  desp[valor] *
  (desp[nucleo]=$B131) *
  (desp[centro.negocio]=$B$120) *
  (desp[data.pagamento]&gt;=J$1) *
  (desp[data.pagamento]&lt;EOMONTH(J$1,0)+1)
)</f>
        <v>0</v>
      </c>
      <c r="K131" s="247" cm="1">
        <f t="array" ref="K131">-SUMPRODUCT(
  desp[valor] *
  (desp[nucleo]=$B131) *
  (desp[centro.negocio]=$B$120) *
  (desp[data.pagamento]&gt;=K$1) *
  (desp[data.pagamento]&lt;EOMONTH(K$1,0)+1)
)</f>
        <v>0</v>
      </c>
      <c r="L131" s="247" cm="1">
        <f t="array" ref="L131">-SUMPRODUCT(
  desp[valor] *
  (desp[nucleo]=$B131) *
  (desp[centro.negocio]=$B$120) *
  (desp[data.pagamento]&gt;=L$1) *
  (desp[data.pagamento]&lt;EOMONTH(L$1,0)+1)
)</f>
        <v>0</v>
      </c>
      <c r="M131" s="247" cm="1">
        <f t="array" ref="M131">-SUMPRODUCT(
  desp[valor] *
  (desp[nucleo]=$B131) *
  (desp[centro.negocio]=$B$120) *
  (desp[data.pagamento]&gt;=M$1) *
  (desp[data.pagamento]&lt;EOMONTH(M$1,0)+1)
)</f>
        <v>0</v>
      </c>
      <c r="N131" s="247" cm="1">
        <f t="array" ref="N131">-SUMPRODUCT(
  desp[valor] *
  (desp[nucleo]=$B131) *
  (desp[centro.negocio]=$B$120) *
  (desp[data.pagamento]&gt;=N$1) *
  (desp[data.pagamento]&lt;EOMONTH(N$1,0)+1)
)</f>
        <v>0</v>
      </c>
      <c r="O131" s="247" cm="1">
        <f t="array" ref="O131">-SUMPRODUCT(
  desp[valor] *
  (desp[nucleo]=$B131) *
  (desp[centro.negocio]=$B$120) *
  (desp[data.pagamento]&gt;=O$1) *
  (desp[data.pagamento]&lt;EOMONTH(O$1,0)+1)
)</f>
        <v>0</v>
      </c>
      <c r="P131" s="247" cm="1">
        <f t="array" ref="P131">-SUMPRODUCT(
  desp[valor] *
  (desp[nucleo]=$B131) *
  (desp[centro.negocio]=$B$120) *
  (desp[data.pagamento]&gt;=P$1) *
  (desp[data.pagamento]&lt;EOMONTH(P$1,0)+1)
)</f>
        <v>0</v>
      </c>
      <c r="Q131" s="247" cm="1">
        <f t="array" ref="Q131">-SUMPRODUCT(
  desp[valor] *
  (desp[nucleo]=$B131) *
  (desp[centro.negocio]=$B$120) *
  (desp[data.pagamento]&gt;=Q$1) *
  (desp[data.pagamento]&lt;EOMONTH(Q$1,0)+1)
)</f>
        <v>0</v>
      </c>
      <c r="R131" s="247" cm="1">
        <f t="array" ref="R131">-SUMPRODUCT(
  desp[valor] *
  (desp[nucleo]=$B131) *
  (desp[centro.negocio]=$B$120) *
  (desp[data.pagamento]&gt;=R$1) *
  (desp[data.pagamento]&lt;EOMONTH(R$1,0)+1)
)</f>
        <v>0</v>
      </c>
      <c r="T131" s="239">
        <f t="shared" si="45"/>
        <v>0</v>
      </c>
    </row>
    <row r="132" spans="1:20" outlineLevel="2" x14ac:dyDescent="0.25">
      <c r="A132" s="246" t="s">
        <v>668</v>
      </c>
      <c r="B132" s="246" t="s">
        <v>550</v>
      </c>
      <c r="C132" s="193" t="s">
        <v>522</v>
      </c>
      <c r="D132" s="247" cm="1">
        <f t="array" ref="D132">-SUMPRODUCT(
  desp[valor] *
  (desp[nucleo]=$B132) *
  (desp[centro.negocio]=$B$120) *
  (desp[data.pagamento]&gt;=D$1) *
  (desp[data.pagamento]&lt;EOMONTH(D$1,0)+1)
)</f>
        <v>0</v>
      </c>
      <c r="E132" s="247" cm="1">
        <f t="array" ref="E132">-SUMPRODUCT(
  desp[valor] *
  (desp[nucleo]=$B132) *
  (desp[centro.negocio]=$B$120) *
  (desp[data.pagamento]&gt;=E$1) *
  (desp[data.pagamento]&lt;EOMONTH(E$1,0)+1)
)</f>
        <v>0</v>
      </c>
      <c r="F132" s="247" cm="1">
        <f t="array" ref="F132">-SUMPRODUCT(
  desp[valor] *
  (desp[nucleo]=$B132) *
  (desp[centro.negocio]=$B$120) *
  (desp[data.pagamento]&gt;=F$1) *
  (desp[data.pagamento]&lt;EOMONTH(F$1,0)+1)
)</f>
        <v>0</v>
      </c>
      <c r="G132" s="247" cm="1">
        <f t="array" ref="G132">-SUMPRODUCT(
  desp[valor] *
  (desp[nucleo]=$B132) *
  (desp[centro.negocio]=$B$120) *
  (desp[data.pagamento]&gt;=G$1) *
  (desp[data.pagamento]&lt;EOMONTH(G$1,0)+1)
)</f>
        <v>0</v>
      </c>
      <c r="H132" s="247" cm="1">
        <f t="array" ref="H132">-SUMPRODUCT(
  desp[valor] *
  (desp[nucleo]=$B132) *
  (desp[centro.negocio]=$B$120) *
  (desp[data.pagamento]&gt;=H$1) *
  (desp[data.pagamento]&lt;EOMONTH(H$1,0)+1)
)</f>
        <v>0</v>
      </c>
      <c r="I132" s="247" cm="1">
        <f t="array" ref="I132">-SUMPRODUCT(
  desp[valor] *
  (desp[nucleo]=$B132) *
  (desp[centro.negocio]=$B$120) *
  (desp[data.pagamento]&gt;=I$1) *
  (desp[data.pagamento]&lt;EOMONTH(I$1,0)+1)
)</f>
        <v>0</v>
      </c>
      <c r="J132" s="247" cm="1">
        <f t="array" ref="J132">-SUMPRODUCT(
  desp[valor] *
  (desp[nucleo]=$B132) *
  (desp[centro.negocio]=$B$120) *
  (desp[data.pagamento]&gt;=J$1) *
  (desp[data.pagamento]&lt;EOMONTH(J$1,0)+1)
)</f>
        <v>0</v>
      </c>
      <c r="K132" s="247" cm="1">
        <f t="array" ref="K132">-SUMPRODUCT(
  desp[valor] *
  (desp[nucleo]=$B132) *
  (desp[centro.negocio]=$B$120) *
  (desp[data.pagamento]&gt;=K$1) *
  (desp[data.pagamento]&lt;EOMONTH(K$1,0)+1)
)</f>
        <v>0</v>
      </c>
      <c r="L132" s="247" cm="1">
        <f t="array" ref="L132">-SUMPRODUCT(
  desp[valor] *
  (desp[nucleo]=$B132) *
  (desp[centro.negocio]=$B$120) *
  (desp[data.pagamento]&gt;=L$1) *
  (desp[data.pagamento]&lt;EOMONTH(L$1,0)+1)
)</f>
        <v>0</v>
      </c>
      <c r="M132" s="247" cm="1">
        <f t="array" ref="M132">-SUMPRODUCT(
  desp[valor] *
  (desp[nucleo]=$B132) *
  (desp[centro.negocio]=$B$120) *
  (desp[data.pagamento]&gt;=M$1) *
  (desp[data.pagamento]&lt;EOMONTH(M$1,0)+1)
)</f>
        <v>0</v>
      </c>
      <c r="N132" s="247" cm="1">
        <f t="array" ref="N132">-SUMPRODUCT(
  desp[valor] *
  (desp[nucleo]=$B132) *
  (desp[centro.negocio]=$B$120) *
  (desp[data.pagamento]&gt;=N$1) *
  (desp[data.pagamento]&lt;EOMONTH(N$1,0)+1)
)</f>
        <v>0</v>
      </c>
      <c r="O132" s="247" cm="1">
        <f t="array" ref="O132">-SUMPRODUCT(
  desp[valor] *
  (desp[nucleo]=$B132) *
  (desp[centro.negocio]=$B$120) *
  (desp[data.pagamento]&gt;=O$1) *
  (desp[data.pagamento]&lt;EOMONTH(O$1,0)+1)
)</f>
        <v>0</v>
      </c>
      <c r="P132" s="247" cm="1">
        <f t="array" ref="P132">-SUMPRODUCT(
  desp[valor] *
  (desp[nucleo]=$B132) *
  (desp[centro.negocio]=$B$120) *
  (desp[data.pagamento]&gt;=P$1) *
  (desp[data.pagamento]&lt;EOMONTH(P$1,0)+1)
)</f>
        <v>0</v>
      </c>
      <c r="Q132" s="247" cm="1">
        <f t="array" ref="Q132">-SUMPRODUCT(
  desp[valor] *
  (desp[nucleo]=$B132) *
  (desp[centro.negocio]=$B$120) *
  (desp[data.pagamento]&gt;=Q$1) *
  (desp[data.pagamento]&lt;EOMONTH(Q$1,0)+1)
)</f>
        <v>0</v>
      </c>
      <c r="R132" s="247" cm="1">
        <f t="array" ref="R132">-SUMPRODUCT(
  desp[valor] *
  (desp[nucleo]=$B132) *
  (desp[centro.negocio]=$B$120) *
  (desp[data.pagamento]&gt;=R$1) *
  (desp[data.pagamento]&lt;EOMONTH(R$1,0)+1)
)</f>
        <v>0</v>
      </c>
      <c r="T132" s="239">
        <f t="shared" si="45"/>
        <v>0</v>
      </c>
    </row>
    <row r="133" spans="1:20" outlineLevel="2" x14ac:dyDescent="0.25">
      <c r="A133" s="246" t="s">
        <v>659</v>
      </c>
      <c r="B133" s="246" t="s">
        <v>655</v>
      </c>
      <c r="C133" s="193" t="s">
        <v>522</v>
      </c>
      <c r="D133" s="247" cm="1">
        <f t="array" ref="D133">-SUMPRODUCT(
  desp[valor] *
  (desp[nucleo]=$B133) *
  (desp[centro.negocio]=$B$120) *
  (desp[data.pagamento]&gt;=D$1) *
  (desp[data.pagamento]&lt;EOMONTH(D$1,0)+1)
)</f>
        <v>0</v>
      </c>
      <c r="E133" s="247" cm="1">
        <f t="array" ref="E133">-SUMPRODUCT(
  desp[valor] *
  (desp[nucleo]=$B133) *
  (desp[centro.negocio]=$B$120) *
  (desp[data.pagamento]&gt;=E$1) *
  (desp[data.pagamento]&lt;EOMONTH(E$1,0)+1)
)</f>
        <v>0</v>
      </c>
      <c r="F133" s="247" cm="1">
        <f t="array" ref="F133">-SUMPRODUCT(
  desp[valor] *
  (desp[nucleo]=$B133) *
  (desp[centro.negocio]=$B$120) *
  (desp[data.pagamento]&gt;=F$1) *
  (desp[data.pagamento]&lt;EOMONTH(F$1,0)+1)
)</f>
        <v>0</v>
      </c>
      <c r="G133" s="247" cm="1">
        <f t="array" ref="G133">-SUMPRODUCT(
  desp[valor] *
  (desp[nucleo]=$B133) *
  (desp[centro.negocio]=$B$120) *
  (desp[data.pagamento]&gt;=G$1) *
  (desp[data.pagamento]&lt;EOMONTH(G$1,0)+1)
)</f>
        <v>0</v>
      </c>
      <c r="H133" s="247" cm="1">
        <f t="array" ref="H133">-SUMPRODUCT(
  desp[valor] *
  (desp[nucleo]=$B133) *
  (desp[centro.negocio]=$B$120) *
  (desp[data.pagamento]&gt;=H$1) *
  (desp[data.pagamento]&lt;EOMONTH(H$1,0)+1)
)</f>
        <v>0</v>
      </c>
      <c r="I133" s="247" cm="1">
        <f t="array" ref="I133">-SUMPRODUCT(
  desp[valor] *
  (desp[nucleo]=$B133) *
  (desp[centro.negocio]=$B$120) *
  (desp[data.pagamento]&gt;=I$1) *
  (desp[data.pagamento]&lt;EOMONTH(I$1,0)+1)
)</f>
        <v>0</v>
      </c>
      <c r="J133" s="247" cm="1">
        <f t="array" ref="J133">-SUMPRODUCT(
  desp[valor] *
  (desp[nucleo]=$B133) *
  (desp[centro.negocio]=$B$120) *
  (desp[data.pagamento]&gt;=J$1) *
  (desp[data.pagamento]&lt;EOMONTH(J$1,0)+1)
)</f>
        <v>0</v>
      </c>
      <c r="K133" s="247" cm="1">
        <f t="array" ref="K133">-SUMPRODUCT(
  desp[valor] *
  (desp[nucleo]=$B133) *
  (desp[centro.negocio]=$B$120) *
  (desp[data.pagamento]&gt;=K$1) *
  (desp[data.pagamento]&lt;EOMONTH(K$1,0)+1)
)</f>
        <v>0</v>
      </c>
      <c r="L133" s="247" cm="1">
        <f t="array" ref="L133">-SUMPRODUCT(
  desp[valor] *
  (desp[nucleo]=$B133) *
  (desp[centro.negocio]=$B$120) *
  (desp[data.pagamento]&gt;=L$1) *
  (desp[data.pagamento]&lt;EOMONTH(L$1,0)+1)
)</f>
        <v>0</v>
      </c>
      <c r="M133" s="247" cm="1">
        <f t="array" ref="M133">-SUMPRODUCT(
  desp[valor] *
  (desp[nucleo]=$B133) *
  (desp[centro.negocio]=$B$120) *
  (desp[data.pagamento]&gt;=M$1) *
  (desp[data.pagamento]&lt;EOMONTH(M$1,0)+1)
)</f>
        <v>0</v>
      </c>
      <c r="N133" s="247" cm="1">
        <f t="array" ref="N133">-SUMPRODUCT(
  desp[valor] *
  (desp[nucleo]=$B133) *
  (desp[centro.negocio]=$B$120) *
  (desp[data.pagamento]&gt;=N$1) *
  (desp[data.pagamento]&lt;EOMONTH(N$1,0)+1)
)</f>
        <v>0</v>
      </c>
      <c r="O133" s="247" cm="1">
        <f t="array" ref="O133">-SUMPRODUCT(
  desp[valor] *
  (desp[nucleo]=$B133) *
  (desp[centro.negocio]=$B$120) *
  (desp[data.pagamento]&gt;=O$1) *
  (desp[data.pagamento]&lt;EOMONTH(O$1,0)+1)
)</f>
        <v>0</v>
      </c>
      <c r="P133" s="247" cm="1">
        <f t="array" ref="P133">-SUMPRODUCT(
  desp[valor] *
  (desp[nucleo]=$B133) *
  (desp[centro.negocio]=$B$120) *
  (desp[data.pagamento]&gt;=P$1) *
  (desp[data.pagamento]&lt;EOMONTH(P$1,0)+1)
)</f>
        <v>0</v>
      </c>
      <c r="Q133" s="247" cm="1">
        <f t="array" ref="Q133">-SUMPRODUCT(
  desp[valor] *
  (desp[nucleo]=$B133) *
  (desp[centro.negocio]=$B$120) *
  (desp[data.pagamento]&gt;=Q$1) *
  (desp[data.pagamento]&lt;EOMONTH(Q$1,0)+1)
)</f>
        <v>0</v>
      </c>
      <c r="R133" s="247" cm="1">
        <f t="array" ref="R133">-SUMPRODUCT(
  desp[valor] *
  (desp[nucleo]=$B133) *
  (desp[centro.negocio]=$B$120) *
  (desp[data.pagamento]&gt;=R$1) *
  (desp[data.pagamento]&lt;EOMONTH(R$1,0)+1)
)</f>
        <v>0</v>
      </c>
      <c r="T133" s="239">
        <f t="shared" si="45"/>
        <v>0</v>
      </c>
    </row>
    <row r="134" spans="1:20" outlineLevel="1" x14ac:dyDescent="0.25">
      <c r="A134" s="243" t="s">
        <v>669</v>
      </c>
      <c r="B134" s="243" t="s">
        <v>385</v>
      </c>
      <c r="C134" s="244" t="s">
        <v>522</v>
      </c>
      <c r="D134" s="245">
        <f>SUM(D$135:D$138)</f>
        <v>0</v>
      </c>
      <c r="E134" s="245">
        <f t="shared" ref="E134:R134" si="47">SUM(E$135:E$138)</f>
        <v>0</v>
      </c>
      <c r="F134" s="245">
        <f t="shared" si="47"/>
        <v>0</v>
      </c>
      <c r="G134" s="245">
        <f t="shared" si="47"/>
        <v>0</v>
      </c>
      <c r="H134" s="245">
        <f t="shared" si="47"/>
        <v>0</v>
      </c>
      <c r="I134" s="245">
        <f t="shared" si="47"/>
        <v>0</v>
      </c>
      <c r="J134" s="245">
        <f t="shared" si="47"/>
        <v>0</v>
      </c>
      <c r="K134" s="245">
        <f t="shared" si="47"/>
        <v>0</v>
      </c>
      <c r="L134" s="245">
        <f t="shared" si="47"/>
        <v>0</v>
      </c>
      <c r="M134" s="245">
        <f t="shared" si="47"/>
        <v>0</v>
      </c>
      <c r="N134" s="245">
        <f t="shared" si="47"/>
        <v>0</v>
      </c>
      <c r="O134" s="245">
        <f t="shared" si="47"/>
        <v>0</v>
      </c>
      <c r="P134" s="245">
        <f t="shared" si="47"/>
        <v>0</v>
      </c>
      <c r="Q134" s="245">
        <f t="shared" si="47"/>
        <v>0</v>
      </c>
      <c r="R134" s="245">
        <f t="shared" si="47"/>
        <v>0</v>
      </c>
      <c r="T134" s="239">
        <f t="shared" si="45"/>
        <v>0</v>
      </c>
    </row>
    <row r="135" spans="1:20" outlineLevel="2" x14ac:dyDescent="0.25">
      <c r="A135" s="246" t="s">
        <v>670</v>
      </c>
      <c r="B135" s="246" t="s">
        <v>548</v>
      </c>
      <c r="C135" s="193" t="s">
        <v>522</v>
      </c>
      <c r="D135" s="247" cm="1">
        <f t="array" ref="D135">-SUMPRODUCT(
  desp[valor] *
  (desp[nucleo]=$B135) *
  (desp[centro.negocio]=$B$134) *
  (desp[data.pagamento]&gt;=D$1) *
  (desp[data.pagamento]&lt;EOMONTH(D$1,0)+1)
)</f>
        <v>0</v>
      </c>
      <c r="E135" s="247" cm="1">
        <f t="array" ref="E135">-SUMPRODUCT(
  desp[valor] *
  (desp[nucleo]=$B135) *
  (desp[centro.negocio]=$B$134) *
  (desp[data.pagamento]&gt;=E$1) *
  (desp[data.pagamento]&lt;EOMONTH(E$1,0)+1)
)</f>
        <v>0</v>
      </c>
      <c r="F135" s="247" cm="1">
        <f t="array" ref="F135">-SUMPRODUCT(
  desp[valor] *
  (desp[nucleo]=$B135) *
  (desp[centro.negocio]=$B$134) *
  (desp[data.pagamento]&gt;=F$1) *
  (desp[data.pagamento]&lt;EOMONTH(F$1,0)+1)
)</f>
        <v>0</v>
      </c>
      <c r="G135" s="247" cm="1">
        <f t="array" ref="G135">-SUMPRODUCT(
  desp[valor] *
  (desp[nucleo]=$B135) *
  (desp[centro.negocio]=$B$134) *
  (desp[data.pagamento]&gt;=G$1) *
  (desp[data.pagamento]&lt;EOMONTH(G$1,0)+1)
)</f>
        <v>0</v>
      </c>
      <c r="H135" s="247" cm="1">
        <f t="array" ref="H135">-SUMPRODUCT(
  desp[valor] *
  (desp[nucleo]=$B135) *
  (desp[centro.negocio]=$B$134) *
  (desp[data.pagamento]&gt;=H$1) *
  (desp[data.pagamento]&lt;EOMONTH(H$1,0)+1)
)</f>
        <v>0</v>
      </c>
      <c r="I135" s="247" cm="1">
        <f t="array" ref="I135">-SUMPRODUCT(
  desp[valor] *
  (desp[nucleo]=$B135) *
  (desp[centro.negocio]=$B$134) *
  (desp[data.pagamento]&gt;=I$1) *
  (desp[data.pagamento]&lt;EOMONTH(I$1,0)+1)
)</f>
        <v>0</v>
      </c>
      <c r="J135" s="247" cm="1">
        <f t="array" ref="J135">-SUMPRODUCT(
  desp[valor] *
  (desp[nucleo]=$B135) *
  (desp[centro.negocio]=$B$134) *
  (desp[data.pagamento]&gt;=J$1) *
  (desp[data.pagamento]&lt;EOMONTH(J$1,0)+1)
)</f>
        <v>0</v>
      </c>
      <c r="K135" s="247" cm="1">
        <f t="array" ref="K135">-SUMPRODUCT(
  desp[valor] *
  (desp[nucleo]=$B135) *
  (desp[centro.negocio]=$B$134) *
  (desp[data.pagamento]&gt;=K$1) *
  (desp[data.pagamento]&lt;EOMONTH(K$1,0)+1)
)</f>
        <v>0</v>
      </c>
      <c r="L135" s="247" cm="1">
        <f t="array" ref="L135">-SUMPRODUCT(
  desp[valor] *
  (desp[nucleo]=$B135) *
  (desp[centro.negocio]=$B$134) *
  (desp[data.pagamento]&gt;=L$1) *
  (desp[data.pagamento]&lt;EOMONTH(L$1,0)+1)
)</f>
        <v>0</v>
      </c>
      <c r="M135" s="247" cm="1">
        <f t="array" ref="M135">-SUMPRODUCT(
  desp[valor] *
  (desp[nucleo]=$B135) *
  (desp[centro.negocio]=$B$134) *
  (desp[data.pagamento]&gt;=M$1) *
  (desp[data.pagamento]&lt;EOMONTH(M$1,0)+1)
)</f>
        <v>0</v>
      </c>
      <c r="N135" s="247" cm="1">
        <f t="array" ref="N135">-SUMPRODUCT(
  desp[valor] *
  (desp[nucleo]=$B135) *
  (desp[centro.negocio]=$B$134) *
  (desp[data.pagamento]&gt;=N$1) *
  (desp[data.pagamento]&lt;EOMONTH(N$1,0)+1)
)</f>
        <v>0</v>
      </c>
      <c r="O135" s="247" cm="1">
        <f t="array" ref="O135">-SUMPRODUCT(
  desp[valor] *
  (desp[nucleo]=$B135) *
  (desp[centro.negocio]=$B$134) *
  (desp[data.pagamento]&gt;=O$1) *
  (desp[data.pagamento]&lt;EOMONTH(O$1,0)+1)
)</f>
        <v>0</v>
      </c>
      <c r="P135" s="247" cm="1">
        <f t="array" ref="P135">-SUMPRODUCT(
  desp[valor] *
  (desp[nucleo]=$B135) *
  (desp[centro.negocio]=$B$134) *
  (desp[data.pagamento]&gt;=P$1) *
  (desp[data.pagamento]&lt;EOMONTH(P$1,0)+1)
)</f>
        <v>0</v>
      </c>
      <c r="Q135" s="247" cm="1">
        <f t="array" ref="Q135">-SUMPRODUCT(
  desp[valor] *
  (desp[nucleo]=$B135) *
  (desp[centro.negocio]=$B$134) *
  (desp[data.pagamento]&gt;=Q$1) *
  (desp[data.pagamento]&lt;EOMONTH(Q$1,0)+1)
)</f>
        <v>0</v>
      </c>
      <c r="R135" s="247" cm="1">
        <f t="array" ref="R135">-SUMPRODUCT(
  desp[valor] *
  (desp[nucleo]=$B135) *
  (desp[centro.negocio]=$B$134) *
  (desp[data.pagamento]&gt;=R$1) *
  (desp[data.pagamento]&lt;EOMONTH(R$1,0)+1)
)</f>
        <v>0</v>
      </c>
      <c r="T135" s="239">
        <f t="shared" si="45"/>
        <v>0</v>
      </c>
    </row>
    <row r="136" spans="1:20" outlineLevel="2" x14ac:dyDescent="0.25">
      <c r="A136" s="246" t="s">
        <v>671</v>
      </c>
      <c r="B136" s="246" t="s">
        <v>546</v>
      </c>
      <c r="C136" s="193" t="s">
        <v>522</v>
      </c>
      <c r="D136" s="247" cm="1">
        <f t="array" ref="D136">-SUMPRODUCT(
  desp[valor] *
  (desp[nucleo]=$B136) *
  (desp[centro.negocio]=$B$134) *
  (desp[data.pagamento]&gt;=D$1) *
  (desp[data.pagamento]&lt;EOMONTH(D$1,0)+1)
)</f>
        <v>0</v>
      </c>
      <c r="E136" s="247" cm="1">
        <f t="array" ref="E136">-SUMPRODUCT(
  desp[valor] *
  (desp[nucleo]=$B136) *
  (desp[centro.negocio]=$B$134) *
  (desp[data.pagamento]&gt;=E$1) *
  (desp[data.pagamento]&lt;EOMONTH(E$1,0)+1)
)</f>
        <v>0</v>
      </c>
      <c r="F136" s="247" cm="1">
        <f t="array" ref="F136">-SUMPRODUCT(
  desp[valor] *
  (desp[nucleo]=$B136) *
  (desp[centro.negocio]=$B$134) *
  (desp[data.pagamento]&gt;=F$1) *
  (desp[data.pagamento]&lt;EOMONTH(F$1,0)+1)
)</f>
        <v>0</v>
      </c>
      <c r="G136" s="247" cm="1">
        <f t="array" ref="G136">-SUMPRODUCT(
  desp[valor] *
  (desp[nucleo]=$B136) *
  (desp[centro.negocio]=$B$134) *
  (desp[data.pagamento]&gt;=G$1) *
  (desp[data.pagamento]&lt;EOMONTH(G$1,0)+1)
)</f>
        <v>0</v>
      </c>
      <c r="H136" s="247" cm="1">
        <f t="array" ref="H136">-SUMPRODUCT(
  desp[valor] *
  (desp[nucleo]=$B136) *
  (desp[centro.negocio]=$B$134) *
  (desp[data.pagamento]&gt;=H$1) *
  (desp[data.pagamento]&lt;EOMONTH(H$1,0)+1)
)</f>
        <v>0</v>
      </c>
      <c r="I136" s="247" cm="1">
        <f t="array" ref="I136">-SUMPRODUCT(
  desp[valor] *
  (desp[nucleo]=$B136) *
  (desp[centro.negocio]=$B$134) *
  (desp[data.pagamento]&gt;=I$1) *
  (desp[data.pagamento]&lt;EOMONTH(I$1,0)+1)
)</f>
        <v>0</v>
      </c>
      <c r="J136" s="247" cm="1">
        <f t="array" ref="J136">-SUMPRODUCT(
  desp[valor] *
  (desp[nucleo]=$B136) *
  (desp[centro.negocio]=$B$134) *
  (desp[data.pagamento]&gt;=J$1) *
  (desp[data.pagamento]&lt;EOMONTH(J$1,0)+1)
)</f>
        <v>0</v>
      </c>
      <c r="K136" s="247" cm="1">
        <f t="array" ref="K136">-SUMPRODUCT(
  desp[valor] *
  (desp[nucleo]=$B136) *
  (desp[centro.negocio]=$B$134) *
  (desp[data.pagamento]&gt;=K$1) *
  (desp[data.pagamento]&lt;EOMONTH(K$1,0)+1)
)</f>
        <v>0</v>
      </c>
      <c r="L136" s="247" cm="1">
        <f t="array" ref="L136">-SUMPRODUCT(
  desp[valor] *
  (desp[nucleo]=$B136) *
  (desp[centro.negocio]=$B$134) *
  (desp[data.pagamento]&gt;=L$1) *
  (desp[data.pagamento]&lt;EOMONTH(L$1,0)+1)
)</f>
        <v>0</v>
      </c>
      <c r="M136" s="247" cm="1">
        <f t="array" ref="M136">-SUMPRODUCT(
  desp[valor] *
  (desp[nucleo]=$B136) *
  (desp[centro.negocio]=$B$134) *
  (desp[data.pagamento]&gt;=M$1) *
  (desp[data.pagamento]&lt;EOMONTH(M$1,0)+1)
)</f>
        <v>0</v>
      </c>
      <c r="N136" s="247" cm="1">
        <f t="array" ref="N136">-SUMPRODUCT(
  desp[valor] *
  (desp[nucleo]=$B136) *
  (desp[centro.negocio]=$B$134) *
  (desp[data.pagamento]&gt;=N$1) *
  (desp[data.pagamento]&lt;EOMONTH(N$1,0)+1)
)</f>
        <v>0</v>
      </c>
      <c r="O136" s="247" cm="1">
        <f t="array" ref="O136">-SUMPRODUCT(
  desp[valor] *
  (desp[nucleo]=$B136) *
  (desp[centro.negocio]=$B$134) *
  (desp[data.pagamento]&gt;=O$1) *
  (desp[data.pagamento]&lt;EOMONTH(O$1,0)+1)
)</f>
        <v>0</v>
      </c>
      <c r="P136" s="247" cm="1">
        <f t="array" ref="P136">-SUMPRODUCT(
  desp[valor] *
  (desp[nucleo]=$B136) *
  (desp[centro.negocio]=$B$134) *
  (desp[data.pagamento]&gt;=P$1) *
  (desp[data.pagamento]&lt;EOMONTH(P$1,0)+1)
)</f>
        <v>0</v>
      </c>
      <c r="Q136" s="247" cm="1">
        <f t="array" ref="Q136">-SUMPRODUCT(
  desp[valor] *
  (desp[nucleo]=$B136) *
  (desp[centro.negocio]=$B$134) *
  (desp[data.pagamento]&gt;=Q$1) *
  (desp[data.pagamento]&lt;EOMONTH(Q$1,0)+1)
)</f>
        <v>0</v>
      </c>
      <c r="R136" s="247" cm="1">
        <f t="array" ref="R136">-SUMPRODUCT(
  desp[valor] *
  (desp[nucleo]=$B136) *
  (desp[centro.negocio]=$B$134) *
  (desp[data.pagamento]&gt;=R$1) *
  (desp[data.pagamento]&lt;EOMONTH(R$1,0)+1)
)</f>
        <v>0</v>
      </c>
      <c r="T136" s="239">
        <f t="shared" si="45"/>
        <v>0</v>
      </c>
    </row>
    <row r="137" spans="1:20" outlineLevel="2" x14ac:dyDescent="0.25">
      <c r="A137" s="246" t="s">
        <v>672</v>
      </c>
      <c r="B137" s="246" t="s">
        <v>552</v>
      </c>
      <c r="C137" s="193" t="s">
        <v>522</v>
      </c>
      <c r="D137" s="247" cm="1">
        <f t="array" ref="D137">-SUMPRODUCT(
  desp[valor] *
  (desp[nucleo]=$B137) *
  (desp[centro.negocio]=$B$134) *
  (desp[data.pagamento]&gt;=D$1) *
  (desp[data.pagamento]&lt;EOMONTH(D$1,0)+1)
)</f>
        <v>0</v>
      </c>
      <c r="E137" s="247" cm="1">
        <f t="array" ref="E137">-SUMPRODUCT(
  desp[valor] *
  (desp[nucleo]=$B137) *
  (desp[centro.negocio]=$B$134) *
  (desp[data.pagamento]&gt;=E$1) *
  (desp[data.pagamento]&lt;EOMONTH(E$1,0)+1)
)</f>
        <v>0</v>
      </c>
      <c r="F137" s="247" cm="1">
        <f t="array" ref="F137">-SUMPRODUCT(
  desp[valor] *
  (desp[nucleo]=$B137) *
  (desp[centro.negocio]=$B$134) *
  (desp[data.pagamento]&gt;=F$1) *
  (desp[data.pagamento]&lt;EOMONTH(F$1,0)+1)
)</f>
        <v>0</v>
      </c>
      <c r="G137" s="247" cm="1">
        <f t="array" ref="G137">-SUMPRODUCT(
  desp[valor] *
  (desp[nucleo]=$B137) *
  (desp[centro.negocio]=$B$134) *
  (desp[data.pagamento]&gt;=G$1) *
  (desp[data.pagamento]&lt;EOMONTH(G$1,0)+1)
)</f>
        <v>0</v>
      </c>
      <c r="H137" s="247" cm="1">
        <f t="array" ref="H137">-SUMPRODUCT(
  desp[valor] *
  (desp[nucleo]=$B137) *
  (desp[centro.negocio]=$B$134) *
  (desp[data.pagamento]&gt;=H$1) *
  (desp[data.pagamento]&lt;EOMONTH(H$1,0)+1)
)</f>
        <v>0</v>
      </c>
      <c r="I137" s="247" cm="1">
        <f t="array" ref="I137">-SUMPRODUCT(
  desp[valor] *
  (desp[nucleo]=$B137) *
  (desp[centro.negocio]=$B$134) *
  (desp[data.pagamento]&gt;=I$1) *
  (desp[data.pagamento]&lt;EOMONTH(I$1,0)+1)
)</f>
        <v>0</v>
      </c>
      <c r="J137" s="247" cm="1">
        <f t="array" ref="J137">-SUMPRODUCT(
  desp[valor] *
  (desp[nucleo]=$B137) *
  (desp[centro.negocio]=$B$134) *
  (desp[data.pagamento]&gt;=J$1) *
  (desp[data.pagamento]&lt;EOMONTH(J$1,0)+1)
)</f>
        <v>0</v>
      </c>
      <c r="K137" s="247" cm="1">
        <f t="array" ref="K137">-SUMPRODUCT(
  desp[valor] *
  (desp[nucleo]=$B137) *
  (desp[centro.negocio]=$B$134) *
  (desp[data.pagamento]&gt;=K$1) *
  (desp[data.pagamento]&lt;EOMONTH(K$1,0)+1)
)</f>
        <v>0</v>
      </c>
      <c r="L137" s="247" cm="1">
        <f t="array" ref="L137">-SUMPRODUCT(
  desp[valor] *
  (desp[nucleo]=$B137) *
  (desp[centro.negocio]=$B$134) *
  (desp[data.pagamento]&gt;=L$1) *
  (desp[data.pagamento]&lt;EOMONTH(L$1,0)+1)
)</f>
        <v>0</v>
      </c>
      <c r="M137" s="247" cm="1">
        <f t="array" ref="M137">-SUMPRODUCT(
  desp[valor] *
  (desp[nucleo]=$B137) *
  (desp[centro.negocio]=$B$134) *
  (desp[data.pagamento]&gt;=M$1) *
  (desp[data.pagamento]&lt;EOMONTH(M$1,0)+1)
)</f>
        <v>0</v>
      </c>
      <c r="N137" s="247" cm="1">
        <f t="array" ref="N137">-SUMPRODUCT(
  desp[valor] *
  (desp[nucleo]=$B137) *
  (desp[centro.negocio]=$B$134) *
  (desp[data.pagamento]&gt;=N$1) *
  (desp[data.pagamento]&lt;EOMONTH(N$1,0)+1)
)</f>
        <v>0</v>
      </c>
      <c r="O137" s="247" cm="1">
        <f t="array" ref="O137">-SUMPRODUCT(
  desp[valor] *
  (desp[nucleo]=$B137) *
  (desp[centro.negocio]=$B$134) *
  (desp[data.pagamento]&gt;=O$1) *
  (desp[data.pagamento]&lt;EOMONTH(O$1,0)+1)
)</f>
        <v>0</v>
      </c>
      <c r="P137" s="247" cm="1">
        <f t="array" ref="P137">-SUMPRODUCT(
  desp[valor] *
  (desp[nucleo]=$B137) *
  (desp[centro.negocio]=$B$134) *
  (desp[data.pagamento]&gt;=P$1) *
  (desp[data.pagamento]&lt;EOMONTH(P$1,0)+1)
)</f>
        <v>0</v>
      </c>
      <c r="Q137" s="247" cm="1">
        <f t="array" ref="Q137">-SUMPRODUCT(
  desp[valor] *
  (desp[nucleo]=$B137) *
  (desp[centro.negocio]=$B$134) *
  (desp[data.pagamento]&gt;=Q$1) *
  (desp[data.pagamento]&lt;EOMONTH(Q$1,0)+1)
)</f>
        <v>0</v>
      </c>
      <c r="R137" s="247" cm="1">
        <f t="array" ref="R137">-SUMPRODUCT(
  desp[valor] *
  (desp[nucleo]=$B137) *
  (desp[centro.negocio]=$B$134) *
  (desp[data.pagamento]&gt;=R$1) *
  (desp[data.pagamento]&lt;EOMONTH(R$1,0)+1)
)</f>
        <v>0</v>
      </c>
      <c r="T137" s="239">
        <f t="shared" si="45"/>
        <v>0</v>
      </c>
    </row>
    <row r="138" spans="1:20" outlineLevel="2" x14ac:dyDescent="0.25">
      <c r="A138" s="246" t="s">
        <v>673</v>
      </c>
      <c r="B138" s="246" t="s">
        <v>550</v>
      </c>
      <c r="C138" s="193" t="s">
        <v>522</v>
      </c>
      <c r="D138" s="247" cm="1">
        <f t="array" ref="D138">-SUMPRODUCT(
  desp[valor] *
  (desp[nucleo]=$B138) *
  (desp[centro.negocio]=$B$134) *
  (desp[data.pagamento]&gt;=D$1) *
  (desp[data.pagamento]&lt;EOMONTH(D$1,0)+1)
)</f>
        <v>0</v>
      </c>
      <c r="E138" s="247" cm="1">
        <f t="array" ref="E138">-SUMPRODUCT(
  desp[valor] *
  (desp[nucleo]=$B138) *
  (desp[centro.negocio]=$B$134) *
  (desp[data.pagamento]&gt;=E$1) *
  (desp[data.pagamento]&lt;EOMONTH(E$1,0)+1)
)</f>
        <v>0</v>
      </c>
      <c r="F138" s="247" cm="1">
        <f t="array" ref="F138">-SUMPRODUCT(
  desp[valor] *
  (desp[nucleo]=$B138) *
  (desp[centro.negocio]=$B$134) *
  (desp[data.pagamento]&gt;=F$1) *
  (desp[data.pagamento]&lt;EOMONTH(F$1,0)+1)
)</f>
        <v>0</v>
      </c>
      <c r="G138" s="247" cm="1">
        <f t="array" ref="G138">-SUMPRODUCT(
  desp[valor] *
  (desp[nucleo]=$B138) *
  (desp[centro.negocio]=$B$134) *
  (desp[data.pagamento]&gt;=G$1) *
  (desp[data.pagamento]&lt;EOMONTH(G$1,0)+1)
)</f>
        <v>0</v>
      </c>
      <c r="H138" s="247" cm="1">
        <f t="array" ref="H138">-SUMPRODUCT(
  desp[valor] *
  (desp[nucleo]=$B138) *
  (desp[centro.negocio]=$B$134) *
  (desp[data.pagamento]&gt;=H$1) *
  (desp[data.pagamento]&lt;EOMONTH(H$1,0)+1)
)</f>
        <v>0</v>
      </c>
      <c r="I138" s="247" cm="1">
        <f t="array" ref="I138">-SUMPRODUCT(
  desp[valor] *
  (desp[nucleo]=$B138) *
  (desp[centro.negocio]=$B$134) *
  (desp[data.pagamento]&gt;=I$1) *
  (desp[data.pagamento]&lt;EOMONTH(I$1,0)+1)
)</f>
        <v>0</v>
      </c>
      <c r="J138" s="247" cm="1">
        <f t="array" ref="J138">-SUMPRODUCT(
  desp[valor] *
  (desp[nucleo]=$B138) *
  (desp[centro.negocio]=$B$134) *
  (desp[data.pagamento]&gt;=J$1) *
  (desp[data.pagamento]&lt;EOMONTH(J$1,0)+1)
)</f>
        <v>0</v>
      </c>
      <c r="K138" s="247" cm="1">
        <f t="array" ref="K138">-SUMPRODUCT(
  desp[valor] *
  (desp[nucleo]=$B138) *
  (desp[centro.negocio]=$B$134) *
  (desp[data.pagamento]&gt;=K$1) *
  (desp[data.pagamento]&lt;EOMONTH(K$1,0)+1)
)</f>
        <v>0</v>
      </c>
      <c r="L138" s="247" cm="1">
        <f t="array" ref="L138">-SUMPRODUCT(
  desp[valor] *
  (desp[nucleo]=$B138) *
  (desp[centro.negocio]=$B$134) *
  (desp[data.pagamento]&gt;=L$1) *
  (desp[data.pagamento]&lt;EOMONTH(L$1,0)+1)
)</f>
        <v>0</v>
      </c>
      <c r="M138" s="247" cm="1">
        <f t="array" ref="M138">-SUMPRODUCT(
  desp[valor] *
  (desp[nucleo]=$B138) *
  (desp[centro.negocio]=$B$134) *
  (desp[data.pagamento]&gt;=M$1) *
  (desp[data.pagamento]&lt;EOMONTH(M$1,0)+1)
)</f>
        <v>0</v>
      </c>
      <c r="N138" s="247" cm="1">
        <f t="array" ref="N138">-SUMPRODUCT(
  desp[valor] *
  (desp[nucleo]=$B138) *
  (desp[centro.negocio]=$B$134) *
  (desp[data.pagamento]&gt;=N$1) *
  (desp[data.pagamento]&lt;EOMONTH(N$1,0)+1)
)</f>
        <v>0</v>
      </c>
      <c r="O138" s="247" cm="1">
        <f t="array" ref="O138">-SUMPRODUCT(
  desp[valor] *
  (desp[nucleo]=$B138) *
  (desp[centro.negocio]=$B$134) *
  (desp[data.pagamento]&gt;=O$1) *
  (desp[data.pagamento]&lt;EOMONTH(O$1,0)+1)
)</f>
        <v>0</v>
      </c>
      <c r="P138" s="247" cm="1">
        <f t="array" ref="P138">-SUMPRODUCT(
  desp[valor] *
  (desp[nucleo]=$B138) *
  (desp[centro.negocio]=$B$134) *
  (desp[data.pagamento]&gt;=P$1) *
  (desp[data.pagamento]&lt;EOMONTH(P$1,0)+1)
)</f>
        <v>0</v>
      </c>
      <c r="Q138" s="247" cm="1">
        <f t="array" ref="Q138">-SUMPRODUCT(
  desp[valor] *
  (desp[nucleo]=$B138) *
  (desp[centro.negocio]=$B$134) *
  (desp[data.pagamento]&gt;=Q$1) *
  (desp[data.pagamento]&lt;EOMONTH(Q$1,0)+1)
)</f>
        <v>0</v>
      </c>
      <c r="R138" s="247" cm="1">
        <f t="array" ref="R138">-SUMPRODUCT(
  desp[valor] *
  (desp[nucleo]=$B138) *
  (desp[centro.negocio]=$B$134) *
  (desp[data.pagamento]&gt;=R$1) *
  (desp[data.pagamento]&lt;EOMONTH(R$1,0)+1)
)</f>
        <v>0</v>
      </c>
      <c r="T138" s="239">
        <f t="shared" si="45"/>
        <v>0</v>
      </c>
    </row>
    <row r="139" spans="1:20" outlineLevel="1" x14ac:dyDescent="0.25">
      <c r="A139" s="243" t="s">
        <v>674</v>
      </c>
      <c r="B139" s="243" t="s">
        <v>361</v>
      </c>
      <c r="C139" s="244" t="s">
        <v>522</v>
      </c>
      <c r="D139" s="245">
        <f>SUM(D$140)</f>
        <v>0</v>
      </c>
      <c r="E139" s="245">
        <f t="shared" ref="E139:R139" si="48">SUM(E$140)</f>
        <v>0</v>
      </c>
      <c r="F139" s="245">
        <f t="shared" si="48"/>
        <v>0</v>
      </c>
      <c r="G139" s="245">
        <f t="shared" si="48"/>
        <v>0</v>
      </c>
      <c r="H139" s="245">
        <f t="shared" si="48"/>
        <v>0</v>
      </c>
      <c r="I139" s="245">
        <f t="shared" si="48"/>
        <v>0</v>
      </c>
      <c r="J139" s="245">
        <f t="shared" si="48"/>
        <v>0</v>
      </c>
      <c r="K139" s="245">
        <f t="shared" si="48"/>
        <v>0</v>
      </c>
      <c r="L139" s="245">
        <f t="shared" si="48"/>
        <v>0</v>
      </c>
      <c r="M139" s="245">
        <f t="shared" si="48"/>
        <v>0</v>
      </c>
      <c r="N139" s="245">
        <f t="shared" si="48"/>
        <v>0</v>
      </c>
      <c r="O139" s="245">
        <f t="shared" si="48"/>
        <v>0</v>
      </c>
      <c r="P139" s="245">
        <f t="shared" si="48"/>
        <v>0</v>
      </c>
      <c r="Q139" s="245">
        <f t="shared" si="48"/>
        <v>0</v>
      </c>
      <c r="R139" s="245">
        <f t="shared" si="48"/>
        <v>0</v>
      </c>
      <c r="T139" s="239">
        <f t="shared" si="45"/>
        <v>0</v>
      </c>
    </row>
    <row r="140" spans="1:20" outlineLevel="2" x14ac:dyDescent="0.25">
      <c r="A140" s="252" t="s">
        <v>675</v>
      </c>
      <c r="B140" s="246" t="s">
        <v>676</v>
      </c>
      <c r="C140" s="193" t="s">
        <v>522</v>
      </c>
      <c r="D140" s="247" cm="1">
        <f t="array" ref="D140">-SUMPRODUCT(
  desp[valor] *
  (desp[nucleo]=$B140) *
  (desp[centro.negocio]=$B$139) *
  (desp[data.pagamento]&gt;=D$1) *
  (desp[data.pagamento]&lt;EOMONTH(D$1,0)+1)
)</f>
        <v>0</v>
      </c>
      <c r="E140" s="247" cm="1">
        <f t="array" ref="E140">-SUMPRODUCT(
  desp[valor] *
  (desp[nucleo]=$B140) *
  (desp[centro.negocio]=$B$139) *
  (desp[data.pagamento]&gt;=E$1) *
  (desp[data.pagamento]&lt;EOMONTH(E$1,0)+1)
)</f>
        <v>0</v>
      </c>
      <c r="F140" s="247" cm="1">
        <f t="array" ref="F140">-SUMPRODUCT(
  desp[valor] *
  (desp[nucleo]=$B140) *
  (desp[centro.negocio]=$B$139) *
  (desp[data.pagamento]&gt;=F$1) *
  (desp[data.pagamento]&lt;EOMONTH(F$1,0)+1)
)</f>
        <v>0</v>
      </c>
      <c r="G140" s="247" cm="1">
        <f t="array" ref="G140">-SUMPRODUCT(
  desp[valor] *
  (desp[nucleo]=$B140) *
  (desp[centro.negocio]=$B$139) *
  (desp[data.pagamento]&gt;=G$1) *
  (desp[data.pagamento]&lt;EOMONTH(G$1,0)+1)
)</f>
        <v>0</v>
      </c>
      <c r="H140" s="247" cm="1">
        <f t="array" ref="H140">-SUMPRODUCT(
  desp[valor] *
  (desp[nucleo]=$B140) *
  (desp[centro.negocio]=$B$139) *
  (desp[data.pagamento]&gt;=H$1) *
  (desp[data.pagamento]&lt;EOMONTH(H$1,0)+1)
)</f>
        <v>0</v>
      </c>
      <c r="I140" s="247" cm="1">
        <f t="array" ref="I140">-SUMPRODUCT(
  desp[valor] *
  (desp[nucleo]=$B140) *
  (desp[centro.negocio]=$B$139) *
  (desp[data.pagamento]&gt;=I$1) *
  (desp[data.pagamento]&lt;EOMONTH(I$1,0)+1)
)</f>
        <v>0</v>
      </c>
      <c r="J140" s="247" cm="1">
        <f t="array" ref="J140">-SUMPRODUCT(
  desp[valor] *
  (desp[nucleo]=$B140) *
  (desp[centro.negocio]=$B$139) *
  (desp[data.pagamento]&gt;=J$1) *
  (desp[data.pagamento]&lt;EOMONTH(J$1,0)+1)
)</f>
        <v>0</v>
      </c>
      <c r="K140" s="247" cm="1">
        <f t="array" ref="K140">-SUMPRODUCT(
  desp[valor] *
  (desp[nucleo]=$B140) *
  (desp[centro.negocio]=$B$139) *
  (desp[data.pagamento]&gt;=K$1) *
  (desp[data.pagamento]&lt;EOMONTH(K$1,0)+1)
)</f>
        <v>0</v>
      </c>
      <c r="L140" s="247" cm="1">
        <f t="array" ref="L140">-SUMPRODUCT(
  desp[valor] *
  (desp[nucleo]=$B140) *
  (desp[centro.negocio]=$B$139) *
  (desp[data.pagamento]&gt;=L$1) *
  (desp[data.pagamento]&lt;EOMONTH(L$1,0)+1)
)</f>
        <v>0</v>
      </c>
      <c r="M140" s="247" cm="1">
        <f t="array" ref="M140">-SUMPRODUCT(
  desp[valor] *
  (desp[nucleo]=$B140) *
  (desp[centro.negocio]=$B$139) *
  (desp[data.pagamento]&gt;=M$1) *
  (desp[data.pagamento]&lt;EOMONTH(M$1,0)+1)
)</f>
        <v>0</v>
      </c>
      <c r="N140" s="247" cm="1">
        <f t="array" ref="N140">-SUMPRODUCT(
  desp[valor] *
  (desp[nucleo]=$B140) *
  (desp[centro.negocio]=$B$139) *
  (desp[data.pagamento]&gt;=N$1) *
  (desp[data.pagamento]&lt;EOMONTH(N$1,0)+1)
)</f>
        <v>0</v>
      </c>
      <c r="O140" s="247" cm="1">
        <f t="array" ref="O140">-SUMPRODUCT(
  desp[valor] *
  (desp[nucleo]=$B140) *
  (desp[centro.negocio]=$B$139) *
  (desp[data.pagamento]&gt;=O$1) *
  (desp[data.pagamento]&lt;EOMONTH(O$1,0)+1)
)</f>
        <v>0</v>
      </c>
      <c r="P140" s="247" cm="1">
        <f t="array" ref="P140">-SUMPRODUCT(
  desp[valor] *
  (desp[nucleo]=$B140) *
  (desp[centro.negocio]=$B$139) *
  (desp[data.pagamento]&gt;=P$1) *
  (desp[data.pagamento]&lt;EOMONTH(P$1,0)+1)
)</f>
        <v>0</v>
      </c>
      <c r="Q140" s="247" cm="1">
        <f t="array" ref="Q140">-SUMPRODUCT(
  desp[valor] *
  (desp[nucleo]=$B140) *
  (desp[centro.negocio]=$B$139) *
  (desp[data.pagamento]&gt;=Q$1) *
  (desp[data.pagamento]&lt;EOMONTH(Q$1,0)+1)
)</f>
        <v>0</v>
      </c>
      <c r="R140" s="247" cm="1">
        <f t="array" ref="R140">-SUMPRODUCT(
  desp[valor] *
  (desp[nucleo]=$B140) *
  (desp[centro.negocio]=$B$139) *
  (desp[data.pagamento]&gt;=R$1) *
  (desp[data.pagamento]&lt;EOMONTH(R$1,0)+1)
)</f>
        <v>0</v>
      </c>
      <c r="T140" s="239">
        <f t="shared" si="45"/>
        <v>0</v>
      </c>
    </row>
    <row r="141" spans="1:20" outlineLevel="1" x14ac:dyDescent="0.25">
      <c r="A141" s="243" t="s">
        <v>677</v>
      </c>
      <c r="B141" s="243" t="s">
        <v>377</v>
      </c>
      <c r="C141" s="244" t="s">
        <v>522</v>
      </c>
      <c r="D141" s="245">
        <f>SUM(D$142)</f>
        <v>0</v>
      </c>
      <c r="E141" s="245">
        <f t="shared" ref="E141:R141" si="49">SUM(E$142)</f>
        <v>0</v>
      </c>
      <c r="F141" s="245">
        <f t="shared" si="49"/>
        <v>0</v>
      </c>
      <c r="G141" s="245">
        <f t="shared" si="49"/>
        <v>0</v>
      </c>
      <c r="H141" s="245">
        <f t="shared" si="49"/>
        <v>0</v>
      </c>
      <c r="I141" s="245">
        <f t="shared" si="49"/>
        <v>0</v>
      </c>
      <c r="J141" s="245">
        <f t="shared" si="49"/>
        <v>0</v>
      </c>
      <c r="K141" s="245">
        <f t="shared" si="49"/>
        <v>0</v>
      </c>
      <c r="L141" s="245">
        <f t="shared" si="49"/>
        <v>0</v>
      </c>
      <c r="M141" s="245">
        <f t="shared" si="49"/>
        <v>0</v>
      </c>
      <c r="N141" s="245">
        <f t="shared" si="49"/>
        <v>0</v>
      </c>
      <c r="O141" s="245">
        <f t="shared" si="49"/>
        <v>0</v>
      </c>
      <c r="P141" s="245">
        <f t="shared" si="49"/>
        <v>0</v>
      </c>
      <c r="Q141" s="245">
        <f t="shared" si="49"/>
        <v>0</v>
      </c>
      <c r="R141" s="245">
        <f t="shared" si="49"/>
        <v>0</v>
      </c>
      <c r="T141" s="239">
        <f t="shared" si="45"/>
        <v>0</v>
      </c>
    </row>
    <row r="142" spans="1:20" outlineLevel="2" x14ac:dyDescent="0.25">
      <c r="A142" s="246" t="s">
        <v>678</v>
      </c>
      <c r="B142" s="246" t="s">
        <v>552</v>
      </c>
      <c r="C142" s="193" t="s">
        <v>522</v>
      </c>
      <c r="D142" s="247" cm="1">
        <f t="array" ref="D142">-SUMPRODUCT(
  desp[valor] *
  (desp[nucleo]=$B142) *
  (desp[centro.negocio]=$B$141) *
  (desp[data.pagamento]&gt;=D$1) *
  (desp[data.pagamento]&lt;EOMONTH(D$1,0)+1)
)</f>
        <v>0</v>
      </c>
      <c r="E142" s="247" cm="1">
        <f t="array" ref="E142">-SUMPRODUCT(
  desp[valor] *
  (desp[nucleo]=$B142) *
  (desp[centro.negocio]=$B$141) *
  (desp[data.pagamento]&gt;=E$1) *
  (desp[data.pagamento]&lt;EOMONTH(E$1,0)+1)
)</f>
        <v>0</v>
      </c>
      <c r="F142" s="247" cm="1">
        <f t="array" ref="F142">-SUMPRODUCT(
  desp[valor] *
  (desp[nucleo]=$B142) *
  (desp[centro.negocio]=$B$141) *
  (desp[data.pagamento]&gt;=F$1) *
  (desp[data.pagamento]&lt;EOMONTH(F$1,0)+1)
)</f>
        <v>0</v>
      </c>
      <c r="G142" s="247" cm="1">
        <f t="array" ref="G142">-SUMPRODUCT(
  desp[valor] *
  (desp[nucleo]=$B142) *
  (desp[centro.negocio]=$B$141) *
  (desp[data.pagamento]&gt;=G$1) *
  (desp[data.pagamento]&lt;EOMONTH(G$1,0)+1)
)</f>
        <v>0</v>
      </c>
      <c r="H142" s="247" cm="1">
        <f t="array" ref="H142">-SUMPRODUCT(
  desp[valor] *
  (desp[nucleo]=$B142) *
  (desp[centro.negocio]=$B$141) *
  (desp[data.pagamento]&gt;=H$1) *
  (desp[data.pagamento]&lt;EOMONTH(H$1,0)+1)
)</f>
        <v>0</v>
      </c>
      <c r="I142" s="247" cm="1">
        <f t="array" ref="I142">-SUMPRODUCT(
  desp[valor] *
  (desp[nucleo]=$B142) *
  (desp[centro.negocio]=$B$141) *
  (desp[data.pagamento]&gt;=I$1) *
  (desp[data.pagamento]&lt;EOMONTH(I$1,0)+1)
)</f>
        <v>0</v>
      </c>
      <c r="J142" s="247" cm="1">
        <f t="array" ref="J142">-SUMPRODUCT(
  desp[valor] *
  (desp[nucleo]=$B142) *
  (desp[centro.negocio]=$B$141) *
  (desp[data.pagamento]&gt;=J$1) *
  (desp[data.pagamento]&lt;EOMONTH(J$1,0)+1)
)</f>
        <v>0</v>
      </c>
      <c r="K142" s="247" cm="1">
        <f t="array" ref="K142">-SUMPRODUCT(
  desp[valor] *
  (desp[nucleo]=$B142) *
  (desp[centro.negocio]=$B$141) *
  (desp[data.pagamento]&gt;=K$1) *
  (desp[data.pagamento]&lt;EOMONTH(K$1,0)+1)
)</f>
        <v>0</v>
      </c>
      <c r="L142" s="247" cm="1">
        <f t="array" ref="L142">-SUMPRODUCT(
  desp[valor] *
  (desp[nucleo]=$B142) *
  (desp[centro.negocio]=$B$141) *
  (desp[data.pagamento]&gt;=L$1) *
  (desp[data.pagamento]&lt;EOMONTH(L$1,0)+1)
)</f>
        <v>0</v>
      </c>
      <c r="M142" s="247" cm="1">
        <f t="array" ref="M142">-SUMPRODUCT(
  desp[valor] *
  (desp[nucleo]=$B142) *
  (desp[centro.negocio]=$B$141) *
  (desp[data.pagamento]&gt;=M$1) *
  (desp[data.pagamento]&lt;EOMONTH(M$1,0)+1)
)</f>
        <v>0</v>
      </c>
      <c r="N142" s="247" cm="1">
        <f t="array" ref="N142">-SUMPRODUCT(
  desp[valor] *
  (desp[nucleo]=$B142) *
  (desp[centro.negocio]=$B$141) *
  (desp[data.pagamento]&gt;=N$1) *
  (desp[data.pagamento]&lt;EOMONTH(N$1,0)+1)
)</f>
        <v>0</v>
      </c>
      <c r="O142" s="247" cm="1">
        <f t="array" ref="O142">-SUMPRODUCT(
  desp[valor] *
  (desp[nucleo]=$B142) *
  (desp[centro.negocio]=$B$141) *
  (desp[data.pagamento]&gt;=O$1) *
  (desp[data.pagamento]&lt;EOMONTH(O$1,0)+1)
)</f>
        <v>0</v>
      </c>
      <c r="P142" s="247" cm="1">
        <f t="array" ref="P142">-SUMPRODUCT(
  desp[valor] *
  (desp[nucleo]=$B142) *
  (desp[centro.negocio]=$B$141) *
  (desp[data.pagamento]&gt;=P$1) *
  (desp[data.pagamento]&lt;EOMONTH(P$1,0)+1)
)</f>
        <v>0</v>
      </c>
      <c r="Q142" s="247" cm="1">
        <f t="array" ref="Q142">-SUMPRODUCT(
  desp[valor] *
  (desp[nucleo]=$B142) *
  (desp[centro.negocio]=$B$141) *
  (desp[data.pagamento]&gt;=Q$1) *
  (desp[data.pagamento]&lt;EOMONTH(Q$1,0)+1)
)</f>
        <v>0</v>
      </c>
      <c r="R142" s="247" cm="1">
        <f t="array" ref="R142">-SUMPRODUCT(
  desp[valor] *
  (desp[nucleo]=$B142) *
  (desp[centro.negocio]=$B$141) *
  (desp[data.pagamento]&gt;=R$1) *
  (desp[data.pagamento]&lt;EOMONTH(R$1,0)+1)
)</f>
        <v>0</v>
      </c>
      <c r="T142" s="239">
        <f t="shared" si="45"/>
        <v>0</v>
      </c>
    </row>
    <row r="143" spans="1:20" outlineLevel="1" x14ac:dyDescent="0.25">
      <c r="A143" s="243" t="s">
        <v>679</v>
      </c>
      <c r="B143" s="243" t="s">
        <v>403</v>
      </c>
      <c r="C143" s="244" t="s">
        <v>522</v>
      </c>
      <c r="D143" s="245">
        <f>SUM(D$144:D$153)</f>
        <v>0</v>
      </c>
      <c r="E143" s="245">
        <f t="shared" ref="E143:R143" si="50">SUM(E$144:E$153)</f>
        <v>0</v>
      </c>
      <c r="F143" s="245">
        <f t="shared" si="50"/>
        <v>0</v>
      </c>
      <c r="G143" s="245">
        <f t="shared" si="50"/>
        <v>0</v>
      </c>
      <c r="H143" s="245">
        <f t="shared" si="50"/>
        <v>0</v>
      </c>
      <c r="I143" s="245">
        <f t="shared" si="50"/>
        <v>0</v>
      </c>
      <c r="J143" s="245">
        <f t="shared" si="50"/>
        <v>0</v>
      </c>
      <c r="K143" s="245">
        <f t="shared" si="50"/>
        <v>0</v>
      </c>
      <c r="L143" s="245">
        <f t="shared" si="50"/>
        <v>0</v>
      </c>
      <c r="M143" s="245">
        <f t="shared" si="50"/>
        <v>0</v>
      </c>
      <c r="N143" s="245">
        <f t="shared" si="50"/>
        <v>0</v>
      </c>
      <c r="O143" s="245">
        <f t="shared" si="50"/>
        <v>0</v>
      </c>
      <c r="P143" s="245">
        <f t="shared" si="50"/>
        <v>0</v>
      </c>
      <c r="Q143" s="245">
        <f t="shared" si="50"/>
        <v>0</v>
      </c>
      <c r="R143" s="245">
        <f t="shared" si="50"/>
        <v>0</v>
      </c>
      <c r="T143" s="239">
        <f t="shared" si="45"/>
        <v>0</v>
      </c>
    </row>
    <row r="144" spans="1:20" outlineLevel="2" x14ac:dyDescent="0.25">
      <c r="A144" s="246" t="s">
        <v>680</v>
      </c>
      <c r="B144" s="246" t="s">
        <v>552</v>
      </c>
      <c r="C144" s="193" t="s">
        <v>522</v>
      </c>
      <c r="D144" s="247" cm="1">
        <f t="array" ref="D144">-SUMPRODUCT(
  desp[valor] *
  (desp[nucleo]=$B144) *
  (desp[centro.negocio]=$B$143) *
  (desp[data.pagamento]&gt;=D$1) *
  (desp[data.pagamento]&lt;EOMONTH(D$1,0)+1)
)</f>
        <v>0</v>
      </c>
      <c r="E144" s="247" cm="1">
        <f t="array" ref="E144">-SUMPRODUCT(
  desp[valor] *
  (desp[nucleo]=$B144) *
  (desp[centro.negocio]=$B$143) *
  (desp[data.pagamento]&gt;=E$1) *
  (desp[data.pagamento]&lt;EOMONTH(E$1,0)+1)
)</f>
        <v>0</v>
      </c>
      <c r="F144" s="247" cm="1">
        <f t="array" ref="F144">-SUMPRODUCT(
  desp[valor] *
  (desp[nucleo]=$B144) *
  (desp[centro.negocio]=$B$143) *
  (desp[data.pagamento]&gt;=F$1) *
  (desp[data.pagamento]&lt;EOMONTH(F$1,0)+1)
)</f>
        <v>0</v>
      </c>
      <c r="G144" s="247" cm="1">
        <f t="array" ref="G144">-SUMPRODUCT(
  desp[valor] *
  (desp[nucleo]=$B144) *
  (desp[centro.negocio]=$B$143) *
  (desp[data.pagamento]&gt;=G$1) *
  (desp[data.pagamento]&lt;EOMONTH(G$1,0)+1)
)</f>
        <v>0</v>
      </c>
      <c r="H144" s="247" cm="1">
        <f t="array" ref="H144">-SUMPRODUCT(
  desp[valor] *
  (desp[nucleo]=$B144) *
  (desp[centro.negocio]=$B$143) *
  (desp[data.pagamento]&gt;=H$1) *
  (desp[data.pagamento]&lt;EOMONTH(H$1,0)+1)
)</f>
        <v>0</v>
      </c>
      <c r="I144" s="247" cm="1">
        <f t="array" ref="I144">-SUMPRODUCT(
  desp[valor] *
  (desp[nucleo]=$B144) *
  (desp[centro.negocio]=$B$143) *
  (desp[data.pagamento]&gt;=I$1) *
  (desp[data.pagamento]&lt;EOMONTH(I$1,0)+1)
)</f>
        <v>0</v>
      </c>
      <c r="J144" s="247" cm="1">
        <f t="array" ref="J144">-SUMPRODUCT(
  desp[valor] *
  (desp[nucleo]=$B144) *
  (desp[centro.negocio]=$B$143) *
  (desp[data.pagamento]&gt;=J$1) *
  (desp[data.pagamento]&lt;EOMONTH(J$1,0)+1)
)</f>
        <v>0</v>
      </c>
      <c r="K144" s="247" cm="1">
        <f t="array" ref="K144">-SUMPRODUCT(
  desp[valor] *
  (desp[nucleo]=$B144) *
  (desp[centro.negocio]=$B$143) *
  (desp[data.pagamento]&gt;=K$1) *
  (desp[data.pagamento]&lt;EOMONTH(K$1,0)+1)
)</f>
        <v>0</v>
      </c>
      <c r="L144" s="247" cm="1">
        <f t="array" ref="L144">-SUMPRODUCT(
  desp[valor] *
  (desp[nucleo]=$B144) *
  (desp[centro.negocio]=$B$143) *
  (desp[data.pagamento]&gt;=L$1) *
  (desp[data.pagamento]&lt;EOMONTH(L$1,0)+1)
)</f>
        <v>0</v>
      </c>
      <c r="M144" s="247" cm="1">
        <f t="array" ref="M144">-SUMPRODUCT(
  desp[valor] *
  (desp[nucleo]=$B144) *
  (desp[centro.negocio]=$B$143) *
  (desp[data.pagamento]&gt;=M$1) *
  (desp[data.pagamento]&lt;EOMONTH(M$1,0)+1)
)</f>
        <v>0</v>
      </c>
      <c r="N144" s="247" cm="1">
        <f t="array" ref="N144">-SUMPRODUCT(
  desp[valor] *
  (desp[nucleo]=$B144) *
  (desp[centro.negocio]=$B$143) *
  (desp[data.pagamento]&gt;=N$1) *
  (desp[data.pagamento]&lt;EOMONTH(N$1,0)+1)
)</f>
        <v>0</v>
      </c>
      <c r="O144" s="247" cm="1">
        <f t="array" ref="O144">-SUMPRODUCT(
  desp[valor] *
  (desp[nucleo]=$B144) *
  (desp[centro.negocio]=$B$143) *
  (desp[data.pagamento]&gt;=O$1) *
  (desp[data.pagamento]&lt;EOMONTH(O$1,0)+1)
)</f>
        <v>0</v>
      </c>
      <c r="P144" s="247" cm="1">
        <f t="array" ref="P144">-SUMPRODUCT(
  desp[valor] *
  (desp[nucleo]=$B144) *
  (desp[centro.negocio]=$B$143) *
  (desp[data.pagamento]&gt;=P$1) *
  (desp[data.pagamento]&lt;EOMONTH(P$1,0)+1)
)</f>
        <v>0</v>
      </c>
      <c r="Q144" s="247" cm="1">
        <f t="array" ref="Q144">-SUMPRODUCT(
  desp[valor] *
  (desp[nucleo]=$B144) *
  (desp[centro.negocio]=$B$143) *
  (desp[data.pagamento]&gt;=Q$1) *
  (desp[data.pagamento]&lt;EOMONTH(Q$1,0)+1)
)</f>
        <v>0</v>
      </c>
      <c r="R144" s="247" cm="1">
        <f t="array" ref="R144">-SUMPRODUCT(
  desp[valor] *
  (desp[nucleo]=$B144) *
  (desp[centro.negocio]=$B$143) *
  (desp[data.pagamento]&gt;=R$1) *
  (desp[data.pagamento]&lt;EOMONTH(R$1,0)+1)
)</f>
        <v>0</v>
      </c>
      <c r="T144" s="239">
        <f t="shared" si="45"/>
        <v>0</v>
      </c>
    </row>
    <row r="145" spans="1:20" outlineLevel="2" x14ac:dyDescent="0.25">
      <c r="A145" s="246" t="s">
        <v>681</v>
      </c>
      <c r="B145" s="246" t="s">
        <v>556</v>
      </c>
      <c r="C145" s="193" t="s">
        <v>522</v>
      </c>
      <c r="D145" s="247" cm="1">
        <f t="array" ref="D145">-SUMPRODUCT(
  desp[valor] *
  (desp[nucleo]=$B145) *
  (desp[centro.negocio]=$B$143) *
  (desp[data.pagamento]&gt;=D$1) *
  (desp[data.pagamento]&lt;EOMONTH(D$1,0)+1)
)</f>
        <v>0</v>
      </c>
      <c r="E145" s="247" cm="1">
        <f t="array" ref="E145">-SUMPRODUCT(
  desp[valor] *
  (desp[nucleo]=$B145) *
  (desp[centro.negocio]=$B$143) *
  (desp[data.pagamento]&gt;=E$1) *
  (desp[data.pagamento]&lt;EOMONTH(E$1,0)+1)
)</f>
        <v>0</v>
      </c>
      <c r="F145" s="247" cm="1">
        <f t="array" ref="F145">-SUMPRODUCT(
  desp[valor] *
  (desp[nucleo]=$B145) *
  (desp[centro.negocio]=$B$143) *
  (desp[data.pagamento]&gt;=F$1) *
  (desp[data.pagamento]&lt;EOMONTH(F$1,0)+1)
)</f>
        <v>0</v>
      </c>
      <c r="G145" s="247" cm="1">
        <f t="array" ref="G145">-SUMPRODUCT(
  desp[valor] *
  (desp[nucleo]=$B145) *
  (desp[centro.negocio]=$B$143) *
  (desp[data.pagamento]&gt;=G$1) *
  (desp[data.pagamento]&lt;EOMONTH(G$1,0)+1)
)</f>
        <v>0</v>
      </c>
      <c r="H145" s="247" cm="1">
        <f t="array" ref="H145">-SUMPRODUCT(
  desp[valor] *
  (desp[nucleo]=$B145) *
  (desp[centro.negocio]=$B$143) *
  (desp[data.pagamento]&gt;=H$1) *
  (desp[data.pagamento]&lt;EOMONTH(H$1,0)+1)
)</f>
        <v>0</v>
      </c>
      <c r="I145" s="247" cm="1">
        <f t="array" ref="I145">-SUMPRODUCT(
  desp[valor] *
  (desp[nucleo]=$B145) *
  (desp[centro.negocio]=$B$143) *
  (desp[data.pagamento]&gt;=I$1) *
  (desp[data.pagamento]&lt;EOMONTH(I$1,0)+1)
)</f>
        <v>0</v>
      </c>
      <c r="J145" s="247" cm="1">
        <f t="array" ref="J145">-SUMPRODUCT(
  desp[valor] *
  (desp[nucleo]=$B145) *
  (desp[centro.negocio]=$B$143) *
  (desp[data.pagamento]&gt;=J$1) *
  (desp[data.pagamento]&lt;EOMONTH(J$1,0)+1)
)</f>
        <v>0</v>
      </c>
      <c r="K145" s="247" cm="1">
        <f t="array" ref="K145">-SUMPRODUCT(
  desp[valor] *
  (desp[nucleo]=$B145) *
  (desp[centro.negocio]=$B$143) *
  (desp[data.pagamento]&gt;=K$1) *
  (desp[data.pagamento]&lt;EOMONTH(K$1,0)+1)
)</f>
        <v>0</v>
      </c>
      <c r="L145" s="247" cm="1">
        <f t="array" ref="L145">-SUMPRODUCT(
  desp[valor] *
  (desp[nucleo]=$B145) *
  (desp[centro.negocio]=$B$143) *
  (desp[data.pagamento]&gt;=L$1) *
  (desp[data.pagamento]&lt;EOMONTH(L$1,0)+1)
)</f>
        <v>0</v>
      </c>
      <c r="M145" s="247" cm="1">
        <f t="array" ref="M145">-SUMPRODUCT(
  desp[valor] *
  (desp[nucleo]=$B145) *
  (desp[centro.negocio]=$B$143) *
  (desp[data.pagamento]&gt;=M$1) *
  (desp[data.pagamento]&lt;EOMONTH(M$1,0)+1)
)</f>
        <v>0</v>
      </c>
      <c r="N145" s="247" cm="1">
        <f t="array" ref="N145">-SUMPRODUCT(
  desp[valor] *
  (desp[nucleo]=$B145) *
  (desp[centro.negocio]=$B$143) *
  (desp[data.pagamento]&gt;=N$1) *
  (desp[data.pagamento]&lt;EOMONTH(N$1,0)+1)
)</f>
        <v>0</v>
      </c>
      <c r="O145" s="247" cm="1">
        <f t="array" ref="O145">-SUMPRODUCT(
  desp[valor] *
  (desp[nucleo]=$B145) *
  (desp[centro.negocio]=$B$143) *
  (desp[data.pagamento]&gt;=O$1) *
  (desp[data.pagamento]&lt;EOMONTH(O$1,0)+1)
)</f>
        <v>0</v>
      </c>
      <c r="P145" s="247" cm="1">
        <f t="array" ref="P145">-SUMPRODUCT(
  desp[valor] *
  (desp[nucleo]=$B145) *
  (desp[centro.negocio]=$B$143) *
  (desp[data.pagamento]&gt;=P$1) *
  (desp[data.pagamento]&lt;EOMONTH(P$1,0)+1)
)</f>
        <v>0</v>
      </c>
      <c r="Q145" s="247" cm="1">
        <f t="array" ref="Q145">-SUMPRODUCT(
  desp[valor] *
  (desp[nucleo]=$B145) *
  (desp[centro.negocio]=$B$143) *
  (desp[data.pagamento]&gt;=Q$1) *
  (desp[data.pagamento]&lt;EOMONTH(Q$1,0)+1)
)</f>
        <v>0</v>
      </c>
      <c r="R145" s="247" cm="1">
        <f t="array" ref="R145">-SUMPRODUCT(
  desp[valor] *
  (desp[nucleo]=$B145) *
  (desp[centro.negocio]=$B$143) *
  (desp[data.pagamento]&gt;=R$1) *
  (desp[data.pagamento]&lt;EOMONTH(R$1,0)+1)
)</f>
        <v>0</v>
      </c>
      <c r="T145" s="239">
        <f t="shared" si="45"/>
        <v>0</v>
      </c>
    </row>
    <row r="146" spans="1:20" outlineLevel="2" x14ac:dyDescent="0.25">
      <c r="A146" s="246" t="s">
        <v>682</v>
      </c>
      <c r="B146" s="246" t="s">
        <v>564</v>
      </c>
      <c r="C146" s="193" t="s">
        <v>522</v>
      </c>
      <c r="D146" s="247" cm="1">
        <f t="array" ref="D146">-SUMPRODUCT(
  desp[valor] *
  (desp[nucleo]=$B146) *
  (desp[centro.negocio]=$B$143) *
  (desp[data.pagamento]&gt;=D$1) *
  (desp[data.pagamento]&lt;EOMONTH(D$1,0)+1)
)</f>
        <v>0</v>
      </c>
      <c r="E146" s="247" cm="1">
        <f t="array" ref="E146">-SUMPRODUCT(
  desp[valor] *
  (desp[nucleo]=$B146) *
  (desp[centro.negocio]=$B$143) *
  (desp[data.pagamento]&gt;=E$1) *
  (desp[data.pagamento]&lt;EOMONTH(E$1,0)+1)
)</f>
        <v>0</v>
      </c>
      <c r="F146" s="247" cm="1">
        <f t="array" ref="F146">-SUMPRODUCT(
  desp[valor] *
  (desp[nucleo]=$B146) *
  (desp[centro.negocio]=$B$143) *
  (desp[data.pagamento]&gt;=F$1) *
  (desp[data.pagamento]&lt;EOMONTH(F$1,0)+1)
)</f>
        <v>0</v>
      </c>
      <c r="G146" s="247" cm="1">
        <f t="array" ref="G146">-SUMPRODUCT(
  desp[valor] *
  (desp[nucleo]=$B146) *
  (desp[centro.negocio]=$B$143) *
  (desp[data.pagamento]&gt;=G$1) *
  (desp[data.pagamento]&lt;EOMONTH(G$1,0)+1)
)</f>
        <v>0</v>
      </c>
      <c r="H146" s="247" cm="1">
        <f t="array" ref="H146">-SUMPRODUCT(
  desp[valor] *
  (desp[nucleo]=$B146) *
  (desp[centro.negocio]=$B$143) *
  (desp[data.pagamento]&gt;=H$1) *
  (desp[data.pagamento]&lt;EOMONTH(H$1,0)+1)
)</f>
        <v>0</v>
      </c>
      <c r="I146" s="247" cm="1">
        <f t="array" ref="I146">-SUMPRODUCT(
  desp[valor] *
  (desp[nucleo]=$B146) *
  (desp[centro.negocio]=$B$143) *
  (desp[data.pagamento]&gt;=I$1) *
  (desp[data.pagamento]&lt;EOMONTH(I$1,0)+1)
)</f>
        <v>0</v>
      </c>
      <c r="J146" s="247" cm="1">
        <f t="array" ref="J146">-SUMPRODUCT(
  desp[valor] *
  (desp[nucleo]=$B146) *
  (desp[centro.negocio]=$B$143) *
  (desp[data.pagamento]&gt;=J$1) *
  (desp[data.pagamento]&lt;EOMONTH(J$1,0)+1)
)</f>
        <v>0</v>
      </c>
      <c r="K146" s="247" cm="1">
        <f t="array" ref="K146">-SUMPRODUCT(
  desp[valor] *
  (desp[nucleo]=$B146) *
  (desp[centro.negocio]=$B$143) *
  (desp[data.pagamento]&gt;=K$1) *
  (desp[data.pagamento]&lt;EOMONTH(K$1,0)+1)
)</f>
        <v>0</v>
      </c>
      <c r="L146" s="247" cm="1">
        <f t="array" ref="L146">-SUMPRODUCT(
  desp[valor] *
  (desp[nucleo]=$B146) *
  (desp[centro.negocio]=$B$143) *
  (desp[data.pagamento]&gt;=L$1) *
  (desp[data.pagamento]&lt;EOMONTH(L$1,0)+1)
)</f>
        <v>0</v>
      </c>
      <c r="M146" s="247" cm="1">
        <f t="array" ref="M146">-SUMPRODUCT(
  desp[valor] *
  (desp[nucleo]=$B146) *
  (desp[centro.negocio]=$B$143) *
  (desp[data.pagamento]&gt;=M$1) *
  (desp[data.pagamento]&lt;EOMONTH(M$1,0)+1)
)</f>
        <v>0</v>
      </c>
      <c r="N146" s="247" cm="1">
        <f t="array" ref="N146">-SUMPRODUCT(
  desp[valor] *
  (desp[nucleo]=$B146) *
  (desp[centro.negocio]=$B$143) *
  (desp[data.pagamento]&gt;=N$1) *
  (desp[data.pagamento]&lt;EOMONTH(N$1,0)+1)
)</f>
        <v>0</v>
      </c>
      <c r="O146" s="247" cm="1">
        <f t="array" ref="O146">-SUMPRODUCT(
  desp[valor] *
  (desp[nucleo]=$B146) *
  (desp[centro.negocio]=$B$143) *
  (desp[data.pagamento]&gt;=O$1) *
  (desp[data.pagamento]&lt;EOMONTH(O$1,0)+1)
)</f>
        <v>0</v>
      </c>
      <c r="P146" s="247" cm="1">
        <f t="array" ref="P146">-SUMPRODUCT(
  desp[valor] *
  (desp[nucleo]=$B146) *
  (desp[centro.negocio]=$B$143) *
  (desp[data.pagamento]&gt;=P$1) *
  (desp[data.pagamento]&lt;EOMONTH(P$1,0)+1)
)</f>
        <v>0</v>
      </c>
      <c r="Q146" s="247" cm="1">
        <f t="array" ref="Q146">-SUMPRODUCT(
  desp[valor] *
  (desp[nucleo]=$B146) *
  (desp[centro.negocio]=$B$143) *
  (desp[data.pagamento]&gt;=Q$1) *
  (desp[data.pagamento]&lt;EOMONTH(Q$1,0)+1)
)</f>
        <v>0</v>
      </c>
      <c r="R146" s="247" cm="1">
        <f t="array" ref="R146">-SUMPRODUCT(
  desp[valor] *
  (desp[nucleo]=$B146) *
  (desp[centro.negocio]=$B$143) *
  (desp[data.pagamento]&gt;=R$1) *
  (desp[data.pagamento]&lt;EOMONTH(R$1,0)+1)
)</f>
        <v>0</v>
      </c>
      <c r="T146" s="239">
        <f t="shared" si="45"/>
        <v>0</v>
      </c>
    </row>
    <row r="147" spans="1:20" outlineLevel="2" x14ac:dyDescent="0.25">
      <c r="A147" s="246" t="s">
        <v>683</v>
      </c>
      <c r="B147" s="246" t="s">
        <v>562</v>
      </c>
      <c r="C147" s="193" t="s">
        <v>522</v>
      </c>
      <c r="D147" s="247" cm="1">
        <f t="array" ref="D147">-SUMPRODUCT(
  desp[valor] *
  (desp[nucleo]=$B147) *
  (desp[centro.negocio]=$B$143) *
  (desp[data.pagamento]&gt;=D$1) *
  (desp[data.pagamento]&lt;EOMONTH(D$1,0)+1)
)</f>
        <v>0</v>
      </c>
      <c r="E147" s="247" cm="1">
        <f t="array" ref="E147">-SUMPRODUCT(
  desp[valor] *
  (desp[nucleo]=$B147) *
  (desp[centro.negocio]=$B$143) *
  (desp[data.pagamento]&gt;=E$1) *
  (desp[data.pagamento]&lt;EOMONTH(E$1,0)+1)
)</f>
        <v>0</v>
      </c>
      <c r="F147" s="247" cm="1">
        <f t="array" ref="F147">-SUMPRODUCT(
  desp[valor] *
  (desp[nucleo]=$B147) *
  (desp[centro.negocio]=$B$143) *
  (desp[data.pagamento]&gt;=F$1) *
  (desp[data.pagamento]&lt;EOMONTH(F$1,0)+1)
)</f>
        <v>0</v>
      </c>
      <c r="G147" s="247" cm="1">
        <f t="array" ref="G147">-SUMPRODUCT(
  desp[valor] *
  (desp[nucleo]=$B147) *
  (desp[centro.negocio]=$B$143) *
  (desp[data.pagamento]&gt;=G$1) *
  (desp[data.pagamento]&lt;EOMONTH(G$1,0)+1)
)</f>
        <v>0</v>
      </c>
      <c r="H147" s="247" cm="1">
        <f t="array" ref="H147">-SUMPRODUCT(
  desp[valor] *
  (desp[nucleo]=$B147) *
  (desp[centro.negocio]=$B$143) *
  (desp[data.pagamento]&gt;=H$1) *
  (desp[data.pagamento]&lt;EOMONTH(H$1,0)+1)
)</f>
        <v>0</v>
      </c>
      <c r="I147" s="247" cm="1">
        <f t="array" ref="I147">-SUMPRODUCT(
  desp[valor] *
  (desp[nucleo]=$B147) *
  (desp[centro.negocio]=$B$143) *
  (desp[data.pagamento]&gt;=I$1) *
  (desp[data.pagamento]&lt;EOMONTH(I$1,0)+1)
)</f>
        <v>0</v>
      </c>
      <c r="J147" s="247" cm="1">
        <f t="array" ref="J147">-SUMPRODUCT(
  desp[valor] *
  (desp[nucleo]=$B147) *
  (desp[centro.negocio]=$B$143) *
  (desp[data.pagamento]&gt;=J$1) *
  (desp[data.pagamento]&lt;EOMONTH(J$1,0)+1)
)</f>
        <v>0</v>
      </c>
      <c r="K147" s="247" cm="1">
        <f t="array" ref="K147">-SUMPRODUCT(
  desp[valor] *
  (desp[nucleo]=$B147) *
  (desp[centro.negocio]=$B$143) *
  (desp[data.pagamento]&gt;=K$1) *
  (desp[data.pagamento]&lt;EOMONTH(K$1,0)+1)
)</f>
        <v>0</v>
      </c>
      <c r="L147" s="247" cm="1">
        <f t="array" ref="L147">-SUMPRODUCT(
  desp[valor] *
  (desp[nucleo]=$B147) *
  (desp[centro.negocio]=$B$143) *
  (desp[data.pagamento]&gt;=L$1) *
  (desp[data.pagamento]&lt;EOMONTH(L$1,0)+1)
)</f>
        <v>0</v>
      </c>
      <c r="M147" s="247" cm="1">
        <f t="array" ref="M147">-SUMPRODUCT(
  desp[valor] *
  (desp[nucleo]=$B147) *
  (desp[centro.negocio]=$B$143) *
  (desp[data.pagamento]&gt;=M$1) *
  (desp[data.pagamento]&lt;EOMONTH(M$1,0)+1)
)</f>
        <v>0</v>
      </c>
      <c r="N147" s="247" cm="1">
        <f t="array" ref="N147">-SUMPRODUCT(
  desp[valor] *
  (desp[nucleo]=$B147) *
  (desp[centro.negocio]=$B$143) *
  (desp[data.pagamento]&gt;=N$1) *
  (desp[data.pagamento]&lt;EOMONTH(N$1,0)+1)
)</f>
        <v>0</v>
      </c>
      <c r="O147" s="247" cm="1">
        <f t="array" ref="O147">-SUMPRODUCT(
  desp[valor] *
  (desp[nucleo]=$B147) *
  (desp[centro.negocio]=$B$143) *
  (desp[data.pagamento]&gt;=O$1) *
  (desp[data.pagamento]&lt;EOMONTH(O$1,0)+1)
)</f>
        <v>0</v>
      </c>
      <c r="P147" s="247" cm="1">
        <f t="array" ref="P147">-SUMPRODUCT(
  desp[valor] *
  (desp[nucleo]=$B147) *
  (desp[centro.negocio]=$B$143) *
  (desp[data.pagamento]&gt;=P$1) *
  (desp[data.pagamento]&lt;EOMONTH(P$1,0)+1)
)</f>
        <v>0</v>
      </c>
      <c r="Q147" s="247" cm="1">
        <f t="array" ref="Q147">-SUMPRODUCT(
  desp[valor] *
  (desp[nucleo]=$B147) *
  (desp[centro.negocio]=$B$143) *
  (desp[data.pagamento]&gt;=Q$1) *
  (desp[data.pagamento]&lt;EOMONTH(Q$1,0)+1)
)</f>
        <v>0</v>
      </c>
      <c r="R147" s="247" cm="1">
        <f t="array" ref="R147">-SUMPRODUCT(
  desp[valor] *
  (desp[nucleo]=$B147) *
  (desp[centro.negocio]=$B$143) *
  (desp[data.pagamento]&gt;=R$1) *
  (desp[data.pagamento]&lt;EOMONTH(R$1,0)+1)
)</f>
        <v>0</v>
      </c>
      <c r="T147" s="239">
        <f t="shared" si="45"/>
        <v>0</v>
      </c>
    </row>
    <row r="148" spans="1:20" outlineLevel="2" x14ac:dyDescent="0.25">
      <c r="A148" s="246" t="s">
        <v>684</v>
      </c>
      <c r="B148" s="246" t="s">
        <v>558</v>
      </c>
      <c r="C148" s="193" t="s">
        <v>522</v>
      </c>
      <c r="D148" s="247" cm="1">
        <f t="array" ref="D148">-SUMPRODUCT(
  desp[valor] *
  (desp[nucleo]=$B148) *
  (desp[centro.negocio]=$B$143) *
  (desp[data.pagamento]&gt;=D$1) *
  (desp[data.pagamento]&lt;EOMONTH(D$1,0)+1)
)</f>
        <v>0</v>
      </c>
      <c r="E148" s="247" cm="1">
        <f t="array" ref="E148">-SUMPRODUCT(
  desp[valor] *
  (desp[nucleo]=$B148) *
  (desp[centro.negocio]=$B$143) *
  (desp[data.pagamento]&gt;=E$1) *
  (desp[data.pagamento]&lt;EOMONTH(E$1,0)+1)
)</f>
        <v>0</v>
      </c>
      <c r="F148" s="247" cm="1">
        <f t="array" ref="F148">-SUMPRODUCT(
  desp[valor] *
  (desp[nucleo]=$B148) *
  (desp[centro.negocio]=$B$143) *
  (desp[data.pagamento]&gt;=F$1) *
  (desp[data.pagamento]&lt;EOMONTH(F$1,0)+1)
)</f>
        <v>0</v>
      </c>
      <c r="G148" s="247" cm="1">
        <f t="array" ref="G148">-SUMPRODUCT(
  desp[valor] *
  (desp[nucleo]=$B148) *
  (desp[centro.negocio]=$B$143) *
  (desp[data.pagamento]&gt;=G$1) *
  (desp[data.pagamento]&lt;EOMONTH(G$1,0)+1)
)</f>
        <v>0</v>
      </c>
      <c r="H148" s="247" cm="1">
        <f t="array" ref="H148">-SUMPRODUCT(
  desp[valor] *
  (desp[nucleo]=$B148) *
  (desp[centro.negocio]=$B$143) *
  (desp[data.pagamento]&gt;=H$1) *
  (desp[data.pagamento]&lt;EOMONTH(H$1,0)+1)
)</f>
        <v>0</v>
      </c>
      <c r="I148" s="247" cm="1">
        <f t="array" ref="I148">-SUMPRODUCT(
  desp[valor] *
  (desp[nucleo]=$B148) *
  (desp[centro.negocio]=$B$143) *
  (desp[data.pagamento]&gt;=I$1) *
  (desp[data.pagamento]&lt;EOMONTH(I$1,0)+1)
)</f>
        <v>0</v>
      </c>
      <c r="J148" s="247" cm="1">
        <f t="array" ref="J148">-SUMPRODUCT(
  desp[valor] *
  (desp[nucleo]=$B148) *
  (desp[centro.negocio]=$B$143) *
  (desp[data.pagamento]&gt;=J$1) *
  (desp[data.pagamento]&lt;EOMONTH(J$1,0)+1)
)</f>
        <v>0</v>
      </c>
      <c r="K148" s="247" cm="1">
        <f t="array" ref="K148">-SUMPRODUCT(
  desp[valor] *
  (desp[nucleo]=$B148) *
  (desp[centro.negocio]=$B$143) *
  (desp[data.pagamento]&gt;=K$1) *
  (desp[data.pagamento]&lt;EOMONTH(K$1,0)+1)
)</f>
        <v>0</v>
      </c>
      <c r="L148" s="247" cm="1">
        <f t="array" ref="L148">-SUMPRODUCT(
  desp[valor] *
  (desp[nucleo]=$B148) *
  (desp[centro.negocio]=$B$143) *
  (desp[data.pagamento]&gt;=L$1) *
  (desp[data.pagamento]&lt;EOMONTH(L$1,0)+1)
)</f>
        <v>0</v>
      </c>
      <c r="M148" s="247" cm="1">
        <f t="array" ref="M148">-SUMPRODUCT(
  desp[valor] *
  (desp[nucleo]=$B148) *
  (desp[centro.negocio]=$B$143) *
  (desp[data.pagamento]&gt;=M$1) *
  (desp[data.pagamento]&lt;EOMONTH(M$1,0)+1)
)</f>
        <v>0</v>
      </c>
      <c r="N148" s="247" cm="1">
        <f t="array" ref="N148">-SUMPRODUCT(
  desp[valor] *
  (desp[nucleo]=$B148) *
  (desp[centro.negocio]=$B$143) *
  (desp[data.pagamento]&gt;=N$1) *
  (desp[data.pagamento]&lt;EOMONTH(N$1,0)+1)
)</f>
        <v>0</v>
      </c>
      <c r="O148" s="247" cm="1">
        <f t="array" ref="O148">-SUMPRODUCT(
  desp[valor] *
  (desp[nucleo]=$B148) *
  (desp[centro.negocio]=$B$143) *
  (desp[data.pagamento]&gt;=O$1) *
  (desp[data.pagamento]&lt;EOMONTH(O$1,0)+1)
)</f>
        <v>0</v>
      </c>
      <c r="P148" s="247" cm="1">
        <f t="array" ref="P148">-SUMPRODUCT(
  desp[valor] *
  (desp[nucleo]=$B148) *
  (desp[centro.negocio]=$B$143) *
  (desp[data.pagamento]&gt;=P$1) *
  (desp[data.pagamento]&lt;EOMONTH(P$1,0)+1)
)</f>
        <v>0</v>
      </c>
      <c r="Q148" s="247" cm="1">
        <f t="array" ref="Q148">-SUMPRODUCT(
  desp[valor] *
  (desp[nucleo]=$B148) *
  (desp[centro.negocio]=$B$143) *
  (desp[data.pagamento]&gt;=Q$1) *
  (desp[data.pagamento]&lt;EOMONTH(Q$1,0)+1)
)</f>
        <v>0</v>
      </c>
      <c r="R148" s="247" cm="1">
        <f t="array" ref="R148">-SUMPRODUCT(
  desp[valor] *
  (desp[nucleo]=$B148) *
  (desp[centro.negocio]=$B$143) *
  (desp[data.pagamento]&gt;=R$1) *
  (desp[data.pagamento]&lt;EOMONTH(R$1,0)+1)
)</f>
        <v>0</v>
      </c>
      <c r="T148" s="239">
        <f t="shared" si="45"/>
        <v>0</v>
      </c>
    </row>
    <row r="149" spans="1:20" outlineLevel="2" x14ac:dyDescent="0.25">
      <c r="A149" s="246" t="s">
        <v>685</v>
      </c>
      <c r="B149" s="246" t="s">
        <v>560</v>
      </c>
      <c r="C149" s="193" t="s">
        <v>522</v>
      </c>
      <c r="D149" s="247" cm="1">
        <f t="array" ref="D149">-SUMPRODUCT(
  desp[valor] *
  (desp[nucleo]=$B149) *
  (desp[centro.negocio]=$B$143) *
  (desp[data.pagamento]&gt;=D$1) *
  (desp[data.pagamento]&lt;EOMONTH(D$1,0)+1)
)</f>
        <v>0</v>
      </c>
      <c r="E149" s="247" cm="1">
        <f t="array" ref="E149">-SUMPRODUCT(
  desp[valor] *
  (desp[nucleo]=$B149) *
  (desp[centro.negocio]=$B$143) *
  (desp[data.pagamento]&gt;=E$1) *
  (desp[data.pagamento]&lt;EOMONTH(E$1,0)+1)
)</f>
        <v>0</v>
      </c>
      <c r="F149" s="247" cm="1">
        <f t="array" ref="F149">-SUMPRODUCT(
  desp[valor] *
  (desp[nucleo]=$B149) *
  (desp[centro.negocio]=$B$143) *
  (desp[data.pagamento]&gt;=F$1) *
  (desp[data.pagamento]&lt;EOMONTH(F$1,0)+1)
)</f>
        <v>0</v>
      </c>
      <c r="G149" s="247" cm="1">
        <f t="array" ref="G149">-SUMPRODUCT(
  desp[valor] *
  (desp[nucleo]=$B149) *
  (desp[centro.negocio]=$B$143) *
  (desp[data.pagamento]&gt;=G$1) *
  (desp[data.pagamento]&lt;EOMONTH(G$1,0)+1)
)</f>
        <v>0</v>
      </c>
      <c r="H149" s="247" cm="1">
        <f t="array" ref="H149">-SUMPRODUCT(
  desp[valor] *
  (desp[nucleo]=$B149) *
  (desp[centro.negocio]=$B$143) *
  (desp[data.pagamento]&gt;=H$1) *
  (desp[data.pagamento]&lt;EOMONTH(H$1,0)+1)
)</f>
        <v>0</v>
      </c>
      <c r="I149" s="247" cm="1">
        <f t="array" ref="I149">-SUMPRODUCT(
  desp[valor] *
  (desp[nucleo]=$B149) *
  (desp[centro.negocio]=$B$143) *
  (desp[data.pagamento]&gt;=I$1) *
  (desp[data.pagamento]&lt;EOMONTH(I$1,0)+1)
)</f>
        <v>0</v>
      </c>
      <c r="J149" s="247" cm="1">
        <f t="array" ref="J149">-SUMPRODUCT(
  desp[valor] *
  (desp[nucleo]=$B149) *
  (desp[centro.negocio]=$B$143) *
  (desp[data.pagamento]&gt;=J$1) *
  (desp[data.pagamento]&lt;EOMONTH(J$1,0)+1)
)</f>
        <v>0</v>
      </c>
      <c r="K149" s="247" cm="1">
        <f t="array" ref="K149">-SUMPRODUCT(
  desp[valor] *
  (desp[nucleo]=$B149) *
  (desp[centro.negocio]=$B$143) *
  (desp[data.pagamento]&gt;=K$1) *
  (desp[data.pagamento]&lt;EOMONTH(K$1,0)+1)
)</f>
        <v>0</v>
      </c>
      <c r="L149" s="247" cm="1">
        <f t="array" ref="L149">-SUMPRODUCT(
  desp[valor] *
  (desp[nucleo]=$B149) *
  (desp[centro.negocio]=$B$143) *
  (desp[data.pagamento]&gt;=L$1) *
  (desp[data.pagamento]&lt;EOMONTH(L$1,0)+1)
)</f>
        <v>0</v>
      </c>
      <c r="M149" s="247" cm="1">
        <f t="array" ref="M149">-SUMPRODUCT(
  desp[valor] *
  (desp[nucleo]=$B149) *
  (desp[centro.negocio]=$B$143) *
  (desp[data.pagamento]&gt;=M$1) *
  (desp[data.pagamento]&lt;EOMONTH(M$1,0)+1)
)</f>
        <v>0</v>
      </c>
      <c r="N149" s="247" cm="1">
        <f t="array" ref="N149">-SUMPRODUCT(
  desp[valor] *
  (desp[nucleo]=$B149) *
  (desp[centro.negocio]=$B$143) *
  (desp[data.pagamento]&gt;=N$1) *
  (desp[data.pagamento]&lt;EOMONTH(N$1,0)+1)
)</f>
        <v>0</v>
      </c>
      <c r="O149" s="247" cm="1">
        <f t="array" ref="O149">-SUMPRODUCT(
  desp[valor] *
  (desp[nucleo]=$B149) *
  (desp[centro.negocio]=$B$143) *
  (desp[data.pagamento]&gt;=O$1) *
  (desp[data.pagamento]&lt;EOMONTH(O$1,0)+1)
)</f>
        <v>0</v>
      </c>
      <c r="P149" s="247" cm="1">
        <f t="array" ref="P149">-SUMPRODUCT(
  desp[valor] *
  (desp[nucleo]=$B149) *
  (desp[centro.negocio]=$B$143) *
  (desp[data.pagamento]&gt;=P$1) *
  (desp[data.pagamento]&lt;EOMONTH(P$1,0)+1)
)</f>
        <v>0</v>
      </c>
      <c r="Q149" s="247" cm="1">
        <f t="array" ref="Q149">-SUMPRODUCT(
  desp[valor] *
  (desp[nucleo]=$B149) *
  (desp[centro.negocio]=$B$143) *
  (desp[data.pagamento]&gt;=Q$1) *
  (desp[data.pagamento]&lt;EOMONTH(Q$1,0)+1)
)</f>
        <v>0</v>
      </c>
      <c r="R149" s="247" cm="1">
        <f t="array" ref="R149">-SUMPRODUCT(
  desp[valor] *
  (desp[nucleo]=$B149) *
  (desp[centro.negocio]=$B$143) *
  (desp[data.pagamento]&gt;=R$1) *
  (desp[data.pagamento]&lt;EOMONTH(R$1,0)+1)
)</f>
        <v>0</v>
      </c>
      <c r="T149" s="239">
        <f t="shared" si="45"/>
        <v>0</v>
      </c>
    </row>
    <row r="150" spans="1:20" outlineLevel="2" x14ac:dyDescent="0.25">
      <c r="A150" s="246" t="s">
        <v>686</v>
      </c>
      <c r="B150" s="246" t="s">
        <v>546</v>
      </c>
      <c r="C150" s="193" t="s">
        <v>522</v>
      </c>
      <c r="D150" s="247" cm="1">
        <f t="array" ref="D150">-SUMPRODUCT(
  desp[valor] *
  (desp[nucleo]=$B150) *
  (desp[centro.negocio]=$B$143) *
  (desp[data.pagamento]&gt;=D$1) *
  (desp[data.pagamento]&lt;EOMONTH(D$1,0)+1)
)</f>
        <v>0</v>
      </c>
      <c r="E150" s="247" cm="1">
        <f t="array" ref="E150">-SUMPRODUCT(
  desp[valor] *
  (desp[nucleo]=$B150) *
  (desp[centro.negocio]=$B$143) *
  (desp[data.pagamento]&gt;=E$1) *
  (desp[data.pagamento]&lt;EOMONTH(E$1,0)+1)
)</f>
        <v>0</v>
      </c>
      <c r="F150" s="247" cm="1">
        <f t="array" ref="F150">-SUMPRODUCT(
  desp[valor] *
  (desp[nucleo]=$B150) *
  (desp[centro.negocio]=$B$143) *
  (desp[data.pagamento]&gt;=F$1) *
  (desp[data.pagamento]&lt;EOMONTH(F$1,0)+1)
)</f>
        <v>0</v>
      </c>
      <c r="G150" s="247" cm="1">
        <f t="array" ref="G150">-SUMPRODUCT(
  desp[valor] *
  (desp[nucleo]=$B150) *
  (desp[centro.negocio]=$B$143) *
  (desp[data.pagamento]&gt;=G$1) *
  (desp[data.pagamento]&lt;EOMONTH(G$1,0)+1)
)</f>
        <v>0</v>
      </c>
      <c r="H150" s="247" cm="1">
        <f t="array" ref="H150">-SUMPRODUCT(
  desp[valor] *
  (desp[nucleo]=$B150) *
  (desp[centro.negocio]=$B$143) *
  (desp[data.pagamento]&gt;=H$1) *
  (desp[data.pagamento]&lt;EOMONTH(H$1,0)+1)
)</f>
        <v>0</v>
      </c>
      <c r="I150" s="247" cm="1">
        <f t="array" ref="I150">-SUMPRODUCT(
  desp[valor] *
  (desp[nucleo]=$B150) *
  (desp[centro.negocio]=$B$143) *
  (desp[data.pagamento]&gt;=I$1) *
  (desp[data.pagamento]&lt;EOMONTH(I$1,0)+1)
)</f>
        <v>0</v>
      </c>
      <c r="J150" s="247" cm="1">
        <f t="array" ref="J150">-SUMPRODUCT(
  desp[valor] *
  (desp[nucleo]=$B150) *
  (desp[centro.negocio]=$B$143) *
  (desp[data.pagamento]&gt;=J$1) *
  (desp[data.pagamento]&lt;EOMONTH(J$1,0)+1)
)</f>
        <v>0</v>
      </c>
      <c r="K150" s="247" cm="1">
        <f t="array" ref="K150">-SUMPRODUCT(
  desp[valor] *
  (desp[nucleo]=$B150) *
  (desp[centro.negocio]=$B$143) *
  (desp[data.pagamento]&gt;=K$1) *
  (desp[data.pagamento]&lt;EOMONTH(K$1,0)+1)
)</f>
        <v>0</v>
      </c>
      <c r="L150" s="247" cm="1">
        <f t="array" ref="L150">-SUMPRODUCT(
  desp[valor] *
  (desp[nucleo]=$B150) *
  (desp[centro.negocio]=$B$143) *
  (desp[data.pagamento]&gt;=L$1) *
  (desp[data.pagamento]&lt;EOMONTH(L$1,0)+1)
)</f>
        <v>0</v>
      </c>
      <c r="M150" s="247" cm="1">
        <f t="array" ref="M150">-SUMPRODUCT(
  desp[valor] *
  (desp[nucleo]=$B150) *
  (desp[centro.negocio]=$B$143) *
  (desp[data.pagamento]&gt;=M$1) *
  (desp[data.pagamento]&lt;EOMONTH(M$1,0)+1)
)</f>
        <v>0</v>
      </c>
      <c r="N150" s="247" cm="1">
        <f t="array" ref="N150">-SUMPRODUCT(
  desp[valor] *
  (desp[nucleo]=$B150) *
  (desp[centro.negocio]=$B$143) *
  (desp[data.pagamento]&gt;=N$1) *
  (desp[data.pagamento]&lt;EOMONTH(N$1,0)+1)
)</f>
        <v>0</v>
      </c>
      <c r="O150" s="247" cm="1">
        <f t="array" ref="O150">-SUMPRODUCT(
  desp[valor] *
  (desp[nucleo]=$B150) *
  (desp[centro.negocio]=$B$143) *
  (desp[data.pagamento]&gt;=O$1) *
  (desp[data.pagamento]&lt;EOMONTH(O$1,0)+1)
)</f>
        <v>0</v>
      </c>
      <c r="P150" s="247" cm="1">
        <f t="array" ref="P150">-SUMPRODUCT(
  desp[valor] *
  (desp[nucleo]=$B150) *
  (desp[centro.negocio]=$B$143) *
  (desp[data.pagamento]&gt;=P$1) *
  (desp[data.pagamento]&lt;EOMONTH(P$1,0)+1)
)</f>
        <v>0</v>
      </c>
      <c r="Q150" s="247" cm="1">
        <f t="array" ref="Q150">-SUMPRODUCT(
  desp[valor] *
  (desp[nucleo]=$B150) *
  (desp[centro.negocio]=$B$143) *
  (desp[data.pagamento]&gt;=Q$1) *
  (desp[data.pagamento]&lt;EOMONTH(Q$1,0)+1)
)</f>
        <v>0</v>
      </c>
      <c r="R150" s="247" cm="1">
        <f t="array" ref="R150">-SUMPRODUCT(
  desp[valor] *
  (desp[nucleo]=$B150) *
  (desp[centro.negocio]=$B$143) *
  (desp[data.pagamento]&gt;=R$1) *
  (desp[data.pagamento]&lt;EOMONTH(R$1,0)+1)
)</f>
        <v>0</v>
      </c>
      <c r="T150" s="239">
        <f t="shared" si="45"/>
        <v>0</v>
      </c>
    </row>
    <row r="151" spans="1:20" outlineLevel="2" x14ac:dyDescent="0.25">
      <c r="A151" s="246" t="s">
        <v>687</v>
      </c>
      <c r="B151" s="246" t="s">
        <v>650</v>
      </c>
      <c r="C151" s="193" t="s">
        <v>522</v>
      </c>
      <c r="D151" s="247" cm="1">
        <f t="array" ref="D151">-SUMPRODUCT(
  desp[valor] *
  (desp[nucleo]=$B151) *
  (desp[centro.negocio]=$B$143) *
  (desp[data.pagamento]&gt;=D$1) *
  (desp[data.pagamento]&lt;EOMONTH(D$1,0)+1)
)</f>
        <v>0</v>
      </c>
      <c r="E151" s="247" cm="1">
        <f t="array" ref="E151">-SUMPRODUCT(
  desp[valor] *
  (desp[nucleo]=$B151) *
  (desp[centro.negocio]=$B$143) *
  (desp[data.pagamento]&gt;=E$1) *
  (desp[data.pagamento]&lt;EOMONTH(E$1,0)+1)
)</f>
        <v>0</v>
      </c>
      <c r="F151" s="247" cm="1">
        <f t="array" ref="F151">-SUMPRODUCT(
  desp[valor] *
  (desp[nucleo]=$B151) *
  (desp[centro.negocio]=$B$143) *
  (desp[data.pagamento]&gt;=F$1) *
  (desp[data.pagamento]&lt;EOMONTH(F$1,0)+1)
)</f>
        <v>0</v>
      </c>
      <c r="G151" s="247" cm="1">
        <f t="array" ref="G151">-SUMPRODUCT(
  desp[valor] *
  (desp[nucleo]=$B151) *
  (desp[centro.negocio]=$B$143) *
  (desp[data.pagamento]&gt;=G$1) *
  (desp[data.pagamento]&lt;EOMONTH(G$1,0)+1)
)</f>
        <v>0</v>
      </c>
      <c r="H151" s="247" cm="1">
        <f t="array" ref="H151">-SUMPRODUCT(
  desp[valor] *
  (desp[nucleo]=$B151) *
  (desp[centro.negocio]=$B$143) *
  (desp[data.pagamento]&gt;=H$1) *
  (desp[data.pagamento]&lt;EOMONTH(H$1,0)+1)
)</f>
        <v>0</v>
      </c>
      <c r="I151" s="247" cm="1">
        <f t="array" ref="I151">-SUMPRODUCT(
  desp[valor] *
  (desp[nucleo]=$B151) *
  (desp[centro.negocio]=$B$143) *
  (desp[data.pagamento]&gt;=I$1) *
  (desp[data.pagamento]&lt;EOMONTH(I$1,0)+1)
)</f>
        <v>0</v>
      </c>
      <c r="J151" s="247" cm="1">
        <f t="array" ref="J151">-SUMPRODUCT(
  desp[valor] *
  (desp[nucleo]=$B151) *
  (desp[centro.negocio]=$B$143) *
  (desp[data.pagamento]&gt;=J$1) *
  (desp[data.pagamento]&lt;EOMONTH(J$1,0)+1)
)</f>
        <v>0</v>
      </c>
      <c r="K151" s="247" cm="1">
        <f t="array" ref="K151">-SUMPRODUCT(
  desp[valor] *
  (desp[nucleo]=$B151) *
  (desp[centro.negocio]=$B$143) *
  (desp[data.pagamento]&gt;=K$1) *
  (desp[data.pagamento]&lt;EOMONTH(K$1,0)+1)
)</f>
        <v>0</v>
      </c>
      <c r="L151" s="247" cm="1">
        <f t="array" ref="L151">-SUMPRODUCT(
  desp[valor] *
  (desp[nucleo]=$B151) *
  (desp[centro.negocio]=$B$143) *
  (desp[data.pagamento]&gt;=L$1) *
  (desp[data.pagamento]&lt;EOMONTH(L$1,0)+1)
)</f>
        <v>0</v>
      </c>
      <c r="M151" s="247" cm="1">
        <f t="array" ref="M151">-SUMPRODUCT(
  desp[valor] *
  (desp[nucleo]=$B151) *
  (desp[centro.negocio]=$B$143) *
  (desp[data.pagamento]&gt;=M$1) *
  (desp[data.pagamento]&lt;EOMONTH(M$1,0)+1)
)</f>
        <v>0</v>
      </c>
      <c r="N151" s="247" cm="1">
        <f t="array" ref="N151">-SUMPRODUCT(
  desp[valor] *
  (desp[nucleo]=$B151) *
  (desp[centro.negocio]=$B$143) *
  (desp[data.pagamento]&gt;=N$1) *
  (desp[data.pagamento]&lt;EOMONTH(N$1,0)+1)
)</f>
        <v>0</v>
      </c>
      <c r="O151" s="247" cm="1">
        <f t="array" ref="O151">-SUMPRODUCT(
  desp[valor] *
  (desp[nucleo]=$B151) *
  (desp[centro.negocio]=$B$143) *
  (desp[data.pagamento]&gt;=O$1) *
  (desp[data.pagamento]&lt;EOMONTH(O$1,0)+1)
)</f>
        <v>0</v>
      </c>
      <c r="P151" s="247" cm="1">
        <f t="array" ref="P151">-SUMPRODUCT(
  desp[valor] *
  (desp[nucleo]=$B151) *
  (desp[centro.negocio]=$B$143) *
  (desp[data.pagamento]&gt;=P$1) *
  (desp[data.pagamento]&lt;EOMONTH(P$1,0)+1)
)</f>
        <v>0</v>
      </c>
      <c r="Q151" s="247" cm="1">
        <f t="array" ref="Q151">-SUMPRODUCT(
  desp[valor] *
  (desp[nucleo]=$B151) *
  (desp[centro.negocio]=$B$143) *
  (desp[data.pagamento]&gt;=Q$1) *
  (desp[data.pagamento]&lt;EOMONTH(Q$1,0)+1)
)</f>
        <v>0</v>
      </c>
      <c r="R151" s="247" cm="1">
        <f t="array" ref="R151">-SUMPRODUCT(
  desp[valor] *
  (desp[nucleo]=$B151) *
  (desp[centro.negocio]=$B$143) *
  (desp[data.pagamento]&gt;=R$1) *
  (desp[data.pagamento]&lt;EOMONTH(R$1,0)+1)
)</f>
        <v>0</v>
      </c>
      <c r="T151" s="239">
        <f t="shared" si="45"/>
        <v>0</v>
      </c>
    </row>
    <row r="152" spans="1:20" outlineLevel="2" x14ac:dyDescent="0.25">
      <c r="A152" s="246" t="s">
        <v>688</v>
      </c>
      <c r="B152" s="246" t="s">
        <v>550</v>
      </c>
      <c r="C152" s="193" t="s">
        <v>522</v>
      </c>
      <c r="D152" s="247" cm="1">
        <f t="array" ref="D152">-SUMPRODUCT(
  desp[valor] *
  (desp[nucleo]=$B152) *
  (desp[centro.negocio]=$B$143) *
  (desp[data.pagamento]&gt;=D$1) *
  (desp[data.pagamento]&lt;EOMONTH(D$1,0)+1)
)</f>
        <v>0</v>
      </c>
      <c r="E152" s="247" cm="1">
        <f t="array" ref="E152">-SUMPRODUCT(
  desp[valor] *
  (desp[nucleo]=$B152) *
  (desp[centro.negocio]=$B$143) *
  (desp[data.pagamento]&gt;=E$1) *
  (desp[data.pagamento]&lt;EOMONTH(E$1,0)+1)
)</f>
        <v>0</v>
      </c>
      <c r="F152" s="247" cm="1">
        <f t="array" ref="F152">-SUMPRODUCT(
  desp[valor] *
  (desp[nucleo]=$B152) *
  (desp[centro.negocio]=$B$143) *
  (desp[data.pagamento]&gt;=F$1) *
  (desp[data.pagamento]&lt;EOMONTH(F$1,0)+1)
)</f>
        <v>0</v>
      </c>
      <c r="G152" s="247" cm="1">
        <f t="array" ref="G152">-SUMPRODUCT(
  desp[valor] *
  (desp[nucleo]=$B152) *
  (desp[centro.negocio]=$B$143) *
  (desp[data.pagamento]&gt;=G$1) *
  (desp[data.pagamento]&lt;EOMONTH(G$1,0)+1)
)</f>
        <v>0</v>
      </c>
      <c r="H152" s="247" cm="1">
        <f t="array" ref="H152">-SUMPRODUCT(
  desp[valor] *
  (desp[nucleo]=$B152) *
  (desp[centro.negocio]=$B$143) *
  (desp[data.pagamento]&gt;=H$1) *
  (desp[data.pagamento]&lt;EOMONTH(H$1,0)+1)
)</f>
        <v>0</v>
      </c>
      <c r="I152" s="247" cm="1">
        <f t="array" ref="I152">-SUMPRODUCT(
  desp[valor] *
  (desp[nucleo]=$B152) *
  (desp[centro.negocio]=$B$143) *
  (desp[data.pagamento]&gt;=I$1) *
  (desp[data.pagamento]&lt;EOMONTH(I$1,0)+1)
)</f>
        <v>0</v>
      </c>
      <c r="J152" s="247" cm="1">
        <f t="array" ref="J152">-SUMPRODUCT(
  desp[valor] *
  (desp[nucleo]=$B152) *
  (desp[centro.negocio]=$B$143) *
  (desp[data.pagamento]&gt;=J$1) *
  (desp[data.pagamento]&lt;EOMONTH(J$1,0)+1)
)</f>
        <v>0</v>
      </c>
      <c r="K152" s="247" cm="1">
        <f t="array" ref="K152">-SUMPRODUCT(
  desp[valor] *
  (desp[nucleo]=$B152) *
  (desp[centro.negocio]=$B$143) *
  (desp[data.pagamento]&gt;=K$1) *
  (desp[data.pagamento]&lt;EOMONTH(K$1,0)+1)
)</f>
        <v>0</v>
      </c>
      <c r="L152" s="247" cm="1">
        <f t="array" ref="L152">-SUMPRODUCT(
  desp[valor] *
  (desp[nucleo]=$B152) *
  (desp[centro.negocio]=$B$143) *
  (desp[data.pagamento]&gt;=L$1) *
  (desp[data.pagamento]&lt;EOMONTH(L$1,0)+1)
)</f>
        <v>0</v>
      </c>
      <c r="M152" s="247" cm="1">
        <f t="array" ref="M152">-SUMPRODUCT(
  desp[valor] *
  (desp[nucleo]=$B152) *
  (desp[centro.negocio]=$B$143) *
  (desp[data.pagamento]&gt;=M$1) *
  (desp[data.pagamento]&lt;EOMONTH(M$1,0)+1)
)</f>
        <v>0</v>
      </c>
      <c r="N152" s="247" cm="1">
        <f t="array" ref="N152">-SUMPRODUCT(
  desp[valor] *
  (desp[nucleo]=$B152) *
  (desp[centro.negocio]=$B$143) *
  (desp[data.pagamento]&gt;=N$1) *
  (desp[data.pagamento]&lt;EOMONTH(N$1,0)+1)
)</f>
        <v>0</v>
      </c>
      <c r="O152" s="247" cm="1">
        <f t="array" ref="O152">-SUMPRODUCT(
  desp[valor] *
  (desp[nucleo]=$B152) *
  (desp[centro.negocio]=$B$143) *
  (desp[data.pagamento]&gt;=O$1) *
  (desp[data.pagamento]&lt;EOMONTH(O$1,0)+1)
)</f>
        <v>0</v>
      </c>
      <c r="P152" s="247" cm="1">
        <f t="array" ref="P152">-SUMPRODUCT(
  desp[valor] *
  (desp[nucleo]=$B152) *
  (desp[centro.negocio]=$B$143) *
  (desp[data.pagamento]&gt;=P$1) *
  (desp[data.pagamento]&lt;EOMONTH(P$1,0)+1)
)</f>
        <v>0</v>
      </c>
      <c r="Q152" s="247" cm="1">
        <f t="array" ref="Q152">-SUMPRODUCT(
  desp[valor] *
  (desp[nucleo]=$B152) *
  (desp[centro.negocio]=$B$143) *
  (desp[data.pagamento]&gt;=Q$1) *
  (desp[data.pagamento]&lt;EOMONTH(Q$1,0)+1)
)</f>
        <v>0</v>
      </c>
      <c r="R152" s="247" cm="1">
        <f t="array" ref="R152">-SUMPRODUCT(
  desp[valor] *
  (desp[nucleo]=$B152) *
  (desp[centro.negocio]=$B$143) *
  (desp[data.pagamento]&gt;=R$1) *
  (desp[data.pagamento]&lt;EOMONTH(R$1,0)+1)
)</f>
        <v>0</v>
      </c>
      <c r="T152" s="239">
        <f t="shared" si="45"/>
        <v>0</v>
      </c>
    </row>
    <row r="153" spans="1:20" outlineLevel="2" x14ac:dyDescent="0.25">
      <c r="A153" s="246" t="s">
        <v>689</v>
      </c>
      <c r="B153" s="246" t="s">
        <v>579</v>
      </c>
      <c r="C153" s="193" t="s">
        <v>522</v>
      </c>
      <c r="D153" s="247" cm="1">
        <f t="array" ref="D153">-SUMPRODUCT(
  desp[valor] *
  (desp[nucleo]=$B153) *
  (desp[centro.negocio]=$B$143) *
  (desp[data.pagamento]&gt;=D$1) *
  (desp[data.pagamento]&lt;EOMONTH(D$1,0)+1)
)</f>
        <v>0</v>
      </c>
      <c r="E153" s="247" cm="1">
        <f t="array" ref="E153">-SUMPRODUCT(
  desp[valor] *
  (desp[nucleo]=$B153) *
  (desp[centro.negocio]=$B$143) *
  (desp[data.pagamento]&gt;=E$1) *
  (desp[data.pagamento]&lt;EOMONTH(E$1,0)+1)
)</f>
        <v>0</v>
      </c>
      <c r="F153" s="247" cm="1">
        <f t="array" ref="F153">-SUMPRODUCT(
  desp[valor] *
  (desp[nucleo]=$B153) *
  (desp[centro.negocio]=$B$143) *
  (desp[data.pagamento]&gt;=F$1) *
  (desp[data.pagamento]&lt;EOMONTH(F$1,0)+1)
)</f>
        <v>0</v>
      </c>
      <c r="G153" s="247" cm="1">
        <f t="array" ref="G153">-SUMPRODUCT(
  desp[valor] *
  (desp[nucleo]=$B153) *
  (desp[centro.negocio]=$B$143) *
  (desp[data.pagamento]&gt;=G$1) *
  (desp[data.pagamento]&lt;EOMONTH(G$1,0)+1)
)</f>
        <v>0</v>
      </c>
      <c r="H153" s="247" cm="1">
        <f t="array" ref="H153">-SUMPRODUCT(
  desp[valor] *
  (desp[nucleo]=$B153) *
  (desp[centro.negocio]=$B$143) *
  (desp[data.pagamento]&gt;=H$1) *
  (desp[data.pagamento]&lt;EOMONTH(H$1,0)+1)
)</f>
        <v>0</v>
      </c>
      <c r="I153" s="247" cm="1">
        <f t="array" ref="I153">-SUMPRODUCT(
  desp[valor] *
  (desp[nucleo]=$B153) *
  (desp[centro.negocio]=$B$143) *
  (desp[data.pagamento]&gt;=I$1) *
  (desp[data.pagamento]&lt;EOMONTH(I$1,0)+1)
)</f>
        <v>0</v>
      </c>
      <c r="J153" s="247" cm="1">
        <f t="array" ref="J153">-SUMPRODUCT(
  desp[valor] *
  (desp[nucleo]=$B153) *
  (desp[centro.negocio]=$B$143) *
  (desp[data.pagamento]&gt;=J$1) *
  (desp[data.pagamento]&lt;EOMONTH(J$1,0)+1)
)</f>
        <v>0</v>
      </c>
      <c r="K153" s="247" cm="1">
        <f t="array" ref="K153">-SUMPRODUCT(
  desp[valor] *
  (desp[nucleo]=$B153) *
  (desp[centro.negocio]=$B$143) *
  (desp[data.pagamento]&gt;=K$1) *
  (desp[data.pagamento]&lt;EOMONTH(K$1,0)+1)
)</f>
        <v>0</v>
      </c>
      <c r="L153" s="247" cm="1">
        <f t="array" ref="L153">-SUMPRODUCT(
  desp[valor] *
  (desp[nucleo]=$B153) *
  (desp[centro.negocio]=$B$143) *
  (desp[data.pagamento]&gt;=L$1) *
  (desp[data.pagamento]&lt;EOMONTH(L$1,0)+1)
)</f>
        <v>0</v>
      </c>
      <c r="M153" s="247" cm="1">
        <f t="array" ref="M153">-SUMPRODUCT(
  desp[valor] *
  (desp[nucleo]=$B153) *
  (desp[centro.negocio]=$B$143) *
  (desp[data.pagamento]&gt;=M$1) *
  (desp[data.pagamento]&lt;EOMONTH(M$1,0)+1)
)</f>
        <v>0</v>
      </c>
      <c r="N153" s="247" cm="1">
        <f t="array" ref="N153">-SUMPRODUCT(
  desp[valor] *
  (desp[nucleo]=$B153) *
  (desp[centro.negocio]=$B$143) *
  (desp[data.pagamento]&gt;=N$1) *
  (desp[data.pagamento]&lt;EOMONTH(N$1,0)+1)
)</f>
        <v>0</v>
      </c>
      <c r="O153" s="247" cm="1">
        <f t="array" ref="O153">-SUMPRODUCT(
  desp[valor] *
  (desp[nucleo]=$B153) *
  (desp[centro.negocio]=$B$143) *
  (desp[data.pagamento]&gt;=O$1) *
  (desp[data.pagamento]&lt;EOMONTH(O$1,0)+1)
)</f>
        <v>0</v>
      </c>
      <c r="P153" s="247" cm="1">
        <f t="array" ref="P153">-SUMPRODUCT(
  desp[valor] *
  (desp[nucleo]=$B153) *
  (desp[centro.negocio]=$B$143) *
  (desp[data.pagamento]&gt;=P$1) *
  (desp[data.pagamento]&lt;EOMONTH(P$1,0)+1)
)</f>
        <v>0</v>
      </c>
      <c r="Q153" s="247" cm="1">
        <f t="array" ref="Q153">-SUMPRODUCT(
  desp[valor] *
  (desp[nucleo]=$B153) *
  (desp[centro.negocio]=$B$143) *
  (desp[data.pagamento]&gt;=Q$1) *
  (desp[data.pagamento]&lt;EOMONTH(Q$1,0)+1)
)</f>
        <v>0</v>
      </c>
      <c r="R153" s="247" cm="1">
        <f t="array" ref="R153">-SUMPRODUCT(
  desp[valor] *
  (desp[nucleo]=$B153) *
  (desp[centro.negocio]=$B$143) *
  (desp[data.pagamento]&gt;=R$1) *
  (desp[data.pagamento]&lt;EOMONTH(R$1,0)+1)
)</f>
        <v>0</v>
      </c>
      <c r="T153" s="239">
        <f t="shared" si="45"/>
        <v>0</v>
      </c>
    </row>
    <row r="154" spans="1:20" outlineLevel="1" x14ac:dyDescent="0.25">
      <c r="A154" s="243" t="s">
        <v>690</v>
      </c>
      <c r="B154" s="243" t="s">
        <v>378</v>
      </c>
      <c r="C154" s="244" t="s">
        <v>522</v>
      </c>
      <c r="D154" s="245">
        <f>SUM(D$155:D$156)</f>
        <v>0</v>
      </c>
      <c r="E154" s="245">
        <f t="shared" ref="E154:R154" si="51">SUM(E$155:E$156)</f>
        <v>0</v>
      </c>
      <c r="F154" s="245">
        <f t="shared" si="51"/>
        <v>0</v>
      </c>
      <c r="G154" s="245">
        <f t="shared" si="51"/>
        <v>0</v>
      </c>
      <c r="H154" s="245">
        <f t="shared" si="51"/>
        <v>0</v>
      </c>
      <c r="I154" s="245">
        <f t="shared" si="51"/>
        <v>0</v>
      </c>
      <c r="J154" s="245">
        <f t="shared" si="51"/>
        <v>0</v>
      </c>
      <c r="K154" s="245">
        <f t="shared" si="51"/>
        <v>0</v>
      </c>
      <c r="L154" s="245">
        <f t="shared" si="51"/>
        <v>0</v>
      </c>
      <c r="M154" s="245">
        <f t="shared" si="51"/>
        <v>0</v>
      </c>
      <c r="N154" s="245">
        <f t="shared" si="51"/>
        <v>0</v>
      </c>
      <c r="O154" s="245">
        <f t="shared" si="51"/>
        <v>0</v>
      </c>
      <c r="P154" s="245">
        <f t="shared" si="51"/>
        <v>0</v>
      </c>
      <c r="Q154" s="245">
        <f t="shared" si="51"/>
        <v>0</v>
      </c>
      <c r="R154" s="245">
        <f t="shared" si="51"/>
        <v>0</v>
      </c>
      <c r="T154" s="239">
        <f t="shared" si="45"/>
        <v>0</v>
      </c>
    </row>
    <row r="155" spans="1:20" outlineLevel="2" x14ac:dyDescent="0.25">
      <c r="A155" s="246" t="s">
        <v>691</v>
      </c>
      <c r="B155" s="246" t="s">
        <v>641</v>
      </c>
      <c r="C155" s="193" t="s">
        <v>522</v>
      </c>
      <c r="D155" s="247" cm="1">
        <f t="array" ref="D155">-SUMPRODUCT(
  desp[valor] *
  (desp[nucleo]=$B155) *
  (desp[centro.negocio]=$B$154) *
  (desp[data.pagamento]&gt;=D$1) *
  (desp[data.pagamento]&lt;EOMONTH(D$1,0)+1)
)</f>
        <v>0</v>
      </c>
      <c r="E155" s="247" cm="1">
        <f t="array" ref="E155">-SUMPRODUCT(
  desp[valor] *
  (desp[nucleo]=$B155) *
  (desp[centro.negocio]=$B$154) *
  (desp[data.pagamento]&gt;=E$1) *
  (desp[data.pagamento]&lt;EOMONTH(E$1,0)+1)
)</f>
        <v>0</v>
      </c>
      <c r="F155" s="247" cm="1">
        <f t="array" ref="F155">-SUMPRODUCT(
  desp[valor] *
  (desp[nucleo]=$B155) *
  (desp[centro.negocio]=$B$154) *
  (desp[data.pagamento]&gt;=F$1) *
  (desp[data.pagamento]&lt;EOMONTH(F$1,0)+1)
)</f>
        <v>0</v>
      </c>
      <c r="G155" s="247" cm="1">
        <f t="array" ref="G155">-SUMPRODUCT(
  desp[valor] *
  (desp[nucleo]=$B155) *
  (desp[centro.negocio]=$B$154) *
  (desp[data.pagamento]&gt;=G$1) *
  (desp[data.pagamento]&lt;EOMONTH(G$1,0)+1)
)</f>
        <v>0</v>
      </c>
      <c r="H155" s="247" cm="1">
        <f t="array" ref="H155">-SUMPRODUCT(
  desp[valor] *
  (desp[nucleo]=$B155) *
  (desp[centro.negocio]=$B$154) *
  (desp[data.pagamento]&gt;=H$1) *
  (desp[data.pagamento]&lt;EOMONTH(H$1,0)+1)
)</f>
        <v>0</v>
      </c>
      <c r="I155" s="247" cm="1">
        <f t="array" ref="I155">-SUMPRODUCT(
  desp[valor] *
  (desp[nucleo]=$B155) *
  (desp[centro.negocio]=$B$154) *
  (desp[data.pagamento]&gt;=I$1) *
  (desp[data.pagamento]&lt;EOMONTH(I$1,0)+1)
)</f>
        <v>0</v>
      </c>
      <c r="J155" s="247" cm="1">
        <f t="array" ref="J155">-SUMPRODUCT(
  desp[valor] *
  (desp[nucleo]=$B155) *
  (desp[centro.negocio]=$B$154) *
  (desp[data.pagamento]&gt;=J$1) *
  (desp[data.pagamento]&lt;EOMONTH(J$1,0)+1)
)</f>
        <v>0</v>
      </c>
      <c r="K155" s="247" cm="1">
        <f t="array" ref="K155">-SUMPRODUCT(
  desp[valor] *
  (desp[nucleo]=$B155) *
  (desp[centro.negocio]=$B$154) *
  (desp[data.pagamento]&gt;=K$1) *
  (desp[data.pagamento]&lt;EOMONTH(K$1,0)+1)
)</f>
        <v>0</v>
      </c>
      <c r="L155" s="247" cm="1">
        <f t="array" ref="L155">-SUMPRODUCT(
  desp[valor] *
  (desp[nucleo]=$B155) *
  (desp[centro.negocio]=$B$154) *
  (desp[data.pagamento]&gt;=L$1) *
  (desp[data.pagamento]&lt;EOMONTH(L$1,0)+1)
)</f>
        <v>0</v>
      </c>
      <c r="M155" s="247" cm="1">
        <f t="array" ref="M155">-SUMPRODUCT(
  desp[valor] *
  (desp[nucleo]=$B155) *
  (desp[centro.negocio]=$B$154) *
  (desp[data.pagamento]&gt;=M$1) *
  (desp[data.pagamento]&lt;EOMONTH(M$1,0)+1)
)</f>
        <v>0</v>
      </c>
      <c r="N155" s="247" cm="1">
        <f t="array" ref="N155">-SUMPRODUCT(
  desp[valor] *
  (desp[nucleo]=$B155) *
  (desp[centro.negocio]=$B$154) *
  (desp[data.pagamento]&gt;=N$1) *
  (desp[data.pagamento]&lt;EOMONTH(N$1,0)+1)
)</f>
        <v>0</v>
      </c>
      <c r="O155" s="247" cm="1">
        <f t="array" ref="O155">-SUMPRODUCT(
  desp[valor] *
  (desp[nucleo]=$B155) *
  (desp[centro.negocio]=$B$154) *
  (desp[data.pagamento]&gt;=O$1) *
  (desp[data.pagamento]&lt;EOMONTH(O$1,0)+1)
)</f>
        <v>0</v>
      </c>
      <c r="P155" s="247" cm="1">
        <f t="array" ref="P155">-SUMPRODUCT(
  desp[valor] *
  (desp[nucleo]=$B155) *
  (desp[centro.negocio]=$B$154) *
  (desp[data.pagamento]&gt;=P$1) *
  (desp[data.pagamento]&lt;EOMONTH(P$1,0)+1)
)</f>
        <v>0</v>
      </c>
      <c r="Q155" s="247" cm="1">
        <f t="array" ref="Q155">-SUMPRODUCT(
  desp[valor] *
  (desp[nucleo]=$B155) *
  (desp[centro.negocio]=$B$154) *
  (desp[data.pagamento]&gt;=Q$1) *
  (desp[data.pagamento]&lt;EOMONTH(Q$1,0)+1)
)</f>
        <v>0</v>
      </c>
      <c r="R155" s="247" cm="1">
        <f t="array" ref="R155">-SUMPRODUCT(
  desp[valor] *
  (desp[nucleo]=$B155) *
  (desp[centro.negocio]=$B$154) *
  (desp[data.pagamento]&gt;=R$1) *
  (desp[data.pagamento]&lt;EOMONTH(R$1,0)+1)
)</f>
        <v>0</v>
      </c>
      <c r="T155" s="239">
        <f t="shared" si="45"/>
        <v>0</v>
      </c>
    </row>
    <row r="156" spans="1:20" outlineLevel="2" x14ac:dyDescent="0.25">
      <c r="A156" s="246" t="s">
        <v>691</v>
      </c>
      <c r="B156" s="246" t="s">
        <v>554</v>
      </c>
      <c r="C156" s="193" t="s">
        <v>522</v>
      </c>
      <c r="D156" s="247" cm="1">
        <f t="array" ref="D156">-SUMPRODUCT(
  desp[valor] *
  (desp[nucleo]=$B156) *
  (desp[centro.negocio]=$B$154) *
  (desp[data.pagamento]&gt;=D$1) *
  (desp[data.pagamento]&lt;EOMONTH(D$1,0)+1)
)</f>
        <v>0</v>
      </c>
      <c r="E156" s="247" cm="1">
        <f t="array" ref="E156">-SUMPRODUCT(
  desp[valor] *
  (desp[nucleo]=$B156) *
  (desp[centro.negocio]=$B$154) *
  (desp[data.pagamento]&gt;=E$1) *
  (desp[data.pagamento]&lt;EOMONTH(E$1,0)+1)
)</f>
        <v>0</v>
      </c>
      <c r="F156" s="247" cm="1">
        <f t="array" ref="F156">-SUMPRODUCT(
  desp[valor] *
  (desp[nucleo]=$B156) *
  (desp[centro.negocio]=$B$154) *
  (desp[data.pagamento]&gt;=F$1) *
  (desp[data.pagamento]&lt;EOMONTH(F$1,0)+1)
)</f>
        <v>0</v>
      </c>
      <c r="G156" s="247" cm="1">
        <f t="array" ref="G156">-SUMPRODUCT(
  desp[valor] *
  (desp[nucleo]=$B156) *
  (desp[centro.negocio]=$B$154) *
  (desp[data.pagamento]&gt;=G$1) *
  (desp[data.pagamento]&lt;EOMONTH(G$1,0)+1)
)</f>
        <v>0</v>
      </c>
      <c r="H156" s="247" cm="1">
        <f t="array" ref="H156">-SUMPRODUCT(
  desp[valor] *
  (desp[nucleo]=$B156) *
  (desp[centro.negocio]=$B$154) *
  (desp[data.pagamento]&gt;=H$1) *
  (desp[data.pagamento]&lt;EOMONTH(H$1,0)+1)
)</f>
        <v>0</v>
      </c>
      <c r="I156" s="247" cm="1">
        <f t="array" ref="I156">-SUMPRODUCT(
  desp[valor] *
  (desp[nucleo]=$B156) *
  (desp[centro.negocio]=$B$154) *
  (desp[data.pagamento]&gt;=I$1) *
  (desp[data.pagamento]&lt;EOMONTH(I$1,0)+1)
)</f>
        <v>0</v>
      </c>
      <c r="J156" s="247" cm="1">
        <f t="array" ref="J156">-SUMPRODUCT(
  desp[valor] *
  (desp[nucleo]=$B156) *
  (desp[centro.negocio]=$B$154) *
  (desp[data.pagamento]&gt;=J$1) *
  (desp[data.pagamento]&lt;EOMONTH(J$1,0)+1)
)</f>
        <v>0</v>
      </c>
      <c r="K156" s="247" cm="1">
        <f t="array" ref="K156">-SUMPRODUCT(
  desp[valor] *
  (desp[nucleo]=$B156) *
  (desp[centro.negocio]=$B$154) *
  (desp[data.pagamento]&gt;=K$1) *
  (desp[data.pagamento]&lt;EOMONTH(K$1,0)+1)
)</f>
        <v>0</v>
      </c>
      <c r="L156" s="247" cm="1">
        <f t="array" ref="L156">-SUMPRODUCT(
  desp[valor] *
  (desp[nucleo]=$B156) *
  (desp[centro.negocio]=$B$154) *
  (desp[data.pagamento]&gt;=L$1) *
  (desp[data.pagamento]&lt;EOMONTH(L$1,0)+1)
)</f>
        <v>0</v>
      </c>
      <c r="M156" s="247" cm="1">
        <f t="array" ref="M156">-SUMPRODUCT(
  desp[valor] *
  (desp[nucleo]=$B156) *
  (desp[centro.negocio]=$B$154) *
  (desp[data.pagamento]&gt;=M$1) *
  (desp[data.pagamento]&lt;EOMONTH(M$1,0)+1)
)</f>
        <v>0</v>
      </c>
      <c r="N156" s="247" cm="1">
        <f t="array" ref="N156">-SUMPRODUCT(
  desp[valor] *
  (desp[nucleo]=$B156) *
  (desp[centro.negocio]=$B$154) *
  (desp[data.pagamento]&gt;=N$1) *
  (desp[data.pagamento]&lt;EOMONTH(N$1,0)+1)
)</f>
        <v>0</v>
      </c>
      <c r="O156" s="247" cm="1">
        <f t="array" ref="O156">-SUMPRODUCT(
  desp[valor] *
  (desp[nucleo]=$B156) *
  (desp[centro.negocio]=$B$154) *
  (desp[data.pagamento]&gt;=O$1) *
  (desp[data.pagamento]&lt;EOMONTH(O$1,0)+1)
)</f>
        <v>0</v>
      </c>
      <c r="P156" s="247" cm="1">
        <f t="array" ref="P156">-SUMPRODUCT(
  desp[valor] *
  (desp[nucleo]=$B156) *
  (desp[centro.negocio]=$B$154) *
  (desp[data.pagamento]&gt;=P$1) *
  (desp[data.pagamento]&lt;EOMONTH(P$1,0)+1)
)</f>
        <v>0</v>
      </c>
      <c r="Q156" s="247" cm="1">
        <f t="array" ref="Q156">-SUMPRODUCT(
  desp[valor] *
  (desp[nucleo]=$B156) *
  (desp[centro.negocio]=$B$154) *
  (desp[data.pagamento]&gt;=Q$1) *
  (desp[data.pagamento]&lt;EOMONTH(Q$1,0)+1)
)</f>
        <v>0</v>
      </c>
      <c r="R156" s="247" cm="1">
        <f t="array" ref="R156">-SUMPRODUCT(
  desp[valor] *
  (desp[nucleo]=$B156) *
  (desp[centro.negocio]=$B$154) *
  (desp[data.pagamento]&gt;=R$1) *
  (desp[data.pagamento]&lt;EOMONTH(R$1,0)+1)
)</f>
        <v>0</v>
      </c>
      <c r="T156" s="239">
        <f t="shared" si="45"/>
        <v>0</v>
      </c>
    </row>
    <row r="157" spans="1:20" outlineLevel="1" x14ac:dyDescent="0.25">
      <c r="A157" s="243" t="s">
        <v>692</v>
      </c>
      <c r="B157" s="243" t="s">
        <v>350</v>
      </c>
      <c r="C157" s="244" t="s">
        <v>522</v>
      </c>
      <c r="D157" s="245" cm="1">
        <f t="array" ref="D157">-SUMPRODUCT(
  desp[valor] *
  (desp[data.pagamento] &gt;= D$1) *
  (desp[data.pagamento] &lt; EOMONTH(D$1,0)+1) *
  --ISNA(MATCH(desp[centro.negocio], {"NF - Mão de Obra";"Operações Financeiras/juros";"Terreno"}, 0))
)-
SUM(D$32,D$43,D$51,D$64,D$66,D$70,D$72,D$74,D$76,D$81,D$94,D$120,D$134,D$139,D$141,D$143,D$154)</f>
        <v>0</v>
      </c>
      <c r="E157" s="245" cm="1">
        <f t="array" ref="E157">-SUMPRODUCT(
  desp[valor] *
  (desp[data.pagamento] &gt;= E$1) *
  (desp[data.pagamento] &lt; EOMONTH(E$1,0)+1) *
  --ISNA(MATCH(desp[centro.negocio], {"NF - Mão de Obra";"Operações Financeiras/juros";"Terreno"}, 0))
)-
SUM(E$32,E$43,E$51,E$64,E$66,E$70,E$72,E$74,E$76,E$81,E$94,E$120,E$134,E$139,E$141,E$143,E$154)</f>
        <v>0</v>
      </c>
      <c r="F157" s="245" cm="1">
        <f t="array" ref="F157">-SUMPRODUCT(
  desp[valor] *
  (desp[data.pagamento] &gt;= F$1) *
  (desp[data.pagamento] &lt; EOMONTH(F$1,0)+1) *
  --ISNA(MATCH(desp[centro.negocio], {"NF - Mão de Obra";"Operações Financeiras/juros";"Terreno"}, 0))
)-
SUM(F$32,F$43,F$51,F$64,F$66,F$70,F$72,F$74,F$76,F$81,F$94,F$120,F$134,F$139,F$141,F$143,F$154)</f>
        <v>0</v>
      </c>
      <c r="G157" s="245" cm="1">
        <f t="array" ref="G157">-SUMPRODUCT(
  desp[valor] *
  (desp[data.pagamento] &gt;= G$1) *
  (desp[data.pagamento] &lt; EOMONTH(G$1,0)+1) *
  --ISNA(MATCH(desp[centro.negocio], {"NF - Mão de Obra";"Operações Financeiras/juros";"Terreno"}, 0))
)-
SUM(G$32,G$43,G$51,G$64,G$66,G$70,G$72,G$74,G$76,G$81,G$94,G$120,G$134,G$139,G$141,G$143,G$154)</f>
        <v>0</v>
      </c>
      <c r="H157" s="245" cm="1">
        <f t="array" ref="H157">-SUMPRODUCT(
  desp[valor] *
  (desp[data.pagamento] &gt;= H$1) *
  (desp[data.pagamento] &lt; EOMONTH(H$1,0)+1) *
  --ISNA(MATCH(desp[centro.negocio], {"NF - Mão de Obra";"Operações Financeiras/juros";"Terreno"}, 0))
)-
SUM(H$32,H$43,H$51,H$64,H$66,H$70,H$72,H$74,H$76,H$81,H$94,H$120,H$134,H$139,H$141,H$143,H$154)</f>
        <v>0</v>
      </c>
      <c r="I157" s="245" cm="1">
        <f t="array" ref="I157">-SUMPRODUCT(
  desp[valor] *
  (desp[data.pagamento] &gt;= I$1) *
  (desp[data.pagamento] &lt; EOMONTH(I$1,0)+1) *
  --ISNA(MATCH(desp[centro.negocio], {"NF - Mão de Obra";"Operações Financeiras/juros";"Terreno"}, 0))
)-
SUM(I$32,I$43,I$51,I$64,I$66,I$70,I$72,I$74,I$76,I$81,I$94,I$120,I$134,I$139,I$141,I$143,I$154)</f>
        <v>0</v>
      </c>
      <c r="J157" s="245" cm="1">
        <f t="array" ref="J157">-SUMPRODUCT(
  desp[valor] *
  (desp[data.pagamento] &gt;= J$1) *
  (desp[data.pagamento] &lt; EOMONTH(J$1,0)+1) *
  --ISNA(MATCH(desp[centro.negocio], {"NF - Mão de Obra";"Operações Financeiras/juros";"Terreno"}, 0))
)-
SUM(J$32,J$43,J$51,J$64,J$66,J$70,J$72,J$74,J$76,J$81,J$94,J$120,J$134,J$139,J$141,J$143,J$154)</f>
        <v>0</v>
      </c>
      <c r="K157" s="245" cm="1">
        <f t="array" ref="K157">-SUMPRODUCT(
  desp[valor] *
  (desp[data.pagamento] &gt;= K$1) *
  (desp[data.pagamento] &lt; EOMONTH(K$1,0)+1) *
  --ISNA(MATCH(desp[centro.negocio], {"NF - Mão de Obra";"Operações Financeiras/juros";"Terreno"}, 0))
)-
SUM(K$32,K$43,K$51,K$64,K$66,K$70,K$72,K$74,K$76,K$81,K$94,K$120,K$134,K$139,K$141,K$143,K$154)</f>
        <v>0</v>
      </c>
      <c r="L157" s="245" cm="1">
        <f t="array" ref="L157">-SUMPRODUCT(
  desp[valor] *
  (desp[data.pagamento] &gt;= L$1) *
  (desp[data.pagamento] &lt; EOMONTH(L$1,0)+1) *
  --ISNA(MATCH(desp[centro.negocio], {"NF - Mão de Obra";"Operações Financeiras/juros";"Terreno"}, 0))
)-
SUM(L$32,L$43,L$51,L$64,L$66,L$70,L$72,L$74,L$76,L$81,L$94,L$120,L$134,L$139,L$141,L$143,L$154)</f>
        <v>0</v>
      </c>
      <c r="M157" s="245" cm="1">
        <f t="array" ref="M157">-SUMPRODUCT(
  desp[valor] *
  (desp[data.pagamento] &gt;= M$1) *
  (desp[data.pagamento] &lt; EOMONTH(M$1,0)+1) *
  --ISNA(MATCH(desp[centro.negocio], {"NF - Mão de Obra";"Operações Financeiras/juros";"Terreno"}, 0))
)-
SUM(M$32,M$43,M$51,M$64,M$66,M$70,M$72,M$74,M$76,M$81,M$94,M$120,M$134,M$139,M$141,M$143,M$154)</f>
        <v>0</v>
      </c>
      <c r="N157" s="245" cm="1">
        <f t="array" ref="N157">-SUMPRODUCT(
  desp[valor] *
  (desp[data.pagamento] &gt;= N$1) *
  (desp[data.pagamento] &lt; EOMONTH(N$1,0)+1) *
  --ISNA(MATCH(desp[centro.negocio], {"NF - Mão de Obra";"Operações Financeiras/juros";"Terreno"}, 0))
)-
SUM(N$32,N$43,N$51,N$64,N$66,N$70,N$72,N$74,N$76,N$81,N$94,N$120,N$134,N$139,N$141,N$143,N$154)</f>
        <v>0</v>
      </c>
      <c r="O157" s="245" cm="1">
        <f t="array" ref="O157">-SUMPRODUCT(
  desp[valor] *
  (desp[data.pagamento] &gt;= O$1) *
  (desp[data.pagamento] &lt; EOMONTH(O$1,0)+1) *
  --ISNA(MATCH(desp[centro.negocio], {"NF - Mão de Obra";"Operações Financeiras/juros";"Terreno"}, 0))
)-
SUM(O$32,O$43,O$51,O$64,O$66,O$70,O$72,O$74,O$76,O$81,O$94,O$120,O$134,O$139,O$141,O$143,O$154)</f>
        <v>0</v>
      </c>
      <c r="P157" s="245" cm="1">
        <f t="array" ref="P157">-SUMPRODUCT(
  desp[valor] *
  (desp[data.pagamento] &gt;= P$1) *
  (desp[data.pagamento] &lt; EOMONTH(P$1,0)+1) *
  --ISNA(MATCH(desp[centro.negocio], {"NF - Mão de Obra";"Operações Financeiras/juros";"Terreno"}, 0))
)-
SUM(P$32,P$43,P$51,P$64,P$66,P$70,P$72,P$74,P$76,P$81,P$94,P$120,P$134,P$139,P$141,P$143,P$154)</f>
        <v>0</v>
      </c>
      <c r="Q157" s="245" cm="1">
        <f t="array" ref="Q157">-SUMPRODUCT(
  desp[valor] *
  (desp[data.pagamento] &gt;= Q$1) *
  (desp[data.pagamento] &lt; EOMONTH(Q$1,0)+1) *
  --ISNA(MATCH(desp[centro.negocio], {"NF - Mão de Obra";"Operações Financeiras/juros";"Terreno"}, 0))
)-
SUM(Q$32,Q$43,Q$51,Q$64,Q$66,Q$70,Q$72,Q$74,Q$76,Q$81,Q$94,Q$120,Q$134,Q$139,Q$141,Q$143,Q$154)</f>
        <v>0</v>
      </c>
      <c r="R157" s="245" cm="1">
        <f t="array" ref="R157">-SUMPRODUCT(
  desp[valor] *
  (desp[data.pagamento] &gt;= R$1) *
  (desp[data.pagamento] &lt; EOMONTH(R$1,0)+1) *
  --ISNA(MATCH(desp[centro.negocio], {"NF - Mão de Obra";"Operações Financeiras/juros";"Terreno"}, 0))
)-
SUM(R$32,R$43,R$51,R$64,R$66,R$70,R$72,R$74,R$76,R$81,R$94,R$120,R$134,R$139,R$141,R$143,R$154)</f>
        <v>0</v>
      </c>
      <c r="T157" s="239">
        <f t="shared" si="45"/>
        <v>0</v>
      </c>
    </row>
    <row r="158" spans="1:20" x14ac:dyDescent="0.25">
      <c r="A158" s="236" t="s">
        <v>693</v>
      </c>
      <c r="B158" s="236" t="s">
        <v>694</v>
      </c>
      <c r="C158" s="237"/>
      <c r="D158" s="253">
        <f>D$159+D$162</f>
        <v>0</v>
      </c>
      <c r="E158" s="253">
        <f t="shared" ref="E158:R158" si="52">E$159+E$162</f>
        <v>0</v>
      </c>
      <c r="F158" s="253">
        <f t="shared" si="52"/>
        <v>0</v>
      </c>
      <c r="G158" s="253">
        <f t="shared" si="52"/>
        <v>0</v>
      </c>
      <c r="H158" s="253">
        <f t="shared" si="52"/>
        <v>0</v>
      </c>
      <c r="I158" s="253">
        <f t="shared" si="52"/>
        <v>0</v>
      </c>
      <c r="J158" s="253">
        <f t="shared" si="52"/>
        <v>0</v>
      </c>
      <c r="K158" s="253">
        <f t="shared" si="52"/>
        <v>0</v>
      </c>
      <c r="L158" s="253">
        <f t="shared" si="52"/>
        <v>0</v>
      </c>
      <c r="M158" s="253">
        <f t="shared" si="52"/>
        <v>0</v>
      </c>
      <c r="N158" s="253">
        <f t="shared" si="52"/>
        <v>0</v>
      </c>
      <c r="O158" s="253">
        <f t="shared" si="52"/>
        <v>0</v>
      </c>
      <c r="P158" s="253">
        <f t="shared" si="52"/>
        <v>0</v>
      </c>
      <c r="Q158" s="253">
        <f t="shared" si="52"/>
        <v>0</v>
      </c>
      <c r="R158" s="253">
        <f t="shared" si="52"/>
        <v>0</v>
      </c>
      <c r="T158" s="239">
        <f t="shared" si="45"/>
        <v>0</v>
      </c>
    </row>
    <row r="159" spans="1:20" x14ac:dyDescent="0.25">
      <c r="A159" s="240" t="s">
        <v>695</v>
      </c>
      <c r="B159" s="240" t="s">
        <v>696</v>
      </c>
      <c r="C159" s="241"/>
      <c r="D159" s="242">
        <f>SUM(D$160,D$161)</f>
        <v>0</v>
      </c>
      <c r="E159" s="242">
        <f t="shared" ref="E159:R159" si="53">SUM(E$160,E$161)</f>
        <v>0</v>
      </c>
      <c r="F159" s="242">
        <f t="shared" si="53"/>
        <v>0</v>
      </c>
      <c r="G159" s="242">
        <f t="shared" si="53"/>
        <v>0</v>
      </c>
      <c r="H159" s="242">
        <f t="shared" si="53"/>
        <v>0</v>
      </c>
      <c r="I159" s="242">
        <f t="shared" si="53"/>
        <v>0</v>
      </c>
      <c r="J159" s="242">
        <f t="shared" si="53"/>
        <v>0</v>
      </c>
      <c r="K159" s="242">
        <f t="shared" si="53"/>
        <v>0</v>
      </c>
      <c r="L159" s="242">
        <f t="shared" si="53"/>
        <v>0</v>
      </c>
      <c r="M159" s="242">
        <f t="shared" si="53"/>
        <v>0</v>
      </c>
      <c r="N159" s="242">
        <f t="shared" si="53"/>
        <v>0</v>
      </c>
      <c r="O159" s="242">
        <f t="shared" si="53"/>
        <v>0</v>
      </c>
      <c r="P159" s="242">
        <f t="shared" si="53"/>
        <v>0</v>
      </c>
      <c r="Q159" s="242">
        <f t="shared" si="53"/>
        <v>0</v>
      </c>
      <c r="R159" s="242">
        <f t="shared" si="53"/>
        <v>0</v>
      </c>
      <c r="T159" s="239">
        <f t="shared" si="45"/>
        <v>0</v>
      </c>
    </row>
    <row r="160" spans="1:20" outlineLevel="1" collapsed="1" x14ac:dyDescent="0.25">
      <c r="A160" s="243" t="s">
        <v>697</v>
      </c>
      <c r="B160" s="254" t="s">
        <v>698</v>
      </c>
      <c r="C160" s="193"/>
      <c r="D160" s="247"/>
      <c r="E160" s="247"/>
      <c r="F160" s="247"/>
      <c r="G160" s="247"/>
      <c r="H160" s="247"/>
      <c r="I160" s="247"/>
      <c r="J160" s="247"/>
      <c r="K160" s="247"/>
      <c r="L160" s="247"/>
      <c r="M160" s="247"/>
      <c r="N160" s="247"/>
      <c r="O160" s="247"/>
      <c r="P160" s="247"/>
      <c r="Q160" s="247"/>
      <c r="R160" s="247"/>
      <c r="T160" s="239">
        <f t="shared" si="45"/>
        <v>0</v>
      </c>
    </row>
    <row r="161" spans="1:20" outlineLevel="1" x14ac:dyDescent="0.25">
      <c r="A161" s="243" t="s">
        <v>699</v>
      </c>
      <c r="B161" s="254" t="s">
        <v>700</v>
      </c>
      <c r="C161" s="193"/>
      <c r="D161" s="247"/>
      <c r="E161" s="247"/>
      <c r="F161" s="247"/>
      <c r="G161" s="247"/>
      <c r="H161" s="247"/>
      <c r="I161" s="247"/>
      <c r="J161" s="247"/>
      <c r="K161" s="247"/>
      <c r="L161" s="247"/>
      <c r="M161" s="247"/>
      <c r="N161" s="247"/>
      <c r="O161" s="247"/>
      <c r="P161" s="247"/>
      <c r="Q161" s="247"/>
      <c r="R161" s="247"/>
      <c r="T161" s="239">
        <f t="shared" si="45"/>
        <v>0</v>
      </c>
    </row>
    <row r="162" spans="1:20" x14ac:dyDescent="0.25">
      <c r="A162" s="249" t="s">
        <v>701</v>
      </c>
      <c r="B162" s="249" t="s">
        <v>702</v>
      </c>
      <c r="C162" s="255"/>
      <c r="D162" s="256">
        <f>SUM(D$163,D$180,D$181)</f>
        <v>0</v>
      </c>
      <c r="E162" s="256">
        <f t="shared" ref="E162:R162" si="54">SUM(E$163,E$180,E$181)</f>
        <v>0</v>
      </c>
      <c r="F162" s="256">
        <f t="shared" si="54"/>
        <v>0</v>
      </c>
      <c r="G162" s="256">
        <f t="shared" si="54"/>
        <v>0</v>
      </c>
      <c r="H162" s="256">
        <f t="shared" si="54"/>
        <v>0</v>
      </c>
      <c r="I162" s="256">
        <f t="shared" si="54"/>
        <v>0</v>
      </c>
      <c r="J162" s="256">
        <f t="shared" si="54"/>
        <v>0</v>
      </c>
      <c r="K162" s="256">
        <f t="shared" si="54"/>
        <v>0</v>
      </c>
      <c r="L162" s="256">
        <f t="shared" si="54"/>
        <v>0</v>
      </c>
      <c r="M162" s="256">
        <f t="shared" si="54"/>
        <v>0</v>
      </c>
      <c r="N162" s="256">
        <f t="shared" si="54"/>
        <v>0</v>
      </c>
      <c r="O162" s="256">
        <f t="shared" si="54"/>
        <v>0</v>
      </c>
      <c r="P162" s="256">
        <f t="shared" si="54"/>
        <v>0</v>
      </c>
      <c r="Q162" s="256">
        <f t="shared" si="54"/>
        <v>0</v>
      </c>
      <c r="R162" s="256">
        <f t="shared" si="54"/>
        <v>0</v>
      </c>
      <c r="T162" s="239">
        <f t="shared" si="45"/>
        <v>0</v>
      </c>
    </row>
    <row r="163" spans="1:20" outlineLevel="1" x14ac:dyDescent="0.25">
      <c r="A163" s="243" t="s">
        <v>703</v>
      </c>
      <c r="B163" s="243" t="s">
        <v>407</v>
      </c>
      <c r="C163" s="244" t="s">
        <v>522</v>
      </c>
      <c r="D163" s="245">
        <f t="shared" ref="D163:R163" si="55">SUM(D$164:D$179)</f>
        <v>0</v>
      </c>
      <c r="E163" s="245">
        <f t="shared" si="55"/>
        <v>0</v>
      </c>
      <c r="F163" s="245">
        <f t="shared" si="55"/>
        <v>0</v>
      </c>
      <c r="G163" s="245">
        <f t="shared" si="55"/>
        <v>0</v>
      </c>
      <c r="H163" s="245">
        <f t="shared" si="55"/>
        <v>0</v>
      </c>
      <c r="I163" s="245">
        <f t="shared" si="55"/>
        <v>0</v>
      </c>
      <c r="J163" s="245">
        <f t="shared" si="55"/>
        <v>0</v>
      </c>
      <c r="K163" s="245">
        <f t="shared" si="55"/>
        <v>0</v>
      </c>
      <c r="L163" s="245">
        <f t="shared" si="55"/>
        <v>0</v>
      </c>
      <c r="M163" s="245">
        <f t="shared" si="55"/>
        <v>0</v>
      </c>
      <c r="N163" s="245">
        <f t="shared" si="55"/>
        <v>0</v>
      </c>
      <c r="O163" s="245">
        <f t="shared" si="55"/>
        <v>0</v>
      </c>
      <c r="P163" s="245">
        <f t="shared" si="55"/>
        <v>0</v>
      </c>
      <c r="Q163" s="245">
        <f t="shared" si="55"/>
        <v>0</v>
      </c>
      <c r="R163" s="245">
        <f t="shared" si="55"/>
        <v>0</v>
      </c>
      <c r="T163" s="239">
        <f t="shared" si="45"/>
        <v>0</v>
      </c>
    </row>
    <row r="164" spans="1:20" outlineLevel="2" x14ac:dyDescent="0.25">
      <c r="A164" s="246" t="s">
        <v>704</v>
      </c>
      <c r="B164" s="246" t="s">
        <v>560</v>
      </c>
      <c r="C164" s="193" t="s">
        <v>522</v>
      </c>
      <c r="D164" s="247" cm="1">
        <f t="array" ref="D164">-SUMPRODUCT(
  desp[valor] *
  (desp[nucleo]=$B164) *
  (desp[centro.negocio]=$B$163) *
  (desp[data.pagamento]&gt;=D$1) *
  (desp[data.pagamento]&lt;EOMONTH(D$1,0)+1)
)</f>
        <v>0</v>
      </c>
      <c r="E164" s="247" cm="1">
        <f t="array" ref="E164">-SUMPRODUCT(
  desp[valor] *
  (desp[nucleo]=$B164) *
  (desp[centro.negocio]=$B$163) *
  (desp[data.pagamento]&gt;=E$1) *
  (desp[data.pagamento]&lt;EOMONTH(E$1,0)+1)
)</f>
        <v>0</v>
      </c>
      <c r="F164" s="247" cm="1">
        <f t="array" ref="F164">-SUMPRODUCT(
  desp[valor] *
  (desp[nucleo]=$B164) *
  (desp[centro.negocio]=$B$163) *
  (desp[data.pagamento]&gt;=F$1) *
  (desp[data.pagamento]&lt;EOMONTH(F$1,0)+1)
)</f>
        <v>0</v>
      </c>
      <c r="G164" s="247" cm="1">
        <f t="array" ref="G164">-SUMPRODUCT(
  desp[valor] *
  (desp[nucleo]=$B164) *
  (desp[centro.negocio]=$B$163) *
  (desp[data.pagamento]&gt;=G$1) *
  (desp[data.pagamento]&lt;EOMONTH(G$1,0)+1)
)</f>
        <v>0</v>
      </c>
      <c r="H164" s="247" cm="1">
        <f t="array" ref="H164">-SUMPRODUCT(
  desp[valor] *
  (desp[nucleo]=$B164) *
  (desp[centro.negocio]=$B$163) *
  (desp[data.pagamento]&gt;=H$1) *
  (desp[data.pagamento]&lt;EOMONTH(H$1,0)+1)
)</f>
        <v>0</v>
      </c>
      <c r="I164" s="247" cm="1">
        <f t="array" ref="I164">-SUMPRODUCT(
  desp[valor] *
  (desp[nucleo]=$B164) *
  (desp[centro.negocio]=$B$163) *
  (desp[data.pagamento]&gt;=I$1) *
  (desp[data.pagamento]&lt;EOMONTH(I$1,0)+1)
)</f>
        <v>0</v>
      </c>
      <c r="J164" s="247" cm="1">
        <f t="array" ref="J164">-SUMPRODUCT(
  desp[valor] *
  (desp[nucleo]=$B164) *
  (desp[centro.negocio]=$B$163) *
  (desp[data.pagamento]&gt;=J$1) *
  (desp[data.pagamento]&lt;EOMONTH(J$1,0)+1)
)</f>
        <v>0</v>
      </c>
      <c r="K164" s="247" cm="1">
        <f t="array" ref="K164">-SUMPRODUCT(
  desp[valor] *
  (desp[nucleo]=$B164) *
  (desp[centro.negocio]=$B$163) *
  (desp[data.pagamento]&gt;=K$1) *
  (desp[data.pagamento]&lt;EOMONTH(K$1,0)+1)
)</f>
        <v>0</v>
      </c>
      <c r="L164" s="247" cm="1">
        <f t="array" ref="L164">-SUMPRODUCT(
  desp[valor] *
  (desp[nucleo]=$B164) *
  (desp[centro.negocio]=$B$163) *
  (desp[data.pagamento]&gt;=L$1) *
  (desp[data.pagamento]&lt;EOMONTH(L$1,0)+1)
)</f>
        <v>0</v>
      </c>
      <c r="M164" s="247" cm="1">
        <f t="array" ref="M164">-SUMPRODUCT(
  desp[valor] *
  (desp[nucleo]=$B164) *
  (desp[centro.negocio]=$B$163) *
  (desp[data.pagamento]&gt;=M$1) *
  (desp[data.pagamento]&lt;EOMONTH(M$1,0)+1)
)</f>
        <v>0</v>
      </c>
      <c r="N164" s="247" cm="1">
        <f t="array" ref="N164">-SUMPRODUCT(
  desp[valor] *
  (desp[nucleo]=$B164) *
  (desp[centro.negocio]=$B$163) *
  (desp[data.pagamento]&gt;=N$1) *
  (desp[data.pagamento]&lt;EOMONTH(N$1,0)+1)
)</f>
        <v>0</v>
      </c>
      <c r="O164" s="247" cm="1">
        <f t="array" ref="O164">-SUMPRODUCT(
  desp[valor] *
  (desp[nucleo]=$B164) *
  (desp[centro.negocio]=$B$163) *
  (desp[data.pagamento]&gt;=O$1) *
  (desp[data.pagamento]&lt;EOMONTH(O$1,0)+1)
)</f>
        <v>0</v>
      </c>
      <c r="P164" s="247" cm="1">
        <f t="array" ref="P164">-SUMPRODUCT(
  desp[valor] *
  (desp[nucleo]=$B164) *
  (desp[centro.negocio]=$B$163) *
  (desp[data.pagamento]&gt;=P$1) *
  (desp[data.pagamento]&lt;EOMONTH(P$1,0)+1)
)</f>
        <v>0</v>
      </c>
      <c r="Q164" s="247" cm="1">
        <f t="array" ref="Q164">-SUMPRODUCT(
  desp[valor] *
  (desp[nucleo]=$B164) *
  (desp[centro.negocio]=$B$163) *
  (desp[data.pagamento]&gt;=Q$1) *
  (desp[data.pagamento]&lt;EOMONTH(Q$1,0)+1)
)</f>
        <v>0</v>
      </c>
      <c r="R164" s="247" cm="1">
        <f t="array" ref="R164">-SUMPRODUCT(
  desp[valor] *
  (desp[nucleo]=$B164) *
  (desp[centro.negocio]=$B$163) *
  (desp[data.pagamento]&gt;=R$1) *
  (desp[data.pagamento]&lt;EOMONTH(R$1,0)+1)
)</f>
        <v>0</v>
      </c>
      <c r="T164" s="239">
        <f t="shared" si="45"/>
        <v>0</v>
      </c>
    </row>
    <row r="165" spans="1:20" outlineLevel="2" x14ac:dyDescent="0.25">
      <c r="A165" s="246" t="s">
        <v>705</v>
      </c>
      <c r="B165" s="246" t="s">
        <v>579</v>
      </c>
      <c r="C165" s="193" t="s">
        <v>522</v>
      </c>
      <c r="D165" s="247" cm="1">
        <f t="array" ref="D165">-SUMPRODUCT(
  desp[valor] *
  (desp[nucleo]=$B165) *
  (desp[centro.negocio]=$B$163) *
  (desp[data.pagamento]&gt;=D$1) *
  (desp[data.pagamento]&lt;EOMONTH(D$1,0)+1)
)</f>
        <v>0</v>
      </c>
      <c r="E165" s="247" cm="1">
        <f t="array" ref="E165">-SUMPRODUCT(
  desp[valor] *
  (desp[nucleo]=$B165) *
  (desp[centro.negocio]=$B$163) *
  (desp[data.pagamento]&gt;=E$1) *
  (desp[data.pagamento]&lt;EOMONTH(E$1,0)+1)
)</f>
        <v>0</v>
      </c>
      <c r="F165" s="247" cm="1">
        <f t="array" ref="F165">-SUMPRODUCT(
  desp[valor] *
  (desp[nucleo]=$B165) *
  (desp[centro.negocio]=$B$163) *
  (desp[data.pagamento]&gt;=F$1) *
  (desp[data.pagamento]&lt;EOMONTH(F$1,0)+1)
)</f>
        <v>0</v>
      </c>
      <c r="G165" s="247" cm="1">
        <f t="array" ref="G165">-SUMPRODUCT(
  desp[valor] *
  (desp[nucleo]=$B165) *
  (desp[centro.negocio]=$B$163) *
  (desp[data.pagamento]&gt;=G$1) *
  (desp[data.pagamento]&lt;EOMONTH(G$1,0)+1)
)</f>
        <v>0</v>
      </c>
      <c r="H165" s="247" cm="1">
        <f t="array" ref="H165">-SUMPRODUCT(
  desp[valor] *
  (desp[nucleo]=$B165) *
  (desp[centro.negocio]=$B$163) *
  (desp[data.pagamento]&gt;=H$1) *
  (desp[data.pagamento]&lt;EOMONTH(H$1,0)+1)
)</f>
        <v>0</v>
      </c>
      <c r="I165" s="247" cm="1">
        <f t="array" ref="I165">-SUMPRODUCT(
  desp[valor] *
  (desp[nucleo]=$B165) *
  (desp[centro.negocio]=$B$163) *
  (desp[data.pagamento]&gt;=I$1) *
  (desp[data.pagamento]&lt;EOMONTH(I$1,0)+1)
)</f>
        <v>0</v>
      </c>
      <c r="J165" s="247" cm="1">
        <f t="array" ref="J165">-SUMPRODUCT(
  desp[valor] *
  (desp[nucleo]=$B165) *
  (desp[centro.negocio]=$B$163) *
  (desp[data.pagamento]&gt;=J$1) *
  (desp[data.pagamento]&lt;EOMONTH(J$1,0)+1)
)</f>
        <v>0</v>
      </c>
      <c r="K165" s="247" cm="1">
        <f t="array" ref="K165">-SUMPRODUCT(
  desp[valor] *
  (desp[nucleo]=$B165) *
  (desp[centro.negocio]=$B$163) *
  (desp[data.pagamento]&gt;=K$1) *
  (desp[data.pagamento]&lt;EOMONTH(K$1,0)+1)
)</f>
        <v>0</v>
      </c>
      <c r="L165" s="247" cm="1">
        <f t="array" ref="L165">-SUMPRODUCT(
  desp[valor] *
  (desp[nucleo]=$B165) *
  (desp[centro.negocio]=$B$163) *
  (desp[data.pagamento]&gt;=L$1) *
  (desp[data.pagamento]&lt;EOMONTH(L$1,0)+1)
)</f>
        <v>0</v>
      </c>
      <c r="M165" s="247" cm="1">
        <f t="array" ref="M165">-SUMPRODUCT(
  desp[valor] *
  (desp[nucleo]=$B165) *
  (desp[centro.negocio]=$B$163) *
  (desp[data.pagamento]&gt;=M$1) *
  (desp[data.pagamento]&lt;EOMONTH(M$1,0)+1)
)</f>
        <v>0</v>
      </c>
      <c r="N165" s="247" cm="1">
        <f t="array" ref="N165">-SUMPRODUCT(
  desp[valor] *
  (desp[nucleo]=$B165) *
  (desp[centro.negocio]=$B$163) *
  (desp[data.pagamento]&gt;=N$1) *
  (desp[data.pagamento]&lt;EOMONTH(N$1,0)+1)
)</f>
        <v>0</v>
      </c>
      <c r="O165" s="247" cm="1">
        <f t="array" ref="O165">-SUMPRODUCT(
  desp[valor] *
  (desp[nucleo]=$B165) *
  (desp[centro.negocio]=$B$163) *
  (desp[data.pagamento]&gt;=O$1) *
  (desp[data.pagamento]&lt;EOMONTH(O$1,0)+1)
)</f>
        <v>0</v>
      </c>
      <c r="P165" s="247" cm="1">
        <f t="array" ref="P165">-SUMPRODUCT(
  desp[valor] *
  (desp[nucleo]=$B165) *
  (desp[centro.negocio]=$B$163) *
  (desp[data.pagamento]&gt;=P$1) *
  (desp[data.pagamento]&lt;EOMONTH(P$1,0)+1)
)</f>
        <v>0</v>
      </c>
      <c r="Q165" s="247" cm="1">
        <f t="array" ref="Q165">-SUMPRODUCT(
  desp[valor] *
  (desp[nucleo]=$B165) *
  (desp[centro.negocio]=$B$163) *
  (desp[data.pagamento]&gt;=Q$1) *
  (desp[data.pagamento]&lt;EOMONTH(Q$1,0)+1)
)</f>
        <v>0</v>
      </c>
      <c r="R165" s="247" cm="1">
        <f t="array" ref="R165">-SUMPRODUCT(
  desp[valor] *
  (desp[nucleo]=$B165) *
  (desp[centro.negocio]=$B$163) *
  (desp[data.pagamento]&gt;=R$1) *
  (desp[data.pagamento]&lt;EOMONTH(R$1,0)+1)
)</f>
        <v>0</v>
      </c>
      <c r="T165" s="239">
        <f t="shared" si="45"/>
        <v>0</v>
      </c>
    </row>
    <row r="166" spans="1:20" outlineLevel="2" x14ac:dyDescent="0.25">
      <c r="A166" s="246" t="s">
        <v>706</v>
      </c>
      <c r="B166" s="246" t="s">
        <v>558</v>
      </c>
      <c r="C166" s="193" t="s">
        <v>522</v>
      </c>
      <c r="D166" s="247" cm="1">
        <f t="array" ref="D166">-SUMPRODUCT(
  desp[valor] *
  (desp[nucleo]=$B166) *
  (desp[centro.negocio]=$B$163) *
  (desp[data.pagamento]&gt;=D$1) *
  (desp[data.pagamento]&lt;EOMONTH(D$1,0)+1)
)</f>
        <v>0</v>
      </c>
      <c r="E166" s="247" cm="1">
        <f t="array" ref="E166">-SUMPRODUCT(
  desp[valor] *
  (desp[nucleo]=$B166) *
  (desp[centro.negocio]=$B$163) *
  (desp[data.pagamento]&gt;=E$1) *
  (desp[data.pagamento]&lt;EOMONTH(E$1,0)+1)
)</f>
        <v>0</v>
      </c>
      <c r="F166" s="247" cm="1">
        <f t="array" ref="F166">-SUMPRODUCT(
  desp[valor] *
  (desp[nucleo]=$B166) *
  (desp[centro.negocio]=$B$163) *
  (desp[data.pagamento]&gt;=F$1) *
  (desp[data.pagamento]&lt;EOMONTH(F$1,0)+1)
)</f>
        <v>0</v>
      </c>
      <c r="G166" s="247" cm="1">
        <f t="array" ref="G166">-SUMPRODUCT(
  desp[valor] *
  (desp[nucleo]=$B166) *
  (desp[centro.negocio]=$B$163) *
  (desp[data.pagamento]&gt;=G$1) *
  (desp[data.pagamento]&lt;EOMONTH(G$1,0)+1)
)</f>
        <v>0</v>
      </c>
      <c r="H166" s="247" cm="1">
        <f t="array" ref="H166">-SUMPRODUCT(
  desp[valor] *
  (desp[nucleo]=$B166) *
  (desp[centro.negocio]=$B$163) *
  (desp[data.pagamento]&gt;=H$1) *
  (desp[data.pagamento]&lt;EOMONTH(H$1,0)+1)
)</f>
        <v>0</v>
      </c>
      <c r="I166" s="247" cm="1">
        <f t="array" ref="I166">-SUMPRODUCT(
  desp[valor] *
  (desp[nucleo]=$B166) *
  (desp[centro.negocio]=$B$163) *
  (desp[data.pagamento]&gt;=I$1) *
  (desp[data.pagamento]&lt;EOMONTH(I$1,0)+1)
)</f>
        <v>0</v>
      </c>
      <c r="J166" s="247" cm="1">
        <f t="array" ref="J166">-SUMPRODUCT(
  desp[valor] *
  (desp[nucleo]=$B166) *
  (desp[centro.negocio]=$B$163) *
  (desp[data.pagamento]&gt;=J$1) *
  (desp[data.pagamento]&lt;EOMONTH(J$1,0)+1)
)</f>
        <v>0</v>
      </c>
      <c r="K166" s="247" cm="1">
        <f t="array" ref="K166">-SUMPRODUCT(
  desp[valor] *
  (desp[nucleo]=$B166) *
  (desp[centro.negocio]=$B$163) *
  (desp[data.pagamento]&gt;=K$1) *
  (desp[data.pagamento]&lt;EOMONTH(K$1,0)+1)
)</f>
        <v>0</v>
      </c>
      <c r="L166" s="247" cm="1">
        <f t="array" ref="L166">-SUMPRODUCT(
  desp[valor] *
  (desp[nucleo]=$B166) *
  (desp[centro.negocio]=$B$163) *
  (desp[data.pagamento]&gt;=L$1) *
  (desp[data.pagamento]&lt;EOMONTH(L$1,0)+1)
)</f>
        <v>0</v>
      </c>
      <c r="M166" s="247" cm="1">
        <f t="array" ref="M166">-SUMPRODUCT(
  desp[valor] *
  (desp[nucleo]=$B166) *
  (desp[centro.negocio]=$B$163) *
  (desp[data.pagamento]&gt;=M$1) *
  (desp[data.pagamento]&lt;EOMONTH(M$1,0)+1)
)</f>
        <v>0</v>
      </c>
      <c r="N166" s="247" cm="1">
        <f t="array" ref="N166">-SUMPRODUCT(
  desp[valor] *
  (desp[nucleo]=$B166) *
  (desp[centro.negocio]=$B$163) *
  (desp[data.pagamento]&gt;=N$1) *
  (desp[data.pagamento]&lt;EOMONTH(N$1,0)+1)
)</f>
        <v>0</v>
      </c>
      <c r="O166" s="247" cm="1">
        <f t="array" ref="O166">-SUMPRODUCT(
  desp[valor] *
  (desp[nucleo]=$B166) *
  (desp[centro.negocio]=$B$163) *
  (desp[data.pagamento]&gt;=O$1) *
  (desp[data.pagamento]&lt;EOMONTH(O$1,0)+1)
)</f>
        <v>0</v>
      </c>
      <c r="P166" s="247" cm="1">
        <f t="array" ref="P166">-SUMPRODUCT(
  desp[valor] *
  (desp[nucleo]=$B166) *
  (desp[centro.negocio]=$B$163) *
  (desp[data.pagamento]&gt;=P$1) *
  (desp[data.pagamento]&lt;EOMONTH(P$1,0)+1)
)</f>
        <v>0</v>
      </c>
      <c r="Q166" s="247" cm="1">
        <f t="array" ref="Q166">-SUMPRODUCT(
  desp[valor] *
  (desp[nucleo]=$B166) *
  (desp[centro.negocio]=$B$163) *
  (desp[data.pagamento]&gt;=Q$1) *
  (desp[data.pagamento]&lt;EOMONTH(Q$1,0)+1)
)</f>
        <v>0</v>
      </c>
      <c r="R166" s="247" cm="1">
        <f t="array" ref="R166">-SUMPRODUCT(
  desp[valor] *
  (desp[nucleo]=$B166) *
  (desp[centro.negocio]=$B$163) *
  (desp[data.pagamento]&gt;=R$1) *
  (desp[data.pagamento]&lt;EOMONTH(R$1,0)+1)
)</f>
        <v>0</v>
      </c>
      <c r="T166" s="239">
        <f>SUM(D166:R166)</f>
        <v>0</v>
      </c>
    </row>
    <row r="167" spans="1:20" outlineLevel="2" x14ac:dyDescent="0.25">
      <c r="A167" s="246" t="s">
        <v>707</v>
      </c>
      <c r="B167" s="246" t="s">
        <v>562</v>
      </c>
      <c r="C167" s="193" t="s">
        <v>522</v>
      </c>
      <c r="D167" s="247" cm="1">
        <f t="array" ref="D167">-SUMPRODUCT(
  desp[valor] *
  (desp[nucleo]=$B167) *
  (desp[centro.negocio]=$B$163) *
  (desp[data.pagamento]&gt;=D$1) *
  (desp[data.pagamento]&lt;EOMONTH(D$1,0)+1)
)</f>
        <v>0</v>
      </c>
      <c r="E167" s="247" cm="1">
        <f t="array" ref="E167">-SUMPRODUCT(
  desp[valor] *
  (desp[nucleo]=$B167) *
  (desp[centro.negocio]=$B$163) *
  (desp[data.pagamento]&gt;=E$1) *
  (desp[data.pagamento]&lt;EOMONTH(E$1,0)+1)
)</f>
        <v>0</v>
      </c>
      <c r="F167" s="247" cm="1">
        <f t="array" ref="F167">-SUMPRODUCT(
  desp[valor] *
  (desp[nucleo]=$B167) *
  (desp[centro.negocio]=$B$163) *
  (desp[data.pagamento]&gt;=F$1) *
  (desp[data.pagamento]&lt;EOMONTH(F$1,0)+1)
)</f>
        <v>0</v>
      </c>
      <c r="G167" s="247" cm="1">
        <f t="array" ref="G167">-SUMPRODUCT(
  desp[valor] *
  (desp[nucleo]=$B167) *
  (desp[centro.negocio]=$B$163) *
  (desp[data.pagamento]&gt;=G$1) *
  (desp[data.pagamento]&lt;EOMONTH(G$1,0)+1)
)</f>
        <v>0</v>
      </c>
      <c r="H167" s="247" cm="1">
        <f t="array" ref="H167">-SUMPRODUCT(
  desp[valor] *
  (desp[nucleo]=$B167) *
  (desp[centro.negocio]=$B$163) *
  (desp[data.pagamento]&gt;=H$1) *
  (desp[data.pagamento]&lt;EOMONTH(H$1,0)+1)
)</f>
        <v>0</v>
      </c>
      <c r="I167" s="247" cm="1">
        <f t="array" ref="I167">-SUMPRODUCT(
  desp[valor] *
  (desp[nucleo]=$B167) *
  (desp[centro.negocio]=$B$163) *
  (desp[data.pagamento]&gt;=I$1) *
  (desp[data.pagamento]&lt;EOMONTH(I$1,0)+1)
)</f>
        <v>0</v>
      </c>
      <c r="J167" s="247" cm="1">
        <f t="array" ref="J167">-SUMPRODUCT(
  desp[valor] *
  (desp[nucleo]=$B167) *
  (desp[centro.negocio]=$B$163) *
  (desp[data.pagamento]&gt;=J$1) *
  (desp[data.pagamento]&lt;EOMONTH(J$1,0)+1)
)</f>
        <v>0</v>
      </c>
      <c r="K167" s="247" cm="1">
        <f t="array" ref="K167">-SUMPRODUCT(
  desp[valor] *
  (desp[nucleo]=$B167) *
  (desp[centro.negocio]=$B$163) *
  (desp[data.pagamento]&gt;=K$1) *
  (desp[data.pagamento]&lt;EOMONTH(K$1,0)+1)
)</f>
        <v>0</v>
      </c>
      <c r="L167" s="247" cm="1">
        <f t="array" ref="L167">-SUMPRODUCT(
  desp[valor] *
  (desp[nucleo]=$B167) *
  (desp[centro.negocio]=$B$163) *
  (desp[data.pagamento]&gt;=L$1) *
  (desp[data.pagamento]&lt;EOMONTH(L$1,0)+1)
)</f>
        <v>0</v>
      </c>
      <c r="M167" s="247" cm="1">
        <f t="array" ref="M167">-SUMPRODUCT(
  desp[valor] *
  (desp[nucleo]=$B167) *
  (desp[centro.negocio]=$B$163) *
  (desp[data.pagamento]&gt;=M$1) *
  (desp[data.pagamento]&lt;EOMONTH(M$1,0)+1)
)</f>
        <v>0</v>
      </c>
      <c r="N167" s="247" cm="1">
        <f t="array" ref="N167">-SUMPRODUCT(
  desp[valor] *
  (desp[nucleo]=$B167) *
  (desp[centro.negocio]=$B$163) *
  (desp[data.pagamento]&gt;=N$1) *
  (desp[data.pagamento]&lt;EOMONTH(N$1,0)+1)
)</f>
        <v>0</v>
      </c>
      <c r="O167" s="247" cm="1">
        <f t="array" ref="O167">-SUMPRODUCT(
  desp[valor] *
  (desp[nucleo]=$B167) *
  (desp[centro.negocio]=$B$163) *
  (desp[data.pagamento]&gt;=O$1) *
  (desp[data.pagamento]&lt;EOMONTH(O$1,0)+1)
)</f>
        <v>0</v>
      </c>
      <c r="P167" s="247" cm="1">
        <f t="array" ref="P167">-SUMPRODUCT(
  desp[valor] *
  (desp[nucleo]=$B167) *
  (desp[centro.negocio]=$B$163) *
  (desp[data.pagamento]&gt;=P$1) *
  (desp[data.pagamento]&lt;EOMONTH(P$1,0)+1)
)</f>
        <v>0</v>
      </c>
      <c r="Q167" s="247" cm="1">
        <f t="array" ref="Q167">-SUMPRODUCT(
  desp[valor] *
  (desp[nucleo]=$B167) *
  (desp[centro.negocio]=$B$163) *
  (desp[data.pagamento]&gt;=Q$1) *
  (desp[data.pagamento]&lt;EOMONTH(Q$1,0)+1)
)</f>
        <v>0</v>
      </c>
      <c r="R167" s="247" cm="1">
        <f t="array" ref="R167">-SUMPRODUCT(
  desp[valor] *
  (desp[nucleo]=$B167) *
  (desp[centro.negocio]=$B$163) *
  (desp[data.pagamento]&gt;=R$1) *
  (desp[data.pagamento]&lt;EOMONTH(R$1,0)+1)
)</f>
        <v>0</v>
      </c>
      <c r="T167" s="239">
        <f>SUM(D167:R167)</f>
        <v>0</v>
      </c>
    </row>
    <row r="168" spans="1:20" outlineLevel="2" x14ac:dyDescent="0.25">
      <c r="A168" s="246" t="s">
        <v>708</v>
      </c>
      <c r="B168" s="246" t="s">
        <v>546</v>
      </c>
      <c r="C168" s="193" t="s">
        <v>522</v>
      </c>
      <c r="D168" s="247" cm="1">
        <f t="array" ref="D168">-SUMPRODUCT(
  desp[valor] *
  (desp[nucleo]=$B168) *
  (desp[centro.negocio]=$B$163) *
  (desp[data.pagamento]&gt;=D$1) *
  (desp[data.pagamento]&lt;EOMONTH(D$1,0)+1)
)</f>
        <v>0</v>
      </c>
      <c r="E168" s="247" cm="1">
        <f t="array" ref="E168">-SUMPRODUCT(
  desp[valor] *
  (desp[nucleo]=$B168) *
  (desp[centro.negocio]=$B$163) *
  (desp[data.pagamento]&gt;=E$1) *
  (desp[data.pagamento]&lt;EOMONTH(E$1,0)+1)
)</f>
        <v>0</v>
      </c>
      <c r="F168" s="247" cm="1">
        <f t="array" ref="F168">-SUMPRODUCT(
  desp[valor] *
  (desp[nucleo]=$B168) *
  (desp[centro.negocio]=$B$163) *
  (desp[data.pagamento]&gt;=F$1) *
  (desp[data.pagamento]&lt;EOMONTH(F$1,0)+1)
)</f>
        <v>0</v>
      </c>
      <c r="G168" s="247" cm="1">
        <f t="array" ref="G168">-SUMPRODUCT(
  desp[valor] *
  (desp[nucleo]=$B168) *
  (desp[centro.negocio]=$B$163) *
  (desp[data.pagamento]&gt;=G$1) *
  (desp[data.pagamento]&lt;EOMONTH(G$1,0)+1)
)</f>
        <v>0</v>
      </c>
      <c r="H168" s="247" cm="1">
        <f t="array" ref="H168">-SUMPRODUCT(
  desp[valor] *
  (desp[nucleo]=$B168) *
  (desp[centro.negocio]=$B$163) *
  (desp[data.pagamento]&gt;=H$1) *
  (desp[data.pagamento]&lt;EOMONTH(H$1,0)+1)
)</f>
        <v>0</v>
      </c>
      <c r="I168" s="247" cm="1">
        <f t="array" ref="I168">-SUMPRODUCT(
  desp[valor] *
  (desp[nucleo]=$B168) *
  (desp[centro.negocio]=$B$163) *
  (desp[data.pagamento]&gt;=I$1) *
  (desp[data.pagamento]&lt;EOMONTH(I$1,0)+1)
)</f>
        <v>0</v>
      </c>
      <c r="J168" s="247" cm="1">
        <f t="array" ref="J168">-SUMPRODUCT(
  desp[valor] *
  (desp[nucleo]=$B168) *
  (desp[centro.negocio]=$B$163) *
  (desp[data.pagamento]&gt;=J$1) *
  (desp[data.pagamento]&lt;EOMONTH(J$1,0)+1)
)</f>
        <v>0</v>
      </c>
      <c r="K168" s="247" cm="1">
        <f t="array" ref="K168">-SUMPRODUCT(
  desp[valor] *
  (desp[nucleo]=$B168) *
  (desp[centro.negocio]=$B$163) *
  (desp[data.pagamento]&gt;=K$1) *
  (desp[data.pagamento]&lt;EOMONTH(K$1,0)+1)
)</f>
        <v>0</v>
      </c>
      <c r="L168" s="247" cm="1">
        <f t="array" ref="L168">-SUMPRODUCT(
  desp[valor] *
  (desp[nucleo]=$B168) *
  (desp[centro.negocio]=$B$163) *
  (desp[data.pagamento]&gt;=L$1) *
  (desp[data.pagamento]&lt;EOMONTH(L$1,0)+1)
)</f>
        <v>0</v>
      </c>
      <c r="M168" s="247" cm="1">
        <f t="array" ref="M168">-SUMPRODUCT(
  desp[valor] *
  (desp[nucleo]=$B168) *
  (desp[centro.negocio]=$B$163) *
  (desp[data.pagamento]&gt;=M$1) *
  (desp[data.pagamento]&lt;EOMONTH(M$1,0)+1)
)</f>
        <v>0</v>
      </c>
      <c r="N168" s="247" cm="1">
        <f t="array" ref="N168">-SUMPRODUCT(
  desp[valor] *
  (desp[nucleo]=$B168) *
  (desp[centro.negocio]=$B$163) *
  (desp[data.pagamento]&gt;=N$1) *
  (desp[data.pagamento]&lt;EOMONTH(N$1,0)+1)
)</f>
        <v>0</v>
      </c>
      <c r="O168" s="247" cm="1">
        <f t="array" ref="O168">-SUMPRODUCT(
  desp[valor] *
  (desp[nucleo]=$B168) *
  (desp[centro.negocio]=$B$163) *
  (desp[data.pagamento]&gt;=O$1) *
  (desp[data.pagamento]&lt;EOMONTH(O$1,0)+1)
)</f>
        <v>0</v>
      </c>
      <c r="P168" s="247" cm="1">
        <f t="array" ref="P168">-SUMPRODUCT(
  desp[valor] *
  (desp[nucleo]=$B168) *
  (desp[centro.negocio]=$B$163) *
  (desp[data.pagamento]&gt;=P$1) *
  (desp[data.pagamento]&lt;EOMONTH(P$1,0)+1)
)</f>
        <v>0</v>
      </c>
      <c r="Q168" s="247" cm="1">
        <f t="array" ref="Q168">-SUMPRODUCT(
  desp[valor] *
  (desp[nucleo]=$B168) *
  (desp[centro.negocio]=$B$163) *
  (desp[data.pagamento]&gt;=Q$1) *
  (desp[data.pagamento]&lt;EOMONTH(Q$1,0)+1)
)</f>
        <v>0</v>
      </c>
      <c r="R168" s="247" cm="1">
        <f t="array" ref="R168">-SUMPRODUCT(
  desp[valor] *
  (desp[nucleo]=$B168) *
  (desp[centro.negocio]=$B$163) *
  (desp[data.pagamento]&gt;=R$1) *
  (desp[data.pagamento]&lt;EOMONTH(R$1,0)+1)
)</f>
        <v>0</v>
      </c>
      <c r="T168" s="239">
        <f>SUM(D168:R168)</f>
        <v>0</v>
      </c>
    </row>
    <row r="169" spans="1:20" outlineLevel="2" x14ac:dyDescent="0.25">
      <c r="A169" s="246" t="s">
        <v>709</v>
      </c>
      <c r="B169" s="246" t="s">
        <v>548</v>
      </c>
      <c r="C169" s="193" t="s">
        <v>522</v>
      </c>
      <c r="D169" s="247" cm="1">
        <f t="array" ref="D169">-SUMPRODUCT(
  desp[valor] *
  (desp[nucleo]=$B169) *
  (desp[centro.negocio]=$B$163) *
  (desp[data.pagamento]&gt;=D$1) *
  (desp[data.pagamento]&lt;EOMONTH(D$1,0)+1)
)</f>
        <v>0</v>
      </c>
      <c r="E169" s="247" cm="1">
        <f t="array" ref="E169">-SUMPRODUCT(
  desp[valor] *
  (desp[nucleo]=$B169) *
  (desp[centro.negocio]=$B$163) *
  (desp[data.pagamento]&gt;=E$1) *
  (desp[data.pagamento]&lt;EOMONTH(E$1,0)+1)
)</f>
        <v>0</v>
      </c>
      <c r="F169" s="247" cm="1">
        <f t="array" ref="F169">-SUMPRODUCT(
  desp[valor] *
  (desp[nucleo]=$B169) *
  (desp[centro.negocio]=$B$163) *
  (desp[data.pagamento]&gt;=F$1) *
  (desp[data.pagamento]&lt;EOMONTH(F$1,0)+1)
)</f>
        <v>0</v>
      </c>
      <c r="G169" s="247" cm="1">
        <f t="array" ref="G169">-SUMPRODUCT(
  desp[valor] *
  (desp[nucleo]=$B169) *
  (desp[centro.negocio]=$B$163) *
  (desp[data.pagamento]&gt;=G$1) *
  (desp[data.pagamento]&lt;EOMONTH(G$1,0)+1)
)</f>
        <v>0</v>
      </c>
      <c r="H169" s="247" cm="1">
        <f t="array" ref="H169">-SUMPRODUCT(
  desp[valor] *
  (desp[nucleo]=$B169) *
  (desp[centro.negocio]=$B$163) *
  (desp[data.pagamento]&gt;=H$1) *
  (desp[data.pagamento]&lt;EOMONTH(H$1,0)+1)
)</f>
        <v>0</v>
      </c>
      <c r="I169" s="247" cm="1">
        <f t="array" ref="I169">-SUMPRODUCT(
  desp[valor] *
  (desp[nucleo]=$B169) *
  (desp[centro.negocio]=$B$163) *
  (desp[data.pagamento]&gt;=I$1) *
  (desp[data.pagamento]&lt;EOMONTH(I$1,0)+1)
)</f>
        <v>0</v>
      </c>
      <c r="J169" s="247" cm="1">
        <f t="array" ref="J169">-SUMPRODUCT(
  desp[valor] *
  (desp[nucleo]=$B169) *
  (desp[centro.negocio]=$B$163) *
  (desp[data.pagamento]&gt;=J$1) *
  (desp[data.pagamento]&lt;EOMONTH(J$1,0)+1)
)</f>
        <v>0</v>
      </c>
      <c r="K169" s="247" cm="1">
        <f t="array" ref="K169">-SUMPRODUCT(
  desp[valor] *
  (desp[nucleo]=$B169) *
  (desp[centro.negocio]=$B$163) *
  (desp[data.pagamento]&gt;=K$1) *
  (desp[data.pagamento]&lt;EOMONTH(K$1,0)+1)
)</f>
        <v>0</v>
      </c>
      <c r="L169" s="247" cm="1">
        <f t="array" ref="L169">-SUMPRODUCT(
  desp[valor] *
  (desp[nucleo]=$B169) *
  (desp[centro.negocio]=$B$163) *
  (desp[data.pagamento]&gt;=L$1) *
  (desp[data.pagamento]&lt;EOMONTH(L$1,0)+1)
)</f>
        <v>0</v>
      </c>
      <c r="M169" s="247" cm="1">
        <f t="array" ref="M169">-SUMPRODUCT(
  desp[valor] *
  (desp[nucleo]=$B169) *
  (desp[centro.negocio]=$B$163) *
  (desp[data.pagamento]&gt;=M$1) *
  (desp[data.pagamento]&lt;EOMONTH(M$1,0)+1)
)</f>
        <v>0</v>
      </c>
      <c r="N169" s="247" cm="1">
        <f t="array" ref="N169">-SUMPRODUCT(
  desp[valor] *
  (desp[nucleo]=$B169) *
  (desp[centro.negocio]=$B$163) *
  (desp[data.pagamento]&gt;=N$1) *
  (desp[data.pagamento]&lt;EOMONTH(N$1,0)+1)
)</f>
        <v>0</v>
      </c>
      <c r="O169" s="247" cm="1">
        <f t="array" ref="O169">-SUMPRODUCT(
  desp[valor] *
  (desp[nucleo]=$B169) *
  (desp[centro.negocio]=$B$163) *
  (desp[data.pagamento]&gt;=O$1) *
  (desp[data.pagamento]&lt;EOMONTH(O$1,0)+1)
)</f>
        <v>0</v>
      </c>
      <c r="P169" s="247" cm="1">
        <f t="array" ref="P169">-SUMPRODUCT(
  desp[valor] *
  (desp[nucleo]=$B169) *
  (desp[centro.negocio]=$B$163) *
  (desp[data.pagamento]&gt;=P$1) *
  (desp[data.pagamento]&lt;EOMONTH(P$1,0)+1)
)</f>
        <v>0</v>
      </c>
      <c r="Q169" s="247" cm="1">
        <f t="array" ref="Q169">-SUMPRODUCT(
  desp[valor] *
  (desp[nucleo]=$B169) *
  (desp[centro.negocio]=$B$163) *
  (desp[data.pagamento]&gt;=Q$1) *
  (desp[data.pagamento]&lt;EOMONTH(Q$1,0)+1)
)</f>
        <v>0</v>
      </c>
      <c r="R169" s="247" cm="1">
        <f t="array" ref="R169">-SUMPRODUCT(
  desp[valor] *
  (desp[nucleo]=$B169) *
  (desp[centro.negocio]=$B$163) *
  (desp[data.pagamento]&gt;=R$1) *
  (desp[data.pagamento]&lt;EOMONTH(R$1,0)+1)
)</f>
        <v>0</v>
      </c>
      <c r="T169" s="239">
        <f>SUM(D169:R169)</f>
        <v>0</v>
      </c>
    </row>
    <row r="170" spans="1:20" outlineLevel="2" x14ac:dyDescent="0.25">
      <c r="A170" s="246" t="s">
        <v>710</v>
      </c>
      <c r="B170" s="246" t="s">
        <v>650</v>
      </c>
      <c r="C170" s="193" t="s">
        <v>522</v>
      </c>
      <c r="D170" s="247" cm="1">
        <f t="array" ref="D170">-SUMPRODUCT(
  desp[valor] *
  (desp[nucleo]=$B170) *
  (desp[centro.negocio]=$B$163) *
  (desp[data.pagamento]&gt;=D$1) *
  (desp[data.pagamento]&lt;EOMONTH(D$1,0)+1)
)</f>
        <v>0</v>
      </c>
      <c r="E170" s="247" cm="1">
        <f t="array" ref="E170">-SUMPRODUCT(
  desp[valor] *
  (desp[nucleo]=$B170) *
  (desp[centro.negocio]=$B$163) *
  (desp[data.pagamento]&gt;=E$1) *
  (desp[data.pagamento]&lt;EOMONTH(E$1,0)+1)
)</f>
        <v>0</v>
      </c>
      <c r="F170" s="247" cm="1">
        <f t="array" ref="F170">-SUMPRODUCT(
  desp[valor] *
  (desp[nucleo]=$B170) *
  (desp[centro.negocio]=$B$163) *
  (desp[data.pagamento]&gt;=F$1) *
  (desp[data.pagamento]&lt;EOMONTH(F$1,0)+1)
)</f>
        <v>0</v>
      </c>
      <c r="G170" s="247" cm="1">
        <f t="array" ref="G170">-SUMPRODUCT(
  desp[valor] *
  (desp[nucleo]=$B170) *
  (desp[centro.negocio]=$B$163) *
  (desp[data.pagamento]&gt;=G$1) *
  (desp[data.pagamento]&lt;EOMONTH(G$1,0)+1)
)</f>
        <v>0</v>
      </c>
      <c r="H170" s="247" cm="1">
        <f t="array" ref="H170">-SUMPRODUCT(
  desp[valor] *
  (desp[nucleo]=$B170) *
  (desp[centro.negocio]=$B$163) *
  (desp[data.pagamento]&gt;=H$1) *
  (desp[data.pagamento]&lt;EOMONTH(H$1,0)+1)
)</f>
        <v>0</v>
      </c>
      <c r="I170" s="247" cm="1">
        <f t="array" ref="I170">-SUMPRODUCT(
  desp[valor] *
  (desp[nucleo]=$B170) *
  (desp[centro.negocio]=$B$163) *
  (desp[data.pagamento]&gt;=I$1) *
  (desp[data.pagamento]&lt;EOMONTH(I$1,0)+1)
)</f>
        <v>0</v>
      </c>
      <c r="J170" s="247" cm="1">
        <f t="array" ref="J170">-SUMPRODUCT(
  desp[valor] *
  (desp[nucleo]=$B170) *
  (desp[centro.negocio]=$B$163) *
  (desp[data.pagamento]&gt;=J$1) *
  (desp[data.pagamento]&lt;EOMONTH(J$1,0)+1)
)</f>
        <v>0</v>
      </c>
      <c r="K170" s="247" cm="1">
        <f t="array" ref="K170">-SUMPRODUCT(
  desp[valor] *
  (desp[nucleo]=$B170) *
  (desp[centro.negocio]=$B$163) *
  (desp[data.pagamento]&gt;=K$1) *
  (desp[data.pagamento]&lt;EOMONTH(K$1,0)+1)
)</f>
        <v>0</v>
      </c>
      <c r="L170" s="247" cm="1">
        <f t="array" ref="L170">-SUMPRODUCT(
  desp[valor] *
  (desp[nucleo]=$B170) *
  (desp[centro.negocio]=$B$163) *
  (desp[data.pagamento]&gt;=L$1) *
  (desp[data.pagamento]&lt;EOMONTH(L$1,0)+1)
)</f>
        <v>0</v>
      </c>
      <c r="M170" s="247" cm="1">
        <f t="array" ref="M170">-SUMPRODUCT(
  desp[valor] *
  (desp[nucleo]=$B170) *
  (desp[centro.negocio]=$B$163) *
  (desp[data.pagamento]&gt;=M$1) *
  (desp[data.pagamento]&lt;EOMONTH(M$1,0)+1)
)</f>
        <v>0</v>
      </c>
      <c r="N170" s="247" cm="1">
        <f t="array" ref="N170">-SUMPRODUCT(
  desp[valor] *
  (desp[nucleo]=$B170) *
  (desp[centro.negocio]=$B$163) *
  (desp[data.pagamento]&gt;=N$1) *
  (desp[data.pagamento]&lt;EOMONTH(N$1,0)+1)
)</f>
        <v>0</v>
      </c>
      <c r="O170" s="247" cm="1">
        <f t="array" ref="O170">-SUMPRODUCT(
  desp[valor] *
  (desp[nucleo]=$B170) *
  (desp[centro.negocio]=$B$163) *
  (desp[data.pagamento]&gt;=O$1) *
  (desp[data.pagamento]&lt;EOMONTH(O$1,0)+1)
)</f>
        <v>0</v>
      </c>
      <c r="P170" s="247" cm="1">
        <f t="array" ref="P170">-SUMPRODUCT(
  desp[valor] *
  (desp[nucleo]=$B170) *
  (desp[centro.negocio]=$B$163) *
  (desp[data.pagamento]&gt;=P$1) *
  (desp[data.pagamento]&lt;EOMONTH(P$1,0)+1)
)</f>
        <v>0</v>
      </c>
      <c r="Q170" s="247" cm="1">
        <f t="array" ref="Q170">-SUMPRODUCT(
  desp[valor] *
  (desp[nucleo]=$B170) *
  (desp[centro.negocio]=$B$163) *
  (desp[data.pagamento]&gt;=Q$1) *
  (desp[data.pagamento]&lt;EOMONTH(Q$1,0)+1)
)</f>
        <v>0</v>
      </c>
      <c r="R170" s="247" cm="1">
        <f t="array" ref="R170">-SUMPRODUCT(
  desp[valor] *
  (desp[nucleo]=$B170) *
  (desp[centro.negocio]=$B$163) *
  (desp[data.pagamento]&gt;=R$1) *
  (desp[data.pagamento]&lt;EOMONTH(R$1,0)+1)
)</f>
        <v>0</v>
      </c>
      <c r="T170" s="239">
        <f t="shared" ref="T170:T179" si="56">SUM(D170:R170)</f>
        <v>0</v>
      </c>
    </row>
    <row r="171" spans="1:20" outlineLevel="2" x14ac:dyDescent="0.25">
      <c r="A171" s="246" t="s">
        <v>711</v>
      </c>
      <c r="B171" s="246" t="s">
        <v>552</v>
      </c>
      <c r="C171" s="193" t="s">
        <v>522</v>
      </c>
      <c r="D171" s="247" cm="1">
        <f t="array" ref="D171">-SUMPRODUCT(
  desp[valor] *
  (desp[nucleo]=$B171) *
  (desp[centro.negocio]=$B$163) *
  (desp[data.pagamento]&gt;=D$1) *
  (desp[data.pagamento]&lt;EOMONTH(D$1,0)+1)
)</f>
        <v>0</v>
      </c>
      <c r="E171" s="247" cm="1">
        <f t="array" ref="E171">-SUMPRODUCT(
  desp[valor] *
  (desp[nucleo]=$B171) *
  (desp[centro.negocio]=$B$163) *
  (desp[data.pagamento]&gt;=E$1) *
  (desp[data.pagamento]&lt;EOMONTH(E$1,0)+1)
)</f>
        <v>0</v>
      </c>
      <c r="F171" s="247" cm="1">
        <f t="array" ref="F171">-SUMPRODUCT(
  desp[valor] *
  (desp[nucleo]=$B171) *
  (desp[centro.negocio]=$B$163) *
  (desp[data.pagamento]&gt;=F$1) *
  (desp[data.pagamento]&lt;EOMONTH(F$1,0)+1)
)</f>
        <v>0</v>
      </c>
      <c r="G171" s="247" cm="1">
        <f t="array" ref="G171">-SUMPRODUCT(
  desp[valor] *
  (desp[nucleo]=$B171) *
  (desp[centro.negocio]=$B$163) *
  (desp[data.pagamento]&gt;=G$1) *
  (desp[data.pagamento]&lt;EOMONTH(G$1,0)+1)
)</f>
        <v>0</v>
      </c>
      <c r="H171" s="247" cm="1">
        <f t="array" ref="H171">-SUMPRODUCT(
  desp[valor] *
  (desp[nucleo]=$B171) *
  (desp[centro.negocio]=$B$163) *
  (desp[data.pagamento]&gt;=H$1) *
  (desp[data.pagamento]&lt;EOMONTH(H$1,0)+1)
)</f>
        <v>0</v>
      </c>
      <c r="I171" s="247" cm="1">
        <f t="array" ref="I171">-SUMPRODUCT(
  desp[valor] *
  (desp[nucleo]=$B171) *
  (desp[centro.negocio]=$B$163) *
  (desp[data.pagamento]&gt;=I$1) *
  (desp[data.pagamento]&lt;EOMONTH(I$1,0)+1)
)</f>
        <v>0</v>
      </c>
      <c r="J171" s="247" cm="1">
        <f t="array" ref="J171">-SUMPRODUCT(
  desp[valor] *
  (desp[nucleo]=$B171) *
  (desp[centro.negocio]=$B$163) *
  (desp[data.pagamento]&gt;=J$1) *
  (desp[data.pagamento]&lt;EOMONTH(J$1,0)+1)
)</f>
        <v>0</v>
      </c>
      <c r="K171" s="247" cm="1">
        <f t="array" ref="K171">-SUMPRODUCT(
  desp[valor] *
  (desp[nucleo]=$B171) *
  (desp[centro.negocio]=$B$163) *
  (desp[data.pagamento]&gt;=K$1) *
  (desp[data.pagamento]&lt;EOMONTH(K$1,0)+1)
)</f>
        <v>0</v>
      </c>
      <c r="L171" s="247" cm="1">
        <f t="array" ref="L171">-SUMPRODUCT(
  desp[valor] *
  (desp[nucleo]=$B171) *
  (desp[centro.negocio]=$B$163) *
  (desp[data.pagamento]&gt;=L$1) *
  (desp[data.pagamento]&lt;EOMONTH(L$1,0)+1)
)</f>
        <v>0</v>
      </c>
      <c r="M171" s="247" cm="1">
        <f t="array" ref="M171">-SUMPRODUCT(
  desp[valor] *
  (desp[nucleo]=$B171) *
  (desp[centro.negocio]=$B$163) *
  (desp[data.pagamento]&gt;=M$1) *
  (desp[data.pagamento]&lt;EOMONTH(M$1,0)+1)
)</f>
        <v>0</v>
      </c>
      <c r="N171" s="247" cm="1">
        <f t="array" ref="N171">-SUMPRODUCT(
  desp[valor] *
  (desp[nucleo]=$B171) *
  (desp[centro.negocio]=$B$163) *
  (desp[data.pagamento]&gt;=N$1) *
  (desp[data.pagamento]&lt;EOMONTH(N$1,0)+1)
)</f>
        <v>0</v>
      </c>
      <c r="O171" s="247" cm="1">
        <f t="array" ref="O171">-SUMPRODUCT(
  desp[valor] *
  (desp[nucleo]=$B171) *
  (desp[centro.negocio]=$B$163) *
  (desp[data.pagamento]&gt;=O$1) *
  (desp[data.pagamento]&lt;EOMONTH(O$1,0)+1)
)</f>
        <v>0</v>
      </c>
      <c r="P171" s="247" cm="1">
        <f t="array" ref="P171">-SUMPRODUCT(
  desp[valor] *
  (desp[nucleo]=$B171) *
  (desp[centro.negocio]=$B$163) *
  (desp[data.pagamento]&gt;=P$1) *
  (desp[data.pagamento]&lt;EOMONTH(P$1,0)+1)
)</f>
        <v>0</v>
      </c>
      <c r="Q171" s="247" cm="1">
        <f t="array" ref="Q171">-SUMPRODUCT(
  desp[valor] *
  (desp[nucleo]=$B171) *
  (desp[centro.negocio]=$B$163) *
  (desp[data.pagamento]&gt;=Q$1) *
  (desp[data.pagamento]&lt;EOMONTH(Q$1,0)+1)
)</f>
        <v>0</v>
      </c>
      <c r="R171" s="247" cm="1">
        <f t="array" ref="R171">-SUMPRODUCT(
  desp[valor] *
  (desp[nucleo]=$B171) *
  (desp[centro.negocio]=$B$163) *
  (desp[data.pagamento]&gt;=R$1) *
  (desp[data.pagamento]&lt;EOMONTH(R$1,0)+1)
)</f>
        <v>0</v>
      </c>
      <c r="T171" s="239">
        <f t="shared" si="56"/>
        <v>0</v>
      </c>
    </row>
    <row r="172" spans="1:20" outlineLevel="2" x14ac:dyDescent="0.25">
      <c r="A172" s="246" t="s">
        <v>712</v>
      </c>
      <c r="B172" s="246" t="s">
        <v>556</v>
      </c>
      <c r="C172" s="193" t="s">
        <v>522</v>
      </c>
      <c r="D172" s="247" cm="1">
        <f t="array" ref="D172">-SUMPRODUCT(
  desp[valor] *
  (desp[nucleo]=$B172) *
  (desp[centro.negocio]=$B$163) *
  (desp[data.pagamento]&gt;=D$1) *
  (desp[data.pagamento]&lt;EOMONTH(D$1,0)+1)
)</f>
        <v>0</v>
      </c>
      <c r="E172" s="247" cm="1">
        <f t="array" ref="E172">-SUMPRODUCT(
  desp[valor] *
  (desp[nucleo]=$B172) *
  (desp[centro.negocio]=$B$163) *
  (desp[data.pagamento]&gt;=E$1) *
  (desp[data.pagamento]&lt;EOMONTH(E$1,0)+1)
)</f>
        <v>0</v>
      </c>
      <c r="F172" s="247" cm="1">
        <f t="array" ref="F172">-SUMPRODUCT(
  desp[valor] *
  (desp[nucleo]=$B172) *
  (desp[centro.negocio]=$B$163) *
  (desp[data.pagamento]&gt;=F$1) *
  (desp[data.pagamento]&lt;EOMONTH(F$1,0)+1)
)</f>
        <v>0</v>
      </c>
      <c r="G172" s="247" cm="1">
        <f t="array" ref="G172">-SUMPRODUCT(
  desp[valor] *
  (desp[nucleo]=$B172) *
  (desp[centro.negocio]=$B$163) *
  (desp[data.pagamento]&gt;=G$1) *
  (desp[data.pagamento]&lt;EOMONTH(G$1,0)+1)
)</f>
        <v>0</v>
      </c>
      <c r="H172" s="247" cm="1">
        <f t="array" ref="H172">-SUMPRODUCT(
  desp[valor] *
  (desp[nucleo]=$B172) *
  (desp[centro.negocio]=$B$163) *
  (desp[data.pagamento]&gt;=H$1) *
  (desp[data.pagamento]&lt;EOMONTH(H$1,0)+1)
)</f>
        <v>0</v>
      </c>
      <c r="I172" s="247" cm="1">
        <f t="array" ref="I172">-SUMPRODUCT(
  desp[valor] *
  (desp[nucleo]=$B172) *
  (desp[centro.negocio]=$B$163) *
  (desp[data.pagamento]&gt;=I$1) *
  (desp[data.pagamento]&lt;EOMONTH(I$1,0)+1)
)</f>
        <v>0</v>
      </c>
      <c r="J172" s="247" cm="1">
        <f t="array" ref="J172">-SUMPRODUCT(
  desp[valor] *
  (desp[nucleo]=$B172) *
  (desp[centro.negocio]=$B$163) *
  (desp[data.pagamento]&gt;=J$1) *
  (desp[data.pagamento]&lt;EOMONTH(J$1,0)+1)
)</f>
        <v>0</v>
      </c>
      <c r="K172" s="247" cm="1">
        <f t="array" ref="K172">-SUMPRODUCT(
  desp[valor] *
  (desp[nucleo]=$B172) *
  (desp[centro.negocio]=$B$163) *
  (desp[data.pagamento]&gt;=K$1) *
  (desp[data.pagamento]&lt;EOMONTH(K$1,0)+1)
)</f>
        <v>0</v>
      </c>
      <c r="L172" s="247" cm="1">
        <f t="array" ref="L172">-SUMPRODUCT(
  desp[valor] *
  (desp[nucleo]=$B172) *
  (desp[centro.negocio]=$B$163) *
  (desp[data.pagamento]&gt;=L$1) *
  (desp[data.pagamento]&lt;EOMONTH(L$1,0)+1)
)</f>
        <v>0</v>
      </c>
      <c r="M172" s="247" cm="1">
        <f t="array" ref="M172">-SUMPRODUCT(
  desp[valor] *
  (desp[nucleo]=$B172) *
  (desp[centro.negocio]=$B$163) *
  (desp[data.pagamento]&gt;=M$1) *
  (desp[data.pagamento]&lt;EOMONTH(M$1,0)+1)
)</f>
        <v>0</v>
      </c>
      <c r="N172" s="247" cm="1">
        <f t="array" ref="N172">-SUMPRODUCT(
  desp[valor] *
  (desp[nucleo]=$B172) *
  (desp[centro.negocio]=$B$163) *
  (desp[data.pagamento]&gt;=N$1) *
  (desp[data.pagamento]&lt;EOMONTH(N$1,0)+1)
)</f>
        <v>0</v>
      </c>
      <c r="O172" s="247" cm="1">
        <f t="array" ref="O172">-SUMPRODUCT(
  desp[valor] *
  (desp[nucleo]=$B172) *
  (desp[centro.negocio]=$B$163) *
  (desp[data.pagamento]&gt;=O$1) *
  (desp[data.pagamento]&lt;EOMONTH(O$1,0)+1)
)</f>
        <v>0</v>
      </c>
      <c r="P172" s="247" cm="1">
        <f t="array" ref="P172">-SUMPRODUCT(
  desp[valor] *
  (desp[nucleo]=$B172) *
  (desp[centro.negocio]=$B$163) *
  (desp[data.pagamento]&gt;=P$1) *
  (desp[data.pagamento]&lt;EOMONTH(P$1,0)+1)
)</f>
        <v>0</v>
      </c>
      <c r="Q172" s="247" cm="1">
        <f t="array" ref="Q172">-SUMPRODUCT(
  desp[valor] *
  (desp[nucleo]=$B172) *
  (desp[centro.negocio]=$B$163) *
  (desp[data.pagamento]&gt;=Q$1) *
  (desp[data.pagamento]&lt;EOMONTH(Q$1,0)+1)
)</f>
        <v>0</v>
      </c>
      <c r="R172" s="247" cm="1">
        <f t="array" ref="R172">-SUMPRODUCT(
  desp[valor] *
  (desp[nucleo]=$B172) *
  (desp[centro.negocio]=$B$163) *
  (desp[data.pagamento]&gt;=R$1) *
  (desp[data.pagamento]&lt;EOMONTH(R$1,0)+1)
)</f>
        <v>0</v>
      </c>
      <c r="T172" s="239">
        <f t="shared" si="56"/>
        <v>0</v>
      </c>
    </row>
    <row r="173" spans="1:20" outlineLevel="2" x14ac:dyDescent="0.25">
      <c r="A173" s="252" t="s">
        <v>713</v>
      </c>
      <c r="B173" s="246" t="s">
        <v>648</v>
      </c>
      <c r="C173" s="193" t="s">
        <v>522</v>
      </c>
      <c r="D173" s="247" cm="1">
        <f t="array" ref="D173">-SUMPRODUCT(
  desp[valor] *
  (desp[nucleo]=$B173) *
  (desp[centro.negocio]=$B$163) *
  (desp[data.pagamento]&gt;=D$1) *
  (desp[data.pagamento]&lt;EOMONTH(D$1,0)+1)
)</f>
        <v>0</v>
      </c>
      <c r="E173" s="247" cm="1">
        <f t="array" ref="E173">-SUMPRODUCT(
  desp[valor] *
  (desp[nucleo]=$B173) *
  (desp[centro.negocio]=$B$163) *
  (desp[data.pagamento]&gt;=E$1) *
  (desp[data.pagamento]&lt;EOMONTH(E$1,0)+1)
)</f>
        <v>0</v>
      </c>
      <c r="F173" s="247" cm="1">
        <f t="array" ref="F173">-SUMPRODUCT(
  desp[valor] *
  (desp[nucleo]=$B173) *
  (desp[centro.negocio]=$B$163) *
  (desp[data.pagamento]&gt;=F$1) *
  (desp[data.pagamento]&lt;EOMONTH(F$1,0)+1)
)</f>
        <v>0</v>
      </c>
      <c r="G173" s="247" cm="1">
        <f t="array" ref="G173">-SUMPRODUCT(
  desp[valor] *
  (desp[nucleo]=$B173) *
  (desp[centro.negocio]=$B$163) *
  (desp[data.pagamento]&gt;=G$1) *
  (desp[data.pagamento]&lt;EOMONTH(G$1,0)+1)
)</f>
        <v>0</v>
      </c>
      <c r="H173" s="247" cm="1">
        <f t="array" ref="H173">-SUMPRODUCT(
  desp[valor] *
  (desp[nucleo]=$B173) *
  (desp[centro.negocio]=$B$163) *
  (desp[data.pagamento]&gt;=H$1) *
  (desp[data.pagamento]&lt;EOMONTH(H$1,0)+1)
)</f>
        <v>0</v>
      </c>
      <c r="I173" s="247" cm="1">
        <f t="array" ref="I173">-SUMPRODUCT(
  desp[valor] *
  (desp[nucleo]=$B173) *
  (desp[centro.negocio]=$B$163) *
  (desp[data.pagamento]&gt;=I$1) *
  (desp[data.pagamento]&lt;EOMONTH(I$1,0)+1)
)</f>
        <v>0</v>
      </c>
      <c r="J173" s="247" cm="1">
        <f t="array" ref="J173">-SUMPRODUCT(
  desp[valor] *
  (desp[nucleo]=$B173) *
  (desp[centro.negocio]=$B$163) *
  (desp[data.pagamento]&gt;=J$1) *
  (desp[data.pagamento]&lt;EOMONTH(J$1,0)+1)
)</f>
        <v>0</v>
      </c>
      <c r="K173" s="247" cm="1">
        <f t="array" ref="K173">-SUMPRODUCT(
  desp[valor] *
  (desp[nucleo]=$B173) *
  (desp[centro.negocio]=$B$163) *
  (desp[data.pagamento]&gt;=K$1) *
  (desp[data.pagamento]&lt;EOMONTH(K$1,0)+1)
)</f>
        <v>0</v>
      </c>
      <c r="L173" s="247" cm="1">
        <f t="array" ref="L173">-SUMPRODUCT(
  desp[valor] *
  (desp[nucleo]=$B173) *
  (desp[centro.negocio]=$B$163) *
  (desp[data.pagamento]&gt;=L$1) *
  (desp[data.pagamento]&lt;EOMONTH(L$1,0)+1)
)</f>
        <v>0</v>
      </c>
      <c r="M173" s="247" cm="1">
        <f t="array" ref="M173">-SUMPRODUCT(
  desp[valor] *
  (desp[nucleo]=$B173) *
  (desp[centro.negocio]=$B$163) *
  (desp[data.pagamento]&gt;=M$1) *
  (desp[data.pagamento]&lt;EOMONTH(M$1,0)+1)
)</f>
        <v>0</v>
      </c>
      <c r="N173" s="247" cm="1">
        <f t="array" ref="N173">-SUMPRODUCT(
  desp[valor] *
  (desp[nucleo]=$B173) *
  (desp[centro.negocio]=$B$163) *
  (desp[data.pagamento]&gt;=N$1) *
  (desp[data.pagamento]&lt;EOMONTH(N$1,0)+1)
)</f>
        <v>0</v>
      </c>
      <c r="O173" s="247" cm="1">
        <f t="array" ref="O173">-SUMPRODUCT(
  desp[valor] *
  (desp[nucleo]=$B173) *
  (desp[centro.negocio]=$B$163) *
  (desp[data.pagamento]&gt;=O$1) *
  (desp[data.pagamento]&lt;EOMONTH(O$1,0)+1)
)</f>
        <v>0</v>
      </c>
      <c r="P173" s="247" cm="1">
        <f t="array" ref="P173">-SUMPRODUCT(
  desp[valor] *
  (desp[nucleo]=$B173) *
  (desp[centro.negocio]=$B$163) *
  (desp[data.pagamento]&gt;=P$1) *
  (desp[data.pagamento]&lt;EOMONTH(P$1,0)+1)
)</f>
        <v>0</v>
      </c>
      <c r="Q173" s="247" cm="1">
        <f t="array" ref="Q173">-SUMPRODUCT(
  desp[valor] *
  (desp[nucleo]=$B173) *
  (desp[centro.negocio]=$B$163) *
  (desp[data.pagamento]&gt;=Q$1) *
  (desp[data.pagamento]&lt;EOMONTH(Q$1,0)+1)
)</f>
        <v>0</v>
      </c>
      <c r="R173" s="247" cm="1">
        <f t="array" ref="R173">-SUMPRODUCT(
  desp[valor] *
  (desp[nucleo]=$B173) *
  (desp[centro.negocio]=$B$163) *
  (desp[data.pagamento]&gt;=R$1) *
  (desp[data.pagamento]&lt;EOMONTH(R$1,0)+1)
)</f>
        <v>0</v>
      </c>
      <c r="T173" s="239">
        <f t="shared" si="56"/>
        <v>0</v>
      </c>
    </row>
    <row r="174" spans="1:20" outlineLevel="2" x14ac:dyDescent="0.25">
      <c r="A174" s="246" t="s">
        <v>714</v>
      </c>
      <c r="B174" s="246" t="s">
        <v>564</v>
      </c>
      <c r="C174" s="193" t="s">
        <v>522</v>
      </c>
      <c r="D174" s="247" cm="1">
        <f t="array" ref="D174">-SUMPRODUCT(
  desp[valor] *
  (desp[nucleo]=$B174) *
  (desp[centro.negocio]=$B$163) *
  (desp[data.pagamento]&gt;=D$1) *
  (desp[data.pagamento]&lt;EOMONTH(D$1,0)+1)
)</f>
        <v>0</v>
      </c>
      <c r="E174" s="247" cm="1">
        <f t="array" ref="E174">-SUMPRODUCT(
  desp[valor] *
  (desp[nucleo]=$B174) *
  (desp[centro.negocio]=$B$163) *
  (desp[data.pagamento]&gt;=E$1) *
  (desp[data.pagamento]&lt;EOMONTH(E$1,0)+1)
)</f>
        <v>0</v>
      </c>
      <c r="F174" s="247" cm="1">
        <f t="array" ref="F174">-SUMPRODUCT(
  desp[valor] *
  (desp[nucleo]=$B174) *
  (desp[centro.negocio]=$B$163) *
  (desp[data.pagamento]&gt;=F$1) *
  (desp[data.pagamento]&lt;EOMONTH(F$1,0)+1)
)</f>
        <v>0</v>
      </c>
      <c r="G174" s="247" cm="1">
        <f t="array" ref="G174">-SUMPRODUCT(
  desp[valor] *
  (desp[nucleo]=$B174) *
  (desp[centro.negocio]=$B$163) *
  (desp[data.pagamento]&gt;=G$1) *
  (desp[data.pagamento]&lt;EOMONTH(G$1,0)+1)
)</f>
        <v>0</v>
      </c>
      <c r="H174" s="247" cm="1">
        <f t="array" ref="H174">-SUMPRODUCT(
  desp[valor] *
  (desp[nucleo]=$B174) *
  (desp[centro.negocio]=$B$163) *
  (desp[data.pagamento]&gt;=H$1) *
  (desp[data.pagamento]&lt;EOMONTH(H$1,0)+1)
)</f>
        <v>0</v>
      </c>
      <c r="I174" s="247" cm="1">
        <f t="array" ref="I174">-SUMPRODUCT(
  desp[valor] *
  (desp[nucleo]=$B174) *
  (desp[centro.negocio]=$B$163) *
  (desp[data.pagamento]&gt;=I$1) *
  (desp[data.pagamento]&lt;EOMONTH(I$1,0)+1)
)</f>
        <v>0</v>
      </c>
      <c r="J174" s="247" cm="1">
        <f t="array" ref="J174">-SUMPRODUCT(
  desp[valor] *
  (desp[nucleo]=$B174) *
  (desp[centro.negocio]=$B$163) *
  (desp[data.pagamento]&gt;=J$1) *
  (desp[data.pagamento]&lt;EOMONTH(J$1,0)+1)
)</f>
        <v>0</v>
      </c>
      <c r="K174" s="247" cm="1">
        <f t="array" ref="K174">-SUMPRODUCT(
  desp[valor] *
  (desp[nucleo]=$B174) *
  (desp[centro.negocio]=$B$163) *
  (desp[data.pagamento]&gt;=K$1) *
  (desp[data.pagamento]&lt;EOMONTH(K$1,0)+1)
)</f>
        <v>0</v>
      </c>
      <c r="L174" s="247" cm="1">
        <f t="array" ref="L174">-SUMPRODUCT(
  desp[valor] *
  (desp[nucleo]=$B174) *
  (desp[centro.negocio]=$B$163) *
  (desp[data.pagamento]&gt;=L$1) *
  (desp[data.pagamento]&lt;EOMONTH(L$1,0)+1)
)</f>
        <v>0</v>
      </c>
      <c r="M174" s="247" cm="1">
        <f t="array" ref="M174">-SUMPRODUCT(
  desp[valor] *
  (desp[nucleo]=$B174) *
  (desp[centro.negocio]=$B$163) *
  (desp[data.pagamento]&gt;=M$1) *
  (desp[data.pagamento]&lt;EOMONTH(M$1,0)+1)
)</f>
        <v>0</v>
      </c>
      <c r="N174" s="247" cm="1">
        <f t="array" ref="N174">-SUMPRODUCT(
  desp[valor] *
  (desp[nucleo]=$B174) *
  (desp[centro.negocio]=$B$163) *
  (desp[data.pagamento]&gt;=N$1) *
  (desp[data.pagamento]&lt;EOMONTH(N$1,0)+1)
)</f>
        <v>0</v>
      </c>
      <c r="O174" s="247" cm="1">
        <f t="array" ref="O174">-SUMPRODUCT(
  desp[valor] *
  (desp[nucleo]=$B174) *
  (desp[centro.negocio]=$B$163) *
  (desp[data.pagamento]&gt;=O$1) *
  (desp[data.pagamento]&lt;EOMONTH(O$1,0)+1)
)</f>
        <v>0</v>
      </c>
      <c r="P174" s="247" cm="1">
        <f t="array" ref="P174">-SUMPRODUCT(
  desp[valor] *
  (desp[nucleo]=$B174) *
  (desp[centro.negocio]=$B$163) *
  (desp[data.pagamento]&gt;=P$1) *
  (desp[data.pagamento]&lt;EOMONTH(P$1,0)+1)
)</f>
        <v>0</v>
      </c>
      <c r="Q174" s="247" cm="1">
        <f t="array" ref="Q174">-SUMPRODUCT(
  desp[valor] *
  (desp[nucleo]=$B174) *
  (desp[centro.negocio]=$B$163) *
  (desp[data.pagamento]&gt;=Q$1) *
  (desp[data.pagamento]&lt;EOMONTH(Q$1,0)+1)
)</f>
        <v>0</v>
      </c>
      <c r="R174" s="247" cm="1">
        <f t="array" ref="R174">-SUMPRODUCT(
  desp[valor] *
  (desp[nucleo]=$B174) *
  (desp[centro.negocio]=$B$163) *
  (desp[data.pagamento]&gt;=R$1) *
  (desp[data.pagamento]&lt;EOMONTH(R$1,0)+1)
)</f>
        <v>0</v>
      </c>
      <c r="T174" s="239">
        <f t="shared" si="56"/>
        <v>0</v>
      </c>
    </row>
    <row r="175" spans="1:20" outlineLevel="2" x14ac:dyDescent="0.25">
      <c r="A175" s="246" t="s">
        <v>715</v>
      </c>
      <c r="B175" s="246" t="s">
        <v>554</v>
      </c>
      <c r="C175" s="193" t="s">
        <v>522</v>
      </c>
      <c r="D175" s="247" cm="1">
        <f t="array" ref="D175">-SUMPRODUCT(
  desp[valor] *
  (desp[nucleo]=$B175) *
  (desp[centro.negocio]=$B$163) *
  (desp[data.pagamento]&gt;=D$1) *
  (desp[data.pagamento]&lt;EOMONTH(D$1,0)+1)
)</f>
        <v>0</v>
      </c>
      <c r="E175" s="247" cm="1">
        <f t="array" ref="E175">-SUMPRODUCT(
  desp[valor] *
  (desp[nucleo]=$B175) *
  (desp[centro.negocio]=$B$163) *
  (desp[data.pagamento]&gt;=E$1) *
  (desp[data.pagamento]&lt;EOMONTH(E$1,0)+1)
)</f>
        <v>0</v>
      </c>
      <c r="F175" s="247" cm="1">
        <f t="array" ref="F175">-SUMPRODUCT(
  desp[valor] *
  (desp[nucleo]=$B175) *
  (desp[centro.negocio]=$B$163) *
  (desp[data.pagamento]&gt;=F$1) *
  (desp[data.pagamento]&lt;EOMONTH(F$1,0)+1)
)</f>
        <v>0</v>
      </c>
      <c r="G175" s="247" cm="1">
        <f t="array" ref="G175">-SUMPRODUCT(
  desp[valor] *
  (desp[nucleo]=$B175) *
  (desp[centro.negocio]=$B$163) *
  (desp[data.pagamento]&gt;=G$1) *
  (desp[data.pagamento]&lt;EOMONTH(G$1,0)+1)
)</f>
        <v>0</v>
      </c>
      <c r="H175" s="247" cm="1">
        <f t="array" ref="H175">-SUMPRODUCT(
  desp[valor] *
  (desp[nucleo]=$B175) *
  (desp[centro.negocio]=$B$163) *
  (desp[data.pagamento]&gt;=H$1) *
  (desp[data.pagamento]&lt;EOMONTH(H$1,0)+1)
)</f>
        <v>0</v>
      </c>
      <c r="I175" s="247" cm="1">
        <f t="array" ref="I175">-SUMPRODUCT(
  desp[valor] *
  (desp[nucleo]=$B175) *
  (desp[centro.negocio]=$B$163) *
  (desp[data.pagamento]&gt;=I$1) *
  (desp[data.pagamento]&lt;EOMONTH(I$1,0)+1)
)</f>
        <v>0</v>
      </c>
      <c r="J175" s="247" cm="1">
        <f t="array" ref="J175">-SUMPRODUCT(
  desp[valor] *
  (desp[nucleo]=$B175) *
  (desp[centro.negocio]=$B$163) *
  (desp[data.pagamento]&gt;=J$1) *
  (desp[data.pagamento]&lt;EOMONTH(J$1,0)+1)
)</f>
        <v>0</v>
      </c>
      <c r="K175" s="247" cm="1">
        <f t="array" ref="K175">-SUMPRODUCT(
  desp[valor] *
  (desp[nucleo]=$B175) *
  (desp[centro.negocio]=$B$163) *
  (desp[data.pagamento]&gt;=K$1) *
  (desp[data.pagamento]&lt;EOMONTH(K$1,0)+1)
)</f>
        <v>0</v>
      </c>
      <c r="L175" s="247" cm="1">
        <f t="array" ref="L175">-SUMPRODUCT(
  desp[valor] *
  (desp[nucleo]=$B175) *
  (desp[centro.negocio]=$B$163) *
  (desp[data.pagamento]&gt;=L$1) *
  (desp[data.pagamento]&lt;EOMONTH(L$1,0)+1)
)</f>
        <v>0</v>
      </c>
      <c r="M175" s="247" cm="1">
        <f t="array" ref="M175">-SUMPRODUCT(
  desp[valor] *
  (desp[nucleo]=$B175) *
  (desp[centro.negocio]=$B$163) *
  (desp[data.pagamento]&gt;=M$1) *
  (desp[data.pagamento]&lt;EOMONTH(M$1,0)+1)
)</f>
        <v>0</v>
      </c>
      <c r="N175" s="247" cm="1">
        <f t="array" ref="N175">-SUMPRODUCT(
  desp[valor] *
  (desp[nucleo]=$B175) *
  (desp[centro.negocio]=$B$163) *
  (desp[data.pagamento]&gt;=N$1) *
  (desp[data.pagamento]&lt;EOMONTH(N$1,0)+1)
)</f>
        <v>0</v>
      </c>
      <c r="O175" s="247" cm="1">
        <f t="array" ref="O175">-SUMPRODUCT(
  desp[valor] *
  (desp[nucleo]=$B175) *
  (desp[centro.negocio]=$B$163) *
  (desp[data.pagamento]&gt;=O$1) *
  (desp[data.pagamento]&lt;EOMONTH(O$1,0)+1)
)</f>
        <v>0</v>
      </c>
      <c r="P175" s="247" cm="1">
        <f t="array" ref="P175">-SUMPRODUCT(
  desp[valor] *
  (desp[nucleo]=$B175) *
  (desp[centro.negocio]=$B$163) *
  (desp[data.pagamento]&gt;=P$1) *
  (desp[data.pagamento]&lt;EOMONTH(P$1,0)+1)
)</f>
        <v>0</v>
      </c>
      <c r="Q175" s="247" cm="1">
        <f t="array" ref="Q175">-SUMPRODUCT(
  desp[valor] *
  (desp[nucleo]=$B175) *
  (desp[centro.negocio]=$B$163) *
  (desp[data.pagamento]&gt;=Q$1) *
  (desp[data.pagamento]&lt;EOMONTH(Q$1,0)+1)
)</f>
        <v>0</v>
      </c>
      <c r="R175" s="247" cm="1">
        <f t="array" ref="R175">-SUMPRODUCT(
  desp[valor] *
  (desp[nucleo]=$B175) *
  (desp[centro.negocio]=$B$163) *
  (desp[data.pagamento]&gt;=R$1) *
  (desp[data.pagamento]&lt;EOMONTH(R$1,0)+1)
)</f>
        <v>0</v>
      </c>
      <c r="T175" s="239">
        <f t="shared" si="56"/>
        <v>0</v>
      </c>
    </row>
    <row r="176" spans="1:20" outlineLevel="2" x14ac:dyDescent="0.25">
      <c r="A176" s="246" t="s">
        <v>716</v>
      </c>
      <c r="B176" s="246" t="s">
        <v>550</v>
      </c>
      <c r="C176" s="193" t="s">
        <v>522</v>
      </c>
      <c r="D176" s="247" cm="1">
        <f t="array" ref="D176">-SUMPRODUCT(
  desp[valor] *
  (desp[nucleo]=$B176) *
  (desp[centro.negocio]=$B$163) *
  (desp[data.pagamento]&gt;=D$1) *
  (desp[data.pagamento]&lt;EOMONTH(D$1,0)+1)
)</f>
        <v>0</v>
      </c>
      <c r="E176" s="247" cm="1">
        <f t="array" ref="E176">-SUMPRODUCT(
  desp[valor] *
  (desp[nucleo]=$B176) *
  (desp[centro.negocio]=$B$163) *
  (desp[data.pagamento]&gt;=E$1) *
  (desp[data.pagamento]&lt;EOMONTH(E$1,0)+1)
)</f>
        <v>0</v>
      </c>
      <c r="F176" s="247" cm="1">
        <f t="array" ref="F176">-SUMPRODUCT(
  desp[valor] *
  (desp[nucleo]=$B176) *
  (desp[centro.negocio]=$B$163) *
  (desp[data.pagamento]&gt;=F$1) *
  (desp[data.pagamento]&lt;EOMONTH(F$1,0)+1)
)</f>
        <v>0</v>
      </c>
      <c r="G176" s="247" cm="1">
        <f t="array" ref="G176">-SUMPRODUCT(
  desp[valor] *
  (desp[nucleo]=$B176) *
  (desp[centro.negocio]=$B$163) *
  (desp[data.pagamento]&gt;=G$1) *
  (desp[data.pagamento]&lt;EOMONTH(G$1,0)+1)
)</f>
        <v>0</v>
      </c>
      <c r="H176" s="247" cm="1">
        <f t="array" ref="H176">-SUMPRODUCT(
  desp[valor] *
  (desp[nucleo]=$B176) *
  (desp[centro.negocio]=$B$163) *
  (desp[data.pagamento]&gt;=H$1) *
  (desp[data.pagamento]&lt;EOMONTH(H$1,0)+1)
)</f>
        <v>0</v>
      </c>
      <c r="I176" s="247" cm="1">
        <f t="array" ref="I176">-SUMPRODUCT(
  desp[valor] *
  (desp[nucleo]=$B176) *
  (desp[centro.negocio]=$B$163) *
  (desp[data.pagamento]&gt;=I$1) *
  (desp[data.pagamento]&lt;EOMONTH(I$1,0)+1)
)</f>
        <v>0</v>
      </c>
      <c r="J176" s="247" cm="1">
        <f t="array" ref="J176">-SUMPRODUCT(
  desp[valor] *
  (desp[nucleo]=$B176) *
  (desp[centro.negocio]=$B$163) *
  (desp[data.pagamento]&gt;=J$1) *
  (desp[data.pagamento]&lt;EOMONTH(J$1,0)+1)
)</f>
        <v>0</v>
      </c>
      <c r="K176" s="247" cm="1">
        <f t="array" ref="K176">-SUMPRODUCT(
  desp[valor] *
  (desp[nucleo]=$B176) *
  (desp[centro.negocio]=$B$163) *
  (desp[data.pagamento]&gt;=K$1) *
  (desp[data.pagamento]&lt;EOMONTH(K$1,0)+1)
)</f>
        <v>0</v>
      </c>
      <c r="L176" s="247" cm="1">
        <f t="array" ref="L176">-SUMPRODUCT(
  desp[valor] *
  (desp[nucleo]=$B176) *
  (desp[centro.negocio]=$B$163) *
  (desp[data.pagamento]&gt;=L$1) *
  (desp[data.pagamento]&lt;EOMONTH(L$1,0)+1)
)</f>
        <v>0</v>
      </c>
      <c r="M176" s="247" cm="1">
        <f t="array" ref="M176">-SUMPRODUCT(
  desp[valor] *
  (desp[nucleo]=$B176) *
  (desp[centro.negocio]=$B$163) *
  (desp[data.pagamento]&gt;=M$1) *
  (desp[data.pagamento]&lt;EOMONTH(M$1,0)+1)
)</f>
        <v>0</v>
      </c>
      <c r="N176" s="247" cm="1">
        <f t="array" ref="N176">-SUMPRODUCT(
  desp[valor] *
  (desp[nucleo]=$B176) *
  (desp[centro.negocio]=$B$163) *
  (desp[data.pagamento]&gt;=N$1) *
  (desp[data.pagamento]&lt;EOMONTH(N$1,0)+1)
)</f>
        <v>0</v>
      </c>
      <c r="O176" s="247" cm="1">
        <f t="array" ref="O176">-SUMPRODUCT(
  desp[valor] *
  (desp[nucleo]=$B176) *
  (desp[centro.negocio]=$B$163) *
  (desp[data.pagamento]&gt;=O$1) *
  (desp[data.pagamento]&lt;EOMONTH(O$1,0)+1)
)</f>
        <v>0</v>
      </c>
      <c r="P176" s="247" cm="1">
        <f t="array" ref="P176">-SUMPRODUCT(
  desp[valor] *
  (desp[nucleo]=$B176) *
  (desp[centro.negocio]=$B$163) *
  (desp[data.pagamento]&gt;=P$1) *
  (desp[data.pagamento]&lt;EOMONTH(P$1,0)+1)
)</f>
        <v>0</v>
      </c>
      <c r="Q176" s="247" cm="1">
        <f t="array" ref="Q176">-SUMPRODUCT(
  desp[valor] *
  (desp[nucleo]=$B176) *
  (desp[centro.negocio]=$B$163) *
  (desp[data.pagamento]&gt;=Q$1) *
  (desp[data.pagamento]&lt;EOMONTH(Q$1,0)+1)
)</f>
        <v>0</v>
      </c>
      <c r="R176" s="247" cm="1">
        <f t="array" ref="R176">-SUMPRODUCT(
  desp[valor] *
  (desp[nucleo]=$B176) *
  (desp[centro.negocio]=$B$163) *
  (desp[data.pagamento]&gt;=R$1) *
  (desp[data.pagamento]&lt;EOMONTH(R$1,0)+1)
)</f>
        <v>0</v>
      </c>
      <c r="T176" s="239">
        <f t="shared" si="56"/>
        <v>0</v>
      </c>
    </row>
    <row r="177" spans="1:20" outlineLevel="2" x14ac:dyDescent="0.25">
      <c r="A177" s="252" t="s">
        <v>713</v>
      </c>
      <c r="B177" s="246" t="s">
        <v>655</v>
      </c>
      <c r="C177" s="193" t="s">
        <v>522</v>
      </c>
      <c r="D177" s="247" cm="1">
        <f t="array" ref="D177">-SUMPRODUCT(
  desp[valor] *
  (desp[nucleo]=$B177) *
  (desp[centro.negocio]=$B$163) *
  (desp[data.pagamento]&gt;=D$1) *
  (desp[data.pagamento]&lt;EOMONTH(D$1,0)+1)
)</f>
        <v>0</v>
      </c>
      <c r="E177" s="247" cm="1">
        <f t="array" ref="E177">-SUMPRODUCT(
  desp[valor] *
  (desp[nucleo]=$B177) *
  (desp[centro.negocio]=$B$163) *
  (desp[data.pagamento]&gt;=E$1) *
  (desp[data.pagamento]&lt;EOMONTH(E$1,0)+1)
)</f>
        <v>0</v>
      </c>
      <c r="F177" s="247" cm="1">
        <f t="array" ref="F177">-SUMPRODUCT(
  desp[valor] *
  (desp[nucleo]=$B177) *
  (desp[centro.negocio]=$B$163) *
  (desp[data.pagamento]&gt;=F$1) *
  (desp[data.pagamento]&lt;EOMONTH(F$1,0)+1)
)</f>
        <v>0</v>
      </c>
      <c r="G177" s="247" cm="1">
        <f t="array" ref="G177">-SUMPRODUCT(
  desp[valor] *
  (desp[nucleo]=$B177) *
  (desp[centro.negocio]=$B$163) *
  (desp[data.pagamento]&gt;=G$1) *
  (desp[data.pagamento]&lt;EOMONTH(G$1,0)+1)
)</f>
        <v>0</v>
      </c>
      <c r="H177" s="247" cm="1">
        <f t="array" ref="H177">-SUMPRODUCT(
  desp[valor] *
  (desp[nucleo]=$B177) *
  (desp[centro.negocio]=$B$163) *
  (desp[data.pagamento]&gt;=H$1) *
  (desp[data.pagamento]&lt;EOMONTH(H$1,0)+1)
)</f>
        <v>0</v>
      </c>
      <c r="I177" s="247" cm="1">
        <f t="array" ref="I177">-SUMPRODUCT(
  desp[valor] *
  (desp[nucleo]=$B177) *
  (desp[centro.negocio]=$B$163) *
  (desp[data.pagamento]&gt;=I$1) *
  (desp[data.pagamento]&lt;EOMONTH(I$1,0)+1)
)</f>
        <v>0</v>
      </c>
      <c r="J177" s="247" cm="1">
        <f t="array" ref="J177">-SUMPRODUCT(
  desp[valor] *
  (desp[nucleo]=$B177) *
  (desp[centro.negocio]=$B$163) *
  (desp[data.pagamento]&gt;=J$1) *
  (desp[data.pagamento]&lt;EOMONTH(J$1,0)+1)
)</f>
        <v>0</v>
      </c>
      <c r="K177" s="247" cm="1">
        <f t="array" ref="K177">-SUMPRODUCT(
  desp[valor] *
  (desp[nucleo]=$B177) *
  (desp[centro.negocio]=$B$163) *
  (desp[data.pagamento]&gt;=K$1) *
  (desp[data.pagamento]&lt;EOMONTH(K$1,0)+1)
)</f>
        <v>0</v>
      </c>
      <c r="L177" s="247" cm="1">
        <f t="array" ref="L177">-SUMPRODUCT(
  desp[valor] *
  (desp[nucleo]=$B177) *
  (desp[centro.negocio]=$B$163) *
  (desp[data.pagamento]&gt;=L$1) *
  (desp[data.pagamento]&lt;EOMONTH(L$1,0)+1)
)</f>
        <v>0</v>
      </c>
      <c r="M177" s="247" cm="1">
        <f t="array" ref="M177">-SUMPRODUCT(
  desp[valor] *
  (desp[nucleo]=$B177) *
  (desp[centro.negocio]=$B$163) *
  (desp[data.pagamento]&gt;=M$1) *
  (desp[data.pagamento]&lt;EOMONTH(M$1,0)+1)
)</f>
        <v>0</v>
      </c>
      <c r="N177" s="247" cm="1">
        <f t="array" ref="N177">-SUMPRODUCT(
  desp[valor] *
  (desp[nucleo]=$B177) *
  (desp[centro.negocio]=$B$163) *
  (desp[data.pagamento]&gt;=N$1) *
  (desp[data.pagamento]&lt;EOMONTH(N$1,0)+1)
)</f>
        <v>0</v>
      </c>
      <c r="O177" s="247" cm="1">
        <f t="array" ref="O177">-SUMPRODUCT(
  desp[valor] *
  (desp[nucleo]=$B177) *
  (desp[centro.negocio]=$B$163) *
  (desp[data.pagamento]&gt;=O$1) *
  (desp[data.pagamento]&lt;EOMONTH(O$1,0)+1)
)</f>
        <v>0</v>
      </c>
      <c r="P177" s="247" cm="1">
        <f t="array" ref="P177">-SUMPRODUCT(
  desp[valor] *
  (desp[nucleo]=$B177) *
  (desp[centro.negocio]=$B$163) *
  (desp[data.pagamento]&gt;=P$1) *
  (desp[data.pagamento]&lt;EOMONTH(P$1,0)+1)
)</f>
        <v>0</v>
      </c>
      <c r="Q177" s="247" cm="1">
        <f t="array" ref="Q177">-SUMPRODUCT(
  desp[valor] *
  (desp[nucleo]=$B177) *
  (desp[centro.negocio]=$B$163) *
  (desp[data.pagamento]&gt;=Q$1) *
  (desp[data.pagamento]&lt;EOMONTH(Q$1,0)+1)
)</f>
        <v>0</v>
      </c>
      <c r="R177" s="247" cm="1">
        <f t="array" ref="R177">-SUMPRODUCT(
  desp[valor] *
  (desp[nucleo]=$B177) *
  (desp[centro.negocio]=$B$163) *
  (desp[data.pagamento]&gt;=R$1) *
  (desp[data.pagamento]&lt;EOMONTH(R$1,0)+1)
)</f>
        <v>0</v>
      </c>
      <c r="T177" s="239">
        <f t="shared" si="56"/>
        <v>0</v>
      </c>
    </row>
    <row r="178" spans="1:20" outlineLevel="2" x14ac:dyDescent="0.25">
      <c r="A178" s="246" t="s">
        <v>717</v>
      </c>
      <c r="B178" s="246" t="s">
        <v>585</v>
      </c>
      <c r="C178" s="193" t="s">
        <v>522</v>
      </c>
      <c r="D178" s="247" cm="1">
        <f t="array" ref="D178">-SUMPRODUCT(
  desp[valor] *
  (desp[nucleo]=$B178) *
  (desp[centro.negocio]=$B$163) *
  (desp[data.pagamento]&gt;=D$1) *
  (desp[data.pagamento]&lt;EOMONTH(D$1,0)+1)
)</f>
        <v>0</v>
      </c>
      <c r="E178" s="247" cm="1">
        <f t="array" ref="E178">-SUMPRODUCT(
  desp[valor] *
  (desp[nucleo]=$B178) *
  (desp[centro.negocio]=$B$163) *
  (desp[data.pagamento]&gt;=E$1) *
  (desp[data.pagamento]&lt;EOMONTH(E$1,0)+1)
)</f>
        <v>0</v>
      </c>
      <c r="F178" s="247" cm="1">
        <f t="array" ref="F178">-SUMPRODUCT(
  desp[valor] *
  (desp[nucleo]=$B178) *
  (desp[centro.negocio]=$B$163) *
  (desp[data.pagamento]&gt;=F$1) *
  (desp[data.pagamento]&lt;EOMONTH(F$1,0)+1)
)</f>
        <v>0</v>
      </c>
      <c r="G178" s="247" cm="1">
        <f t="array" ref="G178">-SUMPRODUCT(
  desp[valor] *
  (desp[nucleo]=$B178) *
  (desp[centro.negocio]=$B$163) *
  (desp[data.pagamento]&gt;=G$1) *
  (desp[data.pagamento]&lt;EOMONTH(G$1,0)+1)
)</f>
        <v>0</v>
      </c>
      <c r="H178" s="247" cm="1">
        <f t="array" ref="H178">-SUMPRODUCT(
  desp[valor] *
  (desp[nucleo]=$B178) *
  (desp[centro.negocio]=$B$163) *
  (desp[data.pagamento]&gt;=H$1) *
  (desp[data.pagamento]&lt;EOMONTH(H$1,0)+1)
)</f>
        <v>0</v>
      </c>
      <c r="I178" s="247" cm="1">
        <f t="array" ref="I178">-SUMPRODUCT(
  desp[valor] *
  (desp[nucleo]=$B178) *
  (desp[centro.negocio]=$B$163) *
  (desp[data.pagamento]&gt;=I$1) *
  (desp[data.pagamento]&lt;EOMONTH(I$1,0)+1)
)</f>
        <v>0</v>
      </c>
      <c r="J178" s="247" cm="1">
        <f t="array" ref="J178">-SUMPRODUCT(
  desp[valor] *
  (desp[nucleo]=$B178) *
  (desp[centro.negocio]=$B$163) *
  (desp[data.pagamento]&gt;=J$1) *
  (desp[data.pagamento]&lt;EOMONTH(J$1,0)+1)
)</f>
        <v>0</v>
      </c>
      <c r="K178" s="247" cm="1">
        <f t="array" ref="K178">-SUMPRODUCT(
  desp[valor] *
  (desp[nucleo]=$B178) *
  (desp[centro.negocio]=$B$163) *
  (desp[data.pagamento]&gt;=K$1) *
  (desp[data.pagamento]&lt;EOMONTH(K$1,0)+1)
)</f>
        <v>0</v>
      </c>
      <c r="L178" s="247" cm="1">
        <f t="array" ref="L178">-SUMPRODUCT(
  desp[valor] *
  (desp[nucleo]=$B178) *
  (desp[centro.negocio]=$B$163) *
  (desp[data.pagamento]&gt;=L$1) *
  (desp[data.pagamento]&lt;EOMONTH(L$1,0)+1)
)</f>
        <v>0</v>
      </c>
      <c r="M178" s="247" cm="1">
        <f t="array" ref="M178">-SUMPRODUCT(
  desp[valor] *
  (desp[nucleo]=$B178) *
  (desp[centro.negocio]=$B$163) *
  (desp[data.pagamento]&gt;=M$1) *
  (desp[data.pagamento]&lt;EOMONTH(M$1,0)+1)
)</f>
        <v>0</v>
      </c>
      <c r="N178" s="247" cm="1">
        <f t="array" ref="N178">-SUMPRODUCT(
  desp[valor] *
  (desp[nucleo]=$B178) *
  (desp[centro.negocio]=$B$163) *
  (desp[data.pagamento]&gt;=N$1) *
  (desp[data.pagamento]&lt;EOMONTH(N$1,0)+1)
)</f>
        <v>0</v>
      </c>
      <c r="O178" s="247" cm="1">
        <f t="array" ref="O178">-SUMPRODUCT(
  desp[valor] *
  (desp[nucleo]=$B178) *
  (desp[centro.negocio]=$B$163) *
  (desp[data.pagamento]&gt;=O$1) *
  (desp[data.pagamento]&lt;EOMONTH(O$1,0)+1)
)</f>
        <v>0</v>
      </c>
      <c r="P178" s="247" cm="1">
        <f t="array" ref="P178">-SUMPRODUCT(
  desp[valor] *
  (desp[nucleo]=$B178) *
  (desp[centro.negocio]=$B$163) *
  (desp[data.pagamento]&gt;=P$1) *
  (desp[data.pagamento]&lt;EOMONTH(P$1,0)+1)
)</f>
        <v>0</v>
      </c>
      <c r="Q178" s="247" cm="1">
        <f t="array" ref="Q178">-SUMPRODUCT(
  desp[valor] *
  (desp[nucleo]=$B178) *
  (desp[centro.negocio]=$B$163) *
  (desp[data.pagamento]&gt;=Q$1) *
  (desp[data.pagamento]&lt;EOMONTH(Q$1,0)+1)
)</f>
        <v>0</v>
      </c>
      <c r="R178" s="247" cm="1">
        <f t="array" ref="R178">-SUMPRODUCT(
  desp[valor] *
  (desp[nucleo]=$B178) *
  (desp[centro.negocio]=$B$163) *
  (desp[data.pagamento]&gt;=R$1) *
  (desp[data.pagamento]&lt;EOMONTH(R$1,0)+1)
)</f>
        <v>0</v>
      </c>
      <c r="T178" s="239">
        <f t="shared" si="56"/>
        <v>0</v>
      </c>
    </row>
    <row r="179" spans="1:20" outlineLevel="2" x14ac:dyDescent="0.25">
      <c r="A179" s="246" t="s">
        <v>718</v>
      </c>
      <c r="B179" s="246" t="s">
        <v>654</v>
      </c>
      <c r="C179" s="193" t="s">
        <v>522</v>
      </c>
      <c r="D179" s="247" cm="1">
        <f t="array" ref="D179">-SUMPRODUCT(
  desp[valor] *
  (desp[nucleo]=$B179) *
  (desp[centro.negocio]=$B$163) *
  (desp[data.pagamento]&gt;=D$1) *
  (desp[data.pagamento]&lt;EOMONTH(D$1,0)+1)
)</f>
        <v>0</v>
      </c>
      <c r="E179" s="247" cm="1">
        <f t="array" ref="E179">-SUMPRODUCT(
  desp[valor] *
  (desp[nucleo]=$B179) *
  (desp[centro.negocio]=$B$163) *
  (desp[data.pagamento]&gt;=E$1) *
  (desp[data.pagamento]&lt;EOMONTH(E$1,0)+1)
)</f>
        <v>0</v>
      </c>
      <c r="F179" s="247" cm="1">
        <f t="array" ref="F179">-SUMPRODUCT(
  desp[valor] *
  (desp[nucleo]=$B179) *
  (desp[centro.negocio]=$B$163) *
  (desp[data.pagamento]&gt;=F$1) *
  (desp[data.pagamento]&lt;EOMONTH(F$1,0)+1)
)</f>
        <v>0</v>
      </c>
      <c r="G179" s="247" cm="1">
        <f t="array" ref="G179">-SUMPRODUCT(
  desp[valor] *
  (desp[nucleo]=$B179) *
  (desp[centro.negocio]=$B$163) *
  (desp[data.pagamento]&gt;=G$1) *
  (desp[data.pagamento]&lt;EOMONTH(G$1,0)+1)
)</f>
        <v>0</v>
      </c>
      <c r="H179" s="247" cm="1">
        <f t="array" ref="H179">-SUMPRODUCT(
  desp[valor] *
  (desp[nucleo]=$B179) *
  (desp[centro.negocio]=$B$163) *
  (desp[data.pagamento]&gt;=H$1) *
  (desp[data.pagamento]&lt;EOMONTH(H$1,0)+1)
)</f>
        <v>0</v>
      </c>
      <c r="I179" s="247" cm="1">
        <f t="array" ref="I179">-SUMPRODUCT(
  desp[valor] *
  (desp[nucleo]=$B179) *
  (desp[centro.negocio]=$B$163) *
  (desp[data.pagamento]&gt;=I$1) *
  (desp[data.pagamento]&lt;EOMONTH(I$1,0)+1)
)</f>
        <v>0</v>
      </c>
      <c r="J179" s="247" cm="1">
        <f t="array" ref="J179">-SUMPRODUCT(
  desp[valor] *
  (desp[nucleo]=$B179) *
  (desp[centro.negocio]=$B$163) *
  (desp[data.pagamento]&gt;=J$1) *
  (desp[data.pagamento]&lt;EOMONTH(J$1,0)+1)
)</f>
        <v>0</v>
      </c>
      <c r="K179" s="247" cm="1">
        <f t="array" ref="K179">-SUMPRODUCT(
  desp[valor] *
  (desp[nucleo]=$B179) *
  (desp[centro.negocio]=$B$163) *
  (desp[data.pagamento]&gt;=K$1) *
  (desp[data.pagamento]&lt;EOMONTH(K$1,0)+1)
)</f>
        <v>0</v>
      </c>
      <c r="L179" s="247" cm="1">
        <f t="array" ref="L179">-SUMPRODUCT(
  desp[valor] *
  (desp[nucleo]=$B179) *
  (desp[centro.negocio]=$B$163) *
  (desp[data.pagamento]&gt;=L$1) *
  (desp[data.pagamento]&lt;EOMONTH(L$1,0)+1)
)</f>
        <v>0</v>
      </c>
      <c r="M179" s="247" cm="1">
        <f t="array" ref="M179">-SUMPRODUCT(
  desp[valor] *
  (desp[nucleo]=$B179) *
  (desp[centro.negocio]=$B$163) *
  (desp[data.pagamento]&gt;=M$1) *
  (desp[data.pagamento]&lt;EOMONTH(M$1,0)+1)
)</f>
        <v>0</v>
      </c>
      <c r="N179" s="247" cm="1">
        <f t="array" ref="N179">-SUMPRODUCT(
  desp[valor] *
  (desp[nucleo]=$B179) *
  (desp[centro.negocio]=$B$163) *
  (desp[data.pagamento]&gt;=N$1) *
  (desp[data.pagamento]&lt;EOMONTH(N$1,0)+1)
)</f>
        <v>0</v>
      </c>
      <c r="O179" s="247" cm="1">
        <f t="array" ref="O179">-SUMPRODUCT(
  desp[valor] *
  (desp[nucleo]=$B179) *
  (desp[centro.negocio]=$B$163) *
  (desp[data.pagamento]&gt;=O$1) *
  (desp[data.pagamento]&lt;EOMONTH(O$1,0)+1)
)</f>
        <v>0</v>
      </c>
      <c r="P179" s="247" cm="1">
        <f t="array" ref="P179">-SUMPRODUCT(
  desp[valor] *
  (desp[nucleo]=$B179) *
  (desp[centro.negocio]=$B$163) *
  (desp[data.pagamento]&gt;=P$1) *
  (desp[data.pagamento]&lt;EOMONTH(P$1,0)+1)
)</f>
        <v>0</v>
      </c>
      <c r="Q179" s="247" cm="1">
        <f t="array" ref="Q179">-SUMPRODUCT(
  desp[valor] *
  (desp[nucleo]=$B179) *
  (desp[centro.negocio]=$B$163) *
  (desp[data.pagamento]&gt;=Q$1) *
  (desp[data.pagamento]&lt;EOMONTH(Q$1,0)+1)
)</f>
        <v>0</v>
      </c>
      <c r="R179" s="247" cm="1">
        <f t="array" ref="R179">-SUMPRODUCT(
  desp[valor] *
  (desp[nucleo]=$B179) *
  (desp[centro.negocio]=$B$163) *
  (desp[data.pagamento]&gt;=R$1) *
  (desp[data.pagamento]&lt;EOMONTH(R$1,0)+1)
)</f>
        <v>0</v>
      </c>
      <c r="T179" s="239">
        <f t="shared" si="56"/>
        <v>0</v>
      </c>
    </row>
    <row r="180" spans="1:20" outlineLevel="1" x14ac:dyDescent="0.25">
      <c r="A180" s="257" t="s">
        <v>719</v>
      </c>
      <c r="B180" s="254" t="s">
        <v>720</v>
      </c>
      <c r="C180" s="193"/>
      <c r="D180" s="247"/>
      <c r="E180" s="247"/>
      <c r="F180" s="247"/>
      <c r="G180" s="247"/>
      <c r="H180" s="247"/>
      <c r="I180" s="247"/>
      <c r="J180" s="247"/>
      <c r="K180" s="247"/>
      <c r="L180" s="247"/>
      <c r="M180" s="247"/>
      <c r="N180" s="247"/>
      <c r="O180" s="247"/>
      <c r="P180" s="247"/>
      <c r="Q180" s="247"/>
      <c r="R180" s="247"/>
      <c r="T180" s="239">
        <f t="shared" ref="T180:T191" si="57">SUM(D180:R180)</f>
        <v>0</v>
      </c>
    </row>
    <row r="181" spans="1:20" outlineLevel="1" x14ac:dyDescent="0.25">
      <c r="A181" s="257" t="s">
        <v>721</v>
      </c>
      <c r="B181" s="254" t="s">
        <v>722</v>
      </c>
      <c r="C181" s="193"/>
      <c r="D181" s="247"/>
      <c r="E181" s="247"/>
      <c r="F181" s="247"/>
      <c r="G181" s="247"/>
      <c r="H181" s="247"/>
      <c r="I181" s="247"/>
      <c r="J181" s="247"/>
      <c r="K181" s="247"/>
      <c r="L181" s="247"/>
      <c r="M181" s="247"/>
      <c r="N181" s="247"/>
      <c r="O181" s="247"/>
      <c r="P181" s="247"/>
      <c r="Q181" s="247"/>
      <c r="R181" s="247"/>
      <c r="T181" s="239">
        <f t="shared" si="57"/>
        <v>0</v>
      </c>
    </row>
    <row r="182" spans="1:20" x14ac:dyDescent="0.25">
      <c r="A182" s="236" t="s">
        <v>723</v>
      </c>
      <c r="B182" s="236" t="s">
        <v>724</v>
      </c>
      <c r="C182" s="237"/>
      <c r="D182" s="238">
        <f t="shared" ref="D182:R182" si="58">D$183+D$205</f>
        <v>1301708.8500000001</v>
      </c>
      <c r="E182" s="238">
        <f t="shared" si="58"/>
        <v>0</v>
      </c>
      <c r="F182" s="238">
        <f t="shared" si="58"/>
        <v>621715.06000000006</v>
      </c>
      <c r="G182" s="238">
        <f t="shared" si="58"/>
        <v>3408120.66</v>
      </c>
      <c r="H182" s="238">
        <f t="shared" si="58"/>
        <v>6070665.4500000002</v>
      </c>
      <c r="I182" s="238">
        <f t="shared" si="58"/>
        <v>2693304.8</v>
      </c>
      <c r="J182" s="238">
        <f t="shared" si="58"/>
        <v>1715270.17</v>
      </c>
      <c r="K182" s="238">
        <f t="shared" si="58"/>
        <v>8459049.3599999994</v>
      </c>
      <c r="L182" s="238">
        <f t="shared" si="58"/>
        <v>1226397.81</v>
      </c>
      <c r="M182" s="238">
        <f t="shared" si="58"/>
        <v>3497137.5199999996</v>
      </c>
      <c r="N182" s="238">
        <f t="shared" si="58"/>
        <v>-3397342.11</v>
      </c>
      <c r="O182" s="238">
        <f t="shared" si="58"/>
        <v>471701.2</v>
      </c>
      <c r="P182" s="238">
        <f t="shared" si="58"/>
        <v>1138483.6300000001</v>
      </c>
      <c r="Q182" s="238">
        <f t="shared" si="58"/>
        <v>697790.27</v>
      </c>
      <c r="R182" s="238">
        <f t="shared" si="58"/>
        <v>2245616.4500000002</v>
      </c>
      <c r="T182" s="239">
        <f t="shared" si="57"/>
        <v>30149619.119999997</v>
      </c>
    </row>
    <row r="183" spans="1:20" x14ac:dyDescent="0.25">
      <c r="A183" s="240" t="s">
        <v>725</v>
      </c>
      <c r="B183" s="240" t="s">
        <v>726</v>
      </c>
      <c r="C183" s="241"/>
      <c r="D183" s="242">
        <f t="shared" ref="D183:R183" si="59">SUM(D$184,D$204)</f>
        <v>1301708.8500000001</v>
      </c>
      <c r="E183" s="242">
        <f t="shared" si="59"/>
        <v>0</v>
      </c>
      <c r="F183" s="242">
        <f t="shared" si="59"/>
        <v>621715.06000000006</v>
      </c>
      <c r="G183" s="242">
        <f t="shared" si="59"/>
        <v>3408120.66</v>
      </c>
      <c r="H183" s="242">
        <f t="shared" si="59"/>
        <v>6070665.4500000002</v>
      </c>
      <c r="I183" s="242">
        <f t="shared" si="59"/>
        <v>2693304.8</v>
      </c>
      <c r="J183" s="242">
        <f t="shared" si="59"/>
        <v>1715270.17</v>
      </c>
      <c r="K183" s="242">
        <f t="shared" si="59"/>
        <v>8459049.3599999994</v>
      </c>
      <c r="L183" s="242">
        <f t="shared" si="59"/>
        <v>1226397.81</v>
      </c>
      <c r="M183" s="242">
        <f t="shared" si="59"/>
        <v>6497137.5199999996</v>
      </c>
      <c r="N183" s="242">
        <f t="shared" si="59"/>
        <v>809114.02</v>
      </c>
      <c r="O183" s="242">
        <f t="shared" si="59"/>
        <v>471701.2</v>
      </c>
      <c r="P183" s="242">
        <f t="shared" si="59"/>
        <v>1138483.6300000001</v>
      </c>
      <c r="Q183" s="242">
        <f t="shared" si="59"/>
        <v>697790.27</v>
      </c>
      <c r="R183" s="242">
        <f t="shared" si="59"/>
        <v>2245616.4500000002</v>
      </c>
      <c r="T183" s="239">
        <f t="shared" si="57"/>
        <v>37356075.250000007</v>
      </c>
    </row>
    <row r="184" spans="1:20" outlineLevel="1" x14ac:dyDescent="0.25">
      <c r="A184" s="243" t="s">
        <v>727</v>
      </c>
      <c r="B184" s="243" t="s">
        <v>728</v>
      </c>
      <c r="C184" s="244" t="s">
        <v>729</v>
      </c>
      <c r="D184" s="245">
        <f>SUM(D$185,D$191)</f>
        <v>1301708.8500000001</v>
      </c>
      <c r="E184" s="245">
        <f t="shared" ref="E184:R184" si="60">SUM(E$185,E$191)</f>
        <v>0</v>
      </c>
      <c r="F184" s="245">
        <f t="shared" si="60"/>
        <v>621715.06000000006</v>
      </c>
      <c r="G184" s="245">
        <f t="shared" si="60"/>
        <v>3408120.66</v>
      </c>
      <c r="H184" s="245">
        <f t="shared" si="60"/>
        <v>6070665.4500000002</v>
      </c>
      <c r="I184" s="245">
        <f t="shared" si="60"/>
        <v>2693304.8</v>
      </c>
      <c r="J184" s="245">
        <f t="shared" si="60"/>
        <v>1715270.17</v>
      </c>
      <c r="K184" s="245">
        <f t="shared" si="60"/>
        <v>8459049.3599999994</v>
      </c>
      <c r="L184" s="245">
        <f t="shared" si="60"/>
        <v>1226397.81</v>
      </c>
      <c r="M184" s="245">
        <f t="shared" si="60"/>
        <v>6497137.5199999996</v>
      </c>
      <c r="N184" s="245">
        <f t="shared" si="60"/>
        <v>809114.02</v>
      </c>
      <c r="O184" s="245">
        <f t="shared" si="60"/>
        <v>471701.2</v>
      </c>
      <c r="P184" s="245">
        <f t="shared" si="60"/>
        <v>1138483.6300000001</v>
      </c>
      <c r="Q184" s="245">
        <f t="shared" si="60"/>
        <v>697790.27</v>
      </c>
      <c r="R184" s="245">
        <f t="shared" si="60"/>
        <v>2245616.4500000002</v>
      </c>
      <c r="T184" s="239">
        <f t="shared" si="57"/>
        <v>37356075.250000007</v>
      </c>
    </row>
    <row r="185" spans="1:20" outlineLevel="1" x14ac:dyDescent="0.25">
      <c r="A185" s="258" t="s">
        <v>730</v>
      </c>
      <c r="B185" s="258" t="s">
        <v>731</v>
      </c>
      <c r="C185" s="244" t="s">
        <v>482</v>
      </c>
      <c r="D185" s="245">
        <f>SUM(D$186:D$190)</f>
        <v>489068.85</v>
      </c>
      <c r="E185" s="245">
        <f t="shared" ref="E185:R185" si="61">SUM(E$186:E$190)</f>
        <v>0</v>
      </c>
      <c r="F185" s="245">
        <f t="shared" si="61"/>
        <v>621715.06000000006</v>
      </c>
      <c r="G185" s="245">
        <f t="shared" si="61"/>
        <v>497086.75</v>
      </c>
      <c r="H185" s="245">
        <f t="shared" si="61"/>
        <v>134752.4</v>
      </c>
      <c r="I185" s="245">
        <f t="shared" si="61"/>
        <v>289304.8</v>
      </c>
      <c r="J185" s="245">
        <f t="shared" si="61"/>
        <v>1169364.17</v>
      </c>
      <c r="K185" s="245">
        <f t="shared" si="61"/>
        <v>1447049.36</v>
      </c>
      <c r="L185" s="245">
        <f t="shared" si="61"/>
        <v>726397.81</v>
      </c>
      <c r="M185" s="245">
        <f t="shared" si="61"/>
        <v>746758.73</v>
      </c>
      <c r="N185" s="245">
        <f t="shared" si="61"/>
        <v>809114.02</v>
      </c>
      <c r="O185" s="245">
        <f t="shared" si="61"/>
        <v>471701.2</v>
      </c>
      <c r="P185" s="245">
        <f t="shared" si="61"/>
        <v>1138483.6300000001</v>
      </c>
      <c r="Q185" s="245">
        <f t="shared" si="61"/>
        <v>697790.27</v>
      </c>
      <c r="R185" s="245">
        <f t="shared" si="61"/>
        <v>2245616.4500000002</v>
      </c>
      <c r="T185" s="239">
        <f t="shared" si="57"/>
        <v>11484203.5</v>
      </c>
    </row>
    <row r="186" spans="1:20" outlineLevel="2" x14ac:dyDescent="0.25">
      <c r="A186" s="259" t="s">
        <v>732</v>
      </c>
      <c r="B186" s="259" t="s">
        <v>12</v>
      </c>
      <c r="C186" s="193" t="s">
        <v>482</v>
      </c>
      <c r="D186" s="247" cm="1">
        <f t="array" ref="D186:R186">TRANSPOSE(inputs!F$51:F$65)</f>
        <v>489068.85</v>
      </c>
      <c r="E186" s="247">
        <v>0</v>
      </c>
      <c r="F186" s="247">
        <v>385006.39</v>
      </c>
      <c r="G186" s="247">
        <v>223853.73</v>
      </c>
      <c r="H186" s="247">
        <v>134752.4</v>
      </c>
      <c r="I186" s="247">
        <v>289304.8</v>
      </c>
      <c r="J186" s="247">
        <v>171602.91</v>
      </c>
      <c r="K186" s="247">
        <v>366306.04</v>
      </c>
      <c r="L186" s="247">
        <v>181081.21</v>
      </c>
      <c r="M186" s="247">
        <v>266613.7</v>
      </c>
      <c r="N186" s="247">
        <v>230479.34</v>
      </c>
      <c r="O186" s="247">
        <v>471701.2</v>
      </c>
      <c r="P186" s="247">
        <v>0</v>
      </c>
      <c r="Q186" s="247">
        <v>46792.36</v>
      </c>
      <c r="R186" s="247">
        <v>0</v>
      </c>
      <c r="T186" s="239">
        <f t="shared" si="57"/>
        <v>3256562.93</v>
      </c>
    </row>
    <row r="187" spans="1:20" outlineLevel="2" x14ac:dyDescent="0.25">
      <c r="A187" s="259" t="s">
        <v>733</v>
      </c>
      <c r="B187" s="259" t="s">
        <v>13</v>
      </c>
      <c r="C187" s="193" t="s">
        <v>482</v>
      </c>
      <c r="D187" s="247" cm="1">
        <f t="array" ref="D187:R187">TRANSPOSE(inputs!R$51:R$65)</f>
        <v>0</v>
      </c>
      <c r="E187" s="247">
        <v>0</v>
      </c>
      <c r="F187" s="247">
        <v>0</v>
      </c>
      <c r="G187" s="247">
        <v>0</v>
      </c>
      <c r="H187" s="247">
        <v>0</v>
      </c>
      <c r="I187" s="247">
        <v>0</v>
      </c>
      <c r="J187" s="247">
        <v>0</v>
      </c>
      <c r="K187" s="247">
        <v>0</v>
      </c>
      <c r="L187" s="247">
        <v>0</v>
      </c>
      <c r="M187" s="247">
        <v>0</v>
      </c>
      <c r="N187" s="247">
        <v>0</v>
      </c>
      <c r="O187" s="247">
        <v>0</v>
      </c>
      <c r="P187" s="247">
        <v>0</v>
      </c>
      <c r="Q187" s="247">
        <v>0</v>
      </c>
      <c r="R187" s="247">
        <v>0</v>
      </c>
      <c r="T187" s="239">
        <f t="shared" si="57"/>
        <v>0</v>
      </c>
    </row>
    <row r="188" spans="1:20" outlineLevel="2" x14ac:dyDescent="0.25">
      <c r="A188" s="259" t="s">
        <v>734</v>
      </c>
      <c r="B188" s="259" t="s">
        <v>14</v>
      </c>
      <c r="C188" s="193" t="s">
        <v>482</v>
      </c>
      <c r="D188" s="247" cm="1">
        <f t="array" ref="D188:R188">TRANSPOSE(inputs!AN$51:AN$65)</f>
        <v>0</v>
      </c>
      <c r="E188" s="247">
        <v>0</v>
      </c>
      <c r="F188" s="247">
        <v>0</v>
      </c>
      <c r="G188" s="247">
        <v>0</v>
      </c>
      <c r="H188" s="247">
        <v>0</v>
      </c>
      <c r="I188" s="247">
        <v>0</v>
      </c>
      <c r="J188" s="247">
        <v>493410.63</v>
      </c>
      <c r="K188" s="247">
        <v>831222.47</v>
      </c>
      <c r="L188" s="247">
        <v>229516.7</v>
      </c>
      <c r="M188" s="247">
        <v>314892.83</v>
      </c>
      <c r="N188" s="247">
        <v>378061.31</v>
      </c>
      <c r="O188" s="247">
        <v>0</v>
      </c>
      <c r="P188" s="247">
        <v>313227.59000000003</v>
      </c>
      <c r="Q188" s="247">
        <v>0</v>
      </c>
      <c r="R188" s="247">
        <v>528249.98</v>
      </c>
      <c r="T188" s="239">
        <f t="shared" si="57"/>
        <v>3088581.51</v>
      </c>
    </row>
    <row r="189" spans="1:20" outlineLevel="2" collapsed="1" x14ac:dyDescent="0.25">
      <c r="A189" s="259" t="s">
        <v>735</v>
      </c>
      <c r="B189" s="259" t="s">
        <v>17</v>
      </c>
      <c r="C189" s="193" t="s">
        <v>482</v>
      </c>
      <c r="D189" s="247" cm="1">
        <f t="array" ref="D189:R189">TRANSPOSE(inputs!CF$51:CF$65)</f>
        <v>0</v>
      </c>
      <c r="E189" s="247">
        <v>0</v>
      </c>
      <c r="F189" s="247">
        <v>236708.67</v>
      </c>
      <c r="G189" s="247">
        <v>273233.02</v>
      </c>
      <c r="H189" s="247">
        <v>0</v>
      </c>
      <c r="I189" s="247">
        <v>0</v>
      </c>
      <c r="J189" s="247">
        <v>504350.63</v>
      </c>
      <c r="K189" s="247">
        <v>249520.85</v>
      </c>
      <c r="L189" s="247">
        <v>315799.90000000002</v>
      </c>
      <c r="M189" s="247">
        <v>165252.20000000001</v>
      </c>
      <c r="N189" s="247">
        <v>200573.37</v>
      </c>
      <c r="O189" s="247">
        <v>0</v>
      </c>
      <c r="P189" s="247">
        <v>311984.76</v>
      </c>
      <c r="Q189" s="247">
        <v>378029.53</v>
      </c>
      <c r="R189" s="247">
        <v>472296.31</v>
      </c>
      <c r="T189" s="239">
        <f t="shared" ref="T189" si="62">SUM(D189:R189)</f>
        <v>3107749.2400000007</v>
      </c>
    </row>
    <row r="190" spans="1:20" outlineLevel="2" collapsed="1" x14ac:dyDescent="0.25">
      <c r="A190" s="259" t="s">
        <v>778</v>
      </c>
      <c r="B190" s="259" t="s">
        <v>15</v>
      </c>
      <c r="C190" s="193" t="s">
        <v>482</v>
      </c>
      <c r="D190" s="247" cm="1">
        <f t="array" ref="D190:R190">TRANSPOSE(inputs!AZ$51:AZ$65)</f>
        <v>0</v>
      </c>
      <c r="E190" s="247">
        <v>0</v>
      </c>
      <c r="F190" s="247">
        <v>0</v>
      </c>
      <c r="G190" s="247">
        <v>0</v>
      </c>
      <c r="H190" s="247">
        <v>0</v>
      </c>
      <c r="I190" s="247">
        <v>0</v>
      </c>
      <c r="J190" s="247">
        <v>0</v>
      </c>
      <c r="K190" s="247">
        <v>0</v>
      </c>
      <c r="L190" s="247">
        <v>0</v>
      </c>
      <c r="M190" s="247">
        <v>0</v>
      </c>
      <c r="N190" s="247">
        <v>0</v>
      </c>
      <c r="O190" s="247">
        <v>0</v>
      </c>
      <c r="P190" s="247">
        <v>513271.28</v>
      </c>
      <c r="Q190" s="247">
        <v>272968.38</v>
      </c>
      <c r="R190" s="247">
        <v>1245070.1599999999</v>
      </c>
      <c r="T190" s="239">
        <f t="shared" si="57"/>
        <v>2031309.8199999998</v>
      </c>
    </row>
    <row r="191" spans="1:20" outlineLevel="1" x14ac:dyDescent="0.25">
      <c r="A191" s="258" t="s">
        <v>736</v>
      </c>
      <c r="B191" s="258" t="s">
        <v>350</v>
      </c>
      <c r="C191" s="244" t="s">
        <v>737</v>
      </c>
      <c r="D191" s="245">
        <f>SUM(D$192:D$203)</f>
        <v>812640</v>
      </c>
      <c r="E191" s="245">
        <f t="shared" ref="E191:R191" si="63">SUM(E$192:E$203)</f>
        <v>0</v>
      </c>
      <c r="F191" s="245">
        <f t="shared" si="63"/>
        <v>0</v>
      </c>
      <c r="G191" s="245">
        <f t="shared" si="63"/>
        <v>2911033.91</v>
      </c>
      <c r="H191" s="245">
        <f t="shared" si="63"/>
        <v>5935913.0499999998</v>
      </c>
      <c r="I191" s="245">
        <f t="shared" si="63"/>
        <v>2404000</v>
      </c>
      <c r="J191" s="245">
        <f t="shared" si="63"/>
        <v>545906</v>
      </c>
      <c r="K191" s="245">
        <f t="shared" si="63"/>
        <v>7012000</v>
      </c>
      <c r="L191" s="245">
        <f t="shared" si="63"/>
        <v>500000</v>
      </c>
      <c r="M191" s="245">
        <f t="shared" si="63"/>
        <v>5750378.79</v>
      </c>
      <c r="N191" s="245">
        <f t="shared" si="63"/>
        <v>0</v>
      </c>
      <c r="O191" s="245">
        <f t="shared" si="63"/>
        <v>0</v>
      </c>
      <c r="P191" s="245">
        <f t="shared" si="63"/>
        <v>0</v>
      </c>
      <c r="Q191" s="245">
        <f t="shared" si="63"/>
        <v>0</v>
      </c>
      <c r="R191" s="245">
        <f t="shared" si="63"/>
        <v>0</v>
      </c>
      <c r="T191" s="239">
        <f t="shared" si="57"/>
        <v>25871871.75</v>
      </c>
    </row>
    <row r="192" spans="1:20" outlineLevel="2" x14ac:dyDescent="0.25">
      <c r="A192" s="259" t="s">
        <v>738</v>
      </c>
      <c r="B192" s="259" t="s">
        <v>739</v>
      </c>
      <c r="C192" s="193" t="s">
        <v>737</v>
      </c>
      <c r="D192" s="247" cm="1">
        <f t="array" ref="D192">SUMPRODUCT(
  fin[jan/25] *
  (fin[Id]=$B192)
)</f>
        <v>0</v>
      </c>
      <c r="E192" s="247" cm="1">
        <f t="array" ref="E192">SUMPRODUCT(
  fin[fev/25] *
  (fin[Id]=$B192)
)</f>
        <v>0</v>
      </c>
      <c r="F192" s="247" cm="1">
        <f t="array" ref="F192">SUMPRODUCT(
  fin[mar/25] *
  (fin[Id]=$B192)
)</f>
        <v>0</v>
      </c>
      <c r="G192" s="247" cm="1">
        <f t="array" ref="G192">SUMPRODUCT(
  fin[abr/25] *
  (fin[Id]=$B192)
)</f>
        <v>0</v>
      </c>
      <c r="H192" s="247" cm="1">
        <f t="array" ref="H192">SUMPRODUCT(
  fin[mai/25] *
  (fin[Id]=$B192)
)</f>
        <v>3185913.05</v>
      </c>
      <c r="I192" s="247" cm="1">
        <f t="array" ref="I192">SUMPRODUCT(
  fin[jun/25] *
  (fin[Id]=$B192)
)</f>
        <v>1604000</v>
      </c>
      <c r="J192" s="247" cm="1">
        <f t="array" ref="J192">SUMPRODUCT(
  fin[jul/25] *
  (fin[Id]=$B192)
)</f>
        <v>0</v>
      </c>
      <c r="K192" s="247" cm="1">
        <f t="array" ref="K192">SUMPRODUCT(
  fin[ago/25] *
  (fin[Id]=$B192)
)</f>
        <v>0</v>
      </c>
      <c r="L192" s="247" cm="1">
        <f t="array" ref="L192">SUMPRODUCT(
  fin[set/25] *
  (fin[Id]=$B192)
)</f>
        <v>0</v>
      </c>
      <c r="M192" s="247" cm="1">
        <f t="array" ref="M192">SUMPRODUCT(
  fin[out/25] *
  (fin[Id]=$B192)
)</f>
        <v>5750378.79</v>
      </c>
      <c r="N192" s="247" cm="1">
        <f t="array" ref="N192">SUMPRODUCT(
  fin[nov/25] *
  (fin[Id]=$B192)
)</f>
        <v>0</v>
      </c>
      <c r="O192" s="247" cm="1">
        <f t="array" ref="O192">SUMPRODUCT(
  fin[dez/25] *
  (fin[Id]=$B192)
)</f>
        <v>0</v>
      </c>
      <c r="P192" s="247" cm="1">
        <f t="array" ref="P192">SUMPRODUCT(
  fin[jan/26] *
  (fin[Id]=$B192)
)</f>
        <v>0</v>
      </c>
      <c r="Q192" s="247" cm="1">
        <f t="array" ref="Q192">SUMPRODUCT(
  fin[fev/26] *
  (fin[Id]=$B192)
)</f>
        <v>0</v>
      </c>
      <c r="R192" s="247" cm="1">
        <f t="array" ref="R192">SUMPRODUCT(
  fin[mar/26] *
  (fin[Id]=$B192)
)</f>
        <v>0</v>
      </c>
      <c r="T192" s="239">
        <f t="shared" ref="T192" si="64">SUM(D192:R192)</f>
        <v>10540291.84</v>
      </c>
    </row>
    <row r="193" spans="1:20" outlineLevel="2" x14ac:dyDescent="0.25">
      <c r="A193" s="259" t="s">
        <v>738</v>
      </c>
      <c r="B193" s="259" t="s">
        <v>740</v>
      </c>
      <c r="C193" s="193" t="s">
        <v>737</v>
      </c>
      <c r="D193" s="247" cm="1">
        <f t="array" ref="D193">SUMPRODUCT(
  fin[jan/25] *
  (fin[Id]=$B193)
)</f>
        <v>0</v>
      </c>
      <c r="E193" s="247" cm="1">
        <f t="array" ref="E193">SUMPRODUCT(
  fin[fev/25] *
  (fin[Id]=$B193)
)</f>
        <v>0</v>
      </c>
      <c r="F193" s="247" cm="1">
        <f t="array" ref="F193">SUMPRODUCT(
  fin[mar/25] *
  (fin[Id]=$B193)
)</f>
        <v>0</v>
      </c>
      <c r="G193" s="247" cm="1">
        <f t="array" ref="G193">SUMPRODUCT(
  fin[abr/25] *
  (fin[Id]=$B193)
)</f>
        <v>0</v>
      </c>
      <c r="H193" s="247" cm="1">
        <f t="array" ref="H193">SUMPRODUCT(
  fin[mai/25] *
  (fin[Id]=$B193)
)</f>
        <v>0</v>
      </c>
      <c r="I193" s="247" cm="1">
        <f t="array" ref="I193">SUMPRODUCT(
  fin[jun/25] *
  (fin[Id]=$B193)
)</f>
        <v>0</v>
      </c>
      <c r="J193" s="247" cm="1">
        <f t="array" ref="J193">SUMPRODUCT(
  fin[jul/25] *
  (fin[Id]=$B193)
)</f>
        <v>0</v>
      </c>
      <c r="K193" s="247" cm="1">
        <f t="array" ref="K193">SUMPRODUCT(
  fin[ago/25] *
  (fin[Id]=$B193)
)</f>
        <v>6000000</v>
      </c>
      <c r="L193" s="247" cm="1">
        <f t="array" ref="L193">SUMPRODUCT(
  fin[set/25] *
  (fin[Id]=$B193)
)</f>
        <v>0</v>
      </c>
      <c r="M193" s="247" cm="1">
        <f t="array" ref="M193">SUMPRODUCT(
  fin[out/25] *
  (fin[Id]=$B193)
)</f>
        <v>0</v>
      </c>
      <c r="N193" s="247" cm="1">
        <f t="array" ref="N193">SUMPRODUCT(
  fin[nov/25] *
  (fin[Id]=$B193)
)</f>
        <v>0</v>
      </c>
      <c r="O193" s="247" cm="1">
        <f t="array" ref="O193">SUMPRODUCT(
  fin[dez/25] *
  (fin[Id]=$B193)
)</f>
        <v>0</v>
      </c>
      <c r="P193" s="247" cm="1">
        <f t="array" ref="P193">SUMPRODUCT(
  fin[jan/26] *
  (fin[Id]=$B193)
)</f>
        <v>0</v>
      </c>
      <c r="Q193" s="247" cm="1">
        <f t="array" ref="Q193">SUMPRODUCT(
  fin[fev/26] *
  (fin[Id]=$B193)
)</f>
        <v>0</v>
      </c>
      <c r="R193" s="247" cm="1">
        <f t="array" ref="R193">SUMPRODUCT(
  fin[mar/26] *
  (fin[Id]=$B193)
)</f>
        <v>0</v>
      </c>
      <c r="T193" s="239">
        <f t="shared" ref="T193:T194" si="65">SUM(D193:R193)</f>
        <v>6000000</v>
      </c>
    </row>
    <row r="194" spans="1:20" outlineLevel="2" x14ac:dyDescent="0.25">
      <c r="A194" s="259" t="s">
        <v>738</v>
      </c>
      <c r="B194" s="259" t="s">
        <v>741</v>
      </c>
      <c r="C194" s="193" t="s">
        <v>737</v>
      </c>
      <c r="D194" s="247" cm="1">
        <f t="array" ref="D194">SUMPRODUCT(
  fin[jan/25] *
  (fin[Id]=$B194)
)</f>
        <v>0</v>
      </c>
      <c r="E194" s="247" cm="1">
        <f t="array" ref="E194">SUMPRODUCT(
  fin[fev/25] *
  (fin[Id]=$B194)
)</f>
        <v>0</v>
      </c>
      <c r="F194" s="247" cm="1">
        <f t="array" ref="F194">SUMPRODUCT(
  fin[mar/25] *
  (fin[Id]=$B194)
)</f>
        <v>0</v>
      </c>
      <c r="G194" s="247" cm="1">
        <f t="array" ref="G194">SUMPRODUCT(
  fin[abr/25] *
  (fin[Id]=$B194)
)</f>
        <v>0</v>
      </c>
      <c r="H194" s="247" cm="1">
        <f t="array" ref="H194">SUMPRODUCT(
  fin[mai/25] *
  (fin[Id]=$B194)
)</f>
        <v>0</v>
      </c>
      <c r="I194" s="247" cm="1">
        <f t="array" ref="I194">SUMPRODUCT(
  fin[jun/25] *
  (fin[Id]=$B194)
)</f>
        <v>0</v>
      </c>
      <c r="J194" s="247" cm="1">
        <f t="array" ref="J194">SUMPRODUCT(
  fin[jul/25] *
  (fin[Id]=$B194)
)</f>
        <v>0</v>
      </c>
      <c r="K194" s="247" cm="1">
        <f t="array" ref="K194">SUMPRODUCT(
  fin[ago/25] *
  (fin[Id]=$B194)
)</f>
        <v>0</v>
      </c>
      <c r="L194" s="247" cm="1">
        <f t="array" ref="L194">SUMPRODUCT(
  fin[set/25] *
  (fin[Id]=$B194)
)</f>
        <v>0</v>
      </c>
      <c r="M194" s="247" cm="1">
        <f t="array" ref="M194">SUMPRODUCT(
  fin[out/25] *
  (fin[Id]=$B194)
)</f>
        <v>0</v>
      </c>
      <c r="N194" s="247" cm="1">
        <f t="array" ref="N194">SUMPRODUCT(
  fin[nov/25] *
  (fin[Id]=$B194)
)</f>
        <v>0</v>
      </c>
      <c r="O194" s="247" cm="1">
        <f t="array" ref="O194">SUMPRODUCT(
  fin[dez/25] *
  (fin[Id]=$B194)
)</f>
        <v>0</v>
      </c>
      <c r="P194" s="247" cm="1">
        <f t="array" ref="P194">SUMPRODUCT(
  fin[jan/26] *
  (fin[Id]=$B194)
)</f>
        <v>0</v>
      </c>
      <c r="Q194" s="247" cm="1">
        <f t="array" ref="Q194">SUMPRODUCT(
  fin[fev/26] *
  (fin[Id]=$B194)
)</f>
        <v>0</v>
      </c>
      <c r="R194" s="247" cm="1">
        <f t="array" ref="R194">SUMPRODUCT(
  fin[mar/26] *
  (fin[Id]=$B194)
)</f>
        <v>0</v>
      </c>
      <c r="T194" s="239">
        <f t="shared" si="65"/>
        <v>0</v>
      </c>
    </row>
    <row r="195" spans="1:20" outlineLevel="2" x14ac:dyDescent="0.25">
      <c r="A195" s="259" t="s">
        <v>738</v>
      </c>
      <c r="B195" s="259" t="s">
        <v>742</v>
      </c>
      <c r="C195" s="193" t="s">
        <v>737</v>
      </c>
      <c r="D195" s="247" cm="1">
        <f t="array" ref="D195">SUMPRODUCT(
  fin[jan/25] *
  (fin[Id]=$B195)
)</f>
        <v>0</v>
      </c>
      <c r="E195" s="247" cm="1">
        <f t="array" ref="E195">SUMPRODUCT(
  fin[fev/25] *
  (fin[Id]=$B195)
)</f>
        <v>0</v>
      </c>
      <c r="F195" s="247" cm="1">
        <f t="array" ref="F195">SUMPRODUCT(
  fin[mar/25] *
  (fin[Id]=$B195)
)</f>
        <v>0</v>
      </c>
      <c r="G195" s="247" cm="1">
        <f t="array" ref="G195">SUMPRODUCT(
  fin[abr/25] *
  (fin[Id]=$B195)
)</f>
        <v>2911033.91</v>
      </c>
      <c r="H195" s="247" cm="1">
        <f t="array" ref="H195">SUMPRODUCT(
  fin[mai/25] *
  (fin[Id]=$B195)
)</f>
        <v>0</v>
      </c>
      <c r="I195" s="247" cm="1">
        <f t="array" ref="I195">SUMPRODUCT(
  fin[jun/25] *
  (fin[Id]=$B195)
)</f>
        <v>0</v>
      </c>
      <c r="J195" s="247" cm="1">
        <f t="array" ref="J195">SUMPRODUCT(
  fin[jul/25] *
  (fin[Id]=$B195)
)</f>
        <v>0</v>
      </c>
      <c r="K195" s="247" cm="1">
        <f t="array" ref="K195">SUMPRODUCT(
  fin[ago/25] *
  (fin[Id]=$B195)
)</f>
        <v>0</v>
      </c>
      <c r="L195" s="247" cm="1">
        <f t="array" ref="L195">SUMPRODUCT(
  fin[set/25] *
  (fin[Id]=$B195)
)</f>
        <v>0</v>
      </c>
      <c r="M195" s="247" cm="1">
        <f t="array" ref="M195">SUMPRODUCT(
  fin[out/25] *
  (fin[Id]=$B195)
)</f>
        <v>0</v>
      </c>
      <c r="N195" s="247" cm="1">
        <f t="array" ref="N195">SUMPRODUCT(
  fin[nov/25] *
  (fin[Id]=$B195)
)</f>
        <v>0</v>
      </c>
      <c r="O195" s="247" cm="1">
        <f t="array" ref="O195">SUMPRODUCT(
  fin[dez/25] *
  (fin[Id]=$B195)
)</f>
        <v>0</v>
      </c>
      <c r="P195" s="247" cm="1">
        <f t="array" ref="P195">SUMPRODUCT(
  fin[jan/26] *
  (fin[Id]=$B195)
)</f>
        <v>0</v>
      </c>
      <c r="Q195" s="247" cm="1">
        <f t="array" ref="Q195">SUMPRODUCT(
  fin[fev/26] *
  (fin[Id]=$B195)
)</f>
        <v>0</v>
      </c>
      <c r="R195" s="247" cm="1">
        <f t="array" ref="R195">SUMPRODUCT(
  fin[mar/26] *
  (fin[Id]=$B195)
)</f>
        <v>0</v>
      </c>
      <c r="T195" s="239">
        <f t="shared" ref="T195:T203" si="66">SUM(D195:R195)</f>
        <v>2911033.91</v>
      </c>
    </row>
    <row r="196" spans="1:20" outlineLevel="2" x14ac:dyDescent="0.25">
      <c r="A196" s="259" t="s">
        <v>738</v>
      </c>
      <c r="B196" s="259" t="s">
        <v>743</v>
      </c>
      <c r="C196" s="193" t="s">
        <v>737</v>
      </c>
      <c r="D196" s="247" cm="1">
        <f t="array" ref="D196">SUMPRODUCT(
  fin[jan/25] *
  (fin[Id]=$B196)
)</f>
        <v>0</v>
      </c>
      <c r="E196" s="247" cm="1">
        <f t="array" ref="E196">SUMPRODUCT(
  fin[fev/25] *
  (fin[Id]=$B196)
)</f>
        <v>0</v>
      </c>
      <c r="F196" s="247" cm="1">
        <f t="array" ref="F196">SUMPRODUCT(
  fin[mar/25] *
  (fin[Id]=$B196)
)</f>
        <v>0</v>
      </c>
      <c r="G196" s="247" cm="1">
        <f t="array" ref="G196">SUMPRODUCT(
  fin[abr/25] *
  (fin[Id]=$B196)
)</f>
        <v>0</v>
      </c>
      <c r="H196" s="247" cm="1">
        <f t="array" ref="H196">SUMPRODUCT(
  fin[mai/25] *
  (fin[Id]=$B196)
)</f>
        <v>2750000</v>
      </c>
      <c r="I196" s="247" cm="1">
        <f t="array" ref="I196">SUMPRODUCT(
  fin[jun/25] *
  (fin[Id]=$B196)
)</f>
        <v>0</v>
      </c>
      <c r="J196" s="247" cm="1">
        <f t="array" ref="J196">SUMPRODUCT(
  fin[jul/25] *
  (fin[Id]=$B196)
)</f>
        <v>0</v>
      </c>
      <c r="K196" s="247" cm="1">
        <f t="array" ref="K196">SUMPRODUCT(
  fin[ago/25] *
  (fin[Id]=$B196)
)</f>
        <v>0</v>
      </c>
      <c r="L196" s="247" cm="1">
        <f t="array" ref="L196">SUMPRODUCT(
  fin[set/25] *
  (fin[Id]=$B196)
)</f>
        <v>0</v>
      </c>
      <c r="M196" s="247" cm="1">
        <f t="array" ref="M196">SUMPRODUCT(
  fin[out/25] *
  (fin[Id]=$B196)
)</f>
        <v>0</v>
      </c>
      <c r="N196" s="247" cm="1">
        <f t="array" ref="N196">SUMPRODUCT(
  fin[nov/25] *
  (fin[Id]=$B196)
)</f>
        <v>0</v>
      </c>
      <c r="O196" s="247" cm="1">
        <f t="array" ref="O196">SUMPRODUCT(
  fin[dez/25] *
  (fin[Id]=$B196)
)</f>
        <v>0</v>
      </c>
      <c r="P196" s="247" cm="1">
        <f t="array" ref="P196">SUMPRODUCT(
  fin[jan/26] *
  (fin[Id]=$B196)
)</f>
        <v>0</v>
      </c>
      <c r="Q196" s="247" cm="1">
        <f t="array" ref="Q196">SUMPRODUCT(
  fin[fev/26] *
  (fin[Id]=$B196)
)</f>
        <v>0</v>
      </c>
      <c r="R196" s="247" cm="1">
        <f t="array" ref="R196">SUMPRODUCT(
  fin[mar/26] *
  (fin[Id]=$B196)
)</f>
        <v>0</v>
      </c>
      <c r="T196" s="239">
        <f t="shared" si="66"/>
        <v>2750000</v>
      </c>
    </row>
    <row r="197" spans="1:20" outlineLevel="2" x14ac:dyDescent="0.25">
      <c r="A197" s="259" t="s">
        <v>738</v>
      </c>
      <c r="B197" s="259" t="s">
        <v>744</v>
      </c>
      <c r="C197" s="193" t="s">
        <v>737</v>
      </c>
      <c r="D197" s="247" cm="1">
        <f t="array" ref="D197">SUMPRODUCT(
  fin[jan/25] *
  (fin[Id]=$B197)
)</f>
        <v>812640</v>
      </c>
      <c r="E197" s="247" cm="1">
        <f t="array" ref="E197">SUMPRODUCT(
  fin[fev/25] *
  (fin[Id]=$B197)
)</f>
        <v>0</v>
      </c>
      <c r="F197" s="247" cm="1">
        <f t="array" ref="F197">SUMPRODUCT(
  fin[mar/25] *
  (fin[Id]=$B197)
)</f>
        <v>0</v>
      </c>
      <c r="G197" s="247" cm="1">
        <f t="array" ref="G197">SUMPRODUCT(
  fin[abr/25] *
  (fin[Id]=$B197)
)</f>
        <v>0</v>
      </c>
      <c r="H197" s="247" cm="1">
        <f t="array" ref="H197">SUMPRODUCT(
  fin[mai/25] *
  (fin[Id]=$B197)
)</f>
        <v>0</v>
      </c>
      <c r="I197" s="247" cm="1">
        <f t="array" ref="I197">SUMPRODUCT(
  fin[jun/25] *
  (fin[Id]=$B197)
)</f>
        <v>0</v>
      </c>
      <c r="J197" s="247" cm="1">
        <f t="array" ref="J197">SUMPRODUCT(
  fin[jul/25] *
  (fin[Id]=$B197)
)</f>
        <v>0</v>
      </c>
      <c r="K197" s="247" cm="1">
        <f t="array" ref="K197">SUMPRODUCT(
  fin[ago/25] *
  (fin[Id]=$B197)
)</f>
        <v>0</v>
      </c>
      <c r="L197" s="247" cm="1">
        <f t="array" ref="L197">SUMPRODUCT(
  fin[set/25] *
  (fin[Id]=$B197)
)</f>
        <v>0</v>
      </c>
      <c r="M197" s="247" cm="1">
        <f t="array" ref="M197">SUMPRODUCT(
  fin[out/25] *
  (fin[Id]=$B197)
)</f>
        <v>0</v>
      </c>
      <c r="N197" s="247" cm="1">
        <f t="array" ref="N197">SUMPRODUCT(
  fin[nov/25] *
  (fin[Id]=$B197)
)</f>
        <v>0</v>
      </c>
      <c r="O197" s="247" cm="1">
        <f t="array" ref="O197">SUMPRODUCT(
  fin[dez/25] *
  (fin[Id]=$B197)
)</f>
        <v>0</v>
      </c>
      <c r="P197" s="247" cm="1">
        <f t="array" ref="P197">SUMPRODUCT(
  fin[jan/26] *
  (fin[Id]=$B197)
)</f>
        <v>0</v>
      </c>
      <c r="Q197" s="247" cm="1">
        <f t="array" ref="Q197">SUMPRODUCT(
  fin[fev/26] *
  (fin[Id]=$B197)
)</f>
        <v>0</v>
      </c>
      <c r="R197" s="247" cm="1">
        <f t="array" ref="R197">SUMPRODUCT(
  fin[mar/26] *
  (fin[Id]=$B197)
)</f>
        <v>0</v>
      </c>
      <c r="T197" s="239">
        <f t="shared" si="66"/>
        <v>812640</v>
      </c>
    </row>
    <row r="198" spans="1:20" outlineLevel="2" x14ac:dyDescent="0.25">
      <c r="A198" s="259" t="s">
        <v>738</v>
      </c>
      <c r="B198" s="259" t="s">
        <v>745</v>
      </c>
      <c r="C198" s="193" t="s">
        <v>737</v>
      </c>
      <c r="D198" s="247" cm="1">
        <f t="array" ref="D198">SUMPRODUCT(
  fin[jan/25] *
  (fin[Id]=$B198)
)</f>
        <v>0</v>
      </c>
      <c r="E198" s="247" cm="1">
        <f t="array" ref="E198">SUMPRODUCT(
  fin[fev/25] *
  (fin[Id]=$B198)
)</f>
        <v>0</v>
      </c>
      <c r="F198" s="247" cm="1">
        <f t="array" ref="F198">SUMPRODUCT(
  fin[mar/25] *
  (fin[Id]=$B198)
)</f>
        <v>0</v>
      </c>
      <c r="G198" s="247" cm="1">
        <f t="array" ref="G198">SUMPRODUCT(
  fin[abr/25] *
  (fin[Id]=$B198)
)</f>
        <v>0</v>
      </c>
      <c r="H198" s="247" cm="1">
        <f t="array" ref="H198">SUMPRODUCT(
  fin[mai/25] *
  (fin[Id]=$B198)
)</f>
        <v>0</v>
      </c>
      <c r="I198" s="247" cm="1">
        <f t="array" ref="I198">SUMPRODUCT(
  fin[jun/25] *
  (fin[Id]=$B198)
)</f>
        <v>0</v>
      </c>
      <c r="J198" s="247" cm="1">
        <f t="array" ref="J198">SUMPRODUCT(
  fin[jul/25] *
  (fin[Id]=$B198)
)</f>
        <v>0</v>
      </c>
      <c r="K198" s="247" cm="1">
        <f t="array" ref="K198">SUMPRODUCT(
  fin[ago/25] *
  (fin[Id]=$B198)
)</f>
        <v>612000</v>
      </c>
      <c r="L198" s="247" cm="1">
        <f t="array" ref="L198">SUMPRODUCT(
  fin[set/25] *
  (fin[Id]=$B198)
)</f>
        <v>0</v>
      </c>
      <c r="M198" s="247" cm="1">
        <f t="array" ref="M198">SUMPRODUCT(
  fin[out/25] *
  (fin[Id]=$B198)
)</f>
        <v>0</v>
      </c>
      <c r="N198" s="247" cm="1">
        <f t="array" ref="N198">SUMPRODUCT(
  fin[nov/25] *
  (fin[Id]=$B198)
)</f>
        <v>0</v>
      </c>
      <c r="O198" s="247" cm="1">
        <f t="array" ref="O198">SUMPRODUCT(
  fin[dez/25] *
  (fin[Id]=$B198)
)</f>
        <v>0</v>
      </c>
      <c r="P198" s="247" cm="1">
        <f t="array" ref="P198">SUMPRODUCT(
  fin[jan/26] *
  (fin[Id]=$B198)
)</f>
        <v>0</v>
      </c>
      <c r="Q198" s="247" cm="1">
        <f t="array" ref="Q198">SUMPRODUCT(
  fin[fev/26] *
  (fin[Id]=$B198)
)</f>
        <v>0</v>
      </c>
      <c r="R198" s="247" cm="1">
        <f t="array" ref="R198">SUMPRODUCT(
  fin[mar/26] *
  (fin[Id]=$B198)
)</f>
        <v>0</v>
      </c>
      <c r="T198" s="239">
        <f t="shared" si="66"/>
        <v>612000</v>
      </c>
    </row>
    <row r="199" spans="1:20" outlineLevel="2" x14ac:dyDescent="0.25">
      <c r="A199" s="259" t="s">
        <v>738</v>
      </c>
      <c r="B199" s="259" t="s">
        <v>746</v>
      </c>
      <c r="C199" s="193" t="s">
        <v>737</v>
      </c>
      <c r="D199" s="247" cm="1">
        <f t="array" ref="D199">SUMPRODUCT(
  fin[jan/25] *
  (fin[Id]=$B199)
)</f>
        <v>0</v>
      </c>
      <c r="E199" s="247" cm="1">
        <f t="array" ref="E199">SUMPRODUCT(
  fin[fev/25] *
  (fin[Id]=$B199)
)</f>
        <v>0</v>
      </c>
      <c r="F199" s="247" cm="1">
        <f t="array" ref="F199">SUMPRODUCT(
  fin[mar/25] *
  (fin[Id]=$B199)
)</f>
        <v>0</v>
      </c>
      <c r="G199" s="247" cm="1">
        <f t="array" ref="G199">SUMPRODUCT(
  fin[abr/25] *
  (fin[Id]=$B199)
)</f>
        <v>0</v>
      </c>
      <c r="H199" s="247" cm="1">
        <f t="array" ref="H199">SUMPRODUCT(
  fin[mai/25] *
  (fin[Id]=$B199)
)</f>
        <v>0</v>
      </c>
      <c r="I199" s="247" cm="1">
        <f t="array" ref="I199">SUMPRODUCT(
  fin[jun/25] *
  (fin[Id]=$B199)
)</f>
        <v>0</v>
      </c>
      <c r="J199" s="247" cm="1">
        <f t="array" ref="J199">SUMPRODUCT(
  fin[jul/25] *
  (fin[Id]=$B199)
)</f>
        <v>545906</v>
      </c>
      <c r="K199" s="247" cm="1">
        <f t="array" ref="K199">SUMPRODUCT(
  fin[ago/25] *
  (fin[Id]=$B199)
)</f>
        <v>0</v>
      </c>
      <c r="L199" s="247" cm="1">
        <f t="array" ref="L199">SUMPRODUCT(
  fin[set/25] *
  (fin[Id]=$B199)
)</f>
        <v>0</v>
      </c>
      <c r="M199" s="247" cm="1">
        <f t="array" ref="M199">SUMPRODUCT(
  fin[out/25] *
  (fin[Id]=$B199)
)</f>
        <v>0</v>
      </c>
      <c r="N199" s="247" cm="1">
        <f t="array" ref="N199">SUMPRODUCT(
  fin[nov/25] *
  (fin[Id]=$B199)
)</f>
        <v>0</v>
      </c>
      <c r="O199" s="247" cm="1">
        <f t="array" ref="O199">SUMPRODUCT(
  fin[dez/25] *
  (fin[Id]=$B199)
)</f>
        <v>0</v>
      </c>
      <c r="P199" s="247" cm="1">
        <f t="array" ref="P199">SUMPRODUCT(
  fin[jan/26] *
  (fin[Id]=$B199)
)</f>
        <v>0</v>
      </c>
      <c r="Q199" s="247" cm="1">
        <f t="array" ref="Q199">SUMPRODUCT(
  fin[fev/26] *
  (fin[Id]=$B199)
)</f>
        <v>0</v>
      </c>
      <c r="R199" s="247" cm="1">
        <f t="array" ref="R199">SUMPRODUCT(
  fin[mar/26] *
  (fin[Id]=$B199)
)</f>
        <v>0</v>
      </c>
      <c r="T199" s="239">
        <f t="shared" si="66"/>
        <v>545906</v>
      </c>
    </row>
    <row r="200" spans="1:20" outlineLevel="2" x14ac:dyDescent="0.25">
      <c r="A200" s="259" t="s">
        <v>738</v>
      </c>
      <c r="B200" s="259" t="s">
        <v>747</v>
      </c>
      <c r="C200" s="193" t="s">
        <v>737</v>
      </c>
      <c r="D200" s="247" cm="1">
        <f t="array" ref="D200">SUMPRODUCT(
  fin[jan/25] *
  (fin[Id]=$B200)
)</f>
        <v>0</v>
      </c>
      <c r="E200" s="247" cm="1">
        <f t="array" ref="E200">SUMPRODUCT(
  fin[fev/25] *
  (fin[Id]=$B200)
)</f>
        <v>0</v>
      </c>
      <c r="F200" s="247" cm="1">
        <f t="array" ref="F200">SUMPRODUCT(
  fin[mar/25] *
  (fin[Id]=$B200)
)</f>
        <v>0</v>
      </c>
      <c r="G200" s="247" cm="1">
        <f t="array" ref="G200">SUMPRODUCT(
  fin[abr/25] *
  (fin[Id]=$B200)
)</f>
        <v>0</v>
      </c>
      <c r="H200" s="247" cm="1">
        <f t="array" ref="H200">SUMPRODUCT(
  fin[mai/25] *
  (fin[Id]=$B200)
)</f>
        <v>0</v>
      </c>
      <c r="I200" s="247" cm="1">
        <f t="array" ref="I200">SUMPRODUCT(
  fin[jun/25] *
  (fin[Id]=$B200)
)</f>
        <v>500000</v>
      </c>
      <c r="J200" s="247" cm="1">
        <f t="array" ref="J200">SUMPRODUCT(
  fin[jul/25] *
  (fin[Id]=$B200)
)</f>
        <v>0</v>
      </c>
      <c r="K200" s="247" cm="1">
        <f t="array" ref="K200">SUMPRODUCT(
  fin[ago/25] *
  (fin[Id]=$B200)
)</f>
        <v>0</v>
      </c>
      <c r="L200" s="247" cm="1">
        <f t="array" ref="L200">SUMPRODUCT(
  fin[set/25] *
  (fin[Id]=$B200)
)</f>
        <v>0</v>
      </c>
      <c r="M200" s="247" cm="1">
        <f t="array" ref="M200">SUMPRODUCT(
  fin[out/25] *
  (fin[Id]=$B200)
)</f>
        <v>0</v>
      </c>
      <c r="N200" s="247" cm="1">
        <f t="array" ref="N200">SUMPRODUCT(
  fin[nov/25] *
  (fin[Id]=$B200)
)</f>
        <v>0</v>
      </c>
      <c r="O200" s="247" cm="1">
        <f t="array" ref="O200">SUMPRODUCT(
  fin[dez/25] *
  (fin[Id]=$B200)
)</f>
        <v>0</v>
      </c>
      <c r="P200" s="247" cm="1">
        <f t="array" ref="P200">SUMPRODUCT(
  fin[jan/26] *
  (fin[Id]=$B200)
)</f>
        <v>0</v>
      </c>
      <c r="Q200" s="247" cm="1">
        <f t="array" ref="Q200">SUMPRODUCT(
  fin[fev/26] *
  (fin[Id]=$B200)
)</f>
        <v>0</v>
      </c>
      <c r="R200" s="247" cm="1">
        <f t="array" ref="R200">SUMPRODUCT(
  fin[mar/26] *
  (fin[Id]=$B200)
)</f>
        <v>0</v>
      </c>
      <c r="T200" s="239">
        <f t="shared" si="66"/>
        <v>500000</v>
      </c>
    </row>
    <row r="201" spans="1:20" outlineLevel="2" x14ac:dyDescent="0.25">
      <c r="A201" s="259" t="s">
        <v>738</v>
      </c>
      <c r="B201" s="259" t="s">
        <v>748</v>
      </c>
      <c r="C201" s="193" t="s">
        <v>737</v>
      </c>
      <c r="D201" s="247" cm="1">
        <f t="array" ref="D201">SUMPRODUCT(
  fin[jan/25] *
  (fin[Id]=$B201)
)</f>
        <v>0</v>
      </c>
      <c r="E201" s="247" cm="1">
        <f t="array" ref="E201">SUMPRODUCT(
  fin[fev/25] *
  (fin[Id]=$B201)
)</f>
        <v>0</v>
      </c>
      <c r="F201" s="247" cm="1">
        <f t="array" ref="F201">SUMPRODUCT(
  fin[mar/25] *
  (fin[Id]=$B201)
)</f>
        <v>0</v>
      </c>
      <c r="G201" s="247" cm="1">
        <f t="array" ref="G201">SUMPRODUCT(
  fin[abr/25] *
  (fin[Id]=$B201)
)</f>
        <v>0</v>
      </c>
      <c r="H201" s="247" cm="1">
        <f t="array" ref="H201">SUMPRODUCT(
  fin[mai/25] *
  (fin[Id]=$B201)
)</f>
        <v>0</v>
      </c>
      <c r="I201" s="247" cm="1">
        <f t="array" ref="I201">SUMPRODUCT(
  fin[jun/25] *
  (fin[Id]=$B201)
)</f>
        <v>0</v>
      </c>
      <c r="J201" s="247" cm="1">
        <f t="array" ref="J201">SUMPRODUCT(
  fin[jul/25] *
  (fin[Id]=$B201)
)</f>
        <v>0</v>
      </c>
      <c r="K201" s="247" cm="1">
        <f t="array" ref="K201">SUMPRODUCT(
  fin[ago/25] *
  (fin[Id]=$B201)
)</f>
        <v>0</v>
      </c>
      <c r="L201" s="247" cm="1">
        <f t="array" ref="L201">SUMPRODUCT(
  fin[set/25] *
  (fin[Id]=$B201)
)</f>
        <v>500000</v>
      </c>
      <c r="M201" s="247" cm="1">
        <f t="array" ref="M201">SUMPRODUCT(
  fin[out/25] *
  (fin[Id]=$B201)
)</f>
        <v>0</v>
      </c>
      <c r="N201" s="247" cm="1">
        <f t="array" ref="N201">SUMPRODUCT(
  fin[nov/25] *
  (fin[Id]=$B201)
)</f>
        <v>0</v>
      </c>
      <c r="O201" s="247" cm="1">
        <f t="array" ref="O201">SUMPRODUCT(
  fin[dez/25] *
  (fin[Id]=$B201)
)</f>
        <v>0</v>
      </c>
      <c r="P201" s="247" cm="1">
        <f t="array" ref="P201">SUMPRODUCT(
  fin[jan/26] *
  (fin[Id]=$B201)
)</f>
        <v>0</v>
      </c>
      <c r="Q201" s="247" cm="1">
        <f t="array" ref="Q201">SUMPRODUCT(
  fin[fev/26] *
  (fin[Id]=$B201)
)</f>
        <v>0</v>
      </c>
      <c r="R201" s="247" cm="1">
        <f t="array" ref="R201">SUMPRODUCT(
  fin[mar/26] *
  (fin[Id]=$B201)
)</f>
        <v>0</v>
      </c>
      <c r="T201" s="239">
        <f t="shared" si="66"/>
        <v>500000</v>
      </c>
    </row>
    <row r="202" spans="1:20" outlineLevel="2" x14ac:dyDescent="0.25">
      <c r="A202" s="259" t="s">
        <v>738</v>
      </c>
      <c r="B202" s="259" t="s">
        <v>749</v>
      </c>
      <c r="C202" s="193" t="s">
        <v>737</v>
      </c>
      <c r="D202" s="247" cm="1">
        <f t="array" ref="D202">SUMPRODUCT(
  fin[jan/25] *
  (fin[Id]=$B202)
)</f>
        <v>0</v>
      </c>
      <c r="E202" s="247" cm="1">
        <f t="array" ref="E202">SUMPRODUCT(
  fin[fev/25] *
  (fin[Id]=$B202)
)</f>
        <v>0</v>
      </c>
      <c r="F202" s="247" cm="1">
        <f t="array" ref="F202">SUMPRODUCT(
  fin[mar/25] *
  (fin[Id]=$B202)
)</f>
        <v>0</v>
      </c>
      <c r="G202" s="247" cm="1">
        <f t="array" ref="G202">SUMPRODUCT(
  fin[abr/25] *
  (fin[Id]=$B202)
)</f>
        <v>0</v>
      </c>
      <c r="H202" s="247" cm="1">
        <f t="array" ref="H202">SUMPRODUCT(
  fin[mai/25] *
  (fin[Id]=$B202)
)</f>
        <v>0</v>
      </c>
      <c r="I202" s="247" cm="1">
        <f t="array" ref="I202">SUMPRODUCT(
  fin[jun/25] *
  (fin[Id]=$B202)
)</f>
        <v>0</v>
      </c>
      <c r="J202" s="247" cm="1">
        <f t="array" ref="J202">SUMPRODUCT(
  fin[jul/25] *
  (fin[Id]=$B202)
)</f>
        <v>0</v>
      </c>
      <c r="K202" s="247" cm="1">
        <f t="array" ref="K202">SUMPRODUCT(
  fin[ago/25] *
  (fin[Id]=$B202)
)</f>
        <v>400000</v>
      </c>
      <c r="L202" s="247" cm="1">
        <f t="array" ref="L202">SUMPRODUCT(
  fin[set/25] *
  (fin[Id]=$B202)
)</f>
        <v>0</v>
      </c>
      <c r="M202" s="247" cm="1">
        <f t="array" ref="M202">SUMPRODUCT(
  fin[out/25] *
  (fin[Id]=$B202)
)</f>
        <v>0</v>
      </c>
      <c r="N202" s="247" cm="1">
        <f t="array" ref="N202">SUMPRODUCT(
  fin[nov/25] *
  (fin[Id]=$B202)
)</f>
        <v>0</v>
      </c>
      <c r="O202" s="247" cm="1">
        <f t="array" ref="O202">SUMPRODUCT(
  fin[dez/25] *
  (fin[Id]=$B202)
)</f>
        <v>0</v>
      </c>
      <c r="P202" s="247" cm="1">
        <f t="array" ref="P202">SUMPRODUCT(
  fin[jan/26] *
  (fin[Id]=$B202)
)</f>
        <v>0</v>
      </c>
      <c r="Q202" s="247" cm="1">
        <f t="array" ref="Q202">SUMPRODUCT(
  fin[fev/26] *
  (fin[Id]=$B202)
)</f>
        <v>0</v>
      </c>
      <c r="R202" s="247" cm="1">
        <f t="array" ref="R202">SUMPRODUCT(
  fin[mar/26] *
  (fin[Id]=$B202)
)</f>
        <v>0</v>
      </c>
      <c r="T202" s="239">
        <f t="shared" si="66"/>
        <v>400000</v>
      </c>
    </row>
    <row r="203" spans="1:20" outlineLevel="2" x14ac:dyDescent="0.25">
      <c r="A203" s="259" t="s">
        <v>738</v>
      </c>
      <c r="B203" s="259" t="s">
        <v>750</v>
      </c>
      <c r="C203" s="193" t="s">
        <v>737</v>
      </c>
      <c r="D203" s="247" cm="1">
        <f t="array" ref="D203">SUMPRODUCT(
  fin[jan/25] *
  (fin[Id]=$B203)
)</f>
        <v>0</v>
      </c>
      <c r="E203" s="247" cm="1">
        <f t="array" ref="E203">SUMPRODUCT(
  fin[fev/25] *
  (fin[Id]=$B203)
)</f>
        <v>0</v>
      </c>
      <c r="F203" s="247" cm="1">
        <f t="array" ref="F203">SUMPRODUCT(
  fin[mar/25] *
  (fin[Id]=$B203)
)</f>
        <v>0</v>
      </c>
      <c r="G203" s="247" cm="1">
        <f t="array" ref="G203">SUMPRODUCT(
  fin[abr/25] *
  (fin[Id]=$B203)
)</f>
        <v>0</v>
      </c>
      <c r="H203" s="247" cm="1">
        <f t="array" ref="H203">SUMPRODUCT(
  fin[mai/25] *
  (fin[Id]=$B203)
)</f>
        <v>0</v>
      </c>
      <c r="I203" s="247" cm="1">
        <f t="array" ref="I203">SUMPRODUCT(
  fin[jun/25] *
  (fin[Id]=$B203)
)</f>
        <v>300000</v>
      </c>
      <c r="J203" s="247" cm="1">
        <f t="array" ref="J203">SUMPRODUCT(
  fin[jul/25] *
  (fin[Id]=$B203)
)</f>
        <v>0</v>
      </c>
      <c r="K203" s="247" cm="1">
        <f t="array" ref="K203">SUMPRODUCT(
  fin[ago/25] *
  (fin[Id]=$B203)
)</f>
        <v>0</v>
      </c>
      <c r="L203" s="247" cm="1">
        <f t="array" ref="L203">SUMPRODUCT(
  fin[set/25] *
  (fin[Id]=$B203)
)</f>
        <v>0</v>
      </c>
      <c r="M203" s="247" cm="1">
        <f t="array" ref="M203">SUMPRODUCT(
  fin[out/25] *
  (fin[Id]=$B203)
)</f>
        <v>0</v>
      </c>
      <c r="N203" s="247" cm="1">
        <f t="array" ref="N203">SUMPRODUCT(
  fin[nov/25] *
  (fin[Id]=$B203)
)</f>
        <v>0</v>
      </c>
      <c r="O203" s="247" cm="1">
        <f t="array" ref="O203">SUMPRODUCT(
  fin[dez/25] *
  (fin[Id]=$B203)
)</f>
        <v>0</v>
      </c>
      <c r="P203" s="247" cm="1">
        <f t="array" ref="P203">SUMPRODUCT(
  fin[jan/26] *
  (fin[Id]=$B203)
)</f>
        <v>0</v>
      </c>
      <c r="Q203" s="247" cm="1">
        <f t="array" ref="Q203">SUMPRODUCT(
  fin[fev/26] *
  (fin[Id]=$B203)
)</f>
        <v>0</v>
      </c>
      <c r="R203" s="247" cm="1">
        <f t="array" ref="R203">SUMPRODUCT(
  fin[mar/26] *
  (fin[Id]=$B203)
)</f>
        <v>0</v>
      </c>
      <c r="T203" s="239">
        <f t="shared" si="66"/>
        <v>300000</v>
      </c>
    </row>
    <row r="204" spans="1:20" outlineLevel="1" x14ac:dyDescent="0.25">
      <c r="A204" s="243" t="s">
        <v>751</v>
      </c>
      <c r="B204" s="254" t="s">
        <v>752</v>
      </c>
      <c r="C204" s="244" t="s">
        <v>522</v>
      </c>
      <c r="D204" s="245"/>
      <c r="E204" s="245"/>
      <c r="F204" s="245"/>
      <c r="G204" s="245"/>
      <c r="H204" s="245"/>
      <c r="I204" s="245"/>
      <c r="J204" s="245"/>
      <c r="K204" s="245"/>
      <c r="L204" s="245"/>
      <c r="M204" s="245"/>
      <c r="N204" s="245"/>
      <c r="O204" s="245"/>
      <c r="P204" s="245"/>
      <c r="Q204" s="245"/>
      <c r="R204" s="245"/>
      <c r="T204" s="239">
        <f t="shared" ref="T204:T222" si="67">SUM(D204:R204)</f>
        <v>0</v>
      </c>
    </row>
    <row r="205" spans="1:20" x14ac:dyDescent="0.25">
      <c r="A205" s="249" t="s">
        <v>753</v>
      </c>
      <c r="B205" s="249" t="s">
        <v>754</v>
      </c>
      <c r="C205" s="255"/>
      <c r="D205" s="256">
        <f>SUM(D$206,D$222)</f>
        <v>0</v>
      </c>
      <c r="E205" s="256">
        <f t="shared" ref="E205:R205" si="68">SUM(E$206,E$222)</f>
        <v>0</v>
      </c>
      <c r="F205" s="256">
        <f t="shared" si="68"/>
        <v>0</v>
      </c>
      <c r="G205" s="256">
        <f t="shared" si="68"/>
        <v>0</v>
      </c>
      <c r="H205" s="256">
        <f t="shared" si="68"/>
        <v>0</v>
      </c>
      <c r="I205" s="256">
        <f t="shared" si="68"/>
        <v>0</v>
      </c>
      <c r="J205" s="256">
        <f t="shared" si="68"/>
        <v>0</v>
      </c>
      <c r="K205" s="256">
        <f t="shared" si="68"/>
        <v>0</v>
      </c>
      <c r="L205" s="256">
        <f t="shared" si="68"/>
        <v>0</v>
      </c>
      <c r="M205" s="256">
        <f t="shared" si="68"/>
        <v>-3000000</v>
      </c>
      <c r="N205" s="256">
        <f t="shared" si="68"/>
        <v>-4206456.13</v>
      </c>
      <c r="O205" s="256">
        <f t="shared" si="68"/>
        <v>0</v>
      </c>
      <c r="P205" s="256">
        <f t="shared" si="68"/>
        <v>0</v>
      </c>
      <c r="Q205" s="256">
        <f t="shared" si="68"/>
        <v>0</v>
      </c>
      <c r="R205" s="256">
        <f t="shared" si="68"/>
        <v>0</v>
      </c>
      <c r="T205" s="239">
        <f t="shared" si="67"/>
        <v>-7206456.1299999999</v>
      </c>
    </row>
    <row r="206" spans="1:20" outlineLevel="1" x14ac:dyDescent="0.25">
      <c r="A206" s="243" t="s">
        <v>755</v>
      </c>
      <c r="B206" s="248" t="s">
        <v>396</v>
      </c>
      <c r="C206" s="244" t="s">
        <v>522</v>
      </c>
      <c r="D206" s="245">
        <f t="shared" ref="D206:R206" si="69">SUM(D$207:D$221)</f>
        <v>0</v>
      </c>
      <c r="E206" s="245">
        <f t="shared" si="69"/>
        <v>0</v>
      </c>
      <c r="F206" s="245">
        <f t="shared" si="69"/>
        <v>0</v>
      </c>
      <c r="G206" s="245">
        <f t="shared" si="69"/>
        <v>0</v>
      </c>
      <c r="H206" s="245">
        <f t="shared" si="69"/>
        <v>0</v>
      </c>
      <c r="I206" s="245">
        <f t="shared" si="69"/>
        <v>0</v>
      </c>
      <c r="J206" s="245">
        <f t="shared" si="69"/>
        <v>0</v>
      </c>
      <c r="K206" s="245">
        <f t="shared" si="69"/>
        <v>0</v>
      </c>
      <c r="L206" s="245">
        <f t="shared" si="69"/>
        <v>0</v>
      </c>
      <c r="M206" s="245">
        <f t="shared" si="69"/>
        <v>-3000000</v>
      </c>
      <c r="N206" s="245">
        <f t="shared" si="69"/>
        <v>-4206456.13</v>
      </c>
      <c r="O206" s="245">
        <f t="shared" si="69"/>
        <v>0</v>
      </c>
      <c r="P206" s="245">
        <f t="shared" si="69"/>
        <v>0</v>
      </c>
      <c r="Q206" s="245">
        <f t="shared" si="69"/>
        <v>0</v>
      </c>
      <c r="R206" s="245">
        <f t="shared" si="69"/>
        <v>0</v>
      </c>
      <c r="T206" s="239">
        <f t="shared" si="67"/>
        <v>-7206456.1299999999</v>
      </c>
    </row>
    <row r="207" spans="1:20" outlineLevel="2" x14ac:dyDescent="0.25">
      <c r="A207" s="246" t="s">
        <v>756</v>
      </c>
      <c r="B207" s="246" t="s">
        <v>556</v>
      </c>
      <c r="C207" s="193" t="s">
        <v>522</v>
      </c>
      <c r="D207" s="247" cm="1">
        <f t="array" ref="D207">-SUMPRODUCT(
  desp[valor] *
  (desp[nucleo]=$B207) *
  (desp[centro.negocio]=$B$206) *
  (desp[data.pagamento]&gt;=D$1) *
  (desp[data.pagamento]&lt;EOMONTH(D$1,0)+1)
)</f>
        <v>0</v>
      </c>
      <c r="E207" s="247" cm="1">
        <f t="array" ref="E207">-SUMPRODUCT(
  desp[valor] *
  (desp[nucleo]=$B207) *
  (desp[centro.negocio]=$B$206) *
  (desp[data.pagamento]&gt;=E$1) *
  (desp[data.pagamento]&lt;EOMONTH(E$1,0)+1)
)</f>
        <v>0</v>
      </c>
      <c r="F207" s="247" cm="1">
        <f t="array" ref="F207">-SUMPRODUCT(
  desp[valor] *
  (desp[nucleo]=$B207) *
  (desp[centro.negocio]=$B$206) *
  (desp[data.pagamento]&gt;=F$1) *
  (desp[data.pagamento]&lt;EOMONTH(F$1,0)+1)
)</f>
        <v>0</v>
      </c>
      <c r="G207" s="247" cm="1">
        <f t="array" ref="G207">-SUMPRODUCT(
  desp[valor] *
  (desp[nucleo]=$B207) *
  (desp[centro.negocio]=$B$206) *
  (desp[data.pagamento]&gt;=G$1) *
  (desp[data.pagamento]&lt;EOMONTH(G$1,0)+1)
)</f>
        <v>0</v>
      </c>
      <c r="H207" s="247" cm="1">
        <f t="array" ref="H207">-SUMPRODUCT(
  desp[valor] *
  (desp[nucleo]=$B207) *
  (desp[centro.negocio]=$B$206) *
  (desp[data.pagamento]&gt;=H$1) *
  (desp[data.pagamento]&lt;EOMONTH(H$1,0)+1)
)</f>
        <v>0</v>
      </c>
      <c r="I207" s="247" cm="1">
        <f t="array" ref="I207">-SUMPRODUCT(
  desp[valor] *
  (desp[nucleo]=$B207) *
  (desp[centro.negocio]=$B$206) *
  (desp[data.pagamento]&gt;=I$1) *
  (desp[data.pagamento]&lt;EOMONTH(I$1,0)+1)
)</f>
        <v>0</v>
      </c>
      <c r="J207" s="247" cm="1">
        <f t="array" ref="J207">-SUMPRODUCT(
  desp[valor] *
  (desp[nucleo]=$B207) *
  (desp[centro.negocio]=$B$206) *
  (desp[data.pagamento]&gt;=J$1) *
  (desp[data.pagamento]&lt;EOMONTH(J$1,0)+1)
)</f>
        <v>0</v>
      </c>
      <c r="K207" s="247" cm="1">
        <f t="array" ref="K207">-SUMPRODUCT(
  desp[valor] *
  (desp[nucleo]=$B207) *
  (desp[centro.negocio]=$B$206) *
  (desp[data.pagamento]&gt;=K$1) *
  (desp[data.pagamento]&lt;EOMONTH(K$1,0)+1)
)</f>
        <v>0</v>
      </c>
      <c r="L207" s="247" cm="1">
        <f t="array" ref="L207">-SUMPRODUCT(
  desp[valor] *
  (desp[nucleo]=$B207) *
  (desp[centro.negocio]=$B$206) *
  (desp[data.pagamento]&gt;=L$1) *
  (desp[data.pagamento]&lt;EOMONTH(L$1,0)+1)
)</f>
        <v>0</v>
      </c>
      <c r="M207" s="247" cm="1">
        <f t="array" ref="M207">-SUMPRODUCT(
  desp[valor] *
  (desp[nucleo]=$B207) *
  (desp[centro.negocio]=$B$206) *
  (desp[data.pagamento]&gt;=M$1) *
  (desp[data.pagamento]&lt;EOMONTH(M$1,0)+1)
)</f>
        <v>0</v>
      </c>
      <c r="N207" s="247" cm="1">
        <f t="array" ref="N207">-SUMPRODUCT(
  desp[valor] *
  (desp[nucleo]=$B207) *
  (desp[centro.negocio]=$B$206) *
  (desp[data.pagamento]&gt;=N$1) *
  (desp[data.pagamento]&lt;EOMONTH(N$1,0)+1)
)</f>
        <v>0</v>
      </c>
      <c r="O207" s="247" cm="1">
        <f t="array" ref="O207">-SUMPRODUCT(
  desp[valor] *
  (desp[nucleo]=$B207) *
  (desp[centro.negocio]=$B$206) *
  (desp[data.pagamento]&gt;=O$1) *
  (desp[data.pagamento]&lt;EOMONTH(O$1,0)+1)
)</f>
        <v>0</v>
      </c>
      <c r="P207" s="247" cm="1">
        <f t="array" ref="P207">-SUMPRODUCT(
  desp[valor] *
  (desp[nucleo]=$B207) *
  (desp[centro.negocio]=$B$206) *
  (desp[data.pagamento]&gt;=P$1) *
  (desp[data.pagamento]&lt;EOMONTH(P$1,0)+1)
)</f>
        <v>0</v>
      </c>
      <c r="Q207" s="247" cm="1">
        <f t="array" ref="Q207">-SUMPRODUCT(
  desp[valor] *
  (desp[nucleo]=$B207) *
  (desp[centro.negocio]=$B$206) *
  (desp[data.pagamento]&gt;=Q$1) *
  (desp[data.pagamento]&lt;EOMONTH(Q$1,0)+1)
)</f>
        <v>0</v>
      </c>
      <c r="R207" s="247" cm="1">
        <f t="array" ref="R207">-SUMPRODUCT(
  desp[valor] *
  (desp[nucleo]=$B207) *
  (desp[centro.negocio]=$B$206) *
  (desp[data.pagamento]&gt;=R$1) *
  (desp[data.pagamento]&lt;EOMONTH(R$1,0)+1)
)</f>
        <v>0</v>
      </c>
      <c r="T207" s="239">
        <f t="shared" si="67"/>
        <v>0</v>
      </c>
    </row>
    <row r="208" spans="1:20" outlineLevel="2" x14ac:dyDescent="0.25">
      <c r="A208" s="246" t="s">
        <v>757</v>
      </c>
      <c r="B208" s="246" t="s">
        <v>546</v>
      </c>
      <c r="C208" s="193" t="s">
        <v>522</v>
      </c>
      <c r="D208" s="247" cm="1">
        <f t="array" ref="D208">-SUMPRODUCT(
  desp[valor] *
  (desp[nucleo]=$B208) *
  (desp[centro.negocio]=$B$206) *
  (desp[data.pagamento]&gt;=D$1) *
  (desp[data.pagamento]&lt;EOMONTH(D$1,0)+1)
)</f>
        <v>0</v>
      </c>
      <c r="E208" s="247" cm="1">
        <f t="array" ref="E208">-SUMPRODUCT(
  desp[valor] *
  (desp[nucleo]=$B208) *
  (desp[centro.negocio]=$B$206) *
  (desp[data.pagamento]&gt;=E$1) *
  (desp[data.pagamento]&lt;EOMONTH(E$1,0)+1)
)</f>
        <v>0</v>
      </c>
      <c r="F208" s="247" cm="1">
        <f t="array" ref="F208">-SUMPRODUCT(
  desp[valor] *
  (desp[nucleo]=$B208) *
  (desp[centro.negocio]=$B$206) *
  (desp[data.pagamento]&gt;=F$1) *
  (desp[data.pagamento]&lt;EOMONTH(F$1,0)+1)
)</f>
        <v>0</v>
      </c>
      <c r="G208" s="247" cm="1">
        <f t="array" ref="G208">-SUMPRODUCT(
  desp[valor] *
  (desp[nucleo]=$B208) *
  (desp[centro.negocio]=$B$206) *
  (desp[data.pagamento]&gt;=G$1) *
  (desp[data.pagamento]&lt;EOMONTH(G$1,0)+1)
)</f>
        <v>0</v>
      </c>
      <c r="H208" s="247" cm="1">
        <f t="array" ref="H208">-SUMPRODUCT(
  desp[valor] *
  (desp[nucleo]=$B208) *
  (desp[centro.negocio]=$B$206) *
  (desp[data.pagamento]&gt;=H$1) *
  (desp[data.pagamento]&lt;EOMONTH(H$1,0)+1)
)</f>
        <v>0</v>
      </c>
      <c r="I208" s="247" cm="1">
        <f t="array" ref="I208">-SUMPRODUCT(
  desp[valor] *
  (desp[nucleo]=$B208) *
  (desp[centro.negocio]=$B$206) *
  (desp[data.pagamento]&gt;=I$1) *
  (desp[data.pagamento]&lt;EOMONTH(I$1,0)+1)
)</f>
        <v>0</v>
      </c>
      <c r="J208" s="247" cm="1">
        <f t="array" ref="J208">-SUMPRODUCT(
  desp[valor] *
  (desp[nucleo]=$B208) *
  (desp[centro.negocio]=$B$206) *
  (desp[data.pagamento]&gt;=J$1) *
  (desp[data.pagamento]&lt;EOMONTH(J$1,0)+1)
)</f>
        <v>0</v>
      </c>
      <c r="K208" s="247" cm="1">
        <f t="array" ref="K208">-SUMPRODUCT(
  desp[valor] *
  (desp[nucleo]=$B208) *
  (desp[centro.negocio]=$B$206) *
  (desp[data.pagamento]&gt;=K$1) *
  (desp[data.pagamento]&lt;EOMONTH(K$1,0)+1)
)</f>
        <v>0</v>
      </c>
      <c r="L208" s="247" cm="1">
        <f t="array" ref="L208">-SUMPRODUCT(
  desp[valor] *
  (desp[nucleo]=$B208) *
  (desp[centro.negocio]=$B$206) *
  (desp[data.pagamento]&gt;=L$1) *
  (desp[data.pagamento]&lt;EOMONTH(L$1,0)+1)
)</f>
        <v>0</v>
      </c>
      <c r="M208" s="247" cm="1">
        <f t="array" ref="M208">-SUMPRODUCT(
  desp[valor] *
  (desp[nucleo]=$B208) *
  (desp[centro.negocio]=$B$206) *
  (desp[data.pagamento]&gt;=M$1) *
  (desp[data.pagamento]&lt;EOMONTH(M$1,0)+1)
)</f>
        <v>0</v>
      </c>
      <c r="N208" s="247" cm="1">
        <f t="array" ref="N208">-SUMPRODUCT(
  desp[valor] *
  (desp[nucleo]=$B208) *
  (desp[centro.negocio]=$B$206) *
  (desp[data.pagamento]&gt;=N$1) *
  (desp[data.pagamento]&lt;EOMONTH(N$1,0)+1)
)</f>
        <v>0</v>
      </c>
      <c r="O208" s="247" cm="1">
        <f t="array" ref="O208">-SUMPRODUCT(
  desp[valor] *
  (desp[nucleo]=$B208) *
  (desp[centro.negocio]=$B$206) *
  (desp[data.pagamento]&gt;=O$1) *
  (desp[data.pagamento]&lt;EOMONTH(O$1,0)+1)
)</f>
        <v>0</v>
      </c>
      <c r="P208" s="247" cm="1">
        <f t="array" ref="P208">-SUMPRODUCT(
  desp[valor] *
  (desp[nucleo]=$B208) *
  (desp[centro.negocio]=$B$206) *
  (desp[data.pagamento]&gt;=P$1) *
  (desp[data.pagamento]&lt;EOMONTH(P$1,0)+1)
)</f>
        <v>0</v>
      </c>
      <c r="Q208" s="247" cm="1">
        <f t="array" ref="Q208">-SUMPRODUCT(
  desp[valor] *
  (desp[nucleo]=$B208) *
  (desp[centro.negocio]=$B$206) *
  (desp[data.pagamento]&gt;=Q$1) *
  (desp[data.pagamento]&lt;EOMONTH(Q$1,0)+1)
)</f>
        <v>0</v>
      </c>
      <c r="R208" s="247" cm="1">
        <f t="array" ref="R208">-SUMPRODUCT(
  desp[valor] *
  (desp[nucleo]=$B208) *
  (desp[centro.negocio]=$B$206) *
  (desp[data.pagamento]&gt;=R$1) *
  (desp[data.pagamento]&lt;EOMONTH(R$1,0)+1)
)</f>
        <v>0</v>
      </c>
      <c r="T208" s="239">
        <f t="shared" si="67"/>
        <v>0</v>
      </c>
    </row>
    <row r="209" spans="1:20" outlineLevel="2" x14ac:dyDescent="0.25">
      <c r="A209" s="246" t="s">
        <v>758</v>
      </c>
      <c r="B209" s="246" t="s">
        <v>562</v>
      </c>
      <c r="C209" s="193" t="s">
        <v>522</v>
      </c>
      <c r="D209" s="247" cm="1">
        <f t="array" ref="D209">-SUMPRODUCT(
  desp[valor] *
  (desp[nucleo]=$B209) *
  (desp[centro.negocio]=$B$206) *
  (desp[data.pagamento]&gt;=D$1) *
  (desp[data.pagamento]&lt;EOMONTH(D$1,0)+1)
)</f>
        <v>0</v>
      </c>
      <c r="E209" s="247" cm="1">
        <f t="array" ref="E209">-SUMPRODUCT(
  desp[valor] *
  (desp[nucleo]=$B209) *
  (desp[centro.negocio]=$B$206) *
  (desp[data.pagamento]&gt;=E$1) *
  (desp[data.pagamento]&lt;EOMONTH(E$1,0)+1)
)</f>
        <v>0</v>
      </c>
      <c r="F209" s="247" cm="1">
        <f t="array" ref="F209">-SUMPRODUCT(
  desp[valor] *
  (desp[nucleo]=$B209) *
  (desp[centro.negocio]=$B$206) *
  (desp[data.pagamento]&gt;=F$1) *
  (desp[data.pagamento]&lt;EOMONTH(F$1,0)+1)
)</f>
        <v>0</v>
      </c>
      <c r="G209" s="247" cm="1">
        <f t="array" ref="G209">-SUMPRODUCT(
  desp[valor] *
  (desp[nucleo]=$B209) *
  (desp[centro.negocio]=$B$206) *
  (desp[data.pagamento]&gt;=G$1) *
  (desp[data.pagamento]&lt;EOMONTH(G$1,0)+1)
)</f>
        <v>0</v>
      </c>
      <c r="H209" s="247" cm="1">
        <f t="array" ref="H209">-SUMPRODUCT(
  desp[valor] *
  (desp[nucleo]=$B209) *
  (desp[centro.negocio]=$B$206) *
  (desp[data.pagamento]&gt;=H$1) *
  (desp[data.pagamento]&lt;EOMONTH(H$1,0)+1)
)</f>
        <v>0</v>
      </c>
      <c r="I209" s="247" cm="1">
        <f t="array" ref="I209">-SUMPRODUCT(
  desp[valor] *
  (desp[nucleo]=$B209) *
  (desp[centro.negocio]=$B$206) *
  (desp[data.pagamento]&gt;=I$1) *
  (desp[data.pagamento]&lt;EOMONTH(I$1,0)+1)
)</f>
        <v>0</v>
      </c>
      <c r="J209" s="247" cm="1">
        <f t="array" ref="J209">-SUMPRODUCT(
  desp[valor] *
  (desp[nucleo]=$B209) *
  (desp[centro.negocio]=$B$206) *
  (desp[data.pagamento]&gt;=J$1) *
  (desp[data.pagamento]&lt;EOMONTH(J$1,0)+1)
)</f>
        <v>0</v>
      </c>
      <c r="K209" s="247" cm="1">
        <f t="array" ref="K209">-SUMPRODUCT(
  desp[valor] *
  (desp[nucleo]=$B209) *
  (desp[centro.negocio]=$B$206) *
  (desp[data.pagamento]&gt;=K$1) *
  (desp[data.pagamento]&lt;EOMONTH(K$1,0)+1)
)</f>
        <v>0</v>
      </c>
      <c r="L209" s="247" cm="1">
        <f t="array" ref="L209">-SUMPRODUCT(
  desp[valor] *
  (desp[nucleo]=$B209) *
  (desp[centro.negocio]=$B$206) *
  (desp[data.pagamento]&gt;=L$1) *
  (desp[data.pagamento]&lt;EOMONTH(L$1,0)+1)
)</f>
        <v>0</v>
      </c>
      <c r="M209" s="247" cm="1">
        <f t="array" ref="M209">-SUMPRODUCT(
  desp[valor] *
  (desp[nucleo]=$B209) *
  (desp[centro.negocio]=$B$206) *
  (desp[data.pagamento]&gt;=M$1) *
  (desp[data.pagamento]&lt;EOMONTH(M$1,0)+1)
)</f>
        <v>0</v>
      </c>
      <c r="N209" s="247" cm="1">
        <f t="array" ref="N209">-SUMPRODUCT(
  desp[valor] *
  (desp[nucleo]=$B209) *
  (desp[centro.negocio]=$B$206) *
  (desp[data.pagamento]&gt;=N$1) *
  (desp[data.pagamento]&lt;EOMONTH(N$1,0)+1)
)</f>
        <v>0</v>
      </c>
      <c r="O209" s="247" cm="1">
        <f t="array" ref="O209">-SUMPRODUCT(
  desp[valor] *
  (desp[nucleo]=$B209) *
  (desp[centro.negocio]=$B$206) *
  (desp[data.pagamento]&gt;=O$1) *
  (desp[data.pagamento]&lt;EOMONTH(O$1,0)+1)
)</f>
        <v>0</v>
      </c>
      <c r="P209" s="247" cm="1">
        <f t="array" ref="P209">-SUMPRODUCT(
  desp[valor] *
  (desp[nucleo]=$B209) *
  (desp[centro.negocio]=$B$206) *
  (desp[data.pagamento]&gt;=P$1) *
  (desp[data.pagamento]&lt;EOMONTH(P$1,0)+1)
)</f>
        <v>0</v>
      </c>
      <c r="Q209" s="247" cm="1">
        <f t="array" ref="Q209">-SUMPRODUCT(
  desp[valor] *
  (desp[nucleo]=$B209) *
  (desp[centro.negocio]=$B$206) *
  (desp[data.pagamento]&gt;=Q$1) *
  (desp[data.pagamento]&lt;EOMONTH(Q$1,0)+1)
)</f>
        <v>0</v>
      </c>
      <c r="R209" s="247" cm="1">
        <f t="array" ref="R209">-SUMPRODUCT(
  desp[valor] *
  (desp[nucleo]=$B209) *
  (desp[centro.negocio]=$B$206) *
  (desp[data.pagamento]&gt;=R$1) *
  (desp[data.pagamento]&lt;EOMONTH(R$1,0)+1)
)</f>
        <v>0</v>
      </c>
      <c r="T209" s="239">
        <f t="shared" si="67"/>
        <v>0</v>
      </c>
    </row>
    <row r="210" spans="1:20" outlineLevel="2" x14ac:dyDescent="0.25">
      <c r="A210" s="246" t="s">
        <v>759</v>
      </c>
      <c r="B210" s="246" t="s">
        <v>502</v>
      </c>
      <c r="C210" s="193" t="s">
        <v>522</v>
      </c>
      <c r="D210" s="247" cm="1">
        <f t="array" ref="D210">-SUMPRODUCT(
  desp[valor] *
  (desp[nucleo]=$B210) *
  (desp[centro.negocio]=$B$206) *
  (desp[data.pagamento]&gt;=D$1) *
  (desp[data.pagamento]&lt;EOMONTH(D$1,0)+1)
)</f>
        <v>0</v>
      </c>
      <c r="E210" s="247" cm="1">
        <f t="array" ref="E210">-SUMPRODUCT(
  desp[valor] *
  (desp[nucleo]=$B210) *
  (desp[centro.negocio]=$B$206) *
  (desp[data.pagamento]&gt;=E$1) *
  (desp[data.pagamento]&lt;EOMONTH(E$1,0)+1)
)</f>
        <v>0</v>
      </c>
      <c r="F210" s="247" cm="1">
        <f t="array" ref="F210">-SUMPRODUCT(
  desp[valor] *
  (desp[nucleo]=$B210) *
  (desp[centro.negocio]=$B$206) *
  (desp[data.pagamento]&gt;=F$1) *
  (desp[data.pagamento]&lt;EOMONTH(F$1,0)+1)
)</f>
        <v>0</v>
      </c>
      <c r="G210" s="247" cm="1">
        <f t="array" ref="G210">-SUMPRODUCT(
  desp[valor] *
  (desp[nucleo]=$B210) *
  (desp[centro.negocio]=$B$206) *
  (desp[data.pagamento]&gt;=G$1) *
  (desp[data.pagamento]&lt;EOMONTH(G$1,0)+1)
)</f>
        <v>0</v>
      </c>
      <c r="H210" s="247" cm="1">
        <f t="array" ref="H210">-SUMPRODUCT(
  desp[valor] *
  (desp[nucleo]=$B210) *
  (desp[centro.negocio]=$B$206) *
  (desp[data.pagamento]&gt;=H$1) *
  (desp[data.pagamento]&lt;EOMONTH(H$1,0)+1)
)</f>
        <v>0</v>
      </c>
      <c r="I210" s="247" cm="1">
        <f t="array" ref="I210">-SUMPRODUCT(
  desp[valor] *
  (desp[nucleo]=$B210) *
  (desp[centro.negocio]=$B$206) *
  (desp[data.pagamento]&gt;=I$1) *
  (desp[data.pagamento]&lt;EOMONTH(I$1,0)+1)
)</f>
        <v>0</v>
      </c>
      <c r="J210" s="247" cm="1">
        <f t="array" ref="J210">-SUMPRODUCT(
  desp[valor] *
  (desp[nucleo]=$B210) *
  (desp[centro.negocio]=$B$206) *
  (desp[data.pagamento]&gt;=J$1) *
  (desp[data.pagamento]&lt;EOMONTH(J$1,0)+1)
)</f>
        <v>0</v>
      </c>
      <c r="K210" s="247" cm="1">
        <f t="array" ref="K210">-SUMPRODUCT(
  desp[valor] *
  (desp[nucleo]=$B210) *
  (desp[centro.negocio]=$B$206) *
  (desp[data.pagamento]&gt;=K$1) *
  (desp[data.pagamento]&lt;EOMONTH(K$1,0)+1)
)</f>
        <v>0</v>
      </c>
      <c r="L210" s="247" cm="1">
        <f t="array" ref="L210">-SUMPRODUCT(
  desp[valor] *
  (desp[nucleo]=$B210) *
  (desp[centro.negocio]=$B$206) *
  (desp[data.pagamento]&gt;=L$1) *
  (desp[data.pagamento]&lt;EOMONTH(L$1,0)+1)
)</f>
        <v>0</v>
      </c>
      <c r="M210" s="247" cm="1">
        <f t="array" ref="M210">-SUMPRODUCT(
  desp[valor] *
  (desp[nucleo]=$B210) *
  (desp[centro.negocio]=$B$206) *
  (desp[data.pagamento]&gt;=M$1) *
  (desp[data.pagamento]&lt;EOMONTH(M$1,0)+1)
)-3000000</f>
        <v>-3000000</v>
      </c>
      <c r="N210" s="247" cm="1">
        <f t="array" ref="N210">-SUMPRODUCT(
  desp[valor] *
  (desp[nucleo]=$B210) *
  (desp[centro.negocio]=$B$206) *
  (desp[data.pagamento]&gt;=N$1) *
  (desp[data.pagamento]&lt;EOMONTH(N$1,0)+1)
)-4206456.13</f>
        <v>-4206456.13</v>
      </c>
      <c r="O210" s="247" cm="1">
        <f t="array" ref="O210">-SUMPRODUCT(
  desp[valor] *
  (desp[nucleo]=$B210) *
  (desp[centro.negocio]=$B$206) *
  (desp[data.pagamento]&gt;=O$1) *
  (desp[data.pagamento]&lt;EOMONTH(O$1,0)+1)
)</f>
        <v>0</v>
      </c>
      <c r="P210" s="247" cm="1">
        <f t="array" ref="P210">-SUMPRODUCT(
  desp[valor] *
  (desp[nucleo]=$B210) *
  (desp[centro.negocio]=$B$206) *
  (desp[data.pagamento]&gt;=P$1) *
  (desp[data.pagamento]&lt;EOMONTH(P$1,0)+1)
)</f>
        <v>0</v>
      </c>
      <c r="Q210" s="247" cm="1">
        <f t="array" ref="Q210">-SUMPRODUCT(
  desp[valor] *
  (desp[nucleo]=$B210) *
  (desp[centro.negocio]=$B$206) *
  (desp[data.pagamento]&gt;=Q$1) *
  (desp[data.pagamento]&lt;EOMONTH(Q$1,0)+1)
)</f>
        <v>0</v>
      </c>
      <c r="R210" s="247" cm="1">
        <f t="array" ref="R210">-SUMPRODUCT(
  desp[valor] *
  (desp[nucleo]=$B210) *
  (desp[centro.negocio]=$B$206) *
  (desp[data.pagamento]&gt;=R$1) *
  (desp[data.pagamento]&lt;EOMONTH(R$1,0)+1)
)</f>
        <v>0</v>
      </c>
      <c r="T210" s="239">
        <f t="shared" si="67"/>
        <v>-7206456.1299999999</v>
      </c>
    </row>
    <row r="211" spans="1:20" outlineLevel="2" x14ac:dyDescent="0.25">
      <c r="A211" s="246" t="s">
        <v>760</v>
      </c>
      <c r="B211" s="246" t="s">
        <v>548</v>
      </c>
      <c r="C211" s="193" t="s">
        <v>522</v>
      </c>
      <c r="D211" s="247" cm="1">
        <f t="array" ref="D211">-SUMPRODUCT(
  desp[valor] *
  (desp[nucleo]=$B211) *
  (desp[centro.negocio]=$B$206) *
  (desp[data.pagamento]&gt;=D$1) *
  (desp[data.pagamento]&lt;EOMONTH(D$1,0)+1)
)</f>
        <v>0</v>
      </c>
      <c r="E211" s="247" cm="1">
        <f t="array" ref="E211">-SUMPRODUCT(
  desp[valor] *
  (desp[nucleo]=$B211) *
  (desp[centro.negocio]=$B$206) *
  (desp[data.pagamento]&gt;=E$1) *
  (desp[data.pagamento]&lt;EOMONTH(E$1,0)+1)
)</f>
        <v>0</v>
      </c>
      <c r="F211" s="247" cm="1">
        <f t="array" ref="F211">-SUMPRODUCT(
  desp[valor] *
  (desp[nucleo]=$B211) *
  (desp[centro.negocio]=$B$206) *
  (desp[data.pagamento]&gt;=F$1) *
  (desp[data.pagamento]&lt;EOMONTH(F$1,0)+1)
)</f>
        <v>0</v>
      </c>
      <c r="G211" s="247" cm="1">
        <f t="array" ref="G211">-SUMPRODUCT(
  desp[valor] *
  (desp[nucleo]=$B211) *
  (desp[centro.negocio]=$B$206) *
  (desp[data.pagamento]&gt;=G$1) *
  (desp[data.pagamento]&lt;EOMONTH(G$1,0)+1)
)</f>
        <v>0</v>
      </c>
      <c r="H211" s="247" cm="1">
        <f t="array" ref="H211">-SUMPRODUCT(
  desp[valor] *
  (desp[nucleo]=$B211) *
  (desp[centro.negocio]=$B$206) *
  (desp[data.pagamento]&gt;=H$1) *
  (desp[data.pagamento]&lt;EOMONTH(H$1,0)+1)
)</f>
        <v>0</v>
      </c>
      <c r="I211" s="247" cm="1">
        <f t="array" ref="I211">-SUMPRODUCT(
  desp[valor] *
  (desp[nucleo]=$B211) *
  (desp[centro.negocio]=$B$206) *
  (desp[data.pagamento]&gt;=I$1) *
  (desp[data.pagamento]&lt;EOMONTH(I$1,0)+1)
)</f>
        <v>0</v>
      </c>
      <c r="J211" s="247" cm="1">
        <f t="array" ref="J211">-SUMPRODUCT(
  desp[valor] *
  (desp[nucleo]=$B211) *
  (desp[centro.negocio]=$B$206) *
  (desp[data.pagamento]&gt;=J$1) *
  (desp[data.pagamento]&lt;EOMONTH(J$1,0)+1)
)</f>
        <v>0</v>
      </c>
      <c r="K211" s="247" cm="1">
        <f t="array" ref="K211">-SUMPRODUCT(
  desp[valor] *
  (desp[nucleo]=$B211) *
  (desp[centro.negocio]=$B$206) *
  (desp[data.pagamento]&gt;=K$1) *
  (desp[data.pagamento]&lt;EOMONTH(K$1,0)+1)
)</f>
        <v>0</v>
      </c>
      <c r="L211" s="247" cm="1">
        <f t="array" ref="L211">-SUMPRODUCT(
  desp[valor] *
  (desp[nucleo]=$B211) *
  (desp[centro.negocio]=$B$206) *
  (desp[data.pagamento]&gt;=L$1) *
  (desp[data.pagamento]&lt;EOMONTH(L$1,0)+1)
)</f>
        <v>0</v>
      </c>
      <c r="M211" s="247" cm="1">
        <f t="array" ref="M211">-SUMPRODUCT(
  desp[valor] *
  (desp[nucleo]=$B211) *
  (desp[centro.negocio]=$B$206) *
  (desp[data.pagamento]&gt;=M$1) *
  (desp[data.pagamento]&lt;EOMONTH(M$1,0)+1)
)</f>
        <v>0</v>
      </c>
      <c r="N211" s="247" cm="1">
        <f t="array" ref="N211">-SUMPRODUCT(
  desp[valor] *
  (desp[nucleo]=$B211) *
  (desp[centro.negocio]=$B$206) *
  (desp[data.pagamento]&gt;=N$1) *
  (desp[data.pagamento]&lt;EOMONTH(N$1,0)+1)
)</f>
        <v>0</v>
      </c>
      <c r="O211" s="247" cm="1">
        <f t="array" ref="O211">-SUMPRODUCT(
  desp[valor] *
  (desp[nucleo]=$B211) *
  (desp[centro.negocio]=$B$206) *
  (desp[data.pagamento]&gt;=O$1) *
  (desp[data.pagamento]&lt;EOMONTH(O$1,0)+1)
)</f>
        <v>0</v>
      </c>
      <c r="P211" s="247" cm="1">
        <f t="array" ref="P211">-SUMPRODUCT(
  desp[valor] *
  (desp[nucleo]=$B211) *
  (desp[centro.negocio]=$B$206) *
  (desp[data.pagamento]&gt;=P$1) *
  (desp[data.pagamento]&lt;EOMONTH(P$1,0)+1)
)</f>
        <v>0</v>
      </c>
      <c r="Q211" s="247" cm="1">
        <f t="array" ref="Q211">-SUMPRODUCT(
  desp[valor] *
  (desp[nucleo]=$B211) *
  (desp[centro.negocio]=$B$206) *
  (desp[data.pagamento]&gt;=Q$1) *
  (desp[data.pagamento]&lt;EOMONTH(Q$1,0)+1)
)</f>
        <v>0</v>
      </c>
      <c r="R211" s="247" cm="1">
        <f t="array" ref="R211">-SUMPRODUCT(
  desp[valor] *
  (desp[nucleo]=$B211) *
  (desp[centro.negocio]=$B$206) *
  (desp[data.pagamento]&gt;=R$1) *
  (desp[data.pagamento]&lt;EOMONTH(R$1,0)+1)
)</f>
        <v>0</v>
      </c>
      <c r="T211" s="239">
        <f t="shared" si="67"/>
        <v>0</v>
      </c>
    </row>
    <row r="212" spans="1:20" outlineLevel="2" x14ac:dyDescent="0.25">
      <c r="A212" s="246" t="s">
        <v>761</v>
      </c>
      <c r="B212" s="246" t="s">
        <v>594</v>
      </c>
      <c r="C212" s="193" t="s">
        <v>522</v>
      </c>
      <c r="D212" s="247" cm="1">
        <f t="array" ref="D212">-SUMPRODUCT(
  desp[valor] *
  (desp[nucleo]=$B212) *
  (desp[centro.negocio]=$B$206) *
  (desp[data.pagamento]&gt;=D$1) *
  (desp[data.pagamento]&lt;EOMONTH(D$1,0)+1)
)</f>
        <v>0</v>
      </c>
      <c r="E212" s="247" cm="1">
        <f t="array" ref="E212">-SUMPRODUCT(
  desp[valor] *
  (desp[nucleo]=$B212) *
  (desp[centro.negocio]=$B$206) *
  (desp[data.pagamento]&gt;=E$1) *
  (desp[data.pagamento]&lt;EOMONTH(E$1,0)+1)
)</f>
        <v>0</v>
      </c>
      <c r="F212" s="247" cm="1">
        <f t="array" ref="F212">-SUMPRODUCT(
  desp[valor] *
  (desp[nucleo]=$B212) *
  (desp[centro.negocio]=$B$206) *
  (desp[data.pagamento]&gt;=F$1) *
  (desp[data.pagamento]&lt;EOMONTH(F$1,0)+1)
)</f>
        <v>0</v>
      </c>
      <c r="G212" s="247" cm="1">
        <f t="array" ref="G212">-SUMPRODUCT(
  desp[valor] *
  (desp[nucleo]=$B212) *
  (desp[centro.negocio]=$B$206) *
  (desp[data.pagamento]&gt;=G$1) *
  (desp[data.pagamento]&lt;EOMONTH(G$1,0)+1)
)</f>
        <v>0</v>
      </c>
      <c r="H212" s="247" cm="1">
        <f t="array" ref="H212">-SUMPRODUCT(
  desp[valor] *
  (desp[nucleo]=$B212) *
  (desp[centro.negocio]=$B$206) *
  (desp[data.pagamento]&gt;=H$1) *
  (desp[data.pagamento]&lt;EOMONTH(H$1,0)+1)
)</f>
        <v>0</v>
      </c>
      <c r="I212" s="247" cm="1">
        <f t="array" ref="I212">-SUMPRODUCT(
  desp[valor] *
  (desp[nucleo]=$B212) *
  (desp[centro.negocio]=$B$206) *
  (desp[data.pagamento]&gt;=I$1) *
  (desp[data.pagamento]&lt;EOMONTH(I$1,0)+1)
)</f>
        <v>0</v>
      </c>
      <c r="J212" s="247" cm="1">
        <f t="array" ref="J212">-SUMPRODUCT(
  desp[valor] *
  (desp[nucleo]=$B212) *
  (desp[centro.negocio]=$B$206) *
  (desp[data.pagamento]&gt;=J$1) *
  (desp[data.pagamento]&lt;EOMONTH(J$1,0)+1)
)</f>
        <v>0</v>
      </c>
      <c r="K212" s="247" cm="1">
        <f t="array" ref="K212">-SUMPRODUCT(
  desp[valor] *
  (desp[nucleo]=$B212) *
  (desp[centro.negocio]=$B$206) *
  (desp[data.pagamento]&gt;=K$1) *
  (desp[data.pagamento]&lt;EOMONTH(K$1,0)+1)
)</f>
        <v>0</v>
      </c>
      <c r="L212" s="247" cm="1">
        <f t="array" ref="L212">-SUMPRODUCT(
  desp[valor] *
  (desp[nucleo]=$B212) *
  (desp[centro.negocio]=$B$206) *
  (desp[data.pagamento]&gt;=L$1) *
  (desp[data.pagamento]&lt;EOMONTH(L$1,0)+1)
)</f>
        <v>0</v>
      </c>
      <c r="M212" s="247" cm="1">
        <f t="array" ref="M212">-SUMPRODUCT(
  desp[valor] *
  (desp[nucleo]=$B212) *
  (desp[centro.negocio]=$B$206) *
  (desp[data.pagamento]&gt;=M$1) *
  (desp[data.pagamento]&lt;EOMONTH(M$1,0)+1)
)</f>
        <v>0</v>
      </c>
      <c r="N212" s="247" cm="1">
        <f t="array" ref="N212">-SUMPRODUCT(
  desp[valor] *
  (desp[nucleo]=$B212) *
  (desp[centro.negocio]=$B$206) *
  (desp[data.pagamento]&gt;=N$1) *
  (desp[data.pagamento]&lt;EOMONTH(N$1,0)+1)
)</f>
        <v>0</v>
      </c>
      <c r="O212" s="247" cm="1">
        <f t="array" ref="O212">-SUMPRODUCT(
  desp[valor] *
  (desp[nucleo]=$B212) *
  (desp[centro.negocio]=$B$206) *
  (desp[data.pagamento]&gt;=O$1) *
  (desp[data.pagamento]&lt;EOMONTH(O$1,0)+1)
)</f>
        <v>0</v>
      </c>
      <c r="P212" s="247" cm="1">
        <f t="array" ref="P212">-SUMPRODUCT(
  desp[valor] *
  (desp[nucleo]=$B212) *
  (desp[centro.negocio]=$B$206) *
  (desp[data.pagamento]&gt;=P$1) *
  (desp[data.pagamento]&lt;EOMONTH(P$1,0)+1)
)</f>
        <v>0</v>
      </c>
      <c r="Q212" s="247" cm="1">
        <f t="array" ref="Q212">-SUMPRODUCT(
  desp[valor] *
  (desp[nucleo]=$B212) *
  (desp[centro.negocio]=$B$206) *
  (desp[data.pagamento]&gt;=Q$1) *
  (desp[data.pagamento]&lt;EOMONTH(Q$1,0)+1)
)</f>
        <v>0</v>
      </c>
      <c r="R212" s="247" cm="1">
        <f t="array" ref="R212">-SUMPRODUCT(
  desp[valor] *
  (desp[nucleo]=$B212) *
  (desp[centro.negocio]=$B$206) *
  (desp[data.pagamento]&gt;=R$1) *
  (desp[data.pagamento]&lt;EOMONTH(R$1,0)+1)
)</f>
        <v>0</v>
      </c>
      <c r="T212" s="239">
        <f t="shared" si="67"/>
        <v>0</v>
      </c>
    </row>
    <row r="213" spans="1:20" outlineLevel="2" x14ac:dyDescent="0.25">
      <c r="A213" s="246" t="s">
        <v>762</v>
      </c>
      <c r="B213" s="246" t="s">
        <v>552</v>
      </c>
      <c r="C213" s="193" t="s">
        <v>522</v>
      </c>
      <c r="D213" s="247" cm="1">
        <f t="array" ref="D213">-SUMPRODUCT(
  desp[valor] *
  (desp[nucleo]=$B213) *
  (desp[centro.negocio]=$B$206) *
  (desp[data.pagamento]&gt;=D$1) *
  (desp[data.pagamento]&lt;EOMONTH(D$1,0)+1)
)</f>
        <v>0</v>
      </c>
      <c r="E213" s="247" cm="1">
        <f t="array" ref="E213">-SUMPRODUCT(
  desp[valor] *
  (desp[nucleo]=$B213) *
  (desp[centro.negocio]=$B$206) *
  (desp[data.pagamento]&gt;=E$1) *
  (desp[data.pagamento]&lt;EOMONTH(E$1,0)+1)
)</f>
        <v>0</v>
      </c>
      <c r="F213" s="247" cm="1">
        <f t="array" ref="F213">-SUMPRODUCT(
  desp[valor] *
  (desp[nucleo]=$B213) *
  (desp[centro.negocio]=$B$206) *
  (desp[data.pagamento]&gt;=F$1) *
  (desp[data.pagamento]&lt;EOMONTH(F$1,0)+1)
)</f>
        <v>0</v>
      </c>
      <c r="G213" s="247" cm="1">
        <f t="array" ref="G213">-SUMPRODUCT(
  desp[valor] *
  (desp[nucleo]=$B213) *
  (desp[centro.negocio]=$B$206) *
  (desp[data.pagamento]&gt;=G$1) *
  (desp[data.pagamento]&lt;EOMONTH(G$1,0)+1)
)</f>
        <v>0</v>
      </c>
      <c r="H213" s="247" cm="1">
        <f t="array" ref="H213">-SUMPRODUCT(
  desp[valor] *
  (desp[nucleo]=$B213) *
  (desp[centro.negocio]=$B$206) *
  (desp[data.pagamento]&gt;=H$1) *
  (desp[data.pagamento]&lt;EOMONTH(H$1,0)+1)
)</f>
        <v>0</v>
      </c>
      <c r="I213" s="247" cm="1">
        <f t="array" ref="I213">-SUMPRODUCT(
  desp[valor] *
  (desp[nucleo]=$B213) *
  (desp[centro.negocio]=$B$206) *
  (desp[data.pagamento]&gt;=I$1) *
  (desp[data.pagamento]&lt;EOMONTH(I$1,0)+1)
)</f>
        <v>0</v>
      </c>
      <c r="J213" s="247" cm="1">
        <f t="array" ref="J213">-SUMPRODUCT(
  desp[valor] *
  (desp[nucleo]=$B213) *
  (desp[centro.negocio]=$B$206) *
  (desp[data.pagamento]&gt;=J$1) *
  (desp[data.pagamento]&lt;EOMONTH(J$1,0)+1)
)</f>
        <v>0</v>
      </c>
      <c r="K213" s="247" cm="1">
        <f t="array" ref="K213">-SUMPRODUCT(
  desp[valor] *
  (desp[nucleo]=$B213) *
  (desp[centro.negocio]=$B$206) *
  (desp[data.pagamento]&gt;=K$1) *
  (desp[data.pagamento]&lt;EOMONTH(K$1,0)+1)
)</f>
        <v>0</v>
      </c>
      <c r="L213" s="247" cm="1">
        <f t="array" ref="L213">-SUMPRODUCT(
  desp[valor] *
  (desp[nucleo]=$B213) *
  (desp[centro.negocio]=$B$206) *
  (desp[data.pagamento]&gt;=L$1) *
  (desp[data.pagamento]&lt;EOMONTH(L$1,0)+1)
)</f>
        <v>0</v>
      </c>
      <c r="M213" s="247" cm="1">
        <f t="array" ref="M213">-SUMPRODUCT(
  desp[valor] *
  (desp[nucleo]=$B213) *
  (desp[centro.negocio]=$B$206) *
  (desp[data.pagamento]&gt;=M$1) *
  (desp[data.pagamento]&lt;EOMONTH(M$1,0)+1)
)</f>
        <v>0</v>
      </c>
      <c r="N213" s="247" cm="1">
        <f t="array" ref="N213">-SUMPRODUCT(
  desp[valor] *
  (desp[nucleo]=$B213) *
  (desp[centro.negocio]=$B$206) *
  (desp[data.pagamento]&gt;=N$1) *
  (desp[data.pagamento]&lt;EOMONTH(N$1,0)+1)
)</f>
        <v>0</v>
      </c>
      <c r="O213" s="247" cm="1">
        <f t="array" ref="O213">-SUMPRODUCT(
  desp[valor] *
  (desp[nucleo]=$B213) *
  (desp[centro.negocio]=$B$206) *
  (desp[data.pagamento]&gt;=O$1) *
  (desp[data.pagamento]&lt;EOMONTH(O$1,0)+1)
)</f>
        <v>0</v>
      </c>
      <c r="P213" s="247" cm="1">
        <f t="array" ref="P213">-SUMPRODUCT(
  desp[valor] *
  (desp[nucleo]=$B213) *
  (desp[centro.negocio]=$B$206) *
  (desp[data.pagamento]&gt;=P$1) *
  (desp[data.pagamento]&lt;EOMONTH(P$1,0)+1)
)</f>
        <v>0</v>
      </c>
      <c r="Q213" s="247" cm="1">
        <f t="array" ref="Q213">-SUMPRODUCT(
  desp[valor] *
  (desp[nucleo]=$B213) *
  (desp[centro.negocio]=$B$206) *
  (desp[data.pagamento]&gt;=Q$1) *
  (desp[data.pagamento]&lt;EOMONTH(Q$1,0)+1)
)</f>
        <v>0</v>
      </c>
      <c r="R213" s="247" cm="1">
        <f t="array" ref="R213">-SUMPRODUCT(
  desp[valor] *
  (desp[nucleo]=$B213) *
  (desp[centro.negocio]=$B$206) *
  (desp[data.pagamento]&gt;=R$1) *
  (desp[data.pagamento]&lt;EOMONTH(R$1,0)+1)
)</f>
        <v>0</v>
      </c>
      <c r="T213" s="239">
        <f t="shared" si="67"/>
        <v>0</v>
      </c>
    </row>
    <row r="214" spans="1:20" outlineLevel="2" x14ac:dyDescent="0.25">
      <c r="A214" s="246" t="s">
        <v>763</v>
      </c>
      <c r="B214" s="246" t="s">
        <v>644</v>
      </c>
      <c r="C214" s="193" t="s">
        <v>522</v>
      </c>
      <c r="D214" s="247" cm="1">
        <f t="array" ref="D214">-SUMPRODUCT(
  desp[valor] *
  (desp[nucleo]=$B214) *
  (desp[centro.negocio]=$B$206) *
  (desp[data.pagamento]&gt;=D$1) *
  (desp[data.pagamento]&lt;EOMONTH(D$1,0)+1)
)</f>
        <v>0</v>
      </c>
      <c r="E214" s="247" cm="1">
        <f t="array" ref="E214">-SUMPRODUCT(
  desp[valor] *
  (desp[nucleo]=$B214) *
  (desp[centro.negocio]=$B$206) *
  (desp[data.pagamento]&gt;=E$1) *
  (desp[data.pagamento]&lt;EOMONTH(E$1,0)+1)
)</f>
        <v>0</v>
      </c>
      <c r="F214" s="247" cm="1">
        <f t="array" ref="F214">-SUMPRODUCT(
  desp[valor] *
  (desp[nucleo]=$B214) *
  (desp[centro.negocio]=$B$206) *
  (desp[data.pagamento]&gt;=F$1) *
  (desp[data.pagamento]&lt;EOMONTH(F$1,0)+1)
)</f>
        <v>0</v>
      </c>
      <c r="G214" s="247" cm="1">
        <f t="array" ref="G214">-SUMPRODUCT(
  desp[valor] *
  (desp[nucleo]=$B214) *
  (desp[centro.negocio]=$B$206) *
  (desp[data.pagamento]&gt;=G$1) *
  (desp[data.pagamento]&lt;EOMONTH(G$1,0)+1)
)</f>
        <v>0</v>
      </c>
      <c r="H214" s="247" cm="1">
        <f t="array" ref="H214">-SUMPRODUCT(
  desp[valor] *
  (desp[nucleo]=$B214) *
  (desp[centro.negocio]=$B$206) *
  (desp[data.pagamento]&gt;=H$1) *
  (desp[data.pagamento]&lt;EOMONTH(H$1,0)+1)
)</f>
        <v>0</v>
      </c>
      <c r="I214" s="247" cm="1">
        <f t="array" ref="I214">-SUMPRODUCT(
  desp[valor] *
  (desp[nucleo]=$B214) *
  (desp[centro.negocio]=$B$206) *
  (desp[data.pagamento]&gt;=I$1) *
  (desp[data.pagamento]&lt;EOMONTH(I$1,0)+1)
)</f>
        <v>0</v>
      </c>
      <c r="J214" s="247" cm="1">
        <f t="array" ref="J214">-SUMPRODUCT(
  desp[valor] *
  (desp[nucleo]=$B214) *
  (desp[centro.negocio]=$B$206) *
  (desp[data.pagamento]&gt;=J$1) *
  (desp[data.pagamento]&lt;EOMONTH(J$1,0)+1)
)</f>
        <v>0</v>
      </c>
      <c r="K214" s="247" cm="1">
        <f t="array" ref="K214">-SUMPRODUCT(
  desp[valor] *
  (desp[nucleo]=$B214) *
  (desp[centro.negocio]=$B$206) *
  (desp[data.pagamento]&gt;=K$1) *
  (desp[data.pagamento]&lt;EOMONTH(K$1,0)+1)
)</f>
        <v>0</v>
      </c>
      <c r="L214" s="247" cm="1">
        <f t="array" ref="L214">-SUMPRODUCT(
  desp[valor] *
  (desp[nucleo]=$B214) *
  (desp[centro.negocio]=$B$206) *
  (desp[data.pagamento]&gt;=L$1) *
  (desp[data.pagamento]&lt;EOMONTH(L$1,0)+1)
)</f>
        <v>0</v>
      </c>
      <c r="M214" s="247" cm="1">
        <f t="array" ref="M214">-SUMPRODUCT(
  desp[valor] *
  (desp[nucleo]=$B214) *
  (desp[centro.negocio]=$B$206) *
  (desp[data.pagamento]&gt;=M$1) *
  (desp[data.pagamento]&lt;EOMONTH(M$1,0)+1)
)</f>
        <v>0</v>
      </c>
      <c r="N214" s="247" cm="1">
        <f t="array" ref="N214">-SUMPRODUCT(
  desp[valor] *
  (desp[nucleo]=$B214) *
  (desp[centro.negocio]=$B$206) *
  (desp[data.pagamento]&gt;=N$1) *
  (desp[data.pagamento]&lt;EOMONTH(N$1,0)+1)
)</f>
        <v>0</v>
      </c>
      <c r="O214" s="247" cm="1">
        <f t="array" ref="O214">-SUMPRODUCT(
  desp[valor] *
  (desp[nucleo]=$B214) *
  (desp[centro.negocio]=$B$206) *
  (desp[data.pagamento]&gt;=O$1) *
  (desp[data.pagamento]&lt;EOMONTH(O$1,0)+1)
)</f>
        <v>0</v>
      </c>
      <c r="P214" s="247" cm="1">
        <f t="array" ref="P214">-SUMPRODUCT(
  desp[valor] *
  (desp[nucleo]=$B214) *
  (desp[centro.negocio]=$B$206) *
  (desp[data.pagamento]&gt;=P$1) *
  (desp[data.pagamento]&lt;EOMONTH(P$1,0)+1)
)</f>
        <v>0</v>
      </c>
      <c r="Q214" s="247" cm="1">
        <f t="array" ref="Q214">-SUMPRODUCT(
  desp[valor] *
  (desp[nucleo]=$B214) *
  (desp[centro.negocio]=$B$206) *
  (desp[data.pagamento]&gt;=Q$1) *
  (desp[data.pagamento]&lt;EOMONTH(Q$1,0)+1)
)</f>
        <v>0</v>
      </c>
      <c r="R214" s="247" cm="1">
        <f t="array" ref="R214">-SUMPRODUCT(
  desp[valor] *
  (desp[nucleo]=$B214) *
  (desp[centro.negocio]=$B$206) *
  (desp[data.pagamento]&gt;=R$1) *
  (desp[data.pagamento]&lt;EOMONTH(R$1,0)+1)
)</f>
        <v>0</v>
      </c>
      <c r="T214" s="239">
        <f t="shared" si="67"/>
        <v>0</v>
      </c>
    </row>
    <row r="215" spans="1:20" outlineLevel="2" x14ac:dyDescent="0.25">
      <c r="A215" s="246" t="s">
        <v>764</v>
      </c>
      <c r="B215" s="246" t="s">
        <v>765</v>
      </c>
      <c r="C215" s="193" t="s">
        <v>522</v>
      </c>
      <c r="D215" s="247" cm="1">
        <f t="array" ref="D215">-SUMPRODUCT(
  desp[valor] *
  (desp[nucleo]=$B215) *
  (desp[centro.negocio]=$B$206) *
  (desp[data.pagamento]&gt;=D$1) *
  (desp[data.pagamento]&lt;EOMONTH(D$1,0)+1)
)</f>
        <v>0</v>
      </c>
      <c r="E215" s="247" cm="1">
        <f t="array" ref="E215">-SUMPRODUCT(
  desp[valor] *
  (desp[nucleo]=$B215) *
  (desp[centro.negocio]=$B$206) *
  (desp[data.pagamento]&gt;=E$1) *
  (desp[data.pagamento]&lt;EOMONTH(E$1,0)+1)
)</f>
        <v>0</v>
      </c>
      <c r="F215" s="247" cm="1">
        <f t="array" ref="F215">-SUMPRODUCT(
  desp[valor] *
  (desp[nucleo]=$B215) *
  (desp[centro.negocio]=$B$206) *
  (desp[data.pagamento]&gt;=F$1) *
  (desp[data.pagamento]&lt;EOMONTH(F$1,0)+1)
)</f>
        <v>0</v>
      </c>
      <c r="G215" s="247" cm="1">
        <f t="array" ref="G215">-SUMPRODUCT(
  desp[valor] *
  (desp[nucleo]=$B215) *
  (desp[centro.negocio]=$B$206) *
  (desp[data.pagamento]&gt;=G$1) *
  (desp[data.pagamento]&lt;EOMONTH(G$1,0)+1)
)</f>
        <v>0</v>
      </c>
      <c r="H215" s="247" cm="1">
        <f t="array" ref="H215">-SUMPRODUCT(
  desp[valor] *
  (desp[nucleo]=$B215) *
  (desp[centro.negocio]=$B$206) *
  (desp[data.pagamento]&gt;=H$1) *
  (desp[data.pagamento]&lt;EOMONTH(H$1,0)+1)
)</f>
        <v>0</v>
      </c>
      <c r="I215" s="247" cm="1">
        <f t="array" ref="I215">-SUMPRODUCT(
  desp[valor] *
  (desp[nucleo]=$B215) *
  (desp[centro.negocio]=$B$206) *
  (desp[data.pagamento]&gt;=I$1) *
  (desp[data.pagamento]&lt;EOMONTH(I$1,0)+1)
)</f>
        <v>0</v>
      </c>
      <c r="J215" s="247" cm="1">
        <f t="array" ref="J215">-SUMPRODUCT(
  desp[valor] *
  (desp[nucleo]=$B215) *
  (desp[centro.negocio]=$B$206) *
  (desp[data.pagamento]&gt;=J$1) *
  (desp[data.pagamento]&lt;EOMONTH(J$1,0)+1)
)</f>
        <v>0</v>
      </c>
      <c r="K215" s="247" cm="1">
        <f t="array" ref="K215">-SUMPRODUCT(
  desp[valor] *
  (desp[nucleo]=$B215) *
  (desp[centro.negocio]=$B$206) *
  (desp[data.pagamento]&gt;=K$1) *
  (desp[data.pagamento]&lt;EOMONTH(K$1,0)+1)
)</f>
        <v>0</v>
      </c>
      <c r="L215" s="247" cm="1">
        <f t="array" ref="L215">-SUMPRODUCT(
  desp[valor] *
  (desp[nucleo]=$B215) *
  (desp[centro.negocio]=$B$206) *
  (desp[data.pagamento]&gt;=L$1) *
  (desp[data.pagamento]&lt;EOMONTH(L$1,0)+1)
)</f>
        <v>0</v>
      </c>
      <c r="M215" s="247" cm="1">
        <f t="array" ref="M215">-SUMPRODUCT(
  desp[valor] *
  (desp[nucleo]=$B215) *
  (desp[centro.negocio]=$B$206) *
  (desp[data.pagamento]&gt;=M$1) *
  (desp[data.pagamento]&lt;EOMONTH(M$1,0)+1)
)</f>
        <v>0</v>
      </c>
      <c r="N215" s="247" cm="1">
        <f t="array" ref="N215">-SUMPRODUCT(
  desp[valor] *
  (desp[nucleo]=$B215) *
  (desp[centro.negocio]=$B$206) *
  (desp[data.pagamento]&gt;=N$1) *
  (desp[data.pagamento]&lt;EOMONTH(N$1,0)+1)
)</f>
        <v>0</v>
      </c>
      <c r="O215" s="247" cm="1">
        <f t="array" ref="O215">-SUMPRODUCT(
  desp[valor] *
  (desp[nucleo]=$B215) *
  (desp[centro.negocio]=$B$206) *
  (desp[data.pagamento]&gt;=O$1) *
  (desp[data.pagamento]&lt;EOMONTH(O$1,0)+1)
)</f>
        <v>0</v>
      </c>
      <c r="P215" s="247" cm="1">
        <f t="array" ref="P215">-SUMPRODUCT(
  desp[valor] *
  (desp[nucleo]=$B215) *
  (desp[centro.negocio]=$B$206) *
  (desp[data.pagamento]&gt;=P$1) *
  (desp[data.pagamento]&lt;EOMONTH(P$1,0)+1)
)</f>
        <v>0</v>
      </c>
      <c r="Q215" s="247" cm="1">
        <f t="array" ref="Q215">-SUMPRODUCT(
  desp[valor] *
  (desp[nucleo]=$B215) *
  (desp[centro.negocio]=$B$206) *
  (desp[data.pagamento]&gt;=Q$1) *
  (desp[data.pagamento]&lt;EOMONTH(Q$1,0)+1)
)</f>
        <v>0</v>
      </c>
      <c r="R215" s="247" cm="1">
        <f t="array" ref="R215">-SUMPRODUCT(
  desp[valor] *
  (desp[nucleo]=$B215) *
  (desp[centro.negocio]=$B$206) *
  (desp[data.pagamento]&gt;=R$1) *
  (desp[data.pagamento]&lt;EOMONTH(R$1,0)+1)
)</f>
        <v>0</v>
      </c>
      <c r="T215" s="239">
        <f t="shared" si="67"/>
        <v>0</v>
      </c>
    </row>
    <row r="216" spans="1:20" outlineLevel="2" x14ac:dyDescent="0.25">
      <c r="A216" s="246" t="s">
        <v>766</v>
      </c>
      <c r="B216" s="246" t="s">
        <v>560</v>
      </c>
      <c r="C216" s="193" t="s">
        <v>522</v>
      </c>
      <c r="D216" s="247" cm="1">
        <f t="array" ref="D216">-SUMPRODUCT(
  desp[valor] *
  (desp[nucleo]=$B216) *
  (desp[centro.negocio]=$B$206) *
  (desp[data.pagamento]&gt;=D$1) *
  (desp[data.pagamento]&lt;EOMONTH(D$1,0)+1)
)</f>
        <v>0</v>
      </c>
      <c r="E216" s="247" cm="1">
        <f t="array" ref="E216">-SUMPRODUCT(
  desp[valor] *
  (desp[nucleo]=$B216) *
  (desp[centro.negocio]=$B$206) *
  (desp[data.pagamento]&gt;=E$1) *
  (desp[data.pagamento]&lt;EOMONTH(E$1,0)+1)
)</f>
        <v>0</v>
      </c>
      <c r="F216" s="247" cm="1">
        <f t="array" ref="F216">-SUMPRODUCT(
  desp[valor] *
  (desp[nucleo]=$B216) *
  (desp[centro.negocio]=$B$206) *
  (desp[data.pagamento]&gt;=F$1) *
  (desp[data.pagamento]&lt;EOMONTH(F$1,0)+1)
)</f>
        <v>0</v>
      </c>
      <c r="G216" s="247" cm="1">
        <f t="array" ref="G216">-SUMPRODUCT(
  desp[valor] *
  (desp[nucleo]=$B216) *
  (desp[centro.negocio]=$B$206) *
  (desp[data.pagamento]&gt;=G$1) *
  (desp[data.pagamento]&lt;EOMONTH(G$1,0)+1)
)</f>
        <v>0</v>
      </c>
      <c r="H216" s="247" cm="1">
        <f t="array" ref="H216">-SUMPRODUCT(
  desp[valor] *
  (desp[nucleo]=$B216) *
  (desp[centro.negocio]=$B$206) *
  (desp[data.pagamento]&gt;=H$1) *
  (desp[data.pagamento]&lt;EOMONTH(H$1,0)+1)
)</f>
        <v>0</v>
      </c>
      <c r="I216" s="247" cm="1">
        <f t="array" ref="I216">-SUMPRODUCT(
  desp[valor] *
  (desp[nucleo]=$B216) *
  (desp[centro.negocio]=$B$206) *
  (desp[data.pagamento]&gt;=I$1) *
  (desp[data.pagamento]&lt;EOMONTH(I$1,0)+1)
)</f>
        <v>0</v>
      </c>
      <c r="J216" s="247" cm="1">
        <f t="array" ref="J216">-SUMPRODUCT(
  desp[valor] *
  (desp[nucleo]=$B216) *
  (desp[centro.negocio]=$B$206) *
  (desp[data.pagamento]&gt;=J$1) *
  (desp[data.pagamento]&lt;EOMONTH(J$1,0)+1)
)</f>
        <v>0</v>
      </c>
      <c r="K216" s="247" cm="1">
        <f t="array" ref="K216">-SUMPRODUCT(
  desp[valor] *
  (desp[nucleo]=$B216) *
  (desp[centro.negocio]=$B$206) *
  (desp[data.pagamento]&gt;=K$1) *
  (desp[data.pagamento]&lt;EOMONTH(K$1,0)+1)
)</f>
        <v>0</v>
      </c>
      <c r="L216" s="247" cm="1">
        <f t="array" ref="L216">-SUMPRODUCT(
  desp[valor] *
  (desp[nucleo]=$B216) *
  (desp[centro.negocio]=$B$206) *
  (desp[data.pagamento]&gt;=L$1) *
  (desp[data.pagamento]&lt;EOMONTH(L$1,0)+1)
)</f>
        <v>0</v>
      </c>
      <c r="M216" s="247" cm="1">
        <f t="array" ref="M216">-SUMPRODUCT(
  desp[valor] *
  (desp[nucleo]=$B216) *
  (desp[centro.negocio]=$B$206) *
  (desp[data.pagamento]&gt;=M$1) *
  (desp[data.pagamento]&lt;EOMONTH(M$1,0)+1)
)</f>
        <v>0</v>
      </c>
      <c r="N216" s="247" cm="1">
        <f t="array" ref="N216">-SUMPRODUCT(
  desp[valor] *
  (desp[nucleo]=$B216) *
  (desp[centro.negocio]=$B$206) *
  (desp[data.pagamento]&gt;=N$1) *
  (desp[data.pagamento]&lt;EOMONTH(N$1,0)+1)
)</f>
        <v>0</v>
      </c>
      <c r="O216" s="247" cm="1">
        <f t="array" ref="O216">-SUMPRODUCT(
  desp[valor] *
  (desp[nucleo]=$B216) *
  (desp[centro.negocio]=$B$206) *
  (desp[data.pagamento]&gt;=O$1) *
  (desp[data.pagamento]&lt;EOMONTH(O$1,0)+1)
)</f>
        <v>0</v>
      </c>
      <c r="P216" s="247" cm="1">
        <f t="array" ref="P216">-SUMPRODUCT(
  desp[valor] *
  (desp[nucleo]=$B216) *
  (desp[centro.negocio]=$B$206) *
  (desp[data.pagamento]&gt;=P$1) *
  (desp[data.pagamento]&lt;EOMONTH(P$1,0)+1)
)</f>
        <v>0</v>
      </c>
      <c r="Q216" s="247" cm="1">
        <f t="array" ref="Q216">-SUMPRODUCT(
  desp[valor] *
  (desp[nucleo]=$B216) *
  (desp[centro.negocio]=$B$206) *
  (desp[data.pagamento]&gt;=Q$1) *
  (desp[data.pagamento]&lt;EOMONTH(Q$1,0)+1)
)</f>
        <v>0</v>
      </c>
      <c r="R216" s="247" cm="1">
        <f t="array" ref="R216">-SUMPRODUCT(
  desp[valor] *
  (desp[nucleo]=$B216) *
  (desp[centro.negocio]=$B$206) *
  (desp[data.pagamento]&gt;=R$1) *
  (desp[data.pagamento]&lt;EOMONTH(R$1,0)+1)
)</f>
        <v>0</v>
      </c>
      <c r="T216" s="239">
        <f t="shared" si="67"/>
        <v>0</v>
      </c>
    </row>
    <row r="217" spans="1:20" outlineLevel="2" x14ac:dyDescent="0.25">
      <c r="A217" s="246" t="s">
        <v>767</v>
      </c>
      <c r="B217" s="246" t="s">
        <v>558</v>
      </c>
      <c r="C217" s="193" t="s">
        <v>522</v>
      </c>
      <c r="D217" s="247" cm="1">
        <f t="array" ref="D217">-SUMPRODUCT(
  desp[valor] *
  (desp[nucleo]=$B217) *
  (desp[centro.negocio]=$B$206) *
  (desp[data.pagamento]&gt;=D$1) *
  (desp[data.pagamento]&lt;EOMONTH(D$1,0)+1)
)</f>
        <v>0</v>
      </c>
      <c r="E217" s="247" cm="1">
        <f t="array" ref="E217">-SUMPRODUCT(
  desp[valor] *
  (desp[nucleo]=$B217) *
  (desp[centro.negocio]=$B$206) *
  (desp[data.pagamento]&gt;=E$1) *
  (desp[data.pagamento]&lt;EOMONTH(E$1,0)+1)
)</f>
        <v>0</v>
      </c>
      <c r="F217" s="247" cm="1">
        <f t="array" ref="F217">-SUMPRODUCT(
  desp[valor] *
  (desp[nucleo]=$B217) *
  (desp[centro.negocio]=$B$206) *
  (desp[data.pagamento]&gt;=F$1) *
  (desp[data.pagamento]&lt;EOMONTH(F$1,0)+1)
)</f>
        <v>0</v>
      </c>
      <c r="G217" s="247" cm="1">
        <f t="array" ref="G217">-SUMPRODUCT(
  desp[valor] *
  (desp[nucleo]=$B217) *
  (desp[centro.negocio]=$B$206) *
  (desp[data.pagamento]&gt;=G$1) *
  (desp[data.pagamento]&lt;EOMONTH(G$1,0)+1)
)</f>
        <v>0</v>
      </c>
      <c r="H217" s="247" cm="1">
        <f t="array" ref="H217">-SUMPRODUCT(
  desp[valor] *
  (desp[nucleo]=$B217) *
  (desp[centro.negocio]=$B$206) *
  (desp[data.pagamento]&gt;=H$1) *
  (desp[data.pagamento]&lt;EOMONTH(H$1,0)+1)
)</f>
        <v>0</v>
      </c>
      <c r="I217" s="247" cm="1">
        <f t="array" ref="I217">-SUMPRODUCT(
  desp[valor] *
  (desp[nucleo]=$B217) *
  (desp[centro.negocio]=$B$206) *
  (desp[data.pagamento]&gt;=I$1) *
  (desp[data.pagamento]&lt;EOMONTH(I$1,0)+1)
)</f>
        <v>0</v>
      </c>
      <c r="J217" s="247" cm="1">
        <f t="array" ref="J217">-SUMPRODUCT(
  desp[valor] *
  (desp[nucleo]=$B217) *
  (desp[centro.negocio]=$B$206) *
  (desp[data.pagamento]&gt;=J$1) *
  (desp[data.pagamento]&lt;EOMONTH(J$1,0)+1)
)</f>
        <v>0</v>
      </c>
      <c r="K217" s="247" cm="1">
        <f t="array" ref="K217">-SUMPRODUCT(
  desp[valor] *
  (desp[nucleo]=$B217) *
  (desp[centro.negocio]=$B$206) *
  (desp[data.pagamento]&gt;=K$1) *
  (desp[data.pagamento]&lt;EOMONTH(K$1,0)+1)
)</f>
        <v>0</v>
      </c>
      <c r="L217" s="247" cm="1">
        <f t="array" ref="L217">-SUMPRODUCT(
  desp[valor] *
  (desp[nucleo]=$B217) *
  (desp[centro.negocio]=$B$206) *
  (desp[data.pagamento]&gt;=L$1) *
  (desp[data.pagamento]&lt;EOMONTH(L$1,0)+1)
)</f>
        <v>0</v>
      </c>
      <c r="M217" s="247" cm="1">
        <f t="array" ref="M217">-SUMPRODUCT(
  desp[valor] *
  (desp[nucleo]=$B217) *
  (desp[centro.negocio]=$B$206) *
  (desp[data.pagamento]&gt;=M$1) *
  (desp[data.pagamento]&lt;EOMONTH(M$1,0)+1)
)</f>
        <v>0</v>
      </c>
      <c r="N217" s="247" cm="1">
        <f t="array" ref="N217">-SUMPRODUCT(
  desp[valor] *
  (desp[nucleo]=$B217) *
  (desp[centro.negocio]=$B$206) *
  (desp[data.pagamento]&gt;=N$1) *
  (desp[data.pagamento]&lt;EOMONTH(N$1,0)+1)
)</f>
        <v>0</v>
      </c>
      <c r="O217" s="247" cm="1">
        <f t="array" ref="O217">-SUMPRODUCT(
  desp[valor] *
  (desp[nucleo]=$B217) *
  (desp[centro.negocio]=$B$206) *
  (desp[data.pagamento]&gt;=O$1) *
  (desp[data.pagamento]&lt;EOMONTH(O$1,0)+1)
)</f>
        <v>0</v>
      </c>
      <c r="P217" s="247" cm="1">
        <f t="array" ref="P217">-SUMPRODUCT(
  desp[valor] *
  (desp[nucleo]=$B217) *
  (desp[centro.negocio]=$B$206) *
  (desp[data.pagamento]&gt;=P$1) *
  (desp[data.pagamento]&lt;EOMONTH(P$1,0)+1)
)</f>
        <v>0</v>
      </c>
      <c r="Q217" s="247" cm="1">
        <f t="array" ref="Q217">-SUMPRODUCT(
  desp[valor] *
  (desp[nucleo]=$B217) *
  (desp[centro.negocio]=$B$206) *
  (desp[data.pagamento]&gt;=Q$1) *
  (desp[data.pagamento]&lt;EOMONTH(Q$1,0)+1)
)</f>
        <v>0</v>
      </c>
      <c r="R217" s="247" cm="1">
        <f t="array" ref="R217">-SUMPRODUCT(
  desp[valor] *
  (desp[nucleo]=$B217) *
  (desp[centro.negocio]=$B$206) *
  (desp[data.pagamento]&gt;=R$1) *
  (desp[data.pagamento]&lt;EOMONTH(R$1,0)+1)
)</f>
        <v>0</v>
      </c>
      <c r="T217" s="239">
        <f t="shared" si="67"/>
        <v>0</v>
      </c>
    </row>
    <row r="218" spans="1:20" outlineLevel="2" x14ac:dyDescent="0.25">
      <c r="A218" s="246" t="s">
        <v>768</v>
      </c>
      <c r="B218" s="246" t="s">
        <v>579</v>
      </c>
      <c r="C218" s="193" t="s">
        <v>522</v>
      </c>
      <c r="D218" s="247" cm="1">
        <f t="array" ref="D218">-SUMPRODUCT(
  desp[valor] *
  (desp[nucleo]=$B218) *
  (desp[centro.negocio]=$B$206) *
  (desp[data.pagamento]&gt;=D$1) *
  (desp[data.pagamento]&lt;EOMONTH(D$1,0)+1)
)</f>
        <v>0</v>
      </c>
      <c r="E218" s="247" cm="1">
        <f t="array" ref="E218">-SUMPRODUCT(
  desp[valor] *
  (desp[nucleo]=$B218) *
  (desp[centro.negocio]=$B$206) *
  (desp[data.pagamento]&gt;=E$1) *
  (desp[data.pagamento]&lt;EOMONTH(E$1,0)+1)
)</f>
        <v>0</v>
      </c>
      <c r="F218" s="247" cm="1">
        <f t="array" ref="F218">-SUMPRODUCT(
  desp[valor] *
  (desp[nucleo]=$B218) *
  (desp[centro.negocio]=$B$206) *
  (desp[data.pagamento]&gt;=F$1) *
  (desp[data.pagamento]&lt;EOMONTH(F$1,0)+1)
)</f>
        <v>0</v>
      </c>
      <c r="G218" s="247" cm="1">
        <f t="array" ref="G218">-SUMPRODUCT(
  desp[valor] *
  (desp[nucleo]=$B218) *
  (desp[centro.negocio]=$B$206) *
  (desp[data.pagamento]&gt;=G$1) *
  (desp[data.pagamento]&lt;EOMONTH(G$1,0)+1)
)</f>
        <v>0</v>
      </c>
      <c r="H218" s="247" cm="1">
        <f t="array" ref="H218">-SUMPRODUCT(
  desp[valor] *
  (desp[nucleo]=$B218) *
  (desp[centro.negocio]=$B$206) *
  (desp[data.pagamento]&gt;=H$1) *
  (desp[data.pagamento]&lt;EOMONTH(H$1,0)+1)
)</f>
        <v>0</v>
      </c>
      <c r="I218" s="247" cm="1">
        <f t="array" ref="I218">-SUMPRODUCT(
  desp[valor] *
  (desp[nucleo]=$B218) *
  (desp[centro.negocio]=$B$206) *
  (desp[data.pagamento]&gt;=I$1) *
  (desp[data.pagamento]&lt;EOMONTH(I$1,0)+1)
)</f>
        <v>0</v>
      </c>
      <c r="J218" s="247" cm="1">
        <f t="array" ref="J218">-SUMPRODUCT(
  desp[valor] *
  (desp[nucleo]=$B218) *
  (desp[centro.negocio]=$B$206) *
  (desp[data.pagamento]&gt;=J$1) *
  (desp[data.pagamento]&lt;EOMONTH(J$1,0)+1)
)</f>
        <v>0</v>
      </c>
      <c r="K218" s="247" cm="1">
        <f t="array" ref="K218">-SUMPRODUCT(
  desp[valor] *
  (desp[nucleo]=$B218) *
  (desp[centro.negocio]=$B$206) *
  (desp[data.pagamento]&gt;=K$1) *
  (desp[data.pagamento]&lt;EOMONTH(K$1,0)+1)
)</f>
        <v>0</v>
      </c>
      <c r="L218" s="247" cm="1">
        <f t="array" ref="L218">-SUMPRODUCT(
  desp[valor] *
  (desp[nucleo]=$B218) *
  (desp[centro.negocio]=$B$206) *
  (desp[data.pagamento]&gt;=L$1) *
  (desp[data.pagamento]&lt;EOMONTH(L$1,0)+1)
)</f>
        <v>0</v>
      </c>
      <c r="M218" s="247" cm="1">
        <f t="array" ref="M218">-SUMPRODUCT(
  desp[valor] *
  (desp[nucleo]=$B218) *
  (desp[centro.negocio]=$B$206) *
  (desp[data.pagamento]&gt;=M$1) *
  (desp[data.pagamento]&lt;EOMONTH(M$1,0)+1)
)</f>
        <v>0</v>
      </c>
      <c r="N218" s="247" cm="1">
        <f t="array" ref="N218">-SUMPRODUCT(
  desp[valor] *
  (desp[nucleo]=$B218) *
  (desp[centro.negocio]=$B$206) *
  (desp[data.pagamento]&gt;=N$1) *
  (desp[data.pagamento]&lt;EOMONTH(N$1,0)+1)
)</f>
        <v>0</v>
      </c>
      <c r="O218" s="247" cm="1">
        <f t="array" ref="O218">-SUMPRODUCT(
  desp[valor] *
  (desp[nucleo]=$B218) *
  (desp[centro.negocio]=$B$206) *
  (desp[data.pagamento]&gt;=O$1) *
  (desp[data.pagamento]&lt;EOMONTH(O$1,0)+1)
)</f>
        <v>0</v>
      </c>
      <c r="P218" s="247" cm="1">
        <f t="array" ref="P218">-SUMPRODUCT(
  desp[valor] *
  (desp[nucleo]=$B218) *
  (desp[centro.negocio]=$B$206) *
  (desp[data.pagamento]&gt;=P$1) *
  (desp[data.pagamento]&lt;EOMONTH(P$1,0)+1)
)</f>
        <v>0</v>
      </c>
      <c r="Q218" s="247" cm="1">
        <f t="array" ref="Q218">-SUMPRODUCT(
  desp[valor] *
  (desp[nucleo]=$B218) *
  (desp[centro.negocio]=$B$206) *
  (desp[data.pagamento]&gt;=Q$1) *
  (desp[data.pagamento]&lt;EOMONTH(Q$1,0)+1)
)</f>
        <v>0</v>
      </c>
      <c r="R218" s="247" cm="1">
        <f t="array" ref="R218">-SUMPRODUCT(
  desp[valor] *
  (desp[nucleo]=$B218) *
  (desp[centro.negocio]=$B$206) *
  (desp[data.pagamento]&gt;=R$1) *
  (desp[data.pagamento]&lt;EOMONTH(R$1,0)+1)
)</f>
        <v>0</v>
      </c>
      <c r="T218" s="239">
        <f t="shared" si="67"/>
        <v>0</v>
      </c>
    </row>
    <row r="219" spans="1:20" outlineLevel="2" x14ac:dyDescent="0.25">
      <c r="A219" s="246" t="s">
        <v>769</v>
      </c>
      <c r="B219" s="246" t="s">
        <v>554</v>
      </c>
      <c r="C219" s="193" t="s">
        <v>522</v>
      </c>
      <c r="D219" s="247" cm="1">
        <f t="array" ref="D219">-SUMPRODUCT(
  desp[valor] *
  (desp[nucleo]=$B219) *
  (desp[centro.negocio]=$B$206) *
  (desp[data.pagamento]&gt;=D$1) *
  (desp[data.pagamento]&lt;EOMONTH(D$1,0)+1)
)</f>
        <v>0</v>
      </c>
      <c r="E219" s="247" cm="1">
        <f t="array" ref="E219">-SUMPRODUCT(
  desp[valor] *
  (desp[nucleo]=$B219) *
  (desp[centro.negocio]=$B$206) *
  (desp[data.pagamento]&gt;=E$1) *
  (desp[data.pagamento]&lt;EOMONTH(E$1,0)+1)
)</f>
        <v>0</v>
      </c>
      <c r="F219" s="247" cm="1">
        <f t="array" ref="F219">-SUMPRODUCT(
  desp[valor] *
  (desp[nucleo]=$B219) *
  (desp[centro.negocio]=$B$206) *
  (desp[data.pagamento]&gt;=F$1) *
  (desp[data.pagamento]&lt;EOMONTH(F$1,0)+1)
)</f>
        <v>0</v>
      </c>
      <c r="G219" s="247" cm="1">
        <f t="array" ref="G219">-SUMPRODUCT(
  desp[valor] *
  (desp[nucleo]=$B219) *
  (desp[centro.negocio]=$B$206) *
  (desp[data.pagamento]&gt;=G$1) *
  (desp[data.pagamento]&lt;EOMONTH(G$1,0)+1)
)</f>
        <v>0</v>
      </c>
      <c r="H219" s="247" cm="1">
        <f t="array" ref="H219">-SUMPRODUCT(
  desp[valor] *
  (desp[nucleo]=$B219) *
  (desp[centro.negocio]=$B$206) *
  (desp[data.pagamento]&gt;=H$1) *
  (desp[data.pagamento]&lt;EOMONTH(H$1,0)+1)
)</f>
        <v>0</v>
      </c>
      <c r="I219" s="247" cm="1">
        <f t="array" ref="I219">-SUMPRODUCT(
  desp[valor] *
  (desp[nucleo]=$B219) *
  (desp[centro.negocio]=$B$206) *
  (desp[data.pagamento]&gt;=I$1) *
  (desp[data.pagamento]&lt;EOMONTH(I$1,0)+1)
)</f>
        <v>0</v>
      </c>
      <c r="J219" s="247" cm="1">
        <f t="array" ref="J219">-SUMPRODUCT(
  desp[valor] *
  (desp[nucleo]=$B219) *
  (desp[centro.negocio]=$B$206) *
  (desp[data.pagamento]&gt;=J$1) *
  (desp[data.pagamento]&lt;EOMONTH(J$1,0)+1)
)</f>
        <v>0</v>
      </c>
      <c r="K219" s="247" cm="1">
        <f t="array" ref="K219">-SUMPRODUCT(
  desp[valor] *
  (desp[nucleo]=$B219) *
  (desp[centro.negocio]=$B$206) *
  (desp[data.pagamento]&gt;=K$1) *
  (desp[data.pagamento]&lt;EOMONTH(K$1,0)+1)
)</f>
        <v>0</v>
      </c>
      <c r="L219" s="247" cm="1">
        <f t="array" ref="L219">-SUMPRODUCT(
  desp[valor] *
  (desp[nucleo]=$B219) *
  (desp[centro.negocio]=$B$206) *
  (desp[data.pagamento]&gt;=L$1) *
  (desp[data.pagamento]&lt;EOMONTH(L$1,0)+1)
)</f>
        <v>0</v>
      </c>
      <c r="M219" s="247" cm="1">
        <f t="array" ref="M219">-SUMPRODUCT(
  desp[valor] *
  (desp[nucleo]=$B219) *
  (desp[centro.negocio]=$B$206) *
  (desp[data.pagamento]&gt;=M$1) *
  (desp[data.pagamento]&lt;EOMONTH(M$1,0)+1)
)</f>
        <v>0</v>
      </c>
      <c r="N219" s="247" cm="1">
        <f t="array" ref="N219">-SUMPRODUCT(
  desp[valor] *
  (desp[nucleo]=$B219) *
  (desp[centro.negocio]=$B$206) *
  (desp[data.pagamento]&gt;=N$1) *
  (desp[data.pagamento]&lt;EOMONTH(N$1,0)+1)
)</f>
        <v>0</v>
      </c>
      <c r="O219" s="247" cm="1">
        <f t="array" ref="O219">-SUMPRODUCT(
  desp[valor] *
  (desp[nucleo]=$B219) *
  (desp[centro.negocio]=$B$206) *
  (desp[data.pagamento]&gt;=O$1) *
  (desp[data.pagamento]&lt;EOMONTH(O$1,0)+1)
)</f>
        <v>0</v>
      </c>
      <c r="P219" s="247" cm="1">
        <f t="array" ref="P219">-SUMPRODUCT(
  desp[valor] *
  (desp[nucleo]=$B219) *
  (desp[centro.negocio]=$B$206) *
  (desp[data.pagamento]&gt;=P$1) *
  (desp[data.pagamento]&lt;EOMONTH(P$1,0)+1)
)</f>
        <v>0</v>
      </c>
      <c r="Q219" s="247" cm="1">
        <f t="array" ref="Q219">-SUMPRODUCT(
  desp[valor] *
  (desp[nucleo]=$B219) *
  (desp[centro.negocio]=$B$206) *
  (desp[data.pagamento]&gt;=Q$1) *
  (desp[data.pagamento]&lt;EOMONTH(Q$1,0)+1)
)</f>
        <v>0</v>
      </c>
      <c r="R219" s="247" cm="1">
        <f t="array" ref="R219">-SUMPRODUCT(
  desp[valor] *
  (desp[nucleo]=$B219) *
  (desp[centro.negocio]=$B$206) *
  (desp[data.pagamento]&gt;=R$1) *
  (desp[data.pagamento]&lt;EOMONTH(R$1,0)+1)
)</f>
        <v>0</v>
      </c>
      <c r="T219" s="239">
        <f t="shared" si="67"/>
        <v>0</v>
      </c>
    </row>
    <row r="220" spans="1:20" outlineLevel="2" x14ac:dyDescent="0.25">
      <c r="A220" s="246" t="s">
        <v>770</v>
      </c>
      <c r="B220" s="246" t="s">
        <v>771</v>
      </c>
      <c r="C220" s="193" t="s">
        <v>522</v>
      </c>
      <c r="D220" s="247" cm="1">
        <f t="array" ref="D220">-SUMPRODUCT(
  desp[valor] *
  (desp[nucleo]=$B220) *
  (desp[centro.negocio]=$B$206) *
  (desp[data.pagamento]&gt;=D$1) *
  (desp[data.pagamento]&lt;EOMONTH(D$1,0)+1)
)</f>
        <v>0</v>
      </c>
      <c r="E220" s="247" cm="1">
        <f t="array" ref="E220">-SUMPRODUCT(
  desp[valor] *
  (desp[nucleo]=$B220) *
  (desp[centro.negocio]=$B$206) *
  (desp[data.pagamento]&gt;=E$1) *
  (desp[data.pagamento]&lt;EOMONTH(E$1,0)+1)
)</f>
        <v>0</v>
      </c>
      <c r="F220" s="247" cm="1">
        <f t="array" ref="F220">-SUMPRODUCT(
  desp[valor] *
  (desp[nucleo]=$B220) *
  (desp[centro.negocio]=$B$206) *
  (desp[data.pagamento]&gt;=F$1) *
  (desp[data.pagamento]&lt;EOMONTH(F$1,0)+1)
)</f>
        <v>0</v>
      </c>
      <c r="G220" s="247" cm="1">
        <f t="array" ref="G220">-SUMPRODUCT(
  desp[valor] *
  (desp[nucleo]=$B220) *
  (desp[centro.negocio]=$B$206) *
  (desp[data.pagamento]&gt;=G$1) *
  (desp[data.pagamento]&lt;EOMONTH(G$1,0)+1)
)</f>
        <v>0</v>
      </c>
      <c r="H220" s="247" cm="1">
        <f t="array" ref="H220">-SUMPRODUCT(
  desp[valor] *
  (desp[nucleo]=$B220) *
  (desp[centro.negocio]=$B$206) *
  (desp[data.pagamento]&gt;=H$1) *
  (desp[data.pagamento]&lt;EOMONTH(H$1,0)+1)
)</f>
        <v>0</v>
      </c>
      <c r="I220" s="247" cm="1">
        <f t="array" ref="I220">-SUMPRODUCT(
  desp[valor] *
  (desp[nucleo]=$B220) *
  (desp[centro.negocio]=$B$206) *
  (desp[data.pagamento]&gt;=I$1) *
  (desp[data.pagamento]&lt;EOMONTH(I$1,0)+1)
)</f>
        <v>0</v>
      </c>
      <c r="J220" s="247" cm="1">
        <f t="array" ref="J220">-SUMPRODUCT(
  desp[valor] *
  (desp[nucleo]=$B220) *
  (desp[centro.negocio]=$B$206) *
  (desp[data.pagamento]&gt;=J$1) *
  (desp[data.pagamento]&lt;EOMONTH(J$1,0)+1)
)</f>
        <v>0</v>
      </c>
      <c r="K220" s="247" cm="1">
        <f t="array" ref="K220">-SUMPRODUCT(
  desp[valor] *
  (desp[nucleo]=$B220) *
  (desp[centro.negocio]=$B$206) *
  (desp[data.pagamento]&gt;=K$1) *
  (desp[data.pagamento]&lt;EOMONTH(K$1,0)+1)
)</f>
        <v>0</v>
      </c>
      <c r="L220" s="247" cm="1">
        <f t="array" ref="L220">-SUMPRODUCT(
  desp[valor] *
  (desp[nucleo]=$B220) *
  (desp[centro.negocio]=$B$206) *
  (desp[data.pagamento]&gt;=L$1) *
  (desp[data.pagamento]&lt;EOMONTH(L$1,0)+1)
)</f>
        <v>0</v>
      </c>
      <c r="M220" s="247" cm="1">
        <f t="array" ref="M220">-SUMPRODUCT(
  desp[valor] *
  (desp[nucleo]=$B220) *
  (desp[centro.negocio]=$B$206) *
  (desp[data.pagamento]&gt;=M$1) *
  (desp[data.pagamento]&lt;EOMONTH(M$1,0)+1)
)</f>
        <v>0</v>
      </c>
      <c r="N220" s="247" cm="1">
        <f t="array" ref="N220">-SUMPRODUCT(
  desp[valor] *
  (desp[nucleo]=$B220) *
  (desp[centro.negocio]=$B$206) *
  (desp[data.pagamento]&gt;=N$1) *
  (desp[data.pagamento]&lt;EOMONTH(N$1,0)+1)
)</f>
        <v>0</v>
      </c>
      <c r="O220" s="247" cm="1">
        <f t="array" ref="O220">-SUMPRODUCT(
  desp[valor] *
  (desp[nucleo]=$B220) *
  (desp[centro.negocio]=$B$206) *
  (desp[data.pagamento]&gt;=O$1) *
  (desp[data.pagamento]&lt;EOMONTH(O$1,0)+1)
)</f>
        <v>0</v>
      </c>
      <c r="P220" s="247" cm="1">
        <f t="array" ref="P220">-SUMPRODUCT(
  desp[valor] *
  (desp[nucleo]=$B220) *
  (desp[centro.negocio]=$B$206) *
  (desp[data.pagamento]&gt;=P$1) *
  (desp[data.pagamento]&lt;EOMONTH(P$1,0)+1)
)</f>
        <v>0</v>
      </c>
      <c r="Q220" s="247" cm="1">
        <f t="array" ref="Q220">-SUMPRODUCT(
  desp[valor] *
  (desp[nucleo]=$B220) *
  (desp[centro.negocio]=$B$206) *
  (desp[data.pagamento]&gt;=Q$1) *
  (desp[data.pagamento]&lt;EOMONTH(Q$1,0)+1)
)</f>
        <v>0</v>
      </c>
      <c r="R220" s="247" cm="1">
        <f t="array" ref="R220">-SUMPRODUCT(
  desp[valor] *
  (desp[nucleo]=$B220) *
  (desp[centro.negocio]=$B$206) *
  (desp[data.pagamento]&gt;=R$1) *
  (desp[data.pagamento]&lt;EOMONTH(R$1,0)+1)
)</f>
        <v>0</v>
      </c>
      <c r="T220" s="239">
        <f t="shared" si="67"/>
        <v>0</v>
      </c>
    </row>
    <row r="221" spans="1:20" outlineLevel="2" x14ac:dyDescent="0.25">
      <c r="A221" s="246" t="s">
        <v>772</v>
      </c>
      <c r="B221" s="246" t="s">
        <v>564</v>
      </c>
      <c r="C221" s="193" t="s">
        <v>522</v>
      </c>
      <c r="D221" s="247" cm="1">
        <f t="array" ref="D221">-SUMPRODUCT(
  desp[valor] *
  (desp[nucleo]=$B221) *
  (desp[centro.negocio]=$B$206) *
  (desp[data.pagamento]&gt;=D$1) *
  (desp[data.pagamento]&lt;EOMONTH(D$1,0)+1)
)</f>
        <v>0</v>
      </c>
      <c r="E221" s="247" cm="1">
        <f t="array" ref="E221">-SUMPRODUCT(
  desp[valor] *
  (desp[nucleo]=$B221) *
  (desp[centro.negocio]=$B$206) *
  (desp[data.pagamento]&gt;=E$1) *
  (desp[data.pagamento]&lt;EOMONTH(E$1,0)+1)
)</f>
        <v>0</v>
      </c>
      <c r="F221" s="247" cm="1">
        <f t="array" ref="F221">-SUMPRODUCT(
  desp[valor] *
  (desp[nucleo]=$B221) *
  (desp[centro.negocio]=$B$206) *
  (desp[data.pagamento]&gt;=F$1) *
  (desp[data.pagamento]&lt;EOMONTH(F$1,0)+1)
)</f>
        <v>0</v>
      </c>
      <c r="G221" s="247" cm="1">
        <f t="array" ref="G221">-SUMPRODUCT(
  desp[valor] *
  (desp[nucleo]=$B221) *
  (desp[centro.negocio]=$B$206) *
  (desp[data.pagamento]&gt;=G$1) *
  (desp[data.pagamento]&lt;EOMONTH(G$1,0)+1)
)</f>
        <v>0</v>
      </c>
      <c r="H221" s="247" cm="1">
        <f t="array" ref="H221">-SUMPRODUCT(
  desp[valor] *
  (desp[nucleo]=$B221) *
  (desp[centro.negocio]=$B$206) *
  (desp[data.pagamento]&gt;=H$1) *
  (desp[data.pagamento]&lt;EOMONTH(H$1,0)+1)
)</f>
        <v>0</v>
      </c>
      <c r="I221" s="247" cm="1">
        <f t="array" ref="I221">-SUMPRODUCT(
  desp[valor] *
  (desp[nucleo]=$B221) *
  (desp[centro.negocio]=$B$206) *
  (desp[data.pagamento]&gt;=I$1) *
  (desp[data.pagamento]&lt;EOMONTH(I$1,0)+1)
)</f>
        <v>0</v>
      </c>
      <c r="J221" s="247" cm="1">
        <f t="array" ref="J221">-SUMPRODUCT(
  desp[valor] *
  (desp[nucleo]=$B221) *
  (desp[centro.negocio]=$B$206) *
  (desp[data.pagamento]&gt;=J$1) *
  (desp[data.pagamento]&lt;EOMONTH(J$1,0)+1)
)</f>
        <v>0</v>
      </c>
      <c r="K221" s="247" cm="1">
        <f t="array" ref="K221">-SUMPRODUCT(
  desp[valor] *
  (desp[nucleo]=$B221) *
  (desp[centro.negocio]=$B$206) *
  (desp[data.pagamento]&gt;=K$1) *
  (desp[data.pagamento]&lt;EOMONTH(K$1,0)+1)
)</f>
        <v>0</v>
      </c>
      <c r="L221" s="247" cm="1">
        <f t="array" ref="L221">-SUMPRODUCT(
  desp[valor] *
  (desp[nucleo]=$B221) *
  (desp[centro.negocio]=$B$206) *
  (desp[data.pagamento]&gt;=L$1) *
  (desp[data.pagamento]&lt;EOMONTH(L$1,0)+1)
)</f>
        <v>0</v>
      </c>
      <c r="M221" s="247" cm="1">
        <f t="array" ref="M221">-SUMPRODUCT(
  desp[valor] *
  (desp[nucleo]=$B221) *
  (desp[centro.negocio]=$B$206) *
  (desp[data.pagamento]&gt;=M$1) *
  (desp[data.pagamento]&lt;EOMONTH(M$1,0)+1)
)</f>
        <v>0</v>
      </c>
      <c r="N221" s="247" cm="1">
        <f t="array" ref="N221">-SUMPRODUCT(
  desp[valor] *
  (desp[nucleo]=$B221) *
  (desp[centro.negocio]=$B$206) *
  (desp[data.pagamento]&gt;=N$1) *
  (desp[data.pagamento]&lt;EOMONTH(N$1,0)+1)
)</f>
        <v>0</v>
      </c>
      <c r="O221" s="247" cm="1">
        <f t="array" ref="O221">-SUMPRODUCT(
  desp[valor] *
  (desp[nucleo]=$B221) *
  (desp[centro.negocio]=$B$206) *
  (desp[data.pagamento]&gt;=O$1) *
  (desp[data.pagamento]&lt;EOMONTH(O$1,0)+1)
)</f>
        <v>0</v>
      </c>
      <c r="P221" s="247" cm="1">
        <f t="array" ref="P221">-SUMPRODUCT(
  desp[valor] *
  (desp[nucleo]=$B221) *
  (desp[centro.negocio]=$B$206) *
  (desp[data.pagamento]&gt;=P$1) *
  (desp[data.pagamento]&lt;EOMONTH(P$1,0)+1)
)</f>
        <v>0</v>
      </c>
      <c r="Q221" s="247" cm="1">
        <f t="array" ref="Q221">-SUMPRODUCT(
  desp[valor] *
  (desp[nucleo]=$B221) *
  (desp[centro.negocio]=$B$206) *
  (desp[data.pagamento]&gt;=Q$1) *
  (desp[data.pagamento]&lt;EOMONTH(Q$1,0)+1)
)</f>
        <v>0</v>
      </c>
      <c r="R221" s="247" cm="1">
        <f t="array" ref="R221">-SUMPRODUCT(
  desp[valor] *
  (desp[nucleo]=$B221) *
  (desp[centro.negocio]=$B$206) *
  (desp[data.pagamento]&gt;=R$1) *
  (desp[data.pagamento]&lt;EOMONTH(R$1,0)+1)
)</f>
        <v>0</v>
      </c>
      <c r="T221" s="239">
        <f t="shared" si="67"/>
        <v>0</v>
      </c>
    </row>
    <row r="222" spans="1:20" outlineLevel="1" x14ac:dyDescent="0.25">
      <c r="A222" s="243" t="s">
        <v>773</v>
      </c>
      <c r="B222" s="254" t="s">
        <v>774</v>
      </c>
      <c r="C222" s="193"/>
      <c r="D222" s="247"/>
      <c r="E222" s="247"/>
      <c r="F222" s="247"/>
      <c r="G222" s="247"/>
      <c r="H222" s="247"/>
      <c r="I222" s="247"/>
      <c r="J222" s="247"/>
      <c r="K222" s="247"/>
      <c r="L222" s="247"/>
      <c r="M222" s="247"/>
      <c r="N222" s="247"/>
      <c r="O222" s="247"/>
      <c r="P222" s="247"/>
      <c r="Q222" s="247"/>
      <c r="R222" s="247"/>
      <c r="T222" s="239">
        <f t="shared" si="67"/>
        <v>0</v>
      </c>
    </row>
    <row r="223" spans="1:20" ht="15.75" thickBot="1" x14ac:dyDescent="0.3">
      <c r="A223" s="233"/>
      <c r="B223" s="233" t="s">
        <v>775</v>
      </c>
      <c r="C223" s="260"/>
      <c r="D223" s="261">
        <f t="shared" ref="D223:R223" ca="1" si="70">D$2+D$158+D$182</f>
        <v>1368024.05</v>
      </c>
      <c r="E223" s="261">
        <f t="shared" ca="1" si="70"/>
        <v>102314.88</v>
      </c>
      <c r="F223" s="261">
        <f t="shared" ca="1" si="70"/>
        <v>868976.02</v>
      </c>
      <c r="G223" s="261">
        <f t="shared" ca="1" si="70"/>
        <v>3770012.18</v>
      </c>
      <c r="H223" s="261">
        <f t="shared" ca="1" si="70"/>
        <v>6876868.8100000005</v>
      </c>
      <c r="I223" s="261">
        <f t="shared" ca="1" si="70"/>
        <v>3463508.48</v>
      </c>
      <c r="J223" s="261">
        <f t="shared" ca="1" si="70"/>
        <v>2746945.21</v>
      </c>
      <c r="K223" s="261">
        <f t="shared" ca="1" si="70"/>
        <v>8859782.6399999987</v>
      </c>
      <c r="L223" s="261">
        <f t="shared" ca="1" si="70"/>
        <v>1572184.21</v>
      </c>
      <c r="M223" s="261">
        <f t="shared" ca="1" si="70"/>
        <v>4119553.0399999996</v>
      </c>
      <c r="N223" s="261">
        <f t="shared" ca="1" si="70"/>
        <v>-3018398.11</v>
      </c>
      <c r="O223" s="261">
        <f t="shared" ca="1" si="70"/>
        <v>796645.68</v>
      </c>
      <c r="P223" s="261">
        <f t="shared" ca="1" si="70"/>
        <v>1318482.03</v>
      </c>
      <c r="Q223" s="261">
        <f t="shared" ca="1" si="70"/>
        <v>970629.95</v>
      </c>
      <c r="R223" s="261">
        <f t="shared" ca="1" si="70"/>
        <v>2886031.81</v>
      </c>
      <c r="T223" s="262">
        <f ca="1">SUM(D223:R223)</f>
        <v>36701560.88000001</v>
      </c>
    </row>
    <row r="224" spans="1:20" x14ac:dyDescent="0.25">
      <c r="A224" s="305"/>
      <c r="B224" s="305" t="s">
        <v>776</v>
      </c>
      <c r="C224" s="306"/>
      <c r="D224" s="238"/>
      <c r="E224" s="238"/>
      <c r="F224" s="238"/>
      <c r="G224" s="238"/>
      <c r="H224" s="238"/>
      <c r="I224" s="238"/>
      <c r="J224" s="238"/>
      <c r="K224" s="238"/>
      <c r="L224" s="238"/>
      <c r="M224" s="238"/>
      <c r="N224" s="238"/>
      <c r="O224" s="238"/>
      <c r="P224" s="238"/>
      <c r="Q224" s="238"/>
      <c r="R224" s="238"/>
    </row>
    <row r="225" spans="1:18" x14ac:dyDescent="0.25">
      <c r="A225" s="305"/>
      <c r="B225" s="305" t="s">
        <v>777</v>
      </c>
      <c r="C225" s="306"/>
      <c r="D225" s="238"/>
      <c r="E225" s="238"/>
      <c r="F225" s="238"/>
      <c r="G225" s="238"/>
      <c r="H225" s="238"/>
      <c r="I225" s="238"/>
      <c r="J225" s="238"/>
      <c r="K225" s="238"/>
      <c r="L225" s="238"/>
      <c r="M225" s="238"/>
      <c r="N225" s="238"/>
      <c r="O225" s="238"/>
      <c r="P225" s="238"/>
      <c r="Q225" s="238"/>
      <c r="R225" s="238"/>
    </row>
    <row r="226" spans="1:18" x14ac:dyDescent="0.25">
      <c r="A226" s="305"/>
      <c r="B226" s="305" t="s">
        <v>796</v>
      </c>
      <c r="C226" s="306"/>
      <c r="D226" s="238"/>
      <c r="E226" s="238"/>
      <c r="F226" s="238"/>
      <c r="G226" s="238"/>
      <c r="H226" s="238"/>
      <c r="I226" s="238"/>
      <c r="J226" s="238"/>
      <c r="K226" s="238"/>
      <c r="L226" s="238"/>
      <c r="M226" s="238"/>
      <c r="N226" s="238"/>
      <c r="O226" s="238"/>
      <c r="P226" s="238"/>
      <c r="Q226" s="238"/>
      <c r="R226" s="238"/>
    </row>
    <row r="227" spans="1:18" x14ac:dyDescent="0.25">
      <c r="D227" s="247"/>
      <c r="E227" s="247"/>
      <c r="F227" s="247"/>
      <c r="G227" s="247"/>
      <c r="H227" s="247"/>
      <c r="I227" s="247"/>
      <c r="J227" s="247"/>
      <c r="K227" s="247"/>
      <c r="L227" s="247"/>
      <c r="M227" s="247"/>
      <c r="N227" s="247"/>
      <c r="O227" s="247"/>
      <c r="P227" s="247"/>
      <c r="Q227" s="247"/>
      <c r="R227" s="247"/>
    </row>
    <row r="228" spans="1:18" x14ac:dyDescent="0.25">
      <c r="D228" s="247"/>
      <c r="E228" s="247"/>
      <c r="F228" s="247"/>
      <c r="G228" s="247"/>
      <c r="H228" s="247"/>
      <c r="I228" s="247"/>
      <c r="J228" s="247"/>
      <c r="K228" s="247"/>
      <c r="L228" s="247"/>
      <c r="M228" s="247"/>
      <c r="N228" s="247"/>
      <c r="O228" s="247"/>
      <c r="P228" s="247"/>
      <c r="Q228" s="247"/>
      <c r="R228" s="247"/>
    </row>
    <row r="229" spans="1:18" x14ac:dyDescent="0.25">
      <c r="D229" s="247"/>
      <c r="E229" s="247"/>
      <c r="F229" s="247"/>
      <c r="G229" s="247"/>
      <c r="H229" s="247"/>
      <c r="I229" s="247"/>
      <c r="J229" s="247"/>
      <c r="K229" s="247"/>
      <c r="L229" s="247"/>
      <c r="M229" s="247"/>
      <c r="N229" s="247"/>
      <c r="O229" s="247"/>
      <c r="P229" s="247"/>
      <c r="Q229" s="247"/>
      <c r="R229" s="247"/>
    </row>
    <row r="230" spans="1:18" x14ac:dyDescent="0.25">
      <c r="D230" s="247"/>
      <c r="E230" s="247"/>
      <c r="F230" s="247"/>
      <c r="G230" s="247"/>
      <c r="H230" s="247"/>
      <c r="I230" s="247"/>
      <c r="J230" s="247"/>
      <c r="K230" s="247"/>
      <c r="L230" s="247"/>
      <c r="M230" s="247"/>
      <c r="N230" s="247"/>
      <c r="O230" s="247"/>
      <c r="P230" s="247"/>
      <c r="Q230" s="247"/>
      <c r="R230" s="247"/>
    </row>
    <row r="231" spans="1:18" x14ac:dyDescent="0.25">
      <c r="D231" s="247"/>
      <c r="E231" s="247"/>
      <c r="F231" s="247"/>
      <c r="G231" s="247"/>
      <c r="H231" s="247"/>
      <c r="I231" s="247"/>
      <c r="J231" s="247"/>
      <c r="K231" s="247"/>
      <c r="L231" s="247"/>
      <c r="M231" s="247"/>
      <c r="N231" s="247"/>
      <c r="O231" s="247"/>
      <c r="P231" s="247"/>
      <c r="Q231" s="247"/>
      <c r="R231" s="247"/>
    </row>
    <row r="232" spans="1:18" x14ac:dyDescent="0.25">
      <c r="D232" s="247"/>
      <c r="E232" s="247"/>
      <c r="F232" s="247"/>
      <c r="G232" s="247"/>
      <c r="H232" s="247"/>
      <c r="I232" s="247"/>
      <c r="J232" s="247"/>
      <c r="K232" s="247"/>
      <c r="L232" s="247"/>
      <c r="M232" s="247"/>
      <c r="N232" s="247"/>
      <c r="O232" s="247"/>
      <c r="P232" s="247"/>
      <c r="Q232" s="247"/>
      <c r="R232" s="247"/>
    </row>
    <row r="233" spans="1:18" x14ac:dyDescent="0.25">
      <c r="D233" s="247"/>
      <c r="E233" s="247"/>
      <c r="F233" s="247"/>
      <c r="G233" s="247"/>
      <c r="H233" s="247"/>
      <c r="I233" s="247"/>
      <c r="J233" s="247"/>
      <c r="K233" s="247"/>
      <c r="L233" s="247"/>
      <c r="M233" s="247"/>
      <c r="N233" s="247"/>
      <c r="O233" s="247"/>
      <c r="P233" s="247"/>
      <c r="Q233" s="247"/>
      <c r="R233" s="247"/>
    </row>
    <row r="234" spans="1:18" x14ac:dyDescent="0.25">
      <c r="D234" s="247"/>
      <c r="E234" s="247"/>
      <c r="F234" s="247"/>
      <c r="G234" s="247"/>
      <c r="H234" s="247"/>
      <c r="I234" s="247"/>
      <c r="J234" s="247"/>
      <c r="K234" s="247"/>
      <c r="L234" s="247"/>
      <c r="M234" s="247"/>
      <c r="N234" s="247"/>
      <c r="O234" s="247"/>
      <c r="P234" s="247"/>
      <c r="Q234" s="247"/>
      <c r="R234" s="247"/>
    </row>
    <row r="235" spans="1:18" x14ac:dyDescent="0.25">
      <c r="D235" s="247"/>
      <c r="E235" s="247"/>
      <c r="F235" s="247"/>
      <c r="G235" s="247"/>
      <c r="H235" s="247"/>
      <c r="I235" s="247"/>
      <c r="J235" s="247"/>
      <c r="K235" s="247"/>
      <c r="L235" s="247"/>
      <c r="M235" s="247"/>
      <c r="N235" s="247"/>
      <c r="O235" s="247"/>
      <c r="P235" s="247"/>
      <c r="Q235" s="247"/>
      <c r="R235" s="247"/>
    </row>
    <row r="236" spans="1:18" x14ac:dyDescent="0.25">
      <c r="D236" s="247"/>
      <c r="E236" s="247"/>
      <c r="F236" s="247"/>
      <c r="G236" s="247"/>
      <c r="H236" s="247"/>
      <c r="I236" s="247"/>
      <c r="J236" s="247"/>
      <c r="K236" s="247"/>
      <c r="L236" s="247"/>
      <c r="M236" s="247"/>
      <c r="N236" s="247"/>
      <c r="O236" s="247"/>
      <c r="P236" s="247"/>
      <c r="Q236" s="247"/>
      <c r="R236" s="247"/>
    </row>
    <row r="237" spans="1:18" x14ac:dyDescent="0.25">
      <c r="D237" s="247"/>
      <c r="E237" s="247"/>
      <c r="F237" s="247"/>
      <c r="G237" s="247"/>
      <c r="H237" s="247"/>
      <c r="I237" s="247"/>
      <c r="J237" s="247"/>
      <c r="K237" s="247"/>
      <c r="L237" s="247"/>
      <c r="M237" s="247"/>
      <c r="N237" s="247"/>
      <c r="O237" s="247"/>
      <c r="P237" s="247"/>
      <c r="Q237" s="247"/>
      <c r="R237" s="247"/>
    </row>
    <row r="238" spans="1:18" x14ac:dyDescent="0.25">
      <c r="D238" s="247"/>
      <c r="E238" s="247"/>
      <c r="F238" s="247"/>
      <c r="G238" s="247"/>
      <c r="H238" s="247"/>
      <c r="I238" s="247"/>
      <c r="J238" s="247"/>
      <c r="K238" s="247"/>
      <c r="L238" s="247"/>
      <c r="M238" s="247"/>
      <c r="N238" s="247"/>
      <c r="O238" s="247"/>
      <c r="P238" s="247"/>
      <c r="Q238" s="247"/>
      <c r="R238" s="247"/>
    </row>
    <row r="239" spans="1:18" x14ac:dyDescent="0.25">
      <c r="D239" s="247"/>
      <c r="E239" s="247"/>
      <c r="F239" s="247"/>
      <c r="G239" s="247"/>
      <c r="H239" s="247"/>
      <c r="I239" s="247"/>
      <c r="J239" s="247"/>
      <c r="K239" s="247"/>
      <c r="L239" s="247"/>
      <c r="M239" s="247"/>
      <c r="N239" s="247"/>
      <c r="O239" s="247"/>
      <c r="P239" s="247"/>
      <c r="Q239" s="247"/>
      <c r="R239" s="247"/>
    </row>
    <row r="240" spans="1:18" x14ac:dyDescent="0.25">
      <c r="D240" s="247"/>
      <c r="E240" s="247"/>
      <c r="F240" s="247"/>
      <c r="G240" s="247"/>
      <c r="H240" s="247"/>
      <c r="I240" s="247"/>
      <c r="J240" s="247"/>
      <c r="K240" s="247"/>
      <c r="L240" s="247"/>
      <c r="M240" s="247"/>
      <c r="N240" s="247"/>
      <c r="O240" s="247"/>
      <c r="P240" s="247"/>
      <c r="Q240" s="247"/>
      <c r="R240" s="247"/>
    </row>
    <row r="241" spans="4:18" x14ac:dyDescent="0.25">
      <c r="D241" s="247"/>
      <c r="E241" s="247"/>
      <c r="F241" s="247"/>
      <c r="G241" s="247"/>
      <c r="H241" s="247"/>
      <c r="I241" s="247"/>
      <c r="J241" s="247"/>
      <c r="K241" s="247"/>
      <c r="L241" s="247"/>
      <c r="M241" s="247"/>
      <c r="N241" s="247"/>
      <c r="O241" s="247"/>
      <c r="P241" s="247"/>
      <c r="Q241" s="247"/>
      <c r="R241" s="247"/>
    </row>
    <row r="242" spans="4:18" x14ac:dyDescent="0.25"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/>
      <c r="Q242" s="247"/>
      <c r="R242" s="247"/>
    </row>
    <row r="243" spans="4:18" x14ac:dyDescent="0.25"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/>
      <c r="Q243" s="247"/>
      <c r="R243" s="247"/>
    </row>
    <row r="244" spans="4:18" x14ac:dyDescent="0.25">
      <c r="D244" s="247"/>
      <c r="E244" s="247"/>
      <c r="F244" s="247"/>
      <c r="G244" s="247"/>
      <c r="H244" s="247"/>
      <c r="I244" s="247"/>
      <c r="J244" s="247"/>
      <c r="K244" s="247"/>
      <c r="L244" s="247"/>
      <c r="M244" s="247"/>
      <c r="N244" s="247"/>
      <c r="O244" s="247"/>
      <c r="P244" s="247"/>
      <c r="Q244" s="247"/>
      <c r="R244" s="247"/>
    </row>
    <row r="245" spans="4:18" x14ac:dyDescent="0.25">
      <c r="D245" s="247"/>
      <c r="E245" s="247"/>
      <c r="F245" s="247"/>
      <c r="G245" s="247"/>
      <c r="H245" s="247"/>
      <c r="I245" s="247"/>
      <c r="J245" s="247"/>
      <c r="K245" s="247"/>
      <c r="L245" s="247"/>
      <c r="M245" s="247"/>
      <c r="N245" s="247"/>
      <c r="O245" s="247"/>
      <c r="P245" s="247"/>
      <c r="Q245" s="247"/>
      <c r="R245" s="247"/>
    </row>
    <row r="246" spans="4:18" x14ac:dyDescent="0.25">
      <c r="D246" s="247"/>
      <c r="E246" s="247"/>
      <c r="F246" s="247"/>
      <c r="G246" s="247"/>
      <c r="H246" s="247"/>
      <c r="I246" s="247"/>
      <c r="J246" s="247"/>
      <c r="K246" s="247"/>
      <c r="L246" s="247"/>
      <c r="M246" s="247"/>
      <c r="N246" s="247"/>
      <c r="O246" s="247"/>
      <c r="P246" s="247"/>
      <c r="Q246" s="247"/>
      <c r="R246" s="247"/>
    </row>
    <row r="247" spans="4:18" x14ac:dyDescent="0.25">
      <c r="D247" s="247"/>
      <c r="E247" s="247"/>
      <c r="F247" s="247"/>
      <c r="G247" s="247"/>
      <c r="H247" s="247"/>
      <c r="I247" s="247"/>
      <c r="J247" s="247"/>
      <c r="K247" s="247"/>
      <c r="L247" s="247"/>
      <c r="M247" s="247"/>
      <c r="N247" s="247"/>
      <c r="O247" s="247"/>
      <c r="P247" s="247"/>
      <c r="Q247" s="247"/>
      <c r="R247" s="247"/>
    </row>
    <row r="248" spans="4:18" x14ac:dyDescent="0.25">
      <c r="D248" s="247"/>
      <c r="E248" s="247"/>
      <c r="F248" s="247"/>
      <c r="G248" s="247"/>
      <c r="H248" s="247"/>
      <c r="I248" s="247"/>
      <c r="J248" s="247"/>
      <c r="K248" s="247"/>
      <c r="L248" s="247"/>
      <c r="M248" s="247"/>
      <c r="N248" s="247"/>
      <c r="O248" s="247"/>
      <c r="P248" s="247"/>
      <c r="Q248" s="247"/>
      <c r="R248" s="247"/>
    </row>
    <row r="249" spans="4:18" x14ac:dyDescent="0.25">
      <c r="D249" s="247"/>
      <c r="E249" s="247"/>
      <c r="F249" s="247"/>
      <c r="G249" s="247"/>
      <c r="H249" s="247"/>
      <c r="I249" s="247"/>
      <c r="J249" s="247"/>
      <c r="K249" s="247"/>
      <c r="L249" s="247"/>
      <c r="M249" s="247"/>
      <c r="N249" s="247"/>
      <c r="O249" s="247"/>
      <c r="P249" s="247"/>
      <c r="Q249" s="247"/>
      <c r="R249" s="247"/>
    </row>
    <row r="250" spans="4:18" x14ac:dyDescent="0.25">
      <c r="D250" s="247"/>
      <c r="E250" s="247"/>
      <c r="F250" s="247"/>
      <c r="G250" s="247"/>
      <c r="H250" s="247"/>
      <c r="I250" s="247"/>
      <c r="J250" s="247"/>
      <c r="K250" s="247"/>
      <c r="L250" s="247"/>
      <c r="M250" s="247"/>
      <c r="N250" s="247"/>
      <c r="O250" s="247"/>
      <c r="P250" s="247"/>
      <c r="Q250" s="247"/>
      <c r="R250" s="247"/>
    </row>
    <row r="251" spans="4:18" x14ac:dyDescent="0.25">
      <c r="D251" s="247"/>
      <c r="E251" s="247"/>
      <c r="F251" s="247"/>
      <c r="G251" s="247"/>
      <c r="H251" s="247"/>
      <c r="I251" s="247"/>
      <c r="J251" s="247"/>
      <c r="K251" s="247"/>
      <c r="L251" s="247"/>
      <c r="M251" s="247"/>
      <c r="N251" s="247"/>
      <c r="O251" s="247"/>
      <c r="P251" s="247"/>
      <c r="Q251" s="247"/>
      <c r="R251" s="247"/>
    </row>
    <row r="252" spans="4:18" x14ac:dyDescent="0.25">
      <c r="D252" s="247"/>
      <c r="E252" s="247"/>
      <c r="F252" s="247"/>
      <c r="G252" s="247"/>
      <c r="H252" s="247"/>
      <c r="I252" s="247"/>
      <c r="J252" s="247"/>
      <c r="K252" s="247"/>
      <c r="L252" s="247"/>
      <c r="M252" s="247"/>
      <c r="N252" s="247"/>
      <c r="O252" s="247"/>
      <c r="P252" s="247"/>
      <c r="Q252" s="247"/>
      <c r="R252" s="247"/>
    </row>
    <row r="253" spans="4:18" x14ac:dyDescent="0.25">
      <c r="D253" s="247"/>
      <c r="E253" s="247"/>
      <c r="F253" s="247"/>
      <c r="G253" s="247"/>
      <c r="H253" s="247"/>
      <c r="I253" s="247"/>
      <c r="J253" s="247"/>
      <c r="K253" s="247"/>
      <c r="L253" s="247"/>
      <c r="M253" s="247"/>
      <c r="N253" s="247"/>
      <c r="O253" s="247"/>
      <c r="P253" s="247"/>
      <c r="Q253" s="247"/>
      <c r="R253" s="247"/>
    </row>
    <row r="254" spans="4:18" x14ac:dyDescent="0.25">
      <c r="D254" s="247"/>
      <c r="E254" s="247"/>
      <c r="F254" s="247"/>
      <c r="G254" s="247"/>
      <c r="H254" s="247"/>
      <c r="I254" s="247"/>
      <c r="J254" s="247"/>
      <c r="K254" s="247"/>
      <c r="L254" s="247"/>
      <c r="M254" s="247"/>
      <c r="N254" s="247"/>
      <c r="O254" s="247"/>
      <c r="P254" s="247"/>
      <c r="Q254" s="247"/>
      <c r="R254" s="247"/>
    </row>
    <row r="255" spans="4:18" x14ac:dyDescent="0.25">
      <c r="D255" s="247"/>
      <c r="E255" s="247"/>
      <c r="F255" s="247"/>
      <c r="G255" s="247"/>
      <c r="H255" s="247"/>
      <c r="I255" s="247"/>
      <c r="J255" s="247"/>
      <c r="K255" s="247"/>
      <c r="L255" s="247"/>
      <c r="M255" s="247"/>
      <c r="N255" s="247"/>
      <c r="O255" s="247"/>
      <c r="P255" s="247"/>
      <c r="Q255" s="247"/>
      <c r="R255" s="247"/>
    </row>
    <row r="256" spans="4:18" x14ac:dyDescent="0.25">
      <c r="D256" s="247"/>
      <c r="E256" s="247"/>
      <c r="F256" s="247"/>
      <c r="G256" s="247"/>
      <c r="H256" s="247"/>
      <c r="I256" s="247"/>
      <c r="J256" s="247"/>
      <c r="K256" s="247"/>
      <c r="L256" s="247"/>
      <c r="M256" s="247"/>
      <c r="N256" s="247"/>
      <c r="O256" s="247"/>
      <c r="P256" s="247"/>
      <c r="Q256" s="247"/>
      <c r="R256" s="247"/>
    </row>
    <row r="257" spans="4:18" x14ac:dyDescent="0.25">
      <c r="D257" s="247"/>
      <c r="E257" s="247"/>
      <c r="F257" s="247"/>
      <c r="G257" s="247"/>
      <c r="H257" s="247"/>
      <c r="I257" s="247"/>
      <c r="J257" s="247"/>
      <c r="K257" s="247"/>
      <c r="L257" s="247"/>
      <c r="M257" s="247"/>
      <c r="N257" s="247"/>
      <c r="O257" s="247"/>
      <c r="P257" s="247"/>
      <c r="Q257" s="247"/>
      <c r="R257" s="247"/>
    </row>
    <row r="258" spans="4:18" x14ac:dyDescent="0.25">
      <c r="D258" s="247"/>
      <c r="E258" s="247"/>
      <c r="F258" s="247"/>
      <c r="G258" s="247"/>
      <c r="H258" s="247"/>
      <c r="I258" s="247"/>
      <c r="J258" s="247"/>
      <c r="K258" s="247"/>
      <c r="L258" s="247"/>
      <c r="M258" s="247"/>
      <c r="N258" s="247"/>
      <c r="O258" s="247"/>
      <c r="P258" s="247"/>
      <c r="Q258" s="247"/>
      <c r="R258" s="247"/>
    </row>
    <row r="259" spans="4:18" x14ac:dyDescent="0.25">
      <c r="D259" s="247"/>
      <c r="E259" s="247"/>
      <c r="F259" s="247"/>
      <c r="G259" s="247"/>
      <c r="H259" s="247"/>
      <c r="I259" s="247"/>
      <c r="J259" s="247"/>
      <c r="K259" s="247"/>
      <c r="L259" s="247"/>
      <c r="M259" s="247"/>
      <c r="N259" s="247"/>
      <c r="O259" s="247"/>
      <c r="P259" s="247"/>
      <c r="Q259" s="247"/>
      <c r="R259" s="247"/>
    </row>
    <row r="260" spans="4:18" x14ac:dyDescent="0.25">
      <c r="D260" s="247"/>
      <c r="E260" s="247"/>
      <c r="F260" s="247"/>
      <c r="G260" s="247"/>
      <c r="H260" s="247"/>
      <c r="I260" s="247"/>
      <c r="J260" s="247"/>
      <c r="K260" s="247"/>
      <c r="L260" s="247"/>
      <c r="M260" s="247"/>
      <c r="N260" s="247"/>
      <c r="O260" s="247"/>
      <c r="P260" s="247"/>
      <c r="Q260" s="247"/>
      <c r="R260" s="247"/>
    </row>
    <row r="261" spans="4:18" x14ac:dyDescent="0.25">
      <c r="D261" s="247"/>
      <c r="E261" s="247"/>
      <c r="F261" s="247"/>
      <c r="G261" s="247"/>
      <c r="H261" s="247"/>
      <c r="I261" s="247"/>
      <c r="J261" s="247"/>
      <c r="K261" s="247"/>
      <c r="L261" s="247"/>
      <c r="M261" s="247"/>
      <c r="N261" s="247"/>
      <c r="O261" s="247"/>
      <c r="P261" s="247"/>
      <c r="Q261" s="247"/>
      <c r="R261" s="247"/>
    </row>
    <row r="262" spans="4:18" x14ac:dyDescent="0.25">
      <c r="D262" s="247"/>
      <c r="E262" s="247"/>
      <c r="F262" s="247"/>
      <c r="G262" s="247"/>
      <c r="H262" s="247"/>
      <c r="I262" s="247"/>
      <c r="J262" s="247"/>
      <c r="K262" s="247"/>
      <c r="L262" s="247"/>
      <c r="M262" s="247"/>
      <c r="N262" s="247"/>
      <c r="O262" s="247"/>
      <c r="P262" s="247"/>
      <c r="Q262" s="247"/>
      <c r="R262" s="247"/>
    </row>
    <row r="263" spans="4:18" x14ac:dyDescent="0.25">
      <c r="D263" s="247"/>
      <c r="E263" s="247"/>
      <c r="F263" s="247"/>
      <c r="G263" s="247"/>
      <c r="H263" s="247"/>
      <c r="I263" s="247"/>
      <c r="J263" s="247"/>
      <c r="K263" s="247"/>
      <c r="L263" s="247"/>
      <c r="M263" s="247"/>
      <c r="N263" s="247"/>
      <c r="O263" s="247"/>
      <c r="P263" s="247"/>
      <c r="Q263" s="247"/>
      <c r="R263" s="247"/>
    </row>
    <row r="264" spans="4:18" x14ac:dyDescent="0.25">
      <c r="D264" s="247"/>
      <c r="E264" s="247"/>
      <c r="F264" s="247"/>
      <c r="G264" s="247"/>
      <c r="H264" s="247"/>
      <c r="I264" s="247"/>
      <c r="J264" s="247"/>
      <c r="K264" s="247"/>
      <c r="L264" s="247"/>
      <c r="M264" s="247"/>
      <c r="N264" s="247"/>
      <c r="O264" s="247"/>
      <c r="P264" s="247"/>
      <c r="Q264" s="247"/>
      <c r="R264" s="247"/>
    </row>
    <row r="265" spans="4:18" x14ac:dyDescent="0.25">
      <c r="D265" s="247"/>
      <c r="E265" s="247"/>
      <c r="F265" s="247"/>
      <c r="G265" s="247"/>
      <c r="H265" s="247"/>
      <c r="I265" s="247"/>
      <c r="J265" s="247"/>
      <c r="K265" s="247"/>
      <c r="L265" s="247"/>
      <c r="M265" s="247"/>
      <c r="N265" s="247"/>
      <c r="O265" s="247"/>
      <c r="P265" s="247"/>
      <c r="Q265" s="247"/>
      <c r="R265" s="247"/>
    </row>
    <row r="267" spans="4:18" x14ac:dyDescent="0.25">
      <c r="D267" s="247"/>
      <c r="E267" s="247"/>
      <c r="F267" s="247"/>
      <c r="G267" s="247"/>
      <c r="H267" s="247"/>
      <c r="I267" s="247"/>
      <c r="J267" s="247"/>
      <c r="K267" s="247"/>
      <c r="L267" s="247"/>
      <c r="M267" s="247"/>
      <c r="N267" s="247"/>
      <c r="O267" s="247"/>
      <c r="P267" s="247"/>
      <c r="Q267" s="247"/>
      <c r="R267" s="247"/>
    </row>
    <row r="268" spans="4:18" x14ac:dyDescent="0.25">
      <c r="D268" s="247"/>
      <c r="E268" s="247"/>
      <c r="F268" s="247"/>
      <c r="G268" s="247"/>
      <c r="H268" s="247"/>
      <c r="I268" s="247"/>
      <c r="J268" s="247"/>
      <c r="K268" s="247"/>
      <c r="L268" s="247"/>
      <c r="M268" s="247"/>
      <c r="N268" s="247"/>
      <c r="O268" s="247"/>
      <c r="P268" s="247"/>
      <c r="Q268" s="247"/>
      <c r="R268" s="247"/>
    </row>
    <row r="269" spans="4:18" x14ac:dyDescent="0.25">
      <c r="D269" s="247"/>
      <c r="E269" s="247"/>
      <c r="F269" s="247"/>
      <c r="G269" s="247"/>
      <c r="H269" s="247"/>
      <c r="I269" s="247"/>
      <c r="J269" s="247"/>
      <c r="K269" s="247"/>
      <c r="L269" s="247"/>
      <c r="M269" s="247"/>
      <c r="N269" s="247"/>
      <c r="O269" s="247"/>
      <c r="P269" s="247"/>
      <c r="Q269" s="247"/>
      <c r="R269" s="247"/>
    </row>
    <row r="270" spans="4:18" x14ac:dyDescent="0.25">
      <c r="D270" s="247"/>
      <c r="E270" s="247"/>
      <c r="F270" s="247"/>
      <c r="G270" s="247"/>
      <c r="H270" s="247"/>
      <c r="I270" s="247"/>
      <c r="J270" s="247"/>
      <c r="K270" s="247"/>
      <c r="L270" s="247"/>
      <c r="M270" s="247"/>
      <c r="N270" s="247"/>
      <c r="O270" s="247"/>
      <c r="P270" s="247"/>
      <c r="Q270" s="247"/>
      <c r="R270" s="247"/>
    </row>
    <row r="271" spans="4:18" x14ac:dyDescent="0.25">
      <c r="D271" s="247"/>
      <c r="E271" s="247"/>
      <c r="F271" s="247"/>
      <c r="G271" s="247"/>
      <c r="H271" s="247"/>
      <c r="I271" s="247"/>
      <c r="J271" s="247"/>
      <c r="K271" s="247"/>
      <c r="L271" s="247"/>
      <c r="M271" s="247"/>
      <c r="N271" s="247"/>
      <c r="O271" s="247"/>
      <c r="P271" s="247"/>
      <c r="Q271" s="247"/>
      <c r="R271" s="247"/>
    </row>
    <row r="272" spans="4:18" x14ac:dyDescent="0.25">
      <c r="D272" s="247"/>
      <c r="E272" s="247"/>
      <c r="F272" s="247"/>
      <c r="G272" s="247"/>
      <c r="H272" s="247"/>
      <c r="I272" s="247"/>
      <c r="J272" s="247"/>
      <c r="K272" s="247"/>
      <c r="L272" s="247"/>
      <c r="M272" s="247"/>
      <c r="N272" s="247"/>
      <c r="O272" s="247"/>
      <c r="P272" s="247"/>
      <c r="Q272" s="247"/>
      <c r="R272" s="247"/>
    </row>
    <row r="273" spans="4:18" x14ac:dyDescent="0.25">
      <c r="D273" s="247"/>
      <c r="E273" s="247"/>
      <c r="F273" s="247"/>
      <c r="G273" s="247"/>
      <c r="H273" s="247"/>
      <c r="I273" s="247"/>
      <c r="J273" s="247"/>
      <c r="K273" s="247"/>
      <c r="L273" s="247"/>
      <c r="M273" s="247"/>
      <c r="N273" s="247"/>
      <c r="O273" s="247"/>
      <c r="P273" s="247"/>
      <c r="Q273" s="247"/>
      <c r="R273" s="247"/>
    </row>
    <row r="274" spans="4:18" x14ac:dyDescent="0.25">
      <c r="D274" s="247"/>
      <c r="E274" s="247"/>
      <c r="F274" s="247"/>
      <c r="G274" s="247"/>
      <c r="H274" s="247"/>
      <c r="I274" s="247"/>
      <c r="J274" s="247"/>
      <c r="K274" s="247"/>
      <c r="L274" s="247"/>
      <c r="M274" s="247"/>
      <c r="N274" s="247"/>
      <c r="O274" s="247"/>
      <c r="P274" s="247"/>
      <c r="Q274" s="247"/>
      <c r="R274" s="247"/>
    </row>
    <row r="275" spans="4:18" x14ac:dyDescent="0.25">
      <c r="D275" s="247"/>
      <c r="E275" s="247"/>
      <c r="F275" s="247"/>
      <c r="G275" s="247"/>
      <c r="H275" s="247"/>
      <c r="I275" s="247"/>
      <c r="J275" s="247"/>
      <c r="K275" s="247"/>
      <c r="L275" s="247"/>
      <c r="M275" s="247"/>
      <c r="N275" s="247"/>
      <c r="O275" s="247"/>
      <c r="P275" s="247"/>
      <c r="Q275" s="247"/>
      <c r="R275" s="247"/>
    </row>
    <row r="276" spans="4:18" x14ac:dyDescent="0.25">
      <c r="D276" s="247"/>
      <c r="E276" s="247"/>
      <c r="F276" s="247"/>
      <c r="G276" s="247"/>
      <c r="H276" s="247"/>
      <c r="I276" s="247"/>
      <c r="J276" s="247"/>
      <c r="K276" s="247"/>
      <c r="L276" s="247"/>
      <c r="M276" s="247"/>
      <c r="N276" s="247"/>
      <c r="O276" s="247"/>
      <c r="P276" s="247"/>
      <c r="Q276" s="247"/>
      <c r="R276" s="247"/>
    </row>
    <row r="277" spans="4:18" x14ac:dyDescent="0.25">
      <c r="D277" s="247"/>
      <c r="E277" s="247"/>
      <c r="F277" s="247"/>
      <c r="G277" s="247"/>
      <c r="H277" s="247"/>
      <c r="I277" s="247"/>
      <c r="J277" s="247"/>
      <c r="K277" s="247"/>
      <c r="L277" s="247"/>
      <c r="M277" s="247"/>
      <c r="N277" s="247"/>
      <c r="O277" s="247"/>
      <c r="P277" s="247"/>
      <c r="Q277" s="247"/>
      <c r="R277" s="247"/>
    </row>
    <row r="278" spans="4:18" x14ac:dyDescent="0.25">
      <c r="D278" s="247"/>
      <c r="E278" s="247"/>
      <c r="F278" s="247"/>
      <c r="G278" s="247"/>
      <c r="H278" s="247"/>
      <c r="I278" s="247"/>
      <c r="J278" s="247"/>
      <c r="K278" s="247"/>
      <c r="L278" s="247"/>
      <c r="M278" s="247"/>
      <c r="N278" s="247"/>
      <c r="O278" s="247"/>
      <c r="P278" s="247"/>
      <c r="Q278" s="247"/>
      <c r="R278" s="247"/>
    </row>
    <row r="279" spans="4:18" x14ac:dyDescent="0.25">
      <c r="D279" s="247"/>
      <c r="E279" s="247"/>
      <c r="F279" s="247"/>
      <c r="G279" s="247"/>
      <c r="H279" s="247"/>
      <c r="I279" s="247"/>
      <c r="J279" s="247"/>
      <c r="K279" s="247"/>
      <c r="L279" s="247"/>
      <c r="M279" s="247"/>
      <c r="N279" s="247"/>
      <c r="O279" s="247"/>
      <c r="P279" s="247"/>
      <c r="Q279" s="247"/>
      <c r="R279" s="247"/>
    </row>
    <row r="280" spans="4:18" x14ac:dyDescent="0.25">
      <c r="D280" s="247"/>
      <c r="E280" s="247"/>
      <c r="F280" s="247"/>
      <c r="G280" s="247"/>
      <c r="H280" s="247"/>
      <c r="I280" s="247"/>
      <c r="J280" s="247"/>
      <c r="K280" s="247"/>
      <c r="L280" s="247"/>
      <c r="M280" s="247"/>
      <c r="N280" s="247"/>
      <c r="O280" s="247"/>
      <c r="P280" s="247"/>
      <c r="Q280" s="247"/>
      <c r="R280" s="247"/>
    </row>
    <row r="281" spans="4:18" x14ac:dyDescent="0.25">
      <c r="D281" s="247"/>
      <c r="E281" s="247"/>
      <c r="F281" s="247"/>
      <c r="G281" s="247"/>
      <c r="H281" s="247"/>
      <c r="I281" s="247"/>
      <c r="J281" s="247"/>
      <c r="K281" s="247"/>
      <c r="L281" s="247"/>
      <c r="M281" s="247"/>
      <c r="N281" s="247"/>
      <c r="O281" s="247"/>
      <c r="P281" s="247"/>
      <c r="Q281" s="247"/>
      <c r="R281" s="247"/>
    </row>
    <row r="282" spans="4:18" x14ac:dyDescent="0.25">
      <c r="D282" s="247"/>
      <c r="E282" s="247"/>
      <c r="F282" s="247"/>
      <c r="G282" s="247"/>
      <c r="H282" s="247"/>
      <c r="I282" s="247"/>
      <c r="J282" s="247"/>
      <c r="K282" s="247"/>
      <c r="L282" s="247"/>
      <c r="M282" s="247"/>
      <c r="N282" s="247"/>
      <c r="O282" s="247"/>
      <c r="P282" s="247"/>
      <c r="Q282" s="247"/>
      <c r="R282" s="247"/>
    </row>
    <row r="283" spans="4:18" x14ac:dyDescent="0.25">
      <c r="D283" s="247"/>
      <c r="E283" s="247"/>
      <c r="F283" s="247"/>
      <c r="G283" s="247"/>
      <c r="H283" s="247"/>
      <c r="I283" s="247"/>
      <c r="J283" s="247"/>
      <c r="K283" s="247"/>
      <c r="L283" s="247"/>
      <c r="M283" s="247"/>
      <c r="N283" s="247"/>
      <c r="O283" s="247"/>
      <c r="P283" s="247"/>
      <c r="Q283" s="247"/>
      <c r="R283" s="247"/>
    </row>
    <row r="284" spans="4:18" x14ac:dyDescent="0.25">
      <c r="D284" s="247"/>
      <c r="E284" s="247"/>
      <c r="F284" s="247"/>
      <c r="G284" s="247"/>
      <c r="H284" s="247"/>
      <c r="I284" s="247"/>
      <c r="J284" s="247"/>
      <c r="K284" s="247"/>
      <c r="L284" s="247"/>
      <c r="M284" s="247"/>
      <c r="N284" s="247"/>
      <c r="O284" s="247"/>
      <c r="P284" s="247"/>
      <c r="Q284" s="247"/>
      <c r="R284" s="247"/>
    </row>
    <row r="285" spans="4:18" x14ac:dyDescent="0.25">
      <c r="D285" s="247"/>
      <c r="E285" s="247"/>
      <c r="F285" s="247"/>
      <c r="G285" s="247"/>
      <c r="H285" s="247"/>
      <c r="I285" s="247"/>
      <c r="J285" s="247"/>
      <c r="K285" s="247"/>
      <c r="L285" s="247"/>
      <c r="M285" s="247"/>
      <c r="N285" s="247"/>
      <c r="O285" s="247"/>
      <c r="P285" s="247"/>
      <c r="Q285" s="247"/>
      <c r="R285" s="247"/>
    </row>
    <row r="286" spans="4:18" x14ac:dyDescent="0.25">
      <c r="D286" s="247"/>
      <c r="E286" s="247"/>
      <c r="F286" s="247"/>
      <c r="G286" s="247"/>
      <c r="H286" s="247"/>
      <c r="I286" s="247"/>
      <c r="J286" s="247"/>
      <c r="K286" s="247"/>
      <c r="L286" s="247"/>
      <c r="M286" s="247"/>
      <c r="N286" s="247"/>
      <c r="O286" s="247"/>
      <c r="P286" s="247"/>
      <c r="Q286" s="247"/>
      <c r="R286" s="247"/>
    </row>
    <row r="287" spans="4:18" x14ac:dyDescent="0.25">
      <c r="D287" s="247"/>
      <c r="E287" s="247"/>
      <c r="F287" s="247"/>
      <c r="G287" s="247"/>
      <c r="H287" s="247"/>
      <c r="I287" s="247"/>
      <c r="J287" s="247"/>
      <c r="K287" s="247"/>
      <c r="L287" s="247"/>
      <c r="M287" s="247"/>
      <c r="N287" s="247"/>
      <c r="O287" s="247"/>
      <c r="P287" s="247"/>
      <c r="Q287" s="247"/>
      <c r="R287" s="247"/>
    </row>
    <row r="288" spans="4:18" x14ac:dyDescent="0.25">
      <c r="D288" s="247"/>
      <c r="E288" s="247"/>
      <c r="F288" s="247"/>
      <c r="G288" s="247"/>
      <c r="H288" s="247"/>
      <c r="I288" s="247"/>
      <c r="J288" s="247"/>
      <c r="K288" s="247"/>
      <c r="L288" s="247"/>
      <c r="M288" s="247"/>
      <c r="N288" s="247"/>
      <c r="O288" s="247"/>
      <c r="P288" s="247"/>
      <c r="Q288" s="247"/>
      <c r="R288" s="247"/>
    </row>
    <row r="289" spans="1:18" ht="21" x14ac:dyDescent="0.35">
      <c r="A289" s="301" t="s">
        <v>12</v>
      </c>
      <c r="B289" s="301" t="s">
        <v>548</v>
      </c>
    </row>
    <row r="290" spans="1:18" x14ac:dyDescent="0.25">
      <c r="A290" s="236" t="s">
        <v>510</v>
      </c>
      <c r="B290" s="236" t="s">
        <v>511</v>
      </c>
      <c r="C290" s="237"/>
      <c r="D290" s="238">
        <f ca="1">D291+D296</f>
        <v>0</v>
      </c>
      <c r="E290" s="238">
        <f t="shared" ref="E290:R290" ca="1" si="71">E291+E296</f>
        <v>0</v>
      </c>
      <c r="F290" s="238">
        <f t="shared" ca="1" si="71"/>
        <v>0</v>
      </c>
      <c r="G290" s="238">
        <f t="shared" ca="1" si="71"/>
        <v>0</v>
      </c>
      <c r="H290" s="238">
        <f t="shared" ca="1" si="71"/>
        <v>0</v>
      </c>
      <c r="I290" s="238">
        <f t="shared" ca="1" si="71"/>
        <v>0</v>
      </c>
      <c r="J290" s="238">
        <f t="shared" ca="1" si="71"/>
        <v>0</v>
      </c>
      <c r="K290" s="238">
        <f t="shared" ca="1" si="71"/>
        <v>0</v>
      </c>
      <c r="L290" s="238">
        <f t="shared" ca="1" si="71"/>
        <v>0</v>
      </c>
      <c r="M290" s="238">
        <f t="shared" ca="1" si="71"/>
        <v>0</v>
      </c>
      <c r="N290" s="238">
        <f t="shared" ca="1" si="71"/>
        <v>0</v>
      </c>
      <c r="O290" s="238">
        <f t="shared" ca="1" si="71"/>
        <v>0</v>
      </c>
      <c r="P290" s="238">
        <f t="shared" ca="1" si="71"/>
        <v>0</v>
      </c>
      <c r="Q290" s="238">
        <f t="shared" ref="Q290" ca="1" si="72">Q291+Q296</f>
        <v>0</v>
      </c>
      <c r="R290" s="238">
        <f t="shared" ca="1" si="71"/>
        <v>0</v>
      </c>
    </row>
    <row r="291" spans="1:18" x14ac:dyDescent="0.25">
      <c r="A291" s="240" t="s">
        <v>513</v>
      </c>
      <c r="B291" s="240" t="s">
        <v>514</v>
      </c>
      <c r="C291" s="241"/>
      <c r="D291" s="242">
        <f ca="1">SUM(D292:D295)</f>
        <v>0</v>
      </c>
      <c r="E291" s="242">
        <f t="shared" ref="E291:R291" ca="1" si="73">SUM(E292:E295)</f>
        <v>0</v>
      </c>
      <c r="F291" s="242">
        <f t="shared" ca="1" si="73"/>
        <v>0</v>
      </c>
      <c r="G291" s="242">
        <f t="shared" ca="1" si="73"/>
        <v>0</v>
      </c>
      <c r="H291" s="242">
        <f t="shared" ca="1" si="73"/>
        <v>0</v>
      </c>
      <c r="I291" s="242">
        <f t="shared" ca="1" si="73"/>
        <v>0</v>
      </c>
      <c r="J291" s="242">
        <f t="shared" ca="1" si="73"/>
        <v>0</v>
      </c>
      <c r="K291" s="242">
        <f t="shared" ca="1" si="73"/>
        <v>0</v>
      </c>
      <c r="L291" s="242">
        <f t="shared" ca="1" si="73"/>
        <v>0</v>
      </c>
      <c r="M291" s="242">
        <f t="shared" ca="1" si="73"/>
        <v>0</v>
      </c>
      <c r="N291" s="242">
        <f t="shared" ca="1" si="73"/>
        <v>0</v>
      </c>
      <c r="O291" s="242">
        <f t="shared" ca="1" si="73"/>
        <v>0</v>
      </c>
      <c r="P291" s="242">
        <f t="shared" ca="1" si="73"/>
        <v>0</v>
      </c>
      <c r="Q291" s="242">
        <f t="shared" ref="Q291" ca="1" si="74">SUM(Q292:Q295)</f>
        <v>0</v>
      </c>
      <c r="R291" s="242">
        <f t="shared" ca="1" si="73"/>
        <v>0</v>
      </c>
    </row>
    <row r="292" spans="1:18" outlineLevel="1" x14ac:dyDescent="0.25">
      <c r="A292" s="243" t="s">
        <v>515</v>
      </c>
      <c r="B292" s="243" t="s">
        <v>516</v>
      </c>
      <c r="C292" s="244" t="s">
        <v>482</v>
      </c>
      <c r="D29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29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29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29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29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29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29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29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29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29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29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29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29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29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  <c r="R292" s="245">
        <f ca="1">SUMIFS(rec.uni[2026-03-01],
INDIRECT("rec.uni[natureza]"),"repasse.cef.obra",
INDIRECT("rec.uni[empresa]"),$A$289)+
SUMIFS(rec.uni[2026-03-01],
INDIRECT("rec.uni[natureza]"),"repasse.cef.terreno",
INDIRECT("rec.uni[empresa]"),$A$289)</f>
        <v>0</v>
      </c>
    </row>
    <row r="293" spans="1:18" outlineLevel="1" x14ac:dyDescent="0.25">
      <c r="A293" s="243" t="s">
        <v>521</v>
      </c>
      <c r="B293" s="243" t="s">
        <v>21</v>
      </c>
      <c r="C293" s="244" t="s">
        <v>522</v>
      </c>
      <c r="D293" s="245">
        <f ca="1">SUMIFS(rec.uni[2025-01-01],
INDIRECT("rec.uni[natureza]"),"pro.soluto",
INDIRECT("rec.uni[empresa]"),$A$289)</f>
        <v>0</v>
      </c>
      <c r="E293" s="245">
        <f ca="1">SUMIFS(rec.uni[2025-02-01],
INDIRECT("rec.uni[natureza]"),"pro.soluto",
INDIRECT("rec.uni[empresa]"),$A$289)</f>
        <v>0</v>
      </c>
      <c r="F293" s="245">
        <f ca="1">SUMIFS(rec.uni[2025-03-01],
INDIRECT("rec.uni[natureza]"),"pro.soluto",
INDIRECT("rec.uni[empresa]"),$A$289)</f>
        <v>0</v>
      </c>
      <c r="G293" s="245">
        <f ca="1">SUMIFS(rec.uni[2025-04-01],
INDIRECT("rec.uni[natureza]"),"pro.soluto",
INDIRECT("rec.uni[empresa]"),$A$289)</f>
        <v>0</v>
      </c>
      <c r="H293" s="245">
        <f ca="1">SUMIFS(rec.uni[2025-05-01],
INDIRECT("rec.uni[natureza]"),"pro.soluto",
INDIRECT("rec.uni[empresa]"),$A$289)</f>
        <v>0</v>
      </c>
      <c r="I293" s="245">
        <f ca="1">SUMIFS(rec.uni[2025-06-01],
INDIRECT("rec.uni[natureza]"),"pro.soluto",
INDIRECT("rec.uni[empresa]"),$A$289)</f>
        <v>0</v>
      </c>
      <c r="J293" s="245">
        <f ca="1">SUMIFS(rec.uni[2025-07-01],
INDIRECT("rec.uni[natureza]"),"pro.soluto",
INDIRECT("rec.uni[empresa]"),$A$289)</f>
        <v>0</v>
      </c>
      <c r="K293" s="245">
        <f ca="1">SUMIFS(rec.uni[2025-08-01],
INDIRECT("rec.uni[natureza]"),"pro.soluto",
INDIRECT("rec.uni[empresa]"),$A$289)</f>
        <v>0</v>
      </c>
      <c r="L293" s="245">
        <f ca="1">SUMIFS(rec.uni[2025-09-01],
INDIRECT("rec.uni[natureza]"),"pro.soluto",
INDIRECT("rec.uni[empresa]"),$A$289)</f>
        <v>0</v>
      </c>
      <c r="M293" s="245">
        <f ca="1">SUMIFS(rec.uni[2025-10-01],
INDIRECT("rec.uni[natureza]"),"pro.soluto",
INDIRECT("rec.uni[empresa]"),$A$289)</f>
        <v>0</v>
      </c>
      <c r="N293" s="245">
        <f ca="1">SUMIFS(rec.uni[2025-11-01],
INDIRECT("rec.uni[natureza]"),"pro.soluto",
INDIRECT("rec.uni[empresa]"),$A$289)</f>
        <v>0</v>
      </c>
      <c r="O293" s="245">
        <f ca="1">SUMIFS(rec.uni[2025-12-01],
INDIRECT("rec.uni[natureza]"),"pro.soluto",
INDIRECT("rec.uni[empresa]"),$A$289)</f>
        <v>0</v>
      </c>
      <c r="P293" s="245">
        <f ca="1">SUMIFS(rec.uni[2026-01-01],
INDIRECT("rec.uni[natureza]"),"pro.soluto",
INDIRECT("rec.uni[empresa]"),$A$289)</f>
        <v>0</v>
      </c>
      <c r="Q293" s="245">
        <f ca="1">SUMIFS(rec.uni[2026-02-01],
INDIRECT("rec.uni[natureza]"),"pro.soluto",
INDIRECT("rec.uni[empresa]"),$A$289)</f>
        <v>0</v>
      </c>
      <c r="R293" s="245">
        <f ca="1">SUMIFS(rec.uni[2026-03-01],
INDIRECT("rec.uni[natureza]"),"pro.soluto",
INDIRECT("rec.uni[empresa]"),$A$289)</f>
        <v>0</v>
      </c>
    </row>
    <row r="294" spans="1:18" outlineLevel="1" x14ac:dyDescent="0.25">
      <c r="A294" s="243" t="s">
        <v>530</v>
      </c>
      <c r="B294" s="243" t="s">
        <v>531</v>
      </c>
      <c r="C294" s="244" t="s">
        <v>522</v>
      </c>
      <c r="D294" s="245">
        <f ca="1">SUMIFS(rec.uni[2025-01-01],
INDIRECT("rec.uni[natureza]"),"taxa.extra",
INDIRECT("rec.uni[empresa]"),$A$289)</f>
        <v>0</v>
      </c>
      <c r="E294" s="245">
        <f ca="1">SUMIFS(rec.uni[2025-02-01],
INDIRECT("rec.uni[natureza]"),"taxa.extra",
INDIRECT("rec.uni[empresa]"),$A$289)</f>
        <v>0</v>
      </c>
      <c r="F294" s="245">
        <f ca="1">SUMIFS(rec.uni[2025-03-01],
INDIRECT("rec.uni[natureza]"),"taxa.extra",
INDIRECT("rec.uni[empresa]"),$A$289)</f>
        <v>0</v>
      </c>
      <c r="G294" s="245">
        <f ca="1">SUMIFS(rec.uni[2025-04-01],
INDIRECT("rec.uni[natureza]"),"taxa.extra",
INDIRECT("rec.uni[empresa]"),$A$289)</f>
        <v>0</v>
      </c>
      <c r="H294" s="245">
        <f ca="1">SUMIFS(rec.uni[2025-05-01],
INDIRECT("rec.uni[natureza]"),"taxa.extra",
INDIRECT("rec.uni[empresa]"),$A$289)</f>
        <v>0</v>
      </c>
      <c r="I294" s="245">
        <f ca="1">SUMIFS(rec.uni[2025-06-01],
INDIRECT("rec.uni[natureza]"),"taxa.extra",
INDIRECT("rec.uni[empresa]"),$A$289)</f>
        <v>0</v>
      </c>
      <c r="J294" s="245">
        <f ca="1">SUMIFS(rec.uni[2025-07-01],
INDIRECT("rec.uni[natureza]"),"taxa.extra",
INDIRECT("rec.uni[empresa]"),$A$289)</f>
        <v>0</v>
      </c>
      <c r="K294" s="245">
        <f ca="1">SUMIFS(rec.uni[2025-08-01],
INDIRECT("rec.uni[natureza]"),"taxa.extra",
INDIRECT("rec.uni[empresa]"),$A$289)</f>
        <v>0</v>
      </c>
      <c r="L294" s="245">
        <f ca="1">SUMIFS(rec.uni[2025-09-01],
INDIRECT("rec.uni[natureza]"),"taxa.extra",
INDIRECT("rec.uni[empresa]"),$A$289)</f>
        <v>0</v>
      </c>
      <c r="M294" s="245">
        <f ca="1">SUMIFS(rec.uni[2025-10-01],
INDIRECT("rec.uni[natureza]"),"taxa.extra",
INDIRECT("rec.uni[empresa]"),$A$289)</f>
        <v>0</v>
      </c>
      <c r="N294" s="245">
        <f ca="1">SUMIFS(rec.uni[2025-11-01],
INDIRECT("rec.uni[natureza]"),"taxa.extra",
INDIRECT("rec.uni[empresa]"),$A$289)</f>
        <v>0</v>
      </c>
      <c r="O294" s="245">
        <f ca="1">SUMIFS(rec.uni[2025-12-01],
INDIRECT("rec.uni[natureza]"),"taxa.extra",
INDIRECT("rec.uni[empresa]"),$A$289)</f>
        <v>0</v>
      </c>
      <c r="P294" s="245">
        <f ca="1">SUMIFS(rec.uni[2026-01-01],
INDIRECT("rec.uni[natureza]"),"taxa.extra",
INDIRECT("rec.uni[empresa]"),$A$289)</f>
        <v>0</v>
      </c>
      <c r="Q294" s="245">
        <f ca="1">SUMIFS(rec.uni[2026-02-01],
INDIRECT("rec.uni[natureza]"),"taxa.extra",
INDIRECT("rec.uni[empresa]"),$A$289)</f>
        <v>0</v>
      </c>
      <c r="R294" s="245">
        <f ca="1">SUMIFS(rec.uni[2026-03-01],
INDIRECT("rec.uni[natureza]"),"taxa.extra",
INDIRECT("rec.uni[empresa]"),$A$289)</f>
        <v>0</v>
      </c>
    </row>
    <row r="295" spans="1:18" outlineLevel="1" x14ac:dyDescent="0.25">
      <c r="A295" s="243" t="s">
        <v>539</v>
      </c>
      <c r="B295" s="243" t="s">
        <v>540</v>
      </c>
      <c r="C295" s="244" t="s">
        <v>27</v>
      </c>
      <c r="D295" s="245">
        <v>0</v>
      </c>
      <c r="E295" s="245">
        <v>0</v>
      </c>
      <c r="F295" s="245">
        <v>0</v>
      </c>
      <c r="G295" s="245">
        <v>0</v>
      </c>
      <c r="H295" s="245">
        <v>0</v>
      </c>
      <c r="I295" s="245">
        <v>0</v>
      </c>
      <c r="J295" s="245">
        <v>0</v>
      </c>
      <c r="K295" s="245">
        <v>0</v>
      </c>
      <c r="L295" s="245">
        <v>0</v>
      </c>
      <c r="M295" s="245">
        <v>0</v>
      </c>
      <c r="N295" s="245">
        <v>0</v>
      </c>
      <c r="O295" s="245">
        <v>0</v>
      </c>
      <c r="P295" s="245">
        <v>0</v>
      </c>
      <c r="Q295" s="245">
        <v>0</v>
      </c>
      <c r="R295" s="245">
        <v>0</v>
      </c>
    </row>
    <row r="296" spans="1:18" x14ac:dyDescent="0.25">
      <c r="A296" s="249" t="s">
        <v>542</v>
      </c>
      <c r="B296" s="249" t="s">
        <v>543</v>
      </c>
      <c r="C296" s="250" t="s">
        <v>522</v>
      </c>
      <c r="D296" s="251">
        <f>SUM(D297:D314)</f>
        <v>0</v>
      </c>
      <c r="E296" s="251">
        <f t="shared" ref="E296:R296" si="75">SUM(E297:E314)</f>
        <v>0</v>
      </c>
      <c r="F296" s="251">
        <f t="shared" si="75"/>
        <v>0</v>
      </c>
      <c r="G296" s="251">
        <f t="shared" si="75"/>
        <v>0</v>
      </c>
      <c r="H296" s="251">
        <f t="shared" si="75"/>
        <v>0</v>
      </c>
      <c r="I296" s="251">
        <f t="shared" si="75"/>
        <v>0</v>
      </c>
      <c r="J296" s="251">
        <f t="shared" si="75"/>
        <v>0</v>
      </c>
      <c r="K296" s="251">
        <f t="shared" si="75"/>
        <v>0</v>
      </c>
      <c r="L296" s="251">
        <f t="shared" si="75"/>
        <v>0</v>
      </c>
      <c r="M296" s="251">
        <f t="shared" si="75"/>
        <v>0</v>
      </c>
      <c r="N296" s="251">
        <f t="shared" si="75"/>
        <v>0</v>
      </c>
      <c r="O296" s="251">
        <f t="shared" si="75"/>
        <v>0</v>
      </c>
      <c r="P296" s="251">
        <f t="shared" si="75"/>
        <v>0</v>
      </c>
      <c r="Q296" s="251">
        <f t="shared" ref="Q296" si="76">SUM(Q297:Q314)</f>
        <v>0</v>
      </c>
      <c r="R296" s="251">
        <f t="shared" si="75"/>
        <v>0</v>
      </c>
    </row>
    <row r="297" spans="1:18" outlineLevel="1" x14ac:dyDescent="0.25">
      <c r="A297" s="243" t="s">
        <v>544</v>
      </c>
      <c r="B297" s="243" t="s">
        <v>358</v>
      </c>
      <c r="C297" s="244" t="s">
        <v>522</v>
      </c>
      <c r="D297" s="245" cm="1">
        <f t="array" ref="D297">-SUMPRODUCT(
  desp[data.vencimento] *
  (desp[classificacao]=$B$289) *
  (desp[centro.negocio]=$B297) *
  (desp[parcela]&gt;=D$1) *
  (desp[parcela]&lt;EOMONTH(D$1,0)+1)
)</f>
        <v>0</v>
      </c>
      <c r="E297" s="245" cm="1">
        <f t="array" ref="E297">-SUMPRODUCT(
  desp[data.vencimento] *
  (desp[classificacao]=$B$289) *
  (desp[centro.negocio]=$B297) *
  (desp[parcela]&gt;=E$1) *
  (desp[parcela]&lt;EOMONTH(E$1,0)+1)
)</f>
        <v>0</v>
      </c>
      <c r="F297" s="245" cm="1">
        <f t="array" ref="F297">-SUMPRODUCT(
  desp[data.vencimento] *
  (desp[classificacao]=$B$289) *
  (desp[centro.negocio]=$B297) *
  (desp[parcela]&gt;=F$1) *
  (desp[parcela]&lt;EOMONTH(F$1,0)+1)
)</f>
        <v>0</v>
      </c>
      <c r="G297" s="245" cm="1">
        <f t="array" ref="G297">-SUMPRODUCT(
  desp[data.vencimento] *
  (desp[classificacao]=$B$289) *
  (desp[centro.negocio]=$B297) *
  (desp[parcela]&gt;=G$1) *
  (desp[parcela]&lt;EOMONTH(G$1,0)+1)
)</f>
        <v>0</v>
      </c>
      <c r="H297" s="245" cm="1">
        <f t="array" ref="H297">-SUMPRODUCT(
  desp[data.vencimento] *
  (desp[classificacao]=$B$289) *
  (desp[centro.negocio]=$B297) *
  (desp[parcela]&gt;=H$1) *
  (desp[parcela]&lt;EOMONTH(H$1,0)+1)
)</f>
        <v>0</v>
      </c>
      <c r="I297" s="245" cm="1">
        <f t="array" ref="I297">-SUMPRODUCT(
  desp[data.vencimento] *
  (desp[classificacao]=$B$289) *
  (desp[centro.negocio]=$B297) *
  (desp[parcela]&gt;=I$1) *
  (desp[parcela]&lt;EOMONTH(I$1,0)+1)
)</f>
        <v>0</v>
      </c>
      <c r="J297" s="245" cm="1">
        <f t="array" ref="J297">-SUMPRODUCT(
  desp[data.vencimento] *
  (desp[classificacao]=$B$289) *
  (desp[centro.negocio]=$B297) *
  (desp[parcela]&gt;=J$1) *
  (desp[parcela]&lt;EOMONTH(J$1,0)+1)
)</f>
        <v>0</v>
      </c>
      <c r="K297" s="245" cm="1">
        <f t="array" ref="K297">-SUMPRODUCT(
  desp[data.vencimento] *
  (desp[classificacao]=$B$289) *
  (desp[centro.negocio]=$B297) *
  (desp[parcela]&gt;=K$1) *
  (desp[parcela]&lt;EOMONTH(K$1,0)+1)
)</f>
        <v>0</v>
      </c>
      <c r="L297" s="245" cm="1">
        <f t="array" ref="L297">-SUMPRODUCT(
  desp[data.vencimento] *
  (desp[classificacao]=$B$289) *
  (desp[centro.negocio]=$B297) *
  (desp[parcela]&gt;=L$1) *
  (desp[parcela]&lt;EOMONTH(L$1,0)+1)
)</f>
        <v>0</v>
      </c>
      <c r="M297" s="245" cm="1">
        <f t="array" ref="M297">-SUMPRODUCT(
  desp[data.vencimento] *
  (desp[classificacao]=$B$289) *
  (desp[centro.negocio]=$B297) *
  (desp[parcela]&gt;=M$1) *
  (desp[parcela]&lt;EOMONTH(M$1,0)+1)
)</f>
        <v>0</v>
      </c>
      <c r="N297" s="245" cm="1">
        <f t="array" ref="N297">-SUMPRODUCT(
  desp[data.vencimento] *
  (desp[classificacao]=$B$289) *
  (desp[centro.negocio]=$B297) *
  (desp[parcela]&gt;=N$1) *
  (desp[parcela]&lt;EOMONTH(N$1,0)+1)
)</f>
        <v>0</v>
      </c>
      <c r="O297" s="245" cm="1">
        <f t="array" ref="O297">-SUMPRODUCT(
  desp[data.vencimento] *
  (desp[classificacao]=$B$289) *
  (desp[centro.negocio]=$B297) *
  (desp[parcela]&gt;=O$1) *
  (desp[parcela]&lt;EOMONTH(O$1,0)+1)
)</f>
        <v>0</v>
      </c>
      <c r="P297" s="245" cm="1">
        <f t="array" ref="P297">-SUMPRODUCT(
  desp[data.vencimento] *
  (desp[classificacao]=$B$289) *
  (desp[centro.negocio]=$B297) *
  (desp[parcela]&gt;=P$1) *
  (desp[parcela]&lt;EOMONTH(P$1,0)+1)
)</f>
        <v>0</v>
      </c>
      <c r="Q297" s="245" cm="1">
        <f t="array" ref="Q297">-SUMPRODUCT(
  desp[data.vencimento] *
  (desp[classificacao]=$B$289) *
  (desp[centro.negocio]=$B297) *
  (desp[parcela]&gt;=Q$1) *
  (desp[parcela]&lt;EOMONTH(Q$1,0)+1)
)</f>
        <v>0</v>
      </c>
      <c r="R297" s="245" cm="1">
        <f t="array" ref="R297">-SUMPRODUCT(
  desp[data.vencimento] *
  (desp[classificacao]=$B$289) *
  (desp[centro.negocio]=$B297) *
  (desp[parcela]&gt;=R$1) *
  (desp[parcela]&lt;EOMONTH(R$1,0)+1)
)</f>
        <v>0</v>
      </c>
    </row>
    <row r="298" spans="1:18" outlineLevel="1" x14ac:dyDescent="0.25">
      <c r="A298" s="243" t="s">
        <v>565</v>
      </c>
      <c r="B298" s="243" t="s">
        <v>398</v>
      </c>
      <c r="C298" s="244" t="s">
        <v>522</v>
      </c>
      <c r="D298" s="245" cm="1">
        <f t="array" ref="D298">-SUMPRODUCT(
  desp[data.vencimento] *
  (desp[classificacao]=$B$289) *
  (desp[centro.negocio]=$B298) *
  (desp[parcela]&gt;=D$1) *
  (desp[parcela]&lt;EOMONTH(D$1,0)+1)
)</f>
        <v>0</v>
      </c>
      <c r="E298" s="245" cm="1">
        <f t="array" ref="E298">-SUMPRODUCT(
  desp[data.vencimento] *
  (desp[classificacao]=$B$289) *
  (desp[centro.negocio]=$B298) *
  (desp[parcela]&gt;=E$1) *
  (desp[parcela]&lt;EOMONTH(E$1,0)+1)
)</f>
        <v>0</v>
      </c>
      <c r="F298" s="245" cm="1">
        <f t="array" ref="F298">-SUMPRODUCT(
  desp[data.vencimento] *
  (desp[classificacao]=$B$289) *
  (desp[centro.negocio]=$B298) *
  (desp[parcela]&gt;=F$1) *
  (desp[parcela]&lt;EOMONTH(F$1,0)+1)
)</f>
        <v>0</v>
      </c>
      <c r="G298" s="245" cm="1">
        <f t="array" ref="G298">-SUMPRODUCT(
  desp[data.vencimento] *
  (desp[classificacao]=$B$289) *
  (desp[centro.negocio]=$B298) *
  (desp[parcela]&gt;=G$1) *
  (desp[parcela]&lt;EOMONTH(G$1,0)+1)
)</f>
        <v>0</v>
      </c>
      <c r="H298" s="245" cm="1">
        <f t="array" ref="H298">-SUMPRODUCT(
  desp[data.vencimento] *
  (desp[classificacao]=$B$289) *
  (desp[centro.negocio]=$B298) *
  (desp[parcela]&gt;=H$1) *
  (desp[parcela]&lt;EOMONTH(H$1,0)+1)
)</f>
        <v>0</v>
      </c>
      <c r="I298" s="245" cm="1">
        <f t="array" ref="I298">-SUMPRODUCT(
  desp[data.vencimento] *
  (desp[classificacao]=$B$289) *
  (desp[centro.negocio]=$B298) *
  (desp[parcela]&gt;=I$1) *
  (desp[parcela]&lt;EOMONTH(I$1,0)+1)
)</f>
        <v>0</v>
      </c>
      <c r="J298" s="245" cm="1">
        <f t="array" ref="J298">-SUMPRODUCT(
  desp[data.vencimento] *
  (desp[classificacao]=$B$289) *
  (desp[centro.negocio]=$B298) *
  (desp[parcela]&gt;=J$1) *
  (desp[parcela]&lt;EOMONTH(J$1,0)+1)
)</f>
        <v>0</v>
      </c>
      <c r="K298" s="245" cm="1">
        <f t="array" ref="K298">-SUMPRODUCT(
  desp[data.vencimento] *
  (desp[classificacao]=$B$289) *
  (desp[centro.negocio]=$B298) *
  (desp[parcela]&gt;=K$1) *
  (desp[parcela]&lt;EOMONTH(K$1,0)+1)
)</f>
        <v>0</v>
      </c>
      <c r="L298" s="245" cm="1">
        <f t="array" ref="L298">-SUMPRODUCT(
  desp[data.vencimento] *
  (desp[classificacao]=$B$289) *
  (desp[centro.negocio]=$B298) *
  (desp[parcela]&gt;=L$1) *
  (desp[parcela]&lt;EOMONTH(L$1,0)+1)
)</f>
        <v>0</v>
      </c>
      <c r="M298" s="245" cm="1">
        <f t="array" ref="M298">-SUMPRODUCT(
  desp[data.vencimento] *
  (desp[classificacao]=$B$289) *
  (desp[centro.negocio]=$B298) *
  (desp[parcela]&gt;=M$1) *
  (desp[parcela]&lt;EOMONTH(M$1,0)+1)
)</f>
        <v>0</v>
      </c>
      <c r="N298" s="245" cm="1">
        <f t="array" ref="N298">-SUMPRODUCT(
  desp[data.vencimento] *
  (desp[classificacao]=$B$289) *
  (desp[centro.negocio]=$B298) *
  (desp[parcela]&gt;=N$1) *
  (desp[parcela]&lt;EOMONTH(N$1,0)+1)
)</f>
        <v>0</v>
      </c>
      <c r="O298" s="245" cm="1">
        <f t="array" ref="O298">-SUMPRODUCT(
  desp[data.vencimento] *
  (desp[classificacao]=$B$289) *
  (desp[centro.negocio]=$B298) *
  (desp[parcela]&gt;=O$1) *
  (desp[parcela]&lt;EOMONTH(O$1,0)+1)
)</f>
        <v>0</v>
      </c>
      <c r="P298" s="245" cm="1">
        <f t="array" ref="P298">-SUMPRODUCT(
  desp[data.vencimento] *
  (desp[classificacao]=$B$289) *
  (desp[centro.negocio]=$B298) *
  (desp[parcela]&gt;=P$1) *
  (desp[parcela]&lt;EOMONTH(P$1,0)+1)
)</f>
        <v>0</v>
      </c>
      <c r="Q298" s="245" cm="1">
        <f t="array" ref="Q298">-SUMPRODUCT(
  desp[data.vencimento] *
  (desp[classificacao]=$B$289) *
  (desp[centro.negocio]=$B298) *
  (desp[parcela]&gt;=Q$1) *
  (desp[parcela]&lt;EOMONTH(Q$1,0)+1)
)</f>
        <v>0</v>
      </c>
      <c r="R298" s="245" cm="1">
        <f t="array" ref="R298">-SUMPRODUCT(
  desp[data.vencimento] *
  (desp[classificacao]=$B$289) *
  (desp[centro.negocio]=$B298) *
  (desp[parcela]&gt;=R$1) *
  (desp[parcela]&lt;EOMONTH(R$1,0)+1)
)</f>
        <v>0</v>
      </c>
    </row>
    <row r="299" spans="1:18" outlineLevel="1" x14ac:dyDescent="0.25">
      <c r="A299" s="243" t="s">
        <v>573</v>
      </c>
      <c r="B299" s="243" t="s">
        <v>356</v>
      </c>
      <c r="C299" s="244" t="s">
        <v>522</v>
      </c>
      <c r="D299" s="245" cm="1">
        <f t="array" ref="D299">-SUMPRODUCT(
  desp[data.vencimento] *
  (desp[classificacao]=$B$289) *
  (desp[centro.negocio]=$B299) *
  (desp[parcela]&gt;=D$1) *
  (desp[parcela]&lt;EOMONTH(D$1,0)+1)
)</f>
        <v>0</v>
      </c>
      <c r="E299" s="245" cm="1">
        <f t="array" ref="E299">-SUMPRODUCT(
  desp[data.vencimento] *
  (desp[classificacao]=$B$289) *
  (desp[centro.negocio]=$B299) *
  (desp[parcela]&gt;=E$1) *
  (desp[parcela]&lt;EOMONTH(E$1,0)+1)
)</f>
        <v>0</v>
      </c>
      <c r="F299" s="245" cm="1">
        <f t="array" ref="F299">-SUMPRODUCT(
  desp[data.vencimento] *
  (desp[classificacao]=$B$289) *
  (desp[centro.negocio]=$B299) *
  (desp[parcela]&gt;=F$1) *
  (desp[parcela]&lt;EOMONTH(F$1,0)+1)
)</f>
        <v>0</v>
      </c>
      <c r="G299" s="245" cm="1">
        <f t="array" ref="G299">-SUMPRODUCT(
  desp[data.vencimento] *
  (desp[classificacao]=$B$289) *
  (desp[centro.negocio]=$B299) *
  (desp[parcela]&gt;=G$1) *
  (desp[parcela]&lt;EOMONTH(G$1,0)+1)
)</f>
        <v>0</v>
      </c>
      <c r="H299" s="245" cm="1">
        <f t="array" ref="H299">-SUMPRODUCT(
  desp[data.vencimento] *
  (desp[classificacao]=$B$289) *
  (desp[centro.negocio]=$B299) *
  (desp[parcela]&gt;=H$1) *
  (desp[parcela]&lt;EOMONTH(H$1,0)+1)
)</f>
        <v>0</v>
      </c>
      <c r="I299" s="245" cm="1">
        <f t="array" ref="I299">-SUMPRODUCT(
  desp[data.vencimento] *
  (desp[classificacao]=$B$289) *
  (desp[centro.negocio]=$B299) *
  (desp[parcela]&gt;=I$1) *
  (desp[parcela]&lt;EOMONTH(I$1,0)+1)
)</f>
        <v>0</v>
      </c>
      <c r="J299" s="245" cm="1">
        <f t="array" ref="J299">-SUMPRODUCT(
  desp[data.vencimento] *
  (desp[classificacao]=$B$289) *
  (desp[centro.negocio]=$B299) *
  (desp[parcela]&gt;=J$1) *
  (desp[parcela]&lt;EOMONTH(J$1,0)+1)
)</f>
        <v>0</v>
      </c>
      <c r="K299" s="245" cm="1">
        <f t="array" ref="K299">-SUMPRODUCT(
  desp[data.vencimento] *
  (desp[classificacao]=$B$289) *
  (desp[centro.negocio]=$B299) *
  (desp[parcela]&gt;=K$1) *
  (desp[parcela]&lt;EOMONTH(K$1,0)+1)
)</f>
        <v>0</v>
      </c>
      <c r="L299" s="245" cm="1">
        <f t="array" ref="L299">-SUMPRODUCT(
  desp[data.vencimento] *
  (desp[classificacao]=$B$289) *
  (desp[centro.negocio]=$B299) *
  (desp[parcela]&gt;=L$1) *
  (desp[parcela]&lt;EOMONTH(L$1,0)+1)
)</f>
        <v>0</v>
      </c>
      <c r="M299" s="245" cm="1">
        <f t="array" ref="M299">-SUMPRODUCT(
  desp[data.vencimento] *
  (desp[classificacao]=$B$289) *
  (desp[centro.negocio]=$B299) *
  (desp[parcela]&gt;=M$1) *
  (desp[parcela]&lt;EOMONTH(M$1,0)+1)
)</f>
        <v>0</v>
      </c>
      <c r="N299" s="245" cm="1">
        <f t="array" ref="N299">-SUMPRODUCT(
  desp[data.vencimento] *
  (desp[classificacao]=$B$289) *
  (desp[centro.negocio]=$B299) *
  (desp[parcela]&gt;=N$1) *
  (desp[parcela]&lt;EOMONTH(N$1,0)+1)
)</f>
        <v>0</v>
      </c>
      <c r="O299" s="245" cm="1">
        <f t="array" ref="O299">-SUMPRODUCT(
  desp[data.vencimento] *
  (desp[classificacao]=$B$289) *
  (desp[centro.negocio]=$B299) *
  (desp[parcela]&gt;=O$1) *
  (desp[parcela]&lt;EOMONTH(O$1,0)+1)
)</f>
        <v>0</v>
      </c>
      <c r="P299" s="245" cm="1">
        <f t="array" ref="P299">-SUMPRODUCT(
  desp[data.vencimento] *
  (desp[classificacao]=$B$289) *
  (desp[centro.negocio]=$B299) *
  (desp[parcela]&gt;=P$1) *
  (desp[parcela]&lt;EOMONTH(P$1,0)+1)
)</f>
        <v>0</v>
      </c>
      <c r="Q299" s="245" cm="1">
        <f t="array" ref="Q299">-SUMPRODUCT(
  desp[data.vencimento] *
  (desp[classificacao]=$B$289) *
  (desp[centro.negocio]=$B299) *
  (desp[parcela]&gt;=Q$1) *
  (desp[parcela]&lt;EOMONTH(Q$1,0)+1)
)</f>
        <v>0</v>
      </c>
      <c r="R299" s="245" cm="1">
        <f t="array" ref="R299">-SUMPRODUCT(
  desp[data.vencimento] *
  (desp[classificacao]=$B$289) *
  (desp[centro.negocio]=$B299) *
  (desp[parcela]&gt;=R$1) *
  (desp[parcela]&lt;EOMONTH(R$1,0)+1)
)</f>
        <v>0</v>
      </c>
    </row>
    <row r="300" spans="1:18" outlineLevel="1" x14ac:dyDescent="0.25">
      <c r="A300" s="243" t="s">
        <v>589</v>
      </c>
      <c r="B300" s="243" t="s">
        <v>343</v>
      </c>
      <c r="C300" s="244" t="s">
        <v>522</v>
      </c>
      <c r="D300" s="245" cm="1">
        <f t="array" ref="D300">-SUMPRODUCT(
  desp[data.vencimento] *
  (desp[classificacao]=$B$289) *
  (desp[centro.negocio]=$B300) *
  (desp[parcela]&gt;=D$1) *
  (desp[parcela]&lt;EOMONTH(D$1,0)+1)
)</f>
        <v>0</v>
      </c>
      <c r="E300" s="245" cm="1">
        <f t="array" ref="E300">-SUMPRODUCT(
  desp[data.vencimento] *
  (desp[classificacao]=$B$289) *
  (desp[centro.negocio]=$B300) *
  (desp[parcela]&gt;=E$1) *
  (desp[parcela]&lt;EOMONTH(E$1,0)+1)
)</f>
        <v>0</v>
      </c>
      <c r="F300" s="245" cm="1">
        <f t="array" ref="F300">-SUMPRODUCT(
  desp[data.vencimento] *
  (desp[classificacao]=$B$289) *
  (desp[centro.negocio]=$B300) *
  (desp[parcela]&gt;=F$1) *
  (desp[parcela]&lt;EOMONTH(F$1,0)+1)
)</f>
        <v>0</v>
      </c>
      <c r="G300" s="245" cm="1">
        <f t="array" ref="G300">-SUMPRODUCT(
  desp[data.vencimento] *
  (desp[classificacao]=$B$289) *
  (desp[centro.negocio]=$B300) *
  (desp[parcela]&gt;=G$1) *
  (desp[parcela]&lt;EOMONTH(G$1,0)+1)
)</f>
        <v>0</v>
      </c>
      <c r="H300" s="245" cm="1">
        <f t="array" ref="H300">-SUMPRODUCT(
  desp[data.vencimento] *
  (desp[classificacao]=$B$289) *
  (desp[centro.negocio]=$B300) *
  (desp[parcela]&gt;=H$1) *
  (desp[parcela]&lt;EOMONTH(H$1,0)+1)
)</f>
        <v>0</v>
      </c>
      <c r="I300" s="245" cm="1">
        <f t="array" ref="I300">-SUMPRODUCT(
  desp[data.vencimento] *
  (desp[classificacao]=$B$289) *
  (desp[centro.negocio]=$B300) *
  (desp[parcela]&gt;=I$1) *
  (desp[parcela]&lt;EOMONTH(I$1,0)+1)
)</f>
        <v>0</v>
      </c>
      <c r="J300" s="245" cm="1">
        <f t="array" ref="J300">-SUMPRODUCT(
  desp[data.vencimento] *
  (desp[classificacao]=$B$289) *
  (desp[centro.negocio]=$B300) *
  (desp[parcela]&gt;=J$1) *
  (desp[parcela]&lt;EOMONTH(J$1,0)+1)
)</f>
        <v>0</v>
      </c>
      <c r="K300" s="245" cm="1">
        <f t="array" ref="K300">-SUMPRODUCT(
  desp[data.vencimento] *
  (desp[classificacao]=$B$289) *
  (desp[centro.negocio]=$B300) *
  (desp[parcela]&gt;=K$1) *
  (desp[parcela]&lt;EOMONTH(K$1,0)+1)
)</f>
        <v>0</v>
      </c>
      <c r="L300" s="245" cm="1">
        <f t="array" ref="L300">-SUMPRODUCT(
  desp[data.vencimento] *
  (desp[classificacao]=$B$289) *
  (desp[centro.negocio]=$B300) *
  (desp[parcela]&gt;=L$1) *
  (desp[parcela]&lt;EOMONTH(L$1,0)+1)
)</f>
        <v>0</v>
      </c>
      <c r="M300" s="245" cm="1">
        <f t="array" ref="M300">-SUMPRODUCT(
  desp[data.vencimento] *
  (desp[classificacao]=$B$289) *
  (desp[centro.negocio]=$B300) *
  (desp[parcela]&gt;=M$1) *
  (desp[parcela]&lt;EOMONTH(M$1,0)+1)
)</f>
        <v>0</v>
      </c>
      <c r="N300" s="245" cm="1">
        <f t="array" ref="N300">-SUMPRODUCT(
  desp[data.vencimento] *
  (desp[classificacao]=$B$289) *
  (desp[centro.negocio]=$B300) *
  (desp[parcela]&gt;=N$1) *
  (desp[parcela]&lt;EOMONTH(N$1,0)+1)
)</f>
        <v>0</v>
      </c>
      <c r="O300" s="245" cm="1">
        <f t="array" ref="O300">-SUMPRODUCT(
  desp[data.vencimento] *
  (desp[classificacao]=$B$289) *
  (desp[centro.negocio]=$B300) *
  (desp[parcela]&gt;=O$1) *
  (desp[parcela]&lt;EOMONTH(O$1,0)+1)
)</f>
        <v>0</v>
      </c>
      <c r="P300" s="245" cm="1">
        <f t="array" ref="P300">-SUMPRODUCT(
  desp[data.vencimento] *
  (desp[classificacao]=$B$289) *
  (desp[centro.negocio]=$B300) *
  (desp[parcela]&gt;=P$1) *
  (desp[parcela]&lt;EOMONTH(P$1,0)+1)
)</f>
        <v>0</v>
      </c>
      <c r="Q300" s="245" cm="1">
        <f t="array" ref="Q300">-SUMPRODUCT(
  desp[data.vencimento] *
  (desp[classificacao]=$B$289) *
  (desp[centro.negocio]=$B300) *
  (desp[parcela]&gt;=Q$1) *
  (desp[parcela]&lt;EOMONTH(Q$1,0)+1)
)</f>
        <v>0</v>
      </c>
      <c r="R300" s="245" cm="1">
        <f t="array" ref="R300">-SUMPRODUCT(
  desp[data.vencimento] *
  (desp[classificacao]=$B$289) *
  (desp[centro.negocio]=$B300) *
  (desp[parcela]&gt;=R$1) *
  (desp[parcela]&lt;EOMONTH(R$1,0)+1)
)</f>
        <v>0</v>
      </c>
    </row>
    <row r="301" spans="1:18" outlineLevel="1" x14ac:dyDescent="0.25">
      <c r="A301" s="243" t="s">
        <v>591</v>
      </c>
      <c r="B301" s="243" t="s">
        <v>380</v>
      </c>
      <c r="C301" s="244" t="s">
        <v>522</v>
      </c>
      <c r="D301" s="245" cm="1">
        <f t="array" ref="D301">-SUMPRODUCT(
  desp[data.vencimento] *
  (desp[classificacao]=$B$289) *
  (desp[centro.negocio]=$B301) *
  (desp[parcela]&gt;=D$1) *
  (desp[parcela]&lt;EOMONTH(D$1,0)+1)
)</f>
        <v>0</v>
      </c>
      <c r="E301" s="245" cm="1">
        <f t="array" ref="E301">-SUMPRODUCT(
  desp[data.vencimento] *
  (desp[classificacao]=$B$289) *
  (desp[centro.negocio]=$B301) *
  (desp[parcela]&gt;=E$1) *
  (desp[parcela]&lt;EOMONTH(E$1,0)+1)
)</f>
        <v>0</v>
      </c>
      <c r="F301" s="245" cm="1">
        <f t="array" ref="F301">-SUMPRODUCT(
  desp[data.vencimento] *
  (desp[classificacao]=$B$289) *
  (desp[centro.negocio]=$B301) *
  (desp[parcela]&gt;=F$1) *
  (desp[parcela]&lt;EOMONTH(F$1,0)+1)
)</f>
        <v>0</v>
      </c>
      <c r="G301" s="245" cm="1">
        <f t="array" ref="G301">-SUMPRODUCT(
  desp[data.vencimento] *
  (desp[classificacao]=$B$289) *
  (desp[centro.negocio]=$B301) *
  (desp[parcela]&gt;=G$1) *
  (desp[parcela]&lt;EOMONTH(G$1,0)+1)
)</f>
        <v>0</v>
      </c>
      <c r="H301" s="245" cm="1">
        <f t="array" ref="H301">-SUMPRODUCT(
  desp[data.vencimento] *
  (desp[classificacao]=$B$289) *
  (desp[centro.negocio]=$B301) *
  (desp[parcela]&gt;=H$1) *
  (desp[parcela]&lt;EOMONTH(H$1,0)+1)
)</f>
        <v>0</v>
      </c>
      <c r="I301" s="245" cm="1">
        <f t="array" ref="I301">-SUMPRODUCT(
  desp[data.vencimento] *
  (desp[classificacao]=$B$289) *
  (desp[centro.negocio]=$B301) *
  (desp[parcela]&gt;=I$1) *
  (desp[parcela]&lt;EOMONTH(I$1,0)+1)
)</f>
        <v>0</v>
      </c>
      <c r="J301" s="245" cm="1">
        <f t="array" ref="J301">-SUMPRODUCT(
  desp[data.vencimento] *
  (desp[classificacao]=$B$289) *
  (desp[centro.negocio]=$B301) *
  (desp[parcela]&gt;=J$1) *
  (desp[parcela]&lt;EOMONTH(J$1,0)+1)
)</f>
        <v>0</v>
      </c>
      <c r="K301" s="245" cm="1">
        <f t="array" ref="K301">-SUMPRODUCT(
  desp[data.vencimento] *
  (desp[classificacao]=$B$289) *
  (desp[centro.negocio]=$B301) *
  (desp[parcela]&gt;=K$1) *
  (desp[parcela]&lt;EOMONTH(K$1,0)+1)
)</f>
        <v>0</v>
      </c>
      <c r="L301" s="245" cm="1">
        <f t="array" ref="L301">-SUMPRODUCT(
  desp[data.vencimento] *
  (desp[classificacao]=$B$289) *
  (desp[centro.negocio]=$B301) *
  (desp[parcela]&gt;=L$1) *
  (desp[parcela]&lt;EOMONTH(L$1,0)+1)
)</f>
        <v>0</v>
      </c>
      <c r="M301" s="245" cm="1">
        <f t="array" ref="M301">-SUMPRODUCT(
  desp[data.vencimento] *
  (desp[classificacao]=$B$289) *
  (desp[centro.negocio]=$B301) *
  (desp[parcela]&gt;=M$1) *
  (desp[parcela]&lt;EOMONTH(M$1,0)+1)
)</f>
        <v>0</v>
      </c>
      <c r="N301" s="245" cm="1">
        <f t="array" ref="N301">-SUMPRODUCT(
  desp[data.vencimento] *
  (desp[classificacao]=$B$289) *
  (desp[centro.negocio]=$B301) *
  (desp[parcela]&gt;=N$1) *
  (desp[parcela]&lt;EOMONTH(N$1,0)+1)
)</f>
        <v>0</v>
      </c>
      <c r="O301" s="245" cm="1">
        <f t="array" ref="O301">-SUMPRODUCT(
  desp[data.vencimento] *
  (desp[classificacao]=$B$289) *
  (desp[centro.negocio]=$B301) *
  (desp[parcela]&gt;=O$1) *
  (desp[parcela]&lt;EOMONTH(O$1,0)+1)
)</f>
        <v>0</v>
      </c>
      <c r="P301" s="245" cm="1">
        <f t="array" ref="P301">-SUMPRODUCT(
  desp[data.vencimento] *
  (desp[classificacao]=$B$289) *
  (desp[centro.negocio]=$B301) *
  (desp[parcela]&gt;=P$1) *
  (desp[parcela]&lt;EOMONTH(P$1,0)+1)
)</f>
        <v>0</v>
      </c>
      <c r="Q301" s="245" cm="1">
        <f t="array" ref="Q301">-SUMPRODUCT(
  desp[data.vencimento] *
  (desp[classificacao]=$B$289) *
  (desp[centro.negocio]=$B301) *
  (desp[parcela]&gt;=Q$1) *
  (desp[parcela]&lt;EOMONTH(Q$1,0)+1)
)</f>
        <v>0</v>
      </c>
      <c r="R301" s="245" cm="1">
        <f t="array" ref="R301">-SUMPRODUCT(
  desp[data.vencimento] *
  (desp[classificacao]=$B$289) *
  (desp[centro.negocio]=$B301) *
  (desp[parcela]&gt;=R$1) *
  (desp[parcela]&lt;EOMONTH(R$1,0)+1)
)</f>
        <v>0</v>
      </c>
    </row>
    <row r="302" spans="1:18" outlineLevel="1" x14ac:dyDescent="0.25">
      <c r="A302" s="243" t="s">
        <v>597</v>
      </c>
      <c r="B302" s="243" t="s">
        <v>375</v>
      </c>
      <c r="C302" s="244" t="s">
        <v>522</v>
      </c>
      <c r="D302" s="245" cm="1">
        <f t="array" ref="D302">-SUMPRODUCT(
  desp[data.vencimento] *
  (desp[classificacao]=$B$289) *
  (desp[centro.negocio]=$B302) *
  (desp[parcela]&gt;=D$1) *
  (desp[parcela]&lt;EOMONTH(D$1,0)+1)
)</f>
        <v>0</v>
      </c>
      <c r="E302" s="245" cm="1">
        <f t="array" ref="E302">-SUMPRODUCT(
  desp[data.vencimento] *
  (desp[classificacao]=$B$289) *
  (desp[centro.negocio]=$B302) *
  (desp[parcela]&gt;=E$1) *
  (desp[parcela]&lt;EOMONTH(E$1,0)+1)
)</f>
        <v>0</v>
      </c>
      <c r="F302" s="245" cm="1">
        <f t="array" ref="F302">-SUMPRODUCT(
  desp[data.vencimento] *
  (desp[classificacao]=$B$289) *
  (desp[centro.negocio]=$B302) *
  (desp[parcela]&gt;=F$1) *
  (desp[parcela]&lt;EOMONTH(F$1,0)+1)
)</f>
        <v>0</v>
      </c>
      <c r="G302" s="245" cm="1">
        <f t="array" ref="G302">-SUMPRODUCT(
  desp[data.vencimento] *
  (desp[classificacao]=$B$289) *
  (desp[centro.negocio]=$B302) *
  (desp[parcela]&gt;=G$1) *
  (desp[parcela]&lt;EOMONTH(G$1,0)+1)
)</f>
        <v>0</v>
      </c>
      <c r="H302" s="245" cm="1">
        <f t="array" ref="H302">-SUMPRODUCT(
  desp[data.vencimento] *
  (desp[classificacao]=$B$289) *
  (desp[centro.negocio]=$B302) *
  (desp[parcela]&gt;=H$1) *
  (desp[parcela]&lt;EOMONTH(H$1,0)+1)
)</f>
        <v>0</v>
      </c>
      <c r="I302" s="245" cm="1">
        <f t="array" ref="I302">-SUMPRODUCT(
  desp[data.vencimento] *
  (desp[classificacao]=$B$289) *
  (desp[centro.negocio]=$B302) *
  (desp[parcela]&gt;=I$1) *
  (desp[parcela]&lt;EOMONTH(I$1,0)+1)
)</f>
        <v>0</v>
      </c>
      <c r="J302" s="245" cm="1">
        <f t="array" ref="J302">-SUMPRODUCT(
  desp[data.vencimento] *
  (desp[classificacao]=$B$289) *
  (desp[centro.negocio]=$B302) *
  (desp[parcela]&gt;=J$1) *
  (desp[parcela]&lt;EOMONTH(J$1,0)+1)
)</f>
        <v>0</v>
      </c>
      <c r="K302" s="245" cm="1">
        <f t="array" ref="K302">-SUMPRODUCT(
  desp[data.vencimento] *
  (desp[classificacao]=$B$289) *
  (desp[centro.negocio]=$B302) *
  (desp[parcela]&gt;=K$1) *
  (desp[parcela]&lt;EOMONTH(K$1,0)+1)
)</f>
        <v>0</v>
      </c>
      <c r="L302" s="245" cm="1">
        <f t="array" ref="L302">-SUMPRODUCT(
  desp[data.vencimento] *
  (desp[classificacao]=$B$289) *
  (desp[centro.negocio]=$B302) *
  (desp[parcela]&gt;=L$1) *
  (desp[parcela]&lt;EOMONTH(L$1,0)+1)
)</f>
        <v>0</v>
      </c>
      <c r="M302" s="245" cm="1">
        <f t="array" ref="M302">-SUMPRODUCT(
  desp[data.vencimento] *
  (desp[classificacao]=$B$289) *
  (desp[centro.negocio]=$B302) *
  (desp[parcela]&gt;=M$1) *
  (desp[parcela]&lt;EOMONTH(M$1,0)+1)
)</f>
        <v>0</v>
      </c>
      <c r="N302" s="245" cm="1">
        <f t="array" ref="N302">-SUMPRODUCT(
  desp[data.vencimento] *
  (desp[classificacao]=$B$289) *
  (desp[centro.negocio]=$B302) *
  (desp[parcela]&gt;=N$1) *
  (desp[parcela]&lt;EOMONTH(N$1,0)+1)
)</f>
        <v>0</v>
      </c>
      <c r="O302" s="245" cm="1">
        <f t="array" ref="O302">-SUMPRODUCT(
  desp[data.vencimento] *
  (desp[classificacao]=$B$289) *
  (desp[centro.negocio]=$B302) *
  (desp[parcela]&gt;=O$1) *
  (desp[parcela]&lt;EOMONTH(O$1,0)+1)
)</f>
        <v>0</v>
      </c>
      <c r="P302" s="245" cm="1">
        <f t="array" ref="P302">-SUMPRODUCT(
  desp[data.vencimento] *
  (desp[classificacao]=$B$289) *
  (desp[centro.negocio]=$B302) *
  (desp[parcela]&gt;=P$1) *
  (desp[parcela]&lt;EOMONTH(P$1,0)+1)
)</f>
        <v>0</v>
      </c>
      <c r="Q302" s="245" cm="1">
        <f t="array" ref="Q302">-SUMPRODUCT(
  desp[data.vencimento] *
  (desp[classificacao]=$B$289) *
  (desp[centro.negocio]=$B302) *
  (desp[parcela]&gt;=Q$1) *
  (desp[parcela]&lt;EOMONTH(Q$1,0)+1)
)</f>
        <v>0</v>
      </c>
      <c r="R302" s="245" cm="1">
        <f t="array" ref="R302">-SUMPRODUCT(
  desp[data.vencimento] *
  (desp[classificacao]=$B$289) *
  (desp[centro.negocio]=$B302) *
  (desp[parcela]&gt;=R$1) *
  (desp[parcela]&lt;EOMONTH(R$1,0)+1)
)</f>
        <v>0</v>
      </c>
    </row>
    <row r="303" spans="1:18" outlineLevel="1" x14ac:dyDescent="0.25">
      <c r="A303" s="243" t="s">
        <v>599</v>
      </c>
      <c r="B303" s="243" t="s">
        <v>376</v>
      </c>
      <c r="C303" s="244" t="s">
        <v>522</v>
      </c>
      <c r="D303" s="245" cm="1">
        <f t="array" ref="D303">-SUMPRODUCT(
  desp[data.vencimento] *
  (desp[classificacao]=$B$289) *
  (desp[centro.negocio]=$B303) *
  (desp[parcela]&gt;=D$1) *
  (desp[parcela]&lt;EOMONTH(D$1,0)+1)
)</f>
        <v>0</v>
      </c>
      <c r="E303" s="245" cm="1">
        <f t="array" ref="E303">-SUMPRODUCT(
  desp[data.vencimento] *
  (desp[classificacao]=$B$289) *
  (desp[centro.negocio]=$B303) *
  (desp[parcela]&gt;=E$1) *
  (desp[parcela]&lt;EOMONTH(E$1,0)+1)
)</f>
        <v>0</v>
      </c>
      <c r="F303" s="245" cm="1">
        <f t="array" ref="F303">-SUMPRODUCT(
  desp[data.vencimento] *
  (desp[classificacao]=$B$289) *
  (desp[centro.negocio]=$B303) *
  (desp[parcela]&gt;=F$1) *
  (desp[parcela]&lt;EOMONTH(F$1,0)+1)
)</f>
        <v>0</v>
      </c>
      <c r="G303" s="245" cm="1">
        <f t="array" ref="G303">-SUMPRODUCT(
  desp[data.vencimento] *
  (desp[classificacao]=$B$289) *
  (desp[centro.negocio]=$B303) *
  (desp[parcela]&gt;=G$1) *
  (desp[parcela]&lt;EOMONTH(G$1,0)+1)
)</f>
        <v>0</v>
      </c>
      <c r="H303" s="245" cm="1">
        <f t="array" ref="H303">-SUMPRODUCT(
  desp[data.vencimento] *
  (desp[classificacao]=$B$289) *
  (desp[centro.negocio]=$B303) *
  (desp[parcela]&gt;=H$1) *
  (desp[parcela]&lt;EOMONTH(H$1,0)+1)
)</f>
        <v>0</v>
      </c>
      <c r="I303" s="245" cm="1">
        <f t="array" ref="I303">-SUMPRODUCT(
  desp[data.vencimento] *
  (desp[classificacao]=$B$289) *
  (desp[centro.negocio]=$B303) *
  (desp[parcela]&gt;=I$1) *
  (desp[parcela]&lt;EOMONTH(I$1,0)+1)
)</f>
        <v>0</v>
      </c>
      <c r="J303" s="245" cm="1">
        <f t="array" ref="J303">-SUMPRODUCT(
  desp[data.vencimento] *
  (desp[classificacao]=$B$289) *
  (desp[centro.negocio]=$B303) *
  (desp[parcela]&gt;=J$1) *
  (desp[parcela]&lt;EOMONTH(J$1,0)+1)
)</f>
        <v>0</v>
      </c>
      <c r="K303" s="245" cm="1">
        <f t="array" ref="K303">-SUMPRODUCT(
  desp[data.vencimento] *
  (desp[classificacao]=$B$289) *
  (desp[centro.negocio]=$B303) *
  (desp[parcela]&gt;=K$1) *
  (desp[parcela]&lt;EOMONTH(K$1,0)+1)
)</f>
        <v>0</v>
      </c>
      <c r="L303" s="245" cm="1">
        <f t="array" ref="L303">-SUMPRODUCT(
  desp[data.vencimento] *
  (desp[classificacao]=$B$289) *
  (desp[centro.negocio]=$B303) *
  (desp[parcela]&gt;=L$1) *
  (desp[parcela]&lt;EOMONTH(L$1,0)+1)
)</f>
        <v>0</v>
      </c>
      <c r="M303" s="245" cm="1">
        <f t="array" ref="M303">-SUMPRODUCT(
  desp[data.vencimento] *
  (desp[classificacao]=$B$289) *
  (desp[centro.negocio]=$B303) *
  (desp[parcela]&gt;=M$1) *
  (desp[parcela]&lt;EOMONTH(M$1,0)+1)
)</f>
        <v>0</v>
      </c>
      <c r="N303" s="245" cm="1">
        <f t="array" ref="N303">-SUMPRODUCT(
  desp[data.vencimento] *
  (desp[classificacao]=$B$289) *
  (desp[centro.negocio]=$B303) *
  (desp[parcela]&gt;=N$1) *
  (desp[parcela]&lt;EOMONTH(N$1,0)+1)
)</f>
        <v>0</v>
      </c>
      <c r="O303" s="245" cm="1">
        <f t="array" ref="O303">-SUMPRODUCT(
  desp[data.vencimento] *
  (desp[classificacao]=$B$289) *
  (desp[centro.negocio]=$B303) *
  (desp[parcela]&gt;=O$1) *
  (desp[parcela]&lt;EOMONTH(O$1,0)+1)
)</f>
        <v>0</v>
      </c>
      <c r="P303" s="245" cm="1">
        <f t="array" ref="P303">-SUMPRODUCT(
  desp[data.vencimento] *
  (desp[classificacao]=$B$289) *
  (desp[centro.negocio]=$B303) *
  (desp[parcela]&gt;=P$1) *
  (desp[parcela]&lt;EOMONTH(P$1,0)+1)
)</f>
        <v>0</v>
      </c>
      <c r="Q303" s="245" cm="1">
        <f t="array" ref="Q303">-SUMPRODUCT(
  desp[data.vencimento] *
  (desp[classificacao]=$B$289) *
  (desp[centro.negocio]=$B303) *
  (desp[parcela]&gt;=Q$1) *
  (desp[parcela]&lt;EOMONTH(Q$1,0)+1)
)</f>
        <v>0</v>
      </c>
      <c r="R303" s="245" cm="1">
        <f t="array" ref="R303">-SUMPRODUCT(
  desp[data.vencimento] *
  (desp[classificacao]=$B$289) *
  (desp[centro.negocio]=$B303) *
  (desp[parcela]&gt;=R$1) *
  (desp[parcela]&lt;EOMONTH(R$1,0)+1)
)</f>
        <v>0</v>
      </c>
    </row>
    <row r="304" spans="1:18" outlineLevel="1" x14ac:dyDescent="0.25">
      <c r="A304" s="243" t="s">
        <v>601</v>
      </c>
      <c r="B304" s="243" t="s">
        <v>374</v>
      </c>
      <c r="C304" s="244" t="s">
        <v>522</v>
      </c>
      <c r="D304" s="245" cm="1">
        <f t="array" ref="D304">-SUMPRODUCT(
  desp[data.vencimento] *
  (desp[classificacao]=$B$289) *
  (desp[centro.negocio]=$B304) *
  (desp[parcela]&gt;=D$1) *
  (desp[parcela]&lt;EOMONTH(D$1,0)+1)
)</f>
        <v>0</v>
      </c>
      <c r="E304" s="245" cm="1">
        <f t="array" ref="E304">-SUMPRODUCT(
  desp[data.vencimento] *
  (desp[classificacao]=$B$289) *
  (desp[centro.negocio]=$B304) *
  (desp[parcela]&gt;=E$1) *
  (desp[parcela]&lt;EOMONTH(E$1,0)+1)
)</f>
        <v>0</v>
      </c>
      <c r="F304" s="245" cm="1">
        <f t="array" ref="F304">-SUMPRODUCT(
  desp[data.vencimento] *
  (desp[classificacao]=$B$289) *
  (desp[centro.negocio]=$B304) *
  (desp[parcela]&gt;=F$1) *
  (desp[parcela]&lt;EOMONTH(F$1,0)+1)
)</f>
        <v>0</v>
      </c>
      <c r="G304" s="245" cm="1">
        <f t="array" ref="G304">-SUMPRODUCT(
  desp[data.vencimento] *
  (desp[classificacao]=$B$289) *
  (desp[centro.negocio]=$B304) *
  (desp[parcela]&gt;=G$1) *
  (desp[parcela]&lt;EOMONTH(G$1,0)+1)
)</f>
        <v>0</v>
      </c>
      <c r="H304" s="245" cm="1">
        <f t="array" ref="H304">-SUMPRODUCT(
  desp[data.vencimento] *
  (desp[classificacao]=$B$289) *
  (desp[centro.negocio]=$B304) *
  (desp[parcela]&gt;=H$1) *
  (desp[parcela]&lt;EOMONTH(H$1,0)+1)
)</f>
        <v>0</v>
      </c>
      <c r="I304" s="245" cm="1">
        <f t="array" ref="I304">-SUMPRODUCT(
  desp[data.vencimento] *
  (desp[classificacao]=$B$289) *
  (desp[centro.negocio]=$B304) *
  (desp[parcela]&gt;=I$1) *
  (desp[parcela]&lt;EOMONTH(I$1,0)+1)
)</f>
        <v>0</v>
      </c>
      <c r="J304" s="245" cm="1">
        <f t="array" ref="J304">-SUMPRODUCT(
  desp[data.vencimento] *
  (desp[classificacao]=$B$289) *
  (desp[centro.negocio]=$B304) *
  (desp[parcela]&gt;=J$1) *
  (desp[parcela]&lt;EOMONTH(J$1,0)+1)
)</f>
        <v>0</v>
      </c>
      <c r="K304" s="245" cm="1">
        <f t="array" ref="K304">-SUMPRODUCT(
  desp[data.vencimento] *
  (desp[classificacao]=$B$289) *
  (desp[centro.negocio]=$B304) *
  (desp[parcela]&gt;=K$1) *
  (desp[parcela]&lt;EOMONTH(K$1,0)+1)
)</f>
        <v>0</v>
      </c>
      <c r="L304" s="245" cm="1">
        <f t="array" ref="L304">-SUMPRODUCT(
  desp[data.vencimento] *
  (desp[classificacao]=$B$289) *
  (desp[centro.negocio]=$B304) *
  (desp[parcela]&gt;=L$1) *
  (desp[parcela]&lt;EOMONTH(L$1,0)+1)
)</f>
        <v>0</v>
      </c>
      <c r="M304" s="245" cm="1">
        <f t="array" ref="M304">-SUMPRODUCT(
  desp[data.vencimento] *
  (desp[classificacao]=$B$289) *
  (desp[centro.negocio]=$B304) *
  (desp[parcela]&gt;=M$1) *
  (desp[parcela]&lt;EOMONTH(M$1,0)+1)
)</f>
        <v>0</v>
      </c>
      <c r="N304" s="245" cm="1">
        <f t="array" ref="N304">-SUMPRODUCT(
  desp[data.vencimento] *
  (desp[classificacao]=$B$289) *
  (desp[centro.negocio]=$B304) *
  (desp[parcela]&gt;=N$1) *
  (desp[parcela]&lt;EOMONTH(N$1,0)+1)
)</f>
        <v>0</v>
      </c>
      <c r="O304" s="245" cm="1">
        <f t="array" ref="O304">-SUMPRODUCT(
  desp[data.vencimento] *
  (desp[classificacao]=$B$289) *
  (desp[centro.negocio]=$B304) *
  (desp[parcela]&gt;=O$1) *
  (desp[parcela]&lt;EOMONTH(O$1,0)+1)
)</f>
        <v>0</v>
      </c>
      <c r="P304" s="245" cm="1">
        <f t="array" ref="P304">-SUMPRODUCT(
  desp[data.vencimento] *
  (desp[classificacao]=$B$289) *
  (desp[centro.negocio]=$B304) *
  (desp[parcela]&gt;=P$1) *
  (desp[parcela]&lt;EOMONTH(P$1,0)+1)
)</f>
        <v>0</v>
      </c>
      <c r="Q304" s="245" cm="1">
        <f t="array" ref="Q304">-SUMPRODUCT(
  desp[data.vencimento] *
  (desp[classificacao]=$B$289) *
  (desp[centro.negocio]=$B304) *
  (desp[parcela]&gt;=Q$1) *
  (desp[parcela]&lt;EOMONTH(Q$1,0)+1)
)</f>
        <v>0</v>
      </c>
      <c r="R304" s="245" cm="1">
        <f t="array" ref="R304">-SUMPRODUCT(
  desp[data.vencimento] *
  (desp[classificacao]=$B$289) *
  (desp[centro.negocio]=$B304) *
  (desp[parcela]&gt;=R$1) *
  (desp[parcela]&lt;EOMONTH(R$1,0)+1)
)</f>
        <v>0</v>
      </c>
    </row>
    <row r="305" spans="1:18" outlineLevel="1" x14ac:dyDescent="0.25">
      <c r="A305" s="243" t="s">
        <v>603</v>
      </c>
      <c r="B305" s="243" t="s">
        <v>381</v>
      </c>
      <c r="C305" s="244" t="s">
        <v>522</v>
      </c>
      <c r="D305" s="245" cm="1">
        <f t="array" ref="D305">-SUMPRODUCT(
  desp[data.vencimento] *
  (desp[classificacao]=$B$289) *
  (desp[centro.negocio]=$B305) *
  (desp[parcela]&gt;=D$1) *
  (desp[parcela]&lt;EOMONTH(D$1,0)+1)
)</f>
        <v>0</v>
      </c>
      <c r="E305" s="245" cm="1">
        <f t="array" ref="E305">-SUMPRODUCT(
  desp[data.vencimento] *
  (desp[classificacao]=$B$289) *
  (desp[centro.negocio]=$B305) *
  (desp[parcela]&gt;=E$1) *
  (desp[parcela]&lt;EOMONTH(E$1,0)+1)
)</f>
        <v>0</v>
      </c>
      <c r="F305" s="245" cm="1">
        <f t="array" ref="F305">-SUMPRODUCT(
  desp[data.vencimento] *
  (desp[classificacao]=$B$289) *
  (desp[centro.negocio]=$B305) *
  (desp[parcela]&gt;=F$1) *
  (desp[parcela]&lt;EOMONTH(F$1,0)+1)
)</f>
        <v>0</v>
      </c>
      <c r="G305" s="245" cm="1">
        <f t="array" ref="G305">-SUMPRODUCT(
  desp[data.vencimento] *
  (desp[classificacao]=$B$289) *
  (desp[centro.negocio]=$B305) *
  (desp[parcela]&gt;=G$1) *
  (desp[parcela]&lt;EOMONTH(G$1,0)+1)
)</f>
        <v>0</v>
      </c>
      <c r="H305" s="245" cm="1">
        <f t="array" ref="H305">-SUMPRODUCT(
  desp[data.vencimento] *
  (desp[classificacao]=$B$289) *
  (desp[centro.negocio]=$B305) *
  (desp[parcela]&gt;=H$1) *
  (desp[parcela]&lt;EOMONTH(H$1,0)+1)
)</f>
        <v>0</v>
      </c>
      <c r="I305" s="245" cm="1">
        <f t="array" ref="I305">-SUMPRODUCT(
  desp[data.vencimento] *
  (desp[classificacao]=$B$289) *
  (desp[centro.negocio]=$B305) *
  (desp[parcela]&gt;=I$1) *
  (desp[parcela]&lt;EOMONTH(I$1,0)+1)
)</f>
        <v>0</v>
      </c>
      <c r="J305" s="245" cm="1">
        <f t="array" ref="J305">-SUMPRODUCT(
  desp[data.vencimento] *
  (desp[classificacao]=$B$289) *
  (desp[centro.negocio]=$B305) *
  (desp[parcela]&gt;=J$1) *
  (desp[parcela]&lt;EOMONTH(J$1,0)+1)
)</f>
        <v>0</v>
      </c>
      <c r="K305" s="245" cm="1">
        <f t="array" ref="K305">-SUMPRODUCT(
  desp[data.vencimento] *
  (desp[classificacao]=$B$289) *
  (desp[centro.negocio]=$B305) *
  (desp[parcela]&gt;=K$1) *
  (desp[parcela]&lt;EOMONTH(K$1,0)+1)
)</f>
        <v>0</v>
      </c>
      <c r="L305" s="245" cm="1">
        <f t="array" ref="L305">-SUMPRODUCT(
  desp[data.vencimento] *
  (desp[classificacao]=$B$289) *
  (desp[centro.negocio]=$B305) *
  (desp[parcela]&gt;=L$1) *
  (desp[parcela]&lt;EOMONTH(L$1,0)+1)
)</f>
        <v>0</v>
      </c>
      <c r="M305" s="245" cm="1">
        <f t="array" ref="M305">-SUMPRODUCT(
  desp[data.vencimento] *
  (desp[classificacao]=$B$289) *
  (desp[centro.negocio]=$B305) *
  (desp[parcela]&gt;=M$1) *
  (desp[parcela]&lt;EOMONTH(M$1,0)+1)
)</f>
        <v>0</v>
      </c>
      <c r="N305" s="245" cm="1">
        <f t="array" ref="N305">-SUMPRODUCT(
  desp[data.vencimento] *
  (desp[classificacao]=$B$289) *
  (desp[centro.negocio]=$B305) *
  (desp[parcela]&gt;=N$1) *
  (desp[parcela]&lt;EOMONTH(N$1,0)+1)
)</f>
        <v>0</v>
      </c>
      <c r="O305" s="245" cm="1">
        <f t="array" ref="O305">-SUMPRODUCT(
  desp[data.vencimento] *
  (desp[classificacao]=$B$289) *
  (desp[centro.negocio]=$B305) *
  (desp[parcela]&gt;=O$1) *
  (desp[parcela]&lt;EOMONTH(O$1,0)+1)
)</f>
        <v>0</v>
      </c>
      <c r="P305" s="245" cm="1">
        <f t="array" ref="P305">-SUMPRODUCT(
  desp[data.vencimento] *
  (desp[classificacao]=$B$289) *
  (desp[centro.negocio]=$B305) *
  (desp[parcela]&gt;=P$1) *
  (desp[parcela]&lt;EOMONTH(P$1,0)+1)
)</f>
        <v>0</v>
      </c>
      <c r="Q305" s="245" cm="1">
        <f t="array" ref="Q305">-SUMPRODUCT(
  desp[data.vencimento] *
  (desp[classificacao]=$B$289) *
  (desp[centro.negocio]=$B305) *
  (desp[parcela]&gt;=Q$1) *
  (desp[parcela]&lt;EOMONTH(Q$1,0)+1)
)</f>
        <v>0</v>
      </c>
      <c r="R305" s="245" cm="1">
        <f t="array" ref="R305">-SUMPRODUCT(
  desp[data.vencimento] *
  (desp[classificacao]=$B$289) *
  (desp[centro.negocio]=$B305) *
  (desp[parcela]&gt;=R$1) *
  (desp[parcela]&lt;EOMONTH(R$1,0)+1)
)</f>
        <v>0</v>
      </c>
    </row>
    <row r="306" spans="1:18" outlineLevel="1" x14ac:dyDescent="0.25">
      <c r="A306" s="243" t="s">
        <v>608</v>
      </c>
      <c r="B306" s="243" t="s">
        <v>393</v>
      </c>
      <c r="C306" s="244" t="s">
        <v>522</v>
      </c>
      <c r="D306" s="245" cm="1">
        <f t="array" ref="D306">-SUMPRODUCT(
  desp[data.vencimento] *
  (desp[classificacao]=$B$289) *
  (desp[centro.negocio]=$B306) *
  (desp[parcela]&gt;=D$1) *
  (desp[parcela]&lt;EOMONTH(D$1,0)+1)
)</f>
        <v>0</v>
      </c>
      <c r="E306" s="245" cm="1">
        <f t="array" ref="E306">-SUMPRODUCT(
  desp[data.vencimento] *
  (desp[classificacao]=$B$289) *
  (desp[centro.negocio]=$B306) *
  (desp[parcela]&gt;=E$1) *
  (desp[parcela]&lt;EOMONTH(E$1,0)+1)
)</f>
        <v>0</v>
      </c>
      <c r="F306" s="245" cm="1">
        <f t="array" ref="F306">-SUMPRODUCT(
  desp[data.vencimento] *
  (desp[classificacao]=$B$289) *
  (desp[centro.negocio]=$B306) *
  (desp[parcela]&gt;=F$1) *
  (desp[parcela]&lt;EOMONTH(F$1,0)+1)
)</f>
        <v>0</v>
      </c>
      <c r="G306" s="245" cm="1">
        <f t="array" ref="G306">-SUMPRODUCT(
  desp[data.vencimento] *
  (desp[classificacao]=$B$289) *
  (desp[centro.negocio]=$B306) *
  (desp[parcela]&gt;=G$1) *
  (desp[parcela]&lt;EOMONTH(G$1,0)+1)
)</f>
        <v>0</v>
      </c>
      <c r="H306" s="245" cm="1">
        <f t="array" ref="H306">-SUMPRODUCT(
  desp[data.vencimento] *
  (desp[classificacao]=$B$289) *
  (desp[centro.negocio]=$B306) *
  (desp[parcela]&gt;=H$1) *
  (desp[parcela]&lt;EOMONTH(H$1,0)+1)
)</f>
        <v>0</v>
      </c>
      <c r="I306" s="245" cm="1">
        <f t="array" ref="I306">-SUMPRODUCT(
  desp[data.vencimento] *
  (desp[classificacao]=$B$289) *
  (desp[centro.negocio]=$B306) *
  (desp[parcela]&gt;=I$1) *
  (desp[parcela]&lt;EOMONTH(I$1,0)+1)
)</f>
        <v>0</v>
      </c>
      <c r="J306" s="245" cm="1">
        <f t="array" ref="J306">-SUMPRODUCT(
  desp[data.vencimento] *
  (desp[classificacao]=$B$289) *
  (desp[centro.negocio]=$B306) *
  (desp[parcela]&gt;=J$1) *
  (desp[parcela]&lt;EOMONTH(J$1,0)+1)
)</f>
        <v>0</v>
      </c>
      <c r="K306" s="245" cm="1">
        <f t="array" ref="K306">-SUMPRODUCT(
  desp[data.vencimento] *
  (desp[classificacao]=$B$289) *
  (desp[centro.negocio]=$B306) *
  (desp[parcela]&gt;=K$1) *
  (desp[parcela]&lt;EOMONTH(K$1,0)+1)
)</f>
        <v>0</v>
      </c>
      <c r="L306" s="245" cm="1">
        <f t="array" ref="L306">-SUMPRODUCT(
  desp[data.vencimento] *
  (desp[classificacao]=$B$289) *
  (desp[centro.negocio]=$B306) *
  (desp[parcela]&gt;=L$1) *
  (desp[parcela]&lt;EOMONTH(L$1,0)+1)
)</f>
        <v>0</v>
      </c>
      <c r="M306" s="245" cm="1">
        <f t="array" ref="M306">-SUMPRODUCT(
  desp[data.vencimento] *
  (desp[classificacao]=$B$289) *
  (desp[centro.negocio]=$B306) *
  (desp[parcela]&gt;=M$1) *
  (desp[parcela]&lt;EOMONTH(M$1,0)+1)
)</f>
        <v>0</v>
      </c>
      <c r="N306" s="245" cm="1">
        <f t="array" ref="N306">-SUMPRODUCT(
  desp[data.vencimento] *
  (desp[classificacao]=$B$289) *
  (desp[centro.negocio]=$B306) *
  (desp[parcela]&gt;=N$1) *
  (desp[parcela]&lt;EOMONTH(N$1,0)+1)
)</f>
        <v>0</v>
      </c>
      <c r="O306" s="245" cm="1">
        <f t="array" ref="O306">-SUMPRODUCT(
  desp[data.vencimento] *
  (desp[classificacao]=$B$289) *
  (desp[centro.negocio]=$B306) *
  (desp[parcela]&gt;=O$1) *
  (desp[parcela]&lt;EOMONTH(O$1,0)+1)
)</f>
        <v>0</v>
      </c>
      <c r="P306" s="245" cm="1">
        <f t="array" ref="P306">-SUMPRODUCT(
  desp[data.vencimento] *
  (desp[classificacao]=$B$289) *
  (desp[centro.negocio]=$B306) *
  (desp[parcela]&gt;=P$1) *
  (desp[parcela]&lt;EOMONTH(P$1,0)+1)
)</f>
        <v>0</v>
      </c>
      <c r="Q306" s="245" cm="1">
        <f t="array" ref="Q306">-SUMPRODUCT(
  desp[data.vencimento] *
  (desp[classificacao]=$B$289) *
  (desp[centro.negocio]=$B306) *
  (desp[parcela]&gt;=Q$1) *
  (desp[parcela]&lt;EOMONTH(Q$1,0)+1)
)</f>
        <v>0</v>
      </c>
      <c r="R306" s="245" cm="1">
        <f t="array" ref="R306">-SUMPRODUCT(
  desp[data.vencimento] *
  (desp[classificacao]=$B$289) *
  (desp[centro.negocio]=$B306) *
  (desp[parcela]&gt;=R$1) *
  (desp[parcela]&lt;EOMONTH(R$1,0)+1)
)</f>
        <v>0</v>
      </c>
    </row>
    <row r="307" spans="1:18" outlineLevel="1" x14ac:dyDescent="0.25">
      <c r="A307" s="243" t="s">
        <v>622</v>
      </c>
      <c r="B307" s="243" t="s">
        <v>346</v>
      </c>
      <c r="C307" s="244" t="s">
        <v>522</v>
      </c>
      <c r="D307" s="245" cm="1">
        <f t="array" ref="D307">-SUMPRODUCT(
  desp[data.vencimento] *
  (desp[classificacao]=$B$289) *
  (desp[centro.negocio]=$B307) *
  (desp[parcela]&gt;=D$1) *
  (desp[parcela]&lt;EOMONTH(D$1,0)+1)
)</f>
        <v>0</v>
      </c>
      <c r="E307" s="245" cm="1">
        <f t="array" ref="E307">-SUMPRODUCT(
  desp[data.vencimento] *
  (desp[classificacao]=$B$289) *
  (desp[centro.negocio]=$B307) *
  (desp[parcela]&gt;=E$1) *
  (desp[parcela]&lt;EOMONTH(E$1,0)+1)
)</f>
        <v>0</v>
      </c>
      <c r="F307" s="245" cm="1">
        <f t="array" ref="F307">-SUMPRODUCT(
  desp[data.vencimento] *
  (desp[classificacao]=$B$289) *
  (desp[centro.negocio]=$B307) *
  (desp[parcela]&gt;=F$1) *
  (desp[parcela]&lt;EOMONTH(F$1,0)+1)
)</f>
        <v>0</v>
      </c>
      <c r="G307" s="245" cm="1">
        <f t="array" ref="G307">-SUMPRODUCT(
  desp[data.vencimento] *
  (desp[classificacao]=$B$289) *
  (desp[centro.negocio]=$B307) *
  (desp[parcela]&gt;=G$1) *
  (desp[parcela]&lt;EOMONTH(G$1,0)+1)
)</f>
        <v>0</v>
      </c>
      <c r="H307" s="245" cm="1">
        <f t="array" ref="H307">-SUMPRODUCT(
  desp[data.vencimento] *
  (desp[classificacao]=$B$289) *
  (desp[centro.negocio]=$B307) *
  (desp[parcela]&gt;=H$1) *
  (desp[parcela]&lt;EOMONTH(H$1,0)+1)
)</f>
        <v>0</v>
      </c>
      <c r="I307" s="245" cm="1">
        <f t="array" ref="I307">-SUMPRODUCT(
  desp[data.vencimento] *
  (desp[classificacao]=$B$289) *
  (desp[centro.negocio]=$B307) *
  (desp[parcela]&gt;=I$1) *
  (desp[parcela]&lt;EOMONTH(I$1,0)+1)
)</f>
        <v>0</v>
      </c>
      <c r="J307" s="245" cm="1">
        <f t="array" ref="J307">-SUMPRODUCT(
  desp[data.vencimento] *
  (desp[classificacao]=$B$289) *
  (desp[centro.negocio]=$B307) *
  (desp[parcela]&gt;=J$1) *
  (desp[parcela]&lt;EOMONTH(J$1,0)+1)
)</f>
        <v>0</v>
      </c>
      <c r="K307" s="245" cm="1">
        <f t="array" ref="K307">-SUMPRODUCT(
  desp[data.vencimento] *
  (desp[classificacao]=$B$289) *
  (desp[centro.negocio]=$B307) *
  (desp[parcela]&gt;=K$1) *
  (desp[parcela]&lt;EOMONTH(K$1,0)+1)
)</f>
        <v>0</v>
      </c>
      <c r="L307" s="245" cm="1">
        <f t="array" ref="L307">-SUMPRODUCT(
  desp[data.vencimento] *
  (desp[classificacao]=$B$289) *
  (desp[centro.negocio]=$B307) *
  (desp[parcela]&gt;=L$1) *
  (desp[parcela]&lt;EOMONTH(L$1,0)+1)
)</f>
        <v>0</v>
      </c>
      <c r="M307" s="245" cm="1">
        <f t="array" ref="M307">-SUMPRODUCT(
  desp[data.vencimento] *
  (desp[classificacao]=$B$289) *
  (desp[centro.negocio]=$B307) *
  (desp[parcela]&gt;=M$1) *
  (desp[parcela]&lt;EOMONTH(M$1,0)+1)
)</f>
        <v>0</v>
      </c>
      <c r="N307" s="245" cm="1">
        <f t="array" ref="N307">-SUMPRODUCT(
  desp[data.vencimento] *
  (desp[classificacao]=$B$289) *
  (desp[centro.negocio]=$B307) *
  (desp[parcela]&gt;=N$1) *
  (desp[parcela]&lt;EOMONTH(N$1,0)+1)
)</f>
        <v>0</v>
      </c>
      <c r="O307" s="245" cm="1">
        <f t="array" ref="O307">-SUMPRODUCT(
  desp[data.vencimento] *
  (desp[classificacao]=$B$289) *
  (desp[centro.negocio]=$B307) *
  (desp[parcela]&gt;=O$1) *
  (desp[parcela]&lt;EOMONTH(O$1,0)+1)
)</f>
        <v>0</v>
      </c>
      <c r="P307" s="245" cm="1">
        <f t="array" ref="P307">-SUMPRODUCT(
  desp[data.vencimento] *
  (desp[classificacao]=$B$289) *
  (desp[centro.negocio]=$B307) *
  (desp[parcela]&gt;=P$1) *
  (desp[parcela]&lt;EOMONTH(P$1,0)+1)
)</f>
        <v>0</v>
      </c>
      <c r="Q307" s="245" cm="1">
        <f t="array" ref="Q307">-SUMPRODUCT(
  desp[data.vencimento] *
  (desp[classificacao]=$B$289) *
  (desp[centro.negocio]=$B307) *
  (desp[parcela]&gt;=Q$1) *
  (desp[parcela]&lt;EOMONTH(Q$1,0)+1)
)</f>
        <v>0</v>
      </c>
      <c r="R307" s="245" cm="1">
        <f t="array" ref="R307">-SUMPRODUCT(
  desp[data.vencimento] *
  (desp[classificacao]=$B$289) *
  (desp[centro.negocio]=$B307) *
  (desp[parcela]&gt;=R$1) *
  (desp[parcela]&lt;EOMONTH(R$1,0)+1)
)</f>
        <v>0</v>
      </c>
    </row>
    <row r="308" spans="1:18" outlineLevel="1" x14ac:dyDescent="0.25">
      <c r="A308" s="243" t="s">
        <v>656</v>
      </c>
      <c r="B308" s="243" t="s">
        <v>390</v>
      </c>
      <c r="C308" s="244" t="s">
        <v>522</v>
      </c>
      <c r="D308" s="245" cm="1">
        <f t="array" ref="D308">-SUMPRODUCT(
  desp[data.vencimento] *
  (desp[classificacao]=$B$289) *
  (desp[centro.negocio]=$B308) *
  (desp[parcela]&gt;=D$1) *
  (desp[parcela]&lt;EOMONTH(D$1,0)+1)
)</f>
        <v>0</v>
      </c>
      <c r="E308" s="245" cm="1">
        <f t="array" ref="E308">-SUMPRODUCT(
  desp[data.vencimento] *
  (desp[classificacao]=$B$289) *
  (desp[centro.negocio]=$B308) *
  (desp[parcela]&gt;=E$1) *
  (desp[parcela]&lt;EOMONTH(E$1,0)+1)
)</f>
        <v>0</v>
      </c>
      <c r="F308" s="245" cm="1">
        <f t="array" ref="F308">-SUMPRODUCT(
  desp[data.vencimento] *
  (desp[classificacao]=$B$289) *
  (desp[centro.negocio]=$B308) *
  (desp[parcela]&gt;=F$1) *
  (desp[parcela]&lt;EOMONTH(F$1,0)+1)
)</f>
        <v>0</v>
      </c>
      <c r="G308" s="245" cm="1">
        <f t="array" ref="G308">-SUMPRODUCT(
  desp[data.vencimento] *
  (desp[classificacao]=$B$289) *
  (desp[centro.negocio]=$B308) *
  (desp[parcela]&gt;=G$1) *
  (desp[parcela]&lt;EOMONTH(G$1,0)+1)
)</f>
        <v>0</v>
      </c>
      <c r="H308" s="245" cm="1">
        <f t="array" ref="H308">-SUMPRODUCT(
  desp[data.vencimento] *
  (desp[classificacao]=$B$289) *
  (desp[centro.negocio]=$B308) *
  (desp[parcela]&gt;=H$1) *
  (desp[parcela]&lt;EOMONTH(H$1,0)+1)
)</f>
        <v>0</v>
      </c>
      <c r="I308" s="245" cm="1">
        <f t="array" ref="I308">-SUMPRODUCT(
  desp[data.vencimento] *
  (desp[classificacao]=$B$289) *
  (desp[centro.negocio]=$B308) *
  (desp[parcela]&gt;=I$1) *
  (desp[parcela]&lt;EOMONTH(I$1,0)+1)
)</f>
        <v>0</v>
      </c>
      <c r="J308" s="245" cm="1">
        <f t="array" ref="J308">-SUMPRODUCT(
  desp[data.vencimento] *
  (desp[classificacao]=$B$289) *
  (desp[centro.negocio]=$B308) *
  (desp[parcela]&gt;=J$1) *
  (desp[parcela]&lt;EOMONTH(J$1,0)+1)
)</f>
        <v>0</v>
      </c>
      <c r="K308" s="245" cm="1">
        <f t="array" ref="K308">-SUMPRODUCT(
  desp[data.vencimento] *
  (desp[classificacao]=$B$289) *
  (desp[centro.negocio]=$B308) *
  (desp[parcela]&gt;=K$1) *
  (desp[parcela]&lt;EOMONTH(K$1,0)+1)
)</f>
        <v>0</v>
      </c>
      <c r="L308" s="245" cm="1">
        <f t="array" ref="L308">-SUMPRODUCT(
  desp[data.vencimento] *
  (desp[classificacao]=$B$289) *
  (desp[centro.negocio]=$B308) *
  (desp[parcela]&gt;=L$1) *
  (desp[parcela]&lt;EOMONTH(L$1,0)+1)
)</f>
        <v>0</v>
      </c>
      <c r="M308" s="245" cm="1">
        <f t="array" ref="M308">-SUMPRODUCT(
  desp[data.vencimento] *
  (desp[classificacao]=$B$289) *
  (desp[centro.negocio]=$B308) *
  (desp[parcela]&gt;=M$1) *
  (desp[parcela]&lt;EOMONTH(M$1,0)+1)
)</f>
        <v>0</v>
      </c>
      <c r="N308" s="245" cm="1">
        <f t="array" ref="N308">-SUMPRODUCT(
  desp[data.vencimento] *
  (desp[classificacao]=$B$289) *
  (desp[centro.negocio]=$B308) *
  (desp[parcela]&gt;=N$1) *
  (desp[parcela]&lt;EOMONTH(N$1,0)+1)
)</f>
        <v>0</v>
      </c>
      <c r="O308" s="245" cm="1">
        <f t="array" ref="O308">-SUMPRODUCT(
  desp[data.vencimento] *
  (desp[classificacao]=$B$289) *
  (desp[centro.negocio]=$B308) *
  (desp[parcela]&gt;=O$1) *
  (desp[parcela]&lt;EOMONTH(O$1,0)+1)
)</f>
        <v>0</v>
      </c>
      <c r="P308" s="245" cm="1">
        <f t="array" ref="P308">-SUMPRODUCT(
  desp[data.vencimento] *
  (desp[classificacao]=$B$289) *
  (desp[centro.negocio]=$B308) *
  (desp[parcela]&gt;=P$1) *
  (desp[parcela]&lt;EOMONTH(P$1,0)+1)
)</f>
        <v>0</v>
      </c>
      <c r="Q308" s="245" cm="1">
        <f t="array" ref="Q308">-SUMPRODUCT(
  desp[data.vencimento] *
  (desp[classificacao]=$B$289) *
  (desp[centro.negocio]=$B308) *
  (desp[parcela]&gt;=Q$1) *
  (desp[parcela]&lt;EOMONTH(Q$1,0)+1)
)</f>
        <v>0</v>
      </c>
      <c r="R308" s="245" cm="1">
        <f t="array" ref="R308">-SUMPRODUCT(
  desp[data.vencimento] *
  (desp[classificacao]=$B$289) *
  (desp[centro.negocio]=$B308) *
  (desp[parcela]&gt;=R$1) *
  (desp[parcela]&lt;EOMONTH(R$1,0)+1)
)</f>
        <v>0</v>
      </c>
    </row>
    <row r="309" spans="1:18" outlineLevel="1" x14ac:dyDescent="0.25">
      <c r="A309" s="243" t="s">
        <v>669</v>
      </c>
      <c r="B309" s="243" t="s">
        <v>385</v>
      </c>
      <c r="C309" s="244" t="s">
        <v>522</v>
      </c>
      <c r="D309" s="245" cm="1">
        <f t="array" ref="D309">-SUMPRODUCT(
  desp[data.vencimento] *
  (desp[classificacao]=$B$289) *
  (desp[centro.negocio]=$B309) *
  (desp[parcela]&gt;=D$1) *
  (desp[parcela]&lt;EOMONTH(D$1,0)+1)
)</f>
        <v>0</v>
      </c>
      <c r="E309" s="245" cm="1">
        <f t="array" ref="E309">-SUMPRODUCT(
  desp[data.vencimento] *
  (desp[classificacao]=$B$289) *
  (desp[centro.negocio]=$B309) *
  (desp[parcela]&gt;=E$1) *
  (desp[parcela]&lt;EOMONTH(E$1,0)+1)
)</f>
        <v>0</v>
      </c>
      <c r="F309" s="245" cm="1">
        <f t="array" ref="F309">-SUMPRODUCT(
  desp[data.vencimento] *
  (desp[classificacao]=$B$289) *
  (desp[centro.negocio]=$B309) *
  (desp[parcela]&gt;=F$1) *
  (desp[parcela]&lt;EOMONTH(F$1,0)+1)
)</f>
        <v>0</v>
      </c>
      <c r="G309" s="245" cm="1">
        <f t="array" ref="G309">-SUMPRODUCT(
  desp[data.vencimento] *
  (desp[classificacao]=$B$289) *
  (desp[centro.negocio]=$B309) *
  (desp[parcela]&gt;=G$1) *
  (desp[parcela]&lt;EOMONTH(G$1,0)+1)
)</f>
        <v>0</v>
      </c>
      <c r="H309" s="245" cm="1">
        <f t="array" ref="H309">-SUMPRODUCT(
  desp[data.vencimento] *
  (desp[classificacao]=$B$289) *
  (desp[centro.negocio]=$B309) *
  (desp[parcela]&gt;=H$1) *
  (desp[parcela]&lt;EOMONTH(H$1,0)+1)
)</f>
        <v>0</v>
      </c>
      <c r="I309" s="245" cm="1">
        <f t="array" ref="I309">-SUMPRODUCT(
  desp[data.vencimento] *
  (desp[classificacao]=$B$289) *
  (desp[centro.negocio]=$B309) *
  (desp[parcela]&gt;=I$1) *
  (desp[parcela]&lt;EOMONTH(I$1,0)+1)
)</f>
        <v>0</v>
      </c>
      <c r="J309" s="245" cm="1">
        <f t="array" ref="J309">-SUMPRODUCT(
  desp[data.vencimento] *
  (desp[classificacao]=$B$289) *
  (desp[centro.negocio]=$B309) *
  (desp[parcela]&gt;=J$1) *
  (desp[parcela]&lt;EOMONTH(J$1,0)+1)
)</f>
        <v>0</v>
      </c>
      <c r="K309" s="245" cm="1">
        <f t="array" ref="K309">-SUMPRODUCT(
  desp[data.vencimento] *
  (desp[classificacao]=$B$289) *
  (desp[centro.negocio]=$B309) *
  (desp[parcela]&gt;=K$1) *
  (desp[parcela]&lt;EOMONTH(K$1,0)+1)
)</f>
        <v>0</v>
      </c>
      <c r="L309" s="245" cm="1">
        <f t="array" ref="L309">-SUMPRODUCT(
  desp[data.vencimento] *
  (desp[classificacao]=$B$289) *
  (desp[centro.negocio]=$B309) *
  (desp[parcela]&gt;=L$1) *
  (desp[parcela]&lt;EOMONTH(L$1,0)+1)
)</f>
        <v>0</v>
      </c>
      <c r="M309" s="245" cm="1">
        <f t="array" ref="M309">-SUMPRODUCT(
  desp[data.vencimento] *
  (desp[classificacao]=$B$289) *
  (desp[centro.negocio]=$B309) *
  (desp[parcela]&gt;=M$1) *
  (desp[parcela]&lt;EOMONTH(M$1,0)+1)
)</f>
        <v>0</v>
      </c>
      <c r="N309" s="245" cm="1">
        <f t="array" ref="N309">-SUMPRODUCT(
  desp[data.vencimento] *
  (desp[classificacao]=$B$289) *
  (desp[centro.negocio]=$B309) *
  (desp[parcela]&gt;=N$1) *
  (desp[parcela]&lt;EOMONTH(N$1,0)+1)
)</f>
        <v>0</v>
      </c>
      <c r="O309" s="245" cm="1">
        <f t="array" ref="O309">-SUMPRODUCT(
  desp[data.vencimento] *
  (desp[classificacao]=$B$289) *
  (desp[centro.negocio]=$B309) *
  (desp[parcela]&gt;=O$1) *
  (desp[parcela]&lt;EOMONTH(O$1,0)+1)
)</f>
        <v>0</v>
      </c>
      <c r="P309" s="245" cm="1">
        <f t="array" ref="P309">-SUMPRODUCT(
  desp[data.vencimento] *
  (desp[classificacao]=$B$289) *
  (desp[centro.negocio]=$B309) *
  (desp[parcela]&gt;=P$1) *
  (desp[parcela]&lt;EOMONTH(P$1,0)+1)
)</f>
        <v>0</v>
      </c>
      <c r="Q309" s="245" cm="1">
        <f t="array" ref="Q309">-SUMPRODUCT(
  desp[data.vencimento] *
  (desp[classificacao]=$B$289) *
  (desp[centro.negocio]=$B309) *
  (desp[parcela]&gt;=Q$1) *
  (desp[parcela]&lt;EOMONTH(Q$1,0)+1)
)</f>
        <v>0</v>
      </c>
      <c r="R309" s="245" cm="1">
        <f t="array" ref="R309">-SUMPRODUCT(
  desp[data.vencimento] *
  (desp[classificacao]=$B$289) *
  (desp[centro.negocio]=$B309) *
  (desp[parcela]&gt;=R$1) *
  (desp[parcela]&lt;EOMONTH(R$1,0)+1)
)</f>
        <v>0</v>
      </c>
    </row>
    <row r="310" spans="1:18" outlineLevel="1" x14ac:dyDescent="0.25">
      <c r="A310" s="243" t="s">
        <v>674</v>
      </c>
      <c r="B310" s="243" t="s">
        <v>361</v>
      </c>
      <c r="C310" s="244" t="s">
        <v>522</v>
      </c>
      <c r="D310" s="245" cm="1">
        <f t="array" ref="D310">-SUMPRODUCT(
  desp[data.vencimento] *
  (desp[classificacao]=$B$289) *
  (desp[centro.negocio]=$B310) *
  (desp[parcela]&gt;=D$1) *
  (desp[parcela]&lt;EOMONTH(D$1,0)+1)
)</f>
        <v>0</v>
      </c>
      <c r="E310" s="245" cm="1">
        <f t="array" ref="E310">-SUMPRODUCT(
  desp[data.vencimento] *
  (desp[classificacao]=$B$289) *
  (desp[centro.negocio]=$B310) *
  (desp[parcela]&gt;=E$1) *
  (desp[parcela]&lt;EOMONTH(E$1,0)+1)
)</f>
        <v>0</v>
      </c>
      <c r="F310" s="245" cm="1">
        <f t="array" ref="F310">-SUMPRODUCT(
  desp[data.vencimento] *
  (desp[classificacao]=$B$289) *
  (desp[centro.negocio]=$B310) *
  (desp[parcela]&gt;=F$1) *
  (desp[parcela]&lt;EOMONTH(F$1,0)+1)
)</f>
        <v>0</v>
      </c>
      <c r="G310" s="245" cm="1">
        <f t="array" ref="G310">-SUMPRODUCT(
  desp[data.vencimento] *
  (desp[classificacao]=$B$289) *
  (desp[centro.negocio]=$B310) *
  (desp[parcela]&gt;=G$1) *
  (desp[parcela]&lt;EOMONTH(G$1,0)+1)
)</f>
        <v>0</v>
      </c>
      <c r="H310" s="245" cm="1">
        <f t="array" ref="H310">-SUMPRODUCT(
  desp[data.vencimento] *
  (desp[classificacao]=$B$289) *
  (desp[centro.negocio]=$B310) *
  (desp[parcela]&gt;=H$1) *
  (desp[parcela]&lt;EOMONTH(H$1,0)+1)
)</f>
        <v>0</v>
      </c>
      <c r="I310" s="245" cm="1">
        <f t="array" ref="I310">-SUMPRODUCT(
  desp[data.vencimento] *
  (desp[classificacao]=$B$289) *
  (desp[centro.negocio]=$B310) *
  (desp[parcela]&gt;=I$1) *
  (desp[parcela]&lt;EOMONTH(I$1,0)+1)
)</f>
        <v>0</v>
      </c>
      <c r="J310" s="245" cm="1">
        <f t="array" ref="J310">-SUMPRODUCT(
  desp[data.vencimento] *
  (desp[classificacao]=$B$289) *
  (desp[centro.negocio]=$B310) *
  (desp[parcela]&gt;=J$1) *
  (desp[parcela]&lt;EOMONTH(J$1,0)+1)
)</f>
        <v>0</v>
      </c>
      <c r="K310" s="245" cm="1">
        <f t="array" ref="K310">-SUMPRODUCT(
  desp[data.vencimento] *
  (desp[classificacao]=$B$289) *
  (desp[centro.negocio]=$B310) *
  (desp[parcela]&gt;=K$1) *
  (desp[parcela]&lt;EOMONTH(K$1,0)+1)
)</f>
        <v>0</v>
      </c>
      <c r="L310" s="245" cm="1">
        <f t="array" ref="L310">-SUMPRODUCT(
  desp[data.vencimento] *
  (desp[classificacao]=$B$289) *
  (desp[centro.negocio]=$B310) *
  (desp[parcela]&gt;=L$1) *
  (desp[parcela]&lt;EOMONTH(L$1,0)+1)
)</f>
        <v>0</v>
      </c>
      <c r="M310" s="245" cm="1">
        <f t="array" ref="M310">-SUMPRODUCT(
  desp[data.vencimento] *
  (desp[classificacao]=$B$289) *
  (desp[centro.negocio]=$B310) *
  (desp[parcela]&gt;=M$1) *
  (desp[parcela]&lt;EOMONTH(M$1,0)+1)
)</f>
        <v>0</v>
      </c>
      <c r="N310" s="245" cm="1">
        <f t="array" ref="N310">-SUMPRODUCT(
  desp[data.vencimento] *
  (desp[classificacao]=$B$289) *
  (desp[centro.negocio]=$B310) *
  (desp[parcela]&gt;=N$1) *
  (desp[parcela]&lt;EOMONTH(N$1,0)+1)
)</f>
        <v>0</v>
      </c>
      <c r="O310" s="245" cm="1">
        <f t="array" ref="O310">-SUMPRODUCT(
  desp[data.vencimento] *
  (desp[classificacao]=$B$289) *
  (desp[centro.negocio]=$B310) *
  (desp[parcela]&gt;=O$1) *
  (desp[parcela]&lt;EOMONTH(O$1,0)+1)
)</f>
        <v>0</v>
      </c>
      <c r="P310" s="245" cm="1">
        <f t="array" ref="P310">-SUMPRODUCT(
  desp[data.vencimento] *
  (desp[classificacao]=$B$289) *
  (desp[centro.negocio]=$B310) *
  (desp[parcela]&gt;=P$1) *
  (desp[parcela]&lt;EOMONTH(P$1,0)+1)
)</f>
        <v>0</v>
      </c>
      <c r="Q310" s="245" cm="1">
        <f t="array" ref="Q310">-SUMPRODUCT(
  desp[data.vencimento] *
  (desp[classificacao]=$B$289) *
  (desp[centro.negocio]=$B310) *
  (desp[parcela]&gt;=Q$1) *
  (desp[parcela]&lt;EOMONTH(Q$1,0)+1)
)</f>
        <v>0</v>
      </c>
      <c r="R310" s="245" cm="1">
        <f t="array" ref="R310">-SUMPRODUCT(
  desp[data.vencimento] *
  (desp[classificacao]=$B$289) *
  (desp[centro.negocio]=$B310) *
  (desp[parcela]&gt;=R$1) *
  (desp[parcela]&lt;EOMONTH(R$1,0)+1)
)</f>
        <v>0</v>
      </c>
    </row>
    <row r="311" spans="1:18" outlineLevel="1" x14ac:dyDescent="0.25">
      <c r="A311" s="243" t="s">
        <v>677</v>
      </c>
      <c r="B311" s="243" t="s">
        <v>377</v>
      </c>
      <c r="C311" s="244" t="s">
        <v>522</v>
      </c>
      <c r="D311" s="245" cm="1">
        <f t="array" ref="D311">-SUMPRODUCT(
  desp[data.vencimento] *
  (desp[classificacao]=$B$289) *
  (desp[centro.negocio]=$B311) *
  (desp[parcela]&gt;=D$1) *
  (desp[parcela]&lt;EOMONTH(D$1,0)+1)
)</f>
        <v>0</v>
      </c>
      <c r="E311" s="245" cm="1">
        <f t="array" ref="E311">-SUMPRODUCT(
  desp[data.vencimento] *
  (desp[classificacao]=$B$289) *
  (desp[centro.negocio]=$B311) *
  (desp[parcela]&gt;=E$1) *
  (desp[parcela]&lt;EOMONTH(E$1,0)+1)
)</f>
        <v>0</v>
      </c>
      <c r="F311" s="245" cm="1">
        <f t="array" ref="F311">-SUMPRODUCT(
  desp[data.vencimento] *
  (desp[classificacao]=$B$289) *
  (desp[centro.negocio]=$B311) *
  (desp[parcela]&gt;=F$1) *
  (desp[parcela]&lt;EOMONTH(F$1,0)+1)
)</f>
        <v>0</v>
      </c>
      <c r="G311" s="245" cm="1">
        <f t="array" ref="G311">-SUMPRODUCT(
  desp[data.vencimento] *
  (desp[classificacao]=$B$289) *
  (desp[centro.negocio]=$B311) *
  (desp[parcela]&gt;=G$1) *
  (desp[parcela]&lt;EOMONTH(G$1,0)+1)
)</f>
        <v>0</v>
      </c>
      <c r="H311" s="245" cm="1">
        <f t="array" ref="H311">-SUMPRODUCT(
  desp[data.vencimento] *
  (desp[classificacao]=$B$289) *
  (desp[centro.negocio]=$B311) *
  (desp[parcela]&gt;=H$1) *
  (desp[parcela]&lt;EOMONTH(H$1,0)+1)
)</f>
        <v>0</v>
      </c>
      <c r="I311" s="245" cm="1">
        <f t="array" ref="I311">-SUMPRODUCT(
  desp[data.vencimento] *
  (desp[classificacao]=$B$289) *
  (desp[centro.negocio]=$B311) *
  (desp[parcela]&gt;=I$1) *
  (desp[parcela]&lt;EOMONTH(I$1,0)+1)
)</f>
        <v>0</v>
      </c>
      <c r="J311" s="245" cm="1">
        <f t="array" ref="J311">-SUMPRODUCT(
  desp[data.vencimento] *
  (desp[classificacao]=$B$289) *
  (desp[centro.negocio]=$B311) *
  (desp[parcela]&gt;=J$1) *
  (desp[parcela]&lt;EOMONTH(J$1,0)+1)
)</f>
        <v>0</v>
      </c>
      <c r="K311" s="245" cm="1">
        <f t="array" ref="K311">-SUMPRODUCT(
  desp[data.vencimento] *
  (desp[classificacao]=$B$289) *
  (desp[centro.negocio]=$B311) *
  (desp[parcela]&gt;=K$1) *
  (desp[parcela]&lt;EOMONTH(K$1,0)+1)
)</f>
        <v>0</v>
      </c>
      <c r="L311" s="245" cm="1">
        <f t="array" ref="L311">-SUMPRODUCT(
  desp[data.vencimento] *
  (desp[classificacao]=$B$289) *
  (desp[centro.negocio]=$B311) *
  (desp[parcela]&gt;=L$1) *
  (desp[parcela]&lt;EOMONTH(L$1,0)+1)
)</f>
        <v>0</v>
      </c>
      <c r="M311" s="245" cm="1">
        <f t="array" ref="M311">-SUMPRODUCT(
  desp[data.vencimento] *
  (desp[classificacao]=$B$289) *
  (desp[centro.negocio]=$B311) *
  (desp[parcela]&gt;=M$1) *
  (desp[parcela]&lt;EOMONTH(M$1,0)+1)
)</f>
        <v>0</v>
      </c>
      <c r="N311" s="245" cm="1">
        <f t="array" ref="N311">-SUMPRODUCT(
  desp[data.vencimento] *
  (desp[classificacao]=$B$289) *
  (desp[centro.negocio]=$B311) *
  (desp[parcela]&gt;=N$1) *
  (desp[parcela]&lt;EOMONTH(N$1,0)+1)
)</f>
        <v>0</v>
      </c>
      <c r="O311" s="245" cm="1">
        <f t="array" ref="O311">-SUMPRODUCT(
  desp[data.vencimento] *
  (desp[classificacao]=$B$289) *
  (desp[centro.negocio]=$B311) *
  (desp[parcela]&gt;=O$1) *
  (desp[parcela]&lt;EOMONTH(O$1,0)+1)
)</f>
        <v>0</v>
      </c>
      <c r="P311" s="245" cm="1">
        <f t="array" ref="P311">-SUMPRODUCT(
  desp[data.vencimento] *
  (desp[classificacao]=$B$289) *
  (desp[centro.negocio]=$B311) *
  (desp[parcela]&gt;=P$1) *
  (desp[parcela]&lt;EOMONTH(P$1,0)+1)
)</f>
        <v>0</v>
      </c>
      <c r="Q311" s="245" cm="1">
        <f t="array" ref="Q311">-SUMPRODUCT(
  desp[data.vencimento] *
  (desp[classificacao]=$B$289) *
  (desp[centro.negocio]=$B311) *
  (desp[parcela]&gt;=Q$1) *
  (desp[parcela]&lt;EOMONTH(Q$1,0)+1)
)</f>
        <v>0</v>
      </c>
      <c r="R311" s="245" cm="1">
        <f t="array" ref="R311">-SUMPRODUCT(
  desp[data.vencimento] *
  (desp[classificacao]=$B$289) *
  (desp[centro.negocio]=$B311) *
  (desp[parcela]&gt;=R$1) *
  (desp[parcela]&lt;EOMONTH(R$1,0)+1)
)</f>
        <v>0</v>
      </c>
    </row>
    <row r="312" spans="1:18" outlineLevel="1" x14ac:dyDescent="0.25">
      <c r="A312" s="243" t="s">
        <v>679</v>
      </c>
      <c r="B312" s="243" t="s">
        <v>403</v>
      </c>
      <c r="C312" s="244" t="s">
        <v>522</v>
      </c>
      <c r="D312" s="245" cm="1">
        <f t="array" ref="D312">-SUMPRODUCT(
  desp[data.vencimento] *
  (desp[classificacao]=$B$289) *
  (desp[centro.negocio]=$B312) *
  (desp[parcela]&gt;=D$1) *
  (desp[parcela]&lt;EOMONTH(D$1,0)+1)
)</f>
        <v>0</v>
      </c>
      <c r="E312" s="245" cm="1">
        <f t="array" ref="E312">-SUMPRODUCT(
  desp[data.vencimento] *
  (desp[classificacao]=$B$289) *
  (desp[centro.negocio]=$B312) *
  (desp[parcela]&gt;=E$1) *
  (desp[parcela]&lt;EOMONTH(E$1,0)+1)
)</f>
        <v>0</v>
      </c>
      <c r="F312" s="245" cm="1">
        <f t="array" ref="F312">-SUMPRODUCT(
  desp[data.vencimento] *
  (desp[classificacao]=$B$289) *
  (desp[centro.negocio]=$B312) *
  (desp[parcela]&gt;=F$1) *
  (desp[parcela]&lt;EOMONTH(F$1,0)+1)
)</f>
        <v>0</v>
      </c>
      <c r="G312" s="245" cm="1">
        <f t="array" ref="G312">-SUMPRODUCT(
  desp[data.vencimento] *
  (desp[classificacao]=$B$289) *
  (desp[centro.negocio]=$B312) *
  (desp[parcela]&gt;=G$1) *
  (desp[parcela]&lt;EOMONTH(G$1,0)+1)
)</f>
        <v>0</v>
      </c>
      <c r="H312" s="245" cm="1">
        <f t="array" ref="H312">-SUMPRODUCT(
  desp[data.vencimento] *
  (desp[classificacao]=$B$289) *
  (desp[centro.negocio]=$B312) *
  (desp[parcela]&gt;=H$1) *
  (desp[parcela]&lt;EOMONTH(H$1,0)+1)
)</f>
        <v>0</v>
      </c>
      <c r="I312" s="245" cm="1">
        <f t="array" ref="I312">-SUMPRODUCT(
  desp[data.vencimento] *
  (desp[classificacao]=$B$289) *
  (desp[centro.negocio]=$B312) *
  (desp[parcela]&gt;=I$1) *
  (desp[parcela]&lt;EOMONTH(I$1,0)+1)
)</f>
        <v>0</v>
      </c>
      <c r="J312" s="245" cm="1">
        <f t="array" ref="J312">-SUMPRODUCT(
  desp[data.vencimento] *
  (desp[classificacao]=$B$289) *
  (desp[centro.negocio]=$B312) *
  (desp[parcela]&gt;=J$1) *
  (desp[parcela]&lt;EOMONTH(J$1,0)+1)
)</f>
        <v>0</v>
      </c>
      <c r="K312" s="245" cm="1">
        <f t="array" ref="K312">-SUMPRODUCT(
  desp[data.vencimento] *
  (desp[classificacao]=$B$289) *
  (desp[centro.negocio]=$B312) *
  (desp[parcela]&gt;=K$1) *
  (desp[parcela]&lt;EOMONTH(K$1,0)+1)
)</f>
        <v>0</v>
      </c>
      <c r="L312" s="245" cm="1">
        <f t="array" ref="L312">-SUMPRODUCT(
  desp[data.vencimento] *
  (desp[classificacao]=$B$289) *
  (desp[centro.negocio]=$B312) *
  (desp[parcela]&gt;=L$1) *
  (desp[parcela]&lt;EOMONTH(L$1,0)+1)
)</f>
        <v>0</v>
      </c>
      <c r="M312" s="245" cm="1">
        <f t="array" ref="M312">-SUMPRODUCT(
  desp[data.vencimento] *
  (desp[classificacao]=$B$289) *
  (desp[centro.negocio]=$B312) *
  (desp[parcela]&gt;=M$1) *
  (desp[parcela]&lt;EOMONTH(M$1,0)+1)
)</f>
        <v>0</v>
      </c>
      <c r="N312" s="245" cm="1">
        <f t="array" ref="N312">-SUMPRODUCT(
  desp[data.vencimento] *
  (desp[classificacao]=$B$289) *
  (desp[centro.negocio]=$B312) *
  (desp[parcela]&gt;=N$1) *
  (desp[parcela]&lt;EOMONTH(N$1,0)+1)
)</f>
        <v>0</v>
      </c>
      <c r="O312" s="245" cm="1">
        <f t="array" ref="O312">-SUMPRODUCT(
  desp[data.vencimento] *
  (desp[classificacao]=$B$289) *
  (desp[centro.negocio]=$B312) *
  (desp[parcela]&gt;=O$1) *
  (desp[parcela]&lt;EOMONTH(O$1,0)+1)
)</f>
        <v>0</v>
      </c>
      <c r="P312" s="245" cm="1">
        <f t="array" ref="P312">-SUMPRODUCT(
  desp[data.vencimento] *
  (desp[classificacao]=$B$289) *
  (desp[centro.negocio]=$B312) *
  (desp[parcela]&gt;=P$1) *
  (desp[parcela]&lt;EOMONTH(P$1,0)+1)
)</f>
        <v>0</v>
      </c>
      <c r="Q312" s="245" cm="1">
        <f t="array" ref="Q312">-SUMPRODUCT(
  desp[data.vencimento] *
  (desp[classificacao]=$B$289) *
  (desp[centro.negocio]=$B312) *
  (desp[parcela]&gt;=Q$1) *
  (desp[parcela]&lt;EOMONTH(Q$1,0)+1)
)</f>
        <v>0</v>
      </c>
      <c r="R312" s="245" cm="1">
        <f t="array" ref="R312">-SUMPRODUCT(
  desp[data.vencimento] *
  (desp[classificacao]=$B$289) *
  (desp[centro.negocio]=$B312) *
  (desp[parcela]&gt;=R$1) *
  (desp[parcela]&lt;EOMONTH(R$1,0)+1)
)</f>
        <v>0</v>
      </c>
    </row>
    <row r="313" spans="1:18" outlineLevel="1" x14ac:dyDescent="0.25">
      <c r="A313" s="243" t="s">
        <v>690</v>
      </c>
      <c r="B313" s="243" t="s">
        <v>378</v>
      </c>
      <c r="C313" s="244" t="s">
        <v>522</v>
      </c>
      <c r="D313" s="245" cm="1">
        <f t="array" ref="D313">-SUMPRODUCT(
  desp[data.vencimento] *
  (desp[classificacao]=$B$289) *
  (desp[centro.negocio]=$B313) *
  (desp[parcela]&gt;=D$1) *
  (desp[parcela]&lt;EOMONTH(D$1,0)+1)
)</f>
        <v>0</v>
      </c>
      <c r="E313" s="245" cm="1">
        <f t="array" ref="E313">-SUMPRODUCT(
  desp[data.vencimento] *
  (desp[classificacao]=$B$289) *
  (desp[centro.negocio]=$B313) *
  (desp[parcela]&gt;=E$1) *
  (desp[parcela]&lt;EOMONTH(E$1,0)+1)
)</f>
        <v>0</v>
      </c>
      <c r="F313" s="245" cm="1">
        <f t="array" ref="F313">-SUMPRODUCT(
  desp[data.vencimento] *
  (desp[classificacao]=$B$289) *
  (desp[centro.negocio]=$B313) *
  (desp[parcela]&gt;=F$1) *
  (desp[parcela]&lt;EOMONTH(F$1,0)+1)
)</f>
        <v>0</v>
      </c>
      <c r="G313" s="245" cm="1">
        <f t="array" ref="G313">-SUMPRODUCT(
  desp[data.vencimento] *
  (desp[classificacao]=$B$289) *
  (desp[centro.negocio]=$B313) *
  (desp[parcela]&gt;=G$1) *
  (desp[parcela]&lt;EOMONTH(G$1,0)+1)
)</f>
        <v>0</v>
      </c>
      <c r="H313" s="245" cm="1">
        <f t="array" ref="H313">-SUMPRODUCT(
  desp[data.vencimento] *
  (desp[classificacao]=$B$289) *
  (desp[centro.negocio]=$B313) *
  (desp[parcela]&gt;=H$1) *
  (desp[parcela]&lt;EOMONTH(H$1,0)+1)
)</f>
        <v>0</v>
      </c>
      <c r="I313" s="245" cm="1">
        <f t="array" ref="I313">-SUMPRODUCT(
  desp[data.vencimento] *
  (desp[classificacao]=$B$289) *
  (desp[centro.negocio]=$B313) *
  (desp[parcela]&gt;=I$1) *
  (desp[parcela]&lt;EOMONTH(I$1,0)+1)
)</f>
        <v>0</v>
      </c>
      <c r="J313" s="245" cm="1">
        <f t="array" ref="J313">-SUMPRODUCT(
  desp[data.vencimento] *
  (desp[classificacao]=$B$289) *
  (desp[centro.negocio]=$B313) *
  (desp[parcela]&gt;=J$1) *
  (desp[parcela]&lt;EOMONTH(J$1,0)+1)
)</f>
        <v>0</v>
      </c>
      <c r="K313" s="245" cm="1">
        <f t="array" ref="K313">-SUMPRODUCT(
  desp[data.vencimento] *
  (desp[classificacao]=$B$289) *
  (desp[centro.negocio]=$B313) *
  (desp[parcela]&gt;=K$1) *
  (desp[parcela]&lt;EOMONTH(K$1,0)+1)
)</f>
        <v>0</v>
      </c>
      <c r="L313" s="245" cm="1">
        <f t="array" ref="L313">-SUMPRODUCT(
  desp[data.vencimento] *
  (desp[classificacao]=$B$289) *
  (desp[centro.negocio]=$B313) *
  (desp[parcela]&gt;=L$1) *
  (desp[parcela]&lt;EOMONTH(L$1,0)+1)
)</f>
        <v>0</v>
      </c>
      <c r="M313" s="245" cm="1">
        <f t="array" ref="M313">-SUMPRODUCT(
  desp[data.vencimento] *
  (desp[classificacao]=$B$289) *
  (desp[centro.negocio]=$B313) *
  (desp[parcela]&gt;=M$1) *
  (desp[parcela]&lt;EOMONTH(M$1,0)+1)
)</f>
        <v>0</v>
      </c>
      <c r="N313" s="245" cm="1">
        <f t="array" ref="N313">-SUMPRODUCT(
  desp[data.vencimento] *
  (desp[classificacao]=$B$289) *
  (desp[centro.negocio]=$B313) *
  (desp[parcela]&gt;=N$1) *
  (desp[parcela]&lt;EOMONTH(N$1,0)+1)
)</f>
        <v>0</v>
      </c>
      <c r="O313" s="245" cm="1">
        <f t="array" ref="O313">-SUMPRODUCT(
  desp[data.vencimento] *
  (desp[classificacao]=$B$289) *
  (desp[centro.negocio]=$B313) *
  (desp[parcela]&gt;=O$1) *
  (desp[parcela]&lt;EOMONTH(O$1,0)+1)
)</f>
        <v>0</v>
      </c>
      <c r="P313" s="245" cm="1">
        <f t="array" ref="P313">-SUMPRODUCT(
  desp[data.vencimento] *
  (desp[classificacao]=$B$289) *
  (desp[centro.negocio]=$B313) *
  (desp[parcela]&gt;=P$1) *
  (desp[parcela]&lt;EOMONTH(P$1,0)+1)
)</f>
        <v>0</v>
      </c>
      <c r="Q313" s="245" cm="1">
        <f t="array" ref="Q313">-SUMPRODUCT(
  desp[data.vencimento] *
  (desp[classificacao]=$B$289) *
  (desp[centro.negocio]=$B313) *
  (desp[parcela]&gt;=Q$1) *
  (desp[parcela]&lt;EOMONTH(Q$1,0)+1)
)</f>
        <v>0</v>
      </c>
      <c r="R313" s="245" cm="1">
        <f t="array" ref="R313">-SUMPRODUCT(
  desp[data.vencimento] *
  (desp[classificacao]=$B$289) *
  (desp[centro.negocio]=$B313) *
  (desp[parcela]&gt;=R$1) *
  (desp[parcela]&lt;EOMONTH(R$1,0)+1)
)</f>
        <v>0</v>
      </c>
    </row>
    <row r="314" spans="1:18" outlineLevel="1" x14ac:dyDescent="0.25">
      <c r="A314" s="243" t="s">
        <v>692</v>
      </c>
      <c r="B314" s="243" t="s">
        <v>350</v>
      </c>
      <c r="C314" s="244" t="s">
        <v>522</v>
      </c>
      <c r="D314" s="245" cm="1">
        <f t="array" ref="D314">-SUMPRODUCT(
  desp[data.vencimento] *
  (desp[classificacao] = $B$289) *
  (desp[parcela] &gt;= D$1) *
  (desp[parcela] &lt; EOMONTH(D$1,0)+1) *
  --ISNA(MATCH(desp[centro.negocio], {"NF - Mão de Obra";"Operações Financeiras/juros";"Terreno"}, 0))
)-
SUM(D$297:D$313)</f>
        <v>0</v>
      </c>
      <c r="E314" s="245" cm="1">
        <f t="array" ref="E314">-SUMPRODUCT(
  desp[data.vencimento] *
  (desp[classificacao] = $B$289) *
  (desp[parcela] &gt;= E$1) *
  (desp[parcela] &lt; EOMONTH(E$1,0)+1) *
  --ISNA(MATCH(desp[centro.negocio], {"NF - Mão de Obra";"Operações Financeiras/juros";"Terreno"}, 0))
)-
SUM(E$297:E$313)</f>
        <v>0</v>
      </c>
      <c r="F314" s="245" cm="1">
        <f t="array" ref="F314">-SUMPRODUCT(
  desp[data.vencimento] *
  (desp[classificacao] = $B$289) *
  (desp[parcela] &gt;= F$1) *
  (desp[parcela] &lt; EOMONTH(F$1,0)+1) *
  --ISNA(MATCH(desp[centro.negocio], {"NF - Mão de Obra";"Operações Financeiras/juros";"Terreno"}, 0))
)-
SUM(F$297:F$313)</f>
        <v>0</v>
      </c>
      <c r="G314" s="245" cm="1">
        <f t="array" ref="G314">-SUMPRODUCT(
  desp[data.vencimento] *
  (desp[classificacao] = $B$289) *
  (desp[parcela] &gt;= G$1) *
  (desp[parcela] &lt; EOMONTH(G$1,0)+1) *
  --ISNA(MATCH(desp[centro.negocio], {"NF - Mão de Obra";"Operações Financeiras/juros";"Terreno"}, 0))
)-
SUM(G$297:G$313)</f>
        <v>0</v>
      </c>
      <c r="H314" s="245" cm="1">
        <f t="array" ref="H314">-SUMPRODUCT(
  desp[data.vencimento] *
  (desp[classificacao] = $B$289) *
  (desp[parcela] &gt;= H$1) *
  (desp[parcela] &lt; EOMONTH(H$1,0)+1) *
  --ISNA(MATCH(desp[centro.negocio], {"NF - Mão de Obra";"Operações Financeiras/juros";"Terreno"}, 0))
)-
SUM(H$297:H$313)</f>
        <v>0</v>
      </c>
      <c r="I314" s="245" cm="1">
        <f t="array" ref="I314">-SUMPRODUCT(
  desp[data.vencimento] *
  (desp[classificacao] = $B$289) *
  (desp[parcela] &gt;= I$1) *
  (desp[parcela] &lt; EOMONTH(I$1,0)+1) *
  --ISNA(MATCH(desp[centro.negocio], {"NF - Mão de Obra";"Operações Financeiras/juros";"Terreno"}, 0))
)-
SUM(I$297:I$313)</f>
        <v>0</v>
      </c>
      <c r="J314" s="245" cm="1">
        <f t="array" ref="J314">-SUMPRODUCT(
  desp[data.vencimento] *
  (desp[classificacao] = $B$289) *
  (desp[parcela] &gt;= J$1) *
  (desp[parcela] &lt; EOMONTH(J$1,0)+1) *
  --ISNA(MATCH(desp[centro.negocio], {"NF - Mão de Obra";"Operações Financeiras/juros";"Terreno"}, 0))
)-
SUM(J$297:J$313)</f>
        <v>0</v>
      </c>
      <c r="K314" s="245" cm="1">
        <f t="array" ref="K314">-SUMPRODUCT(
  desp[data.vencimento] *
  (desp[classificacao] = $B$289) *
  (desp[parcela] &gt;= K$1) *
  (desp[parcela] &lt; EOMONTH(K$1,0)+1) *
  --ISNA(MATCH(desp[centro.negocio], {"NF - Mão de Obra";"Operações Financeiras/juros";"Terreno"}, 0))
)-
SUM(K$297:K$313)</f>
        <v>0</v>
      </c>
      <c r="L314" s="245" cm="1">
        <f t="array" ref="L314">-SUMPRODUCT(
  desp[data.vencimento] *
  (desp[classificacao] = $B$289) *
  (desp[parcela] &gt;= L$1) *
  (desp[parcela] &lt; EOMONTH(L$1,0)+1) *
  --ISNA(MATCH(desp[centro.negocio], {"NF - Mão de Obra";"Operações Financeiras/juros";"Terreno"}, 0))
)-
SUM(L$297:L$313)</f>
        <v>0</v>
      </c>
      <c r="M314" s="245" cm="1">
        <f t="array" ref="M314">-SUMPRODUCT(
  desp[data.vencimento] *
  (desp[classificacao] = $B$289) *
  (desp[parcela] &gt;= M$1) *
  (desp[parcela] &lt; EOMONTH(M$1,0)+1) *
  --ISNA(MATCH(desp[centro.negocio], {"NF - Mão de Obra";"Operações Financeiras/juros";"Terreno"}, 0))
)-
SUM(M$297:M$313)</f>
        <v>0</v>
      </c>
      <c r="N314" s="245" cm="1">
        <f t="array" ref="N314">-SUMPRODUCT(
  desp[data.vencimento] *
  (desp[classificacao] = $B$289) *
  (desp[parcela] &gt;= N$1) *
  (desp[parcela] &lt; EOMONTH(N$1,0)+1) *
  --ISNA(MATCH(desp[centro.negocio], {"NF - Mão de Obra";"Operações Financeiras/juros";"Terreno"}, 0))
)-
SUM(N$297:N$313)</f>
        <v>0</v>
      </c>
      <c r="O314" s="245" cm="1">
        <f t="array" ref="O314">-SUMPRODUCT(
  desp[data.vencimento] *
  (desp[classificacao] = $B$289) *
  (desp[parcela] &gt;= O$1) *
  (desp[parcela] &lt; EOMONTH(O$1,0)+1) *
  --ISNA(MATCH(desp[centro.negocio], {"NF - Mão de Obra";"Operações Financeiras/juros";"Terreno"}, 0))
)-
SUM(O$297:O$313)</f>
        <v>0</v>
      </c>
      <c r="P314" s="245" cm="1">
        <f t="array" ref="P314">-SUMPRODUCT(
  desp[data.vencimento] *
  (desp[classificacao] = $B$289) *
  (desp[parcela] &gt;= P$1) *
  (desp[parcela] &lt; EOMONTH(P$1,0)+1) *
  --ISNA(MATCH(desp[centro.negocio], {"NF - Mão de Obra";"Operações Financeiras/juros";"Terreno"}, 0))
)-
SUM(P$297:P$313)</f>
        <v>0</v>
      </c>
      <c r="Q314" s="245" cm="1">
        <f t="array" ref="Q314">-SUMPRODUCT(
  desp[data.vencimento] *
  (desp[classificacao] = $B$289) *
  (desp[parcela] &gt;= Q$1) *
  (desp[parcela] &lt; EOMONTH(Q$1,0)+1) *
  --ISNA(MATCH(desp[centro.negocio], {"NF - Mão de Obra";"Operações Financeiras/juros";"Terreno"}, 0))
)-
SUM(Q$297:Q$313)</f>
        <v>0</v>
      </c>
      <c r="R314" s="245" cm="1">
        <f t="array" ref="R314">-SUMPRODUCT(
  desp[data.vencimento] *
  (desp[classificacao] = $B$289) *
  (desp[parcela] &gt;= R$1) *
  (desp[parcela] &lt; EOMONTH(R$1,0)+1) *
  --ISNA(MATCH(desp[centro.negocio], {"NF - Mão de Obra";"Operações Financeiras/juros";"Terreno"}, 0))
)-
SUM(R$297:R$313)</f>
        <v>0</v>
      </c>
    </row>
    <row r="315" spans="1:18" x14ac:dyDescent="0.25">
      <c r="A315" s="236" t="s">
        <v>693</v>
      </c>
      <c r="B315" s="236" t="s">
        <v>694</v>
      </c>
      <c r="C315" s="237"/>
      <c r="D315" s="253">
        <f>D316+D319</f>
        <v>0</v>
      </c>
      <c r="E315" s="253">
        <f t="shared" ref="E315:R315" si="77">E316+E319</f>
        <v>0</v>
      </c>
      <c r="F315" s="253">
        <f t="shared" si="77"/>
        <v>0</v>
      </c>
      <c r="G315" s="253">
        <f t="shared" si="77"/>
        <v>0</v>
      </c>
      <c r="H315" s="253">
        <f t="shared" si="77"/>
        <v>0</v>
      </c>
      <c r="I315" s="253">
        <f t="shared" si="77"/>
        <v>0</v>
      </c>
      <c r="J315" s="253">
        <f t="shared" si="77"/>
        <v>0</v>
      </c>
      <c r="K315" s="253">
        <f t="shared" si="77"/>
        <v>0</v>
      </c>
      <c r="L315" s="253">
        <f t="shared" si="77"/>
        <v>0</v>
      </c>
      <c r="M315" s="253">
        <f t="shared" si="77"/>
        <v>0</v>
      </c>
      <c r="N315" s="253">
        <f t="shared" si="77"/>
        <v>0</v>
      </c>
      <c r="O315" s="253">
        <f t="shared" si="77"/>
        <v>0</v>
      </c>
      <c r="P315" s="253">
        <f t="shared" si="77"/>
        <v>0</v>
      </c>
      <c r="Q315" s="253">
        <f t="shared" ref="Q315" si="78">Q316+Q319</f>
        <v>0</v>
      </c>
      <c r="R315" s="253">
        <f t="shared" si="77"/>
        <v>0</v>
      </c>
    </row>
    <row r="316" spans="1:18" x14ac:dyDescent="0.25">
      <c r="A316" s="240" t="s">
        <v>695</v>
      </c>
      <c r="B316" s="240" t="s">
        <v>696</v>
      </c>
      <c r="C316" s="241"/>
      <c r="D316" s="242">
        <f>SUM(D317:D318)</f>
        <v>0</v>
      </c>
      <c r="E316" s="242">
        <f t="shared" ref="E316:R316" si="79">SUM(E317:E318)</f>
        <v>0</v>
      </c>
      <c r="F316" s="242">
        <f t="shared" si="79"/>
        <v>0</v>
      </c>
      <c r="G316" s="242">
        <f t="shared" si="79"/>
        <v>0</v>
      </c>
      <c r="H316" s="242">
        <f t="shared" si="79"/>
        <v>0</v>
      </c>
      <c r="I316" s="242">
        <f t="shared" si="79"/>
        <v>0</v>
      </c>
      <c r="J316" s="242">
        <f t="shared" si="79"/>
        <v>0</v>
      </c>
      <c r="K316" s="242">
        <f t="shared" si="79"/>
        <v>0</v>
      </c>
      <c r="L316" s="242">
        <f t="shared" si="79"/>
        <v>0</v>
      </c>
      <c r="M316" s="242">
        <f t="shared" si="79"/>
        <v>0</v>
      </c>
      <c r="N316" s="242">
        <f t="shared" si="79"/>
        <v>0</v>
      </c>
      <c r="O316" s="242">
        <f t="shared" si="79"/>
        <v>0</v>
      </c>
      <c r="P316" s="242">
        <f t="shared" si="79"/>
        <v>0</v>
      </c>
      <c r="Q316" s="242">
        <f t="shared" ref="Q316" si="80">SUM(Q317:Q318)</f>
        <v>0</v>
      </c>
      <c r="R316" s="242">
        <f t="shared" si="79"/>
        <v>0</v>
      </c>
    </row>
    <row r="317" spans="1:18" outlineLevel="1" x14ac:dyDescent="0.25">
      <c r="A317" s="243" t="s">
        <v>697</v>
      </c>
      <c r="B317" s="254" t="s">
        <v>698</v>
      </c>
      <c r="C317" s="193"/>
      <c r="D317" s="247"/>
      <c r="E317" s="247"/>
      <c r="F317" s="247"/>
      <c r="G317" s="247"/>
      <c r="H317" s="247"/>
      <c r="I317" s="247"/>
      <c r="J317" s="247"/>
      <c r="K317" s="247"/>
      <c r="L317" s="247"/>
      <c r="M317" s="247"/>
      <c r="N317" s="247"/>
      <c r="O317" s="247"/>
      <c r="P317" s="247"/>
      <c r="Q317" s="247"/>
      <c r="R317" s="247"/>
    </row>
    <row r="318" spans="1:18" outlineLevel="1" x14ac:dyDescent="0.25">
      <c r="A318" s="243" t="s">
        <v>699</v>
      </c>
      <c r="B318" s="254" t="s">
        <v>700</v>
      </c>
      <c r="C318" s="193"/>
      <c r="D318" s="247"/>
      <c r="E318" s="247"/>
      <c r="F318" s="247"/>
      <c r="G318" s="247"/>
      <c r="H318" s="247"/>
      <c r="I318" s="247"/>
      <c r="J318" s="247"/>
      <c r="K318" s="247"/>
      <c r="L318" s="247"/>
      <c r="M318" s="247"/>
      <c r="N318" s="247"/>
      <c r="O318" s="247"/>
      <c r="P318" s="247"/>
      <c r="Q318" s="247"/>
      <c r="R318" s="247"/>
    </row>
    <row r="319" spans="1:18" x14ac:dyDescent="0.25">
      <c r="A319" s="249" t="s">
        <v>701</v>
      </c>
      <c r="B319" s="249" t="s">
        <v>702</v>
      </c>
      <c r="C319" s="255"/>
      <c r="D319" s="256">
        <f>SUM(D320:D322)</f>
        <v>0</v>
      </c>
      <c r="E319" s="256">
        <f t="shared" ref="E319:R319" si="81">SUM(E320:E322)</f>
        <v>0</v>
      </c>
      <c r="F319" s="256">
        <f t="shared" si="81"/>
        <v>0</v>
      </c>
      <c r="G319" s="256">
        <f t="shared" si="81"/>
        <v>0</v>
      </c>
      <c r="H319" s="256">
        <f t="shared" si="81"/>
        <v>0</v>
      </c>
      <c r="I319" s="256">
        <f t="shared" si="81"/>
        <v>0</v>
      </c>
      <c r="J319" s="256">
        <f t="shared" si="81"/>
        <v>0</v>
      </c>
      <c r="K319" s="256">
        <f t="shared" si="81"/>
        <v>0</v>
      </c>
      <c r="L319" s="256">
        <f t="shared" si="81"/>
        <v>0</v>
      </c>
      <c r="M319" s="256">
        <f t="shared" si="81"/>
        <v>0</v>
      </c>
      <c r="N319" s="256">
        <f t="shared" si="81"/>
        <v>0</v>
      </c>
      <c r="O319" s="256">
        <f t="shared" si="81"/>
        <v>0</v>
      </c>
      <c r="P319" s="256">
        <f t="shared" si="81"/>
        <v>0</v>
      </c>
      <c r="Q319" s="256">
        <f t="shared" ref="Q319" si="82">SUM(Q320:Q322)</f>
        <v>0</v>
      </c>
      <c r="R319" s="256">
        <f t="shared" si="81"/>
        <v>0</v>
      </c>
    </row>
    <row r="320" spans="1:18" outlineLevel="1" x14ac:dyDescent="0.25">
      <c r="A320" s="243" t="s">
        <v>703</v>
      </c>
      <c r="B320" s="243" t="s">
        <v>407</v>
      </c>
      <c r="C320" s="244" t="s">
        <v>522</v>
      </c>
      <c r="D320" s="245" cm="1">
        <f t="array" ref="D320">-SUMPRODUCT(
  desp[data.vencimento] *
  (desp[classificacao]=$B$289) *
  (desp[centro.negocio]=$B320) *
  (desp[parcela]&gt;=D$1) *
  (desp[parcela]&lt;EOMONTH(D$1,0)+1)
)</f>
        <v>0</v>
      </c>
      <c r="E320" s="245" cm="1">
        <f t="array" ref="E320">-SUMPRODUCT(
  desp[data.vencimento] *
  (desp[classificacao]=$B$289) *
  (desp[centro.negocio]=$B320) *
  (desp[parcela]&gt;=E$1) *
  (desp[parcela]&lt;EOMONTH(E$1,0)+1)
)</f>
        <v>0</v>
      </c>
      <c r="F320" s="245" cm="1">
        <f t="array" ref="F320">-SUMPRODUCT(
  desp[data.vencimento] *
  (desp[classificacao]=$B$289) *
  (desp[centro.negocio]=$B320) *
  (desp[parcela]&gt;=F$1) *
  (desp[parcela]&lt;EOMONTH(F$1,0)+1)
)</f>
        <v>0</v>
      </c>
      <c r="G320" s="245" cm="1">
        <f t="array" ref="G320">-SUMPRODUCT(
  desp[data.vencimento] *
  (desp[classificacao]=$B$289) *
  (desp[centro.negocio]=$B320) *
  (desp[parcela]&gt;=G$1) *
  (desp[parcela]&lt;EOMONTH(G$1,0)+1)
)</f>
        <v>0</v>
      </c>
      <c r="H320" s="245" cm="1">
        <f t="array" ref="H320">-SUMPRODUCT(
  desp[data.vencimento] *
  (desp[classificacao]=$B$289) *
  (desp[centro.negocio]=$B320) *
  (desp[parcela]&gt;=H$1) *
  (desp[parcela]&lt;EOMONTH(H$1,0)+1)
)</f>
        <v>0</v>
      </c>
      <c r="I320" s="245" cm="1">
        <f t="array" ref="I320">-SUMPRODUCT(
  desp[data.vencimento] *
  (desp[classificacao]=$B$289) *
  (desp[centro.negocio]=$B320) *
  (desp[parcela]&gt;=I$1) *
  (desp[parcela]&lt;EOMONTH(I$1,0)+1)
)</f>
        <v>0</v>
      </c>
      <c r="J320" s="245" cm="1">
        <f t="array" ref="J320">-SUMPRODUCT(
  desp[data.vencimento] *
  (desp[classificacao]=$B$289) *
  (desp[centro.negocio]=$B320) *
  (desp[parcela]&gt;=J$1) *
  (desp[parcela]&lt;EOMONTH(J$1,0)+1)
)</f>
        <v>0</v>
      </c>
      <c r="K320" s="245" cm="1">
        <f t="array" ref="K320">-SUMPRODUCT(
  desp[data.vencimento] *
  (desp[classificacao]=$B$289) *
  (desp[centro.negocio]=$B320) *
  (desp[parcela]&gt;=K$1) *
  (desp[parcela]&lt;EOMONTH(K$1,0)+1)
)</f>
        <v>0</v>
      </c>
      <c r="L320" s="245" cm="1">
        <f t="array" ref="L320">-SUMPRODUCT(
  desp[data.vencimento] *
  (desp[classificacao]=$B$289) *
  (desp[centro.negocio]=$B320) *
  (desp[parcela]&gt;=L$1) *
  (desp[parcela]&lt;EOMONTH(L$1,0)+1)
)</f>
        <v>0</v>
      </c>
      <c r="M320" s="245" cm="1">
        <f t="array" ref="M320">-SUMPRODUCT(
  desp[data.vencimento] *
  (desp[classificacao]=$B$289) *
  (desp[centro.negocio]=$B320) *
  (desp[parcela]&gt;=M$1) *
  (desp[parcela]&lt;EOMONTH(M$1,0)+1)
)</f>
        <v>0</v>
      </c>
      <c r="N320" s="245" cm="1">
        <f t="array" ref="N320">-SUMPRODUCT(
  desp[data.vencimento] *
  (desp[classificacao]=$B$289) *
  (desp[centro.negocio]=$B320) *
  (desp[parcela]&gt;=N$1) *
  (desp[parcela]&lt;EOMONTH(N$1,0)+1)
)</f>
        <v>0</v>
      </c>
      <c r="O320" s="245" cm="1">
        <f t="array" ref="O320">-SUMPRODUCT(
  desp[data.vencimento] *
  (desp[classificacao]=$B$289) *
  (desp[centro.negocio]=$B320) *
  (desp[parcela]&gt;=O$1) *
  (desp[parcela]&lt;EOMONTH(O$1,0)+1)
)</f>
        <v>0</v>
      </c>
      <c r="P320" s="245" cm="1">
        <f t="array" ref="P320">-SUMPRODUCT(
  desp[data.vencimento] *
  (desp[classificacao]=$B$289) *
  (desp[centro.negocio]=$B320) *
  (desp[parcela]&gt;=P$1) *
  (desp[parcela]&lt;EOMONTH(P$1,0)+1)
)</f>
        <v>0</v>
      </c>
      <c r="Q320" s="245" cm="1">
        <f t="array" ref="Q320">-SUMPRODUCT(
  desp[data.vencimento] *
  (desp[classificacao]=$B$289) *
  (desp[centro.negocio]=$B320) *
  (desp[parcela]&gt;=Q$1) *
  (desp[parcela]&lt;EOMONTH(Q$1,0)+1)
)</f>
        <v>0</v>
      </c>
      <c r="R320" s="245" cm="1">
        <f t="array" ref="R320">-SUMPRODUCT(
  desp[data.vencimento] *
  (desp[classificacao]=$B$289) *
  (desp[centro.negocio]=$B320) *
  (desp[parcela]&gt;=R$1) *
  (desp[parcela]&lt;EOMONTH(R$1,0)+1)
)</f>
        <v>0</v>
      </c>
    </row>
    <row r="321" spans="1:18" outlineLevel="1" x14ac:dyDescent="0.25">
      <c r="A321" s="243" t="s">
        <v>719</v>
      </c>
      <c r="B321" s="254" t="s">
        <v>720</v>
      </c>
      <c r="C321" s="193"/>
      <c r="D321" s="247"/>
      <c r="E321" s="247"/>
      <c r="F321" s="247"/>
      <c r="G321" s="247"/>
      <c r="H321" s="247"/>
      <c r="I321" s="247"/>
      <c r="J321" s="247"/>
      <c r="K321" s="247"/>
      <c r="L321" s="247"/>
      <c r="M321" s="247"/>
      <c r="N321" s="247"/>
      <c r="O321" s="247"/>
      <c r="P321" s="247"/>
      <c r="Q321" s="247"/>
      <c r="R321" s="247"/>
    </row>
    <row r="322" spans="1:18" outlineLevel="1" x14ac:dyDescent="0.25">
      <c r="A322" s="243" t="s">
        <v>721</v>
      </c>
      <c r="B322" s="254" t="s">
        <v>722</v>
      </c>
      <c r="C322" s="193"/>
      <c r="D322" s="247"/>
      <c r="E322" s="247"/>
      <c r="F322" s="247"/>
      <c r="G322" s="247"/>
      <c r="H322" s="247"/>
      <c r="I322" s="247"/>
      <c r="J322" s="247"/>
      <c r="K322" s="247"/>
      <c r="L322" s="247"/>
      <c r="M322" s="247"/>
      <c r="N322" s="247"/>
      <c r="O322" s="247"/>
      <c r="P322" s="247"/>
      <c r="Q322" s="247"/>
      <c r="R322" s="247"/>
    </row>
    <row r="323" spans="1:18" x14ac:dyDescent="0.25">
      <c r="A323" s="236" t="s">
        <v>723</v>
      </c>
      <c r="B323" s="236" t="s">
        <v>724</v>
      </c>
      <c r="C323" s="237"/>
      <c r="D323" s="238">
        <f>D324+D329</f>
        <v>489068.85</v>
      </c>
      <c r="E323" s="238">
        <f t="shared" ref="E323:R323" si="83">E324+E329</f>
        <v>0</v>
      </c>
      <c r="F323" s="238">
        <f t="shared" si="83"/>
        <v>385006.39</v>
      </c>
      <c r="G323" s="238">
        <f t="shared" si="83"/>
        <v>223853.73</v>
      </c>
      <c r="H323" s="238">
        <f t="shared" si="83"/>
        <v>134752.4</v>
      </c>
      <c r="I323" s="238">
        <f t="shared" si="83"/>
        <v>289304.8</v>
      </c>
      <c r="J323" s="238">
        <f t="shared" si="83"/>
        <v>171602.91</v>
      </c>
      <c r="K323" s="238">
        <f t="shared" si="83"/>
        <v>366306.04</v>
      </c>
      <c r="L323" s="238">
        <f t="shared" si="83"/>
        <v>181081.21</v>
      </c>
      <c r="M323" s="238">
        <f t="shared" si="83"/>
        <v>266613.7</v>
      </c>
      <c r="N323" s="238">
        <f t="shared" si="83"/>
        <v>230479.34</v>
      </c>
      <c r="O323" s="238">
        <f t="shared" si="83"/>
        <v>471701.2</v>
      </c>
      <c r="P323" s="238">
        <f t="shared" si="83"/>
        <v>0</v>
      </c>
      <c r="Q323" s="238">
        <f t="shared" ref="Q323" si="84">Q324+Q329</f>
        <v>46792.36</v>
      </c>
      <c r="R323" s="238">
        <f t="shared" si="83"/>
        <v>0</v>
      </c>
    </row>
    <row r="324" spans="1:18" x14ac:dyDescent="0.25">
      <c r="A324" s="240" t="s">
        <v>725</v>
      </c>
      <c r="B324" s="240" t="s">
        <v>726</v>
      </c>
      <c r="C324" s="241"/>
      <c r="D324" s="242">
        <f>D325+D328</f>
        <v>489068.85</v>
      </c>
      <c r="E324" s="242">
        <f t="shared" ref="E324:R324" si="85">E325+E328</f>
        <v>0</v>
      </c>
      <c r="F324" s="242">
        <f t="shared" si="85"/>
        <v>385006.39</v>
      </c>
      <c r="G324" s="242">
        <f t="shared" si="85"/>
        <v>223853.73</v>
      </c>
      <c r="H324" s="242">
        <f t="shared" si="85"/>
        <v>134752.4</v>
      </c>
      <c r="I324" s="242">
        <f t="shared" si="85"/>
        <v>289304.8</v>
      </c>
      <c r="J324" s="242">
        <f t="shared" si="85"/>
        <v>171602.91</v>
      </c>
      <c r="K324" s="242">
        <f t="shared" si="85"/>
        <v>366306.04</v>
      </c>
      <c r="L324" s="242">
        <f t="shared" si="85"/>
        <v>181081.21</v>
      </c>
      <c r="M324" s="242">
        <f t="shared" si="85"/>
        <v>266613.7</v>
      </c>
      <c r="N324" s="242">
        <f t="shared" si="85"/>
        <v>230479.34</v>
      </c>
      <c r="O324" s="242">
        <f t="shared" si="85"/>
        <v>471701.2</v>
      </c>
      <c r="P324" s="242">
        <f t="shared" si="85"/>
        <v>0</v>
      </c>
      <c r="Q324" s="242">
        <f t="shared" ref="Q324" si="86">Q325+Q328</f>
        <v>46792.36</v>
      </c>
      <c r="R324" s="242">
        <f t="shared" si="85"/>
        <v>0</v>
      </c>
    </row>
    <row r="325" spans="1:18" outlineLevel="1" x14ac:dyDescent="0.25">
      <c r="A325" s="243" t="s">
        <v>727</v>
      </c>
      <c r="B325" s="243" t="s">
        <v>728</v>
      </c>
      <c r="C325" s="244" t="s">
        <v>729</v>
      </c>
      <c r="D325" s="245">
        <f>SUM(D326:D327)</f>
        <v>489068.85</v>
      </c>
      <c r="E325" s="245">
        <f t="shared" ref="E325:R325" si="87">SUM(E326:E327)</f>
        <v>0</v>
      </c>
      <c r="F325" s="245">
        <f t="shared" si="87"/>
        <v>385006.39</v>
      </c>
      <c r="G325" s="245">
        <f t="shared" si="87"/>
        <v>223853.73</v>
      </c>
      <c r="H325" s="245">
        <f t="shared" si="87"/>
        <v>134752.4</v>
      </c>
      <c r="I325" s="245">
        <f t="shared" si="87"/>
        <v>289304.8</v>
      </c>
      <c r="J325" s="245">
        <f t="shared" si="87"/>
        <v>171602.91</v>
      </c>
      <c r="K325" s="245">
        <f t="shared" si="87"/>
        <v>366306.04</v>
      </c>
      <c r="L325" s="245">
        <f t="shared" si="87"/>
        <v>181081.21</v>
      </c>
      <c r="M325" s="245">
        <f t="shared" si="87"/>
        <v>266613.7</v>
      </c>
      <c r="N325" s="245">
        <f t="shared" si="87"/>
        <v>230479.34</v>
      </c>
      <c r="O325" s="245">
        <f t="shared" si="87"/>
        <v>471701.2</v>
      </c>
      <c r="P325" s="245">
        <f t="shared" si="87"/>
        <v>0</v>
      </c>
      <c r="Q325" s="245">
        <f t="shared" ref="Q325" si="88">SUM(Q326:Q327)</f>
        <v>46792.36</v>
      </c>
      <c r="R325" s="245">
        <f t="shared" si="87"/>
        <v>0</v>
      </c>
    </row>
    <row r="326" spans="1:18" outlineLevel="2" x14ac:dyDescent="0.25">
      <c r="A326" s="258" t="s">
        <v>730</v>
      </c>
      <c r="B326" s="258" t="s">
        <v>731</v>
      </c>
      <c r="C326" s="244"/>
      <c r="D326" s="245" cm="1">
        <f t="array" ref="D326:Q326">TRANSPOSE(inputs!F$51:F$64)</f>
        <v>489068.85</v>
      </c>
      <c r="E326" s="245">
        <v>0</v>
      </c>
      <c r="F326" s="245">
        <v>385006.39</v>
      </c>
      <c r="G326" s="245">
        <v>223853.73</v>
      </c>
      <c r="H326" s="245">
        <v>134752.4</v>
      </c>
      <c r="I326" s="245">
        <v>289304.8</v>
      </c>
      <c r="J326" s="245">
        <v>171602.91</v>
      </c>
      <c r="K326" s="245">
        <v>366306.04</v>
      </c>
      <c r="L326" s="245">
        <v>181081.21</v>
      </c>
      <c r="M326" s="245">
        <v>266613.7</v>
      </c>
      <c r="N326" s="245">
        <v>230479.34</v>
      </c>
      <c r="O326" s="245">
        <v>471701.2</v>
      </c>
      <c r="P326" s="245">
        <v>0</v>
      </c>
      <c r="Q326" s="245">
        <v>46792.36</v>
      </c>
      <c r="R326" s="245"/>
    </row>
    <row r="327" spans="1:18" outlineLevel="2" x14ac:dyDescent="0.25">
      <c r="A327" s="258" t="s">
        <v>736</v>
      </c>
      <c r="B327" s="258" t="s">
        <v>350</v>
      </c>
      <c r="C327" s="244" t="s">
        <v>737</v>
      </c>
      <c r="D327" s="302"/>
      <c r="E327" s="302"/>
      <c r="F327" s="302"/>
      <c r="G327" s="302"/>
      <c r="H327" s="302"/>
      <c r="I327" s="302"/>
      <c r="J327" s="302"/>
      <c r="K327" s="302"/>
      <c r="L327" s="302"/>
      <c r="M327" s="302"/>
      <c r="N327" s="302"/>
      <c r="O327" s="302"/>
      <c r="P327" s="302"/>
      <c r="Q327" s="302"/>
      <c r="R327" s="302"/>
    </row>
    <row r="328" spans="1:18" outlineLevel="1" x14ac:dyDescent="0.25">
      <c r="A328" s="243" t="s">
        <v>751</v>
      </c>
      <c r="B328" s="254" t="s">
        <v>752</v>
      </c>
      <c r="C328" s="244" t="s">
        <v>522</v>
      </c>
      <c r="D328" s="245"/>
      <c r="E328" s="245"/>
      <c r="F328" s="245"/>
      <c r="G328" s="245"/>
      <c r="H328" s="245"/>
      <c r="I328" s="245"/>
      <c r="J328" s="245"/>
      <c r="K328" s="245"/>
      <c r="L328" s="245"/>
      <c r="M328" s="245"/>
      <c r="N328" s="245"/>
      <c r="O328" s="245"/>
      <c r="P328" s="245"/>
      <c r="Q328" s="245"/>
      <c r="R328" s="245"/>
    </row>
    <row r="329" spans="1:18" x14ac:dyDescent="0.25">
      <c r="A329" s="249" t="s">
        <v>753</v>
      </c>
      <c r="B329" s="249" t="s">
        <v>754</v>
      </c>
      <c r="C329" s="255"/>
      <c r="D329" s="256">
        <f>SUM(D330:D331)</f>
        <v>0</v>
      </c>
      <c r="E329" s="256">
        <f t="shared" ref="E329:R329" si="89">SUM(E330:E331)</f>
        <v>0</v>
      </c>
      <c r="F329" s="256">
        <f t="shared" si="89"/>
        <v>0</v>
      </c>
      <c r="G329" s="256">
        <f t="shared" si="89"/>
        <v>0</v>
      </c>
      <c r="H329" s="256">
        <f t="shared" si="89"/>
        <v>0</v>
      </c>
      <c r="I329" s="256">
        <f t="shared" si="89"/>
        <v>0</v>
      </c>
      <c r="J329" s="256">
        <f t="shared" si="89"/>
        <v>0</v>
      </c>
      <c r="K329" s="256">
        <f t="shared" si="89"/>
        <v>0</v>
      </c>
      <c r="L329" s="256">
        <f t="shared" si="89"/>
        <v>0</v>
      </c>
      <c r="M329" s="256">
        <f t="shared" si="89"/>
        <v>0</v>
      </c>
      <c r="N329" s="256">
        <f t="shared" si="89"/>
        <v>0</v>
      </c>
      <c r="O329" s="256">
        <f t="shared" si="89"/>
        <v>0</v>
      </c>
      <c r="P329" s="256">
        <f t="shared" si="89"/>
        <v>0</v>
      </c>
      <c r="Q329" s="256">
        <f t="shared" ref="Q329" si="90">SUM(Q330:Q331)</f>
        <v>0</v>
      </c>
      <c r="R329" s="256">
        <f t="shared" si="89"/>
        <v>0</v>
      </c>
    </row>
    <row r="330" spans="1:18" outlineLevel="1" x14ac:dyDescent="0.25">
      <c r="A330" s="243" t="s">
        <v>755</v>
      </c>
      <c r="B330" s="248" t="s">
        <v>396</v>
      </c>
      <c r="C330" s="244" t="s">
        <v>522</v>
      </c>
      <c r="D330" s="245" cm="1">
        <f t="array" ref="D330">-SUMPRODUCT(
  desp[data.vencimento] *
  (desp[classificacao]=$B$289) *
  (desp[centro.negocio]=$B330) *
  (desp[parcela]&gt;=D$1) *
  (desp[parcela]&lt;EOMONTH(D$1,0)+1)
)</f>
        <v>0</v>
      </c>
      <c r="E330" s="245" cm="1">
        <f t="array" ref="E330">-SUMPRODUCT(
  desp[data.vencimento] *
  (desp[classificacao]=$B$289) *
  (desp[centro.negocio]=$B330) *
  (desp[parcela]&gt;=E$1) *
  (desp[parcela]&lt;EOMONTH(E$1,0)+1)
)</f>
        <v>0</v>
      </c>
      <c r="F330" s="245" cm="1">
        <f t="array" ref="F330">-SUMPRODUCT(
  desp[data.vencimento] *
  (desp[classificacao]=$B$289) *
  (desp[centro.negocio]=$B330) *
  (desp[parcela]&gt;=F$1) *
  (desp[parcela]&lt;EOMONTH(F$1,0)+1)
)</f>
        <v>0</v>
      </c>
      <c r="G330" s="245" cm="1">
        <f t="array" ref="G330">-SUMPRODUCT(
  desp[data.vencimento] *
  (desp[classificacao]=$B$289) *
  (desp[centro.negocio]=$B330) *
  (desp[parcela]&gt;=G$1) *
  (desp[parcela]&lt;EOMONTH(G$1,0)+1)
)</f>
        <v>0</v>
      </c>
      <c r="H330" s="245" cm="1">
        <f t="array" ref="H330">-SUMPRODUCT(
  desp[data.vencimento] *
  (desp[classificacao]=$B$289) *
  (desp[centro.negocio]=$B330) *
  (desp[parcela]&gt;=H$1) *
  (desp[parcela]&lt;EOMONTH(H$1,0)+1)
)</f>
        <v>0</v>
      </c>
      <c r="I330" s="245" cm="1">
        <f t="array" ref="I330">-SUMPRODUCT(
  desp[data.vencimento] *
  (desp[classificacao]=$B$289) *
  (desp[centro.negocio]=$B330) *
  (desp[parcela]&gt;=I$1) *
  (desp[parcela]&lt;EOMONTH(I$1,0)+1)
)</f>
        <v>0</v>
      </c>
      <c r="J330" s="245" cm="1">
        <f t="array" ref="J330">-SUMPRODUCT(
  desp[data.vencimento] *
  (desp[classificacao]=$B$289) *
  (desp[centro.negocio]=$B330) *
  (desp[parcela]&gt;=J$1) *
  (desp[parcela]&lt;EOMONTH(J$1,0)+1)
)</f>
        <v>0</v>
      </c>
      <c r="K330" s="245" cm="1">
        <f t="array" ref="K330">-SUMPRODUCT(
  desp[data.vencimento] *
  (desp[classificacao]=$B$289) *
  (desp[centro.negocio]=$B330) *
  (desp[parcela]&gt;=K$1) *
  (desp[parcela]&lt;EOMONTH(K$1,0)+1)
)</f>
        <v>0</v>
      </c>
      <c r="L330" s="245" cm="1">
        <f t="array" ref="L330">-SUMPRODUCT(
  desp[data.vencimento] *
  (desp[classificacao]=$B$289) *
  (desp[centro.negocio]=$B330) *
  (desp[parcela]&gt;=L$1) *
  (desp[parcela]&lt;EOMONTH(L$1,0)+1)
)</f>
        <v>0</v>
      </c>
      <c r="M330" s="245" cm="1">
        <f t="array" ref="M330">-SUMPRODUCT(
  desp[data.vencimento] *
  (desp[classificacao]=$B$289) *
  (desp[centro.negocio]=$B330) *
  (desp[parcela]&gt;=M$1) *
  (desp[parcela]&lt;EOMONTH(M$1,0)+1)
)</f>
        <v>0</v>
      </c>
      <c r="N330" s="245" cm="1">
        <f t="array" ref="N330">-SUMPRODUCT(
  desp[data.vencimento] *
  (desp[classificacao]=$B$289) *
  (desp[centro.negocio]=$B330) *
  (desp[parcela]&gt;=N$1) *
  (desp[parcela]&lt;EOMONTH(N$1,0)+1)
)</f>
        <v>0</v>
      </c>
      <c r="O330" s="245" cm="1">
        <f t="array" ref="O330">-SUMPRODUCT(
  desp[data.vencimento] *
  (desp[classificacao]=$B$289) *
  (desp[centro.negocio]=$B330) *
  (desp[parcela]&gt;=O$1) *
  (desp[parcela]&lt;EOMONTH(O$1,0)+1)
)</f>
        <v>0</v>
      </c>
      <c r="P330" s="245" cm="1">
        <f t="array" ref="P330">-SUMPRODUCT(
  desp[data.vencimento] *
  (desp[classificacao]=$B$289) *
  (desp[centro.negocio]=$B330) *
  (desp[parcela]&gt;=P$1) *
  (desp[parcela]&lt;EOMONTH(P$1,0)+1)
)</f>
        <v>0</v>
      </c>
      <c r="Q330" s="245" cm="1">
        <f t="array" ref="Q330">-SUMPRODUCT(
  desp[data.vencimento] *
  (desp[classificacao]=$B$289) *
  (desp[centro.negocio]=$B330) *
  (desp[parcela]&gt;=Q$1) *
  (desp[parcela]&lt;EOMONTH(Q$1,0)+1)
)</f>
        <v>0</v>
      </c>
      <c r="R330" s="245" cm="1">
        <f t="array" ref="R330">-SUMPRODUCT(
  desp[data.vencimento] *
  (desp[classificacao]=$B$289) *
  (desp[centro.negocio]=$B330) *
  (desp[parcela]&gt;=R$1) *
  (desp[parcela]&lt;EOMONTH(R$1,0)+1)
)</f>
        <v>0</v>
      </c>
    </row>
    <row r="331" spans="1:18" outlineLevel="1" x14ac:dyDescent="0.25">
      <c r="A331" s="243" t="s">
        <v>773</v>
      </c>
      <c r="B331" s="254" t="s">
        <v>774</v>
      </c>
      <c r="C331" s="193"/>
      <c r="D331" s="247"/>
      <c r="E331" s="247"/>
      <c r="F331" s="247"/>
      <c r="G331" s="247"/>
      <c r="H331" s="247"/>
      <c r="I331" s="247"/>
      <c r="J331" s="247"/>
      <c r="K331" s="247"/>
      <c r="L331" s="247"/>
      <c r="M331" s="247"/>
      <c r="N331" s="247"/>
      <c r="O331" s="247"/>
      <c r="P331" s="247"/>
      <c r="Q331" s="247"/>
      <c r="R331" s="247"/>
    </row>
    <row r="332" spans="1:18" x14ac:dyDescent="0.25">
      <c r="A332" s="233"/>
      <c r="B332" s="233" t="s">
        <v>775</v>
      </c>
      <c r="C332" s="260"/>
      <c r="D332" s="261">
        <f ca="1">D290+D315+D323</f>
        <v>489068.85</v>
      </c>
      <c r="E332" s="261">
        <f t="shared" ref="E332:R332" ca="1" si="91">E290+E315+E323</f>
        <v>0</v>
      </c>
      <c r="F332" s="261">
        <f t="shared" ca="1" si="91"/>
        <v>385006.39</v>
      </c>
      <c r="G332" s="261">
        <f t="shared" ca="1" si="91"/>
        <v>223853.73</v>
      </c>
      <c r="H332" s="261">
        <f t="shared" ca="1" si="91"/>
        <v>134752.4</v>
      </c>
      <c r="I332" s="261">
        <f t="shared" ca="1" si="91"/>
        <v>289304.8</v>
      </c>
      <c r="J332" s="261">
        <f t="shared" ca="1" si="91"/>
        <v>171602.91</v>
      </c>
      <c r="K332" s="261">
        <f t="shared" ca="1" si="91"/>
        <v>366306.04</v>
      </c>
      <c r="L332" s="261">
        <f t="shared" ca="1" si="91"/>
        <v>181081.21</v>
      </c>
      <c r="M332" s="261">
        <f t="shared" ca="1" si="91"/>
        <v>266613.7</v>
      </c>
      <c r="N332" s="261">
        <f t="shared" ca="1" si="91"/>
        <v>230479.34</v>
      </c>
      <c r="O332" s="261">
        <f t="shared" ca="1" si="91"/>
        <v>471701.2</v>
      </c>
      <c r="P332" s="261">
        <f t="shared" ca="1" si="91"/>
        <v>0</v>
      </c>
      <c r="Q332" s="261">
        <f t="shared" ref="Q332" ca="1" si="92">Q290+Q315+Q323</f>
        <v>46792.36</v>
      </c>
      <c r="R332" s="261">
        <f t="shared" ca="1" si="91"/>
        <v>0</v>
      </c>
    </row>
    <row r="333" spans="1:18" x14ac:dyDescent="0.25">
      <c r="A333" s="305"/>
      <c r="B333" s="305" t="s">
        <v>776</v>
      </c>
      <c r="C333" s="306"/>
      <c r="D333" s="238"/>
      <c r="E333" s="238"/>
      <c r="F333" s="238"/>
      <c r="G333" s="238"/>
      <c r="H333" s="238"/>
      <c r="I333" s="238"/>
      <c r="J333" s="238"/>
      <c r="K333" s="238"/>
      <c r="L333" s="238"/>
      <c r="M333" s="238"/>
      <c r="N333" s="238"/>
      <c r="O333" s="238"/>
      <c r="P333" s="238"/>
      <c r="Q333" s="238"/>
      <c r="R333" s="238"/>
    </row>
    <row r="334" spans="1:18" x14ac:dyDescent="0.25">
      <c r="A334" s="305"/>
      <c r="B334" s="305" t="s">
        <v>777</v>
      </c>
      <c r="C334" s="306"/>
      <c r="D334" s="238"/>
      <c r="E334" s="238"/>
      <c r="F334" s="238"/>
      <c r="G334" s="238"/>
      <c r="H334" s="238"/>
      <c r="I334" s="238"/>
      <c r="J334" s="238"/>
      <c r="K334" s="238"/>
      <c r="L334" s="238"/>
      <c r="M334" s="238"/>
      <c r="N334" s="238"/>
      <c r="O334" s="238"/>
      <c r="P334" s="238"/>
      <c r="Q334" s="238"/>
      <c r="R334" s="238"/>
    </row>
    <row r="335" spans="1:18" x14ac:dyDescent="0.25">
      <c r="A335" s="305"/>
      <c r="B335" s="305" t="s">
        <v>796</v>
      </c>
      <c r="C335" s="306"/>
      <c r="D335" s="238"/>
      <c r="E335" s="238"/>
      <c r="F335" s="238"/>
      <c r="G335" s="238"/>
      <c r="H335" s="238"/>
      <c r="I335" s="238"/>
      <c r="J335" s="238"/>
      <c r="K335" s="238"/>
      <c r="L335" s="238"/>
      <c r="M335" s="238"/>
      <c r="N335" s="238"/>
      <c r="O335" s="238"/>
      <c r="P335" s="238"/>
      <c r="Q335" s="238"/>
      <c r="R335" s="238"/>
    </row>
    <row r="339" spans="1:18" ht="21" x14ac:dyDescent="0.35">
      <c r="A339" s="301" t="s">
        <v>13</v>
      </c>
      <c r="B339" s="301" t="s">
        <v>554</v>
      </c>
    </row>
    <row r="340" spans="1:18" x14ac:dyDescent="0.25">
      <c r="A340" s="236" t="s">
        <v>510</v>
      </c>
      <c r="B340" s="236" t="s">
        <v>511</v>
      </c>
      <c r="C340" s="237"/>
      <c r="D340" s="238">
        <f ca="1">D341+D346</f>
        <v>0</v>
      </c>
      <c r="E340" s="238">
        <f t="shared" ref="E340" ca="1" si="93">E341+E346</f>
        <v>0</v>
      </c>
      <c r="F340" s="238">
        <f t="shared" ref="F340" ca="1" si="94">F341+F346</f>
        <v>0</v>
      </c>
      <c r="G340" s="238">
        <f t="shared" ref="G340" ca="1" si="95">G341+G346</f>
        <v>0</v>
      </c>
      <c r="H340" s="238">
        <f t="shared" ref="H340" ca="1" si="96">H341+H346</f>
        <v>0</v>
      </c>
      <c r="I340" s="238">
        <f t="shared" ref="I340" ca="1" si="97">I341+I346</f>
        <v>0</v>
      </c>
      <c r="J340" s="238">
        <f t="shared" ref="J340" ca="1" si="98">J341+J346</f>
        <v>0</v>
      </c>
      <c r="K340" s="238">
        <f t="shared" ref="K340" ca="1" si="99">K341+K346</f>
        <v>0</v>
      </c>
      <c r="L340" s="238">
        <f t="shared" ref="L340" ca="1" si="100">L341+L346</f>
        <v>0</v>
      </c>
      <c r="M340" s="238">
        <f t="shared" ref="M340" ca="1" si="101">M341+M346</f>
        <v>0</v>
      </c>
      <c r="N340" s="238">
        <f t="shared" ref="N340" ca="1" si="102">N341+N346</f>
        <v>0</v>
      </c>
      <c r="O340" s="238">
        <f t="shared" ref="O340" ca="1" si="103">O341+O346</f>
        <v>0</v>
      </c>
      <c r="P340" s="238">
        <f t="shared" ref="P340" ca="1" si="104">P341+P346</f>
        <v>0</v>
      </c>
      <c r="Q340" s="238">
        <f t="shared" ref="Q340:R340" ca="1" si="105">Q341+Q346</f>
        <v>0</v>
      </c>
      <c r="R340" s="238">
        <f t="shared" ca="1" si="105"/>
        <v>0</v>
      </c>
    </row>
    <row r="341" spans="1:18" x14ac:dyDescent="0.25">
      <c r="A341" s="240" t="s">
        <v>513</v>
      </c>
      <c r="B341" s="240" t="s">
        <v>514</v>
      </c>
      <c r="C341" s="241"/>
      <c r="D341" s="242">
        <f ca="1">SUM(D342:D345)</f>
        <v>0</v>
      </c>
      <c r="E341" s="242">
        <f t="shared" ref="E341" ca="1" si="106">SUM(E342:E345)</f>
        <v>0</v>
      </c>
      <c r="F341" s="242">
        <f t="shared" ref="F341" ca="1" si="107">SUM(F342:F345)</f>
        <v>0</v>
      </c>
      <c r="G341" s="242">
        <f t="shared" ref="G341" ca="1" si="108">SUM(G342:G345)</f>
        <v>0</v>
      </c>
      <c r="H341" s="242">
        <f t="shared" ref="H341" ca="1" si="109">SUM(H342:H345)</f>
        <v>0</v>
      </c>
      <c r="I341" s="242">
        <f t="shared" ref="I341" ca="1" si="110">SUM(I342:I345)</f>
        <v>0</v>
      </c>
      <c r="J341" s="242">
        <f t="shared" ref="J341" ca="1" si="111">SUM(J342:J345)</f>
        <v>0</v>
      </c>
      <c r="K341" s="242">
        <f t="shared" ref="K341" ca="1" si="112">SUM(K342:K345)</f>
        <v>0</v>
      </c>
      <c r="L341" s="242">
        <f t="shared" ref="L341" ca="1" si="113">SUM(L342:L345)</f>
        <v>0</v>
      </c>
      <c r="M341" s="242">
        <f t="shared" ref="M341" ca="1" si="114">SUM(M342:M345)</f>
        <v>0</v>
      </c>
      <c r="N341" s="242">
        <f t="shared" ref="N341" ca="1" si="115">SUM(N342:N345)</f>
        <v>0</v>
      </c>
      <c r="O341" s="242">
        <f t="shared" ref="O341" ca="1" si="116">SUM(O342:O345)</f>
        <v>0</v>
      </c>
      <c r="P341" s="242">
        <f t="shared" ref="P341" ca="1" si="117">SUM(P342:P345)</f>
        <v>0</v>
      </c>
      <c r="Q341" s="242">
        <f t="shared" ref="Q341:R341" ca="1" si="118">SUM(Q342:Q345)</f>
        <v>0</v>
      </c>
      <c r="R341" s="242">
        <f t="shared" ca="1" si="118"/>
        <v>0</v>
      </c>
    </row>
    <row r="342" spans="1:18" outlineLevel="1" x14ac:dyDescent="0.25">
      <c r="A342" s="243" t="s">
        <v>515</v>
      </c>
      <c r="B342" s="243" t="s">
        <v>516</v>
      </c>
      <c r="C342" s="244" t="s">
        <v>482</v>
      </c>
      <c r="D34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34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34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34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34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34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34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34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34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34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34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34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34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34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  <c r="R342" s="245">
        <f ca="1">SUMIFS(rec.uni[2026-03-01],
INDIRECT("rec.uni[natureza]"),"repasse.cef.obra",
INDIRECT("rec.uni[empresa]"),$A$289)+
SUMIFS(rec.uni[2026-03-01],
INDIRECT("rec.uni[natureza]"),"repasse.cef.terreno",
INDIRECT("rec.uni[empresa]"),$A$289)</f>
        <v>0</v>
      </c>
    </row>
    <row r="343" spans="1:18" outlineLevel="1" x14ac:dyDescent="0.25">
      <c r="A343" s="243" t="s">
        <v>521</v>
      </c>
      <c r="B343" s="243" t="s">
        <v>21</v>
      </c>
      <c r="C343" s="244" t="s">
        <v>522</v>
      </c>
      <c r="D343" s="245">
        <f ca="1">SUMIFS(rec.uni[2025-01-01],
INDIRECT("rec.uni[natureza]"),"pro.soluto",
INDIRECT("rec.uni[empresa]"),$A$289)</f>
        <v>0</v>
      </c>
      <c r="E343" s="245">
        <f ca="1">SUMIFS(rec.uni[2025-02-01],
INDIRECT("rec.uni[natureza]"),"pro.soluto",
INDIRECT("rec.uni[empresa]"),$A$289)</f>
        <v>0</v>
      </c>
      <c r="F343" s="245">
        <f ca="1">SUMIFS(rec.uni[2025-03-01],
INDIRECT("rec.uni[natureza]"),"pro.soluto",
INDIRECT("rec.uni[empresa]"),$A$289)</f>
        <v>0</v>
      </c>
      <c r="G343" s="245">
        <f ca="1">SUMIFS(rec.uni[2025-04-01],
INDIRECT("rec.uni[natureza]"),"pro.soluto",
INDIRECT("rec.uni[empresa]"),$A$289)</f>
        <v>0</v>
      </c>
      <c r="H343" s="245">
        <f ca="1">SUMIFS(rec.uni[2025-05-01],
INDIRECT("rec.uni[natureza]"),"pro.soluto",
INDIRECT("rec.uni[empresa]"),$A$289)</f>
        <v>0</v>
      </c>
      <c r="I343" s="245">
        <f ca="1">SUMIFS(rec.uni[2025-06-01],
INDIRECT("rec.uni[natureza]"),"pro.soluto",
INDIRECT("rec.uni[empresa]"),$A$289)</f>
        <v>0</v>
      </c>
      <c r="J343" s="245">
        <f ca="1">SUMIFS(rec.uni[2025-07-01],
INDIRECT("rec.uni[natureza]"),"pro.soluto",
INDIRECT("rec.uni[empresa]"),$A$289)</f>
        <v>0</v>
      </c>
      <c r="K343" s="245">
        <f ca="1">SUMIFS(rec.uni[2025-08-01],
INDIRECT("rec.uni[natureza]"),"pro.soluto",
INDIRECT("rec.uni[empresa]"),$A$289)</f>
        <v>0</v>
      </c>
      <c r="L343" s="245">
        <f ca="1">SUMIFS(rec.uni[2025-09-01],
INDIRECT("rec.uni[natureza]"),"pro.soluto",
INDIRECT("rec.uni[empresa]"),$A$289)</f>
        <v>0</v>
      </c>
      <c r="M343" s="245">
        <f ca="1">SUMIFS(rec.uni[2025-10-01],
INDIRECT("rec.uni[natureza]"),"pro.soluto",
INDIRECT("rec.uni[empresa]"),$A$289)</f>
        <v>0</v>
      </c>
      <c r="N343" s="245">
        <f ca="1">SUMIFS(rec.uni[2025-11-01],
INDIRECT("rec.uni[natureza]"),"pro.soluto",
INDIRECT("rec.uni[empresa]"),$A$289)</f>
        <v>0</v>
      </c>
      <c r="O343" s="245">
        <f ca="1">SUMIFS(rec.uni[2025-12-01],
INDIRECT("rec.uni[natureza]"),"pro.soluto",
INDIRECT("rec.uni[empresa]"),$A$289)</f>
        <v>0</v>
      </c>
      <c r="P343" s="245">
        <f ca="1">SUMIFS(rec.uni[2026-01-01],
INDIRECT("rec.uni[natureza]"),"pro.soluto",
INDIRECT("rec.uni[empresa]"),$A$289)</f>
        <v>0</v>
      </c>
      <c r="Q343" s="245">
        <f ca="1">SUMIFS(rec.uni[2026-02-01],
INDIRECT("rec.uni[natureza]"),"pro.soluto",
INDIRECT("rec.uni[empresa]"),$A$289)</f>
        <v>0</v>
      </c>
      <c r="R343" s="245">
        <f ca="1">SUMIFS(rec.uni[2026-03-01],
INDIRECT("rec.uni[natureza]"),"pro.soluto",
INDIRECT("rec.uni[empresa]"),$A$289)</f>
        <v>0</v>
      </c>
    </row>
    <row r="344" spans="1:18" outlineLevel="1" x14ac:dyDescent="0.25">
      <c r="A344" s="243" t="s">
        <v>530</v>
      </c>
      <c r="B344" s="243" t="s">
        <v>531</v>
      </c>
      <c r="C344" s="244" t="s">
        <v>522</v>
      </c>
      <c r="D344" s="245">
        <f ca="1">SUMIFS(rec.uni[2025-01-01],
INDIRECT("rec.uni[natureza]"),"taxa.extra",
INDIRECT("rec.uni[empresa]"),$A$289)</f>
        <v>0</v>
      </c>
      <c r="E344" s="245">
        <f ca="1">SUMIFS(rec.uni[2025-02-01],
INDIRECT("rec.uni[natureza]"),"taxa.extra",
INDIRECT("rec.uni[empresa]"),$A$289)</f>
        <v>0</v>
      </c>
      <c r="F344" s="245">
        <f ca="1">SUMIFS(rec.uni[2025-03-01],
INDIRECT("rec.uni[natureza]"),"taxa.extra",
INDIRECT("rec.uni[empresa]"),$A$289)</f>
        <v>0</v>
      </c>
      <c r="G344" s="245">
        <f ca="1">SUMIFS(rec.uni[2025-04-01],
INDIRECT("rec.uni[natureza]"),"taxa.extra",
INDIRECT("rec.uni[empresa]"),$A$289)</f>
        <v>0</v>
      </c>
      <c r="H344" s="245">
        <f ca="1">SUMIFS(rec.uni[2025-05-01],
INDIRECT("rec.uni[natureza]"),"taxa.extra",
INDIRECT("rec.uni[empresa]"),$A$289)</f>
        <v>0</v>
      </c>
      <c r="I344" s="245">
        <f ca="1">SUMIFS(rec.uni[2025-06-01],
INDIRECT("rec.uni[natureza]"),"taxa.extra",
INDIRECT("rec.uni[empresa]"),$A$289)</f>
        <v>0</v>
      </c>
      <c r="J344" s="245">
        <f ca="1">SUMIFS(rec.uni[2025-07-01],
INDIRECT("rec.uni[natureza]"),"taxa.extra",
INDIRECT("rec.uni[empresa]"),$A$289)</f>
        <v>0</v>
      </c>
      <c r="K344" s="245">
        <f ca="1">SUMIFS(rec.uni[2025-08-01],
INDIRECT("rec.uni[natureza]"),"taxa.extra",
INDIRECT("rec.uni[empresa]"),$A$289)</f>
        <v>0</v>
      </c>
      <c r="L344" s="245">
        <f ca="1">SUMIFS(rec.uni[2025-09-01],
INDIRECT("rec.uni[natureza]"),"taxa.extra",
INDIRECT("rec.uni[empresa]"),$A$289)</f>
        <v>0</v>
      </c>
      <c r="M344" s="245">
        <f ca="1">SUMIFS(rec.uni[2025-10-01],
INDIRECT("rec.uni[natureza]"),"taxa.extra",
INDIRECT("rec.uni[empresa]"),$A$289)</f>
        <v>0</v>
      </c>
      <c r="N344" s="245">
        <f ca="1">SUMIFS(rec.uni[2025-11-01],
INDIRECT("rec.uni[natureza]"),"taxa.extra",
INDIRECT("rec.uni[empresa]"),$A$289)</f>
        <v>0</v>
      </c>
      <c r="O344" s="245">
        <f ca="1">SUMIFS(rec.uni[2025-12-01],
INDIRECT("rec.uni[natureza]"),"taxa.extra",
INDIRECT("rec.uni[empresa]"),$A$289)</f>
        <v>0</v>
      </c>
      <c r="P344" s="245">
        <f ca="1">SUMIFS(rec.uni[2026-01-01],
INDIRECT("rec.uni[natureza]"),"taxa.extra",
INDIRECT("rec.uni[empresa]"),$A$289)</f>
        <v>0</v>
      </c>
      <c r="Q344" s="245">
        <f ca="1">SUMIFS(rec.uni[2026-02-01],
INDIRECT("rec.uni[natureza]"),"taxa.extra",
INDIRECT("rec.uni[empresa]"),$A$289)</f>
        <v>0</v>
      </c>
      <c r="R344" s="245">
        <f ca="1">SUMIFS(rec.uni[2026-03-01],
INDIRECT("rec.uni[natureza]"),"taxa.extra",
INDIRECT("rec.uni[empresa]"),$A$289)</f>
        <v>0</v>
      </c>
    </row>
    <row r="345" spans="1:18" outlineLevel="1" x14ac:dyDescent="0.25">
      <c r="A345" s="243" t="s">
        <v>539</v>
      </c>
      <c r="B345" s="243" t="s">
        <v>540</v>
      </c>
      <c r="C345" s="244" t="s">
        <v>27</v>
      </c>
      <c r="D345" s="245">
        <v>0</v>
      </c>
      <c r="E345" s="245">
        <v>0</v>
      </c>
      <c r="F345" s="245">
        <v>0</v>
      </c>
      <c r="G345" s="245">
        <v>0</v>
      </c>
      <c r="H345" s="245">
        <v>0</v>
      </c>
      <c r="I345" s="245">
        <v>0</v>
      </c>
      <c r="J345" s="245">
        <v>0</v>
      </c>
      <c r="K345" s="245">
        <v>0</v>
      </c>
      <c r="L345" s="245">
        <v>0</v>
      </c>
      <c r="M345" s="245">
        <v>0</v>
      </c>
      <c r="N345" s="245">
        <v>0</v>
      </c>
      <c r="O345" s="245">
        <v>0</v>
      </c>
      <c r="P345" s="245">
        <v>0</v>
      </c>
      <c r="Q345" s="245">
        <v>0</v>
      </c>
      <c r="R345" s="245">
        <v>0</v>
      </c>
    </row>
    <row r="346" spans="1:18" x14ac:dyDescent="0.25">
      <c r="A346" s="249" t="s">
        <v>542</v>
      </c>
      <c r="B346" s="249" t="s">
        <v>543</v>
      </c>
      <c r="C346" s="250" t="s">
        <v>522</v>
      </c>
      <c r="D346" s="251">
        <f>SUM(D347:D364)</f>
        <v>0</v>
      </c>
      <c r="E346" s="251">
        <f t="shared" ref="E346" si="119">SUM(E347:E364)</f>
        <v>0</v>
      </c>
      <c r="F346" s="251">
        <f t="shared" ref="F346" si="120">SUM(F347:F364)</f>
        <v>0</v>
      </c>
      <c r="G346" s="251">
        <f t="shared" ref="G346" si="121">SUM(G347:G364)</f>
        <v>0</v>
      </c>
      <c r="H346" s="251">
        <f t="shared" ref="H346" si="122">SUM(H347:H364)</f>
        <v>0</v>
      </c>
      <c r="I346" s="251">
        <f t="shared" ref="I346" si="123">SUM(I347:I364)</f>
        <v>0</v>
      </c>
      <c r="J346" s="251">
        <f t="shared" ref="J346" si="124">SUM(J347:J364)</f>
        <v>0</v>
      </c>
      <c r="K346" s="251">
        <f t="shared" ref="K346" si="125">SUM(K347:K364)</f>
        <v>0</v>
      </c>
      <c r="L346" s="251">
        <f t="shared" ref="L346" si="126">SUM(L347:L364)</f>
        <v>0</v>
      </c>
      <c r="M346" s="251">
        <f t="shared" ref="M346" si="127">SUM(M347:M364)</f>
        <v>0</v>
      </c>
      <c r="N346" s="251">
        <f t="shared" ref="N346" si="128">SUM(N347:N364)</f>
        <v>0</v>
      </c>
      <c r="O346" s="251">
        <f t="shared" ref="O346" si="129">SUM(O347:O364)</f>
        <v>0</v>
      </c>
      <c r="P346" s="251">
        <f t="shared" ref="P346" si="130">SUM(P347:P364)</f>
        <v>0</v>
      </c>
      <c r="Q346" s="251">
        <f t="shared" ref="Q346:R346" si="131">SUM(Q347:Q364)</f>
        <v>0</v>
      </c>
      <c r="R346" s="251">
        <f t="shared" si="131"/>
        <v>0</v>
      </c>
    </row>
    <row r="347" spans="1:18" outlineLevel="1" x14ac:dyDescent="0.25">
      <c r="A347" s="243" t="s">
        <v>544</v>
      </c>
      <c r="B347" s="243" t="s">
        <v>358</v>
      </c>
      <c r="C347" s="244" t="s">
        <v>522</v>
      </c>
      <c r="D347" s="245" cm="1">
        <f t="array" ref="D347">-SUMPRODUCT(
  desp[data.vencimento] *
  (desp[classificacao]=$B$289) *
  (desp[centro.negocio]=$B347) *
  (desp[parcela]&gt;=D$1) *
  (desp[parcela]&lt;EOMONTH(D$1,0)+1)
)</f>
        <v>0</v>
      </c>
      <c r="E347" s="245" cm="1">
        <f t="array" ref="E347">-SUMPRODUCT(
  desp[data.vencimento] *
  (desp[classificacao]=$B$289) *
  (desp[centro.negocio]=$B347) *
  (desp[parcela]&gt;=E$1) *
  (desp[parcela]&lt;EOMONTH(E$1,0)+1)
)</f>
        <v>0</v>
      </c>
      <c r="F347" s="245" cm="1">
        <f t="array" ref="F347">-SUMPRODUCT(
  desp[data.vencimento] *
  (desp[classificacao]=$B$289) *
  (desp[centro.negocio]=$B347) *
  (desp[parcela]&gt;=F$1) *
  (desp[parcela]&lt;EOMONTH(F$1,0)+1)
)</f>
        <v>0</v>
      </c>
      <c r="G347" s="245" cm="1">
        <f t="array" ref="G347">-SUMPRODUCT(
  desp[data.vencimento] *
  (desp[classificacao]=$B$289) *
  (desp[centro.negocio]=$B347) *
  (desp[parcela]&gt;=G$1) *
  (desp[parcela]&lt;EOMONTH(G$1,0)+1)
)</f>
        <v>0</v>
      </c>
      <c r="H347" s="245" cm="1">
        <f t="array" ref="H347">-SUMPRODUCT(
  desp[data.vencimento] *
  (desp[classificacao]=$B$289) *
  (desp[centro.negocio]=$B347) *
  (desp[parcela]&gt;=H$1) *
  (desp[parcela]&lt;EOMONTH(H$1,0)+1)
)</f>
        <v>0</v>
      </c>
      <c r="I347" s="245" cm="1">
        <f t="array" ref="I347">-SUMPRODUCT(
  desp[data.vencimento] *
  (desp[classificacao]=$B$289) *
  (desp[centro.negocio]=$B347) *
  (desp[parcela]&gt;=I$1) *
  (desp[parcela]&lt;EOMONTH(I$1,0)+1)
)</f>
        <v>0</v>
      </c>
      <c r="J347" s="245" cm="1">
        <f t="array" ref="J347">-SUMPRODUCT(
  desp[data.vencimento] *
  (desp[classificacao]=$B$289) *
  (desp[centro.negocio]=$B347) *
  (desp[parcela]&gt;=J$1) *
  (desp[parcela]&lt;EOMONTH(J$1,0)+1)
)</f>
        <v>0</v>
      </c>
      <c r="K347" s="245" cm="1">
        <f t="array" ref="K347">-SUMPRODUCT(
  desp[data.vencimento] *
  (desp[classificacao]=$B$289) *
  (desp[centro.negocio]=$B347) *
  (desp[parcela]&gt;=K$1) *
  (desp[parcela]&lt;EOMONTH(K$1,0)+1)
)</f>
        <v>0</v>
      </c>
      <c r="L347" s="245" cm="1">
        <f t="array" ref="L347">-SUMPRODUCT(
  desp[data.vencimento] *
  (desp[classificacao]=$B$289) *
  (desp[centro.negocio]=$B347) *
  (desp[parcela]&gt;=L$1) *
  (desp[parcela]&lt;EOMONTH(L$1,0)+1)
)</f>
        <v>0</v>
      </c>
      <c r="M347" s="245" cm="1">
        <f t="array" ref="M347">-SUMPRODUCT(
  desp[data.vencimento] *
  (desp[classificacao]=$B$289) *
  (desp[centro.negocio]=$B347) *
  (desp[parcela]&gt;=M$1) *
  (desp[parcela]&lt;EOMONTH(M$1,0)+1)
)</f>
        <v>0</v>
      </c>
      <c r="N347" s="245" cm="1">
        <f t="array" ref="N347">-SUMPRODUCT(
  desp[data.vencimento] *
  (desp[classificacao]=$B$289) *
  (desp[centro.negocio]=$B347) *
  (desp[parcela]&gt;=N$1) *
  (desp[parcela]&lt;EOMONTH(N$1,0)+1)
)</f>
        <v>0</v>
      </c>
      <c r="O347" s="245" cm="1">
        <f t="array" ref="O347">-SUMPRODUCT(
  desp[data.vencimento] *
  (desp[classificacao]=$B$289) *
  (desp[centro.negocio]=$B347) *
  (desp[parcela]&gt;=O$1) *
  (desp[parcela]&lt;EOMONTH(O$1,0)+1)
)</f>
        <v>0</v>
      </c>
      <c r="P347" s="245" cm="1">
        <f t="array" ref="P347">-SUMPRODUCT(
  desp[data.vencimento] *
  (desp[classificacao]=$B$289) *
  (desp[centro.negocio]=$B347) *
  (desp[parcela]&gt;=P$1) *
  (desp[parcela]&lt;EOMONTH(P$1,0)+1)
)</f>
        <v>0</v>
      </c>
      <c r="Q347" s="245" cm="1">
        <f t="array" ref="Q347">-SUMPRODUCT(
  desp[data.vencimento] *
  (desp[classificacao]=$B$289) *
  (desp[centro.negocio]=$B347) *
  (desp[parcela]&gt;=Q$1) *
  (desp[parcela]&lt;EOMONTH(Q$1,0)+1)
)</f>
        <v>0</v>
      </c>
      <c r="R347" s="245" cm="1">
        <f t="array" ref="R347">-SUMPRODUCT(
  desp[data.vencimento] *
  (desp[classificacao]=$B$289) *
  (desp[centro.negocio]=$B347) *
  (desp[parcela]&gt;=R$1) *
  (desp[parcela]&lt;EOMONTH(R$1,0)+1)
)</f>
        <v>0</v>
      </c>
    </row>
    <row r="348" spans="1:18" outlineLevel="1" x14ac:dyDescent="0.25">
      <c r="A348" s="243" t="s">
        <v>565</v>
      </c>
      <c r="B348" s="243" t="s">
        <v>398</v>
      </c>
      <c r="C348" s="244" t="s">
        <v>522</v>
      </c>
      <c r="D348" s="245" cm="1">
        <f t="array" ref="D348">-SUMPRODUCT(
  desp[data.vencimento] *
  (desp[classificacao]=$B$289) *
  (desp[centro.negocio]=$B348) *
  (desp[parcela]&gt;=D$1) *
  (desp[parcela]&lt;EOMONTH(D$1,0)+1)
)</f>
        <v>0</v>
      </c>
      <c r="E348" s="245" cm="1">
        <f t="array" ref="E348">-SUMPRODUCT(
  desp[data.vencimento] *
  (desp[classificacao]=$B$289) *
  (desp[centro.negocio]=$B348) *
  (desp[parcela]&gt;=E$1) *
  (desp[parcela]&lt;EOMONTH(E$1,0)+1)
)</f>
        <v>0</v>
      </c>
      <c r="F348" s="245" cm="1">
        <f t="array" ref="F348">-SUMPRODUCT(
  desp[data.vencimento] *
  (desp[classificacao]=$B$289) *
  (desp[centro.negocio]=$B348) *
  (desp[parcela]&gt;=F$1) *
  (desp[parcela]&lt;EOMONTH(F$1,0)+1)
)</f>
        <v>0</v>
      </c>
      <c r="G348" s="245" cm="1">
        <f t="array" ref="G348">-SUMPRODUCT(
  desp[data.vencimento] *
  (desp[classificacao]=$B$289) *
  (desp[centro.negocio]=$B348) *
  (desp[parcela]&gt;=G$1) *
  (desp[parcela]&lt;EOMONTH(G$1,0)+1)
)</f>
        <v>0</v>
      </c>
      <c r="H348" s="245" cm="1">
        <f t="array" ref="H348">-SUMPRODUCT(
  desp[data.vencimento] *
  (desp[classificacao]=$B$289) *
  (desp[centro.negocio]=$B348) *
  (desp[parcela]&gt;=H$1) *
  (desp[parcela]&lt;EOMONTH(H$1,0)+1)
)</f>
        <v>0</v>
      </c>
      <c r="I348" s="245" cm="1">
        <f t="array" ref="I348">-SUMPRODUCT(
  desp[data.vencimento] *
  (desp[classificacao]=$B$289) *
  (desp[centro.negocio]=$B348) *
  (desp[parcela]&gt;=I$1) *
  (desp[parcela]&lt;EOMONTH(I$1,0)+1)
)</f>
        <v>0</v>
      </c>
      <c r="J348" s="245" cm="1">
        <f t="array" ref="J348">-SUMPRODUCT(
  desp[data.vencimento] *
  (desp[classificacao]=$B$289) *
  (desp[centro.negocio]=$B348) *
  (desp[parcela]&gt;=J$1) *
  (desp[parcela]&lt;EOMONTH(J$1,0)+1)
)</f>
        <v>0</v>
      </c>
      <c r="K348" s="245" cm="1">
        <f t="array" ref="K348">-SUMPRODUCT(
  desp[data.vencimento] *
  (desp[classificacao]=$B$289) *
  (desp[centro.negocio]=$B348) *
  (desp[parcela]&gt;=K$1) *
  (desp[parcela]&lt;EOMONTH(K$1,0)+1)
)</f>
        <v>0</v>
      </c>
      <c r="L348" s="245" cm="1">
        <f t="array" ref="L348">-SUMPRODUCT(
  desp[data.vencimento] *
  (desp[classificacao]=$B$289) *
  (desp[centro.negocio]=$B348) *
  (desp[parcela]&gt;=L$1) *
  (desp[parcela]&lt;EOMONTH(L$1,0)+1)
)</f>
        <v>0</v>
      </c>
      <c r="M348" s="245" cm="1">
        <f t="array" ref="M348">-SUMPRODUCT(
  desp[data.vencimento] *
  (desp[classificacao]=$B$289) *
  (desp[centro.negocio]=$B348) *
  (desp[parcela]&gt;=M$1) *
  (desp[parcela]&lt;EOMONTH(M$1,0)+1)
)</f>
        <v>0</v>
      </c>
      <c r="N348" s="245" cm="1">
        <f t="array" ref="N348">-SUMPRODUCT(
  desp[data.vencimento] *
  (desp[classificacao]=$B$289) *
  (desp[centro.negocio]=$B348) *
  (desp[parcela]&gt;=N$1) *
  (desp[parcela]&lt;EOMONTH(N$1,0)+1)
)</f>
        <v>0</v>
      </c>
      <c r="O348" s="245" cm="1">
        <f t="array" ref="O348">-SUMPRODUCT(
  desp[data.vencimento] *
  (desp[classificacao]=$B$289) *
  (desp[centro.negocio]=$B348) *
  (desp[parcela]&gt;=O$1) *
  (desp[parcela]&lt;EOMONTH(O$1,0)+1)
)</f>
        <v>0</v>
      </c>
      <c r="P348" s="245" cm="1">
        <f t="array" ref="P348">-SUMPRODUCT(
  desp[data.vencimento] *
  (desp[classificacao]=$B$289) *
  (desp[centro.negocio]=$B348) *
  (desp[parcela]&gt;=P$1) *
  (desp[parcela]&lt;EOMONTH(P$1,0)+1)
)</f>
        <v>0</v>
      </c>
      <c r="Q348" s="245" cm="1">
        <f t="array" ref="Q348">-SUMPRODUCT(
  desp[data.vencimento] *
  (desp[classificacao]=$B$289) *
  (desp[centro.negocio]=$B348) *
  (desp[parcela]&gt;=Q$1) *
  (desp[parcela]&lt;EOMONTH(Q$1,0)+1)
)</f>
        <v>0</v>
      </c>
      <c r="R348" s="245" cm="1">
        <f t="array" ref="R348">-SUMPRODUCT(
  desp[data.vencimento] *
  (desp[classificacao]=$B$289) *
  (desp[centro.negocio]=$B348) *
  (desp[parcela]&gt;=R$1) *
  (desp[parcela]&lt;EOMONTH(R$1,0)+1)
)</f>
        <v>0</v>
      </c>
    </row>
    <row r="349" spans="1:18" outlineLevel="1" x14ac:dyDescent="0.25">
      <c r="A349" s="243" t="s">
        <v>573</v>
      </c>
      <c r="B349" s="243" t="s">
        <v>356</v>
      </c>
      <c r="C349" s="244" t="s">
        <v>522</v>
      </c>
      <c r="D349" s="245" cm="1">
        <f t="array" ref="D349">-SUMPRODUCT(
  desp[data.vencimento] *
  (desp[classificacao]=$B$289) *
  (desp[centro.negocio]=$B349) *
  (desp[parcela]&gt;=D$1) *
  (desp[parcela]&lt;EOMONTH(D$1,0)+1)
)</f>
        <v>0</v>
      </c>
      <c r="E349" s="245" cm="1">
        <f t="array" ref="E349">-SUMPRODUCT(
  desp[data.vencimento] *
  (desp[classificacao]=$B$289) *
  (desp[centro.negocio]=$B349) *
  (desp[parcela]&gt;=E$1) *
  (desp[parcela]&lt;EOMONTH(E$1,0)+1)
)</f>
        <v>0</v>
      </c>
      <c r="F349" s="245" cm="1">
        <f t="array" ref="F349">-SUMPRODUCT(
  desp[data.vencimento] *
  (desp[classificacao]=$B$289) *
  (desp[centro.negocio]=$B349) *
  (desp[parcela]&gt;=F$1) *
  (desp[parcela]&lt;EOMONTH(F$1,0)+1)
)</f>
        <v>0</v>
      </c>
      <c r="G349" s="245" cm="1">
        <f t="array" ref="G349">-SUMPRODUCT(
  desp[data.vencimento] *
  (desp[classificacao]=$B$289) *
  (desp[centro.negocio]=$B349) *
  (desp[parcela]&gt;=G$1) *
  (desp[parcela]&lt;EOMONTH(G$1,0)+1)
)</f>
        <v>0</v>
      </c>
      <c r="H349" s="245" cm="1">
        <f t="array" ref="H349">-SUMPRODUCT(
  desp[data.vencimento] *
  (desp[classificacao]=$B$289) *
  (desp[centro.negocio]=$B349) *
  (desp[parcela]&gt;=H$1) *
  (desp[parcela]&lt;EOMONTH(H$1,0)+1)
)</f>
        <v>0</v>
      </c>
      <c r="I349" s="245" cm="1">
        <f t="array" ref="I349">-SUMPRODUCT(
  desp[data.vencimento] *
  (desp[classificacao]=$B$289) *
  (desp[centro.negocio]=$B349) *
  (desp[parcela]&gt;=I$1) *
  (desp[parcela]&lt;EOMONTH(I$1,0)+1)
)</f>
        <v>0</v>
      </c>
      <c r="J349" s="245" cm="1">
        <f t="array" ref="J349">-SUMPRODUCT(
  desp[data.vencimento] *
  (desp[classificacao]=$B$289) *
  (desp[centro.negocio]=$B349) *
  (desp[parcela]&gt;=J$1) *
  (desp[parcela]&lt;EOMONTH(J$1,0)+1)
)</f>
        <v>0</v>
      </c>
      <c r="K349" s="245" cm="1">
        <f t="array" ref="K349">-SUMPRODUCT(
  desp[data.vencimento] *
  (desp[classificacao]=$B$289) *
  (desp[centro.negocio]=$B349) *
  (desp[parcela]&gt;=K$1) *
  (desp[parcela]&lt;EOMONTH(K$1,0)+1)
)</f>
        <v>0</v>
      </c>
      <c r="L349" s="245" cm="1">
        <f t="array" ref="L349">-SUMPRODUCT(
  desp[data.vencimento] *
  (desp[classificacao]=$B$289) *
  (desp[centro.negocio]=$B349) *
  (desp[parcela]&gt;=L$1) *
  (desp[parcela]&lt;EOMONTH(L$1,0)+1)
)</f>
        <v>0</v>
      </c>
      <c r="M349" s="245" cm="1">
        <f t="array" ref="M349">-SUMPRODUCT(
  desp[data.vencimento] *
  (desp[classificacao]=$B$289) *
  (desp[centro.negocio]=$B349) *
  (desp[parcela]&gt;=M$1) *
  (desp[parcela]&lt;EOMONTH(M$1,0)+1)
)</f>
        <v>0</v>
      </c>
      <c r="N349" s="245" cm="1">
        <f t="array" ref="N349">-SUMPRODUCT(
  desp[data.vencimento] *
  (desp[classificacao]=$B$289) *
  (desp[centro.negocio]=$B349) *
  (desp[parcela]&gt;=N$1) *
  (desp[parcela]&lt;EOMONTH(N$1,0)+1)
)</f>
        <v>0</v>
      </c>
      <c r="O349" s="245" cm="1">
        <f t="array" ref="O349">-SUMPRODUCT(
  desp[data.vencimento] *
  (desp[classificacao]=$B$289) *
  (desp[centro.negocio]=$B349) *
  (desp[parcela]&gt;=O$1) *
  (desp[parcela]&lt;EOMONTH(O$1,0)+1)
)</f>
        <v>0</v>
      </c>
      <c r="P349" s="245" cm="1">
        <f t="array" ref="P349">-SUMPRODUCT(
  desp[data.vencimento] *
  (desp[classificacao]=$B$289) *
  (desp[centro.negocio]=$B349) *
  (desp[parcela]&gt;=P$1) *
  (desp[parcela]&lt;EOMONTH(P$1,0)+1)
)</f>
        <v>0</v>
      </c>
      <c r="Q349" s="245" cm="1">
        <f t="array" ref="Q349">-SUMPRODUCT(
  desp[data.vencimento] *
  (desp[classificacao]=$B$289) *
  (desp[centro.negocio]=$B349) *
  (desp[parcela]&gt;=Q$1) *
  (desp[parcela]&lt;EOMONTH(Q$1,0)+1)
)</f>
        <v>0</v>
      </c>
      <c r="R349" s="245" cm="1">
        <f t="array" ref="R349">-SUMPRODUCT(
  desp[data.vencimento] *
  (desp[classificacao]=$B$289) *
  (desp[centro.negocio]=$B349) *
  (desp[parcela]&gt;=R$1) *
  (desp[parcela]&lt;EOMONTH(R$1,0)+1)
)</f>
        <v>0</v>
      </c>
    </row>
    <row r="350" spans="1:18" outlineLevel="1" x14ac:dyDescent="0.25">
      <c r="A350" s="243" t="s">
        <v>589</v>
      </c>
      <c r="B350" s="243" t="s">
        <v>343</v>
      </c>
      <c r="C350" s="244" t="s">
        <v>522</v>
      </c>
      <c r="D350" s="245" cm="1">
        <f t="array" ref="D350">-SUMPRODUCT(
  desp[data.vencimento] *
  (desp[classificacao]=$B$289) *
  (desp[centro.negocio]=$B350) *
  (desp[parcela]&gt;=D$1) *
  (desp[parcela]&lt;EOMONTH(D$1,0)+1)
)</f>
        <v>0</v>
      </c>
      <c r="E350" s="245" cm="1">
        <f t="array" ref="E350">-SUMPRODUCT(
  desp[data.vencimento] *
  (desp[classificacao]=$B$289) *
  (desp[centro.negocio]=$B350) *
  (desp[parcela]&gt;=E$1) *
  (desp[parcela]&lt;EOMONTH(E$1,0)+1)
)</f>
        <v>0</v>
      </c>
      <c r="F350" s="245" cm="1">
        <f t="array" ref="F350">-SUMPRODUCT(
  desp[data.vencimento] *
  (desp[classificacao]=$B$289) *
  (desp[centro.negocio]=$B350) *
  (desp[parcela]&gt;=F$1) *
  (desp[parcela]&lt;EOMONTH(F$1,0)+1)
)</f>
        <v>0</v>
      </c>
      <c r="G350" s="245" cm="1">
        <f t="array" ref="G350">-SUMPRODUCT(
  desp[data.vencimento] *
  (desp[classificacao]=$B$289) *
  (desp[centro.negocio]=$B350) *
  (desp[parcela]&gt;=G$1) *
  (desp[parcela]&lt;EOMONTH(G$1,0)+1)
)</f>
        <v>0</v>
      </c>
      <c r="H350" s="245" cm="1">
        <f t="array" ref="H350">-SUMPRODUCT(
  desp[data.vencimento] *
  (desp[classificacao]=$B$289) *
  (desp[centro.negocio]=$B350) *
  (desp[parcela]&gt;=H$1) *
  (desp[parcela]&lt;EOMONTH(H$1,0)+1)
)</f>
        <v>0</v>
      </c>
      <c r="I350" s="245" cm="1">
        <f t="array" ref="I350">-SUMPRODUCT(
  desp[data.vencimento] *
  (desp[classificacao]=$B$289) *
  (desp[centro.negocio]=$B350) *
  (desp[parcela]&gt;=I$1) *
  (desp[parcela]&lt;EOMONTH(I$1,0)+1)
)</f>
        <v>0</v>
      </c>
      <c r="J350" s="245" cm="1">
        <f t="array" ref="J350">-SUMPRODUCT(
  desp[data.vencimento] *
  (desp[classificacao]=$B$289) *
  (desp[centro.negocio]=$B350) *
  (desp[parcela]&gt;=J$1) *
  (desp[parcela]&lt;EOMONTH(J$1,0)+1)
)</f>
        <v>0</v>
      </c>
      <c r="K350" s="245" cm="1">
        <f t="array" ref="K350">-SUMPRODUCT(
  desp[data.vencimento] *
  (desp[classificacao]=$B$289) *
  (desp[centro.negocio]=$B350) *
  (desp[parcela]&gt;=K$1) *
  (desp[parcela]&lt;EOMONTH(K$1,0)+1)
)</f>
        <v>0</v>
      </c>
      <c r="L350" s="245" cm="1">
        <f t="array" ref="L350">-SUMPRODUCT(
  desp[data.vencimento] *
  (desp[classificacao]=$B$289) *
  (desp[centro.negocio]=$B350) *
  (desp[parcela]&gt;=L$1) *
  (desp[parcela]&lt;EOMONTH(L$1,0)+1)
)</f>
        <v>0</v>
      </c>
      <c r="M350" s="245" cm="1">
        <f t="array" ref="M350">-SUMPRODUCT(
  desp[data.vencimento] *
  (desp[classificacao]=$B$289) *
  (desp[centro.negocio]=$B350) *
  (desp[parcela]&gt;=M$1) *
  (desp[parcela]&lt;EOMONTH(M$1,0)+1)
)</f>
        <v>0</v>
      </c>
      <c r="N350" s="245" cm="1">
        <f t="array" ref="N350">-SUMPRODUCT(
  desp[data.vencimento] *
  (desp[classificacao]=$B$289) *
  (desp[centro.negocio]=$B350) *
  (desp[parcela]&gt;=N$1) *
  (desp[parcela]&lt;EOMONTH(N$1,0)+1)
)</f>
        <v>0</v>
      </c>
      <c r="O350" s="245" cm="1">
        <f t="array" ref="O350">-SUMPRODUCT(
  desp[data.vencimento] *
  (desp[classificacao]=$B$289) *
  (desp[centro.negocio]=$B350) *
  (desp[parcela]&gt;=O$1) *
  (desp[parcela]&lt;EOMONTH(O$1,0)+1)
)</f>
        <v>0</v>
      </c>
      <c r="P350" s="245" cm="1">
        <f t="array" ref="P350">-SUMPRODUCT(
  desp[data.vencimento] *
  (desp[classificacao]=$B$289) *
  (desp[centro.negocio]=$B350) *
  (desp[parcela]&gt;=P$1) *
  (desp[parcela]&lt;EOMONTH(P$1,0)+1)
)</f>
        <v>0</v>
      </c>
      <c r="Q350" s="245" cm="1">
        <f t="array" ref="Q350">-SUMPRODUCT(
  desp[data.vencimento] *
  (desp[classificacao]=$B$289) *
  (desp[centro.negocio]=$B350) *
  (desp[parcela]&gt;=Q$1) *
  (desp[parcela]&lt;EOMONTH(Q$1,0)+1)
)</f>
        <v>0</v>
      </c>
      <c r="R350" s="245" cm="1">
        <f t="array" ref="R350">-SUMPRODUCT(
  desp[data.vencimento] *
  (desp[classificacao]=$B$289) *
  (desp[centro.negocio]=$B350) *
  (desp[parcela]&gt;=R$1) *
  (desp[parcela]&lt;EOMONTH(R$1,0)+1)
)</f>
        <v>0</v>
      </c>
    </row>
    <row r="351" spans="1:18" outlineLevel="1" x14ac:dyDescent="0.25">
      <c r="A351" s="243" t="s">
        <v>591</v>
      </c>
      <c r="B351" s="243" t="s">
        <v>380</v>
      </c>
      <c r="C351" s="244" t="s">
        <v>522</v>
      </c>
      <c r="D351" s="245" cm="1">
        <f t="array" ref="D351">-SUMPRODUCT(
  desp[data.vencimento] *
  (desp[classificacao]=$B$289) *
  (desp[centro.negocio]=$B351) *
  (desp[parcela]&gt;=D$1) *
  (desp[parcela]&lt;EOMONTH(D$1,0)+1)
)</f>
        <v>0</v>
      </c>
      <c r="E351" s="245" cm="1">
        <f t="array" ref="E351">-SUMPRODUCT(
  desp[data.vencimento] *
  (desp[classificacao]=$B$289) *
  (desp[centro.negocio]=$B351) *
  (desp[parcela]&gt;=E$1) *
  (desp[parcela]&lt;EOMONTH(E$1,0)+1)
)</f>
        <v>0</v>
      </c>
      <c r="F351" s="245" cm="1">
        <f t="array" ref="F351">-SUMPRODUCT(
  desp[data.vencimento] *
  (desp[classificacao]=$B$289) *
  (desp[centro.negocio]=$B351) *
  (desp[parcela]&gt;=F$1) *
  (desp[parcela]&lt;EOMONTH(F$1,0)+1)
)</f>
        <v>0</v>
      </c>
      <c r="G351" s="245" cm="1">
        <f t="array" ref="G351">-SUMPRODUCT(
  desp[data.vencimento] *
  (desp[classificacao]=$B$289) *
  (desp[centro.negocio]=$B351) *
  (desp[parcela]&gt;=G$1) *
  (desp[parcela]&lt;EOMONTH(G$1,0)+1)
)</f>
        <v>0</v>
      </c>
      <c r="H351" s="245" cm="1">
        <f t="array" ref="H351">-SUMPRODUCT(
  desp[data.vencimento] *
  (desp[classificacao]=$B$289) *
  (desp[centro.negocio]=$B351) *
  (desp[parcela]&gt;=H$1) *
  (desp[parcela]&lt;EOMONTH(H$1,0)+1)
)</f>
        <v>0</v>
      </c>
      <c r="I351" s="245" cm="1">
        <f t="array" ref="I351">-SUMPRODUCT(
  desp[data.vencimento] *
  (desp[classificacao]=$B$289) *
  (desp[centro.negocio]=$B351) *
  (desp[parcela]&gt;=I$1) *
  (desp[parcela]&lt;EOMONTH(I$1,0)+1)
)</f>
        <v>0</v>
      </c>
      <c r="J351" s="245" cm="1">
        <f t="array" ref="J351">-SUMPRODUCT(
  desp[data.vencimento] *
  (desp[classificacao]=$B$289) *
  (desp[centro.negocio]=$B351) *
  (desp[parcela]&gt;=J$1) *
  (desp[parcela]&lt;EOMONTH(J$1,0)+1)
)</f>
        <v>0</v>
      </c>
      <c r="K351" s="245" cm="1">
        <f t="array" ref="K351">-SUMPRODUCT(
  desp[data.vencimento] *
  (desp[classificacao]=$B$289) *
  (desp[centro.negocio]=$B351) *
  (desp[parcela]&gt;=K$1) *
  (desp[parcela]&lt;EOMONTH(K$1,0)+1)
)</f>
        <v>0</v>
      </c>
      <c r="L351" s="245" cm="1">
        <f t="array" ref="L351">-SUMPRODUCT(
  desp[data.vencimento] *
  (desp[classificacao]=$B$289) *
  (desp[centro.negocio]=$B351) *
  (desp[parcela]&gt;=L$1) *
  (desp[parcela]&lt;EOMONTH(L$1,0)+1)
)</f>
        <v>0</v>
      </c>
      <c r="M351" s="245" cm="1">
        <f t="array" ref="M351">-SUMPRODUCT(
  desp[data.vencimento] *
  (desp[classificacao]=$B$289) *
  (desp[centro.negocio]=$B351) *
  (desp[parcela]&gt;=M$1) *
  (desp[parcela]&lt;EOMONTH(M$1,0)+1)
)</f>
        <v>0</v>
      </c>
      <c r="N351" s="245" cm="1">
        <f t="array" ref="N351">-SUMPRODUCT(
  desp[data.vencimento] *
  (desp[classificacao]=$B$289) *
  (desp[centro.negocio]=$B351) *
  (desp[parcela]&gt;=N$1) *
  (desp[parcela]&lt;EOMONTH(N$1,0)+1)
)</f>
        <v>0</v>
      </c>
      <c r="O351" s="245" cm="1">
        <f t="array" ref="O351">-SUMPRODUCT(
  desp[data.vencimento] *
  (desp[classificacao]=$B$289) *
  (desp[centro.negocio]=$B351) *
  (desp[parcela]&gt;=O$1) *
  (desp[parcela]&lt;EOMONTH(O$1,0)+1)
)</f>
        <v>0</v>
      </c>
      <c r="P351" s="245" cm="1">
        <f t="array" ref="P351">-SUMPRODUCT(
  desp[data.vencimento] *
  (desp[classificacao]=$B$289) *
  (desp[centro.negocio]=$B351) *
  (desp[parcela]&gt;=P$1) *
  (desp[parcela]&lt;EOMONTH(P$1,0)+1)
)</f>
        <v>0</v>
      </c>
      <c r="Q351" s="245" cm="1">
        <f t="array" ref="Q351">-SUMPRODUCT(
  desp[data.vencimento] *
  (desp[classificacao]=$B$289) *
  (desp[centro.negocio]=$B351) *
  (desp[parcela]&gt;=Q$1) *
  (desp[parcela]&lt;EOMONTH(Q$1,0)+1)
)</f>
        <v>0</v>
      </c>
      <c r="R351" s="245" cm="1">
        <f t="array" ref="R351">-SUMPRODUCT(
  desp[data.vencimento] *
  (desp[classificacao]=$B$289) *
  (desp[centro.negocio]=$B351) *
  (desp[parcela]&gt;=R$1) *
  (desp[parcela]&lt;EOMONTH(R$1,0)+1)
)</f>
        <v>0</v>
      </c>
    </row>
    <row r="352" spans="1:18" outlineLevel="1" x14ac:dyDescent="0.25">
      <c r="A352" s="243" t="s">
        <v>597</v>
      </c>
      <c r="B352" s="243" t="s">
        <v>375</v>
      </c>
      <c r="C352" s="244" t="s">
        <v>522</v>
      </c>
      <c r="D352" s="245" cm="1">
        <f t="array" ref="D352">-SUMPRODUCT(
  desp[data.vencimento] *
  (desp[classificacao]=$B$289) *
  (desp[centro.negocio]=$B352) *
  (desp[parcela]&gt;=D$1) *
  (desp[parcela]&lt;EOMONTH(D$1,0)+1)
)</f>
        <v>0</v>
      </c>
      <c r="E352" s="245" cm="1">
        <f t="array" ref="E352">-SUMPRODUCT(
  desp[data.vencimento] *
  (desp[classificacao]=$B$289) *
  (desp[centro.negocio]=$B352) *
  (desp[parcela]&gt;=E$1) *
  (desp[parcela]&lt;EOMONTH(E$1,0)+1)
)</f>
        <v>0</v>
      </c>
      <c r="F352" s="245" cm="1">
        <f t="array" ref="F352">-SUMPRODUCT(
  desp[data.vencimento] *
  (desp[classificacao]=$B$289) *
  (desp[centro.negocio]=$B352) *
  (desp[parcela]&gt;=F$1) *
  (desp[parcela]&lt;EOMONTH(F$1,0)+1)
)</f>
        <v>0</v>
      </c>
      <c r="G352" s="245" cm="1">
        <f t="array" ref="G352">-SUMPRODUCT(
  desp[data.vencimento] *
  (desp[classificacao]=$B$289) *
  (desp[centro.negocio]=$B352) *
  (desp[parcela]&gt;=G$1) *
  (desp[parcela]&lt;EOMONTH(G$1,0)+1)
)</f>
        <v>0</v>
      </c>
      <c r="H352" s="245" cm="1">
        <f t="array" ref="H352">-SUMPRODUCT(
  desp[data.vencimento] *
  (desp[classificacao]=$B$289) *
  (desp[centro.negocio]=$B352) *
  (desp[parcela]&gt;=H$1) *
  (desp[parcela]&lt;EOMONTH(H$1,0)+1)
)</f>
        <v>0</v>
      </c>
      <c r="I352" s="245" cm="1">
        <f t="array" ref="I352">-SUMPRODUCT(
  desp[data.vencimento] *
  (desp[classificacao]=$B$289) *
  (desp[centro.negocio]=$B352) *
  (desp[parcela]&gt;=I$1) *
  (desp[parcela]&lt;EOMONTH(I$1,0)+1)
)</f>
        <v>0</v>
      </c>
      <c r="J352" s="245" cm="1">
        <f t="array" ref="J352">-SUMPRODUCT(
  desp[data.vencimento] *
  (desp[classificacao]=$B$289) *
  (desp[centro.negocio]=$B352) *
  (desp[parcela]&gt;=J$1) *
  (desp[parcela]&lt;EOMONTH(J$1,0)+1)
)</f>
        <v>0</v>
      </c>
      <c r="K352" s="245" cm="1">
        <f t="array" ref="K352">-SUMPRODUCT(
  desp[data.vencimento] *
  (desp[classificacao]=$B$289) *
  (desp[centro.negocio]=$B352) *
  (desp[parcela]&gt;=K$1) *
  (desp[parcela]&lt;EOMONTH(K$1,0)+1)
)</f>
        <v>0</v>
      </c>
      <c r="L352" s="245" cm="1">
        <f t="array" ref="L352">-SUMPRODUCT(
  desp[data.vencimento] *
  (desp[classificacao]=$B$289) *
  (desp[centro.negocio]=$B352) *
  (desp[parcela]&gt;=L$1) *
  (desp[parcela]&lt;EOMONTH(L$1,0)+1)
)</f>
        <v>0</v>
      </c>
      <c r="M352" s="245" cm="1">
        <f t="array" ref="M352">-SUMPRODUCT(
  desp[data.vencimento] *
  (desp[classificacao]=$B$289) *
  (desp[centro.negocio]=$B352) *
  (desp[parcela]&gt;=M$1) *
  (desp[parcela]&lt;EOMONTH(M$1,0)+1)
)</f>
        <v>0</v>
      </c>
      <c r="N352" s="245" cm="1">
        <f t="array" ref="N352">-SUMPRODUCT(
  desp[data.vencimento] *
  (desp[classificacao]=$B$289) *
  (desp[centro.negocio]=$B352) *
  (desp[parcela]&gt;=N$1) *
  (desp[parcela]&lt;EOMONTH(N$1,0)+1)
)</f>
        <v>0</v>
      </c>
      <c r="O352" s="245" cm="1">
        <f t="array" ref="O352">-SUMPRODUCT(
  desp[data.vencimento] *
  (desp[classificacao]=$B$289) *
  (desp[centro.negocio]=$B352) *
  (desp[parcela]&gt;=O$1) *
  (desp[parcela]&lt;EOMONTH(O$1,0)+1)
)</f>
        <v>0</v>
      </c>
      <c r="P352" s="245" cm="1">
        <f t="array" ref="P352">-SUMPRODUCT(
  desp[data.vencimento] *
  (desp[classificacao]=$B$289) *
  (desp[centro.negocio]=$B352) *
  (desp[parcela]&gt;=P$1) *
  (desp[parcela]&lt;EOMONTH(P$1,0)+1)
)</f>
        <v>0</v>
      </c>
      <c r="Q352" s="245" cm="1">
        <f t="array" ref="Q352">-SUMPRODUCT(
  desp[data.vencimento] *
  (desp[classificacao]=$B$289) *
  (desp[centro.negocio]=$B352) *
  (desp[parcela]&gt;=Q$1) *
  (desp[parcela]&lt;EOMONTH(Q$1,0)+1)
)</f>
        <v>0</v>
      </c>
      <c r="R352" s="245" cm="1">
        <f t="array" ref="R352">-SUMPRODUCT(
  desp[data.vencimento] *
  (desp[classificacao]=$B$289) *
  (desp[centro.negocio]=$B352) *
  (desp[parcela]&gt;=R$1) *
  (desp[parcela]&lt;EOMONTH(R$1,0)+1)
)</f>
        <v>0</v>
      </c>
    </row>
    <row r="353" spans="1:18" outlineLevel="1" x14ac:dyDescent="0.25">
      <c r="A353" s="243" t="s">
        <v>599</v>
      </c>
      <c r="B353" s="243" t="s">
        <v>376</v>
      </c>
      <c r="C353" s="244" t="s">
        <v>522</v>
      </c>
      <c r="D353" s="245" cm="1">
        <f t="array" ref="D353">-SUMPRODUCT(
  desp[data.vencimento] *
  (desp[classificacao]=$B$289) *
  (desp[centro.negocio]=$B353) *
  (desp[parcela]&gt;=D$1) *
  (desp[parcela]&lt;EOMONTH(D$1,0)+1)
)</f>
        <v>0</v>
      </c>
      <c r="E353" s="245" cm="1">
        <f t="array" ref="E353">-SUMPRODUCT(
  desp[data.vencimento] *
  (desp[classificacao]=$B$289) *
  (desp[centro.negocio]=$B353) *
  (desp[parcela]&gt;=E$1) *
  (desp[parcela]&lt;EOMONTH(E$1,0)+1)
)</f>
        <v>0</v>
      </c>
      <c r="F353" s="245" cm="1">
        <f t="array" ref="F353">-SUMPRODUCT(
  desp[data.vencimento] *
  (desp[classificacao]=$B$289) *
  (desp[centro.negocio]=$B353) *
  (desp[parcela]&gt;=F$1) *
  (desp[parcela]&lt;EOMONTH(F$1,0)+1)
)</f>
        <v>0</v>
      </c>
      <c r="G353" s="245" cm="1">
        <f t="array" ref="G353">-SUMPRODUCT(
  desp[data.vencimento] *
  (desp[classificacao]=$B$289) *
  (desp[centro.negocio]=$B353) *
  (desp[parcela]&gt;=G$1) *
  (desp[parcela]&lt;EOMONTH(G$1,0)+1)
)</f>
        <v>0</v>
      </c>
      <c r="H353" s="245" cm="1">
        <f t="array" ref="H353">-SUMPRODUCT(
  desp[data.vencimento] *
  (desp[classificacao]=$B$289) *
  (desp[centro.negocio]=$B353) *
  (desp[parcela]&gt;=H$1) *
  (desp[parcela]&lt;EOMONTH(H$1,0)+1)
)</f>
        <v>0</v>
      </c>
      <c r="I353" s="245" cm="1">
        <f t="array" ref="I353">-SUMPRODUCT(
  desp[data.vencimento] *
  (desp[classificacao]=$B$289) *
  (desp[centro.negocio]=$B353) *
  (desp[parcela]&gt;=I$1) *
  (desp[parcela]&lt;EOMONTH(I$1,0)+1)
)</f>
        <v>0</v>
      </c>
      <c r="J353" s="245" cm="1">
        <f t="array" ref="J353">-SUMPRODUCT(
  desp[data.vencimento] *
  (desp[classificacao]=$B$289) *
  (desp[centro.negocio]=$B353) *
  (desp[parcela]&gt;=J$1) *
  (desp[parcela]&lt;EOMONTH(J$1,0)+1)
)</f>
        <v>0</v>
      </c>
      <c r="K353" s="245" cm="1">
        <f t="array" ref="K353">-SUMPRODUCT(
  desp[data.vencimento] *
  (desp[classificacao]=$B$289) *
  (desp[centro.negocio]=$B353) *
  (desp[parcela]&gt;=K$1) *
  (desp[parcela]&lt;EOMONTH(K$1,0)+1)
)</f>
        <v>0</v>
      </c>
      <c r="L353" s="245" cm="1">
        <f t="array" ref="L353">-SUMPRODUCT(
  desp[data.vencimento] *
  (desp[classificacao]=$B$289) *
  (desp[centro.negocio]=$B353) *
  (desp[parcela]&gt;=L$1) *
  (desp[parcela]&lt;EOMONTH(L$1,0)+1)
)</f>
        <v>0</v>
      </c>
      <c r="M353" s="245" cm="1">
        <f t="array" ref="M353">-SUMPRODUCT(
  desp[data.vencimento] *
  (desp[classificacao]=$B$289) *
  (desp[centro.negocio]=$B353) *
  (desp[parcela]&gt;=M$1) *
  (desp[parcela]&lt;EOMONTH(M$1,0)+1)
)</f>
        <v>0</v>
      </c>
      <c r="N353" s="245" cm="1">
        <f t="array" ref="N353">-SUMPRODUCT(
  desp[data.vencimento] *
  (desp[classificacao]=$B$289) *
  (desp[centro.negocio]=$B353) *
  (desp[parcela]&gt;=N$1) *
  (desp[parcela]&lt;EOMONTH(N$1,0)+1)
)</f>
        <v>0</v>
      </c>
      <c r="O353" s="245" cm="1">
        <f t="array" ref="O353">-SUMPRODUCT(
  desp[data.vencimento] *
  (desp[classificacao]=$B$289) *
  (desp[centro.negocio]=$B353) *
  (desp[parcela]&gt;=O$1) *
  (desp[parcela]&lt;EOMONTH(O$1,0)+1)
)</f>
        <v>0</v>
      </c>
      <c r="P353" s="245" cm="1">
        <f t="array" ref="P353">-SUMPRODUCT(
  desp[data.vencimento] *
  (desp[classificacao]=$B$289) *
  (desp[centro.negocio]=$B353) *
  (desp[parcela]&gt;=P$1) *
  (desp[parcela]&lt;EOMONTH(P$1,0)+1)
)</f>
        <v>0</v>
      </c>
      <c r="Q353" s="245" cm="1">
        <f t="array" ref="Q353">-SUMPRODUCT(
  desp[data.vencimento] *
  (desp[classificacao]=$B$289) *
  (desp[centro.negocio]=$B353) *
  (desp[parcela]&gt;=Q$1) *
  (desp[parcela]&lt;EOMONTH(Q$1,0)+1)
)</f>
        <v>0</v>
      </c>
      <c r="R353" s="245" cm="1">
        <f t="array" ref="R353">-SUMPRODUCT(
  desp[data.vencimento] *
  (desp[classificacao]=$B$289) *
  (desp[centro.negocio]=$B353) *
  (desp[parcela]&gt;=R$1) *
  (desp[parcela]&lt;EOMONTH(R$1,0)+1)
)</f>
        <v>0</v>
      </c>
    </row>
    <row r="354" spans="1:18" outlineLevel="1" x14ac:dyDescent="0.25">
      <c r="A354" s="243" t="s">
        <v>601</v>
      </c>
      <c r="B354" s="243" t="s">
        <v>374</v>
      </c>
      <c r="C354" s="244" t="s">
        <v>522</v>
      </c>
      <c r="D354" s="245" cm="1">
        <f t="array" ref="D354">-SUMPRODUCT(
  desp[data.vencimento] *
  (desp[classificacao]=$B$289) *
  (desp[centro.negocio]=$B354) *
  (desp[parcela]&gt;=D$1) *
  (desp[parcela]&lt;EOMONTH(D$1,0)+1)
)</f>
        <v>0</v>
      </c>
      <c r="E354" s="245" cm="1">
        <f t="array" ref="E354">-SUMPRODUCT(
  desp[data.vencimento] *
  (desp[classificacao]=$B$289) *
  (desp[centro.negocio]=$B354) *
  (desp[parcela]&gt;=E$1) *
  (desp[parcela]&lt;EOMONTH(E$1,0)+1)
)</f>
        <v>0</v>
      </c>
      <c r="F354" s="245" cm="1">
        <f t="array" ref="F354">-SUMPRODUCT(
  desp[data.vencimento] *
  (desp[classificacao]=$B$289) *
  (desp[centro.negocio]=$B354) *
  (desp[parcela]&gt;=F$1) *
  (desp[parcela]&lt;EOMONTH(F$1,0)+1)
)</f>
        <v>0</v>
      </c>
      <c r="G354" s="245" cm="1">
        <f t="array" ref="G354">-SUMPRODUCT(
  desp[data.vencimento] *
  (desp[classificacao]=$B$289) *
  (desp[centro.negocio]=$B354) *
  (desp[parcela]&gt;=G$1) *
  (desp[parcela]&lt;EOMONTH(G$1,0)+1)
)</f>
        <v>0</v>
      </c>
      <c r="H354" s="245" cm="1">
        <f t="array" ref="H354">-SUMPRODUCT(
  desp[data.vencimento] *
  (desp[classificacao]=$B$289) *
  (desp[centro.negocio]=$B354) *
  (desp[parcela]&gt;=H$1) *
  (desp[parcela]&lt;EOMONTH(H$1,0)+1)
)</f>
        <v>0</v>
      </c>
      <c r="I354" s="245" cm="1">
        <f t="array" ref="I354">-SUMPRODUCT(
  desp[data.vencimento] *
  (desp[classificacao]=$B$289) *
  (desp[centro.negocio]=$B354) *
  (desp[parcela]&gt;=I$1) *
  (desp[parcela]&lt;EOMONTH(I$1,0)+1)
)</f>
        <v>0</v>
      </c>
      <c r="J354" s="245" cm="1">
        <f t="array" ref="J354">-SUMPRODUCT(
  desp[data.vencimento] *
  (desp[classificacao]=$B$289) *
  (desp[centro.negocio]=$B354) *
  (desp[parcela]&gt;=J$1) *
  (desp[parcela]&lt;EOMONTH(J$1,0)+1)
)</f>
        <v>0</v>
      </c>
      <c r="K354" s="245" cm="1">
        <f t="array" ref="K354">-SUMPRODUCT(
  desp[data.vencimento] *
  (desp[classificacao]=$B$289) *
  (desp[centro.negocio]=$B354) *
  (desp[parcela]&gt;=K$1) *
  (desp[parcela]&lt;EOMONTH(K$1,0)+1)
)</f>
        <v>0</v>
      </c>
      <c r="L354" s="245" cm="1">
        <f t="array" ref="L354">-SUMPRODUCT(
  desp[data.vencimento] *
  (desp[classificacao]=$B$289) *
  (desp[centro.negocio]=$B354) *
  (desp[parcela]&gt;=L$1) *
  (desp[parcela]&lt;EOMONTH(L$1,0)+1)
)</f>
        <v>0</v>
      </c>
      <c r="M354" s="245" cm="1">
        <f t="array" ref="M354">-SUMPRODUCT(
  desp[data.vencimento] *
  (desp[classificacao]=$B$289) *
  (desp[centro.negocio]=$B354) *
  (desp[parcela]&gt;=M$1) *
  (desp[parcela]&lt;EOMONTH(M$1,0)+1)
)</f>
        <v>0</v>
      </c>
      <c r="N354" s="245" cm="1">
        <f t="array" ref="N354">-SUMPRODUCT(
  desp[data.vencimento] *
  (desp[classificacao]=$B$289) *
  (desp[centro.negocio]=$B354) *
  (desp[parcela]&gt;=N$1) *
  (desp[parcela]&lt;EOMONTH(N$1,0)+1)
)</f>
        <v>0</v>
      </c>
      <c r="O354" s="245" cm="1">
        <f t="array" ref="O354">-SUMPRODUCT(
  desp[data.vencimento] *
  (desp[classificacao]=$B$289) *
  (desp[centro.negocio]=$B354) *
  (desp[parcela]&gt;=O$1) *
  (desp[parcela]&lt;EOMONTH(O$1,0)+1)
)</f>
        <v>0</v>
      </c>
      <c r="P354" s="245" cm="1">
        <f t="array" ref="P354">-SUMPRODUCT(
  desp[data.vencimento] *
  (desp[classificacao]=$B$289) *
  (desp[centro.negocio]=$B354) *
  (desp[parcela]&gt;=P$1) *
  (desp[parcela]&lt;EOMONTH(P$1,0)+1)
)</f>
        <v>0</v>
      </c>
      <c r="Q354" s="245" cm="1">
        <f t="array" ref="Q354">-SUMPRODUCT(
  desp[data.vencimento] *
  (desp[classificacao]=$B$289) *
  (desp[centro.negocio]=$B354) *
  (desp[parcela]&gt;=Q$1) *
  (desp[parcela]&lt;EOMONTH(Q$1,0)+1)
)</f>
        <v>0</v>
      </c>
      <c r="R354" s="245" cm="1">
        <f t="array" ref="R354">-SUMPRODUCT(
  desp[data.vencimento] *
  (desp[classificacao]=$B$289) *
  (desp[centro.negocio]=$B354) *
  (desp[parcela]&gt;=R$1) *
  (desp[parcela]&lt;EOMONTH(R$1,0)+1)
)</f>
        <v>0</v>
      </c>
    </row>
    <row r="355" spans="1:18" outlineLevel="1" x14ac:dyDescent="0.25">
      <c r="A355" s="243" t="s">
        <v>603</v>
      </c>
      <c r="B355" s="243" t="s">
        <v>381</v>
      </c>
      <c r="C355" s="244" t="s">
        <v>522</v>
      </c>
      <c r="D355" s="245" cm="1">
        <f t="array" ref="D355">-SUMPRODUCT(
  desp[data.vencimento] *
  (desp[classificacao]=$B$289) *
  (desp[centro.negocio]=$B355) *
  (desp[parcela]&gt;=D$1) *
  (desp[parcela]&lt;EOMONTH(D$1,0)+1)
)</f>
        <v>0</v>
      </c>
      <c r="E355" s="245" cm="1">
        <f t="array" ref="E355">-SUMPRODUCT(
  desp[data.vencimento] *
  (desp[classificacao]=$B$289) *
  (desp[centro.negocio]=$B355) *
  (desp[parcela]&gt;=E$1) *
  (desp[parcela]&lt;EOMONTH(E$1,0)+1)
)</f>
        <v>0</v>
      </c>
      <c r="F355" s="245" cm="1">
        <f t="array" ref="F355">-SUMPRODUCT(
  desp[data.vencimento] *
  (desp[classificacao]=$B$289) *
  (desp[centro.negocio]=$B355) *
  (desp[parcela]&gt;=F$1) *
  (desp[parcela]&lt;EOMONTH(F$1,0)+1)
)</f>
        <v>0</v>
      </c>
      <c r="G355" s="245" cm="1">
        <f t="array" ref="G355">-SUMPRODUCT(
  desp[data.vencimento] *
  (desp[classificacao]=$B$289) *
  (desp[centro.negocio]=$B355) *
  (desp[parcela]&gt;=G$1) *
  (desp[parcela]&lt;EOMONTH(G$1,0)+1)
)</f>
        <v>0</v>
      </c>
      <c r="H355" s="245" cm="1">
        <f t="array" ref="H355">-SUMPRODUCT(
  desp[data.vencimento] *
  (desp[classificacao]=$B$289) *
  (desp[centro.negocio]=$B355) *
  (desp[parcela]&gt;=H$1) *
  (desp[parcela]&lt;EOMONTH(H$1,0)+1)
)</f>
        <v>0</v>
      </c>
      <c r="I355" s="245" cm="1">
        <f t="array" ref="I355">-SUMPRODUCT(
  desp[data.vencimento] *
  (desp[classificacao]=$B$289) *
  (desp[centro.negocio]=$B355) *
  (desp[parcela]&gt;=I$1) *
  (desp[parcela]&lt;EOMONTH(I$1,0)+1)
)</f>
        <v>0</v>
      </c>
      <c r="J355" s="245" cm="1">
        <f t="array" ref="J355">-SUMPRODUCT(
  desp[data.vencimento] *
  (desp[classificacao]=$B$289) *
  (desp[centro.negocio]=$B355) *
  (desp[parcela]&gt;=J$1) *
  (desp[parcela]&lt;EOMONTH(J$1,0)+1)
)</f>
        <v>0</v>
      </c>
      <c r="K355" s="245" cm="1">
        <f t="array" ref="K355">-SUMPRODUCT(
  desp[data.vencimento] *
  (desp[classificacao]=$B$289) *
  (desp[centro.negocio]=$B355) *
  (desp[parcela]&gt;=K$1) *
  (desp[parcela]&lt;EOMONTH(K$1,0)+1)
)</f>
        <v>0</v>
      </c>
      <c r="L355" s="245" cm="1">
        <f t="array" ref="L355">-SUMPRODUCT(
  desp[data.vencimento] *
  (desp[classificacao]=$B$289) *
  (desp[centro.negocio]=$B355) *
  (desp[parcela]&gt;=L$1) *
  (desp[parcela]&lt;EOMONTH(L$1,0)+1)
)</f>
        <v>0</v>
      </c>
      <c r="M355" s="245" cm="1">
        <f t="array" ref="M355">-SUMPRODUCT(
  desp[data.vencimento] *
  (desp[classificacao]=$B$289) *
  (desp[centro.negocio]=$B355) *
  (desp[parcela]&gt;=M$1) *
  (desp[parcela]&lt;EOMONTH(M$1,0)+1)
)</f>
        <v>0</v>
      </c>
      <c r="N355" s="245" cm="1">
        <f t="array" ref="N355">-SUMPRODUCT(
  desp[data.vencimento] *
  (desp[classificacao]=$B$289) *
  (desp[centro.negocio]=$B355) *
  (desp[parcela]&gt;=N$1) *
  (desp[parcela]&lt;EOMONTH(N$1,0)+1)
)</f>
        <v>0</v>
      </c>
      <c r="O355" s="245" cm="1">
        <f t="array" ref="O355">-SUMPRODUCT(
  desp[data.vencimento] *
  (desp[classificacao]=$B$289) *
  (desp[centro.negocio]=$B355) *
  (desp[parcela]&gt;=O$1) *
  (desp[parcela]&lt;EOMONTH(O$1,0)+1)
)</f>
        <v>0</v>
      </c>
      <c r="P355" s="245" cm="1">
        <f t="array" ref="P355">-SUMPRODUCT(
  desp[data.vencimento] *
  (desp[classificacao]=$B$289) *
  (desp[centro.negocio]=$B355) *
  (desp[parcela]&gt;=P$1) *
  (desp[parcela]&lt;EOMONTH(P$1,0)+1)
)</f>
        <v>0</v>
      </c>
      <c r="Q355" s="245" cm="1">
        <f t="array" ref="Q355">-SUMPRODUCT(
  desp[data.vencimento] *
  (desp[classificacao]=$B$289) *
  (desp[centro.negocio]=$B355) *
  (desp[parcela]&gt;=Q$1) *
  (desp[parcela]&lt;EOMONTH(Q$1,0)+1)
)</f>
        <v>0</v>
      </c>
      <c r="R355" s="245" cm="1">
        <f t="array" ref="R355">-SUMPRODUCT(
  desp[data.vencimento] *
  (desp[classificacao]=$B$289) *
  (desp[centro.negocio]=$B355) *
  (desp[parcela]&gt;=R$1) *
  (desp[parcela]&lt;EOMONTH(R$1,0)+1)
)</f>
        <v>0</v>
      </c>
    </row>
    <row r="356" spans="1:18" outlineLevel="1" x14ac:dyDescent="0.25">
      <c r="A356" s="243" t="s">
        <v>608</v>
      </c>
      <c r="B356" s="243" t="s">
        <v>393</v>
      </c>
      <c r="C356" s="244" t="s">
        <v>522</v>
      </c>
      <c r="D356" s="245" cm="1">
        <f t="array" ref="D356">-SUMPRODUCT(
  desp[data.vencimento] *
  (desp[classificacao]=$B$289) *
  (desp[centro.negocio]=$B356) *
  (desp[parcela]&gt;=D$1) *
  (desp[parcela]&lt;EOMONTH(D$1,0)+1)
)</f>
        <v>0</v>
      </c>
      <c r="E356" s="245" cm="1">
        <f t="array" ref="E356">-SUMPRODUCT(
  desp[data.vencimento] *
  (desp[classificacao]=$B$289) *
  (desp[centro.negocio]=$B356) *
  (desp[parcela]&gt;=E$1) *
  (desp[parcela]&lt;EOMONTH(E$1,0)+1)
)</f>
        <v>0</v>
      </c>
      <c r="F356" s="245" cm="1">
        <f t="array" ref="F356">-SUMPRODUCT(
  desp[data.vencimento] *
  (desp[classificacao]=$B$289) *
  (desp[centro.negocio]=$B356) *
  (desp[parcela]&gt;=F$1) *
  (desp[parcela]&lt;EOMONTH(F$1,0)+1)
)</f>
        <v>0</v>
      </c>
      <c r="G356" s="245" cm="1">
        <f t="array" ref="G356">-SUMPRODUCT(
  desp[data.vencimento] *
  (desp[classificacao]=$B$289) *
  (desp[centro.negocio]=$B356) *
  (desp[parcela]&gt;=G$1) *
  (desp[parcela]&lt;EOMONTH(G$1,0)+1)
)</f>
        <v>0</v>
      </c>
      <c r="H356" s="245" cm="1">
        <f t="array" ref="H356">-SUMPRODUCT(
  desp[data.vencimento] *
  (desp[classificacao]=$B$289) *
  (desp[centro.negocio]=$B356) *
  (desp[parcela]&gt;=H$1) *
  (desp[parcela]&lt;EOMONTH(H$1,0)+1)
)</f>
        <v>0</v>
      </c>
      <c r="I356" s="245" cm="1">
        <f t="array" ref="I356">-SUMPRODUCT(
  desp[data.vencimento] *
  (desp[classificacao]=$B$289) *
  (desp[centro.negocio]=$B356) *
  (desp[parcela]&gt;=I$1) *
  (desp[parcela]&lt;EOMONTH(I$1,0)+1)
)</f>
        <v>0</v>
      </c>
      <c r="J356" s="245" cm="1">
        <f t="array" ref="J356">-SUMPRODUCT(
  desp[data.vencimento] *
  (desp[classificacao]=$B$289) *
  (desp[centro.negocio]=$B356) *
  (desp[parcela]&gt;=J$1) *
  (desp[parcela]&lt;EOMONTH(J$1,0)+1)
)</f>
        <v>0</v>
      </c>
      <c r="K356" s="245" cm="1">
        <f t="array" ref="K356">-SUMPRODUCT(
  desp[data.vencimento] *
  (desp[classificacao]=$B$289) *
  (desp[centro.negocio]=$B356) *
  (desp[parcela]&gt;=K$1) *
  (desp[parcela]&lt;EOMONTH(K$1,0)+1)
)</f>
        <v>0</v>
      </c>
      <c r="L356" s="245" cm="1">
        <f t="array" ref="L356">-SUMPRODUCT(
  desp[data.vencimento] *
  (desp[classificacao]=$B$289) *
  (desp[centro.negocio]=$B356) *
  (desp[parcela]&gt;=L$1) *
  (desp[parcela]&lt;EOMONTH(L$1,0)+1)
)</f>
        <v>0</v>
      </c>
      <c r="M356" s="245" cm="1">
        <f t="array" ref="M356">-SUMPRODUCT(
  desp[data.vencimento] *
  (desp[classificacao]=$B$289) *
  (desp[centro.negocio]=$B356) *
  (desp[parcela]&gt;=M$1) *
  (desp[parcela]&lt;EOMONTH(M$1,0)+1)
)</f>
        <v>0</v>
      </c>
      <c r="N356" s="245" cm="1">
        <f t="array" ref="N356">-SUMPRODUCT(
  desp[data.vencimento] *
  (desp[classificacao]=$B$289) *
  (desp[centro.negocio]=$B356) *
  (desp[parcela]&gt;=N$1) *
  (desp[parcela]&lt;EOMONTH(N$1,0)+1)
)</f>
        <v>0</v>
      </c>
      <c r="O356" s="245" cm="1">
        <f t="array" ref="O356">-SUMPRODUCT(
  desp[data.vencimento] *
  (desp[classificacao]=$B$289) *
  (desp[centro.negocio]=$B356) *
  (desp[parcela]&gt;=O$1) *
  (desp[parcela]&lt;EOMONTH(O$1,0)+1)
)</f>
        <v>0</v>
      </c>
      <c r="P356" s="245" cm="1">
        <f t="array" ref="P356">-SUMPRODUCT(
  desp[data.vencimento] *
  (desp[classificacao]=$B$289) *
  (desp[centro.negocio]=$B356) *
  (desp[parcela]&gt;=P$1) *
  (desp[parcela]&lt;EOMONTH(P$1,0)+1)
)</f>
        <v>0</v>
      </c>
      <c r="Q356" s="245" cm="1">
        <f t="array" ref="Q356">-SUMPRODUCT(
  desp[data.vencimento] *
  (desp[classificacao]=$B$289) *
  (desp[centro.negocio]=$B356) *
  (desp[parcela]&gt;=Q$1) *
  (desp[parcela]&lt;EOMONTH(Q$1,0)+1)
)</f>
        <v>0</v>
      </c>
      <c r="R356" s="245" cm="1">
        <f t="array" ref="R356">-SUMPRODUCT(
  desp[data.vencimento] *
  (desp[classificacao]=$B$289) *
  (desp[centro.negocio]=$B356) *
  (desp[parcela]&gt;=R$1) *
  (desp[parcela]&lt;EOMONTH(R$1,0)+1)
)</f>
        <v>0</v>
      </c>
    </row>
    <row r="357" spans="1:18" outlineLevel="1" x14ac:dyDescent="0.25">
      <c r="A357" s="243" t="s">
        <v>622</v>
      </c>
      <c r="B357" s="243" t="s">
        <v>346</v>
      </c>
      <c r="C357" s="244" t="s">
        <v>522</v>
      </c>
      <c r="D357" s="245" cm="1">
        <f t="array" ref="D357">-SUMPRODUCT(
  desp[data.vencimento] *
  (desp[classificacao]=$B$289) *
  (desp[centro.negocio]=$B357) *
  (desp[parcela]&gt;=D$1) *
  (desp[parcela]&lt;EOMONTH(D$1,0)+1)
)</f>
        <v>0</v>
      </c>
      <c r="E357" s="245" cm="1">
        <f t="array" ref="E357">-SUMPRODUCT(
  desp[data.vencimento] *
  (desp[classificacao]=$B$289) *
  (desp[centro.negocio]=$B357) *
  (desp[parcela]&gt;=E$1) *
  (desp[parcela]&lt;EOMONTH(E$1,0)+1)
)</f>
        <v>0</v>
      </c>
      <c r="F357" s="245" cm="1">
        <f t="array" ref="F357">-SUMPRODUCT(
  desp[data.vencimento] *
  (desp[classificacao]=$B$289) *
  (desp[centro.negocio]=$B357) *
  (desp[parcela]&gt;=F$1) *
  (desp[parcela]&lt;EOMONTH(F$1,0)+1)
)</f>
        <v>0</v>
      </c>
      <c r="G357" s="245" cm="1">
        <f t="array" ref="G357">-SUMPRODUCT(
  desp[data.vencimento] *
  (desp[classificacao]=$B$289) *
  (desp[centro.negocio]=$B357) *
  (desp[parcela]&gt;=G$1) *
  (desp[parcela]&lt;EOMONTH(G$1,0)+1)
)</f>
        <v>0</v>
      </c>
      <c r="H357" s="245" cm="1">
        <f t="array" ref="H357">-SUMPRODUCT(
  desp[data.vencimento] *
  (desp[classificacao]=$B$289) *
  (desp[centro.negocio]=$B357) *
  (desp[parcela]&gt;=H$1) *
  (desp[parcela]&lt;EOMONTH(H$1,0)+1)
)</f>
        <v>0</v>
      </c>
      <c r="I357" s="245" cm="1">
        <f t="array" ref="I357">-SUMPRODUCT(
  desp[data.vencimento] *
  (desp[classificacao]=$B$289) *
  (desp[centro.negocio]=$B357) *
  (desp[parcela]&gt;=I$1) *
  (desp[parcela]&lt;EOMONTH(I$1,0)+1)
)</f>
        <v>0</v>
      </c>
      <c r="J357" s="245" cm="1">
        <f t="array" ref="J357">-SUMPRODUCT(
  desp[data.vencimento] *
  (desp[classificacao]=$B$289) *
  (desp[centro.negocio]=$B357) *
  (desp[parcela]&gt;=J$1) *
  (desp[parcela]&lt;EOMONTH(J$1,0)+1)
)</f>
        <v>0</v>
      </c>
      <c r="K357" s="245" cm="1">
        <f t="array" ref="K357">-SUMPRODUCT(
  desp[data.vencimento] *
  (desp[classificacao]=$B$289) *
  (desp[centro.negocio]=$B357) *
  (desp[parcela]&gt;=K$1) *
  (desp[parcela]&lt;EOMONTH(K$1,0)+1)
)</f>
        <v>0</v>
      </c>
      <c r="L357" s="245" cm="1">
        <f t="array" ref="L357">-SUMPRODUCT(
  desp[data.vencimento] *
  (desp[classificacao]=$B$289) *
  (desp[centro.negocio]=$B357) *
  (desp[parcela]&gt;=L$1) *
  (desp[parcela]&lt;EOMONTH(L$1,0)+1)
)</f>
        <v>0</v>
      </c>
      <c r="M357" s="245" cm="1">
        <f t="array" ref="M357">-SUMPRODUCT(
  desp[data.vencimento] *
  (desp[classificacao]=$B$289) *
  (desp[centro.negocio]=$B357) *
  (desp[parcela]&gt;=M$1) *
  (desp[parcela]&lt;EOMONTH(M$1,0)+1)
)</f>
        <v>0</v>
      </c>
      <c r="N357" s="245" cm="1">
        <f t="array" ref="N357">-SUMPRODUCT(
  desp[data.vencimento] *
  (desp[classificacao]=$B$289) *
  (desp[centro.negocio]=$B357) *
  (desp[parcela]&gt;=N$1) *
  (desp[parcela]&lt;EOMONTH(N$1,0)+1)
)</f>
        <v>0</v>
      </c>
      <c r="O357" s="245" cm="1">
        <f t="array" ref="O357">-SUMPRODUCT(
  desp[data.vencimento] *
  (desp[classificacao]=$B$289) *
  (desp[centro.negocio]=$B357) *
  (desp[parcela]&gt;=O$1) *
  (desp[parcela]&lt;EOMONTH(O$1,0)+1)
)</f>
        <v>0</v>
      </c>
      <c r="P357" s="245" cm="1">
        <f t="array" ref="P357">-SUMPRODUCT(
  desp[data.vencimento] *
  (desp[classificacao]=$B$289) *
  (desp[centro.negocio]=$B357) *
  (desp[parcela]&gt;=P$1) *
  (desp[parcela]&lt;EOMONTH(P$1,0)+1)
)</f>
        <v>0</v>
      </c>
      <c r="Q357" s="245" cm="1">
        <f t="array" ref="Q357">-SUMPRODUCT(
  desp[data.vencimento] *
  (desp[classificacao]=$B$289) *
  (desp[centro.negocio]=$B357) *
  (desp[parcela]&gt;=Q$1) *
  (desp[parcela]&lt;EOMONTH(Q$1,0)+1)
)</f>
        <v>0</v>
      </c>
      <c r="R357" s="245" cm="1">
        <f t="array" ref="R357">-SUMPRODUCT(
  desp[data.vencimento] *
  (desp[classificacao]=$B$289) *
  (desp[centro.negocio]=$B357) *
  (desp[parcela]&gt;=R$1) *
  (desp[parcela]&lt;EOMONTH(R$1,0)+1)
)</f>
        <v>0</v>
      </c>
    </row>
    <row r="358" spans="1:18" outlineLevel="1" x14ac:dyDescent="0.25">
      <c r="A358" s="243" t="s">
        <v>656</v>
      </c>
      <c r="B358" s="243" t="s">
        <v>390</v>
      </c>
      <c r="C358" s="244" t="s">
        <v>522</v>
      </c>
      <c r="D358" s="245" cm="1">
        <f t="array" ref="D358">-SUMPRODUCT(
  desp[data.vencimento] *
  (desp[classificacao]=$B$289) *
  (desp[centro.negocio]=$B358) *
  (desp[parcela]&gt;=D$1) *
  (desp[parcela]&lt;EOMONTH(D$1,0)+1)
)</f>
        <v>0</v>
      </c>
      <c r="E358" s="245" cm="1">
        <f t="array" ref="E358">-SUMPRODUCT(
  desp[data.vencimento] *
  (desp[classificacao]=$B$289) *
  (desp[centro.negocio]=$B358) *
  (desp[parcela]&gt;=E$1) *
  (desp[parcela]&lt;EOMONTH(E$1,0)+1)
)</f>
        <v>0</v>
      </c>
      <c r="F358" s="245" cm="1">
        <f t="array" ref="F358">-SUMPRODUCT(
  desp[data.vencimento] *
  (desp[classificacao]=$B$289) *
  (desp[centro.negocio]=$B358) *
  (desp[parcela]&gt;=F$1) *
  (desp[parcela]&lt;EOMONTH(F$1,0)+1)
)</f>
        <v>0</v>
      </c>
      <c r="G358" s="245" cm="1">
        <f t="array" ref="G358">-SUMPRODUCT(
  desp[data.vencimento] *
  (desp[classificacao]=$B$289) *
  (desp[centro.negocio]=$B358) *
  (desp[parcela]&gt;=G$1) *
  (desp[parcela]&lt;EOMONTH(G$1,0)+1)
)</f>
        <v>0</v>
      </c>
      <c r="H358" s="245" cm="1">
        <f t="array" ref="H358">-SUMPRODUCT(
  desp[data.vencimento] *
  (desp[classificacao]=$B$289) *
  (desp[centro.negocio]=$B358) *
  (desp[parcela]&gt;=H$1) *
  (desp[parcela]&lt;EOMONTH(H$1,0)+1)
)</f>
        <v>0</v>
      </c>
      <c r="I358" s="245" cm="1">
        <f t="array" ref="I358">-SUMPRODUCT(
  desp[data.vencimento] *
  (desp[classificacao]=$B$289) *
  (desp[centro.negocio]=$B358) *
  (desp[parcela]&gt;=I$1) *
  (desp[parcela]&lt;EOMONTH(I$1,0)+1)
)</f>
        <v>0</v>
      </c>
      <c r="J358" s="245" cm="1">
        <f t="array" ref="J358">-SUMPRODUCT(
  desp[data.vencimento] *
  (desp[classificacao]=$B$289) *
  (desp[centro.negocio]=$B358) *
  (desp[parcela]&gt;=J$1) *
  (desp[parcela]&lt;EOMONTH(J$1,0)+1)
)</f>
        <v>0</v>
      </c>
      <c r="K358" s="245" cm="1">
        <f t="array" ref="K358">-SUMPRODUCT(
  desp[data.vencimento] *
  (desp[classificacao]=$B$289) *
  (desp[centro.negocio]=$B358) *
  (desp[parcela]&gt;=K$1) *
  (desp[parcela]&lt;EOMONTH(K$1,0)+1)
)</f>
        <v>0</v>
      </c>
      <c r="L358" s="245" cm="1">
        <f t="array" ref="L358">-SUMPRODUCT(
  desp[data.vencimento] *
  (desp[classificacao]=$B$289) *
  (desp[centro.negocio]=$B358) *
  (desp[parcela]&gt;=L$1) *
  (desp[parcela]&lt;EOMONTH(L$1,0)+1)
)</f>
        <v>0</v>
      </c>
      <c r="M358" s="245" cm="1">
        <f t="array" ref="M358">-SUMPRODUCT(
  desp[data.vencimento] *
  (desp[classificacao]=$B$289) *
  (desp[centro.negocio]=$B358) *
  (desp[parcela]&gt;=M$1) *
  (desp[parcela]&lt;EOMONTH(M$1,0)+1)
)</f>
        <v>0</v>
      </c>
      <c r="N358" s="245" cm="1">
        <f t="array" ref="N358">-SUMPRODUCT(
  desp[data.vencimento] *
  (desp[classificacao]=$B$289) *
  (desp[centro.negocio]=$B358) *
  (desp[parcela]&gt;=N$1) *
  (desp[parcela]&lt;EOMONTH(N$1,0)+1)
)</f>
        <v>0</v>
      </c>
      <c r="O358" s="245" cm="1">
        <f t="array" ref="O358">-SUMPRODUCT(
  desp[data.vencimento] *
  (desp[classificacao]=$B$289) *
  (desp[centro.negocio]=$B358) *
  (desp[parcela]&gt;=O$1) *
  (desp[parcela]&lt;EOMONTH(O$1,0)+1)
)</f>
        <v>0</v>
      </c>
      <c r="P358" s="245" cm="1">
        <f t="array" ref="P358">-SUMPRODUCT(
  desp[data.vencimento] *
  (desp[classificacao]=$B$289) *
  (desp[centro.negocio]=$B358) *
  (desp[parcela]&gt;=P$1) *
  (desp[parcela]&lt;EOMONTH(P$1,0)+1)
)</f>
        <v>0</v>
      </c>
      <c r="Q358" s="245" cm="1">
        <f t="array" ref="Q358">-SUMPRODUCT(
  desp[data.vencimento] *
  (desp[classificacao]=$B$289) *
  (desp[centro.negocio]=$B358) *
  (desp[parcela]&gt;=Q$1) *
  (desp[parcela]&lt;EOMONTH(Q$1,0)+1)
)</f>
        <v>0</v>
      </c>
      <c r="R358" s="245" cm="1">
        <f t="array" ref="R358">-SUMPRODUCT(
  desp[data.vencimento] *
  (desp[classificacao]=$B$289) *
  (desp[centro.negocio]=$B358) *
  (desp[parcela]&gt;=R$1) *
  (desp[parcela]&lt;EOMONTH(R$1,0)+1)
)</f>
        <v>0</v>
      </c>
    </row>
    <row r="359" spans="1:18" outlineLevel="1" x14ac:dyDescent="0.25">
      <c r="A359" s="243" t="s">
        <v>669</v>
      </c>
      <c r="B359" s="243" t="s">
        <v>385</v>
      </c>
      <c r="C359" s="244" t="s">
        <v>522</v>
      </c>
      <c r="D359" s="245" cm="1">
        <f t="array" ref="D359">-SUMPRODUCT(
  desp[data.vencimento] *
  (desp[classificacao]=$B$289) *
  (desp[centro.negocio]=$B359) *
  (desp[parcela]&gt;=D$1) *
  (desp[parcela]&lt;EOMONTH(D$1,0)+1)
)</f>
        <v>0</v>
      </c>
      <c r="E359" s="245" cm="1">
        <f t="array" ref="E359">-SUMPRODUCT(
  desp[data.vencimento] *
  (desp[classificacao]=$B$289) *
  (desp[centro.negocio]=$B359) *
  (desp[parcela]&gt;=E$1) *
  (desp[parcela]&lt;EOMONTH(E$1,0)+1)
)</f>
        <v>0</v>
      </c>
      <c r="F359" s="245" cm="1">
        <f t="array" ref="F359">-SUMPRODUCT(
  desp[data.vencimento] *
  (desp[classificacao]=$B$289) *
  (desp[centro.negocio]=$B359) *
  (desp[parcela]&gt;=F$1) *
  (desp[parcela]&lt;EOMONTH(F$1,0)+1)
)</f>
        <v>0</v>
      </c>
      <c r="G359" s="245" cm="1">
        <f t="array" ref="G359">-SUMPRODUCT(
  desp[data.vencimento] *
  (desp[classificacao]=$B$289) *
  (desp[centro.negocio]=$B359) *
  (desp[parcela]&gt;=G$1) *
  (desp[parcela]&lt;EOMONTH(G$1,0)+1)
)</f>
        <v>0</v>
      </c>
      <c r="H359" s="245" cm="1">
        <f t="array" ref="H359">-SUMPRODUCT(
  desp[data.vencimento] *
  (desp[classificacao]=$B$289) *
  (desp[centro.negocio]=$B359) *
  (desp[parcela]&gt;=H$1) *
  (desp[parcela]&lt;EOMONTH(H$1,0)+1)
)</f>
        <v>0</v>
      </c>
      <c r="I359" s="245" cm="1">
        <f t="array" ref="I359">-SUMPRODUCT(
  desp[data.vencimento] *
  (desp[classificacao]=$B$289) *
  (desp[centro.negocio]=$B359) *
  (desp[parcela]&gt;=I$1) *
  (desp[parcela]&lt;EOMONTH(I$1,0)+1)
)</f>
        <v>0</v>
      </c>
      <c r="J359" s="245" cm="1">
        <f t="array" ref="J359">-SUMPRODUCT(
  desp[data.vencimento] *
  (desp[classificacao]=$B$289) *
  (desp[centro.negocio]=$B359) *
  (desp[parcela]&gt;=J$1) *
  (desp[parcela]&lt;EOMONTH(J$1,0)+1)
)</f>
        <v>0</v>
      </c>
      <c r="K359" s="245" cm="1">
        <f t="array" ref="K359">-SUMPRODUCT(
  desp[data.vencimento] *
  (desp[classificacao]=$B$289) *
  (desp[centro.negocio]=$B359) *
  (desp[parcela]&gt;=K$1) *
  (desp[parcela]&lt;EOMONTH(K$1,0)+1)
)</f>
        <v>0</v>
      </c>
      <c r="L359" s="245" cm="1">
        <f t="array" ref="L359">-SUMPRODUCT(
  desp[data.vencimento] *
  (desp[classificacao]=$B$289) *
  (desp[centro.negocio]=$B359) *
  (desp[parcela]&gt;=L$1) *
  (desp[parcela]&lt;EOMONTH(L$1,0)+1)
)</f>
        <v>0</v>
      </c>
      <c r="M359" s="245" cm="1">
        <f t="array" ref="M359">-SUMPRODUCT(
  desp[data.vencimento] *
  (desp[classificacao]=$B$289) *
  (desp[centro.negocio]=$B359) *
  (desp[parcela]&gt;=M$1) *
  (desp[parcela]&lt;EOMONTH(M$1,0)+1)
)</f>
        <v>0</v>
      </c>
      <c r="N359" s="245" cm="1">
        <f t="array" ref="N359">-SUMPRODUCT(
  desp[data.vencimento] *
  (desp[classificacao]=$B$289) *
  (desp[centro.negocio]=$B359) *
  (desp[parcela]&gt;=N$1) *
  (desp[parcela]&lt;EOMONTH(N$1,0)+1)
)</f>
        <v>0</v>
      </c>
      <c r="O359" s="245" cm="1">
        <f t="array" ref="O359">-SUMPRODUCT(
  desp[data.vencimento] *
  (desp[classificacao]=$B$289) *
  (desp[centro.negocio]=$B359) *
  (desp[parcela]&gt;=O$1) *
  (desp[parcela]&lt;EOMONTH(O$1,0)+1)
)</f>
        <v>0</v>
      </c>
      <c r="P359" s="245" cm="1">
        <f t="array" ref="P359">-SUMPRODUCT(
  desp[data.vencimento] *
  (desp[classificacao]=$B$289) *
  (desp[centro.negocio]=$B359) *
  (desp[parcela]&gt;=P$1) *
  (desp[parcela]&lt;EOMONTH(P$1,0)+1)
)</f>
        <v>0</v>
      </c>
      <c r="Q359" s="245" cm="1">
        <f t="array" ref="Q359">-SUMPRODUCT(
  desp[data.vencimento] *
  (desp[classificacao]=$B$289) *
  (desp[centro.negocio]=$B359) *
  (desp[parcela]&gt;=Q$1) *
  (desp[parcela]&lt;EOMONTH(Q$1,0)+1)
)</f>
        <v>0</v>
      </c>
      <c r="R359" s="245" cm="1">
        <f t="array" ref="R359">-SUMPRODUCT(
  desp[data.vencimento] *
  (desp[classificacao]=$B$289) *
  (desp[centro.negocio]=$B359) *
  (desp[parcela]&gt;=R$1) *
  (desp[parcela]&lt;EOMONTH(R$1,0)+1)
)</f>
        <v>0</v>
      </c>
    </row>
    <row r="360" spans="1:18" outlineLevel="1" x14ac:dyDescent="0.25">
      <c r="A360" s="243" t="s">
        <v>674</v>
      </c>
      <c r="B360" s="243" t="s">
        <v>361</v>
      </c>
      <c r="C360" s="244" t="s">
        <v>522</v>
      </c>
      <c r="D360" s="245" cm="1">
        <f t="array" ref="D360">-SUMPRODUCT(
  desp[data.vencimento] *
  (desp[classificacao]=$B$289) *
  (desp[centro.negocio]=$B360) *
  (desp[parcela]&gt;=D$1) *
  (desp[parcela]&lt;EOMONTH(D$1,0)+1)
)</f>
        <v>0</v>
      </c>
      <c r="E360" s="245" cm="1">
        <f t="array" ref="E360">-SUMPRODUCT(
  desp[data.vencimento] *
  (desp[classificacao]=$B$289) *
  (desp[centro.negocio]=$B360) *
  (desp[parcela]&gt;=E$1) *
  (desp[parcela]&lt;EOMONTH(E$1,0)+1)
)</f>
        <v>0</v>
      </c>
      <c r="F360" s="245" cm="1">
        <f t="array" ref="F360">-SUMPRODUCT(
  desp[data.vencimento] *
  (desp[classificacao]=$B$289) *
  (desp[centro.negocio]=$B360) *
  (desp[parcela]&gt;=F$1) *
  (desp[parcela]&lt;EOMONTH(F$1,0)+1)
)</f>
        <v>0</v>
      </c>
      <c r="G360" s="245" cm="1">
        <f t="array" ref="G360">-SUMPRODUCT(
  desp[data.vencimento] *
  (desp[classificacao]=$B$289) *
  (desp[centro.negocio]=$B360) *
  (desp[parcela]&gt;=G$1) *
  (desp[parcela]&lt;EOMONTH(G$1,0)+1)
)</f>
        <v>0</v>
      </c>
      <c r="H360" s="245" cm="1">
        <f t="array" ref="H360">-SUMPRODUCT(
  desp[data.vencimento] *
  (desp[classificacao]=$B$289) *
  (desp[centro.negocio]=$B360) *
  (desp[parcela]&gt;=H$1) *
  (desp[parcela]&lt;EOMONTH(H$1,0)+1)
)</f>
        <v>0</v>
      </c>
      <c r="I360" s="245" cm="1">
        <f t="array" ref="I360">-SUMPRODUCT(
  desp[data.vencimento] *
  (desp[classificacao]=$B$289) *
  (desp[centro.negocio]=$B360) *
  (desp[parcela]&gt;=I$1) *
  (desp[parcela]&lt;EOMONTH(I$1,0)+1)
)</f>
        <v>0</v>
      </c>
      <c r="J360" s="245" cm="1">
        <f t="array" ref="J360">-SUMPRODUCT(
  desp[data.vencimento] *
  (desp[classificacao]=$B$289) *
  (desp[centro.negocio]=$B360) *
  (desp[parcela]&gt;=J$1) *
  (desp[parcela]&lt;EOMONTH(J$1,0)+1)
)</f>
        <v>0</v>
      </c>
      <c r="K360" s="245" cm="1">
        <f t="array" ref="K360">-SUMPRODUCT(
  desp[data.vencimento] *
  (desp[classificacao]=$B$289) *
  (desp[centro.negocio]=$B360) *
  (desp[parcela]&gt;=K$1) *
  (desp[parcela]&lt;EOMONTH(K$1,0)+1)
)</f>
        <v>0</v>
      </c>
      <c r="L360" s="245" cm="1">
        <f t="array" ref="L360">-SUMPRODUCT(
  desp[data.vencimento] *
  (desp[classificacao]=$B$289) *
  (desp[centro.negocio]=$B360) *
  (desp[parcela]&gt;=L$1) *
  (desp[parcela]&lt;EOMONTH(L$1,0)+1)
)</f>
        <v>0</v>
      </c>
      <c r="M360" s="245" cm="1">
        <f t="array" ref="M360">-SUMPRODUCT(
  desp[data.vencimento] *
  (desp[classificacao]=$B$289) *
  (desp[centro.negocio]=$B360) *
  (desp[parcela]&gt;=M$1) *
  (desp[parcela]&lt;EOMONTH(M$1,0)+1)
)</f>
        <v>0</v>
      </c>
      <c r="N360" s="245" cm="1">
        <f t="array" ref="N360">-SUMPRODUCT(
  desp[data.vencimento] *
  (desp[classificacao]=$B$289) *
  (desp[centro.negocio]=$B360) *
  (desp[parcela]&gt;=N$1) *
  (desp[parcela]&lt;EOMONTH(N$1,0)+1)
)</f>
        <v>0</v>
      </c>
      <c r="O360" s="245" cm="1">
        <f t="array" ref="O360">-SUMPRODUCT(
  desp[data.vencimento] *
  (desp[classificacao]=$B$289) *
  (desp[centro.negocio]=$B360) *
  (desp[parcela]&gt;=O$1) *
  (desp[parcela]&lt;EOMONTH(O$1,0)+1)
)</f>
        <v>0</v>
      </c>
      <c r="P360" s="245" cm="1">
        <f t="array" ref="P360">-SUMPRODUCT(
  desp[data.vencimento] *
  (desp[classificacao]=$B$289) *
  (desp[centro.negocio]=$B360) *
  (desp[parcela]&gt;=P$1) *
  (desp[parcela]&lt;EOMONTH(P$1,0)+1)
)</f>
        <v>0</v>
      </c>
      <c r="Q360" s="245" cm="1">
        <f t="array" ref="Q360">-SUMPRODUCT(
  desp[data.vencimento] *
  (desp[classificacao]=$B$289) *
  (desp[centro.negocio]=$B360) *
  (desp[parcela]&gt;=Q$1) *
  (desp[parcela]&lt;EOMONTH(Q$1,0)+1)
)</f>
        <v>0</v>
      </c>
      <c r="R360" s="245" cm="1">
        <f t="array" ref="R360">-SUMPRODUCT(
  desp[data.vencimento] *
  (desp[classificacao]=$B$289) *
  (desp[centro.negocio]=$B360) *
  (desp[parcela]&gt;=R$1) *
  (desp[parcela]&lt;EOMONTH(R$1,0)+1)
)</f>
        <v>0</v>
      </c>
    </row>
    <row r="361" spans="1:18" outlineLevel="1" x14ac:dyDescent="0.25">
      <c r="A361" s="243" t="s">
        <v>677</v>
      </c>
      <c r="B361" s="243" t="s">
        <v>377</v>
      </c>
      <c r="C361" s="244" t="s">
        <v>522</v>
      </c>
      <c r="D361" s="245" cm="1">
        <f t="array" ref="D361">-SUMPRODUCT(
  desp[data.vencimento] *
  (desp[classificacao]=$B$289) *
  (desp[centro.negocio]=$B361) *
  (desp[parcela]&gt;=D$1) *
  (desp[parcela]&lt;EOMONTH(D$1,0)+1)
)</f>
        <v>0</v>
      </c>
      <c r="E361" s="245" cm="1">
        <f t="array" ref="E361">-SUMPRODUCT(
  desp[data.vencimento] *
  (desp[classificacao]=$B$289) *
  (desp[centro.negocio]=$B361) *
  (desp[parcela]&gt;=E$1) *
  (desp[parcela]&lt;EOMONTH(E$1,0)+1)
)</f>
        <v>0</v>
      </c>
      <c r="F361" s="245" cm="1">
        <f t="array" ref="F361">-SUMPRODUCT(
  desp[data.vencimento] *
  (desp[classificacao]=$B$289) *
  (desp[centro.negocio]=$B361) *
  (desp[parcela]&gt;=F$1) *
  (desp[parcela]&lt;EOMONTH(F$1,0)+1)
)</f>
        <v>0</v>
      </c>
      <c r="G361" s="245" cm="1">
        <f t="array" ref="G361">-SUMPRODUCT(
  desp[data.vencimento] *
  (desp[classificacao]=$B$289) *
  (desp[centro.negocio]=$B361) *
  (desp[parcela]&gt;=G$1) *
  (desp[parcela]&lt;EOMONTH(G$1,0)+1)
)</f>
        <v>0</v>
      </c>
      <c r="H361" s="245" cm="1">
        <f t="array" ref="H361">-SUMPRODUCT(
  desp[data.vencimento] *
  (desp[classificacao]=$B$289) *
  (desp[centro.negocio]=$B361) *
  (desp[parcela]&gt;=H$1) *
  (desp[parcela]&lt;EOMONTH(H$1,0)+1)
)</f>
        <v>0</v>
      </c>
      <c r="I361" s="245" cm="1">
        <f t="array" ref="I361">-SUMPRODUCT(
  desp[data.vencimento] *
  (desp[classificacao]=$B$289) *
  (desp[centro.negocio]=$B361) *
  (desp[parcela]&gt;=I$1) *
  (desp[parcela]&lt;EOMONTH(I$1,0)+1)
)</f>
        <v>0</v>
      </c>
      <c r="J361" s="245" cm="1">
        <f t="array" ref="J361">-SUMPRODUCT(
  desp[data.vencimento] *
  (desp[classificacao]=$B$289) *
  (desp[centro.negocio]=$B361) *
  (desp[parcela]&gt;=J$1) *
  (desp[parcela]&lt;EOMONTH(J$1,0)+1)
)</f>
        <v>0</v>
      </c>
      <c r="K361" s="245" cm="1">
        <f t="array" ref="K361">-SUMPRODUCT(
  desp[data.vencimento] *
  (desp[classificacao]=$B$289) *
  (desp[centro.negocio]=$B361) *
  (desp[parcela]&gt;=K$1) *
  (desp[parcela]&lt;EOMONTH(K$1,0)+1)
)</f>
        <v>0</v>
      </c>
      <c r="L361" s="245" cm="1">
        <f t="array" ref="L361">-SUMPRODUCT(
  desp[data.vencimento] *
  (desp[classificacao]=$B$289) *
  (desp[centro.negocio]=$B361) *
  (desp[parcela]&gt;=L$1) *
  (desp[parcela]&lt;EOMONTH(L$1,0)+1)
)</f>
        <v>0</v>
      </c>
      <c r="M361" s="245" cm="1">
        <f t="array" ref="M361">-SUMPRODUCT(
  desp[data.vencimento] *
  (desp[classificacao]=$B$289) *
  (desp[centro.negocio]=$B361) *
  (desp[parcela]&gt;=M$1) *
  (desp[parcela]&lt;EOMONTH(M$1,0)+1)
)</f>
        <v>0</v>
      </c>
      <c r="N361" s="245" cm="1">
        <f t="array" ref="N361">-SUMPRODUCT(
  desp[data.vencimento] *
  (desp[classificacao]=$B$289) *
  (desp[centro.negocio]=$B361) *
  (desp[parcela]&gt;=N$1) *
  (desp[parcela]&lt;EOMONTH(N$1,0)+1)
)</f>
        <v>0</v>
      </c>
      <c r="O361" s="245" cm="1">
        <f t="array" ref="O361">-SUMPRODUCT(
  desp[data.vencimento] *
  (desp[classificacao]=$B$289) *
  (desp[centro.negocio]=$B361) *
  (desp[parcela]&gt;=O$1) *
  (desp[parcela]&lt;EOMONTH(O$1,0)+1)
)</f>
        <v>0</v>
      </c>
      <c r="P361" s="245" cm="1">
        <f t="array" ref="P361">-SUMPRODUCT(
  desp[data.vencimento] *
  (desp[classificacao]=$B$289) *
  (desp[centro.negocio]=$B361) *
  (desp[parcela]&gt;=P$1) *
  (desp[parcela]&lt;EOMONTH(P$1,0)+1)
)</f>
        <v>0</v>
      </c>
      <c r="Q361" s="245" cm="1">
        <f t="array" ref="Q361">-SUMPRODUCT(
  desp[data.vencimento] *
  (desp[classificacao]=$B$289) *
  (desp[centro.negocio]=$B361) *
  (desp[parcela]&gt;=Q$1) *
  (desp[parcela]&lt;EOMONTH(Q$1,0)+1)
)</f>
        <v>0</v>
      </c>
      <c r="R361" s="245" cm="1">
        <f t="array" ref="R361">-SUMPRODUCT(
  desp[data.vencimento] *
  (desp[classificacao]=$B$289) *
  (desp[centro.negocio]=$B361) *
  (desp[parcela]&gt;=R$1) *
  (desp[parcela]&lt;EOMONTH(R$1,0)+1)
)</f>
        <v>0</v>
      </c>
    </row>
    <row r="362" spans="1:18" outlineLevel="1" x14ac:dyDescent="0.25">
      <c r="A362" s="243" t="s">
        <v>679</v>
      </c>
      <c r="B362" s="243" t="s">
        <v>403</v>
      </c>
      <c r="C362" s="244" t="s">
        <v>522</v>
      </c>
      <c r="D362" s="245" cm="1">
        <f t="array" ref="D362">-SUMPRODUCT(
  desp[data.vencimento] *
  (desp[classificacao]=$B$289) *
  (desp[centro.negocio]=$B362) *
  (desp[parcela]&gt;=D$1) *
  (desp[parcela]&lt;EOMONTH(D$1,0)+1)
)</f>
        <v>0</v>
      </c>
      <c r="E362" s="245" cm="1">
        <f t="array" ref="E362">-SUMPRODUCT(
  desp[data.vencimento] *
  (desp[classificacao]=$B$289) *
  (desp[centro.negocio]=$B362) *
  (desp[parcela]&gt;=E$1) *
  (desp[parcela]&lt;EOMONTH(E$1,0)+1)
)</f>
        <v>0</v>
      </c>
      <c r="F362" s="245" cm="1">
        <f t="array" ref="F362">-SUMPRODUCT(
  desp[data.vencimento] *
  (desp[classificacao]=$B$289) *
  (desp[centro.negocio]=$B362) *
  (desp[parcela]&gt;=F$1) *
  (desp[parcela]&lt;EOMONTH(F$1,0)+1)
)</f>
        <v>0</v>
      </c>
      <c r="G362" s="245" cm="1">
        <f t="array" ref="G362">-SUMPRODUCT(
  desp[data.vencimento] *
  (desp[classificacao]=$B$289) *
  (desp[centro.negocio]=$B362) *
  (desp[parcela]&gt;=G$1) *
  (desp[parcela]&lt;EOMONTH(G$1,0)+1)
)</f>
        <v>0</v>
      </c>
      <c r="H362" s="245" cm="1">
        <f t="array" ref="H362">-SUMPRODUCT(
  desp[data.vencimento] *
  (desp[classificacao]=$B$289) *
  (desp[centro.negocio]=$B362) *
  (desp[parcela]&gt;=H$1) *
  (desp[parcela]&lt;EOMONTH(H$1,0)+1)
)</f>
        <v>0</v>
      </c>
      <c r="I362" s="245" cm="1">
        <f t="array" ref="I362">-SUMPRODUCT(
  desp[data.vencimento] *
  (desp[classificacao]=$B$289) *
  (desp[centro.negocio]=$B362) *
  (desp[parcela]&gt;=I$1) *
  (desp[parcela]&lt;EOMONTH(I$1,0)+1)
)</f>
        <v>0</v>
      </c>
      <c r="J362" s="245" cm="1">
        <f t="array" ref="J362">-SUMPRODUCT(
  desp[data.vencimento] *
  (desp[classificacao]=$B$289) *
  (desp[centro.negocio]=$B362) *
  (desp[parcela]&gt;=J$1) *
  (desp[parcela]&lt;EOMONTH(J$1,0)+1)
)</f>
        <v>0</v>
      </c>
      <c r="K362" s="245" cm="1">
        <f t="array" ref="K362">-SUMPRODUCT(
  desp[data.vencimento] *
  (desp[classificacao]=$B$289) *
  (desp[centro.negocio]=$B362) *
  (desp[parcela]&gt;=K$1) *
  (desp[parcela]&lt;EOMONTH(K$1,0)+1)
)</f>
        <v>0</v>
      </c>
      <c r="L362" s="245" cm="1">
        <f t="array" ref="L362">-SUMPRODUCT(
  desp[data.vencimento] *
  (desp[classificacao]=$B$289) *
  (desp[centro.negocio]=$B362) *
  (desp[parcela]&gt;=L$1) *
  (desp[parcela]&lt;EOMONTH(L$1,0)+1)
)</f>
        <v>0</v>
      </c>
      <c r="M362" s="245" cm="1">
        <f t="array" ref="M362">-SUMPRODUCT(
  desp[data.vencimento] *
  (desp[classificacao]=$B$289) *
  (desp[centro.negocio]=$B362) *
  (desp[parcela]&gt;=M$1) *
  (desp[parcela]&lt;EOMONTH(M$1,0)+1)
)</f>
        <v>0</v>
      </c>
      <c r="N362" s="245" cm="1">
        <f t="array" ref="N362">-SUMPRODUCT(
  desp[data.vencimento] *
  (desp[classificacao]=$B$289) *
  (desp[centro.negocio]=$B362) *
  (desp[parcela]&gt;=N$1) *
  (desp[parcela]&lt;EOMONTH(N$1,0)+1)
)</f>
        <v>0</v>
      </c>
      <c r="O362" s="245" cm="1">
        <f t="array" ref="O362">-SUMPRODUCT(
  desp[data.vencimento] *
  (desp[classificacao]=$B$289) *
  (desp[centro.negocio]=$B362) *
  (desp[parcela]&gt;=O$1) *
  (desp[parcela]&lt;EOMONTH(O$1,0)+1)
)</f>
        <v>0</v>
      </c>
      <c r="P362" s="245" cm="1">
        <f t="array" ref="P362">-SUMPRODUCT(
  desp[data.vencimento] *
  (desp[classificacao]=$B$289) *
  (desp[centro.negocio]=$B362) *
  (desp[parcela]&gt;=P$1) *
  (desp[parcela]&lt;EOMONTH(P$1,0)+1)
)</f>
        <v>0</v>
      </c>
      <c r="Q362" s="245" cm="1">
        <f t="array" ref="Q362">-SUMPRODUCT(
  desp[data.vencimento] *
  (desp[classificacao]=$B$289) *
  (desp[centro.negocio]=$B362) *
  (desp[parcela]&gt;=Q$1) *
  (desp[parcela]&lt;EOMONTH(Q$1,0)+1)
)</f>
        <v>0</v>
      </c>
      <c r="R362" s="245" cm="1">
        <f t="array" ref="R362">-SUMPRODUCT(
  desp[data.vencimento] *
  (desp[classificacao]=$B$289) *
  (desp[centro.negocio]=$B362) *
  (desp[parcela]&gt;=R$1) *
  (desp[parcela]&lt;EOMONTH(R$1,0)+1)
)</f>
        <v>0</v>
      </c>
    </row>
    <row r="363" spans="1:18" outlineLevel="1" x14ac:dyDescent="0.25">
      <c r="A363" s="243" t="s">
        <v>690</v>
      </c>
      <c r="B363" s="243" t="s">
        <v>378</v>
      </c>
      <c r="C363" s="244" t="s">
        <v>522</v>
      </c>
      <c r="D363" s="245" cm="1">
        <f t="array" ref="D363">-SUMPRODUCT(
  desp[data.vencimento] *
  (desp[classificacao]=$B$289) *
  (desp[centro.negocio]=$B363) *
  (desp[parcela]&gt;=D$1) *
  (desp[parcela]&lt;EOMONTH(D$1,0)+1)
)</f>
        <v>0</v>
      </c>
      <c r="E363" s="245" cm="1">
        <f t="array" ref="E363">-SUMPRODUCT(
  desp[data.vencimento] *
  (desp[classificacao]=$B$289) *
  (desp[centro.negocio]=$B363) *
  (desp[parcela]&gt;=E$1) *
  (desp[parcela]&lt;EOMONTH(E$1,0)+1)
)</f>
        <v>0</v>
      </c>
      <c r="F363" s="245" cm="1">
        <f t="array" ref="F363">-SUMPRODUCT(
  desp[data.vencimento] *
  (desp[classificacao]=$B$289) *
  (desp[centro.negocio]=$B363) *
  (desp[parcela]&gt;=F$1) *
  (desp[parcela]&lt;EOMONTH(F$1,0)+1)
)</f>
        <v>0</v>
      </c>
      <c r="G363" s="245" cm="1">
        <f t="array" ref="G363">-SUMPRODUCT(
  desp[data.vencimento] *
  (desp[classificacao]=$B$289) *
  (desp[centro.negocio]=$B363) *
  (desp[parcela]&gt;=G$1) *
  (desp[parcela]&lt;EOMONTH(G$1,0)+1)
)</f>
        <v>0</v>
      </c>
      <c r="H363" s="245" cm="1">
        <f t="array" ref="H363">-SUMPRODUCT(
  desp[data.vencimento] *
  (desp[classificacao]=$B$289) *
  (desp[centro.negocio]=$B363) *
  (desp[parcela]&gt;=H$1) *
  (desp[parcela]&lt;EOMONTH(H$1,0)+1)
)</f>
        <v>0</v>
      </c>
      <c r="I363" s="245" cm="1">
        <f t="array" ref="I363">-SUMPRODUCT(
  desp[data.vencimento] *
  (desp[classificacao]=$B$289) *
  (desp[centro.negocio]=$B363) *
  (desp[parcela]&gt;=I$1) *
  (desp[parcela]&lt;EOMONTH(I$1,0)+1)
)</f>
        <v>0</v>
      </c>
      <c r="J363" s="245" cm="1">
        <f t="array" ref="J363">-SUMPRODUCT(
  desp[data.vencimento] *
  (desp[classificacao]=$B$289) *
  (desp[centro.negocio]=$B363) *
  (desp[parcela]&gt;=J$1) *
  (desp[parcela]&lt;EOMONTH(J$1,0)+1)
)</f>
        <v>0</v>
      </c>
      <c r="K363" s="245" cm="1">
        <f t="array" ref="K363">-SUMPRODUCT(
  desp[data.vencimento] *
  (desp[classificacao]=$B$289) *
  (desp[centro.negocio]=$B363) *
  (desp[parcela]&gt;=K$1) *
  (desp[parcela]&lt;EOMONTH(K$1,0)+1)
)</f>
        <v>0</v>
      </c>
      <c r="L363" s="245" cm="1">
        <f t="array" ref="L363">-SUMPRODUCT(
  desp[data.vencimento] *
  (desp[classificacao]=$B$289) *
  (desp[centro.negocio]=$B363) *
  (desp[parcela]&gt;=L$1) *
  (desp[parcela]&lt;EOMONTH(L$1,0)+1)
)</f>
        <v>0</v>
      </c>
      <c r="M363" s="245" cm="1">
        <f t="array" ref="M363">-SUMPRODUCT(
  desp[data.vencimento] *
  (desp[classificacao]=$B$289) *
  (desp[centro.negocio]=$B363) *
  (desp[parcela]&gt;=M$1) *
  (desp[parcela]&lt;EOMONTH(M$1,0)+1)
)</f>
        <v>0</v>
      </c>
      <c r="N363" s="245" cm="1">
        <f t="array" ref="N363">-SUMPRODUCT(
  desp[data.vencimento] *
  (desp[classificacao]=$B$289) *
  (desp[centro.negocio]=$B363) *
  (desp[parcela]&gt;=N$1) *
  (desp[parcela]&lt;EOMONTH(N$1,0)+1)
)</f>
        <v>0</v>
      </c>
      <c r="O363" s="245" cm="1">
        <f t="array" ref="O363">-SUMPRODUCT(
  desp[data.vencimento] *
  (desp[classificacao]=$B$289) *
  (desp[centro.negocio]=$B363) *
  (desp[parcela]&gt;=O$1) *
  (desp[parcela]&lt;EOMONTH(O$1,0)+1)
)</f>
        <v>0</v>
      </c>
      <c r="P363" s="245" cm="1">
        <f t="array" ref="P363">-SUMPRODUCT(
  desp[data.vencimento] *
  (desp[classificacao]=$B$289) *
  (desp[centro.negocio]=$B363) *
  (desp[parcela]&gt;=P$1) *
  (desp[parcela]&lt;EOMONTH(P$1,0)+1)
)</f>
        <v>0</v>
      </c>
      <c r="Q363" s="245" cm="1">
        <f t="array" ref="Q363">-SUMPRODUCT(
  desp[data.vencimento] *
  (desp[classificacao]=$B$289) *
  (desp[centro.negocio]=$B363) *
  (desp[parcela]&gt;=Q$1) *
  (desp[parcela]&lt;EOMONTH(Q$1,0)+1)
)</f>
        <v>0</v>
      </c>
      <c r="R363" s="245" cm="1">
        <f t="array" ref="R363">-SUMPRODUCT(
  desp[data.vencimento] *
  (desp[classificacao]=$B$289) *
  (desp[centro.negocio]=$B363) *
  (desp[parcela]&gt;=R$1) *
  (desp[parcela]&lt;EOMONTH(R$1,0)+1)
)</f>
        <v>0</v>
      </c>
    </row>
    <row r="364" spans="1:18" outlineLevel="1" x14ac:dyDescent="0.25">
      <c r="A364" s="243" t="s">
        <v>692</v>
      </c>
      <c r="B364" s="243" t="s">
        <v>350</v>
      </c>
      <c r="C364" s="244" t="s">
        <v>522</v>
      </c>
      <c r="D364" s="245" cm="1">
        <f t="array" ref="D364">-SUMPRODUCT(
  desp[data.vencimento] *
  (desp[classificacao] = $B$289) *
  (desp[parcela] &gt;= D$1) *
  (desp[parcela] &lt; EOMONTH(D$1,0)+1) *
  --ISNA(MATCH(desp[centro.negocio], {"NF - Mão de Obra";"Operações Financeiras/juros";"Terreno"}, 0))
)-
SUM(D$297:D$313)</f>
        <v>0</v>
      </c>
      <c r="E364" s="245" cm="1">
        <f t="array" ref="E364">-SUMPRODUCT(
  desp[data.vencimento] *
  (desp[classificacao] = $B$289) *
  (desp[parcela] &gt;= E$1) *
  (desp[parcela] &lt; EOMONTH(E$1,0)+1) *
  --ISNA(MATCH(desp[centro.negocio], {"NF - Mão de Obra";"Operações Financeiras/juros";"Terreno"}, 0))
)-
SUM(E$297:E$313)</f>
        <v>0</v>
      </c>
      <c r="F364" s="245" cm="1">
        <f t="array" ref="F364">-SUMPRODUCT(
  desp[data.vencimento] *
  (desp[classificacao] = $B$289) *
  (desp[parcela] &gt;= F$1) *
  (desp[parcela] &lt; EOMONTH(F$1,0)+1) *
  --ISNA(MATCH(desp[centro.negocio], {"NF - Mão de Obra";"Operações Financeiras/juros";"Terreno"}, 0))
)-
SUM(F$297:F$313)</f>
        <v>0</v>
      </c>
      <c r="G364" s="245" cm="1">
        <f t="array" ref="G364">-SUMPRODUCT(
  desp[data.vencimento] *
  (desp[classificacao] = $B$289) *
  (desp[parcela] &gt;= G$1) *
  (desp[parcela] &lt; EOMONTH(G$1,0)+1) *
  --ISNA(MATCH(desp[centro.negocio], {"NF - Mão de Obra";"Operações Financeiras/juros";"Terreno"}, 0))
)-
SUM(G$297:G$313)</f>
        <v>0</v>
      </c>
      <c r="H364" s="245" cm="1">
        <f t="array" ref="H364">-SUMPRODUCT(
  desp[data.vencimento] *
  (desp[classificacao] = $B$289) *
  (desp[parcela] &gt;= H$1) *
  (desp[parcela] &lt; EOMONTH(H$1,0)+1) *
  --ISNA(MATCH(desp[centro.negocio], {"NF - Mão de Obra";"Operações Financeiras/juros";"Terreno"}, 0))
)-
SUM(H$297:H$313)</f>
        <v>0</v>
      </c>
      <c r="I364" s="245" cm="1">
        <f t="array" ref="I364">-SUMPRODUCT(
  desp[data.vencimento] *
  (desp[classificacao] = $B$289) *
  (desp[parcela] &gt;= I$1) *
  (desp[parcela] &lt; EOMONTH(I$1,0)+1) *
  --ISNA(MATCH(desp[centro.negocio], {"NF - Mão de Obra";"Operações Financeiras/juros";"Terreno"}, 0))
)-
SUM(I$297:I$313)</f>
        <v>0</v>
      </c>
      <c r="J364" s="245" cm="1">
        <f t="array" ref="J364">-SUMPRODUCT(
  desp[data.vencimento] *
  (desp[classificacao] = $B$289) *
  (desp[parcela] &gt;= J$1) *
  (desp[parcela] &lt; EOMONTH(J$1,0)+1) *
  --ISNA(MATCH(desp[centro.negocio], {"NF - Mão de Obra";"Operações Financeiras/juros";"Terreno"}, 0))
)-
SUM(J$297:J$313)</f>
        <v>0</v>
      </c>
      <c r="K364" s="245" cm="1">
        <f t="array" ref="K364">-SUMPRODUCT(
  desp[data.vencimento] *
  (desp[classificacao] = $B$289) *
  (desp[parcela] &gt;= K$1) *
  (desp[parcela] &lt; EOMONTH(K$1,0)+1) *
  --ISNA(MATCH(desp[centro.negocio], {"NF - Mão de Obra";"Operações Financeiras/juros";"Terreno"}, 0))
)-
SUM(K$297:K$313)</f>
        <v>0</v>
      </c>
      <c r="L364" s="245" cm="1">
        <f t="array" ref="L364">-SUMPRODUCT(
  desp[data.vencimento] *
  (desp[classificacao] = $B$289) *
  (desp[parcela] &gt;= L$1) *
  (desp[parcela] &lt; EOMONTH(L$1,0)+1) *
  --ISNA(MATCH(desp[centro.negocio], {"NF - Mão de Obra";"Operações Financeiras/juros";"Terreno"}, 0))
)-
SUM(L$297:L$313)</f>
        <v>0</v>
      </c>
      <c r="M364" s="245" cm="1">
        <f t="array" ref="M364">-SUMPRODUCT(
  desp[data.vencimento] *
  (desp[classificacao] = $B$289) *
  (desp[parcela] &gt;= M$1) *
  (desp[parcela] &lt; EOMONTH(M$1,0)+1) *
  --ISNA(MATCH(desp[centro.negocio], {"NF - Mão de Obra";"Operações Financeiras/juros";"Terreno"}, 0))
)-
SUM(M$297:M$313)</f>
        <v>0</v>
      </c>
      <c r="N364" s="245" cm="1">
        <f t="array" ref="N364">-SUMPRODUCT(
  desp[data.vencimento] *
  (desp[classificacao] = $B$289) *
  (desp[parcela] &gt;= N$1) *
  (desp[parcela] &lt; EOMONTH(N$1,0)+1) *
  --ISNA(MATCH(desp[centro.negocio], {"NF - Mão de Obra";"Operações Financeiras/juros";"Terreno"}, 0))
)-
SUM(N$297:N$313)</f>
        <v>0</v>
      </c>
      <c r="O364" s="245" cm="1">
        <f t="array" ref="O364">-SUMPRODUCT(
  desp[data.vencimento] *
  (desp[classificacao] = $B$289) *
  (desp[parcela] &gt;= O$1) *
  (desp[parcela] &lt; EOMONTH(O$1,0)+1) *
  --ISNA(MATCH(desp[centro.negocio], {"NF - Mão de Obra";"Operações Financeiras/juros";"Terreno"}, 0))
)-
SUM(O$297:O$313)</f>
        <v>0</v>
      </c>
      <c r="P364" s="245" cm="1">
        <f t="array" ref="P364">-SUMPRODUCT(
  desp[data.vencimento] *
  (desp[classificacao] = $B$289) *
  (desp[parcela] &gt;= P$1) *
  (desp[parcela] &lt; EOMONTH(P$1,0)+1) *
  --ISNA(MATCH(desp[centro.negocio], {"NF - Mão de Obra";"Operações Financeiras/juros";"Terreno"}, 0))
)-
SUM(P$297:P$313)</f>
        <v>0</v>
      </c>
      <c r="Q364" s="245" cm="1">
        <f t="array" ref="Q364">-SUMPRODUCT(
  desp[data.vencimento] *
  (desp[classificacao] = $B$289) *
  (desp[parcela] &gt;= Q$1) *
  (desp[parcela] &lt; EOMONTH(Q$1,0)+1) *
  --ISNA(MATCH(desp[centro.negocio], {"NF - Mão de Obra";"Operações Financeiras/juros";"Terreno"}, 0))
)-
SUM(Q$297:Q$313)</f>
        <v>0</v>
      </c>
      <c r="R364" s="245" cm="1">
        <f t="array" ref="R364">-SUMPRODUCT(
  desp[data.vencimento] *
  (desp[classificacao] = $B$289) *
  (desp[parcela] &gt;= R$1) *
  (desp[parcela] &lt; EOMONTH(R$1,0)+1) *
  --ISNA(MATCH(desp[centro.negocio], {"NF - Mão de Obra";"Operações Financeiras/juros";"Terreno"}, 0))
)-
SUM(R$297:R$313)</f>
        <v>0</v>
      </c>
    </row>
    <row r="365" spans="1:18" x14ac:dyDescent="0.25">
      <c r="A365" s="236" t="s">
        <v>693</v>
      </c>
      <c r="B365" s="236" t="s">
        <v>694</v>
      </c>
      <c r="C365" s="237"/>
      <c r="D365" s="253">
        <f>D366+D369</f>
        <v>0</v>
      </c>
      <c r="E365" s="253">
        <f t="shared" ref="E365" si="132">E366+E369</f>
        <v>0</v>
      </c>
      <c r="F365" s="253">
        <f t="shared" ref="F365" si="133">F366+F369</f>
        <v>0</v>
      </c>
      <c r="G365" s="253">
        <f t="shared" ref="G365" si="134">G366+G369</f>
        <v>0</v>
      </c>
      <c r="H365" s="253">
        <f t="shared" ref="H365" si="135">H366+H369</f>
        <v>0</v>
      </c>
      <c r="I365" s="253">
        <f t="shared" ref="I365" si="136">I366+I369</f>
        <v>0</v>
      </c>
      <c r="J365" s="253">
        <f t="shared" ref="J365" si="137">J366+J369</f>
        <v>0</v>
      </c>
      <c r="K365" s="253">
        <f t="shared" ref="K365" si="138">K366+K369</f>
        <v>0</v>
      </c>
      <c r="L365" s="253">
        <f t="shared" ref="L365" si="139">L366+L369</f>
        <v>0</v>
      </c>
      <c r="M365" s="253">
        <f t="shared" ref="M365" si="140">M366+M369</f>
        <v>0</v>
      </c>
      <c r="N365" s="253">
        <f t="shared" ref="N365" si="141">N366+N369</f>
        <v>0</v>
      </c>
      <c r="O365" s="253">
        <f t="shared" ref="O365" si="142">O366+O369</f>
        <v>0</v>
      </c>
      <c r="P365" s="253">
        <f t="shared" ref="P365" si="143">P366+P369</f>
        <v>0</v>
      </c>
      <c r="Q365" s="253">
        <f t="shared" ref="Q365:R365" si="144">Q366+Q369</f>
        <v>0</v>
      </c>
      <c r="R365" s="253">
        <f t="shared" si="144"/>
        <v>0</v>
      </c>
    </row>
    <row r="366" spans="1:18" x14ac:dyDescent="0.25">
      <c r="A366" s="240" t="s">
        <v>695</v>
      </c>
      <c r="B366" s="240" t="s">
        <v>696</v>
      </c>
      <c r="C366" s="241"/>
      <c r="D366" s="242">
        <f>SUM(D367:D368)</f>
        <v>0</v>
      </c>
      <c r="E366" s="242">
        <f t="shared" ref="E366" si="145">SUM(E367:E368)</f>
        <v>0</v>
      </c>
      <c r="F366" s="242">
        <f t="shared" ref="F366" si="146">SUM(F367:F368)</f>
        <v>0</v>
      </c>
      <c r="G366" s="242">
        <f t="shared" ref="G366" si="147">SUM(G367:G368)</f>
        <v>0</v>
      </c>
      <c r="H366" s="242">
        <f t="shared" ref="H366" si="148">SUM(H367:H368)</f>
        <v>0</v>
      </c>
      <c r="I366" s="242">
        <f t="shared" ref="I366" si="149">SUM(I367:I368)</f>
        <v>0</v>
      </c>
      <c r="J366" s="242">
        <f t="shared" ref="J366" si="150">SUM(J367:J368)</f>
        <v>0</v>
      </c>
      <c r="K366" s="242">
        <f t="shared" ref="K366" si="151">SUM(K367:K368)</f>
        <v>0</v>
      </c>
      <c r="L366" s="242">
        <f t="shared" ref="L366" si="152">SUM(L367:L368)</f>
        <v>0</v>
      </c>
      <c r="M366" s="242">
        <f t="shared" ref="M366" si="153">SUM(M367:M368)</f>
        <v>0</v>
      </c>
      <c r="N366" s="242">
        <f t="shared" ref="N366" si="154">SUM(N367:N368)</f>
        <v>0</v>
      </c>
      <c r="O366" s="242">
        <f t="shared" ref="O366" si="155">SUM(O367:O368)</f>
        <v>0</v>
      </c>
      <c r="P366" s="242">
        <f t="shared" ref="P366" si="156">SUM(P367:P368)</f>
        <v>0</v>
      </c>
      <c r="Q366" s="242">
        <f t="shared" ref="Q366:R366" si="157">SUM(Q367:Q368)</f>
        <v>0</v>
      </c>
      <c r="R366" s="242">
        <f t="shared" si="157"/>
        <v>0</v>
      </c>
    </row>
    <row r="367" spans="1:18" outlineLevel="1" x14ac:dyDescent="0.25">
      <c r="A367" s="243" t="s">
        <v>697</v>
      </c>
      <c r="B367" s="254" t="s">
        <v>698</v>
      </c>
      <c r="C367" s="193"/>
      <c r="D367" s="247"/>
      <c r="E367" s="247"/>
      <c r="F367" s="247"/>
      <c r="G367" s="247"/>
      <c r="H367" s="247"/>
      <c r="I367" s="247"/>
      <c r="J367" s="247"/>
      <c r="K367" s="247"/>
      <c r="L367" s="247"/>
      <c r="M367" s="247"/>
      <c r="N367" s="247"/>
      <c r="O367" s="247"/>
      <c r="P367" s="247"/>
      <c r="Q367" s="247"/>
      <c r="R367" s="247"/>
    </row>
    <row r="368" spans="1:18" outlineLevel="1" x14ac:dyDescent="0.25">
      <c r="A368" s="243" t="s">
        <v>699</v>
      </c>
      <c r="B368" s="254" t="s">
        <v>700</v>
      </c>
      <c r="C368" s="193"/>
      <c r="D368" s="247"/>
      <c r="E368" s="247"/>
      <c r="F368" s="247"/>
      <c r="G368" s="247"/>
      <c r="H368" s="247"/>
      <c r="I368" s="247"/>
      <c r="J368" s="247"/>
      <c r="K368" s="247"/>
      <c r="L368" s="247"/>
      <c r="M368" s="247"/>
      <c r="N368" s="247"/>
      <c r="O368" s="247"/>
      <c r="P368" s="247"/>
      <c r="Q368" s="247"/>
      <c r="R368" s="247"/>
    </row>
    <row r="369" spans="1:18" x14ac:dyDescent="0.25">
      <c r="A369" s="249" t="s">
        <v>701</v>
      </c>
      <c r="B369" s="249" t="s">
        <v>702</v>
      </c>
      <c r="C369" s="255"/>
      <c r="D369" s="256">
        <f>SUM(D370:D372)</f>
        <v>0</v>
      </c>
      <c r="E369" s="256">
        <f t="shared" ref="E369" si="158">SUM(E370:E372)</f>
        <v>0</v>
      </c>
      <c r="F369" s="256">
        <f t="shared" ref="F369" si="159">SUM(F370:F372)</f>
        <v>0</v>
      </c>
      <c r="G369" s="256">
        <f t="shared" ref="G369" si="160">SUM(G370:G372)</f>
        <v>0</v>
      </c>
      <c r="H369" s="256">
        <f t="shared" ref="H369" si="161">SUM(H370:H372)</f>
        <v>0</v>
      </c>
      <c r="I369" s="256">
        <f t="shared" ref="I369" si="162">SUM(I370:I372)</f>
        <v>0</v>
      </c>
      <c r="J369" s="256">
        <f t="shared" ref="J369" si="163">SUM(J370:J372)</f>
        <v>0</v>
      </c>
      <c r="K369" s="256">
        <f t="shared" ref="K369" si="164">SUM(K370:K372)</f>
        <v>0</v>
      </c>
      <c r="L369" s="256">
        <f t="shared" ref="L369" si="165">SUM(L370:L372)</f>
        <v>0</v>
      </c>
      <c r="M369" s="256">
        <f t="shared" ref="M369" si="166">SUM(M370:M372)</f>
        <v>0</v>
      </c>
      <c r="N369" s="256">
        <f t="shared" ref="N369" si="167">SUM(N370:N372)</f>
        <v>0</v>
      </c>
      <c r="O369" s="256">
        <f t="shared" ref="O369" si="168">SUM(O370:O372)</f>
        <v>0</v>
      </c>
      <c r="P369" s="256">
        <f t="shared" ref="P369" si="169">SUM(P370:P372)</f>
        <v>0</v>
      </c>
      <c r="Q369" s="256">
        <f t="shared" ref="Q369:R369" si="170">SUM(Q370:Q372)</f>
        <v>0</v>
      </c>
      <c r="R369" s="256">
        <f t="shared" si="170"/>
        <v>0</v>
      </c>
    </row>
    <row r="370" spans="1:18" outlineLevel="1" x14ac:dyDescent="0.25">
      <c r="A370" s="243" t="s">
        <v>703</v>
      </c>
      <c r="B370" s="243" t="s">
        <v>407</v>
      </c>
      <c r="C370" s="244" t="s">
        <v>522</v>
      </c>
      <c r="D370" s="245" cm="1">
        <f t="array" ref="D370">-SUMPRODUCT(
  desp[data.vencimento] *
  (desp[classificacao]=$B$289) *
  (desp[centro.negocio]=$B370) *
  (desp[parcela]&gt;=D$1) *
  (desp[parcela]&lt;EOMONTH(D$1,0)+1)
)</f>
        <v>0</v>
      </c>
      <c r="E370" s="245" cm="1">
        <f t="array" ref="E370">-SUMPRODUCT(
  desp[data.vencimento] *
  (desp[classificacao]=$B$289) *
  (desp[centro.negocio]=$B370) *
  (desp[parcela]&gt;=E$1) *
  (desp[parcela]&lt;EOMONTH(E$1,0)+1)
)</f>
        <v>0</v>
      </c>
      <c r="F370" s="245" cm="1">
        <f t="array" ref="F370">-SUMPRODUCT(
  desp[data.vencimento] *
  (desp[classificacao]=$B$289) *
  (desp[centro.negocio]=$B370) *
  (desp[parcela]&gt;=F$1) *
  (desp[parcela]&lt;EOMONTH(F$1,0)+1)
)</f>
        <v>0</v>
      </c>
      <c r="G370" s="245" cm="1">
        <f t="array" ref="G370">-SUMPRODUCT(
  desp[data.vencimento] *
  (desp[classificacao]=$B$289) *
  (desp[centro.negocio]=$B370) *
  (desp[parcela]&gt;=G$1) *
  (desp[parcela]&lt;EOMONTH(G$1,0)+1)
)</f>
        <v>0</v>
      </c>
      <c r="H370" s="245" cm="1">
        <f t="array" ref="H370">-SUMPRODUCT(
  desp[data.vencimento] *
  (desp[classificacao]=$B$289) *
  (desp[centro.negocio]=$B370) *
  (desp[parcela]&gt;=H$1) *
  (desp[parcela]&lt;EOMONTH(H$1,0)+1)
)</f>
        <v>0</v>
      </c>
      <c r="I370" s="245" cm="1">
        <f t="array" ref="I370">-SUMPRODUCT(
  desp[data.vencimento] *
  (desp[classificacao]=$B$289) *
  (desp[centro.negocio]=$B370) *
  (desp[parcela]&gt;=I$1) *
  (desp[parcela]&lt;EOMONTH(I$1,0)+1)
)</f>
        <v>0</v>
      </c>
      <c r="J370" s="245" cm="1">
        <f t="array" ref="J370">-SUMPRODUCT(
  desp[data.vencimento] *
  (desp[classificacao]=$B$289) *
  (desp[centro.negocio]=$B370) *
  (desp[parcela]&gt;=J$1) *
  (desp[parcela]&lt;EOMONTH(J$1,0)+1)
)</f>
        <v>0</v>
      </c>
      <c r="K370" s="245" cm="1">
        <f t="array" ref="K370">-SUMPRODUCT(
  desp[data.vencimento] *
  (desp[classificacao]=$B$289) *
  (desp[centro.negocio]=$B370) *
  (desp[parcela]&gt;=K$1) *
  (desp[parcela]&lt;EOMONTH(K$1,0)+1)
)</f>
        <v>0</v>
      </c>
      <c r="L370" s="245" cm="1">
        <f t="array" ref="L370">-SUMPRODUCT(
  desp[data.vencimento] *
  (desp[classificacao]=$B$289) *
  (desp[centro.negocio]=$B370) *
  (desp[parcela]&gt;=L$1) *
  (desp[parcela]&lt;EOMONTH(L$1,0)+1)
)</f>
        <v>0</v>
      </c>
      <c r="M370" s="245" cm="1">
        <f t="array" ref="M370">-SUMPRODUCT(
  desp[data.vencimento] *
  (desp[classificacao]=$B$289) *
  (desp[centro.negocio]=$B370) *
  (desp[parcela]&gt;=M$1) *
  (desp[parcela]&lt;EOMONTH(M$1,0)+1)
)</f>
        <v>0</v>
      </c>
      <c r="N370" s="245" cm="1">
        <f t="array" ref="N370">-SUMPRODUCT(
  desp[data.vencimento] *
  (desp[classificacao]=$B$289) *
  (desp[centro.negocio]=$B370) *
  (desp[parcela]&gt;=N$1) *
  (desp[parcela]&lt;EOMONTH(N$1,0)+1)
)</f>
        <v>0</v>
      </c>
      <c r="O370" s="245" cm="1">
        <f t="array" ref="O370">-SUMPRODUCT(
  desp[data.vencimento] *
  (desp[classificacao]=$B$289) *
  (desp[centro.negocio]=$B370) *
  (desp[parcela]&gt;=O$1) *
  (desp[parcela]&lt;EOMONTH(O$1,0)+1)
)</f>
        <v>0</v>
      </c>
      <c r="P370" s="245" cm="1">
        <f t="array" ref="P370">-SUMPRODUCT(
  desp[data.vencimento] *
  (desp[classificacao]=$B$289) *
  (desp[centro.negocio]=$B370) *
  (desp[parcela]&gt;=P$1) *
  (desp[parcela]&lt;EOMONTH(P$1,0)+1)
)</f>
        <v>0</v>
      </c>
      <c r="Q370" s="245" cm="1">
        <f t="array" ref="Q370">-SUMPRODUCT(
  desp[data.vencimento] *
  (desp[classificacao]=$B$289) *
  (desp[centro.negocio]=$B370) *
  (desp[parcela]&gt;=Q$1) *
  (desp[parcela]&lt;EOMONTH(Q$1,0)+1)
)</f>
        <v>0</v>
      </c>
      <c r="R370" s="245" cm="1">
        <f t="array" ref="R370">-SUMPRODUCT(
  desp[data.vencimento] *
  (desp[classificacao]=$B$289) *
  (desp[centro.negocio]=$B370) *
  (desp[parcela]&gt;=R$1) *
  (desp[parcela]&lt;EOMONTH(R$1,0)+1)
)</f>
        <v>0</v>
      </c>
    </row>
    <row r="371" spans="1:18" outlineLevel="1" x14ac:dyDescent="0.25">
      <c r="A371" s="243" t="s">
        <v>719</v>
      </c>
      <c r="B371" s="254" t="s">
        <v>720</v>
      </c>
      <c r="C371" s="193"/>
      <c r="D371" s="247"/>
      <c r="E371" s="247"/>
      <c r="F371" s="247"/>
      <c r="G371" s="247"/>
      <c r="H371" s="247"/>
      <c r="I371" s="247"/>
      <c r="J371" s="247"/>
      <c r="K371" s="247"/>
      <c r="L371" s="247"/>
      <c r="M371" s="247"/>
      <c r="N371" s="247"/>
      <c r="O371" s="247"/>
      <c r="P371" s="247"/>
      <c r="Q371" s="247"/>
      <c r="R371" s="247"/>
    </row>
    <row r="372" spans="1:18" outlineLevel="1" x14ac:dyDescent="0.25">
      <c r="A372" s="243" t="s">
        <v>721</v>
      </c>
      <c r="B372" s="254" t="s">
        <v>722</v>
      </c>
      <c r="C372" s="193"/>
      <c r="D372" s="247"/>
      <c r="E372" s="247"/>
      <c r="F372" s="247"/>
      <c r="G372" s="247"/>
      <c r="H372" s="247"/>
      <c r="I372" s="247"/>
      <c r="J372" s="247"/>
      <c r="K372" s="247"/>
      <c r="L372" s="247"/>
      <c r="M372" s="247"/>
      <c r="N372" s="247"/>
      <c r="O372" s="247"/>
      <c r="P372" s="247"/>
      <c r="Q372" s="247"/>
      <c r="R372" s="247"/>
    </row>
    <row r="373" spans="1:18" x14ac:dyDescent="0.25">
      <c r="A373" s="236" t="s">
        <v>723</v>
      </c>
      <c r="B373" s="236" t="s">
        <v>724</v>
      </c>
      <c r="C373" s="237"/>
      <c r="D373" s="238">
        <f>D374+D379</f>
        <v>489068.85</v>
      </c>
      <c r="E373" s="238">
        <f t="shared" ref="E373" si="171">E374+E379</f>
        <v>0</v>
      </c>
      <c r="F373" s="238">
        <f t="shared" ref="F373" si="172">F374+F379</f>
        <v>385006.39</v>
      </c>
      <c r="G373" s="238">
        <f t="shared" ref="G373" si="173">G374+G379</f>
        <v>223853.73</v>
      </c>
      <c r="H373" s="238">
        <f t="shared" ref="H373" si="174">H374+H379</f>
        <v>134752.4</v>
      </c>
      <c r="I373" s="238">
        <f t="shared" ref="I373" si="175">I374+I379</f>
        <v>289304.8</v>
      </c>
      <c r="J373" s="238">
        <f t="shared" ref="J373" si="176">J374+J379</f>
        <v>171602.91</v>
      </c>
      <c r="K373" s="238">
        <f t="shared" ref="K373" si="177">K374+K379</f>
        <v>366306.04</v>
      </c>
      <c r="L373" s="238">
        <f t="shared" ref="L373" si="178">L374+L379</f>
        <v>181081.21</v>
      </c>
      <c r="M373" s="238">
        <f t="shared" ref="M373" si="179">M374+M379</f>
        <v>266613.7</v>
      </c>
      <c r="N373" s="238">
        <f t="shared" ref="N373" si="180">N374+N379</f>
        <v>230479.34</v>
      </c>
      <c r="O373" s="238">
        <f t="shared" ref="O373" si="181">O374+O379</f>
        <v>471701.2</v>
      </c>
      <c r="P373" s="238">
        <f t="shared" ref="P373" si="182">P374+P379</f>
        <v>0</v>
      </c>
      <c r="Q373" s="238">
        <f t="shared" ref="Q373:R373" si="183">Q374+Q379</f>
        <v>46792.36</v>
      </c>
      <c r="R373" s="238">
        <f t="shared" si="183"/>
        <v>0</v>
      </c>
    </row>
    <row r="374" spans="1:18" x14ac:dyDescent="0.25">
      <c r="A374" s="240" t="s">
        <v>725</v>
      </c>
      <c r="B374" s="240" t="s">
        <v>726</v>
      </c>
      <c r="C374" s="241"/>
      <c r="D374" s="242">
        <f>D375+D378</f>
        <v>489068.85</v>
      </c>
      <c r="E374" s="242">
        <f t="shared" ref="E374" si="184">E375+E378</f>
        <v>0</v>
      </c>
      <c r="F374" s="242">
        <f t="shared" ref="F374" si="185">F375+F378</f>
        <v>385006.39</v>
      </c>
      <c r="G374" s="242">
        <f t="shared" ref="G374" si="186">G375+G378</f>
        <v>223853.73</v>
      </c>
      <c r="H374" s="242">
        <f t="shared" ref="H374" si="187">H375+H378</f>
        <v>134752.4</v>
      </c>
      <c r="I374" s="242">
        <f t="shared" ref="I374" si="188">I375+I378</f>
        <v>289304.8</v>
      </c>
      <c r="J374" s="242">
        <f t="shared" ref="J374" si="189">J375+J378</f>
        <v>171602.91</v>
      </c>
      <c r="K374" s="242">
        <f t="shared" ref="K374" si="190">K375+K378</f>
        <v>366306.04</v>
      </c>
      <c r="L374" s="242">
        <f t="shared" ref="L374" si="191">L375+L378</f>
        <v>181081.21</v>
      </c>
      <c r="M374" s="242">
        <f t="shared" ref="M374" si="192">M375+M378</f>
        <v>266613.7</v>
      </c>
      <c r="N374" s="242">
        <f t="shared" ref="N374" si="193">N375+N378</f>
        <v>230479.34</v>
      </c>
      <c r="O374" s="242">
        <f t="shared" ref="O374" si="194">O375+O378</f>
        <v>471701.2</v>
      </c>
      <c r="P374" s="242">
        <f t="shared" ref="P374" si="195">P375+P378</f>
        <v>0</v>
      </c>
      <c r="Q374" s="242">
        <f t="shared" ref="Q374:R374" si="196">Q375+Q378</f>
        <v>46792.36</v>
      </c>
      <c r="R374" s="242">
        <f t="shared" si="196"/>
        <v>0</v>
      </c>
    </row>
    <row r="375" spans="1:18" outlineLevel="1" x14ac:dyDescent="0.25">
      <c r="A375" s="243" t="s">
        <v>727</v>
      </c>
      <c r="B375" s="243" t="s">
        <v>728</v>
      </c>
      <c r="C375" s="244" t="s">
        <v>729</v>
      </c>
      <c r="D375" s="245">
        <f>SUM(D376:D377)</f>
        <v>489068.85</v>
      </c>
      <c r="E375" s="245">
        <f t="shared" ref="E375" si="197">SUM(E376:E377)</f>
        <v>0</v>
      </c>
      <c r="F375" s="245">
        <f t="shared" ref="F375" si="198">SUM(F376:F377)</f>
        <v>385006.39</v>
      </c>
      <c r="G375" s="245">
        <f t="shared" ref="G375" si="199">SUM(G376:G377)</f>
        <v>223853.73</v>
      </c>
      <c r="H375" s="245">
        <f t="shared" ref="H375" si="200">SUM(H376:H377)</f>
        <v>134752.4</v>
      </c>
      <c r="I375" s="245">
        <f t="shared" ref="I375" si="201">SUM(I376:I377)</f>
        <v>289304.8</v>
      </c>
      <c r="J375" s="245">
        <f t="shared" ref="J375" si="202">SUM(J376:J377)</f>
        <v>171602.91</v>
      </c>
      <c r="K375" s="245">
        <f t="shared" ref="K375" si="203">SUM(K376:K377)</f>
        <v>366306.04</v>
      </c>
      <c r="L375" s="245">
        <f t="shared" ref="L375" si="204">SUM(L376:L377)</f>
        <v>181081.21</v>
      </c>
      <c r="M375" s="245">
        <f t="shared" ref="M375" si="205">SUM(M376:M377)</f>
        <v>266613.7</v>
      </c>
      <c r="N375" s="245">
        <f t="shared" ref="N375" si="206">SUM(N376:N377)</f>
        <v>230479.34</v>
      </c>
      <c r="O375" s="245">
        <f t="shared" ref="O375" si="207">SUM(O376:O377)</f>
        <v>471701.2</v>
      </c>
      <c r="P375" s="245">
        <f t="shared" ref="P375" si="208">SUM(P376:P377)</f>
        <v>0</v>
      </c>
      <c r="Q375" s="245">
        <f t="shared" ref="Q375:R375" si="209">SUM(Q376:Q377)</f>
        <v>46792.36</v>
      </c>
      <c r="R375" s="245">
        <f t="shared" si="209"/>
        <v>0</v>
      </c>
    </row>
    <row r="376" spans="1:18" outlineLevel="2" x14ac:dyDescent="0.25">
      <c r="A376" s="258" t="s">
        <v>730</v>
      </c>
      <c r="B376" s="258" t="s">
        <v>731</v>
      </c>
      <c r="C376" s="244"/>
      <c r="D376" s="245" cm="1">
        <f t="array" ref="D376:Q376">TRANSPOSE(inputs!F$51:F$64)</f>
        <v>489068.85</v>
      </c>
      <c r="E376" s="245">
        <v>0</v>
      </c>
      <c r="F376" s="245">
        <v>385006.39</v>
      </c>
      <c r="G376" s="245">
        <v>223853.73</v>
      </c>
      <c r="H376" s="245">
        <v>134752.4</v>
      </c>
      <c r="I376" s="245">
        <v>289304.8</v>
      </c>
      <c r="J376" s="245">
        <v>171602.91</v>
      </c>
      <c r="K376" s="245">
        <v>366306.04</v>
      </c>
      <c r="L376" s="245">
        <v>181081.21</v>
      </c>
      <c r="M376" s="245">
        <v>266613.7</v>
      </c>
      <c r="N376" s="245">
        <v>230479.34</v>
      </c>
      <c r="O376" s="245">
        <v>471701.2</v>
      </c>
      <c r="P376" s="245">
        <v>0</v>
      </c>
      <c r="Q376" s="245">
        <v>46792.36</v>
      </c>
      <c r="R376" s="245"/>
    </row>
    <row r="377" spans="1:18" outlineLevel="2" x14ac:dyDescent="0.25">
      <c r="A377" s="258" t="s">
        <v>736</v>
      </c>
      <c r="B377" s="258" t="s">
        <v>350</v>
      </c>
      <c r="C377" s="244" t="s">
        <v>737</v>
      </c>
      <c r="D377" s="302"/>
      <c r="E377" s="302"/>
      <c r="F377" s="302"/>
      <c r="G377" s="302"/>
      <c r="H377" s="302"/>
      <c r="I377" s="302"/>
      <c r="J377" s="302"/>
      <c r="K377" s="302"/>
      <c r="L377" s="302"/>
      <c r="M377" s="302"/>
      <c r="N377" s="302"/>
      <c r="O377" s="302"/>
      <c r="P377" s="302"/>
      <c r="Q377" s="302"/>
      <c r="R377" s="302"/>
    </row>
    <row r="378" spans="1:18" outlineLevel="1" x14ac:dyDescent="0.25">
      <c r="A378" s="243" t="s">
        <v>751</v>
      </c>
      <c r="B378" s="254" t="s">
        <v>752</v>
      </c>
      <c r="C378" s="244" t="s">
        <v>522</v>
      </c>
      <c r="D378" s="245"/>
      <c r="E378" s="245"/>
      <c r="F378" s="245"/>
      <c r="G378" s="245"/>
      <c r="H378" s="245"/>
      <c r="I378" s="245"/>
      <c r="J378" s="245"/>
      <c r="K378" s="245"/>
      <c r="L378" s="245"/>
      <c r="M378" s="245"/>
      <c r="N378" s="245"/>
      <c r="O378" s="245"/>
      <c r="P378" s="245"/>
      <c r="Q378" s="245"/>
      <c r="R378" s="245"/>
    </row>
    <row r="379" spans="1:18" x14ac:dyDescent="0.25">
      <c r="A379" s="249" t="s">
        <v>753</v>
      </c>
      <c r="B379" s="249" t="s">
        <v>754</v>
      </c>
      <c r="C379" s="255"/>
      <c r="D379" s="256">
        <f>SUM(D380:D381)</f>
        <v>0</v>
      </c>
      <c r="E379" s="256">
        <f t="shared" ref="E379" si="210">SUM(E380:E381)</f>
        <v>0</v>
      </c>
      <c r="F379" s="256">
        <f t="shared" ref="F379" si="211">SUM(F380:F381)</f>
        <v>0</v>
      </c>
      <c r="G379" s="256">
        <f t="shared" ref="G379" si="212">SUM(G380:G381)</f>
        <v>0</v>
      </c>
      <c r="H379" s="256">
        <f t="shared" ref="H379" si="213">SUM(H380:H381)</f>
        <v>0</v>
      </c>
      <c r="I379" s="256">
        <f t="shared" ref="I379" si="214">SUM(I380:I381)</f>
        <v>0</v>
      </c>
      <c r="J379" s="256">
        <f t="shared" ref="J379" si="215">SUM(J380:J381)</f>
        <v>0</v>
      </c>
      <c r="K379" s="256">
        <f t="shared" ref="K379" si="216">SUM(K380:K381)</f>
        <v>0</v>
      </c>
      <c r="L379" s="256">
        <f t="shared" ref="L379" si="217">SUM(L380:L381)</f>
        <v>0</v>
      </c>
      <c r="M379" s="256">
        <f t="shared" ref="M379" si="218">SUM(M380:M381)</f>
        <v>0</v>
      </c>
      <c r="N379" s="256">
        <f t="shared" ref="N379" si="219">SUM(N380:N381)</f>
        <v>0</v>
      </c>
      <c r="O379" s="256">
        <f t="shared" ref="O379" si="220">SUM(O380:O381)</f>
        <v>0</v>
      </c>
      <c r="P379" s="256">
        <f t="shared" ref="P379" si="221">SUM(P380:P381)</f>
        <v>0</v>
      </c>
      <c r="Q379" s="256">
        <f t="shared" ref="Q379:R379" si="222">SUM(Q380:Q381)</f>
        <v>0</v>
      </c>
      <c r="R379" s="256">
        <f t="shared" si="222"/>
        <v>0</v>
      </c>
    </row>
    <row r="380" spans="1:18" outlineLevel="1" x14ac:dyDescent="0.25">
      <c r="A380" s="243" t="s">
        <v>755</v>
      </c>
      <c r="B380" s="248" t="s">
        <v>396</v>
      </c>
      <c r="C380" s="244" t="s">
        <v>522</v>
      </c>
      <c r="D380" s="245" cm="1">
        <f t="array" ref="D380">-SUMPRODUCT(
  desp[data.vencimento] *
  (desp[classificacao]=$B$289) *
  (desp[centro.negocio]=$B380) *
  (desp[parcela]&gt;=D$1) *
  (desp[parcela]&lt;EOMONTH(D$1,0)+1)
)</f>
        <v>0</v>
      </c>
      <c r="E380" s="245" cm="1">
        <f t="array" ref="E380">-SUMPRODUCT(
  desp[data.vencimento] *
  (desp[classificacao]=$B$289) *
  (desp[centro.negocio]=$B380) *
  (desp[parcela]&gt;=E$1) *
  (desp[parcela]&lt;EOMONTH(E$1,0)+1)
)</f>
        <v>0</v>
      </c>
      <c r="F380" s="245" cm="1">
        <f t="array" ref="F380">-SUMPRODUCT(
  desp[data.vencimento] *
  (desp[classificacao]=$B$289) *
  (desp[centro.negocio]=$B380) *
  (desp[parcela]&gt;=F$1) *
  (desp[parcela]&lt;EOMONTH(F$1,0)+1)
)</f>
        <v>0</v>
      </c>
      <c r="G380" s="245" cm="1">
        <f t="array" ref="G380">-SUMPRODUCT(
  desp[data.vencimento] *
  (desp[classificacao]=$B$289) *
  (desp[centro.negocio]=$B380) *
  (desp[parcela]&gt;=G$1) *
  (desp[parcela]&lt;EOMONTH(G$1,0)+1)
)</f>
        <v>0</v>
      </c>
      <c r="H380" s="245" cm="1">
        <f t="array" ref="H380">-SUMPRODUCT(
  desp[data.vencimento] *
  (desp[classificacao]=$B$289) *
  (desp[centro.negocio]=$B380) *
  (desp[parcela]&gt;=H$1) *
  (desp[parcela]&lt;EOMONTH(H$1,0)+1)
)</f>
        <v>0</v>
      </c>
      <c r="I380" s="245" cm="1">
        <f t="array" ref="I380">-SUMPRODUCT(
  desp[data.vencimento] *
  (desp[classificacao]=$B$289) *
  (desp[centro.negocio]=$B380) *
  (desp[parcela]&gt;=I$1) *
  (desp[parcela]&lt;EOMONTH(I$1,0)+1)
)</f>
        <v>0</v>
      </c>
      <c r="J380" s="245" cm="1">
        <f t="array" ref="J380">-SUMPRODUCT(
  desp[data.vencimento] *
  (desp[classificacao]=$B$289) *
  (desp[centro.negocio]=$B380) *
  (desp[parcela]&gt;=J$1) *
  (desp[parcela]&lt;EOMONTH(J$1,0)+1)
)</f>
        <v>0</v>
      </c>
      <c r="K380" s="245" cm="1">
        <f t="array" ref="K380">-SUMPRODUCT(
  desp[data.vencimento] *
  (desp[classificacao]=$B$289) *
  (desp[centro.negocio]=$B380) *
  (desp[parcela]&gt;=K$1) *
  (desp[parcela]&lt;EOMONTH(K$1,0)+1)
)</f>
        <v>0</v>
      </c>
      <c r="L380" s="245" cm="1">
        <f t="array" ref="L380">-SUMPRODUCT(
  desp[data.vencimento] *
  (desp[classificacao]=$B$289) *
  (desp[centro.negocio]=$B380) *
  (desp[parcela]&gt;=L$1) *
  (desp[parcela]&lt;EOMONTH(L$1,0)+1)
)</f>
        <v>0</v>
      </c>
      <c r="M380" s="245" cm="1">
        <f t="array" ref="M380">-SUMPRODUCT(
  desp[data.vencimento] *
  (desp[classificacao]=$B$289) *
  (desp[centro.negocio]=$B380) *
  (desp[parcela]&gt;=M$1) *
  (desp[parcela]&lt;EOMONTH(M$1,0)+1)
)</f>
        <v>0</v>
      </c>
      <c r="N380" s="245" cm="1">
        <f t="array" ref="N380">-SUMPRODUCT(
  desp[data.vencimento] *
  (desp[classificacao]=$B$289) *
  (desp[centro.negocio]=$B380) *
  (desp[parcela]&gt;=N$1) *
  (desp[parcela]&lt;EOMONTH(N$1,0)+1)
)</f>
        <v>0</v>
      </c>
      <c r="O380" s="245" cm="1">
        <f t="array" ref="O380">-SUMPRODUCT(
  desp[data.vencimento] *
  (desp[classificacao]=$B$289) *
  (desp[centro.negocio]=$B380) *
  (desp[parcela]&gt;=O$1) *
  (desp[parcela]&lt;EOMONTH(O$1,0)+1)
)</f>
        <v>0</v>
      </c>
      <c r="P380" s="245" cm="1">
        <f t="array" ref="P380">-SUMPRODUCT(
  desp[data.vencimento] *
  (desp[classificacao]=$B$289) *
  (desp[centro.negocio]=$B380) *
  (desp[parcela]&gt;=P$1) *
  (desp[parcela]&lt;EOMONTH(P$1,0)+1)
)</f>
        <v>0</v>
      </c>
      <c r="Q380" s="245" cm="1">
        <f t="array" ref="Q380">-SUMPRODUCT(
  desp[data.vencimento] *
  (desp[classificacao]=$B$289) *
  (desp[centro.negocio]=$B380) *
  (desp[parcela]&gt;=Q$1) *
  (desp[parcela]&lt;EOMONTH(Q$1,0)+1)
)</f>
        <v>0</v>
      </c>
      <c r="R380" s="245" cm="1">
        <f t="array" ref="R380">-SUMPRODUCT(
  desp[data.vencimento] *
  (desp[classificacao]=$B$289) *
  (desp[centro.negocio]=$B380) *
  (desp[parcela]&gt;=R$1) *
  (desp[parcela]&lt;EOMONTH(R$1,0)+1)
)</f>
        <v>0</v>
      </c>
    </row>
    <row r="381" spans="1:18" outlineLevel="1" x14ac:dyDescent="0.25">
      <c r="A381" s="243" t="s">
        <v>773</v>
      </c>
      <c r="B381" s="254" t="s">
        <v>774</v>
      </c>
      <c r="C381" s="193"/>
      <c r="D381" s="247"/>
      <c r="E381" s="247"/>
      <c r="F381" s="247"/>
      <c r="G381" s="247"/>
      <c r="H381" s="247"/>
      <c r="I381" s="247"/>
      <c r="J381" s="247"/>
      <c r="K381" s="247"/>
      <c r="L381" s="247"/>
      <c r="M381" s="247"/>
      <c r="N381" s="247"/>
      <c r="O381" s="247"/>
      <c r="P381" s="247"/>
      <c r="Q381" s="247"/>
      <c r="R381" s="247"/>
    </row>
    <row r="382" spans="1:18" x14ac:dyDescent="0.25">
      <c r="A382" s="233"/>
      <c r="B382" s="233" t="s">
        <v>775</v>
      </c>
      <c r="C382" s="260"/>
      <c r="D382" s="261">
        <f ca="1">D340+D365+D373</f>
        <v>489068.85</v>
      </c>
      <c r="E382" s="261">
        <f t="shared" ref="E382:R382" ca="1" si="223">E340+E365+E373</f>
        <v>0</v>
      </c>
      <c r="F382" s="261">
        <f t="shared" ca="1" si="223"/>
        <v>385006.39</v>
      </c>
      <c r="G382" s="261">
        <f t="shared" ca="1" si="223"/>
        <v>223853.73</v>
      </c>
      <c r="H382" s="261">
        <f t="shared" ca="1" si="223"/>
        <v>134752.4</v>
      </c>
      <c r="I382" s="261">
        <f t="shared" ca="1" si="223"/>
        <v>289304.8</v>
      </c>
      <c r="J382" s="261">
        <f t="shared" ca="1" si="223"/>
        <v>171602.91</v>
      </c>
      <c r="K382" s="261">
        <f t="shared" ca="1" si="223"/>
        <v>366306.04</v>
      </c>
      <c r="L382" s="261">
        <f t="shared" ca="1" si="223"/>
        <v>181081.21</v>
      </c>
      <c r="M382" s="261">
        <f t="shared" ca="1" si="223"/>
        <v>266613.7</v>
      </c>
      <c r="N382" s="261">
        <f t="shared" ca="1" si="223"/>
        <v>230479.34</v>
      </c>
      <c r="O382" s="261">
        <f t="shared" ca="1" si="223"/>
        <v>471701.2</v>
      </c>
      <c r="P382" s="261">
        <f t="shared" ca="1" si="223"/>
        <v>0</v>
      </c>
      <c r="Q382" s="261">
        <f t="shared" ref="Q382" ca="1" si="224">Q340+Q365+Q373</f>
        <v>46792.36</v>
      </c>
      <c r="R382" s="261">
        <f t="shared" ca="1" si="223"/>
        <v>0</v>
      </c>
    </row>
    <row r="383" spans="1:18" x14ac:dyDescent="0.25">
      <c r="A383" s="305"/>
      <c r="B383" s="305" t="s">
        <v>776</v>
      </c>
      <c r="C383" s="306"/>
      <c r="D383" s="238"/>
      <c r="E383" s="238"/>
      <c r="F383" s="238"/>
      <c r="G383" s="238"/>
      <c r="H383" s="238"/>
      <c r="I383" s="238"/>
      <c r="J383" s="238"/>
      <c r="K383" s="238"/>
      <c r="L383" s="238"/>
      <c r="M383" s="238"/>
      <c r="N383" s="238"/>
      <c r="O383" s="238"/>
      <c r="P383" s="238"/>
      <c r="Q383" s="238"/>
      <c r="R383" s="238"/>
    </row>
    <row r="384" spans="1:18" x14ac:dyDescent="0.25">
      <c r="A384" s="305"/>
      <c r="B384" s="305" t="s">
        <v>777</v>
      </c>
      <c r="C384" s="306"/>
      <c r="D384" s="238"/>
      <c r="E384" s="238"/>
      <c r="F384" s="238"/>
      <c r="G384" s="238"/>
      <c r="H384" s="238"/>
      <c r="I384" s="238"/>
      <c r="J384" s="238"/>
      <c r="K384" s="238"/>
      <c r="L384" s="238"/>
      <c r="M384" s="238"/>
      <c r="N384" s="238"/>
      <c r="O384" s="238"/>
      <c r="P384" s="238"/>
      <c r="Q384" s="238"/>
      <c r="R384" s="238"/>
    </row>
    <row r="385" spans="1:18" x14ac:dyDescent="0.25">
      <c r="A385" s="305"/>
      <c r="B385" s="305" t="s">
        <v>796</v>
      </c>
      <c r="C385" s="306"/>
      <c r="D385" s="238"/>
      <c r="E385" s="238"/>
      <c r="F385" s="238"/>
      <c r="G385" s="238"/>
      <c r="H385" s="238"/>
      <c r="I385" s="238"/>
      <c r="J385" s="238"/>
      <c r="K385" s="238"/>
      <c r="L385" s="238"/>
      <c r="M385" s="238"/>
      <c r="N385" s="238"/>
      <c r="O385" s="238"/>
      <c r="P385" s="238"/>
      <c r="Q385" s="238"/>
      <c r="R385" s="238"/>
    </row>
    <row r="389" spans="1:18" ht="21" x14ac:dyDescent="0.35">
      <c r="A389" s="301" t="s">
        <v>787</v>
      </c>
      <c r="B389" s="301" t="s">
        <v>564</v>
      </c>
    </row>
    <row r="390" spans="1:18" x14ac:dyDescent="0.25">
      <c r="A390" s="236" t="s">
        <v>510</v>
      </c>
      <c r="B390" s="236" t="s">
        <v>511</v>
      </c>
      <c r="C390" s="237"/>
      <c r="D390" s="238">
        <f ca="1">D391+D396</f>
        <v>0</v>
      </c>
      <c r="E390" s="238">
        <f t="shared" ref="E390" ca="1" si="225">E391+E396</f>
        <v>0</v>
      </c>
      <c r="F390" s="238">
        <f t="shared" ref="F390" ca="1" si="226">F391+F396</f>
        <v>0</v>
      </c>
      <c r="G390" s="238">
        <f t="shared" ref="G390" ca="1" si="227">G391+G396</f>
        <v>0</v>
      </c>
      <c r="H390" s="238">
        <f t="shared" ref="H390" ca="1" si="228">H391+H396</f>
        <v>0</v>
      </c>
      <c r="I390" s="238">
        <f t="shared" ref="I390" ca="1" si="229">I391+I396</f>
        <v>0</v>
      </c>
      <c r="J390" s="238">
        <f t="shared" ref="J390" ca="1" si="230">J391+J396</f>
        <v>0</v>
      </c>
      <c r="K390" s="238">
        <f t="shared" ref="K390" ca="1" si="231">K391+K396</f>
        <v>0</v>
      </c>
      <c r="L390" s="238">
        <f t="shared" ref="L390" ca="1" si="232">L391+L396</f>
        <v>0</v>
      </c>
      <c r="M390" s="238">
        <f t="shared" ref="M390" ca="1" si="233">M391+M396</f>
        <v>0</v>
      </c>
      <c r="N390" s="238">
        <f t="shared" ref="N390" ca="1" si="234">N391+N396</f>
        <v>0</v>
      </c>
      <c r="O390" s="238">
        <f t="shared" ref="O390" ca="1" si="235">O391+O396</f>
        <v>0</v>
      </c>
      <c r="P390" s="238">
        <f t="shared" ref="P390" ca="1" si="236">P391+P396</f>
        <v>0</v>
      </c>
      <c r="Q390" s="238">
        <f t="shared" ref="Q390:R390" ca="1" si="237">Q391+Q396</f>
        <v>0</v>
      </c>
      <c r="R390" s="238">
        <f t="shared" ca="1" si="237"/>
        <v>0</v>
      </c>
    </row>
    <row r="391" spans="1:18" x14ac:dyDescent="0.25">
      <c r="A391" s="240" t="s">
        <v>513</v>
      </c>
      <c r="B391" s="240" t="s">
        <v>514</v>
      </c>
      <c r="C391" s="241"/>
      <c r="D391" s="242">
        <f ca="1">SUM(D392:D395)</f>
        <v>0</v>
      </c>
      <c r="E391" s="242">
        <f t="shared" ref="E391" ca="1" si="238">SUM(E392:E395)</f>
        <v>0</v>
      </c>
      <c r="F391" s="242">
        <f t="shared" ref="F391" ca="1" si="239">SUM(F392:F395)</f>
        <v>0</v>
      </c>
      <c r="G391" s="242">
        <f t="shared" ref="G391" ca="1" si="240">SUM(G392:G395)</f>
        <v>0</v>
      </c>
      <c r="H391" s="242">
        <f t="shared" ref="H391" ca="1" si="241">SUM(H392:H395)</f>
        <v>0</v>
      </c>
      <c r="I391" s="242">
        <f t="shared" ref="I391" ca="1" si="242">SUM(I392:I395)</f>
        <v>0</v>
      </c>
      <c r="J391" s="242">
        <f t="shared" ref="J391" ca="1" si="243">SUM(J392:J395)</f>
        <v>0</v>
      </c>
      <c r="K391" s="242">
        <f t="shared" ref="K391" ca="1" si="244">SUM(K392:K395)</f>
        <v>0</v>
      </c>
      <c r="L391" s="242">
        <f t="shared" ref="L391" ca="1" si="245">SUM(L392:L395)</f>
        <v>0</v>
      </c>
      <c r="M391" s="242">
        <f t="shared" ref="M391" ca="1" si="246">SUM(M392:M395)</f>
        <v>0</v>
      </c>
      <c r="N391" s="242">
        <f t="shared" ref="N391" ca="1" si="247">SUM(N392:N395)</f>
        <v>0</v>
      </c>
      <c r="O391" s="242">
        <f t="shared" ref="O391" ca="1" si="248">SUM(O392:O395)</f>
        <v>0</v>
      </c>
      <c r="P391" s="242">
        <f t="shared" ref="P391" ca="1" si="249">SUM(P392:P395)</f>
        <v>0</v>
      </c>
      <c r="Q391" s="242">
        <f t="shared" ref="Q391:R391" ca="1" si="250">SUM(Q392:Q395)</f>
        <v>0</v>
      </c>
      <c r="R391" s="242">
        <f t="shared" ca="1" si="250"/>
        <v>0</v>
      </c>
    </row>
    <row r="392" spans="1:18" outlineLevel="1" x14ac:dyDescent="0.25">
      <c r="A392" s="243" t="s">
        <v>515</v>
      </c>
      <c r="B392" s="243" t="s">
        <v>516</v>
      </c>
      <c r="C392" s="244" t="s">
        <v>482</v>
      </c>
      <c r="D39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39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39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39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39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39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39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39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39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39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39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39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39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39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  <c r="R392" s="245">
        <f ca="1">SUMIFS(rec.uni[2026-03-01],
INDIRECT("rec.uni[natureza]"),"repasse.cef.obra",
INDIRECT("rec.uni[empresa]"),$A$289)+
SUMIFS(rec.uni[2026-03-01],
INDIRECT("rec.uni[natureza]"),"repasse.cef.terreno",
INDIRECT("rec.uni[empresa]"),$A$289)</f>
        <v>0</v>
      </c>
    </row>
    <row r="393" spans="1:18" outlineLevel="1" x14ac:dyDescent="0.25">
      <c r="A393" s="243" t="s">
        <v>521</v>
      </c>
      <c r="B393" s="243" t="s">
        <v>21</v>
      </c>
      <c r="C393" s="244" t="s">
        <v>522</v>
      </c>
      <c r="D393" s="245">
        <f ca="1">SUMIFS(rec.uni[2025-01-01],
INDIRECT("rec.uni[natureza]"),"pro.soluto",
INDIRECT("rec.uni[empresa]"),$A$289)</f>
        <v>0</v>
      </c>
      <c r="E393" s="245">
        <f ca="1">SUMIFS(rec.uni[2025-02-01],
INDIRECT("rec.uni[natureza]"),"pro.soluto",
INDIRECT("rec.uni[empresa]"),$A$289)</f>
        <v>0</v>
      </c>
      <c r="F393" s="245">
        <f ca="1">SUMIFS(rec.uni[2025-03-01],
INDIRECT("rec.uni[natureza]"),"pro.soluto",
INDIRECT("rec.uni[empresa]"),$A$289)</f>
        <v>0</v>
      </c>
      <c r="G393" s="245">
        <f ca="1">SUMIFS(rec.uni[2025-04-01],
INDIRECT("rec.uni[natureza]"),"pro.soluto",
INDIRECT("rec.uni[empresa]"),$A$289)</f>
        <v>0</v>
      </c>
      <c r="H393" s="245">
        <f ca="1">SUMIFS(rec.uni[2025-05-01],
INDIRECT("rec.uni[natureza]"),"pro.soluto",
INDIRECT("rec.uni[empresa]"),$A$289)</f>
        <v>0</v>
      </c>
      <c r="I393" s="245">
        <f ca="1">SUMIFS(rec.uni[2025-06-01],
INDIRECT("rec.uni[natureza]"),"pro.soluto",
INDIRECT("rec.uni[empresa]"),$A$289)</f>
        <v>0</v>
      </c>
      <c r="J393" s="245">
        <f ca="1">SUMIFS(rec.uni[2025-07-01],
INDIRECT("rec.uni[natureza]"),"pro.soluto",
INDIRECT("rec.uni[empresa]"),$A$289)</f>
        <v>0</v>
      </c>
      <c r="K393" s="245">
        <f ca="1">SUMIFS(rec.uni[2025-08-01],
INDIRECT("rec.uni[natureza]"),"pro.soluto",
INDIRECT("rec.uni[empresa]"),$A$289)</f>
        <v>0</v>
      </c>
      <c r="L393" s="245">
        <f ca="1">SUMIFS(rec.uni[2025-09-01],
INDIRECT("rec.uni[natureza]"),"pro.soluto",
INDIRECT("rec.uni[empresa]"),$A$289)</f>
        <v>0</v>
      </c>
      <c r="M393" s="245">
        <f ca="1">SUMIFS(rec.uni[2025-10-01],
INDIRECT("rec.uni[natureza]"),"pro.soluto",
INDIRECT("rec.uni[empresa]"),$A$289)</f>
        <v>0</v>
      </c>
      <c r="N393" s="245">
        <f ca="1">SUMIFS(rec.uni[2025-11-01],
INDIRECT("rec.uni[natureza]"),"pro.soluto",
INDIRECT("rec.uni[empresa]"),$A$289)</f>
        <v>0</v>
      </c>
      <c r="O393" s="245">
        <f ca="1">SUMIFS(rec.uni[2025-12-01],
INDIRECT("rec.uni[natureza]"),"pro.soluto",
INDIRECT("rec.uni[empresa]"),$A$289)</f>
        <v>0</v>
      </c>
      <c r="P393" s="245">
        <f ca="1">SUMIFS(rec.uni[2026-01-01],
INDIRECT("rec.uni[natureza]"),"pro.soluto",
INDIRECT("rec.uni[empresa]"),$A$289)</f>
        <v>0</v>
      </c>
      <c r="Q393" s="245">
        <f ca="1">SUMIFS(rec.uni[2026-02-01],
INDIRECT("rec.uni[natureza]"),"pro.soluto",
INDIRECT("rec.uni[empresa]"),$A$289)</f>
        <v>0</v>
      </c>
      <c r="R393" s="245">
        <f ca="1">SUMIFS(rec.uni[2026-03-01],
INDIRECT("rec.uni[natureza]"),"pro.soluto",
INDIRECT("rec.uni[empresa]"),$A$289)</f>
        <v>0</v>
      </c>
    </row>
    <row r="394" spans="1:18" outlineLevel="1" x14ac:dyDescent="0.25">
      <c r="A394" s="243" t="s">
        <v>530</v>
      </c>
      <c r="B394" s="243" t="s">
        <v>531</v>
      </c>
      <c r="C394" s="244" t="s">
        <v>522</v>
      </c>
      <c r="D394" s="245">
        <f ca="1">SUMIFS(rec.uni[2025-01-01],
INDIRECT("rec.uni[natureza]"),"taxa.extra",
INDIRECT("rec.uni[empresa]"),$A$289)</f>
        <v>0</v>
      </c>
      <c r="E394" s="245">
        <f ca="1">SUMIFS(rec.uni[2025-02-01],
INDIRECT("rec.uni[natureza]"),"taxa.extra",
INDIRECT("rec.uni[empresa]"),$A$289)</f>
        <v>0</v>
      </c>
      <c r="F394" s="245">
        <f ca="1">SUMIFS(rec.uni[2025-03-01],
INDIRECT("rec.uni[natureza]"),"taxa.extra",
INDIRECT("rec.uni[empresa]"),$A$289)</f>
        <v>0</v>
      </c>
      <c r="G394" s="245">
        <f ca="1">SUMIFS(rec.uni[2025-04-01],
INDIRECT("rec.uni[natureza]"),"taxa.extra",
INDIRECT("rec.uni[empresa]"),$A$289)</f>
        <v>0</v>
      </c>
      <c r="H394" s="245">
        <f ca="1">SUMIFS(rec.uni[2025-05-01],
INDIRECT("rec.uni[natureza]"),"taxa.extra",
INDIRECT("rec.uni[empresa]"),$A$289)</f>
        <v>0</v>
      </c>
      <c r="I394" s="245">
        <f ca="1">SUMIFS(rec.uni[2025-06-01],
INDIRECT("rec.uni[natureza]"),"taxa.extra",
INDIRECT("rec.uni[empresa]"),$A$289)</f>
        <v>0</v>
      </c>
      <c r="J394" s="245">
        <f ca="1">SUMIFS(rec.uni[2025-07-01],
INDIRECT("rec.uni[natureza]"),"taxa.extra",
INDIRECT("rec.uni[empresa]"),$A$289)</f>
        <v>0</v>
      </c>
      <c r="K394" s="245">
        <f ca="1">SUMIFS(rec.uni[2025-08-01],
INDIRECT("rec.uni[natureza]"),"taxa.extra",
INDIRECT("rec.uni[empresa]"),$A$289)</f>
        <v>0</v>
      </c>
      <c r="L394" s="245">
        <f ca="1">SUMIFS(rec.uni[2025-09-01],
INDIRECT("rec.uni[natureza]"),"taxa.extra",
INDIRECT("rec.uni[empresa]"),$A$289)</f>
        <v>0</v>
      </c>
      <c r="M394" s="245">
        <f ca="1">SUMIFS(rec.uni[2025-10-01],
INDIRECT("rec.uni[natureza]"),"taxa.extra",
INDIRECT("rec.uni[empresa]"),$A$289)</f>
        <v>0</v>
      </c>
      <c r="N394" s="245">
        <f ca="1">SUMIFS(rec.uni[2025-11-01],
INDIRECT("rec.uni[natureza]"),"taxa.extra",
INDIRECT("rec.uni[empresa]"),$A$289)</f>
        <v>0</v>
      </c>
      <c r="O394" s="245">
        <f ca="1">SUMIFS(rec.uni[2025-12-01],
INDIRECT("rec.uni[natureza]"),"taxa.extra",
INDIRECT("rec.uni[empresa]"),$A$289)</f>
        <v>0</v>
      </c>
      <c r="P394" s="245">
        <f ca="1">SUMIFS(rec.uni[2026-01-01],
INDIRECT("rec.uni[natureza]"),"taxa.extra",
INDIRECT("rec.uni[empresa]"),$A$289)</f>
        <v>0</v>
      </c>
      <c r="Q394" s="245">
        <f ca="1">SUMIFS(rec.uni[2026-02-01],
INDIRECT("rec.uni[natureza]"),"taxa.extra",
INDIRECT("rec.uni[empresa]"),$A$289)</f>
        <v>0</v>
      </c>
      <c r="R394" s="245">
        <f ca="1">SUMIFS(rec.uni[2026-03-01],
INDIRECT("rec.uni[natureza]"),"taxa.extra",
INDIRECT("rec.uni[empresa]"),$A$289)</f>
        <v>0</v>
      </c>
    </row>
    <row r="395" spans="1:18" outlineLevel="1" x14ac:dyDescent="0.25">
      <c r="A395" s="243" t="s">
        <v>539</v>
      </c>
      <c r="B395" s="243" t="s">
        <v>540</v>
      </c>
      <c r="C395" s="244" t="s">
        <v>27</v>
      </c>
      <c r="D395" s="245">
        <v>0</v>
      </c>
      <c r="E395" s="245">
        <v>0</v>
      </c>
      <c r="F395" s="245">
        <v>0</v>
      </c>
      <c r="G395" s="245">
        <v>0</v>
      </c>
      <c r="H395" s="245">
        <v>0</v>
      </c>
      <c r="I395" s="245">
        <v>0</v>
      </c>
      <c r="J395" s="245">
        <v>0</v>
      </c>
      <c r="K395" s="245">
        <v>0</v>
      </c>
      <c r="L395" s="245">
        <v>0</v>
      </c>
      <c r="M395" s="245">
        <v>0</v>
      </c>
      <c r="N395" s="245">
        <v>0</v>
      </c>
      <c r="O395" s="245">
        <v>0</v>
      </c>
      <c r="P395" s="245">
        <v>0</v>
      </c>
      <c r="Q395" s="245">
        <v>0</v>
      </c>
      <c r="R395" s="245">
        <v>0</v>
      </c>
    </row>
    <row r="396" spans="1:18" x14ac:dyDescent="0.25">
      <c r="A396" s="249" t="s">
        <v>542</v>
      </c>
      <c r="B396" s="249" t="s">
        <v>543</v>
      </c>
      <c r="C396" s="250" t="s">
        <v>522</v>
      </c>
      <c r="D396" s="251">
        <f>SUM(D397:D414)</f>
        <v>0</v>
      </c>
      <c r="E396" s="251">
        <f t="shared" ref="E396" si="251">SUM(E397:E414)</f>
        <v>0</v>
      </c>
      <c r="F396" s="251">
        <f t="shared" ref="F396" si="252">SUM(F397:F414)</f>
        <v>0</v>
      </c>
      <c r="G396" s="251">
        <f t="shared" ref="G396" si="253">SUM(G397:G414)</f>
        <v>0</v>
      </c>
      <c r="H396" s="251">
        <f t="shared" ref="H396" si="254">SUM(H397:H414)</f>
        <v>0</v>
      </c>
      <c r="I396" s="251">
        <f t="shared" ref="I396" si="255">SUM(I397:I414)</f>
        <v>0</v>
      </c>
      <c r="J396" s="251">
        <f t="shared" ref="J396" si="256">SUM(J397:J414)</f>
        <v>0</v>
      </c>
      <c r="K396" s="251">
        <f t="shared" ref="K396" si="257">SUM(K397:K414)</f>
        <v>0</v>
      </c>
      <c r="L396" s="251">
        <f t="shared" ref="L396" si="258">SUM(L397:L414)</f>
        <v>0</v>
      </c>
      <c r="M396" s="251">
        <f t="shared" ref="M396" si="259">SUM(M397:M414)</f>
        <v>0</v>
      </c>
      <c r="N396" s="251">
        <f t="shared" ref="N396" si="260">SUM(N397:N414)</f>
        <v>0</v>
      </c>
      <c r="O396" s="251">
        <f t="shared" ref="O396" si="261">SUM(O397:O414)</f>
        <v>0</v>
      </c>
      <c r="P396" s="251">
        <f t="shared" ref="P396" si="262">SUM(P397:P414)</f>
        <v>0</v>
      </c>
      <c r="Q396" s="251">
        <f t="shared" ref="Q396:R396" si="263">SUM(Q397:Q414)</f>
        <v>0</v>
      </c>
      <c r="R396" s="251">
        <f t="shared" si="263"/>
        <v>0</v>
      </c>
    </row>
    <row r="397" spans="1:18" outlineLevel="1" x14ac:dyDescent="0.25">
      <c r="A397" s="243" t="s">
        <v>544</v>
      </c>
      <c r="B397" s="243" t="s">
        <v>358</v>
      </c>
      <c r="C397" s="244" t="s">
        <v>522</v>
      </c>
      <c r="D397" s="245" cm="1">
        <f t="array" ref="D397">-SUMPRODUCT(
  desp[data.vencimento] *
  (desp[classificacao]=$B$289) *
  (desp[centro.negocio]=$B397) *
  (desp[parcela]&gt;=D$1) *
  (desp[parcela]&lt;EOMONTH(D$1,0)+1)
)</f>
        <v>0</v>
      </c>
      <c r="E397" s="245" cm="1">
        <f t="array" ref="E397">-SUMPRODUCT(
  desp[data.vencimento] *
  (desp[classificacao]=$B$289) *
  (desp[centro.negocio]=$B397) *
  (desp[parcela]&gt;=E$1) *
  (desp[parcela]&lt;EOMONTH(E$1,0)+1)
)</f>
        <v>0</v>
      </c>
      <c r="F397" s="245" cm="1">
        <f t="array" ref="F397">-SUMPRODUCT(
  desp[data.vencimento] *
  (desp[classificacao]=$B$289) *
  (desp[centro.negocio]=$B397) *
  (desp[parcela]&gt;=F$1) *
  (desp[parcela]&lt;EOMONTH(F$1,0)+1)
)</f>
        <v>0</v>
      </c>
      <c r="G397" s="245" cm="1">
        <f t="array" ref="G397">-SUMPRODUCT(
  desp[data.vencimento] *
  (desp[classificacao]=$B$289) *
  (desp[centro.negocio]=$B397) *
  (desp[parcela]&gt;=G$1) *
  (desp[parcela]&lt;EOMONTH(G$1,0)+1)
)</f>
        <v>0</v>
      </c>
      <c r="H397" s="245" cm="1">
        <f t="array" ref="H397">-SUMPRODUCT(
  desp[data.vencimento] *
  (desp[classificacao]=$B$289) *
  (desp[centro.negocio]=$B397) *
  (desp[parcela]&gt;=H$1) *
  (desp[parcela]&lt;EOMONTH(H$1,0)+1)
)</f>
        <v>0</v>
      </c>
      <c r="I397" s="245" cm="1">
        <f t="array" ref="I397">-SUMPRODUCT(
  desp[data.vencimento] *
  (desp[classificacao]=$B$289) *
  (desp[centro.negocio]=$B397) *
  (desp[parcela]&gt;=I$1) *
  (desp[parcela]&lt;EOMONTH(I$1,0)+1)
)</f>
        <v>0</v>
      </c>
      <c r="J397" s="245" cm="1">
        <f t="array" ref="J397">-SUMPRODUCT(
  desp[data.vencimento] *
  (desp[classificacao]=$B$289) *
  (desp[centro.negocio]=$B397) *
  (desp[parcela]&gt;=J$1) *
  (desp[parcela]&lt;EOMONTH(J$1,0)+1)
)</f>
        <v>0</v>
      </c>
      <c r="K397" s="245" cm="1">
        <f t="array" ref="K397">-SUMPRODUCT(
  desp[data.vencimento] *
  (desp[classificacao]=$B$289) *
  (desp[centro.negocio]=$B397) *
  (desp[parcela]&gt;=K$1) *
  (desp[parcela]&lt;EOMONTH(K$1,0)+1)
)</f>
        <v>0</v>
      </c>
      <c r="L397" s="245" cm="1">
        <f t="array" ref="L397">-SUMPRODUCT(
  desp[data.vencimento] *
  (desp[classificacao]=$B$289) *
  (desp[centro.negocio]=$B397) *
  (desp[parcela]&gt;=L$1) *
  (desp[parcela]&lt;EOMONTH(L$1,0)+1)
)</f>
        <v>0</v>
      </c>
      <c r="M397" s="245" cm="1">
        <f t="array" ref="M397">-SUMPRODUCT(
  desp[data.vencimento] *
  (desp[classificacao]=$B$289) *
  (desp[centro.negocio]=$B397) *
  (desp[parcela]&gt;=M$1) *
  (desp[parcela]&lt;EOMONTH(M$1,0)+1)
)</f>
        <v>0</v>
      </c>
      <c r="N397" s="245" cm="1">
        <f t="array" ref="N397">-SUMPRODUCT(
  desp[data.vencimento] *
  (desp[classificacao]=$B$289) *
  (desp[centro.negocio]=$B397) *
  (desp[parcela]&gt;=N$1) *
  (desp[parcela]&lt;EOMONTH(N$1,0)+1)
)</f>
        <v>0</v>
      </c>
      <c r="O397" s="245" cm="1">
        <f t="array" ref="O397">-SUMPRODUCT(
  desp[data.vencimento] *
  (desp[classificacao]=$B$289) *
  (desp[centro.negocio]=$B397) *
  (desp[parcela]&gt;=O$1) *
  (desp[parcela]&lt;EOMONTH(O$1,0)+1)
)</f>
        <v>0</v>
      </c>
      <c r="P397" s="245" cm="1">
        <f t="array" ref="P397">-SUMPRODUCT(
  desp[data.vencimento] *
  (desp[classificacao]=$B$289) *
  (desp[centro.negocio]=$B397) *
  (desp[parcela]&gt;=P$1) *
  (desp[parcela]&lt;EOMONTH(P$1,0)+1)
)</f>
        <v>0</v>
      </c>
      <c r="Q397" s="245" cm="1">
        <f t="array" ref="Q397">-SUMPRODUCT(
  desp[data.vencimento] *
  (desp[classificacao]=$B$289) *
  (desp[centro.negocio]=$B397) *
  (desp[parcela]&gt;=Q$1) *
  (desp[parcela]&lt;EOMONTH(Q$1,0)+1)
)</f>
        <v>0</v>
      </c>
      <c r="R397" s="245" cm="1">
        <f t="array" ref="R397">-SUMPRODUCT(
  desp[data.vencimento] *
  (desp[classificacao]=$B$289) *
  (desp[centro.negocio]=$B397) *
  (desp[parcela]&gt;=R$1) *
  (desp[parcela]&lt;EOMONTH(R$1,0)+1)
)</f>
        <v>0</v>
      </c>
    </row>
    <row r="398" spans="1:18" outlineLevel="1" x14ac:dyDescent="0.25">
      <c r="A398" s="243" t="s">
        <v>565</v>
      </c>
      <c r="B398" s="243" t="s">
        <v>398</v>
      </c>
      <c r="C398" s="244" t="s">
        <v>522</v>
      </c>
      <c r="D398" s="245" cm="1">
        <f t="array" ref="D398">-SUMPRODUCT(
  desp[data.vencimento] *
  (desp[classificacao]=$B$289) *
  (desp[centro.negocio]=$B398) *
  (desp[parcela]&gt;=D$1) *
  (desp[parcela]&lt;EOMONTH(D$1,0)+1)
)</f>
        <v>0</v>
      </c>
      <c r="E398" s="245" cm="1">
        <f t="array" ref="E398">-SUMPRODUCT(
  desp[data.vencimento] *
  (desp[classificacao]=$B$289) *
  (desp[centro.negocio]=$B398) *
  (desp[parcela]&gt;=E$1) *
  (desp[parcela]&lt;EOMONTH(E$1,0)+1)
)</f>
        <v>0</v>
      </c>
      <c r="F398" s="245" cm="1">
        <f t="array" ref="F398">-SUMPRODUCT(
  desp[data.vencimento] *
  (desp[classificacao]=$B$289) *
  (desp[centro.negocio]=$B398) *
  (desp[parcela]&gt;=F$1) *
  (desp[parcela]&lt;EOMONTH(F$1,0)+1)
)</f>
        <v>0</v>
      </c>
      <c r="G398" s="245" cm="1">
        <f t="array" ref="G398">-SUMPRODUCT(
  desp[data.vencimento] *
  (desp[classificacao]=$B$289) *
  (desp[centro.negocio]=$B398) *
  (desp[parcela]&gt;=G$1) *
  (desp[parcela]&lt;EOMONTH(G$1,0)+1)
)</f>
        <v>0</v>
      </c>
      <c r="H398" s="245" cm="1">
        <f t="array" ref="H398">-SUMPRODUCT(
  desp[data.vencimento] *
  (desp[classificacao]=$B$289) *
  (desp[centro.negocio]=$B398) *
  (desp[parcela]&gt;=H$1) *
  (desp[parcela]&lt;EOMONTH(H$1,0)+1)
)</f>
        <v>0</v>
      </c>
      <c r="I398" s="245" cm="1">
        <f t="array" ref="I398">-SUMPRODUCT(
  desp[data.vencimento] *
  (desp[classificacao]=$B$289) *
  (desp[centro.negocio]=$B398) *
  (desp[parcela]&gt;=I$1) *
  (desp[parcela]&lt;EOMONTH(I$1,0)+1)
)</f>
        <v>0</v>
      </c>
      <c r="J398" s="245" cm="1">
        <f t="array" ref="J398">-SUMPRODUCT(
  desp[data.vencimento] *
  (desp[classificacao]=$B$289) *
  (desp[centro.negocio]=$B398) *
  (desp[parcela]&gt;=J$1) *
  (desp[parcela]&lt;EOMONTH(J$1,0)+1)
)</f>
        <v>0</v>
      </c>
      <c r="K398" s="245" cm="1">
        <f t="array" ref="K398">-SUMPRODUCT(
  desp[data.vencimento] *
  (desp[classificacao]=$B$289) *
  (desp[centro.negocio]=$B398) *
  (desp[parcela]&gt;=K$1) *
  (desp[parcela]&lt;EOMONTH(K$1,0)+1)
)</f>
        <v>0</v>
      </c>
      <c r="L398" s="245" cm="1">
        <f t="array" ref="L398">-SUMPRODUCT(
  desp[data.vencimento] *
  (desp[classificacao]=$B$289) *
  (desp[centro.negocio]=$B398) *
  (desp[parcela]&gt;=L$1) *
  (desp[parcela]&lt;EOMONTH(L$1,0)+1)
)</f>
        <v>0</v>
      </c>
      <c r="M398" s="245" cm="1">
        <f t="array" ref="M398">-SUMPRODUCT(
  desp[data.vencimento] *
  (desp[classificacao]=$B$289) *
  (desp[centro.negocio]=$B398) *
  (desp[parcela]&gt;=M$1) *
  (desp[parcela]&lt;EOMONTH(M$1,0)+1)
)</f>
        <v>0</v>
      </c>
      <c r="N398" s="245" cm="1">
        <f t="array" ref="N398">-SUMPRODUCT(
  desp[data.vencimento] *
  (desp[classificacao]=$B$289) *
  (desp[centro.negocio]=$B398) *
  (desp[parcela]&gt;=N$1) *
  (desp[parcela]&lt;EOMONTH(N$1,0)+1)
)</f>
        <v>0</v>
      </c>
      <c r="O398" s="245" cm="1">
        <f t="array" ref="O398">-SUMPRODUCT(
  desp[data.vencimento] *
  (desp[classificacao]=$B$289) *
  (desp[centro.negocio]=$B398) *
  (desp[parcela]&gt;=O$1) *
  (desp[parcela]&lt;EOMONTH(O$1,0)+1)
)</f>
        <v>0</v>
      </c>
      <c r="P398" s="245" cm="1">
        <f t="array" ref="P398">-SUMPRODUCT(
  desp[data.vencimento] *
  (desp[classificacao]=$B$289) *
  (desp[centro.negocio]=$B398) *
  (desp[parcela]&gt;=P$1) *
  (desp[parcela]&lt;EOMONTH(P$1,0)+1)
)</f>
        <v>0</v>
      </c>
      <c r="Q398" s="245" cm="1">
        <f t="array" ref="Q398">-SUMPRODUCT(
  desp[data.vencimento] *
  (desp[classificacao]=$B$289) *
  (desp[centro.negocio]=$B398) *
  (desp[parcela]&gt;=Q$1) *
  (desp[parcela]&lt;EOMONTH(Q$1,0)+1)
)</f>
        <v>0</v>
      </c>
      <c r="R398" s="245" cm="1">
        <f t="array" ref="R398">-SUMPRODUCT(
  desp[data.vencimento] *
  (desp[classificacao]=$B$289) *
  (desp[centro.negocio]=$B398) *
  (desp[parcela]&gt;=R$1) *
  (desp[parcela]&lt;EOMONTH(R$1,0)+1)
)</f>
        <v>0</v>
      </c>
    </row>
    <row r="399" spans="1:18" outlineLevel="1" x14ac:dyDescent="0.25">
      <c r="A399" s="243" t="s">
        <v>573</v>
      </c>
      <c r="B399" s="243" t="s">
        <v>356</v>
      </c>
      <c r="C399" s="244" t="s">
        <v>522</v>
      </c>
      <c r="D399" s="245" cm="1">
        <f t="array" ref="D399">-SUMPRODUCT(
  desp[data.vencimento] *
  (desp[classificacao]=$B$289) *
  (desp[centro.negocio]=$B399) *
  (desp[parcela]&gt;=D$1) *
  (desp[parcela]&lt;EOMONTH(D$1,0)+1)
)</f>
        <v>0</v>
      </c>
      <c r="E399" s="245" cm="1">
        <f t="array" ref="E399">-SUMPRODUCT(
  desp[data.vencimento] *
  (desp[classificacao]=$B$289) *
  (desp[centro.negocio]=$B399) *
  (desp[parcela]&gt;=E$1) *
  (desp[parcela]&lt;EOMONTH(E$1,0)+1)
)</f>
        <v>0</v>
      </c>
      <c r="F399" s="245" cm="1">
        <f t="array" ref="F399">-SUMPRODUCT(
  desp[data.vencimento] *
  (desp[classificacao]=$B$289) *
  (desp[centro.negocio]=$B399) *
  (desp[parcela]&gt;=F$1) *
  (desp[parcela]&lt;EOMONTH(F$1,0)+1)
)</f>
        <v>0</v>
      </c>
      <c r="G399" s="245" cm="1">
        <f t="array" ref="G399">-SUMPRODUCT(
  desp[data.vencimento] *
  (desp[classificacao]=$B$289) *
  (desp[centro.negocio]=$B399) *
  (desp[parcela]&gt;=G$1) *
  (desp[parcela]&lt;EOMONTH(G$1,0)+1)
)</f>
        <v>0</v>
      </c>
      <c r="H399" s="245" cm="1">
        <f t="array" ref="H399">-SUMPRODUCT(
  desp[data.vencimento] *
  (desp[classificacao]=$B$289) *
  (desp[centro.negocio]=$B399) *
  (desp[parcela]&gt;=H$1) *
  (desp[parcela]&lt;EOMONTH(H$1,0)+1)
)</f>
        <v>0</v>
      </c>
      <c r="I399" s="245" cm="1">
        <f t="array" ref="I399">-SUMPRODUCT(
  desp[data.vencimento] *
  (desp[classificacao]=$B$289) *
  (desp[centro.negocio]=$B399) *
  (desp[parcela]&gt;=I$1) *
  (desp[parcela]&lt;EOMONTH(I$1,0)+1)
)</f>
        <v>0</v>
      </c>
      <c r="J399" s="245" cm="1">
        <f t="array" ref="J399">-SUMPRODUCT(
  desp[data.vencimento] *
  (desp[classificacao]=$B$289) *
  (desp[centro.negocio]=$B399) *
  (desp[parcela]&gt;=J$1) *
  (desp[parcela]&lt;EOMONTH(J$1,0)+1)
)</f>
        <v>0</v>
      </c>
      <c r="K399" s="245" cm="1">
        <f t="array" ref="K399">-SUMPRODUCT(
  desp[data.vencimento] *
  (desp[classificacao]=$B$289) *
  (desp[centro.negocio]=$B399) *
  (desp[parcela]&gt;=K$1) *
  (desp[parcela]&lt;EOMONTH(K$1,0)+1)
)</f>
        <v>0</v>
      </c>
      <c r="L399" s="245" cm="1">
        <f t="array" ref="L399">-SUMPRODUCT(
  desp[data.vencimento] *
  (desp[classificacao]=$B$289) *
  (desp[centro.negocio]=$B399) *
  (desp[parcela]&gt;=L$1) *
  (desp[parcela]&lt;EOMONTH(L$1,0)+1)
)</f>
        <v>0</v>
      </c>
      <c r="M399" s="245" cm="1">
        <f t="array" ref="M399">-SUMPRODUCT(
  desp[data.vencimento] *
  (desp[classificacao]=$B$289) *
  (desp[centro.negocio]=$B399) *
  (desp[parcela]&gt;=M$1) *
  (desp[parcela]&lt;EOMONTH(M$1,0)+1)
)</f>
        <v>0</v>
      </c>
      <c r="N399" s="245" cm="1">
        <f t="array" ref="N399">-SUMPRODUCT(
  desp[data.vencimento] *
  (desp[classificacao]=$B$289) *
  (desp[centro.negocio]=$B399) *
  (desp[parcela]&gt;=N$1) *
  (desp[parcela]&lt;EOMONTH(N$1,0)+1)
)</f>
        <v>0</v>
      </c>
      <c r="O399" s="245" cm="1">
        <f t="array" ref="O399">-SUMPRODUCT(
  desp[data.vencimento] *
  (desp[classificacao]=$B$289) *
  (desp[centro.negocio]=$B399) *
  (desp[parcela]&gt;=O$1) *
  (desp[parcela]&lt;EOMONTH(O$1,0)+1)
)</f>
        <v>0</v>
      </c>
      <c r="P399" s="245" cm="1">
        <f t="array" ref="P399">-SUMPRODUCT(
  desp[data.vencimento] *
  (desp[classificacao]=$B$289) *
  (desp[centro.negocio]=$B399) *
  (desp[parcela]&gt;=P$1) *
  (desp[parcela]&lt;EOMONTH(P$1,0)+1)
)</f>
        <v>0</v>
      </c>
      <c r="Q399" s="245" cm="1">
        <f t="array" ref="Q399">-SUMPRODUCT(
  desp[data.vencimento] *
  (desp[classificacao]=$B$289) *
  (desp[centro.negocio]=$B399) *
  (desp[parcela]&gt;=Q$1) *
  (desp[parcela]&lt;EOMONTH(Q$1,0)+1)
)</f>
        <v>0</v>
      </c>
      <c r="R399" s="245" cm="1">
        <f t="array" ref="R399">-SUMPRODUCT(
  desp[data.vencimento] *
  (desp[classificacao]=$B$289) *
  (desp[centro.negocio]=$B399) *
  (desp[parcela]&gt;=R$1) *
  (desp[parcela]&lt;EOMONTH(R$1,0)+1)
)</f>
        <v>0</v>
      </c>
    </row>
    <row r="400" spans="1:18" outlineLevel="1" x14ac:dyDescent="0.25">
      <c r="A400" s="243" t="s">
        <v>589</v>
      </c>
      <c r="B400" s="243" t="s">
        <v>343</v>
      </c>
      <c r="C400" s="244" t="s">
        <v>522</v>
      </c>
      <c r="D400" s="245" cm="1">
        <f t="array" ref="D400">-SUMPRODUCT(
  desp[data.vencimento] *
  (desp[classificacao]=$B$289) *
  (desp[centro.negocio]=$B400) *
  (desp[parcela]&gt;=D$1) *
  (desp[parcela]&lt;EOMONTH(D$1,0)+1)
)</f>
        <v>0</v>
      </c>
      <c r="E400" s="245" cm="1">
        <f t="array" ref="E400">-SUMPRODUCT(
  desp[data.vencimento] *
  (desp[classificacao]=$B$289) *
  (desp[centro.negocio]=$B400) *
  (desp[parcela]&gt;=E$1) *
  (desp[parcela]&lt;EOMONTH(E$1,0)+1)
)</f>
        <v>0</v>
      </c>
      <c r="F400" s="245" cm="1">
        <f t="array" ref="F400">-SUMPRODUCT(
  desp[data.vencimento] *
  (desp[classificacao]=$B$289) *
  (desp[centro.negocio]=$B400) *
  (desp[parcela]&gt;=F$1) *
  (desp[parcela]&lt;EOMONTH(F$1,0)+1)
)</f>
        <v>0</v>
      </c>
      <c r="G400" s="245" cm="1">
        <f t="array" ref="G400">-SUMPRODUCT(
  desp[data.vencimento] *
  (desp[classificacao]=$B$289) *
  (desp[centro.negocio]=$B400) *
  (desp[parcela]&gt;=G$1) *
  (desp[parcela]&lt;EOMONTH(G$1,0)+1)
)</f>
        <v>0</v>
      </c>
      <c r="H400" s="245" cm="1">
        <f t="array" ref="H400">-SUMPRODUCT(
  desp[data.vencimento] *
  (desp[classificacao]=$B$289) *
  (desp[centro.negocio]=$B400) *
  (desp[parcela]&gt;=H$1) *
  (desp[parcela]&lt;EOMONTH(H$1,0)+1)
)</f>
        <v>0</v>
      </c>
      <c r="I400" s="245" cm="1">
        <f t="array" ref="I400">-SUMPRODUCT(
  desp[data.vencimento] *
  (desp[classificacao]=$B$289) *
  (desp[centro.negocio]=$B400) *
  (desp[parcela]&gt;=I$1) *
  (desp[parcela]&lt;EOMONTH(I$1,0)+1)
)</f>
        <v>0</v>
      </c>
      <c r="J400" s="245" cm="1">
        <f t="array" ref="J400">-SUMPRODUCT(
  desp[data.vencimento] *
  (desp[classificacao]=$B$289) *
  (desp[centro.negocio]=$B400) *
  (desp[parcela]&gt;=J$1) *
  (desp[parcela]&lt;EOMONTH(J$1,0)+1)
)</f>
        <v>0</v>
      </c>
      <c r="K400" s="245" cm="1">
        <f t="array" ref="K400">-SUMPRODUCT(
  desp[data.vencimento] *
  (desp[classificacao]=$B$289) *
  (desp[centro.negocio]=$B400) *
  (desp[parcela]&gt;=K$1) *
  (desp[parcela]&lt;EOMONTH(K$1,0)+1)
)</f>
        <v>0</v>
      </c>
      <c r="L400" s="245" cm="1">
        <f t="array" ref="L400">-SUMPRODUCT(
  desp[data.vencimento] *
  (desp[classificacao]=$B$289) *
  (desp[centro.negocio]=$B400) *
  (desp[parcela]&gt;=L$1) *
  (desp[parcela]&lt;EOMONTH(L$1,0)+1)
)</f>
        <v>0</v>
      </c>
      <c r="M400" s="245" cm="1">
        <f t="array" ref="M400">-SUMPRODUCT(
  desp[data.vencimento] *
  (desp[classificacao]=$B$289) *
  (desp[centro.negocio]=$B400) *
  (desp[parcela]&gt;=M$1) *
  (desp[parcela]&lt;EOMONTH(M$1,0)+1)
)</f>
        <v>0</v>
      </c>
      <c r="N400" s="245" cm="1">
        <f t="array" ref="N400">-SUMPRODUCT(
  desp[data.vencimento] *
  (desp[classificacao]=$B$289) *
  (desp[centro.negocio]=$B400) *
  (desp[parcela]&gt;=N$1) *
  (desp[parcela]&lt;EOMONTH(N$1,0)+1)
)</f>
        <v>0</v>
      </c>
      <c r="O400" s="245" cm="1">
        <f t="array" ref="O400">-SUMPRODUCT(
  desp[data.vencimento] *
  (desp[classificacao]=$B$289) *
  (desp[centro.negocio]=$B400) *
  (desp[parcela]&gt;=O$1) *
  (desp[parcela]&lt;EOMONTH(O$1,0)+1)
)</f>
        <v>0</v>
      </c>
      <c r="P400" s="245" cm="1">
        <f t="array" ref="P400">-SUMPRODUCT(
  desp[data.vencimento] *
  (desp[classificacao]=$B$289) *
  (desp[centro.negocio]=$B400) *
  (desp[parcela]&gt;=P$1) *
  (desp[parcela]&lt;EOMONTH(P$1,0)+1)
)</f>
        <v>0</v>
      </c>
      <c r="Q400" s="245" cm="1">
        <f t="array" ref="Q400">-SUMPRODUCT(
  desp[data.vencimento] *
  (desp[classificacao]=$B$289) *
  (desp[centro.negocio]=$B400) *
  (desp[parcela]&gt;=Q$1) *
  (desp[parcela]&lt;EOMONTH(Q$1,0)+1)
)</f>
        <v>0</v>
      </c>
      <c r="R400" s="245" cm="1">
        <f t="array" ref="R400">-SUMPRODUCT(
  desp[data.vencimento] *
  (desp[classificacao]=$B$289) *
  (desp[centro.negocio]=$B400) *
  (desp[parcela]&gt;=R$1) *
  (desp[parcela]&lt;EOMONTH(R$1,0)+1)
)</f>
        <v>0</v>
      </c>
    </row>
    <row r="401" spans="1:18" outlineLevel="1" x14ac:dyDescent="0.25">
      <c r="A401" s="243" t="s">
        <v>591</v>
      </c>
      <c r="B401" s="243" t="s">
        <v>380</v>
      </c>
      <c r="C401" s="244" t="s">
        <v>522</v>
      </c>
      <c r="D401" s="245" cm="1">
        <f t="array" ref="D401">-SUMPRODUCT(
  desp[data.vencimento] *
  (desp[classificacao]=$B$289) *
  (desp[centro.negocio]=$B401) *
  (desp[parcela]&gt;=D$1) *
  (desp[parcela]&lt;EOMONTH(D$1,0)+1)
)</f>
        <v>0</v>
      </c>
      <c r="E401" s="245" cm="1">
        <f t="array" ref="E401">-SUMPRODUCT(
  desp[data.vencimento] *
  (desp[classificacao]=$B$289) *
  (desp[centro.negocio]=$B401) *
  (desp[parcela]&gt;=E$1) *
  (desp[parcela]&lt;EOMONTH(E$1,0)+1)
)</f>
        <v>0</v>
      </c>
      <c r="F401" s="245" cm="1">
        <f t="array" ref="F401">-SUMPRODUCT(
  desp[data.vencimento] *
  (desp[classificacao]=$B$289) *
  (desp[centro.negocio]=$B401) *
  (desp[parcela]&gt;=F$1) *
  (desp[parcela]&lt;EOMONTH(F$1,0)+1)
)</f>
        <v>0</v>
      </c>
      <c r="G401" s="245" cm="1">
        <f t="array" ref="G401">-SUMPRODUCT(
  desp[data.vencimento] *
  (desp[classificacao]=$B$289) *
  (desp[centro.negocio]=$B401) *
  (desp[parcela]&gt;=G$1) *
  (desp[parcela]&lt;EOMONTH(G$1,0)+1)
)</f>
        <v>0</v>
      </c>
      <c r="H401" s="245" cm="1">
        <f t="array" ref="H401">-SUMPRODUCT(
  desp[data.vencimento] *
  (desp[classificacao]=$B$289) *
  (desp[centro.negocio]=$B401) *
  (desp[parcela]&gt;=H$1) *
  (desp[parcela]&lt;EOMONTH(H$1,0)+1)
)</f>
        <v>0</v>
      </c>
      <c r="I401" s="245" cm="1">
        <f t="array" ref="I401">-SUMPRODUCT(
  desp[data.vencimento] *
  (desp[classificacao]=$B$289) *
  (desp[centro.negocio]=$B401) *
  (desp[parcela]&gt;=I$1) *
  (desp[parcela]&lt;EOMONTH(I$1,0)+1)
)</f>
        <v>0</v>
      </c>
      <c r="J401" s="245" cm="1">
        <f t="array" ref="J401">-SUMPRODUCT(
  desp[data.vencimento] *
  (desp[classificacao]=$B$289) *
  (desp[centro.negocio]=$B401) *
  (desp[parcela]&gt;=J$1) *
  (desp[parcela]&lt;EOMONTH(J$1,0)+1)
)</f>
        <v>0</v>
      </c>
      <c r="K401" s="245" cm="1">
        <f t="array" ref="K401">-SUMPRODUCT(
  desp[data.vencimento] *
  (desp[classificacao]=$B$289) *
  (desp[centro.negocio]=$B401) *
  (desp[parcela]&gt;=K$1) *
  (desp[parcela]&lt;EOMONTH(K$1,0)+1)
)</f>
        <v>0</v>
      </c>
      <c r="L401" s="245" cm="1">
        <f t="array" ref="L401">-SUMPRODUCT(
  desp[data.vencimento] *
  (desp[classificacao]=$B$289) *
  (desp[centro.negocio]=$B401) *
  (desp[parcela]&gt;=L$1) *
  (desp[parcela]&lt;EOMONTH(L$1,0)+1)
)</f>
        <v>0</v>
      </c>
      <c r="M401" s="245" cm="1">
        <f t="array" ref="M401">-SUMPRODUCT(
  desp[data.vencimento] *
  (desp[classificacao]=$B$289) *
  (desp[centro.negocio]=$B401) *
  (desp[parcela]&gt;=M$1) *
  (desp[parcela]&lt;EOMONTH(M$1,0)+1)
)</f>
        <v>0</v>
      </c>
      <c r="N401" s="245" cm="1">
        <f t="array" ref="N401">-SUMPRODUCT(
  desp[data.vencimento] *
  (desp[classificacao]=$B$289) *
  (desp[centro.negocio]=$B401) *
  (desp[parcela]&gt;=N$1) *
  (desp[parcela]&lt;EOMONTH(N$1,0)+1)
)</f>
        <v>0</v>
      </c>
      <c r="O401" s="245" cm="1">
        <f t="array" ref="O401">-SUMPRODUCT(
  desp[data.vencimento] *
  (desp[classificacao]=$B$289) *
  (desp[centro.negocio]=$B401) *
  (desp[parcela]&gt;=O$1) *
  (desp[parcela]&lt;EOMONTH(O$1,0)+1)
)</f>
        <v>0</v>
      </c>
      <c r="P401" s="245" cm="1">
        <f t="array" ref="P401">-SUMPRODUCT(
  desp[data.vencimento] *
  (desp[classificacao]=$B$289) *
  (desp[centro.negocio]=$B401) *
  (desp[parcela]&gt;=P$1) *
  (desp[parcela]&lt;EOMONTH(P$1,0)+1)
)</f>
        <v>0</v>
      </c>
      <c r="Q401" s="245" cm="1">
        <f t="array" ref="Q401">-SUMPRODUCT(
  desp[data.vencimento] *
  (desp[classificacao]=$B$289) *
  (desp[centro.negocio]=$B401) *
  (desp[parcela]&gt;=Q$1) *
  (desp[parcela]&lt;EOMONTH(Q$1,0)+1)
)</f>
        <v>0</v>
      </c>
      <c r="R401" s="245" cm="1">
        <f t="array" ref="R401">-SUMPRODUCT(
  desp[data.vencimento] *
  (desp[classificacao]=$B$289) *
  (desp[centro.negocio]=$B401) *
  (desp[parcela]&gt;=R$1) *
  (desp[parcela]&lt;EOMONTH(R$1,0)+1)
)</f>
        <v>0</v>
      </c>
    </row>
    <row r="402" spans="1:18" outlineLevel="1" x14ac:dyDescent="0.25">
      <c r="A402" s="243" t="s">
        <v>597</v>
      </c>
      <c r="B402" s="243" t="s">
        <v>375</v>
      </c>
      <c r="C402" s="244" t="s">
        <v>522</v>
      </c>
      <c r="D402" s="245" cm="1">
        <f t="array" ref="D402">-SUMPRODUCT(
  desp[data.vencimento] *
  (desp[classificacao]=$B$289) *
  (desp[centro.negocio]=$B402) *
  (desp[parcela]&gt;=D$1) *
  (desp[parcela]&lt;EOMONTH(D$1,0)+1)
)</f>
        <v>0</v>
      </c>
      <c r="E402" s="245" cm="1">
        <f t="array" ref="E402">-SUMPRODUCT(
  desp[data.vencimento] *
  (desp[classificacao]=$B$289) *
  (desp[centro.negocio]=$B402) *
  (desp[parcela]&gt;=E$1) *
  (desp[parcela]&lt;EOMONTH(E$1,0)+1)
)</f>
        <v>0</v>
      </c>
      <c r="F402" s="245" cm="1">
        <f t="array" ref="F402">-SUMPRODUCT(
  desp[data.vencimento] *
  (desp[classificacao]=$B$289) *
  (desp[centro.negocio]=$B402) *
  (desp[parcela]&gt;=F$1) *
  (desp[parcela]&lt;EOMONTH(F$1,0)+1)
)</f>
        <v>0</v>
      </c>
      <c r="G402" s="245" cm="1">
        <f t="array" ref="G402">-SUMPRODUCT(
  desp[data.vencimento] *
  (desp[classificacao]=$B$289) *
  (desp[centro.negocio]=$B402) *
  (desp[parcela]&gt;=G$1) *
  (desp[parcela]&lt;EOMONTH(G$1,0)+1)
)</f>
        <v>0</v>
      </c>
      <c r="H402" s="245" cm="1">
        <f t="array" ref="H402">-SUMPRODUCT(
  desp[data.vencimento] *
  (desp[classificacao]=$B$289) *
  (desp[centro.negocio]=$B402) *
  (desp[parcela]&gt;=H$1) *
  (desp[parcela]&lt;EOMONTH(H$1,0)+1)
)</f>
        <v>0</v>
      </c>
      <c r="I402" s="245" cm="1">
        <f t="array" ref="I402">-SUMPRODUCT(
  desp[data.vencimento] *
  (desp[classificacao]=$B$289) *
  (desp[centro.negocio]=$B402) *
  (desp[parcela]&gt;=I$1) *
  (desp[parcela]&lt;EOMONTH(I$1,0)+1)
)</f>
        <v>0</v>
      </c>
      <c r="J402" s="245" cm="1">
        <f t="array" ref="J402">-SUMPRODUCT(
  desp[data.vencimento] *
  (desp[classificacao]=$B$289) *
  (desp[centro.negocio]=$B402) *
  (desp[parcela]&gt;=J$1) *
  (desp[parcela]&lt;EOMONTH(J$1,0)+1)
)</f>
        <v>0</v>
      </c>
      <c r="K402" s="245" cm="1">
        <f t="array" ref="K402">-SUMPRODUCT(
  desp[data.vencimento] *
  (desp[classificacao]=$B$289) *
  (desp[centro.negocio]=$B402) *
  (desp[parcela]&gt;=K$1) *
  (desp[parcela]&lt;EOMONTH(K$1,0)+1)
)</f>
        <v>0</v>
      </c>
      <c r="L402" s="245" cm="1">
        <f t="array" ref="L402">-SUMPRODUCT(
  desp[data.vencimento] *
  (desp[classificacao]=$B$289) *
  (desp[centro.negocio]=$B402) *
  (desp[parcela]&gt;=L$1) *
  (desp[parcela]&lt;EOMONTH(L$1,0)+1)
)</f>
        <v>0</v>
      </c>
      <c r="M402" s="245" cm="1">
        <f t="array" ref="M402">-SUMPRODUCT(
  desp[data.vencimento] *
  (desp[classificacao]=$B$289) *
  (desp[centro.negocio]=$B402) *
  (desp[parcela]&gt;=M$1) *
  (desp[parcela]&lt;EOMONTH(M$1,0)+1)
)</f>
        <v>0</v>
      </c>
      <c r="N402" s="245" cm="1">
        <f t="array" ref="N402">-SUMPRODUCT(
  desp[data.vencimento] *
  (desp[classificacao]=$B$289) *
  (desp[centro.negocio]=$B402) *
  (desp[parcela]&gt;=N$1) *
  (desp[parcela]&lt;EOMONTH(N$1,0)+1)
)</f>
        <v>0</v>
      </c>
      <c r="O402" s="245" cm="1">
        <f t="array" ref="O402">-SUMPRODUCT(
  desp[data.vencimento] *
  (desp[classificacao]=$B$289) *
  (desp[centro.negocio]=$B402) *
  (desp[parcela]&gt;=O$1) *
  (desp[parcela]&lt;EOMONTH(O$1,0)+1)
)</f>
        <v>0</v>
      </c>
      <c r="P402" s="245" cm="1">
        <f t="array" ref="P402">-SUMPRODUCT(
  desp[data.vencimento] *
  (desp[classificacao]=$B$289) *
  (desp[centro.negocio]=$B402) *
  (desp[parcela]&gt;=P$1) *
  (desp[parcela]&lt;EOMONTH(P$1,0)+1)
)</f>
        <v>0</v>
      </c>
      <c r="Q402" s="245" cm="1">
        <f t="array" ref="Q402">-SUMPRODUCT(
  desp[data.vencimento] *
  (desp[classificacao]=$B$289) *
  (desp[centro.negocio]=$B402) *
  (desp[parcela]&gt;=Q$1) *
  (desp[parcela]&lt;EOMONTH(Q$1,0)+1)
)</f>
        <v>0</v>
      </c>
      <c r="R402" s="245" cm="1">
        <f t="array" ref="R402">-SUMPRODUCT(
  desp[data.vencimento] *
  (desp[classificacao]=$B$289) *
  (desp[centro.negocio]=$B402) *
  (desp[parcela]&gt;=R$1) *
  (desp[parcela]&lt;EOMONTH(R$1,0)+1)
)</f>
        <v>0</v>
      </c>
    </row>
    <row r="403" spans="1:18" outlineLevel="1" x14ac:dyDescent="0.25">
      <c r="A403" s="243" t="s">
        <v>599</v>
      </c>
      <c r="B403" s="243" t="s">
        <v>376</v>
      </c>
      <c r="C403" s="244" t="s">
        <v>522</v>
      </c>
      <c r="D403" s="245" cm="1">
        <f t="array" ref="D403">-SUMPRODUCT(
  desp[data.vencimento] *
  (desp[classificacao]=$B$289) *
  (desp[centro.negocio]=$B403) *
  (desp[parcela]&gt;=D$1) *
  (desp[parcela]&lt;EOMONTH(D$1,0)+1)
)</f>
        <v>0</v>
      </c>
      <c r="E403" s="245" cm="1">
        <f t="array" ref="E403">-SUMPRODUCT(
  desp[data.vencimento] *
  (desp[classificacao]=$B$289) *
  (desp[centro.negocio]=$B403) *
  (desp[parcela]&gt;=E$1) *
  (desp[parcela]&lt;EOMONTH(E$1,0)+1)
)</f>
        <v>0</v>
      </c>
      <c r="F403" s="245" cm="1">
        <f t="array" ref="F403">-SUMPRODUCT(
  desp[data.vencimento] *
  (desp[classificacao]=$B$289) *
  (desp[centro.negocio]=$B403) *
  (desp[parcela]&gt;=F$1) *
  (desp[parcela]&lt;EOMONTH(F$1,0)+1)
)</f>
        <v>0</v>
      </c>
      <c r="G403" s="245" cm="1">
        <f t="array" ref="G403">-SUMPRODUCT(
  desp[data.vencimento] *
  (desp[classificacao]=$B$289) *
  (desp[centro.negocio]=$B403) *
  (desp[parcela]&gt;=G$1) *
  (desp[parcela]&lt;EOMONTH(G$1,0)+1)
)</f>
        <v>0</v>
      </c>
      <c r="H403" s="245" cm="1">
        <f t="array" ref="H403">-SUMPRODUCT(
  desp[data.vencimento] *
  (desp[classificacao]=$B$289) *
  (desp[centro.negocio]=$B403) *
  (desp[parcela]&gt;=H$1) *
  (desp[parcela]&lt;EOMONTH(H$1,0)+1)
)</f>
        <v>0</v>
      </c>
      <c r="I403" s="245" cm="1">
        <f t="array" ref="I403">-SUMPRODUCT(
  desp[data.vencimento] *
  (desp[classificacao]=$B$289) *
  (desp[centro.negocio]=$B403) *
  (desp[parcela]&gt;=I$1) *
  (desp[parcela]&lt;EOMONTH(I$1,0)+1)
)</f>
        <v>0</v>
      </c>
      <c r="J403" s="245" cm="1">
        <f t="array" ref="J403">-SUMPRODUCT(
  desp[data.vencimento] *
  (desp[classificacao]=$B$289) *
  (desp[centro.negocio]=$B403) *
  (desp[parcela]&gt;=J$1) *
  (desp[parcela]&lt;EOMONTH(J$1,0)+1)
)</f>
        <v>0</v>
      </c>
      <c r="K403" s="245" cm="1">
        <f t="array" ref="K403">-SUMPRODUCT(
  desp[data.vencimento] *
  (desp[classificacao]=$B$289) *
  (desp[centro.negocio]=$B403) *
  (desp[parcela]&gt;=K$1) *
  (desp[parcela]&lt;EOMONTH(K$1,0)+1)
)</f>
        <v>0</v>
      </c>
      <c r="L403" s="245" cm="1">
        <f t="array" ref="L403">-SUMPRODUCT(
  desp[data.vencimento] *
  (desp[classificacao]=$B$289) *
  (desp[centro.negocio]=$B403) *
  (desp[parcela]&gt;=L$1) *
  (desp[parcela]&lt;EOMONTH(L$1,0)+1)
)</f>
        <v>0</v>
      </c>
      <c r="M403" s="245" cm="1">
        <f t="array" ref="M403">-SUMPRODUCT(
  desp[data.vencimento] *
  (desp[classificacao]=$B$289) *
  (desp[centro.negocio]=$B403) *
  (desp[parcela]&gt;=M$1) *
  (desp[parcela]&lt;EOMONTH(M$1,0)+1)
)</f>
        <v>0</v>
      </c>
      <c r="N403" s="245" cm="1">
        <f t="array" ref="N403">-SUMPRODUCT(
  desp[data.vencimento] *
  (desp[classificacao]=$B$289) *
  (desp[centro.negocio]=$B403) *
  (desp[parcela]&gt;=N$1) *
  (desp[parcela]&lt;EOMONTH(N$1,0)+1)
)</f>
        <v>0</v>
      </c>
      <c r="O403" s="245" cm="1">
        <f t="array" ref="O403">-SUMPRODUCT(
  desp[data.vencimento] *
  (desp[classificacao]=$B$289) *
  (desp[centro.negocio]=$B403) *
  (desp[parcela]&gt;=O$1) *
  (desp[parcela]&lt;EOMONTH(O$1,0)+1)
)</f>
        <v>0</v>
      </c>
      <c r="P403" s="245" cm="1">
        <f t="array" ref="P403">-SUMPRODUCT(
  desp[data.vencimento] *
  (desp[classificacao]=$B$289) *
  (desp[centro.negocio]=$B403) *
  (desp[parcela]&gt;=P$1) *
  (desp[parcela]&lt;EOMONTH(P$1,0)+1)
)</f>
        <v>0</v>
      </c>
      <c r="Q403" s="245" cm="1">
        <f t="array" ref="Q403">-SUMPRODUCT(
  desp[data.vencimento] *
  (desp[classificacao]=$B$289) *
  (desp[centro.negocio]=$B403) *
  (desp[parcela]&gt;=Q$1) *
  (desp[parcela]&lt;EOMONTH(Q$1,0)+1)
)</f>
        <v>0</v>
      </c>
      <c r="R403" s="245" cm="1">
        <f t="array" ref="R403">-SUMPRODUCT(
  desp[data.vencimento] *
  (desp[classificacao]=$B$289) *
  (desp[centro.negocio]=$B403) *
  (desp[parcela]&gt;=R$1) *
  (desp[parcela]&lt;EOMONTH(R$1,0)+1)
)</f>
        <v>0</v>
      </c>
    </row>
    <row r="404" spans="1:18" outlineLevel="1" x14ac:dyDescent="0.25">
      <c r="A404" s="243" t="s">
        <v>601</v>
      </c>
      <c r="B404" s="243" t="s">
        <v>374</v>
      </c>
      <c r="C404" s="244" t="s">
        <v>522</v>
      </c>
      <c r="D404" s="245" cm="1">
        <f t="array" ref="D404">-SUMPRODUCT(
  desp[data.vencimento] *
  (desp[classificacao]=$B$289) *
  (desp[centro.negocio]=$B404) *
  (desp[parcela]&gt;=D$1) *
  (desp[parcela]&lt;EOMONTH(D$1,0)+1)
)</f>
        <v>0</v>
      </c>
      <c r="E404" s="245" cm="1">
        <f t="array" ref="E404">-SUMPRODUCT(
  desp[data.vencimento] *
  (desp[classificacao]=$B$289) *
  (desp[centro.negocio]=$B404) *
  (desp[parcela]&gt;=E$1) *
  (desp[parcela]&lt;EOMONTH(E$1,0)+1)
)</f>
        <v>0</v>
      </c>
      <c r="F404" s="245" cm="1">
        <f t="array" ref="F404">-SUMPRODUCT(
  desp[data.vencimento] *
  (desp[classificacao]=$B$289) *
  (desp[centro.negocio]=$B404) *
  (desp[parcela]&gt;=F$1) *
  (desp[parcela]&lt;EOMONTH(F$1,0)+1)
)</f>
        <v>0</v>
      </c>
      <c r="G404" s="245" cm="1">
        <f t="array" ref="G404">-SUMPRODUCT(
  desp[data.vencimento] *
  (desp[classificacao]=$B$289) *
  (desp[centro.negocio]=$B404) *
  (desp[parcela]&gt;=G$1) *
  (desp[parcela]&lt;EOMONTH(G$1,0)+1)
)</f>
        <v>0</v>
      </c>
      <c r="H404" s="245" cm="1">
        <f t="array" ref="H404">-SUMPRODUCT(
  desp[data.vencimento] *
  (desp[classificacao]=$B$289) *
  (desp[centro.negocio]=$B404) *
  (desp[parcela]&gt;=H$1) *
  (desp[parcela]&lt;EOMONTH(H$1,0)+1)
)</f>
        <v>0</v>
      </c>
      <c r="I404" s="245" cm="1">
        <f t="array" ref="I404">-SUMPRODUCT(
  desp[data.vencimento] *
  (desp[classificacao]=$B$289) *
  (desp[centro.negocio]=$B404) *
  (desp[parcela]&gt;=I$1) *
  (desp[parcela]&lt;EOMONTH(I$1,0)+1)
)</f>
        <v>0</v>
      </c>
      <c r="J404" s="245" cm="1">
        <f t="array" ref="J404">-SUMPRODUCT(
  desp[data.vencimento] *
  (desp[classificacao]=$B$289) *
  (desp[centro.negocio]=$B404) *
  (desp[parcela]&gt;=J$1) *
  (desp[parcela]&lt;EOMONTH(J$1,0)+1)
)</f>
        <v>0</v>
      </c>
      <c r="K404" s="245" cm="1">
        <f t="array" ref="K404">-SUMPRODUCT(
  desp[data.vencimento] *
  (desp[classificacao]=$B$289) *
  (desp[centro.negocio]=$B404) *
  (desp[parcela]&gt;=K$1) *
  (desp[parcela]&lt;EOMONTH(K$1,0)+1)
)</f>
        <v>0</v>
      </c>
      <c r="L404" s="245" cm="1">
        <f t="array" ref="L404">-SUMPRODUCT(
  desp[data.vencimento] *
  (desp[classificacao]=$B$289) *
  (desp[centro.negocio]=$B404) *
  (desp[parcela]&gt;=L$1) *
  (desp[parcela]&lt;EOMONTH(L$1,0)+1)
)</f>
        <v>0</v>
      </c>
      <c r="M404" s="245" cm="1">
        <f t="array" ref="M404">-SUMPRODUCT(
  desp[data.vencimento] *
  (desp[classificacao]=$B$289) *
  (desp[centro.negocio]=$B404) *
  (desp[parcela]&gt;=M$1) *
  (desp[parcela]&lt;EOMONTH(M$1,0)+1)
)</f>
        <v>0</v>
      </c>
      <c r="N404" s="245" cm="1">
        <f t="array" ref="N404">-SUMPRODUCT(
  desp[data.vencimento] *
  (desp[classificacao]=$B$289) *
  (desp[centro.negocio]=$B404) *
  (desp[parcela]&gt;=N$1) *
  (desp[parcela]&lt;EOMONTH(N$1,0)+1)
)</f>
        <v>0</v>
      </c>
      <c r="O404" s="245" cm="1">
        <f t="array" ref="O404">-SUMPRODUCT(
  desp[data.vencimento] *
  (desp[classificacao]=$B$289) *
  (desp[centro.negocio]=$B404) *
  (desp[parcela]&gt;=O$1) *
  (desp[parcela]&lt;EOMONTH(O$1,0)+1)
)</f>
        <v>0</v>
      </c>
      <c r="P404" s="245" cm="1">
        <f t="array" ref="P404">-SUMPRODUCT(
  desp[data.vencimento] *
  (desp[classificacao]=$B$289) *
  (desp[centro.negocio]=$B404) *
  (desp[parcela]&gt;=P$1) *
  (desp[parcela]&lt;EOMONTH(P$1,0)+1)
)</f>
        <v>0</v>
      </c>
      <c r="Q404" s="245" cm="1">
        <f t="array" ref="Q404">-SUMPRODUCT(
  desp[data.vencimento] *
  (desp[classificacao]=$B$289) *
  (desp[centro.negocio]=$B404) *
  (desp[parcela]&gt;=Q$1) *
  (desp[parcela]&lt;EOMONTH(Q$1,0)+1)
)</f>
        <v>0</v>
      </c>
      <c r="R404" s="245" cm="1">
        <f t="array" ref="R404">-SUMPRODUCT(
  desp[data.vencimento] *
  (desp[classificacao]=$B$289) *
  (desp[centro.negocio]=$B404) *
  (desp[parcela]&gt;=R$1) *
  (desp[parcela]&lt;EOMONTH(R$1,0)+1)
)</f>
        <v>0</v>
      </c>
    </row>
    <row r="405" spans="1:18" outlineLevel="1" x14ac:dyDescent="0.25">
      <c r="A405" s="243" t="s">
        <v>603</v>
      </c>
      <c r="B405" s="243" t="s">
        <v>381</v>
      </c>
      <c r="C405" s="244" t="s">
        <v>522</v>
      </c>
      <c r="D405" s="245" cm="1">
        <f t="array" ref="D405">-SUMPRODUCT(
  desp[data.vencimento] *
  (desp[classificacao]=$B$289) *
  (desp[centro.negocio]=$B405) *
  (desp[parcela]&gt;=D$1) *
  (desp[parcela]&lt;EOMONTH(D$1,0)+1)
)</f>
        <v>0</v>
      </c>
      <c r="E405" s="245" cm="1">
        <f t="array" ref="E405">-SUMPRODUCT(
  desp[data.vencimento] *
  (desp[classificacao]=$B$289) *
  (desp[centro.negocio]=$B405) *
  (desp[parcela]&gt;=E$1) *
  (desp[parcela]&lt;EOMONTH(E$1,0)+1)
)</f>
        <v>0</v>
      </c>
      <c r="F405" s="245" cm="1">
        <f t="array" ref="F405">-SUMPRODUCT(
  desp[data.vencimento] *
  (desp[classificacao]=$B$289) *
  (desp[centro.negocio]=$B405) *
  (desp[parcela]&gt;=F$1) *
  (desp[parcela]&lt;EOMONTH(F$1,0)+1)
)</f>
        <v>0</v>
      </c>
      <c r="G405" s="245" cm="1">
        <f t="array" ref="G405">-SUMPRODUCT(
  desp[data.vencimento] *
  (desp[classificacao]=$B$289) *
  (desp[centro.negocio]=$B405) *
  (desp[parcela]&gt;=G$1) *
  (desp[parcela]&lt;EOMONTH(G$1,0)+1)
)</f>
        <v>0</v>
      </c>
      <c r="H405" s="245" cm="1">
        <f t="array" ref="H405">-SUMPRODUCT(
  desp[data.vencimento] *
  (desp[classificacao]=$B$289) *
  (desp[centro.negocio]=$B405) *
  (desp[parcela]&gt;=H$1) *
  (desp[parcela]&lt;EOMONTH(H$1,0)+1)
)</f>
        <v>0</v>
      </c>
      <c r="I405" s="245" cm="1">
        <f t="array" ref="I405">-SUMPRODUCT(
  desp[data.vencimento] *
  (desp[classificacao]=$B$289) *
  (desp[centro.negocio]=$B405) *
  (desp[parcela]&gt;=I$1) *
  (desp[parcela]&lt;EOMONTH(I$1,0)+1)
)</f>
        <v>0</v>
      </c>
      <c r="J405" s="245" cm="1">
        <f t="array" ref="J405">-SUMPRODUCT(
  desp[data.vencimento] *
  (desp[classificacao]=$B$289) *
  (desp[centro.negocio]=$B405) *
  (desp[parcela]&gt;=J$1) *
  (desp[parcela]&lt;EOMONTH(J$1,0)+1)
)</f>
        <v>0</v>
      </c>
      <c r="K405" s="245" cm="1">
        <f t="array" ref="K405">-SUMPRODUCT(
  desp[data.vencimento] *
  (desp[classificacao]=$B$289) *
  (desp[centro.negocio]=$B405) *
  (desp[parcela]&gt;=K$1) *
  (desp[parcela]&lt;EOMONTH(K$1,0)+1)
)</f>
        <v>0</v>
      </c>
      <c r="L405" s="245" cm="1">
        <f t="array" ref="L405">-SUMPRODUCT(
  desp[data.vencimento] *
  (desp[classificacao]=$B$289) *
  (desp[centro.negocio]=$B405) *
  (desp[parcela]&gt;=L$1) *
  (desp[parcela]&lt;EOMONTH(L$1,0)+1)
)</f>
        <v>0</v>
      </c>
      <c r="M405" s="245" cm="1">
        <f t="array" ref="M405">-SUMPRODUCT(
  desp[data.vencimento] *
  (desp[classificacao]=$B$289) *
  (desp[centro.negocio]=$B405) *
  (desp[parcela]&gt;=M$1) *
  (desp[parcela]&lt;EOMONTH(M$1,0)+1)
)</f>
        <v>0</v>
      </c>
      <c r="N405" s="245" cm="1">
        <f t="array" ref="N405">-SUMPRODUCT(
  desp[data.vencimento] *
  (desp[classificacao]=$B$289) *
  (desp[centro.negocio]=$B405) *
  (desp[parcela]&gt;=N$1) *
  (desp[parcela]&lt;EOMONTH(N$1,0)+1)
)</f>
        <v>0</v>
      </c>
      <c r="O405" s="245" cm="1">
        <f t="array" ref="O405">-SUMPRODUCT(
  desp[data.vencimento] *
  (desp[classificacao]=$B$289) *
  (desp[centro.negocio]=$B405) *
  (desp[parcela]&gt;=O$1) *
  (desp[parcela]&lt;EOMONTH(O$1,0)+1)
)</f>
        <v>0</v>
      </c>
      <c r="P405" s="245" cm="1">
        <f t="array" ref="P405">-SUMPRODUCT(
  desp[data.vencimento] *
  (desp[classificacao]=$B$289) *
  (desp[centro.negocio]=$B405) *
  (desp[parcela]&gt;=P$1) *
  (desp[parcela]&lt;EOMONTH(P$1,0)+1)
)</f>
        <v>0</v>
      </c>
      <c r="Q405" s="245" cm="1">
        <f t="array" ref="Q405">-SUMPRODUCT(
  desp[data.vencimento] *
  (desp[classificacao]=$B$289) *
  (desp[centro.negocio]=$B405) *
  (desp[parcela]&gt;=Q$1) *
  (desp[parcela]&lt;EOMONTH(Q$1,0)+1)
)</f>
        <v>0</v>
      </c>
      <c r="R405" s="245" cm="1">
        <f t="array" ref="R405">-SUMPRODUCT(
  desp[data.vencimento] *
  (desp[classificacao]=$B$289) *
  (desp[centro.negocio]=$B405) *
  (desp[parcela]&gt;=R$1) *
  (desp[parcela]&lt;EOMONTH(R$1,0)+1)
)</f>
        <v>0</v>
      </c>
    </row>
    <row r="406" spans="1:18" outlineLevel="1" x14ac:dyDescent="0.25">
      <c r="A406" s="243" t="s">
        <v>608</v>
      </c>
      <c r="B406" s="243" t="s">
        <v>393</v>
      </c>
      <c r="C406" s="244" t="s">
        <v>522</v>
      </c>
      <c r="D406" s="245" cm="1">
        <f t="array" ref="D406">-SUMPRODUCT(
  desp[data.vencimento] *
  (desp[classificacao]=$B$289) *
  (desp[centro.negocio]=$B406) *
  (desp[parcela]&gt;=D$1) *
  (desp[parcela]&lt;EOMONTH(D$1,0)+1)
)</f>
        <v>0</v>
      </c>
      <c r="E406" s="245" cm="1">
        <f t="array" ref="E406">-SUMPRODUCT(
  desp[data.vencimento] *
  (desp[classificacao]=$B$289) *
  (desp[centro.negocio]=$B406) *
  (desp[parcela]&gt;=E$1) *
  (desp[parcela]&lt;EOMONTH(E$1,0)+1)
)</f>
        <v>0</v>
      </c>
      <c r="F406" s="245" cm="1">
        <f t="array" ref="F406">-SUMPRODUCT(
  desp[data.vencimento] *
  (desp[classificacao]=$B$289) *
  (desp[centro.negocio]=$B406) *
  (desp[parcela]&gt;=F$1) *
  (desp[parcela]&lt;EOMONTH(F$1,0)+1)
)</f>
        <v>0</v>
      </c>
      <c r="G406" s="245" cm="1">
        <f t="array" ref="G406">-SUMPRODUCT(
  desp[data.vencimento] *
  (desp[classificacao]=$B$289) *
  (desp[centro.negocio]=$B406) *
  (desp[parcela]&gt;=G$1) *
  (desp[parcela]&lt;EOMONTH(G$1,0)+1)
)</f>
        <v>0</v>
      </c>
      <c r="H406" s="245" cm="1">
        <f t="array" ref="H406">-SUMPRODUCT(
  desp[data.vencimento] *
  (desp[classificacao]=$B$289) *
  (desp[centro.negocio]=$B406) *
  (desp[parcela]&gt;=H$1) *
  (desp[parcela]&lt;EOMONTH(H$1,0)+1)
)</f>
        <v>0</v>
      </c>
      <c r="I406" s="245" cm="1">
        <f t="array" ref="I406">-SUMPRODUCT(
  desp[data.vencimento] *
  (desp[classificacao]=$B$289) *
  (desp[centro.negocio]=$B406) *
  (desp[parcela]&gt;=I$1) *
  (desp[parcela]&lt;EOMONTH(I$1,0)+1)
)</f>
        <v>0</v>
      </c>
      <c r="J406" s="245" cm="1">
        <f t="array" ref="J406">-SUMPRODUCT(
  desp[data.vencimento] *
  (desp[classificacao]=$B$289) *
  (desp[centro.negocio]=$B406) *
  (desp[parcela]&gt;=J$1) *
  (desp[parcela]&lt;EOMONTH(J$1,0)+1)
)</f>
        <v>0</v>
      </c>
      <c r="K406" s="245" cm="1">
        <f t="array" ref="K406">-SUMPRODUCT(
  desp[data.vencimento] *
  (desp[classificacao]=$B$289) *
  (desp[centro.negocio]=$B406) *
  (desp[parcela]&gt;=K$1) *
  (desp[parcela]&lt;EOMONTH(K$1,0)+1)
)</f>
        <v>0</v>
      </c>
      <c r="L406" s="245" cm="1">
        <f t="array" ref="L406">-SUMPRODUCT(
  desp[data.vencimento] *
  (desp[classificacao]=$B$289) *
  (desp[centro.negocio]=$B406) *
  (desp[parcela]&gt;=L$1) *
  (desp[parcela]&lt;EOMONTH(L$1,0)+1)
)</f>
        <v>0</v>
      </c>
      <c r="M406" s="245" cm="1">
        <f t="array" ref="M406">-SUMPRODUCT(
  desp[data.vencimento] *
  (desp[classificacao]=$B$289) *
  (desp[centro.negocio]=$B406) *
  (desp[parcela]&gt;=M$1) *
  (desp[parcela]&lt;EOMONTH(M$1,0)+1)
)</f>
        <v>0</v>
      </c>
      <c r="N406" s="245" cm="1">
        <f t="array" ref="N406">-SUMPRODUCT(
  desp[data.vencimento] *
  (desp[classificacao]=$B$289) *
  (desp[centro.negocio]=$B406) *
  (desp[parcela]&gt;=N$1) *
  (desp[parcela]&lt;EOMONTH(N$1,0)+1)
)</f>
        <v>0</v>
      </c>
      <c r="O406" s="245" cm="1">
        <f t="array" ref="O406">-SUMPRODUCT(
  desp[data.vencimento] *
  (desp[classificacao]=$B$289) *
  (desp[centro.negocio]=$B406) *
  (desp[parcela]&gt;=O$1) *
  (desp[parcela]&lt;EOMONTH(O$1,0)+1)
)</f>
        <v>0</v>
      </c>
      <c r="P406" s="245" cm="1">
        <f t="array" ref="P406">-SUMPRODUCT(
  desp[data.vencimento] *
  (desp[classificacao]=$B$289) *
  (desp[centro.negocio]=$B406) *
  (desp[parcela]&gt;=P$1) *
  (desp[parcela]&lt;EOMONTH(P$1,0)+1)
)</f>
        <v>0</v>
      </c>
      <c r="Q406" s="245" cm="1">
        <f t="array" ref="Q406">-SUMPRODUCT(
  desp[data.vencimento] *
  (desp[classificacao]=$B$289) *
  (desp[centro.negocio]=$B406) *
  (desp[parcela]&gt;=Q$1) *
  (desp[parcela]&lt;EOMONTH(Q$1,0)+1)
)</f>
        <v>0</v>
      </c>
      <c r="R406" s="245" cm="1">
        <f t="array" ref="R406">-SUMPRODUCT(
  desp[data.vencimento] *
  (desp[classificacao]=$B$289) *
  (desp[centro.negocio]=$B406) *
  (desp[parcela]&gt;=R$1) *
  (desp[parcela]&lt;EOMONTH(R$1,0)+1)
)</f>
        <v>0</v>
      </c>
    </row>
    <row r="407" spans="1:18" outlineLevel="1" x14ac:dyDescent="0.25">
      <c r="A407" s="243" t="s">
        <v>622</v>
      </c>
      <c r="B407" s="243" t="s">
        <v>346</v>
      </c>
      <c r="C407" s="244" t="s">
        <v>522</v>
      </c>
      <c r="D407" s="245" cm="1">
        <f t="array" ref="D407">-SUMPRODUCT(
  desp[data.vencimento] *
  (desp[classificacao]=$B$289) *
  (desp[centro.negocio]=$B407) *
  (desp[parcela]&gt;=D$1) *
  (desp[parcela]&lt;EOMONTH(D$1,0)+1)
)</f>
        <v>0</v>
      </c>
      <c r="E407" s="245" cm="1">
        <f t="array" ref="E407">-SUMPRODUCT(
  desp[data.vencimento] *
  (desp[classificacao]=$B$289) *
  (desp[centro.negocio]=$B407) *
  (desp[parcela]&gt;=E$1) *
  (desp[parcela]&lt;EOMONTH(E$1,0)+1)
)</f>
        <v>0</v>
      </c>
      <c r="F407" s="245" cm="1">
        <f t="array" ref="F407">-SUMPRODUCT(
  desp[data.vencimento] *
  (desp[classificacao]=$B$289) *
  (desp[centro.negocio]=$B407) *
  (desp[parcela]&gt;=F$1) *
  (desp[parcela]&lt;EOMONTH(F$1,0)+1)
)</f>
        <v>0</v>
      </c>
      <c r="G407" s="245" cm="1">
        <f t="array" ref="G407">-SUMPRODUCT(
  desp[data.vencimento] *
  (desp[classificacao]=$B$289) *
  (desp[centro.negocio]=$B407) *
  (desp[parcela]&gt;=G$1) *
  (desp[parcela]&lt;EOMONTH(G$1,0)+1)
)</f>
        <v>0</v>
      </c>
      <c r="H407" s="245" cm="1">
        <f t="array" ref="H407">-SUMPRODUCT(
  desp[data.vencimento] *
  (desp[classificacao]=$B$289) *
  (desp[centro.negocio]=$B407) *
  (desp[parcela]&gt;=H$1) *
  (desp[parcela]&lt;EOMONTH(H$1,0)+1)
)</f>
        <v>0</v>
      </c>
      <c r="I407" s="245" cm="1">
        <f t="array" ref="I407">-SUMPRODUCT(
  desp[data.vencimento] *
  (desp[classificacao]=$B$289) *
  (desp[centro.negocio]=$B407) *
  (desp[parcela]&gt;=I$1) *
  (desp[parcela]&lt;EOMONTH(I$1,0)+1)
)</f>
        <v>0</v>
      </c>
      <c r="J407" s="245" cm="1">
        <f t="array" ref="J407">-SUMPRODUCT(
  desp[data.vencimento] *
  (desp[classificacao]=$B$289) *
  (desp[centro.negocio]=$B407) *
  (desp[parcela]&gt;=J$1) *
  (desp[parcela]&lt;EOMONTH(J$1,0)+1)
)</f>
        <v>0</v>
      </c>
      <c r="K407" s="245" cm="1">
        <f t="array" ref="K407">-SUMPRODUCT(
  desp[data.vencimento] *
  (desp[classificacao]=$B$289) *
  (desp[centro.negocio]=$B407) *
  (desp[parcela]&gt;=K$1) *
  (desp[parcela]&lt;EOMONTH(K$1,0)+1)
)</f>
        <v>0</v>
      </c>
      <c r="L407" s="245" cm="1">
        <f t="array" ref="L407">-SUMPRODUCT(
  desp[data.vencimento] *
  (desp[classificacao]=$B$289) *
  (desp[centro.negocio]=$B407) *
  (desp[parcela]&gt;=L$1) *
  (desp[parcela]&lt;EOMONTH(L$1,0)+1)
)</f>
        <v>0</v>
      </c>
      <c r="M407" s="245" cm="1">
        <f t="array" ref="M407">-SUMPRODUCT(
  desp[data.vencimento] *
  (desp[classificacao]=$B$289) *
  (desp[centro.negocio]=$B407) *
  (desp[parcela]&gt;=M$1) *
  (desp[parcela]&lt;EOMONTH(M$1,0)+1)
)</f>
        <v>0</v>
      </c>
      <c r="N407" s="245" cm="1">
        <f t="array" ref="N407">-SUMPRODUCT(
  desp[data.vencimento] *
  (desp[classificacao]=$B$289) *
  (desp[centro.negocio]=$B407) *
  (desp[parcela]&gt;=N$1) *
  (desp[parcela]&lt;EOMONTH(N$1,0)+1)
)</f>
        <v>0</v>
      </c>
      <c r="O407" s="245" cm="1">
        <f t="array" ref="O407">-SUMPRODUCT(
  desp[data.vencimento] *
  (desp[classificacao]=$B$289) *
  (desp[centro.negocio]=$B407) *
  (desp[parcela]&gt;=O$1) *
  (desp[parcela]&lt;EOMONTH(O$1,0)+1)
)</f>
        <v>0</v>
      </c>
      <c r="P407" s="245" cm="1">
        <f t="array" ref="P407">-SUMPRODUCT(
  desp[data.vencimento] *
  (desp[classificacao]=$B$289) *
  (desp[centro.negocio]=$B407) *
  (desp[parcela]&gt;=P$1) *
  (desp[parcela]&lt;EOMONTH(P$1,0)+1)
)</f>
        <v>0</v>
      </c>
      <c r="Q407" s="245" cm="1">
        <f t="array" ref="Q407">-SUMPRODUCT(
  desp[data.vencimento] *
  (desp[classificacao]=$B$289) *
  (desp[centro.negocio]=$B407) *
  (desp[parcela]&gt;=Q$1) *
  (desp[parcela]&lt;EOMONTH(Q$1,0)+1)
)</f>
        <v>0</v>
      </c>
      <c r="R407" s="245" cm="1">
        <f t="array" ref="R407">-SUMPRODUCT(
  desp[data.vencimento] *
  (desp[classificacao]=$B$289) *
  (desp[centro.negocio]=$B407) *
  (desp[parcela]&gt;=R$1) *
  (desp[parcela]&lt;EOMONTH(R$1,0)+1)
)</f>
        <v>0</v>
      </c>
    </row>
    <row r="408" spans="1:18" outlineLevel="1" x14ac:dyDescent="0.25">
      <c r="A408" s="243" t="s">
        <v>656</v>
      </c>
      <c r="B408" s="243" t="s">
        <v>390</v>
      </c>
      <c r="C408" s="244" t="s">
        <v>522</v>
      </c>
      <c r="D408" s="245" cm="1">
        <f t="array" ref="D408">-SUMPRODUCT(
  desp[data.vencimento] *
  (desp[classificacao]=$B$289) *
  (desp[centro.negocio]=$B408) *
  (desp[parcela]&gt;=D$1) *
  (desp[parcela]&lt;EOMONTH(D$1,0)+1)
)</f>
        <v>0</v>
      </c>
      <c r="E408" s="245" cm="1">
        <f t="array" ref="E408">-SUMPRODUCT(
  desp[data.vencimento] *
  (desp[classificacao]=$B$289) *
  (desp[centro.negocio]=$B408) *
  (desp[parcela]&gt;=E$1) *
  (desp[parcela]&lt;EOMONTH(E$1,0)+1)
)</f>
        <v>0</v>
      </c>
      <c r="F408" s="245" cm="1">
        <f t="array" ref="F408">-SUMPRODUCT(
  desp[data.vencimento] *
  (desp[classificacao]=$B$289) *
  (desp[centro.negocio]=$B408) *
  (desp[parcela]&gt;=F$1) *
  (desp[parcela]&lt;EOMONTH(F$1,0)+1)
)</f>
        <v>0</v>
      </c>
      <c r="G408" s="245" cm="1">
        <f t="array" ref="G408">-SUMPRODUCT(
  desp[data.vencimento] *
  (desp[classificacao]=$B$289) *
  (desp[centro.negocio]=$B408) *
  (desp[parcela]&gt;=G$1) *
  (desp[parcela]&lt;EOMONTH(G$1,0)+1)
)</f>
        <v>0</v>
      </c>
      <c r="H408" s="245" cm="1">
        <f t="array" ref="H408">-SUMPRODUCT(
  desp[data.vencimento] *
  (desp[classificacao]=$B$289) *
  (desp[centro.negocio]=$B408) *
  (desp[parcela]&gt;=H$1) *
  (desp[parcela]&lt;EOMONTH(H$1,0)+1)
)</f>
        <v>0</v>
      </c>
      <c r="I408" s="245" cm="1">
        <f t="array" ref="I408">-SUMPRODUCT(
  desp[data.vencimento] *
  (desp[classificacao]=$B$289) *
  (desp[centro.negocio]=$B408) *
  (desp[parcela]&gt;=I$1) *
  (desp[parcela]&lt;EOMONTH(I$1,0)+1)
)</f>
        <v>0</v>
      </c>
      <c r="J408" s="245" cm="1">
        <f t="array" ref="J408">-SUMPRODUCT(
  desp[data.vencimento] *
  (desp[classificacao]=$B$289) *
  (desp[centro.negocio]=$B408) *
  (desp[parcela]&gt;=J$1) *
  (desp[parcela]&lt;EOMONTH(J$1,0)+1)
)</f>
        <v>0</v>
      </c>
      <c r="K408" s="245" cm="1">
        <f t="array" ref="K408">-SUMPRODUCT(
  desp[data.vencimento] *
  (desp[classificacao]=$B$289) *
  (desp[centro.negocio]=$B408) *
  (desp[parcela]&gt;=K$1) *
  (desp[parcela]&lt;EOMONTH(K$1,0)+1)
)</f>
        <v>0</v>
      </c>
      <c r="L408" s="245" cm="1">
        <f t="array" ref="L408">-SUMPRODUCT(
  desp[data.vencimento] *
  (desp[classificacao]=$B$289) *
  (desp[centro.negocio]=$B408) *
  (desp[parcela]&gt;=L$1) *
  (desp[parcela]&lt;EOMONTH(L$1,0)+1)
)</f>
        <v>0</v>
      </c>
      <c r="M408" s="245" cm="1">
        <f t="array" ref="M408">-SUMPRODUCT(
  desp[data.vencimento] *
  (desp[classificacao]=$B$289) *
  (desp[centro.negocio]=$B408) *
  (desp[parcela]&gt;=M$1) *
  (desp[parcela]&lt;EOMONTH(M$1,0)+1)
)</f>
        <v>0</v>
      </c>
      <c r="N408" s="245" cm="1">
        <f t="array" ref="N408">-SUMPRODUCT(
  desp[data.vencimento] *
  (desp[classificacao]=$B$289) *
  (desp[centro.negocio]=$B408) *
  (desp[parcela]&gt;=N$1) *
  (desp[parcela]&lt;EOMONTH(N$1,0)+1)
)</f>
        <v>0</v>
      </c>
      <c r="O408" s="245" cm="1">
        <f t="array" ref="O408">-SUMPRODUCT(
  desp[data.vencimento] *
  (desp[classificacao]=$B$289) *
  (desp[centro.negocio]=$B408) *
  (desp[parcela]&gt;=O$1) *
  (desp[parcela]&lt;EOMONTH(O$1,0)+1)
)</f>
        <v>0</v>
      </c>
      <c r="P408" s="245" cm="1">
        <f t="array" ref="P408">-SUMPRODUCT(
  desp[data.vencimento] *
  (desp[classificacao]=$B$289) *
  (desp[centro.negocio]=$B408) *
  (desp[parcela]&gt;=P$1) *
  (desp[parcela]&lt;EOMONTH(P$1,0)+1)
)</f>
        <v>0</v>
      </c>
      <c r="Q408" s="245" cm="1">
        <f t="array" ref="Q408">-SUMPRODUCT(
  desp[data.vencimento] *
  (desp[classificacao]=$B$289) *
  (desp[centro.negocio]=$B408) *
  (desp[parcela]&gt;=Q$1) *
  (desp[parcela]&lt;EOMONTH(Q$1,0)+1)
)</f>
        <v>0</v>
      </c>
      <c r="R408" s="245" cm="1">
        <f t="array" ref="R408">-SUMPRODUCT(
  desp[data.vencimento] *
  (desp[classificacao]=$B$289) *
  (desp[centro.negocio]=$B408) *
  (desp[parcela]&gt;=R$1) *
  (desp[parcela]&lt;EOMONTH(R$1,0)+1)
)</f>
        <v>0</v>
      </c>
    </row>
    <row r="409" spans="1:18" outlineLevel="1" x14ac:dyDescent="0.25">
      <c r="A409" s="243" t="s">
        <v>669</v>
      </c>
      <c r="B409" s="243" t="s">
        <v>385</v>
      </c>
      <c r="C409" s="244" t="s">
        <v>522</v>
      </c>
      <c r="D409" s="245" cm="1">
        <f t="array" ref="D409">-SUMPRODUCT(
  desp[data.vencimento] *
  (desp[classificacao]=$B$289) *
  (desp[centro.negocio]=$B409) *
  (desp[parcela]&gt;=D$1) *
  (desp[parcela]&lt;EOMONTH(D$1,0)+1)
)</f>
        <v>0</v>
      </c>
      <c r="E409" s="245" cm="1">
        <f t="array" ref="E409">-SUMPRODUCT(
  desp[data.vencimento] *
  (desp[classificacao]=$B$289) *
  (desp[centro.negocio]=$B409) *
  (desp[parcela]&gt;=E$1) *
  (desp[parcela]&lt;EOMONTH(E$1,0)+1)
)</f>
        <v>0</v>
      </c>
      <c r="F409" s="245" cm="1">
        <f t="array" ref="F409">-SUMPRODUCT(
  desp[data.vencimento] *
  (desp[classificacao]=$B$289) *
  (desp[centro.negocio]=$B409) *
  (desp[parcela]&gt;=F$1) *
  (desp[parcela]&lt;EOMONTH(F$1,0)+1)
)</f>
        <v>0</v>
      </c>
      <c r="G409" s="245" cm="1">
        <f t="array" ref="G409">-SUMPRODUCT(
  desp[data.vencimento] *
  (desp[classificacao]=$B$289) *
  (desp[centro.negocio]=$B409) *
  (desp[parcela]&gt;=G$1) *
  (desp[parcela]&lt;EOMONTH(G$1,0)+1)
)</f>
        <v>0</v>
      </c>
      <c r="H409" s="245" cm="1">
        <f t="array" ref="H409">-SUMPRODUCT(
  desp[data.vencimento] *
  (desp[classificacao]=$B$289) *
  (desp[centro.negocio]=$B409) *
  (desp[parcela]&gt;=H$1) *
  (desp[parcela]&lt;EOMONTH(H$1,0)+1)
)</f>
        <v>0</v>
      </c>
      <c r="I409" s="245" cm="1">
        <f t="array" ref="I409">-SUMPRODUCT(
  desp[data.vencimento] *
  (desp[classificacao]=$B$289) *
  (desp[centro.negocio]=$B409) *
  (desp[parcela]&gt;=I$1) *
  (desp[parcela]&lt;EOMONTH(I$1,0)+1)
)</f>
        <v>0</v>
      </c>
      <c r="J409" s="245" cm="1">
        <f t="array" ref="J409">-SUMPRODUCT(
  desp[data.vencimento] *
  (desp[classificacao]=$B$289) *
  (desp[centro.negocio]=$B409) *
  (desp[parcela]&gt;=J$1) *
  (desp[parcela]&lt;EOMONTH(J$1,0)+1)
)</f>
        <v>0</v>
      </c>
      <c r="K409" s="245" cm="1">
        <f t="array" ref="K409">-SUMPRODUCT(
  desp[data.vencimento] *
  (desp[classificacao]=$B$289) *
  (desp[centro.negocio]=$B409) *
  (desp[parcela]&gt;=K$1) *
  (desp[parcela]&lt;EOMONTH(K$1,0)+1)
)</f>
        <v>0</v>
      </c>
      <c r="L409" s="245" cm="1">
        <f t="array" ref="L409">-SUMPRODUCT(
  desp[data.vencimento] *
  (desp[classificacao]=$B$289) *
  (desp[centro.negocio]=$B409) *
  (desp[parcela]&gt;=L$1) *
  (desp[parcela]&lt;EOMONTH(L$1,0)+1)
)</f>
        <v>0</v>
      </c>
      <c r="M409" s="245" cm="1">
        <f t="array" ref="M409">-SUMPRODUCT(
  desp[data.vencimento] *
  (desp[classificacao]=$B$289) *
  (desp[centro.negocio]=$B409) *
  (desp[parcela]&gt;=M$1) *
  (desp[parcela]&lt;EOMONTH(M$1,0)+1)
)</f>
        <v>0</v>
      </c>
      <c r="N409" s="245" cm="1">
        <f t="array" ref="N409">-SUMPRODUCT(
  desp[data.vencimento] *
  (desp[classificacao]=$B$289) *
  (desp[centro.negocio]=$B409) *
  (desp[parcela]&gt;=N$1) *
  (desp[parcela]&lt;EOMONTH(N$1,0)+1)
)</f>
        <v>0</v>
      </c>
      <c r="O409" s="245" cm="1">
        <f t="array" ref="O409">-SUMPRODUCT(
  desp[data.vencimento] *
  (desp[classificacao]=$B$289) *
  (desp[centro.negocio]=$B409) *
  (desp[parcela]&gt;=O$1) *
  (desp[parcela]&lt;EOMONTH(O$1,0)+1)
)</f>
        <v>0</v>
      </c>
      <c r="P409" s="245" cm="1">
        <f t="array" ref="P409">-SUMPRODUCT(
  desp[data.vencimento] *
  (desp[classificacao]=$B$289) *
  (desp[centro.negocio]=$B409) *
  (desp[parcela]&gt;=P$1) *
  (desp[parcela]&lt;EOMONTH(P$1,0)+1)
)</f>
        <v>0</v>
      </c>
      <c r="Q409" s="245" cm="1">
        <f t="array" ref="Q409">-SUMPRODUCT(
  desp[data.vencimento] *
  (desp[classificacao]=$B$289) *
  (desp[centro.negocio]=$B409) *
  (desp[parcela]&gt;=Q$1) *
  (desp[parcela]&lt;EOMONTH(Q$1,0)+1)
)</f>
        <v>0</v>
      </c>
      <c r="R409" s="245" cm="1">
        <f t="array" ref="R409">-SUMPRODUCT(
  desp[data.vencimento] *
  (desp[classificacao]=$B$289) *
  (desp[centro.negocio]=$B409) *
  (desp[parcela]&gt;=R$1) *
  (desp[parcela]&lt;EOMONTH(R$1,0)+1)
)</f>
        <v>0</v>
      </c>
    </row>
    <row r="410" spans="1:18" outlineLevel="1" x14ac:dyDescent="0.25">
      <c r="A410" s="243" t="s">
        <v>674</v>
      </c>
      <c r="B410" s="243" t="s">
        <v>361</v>
      </c>
      <c r="C410" s="244" t="s">
        <v>522</v>
      </c>
      <c r="D410" s="245" cm="1">
        <f t="array" ref="D410">-SUMPRODUCT(
  desp[data.vencimento] *
  (desp[classificacao]=$B$289) *
  (desp[centro.negocio]=$B410) *
  (desp[parcela]&gt;=D$1) *
  (desp[parcela]&lt;EOMONTH(D$1,0)+1)
)</f>
        <v>0</v>
      </c>
      <c r="E410" s="245" cm="1">
        <f t="array" ref="E410">-SUMPRODUCT(
  desp[data.vencimento] *
  (desp[classificacao]=$B$289) *
  (desp[centro.negocio]=$B410) *
  (desp[parcela]&gt;=E$1) *
  (desp[parcela]&lt;EOMONTH(E$1,0)+1)
)</f>
        <v>0</v>
      </c>
      <c r="F410" s="245" cm="1">
        <f t="array" ref="F410">-SUMPRODUCT(
  desp[data.vencimento] *
  (desp[classificacao]=$B$289) *
  (desp[centro.negocio]=$B410) *
  (desp[parcela]&gt;=F$1) *
  (desp[parcela]&lt;EOMONTH(F$1,0)+1)
)</f>
        <v>0</v>
      </c>
      <c r="G410" s="245" cm="1">
        <f t="array" ref="G410">-SUMPRODUCT(
  desp[data.vencimento] *
  (desp[classificacao]=$B$289) *
  (desp[centro.negocio]=$B410) *
  (desp[parcela]&gt;=G$1) *
  (desp[parcela]&lt;EOMONTH(G$1,0)+1)
)</f>
        <v>0</v>
      </c>
      <c r="H410" s="245" cm="1">
        <f t="array" ref="H410">-SUMPRODUCT(
  desp[data.vencimento] *
  (desp[classificacao]=$B$289) *
  (desp[centro.negocio]=$B410) *
  (desp[parcela]&gt;=H$1) *
  (desp[parcela]&lt;EOMONTH(H$1,0)+1)
)</f>
        <v>0</v>
      </c>
      <c r="I410" s="245" cm="1">
        <f t="array" ref="I410">-SUMPRODUCT(
  desp[data.vencimento] *
  (desp[classificacao]=$B$289) *
  (desp[centro.negocio]=$B410) *
  (desp[parcela]&gt;=I$1) *
  (desp[parcela]&lt;EOMONTH(I$1,0)+1)
)</f>
        <v>0</v>
      </c>
      <c r="J410" s="245" cm="1">
        <f t="array" ref="J410">-SUMPRODUCT(
  desp[data.vencimento] *
  (desp[classificacao]=$B$289) *
  (desp[centro.negocio]=$B410) *
  (desp[parcela]&gt;=J$1) *
  (desp[parcela]&lt;EOMONTH(J$1,0)+1)
)</f>
        <v>0</v>
      </c>
      <c r="K410" s="245" cm="1">
        <f t="array" ref="K410">-SUMPRODUCT(
  desp[data.vencimento] *
  (desp[classificacao]=$B$289) *
  (desp[centro.negocio]=$B410) *
  (desp[parcela]&gt;=K$1) *
  (desp[parcela]&lt;EOMONTH(K$1,0)+1)
)</f>
        <v>0</v>
      </c>
      <c r="L410" s="245" cm="1">
        <f t="array" ref="L410">-SUMPRODUCT(
  desp[data.vencimento] *
  (desp[classificacao]=$B$289) *
  (desp[centro.negocio]=$B410) *
  (desp[parcela]&gt;=L$1) *
  (desp[parcela]&lt;EOMONTH(L$1,0)+1)
)</f>
        <v>0</v>
      </c>
      <c r="M410" s="245" cm="1">
        <f t="array" ref="M410">-SUMPRODUCT(
  desp[data.vencimento] *
  (desp[classificacao]=$B$289) *
  (desp[centro.negocio]=$B410) *
  (desp[parcela]&gt;=M$1) *
  (desp[parcela]&lt;EOMONTH(M$1,0)+1)
)</f>
        <v>0</v>
      </c>
      <c r="N410" s="245" cm="1">
        <f t="array" ref="N410">-SUMPRODUCT(
  desp[data.vencimento] *
  (desp[classificacao]=$B$289) *
  (desp[centro.negocio]=$B410) *
  (desp[parcela]&gt;=N$1) *
  (desp[parcela]&lt;EOMONTH(N$1,0)+1)
)</f>
        <v>0</v>
      </c>
      <c r="O410" s="245" cm="1">
        <f t="array" ref="O410">-SUMPRODUCT(
  desp[data.vencimento] *
  (desp[classificacao]=$B$289) *
  (desp[centro.negocio]=$B410) *
  (desp[parcela]&gt;=O$1) *
  (desp[parcela]&lt;EOMONTH(O$1,0)+1)
)</f>
        <v>0</v>
      </c>
      <c r="P410" s="245" cm="1">
        <f t="array" ref="P410">-SUMPRODUCT(
  desp[data.vencimento] *
  (desp[classificacao]=$B$289) *
  (desp[centro.negocio]=$B410) *
  (desp[parcela]&gt;=P$1) *
  (desp[parcela]&lt;EOMONTH(P$1,0)+1)
)</f>
        <v>0</v>
      </c>
      <c r="Q410" s="245" cm="1">
        <f t="array" ref="Q410">-SUMPRODUCT(
  desp[data.vencimento] *
  (desp[classificacao]=$B$289) *
  (desp[centro.negocio]=$B410) *
  (desp[parcela]&gt;=Q$1) *
  (desp[parcela]&lt;EOMONTH(Q$1,0)+1)
)</f>
        <v>0</v>
      </c>
      <c r="R410" s="245" cm="1">
        <f t="array" ref="R410">-SUMPRODUCT(
  desp[data.vencimento] *
  (desp[classificacao]=$B$289) *
  (desp[centro.negocio]=$B410) *
  (desp[parcela]&gt;=R$1) *
  (desp[parcela]&lt;EOMONTH(R$1,0)+1)
)</f>
        <v>0</v>
      </c>
    </row>
    <row r="411" spans="1:18" outlineLevel="1" x14ac:dyDescent="0.25">
      <c r="A411" s="243" t="s">
        <v>677</v>
      </c>
      <c r="B411" s="243" t="s">
        <v>377</v>
      </c>
      <c r="C411" s="244" t="s">
        <v>522</v>
      </c>
      <c r="D411" s="245" cm="1">
        <f t="array" ref="D411">-SUMPRODUCT(
  desp[data.vencimento] *
  (desp[classificacao]=$B$289) *
  (desp[centro.negocio]=$B411) *
  (desp[parcela]&gt;=D$1) *
  (desp[parcela]&lt;EOMONTH(D$1,0)+1)
)</f>
        <v>0</v>
      </c>
      <c r="E411" s="245" cm="1">
        <f t="array" ref="E411">-SUMPRODUCT(
  desp[data.vencimento] *
  (desp[classificacao]=$B$289) *
  (desp[centro.negocio]=$B411) *
  (desp[parcela]&gt;=E$1) *
  (desp[parcela]&lt;EOMONTH(E$1,0)+1)
)</f>
        <v>0</v>
      </c>
      <c r="F411" s="245" cm="1">
        <f t="array" ref="F411">-SUMPRODUCT(
  desp[data.vencimento] *
  (desp[classificacao]=$B$289) *
  (desp[centro.negocio]=$B411) *
  (desp[parcela]&gt;=F$1) *
  (desp[parcela]&lt;EOMONTH(F$1,0)+1)
)</f>
        <v>0</v>
      </c>
      <c r="G411" s="245" cm="1">
        <f t="array" ref="G411">-SUMPRODUCT(
  desp[data.vencimento] *
  (desp[classificacao]=$B$289) *
  (desp[centro.negocio]=$B411) *
  (desp[parcela]&gt;=G$1) *
  (desp[parcela]&lt;EOMONTH(G$1,0)+1)
)</f>
        <v>0</v>
      </c>
      <c r="H411" s="245" cm="1">
        <f t="array" ref="H411">-SUMPRODUCT(
  desp[data.vencimento] *
  (desp[classificacao]=$B$289) *
  (desp[centro.negocio]=$B411) *
  (desp[parcela]&gt;=H$1) *
  (desp[parcela]&lt;EOMONTH(H$1,0)+1)
)</f>
        <v>0</v>
      </c>
      <c r="I411" s="245" cm="1">
        <f t="array" ref="I411">-SUMPRODUCT(
  desp[data.vencimento] *
  (desp[classificacao]=$B$289) *
  (desp[centro.negocio]=$B411) *
  (desp[parcela]&gt;=I$1) *
  (desp[parcela]&lt;EOMONTH(I$1,0)+1)
)</f>
        <v>0</v>
      </c>
      <c r="J411" s="245" cm="1">
        <f t="array" ref="J411">-SUMPRODUCT(
  desp[data.vencimento] *
  (desp[classificacao]=$B$289) *
  (desp[centro.negocio]=$B411) *
  (desp[parcela]&gt;=J$1) *
  (desp[parcela]&lt;EOMONTH(J$1,0)+1)
)</f>
        <v>0</v>
      </c>
      <c r="K411" s="245" cm="1">
        <f t="array" ref="K411">-SUMPRODUCT(
  desp[data.vencimento] *
  (desp[classificacao]=$B$289) *
  (desp[centro.negocio]=$B411) *
  (desp[parcela]&gt;=K$1) *
  (desp[parcela]&lt;EOMONTH(K$1,0)+1)
)</f>
        <v>0</v>
      </c>
      <c r="L411" s="245" cm="1">
        <f t="array" ref="L411">-SUMPRODUCT(
  desp[data.vencimento] *
  (desp[classificacao]=$B$289) *
  (desp[centro.negocio]=$B411) *
  (desp[parcela]&gt;=L$1) *
  (desp[parcela]&lt;EOMONTH(L$1,0)+1)
)</f>
        <v>0</v>
      </c>
      <c r="M411" s="245" cm="1">
        <f t="array" ref="M411">-SUMPRODUCT(
  desp[data.vencimento] *
  (desp[classificacao]=$B$289) *
  (desp[centro.negocio]=$B411) *
  (desp[parcela]&gt;=M$1) *
  (desp[parcela]&lt;EOMONTH(M$1,0)+1)
)</f>
        <v>0</v>
      </c>
      <c r="N411" s="245" cm="1">
        <f t="array" ref="N411">-SUMPRODUCT(
  desp[data.vencimento] *
  (desp[classificacao]=$B$289) *
  (desp[centro.negocio]=$B411) *
  (desp[parcela]&gt;=N$1) *
  (desp[parcela]&lt;EOMONTH(N$1,0)+1)
)</f>
        <v>0</v>
      </c>
      <c r="O411" s="245" cm="1">
        <f t="array" ref="O411">-SUMPRODUCT(
  desp[data.vencimento] *
  (desp[classificacao]=$B$289) *
  (desp[centro.negocio]=$B411) *
  (desp[parcela]&gt;=O$1) *
  (desp[parcela]&lt;EOMONTH(O$1,0)+1)
)</f>
        <v>0</v>
      </c>
      <c r="P411" s="245" cm="1">
        <f t="array" ref="P411">-SUMPRODUCT(
  desp[data.vencimento] *
  (desp[classificacao]=$B$289) *
  (desp[centro.negocio]=$B411) *
  (desp[parcela]&gt;=P$1) *
  (desp[parcela]&lt;EOMONTH(P$1,0)+1)
)</f>
        <v>0</v>
      </c>
      <c r="Q411" s="245" cm="1">
        <f t="array" ref="Q411">-SUMPRODUCT(
  desp[data.vencimento] *
  (desp[classificacao]=$B$289) *
  (desp[centro.negocio]=$B411) *
  (desp[parcela]&gt;=Q$1) *
  (desp[parcela]&lt;EOMONTH(Q$1,0)+1)
)</f>
        <v>0</v>
      </c>
      <c r="R411" s="245" cm="1">
        <f t="array" ref="R411">-SUMPRODUCT(
  desp[data.vencimento] *
  (desp[classificacao]=$B$289) *
  (desp[centro.negocio]=$B411) *
  (desp[parcela]&gt;=R$1) *
  (desp[parcela]&lt;EOMONTH(R$1,0)+1)
)</f>
        <v>0</v>
      </c>
    </row>
    <row r="412" spans="1:18" outlineLevel="1" x14ac:dyDescent="0.25">
      <c r="A412" s="243" t="s">
        <v>679</v>
      </c>
      <c r="B412" s="243" t="s">
        <v>403</v>
      </c>
      <c r="C412" s="244" t="s">
        <v>522</v>
      </c>
      <c r="D412" s="245" cm="1">
        <f t="array" ref="D412">-SUMPRODUCT(
  desp[data.vencimento] *
  (desp[classificacao]=$B$289) *
  (desp[centro.negocio]=$B412) *
  (desp[parcela]&gt;=D$1) *
  (desp[parcela]&lt;EOMONTH(D$1,0)+1)
)</f>
        <v>0</v>
      </c>
      <c r="E412" s="245" cm="1">
        <f t="array" ref="E412">-SUMPRODUCT(
  desp[data.vencimento] *
  (desp[classificacao]=$B$289) *
  (desp[centro.negocio]=$B412) *
  (desp[parcela]&gt;=E$1) *
  (desp[parcela]&lt;EOMONTH(E$1,0)+1)
)</f>
        <v>0</v>
      </c>
      <c r="F412" s="245" cm="1">
        <f t="array" ref="F412">-SUMPRODUCT(
  desp[data.vencimento] *
  (desp[classificacao]=$B$289) *
  (desp[centro.negocio]=$B412) *
  (desp[parcela]&gt;=F$1) *
  (desp[parcela]&lt;EOMONTH(F$1,0)+1)
)</f>
        <v>0</v>
      </c>
      <c r="G412" s="245" cm="1">
        <f t="array" ref="G412">-SUMPRODUCT(
  desp[data.vencimento] *
  (desp[classificacao]=$B$289) *
  (desp[centro.negocio]=$B412) *
  (desp[parcela]&gt;=G$1) *
  (desp[parcela]&lt;EOMONTH(G$1,0)+1)
)</f>
        <v>0</v>
      </c>
      <c r="H412" s="245" cm="1">
        <f t="array" ref="H412">-SUMPRODUCT(
  desp[data.vencimento] *
  (desp[classificacao]=$B$289) *
  (desp[centro.negocio]=$B412) *
  (desp[parcela]&gt;=H$1) *
  (desp[parcela]&lt;EOMONTH(H$1,0)+1)
)</f>
        <v>0</v>
      </c>
      <c r="I412" s="245" cm="1">
        <f t="array" ref="I412">-SUMPRODUCT(
  desp[data.vencimento] *
  (desp[classificacao]=$B$289) *
  (desp[centro.negocio]=$B412) *
  (desp[parcela]&gt;=I$1) *
  (desp[parcela]&lt;EOMONTH(I$1,0)+1)
)</f>
        <v>0</v>
      </c>
      <c r="J412" s="245" cm="1">
        <f t="array" ref="J412">-SUMPRODUCT(
  desp[data.vencimento] *
  (desp[classificacao]=$B$289) *
  (desp[centro.negocio]=$B412) *
  (desp[parcela]&gt;=J$1) *
  (desp[parcela]&lt;EOMONTH(J$1,0)+1)
)</f>
        <v>0</v>
      </c>
      <c r="K412" s="245" cm="1">
        <f t="array" ref="K412">-SUMPRODUCT(
  desp[data.vencimento] *
  (desp[classificacao]=$B$289) *
  (desp[centro.negocio]=$B412) *
  (desp[parcela]&gt;=K$1) *
  (desp[parcela]&lt;EOMONTH(K$1,0)+1)
)</f>
        <v>0</v>
      </c>
      <c r="L412" s="245" cm="1">
        <f t="array" ref="L412">-SUMPRODUCT(
  desp[data.vencimento] *
  (desp[classificacao]=$B$289) *
  (desp[centro.negocio]=$B412) *
  (desp[parcela]&gt;=L$1) *
  (desp[parcela]&lt;EOMONTH(L$1,0)+1)
)</f>
        <v>0</v>
      </c>
      <c r="M412" s="245" cm="1">
        <f t="array" ref="M412">-SUMPRODUCT(
  desp[data.vencimento] *
  (desp[classificacao]=$B$289) *
  (desp[centro.negocio]=$B412) *
  (desp[parcela]&gt;=M$1) *
  (desp[parcela]&lt;EOMONTH(M$1,0)+1)
)</f>
        <v>0</v>
      </c>
      <c r="N412" s="245" cm="1">
        <f t="array" ref="N412">-SUMPRODUCT(
  desp[data.vencimento] *
  (desp[classificacao]=$B$289) *
  (desp[centro.negocio]=$B412) *
  (desp[parcela]&gt;=N$1) *
  (desp[parcela]&lt;EOMONTH(N$1,0)+1)
)</f>
        <v>0</v>
      </c>
      <c r="O412" s="245" cm="1">
        <f t="array" ref="O412">-SUMPRODUCT(
  desp[data.vencimento] *
  (desp[classificacao]=$B$289) *
  (desp[centro.negocio]=$B412) *
  (desp[parcela]&gt;=O$1) *
  (desp[parcela]&lt;EOMONTH(O$1,0)+1)
)</f>
        <v>0</v>
      </c>
      <c r="P412" s="245" cm="1">
        <f t="array" ref="P412">-SUMPRODUCT(
  desp[data.vencimento] *
  (desp[classificacao]=$B$289) *
  (desp[centro.negocio]=$B412) *
  (desp[parcela]&gt;=P$1) *
  (desp[parcela]&lt;EOMONTH(P$1,0)+1)
)</f>
        <v>0</v>
      </c>
      <c r="Q412" s="245" cm="1">
        <f t="array" ref="Q412">-SUMPRODUCT(
  desp[data.vencimento] *
  (desp[classificacao]=$B$289) *
  (desp[centro.negocio]=$B412) *
  (desp[parcela]&gt;=Q$1) *
  (desp[parcela]&lt;EOMONTH(Q$1,0)+1)
)</f>
        <v>0</v>
      </c>
      <c r="R412" s="245" cm="1">
        <f t="array" ref="R412">-SUMPRODUCT(
  desp[data.vencimento] *
  (desp[classificacao]=$B$289) *
  (desp[centro.negocio]=$B412) *
  (desp[parcela]&gt;=R$1) *
  (desp[parcela]&lt;EOMONTH(R$1,0)+1)
)</f>
        <v>0</v>
      </c>
    </row>
    <row r="413" spans="1:18" outlineLevel="1" x14ac:dyDescent="0.25">
      <c r="A413" s="243" t="s">
        <v>690</v>
      </c>
      <c r="B413" s="243" t="s">
        <v>378</v>
      </c>
      <c r="C413" s="244" t="s">
        <v>522</v>
      </c>
      <c r="D413" s="245" cm="1">
        <f t="array" ref="D413">-SUMPRODUCT(
  desp[data.vencimento] *
  (desp[classificacao]=$B$289) *
  (desp[centro.negocio]=$B413) *
  (desp[parcela]&gt;=D$1) *
  (desp[parcela]&lt;EOMONTH(D$1,0)+1)
)</f>
        <v>0</v>
      </c>
      <c r="E413" s="245" cm="1">
        <f t="array" ref="E413">-SUMPRODUCT(
  desp[data.vencimento] *
  (desp[classificacao]=$B$289) *
  (desp[centro.negocio]=$B413) *
  (desp[parcela]&gt;=E$1) *
  (desp[parcela]&lt;EOMONTH(E$1,0)+1)
)</f>
        <v>0</v>
      </c>
      <c r="F413" s="245" cm="1">
        <f t="array" ref="F413">-SUMPRODUCT(
  desp[data.vencimento] *
  (desp[classificacao]=$B$289) *
  (desp[centro.negocio]=$B413) *
  (desp[parcela]&gt;=F$1) *
  (desp[parcela]&lt;EOMONTH(F$1,0)+1)
)</f>
        <v>0</v>
      </c>
      <c r="G413" s="245" cm="1">
        <f t="array" ref="G413">-SUMPRODUCT(
  desp[data.vencimento] *
  (desp[classificacao]=$B$289) *
  (desp[centro.negocio]=$B413) *
  (desp[parcela]&gt;=G$1) *
  (desp[parcela]&lt;EOMONTH(G$1,0)+1)
)</f>
        <v>0</v>
      </c>
      <c r="H413" s="245" cm="1">
        <f t="array" ref="H413">-SUMPRODUCT(
  desp[data.vencimento] *
  (desp[classificacao]=$B$289) *
  (desp[centro.negocio]=$B413) *
  (desp[parcela]&gt;=H$1) *
  (desp[parcela]&lt;EOMONTH(H$1,0)+1)
)</f>
        <v>0</v>
      </c>
      <c r="I413" s="245" cm="1">
        <f t="array" ref="I413">-SUMPRODUCT(
  desp[data.vencimento] *
  (desp[classificacao]=$B$289) *
  (desp[centro.negocio]=$B413) *
  (desp[parcela]&gt;=I$1) *
  (desp[parcela]&lt;EOMONTH(I$1,0)+1)
)</f>
        <v>0</v>
      </c>
      <c r="J413" s="245" cm="1">
        <f t="array" ref="J413">-SUMPRODUCT(
  desp[data.vencimento] *
  (desp[classificacao]=$B$289) *
  (desp[centro.negocio]=$B413) *
  (desp[parcela]&gt;=J$1) *
  (desp[parcela]&lt;EOMONTH(J$1,0)+1)
)</f>
        <v>0</v>
      </c>
      <c r="K413" s="245" cm="1">
        <f t="array" ref="K413">-SUMPRODUCT(
  desp[data.vencimento] *
  (desp[classificacao]=$B$289) *
  (desp[centro.negocio]=$B413) *
  (desp[parcela]&gt;=K$1) *
  (desp[parcela]&lt;EOMONTH(K$1,0)+1)
)</f>
        <v>0</v>
      </c>
      <c r="L413" s="245" cm="1">
        <f t="array" ref="L413">-SUMPRODUCT(
  desp[data.vencimento] *
  (desp[classificacao]=$B$289) *
  (desp[centro.negocio]=$B413) *
  (desp[parcela]&gt;=L$1) *
  (desp[parcela]&lt;EOMONTH(L$1,0)+1)
)</f>
        <v>0</v>
      </c>
      <c r="M413" s="245" cm="1">
        <f t="array" ref="M413">-SUMPRODUCT(
  desp[data.vencimento] *
  (desp[classificacao]=$B$289) *
  (desp[centro.negocio]=$B413) *
  (desp[parcela]&gt;=M$1) *
  (desp[parcela]&lt;EOMONTH(M$1,0)+1)
)</f>
        <v>0</v>
      </c>
      <c r="N413" s="245" cm="1">
        <f t="array" ref="N413">-SUMPRODUCT(
  desp[data.vencimento] *
  (desp[classificacao]=$B$289) *
  (desp[centro.negocio]=$B413) *
  (desp[parcela]&gt;=N$1) *
  (desp[parcela]&lt;EOMONTH(N$1,0)+1)
)</f>
        <v>0</v>
      </c>
      <c r="O413" s="245" cm="1">
        <f t="array" ref="O413">-SUMPRODUCT(
  desp[data.vencimento] *
  (desp[classificacao]=$B$289) *
  (desp[centro.negocio]=$B413) *
  (desp[parcela]&gt;=O$1) *
  (desp[parcela]&lt;EOMONTH(O$1,0)+1)
)</f>
        <v>0</v>
      </c>
      <c r="P413" s="245" cm="1">
        <f t="array" ref="P413">-SUMPRODUCT(
  desp[data.vencimento] *
  (desp[classificacao]=$B$289) *
  (desp[centro.negocio]=$B413) *
  (desp[parcela]&gt;=P$1) *
  (desp[parcela]&lt;EOMONTH(P$1,0)+1)
)</f>
        <v>0</v>
      </c>
      <c r="Q413" s="245" cm="1">
        <f t="array" ref="Q413">-SUMPRODUCT(
  desp[data.vencimento] *
  (desp[classificacao]=$B$289) *
  (desp[centro.negocio]=$B413) *
  (desp[parcela]&gt;=Q$1) *
  (desp[parcela]&lt;EOMONTH(Q$1,0)+1)
)</f>
        <v>0</v>
      </c>
      <c r="R413" s="245" cm="1">
        <f t="array" ref="R413">-SUMPRODUCT(
  desp[data.vencimento] *
  (desp[classificacao]=$B$289) *
  (desp[centro.negocio]=$B413) *
  (desp[parcela]&gt;=R$1) *
  (desp[parcela]&lt;EOMONTH(R$1,0)+1)
)</f>
        <v>0</v>
      </c>
    </row>
    <row r="414" spans="1:18" outlineLevel="1" x14ac:dyDescent="0.25">
      <c r="A414" s="243" t="s">
        <v>692</v>
      </c>
      <c r="B414" s="243" t="s">
        <v>350</v>
      </c>
      <c r="C414" s="244" t="s">
        <v>522</v>
      </c>
      <c r="D414" s="245" cm="1">
        <f t="array" ref="D414">-SUMPRODUCT(
  desp[data.vencimento] *
  (desp[classificacao] = $B$289) *
  (desp[parcela] &gt;= D$1) *
  (desp[parcela] &lt; EOMONTH(D$1,0)+1) *
  --ISNA(MATCH(desp[centro.negocio], {"NF - Mão de Obra";"Operações Financeiras/juros";"Terreno"}, 0))
)-
SUM(D$297:D$313)</f>
        <v>0</v>
      </c>
      <c r="E414" s="245" cm="1">
        <f t="array" ref="E414">-SUMPRODUCT(
  desp[data.vencimento] *
  (desp[classificacao] = $B$289) *
  (desp[parcela] &gt;= E$1) *
  (desp[parcela] &lt; EOMONTH(E$1,0)+1) *
  --ISNA(MATCH(desp[centro.negocio], {"NF - Mão de Obra";"Operações Financeiras/juros";"Terreno"}, 0))
)-
SUM(E$297:E$313)</f>
        <v>0</v>
      </c>
      <c r="F414" s="245" cm="1">
        <f t="array" ref="F414">-SUMPRODUCT(
  desp[data.vencimento] *
  (desp[classificacao] = $B$289) *
  (desp[parcela] &gt;= F$1) *
  (desp[parcela] &lt; EOMONTH(F$1,0)+1) *
  --ISNA(MATCH(desp[centro.negocio], {"NF - Mão de Obra";"Operações Financeiras/juros";"Terreno"}, 0))
)-
SUM(F$297:F$313)</f>
        <v>0</v>
      </c>
      <c r="G414" s="245" cm="1">
        <f t="array" ref="G414">-SUMPRODUCT(
  desp[data.vencimento] *
  (desp[classificacao] = $B$289) *
  (desp[parcela] &gt;= G$1) *
  (desp[parcela] &lt; EOMONTH(G$1,0)+1) *
  --ISNA(MATCH(desp[centro.negocio], {"NF - Mão de Obra";"Operações Financeiras/juros";"Terreno"}, 0))
)-
SUM(G$297:G$313)</f>
        <v>0</v>
      </c>
      <c r="H414" s="245" cm="1">
        <f t="array" ref="H414">-SUMPRODUCT(
  desp[data.vencimento] *
  (desp[classificacao] = $B$289) *
  (desp[parcela] &gt;= H$1) *
  (desp[parcela] &lt; EOMONTH(H$1,0)+1) *
  --ISNA(MATCH(desp[centro.negocio], {"NF - Mão de Obra";"Operações Financeiras/juros";"Terreno"}, 0))
)-
SUM(H$297:H$313)</f>
        <v>0</v>
      </c>
      <c r="I414" s="245" cm="1">
        <f t="array" ref="I414">-SUMPRODUCT(
  desp[data.vencimento] *
  (desp[classificacao] = $B$289) *
  (desp[parcela] &gt;= I$1) *
  (desp[parcela] &lt; EOMONTH(I$1,0)+1) *
  --ISNA(MATCH(desp[centro.negocio], {"NF - Mão de Obra";"Operações Financeiras/juros";"Terreno"}, 0))
)-
SUM(I$297:I$313)</f>
        <v>0</v>
      </c>
      <c r="J414" s="245" cm="1">
        <f t="array" ref="J414">-SUMPRODUCT(
  desp[data.vencimento] *
  (desp[classificacao] = $B$289) *
  (desp[parcela] &gt;= J$1) *
  (desp[parcela] &lt; EOMONTH(J$1,0)+1) *
  --ISNA(MATCH(desp[centro.negocio], {"NF - Mão de Obra";"Operações Financeiras/juros";"Terreno"}, 0))
)-
SUM(J$297:J$313)</f>
        <v>0</v>
      </c>
      <c r="K414" s="245" cm="1">
        <f t="array" ref="K414">-SUMPRODUCT(
  desp[data.vencimento] *
  (desp[classificacao] = $B$289) *
  (desp[parcela] &gt;= K$1) *
  (desp[parcela] &lt; EOMONTH(K$1,0)+1) *
  --ISNA(MATCH(desp[centro.negocio], {"NF - Mão de Obra";"Operações Financeiras/juros";"Terreno"}, 0))
)-
SUM(K$297:K$313)</f>
        <v>0</v>
      </c>
      <c r="L414" s="245" cm="1">
        <f t="array" ref="L414">-SUMPRODUCT(
  desp[data.vencimento] *
  (desp[classificacao] = $B$289) *
  (desp[parcela] &gt;= L$1) *
  (desp[parcela] &lt; EOMONTH(L$1,0)+1) *
  --ISNA(MATCH(desp[centro.negocio], {"NF - Mão de Obra";"Operações Financeiras/juros";"Terreno"}, 0))
)-
SUM(L$297:L$313)</f>
        <v>0</v>
      </c>
      <c r="M414" s="245" cm="1">
        <f t="array" ref="M414">-SUMPRODUCT(
  desp[data.vencimento] *
  (desp[classificacao] = $B$289) *
  (desp[parcela] &gt;= M$1) *
  (desp[parcela] &lt; EOMONTH(M$1,0)+1) *
  --ISNA(MATCH(desp[centro.negocio], {"NF - Mão de Obra";"Operações Financeiras/juros";"Terreno"}, 0))
)-
SUM(M$297:M$313)</f>
        <v>0</v>
      </c>
      <c r="N414" s="245" cm="1">
        <f t="array" ref="N414">-SUMPRODUCT(
  desp[data.vencimento] *
  (desp[classificacao] = $B$289) *
  (desp[parcela] &gt;= N$1) *
  (desp[parcela] &lt; EOMONTH(N$1,0)+1) *
  --ISNA(MATCH(desp[centro.negocio], {"NF - Mão de Obra";"Operações Financeiras/juros";"Terreno"}, 0))
)-
SUM(N$297:N$313)</f>
        <v>0</v>
      </c>
      <c r="O414" s="245" cm="1">
        <f t="array" ref="O414">-SUMPRODUCT(
  desp[data.vencimento] *
  (desp[classificacao] = $B$289) *
  (desp[parcela] &gt;= O$1) *
  (desp[parcela] &lt; EOMONTH(O$1,0)+1) *
  --ISNA(MATCH(desp[centro.negocio], {"NF - Mão de Obra";"Operações Financeiras/juros";"Terreno"}, 0))
)-
SUM(O$297:O$313)</f>
        <v>0</v>
      </c>
      <c r="P414" s="245" cm="1">
        <f t="array" ref="P414">-SUMPRODUCT(
  desp[data.vencimento] *
  (desp[classificacao] = $B$289) *
  (desp[parcela] &gt;= P$1) *
  (desp[parcela] &lt; EOMONTH(P$1,0)+1) *
  --ISNA(MATCH(desp[centro.negocio], {"NF - Mão de Obra";"Operações Financeiras/juros";"Terreno"}, 0))
)-
SUM(P$297:P$313)</f>
        <v>0</v>
      </c>
      <c r="Q414" s="245" cm="1">
        <f t="array" ref="Q414">-SUMPRODUCT(
  desp[data.vencimento] *
  (desp[classificacao] = $B$289) *
  (desp[parcela] &gt;= Q$1) *
  (desp[parcela] &lt; EOMONTH(Q$1,0)+1) *
  --ISNA(MATCH(desp[centro.negocio], {"NF - Mão de Obra";"Operações Financeiras/juros";"Terreno"}, 0))
)-
SUM(Q$297:Q$313)</f>
        <v>0</v>
      </c>
      <c r="R414" s="245" cm="1">
        <f t="array" ref="R414">-SUMPRODUCT(
  desp[data.vencimento] *
  (desp[classificacao] = $B$289) *
  (desp[parcela] &gt;= R$1) *
  (desp[parcela] &lt; EOMONTH(R$1,0)+1) *
  --ISNA(MATCH(desp[centro.negocio], {"NF - Mão de Obra";"Operações Financeiras/juros";"Terreno"}, 0))
)-
SUM(R$297:R$313)</f>
        <v>0</v>
      </c>
    </row>
    <row r="415" spans="1:18" x14ac:dyDescent="0.25">
      <c r="A415" s="236" t="s">
        <v>693</v>
      </c>
      <c r="B415" s="236" t="s">
        <v>694</v>
      </c>
      <c r="C415" s="237"/>
      <c r="D415" s="253">
        <f>D416+D419</f>
        <v>0</v>
      </c>
      <c r="E415" s="253">
        <f t="shared" ref="E415" si="264">E416+E419</f>
        <v>0</v>
      </c>
      <c r="F415" s="253">
        <f t="shared" ref="F415" si="265">F416+F419</f>
        <v>0</v>
      </c>
      <c r="G415" s="253">
        <f t="shared" ref="G415" si="266">G416+G419</f>
        <v>0</v>
      </c>
      <c r="H415" s="253">
        <f t="shared" ref="H415" si="267">H416+H419</f>
        <v>0</v>
      </c>
      <c r="I415" s="253">
        <f t="shared" ref="I415" si="268">I416+I419</f>
        <v>0</v>
      </c>
      <c r="J415" s="253">
        <f t="shared" ref="J415" si="269">J416+J419</f>
        <v>0</v>
      </c>
      <c r="K415" s="253">
        <f t="shared" ref="K415" si="270">K416+K419</f>
        <v>0</v>
      </c>
      <c r="L415" s="253">
        <f t="shared" ref="L415" si="271">L416+L419</f>
        <v>0</v>
      </c>
      <c r="M415" s="253">
        <f t="shared" ref="M415" si="272">M416+M419</f>
        <v>0</v>
      </c>
      <c r="N415" s="253">
        <f t="shared" ref="N415" si="273">N416+N419</f>
        <v>0</v>
      </c>
      <c r="O415" s="253">
        <f t="shared" ref="O415" si="274">O416+O419</f>
        <v>0</v>
      </c>
      <c r="P415" s="253">
        <f t="shared" ref="P415" si="275">P416+P419</f>
        <v>0</v>
      </c>
      <c r="Q415" s="253">
        <f t="shared" ref="Q415:R415" si="276">Q416+Q419</f>
        <v>0</v>
      </c>
      <c r="R415" s="253">
        <f t="shared" si="276"/>
        <v>0</v>
      </c>
    </row>
    <row r="416" spans="1:18" x14ac:dyDescent="0.25">
      <c r="A416" s="240" t="s">
        <v>695</v>
      </c>
      <c r="B416" s="240" t="s">
        <v>696</v>
      </c>
      <c r="C416" s="241"/>
      <c r="D416" s="242">
        <f>SUM(D417:D418)</f>
        <v>0</v>
      </c>
      <c r="E416" s="242">
        <f t="shared" ref="E416" si="277">SUM(E417:E418)</f>
        <v>0</v>
      </c>
      <c r="F416" s="242">
        <f t="shared" ref="F416" si="278">SUM(F417:F418)</f>
        <v>0</v>
      </c>
      <c r="G416" s="242">
        <f t="shared" ref="G416" si="279">SUM(G417:G418)</f>
        <v>0</v>
      </c>
      <c r="H416" s="242">
        <f t="shared" ref="H416" si="280">SUM(H417:H418)</f>
        <v>0</v>
      </c>
      <c r="I416" s="242">
        <f t="shared" ref="I416" si="281">SUM(I417:I418)</f>
        <v>0</v>
      </c>
      <c r="J416" s="242">
        <f t="shared" ref="J416" si="282">SUM(J417:J418)</f>
        <v>0</v>
      </c>
      <c r="K416" s="242">
        <f t="shared" ref="K416" si="283">SUM(K417:K418)</f>
        <v>0</v>
      </c>
      <c r="L416" s="242">
        <f t="shared" ref="L416" si="284">SUM(L417:L418)</f>
        <v>0</v>
      </c>
      <c r="M416" s="242">
        <f t="shared" ref="M416" si="285">SUM(M417:M418)</f>
        <v>0</v>
      </c>
      <c r="N416" s="242">
        <f t="shared" ref="N416" si="286">SUM(N417:N418)</f>
        <v>0</v>
      </c>
      <c r="O416" s="242">
        <f t="shared" ref="O416" si="287">SUM(O417:O418)</f>
        <v>0</v>
      </c>
      <c r="P416" s="242">
        <f t="shared" ref="P416" si="288">SUM(P417:P418)</f>
        <v>0</v>
      </c>
      <c r="Q416" s="242">
        <f t="shared" ref="Q416:R416" si="289">SUM(Q417:Q418)</f>
        <v>0</v>
      </c>
      <c r="R416" s="242">
        <f t="shared" si="289"/>
        <v>0</v>
      </c>
    </row>
    <row r="417" spans="1:18" outlineLevel="1" x14ac:dyDescent="0.25">
      <c r="A417" s="243" t="s">
        <v>697</v>
      </c>
      <c r="B417" s="254" t="s">
        <v>698</v>
      </c>
      <c r="C417" s="193"/>
      <c r="D417" s="247"/>
      <c r="E417" s="247"/>
      <c r="F417" s="247"/>
      <c r="G417" s="247"/>
      <c r="H417" s="247"/>
      <c r="I417" s="247"/>
      <c r="J417" s="247"/>
      <c r="K417" s="247"/>
      <c r="L417" s="247"/>
      <c r="M417" s="247"/>
      <c r="N417" s="247"/>
      <c r="O417" s="247"/>
      <c r="P417" s="247"/>
      <c r="Q417" s="247"/>
      <c r="R417" s="247"/>
    </row>
    <row r="418" spans="1:18" outlineLevel="1" x14ac:dyDescent="0.25">
      <c r="A418" s="243" t="s">
        <v>699</v>
      </c>
      <c r="B418" s="254" t="s">
        <v>700</v>
      </c>
      <c r="C418" s="193"/>
      <c r="D418" s="247"/>
      <c r="E418" s="247"/>
      <c r="F418" s="247"/>
      <c r="G418" s="247"/>
      <c r="H418" s="247"/>
      <c r="I418" s="247"/>
      <c r="J418" s="247"/>
      <c r="K418" s="247"/>
      <c r="L418" s="247"/>
      <c r="M418" s="247"/>
      <c r="N418" s="247"/>
      <c r="O418" s="247"/>
      <c r="P418" s="247"/>
      <c r="Q418" s="247"/>
      <c r="R418" s="247"/>
    </row>
    <row r="419" spans="1:18" x14ac:dyDescent="0.25">
      <c r="A419" s="249" t="s">
        <v>701</v>
      </c>
      <c r="B419" s="249" t="s">
        <v>702</v>
      </c>
      <c r="C419" s="255"/>
      <c r="D419" s="256">
        <f>SUM(D420:D422)</f>
        <v>0</v>
      </c>
      <c r="E419" s="256">
        <f t="shared" ref="E419" si="290">SUM(E420:E422)</f>
        <v>0</v>
      </c>
      <c r="F419" s="256">
        <f t="shared" ref="F419" si="291">SUM(F420:F422)</f>
        <v>0</v>
      </c>
      <c r="G419" s="256">
        <f t="shared" ref="G419" si="292">SUM(G420:G422)</f>
        <v>0</v>
      </c>
      <c r="H419" s="256">
        <f t="shared" ref="H419" si="293">SUM(H420:H422)</f>
        <v>0</v>
      </c>
      <c r="I419" s="256">
        <f t="shared" ref="I419" si="294">SUM(I420:I422)</f>
        <v>0</v>
      </c>
      <c r="J419" s="256">
        <f t="shared" ref="J419" si="295">SUM(J420:J422)</f>
        <v>0</v>
      </c>
      <c r="K419" s="256">
        <f t="shared" ref="K419" si="296">SUM(K420:K422)</f>
        <v>0</v>
      </c>
      <c r="L419" s="256">
        <f t="shared" ref="L419" si="297">SUM(L420:L422)</f>
        <v>0</v>
      </c>
      <c r="M419" s="256">
        <f t="shared" ref="M419" si="298">SUM(M420:M422)</f>
        <v>0</v>
      </c>
      <c r="N419" s="256">
        <f t="shared" ref="N419" si="299">SUM(N420:N422)</f>
        <v>0</v>
      </c>
      <c r="O419" s="256">
        <f t="shared" ref="O419" si="300">SUM(O420:O422)</f>
        <v>0</v>
      </c>
      <c r="P419" s="256">
        <f t="shared" ref="P419" si="301">SUM(P420:P422)</f>
        <v>0</v>
      </c>
      <c r="Q419" s="256">
        <f t="shared" ref="Q419:R419" si="302">SUM(Q420:Q422)</f>
        <v>0</v>
      </c>
      <c r="R419" s="256">
        <f t="shared" si="302"/>
        <v>0</v>
      </c>
    </row>
    <row r="420" spans="1:18" outlineLevel="1" x14ac:dyDescent="0.25">
      <c r="A420" s="243" t="s">
        <v>703</v>
      </c>
      <c r="B420" s="243" t="s">
        <v>407</v>
      </c>
      <c r="C420" s="244" t="s">
        <v>522</v>
      </c>
      <c r="D420" s="245" cm="1">
        <f t="array" ref="D420">-SUMPRODUCT(
  desp[data.vencimento] *
  (desp[classificacao]=$B$289) *
  (desp[centro.negocio]=$B420) *
  (desp[parcela]&gt;=D$1) *
  (desp[parcela]&lt;EOMONTH(D$1,0)+1)
)</f>
        <v>0</v>
      </c>
      <c r="E420" s="245" cm="1">
        <f t="array" ref="E420">-SUMPRODUCT(
  desp[data.vencimento] *
  (desp[classificacao]=$B$289) *
  (desp[centro.negocio]=$B420) *
  (desp[parcela]&gt;=E$1) *
  (desp[parcela]&lt;EOMONTH(E$1,0)+1)
)</f>
        <v>0</v>
      </c>
      <c r="F420" s="245" cm="1">
        <f t="array" ref="F420">-SUMPRODUCT(
  desp[data.vencimento] *
  (desp[classificacao]=$B$289) *
  (desp[centro.negocio]=$B420) *
  (desp[parcela]&gt;=F$1) *
  (desp[parcela]&lt;EOMONTH(F$1,0)+1)
)</f>
        <v>0</v>
      </c>
      <c r="G420" s="245" cm="1">
        <f t="array" ref="G420">-SUMPRODUCT(
  desp[data.vencimento] *
  (desp[classificacao]=$B$289) *
  (desp[centro.negocio]=$B420) *
  (desp[parcela]&gt;=G$1) *
  (desp[parcela]&lt;EOMONTH(G$1,0)+1)
)</f>
        <v>0</v>
      </c>
      <c r="H420" s="245" cm="1">
        <f t="array" ref="H420">-SUMPRODUCT(
  desp[data.vencimento] *
  (desp[classificacao]=$B$289) *
  (desp[centro.negocio]=$B420) *
  (desp[parcela]&gt;=H$1) *
  (desp[parcela]&lt;EOMONTH(H$1,0)+1)
)</f>
        <v>0</v>
      </c>
      <c r="I420" s="245" cm="1">
        <f t="array" ref="I420">-SUMPRODUCT(
  desp[data.vencimento] *
  (desp[classificacao]=$B$289) *
  (desp[centro.negocio]=$B420) *
  (desp[parcela]&gt;=I$1) *
  (desp[parcela]&lt;EOMONTH(I$1,0)+1)
)</f>
        <v>0</v>
      </c>
      <c r="J420" s="245" cm="1">
        <f t="array" ref="J420">-SUMPRODUCT(
  desp[data.vencimento] *
  (desp[classificacao]=$B$289) *
  (desp[centro.negocio]=$B420) *
  (desp[parcela]&gt;=J$1) *
  (desp[parcela]&lt;EOMONTH(J$1,0)+1)
)</f>
        <v>0</v>
      </c>
      <c r="K420" s="245" cm="1">
        <f t="array" ref="K420">-SUMPRODUCT(
  desp[data.vencimento] *
  (desp[classificacao]=$B$289) *
  (desp[centro.negocio]=$B420) *
  (desp[parcela]&gt;=K$1) *
  (desp[parcela]&lt;EOMONTH(K$1,0)+1)
)</f>
        <v>0</v>
      </c>
      <c r="L420" s="245" cm="1">
        <f t="array" ref="L420">-SUMPRODUCT(
  desp[data.vencimento] *
  (desp[classificacao]=$B$289) *
  (desp[centro.negocio]=$B420) *
  (desp[parcela]&gt;=L$1) *
  (desp[parcela]&lt;EOMONTH(L$1,0)+1)
)</f>
        <v>0</v>
      </c>
      <c r="M420" s="245" cm="1">
        <f t="array" ref="M420">-SUMPRODUCT(
  desp[data.vencimento] *
  (desp[classificacao]=$B$289) *
  (desp[centro.negocio]=$B420) *
  (desp[parcela]&gt;=M$1) *
  (desp[parcela]&lt;EOMONTH(M$1,0)+1)
)</f>
        <v>0</v>
      </c>
      <c r="N420" s="245" cm="1">
        <f t="array" ref="N420">-SUMPRODUCT(
  desp[data.vencimento] *
  (desp[classificacao]=$B$289) *
  (desp[centro.negocio]=$B420) *
  (desp[parcela]&gt;=N$1) *
  (desp[parcela]&lt;EOMONTH(N$1,0)+1)
)</f>
        <v>0</v>
      </c>
      <c r="O420" s="245" cm="1">
        <f t="array" ref="O420">-SUMPRODUCT(
  desp[data.vencimento] *
  (desp[classificacao]=$B$289) *
  (desp[centro.negocio]=$B420) *
  (desp[parcela]&gt;=O$1) *
  (desp[parcela]&lt;EOMONTH(O$1,0)+1)
)</f>
        <v>0</v>
      </c>
      <c r="P420" s="245" cm="1">
        <f t="array" ref="P420">-SUMPRODUCT(
  desp[data.vencimento] *
  (desp[classificacao]=$B$289) *
  (desp[centro.negocio]=$B420) *
  (desp[parcela]&gt;=P$1) *
  (desp[parcela]&lt;EOMONTH(P$1,0)+1)
)</f>
        <v>0</v>
      </c>
      <c r="Q420" s="245" cm="1">
        <f t="array" ref="Q420">-SUMPRODUCT(
  desp[data.vencimento] *
  (desp[classificacao]=$B$289) *
  (desp[centro.negocio]=$B420) *
  (desp[parcela]&gt;=Q$1) *
  (desp[parcela]&lt;EOMONTH(Q$1,0)+1)
)</f>
        <v>0</v>
      </c>
      <c r="R420" s="245" cm="1">
        <f t="array" ref="R420">-SUMPRODUCT(
  desp[data.vencimento] *
  (desp[classificacao]=$B$289) *
  (desp[centro.negocio]=$B420) *
  (desp[parcela]&gt;=R$1) *
  (desp[parcela]&lt;EOMONTH(R$1,0)+1)
)</f>
        <v>0</v>
      </c>
    </row>
    <row r="421" spans="1:18" outlineLevel="1" x14ac:dyDescent="0.25">
      <c r="A421" s="243" t="s">
        <v>719</v>
      </c>
      <c r="B421" s="254" t="s">
        <v>720</v>
      </c>
      <c r="C421" s="193"/>
      <c r="D421" s="247"/>
      <c r="E421" s="247"/>
      <c r="F421" s="247"/>
      <c r="G421" s="247"/>
      <c r="H421" s="247"/>
      <c r="I421" s="247"/>
      <c r="J421" s="247"/>
      <c r="K421" s="247"/>
      <c r="L421" s="247"/>
      <c r="M421" s="247"/>
      <c r="N421" s="247"/>
      <c r="O421" s="247"/>
      <c r="P421" s="247"/>
      <c r="Q421" s="247"/>
      <c r="R421" s="247"/>
    </row>
    <row r="422" spans="1:18" outlineLevel="1" x14ac:dyDescent="0.25">
      <c r="A422" s="243" t="s">
        <v>721</v>
      </c>
      <c r="B422" s="254" t="s">
        <v>722</v>
      </c>
      <c r="C422" s="193"/>
      <c r="D422" s="247"/>
      <c r="E422" s="247"/>
      <c r="F422" s="247"/>
      <c r="G422" s="247"/>
      <c r="H422" s="247"/>
      <c r="I422" s="247"/>
      <c r="J422" s="247"/>
      <c r="K422" s="247"/>
      <c r="L422" s="247"/>
      <c r="M422" s="247"/>
      <c r="N422" s="247"/>
      <c r="O422" s="247"/>
      <c r="P422" s="247"/>
      <c r="Q422" s="247"/>
      <c r="R422" s="247"/>
    </row>
    <row r="423" spans="1:18" x14ac:dyDescent="0.25">
      <c r="A423" s="236" t="s">
        <v>723</v>
      </c>
      <c r="B423" s="236" t="s">
        <v>724</v>
      </c>
      <c r="C423" s="237"/>
      <c r="D423" s="238">
        <f>D424+D429</f>
        <v>489068.85</v>
      </c>
      <c r="E423" s="238">
        <f t="shared" ref="E423" si="303">E424+E429</f>
        <v>0</v>
      </c>
      <c r="F423" s="238">
        <f t="shared" ref="F423" si="304">F424+F429</f>
        <v>385006.39</v>
      </c>
      <c r="G423" s="238">
        <f t="shared" ref="G423" si="305">G424+G429</f>
        <v>223853.73</v>
      </c>
      <c r="H423" s="238">
        <f t="shared" ref="H423" si="306">H424+H429</f>
        <v>134752.4</v>
      </c>
      <c r="I423" s="238">
        <f t="shared" ref="I423" si="307">I424+I429</f>
        <v>289304.8</v>
      </c>
      <c r="J423" s="238">
        <f t="shared" ref="J423" si="308">J424+J429</f>
        <v>171602.91</v>
      </c>
      <c r="K423" s="238">
        <f t="shared" ref="K423" si="309">K424+K429</f>
        <v>366306.04</v>
      </c>
      <c r="L423" s="238">
        <f t="shared" ref="L423" si="310">L424+L429</f>
        <v>181081.21</v>
      </c>
      <c r="M423" s="238">
        <f t="shared" ref="M423" si="311">M424+M429</f>
        <v>266613.7</v>
      </c>
      <c r="N423" s="238">
        <f t="shared" ref="N423" si="312">N424+N429</f>
        <v>230479.34</v>
      </c>
      <c r="O423" s="238">
        <f t="shared" ref="O423" si="313">O424+O429</f>
        <v>471701.2</v>
      </c>
      <c r="P423" s="238">
        <f t="shared" ref="P423" si="314">P424+P429</f>
        <v>0</v>
      </c>
      <c r="Q423" s="238">
        <f t="shared" ref="Q423:R423" si="315">Q424+Q429</f>
        <v>46792.36</v>
      </c>
      <c r="R423" s="238">
        <f t="shared" si="315"/>
        <v>0</v>
      </c>
    </row>
    <row r="424" spans="1:18" x14ac:dyDescent="0.25">
      <c r="A424" s="240" t="s">
        <v>725</v>
      </c>
      <c r="B424" s="240" t="s">
        <v>726</v>
      </c>
      <c r="C424" s="241"/>
      <c r="D424" s="242">
        <f>D425+D428</f>
        <v>489068.85</v>
      </c>
      <c r="E424" s="242">
        <f t="shared" ref="E424" si="316">E425+E428</f>
        <v>0</v>
      </c>
      <c r="F424" s="242">
        <f t="shared" ref="F424" si="317">F425+F428</f>
        <v>385006.39</v>
      </c>
      <c r="G424" s="242">
        <f t="shared" ref="G424" si="318">G425+G428</f>
        <v>223853.73</v>
      </c>
      <c r="H424" s="242">
        <f t="shared" ref="H424" si="319">H425+H428</f>
        <v>134752.4</v>
      </c>
      <c r="I424" s="242">
        <f t="shared" ref="I424" si="320">I425+I428</f>
        <v>289304.8</v>
      </c>
      <c r="J424" s="242">
        <f t="shared" ref="J424" si="321">J425+J428</f>
        <v>171602.91</v>
      </c>
      <c r="K424" s="242">
        <f t="shared" ref="K424" si="322">K425+K428</f>
        <v>366306.04</v>
      </c>
      <c r="L424" s="242">
        <f t="shared" ref="L424" si="323">L425+L428</f>
        <v>181081.21</v>
      </c>
      <c r="M424" s="242">
        <f t="shared" ref="M424" si="324">M425+M428</f>
        <v>266613.7</v>
      </c>
      <c r="N424" s="242">
        <f t="shared" ref="N424" si="325">N425+N428</f>
        <v>230479.34</v>
      </c>
      <c r="O424" s="242">
        <f t="shared" ref="O424" si="326">O425+O428</f>
        <v>471701.2</v>
      </c>
      <c r="P424" s="242">
        <f t="shared" ref="P424" si="327">P425+P428</f>
        <v>0</v>
      </c>
      <c r="Q424" s="242">
        <f t="shared" ref="Q424:R424" si="328">Q425+Q428</f>
        <v>46792.36</v>
      </c>
      <c r="R424" s="242">
        <f t="shared" si="328"/>
        <v>0</v>
      </c>
    </row>
    <row r="425" spans="1:18" outlineLevel="1" x14ac:dyDescent="0.25">
      <c r="A425" s="243" t="s">
        <v>727</v>
      </c>
      <c r="B425" s="243" t="s">
        <v>728</v>
      </c>
      <c r="C425" s="244" t="s">
        <v>729</v>
      </c>
      <c r="D425" s="245">
        <f>SUM(D426:D427)</f>
        <v>489068.85</v>
      </c>
      <c r="E425" s="245">
        <f t="shared" ref="E425" si="329">SUM(E426:E427)</f>
        <v>0</v>
      </c>
      <c r="F425" s="245">
        <f t="shared" ref="F425" si="330">SUM(F426:F427)</f>
        <v>385006.39</v>
      </c>
      <c r="G425" s="245">
        <f t="shared" ref="G425" si="331">SUM(G426:G427)</f>
        <v>223853.73</v>
      </c>
      <c r="H425" s="245">
        <f t="shared" ref="H425" si="332">SUM(H426:H427)</f>
        <v>134752.4</v>
      </c>
      <c r="I425" s="245">
        <f t="shared" ref="I425" si="333">SUM(I426:I427)</f>
        <v>289304.8</v>
      </c>
      <c r="J425" s="245">
        <f t="shared" ref="J425" si="334">SUM(J426:J427)</f>
        <v>171602.91</v>
      </c>
      <c r="K425" s="245">
        <f t="shared" ref="K425" si="335">SUM(K426:K427)</f>
        <v>366306.04</v>
      </c>
      <c r="L425" s="245">
        <f t="shared" ref="L425" si="336">SUM(L426:L427)</f>
        <v>181081.21</v>
      </c>
      <c r="M425" s="245">
        <f t="shared" ref="M425" si="337">SUM(M426:M427)</f>
        <v>266613.7</v>
      </c>
      <c r="N425" s="245">
        <f t="shared" ref="N425" si="338">SUM(N426:N427)</f>
        <v>230479.34</v>
      </c>
      <c r="O425" s="245">
        <f t="shared" ref="O425" si="339">SUM(O426:O427)</f>
        <v>471701.2</v>
      </c>
      <c r="P425" s="245">
        <f t="shared" ref="P425" si="340">SUM(P426:P427)</f>
        <v>0</v>
      </c>
      <c r="Q425" s="245">
        <f t="shared" ref="Q425:R425" si="341">SUM(Q426:Q427)</f>
        <v>46792.36</v>
      </c>
      <c r="R425" s="245">
        <f t="shared" si="341"/>
        <v>0</v>
      </c>
    </row>
    <row r="426" spans="1:18" outlineLevel="2" x14ac:dyDescent="0.25">
      <c r="A426" s="258" t="s">
        <v>730</v>
      </c>
      <c r="B426" s="258" t="s">
        <v>731</v>
      </c>
      <c r="C426" s="244"/>
      <c r="D426" s="245" cm="1">
        <f t="array" ref="D426:Q426">TRANSPOSE(inputs!F$51:F$64)</f>
        <v>489068.85</v>
      </c>
      <c r="E426" s="245">
        <v>0</v>
      </c>
      <c r="F426" s="245">
        <v>385006.39</v>
      </c>
      <c r="G426" s="245">
        <v>223853.73</v>
      </c>
      <c r="H426" s="245">
        <v>134752.4</v>
      </c>
      <c r="I426" s="245">
        <v>289304.8</v>
      </c>
      <c r="J426" s="245">
        <v>171602.91</v>
      </c>
      <c r="K426" s="245">
        <v>366306.04</v>
      </c>
      <c r="L426" s="245">
        <v>181081.21</v>
      </c>
      <c r="M426" s="245">
        <v>266613.7</v>
      </c>
      <c r="N426" s="245">
        <v>230479.34</v>
      </c>
      <c r="O426" s="245">
        <v>471701.2</v>
      </c>
      <c r="P426" s="245">
        <v>0</v>
      </c>
      <c r="Q426" s="245">
        <v>46792.36</v>
      </c>
      <c r="R426" s="245"/>
    </row>
    <row r="427" spans="1:18" outlineLevel="2" x14ac:dyDescent="0.25">
      <c r="A427" s="258" t="s">
        <v>736</v>
      </c>
      <c r="B427" s="258" t="s">
        <v>350</v>
      </c>
      <c r="C427" s="244" t="s">
        <v>737</v>
      </c>
      <c r="D427" s="302"/>
      <c r="E427" s="302"/>
      <c r="F427" s="302"/>
      <c r="G427" s="302"/>
      <c r="H427" s="302"/>
      <c r="I427" s="302"/>
      <c r="J427" s="302"/>
      <c r="K427" s="302"/>
      <c r="L427" s="302"/>
      <c r="M427" s="302"/>
      <c r="N427" s="302"/>
      <c r="O427" s="302"/>
      <c r="P427" s="302"/>
      <c r="Q427" s="302"/>
      <c r="R427" s="302"/>
    </row>
    <row r="428" spans="1:18" outlineLevel="1" x14ac:dyDescent="0.25">
      <c r="A428" s="243" t="s">
        <v>751</v>
      </c>
      <c r="B428" s="254" t="s">
        <v>752</v>
      </c>
      <c r="C428" s="244" t="s">
        <v>522</v>
      </c>
      <c r="D428" s="245"/>
      <c r="E428" s="245"/>
      <c r="F428" s="245"/>
      <c r="G428" s="245"/>
      <c r="H428" s="245"/>
      <c r="I428" s="245"/>
      <c r="J428" s="245"/>
      <c r="K428" s="245"/>
      <c r="L428" s="245"/>
      <c r="M428" s="245"/>
      <c r="N428" s="245"/>
      <c r="O428" s="245"/>
      <c r="P428" s="245"/>
      <c r="Q428" s="245"/>
      <c r="R428" s="245"/>
    </row>
    <row r="429" spans="1:18" x14ac:dyDescent="0.25">
      <c r="A429" s="249" t="s">
        <v>753</v>
      </c>
      <c r="B429" s="249" t="s">
        <v>754</v>
      </c>
      <c r="C429" s="255"/>
      <c r="D429" s="256">
        <f>SUM(D430:D431)</f>
        <v>0</v>
      </c>
      <c r="E429" s="256">
        <f t="shared" ref="E429" si="342">SUM(E430:E431)</f>
        <v>0</v>
      </c>
      <c r="F429" s="256">
        <f t="shared" ref="F429" si="343">SUM(F430:F431)</f>
        <v>0</v>
      </c>
      <c r="G429" s="256">
        <f t="shared" ref="G429" si="344">SUM(G430:G431)</f>
        <v>0</v>
      </c>
      <c r="H429" s="256">
        <f t="shared" ref="H429" si="345">SUM(H430:H431)</f>
        <v>0</v>
      </c>
      <c r="I429" s="256">
        <f t="shared" ref="I429" si="346">SUM(I430:I431)</f>
        <v>0</v>
      </c>
      <c r="J429" s="256">
        <f t="shared" ref="J429" si="347">SUM(J430:J431)</f>
        <v>0</v>
      </c>
      <c r="K429" s="256">
        <f t="shared" ref="K429" si="348">SUM(K430:K431)</f>
        <v>0</v>
      </c>
      <c r="L429" s="256">
        <f t="shared" ref="L429" si="349">SUM(L430:L431)</f>
        <v>0</v>
      </c>
      <c r="M429" s="256">
        <f t="shared" ref="M429" si="350">SUM(M430:M431)</f>
        <v>0</v>
      </c>
      <c r="N429" s="256">
        <f t="shared" ref="N429" si="351">SUM(N430:N431)</f>
        <v>0</v>
      </c>
      <c r="O429" s="256">
        <f t="shared" ref="O429" si="352">SUM(O430:O431)</f>
        <v>0</v>
      </c>
      <c r="P429" s="256">
        <f t="shared" ref="P429" si="353">SUM(P430:P431)</f>
        <v>0</v>
      </c>
      <c r="Q429" s="256">
        <f t="shared" ref="Q429:R429" si="354">SUM(Q430:Q431)</f>
        <v>0</v>
      </c>
      <c r="R429" s="256">
        <f t="shared" si="354"/>
        <v>0</v>
      </c>
    </row>
    <row r="430" spans="1:18" outlineLevel="1" x14ac:dyDescent="0.25">
      <c r="A430" s="243" t="s">
        <v>755</v>
      </c>
      <c r="B430" s="248" t="s">
        <v>396</v>
      </c>
      <c r="C430" s="244" t="s">
        <v>522</v>
      </c>
      <c r="D430" s="245" cm="1">
        <f t="array" ref="D430">-SUMPRODUCT(
  desp[data.vencimento] *
  (desp[classificacao]=$B$289) *
  (desp[centro.negocio]=$B430) *
  (desp[parcela]&gt;=D$1) *
  (desp[parcela]&lt;EOMONTH(D$1,0)+1)
)</f>
        <v>0</v>
      </c>
      <c r="E430" s="245" cm="1">
        <f t="array" ref="E430">-SUMPRODUCT(
  desp[data.vencimento] *
  (desp[classificacao]=$B$289) *
  (desp[centro.negocio]=$B430) *
  (desp[parcela]&gt;=E$1) *
  (desp[parcela]&lt;EOMONTH(E$1,0)+1)
)</f>
        <v>0</v>
      </c>
      <c r="F430" s="245" cm="1">
        <f t="array" ref="F430">-SUMPRODUCT(
  desp[data.vencimento] *
  (desp[classificacao]=$B$289) *
  (desp[centro.negocio]=$B430) *
  (desp[parcela]&gt;=F$1) *
  (desp[parcela]&lt;EOMONTH(F$1,0)+1)
)</f>
        <v>0</v>
      </c>
      <c r="G430" s="245" cm="1">
        <f t="array" ref="G430">-SUMPRODUCT(
  desp[data.vencimento] *
  (desp[classificacao]=$B$289) *
  (desp[centro.negocio]=$B430) *
  (desp[parcela]&gt;=G$1) *
  (desp[parcela]&lt;EOMONTH(G$1,0)+1)
)</f>
        <v>0</v>
      </c>
      <c r="H430" s="245" cm="1">
        <f t="array" ref="H430">-SUMPRODUCT(
  desp[data.vencimento] *
  (desp[classificacao]=$B$289) *
  (desp[centro.negocio]=$B430) *
  (desp[parcela]&gt;=H$1) *
  (desp[parcela]&lt;EOMONTH(H$1,0)+1)
)</f>
        <v>0</v>
      </c>
      <c r="I430" s="245" cm="1">
        <f t="array" ref="I430">-SUMPRODUCT(
  desp[data.vencimento] *
  (desp[classificacao]=$B$289) *
  (desp[centro.negocio]=$B430) *
  (desp[parcela]&gt;=I$1) *
  (desp[parcela]&lt;EOMONTH(I$1,0)+1)
)</f>
        <v>0</v>
      </c>
      <c r="J430" s="245" cm="1">
        <f t="array" ref="J430">-SUMPRODUCT(
  desp[data.vencimento] *
  (desp[classificacao]=$B$289) *
  (desp[centro.negocio]=$B430) *
  (desp[parcela]&gt;=J$1) *
  (desp[parcela]&lt;EOMONTH(J$1,0)+1)
)</f>
        <v>0</v>
      </c>
      <c r="K430" s="245" cm="1">
        <f t="array" ref="K430">-SUMPRODUCT(
  desp[data.vencimento] *
  (desp[classificacao]=$B$289) *
  (desp[centro.negocio]=$B430) *
  (desp[parcela]&gt;=K$1) *
  (desp[parcela]&lt;EOMONTH(K$1,0)+1)
)</f>
        <v>0</v>
      </c>
      <c r="L430" s="245" cm="1">
        <f t="array" ref="L430">-SUMPRODUCT(
  desp[data.vencimento] *
  (desp[classificacao]=$B$289) *
  (desp[centro.negocio]=$B430) *
  (desp[parcela]&gt;=L$1) *
  (desp[parcela]&lt;EOMONTH(L$1,0)+1)
)</f>
        <v>0</v>
      </c>
      <c r="M430" s="245" cm="1">
        <f t="array" ref="M430">-SUMPRODUCT(
  desp[data.vencimento] *
  (desp[classificacao]=$B$289) *
  (desp[centro.negocio]=$B430) *
  (desp[parcela]&gt;=M$1) *
  (desp[parcela]&lt;EOMONTH(M$1,0)+1)
)</f>
        <v>0</v>
      </c>
      <c r="N430" s="245" cm="1">
        <f t="array" ref="N430">-SUMPRODUCT(
  desp[data.vencimento] *
  (desp[classificacao]=$B$289) *
  (desp[centro.negocio]=$B430) *
  (desp[parcela]&gt;=N$1) *
  (desp[parcela]&lt;EOMONTH(N$1,0)+1)
)</f>
        <v>0</v>
      </c>
      <c r="O430" s="245" cm="1">
        <f t="array" ref="O430">-SUMPRODUCT(
  desp[data.vencimento] *
  (desp[classificacao]=$B$289) *
  (desp[centro.negocio]=$B430) *
  (desp[parcela]&gt;=O$1) *
  (desp[parcela]&lt;EOMONTH(O$1,0)+1)
)</f>
        <v>0</v>
      </c>
      <c r="P430" s="245" cm="1">
        <f t="array" ref="P430">-SUMPRODUCT(
  desp[data.vencimento] *
  (desp[classificacao]=$B$289) *
  (desp[centro.negocio]=$B430) *
  (desp[parcela]&gt;=P$1) *
  (desp[parcela]&lt;EOMONTH(P$1,0)+1)
)</f>
        <v>0</v>
      </c>
      <c r="Q430" s="245" cm="1">
        <f t="array" ref="Q430">-SUMPRODUCT(
  desp[data.vencimento] *
  (desp[classificacao]=$B$289) *
  (desp[centro.negocio]=$B430) *
  (desp[parcela]&gt;=Q$1) *
  (desp[parcela]&lt;EOMONTH(Q$1,0)+1)
)</f>
        <v>0</v>
      </c>
      <c r="R430" s="245" cm="1">
        <f t="array" ref="R430">-SUMPRODUCT(
  desp[data.vencimento] *
  (desp[classificacao]=$B$289) *
  (desp[centro.negocio]=$B430) *
  (desp[parcela]&gt;=R$1) *
  (desp[parcela]&lt;EOMONTH(R$1,0)+1)
)</f>
        <v>0</v>
      </c>
    </row>
    <row r="431" spans="1:18" outlineLevel="1" x14ac:dyDescent="0.25">
      <c r="A431" s="243" t="s">
        <v>773</v>
      </c>
      <c r="B431" s="254" t="s">
        <v>774</v>
      </c>
      <c r="C431" s="193"/>
      <c r="D431" s="247"/>
      <c r="E431" s="247"/>
      <c r="F431" s="247"/>
      <c r="G431" s="247"/>
      <c r="H431" s="247"/>
      <c r="I431" s="247"/>
      <c r="J431" s="247"/>
      <c r="K431" s="247"/>
      <c r="L431" s="247"/>
      <c r="M431" s="247"/>
      <c r="N431" s="247"/>
      <c r="O431" s="247"/>
      <c r="P431" s="247"/>
      <c r="Q431" s="247"/>
      <c r="R431" s="247"/>
    </row>
    <row r="432" spans="1:18" x14ac:dyDescent="0.25">
      <c r="A432" s="233"/>
      <c r="B432" s="233" t="s">
        <v>775</v>
      </c>
      <c r="C432" s="260"/>
      <c r="D432" s="261">
        <f ca="1">D390+D415+D423</f>
        <v>489068.85</v>
      </c>
      <c r="E432" s="261">
        <f t="shared" ref="E432:R432" ca="1" si="355">E390+E415+E423</f>
        <v>0</v>
      </c>
      <c r="F432" s="261">
        <f t="shared" ca="1" si="355"/>
        <v>385006.39</v>
      </c>
      <c r="G432" s="261">
        <f t="shared" ca="1" si="355"/>
        <v>223853.73</v>
      </c>
      <c r="H432" s="261">
        <f t="shared" ca="1" si="355"/>
        <v>134752.4</v>
      </c>
      <c r="I432" s="261">
        <f t="shared" ca="1" si="355"/>
        <v>289304.8</v>
      </c>
      <c r="J432" s="261">
        <f t="shared" ca="1" si="355"/>
        <v>171602.91</v>
      </c>
      <c r="K432" s="261">
        <f t="shared" ca="1" si="355"/>
        <v>366306.04</v>
      </c>
      <c r="L432" s="261">
        <f t="shared" ca="1" si="355"/>
        <v>181081.21</v>
      </c>
      <c r="M432" s="261">
        <f t="shared" ca="1" si="355"/>
        <v>266613.7</v>
      </c>
      <c r="N432" s="261">
        <f t="shared" ca="1" si="355"/>
        <v>230479.34</v>
      </c>
      <c r="O432" s="261">
        <f t="shared" ca="1" si="355"/>
        <v>471701.2</v>
      </c>
      <c r="P432" s="261">
        <f t="shared" ca="1" si="355"/>
        <v>0</v>
      </c>
      <c r="Q432" s="261">
        <f t="shared" ref="Q432" ca="1" si="356">Q390+Q415+Q423</f>
        <v>46792.36</v>
      </c>
      <c r="R432" s="261">
        <f t="shared" ca="1" si="355"/>
        <v>0</v>
      </c>
    </row>
    <row r="433" spans="1:18" x14ac:dyDescent="0.25">
      <c r="A433" s="305"/>
      <c r="B433" s="305" t="s">
        <v>776</v>
      </c>
      <c r="C433" s="306"/>
      <c r="D433" s="238"/>
      <c r="E433" s="238"/>
      <c r="F433" s="238"/>
      <c r="G433" s="238"/>
      <c r="H433" s="238"/>
      <c r="I433" s="238"/>
      <c r="J433" s="238"/>
      <c r="K433" s="238"/>
      <c r="L433" s="238"/>
      <c r="M433" s="238"/>
      <c r="N433" s="238"/>
      <c r="O433" s="238"/>
      <c r="P433" s="238"/>
      <c r="Q433" s="238"/>
      <c r="R433" s="238"/>
    </row>
    <row r="434" spans="1:18" x14ac:dyDescent="0.25">
      <c r="A434" s="305"/>
      <c r="B434" s="305" t="s">
        <v>777</v>
      </c>
      <c r="C434" s="306"/>
      <c r="D434" s="238"/>
      <c r="E434" s="238"/>
      <c r="F434" s="238"/>
      <c r="G434" s="238"/>
      <c r="H434" s="238"/>
      <c r="I434" s="238"/>
      <c r="J434" s="238"/>
      <c r="K434" s="238"/>
      <c r="L434" s="238"/>
      <c r="M434" s="238"/>
      <c r="N434" s="238"/>
      <c r="O434" s="238"/>
      <c r="P434" s="238"/>
      <c r="Q434" s="238"/>
      <c r="R434" s="238"/>
    </row>
    <row r="435" spans="1:18" x14ac:dyDescent="0.25">
      <c r="A435" s="305"/>
      <c r="B435" s="305" t="s">
        <v>796</v>
      </c>
      <c r="C435" s="306"/>
      <c r="D435" s="238"/>
      <c r="E435" s="238"/>
      <c r="F435" s="238"/>
      <c r="G435" s="238"/>
      <c r="H435" s="238"/>
      <c r="I435" s="238"/>
      <c r="J435" s="238"/>
      <c r="K435" s="238"/>
      <c r="L435" s="238"/>
      <c r="M435" s="238"/>
      <c r="N435" s="238"/>
      <c r="O435" s="238"/>
      <c r="P435" s="238"/>
      <c r="Q435" s="238"/>
      <c r="R435" s="238"/>
    </row>
    <row r="439" spans="1:18" ht="21" x14ac:dyDescent="0.35">
      <c r="A439" s="301" t="s">
        <v>14</v>
      </c>
      <c r="B439" s="301" t="s">
        <v>552</v>
      </c>
    </row>
    <row r="440" spans="1:18" x14ac:dyDescent="0.25">
      <c r="A440" s="236" t="s">
        <v>510</v>
      </c>
      <c r="B440" s="236" t="s">
        <v>511</v>
      </c>
      <c r="C440" s="237"/>
      <c r="D440" s="238">
        <f ca="1">D441+D446</f>
        <v>0</v>
      </c>
      <c r="E440" s="238">
        <f t="shared" ref="E440" ca="1" si="357">E441+E446</f>
        <v>0</v>
      </c>
      <c r="F440" s="238">
        <f t="shared" ref="F440" ca="1" si="358">F441+F446</f>
        <v>0</v>
      </c>
      <c r="G440" s="238">
        <f t="shared" ref="G440" ca="1" si="359">G441+G446</f>
        <v>0</v>
      </c>
      <c r="H440" s="238">
        <f t="shared" ref="H440" ca="1" si="360">H441+H446</f>
        <v>0</v>
      </c>
      <c r="I440" s="238">
        <f t="shared" ref="I440" ca="1" si="361">I441+I446</f>
        <v>0</v>
      </c>
      <c r="J440" s="238">
        <f t="shared" ref="J440" ca="1" si="362">J441+J446</f>
        <v>0</v>
      </c>
      <c r="K440" s="238">
        <f t="shared" ref="K440" ca="1" si="363">K441+K446</f>
        <v>0</v>
      </c>
      <c r="L440" s="238">
        <f t="shared" ref="L440" ca="1" si="364">L441+L446</f>
        <v>0</v>
      </c>
      <c r="M440" s="238">
        <f t="shared" ref="M440" ca="1" si="365">M441+M446</f>
        <v>0</v>
      </c>
      <c r="N440" s="238">
        <f t="shared" ref="N440" ca="1" si="366">N441+N446</f>
        <v>0</v>
      </c>
      <c r="O440" s="238">
        <f t="shared" ref="O440" ca="1" si="367">O441+O446</f>
        <v>0</v>
      </c>
      <c r="P440" s="238">
        <f t="shared" ref="P440" ca="1" si="368">P441+P446</f>
        <v>0</v>
      </c>
      <c r="Q440" s="238">
        <f t="shared" ref="Q440:R440" ca="1" si="369">Q441+Q446</f>
        <v>0</v>
      </c>
      <c r="R440" s="238">
        <f t="shared" ca="1" si="369"/>
        <v>0</v>
      </c>
    </row>
    <row r="441" spans="1:18" x14ac:dyDescent="0.25">
      <c r="A441" s="240" t="s">
        <v>513</v>
      </c>
      <c r="B441" s="240" t="s">
        <v>514</v>
      </c>
      <c r="C441" s="241"/>
      <c r="D441" s="242">
        <f ca="1">SUM(D442:D445)</f>
        <v>0</v>
      </c>
      <c r="E441" s="242">
        <f t="shared" ref="E441" ca="1" si="370">SUM(E442:E445)</f>
        <v>0</v>
      </c>
      <c r="F441" s="242">
        <f t="shared" ref="F441" ca="1" si="371">SUM(F442:F445)</f>
        <v>0</v>
      </c>
      <c r="G441" s="242">
        <f t="shared" ref="G441" ca="1" si="372">SUM(G442:G445)</f>
        <v>0</v>
      </c>
      <c r="H441" s="242">
        <f t="shared" ref="H441" ca="1" si="373">SUM(H442:H445)</f>
        <v>0</v>
      </c>
      <c r="I441" s="242">
        <f t="shared" ref="I441" ca="1" si="374">SUM(I442:I445)</f>
        <v>0</v>
      </c>
      <c r="J441" s="242">
        <f t="shared" ref="J441" ca="1" si="375">SUM(J442:J445)</f>
        <v>0</v>
      </c>
      <c r="K441" s="242">
        <f t="shared" ref="K441" ca="1" si="376">SUM(K442:K445)</f>
        <v>0</v>
      </c>
      <c r="L441" s="242">
        <f t="shared" ref="L441" ca="1" si="377">SUM(L442:L445)</f>
        <v>0</v>
      </c>
      <c r="M441" s="242">
        <f t="shared" ref="M441" ca="1" si="378">SUM(M442:M445)</f>
        <v>0</v>
      </c>
      <c r="N441" s="242">
        <f t="shared" ref="N441" ca="1" si="379">SUM(N442:N445)</f>
        <v>0</v>
      </c>
      <c r="O441" s="242">
        <f t="shared" ref="O441" ca="1" si="380">SUM(O442:O445)</f>
        <v>0</v>
      </c>
      <c r="P441" s="242">
        <f t="shared" ref="P441" ca="1" si="381">SUM(P442:P445)</f>
        <v>0</v>
      </c>
      <c r="Q441" s="242">
        <f t="shared" ref="Q441:R441" ca="1" si="382">SUM(Q442:Q445)</f>
        <v>0</v>
      </c>
      <c r="R441" s="242">
        <f t="shared" ca="1" si="382"/>
        <v>0</v>
      </c>
    </row>
    <row r="442" spans="1:18" outlineLevel="1" x14ac:dyDescent="0.25">
      <c r="A442" s="243" t="s">
        <v>515</v>
      </c>
      <c r="B442" s="243" t="s">
        <v>516</v>
      </c>
      <c r="C442" s="244" t="s">
        <v>482</v>
      </c>
      <c r="D44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44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44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44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44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44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44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44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44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44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44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44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44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44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  <c r="R442" s="245">
        <f ca="1">SUMIFS(rec.uni[2026-03-01],
INDIRECT("rec.uni[natureza]"),"repasse.cef.obra",
INDIRECT("rec.uni[empresa]"),$A$289)+
SUMIFS(rec.uni[2026-03-01],
INDIRECT("rec.uni[natureza]"),"repasse.cef.terreno",
INDIRECT("rec.uni[empresa]"),$A$289)</f>
        <v>0</v>
      </c>
    </row>
    <row r="443" spans="1:18" outlineLevel="1" x14ac:dyDescent="0.25">
      <c r="A443" s="243" t="s">
        <v>521</v>
      </c>
      <c r="B443" s="243" t="s">
        <v>21</v>
      </c>
      <c r="C443" s="244" t="s">
        <v>522</v>
      </c>
      <c r="D443" s="245">
        <f ca="1">SUMIFS(rec.uni[2025-01-01],
INDIRECT("rec.uni[natureza]"),"pro.soluto",
INDIRECT("rec.uni[empresa]"),$A$289)</f>
        <v>0</v>
      </c>
      <c r="E443" s="245">
        <f ca="1">SUMIFS(rec.uni[2025-02-01],
INDIRECT("rec.uni[natureza]"),"pro.soluto",
INDIRECT("rec.uni[empresa]"),$A$289)</f>
        <v>0</v>
      </c>
      <c r="F443" s="245">
        <f ca="1">SUMIFS(rec.uni[2025-03-01],
INDIRECT("rec.uni[natureza]"),"pro.soluto",
INDIRECT("rec.uni[empresa]"),$A$289)</f>
        <v>0</v>
      </c>
      <c r="G443" s="245">
        <f ca="1">SUMIFS(rec.uni[2025-04-01],
INDIRECT("rec.uni[natureza]"),"pro.soluto",
INDIRECT("rec.uni[empresa]"),$A$289)</f>
        <v>0</v>
      </c>
      <c r="H443" s="245">
        <f ca="1">SUMIFS(rec.uni[2025-05-01],
INDIRECT("rec.uni[natureza]"),"pro.soluto",
INDIRECT("rec.uni[empresa]"),$A$289)</f>
        <v>0</v>
      </c>
      <c r="I443" s="245">
        <f ca="1">SUMIFS(rec.uni[2025-06-01],
INDIRECT("rec.uni[natureza]"),"pro.soluto",
INDIRECT("rec.uni[empresa]"),$A$289)</f>
        <v>0</v>
      </c>
      <c r="J443" s="245">
        <f ca="1">SUMIFS(rec.uni[2025-07-01],
INDIRECT("rec.uni[natureza]"),"pro.soluto",
INDIRECT("rec.uni[empresa]"),$A$289)</f>
        <v>0</v>
      </c>
      <c r="K443" s="245">
        <f ca="1">SUMIFS(rec.uni[2025-08-01],
INDIRECT("rec.uni[natureza]"),"pro.soluto",
INDIRECT("rec.uni[empresa]"),$A$289)</f>
        <v>0</v>
      </c>
      <c r="L443" s="245">
        <f ca="1">SUMIFS(rec.uni[2025-09-01],
INDIRECT("rec.uni[natureza]"),"pro.soluto",
INDIRECT("rec.uni[empresa]"),$A$289)</f>
        <v>0</v>
      </c>
      <c r="M443" s="245">
        <f ca="1">SUMIFS(rec.uni[2025-10-01],
INDIRECT("rec.uni[natureza]"),"pro.soluto",
INDIRECT("rec.uni[empresa]"),$A$289)</f>
        <v>0</v>
      </c>
      <c r="N443" s="245">
        <f ca="1">SUMIFS(rec.uni[2025-11-01],
INDIRECT("rec.uni[natureza]"),"pro.soluto",
INDIRECT("rec.uni[empresa]"),$A$289)</f>
        <v>0</v>
      </c>
      <c r="O443" s="245">
        <f ca="1">SUMIFS(rec.uni[2025-12-01],
INDIRECT("rec.uni[natureza]"),"pro.soluto",
INDIRECT("rec.uni[empresa]"),$A$289)</f>
        <v>0</v>
      </c>
      <c r="P443" s="245">
        <f ca="1">SUMIFS(rec.uni[2026-01-01],
INDIRECT("rec.uni[natureza]"),"pro.soluto",
INDIRECT("rec.uni[empresa]"),$A$289)</f>
        <v>0</v>
      </c>
      <c r="Q443" s="245">
        <f ca="1">SUMIFS(rec.uni[2026-02-01],
INDIRECT("rec.uni[natureza]"),"pro.soluto",
INDIRECT("rec.uni[empresa]"),$A$289)</f>
        <v>0</v>
      </c>
      <c r="R443" s="245">
        <f ca="1">SUMIFS(rec.uni[2026-03-01],
INDIRECT("rec.uni[natureza]"),"pro.soluto",
INDIRECT("rec.uni[empresa]"),$A$289)</f>
        <v>0</v>
      </c>
    </row>
    <row r="444" spans="1:18" outlineLevel="1" x14ac:dyDescent="0.25">
      <c r="A444" s="243" t="s">
        <v>530</v>
      </c>
      <c r="B444" s="243" t="s">
        <v>531</v>
      </c>
      <c r="C444" s="244" t="s">
        <v>522</v>
      </c>
      <c r="D444" s="245">
        <f ca="1">SUMIFS(rec.uni[2025-01-01],
INDIRECT("rec.uni[natureza]"),"taxa.extra",
INDIRECT("rec.uni[empresa]"),$A$289)</f>
        <v>0</v>
      </c>
      <c r="E444" s="245">
        <f ca="1">SUMIFS(rec.uni[2025-02-01],
INDIRECT("rec.uni[natureza]"),"taxa.extra",
INDIRECT("rec.uni[empresa]"),$A$289)</f>
        <v>0</v>
      </c>
      <c r="F444" s="245">
        <f ca="1">SUMIFS(rec.uni[2025-03-01],
INDIRECT("rec.uni[natureza]"),"taxa.extra",
INDIRECT("rec.uni[empresa]"),$A$289)</f>
        <v>0</v>
      </c>
      <c r="G444" s="245">
        <f ca="1">SUMIFS(rec.uni[2025-04-01],
INDIRECT("rec.uni[natureza]"),"taxa.extra",
INDIRECT("rec.uni[empresa]"),$A$289)</f>
        <v>0</v>
      </c>
      <c r="H444" s="245">
        <f ca="1">SUMIFS(rec.uni[2025-05-01],
INDIRECT("rec.uni[natureza]"),"taxa.extra",
INDIRECT("rec.uni[empresa]"),$A$289)</f>
        <v>0</v>
      </c>
      <c r="I444" s="245">
        <f ca="1">SUMIFS(rec.uni[2025-06-01],
INDIRECT("rec.uni[natureza]"),"taxa.extra",
INDIRECT("rec.uni[empresa]"),$A$289)</f>
        <v>0</v>
      </c>
      <c r="J444" s="245">
        <f ca="1">SUMIFS(rec.uni[2025-07-01],
INDIRECT("rec.uni[natureza]"),"taxa.extra",
INDIRECT("rec.uni[empresa]"),$A$289)</f>
        <v>0</v>
      </c>
      <c r="K444" s="245">
        <f ca="1">SUMIFS(rec.uni[2025-08-01],
INDIRECT("rec.uni[natureza]"),"taxa.extra",
INDIRECT("rec.uni[empresa]"),$A$289)</f>
        <v>0</v>
      </c>
      <c r="L444" s="245">
        <f ca="1">SUMIFS(rec.uni[2025-09-01],
INDIRECT("rec.uni[natureza]"),"taxa.extra",
INDIRECT("rec.uni[empresa]"),$A$289)</f>
        <v>0</v>
      </c>
      <c r="M444" s="245">
        <f ca="1">SUMIFS(rec.uni[2025-10-01],
INDIRECT("rec.uni[natureza]"),"taxa.extra",
INDIRECT("rec.uni[empresa]"),$A$289)</f>
        <v>0</v>
      </c>
      <c r="N444" s="245">
        <f ca="1">SUMIFS(rec.uni[2025-11-01],
INDIRECT("rec.uni[natureza]"),"taxa.extra",
INDIRECT("rec.uni[empresa]"),$A$289)</f>
        <v>0</v>
      </c>
      <c r="O444" s="245">
        <f ca="1">SUMIFS(rec.uni[2025-12-01],
INDIRECT("rec.uni[natureza]"),"taxa.extra",
INDIRECT("rec.uni[empresa]"),$A$289)</f>
        <v>0</v>
      </c>
      <c r="P444" s="245">
        <f ca="1">SUMIFS(rec.uni[2026-01-01],
INDIRECT("rec.uni[natureza]"),"taxa.extra",
INDIRECT("rec.uni[empresa]"),$A$289)</f>
        <v>0</v>
      </c>
      <c r="Q444" s="245">
        <f ca="1">SUMIFS(rec.uni[2026-02-01],
INDIRECT("rec.uni[natureza]"),"taxa.extra",
INDIRECT("rec.uni[empresa]"),$A$289)</f>
        <v>0</v>
      </c>
      <c r="R444" s="245">
        <f ca="1">SUMIFS(rec.uni[2026-03-01],
INDIRECT("rec.uni[natureza]"),"taxa.extra",
INDIRECT("rec.uni[empresa]"),$A$289)</f>
        <v>0</v>
      </c>
    </row>
    <row r="445" spans="1:18" outlineLevel="1" x14ac:dyDescent="0.25">
      <c r="A445" s="243" t="s">
        <v>539</v>
      </c>
      <c r="B445" s="243" t="s">
        <v>540</v>
      </c>
      <c r="C445" s="244" t="s">
        <v>27</v>
      </c>
      <c r="D445" s="245">
        <v>0</v>
      </c>
      <c r="E445" s="245">
        <v>0</v>
      </c>
      <c r="F445" s="245">
        <v>0</v>
      </c>
      <c r="G445" s="245">
        <v>0</v>
      </c>
      <c r="H445" s="245">
        <v>0</v>
      </c>
      <c r="I445" s="245">
        <v>0</v>
      </c>
      <c r="J445" s="245">
        <v>0</v>
      </c>
      <c r="K445" s="245">
        <v>0</v>
      </c>
      <c r="L445" s="245">
        <v>0</v>
      </c>
      <c r="M445" s="245">
        <v>0</v>
      </c>
      <c r="N445" s="245">
        <v>0</v>
      </c>
      <c r="O445" s="245">
        <v>0</v>
      </c>
      <c r="P445" s="245">
        <v>0</v>
      </c>
      <c r="Q445" s="245">
        <v>0</v>
      </c>
      <c r="R445" s="245">
        <v>0</v>
      </c>
    </row>
    <row r="446" spans="1:18" x14ac:dyDescent="0.25">
      <c r="A446" s="249" t="s">
        <v>542</v>
      </c>
      <c r="B446" s="249" t="s">
        <v>543</v>
      </c>
      <c r="C446" s="250" t="s">
        <v>522</v>
      </c>
      <c r="D446" s="251">
        <f>SUM(D447:D464)</f>
        <v>0</v>
      </c>
      <c r="E446" s="251">
        <f t="shared" ref="E446" si="383">SUM(E447:E464)</f>
        <v>0</v>
      </c>
      <c r="F446" s="251">
        <f t="shared" ref="F446" si="384">SUM(F447:F464)</f>
        <v>0</v>
      </c>
      <c r="G446" s="251">
        <f t="shared" ref="G446" si="385">SUM(G447:G464)</f>
        <v>0</v>
      </c>
      <c r="H446" s="251">
        <f t="shared" ref="H446" si="386">SUM(H447:H464)</f>
        <v>0</v>
      </c>
      <c r="I446" s="251">
        <f t="shared" ref="I446" si="387">SUM(I447:I464)</f>
        <v>0</v>
      </c>
      <c r="J446" s="251">
        <f t="shared" ref="J446" si="388">SUM(J447:J464)</f>
        <v>0</v>
      </c>
      <c r="K446" s="251">
        <f t="shared" ref="K446" si="389">SUM(K447:K464)</f>
        <v>0</v>
      </c>
      <c r="L446" s="251">
        <f t="shared" ref="L446" si="390">SUM(L447:L464)</f>
        <v>0</v>
      </c>
      <c r="M446" s="251">
        <f t="shared" ref="M446" si="391">SUM(M447:M464)</f>
        <v>0</v>
      </c>
      <c r="N446" s="251">
        <f t="shared" ref="N446" si="392">SUM(N447:N464)</f>
        <v>0</v>
      </c>
      <c r="O446" s="251">
        <f t="shared" ref="O446" si="393">SUM(O447:O464)</f>
        <v>0</v>
      </c>
      <c r="P446" s="251">
        <f t="shared" ref="P446" si="394">SUM(P447:P464)</f>
        <v>0</v>
      </c>
      <c r="Q446" s="251">
        <f t="shared" ref="Q446:R446" si="395">SUM(Q447:Q464)</f>
        <v>0</v>
      </c>
      <c r="R446" s="251">
        <f t="shared" si="395"/>
        <v>0</v>
      </c>
    </row>
    <row r="447" spans="1:18" outlineLevel="1" x14ac:dyDescent="0.25">
      <c r="A447" s="243" t="s">
        <v>544</v>
      </c>
      <c r="B447" s="243" t="s">
        <v>358</v>
      </c>
      <c r="C447" s="244" t="s">
        <v>522</v>
      </c>
      <c r="D447" s="245" cm="1">
        <f t="array" ref="D447">-SUMPRODUCT(
  desp[data.vencimento] *
  (desp[classificacao]=$B$289) *
  (desp[centro.negocio]=$B447) *
  (desp[parcela]&gt;=D$1) *
  (desp[parcela]&lt;EOMONTH(D$1,0)+1)
)</f>
        <v>0</v>
      </c>
      <c r="E447" s="245" cm="1">
        <f t="array" ref="E447">-SUMPRODUCT(
  desp[data.vencimento] *
  (desp[classificacao]=$B$289) *
  (desp[centro.negocio]=$B447) *
  (desp[parcela]&gt;=E$1) *
  (desp[parcela]&lt;EOMONTH(E$1,0)+1)
)</f>
        <v>0</v>
      </c>
      <c r="F447" s="245" cm="1">
        <f t="array" ref="F447">-SUMPRODUCT(
  desp[data.vencimento] *
  (desp[classificacao]=$B$289) *
  (desp[centro.negocio]=$B447) *
  (desp[parcela]&gt;=F$1) *
  (desp[parcela]&lt;EOMONTH(F$1,0)+1)
)</f>
        <v>0</v>
      </c>
      <c r="G447" s="245" cm="1">
        <f t="array" ref="G447">-SUMPRODUCT(
  desp[data.vencimento] *
  (desp[classificacao]=$B$289) *
  (desp[centro.negocio]=$B447) *
  (desp[parcela]&gt;=G$1) *
  (desp[parcela]&lt;EOMONTH(G$1,0)+1)
)</f>
        <v>0</v>
      </c>
      <c r="H447" s="245" cm="1">
        <f t="array" ref="H447">-SUMPRODUCT(
  desp[data.vencimento] *
  (desp[classificacao]=$B$289) *
  (desp[centro.negocio]=$B447) *
  (desp[parcela]&gt;=H$1) *
  (desp[parcela]&lt;EOMONTH(H$1,0)+1)
)</f>
        <v>0</v>
      </c>
      <c r="I447" s="245" cm="1">
        <f t="array" ref="I447">-SUMPRODUCT(
  desp[data.vencimento] *
  (desp[classificacao]=$B$289) *
  (desp[centro.negocio]=$B447) *
  (desp[parcela]&gt;=I$1) *
  (desp[parcela]&lt;EOMONTH(I$1,0)+1)
)</f>
        <v>0</v>
      </c>
      <c r="J447" s="245" cm="1">
        <f t="array" ref="J447">-SUMPRODUCT(
  desp[data.vencimento] *
  (desp[classificacao]=$B$289) *
  (desp[centro.negocio]=$B447) *
  (desp[parcela]&gt;=J$1) *
  (desp[parcela]&lt;EOMONTH(J$1,0)+1)
)</f>
        <v>0</v>
      </c>
      <c r="K447" s="245" cm="1">
        <f t="array" ref="K447">-SUMPRODUCT(
  desp[data.vencimento] *
  (desp[classificacao]=$B$289) *
  (desp[centro.negocio]=$B447) *
  (desp[parcela]&gt;=K$1) *
  (desp[parcela]&lt;EOMONTH(K$1,0)+1)
)</f>
        <v>0</v>
      </c>
      <c r="L447" s="245" cm="1">
        <f t="array" ref="L447">-SUMPRODUCT(
  desp[data.vencimento] *
  (desp[classificacao]=$B$289) *
  (desp[centro.negocio]=$B447) *
  (desp[parcela]&gt;=L$1) *
  (desp[parcela]&lt;EOMONTH(L$1,0)+1)
)</f>
        <v>0</v>
      </c>
      <c r="M447" s="245" cm="1">
        <f t="array" ref="M447">-SUMPRODUCT(
  desp[data.vencimento] *
  (desp[classificacao]=$B$289) *
  (desp[centro.negocio]=$B447) *
  (desp[parcela]&gt;=M$1) *
  (desp[parcela]&lt;EOMONTH(M$1,0)+1)
)</f>
        <v>0</v>
      </c>
      <c r="N447" s="245" cm="1">
        <f t="array" ref="N447">-SUMPRODUCT(
  desp[data.vencimento] *
  (desp[classificacao]=$B$289) *
  (desp[centro.negocio]=$B447) *
  (desp[parcela]&gt;=N$1) *
  (desp[parcela]&lt;EOMONTH(N$1,0)+1)
)</f>
        <v>0</v>
      </c>
      <c r="O447" s="245" cm="1">
        <f t="array" ref="O447">-SUMPRODUCT(
  desp[data.vencimento] *
  (desp[classificacao]=$B$289) *
  (desp[centro.negocio]=$B447) *
  (desp[parcela]&gt;=O$1) *
  (desp[parcela]&lt;EOMONTH(O$1,0)+1)
)</f>
        <v>0</v>
      </c>
      <c r="P447" s="245" cm="1">
        <f t="array" ref="P447">-SUMPRODUCT(
  desp[data.vencimento] *
  (desp[classificacao]=$B$289) *
  (desp[centro.negocio]=$B447) *
  (desp[parcela]&gt;=P$1) *
  (desp[parcela]&lt;EOMONTH(P$1,0)+1)
)</f>
        <v>0</v>
      </c>
      <c r="Q447" s="245" cm="1">
        <f t="array" ref="Q447">-SUMPRODUCT(
  desp[data.vencimento] *
  (desp[classificacao]=$B$289) *
  (desp[centro.negocio]=$B447) *
  (desp[parcela]&gt;=Q$1) *
  (desp[parcela]&lt;EOMONTH(Q$1,0)+1)
)</f>
        <v>0</v>
      </c>
      <c r="R447" s="245" cm="1">
        <f t="array" ref="R447">-SUMPRODUCT(
  desp[data.vencimento] *
  (desp[classificacao]=$B$289) *
  (desp[centro.negocio]=$B447) *
  (desp[parcela]&gt;=R$1) *
  (desp[parcela]&lt;EOMONTH(R$1,0)+1)
)</f>
        <v>0</v>
      </c>
    </row>
    <row r="448" spans="1:18" outlineLevel="1" x14ac:dyDescent="0.25">
      <c r="A448" s="243" t="s">
        <v>565</v>
      </c>
      <c r="B448" s="243" t="s">
        <v>398</v>
      </c>
      <c r="C448" s="244" t="s">
        <v>522</v>
      </c>
      <c r="D448" s="245" cm="1">
        <f t="array" ref="D448">-SUMPRODUCT(
  desp[data.vencimento] *
  (desp[classificacao]=$B$289) *
  (desp[centro.negocio]=$B448) *
  (desp[parcela]&gt;=D$1) *
  (desp[parcela]&lt;EOMONTH(D$1,0)+1)
)</f>
        <v>0</v>
      </c>
      <c r="E448" s="245" cm="1">
        <f t="array" ref="E448">-SUMPRODUCT(
  desp[data.vencimento] *
  (desp[classificacao]=$B$289) *
  (desp[centro.negocio]=$B448) *
  (desp[parcela]&gt;=E$1) *
  (desp[parcela]&lt;EOMONTH(E$1,0)+1)
)</f>
        <v>0</v>
      </c>
      <c r="F448" s="245" cm="1">
        <f t="array" ref="F448">-SUMPRODUCT(
  desp[data.vencimento] *
  (desp[classificacao]=$B$289) *
  (desp[centro.negocio]=$B448) *
  (desp[parcela]&gt;=F$1) *
  (desp[parcela]&lt;EOMONTH(F$1,0)+1)
)</f>
        <v>0</v>
      </c>
      <c r="G448" s="245" cm="1">
        <f t="array" ref="G448">-SUMPRODUCT(
  desp[data.vencimento] *
  (desp[classificacao]=$B$289) *
  (desp[centro.negocio]=$B448) *
  (desp[parcela]&gt;=G$1) *
  (desp[parcela]&lt;EOMONTH(G$1,0)+1)
)</f>
        <v>0</v>
      </c>
      <c r="H448" s="245" cm="1">
        <f t="array" ref="H448">-SUMPRODUCT(
  desp[data.vencimento] *
  (desp[classificacao]=$B$289) *
  (desp[centro.negocio]=$B448) *
  (desp[parcela]&gt;=H$1) *
  (desp[parcela]&lt;EOMONTH(H$1,0)+1)
)</f>
        <v>0</v>
      </c>
      <c r="I448" s="245" cm="1">
        <f t="array" ref="I448">-SUMPRODUCT(
  desp[data.vencimento] *
  (desp[classificacao]=$B$289) *
  (desp[centro.negocio]=$B448) *
  (desp[parcela]&gt;=I$1) *
  (desp[parcela]&lt;EOMONTH(I$1,0)+1)
)</f>
        <v>0</v>
      </c>
      <c r="J448" s="245" cm="1">
        <f t="array" ref="J448">-SUMPRODUCT(
  desp[data.vencimento] *
  (desp[classificacao]=$B$289) *
  (desp[centro.negocio]=$B448) *
  (desp[parcela]&gt;=J$1) *
  (desp[parcela]&lt;EOMONTH(J$1,0)+1)
)</f>
        <v>0</v>
      </c>
      <c r="K448" s="245" cm="1">
        <f t="array" ref="K448">-SUMPRODUCT(
  desp[data.vencimento] *
  (desp[classificacao]=$B$289) *
  (desp[centro.negocio]=$B448) *
  (desp[parcela]&gt;=K$1) *
  (desp[parcela]&lt;EOMONTH(K$1,0)+1)
)</f>
        <v>0</v>
      </c>
      <c r="L448" s="245" cm="1">
        <f t="array" ref="L448">-SUMPRODUCT(
  desp[data.vencimento] *
  (desp[classificacao]=$B$289) *
  (desp[centro.negocio]=$B448) *
  (desp[parcela]&gt;=L$1) *
  (desp[parcela]&lt;EOMONTH(L$1,0)+1)
)</f>
        <v>0</v>
      </c>
      <c r="M448" s="245" cm="1">
        <f t="array" ref="M448">-SUMPRODUCT(
  desp[data.vencimento] *
  (desp[classificacao]=$B$289) *
  (desp[centro.negocio]=$B448) *
  (desp[parcela]&gt;=M$1) *
  (desp[parcela]&lt;EOMONTH(M$1,0)+1)
)</f>
        <v>0</v>
      </c>
      <c r="N448" s="245" cm="1">
        <f t="array" ref="N448">-SUMPRODUCT(
  desp[data.vencimento] *
  (desp[classificacao]=$B$289) *
  (desp[centro.negocio]=$B448) *
  (desp[parcela]&gt;=N$1) *
  (desp[parcela]&lt;EOMONTH(N$1,0)+1)
)</f>
        <v>0</v>
      </c>
      <c r="O448" s="245" cm="1">
        <f t="array" ref="O448">-SUMPRODUCT(
  desp[data.vencimento] *
  (desp[classificacao]=$B$289) *
  (desp[centro.negocio]=$B448) *
  (desp[parcela]&gt;=O$1) *
  (desp[parcela]&lt;EOMONTH(O$1,0)+1)
)</f>
        <v>0</v>
      </c>
      <c r="P448" s="245" cm="1">
        <f t="array" ref="P448">-SUMPRODUCT(
  desp[data.vencimento] *
  (desp[classificacao]=$B$289) *
  (desp[centro.negocio]=$B448) *
  (desp[parcela]&gt;=P$1) *
  (desp[parcela]&lt;EOMONTH(P$1,0)+1)
)</f>
        <v>0</v>
      </c>
      <c r="Q448" s="245" cm="1">
        <f t="array" ref="Q448">-SUMPRODUCT(
  desp[data.vencimento] *
  (desp[classificacao]=$B$289) *
  (desp[centro.negocio]=$B448) *
  (desp[parcela]&gt;=Q$1) *
  (desp[parcela]&lt;EOMONTH(Q$1,0)+1)
)</f>
        <v>0</v>
      </c>
      <c r="R448" s="245" cm="1">
        <f t="array" ref="R448">-SUMPRODUCT(
  desp[data.vencimento] *
  (desp[classificacao]=$B$289) *
  (desp[centro.negocio]=$B448) *
  (desp[parcela]&gt;=R$1) *
  (desp[parcela]&lt;EOMONTH(R$1,0)+1)
)</f>
        <v>0</v>
      </c>
    </row>
    <row r="449" spans="1:18" outlineLevel="1" x14ac:dyDescent="0.25">
      <c r="A449" s="243" t="s">
        <v>573</v>
      </c>
      <c r="B449" s="243" t="s">
        <v>356</v>
      </c>
      <c r="C449" s="244" t="s">
        <v>522</v>
      </c>
      <c r="D449" s="245" cm="1">
        <f t="array" ref="D449">-SUMPRODUCT(
  desp[data.vencimento] *
  (desp[classificacao]=$B$289) *
  (desp[centro.negocio]=$B449) *
  (desp[parcela]&gt;=D$1) *
  (desp[parcela]&lt;EOMONTH(D$1,0)+1)
)</f>
        <v>0</v>
      </c>
      <c r="E449" s="245" cm="1">
        <f t="array" ref="E449">-SUMPRODUCT(
  desp[data.vencimento] *
  (desp[classificacao]=$B$289) *
  (desp[centro.negocio]=$B449) *
  (desp[parcela]&gt;=E$1) *
  (desp[parcela]&lt;EOMONTH(E$1,0)+1)
)</f>
        <v>0</v>
      </c>
      <c r="F449" s="245" cm="1">
        <f t="array" ref="F449">-SUMPRODUCT(
  desp[data.vencimento] *
  (desp[classificacao]=$B$289) *
  (desp[centro.negocio]=$B449) *
  (desp[parcela]&gt;=F$1) *
  (desp[parcela]&lt;EOMONTH(F$1,0)+1)
)</f>
        <v>0</v>
      </c>
      <c r="G449" s="245" cm="1">
        <f t="array" ref="G449">-SUMPRODUCT(
  desp[data.vencimento] *
  (desp[classificacao]=$B$289) *
  (desp[centro.negocio]=$B449) *
  (desp[parcela]&gt;=G$1) *
  (desp[parcela]&lt;EOMONTH(G$1,0)+1)
)</f>
        <v>0</v>
      </c>
      <c r="H449" s="245" cm="1">
        <f t="array" ref="H449">-SUMPRODUCT(
  desp[data.vencimento] *
  (desp[classificacao]=$B$289) *
  (desp[centro.negocio]=$B449) *
  (desp[parcela]&gt;=H$1) *
  (desp[parcela]&lt;EOMONTH(H$1,0)+1)
)</f>
        <v>0</v>
      </c>
      <c r="I449" s="245" cm="1">
        <f t="array" ref="I449">-SUMPRODUCT(
  desp[data.vencimento] *
  (desp[classificacao]=$B$289) *
  (desp[centro.negocio]=$B449) *
  (desp[parcela]&gt;=I$1) *
  (desp[parcela]&lt;EOMONTH(I$1,0)+1)
)</f>
        <v>0</v>
      </c>
      <c r="J449" s="245" cm="1">
        <f t="array" ref="J449">-SUMPRODUCT(
  desp[data.vencimento] *
  (desp[classificacao]=$B$289) *
  (desp[centro.negocio]=$B449) *
  (desp[parcela]&gt;=J$1) *
  (desp[parcela]&lt;EOMONTH(J$1,0)+1)
)</f>
        <v>0</v>
      </c>
      <c r="K449" s="245" cm="1">
        <f t="array" ref="K449">-SUMPRODUCT(
  desp[data.vencimento] *
  (desp[classificacao]=$B$289) *
  (desp[centro.negocio]=$B449) *
  (desp[parcela]&gt;=K$1) *
  (desp[parcela]&lt;EOMONTH(K$1,0)+1)
)</f>
        <v>0</v>
      </c>
      <c r="L449" s="245" cm="1">
        <f t="array" ref="L449">-SUMPRODUCT(
  desp[data.vencimento] *
  (desp[classificacao]=$B$289) *
  (desp[centro.negocio]=$B449) *
  (desp[parcela]&gt;=L$1) *
  (desp[parcela]&lt;EOMONTH(L$1,0)+1)
)</f>
        <v>0</v>
      </c>
      <c r="M449" s="245" cm="1">
        <f t="array" ref="M449">-SUMPRODUCT(
  desp[data.vencimento] *
  (desp[classificacao]=$B$289) *
  (desp[centro.negocio]=$B449) *
  (desp[parcela]&gt;=M$1) *
  (desp[parcela]&lt;EOMONTH(M$1,0)+1)
)</f>
        <v>0</v>
      </c>
      <c r="N449" s="245" cm="1">
        <f t="array" ref="N449">-SUMPRODUCT(
  desp[data.vencimento] *
  (desp[classificacao]=$B$289) *
  (desp[centro.negocio]=$B449) *
  (desp[parcela]&gt;=N$1) *
  (desp[parcela]&lt;EOMONTH(N$1,0)+1)
)</f>
        <v>0</v>
      </c>
      <c r="O449" s="245" cm="1">
        <f t="array" ref="O449">-SUMPRODUCT(
  desp[data.vencimento] *
  (desp[classificacao]=$B$289) *
  (desp[centro.negocio]=$B449) *
  (desp[parcela]&gt;=O$1) *
  (desp[parcela]&lt;EOMONTH(O$1,0)+1)
)</f>
        <v>0</v>
      </c>
      <c r="P449" s="245" cm="1">
        <f t="array" ref="P449">-SUMPRODUCT(
  desp[data.vencimento] *
  (desp[classificacao]=$B$289) *
  (desp[centro.negocio]=$B449) *
  (desp[parcela]&gt;=P$1) *
  (desp[parcela]&lt;EOMONTH(P$1,0)+1)
)</f>
        <v>0</v>
      </c>
      <c r="Q449" s="245" cm="1">
        <f t="array" ref="Q449">-SUMPRODUCT(
  desp[data.vencimento] *
  (desp[classificacao]=$B$289) *
  (desp[centro.negocio]=$B449) *
  (desp[parcela]&gt;=Q$1) *
  (desp[parcela]&lt;EOMONTH(Q$1,0)+1)
)</f>
        <v>0</v>
      </c>
      <c r="R449" s="245" cm="1">
        <f t="array" ref="R449">-SUMPRODUCT(
  desp[data.vencimento] *
  (desp[classificacao]=$B$289) *
  (desp[centro.negocio]=$B449) *
  (desp[parcela]&gt;=R$1) *
  (desp[parcela]&lt;EOMONTH(R$1,0)+1)
)</f>
        <v>0</v>
      </c>
    </row>
    <row r="450" spans="1:18" outlineLevel="1" x14ac:dyDescent="0.25">
      <c r="A450" s="243" t="s">
        <v>589</v>
      </c>
      <c r="B450" s="243" t="s">
        <v>343</v>
      </c>
      <c r="C450" s="244" t="s">
        <v>522</v>
      </c>
      <c r="D450" s="245" cm="1">
        <f t="array" ref="D450">-SUMPRODUCT(
  desp[data.vencimento] *
  (desp[classificacao]=$B$289) *
  (desp[centro.negocio]=$B450) *
  (desp[parcela]&gt;=D$1) *
  (desp[parcela]&lt;EOMONTH(D$1,0)+1)
)</f>
        <v>0</v>
      </c>
      <c r="E450" s="245" cm="1">
        <f t="array" ref="E450">-SUMPRODUCT(
  desp[data.vencimento] *
  (desp[classificacao]=$B$289) *
  (desp[centro.negocio]=$B450) *
  (desp[parcela]&gt;=E$1) *
  (desp[parcela]&lt;EOMONTH(E$1,0)+1)
)</f>
        <v>0</v>
      </c>
      <c r="F450" s="245" cm="1">
        <f t="array" ref="F450">-SUMPRODUCT(
  desp[data.vencimento] *
  (desp[classificacao]=$B$289) *
  (desp[centro.negocio]=$B450) *
  (desp[parcela]&gt;=F$1) *
  (desp[parcela]&lt;EOMONTH(F$1,0)+1)
)</f>
        <v>0</v>
      </c>
      <c r="G450" s="245" cm="1">
        <f t="array" ref="G450">-SUMPRODUCT(
  desp[data.vencimento] *
  (desp[classificacao]=$B$289) *
  (desp[centro.negocio]=$B450) *
  (desp[parcela]&gt;=G$1) *
  (desp[parcela]&lt;EOMONTH(G$1,0)+1)
)</f>
        <v>0</v>
      </c>
      <c r="H450" s="245" cm="1">
        <f t="array" ref="H450">-SUMPRODUCT(
  desp[data.vencimento] *
  (desp[classificacao]=$B$289) *
  (desp[centro.negocio]=$B450) *
  (desp[parcela]&gt;=H$1) *
  (desp[parcela]&lt;EOMONTH(H$1,0)+1)
)</f>
        <v>0</v>
      </c>
      <c r="I450" s="245" cm="1">
        <f t="array" ref="I450">-SUMPRODUCT(
  desp[data.vencimento] *
  (desp[classificacao]=$B$289) *
  (desp[centro.negocio]=$B450) *
  (desp[parcela]&gt;=I$1) *
  (desp[parcela]&lt;EOMONTH(I$1,0)+1)
)</f>
        <v>0</v>
      </c>
      <c r="J450" s="245" cm="1">
        <f t="array" ref="J450">-SUMPRODUCT(
  desp[data.vencimento] *
  (desp[classificacao]=$B$289) *
  (desp[centro.negocio]=$B450) *
  (desp[parcela]&gt;=J$1) *
  (desp[parcela]&lt;EOMONTH(J$1,0)+1)
)</f>
        <v>0</v>
      </c>
      <c r="K450" s="245" cm="1">
        <f t="array" ref="K450">-SUMPRODUCT(
  desp[data.vencimento] *
  (desp[classificacao]=$B$289) *
  (desp[centro.negocio]=$B450) *
  (desp[parcela]&gt;=K$1) *
  (desp[parcela]&lt;EOMONTH(K$1,0)+1)
)</f>
        <v>0</v>
      </c>
      <c r="L450" s="245" cm="1">
        <f t="array" ref="L450">-SUMPRODUCT(
  desp[data.vencimento] *
  (desp[classificacao]=$B$289) *
  (desp[centro.negocio]=$B450) *
  (desp[parcela]&gt;=L$1) *
  (desp[parcela]&lt;EOMONTH(L$1,0)+1)
)</f>
        <v>0</v>
      </c>
      <c r="M450" s="245" cm="1">
        <f t="array" ref="M450">-SUMPRODUCT(
  desp[data.vencimento] *
  (desp[classificacao]=$B$289) *
  (desp[centro.negocio]=$B450) *
  (desp[parcela]&gt;=M$1) *
  (desp[parcela]&lt;EOMONTH(M$1,0)+1)
)</f>
        <v>0</v>
      </c>
      <c r="N450" s="245" cm="1">
        <f t="array" ref="N450">-SUMPRODUCT(
  desp[data.vencimento] *
  (desp[classificacao]=$B$289) *
  (desp[centro.negocio]=$B450) *
  (desp[parcela]&gt;=N$1) *
  (desp[parcela]&lt;EOMONTH(N$1,0)+1)
)</f>
        <v>0</v>
      </c>
      <c r="O450" s="245" cm="1">
        <f t="array" ref="O450">-SUMPRODUCT(
  desp[data.vencimento] *
  (desp[classificacao]=$B$289) *
  (desp[centro.negocio]=$B450) *
  (desp[parcela]&gt;=O$1) *
  (desp[parcela]&lt;EOMONTH(O$1,0)+1)
)</f>
        <v>0</v>
      </c>
      <c r="P450" s="245" cm="1">
        <f t="array" ref="P450">-SUMPRODUCT(
  desp[data.vencimento] *
  (desp[classificacao]=$B$289) *
  (desp[centro.negocio]=$B450) *
  (desp[parcela]&gt;=P$1) *
  (desp[parcela]&lt;EOMONTH(P$1,0)+1)
)</f>
        <v>0</v>
      </c>
      <c r="Q450" s="245" cm="1">
        <f t="array" ref="Q450">-SUMPRODUCT(
  desp[data.vencimento] *
  (desp[classificacao]=$B$289) *
  (desp[centro.negocio]=$B450) *
  (desp[parcela]&gt;=Q$1) *
  (desp[parcela]&lt;EOMONTH(Q$1,0)+1)
)</f>
        <v>0</v>
      </c>
      <c r="R450" s="245" cm="1">
        <f t="array" ref="R450">-SUMPRODUCT(
  desp[data.vencimento] *
  (desp[classificacao]=$B$289) *
  (desp[centro.negocio]=$B450) *
  (desp[parcela]&gt;=R$1) *
  (desp[parcela]&lt;EOMONTH(R$1,0)+1)
)</f>
        <v>0</v>
      </c>
    </row>
    <row r="451" spans="1:18" outlineLevel="1" x14ac:dyDescent="0.25">
      <c r="A451" s="243" t="s">
        <v>591</v>
      </c>
      <c r="B451" s="243" t="s">
        <v>380</v>
      </c>
      <c r="C451" s="244" t="s">
        <v>522</v>
      </c>
      <c r="D451" s="245" cm="1">
        <f t="array" ref="D451">-SUMPRODUCT(
  desp[data.vencimento] *
  (desp[classificacao]=$B$289) *
  (desp[centro.negocio]=$B451) *
  (desp[parcela]&gt;=D$1) *
  (desp[parcela]&lt;EOMONTH(D$1,0)+1)
)</f>
        <v>0</v>
      </c>
      <c r="E451" s="245" cm="1">
        <f t="array" ref="E451">-SUMPRODUCT(
  desp[data.vencimento] *
  (desp[classificacao]=$B$289) *
  (desp[centro.negocio]=$B451) *
  (desp[parcela]&gt;=E$1) *
  (desp[parcela]&lt;EOMONTH(E$1,0)+1)
)</f>
        <v>0</v>
      </c>
      <c r="F451" s="245" cm="1">
        <f t="array" ref="F451">-SUMPRODUCT(
  desp[data.vencimento] *
  (desp[classificacao]=$B$289) *
  (desp[centro.negocio]=$B451) *
  (desp[parcela]&gt;=F$1) *
  (desp[parcela]&lt;EOMONTH(F$1,0)+1)
)</f>
        <v>0</v>
      </c>
      <c r="G451" s="245" cm="1">
        <f t="array" ref="G451">-SUMPRODUCT(
  desp[data.vencimento] *
  (desp[classificacao]=$B$289) *
  (desp[centro.negocio]=$B451) *
  (desp[parcela]&gt;=G$1) *
  (desp[parcela]&lt;EOMONTH(G$1,0)+1)
)</f>
        <v>0</v>
      </c>
      <c r="H451" s="245" cm="1">
        <f t="array" ref="H451">-SUMPRODUCT(
  desp[data.vencimento] *
  (desp[classificacao]=$B$289) *
  (desp[centro.negocio]=$B451) *
  (desp[parcela]&gt;=H$1) *
  (desp[parcela]&lt;EOMONTH(H$1,0)+1)
)</f>
        <v>0</v>
      </c>
      <c r="I451" s="245" cm="1">
        <f t="array" ref="I451">-SUMPRODUCT(
  desp[data.vencimento] *
  (desp[classificacao]=$B$289) *
  (desp[centro.negocio]=$B451) *
  (desp[parcela]&gt;=I$1) *
  (desp[parcela]&lt;EOMONTH(I$1,0)+1)
)</f>
        <v>0</v>
      </c>
      <c r="J451" s="245" cm="1">
        <f t="array" ref="J451">-SUMPRODUCT(
  desp[data.vencimento] *
  (desp[classificacao]=$B$289) *
  (desp[centro.negocio]=$B451) *
  (desp[parcela]&gt;=J$1) *
  (desp[parcela]&lt;EOMONTH(J$1,0)+1)
)</f>
        <v>0</v>
      </c>
      <c r="K451" s="245" cm="1">
        <f t="array" ref="K451">-SUMPRODUCT(
  desp[data.vencimento] *
  (desp[classificacao]=$B$289) *
  (desp[centro.negocio]=$B451) *
  (desp[parcela]&gt;=K$1) *
  (desp[parcela]&lt;EOMONTH(K$1,0)+1)
)</f>
        <v>0</v>
      </c>
      <c r="L451" s="245" cm="1">
        <f t="array" ref="L451">-SUMPRODUCT(
  desp[data.vencimento] *
  (desp[classificacao]=$B$289) *
  (desp[centro.negocio]=$B451) *
  (desp[parcela]&gt;=L$1) *
  (desp[parcela]&lt;EOMONTH(L$1,0)+1)
)</f>
        <v>0</v>
      </c>
      <c r="M451" s="245" cm="1">
        <f t="array" ref="M451">-SUMPRODUCT(
  desp[data.vencimento] *
  (desp[classificacao]=$B$289) *
  (desp[centro.negocio]=$B451) *
  (desp[parcela]&gt;=M$1) *
  (desp[parcela]&lt;EOMONTH(M$1,0)+1)
)</f>
        <v>0</v>
      </c>
      <c r="N451" s="245" cm="1">
        <f t="array" ref="N451">-SUMPRODUCT(
  desp[data.vencimento] *
  (desp[classificacao]=$B$289) *
  (desp[centro.negocio]=$B451) *
  (desp[parcela]&gt;=N$1) *
  (desp[parcela]&lt;EOMONTH(N$1,0)+1)
)</f>
        <v>0</v>
      </c>
      <c r="O451" s="245" cm="1">
        <f t="array" ref="O451">-SUMPRODUCT(
  desp[data.vencimento] *
  (desp[classificacao]=$B$289) *
  (desp[centro.negocio]=$B451) *
  (desp[parcela]&gt;=O$1) *
  (desp[parcela]&lt;EOMONTH(O$1,0)+1)
)</f>
        <v>0</v>
      </c>
      <c r="P451" s="245" cm="1">
        <f t="array" ref="P451">-SUMPRODUCT(
  desp[data.vencimento] *
  (desp[classificacao]=$B$289) *
  (desp[centro.negocio]=$B451) *
  (desp[parcela]&gt;=P$1) *
  (desp[parcela]&lt;EOMONTH(P$1,0)+1)
)</f>
        <v>0</v>
      </c>
      <c r="Q451" s="245" cm="1">
        <f t="array" ref="Q451">-SUMPRODUCT(
  desp[data.vencimento] *
  (desp[classificacao]=$B$289) *
  (desp[centro.negocio]=$B451) *
  (desp[parcela]&gt;=Q$1) *
  (desp[parcela]&lt;EOMONTH(Q$1,0)+1)
)</f>
        <v>0</v>
      </c>
      <c r="R451" s="245" cm="1">
        <f t="array" ref="R451">-SUMPRODUCT(
  desp[data.vencimento] *
  (desp[classificacao]=$B$289) *
  (desp[centro.negocio]=$B451) *
  (desp[parcela]&gt;=R$1) *
  (desp[parcela]&lt;EOMONTH(R$1,0)+1)
)</f>
        <v>0</v>
      </c>
    </row>
    <row r="452" spans="1:18" outlineLevel="1" x14ac:dyDescent="0.25">
      <c r="A452" s="243" t="s">
        <v>597</v>
      </c>
      <c r="B452" s="243" t="s">
        <v>375</v>
      </c>
      <c r="C452" s="244" t="s">
        <v>522</v>
      </c>
      <c r="D452" s="245" cm="1">
        <f t="array" ref="D452">-SUMPRODUCT(
  desp[data.vencimento] *
  (desp[classificacao]=$B$289) *
  (desp[centro.negocio]=$B452) *
  (desp[parcela]&gt;=D$1) *
  (desp[parcela]&lt;EOMONTH(D$1,0)+1)
)</f>
        <v>0</v>
      </c>
      <c r="E452" s="245" cm="1">
        <f t="array" ref="E452">-SUMPRODUCT(
  desp[data.vencimento] *
  (desp[classificacao]=$B$289) *
  (desp[centro.negocio]=$B452) *
  (desp[parcela]&gt;=E$1) *
  (desp[parcela]&lt;EOMONTH(E$1,0)+1)
)</f>
        <v>0</v>
      </c>
      <c r="F452" s="245" cm="1">
        <f t="array" ref="F452">-SUMPRODUCT(
  desp[data.vencimento] *
  (desp[classificacao]=$B$289) *
  (desp[centro.negocio]=$B452) *
  (desp[parcela]&gt;=F$1) *
  (desp[parcela]&lt;EOMONTH(F$1,0)+1)
)</f>
        <v>0</v>
      </c>
      <c r="G452" s="245" cm="1">
        <f t="array" ref="G452">-SUMPRODUCT(
  desp[data.vencimento] *
  (desp[classificacao]=$B$289) *
  (desp[centro.negocio]=$B452) *
  (desp[parcela]&gt;=G$1) *
  (desp[parcela]&lt;EOMONTH(G$1,0)+1)
)</f>
        <v>0</v>
      </c>
      <c r="H452" s="245" cm="1">
        <f t="array" ref="H452">-SUMPRODUCT(
  desp[data.vencimento] *
  (desp[classificacao]=$B$289) *
  (desp[centro.negocio]=$B452) *
  (desp[parcela]&gt;=H$1) *
  (desp[parcela]&lt;EOMONTH(H$1,0)+1)
)</f>
        <v>0</v>
      </c>
      <c r="I452" s="245" cm="1">
        <f t="array" ref="I452">-SUMPRODUCT(
  desp[data.vencimento] *
  (desp[classificacao]=$B$289) *
  (desp[centro.negocio]=$B452) *
  (desp[parcela]&gt;=I$1) *
  (desp[parcela]&lt;EOMONTH(I$1,0)+1)
)</f>
        <v>0</v>
      </c>
      <c r="J452" s="245" cm="1">
        <f t="array" ref="J452">-SUMPRODUCT(
  desp[data.vencimento] *
  (desp[classificacao]=$B$289) *
  (desp[centro.negocio]=$B452) *
  (desp[parcela]&gt;=J$1) *
  (desp[parcela]&lt;EOMONTH(J$1,0)+1)
)</f>
        <v>0</v>
      </c>
      <c r="K452" s="245" cm="1">
        <f t="array" ref="K452">-SUMPRODUCT(
  desp[data.vencimento] *
  (desp[classificacao]=$B$289) *
  (desp[centro.negocio]=$B452) *
  (desp[parcela]&gt;=K$1) *
  (desp[parcela]&lt;EOMONTH(K$1,0)+1)
)</f>
        <v>0</v>
      </c>
      <c r="L452" s="245" cm="1">
        <f t="array" ref="L452">-SUMPRODUCT(
  desp[data.vencimento] *
  (desp[classificacao]=$B$289) *
  (desp[centro.negocio]=$B452) *
  (desp[parcela]&gt;=L$1) *
  (desp[parcela]&lt;EOMONTH(L$1,0)+1)
)</f>
        <v>0</v>
      </c>
      <c r="M452" s="245" cm="1">
        <f t="array" ref="M452">-SUMPRODUCT(
  desp[data.vencimento] *
  (desp[classificacao]=$B$289) *
  (desp[centro.negocio]=$B452) *
  (desp[parcela]&gt;=M$1) *
  (desp[parcela]&lt;EOMONTH(M$1,0)+1)
)</f>
        <v>0</v>
      </c>
      <c r="N452" s="245" cm="1">
        <f t="array" ref="N452">-SUMPRODUCT(
  desp[data.vencimento] *
  (desp[classificacao]=$B$289) *
  (desp[centro.negocio]=$B452) *
  (desp[parcela]&gt;=N$1) *
  (desp[parcela]&lt;EOMONTH(N$1,0)+1)
)</f>
        <v>0</v>
      </c>
      <c r="O452" s="245" cm="1">
        <f t="array" ref="O452">-SUMPRODUCT(
  desp[data.vencimento] *
  (desp[classificacao]=$B$289) *
  (desp[centro.negocio]=$B452) *
  (desp[parcela]&gt;=O$1) *
  (desp[parcela]&lt;EOMONTH(O$1,0)+1)
)</f>
        <v>0</v>
      </c>
      <c r="P452" s="245" cm="1">
        <f t="array" ref="P452">-SUMPRODUCT(
  desp[data.vencimento] *
  (desp[classificacao]=$B$289) *
  (desp[centro.negocio]=$B452) *
  (desp[parcela]&gt;=P$1) *
  (desp[parcela]&lt;EOMONTH(P$1,0)+1)
)</f>
        <v>0</v>
      </c>
      <c r="Q452" s="245" cm="1">
        <f t="array" ref="Q452">-SUMPRODUCT(
  desp[data.vencimento] *
  (desp[classificacao]=$B$289) *
  (desp[centro.negocio]=$B452) *
  (desp[parcela]&gt;=Q$1) *
  (desp[parcela]&lt;EOMONTH(Q$1,0)+1)
)</f>
        <v>0</v>
      </c>
      <c r="R452" s="245" cm="1">
        <f t="array" ref="R452">-SUMPRODUCT(
  desp[data.vencimento] *
  (desp[classificacao]=$B$289) *
  (desp[centro.negocio]=$B452) *
  (desp[parcela]&gt;=R$1) *
  (desp[parcela]&lt;EOMONTH(R$1,0)+1)
)</f>
        <v>0</v>
      </c>
    </row>
    <row r="453" spans="1:18" outlineLevel="1" x14ac:dyDescent="0.25">
      <c r="A453" s="243" t="s">
        <v>599</v>
      </c>
      <c r="B453" s="243" t="s">
        <v>376</v>
      </c>
      <c r="C453" s="244" t="s">
        <v>522</v>
      </c>
      <c r="D453" s="245" cm="1">
        <f t="array" ref="D453">-SUMPRODUCT(
  desp[data.vencimento] *
  (desp[classificacao]=$B$289) *
  (desp[centro.negocio]=$B453) *
  (desp[parcela]&gt;=D$1) *
  (desp[parcela]&lt;EOMONTH(D$1,0)+1)
)</f>
        <v>0</v>
      </c>
      <c r="E453" s="245" cm="1">
        <f t="array" ref="E453">-SUMPRODUCT(
  desp[data.vencimento] *
  (desp[classificacao]=$B$289) *
  (desp[centro.negocio]=$B453) *
  (desp[parcela]&gt;=E$1) *
  (desp[parcela]&lt;EOMONTH(E$1,0)+1)
)</f>
        <v>0</v>
      </c>
      <c r="F453" s="245" cm="1">
        <f t="array" ref="F453">-SUMPRODUCT(
  desp[data.vencimento] *
  (desp[classificacao]=$B$289) *
  (desp[centro.negocio]=$B453) *
  (desp[parcela]&gt;=F$1) *
  (desp[parcela]&lt;EOMONTH(F$1,0)+1)
)</f>
        <v>0</v>
      </c>
      <c r="G453" s="245" cm="1">
        <f t="array" ref="G453">-SUMPRODUCT(
  desp[data.vencimento] *
  (desp[classificacao]=$B$289) *
  (desp[centro.negocio]=$B453) *
  (desp[parcela]&gt;=G$1) *
  (desp[parcela]&lt;EOMONTH(G$1,0)+1)
)</f>
        <v>0</v>
      </c>
      <c r="H453" s="245" cm="1">
        <f t="array" ref="H453">-SUMPRODUCT(
  desp[data.vencimento] *
  (desp[classificacao]=$B$289) *
  (desp[centro.negocio]=$B453) *
  (desp[parcela]&gt;=H$1) *
  (desp[parcela]&lt;EOMONTH(H$1,0)+1)
)</f>
        <v>0</v>
      </c>
      <c r="I453" s="245" cm="1">
        <f t="array" ref="I453">-SUMPRODUCT(
  desp[data.vencimento] *
  (desp[classificacao]=$B$289) *
  (desp[centro.negocio]=$B453) *
  (desp[parcela]&gt;=I$1) *
  (desp[parcela]&lt;EOMONTH(I$1,0)+1)
)</f>
        <v>0</v>
      </c>
      <c r="J453" s="245" cm="1">
        <f t="array" ref="J453">-SUMPRODUCT(
  desp[data.vencimento] *
  (desp[classificacao]=$B$289) *
  (desp[centro.negocio]=$B453) *
  (desp[parcela]&gt;=J$1) *
  (desp[parcela]&lt;EOMONTH(J$1,0)+1)
)</f>
        <v>0</v>
      </c>
      <c r="K453" s="245" cm="1">
        <f t="array" ref="K453">-SUMPRODUCT(
  desp[data.vencimento] *
  (desp[classificacao]=$B$289) *
  (desp[centro.negocio]=$B453) *
  (desp[parcela]&gt;=K$1) *
  (desp[parcela]&lt;EOMONTH(K$1,0)+1)
)</f>
        <v>0</v>
      </c>
      <c r="L453" s="245" cm="1">
        <f t="array" ref="L453">-SUMPRODUCT(
  desp[data.vencimento] *
  (desp[classificacao]=$B$289) *
  (desp[centro.negocio]=$B453) *
  (desp[parcela]&gt;=L$1) *
  (desp[parcela]&lt;EOMONTH(L$1,0)+1)
)</f>
        <v>0</v>
      </c>
      <c r="M453" s="245" cm="1">
        <f t="array" ref="M453">-SUMPRODUCT(
  desp[data.vencimento] *
  (desp[classificacao]=$B$289) *
  (desp[centro.negocio]=$B453) *
  (desp[parcela]&gt;=M$1) *
  (desp[parcela]&lt;EOMONTH(M$1,0)+1)
)</f>
        <v>0</v>
      </c>
      <c r="N453" s="245" cm="1">
        <f t="array" ref="N453">-SUMPRODUCT(
  desp[data.vencimento] *
  (desp[classificacao]=$B$289) *
  (desp[centro.negocio]=$B453) *
  (desp[parcela]&gt;=N$1) *
  (desp[parcela]&lt;EOMONTH(N$1,0)+1)
)</f>
        <v>0</v>
      </c>
      <c r="O453" s="245" cm="1">
        <f t="array" ref="O453">-SUMPRODUCT(
  desp[data.vencimento] *
  (desp[classificacao]=$B$289) *
  (desp[centro.negocio]=$B453) *
  (desp[parcela]&gt;=O$1) *
  (desp[parcela]&lt;EOMONTH(O$1,0)+1)
)</f>
        <v>0</v>
      </c>
      <c r="P453" s="245" cm="1">
        <f t="array" ref="P453">-SUMPRODUCT(
  desp[data.vencimento] *
  (desp[classificacao]=$B$289) *
  (desp[centro.negocio]=$B453) *
  (desp[parcela]&gt;=P$1) *
  (desp[parcela]&lt;EOMONTH(P$1,0)+1)
)</f>
        <v>0</v>
      </c>
      <c r="Q453" s="245" cm="1">
        <f t="array" ref="Q453">-SUMPRODUCT(
  desp[data.vencimento] *
  (desp[classificacao]=$B$289) *
  (desp[centro.negocio]=$B453) *
  (desp[parcela]&gt;=Q$1) *
  (desp[parcela]&lt;EOMONTH(Q$1,0)+1)
)</f>
        <v>0</v>
      </c>
      <c r="R453" s="245" cm="1">
        <f t="array" ref="R453">-SUMPRODUCT(
  desp[data.vencimento] *
  (desp[classificacao]=$B$289) *
  (desp[centro.negocio]=$B453) *
  (desp[parcela]&gt;=R$1) *
  (desp[parcela]&lt;EOMONTH(R$1,0)+1)
)</f>
        <v>0</v>
      </c>
    </row>
    <row r="454" spans="1:18" outlineLevel="1" x14ac:dyDescent="0.25">
      <c r="A454" s="243" t="s">
        <v>601</v>
      </c>
      <c r="B454" s="243" t="s">
        <v>374</v>
      </c>
      <c r="C454" s="244" t="s">
        <v>522</v>
      </c>
      <c r="D454" s="245" cm="1">
        <f t="array" ref="D454">-SUMPRODUCT(
  desp[data.vencimento] *
  (desp[classificacao]=$B$289) *
  (desp[centro.negocio]=$B454) *
  (desp[parcela]&gt;=D$1) *
  (desp[parcela]&lt;EOMONTH(D$1,0)+1)
)</f>
        <v>0</v>
      </c>
      <c r="E454" s="245" cm="1">
        <f t="array" ref="E454">-SUMPRODUCT(
  desp[data.vencimento] *
  (desp[classificacao]=$B$289) *
  (desp[centro.negocio]=$B454) *
  (desp[parcela]&gt;=E$1) *
  (desp[parcela]&lt;EOMONTH(E$1,0)+1)
)</f>
        <v>0</v>
      </c>
      <c r="F454" s="245" cm="1">
        <f t="array" ref="F454">-SUMPRODUCT(
  desp[data.vencimento] *
  (desp[classificacao]=$B$289) *
  (desp[centro.negocio]=$B454) *
  (desp[parcela]&gt;=F$1) *
  (desp[parcela]&lt;EOMONTH(F$1,0)+1)
)</f>
        <v>0</v>
      </c>
      <c r="G454" s="245" cm="1">
        <f t="array" ref="G454">-SUMPRODUCT(
  desp[data.vencimento] *
  (desp[classificacao]=$B$289) *
  (desp[centro.negocio]=$B454) *
  (desp[parcela]&gt;=G$1) *
  (desp[parcela]&lt;EOMONTH(G$1,0)+1)
)</f>
        <v>0</v>
      </c>
      <c r="H454" s="245" cm="1">
        <f t="array" ref="H454">-SUMPRODUCT(
  desp[data.vencimento] *
  (desp[classificacao]=$B$289) *
  (desp[centro.negocio]=$B454) *
  (desp[parcela]&gt;=H$1) *
  (desp[parcela]&lt;EOMONTH(H$1,0)+1)
)</f>
        <v>0</v>
      </c>
      <c r="I454" s="245" cm="1">
        <f t="array" ref="I454">-SUMPRODUCT(
  desp[data.vencimento] *
  (desp[classificacao]=$B$289) *
  (desp[centro.negocio]=$B454) *
  (desp[parcela]&gt;=I$1) *
  (desp[parcela]&lt;EOMONTH(I$1,0)+1)
)</f>
        <v>0</v>
      </c>
      <c r="J454" s="245" cm="1">
        <f t="array" ref="J454">-SUMPRODUCT(
  desp[data.vencimento] *
  (desp[classificacao]=$B$289) *
  (desp[centro.negocio]=$B454) *
  (desp[parcela]&gt;=J$1) *
  (desp[parcela]&lt;EOMONTH(J$1,0)+1)
)</f>
        <v>0</v>
      </c>
      <c r="K454" s="245" cm="1">
        <f t="array" ref="K454">-SUMPRODUCT(
  desp[data.vencimento] *
  (desp[classificacao]=$B$289) *
  (desp[centro.negocio]=$B454) *
  (desp[parcela]&gt;=K$1) *
  (desp[parcela]&lt;EOMONTH(K$1,0)+1)
)</f>
        <v>0</v>
      </c>
      <c r="L454" s="245" cm="1">
        <f t="array" ref="L454">-SUMPRODUCT(
  desp[data.vencimento] *
  (desp[classificacao]=$B$289) *
  (desp[centro.negocio]=$B454) *
  (desp[parcela]&gt;=L$1) *
  (desp[parcela]&lt;EOMONTH(L$1,0)+1)
)</f>
        <v>0</v>
      </c>
      <c r="M454" s="245" cm="1">
        <f t="array" ref="M454">-SUMPRODUCT(
  desp[data.vencimento] *
  (desp[classificacao]=$B$289) *
  (desp[centro.negocio]=$B454) *
  (desp[parcela]&gt;=M$1) *
  (desp[parcela]&lt;EOMONTH(M$1,0)+1)
)</f>
        <v>0</v>
      </c>
      <c r="N454" s="245" cm="1">
        <f t="array" ref="N454">-SUMPRODUCT(
  desp[data.vencimento] *
  (desp[classificacao]=$B$289) *
  (desp[centro.negocio]=$B454) *
  (desp[parcela]&gt;=N$1) *
  (desp[parcela]&lt;EOMONTH(N$1,0)+1)
)</f>
        <v>0</v>
      </c>
      <c r="O454" s="245" cm="1">
        <f t="array" ref="O454">-SUMPRODUCT(
  desp[data.vencimento] *
  (desp[classificacao]=$B$289) *
  (desp[centro.negocio]=$B454) *
  (desp[parcela]&gt;=O$1) *
  (desp[parcela]&lt;EOMONTH(O$1,0)+1)
)</f>
        <v>0</v>
      </c>
      <c r="P454" s="245" cm="1">
        <f t="array" ref="P454">-SUMPRODUCT(
  desp[data.vencimento] *
  (desp[classificacao]=$B$289) *
  (desp[centro.negocio]=$B454) *
  (desp[parcela]&gt;=P$1) *
  (desp[parcela]&lt;EOMONTH(P$1,0)+1)
)</f>
        <v>0</v>
      </c>
      <c r="Q454" s="245" cm="1">
        <f t="array" ref="Q454">-SUMPRODUCT(
  desp[data.vencimento] *
  (desp[classificacao]=$B$289) *
  (desp[centro.negocio]=$B454) *
  (desp[parcela]&gt;=Q$1) *
  (desp[parcela]&lt;EOMONTH(Q$1,0)+1)
)</f>
        <v>0</v>
      </c>
      <c r="R454" s="245" cm="1">
        <f t="array" ref="R454">-SUMPRODUCT(
  desp[data.vencimento] *
  (desp[classificacao]=$B$289) *
  (desp[centro.negocio]=$B454) *
  (desp[parcela]&gt;=R$1) *
  (desp[parcela]&lt;EOMONTH(R$1,0)+1)
)</f>
        <v>0</v>
      </c>
    </row>
    <row r="455" spans="1:18" outlineLevel="1" x14ac:dyDescent="0.25">
      <c r="A455" s="243" t="s">
        <v>603</v>
      </c>
      <c r="B455" s="243" t="s">
        <v>381</v>
      </c>
      <c r="C455" s="244" t="s">
        <v>522</v>
      </c>
      <c r="D455" s="245" cm="1">
        <f t="array" ref="D455">-SUMPRODUCT(
  desp[data.vencimento] *
  (desp[classificacao]=$B$289) *
  (desp[centro.negocio]=$B455) *
  (desp[parcela]&gt;=D$1) *
  (desp[parcela]&lt;EOMONTH(D$1,0)+1)
)</f>
        <v>0</v>
      </c>
      <c r="E455" s="245" cm="1">
        <f t="array" ref="E455">-SUMPRODUCT(
  desp[data.vencimento] *
  (desp[classificacao]=$B$289) *
  (desp[centro.negocio]=$B455) *
  (desp[parcela]&gt;=E$1) *
  (desp[parcela]&lt;EOMONTH(E$1,0)+1)
)</f>
        <v>0</v>
      </c>
      <c r="F455" s="245" cm="1">
        <f t="array" ref="F455">-SUMPRODUCT(
  desp[data.vencimento] *
  (desp[classificacao]=$B$289) *
  (desp[centro.negocio]=$B455) *
  (desp[parcela]&gt;=F$1) *
  (desp[parcela]&lt;EOMONTH(F$1,0)+1)
)</f>
        <v>0</v>
      </c>
      <c r="G455" s="245" cm="1">
        <f t="array" ref="G455">-SUMPRODUCT(
  desp[data.vencimento] *
  (desp[classificacao]=$B$289) *
  (desp[centro.negocio]=$B455) *
  (desp[parcela]&gt;=G$1) *
  (desp[parcela]&lt;EOMONTH(G$1,0)+1)
)</f>
        <v>0</v>
      </c>
      <c r="H455" s="245" cm="1">
        <f t="array" ref="H455">-SUMPRODUCT(
  desp[data.vencimento] *
  (desp[classificacao]=$B$289) *
  (desp[centro.negocio]=$B455) *
  (desp[parcela]&gt;=H$1) *
  (desp[parcela]&lt;EOMONTH(H$1,0)+1)
)</f>
        <v>0</v>
      </c>
      <c r="I455" s="245" cm="1">
        <f t="array" ref="I455">-SUMPRODUCT(
  desp[data.vencimento] *
  (desp[classificacao]=$B$289) *
  (desp[centro.negocio]=$B455) *
  (desp[parcela]&gt;=I$1) *
  (desp[parcela]&lt;EOMONTH(I$1,0)+1)
)</f>
        <v>0</v>
      </c>
      <c r="J455" s="245" cm="1">
        <f t="array" ref="J455">-SUMPRODUCT(
  desp[data.vencimento] *
  (desp[classificacao]=$B$289) *
  (desp[centro.negocio]=$B455) *
  (desp[parcela]&gt;=J$1) *
  (desp[parcela]&lt;EOMONTH(J$1,0)+1)
)</f>
        <v>0</v>
      </c>
      <c r="K455" s="245" cm="1">
        <f t="array" ref="K455">-SUMPRODUCT(
  desp[data.vencimento] *
  (desp[classificacao]=$B$289) *
  (desp[centro.negocio]=$B455) *
  (desp[parcela]&gt;=K$1) *
  (desp[parcela]&lt;EOMONTH(K$1,0)+1)
)</f>
        <v>0</v>
      </c>
      <c r="L455" s="245" cm="1">
        <f t="array" ref="L455">-SUMPRODUCT(
  desp[data.vencimento] *
  (desp[classificacao]=$B$289) *
  (desp[centro.negocio]=$B455) *
  (desp[parcela]&gt;=L$1) *
  (desp[parcela]&lt;EOMONTH(L$1,0)+1)
)</f>
        <v>0</v>
      </c>
      <c r="M455" s="245" cm="1">
        <f t="array" ref="M455">-SUMPRODUCT(
  desp[data.vencimento] *
  (desp[classificacao]=$B$289) *
  (desp[centro.negocio]=$B455) *
  (desp[parcela]&gt;=M$1) *
  (desp[parcela]&lt;EOMONTH(M$1,0)+1)
)</f>
        <v>0</v>
      </c>
      <c r="N455" s="245" cm="1">
        <f t="array" ref="N455">-SUMPRODUCT(
  desp[data.vencimento] *
  (desp[classificacao]=$B$289) *
  (desp[centro.negocio]=$B455) *
  (desp[parcela]&gt;=N$1) *
  (desp[parcela]&lt;EOMONTH(N$1,0)+1)
)</f>
        <v>0</v>
      </c>
      <c r="O455" s="245" cm="1">
        <f t="array" ref="O455">-SUMPRODUCT(
  desp[data.vencimento] *
  (desp[classificacao]=$B$289) *
  (desp[centro.negocio]=$B455) *
  (desp[parcela]&gt;=O$1) *
  (desp[parcela]&lt;EOMONTH(O$1,0)+1)
)</f>
        <v>0</v>
      </c>
      <c r="P455" s="245" cm="1">
        <f t="array" ref="P455">-SUMPRODUCT(
  desp[data.vencimento] *
  (desp[classificacao]=$B$289) *
  (desp[centro.negocio]=$B455) *
  (desp[parcela]&gt;=P$1) *
  (desp[parcela]&lt;EOMONTH(P$1,0)+1)
)</f>
        <v>0</v>
      </c>
      <c r="Q455" s="245" cm="1">
        <f t="array" ref="Q455">-SUMPRODUCT(
  desp[data.vencimento] *
  (desp[classificacao]=$B$289) *
  (desp[centro.negocio]=$B455) *
  (desp[parcela]&gt;=Q$1) *
  (desp[parcela]&lt;EOMONTH(Q$1,0)+1)
)</f>
        <v>0</v>
      </c>
      <c r="R455" s="245" cm="1">
        <f t="array" ref="R455">-SUMPRODUCT(
  desp[data.vencimento] *
  (desp[classificacao]=$B$289) *
  (desp[centro.negocio]=$B455) *
  (desp[parcela]&gt;=R$1) *
  (desp[parcela]&lt;EOMONTH(R$1,0)+1)
)</f>
        <v>0</v>
      </c>
    </row>
    <row r="456" spans="1:18" outlineLevel="1" x14ac:dyDescent="0.25">
      <c r="A456" s="243" t="s">
        <v>608</v>
      </c>
      <c r="B456" s="243" t="s">
        <v>393</v>
      </c>
      <c r="C456" s="244" t="s">
        <v>522</v>
      </c>
      <c r="D456" s="245" cm="1">
        <f t="array" ref="D456">-SUMPRODUCT(
  desp[data.vencimento] *
  (desp[classificacao]=$B$289) *
  (desp[centro.negocio]=$B456) *
  (desp[parcela]&gt;=D$1) *
  (desp[parcela]&lt;EOMONTH(D$1,0)+1)
)</f>
        <v>0</v>
      </c>
      <c r="E456" s="245" cm="1">
        <f t="array" ref="E456">-SUMPRODUCT(
  desp[data.vencimento] *
  (desp[classificacao]=$B$289) *
  (desp[centro.negocio]=$B456) *
  (desp[parcela]&gt;=E$1) *
  (desp[parcela]&lt;EOMONTH(E$1,0)+1)
)</f>
        <v>0</v>
      </c>
      <c r="F456" s="245" cm="1">
        <f t="array" ref="F456">-SUMPRODUCT(
  desp[data.vencimento] *
  (desp[classificacao]=$B$289) *
  (desp[centro.negocio]=$B456) *
  (desp[parcela]&gt;=F$1) *
  (desp[parcela]&lt;EOMONTH(F$1,0)+1)
)</f>
        <v>0</v>
      </c>
      <c r="G456" s="245" cm="1">
        <f t="array" ref="G456">-SUMPRODUCT(
  desp[data.vencimento] *
  (desp[classificacao]=$B$289) *
  (desp[centro.negocio]=$B456) *
  (desp[parcela]&gt;=G$1) *
  (desp[parcela]&lt;EOMONTH(G$1,0)+1)
)</f>
        <v>0</v>
      </c>
      <c r="H456" s="245" cm="1">
        <f t="array" ref="H456">-SUMPRODUCT(
  desp[data.vencimento] *
  (desp[classificacao]=$B$289) *
  (desp[centro.negocio]=$B456) *
  (desp[parcela]&gt;=H$1) *
  (desp[parcela]&lt;EOMONTH(H$1,0)+1)
)</f>
        <v>0</v>
      </c>
      <c r="I456" s="245" cm="1">
        <f t="array" ref="I456">-SUMPRODUCT(
  desp[data.vencimento] *
  (desp[classificacao]=$B$289) *
  (desp[centro.negocio]=$B456) *
  (desp[parcela]&gt;=I$1) *
  (desp[parcela]&lt;EOMONTH(I$1,0)+1)
)</f>
        <v>0</v>
      </c>
      <c r="J456" s="245" cm="1">
        <f t="array" ref="J456">-SUMPRODUCT(
  desp[data.vencimento] *
  (desp[classificacao]=$B$289) *
  (desp[centro.negocio]=$B456) *
  (desp[parcela]&gt;=J$1) *
  (desp[parcela]&lt;EOMONTH(J$1,0)+1)
)</f>
        <v>0</v>
      </c>
      <c r="K456" s="245" cm="1">
        <f t="array" ref="K456">-SUMPRODUCT(
  desp[data.vencimento] *
  (desp[classificacao]=$B$289) *
  (desp[centro.negocio]=$B456) *
  (desp[parcela]&gt;=K$1) *
  (desp[parcela]&lt;EOMONTH(K$1,0)+1)
)</f>
        <v>0</v>
      </c>
      <c r="L456" s="245" cm="1">
        <f t="array" ref="L456">-SUMPRODUCT(
  desp[data.vencimento] *
  (desp[classificacao]=$B$289) *
  (desp[centro.negocio]=$B456) *
  (desp[parcela]&gt;=L$1) *
  (desp[parcela]&lt;EOMONTH(L$1,0)+1)
)</f>
        <v>0</v>
      </c>
      <c r="M456" s="245" cm="1">
        <f t="array" ref="M456">-SUMPRODUCT(
  desp[data.vencimento] *
  (desp[classificacao]=$B$289) *
  (desp[centro.negocio]=$B456) *
  (desp[parcela]&gt;=M$1) *
  (desp[parcela]&lt;EOMONTH(M$1,0)+1)
)</f>
        <v>0</v>
      </c>
      <c r="N456" s="245" cm="1">
        <f t="array" ref="N456">-SUMPRODUCT(
  desp[data.vencimento] *
  (desp[classificacao]=$B$289) *
  (desp[centro.negocio]=$B456) *
  (desp[parcela]&gt;=N$1) *
  (desp[parcela]&lt;EOMONTH(N$1,0)+1)
)</f>
        <v>0</v>
      </c>
      <c r="O456" s="245" cm="1">
        <f t="array" ref="O456">-SUMPRODUCT(
  desp[data.vencimento] *
  (desp[classificacao]=$B$289) *
  (desp[centro.negocio]=$B456) *
  (desp[parcela]&gt;=O$1) *
  (desp[parcela]&lt;EOMONTH(O$1,0)+1)
)</f>
        <v>0</v>
      </c>
      <c r="P456" s="245" cm="1">
        <f t="array" ref="P456">-SUMPRODUCT(
  desp[data.vencimento] *
  (desp[classificacao]=$B$289) *
  (desp[centro.negocio]=$B456) *
  (desp[parcela]&gt;=P$1) *
  (desp[parcela]&lt;EOMONTH(P$1,0)+1)
)</f>
        <v>0</v>
      </c>
      <c r="Q456" s="245" cm="1">
        <f t="array" ref="Q456">-SUMPRODUCT(
  desp[data.vencimento] *
  (desp[classificacao]=$B$289) *
  (desp[centro.negocio]=$B456) *
  (desp[parcela]&gt;=Q$1) *
  (desp[parcela]&lt;EOMONTH(Q$1,0)+1)
)</f>
        <v>0</v>
      </c>
      <c r="R456" s="245" cm="1">
        <f t="array" ref="R456">-SUMPRODUCT(
  desp[data.vencimento] *
  (desp[classificacao]=$B$289) *
  (desp[centro.negocio]=$B456) *
  (desp[parcela]&gt;=R$1) *
  (desp[parcela]&lt;EOMONTH(R$1,0)+1)
)</f>
        <v>0</v>
      </c>
    </row>
    <row r="457" spans="1:18" outlineLevel="1" x14ac:dyDescent="0.25">
      <c r="A457" s="243" t="s">
        <v>622</v>
      </c>
      <c r="B457" s="243" t="s">
        <v>346</v>
      </c>
      <c r="C457" s="244" t="s">
        <v>522</v>
      </c>
      <c r="D457" s="245" cm="1">
        <f t="array" ref="D457">-SUMPRODUCT(
  desp[data.vencimento] *
  (desp[classificacao]=$B$289) *
  (desp[centro.negocio]=$B457) *
  (desp[parcela]&gt;=D$1) *
  (desp[parcela]&lt;EOMONTH(D$1,0)+1)
)</f>
        <v>0</v>
      </c>
      <c r="E457" s="245" cm="1">
        <f t="array" ref="E457">-SUMPRODUCT(
  desp[data.vencimento] *
  (desp[classificacao]=$B$289) *
  (desp[centro.negocio]=$B457) *
  (desp[parcela]&gt;=E$1) *
  (desp[parcela]&lt;EOMONTH(E$1,0)+1)
)</f>
        <v>0</v>
      </c>
      <c r="F457" s="245" cm="1">
        <f t="array" ref="F457">-SUMPRODUCT(
  desp[data.vencimento] *
  (desp[classificacao]=$B$289) *
  (desp[centro.negocio]=$B457) *
  (desp[parcela]&gt;=F$1) *
  (desp[parcela]&lt;EOMONTH(F$1,0)+1)
)</f>
        <v>0</v>
      </c>
      <c r="G457" s="245" cm="1">
        <f t="array" ref="G457">-SUMPRODUCT(
  desp[data.vencimento] *
  (desp[classificacao]=$B$289) *
  (desp[centro.negocio]=$B457) *
  (desp[parcela]&gt;=G$1) *
  (desp[parcela]&lt;EOMONTH(G$1,0)+1)
)</f>
        <v>0</v>
      </c>
      <c r="H457" s="245" cm="1">
        <f t="array" ref="H457">-SUMPRODUCT(
  desp[data.vencimento] *
  (desp[classificacao]=$B$289) *
  (desp[centro.negocio]=$B457) *
  (desp[parcela]&gt;=H$1) *
  (desp[parcela]&lt;EOMONTH(H$1,0)+1)
)</f>
        <v>0</v>
      </c>
      <c r="I457" s="245" cm="1">
        <f t="array" ref="I457">-SUMPRODUCT(
  desp[data.vencimento] *
  (desp[classificacao]=$B$289) *
  (desp[centro.negocio]=$B457) *
  (desp[parcela]&gt;=I$1) *
  (desp[parcela]&lt;EOMONTH(I$1,0)+1)
)</f>
        <v>0</v>
      </c>
      <c r="J457" s="245" cm="1">
        <f t="array" ref="J457">-SUMPRODUCT(
  desp[data.vencimento] *
  (desp[classificacao]=$B$289) *
  (desp[centro.negocio]=$B457) *
  (desp[parcela]&gt;=J$1) *
  (desp[parcela]&lt;EOMONTH(J$1,0)+1)
)</f>
        <v>0</v>
      </c>
      <c r="K457" s="245" cm="1">
        <f t="array" ref="K457">-SUMPRODUCT(
  desp[data.vencimento] *
  (desp[classificacao]=$B$289) *
  (desp[centro.negocio]=$B457) *
  (desp[parcela]&gt;=K$1) *
  (desp[parcela]&lt;EOMONTH(K$1,0)+1)
)</f>
        <v>0</v>
      </c>
      <c r="L457" s="245" cm="1">
        <f t="array" ref="L457">-SUMPRODUCT(
  desp[data.vencimento] *
  (desp[classificacao]=$B$289) *
  (desp[centro.negocio]=$B457) *
  (desp[parcela]&gt;=L$1) *
  (desp[parcela]&lt;EOMONTH(L$1,0)+1)
)</f>
        <v>0</v>
      </c>
      <c r="M457" s="245" cm="1">
        <f t="array" ref="M457">-SUMPRODUCT(
  desp[data.vencimento] *
  (desp[classificacao]=$B$289) *
  (desp[centro.negocio]=$B457) *
  (desp[parcela]&gt;=M$1) *
  (desp[parcela]&lt;EOMONTH(M$1,0)+1)
)</f>
        <v>0</v>
      </c>
      <c r="N457" s="245" cm="1">
        <f t="array" ref="N457">-SUMPRODUCT(
  desp[data.vencimento] *
  (desp[classificacao]=$B$289) *
  (desp[centro.negocio]=$B457) *
  (desp[parcela]&gt;=N$1) *
  (desp[parcela]&lt;EOMONTH(N$1,0)+1)
)</f>
        <v>0</v>
      </c>
      <c r="O457" s="245" cm="1">
        <f t="array" ref="O457">-SUMPRODUCT(
  desp[data.vencimento] *
  (desp[classificacao]=$B$289) *
  (desp[centro.negocio]=$B457) *
  (desp[parcela]&gt;=O$1) *
  (desp[parcela]&lt;EOMONTH(O$1,0)+1)
)</f>
        <v>0</v>
      </c>
      <c r="P457" s="245" cm="1">
        <f t="array" ref="P457">-SUMPRODUCT(
  desp[data.vencimento] *
  (desp[classificacao]=$B$289) *
  (desp[centro.negocio]=$B457) *
  (desp[parcela]&gt;=P$1) *
  (desp[parcela]&lt;EOMONTH(P$1,0)+1)
)</f>
        <v>0</v>
      </c>
      <c r="Q457" s="245" cm="1">
        <f t="array" ref="Q457">-SUMPRODUCT(
  desp[data.vencimento] *
  (desp[classificacao]=$B$289) *
  (desp[centro.negocio]=$B457) *
  (desp[parcela]&gt;=Q$1) *
  (desp[parcela]&lt;EOMONTH(Q$1,0)+1)
)</f>
        <v>0</v>
      </c>
      <c r="R457" s="245" cm="1">
        <f t="array" ref="R457">-SUMPRODUCT(
  desp[data.vencimento] *
  (desp[classificacao]=$B$289) *
  (desp[centro.negocio]=$B457) *
  (desp[parcela]&gt;=R$1) *
  (desp[parcela]&lt;EOMONTH(R$1,0)+1)
)</f>
        <v>0</v>
      </c>
    </row>
    <row r="458" spans="1:18" outlineLevel="1" x14ac:dyDescent="0.25">
      <c r="A458" s="243" t="s">
        <v>656</v>
      </c>
      <c r="B458" s="243" t="s">
        <v>390</v>
      </c>
      <c r="C458" s="244" t="s">
        <v>522</v>
      </c>
      <c r="D458" s="245" cm="1">
        <f t="array" ref="D458">-SUMPRODUCT(
  desp[data.vencimento] *
  (desp[classificacao]=$B$289) *
  (desp[centro.negocio]=$B458) *
  (desp[parcela]&gt;=D$1) *
  (desp[parcela]&lt;EOMONTH(D$1,0)+1)
)</f>
        <v>0</v>
      </c>
      <c r="E458" s="245" cm="1">
        <f t="array" ref="E458">-SUMPRODUCT(
  desp[data.vencimento] *
  (desp[classificacao]=$B$289) *
  (desp[centro.negocio]=$B458) *
  (desp[parcela]&gt;=E$1) *
  (desp[parcela]&lt;EOMONTH(E$1,0)+1)
)</f>
        <v>0</v>
      </c>
      <c r="F458" s="245" cm="1">
        <f t="array" ref="F458">-SUMPRODUCT(
  desp[data.vencimento] *
  (desp[classificacao]=$B$289) *
  (desp[centro.negocio]=$B458) *
  (desp[parcela]&gt;=F$1) *
  (desp[parcela]&lt;EOMONTH(F$1,0)+1)
)</f>
        <v>0</v>
      </c>
      <c r="G458" s="245" cm="1">
        <f t="array" ref="G458">-SUMPRODUCT(
  desp[data.vencimento] *
  (desp[classificacao]=$B$289) *
  (desp[centro.negocio]=$B458) *
  (desp[parcela]&gt;=G$1) *
  (desp[parcela]&lt;EOMONTH(G$1,0)+1)
)</f>
        <v>0</v>
      </c>
      <c r="H458" s="245" cm="1">
        <f t="array" ref="H458">-SUMPRODUCT(
  desp[data.vencimento] *
  (desp[classificacao]=$B$289) *
  (desp[centro.negocio]=$B458) *
  (desp[parcela]&gt;=H$1) *
  (desp[parcela]&lt;EOMONTH(H$1,0)+1)
)</f>
        <v>0</v>
      </c>
      <c r="I458" s="245" cm="1">
        <f t="array" ref="I458">-SUMPRODUCT(
  desp[data.vencimento] *
  (desp[classificacao]=$B$289) *
  (desp[centro.negocio]=$B458) *
  (desp[parcela]&gt;=I$1) *
  (desp[parcela]&lt;EOMONTH(I$1,0)+1)
)</f>
        <v>0</v>
      </c>
      <c r="J458" s="245" cm="1">
        <f t="array" ref="J458">-SUMPRODUCT(
  desp[data.vencimento] *
  (desp[classificacao]=$B$289) *
  (desp[centro.negocio]=$B458) *
  (desp[parcela]&gt;=J$1) *
  (desp[parcela]&lt;EOMONTH(J$1,0)+1)
)</f>
        <v>0</v>
      </c>
      <c r="K458" s="245" cm="1">
        <f t="array" ref="K458">-SUMPRODUCT(
  desp[data.vencimento] *
  (desp[classificacao]=$B$289) *
  (desp[centro.negocio]=$B458) *
  (desp[parcela]&gt;=K$1) *
  (desp[parcela]&lt;EOMONTH(K$1,0)+1)
)</f>
        <v>0</v>
      </c>
      <c r="L458" s="245" cm="1">
        <f t="array" ref="L458">-SUMPRODUCT(
  desp[data.vencimento] *
  (desp[classificacao]=$B$289) *
  (desp[centro.negocio]=$B458) *
  (desp[parcela]&gt;=L$1) *
  (desp[parcela]&lt;EOMONTH(L$1,0)+1)
)</f>
        <v>0</v>
      </c>
      <c r="M458" s="245" cm="1">
        <f t="array" ref="M458">-SUMPRODUCT(
  desp[data.vencimento] *
  (desp[classificacao]=$B$289) *
  (desp[centro.negocio]=$B458) *
  (desp[parcela]&gt;=M$1) *
  (desp[parcela]&lt;EOMONTH(M$1,0)+1)
)</f>
        <v>0</v>
      </c>
      <c r="N458" s="245" cm="1">
        <f t="array" ref="N458">-SUMPRODUCT(
  desp[data.vencimento] *
  (desp[classificacao]=$B$289) *
  (desp[centro.negocio]=$B458) *
  (desp[parcela]&gt;=N$1) *
  (desp[parcela]&lt;EOMONTH(N$1,0)+1)
)</f>
        <v>0</v>
      </c>
      <c r="O458" s="245" cm="1">
        <f t="array" ref="O458">-SUMPRODUCT(
  desp[data.vencimento] *
  (desp[classificacao]=$B$289) *
  (desp[centro.negocio]=$B458) *
  (desp[parcela]&gt;=O$1) *
  (desp[parcela]&lt;EOMONTH(O$1,0)+1)
)</f>
        <v>0</v>
      </c>
      <c r="P458" s="245" cm="1">
        <f t="array" ref="P458">-SUMPRODUCT(
  desp[data.vencimento] *
  (desp[classificacao]=$B$289) *
  (desp[centro.negocio]=$B458) *
  (desp[parcela]&gt;=P$1) *
  (desp[parcela]&lt;EOMONTH(P$1,0)+1)
)</f>
        <v>0</v>
      </c>
      <c r="Q458" s="245" cm="1">
        <f t="array" ref="Q458">-SUMPRODUCT(
  desp[data.vencimento] *
  (desp[classificacao]=$B$289) *
  (desp[centro.negocio]=$B458) *
  (desp[parcela]&gt;=Q$1) *
  (desp[parcela]&lt;EOMONTH(Q$1,0)+1)
)</f>
        <v>0</v>
      </c>
      <c r="R458" s="245" cm="1">
        <f t="array" ref="R458">-SUMPRODUCT(
  desp[data.vencimento] *
  (desp[classificacao]=$B$289) *
  (desp[centro.negocio]=$B458) *
  (desp[parcela]&gt;=R$1) *
  (desp[parcela]&lt;EOMONTH(R$1,0)+1)
)</f>
        <v>0</v>
      </c>
    </row>
    <row r="459" spans="1:18" outlineLevel="1" x14ac:dyDescent="0.25">
      <c r="A459" s="243" t="s">
        <v>669</v>
      </c>
      <c r="B459" s="243" t="s">
        <v>385</v>
      </c>
      <c r="C459" s="244" t="s">
        <v>522</v>
      </c>
      <c r="D459" s="245" cm="1">
        <f t="array" ref="D459">-SUMPRODUCT(
  desp[data.vencimento] *
  (desp[classificacao]=$B$289) *
  (desp[centro.negocio]=$B459) *
  (desp[parcela]&gt;=D$1) *
  (desp[parcela]&lt;EOMONTH(D$1,0)+1)
)</f>
        <v>0</v>
      </c>
      <c r="E459" s="245" cm="1">
        <f t="array" ref="E459">-SUMPRODUCT(
  desp[data.vencimento] *
  (desp[classificacao]=$B$289) *
  (desp[centro.negocio]=$B459) *
  (desp[parcela]&gt;=E$1) *
  (desp[parcela]&lt;EOMONTH(E$1,0)+1)
)</f>
        <v>0</v>
      </c>
      <c r="F459" s="245" cm="1">
        <f t="array" ref="F459">-SUMPRODUCT(
  desp[data.vencimento] *
  (desp[classificacao]=$B$289) *
  (desp[centro.negocio]=$B459) *
  (desp[parcela]&gt;=F$1) *
  (desp[parcela]&lt;EOMONTH(F$1,0)+1)
)</f>
        <v>0</v>
      </c>
      <c r="G459" s="245" cm="1">
        <f t="array" ref="G459">-SUMPRODUCT(
  desp[data.vencimento] *
  (desp[classificacao]=$B$289) *
  (desp[centro.negocio]=$B459) *
  (desp[parcela]&gt;=G$1) *
  (desp[parcela]&lt;EOMONTH(G$1,0)+1)
)</f>
        <v>0</v>
      </c>
      <c r="H459" s="245" cm="1">
        <f t="array" ref="H459">-SUMPRODUCT(
  desp[data.vencimento] *
  (desp[classificacao]=$B$289) *
  (desp[centro.negocio]=$B459) *
  (desp[parcela]&gt;=H$1) *
  (desp[parcela]&lt;EOMONTH(H$1,0)+1)
)</f>
        <v>0</v>
      </c>
      <c r="I459" s="245" cm="1">
        <f t="array" ref="I459">-SUMPRODUCT(
  desp[data.vencimento] *
  (desp[classificacao]=$B$289) *
  (desp[centro.negocio]=$B459) *
  (desp[parcela]&gt;=I$1) *
  (desp[parcela]&lt;EOMONTH(I$1,0)+1)
)</f>
        <v>0</v>
      </c>
      <c r="J459" s="245" cm="1">
        <f t="array" ref="J459">-SUMPRODUCT(
  desp[data.vencimento] *
  (desp[classificacao]=$B$289) *
  (desp[centro.negocio]=$B459) *
  (desp[parcela]&gt;=J$1) *
  (desp[parcela]&lt;EOMONTH(J$1,0)+1)
)</f>
        <v>0</v>
      </c>
      <c r="K459" s="245" cm="1">
        <f t="array" ref="K459">-SUMPRODUCT(
  desp[data.vencimento] *
  (desp[classificacao]=$B$289) *
  (desp[centro.negocio]=$B459) *
  (desp[parcela]&gt;=K$1) *
  (desp[parcela]&lt;EOMONTH(K$1,0)+1)
)</f>
        <v>0</v>
      </c>
      <c r="L459" s="245" cm="1">
        <f t="array" ref="L459">-SUMPRODUCT(
  desp[data.vencimento] *
  (desp[classificacao]=$B$289) *
  (desp[centro.negocio]=$B459) *
  (desp[parcela]&gt;=L$1) *
  (desp[parcela]&lt;EOMONTH(L$1,0)+1)
)</f>
        <v>0</v>
      </c>
      <c r="M459" s="245" cm="1">
        <f t="array" ref="M459">-SUMPRODUCT(
  desp[data.vencimento] *
  (desp[classificacao]=$B$289) *
  (desp[centro.negocio]=$B459) *
  (desp[parcela]&gt;=M$1) *
  (desp[parcela]&lt;EOMONTH(M$1,0)+1)
)</f>
        <v>0</v>
      </c>
      <c r="N459" s="245" cm="1">
        <f t="array" ref="N459">-SUMPRODUCT(
  desp[data.vencimento] *
  (desp[classificacao]=$B$289) *
  (desp[centro.negocio]=$B459) *
  (desp[parcela]&gt;=N$1) *
  (desp[parcela]&lt;EOMONTH(N$1,0)+1)
)</f>
        <v>0</v>
      </c>
      <c r="O459" s="245" cm="1">
        <f t="array" ref="O459">-SUMPRODUCT(
  desp[data.vencimento] *
  (desp[classificacao]=$B$289) *
  (desp[centro.negocio]=$B459) *
  (desp[parcela]&gt;=O$1) *
  (desp[parcela]&lt;EOMONTH(O$1,0)+1)
)</f>
        <v>0</v>
      </c>
      <c r="P459" s="245" cm="1">
        <f t="array" ref="P459">-SUMPRODUCT(
  desp[data.vencimento] *
  (desp[classificacao]=$B$289) *
  (desp[centro.negocio]=$B459) *
  (desp[parcela]&gt;=P$1) *
  (desp[parcela]&lt;EOMONTH(P$1,0)+1)
)</f>
        <v>0</v>
      </c>
      <c r="Q459" s="245" cm="1">
        <f t="array" ref="Q459">-SUMPRODUCT(
  desp[data.vencimento] *
  (desp[classificacao]=$B$289) *
  (desp[centro.negocio]=$B459) *
  (desp[parcela]&gt;=Q$1) *
  (desp[parcela]&lt;EOMONTH(Q$1,0)+1)
)</f>
        <v>0</v>
      </c>
      <c r="R459" s="245" cm="1">
        <f t="array" ref="R459">-SUMPRODUCT(
  desp[data.vencimento] *
  (desp[classificacao]=$B$289) *
  (desp[centro.negocio]=$B459) *
  (desp[parcela]&gt;=R$1) *
  (desp[parcela]&lt;EOMONTH(R$1,0)+1)
)</f>
        <v>0</v>
      </c>
    </row>
    <row r="460" spans="1:18" outlineLevel="1" x14ac:dyDescent="0.25">
      <c r="A460" s="243" t="s">
        <v>674</v>
      </c>
      <c r="B460" s="243" t="s">
        <v>361</v>
      </c>
      <c r="C460" s="244" t="s">
        <v>522</v>
      </c>
      <c r="D460" s="245" cm="1">
        <f t="array" ref="D460">-SUMPRODUCT(
  desp[data.vencimento] *
  (desp[classificacao]=$B$289) *
  (desp[centro.negocio]=$B460) *
  (desp[parcela]&gt;=D$1) *
  (desp[parcela]&lt;EOMONTH(D$1,0)+1)
)</f>
        <v>0</v>
      </c>
      <c r="E460" s="245" cm="1">
        <f t="array" ref="E460">-SUMPRODUCT(
  desp[data.vencimento] *
  (desp[classificacao]=$B$289) *
  (desp[centro.negocio]=$B460) *
  (desp[parcela]&gt;=E$1) *
  (desp[parcela]&lt;EOMONTH(E$1,0)+1)
)</f>
        <v>0</v>
      </c>
      <c r="F460" s="245" cm="1">
        <f t="array" ref="F460">-SUMPRODUCT(
  desp[data.vencimento] *
  (desp[classificacao]=$B$289) *
  (desp[centro.negocio]=$B460) *
  (desp[parcela]&gt;=F$1) *
  (desp[parcela]&lt;EOMONTH(F$1,0)+1)
)</f>
        <v>0</v>
      </c>
      <c r="G460" s="245" cm="1">
        <f t="array" ref="G460">-SUMPRODUCT(
  desp[data.vencimento] *
  (desp[classificacao]=$B$289) *
  (desp[centro.negocio]=$B460) *
  (desp[parcela]&gt;=G$1) *
  (desp[parcela]&lt;EOMONTH(G$1,0)+1)
)</f>
        <v>0</v>
      </c>
      <c r="H460" s="245" cm="1">
        <f t="array" ref="H460">-SUMPRODUCT(
  desp[data.vencimento] *
  (desp[classificacao]=$B$289) *
  (desp[centro.negocio]=$B460) *
  (desp[parcela]&gt;=H$1) *
  (desp[parcela]&lt;EOMONTH(H$1,0)+1)
)</f>
        <v>0</v>
      </c>
      <c r="I460" s="245" cm="1">
        <f t="array" ref="I460">-SUMPRODUCT(
  desp[data.vencimento] *
  (desp[classificacao]=$B$289) *
  (desp[centro.negocio]=$B460) *
  (desp[parcela]&gt;=I$1) *
  (desp[parcela]&lt;EOMONTH(I$1,0)+1)
)</f>
        <v>0</v>
      </c>
      <c r="J460" s="245" cm="1">
        <f t="array" ref="J460">-SUMPRODUCT(
  desp[data.vencimento] *
  (desp[classificacao]=$B$289) *
  (desp[centro.negocio]=$B460) *
  (desp[parcela]&gt;=J$1) *
  (desp[parcela]&lt;EOMONTH(J$1,0)+1)
)</f>
        <v>0</v>
      </c>
      <c r="K460" s="245" cm="1">
        <f t="array" ref="K460">-SUMPRODUCT(
  desp[data.vencimento] *
  (desp[classificacao]=$B$289) *
  (desp[centro.negocio]=$B460) *
  (desp[parcela]&gt;=K$1) *
  (desp[parcela]&lt;EOMONTH(K$1,0)+1)
)</f>
        <v>0</v>
      </c>
      <c r="L460" s="245" cm="1">
        <f t="array" ref="L460">-SUMPRODUCT(
  desp[data.vencimento] *
  (desp[classificacao]=$B$289) *
  (desp[centro.negocio]=$B460) *
  (desp[parcela]&gt;=L$1) *
  (desp[parcela]&lt;EOMONTH(L$1,0)+1)
)</f>
        <v>0</v>
      </c>
      <c r="M460" s="245" cm="1">
        <f t="array" ref="M460">-SUMPRODUCT(
  desp[data.vencimento] *
  (desp[classificacao]=$B$289) *
  (desp[centro.negocio]=$B460) *
  (desp[parcela]&gt;=M$1) *
  (desp[parcela]&lt;EOMONTH(M$1,0)+1)
)</f>
        <v>0</v>
      </c>
      <c r="N460" s="245" cm="1">
        <f t="array" ref="N460">-SUMPRODUCT(
  desp[data.vencimento] *
  (desp[classificacao]=$B$289) *
  (desp[centro.negocio]=$B460) *
  (desp[parcela]&gt;=N$1) *
  (desp[parcela]&lt;EOMONTH(N$1,0)+1)
)</f>
        <v>0</v>
      </c>
      <c r="O460" s="245" cm="1">
        <f t="array" ref="O460">-SUMPRODUCT(
  desp[data.vencimento] *
  (desp[classificacao]=$B$289) *
  (desp[centro.negocio]=$B460) *
  (desp[parcela]&gt;=O$1) *
  (desp[parcela]&lt;EOMONTH(O$1,0)+1)
)</f>
        <v>0</v>
      </c>
      <c r="P460" s="245" cm="1">
        <f t="array" ref="P460">-SUMPRODUCT(
  desp[data.vencimento] *
  (desp[classificacao]=$B$289) *
  (desp[centro.negocio]=$B460) *
  (desp[parcela]&gt;=P$1) *
  (desp[parcela]&lt;EOMONTH(P$1,0)+1)
)</f>
        <v>0</v>
      </c>
      <c r="Q460" s="245" cm="1">
        <f t="array" ref="Q460">-SUMPRODUCT(
  desp[data.vencimento] *
  (desp[classificacao]=$B$289) *
  (desp[centro.negocio]=$B460) *
  (desp[parcela]&gt;=Q$1) *
  (desp[parcela]&lt;EOMONTH(Q$1,0)+1)
)</f>
        <v>0</v>
      </c>
      <c r="R460" s="245" cm="1">
        <f t="array" ref="R460">-SUMPRODUCT(
  desp[data.vencimento] *
  (desp[classificacao]=$B$289) *
  (desp[centro.negocio]=$B460) *
  (desp[parcela]&gt;=R$1) *
  (desp[parcela]&lt;EOMONTH(R$1,0)+1)
)</f>
        <v>0</v>
      </c>
    </row>
    <row r="461" spans="1:18" outlineLevel="1" x14ac:dyDescent="0.25">
      <c r="A461" s="243" t="s">
        <v>677</v>
      </c>
      <c r="B461" s="243" t="s">
        <v>377</v>
      </c>
      <c r="C461" s="244" t="s">
        <v>522</v>
      </c>
      <c r="D461" s="245" cm="1">
        <f t="array" ref="D461">-SUMPRODUCT(
  desp[data.vencimento] *
  (desp[classificacao]=$B$289) *
  (desp[centro.negocio]=$B461) *
  (desp[parcela]&gt;=D$1) *
  (desp[parcela]&lt;EOMONTH(D$1,0)+1)
)</f>
        <v>0</v>
      </c>
      <c r="E461" s="245" cm="1">
        <f t="array" ref="E461">-SUMPRODUCT(
  desp[data.vencimento] *
  (desp[classificacao]=$B$289) *
  (desp[centro.negocio]=$B461) *
  (desp[parcela]&gt;=E$1) *
  (desp[parcela]&lt;EOMONTH(E$1,0)+1)
)</f>
        <v>0</v>
      </c>
      <c r="F461" s="245" cm="1">
        <f t="array" ref="F461">-SUMPRODUCT(
  desp[data.vencimento] *
  (desp[classificacao]=$B$289) *
  (desp[centro.negocio]=$B461) *
  (desp[parcela]&gt;=F$1) *
  (desp[parcela]&lt;EOMONTH(F$1,0)+1)
)</f>
        <v>0</v>
      </c>
      <c r="G461" s="245" cm="1">
        <f t="array" ref="G461">-SUMPRODUCT(
  desp[data.vencimento] *
  (desp[classificacao]=$B$289) *
  (desp[centro.negocio]=$B461) *
  (desp[parcela]&gt;=G$1) *
  (desp[parcela]&lt;EOMONTH(G$1,0)+1)
)</f>
        <v>0</v>
      </c>
      <c r="H461" s="245" cm="1">
        <f t="array" ref="H461">-SUMPRODUCT(
  desp[data.vencimento] *
  (desp[classificacao]=$B$289) *
  (desp[centro.negocio]=$B461) *
  (desp[parcela]&gt;=H$1) *
  (desp[parcela]&lt;EOMONTH(H$1,0)+1)
)</f>
        <v>0</v>
      </c>
      <c r="I461" s="245" cm="1">
        <f t="array" ref="I461">-SUMPRODUCT(
  desp[data.vencimento] *
  (desp[classificacao]=$B$289) *
  (desp[centro.negocio]=$B461) *
  (desp[parcela]&gt;=I$1) *
  (desp[parcela]&lt;EOMONTH(I$1,0)+1)
)</f>
        <v>0</v>
      </c>
      <c r="J461" s="245" cm="1">
        <f t="array" ref="J461">-SUMPRODUCT(
  desp[data.vencimento] *
  (desp[classificacao]=$B$289) *
  (desp[centro.negocio]=$B461) *
  (desp[parcela]&gt;=J$1) *
  (desp[parcela]&lt;EOMONTH(J$1,0)+1)
)</f>
        <v>0</v>
      </c>
      <c r="K461" s="245" cm="1">
        <f t="array" ref="K461">-SUMPRODUCT(
  desp[data.vencimento] *
  (desp[classificacao]=$B$289) *
  (desp[centro.negocio]=$B461) *
  (desp[parcela]&gt;=K$1) *
  (desp[parcela]&lt;EOMONTH(K$1,0)+1)
)</f>
        <v>0</v>
      </c>
      <c r="L461" s="245" cm="1">
        <f t="array" ref="L461">-SUMPRODUCT(
  desp[data.vencimento] *
  (desp[classificacao]=$B$289) *
  (desp[centro.negocio]=$B461) *
  (desp[parcela]&gt;=L$1) *
  (desp[parcela]&lt;EOMONTH(L$1,0)+1)
)</f>
        <v>0</v>
      </c>
      <c r="M461" s="245" cm="1">
        <f t="array" ref="M461">-SUMPRODUCT(
  desp[data.vencimento] *
  (desp[classificacao]=$B$289) *
  (desp[centro.negocio]=$B461) *
  (desp[parcela]&gt;=M$1) *
  (desp[parcela]&lt;EOMONTH(M$1,0)+1)
)</f>
        <v>0</v>
      </c>
      <c r="N461" s="245" cm="1">
        <f t="array" ref="N461">-SUMPRODUCT(
  desp[data.vencimento] *
  (desp[classificacao]=$B$289) *
  (desp[centro.negocio]=$B461) *
  (desp[parcela]&gt;=N$1) *
  (desp[parcela]&lt;EOMONTH(N$1,0)+1)
)</f>
        <v>0</v>
      </c>
      <c r="O461" s="245" cm="1">
        <f t="array" ref="O461">-SUMPRODUCT(
  desp[data.vencimento] *
  (desp[classificacao]=$B$289) *
  (desp[centro.negocio]=$B461) *
  (desp[parcela]&gt;=O$1) *
  (desp[parcela]&lt;EOMONTH(O$1,0)+1)
)</f>
        <v>0</v>
      </c>
      <c r="P461" s="245" cm="1">
        <f t="array" ref="P461">-SUMPRODUCT(
  desp[data.vencimento] *
  (desp[classificacao]=$B$289) *
  (desp[centro.negocio]=$B461) *
  (desp[parcela]&gt;=P$1) *
  (desp[parcela]&lt;EOMONTH(P$1,0)+1)
)</f>
        <v>0</v>
      </c>
      <c r="Q461" s="245" cm="1">
        <f t="array" ref="Q461">-SUMPRODUCT(
  desp[data.vencimento] *
  (desp[classificacao]=$B$289) *
  (desp[centro.negocio]=$B461) *
  (desp[parcela]&gt;=Q$1) *
  (desp[parcela]&lt;EOMONTH(Q$1,0)+1)
)</f>
        <v>0</v>
      </c>
      <c r="R461" s="245" cm="1">
        <f t="array" ref="R461">-SUMPRODUCT(
  desp[data.vencimento] *
  (desp[classificacao]=$B$289) *
  (desp[centro.negocio]=$B461) *
  (desp[parcela]&gt;=R$1) *
  (desp[parcela]&lt;EOMONTH(R$1,0)+1)
)</f>
        <v>0</v>
      </c>
    </row>
    <row r="462" spans="1:18" outlineLevel="1" x14ac:dyDescent="0.25">
      <c r="A462" s="243" t="s">
        <v>679</v>
      </c>
      <c r="B462" s="243" t="s">
        <v>403</v>
      </c>
      <c r="C462" s="244" t="s">
        <v>522</v>
      </c>
      <c r="D462" s="245" cm="1">
        <f t="array" ref="D462">-SUMPRODUCT(
  desp[data.vencimento] *
  (desp[classificacao]=$B$289) *
  (desp[centro.negocio]=$B462) *
  (desp[parcela]&gt;=D$1) *
  (desp[parcela]&lt;EOMONTH(D$1,0)+1)
)</f>
        <v>0</v>
      </c>
      <c r="E462" s="245" cm="1">
        <f t="array" ref="E462">-SUMPRODUCT(
  desp[data.vencimento] *
  (desp[classificacao]=$B$289) *
  (desp[centro.negocio]=$B462) *
  (desp[parcela]&gt;=E$1) *
  (desp[parcela]&lt;EOMONTH(E$1,0)+1)
)</f>
        <v>0</v>
      </c>
      <c r="F462" s="245" cm="1">
        <f t="array" ref="F462">-SUMPRODUCT(
  desp[data.vencimento] *
  (desp[classificacao]=$B$289) *
  (desp[centro.negocio]=$B462) *
  (desp[parcela]&gt;=F$1) *
  (desp[parcela]&lt;EOMONTH(F$1,0)+1)
)</f>
        <v>0</v>
      </c>
      <c r="G462" s="245" cm="1">
        <f t="array" ref="G462">-SUMPRODUCT(
  desp[data.vencimento] *
  (desp[classificacao]=$B$289) *
  (desp[centro.negocio]=$B462) *
  (desp[parcela]&gt;=G$1) *
  (desp[parcela]&lt;EOMONTH(G$1,0)+1)
)</f>
        <v>0</v>
      </c>
      <c r="H462" s="245" cm="1">
        <f t="array" ref="H462">-SUMPRODUCT(
  desp[data.vencimento] *
  (desp[classificacao]=$B$289) *
  (desp[centro.negocio]=$B462) *
  (desp[parcela]&gt;=H$1) *
  (desp[parcela]&lt;EOMONTH(H$1,0)+1)
)</f>
        <v>0</v>
      </c>
      <c r="I462" s="245" cm="1">
        <f t="array" ref="I462">-SUMPRODUCT(
  desp[data.vencimento] *
  (desp[classificacao]=$B$289) *
  (desp[centro.negocio]=$B462) *
  (desp[parcela]&gt;=I$1) *
  (desp[parcela]&lt;EOMONTH(I$1,0)+1)
)</f>
        <v>0</v>
      </c>
      <c r="J462" s="245" cm="1">
        <f t="array" ref="J462">-SUMPRODUCT(
  desp[data.vencimento] *
  (desp[classificacao]=$B$289) *
  (desp[centro.negocio]=$B462) *
  (desp[parcela]&gt;=J$1) *
  (desp[parcela]&lt;EOMONTH(J$1,0)+1)
)</f>
        <v>0</v>
      </c>
      <c r="K462" s="245" cm="1">
        <f t="array" ref="K462">-SUMPRODUCT(
  desp[data.vencimento] *
  (desp[classificacao]=$B$289) *
  (desp[centro.negocio]=$B462) *
  (desp[parcela]&gt;=K$1) *
  (desp[parcela]&lt;EOMONTH(K$1,0)+1)
)</f>
        <v>0</v>
      </c>
      <c r="L462" s="245" cm="1">
        <f t="array" ref="L462">-SUMPRODUCT(
  desp[data.vencimento] *
  (desp[classificacao]=$B$289) *
  (desp[centro.negocio]=$B462) *
  (desp[parcela]&gt;=L$1) *
  (desp[parcela]&lt;EOMONTH(L$1,0)+1)
)</f>
        <v>0</v>
      </c>
      <c r="M462" s="245" cm="1">
        <f t="array" ref="M462">-SUMPRODUCT(
  desp[data.vencimento] *
  (desp[classificacao]=$B$289) *
  (desp[centro.negocio]=$B462) *
  (desp[parcela]&gt;=M$1) *
  (desp[parcela]&lt;EOMONTH(M$1,0)+1)
)</f>
        <v>0</v>
      </c>
      <c r="N462" s="245" cm="1">
        <f t="array" ref="N462">-SUMPRODUCT(
  desp[data.vencimento] *
  (desp[classificacao]=$B$289) *
  (desp[centro.negocio]=$B462) *
  (desp[parcela]&gt;=N$1) *
  (desp[parcela]&lt;EOMONTH(N$1,0)+1)
)</f>
        <v>0</v>
      </c>
      <c r="O462" s="245" cm="1">
        <f t="array" ref="O462">-SUMPRODUCT(
  desp[data.vencimento] *
  (desp[classificacao]=$B$289) *
  (desp[centro.negocio]=$B462) *
  (desp[parcela]&gt;=O$1) *
  (desp[parcela]&lt;EOMONTH(O$1,0)+1)
)</f>
        <v>0</v>
      </c>
      <c r="P462" s="245" cm="1">
        <f t="array" ref="P462">-SUMPRODUCT(
  desp[data.vencimento] *
  (desp[classificacao]=$B$289) *
  (desp[centro.negocio]=$B462) *
  (desp[parcela]&gt;=P$1) *
  (desp[parcela]&lt;EOMONTH(P$1,0)+1)
)</f>
        <v>0</v>
      </c>
      <c r="Q462" s="245" cm="1">
        <f t="array" ref="Q462">-SUMPRODUCT(
  desp[data.vencimento] *
  (desp[classificacao]=$B$289) *
  (desp[centro.negocio]=$B462) *
  (desp[parcela]&gt;=Q$1) *
  (desp[parcela]&lt;EOMONTH(Q$1,0)+1)
)</f>
        <v>0</v>
      </c>
      <c r="R462" s="245" cm="1">
        <f t="array" ref="R462">-SUMPRODUCT(
  desp[data.vencimento] *
  (desp[classificacao]=$B$289) *
  (desp[centro.negocio]=$B462) *
  (desp[parcela]&gt;=R$1) *
  (desp[parcela]&lt;EOMONTH(R$1,0)+1)
)</f>
        <v>0</v>
      </c>
    </row>
    <row r="463" spans="1:18" outlineLevel="1" x14ac:dyDescent="0.25">
      <c r="A463" s="243" t="s">
        <v>690</v>
      </c>
      <c r="B463" s="243" t="s">
        <v>378</v>
      </c>
      <c r="C463" s="244" t="s">
        <v>522</v>
      </c>
      <c r="D463" s="245" cm="1">
        <f t="array" ref="D463">-SUMPRODUCT(
  desp[data.vencimento] *
  (desp[classificacao]=$B$289) *
  (desp[centro.negocio]=$B463) *
  (desp[parcela]&gt;=D$1) *
  (desp[parcela]&lt;EOMONTH(D$1,0)+1)
)</f>
        <v>0</v>
      </c>
      <c r="E463" s="245" cm="1">
        <f t="array" ref="E463">-SUMPRODUCT(
  desp[data.vencimento] *
  (desp[classificacao]=$B$289) *
  (desp[centro.negocio]=$B463) *
  (desp[parcela]&gt;=E$1) *
  (desp[parcela]&lt;EOMONTH(E$1,0)+1)
)</f>
        <v>0</v>
      </c>
      <c r="F463" s="245" cm="1">
        <f t="array" ref="F463">-SUMPRODUCT(
  desp[data.vencimento] *
  (desp[classificacao]=$B$289) *
  (desp[centro.negocio]=$B463) *
  (desp[parcela]&gt;=F$1) *
  (desp[parcela]&lt;EOMONTH(F$1,0)+1)
)</f>
        <v>0</v>
      </c>
      <c r="G463" s="245" cm="1">
        <f t="array" ref="G463">-SUMPRODUCT(
  desp[data.vencimento] *
  (desp[classificacao]=$B$289) *
  (desp[centro.negocio]=$B463) *
  (desp[parcela]&gt;=G$1) *
  (desp[parcela]&lt;EOMONTH(G$1,0)+1)
)</f>
        <v>0</v>
      </c>
      <c r="H463" s="245" cm="1">
        <f t="array" ref="H463">-SUMPRODUCT(
  desp[data.vencimento] *
  (desp[classificacao]=$B$289) *
  (desp[centro.negocio]=$B463) *
  (desp[parcela]&gt;=H$1) *
  (desp[parcela]&lt;EOMONTH(H$1,0)+1)
)</f>
        <v>0</v>
      </c>
      <c r="I463" s="245" cm="1">
        <f t="array" ref="I463">-SUMPRODUCT(
  desp[data.vencimento] *
  (desp[classificacao]=$B$289) *
  (desp[centro.negocio]=$B463) *
  (desp[parcela]&gt;=I$1) *
  (desp[parcela]&lt;EOMONTH(I$1,0)+1)
)</f>
        <v>0</v>
      </c>
      <c r="J463" s="245" cm="1">
        <f t="array" ref="J463">-SUMPRODUCT(
  desp[data.vencimento] *
  (desp[classificacao]=$B$289) *
  (desp[centro.negocio]=$B463) *
  (desp[parcela]&gt;=J$1) *
  (desp[parcela]&lt;EOMONTH(J$1,0)+1)
)</f>
        <v>0</v>
      </c>
      <c r="K463" s="245" cm="1">
        <f t="array" ref="K463">-SUMPRODUCT(
  desp[data.vencimento] *
  (desp[classificacao]=$B$289) *
  (desp[centro.negocio]=$B463) *
  (desp[parcela]&gt;=K$1) *
  (desp[parcela]&lt;EOMONTH(K$1,0)+1)
)</f>
        <v>0</v>
      </c>
      <c r="L463" s="245" cm="1">
        <f t="array" ref="L463">-SUMPRODUCT(
  desp[data.vencimento] *
  (desp[classificacao]=$B$289) *
  (desp[centro.negocio]=$B463) *
  (desp[parcela]&gt;=L$1) *
  (desp[parcela]&lt;EOMONTH(L$1,0)+1)
)</f>
        <v>0</v>
      </c>
      <c r="M463" s="245" cm="1">
        <f t="array" ref="M463">-SUMPRODUCT(
  desp[data.vencimento] *
  (desp[classificacao]=$B$289) *
  (desp[centro.negocio]=$B463) *
  (desp[parcela]&gt;=M$1) *
  (desp[parcela]&lt;EOMONTH(M$1,0)+1)
)</f>
        <v>0</v>
      </c>
      <c r="N463" s="245" cm="1">
        <f t="array" ref="N463">-SUMPRODUCT(
  desp[data.vencimento] *
  (desp[classificacao]=$B$289) *
  (desp[centro.negocio]=$B463) *
  (desp[parcela]&gt;=N$1) *
  (desp[parcela]&lt;EOMONTH(N$1,0)+1)
)</f>
        <v>0</v>
      </c>
      <c r="O463" s="245" cm="1">
        <f t="array" ref="O463">-SUMPRODUCT(
  desp[data.vencimento] *
  (desp[classificacao]=$B$289) *
  (desp[centro.negocio]=$B463) *
  (desp[parcela]&gt;=O$1) *
  (desp[parcela]&lt;EOMONTH(O$1,0)+1)
)</f>
        <v>0</v>
      </c>
      <c r="P463" s="245" cm="1">
        <f t="array" ref="P463">-SUMPRODUCT(
  desp[data.vencimento] *
  (desp[classificacao]=$B$289) *
  (desp[centro.negocio]=$B463) *
  (desp[parcela]&gt;=P$1) *
  (desp[parcela]&lt;EOMONTH(P$1,0)+1)
)</f>
        <v>0</v>
      </c>
      <c r="Q463" s="245" cm="1">
        <f t="array" ref="Q463">-SUMPRODUCT(
  desp[data.vencimento] *
  (desp[classificacao]=$B$289) *
  (desp[centro.negocio]=$B463) *
  (desp[parcela]&gt;=Q$1) *
  (desp[parcela]&lt;EOMONTH(Q$1,0)+1)
)</f>
        <v>0</v>
      </c>
      <c r="R463" s="245" cm="1">
        <f t="array" ref="R463">-SUMPRODUCT(
  desp[data.vencimento] *
  (desp[classificacao]=$B$289) *
  (desp[centro.negocio]=$B463) *
  (desp[parcela]&gt;=R$1) *
  (desp[parcela]&lt;EOMONTH(R$1,0)+1)
)</f>
        <v>0</v>
      </c>
    </row>
    <row r="464" spans="1:18" outlineLevel="1" x14ac:dyDescent="0.25">
      <c r="A464" s="243" t="s">
        <v>692</v>
      </c>
      <c r="B464" s="243" t="s">
        <v>350</v>
      </c>
      <c r="C464" s="244" t="s">
        <v>522</v>
      </c>
      <c r="D464" s="245" cm="1">
        <f t="array" ref="D464">-SUMPRODUCT(
  desp[data.vencimento] *
  (desp[classificacao] = $B$289) *
  (desp[parcela] &gt;= D$1) *
  (desp[parcela] &lt; EOMONTH(D$1,0)+1) *
  --ISNA(MATCH(desp[centro.negocio], {"NF - Mão de Obra";"Operações Financeiras/juros";"Terreno"}, 0))
)-
SUM(D$297:D$313)</f>
        <v>0</v>
      </c>
      <c r="E464" s="245" cm="1">
        <f t="array" ref="E464">-SUMPRODUCT(
  desp[data.vencimento] *
  (desp[classificacao] = $B$289) *
  (desp[parcela] &gt;= E$1) *
  (desp[parcela] &lt; EOMONTH(E$1,0)+1) *
  --ISNA(MATCH(desp[centro.negocio], {"NF - Mão de Obra";"Operações Financeiras/juros";"Terreno"}, 0))
)-
SUM(E$297:E$313)</f>
        <v>0</v>
      </c>
      <c r="F464" s="245" cm="1">
        <f t="array" ref="F464">-SUMPRODUCT(
  desp[data.vencimento] *
  (desp[classificacao] = $B$289) *
  (desp[parcela] &gt;= F$1) *
  (desp[parcela] &lt; EOMONTH(F$1,0)+1) *
  --ISNA(MATCH(desp[centro.negocio], {"NF - Mão de Obra";"Operações Financeiras/juros";"Terreno"}, 0))
)-
SUM(F$297:F$313)</f>
        <v>0</v>
      </c>
      <c r="G464" s="245" cm="1">
        <f t="array" ref="G464">-SUMPRODUCT(
  desp[data.vencimento] *
  (desp[classificacao] = $B$289) *
  (desp[parcela] &gt;= G$1) *
  (desp[parcela] &lt; EOMONTH(G$1,0)+1) *
  --ISNA(MATCH(desp[centro.negocio], {"NF - Mão de Obra";"Operações Financeiras/juros";"Terreno"}, 0))
)-
SUM(G$297:G$313)</f>
        <v>0</v>
      </c>
      <c r="H464" s="245" cm="1">
        <f t="array" ref="H464">-SUMPRODUCT(
  desp[data.vencimento] *
  (desp[classificacao] = $B$289) *
  (desp[parcela] &gt;= H$1) *
  (desp[parcela] &lt; EOMONTH(H$1,0)+1) *
  --ISNA(MATCH(desp[centro.negocio], {"NF - Mão de Obra";"Operações Financeiras/juros";"Terreno"}, 0))
)-
SUM(H$297:H$313)</f>
        <v>0</v>
      </c>
      <c r="I464" s="245" cm="1">
        <f t="array" ref="I464">-SUMPRODUCT(
  desp[data.vencimento] *
  (desp[classificacao] = $B$289) *
  (desp[parcela] &gt;= I$1) *
  (desp[parcela] &lt; EOMONTH(I$1,0)+1) *
  --ISNA(MATCH(desp[centro.negocio], {"NF - Mão de Obra";"Operações Financeiras/juros";"Terreno"}, 0))
)-
SUM(I$297:I$313)</f>
        <v>0</v>
      </c>
      <c r="J464" s="245" cm="1">
        <f t="array" ref="J464">-SUMPRODUCT(
  desp[data.vencimento] *
  (desp[classificacao] = $B$289) *
  (desp[parcela] &gt;= J$1) *
  (desp[parcela] &lt; EOMONTH(J$1,0)+1) *
  --ISNA(MATCH(desp[centro.negocio], {"NF - Mão de Obra";"Operações Financeiras/juros";"Terreno"}, 0))
)-
SUM(J$297:J$313)</f>
        <v>0</v>
      </c>
      <c r="K464" s="245" cm="1">
        <f t="array" ref="K464">-SUMPRODUCT(
  desp[data.vencimento] *
  (desp[classificacao] = $B$289) *
  (desp[parcela] &gt;= K$1) *
  (desp[parcela] &lt; EOMONTH(K$1,0)+1) *
  --ISNA(MATCH(desp[centro.negocio], {"NF - Mão de Obra";"Operações Financeiras/juros";"Terreno"}, 0))
)-
SUM(K$297:K$313)</f>
        <v>0</v>
      </c>
      <c r="L464" s="245" cm="1">
        <f t="array" ref="L464">-SUMPRODUCT(
  desp[data.vencimento] *
  (desp[classificacao] = $B$289) *
  (desp[parcela] &gt;= L$1) *
  (desp[parcela] &lt; EOMONTH(L$1,0)+1) *
  --ISNA(MATCH(desp[centro.negocio], {"NF - Mão de Obra";"Operações Financeiras/juros";"Terreno"}, 0))
)-
SUM(L$297:L$313)</f>
        <v>0</v>
      </c>
      <c r="M464" s="245" cm="1">
        <f t="array" ref="M464">-SUMPRODUCT(
  desp[data.vencimento] *
  (desp[classificacao] = $B$289) *
  (desp[parcela] &gt;= M$1) *
  (desp[parcela] &lt; EOMONTH(M$1,0)+1) *
  --ISNA(MATCH(desp[centro.negocio], {"NF - Mão de Obra";"Operações Financeiras/juros";"Terreno"}, 0))
)-
SUM(M$297:M$313)</f>
        <v>0</v>
      </c>
      <c r="N464" s="245" cm="1">
        <f t="array" ref="N464">-SUMPRODUCT(
  desp[data.vencimento] *
  (desp[classificacao] = $B$289) *
  (desp[parcela] &gt;= N$1) *
  (desp[parcela] &lt; EOMONTH(N$1,0)+1) *
  --ISNA(MATCH(desp[centro.negocio], {"NF - Mão de Obra";"Operações Financeiras/juros";"Terreno"}, 0))
)-
SUM(N$297:N$313)</f>
        <v>0</v>
      </c>
      <c r="O464" s="245" cm="1">
        <f t="array" ref="O464">-SUMPRODUCT(
  desp[data.vencimento] *
  (desp[classificacao] = $B$289) *
  (desp[parcela] &gt;= O$1) *
  (desp[parcela] &lt; EOMONTH(O$1,0)+1) *
  --ISNA(MATCH(desp[centro.negocio], {"NF - Mão de Obra";"Operações Financeiras/juros";"Terreno"}, 0))
)-
SUM(O$297:O$313)</f>
        <v>0</v>
      </c>
      <c r="P464" s="245" cm="1">
        <f t="array" ref="P464">-SUMPRODUCT(
  desp[data.vencimento] *
  (desp[classificacao] = $B$289) *
  (desp[parcela] &gt;= P$1) *
  (desp[parcela] &lt; EOMONTH(P$1,0)+1) *
  --ISNA(MATCH(desp[centro.negocio], {"NF - Mão de Obra";"Operações Financeiras/juros";"Terreno"}, 0))
)-
SUM(P$297:P$313)</f>
        <v>0</v>
      </c>
      <c r="Q464" s="245" cm="1">
        <f t="array" ref="Q464">-SUMPRODUCT(
  desp[data.vencimento] *
  (desp[classificacao] = $B$289) *
  (desp[parcela] &gt;= Q$1) *
  (desp[parcela] &lt; EOMONTH(Q$1,0)+1) *
  --ISNA(MATCH(desp[centro.negocio], {"NF - Mão de Obra";"Operações Financeiras/juros";"Terreno"}, 0))
)-
SUM(Q$297:Q$313)</f>
        <v>0</v>
      </c>
      <c r="R464" s="245" cm="1">
        <f t="array" ref="R464">-SUMPRODUCT(
  desp[data.vencimento] *
  (desp[classificacao] = $B$289) *
  (desp[parcela] &gt;= R$1) *
  (desp[parcela] &lt; EOMONTH(R$1,0)+1) *
  --ISNA(MATCH(desp[centro.negocio], {"NF - Mão de Obra";"Operações Financeiras/juros";"Terreno"}, 0))
)-
SUM(R$297:R$313)</f>
        <v>0</v>
      </c>
    </row>
    <row r="465" spans="1:18" x14ac:dyDescent="0.25">
      <c r="A465" s="236" t="s">
        <v>693</v>
      </c>
      <c r="B465" s="236" t="s">
        <v>694</v>
      </c>
      <c r="C465" s="237"/>
      <c r="D465" s="253">
        <f>D466+D469</f>
        <v>0</v>
      </c>
      <c r="E465" s="253">
        <f t="shared" ref="E465" si="396">E466+E469</f>
        <v>0</v>
      </c>
      <c r="F465" s="253">
        <f t="shared" ref="F465" si="397">F466+F469</f>
        <v>0</v>
      </c>
      <c r="G465" s="253">
        <f t="shared" ref="G465" si="398">G466+G469</f>
        <v>0</v>
      </c>
      <c r="H465" s="253">
        <f t="shared" ref="H465" si="399">H466+H469</f>
        <v>0</v>
      </c>
      <c r="I465" s="253">
        <f t="shared" ref="I465" si="400">I466+I469</f>
        <v>0</v>
      </c>
      <c r="J465" s="253">
        <f t="shared" ref="J465" si="401">J466+J469</f>
        <v>0</v>
      </c>
      <c r="K465" s="253">
        <f t="shared" ref="K465" si="402">K466+K469</f>
        <v>0</v>
      </c>
      <c r="L465" s="253">
        <f t="shared" ref="L465" si="403">L466+L469</f>
        <v>0</v>
      </c>
      <c r="M465" s="253">
        <f t="shared" ref="M465" si="404">M466+M469</f>
        <v>0</v>
      </c>
      <c r="N465" s="253">
        <f t="shared" ref="N465" si="405">N466+N469</f>
        <v>0</v>
      </c>
      <c r="O465" s="253">
        <f t="shared" ref="O465" si="406">O466+O469</f>
        <v>0</v>
      </c>
      <c r="P465" s="253">
        <f t="shared" ref="P465" si="407">P466+P469</f>
        <v>0</v>
      </c>
      <c r="Q465" s="253">
        <f t="shared" ref="Q465:R465" si="408">Q466+Q469</f>
        <v>0</v>
      </c>
      <c r="R465" s="253">
        <f t="shared" si="408"/>
        <v>0</v>
      </c>
    </row>
    <row r="466" spans="1:18" x14ac:dyDescent="0.25">
      <c r="A466" s="240" t="s">
        <v>695</v>
      </c>
      <c r="B466" s="240" t="s">
        <v>696</v>
      </c>
      <c r="C466" s="241"/>
      <c r="D466" s="242">
        <f>SUM(D467:D468)</f>
        <v>0</v>
      </c>
      <c r="E466" s="242">
        <f t="shared" ref="E466" si="409">SUM(E467:E468)</f>
        <v>0</v>
      </c>
      <c r="F466" s="242">
        <f t="shared" ref="F466" si="410">SUM(F467:F468)</f>
        <v>0</v>
      </c>
      <c r="G466" s="242">
        <f t="shared" ref="G466" si="411">SUM(G467:G468)</f>
        <v>0</v>
      </c>
      <c r="H466" s="242">
        <f t="shared" ref="H466" si="412">SUM(H467:H468)</f>
        <v>0</v>
      </c>
      <c r="I466" s="242">
        <f t="shared" ref="I466" si="413">SUM(I467:I468)</f>
        <v>0</v>
      </c>
      <c r="J466" s="242">
        <f t="shared" ref="J466" si="414">SUM(J467:J468)</f>
        <v>0</v>
      </c>
      <c r="K466" s="242">
        <f t="shared" ref="K466" si="415">SUM(K467:K468)</f>
        <v>0</v>
      </c>
      <c r="L466" s="242">
        <f t="shared" ref="L466" si="416">SUM(L467:L468)</f>
        <v>0</v>
      </c>
      <c r="M466" s="242">
        <f t="shared" ref="M466" si="417">SUM(M467:M468)</f>
        <v>0</v>
      </c>
      <c r="N466" s="242">
        <f t="shared" ref="N466" si="418">SUM(N467:N468)</f>
        <v>0</v>
      </c>
      <c r="O466" s="242">
        <f t="shared" ref="O466" si="419">SUM(O467:O468)</f>
        <v>0</v>
      </c>
      <c r="P466" s="242">
        <f t="shared" ref="P466" si="420">SUM(P467:P468)</f>
        <v>0</v>
      </c>
      <c r="Q466" s="242">
        <f t="shared" ref="Q466:R466" si="421">SUM(Q467:Q468)</f>
        <v>0</v>
      </c>
      <c r="R466" s="242">
        <f t="shared" si="421"/>
        <v>0</v>
      </c>
    </row>
    <row r="467" spans="1:18" outlineLevel="1" x14ac:dyDescent="0.25">
      <c r="A467" s="243" t="s">
        <v>697</v>
      </c>
      <c r="B467" s="254" t="s">
        <v>698</v>
      </c>
      <c r="C467" s="193"/>
      <c r="D467" s="247"/>
      <c r="E467" s="247"/>
      <c r="F467" s="247"/>
      <c r="G467" s="247"/>
      <c r="H467" s="247"/>
      <c r="I467" s="247"/>
      <c r="J467" s="247"/>
      <c r="K467" s="247"/>
      <c r="L467" s="247"/>
      <c r="M467" s="247"/>
      <c r="N467" s="247"/>
      <c r="O467" s="247"/>
      <c r="P467" s="247"/>
      <c r="Q467" s="247"/>
      <c r="R467" s="247"/>
    </row>
    <row r="468" spans="1:18" outlineLevel="1" x14ac:dyDescent="0.25">
      <c r="A468" s="243" t="s">
        <v>699</v>
      </c>
      <c r="B468" s="254" t="s">
        <v>700</v>
      </c>
      <c r="C468" s="193"/>
      <c r="D468" s="247"/>
      <c r="E468" s="247"/>
      <c r="F468" s="247"/>
      <c r="G468" s="247"/>
      <c r="H468" s="247"/>
      <c r="I468" s="247"/>
      <c r="J468" s="247"/>
      <c r="K468" s="247"/>
      <c r="L468" s="247"/>
      <c r="M468" s="247"/>
      <c r="N468" s="247"/>
      <c r="O468" s="247"/>
      <c r="P468" s="247"/>
      <c r="Q468" s="247"/>
      <c r="R468" s="247"/>
    </row>
    <row r="469" spans="1:18" x14ac:dyDescent="0.25">
      <c r="A469" s="249" t="s">
        <v>701</v>
      </c>
      <c r="B469" s="249" t="s">
        <v>702</v>
      </c>
      <c r="C469" s="255"/>
      <c r="D469" s="256">
        <f>SUM(D470:D472)</f>
        <v>0</v>
      </c>
      <c r="E469" s="256">
        <f t="shared" ref="E469" si="422">SUM(E470:E472)</f>
        <v>0</v>
      </c>
      <c r="F469" s="256">
        <f t="shared" ref="F469" si="423">SUM(F470:F472)</f>
        <v>0</v>
      </c>
      <c r="G469" s="256">
        <f t="shared" ref="G469" si="424">SUM(G470:G472)</f>
        <v>0</v>
      </c>
      <c r="H469" s="256">
        <f t="shared" ref="H469" si="425">SUM(H470:H472)</f>
        <v>0</v>
      </c>
      <c r="I469" s="256">
        <f t="shared" ref="I469" si="426">SUM(I470:I472)</f>
        <v>0</v>
      </c>
      <c r="J469" s="256">
        <f t="shared" ref="J469" si="427">SUM(J470:J472)</f>
        <v>0</v>
      </c>
      <c r="K469" s="256">
        <f t="shared" ref="K469" si="428">SUM(K470:K472)</f>
        <v>0</v>
      </c>
      <c r="L469" s="256">
        <f t="shared" ref="L469" si="429">SUM(L470:L472)</f>
        <v>0</v>
      </c>
      <c r="M469" s="256">
        <f t="shared" ref="M469" si="430">SUM(M470:M472)</f>
        <v>0</v>
      </c>
      <c r="N469" s="256">
        <f t="shared" ref="N469" si="431">SUM(N470:N472)</f>
        <v>0</v>
      </c>
      <c r="O469" s="256">
        <f t="shared" ref="O469" si="432">SUM(O470:O472)</f>
        <v>0</v>
      </c>
      <c r="P469" s="256">
        <f t="shared" ref="P469" si="433">SUM(P470:P472)</f>
        <v>0</v>
      </c>
      <c r="Q469" s="256">
        <f t="shared" ref="Q469:R469" si="434">SUM(Q470:Q472)</f>
        <v>0</v>
      </c>
      <c r="R469" s="256">
        <f t="shared" si="434"/>
        <v>0</v>
      </c>
    </row>
    <row r="470" spans="1:18" outlineLevel="1" x14ac:dyDescent="0.25">
      <c r="A470" s="243" t="s">
        <v>703</v>
      </c>
      <c r="B470" s="243" t="s">
        <v>407</v>
      </c>
      <c r="C470" s="244" t="s">
        <v>522</v>
      </c>
      <c r="D470" s="245" cm="1">
        <f t="array" ref="D470">-SUMPRODUCT(
  desp[data.vencimento] *
  (desp[classificacao]=$B$289) *
  (desp[centro.negocio]=$B470) *
  (desp[parcela]&gt;=D$1) *
  (desp[parcela]&lt;EOMONTH(D$1,0)+1)
)</f>
        <v>0</v>
      </c>
      <c r="E470" s="245" cm="1">
        <f t="array" ref="E470">-SUMPRODUCT(
  desp[data.vencimento] *
  (desp[classificacao]=$B$289) *
  (desp[centro.negocio]=$B470) *
  (desp[parcela]&gt;=E$1) *
  (desp[parcela]&lt;EOMONTH(E$1,0)+1)
)</f>
        <v>0</v>
      </c>
      <c r="F470" s="245" cm="1">
        <f t="array" ref="F470">-SUMPRODUCT(
  desp[data.vencimento] *
  (desp[classificacao]=$B$289) *
  (desp[centro.negocio]=$B470) *
  (desp[parcela]&gt;=F$1) *
  (desp[parcela]&lt;EOMONTH(F$1,0)+1)
)</f>
        <v>0</v>
      </c>
      <c r="G470" s="245" cm="1">
        <f t="array" ref="G470">-SUMPRODUCT(
  desp[data.vencimento] *
  (desp[classificacao]=$B$289) *
  (desp[centro.negocio]=$B470) *
  (desp[parcela]&gt;=G$1) *
  (desp[parcela]&lt;EOMONTH(G$1,0)+1)
)</f>
        <v>0</v>
      </c>
      <c r="H470" s="245" cm="1">
        <f t="array" ref="H470">-SUMPRODUCT(
  desp[data.vencimento] *
  (desp[classificacao]=$B$289) *
  (desp[centro.negocio]=$B470) *
  (desp[parcela]&gt;=H$1) *
  (desp[parcela]&lt;EOMONTH(H$1,0)+1)
)</f>
        <v>0</v>
      </c>
      <c r="I470" s="245" cm="1">
        <f t="array" ref="I470">-SUMPRODUCT(
  desp[data.vencimento] *
  (desp[classificacao]=$B$289) *
  (desp[centro.negocio]=$B470) *
  (desp[parcela]&gt;=I$1) *
  (desp[parcela]&lt;EOMONTH(I$1,0)+1)
)</f>
        <v>0</v>
      </c>
      <c r="J470" s="245" cm="1">
        <f t="array" ref="J470">-SUMPRODUCT(
  desp[data.vencimento] *
  (desp[classificacao]=$B$289) *
  (desp[centro.negocio]=$B470) *
  (desp[parcela]&gt;=J$1) *
  (desp[parcela]&lt;EOMONTH(J$1,0)+1)
)</f>
        <v>0</v>
      </c>
      <c r="K470" s="245" cm="1">
        <f t="array" ref="K470">-SUMPRODUCT(
  desp[data.vencimento] *
  (desp[classificacao]=$B$289) *
  (desp[centro.negocio]=$B470) *
  (desp[parcela]&gt;=K$1) *
  (desp[parcela]&lt;EOMONTH(K$1,0)+1)
)</f>
        <v>0</v>
      </c>
      <c r="L470" s="245" cm="1">
        <f t="array" ref="L470">-SUMPRODUCT(
  desp[data.vencimento] *
  (desp[classificacao]=$B$289) *
  (desp[centro.negocio]=$B470) *
  (desp[parcela]&gt;=L$1) *
  (desp[parcela]&lt;EOMONTH(L$1,0)+1)
)</f>
        <v>0</v>
      </c>
      <c r="M470" s="245" cm="1">
        <f t="array" ref="M470">-SUMPRODUCT(
  desp[data.vencimento] *
  (desp[classificacao]=$B$289) *
  (desp[centro.negocio]=$B470) *
  (desp[parcela]&gt;=M$1) *
  (desp[parcela]&lt;EOMONTH(M$1,0)+1)
)</f>
        <v>0</v>
      </c>
      <c r="N470" s="245" cm="1">
        <f t="array" ref="N470">-SUMPRODUCT(
  desp[data.vencimento] *
  (desp[classificacao]=$B$289) *
  (desp[centro.negocio]=$B470) *
  (desp[parcela]&gt;=N$1) *
  (desp[parcela]&lt;EOMONTH(N$1,0)+1)
)</f>
        <v>0</v>
      </c>
      <c r="O470" s="245" cm="1">
        <f t="array" ref="O470">-SUMPRODUCT(
  desp[data.vencimento] *
  (desp[classificacao]=$B$289) *
  (desp[centro.negocio]=$B470) *
  (desp[parcela]&gt;=O$1) *
  (desp[parcela]&lt;EOMONTH(O$1,0)+1)
)</f>
        <v>0</v>
      </c>
      <c r="P470" s="245" cm="1">
        <f t="array" ref="P470">-SUMPRODUCT(
  desp[data.vencimento] *
  (desp[classificacao]=$B$289) *
  (desp[centro.negocio]=$B470) *
  (desp[parcela]&gt;=P$1) *
  (desp[parcela]&lt;EOMONTH(P$1,0)+1)
)</f>
        <v>0</v>
      </c>
      <c r="Q470" s="245" cm="1">
        <f t="array" ref="Q470">-SUMPRODUCT(
  desp[data.vencimento] *
  (desp[classificacao]=$B$289) *
  (desp[centro.negocio]=$B470) *
  (desp[parcela]&gt;=Q$1) *
  (desp[parcela]&lt;EOMONTH(Q$1,0)+1)
)</f>
        <v>0</v>
      </c>
      <c r="R470" s="245" cm="1">
        <f t="array" ref="R470">-SUMPRODUCT(
  desp[data.vencimento] *
  (desp[classificacao]=$B$289) *
  (desp[centro.negocio]=$B470) *
  (desp[parcela]&gt;=R$1) *
  (desp[parcela]&lt;EOMONTH(R$1,0)+1)
)</f>
        <v>0</v>
      </c>
    </row>
    <row r="471" spans="1:18" outlineLevel="1" x14ac:dyDescent="0.25">
      <c r="A471" s="243" t="s">
        <v>719</v>
      </c>
      <c r="B471" s="254" t="s">
        <v>720</v>
      </c>
      <c r="C471" s="193"/>
      <c r="D471" s="247"/>
      <c r="E471" s="247"/>
      <c r="F471" s="247"/>
      <c r="G471" s="247"/>
      <c r="H471" s="247"/>
      <c r="I471" s="247"/>
      <c r="J471" s="247"/>
      <c r="K471" s="247"/>
      <c r="L471" s="247"/>
      <c r="M471" s="247"/>
      <c r="N471" s="247"/>
      <c r="O471" s="247"/>
      <c r="P471" s="247"/>
      <c r="Q471" s="247"/>
      <c r="R471" s="247"/>
    </row>
    <row r="472" spans="1:18" outlineLevel="1" x14ac:dyDescent="0.25">
      <c r="A472" s="243" t="s">
        <v>721</v>
      </c>
      <c r="B472" s="254" t="s">
        <v>722</v>
      </c>
      <c r="C472" s="193"/>
      <c r="D472" s="247"/>
      <c r="E472" s="247"/>
      <c r="F472" s="247"/>
      <c r="G472" s="247"/>
      <c r="H472" s="247"/>
      <c r="I472" s="247"/>
      <c r="J472" s="247"/>
      <c r="K472" s="247"/>
      <c r="L472" s="247"/>
      <c r="M472" s="247"/>
      <c r="N472" s="247"/>
      <c r="O472" s="247"/>
      <c r="P472" s="247"/>
      <c r="Q472" s="247"/>
      <c r="R472" s="247"/>
    </row>
    <row r="473" spans="1:18" x14ac:dyDescent="0.25">
      <c r="A473" s="236" t="s">
        <v>723</v>
      </c>
      <c r="B473" s="236" t="s">
        <v>724</v>
      </c>
      <c r="C473" s="237"/>
      <c r="D473" s="238">
        <f>D474+D479</f>
        <v>489068.85</v>
      </c>
      <c r="E473" s="238">
        <f t="shared" ref="E473" si="435">E474+E479</f>
        <v>0</v>
      </c>
      <c r="F473" s="238">
        <f t="shared" ref="F473" si="436">F474+F479</f>
        <v>385006.39</v>
      </c>
      <c r="G473" s="238">
        <f t="shared" ref="G473" si="437">G474+G479</f>
        <v>223853.73</v>
      </c>
      <c r="H473" s="238">
        <f t="shared" ref="H473" si="438">H474+H479</f>
        <v>134752.4</v>
      </c>
      <c r="I473" s="238">
        <f t="shared" ref="I473" si="439">I474+I479</f>
        <v>289304.8</v>
      </c>
      <c r="J473" s="238">
        <f t="shared" ref="J473" si="440">J474+J479</f>
        <v>171602.91</v>
      </c>
      <c r="K473" s="238">
        <f t="shared" ref="K473" si="441">K474+K479</f>
        <v>366306.04</v>
      </c>
      <c r="L473" s="238">
        <f t="shared" ref="L473" si="442">L474+L479</f>
        <v>181081.21</v>
      </c>
      <c r="M473" s="238">
        <f t="shared" ref="M473" si="443">M474+M479</f>
        <v>266613.7</v>
      </c>
      <c r="N473" s="238">
        <f t="shared" ref="N473" si="444">N474+N479</f>
        <v>230479.34</v>
      </c>
      <c r="O473" s="238">
        <f t="shared" ref="O473" si="445">O474+O479</f>
        <v>471701.2</v>
      </c>
      <c r="P473" s="238">
        <f t="shared" ref="P473" si="446">P474+P479</f>
        <v>0</v>
      </c>
      <c r="Q473" s="238">
        <f t="shared" ref="Q473:R473" si="447">Q474+Q479</f>
        <v>46792.36</v>
      </c>
      <c r="R473" s="238">
        <f t="shared" si="447"/>
        <v>0</v>
      </c>
    </row>
    <row r="474" spans="1:18" x14ac:dyDescent="0.25">
      <c r="A474" s="240" t="s">
        <v>725</v>
      </c>
      <c r="B474" s="240" t="s">
        <v>726</v>
      </c>
      <c r="C474" s="241"/>
      <c r="D474" s="242">
        <f>D475+D478</f>
        <v>489068.85</v>
      </c>
      <c r="E474" s="242">
        <f t="shared" ref="E474" si="448">E475+E478</f>
        <v>0</v>
      </c>
      <c r="F474" s="242">
        <f t="shared" ref="F474" si="449">F475+F478</f>
        <v>385006.39</v>
      </c>
      <c r="G474" s="242">
        <f t="shared" ref="G474" si="450">G475+G478</f>
        <v>223853.73</v>
      </c>
      <c r="H474" s="242">
        <f t="shared" ref="H474" si="451">H475+H478</f>
        <v>134752.4</v>
      </c>
      <c r="I474" s="242">
        <f t="shared" ref="I474" si="452">I475+I478</f>
        <v>289304.8</v>
      </c>
      <c r="J474" s="242">
        <f t="shared" ref="J474" si="453">J475+J478</f>
        <v>171602.91</v>
      </c>
      <c r="K474" s="242">
        <f t="shared" ref="K474" si="454">K475+K478</f>
        <v>366306.04</v>
      </c>
      <c r="L474" s="242">
        <f t="shared" ref="L474" si="455">L475+L478</f>
        <v>181081.21</v>
      </c>
      <c r="M474" s="242">
        <f t="shared" ref="M474" si="456">M475+M478</f>
        <v>266613.7</v>
      </c>
      <c r="N474" s="242">
        <f t="shared" ref="N474" si="457">N475+N478</f>
        <v>230479.34</v>
      </c>
      <c r="O474" s="242">
        <f t="shared" ref="O474" si="458">O475+O478</f>
        <v>471701.2</v>
      </c>
      <c r="P474" s="242">
        <f t="shared" ref="P474" si="459">P475+P478</f>
        <v>0</v>
      </c>
      <c r="Q474" s="242">
        <f t="shared" ref="Q474:R474" si="460">Q475+Q478</f>
        <v>46792.36</v>
      </c>
      <c r="R474" s="242">
        <f t="shared" si="460"/>
        <v>0</v>
      </c>
    </row>
    <row r="475" spans="1:18" outlineLevel="1" x14ac:dyDescent="0.25">
      <c r="A475" s="243" t="s">
        <v>727</v>
      </c>
      <c r="B475" s="243" t="s">
        <v>728</v>
      </c>
      <c r="C475" s="244" t="s">
        <v>729</v>
      </c>
      <c r="D475" s="245">
        <f>SUM(D476:D477)</f>
        <v>489068.85</v>
      </c>
      <c r="E475" s="245">
        <f t="shared" ref="E475" si="461">SUM(E476:E477)</f>
        <v>0</v>
      </c>
      <c r="F475" s="245">
        <f t="shared" ref="F475" si="462">SUM(F476:F477)</f>
        <v>385006.39</v>
      </c>
      <c r="G475" s="245">
        <f t="shared" ref="G475" si="463">SUM(G476:G477)</f>
        <v>223853.73</v>
      </c>
      <c r="H475" s="245">
        <f t="shared" ref="H475" si="464">SUM(H476:H477)</f>
        <v>134752.4</v>
      </c>
      <c r="I475" s="245">
        <f t="shared" ref="I475" si="465">SUM(I476:I477)</f>
        <v>289304.8</v>
      </c>
      <c r="J475" s="245">
        <f t="shared" ref="J475" si="466">SUM(J476:J477)</f>
        <v>171602.91</v>
      </c>
      <c r="K475" s="245">
        <f t="shared" ref="K475" si="467">SUM(K476:K477)</f>
        <v>366306.04</v>
      </c>
      <c r="L475" s="245">
        <f t="shared" ref="L475" si="468">SUM(L476:L477)</f>
        <v>181081.21</v>
      </c>
      <c r="M475" s="245">
        <f t="shared" ref="M475" si="469">SUM(M476:M477)</f>
        <v>266613.7</v>
      </c>
      <c r="N475" s="245">
        <f t="shared" ref="N475" si="470">SUM(N476:N477)</f>
        <v>230479.34</v>
      </c>
      <c r="O475" s="245">
        <f t="shared" ref="O475" si="471">SUM(O476:O477)</f>
        <v>471701.2</v>
      </c>
      <c r="P475" s="245">
        <f t="shared" ref="P475" si="472">SUM(P476:P477)</f>
        <v>0</v>
      </c>
      <c r="Q475" s="245">
        <f t="shared" ref="Q475:R475" si="473">SUM(Q476:Q477)</f>
        <v>46792.36</v>
      </c>
      <c r="R475" s="245">
        <f t="shared" si="473"/>
        <v>0</v>
      </c>
    </row>
    <row r="476" spans="1:18" outlineLevel="2" x14ac:dyDescent="0.25">
      <c r="A476" s="258" t="s">
        <v>730</v>
      </c>
      <c r="B476" s="258" t="s">
        <v>731</v>
      </c>
      <c r="C476" s="244"/>
      <c r="D476" s="245" cm="1">
        <f t="array" ref="D476:Q476">TRANSPOSE(inputs!F$51:F$64)</f>
        <v>489068.85</v>
      </c>
      <c r="E476" s="245">
        <v>0</v>
      </c>
      <c r="F476" s="245">
        <v>385006.39</v>
      </c>
      <c r="G476" s="245">
        <v>223853.73</v>
      </c>
      <c r="H476" s="245">
        <v>134752.4</v>
      </c>
      <c r="I476" s="245">
        <v>289304.8</v>
      </c>
      <c r="J476" s="245">
        <v>171602.91</v>
      </c>
      <c r="K476" s="245">
        <v>366306.04</v>
      </c>
      <c r="L476" s="245">
        <v>181081.21</v>
      </c>
      <c r="M476" s="245">
        <v>266613.7</v>
      </c>
      <c r="N476" s="245">
        <v>230479.34</v>
      </c>
      <c r="O476" s="245">
        <v>471701.2</v>
      </c>
      <c r="P476" s="245">
        <v>0</v>
      </c>
      <c r="Q476" s="245">
        <v>46792.36</v>
      </c>
      <c r="R476" s="245"/>
    </row>
    <row r="477" spans="1:18" outlineLevel="2" x14ac:dyDescent="0.25">
      <c r="A477" s="258" t="s">
        <v>736</v>
      </c>
      <c r="B477" s="258" t="s">
        <v>350</v>
      </c>
      <c r="C477" s="244" t="s">
        <v>737</v>
      </c>
      <c r="D477" s="302"/>
      <c r="E477" s="302"/>
      <c r="F477" s="302"/>
      <c r="G477" s="302"/>
      <c r="H477" s="302"/>
      <c r="I477" s="302"/>
      <c r="J477" s="302"/>
      <c r="K477" s="302"/>
      <c r="L477" s="302"/>
      <c r="M477" s="302"/>
      <c r="N477" s="302"/>
      <c r="O477" s="302"/>
      <c r="P477" s="302"/>
      <c r="Q477" s="302"/>
      <c r="R477" s="302"/>
    </row>
    <row r="478" spans="1:18" outlineLevel="1" x14ac:dyDescent="0.25">
      <c r="A478" s="243" t="s">
        <v>751</v>
      </c>
      <c r="B478" s="254" t="s">
        <v>752</v>
      </c>
      <c r="C478" s="244" t="s">
        <v>522</v>
      </c>
      <c r="D478" s="245"/>
      <c r="E478" s="245"/>
      <c r="F478" s="245"/>
      <c r="G478" s="245"/>
      <c r="H478" s="245"/>
      <c r="I478" s="245"/>
      <c r="J478" s="245"/>
      <c r="K478" s="245"/>
      <c r="L478" s="245"/>
      <c r="M478" s="245"/>
      <c r="N478" s="245"/>
      <c r="O478" s="245"/>
      <c r="P478" s="245"/>
      <c r="Q478" s="245"/>
      <c r="R478" s="245"/>
    </row>
    <row r="479" spans="1:18" x14ac:dyDescent="0.25">
      <c r="A479" s="249" t="s">
        <v>753</v>
      </c>
      <c r="B479" s="249" t="s">
        <v>754</v>
      </c>
      <c r="C479" s="255"/>
      <c r="D479" s="256">
        <f>SUM(D480:D481)</f>
        <v>0</v>
      </c>
      <c r="E479" s="256">
        <f t="shared" ref="E479" si="474">SUM(E480:E481)</f>
        <v>0</v>
      </c>
      <c r="F479" s="256">
        <f t="shared" ref="F479" si="475">SUM(F480:F481)</f>
        <v>0</v>
      </c>
      <c r="G479" s="256">
        <f t="shared" ref="G479" si="476">SUM(G480:G481)</f>
        <v>0</v>
      </c>
      <c r="H479" s="256">
        <f t="shared" ref="H479" si="477">SUM(H480:H481)</f>
        <v>0</v>
      </c>
      <c r="I479" s="256">
        <f t="shared" ref="I479" si="478">SUM(I480:I481)</f>
        <v>0</v>
      </c>
      <c r="J479" s="256">
        <f t="shared" ref="J479" si="479">SUM(J480:J481)</f>
        <v>0</v>
      </c>
      <c r="K479" s="256">
        <f t="shared" ref="K479" si="480">SUM(K480:K481)</f>
        <v>0</v>
      </c>
      <c r="L479" s="256">
        <f t="shared" ref="L479" si="481">SUM(L480:L481)</f>
        <v>0</v>
      </c>
      <c r="M479" s="256">
        <f t="shared" ref="M479" si="482">SUM(M480:M481)</f>
        <v>0</v>
      </c>
      <c r="N479" s="256">
        <f t="shared" ref="N479" si="483">SUM(N480:N481)</f>
        <v>0</v>
      </c>
      <c r="O479" s="256">
        <f t="shared" ref="O479" si="484">SUM(O480:O481)</f>
        <v>0</v>
      </c>
      <c r="P479" s="256">
        <f t="shared" ref="P479" si="485">SUM(P480:P481)</f>
        <v>0</v>
      </c>
      <c r="Q479" s="256">
        <f t="shared" ref="Q479:R479" si="486">SUM(Q480:Q481)</f>
        <v>0</v>
      </c>
      <c r="R479" s="256">
        <f t="shared" si="486"/>
        <v>0</v>
      </c>
    </row>
    <row r="480" spans="1:18" outlineLevel="1" x14ac:dyDescent="0.25">
      <c r="A480" s="243" t="s">
        <v>755</v>
      </c>
      <c r="B480" s="248" t="s">
        <v>396</v>
      </c>
      <c r="C480" s="244" t="s">
        <v>522</v>
      </c>
      <c r="D480" s="245" cm="1">
        <f t="array" ref="D480">-SUMPRODUCT(
  desp[data.vencimento] *
  (desp[classificacao]=$B$289) *
  (desp[centro.negocio]=$B480) *
  (desp[parcela]&gt;=D$1) *
  (desp[parcela]&lt;EOMONTH(D$1,0)+1)
)</f>
        <v>0</v>
      </c>
      <c r="E480" s="245" cm="1">
        <f t="array" ref="E480">-SUMPRODUCT(
  desp[data.vencimento] *
  (desp[classificacao]=$B$289) *
  (desp[centro.negocio]=$B480) *
  (desp[parcela]&gt;=E$1) *
  (desp[parcela]&lt;EOMONTH(E$1,0)+1)
)</f>
        <v>0</v>
      </c>
      <c r="F480" s="245" cm="1">
        <f t="array" ref="F480">-SUMPRODUCT(
  desp[data.vencimento] *
  (desp[classificacao]=$B$289) *
  (desp[centro.negocio]=$B480) *
  (desp[parcela]&gt;=F$1) *
  (desp[parcela]&lt;EOMONTH(F$1,0)+1)
)</f>
        <v>0</v>
      </c>
      <c r="G480" s="245" cm="1">
        <f t="array" ref="G480">-SUMPRODUCT(
  desp[data.vencimento] *
  (desp[classificacao]=$B$289) *
  (desp[centro.negocio]=$B480) *
  (desp[parcela]&gt;=G$1) *
  (desp[parcela]&lt;EOMONTH(G$1,0)+1)
)</f>
        <v>0</v>
      </c>
      <c r="H480" s="245" cm="1">
        <f t="array" ref="H480">-SUMPRODUCT(
  desp[data.vencimento] *
  (desp[classificacao]=$B$289) *
  (desp[centro.negocio]=$B480) *
  (desp[parcela]&gt;=H$1) *
  (desp[parcela]&lt;EOMONTH(H$1,0)+1)
)</f>
        <v>0</v>
      </c>
      <c r="I480" s="245" cm="1">
        <f t="array" ref="I480">-SUMPRODUCT(
  desp[data.vencimento] *
  (desp[classificacao]=$B$289) *
  (desp[centro.negocio]=$B480) *
  (desp[parcela]&gt;=I$1) *
  (desp[parcela]&lt;EOMONTH(I$1,0)+1)
)</f>
        <v>0</v>
      </c>
      <c r="J480" s="245" cm="1">
        <f t="array" ref="J480">-SUMPRODUCT(
  desp[data.vencimento] *
  (desp[classificacao]=$B$289) *
  (desp[centro.negocio]=$B480) *
  (desp[parcela]&gt;=J$1) *
  (desp[parcela]&lt;EOMONTH(J$1,0)+1)
)</f>
        <v>0</v>
      </c>
      <c r="K480" s="245" cm="1">
        <f t="array" ref="K480">-SUMPRODUCT(
  desp[data.vencimento] *
  (desp[classificacao]=$B$289) *
  (desp[centro.negocio]=$B480) *
  (desp[parcela]&gt;=K$1) *
  (desp[parcela]&lt;EOMONTH(K$1,0)+1)
)</f>
        <v>0</v>
      </c>
      <c r="L480" s="245" cm="1">
        <f t="array" ref="L480">-SUMPRODUCT(
  desp[data.vencimento] *
  (desp[classificacao]=$B$289) *
  (desp[centro.negocio]=$B480) *
  (desp[parcela]&gt;=L$1) *
  (desp[parcela]&lt;EOMONTH(L$1,0)+1)
)</f>
        <v>0</v>
      </c>
      <c r="M480" s="245" cm="1">
        <f t="array" ref="M480">-SUMPRODUCT(
  desp[data.vencimento] *
  (desp[classificacao]=$B$289) *
  (desp[centro.negocio]=$B480) *
  (desp[parcela]&gt;=M$1) *
  (desp[parcela]&lt;EOMONTH(M$1,0)+1)
)</f>
        <v>0</v>
      </c>
      <c r="N480" s="245" cm="1">
        <f t="array" ref="N480">-SUMPRODUCT(
  desp[data.vencimento] *
  (desp[classificacao]=$B$289) *
  (desp[centro.negocio]=$B480) *
  (desp[parcela]&gt;=N$1) *
  (desp[parcela]&lt;EOMONTH(N$1,0)+1)
)</f>
        <v>0</v>
      </c>
      <c r="O480" s="245" cm="1">
        <f t="array" ref="O480">-SUMPRODUCT(
  desp[data.vencimento] *
  (desp[classificacao]=$B$289) *
  (desp[centro.negocio]=$B480) *
  (desp[parcela]&gt;=O$1) *
  (desp[parcela]&lt;EOMONTH(O$1,0)+1)
)</f>
        <v>0</v>
      </c>
      <c r="P480" s="245" cm="1">
        <f t="array" ref="P480">-SUMPRODUCT(
  desp[data.vencimento] *
  (desp[classificacao]=$B$289) *
  (desp[centro.negocio]=$B480) *
  (desp[parcela]&gt;=P$1) *
  (desp[parcela]&lt;EOMONTH(P$1,0)+1)
)</f>
        <v>0</v>
      </c>
      <c r="Q480" s="245" cm="1">
        <f t="array" ref="Q480">-SUMPRODUCT(
  desp[data.vencimento] *
  (desp[classificacao]=$B$289) *
  (desp[centro.negocio]=$B480) *
  (desp[parcela]&gt;=Q$1) *
  (desp[parcela]&lt;EOMONTH(Q$1,0)+1)
)</f>
        <v>0</v>
      </c>
      <c r="R480" s="245" cm="1">
        <f t="array" ref="R480">-SUMPRODUCT(
  desp[data.vencimento] *
  (desp[classificacao]=$B$289) *
  (desp[centro.negocio]=$B480) *
  (desp[parcela]&gt;=R$1) *
  (desp[parcela]&lt;EOMONTH(R$1,0)+1)
)</f>
        <v>0</v>
      </c>
    </row>
    <row r="481" spans="1:18" outlineLevel="1" x14ac:dyDescent="0.25">
      <c r="A481" s="243" t="s">
        <v>773</v>
      </c>
      <c r="B481" s="254" t="s">
        <v>774</v>
      </c>
      <c r="C481" s="193"/>
      <c r="D481" s="247"/>
      <c r="E481" s="247"/>
      <c r="F481" s="247"/>
      <c r="G481" s="247"/>
      <c r="H481" s="247"/>
      <c r="I481" s="247"/>
      <c r="J481" s="247"/>
      <c r="K481" s="247"/>
      <c r="L481" s="247"/>
      <c r="M481" s="247"/>
      <c r="N481" s="247"/>
      <c r="O481" s="247"/>
      <c r="P481" s="247"/>
      <c r="Q481" s="247"/>
      <c r="R481" s="247"/>
    </row>
    <row r="482" spans="1:18" x14ac:dyDescent="0.25">
      <c r="A482" s="233"/>
      <c r="B482" s="233" t="s">
        <v>775</v>
      </c>
      <c r="C482" s="260"/>
      <c r="D482" s="261">
        <f ca="1">D440+D465+D473</f>
        <v>489068.85</v>
      </c>
      <c r="E482" s="261">
        <f t="shared" ref="E482:R482" ca="1" si="487">E440+E465+E473</f>
        <v>0</v>
      </c>
      <c r="F482" s="261">
        <f t="shared" ca="1" si="487"/>
        <v>385006.39</v>
      </c>
      <c r="G482" s="261">
        <f t="shared" ca="1" si="487"/>
        <v>223853.73</v>
      </c>
      <c r="H482" s="261">
        <f t="shared" ca="1" si="487"/>
        <v>134752.4</v>
      </c>
      <c r="I482" s="261">
        <f t="shared" ca="1" si="487"/>
        <v>289304.8</v>
      </c>
      <c r="J482" s="261">
        <f t="shared" ca="1" si="487"/>
        <v>171602.91</v>
      </c>
      <c r="K482" s="261">
        <f t="shared" ca="1" si="487"/>
        <v>366306.04</v>
      </c>
      <c r="L482" s="261">
        <f t="shared" ca="1" si="487"/>
        <v>181081.21</v>
      </c>
      <c r="M482" s="261">
        <f t="shared" ca="1" si="487"/>
        <v>266613.7</v>
      </c>
      <c r="N482" s="261">
        <f t="shared" ca="1" si="487"/>
        <v>230479.34</v>
      </c>
      <c r="O482" s="261">
        <f t="shared" ca="1" si="487"/>
        <v>471701.2</v>
      </c>
      <c r="P482" s="261">
        <f t="shared" ca="1" si="487"/>
        <v>0</v>
      </c>
      <c r="Q482" s="261">
        <f t="shared" ref="Q482" ca="1" si="488">Q440+Q465+Q473</f>
        <v>46792.36</v>
      </c>
      <c r="R482" s="261">
        <f t="shared" ca="1" si="487"/>
        <v>0</v>
      </c>
    </row>
    <row r="483" spans="1:18" x14ac:dyDescent="0.25">
      <c r="A483" s="305"/>
      <c r="B483" s="305" t="s">
        <v>776</v>
      </c>
      <c r="C483" s="306"/>
      <c r="D483" s="238"/>
      <c r="E483" s="238"/>
      <c r="F483" s="238"/>
      <c r="G483" s="238"/>
      <c r="H483" s="238"/>
      <c r="I483" s="238"/>
      <c r="J483" s="238"/>
      <c r="K483" s="238"/>
      <c r="L483" s="238"/>
      <c r="M483" s="238"/>
      <c r="N483" s="238"/>
      <c r="O483" s="238"/>
      <c r="P483" s="238"/>
      <c r="Q483" s="238"/>
      <c r="R483" s="238"/>
    </row>
    <row r="484" spans="1:18" x14ac:dyDescent="0.25">
      <c r="A484" s="305"/>
      <c r="B484" s="305" t="s">
        <v>777</v>
      </c>
      <c r="C484" s="306"/>
      <c r="D484" s="238"/>
      <c r="E484" s="238"/>
      <c r="F484" s="238"/>
      <c r="G484" s="238"/>
      <c r="H484" s="238"/>
      <c r="I484" s="238"/>
      <c r="J484" s="238"/>
      <c r="K484" s="238"/>
      <c r="L484" s="238"/>
      <c r="M484" s="238"/>
      <c r="N484" s="238"/>
      <c r="O484" s="238"/>
      <c r="P484" s="238"/>
      <c r="Q484" s="238"/>
      <c r="R484" s="238"/>
    </row>
    <row r="485" spans="1:18" x14ac:dyDescent="0.25">
      <c r="A485" s="305"/>
      <c r="B485" s="305" t="s">
        <v>796</v>
      </c>
      <c r="C485" s="306"/>
      <c r="D485" s="238"/>
      <c r="E485" s="238"/>
      <c r="F485" s="238"/>
      <c r="G485" s="238"/>
      <c r="H485" s="238"/>
      <c r="I485" s="238"/>
      <c r="J485" s="238"/>
      <c r="K485" s="238"/>
      <c r="L485" s="238"/>
      <c r="M485" s="238"/>
      <c r="N485" s="238"/>
      <c r="O485" s="238"/>
      <c r="P485" s="238"/>
      <c r="Q485" s="238"/>
      <c r="R485" s="238"/>
    </row>
    <row r="489" spans="1:18" ht="21" x14ac:dyDescent="0.35">
      <c r="A489" s="301" t="s">
        <v>15</v>
      </c>
      <c r="B489" s="301" t="s">
        <v>556</v>
      </c>
    </row>
    <row r="490" spans="1:18" x14ac:dyDescent="0.25">
      <c r="A490" s="236" t="s">
        <v>510</v>
      </c>
      <c r="B490" s="236" t="s">
        <v>511</v>
      </c>
      <c r="C490" s="237"/>
      <c r="D490" s="238">
        <f ca="1">D491+D496</f>
        <v>0</v>
      </c>
      <c r="E490" s="238">
        <f t="shared" ref="E490" ca="1" si="489">E491+E496</f>
        <v>0</v>
      </c>
      <c r="F490" s="238">
        <f t="shared" ref="F490" ca="1" si="490">F491+F496</f>
        <v>0</v>
      </c>
      <c r="G490" s="238">
        <f t="shared" ref="G490" ca="1" si="491">G491+G496</f>
        <v>0</v>
      </c>
      <c r="H490" s="238">
        <f t="shared" ref="H490" ca="1" si="492">H491+H496</f>
        <v>0</v>
      </c>
      <c r="I490" s="238">
        <f t="shared" ref="I490" ca="1" si="493">I491+I496</f>
        <v>0</v>
      </c>
      <c r="J490" s="238">
        <f t="shared" ref="J490" ca="1" si="494">J491+J496</f>
        <v>0</v>
      </c>
      <c r="K490" s="238">
        <f t="shared" ref="K490" ca="1" si="495">K491+K496</f>
        <v>0</v>
      </c>
      <c r="L490" s="238">
        <f t="shared" ref="L490" ca="1" si="496">L491+L496</f>
        <v>0</v>
      </c>
      <c r="M490" s="238">
        <f t="shared" ref="M490" ca="1" si="497">M491+M496</f>
        <v>0</v>
      </c>
      <c r="N490" s="238">
        <f t="shared" ref="N490" ca="1" si="498">N491+N496</f>
        <v>0</v>
      </c>
      <c r="O490" s="238">
        <f t="shared" ref="O490" ca="1" si="499">O491+O496</f>
        <v>0</v>
      </c>
      <c r="P490" s="238">
        <f t="shared" ref="P490" ca="1" si="500">P491+P496</f>
        <v>0</v>
      </c>
      <c r="Q490" s="238">
        <f t="shared" ref="Q490:R490" ca="1" si="501">Q491+Q496</f>
        <v>0</v>
      </c>
      <c r="R490" s="238">
        <f t="shared" ca="1" si="501"/>
        <v>0</v>
      </c>
    </row>
    <row r="491" spans="1:18" x14ac:dyDescent="0.25">
      <c r="A491" s="240" t="s">
        <v>513</v>
      </c>
      <c r="B491" s="240" t="s">
        <v>514</v>
      </c>
      <c r="C491" s="241"/>
      <c r="D491" s="242">
        <f ca="1">SUM(D492:D495)</f>
        <v>0</v>
      </c>
      <c r="E491" s="242">
        <f t="shared" ref="E491" ca="1" si="502">SUM(E492:E495)</f>
        <v>0</v>
      </c>
      <c r="F491" s="242">
        <f t="shared" ref="F491" ca="1" si="503">SUM(F492:F495)</f>
        <v>0</v>
      </c>
      <c r="G491" s="242">
        <f t="shared" ref="G491" ca="1" si="504">SUM(G492:G495)</f>
        <v>0</v>
      </c>
      <c r="H491" s="242">
        <f t="shared" ref="H491" ca="1" si="505">SUM(H492:H495)</f>
        <v>0</v>
      </c>
      <c r="I491" s="242">
        <f t="shared" ref="I491" ca="1" si="506">SUM(I492:I495)</f>
        <v>0</v>
      </c>
      <c r="J491" s="242">
        <f t="shared" ref="J491" ca="1" si="507">SUM(J492:J495)</f>
        <v>0</v>
      </c>
      <c r="K491" s="242">
        <f t="shared" ref="K491" ca="1" si="508">SUM(K492:K495)</f>
        <v>0</v>
      </c>
      <c r="L491" s="242">
        <f t="shared" ref="L491" ca="1" si="509">SUM(L492:L495)</f>
        <v>0</v>
      </c>
      <c r="M491" s="242">
        <f t="shared" ref="M491" ca="1" si="510">SUM(M492:M495)</f>
        <v>0</v>
      </c>
      <c r="N491" s="242">
        <f t="shared" ref="N491" ca="1" si="511">SUM(N492:N495)</f>
        <v>0</v>
      </c>
      <c r="O491" s="242">
        <f t="shared" ref="O491" ca="1" si="512">SUM(O492:O495)</f>
        <v>0</v>
      </c>
      <c r="P491" s="242">
        <f t="shared" ref="P491" ca="1" si="513">SUM(P492:P495)</f>
        <v>0</v>
      </c>
      <c r="Q491" s="242">
        <f t="shared" ref="Q491:R491" ca="1" si="514">SUM(Q492:Q495)</f>
        <v>0</v>
      </c>
      <c r="R491" s="242">
        <f t="shared" ca="1" si="514"/>
        <v>0</v>
      </c>
    </row>
    <row r="492" spans="1:18" outlineLevel="1" x14ac:dyDescent="0.25">
      <c r="A492" s="243" t="s">
        <v>515</v>
      </c>
      <c r="B492" s="243" t="s">
        <v>516</v>
      </c>
      <c r="C492" s="244" t="s">
        <v>482</v>
      </c>
      <c r="D49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49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49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49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49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49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49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49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49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49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49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49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49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49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  <c r="R492" s="245">
        <f ca="1">SUMIFS(rec.uni[2026-03-01],
INDIRECT("rec.uni[natureza]"),"repasse.cef.obra",
INDIRECT("rec.uni[empresa]"),$A$289)+
SUMIFS(rec.uni[2026-03-01],
INDIRECT("rec.uni[natureza]"),"repasse.cef.terreno",
INDIRECT("rec.uni[empresa]"),$A$289)</f>
        <v>0</v>
      </c>
    </row>
    <row r="493" spans="1:18" outlineLevel="1" x14ac:dyDescent="0.25">
      <c r="A493" s="243" t="s">
        <v>521</v>
      </c>
      <c r="B493" s="243" t="s">
        <v>21</v>
      </c>
      <c r="C493" s="244" t="s">
        <v>522</v>
      </c>
      <c r="D493" s="245">
        <f ca="1">SUMIFS(rec.uni[2025-01-01],
INDIRECT("rec.uni[natureza]"),"pro.soluto",
INDIRECT("rec.uni[empresa]"),$A$289)</f>
        <v>0</v>
      </c>
      <c r="E493" s="245">
        <f ca="1">SUMIFS(rec.uni[2025-02-01],
INDIRECT("rec.uni[natureza]"),"pro.soluto",
INDIRECT("rec.uni[empresa]"),$A$289)</f>
        <v>0</v>
      </c>
      <c r="F493" s="245">
        <f ca="1">SUMIFS(rec.uni[2025-03-01],
INDIRECT("rec.uni[natureza]"),"pro.soluto",
INDIRECT("rec.uni[empresa]"),$A$289)</f>
        <v>0</v>
      </c>
      <c r="G493" s="245">
        <f ca="1">SUMIFS(rec.uni[2025-04-01],
INDIRECT("rec.uni[natureza]"),"pro.soluto",
INDIRECT("rec.uni[empresa]"),$A$289)</f>
        <v>0</v>
      </c>
      <c r="H493" s="245">
        <f ca="1">SUMIFS(rec.uni[2025-05-01],
INDIRECT("rec.uni[natureza]"),"pro.soluto",
INDIRECT("rec.uni[empresa]"),$A$289)</f>
        <v>0</v>
      </c>
      <c r="I493" s="245">
        <f ca="1">SUMIFS(rec.uni[2025-06-01],
INDIRECT("rec.uni[natureza]"),"pro.soluto",
INDIRECT("rec.uni[empresa]"),$A$289)</f>
        <v>0</v>
      </c>
      <c r="J493" s="245">
        <f ca="1">SUMIFS(rec.uni[2025-07-01],
INDIRECT("rec.uni[natureza]"),"pro.soluto",
INDIRECT("rec.uni[empresa]"),$A$289)</f>
        <v>0</v>
      </c>
      <c r="K493" s="245">
        <f ca="1">SUMIFS(rec.uni[2025-08-01],
INDIRECT("rec.uni[natureza]"),"pro.soluto",
INDIRECT("rec.uni[empresa]"),$A$289)</f>
        <v>0</v>
      </c>
      <c r="L493" s="245">
        <f ca="1">SUMIFS(rec.uni[2025-09-01],
INDIRECT("rec.uni[natureza]"),"pro.soluto",
INDIRECT("rec.uni[empresa]"),$A$289)</f>
        <v>0</v>
      </c>
      <c r="M493" s="245">
        <f ca="1">SUMIFS(rec.uni[2025-10-01],
INDIRECT("rec.uni[natureza]"),"pro.soluto",
INDIRECT("rec.uni[empresa]"),$A$289)</f>
        <v>0</v>
      </c>
      <c r="N493" s="245">
        <f ca="1">SUMIFS(rec.uni[2025-11-01],
INDIRECT("rec.uni[natureza]"),"pro.soluto",
INDIRECT("rec.uni[empresa]"),$A$289)</f>
        <v>0</v>
      </c>
      <c r="O493" s="245">
        <f ca="1">SUMIFS(rec.uni[2025-12-01],
INDIRECT("rec.uni[natureza]"),"pro.soluto",
INDIRECT("rec.uni[empresa]"),$A$289)</f>
        <v>0</v>
      </c>
      <c r="P493" s="245">
        <f ca="1">SUMIFS(rec.uni[2026-01-01],
INDIRECT("rec.uni[natureza]"),"pro.soluto",
INDIRECT("rec.uni[empresa]"),$A$289)</f>
        <v>0</v>
      </c>
      <c r="Q493" s="245">
        <f ca="1">SUMIFS(rec.uni[2026-02-01],
INDIRECT("rec.uni[natureza]"),"pro.soluto",
INDIRECT("rec.uni[empresa]"),$A$289)</f>
        <v>0</v>
      </c>
      <c r="R493" s="245">
        <f ca="1">SUMIFS(rec.uni[2026-03-01],
INDIRECT("rec.uni[natureza]"),"pro.soluto",
INDIRECT("rec.uni[empresa]"),$A$289)</f>
        <v>0</v>
      </c>
    </row>
    <row r="494" spans="1:18" outlineLevel="1" x14ac:dyDescent="0.25">
      <c r="A494" s="243" t="s">
        <v>530</v>
      </c>
      <c r="B494" s="243" t="s">
        <v>531</v>
      </c>
      <c r="C494" s="244" t="s">
        <v>522</v>
      </c>
      <c r="D494" s="245">
        <f ca="1">SUMIFS(rec.uni[2025-01-01],
INDIRECT("rec.uni[natureza]"),"taxa.extra",
INDIRECT("rec.uni[empresa]"),$A$289)</f>
        <v>0</v>
      </c>
      <c r="E494" s="245">
        <f ca="1">SUMIFS(rec.uni[2025-02-01],
INDIRECT("rec.uni[natureza]"),"taxa.extra",
INDIRECT("rec.uni[empresa]"),$A$289)</f>
        <v>0</v>
      </c>
      <c r="F494" s="245">
        <f ca="1">SUMIFS(rec.uni[2025-03-01],
INDIRECT("rec.uni[natureza]"),"taxa.extra",
INDIRECT("rec.uni[empresa]"),$A$289)</f>
        <v>0</v>
      </c>
      <c r="G494" s="245">
        <f ca="1">SUMIFS(rec.uni[2025-04-01],
INDIRECT("rec.uni[natureza]"),"taxa.extra",
INDIRECT("rec.uni[empresa]"),$A$289)</f>
        <v>0</v>
      </c>
      <c r="H494" s="245">
        <f ca="1">SUMIFS(rec.uni[2025-05-01],
INDIRECT("rec.uni[natureza]"),"taxa.extra",
INDIRECT("rec.uni[empresa]"),$A$289)</f>
        <v>0</v>
      </c>
      <c r="I494" s="245">
        <f ca="1">SUMIFS(rec.uni[2025-06-01],
INDIRECT("rec.uni[natureza]"),"taxa.extra",
INDIRECT("rec.uni[empresa]"),$A$289)</f>
        <v>0</v>
      </c>
      <c r="J494" s="245">
        <f ca="1">SUMIFS(rec.uni[2025-07-01],
INDIRECT("rec.uni[natureza]"),"taxa.extra",
INDIRECT("rec.uni[empresa]"),$A$289)</f>
        <v>0</v>
      </c>
      <c r="K494" s="245">
        <f ca="1">SUMIFS(rec.uni[2025-08-01],
INDIRECT("rec.uni[natureza]"),"taxa.extra",
INDIRECT("rec.uni[empresa]"),$A$289)</f>
        <v>0</v>
      </c>
      <c r="L494" s="245">
        <f ca="1">SUMIFS(rec.uni[2025-09-01],
INDIRECT("rec.uni[natureza]"),"taxa.extra",
INDIRECT("rec.uni[empresa]"),$A$289)</f>
        <v>0</v>
      </c>
      <c r="M494" s="245">
        <f ca="1">SUMIFS(rec.uni[2025-10-01],
INDIRECT("rec.uni[natureza]"),"taxa.extra",
INDIRECT("rec.uni[empresa]"),$A$289)</f>
        <v>0</v>
      </c>
      <c r="N494" s="245">
        <f ca="1">SUMIFS(rec.uni[2025-11-01],
INDIRECT("rec.uni[natureza]"),"taxa.extra",
INDIRECT("rec.uni[empresa]"),$A$289)</f>
        <v>0</v>
      </c>
      <c r="O494" s="245">
        <f ca="1">SUMIFS(rec.uni[2025-12-01],
INDIRECT("rec.uni[natureza]"),"taxa.extra",
INDIRECT("rec.uni[empresa]"),$A$289)</f>
        <v>0</v>
      </c>
      <c r="P494" s="245">
        <f ca="1">SUMIFS(rec.uni[2026-01-01],
INDIRECT("rec.uni[natureza]"),"taxa.extra",
INDIRECT("rec.uni[empresa]"),$A$289)</f>
        <v>0</v>
      </c>
      <c r="Q494" s="245">
        <f ca="1">SUMIFS(rec.uni[2026-02-01],
INDIRECT("rec.uni[natureza]"),"taxa.extra",
INDIRECT("rec.uni[empresa]"),$A$289)</f>
        <v>0</v>
      </c>
      <c r="R494" s="245">
        <f ca="1">SUMIFS(rec.uni[2026-03-01],
INDIRECT("rec.uni[natureza]"),"taxa.extra",
INDIRECT("rec.uni[empresa]"),$A$289)</f>
        <v>0</v>
      </c>
    </row>
    <row r="495" spans="1:18" outlineLevel="1" x14ac:dyDescent="0.25">
      <c r="A495" s="243" t="s">
        <v>539</v>
      </c>
      <c r="B495" s="243" t="s">
        <v>540</v>
      </c>
      <c r="C495" s="244" t="s">
        <v>27</v>
      </c>
      <c r="D495" s="245">
        <v>0</v>
      </c>
      <c r="E495" s="245">
        <v>0</v>
      </c>
      <c r="F495" s="245">
        <v>0</v>
      </c>
      <c r="G495" s="245">
        <v>0</v>
      </c>
      <c r="H495" s="245">
        <v>0</v>
      </c>
      <c r="I495" s="245">
        <v>0</v>
      </c>
      <c r="J495" s="245">
        <v>0</v>
      </c>
      <c r="K495" s="245">
        <v>0</v>
      </c>
      <c r="L495" s="245">
        <v>0</v>
      </c>
      <c r="M495" s="245">
        <v>0</v>
      </c>
      <c r="N495" s="245">
        <v>0</v>
      </c>
      <c r="O495" s="245">
        <v>0</v>
      </c>
      <c r="P495" s="245">
        <v>0</v>
      </c>
      <c r="Q495" s="245">
        <v>0</v>
      </c>
      <c r="R495" s="245">
        <v>0</v>
      </c>
    </row>
    <row r="496" spans="1:18" x14ac:dyDescent="0.25">
      <c r="A496" s="249" t="s">
        <v>542</v>
      </c>
      <c r="B496" s="249" t="s">
        <v>543</v>
      </c>
      <c r="C496" s="250" t="s">
        <v>522</v>
      </c>
      <c r="D496" s="251">
        <f>SUM(D497:D514)</f>
        <v>0</v>
      </c>
      <c r="E496" s="251">
        <f t="shared" ref="E496" si="515">SUM(E497:E514)</f>
        <v>0</v>
      </c>
      <c r="F496" s="251">
        <f t="shared" ref="F496" si="516">SUM(F497:F514)</f>
        <v>0</v>
      </c>
      <c r="G496" s="251">
        <f t="shared" ref="G496" si="517">SUM(G497:G514)</f>
        <v>0</v>
      </c>
      <c r="H496" s="251">
        <f t="shared" ref="H496" si="518">SUM(H497:H514)</f>
        <v>0</v>
      </c>
      <c r="I496" s="251">
        <f t="shared" ref="I496" si="519">SUM(I497:I514)</f>
        <v>0</v>
      </c>
      <c r="J496" s="251">
        <f t="shared" ref="J496" si="520">SUM(J497:J514)</f>
        <v>0</v>
      </c>
      <c r="K496" s="251">
        <f t="shared" ref="K496" si="521">SUM(K497:K514)</f>
        <v>0</v>
      </c>
      <c r="L496" s="251">
        <f t="shared" ref="L496" si="522">SUM(L497:L514)</f>
        <v>0</v>
      </c>
      <c r="M496" s="251">
        <f t="shared" ref="M496" si="523">SUM(M497:M514)</f>
        <v>0</v>
      </c>
      <c r="N496" s="251">
        <f t="shared" ref="N496" si="524">SUM(N497:N514)</f>
        <v>0</v>
      </c>
      <c r="O496" s="251">
        <f t="shared" ref="O496" si="525">SUM(O497:O514)</f>
        <v>0</v>
      </c>
      <c r="P496" s="251">
        <f t="shared" ref="P496" si="526">SUM(P497:P514)</f>
        <v>0</v>
      </c>
      <c r="Q496" s="251">
        <f t="shared" ref="Q496:R496" si="527">SUM(Q497:Q514)</f>
        <v>0</v>
      </c>
      <c r="R496" s="251">
        <f t="shared" si="527"/>
        <v>0</v>
      </c>
    </row>
    <row r="497" spans="1:18" outlineLevel="1" x14ac:dyDescent="0.25">
      <c r="A497" s="243" t="s">
        <v>544</v>
      </c>
      <c r="B497" s="243" t="s">
        <v>358</v>
      </c>
      <c r="C497" s="244" t="s">
        <v>522</v>
      </c>
      <c r="D497" s="245" cm="1">
        <f t="array" ref="D497">-SUMPRODUCT(
  desp[data.vencimento] *
  (desp[classificacao]=$B$289) *
  (desp[centro.negocio]=$B497) *
  (desp[parcela]&gt;=D$1) *
  (desp[parcela]&lt;EOMONTH(D$1,0)+1)
)</f>
        <v>0</v>
      </c>
      <c r="E497" s="245" cm="1">
        <f t="array" ref="E497">-SUMPRODUCT(
  desp[data.vencimento] *
  (desp[classificacao]=$B$289) *
  (desp[centro.negocio]=$B497) *
  (desp[parcela]&gt;=E$1) *
  (desp[parcela]&lt;EOMONTH(E$1,0)+1)
)</f>
        <v>0</v>
      </c>
      <c r="F497" s="245" cm="1">
        <f t="array" ref="F497">-SUMPRODUCT(
  desp[data.vencimento] *
  (desp[classificacao]=$B$289) *
  (desp[centro.negocio]=$B497) *
  (desp[parcela]&gt;=F$1) *
  (desp[parcela]&lt;EOMONTH(F$1,0)+1)
)</f>
        <v>0</v>
      </c>
      <c r="G497" s="245" cm="1">
        <f t="array" ref="G497">-SUMPRODUCT(
  desp[data.vencimento] *
  (desp[classificacao]=$B$289) *
  (desp[centro.negocio]=$B497) *
  (desp[parcela]&gt;=G$1) *
  (desp[parcela]&lt;EOMONTH(G$1,0)+1)
)</f>
        <v>0</v>
      </c>
      <c r="H497" s="245" cm="1">
        <f t="array" ref="H497">-SUMPRODUCT(
  desp[data.vencimento] *
  (desp[classificacao]=$B$289) *
  (desp[centro.negocio]=$B497) *
  (desp[parcela]&gt;=H$1) *
  (desp[parcela]&lt;EOMONTH(H$1,0)+1)
)</f>
        <v>0</v>
      </c>
      <c r="I497" s="245" cm="1">
        <f t="array" ref="I497">-SUMPRODUCT(
  desp[data.vencimento] *
  (desp[classificacao]=$B$289) *
  (desp[centro.negocio]=$B497) *
  (desp[parcela]&gt;=I$1) *
  (desp[parcela]&lt;EOMONTH(I$1,0)+1)
)</f>
        <v>0</v>
      </c>
      <c r="J497" s="245" cm="1">
        <f t="array" ref="J497">-SUMPRODUCT(
  desp[data.vencimento] *
  (desp[classificacao]=$B$289) *
  (desp[centro.negocio]=$B497) *
  (desp[parcela]&gt;=J$1) *
  (desp[parcela]&lt;EOMONTH(J$1,0)+1)
)</f>
        <v>0</v>
      </c>
      <c r="K497" s="245" cm="1">
        <f t="array" ref="K497">-SUMPRODUCT(
  desp[data.vencimento] *
  (desp[classificacao]=$B$289) *
  (desp[centro.negocio]=$B497) *
  (desp[parcela]&gt;=K$1) *
  (desp[parcela]&lt;EOMONTH(K$1,0)+1)
)</f>
        <v>0</v>
      </c>
      <c r="L497" s="245" cm="1">
        <f t="array" ref="L497">-SUMPRODUCT(
  desp[data.vencimento] *
  (desp[classificacao]=$B$289) *
  (desp[centro.negocio]=$B497) *
  (desp[parcela]&gt;=L$1) *
  (desp[parcela]&lt;EOMONTH(L$1,0)+1)
)</f>
        <v>0</v>
      </c>
      <c r="M497" s="245" cm="1">
        <f t="array" ref="M497">-SUMPRODUCT(
  desp[data.vencimento] *
  (desp[classificacao]=$B$289) *
  (desp[centro.negocio]=$B497) *
  (desp[parcela]&gt;=M$1) *
  (desp[parcela]&lt;EOMONTH(M$1,0)+1)
)</f>
        <v>0</v>
      </c>
      <c r="N497" s="245" cm="1">
        <f t="array" ref="N497">-SUMPRODUCT(
  desp[data.vencimento] *
  (desp[classificacao]=$B$289) *
  (desp[centro.negocio]=$B497) *
  (desp[parcela]&gt;=N$1) *
  (desp[parcela]&lt;EOMONTH(N$1,0)+1)
)</f>
        <v>0</v>
      </c>
      <c r="O497" s="245" cm="1">
        <f t="array" ref="O497">-SUMPRODUCT(
  desp[data.vencimento] *
  (desp[classificacao]=$B$289) *
  (desp[centro.negocio]=$B497) *
  (desp[parcela]&gt;=O$1) *
  (desp[parcela]&lt;EOMONTH(O$1,0)+1)
)</f>
        <v>0</v>
      </c>
      <c r="P497" s="245" cm="1">
        <f t="array" ref="P497">-SUMPRODUCT(
  desp[data.vencimento] *
  (desp[classificacao]=$B$289) *
  (desp[centro.negocio]=$B497) *
  (desp[parcela]&gt;=P$1) *
  (desp[parcela]&lt;EOMONTH(P$1,0)+1)
)</f>
        <v>0</v>
      </c>
      <c r="Q497" s="245" cm="1">
        <f t="array" ref="Q497">-SUMPRODUCT(
  desp[data.vencimento] *
  (desp[classificacao]=$B$289) *
  (desp[centro.negocio]=$B497) *
  (desp[parcela]&gt;=Q$1) *
  (desp[parcela]&lt;EOMONTH(Q$1,0)+1)
)</f>
        <v>0</v>
      </c>
      <c r="R497" s="245" cm="1">
        <f t="array" ref="R497">-SUMPRODUCT(
  desp[data.vencimento] *
  (desp[classificacao]=$B$289) *
  (desp[centro.negocio]=$B497) *
  (desp[parcela]&gt;=R$1) *
  (desp[parcela]&lt;EOMONTH(R$1,0)+1)
)</f>
        <v>0</v>
      </c>
    </row>
    <row r="498" spans="1:18" outlineLevel="1" x14ac:dyDescent="0.25">
      <c r="A498" s="243" t="s">
        <v>565</v>
      </c>
      <c r="B498" s="243" t="s">
        <v>398</v>
      </c>
      <c r="C498" s="244" t="s">
        <v>522</v>
      </c>
      <c r="D498" s="245" cm="1">
        <f t="array" ref="D498">-SUMPRODUCT(
  desp[data.vencimento] *
  (desp[classificacao]=$B$289) *
  (desp[centro.negocio]=$B498) *
  (desp[parcela]&gt;=D$1) *
  (desp[parcela]&lt;EOMONTH(D$1,0)+1)
)</f>
        <v>0</v>
      </c>
      <c r="E498" s="245" cm="1">
        <f t="array" ref="E498">-SUMPRODUCT(
  desp[data.vencimento] *
  (desp[classificacao]=$B$289) *
  (desp[centro.negocio]=$B498) *
  (desp[parcela]&gt;=E$1) *
  (desp[parcela]&lt;EOMONTH(E$1,0)+1)
)</f>
        <v>0</v>
      </c>
      <c r="F498" s="245" cm="1">
        <f t="array" ref="F498">-SUMPRODUCT(
  desp[data.vencimento] *
  (desp[classificacao]=$B$289) *
  (desp[centro.negocio]=$B498) *
  (desp[parcela]&gt;=F$1) *
  (desp[parcela]&lt;EOMONTH(F$1,0)+1)
)</f>
        <v>0</v>
      </c>
      <c r="G498" s="245" cm="1">
        <f t="array" ref="G498">-SUMPRODUCT(
  desp[data.vencimento] *
  (desp[classificacao]=$B$289) *
  (desp[centro.negocio]=$B498) *
  (desp[parcela]&gt;=G$1) *
  (desp[parcela]&lt;EOMONTH(G$1,0)+1)
)</f>
        <v>0</v>
      </c>
      <c r="H498" s="245" cm="1">
        <f t="array" ref="H498">-SUMPRODUCT(
  desp[data.vencimento] *
  (desp[classificacao]=$B$289) *
  (desp[centro.negocio]=$B498) *
  (desp[parcela]&gt;=H$1) *
  (desp[parcela]&lt;EOMONTH(H$1,0)+1)
)</f>
        <v>0</v>
      </c>
      <c r="I498" s="245" cm="1">
        <f t="array" ref="I498">-SUMPRODUCT(
  desp[data.vencimento] *
  (desp[classificacao]=$B$289) *
  (desp[centro.negocio]=$B498) *
  (desp[parcela]&gt;=I$1) *
  (desp[parcela]&lt;EOMONTH(I$1,0)+1)
)</f>
        <v>0</v>
      </c>
      <c r="J498" s="245" cm="1">
        <f t="array" ref="J498">-SUMPRODUCT(
  desp[data.vencimento] *
  (desp[classificacao]=$B$289) *
  (desp[centro.negocio]=$B498) *
  (desp[parcela]&gt;=J$1) *
  (desp[parcela]&lt;EOMONTH(J$1,0)+1)
)</f>
        <v>0</v>
      </c>
      <c r="K498" s="245" cm="1">
        <f t="array" ref="K498">-SUMPRODUCT(
  desp[data.vencimento] *
  (desp[classificacao]=$B$289) *
  (desp[centro.negocio]=$B498) *
  (desp[parcela]&gt;=K$1) *
  (desp[parcela]&lt;EOMONTH(K$1,0)+1)
)</f>
        <v>0</v>
      </c>
      <c r="L498" s="245" cm="1">
        <f t="array" ref="L498">-SUMPRODUCT(
  desp[data.vencimento] *
  (desp[classificacao]=$B$289) *
  (desp[centro.negocio]=$B498) *
  (desp[parcela]&gt;=L$1) *
  (desp[parcela]&lt;EOMONTH(L$1,0)+1)
)</f>
        <v>0</v>
      </c>
      <c r="M498" s="245" cm="1">
        <f t="array" ref="M498">-SUMPRODUCT(
  desp[data.vencimento] *
  (desp[classificacao]=$B$289) *
  (desp[centro.negocio]=$B498) *
  (desp[parcela]&gt;=M$1) *
  (desp[parcela]&lt;EOMONTH(M$1,0)+1)
)</f>
        <v>0</v>
      </c>
      <c r="N498" s="245" cm="1">
        <f t="array" ref="N498">-SUMPRODUCT(
  desp[data.vencimento] *
  (desp[classificacao]=$B$289) *
  (desp[centro.negocio]=$B498) *
  (desp[parcela]&gt;=N$1) *
  (desp[parcela]&lt;EOMONTH(N$1,0)+1)
)</f>
        <v>0</v>
      </c>
      <c r="O498" s="245" cm="1">
        <f t="array" ref="O498">-SUMPRODUCT(
  desp[data.vencimento] *
  (desp[classificacao]=$B$289) *
  (desp[centro.negocio]=$B498) *
  (desp[parcela]&gt;=O$1) *
  (desp[parcela]&lt;EOMONTH(O$1,0)+1)
)</f>
        <v>0</v>
      </c>
      <c r="P498" s="245" cm="1">
        <f t="array" ref="P498">-SUMPRODUCT(
  desp[data.vencimento] *
  (desp[classificacao]=$B$289) *
  (desp[centro.negocio]=$B498) *
  (desp[parcela]&gt;=P$1) *
  (desp[parcela]&lt;EOMONTH(P$1,0)+1)
)</f>
        <v>0</v>
      </c>
      <c r="Q498" s="245" cm="1">
        <f t="array" ref="Q498">-SUMPRODUCT(
  desp[data.vencimento] *
  (desp[classificacao]=$B$289) *
  (desp[centro.negocio]=$B498) *
  (desp[parcela]&gt;=Q$1) *
  (desp[parcela]&lt;EOMONTH(Q$1,0)+1)
)</f>
        <v>0</v>
      </c>
      <c r="R498" s="245" cm="1">
        <f t="array" ref="R498">-SUMPRODUCT(
  desp[data.vencimento] *
  (desp[classificacao]=$B$289) *
  (desp[centro.negocio]=$B498) *
  (desp[parcela]&gt;=R$1) *
  (desp[parcela]&lt;EOMONTH(R$1,0)+1)
)</f>
        <v>0</v>
      </c>
    </row>
    <row r="499" spans="1:18" outlineLevel="1" x14ac:dyDescent="0.25">
      <c r="A499" s="243" t="s">
        <v>573</v>
      </c>
      <c r="B499" s="243" t="s">
        <v>356</v>
      </c>
      <c r="C499" s="244" t="s">
        <v>522</v>
      </c>
      <c r="D499" s="245" cm="1">
        <f t="array" ref="D499">-SUMPRODUCT(
  desp[data.vencimento] *
  (desp[classificacao]=$B$289) *
  (desp[centro.negocio]=$B499) *
  (desp[parcela]&gt;=D$1) *
  (desp[parcela]&lt;EOMONTH(D$1,0)+1)
)</f>
        <v>0</v>
      </c>
      <c r="E499" s="245" cm="1">
        <f t="array" ref="E499">-SUMPRODUCT(
  desp[data.vencimento] *
  (desp[classificacao]=$B$289) *
  (desp[centro.negocio]=$B499) *
  (desp[parcela]&gt;=E$1) *
  (desp[parcela]&lt;EOMONTH(E$1,0)+1)
)</f>
        <v>0</v>
      </c>
      <c r="F499" s="245" cm="1">
        <f t="array" ref="F499">-SUMPRODUCT(
  desp[data.vencimento] *
  (desp[classificacao]=$B$289) *
  (desp[centro.negocio]=$B499) *
  (desp[parcela]&gt;=F$1) *
  (desp[parcela]&lt;EOMONTH(F$1,0)+1)
)</f>
        <v>0</v>
      </c>
      <c r="G499" s="245" cm="1">
        <f t="array" ref="G499">-SUMPRODUCT(
  desp[data.vencimento] *
  (desp[classificacao]=$B$289) *
  (desp[centro.negocio]=$B499) *
  (desp[parcela]&gt;=G$1) *
  (desp[parcela]&lt;EOMONTH(G$1,0)+1)
)</f>
        <v>0</v>
      </c>
      <c r="H499" s="245" cm="1">
        <f t="array" ref="H499">-SUMPRODUCT(
  desp[data.vencimento] *
  (desp[classificacao]=$B$289) *
  (desp[centro.negocio]=$B499) *
  (desp[parcela]&gt;=H$1) *
  (desp[parcela]&lt;EOMONTH(H$1,0)+1)
)</f>
        <v>0</v>
      </c>
      <c r="I499" s="245" cm="1">
        <f t="array" ref="I499">-SUMPRODUCT(
  desp[data.vencimento] *
  (desp[classificacao]=$B$289) *
  (desp[centro.negocio]=$B499) *
  (desp[parcela]&gt;=I$1) *
  (desp[parcela]&lt;EOMONTH(I$1,0)+1)
)</f>
        <v>0</v>
      </c>
      <c r="J499" s="245" cm="1">
        <f t="array" ref="J499">-SUMPRODUCT(
  desp[data.vencimento] *
  (desp[classificacao]=$B$289) *
  (desp[centro.negocio]=$B499) *
  (desp[parcela]&gt;=J$1) *
  (desp[parcela]&lt;EOMONTH(J$1,0)+1)
)</f>
        <v>0</v>
      </c>
      <c r="K499" s="245" cm="1">
        <f t="array" ref="K499">-SUMPRODUCT(
  desp[data.vencimento] *
  (desp[classificacao]=$B$289) *
  (desp[centro.negocio]=$B499) *
  (desp[parcela]&gt;=K$1) *
  (desp[parcela]&lt;EOMONTH(K$1,0)+1)
)</f>
        <v>0</v>
      </c>
      <c r="L499" s="245" cm="1">
        <f t="array" ref="L499">-SUMPRODUCT(
  desp[data.vencimento] *
  (desp[classificacao]=$B$289) *
  (desp[centro.negocio]=$B499) *
  (desp[parcela]&gt;=L$1) *
  (desp[parcela]&lt;EOMONTH(L$1,0)+1)
)</f>
        <v>0</v>
      </c>
      <c r="M499" s="245" cm="1">
        <f t="array" ref="M499">-SUMPRODUCT(
  desp[data.vencimento] *
  (desp[classificacao]=$B$289) *
  (desp[centro.negocio]=$B499) *
  (desp[parcela]&gt;=M$1) *
  (desp[parcela]&lt;EOMONTH(M$1,0)+1)
)</f>
        <v>0</v>
      </c>
      <c r="N499" s="245" cm="1">
        <f t="array" ref="N499">-SUMPRODUCT(
  desp[data.vencimento] *
  (desp[classificacao]=$B$289) *
  (desp[centro.negocio]=$B499) *
  (desp[parcela]&gt;=N$1) *
  (desp[parcela]&lt;EOMONTH(N$1,0)+1)
)</f>
        <v>0</v>
      </c>
      <c r="O499" s="245" cm="1">
        <f t="array" ref="O499">-SUMPRODUCT(
  desp[data.vencimento] *
  (desp[classificacao]=$B$289) *
  (desp[centro.negocio]=$B499) *
  (desp[parcela]&gt;=O$1) *
  (desp[parcela]&lt;EOMONTH(O$1,0)+1)
)</f>
        <v>0</v>
      </c>
      <c r="P499" s="245" cm="1">
        <f t="array" ref="P499">-SUMPRODUCT(
  desp[data.vencimento] *
  (desp[classificacao]=$B$289) *
  (desp[centro.negocio]=$B499) *
  (desp[parcela]&gt;=P$1) *
  (desp[parcela]&lt;EOMONTH(P$1,0)+1)
)</f>
        <v>0</v>
      </c>
      <c r="Q499" s="245" cm="1">
        <f t="array" ref="Q499">-SUMPRODUCT(
  desp[data.vencimento] *
  (desp[classificacao]=$B$289) *
  (desp[centro.negocio]=$B499) *
  (desp[parcela]&gt;=Q$1) *
  (desp[parcela]&lt;EOMONTH(Q$1,0)+1)
)</f>
        <v>0</v>
      </c>
      <c r="R499" s="245" cm="1">
        <f t="array" ref="R499">-SUMPRODUCT(
  desp[data.vencimento] *
  (desp[classificacao]=$B$289) *
  (desp[centro.negocio]=$B499) *
  (desp[parcela]&gt;=R$1) *
  (desp[parcela]&lt;EOMONTH(R$1,0)+1)
)</f>
        <v>0</v>
      </c>
    </row>
    <row r="500" spans="1:18" outlineLevel="1" x14ac:dyDescent="0.25">
      <c r="A500" s="243" t="s">
        <v>589</v>
      </c>
      <c r="B500" s="243" t="s">
        <v>343</v>
      </c>
      <c r="C500" s="244" t="s">
        <v>522</v>
      </c>
      <c r="D500" s="245" cm="1">
        <f t="array" ref="D500">-SUMPRODUCT(
  desp[data.vencimento] *
  (desp[classificacao]=$B$289) *
  (desp[centro.negocio]=$B500) *
  (desp[parcela]&gt;=D$1) *
  (desp[parcela]&lt;EOMONTH(D$1,0)+1)
)</f>
        <v>0</v>
      </c>
      <c r="E500" s="245" cm="1">
        <f t="array" ref="E500">-SUMPRODUCT(
  desp[data.vencimento] *
  (desp[classificacao]=$B$289) *
  (desp[centro.negocio]=$B500) *
  (desp[parcela]&gt;=E$1) *
  (desp[parcela]&lt;EOMONTH(E$1,0)+1)
)</f>
        <v>0</v>
      </c>
      <c r="F500" s="245" cm="1">
        <f t="array" ref="F500">-SUMPRODUCT(
  desp[data.vencimento] *
  (desp[classificacao]=$B$289) *
  (desp[centro.negocio]=$B500) *
  (desp[parcela]&gt;=F$1) *
  (desp[parcela]&lt;EOMONTH(F$1,0)+1)
)</f>
        <v>0</v>
      </c>
      <c r="G500" s="245" cm="1">
        <f t="array" ref="G500">-SUMPRODUCT(
  desp[data.vencimento] *
  (desp[classificacao]=$B$289) *
  (desp[centro.negocio]=$B500) *
  (desp[parcela]&gt;=G$1) *
  (desp[parcela]&lt;EOMONTH(G$1,0)+1)
)</f>
        <v>0</v>
      </c>
      <c r="H500" s="245" cm="1">
        <f t="array" ref="H500">-SUMPRODUCT(
  desp[data.vencimento] *
  (desp[classificacao]=$B$289) *
  (desp[centro.negocio]=$B500) *
  (desp[parcela]&gt;=H$1) *
  (desp[parcela]&lt;EOMONTH(H$1,0)+1)
)</f>
        <v>0</v>
      </c>
      <c r="I500" s="245" cm="1">
        <f t="array" ref="I500">-SUMPRODUCT(
  desp[data.vencimento] *
  (desp[classificacao]=$B$289) *
  (desp[centro.negocio]=$B500) *
  (desp[parcela]&gt;=I$1) *
  (desp[parcela]&lt;EOMONTH(I$1,0)+1)
)</f>
        <v>0</v>
      </c>
      <c r="J500" s="245" cm="1">
        <f t="array" ref="J500">-SUMPRODUCT(
  desp[data.vencimento] *
  (desp[classificacao]=$B$289) *
  (desp[centro.negocio]=$B500) *
  (desp[parcela]&gt;=J$1) *
  (desp[parcela]&lt;EOMONTH(J$1,0)+1)
)</f>
        <v>0</v>
      </c>
      <c r="K500" s="245" cm="1">
        <f t="array" ref="K500">-SUMPRODUCT(
  desp[data.vencimento] *
  (desp[classificacao]=$B$289) *
  (desp[centro.negocio]=$B500) *
  (desp[parcela]&gt;=K$1) *
  (desp[parcela]&lt;EOMONTH(K$1,0)+1)
)</f>
        <v>0</v>
      </c>
      <c r="L500" s="245" cm="1">
        <f t="array" ref="L500">-SUMPRODUCT(
  desp[data.vencimento] *
  (desp[classificacao]=$B$289) *
  (desp[centro.negocio]=$B500) *
  (desp[parcela]&gt;=L$1) *
  (desp[parcela]&lt;EOMONTH(L$1,0)+1)
)</f>
        <v>0</v>
      </c>
      <c r="M500" s="245" cm="1">
        <f t="array" ref="M500">-SUMPRODUCT(
  desp[data.vencimento] *
  (desp[classificacao]=$B$289) *
  (desp[centro.negocio]=$B500) *
  (desp[parcela]&gt;=M$1) *
  (desp[parcela]&lt;EOMONTH(M$1,0)+1)
)</f>
        <v>0</v>
      </c>
      <c r="N500" s="245" cm="1">
        <f t="array" ref="N500">-SUMPRODUCT(
  desp[data.vencimento] *
  (desp[classificacao]=$B$289) *
  (desp[centro.negocio]=$B500) *
  (desp[parcela]&gt;=N$1) *
  (desp[parcela]&lt;EOMONTH(N$1,0)+1)
)</f>
        <v>0</v>
      </c>
      <c r="O500" s="245" cm="1">
        <f t="array" ref="O500">-SUMPRODUCT(
  desp[data.vencimento] *
  (desp[classificacao]=$B$289) *
  (desp[centro.negocio]=$B500) *
  (desp[parcela]&gt;=O$1) *
  (desp[parcela]&lt;EOMONTH(O$1,0)+1)
)</f>
        <v>0</v>
      </c>
      <c r="P500" s="245" cm="1">
        <f t="array" ref="P500">-SUMPRODUCT(
  desp[data.vencimento] *
  (desp[classificacao]=$B$289) *
  (desp[centro.negocio]=$B500) *
  (desp[parcela]&gt;=P$1) *
  (desp[parcela]&lt;EOMONTH(P$1,0)+1)
)</f>
        <v>0</v>
      </c>
      <c r="Q500" s="245" cm="1">
        <f t="array" ref="Q500">-SUMPRODUCT(
  desp[data.vencimento] *
  (desp[classificacao]=$B$289) *
  (desp[centro.negocio]=$B500) *
  (desp[parcela]&gt;=Q$1) *
  (desp[parcela]&lt;EOMONTH(Q$1,0)+1)
)</f>
        <v>0</v>
      </c>
      <c r="R500" s="245" cm="1">
        <f t="array" ref="R500">-SUMPRODUCT(
  desp[data.vencimento] *
  (desp[classificacao]=$B$289) *
  (desp[centro.negocio]=$B500) *
  (desp[parcela]&gt;=R$1) *
  (desp[parcela]&lt;EOMONTH(R$1,0)+1)
)</f>
        <v>0</v>
      </c>
    </row>
    <row r="501" spans="1:18" outlineLevel="1" x14ac:dyDescent="0.25">
      <c r="A501" s="243" t="s">
        <v>591</v>
      </c>
      <c r="B501" s="243" t="s">
        <v>380</v>
      </c>
      <c r="C501" s="244" t="s">
        <v>522</v>
      </c>
      <c r="D501" s="245" cm="1">
        <f t="array" ref="D501">-SUMPRODUCT(
  desp[data.vencimento] *
  (desp[classificacao]=$B$289) *
  (desp[centro.negocio]=$B501) *
  (desp[parcela]&gt;=D$1) *
  (desp[parcela]&lt;EOMONTH(D$1,0)+1)
)</f>
        <v>0</v>
      </c>
      <c r="E501" s="245" cm="1">
        <f t="array" ref="E501">-SUMPRODUCT(
  desp[data.vencimento] *
  (desp[classificacao]=$B$289) *
  (desp[centro.negocio]=$B501) *
  (desp[parcela]&gt;=E$1) *
  (desp[parcela]&lt;EOMONTH(E$1,0)+1)
)</f>
        <v>0</v>
      </c>
      <c r="F501" s="245" cm="1">
        <f t="array" ref="F501">-SUMPRODUCT(
  desp[data.vencimento] *
  (desp[classificacao]=$B$289) *
  (desp[centro.negocio]=$B501) *
  (desp[parcela]&gt;=F$1) *
  (desp[parcela]&lt;EOMONTH(F$1,0)+1)
)</f>
        <v>0</v>
      </c>
      <c r="G501" s="245" cm="1">
        <f t="array" ref="G501">-SUMPRODUCT(
  desp[data.vencimento] *
  (desp[classificacao]=$B$289) *
  (desp[centro.negocio]=$B501) *
  (desp[parcela]&gt;=G$1) *
  (desp[parcela]&lt;EOMONTH(G$1,0)+1)
)</f>
        <v>0</v>
      </c>
      <c r="H501" s="245" cm="1">
        <f t="array" ref="H501">-SUMPRODUCT(
  desp[data.vencimento] *
  (desp[classificacao]=$B$289) *
  (desp[centro.negocio]=$B501) *
  (desp[parcela]&gt;=H$1) *
  (desp[parcela]&lt;EOMONTH(H$1,0)+1)
)</f>
        <v>0</v>
      </c>
      <c r="I501" s="245" cm="1">
        <f t="array" ref="I501">-SUMPRODUCT(
  desp[data.vencimento] *
  (desp[classificacao]=$B$289) *
  (desp[centro.negocio]=$B501) *
  (desp[parcela]&gt;=I$1) *
  (desp[parcela]&lt;EOMONTH(I$1,0)+1)
)</f>
        <v>0</v>
      </c>
      <c r="J501" s="245" cm="1">
        <f t="array" ref="J501">-SUMPRODUCT(
  desp[data.vencimento] *
  (desp[classificacao]=$B$289) *
  (desp[centro.negocio]=$B501) *
  (desp[parcela]&gt;=J$1) *
  (desp[parcela]&lt;EOMONTH(J$1,0)+1)
)</f>
        <v>0</v>
      </c>
      <c r="K501" s="245" cm="1">
        <f t="array" ref="K501">-SUMPRODUCT(
  desp[data.vencimento] *
  (desp[classificacao]=$B$289) *
  (desp[centro.negocio]=$B501) *
  (desp[parcela]&gt;=K$1) *
  (desp[parcela]&lt;EOMONTH(K$1,0)+1)
)</f>
        <v>0</v>
      </c>
      <c r="L501" s="245" cm="1">
        <f t="array" ref="L501">-SUMPRODUCT(
  desp[data.vencimento] *
  (desp[classificacao]=$B$289) *
  (desp[centro.negocio]=$B501) *
  (desp[parcela]&gt;=L$1) *
  (desp[parcela]&lt;EOMONTH(L$1,0)+1)
)</f>
        <v>0</v>
      </c>
      <c r="M501" s="245" cm="1">
        <f t="array" ref="M501">-SUMPRODUCT(
  desp[data.vencimento] *
  (desp[classificacao]=$B$289) *
  (desp[centro.negocio]=$B501) *
  (desp[parcela]&gt;=M$1) *
  (desp[parcela]&lt;EOMONTH(M$1,0)+1)
)</f>
        <v>0</v>
      </c>
      <c r="N501" s="245" cm="1">
        <f t="array" ref="N501">-SUMPRODUCT(
  desp[data.vencimento] *
  (desp[classificacao]=$B$289) *
  (desp[centro.negocio]=$B501) *
  (desp[parcela]&gt;=N$1) *
  (desp[parcela]&lt;EOMONTH(N$1,0)+1)
)</f>
        <v>0</v>
      </c>
      <c r="O501" s="245" cm="1">
        <f t="array" ref="O501">-SUMPRODUCT(
  desp[data.vencimento] *
  (desp[classificacao]=$B$289) *
  (desp[centro.negocio]=$B501) *
  (desp[parcela]&gt;=O$1) *
  (desp[parcela]&lt;EOMONTH(O$1,0)+1)
)</f>
        <v>0</v>
      </c>
      <c r="P501" s="245" cm="1">
        <f t="array" ref="P501">-SUMPRODUCT(
  desp[data.vencimento] *
  (desp[classificacao]=$B$289) *
  (desp[centro.negocio]=$B501) *
  (desp[parcela]&gt;=P$1) *
  (desp[parcela]&lt;EOMONTH(P$1,0)+1)
)</f>
        <v>0</v>
      </c>
      <c r="Q501" s="245" cm="1">
        <f t="array" ref="Q501">-SUMPRODUCT(
  desp[data.vencimento] *
  (desp[classificacao]=$B$289) *
  (desp[centro.negocio]=$B501) *
  (desp[parcela]&gt;=Q$1) *
  (desp[parcela]&lt;EOMONTH(Q$1,0)+1)
)</f>
        <v>0</v>
      </c>
      <c r="R501" s="245" cm="1">
        <f t="array" ref="R501">-SUMPRODUCT(
  desp[data.vencimento] *
  (desp[classificacao]=$B$289) *
  (desp[centro.negocio]=$B501) *
  (desp[parcela]&gt;=R$1) *
  (desp[parcela]&lt;EOMONTH(R$1,0)+1)
)</f>
        <v>0</v>
      </c>
    </row>
    <row r="502" spans="1:18" outlineLevel="1" x14ac:dyDescent="0.25">
      <c r="A502" s="243" t="s">
        <v>597</v>
      </c>
      <c r="B502" s="243" t="s">
        <v>375</v>
      </c>
      <c r="C502" s="244" t="s">
        <v>522</v>
      </c>
      <c r="D502" s="245" cm="1">
        <f t="array" ref="D502">-SUMPRODUCT(
  desp[data.vencimento] *
  (desp[classificacao]=$B$289) *
  (desp[centro.negocio]=$B502) *
  (desp[parcela]&gt;=D$1) *
  (desp[parcela]&lt;EOMONTH(D$1,0)+1)
)</f>
        <v>0</v>
      </c>
      <c r="E502" s="245" cm="1">
        <f t="array" ref="E502">-SUMPRODUCT(
  desp[data.vencimento] *
  (desp[classificacao]=$B$289) *
  (desp[centro.negocio]=$B502) *
  (desp[parcela]&gt;=E$1) *
  (desp[parcela]&lt;EOMONTH(E$1,0)+1)
)</f>
        <v>0</v>
      </c>
      <c r="F502" s="245" cm="1">
        <f t="array" ref="F502">-SUMPRODUCT(
  desp[data.vencimento] *
  (desp[classificacao]=$B$289) *
  (desp[centro.negocio]=$B502) *
  (desp[parcela]&gt;=F$1) *
  (desp[parcela]&lt;EOMONTH(F$1,0)+1)
)</f>
        <v>0</v>
      </c>
      <c r="G502" s="245" cm="1">
        <f t="array" ref="G502">-SUMPRODUCT(
  desp[data.vencimento] *
  (desp[classificacao]=$B$289) *
  (desp[centro.negocio]=$B502) *
  (desp[parcela]&gt;=G$1) *
  (desp[parcela]&lt;EOMONTH(G$1,0)+1)
)</f>
        <v>0</v>
      </c>
      <c r="H502" s="245" cm="1">
        <f t="array" ref="H502">-SUMPRODUCT(
  desp[data.vencimento] *
  (desp[classificacao]=$B$289) *
  (desp[centro.negocio]=$B502) *
  (desp[parcela]&gt;=H$1) *
  (desp[parcela]&lt;EOMONTH(H$1,0)+1)
)</f>
        <v>0</v>
      </c>
      <c r="I502" s="245" cm="1">
        <f t="array" ref="I502">-SUMPRODUCT(
  desp[data.vencimento] *
  (desp[classificacao]=$B$289) *
  (desp[centro.negocio]=$B502) *
  (desp[parcela]&gt;=I$1) *
  (desp[parcela]&lt;EOMONTH(I$1,0)+1)
)</f>
        <v>0</v>
      </c>
      <c r="J502" s="245" cm="1">
        <f t="array" ref="J502">-SUMPRODUCT(
  desp[data.vencimento] *
  (desp[classificacao]=$B$289) *
  (desp[centro.negocio]=$B502) *
  (desp[parcela]&gt;=J$1) *
  (desp[parcela]&lt;EOMONTH(J$1,0)+1)
)</f>
        <v>0</v>
      </c>
      <c r="K502" s="245" cm="1">
        <f t="array" ref="K502">-SUMPRODUCT(
  desp[data.vencimento] *
  (desp[classificacao]=$B$289) *
  (desp[centro.negocio]=$B502) *
  (desp[parcela]&gt;=K$1) *
  (desp[parcela]&lt;EOMONTH(K$1,0)+1)
)</f>
        <v>0</v>
      </c>
      <c r="L502" s="245" cm="1">
        <f t="array" ref="L502">-SUMPRODUCT(
  desp[data.vencimento] *
  (desp[classificacao]=$B$289) *
  (desp[centro.negocio]=$B502) *
  (desp[parcela]&gt;=L$1) *
  (desp[parcela]&lt;EOMONTH(L$1,0)+1)
)</f>
        <v>0</v>
      </c>
      <c r="M502" s="245" cm="1">
        <f t="array" ref="M502">-SUMPRODUCT(
  desp[data.vencimento] *
  (desp[classificacao]=$B$289) *
  (desp[centro.negocio]=$B502) *
  (desp[parcela]&gt;=M$1) *
  (desp[parcela]&lt;EOMONTH(M$1,0)+1)
)</f>
        <v>0</v>
      </c>
      <c r="N502" s="245" cm="1">
        <f t="array" ref="N502">-SUMPRODUCT(
  desp[data.vencimento] *
  (desp[classificacao]=$B$289) *
  (desp[centro.negocio]=$B502) *
  (desp[parcela]&gt;=N$1) *
  (desp[parcela]&lt;EOMONTH(N$1,0)+1)
)</f>
        <v>0</v>
      </c>
      <c r="O502" s="245" cm="1">
        <f t="array" ref="O502">-SUMPRODUCT(
  desp[data.vencimento] *
  (desp[classificacao]=$B$289) *
  (desp[centro.negocio]=$B502) *
  (desp[parcela]&gt;=O$1) *
  (desp[parcela]&lt;EOMONTH(O$1,0)+1)
)</f>
        <v>0</v>
      </c>
      <c r="P502" s="245" cm="1">
        <f t="array" ref="P502">-SUMPRODUCT(
  desp[data.vencimento] *
  (desp[classificacao]=$B$289) *
  (desp[centro.negocio]=$B502) *
  (desp[parcela]&gt;=P$1) *
  (desp[parcela]&lt;EOMONTH(P$1,0)+1)
)</f>
        <v>0</v>
      </c>
      <c r="Q502" s="245" cm="1">
        <f t="array" ref="Q502">-SUMPRODUCT(
  desp[data.vencimento] *
  (desp[classificacao]=$B$289) *
  (desp[centro.negocio]=$B502) *
  (desp[parcela]&gt;=Q$1) *
  (desp[parcela]&lt;EOMONTH(Q$1,0)+1)
)</f>
        <v>0</v>
      </c>
      <c r="R502" s="245" cm="1">
        <f t="array" ref="R502">-SUMPRODUCT(
  desp[data.vencimento] *
  (desp[classificacao]=$B$289) *
  (desp[centro.negocio]=$B502) *
  (desp[parcela]&gt;=R$1) *
  (desp[parcela]&lt;EOMONTH(R$1,0)+1)
)</f>
        <v>0</v>
      </c>
    </row>
    <row r="503" spans="1:18" outlineLevel="1" x14ac:dyDescent="0.25">
      <c r="A503" s="243" t="s">
        <v>599</v>
      </c>
      <c r="B503" s="243" t="s">
        <v>376</v>
      </c>
      <c r="C503" s="244" t="s">
        <v>522</v>
      </c>
      <c r="D503" s="245" cm="1">
        <f t="array" ref="D503">-SUMPRODUCT(
  desp[data.vencimento] *
  (desp[classificacao]=$B$289) *
  (desp[centro.negocio]=$B503) *
  (desp[parcela]&gt;=D$1) *
  (desp[parcela]&lt;EOMONTH(D$1,0)+1)
)</f>
        <v>0</v>
      </c>
      <c r="E503" s="245" cm="1">
        <f t="array" ref="E503">-SUMPRODUCT(
  desp[data.vencimento] *
  (desp[classificacao]=$B$289) *
  (desp[centro.negocio]=$B503) *
  (desp[parcela]&gt;=E$1) *
  (desp[parcela]&lt;EOMONTH(E$1,0)+1)
)</f>
        <v>0</v>
      </c>
      <c r="F503" s="245" cm="1">
        <f t="array" ref="F503">-SUMPRODUCT(
  desp[data.vencimento] *
  (desp[classificacao]=$B$289) *
  (desp[centro.negocio]=$B503) *
  (desp[parcela]&gt;=F$1) *
  (desp[parcela]&lt;EOMONTH(F$1,0)+1)
)</f>
        <v>0</v>
      </c>
      <c r="G503" s="245" cm="1">
        <f t="array" ref="G503">-SUMPRODUCT(
  desp[data.vencimento] *
  (desp[classificacao]=$B$289) *
  (desp[centro.negocio]=$B503) *
  (desp[parcela]&gt;=G$1) *
  (desp[parcela]&lt;EOMONTH(G$1,0)+1)
)</f>
        <v>0</v>
      </c>
      <c r="H503" s="245" cm="1">
        <f t="array" ref="H503">-SUMPRODUCT(
  desp[data.vencimento] *
  (desp[classificacao]=$B$289) *
  (desp[centro.negocio]=$B503) *
  (desp[parcela]&gt;=H$1) *
  (desp[parcela]&lt;EOMONTH(H$1,0)+1)
)</f>
        <v>0</v>
      </c>
      <c r="I503" s="245" cm="1">
        <f t="array" ref="I503">-SUMPRODUCT(
  desp[data.vencimento] *
  (desp[classificacao]=$B$289) *
  (desp[centro.negocio]=$B503) *
  (desp[parcela]&gt;=I$1) *
  (desp[parcela]&lt;EOMONTH(I$1,0)+1)
)</f>
        <v>0</v>
      </c>
      <c r="J503" s="245" cm="1">
        <f t="array" ref="J503">-SUMPRODUCT(
  desp[data.vencimento] *
  (desp[classificacao]=$B$289) *
  (desp[centro.negocio]=$B503) *
  (desp[parcela]&gt;=J$1) *
  (desp[parcela]&lt;EOMONTH(J$1,0)+1)
)</f>
        <v>0</v>
      </c>
      <c r="K503" s="245" cm="1">
        <f t="array" ref="K503">-SUMPRODUCT(
  desp[data.vencimento] *
  (desp[classificacao]=$B$289) *
  (desp[centro.negocio]=$B503) *
  (desp[parcela]&gt;=K$1) *
  (desp[parcela]&lt;EOMONTH(K$1,0)+1)
)</f>
        <v>0</v>
      </c>
      <c r="L503" s="245" cm="1">
        <f t="array" ref="L503">-SUMPRODUCT(
  desp[data.vencimento] *
  (desp[classificacao]=$B$289) *
  (desp[centro.negocio]=$B503) *
  (desp[parcela]&gt;=L$1) *
  (desp[parcela]&lt;EOMONTH(L$1,0)+1)
)</f>
        <v>0</v>
      </c>
      <c r="M503" s="245" cm="1">
        <f t="array" ref="M503">-SUMPRODUCT(
  desp[data.vencimento] *
  (desp[classificacao]=$B$289) *
  (desp[centro.negocio]=$B503) *
  (desp[parcela]&gt;=M$1) *
  (desp[parcela]&lt;EOMONTH(M$1,0)+1)
)</f>
        <v>0</v>
      </c>
      <c r="N503" s="245" cm="1">
        <f t="array" ref="N503">-SUMPRODUCT(
  desp[data.vencimento] *
  (desp[classificacao]=$B$289) *
  (desp[centro.negocio]=$B503) *
  (desp[parcela]&gt;=N$1) *
  (desp[parcela]&lt;EOMONTH(N$1,0)+1)
)</f>
        <v>0</v>
      </c>
      <c r="O503" s="245" cm="1">
        <f t="array" ref="O503">-SUMPRODUCT(
  desp[data.vencimento] *
  (desp[classificacao]=$B$289) *
  (desp[centro.negocio]=$B503) *
  (desp[parcela]&gt;=O$1) *
  (desp[parcela]&lt;EOMONTH(O$1,0)+1)
)</f>
        <v>0</v>
      </c>
      <c r="P503" s="245" cm="1">
        <f t="array" ref="P503">-SUMPRODUCT(
  desp[data.vencimento] *
  (desp[classificacao]=$B$289) *
  (desp[centro.negocio]=$B503) *
  (desp[parcela]&gt;=P$1) *
  (desp[parcela]&lt;EOMONTH(P$1,0)+1)
)</f>
        <v>0</v>
      </c>
      <c r="Q503" s="245" cm="1">
        <f t="array" ref="Q503">-SUMPRODUCT(
  desp[data.vencimento] *
  (desp[classificacao]=$B$289) *
  (desp[centro.negocio]=$B503) *
  (desp[parcela]&gt;=Q$1) *
  (desp[parcela]&lt;EOMONTH(Q$1,0)+1)
)</f>
        <v>0</v>
      </c>
      <c r="R503" s="245" cm="1">
        <f t="array" ref="R503">-SUMPRODUCT(
  desp[data.vencimento] *
  (desp[classificacao]=$B$289) *
  (desp[centro.negocio]=$B503) *
  (desp[parcela]&gt;=R$1) *
  (desp[parcela]&lt;EOMONTH(R$1,0)+1)
)</f>
        <v>0</v>
      </c>
    </row>
    <row r="504" spans="1:18" outlineLevel="1" x14ac:dyDescent="0.25">
      <c r="A504" s="243" t="s">
        <v>601</v>
      </c>
      <c r="B504" s="243" t="s">
        <v>374</v>
      </c>
      <c r="C504" s="244" t="s">
        <v>522</v>
      </c>
      <c r="D504" s="245" cm="1">
        <f t="array" ref="D504">-SUMPRODUCT(
  desp[data.vencimento] *
  (desp[classificacao]=$B$289) *
  (desp[centro.negocio]=$B504) *
  (desp[parcela]&gt;=D$1) *
  (desp[parcela]&lt;EOMONTH(D$1,0)+1)
)</f>
        <v>0</v>
      </c>
      <c r="E504" s="245" cm="1">
        <f t="array" ref="E504">-SUMPRODUCT(
  desp[data.vencimento] *
  (desp[classificacao]=$B$289) *
  (desp[centro.negocio]=$B504) *
  (desp[parcela]&gt;=E$1) *
  (desp[parcela]&lt;EOMONTH(E$1,0)+1)
)</f>
        <v>0</v>
      </c>
      <c r="F504" s="245" cm="1">
        <f t="array" ref="F504">-SUMPRODUCT(
  desp[data.vencimento] *
  (desp[classificacao]=$B$289) *
  (desp[centro.negocio]=$B504) *
  (desp[parcela]&gt;=F$1) *
  (desp[parcela]&lt;EOMONTH(F$1,0)+1)
)</f>
        <v>0</v>
      </c>
      <c r="G504" s="245" cm="1">
        <f t="array" ref="G504">-SUMPRODUCT(
  desp[data.vencimento] *
  (desp[classificacao]=$B$289) *
  (desp[centro.negocio]=$B504) *
  (desp[parcela]&gt;=G$1) *
  (desp[parcela]&lt;EOMONTH(G$1,0)+1)
)</f>
        <v>0</v>
      </c>
      <c r="H504" s="245" cm="1">
        <f t="array" ref="H504">-SUMPRODUCT(
  desp[data.vencimento] *
  (desp[classificacao]=$B$289) *
  (desp[centro.negocio]=$B504) *
  (desp[parcela]&gt;=H$1) *
  (desp[parcela]&lt;EOMONTH(H$1,0)+1)
)</f>
        <v>0</v>
      </c>
      <c r="I504" s="245" cm="1">
        <f t="array" ref="I504">-SUMPRODUCT(
  desp[data.vencimento] *
  (desp[classificacao]=$B$289) *
  (desp[centro.negocio]=$B504) *
  (desp[parcela]&gt;=I$1) *
  (desp[parcela]&lt;EOMONTH(I$1,0)+1)
)</f>
        <v>0</v>
      </c>
      <c r="J504" s="245" cm="1">
        <f t="array" ref="J504">-SUMPRODUCT(
  desp[data.vencimento] *
  (desp[classificacao]=$B$289) *
  (desp[centro.negocio]=$B504) *
  (desp[parcela]&gt;=J$1) *
  (desp[parcela]&lt;EOMONTH(J$1,0)+1)
)</f>
        <v>0</v>
      </c>
      <c r="K504" s="245" cm="1">
        <f t="array" ref="K504">-SUMPRODUCT(
  desp[data.vencimento] *
  (desp[classificacao]=$B$289) *
  (desp[centro.negocio]=$B504) *
  (desp[parcela]&gt;=K$1) *
  (desp[parcela]&lt;EOMONTH(K$1,0)+1)
)</f>
        <v>0</v>
      </c>
      <c r="L504" s="245" cm="1">
        <f t="array" ref="L504">-SUMPRODUCT(
  desp[data.vencimento] *
  (desp[classificacao]=$B$289) *
  (desp[centro.negocio]=$B504) *
  (desp[parcela]&gt;=L$1) *
  (desp[parcela]&lt;EOMONTH(L$1,0)+1)
)</f>
        <v>0</v>
      </c>
      <c r="M504" s="245" cm="1">
        <f t="array" ref="M504">-SUMPRODUCT(
  desp[data.vencimento] *
  (desp[classificacao]=$B$289) *
  (desp[centro.negocio]=$B504) *
  (desp[parcela]&gt;=M$1) *
  (desp[parcela]&lt;EOMONTH(M$1,0)+1)
)</f>
        <v>0</v>
      </c>
      <c r="N504" s="245" cm="1">
        <f t="array" ref="N504">-SUMPRODUCT(
  desp[data.vencimento] *
  (desp[classificacao]=$B$289) *
  (desp[centro.negocio]=$B504) *
  (desp[parcela]&gt;=N$1) *
  (desp[parcela]&lt;EOMONTH(N$1,0)+1)
)</f>
        <v>0</v>
      </c>
      <c r="O504" s="245" cm="1">
        <f t="array" ref="O504">-SUMPRODUCT(
  desp[data.vencimento] *
  (desp[classificacao]=$B$289) *
  (desp[centro.negocio]=$B504) *
  (desp[parcela]&gt;=O$1) *
  (desp[parcela]&lt;EOMONTH(O$1,0)+1)
)</f>
        <v>0</v>
      </c>
      <c r="P504" s="245" cm="1">
        <f t="array" ref="P504">-SUMPRODUCT(
  desp[data.vencimento] *
  (desp[classificacao]=$B$289) *
  (desp[centro.negocio]=$B504) *
  (desp[parcela]&gt;=P$1) *
  (desp[parcela]&lt;EOMONTH(P$1,0)+1)
)</f>
        <v>0</v>
      </c>
      <c r="Q504" s="245" cm="1">
        <f t="array" ref="Q504">-SUMPRODUCT(
  desp[data.vencimento] *
  (desp[classificacao]=$B$289) *
  (desp[centro.negocio]=$B504) *
  (desp[parcela]&gt;=Q$1) *
  (desp[parcela]&lt;EOMONTH(Q$1,0)+1)
)</f>
        <v>0</v>
      </c>
      <c r="R504" s="245" cm="1">
        <f t="array" ref="R504">-SUMPRODUCT(
  desp[data.vencimento] *
  (desp[classificacao]=$B$289) *
  (desp[centro.negocio]=$B504) *
  (desp[parcela]&gt;=R$1) *
  (desp[parcela]&lt;EOMONTH(R$1,0)+1)
)</f>
        <v>0</v>
      </c>
    </row>
    <row r="505" spans="1:18" outlineLevel="1" x14ac:dyDescent="0.25">
      <c r="A505" s="243" t="s">
        <v>603</v>
      </c>
      <c r="B505" s="243" t="s">
        <v>381</v>
      </c>
      <c r="C505" s="244" t="s">
        <v>522</v>
      </c>
      <c r="D505" s="245" cm="1">
        <f t="array" ref="D505">-SUMPRODUCT(
  desp[data.vencimento] *
  (desp[classificacao]=$B$289) *
  (desp[centro.negocio]=$B505) *
  (desp[parcela]&gt;=D$1) *
  (desp[parcela]&lt;EOMONTH(D$1,0)+1)
)</f>
        <v>0</v>
      </c>
      <c r="E505" s="245" cm="1">
        <f t="array" ref="E505">-SUMPRODUCT(
  desp[data.vencimento] *
  (desp[classificacao]=$B$289) *
  (desp[centro.negocio]=$B505) *
  (desp[parcela]&gt;=E$1) *
  (desp[parcela]&lt;EOMONTH(E$1,0)+1)
)</f>
        <v>0</v>
      </c>
      <c r="F505" s="245" cm="1">
        <f t="array" ref="F505">-SUMPRODUCT(
  desp[data.vencimento] *
  (desp[classificacao]=$B$289) *
  (desp[centro.negocio]=$B505) *
  (desp[parcela]&gt;=F$1) *
  (desp[parcela]&lt;EOMONTH(F$1,0)+1)
)</f>
        <v>0</v>
      </c>
      <c r="G505" s="245" cm="1">
        <f t="array" ref="G505">-SUMPRODUCT(
  desp[data.vencimento] *
  (desp[classificacao]=$B$289) *
  (desp[centro.negocio]=$B505) *
  (desp[parcela]&gt;=G$1) *
  (desp[parcela]&lt;EOMONTH(G$1,0)+1)
)</f>
        <v>0</v>
      </c>
      <c r="H505" s="245" cm="1">
        <f t="array" ref="H505">-SUMPRODUCT(
  desp[data.vencimento] *
  (desp[classificacao]=$B$289) *
  (desp[centro.negocio]=$B505) *
  (desp[parcela]&gt;=H$1) *
  (desp[parcela]&lt;EOMONTH(H$1,0)+1)
)</f>
        <v>0</v>
      </c>
      <c r="I505" s="245" cm="1">
        <f t="array" ref="I505">-SUMPRODUCT(
  desp[data.vencimento] *
  (desp[classificacao]=$B$289) *
  (desp[centro.negocio]=$B505) *
  (desp[parcela]&gt;=I$1) *
  (desp[parcela]&lt;EOMONTH(I$1,0)+1)
)</f>
        <v>0</v>
      </c>
      <c r="J505" s="245" cm="1">
        <f t="array" ref="J505">-SUMPRODUCT(
  desp[data.vencimento] *
  (desp[classificacao]=$B$289) *
  (desp[centro.negocio]=$B505) *
  (desp[parcela]&gt;=J$1) *
  (desp[parcela]&lt;EOMONTH(J$1,0)+1)
)</f>
        <v>0</v>
      </c>
      <c r="K505" s="245" cm="1">
        <f t="array" ref="K505">-SUMPRODUCT(
  desp[data.vencimento] *
  (desp[classificacao]=$B$289) *
  (desp[centro.negocio]=$B505) *
  (desp[parcela]&gt;=K$1) *
  (desp[parcela]&lt;EOMONTH(K$1,0)+1)
)</f>
        <v>0</v>
      </c>
      <c r="L505" s="245" cm="1">
        <f t="array" ref="L505">-SUMPRODUCT(
  desp[data.vencimento] *
  (desp[classificacao]=$B$289) *
  (desp[centro.negocio]=$B505) *
  (desp[parcela]&gt;=L$1) *
  (desp[parcela]&lt;EOMONTH(L$1,0)+1)
)</f>
        <v>0</v>
      </c>
      <c r="M505" s="245" cm="1">
        <f t="array" ref="M505">-SUMPRODUCT(
  desp[data.vencimento] *
  (desp[classificacao]=$B$289) *
  (desp[centro.negocio]=$B505) *
  (desp[parcela]&gt;=M$1) *
  (desp[parcela]&lt;EOMONTH(M$1,0)+1)
)</f>
        <v>0</v>
      </c>
      <c r="N505" s="245" cm="1">
        <f t="array" ref="N505">-SUMPRODUCT(
  desp[data.vencimento] *
  (desp[classificacao]=$B$289) *
  (desp[centro.negocio]=$B505) *
  (desp[parcela]&gt;=N$1) *
  (desp[parcela]&lt;EOMONTH(N$1,0)+1)
)</f>
        <v>0</v>
      </c>
      <c r="O505" s="245" cm="1">
        <f t="array" ref="O505">-SUMPRODUCT(
  desp[data.vencimento] *
  (desp[classificacao]=$B$289) *
  (desp[centro.negocio]=$B505) *
  (desp[parcela]&gt;=O$1) *
  (desp[parcela]&lt;EOMONTH(O$1,0)+1)
)</f>
        <v>0</v>
      </c>
      <c r="P505" s="245" cm="1">
        <f t="array" ref="P505">-SUMPRODUCT(
  desp[data.vencimento] *
  (desp[classificacao]=$B$289) *
  (desp[centro.negocio]=$B505) *
  (desp[parcela]&gt;=P$1) *
  (desp[parcela]&lt;EOMONTH(P$1,0)+1)
)</f>
        <v>0</v>
      </c>
      <c r="Q505" s="245" cm="1">
        <f t="array" ref="Q505">-SUMPRODUCT(
  desp[data.vencimento] *
  (desp[classificacao]=$B$289) *
  (desp[centro.negocio]=$B505) *
  (desp[parcela]&gt;=Q$1) *
  (desp[parcela]&lt;EOMONTH(Q$1,0)+1)
)</f>
        <v>0</v>
      </c>
      <c r="R505" s="245" cm="1">
        <f t="array" ref="R505">-SUMPRODUCT(
  desp[data.vencimento] *
  (desp[classificacao]=$B$289) *
  (desp[centro.negocio]=$B505) *
  (desp[parcela]&gt;=R$1) *
  (desp[parcela]&lt;EOMONTH(R$1,0)+1)
)</f>
        <v>0</v>
      </c>
    </row>
    <row r="506" spans="1:18" outlineLevel="1" x14ac:dyDescent="0.25">
      <c r="A506" s="243" t="s">
        <v>608</v>
      </c>
      <c r="B506" s="243" t="s">
        <v>393</v>
      </c>
      <c r="C506" s="244" t="s">
        <v>522</v>
      </c>
      <c r="D506" s="245" cm="1">
        <f t="array" ref="D506">-SUMPRODUCT(
  desp[data.vencimento] *
  (desp[classificacao]=$B$289) *
  (desp[centro.negocio]=$B506) *
  (desp[parcela]&gt;=D$1) *
  (desp[parcela]&lt;EOMONTH(D$1,0)+1)
)</f>
        <v>0</v>
      </c>
      <c r="E506" s="245" cm="1">
        <f t="array" ref="E506">-SUMPRODUCT(
  desp[data.vencimento] *
  (desp[classificacao]=$B$289) *
  (desp[centro.negocio]=$B506) *
  (desp[parcela]&gt;=E$1) *
  (desp[parcela]&lt;EOMONTH(E$1,0)+1)
)</f>
        <v>0</v>
      </c>
      <c r="F506" s="245" cm="1">
        <f t="array" ref="F506">-SUMPRODUCT(
  desp[data.vencimento] *
  (desp[classificacao]=$B$289) *
  (desp[centro.negocio]=$B506) *
  (desp[parcela]&gt;=F$1) *
  (desp[parcela]&lt;EOMONTH(F$1,0)+1)
)</f>
        <v>0</v>
      </c>
      <c r="G506" s="245" cm="1">
        <f t="array" ref="G506">-SUMPRODUCT(
  desp[data.vencimento] *
  (desp[classificacao]=$B$289) *
  (desp[centro.negocio]=$B506) *
  (desp[parcela]&gt;=G$1) *
  (desp[parcela]&lt;EOMONTH(G$1,0)+1)
)</f>
        <v>0</v>
      </c>
      <c r="H506" s="245" cm="1">
        <f t="array" ref="H506">-SUMPRODUCT(
  desp[data.vencimento] *
  (desp[classificacao]=$B$289) *
  (desp[centro.negocio]=$B506) *
  (desp[parcela]&gt;=H$1) *
  (desp[parcela]&lt;EOMONTH(H$1,0)+1)
)</f>
        <v>0</v>
      </c>
      <c r="I506" s="245" cm="1">
        <f t="array" ref="I506">-SUMPRODUCT(
  desp[data.vencimento] *
  (desp[classificacao]=$B$289) *
  (desp[centro.negocio]=$B506) *
  (desp[parcela]&gt;=I$1) *
  (desp[parcela]&lt;EOMONTH(I$1,0)+1)
)</f>
        <v>0</v>
      </c>
      <c r="J506" s="245" cm="1">
        <f t="array" ref="J506">-SUMPRODUCT(
  desp[data.vencimento] *
  (desp[classificacao]=$B$289) *
  (desp[centro.negocio]=$B506) *
  (desp[parcela]&gt;=J$1) *
  (desp[parcela]&lt;EOMONTH(J$1,0)+1)
)</f>
        <v>0</v>
      </c>
      <c r="K506" s="245" cm="1">
        <f t="array" ref="K506">-SUMPRODUCT(
  desp[data.vencimento] *
  (desp[classificacao]=$B$289) *
  (desp[centro.negocio]=$B506) *
  (desp[parcela]&gt;=K$1) *
  (desp[parcela]&lt;EOMONTH(K$1,0)+1)
)</f>
        <v>0</v>
      </c>
      <c r="L506" s="245" cm="1">
        <f t="array" ref="L506">-SUMPRODUCT(
  desp[data.vencimento] *
  (desp[classificacao]=$B$289) *
  (desp[centro.negocio]=$B506) *
  (desp[parcela]&gt;=L$1) *
  (desp[parcela]&lt;EOMONTH(L$1,0)+1)
)</f>
        <v>0</v>
      </c>
      <c r="M506" s="245" cm="1">
        <f t="array" ref="M506">-SUMPRODUCT(
  desp[data.vencimento] *
  (desp[classificacao]=$B$289) *
  (desp[centro.negocio]=$B506) *
  (desp[parcela]&gt;=M$1) *
  (desp[parcela]&lt;EOMONTH(M$1,0)+1)
)</f>
        <v>0</v>
      </c>
      <c r="N506" s="245" cm="1">
        <f t="array" ref="N506">-SUMPRODUCT(
  desp[data.vencimento] *
  (desp[classificacao]=$B$289) *
  (desp[centro.negocio]=$B506) *
  (desp[parcela]&gt;=N$1) *
  (desp[parcela]&lt;EOMONTH(N$1,0)+1)
)</f>
        <v>0</v>
      </c>
      <c r="O506" s="245" cm="1">
        <f t="array" ref="O506">-SUMPRODUCT(
  desp[data.vencimento] *
  (desp[classificacao]=$B$289) *
  (desp[centro.negocio]=$B506) *
  (desp[parcela]&gt;=O$1) *
  (desp[parcela]&lt;EOMONTH(O$1,0)+1)
)</f>
        <v>0</v>
      </c>
      <c r="P506" s="245" cm="1">
        <f t="array" ref="P506">-SUMPRODUCT(
  desp[data.vencimento] *
  (desp[classificacao]=$B$289) *
  (desp[centro.negocio]=$B506) *
  (desp[parcela]&gt;=P$1) *
  (desp[parcela]&lt;EOMONTH(P$1,0)+1)
)</f>
        <v>0</v>
      </c>
      <c r="Q506" s="245" cm="1">
        <f t="array" ref="Q506">-SUMPRODUCT(
  desp[data.vencimento] *
  (desp[classificacao]=$B$289) *
  (desp[centro.negocio]=$B506) *
  (desp[parcela]&gt;=Q$1) *
  (desp[parcela]&lt;EOMONTH(Q$1,0)+1)
)</f>
        <v>0</v>
      </c>
      <c r="R506" s="245" cm="1">
        <f t="array" ref="R506">-SUMPRODUCT(
  desp[data.vencimento] *
  (desp[classificacao]=$B$289) *
  (desp[centro.negocio]=$B506) *
  (desp[parcela]&gt;=R$1) *
  (desp[parcela]&lt;EOMONTH(R$1,0)+1)
)</f>
        <v>0</v>
      </c>
    </row>
    <row r="507" spans="1:18" outlineLevel="1" x14ac:dyDescent="0.25">
      <c r="A507" s="243" t="s">
        <v>622</v>
      </c>
      <c r="B507" s="243" t="s">
        <v>346</v>
      </c>
      <c r="C507" s="244" t="s">
        <v>522</v>
      </c>
      <c r="D507" s="245" cm="1">
        <f t="array" ref="D507">-SUMPRODUCT(
  desp[data.vencimento] *
  (desp[classificacao]=$B$289) *
  (desp[centro.negocio]=$B507) *
  (desp[parcela]&gt;=D$1) *
  (desp[parcela]&lt;EOMONTH(D$1,0)+1)
)</f>
        <v>0</v>
      </c>
      <c r="E507" s="245" cm="1">
        <f t="array" ref="E507">-SUMPRODUCT(
  desp[data.vencimento] *
  (desp[classificacao]=$B$289) *
  (desp[centro.negocio]=$B507) *
  (desp[parcela]&gt;=E$1) *
  (desp[parcela]&lt;EOMONTH(E$1,0)+1)
)</f>
        <v>0</v>
      </c>
      <c r="F507" s="245" cm="1">
        <f t="array" ref="F507">-SUMPRODUCT(
  desp[data.vencimento] *
  (desp[classificacao]=$B$289) *
  (desp[centro.negocio]=$B507) *
  (desp[parcela]&gt;=F$1) *
  (desp[parcela]&lt;EOMONTH(F$1,0)+1)
)</f>
        <v>0</v>
      </c>
      <c r="G507" s="245" cm="1">
        <f t="array" ref="G507">-SUMPRODUCT(
  desp[data.vencimento] *
  (desp[classificacao]=$B$289) *
  (desp[centro.negocio]=$B507) *
  (desp[parcela]&gt;=G$1) *
  (desp[parcela]&lt;EOMONTH(G$1,0)+1)
)</f>
        <v>0</v>
      </c>
      <c r="H507" s="245" cm="1">
        <f t="array" ref="H507">-SUMPRODUCT(
  desp[data.vencimento] *
  (desp[classificacao]=$B$289) *
  (desp[centro.negocio]=$B507) *
  (desp[parcela]&gt;=H$1) *
  (desp[parcela]&lt;EOMONTH(H$1,0)+1)
)</f>
        <v>0</v>
      </c>
      <c r="I507" s="245" cm="1">
        <f t="array" ref="I507">-SUMPRODUCT(
  desp[data.vencimento] *
  (desp[classificacao]=$B$289) *
  (desp[centro.negocio]=$B507) *
  (desp[parcela]&gt;=I$1) *
  (desp[parcela]&lt;EOMONTH(I$1,0)+1)
)</f>
        <v>0</v>
      </c>
      <c r="J507" s="245" cm="1">
        <f t="array" ref="J507">-SUMPRODUCT(
  desp[data.vencimento] *
  (desp[classificacao]=$B$289) *
  (desp[centro.negocio]=$B507) *
  (desp[parcela]&gt;=J$1) *
  (desp[parcela]&lt;EOMONTH(J$1,0)+1)
)</f>
        <v>0</v>
      </c>
      <c r="K507" s="245" cm="1">
        <f t="array" ref="K507">-SUMPRODUCT(
  desp[data.vencimento] *
  (desp[classificacao]=$B$289) *
  (desp[centro.negocio]=$B507) *
  (desp[parcela]&gt;=K$1) *
  (desp[parcela]&lt;EOMONTH(K$1,0)+1)
)</f>
        <v>0</v>
      </c>
      <c r="L507" s="245" cm="1">
        <f t="array" ref="L507">-SUMPRODUCT(
  desp[data.vencimento] *
  (desp[classificacao]=$B$289) *
  (desp[centro.negocio]=$B507) *
  (desp[parcela]&gt;=L$1) *
  (desp[parcela]&lt;EOMONTH(L$1,0)+1)
)</f>
        <v>0</v>
      </c>
      <c r="M507" s="245" cm="1">
        <f t="array" ref="M507">-SUMPRODUCT(
  desp[data.vencimento] *
  (desp[classificacao]=$B$289) *
  (desp[centro.negocio]=$B507) *
  (desp[parcela]&gt;=M$1) *
  (desp[parcela]&lt;EOMONTH(M$1,0)+1)
)</f>
        <v>0</v>
      </c>
      <c r="N507" s="245" cm="1">
        <f t="array" ref="N507">-SUMPRODUCT(
  desp[data.vencimento] *
  (desp[classificacao]=$B$289) *
  (desp[centro.negocio]=$B507) *
  (desp[parcela]&gt;=N$1) *
  (desp[parcela]&lt;EOMONTH(N$1,0)+1)
)</f>
        <v>0</v>
      </c>
      <c r="O507" s="245" cm="1">
        <f t="array" ref="O507">-SUMPRODUCT(
  desp[data.vencimento] *
  (desp[classificacao]=$B$289) *
  (desp[centro.negocio]=$B507) *
  (desp[parcela]&gt;=O$1) *
  (desp[parcela]&lt;EOMONTH(O$1,0)+1)
)</f>
        <v>0</v>
      </c>
      <c r="P507" s="245" cm="1">
        <f t="array" ref="P507">-SUMPRODUCT(
  desp[data.vencimento] *
  (desp[classificacao]=$B$289) *
  (desp[centro.negocio]=$B507) *
  (desp[parcela]&gt;=P$1) *
  (desp[parcela]&lt;EOMONTH(P$1,0)+1)
)</f>
        <v>0</v>
      </c>
      <c r="Q507" s="245" cm="1">
        <f t="array" ref="Q507">-SUMPRODUCT(
  desp[data.vencimento] *
  (desp[classificacao]=$B$289) *
  (desp[centro.negocio]=$B507) *
  (desp[parcela]&gt;=Q$1) *
  (desp[parcela]&lt;EOMONTH(Q$1,0)+1)
)</f>
        <v>0</v>
      </c>
      <c r="R507" s="245" cm="1">
        <f t="array" ref="R507">-SUMPRODUCT(
  desp[data.vencimento] *
  (desp[classificacao]=$B$289) *
  (desp[centro.negocio]=$B507) *
  (desp[parcela]&gt;=R$1) *
  (desp[parcela]&lt;EOMONTH(R$1,0)+1)
)</f>
        <v>0</v>
      </c>
    </row>
    <row r="508" spans="1:18" outlineLevel="1" x14ac:dyDescent="0.25">
      <c r="A508" s="243" t="s">
        <v>656</v>
      </c>
      <c r="B508" s="243" t="s">
        <v>390</v>
      </c>
      <c r="C508" s="244" t="s">
        <v>522</v>
      </c>
      <c r="D508" s="245" cm="1">
        <f t="array" ref="D508">-SUMPRODUCT(
  desp[data.vencimento] *
  (desp[classificacao]=$B$289) *
  (desp[centro.negocio]=$B508) *
  (desp[parcela]&gt;=D$1) *
  (desp[parcela]&lt;EOMONTH(D$1,0)+1)
)</f>
        <v>0</v>
      </c>
      <c r="E508" s="245" cm="1">
        <f t="array" ref="E508">-SUMPRODUCT(
  desp[data.vencimento] *
  (desp[classificacao]=$B$289) *
  (desp[centro.negocio]=$B508) *
  (desp[parcela]&gt;=E$1) *
  (desp[parcela]&lt;EOMONTH(E$1,0)+1)
)</f>
        <v>0</v>
      </c>
      <c r="F508" s="245" cm="1">
        <f t="array" ref="F508">-SUMPRODUCT(
  desp[data.vencimento] *
  (desp[classificacao]=$B$289) *
  (desp[centro.negocio]=$B508) *
  (desp[parcela]&gt;=F$1) *
  (desp[parcela]&lt;EOMONTH(F$1,0)+1)
)</f>
        <v>0</v>
      </c>
      <c r="G508" s="245" cm="1">
        <f t="array" ref="G508">-SUMPRODUCT(
  desp[data.vencimento] *
  (desp[classificacao]=$B$289) *
  (desp[centro.negocio]=$B508) *
  (desp[parcela]&gt;=G$1) *
  (desp[parcela]&lt;EOMONTH(G$1,0)+1)
)</f>
        <v>0</v>
      </c>
      <c r="H508" s="245" cm="1">
        <f t="array" ref="H508">-SUMPRODUCT(
  desp[data.vencimento] *
  (desp[classificacao]=$B$289) *
  (desp[centro.negocio]=$B508) *
  (desp[parcela]&gt;=H$1) *
  (desp[parcela]&lt;EOMONTH(H$1,0)+1)
)</f>
        <v>0</v>
      </c>
      <c r="I508" s="245" cm="1">
        <f t="array" ref="I508">-SUMPRODUCT(
  desp[data.vencimento] *
  (desp[classificacao]=$B$289) *
  (desp[centro.negocio]=$B508) *
  (desp[parcela]&gt;=I$1) *
  (desp[parcela]&lt;EOMONTH(I$1,0)+1)
)</f>
        <v>0</v>
      </c>
      <c r="J508" s="245" cm="1">
        <f t="array" ref="J508">-SUMPRODUCT(
  desp[data.vencimento] *
  (desp[classificacao]=$B$289) *
  (desp[centro.negocio]=$B508) *
  (desp[parcela]&gt;=J$1) *
  (desp[parcela]&lt;EOMONTH(J$1,0)+1)
)</f>
        <v>0</v>
      </c>
      <c r="K508" s="245" cm="1">
        <f t="array" ref="K508">-SUMPRODUCT(
  desp[data.vencimento] *
  (desp[classificacao]=$B$289) *
  (desp[centro.negocio]=$B508) *
  (desp[parcela]&gt;=K$1) *
  (desp[parcela]&lt;EOMONTH(K$1,0)+1)
)</f>
        <v>0</v>
      </c>
      <c r="L508" s="245" cm="1">
        <f t="array" ref="L508">-SUMPRODUCT(
  desp[data.vencimento] *
  (desp[classificacao]=$B$289) *
  (desp[centro.negocio]=$B508) *
  (desp[parcela]&gt;=L$1) *
  (desp[parcela]&lt;EOMONTH(L$1,0)+1)
)</f>
        <v>0</v>
      </c>
      <c r="M508" s="245" cm="1">
        <f t="array" ref="M508">-SUMPRODUCT(
  desp[data.vencimento] *
  (desp[classificacao]=$B$289) *
  (desp[centro.negocio]=$B508) *
  (desp[parcela]&gt;=M$1) *
  (desp[parcela]&lt;EOMONTH(M$1,0)+1)
)</f>
        <v>0</v>
      </c>
      <c r="N508" s="245" cm="1">
        <f t="array" ref="N508">-SUMPRODUCT(
  desp[data.vencimento] *
  (desp[classificacao]=$B$289) *
  (desp[centro.negocio]=$B508) *
  (desp[parcela]&gt;=N$1) *
  (desp[parcela]&lt;EOMONTH(N$1,0)+1)
)</f>
        <v>0</v>
      </c>
      <c r="O508" s="245" cm="1">
        <f t="array" ref="O508">-SUMPRODUCT(
  desp[data.vencimento] *
  (desp[classificacao]=$B$289) *
  (desp[centro.negocio]=$B508) *
  (desp[parcela]&gt;=O$1) *
  (desp[parcela]&lt;EOMONTH(O$1,0)+1)
)</f>
        <v>0</v>
      </c>
      <c r="P508" s="245" cm="1">
        <f t="array" ref="P508">-SUMPRODUCT(
  desp[data.vencimento] *
  (desp[classificacao]=$B$289) *
  (desp[centro.negocio]=$B508) *
  (desp[parcela]&gt;=P$1) *
  (desp[parcela]&lt;EOMONTH(P$1,0)+1)
)</f>
        <v>0</v>
      </c>
      <c r="Q508" s="245" cm="1">
        <f t="array" ref="Q508">-SUMPRODUCT(
  desp[data.vencimento] *
  (desp[classificacao]=$B$289) *
  (desp[centro.negocio]=$B508) *
  (desp[parcela]&gt;=Q$1) *
  (desp[parcela]&lt;EOMONTH(Q$1,0)+1)
)</f>
        <v>0</v>
      </c>
      <c r="R508" s="245" cm="1">
        <f t="array" ref="R508">-SUMPRODUCT(
  desp[data.vencimento] *
  (desp[classificacao]=$B$289) *
  (desp[centro.negocio]=$B508) *
  (desp[parcela]&gt;=R$1) *
  (desp[parcela]&lt;EOMONTH(R$1,0)+1)
)</f>
        <v>0</v>
      </c>
    </row>
    <row r="509" spans="1:18" outlineLevel="1" x14ac:dyDescent="0.25">
      <c r="A509" s="243" t="s">
        <v>669</v>
      </c>
      <c r="B509" s="243" t="s">
        <v>385</v>
      </c>
      <c r="C509" s="244" t="s">
        <v>522</v>
      </c>
      <c r="D509" s="245" cm="1">
        <f t="array" ref="D509">-SUMPRODUCT(
  desp[data.vencimento] *
  (desp[classificacao]=$B$289) *
  (desp[centro.negocio]=$B509) *
  (desp[parcela]&gt;=D$1) *
  (desp[parcela]&lt;EOMONTH(D$1,0)+1)
)</f>
        <v>0</v>
      </c>
      <c r="E509" s="245" cm="1">
        <f t="array" ref="E509">-SUMPRODUCT(
  desp[data.vencimento] *
  (desp[classificacao]=$B$289) *
  (desp[centro.negocio]=$B509) *
  (desp[parcela]&gt;=E$1) *
  (desp[parcela]&lt;EOMONTH(E$1,0)+1)
)</f>
        <v>0</v>
      </c>
      <c r="F509" s="245" cm="1">
        <f t="array" ref="F509">-SUMPRODUCT(
  desp[data.vencimento] *
  (desp[classificacao]=$B$289) *
  (desp[centro.negocio]=$B509) *
  (desp[parcela]&gt;=F$1) *
  (desp[parcela]&lt;EOMONTH(F$1,0)+1)
)</f>
        <v>0</v>
      </c>
      <c r="G509" s="245" cm="1">
        <f t="array" ref="G509">-SUMPRODUCT(
  desp[data.vencimento] *
  (desp[classificacao]=$B$289) *
  (desp[centro.negocio]=$B509) *
  (desp[parcela]&gt;=G$1) *
  (desp[parcela]&lt;EOMONTH(G$1,0)+1)
)</f>
        <v>0</v>
      </c>
      <c r="H509" s="245" cm="1">
        <f t="array" ref="H509">-SUMPRODUCT(
  desp[data.vencimento] *
  (desp[classificacao]=$B$289) *
  (desp[centro.negocio]=$B509) *
  (desp[parcela]&gt;=H$1) *
  (desp[parcela]&lt;EOMONTH(H$1,0)+1)
)</f>
        <v>0</v>
      </c>
      <c r="I509" s="245" cm="1">
        <f t="array" ref="I509">-SUMPRODUCT(
  desp[data.vencimento] *
  (desp[classificacao]=$B$289) *
  (desp[centro.negocio]=$B509) *
  (desp[parcela]&gt;=I$1) *
  (desp[parcela]&lt;EOMONTH(I$1,0)+1)
)</f>
        <v>0</v>
      </c>
      <c r="J509" s="245" cm="1">
        <f t="array" ref="J509">-SUMPRODUCT(
  desp[data.vencimento] *
  (desp[classificacao]=$B$289) *
  (desp[centro.negocio]=$B509) *
  (desp[parcela]&gt;=J$1) *
  (desp[parcela]&lt;EOMONTH(J$1,0)+1)
)</f>
        <v>0</v>
      </c>
      <c r="K509" s="245" cm="1">
        <f t="array" ref="K509">-SUMPRODUCT(
  desp[data.vencimento] *
  (desp[classificacao]=$B$289) *
  (desp[centro.negocio]=$B509) *
  (desp[parcela]&gt;=K$1) *
  (desp[parcela]&lt;EOMONTH(K$1,0)+1)
)</f>
        <v>0</v>
      </c>
      <c r="L509" s="245" cm="1">
        <f t="array" ref="L509">-SUMPRODUCT(
  desp[data.vencimento] *
  (desp[classificacao]=$B$289) *
  (desp[centro.negocio]=$B509) *
  (desp[parcela]&gt;=L$1) *
  (desp[parcela]&lt;EOMONTH(L$1,0)+1)
)</f>
        <v>0</v>
      </c>
      <c r="M509" s="245" cm="1">
        <f t="array" ref="M509">-SUMPRODUCT(
  desp[data.vencimento] *
  (desp[classificacao]=$B$289) *
  (desp[centro.negocio]=$B509) *
  (desp[parcela]&gt;=M$1) *
  (desp[parcela]&lt;EOMONTH(M$1,0)+1)
)</f>
        <v>0</v>
      </c>
      <c r="N509" s="245" cm="1">
        <f t="array" ref="N509">-SUMPRODUCT(
  desp[data.vencimento] *
  (desp[classificacao]=$B$289) *
  (desp[centro.negocio]=$B509) *
  (desp[parcela]&gt;=N$1) *
  (desp[parcela]&lt;EOMONTH(N$1,0)+1)
)</f>
        <v>0</v>
      </c>
      <c r="O509" s="245" cm="1">
        <f t="array" ref="O509">-SUMPRODUCT(
  desp[data.vencimento] *
  (desp[classificacao]=$B$289) *
  (desp[centro.negocio]=$B509) *
  (desp[parcela]&gt;=O$1) *
  (desp[parcela]&lt;EOMONTH(O$1,0)+1)
)</f>
        <v>0</v>
      </c>
      <c r="P509" s="245" cm="1">
        <f t="array" ref="P509">-SUMPRODUCT(
  desp[data.vencimento] *
  (desp[classificacao]=$B$289) *
  (desp[centro.negocio]=$B509) *
  (desp[parcela]&gt;=P$1) *
  (desp[parcela]&lt;EOMONTH(P$1,0)+1)
)</f>
        <v>0</v>
      </c>
      <c r="Q509" s="245" cm="1">
        <f t="array" ref="Q509">-SUMPRODUCT(
  desp[data.vencimento] *
  (desp[classificacao]=$B$289) *
  (desp[centro.negocio]=$B509) *
  (desp[parcela]&gt;=Q$1) *
  (desp[parcela]&lt;EOMONTH(Q$1,0)+1)
)</f>
        <v>0</v>
      </c>
      <c r="R509" s="245" cm="1">
        <f t="array" ref="R509">-SUMPRODUCT(
  desp[data.vencimento] *
  (desp[classificacao]=$B$289) *
  (desp[centro.negocio]=$B509) *
  (desp[parcela]&gt;=R$1) *
  (desp[parcela]&lt;EOMONTH(R$1,0)+1)
)</f>
        <v>0</v>
      </c>
    </row>
    <row r="510" spans="1:18" outlineLevel="1" x14ac:dyDescent="0.25">
      <c r="A510" s="243" t="s">
        <v>674</v>
      </c>
      <c r="B510" s="243" t="s">
        <v>361</v>
      </c>
      <c r="C510" s="244" t="s">
        <v>522</v>
      </c>
      <c r="D510" s="245" cm="1">
        <f t="array" ref="D510">-SUMPRODUCT(
  desp[data.vencimento] *
  (desp[classificacao]=$B$289) *
  (desp[centro.negocio]=$B510) *
  (desp[parcela]&gt;=D$1) *
  (desp[parcela]&lt;EOMONTH(D$1,0)+1)
)</f>
        <v>0</v>
      </c>
      <c r="E510" s="245" cm="1">
        <f t="array" ref="E510">-SUMPRODUCT(
  desp[data.vencimento] *
  (desp[classificacao]=$B$289) *
  (desp[centro.negocio]=$B510) *
  (desp[parcela]&gt;=E$1) *
  (desp[parcela]&lt;EOMONTH(E$1,0)+1)
)</f>
        <v>0</v>
      </c>
      <c r="F510" s="245" cm="1">
        <f t="array" ref="F510">-SUMPRODUCT(
  desp[data.vencimento] *
  (desp[classificacao]=$B$289) *
  (desp[centro.negocio]=$B510) *
  (desp[parcela]&gt;=F$1) *
  (desp[parcela]&lt;EOMONTH(F$1,0)+1)
)</f>
        <v>0</v>
      </c>
      <c r="G510" s="245" cm="1">
        <f t="array" ref="G510">-SUMPRODUCT(
  desp[data.vencimento] *
  (desp[classificacao]=$B$289) *
  (desp[centro.negocio]=$B510) *
  (desp[parcela]&gt;=G$1) *
  (desp[parcela]&lt;EOMONTH(G$1,0)+1)
)</f>
        <v>0</v>
      </c>
      <c r="H510" s="245" cm="1">
        <f t="array" ref="H510">-SUMPRODUCT(
  desp[data.vencimento] *
  (desp[classificacao]=$B$289) *
  (desp[centro.negocio]=$B510) *
  (desp[parcela]&gt;=H$1) *
  (desp[parcela]&lt;EOMONTH(H$1,0)+1)
)</f>
        <v>0</v>
      </c>
      <c r="I510" s="245" cm="1">
        <f t="array" ref="I510">-SUMPRODUCT(
  desp[data.vencimento] *
  (desp[classificacao]=$B$289) *
  (desp[centro.negocio]=$B510) *
  (desp[parcela]&gt;=I$1) *
  (desp[parcela]&lt;EOMONTH(I$1,0)+1)
)</f>
        <v>0</v>
      </c>
      <c r="J510" s="245" cm="1">
        <f t="array" ref="J510">-SUMPRODUCT(
  desp[data.vencimento] *
  (desp[classificacao]=$B$289) *
  (desp[centro.negocio]=$B510) *
  (desp[parcela]&gt;=J$1) *
  (desp[parcela]&lt;EOMONTH(J$1,0)+1)
)</f>
        <v>0</v>
      </c>
      <c r="K510" s="245" cm="1">
        <f t="array" ref="K510">-SUMPRODUCT(
  desp[data.vencimento] *
  (desp[classificacao]=$B$289) *
  (desp[centro.negocio]=$B510) *
  (desp[parcela]&gt;=K$1) *
  (desp[parcela]&lt;EOMONTH(K$1,0)+1)
)</f>
        <v>0</v>
      </c>
      <c r="L510" s="245" cm="1">
        <f t="array" ref="L510">-SUMPRODUCT(
  desp[data.vencimento] *
  (desp[classificacao]=$B$289) *
  (desp[centro.negocio]=$B510) *
  (desp[parcela]&gt;=L$1) *
  (desp[parcela]&lt;EOMONTH(L$1,0)+1)
)</f>
        <v>0</v>
      </c>
      <c r="M510" s="245" cm="1">
        <f t="array" ref="M510">-SUMPRODUCT(
  desp[data.vencimento] *
  (desp[classificacao]=$B$289) *
  (desp[centro.negocio]=$B510) *
  (desp[parcela]&gt;=M$1) *
  (desp[parcela]&lt;EOMONTH(M$1,0)+1)
)</f>
        <v>0</v>
      </c>
      <c r="N510" s="245" cm="1">
        <f t="array" ref="N510">-SUMPRODUCT(
  desp[data.vencimento] *
  (desp[classificacao]=$B$289) *
  (desp[centro.negocio]=$B510) *
  (desp[parcela]&gt;=N$1) *
  (desp[parcela]&lt;EOMONTH(N$1,0)+1)
)</f>
        <v>0</v>
      </c>
      <c r="O510" s="245" cm="1">
        <f t="array" ref="O510">-SUMPRODUCT(
  desp[data.vencimento] *
  (desp[classificacao]=$B$289) *
  (desp[centro.negocio]=$B510) *
  (desp[parcela]&gt;=O$1) *
  (desp[parcela]&lt;EOMONTH(O$1,0)+1)
)</f>
        <v>0</v>
      </c>
      <c r="P510" s="245" cm="1">
        <f t="array" ref="P510">-SUMPRODUCT(
  desp[data.vencimento] *
  (desp[classificacao]=$B$289) *
  (desp[centro.negocio]=$B510) *
  (desp[parcela]&gt;=P$1) *
  (desp[parcela]&lt;EOMONTH(P$1,0)+1)
)</f>
        <v>0</v>
      </c>
      <c r="Q510" s="245" cm="1">
        <f t="array" ref="Q510">-SUMPRODUCT(
  desp[data.vencimento] *
  (desp[classificacao]=$B$289) *
  (desp[centro.negocio]=$B510) *
  (desp[parcela]&gt;=Q$1) *
  (desp[parcela]&lt;EOMONTH(Q$1,0)+1)
)</f>
        <v>0</v>
      </c>
      <c r="R510" s="245" cm="1">
        <f t="array" ref="R510">-SUMPRODUCT(
  desp[data.vencimento] *
  (desp[classificacao]=$B$289) *
  (desp[centro.negocio]=$B510) *
  (desp[parcela]&gt;=R$1) *
  (desp[parcela]&lt;EOMONTH(R$1,0)+1)
)</f>
        <v>0</v>
      </c>
    </row>
    <row r="511" spans="1:18" outlineLevel="1" x14ac:dyDescent="0.25">
      <c r="A511" s="243" t="s">
        <v>677</v>
      </c>
      <c r="B511" s="243" t="s">
        <v>377</v>
      </c>
      <c r="C511" s="244" t="s">
        <v>522</v>
      </c>
      <c r="D511" s="245" cm="1">
        <f t="array" ref="D511">-SUMPRODUCT(
  desp[data.vencimento] *
  (desp[classificacao]=$B$289) *
  (desp[centro.negocio]=$B511) *
  (desp[parcela]&gt;=D$1) *
  (desp[parcela]&lt;EOMONTH(D$1,0)+1)
)</f>
        <v>0</v>
      </c>
      <c r="E511" s="245" cm="1">
        <f t="array" ref="E511">-SUMPRODUCT(
  desp[data.vencimento] *
  (desp[classificacao]=$B$289) *
  (desp[centro.negocio]=$B511) *
  (desp[parcela]&gt;=E$1) *
  (desp[parcela]&lt;EOMONTH(E$1,0)+1)
)</f>
        <v>0</v>
      </c>
      <c r="F511" s="245" cm="1">
        <f t="array" ref="F511">-SUMPRODUCT(
  desp[data.vencimento] *
  (desp[classificacao]=$B$289) *
  (desp[centro.negocio]=$B511) *
  (desp[parcela]&gt;=F$1) *
  (desp[parcela]&lt;EOMONTH(F$1,0)+1)
)</f>
        <v>0</v>
      </c>
      <c r="G511" s="245" cm="1">
        <f t="array" ref="G511">-SUMPRODUCT(
  desp[data.vencimento] *
  (desp[classificacao]=$B$289) *
  (desp[centro.negocio]=$B511) *
  (desp[parcela]&gt;=G$1) *
  (desp[parcela]&lt;EOMONTH(G$1,0)+1)
)</f>
        <v>0</v>
      </c>
      <c r="H511" s="245" cm="1">
        <f t="array" ref="H511">-SUMPRODUCT(
  desp[data.vencimento] *
  (desp[classificacao]=$B$289) *
  (desp[centro.negocio]=$B511) *
  (desp[parcela]&gt;=H$1) *
  (desp[parcela]&lt;EOMONTH(H$1,0)+1)
)</f>
        <v>0</v>
      </c>
      <c r="I511" s="245" cm="1">
        <f t="array" ref="I511">-SUMPRODUCT(
  desp[data.vencimento] *
  (desp[classificacao]=$B$289) *
  (desp[centro.negocio]=$B511) *
  (desp[parcela]&gt;=I$1) *
  (desp[parcela]&lt;EOMONTH(I$1,0)+1)
)</f>
        <v>0</v>
      </c>
      <c r="J511" s="245" cm="1">
        <f t="array" ref="J511">-SUMPRODUCT(
  desp[data.vencimento] *
  (desp[classificacao]=$B$289) *
  (desp[centro.negocio]=$B511) *
  (desp[parcela]&gt;=J$1) *
  (desp[parcela]&lt;EOMONTH(J$1,0)+1)
)</f>
        <v>0</v>
      </c>
      <c r="K511" s="245" cm="1">
        <f t="array" ref="K511">-SUMPRODUCT(
  desp[data.vencimento] *
  (desp[classificacao]=$B$289) *
  (desp[centro.negocio]=$B511) *
  (desp[parcela]&gt;=K$1) *
  (desp[parcela]&lt;EOMONTH(K$1,0)+1)
)</f>
        <v>0</v>
      </c>
      <c r="L511" s="245" cm="1">
        <f t="array" ref="L511">-SUMPRODUCT(
  desp[data.vencimento] *
  (desp[classificacao]=$B$289) *
  (desp[centro.negocio]=$B511) *
  (desp[parcela]&gt;=L$1) *
  (desp[parcela]&lt;EOMONTH(L$1,0)+1)
)</f>
        <v>0</v>
      </c>
      <c r="M511" s="245" cm="1">
        <f t="array" ref="M511">-SUMPRODUCT(
  desp[data.vencimento] *
  (desp[classificacao]=$B$289) *
  (desp[centro.negocio]=$B511) *
  (desp[parcela]&gt;=M$1) *
  (desp[parcela]&lt;EOMONTH(M$1,0)+1)
)</f>
        <v>0</v>
      </c>
      <c r="N511" s="245" cm="1">
        <f t="array" ref="N511">-SUMPRODUCT(
  desp[data.vencimento] *
  (desp[classificacao]=$B$289) *
  (desp[centro.negocio]=$B511) *
  (desp[parcela]&gt;=N$1) *
  (desp[parcela]&lt;EOMONTH(N$1,0)+1)
)</f>
        <v>0</v>
      </c>
      <c r="O511" s="245" cm="1">
        <f t="array" ref="O511">-SUMPRODUCT(
  desp[data.vencimento] *
  (desp[classificacao]=$B$289) *
  (desp[centro.negocio]=$B511) *
  (desp[parcela]&gt;=O$1) *
  (desp[parcela]&lt;EOMONTH(O$1,0)+1)
)</f>
        <v>0</v>
      </c>
      <c r="P511" s="245" cm="1">
        <f t="array" ref="P511">-SUMPRODUCT(
  desp[data.vencimento] *
  (desp[classificacao]=$B$289) *
  (desp[centro.negocio]=$B511) *
  (desp[parcela]&gt;=P$1) *
  (desp[parcela]&lt;EOMONTH(P$1,0)+1)
)</f>
        <v>0</v>
      </c>
      <c r="Q511" s="245" cm="1">
        <f t="array" ref="Q511">-SUMPRODUCT(
  desp[data.vencimento] *
  (desp[classificacao]=$B$289) *
  (desp[centro.negocio]=$B511) *
  (desp[parcela]&gt;=Q$1) *
  (desp[parcela]&lt;EOMONTH(Q$1,0)+1)
)</f>
        <v>0</v>
      </c>
      <c r="R511" s="245" cm="1">
        <f t="array" ref="R511">-SUMPRODUCT(
  desp[data.vencimento] *
  (desp[classificacao]=$B$289) *
  (desp[centro.negocio]=$B511) *
  (desp[parcela]&gt;=R$1) *
  (desp[parcela]&lt;EOMONTH(R$1,0)+1)
)</f>
        <v>0</v>
      </c>
    </row>
    <row r="512" spans="1:18" outlineLevel="1" x14ac:dyDescent="0.25">
      <c r="A512" s="243" t="s">
        <v>679</v>
      </c>
      <c r="B512" s="243" t="s">
        <v>403</v>
      </c>
      <c r="C512" s="244" t="s">
        <v>522</v>
      </c>
      <c r="D512" s="245" cm="1">
        <f t="array" ref="D512">-SUMPRODUCT(
  desp[data.vencimento] *
  (desp[classificacao]=$B$289) *
  (desp[centro.negocio]=$B512) *
  (desp[parcela]&gt;=D$1) *
  (desp[parcela]&lt;EOMONTH(D$1,0)+1)
)</f>
        <v>0</v>
      </c>
      <c r="E512" s="245" cm="1">
        <f t="array" ref="E512">-SUMPRODUCT(
  desp[data.vencimento] *
  (desp[classificacao]=$B$289) *
  (desp[centro.negocio]=$B512) *
  (desp[parcela]&gt;=E$1) *
  (desp[parcela]&lt;EOMONTH(E$1,0)+1)
)</f>
        <v>0</v>
      </c>
      <c r="F512" s="245" cm="1">
        <f t="array" ref="F512">-SUMPRODUCT(
  desp[data.vencimento] *
  (desp[classificacao]=$B$289) *
  (desp[centro.negocio]=$B512) *
  (desp[parcela]&gt;=F$1) *
  (desp[parcela]&lt;EOMONTH(F$1,0)+1)
)</f>
        <v>0</v>
      </c>
      <c r="G512" s="245" cm="1">
        <f t="array" ref="G512">-SUMPRODUCT(
  desp[data.vencimento] *
  (desp[classificacao]=$B$289) *
  (desp[centro.negocio]=$B512) *
  (desp[parcela]&gt;=G$1) *
  (desp[parcela]&lt;EOMONTH(G$1,0)+1)
)</f>
        <v>0</v>
      </c>
      <c r="H512" s="245" cm="1">
        <f t="array" ref="H512">-SUMPRODUCT(
  desp[data.vencimento] *
  (desp[classificacao]=$B$289) *
  (desp[centro.negocio]=$B512) *
  (desp[parcela]&gt;=H$1) *
  (desp[parcela]&lt;EOMONTH(H$1,0)+1)
)</f>
        <v>0</v>
      </c>
      <c r="I512" s="245" cm="1">
        <f t="array" ref="I512">-SUMPRODUCT(
  desp[data.vencimento] *
  (desp[classificacao]=$B$289) *
  (desp[centro.negocio]=$B512) *
  (desp[parcela]&gt;=I$1) *
  (desp[parcela]&lt;EOMONTH(I$1,0)+1)
)</f>
        <v>0</v>
      </c>
      <c r="J512" s="245" cm="1">
        <f t="array" ref="J512">-SUMPRODUCT(
  desp[data.vencimento] *
  (desp[classificacao]=$B$289) *
  (desp[centro.negocio]=$B512) *
  (desp[parcela]&gt;=J$1) *
  (desp[parcela]&lt;EOMONTH(J$1,0)+1)
)</f>
        <v>0</v>
      </c>
      <c r="K512" s="245" cm="1">
        <f t="array" ref="K512">-SUMPRODUCT(
  desp[data.vencimento] *
  (desp[classificacao]=$B$289) *
  (desp[centro.negocio]=$B512) *
  (desp[parcela]&gt;=K$1) *
  (desp[parcela]&lt;EOMONTH(K$1,0)+1)
)</f>
        <v>0</v>
      </c>
      <c r="L512" s="245" cm="1">
        <f t="array" ref="L512">-SUMPRODUCT(
  desp[data.vencimento] *
  (desp[classificacao]=$B$289) *
  (desp[centro.negocio]=$B512) *
  (desp[parcela]&gt;=L$1) *
  (desp[parcela]&lt;EOMONTH(L$1,0)+1)
)</f>
        <v>0</v>
      </c>
      <c r="M512" s="245" cm="1">
        <f t="array" ref="M512">-SUMPRODUCT(
  desp[data.vencimento] *
  (desp[classificacao]=$B$289) *
  (desp[centro.negocio]=$B512) *
  (desp[parcela]&gt;=M$1) *
  (desp[parcela]&lt;EOMONTH(M$1,0)+1)
)</f>
        <v>0</v>
      </c>
      <c r="N512" s="245" cm="1">
        <f t="array" ref="N512">-SUMPRODUCT(
  desp[data.vencimento] *
  (desp[classificacao]=$B$289) *
  (desp[centro.negocio]=$B512) *
  (desp[parcela]&gt;=N$1) *
  (desp[parcela]&lt;EOMONTH(N$1,0)+1)
)</f>
        <v>0</v>
      </c>
      <c r="O512" s="245" cm="1">
        <f t="array" ref="O512">-SUMPRODUCT(
  desp[data.vencimento] *
  (desp[classificacao]=$B$289) *
  (desp[centro.negocio]=$B512) *
  (desp[parcela]&gt;=O$1) *
  (desp[parcela]&lt;EOMONTH(O$1,0)+1)
)</f>
        <v>0</v>
      </c>
      <c r="P512" s="245" cm="1">
        <f t="array" ref="P512">-SUMPRODUCT(
  desp[data.vencimento] *
  (desp[classificacao]=$B$289) *
  (desp[centro.negocio]=$B512) *
  (desp[parcela]&gt;=P$1) *
  (desp[parcela]&lt;EOMONTH(P$1,0)+1)
)</f>
        <v>0</v>
      </c>
      <c r="Q512" s="245" cm="1">
        <f t="array" ref="Q512">-SUMPRODUCT(
  desp[data.vencimento] *
  (desp[classificacao]=$B$289) *
  (desp[centro.negocio]=$B512) *
  (desp[parcela]&gt;=Q$1) *
  (desp[parcela]&lt;EOMONTH(Q$1,0)+1)
)</f>
        <v>0</v>
      </c>
      <c r="R512" s="245" cm="1">
        <f t="array" ref="R512">-SUMPRODUCT(
  desp[data.vencimento] *
  (desp[classificacao]=$B$289) *
  (desp[centro.negocio]=$B512) *
  (desp[parcela]&gt;=R$1) *
  (desp[parcela]&lt;EOMONTH(R$1,0)+1)
)</f>
        <v>0</v>
      </c>
    </row>
    <row r="513" spans="1:18" outlineLevel="1" x14ac:dyDescent="0.25">
      <c r="A513" s="243" t="s">
        <v>690</v>
      </c>
      <c r="B513" s="243" t="s">
        <v>378</v>
      </c>
      <c r="C513" s="244" t="s">
        <v>522</v>
      </c>
      <c r="D513" s="245" cm="1">
        <f t="array" ref="D513">-SUMPRODUCT(
  desp[data.vencimento] *
  (desp[classificacao]=$B$289) *
  (desp[centro.negocio]=$B513) *
  (desp[parcela]&gt;=D$1) *
  (desp[parcela]&lt;EOMONTH(D$1,0)+1)
)</f>
        <v>0</v>
      </c>
      <c r="E513" s="245" cm="1">
        <f t="array" ref="E513">-SUMPRODUCT(
  desp[data.vencimento] *
  (desp[classificacao]=$B$289) *
  (desp[centro.negocio]=$B513) *
  (desp[parcela]&gt;=E$1) *
  (desp[parcela]&lt;EOMONTH(E$1,0)+1)
)</f>
        <v>0</v>
      </c>
      <c r="F513" s="245" cm="1">
        <f t="array" ref="F513">-SUMPRODUCT(
  desp[data.vencimento] *
  (desp[classificacao]=$B$289) *
  (desp[centro.negocio]=$B513) *
  (desp[parcela]&gt;=F$1) *
  (desp[parcela]&lt;EOMONTH(F$1,0)+1)
)</f>
        <v>0</v>
      </c>
      <c r="G513" s="245" cm="1">
        <f t="array" ref="G513">-SUMPRODUCT(
  desp[data.vencimento] *
  (desp[classificacao]=$B$289) *
  (desp[centro.negocio]=$B513) *
  (desp[parcela]&gt;=G$1) *
  (desp[parcela]&lt;EOMONTH(G$1,0)+1)
)</f>
        <v>0</v>
      </c>
      <c r="H513" s="245" cm="1">
        <f t="array" ref="H513">-SUMPRODUCT(
  desp[data.vencimento] *
  (desp[classificacao]=$B$289) *
  (desp[centro.negocio]=$B513) *
  (desp[parcela]&gt;=H$1) *
  (desp[parcela]&lt;EOMONTH(H$1,0)+1)
)</f>
        <v>0</v>
      </c>
      <c r="I513" s="245" cm="1">
        <f t="array" ref="I513">-SUMPRODUCT(
  desp[data.vencimento] *
  (desp[classificacao]=$B$289) *
  (desp[centro.negocio]=$B513) *
  (desp[parcela]&gt;=I$1) *
  (desp[parcela]&lt;EOMONTH(I$1,0)+1)
)</f>
        <v>0</v>
      </c>
      <c r="J513" s="245" cm="1">
        <f t="array" ref="J513">-SUMPRODUCT(
  desp[data.vencimento] *
  (desp[classificacao]=$B$289) *
  (desp[centro.negocio]=$B513) *
  (desp[parcela]&gt;=J$1) *
  (desp[parcela]&lt;EOMONTH(J$1,0)+1)
)</f>
        <v>0</v>
      </c>
      <c r="K513" s="245" cm="1">
        <f t="array" ref="K513">-SUMPRODUCT(
  desp[data.vencimento] *
  (desp[classificacao]=$B$289) *
  (desp[centro.negocio]=$B513) *
  (desp[parcela]&gt;=K$1) *
  (desp[parcela]&lt;EOMONTH(K$1,0)+1)
)</f>
        <v>0</v>
      </c>
      <c r="L513" s="245" cm="1">
        <f t="array" ref="L513">-SUMPRODUCT(
  desp[data.vencimento] *
  (desp[classificacao]=$B$289) *
  (desp[centro.negocio]=$B513) *
  (desp[parcela]&gt;=L$1) *
  (desp[parcela]&lt;EOMONTH(L$1,0)+1)
)</f>
        <v>0</v>
      </c>
      <c r="M513" s="245" cm="1">
        <f t="array" ref="M513">-SUMPRODUCT(
  desp[data.vencimento] *
  (desp[classificacao]=$B$289) *
  (desp[centro.negocio]=$B513) *
  (desp[parcela]&gt;=M$1) *
  (desp[parcela]&lt;EOMONTH(M$1,0)+1)
)</f>
        <v>0</v>
      </c>
      <c r="N513" s="245" cm="1">
        <f t="array" ref="N513">-SUMPRODUCT(
  desp[data.vencimento] *
  (desp[classificacao]=$B$289) *
  (desp[centro.negocio]=$B513) *
  (desp[parcela]&gt;=N$1) *
  (desp[parcela]&lt;EOMONTH(N$1,0)+1)
)</f>
        <v>0</v>
      </c>
      <c r="O513" s="245" cm="1">
        <f t="array" ref="O513">-SUMPRODUCT(
  desp[data.vencimento] *
  (desp[classificacao]=$B$289) *
  (desp[centro.negocio]=$B513) *
  (desp[parcela]&gt;=O$1) *
  (desp[parcela]&lt;EOMONTH(O$1,0)+1)
)</f>
        <v>0</v>
      </c>
      <c r="P513" s="245" cm="1">
        <f t="array" ref="P513">-SUMPRODUCT(
  desp[data.vencimento] *
  (desp[classificacao]=$B$289) *
  (desp[centro.negocio]=$B513) *
  (desp[parcela]&gt;=P$1) *
  (desp[parcela]&lt;EOMONTH(P$1,0)+1)
)</f>
        <v>0</v>
      </c>
      <c r="Q513" s="245" cm="1">
        <f t="array" ref="Q513">-SUMPRODUCT(
  desp[data.vencimento] *
  (desp[classificacao]=$B$289) *
  (desp[centro.negocio]=$B513) *
  (desp[parcela]&gt;=Q$1) *
  (desp[parcela]&lt;EOMONTH(Q$1,0)+1)
)</f>
        <v>0</v>
      </c>
      <c r="R513" s="245" cm="1">
        <f t="array" ref="R513">-SUMPRODUCT(
  desp[data.vencimento] *
  (desp[classificacao]=$B$289) *
  (desp[centro.negocio]=$B513) *
  (desp[parcela]&gt;=R$1) *
  (desp[parcela]&lt;EOMONTH(R$1,0)+1)
)</f>
        <v>0</v>
      </c>
    </row>
    <row r="514" spans="1:18" outlineLevel="1" x14ac:dyDescent="0.25">
      <c r="A514" s="243" t="s">
        <v>692</v>
      </c>
      <c r="B514" s="243" t="s">
        <v>350</v>
      </c>
      <c r="C514" s="244" t="s">
        <v>522</v>
      </c>
      <c r="D514" s="245" cm="1">
        <f t="array" ref="D514">-SUMPRODUCT(
  desp[data.vencimento] *
  (desp[classificacao] = $B$289) *
  (desp[parcela] &gt;= D$1) *
  (desp[parcela] &lt; EOMONTH(D$1,0)+1) *
  --ISNA(MATCH(desp[centro.negocio], {"NF - Mão de Obra";"Operações Financeiras/juros";"Terreno"}, 0))
)-
SUM(D$297:D$313)</f>
        <v>0</v>
      </c>
      <c r="E514" s="245" cm="1">
        <f t="array" ref="E514">-SUMPRODUCT(
  desp[data.vencimento] *
  (desp[classificacao] = $B$289) *
  (desp[parcela] &gt;= E$1) *
  (desp[parcela] &lt; EOMONTH(E$1,0)+1) *
  --ISNA(MATCH(desp[centro.negocio], {"NF - Mão de Obra";"Operações Financeiras/juros";"Terreno"}, 0))
)-
SUM(E$297:E$313)</f>
        <v>0</v>
      </c>
      <c r="F514" s="245" cm="1">
        <f t="array" ref="F514">-SUMPRODUCT(
  desp[data.vencimento] *
  (desp[classificacao] = $B$289) *
  (desp[parcela] &gt;= F$1) *
  (desp[parcela] &lt; EOMONTH(F$1,0)+1) *
  --ISNA(MATCH(desp[centro.negocio], {"NF - Mão de Obra";"Operações Financeiras/juros";"Terreno"}, 0))
)-
SUM(F$297:F$313)</f>
        <v>0</v>
      </c>
      <c r="G514" s="245" cm="1">
        <f t="array" ref="G514">-SUMPRODUCT(
  desp[data.vencimento] *
  (desp[classificacao] = $B$289) *
  (desp[parcela] &gt;= G$1) *
  (desp[parcela] &lt; EOMONTH(G$1,0)+1) *
  --ISNA(MATCH(desp[centro.negocio], {"NF - Mão de Obra";"Operações Financeiras/juros";"Terreno"}, 0))
)-
SUM(G$297:G$313)</f>
        <v>0</v>
      </c>
      <c r="H514" s="245" cm="1">
        <f t="array" ref="H514">-SUMPRODUCT(
  desp[data.vencimento] *
  (desp[classificacao] = $B$289) *
  (desp[parcela] &gt;= H$1) *
  (desp[parcela] &lt; EOMONTH(H$1,0)+1) *
  --ISNA(MATCH(desp[centro.negocio], {"NF - Mão de Obra";"Operações Financeiras/juros";"Terreno"}, 0))
)-
SUM(H$297:H$313)</f>
        <v>0</v>
      </c>
      <c r="I514" s="245" cm="1">
        <f t="array" ref="I514">-SUMPRODUCT(
  desp[data.vencimento] *
  (desp[classificacao] = $B$289) *
  (desp[parcela] &gt;= I$1) *
  (desp[parcela] &lt; EOMONTH(I$1,0)+1) *
  --ISNA(MATCH(desp[centro.negocio], {"NF - Mão de Obra";"Operações Financeiras/juros";"Terreno"}, 0))
)-
SUM(I$297:I$313)</f>
        <v>0</v>
      </c>
      <c r="J514" s="245" cm="1">
        <f t="array" ref="J514">-SUMPRODUCT(
  desp[data.vencimento] *
  (desp[classificacao] = $B$289) *
  (desp[parcela] &gt;= J$1) *
  (desp[parcela] &lt; EOMONTH(J$1,0)+1) *
  --ISNA(MATCH(desp[centro.negocio], {"NF - Mão de Obra";"Operações Financeiras/juros";"Terreno"}, 0))
)-
SUM(J$297:J$313)</f>
        <v>0</v>
      </c>
      <c r="K514" s="245" cm="1">
        <f t="array" ref="K514">-SUMPRODUCT(
  desp[data.vencimento] *
  (desp[classificacao] = $B$289) *
  (desp[parcela] &gt;= K$1) *
  (desp[parcela] &lt; EOMONTH(K$1,0)+1) *
  --ISNA(MATCH(desp[centro.negocio], {"NF - Mão de Obra";"Operações Financeiras/juros";"Terreno"}, 0))
)-
SUM(K$297:K$313)</f>
        <v>0</v>
      </c>
      <c r="L514" s="245" cm="1">
        <f t="array" ref="L514">-SUMPRODUCT(
  desp[data.vencimento] *
  (desp[classificacao] = $B$289) *
  (desp[parcela] &gt;= L$1) *
  (desp[parcela] &lt; EOMONTH(L$1,0)+1) *
  --ISNA(MATCH(desp[centro.negocio], {"NF - Mão de Obra";"Operações Financeiras/juros";"Terreno"}, 0))
)-
SUM(L$297:L$313)</f>
        <v>0</v>
      </c>
      <c r="M514" s="245" cm="1">
        <f t="array" ref="M514">-SUMPRODUCT(
  desp[data.vencimento] *
  (desp[classificacao] = $B$289) *
  (desp[parcela] &gt;= M$1) *
  (desp[parcela] &lt; EOMONTH(M$1,0)+1) *
  --ISNA(MATCH(desp[centro.negocio], {"NF - Mão de Obra";"Operações Financeiras/juros";"Terreno"}, 0))
)-
SUM(M$297:M$313)</f>
        <v>0</v>
      </c>
      <c r="N514" s="245" cm="1">
        <f t="array" ref="N514">-SUMPRODUCT(
  desp[data.vencimento] *
  (desp[classificacao] = $B$289) *
  (desp[parcela] &gt;= N$1) *
  (desp[parcela] &lt; EOMONTH(N$1,0)+1) *
  --ISNA(MATCH(desp[centro.negocio], {"NF - Mão de Obra";"Operações Financeiras/juros";"Terreno"}, 0))
)-
SUM(N$297:N$313)</f>
        <v>0</v>
      </c>
      <c r="O514" s="245" cm="1">
        <f t="array" ref="O514">-SUMPRODUCT(
  desp[data.vencimento] *
  (desp[classificacao] = $B$289) *
  (desp[parcela] &gt;= O$1) *
  (desp[parcela] &lt; EOMONTH(O$1,0)+1) *
  --ISNA(MATCH(desp[centro.negocio], {"NF - Mão de Obra";"Operações Financeiras/juros";"Terreno"}, 0))
)-
SUM(O$297:O$313)</f>
        <v>0</v>
      </c>
      <c r="P514" s="245" cm="1">
        <f t="array" ref="P514">-SUMPRODUCT(
  desp[data.vencimento] *
  (desp[classificacao] = $B$289) *
  (desp[parcela] &gt;= P$1) *
  (desp[parcela] &lt; EOMONTH(P$1,0)+1) *
  --ISNA(MATCH(desp[centro.negocio], {"NF - Mão de Obra";"Operações Financeiras/juros";"Terreno"}, 0))
)-
SUM(P$297:P$313)</f>
        <v>0</v>
      </c>
      <c r="Q514" s="245" cm="1">
        <f t="array" ref="Q514">-SUMPRODUCT(
  desp[data.vencimento] *
  (desp[classificacao] = $B$289) *
  (desp[parcela] &gt;= Q$1) *
  (desp[parcela] &lt; EOMONTH(Q$1,0)+1) *
  --ISNA(MATCH(desp[centro.negocio], {"NF - Mão de Obra";"Operações Financeiras/juros";"Terreno"}, 0))
)-
SUM(Q$297:Q$313)</f>
        <v>0</v>
      </c>
      <c r="R514" s="245" cm="1">
        <f t="array" ref="R514">-SUMPRODUCT(
  desp[data.vencimento] *
  (desp[classificacao] = $B$289) *
  (desp[parcela] &gt;= R$1) *
  (desp[parcela] &lt; EOMONTH(R$1,0)+1) *
  --ISNA(MATCH(desp[centro.negocio], {"NF - Mão de Obra";"Operações Financeiras/juros";"Terreno"}, 0))
)-
SUM(R$297:R$313)</f>
        <v>0</v>
      </c>
    </row>
    <row r="515" spans="1:18" x14ac:dyDescent="0.25">
      <c r="A515" s="236" t="s">
        <v>693</v>
      </c>
      <c r="B515" s="236" t="s">
        <v>694</v>
      </c>
      <c r="C515" s="237"/>
      <c r="D515" s="253">
        <f>D516+D519</f>
        <v>0</v>
      </c>
      <c r="E515" s="253">
        <f t="shared" ref="E515" si="528">E516+E519</f>
        <v>0</v>
      </c>
      <c r="F515" s="253">
        <f t="shared" ref="F515" si="529">F516+F519</f>
        <v>0</v>
      </c>
      <c r="G515" s="253">
        <f t="shared" ref="G515" si="530">G516+G519</f>
        <v>0</v>
      </c>
      <c r="H515" s="253">
        <f t="shared" ref="H515" si="531">H516+H519</f>
        <v>0</v>
      </c>
      <c r="I515" s="253">
        <f t="shared" ref="I515" si="532">I516+I519</f>
        <v>0</v>
      </c>
      <c r="J515" s="253">
        <f t="shared" ref="J515" si="533">J516+J519</f>
        <v>0</v>
      </c>
      <c r="K515" s="253">
        <f t="shared" ref="K515" si="534">K516+K519</f>
        <v>0</v>
      </c>
      <c r="L515" s="253">
        <f t="shared" ref="L515" si="535">L516+L519</f>
        <v>0</v>
      </c>
      <c r="M515" s="253">
        <f t="shared" ref="M515" si="536">M516+M519</f>
        <v>0</v>
      </c>
      <c r="N515" s="253">
        <f t="shared" ref="N515" si="537">N516+N519</f>
        <v>0</v>
      </c>
      <c r="O515" s="253">
        <f t="shared" ref="O515" si="538">O516+O519</f>
        <v>0</v>
      </c>
      <c r="P515" s="253">
        <f t="shared" ref="P515" si="539">P516+P519</f>
        <v>0</v>
      </c>
      <c r="Q515" s="253">
        <f t="shared" ref="Q515:R515" si="540">Q516+Q519</f>
        <v>0</v>
      </c>
      <c r="R515" s="253">
        <f t="shared" si="540"/>
        <v>0</v>
      </c>
    </row>
    <row r="516" spans="1:18" x14ac:dyDescent="0.25">
      <c r="A516" s="240" t="s">
        <v>695</v>
      </c>
      <c r="B516" s="240" t="s">
        <v>696</v>
      </c>
      <c r="C516" s="241"/>
      <c r="D516" s="242">
        <f>SUM(D517:D518)</f>
        <v>0</v>
      </c>
      <c r="E516" s="242">
        <f t="shared" ref="E516" si="541">SUM(E517:E518)</f>
        <v>0</v>
      </c>
      <c r="F516" s="242">
        <f t="shared" ref="F516" si="542">SUM(F517:F518)</f>
        <v>0</v>
      </c>
      <c r="G516" s="242">
        <f t="shared" ref="G516" si="543">SUM(G517:G518)</f>
        <v>0</v>
      </c>
      <c r="H516" s="242">
        <f t="shared" ref="H516" si="544">SUM(H517:H518)</f>
        <v>0</v>
      </c>
      <c r="I516" s="242">
        <f t="shared" ref="I516" si="545">SUM(I517:I518)</f>
        <v>0</v>
      </c>
      <c r="J516" s="242">
        <f t="shared" ref="J516" si="546">SUM(J517:J518)</f>
        <v>0</v>
      </c>
      <c r="K516" s="242">
        <f t="shared" ref="K516" si="547">SUM(K517:K518)</f>
        <v>0</v>
      </c>
      <c r="L516" s="242">
        <f t="shared" ref="L516" si="548">SUM(L517:L518)</f>
        <v>0</v>
      </c>
      <c r="M516" s="242">
        <f t="shared" ref="M516" si="549">SUM(M517:M518)</f>
        <v>0</v>
      </c>
      <c r="N516" s="242">
        <f t="shared" ref="N516" si="550">SUM(N517:N518)</f>
        <v>0</v>
      </c>
      <c r="O516" s="242">
        <f t="shared" ref="O516" si="551">SUM(O517:O518)</f>
        <v>0</v>
      </c>
      <c r="P516" s="242">
        <f t="shared" ref="P516" si="552">SUM(P517:P518)</f>
        <v>0</v>
      </c>
      <c r="Q516" s="242">
        <f t="shared" ref="Q516:R516" si="553">SUM(Q517:Q518)</f>
        <v>0</v>
      </c>
      <c r="R516" s="242">
        <f t="shared" si="553"/>
        <v>0</v>
      </c>
    </row>
    <row r="517" spans="1:18" outlineLevel="1" x14ac:dyDescent="0.25">
      <c r="A517" s="243" t="s">
        <v>697</v>
      </c>
      <c r="B517" s="254" t="s">
        <v>698</v>
      </c>
      <c r="C517" s="193"/>
      <c r="D517" s="247"/>
      <c r="E517" s="247"/>
      <c r="F517" s="247"/>
      <c r="G517" s="247"/>
      <c r="H517" s="247"/>
      <c r="I517" s="247"/>
      <c r="J517" s="247"/>
      <c r="K517" s="247"/>
      <c r="L517" s="247"/>
      <c r="M517" s="247"/>
      <c r="N517" s="247"/>
      <c r="O517" s="247"/>
      <c r="P517" s="247"/>
      <c r="Q517" s="247"/>
      <c r="R517" s="247"/>
    </row>
    <row r="518" spans="1:18" outlineLevel="1" x14ac:dyDescent="0.25">
      <c r="A518" s="243" t="s">
        <v>699</v>
      </c>
      <c r="B518" s="254" t="s">
        <v>700</v>
      </c>
      <c r="C518" s="193"/>
      <c r="D518" s="247"/>
      <c r="E518" s="247"/>
      <c r="F518" s="247"/>
      <c r="G518" s="247"/>
      <c r="H518" s="247"/>
      <c r="I518" s="247"/>
      <c r="J518" s="247"/>
      <c r="K518" s="247"/>
      <c r="L518" s="247"/>
      <c r="M518" s="247"/>
      <c r="N518" s="247"/>
      <c r="O518" s="247"/>
      <c r="P518" s="247"/>
      <c r="Q518" s="247"/>
      <c r="R518" s="247"/>
    </row>
    <row r="519" spans="1:18" x14ac:dyDescent="0.25">
      <c r="A519" s="249" t="s">
        <v>701</v>
      </c>
      <c r="B519" s="249" t="s">
        <v>702</v>
      </c>
      <c r="C519" s="255"/>
      <c r="D519" s="256">
        <f>SUM(D520:D522)</f>
        <v>0</v>
      </c>
      <c r="E519" s="256">
        <f t="shared" ref="E519" si="554">SUM(E520:E522)</f>
        <v>0</v>
      </c>
      <c r="F519" s="256">
        <f t="shared" ref="F519" si="555">SUM(F520:F522)</f>
        <v>0</v>
      </c>
      <c r="G519" s="256">
        <f t="shared" ref="G519" si="556">SUM(G520:G522)</f>
        <v>0</v>
      </c>
      <c r="H519" s="256">
        <f t="shared" ref="H519" si="557">SUM(H520:H522)</f>
        <v>0</v>
      </c>
      <c r="I519" s="256">
        <f t="shared" ref="I519" si="558">SUM(I520:I522)</f>
        <v>0</v>
      </c>
      <c r="J519" s="256">
        <f t="shared" ref="J519" si="559">SUM(J520:J522)</f>
        <v>0</v>
      </c>
      <c r="K519" s="256">
        <f t="shared" ref="K519" si="560">SUM(K520:K522)</f>
        <v>0</v>
      </c>
      <c r="L519" s="256">
        <f t="shared" ref="L519" si="561">SUM(L520:L522)</f>
        <v>0</v>
      </c>
      <c r="M519" s="256">
        <f t="shared" ref="M519" si="562">SUM(M520:M522)</f>
        <v>0</v>
      </c>
      <c r="N519" s="256">
        <f t="shared" ref="N519" si="563">SUM(N520:N522)</f>
        <v>0</v>
      </c>
      <c r="O519" s="256">
        <f t="shared" ref="O519" si="564">SUM(O520:O522)</f>
        <v>0</v>
      </c>
      <c r="P519" s="256">
        <f t="shared" ref="P519" si="565">SUM(P520:P522)</f>
        <v>0</v>
      </c>
      <c r="Q519" s="256">
        <f t="shared" ref="Q519:R519" si="566">SUM(Q520:Q522)</f>
        <v>0</v>
      </c>
      <c r="R519" s="256">
        <f t="shared" si="566"/>
        <v>0</v>
      </c>
    </row>
    <row r="520" spans="1:18" outlineLevel="1" x14ac:dyDescent="0.25">
      <c r="A520" s="243" t="s">
        <v>703</v>
      </c>
      <c r="B520" s="243" t="s">
        <v>407</v>
      </c>
      <c r="C520" s="244" t="s">
        <v>522</v>
      </c>
      <c r="D520" s="245" cm="1">
        <f t="array" ref="D520">-SUMPRODUCT(
  desp[data.vencimento] *
  (desp[classificacao]=$B$289) *
  (desp[centro.negocio]=$B520) *
  (desp[parcela]&gt;=D$1) *
  (desp[parcela]&lt;EOMONTH(D$1,0)+1)
)</f>
        <v>0</v>
      </c>
      <c r="E520" s="245" cm="1">
        <f t="array" ref="E520">-SUMPRODUCT(
  desp[data.vencimento] *
  (desp[classificacao]=$B$289) *
  (desp[centro.negocio]=$B520) *
  (desp[parcela]&gt;=E$1) *
  (desp[parcela]&lt;EOMONTH(E$1,0)+1)
)</f>
        <v>0</v>
      </c>
      <c r="F520" s="245" cm="1">
        <f t="array" ref="F520">-SUMPRODUCT(
  desp[data.vencimento] *
  (desp[classificacao]=$B$289) *
  (desp[centro.negocio]=$B520) *
  (desp[parcela]&gt;=F$1) *
  (desp[parcela]&lt;EOMONTH(F$1,0)+1)
)</f>
        <v>0</v>
      </c>
      <c r="G520" s="245" cm="1">
        <f t="array" ref="G520">-SUMPRODUCT(
  desp[data.vencimento] *
  (desp[classificacao]=$B$289) *
  (desp[centro.negocio]=$B520) *
  (desp[parcela]&gt;=G$1) *
  (desp[parcela]&lt;EOMONTH(G$1,0)+1)
)</f>
        <v>0</v>
      </c>
      <c r="H520" s="245" cm="1">
        <f t="array" ref="H520">-SUMPRODUCT(
  desp[data.vencimento] *
  (desp[classificacao]=$B$289) *
  (desp[centro.negocio]=$B520) *
  (desp[parcela]&gt;=H$1) *
  (desp[parcela]&lt;EOMONTH(H$1,0)+1)
)</f>
        <v>0</v>
      </c>
      <c r="I520" s="245" cm="1">
        <f t="array" ref="I520">-SUMPRODUCT(
  desp[data.vencimento] *
  (desp[classificacao]=$B$289) *
  (desp[centro.negocio]=$B520) *
  (desp[parcela]&gt;=I$1) *
  (desp[parcela]&lt;EOMONTH(I$1,0)+1)
)</f>
        <v>0</v>
      </c>
      <c r="J520" s="245" cm="1">
        <f t="array" ref="J520">-SUMPRODUCT(
  desp[data.vencimento] *
  (desp[classificacao]=$B$289) *
  (desp[centro.negocio]=$B520) *
  (desp[parcela]&gt;=J$1) *
  (desp[parcela]&lt;EOMONTH(J$1,0)+1)
)</f>
        <v>0</v>
      </c>
      <c r="K520" s="245" cm="1">
        <f t="array" ref="K520">-SUMPRODUCT(
  desp[data.vencimento] *
  (desp[classificacao]=$B$289) *
  (desp[centro.negocio]=$B520) *
  (desp[parcela]&gt;=K$1) *
  (desp[parcela]&lt;EOMONTH(K$1,0)+1)
)</f>
        <v>0</v>
      </c>
      <c r="L520" s="245" cm="1">
        <f t="array" ref="L520">-SUMPRODUCT(
  desp[data.vencimento] *
  (desp[classificacao]=$B$289) *
  (desp[centro.negocio]=$B520) *
  (desp[parcela]&gt;=L$1) *
  (desp[parcela]&lt;EOMONTH(L$1,0)+1)
)</f>
        <v>0</v>
      </c>
      <c r="M520" s="245" cm="1">
        <f t="array" ref="M520">-SUMPRODUCT(
  desp[data.vencimento] *
  (desp[classificacao]=$B$289) *
  (desp[centro.negocio]=$B520) *
  (desp[parcela]&gt;=M$1) *
  (desp[parcela]&lt;EOMONTH(M$1,0)+1)
)</f>
        <v>0</v>
      </c>
      <c r="N520" s="245" cm="1">
        <f t="array" ref="N520">-SUMPRODUCT(
  desp[data.vencimento] *
  (desp[classificacao]=$B$289) *
  (desp[centro.negocio]=$B520) *
  (desp[parcela]&gt;=N$1) *
  (desp[parcela]&lt;EOMONTH(N$1,0)+1)
)</f>
        <v>0</v>
      </c>
      <c r="O520" s="245" cm="1">
        <f t="array" ref="O520">-SUMPRODUCT(
  desp[data.vencimento] *
  (desp[classificacao]=$B$289) *
  (desp[centro.negocio]=$B520) *
  (desp[parcela]&gt;=O$1) *
  (desp[parcela]&lt;EOMONTH(O$1,0)+1)
)</f>
        <v>0</v>
      </c>
      <c r="P520" s="245" cm="1">
        <f t="array" ref="P520">-SUMPRODUCT(
  desp[data.vencimento] *
  (desp[classificacao]=$B$289) *
  (desp[centro.negocio]=$B520) *
  (desp[parcela]&gt;=P$1) *
  (desp[parcela]&lt;EOMONTH(P$1,0)+1)
)</f>
        <v>0</v>
      </c>
      <c r="Q520" s="245" cm="1">
        <f t="array" ref="Q520">-SUMPRODUCT(
  desp[data.vencimento] *
  (desp[classificacao]=$B$289) *
  (desp[centro.negocio]=$B520) *
  (desp[parcela]&gt;=Q$1) *
  (desp[parcela]&lt;EOMONTH(Q$1,0)+1)
)</f>
        <v>0</v>
      </c>
      <c r="R520" s="245" cm="1">
        <f t="array" ref="R520">-SUMPRODUCT(
  desp[data.vencimento] *
  (desp[classificacao]=$B$289) *
  (desp[centro.negocio]=$B520) *
  (desp[parcela]&gt;=R$1) *
  (desp[parcela]&lt;EOMONTH(R$1,0)+1)
)</f>
        <v>0</v>
      </c>
    </row>
    <row r="521" spans="1:18" outlineLevel="1" x14ac:dyDescent="0.25">
      <c r="A521" s="243" t="s">
        <v>719</v>
      </c>
      <c r="B521" s="254" t="s">
        <v>720</v>
      </c>
      <c r="C521" s="193"/>
      <c r="D521" s="247"/>
      <c r="E521" s="247"/>
      <c r="F521" s="247"/>
      <c r="G521" s="247"/>
      <c r="H521" s="247"/>
      <c r="I521" s="247"/>
      <c r="J521" s="247"/>
      <c r="K521" s="247"/>
      <c r="L521" s="247"/>
      <c r="M521" s="247"/>
      <c r="N521" s="247"/>
      <c r="O521" s="247"/>
      <c r="P521" s="247"/>
      <c r="Q521" s="247"/>
      <c r="R521" s="247"/>
    </row>
    <row r="522" spans="1:18" outlineLevel="1" x14ac:dyDescent="0.25">
      <c r="A522" s="243" t="s">
        <v>721</v>
      </c>
      <c r="B522" s="254" t="s">
        <v>722</v>
      </c>
      <c r="C522" s="193"/>
      <c r="D522" s="247"/>
      <c r="E522" s="247"/>
      <c r="F522" s="247"/>
      <c r="G522" s="247"/>
      <c r="H522" s="247"/>
      <c r="I522" s="247"/>
      <c r="J522" s="247"/>
      <c r="K522" s="247"/>
      <c r="L522" s="247"/>
      <c r="M522" s="247"/>
      <c r="N522" s="247"/>
      <c r="O522" s="247"/>
      <c r="P522" s="247"/>
      <c r="Q522" s="247"/>
      <c r="R522" s="247"/>
    </row>
    <row r="523" spans="1:18" x14ac:dyDescent="0.25">
      <c r="A523" s="236" t="s">
        <v>723</v>
      </c>
      <c r="B523" s="236" t="s">
        <v>724</v>
      </c>
      <c r="C523" s="237"/>
      <c r="D523" s="238">
        <f>D524+D529</f>
        <v>489068.85</v>
      </c>
      <c r="E523" s="238">
        <f t="shared" ref="E523" si="567">E524+E529</f>
        <v>0</v>
      </c>
      <c r="F523" s="238">
        <f t="shared" ref="F523" si="568">F524+F529</f>
        <v>385006.39</v>
      </c>
      <c r="G523" s="238">
        <f t="shared" ref="G523" si="569">G524+G529</f>
        <v>223853.73</v>
      </c>
      <c r="H523" s="238">
        <f t="shared" ref="H523" si="570">H524+H529</f>
        <v>134752.4</v>
      </c>
      <c r="I523" s="238">
        <f t="shared" ref="I523" si="571">I524+I529</f>
        <v>289304.8</v>
      </c>
      <c r="J523" s="238">
        <f t="shared" ref="J523" si="572">J524+J529</f>
        <v>171602.91</v>
      </c>
      <c r="K523" s="238">
        <f t="shared" ref="K523" si="573">K524+K529</f>
        <v>366306.04</v>
      </c>
      <c r="L523" s="238">
        <f t="shared" ref="L523" si="574">L524+L529</f>
        <v>181081.21</v>
      </c>
      <c r="M523" s="238">
        <f t="shared" ref="M523" si="575">M524+M529</f>
        <v>266613.7</v>
      </c>
      <c r="N523" s="238">
        <f t="shared" ref="N523" si="576">N524+N529</f>
        <v>230479.34</v>
      </c>
      <c r="O523" s="238">
        <f t="shared" ref="O523" si="577">O524+O529</f>
        <v>471701.2</v>
      </c>
      <c r="P523" s="238">
        <f t="shared" ref="P523" si="578">P524+P529</f>
        <v>0</v>
      </c>
      <c r="Q523" s="238">
        <f t="shared" ref="Q523:R523" si="579">Q524+Q529</f>
        <v>46792.36</v>
      </c>
      <c r="R523" s="238">
        <f t="shared" si="579"/>
        <v>0</v>
      </c>
    </row>
    <row r="524" spans="1:18" x14ac:dyDescent="0.25">
      <c r="A524" s="240" t="s">
        <v>725</v>
      </c>
      <c r="B524" s="240" t="s">
        <v>726</v>
      </c>
      <c r="C524" s="241"/>
      <c r="D524" s="242">
        <f>D525+D528</f>
        <v>489068.85</v>
      </c>
      <c r="E524" s="242">
        <f t="shared" ref="E524" si="580">E525+E528</f>
        <v>0</v>
      </c>
      <c r="F524" s="242">
        <f t="shared" ref="F524" si="581">F525+F528</f>
        <v>385006.39</v>
      </c>
      <c r="G524" s="242">
        <f t="shared" ref="G524" si="582">G525+G528</f>
        <v>223853.73</v>
      </c>
      <c r="H524" s="242">
        <f t="shared" ref="H524" si="583">H525+H528</f>
        <v>134752.4</v>
      </c>
      <c r="I524" s="242">
        <f t="shared" ref="I524" si="584">I525+I528</f>
        <v>289304.8</v>
      </c>
      <c r="J524" s="242">
        <f t="shared" ref="J524" si="585">J525+J528</f>
        <v>171602.91</v>
      </c>
      <c r="K524" s="242">
        <f t="shared" ref="K524" si="586">K525+K528</f>
        <v>366306.04</v>
      </c>
      <c r="L524" s="242">
        <f t="shared" ref="L524" si="587">L525+L528</f>
        <v>181081.21</v>
      </c>
      <c r="M524" s="242">
        <f t="shared" ref="M524" si="588">M525+M528</f>
        <v>266613.7</v>
      </c>
      <c r="N524" s="242">
        <f t="shared" ref="N524" si="589">N525+N528</f>
        <v>230479.34</v>
      </c>
      <c r="O524" s="242">
        <f t="shared" ref="O524" si="590">O525+O528</f>
        <v>471701.2</v>
      </c>
      <c r="P524" s="242">
        <f t="shared" ref="P524" si="591">P525+P528</f>
        <v>0</v>
      </c>
      <c r="Q524" s="242">
        <f t="shared" ref="Q524:R524" si="592">Q525+Q528</f>
        <v>46792.36</v>
      </c>
      <c r="R524" s="242">
        <f t="shared" si="592"/>
        <v>0</v>
      </c>
    </row>
    <row r="525" spans="1:18" outlineLevel="1" x14ac:dyDescent="0.25">
      <c r="A525" s="243" t="s">
        <v>727</v>
      </c>
      <c r="B525" s="243" t="s">
        <v>728</v>
      </c>
      <c r="C525" s="244" t="s">
        <v>729</v>
      </c>
      <c r="D525" s="245">
        <f>SUM(D526:D527)</f>
        <v>489068.85</v>
      </c>
      <c r="E525" s="245">
        <f t="shared" ref="E525" si="593">SUM(E526:E527)</f>
        <v>0</v>
      </c>
      <c r="F525" s="245">
        <f t="shared" ref="F525" si="594">SUM(F526:F527)</f>
        <v>385006.39</v>
      </c>
      <c r="G525" s="245">
        <f t="shared" ref="G525" si="595">SUM(G526:G527)</f>
        <v>223853.73</v>
      </c>
      <c r="H525" s="245">
        <f t="shared" ref="H525" si="596">SUM(H526:H527)</f>
        <v>134752.4</v>
      </c>
      <c r="I525" s="245">
        <f t="shared" ref="I525" si="597">SUM(I526:I527)</f>
        <v>289304.8</v>
      </c>
      <c r="J525" s="245">
        <f t="shared" ref="J525" si="598">SUM(J526:J527)</f>
        <v>171602.91</v>
      </c>
      <c r="K525" s="245">
        <f t="shared" ref="K525" si="599">SUM(K526:K527)</f>
        <v>366306.04</v>
      </c>
      <c r="L525" s="245">
        <f t="shared" ref="L525" si="600">SUM(L526:L527)</f>
        <v>181081.21</v>
      </c>
      <c r="M525" s="245">
        <f t="shared" ref="M525" si="601">SUM(M526:M527)</f>
        <v>266613.7</v>
      </c>
      <c r="N525" s="245">
        <f t="shared" ref="N525" si="602">SUM(N526:N527)</f>
        <v>230479.34</v>
      </c>
      <c r="O525" s="245">
        <f t="shared" ref="O525" si="603">SUM(O526:O527)</f>
        <v>471701.2</v>
      </c>
      <c r="P525" s="245">
        <f t="shared" ref="P525" si="604">SUM(P526:P527)</f>
        <v>0</v>
      </c>
      <c r="Q525" s="245">
        <f t="shared" ref="Q525:R525" si="605">SUM(Q526:Q527)</f>
        <v>46792.36</v>
      </c>
      <c r="R525" s="245">
        <f t="shared" si="605"/>
        <v>0</v>
      </c>
    </row>
    <row r="526" spans="1:18" outlineLevel="2" x14ac:dyDescent="0.25">
      <c r="A526" s="258" t="s">
        <v>730</v>
      </c>
      <c r="B526" s="258" t="s">
        <v>731</v>
      </c>
      <c r="C526" s="244"/>
      <c r="D526" s="245" cm="1">
        <f t="array" ref="D526:Q526">TRANSPOSE(inputs!F$51:F$64)</f>
        <v>489068.85</v>
      </c>
      <c r="E526" s="245">
        <v>0</v>
      </c>
      <c r="F526" s="245">
        <v>385006.39</v>
      </c>
      <c r="G526" s="245">
        <v>223853.73</v>
      </c>
      <c r="H526" s="245">
        <v>134752.4</v>
      </c>
      <c r="I526" s="245">
        <v>289304.8</v>
      </c>
      <c r="J526" s="245">
        <v>171602.91</v>
      </c>
      <c r="K526" s="245">
        <v>366306.04</v>
      </c>
      <c r="L526" s="245">
        <v>181081.21</v>
      </c>
      <c r="M526" s="245">
        <v>266613.7</v>
      </c>
      <c r="N526" s="245">
        <v>230479.34</v>
      </c>
      <c r="O526" s="245">
        <v>471701.2</v>
      </c>
      <c r="P526" s="245">
        <v>0</v>
      </c>
      <c r="Q526" s="245">
        <v>46792.36</v>
      </c>
      <c r="R526" s="245"/>
    </row>
    <row r="527" spans="1:18" outlineLevel="2" x14ac:dyDescent="0.25">
      <c r="A527" s="258" t="s">
        <v>736</v>
      </c>
      <c r="B527" s="258" t="s">
        <v>350</v>
      </c>
      <c r="C527" s="244" t="s">
        <v>737</v>
      </c>
      <c r="D527" s="302"/>
      <c r="E527" s="302"/>
      <c r="F527" s="302"/>
      <c r="G527" s="302"/>
      <c r="H527" s="302"/>
      <c r="I527" s="302"/>
      <c r="J527" s="302"/>
      <c r="K527" s="302"/>
      <c r="L527" s="302"/>
      <c r="M527" s="302"/>
      <c r="N527" s="302"/>
      <c r="O527" s="302"/>
      <c r="P527" s="302"/>
      <c r="Q527" s="302"/>
      <c r="R527" s="302"/>
    </row>
    <row r="528" spans="1:18" outlineLevel="1" x14ac:dyDescent="0.25">
      <c r="A528" s="243" t="s">
        <v>751</v>
      </c>
      <c r="B528" s="254" t="s">
        <v>752</v>
      </c>
      <c r="C528" s="244" t="s">
        <v>522</v>
      </c>
      <c r="D528" s="245"/>
      <c r="E528" s="245"/>
      <c r="F528" s="245"/>
      <c r="G528" s="245"/>
      <c r="H528" s="245"/>
      <c r="I528" s="245"/>
      <c r="J528" s="245"/>
      <c r="K528" s="245"/>
      <c r="L528" s="245"/>
      <c r="M528" s="245"/>
      <c r="N528" s="245"/>
      <c r="O528" s="245"/>
      <c r="P528" s="245"/>
      <c r="Q528" s="245"/>
      <c r="R528" s="245"/>
    </row>
    <row r="529" spans="1:18" x14ac:dyDescent="0.25">
      <c r="A529" s="249" t="s">
        <v>753</v>
      </c>
      <c r="B529" s="249" t="s">
        <v>754</v>
      </c>
      <c r="C529" s="255"/>
      <c r="D529" s="256">
        <f>SUM(D530:D531)</f>
        <v>0</v>
      </c>
      <c r="E529" s="256">
        <f t="shared" ref="E529" si="606">SUM(E530:E531)</f>
        <v>0</v>
      </c>
      <c r="F529" s="256">
        <f t="shared" ref="F529" si="607">SUM(F530:F531)</f>
        <v>0</v>
      </c>
      <c r="G529" s="256">
        <f t="shared" ref="G529" si="608">SUM(G530:G531)</f>
        <v>0</v>
      </c>
      <c r="H529" s="256">
        <f t="shared" ref="H529" si="609">SUM(H530:H531)</f>
        <v>0</v>
      </c>
      <c r="I529" s="256">
        <f t="shared" ref="I529" si="610">SUM(I530:I531)</f>
        <v>0</v>
      </c>
      <c r="J529" s="256">
        <f t="shared" ref="J529" si="611">SUM(J530:J531)</f>
        <v>0</v>
      </c>
      <c r="K529" s="256">
        <f t="shared" ref="K529" si="612">SUM(K530:K531)</f>
        <v>0</v>
      </c>
      <c r="L529" s="256">
        <f t="shared" ref="L529" si="613">SUM(L530:L531)</f>
        <v>0</v>
      </c>
      <c r="M529" s="256">
        <f t="shared" ref="M529" si="614">SUM(M530:M531)</f>
        <v>0</v>
      </c>
      <c r="N529" s="256">
        <f t="shared" ref="N529" si="615">SUM(N530:N531)</f>
        <v>0</v>
      </c>
      <c r="O529" s="256">
        <f t="shared" ref="O529" si="616">SUM(O530:O531)</f>
        <v>0</v>
      </c>
      <c r="P529" s="256">
        <f t="shared" ref="P529" si="617">SUM(P530:P531)</f>
        <v>0</v>
      </c>
      <c r="Q529" s="256">
        <f t="shared" ref="Q529:R529" si="618">SUM(Q530:Q531)</f>
        <v>0</v>
      </c>
      <c r="R529" s="256">
        <f t="shared" si="618"/>
        <v>0</v>
      </c>
    </row>
    <row r="530" spans="1:18" outlineLevel="1" x14ac:dyDescent="0.25">
      <c r="A530" s="243" t="s">
        <v>755</v>
      </c>
      <c r="B530" s="248" t="s">
        <v>396</v>
      </c>
      <c r="C530" s="244" t="s">
        <v>522</v>
      </c>
      <c r="D530" s="245" cm="1">
        <f t="array" ref="D530">-SUMPRODUCT(
  desp[data.vencimento] *
  (desp[classificacao]=$B$289) *
  (desp[centro.negocio]=$B530) *
  (desp[parcela]&gt;=D$1) *
  (desp[parcela]&lt;EOMONTH(D$1,0)+1)
)</f>
        <v>0</v>
      </c>
      <c r="E530" s="245" cm="1">
        <f t="array" ref="E530">-SUMPRODUCT(
  desp[data.vencimento] *
  (desp[classificacao]=$B$289) *
  (desp[centro.negocio]=$B530) *
  (desp[parcela]&gt;=E$1) *
  (desp[parcela]&lt;EOMONTH(E$1,0)+1)
)</f>
        <v>0</v>
      </c>
      <c r="F530" s="245" cm="1">
        <f t="array" ref="F530">-SUMPRODUCT(
  desp[data.vencimento] *
  (desp[classificacao]=$B$289) *
  (desp[centro.negocio]=$B530) *
  (desp[parcela]&gt;=F$1) *
  (desp[parcela]&lt;EOMONTH(F$1,0)+1)
)</f>
        <v>0</v>
      </c>
      <c r="G530" s="245" cm="1">
        <f t="array" ref="G530">-SUMPRODUCT(
  desp[data.vencimento] *
  (desp[classificacao]=$B$289) *
  (desp[centro.negocio]=$B530) *
  (desp[parcela]&gt;=G$1) *
  (desp[parcela]&lt;EOMONTH(G$1,0)+1)
)</f>
        <v>0</v>
      </c>
      <c r="H530" s="245" cm="1">
        <f t="array" ref="H530">-SUMPRODUCT(
  desp[data.vencimento] *
  (desp[classificacao]=$B$289) *
  (desp[centro.negocio]=$B530) *
  (desp[parcela]&gt;=H$1) *
  (desp[parcela]&lt;EOMONTH(H$1,0)+1)
)</f>
        <v>0</v>
      </c>
      <c r="I530" s="245" cm="1">
        <f t="array" ref="I530">-SUMPRODUCT(
  desp[data.vencimento] *
  (desp[classificacao]=$B$289) *
  (desp[centro.negocio]=$B530) *
  (desp[parcela]&gt;=I$1) *
  (desp[parcela]&lt;EOMONTH(I$1,0)+1)
)</f>
        <v>0</v>
      </c>
      <c r="J530" s="245" cm="1">
        <f t="array" ref="J530">-SUMPRODUCT(
  desp[data.vencimento] *
  (desp[classificacao]=$B$289) *
  (desp[centro.negocio]=$B530) *
  (desp[parcela]&gt;=J$1) *
  (desp[parcela]&lt;EOMONTH(J$1,0)+1)
)</f>
        <v>0</v>
      </c>
      <c r="K530" s="245" cm="1">
        <f t="array" ref="K530">-SUMPRODUCT(
  desp[data.vencimento] *
  (desp[classificacao]=$B$289) *
  (desp[centro.negocio]=$B530) *
  (desp[parcela]&gt;=K$1) *
  (desp[parcela]&lt;EOMONTH(K$1,0)+1)
)</f>
        <v>0</v>
      </c>
      <c r="L530" s="245" cm="1">
        <f t="array" ref="L530">-SUMPRODUCT(
  desp[data.vencimento] *
  (desp[classificacao]=$B$289) *
  (desp[centro.negocio]=$B530) *
  (desp[parcela]&gt;=L$1) *
  (desp[parcela]&lt;EOMONTH(L$1,0)+1)
)</f>
        <v>0</v>
      </c>
      <c r="M530" s="245" cm="1">
        <f t="array" ref="M530">-SUMPRODUCT(
  desp[data.vencimento] *
  (desp[classificacao]=$B$289) *
  (desp[centro.negocio]=$B530) *
  (desp[parcela]&gt;=M$1) *
  (desp[parcela]&lt;EOMONTH(M$1,0)+1)
)</f>
        <v>0</v>
      </c>
      <c r="N530" s="245" cm="1">
        <f t="array" ref="N530">-SUMPRODUCT(
  desp[data.vencimento] *
  (desp[classificacao]=$B$289) *
  (desp[centro.negocio]=$B530) *
  (desp[parcela]&gt;=N$1) *
  (desp[parcela]&lt;EOMONTH(N$1,0)+1)
)</f>
        <v>0</v>
      </c>
      <c r="O530" s="245" cm="1">
        <f t="array" ref="O530">-SUMPRODUCT(
  desp[data.vencimento] *
  (desp[classificacao]=$B$289) *
  (desp[centro.negocio]=$B530) *
  (desp[parcela]&gt;=O$1) *
  (desp[parcela]&lt;EOMONTH(O$1,0)+1)
)</f>
        <v>0</v>
      </c>
      <c r="P530" s="245" cm="1">
        <f t="array" ref="P530">-SUMPRODUCT(
  desp[data.vencimento] *
  (desp[classificacao]=$B$289) *
  (desp[centro.negocio]=$B530) *
  (desp[parcela]&gt;=P$1) *
  (desp[parcela]&lt;EOMONTH(P$1,0)+1)
)</f>
        <v>0</v>
      </c>
      <c r="Q530" s="245" cm="1">
        <f t="array" ref="Q530">-SUMPRODUCT(
  desp[data.vencimento] *
  (desp[classificacao]=$B$289) *
  (desp[centro.negocio]=$B530) *
  (desp[parcela]&gt;=Q$1) *
  (desp[parcela]&lt;EOMONTH(Q$1,0)+1)
)</f>
        <v>0</v>
      </c>
      <c r="R530" s="245" cm="1">
        <f t="array" ref="R530">-SUMPRODUCT(
  desp[data.vencimento] *
  (desp[classificacao]=$B$289) *
  (desp[centro.negocio]=$B530) *
  (desp[parcela]&gt;=R$1) *
  (desp[parcela]&lt;EOMONTH(R$1,0)+1)
)</f>
        <v>0</v>
      </c>
    </row>
    <row r="531" spans="1:18" outlineLevel="1" x14ac:dyDescent="0.25">
      <c r="A531" s="243" t="s">
        <v>773</v>
      </c>
      <c r="B531" s="254" t="s">
        <v>774</v>
      </c>
      <c r="C531" s="193"/>
      <c r="D531" s="247"/>
      <c r="E531" s="247"/>
      <c r="F531" s="247"/>
      <c r="G531" s="247"/>
      <c r="H531" s="247"/>
      <c r="I531" s="247"/>
      <c r="J531" s="247"/>
      <c r="K531" s="247"/>
      <c r="L531" s="247"/>
      <c r="M531" s="247"/>
      <c r="N531" s="247"/>
      <c r="O531" s="247"/>
      <c r="P531" s="247"/>
      <c r="Q531" s="247"/>
      <c r="R531" s="247"/>
    </row>
    <row r="532" spans="1:18" x14ac:dyDescent="0.25">
      <c r="A532" s="233"/>
      <c r="B532" s="233" t="s">
        <v>775</v>
      </c>
      <c r="C532" s="260"/>
      <c r="D532" s="261">
        <f ca="1">D490+D515+D523</f>
        <v>489068.85</v>
      </c>
      <c r="E532" s="261">
        <f t="shared" ref="E532:R532" ca="1" si="619">E490+E515+E523</f>
        <v>0</v>
      </c>
      <c r="F532" s="261">
        <f t="shared" ca="1" si="619"/>
        <v>385006.39</v>
      </c>
      <c r="G532" s="261">
        <f t="shared" ca="1" si="619"/>
        <v>223853.73</v>
      </c>
      <c r="H532" s="261">
        <f t="shared" ca="1" si="619"/>
        <v>134752.4</v>
      </c>
      <c r="I532" s="261">
        <f t="shared" ca="1" si="619"/>
        <v>289304.8</v>
      </c>
      <c r="J532" s="261">
        <f t="shared" ca="1" si="619"/>
        <v>171602.91</v>
      </c>
      <c r="K532" s="261">
        <f t="shared" ca="1" si="619"/>
        <v>366306.04</v>
      </c>
      <c r="L532" s="261">
        <f t="shared" ca="1" si="619"/>
        <v>181081.21</v>
      </c>
      <c r="M532" s="261">
        <f t="shared" ca="1" si="619"/>
        <v>266613.7</v>
      </c>
      <c r="N532" s="261">
        <f t="shared" ca="1" si="619"/>
        <v>230479.34</v>
      </c>
      <c r="O532" s="261">
        <f t="shared" ca="1" si="619"/>
        <v>471701.2</v>
      </c>
      <c r="P532" s="261">
        <f t="shared" ca="1" si="619"/>
        <v>0</v>
      </c>
      <c r="Q532" s="261">
        <f t="shared" ref="Q532" ca="1" si="620">Q490+Q515+Q523</f>
        <v>46792.36</v>
      </c>
      <c r="R532" s="261">
        <f t="shared" ca="1" si="619"/>
        <v>0</v>
      </c>
    </row>
    <row r="533" spans="1:18" x14ac:dyDescent="0.25">
      <c r="A533" s="305"/>
      <c r="B533" s="305" t="s">
        <v>776</v>
      </c>
      <c r="C533" s="306"/>
      <c r="D533" s="238"/>
      <c r="E533" s="238"/>
      <c r="F533" s="238"/>
      <c r="G533" s="238"/>
      <c r="H533" s="238"/>
      <c r="I533" s="238"/>
      <c r="J533" s="238"/>
      <c r="K533" s="238"/>
      <c r="L533" s="238"/>
      <c r="M533" s="238"/>
      <c r="N533" s="238"/>
      <c r="O533" s="238"/>
      <c r="P533" s="238"/>
      <c r="Q533" s="238"/>
      <c r="R533" s="238"/>
    </row>
    <row r="534" spans="1:18" x14ac:dyDescent="0.25">
      <c r="A534" s="305"/>
      <c r="B534" s="305" t="s">
        <v>777</v>
      </c>
      <c r="C534" s="306"/>
      <c r="D534" s="238"/>
      <c r="E534" s="238"/>
      <c r="F534" s="238"/>
      <c r="G534" s="238"/>
      <c r="H534" s="238"/>
      <c r="I534" s="238"/>
      <c r="J534" s="238"/>
      <c r="K534" s="238"/>
      <c r="L534" s="238"/>
      <c r="M534" s="238"/>
      <c r="N534" s="238"/>
      <c r="O534" s="238"/>
      <c r="P534" s="238"/>
      <c r="Q534" s="238"/>
      <c r="R534" s="238"/>
    </row>
    <row r="535" spans="1:18" x14ac:dyDescent="0.25">
      <c r="A535" s="305"/>
      <c r="B535" s="305" t="s">
        <v>796</v>
      </c>
      <c r="C535" s="306"/>
      <c r="D535" s="238"/>
      <c r="E535" s="238"/>
      <c r="F535" s="238"/>
      <c r="G535" s="238"/>
      <c r="H535" s="238"/>
      <c r="I535" s="238"/>
      <c r="J535" s="238"/>
      <c r="K535" s="238"/>
      <c r="L535" s="238"/>
      <c r="M535" s="238"/>
      <c r="N535" s="238"/>
      <c r="O535" s="238"/>
      <c r="P535" s="238"/>
      <c r="Q535" s="238"/>
      <c r="R535" s="238"/>
    </row>
    <row r="539" spans="1:18" ht="21" x14ac:dyDescent="0.35">
      <c r="A539" s="301" t="s">
        <v>16</v>
      </c>
      <c r="B539" s="301" t="s">
        <v>550</v>
      </c>
    </row>
    <row r="540" spans="1:18" x14ac:dyDescent="0.25">
      <c r="A540" s="236" t="s">
        <v>510</v>
      </c>
      <c r="B540" s="236" t="s">
        <v>511</v>
      </c>
      <c r="C540" s="237"/>
      <c r="D540" s="238">
        <f ca="1">D541+D546</f>
        <v>0</v>
      </c>
      <c r="E540" s="238">
        <f t="shared" ref="E540" ca="1" si="621">E541+E546</f>
        <v>0</v>
      </c>
      <c r="F540" s="238">
        <f t="shared" ref="F540" ca="1" si="622">F541+F546</f>
        <v>0</v>
      </c>
      <c r="G540" s="238">
        <f t="shared" ref="G540" ca="1" si="623">G541+G546</f>
        <v>0</v>
      </c>
      <c r="H540" s="238">
        <f t="shared" ref="H540" ca="1" si="624">H541+H546</f>
        <v>0</v>
      </c>
      <c r="I540" s="238">
        <f t="shared" ref="I540" ca="1" si="625">I541+I546</f>
        <v>0</v>
      </c>
      <c r="J540" s="238">
        <f t="shared" ref="J540" ca="1" si="626">J541+J546</f>
        <v>0</v>
      </c>
      <c r="K540" s="238">
        <f t="shared" ref="K540" ca="1" si="627">K541+K546</f>
        <v>0</v>
      </c>
      <c r="L540" s="238">
        <f t="shared" ref="L540" ca="1" si="628">L541+L546</f>
        <v>0</v>
      </c>
      <c r="M540" s="238">
        <f t="shared" ref="M540" ca="1" si="629">M541+M546</f>
        <v>0</v>
      </c>
      <c r="N540" s="238">
        <f t="shared" ref="N540" ca="1" si="630">N541+N546</f>
        <v>0</v>
      </c>
      <c r="O540" s="238">
        <f t="shared" ref="O540" ca="1" si="631">O541+O546</f>
        <v>0</v>
      </c>
      <c r="P540" s="238">
        <f t="shared" ref="P540" ca="1" si="632">P541+P546</f>
        <v>0</v>
      </c>
      <c r="Q540" s="238">
        <f t="shared" ref="Q540:R540" ca="1" si="633">Q541+Q546</f>
        <v>0</v>
      </c>
      <c r="R540" s="238">
        <f t="shared" ca="1" si="633"/>
        <v>0</v>
      </c>
    </row>
    <row r="541" spans="1:18" x14ac:dyDescent="0.25">
      <c r="A541" s="240" t="s">
        <v>513</v>
      </c>
      <c r="B541" s="240" t="s">
        <v>514</v>
      </c>
      <c r="C541" s="241"/>
      <c r="D541" s="242">
        <f ca="1">SUM(D542:D545)</f>
        <v>0</v>
      </c>
      <c r="E541" s="242">
        <f t="shared" ref="E541" ca="1" si="634">SUM(E542:E545)</f>
        <v>0</v>
      </c>
      <c r="F541" s="242">
        <f t="shared" ref="F541" ca="1" si="635">SUM(F542:F545)</f>
        <v>0</v>
      </c>
      <c r="G541" s="242">
        <f t="shared" ref="G541" ca="1" si="636">SUM(G542:G545)</f>
        <v>0</v>
      </c>
      <c r="H541" s="242">
        <f t="shared" ref="H541" ca="1" si="637">SUM(H542:H545)</f>
        <v>0</v>
      </c>
      <c r="I541" s="242">
        <f t="shared" ref="I541" ca="1" si="638">SUM(I542:I545)</f>
        <v>0</v>
      </c>
      <c r="J541" s="242">
        <f t="shared" ref="J541" ca="1" si="639">SUM(J542:J545)</f>
        <v>0</v>
      </c>
      <c r="K541" s="242">
        <f t="shared" ref="K541" ca="1" si="640">SUM(K542:K545)</f>
        <v>0</v>
      </c>
      <c r="L541" s="242">
        <f t="shared" ref="L541" ca="1" si="641">SUM(L542:L545)</f>
        <v>0</v>
      </c>
      <c r="M541" s="242">
        <f t="shared" ref="M541" ca="1" si="642">SUM(M542:M545)</f>
        <v>0</v>
      </c>
      <c r="N541" s="242">
        <f t="shared" ref="N541" ca="1" si="643">SUM(N542:N545)</f>
        <v>0</v>
      </c>
      <c r="O541" s="242">
        <f t="shared" ref="O541" ca="1" si="644">SUM(O542:O545)</f>
        <v>0</v>
      </c>
      <c r="P541" s="242">
        <f t="shared" ref="P541" ca="1" si="645">SUM(P542:P545)</f>
        <v>0</v>
      </c>
      <c r="Q541" s="242">
        <f t="shared" ref="Q541:R541" ca="1" si="646">SUM(Q542:Q545)</f>
        <v>0</v>
      </c>
      <c r="R541" s="242">
        <f t="shared" ca="1" si="646"/>
        <v>0</v>
      </c>
    </row>
    <row r="542" spans="1:18" outlineLevel="1" x14ac:dyDescent="0.25">
      <c r="A542" s="243" t="s">
        <v>515</v>
      </c>
      <c r="B542" s="243" t="s">
        <v>516</v>
      </c>
      <c r="C542" s="244" t="s">
        <v>482</v>
      </c>
      <c r="D54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54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54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54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54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54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54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54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54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54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54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54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54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54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  <c r="R542" s="245">
        <f ca="1">SUMIFS(rec.uni[2026-03-01],
INDIRECT("rec.uni[natureza]"),"repasse.cef.obra",
INDIRECT("rec.uni[empresa]"),$A$289)+
SUMIFS(rec.uni[2026-03-01],
INDIRECT("rec.uni[natureza]"),"repasse.cef.terreno",
INDIRECT("rec.uni[empresa]"),$A$289)</f>
        <v>0</v>
      </c>
    </row>
    <row r="543" spans="1:18" outlineLevel="1" x14ac:dyDescent="0.25">
      <c r="A543" s="243" t="s">
        <v>521</v>
      </c>
      <c r="B543" s="243" t="s">
        <v>21</v>
      </c>
      <c r="C543" s="244" t="s">
        <v>522</v>
      </c>
      <c r="D543" s="245">
        <f ca="1">SUMIFS(rec.uni[2025-01-01],
INDIRECT("rec.uni[natureza]"),"pro.soluto",
INDIRECT("rec.uni[empresa]"),$A$289)</f>
        <v>0</v>
      </c>
      <c r="E543" s="245">
        <f ca="1">SUMIFS(rec.uni[2025-02-01],
INDIRECT("rec.uni[natureza]"),"pro.soluto",
INDIRECT("rec.uni[empresa]"),$A$289)</f>
        <v>0</v>
      </c>
      <c r="F543" s="245">
        <f ca="1">SUMIFS(rec.uni[2025-03-01],
INDIRECT("rec.uni[natureza]"),"pro.soluto",
INDIRECT("rec.uni[empresa]"),$A$289)</f>
        <v>0</v>
      </c>
      <c r="G543" s="245">
        <f ca="1">SUMIFS(rec.uni[2025-04-01],
INDIRECT("rec.uni[natureza]"),"pro.soluto",
INDIRECT("rec.uni[empresa]"),$A$289)</f>
        <v>0</v>
      </c>
      <c r="H543" s="245">
        <f ca="1">SUMIFS(rec.uni[2025-05-01],
INDIRECT("rec.uni[natureza]"),"pro.soluto",
INDIRECT("rec.uni[empresa]"),$A$289)</f>
        <v>0</v>
      </c>
      <c r="I543" s="245">
        <f ca="1">SUMIFS(rec.uni[2025-06-01],
INDIRECT("rec.uni[natureza]"),"pro.soluto",
INDIRECT("rec.uni[empresa]"),$A$289)</f>
        <v>0</v>
      </c>
      <c r="J543" s="245">
        <f ca="1">SUMIFS(rec.uni[2025-07-01],
INDIRECT("rec.uni[natureza]"),"pro.soluto",
INDIRECT("rec.uni[empresa]"),$A$289)</f>
        <v>0</v>
      </c>
      <c r="K543" s="245">
        <f ca="1">SUMIFS(rec.uni[2025-08-01],
INDIRECT("rec.uni[natureza]"),"pro.soluto",
INDIRECT("rec.uni[empresa]"),$A$289)</f>
        <v>0</v>
      </c>
      <c r="L543" s="245">
        <f ca="1">SUMIFS(rec.uni[2025-09-01],
INDIRECT("rec.uni[natureza]"),"pro.soluto",
INDIRECT("rec.uni[empresa]"),$A$289)</f>
        <v>0</v>
      </c>
      <c r="M543" s="245">
        <f ca="1">SUMIFS(rec.uni[2025-10-01],
INDIRECT("rec.uni[natureza]"),"pro.soluto",
INDIRECT("rec.uni[empresa]"),$A$289)</f>
        <v>0</v>
      </c>
      <c r="N543" s="245">
        <f ca="1">SUMIFS(rec.uni[2025-11-01],
INDIRECT("rec.uni[natureza]"),"pro.soluto",
INDIRECT("rec.uni[empresa]"),$A$289)</f>
        <v>0</v>
      </c>
      <c r="O543" s="245">
        <f ca="1">SUMIFS(rec.uni[2025-12-01],
INDIRECT("rec.uni[natureza]"),"pro.soluto",
INDIRECT("rec.uni[empresa]"),$A$289)</f>
        <v>0</v>
      </c>
      <c r="P543" s="245">
        <f ca="1">SUMIFS(rec.uni[2026-01-01],
INDIRECT("rec.uni[natureza]"),"pro.soluto",
INDIRECT("rec.uni[empresa]"),$A$289)</f>
        <v>0</v>
      </c>
      <c r="Q543" s="245">
        <f ca="1">SUMIFS(rec.uni[2026-02-01],
INDIRECT("rec.uni[natureza]"),"pro.soluto",
INDIRECT("rec.uni[empresa]"),$A$289)</f>
        <v>0</v>
      </c>
      <c r="R543" s="245">
        <f ca="1">SUMIFS(rec.uni[2026-03-01],
INDIRECT("rec.uni[natureza]"),"pro.soluto",
INDIRECT("rec.uni[empresa]"),$A$289)</f>
        <v>0</v>
      </c>
    </row>
    <row r="544" spans="1:18" outlineLevel="1" x14ac:dyDescent="0.25">
      <c r="A544" s="243" t="s">
        <v>530</v>
      </c>
      <c r="B544" s="243" t="s">
        <v>531</v>
      </c>
      <c r="C544" s="244" t="s">
        <v>522</v>
      </c>
      <c r="D544" s="245">
        <f ca="1">SUMIFS(rec.uni[2025-01-01],
INDIRECT("rec.uni[natureza]"),"taxa.extra",
INDIRECT("rec.uni[empresa]"),$A$289)</f>
        <v>0</v>
      </c>
      <c r="E544" s="245">
        <f ca="1">SUMIFS(rec.uni[2025-02-01],
INDIRECT("rec.uni[natureza]"),"taxa.extra",
INDIRECT("rec.uni[empresa]"),$A$289)</f>
        <v>0</v>
      </c>
      <c r="F544" s="245">
        <f ca="1">SUMIFS(rec.uni[2025-03-01],
INDIRECT("rec.uni[natureza]"),"taxa.extra",
INDIRECT("rec.uni[empresa]"),$A$289)</f>
        <v>0</v>
      </c>
      <c r="G544" s="245">
        <f ca="1">SUMIFS(rec.uni[2025-04-01],
INDIRECT("rec.uni[natureza]"),"taxa.extra",
INDIRECT("rec.uni[empresa]"),$A$289)</f>
        <v>0</v>
      </c>
      <c r="H544" s="245">
        <f ca="1">SUMIFS(rec.uni[2025-05-01],
INDIRECT("rec.uni[natureza]"),"taxa.extra",
INDIRECT("rec.uni[empresa]"),$A$289)</f>
        <v>0</v>
      </c>
      <c r="I544" s="245">
        <f ca="1">SUMIFS(rec.uni[2025-06-01],
INDIRECT("rec.uni[natureza]"),"taxa.extra",
INDIRECT("rec.uni[empresa]"),$A$289)</f>
        <v>0</v>
      </c>
      <c r="J544" s="245">
        <f ca="1">SUMIFS(rec.uni[2025-07-01],
INDIRECT("rec.uni[natureza]"),"taxa.extra",
INDIRECT("rec.uni[empresa]"),$A$289)</f>
        <v>0</v>
      </c>
      <c r="K544" s="245">
        <f ca="1">SUMIFS(rec.uni[2025-08-01],
INDIRECT("rec.uni[natureza]"),"taxa.extra",
INDIRECT("rec.uni[empresa]"),$A$289)</f>
        <v>0</v>
      </c>
      <c r="L544" s="245">
        <f ca="1">SUMIFS(rec.uni[2025-09-01],
INDIRECT("rec.uni[natureza]"),"taxa.extra",
INDIRECT("rec.uni[empresa]"),$A$289)</f>
        <v>0</v>
      </c>
      <c r="M544" s="245">
        <f ca="1">SUMIFS(rec.uni[2025-10-01],
INDIRECT("rec.uni[natureza]"),"taxa.extra",
INDIRECT("rec.uni[empresa]"),$A$289)</f>
        <v>0</v>
      </c>
      <c r="N544" s="245">
        <f ca="1">SUMIFS(rec.uni[2025-11-01],
INDIRECT("rec.uni[natureza]"),"taxa.extra",
INDIRECT("rec.uni[empresa]"),$A$289)</f>
        <v>0</v>
      </c>
      <c r="O544" s="245">
        <f ca="1">SUMIFS(rec.uni[2025-12-01],
INDIRECT("rec.uni[natureza]"),"taxa.extra",
INDIRECT("rec.uni[empresa]"),$A$289)</f>
        <v>0</v>
      </c>
      <c r="P544" s="245">
        <f ca="1">SUMIFS(rec.uni[2026-01-01],
INDIRECT("rec.uni[natureza]"),"taxa.extra",
INDIRECT("rec.uni[empresa]"),$A$289)</f>
        <v>0</v>
      </c>
      <c r="Q544" s="245">
        <f ca="1">SUMIFS(rec.uni[2026-02-01],
INDIRECT("rec.uni[natureza]"),"taxa.extra",
INDIRECT("rec.uni[empresa]"),$A$289)</f>
        <v>0</v>
      </c>
      <c r="R544" s="245">
        <f ca="1">SUMIFS(rec.uni[2026-03-01],
INDIRECT("rec.uni[natureza]"),"taxa.extra",
INDIRECT("rec.uni[empresa]"),$A$289)</f>
        <v>0</v>
      </c>
    </row>
    <row r="545" spans="1:18" outlineLevel="1" x14ac:dyDescent="0.25">
      <c r="A545" s="243" t="s">
        <v>539</v>
      </c>
      <c r="B545" s="243" t="s">
        <v>540</v>
      </c>
      <c r="C545" s="244" t="s">
        <v>27</v>
      </c>
      <c r="D545" s="245">
        <v>0</v>
      </c>
      <c r="E545" s="245">
        <v>0</v>
      </c>
      <c r="F545" s="245">
        <v>0</v>
      </c>
      <c r="G545" s="245">
        <v>0</v>
      </c>
      <c r="H545" s="245">
        <v>0</v>
      </c>
      <c r="I545" s="245">
        <v>0</v>
      </c>
      <c r="J545" s="245">
        <v>0</v>
      </c>
      <c r="K545" s="245">
        <v>0</v>
      </c>
      <c r="L545" s="245">
        <v>0</v>
      </c>
      <c r="M545" s="245">
        <v>0</v>
      </c>
      <c r="N545" s="245">
        <v>0</v>
      </c>
      <c r="O545" s="245">
        <v>0</v>
      </c>
      <c r="P545" s="245">
        <v>0</v>
      </c>
      <c r="Q545" s="245">
        <v>0</v>
      </c>
      <c r="R545" s="245">
        <v>0</v>
      </c>
    </row>
    <row r="546" spans="1:18" x14ac:dyDescent="0.25">
      <c r="A546" s="249" t="s">
        <v>542</v>
      </c>
      <c r="B546" s="249" t="s">
        <v>543</v>
      </c>
      <c r="C546" s="250" t="s">
        <v>522</v>
      </c>
      <c r="D546" s="251">
        <f>SUM(D547:D564)</f>
        <v>0</v>
      </c>
      <c r="E546" s="251">
        <f t="shared" ref="E546" si="647">SUM(E547:E564)</f>
        <v>0</v>
      </c>
      <c r="F546" s="251">
        <f t="shared" ref="F546" si="648">SUM(F547:F564)</f>
        <v>0</v>
      </c>
      <c r="G546" s="251">
        <f t="shared" ref="G546" si="649">SUM(G547:G564)</f>
        <v>0</v>
      </c>
      <c r="H546" s="251">
        <f t="shared" ref="H546" si="650">SUM(H547:H564)</f>
        <v>0</v>
      </c>
      <c r="I546" s="251">
        <f t="shared" ref="I546" si="651">SUM(I547:I564)</f>
        <v>0</v>
      </c>
      <c r="J546" s="251">
        <f t="shared" ref="J546" si="652">SUM(J547:J564)</f>
        <v>0</v>
      </c>
      <c r="K546" s="251">
        <f t="shared" ref="K546" si="653">SUM(K547:K564)</f>
        <v>0</v>
      </c>
      <c r="L546" s="251">
        <f t="shared" ref="L546" si="654">SUM(L547:L564)</f>
        <v>0</v>
      </c>
      <c r="M546" s="251">
        <f t="shared" ref="M546" si="655">SUM(M547:M564)</f>
        <v>0</v>
      </c>
      <c r="N546" s="251">
        <f t="shared" ref="N546" si="656">SUM(N547:N564)</f>
        <v>0</v>
      </c>
      <c r="O546" s="251">
        <f t="shared" ref="O546" si="657">SUM(O547:O564)</f>
        <v>0</v>
      </c>
      <c r="P546" s="251">
        <f t="shared" ref="P546" si="658">SUM(P547:P564)</f>
        <v>0</v>
      </c>
      <c r="Q546" s="251">
        <f t="shared" ref="Q546:R546" si="659">SUM(Q547:Q564)</f>
        <v>0</v>
      </c>
      <c r="R546" s="251">
        <f t="shared" si="659"/>
        <v>0</v>
      </c>
    </row>
    <row r="547" spans="1:18" outlineLevel="1" x14ac:dyDescent="0.25">
      <c r="A547" s="243" t="s">
        <v>544</v>
      </c>
      <c r="B547" s="243" t="s">
        <v>358</v>
      </c>
      <c r="C547" s="244" t="s">
        <v>522</v>
      </c>
      <c r="D547" s="245" cm="1">
        <f t="array" ref="D547">-SUMPRODUCT(
  desp[data.vencimento] *
  (desp[classificacao]=$B$289) *
  (desp[centro.negocio]=$B547) *
  (desp[parcela]&gt;=D$1) *
  (desp[parcela]&lt;EOMONTH(D$1,0)+1)
)</f>
        <v>0</v>
      </c>
      <c r="E547" s="245" cm="1">
        <f t="array" ref="E547">-SUMPRODUCT(
  desp[data.vencimento] *
  (desp[classificacao]=$B$289) *
  (desp[centro.negocio]=$B547) *
  (desp[parcela]&gt;=E$1) *
  (desp[parcela]&lt;EOMONTH(E$1,0)+1)
)</f>
        <v>0</v>
      </c>
      <c r="F547" s="245" cm="1">
        <f t="array" ref="F547">-SUMPRODUCT(
  desp[data.vencimento] *
  (desp[classificacao]=$B$289) *
  (desp[centro.negocio]=$B547) *
  (desp[parcela]&gt;=F$1) *
  (desp[parcela]&lt;EOMONTH(F$1,0)+1)
)</f>
        <v>0</v>
      </c>
      <c r="G547" s="245" cm="1">
        <f t="array" ref="G547">-SUMPRODUCT(
  desp[data.vencimento] *
  (desp[classificacao]=$B$289) *
  (desp[centro.negocio]=$B547) *
  (desp[parcela]&gt;=G$1) *
  (desp[parcela]&lt;EOMONTH(G$1,0)+1)
)</f>
        <v>0</v>
      </c>
      <c r="H547" s="245" cm="1">
        <f t="array" ref="H547">-SUMPRODUCT(
  desp[data.vencimento] *
  (desp[classificacao]=$B$289) *
  (desp[centro.negocio]=$B547) *
  (desp[parcela]&gt;=H$1) *
  (desp[parcela]&lt;EOMONTH(H$1,0)+1)
)</f>
        <v>0</v>
      </c>
      <c r="I547" s="245" cm="1">
        <f t="array" ref="I547">-SUMPRODUCT(
  desp[data.vencimento] *
  (desp[classificacao]=$B$289) *
  (desp[centro.negocio]=$B547) *
  (desp[parcela]&gt;=I$1) *
  (desp[parcela]&lt;EOMONTH(I$1,0)+1)
)</f>
        <v>0</v>
      </c>
      <c r="J547" s="245" cm="1">
        <f t="array" ref="J547">-SUMPRODUCT(
  desp[data.vencimento] *
  (desp[classificacao]=$B$289) *
  (desp[centro.negocio]=$B547) *
  (desp[parcela]&gt;=J$1) *
  (desp[parcela]&lt;EOMONTH(J$1,0)+1)
)</f>
        <v>0</v>
      </c>
      <c r="K547" s="245" cm="1">
        <f t="array" ref="K547">-SUMPRODUCT(
  desp[data.vencimento] *
  (desp[classificacao]=$B$289) *
  (desp[centro.negocio]=$B547) *
  (desp[parcela]&gt;=K$1) *
  (desp[parcela]&lt;EOMONTH(K$1,0)+1)
)</f>
        <v>0</v>
      </c>
      <c r="L547" s="245" cm="1">
        <f t="array" ref="L547">-SUMPRODUCT(
  desp[data.vencimento] *
  (desp[classificacao]=$B$289) *
  (desp[centro.negocio]=$B547) *
  (desp[parcela]&gt;=L$1) *
  (desp[parcela]&lt;EOMONTH(L$1,0)+1)
)</f>
        <v>0</v>
      </c>
      <c r="M547" s="245" cm="1">
        <f t="array" ref="M547">-SUMPRODUCT(
  desp[data.vencimento] *
  (desp[classificacao]=$B$289) *
  (desp[centro.negocio]=$B547) *
  (desp[parcela]&gt;=M$1) *
  (desp[parcela]&lt;EOMONTH(M$1,0)+1)
)</f>
        <v>0</v>
      </c>
      <c r="N547" s="245" cm="1">
        <f t="array" ref="N547">-SUMPRODUCT(
  desp[data.vencimento] *
  (desp[classificacao]=$B$289) *
  (desp[centro.negocio]=$B547) *
  (desp[parcela]&gt;=N$1) *
  (desp[parcela]&lt;EOMONTH(N$1,0)+1)
)</f>
        <v>0</v>
      </c>
      <c r="O547" s="245" cm="1">
        <f t="array" ref="O547">-SUMPRODUCT(
  desp[data.vencimento] *
  (desp[classificacao]=$B$289) *
  (desp[centro.negocio]=$B547) *
  (desp[parcela]&gt;=O$1) *
  (desp[parcela]&lt;EOMONTH(O$1,0)+1)
)</f>
        <v>0</v>
      </c>
      <c r="P547" s="245" cm="1">
        <f t="array" ref="P547">-SUMPRODUCT(
  desp[data.vencimento] *
  (desp[classificacao]=$B$289) *
  (desp[centro.negocio]=$B547) *
  (desp[parcela]&gt;=P$1) *
  (desp[parcela]&lt;EOMONTH(P$1,0)+1)
)</f>
        <v>0</v>
      </c>
      <c r="Q547" s="245" cm="1">
        <f t="array" ref="Q547">-SUMPRODUCT(
  desp[data.vencimento] *
  (desp[classificacao]=$B$289) *
  (desp[centro.negocio]=$B547) *
  (desp[parcela]&gt;=Q$1) *
  (desp[parcela]&lt;EOMONTH(Q$1,0)+1)
)</f>
        <v>0</v>
      </c>
      <c r="R547" s="245" cm="1">
        <f t="array" ref="R547">-SUMPRODUCT(
  desp[data.vencimento] *
  (desp[classificacao]=$B$289) *
  (desp[centro.negocio]=$B547) *
  (desp[parcela]&gt;=R$1) *
  (desp[parcela]&lt;EOMONTH(R$1,0)+1)
)</f>
        <v>0</v>
      </c>
    </row>
    <row r="548" spans="1:18" outlineLevel="1" x14ac:dyDescent="0.25">
      <c r="A548" s="243" t="s">
        <v>565</v>
      </c>
      <c r="B548" s="243" t="s">
        <v>398</v>
      </c>
      <c r="C548" s="244" t="s">
        <v>522</v>
      </c>
      <c r="D548" s="245" cm="1">
        <f t="array" ref="D548">-SUMPRODUCT(
  desp[data.vencimento] *
  (desp[classificacao]=$B$289) *
  (desp[centro.negocio]=$B548) *
  (desp[parcela]&gt;=D$1) *
  (desp[parcela]&lt;EOMONTH(D$1,0)+1)
)</f>
        <v>0</v>
      </c>
      <c r="E548" s="245" cm="1">
        <f t="array" ref="E548">-SUMPRODUCT(
  desp[data.vencimento] *
  (desp[classificacao]=$B$289) *
  (desp[centro.negocio]=$B548) *
  (desp[parcela]&gt;=E$1) *
  (desp[parcela]&lt;EOMONTH(E$1,0)+1)
)</f>
        <v>0</v>
      </c>
      <c r="F548" s="245" cm="1">
        <f t="array" ref="F548">-SUMPRODUCT(
  desp[data.vencimento] *
  (desp[classificacao]=$B$289) *
  (desp[centro.negocio]=$B548) *
  (desp[parcela]&gt;=F$1) *
  (desp[parcela]&lt;EOMONTH(F$1,0)+1)
)</f>
        <v>0</v>
      </c>
      <c r="G548" s="245" cm="1">
        <f t="array" ref="G548">-SUMPRODUCT(
  desp[data.vencimento] *
  (desp[classificacao]=$B$289) *
  (desp[centro.negocio]=$B548) *
  (desp[parcela]&gt;=G$1) *
  (desp[parcela]&lt;EOMONTH(G$1,0)+1)
)</f>
        <v>0</v>
      </c>
      <c r="H548" s="245" cm="1">
        <f t="array" ref="H548">-SUMPRODUCT(
  desp[data.vencimento] *
  (desp[classificacao]=$B$289) *
  (desp[centro.negocio]=$B548) *
  (desp[parcela]&gt;=H$1) *
  (desp[parcela]&lt;EOMONTH(H$1,0)+1)
)</f>
        <v>0</v>
      </c>
      <c r="I548" s="245" cm="1">
        <f t="array" ref="I548">-SUMPRODUCT(
  desp[data.vencimento] *
  (desp[classificacao]=$B$289) *
  (desp[centro.negocio]=$B548) *
  (desp[parcela]&gt;=I$1) *
  (desp[parcela]&lt;EOMONTH(I$1,0)+1)
)</f>
        <v>0</v>
      </c>
      <c r="J548" s="245" cm="1">
        <f t="array" ref="J548">-SUMPRODUCT(
  desp[data.vencimento] *
  (desp[classificacao]=$B$289) *
  (desp[centro.negocio]=$B548) *
  (desp[parcela]&gt;=J$1) *
  (desp[parcela]&lt;EOMONTH(J$1,0)+1)
)</f>
        <v>0</v>
      </c>
      <c r="K548" s="245" cm="1">
        <f t="array" ref="K548">-SUMPRODUCT(
  desp[data.vencimento] *
  (desp[classificacao]=$B$289) *
  (desp[centro.negocio]=$B548) *
  (desp[parcela]&gt;=K$1) *
  (desp[parcela]&lt;EOMONTH(K$1,0)+1)
)</f>
        <v>0</v>
      </c>
      <c r="L548" s="245" cm="1">
        <f t="array" ref="L548">-SUMPRODUCT(
  desp[data.vencimento] *
  (desp[classificacao]=$B$289) *
  (desp[centro.negocio]=$B548) *
  (desp[parcela]&gt;=L$1) *
  (desp[parcela]&lt;EOMONTH(L$1,0)+1)
)</f>
        <v>0</v>
      </c>
      <c r="M548" s="245" cm="1">
        <f t="array" ref="M548">-SUMPRODUCT(
  desp[data.vencimento] *
  (desp[classificacao]=$B$289) *
  (desp[centro.negocio]=$B548) *
  (desp[parcela]&gt;=M$1) *
  (desp[parcela]&lt;EOMONTH(M$1,0)+1)
)</f>
        <v>0</v>
      </c>
      <c r="N548" s="245" cm="1">
        <f t="array" ref="N548">-SUMPRODUCT(
  desp[data.vencimento] *
  (desp[classificacao]=$B$289) *
  (desp[centro.negocio]=$B548) *
  (desp[parcela]&gt;=N$1) *
  (desp[parcela]&lt;EOMONTH(N$1,0)+1)
)</f>
        <v>0</v>
      </c>
      <c r="O548" s="245" cm="1">
        <f t="array" ref="O548">-SUMPRODUCT(
  desp[data.vencimento] *
  (desp[classificacao]=$B$289) *
  (desp[centro.negocio]=$B548) *
  (desp[parcela]&gt;=O$1) *
  (desp[parcela]&lt;EOMONTH(O$1,0)+1)
)</f>
        <v>0</v>
      </c>
      <c r="P548" s="245" cm="1">
        <f t="array" ref="P548">-SUMPRODUCT(
  desp[data.vencimento] *
  (desp[classificacao]=$B$289) *
  (desp[centro.negocio]=$B548) *
  (desp[parcela]&gt;=P$1) *
  (desp[parcela]&lt;EOMONTH(P$1,0)+1)
)</f>
        <v>0</v>
      </c>
      <c r="Q548" s="245" cm="1">
        <f t="array" ref="Q548">-SUMPRODUCT(
  desp[data.vencimento] *
  (desp[classificacao]=$B$289) *
  (desp[centro.negocio]=$B548) *
  (desp[parcela]&gt;=Q$1) *
  (desp[parcela]&lt;EOMONTH(Q$1,0)+1)
)</f>
        <v>0</v>
      </c>
      <c r="R548" s="245" cm="1">
        <f t="array" ref="R548">-SUMPRODUCT(
  desp[data.vencimento] *
  (desp[classificacao]=$B$289) *
  (desp[centro.negocio]=$B548) *
  (desp[parcela]&gt;=R$1) *
  (desp[parcela]&lt;EOMONTH(R$1,0)+1)
)</f>
        <v>0</v>
      </c>
    </row>
    <row r="549" spans="1:18" outlineLevel="1" x14ac:dyDescent="0.25">
      <c r="A549" s="243" t="s">
        <v>573</v>
      </c>
      <c r="B549" s="243" t="s">
        <v>356</v>
      </c>
      <c r="C549" s="244" t="s">
        <v>522</v>
      </c>
      <c r="D549" s="245" cm="1">
        <f t="array" ref="D549">-SUMPRODUCT(
  desp[data.vencimento] *
  (desp[classificacao]=$B$289) *
  (desp[centro.negocio]=$B549) *
  (desp[parcela]&gt;=D$1) *
  (desp[parcela]&lt;EOMONTH(D$1,0)+1)
)</f>
        <v>0</v>
      </c>
      <c r="E549" s="245" cm="1">
        <f t="array" ref="E549">-SUMPRODUCT(
  desp[data.vencimento] *
  (desp[classificacao]=$B$289) *
  (desp[centro.negocio]=$B549) *
  (desp[parcela]&gt;=E$1) *
  (desp[parcela]&lt;EOMONTH(E$1,0)+1)
)</f>
        <v>0</v>
      </c>
      <c r="F549" s="245" cm="1">
        <f t="array" ref="F549">-SUMPRODUCT(
  desp[data.vencimento] *
  (desp[classificacao]=$B$289) *
  (desp[centro.negocio]=$B549) *
  (desp[parcela]&gt;=F$1) *
  (desp[parcela]&lt;EOMONTH(F$1,0)+1)
)</f>
        <v>0</v>
      </c>
      <c r="G549" s="245" cm="1">
        <f t="array" ref="G549">-SUMPRODUCT(
  desp[data.vencimento] *
  (desp[classificacao]=$B$289) *
  (desp[centro.negocio]=$B549) *
  (desp[parcela]&gt;=G$1) *
  (desp[parcela]&lt;EOMONTH(G$1,0)+1)
)</f>
        <v>0</v>
      </c>
      <c r="H549" s="245" cm="1">
        <f t="array" ref="H549">-SUMPRODUCT(
  desp[data.vencimento] *
  (desp[classificacao]=$B$289) *
  (desp[centro.negocio]=$B549) *
  (desp[parcela]&gt;=H$1) *
  (desp[parcela]&lt;EOMONTH(H$1,0)+1)
)</f>
        <v>0</v>
      </c>
      <c r="I549" s="245" cm="1">
        <f t="array" ref="I549">-SUMPRODUCT(
  desp[data.vencimento] *
  (desp[classificacao]=$B$289) *
  (desp[centro.negocio]=$B549) *
  (desp[parcela]&gt;=I$1) *
  (desp[parcela]&lt;EOMONTH(I$1,0)+1)
)</f>
        <v>0</v>
      </c>
      <c r="J549" s="245" cm="1">
        <f t="array" ref="J549">-SUMPRODUCT(
  desp[data.vencimento] *
  (desp[classificacao]=$B$289) *
  (desp[centro.negocio]=$B549) *
  (desp[parcela]&gt;=J$1) *
  (desp[parcela]&lt;EOMONTH(J$1,0)+1)
)</f>
        <v>0</v>
      </c>
      <c r="K549" s="245" cm="1">
        <f t="array" ref="K549">-SUMPRODUCT(
  desp[data.vencimento] *
  (desp[classificacao]=$B$289) *
  (desp[centro.negocio]=$B549) *
  (desp[parcela]&gt;=K$1) *
  (desp[parcela]&lt;EOMONTH(K$1,0)+1)
)</f>
        <v>0</v>
      </c>
      <c r="L549" s="245" cm="1">
        <f t="array" ref="L549">-SUMPRODUCT(
  desp[data.vencimento] *
  (desp[classificacao]=$B$289) *
  (desp[centro.negocio]=$B549) *
  (desp[parcela]&gt;=L$1) *
  (desp[parcela]&lt;EOMONTH(L$1,0)+1)
)</f>
        <v>0</v>
      </c>
      <c r="M549" s="245" cm="1">
        <f t="array" ref="M549">-SUMPRODUCT(
  desp[data.vencimento] *
  (desp[classificacao]=$B$289) *
  (desp[centro.negocio]=$B549) *
  (desp[parcela]&gt;=M$1) *
  (desp[parcela]&lt;EOMONTH(M$1,0)+1)
)</f>
        <v>0</v>
      </c>
      <c r="N549" s="245" cm="1">
        <f t="array" ref="N549">-SUMPRODUCT(
  desp[data.vencimento] *
  (desp[classificacao]=$B$289) *
  (desp[centro.negocio]=$B549) *
  (desp[parcela]&gt;=N$1) *
  (desp[parcela]&lt;EOMONTH(N$1,0)+1)
)</f>
        <v>0</v>
      </c>
      <c r="O549" s="245" cm="1">
        <f t="array" ref="O549">-SUMPRODUCT(
  desp[data.vencimento] *
  (desp[classificacao]=$B$289) *
  (desp[centro.negocio]=$B549) *
  (desp[parcela]&gt;=O$1) *
  (desp[parcela]&lt;EOMONTH(O$1,0)+1)
)</f>
        <v>0</v>
      </c>
      <c r="P549" s="245" cm="1">
        <f t="array" ref="P549">-SUMPRODUCT(
  desp[data.vencimento] *
  (desp[classificacao]=$B$289) *
  (desp[centro.negocio]=$B549) *
  (desp[parcela]&gt;=P$1) *
  (desp[parcela]&lt;EOMONTH(P$1,0)+1)
)</f>
        <v>0</v>
      </c>
      <c r="Q549" s="245" cm="1">
        <f t="array" ref="Q549">-SUMPRODUCT(
  desp[data.vencimento] *
  (desp[classificacao]=$B$289) *
  (desp[centro.negocio]=$B549) *
  (desp[parcela]&gt;=Q$1) *
  (desp[parcela]&lt;EOMONTH(Q$1,0)+1)
)</f>
        <v>0</v>
      </c>
      <c r="R549" s="245" cm="1">
        <f t="array" ref="R549">-SUMPRODUCT(
  desp[data.vencimento] *
  (desp[classificacao]=$B$289) *
  (desp[centro.negocio]=$B549) *
  (desp[parcela]&gt;=R$1) *
  (desp[parcela]&lt;EOMONTH(R$1,0)+1)
)</f>
        <v>0</v>
      </c>
    </row>
    <row r="550" spans="1:18" outlineLevel="1" x14ac:dyDescent="0.25">
      <c r="A550" s="243" t="s">
        <v>589</v>
      </c>
      <c r="B550" s="243" t="s">
        <v>343</v>
      </c>
      <c r="C550" s="244" t="s">
        <v>522</v>
      </c>
      <c r="D550" s="245" cm="1">
        <f t="array" ref="D550">-SUMPRODUCT(
  desp[data.vencimento] *
  (desp[classificacao]=$B$289) *
  (desp[centro.negocio]=$B550) *
  (desp[parcela]&gt;=D$1) *
  (desp[parcela]&lt;EOMONTH(D$1,0)+1)
)</f>
        <v>0</v>
      </c>
      <c r="E550" s="245" cm="1">
        <f t="array" ref="E550">-SUMPRODUCT(
  desp[data.vencimento] *
  (desp[classificacao]=$B$289) *
  (desp[centro.negocio]=$B550) *
  (desp[parcela]&gt;=E$1) *
  (desp[parcela]&lt;EOMONTH(E$1,0)+1)
)</f>
        <v>0</v>
      </c>
      <c r="F550" s="245" cm="1">
        <f t="array" ref="F550">-SUMPRODUCT(
  desp[data.vencimento] *
  (desp[classificacao]=$B$289) *
  (desp[centro.negocio]=$B550) *
  (desp[parcela]&gt;=F$1) *
  (desp[parcela]&lt;EOMONTH(F$1,0)+1)
)</f>
        <v>0</v>
      </c>
      <c r="G550" s="245" cm="1">
        <f t="array" ref="G550">-SUMPRODUCT(
  desp[data.vencimento] *
  (desp[classificacao]=$B$289) *
  (desp[centro.negocio]=$B550) *
  (desp[parcela]&gt;=G$1) *
  (desp[parcela]&lt;EOMONTH(G$1,0)+1)
)</f>
        <v>0</v>
      </c>
      <c r="H550" s="245" cm="1">
        <f t="array" ref="H550">-SUMPRODUCT(
  desp[data.vencimento] *
  (desp[classificacao]=$B$289) *
  (desp[centro.negocio]=$B550) *
  (desp[parcela]&gt;=H$1) *
  (desp[parcela]&lt;EOMONTH(H$1,0)+1)
)</f>
        <v>0</v>
      </c>
      <c r="I550" s="245" cm="1">
        <f t="array" ref="I550">-SUMPRODUCT(
  desp[data.vencimento] *
  (desp[classificacao]=$B$289) *
  (desp[centro.negocio]=$B550) *
  (desp[parcela]&gt;=I$1) *
  (desp[parcela]&lt;EOMONTH(I$1,0)+1)
)</f>
        <v>0</v>
      </c>
      <c r="J550" s="245" cm="1">
        <f t="array" ref="J550">-SUMPRODUCT(
  desp[data.vencimento] *
  (desp[classificacao]=$B$289) *
  (desp[centro.negocio]=$B550) *
  (desp[parcela]&gt;=J$1) *
  (desp[parcela]&lt;EOMONTH(J$1,0)+1)
)</f>
        <v>0</v>
      </c>
      <c r="K550" s="245" cm="1">
        <f t="array" ref="K550">-SUMPRODUCT(
  desp[data.vencimento] *
  (desp[classificacao]=$B$289) *
  (desp[centro.negocio]=$B550) *
  (desp[parcela]&gt;=K$1) *
  (desp[parcela]&lt;EOMONTH(K$1,0)+1)
)</f>
        <v>0</v>
      </c>
      <c r="L550" s="245" cm="1">
        <f t="array" ref="L550">-SUMPRODUCT(
  desp[data.vencimento] *
  (desp[classificacao]=$B$289) *
  (desp[centro.negocio]=$B550) *
  (desp[parcela]&gt;=L$1) *
  (desp[parcela]&lt;EOMONTH(L$1,0)+1)
)</f>
        <v>0</v>
      </c>
      <c r="M550" s="245" cm="1">
        <f t="array" ref="M550">-SUMPRODUCT(
  desp[data.vencimento] *
  (desp[classificacao]=$B$289) *
  (desp[centro.negocio]=$B550) *
  (desp[parcela]&gt;=M$1) *
  (desp[parcela]&lt;EOMONTH(M$1,0)+1)
)</f>
        <v>0</v>
      </c>
      <c r="N550" s="245" cm="1">
        <f t="array" ref="N550">-SUMPRODUCT(
  desp[data.vencimento] *
  (desp[classificacao]=$B$289) *
  (desp[centro.negocio]=$B550) *
  (desp[parcela]&gt;=N$1) *
  (desp[parcela]&lt;EOMONTH(N$1,0)+1)
)</f>
        <v>0</v>
      </c>
      <c r="O550" s="245" cm="1">
        <f t="array" ref="O550">-SUMPRODUCT(
  desp[data.vencimento] *
  (desp[classificacao]=$B$289) *
  (desp[centro.negocio]=$B550) *
  (desp[parcela]&gt;=O$1) *
  (desp[parcela]&lt;EOMONTH(O$1,0)+1)
)</f>
        <v>0</v>
      </c>
      <c r="P550" s="245" cm="1">
        <f t="array" ref="P550">-SUMPRODUCT(
  desp[data.vencimento] *
  (desp[classificacao]=$B$289) *
  (desp[centro.negocio]=$B550) *
  (desp[parcela]&gt;=P$1) *
  (desp[parcela]&lt;EOMONTH(P$1,0)+1)
)</f>
        <v>0</v>
      </c>
      <c r="Q550" s="245" cm="1">
        <f t="array" ref="Q550">-SUMPRODUCT(
  desp[data.vencimento] *
  (desp[classificacao]=$B$289) *
  (desp[centro.negocio]=$B550) *
  (desp[parcela]&gt;=Q$1) *
  (desp[parcela]&lt;EOMONTH(Q$1,0)+1)
)</f>
        <v>0</v>
      </c>
      <c r="R550" s="245" cm="1">
        <f t="array" ref="R550">-SUMPRODUCT(
  desp[data.vencimento] *
  (desp[classificacao]=$B$289) *
  (desp[centro.negocio]=$B550) *
  (desp[parcela]&gt;=R$1) *
  (desp[parcela]&lt;EOMONTH(R$1,0)+1)
)</f>
        <v>0</v>
      </c>
    </row>
    <row r="551" spans="1:18" outlineLevel="1" x14ac:dyDescent="0.25">
      <c r="A551" s="243" t="s">
        <v>591</v>
      </c>
      <c r="B551" s="243" t="s">
        <v>380</v>
      </c>
      <c r="C551" s="244" t="s">
        <v>522</v>
      </c>
      <c r="D551" s="245" cm="1">
        <f t="array" ref="D551">-SUMPRODUCT(
  desp[data.vencimento] *
  (desp[classificacao]=$B$289) *
  (desp[centro.negocio]=$B551) *
  (desp[parcela]&gt;=D$1) *
  (desp[parcela]&lt;EOMONTH(D$1,0)+1)
)</f>
        <v>0</v>
      </c>
      <c r="E551" s="245" cm="1">
        <f t="array" ref="E551">-SUMPRODUCT(
  desp[data.vencimento] *
  (desp[classificacao]=$B$289) *
  (desp[centro.negocio]=$B551) *
  (desp[parcela]&gt;=E$1) *
  (desp[parcela]&lt;EOMONTH(E$1,0)+1)
)</f>
        <v>0</v>
      </c>
      <c r="F551" s="245" cm="1">
        <f t="array" ref="F551">-SUMPRODUCT(
  desp[data.vencimento] *
  (desp[classificacao]=$B$289) *
  (desp[centro.negocio]=$B551) *
  (desp[parcela]&gt;=F$1) *
  (desp[parcela]&lt;EOMONTH(F$1,0)+1)
)</f>
        <v>0</v>
      </c>
      <c r="G551" s="245" cm="1">
        <f t="array" ref="G551">-SUMPRODUCT(
  desp[data.vencimento] *
  (desp[classificacao]=$B$289) *
  (desp[centro.negocio]=$B551) *
  (desp[parcela]&gt;=G$1) *
  (desp[parcela]&lt;EOMONTH(G$1,0)+1)
)</f>
        <v>0</v>
      </c>
      <c r="H551" s="245" cm="1">
        <f t="array" ref="H551">-SUMPRODUCT(
  desp[data.vencimento] *
  (desp[classificacao]=$B$289) *
  (desp[centro.negocio]=$B551) *
  (desp[parcela]&gt;=H$1) *
  (desp[parcela]&lt;EOMONTH(H$1,0)+1)
)</f>
        <v>0</v>
      </c>
      <c r="I551" s="245" cm="1">
        <f t="array" ref="I551">-SUMPRODUCT(
  desp[data.vencimento] *
  (desp[classificacao]=$B$289) *
  (desp[centro.negocio]=$B551) *
  (desp[parcela]&gt;=I$1) *
  (desp[parcela]&lt;EOMONTH(I$1,0)+1)
)</f>
        <v>0</v>
      </c>
      <c r="J551" s="245" cm="1">
        <f t="array" ref="J551">-SUMPRODUCT(
  desp[data.vencimento] *
  (desp[classificacao]=$B$289) *
  (desp[centro.negocio]=$B551) *
  (desp[parcela]&gt;=J$1) *
  (desp[parcela]&lt;EOMONTH(J$1,0)+1)
)</f>
        <v>0</v>
      </c>
      <c r="K551" s="245" cm="1">
        <f t="array" ref="K551">-SUMPRODUCT(
  desp[data.vencimento] *
  (desp[classificacao]=$B$289) *
  (desp[centro.negocio]=$B551) *
  (desp[parcela]&gt;=K$1) *
  (desp[parcela]&lt;EOMONTH(K$1,0)+1)
)</f>
        <v>0</v>
      </c>
      <c r="L551" s="245" cm="1">
        <f t="array" ref="L551">-SUMPRODUCT(
  desp[data.vencimento] *
  (desp[classificacao]=$B$289) *
  (desp[centro.negocio]=$B551) *
  (desp[parcela]&gt;=L$1) *
  (desp[parcela]&lt;EOMONTH(L$1,0)+1)
)</f>
        <v>0</v>
      </c>
      <c r="M551" s="245" cm="1">
        <f t="array" ref="M551">-SUMPRODUCT(
  desp[data.vencimento] *
  (desp[classificacao]=$B$289) *
  (desp[centro.negocio]=$B551) *
  (desp[parcela]&gt;=M$1) *
  (desp[parcela]&lt;EOMONTH(M$1,0)+1)
)</f>
        <v>0</v>
      </c>
      <c r="N551" s="245" cm="1">
        <f t="array" ref="N551">-SUMPRODUCT(
  desp[data.vencimento] *
  (desp[classificacao]=$B$289) *
  (desp[centro.negocio]=$B551) *
  (desp[parcela]&gt;=N$1) *
  (desp[parcela]&lt;EOMONTH(N$1,0)+1)
)</f>
        <v>0</v>
      </c>
      <c r="O551" s="245" cm="1">
        <f t="array" ref="O551">-SUMPRODUCT(
  desp[data.vencimento] *
  (desp[classificacao]=$B$289) *
  (desp[centro.negocio]=$B551) *
  (desp[parcela]&gt;=O$1) *
  (desp[parcela]&lt;EOMONTH(O$1,0)+1)
)</f>
        <v>0</v>
      </c>
      <c r="P551" s="245" cm="1">
        <f t="array" ref="P551">-SUMPRODUCT(
  desp[data.vencimento] *
  (desp[classificacao]=$B$289) *
  (desp[centro.negocio]=$B551) *
  (desp[parcela]&gt;=P$1) *
  (desp[parcela]&lt;EOMONTH(P$1,0)+1)
)</f>
        <v>0</v>
      </c>
      <c r="Q551" s="245" cm="1">
        <f t="array" ref="Q551">-SUMPRODUCT(
  desp[data.vencimento] *
  (desp[classificacao]=$B$289) *
  (desp[centro.negocio]=$B551) *
  (desp[parcela]&gt;=Q$1) *
  (desp[parcela]&lt;EOMONTH(Q$1,0)+1)
)</f>
        <v>0</v>
      </c>
      <c r="R551" s="245" cm="1">
        <f t="array" ref="R551">-SUMPRODUCT(
  desp[data.vencimento] *
  (desp[classificacao]=$B$289) *
  (desp[centro.negocio]=$B551) *
  (desp[parcela]&gt;=R$1) *
  (desp[parcela]&lt;EOMONTH(R$1,0)+1)
)</f>
        <v>0</v>
      </c>
    </row>
    <row r="552" spans="1:18" outlineLevel="1" x14ac:dyDescent="0.25">
      <c r="A552" s="243" t="s">
        <v>597</v>
      </c>
      <c r="B552" s="243" t="s">
        <v>375</v>
      </c>
      <c r="C552" s="244" t="s">
        <v>522</v>
      </c>
      <c r="D552" s="245" cm="1">
        <f t="array" ref="D552">-SUMPRODUCT(
  desp[data.vencimento] *
  (desp[classificacao]=$B$289) *
  (desp[centro.negocio]=$B552) *
  (desp[parcela]&gt;=D$1) *
  (desp[parcela]&lt;EOMONTH(D$1,0)+1)
)</f>
        <v>0</v>
      </c>
      <c r="E552" s="245" cm="1">
        <f t="array" ref="E552">-SUMPRODUCT(
  desp[data.vencimento] *
  (desp[classificacao]=$B$289) *
  (desp[centro.negocio]=$B552) *
  (desp[parcela]&gt;=E$1) *
  (desp[parcela]&lt;EOMONTH(E$1,0)+1)
)</f>
        <v>0</v>
      </c>
      <c r="F552" s="245" cm="1">
        <f t="array" ref="F552">-SUMPRODUCT(
  desp[data.vencimento] *
  (desp[classificacao]=$B$289) *
  (desp[centro.negocio]=$B552) *
  (desp[parcela]&gt;=F$1) *
  (desp[parcela]&lt;EOMONTH(F$1,0)+1)
)</f>
        <v>0</v>
      </c>
      <c r="G552" s="245" cm="1">
        <f t="array" ref="G552">-SUMPRODUCT(
  desp[data.vencimento] *
  (desp[classificacao]=$B$289) *
  (desp[centro.negocio]=$B552) *
  (desp[parcela]&gt;=G$1) *
  (desp[parcela]&lt;EOMONTH(G$1,0)+1)
)</f>
        <v>0</v>
      </c>
      <c r="H552" s="245" cm="1">
        <f t="array" ref="H552">-SUMPRODUCT(
  desp[data.vencimento] *
  (desp[classificacao]=$B$289) *
  (desp[centro.negocio]=$B552) *
  (desp[parcela]&gt;=H$1) *
  (desp[parcela]&lt;EOMONTH(H$1,0)+1)
)</f>
        <v>0</v>
      </c>
      <c r="I552" s="245" cm="1">
        <f t="array" ref="I552">-SUMPRODUCT(
  desp[data.vencimento] *
  (desp[classificacao]=$B$289) *
  (desp[centro.negocio]=$B552) *
  (desp[parcela]&gt;=I$1) *
  (desp[parcela]&lt;EOMONTH(I$1,0)+1)
)</f>
        <v>0</v>
      </c>
      <c r="J552" s="245" cm="1">
        <f t="array" ref="J552">-SUMPRODUCT(
  desp[data.vencimento] *
  (desp[classificacao]=$B$289) *
  (desp[centro.negocio]=$B552) *
  (desp[parcela]&gt;=J$1) *
  (desp[parcela]&lt;EOMONTH(J$1,0)+1)
)</f>
        <v>0</v>
      </c>
      <c r="K552" s="245" cm="1">
        <f t="array" ref="K552">-SUMPRODUCT(
  desp[data.vencimento] *
  (desp[classificacao]=$B$289) *
  (desp[centro.negocio]=$B552) *
  (desp[parcela]&gt;=K$1) *
  (desp[parcela]&lt;EOMONTH(K$1,0)+1)
)</f>
        <v>0</v>
      </c>
      <c r="L552" s="245" cm="1">
        <f t="array" ref="L552">-SUMPRODUCT(
  desp[data.vencimento] *
  (desp[classificacao]=$B$289) *
  (desp[centro.negocio]=$B552) *
  (desp[parcela]&gt;=L$1) *
  (desp[parcela]&lt;EOMONTH(L$1,0)+1)
)</f>
        <v>0</v>
      </c>
      <c r="M552" s="245" cm="1">
        <f t="array" ref="M552">-SUMPRODUCT(
  desp[data.vencimento] *
  (desp[classificacao]=$B$289) *
  (desp[centro.negocio]=$B552) *
  (desp[parcela]&gt;=M$1) *
  (desp[parcela]&lt;EOMONTH(M$1,0)+1)
)</f>
        <v>0</v>
      </c>
      <c r="N552" s="245" cm="1">
        <f t="array" ref="N552">-SUMPRODUCT(
  desp[data.vencimento] *
  (desp[classificacao]=$B$289) *
  (desp[centro.negocio]=$B552) *
  (desp[parcela]&gt;=N$1) *
  (desp[parcela]&lt;EOMONTH(N$1,0)+1)
)</f>
        <v>0</v>
      </c>
      <c r="O552" s="245" cm="1">
        <f t="array" ref="O552">-SUMPRODUCT(
  desp[data.vencimento] *
  (desp[classificacao]=$B$289) *
  (desp[centro.negocio]=$B552) *
  (desp[parcela]&gt;=O$1) *
  (desp[parcela]&lt;EOMONTH(O$1,0)+1)
)</f>
        <v>0</v>
      </c>
      <c r="P552" s="245" cm="1">
        <f t="array" ref="P552">-SUMPRODUCT(
  desp[data.vencimento] *
  (desp[classificacao]=$B$289) *
  (desp[centro.negocio]=$B552) *
  (desp[parcela]&gt;=P$1) *
  (desp[parcela]&lt;EOMONTH(P$1,0)+1)
)</f>
        <v>0</v>
      </c>
      <c r="Q552" s="245" cm="1">
        <f t="array" ref="Q552">-SUMPRODUCT(
  desp[data.vencimento] *
  (desp[classificacao]=$B$289) *
  (desp[centro.negocio]=$B552) *
  (desp[parcela]&gt;=Q$1) *
  (desp[parcela]&lt;EOMONTH(Q$1,0)+1)
)</f>
        <v>0</v>
      </c>
      <c r="R552" s="245" cm="1">
        <f t="array" ref="R552">-SUMPRODUCT(
  desp[data.vencimento] *
  (desp[classificacao]=$B$289) *
  (desp[centro.negocio]=$B552) *
  (desp[parcela]&gt;=R$1) *
  (desp[parcela]&lt;EOMONTH(R$1,0)+1)
)</f>
        <v>0</v>
      </c>
    </row>
    <row r="553" spans="1:18" outlineLevel="1" x14ac:dyDescent="0.25">
      <c r="A553" s="243" t="s">
        <v>599</v>
      </c>
      <c r="B553" s="243" t="s">
        <v>376</v>
      </c>
      <c r="C553" s="244" t="s">
        <v>522</v>
      </c>
      <c r="D553" s="245" cm="1">
        <f t="array" ref="D553">-SUMPRODUCT(
  desp[data.vencimento] *
  (desp[classificacao]=$B$289) *
  (desp[centro.negocio]=$B553) *
  (desp[parcela]&gt;=D$1) *
  (desp[parcela]&lt;EOMONTH(D$1,0)+1)
)</f>
        <v>0</v>
      </c>
      <c r="E553" s="245" cm="1">
        <f t="array" ref="E553">-SUMPRODUCT(
  desp[data.vencimento] *
  (desp[classificacao]=$B$289) *
  (desp[centro.negocio]=$B553) *
  (desp[parcela]&gt;=E$1) *
  (desp[parcela]&lt;EOMONTH(E$1,0)+1)
)</f>
        <v>0</v>
      </c>
      <c r="F553" s="245" cm="1">
        <f t="array" ref="F553">-SUMPRODUCT(
  desp[data.vencimento] *
  (desp[classificacao]=$B$289) *
  (desp[centro.negocio]=$B553) *
  (desp[parcela]&gt;=F$1) *
  (desp[parcela]&lt;EOMONTH(F$1,0)+1)
)</f>
        <v>0</v>
      </c>
      <c r="G553" s="245" cm="1">
        <f t="array" ref="G553">-SUMPRODUCT(
  desp[data.vencimento] *
  (desp[classificacao]=$B$289) *
  (desp[centro.negocio]=$B553) *
  (desp[parcela]&gt;=G$1) *
  (desp[parcela]&lt;EOMONTH(G$1,0)+1)
)</f>
        <v>0</v>
      </c>
      <c r="H553" s="245" cm="1">
        <f t="array" ref="H553">-SUMPRODUCT(
  desp[data.vencimento] *
  (desp[classificacao]=$B$289) *
  (desp[centro.negocio]=$B553) *
  (desp[parcela]&gt;=H$1) *
  (desp[parcela]&lt;EOMONTH(H$1,0)+1)
)</f>
        <v>0</v>
      </c>
      <c r="I553" s="245" cm="1">
        <f t="array" ref="I553">-SUMPRODUCT(
  desp[data.vencimento] *
  (desp[classificacao]=$B$289) *
  (desp[centro.negocio]=$B553) *
  (desp[parcela]&gt;=I$1) *
  (desp[parcela]&lt;EOMONTH(I$1,0)+1)
)</f>
        <v>0</v>
      </c>
      <c r="J553" s="245" cm="1">
        <f t="array" ref="J553">-SUMPRODUCT(
  desp[data.vencimento] *
  (desp[classificacao]=$B$289) *
  (desp[centro.negocio]=$B553) *
  (desp[parcela]&gt;=J$1) *
  (desp[parcela]&lt;EOMONTH(J$1,0)+1)
)</f>
        <v>0</v>
      </c>
      <c r="K553" s="245" cm="1">
        <f t="array" ref="K553">-SUMPRODUCT(
  desp[data.vencimento] *
  (desp[classificacao]=$B$289) *
  (desp[centro.negocio]=$B553) *
  (desp[parcela]&gt;=K$1) *
  (desp[parcela]&lt;EOMONTH(K$1,0)+1)
)</f>
        <v>0</v>
      </c>
      <c r="L553" s="245" cm="1">
        <f t="array" ref="L553">-SUMPRODUCT(
  desp[data.vencimento] *
  (desp[classificacao]=$B$289) *
  (desp[centro.negocio]=$B553) *
  (desp[parcela]&gt;=L$1) *
  (desp[parcela]&lt;EOMONTH(L$1,0)+1)
)</f>
        <v>0</v>
      </c>
      <c r="M553" s="245" cm="1">
        <f t="array" ref="M553">-SUMPRODUCT(
  desp[data.vencimento] *
  (desp[classificacao]=$B$289) *
  (desp[centro.negocio]=$B553) *
  (desp[parcela]&gt;=M$1) *
  (desp[parcela]&lt;EOMONTH(M$1,0)+1)
)</f>
        <v>0</v>
      </c>
      <c r="N553" s="245" cm="1">
        <f t="array" ref="N553">-SUMPRODUCT(
  desp[data.vencimento] *
  (desp[classificacao]=$B$289) *
  (desp[centro.negocio]=$B553) *
  (desp[parcela]&gt;=N$1) *
  (desp[parcela]&lt;EOMONTH(N$1,0)+1)
)</f>
        <v>0</v>
      </c>
      <c r="O553" s="245" cm="1">
        <f t="array" ref="O553">-SUMPRODUCT(
  desp[data.vencimento] *
  (desp[classificacao]=$B$289) *
  (desp[centro.negocio]=$B553) *
  (desp[parcela]&gt;=O$1) *
  (desp[parcela]&lt;EOMONTH(O$1,0)+1)
)</f>
        <v>0</v>
      </c>
      <c r="P553" s="245" cm="1">
        <f t="array" ref="P553">-SUMPRODUCT(
  desp[data.vencimento] *
  (desp[classificacao]=$B$289) *
  (desp[centro.negocio]=$B553) *
  (desp[parcela]&gt;=P$1) *
  (desp[parcela]&lt;EOMONTH(P$1,0)+1)
)</f>
        <v>0</v>
      </c>
      <c r="Q553" s="245" cm="1">
        <f t="array" ref="Q553">-SUMPRODUCT(
  desp[data.vencimento] *
  (desp[classificacao]=$B$289) *
  (desp[centro.negocio]=$B553) *
  (desp[parcela]&gt;=Q$1) *
  (desp[parcela]&lt;EOMONTH(Q$1,0)+1)
)</f>
        <v>0</v>
      </c>
      <c r="R553" s="245" cm="1">
        <f t="array" ref="R553">-SUMPRODUCT(
  desp[data.vencimento] *
  (desp[classificacao]=$B$289) *
  (desp[centro.negocio]=$B553) *
  (desp[parcela]&gt;=R$1) *
  (desp[parcela]&lt;EOMONTH(R$1,0)+1)
)</f>
        <v>0</v>
      </c>
    </row>
    <row r="554" spans="1:18" outlineLevel="1" x14ac:dyDescent="0.25">
      <c r="A554" s="243" t="s">
        <v>601</v>
      </c>
      <c r="B554" s="243" t="s">
        <v>374</v>
      </c>
      <c r="C554" s="244" t="s">
        <v>522</v>
      </c>
      <c r="D554" s="245" cm="1">
        <f t="array" ref="D554">-SUMPRODUCT(
  desp[data.vencimento] *
  (desp[classificacao]=$B$289) *
  (desp[centro.negocio]=$B554) *
  (desp[parcela]&gt;=D$1) *
  (desp[parcela]&lt;EOMONTH(D$1,0)+1)
)</f>
        <v>0</v>
      </c>
      <c r="E554" s="245" cm="1">
        <f t="array" ref="E554">-SUMPRODUCT(
  desp[data.vencimento] *
  (desp[classificacao]=$B$289) *
  (desp[centro.negocio]=$B554) *
  (desp[parcela]&gt;=E$1) *
  (desp[parcela]&lt;EOMONTH(E$1,0)+1)
)</f>
        <v>0</v>
      </c>
      <c r="F554" s="245" cm="1">
        <f t="array" ref="F554">-SUMPRODUCT(
  desp[data.vencimento] *
  (desp[classificacao]=$B$289) *
  (desp[centro.negocio]=$B554) *
  (desp[parcela]&gt;=F$1) *
  (desp[parcela]&lt;EOMONTH(F$1,0)+1)
)</f>
        <v>0</v>
      </c>
      <c r="G554" s="245" cm="1">
        <f t="array" ref="G554">-SUMPRODUCT(
  desp[data.vencimento] *
  (desp[classificacao]=$B$289) *
  (desp[centro.negocio]=$B554) *
  (desp[parcela]&gt;=G$1) *
  (desp[parcela]&lt;EOMONTH(G$1,0)+1)
)</f>
        <v>0</v>
      </c>
      <c r="H554" s="245" cm="1">
        <f t="array" ref="H554">-SUMPRODUCT(
  desp[data.vencimento] *
  (desp[classificacao]=$B$289) *
  (desp[centro.negocio]=$B554) *
  (desp[parcela]&gt;=H$1) *
  (desp[parcela]&lt;EOMONTH(H$1,0)+1)
)</f>
        <v>0</v>
      </c>
      <c r="I554" s="245" cm="1">
        <f t="array" ref="I554">-SUMPRODUCT(
  desp[data.vencimento] *
  (desp[classificacao]=$B$289) *
  (desp[centro.negocio]=$B554) *
  (desp[parcela]&gt;=I$1) *
  (desp[parcela]&lt;EOMONTH(I$1,0)+1)
)</f>
        <v>0</v>
      </c>
      <c r="J554" s="245" cm="1">
        <f t="array" ref="J554">-SUMPRODUCT(
  desp[data.vencimento] *
  (desp[classificacao]=$B$289) *
  (desp[centro.negocio]=$B554) *
  (desp[parcela]&gt;=J$1) *
  (desp[parcela]&lt;EOMONTH(J$1,0)+1)
)</f>
        <v>0</v>
      </c>
      <c r="K554" s="245" cm="1">
        <f t="array" ref="K554">-SUMPRODUCT(
  desp[data.vencimento] *
  (desp[classificacao]=$B$289) *
  (desp[centro.negocio]=$B554) *
  (desp[parcela]&gt;=K$1) *
  (desp[parcela]&lt;EOMONTH(K$1,0)+1)
)</f>
        <v>0</v>
      </c>
      <c r="L554" s="245" cm="1">
        <f t="array" ref="L554">-SUMPRODUCT(
  desp[data.vencimento] *
  (desp[classificacao]=$B$289) *
  (desp[centro.negocio]=$B554) *
  (desp[parcela]&gt;=L$1) *
  (desp[parcela]&lt;EOMONTH(L$1,0)+1)
)</f>
        <v>0</v>
      </c>
      <c r="M554" s="245" cm="1">
        <f t="array" ref="M554">-SUMPRODUCT(
  desp[data.vencimento] *
  (desp[classificacao]=$B$289) *
  (desp[centro.negocio]=$B554) *
  (desp[parcela]&gt;=M$1) *
  (desp[parcela]&lt;EOMONTH(M$1,0)+1)
)</f>
        <v>0</v>
      </c>
      <c r="N554" s="245" cm="1">
        <f t="array" ref="N554">-SUMPRODUCT(
  desp[data.vencimento] *
  (desp[classificacao]=$B$289) *
  (desp[centro.negocio]=$B554) *
  (desp[parcela]&gt;=N$1) *
  (desp[parcela]&lt;EOMONTH(N$1,0)+1)
)</f>
        <v>0</v>
      </c>
      <c r="O554" s="245" cm="1">
        <f t="array" ref="O554">-SUMPRODUCT(
  desp[data.vencimento] *
  (desp[classificacao]=$B$289) *
  (desp[centro.negocio]=$B554) *
  (desp[parcela]&gt;=O$1) *
  (desp[parcela]&lt;EOMONTH(O$1,0)+1)
)</f>
        <v>0</v>
      </c>
      <c r="P554" s="245" cm="1">
        <f t="array" ref="P554">-SUMPRODUCT(
  desp[data.vencimento] *
  (desp[classificacao]=$B$289) *
  (desp[centro.negocio]=$B554) *
  (desp[parcela]&gt;=P$1) *
  (desp[parcela]&lt;EOMONTH(P$1,0)+1)
)</f>
        <v>0</v>
      </c>
      <c r="Q554" s="245" cm="1">
        <f t="array" ref="Q554">-SUMPRODUCT(
  desp[data.vencimento] *
  (desp[classificacao]=$B$289) *
  (desp[centro.negocio]=$B554) *
  (desp[parcela]&gt;=Q$1) *
  (desp[parcela]&lt;EOMONTH(Q$1,0)+1)
)</f>
        <v>0</v>
      </c>
      <c r="R554" s="245" cm="1">
        <f t="array" ref="R554">-SUMPRODUCT(
  desp[data.vencimento] *
  (desp[classificacao]=$B$289) *
  (desp[centro.negocio]=$B554) *
  (desp[parcela]&gt;=R$1) *
  (desp[parcela]&lt;EOMONTH(R$1,0)+1)
)</f>
        <v>0</v>
      </c>
    </row>
    <row r="555" spans="1:18" outlineLevel="1" x14ac:dyDescent="0.25">
      <c r="A555" s="243" t="s">
        <v>603</v>
      </c>
      <c r="B555" s="243" t="s">
        <v>381</v>
      </c>
      <c r="C555" s="244" t="s">
        <v>522</v>
      </c>
      <c r="D555" s="245" cm="1">
        <f t="array" ref="D555">-SUMPRODUCT(
  desp[data.vencimento] *
  (desp[classificacao]=$B$289) *
  (desp[centro.negocio]=$B555) *
  (desp[parcela]&gt;=D$1) *
  (desp[parcela]&lt;EOMONTH(D$1,0)+1)
)</f>
        <v>0</v>
      </c>
      <c r="E555" s="245" cm="1">
        <f t="array" ref="E555">-SUMPRODUCT(
  desp[data.vencimento] *
  (desp[classificacao]=$B$289) *
  (desp[centro.negocio]=$B555) *
  (desp[parcela]&gt;=E$1) *
  (desp[parcela]&lt;EOMONTH(E$1,0)+1)
)</f>
        <v>0</v>
      </c>
      <c r="F555" s="245" cm="1">
        <f t="array" ref="F555">-SUMPRODUCT(
  desp[data.vencimento] *
  (desp[classificacao]=$B$289) *
  (desp[centro.negocio]=$B555) *
  (desp[parcela]&gt;=F$1) *
  (desp[parcela]&lt;EOMONTH(F$1,0)+1)
)</f>
        <v>0</v>
      </c>
      <c r="G555" s="245" cm="1">
        <f t="array" ref="G555">-SUMPRODUCT(
  desp[data.vencimento] *
  (desp[classificacao]=$B$289) *
  (desp[centro.negocio]=$B555) *
  (desp[parcela]&gt;=G$1) *
  (desp[parcela]&lt;EOMONTH(G$1,0)+1)
)</f>
        <v>0</v>
      </c>
      <c r="H555" s="245" cm="1">
        <f t="array" ref="H555">-SUMPRODUCT(
  desp[data.vencimento] *
  (desp[classificacao]=$B$289) *
  (desp[centro.negocio]=$B555) *
  (desp[parcela]&gt;=H$1) *
  (desp[parcela]&lt;EOMONTH(H$1,0)+1)
)</f>
        <v>0</v>
      </c>
      <c r="I555" s="245" cm="1">
        <f t="array" ref="I555">-SUMPRODUCT(
  desp[data.vencimento] *
  (desp[classificacao]=$B$289) *
  (desp[centro.negocio]=$B555) *
  (desp[parcela]&gt;=I$1) *
  (desp[parcela]&lt;EOMONTH(I$1,0)+1)
)</f>
        <v>0</v>
      </c>
      <c r="J555" s="245" cm="1">
        <f t="array" ref="J555">-SUMPRODUCT(
  desp[data.vencimento] *
  (desp[classificacao]=$B$289) *
  (desp[centro.negocio]=$B555) *
  (desp[parcela]&gt;=J$1) *
  (desp[parcela]&lt;EOMONTH(J$1,0)+1)
)</f>
        <v>0</v>
      </c>
      <c r="K555" s="245" cm="1">
        <f t="array" ref="K555">-SUMPRODUCT(
  desp[data.vencimento] *
  (desp[classificacao]=$B$289) *
  (desp[centro.negocio]=$B555) *
  (desp[parcela]&gt;=K$1) *
  (desp[parcela]&lt;EOMONTH(K$1,0)+1)
)</f>
        <v>0</v>
      </c>
      <c r="L555" s="245" cm="1">
        <f t="array" ref="L555">-SUMPRODUCT(
  desp[data.vencimento] *
  (desp[classificacao]=$B$289) *
  (desp[centro.negocio]=$B555) *
  (desp[parcela]&gt;=L$1) *
  (desp[parcela]&lt;EOMONTH(L$1,0)+1)
)</f>
        <v>0</v>
      </c>
      <c r="M555" s="245" cm="1">
        <f t="array" ref="M555">-SUMPRODUCT(
  desp[data.vencimento] *
  (desp[classificacao]=$B$289) *
  (desp[centro.negocio]=$B555) *
  (desp[parcela]&gt;=M$1) *
  (desp[parcela]&lt;EOMONTH(M$1,0)+1)
)</f>
        <v>0</v>
      </c>
      <c r="N555" s="245" cm="1">
        <f t="array" ref="N555">-SUMPRODUCT(
  desp[data.vencimento] *
  (desp[classificacao]=$B$289) *
  (desp[centro.negocio]=$B555) *
  (desp[parcela]&gt;=N$1) *
  (desp[parcela]&lt;EOMONTH(N$1,0)+1)
)</f>
        <v>0</v>
      </c>
      <c r="O555" s="245" cm="1">
        <f t="array" ref="O555">-SUMPRODUCT(
  desp[data.vencimento] *
  (desp[classificacao]=$B$289) *
  (desp[centro.negocio]=$B555) *
  (desp[parcela]&gt;=O$1) *
  (desp[parcela]&lt;EOMONTH(O$1,0)+1)
)</f>
        <v>0</v>
      </c>
      <c r="P555" s="245" cm="1">
        <f t="array" ref="P555">-SUMPRODUCT(
  desp[data.vencimento] *
  (desp[classificacao]=$B$289) *
  (desp[centro.negocio]=$B555) *
  (desp[parcela]&gt;=P$1) *
  (desp[parcela]&lt;EOMONTH(P$1,0)+1)
)</f>
        <v>0</v>
      </c>
      <c r="Q555" s="245" cm="1">
        <f t="array" ref="Q555">-SUMPRODUCT(
  desp[data.vencimento] *
  (desp[classificacao]=$B$289) *
  (desp[centro.negocio]=$B555) *
  (desp[parcela]&gt;=Q$1) *
  (desp[parcela]&lt;EOMONTH(Q$1,0)+1)
)</f>
        <v>0</v>
      </c>
      <c r="R555" s="245" cm="1">
        <f t="array" ref="R555">-SUMPRODUCT(
  desp[data.vencimento] *
  (desp[classificacao]=$B$289) *
  (desp[centro.negocio]=$B555) *
  (desp[parcela]&gt;=R$1) *
  (desp[parcela]&lt;EOMONTH(R$1,0)+1)
)</f>
        <v>0</v>
      </c>
    </row>
    <row r="556" spans="1:18" outlineLevel="1" x14ac:dyDescent="0.25">
      <c r="A556" s="243" t="s">
        <v>608</v>
      </c>
      <c r="B556" s="243" t="s">
        <v>393</v>
      </c>
      <c r="C556" s="244" t="s">
        <v>522</v>
      </c>
      <c r="D556" s="245" cm="1">
        <f t="array" ref="D556">-SUMPRODUCT(
  desp[data.vencimento] *
  (desp[classificacao]=$B$289) *
  (desp[centro.negocio]=$B556) *
  (desp[parcela]&gt;=D$1) *
  (desp[parcela]&lt;EOMONTH(D$1,0)+1)
)</f>
        <v>0</v>
      </c>
      <c r="E556" s="245" cm="1">
        <f t="array" ref="E556">-SUMPRODUCT(
  desp[data.vencimento] *
  (desp[classificacao]=$B$289) *
  (desp[centro.negocio]=$B556) *
  (desp[parcela]&gt;=E$1) *
  (desp[parcela]&lt;EOMONTH(E$1,0)+1)
)</f>
        <v>0</v>
      </c>
      <c r="F556" s="245" cm="1">
        <f t="array" ref="F556">-SUMPRODUCT(
  desp[data.vencimento] *
  (desp[classificacao]=$B$289) *
  (desp[centro.negocio]=$B556) *
  (desp[parcela]&gt;=F$1) *
  (desp[parcela]&lt;EOMONTH(F$1,0)+1)
)</f>
        <v>0</v>
      </c>
      <c r="G556" s="245" cm="1">
        <f t="array" ref="G556">-SUMPRODUCT(
  desp[data.vencimento] *
  (desp[classificacao]=$B$289) *
  (desp[centro.negocio]=$B556) *
  (desp[parcela]&gt;=G$1) *
  (desp[parcela]&lt;EOMONTH(G$1,0)+1)
)</f>
        <v>0</v>
      </c>
      <c r="H556" s="245" cm="1">
        <f t="array" ref="H556">-SUMPRODUCT(
  desp[data.vencimento] *
  (desp[classificacao]=$B$289) *
  (desp[centro.negocio]=$B556) *
  (desp[parcela]&gt;=H$1) *
  (desp[parcela]&lt;EOMONTH(H$1,0)+1)
)</f>
        <v>0</v>
      </c>
      <c r="I556" s="245" cm="1">
        <f t="array" ref="I556">-SUMPRODUCT(
  desp[data.vencimento] *
  (desp[classificacao]=$B$289) *
  (desp[centro.negocio]=$B556) *
  (desp[parcela]&gt;=I$1) *
  (desp[parcela]&lt;EOMONTH(I$1,0)+1)
)</f>
        <v>0</v>
      </c>
      <c r="J556" s="245" cm="1">
        <f t="array" ref="J556">-SUMPRODUCT(
  desp[data.vencimento] *
  (desp[classificacao]=$B$289) *
  (desp[centro.negocio]=$B556) *
  (desp[parcela]&gt;=J$1) *
  (desp[parcela]&lt;EOMONTH(J$1,0)+1)
)</f>
        <v>0</v>
      </c>
      <c r="K556" s="245" cm="1">
        <f t="array" ref="K556">-SUMPRODUCT(
  desp[data.vencimento] *
  (desp[classificacao]=$B$289) *
  (desp[centro.negocio]=$B556) *
  (desp[parcela]&gt;=K$1) *
  (desp[parcela]&lt;EOMONTH(K$1,0)+1)
)</f>
        <v>0</v>
      </c>
      <c r="L556" s="245" cm="1">
        <f t="array" ref="L556">-SUMPRODUCT(
  desp[data.vencimento] *
  (desp[classificacao]=$B$289) *
  (desp[centro.negocio]=$B556) *
  (desp[parcela]&gt;=L$1) *
  (desp[parcela]&lt;EOMONTH(L$1,0)+1)
)</f>
        <v>0</v>
      </c>
      <c r="M556" s="245" cm="1">
        <f t="array" ref="M556">-SUMPRODUCT(
  desp[data.vencimento] *
  (desp[classificacao]=$B$289) *
  (desp[centro.negocio]=$B556) *
  (desp[parcela]&gt;=M$1) *
  (desp[parcela]&lt;EOMONTH(M$1,0)+1)
)</f>
        <v>0</v>
      </c>
      <c r="N556" s="245" cm="1">
        <f t="array" ref="N556">-SUMPRODUCT(
  desp[data.vencimento] *
  (desp[classificacao]=$B$289) *
  (desp[centro.negocio]=$B556) *
  (desp[parcela]&gt;=N$1) *
  (desp[parcela]&lt;EOMONTH(N$1,0)+1)
)</f>
        <v>0</v>
      </c>
      <c r="O556" s="245" cm="1">
        <f t="array" ref="O556">-SUMPRODUCT(
  desp[data.vencimento] *
  (desp[classificacao]=$B$289) *
  (desp[centro.negocio]=$B556) *
  (desp[parcela]&gt;=O$1) *
  (desp[parcela]&lt;EOMONTH(O$1,0)+1)
)</f>
        <v>0</v>
      </c>
      <c r="P556" s="245" cm="1">
        <f t="array" ref="P556">-SUMPRODUCT(
  desp[data.vencimento] *
  (desp[classificacao]=$B$289) *
  (desp[centro.negocio]=$B556) *
  (desp[parcela]&gt;=P$1) *
  (desp[parcela]&lt;EOMONTH(P$1,0)+1)
)</f>
        <v>0</v>
      </c>
      <c r="Q556" s="245" cm="1">
        <f t="array" ref="Q556">-SUMPRODUCT(
  desp[data.vencimento] *
  (desp[classificacao]=$B$289) *
  (desp[centro.negocio]=$B556) *
  (desp[parcela]&gt;=Q$1) *
  (desp[parcela]&lt;EOMONTH(Q$1,0)+1)
)</f>
        <v>0</v>
      </c>
      <c r="R556" s="245" cm="1">
        <f t="array" ref="R556">-SUMPRODUCT(
  desp[data.vencimento] *
  (desp[classificacao]=$B$289) *
  (desp[centro.negocio]=$B556) *
  (desp[parcela]&gt;=R$1) *
  (desp[parcela]&lt;EOMONTH(R$1,0)+1)
)</f>
        <v>0</v>
      </c>
    </row>
    <row r="557" spans="1:18" outlineLevel="1" x14ac:dyDescent="0.25">
      <c r="A557" s="243" t="s">
        <v>622</v>
      </c>
      <c r="B557" s="243" t="s">
        <v>346</v>
      </c>
      <c r="C557" s="244" t="s">
        <v>522</v>
      </c>
      <c r="D557" s="245" cm="1">
        <f t="array" ref="D557">-SUMPRODUCT(
  desp[data.vencimento] *
  (desp[classificacao]=$B$289) *
  (desp[centro.negocio]=$B557) *
  (desp[parcela]&gt;=D$1) *
  (desp[parcela]&lt;EOMONTH(D$1,0)+1)
)</f>
        <v>0</v>
      </c>
      <c r="E557" s="245" cm="1">
        <f t="array" ref="E557">-SUMPRODUCT(
  desp[data.vencimento] *
  (desp[classificacao]=$B$289) *
  (desp[centro.negocio]=$B557) *
  (desp[parcela]&gt;=E$1) *
  (desp[parcela]&lt;EOMONTH(E$1,0)+1)
)</f>
        <v>0</v>
      </c>
      <c r="F557" s="245" cm="1">
        <f t="array" ref="F557">-SUMPRODUCT(
  desp[data.vencimento] *
  (desp[classificacao]=$B$289) *
  (desp[centro.negocio]=$B557) *
  (desp[parcela]&gt;=F$1) *
  (desp[parcela]&lt;EOMONTH(F$1,0)+1)
)</f>
        <v>0</v>
      </c>
      <c r="G557" s="245" cm="1">
        <f t="array" ref="G557">-SUMPRODUCT(
  desp[data.vencimento] *
  (desp[classificacao]=$B$289) *
  (desp[centro.negocio]=$B557) *
  (desp[parcela]&gt;=G$1) *
  (desp[parcela]&lt;EOMONTH(G$1,0)+1)
)</f>
        <v>0</v>
      </c>
      <c r="H557" s="245" cm="1">
        <f t="array" ref="H557">-SUMPRODUCT(
  desp[data.vencimento] *
  (desp[classificacao]=$B$289) *
  (desp[centro.negocio]=$B557) *
  (desp[parcela]&gt;=H$1) *
  (desp[parcela]&lt;EOMONTH(H$1,0)+1)
)</f>
        <v>0</v>
      </c>
      <c r="I557" s="245" cm="1">
        <f t="array" ref="I557">-SUMPRODUCT(
  desp[data.vencimento] *
  (desp[classificacao]=$B$289) *
  (desp[centro.negocio]=$B557) *
  (desp[parcela]&gt;=I$1) *
  (desp[parcela]&lt;EOMONTH(I$1,0)+1)
)</f>
        <v>0</v>
      </c>
      <c r="J557" s="245" cm="1">
        <f t="array" ref="J557">-SUMPRODUCT(
  desp[data.vencimento] *
  (desp[classificacao]=$B$289) *
  (desp[centro.negocio]=$B557) *
  (desp[parcela]&gt;=J$1) *
  (desp[parcela]&lt;EOMONTH(J$1,0)+1)
)</f>
        <v>0</v>
      </c>
      <c r="K557" s="245" cm="1">
        <f t="array" ref="K557">-SUMPRODUCT(
  desp[data.vencimento] *
  (desp[classificacao]=$B$289) *
  (desp[centro.negocio]=$B557) *
  (desp[parcela]&gt;=K$1) *
  (desp[parcela]&lt;EOMONTH(K$1,0)+1)
)</f>
        <v>0</v>
      </c>
      <c r="L557" s="245" cm="1">
        <f t="array" ref="L557">-SUMPRODUCT(
  desp[data.vencimento] *
  (desp[classificacao]=$B$289) *
  (desp[centro.negocio]=$B557) *
  (desp[parcela]&gt;=L$1) *
  (desp[parcela]&lt;EOMONTH(L$1,0)+1)
)</f>
        <v>0</v>
      </c>
      <c r="M557" s="245" cm="1">
        <f t="array" ref="M557">-SUMPRODUCT(
  desp[data.vencimento] *
  (desp[classificacao]=$B$289) *
  (desp[centro.negocio]=$B557) *
  (desp[parcela]&gt;=M$1) *
  (desp[parcela]&lt;EOMONTH(M$1,0)+1)
)</f>
        <v>0</v>
      </c>
      <c r="N557" s="245" cm="1">
        <f t="array" ref="N557">-SUMPRODUCT(
  desp[data.vencimento] *
  (desp[classificacao]=$B$289) *
  (desp[centro.negocio]=$B557) *
  (desp[parcela]&gt;=N$1) *
  (desp[parcela]&lt;EOMONTH(N$1,0)+1)
)</f>
        <v>0</v>
      </c>
      <c r="O557" s="245" cm="1">
        <f t="array" ref="O557">-SUMPRODUCT(
  desp[data.vencimento] *
  (desp[classificacao]=$B$289) *
  (desp[centro.negocio]=$B557) *
  (desp[parcela]&gt;=O$1) *
  (desp[parcela]&lt;EOMONTH(O$1,0)+1)
)</f>
        <v>0</v>
      </c>
      <c r="P557" s="245" cm="1">
        <f t="array" ref="P557">-SUMPRODUCT(
  desp[data.vencimento] *
  (desp[classificacao]=$B$289) *
  (desp[centro.negocio]=$B557) *
  (desp[parcela]&gt;=P$1) *
  (desp[parcela]&lt;EOMONTH(P$1,0)+1)
)</f>
        <v>0</v>
      </c>
      <c r="Q557" s="245" cm="1">
        <f t="array" ref="Q557">-SUMPRODUCT(
  desp[data.vencimento] *
  (desp[classificacao]=$B$289) *
  (desp[centro.negocio]=$B557) *
  (desp[parcela]&gt;=Q$1) *
  (desp[parcela]&lt;EOMONTH(Q$1,0)+1)
)</f>
        <v>0</v>
      </c>
      <c r="R557" s="245" cm="1">
        <f t="array" ref="R557">-SUMPRODUCT(
  desp[data.vencimento] *
  (desp[classificacao]=$B$289) *
  (desp[centro.negocio]=$B557) *
  (desp[parcela]&gt;=R$1) *
  (desp[parcela]&lt;EOMONTH(R$1,0)+1)
)</f>
        <v>0</v>
      </c>
    </row>
    <row r="558" spans="1:18" outlineLevel="1" x14ac:dyDescent="0.25">
      <c r="A558" s="243" t="s">
        <v>656</v>
      </c>
      <c r="B558" s="243" t="s">
        <v>390</v>
      </c>
      <c r="C558" s="244" t="s">
        <v>522</v>
      </c>
      <c r="D558" s="245" cm="1">
        <f t="array" ref="D558">-SUMPRODUCT(
  desp[data.vencimento] *
  (desp[classificacao]=$B$289) *
  (desp[centro.negocio]=$B558) *
  (desp[parcela]&gt;=D$1) *
  (desp[parcela]&lt;EOMONTH(D$1,0)+1)
)</f>
        <v>0</v>
      </c>
      <c r="E558" s="245" cm="1">
        <f t="array" ref="E558">-SUMPRODUCT(
  desp[data.vencimento] *
  (desp[classificacao]=$B$289) *
  (desp[centro.negocio]=$B558) *
  (desp[parcela]&gt;=E$1) *
  (desp[parcela]&lt;EOMONTH(E$1,0)+1)
)</f>
        <v>0</v>
      </c>
      <c r="F558" s="245" cm="1">
        <f t="array" ref="F558">-SUMPRODUCT(
  desp[data.vencimento] *
  (desp[classificacao]=$B$289) *
  (desp[centro.negocio]=$B558) *
  (desp[parcela]&gt;=F$1) *
  (desp[parcela]&lt;EOMONTH(F$1,0)+1)
)</f>
        <v>0</v>
      </c>
      <c r="G558" s="245" cm="1">
        <f t="array" ref="G558">-SUMPRODUCT(
  desp[data.vencimento] *
  (desp[classificacao]=$B$289) *
  (desp[centro.negocio]=$B558) *
  (desp[parcela]&gt;=G$1) *
  (desp[parcela]&lt;EOMONTH(G$1,0)+1)
)</f>
        <v>0</v>
      </c>
      <c r="H558" s="245" cm="1">
        <f t="array" ref="H558">-SUMPRODUCT(
  desp[data.vencimento] *
  (desp[classificacao]=$B$289) *
  (desp[centro.negocio]=$B558) *
  (desp[parcela]&gt;=H$1) *
  (desp[parcela]&lt;EOMONTH(H$1,0)+1)
)</f>
        <v>0</v>
      </c>
      <c r="I558" s="245" cm="1">
        <f t="array" ref="I558">-SUMPRODUCT(
  desp[data.vencimento] *
  (desp[classificacao]=$B$289) *
  (desp[centro.negocio]=$B558) *
  (desp[parcela]&gt;=I$1) *
  (desp[parcela]&lt;EOMONTH(I$1,0)+1)
)</f>
        <v>0</v>
      </c>
      <c r="J558" s="245" cm="1">
        <f t="array" ref="J558">-SUMPRODUCT(
  desp[data.vencimento] *
  (desp[classificacao]=$B$289) *
  (desp[centro.negocio]=$B558) *
  (desp[parcela]&gt;=J$1) *
  (desp[parcela]&lt;EOMONTH(J$1,0)+1)
)</f>
        <v>0</v>
      </c>
      <c r="K558" s="245" cm="1">
        <f t="array" ref="K558">-SUMPRODUCT(
  desp[data.vencimento] *
  (desp[classificacao]=$B$289) *
  (desp[centro.negocio]=$B558) *
  (desp[parcela]&gt;=K$1) *
  (desp[parcela]&lt;EOMONTH(K$1,0)+1)
)</f>
        <v>0</v>
      </c>
      <c r="L558" s="245" cm="1">
        <f t="array" ref="L558">-SUMPRODUCT(
  desp[data.vencimento] *
  (desp[classificacao]=$B$289) *
  (desp[centro.negocio]=$B558) *
  (desp[parcela]&gt;=L$1) *
  (desp[parcela]&lt;EOMONTH(L$1,0)+1)
)</f>
        <v>0</v>
      </c>
      <c r="M558" s="245" cm="1">
        <f t="array" ref="M558">-SUMPRODUCT(
  desp[data.vencimento] *
  (desp[classificacao]=$B$289) *
  (desp[centro.negocio]=$B558) *
  (desp[parcela]&gt;=M$1) *
  (desp[parcela]&lt;EOMONTH(M$1,0)+1)
)</f>
        <v>0</v>
      </c>
      <c r="N558" s="245" cm="1">
        <f t="array" ref="N558">-SUMPRODUCT(
  desp[data.vencimento] *
  (desp[classificacao]=$B$289) *
  (desp[centro.negocio]=$B558) *
  (desp[parcela]&gt;=N$1) *
  (desp[parcela]&lt;EOMONTH(N$1,0)+1)
)</f>
        <v>0</v>
      </c>
      <c r="O558" s="245" cm="1">
        <f t="array" ref="O558">-SUMPRODUCT(
  desp[data.vencimento] *
  (desp[classificacao]=$B$289) *
  (desp[centro.negocio]=$B558) *
  (desp[parcela]&gt;=O$1) *
  (desp[parcela]&lt;EOMONTH(O$1,0)+1)
)</f>
        <v>0</v>
      </c>
      <c r="P558" s="245" cm="1">
        <f t="array" ref="P558">-SUMPRODUCT(
  desp[data.vencimento] *
  (desp[classificacao]=$B$289) *
  (desp[centro.negocio]=$B558) *
  (desp[parcela]&gt;=P$1) *
  (desp[parcela]&lt;EOMONTH(P$1,0)+1)
)</f>
        <v>0</v>
      </c>
      <c r="Q558" s="245" cm="1">
        <f t="array" ref="Q558">-SUMPRODUCT(
  desp[data.vencimento] *
  (desp[classificacao]=$B$289) *
  (desp[centro.negocio]=$B558) *
  (desp[parcela]&gt;=Q$1) *
  (desp[parcela]&lt;EOMONTH(Q$1,0)+1)
)</f>
        <v>0</v>
      </c>
      <c r="R558" s="245" cm="1">
        <f t="array" ref="R558">-SUMPRODUCT(
  desp[data.vencimento] *
  (desp[classificacao]=$B$289) *
  (desp[centro.negocio]=$B558) *
  (desp[parcela]&gt;=R$1) *
  (desp[parcela]&lt;EOMONTH(R$1,0)+1)
)</f>
        <v>0</v>
      </c>
    </row>
    <row r="559" spans="1:18" outlineLevel="1" x14ac:dyDescent="0.25">
      <c r="A559" s="243" t="s">
        <v>669</v>
      </c>
      <c r="B559" s="243" t="s">
        <v>385</v>
      </c>
      <c r="C559" s="244" t="s">
        <v>522</v>
      </c>
      <c r="D559" s="245" cm="1">
        <f t="array" ref="D559">-SUMPRODUCT(
  desp[data.vencimento] *
  (desp[classificacao]=$B$289) *
  (desp[centro.negocio]=$B559) *
  (desp[parcela]&gt;=D$1) *
  (desp[parcela]&lt;EOMONTH(D$1,0)+1)
)</f>
        <v>0</v>
      </c>
      <c r="E559" s="245" cm="1">
        <f t="array" ref="E559">-SUMPRODUCT(
  desp[data.vencimento] *
  (desp[classificacao]=$B$289) *
  (desp[centro.negocio]=$B559) *
  (desp[parcela]&gt;=E$1) *
  (desp[parcela]&lt;EOMONTH(E$1,0)+1)
)</f>
        <v>0</v>
      </c>
      <c r="F559" s="245" cm="1">
        <f t="array" ref="F559">-SUMPRODUCT(
  desp[data.vencimento] *
  (desp[classificacao]=$B$289) *
  (desp[centro.negocio]=$B559) *
  (desp[parcela]&gt;=F$1) *
  (desp[parcela]&lt;EOMONTH(F$1,0)+1)
)</f>
        <v>0</v>
      </c>
      <c r="G559" s="245" cm="1">
        <f t="array" ref="G559">-SUMPRODUCT(
  desp[data.vencimento] *
  (desp[classificacao]=$B$289) *
  (desp[centro.negocio]=$B559) *
  (desp[parcela]&gt;=G$1) *
  (desp[parcela]&lt;EOMONTH(G$1,0)+1)
)</f>
        <v>0</v>
      </c>
      <c r="H559" s="245" cm="1">
        <f t="array" ref="H559">-SUMPRODUCT(
  desp[data.vencimento] *
  (desp[classificacao]=$B$289) *
  (desp[centro.negocio]=$B559) *
  (desp[parcela]&gt;=H$1) *
  (desp[parcela]&lt;EOMONTH(H$1,0)+1)
)</f>
        <v>0</v>
      </c>
      <c r="I559" s="245" cm="1">
        <f t="array" ref="I559">-SUMPRODUCT(
  desp[data.vencimento] *
  (desp[classificacao]=$B$289) *
  (desp[centro.negocio]=$B559) *
  (desp[parcela]&gt;=I$1) *
  (desp[parcela]&lt;EOMONTH(I$1,0)+1)
)</f>
        <v>0</v>
      </c>
      <c r="J559" s="245" cm="1">
        <f t="array" ref="J559">-SUMPRODUCT(
  desp[data.vencimento] *
  (desp[classificacao]=$B$289) *
  (desp[centro.negocio]=$B559) *
  (desp[parcela]&gt;=J$1) *
  (desp[parcela]&lt;EOMONTH(J$1,0)+1)
)</f>
        <v>0</v>
      </c>
      <c r="K559" s="245" cm="1">
        <f t="array" ref="K559">-SUMPRODUCT(
  desp[data.vencimento] *
  (desp[classificacao]=$B$289) *
  (desp[centro.negocio]=$B559) *
  (desp[parcela]&gt;=K$1) *
  (desp[parcela]&lt;EOMONTH(K$1,0)+1)
)</f>
        <v>0</v>
      </c>
      <c r="L559" s="245" cm="1">
        <f t="array" ref="L559">-SUMPRODUCT(
  desp[data.vencimento] *
  (desp[classificacao]=$B$289) *
  (desp[centro.negocio]=$B559) *
  (desp[parcela]&gt;=L$1) *
  (desp[parcela]&lt;EOMONTH(L$1,0)+1)
)</f>
        <v>0</v>
      </c>
      <c r="M559" s="245" cm="1">
        <f t="array" ref="M559">-SUMPRODUCT(
  desp[data.vencimento] *
  (desp[classificacao]=$B$289) *
  (desp[centro.negocio]=$B559) *
  (desp[parcela]&gt;=M$1) *
  (desp[parcela]&lt;EOMONTH(M$1,0)+1)
)</f>
        <v>0</v>
      </c>
      <c r="N559" s="245" cm="1">
        <f t="array" ref="N559">-SUMPRODUCT(
  desp[data.vencimento] *
  (desp[classificacao]=$B$289) *
  (desp[centro.negocio]=$B559) *
  (desp[parcela]&gt;=N$1) *
  (desp[parcela]&lt;EOMONTH(N$1,0)+1)
)</f>
        <v>0</v>
      </c>
      <c r="O559" s="245" cm="1">
        <f t="array" ref="O559">-SUMPRODUCT(
  desp[data.vencimento] *
  (desp[classificacao]=$B$289) *
  (desp[centro.negocio]=$B559) *
  (desp[parcela]&gt;=O$1) *
  (desp[parcela]&lt;EOMONTH(O$1,0)+1)
)</f>
        <v>0</v>
      </c>
      <c r="P559" s="245" cm="1">
        <f t="array" ref="P559">-SUMPRODUCT(
  desp[data.vencimento] *
  (desp[classificacao]=$B$289) *
  (desp[centro.negocio]=$B559) *
  (desp[parcela]&gt;=P$1) *
  (desp[parcela]&lt;EOMONTH(P$1,0)+1)
)</f>
        <v>0</v>
      </c>
      <c r="Q559" s="245" cm="1">
        <f t="array" ref="Q559">-SUMPRODUCT(
  desp[data.vencimento] *
  (desp[classificacao]=$B$289) *
  (desp[centro.negocio]=$B559) *
  (desp[parcela]&gt;=Q$1) *
  (desp[parcela]&lt;EOMONTH(Q$1,0)+1)
)</f>
        <v>0</v>
      </c>
      <c r="R559" s="245" cm="1">
        <f t="array" ref="R559">-SUMPRODUCT(
  desp[data.vencimento] *
  (desp[classificacao]=$B$289) *
  (desp[centro.negocio]=$B559) *
  (desp[parcela]&gt;=R$1) *
  (desp[parcela]&lt;EOMONTH(R$1,0)+1)
)</f>
        <v>0</v>
      </c>
    </row>
    <row r="560" spans="1:18" outlineLevel="1" x14ac:dyDescent="0.25">
      <c r="A560" s="243" t="s">
        <v>674</v>
      </c>
      <c r="B560" s="243" t="s">
        <v>361</v>
      </c>
      <c r="C560" s="244" t="s">
        <v>522</v>
      </c>
      <c r="D560" s="245" cm="1">
        <f t="array" ref="D560">-SUMPRODUCT(
  desp[data.vencimento] *
  (desp[classificacao]=$B$289) *
  (desp[centro.negocio]=$B560) *
  (desp[parcela]&gt;=D$1) *
  (desp[parcela]&lt;EOMONTH(D$1,0)+1)
)</f>
        <v>0</v>
      </c>
      <c r="E560" s="245" cm="1">
        <f t="array" ref="E560">-SUMPRODUCT(
  desp[data.vencimento] *
  (desp[classificacao]=$B$289) *
  (desp[centro.negocio]=$B560) *
  (desp[parcela]&gt;=E$1) *
  (desp[parcela]&lt;EOMONTH(E$1,0)+1)
)</f>
        <v>0</v>
      </c>
      <c r="F560" s="245" cm="1">
        <f t="array" ref="F560">-SUMPRODUCT(
  desp[data.vencimento] *
  (desp[classificacao]=$B$289) *
  (desp[centro.negocio]=$B560) *
  (desp[parcela]&gt;=F$1) *
  (desp[parcela]&lt;EOMONTH(F$1,0)+1)
)</f>
        <v>0</v>
      </c>
      <c r="G560" s="245" cm="1">
        <f t="array" ref="G560">-SUMPRODUCT(
  desp[data.vencimento] *
  (desp[classificacao]=$B$289) *
  (desp[centro.negocio]=$B560) *
  (desp[parcela]&gt;=G$1) *
  (desp[parcela]&lt;EOMONTH(G$1,0)+1)
)</f>
        <v>0</v>
      </c>
      <c r="H560" s="245" cm="1">
        <f t="array" ref="H560">-SUMPRODUCT(
  desp[data.vencimento] *
  (desp[classificacao]=$B$289) *
  (desp[centro.negocio]=$B560) *
  (desp[parcela]&gt;=H$1) *
  (desp[parcela]&lt;EOMONTH(H$1,0)+1)
)</f>
        <v>0</v>
      </c>
      <c r="I560" s="245" cm="1">
        <f t="array" ref="I560">-SUMPRODUCT(
  desp[data.vencimento] *
  (desp[classificacao]=$B$289) *
  (desp[centro.negocio]=$B560) *
  (desp[parcela]&gt;=I$1) *
  (desp[parcela]&lt;EOMONTH(I$1,0)+1)
)</f>
        <v>0</v>
      </c>
      <c r="J560" s="245" cm="1">
        <f t="array" ref="J560">-SUMPRODUCT(
  desp[data.vencimento] *
  (desp[classificacao]=$B$289) *
  (desp[centro.negocio]=$B560) *
  (desp[parcela]&gt;=J$1) *
  (desp[parcela]&lt;EOMONTH(J$1,0)+1)
)</f>
        <v>0</v>
      </c>
      <c r="K560" s="245" cm="1">
        <f t="array" ref="K560">-SUMPRODUCT(
  desp[data.vencimento] *
  (desp[classificacao]=$B$289) *
  (desp[centro.negocio]=$B560) *
  (desp[parcela]&gt;=K$1) *
  (desp[parcela]&lt;EOMONTH(K$1,0)+1)
)</f>
        <v>0</v>
      </c>
      <c r="L560" s="245" cm="1">
        <f t="array" ref="L560">-SUMPRODUCT(
  desp[data.vencimento] *
  (desp[classificacao]=$B$289) *
  (desp[centro.negocio]=$B560) *
  (desp[parcela]&gt;=L$1) *
  (desp[parcela]&lt;EOMONTH(L$1,0)+1)
)</f>
        <v>0</v>
      </c>
      <c r="M560" s="245" cm="1">
        <f t="array" ref="M560">-SUMPRODUCT(
  desp[data.vencimento] *
  (desp[classificacao]=$B$289) *
  (desp[centro.negocio]=$B560) *
  (desp[parcela]&gt;=M$1) *
  (desp[parcela]&lt;EOMONTH(M$1,0)+1)
)</f>
        <v>0</v>
      </c>
      <c r="N560" s="245" cm="1">
        <f t="array" ref="N560">-SUMPRODUCT(
  desp[data.vencimento] *
  (desp[classificacao]=$B$289) *
  (desp[centro.negocio]=$B560) *
  (desp[parcela]&gt;=N$1) *
  (desp[parcela]&lt;EOMONTH(N$1,0)+1)
)</f>
        <v>0</v>
      </c>
      <c r="O560" s="245" cm="1">
        <f t="array" ref="O560">-SUMPRODUCT(
  desp[data.vencimento] *
  (desp[classificacao]=$B$289) *
  (desp[centro.negocio]=$B560) *
  (desp[parcela]&gt;=O$1) *
  (desp[parcela]&lt;EOMONTH(O$1,0)+1)
)</f>
        <v>0</v>
      </c>
      <c r="P560" s="245" cm="1">
        <f t="array" ref="P560">-SUMPRODUCT(
  desp[data.vencimento] *
  (desp[classificacao]=$B$289) *
  (desp[centro.negocio]=$B560) *
  (desp[parcela]&gt;=P$1) *
  (desp[parcela]&lt;EOMONTH(P$1,0)+1)
)</f>
        <v>0</v>
      </c>
      <c r="Q560" s="245" cm="1">
        <f t="array" ref="Q560">-SUMPRODUCT(
  desp[data.vencimento] *
  (desp[classificacao]=$B$289) *
  (desp[centro.negocio]=$B560) *
  (desp[parcela]&gt;=Q$1) *
  (desp[parcela]&lt;EOMONTH(Q$1,0)+1)
)</f>
        <v>0</v>
      </c>
      <c r="R560" s="245" cm="1">
        <f t="array" ref="R560">-SUMPRODUCT(
  desp[data.vencimento] *
  (desp[classificacao]=$B$289) *
  (desp[centro.negocio]=$B560) *
  (desp[parcela]&gt;=R$1) *
  (desp[parcela]&lt;EOMONTH(R$1,0)+1)
)</f>
        <v>0</v>
      </c>
    </row>
    <row r="561" spans="1:18" outlineLevel="1" x14ac:dyDescent="0.25">
      <c r="A561" s="243" t="s">
        <v>677</v>
      </c>
      <c r="B561" s="243" t="s">
        <v>377</v>
      </c>
      <c r="C561" s="244" t="s">
        <v>522</v>
      </c>
      <c r="D561" s="245" cm="1">
        <f t="array" ref="D561">-SUMPRODUCT(
  desp[data.vencimento] *
  (desp[classificacao]=$B$289) *
  (desp[centro.negocio]=$B561) *
  (desp[parcela]&gt;=D$1) *
  (desp[parcela]&lt;EOMONTH(D$1,0)+1)
)</f>
        <v>0</v>
      </c>
      <c r="E561" s="245" cm="1">
        <f t="array" ref="E561">-SUMPRODUCT(
  desp[data.vencimento] *
  (desp[classificacao]=$B$289) *
  (desp[centro.negocio]=$B561) *
  (desp[parcela]&gt;=E$1) *
  (desp[parcela]&lt;EOMONTH(E$1,0)+1)
)</f>
        <v>0</v>
      </c>
      <c r="F561" s="245" cm="1">
        <f t="array" ref="F561">-SUMPRODUCT(
  desp[data.vencimento] *
  (desp[classificacao]=$B$289) *
  (desp[centro.negocio]=$B561) *
  (desp[parcela]&gt;=F$1) *
  (desp[parcela]&lt;EOMONTH(F$1,0)+1)
)</f>
        <v>0</v>
      </c>
      <c r="G561" s="245" cm="1">
        <f t="array" ref="G561">-SUMPRODUCT(
  desp[data.vencimento] *
  (desp[classificacao]=$B$289) *
  (desp[centro.negocio]=$B561) *
  (desp[parcela]&gt;=G$1) *
  (desp[parcela]&lt;EOMONTH(G$1,0)+1)
)</f>
        <v>0</v>
      </c>
      <c r="H561" s="245" cm="1">
        <f t="array" ref="H561">-SUMPRODUCT(
  desp[data.vencimento] *
  (desp[classificacao]=$B$289) *
  (desp[centro.negocio]=$B561) *
  (desp[parcela]&gt;=H$1) *
  (desp[parcela]&lt;EOMONTH(H$1,0)+1)
)</f>
        <v>0</v>
      </c>
      <c r="I561" s="245" cm="1">
        <f t="array" ref="I561">-SUMPRODUCT(
  desp[data.vencimento] *
  (desp[classificacao]=$B$289) *
  (desp[centro.negocio]=$B561) *
  (desp[parcela]&gt;=I$1) *
  (desp[parcela]&lt;EOMONTH(I$1,0)+1)
)</f>
        <v>0</v>
      </c>
      <c r="J561" s="245" cm="1">
        <f t="array" ref="J561">-SUMPRODUCT(
  desp[data.vencimento] *
  (desp[classificacao]=$B$289) *
  (desp[centro.negocio]=$B561) *
  (desp[parcela]&gt;=J$1) *
  (desp[parcela]&lt;EOMONTH(J$1,0)+1)
)</f>
        <v>0</v>
      </c>
      <c r="K561" s="245" cm="1">
        <f t="array" ref="K561">-SUMPRODUCT(
  desp[data.vencimento] *
  (desp[classificacao]=$B$289) *
  (desp[centro.negocio]=$B561) *
  (desp[parcela]&gt;=K$1) *
  (desp[parcela]&lt;EOMONTH(K$1,0)+1)
)</f>
        <v>0</v>
      </c>
      <c r="L561" s="245" cm="1">
        <f t="array" ref="L561">-SUMPRODUCT(
  desp[data.vencimento] *
  (desp[classificacao]=$B$289) *
  (desp[centro.negocio]=$B561) *
  (desp[parcela]&gt;=L$1) *
  (desp[parcela]&lt;EOMONTH(L$1,0)+1)
)</f>
        <v>0</v>
      </c>
      <c r="M561" s="245" cm="1">
        <f t="array" ref="M561">-SUMPRODUCT(
  desp[data.vencimento] *
  (desp[classificacao]=$B$289) *
  (desp[centro.negocio]=$B561) *
  (desp[parcela]&gt;=M$1) *
  (desp[parcela]&lt;EOMONTH(M$1,0)+1)
)</f>
        <v>0</v>
      </c>
      <c r="N561" s="245" cm="1">
        <f t="array" ref="N561">-SUMPRODUCT(
  desp[data.vencimento] *
  (desp[classificacao]=$B$289) *
  (desp[centro.negocio]=$B561) *
  (desp[parcela]&gt;=N$1) *
  (desp[parcela]&lt;EOMONTH(N$1,0)+1)
)</f>
        <v>0</v>
      </c>
      <c r="O561" s="245" cm="1">
        <f t="array" ref="O561">-SUMPRODUCT(
  desp[data.vencimento] *
  (desp[classificacao]=$B$289) *
  (desp[centro.negocio]=$B561) *
  (desp[parcela]&gt;=O$1) *
  (desp[parcela]&lt;EOMONTH(O$1,0)+1)
)</f>
        <v>0</v>
      </c>
      <c r="P561" s="245" cm="1">
        <f t="array" ref="P561">-SUMPRODUCT(
  desp[data.vencimento] *
  (desp[classificacao]=$B$289) *
  (desp[centro.negocio]=$B561) *
  (desp[parcela]&gt;=P$1) *
  (desp[parcela]&lt;EOMONTH(P$1,0)+1)
)</f>
        <v>0</v>
      </c>
      <c r="Q561" s="245" cm="1">
        <f t="array" ref="Q561">-SUMPRODUCT(
  desp[data.vencimento] *
  (desp[classificacao]=$B$289) *
  (desp[centro.negocio]=$B561) *
  (desp[parcela]&gt;=Q$1) *
  (desp[parcela]&lt;EOMONTH(Q$1,0)+1)
)</f>
        <v>0</v>
      </c>
      <c r="R561" s="245" cm="1">
        <f t="array" ref="R561">-SUMPRODUCT(
  desp[data.vencimento] *
  (desp[classificacao]=$B$289) *
  (desp[centro.negocio]=$B561) *
  (desp[parcela]&gt;=R$1) *
  (desp[parcela]&lt;EOMONTH(R$1,0)+1)
)</f>
        <v>0</v>
      </c>
    </row>
    <row r="562" spans="1:18" outlineLevel="1" x14ac:dyDescent="0.25">
      <c r="A562" s="243" t="s">
        <v>679</v>
      </c>
      <c r="B562" s="243" t="s">
        <v>403</v>
      </c>
      <c r="C562" s="244" t="s">
        <v>522</v>
      </c>
      <c r="D562" s="245" cm="1">
        <f t="array" ref="D562">-SUMPRODUCT(
  desp[data.vencimento] *
  (desp[classificacao]=$B$289) *
  (desp[centro.negocio]=$B562) *
  (desp[parcela]&gt;=D$1) *
  (desp[parcela]&lt;EOMONTH(D$1,0)+1)
)</f>
        <v>0</v>
      </c>
      <c r="E562" s="245" cm="1">
        <f t="array" ref="E562">-SUMPRODUCT(
  desp[data.vencimento] *
  (desp[classificacao]=$B$289) *
  (desp[centro.negocio]=$B562) *
  (desp[parcela]&gt;=E$1) *
  (desp[parcela]&lt;EOMONTH(E$1,0)+1)
)</f>
        <v>0</v>
      </c>
      <c r="F562" s="245" cm="1">
        <f t="array" ref="F562">-SUMPRODUCT(
  desp[data.vencimento] *
  (desp[classificacao]=$B$289) *
  (desp[centro.negocio]=$B562) *
  (desp[parcela]&gt;=F$1) *
  (desp[parcela]&lt;EOMONTH(F$1,0)+1)
)</f>
        <v>0</v>
      </c>
      <c r="G562" s="245" cm="1">
        <f t="array" ref="G562">-SUMPRODUCT(
  desp[data.vencimento] *
  (desp[classificacao]=$B$289) *
  (desp[centro.negocio]=$B562) *
  (desp[parcela]&gt;=G$1) *
  (desp[parcela]&lt;EOMONTH(G$1,0)+1)
)</f>
        <v>0</v>
      </c>
      <c r="H562" s="245" cm="1">
        <f t="array" ref="H562">-SUMPRODUCT(
  desp[data.vencimento] *
  (desp[classificacao]=$B$289) *
  (desp[centro.negocio]=$B562) *
  (desp[parcela]&gt;=H$1) *
  (desp[parcela]&lt;EOMONTH(H$1,0)+1)
)</f>
        <v>0</v>
      </c>
      <c r="I562" s="245" cm="1">
        <f t="array" ref="I562">-SUMPRODUCT(
  desp[data.vencimento] *
  (desp[classificacao]=$B$289) *
  (desp[centro.negocio]=$B562) *
  (desp[parcela]&gt;=I$1) *
  (desp[parcela]&lt;EOMONTH(I$1,0)+1)
)</f>
        <v>0</v>
      </c>
      <c r="J562" s="245" cm="1">
        <f t="array" ref="J562">-SUMPRODUCT(
  desp[data.vencimento] *
  (desp[classificacao]=$B$289) *
  (desp[centro.negocio]=$B562) *
  (desp[parcela]&gt;=J$1) *
  (desp[parcela]&lt;EOMONTH(J$1,0)+1)
)</f>
        <v>0</v>
      </c>
      <c r="K562" s="245" cm="1">
        <f t="array" ref="K562">-SUMPRODUCT(
  desp[data.vencimento] *
  (desp[classificacao]=$B$289) *
  (desp[centro.negocio]=$B562) *
  (desp[parcela]&gt;=K$1) *
  (desp[parcela]&lt;EOMONTH(K$1,0)+1)
)</f>
        <v>0</v>
      </c>
      <c r="L562" s="245" cm="1">
        <f t="array" ref="L562">-SUMPRODUCT(
  desp[data.vencimento] *
  (desp[classificacao]=$B$289) *
  (desp[centro.negocio]=$B562) *
  (desp[parcela]&gt;=L$1) *
  (desp[parcela]&lt;EOMONTH(L$1,0)+1)
)</f>
        <v>0</v>
      </c>
      <c r="M562" s="245" cm="1">
        <f t="array" ref="M562">-SUMPRODUCT(
  desp[data.vencimento] *
  (desp[classificacao]=$B$289) *
  (desp[centro.negocio]=$B562) *
  (desp[parcela]&gt;=M$1) *
  (desp[parcela]&lt;EOMONTH(M$1,0)+1)
)</f>
        <v>0</v>
      </c>
      <c r="N562" s="245" cm="1">
        <f t="array" ref="N562">-SUMPRODUCT(
  desp[data.vencimento] *
  (desp[classificacao]=$B$289) *
  (desp[centro.negocio]=$B562) *
  (desp[parcela]&gt;=N$1) *
  (desp[parcela]&lt;EOMONTH(N$1,0)+1)
)</f>
        <v>0</v>
      </c>
      <c r="O562" s="245" cm="1">
        <f t="array" ref="O562">-SUMPRODUCT(
  desp[data.vencimento] *
  (desp[classificacao]=$B$289) *
  (desp[centro.negocio]=$B562) *
  (desp[parcela]&gt;=O$1) *
  (desp[parcela]&lt;EOMONTH(O$1,0)+1)
)</f>
        <v>0</v>
      </c>
      <c r="P562" s="245" cm="1">
        <f t="array" ref="P562">-SUMPRODUCT(
  desp[data.vencimento] *
  (desp[classificacao]=$B$289) *
  (desp[centro.negocio]=$B562) *
  (desp[parcela]&gt;=P$1) *
  (desp[parcela]&lt;EOMONTH(P$1,0)+1)
)</f>
        <v>0</v>
      </c>
      <c r="Q562" s="245" cm="1">
        <f t="array" ref="Q562">-SUMPRODUCT(
  desp[data.vencimento] *
  (desp[classificacao]=$B$289) *
  (desp[centro.negocio]=$B562) *
  (desp[parcela]&gt;=Q$1) *
  (desp[parcela]&lt;EOMONTH(Q$1,0)+1)
)</f>
        <v>0</v>
      </c>
      <c r="R562" s="245" cm="1">
        <f t="array" ref="R562">-SUMPRODUCT(
  desp[data.vencimento] *
  (desp[classificacao]=$B$289) *
  (desp[centro.negocio]=$B562) *
  (desp[parcela]&gt;=R$1) *
  (desp[parcela]&lt;EOMONTH(R$1,0)+1)
)</f>
        <v>0</v>
      </c>
    </row>
    <row r="563" spans="1:18" outlineLevel="1" x14ac:dyDescent="0.25">
      <c r="A563" s="243" t="s">
        <v>690</v>
      </c>
      <c r="B563" s="243" t="s">
        <v>378</v>
      </c>
      <c r="C563" s="244" t="s">
        <v>522</v>
      </c>
      <c r="D563" s="245" cm="1">
        <f t="array" ref="D563">-SUMPRODUCT(
  desp[data.vencimento] *
  (desp[classificacao]=$B$289) *
  (desp[centro.negocio]=$B563) *
  (desp[parcela]&gt;=D$1) *
  (desp[parcela]&lt;EOMONTH(D$1,0)+1)
)</f>
        <v>0</v>
      </c>
      <c r="E563" s="245" cm="1">
        <f t="array" ref="E563">-SUMPRODUCT(
  desp[data.vencimento] *
  (desp[classificacao]=$B$289) *
  (desp[centro.negocio]=$B563) *
  (desp[parcela]&gt;=E$1) *
  (desp[parcela]&lt;EOMONTH(E$1,0)+1)
)</f>
        <v>0</v>
      </c>
      <c r="F563" s="245" cm="1">
        <f t="array" ref="F563">-SUMPRODUCT(
  desp[data.vencimento] *
  (desp[classificacao]=$B$289) *
  (desp[centro.negocio]=$B563) *
  (desp[parcela]&gt;=F$1) *
  (desp[parcela]&lt;EOMONTH(F$1,0)+1)
)</f>
        <v>0</v>
      </c>
      <c r="G563" s="245" cm="1">
        <f t="array" ref="G563">-SUMPRODUCT(
  desp[data.vencimento] *
  (desp[classificacao]=$B$289) *
  (desp[centro.negocio]=$B563) *
  (desp[parcela]&gt;=G$1) *
  (desp[parcela]&lt;EOMONTH(G$1,0)+1)
)</f>
        <v>0</v>
      </c>
      <c r="H563" s="245" cm="1">
        <f t="array" ref="H563">-SUMPRODUCT(
  desp[data.vencimento] *
  (desp[classificacao]=$B$289) *
  (desp[centro.negocio]=$B563) *
  (desp[parcela]&gt;=H$1) *
  (desp[parcela]&lt;EOMONTH(H$1,0)+1)
)</f>
        <v>0</v>
      </c>
      <c r="I563" s="245" cm="1">
        <f t="array" ref="I563">-SUMPRODUCT(
  desp[data.vencimento] *
  (desp[classificacao]=$B$289) *
  (desp[centro.negocio]=$B563) *
  (desp[parcela]&gt;=I$1) *
  (desp[parcela]&lt;EOMONTH(I$1,0)+1)
)</f>
        <v>0</v>
      </c>
      <c r="J563" s="245" cm="1">
        <f t="array" ref="J563">-SUMPRODUCT(
  desp[data.vencimento] *
  (desp[classificacao]=$B$289) *
  (desp[centro.negocio]=$B563) *
  (desp[parcela]&gt;=J$1) *
  (desp[parcela]&lt;EOMONTH(J$1,0)+1)
)</f>
        <v>0</v>
      </c>
      <c r="K563" s="245" cm="1">
        <f t="array" ref="K563">-SUMPRODUCT(
  desp[data.vencimento] *
  (desp[classificacao]=$B$289) *
  (desp[centro.negocio]=$B563) *
  (desp[parcela]&gt;=K$1) *
  (desp[parcela]&lt;EOMONTH(K$1,0)+1)
)</f>
        <v>0</v>
      </c>
      <c r="L563" s="245" cm="1">
        <f t="array" ref="L563">-SUMPRODUCT(
  desp[data.vencimento] *
  (desp[classificacao]=$B$289) *
  (desp[centro.negocio]=$B563) *
  (desp[parcela]&gt;=L$1) *
  (desp[parcela]&lt;EOMONTH(L$1,0)+1)
)</f>
        <v>0</v>
      </c>
      <c r="M563" s="245" cm="1">
        <f t="array" ref="M563">-SUMPRODUCT(
  desp[data.vencimento] *
  (desp[classificacao]=$B$289) *
  (desp[centro.negocio]=$B563) *
  (desp[parcela]&gt;=M$1) *
  (desp[parcela]&lt;EOMONTH(M$1,0)+1)
)</f>
        <v>0</v>
      </c>
      <c r="N563" s="245" cm="1">
        <f t="array" ref="N563">-SUMPRODUCT(
  desp[data.vencimento] *
  (desp[classificacao]=$B$289) *
  (desp[centro.negocio]=$B563) *
  (desp[parcela]&gt;=N$1) *
  (desp[parcela]&lt;EOMONTH(N$1,0)+1)
)</f>
        <v>0</v>
      </c>
      <c r="O563" s="245" cm="1">
        <f t="array" ref="O563">-SUMPRODUCT(
  desp[data.vencimento] *
  (desp[classificacao]=$B$289) *
  (desp[centro.negocio]=$B563) *
  (desp[parcela]&gt;=O$1) *
  (desp[parcela]&lt;EOMONTH(O$1,0)+1)
)</f>
        <v>0</v>
      </c>
      <c r="P563" s="245" cm="1">
        <f t="array" ref="P563">-SUMPRODUCT(
  desp[data.vencimento] *
  (desp[classificacao]=$B$289) *
  (desp[centro.negocio]=$B563) *
  (desp[parcela]&gt;=P$1) *
  (desp[parcela]&lt;EOMONTH(P$1,0)+1)
)</f>
        <v>0</v>
      </c>
      <c r="Q563" s="245" cm="1">
        <f t="array" ref="Q563">-SUMPRODUCT(
  desp[data.vencimento] *
  (desp[classificacao]=$B$289) *
  (desp[centro.negocio]=$B563) *
  (desp[parcela]&gt;=Q$1) *
  (desp[parcela]&lt;EOMONTH(Q$1,0)+1)
)</f>
        <v>0</v>
      </c>
      <c r="R563" s="245" cm="1">
        <f t="array" ref="R563">-SUMPRODUCT(
  desp[data.vencimento] *
  (desp[classificacao]=$B$289) *
  (desp[centro.negocio]=$B563) *
  (desp[parcela]&gt;=R$1) *
  (desp[parcela]&lt;EOMONTH(R$1,0)+1)
)</f>
        <v>0</v>
      </c>
    </row>
    <row r="564" spans="1:18" outlineLevel="1" x14ac:dyDescent="0.25">
      <c r="A564" s="243" t="s">
        <v>692</v>
      </c>
      <c r="B564" s="243" t="s">
        <v>350</v>
      </c>
      <c r="C564" s="244" t="s">
        <v>522</v>
      </c>
      <c r="D564" s="245" cm="1">
        <f t="array" ref="D564">-SUMPRODUCT(
  desp[data.vencimento] *
  (desp[classificacao] = $B$289) *
  (desp[parcela] &gt;= D$1) *
  (desp[parcela] &lt; EOMONTH(D$1,0)+1) *
  --ISNA(MATCH(desp[centro.negocio], {"NF - Mão de Obra";"Operações Financeiras/juros";"Terreno"}, 0))
)-
SUM(D$297:D$313)</f>
        <v>0</v>
      </c>
      <c r="E564" s="245" cm="1">
        <f t="array" ref="E564">-SUMPRODUCT(
  desp[data.vencimento] *
  (desp[classificacao] = $B$289) *
  (desp[parcela] &gt;= E$1) *
  (desp[parcela] &lt; EOMONTH(E$1,0)+1) *
  --ISNA(MATCH(desp[centro.negocio], {"NF - Mão de Obra";"Operações Financeiras/juros";"Terreno"}, 0))
)-
SUM(E$297:E$313)</f>
        <v>0</v>
      </c>
      <c r="F564" s="245" cm="1">
        <f t="array" ref="F564">-SUMPRODUCT(
  desp[data.vencimento] *
  (desp[classificacao] = $B$289) *
  (desp[parcela] &gt;= F$1) *
  (desp[parcela] &lt; EOMONTH(F$1,0)+1) *
  --ISNA(MATCH(desp[centro.negocio], {"NF - Mão de Obra";"Operações Financeiras/juros";"Terreno"}, 0))
)-
SUM(F$297:F$313)</f>
        <v>0</v>
      </c>
      <c r="G564" s="245" cm="1">
        <f t="array" ref="G564">-SUMPRODUCT(
  desp[data.vencimento] *
  (desp[classificacao] = $B$289) *
  (desp[parcela] &gt;= G$1) *
  (desp[parcela] &lt; EOMONTH(G$1,0)+1) *
  --ISNA(MATCH(desp[centro.negocio], {"NF - Mão de Obra";"Operações Financeiras/juros";"Terreno"}, 0))
)-
SUM(G$297:G$313)</f>
        <v>0</v>
      </c>
      <c r="H564" s="245" cm="1">
        <f t="array" ref="H564">-SUMPRODUCT(
  desp[data.vencimento] *
  (desp[classificacao] = $B$289) *
  (desp[parcela] &gt;= H$1) *
  (desp[parcela] &lt; EOMONTH(H$1,0)+1) *
  --ISNA(MATCH(desp[centro.negocio], {"NF - Mão de Obra";"Operações Financeiras/juros";"Terreno"}, 0))
)-
SUM(H$297:H$313)</f>
        <v>0</v>
      </c>
      <c r="I564" s="245" cm="1">
        <f t="array" ref="I564">-SUMPRODUCT(
  desp[data.vencimento] *
  (desp[classificacao] = $B$289) *
  (desp[parcela] &gt;= I$1) *
  (desp[parcela] &lt; EOMONTH(I$1,0)+1) *
  --ISNA(MATCH(desp[centro.negocio], {"NF - Mão de Obra";"Operações Financeiras/juros";"Terreno"}, 0))
)-
SUM(I$297:I$313)</f>
        <v>0</v>
      </c>
      <c r="J564" s="245" cm="1">
        <f t="array" ref="J564">-SUMPRODUCT(
  desp[data.vencimento] *
  (desp[classificacao] = $B$289) *
  (desp[parcela] &gt;= J$1) *
  (desp[parcela] &lt; EOMONTH(J$1,0)+1) *
  --ISNA(MATCH(desp[centro.negocio], {"NF - Mão de Obra";"Operações Financeiras/juros";"Terreno"}, 0))
)-
SUM(J$297:J$313)</f>
        <v>0</v>
      </c>
      <c r="K564" s="245" cm="1">
        <f t="array" ref="K564">-SUMPRODUCT(
  desp[data.vencimento] *
  (desp[classificacao] = $B$289) *
  (desp[parcela] &gt;= K$1) *
  (desp[parcela] &lt; EOMONTH(K$1,0)+1) *
  --ISNA(MATCH(desp[centro.negocio], {"NF - Mão de Obra";"Operações Financeiras/juros";"Terreno"}, 0))
)-
SUM(K$297:K$313)</f>
        <v>0</v>
      </c>
      <c r="L564" s="245" cm="1">
        <f t="array" ref="L564">-SUMPRODUCT(
  desp[data.vencimento] *
  (desp[classificacao] = $B$289) *
  (desp[parcela] &gt;= L$1) *
  (desp[parcela] &lt; EOMONTH(L$1,0)+1) *
  --ISNA(MATCH(desp[centro.negocio], {"NF - Mão de Obra";"Operações Financeiras/juros";"Terreno"}, 0))
)-
SUM(L$297:L$313)</f>
        <v>0</v>
      </c>
      <c r="M564" s="245" cm="1">
        <f t="array" ref="M564">-SUMPRODUCT(
  desp[data.vencimento] *
  (desp[classificacao] = $B$289) *
  (desp[parcela] &gt;= M$1) *
  (desp[parcela] &lt; EOMONTH(M$1,0)+1) *
  --ISNA(MATCH(desp[centro.negocio], {"NF - Mão de Obra";"Operações Financeiras/juros";"Terreno"}, 0))
)-
SUM(M$297:M$313)</f>
        <v>0</v>
      </c>
      <c r="N564" s="245" cm="1">
        <f t="array" ref="N564">-SUMPRODUCT(
  desp[data.vencimento] *
  (desp[classificacao] = $B$289) *
  (desp[parcela] &gt;= N$1) *
  (desp[parcela] &lt; EOMONTH(N$1,0)+1) *
  --ISNA(MATCH(desp[centro.negocio], {"NF - Mão de Obra";"Operações Financeiras/juros";"Terreno"}, 0))
)-
SUM(N$297:N$313)</f>
        <v>0</v>
      </c>
      <c r="O564" s="245" cm="1">
        <f t="array" ref="O564">-SUMPRODUCT(
  desp[data.vencimento] *
  (desp[classificacao] = $B$289) *
  (desp[parcela] &gt;= O$1) *
  (desp[parcela] &lt; EOMONTH(O$1,0)+1) *
  --ISNA(MATCH(desp[centro.negocio], {"NF - Mão de Obra";"Operações Financeiras/juros";"Terreno"}, 0))
)-
SUM(O$297:O$313)</f>
        <v>0</v>
      </c>
      <c r="P564" s="245" cm="1">
        <f t="array" ref="P564">-SUMPRODUCT(
  desp[data.vencimento] *
  (desp[classificacao] = $B$289) *
  (desp[parcela] &gt;= P$1) *
  (desp[parcela] &lt; EOMONTH(P$1,0)+1) *
  --ISNA(MATCH(desp[centro.negocio], {"NF - Mão de Obra";"Operações Financeiras/juros";"Terreno"}, 0))
)-
SUM(P$297:P$313)</f>
        <v>0</v>
      </c>
      <c r="Q564" s="245" cm="1">
        <f t="array" ref="Q564">-SUMPRODUCT(
  desp[data.vencimento] *
  (desp[classificacao] = $B$289) *
  (desp[parcela] &gt;= Q$1) *
  (desp[parcela] &lt; EOMONTH(Q$1,0)+1) *
  --ISNA(MATCH(desp[centro.negocio], {"NF - Mão de Obra";"Operações Financeiras/juros";"Terreno"}, 0))
)-
SUM(Q$297:Q$313)</f>
        <v>0</v>
      </c>
      <c r="R564" s="245" cm="1">
        <f t="array" ref="R564">-SUMPRODUCT(
  desp[data.vencimento] *
  (desp[classificacao] = $B$289) *
  (desp[parcela] &gt;= R$1) *
  (desp[parcela] &lt; EOMONTH(R$1,0)+1) *
  --ISNA(MATCH(desp[centro.negocio], {"NF - Mão de Obra";"Operações Financeiras/juros";"Terreno"}, 0))
)-
SUM(R$297:R$313)</f>
        <v>0</v>
      </c>
    </row>
    <row r="565" spans="1:18" x14ac:dyDescent="0.25">
      <c r="A565" s="236" t="s">
        <v>693</v>
      </c>
      <c r="B565" s="236" t="s">
        <v>694</v>
      </c>
      <c r="C565" s="237"/>
      <c r="D565" s="253">
        <f>D566+D569</f>
        <v>0</v>
      </c>
      <c r="E565" s="253">
        <f t="shared" ref="E565" si="660">E566+E569</f>
        <v>0</v>
      </c>
      <c r="F565" s="253">
        <f t="shared" ref="F565" si="661">F566+F569</f>
        <v>0</v>
      </c>
      <c r="G565" s="253">
        <f t="shared" ref="G565" si="662">G566+G569</f>
        <v>0</v>
      </c>
      <c r="H565" s="253">
        <f t="shared" ref="H565" si="663">H566+H569</f>
        <v>0</v>
      </c>
      <c r="I565" s="253">
        <f t="shared" ref="I565" si="664">I566+I569</f>
        <v>0</v>
      </c>
      <c r="J565" s="253">
        <f t="shared" ref="J565" si="665">J566+J569</f>
        <v>0</v>
      </c>
      <c r="K565" s="253">
        <f t="shared" ref="K565" si="666">K566+K569</f>
        <v>0</v>
      </c>
      <c r="L565" s="253">
        <f t="shared" ref="L565" si="667">L566+L569</f>
        <v>0</v>
      </c>
      <c r="M565" s="253">
        <f t="shared" ref="M565" si="668">M566+M569</f>
        <v>0</v>
      </c>
      <c r="N565" s="253">
        <f t="shared" ref="N565" si="669">N566+N569</f>
        <v>0</v>
      </c>
      <c r="O565" s="253">
        <f t="shared" ref="O565" si="670">O566+O569</f>
        <v>0</v>
      </c>
      <c r="P565" s="253">
        <f t="shared" ref="P565" si="671">P566+P569</f>
        <v>0</v>
      </c>
      <c r="Q565" s="253">
        <f t="shared" ref="Q565:R565" si="672">Q566+Q569</f>
        <v>0</v>
      </c>
      <c r="R565" s="253">
        <f t="shared" si="672"/>
        <v>0</v>
      </c>
    </row>
    <row r="566" spans="1:18" x14ac:dyDescent="0.25">
      <c r="A566" s="240" t="s">
        <v>695</v>
      </c>
      <c r="B566" s="240" t="s">
        <v>696</v>
      </c>
      <c r="C566" s="241"/>
      <c r="D566" s="242">
        <f>SUM(D567:D568)</f>
        <v>0</v>
      </c>
      <c r="E566" s="242">
        <f t="shared" ref="E566" si="673">SUM(E567:E568)</f>
        <v>0</v>
      </c>
      <c r="F566" s="242">
        <f t="shared" ref="F566" si="674">SUM(F567:F568)</f>
        <v>0</v>
      </c>
      <c r="G566" s="242">
        <f t="shared" ref="G566" si="675">SUM(G567:G568)</f>
        <v>0</v>
      </c>
      <c r="H566" s="242">
        <f t="shared" ref="H566" si="676">SUM(H567:H568)</f>
        <v>0</v>
      </c>
      <c r="I566" s="242">
        <f t="shared" ref="I566" si="677">SUM(I567:I568)</f>
        <v>0</v>
      </c>
      <c r="J566" s="242">
        <f t="shared" ref="J566" si="678">SUM(J567:J568)</f>
        <v>0</v>
      </c>
      <c r="K566" s="242">
        <f t="shared" ref="K566" si="679">SUM(K567:K568)</f>
        <v>0</v>
      </c>
      <c r="L566" s="242">
        <f t="shared" ref="L566" si="680">SUM(L567:L568)</f>
        <v>0</v>
      </c>
      <c r="M566" s="242">
        <f t="shared" ref="M566" si="681">SUM(M567:M568)</f>
        <v>0</v>
      </c>
      <c r="N566" s="242">
        <f t="shared" ref="N566" si="682">SUM(N567:N568)</f>
        <v>0</v>
      </c>
      <c r="O566" s="242">
        <f t="shared" ref="O566" si="683">SUM(O567:O568)</f>
        <v>0</v>
      </c>
      <c r="P566" s="242">
        <f t="shared" ref="P566" si="684">SUM(P567:P568)</f>
        <v>0</v>
      </c>
      <c r="Q566" s="242">
        <f t="shared" ref="Q566:R566" si="685">SUM(Q567:Q568)</f>
        <v>0</v>
      </c>
      <c r="R566" s="242">
        <f t="shared" si="685"/>
        <v>0</v>
      </c>
    </row>
    <row r="567" spans="1:18" outlineLevel="1" x14ac:dyDescent="0.25">
      <c r="A567" s="243" t="s">
        <v>697</v>
      </c>
      <c r="B567" s="254" t="s">
        <v>698</v>
      </c>
      <c r="C567" s="193"/>
      <c r="D567" s="247"/>
      <c r="E567" s="247"/>
      <c r="F567" s="247"/>
      <c r="G567" s="247"/>
      <c r="H567" s="247"/>
      <c r="I567" s="247"/>
      <c r="J567" s="247"/>
      <c r="K567" s="247"/>
      <c r="L567" s="247"/>
      <c r="M567" s="247"/>
      <c r="N567" s="247"/>
      <c r="O567" s="247"/>
      <c r="P567" s="247"/>
      <c r="Q567" s="247"/>
      <c r="R567" s="247"/>
    </row>
    <row r="568" spans="1:18" outlineLevel="1" x14ac:dyDescent="0.25">
      <c r="A568" s="243" t="s">
        <v>699</v>
      </c>
      <c r="B568" s="254" t="s">
        <v>700</v>
      </c>
      <c r="C568" s="193"/>
      <c r="D568" s="247"/>
      <c r="E568" s="247"/>
      <c r="F568" s="247"/>
      <c r="G568" s="247"/>
      <c r="H568" s="247"/>
      <c r="I568" s="247"/>
      <c r="J568" s="247"/>
      <c r="K568" s="247"/>
      <c r="L568" s="247"/>
      <c r="M568" s="247"/>
      <c r="N568" s="247"/>
      <c r="O568" s="247"/>
      <c r="P568" s="247"/>
      <c r="Q568" s="247"/>
      <c r="R568" s="247"/>
    </row>
    <row r="569" spans="1:18" x14ac:dyDescent="0.25">
      <c r="A569" s="249" t="s">
        <v>701</v>
      </c>
      <c r="B569" s="249" t="s">
        <v>702</v>
      </c>
      <c r="C569" s="255"/>
      <c r="D569" s="256">
        <f>SUM(D570:D572)</f>
        <v>0</v>
      </c>
      <c r="E569" s="256">
        <f t="shared" ref="E569" si="686">SUM(E570:E572)</f>
        <v>0</v>
      </c>
      <c r="F569" s="256">
        <f t="shared" ref="F569" si="687">SUM(F570:F572)</f>
        <v>0</v>
      </c>
      <c r="G569" s="256">
        <f t="shared" ref="G569" si="688">SUM(G570:G572)</f>
        <v>0</v>
      </c>
      <c r="H569" s="256">
        <f t="shared" ref="H569" si="689">SUM(H570:H572)</f>
        <v>0</v>
      </c>
      <c r="I569" s="256">
        <f t="shared" ref="I569" si="690">SUM(I570:I572)</f>
        <v>0</v>
      </c>
      <c r="J569" s="256">
        <f t="shared" ref="J569" si="691">SUM(J570:J572)</f>
        <v>0</v>
      </c>
      <c r="K569" s="256">
        <f t="shared" ref="K569" si="692">SUM(K570:K572)</f>
        <v>0</v>
      </c>
      <c r="L569" s="256">
        <f t="shared" ref="L569" si="693">SUM(L570:L572)</f>
        <v>0</v>
      </c>
      <c r="M569" s="256">
        <f t="shared" ref="M569" si="694">SUM(M570:M572)</f>
        <v>0</v>
      </c>
      <c r="N569" s="256">
        <f t="shared" ref="N569" si="695">SUM(N570:N572)</f>
        <v>0</v>
      </c>
      <c r="O569" s="256">
        <f t="shared" ref="O569" si="696">SUM(O570:O572)</f>
        <v>0</v>
      </c>
      <c r="P569" s="256">
        <f t="shared" ref="P569" si="697">SUM(P570:P572)</f>
        <v>0</v>
      </c>
      <c r="Q569" s="256">
        <f t="shared" ref="Q569:R569" si="698">SUM(Q570:Q572)</f>
        <v>0</v>
      </c>
      <c r="R569" s="256">
        <f t="shared" si="698"/>
        <v>0</v>
      </c>
    </row>
    <row r="570" spans="1:18" outlineLevel="1" x14ac:dyDescent="0.25">
      <c r="A570" s="243" t="s">
        <v>703</v>
      </c>
      <c r="B570" s="243" t="s">
        <v>407</v>
      </c>
      <c r="C570" s="244" t="s">
        <v>522</v>
      </c>
      <c r="D570" s="245" cm="1">
        <f t="array" ref="D570">-SUMPRODUCT(
  desp[data.vencimento] *
  (desp[classificacao]=$B$289) *
  (desp[centro.negocio]=$B570) *
  (desp[parcela]&gt;=D$1) *
  (desp[parcela]&lt;EOMONTH(D$1,0)+1)
)</f>
        <v>0</v>
      </c>
      <c r="E570" s="245" cm="1">
        <f t="array" ref="E570">-SUMPRODUCT(
  desp[data.vencimento] *
  (desp[classificacao]=$B$289) *
  (desp[centro.negocio]=$B570) *
  (desp[parcela]&gt;=E$1) *
  (desp[parcela]&lt;EOMONTH(E$1,0)+1)
)</f>
        <v>0</v>
      </c>
      <c r="F570" s="245" cm="1">
        <f t="array" ref="F570">-SUMPRODUCT(
  desp[data.vencimento] *
  (desp[classificacao]=$B$289) *
  (desp[centro.negocio]=$B570) *
  (desp[parcela]&gt;=F$1) *
  (desp[parcela]&lt;EOMONTH(F$1,0)+1)
)</f>
        <v>0</v>
      </c>
      <c r="G570" s="245" cm="1">
        <f t="array" ref="G570">-SUMPRODUCT(
  desp[data.vencimento] *
  (desp[classificacao]=$B$289) *
  (desp[centro.negocio]=$B570) *
  (desp[parcela]&gt;=G$1) *
  (desp[parcela]&lt;EOMONTH(G$1,0)+1)
)</f>
        <v>0</v>
      </c>
      <c r="H570" s="245" cm="1">
        <f t="array" ref="H570">-SUMPRODUCT(
  desp[data.vencimento] *
  (desp[classificacao]=$B$289) *
  (desp[centro.negocio]=$B570) *
  (desp[parcela]&gt;=H$1) *
  (desp[parcela]&lt;EOMONTH(H$1,0)+1)
)</f>
        <v>0</v>
      </c>
      <c r="I570" s="245" cm="1">
        <f t="array" ref="I570">-SUMPRODUCT(
  desp[data.vencimento] *
  (desp[classificacao]=$B$289) *
  (desp[centro.negocio]=$B570) *
  (desp[parcela]&gt;=I$1) *
  (desp[parcela]&lt;EOMONTH(I$1,0)+1)
)</f>
        <v>0</v>
      </c>
      <c r="J570" s="245" cm="1">
        <f t="array" ref="J570">-SUMPRODUCT(
  desp[data.vencimento] *
  (desp[classificacao]=$B$289) *
  (desp[centro.negocio]=$B570) *
  (desp[parcela]&gt;=J$1) *
  (desp[parcela]&lt;EOMONTH(J$1,0)+1)
)</f>
        <v>0</v>
      </c>
      <c r="K570" s="245" cm="1">
        <f t="array" ref="K570">-SUMPRODUCT(
  desp[data.vencimento] *
  (desp[classificacao]=$B$289) *
  (desp[centro.negocio]=$B570) *
  (desp[parcela]&gt;=K$1) *
  (desp[parcela]&lt;EOMONTH(K$1,0)+1)
)</f>
        <v>0</v>
      </c>
      <c r="L570" s="245" cm="1">
        <f t="array" ref="L570">-SUMPRODUCT(
  desp[data.vencimento] *
  (desp[classificacao]=$B$289) *
  (desp[centro.negocio]=$B570) *
  (desp[parcela]&gt;=L$1) *
  (desp[parcela]&lt;EOMONTH(L$1,0)+1)
)</f>
        <v>0</v>
      </c>
      <c r="M570" s="245" cm="1">
        <f t="array" ref="M570">-SUMPRODUCT(
  desp[data.vencimento] *
  (desp[classificacao]=$B$289) *
  (desp[centro.negocio]=$B570) *
  (desp[parcela]&gt;=M$1) *
  (desp[parcela]&lt;EOMONTH(M$1,0)+1)
)</f>
        <v>0</v>
      </c>
      <c r="N570" s="245" cm="1">
        <f t="array" ref="N570">-SUMPRODUCT(
  desp[data.vencimento] *
  (desp[classificacao]=$B$289) *
  (desp[centro.negocio]=$B570) *
  (desp[parcela]&gt;=N$1) *
  (desp[parcela]&lt;EOMONTH(N$1,0)+1)
)</f>
        <v>0</v>
      </c>
      <c r="O570" s="245" cm="1">
        <f t="array" ref="O570">-SUMPRODUCT(
  desp[data.vencimento] *
  (desp[classificacao]=$B$289) *
  (desp[centro.negocio]=$B570) *
  (desp[parcela]&gt;=O$1) *
  (desp[parcela]&lt;EOMONTH(O$1,0)+1)
)</f>
        <v>0</v>
      </c>
      <c r="P570" s="245" cm="1">
        <f t="array" ref="P570">-SUMPRODUCT(
  desp[data.vencimento] *
  (desp[classificacao]=$B$289) *
  (desp[centro.negocio]=$B570) *
  (desp[parcela]&gt;=P$1) *
  (desp[parcela]&lt;EOMONTH(P$1,0)+1)
)</f>
        <v>0</v>
      </c>
      <c r="Q570" s="245" cm="1">
        <f t="array" ref="Q570">-SUMPRODUCT(
  desp[data.vencimento] *
  (desp[classificacao]=$B$289) *
  (desp[centro.negocio]=$B570) *
  (desp[parcela]&gt;=Q$1) *
  (desp[parcela]&lt;EOMONTH(Q$1,0)+1)
)</f>
        <v>0</v>
      </c>
      <c r="R570" s="245" cm="1">
        <f t="array" ref="R570">-SUMPRODUCT(
  desp[data.vencimento] *
  (desp[classificacao]=$B$289) *
  (desp[centro.negocio]=$B570) *
  (desp[parcela]&gt;=R$1) *
  (desp[parcela]&lt;EOMONTH(R$1,0)+1)
)</f>
        <v>0</v>
      </c>
    </row>
    <row r="571" spans="1:18" outlineLevel="1" x14ac:dyDescent="0.25">
      <c r="A571" s="243" t="s">
        <v>719</v>
      </c>
      <c r="B571" s="254" t="s">
        <v>720</v>
      </c>
      <c r="C571" s="193"/>
      <c r="D571" s="247"/>
      <c r="E571" s="247"/>
      <c r="F571" s="247"/>
      <c r="G571" s="247"/>
      <c r="H571" s="247"/>
      <c r="I571" s="247"/>
      <c r="J571" s="247"/>
      <c r="K571" s="247"/>
      <c r="L571" s="247"/>
      <c r="M571" s="247"/>
      <c r="N571" s="247"/>
      <c r="O571" s="247"/>
      <c r="P571" s="247"/>
      <c r="Q571" s="247"/>
      <c r="R571" s="247"/>
    </row>
    <row r="572" spans="1:18" outlineLevel="1" x14ac:dyDescent="0.25">
      <c r="A572" s="243" t="s">
        <v>721</v>
      </c>
      <c r="B572" s="254" t="s">
        <v>722</v>
      </c>
      <c r="C572" s="193"/>
      <c r="D572" s="247"/>
      <c r="E572" s="247"/>
      <c r="F572" s="247"/>
      <c r="G572" s="247"/>
      <c r="H572" s="247"/>
      <c r="I572" s="247"/>
      <c r="J572" s="247"/>
      <c r="K572" s="247"/>
      <c r="L572" s="247"/>
      <c r="M572" s="247"/>
      <c r="N572" s="247"/>
      <c r="O572" s="247"/>
      <c r="P572" s="247"/>
      <c r="Q572" s="247"/>
      <c r="R572" s="247"/>
    </row>
    <row r="573" spans="1:18" x14ac:dyDescent="0.25">
      <c r="A573" s="236" t="s">
        <v>723</v>
      </c>
      <c r="B573" s="236" t="s">
        <v>724</v>
      </c>
      <c r="C573" s="237"/>
      <c r="D573" s="238">
        <f>D574+D579</f>
        <v>489068.85</v>
      </c>
      <c r="E573" s="238">
        <f t="shared" ref="E573" si="699">E574+E579</f>
        <v>0</v>
      </c>
      <c r="F573" s="238">
        <f t="shared" ref="F573" si="700">F574+F579</f>
        <v>385006.39</v>
      </c>
      <c r="G573" s="238">
        <f t="shared" ref="G573" si="701">G574+G579</f>
        <v>223853.73</v>
      </c>
      <c r="H573" s="238">
        <f t="shared" ref="H573" si="702">H574+H579</f>
        <v>134752.4</v>
      </c>
      <c r="I573" s="238">
        <f t="shared" ref="I573" si="703">I574+I579</f>
        <v>289304.8</v>
      </c>
      <c r="J573" s="238">
        <f t="shared" ref="J573" si="704">J574+J579</f>
        <v>171602.91</v>
      </c>
      <c r="K573" s="238">
        <f t="shared" ref="K573" si="705">K574+K579</f>
        <v>366306.04</v>
      </c>
      <c r="L573" s="238">
        <f t="shared" ref="L573" si="706">L574+L579</f>
        <v>181081.21</v>
      </c>
      <c r="M573" s="238">
        <f t="shared" ref="M573" si="707">M574+M579</f>
        <v>266613.7</v>
      </c>
      <c r="N573" s="238">
        <f t="shared" ref="N573" si="708">N574+N579</f>
        <v>230479.34</v>
      </c>
      <c r="O573" s="238">
        <f t="shared" ref="O573" si="709">O574+O579</f>
        <v>471701.2</v>
      </c>
      <c r="P573" s="238">
        <f t="shared" ref="P573" si="710">P574+P579</f>
        <v>0</v>
      </c>
      <c r="Q573" s="238">
        <f t="shared" ref="Q573:R573" si="711">Q574+Q579</f>
        <v>46792.36</v>
      </c>
      <c r="R573" s="238">
        <f t="shared" si="711"/>
        <v>0</v>
      </c>
    </row>
    <row r="574" spans="1:18" x14ac:dyDescent="0.25">
      <c r="A574" s="240" t="s">
        <v>725</v>
      </c>
      <c r="B574" s="240" t="s">
        <v>726</v>
      </c>
      <c r="C574" s="241"/>
      <c r="D574" s="242">
        <f>D575+D578</f>
        <v>489068.85</v>
      </c>
      <c r="E574" s="242">
        <f t="shared" ref="E574" si="712">E575+E578</f>
        <v>0</v>
      </c>
      <c r="F574" s="242">
        <f t="shared" ref="F574" si="713">F575+F578</f>
        <v>385006.39</v>
      </c>
      <c r="G574" s="242">
        <f t="shared" ref="G574" si="714">G575+G578</f>
        <v>223853.73</v>
      </c>
      <c r="H574" s="242">
        <f t="shared" ref="H574" si="715">H575+H578</f>
        <v>134752.4</v>
      </c>
      <c r="I574" s="242">
        <f t="shared" ref="I574" si="716">I575+I578</f>
        <v>289304.8</v>
      </c>
      <c r="J574" s="242">
        <f t="shared" ref="J574" si="717">J575+J578</f>
        <v>171602.91</v>
      </c>
      <c r="K574" s="242">
        <f t="shared" ref="K574" si="718">K575+K578</f>
        <v>366306.04</v>
      </c>
      <c r="L574" s="242">
        <f t="shared" ref="L574" si="719">L575+L578</f>
        <v>181081.21</v>
      </c>
      <c r="M574" s="242">
        <f t="shared" ref="M574" si="720">M575+M578</f>
        <v>266613.7</v>
      </c>
      <c r="N574" s="242">
        <f t="shared" ref="N574" si="721">N575+N578</f>
        <v>230479.34</v>
      </c>
      <c r="O574" s="242">
        <f t="shared" ref="O574" si="722">O575+O578</f>
        <v>471701.2</v>
      </c>
      <c r="P574" s="242">
        <f t="shared" ref="P574" si="723">P575+P578</f>
        <v>0</v>
      </c>
      <c r="Q574" s="242">
        <f t="shared" ref="Q574:R574" si="724">Q575+Q578</f>
        <v>46792.36</v>
      </c>
      <c r="R574" s="242">
        <f t="shared" si="724"/>
        <v>0</v>
      </c>
    </row>
    <row r="575" spans="1:18" outlineLevel="1" x14ac:dyDescent="0.25">
      <c r="A575" s="243" t="s">
        <v>727</v>
      </c>
      <c r="B575" s="243" t="s">
        <v>728</v>
      </c>
      <c r="C575" s="244" t="s">
        <v>729</v>
      </c>
      <c r="D575" s="245">
        <f>SUM(D576:D577)</f>
        <v>489068.85</v>
      </c>
      <c r="E575" s="245">
        <f t="shared" ref="E575" si="725">SUM(E576:E577)</f>
        <v>0</v>
      </c>
      <c r="F575" s="245">
        <f t="shared" ref="F575" si="726">SUM(F576:F577)</f>
        <v>385006.39</v>
      </c>
      <c r="G575" s="245">
        <f t="shared" ref="G575" si="727">SUM(G576:G577)</f>
        <v>223853.73</v>
      </c>
      <c r="H575" s="245">
        <f t="shared" ref="H575" si="728">SUM(H576:H577)</f>
        <v>134752.4</v>
      </c>
      <c r="I575" s="245">
        <f t="shared" ref="I575" si="729">SUM(I576:I577)</f>
        <v>289304.8</v>
      </c>
      <c r="J575" s="245">
        <f t="shared" ref="J575" si="730">SUM(J576:J577)</f>
        <v>171602.91</v>
      </c>
      <c r="K575" s="245">
        <f t="shared" ref="K575" si="731">SUM(K576:K577)</f>
        <v>366306.04</v>
      </c>
      <c r="L575" s="245">
        <f t="shared" ref="L575" si="732">SUM(L576:L577)</f>
        <v>181081.21</v>
      </c>
      <c r="M575" s="245">
        <f t="shared" ref="M575" si="733">SUM(M576:M577)</f>
        <v>266613.7</v>
      </c>
      <c r="N575" s="245">
        <f t="shared" ref="N575" si="734">SUM(N576:N577)</f>
        <v>230479.34</v>
      </c>
      <c r="O575" s="245">
        <f t="shared" ref="O575" si="735">SUM(O576:O577)</f>
        <v>471701.2</v>
      </c>
      <c r="P575" s="245">
        <f t="shared" ref="P575" si="736">SUM(P576:P577)</f>
        <v>0</v>
      </c>
      <c r="Q575" s="245">
        <f t="shared" ref="Q575:R575" si="737">SUM(Q576:Q577)</f>
        <v>46792.36</v>
      </c>
      <c r="R575" s="245">
        <f t="shared" si="737"/>
        <v>0</v>
      </c>
    </row>
    <row r="576" spans="1:18" outlineLevel="2" x14ac:dyDescent="0.25">
      <c r="A576" s="258" t="s">
        <v>730</v>
      </c>
      <c r="B576" s="258" t="s">
        <v>731</v>
      </c>
      <c r="C576" s="244"/>
      <c r="D576" s="245" cm="1">
        <f t="array" ref="D576:Q576">TRANSPOSE(inputs!F$51:F$64)</f>
        <v>489068.85</v>
      </c>
      <c r="E576" s="245">
        <v>0</v>
      </c>
      <c r="F576" s="245">
        <v>385006.39</v>
      </c>
      <c r="G576" s="245">
        <v>223853.73</v>
      </c>
      <c r="H576" s="245">
        <v>134752.4</v>
      </c>
      <c r="I576" s="245">
        <v>289304.8</v>
      </c>
      <c r="J576" s="245">
        <v>171602.91</v>
      </c>
      <c r="K576" s="245">
        <v>366306.04</v>
      </c>
      <c r="L576" s="245">
        <v>181081.21</v>
      </c>
      <c r="M576" s="245">
        <v>266613.7</v>
      </c>
      <c r="N576" s="245">
        <v>230479.34</v>
      </c>
      <c r="O576" s="245">
        <v>471701.2</v>
      </c>
      <c r="P576" s="245">
        <v>0</v>
      </c>
      <c r="Q576" s="245">
        <v>46792.36</v>
      </c>
      <c r="R576" s="245"/>
    </row>
    <row r="577" spans="1:18" outlineLevel="2" x14ac:dyDescent="0.25">
      <c r="A577" s="258" t="s">
        <v>736</v>
      </c>
      <c r="B577" s="258" t="s">
        <v>350</v>
      </c>
      <c r="C577" s="244" t="s">
        <v>737</v>
      </c>
      <c r="D577" s="302"/>
      <c r="E577" s="302"/>
      <c r="F577" s="302"/>
      <c r="G577" s="302"/>
      <c r="H577" s="302"/>
      <c r="I577" s="302"/>
      <c r="J577" s="302"/>
      <c r="K577" s="302"/>
      <c r="L577" s="302"/>
      <c r="M577" s="302"/>
      <c r="N577" s="302"/>
      <c r="O577" s="302"/>
      <c r="P577" s="302"/>
      <c r="Q577" s="302"/>
      <c r="R577" s="302"/>
    </row>
    <row r="578" spans="1:18" outlineLevel="1" x14ac:dyDescent="0.25">
      <c r="A578" s="243" t="s">
        <v>751</v>
      </c>
      <c r="B578" s="254" t="s">
        <v>752</v>
      </c>
      <c r="C578" s="244" t="s">
        <v>522</v>
      </c>
      <c r="D578" s="245"/>
      <c r="E578" s="245"/>
      <c r="F578" s="245"/>
      <c r="G578" s="245"/>
      <c r="H578" s="245"/>
      <c r="I578" s="245"/>
      <c r="J578" s="245"/>
      <c r="K578" s="245"/>
      <c r="L578" s="245"/>
      <c r="M578" s="245"/>
      <c r="N578" s="245"/>
      <c r="O578" s="245"/>
      <c r="P578" s="245"/>
      <c r="Q578" s="245"/>
      <c r="R578" s="245"/>
    </row>
    <row r="579" spans="1:18" x14ac:dyDescent="0.25">
      <c r="A579" s="249" t="s">
        <v>753</v>
      </c>
      <c r="B579" s="249" t="s">
        <v>754</v>
      </c>
      <c r="C579" s="255"/>
      <c r="D579" s="256">
        <f>SUM(D580:D581)</f>
        <v>0</v>
      </c>
      <c r="E579" s="256">
        <f t="shared" ref="E579" si="738">SUM(E580:E581)</f>
        <v>0</v>
      </c>
      <c r="F579" s="256">
        <f t="shared" ref="F579" si="739">SUM(F580:F581)</f>
        <v>0</v>
      </c>
      <c r="G579" s="256">
        <f t="shared" ref="G579" si="740">SUM(G580:G581)</f>
        <v>0</v>
      </c>
      <c r="H579" s="256">
        <f t="shared" ref="H579" si="741">SUM(H580:H581)</f>
        <v>0</v>
      </c>
      <c r="I579" s="256">
        <f t="shared" ref="I579" si="742">SUM(I580:I581)</f>
        <v>0</v>
      </c>
      <c r="J579" s="256">
        <f t="shared" ref="J579" si="743">SUM(J580:J581)</f>
        <v>0</v>
      </c>
      <c r="K579" s="256">
        <f t="shared" ref="K579" si="744">SUM(K580:K581)</f>
        <v>0</v>
      </c>
      <c r="L579" s="256">
        <f t="shared" ref="L579" si="745">SUM(L580:L581)</f>
        <v>0</v>
      </c>
      <c r="M579" s="256">
        <f t="shared" ref="M579" si="746">SUM(M580:M581)</f>
        <v>0</v>
      </c>
      <c r="N579" s="256">
        <f t="shared" ref="N579" si="747">SUM(N580:N581)</f>
        <v>0</v>
      </c>
      <c r="O579" s="256">
        <f t="shared" ref="O579" si="748">SUM(O580:O581)</f>
        <v>0</v>
      </c>
      <c r="P579" s="256">
        <f t="shared" ref="P579" si="749">SUM(P580:P581)</f>
        <v>0</v>
      </c>
      <c r="Q579" s="256">
        <f t="shared" ref="Q579:R579" si="750">SUM(Q580:Q581)</f>
        <v>0</v>
      </c>
      <c r="R579" s="256">
        <f t="shared" si="750"/>
        <v>0</v>
      </c>
    </row>
    <row r="580" spans="1:18" outlineLevel="1" x14ac:dyDescent="0.25">
      <c r="A580" s="243" t="s">
        <v>755</v>
      </c>
      <c r="B580" s="248" t="s">
        <v>396</v>
      </c>
      <c r="C580" s="244" t="s">
        <v>522</v>
      </c>
      <c r="D580" s="245" cm="1">
        <f t="array" ref="D580">-SUMPRODUCT(
  desp[data.vencimento] *
  (desp[classificacao]=$B$289) *
  (desp[centro.negocio]=$B580) *
  (desp[parcela]&gt;=D$1) *
  (desp[parcela]&lt;EOMONTH(D$1,0)+1)
)</f>
        <v>0</v>
      </c>
      <c r="E580" s="245" cm="1">
        <f t="array" ref="E580">-SUMPRODUCT(
  desp[data.vencimento] *
  (desp[classificacao]=$B$289) *
  (desp[centro.negocio]=$B580) *
  (desp[parcela]&gt;=E$1) *
  (desp[parcela]&lt;EOMONTH(E$1,0)+1)
)</f>
        <v>0</v>
      </c>
      <c r="F580" s="245" cm="1">
        <f t="array" ref="F580">-SUMPRODUCT(
  desp[data.vencimento] *
  (desp[classificacao]=$B$289) *
  (desp[centro.negocio]=$B580) *
  (desp[parcela]&gt;=F$1) *
  (desp[parcela]&lt;EOMONTH(F$1,0)+1)
)</f>
        <v>0</v>
      </c>
      <c r="G580" s="245" cm="1">
        <f t="array" ref="G580">-SUMPRODUCT(
  desp[data.vencimento] *
  (desp[classificacao]=$B$289) *
  (desp[centro.negocio]=$B580) *
  (desp[parcela]&gt;=G$1) *
  (desp[parcela]&lt;EOMONTH(G$1,0)+1)
)</f>
        <v>0</v>
      </c>
      <c r="H580" s="245" cm="1">
        <f t="array" ref="H580">-SUMPRODUCT(
  desp[data.vencimento] *
  (desp[classificacao]=$B$289) *
  (desp[centro.negocio]=$B580) *
  (desp[parcela]&gt;=H$1) *
  (desp[parcela]&lt;EOMONTH(H$1,0)+1)
)</f>
        <v>0</v>
      </c>
      <c r="I580" s="245" cm="1">
        <f t="array" ref="I580">-SUMPRODUCT(
  desp[data.vencimento] *
  (desp[classificacao]=$B$289) *
  (desp[centro.negocio]=$B580) *
  (desp[parcela]&gt;=I$1) *
  (desp[parcela]&lt;EOMONTH(I$1,0)+1)
)</f>
        <v>0</v>
      </c>
      <c r="J580" s="245" cm="1">
        <f t="array" ref="J580">-SUMPRODUCT(
  desp[data.vencimento] *
  (desp[classificacao]=$B$289) *
  (desp[centro.negocio]=$B580) *
  (desp[parcela]&gt;=J$1) *
  (desp[parcela]&lt;EOMONTH(J$1,0)+1)
)</f>
        <v>0</v>
      </c>
      <c r="K580" s="245" cm="1">
        <f t="array" ref="K580">-SUMPRODUCT(
  desp[data.vencimento] *
  (desp[classificacao]=$B$289) *
  (desp[centro.negocio]=$B580) *
  (desp[parcela]&gt;=K$1) *
  (desp[parcela]&lt;EOMONTH(K$1,0)+1)
)</f>
        <v>0</v>
      </c>
      <c r="L580" s="245" cm="1">
        <f t="array" ref="L580">-SUMPRODUCT(
  desp[data.vencimento] *
  (desp[classificacao]=$B$289) *
  (desp[centro.negocio]=$B580) *
  (desp[parcela]&gt;=L$1) *
  (desp[parcela]&lt;EOMONTH(L$1,0)+1)
)</f>
        <v>0</v>
      </c>
      <c r="M580" s="245" cm="1">
        <f t="array" ref="M580">-SUMPRODUCT(
  desp[data.vencimento] *
  (desp[classificacao]=$B$289) *
  (desp[centro.negocio]=$B580) *
  (desp[parcela]&gt;=M$1) *
  (desp[parcela]&lt;EOMONTH(M$1,0)+1)
)</f>
        <v>0</v>
      </c>
      <c r="N580" s="245" cm="1">
        <f t="array" ref="N580">-SUMPRODUCT(
  desp[data.vencimento] *
  (desp[classificacao]=$B$289) *
  (desp[centro.negocio]=$B580) *
  (desp[parcela]&gt;=N$1) *
  (desp[parcela]&lt;EOMONTH(N$1,0)+1)
)</f>
        <v>0</v>
      </c>
      <c r="O580" s="245" cm="1">
        <f t="array" ref="O580">-SUMPRODUCT(
  desp[data.vencimento] *
  (desp[classificacao]=$B$289) *
  (desp[centro.negocio]=$B580) *
  (desp[parcela]&gt;=O$1) *
  (desp[parcela]&lt;EOMONTH(O$1,0)+1)
)</f>
        <v>0</v>
      </c>
      <c r="P580" s="245" cm="1">
        <f t="array" ref="P580">-SUMPRODUCT(
  desp[data.vencimento] *
  (desp[classificacao]=$B$289) *
  (desp[centro.negocio]=$B580) *
  (desp[parcela]&gt;=P$1) *
  (desp[parcela]&lt;EOMONTH(P$1,0)+1)
)</f>
        <v>0</v>
      </c>
      <c r="Q580" s="245" cm="1">
        <f t="array" ref="Q580">-SUMPRODUCT(
  desp[data.vencimento] *
  (desp[classificacao]=$B$289) *
  (desp[centro.negocio]=$B580) *
  (desp[parcela]&gt;=Q$1) *
  (desp[parcela]&lt;EOMONTH(Q$1,0)+1)
)</f>
        <v>0</v>
      </c>
      <c r="R580" s="245" cm="1">
        <f t="array" ref="R580">-SUMPRODUCT(
  desp[data.vencimento] *
  (desp[classificacao]=$B$289) *
  (desp[centro.negocio]=$B580) *
  (desp[parcela]&gt;=R$1) *
  (desp[parcela]&lt;EOMONTH(R$1,0)+1)
)</f>
        <v>0</v>
      </c>
    </row>
    <row r="581" spans="1:18" outlineLevel="1" x14ac:dyDescent="0.25">
      <c r="A581" s="243" t="s">
        <v>773</v>
      </c>
      <c r="B581" s="254" t="s">
        <v>774</v>
      </c>
      <c r="C581" s="193"/>
      <c r="D581" s="247"/>
      <c r="E581" s="247"/>
      <c r="F581" s="247"/>
      <c r="G581" s="247"/>
      <c r="H581" s="247"/>
      <c r="I581" s="247"/>
      <c r="J581" s="247"/>
      <c r="K581" s="247"/>
      <c r="L581" s="247"/>
      <c r="M581" s="247"/>
      <c r="N581" s="247"/>
      <c r="O581" s="247"/>
      <c r="P581" s="247"/>
      <c r="Q581" s="247"/>
      <c r="R581" s="247"/>
    </row>
    <row r="582" spans="1:18" x14ac:dyDescent="0.25">
      <c r="A582" s="233"/>
      <c r="B582" s="233" t="s">
        <v>775</v>
      </c>
      <c r="C582" s="260"/>
      <c r="D582" s="261">
        <f ca="1">D540+D565+D573</f>
        <v>489068.85</v>
      </c>
      <c r="E582" s="261">
        <f t="shared" ref="E582:R582" ca="1" si="751">E540+E565+E573</f>
        <v>0</v>
      </c>
      <c r="F582" s="261">
        <f t="shared" ca="1" si="751"/>
        <v>385006.39</v>
      </c>
      <c r="G582" s="261">
        <f t="shared" ca="1" si="751"/>
        <v>223853.73</v>
      </c>
      <c r="H582" s="261">
        <f t="shared" ca="1" si="751"/>
        <v>134752.4</v>
      </c>
      <c r="I582" s="261">
        <f t="shared" ca="1" si="751"/>
        <v>289304.8</v>
      </c>
      <c r="J582" s="261">
        <f t="shared" ca="1" si="751"/>
        <v>171602.91</v>
      </c>
      <c r="K582" s="261">
        <f t="shared" ca="1" si="751"/>
        <v>366306.04</v>
      </c>
      <c r="L582" s="261">
        <f t="shared" ca="1" si="751"/>
        <v>181081.21</v>
      </c>
      <c r="M582" s="261">
        <f t="shared" ca="1" si="751"/>
        <v>266613.7</v>
      </c>
      <c r="N582" s="261">
        <f t="shared" ca="1" si="751"/>
        <v>230479.34</v>
      </c>
      <c r="O582" s="261">
        <f t="shared" ca="1" si="751"/>
        <v>471701.2</v>
      </c>
      <c r="P582" s="261">
        <f t="shared" ca="1" si="751"/>
        <v>0</v>
      </c>
      <c r="Q582" s="261">
        <f t="shared" ref="Q582" ca="1" si="752">Q540+Q565+Q573</f>
        <v>46792.36</v>
      </c>
      <c r="R582" s="261">
        <f t="shared" ca="1" si="751"/>
        <v>0</v>
      </c>
    </row>
    <row r="583" spans="1:18" x14ac:dyDescent="0.25">
      <c r="A583" s="305"/>
      <c r="B583" s="305" t="s">
        <v>776</v>
      </c>
      <c r="C583" s="306"/>
      <c r="D583" s="238"/>
      <c r="E583" s="238"/>
      <c r="F583" s="238"/>
      <c r="G583" s="238"/>
      <c r="H583" s="238"/>
      <c r="I583" s="238"/>
      <c r="J583" s="238"/>
      <c r="K583" s="238"/>
      <c r="L583" s="238"/>
      <c r="M583" s="238"/>
      <c r="N583" s="238"/>
      <c r="O583" s="238"/>
      <c r="P583" s="238"/>
      <c r="Q583" s="238"/>
      <c r="R583" s="238"/>
    </row>
    <row r="584" spans="1:18" x14ac:dyDescent="0.25">
      <c r="A584" s="305"/>
      <c r="B584" s="305" t="s">
        <v>777</v>
      </c>
      <c r="C584" s="306"/>
      <c r="D584" s="238"/>
      <c r="E584" s="238"/>
      <c r="F584" s="238"/>
      <c r="G584" s="238"/>
      <c r="H584" s="238"/>
      <c r="I584" s="238"/>
      <c r="J584" s="238"/>
      <c r="K584" s="238"/>
      <c r="L584" s="238"/>
      <c r="M584" s="238"/>
      <c r="N584" s="238"/>
      <c r="O584" s="238"/>
      <c r="P584" s="238"/>
      <c r="Q584" s="238"/>
      <c r="R584" s="238"/>
    </row>
    <row r="585" spans="1:18" x14ac:dyDescent="0.25">
      <c r="A585" s="305"/>
      <c r="B585" s="305" t="s">
        <v>796</v>
      </c>
      <c r="C585" s="306"/>
      <c r="D585" s="238"/>
      <c r="E585" s="238"/>
      <c r="F585" s="238"/>
      <c r="G585" s="238"/>
      <c r="H585" s="238"/>
      <c r="I585" s="238"/>
      <c r="J585" s="238"/>
      <c r="K585" s="238"/>
      <c r="L585" s="238"/>
      <c r="M585" s="238"/>
      <c r="N585" s="238"/>
      <c r="O585" s="238"/>
      <c r="P585" s="238"/>
      <c r="Q585" s="238"/>
      <c r="R585" s="238"/>
    </row>
    <row r="589" spans="1:18" ht="21" x14ac:dyDescent="0.35">
      <c r="A589" s="301" t="s">
        <v>473</v>
      </c>
      <c r="B589" s="301" t="s">
        <v>560</v>
      </c>
    </row>
    <row r="590" spans="1:18" x14ac:dyDescent="0.25">
      <c r="A590" s="236" t="s">
        <v>510</v>
      </c>
      <c r="B590" s="236" t="s">
        <v>511</v>
      </c>
      <c r="C590" s="237"/>
      <c r="D590" s="238">
        <f ca="1">D591+D596</f>
        <v>0</v>
      </c>
      <c r="E590" s="238">
        <f t="shared" ref="E590" ca="1" si="753">E591+E596</f>
        <v>0</v>
      </c>
      <c r="F590" s="238">
        <f t="shared" ref="F590" ca="1" si="754">F591+F596</f>
        <v>0</v>
      </c>
      <c r="G590" s="238">
        <f t="shared" ref="G590" ca="1" si="755">G591+G596</f>
        <v>0</v>
      </c>
      <c r="H590" s="238">
        <f t="shared" ref="H590" ca="1" si="756">H591+H596</f>
        <v>0</v>
      </c>
      <c r="I590" s="238">
        <f t="shared" ref="I590" ca="1" si="757">I591+I596</f>
        <v>0</v>
      </c>
      <c r="J590" s="238">
        <f t="shared" ref="J590" ca="1" si="758">J591+J596</f>
        <v>0</v>
      </c>
      <c r="K590" s="238">
        <f t="shared" ref="K590" ca="1" si="759">K591+K596</f>
        <v>0</v>
      </c>
      <c r="L590" s="238">
        <f t="shared" ref="L590" ca="1" si="760">L591+L596</f>
        <v>0</v>
      </c>
      <c r="M590" s="238">
        <f t="shared" ref="M590" ca="1" si="761">M591+M596</f>
        <v>0</v>
      </c>
      <c r="N590" s="238">
        <f t="shared" ref="N590" ca="1" si="762">N591+N596</f>
        <v>0</v>
      </c>
      <c r="O590" s="238">
        <f t="shared" ref="O590" ca="1" si="763">O591+O596</f>
        <v>0</v>
      </c>
      <c r="P590" s="238">
        <f t="shared" ref="P590" ca="1" si="764">P591+P596</f>
        <v>0</v>
      </c>
      <c r="Q590" s="238">
        <f t="shared" ref="Q590:R590" ca="1" si="765">Q591+Q596</f>
        <v>0</v>
      </c>
      <c r="R590" s="238">
        <f t="shared" ca="1" si="765"/>
        <v>0</v>
      </c>
    </row>
    <row r="591" spans="1:18" x14ac:dyDescent="0.25">
      <c r="A591" s="240" t="s">
        <v>513</v>
      </c>
      <c r="B591" s="240" t="s">
        <v>514</v>
      </c>
      <c r="C591" s="241"/>
      <c r="D591" s="242">
        <f ca="1">SUM(D592:D595)</f>
        <v>0</v>
      </c>
      <c r="E591" s="242">
        <f t="shared" ref="E591" ca="1" si="766">SUM(E592:E595)</f>
        <v>0</v>
      </c>
      <c r="F591" s="242">
        <f t="shared" ref="F591" ca="1" si="767">SUM(F592:F595)</f>
        <v>0</v>
      </c>
      <c r="G591" s="242">
        <f t="shared" ref="G591" ca="1" si="768">SUM(G592:G595)</f>
        <v>0</v>
      </c>
      <c r="H591" s="242">
        <f t="shared" ref="H591" ca="1" si="769">SUM(H592:H595)</f>
        <v>0</v>
      </c>
      <c r="I591" s="242">
        <f t="shared" ref="I591" ca="1" si="770">SUM(I592:I595)</f>
        <v>0</v>
      </c>
      <c r="J591" s="242">
        <f t="shared" ref="J591" ca="1" si="771">SUM(J592:J595)</f>
        <v>0</v>
      </c>
      <c r="K591" s="242">
        <f t="shared" ref="K591" ca="1" si="772">SUM(K592:K595)</f>
        <v>0</v>
      </c>
      <c r="L591" s="242">
        <f t="shared" ref="L591" ca="1" si="773">SUM(L592:L595)</f>
        <v>0</v>
      </c>
      <c r="M591" s="242">
        <f t="shared" ref="M591" ca="1" si="774">SUM(M592:M595)</f>
        <v>0</v>
      </c>
      <c r="N591" s="242">
        <f t="shared" ref="N591" ca="1" si="775">SUM(N592:N595)</f>
        <v>0</v>
      </c>
      <c r="O591" s="242">
        <f t="shared" ref="O591" ca="1" si="776">SUM(O592:O595)</f>
        <v>0</v>
      </c>
      <c r="P591" s="242">
        <f t="shared" ref="P591" ca="1" si="777">SUM(P592:P595)</f>
        <v>0</v>
      </c>
      <c r="Q591" s="242">
        <f t="shared" ref="Q591:R591" ca="1" si="778">SUM(Q592:Q595)</f>
        <v>0</v>
      </c>
      <c r="R591" s="242">
        <f t="shared" ca="1" si="778"/>
        <v>0</v>
      </c>
    </row>
    <row r="592" spans="1:18" outlineLevel="1" x14ac:dyDescent="0.25">
      <c r="A592" s="243" t="s">
        <v>515</v>
      </c>
      <c r="B592" s="243" t="s">
        <v>516</v>
      </c>
      <c r="C592" s="244" t="s">
        <v>482</v>
      </c>
      <c r="D59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59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59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59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59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59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59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59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59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59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59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59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59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59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  <c r="R592" s="245">
        <f ca="1">SUMIFS(rec.uni[2026-03-01],
INDIRECT("rec.uni[natureza]"),"repasse.cef.obra",
INDIRECT("rec.uni[empresa]"),$A$289)+
SUMIFS(rec.uni[2026-03-01],
INDIRECT("rec.uni[natureza]"),"repasse.cef.terreno",
INDIRECT("rec.uni[empresa]"),$A$289)</f>
        <v>0</v>
      </c>
    </row>
    <row r="593" spans="1:18" outlineLevel="1" x14ac:dyDescent="0.25">
      <c r="A593" s="243" t="s">
        <v>521</v>
      </c>
      <c r="B593" s="243" t="s">
        <v>21</v>
      </c>
      <c r="C593" s="244" t="s">
        <v>522</v>
      </c>
      <c r="D593" s="245">
        <f ca="1">SUMIFS(rec.uni[2025-01-01],
INDIRECT("rec.uni[natureza]"),"pro.soluto",
INDIRECT("rec.uni[empresa]"),$A$289)</f>
        <v>0</v>
      </c>
      <c r="E593" s="245">
        <f ca="1">SUMIFS(rec.uni[2025-02-01],
INDIRECT("rec.uni[natureza]"),"pro.soluto",
INDIRECT("rec.uni[empresa]"),$A$289)</f>
        <v>0</v>
      </c>
      <c r="F593" s="245">
        <f ca="1">SUMIFS(rec.uni[2025-03-01],
INDIRECT("rec.uni[natureza]"),"pro.soluto",
INDIRECT("rec.uni[empresa]"),$A$289)</f>
        <v>0</v>
      </c>
      <c r="G593" s="245">
        <f ca="1">SUMIFS(rec.uni[2025-04-01],
INDIRECT("rec.uni[natureza]"),"pro.soluto",
INDIRECT("rec.uni[empresa]"),$A$289)</f>
        <v>0</v>
      </c>
      <c r="H593" s="245">
        <f ca="1">SUMIFS(rec.uni[2025-05-01],
INDIRECT("rec.uni[natureza]"),"pro.soluto",
INDIRECT("rec.uni[empresa]"),$A$289)</f>
        <v>0</v>
      </c>
      <c r="I593" s="245">
        <f ca="1">SUMIFS(rec.uni[2025-06-01],
INDIRECT("rec.uni[natureza]"),"pro.soluto",
INDIRECT("rec.uni[empresa]"),$A$289)</f>
        <v>0</v>
      </c>
      <c r="J593" s="245">
        <f ca="1">SUMIFS(rec.uni[2025-07-01],
INDIRECT("rec.uni[natureza]"),"pro.soluto",
INDIRECT("rec.uni[empresa]"),$A$289)</f>
        <v>0</v>
      </c>
      <c r="K593" s="245">
        <f ca="1">SUMIFS(rec.uni[2025-08-01],
INDIRECT("rec.uni[natureza]"),"pro.soluto",
INDIRECT("rec.uni[empresa]"),$A$289)</f>
        <v>0</v>
      </c>
      <c r="L593" s="245">
        <f ca="1">SUMIFS(rec.uni[2025-09-01],
INDIRECT("rec.uni[natureza]"),"pro.soluto",
INDIRECT("rec.uni[empresa]"),$A$289)</f>
        <v>0</v>
      </c>
      <c r="M593" s="245">
        <f ca="1">SUMIFS(rec.uni[2025-10-01],
INDIRECT("rec.uni[natureza]"),"pro.soluto",
INDIRECT("rec.uni[empresa]"),$A$289)</f>
        <v>0</v>
      </c>
      <c r="N593" s="245">
        <f ca="1">SUMIFS(rec.uni[2025-11-01],
INDIRECT("rec.uni[natureza]"),"pro.soluto",
INDIRECT("rec.uni[empresa]"),$A$289)</f>
        <v>0</v>
      </c>
      <c r="O593" s="245">
        <f ca="1">SUMIFS(rec.uni[2025-12-01],
INDIRECT("rec.uni[natureza]"),"pro.soluto",
INDIRECT("rec.uni[empresa]"),$A$289)</f>
        <v>0</v>
      </c>
      <c r="P593" s="245">
        <f ca="1">SUMIFS(rec.uni[2026-01-01],
INDIRECT("rec.uni[natureza]"),"pro.soluto",
INDIRECT("rec.uni[empresa]"),$A$289)</f>
        <v>0</v>
      </c>
      <c r="Q593" s="245">
        <f ca="1">SUMIFS(rec.uni[2026-02-01],
INDIRECT("rec.uni[natureza]"),"pro.soluto",
INDIRECT("rec.uni[empresa]"),$A$289)</f>
        <v>0</v>
      </c>
      <c r="R593" s="245">
        <f ca="1">SUMIFS(rec.uni[2026-03-01],
INDIRECT("rec.uni[natureza]"),"pro.soluto",
INDIRECT("rec.uni[empresa]"),$A$289)</f>
        <v>0</v>
      </c>
    </row>
    <row r="594" spans="1:18" outlineLevel="1" x14ac:dyDescent="0.25">
      <c r="A594" s="243" t="s">
        <v>530</v>
      </c>
      <c r="B594" s="243" t="s">
        <v>531</v>
      </c>
      <c r="C594" s="244" t="s">
        <v>522</v>
      </c>
      <c r="D594" s="245">
        <f ca="1">SUMIFS(rec.uni[2025-01-01],
INDIRECT("rec.uni[natureza]"),"taxa.extra",
INDIRECT("rec.uni[empresa]"),$A$289)</f>
        <v>0</v>
      </c>
      <c r="E594" s="245">
        <f ca="1">SUMIFS(rec.uni[2025-02-01],
INDIRECT("rec.uni[natureza]"),"taxa.extra",
INDIRECT("rec.uni[empresa]"),$A$289)</f>
        <v>0</v>
      </c>
      <c r="F594" s="245">
        <f ca="1">SUMIFS(rec.uni[2025-03-01],
INDIRECT("rec.uni[natureza]"),"taxa.extra",
INDIRECT("rec.uni[empresa]"),$A$289)</f>
        <v>0</v>
      </c>
      <c r="G594" s="245">
        <f ca="1">SUMIFS(rec.uni[2025-04-01],
INDIRECT("rec.uni[natureza]"),"taxa.extra",
INDIRECT("rec.uni[empresa]"),$A$289)</f>
        <v>0</v>
      </c>
      <c r="H594" s="245">
        <f ca="1">SUMIFS(rec.uni[2025-05-01],
INDIRECT("rec.uni[natureza]"),"taxa.extra",
INDIRECT("rec.uni[empresa]"),$A$289)</f>
        <v>0</v>
      </c>
      <c r="I594" s="245">
        <f ca="1">SUMIFS(rec.uni[2025-06-01],
INDIRECT("rec.uni[natureza]"),"taxa.extra",
INDIRECT("rec.uni[empresa]"),$A$289)</f>
        <v>0</v>
      </c>
      <c r="J594" s="245">
        <f ca="1">SUMIFS(rec.uni[2025-07-01],
INDIRECT("rec.uni[natureza]"),"taxa.extra",
INDIRECT("rec.uni[empresa]"),$A$289)</f>
        <v>0</v>
      </c>
      <c r="K594" s="245">
        <f ca="1">SUMIFS(rec.uni[2025-08-01],
INDIRECT("rec.uni[natureza]"),"taxa.extra",
INDIRECT("rec.uni[empresa]"),$A$289)</f>
        <v>0</v>
      </c>
      <c r="L594" s="245">
        <f ca="1">SUMIFS(rec.uni[2025-09-01],
INDIRECT("rec.uni[natureza]"),"taxa.extra",
INDIRECT("rec.uni[empresa]"),$A$289)</f>
        <v>0</v>
      </c>
      <c r="M594" s="245">
        <f ca="1">SUMIFS(rec.uni[2025-10-01],
INDIRECT("rec.uni[natureza]"),"taxa.extra",
INDIRECT("rec.uni[empresa]"),$A$289)</f>
        <v>0</v>
      </c>
      <c r="N594" s="245">
        <f ca="1">SUMIFS(rec.uni[2025-11-01],
INDIRECT("rec.uni[natureza]"),"taxa.extra",
INDIRECT("rec.uni[empresa]"),$A$289)</f>
        <v>0</v>
      </c>
      <c r="O594" s="245">
        <f ca="1">SUMIFS(rec.uni[2025-12-01],
INDIRECT("rec.uni[natureza]"),"taxa.extra",
INDIRECT("rec.uni[empresa]"),$A$289)</f>
        <v>0</v>
      </c>
      <c r="P594" s="245">
        <f ca="1">SUMIFS(rec.uni[2026-01-01],
INDIRECT("rec.uni[natureza]"),"taxa.extra",
INDIRECT("rec.uni[empresa]"),$A$289)</f>
        <v>0</v>
      </c>
      <c r="Q594" s="245">
        <f ca="1">SUMIFS(rec.uni[2026-02-01],
INDIRECT("rec.uni[natureza]"),"taxa.extra",
INDIRECT("rec.uni[empresa]"),$A$289)</f>
        <v>0</v>
      </c>
      <c r="R594" s="245">
        <f ca="1">SUMIFS(rec.uni[2026-03-01],
INDIRECT("rec.uni[natureza]"),"taxa.extra",
INDIRECT("rec.uni[empresa]"),$A$289)</f>
        <v>0</v>
      </c>
    </row>
    <row r="595" spans="1:18" outlineLevel="1" x14ac:dyDescent="0.25">
      <c r="A595" s="243" t="s">
        <v>539</v>
      </c>
      <c r="B595" s="243" t="s">
        <v>540</v>
      </c>
      <c r="C595" s="244" t="s">
        <v>27</v>
      </c>
      <c r="D595" s="245">
        <v>0</v>
      </c>
      <c r="E595" s="245">
        <v>0</v>
      </c>
      <c r="F595" s="245">
        <v>0</v>
      </c>
      <c r="G595" s="245">
        <v>0</v>
      </c>
      <c r="H595" s="245">
        <v>0</v>
      </c>
      <c r="I595" s="245">
        <v>0</v>
      </c>
      <c r="J595" s="245">
        <v>0</v>
      </c>
      <c r="K595" s="245">
        <v>0</v>
      </c>
      <c r="L595" s="245">
        <v>0</v>
      </c>
      <c r="M595" s="245">
        <v>0</v>
      </c>
      <c r="N595" s="245">
        <v>0</v>
      </c>
      <c r="O595" s="245">
        <v>0</v>
      </c>
      <c r="P595" s="245">
        <v>0</v>
      </c>
      <c r="Q595" s="245">
        <v>0</v>
      </c>
      <c r="R595" s="245">
        <v>0</v>
      </c>
    </row>
    <row r="596" spans="1:18" x14ac:dyDescent="0.25">
      <c r="A596" s="249" t="s">
        <v>542</v>
      </c>
      <c r="B596" s="249" t="s">
        <v>543</v>
      </c>
      <c r="C596" s="250" t="s">
        <v>522</v>
      </c>
      <c r="D596" s="251">
        <f>SUM(D597:D614)</f>
        <v>0</v>
      </c>
      <c r="E596" s="251">
        <f t="shared" ref="E596" si="779">SUM(E597:E614)</f>
        <v>0</v>
      </c>
      <c r="F596" s="251">
        <f t="shared" ref="F596" si="780">SUM(F597:F614)</f>
        <v>0</v>
      </c>
      <c r="G596" s="251">
        <f t="shared" ref="G596" si="781">SUM(G597:G614)</f>
        <v>0</v>
      </c>
      <c r="H596" s="251">
        <f t="shared" ref="H596" si="782">SUM(H597:H614)</f>
        <v>0</v>
      </c>
      <c r="I596" s="251">
        <f t="shared" ref="I596" si="783">SUM(I597:I614)</f>
        <v>0</v>
      </c>
      <c r="J596" s="251">
        <f t="shared" ref="J596" si="784">SUM(J597:J614)</f>
        <v>0</v>
      </c>
      <c r="K596" s="251">
        <f t="shared" ref="K596" si="785">SUM(K597:K614)</f>
        <v>0</v>
      </c>
      <c r="L596" s="251">
        <f t="shared" ref="L596" si="786">SUM(L597:L614)</f>
        <v>0</v>
      </c>
      <c r="M596" s="251">
        <f t="shared" ref="M596" si="787">SUM(M597:M614)</f>
        <v>0</v>
      </c>
      <c r="N596" s="251">
        <f t="shared" ref="N596" si="788">SUM(N597:N614)</f>
        <v>0</v>
      </c>
      <c r="O596" s="251">
        <f t="shared" ref="O596" si="789">SUM(O597:O614)</f>
        <v>0</v>
      </c>
      <c r="P596" s="251">
        <f t="shared" ref="P596" si="790">SUM(P597:P614)</f>
        <v>0</v>
      </c>
      <c r="Q596" s="251">
        <f t="shared" ref="Q596:R596" si="791">SUM(Q597:Q614)</f>
        <v>0</v>
      </c>
      <c r="R596" s="251">
        <f t="shared" si="791"/>
        <v>0</v>
      </c>
    </row>
    <row r="597" spans="1:18" outlineLevel="1" x14ac:dyDescent="0.25">
      <c r="A597" s="243" t="s">
        <v>544</v>
      </c>
      <c r="B597" s="243" t="s">
        <v>358</v>
      </c>
      <c r="C597" s="244" t="s">
        <v>522</v>
      </c>
      <c r="D597" s="245" cm="1">
        <f t="array" ref="D597">-SUMPRODUCT(
  desp[data.vencimento] *
  (desp[classificacao]=$B$289) *
  (desp[centro.negocio]=$B597) *
  (desp[parcela]&gt;=D$1) *
  (desp[parcela]&lt;EOMONTH(D$1,0)+1)
)</f>
        <v>0</v>
      </c>
      <c r="E597" s="245" cm="1">
        <f t="array" ref="E597">-SUMPRODUCT(
  desp[data.vencimento] *
  (desp[classificacao]=$B$289) *
  (desp[centro.negocio]=$B597) *
  (desp[parcela]&gt;=E$1) *
  (desp[parcela]&lt;EOMONTH(E$1,0)+1)
)</f>
        <v>0</v>
      </c>
      <c r="F597" s="245" cm="1">
        <f t="array" ref="F597">-SUMPRODUCT(
  desp[data.vencimento] *
  (desp[classificacao]=$B$289) *
  (desp[centro.negocio]=$B597) *
  (desp[parcela]&gt;=F$1) *
  (desp[parcela]&lt;EOMONTH(F$1,0)+1)
)</f>
        <v>0</v>
      </c>
      <c r="G597" s="245" cm="1">
        <f t="array" ref="G597">-SUMPRODUCT(
  desp[data.vencimento] *
  (desp[classificacao]=$B$289) *
  (desp[centro.negocio]=$B597) *
  (desp[parcela]&gt;=G$1) *
  (desp[parcela]&lt;EOMONTH(G$1,0)+1)
)</f>
        <v>0</v>
      </c>
      <c r="H597" s="245" cm="1">
        <f t="array" ref="H597">-SUMPRODUCT(
  desp[data.vencimento] *
  (desp[classificacao]=$B$289) *
  (desp[centro.negocio]=$B597) *
  (desp[parcela]&gt;=H$1) *
  (desp[parcela]&lt;EOMONTH(H$1,0)+1)
)</f>
        <v>0</v>
      </c>
      <c r="I597" s="245" cm="1">
        <f t="array" ref="I597">-SUMPRODUCT(
  desp[data.vencimento] *
  (desp[classificacao]=$B$289) *
  (desp[centro.negocio]=$B597) *
  (desp[parcela]&gt;=I$1) *
  (desp[parcela]&lt;EOMONTH(I$1,0)+1)
)</f>
        <v>0</v>
      </c>
      <c r="J597" s="245" cm="1">
        <f t="array" ref="J597">-SUMPRODUCT(
  desp[data.vencimento] *
  (desp[classificacao]=$B$289) *
  (desp[centro.negocio]=$B597) *
  (desp[parcela]&gt;=J$1) *
  (desp[parcela]&lt;EOMONTH(J$1,0)+1)
)</f>
        <v>0</v>
      </c>
      <c r="K597" s="245" cm="1">
        <f t="array" ref="K597">-SUMPRODUCT(
  desp[data.vencimento] *
  (desp[classificacao]=$B$289) *
  (desp[centro.negocio]=$B597) *
  (desp[parcela]&gt;=K$1) *
  (desp[parcela]&lt;EOMONTH(K$1,0)+1)
)</f>
        <v>0</v>
      </c>
      <c r="L597" s="245" cm="1">
        <f t="array" ref="L597">-SUMPRODUCT(
  desp[data.vencimento] *
  (desp[classificacao]=$B$289) *
  (desp[centro.negocio]=$B597) *
  (desp[parcela]&gt;=L$1) *
  (desp[parcela]&lt;EOMONTH(L$1,0)+1)
)</f>
        <v>0</v>
      </c>
      <c r="M597" s="245" cm="1">
        <f t="array" ref="M597">-SUMPRODUCT(
  desp[data.vencimento] *
  (desp[classificacao]=$B$289) *
  (desp[centro.negocio]=$B597) *
  (desp[parcela]&gt;=M$1) *
  (desp[parcela]&lt;EOMONTH(M$1,0)+1)
)</f>
        <v>0</v>
      </c>
      <c r="N597" s="245" cm="1">
        <f t="array" ref="N597">-SUMPRODUCT(
  desp[data.vencimento] *
  (desp[classificacao]=$B$289) *
  (desp[centro.negocio]=$B597) *
  (desp[parcela]&gt;=N$1) *
  (desp[parcela]&lt;EOMONTH(N$1,0)+1)
)</f>
        <v>0</v>
      </c>
      <c r="O597" s="245" cm="1">
        <f t="array" ref="O597">-SUMPRODUCT(
  desp[data.vencimento] *
  (desp[classificacao]=$B$289) *
  (desp[centro.negocio]=$B597) *
  (desp[parcela]&gt;=O$1) *
  (desp[parcela]&lt;EOMONTH(O$1,0)+1)
)</f>
        <v>0</v>
      </c>
      <c r="P597" s="245" cm="1">
        <f t="array" ref="P597">-SUMPRODUCT(
  desp[data.vencimento] *
  (desp[classificacao]=$B$289) *
  (desp[centro.negocio]=$B597) *
  (desp[parcela]&gt;=P$1) *
  (desp[parcela]&lt;EOMONTH(P$1,0)+1)
)</f>
        <v>0</v>
      </c>
      <c r="Q597" s="245" cm="1">
        <f t="array" ref="Q597">-SUMPRODUCT(
  desp[data.vencimento] *
  (desp[classificacao]=$B$289) *
  (desp[centro.negocio]=$B597) *
  (desp[parcela]&gt;=Q$1) *
  (desp[parcela]&lt;EOMONTH(Q$1,0)+1)
)</f>
        <v>0</v>
      </c>
      <c r="R597" s="245" cm="1">
        <f t="array" ref="R597">-SUMPRODUCT(
  desp[data.vencimento] *
  (desp[classificacao]=$B$289) *
  (desp[centro.negocio]=$B597) *
  (desp[parcela]&gt;=R$1) *
  (desp[parcela]&lt;EOMONTH(R$1,0)+1)
)</f>
        <v>0</v>
      </c>
    </row>
    <row r="598" spans="1:18" outlineLevel="1" x14ac:dyDescent="0.25">
      <c r="A598" s="243" t="s">
        <v>565</v>
      </c>
      <c r="B598" s="243" t="s">
        <v>398</v>
      </c>
      <c r="C598" s="244" t="s">
        <v>522</v>
      </c>
      <c r="D598" s="245" cm="1">
        <f t="array" ref="D598">-SUMPRODUCT(
  desp[data.vencimento] *
  (desp[classificacao]=$B$289) *
  (desp[centro.negocio]=$B598) *
  (desp[parcela]&gt;=D$1) *
  (desp[parcela]&lt;EOMONTH(D$1,0)+1)
)</f>
        <v>0</v>
      </c>
      <c r="E598" s="245" cm="1">
        <f t="array" ref="E598">-SUMPRODUCT(
  desp[data.vencimento] *
  (desp[classificacao]=$B$289) *
  (desp[centro.negocio]=$B598) *
  (desp[parcela]&gt;=E$1) *
  (desp[parcela]&lt;EOMONTH(E$1,0)+1)
)</f>
        <v>0</v>
      </c>
      <c r="F598" s="245" cm="1">
        <f t="array" ref="F598">-SUMPRODUCT(
  desp[data.vencimento] *
  (desp[classificacao]=$B$289) *
  (desp[centro.negocio]=$B598) *
  (desp[parcela]&gt;=F$1) *
  (desp[parcela]&lt;EOMONTH(F$1,0)+1)
)</f>
        <v>0</v>
      </c>
      <c r="G598" s="245" cm="1">
        <f t="array" ref="G598">-SUMPRODUCT(
  desp[data.vencimento] *
  (desp[classificacao]=$B$289) *
  (desp[centro.negocio]=$B598) *
  (desp[parcela]&gt;=G$1) *
  (desp[parcela]&lt;EOMONTH(G$1,0)+1)
)</f>
        <v>0</v>
      </c>
      <c r="H598" s="245" cm="1">
        <f t="array" ref="H598">-SUMPRODUCT(
  desp[data.vencimento] *
  (desp[classificacao]=$B$289) *
  (desp[centro.negocio]=$B598) *
  (desp[parcela]&gt;=H$1) *
  (desp[parcela]&lt;EOMONTH(H$1,0)+1)
)</f>
        <v>0</v>
      </c>
      <c r="I598" s="245" cm="1">
        <f t="array" ref="I598">-SUMPRODUCT(
  desp[data.vencimento] *
  (desp[classificacao]=$B$289) *
  (desp[centro.negocio]=$B598) *
  (desp[parcela]&gt;=I$1) *
  (desp[parcela]&lt;EOMONTH(I$1,0)+1)
)</f>
        <v>0</v>
      </c>
      <c r="J598" s="245" cm="1">
        <f t="array" ref="J598">-SUMPRODUCT(
  desp[data.vencimento] *
  (desp[classificacao]=$B$289) *
  (desp[centro.negocio]=$B598) *
  (desp[parcela]&gt;=J$1) *
  (desp[parcela]&lt;EOMONTH(J$1,0)+1)
)</f>
        <v>0</v>
      </c>
      <c r="K598" s="245" cm="1">
        <f t="array" ref="K598">-SUMPRODUCT(
  desp[data.vencimento] *
  (desp[classificacao]=$B$289) *
  (desp[centro.negocio]=$B598) *
  (desp[parcela]&gt;=K$1) *
  (desp[parcela]&lt;EOMONTH(K$1,0)+1)
)</f>
        <v>0</v>
      </c>
      <c r="L598" s="245" cm="1">
        <f t="array" ref="L598">-SUMPRODUCT(
  desp[data.vencimento] *
  (desp[classificacao]=$B$289) *
  (desp[centro.negocio]=$B598) *
  (desp[parcela]&gt;=L$1) *
  (desp[parcela]&lt;EOMONTH(L$1,0)+1)
)</f>
        <v>0</v>
      </c>
      <c r="M598" s="245" cm="1">
        <f t="array" ref="M598">-SUMPRODUCT(
  desp[data.vencimento] *
  (desp[classificacao]=$B$289) *
  (desp[centro.negocio]=$B598) *
  (desp[parcela]&gt;=M$1) *
  (desp[parcela]&lt;EOMONTH(M$1,0)+1)
)</f>
        <v>0</v>
      </c>
      <c r="N598" s="245" cm="1">
        <f t="array" ref="N598">-SUMPRODUCT(
  desp[data.vencimento] *
  (desp[classificacao]=$B$289) *
  (desp[centro.negocio]=$B598) *
  (desp[parcela]&gt;=N$1) *
  (desp[parcela]&lt;EOMONTH(N$1,0)+1)
)</f>
        <v>0</v>
      </c>
      <c r="O598" s="245" cm="1">
        <f t="array" ref="O598">-SUMPRODUCT(
  desp[data.vencimento] *
  (desp[classificacao]=$B$289) *
  (desp[centro.negocio]=$B598) *
  (desp[parcela]&gt;=O$1) *
  (desp[parcela]&lt;EOMONTH(O$1,0)+1)
)</f>
        <v>0</v>
      </c>
      <c r="P598" s="245" cm="1">
        <f t="array" ref="P598">-SUMPRODUCT(
  desp[data.vencimento] *
  (desp[classificacao]=$B$289) *
  (desp[centro.negocio]=$B598) *
  (desp[parcela]&gt;=P$1) *
  (desp[parcela]&lt;EOMONTH(P$1,0)+1)
)</f>
        <v>0</v>
      </c>
      <c r="Q598" s="245" cm="1">
        <f t="array" ref="Q598">-SUMPRODUCT(
  desp[data.vencimento] *
  (desp[classificacao]=$B$289) *
  (desp[centro.negocio]=$B598) *
  (desp[parcela]&gt;=Q$1) *
  (desp[parcela]&lt;EOMONTH(Q$1,0)+1)
)</f>
        <v>0</v>
      </c>
      <c r="R598" s="245" cm="1">
        <f t="array" ref="R598">-SUMPRODUCT(
  desp[data.vencimento] *
  (desp[classificacao]=$B$289) *
  (desp[centro.negocio]=$B598) *
  (desp[parcela]&gt;=R$1) *
  (desp[parcela]&lt;EOMONTH(R$1,0)+1)
)</f>
        <v>0</v>
      </c>
    </row>
    <row r="599" spans="1:18" outlineLevel="1" x14ac:dyDescent="0.25">
      <c r="A599" s="243" t="s">
        <v>573</v>
      </c>
      <c r="B599" s="243" t="s">
        <v>356</v>
      </c>
      <c r="C599" s="244" t="s">
        <v>522</v>
      </c>
      <c r="D599" s="245" cm="1">
        <f t="array" ref="D599">-SUMPRODUCT(
  desp[data.vencimento] *
  (desp[classificacao]=$B$289) *
  (desp[centro.negocio]=$B599) *
  (desp[parcela]&gt;=D$1) *
  (desp[parcela]&lt;EOMONTH(D$1,0)+1)
)</f>
        <v>0</v>
      </c>
      <c r="E599" s="245" cm="1">
        <f t="array" ref="E599">-SUMPRODUCT(
  desp[data.vencimento] *
  (desp[classificacao]=$B$289) *
  (desp[centro.negocio]=$B599) *
  (desp[parcela]&gt;=E$1) *
  (desp[parcela]&lt;EOMONTH(E$1,0)+1)
)</f>
        <v>0</v>
      </c>
      <c r="F599" s="245" cm="1">
        <f t="array" ref="F599">-SUMPRODUCT(
  desp[data.vencimento] *
  (desp[classificacao]=$B$289) *
  (desp[centro.negocio]=$B599) *
  (desp[parcela]&gt;=F$1) *
  (desp[parcela]&lt;EOMONTH(F$1,0)+1)
)</f>
        <v>0</v>
      </c>
      <c r="G599" s="245" cm="1">
        <f t="array" ref="G599">-SUMPRODUCT(
  desp[data.vencimento] *
  (desp[classificacao]=$B$289) *
  (desp[centro.negocio]=$B599) *
  (desp[parcela]&gt;=G$1) *
  (desp[parcela]&lt;EOMONTH(G$1,0)+1)
)</f>
        <v>0</v>
      </c>
      <c r="H599" s="245" cm="1">
        <f t="array" ref="H599">-SUMPRODUCT(
  desp[data.vencimento] *
  (desp[classificacao]=$B$289) *
  (desp[centro.negocio]=$B599) *
  (desp[parcela]&gt;=H$1) *
  (desp[parcela]&lt;EOMONTH(H$1,0)+1)
)</f>
        <v>0</v>
      </c>
      <c r="I599" s="245" cm="1">
        <f t="array" ref="I599">-SUMPRODUCT(
  desp[data.vencimento] *
  (desp[classificacao]=$B$289) *
  (desp[centro.negocio]=$B599) *
  (desp[parcela]&gt;=I$1) *
  (desp[parcela]&lt;EOMONTH(I$1,0)+1)
)</f>
        <v>0</v>
      </c>
      <c r="J599" s="245" cm="1">
        <f t="array" ref="J599">-SUMPRODUCT(
  desp[data.vencimento] *
  (desp[classificacao]=$B$289) *
  (desp[centro.negocio]=$B599) *
  (desp[parcela]&gt;=J$1) *
  (desp[parcela]&lt;EOMONTH(J$1,0)+1)
)</f>
        <v>0</v>
      </c>
      <c r="K599" s="245" cm="1">
        <f t="array" ref="K599">-SUMPRODUCT(
  desp[data.vencimento] *
  (desp[classificacao]=$B$289) *
  (desp[centro.negocio]=$B599) *
  (desp[parcela]&gt;=K$1) *
  (desp[parcela]&lt;EOMONTH(K$1,0)+1)
)</f>
        <v>0</v>
      </c>
      <c r="L599" s="245" cm="1">
        <f t="array" ref="L599">-SUMPRODUCT(
  desp[data.vencimento] *
  (desp[classificacao]=$B$289) *
  (desp[centro.negocio]=$B599) *
  (desp[parcela]&gt;=L$1) *
  (desp[parcela]&lt;EOMONTH(L$1,0)+1)
)</f>
        <v>0</v>
      </c>
      <c r="M599" s="245" cm="1">
        <f t="array" ref="M599">-SUMPRODUCT(
  desp[data.vencimento] *
  (desp[classificacao]=$B$289) *
  (desp[centro.negocio]=$B599) *
  (desp[parcela]&gt;=M$1) *
  (desp[parcela]&lt;EOMONTH(M$1,0)+1)
)</f>
        <v>0</v>
      </c>
      <c r="N599" s="245" cm="1">
        <f t="array" ref="N599">-SUMPRODUCT(
  desp[data.vencimento] *
  (desp[classificacao]=$B$289) *
  (desp[centro.negocio]=$B599) *
  (desp[parcela]&gt;=N$1) *
  (desp[parcela]&lt;EOMONTH(N$1,0)+1)
)</f>
        <v>0</v>
      </c>
      <c r="O599" s="245" cm="1">
        <f t="array" ref="O599">-SUMPRODUCT(
  desp[data.vencimento] *
  (desp[classificacao]=$B$289) *
  (desp[centro.negocio]=$B599) *
  (desp[parcela]&gt;=O$1) *
  (desp[parcela]&lt;EOMONTH(O$1,0)+1)
)</f>
        <v>0</v>
      </c>
      <c r="P599" s="245" cm="1">
        <f t="array" ref="P599">-SUMPRODUCT(
  desp[data.vencimento] *
  (desp[classificacao]=$B$289) *
  (desp[centro.negocio]=$B599) *
  (desp[parcela]&gt;=P$1) *
  (desp[parcela]&lt;EOMONTH(P$1,0)+1)
)</f>
        <v>0</v>
      </c>
      <c r="Q599" s="245" cm="1">
        <f t="array" ref="Q599">-SUMPRODUCT(
  desp[data.vencimento] *
  (desp[classificacao]=$B$289) *
  (desp[centro.negocio]=$B599) *
  (desp[parcela]&gt;=Q$1) *
  (desp[parcela]&lt;EOMONTH(Q$1,0)+1)
)</f>
        <v>0</v>
      </c>
      <c r="R599" s="245" cm="1">
        <f t="array" ref="R599">-SUMPRODUCT(
  desp[data.vencimento] *
  (desp[classificacao]=$B$289) *
  (desp[centro.negocio]=$B599) *
  (desp[parcela]&gt;=R$1) *
  (desp[parcela]&lt;EOMONTH(R$1,0)+1)
)</f>
        <v>0</v>
      </c>
    </row>
    <row r="600" spans="1:18" outlineLevel="1" x14ac:dyDescent="0.25">
      <c r="A600" s="243" t="s">
        <v>589</v>
      </c>
      <c r="B600" s="243" t="s">
        <v>343</v>
      </c>
      <c r="C600" s="244" t="s">
        <v>522</v>
      </c>
      <c r="D600" s="245" cm="1">
        <f t="array" ref="D600">-SUMPRODUCT(
  desp[data.vencimento] *
  (desp[classificacao]=$B$289) *
  (desp[centro.negocio]=$B600) *
  (desp[parcela]&gt;=D$1) *
  (desp[parcela]&lt;EOMONTH(D$1,0)+1)
)</f>
        <v>0</v>
      </c>
      <c r="E600" s="245" cm="1">
        <f t="array" ref="E600">-SUMPRODUCT(
  desp[data.vencimento] *
  (desp[classificacao]=$B$289) *
  (desp[centro.negocio]=$B600) *
  (desp[parcela]&gt;=E$1) *
  (desp[parcela]&lt;EOMONTH(E$1,0)+1)
)</f>
        <v>0</v>
      </c>
      <c r="F600" s="245" cm="1">
        <f t="array" ref="F600">-SUMPRODUCT(
  desp[data.vencimento] *
  (desp[classificacao]=$B$289) *
  (desp[centro.negocio]=$B600) *
  (desp[parcela]&gt;=F$1) *
  (desp[parcela]&lt;EOMONTH(F$1,0)+1)
)</f>
        <v>0</v>
      </c>
      <c r="G600" s="245" cm="1">
        <f t="array" ref="G600">-SUMPRODUCT(
  desp[data.vencimento] *
  (desp[classificacao]=$B$289) *
  (desp[centro.negocio]=$B600) *
  (desp[parcela]&gt;=G$1) *
  (desp[parcela]&lt;EOMONTH(G$1,0)+1)
)</f>
        <v>0</v>
      </c>
      <c r="H600" s="245" cm="1">
        <f t="array" ref="H600">-SUMPRODUCT(
  desp[data.vencimento] *
  (desp[classificacao]=$B$289) *
  (desp[centro.negocio]=$B600) *
  (desp[parcela]&gt;=H$1) *
  (desp[parcela]&lt;EOMONTH(H$1,0)+1)
)</f>
        <v>0</v>
      </c>
      <c r="I600" s="245" cm="1">
        <f t="array" ref="I600">-SUMPRODUCT(
  desp[data.vencimento] *
  (desp[classificacao]=$B$289) *
  (desp[centro.negocio]=$B600) *
  (desp[parcela]&gt;=I$1) *
  (desp[parcela]&lt;EOMONTH(I$1,0)+1)
)</f>
        <v>0</v>
      </c>
      <c r="J600" s="245" cm="1">
        <f t="array" ref="J600">-SUMPRODUCT(
  desp[data.vencimento] *
  (desp[classificacao]=$B$289) *
  (desp[centro.negocio]=$B600) *
  (desp[parcela]&gt;=J$1) *
  (desp[parcela]&lt;EOMONTH(J$1,0)+1)
)</f>
        <v>0</v>
      </c>
      <c r="K600" s="245" cm="1">
        <f t="array" ref="K600">-SUMPRODUCT(
  desp[data.vencimento] *
  (desp[classificacao]=$B$289) *
  (desp[centro.negocio]=$B600) *
  (desp[parcela]&gt;=K$1) *
  (desp[parcela]&lt;EOMONTH(K$1,0)+1)
)</f>
        <v>0</v>
      </c>
      <c r="L600" s="245" cm="1">
        <f t="array" ref="L600">-SUMPRODUCT(
  desp[data.vencimento] *
  (desp[classificacao]=$B$289) *
  (desp[centro.negocio]=$B600) *
  (desp[parcela]&gt;=L$1) *
  (desp[parcela]&lt;EOMONTH(L$1,0)+1)
)</f>
        <v>0</v>
      </c>
      <c r="M600" s="245" cm="1">
        <f t="array" ref="M600">-SUMPRODUCT(
  desp[data.vencimento] *
  (desp[classificacao]=$B$289) *
  (desp[centro.negocio]=$B600) *
  (desp[parcela]&gt;=M$1) *
  (desp[parcela]&lt;EOMONTH(M$1,0)+1)
)</f>
        <v>0</v>
      </c>
      <c r="N600" s="245" cm="1">
        <f t="array" ref="N600">-SUMPRODUCT(
  desp[data.vencimento] *
  (desp[classificacao]=$B$289) *
  (desp[centro.negocio]=$B600) *
  (desp[parcela]&gt;=N$1) *
  (desp[parcela]&lt;EOMONTH(N$1,0)+1)
)</f>
        <v>0</v>
      </c>
      <c r="O600" s="245" cm="1">
        <f t="array" ref="O600">-SUMPRODUCT(
  desp[data.vencimento] *
  (desp[classificacao]=$B$289) *
  (desp[centro.negocio]=$B600) *
  (desp[parcela]&gt;=O$1) *
  (desp[parcela]&lt;EOMONTH(O$1,0)+1)
)</f>
        <v>0</v>
      </c>
      <c r="P600" s="245" cm="1">
        <f t="array" ref="P600">-SUMPRODUCT(
  desp[data.vencimento] *
  (desp[classificacao]=$B$289) *
  (desp[centro.negocio]=$B600) *
  (desp[parcela]&gt;=P$1) *
  (desp[parcela]&lt;EOMONTH(P$1,0)+1)
)</f>
        <v>0</v>
      </c>
      <c r="Q600" s="245" cm="1">
        <f t="array" ref="Q600">-SUMPRODUCT(
  desp[data.vencimento] *
  (desp[classificacao]=$B$289) *
  (desp[centro.negocio]=$B600) *
  (desp[parcela]&gt;=Q$1) *
  (desp[parcela]&lt;EOMONTH(Q$1,0)+1)
)</f>
        <v>0</v>
      </c>
      <c r="R600" s="245" cm="1">
        <f t="array" ref="R600">-SUMPRODUCT(
  desp[data.vencimento] *
  (desp[classificacao]=$B$289) *
  (desp[centro.negocio]=$B600) *
  (desp[parcela]&gt;=R$1) *
  (desp[parcela]&lt;EOMONTH(R$1,0)+1)
)</f>
        <v>0</v>
      </c>
    </row>
    <row r="601" spans="1:18" outlineLevel="1" x14ac:dyDescent="0.25">
      <c r="A601" s="243" t="s">
        <v>591</v>
      </c>
      <c r="B601" s="243" t="s">
        <v>380</v>
      </c>
      <c r="C601" s="244" t="s">
        <v>522</v>
      </c>
      <c r="D601" s="245" cm="1">
        <f t="array" ref="D601">-SUMPRODUCT(
  desp[data.vencimento] *
  (desp[classificacao]=$B$289) *
  (desp[centro.negocio]=$B601) *
  (desp[parcela]&gt;=D$1) *
  (desp[parcela]&lt;EOMONTH(D$1,0)+1)
)</f>
        <v>0</v>
      </c>
      <c r="E601" s="245" cm="1">
        <f t="array" ref="E601">-SUMPRODUCT(
  desp[data.vencimento] *
  (desp[classificacao]=$B$289) *
  (desp[centro.negocio]=$B601) *
  (desp[parcela]&gt;=E$1) *
  (desp[parcela]&lt;EOMONTH(E$1,0)+1)
)</f>
        <v>0</v>
      </c>
      <c r="F601" s="245" cm="1">
        <f t="array" ref="F601">-SUMPRODUCT(
  desp[data.vencimento] *
  (desp[classificacao]=$B$289) *
  (desp[centro.negocio]=$B601) *
  (desp[parcela]&gt;=F$1) *
  (desp[parcela]&lt;EOMONTH(F$1,0)+1)
)</f>
        <v>0</v>
      </c>
      <c r="G601" s="245" cm="1">
        <f t="array" ref="G601">-SUMPRODUCT(
  desp[data.vencimento] *
  (desp[classificacao]=$B$289) *
  (desp[centro.negocio]=$B601) *
  (desp[parcela]&gt;=G$1) *
  (desp[parcela]&lt;EOMONTH(G$1,0)+1)
)</f>
        <v>0</v>
      </c>
      <c r="H601" s="245" cm="1">
        <f t="array" ref="H601">-SUMPRODUCT(
  desp[data.vencimento] *
  (desp[classificacao]=$B$289) *
  (desp[centro.negocio]=$B601) *
  (desp[parcela]&gt;=H$1) *
  (desp[parcela]&lt;EOMONTH(H$1,0)+1)
)</f>
        <v>0</v>
      </c>
      <c r="I601" s="245" cm="1">
        <f t="array" ref="I601">-SUMPRODUCT(
  desp[data.vencimento] *
  (desp[classificacao]=$B$289) *
  (desp[centro.negocio]=$B601) *
  (desp[parcela]&gt;=I$1) *
  (desp[parcela]&lt;EOMONTH(I$1,0)+1)
)</f>
        <v>0</v>
      </c>
      <c r="J601" s="245" cm="1">
        <f t="array" ref="J601">-SUMPRODUCT(
  desp[data.vencimento] *
  (desp[classificacao]=$B$289) *
  (desp[centro.negocio]=$B601) *
  (desp[parcela]&gt;=J$1) *
  (desp[parcela]&lt;EOMONTH(J$1,0)+1)
)</f>
        <v>0</v>
      </c>
      <c r="K601" s="245" cm="1">
        <f t="array" ref="K601">-SUMPRODUCT(
  desp[data.vencimento] *
  (desp[classificacao]=$B$289) *
  (desp[centro.negocio]=$B601) *
  (desp[parcela]&gt;=K$1) *
  (desp[parcela]&lt;EOMONTH(K$1,0)+1)
)</f>
        <v>0</v>
      </c>
      <c r="L601" s="245" cm="1">
        <f t="array" ref="L601">-SUMPRODUCT(
  desp[data.vencimento] *
  (desp[classificacao]=$B$289) *
  (desp[centro.negocio]=$B601) *
  (desp[parcela]&gt;=L$1) *
  (desp[parcela]&lt;EOMONTH(L$1,0)+1)
)</f>
        <v>0</v>
      </c>
      <c r="M601" s="245" cm="1">
        <f t="array" ref="M601">-SUMPRODUCT(
  desp[data.vencimento] *
  (desp[classificacao]=$B$289) *
  (desp[centro.negocio]=$B601) *
  (desp[parcela]&gt;=M$1) *
  (desp[parcela]&lt;EOMONTH(M$1,0)+1)
)</f>
        <v>0</v>
      </c>
      <c r="N601" s="245" cm="1">
        <f t="array" ref="N601">-SUMPRODUCT(
  desp[data.vencimento] *
  (desp[classificacao]=$B$289) *
  (desp[centro.negocio]=$B601) *
  (desp[parcela]&gt;=N$1) *
  (desp[parcela]&lt;EOMONTH(N$1,0)+1)
)</f>
        <v>0</v>
      </c>
      <c r="O601" s="245" cm="1">
        <f t="array" ref="O601">-SUMPRODUCT(
  desp[data.vencimento] *
  (desp[classificacao]=$B$289) *
  (desp[centro.negocio]=$B601) *
  (desp[parcela]&gt;=O$1) *
  (desp[parcela]&lt;EOMONTH(O$1,0)+1)
)</f>
        <v>0</v>
      </c>
      <c r="P601" s="245" cm="1">
        <f t="array" ref="P601">-SUMPRODUCT(
  desp[data.vencimento] *
  (desp[classificacao]=$B$289) *
  (desp[centro.negocio]=$B601) *
  (desp[parcela]&gt;=P$1) *
  (desp[parcela]&lt;EOMONTH(P$1,0)+1)
)</f>
        <v>0</v>
      </c>
      <c r="Q601" s="245" cm="1">
        <f t="array" ref="Q601">-SUMPRODUCT(
  desp[data.vencimento] *
  (desp[classificacao]=$B$289) *
  (desp[centro.negocio]=$B601) *
  (desp[parcela]&gt;=Q$1) *
  (desp[parcela]&lt;EOMONTH(Q$1,0)+1)
)</f>
        <v>0</v>
      </c>
      <c r="R601" s="245" cm="1">
        <f t="array" ref="R601">-SUMPRODUCT(
  desp[data.vencimento] *
  (desp[classificacao]=$B$289) *
  (desp[centro.negocio]=$B601) *
  (desp[parcela]&gt;=R$1) *
  (desp[parcela]&lt;EOMONTH(R$1,0)+1)
)</f>
        <v>0</v>
      </c>
    </row>
    <row r="602" spans="1:18" outlineLevel="1" x14ac:dyDescent="0.25">
      <c r="A602" s="243" t="s">
        <v>597</v>
      </c>
      <c r="B602" s="243" t="s">
        <v>375</v>
      </c>
      <c r="C602" s="244" t="s">
        <v>522</v>
      </c>
      <c r="D602" s="245" cm="1">
        <f t="array" ref="D602">-SUMPRODUCT(
  desp[data.vencimento] *
  (desp[classificacao]=$B$289) *
  (desp[centro.negocio]=$B602) *
  (desp[parcela]&gt;=D$1) *
  (desp[parcela]&lt;EOMONTH(D$1,0)+1)
)</f>
        <v>0</v>
      </c>
      <c r="E602" s="245" cm="1">
        <f t="array" ref="E602">-SUMPRODUCT(
  desp[data.vencimento] *
  (desp[classificacao]=$B$289) *
  (desp[centro.negocio]=$B602) *
  (desp[parcela]&gt;=E$1) *
  (desp[parcela]&lt;EOMONTH(E$1,0)+1)
)</f>
        <v>0</v>
      </c>
      <c r="F602" s="245" cm="1">
        <f t="array" ref="F602">-SUMPRODUCT(
  desp[data.vencimento] *
  (desp[classificacao]=$B$289) *
  (desp[centro.negocio]=$B602) *
  (desp[parcela]&gt;=F$1) *
  (desp[parcela]&lt;EOMONTH(F$1,0)+1)
)</f>
        <v>0</v>
      </c>
      <c r="G602" s="245" cm="1">
        <f t="array" ref="G602">-SUMPRODUCT(
  desp[data.vencimento] *
  (desp[classificacao]=$B$289) *
  (desp[centro.negocio]=$B602) *
  (desp[parcela]&gt;=G$1) *
  (desp[parcela]&lt;EOMONTH(G$1,0)+1)
)</f>
        <v>0</v>
      </c>
      <c r="H602" s="245" cm="1">
        <f t="array" ref="H602">-SUMPRODUCT(
  desp[data.vencimento] *
  (desp[classificacao]=$B$289) *
  (desp[centro.negocio]=$B602) *
  (desp[parcela]&gt;=H$1) *
  (desp[parcela]&lt;EOMONTH(H$1,0)+1)
)</f>
        <v>0</v>
      </c>
      <c r="I602" s="245" cm="1">
        <f t="array" ref="I602">-SUMPRODUCT(
  desp[data.vencimento] *
  (desp[classificacao]=$B$289) *
  (desp[centro.negocio]=$B602) *
  (desp[parcela]&gt;=I$1) *
  (desp[parcela]&lt;EOMONTH(I$1,0)+1)
)</f>
        <v>0</v>
      </c>
      <c r="J602" s="245" cm="1">
        <f t="array" ref="J602">-SUMPRODUCT(
  desp[data.vencimento] *
  (desp[classificacao]=$B$289) *
  (desp[centro.negocio]=$B602) *
  (desp[parcela]&gt;=J$1) *
  (desp[parcela]&lt;EOMONTH(J$1,0)+1)
)</f>
        <v>0</v>
      </c>
      <c r="K602" s="245" cm="1">
        <f t="array" ref="K602">-SUMPRODUCT(
  desp[data.vencimento] *
  (desp[classificacao]=$B$289) *
  (desp[centro.negocio]=$B602) *
  (desp[parcela]&gt;=K$1) *
  (desp[parcela]&lt;EOMONTH(K$1,0)+1)
)</f>
        <v>0</v>
      </c>
      <c r="L602" s="245" cm="1">
        <f t="array" ref="L602">-SUMPRODUCT(
  desp[data.vencimento] *
  (desp[classificacao]=$B$289) *
  (desp[centro.negocio]=$B602) *
  (desp[parcela]&gt;=L$1) *
  (desp[parcela]&lt;EOMONTH(L$1,0)+1)
)</f>
        <v>0</v>
      </c>
      <c r="M602" s="245" cm="1">
        <f t="array" ref="M602">-SUMPRODUCT(
  desp[data.vencimento] *
  (desp[classificacao]=$B$289) *
  (desp[centro.negocio]=$B602) *
  (desp[parcela]&gt;=M$1) *
  (desp[parcela]&lt;EOMONTH(M$1,0)+1)
)</f>
        <v>0</v>
      </c>
      <c r="N602" s="245" cm="1">
        <f t="array" ref="N602">-SUMPRODUCT(
  desp[data.vencimento] *
  (desp[classificacao]=$B$289) *
  (desp[centro.negocio]=$B602) *
  (desp[parcela]&gt;=N$1) *
  (desp[parcela]&lt;EOMONTH(N$1,0)+1)
)</f>
        <v>0</v>
      </c>
      <c r="O602" s="245" cm="1">
        <f t="array" ref="O602">-SUMPRODUCT(
  desp[data.vencimento] *
  (desp[classificacao]=$B$289) *
  (desp[centro.negocio]=$B602) *
  (desp[parcela]&gt;=O$1) *
  (desp[parcela]&lt;EOMONTH(O$1,0)+1)
)</f>
        <v>0</v>
      </c>
      <c r="P602" s="245" cm="1">
        <f t="array" ref="P602">-SUMPRODUCT(
  desp[data.vencimento] *
  (desp[classificacao]=$B$289) *
  (desp[centro.negocio]=$B602) *
  (desp[parcela]&gt;=P$1) *
  (desp[parcela]&lt;EOMONTH(P$1,0)+1)
)</f>
        <v>0</v>
      </c>
      <c r="Q602" s="245" cm="1">
        <f t="array" ref="Q602">-SUMPRODUCT(
  desp[data.vencimento] *
  (desp[classificacao]=$B$289) *
  (desp[centro.negocio]=$B602) *
  (desp[parcela]&gt;=Q$1) *
  (desp[parcela]&lt;EOMONTH(Q$1,0)+1)
)</f>
        <v>0</v>
      </c>
      <c r="R602" s="245" cm="1">
        <f t="array" ref="R602">-SUMPRODUCT(
  desp[data.vencimento] *
  (desp[classificacao]=$B$289) *
  (desp[centro.negocio]=$B602) *
  (desp[parcela]&gt;=R$1) *
  (desp[parcela]&lt;EOMONTH(R$1,0)+1)
)</f>
        <v>0</v>
      </c>
    </row>
    <row r="603" spans="1:18" outlineLevel="1" x14ac:dyDescent="0.25">
      <c r="A603" s="243" t="s">
        <v>599</v>
      </c>
      <c r="B603" s="243" t="s">
        <v>376</v>
      </c>
      <c r="C603" s="244" t="s">
        <v>522</v>
      </c>
      <c r="D603" s="245" cm="1">
        <f t="array" ref="D603">-SUMPRODUCT(
  desp[data.vencimento] *
  (desp[classificacao]=$B$289) *
  (desp[centro.negocio]=$B603) *
  (desp[parcela]&gt;=D$1) *
  (desp[parcela]&lt;EOMONTH(D$1,0)+1)
)</f>
        <v>0</v>
      </c>
      <c r="E603" s="245" cm="1">
        <f t="array" ref="E603">-SUMPRODUCT(
  desp[data.vencimento] *
  (desp[classificacao]=$B$289) *
  (desp[centro.negocio]=$B603) *
  (desp[parcela]&gt;=E$1) *
  (desp[parcela]&lt;EOMONTH(E$1,0)+1)
)</f>
        <v>0</v>
      </c>
      <c r="F603" s="245" cm="1">
        <f t="array" ref="F603">-SUMPRODUCT(
  desp[data.vencimento] *
  (desp[classificacao]=$B$289) *
  (desp[centro.negocio]=$B603) *
  (desp[parcela]&gt;=F$1) *
  (desp[parcela]&lt;EOMONTH(F$1,0)+1)
)</f>
        <v>0</v>
      </c>
      <c r="G603" s="245" cm="1">
        <f t="array" ref="G603">-SUMPRODUCT(
  desp[data.vencimento] *
  (desp[classificacao]=$B$289) *
  (desp[centro.negocio]=$B603) *
  (desp[parcela]&gt;=G$1) *
  (desp[parcela]&lt;EOMONTH(G$1,0)+1)
)</f>
        <v>0</v>
      </c>
      <c r="H603" s="245" cm="1">
        <f t="array" ref="H603">-SUMPRODUCT(
  desp[data.vencimento] *
  (desp[classificacao]=$B$289) *
  (desp[centro.negocio]=$B603) *
  (desp[parcela]&gt;=H$1) *
  (desp[parcela]&lt;EOMONTH(H$1,0)+1)
)</f>
        <v>0</v>
      </c>
      <c r="I603" s="245" cm="1">
        <f t="array" ref="I603">-SUMPRODUCT(
  desp[data.vencimento] *
  (desp[classificacao]=$B$289) *
  (desp[centro.negocio]=$B603) *
  (desp[parcela]&gt;=I$1) *
  (desp[parcela]&lt;EOMONTH(I$1,0)+1)
)</f>
        <v>0</v>
      </c>
      <c r="J603" s="245" cm="1">
        <f t="array" ref="J603">-SUMPRODUCT(
  desp[data.vencimento] *
  (desp[classificacao]=$B$289) *
  (desp[centro.negocio]=$B603) *
  (desp[parcela]&gt;=J$1) *
  (desp[parcela]&lt;EOMONTH(J$1,0)+1)
)</f>
        <v>0</v>
      </c>
      <c r="K603" s="245" cm="1">
        <f t="array" ref="K603">-SUMPRODUCT(
  desp[data.vencimento] *
  (desp[classificacao]=$B$289) *
  (desp[centro.negocio]=$B603) *
  (desp[parcela]&gt;=K$1) *
  (desp[parcela]&lt;EOMONTH(K$1,0)+1)
)</f>
        <v>0</v>
      </c>
      <c r="L603" s="245" cm="1">
        <f t="array" ref="L603">-SUMPRODUCT(
  desp[data.vencimento] *
  (desp[classificacao]=$B$289) *
  (desp[centro.negocio]=$B603) *
  (desp[parcela]&gt;=L$1) *
  (desp[parcela]&lt;EOMONTH(L$1,0)+1)
)</f>
        <v>0</v>
      </c>
      <c r="M603" s="245" cm="1">
        <f t="array" ref="M603">-SUMPRODUCT(
  desp[data.vencimento] *
  (desp[classificacao]=$B$289) *
  (desp[centro.negocio]=$B603) *
  (desp[parcela]&gt;=M$1) *
  (desp[parcela]&lt;EOMONTH(M$1,0)+1)
)</f>
        <v>0</v>
      </c>
      <c r="N603" s="245" cm="1">
        <f t="array" ref="N603">-SUMPRODUCT(
  desp[data.vencimento] *
  (desp[classificacao]=$B$289) *
  (desp[centro.negocio]=$B603) *
  (desp[parcela]&gt;=N$1) *
  (desp[parcela]&lt;EOMONTH(N$1,0)+1)
)</f>
        <v>0</v>
      </c>
      <c r="O603" s="245" cm="1">
        <f t="array" ref="O603">-SUMPRODUCT(
  desp[data.vencimento] *
  (desp[classificacao]=$B$289) *
  (desp[centro.negocio]=$B603) *
  (desp[parcela]&gt;=O$1) *
  (desp[parcela]&lt;EOMONTH(O$1,0)+1)
)</f>
        <v>0</v>
      </c>
      <c r="P603" s="245" cm="1">
        <f t="array" ref="P603">-SUMPRODUCT(
  desp[data.vencimento] *
  (desp[classificacao]=$B$289) *
  (desp[centro.negocio]=$B603) *
  (desp[parcela]&gt;=P$1) *
  (desp[parcela]&lt;EOMONTH(P$1,0)+1)
)</f>
        <v>0</v>
      </c>
      <c r="Q603" s="245" cm="1">
        <f t="array" ref="Q603">-SUMPRODUCT(
  desp[data.vencimento] *
  (desp[classificacao]=$B$289) *
  (desp[centro.negocio]=$B603) *
  (desp[parcela]&gt;=Q$1) *
  (desp[parcela]&lt;EOMONTH(Q$1,0)+1)
)</f>
        <v>0</v>
      </c>
      <c r="R603" s="245" cm="1">
        <f t="array" ref="R603">-SUMPRODUCT(
  desp[data.vencimento] *
  (desp[classificacao]=$B$289) *
  (desp[centro.negocio]=$B603) *
  (desp[parcela]&gt;=R$1) *
  (desp[parcela]&lt;EOMONTH(R$1,0)+1)
)</f>
        <v>0</v>
      </c>
    </row>
    <row r="604" spans="1:18" outlineLevel="1" x14ac:dyDescent="0.25">
      <c r="A604" s="243" t="s">
        <v>601</v>
      </c>
      <c r="B604" s="243" t="s">
        <v>374</v>
      </c>
      <c r="C604" s="244" t="s">
        <v>522</v>
      </c>
      <c r="D604" s="245" cm="1">
        <f t="array" ref="D604">-SUMPRODUCT(
  desp[data.vencimento] *
  (desp[classificacao]=$B$289) *
  (desp[centro.negocio]=$B604) *
  (desp[parcela]&gt;=D$1) *
  (desp[parcela]&lt;EOMONTH(D$1,0)+1)
)</f>
        <v>0</v>
      </c>
      <c r="E604" s="245" cm="1">
        <f t="array" ref="E604">-SUMPRODUCT(
  desp[data.vencimento] *
  (desp[classificacao]=$B$289) *
  (desp[centro.negocio]=$B604) *
  (desp[parcela]&gt;=E$1) *
  (desp[parcela]&lt;EOMONTH(E$1,0)+1)
)</f>
        <v>0</v>
      </c>
      <c r="F604" s="245" cm="1">
        <f t="array" ref="F604">-SUMPRODUCT(
  desp[data.vencimento] *
  (desp[classificacao]=$B$289) *
  (desp[centro.negocio]=$B604) *
  (desp[parcela]&gt;=F$1) *
  (desp[parcela]&lt;EOMONTH(F$1,0)+1)
)</f>
        <v>0</v>
      </c>
      <c r="G604" s="245" cm="1">
        <f t="array" ref="G604">-SUMPRODUCT(
  desp[data.vencimento] *
  (desp[classificacao]=$B$289) *
  (desp[centro.negocio]=$B604) *
  (desp[parcela]&gt;=G$1) *
  (desp[parcela]&lt;EOMONTH(G$1,0)+1)
)</f>
        <v>0</v>
      </c>
      <c r="H604" s="245" cm="1">
        <f t="array" ref="H604">-SUMPRODUCT(
  desp[data.vencimento] *
  (desp[classificacao]=$B$289) *
  (desp[centro.negocio]=$B604) *
  (desp[parcela]&gt;=H$1) *
  (desp[parcela]&lt;EOMONTH(H$1,0)+1)
)</f>
        <v>0</v>
      </c>
      <c r="I604" s="245" cm="1">
        <f t="array" ref="I604">-SUMPRODUCT(
  desp[data.vencimento] *
  (desp[classificacao]=$B$289) *
  (desp[centro.negocio]=$B604) *
  (desp[parcela]&gt;=I$1) *
  (desp[parcela]&lt;EOMONTH(I$1,0)+1)
)</f>
        <v>0</v>
      </c>
      <c r="J604" s="245" cm="1">
        <f t="array" ref="J604">-SUMPRODUCT(
  desp[data.vencimento] *
  (desp[classificacao]=$B$289) *
  (desp[centro.negocio]=$B604) *
  (desp[parcela]&gt;=J$1) *
  (desp[parcela]&lt;EOMONTH(J$1,0)+1)
)</f>
        <v>0</v>
      </c>
      <c r="K604" s="245" cm="1">
        <f t="array" ref="K604">-SUMPRODUCT(
  desp[data.vencimento] *
  (desp[classificacao]=$B$289) *
  (desp[centro.negocio]=$B604) *
  (desp[parcela]&gt;=K$1) *
  (desp[parcela]&lt;EOMONTH(K$1,0)+1)
)</f>
        <v>0</v>
      </c>
      <c r="L604" s="245" cm="1">
        <f t="array" ref="L604">-SUMPRODUCT(
  desp[data.vencimento] *
  (desp[classificacao]=$B$289) *
  (desp[centro.negocio]=$B604) *
  (desp[parcela]&gt;=L$1) *
  (desp[parcela]&lt;EOMONTH(L$1,0)+1)
)</f>
        <v>0</v>
      </c>
      <c r="M604" s="245" cm="1">
        <f t="array" ref="M604">-SUMPRODUCT(
  desp[data.vencimento] *
  (desp[classificacao]=$B$289) *
  (desp[centro.negocio]=$B604) *
  (desp[parcela]&gt;=M$1) *
  (desp[parcela]&lt;EOMONTH(M$1,0)+1)
)</f>
        <v>0</v>
      </c>
      <c r="N604" s="245" cm="1">
        <f t="array" ref="N604">-SUMPRODUCT(
  desp[data.vencimento] *
  (desp[classificacao]=$B$289) *
  (desp[centro.negocio]=$B604) *
  (desp[parcela]&gt;=N$1) *
  (desp[parcela]&lt;EOMONTH(N$1,0)+1)
)</f>
        <v>0</v>
      </c>
      <c r="O604" s="245" cm="1">
        <f t="array" ref="O604">-SUMPRODUCT(
  desp[data.vencimento] *
  (desp[classificacao]=$B$289) *
  (desp[centro.negocio]=$B604) *
  (desp[parcela]&gt;=O$1) *
  (desp[parcela]&lt;EOMONTH(O$1,0)+1)
)</f>
        <v>0</v>
      </c>
      <c r="P604" s="245" cm="1">
        <f t="array" ref="P604">-SUMPRODUCT(
  desp[data.vencimento] *
  (desp[classificacao]=$B$289) *
  (desp[centro.negocio]=$B604) *
  (desp[parcela]&gt;=P$1) *
  (desp[parcela]&lt;EOMONTH(P$1,0)+1)
)</f>
        <v>0</v>
      </c>
      <c r="Q604" s="245" cm="1">
        <f t="array" ref="Q604">-SUMPRODUCT(
  desp[data.vencimento] *
  (desp[classificacao]=$B$289) *
  (desp[centro.negocio]=$B604) *
  (desp[parcela]&gt;=Q$1) *
  (desp[parcela]&lt;EOMONTH(Q$1,0)+1)
)</f>
        <v>0</v>
      </c>
      <c r="R604" s="245" cm="1">
        <f t="array" ref="R604">-SUMPRODUCT(
  desp[data.vencimento] *
  (desp[classificacao]=$B$289) *
  (desp[centro.negocio]=$B604) *
  (desp[parcela]&gt;=R$1) *
  (desp[parcela]&lt;EOMONTH(R$1,0)+1)
)</f>
        <v>0</v>
      </c>
    </row>
    <row r="605" spans="1:18" outlineLevel="1" x14ac:dyDescent="0.25">
      <c r="A605" s="243" t="s">
        <v>603</v>
      </c>
      <c r="B605" s="243" t="s">
        <v>381</v>
      </c>
      <c r="C605" s="244" t="s">
        <v>522</v>
      </c>
      <c r="D605" s="245" cm="1">
        <f t="array" ref="D605">-SUMPRODUCT(
  desp[data.vencimento] *
  (desp[classificacao]=$B$289) *
  (desp[centro.negocio]=$B605) *
  (desp[parcela]&gt;=D$1) *
  (desp[parcela]&lt;EOMONTH(D$1,0)+1)
)</f>
        <v>0</v>
      </c>
      <c r="E605" s="245" cm="1">
        <f t="array" ref="E605">-SUMPRODUCT(
  desp[data.vencimento] *
  (desp[classificacao]=$B$289) *
  (desp[centro.negocio]=$B605) *
  (desp[parcela]&gt;=E$1) *
  (desp[parcela]&lt;EOMONTH(E$1,0)+1)
)</f>
        <v>0</v>
      </c>
      <c r="F605" s="245" cm="1">
        <f t="array" ref="F605">-SUMPRODUCT(
  desp[data.vencimento] *
  (desp[classificacao]=$B$289) *
  (desp[centro.negocio]=$B605) *
  (desp[parcela]&gt;=F$1) *
  (desp[parcela]&lt;EOMONTH(F$1,0)+1)
)</f>
        <v>0</v>
      </c>
      <c r="G605" s="245" cm="1">
        <f t="array" ref="G605">-SUMPRODUCT(
  desp[data.vencimento] *
  (desp[classificacao]=$B$289) *
  (desp[centro.negocio]=$B605) *
  (desp[parcela]&gt;=G$1) *
  (desp[parcela]&lt;EOMONTH(G$1,0)+1)
)</f>
        <v>0</v>
      </c>
      <c r="H605" s="245" cm="1">
        <f t="array" ref="H605">-SUMPRODUCT(
  desp[data.vencimento] *
  (desp[classificacao]=$B$289) *
  (desp[centro.negocio]=$B605) *
  (desp[parcela]&gt;=H$1) *
  (desp[parcela]&lt;EOMONTH(H$1,0)+1)
)</f>
        <v>0</v>
      </c>
      <c r="I605" s="245" cm="1">
        <f t="array" ref="I605">-SUMPRODUCT(
  desp[data.vencimento] *
  (desp[classificacao]=$B$289) *
  (desp[centro.negocio]=$B605) *
  (desp[parcela]&gt;=I$1) *
  (desp[parcela]&lt;EOMONTH(I$1,0)+1)
)</f>
        <v>0</v>
      </c>
      <c r="J605" s="245" cm="1">
        <f t="array" ref="J605">-SUMPRODUCT(
  desp[data.vencimento] *
  (desp[classificacao]=$B$289) *
  (desp[centro.negocio]=$B605) *
  (desp[parcela]&gt;=J$1) *
  (desp[parcela]&lt;EOMONTH(J$1,0)+1)
)</f>
        <v>0</v>
      </c>
      <c r="K605" s="245" cm="1">
        <f t="array" ref="K605">-SUMPRODUCT(
  desp[data.vencimento] *
  (desp[classificacao]=$B$289) *
  (desp[centro.negocio]=$B605) *
  (desp[parcela]&gt;=K$1) *
  (desp[parcela]&lt;EOMONTH(K$1,0)+1)
)</f>
        <v>0</v>
      </c>
      <c r="L605" s="245" cm="1">
        <f t="array" ref="L605">-SUMPRODUCT(
  desp[data.vencimento] *
  (desp[classificacao]=$B$289) *
  (desp[centro.negocio]=$B605) *
  (desp[parcela]&gt;=L$1) *
  (desp[parcela]&lt;EOMONTH(L$1,0)+1)
)</f>
        <v>0</v>
      </c>
      <c r="M605" s="245" cm="1">
        <f t="array" ref="M605">-SUMPRODUCT(
  desp[data.vencimento] *
  (desp[classificacao]=$B$289) *
  (desp[centro.negocio]=$B605) *
  (desp[parcela]&gt;=M$1) *
  (desp[parcela]&lt;EOMONTH(M$1,0)+1)
)</f>
        <v>0</v>
      </c>
      <c r="N605" s="245" cm="1">
        <f t="array" ref="N605">-SUMPRODUCT(
  desp[data.vencimento] *
  (desp[classificacao]=$B$289) *
  (desp[centro.negocio]=$B605) *
  (desp[parcela]&gt;=N$1) *
  (desp[parcela]&lt;EOMONTH(N$1,0)+1)
)</f>
        <v>0</v>
      </c>
      <c r="O605" s="245" cm="1">
        <f t="array" ref="O605">-SUMPRODUCT(
  desp[data.vencimento] *
  (desp[classificacao]=$B$289) *
  (desp[centro.negocio]=$B605) *
  (desp[parcela]&gt;=O$1) *
  (desp[parcela]&lt;EOMONTH(O$1,0)+1)
)</f>
        <v>0</v>
      </c>
      <c r="P605" s="245" cm="1">
        <f t="array" ref="P605">-SUMPRODUCT(
  desp[data.vencimento] *
  (desp[classificacao]=$B$289) *
  (desp[centro.negocio]=$B605) *
  (desp[parcela]&gt;=P$1) *
  (desp[parcela]&lt;EOMONTH(P$1,0)+1)
)</f>
        <v>0</v>
      </c>
      <c r="Q605" s="245" cm="1">
        <f t="array" ref="Q605">-SUMPRODUCT(
  desp[data.vencimento] *
  (desp[classificacao]=$B$289) *
  (desp[centro.negocio]=$B605) *
  (desp[parcela]&gt;=Q$1) *
  (desp[parcela]&lt;EOMONTH(Q$1,0)+1)
)</f>
        <v>0</v>
      </c>
      <c r="R605" s="245" cm="1">
        <f t="array" ref="R605">-SUMPRODUCT(
  desp[data.vencimento] *
  (desp[classificacao]=$B$289) *
  (desp[centro.negocio]=$B605) *
  (desp[parcela]&gt;=R$1) *
  (desp[parcela]&lt;EOMONTH(R$1,0)+1)
)</f>
        <v>0</v>
      </c>
    </row>
    <row r="606" spans="1:18" outlineLevel="1" x14ac:dyDescent="0.25">
      <c r="A606" s="243" t="s">
        <v>608</v>
      </c>
      <c r="B606" s="243" t="s">
        <v>393</v>
      </c>
      <c r="C606" s="244" t="s">
        <v>522</v>
      </c>
      <c r="D606" s="245" cm="1">
        <f t="array" ref="D606">-SUMPRODUCT(
  desp[data.vencimento] *
  (desp[classificacao]=$B$289) *
  (desp[centro.negocio]=$B606) *
  (desp[parcela]&gt;=D$1) *
  (desp[parcela]&lt;EOMONTH(D$1,0)+1)
)</f>
        <v>0</v>
      </c>
      <c r="E606" s="245" cm="1">
        <f t="array" ref="E606">-SUMPRODUCT(
  desp[data.vencimento] *
  (desp[classificacao]=$B$289) *
  (desp[centro.negocio]=$B606) *
  (desp[parcela]&gt;=E$1) *
  (desp[parcela]&lt;EOMONTH(E$1,0)+1)
)</f>
        <v>0</v>
      </c>
      <c r="F606" s="245" cm="1">
        <f t="array" ref="F606">-SUMPRODUCT(
  desp[data.vencimento] *
  (desp[classificacao]=$B$289) *
  (desp[centro.negocio]=$B606) *
  (desp[parcela]&gt;=F$1) *
  (desp[parcela]&lt;EOMONTH(F$1,0)+1)
)</f>
        <v>0</v>
      </c>
      <c r="G606" s="245" cm="1">
        <f t="array" ref="G606">-SUMPRODUCT(
  desp[data.vencimento] *
  (desp[classificacao]=$B$289) *
  (desp[centro.negocio]=$B606) *
  (desp[parcela]&gt;=G$1) *
  (desp[parcela]&lt;EOMONTH(G$1,0)+1)
)</f>
        <v>0</v>
      </c>
      <c r="H606" s="245" cm="1">
        <f t="array" ref="H606">-SUMPRODUCT(
  desp[data.vencimento] *
  (desp[classificacao]=$B$289) *
  (desp[centro.negocio]=$B606) *
  (desp[parcela]&gt;=H$1) *
  (desp[parcela]&lt;EOMONTH(H$1,0)+1)
)</f>
        <v>0</v>
      </c>
      <c r="I606" s="245" cm="1">
        <f t="array" ref="I606">-SUMPRODUCT(
  desp[data.vencimento] *
  (desp[classificacao]=$B$289) *
  (desp[centro.negocio]=$B606) *
  (desp[parcela]&gt;=I$1) *
  (desp[parcela]&lt;EOMONTH(I$1,0)+1)
)</f>
        <v>0</v>
      </c>
      <c r="J606" s="245" cm="1">
        <f t="array" ref="J606">-SUMPRODUCT(
  desp[data.vencimento] *
  (desp[classificacao]=$B$289) *
  (desp[centro.negocio]=$B606) *
  (desp[parcela]&gt;=J$1) *
  (desp[parcela]&lt;EOMONTH(J$1,0)+1)
)</f>
        <v>0</v>
      </c>
      <c r="K606" s="245" cm="1">
        <f t="array" ref="K606">-SUMPRODUCT(
  desp[data.vencimento] *
  (desp[classificacao]=$B$289) *
  (desp[centro.negocio]=$B606) *
  (desp[parcela]&gt;=K$1) *
  (desp[parcela]&lt;EOMONTH(K$1,0)+1)
)</f>
        <v>0</v>
      </c>
      <c r="L606" s="245" cm="1">
        <f t="array" ref="L606">-SUMPRODUCT(
  desp[data.vencimento] *
  (desp[classificacao]=$B$289) *
  (desp[centro.negocio]=$B606) *
  (desp[parcela]&gt;=L$1) *
  (desp[parcela]&lt;EOMONTH(L$1,0)+1)
)</f>
        <v>0</v>
      </c>
      <c r="M606" s="245" cm="1">
        <f t="array" ref="M606">-SUMPRODUCT(
  desp[data.vencimento] *
  (desp[classificacao]=$B$289) *
  (desp[centro.negocio]=$B606) *
  (desp[parcela]&gt;=M$1) *
  (desp[parcela]&lt;EOMONTH(M$1,0)+1)
)</f>
        <v>0</v>
      </c>
      <c r="N606" s="245" cm="1">
        <f t="array" ref="N606">-SUMPRODUCT(
  desp[data.vencimento] *
  (desp[classificacao]=$B$289) *
  (desp[centro.negocio]=$B606) *
  (desp[parcela]&gt;=N$1) *
  (desp[parcela]&lt;EOMONTH(N$1,0)+1)
)</f>
        <v>0</v>
      </c>
      <c r="O606" s="245" cm="1">
        <f t="array" ref="O606">-SUMPRODUCT(
  desp[data.vencimento] *
  (desp[classificacao]=$B$289) *
  (desp[centro.negocio]=$B606) *
  (desp[parcela]&gt;=O$1) *
  (desp[parcela]&lt;EOMONTH(O$1,0)+1)
)</f>
        <v>0</v>
      </c>
      <c r="P606" s="245" cm="1">
        <f t="array" ref="P606">-SUMPRODUCT(
  desp[data.vencimento] *
  (desp[classificacao]=$B$289) *
  (desp[centro.negocio]=$B606) *
  (desp[parcela]&gt;=P$1) *
  (desp[parcela]&lt;EOMONTH(P$1,0)+1)
)</f>
        <v>0</v>
      </c>
      <c r="Q606" s="245" cm="1">
        <f t="array" ref="Q606">-SUMPRODUCT(
  desp[data.vencimento] *
  (desp[classificacao]=$B$289) *
  (desp[centro.negocio]=$B606) *
  (desp[parcela]&gt;=Q$1) *
  (desp[parcela]&lt;EOMONTH(Q$1,0)+1)
)</f>
        <v>0</v>
      </c>
      <c r="R606" s="245" cm="1">
        <f t="array" ref="R606">-SUMPRODUCT(
  desp[data.vencimento] *
  (desp[classificacao]=$B$289) *
  (desp[centro.negocio]=$B606) *
  (desp[parcela]&gt;=R$1) *
  (desp[parcela]&lt;EOMONTH(R$1,0)+1)
)</f>
        <v>0</v>
      </c>
    </row>
    <row r="607" spans="1:18" outlineLevel="1" x14ac:dyDescent="0.25">
      <c r="A607" s="243" t="s">
        <v>622</v>
      </c>
      <c r="B607" s="243" t="s">
        <v>346</v>
      </c>
      <c r="C607" s="244" t="s">
        <v>522</v>
      </c>
      <c r="D607" s="245" cm="1">
        <f t="array" ref="D607">-SUMPRODUCT(
  desp[data.vencimento] *
  (desp[classificacao]=$B$289) *
  (desp[centro.negocio]=$B607) *
  (desp[parcela]&gt;=D$1) *
  (desp[parcela]&lt;EOMONTH(D$1,0)+1)
)</f>
        <v>0</v>
      </c>
      <c r="E607" s="245" cm="1">
        <f t="array" ref="E607">-SUMPRODUCT(
  desp[data.vencimento] *
  (desp[classificacao]=$B$289) *
  (desp[centro.negocio]=$B607) *
  (desp[parcela]&gt;=E$1) *
  (desp[parcela]&lt;EOMONTH(E$1,0)+1)
)</f>
        <v>0</v>
      </c>
      <c r="F607" s="245" cm="1">
        <f t="array" ref="F607">-SUMPRODUCT(
  desp[data.vencimento] *
  (desp[classificacao]=$B$289) *
  (desp[centro.negocio]=$B607) *
  (desp[parcela]&gt;=F$1) *
  (desp[parcela]&lt;EOMONTH(F$1,0)+1)
)</f>
        <v>0</v>
      </c>
      <c r="G607" s="245" cm="1">
        <f t="array" ref="G607">-SUMPRODUCT(
  desp[data.vencimento] *
  (desp[classificacao]=$B$289) *
  (desp[centro.negocio]=$B607) *
  (desp[parcela]&gt;=G$1) *
  (desp[parcela]&lt;EOMONTH(G$1,0)+1)
)</f>
        <v>0</v>
      </c>
      <c r="H607" s="245" cm="1">
        <f t="array" ref="H607">-SUMPRODUCT(
  desp[data.vencimento] *
  (desp[classificacao]=$B$289) *
  (desp[centro.negocio]=$B607) *
  (desp[parcela]&gt;=H$1) *
  (desp[parcela]&lt;EOMONTH(H$1,0)+1)
)</f>
        <v>0</v>
      </c>
      <c r="I607" s="245" cm="1">
        <f t="array" ref="I607">-SUMPRODUCT(
  desp[data.vencimento] *
  (desp[classificacao]=$B$289) *
  (desp[centro.negocio]=$B607) *
  (desp[parcela]&gt;=I$1) *
  (desp[parcela]&lt;EOMONTH(I$1,0)+1)
)</f>
        <v>0</v>
      </c>
      <c r="J607" s="245" cm="1">
        <f t="array" ref="J607">-SUMPRODUCT(
  desp[data.vencimento] *
  (desp[classificacao]=$B$289) *
  (desp[centro.negocio]=$B607) *
  (desp[parcela]&gt;=J$1) *
  (desp[parcela]&lt;EOMONTH(J$1,0)+1)
)</f>
        <v>0</v>
      </c>
      <c r="K607" s="245" cm="1">
        <f t="array" ref="K607">-SUMPRODUCT(
  desp[data.vencimento] *
  (desp[classificacao]=$B$289) *
  (desp[centro.negocio]=$B607) *
  (desp[parcela]&gt;=K$1) *
  (desp[parcela]&lt;EOMONTH(K$1,0)+1)
)</f>
        <v>0</v>
      </c>
      <c r="L607" s="245" cm="1">
        <f t="array" ref="L607">-SUMPRODUCT(
  desp[data.vencimento] *
  (desp[classificacao]=$B$289) *
  (desp[centro.negocio]=$B607) *
  (desp[parcela]&gt;=L$1) *
  (desp[parcela]&lt;EOMONTH(L$1,0)+1)
)</f>
        <v>0</v>
      </c>
      <c r="M607" s="245" cm="1">
        <f t="array" ref="M607">-SUMPRODUCT(
  desp[data.vencimento] *
  (desp[classificacao]=$B$289) *
  (desp[centro.negocio]=$B607) *
  (desp[parcela]&gt;=M$1) *
  (desp[parcela]&lt;EOMONTH(M$1,0)+1)
)</f>
        <v>0</v>
      </c>
      <c r="N607" s="245" cm="1">
        <f t="array" ref="N607">-SUMPRODUCT(
  desp[data.vencimento] *
  (desp[classificacao]=$B$289) *
  (desp[centro.negocio]=$B607) *
  (desp[parcela]&gt;=N$1) *
  (desp[parcela]&lt;EOMONTH(N$1,0)+1)
)</f>
        <v>0</v>
      </c>
      <c r="O607" s="245" cm="1">
        <f t="array" ref="O607">-SUMPRODUCT(
  desp[data.vencimento] *
  (desp[classificacao]=$B$289) *
  (desp[centro.negocio]=$B607) *
  (desp[parcela]&gt;=O$1) *
  (desp[parcela]&lt;EOMONTH(O$1,0)+1)
)</f>
        <v>0</v>
      </c>
      <c r="P607" s="245" cm="1">
        <f t="array" ref="P607">-SUMPRODUCT(
  desp[data.vencimento] *
  (desp[classificacao]=$B$289) *
  (desp[centro.negocio]=$B607) *
  (desp[parcela]&gt;=P$1) *
  (desp[parcela]&lt;EOMONTH(P$1,0)+1)
)</f>
        <v>0</v>
      </c>
      <c r="Q607" s="245" cm="1">
        <f t="array" ref="Q607">-SUMPRODUCT(
  desp[data.vencimento] *
  (desp[classificacao]=$B$289) *
  (desp[centro.negocio]=$B607) *
  (desp[parcela]&gt;=Q$1) *
  (desp[parcela]&lt;EOMONTH(Q$1,0)+1)
)</f>
        <v>0</v>
      </c>
      <c r="R607" s="245" cm="1">
        <f t="array" ref="R607">-SUMPRODUCT(
  desp[data.vencimento] *
  (desp[classificacao]=$B$289) *
  (desp[centro.negocio]=$B607) *
  (desp[parcela]&gt;=R$1) *
  (desp[parcela]&lt;EOMONTH(R$1,0)+1)
)</f>
        <v>0</v>
      </c>
    </row>
    <row r="608" spans="1:18" outlineLevel="1" x14ac:dyDescent="0.25">
      <c r="A608" s="243" t="s">
        <v>656</v>
      </c>
      <c r="B608" s="243" t="s">
        <v>390</v>
      </c>
      <c r="C608" s="244" t="s">
        <v>522</v>
      </c>
      <c r="D608" s="245" cm="1">
        <f t="array" ref="D608">-SUMPRODUCT(
  desp[data.vencimento] *
  (desp[classificacao]=$B$289) *
  (desp[centro.negocio]=$B608) *
  (desp[parcela]&gt;=D$1) *
  (desp[parcela]&lt;EOMONTH(D$1,0)+1)
)</f>
        <v>0</v>
      </c>
      <c r="E608" s="245" cm="1">
        <f t="array" ref="E608">-SUMPRODUCT(
  desp[data.vencimento] *
  (desp[classificacao]=$B$289) *
  (desp[centro.negocio]=$B608) *
  (desp[parcela]&gt;=E$1) *
  (desp[parcela]&lt;EOMONTH(E$1,0)+1)
)</f>
        <v>0</v>
      </c>
      <c r="F608" s="245" cm="1">
        <f t="array" ref="F608">-SUMPRODUCT(
  desp[data.vencimento] *
  (desp[classificacao]=$B$289) *
  (desp[centro.negocio]=$B608) *
  (desp[parcela]&gt;=F$1) *
  (desp[parcela]&lt;EOMONTH(F$1,0)+1)
)</f>
        <v>0</v>
      </c>
      <c r="G608" s="245" cm="1">
        <f t="array" ref="G608">-SUMPRODUCT(
  desp[data.vencimento] *
  (desp[classificacao]=$B$289) *
  (desp[centro.negocio]=$B608) *
  (desp[parcela]&gt;=G$1) *
  (desp[parcela]&lt;EOMONTH(G$1,0)+1)
)</f>
        <v>0</v>
      </c>
      <c r="H608" s="245" cm="1">
        <f t="array" ref="H608">-SUMPRODUCT(
  desp[data.vencimento] *
  (desp[classificacao]=$B$289) *
  (desp[centro.negocio]=$B608) *
  (desp[parcela]&gt;=H$1) *
  (desp[parcela]&lt;EOMONTH(H$1,0)+1)
)</f>
        <v>0</v>
      </c>
      <c r="I608" s="245" cm="1">
        <f t="array" ref="I608">-SUMPRODUCT(
  desp[data.vencimento] *
  (desp[classificacao]=$B$289) *
  (desp[centro.negocio]=$B608) *
  (desp[parcela]&gt;=I$1) *
  (desp[parcela]&lt;EOMONTH(I$1,0)+1)
)</f>
        <v>0</v>
      </c>
      <c r="J608" s="245" cm="1">
        <f t="array" ref="J608">-SUMPRODUCT(
  desp[data.vencimento] *
  (desp[classificacao]=$B$289) *
  (desp[centro.negocio]=$B608) *
  (desp[parcela]&gt;=J$1) *
  (desp[parcela]&lt;EOMONTH(J$1,0)+1)
)</f>
        <v>0</v>
      </c>
      <c r="K608" s="245" cm="1">
        <f t="array" ref="K608">-SUMPRODUCT(
  desp[data.vencimento] *
  (desp[classificacao]=$B$289) *
  (desp[centro.negocio]=$B608) *
  (desp[parcela]&gt;=K$1) *
  (desp[parcela]&lt;EOMONTH(K$1,0)+1)
)</f>
        <v>0</v>
      </c>
      <c r="L608" s="245" cm="1">
        <f t="array" ref="L608">-SUMPRODUCT(
  desp[data.vencimento] *
  (desp[classificacao]=$B$289) *
  (desp[centro.negocio]=$B608) *
  (desp[parcela]&gt;=L$1) *
  (desp[parcela]&lt;EOMONTH(L$1,0)+1)
)</f>
        <v>0</v>
      </c>
      <c r="M608" s="245" cm="1">
        <f t="array" ref="M608">-SUMPRODUCT(
  desp[data.vencimento] *
  (desp[classificacao]=$B$289) *
  (desp[centro.negocio]=$B608) *
  (desp[parcela]&gt;=M$1) *
  (desp[parcela]&lt;EOMONTH(M$1,0)+1)
)</f>
        <v>0</v>
      </c>
      <c r="N608" s="245" cm="1">
        <f t="array" ref="N608">-SUMPRODUCT(
  desp[data.vencimento] *
  (desp[classificacao]=$B$289) *
  (desp[centro.negocio]=$B608) *
  (desp[parcela]&gt;=N$1) *
  (desp[parcela]&lt;EOMONTH(N$1,0)+1)
)</f>
        <v>0</v>
      </c>
      <c r="O608" s="245" cm="1">
        <f t="array" ref="O608">-SUMPRODUCT(
  desp[data.vencimento] *
  (desp[classificacao]=$B$289) *
  (desp[centro.negocio]=$B608) *
  (desp[parcela]&gt;=O$1) *
  (desp[parcela]&lt;EOMONTH(O$1,0)+1)
)</f>
        <v>0</v>
      </c>
      <c r="P608" s="245" cm="1">
        <f t="array" ref="P608">-SUMPRODUCT(
  desp[data.vencimento] *
  (desp[classificacao]=$B$289) *
  (desp[centro.negocio]=$B608) *
  (desp[parcela]&gt;=P$1) *
  (desp[parcela]&lt;EOMONTH(P$1,0)+1)
)</f>
        <v>0</v>
      </c>
      <c r="Q608" s="245" cm="1">
        <f t="array" ref="Q608">-SUMPRODUCT(
  desp[data.vencimento] *
  (desp[classificacao]=$B$289) *
  (desp[centro.negocio]=$B608) *
  (desp[parcela]&gt;=Q$1) *
  (desp[parcela]&lt;EOMONTH(Q$1,0)+1)
)</f>
        <v>0</v>
      </c>
      <c r="R608" s="245" cm="1">
        <f t="array" ref="R608">-SUMPRODUCT(
  desp[data.vencimento] *
  (desp[classificacao]=$B$289) *
  (desp[centro.negocio]=$B608) *
  (desp[parcela]&gt;=R$1) *
  (desp[parcela]&lt;EOMONTH(R$1,0)+1)
)</f>
        <v>0</v>
      </c>
    </row>
    <row r="609" spans="1:18" outlineLevel="1" x14ac:dyDescent="0.25">
      <c r="A609" s="243" t="s">
        <v>669</v>
      </c>
      <c r="B609" s="243" t="s">
        <v>385</v>
      </c>
      <c r="C609" s="244" t="s">
        <v>522</v>
      </c>
      <c r="D609" s="245" cm="1">
        <f t="array" ref="D609">-SUMPRODUCT(
  desp[data.vencimento] *
  (desp[classificacao]=$B$289) *
  (desp[centro.negocio]=$B609) *
  (desp[parcela]&gt;=D$1) *
  (desp[parcela]&lt;EOMONTH(D$1,0)+1)
)</f>
        <v>0</v>
      </c>
      <c r="E609" s="245" cm="1">
        <f t="array" ref="E609">-SUMPRODUCT(
  desp[data.vencimento] *
  (desp[classificacao]=$B$289) *
  (desp[centro.negocio]=$B609) *
  (desp[parcela]&gt;=E$1) *
  (desp[parcela]&lt;EOMONTH(E$1,0)+1)
)</f>
        <v>0</v>
      </c>
      <c r="F609" s="245" cm="1">
        <f t="array" ref="F609">-SUMPRODUCT(
  desp[data.vencimento] *
  (desp[classificacao]=$B$289) *
  (desp[centro.negocio]=$B609) *
  (desp[parcela]&gt;=F$1) *
  (desp[parcela]&lt;EOMONTH(F$1,0)+1)
)</f>
        <v>0</v>
      </c>
      <c r="G609" s="245" cm="1">
        <f t="array" ref="G609">-SUMPRODUCT(
  desp[data.vencimento] *
  (desp[classificacao]=$B$289) *
  (desp[centro.negocio]=$B609) *
  (desp[parcela]&gt;=G$1) *
  (desp[parcela]&lt;EOMONTH(G$1,0)+1)
)</f>
        <v>0</v>
      </c>
      <c r="H609" s="245" cm="1">
        <f t="array" ref="H609">-SUMPRODUCT(
  desp[data.vencimento] *
  (desp[classificacao]=$B$289) *
  (desp[centro.negocio]=$B609) *
  (desp[parcela]&gt;=H$1) *
  (desp[parcela]&lt;EOMONTH(H$1,0)+1)
)</f>
        <v>0</v>
      </c>
      <c r="I609" s="245" cm="1">
        <f t="array" ref="I609">-SUMPRODUCT(
  desp[data.vencimento] *
  (desp[classificacao]=$B$289) *
  (desp[centro.negocio]=$B609) *
  (desp[parcela]&gt;=I$1) *
  (desp[parcela]&lt;EOMONTH(I$1,0)+1)
)</f>
        <v>0</v>
      </c>
      <c r="J609" s="245" cm="1">
        <f t="array" ref="J609">-SUMPRODUCT(
  desp[data.vencimento] *
  (desp[classificacao]=$B$289) *
  (desp[centro.negocio]=$B609) *
  (desp[parcela]&gt;=J$1) *
  (desp[parcela]&lt;EOMONTH(J$1,0)+1)
)</f>
        <v>0</v>
      </c>
      <c r="K609" s="245" cm="1">
        <f t="array" ref="K609">-SUMPRODUCT(
  desp[data.vencimento] *
  (desp[classificacao]=$B$289) *
  (desp[centro.negocio]=$B609) *
  (desp[parcela]&gt;=K$1) *
  (desp[parcela]&lt;EOMONTH(K$1,0)+1)
)</f>
        <v>0</v>
      </c>
      <c r="L609" s="245" cm="1">
        <f t="array" ref="L609">-SUMPRODUCT(
  desp[data.vencimento] *
  (desp[classificacao]=$B$289) *
  (desp[centro.negocio]=$B609) *
  (desp[parcela]&gt;=L$1) *
  (desp[parcela]&lt;EOMONTH(L$1,0)+1)
)</f>
        <v>0</v>
      </c>
      <c r="M609" s="245" cm="1">
        <f t="array" ref="M609">-SUMPRODUCT(
  desp[data.vencimento] *
  (desp[classificacao]=$B$289) *
  (desp[centro.negocio]=$B609) *
  (desp[parcela]&gt;=M$1) *
  (desp[parcela]&lt;EOMONTH(M$1,0)+1)
)</f>
        <v>0</v>
      </c>
      <c r="N609" s="245" cm="1">
        <f t="array" ref="N609">-SUMPRODUCT(
  desp[data.vencimento] *
  (desp[classificacao]=$B$289) *
  (desp[centro.negocio]=$B609) *
  (desp[parcela]&gt;=N$1) *
  (desp[parcela]&lt;EOMONTH(N$1,0)+1)
)</f>
        <v>0</v>
      </c>
      <c r="O609" s="245" cm="1">
        <f t="array" ref="O609">-SUMPRODUCT(
  desp[data.vencimento] *
  (desp[classificacao]=$B$289) *
  (desp[centro.negocio]=$B609) *
  (desp[parcela]&gt;=O$1) *
  (desp[parcela]&lt;EOMONTH(O$1,0)+1)
)</f>
        <v>0</v>
      </c>
      <c r="P609" s="245" cm="1">
        <f t="array" ref="P609">-SUMPRODUCT(
  desp[data.vencimento] *
  (desp[classificacao]=$B$289) *
  (desp[centro.negocio]=$B609) *
  (desp[parcela]&gt;=P$1) *
  (desp[parcela]&lt;EOMONTH(P$1,0)+1)
)</f>
        <v>0</v>
      </c>
      <c r="Q609" s="245" cm="1">
        <f t="array" ref="Q609">-SUMPRODUCT(
  desp[data.vencimento] *
  (desp[classificacao]=$B$289) *
  (desp[centro.negocio]=$B609) *
  (desp[parcela]&gt;=Q$1) *
  (desp[parcela]&lt;EOMONTH(Q$1,0)+1)
)</f>
        <v>0</v>
      </c>
      <c r="R609" s="245" cm="1">
        <f t="array" ref="R609">-SUMPRODUCT(
  desp[data.vencimento] *
  (desp[classificacao]=$B$289) *
  (desp[centro.negocio]=$B609) *
  (desp[parcela]&gt;=R$1) *
  (desp[parcela]&lt;EOMONTH(R$1,0)+1)
)</f>
        <v>0</v>
      </c>
    </row>
    <row r="610" spans="1:18" outlineLevel="1" x14ac:dyDescent="0.25">
      <c r="A610" s="243" t="s">
        <v>674</v>
      </c>
      <c r="B610" s="243" t="s">
        <v>361</v>
      </c>
      <c r="C610" s="244" t="s">
        <v>522</v>
      </c>
      <c r="D610" s="245" cm="1">
        <f t="array" ref="D610">-SUMPRODUCT(
  desp[data.vencimento] *
  (desp[classificacao]=$B$289) *
  (desp[centro.negocio]=$B610) *
  (desp[parcela]&gt;=D$1) *
  (desp[parcela]&lt;EOMONTH(D$1,0)+1)
)</f>
        <v>0</v>
      </c>
      <c r="E610" s="245" cm="1">
        <f t="array" ref="E610">-SUMPRODUCT(
  desp[data.vencimento] *
  (desp[classificacao]=$B$289) *
  (desp[centro.negocio]=$B610) *
  (desp[parcela]&gt;=E$1) *
  (desp[parcela]&lt;EOMONTH(E$1,0)+1)
)</f>
        <v>0</v>
      </c>
      <c r="F610" s="245" cm="1">
        <f t="array" ref="F610">-SUMPRODUCT(
  desp[data.vencimento] *
  (desp[classificacao]=$B$289) *
  (desp[centro.negocio]=$B610) *
  (desp[parcela]&gt;=F$1) *
  (desp[parcela]&lt;EOMONTH(F$1,0)+1)
)</f>
        <v>0</v>
      </c>
      <c r="G610" s="245" cm="1">
        <f t="array" ref="G610">-SUMPRODUCT(
  desp[data.vencimento] *
  (desp[classificacao]=$B$289) *
  (desp[centro.negocio]=$B610) *
  (desp[parcela]&gt;=G$1) *
  (desp[parcela]&lt;EOMONTH(G$1,0)+1)
)</f>
        <v>0</v>
      </c>
      <c r="H610" s="245" cm="1">
        <f t="array" ref="H610">-SUMPRODUCT(
  desp[data.vencimento] *
  (desp[classificacao]=$B$289) *
  (desp[centro.negocio]=$B610) *
  (desp[parcela]&gt;=H$1) *
  (desp[parcela]&lt;EOMONTH(H$1,0)+1)
)</f>
        <v>0</v>
      </c>
      <c r="I610" s="245" cm="1">
        <f t="array" ref="I610">-SUMPRODUCT(
  desp[data.vencimento] *
  (desp[classificacao]=$B$289) *
  (desp[centro.negocio]=$B610) *
  (desp[parcela]&gt;=I$1) *
  (desp[parcela]&lt;EOMONTH(I$1,0)+1)
)</f>
        <v>0</v>
      </c>
      <c r="J610" s="245" cm="1">
        <f t="array" ref="J610">-SUMPRODUCT(
  desp[data.vencimento] *
  (desp[classificacao]=$B$289) *
  (desp[centro.negocio]=$B610) *
  (desp[parcela]&gt;=J$1) *
  (desp[parcela]&lt;EOMONTH(J$1,0)+1)
)</f>
        <v>0</v>
      </c>
      <c r="K610" s="245" cm="1">
        <f t="array" ref="K610">-SUMPRODUCT(
  desp[data.vencimento] *
  (desp[classificacao]=$B$289) *
  (desp[centro.negocio]=$B610) *
  (desp[parcela]&gt;=K$1) *
  (desp[parcela]&lt;EOMONTH(K$1,0)+1)
)</f>
        <v>0</v>
      </c>
      <c r="L610" s="245" cm="1">
        <f t="array" ref="L610">-SUMPRODUCT(
  desp[data.vencimento] *
  (desp[classificacao]=$B$289) *
  (desp[centro.negocio]=$B610) *
  (desp[parcela]&gt;=L$1) *
  (desp[parcela]&lt;EOMONTH(L$1,0)+1)
)</f>
        <v>0</v>
      </c>
      <c r="M610" s="245" cm="1">
        <f t="array" ref="M610">-SUMPRODUCT(
  desp[data.vencimento] *
  (desp[classificacao]=$B$289) *
  (desp[centro.negocio]=$B610) *
  (desp[parcela]&gt;=M$1) *
  (desp[parcela]&lt;EOMONTH(M$1,0)+1)
)</f>
        <v>0</v>
      </c>
      <c r="N610" s="245" cm="1">
        <f t="array" ref="N610">-SUMPRODUCT(
  desp[data.vencimento] *
  (desp[classificacao]=$B$289) *
  (desp[centro.negocio]=$B610) *
  (desp[parcela]&gt;=N$1) *
  (desp[parcela]&lt;EOMONTH(N$1,0)+1)
)</f>
        <v>0</v>
      </c>
      <c r="O610" s="245" cm="1">
        <f t="array" ref="O610">-SUMPRODUCT(
  desp[data.vencimento] *
  (desp[classificacao]=$B$289) *
  (desp[centro.negocio]=$B610) *
  (desp[parcela]&gt;=O$1) *
  (desp[parcela]&lt;EOMONTH(O$1,0)+1)
)</f>
        <v>0</v>
      </c>
      <c r="P610" s="245" cm="1">
        <f t="array" ref="P610">-SUMPRODUCT(
  desp[data.vencimento] *
  (desp[classificacao]=$B$289) *
  (desp[centro.negocio]=$B610) *
  (desp[parcela]&gt;=P$1) *
  (desp[parcela]&lt;EOMONTH(P$1,0)+1)
)</f>
        <v>0</v>
      </c>
      <c r="Q610" s="245" cm="1">
        <f t="array" ref="Q610">-SUMPRODUCT(
  desp[data.vencimento] *
  (desp[classificacao]=$B$289) *
  (desp[centro.negocio]=$B610) *
  (desp[parcela]&gt;=Q$1) *
  (desp[parcela]&lt;EOMONTH(Q$1,0)+1)
)</f>
        <v>0</v>
      </c>
      <c r="R610" s="245" cm="1">
        <f t="array" ref="R610">-SUMPRODUCT(
  desp[data.vencimento] *
  (desp[classificacao]=$B$289) *
  (desp[centro.negocio]=$B610) *
  (desp[parcela]&gt;=R$1) *
  (desp[parcela]&lt;EOMONTH(R$1,0)+1)
)</f>
        <v>0</v>
      </c>
    </row>
    <row r="611" spans="1:18" outlineLevel="1" x14ac:dyDescent="0.25">
      <c r="A611" s="243" t="s">
        <v>677</v>
      </c>
      <c r="B611" s="243" t="s">
        <v>377</v>
      </c>
      <c r="C611" s="244" t="s">
        <v>522</v>
      </c>
      <c r="D611" s="245" cm="1">
        <f t="array" ref="D611">-SUMPRODUCT(
  desp[data.vencimento] *
  (desp[classificacao]=$B$289) *
  (desp[centro.negocio]=$B611) *
  (desp[parcela]&gt;=D$1) *
  (desp[parcela]&lt;EOMONTH(D$1,0)+1)
)</f>
        <v>0</v>
      </c>
      <c r="E611" s="245" cm="1">
        <f t="array" ref="E611">-SUMPRODUCT(
  desp[data.vencimento] *
  (desp[classificacao]=$B$289) *
  (desp[centro.negocio]=$B611) *
  (desp[parcela]&gt;=E$1) *
  (desp[parcela]&lt;EOMONTH(E$1,0)+1)
)</f>
        <v>0</v>
      </c>
      <c r="F611" s="245" cm="1">
        <f t="array" ref="F611">-SUMPRODUCT(
  desp[data.vencimento] *
  (desp[classificacao]=$B$289) *
  (desp[centro.negocio]=$B611) *
  (desp[parcela]&gt;=F$1) *
  (desp[parcela]&lt;EOMONTH(F$1,0)+1)
)</f>
        <v>0</v>
      </c>
      <c r="G611" s="245" cm="1">
        <f t="array" ref="G611">-SUMPRODUCT(
  desp[data.vencimento] *
  (desp[classificacao]=$B$289) *
  (desp[centro.negocio]=$B611) *
  (desp[parcela]&gt;=G$1) *
  (desp[parcela]&lt;EOMONTH(G$1,0)+1)
)</f>
        <v>0</v>
      </c>
      <c r="H611" s="245" cm="1">
        <f t="array" ref="H611">-SUMPRODUCT(
  desp[data.vencimento] *
  (desp[classificacao]=$B$289) *
  (desp[centro.negocio]=$B611) *
  (desp[parcela]&gt;=H$1) *
  (desp[parcela]&lt;EOMONTH(H$1,0)+1)
)</f>
        <v>0</v>
      </c>
      <c r="I611" s="245" cm="1">
        <f t="array" ref="I611">-SUMPRODUCT(
  desp[data.vencimento] *
  (desp[classificacao]=$B$289) *
  (desp[centro.negocio]=$B611) *
  (desp[parcela]&gt;=I$1) *
  (desp[parcela]&lt;EOMONTH(I$1,0)+1)
)</f>
        <v>0</v>
      </c>
      <c r="J611" s="245" cm="1">
        <f t="array" ref="J611">-SUMPRODUCT(
  desp[data.vencimento] *
  (desp[classificacao]=$B$289) *
  (desp[centro.negocio]=$B611) *
  (desp[parcela]&gt;=J$1) *
  (desp[parcela]&lt;EOMONTH(J$1,0)+1)
)</f>
        <v>0</v>
      </c>
      <c r="K611" s="245" cm="1">
        <f t="array" ref="K611">-SUMPRODUCT(
  desp[data.vencimento] *
  (desp[classificacao]=$B$289) *
  (desp[centro.negocio]=$B611) *
  (desp[parcela]&gt;=K$1) *
  (desp[parcela]&lt;EOMONTH(K$1,0)+1)
)</f>
        <v>0</v>
      </c>
      <c r="L611" s="245" cm="1">
        <f t="array" ref="L611">-SUMPRODUCT(
  desp[data.vencimento] *
  (desp[classificacao]=$B$289) *
  (desp[centro.negocio]=$B611) *
  (desp[parcela]&gt;=L$1) *
  (desp[parcela]&lt;EOMONTH(L$1,0)+1)
)</f>
        <v>0</v>
      </c>
      <c r="M611" s="245" cm="1">
        <f t="array" ref="M611">-SUMPRODUCT(
  desp[data.vencimento] *
  (desp[classificacao]=$B$289) *
  (desp[centro.negocio]=$B611) *
  (desp[parcela]&gt;=M$1) *
  (desp[parcela]&lt;EOMONTH(M$1,0)+1)
)</f>
        <v>0</v>
      </c>
      <c r="N611" s="245" cm="1">
        <f t="array" ref="N611">-SUMPRODUCT(
  desp[data.vencimento] *
  (desp[classificacao]=$B$289) *
  (desp[centro.negocio]=$B611) *
  (desp[parcela]&gt;=N$1) *
  (desp[parcela]&lt;EOMONTH(N$1,0)+1)
)</f>
        <v>0</v>
      </c>
      <c r="O611" s="245" cm="1">
        <f t="array" ref="O611">-SUMPRODUCT(
  desp[data.vencimento] *
  (desp[classificacao]=$B$289) *
  (desp[centro.negocio]=$B611) *
  (desp[parcela]&gt;=O$1) *
  (desp[parcela]&lt;EOMONTH(O$1,0)+1)
)</f>
        <v>0</v>
      </c>
      <c r="P611" s="245" cm="1">
        <f t="array" ref="P611">-SUMPRODUCT(
  desp[data.vencimento] *
  (desp[classificacao]=$B$289) *
  (desp[centro.negocio]=$B611) *
  (desp[parcela]&gt;=P$1) *
  (desp[parcela]&lt;EOMONTH(P$1,0)+1)
)</f>
        <v>0</v>
      </c>
      <c r="Q611" s="245" cm="1">
        <f t="array" ref="Q611">-SUMPRODUCT(
  desp[data.vencimento] *
  (desp[classificacao]=$B$289) *
  (desp[centro.negocio]=$B611) *
  (desp[parcela]&gt;=Q$1) *
  (desp[parcela]&lt;EOMONTH(Q$1,0)+1)
)</f>
        <v>0</v>
      </c>
      <c r="R611" s="245" cm="1">
        <f t="array" ref="R611">-SUMPRODUCT(
  desp[data.vencimento] *
  (desp[classificacao]=$B$289) *
  (desp[centro.negocio]=$B611) *
  (desp[parcela]&gt;=R$1) *
  (desp[parcela]&lt;EOMONTH(R$1,0)+1)
)</f>
        <v>0</v>
      </c>
    </row>
    <row r="612" spans="1:18" outlineLevel="1" x14ac:dyDescent="0.25">
      <c r="A612" s="243" t="s">
        <v>679</v>
      </c>
      <c r="B612" s="243" t="s">
        <v>403</v>
      </c>
      <c r="C612" s="244" t="s">
        <v>522</v>
      </c>
      <c r="D612" s="245" cm="1">
        <f t="array" ref="D612">-SUMPRODUCT(
  desp[data.vencimento] *
  (desp[classificacao]=$B$289) *
  (desp[centro.negocio]=$B612) *
  (desp[parcela]&gt;=D$1) *
  (desp[parcela]&lt;EOMONTH(D$1,0)+1)
)</f>
        <v>0</v>
      </c>
      <c r="E612" s="245" cm="1">
        <f t="array" ref="E612">-SUMPRODUCT(
  desp[data.vencimento] *
  (desp[classificacao]=$B$289) *
  (desp[centro.negocio]=$B612) *
  (desp[parcela]&gt;=E$1) *
  (desp[parcela]&lt;EOMONTH(E$1,0)+1)
)</f>
        <v>0</v>
      </c>
      <c r="F612" s="245" cm="1">
        <f t="array" ref="F612">-SUMPRODUCT(
  desp[data.vencimento] *
  (desp[classificacao]=$B$289) *
  (desp[centro.negocio]=$B612) *
  (desp[parcela]&gt;=F$1) *
  (desp[parcela]&lt;EOMONTH(F$1,0)+1)
)</f>
        <v>0</v>
      </c>
      <c r="G612" s="245" cm="1">
        <f t="array" ref="G612">-SUMPRODUCT(
  desp[data.vencimento] *
  (desp[classificacao]=$B$289) *
  (desp[centro.negocio]=$B612) *
  (desp[parcela]&gt;=G$1) *
  (desp[parcela]&lt;EOMONTH(G$1,0)+1)
)</f>
        <v>0</v>
      </c>
      <c r="H612" s="245" cm="1">
        <f t="array" ref="H612">-SUMPRODUCT(
  desp[data.vencimento] *
  (desp[classificacao]=$B$289) *
  (desp[centro.negocio]=$B612) *
  (desp[parcela]&gt;=H$1) *
  (desp[parcela]&lt;EOMONTH(H$1,0)+1)
)</f>
        <v>0</v>
      </c>
      <c r="I612" s="245" cm="1">
        <f t="array" ref="I612">-SUMPRODUCT(
  desp[data.vencimento] *
  (desp[classificacao]=$B$289) *
  (desp[centro.negocio]=$B612) *
  (desp[parcela]&gt;=I$1) *
  (desp[parcela]&lt;EOMONTH(I$1,0)+1)
)</f>
        <v>0</v>
      </c>
      <c r="J612" s="245" cm="1">
        <f t="array" ref="J612">-SUMPRODUCT(
  desp[data.vencimento] *
  (desp[classificacao]=$B$289) *
  (desp[centro.negocio]=$B612) *
  (desp[parcela]&gt;=J$1) *
  (desp[parcela]&lt;EOMONTH(J$1,0)+1)
)</f>
        <v>0</v>
      </c>
      <c r="K612" s="245" cm="1">
        <f t="array" ref="K612">-SUMPRODUCT(
  desp[data.vencimento] *
  (desp[classificacao]=$B$289) *
  (desp[centro.negocio]=$B612) *
  (desp[parcela]&gt;=K$1) *
  (desp[parcela]&lt;EOMONTH(K$1,0)+1)
)</f>
        <v>0</v>
      </c>
      <c r="L612" s="245" cm="1">
        <f t="array" ref="L612">-SUMPRODUCT(
  desp[data.vencimento] *
  (desp[classificacao]=$B$289) *
  (desp[centro.negocio]=$B612) *
  (desp[parcela]&gt;=L$1) *
  (desp[parcela]&lt;EOMONTH(L$1,0)+1)
)</f>
        <v>0</v>
      </c>
      <c r="M612" s="245" cm="1">
        <f t="array" ref="M612">-SUMPRODUCT(
  desp[data.vencimento] *
  (desp[classificacao]=$B$289) *
  (desp[centro.negocio]=$B612) *
  (desp[parcela]&gt;=M$1) *
  (desp[parcela]&lt;EOMONTH(M$1,0)+1)
)</f>
        <v>0</v>
      </c>
      <c r="N612" s="245" cm="1">
        <f t="array" ref="N612">-SUMPRODUCT(
  desp[data.vencimento] *
  (desp[classificacao]=$B$289) *
  (desp[centro.negocio]=$B612) *
  (desp[parcela]&gt;=N$1) *
  (desp[parcela]&lt;EOMONTH(N$1,0)+1)
)</f>
        <v>0</v>
      </c>
      <c r="O612" s="245" cm="1">
        <f t="array" ref="O612">-SUMPRODUCT(
  desp[data.vencimento] *
  (desp[classificacao]=$B$289) *
  (desp[centro.negocio]=$B612) *
  (desp[parcela]&gt;=O$1) *
  (desp[parcela]&lt;EOMONTH(O$1,0)+1)
)</f>
        <v>0</v>
      </c>
      <c r="P612" s="245" cm="1">
        <f t="array" ref="P612">-SUMPRODUCT(
  desp[data.vencimento] *
  (desp[classificacao]=$B$289) *
  (desp[centro.negocio]=$B612) *
  (desp[parcela]&gt;=P$1) *
  (desp[parcela]&lt;EOMONTH(P$1,0)+1)
)</f>
        <v>0</v>
      </c>
      <c r="Q612" s="245" cm="1">
        <f t="array" ref="Q612">-SUMPRODUCT(
  desp[data.vencimento] *
  (desp[classificacao]=$B$289) *
  (desp[centro.negocio]=$B612) *
  (desp[parcela]&gt;=Q$1) *
  (desp[parcela]&lt;EOMONTH(Q$1,0)+1)
)</f>
        <v>0</v>
      </c>
      <c r="R612" s="245" cm="1">
        <f t="array" ref="R612">-SUMPRODUCT(
  desp[data.vencimento] *
  (desp[classificacao]=$B$289) *
  (desp[centro.negocio]=$B612) *
  (desp[parcela]&gt;=R$1) *
  (desp[parcela]&lt;EOMONTH(R$1,0)+1)
)</f>
        <v>0</v>
      </c>
    </row>
    <row r="613" spans="1:18" outlineLevel="1" x14ac:dyDescent="0.25">
      <c r="A613" s="243" t="s">
        <v>690</v>
      </c>
      <c r="B613" s="243" t="s">
        <v>378</v>
      </c>
      <c r="C613" s="244" t="s">
        <v>522</v>
      </c>
      <c r="D613" s="245" cm="1">
        <f t="array" ref="D613">-SUMPRODUCT(
  desp[data.vencimento] *
  (desp[classificacao]=$B$289) *
  (desp[centro.negocio]=$B613) *
  (desp[parcela]&gt;=D$1) *
  (desp[parcela]&lt;EOMONTH(D$1,0)+1)
)</f>
        <v>0</v>
      </c>
      <c r="E613" s="245" cm="1">
        <f t="array" ref="E613">-SUMPRODUCT(
  desp[data.vencimento] *
  (desp[classificacao]=$B$289) *
  (desp[centro.negocio]=$B613) *
  (desp[parcela]&gt;=E$1) *
  (desp[parcela]&lt;EOMONTH(E$1,0)+1)
)</f>
        <v>0</v>
      </c>
      <c r="F613" s="245" cm="1">
        <f t="array" ref="F613">-SUMPRODUCT(
  desp[data.vencimento] *
  (desp[classificacao]=$B$289) *
  (desp[centro.negocio]=$B613) *
  (desp[parcela]&gt;=F$1) *
  (desp[parcela]&lt;EOMONTH(F$1,0)+1)
)</f>
        <v>0</v>
      </c>
      <c r="G613" s="245" cm="1">
        <f t="array" ref="G613">-SUMPRODUCT(
  desp[data.vencimento] *
  (desp[classificacao]=$B$289) *
  (desp[centro.negocio]=$B613) *
  (desp[parcela]&gt;=G$1) *
  (desp[parcela]&lt;EOMONTH(G$1,0)+1)
)</f>
        <v>0</v>
      </c>
      <c r="H613" s="245" cm="1">
        <f t="array" ref="H613">-SUMPRODUCT(
  desp[data.vencimento] *
  (desp[classificacao]=$B$289) *
  (desp[centro.negocio]=$B613) *
  (desp[parcela]&gt;=H$1) *
  (desp[parcela]&lt;EOMONTH(H$1,0)+1)
)</f>
        <v>0</v>
      </c>
      <c r="I613" s="245" cm="1">
        <f t="array" ref="I613">-SUMPRODUCT(
  desp[data.vencimento] *
  (desp[classificacao]=$B$289) *
  (desp[centro.negocio]=$B613) *
  (desp[parcela]&gt;=I$1) *
  (desp[parcela]&lt;EOMONTH(I$1,0)+1)
)</f>
        <v>0</v>
      </c>
      <c r="J613" s="245" cm="1">
        <f t="array" ref="J613">-SUMPRODUCT(
  desp[data.vencimento] *
  (desp[classificacao]=$B$289) *
  (desp[centro.negocio]=$B613) *
  (desp[parcela]&gt;=J$1) *
  (desp[parcela]&lt;EOMONTH(J$1,0)+1)
)</f>
        <v>0</v>
      </c>
      <c r="K613" s="245" cm="1">
        <f t="array" ref="K613">-SUMPRODUCT(
  desp[data.vencimento] *
  (desp[classificacao]=$B$289) *
  (desp[centro.negocio]=$B613) *
  (desp[parcela]&gt;=K$1) *
  (desp[parcela]&lt;EOMONTH(K$1,0)+1)
)</f>
        <v>0</v>
      </c>
      <c r="L613" s="245" cm="1">
        <f t="array" ref="L613">-SUMPRODUCT(
  desp[data.vencimento] *
  (desp[classificacao]=$B$289) *
  (desp[centro.negocio]=$B613) *
  (desp[parcela]&gt;=L$1) *
  (desp[parcela]&lt;EOMONTH(L$1,0)+1)
)</f>
        <v>0</v>
      </c>
      <c r="M613" s="245" cm="1">
        <f t="array" ref="M613">-SUMPRODUCT(
  desp[data.vencimento] *
  (desp[classificacao]=$B$289) *
  (desp[centro.negocio]=$B613) *
  (desp[parcela]&gt;=M$1) *
  (desp[parcela]&lt;EOMONTH(M$1,0)+1)
)</f>
        <v>0</v>
      </c>
      <c r="N613" s="245" cm="1">
        <f t="array" ref="N613">-SUMPRODUCT(
  desp[data.vencimento] *
  (desp[classificacao]=$B$289) *
  (desp[centro.negocio]=$B613) *
  (desp[parcela]&gt;=N$1) *
  (desp[parcela]&lt;EOMONTH(N$1,0)+1)
)</f>
        <v>0</v>
      </c>
      <c r="O613" s="245" cm="1">
        <f t="array" ref="O613">-SUMPRODUCT(
  desp[data.vencimento] *
  (desp[classificacao]=$B$289) *
  (desp[centro.negocio]=$B613) *
  (desp[parcela]&gt;=O$1) *
  (desp[parcela]&lt;EOMONTH(O$1,0)+1)
)</f>
        <v>0</v>
      </c>
      <c r="P613" s="245" cm="1">
        <f t="array" ref="P613">-SUMPRODUCT(
  desp[data.vencimento] *
  (desp[classificacao]=$B$289) *
  (desp[centro.negocio]=$B613) *
  (desp[parcela]&gt;=P$1) *
  (desp[parcela]&lt;EOMONTH(P$1,0)+1)
)</f>
        <v>0</v>
      </c>
      <c r="Q613" s="245" cm="1">
        <f t="array" ref="Q613">-SUMPRODUCT(
  desp[data.vencimento] *
  (desp[classificacao]=$B$289) *
  (desp[centro.negocio]=$B613) *
  (desp[parcela]&gt;=Q$1) *
  (desp[parcela]&lt;EOMONTH(Q$1,0)+1)
)</f>
        <v>0</v>
      </c>
      <c r="R613" s="245" cm="1">
        <f t="array" ref="R613">-SUMPRODUCT(
  desp[data.vencimento] *
  (desp[classificacao]=$B$289) *
  (desp[centro.negocio]=$B613) *
  (desp[parcela]&gt;=R$1) *
  (desp[parcela]&lt;EOMONTH(R$1,0)+1)
)</f>
        <v>0</v>
      </c>
    </row>
    <row r="614" spans="1:18" outlineLevel="1" x14ac:dyDescent="0.25">
      <c r="A614" s="243" t="s">
        <v>692</v>
      </c>
      <c r="B614" s="243" t="s">
        <v>350</v>
      </c>
      <c r="C614" s="244" t="s">
        <v>522</v>
      </c>
      <c r="D614" s="245" cm="1">
        <f t="array" ref="D614">-SUMPRODUCT(
  desp[data.vencimento] *
  (desp[classificacao] = $B$289) *
  (desp[parcela] &gt;= D$1) *
  (desp[parcela] &lt; EOMONTH(D$1,0)+1) *
  --ISNA(MATCH(desp[centro.negocio], {"NF - Mão de Obra";"Operações Financeiras/juros";"Terreno"}, 0))
)-
SUM(D$297:D$313)</f>
        <v>0</v>
      </c>
      <c r="E614" s="245" cm="1">
        <f t="array" ref="E614">-SUMPRODUCT(
  desp[data.vencimento] *
  (desp[classificacao] = $B$289) *
  (desp[parcela] &gt;= E$1) *
  (desp[parcela] &lt; EOMONTH(E$1,0)+1) *
  --ISNA(MATCH(desp[centro.negocio], {"NF - Mão de Obra";"Operações Financeiras/juros";"Terreno"}, 0))
)-
SUM(E$297:E$313)</f>
        <v>0</v>
      </c>
      <c r="F614" s="245" cm="1">
        <f t="array" ref="F614">-SUMPRODUCT(
  desp[data.vencimento] *
  (desp[classificacao] = $B$289) *
  (desp[parcela] &gt;= F$1) *
  (desp[parcela] &lt; EOMONTH(F$1,0)+1) *
  --ISNA(MATCH(desp[centro.negocio], {"NF - Mão de Obra";"Operações Financeiras/juros";"Terreno"}, 0))
)-
SUM(F$297:F$313)</f>
        <v>0</v>
      </c>
      <c r="G614" s="245" cm="1">
        <f t="array" ref="G614">-SUMPRODUCT(
  desp[data.vencimento] *
  (desp[classificacao] = $B$289) *
  (desp[parcela] &gt;= G$1) *
  (desp[parcela] &lt; EOMONTH(G$1,0)+1) *
  --ISNA(MATCH(desp[centro.negocio], {"NF - Mão de Obra";"Operações Financeiras/juros";"Terreno"}, 0))
)-
SUM(G$297:G$313)</f>
        <v>0</v>
      </c>
      <c r="H614" s="245" cm="1">
        <f t="array" ref="H614">-SUMPRODUCT(
  desp[data.vencimento] *
  (desp[classificacao] = $B$289) *
  (desp[parcela] &gt;= H$1) *
  (desp[parcela] &lt; EOMONTH(H$1,0)+1) *
  --ISNA(MATCH(desp[centro.negocio], {"NF - Mão de Obra";"Operações Financeiras/juros";"Terreno"}, 0))
)-
SUM(H$297:H$313)</f>
        <v>0</v>
      </c>
      <c r="I614" s="245" cm="1">
        <f t="array" ref="I614">-SUMPRODUCT(
  desp[data.vencimento] *
  (desp[classificacao] = $B$289) *
  (desp[parcela] &gt;= I$1) *
  (desp[parcela] &lt; EOMONTH(I$1,0)+1) *
  --ISNA(MATCH(desp[centro.negocio], {"NF - Mão de Obra";"Operações Financeiras/juros";"Terreno"}, 0))
)-
SUM(I$297:I$313)</f>
        <v>0</v>
      </c>
      <c r="J614" s="245" cm="1">
        <f t="array" ref="J614">-SUMPRODUCT(
  desp[data.vencimento] *
  (desp[classificacao] = $B$289) *
  (desp[parcela] &gt;= J$1) *
  (desp[parcela] &lt; EOMONTH(J$1,0)+1) *
  --ISNA(MATCH(desp[centro.negocio], {"NF - Mão de Obra";"Operações Financeiras/juros";"Terreno"}, 0))
)-
SUM(J$297:J$313)</f>
        <v>0</v>
      </c>
      <c r="K614" s="245" cm="1">
        <f t="array" ref="K614">-SUMPRODUCT(
  desp[data.vencimento] *
  (desp[classificacao] = $B$289) *
  (desp[parcela] &gt;= K$1) *
  (desp[parcela] &lt; EOMONTH(K$1,0)+1) *
  --ISNA(MATCH(desp[centro.negocio], {"NF - Mão de Obra";"Operações Financeiras/juros";"Terreno"}, 0))
)-
SUM(K$297:K$313)</f>
        <v>0</v>
      </c>
      <c r="L614" s="245" cm="1">
        <f t="array" ref="L614">-SUMPRODUCT(
  desp[data.vencimento] *
  (desp[classificacao] = $B$289) *
  (desp[parcela] &gt;= L$1) *
  (desp[parcela] &lt; EOMONTH(L$1,0)+1) *
  --ISNA(MATCH(desp[centro.negocio], {"NF - Mão de Obra";"Operações Financeiras/juros";"Terreno"}, 0))
)-
SUM(L$297:L$313)</f>
        <v>0</v>
      </c>
      <c r="M614" s="245" cm="1">
        <f t="array" ref="M614">-SUMPRODUCT(
  desp[data.vencimento] *
  (desp[classificacao] = $B$289) *
  (desp[parcela] &gt;= M$1) *
  (desp[parcela] &lt; EOMONTH(M$1,0)+1) *
  --ISNA(MATCH(desp[centro.negocio], {"NF - Mão de Obra";"Operações Financeiras/juros";"Terreno"}, 0))
)-
SUM(M$297:M$313)</f>
        <v>0</v>
      </c>
      <c r="N614" s="245" cm="1">
        <f t="array" ref="N614">-SUMPRODUCT(
  desp[data.vencimento] *
  (desp[classificacao] = $B$289) *
  (desp[parcela] &gt;= N$1) *
  (desp[parcela] &lt; EOMONTH(N$1,0)+1) *
  --ISNA(MATCH(desp[centro.negocio], {"NF - Mão de Obra";"Operações Financeiras/juros";"Terreno"}, 0))
)-
SUM(N$297:N$313)</f>
        <v>0</v>
      </c>
      <c r="O614" s="245" cm="1">
        <f t="array" ref="O614">-SUMPRODUCT(
  desp[data.vencimento] *
  (desp[classificacao] = $B$289) *
  (desp[parcela] &gt;= O$1) *
  (desp[parcela] &lt; EOMONTH(O$1,0)+1) *
  --ISNA(MATCH(desp[centro.negocio], {"NF - Mão de Obra";"Operações Financeiras/juros";"Terreno"}, 0))
)-
SUM(O$297:O$313)</f>
        <v>0</v>
      </c>
      <c r="P614" s="245" cm="1">
        <f t="array" ref="P614">-SUMPRODUCT(
  desp[data.vencimento] *
  (desp[classificacao] = $B$289) *
  (desp[parcela] &gt;= P$1) *
  (desp[parcela] &lt; EOMONTH(P$1,0)+1) *
  --ISNA(MATCH(desp[centro.negocio], {"NF - Mão de Obra";"Operações Financeiras/juros";"Terreno"}, 0))
)-
SUM(P$297:P$313)</f>
        <v>0</v>
      </c>
      <c r="Q614" s="245" cm="1">
        <f t="array" ref="Q614">-SUMPRODUCT(
  desp[data.vencimento] *
  (desp[classificacao] = $B$289) *
  (desp[parcela] &gt;= Q$1) *
  (desp[parcela] &lt; EOMONTH(Q$1,0)+1) *
  --ISNA(MATCH(desp[centro.negocio], {"NF - Mão de Obra";"Operações Financeiras/juros";"Terreno"}, 0))
)-
SUM(Q$297:Q$313)</f>
        <v>0</v>
      </c>
      <c r="R614" s="245" cm="1">
        <f t="array" ref="R614">-SUMPRODUCT(
  desp[data.vencimento] *
  (desp[classificacao] = $B$289) *
  (desp[parcela] &gt;= R$1) *
  (desp[parcela] &lt; EOMONTH(R$1,0)+1) *
  --ISNA(MATCH(desp[centro.negocio], {"NF - Mão de Obra";"Operações Financeiras/juros";"Terreno"}, 0))
)-
SUM(R$297:R$313)</f>
        <v>0</v>
      </c>
    </row>
    <row r="615" spans="1:18" x14ac:dyDescent="0.25">
      <c r="A615" s="236" t="s">
        <v>693</v>
      </c>
      <c r="B615" s="236" t="s">
        <v>694</v>
      </c>
      <c r="C615" s="237"/>
      <c r="D615" s="253">
        <f>D616+D619</f>
        <v>0</v>
      </c>
      <c r="E615" s="253">
        <f t="shared" ref="E615" si="792">E616+E619</f>
        <v>0</v>
      </c>
      <c r="F615" s="253">
        <f t="shared" ref="F615" si="793">F616+F619</f>
        <v>0</v>
      </c>
      <c r="G615" s="253">
        <f t="shared" ref="G615" si="794">G616+G619</f>
        <v>0</v>
      </c>
      <c r="H615" s="253">
        <f t="shared" ref="H615" si="795">H616+H619</f>
        <v>0</v>
      </c>
      <c r="I615" s="253">
        <f t="shared" ref="I615" si="796">I616+I619</f>
        <v>0</v>
      </c>
      <c r="J615" s="253">
        <f t="shared" ref="J615" si="797">J616+J619</f>
        <v>0</v>
      </c>
      <c r="K615" s="253">
        <f t="shared" ref="K615" si="798">K616+K619</f>
        <v>0</v>
      </c>
      <c r="L615" s="253">
        <f t="shared" ref="L615" si="799">L616+L619</f>
        <v>0</v>
      </c>
      <c r="M615" s="253">
        <f t="shared" ref="M615" si="800">M616+M619</f>
        <v>0</v>
      </c>
      <c r="N615" s="253">
        <f t="shared" ref="N615" si="801">N616+N619</f>
        <v>0</v>
      </c>
      <c r="O615" s="253">
        <f t="shared" ref="O615" si="802">O616+O619</f>
        <v>0</v>
      </c>
      <c r="P615" s="253">
        <f t="shared" ref="P615" si="803">P616+P619</f>
        <v>0</v>
      </c>
      <c r="Q615" s="253">
        <f t="shared" ref="Q615:R615" si="804">Q616+Q619</f>
        <v>0</v>
      </c>
      <c r="R615" s="253">
        <f t="shared" si="804"/>
        <v>0</v>
      </c>
    </row>
    <row r="616" spans="1:18" x14ac:dyDescent="0.25">
      <c r="A616" s="240" t="s">
        <v>695</v>
      </c>
      <c r="B616" s="240" t="s">
        <v>696</v>
      </c>
      <c r="C616" s="241"/>
      <c r="D616" s="242">
        <f>SUM(D617:D618)</f>
        <v>0</v>
      </c>
      <c r="E616" s="242">
        <f t="shared" ref="E616" si="805">SUM(E617:E618)</f>
        <v>0</v>
      </c>
      <c r="F616" s="242">
        <f t="shared" ref="F616" si="806">SUM(F617:F618)</f>
        <v>0</v>
      </c>
      <c r="G616" s="242">
        <f t="shared" ref="G616" si="807">SUM(G617:G618)</f>
        <v>0</v>
      </c>
      <c r="H616" s="242">
        <f t="shared" ref="H616" si="808">SUM(H617:H618)</f>
        <v>0</v>
      </c>
      <c r="I616" s="242">
        <f t="shared" ref="I616" si="809">SUM(I617:I618)</f>
        <v>0</v>
      </c>
      <c r="J616" s="242">
        <f t="shared" ref="J616" si="810">SUM(J617:J618)</f>
        <v>0</v>
      </c>
      <c r="K616" s="242">
        <f t="shared" ref="K616" si="811">SUM(K617:K618)</f>
        <v>0</v>
      </c>
      <c r="L616" s="242">
        <f t="shared" ref="L616" si="812">SUM(L617:L618)</f>
        <v>0</v>
      </c>
      <c r="M616" s="242">
        <f t="shared" ref="M616" si="813">SUM(M617:M618)</f>
        <v>0</v>
      </c>
      <c r="N616" s="242">
        <f t="shared" ref="N616" si="814">SUM(N617:N618)</f>
        <v>0</v>
      </c>
      <c r="O616" s="242">
        <f t="shared" ref="O616" si="815">SUM(O617:O618)</f>
        <v>0</v>
      </c>
      <c r="P616" s="242">
        <f t="shared" ref="P616" si="816">SUM(P617:P618)</f>
        <v>0</v>
      </c>
      <c r="Q616" s="242">
        <f t="shared" ref="Q616:R616" si="817">SUM(Q617:Q618)</f>
        <v>0</v>
      </c>
      <c r="R616" s="242">
        <f t="shared" si="817"/>
        <v>0</v>
      </c>
    </row>
    <row r="617" spans="1:18" outlineLevel="1" x14ac:dyDescent="0.25">
      <c r="A617" s="243" t="s">
        <v>697</v>
      </c>
      <c r="B617" s="254" t="s">
        <v>698</v>
      </c>
      <c r="C617" s="193"/>
      <c r="D617" s="247"/>
      <c r="E617" s="247"/>
      <c r="F617" s="247"/>
      <c r="G617" s="247"/>
      <c r="H617" s="247"/>
      <c r="I617" s="247"/>
      <c r="J617" s="247"/>
      <c r="K617" s="247"/>
      <c r="L617" s="247"/>
      <c r="M617" s="247"/>
      <c r="N617" s="247"/>
      <c r="O617" s="247"/>
      <c r="P617" s="247"/>
      <c r="Q617" s="247"/>
      <c r="R617" s="247"/>
    </row>
    <row r="618" spans="1:18" outlineLevel="1" x14ac:dyDescent="0.25">
      <c r="A618" s="243" t="s">
        <v>699</v>
      </c>
      <c r="B618" s="254" t="s">
        <v>700</v>
      </c>
      <c r="C618" s="193"/>
      <c r="D618" s="247"/>
      <c r="E618" s="247"/>
      <c r="F618" s="247"/>
      <c r="G618" s="247"/>
      <c r="H618" s="247"/>
      <c r="I618" s="247"/>
      <c r="J618" s="247"/>
      <c r="K618" s="247"/>
      <c r="L618" s="247"/>
      <c r="M618" s="247"/>
      <c r="N618" s="247"/>
      <c r="O618" s="247"/>
      <c r="P618" s="247"/>
      <c r="Q618" s="247"/>
      <c r="R618" s="247"/>
    </row>
    <row r="619" spans="1:18" x14ac:dyDescent="0.25">
      <c r="A619" s="249" t="s">
        <v>701</v>
      </c>
      <c r="B619" s="249" t="s">
        <v>702</v>
      </c>
      <c r="C619" s="255"/>
      <c r="D619" s="256">
        <f>SUM(D620:D622)</f>
        <v>0</v>
      </c>
      <c r="E619" s="256">
        <f t="shared" ref="E619" si="818">SUM(E620:E622)</f>
        <v>0</v>
      </c>
      <c r="F619" s="256">
        <f t="shared" ref="F619" si="819">SUM(F620:F622)</f>
        <v>0</v>
      </c>
      <c r="G619" s="256">
        <f t="shared" ref="G619" si="820">SUM(G620:G622)</f>
        <v>0</v>
      </c>
      <c r="H619" s="256">
        <f t="shared" ref="H619" si="821">SUM(H620:H622)</f>
        <v>0</v>
      </c>
      <c r="I619" s="256">
        <f t="shared" ref="I619" si="822">SUM(I620:I622)</f>
        <v>0</v>
      </c>
      <c r="J619" s="256">
        <f t="shared" ref="J619" si="823">SUM(J620:J622)</f>
        <v>0</v>
      </c>
      <c r="K619" s="256">
        <f t="shared" ref="K619" si="824">SUM(K620:K622)</f>
        <v>0</v>
      </c>
      <c r="L619" s="256">
        <f t="shared" ref="L619" si="825">SUM(L620:L622)</f>
        <v>0</v>
      </c>
      <c r="M619" s="256">
        <f t="shared" ref="M619" si="826">SUM(M620:M622)</f>
        <v>0</v>
      </c>
      <c r="N619" s="256">
        <f t="shared" ref="N619" si="827">SUM(N620:N622)</f>
        <v>0</v>
      </c>
      <c r="O619" s="256">
        <f t="shared" ref="O619" si="828">SUM(O620:O622)</f>
        <v>0</v>
      </c>
      <c r="P619" s="256">
        <f t="shared" ref="P619" si="829">SUM(P620:P622)</f>
        <v>0</v>
      </c>
      <c r="Q619" s="256">
        <f t="shared" ref="Q619:R619" si="830">SUM(Q620:Q622)</f>
        <v>0</v>
      </c>
      <c r="R619" s="256">
        <f t="shared" si="830"/>
        <v>0</v>
      </c>
    </row>
    <row r="620" spans="1:18" outlineLevel="1" x14ac:dyDescent="0.25">
      <c r="A620" s="243" t="s">
        <v>703</v>
      </c>
      <c r="B620" s="243" t="s">
        <v>407</v>
      </c>
      <c r="C620" s="244" t="s">
        <v>522</v>
      </c>
      <c r="D620" s="245" cm="1">
        <f t="array" ref="D620">-SUMPRODUCT(
  desp[data.vencimento] *
  (desp[classificacao]=$B$289) *
  (desp[centro.negocio]=$B620) *
  (desp[parcela]&gt;=D$1) *
  (desp[parcela]&lt;EOMONTH(D$1,0)+1)
)</f>
        <v>0</v>
      </c>
      <c r="E620" s="245" cm="1">
        <f t="array" ref="E620">-SUMPRODUCT(
  desp[data.vencimento] *
  (desp[classificacao]=$B$289) *
  (desp[centro.negocio]=$B620) *
  (desp[parcela]&gt;=E$1) *
  (desp[parcela]&lt;EOMONTH(E$1,0)+1)
)</f>
        <v>0</v>
      </c>
      <c r="F620" s="245" cm="1">
        <f t="array" ref="F620">-SUMPRODUCT(
  desp[data.vencimento] *
  (desp[classificacao]=$B$289) *
  (desp[centro.negocio]=$B620) *
  (desp[parcela]&gt;=F$1) *
  (desp[parcela]&lt;EOMONTH(F$1,0)+1)
)</f>
        <v>0</v>
      </c>
      <c r="G620" s="245" cm="1">
        <f t="array" ref="G620">-SUMPRODUCT(
  desp[data.vencimento] *
  (desp[classificacao]=$B$289) *
  (desp[centro.negocio]=$B620) *
  (desp[parcela]&gt;=G$1) *
  (desp[parcela]&lt;EOMONTH(G$1,0)+1)
)</f>
        <v>0</v>
      </c>
      <c r="H620" s="245" cm="1">
        <f t="array" ref="H620">-SUMPRODUCT(
  desp[data.vencimento] *
  (desp[classificacao]=$B$289) *
  (desp[centro.negocio]=$B620) *
  (desp[parcela]&gt;=H$1) *
  (desp[parcela]&lt;EOMONTH(H$1,0)+1)
)</f>
        <v>0</v>
      </c>
      <c r="I620" s="245" cm="1">
        <f t="array" ref="I620">-SUMPRODUCT(
  desp[data.vencimento] *
  (desp[classificacao]=$B$289) *
  (desp[centro.negocio]=$B620) *
  (desp[parcela]&gt;=I$1) *
  (desp[parcela]&lt;EOMONTH(I$1,0)+1)
)</f>
        <v>0</v>
      </c>
      <c r="J620" s="245" cm="1">
        <f t="array" ref="J620">-SUMPRODUCT(
  desp[data.vencimento] *
  (desp[classificacao]=$B$289) *
  (desp[centro.negocio]=$B620) *
  (desp[parcela]&gt;=J$1) *
  (desp[parcela]&lt;EOMONTH(J$1,0)+1)
)</f>
        <v>0</v>
      </c>
      <c r="K620" s="245" cm="1">
        <f t="array" ref="K620">-SUMPRODUCT(
  desp[data.vencimento] *
  (desp[classificacao]=$B$289) *
  (desp[centro.negocio]=$B620) *
  (desp[parcela]&gt;=K$1) *
  (desp[parcela]&lt;EOMONTH(K$1,0)+1)
)</f>
        <v>0</v>
      </c>
      <c r="L620" s="245" cm="1">
        <f t="array" ref="L620">-SUMPRODUCT(
  desp[data.vencimento] *
  (desp[classificacao]=$B$289) *
  (desp[centro.negocio]=$B620) *
  (desp[parcela]&gt;=L$1) *
  (desp[parcela]&lt;EOMONTH(L$1,0)+1)
)</f>
        <v>0</v>
      </c>
      <c r="M620" s="245" cm="1">
        <f t="array" ref="M620">-SUMPRODUCT(
  desp[data.vencimento] *
  (desp[classificacao]=$B$289) *
  (desp[centro.negocio]=$B620) *
  (desp[parcela]&gt;=M$1) *
  (desp[parcela]&lt;EOMONTH(M$1,0)+1)
)</f>
        <v>0</v>
      </c>
      <c r="N620" s="245" cm="1">
        <f t="array" ref="N620">-SUMPRODUCT(
  desp[data.vencimento] *
  (desp[classificacao]=$B$289) *
  (desp[centro.negocio]=$B620) *
  (desp[parcela]&gt;=N$1) *
  (desp[parcela]&lt;EOMONTH(N$1,0)+1)
)</f>
        <v>0</v>
      </c>
      <c r="O620" s="245" cm="1">
        <f t="array" ref="O620">-SUMPRODUCT(
  desp[data.vencimento] *
  (desp[classificacao]=$B$289) *
  (desp[centro.negocio]=$B620) *
  (desp[parcela]&gt;=O$1) *
  (desp[parcela]&lt;EOMONTH(O$1,0)+1)
)</f>
        <v>0</v>
      </c>
      <c r="P620" s="245" cm="1">
        <f t="array" ref="P620">-SUMPRODUCT(
  desp[data.vencimento] *
  (desp[classificacao]=$B$289) *
  (desp[centro.negocio]=$B620) *
  (desp[parcela]&gt;=P$1) *
  (desp[parcela]&lt;EOMONTH(P$1,0)+1)
)</f>
        <v>0</v>
      </c>
      <c r="Q620" s="245" cm="1">
        <f t="array" ref="Q620">-SUMPRODUCT(
  desp[data.vencimento] *
  (desp[classificacao]=$B$289) *
  (desp[centro.negocio]=$B620) *
  (desp[parcela]&gt;=Q$1) *
  (desp[parcela]&lt;EOMONTH(Q$1,0)+1)
)</f>
        <v>0</v>
      </c>
      <c r="R620" s="245" cm="1">
        <f t="array" ref="R620">-SUMPRODUCT(
  desp[data.vencimento] *
  (desp[classificacao]=$B$289) *
  (desp[centro.negocio]=$B620) *
  (desp[parcela]&gt;=R$1) *
  (desp[parcela]&lt;EOMONTH(R$1,0)+1)
)</f>
        <v>0</v>
      </c>
    </row>
    <row r="621" spans="1:18" outlineLevel="1" x14ac:dyDescent="0.25">
      <c r="A621" s="243" t="s">
        <v>719</v>
      </c>
      <c r="B621" s="254" t="s">
        <v>720</v>
      </c>
      <c r="C621" s="193"/>
      <c r="D621" s="247"/>
      <c r="E621" s="247"/>
      <c r="F621" s="247"/>
      <c r="G621" s="247"/>
      <c r="H621" s="247"/>
      <c r="I621" s="247"/>
      <c r="J621" s="247"/>
      <c r="K621" s="247"/>
      <c r="L621" s="247"/>
      <c r="M621" s="247"/>
      <c r="N621" s="247"/>
      <c r="O621" s="247"/>
      <c r="P621" s="247"/>
      <c r="Q621" s="247"/>
      <c r="R621" s="247"/>
    </row>
    <row r="622" spans="1:18" outlineLevel="1" x14ac:dyDescent="0.25">
      <c r="A622" s="243" t="s">
        <v>721</v>
      </c>
      <c r="B622" s="254" t="s">
        <v>722</v>
      </c>
      <c r="C622" s="193"/>
      <c r="D622" s="247"/>
      <c r="E622" s="247"/>
      <c r="F622" s="247"/>
      <c r="G622" s="247"/>
      <c r="H622" s="247"/>
      <c r="I622" s="247"/>
      <c r="J622" s="247"/>
      <c r="K622" s="247"/>
      <c r="L622" s="247"/>
      <c r="M622" s="247"/>
      <c r="N622" s="247"/>
      <c r="O622" s="247"/>
      <c r="P622" s="247"/>
      <c r="Q622" s="247"/>
      <c r="R622" s="247"/>
    </row>
    <row r="623" spans="1:18" x14ac:dyDescent="0.25">
      <c r="A623" s="236" t="s">
        <v>723</v>
      </c>
      <c r="B623" s="236" t="s">
        <v>724</v>
      </c>
      <c r="C623" s="237"/>
      <c r="D623" s="238">
        <f>D624+D629</f>
        <v>489068.85</v>
      </c>
      <c r="E623" s="238">
        <f t="shared" ref="E623" si="831">E624+E629</f>
        <v>0</v>
      </c>
      <c r="F623" s="238">
        <f t="shared" ref="F623" si="832">F624+F629</f>
        <v>385006.39</v>
      </c>
      <c r="G623" s="238">
        <f t="shared" ref="G623" si="833">G624+G629</f>
        <v>223853.73</v>
      </c>
      <c r="H623" s="238">
        <f t="shared" ref="H623" si="834">H624+H629</f>
        <v>134752.4</v>
      </c>
      <c r="I623" s="238">
        <f t="shared" ref="I623" si="835">I624+I629</f>
        <v>289304.8</v>
      </c>
      <c r="J623" s="238">
        <f t="shared" ref="J623" si="836">J624+J629</f>
        <v>171602.91</v>
      </c>
      <c r="K623" s="238">
        <f t="shared" ref="K623" si="837">K624+K629</f>
        <v>366306.04</v>
      </c>
      <c r="L623" s="238">
        <f t="shared" ref="L623" si="838">L624+L629</f>
        <v>181081.21</v>
      </c>
      <c r="M623" s="238">
        <f t="shared" ref="M623" si="839">M624+M629</f>
        <v>266613.7</v>
      </c>
      <c r="N623" s="238">
        <f t="shared" ref="N623" si="840">N624+N629</f>
        <v>230479.34</v>
      </c>
      <c r="O623" s="238">
        <f t="shared" ref="O623" si="841">O624+O629</f>
        <v>471701.2</v>
      </c>
      <c r="P623" s="238">
        <f t="shared" ref="P623" si="842">P624+P629</f>
        <v>0</v>
      </c>
      <c r="Q623" s="238">
        <f t="shared" ref="Q623:R623" si="843">Q624+Q629</f>
        <v>46792.36</v>
      </c>
      <c r="R623" s="238">
        <f t="shared" si="843"/>
        <v>0</v>
      </c>
    </row>
    <row r="624" spans="1:18" x14ac:dyDescent="0.25">
      <c r="A624" s="240" t="s">
        <v>725</v>
      </c>
      <c r="B624" s="240" t="s">
        <v>726</v>
      </c>
      <c r="C624" s="241"/>
      <c r="D624" s="242">
        <f>D625+D628</f>
        <v>489068.85</v>
      </c>
      <c r="E624" s="242">
        <f t="shared" ref="E624" si="844">E625+E628</f>
        <v>0</v>
      </c>
      <c r="F624" s="242">
        <f t="shared" ref="F624" si="845">F625+F628</f>
        <v>385006.39</v>
      </c>
      <c r="G624" s="242">
        <f t="shared" ref="G624" si="846">G625+G628</f>
        <v>223853.73</v>
      </c>
      <c r="H624" s="242">
        <f t="shared" ref="H624" si="847">H625+H628</f>
        <v>134752.4</v>
      </c>
      <c r="I624" s="242">
        <f t="shared" ref="I624" si="848">I625+I628</f>
        <v>289304.8</v>
      </c>
      <c r="J624" s="242">
        <f t="shared" ref="J624" si="849">J625+J628</f>
        <v>171602.91</v>
      </c>
      <c r="K624" s="242">
        <f t="shared" ref="K624" si="850">K625+K628</f>
        <v>366306.04</v>
      </c>
      <c r="L624" s="242">
        <f t="shared" ref="L624" si="851">L625+L628</f>
        <v>181081.21</v>
      </c>
      <c r="M624" s="242">
        <f t="shared" ref="M624" si="852">M625+M628</f>
        <v>266613.7</v>
      </c>
      <c r="N624" s="242">
        <f t="shared" ref="N624" si="853">N625+N628</f>
        <v>230479.34</v>
      </c>
      <c r="O624" s="242">
        <f t="shared" ref="O624" si="854">O625+O628</f>
        <v>471701.2</v>
      </c>
      <c r="P624" s="242">
        <f t="shared" ref="P624" si="855">P625+P628</f>
        <v>0</v>
      </c>
      <c r="Q624" s="242">
        <f t="shared" ref="Q624:R624" si="856">Q625+Q628</f>
        <v>46792.36</v>
      </c>
      <c r="R624" s="242">
        <f t="shared" si="856"/>
        <v>0</v>
      </c>
    </row>
    <row r="625" spans="1:18" outlineLevel="1" x14ac:dyDescent="0.25">
      <c r="A625" s="243" t="s">
        <v>727</v>
      </c>
      <c r="B625" s="243" t="s">
        <v>728</v>
      </c>
      <c r="C625" s="244" t="s">
        <v>729</v>
      </c>
      <c r="D625" s="245">
        <f>SUM(D626:D627)</f>
        <v>489068.85</v>
      </c>
      <c r="E625" s="245">
        <f t="shared" ref="E625" si="857">SUM(E626:E627)</f>
        <v>0</v>
      </c>
      <c r="F625" s="245">
        <f t="shared" ref="F625" si="858">SUM(F626:F627)</f>
        <v>385006.39</v>
      </c>
      <c r="G625" s="245">
        <f t="shared" ref="G625" si="859">SUM(G626:G627)</f>
        <v>223853.73</v>
      </c>
      <c r="H625" s="245">
        <f t="shared" ref="H625" si="860">SUM(H626:H627)</f>
        <v>134752.4</v>
      </c>
      <c r="I625" s="245">
        <f t="shared" ref="I625" si="861">SUM(I626:I627)</f>
        <v>289304.8</v>
      </c>
      <c r="J625" s="245">
        <f t="shared" ref="J625" si="862">SUM(J626:J627)</f>
        <v>171602.91</v>
      </c>
      <c r="K625" s="245">
        <f t="shared" ref="K625" si="863">SUM(K626:K627)</f>
        <v>366306.04</v>
      </c>
      <c r="L625" s="245">
        <f t="shared" ref="L625" si="864">SUM(L626:L627)</f>
        <v>181081.21</v>
      </c>
      <c r="M625" s="245">
        <f t="shared" ref="M625" si="865">SUM(M626:M627)</f>
        <v>266613.7</v>
      </c>
      <c r="N625" s="245">
        <f t="shared" ref="N625" si="866">SUM(N626:N627)</f>
        <v>230479.34</v>
      </c>
      <c r="O625" s="245">
        <f t="shared" ref="O625" si="867">SUM(O626:O627)</f>
        <v>471701.2</v>
      </c>
      <c r="P625" s="245">
        <f t="shared" ref="P625" si="868">SUM(P626:P627)</f>
        <v>0</v>
      </c>
      <c r="Q625" s="245">
        <f t="shared" ref="Q625:R625" si="869">SUM(Q626:Q627)</f>
        <v>46792.36</v>
      </c>
      <c r="R625" s="245">
        <f t="shared" si="869"/>
        <v>0</v>
      </c>
    </row>
    <row r="626" spans="1:18" outlineLevel="2" x14ac:dyDescent="0.25">
      <c r="A626" s="258" t="s">
        <v>730</v>
      </c>
      <c r="B626" s="258" t="s">
        <v>731</v>
      </c>
      <c r="C626" s="244"/>
      <c r="D626" s="245" cm="1">
        <f t="array" ref="D626:Q626">TRANSPOSE(inputs!F$51:F$64)</f>
        <v>489068.85</v>
      </c>
      <c r="E626" s="245">
        <v>0</v>
      </c>
      <c r="F626" s="245">
        <v>385006.39</v>
      </c>
      <c r="G626" s="245">
        <v>223853.73</v>
      </c>
      <c r="H626" s="245">
        <v>134752.4</v>
      </c>
      <c r="I626" s="245">
        <v>289304.8</v>
      </c>
      <c r="J626" s="245">
        <v>171602.91</v>
      </c>
      <c r="K626" s="245">
        <v>366306.04</v>
      </c>
      <c r="L626" s="245">
        <v>181081.21</v>
      </c>
      <c r="M626" s="245">
        <v>266613.7</v>
      </c>
      <c r="N626" s="245">
        <v>230479.34</v>
      </c>
      <c r="O626" s="245">
        <v>471701.2</v>
      </c>
      <c r="P626" s="245">
        <v>0</v>
      </c>
      <c r="Q626" s="245">
        <v>46792.36</v>
      </c>
      <c r="R626" s="245"/>
    </row>
    <row r="627" spans="1:18" outlineLevel="2" x14ac:dyDescent="0.25">
      <c r="A627" s="258" t="s">
        <v>736</v>
      </c>
      <c r="B627" s="258" t="s">
        <v>350</v>
      </c>
      <c r="C627" s="244" t="s">
        <v>737</v>
      </c>
      <c r="D627" s="302"/>
      <c r="E627" s="302"/>
      <c r="F627" s="302"/>
      <c r="G627" s="302"/>
      <c r="H627" s="302"/>
      <c r="I627" s="302"/>
      <c r="J627" s="302"/>
      <c r="K627" s="302"/>
      <c r="L627" s="302"/>
      <c r="M627" s="302"/>
      <c r="N627" s="302"/>
      <c r="O627" s="302"/>
      <c r="P627" s="302"/>
      <c r="Q627" s="302"/>
      <c r="R627" s="302"/>
    </row>
    <row r="628" spans="1:18" outlineLevel="1" x14ac:dyDescent="0.25">
      <c r="A628" s="243" t="s">
        <v>751</v>
      </c>
      <c r="B628" s="254" t="s">
        <v>752</v>
      </c>
      <c r="C628" s="244" t="s">
        <v>522</v>
      </c>
      <c r="D628" s="245"/>
      <c r="E628" s="245"/>
      <c r="F628" s="245"/>
      <c r="G628" s="245"/>
      <c r="H628" s="245"/>
      <c r="I628" s="245"/>
      <c r="J628" s="245"/>
      <c r="K628" s="245"/>
      <c r="L628" s="245"/>
      <c r="M628" s="245"/>
      <c r="N628" s="245"/>
      <c r="O628" s="245"/>
      <c r="P628" s="245"/>
      <c r="Q628" s="245"/>
      <c r="R628" s="245"/>
    </row>
    <row r="629" spans="1:18" x14ac:dyDescent="0.25">
      <c r="A629" s="249" t="s">
        <v>753</v>
      </c>
      <c r="B629" s="249" t="s">
        <v>754</v>
      </c>
      <c r="C629" s="255"/>
      <c r="D629" s="256">
        <f>SUM(D630:D631)</f>
        <v>0</v>
      </c>
      <c r="E629" s="256">
        <f t="shared" ref="E629" si="870">SUM(E630:E631)</f>
        <v>0</v>
      </c>
      <c r="F629" s="256">
        <f t="shared" ref="F629" si="871">SUM(F630:F631)</f>
        <v>0</v>
      </c>
      <c r="G629" s="256">
        <f t="shared" ref="G629" si="872">SUM(G630:G631)</f>
        <v>0</v>
      </c>
      <c r="H629" s="256">
        <f t="shared" ref="H629" si="873">SUM(H630:H631)</f>
        <v>0</v>
      </c>
      <c r="I629" s="256">
        <f t="shared" ref="I629" si="874">SUM(I630:I631)</f>
        <v>0</v>
      </c>
      <c r="J629" s="256">
        <f t="shared" ref="J629" si="875">SUM(J630:J631)</f>
        <v>0</v>
      </c>
      <c r="K629" s="256">
        <f t="shared" ref="K629" si="876">SUM(K630:K631)</f>
        <v>0</v>
      </c>
      <c r="L629" s="256">
        <f t="shared" ref="L629" si="877">SUM(L630:L631)</f>
        <v>0</v>
      </c>
      <c r="M629" s="256">
        <f t="shared" ref="M629" si="878">SUM(M630:M631)</f>
        <v>0</v>
      </c>
      <c r="N629" s="256">
        <f t="shared" ref="N629" si="879">SUM(N630:N631)</f>
        <v>0</v>
      </c>
      <c r="O629" s="256">
        <f t="shared" ref="O629" si="880">SUM(O630:O631)</f>
        <v>0</v>
      </c>
      <c r="P629" s="256">
        <f t="shared" ref="P629" si="881">SUM(P630:P631)</f>
        <v>0</v>
      </c>
      <c r="Q629" s="256">
        <f t="shared" ref="Q629:R629" si="882">SUM(Q630:Q631)</f>
        <v>0</v>
      </c>
      <c r="R629" s="256">
        <f t="shared" si="882"/>
        <v>0</v>
      </c>
    </row>
    <row r="630" spans="1:18" outlineLevel="1" x14ac:dyDescent="0.25">
      <c r="A630" s="243" t="s">
        <v>755</v>
      </c>
      <c r="B630" s="248" t="s">
        <v>396</v>
      </c>
      <c r="C630" s="244" t="s">
        <v>522</v>
      </c>
      <c r="D630" s="245" cm="1">
        <f t="array" ref="D630">-SUMPRODUCT(
  desp[data.vencimento] *
  (desp[classificacao]=$B$289) *
  (desp[centro.negocio]=$B630) *
  (desp[parcela]&gt;=D$1) *
  (desp[parcela]&lt;EOMONTH(D$1,0)+1)
)</f>
        <v>0</v>
      </c>
      <c r="E630" s="245" cm="1">
        <f t="array" ref="E630">-SUMPRODUCT(
  desp[data.vencimento] *
  (desp[classificacao]=$B$289) *
  (desp[centro.negocio]=$B630) *
  (desp[parcela]&gt;=E$1) *
  (desp[parcela]&lt;EOMONTH(E$1,0)+1)
)</f>
        <v>0</v>
      </c>
      <c r="F630" s="245" cm="1">
        <f t="array" ref="F630">-SUMPRODUCT(
  desp[data.vencimento] *
  (desp[classificacao]=$B$289) *
  (desp[centro.negocio]=$B630) *
  (desp[parcela]&gt;=F$1) *
  (desp[parcela]&lt;EOMONTH(F$1,0)+1)
)</f>
        <v>0</v>
      </c>
      <c r="G630" s="245" cm="1">
        <f t="array" ref="G630">-SUMPRODUCT(
  desp[data.vencimento] *
  (desp[classificacao]=$B$289) *
  (desp[centro.negocio]=$B630) *
  (desp[parcela]&gt;=G$1) *
  (desp[parcela]&lt;EOMONTH(G$1,0)+1)
)</f>
        <v>0</v>
      </c>
      <c r="H630" s="245" cm="1">
        <f t="array" ref="H630">-SUMPRODUCT(
  desp[data.vencimento] *
  (desp[classificacao]=$B$289) *
  (desp[centro.negocio]=$B630) *
  (desp[parcela]&gt;=H$1) *
  (desp[parcela]&lt;EOMONTH(H$1,0)+1)
)</f>
        <v>0</v>
      </c>
      <c r="I630" s="245" cm="1">
        <f t="array" ref="I630">-SUMPRODUCT(
  desp[data.vencimento] *
  (desp[classificacao]=$B$289) *
  (desp[centro.negocio]=$B630) *
  (desp[parcela]&gt;=I$1) *
  (desp[parcela]&lt;EOMONTH(I$1,0)+1)
)</f>
        <v>0</v>
      </c>
      <c r="J630" s="245" cm="1">
        <f t="array" ref="J630">-SUMPRODUCT(
  desp[data.vencimento] *
  (desp[classificacao]=$B$289) *
  (desp[centro.negocio]=$B630) *
  (desp[parcela]&gt;=J$1) *
  (desp[parcela]&lt;EOMONTH(J$1,0)+1)
)</f>
        <v>0</v>
      </c>
      <c r="K630" s="245" cm="1">
        <f t="array" ref="K630">-SUMPRODUCT(
  desp[data.vencimento] *
  (desp[classificacao]=$B$289) *
  (desp[centro.negocio]=$B630) *
  (desp[parcela]&gt;=K$1) *
  (desp[parcela]&lt;EOMONTH(K$1,0)+1)
)</f>
        <v>0</v>
      </c>
      <c r="L630" s="245" cm="1">
        <f t="array" ref="L630">-SUMPRODUCT(
  desp[data.vencimento] *
  (desp[classificacao]=$B$289) *
  (desp[centro.negocio]=$B630) *
  (desp[parcela]&gt;=L$1) *
  (desp[parcela]&lt;EOMONTH(L$1,0)+1)
)</f>
        <v>0</v>
      </c>
      <c r="M630" s="245" cm="1">
        <f t="array" ref="M630">-SUMPRODUCT(
  desp[data.vencimento] *
  (desp[classificacao]=$B$289) *
  (desp[centro.negocio]=$B630) *
  (desp[parcela]&gt;=M$1) *
  (desp[parcela]&lt;EOMONTH(M$1,0)+1)
)</f>
        <v>0</v>
      </c>
      <c r="N630" s="245" cm="1">
        <f t="array" ref="N630">-SUMPRODUCT(
  desp[data.vencimento] *
  (desp[classificacao]=$B$289) *
  (desp[centro.negocio]=$B630) *
  (desp[parcela]&gt;=N$1) *
  (desp[parcela]&lt;EOMONTH(N$1,0)+1)
)</f>
        <v>0</v>
      </c>
      <c r="O630" s="245" cm="1">
        <f t="array" ref="O630">-SUMPRODUCT(
  desp[data.vencimento] *
  (desp[classificacao]=$B$289) *
  (desp[centro.negocio]=$B630) *
  (desp[parcela]&gt;=O$1) *
  (desp[parcela]&lt;EOMONTH(O$1,0)+1)
)</f>
        <v>0</v>
      </c>
      <c r="P630" s="245" cm="1">
        <f t="array" ref="P630">-SUMPRODUCT(
  desp[data.vencimento] *
  (desp[classificacao]=$B$289) *
  (desp[centro.negocio]=$B630) *
  (desp[parcela]&gt;=P$1) *
  (desp[parcela]&lt;EOMONTH(P$1,0)+1)
)</f>
        <v>0</v>
      </c>
      <c r="Q630" s="245" cm="1">
        <f t="array" ref="Q630">-SUMPRODUCT(
  desp[data.vencimento] *
  (desp[classificacao]=$B$289) *
  (desp[centro.negocio]=$B630) *
  (desp[parcela]&gt;=Q$1) *
  (desp[parcela]&lt;EOMONTH(Q$1,0)+1)
)</f>
        <v>0</v>
      </c>
      <c r="R630" s="245" cm="1">
        <f t="array" ref="R630">-SUMPRODUCT(
  desp[data.vencimento] *
  (desp[classificacao]=$B$289) *
  (desp[centro.negocio]=$B630) *
  (desp[parcela]&gt;=R$1) *
  (desp[parcela]&lt;EOMONTH(R$1,0)+1)
)</f>
        <v>0</v>
      </c>
    </row>
    <row r="631" spans="1:18" outlineLevel="1" x14ac:dyDescent="0.25">
      <c r="A631" s="243" t="s">
        <v>773</v>
      </c>
      <c r="B631" s="254" t="s">
        <v>774</v>
      </c>
      <c r="C631" s="193"/>
      <c r="D631" s="247"/>
      <c r="E631" s="247"/>
      <c r="F631" s="247"/>
      <c r="G631" s="247"/>
      <c r="H631" s="247"/>
      <c r="I631" s="247"/>
      <c r="J631" s="247"/>
      <c r="K631" s="247"/>
      <c r="L631" s="247"/>
      <c r="M631" s="247"/>
      <c r="N631" s="247"/>
      <c r="O631" s="247"/>
      <c r="P631" s="247"/>
      <c r="Q631" s="247"/>
      <c r="R631" s="247"/>
    </row>
    <row r="632" spans="1:18" x14ac:dyDescent="0.25">
      <c r="A632" s="233"/>
      <c r="B632" s="233" t="s">
        <v>775</v>
      </c>
      <c r="C632" s="260"/>
      <c r="D632" s="261">
        <f ca="1">D590+D615+D623</f>
        <v>489068.85</v>
      </c>
      <c r="E632" s="261">
        <f t="shared" ref="E632:R632" ca="1" si="883">E590+E615+E623</f>
        <v>0</v>
      </c>
      <c r="F632" s="261">
        <f t="shared" ca="1" si="883"/>
        <v>385006.39</v>
      </c>
      <c r="G632" s="261">
        <f t="shared" ca="1" si="883"/>
        <v>223853.73</v>
      </c>
      <c r="H632" s="261">
        <f t="shared" ca="1" si="883"/>
        <v>134752.4</v>
      </c>
      <c r="I632" s="261">
        <f t="shared" ca="1" si="883"/>
        <v>289304.8</v>
      </c>
      <c r="J632" s="261">
        <f t="shared" ca="1" si="883"/>
        <v>171602.91</v>
      </c>
      <c r="K632" s="261">
        <f t="shared" ca="1" si="883"/>
        <v>366306.04</v>
      </c>
      <c r="L632" s="261">
        <f t="shared" ca="1" si="883"/>
        <v>181081.21</v>
      </c>
      <c r="M632" s="261">
        <f t="shared" ca="1" si="883"/>
        <v>266613.7</v>
      </c>
      <c r="N632" s="261">
        <f t="shared" ca="1" si="883"/>
        <v>230479.34</v>
      </c>
      <c r="O632" s="261">
        <f t="shared" ca="1" si="883"/>
        <v>471701.2</v>
      </c>
      <c r="P632" s="261">
        <f t="shared" ca="1" si="883"/>
        <v>0</v>
      </c>
      <c r="Q632" s="261">
        <f t="shared" ref="Q632" ca="1" si="884">Q590+Q615+Q623</f>
        <v>46792.36</v>
      </c>
      <c r="R632" s="261">
        <f t="shared" ca="1" si="883"/>
        <v>0</v>
      </c>
    </row>
    <row r="633" spans="1:18" x14ac:dyDescent="0.25">
      <c r="A633" s="305"/>
      <c r="B633" s="305" t="s">
        <v>776</v>
      </c>
      <c r="C633" s="306"/>
      <c r="D633" s="238"/>
      <c r="E633" s="238"/>
      <c r="F633" s="238"/>
      <c r="G633" s="238"/>
      <c r="H633" s="238"/>
      <c r="I633" s="238"/>
      <c r="J633" s="238"/>
      <c r="K633" s="238"/>
      <c r="L633" s="238"/>
      <c r="M633" s="238"/>
      <c r="N633" s="238"/>
      <c r="O633" s="238"/>
      <c r="P633" s="238"/>
      <c r="Q633" s="238"/>
      <c r="R633" s="238"/>
    </row>
    <row r="634" spans="1:18" x14ac:dyDescent="0.25">
      <c r="A634" s="305"/>
      <c r="B634" s="305" t="s">
        <v>777</v>
      </c>
      <c r="C634" s="306"/>
      <c r="D634" s="238"/>
      <c r="E634" s="238"/>
      <c r="F634" s="238"/>
      <c r="G634" s="238"/>
      <c r="H634" s="238"/>
      <c r="I634" s="238"/>
      <c r="J634" s="238"/>
      <c r="K634" s="238"/>
      <c r="L634" s="238"/>
      <c r="M634" s="238"/>
      <c r="N634" s="238"/>
      <c r="O634" s="238"/>
      <c r="P634" s="238"/>
      <c r="Q634" s="238"/>
      <c r="R634" s="238"/>
    </row>
    <row r="635" spans="1:18" x14ac:dyDescent="0.25">
      <c r="A635" s="305"/>
      <c r="B635" s="305" t="s">
        <v>796</v>
      </c>
      <c r="C635" s="306"/>
      <c r="D635" s="238"/>
      <c r="E635" s="238"/>
      <c r="F635" s="238"/>
      <c r="G635" s="238"/>
      <c r="H635" s="238"/>
      <c r="I635" s="238"/>
      <c r="J635" s="238"/>
      <c r="K635" s="238"/>
      <c r="L635" s="238"/>
      <c r="M635" s="238"/>
      <c r="N635" s="238"/>
      <c r="O635" s="238"/>
      <c r="P635" s="238"/>
      <c r="Q635" s="238"/>
      <c r="R635" s="238"/>
    </row>
    <row r="639" spans="1:18" ht="21" x14ac:dyDescent="0.35">
      <c r="A639" s="301" t="s">
        <v>17</v>
      </c>
      <c r="B639" s="301" t="s">
        <v>546</v>
      </c>
    </row>
    <row r="640" spans="1:18" x14ac:dyDescent="0.25">
      <c r="A640" s="236" t="s">
        <v>510</v>
      </c>
      <c r="B640" s="236" t="s">
        <v>511</v>
      </c>
      <c r="C640" s="237"/>
      <c r="D640" s="238">
        <f ca="1">D641+D646</f>
        <v>0</v>
      </c>
      <c r="E640" s="238">
        <f t="shared" ref="E640" ca="1" si="885">E641+E646</f>
        <v>0</v>
      </c>
      <c r="F640" s="238">
        <f t="shared" ref="F640" ca="1" si="886">F641+F646</f>
        <v>0</v>
      </c>
      <c r="G640" s="238">
        <f t="shared" ref="G640" ca="1" si="887">G641+G646</f>
        <v>0</v>
      </c>
      <c r="H640" s="238">
        <f t="shared" ref="H640" ca="1" si="888">H641+H646</f>
        <v>0</v>
      </c>
      <c r="I640" s="238">
        <f t="shared" ref="I640" ca="1" si="889">I641+I646</f>
        <v>0</v>
      </c>
      <c r="J640" s="238">
        <f t="shared" ref="J640" ca="1" si="890">J641+J646</f>
        <v>0</v>
      </c>
      <c r="K640" s="238">
        <f t="shared" ref="K640" ca="1" si="891">K641+K646</f>
        <v>0</v>
      </c>
      <c r="L640" s="238">
        <f t="shared" ref="L640" ca="1" si="892">L641+L646</f>
        <v>0</v>
      </c>
      <c r="M640" s="238">
        <f t="shared" ref="M640" ca="1" si="893">M641+M646</f>
        <v>0</v>
      </c>
      <c r="N640" s="238">
        <f t="shared" ref="N640" ca="1" si="894">N641+N646</f>
        <v>0</v>
      </c>
      <c r="O640" s="238">
        <f t="shared" ref="O640" ca="1" si="895">O641+O646</f>
        <v>0</v>
      </c>
      <c r="P640" s="238">
        <f t="shared" ref="P640" ca="1" si="896">P641+P646</f>
        <v>0</v>
      </c>
      <c r="Q640" s="238">
        <f t="shared" ref="Q640:R640" ca="1" si="897">Q641+Q646</f>
        <v>0</v>
      </c>
      <c r="R640" s="238">
        <f t="shared" ca="1" si="897"/>
        <v>0</v>
      </c>
    </row>
    <row r="641" spans="1:18" x14ac:dyDescent="0.25">
      <c r="A641" s="240" t="s">
        <v>513</v>
      </c>
      <c r="B641" s="240" t="s">
        <v>514</v>
      </c>
      <c r="C641" s="241"/>
      <c r="D641" s="242">
        <f ca="1">SUM(D642:D645)</f>
        <v>0</v>
      </c>
      <c r="E641" s="242">
        <f t="shared" ref="E641" ca="1" si="898">SUM(E642:E645)</f>
        <v>0</v>
      </c>
      <c r="F641" s="242">
        <f t="shared" ref="F641" ca="1" si="899">SUM(F642:F645)</f>
        <v>0</v>
      </c>
      <c r="G641" s="242">
        <f t="shared" ref="G641" ca="1" si="900">SUM(G642:G645)</f>
        <v>0</v>
      </c>
      <c r="H641" s="242">
        <f t="shared" ref="H641" ca="1" si="901">SUM(H642:H645)</f>
        <v>0</v>
      </c>
      <c r="I641" s="242">
        <f t="shared" ref="I641" ca="1" si="902">SUM(I642:I645)</f>
        <v>0</v>
      </c>
      <c r="J641" s="242">
        <f t="shared" ref="J641" ca="1" si="903">SUM(J642:J645)</f>
        <v>0</v>
      </c>
      <c r="K641" s="242">
        <f t="shared" ref="K641" ca="1" si="904">SUM(K642:K645)</f>
        <v>0</v>
      </c>
      <c r="L641" s="242">
        <f t="shared" ref="L641" ca="1" si="905">SUM(L642:L645)</f>
        <v>0</v>
      </c>
      <c r="M641" s="242">
        <f t="shared" ref="M641" ca="1" si="906">SUM(M642:M645)</f>
        <v>0</v>
      </c>
      <c r="N641" s="242">
        <f t="shared" ref="N641" ca="1" si="907">SUM(N642:N645)</f>
        <v>0</v>
      </c>
      <c r="O641" s="242">
        <f t="shared" ref="O641" ca="1" si="908">SUM(O642:O645)</f>
        <v>0</v>
      </c>
      <c r="P641" s="242">
        <f t="shared" ref="P641" ca="1" si="909">SUM(P642:P645)</f>
        <v>0</v>
      </c>
      <c r="Q641" s="242">
        <f t="shared" ref="Q641:R641" ca="1" si="910">SUM(Q642:Q645)</f>
        <v>0</v>
      </c>
      <c r="R641" s="242">
        <f t="shared" ca="1" si="910"/>
        <v>0</v>
      </c>
    </row>
    <row r="642" spans="1:18" outlineLevel="1" x14ac:dyDescent="0.25">
      <c r="A642" s="243" t="s">
        <v>515</v>
      </c>
      <c r="B642" s="243" t="s">
        <v>516</v>
      </c>
      <c r="C642" s="244" t="s">
        <v>482</v>
      </c>
      <c r="D64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64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64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64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64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64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64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64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64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64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64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64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64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64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  <c r="R642" s="245">
        <f ca="1">SUMIFS(rec.uni[2026-03-01],
INDIRECT("rec.uni[natureza]"),"repasse.cef.obra",
INDIRECT("rec.uni[empresa]"),$A$289)+
SUMIFS(rec.uni[2026-03-01],
INDIRECT("rec.uni[natureza]"),"repasse.cef.terreno",
INDIRECT("rec.uni[empresa]"),$A$289)</f>
        <v>0</v>
      </c>
    </row>
    <row r="643" spans="1:18" outlineLevel="1" x14ac:dyDescent="0.25">
      <c r="A643" s="243" t="s">
        <v>521</v>
      </c>
      <c r="B643" s="243" t="s">
        <v>21</v>
      </c>
      <c r="C643" s="244" t="s">
        <v>522</v>
      </c>
      <c r="D643" s="245">
        <f ca="1">SUMIFS(rec.uni[2025-01-01],
INDIRECT("rec.uni[natureza]"),"pro.soluto",
INDIRECT("rec.uni[empresa]"),$A$289)</f>
        <v>0</v>
      </c>
      <c r="E643" s="245">
        <f ca="1">SUMIFS(rec.uni[2025-02-01],
INDIRECT("rec.uni[natureza]"),"pro.soluto",
INDIRECT("rec.uni[empresa]"),$A$289)</f>
        <v>0</v>
      </c>
      <c r="F643" s="245">
        <f ca="1">SUMIFS(rec.uni[2025-03-01],
INDIRECT("rec.uni[natureza]"),"pro.soluto",
INDIRECT("rec.uni[empresa]"),$A$289)</f>
        <v>0</v>
      </c>
      <c r="G643" s="245">
        <f ca="1">SUMIFS(rec.uni[2025-04-01],
INDIRECT("rec.uni[natureza]"),"pro.soluto",
INDIRECT("rec.uni[empresa]"),$A$289)</f>
        <v>0</v>
      </c>
      <c r="H643" s="245">
        <f ca="1">SUMIFS(rec.uni[2025-05-01],
INDIRECT("rec.uni[natureza]"),"pro.soluto",
INDIRECT("rec.uni[empresa]"),$A$289)</f>
        <v>0</v>
      </c>
      <c r="I643" s="245">
        <f ca="1">SUMIFS(rec.uni[2025-06-01],
INDIRECT("rec.uni[natureza]"),"pro.soluto",
INDIRECT("rec.uni[empresa]"),$A$289)</f>
        <v>0</v>
      </c>
      <c r="J643" s="245">
        <f ca="1">SUMIFS(rec.uni[2025-07-01],
INDIRECT("rec.uni[natureza]"),"pro.soluto",
INDIRECT("rec.uni[empresa]"),$A$289)</f>
        <v>0</v>
      </c>
      <c r="K643" s="245">
        <f ca="1">SUMIFS(rec.uni[2025-08-01],
INDIRECT("rec.uni[natureza]"),"pro.soluto",
INDIRECT("rec.uni[empresa]"),$A$289)</f>
        <v>0</v>
      </c>
      <c r="L643" s="245">
        <f ca="1">SUMIFS(rec.uni[2025-09-01],
INDIRECT("rec.uni[natureza]"),"pro.soluto",
INDIRECT("rec.uni[empresa]"),$A$289)</f>
        <v>0</v>
      </c>
      <c r="M643" s="245">
        <f ca="1">SUMIFS(rec.uni[2025-10-01],
INDIRECT("rec.uni[natureza]"),"pro.soluto",
INDIRECT("rec.uni[empresa]"),$A$289)</f>
        <v>0</v>
      </c>
      <c r="N643" s="245">
        <f ca="1">SUMIFS(rec.uni[2025-11-01],
INDIRECT("rec.uni[natureza]"),"pro.soluto",
INDIRECT("rec.uni[empresa]"),$A$289)</f>
        <v>0</v>
      </c>
      <c r="O643" s="245">
        <f ca="1">SUMIFS(rec.uni[2025-12-01],
INDIRECT("rec.uni[natureza]"),"pro.soluto",
INDIRECT("rec.uni[empresa]"),$A$289)</f>
        <v>0</v>
      </c>
      <c r="P643" s="245">
        <f ca="1">SUMIFS(rec.uni[2026-01-01],
INDIRECT("rec.uni[natureza]"),"pro.soluto",
INDIRECT("rec.uni[empresa]"),$A$289)</f>
        <v>0</v>
      </c>
      <c r="Q643" s="245">
        <f ca="1">SUMIFS(rec.uni[2026-02-01],
INDIRECT("rec.uni[natureza]"),"pro.soluto",
INDIRECT("rec.uni[empresa]"),$A$289)</f>
        <v>0</v>
      </c>
      <c r="R643" s="245">
        <f ca="1">SUMIFS(rec.uni[2026-03-01],
INDIRECT("rec.uni[natureza]"),"pro.soluto",
INDIRECT("rec.uni[empresa]"),$A$289)</f>
        <v>0</v>
      </c>
    </row>
    <row r="644" spans="1:18" outlineLevel="1" x14ac:dyDescent="0.25">
      <c r="A644" s="243" t="s">
        <v>530</v>
      </c>
      <c r="B644" s="243" t="s">
        <v>531</v>
      </c>
      <c r="C644" s="244" t="s">
        <v>522</v>
      </c>
      <c r="D644" s="245">
        <f ca="1">SUMIFS(rec.uni[2025-01-01],
INDIRECT("rec.uni[natureza]"),"taxa.extra",
INDIRECT("rec.uni[empresa]"),$A$289)</f>
        <v>0</v>
      </c>
      <c r="E644" s="245">
        <f ca="1">SUMIFS(rec.uni[2025-02-01],
INDIRECT("rec.uni[natureza]"),"taxa.extra",
INDIRECT("rec.uni[empresa]"),$A$289)</f>
        <v>0</v>
      </c>
      <c r="F644" s="245">
        <f ca="1">SUMIFS(rec.uni[2025-03-01],
INDIRECT("rec.uni[natureza]"),"taxa.extra",
INDIRECT("rec.uni[empresa]"),$A$289)</f>
        <v>0</v>
      </c>
      <c r="G644" s="245">
        <f ca="1">SUMIFS(rec.uni[2025-04-01],
INDIRECT("rec.uni[natureza]"),"taxa.extra",
INDIRECT("rec.uni[empresa]"),$A$289)</f>
        <v>0</v>
      </c>
      <c r="H644" s="245">
        <f ca="1">SUMIFS(rec.uni[2025-05-01],
INDIRECT("rec.uni[natureza]"),"taxa.extra",
INDIRECT("rec.uni[empresa]"),$A$289)</f>
        <v>0</v>
      </c>
      <c r="I644" s="245">
        <f ca="1">SUMIFS(rec.uni[2025-06-01],
INDIRECT("rec.uni[natureza]"),"taxa.extra",
INDIRECT("rec.uni[empresa]"),$A$289)</f>
        <v>0</v>
      </c>
      <c r="J644" s="245">
        <f ca="1">SUMIFS(rec.uni[2025-07-01],
INDIRECT("rec.uni[natureza]"),"taxa.extra",
INDIRECT("rec.uni[empresa]"),$A$289)</f>
        <v>0</v>
      </c>
      <c r="K644" s="245">
        <f ca="1">SUMIFS(rec.uni[2025-08-01],
INDIRECT("rec.uni[natureza]"),"taxa.extra",
INDIRECT("rec.uni[empresa]"),$A$289)</f>
        <v>0</v>
      </c>
      <c r="L644" s="245">
        <f ca="1">SUMIFS(rec.uni[2025-09-01],
INDIRECT("rec.uni[natureza]"),"taxa.extra",
INDIRECT("rec.uni[empresa]"),$A$289)</f>
        <v>0</v>
      </c>
      <c r="M644" s="245">
        <f ca="1">SUMIFS(rec.uni[2025-10-01],
INDIRECT("rec.uni[natureza]"),"taxa.extra",
INDIRECT("rec.uni[empresa]"),$A$289)</f>
        <v>0</v>
      </c>
      <c r="N644" s="245">
        <f ca="1">SUMIFS(rec.uni[2025-11-01],
INDIRECT("rec.uni[natureza]"),"taxa.extra",
INDIRECT("rec.uni[empresa]"),$A$289)</f>
        <v>0</v>
      </c>
      <c r="O644" s="245">
        <f ca="1">SUMIFS(rec.uni[2025-12-01],
INDIRECT("rec.uni[natureza]"),"taxa.extra",
INDIRECT("rec.uni[empresa]"),$A$289)</f>
        <v>0</v>
      </c>
      <c r="P644" s="245">
        <f ca="1">SUMIFS(rec.uni[2026-01-01],
INDIRECT("rec.uni[natureza]"),"taxa.extra",
INDIRECT("rec.uni[empresa]"),$A$289)</f>
        <v>0</v>
      </c>
      <c r="Q644" s="245">
        <f ca="1">SUMIFS(rec.uni[2026-02-01],
INDIRECT("rec.uni[natureza]"),"taxa.extra",
INDIRECT("rec.uni[empresa]"),$A$289)</f>
        <v>0</v>
      </c>
      <c r="R644" s="245">
        <f ca="1">SUMIFS(rec.uni[2026-03-01],
INDIRECT("rec.uni[natureza]"),"taxa.extra",
INDIRECT("rec.uni[empresa]"),$A$289)</f>
        <v>0</v>
      </c>
    </row>
    <row r="645" spans="1:18" outlineLevel="1" x14ac:dyDescent="0.25">
      <c r="A645" s="243" t="s">
        <v>539</v>
      </c>
      <c r="B645" s="243" t="s">
        <v>540</v>
      </c>
      <c r="C645" s="244" t="s">
        <v>27</v>
      </c>
      <c r="D645" s="245">
        <v>0</v>
      </c>
      <c r="E645" s="245">
        <v>0</v>
      </c>
      <c r="F645" s="245">
        <v>0</v>
      </c>
      <c r="G645" s="245">
        <v>0</v>
      </c>
      <c r="H645" s="245">
        <v>0</v>
      </c>
      <c r="I645" s="245">
        <v>0</v>
      </c>
      <c r="J645" s="245">
        <v>0</v>
      </c>
      <c r="K645" s="245">
        <v>0</v>
      </c>
      <c r="L645" s="245">
        <v>0</v>
      </c>
      <c r="M645" s="245">
        <v>0</v>
      </c>
      <c r="N645" s="245">
        <v>0</v>
      </c>
      <c r="O645" s="245">
        <v>0</v>
      </c>
      <c r="P645" s="245">
        <v>0</v>
      </c>
      <c r="Q645" s="245">
        <v>0</v>
      </c>
      <c r="R645" s="245">
        <v>0</v>
      </c>
    </row>
    <row r="646" spans="1:18" x14ac:dyDescent="0.25">
      <c r="A646" s="249" t="s">
        <v>542</v>
      </c>
      <c r="B646" s="249" t="s">
        <v>543</v>
      </c>
      <c r="C646" s="250" t="s">
        <v>522</v>
      </c>
      <c r="D646" s="251">
        <f>SUM(D647:D664)</f>
        <v>0</v>
      </c>
      <c r="E646" s="251">
        <f t="shared" ref="E646" si="911">SUM(E647:E664)</f>
        <v>0</v>
      </c>
      <c r="F646" s="251">
        <f t="shared" ref="F646" si="912">SUM(F647:F664)</f>
        <v>0</v>
      </c>
      <c r="G646" s="251">
        <f t="shared" ref="G646" si="913">SUM(G647:G664)</f>
        <v>0</v>
      </c>
      <c r="H646" s="251">
        <f t="shared" ref="H646" si="914">SUM(H647:H664)</f>
        <v>0</v>
      </c>
      <c r="I646" s="251">
        <f t="shared" ref="I646" si="915">SUM(I647:I664)</f>
        <v>0</v>
      </c>
      <c r="J646" s="251">
        <f t="shared" ref="J646" si="916">SUM(J647:J664)</f>
        <v>0</v>
      </c>
      <c r="K646" s="251">
        <f t="shared" ref="K646" si="917">SUM(K647:K664)</f>
        <v>0</v>
      </c>
      <c r="L646" s="251">
        <f t="shared" ref="L646" si="918">SUM(L647:L664)</f>
        <v>0</v>
      </c>
      <c r="M646" s="251">
        <f t="shared" ref="M646" si="919">SUM(M647:M664)</f>
        <v>0</v>
      </c>
      <c r="N646" s="251">
        <f t="shared" ref="N646" si="920">SUM(N647:N664)</f>
        <v>0</v>
      </c>
      <c r="O646" s="251">
        <f t="shared" ref="O646" si="921">SUM(O647:O664)</f>
        <v>0</v>
      </c>
      <c r="P646" s="251">
        <f t="shared" ref="P646" si="922">SUM(P647:P664)</f>
        <v>0</v>
      </c>
      <c r="Q646" s="251">
        <f t="shared" ref="Q646:R646" si="923">SUM(Q647:Q664)</f>
        <v>0</v>
      </c>
      <c r="R646" s="251">
        <f t="shared" si="923"/>
        <v>0</v>
      </c>
    </row>
    <row r="647" spans="1:18" outlineLevel="1" x14ac:dyDescent="0.25">
      <c r="A647" s="243" t="s">
        <v>544</v>
      </c>
      <c r="B647" s="243" t="s">
        <v>358</v>
      </c>
      <c r="C647" s="244" t="s">
        <v>522</v>
      </c>
      <c r="D647" s="245" cm="1">
        <f t="array" ref="D647">-SUMPRODUCT(
  desp[data.vencimento] *
  (desp[classificacao]=$B$289) *
  (desp[centro.negocio]=$B647) *
  (desp[parcela]&gt;=D$1) *
  (desp[parcela]&lt;EOMONTH(D$1,0)+1)
)</f>
        <v>0</v>
      </c>
      <c r="E647" s="245" cm="1">
        <f t="array" ref="E647">-SUMPRODUCT(
  desp[data.vencimento] *
  (desp[classificacao]=$B$289) *
  (desp[centro.negocio]=$B647) *
  (desp[parcela]&gt;=E$1) *
  (desp[parcela]&lt;EOMONTH(E$1,0)+1)
)</f>
        <v>0</v>
      </c>
      <c r="F647" s="245" cm="1">
        <f t="array" ref="F647">-SUMPRODUCT(
  desp[data.vencimento] *
  (desp[classificacao]=$B$289) *
  (desp[centro.negocio]=$B647) *
  (desp[parcela]&gt;=F$1) *
  (desp[parcela]&lt;EOMONTH(F$1,0)+1)
)</f>
        <v>0</v>
      </c>
      <c r="G647" s="245" cm="1">
        <f t="array" ref="G647">-SUMPRODUCT(
  desp[data.vencimento] *
  (desp[classificacao]=$B$289) *
  (desp[centro.negocio]=$B647) *
  (desp[parcela]&gt;=G$1) *
  (desp[parcela]&lt;EOMONTH(G$1,0)+1)
)</f>
        <v>0</v>
      </c>
      <c r="H647" s="245" cm="1">
        <f t="array" ref="H647">-SUMPRODUCT(
  desp[data.vencimento] *
  (desp[classificacao]=$B$289) *
  (desp[centro.negocio]=$B647) *
  (desp[parcela]&gt;=H$1) *
  (desp[parcela]&lt;EOMONTH(H$1,0)+1)
)</f>
        <v>0</v>
      </c>
      <c r="I647" s="245" cm="1">
        <f t="array" ref="I647">-SUMPRODUCT(
  desp[data.vencimento] *
  (desp[classificacao]=$B$289) *
  (desp[centro.negocio]=$B647) *
  (desp[parcela]&gt;=I$1) *
  (desp[parcela]&lt;EOMONTH(I$1,0)+1)
)</f>
        <v>0</v>
      </c>
      <c r="J647" s="245" cm="1">
        <f t="array" ref="J647">-SUMPRODUCT(
  desp[data.vencimento] *
  (desp[classificacao]=$B$289) *
  (desp[centro.negocio]=$B647) *
  (desp[parcela]&gt;=J$1) *
  (desp[parcela]&lt;EOMONTH(J$1,0)+1)
)</f>
        <v>0</v>
      </c>
      <c r="K647" s="245" cm="1">
        <f t="array" ref="K647">-SUMPRODUCT(
  desp[data.vencimento] *
  (desp[classificacao]=$B$289) *
  (desp[centro.negocio]=$B647) *
  (desp[parcela]&gt;=K$1) *
  (desp[parcela]&lt;EOMONTH(K$1,0)+1)
)</f>
        <v>0</v>
      </c>
      <c r="L647" s="245" cm="1">
        <f t="array" ref="L647">-SUMPRODUCT(
  desp[data.vencimento] *
  (desp[classificacao]=$B$289) *
  (desp[centro.negocio]=$B647) *
  (desp[parcela]&gt;=L$1) *
  (desp[parcela]&lt;EOMONTH(L$1,0)+1)
)</f>
        <v>0</v>
      </c>
      <c r="M647" s="245" cm="1">
        <f t="array" ref="M647">-SUMPRODUCT(
  desp[data.vencimento] *
  (desp[classificacao]=$B$289) *
  (desp[centro.negocio]=$B647) *
  (desp[parcela]&gt;=M$1) *
  (desp[parcela]&lt;EOMONTH(M$1,0)+1)
)</f>
        <v>0</v>
      </c>
      <c r="N647" s="245" cm="1">
        <f t="array" ref="N647">-SUMPRODUCT(
  desp[data.vencimento] *
  (desp[classificacao]=$B$289) *
  (desp[centro.negocio]=$B647) *
  (desp[parcela]&gt;=N$1) *
  (desp[parcela]&lt;EOMONTH(N$1,0)+1)
)</f>
        <v>0</v>
      </c>
      <c r="O647" s="245" cm="1">
        <f t="array" ref="O647">-SUMPRODUCT(
  desp[data.vencimento] *
  (desp[classificacao]=$B$289) *
  (desp[centro.negocio]=$B647) *
  (desp[parcela]&gt;=O$1) *
  (desp[parcela]&lt;EOMONTH(O$1,0)+1)
)</f>
        <v>0</v>
      </c>
      <c r="P647" s="245" cm="1">
        <f t="array" ref="P647">-SUMPRODUCT(
  desp[data.vencimento] *
  (desp[classificacao]=$B$289) *
  (desp[centro.negocio]=$B647) *
  (desp[parcela]&gt;=P$1) *
  (desp[parcela]&lt;EOMONTH(P$1,0)+1)
)</f>
        <v>0</v>
      </c>
      <c r="Q647" s="245" cm="1">
        <f t="array" ref="Q647">-SUMPRODUCT(
  desp[data.vencimento] *
  (desp[classificacao]=$B$289) *
  (desp[centro.negocio]=$B647) *
  (desp[parcela]&gt;=Q$1) *
  (desp[parcela]&lt;EOMONTH(Q$1,0)+1)
)</f>
        <v>0</v>
      </c>
      <c r="R647" s="245" cm="1">
        <f t="array" ref="R647">-SUMPRODUCT(
  desp[data.vencimento] *
  (desp[classificacao]=$B$289) *
  (desp[centro.negocio]=$B647) *
  (desp[parcela]&gt;=R$1) *
  (desp[parcela]&lt;EOMONTH(R$1,0)+1)
)</f>
        <v>0</v>
      </c>
    </row>
    <row r="648" spans="1:18" outlineLevel="1" x14ac:dyDescent="0.25">
      <c r="A648" s="243" t="s">
        <v>565</v>
      </c>
      <c r="B648" s="243" t="s">
        <v>398</v>
      </c>
      <c r="C648" s="244" t="s">
        <v>522</v>
      </c>
      <c r="D648" s="245" cm="1">
        <f t="array" ref="D648">-SUMPRODUCT(
  desp[data.vencimento] *
  (desp[classificacao]=$B$289) *
  (desp[centro.negocio]=$B648) *
  (desp[parcela]&gt;=D$1) *
  (desp[parcela]&lt;EOMONTH(D$1,0)+1)
)</f>
        <v>0</v>
      </c>
      <c r="E648" s="245" cm="1">
        <f t="array" ref="E648">-SUMPRODUCT(
  desp[data.vencimento] *
  (desp[classificacao]=$B$289) *
  (desp[centro.negocio]=$B648) *
  (desp[parcela]&gt;=E$1) *
  (desp[parcela]&lt;EOMONTH(E$1,0)+1)
)</f>
        <v>0</v>
      </c>
      <c r="F648" s="245" cm="1">
        <f t="array" ref="F648">-SUMPRODUCT(
  desp[data.vencimento] *
  (desp[classificacao]=$B$289) *
  (desp[centro.negocio]=$B648) *
  (desp[parcela]&gt;=F$1) *
  (desp[parcela]&lt;EOMONTH(F$1,0)+1)
)</f>
        <v>0</v>
      </c>
      <c r="G648" s="245" cm="1">
        <f t="array" ref="G648">-SUMPRODUCT(
  desp[data.vencimento] *
  (desp[classificacao]=$B$289) *
  (desp[centro.negocio]=$B648) *
  (desp[parcela]&gt;=G$1) *
  (desp[parcela]&lt;EOMONTH(G$1,0)+1)
)</f>
        <v>0</v>
      </c>
      <c r="H648" s="245" cm="1">
        <f t="array" ref="H648">-SUMPRODUCT(
  desp[data.vencimento] *
  (desp[classificacao]=$B$289) *
  (desp[centro.negocio]=$B648) *
  (desp[parcela]&gt;=H$1) *
  (desp[parcela]&lt;EOMONTH(H$1,0)+1)
)</f>
        <v>0</v>
      </c>
      <c r="I648" s="245" cm="1">
        <f t="array" ref="I648">-SUMPRODUCT(
  desp[data.vencimento] *
  (desp[classificacao]=$B$289) *
  (desp[centro.negocio]=$B648) *
  (desp[parcela]&gt;=I$1) *
  (desp[parcela]&lt;EOMONTH(I$1,0)+1)
)</f>
        <v>0</v>
      </c>
      <c r="J648" s="245" cm="1">
        <f t="array" ref="J648">-SUMPRODUCT(
  desp[data.vencimento] *
  (desp[classificacao]=$B$289) *
  (desp[centro.negocio]=$B648) *
  (desp[parcela]&gt;=J$1) *
  (desp[parcela]&lt;EOMONTH(J$1,0)+1)
)</f>
        <v>0</v>
      </c>
      <c r="K648" s="245" cm="1">
        <f t="array" ref="K648">-SUMPRODUCT(
  desp[data.vencimento] *
  (desp[classificacao]=$B$289) *
  (desp[centro.negocio]=$B648) *
  (desp[parcela]&gt;=K$1) *
  (desp[parcela]&lt;EOMONTH(K$1,0)+1)
)</f>
        <v>0</v>
      </c>
      <c r="L648" s="245" cm="1">
        <f t="array" ref="L648">-SUMPRODUCT(
  desp[data.vencimento] *
  (desp[classificacao]=$B$289) *
  (desp[centro.negocio]=$B648) *
  (desp[parcela]&gt;=L$1) *
  (desp[parcela]&lt;EOMONTH(L$1,0)+1)
)</f>
        <v>0</v>
      </c>
      <c r="M648" s="245" cm="1">
        <f t="array" ref="M648">-SUMPRODUCT(
  desp[data.vencimento] *
  (desp[classificacao]=$B$289) *
  (desp[centro.negocio]=$B648) *
  (desp[parcela]&gt;=M$1) *
  (desp[parcela]&lt;EOMONTH(M$1,0)+1)
)</f>
        <v>0</v>
      </c>
      <c r="N648" s="245" cm="1">
        <f t="array" ref="N648">-SUMPRODUCT(
  desp[data.vencimento] *
  (desp[classificacao]=$B$289) *
  (desp[centro.negocio]=$B648) *
  (desp[parcela]&gt;=N$1) *
  (desp[parcela]&lt;EOMONTH(N$1,0)+1)
)</f>
        <v>0</v>
      </c>
      <c r="O648" s="245" cm="1">
        <f t="array" ref="O648">-SUMPRODUCT(
  desp[data.vencimento] *
  (desp[classificacao]=$B$289) *
  (desp[centro.negocio]=$B648) *
  (desp[parcela]&gt;=O$1) *
  (desp[parcela]&lt;EOMONTH(O$1,0)+1)
)</f>
        <v>0</v>
      </c>
      <c r="P648" s="245" cm="1">
        <f t="array" ref="P648">-SUMPRODUCT(
  desp[data.vencimento] *
  (desp[classificacao]=$B$289) *
  (desp[centro.negocio]=$B648) *
  (desp[parcela]&gt;=P$1) *
  (desp[parcela]&lt;EOMONTH(P$1,0)+1)
)</f>
        <v>0</v>
      </c>
      <c r="Q648" s="245" cm="1">
        <f t="array" ref="Q648">-SUMPRODUCT(
  desp[data.vencimento] *
  (desp[classificacao]=$B$289) *
  (desp[centro.negocio]=$B648) *
  (desp[parcela]&gt;=Q$1) *
  (desp[parcela]&lt;EOMONTH(Q$1,0)+1)
)</f>
        <v>0</v>
      </c>
      <c r="R648" s="245" cm="1">
        <f t="array" ref="R648">-SUMPRODUCT(
  desp[data.vencimento] *
  (desp[classificacao]=$B$289) *
  (desp[centro.negocio]=$B648) *
  (desp[parcela]&gt;=R$1) *
  (desp[parcela]&lt;EOMONTH(R$1,0)+1)
)</f>
        <v>0</v>
      </c>
    </row>
    <row r="649" spans="1:18" outlineLevel="1" x14ac:dyDescent="0.25">
      <c r="A649" s="243" t="s">
        <v>573</v>
      </c>
      <c r="B649" s="243" t="s">
        <v>356</v>
      </c>
      <c r="C649" s="244" t="s">
        <v>522</v>
      </c>
      <c r="D649" s="245" cm="1">
        <f t="array" ref="D649">-SUMPRODUCT(
  desp[data.vencimento] *
  (desp[classificacao]=$B$289) *
  (desp[centro.negocio]=$B649) *
  (desp[parcela]&gt;=D$1) *
  (desp[parcela]&lt;EOMONTH(D$1,0)+1)
)</f>
        <v>0</v>
      </c>
      <c r="E649" s="245" cm="1">
        <f t="array" ref="E649">-SUMPRODUCT(
  desp[data.vencimento] *
  (desp[classificacao]=$B$289) *
  (desp[centro.negocio]=$B649) *
  (desp[parcela]&gt;=E$1) *
  (desp[parcela]&lt;EOMONTH(E$1,0)+1)
)</f>
        <v>0</v>
      </c>
      <c r="F649" s="245" cm="1">
        <f t="array" ref="F649">-SUMPRODUCT(
  desp[data.vencimento] *
  (desp[classificacao]=$B$289) *
  (desp[centro.negocio]=$B649) *
  (desp[parcela]&gt;=F$1) *
  (desp[parcela]&lt;EOMONTH(F$1,0)+1)
)</f>
        <v>0</v>
      </c>
      <c r="G649" s="245" cm="1">
        <f t="array" ref="G649">-SUMPRODUCT(
  desp[data.vencimento] *
  (desp[classificacao]=$B$289) *
  (desp[centro.negocio]=$B649) *
  (desp[parcela]&gt;=G$1) *
  (desp[parcela]&lt;EOMONTH(G$1,0)+1)
)</f>
        <v>0</v>
      </c>
      <c r="H649" s="245" cm="1">
        <f t="array" ref="H649">-SUMPRODUCT(
  desp[data.vencimento] *
  (desp[classificacao]=$B$289) *
  (desp[centro.negocio]=$B649) *
  (desp[parcela]&gt;=H$1) *
  (desp[parcela]&lt;EOMONTH(H$1,0)+1)
)</f>
        <v>0</v>
      </c>
      <c r="I649" s="245" cm="1">
        <f t="array" ref="I649">-SUMPRODUCT(
  desp[data.vencimento] *
  (desp[classificacao]=$B$289) *
  (desp[centro.negocio]=$B649) *
  (desp[parcela]&gt;=I$1) *
  (desp[parcela]&lt;EOMONTH(I$1,0)+1)
)</f>
        <v>0</v>
      </c>
      <c r="J649" s="245" cm="1">
        <f t="array" ref="J649">-SUMPRODUCT(
  desp[data.vencimento] *
  (desp[classificacao]=$B$289) *
  (desp[centro.negocio]=$B649) *
  (desp[parcela]&gt;=J$1) *
  (desp[parcela]&lt;EOMONTH(J$1,0)+1)
)</f>
        <v>0</v>
      </c>
      <c r="K649" s="245" cm="1">
        <f t="array" ref="K649">-SUMPRODUCT(
  desp[data.vencimento] *
  (desp[classificacao]=$B$289) *
  (desp[centro.negocio]=$B649) *
  (desp[parcela]&gt;=K$1) *
  (desp[parcela]&lt;EOMONTH(K$1,0)+1)
)</f>
        <v>0</v>
      </c>
      <c r="L649" s="245" cm="1">
        <f t="array" ref="L649">-SUMPRODUCT(
  desp[data.vencimento] *
  (desp[classificacao]=$B$289) *
  (desp[centro.negocio]=$B649) *
  (desp[parcela]&gt;=L$1) *
  (desp[parcela]&lt;EOMONTH(L$1,0)+1)
)</f>
        <v>0</v>
      </c>
      <c r="M649" s="245" cm="1">
        <f t="array" ref="M649">-SUMPRODUCT(
  desp[data.vencimento] *
  (desp[classificacao]=$B$289) *
  (desp[centro.negocio]=$B649) *
  (desp[parcela]&gt;=M$1) *
  (desp[parcela]&lt;EOMONTH(M$1,0)+1)
)</f>
        <v>0</v>
      </c>
      <c r="N649" s="245" cm="1">
        <f t="array" ref="N649">-SUMPRODUCT(
  desp[data.vencimento] *
  (desp[classificacao]=$B$289) *
  (desp[centro.negocio]=$B649) *
  (desp[parcela]&gt;=N$1) *
  (desp[parcela]&lt;EOMONTH(N$1,0)+1)
)</f>
        <v>0</v>
      </c>
      <c r="O649" s="245" cm="1">
        <f t="array" ref="O649">-SUMPRODUCT(
  desp[data.vencimento] *
  (desp[classificacao]=$B$289) *
  (desp[centro.negocio]=$B649) *
  (desp[parcela]&gt;=O$1) *
  (desp[parcela]&lt;EOMONTH(O$1,0)+1)
)</f>
        <v>0</v>
      </c>
      <c r="P649" s="245" cm="1">
        <f t="array" ref="P649">-SUMPRODUCT(
  desp[data.vencimento] *
  (desp[classificacao]=$B$289) *
  (desp[centro.negocio]=$B649) *
  (desp[parcela]&gt;=P$1) *
  (desp[parcela]&lt;EOMONTH(P$1,0)+1)
)</f>
        <v>0</v>
      </c>
      <c r="Q649" s="245" cm="1">
        <f t="array" ref="Q649">-SUMPRODUCT(
  desp[data.vencimento] *
  (desp[classificacao]=$B$289) *
  (desp[centro.negocio]=$B649) *
  (desp[parcela]&gt;=Q$1) *
  (desp[parcela]&lt;EOMONTH(Q$1,0)+1)
)</f>
        <v>0</v>
      </c>
      <c r="R649" s="245" cm="1">
        <f t="array" ref="R649">-SUMPRODUCT(
  desp[data.vencimento] *
  (desp[classificacao]=$B$289) *
  (desp[centro.negocio]=$B649) *
  (desp[parcela]&gt;=R$1) *
  (desp[parcela]&lt;EOMONTH(R$1,0)+1)
)</f>
        <v>0</v>
      </c>
    </row>
    <row r="650" spans="1:18" outlineLevel="1" x14ac:dyDescent="0.25">
      <c r="A650" s="243" t="s">
        <v>589</v>
      </c>
      <c r="B650" s="243" t="s">
        <v>343</v>
      </c>
      <c r="C650" s="244" t="s">
        <v>522</v>
      </c>
      <c r="D650" s="245" cm="1">
        <f t="array" ref="D650">-SUMPRODUCT(
  desp[data.vencimento] *
  (desp[classificacao]=$B$289) *
  (desp[centro.negocio]=$B650) *
  (desp[parcela]&gt;=D$1) *
  (desp[parcela]&lt;EOMONTH(D$1,0)+1)
)</f>
        <v>0</v>
      </c>
      <c r="E650" s="245" cm="1">
        <f t="array" ref="E650">-SUMPRODUCT(
  desp[data.vencimento] *
  (desp[classificacao]=$B$289) *
  (desp[centro.negocio]=$B650) *
  (desp[parcela]&gt;=E$1) *
  (desp[parcela]&lt;EOMONTH(E$1,0)+1)
)</f>
        <v>0</v>
      </c>
      <c r="F650" s="245" cm="1">
        <f t="array" ref="F650">-SUMPRODUCT(
  desp[data.vencimento] *
  (desp[classificacao]=$B$289) *
  (desp[centro.negocio]=$B650) *
  (desp[parcela]&gt;=F$1) *
  (desp[parcela]&lt;EOMONTH(F$1,0)+1)
)</f>
        <v>0</v>
      </c>
      <c r="G650" s="245" cm="1">
        <f t="array" ref="G650">-SUMPRODUCT(
  desp[data.vencimento] *
  (desp[classificacao]=$B$289) *
  (desp[centro.negocio]=$B650) *
  (desp[parcela]&gt;=G$1) *
  (desp[parcela]&lt;EOMONTH(G$1,0)+1)
)</f>
        <v>0</v>
      </c>
      <c r="H650" s="245" cm="1">
        <f t="array" ref="H650">-SUMPRODUCT(
  desp[data.vencimento] *
  (desp[classificacao]=$B$289) *
  (desp[centro.negocio]=$B650) *
  (desp[parcela]&gt;=H$1) *
  (desp[parcela]&lt;EOMONTH(H$1,0)+1)
)</f>
        <v>0</v>
      </c>
      <c r="I650" s="245" cm="1">
        <f t="array" ref="I650">-SUMPRODUCT(
  desp[data.vencimento] *
  (desp[classificacao]=$B$289) *
  (desp[centro.negocio]=$B650) *
  (desp[parcela]&gt;=I$1) *
  (desp[parcela]&lt;EOMONTH(I$1,0)+1)
)</f>
        <v>0</v>
      </c>
      <c r="J650" s="245" cm="1">
        <f t="array" ref="J650">-SUMPRODUCT(
  desp[data.vencimento] *
  (desp[classificacao]=$B$289) *
  (desp[centro.negocio]=$B650) *
  (desp[parcela]&gt;=J$1) *
  (desp[parcela]&lt;EOMONTH(J$1,0)+1)
)</f>
        <v>0</v>
      </c>
      <c r="K650" s="245" cm="1">
        <f t="array" ref="K650">-SUMPRODUCT(
  desp[data.vencimento] *
  (desp[classificacao]=$B$289) *
  (desp[centro.negocio]=$B650) *
  (desp[parcela]&gt;=K$1) *
  (desp[parcela]&lt;EOMONTH(K$1,0)+1)
)</f>
        <v>0</v>
      </c>
      <c r="L650" s="245" cm="1">
        <f t="array" ref="L650">-SUMPRODUCT(
  desp[data.vencimento] *
  (desp[classificacao]=$B$289) *
  (desp[centro.negocio]=$B650) *
  (desp[parcela]&gt;=L$1) *
  (desp[parcela]&lt;EOMONTH(L$1,0)+1)
)</f>
        <v>0</v>
      </c>
      <c r="M650" s="245" cm="1">
        <f t="array" ref="M650">-SUMPRODUCT(
  desp[data.vencimento] *
  (desp[classificacao]=$B$289) *
  (desp[centro.negocio]=$B650) *
  (desp[parcela]&gt;=M$1) *
  (desp[parcela]&lt;EOMONTH(M$1,0)+1)
)</f>
        <v>0</v>
      </c>
      <c r="N650" s="245" cm="1">
        <f t="array" ref="N650">-SUMPRODUCT(
  desp[data.vencimento] *
  (desp[classificacao]=$B$289) *
  (desp[centro.negocio]=$B650) *
  (desp[parcela]&gt;=N$1) *
  (desp[parcela]&lt;EOMONTH(N$1,0)+1)
)</f>
        <v>0</v>
      </c>
      <c r="O650" s="245" cm="1">
        <f t="array" ref="O650">-SUMPRODUCT(
  desp[data.vencimento] *
  (desp[classificacao]=$B$289) *
  (desp[centro.negocio]=$B650) *
  (desp[parcela]&gt;=O$1) *
  (desp[parcela]&lt;EOMONTH(O$1,0)+1)
)</f>
        <v>0</v>
      </c>
      <c r="P650" s="245" cm="1">
        <f t="array" ref="P650">-SUMPRODUCT(
  desp[data.vencimento] *
  (desp[classificacao]=$B$289) *
  (desp[centro.negocio]=$B650) *
  (desp[parcela]&gt;=P$1) *
  (desp[parcela]&lt;EOMONTH(P$1,0)+1)
)</f>
        <v>0</v>
      </c>
      <c r="Q650" s="245" cm="1">
        <f t="array" ref="Q650">-SUMPRODUCT(
  desp[data.vencimento] *
  (desp[classificacao]=$B$289) *
  (desp[centro.negocio]=$B650) *
  (desp[parcela]&gt;=Q$1) *
  (desp[parcela]&lt;EOMONTH(Q$1,0)+1)
)</f>
        <v>0</v>
      </c>
      <c r="R650" s="245" cm="1">
        <f t="array" ref="R650">-SUMPRODUCT(
  desp[data.vencimento] *
  (desp[classificacao]=$B$289) *
  (desp[centro.negocio]=$B650) *
  (desp[parcela]&gt;=R$1) *
  (desp[parcela]&lt;EOMONTH(R$1,0)+1)
)</f>
        <v>0</v>
      </c>
    </row>
    <row r="651" spans="1:18" outlineLevel="1" x14ac:dyDescent="0.25">
      <c r="A651" s="243" t="s">
        <v>591</v>
      </c>
      <c r="B651" s="243" t="s">
        <v>380</v>
      </c>
      <c r="C651" s="244" t="s">
        <v>522</v>
      </c>
      <c r="D651" s="245" cm="1">
        <f t="array" ref="D651">-SUMPRODUCT(
  desp[data.vencimento] *
  (desp[classificacao]=$B$289) *
  (desp[centro.negocio]=$B651) *
  (desp[parcela]&gt;=D$1) *
  (desp[parcela]&lt;EOMONTH(D$1,0)+1)
)</f>
        <v>0</v>
      </c>
      <c r="E651" s="245" cm="1">
        <f t="array" ref="E651">-SUMPRODUCT(
  desp[data.vencimento] *
  (desp[classificacao]=$B$289) *
  (desp[centro.negocio]=$B651) *
  (desp[parcela]&gt;=E$1) *
  (desp[parcela]&lt;EOMONTH(E$1,0)+1)
)</f>
        <v>0</v>
      </c>
      <c r="F651" s="245" cm="1">
        <f t="array" ref="F651">-SUMPRODUCT(
  desp[data.vencimento] *
  (desp[classificacao]=$B$289) *
  (desp[centro.negocio]=$B651) *
  (desp[parcela]&gt;=F$1) *
  (desp[parcela]&lt;EOMONTH(F$1,0)+1)
)</f>
        <v>0</v>
      </c>
      <c r="G651" s="245" cm="1">
        <f t="array" ref="G651">-SUMPRODUCT(
  desp[data.vencimento] *
  (desp[classificacao]=$B$289) *
  (desp[centro.negocio]=$B651) *
  (desp[parcela]&gt;=G$1) *
  (desp[parcela]&lt;EOMONTH(G$1,0)+1)
)</f>
        <v>0</v>
      </c>
      <c r="H651" s="245" cm="1">
        <f t="array" ref="H651">-SUMPRODUCT(
  desp[data.vencimento] *
  (desp[classificacao]=$B$289) *
  (desp[centro.negocio]=$B651) *
  (desp[parcela]&gt;=H$1) *
  (desp[parcela]&lt;EOMONTH(H$1,0)+1)
)</f>
        <v>0</v>
      </c>
      <c r="I651" s="245" cm="1">
        <f t="array" ref="I651">-SUMPRODUCT(
  desp[data.vencimento] *
  (desp[classificacao]=$B$289) *
  (desp[centro.negocio]=$B651) *
  (desp[parcela]&gt;=I$1) *
  (desp[parcela]&lt;EOMONTH(I$1,0)+1)
)</f>
        <v>0</v>
      </c>
      <c r="J651" s="245" cm="1">
        <f t="array" ref="J651">-SUMPRODUCT(
  desp[data.vencimento] *
  (desp[classificacao]=$B$289) *
  (desp[centro.negocio]=$B651) *
  (desp[parcela]&gt;=J$1) *
  (desp[parcela]&lt;EOMONTH(J$1,0)+1)
)</f>
        <v>0</v>
      </c>
      <c r="K651" s="245" cm="1">
        <f t="array" ref="K651">-SUMPRODUCT(
  desp[data.vencimento] *
  (desp[classificacao]=$B$289) *
  (desp[centro.negocio]=$B651) *
  (desp[parcela]&gt;=K$1) *
  (desp[parcela]&lt;EOMONTH(K$1,0)+1)
)</f>
        <v>0</v>
      </c>
      <c r="L651" s="245" cm="1">
        <f t="array" ref="L651">-SUMPRODUCT(
  desp[data.vencimento] *
  (desp[classificacao]=$B$289) *
  (desp[centro.negocio]=$B651) *
  (desp[parcela]&gt;=L$1) *
  (desp[parcela]&lt;EOMONTH(L$1,0)+1)
)</f>
        <v>0</v>
      </c>
      <c r="M651" s="245" cm="1">
        <f t="array" ref="M651">-SUMPRODUCT(
  desp[data.vencimento] *
  (desp[classificacao]=$B$289) *
  (desp[centro.negocio]=$B651) *
  (desp[parcela]&gt;=M$1) *
  (desp[parcela]&lt;EOMONTH(M$1,0)+1)
)</f>
        <v>0</v>
      </c>
      <c r="N651" s="245" cm="1">
        <f t="array" ref="N651">-SUMPRODUCT(
  desp[data.vencimento] *
  (desp[classificacao]=$B$289) *
  (desp[centro.negocio]=$B651) *
  (desp[parcela]&gt;=N$1) *
  (desp[parcela]&lt;EOMONTH(N$1,0)+1)
)</f>
        <v>0</v>
      </c>
      <c r="O651" s="245" cm="1">
        <f t="array" ref="O651">-SUMPRODUCT(
  desp[data.vencimento] *
  (desp[classificacao]=$B$289) *
  (desp[centro.negocio]=$B651) *
  (desp[parcela]&gt;=O$1) *
  (desp[parcela]&lt;EOMONTH(O$1,0)+1)
)</f>
        <v>0</v>
      </c>
      <c r="P651" s="245" cm="1">
        <f t="array" ref="P651">-SUMPRODUCT(
  desp[data.vencimento] *
  (desp[classificacao]=$B$289) *
  (desp[centro.negocio]=$B651) *
  (desp[parcela]&gt;=P$1) *
  (desp[parcela]&lt;EOMONTH(P$1,0)+1)
)</f>
        <v>0</v>
      </c>
      <c r="Q651" s="245" cm="1">
        <f t="array" ref="Q651">-SUMPRODUCT(
  desp[data.vencimento] *
  (desp[classificacao]=$B$289) *
  (desp[centro.negocio]=$B651) *
  (desp[parcela]&gt;=Q$1) *
  (desp[parcela]&lt;EOMONTH(Q$1,0)+1)
)</f>
        <v>0</v>
      </c>
      <c r="R651" s="245" cm="1">
        <f t="array" ref="R651">-SUMPRODUCT(
  desp[data.vencimento] *
  (desp[classificacao]=$B$289) *
  (desp[centro.negocio]=$B651) *
  (desp[parcela]&gt;=R$1) *
  (desp[parcela]&lt;EOMONTH(R$1,0)+1)
)</f>
        <v>0</v>
      </c>
    </row>
    <row r="652" spans="1:18" outlineLevel="1" x14ac:dyDescent="0.25">
      <c r="A652" s="243" t="s">
        <v>597</v>
      </c>
      <c r="B652" s="243" t="s">
        <v>375</v>
      </c>
      <c r="C652" s="244" t="s">
        <v>522</v>
      </c>
      <c r="D652" s="245" cm="1">
        <f t="array" ref="D652">-SUMPRODUCT(
  desp[data.vencimento] *
  (desp[classificacao]=$B$289) *
  (desp[centro.negocio]=$B652) *
  (desp[parcela]&gt;=D$1) *
  (desp[parcela]&lt;EOMONTH(D$1,0)+1)
)</f>
        <v>0</v>
      </c>
      <c r="E652" s="245" cm="1">
        <f t="array" ref="E652">-SUMPRODUCT(
  desp[data.vencimento] *
  (desp[classificacao]=$B$289) *
  (desp[centro.negocio]=$B652) *
  (desp[parcela]&gt;=E$1) *
  (desp[parcela]&lt;EOMONTH(E$1,0)+1)
)</f>
        <v>0</v>
      </c>
      <c r="F652" s="245" cm="1">
        <f t="array" ref="F652">-SUMPRODUCT(
  desp[data.vencimento] *
  (desp[classificacao]=$B$289) *
  (desp[centro.negocio]=$B652) *
  (desp[parcela]&gt;=F$1) *
  (desp[parcela]&lt;EOMONTH(F$1,0)+1)
)</f>
        <v>0</v>
      </c>
      <c r="G652" s="245" cm="1">
        <f t="array" ref="G652">-SUMPRODUCT(
  desp[data.vencimento] *
  (desp[classificacao]=$B$289) *
  (desp[centro.negocio]=$B652) *
  (desp[parcela]&gt;=G$1) *
  (desp[parcela]&lt;EOMONTH(G$1,0)+1)
)</f>
        <v>0</v>
      </c>
      <c r="H652" s="245" cm="1">
        <f t="array" ref="H652">-SUMPRODUCT(
  desp[data.vencimento] *
  (desp[classificacao]=$B$289) *
  (desp[centro.negocio]=$B652) *
  (desp[parcela]&gt;=H$1) *
  (desp[parcela]&lt;EOMONTH(H$1,0)+1)
)</f>
        <v>0</v>
      </c>
      <c r="I652" s="245" cm="1">
        <f t="array" ref="I652">-SUMPRODUCT(
  desp[data.vencimento] *
  (desp[classificacao]=$B$289) *
  (desp[centro.negocio]=$B652) *
  (desp[parcela]&gt;=I$1) *
  (desp[parcela]&lt;EOMONTH(I$1,0)+1)
)</f>
        <v>0</v>
      </c>
      <c r="J652" s="245" cm="1">
        <f t="array" ref="J652">-SUMPRODUCT(
  desp[data.vencimento] *
  (desp[classificacao]=$B$289) *
  (desp[centro.negocio]=$B652) *
  (desp[parcela]&gt;=J$1) *
  (desp[parcela]&lt;EOMONTH(J$1,0)+1)
)</f>
        <v>0</v>
      </c>
      <c r="K652" s="245" cm="1">
        <f t="array" ref="K652">-SUMPRODUCT(
  desp[data.vencimento] *
  (desp[classificacao]=$B$289) *
  (desp[centro.negocio]=$B652) *
  (desp[parcela]&gt;=K$1) *
  (desp[parcela]&lt;EOMONTH(K$1,0)+1)
)</f>
        <v>0</v>
      </c>
      <c r="L652" s="245" cm="1">
        <f t="array" ref="L652">-SUMPRODUCT(
  desp[data.vencimento] *
  (desp[classificacao]=$B$289) *
  (desp[centro.negocio]=$B652) *
  (desp[parcela]&gt;=L$1) *
  (desp[parcela]&lt;EOMONTH(L$1,0)+1)
)</f>
        <v>0</v>
      </c>
      <c r="M652" s="245" cm="1">
        <f t="array" ref="M652">-SUMPRODUCT(
  desp[data.vencimento] *
  (desp[classificacao]=$B$289) *
  (desp[centro.negocio]=$B652) *
  (desp[parcela]&gt;=M$1) *
  (desp[parcela]&lt;EOMONTH(M$1,0)+1)
)</f>
        <v>0</v>
      </c>
      <c r="N652" s="245" cm="1">
        <f t="array" ref="N652">-SUMPRODUCT(
  desp[data.vencimento] *
  (desp[classificacao]=$B$289) *
  (desp[centro.negocio]=$B652) *
  (desp[parcela]&gt;=N$1) *
  (desp[parcela]&lt;EOMONTH(N$1,0)+1)
)</f>
        <v>0</v>
      </c>
      <c r="O652" s="245" cm="1">
        <f t="array" ref="O652">-SUMPRODUCT(
  desp[data.vencimento] *
  (desp[classificacao]=$B$289) *
  (desp[centro.negocio]=$B652) *
  (desp[parcela]&gt;=O$1) *
  (desp[parcela]&lt;EOMONTH(O$1,0)+1)
)</f>
        <v>0</v>
      </c>
      <c r="P652" s="245" cm="1">
        <f t="array" ref="P652">-SUMPRODUCT(
  desp[data.vencimento] *
  (desp[classificacao]=$B$289) *
  (desp[centro.negocio]=$B652) *
  (desp[parcela]&gt;=P$1) *
  (desp[parcela]&lt;EOMONTH(P$1,0)+1)
)</f>
        <v>0</v>
      </c>
      <c r="Q652" s="245" cm="1">
        <f t="array" ref="Q652">-SUMPRODUCT(
  desp[data.vencimento] *
  (desp[classificacao]=$B$289) *
  (desp[centro.negocio]=$B652) *
  (desp[parcela]&gt;=Q$1) *
  (desp[parcela]&lt;EOMONTH(Q$1,0)+1)
)</f>
        <v>0</v>
      </c>
      <c r="R652" s="245" cm="1">
        <f t="array" ref="R652">-SUMPRODUCT(
  desp[data.vencimento] *
  (desp[classificacao]=$B$289) *
  (desp[centro.negocio]=$B652) *
  (desp[parcela]&gt;=R$1) *
  (desp[parcela]&lt;EOMONTH(R$1,0)+1)
)</f>
        <v>0</v>
      </c>
    </row>
    <row r="653" spans="1:18" outlineLevel="1" x14ac:dyDescent="0.25">
      <c r="A653" s="243" t="s">
        <v>599</v>
      </c>
      <c r="B653" s="243" t="s">
        <v>376</v>
      </c>
      <c r="C653" s="244" t="s">
        <v>522</v>
      </c>
      <c r="D653" s="245" cm="1">
        <f t="array" ref="D653">-SUMPRODUCT(
  desp[data.vencimento] *
  (desp[classificacao]=$B$289) *
  (desp[centro.negocio]=$B653) *
  (desp[parcela]&gt;=D$1) *
  (desp[parcela]&lt;EOMONTH(D$1,0)+1)
)</f>
        <v>0</v>
      </c>
      <c r="E653" s="245" cm="1">
        <f t="array" ref="E653">-SUMPRODUCT(
  desp[data.vencimento] *
  (desp[classificacao]=$B$289) *
  (desp[centro.negocio]=$B653) *
  (desp[parcela]&gt;=E$1) *
  (desp[parcela]&lt;EOMONTH(E$1,0)+1)
)</f>
        <v>0</v>
      </c>
      <c r="F653" s="245" cm="1">
        <f t="array" ref="F653">-SUMPRODUCT(
  desp[data.vencimento] *
  (desp[classificacao]=$B$289) *
  (desp[centro.negocio]=$B653) *
  (desp[parcela]&gt;=F$1) *
  (desp[parcela]&lt;EOMONTH(F$1,0)+1)
)</f>
        <v>0</v>
      </c>
      <c r="G653" s="245" cm="1">
        <f t="array" ref="G653">-SUMPRODUCT(
  desp[data.vencimento] *
  (desp[classificacao]=$B$289) *
  (desp[centro.negocio]=$B653) *
  (desp[parcela]&gt;=G$1) *
  (desp[parcela]&lt;EOMONTH(G$1,0)+1)
)</f>
        <v>0</v>
      </c>
      <c r="H653" s="245" cm="1">
        <f t="array" ref="H653">-SUMPRODUCT(
  desp[data.vencimento] *
  (desp[classificacao]=$B$289) *
  (desp[centro.negocio]=$B653) *
  (desp[parcela]&gt;=H$1) *
  (desp[parcela]&lt;EOMONTH(H$1,0)+1)
)</f>
        <v>0</v>
      </c>
      <c r="I653" s="245" cm="1">
        <f t="array" ref="I653">-SUMPRODUCT(
  desp[data.vencimento] *
  (desp[classificacao]=$B$289) *
  (desp[centro.negocio]=$B653) *
  (desp[parcela]&gt;=I$1) *
  (desp[parcela]&lt;EOMONTH(I$1,0)+1)
)</f>
        <v>0</v>
      </c>
      <c r="J653" s="245" cm="1">
        <f t="array" ref="J653">-SUMPRODUCT(
  desp[data.vencimento] *
  (desp[classificacao]=$B$289) *
  (desp[centro.negocio]=$B653) *
  (desp[parcela]&gt;=J$1) *
  (desp[parcela]&lt;EOMONTH(J$1,0)+1)
)</f>
        <v>0</v>
      </c>
      <c r="K653" s="245" cm="1">
        <f t="array" ref="K653">-SUMPRODUCT(
  desp[data.vencimento] *
  (desp[classificacao]=$B$289) *
  (desp[centro.negocio]=$B653) *
  (desp[parcela]&gt;=K$1) *
  (desp[parcela]&lt;EOMONTH(K$1,0)+1)
)</f>
        <v>0</v>
      </c>
      <c r="L653" s="245" cm="1">
        <f t="array" ref="L653">-SUMPRODUCT(
  desp[data.vencimento] *
  (desp[classificacao]=$B$289) *
  (desp[centro.negocio]=$B653) *
  (desp[parcela]&gt;=L$1) *
  (desp[parcela]&lt;EOMONTH(L$1,0)+1)
)</f>
        <v>0</v>
      </c>
      <c r="M653" s="245" cm="1">
        <f t="array" ref="M653">-SUMPRODUCT(
  desp[data.vencimento] *
  (desp[classificacao]=$B$289) *
  (desp[centro.negocio]=$B653) *
  (desp[parcela]&gt;=M$1) *
  (desp[parcela]&lt;EOMONTH(M$1,0)+1)
)</f>
        <v>0</v>
      </c>
      <c r="N653" s="245" cm="1">
        <f t="array" ref="N653">-SUMPRODUCT(
  desp[data.vencimento] *
  (desp[classificacao]=$B$289) *
  (desp[centro.negocio]=$B653) *
  (desp[parcela]&gt;=N$1) *
  (desp[parcela]&lt;EOMONTH(N$1,0)+1)
)</f>
        <v>0</v>
      </c>
      <c r="O653" s="245" cm="1">
        <f t="array" ref="O653">-SUMPRODUCT(
  desp[data.vencimento] *
  (desp[classificacao]=$B$289) *
  (desp[centro.negocio]=$B653) *
  (desp[parcela]&gt;=O$1) *
  (desp[parcela]&lt;EOMONTH(O$1,0)+1)
)</f>
        <v>0</v>
      </c>
      <c r="P653" s="245" cm="1">
        <f t="array" ref="P653">-SUMPRODUCT(
  desp[data.vencimento] *
  (desp[classificacao]=$B$289) *
  (desp[centro.negocio]=$B653) *
  (desp[parcela]&gt;=P$1) *
  (desp[parcela]&lt;EOMONTH(P$1,0)+1)
)</f>
        <v>0</v>
      </c>
      <c r="Q653" s="245" cm="1">
        <f t="array" ref="Q653">-SUMPRODUCT(
  desp[data.vencimento] *
  (desp[classificacao]=$B$289) *
  (desp[centro.negocio]=$B653) *
  (desp[parcela]&gt;=Q$1) *
  (desp[parcela]&lt;EOMONTH(Q$1,0)+1)
)</f>
        <v>0</v>
      </c>
      <c r="R653" s="245" cm="1">
        <f t="array" ref="R653">-SUMPRODUCT(
  desp[data.vencimento] *
  (desp[classificacao]=$B$289) *
  (desp[centro.negocio]=$B653) *
  (desp[parcela]&gt;=R$1) *
  (desp[parcela]&lt;EOMONTH(R$1,0)+1)
)</f>
        <v>0</v>
      </c>
    </row>
    <row r="654" spans="1:18" outlineLevel="1" x14ac:dyDescent="0.25">
      <c r="A654" s="243" t="s">
        <v>601</v>
      </c>
      <c r="B654" s="243" t="s">
        <v>374</v>
      </c>
      <c r="C654" s="244" t="s">
        <v>522</v>
      </c>
      <c r="D654" s="245" cm="1">
        <f t="array" ref="D654">-SUMPRODUCT(
  desp[data.vencimento] *
  (desp[classificacao]=$B$289) *
  (desp[centro.negocio]=$B654) *
  (desp[parcela]&gt;=D$1) *
  (desp[parcela]&lt;EOMONTH(D$1,0)+1)
)</f>
        <v>0</v>
      </c>
      <c r="E654" s="245" cm="1">
        <f t="array" ref="E654">-SUMPRODUCT(
  desp[data.vencimento] *
  (desp[classificacao]=$B$289) *
  (desp[centro.negocio]=$B654) *
  (desp[parcela]&gt;=E$1) *
  (desp[parcela]&lt;EOMONTH(E$1,0)+1)
)</f>
        <v>0</v>
      </c>
      <c r="F654" s="245" cm="1">
        <f t="array" ref="F654">-SUMPRODUCT(
  desp[data.vencimento] *
  (desp[classificacao]=$B$289) *
  (desp[centro.negocio]=$B654) *
  (desp[parcela]&gt;=F$1) *
  (desp[parcela]&lt;EOMONTH(F$1,0)+1)
)</f>
        <v>0</v>
      </c>
      <c r="G654" s="245" cm="1">
        <f t="array" ref="G654">-SUMPRODUCT(
  desp[data.vencimento] *
  (desp[classificacao]=$B$289) *
  (desp[centro.negocio]=$B654) *
  (desp[parcela]&gt;=G$1) *
  (desp[parcela]&lt;EOMONTH(G$1,0)+1)
)</f>
        <v>0</v>
      </c>
      <c r="H654" s="245" cm="1">
        <f t="array" ref="H654">-SUMPRODUCT(
  desp[data.vencimento] *
  (desp[classificacao]=$B$289) *
  (desp[centro.negocio]=$B654) *
  (desp[parcela]&gt;=H$1) *
  (desp[parcela]&lt;EOMONTH(H$1,0)+1)
)</f>
        <v>0</v>
      </c>
      <c r="I654" s="245" cm="1">
        <f t="array" ref="I654">-SUMPRODUCT(
  desp[data.vencimento] *
  (desp[classificacao]=$B$289) *
  (desp[centro.negocio]=$B654) *
  (desp[parcela]&gt;=I$1) *
  (desp[parcela]&lt;EOMONTH(I$1,0)+1)
)</f>
        <v>0</v>
      </c>
      <c r="J654" s="245" cm="1">
        <f t="array" ref="J654">-SUMPRODUCT(
  desp[data.vencimento] *
  (desp[classificacao]=$B$289) *
  (desp[centro.negocio]=$B654) *
  (desp[parcela]&gt;=J$1) *
  (desp[parcela]&lt;EOMONTH(J$1,0)+1)
)</f>
        <v>0</v>
      </c>
      <c r="K654" s="245" cm="1">
        <f t="array" ref="K654">-SUMPRODUCT(
  desp[data.vencimento] *
  (desp[classificacao]=$B$289) *
  (desp[centro.negocio]=$B654) *
  (desp[parcela]&gt;=K$1) *
  (desp[parcela]&lt;EOMONTH(K$1,0)+1)
)</f>
        <v>0</v>
      </c>
      <c r="L654" s="245" cm="1">
        <f t="array" ref="L654">-SUMPRODUCT(
  desp[data.vencimento] *
  (desp[classificacao]=$B$289) *
  (desp[centro.negocio]=$B654) *
  (desp[parcela]&gt;=L$1) *
  (desp[parcela]&lt;EOMONTH(L$1,0)+1)
)</f>
        <v>0</v>
      </c>
      <c r="M654" s="245" cm="1">
        <f t="array" ref="M654">-SUMPRODUCT(
  desp[data.vencimento] *
  (desp[classificacao]=$B$289) *
  (desp[centro.negocio]=$B654) *
  (desp[parcela]&gt;=M$1) *
  (desp[parcela]&lt;EOMONTH(M$1,0)+1)
)</f>
        <v>0</v>
      </c>
      <c r="N654" s="245" cm="1">
        <f t="array" ref="N654">-SUMPRODUCT(
  desp[data.vencimento] *
  (desp[classificacao]=$B$289) *
  (desp[centro.negocio]=$B654) *
  (desp[parcela]&gt;=N$1) *
  (desp[parcela]&lt;EOMONTH(N$1,0)+1)
)</f>
        <v>0</v>
      </c>
      <c r="O654" s="245" cm="1">
        <f t="array" ref="O654">-SUMPRODUCT(
  desp[data.vencimento] *
  (desp[classificacao]=$B$289) *
  (desp[centro.negocio]=$B654) *
  (desp[parcela]&gt;=O$1) *
  (desp[parcela]&lt;EOMONTH(O$1,0)+1)
)</f>
        <v>0</v>
      </c>
      <c r="P654" s="245" cm="1">
        <f t="array" ref="P654">-SUMPRODUCT(
  desp[data.vencimento] *
  (desp[classificacao]=$B$289) *
  (desp[centro.negocio]=$B654) *
  (desp[parcela]&gt;=P$1) *
  (desp[parcela]&lt;EOMONTH(P$1,0)+1)
)</f>
        <v>0</v>
      </c>
      <c r="Q654" s="245" cm="1">
        <f t="array" ref="Q654">-SUMPRODUCT(
  desp[data.vencimento] *
  (desp[classificacao]=$B$289) *
  (desp[centro.negocio]=$B654) *
  (desp[parcela]&gt;=Q$1) *
  (desp[parcela]&lt;EOMONTH(Q$1,0)+1)
)</f>
        <v>0</v>
      </c>
      <c r="R654" s="245" cm="1">
        <f t="array" ref="R654">-SUMPRODUCT(
  desp[data.vencimento] *
  (desp[classificacao]=$B$289) *
  (desp[centro.negocio]=$B654) *
  (desp[parcela]&gt;=R$1) *
  (desp[parcela]&lt;EOMONTH(R$1,0)+1)
)</f>
        <v>0</v>
      </c>
    </row>
    <row r="655" spans="1:18" outlineLevel="1" x14ac:dyDescent="0.25">
      <c r="A655" s="243" t="s">
        <v>603</v>
      </c>
      <c r="B655" s="243" t="s">
        <v>381</v>
      </c>
      <c r="C655" s="244" t="s">
        <v>522</v>
      </c>
      <c r="D655" s="245" cm="1">
        <f t="array" ref="D655">-SUMPRODUCT(
  desp[data.vencimento] *
  (desp[classificacao]=$B$289) *
  (desp[centro.negocio]=$B655) *
  (desp[parcela]&gt;=D$1) *
  (desp[parcela]&lt;EOMONTH(D$1,0)+1)
)</f>
        <v>0</v>
      </c>
      <c r="E655" s="245" cm="1">
        <f t="array" ref="E655">-SUMPRODUCT(
  desp[data.vencimento] *
  (desp[classificacao]=$B$289) *
  (desp[centro.negocio]=$B655) *
  (desp[parcela]&gt;=E$1) *
  (desp[parcela]&lt;EOMONTH(E$1,0)+1)
)</f>
        <v>0</v>
      </c>
      <c r="F655" s="245" cm="1">
        <f t="array" ref="F655">-SUMPRODUCT(
  desp[data.vencimento] *
  (desp[classificacao]=$B$289) *
  (desp[centro.negocio]=$B655) *
  (desp[parcela]&gt;=F$1) *
  (desp[parcela]&lt;EOMONTH(F$1,0)+1)
)</f>
        <v>0</v>
      </c>
      <c r="G655" s="245" cm="1">
        <f t="array" ref="G655">-SUMPRODUCT(
  desp[data.vencimento] *
  (desp[classificacao]=$B$289) *
  (desp[centro.negocio]=$B655) *
  (desp[parcela]&gt;=G$1) *
  (desp[parcela]&lt;EOMONTH(G$1,0)+1)
)</f>
        <v>0</v>
      </c>
      <c r="H655" s="245" cm="1">
        <f t="array" ref="H655">-SUMPRODUCT(
  desp[data.vencimento] *
  (desp[classificacao]=$B$289) *
  (desp[centro.negocio]=$B655) *
  (desp[parcela]&gt;=H$1) *
  (desp[parcela]&lt;EOMONTH(H$1,0)+1)
)</f>
        <v>0</v>
      </c>
      <c r="I655" s="245" cm="1">
        <f t="array" ref="I655">-SUMPRODUCT(
  desp[data.vencimento] *
  (desp[classificacao]=$B$289) *
  (desp[centro.negocio]=$B655) *
  (desp[parcela]&gt;=I$1) *
  (desp[parcela]&lt;EOMONTH(I$1,0)+1)
)</f>
        <v>0</v>
      </c>
      <c r="J655" s="245" cm="1">
        <f t="array" ref="J655">-SUMPRODUCT(
  desp[data.vencimento] *
  (desp[classificacao]=$B$289) *
  (desp[centro.negocio]=$B655) *
  (desp[parcela]&gt;=J$1) *
  (desp[parcela]&lt;EOMONTH(J$1,0)+1)
)</f>
        <v>0</v>
      </c>
      <c r="K655" s="245" cm="1">
        <f t="array" ref="K655">-SUMPRODUCT(
  desp[data.vencimento] *
  (desp[classificacao]=$B$289) *
  (desp[centro.negocio]=$B655) *
  (desp[parcela]&gt;=K$1) *
  (desp[parcela]&lt;EOMONTH(K$1,0)+1)
)</f>
        <v>0</v>
      </c>
      <c r="L655" s="245" cm="1">
        <f t="array" ref="L655">-SUMPRODUCT(
  desp[data.vencimento] *
  (desp[classificacao]=$B$289) *
  (desp[centro.negocio]=$B655) *
  (desp[parcela]&gt;=L$1) *
  (desp[parcela]&lt;EOMONTH(L$1,0)+1)
)</f>
        <v>0</v>
      </c>
      <c r="M655" s="245" cm="1">
        <f t="array" ref="M655">-SUMPRODUCT(
  desp[data.vencimento] *
  (desp[classificacao]=$B$289) *
  (desp[centro.negocio]=$B655) *
  (desp[parcela]&gt;=M$1) *
  (desp[parcela]&lt;EOMONTH(M$1,0)+1)
)</f>
        <v>0</v>
      </c>
      <c r="N655" s="245" cm="1">
        <f t="array" ref="N655">-SUMPRODUCT(
  desp[data.vencimento] *
  (desp[classificacao]=$B$289) *
  (desp[centro.negocio]=$B655) *
  (desp[parcela]&gt;=N$1) *
  (desp[parcela]&lt;EOMONTH(N$1,0)+1)
)</f>
        <v>0</v>
      </c>
      <c r="O655" s="245" cm="1">
        <f t="array" ref="O655">-SUMPRODUCT(
  desp[data.vencimento] *
  (desp[classificacao]=$B$289) *
  (desp[centro.negocio]=$B655) *
  (desp[parcela]&gt;=O$1) *
  (desp[parcela]&lt;EOMONTH(O$1,0)+1)
)</f>
        <v>0</v>
      </c>
      <c r="P655" s="245" cm="1">
        <f t="array" ref="P655">-SUMPRODUCT(
  desp[data.vencimento] *
  (desp[classificacao]=$B$289) *
  (desp[centro.negocio]=$B655) *
  (desp[parcela]&gt;=P$1) *
  (desp[parcela]&lt;EOMONTH(P$1,0)+1)
)</f>
        <v>0</v>
      </c>
      <c r="Q655" s="245" cm="1">
        <f t="array" ref="Q655">-SUMPRODUCT(
  desp[data.vencimento] *
  (desp[classificacao]=$B$289) *
  (desp[centro.negocio]=$B655) *
  (desp[parcela]&gt;=Q$1) *
  (desp[parcela]&lt;EOMONTH(Q$1,0)+1)
)</f>
        <v>0</v>
      </c>
      <c r="R655" s="245" cm="1">
        <f t="array" ref="R655">-SUMPRODUCT(
  desp[data.vencimento] *
  (desp[classificacao]=$B$289) *
  (desp[centro.negocio]=$B655) *
  (desp[parcela]&gt;=R$1) *
  (desp[parcela]&lt;EOMONTH(R$1,0)+1)
)</f>
        <v>0</v>
      </c>
    </row>
    <row r="656" spans="1:18" outlineLevel="1" x14ac:dyDescent="0.25">
      <c r="A656" s="243" t="s">
        <v>608</v>
      </c>
      <c r="B656" s="243" t="s">
        <v>393</v>
      </c>
      <c r="C656" s="244" t="s">
        <v>522</v>
      </c>
      <c r="D656" s="245" cm="1">
        <f t="array" ref="D656">-SUMPRODUCT(
  desp[data.vencimento] *
  (desp[classificacao]=$B$289) *
  (desp[centro.negocio]=$B656) *
  (desp[parcela]&gt;=D$1) *
  (desp[parcela]&lt;EOMONTH(D$1,0)+1)
)</f>
        <v>0</v>
      </c>
      <c r="E656" s="245" cm="1">
        <f t="array" ref="E656">-SUMPRODUCT(
  desp[data.vencimento] *
  (desp[classificacao]=$B$289) *
  (desp[centro.negocio]=$B656) *
  (desp[parcela]&gt;=E$1) *
  (desp[parcela]&lt;EOMONTH(E$1,0)+1)
)</f>
        <v>0</v>
      </c>
      <c r="F656" s="245" cm="1">
        <f t="array" ref="F656">-SUMPRODUCT(
  desp[data.vencimento] *
  (desp[classificacao]=$B$289) *
  (desp[centro.negocio]=$B656) *
  (desp[parcela]&gt;=F$1) *
  (desp[parcela]&lt;EOMONTH(F$1,0)+1)
)</f>
        <v>0</v>
      </c>
      <c r="G656" s="245" cm="1">
        <f t="array" ref="G656">-SUMPRODUCT(
  desp[data.vencimento] *
  (desp[classificacao]=$B$289) *
  (desp[centro.negocio]=$B656) *
  (desp[parcela]&gt;=G$1) *
  (desp[parcela]&lt;EOMONTH(G$1,0)+1)
)</f>
        <v>0</v>
      </c>
      <c r="H656" s="245" cm="1">
        <f t="array" ref="H656">-SUMPRODUCT(
  desp[data.vencimento] *
  (desp[classificacao]=$B$289) *
  (desp[centro.negocio]=$B656) *
  (desp[parcela]&gt;=H$1) *
  (desp[parcela]&lt;EOMONTH(H$1,0)+1)
)</f>
        <v>0</v>
      </c>
      <c r="I656" s="245" cm="1">
        <f t="array" ref="I656">-SUMPRODUCT(
  desp[data.vencimento] *
  (desp[classificacao]=$B$289) *
  (desp[centro.negocio]=$B656) *
  (desp[parcela]&gt;=I$1) *
  (desp[parcela]&lt;EOMONTH(I$1,0)+1)
)</f>
        <v>0</v>
      </c>
      <c r="J656" s="245" cm="1">
        <f t="array" ref="J656">-SUMPRODUCT(
  desp[data.vencimento] *
  (desp[classificacao]=$B$289) *
  (desp[centro.negocio]=$B656) *
  (desp[parcela]&gt;=J$1) *
  (desp[parcela]&lt;EOMONTH(J$1,0)+1)
)</f>
        <v>0</v>
      </c>
      <c r="K656" s="245" cm="1">
        <f t="array" ref="K656">-SUMPRODUCT(
  desp[data.vencimento] *
  (desp[classificacao]=$B$289) *
  (desp[centro.negocio]=$B656) *
  (desp[parcela]&gt;=K$1) *
  (desp[parcela]&lt;EOMONTH(K$1,0)+1)
)</f>
        <v>0</v>
      </c>
      <c r="L656" s="245" cm="1">
        <f t="array" ref="L656">-SUMPRODUCT(
  desp[data.vencimento] *
  (desp[classificacao]=$B$289) *
  (desp[centro.negocio]=$B656) *
  (desp[parcela]&gt;=L$1) *
  (desp[parcela]&lt;EOMONTH(L$1,0)+1)
)</f>
        <v>0</v>
      </c>
      <c r="M656" s="245" cm="1">
        <f t="array" ref="M656">-SUMPRODUCT(
  desp[data.vencimento] *
  (desp[classificacao]=$B$289) *
  (desp[centro.negocio]=$B656) *
  (desp[parcela]&gt;=M$1) *
  (desp[parcela]&lt;EOMONTH(M$1,0)+1)
)</f>
        <v>0</v>
      </c>
      <c r="N656" s="245" cm="1">
        <f t="array" ref="N656">-SUMPRODUCT(
  desp[data.vencimento] *
  (desp[classificacao]=$B$289) *
  (desp[centro.negocio]=$B656) *
  (desp[parcela]&gt;=N$1) *
  (desp[parcela]&lt;EOMONTH(N$1,0)+1)
)</f>
        <v>0</v>
      </c>
      <c r="O656" s="245" cm="1">
        <f t="array" ref="O656">-SUMPRODUCT(
  desp[data.vencimento] *
  (desp[classificacao]=$B$289) *
  (desp[centro.negocio]=$B656) *
  (desp[parcela]&gt;=O$1) *
  (desp[parcela]&lt;EOMONTH(O$1,0)+1)
)</f>
        <v>0</v>
      </c>
      <c r="P656" s="245" cm="1">
        <f t="array" ref="P656">-SUMPRODUCT(
  desp[data.vencimento] *
  (desp[classificacao]=$B$289) *
  (desp[centro.negocio]=$B656) *
  (desp[parcela]&gt;=P$1) *
  (desp[parcela]&lt;EOMONTH(P$1,0)+1)
)</f>
        <v>0</v>
      </c>
      <c r="Q656" s="245" cm="1">
        <f t="array" ref="Q656">-SUMPRODUCT(
  desp[data.vencimento] *
  (desp[classificacao]=$B$289) *
  (desp[centro.negocio]=$B656) *
  (desp[parcela]&gt;=Q$1) *
  (desp[parcela]&lt;EOMONTH(Q$1,0)+1)
)</f>
        <v>0</v>
      </c>
      <c r="R656" s="245" cm="1">
        <f t="array" ref="R656">-SUMPRODUCT(
  desp[data.vencimento] *
  (desp[classificacao]=$B$289) *
  (desp[centro.negocio]=$B656) *
  (desp[parcela]&gt;=R$1) *
  (desp[parcela]&lt;EOMONTH(R$1,0)+1)
)</f>
        <v>0</v>
      </c>
    </row>
    <row r="657" spans="1:18" outlineLevel="1" x14ac:dyDescent="0.25">
      <c r="A657" s="243" t="s">
        <v>622</v>
      </c>
      <c r="B657" s="243" t="s">
        <v>346</v>
      </c>
      <c r="C657" s="244" t="s">
        <v>522</v>
      </c>
      <c r="D657" s="245" cm="1">
        <f t="array" ref="D657">-SUMPRODUCT(
  desp[data.vencimento] *
  (desp[classificacao]=$B$289) *
  (desp[centro.negocio]=$B657) *
  (desp[parcela]&gt;=D$1) *
  (desp[parcela]&lt;EOMONTH(D$1,0)+1)
)</f>
        <v>0</v>
      </c>
      <c r="E657" s="245" cm="1">
        <f t="array" ref="E657">-SUMPRODUCT(
  desp[data.vencimento] *
  (desp[classificacao]=$B$289) *
  (desp[centro.negocio]=$B657) *
  (desp[parcela]&gt;=E$1) *
  (desp[parcela]&lt;EOMONTH(E$1,0)+1)
)</f>
        <v>0</v>
      </c>
      <c r="F657" s="245" cm="1">
        <f t="array" ref="F657">-SUMPRODUCT(
  desp[data.vencimento] *
  (desp[classificacao]=$B$289) *
  (desp[centro.negocio]=$B657) *
  (desp[parcela]&gt;=F$1) *
  (desp[parcela]&lt;EOMONTH(F$1,0)+1)
)</f>
        <v>0</v>
      </c>
      <c r="G657" s="245" cm="1">
        <f t="array" ref="G657">-SUMPRODUCT(
  desp[data.vencimento] *
  (desp[classificacao]=$B$289) *
  (desp[centro.negocio]=$B657) *
  (desp[parcela]&gt;=G$1) *
  (desp[parcela]&lt;EOMONTH(G$1,0)+1)
)</f>
        <v>0</v>
      </c>
      <c r="H657" s="245" cm="1">
        <f t="array" ref="H657">-SUMPRODUCT(
  desp[data.vencimento] *
  (desp[classificacao]=$B$289) *
  (desp[centro.negocio]=$B657) *
  (desp[parcela]&gt;=H$1) *
  (desp[parcela]&lt;EOMONTH(H$1,0)+1)
)</f>
        <v>0</v>
      </c>
      <c r="I657" s="245" cm="1">
        <f t="array" ref="I657">-SUMPRODUCT(
  desp[data.vencimento] *
  (desp[classificacao]=$B$289) *
  (desp[centro.negocio]=$B657) *
  (desp[parcela]&gt;=I$1) *
  (desp[parcela]&lt;EOMONTH(I$1,0)+1)
)</f>
        <v>0</v>
      </c>
      <c r="J657" s="245" cm="1">
        <f t="array" ref="J657">-SUMPRODUCT(
  desp[data.vencimento] *
  (desp[classificacao]=$B$289) *
  (desp[centro.negocio]=$B657) *
  (desp[parcela]&gt;=J$1) *
  (desp[parcela]&lt;EOMONTH(J$1,0)+1)
)</f>
        <v>0</v>
      </c>
      <c r="K657" s="245" cm="1">
        <f t="array" ref="K657">-SUMPRODUCT(
  desp[data.vencimento] *
  (desp[classificacao]=$B$289) *
  (desp[centro.negocio]=$B657) *
  (desp[parcela]&gt;=K$1) *
  (desp[parcela]&lt;EOMONTH(K$1,0)+1)
)</f>
        <v>0</v>
      </c>
      <c r="L657" s="245" cm="1">
        <f t="array" ref="L657">-SUMPRODUCT(
  desp[data.vencimento] *
  (desp[classificacao]=$B$289) *
  (desp[centro.negocio]=$B657) *
  (desp[parcela]&gt;=L$1) *
  (desp[parcela]&lt;EOMONTH(L$1,0)+1)
)</f>
        <v>0</v>
      </c>
      <c r="M657" s="245" cm="1">
        <f t="array" ref="M657">-SUMPRODUCT(
  desp[data.vencimento] *
  (desp[classificacao]=$B$289) *
  (desp[centro.negocio]=$B657) *
  (desp[parcela]&gt;=M$1) *
  (desp[parcela]&lt;EOMONTH(M$1,0)+1)
)</f>
        <v>0</v>
      </c>
      <c r="N657" s="245" cm="1">
        <f t="array" ref="N657">-SUMPRODUCT(
  desp[data.vencimento] *
  (desp[classificacao]=$B$289) *
  (desp[centro.negocio]=$B657) *
  (desp[parcela]&gt;=N$1) *
  (desp[parcela]&lt;EOMONTH(N$1,0)+1)
)</f>
        <v>0</v>
      </c>
      <c r="O657" s="245" cm="1">
        <f t="array" ref="O657">-SUMPRODUCT(
  desp[data.vencimento] *
  (desp[classificacao]=$B$289) *
  (desp[centro.negocio]=$B657) *
  (desp[parcela]&gt;=O$1) *
  (desp[parcela]&lt;EOMONTH(O$1,0)+1)
)</f>
        <v>0</v>
      </c>
      <c r="P657" s="245" cm="1">
        <f t="array" ref="P657">-SUMPRODUCT(
  desp[data.vencimento] *
  (desp[classificacao]=$B$289) *
  (desp[centro.negocio]=$B657) *
  (desp[parcela]&gt;=P$1) *
  (desp[parcela]&lt;EOMONTH(P$1,0)+1)
)</f>
        <v>0</v>
      </c>
      <c r="Q657" s="245" cm="1">
        <f t="array" ref="Q657">-SUMPRODUCT(
  desp[data.vencimento] *
  (desp[classificacao]=$B$289) *
  (desp[centro.negocio]=$B657) *
  (desp[parcela]&gt;=Q$1) *
  (desp[parcela]&lt;EOMONTH(Q$1,0)+1)
)</f>
        <v>0</v>
      </c>
      <c r="R657" s="245" cm="1">
        <f t="array" ref="R657">-SUMPRODUCT(
  desp[data.vencimento] *
  (desp[classificacao]=$B$289) *
  (desp[centro.negocio]=$B657) *
  (desp[parcela]&gt;=R$1) *
  (desp[parcela]&lt;EOMONTH(R$1,0)+1)
)</f>
        <v>0</v>
      </c>
    </row>
    <row r="658" spans="1:18" outlineLevel="1" x14ac:dyDescent="0.25">
      <c r="A658" s="243" t="s">
        <v>656</v>
      </c>
      <c r="B658" s="243" t="s">
        <v>390</v>
      </c>
      <c r="C658" s="244" t="s">
        <v>522</v>
      </c>
      <c r="D658" s="245" cm="1">
        <f t="array" ref="D658">-SUMPRODUCT(
  desp[data.vencimento] *
  (desp[classificacao]=$B$289) *
  (desp[centro.negocio]=$B658) *
  (desp[parcela]&gt;=D$1) *
  (desp[parcela]&lt;EOMONTH(D$1,0)+1)
)</f>
        <v>0</v>
      </c>
      <c r="E658" s="245" cm="1">
        <f t="array" ref="E658">-SUMPRODUCT(
  desp[data.vencimento] *
  (desp[classificacao]=$B$289) *
  (desp[centro.negocio]=$B658) *
  (desp[parcela]&gt;=E$1) *
  (desp[parcela]&lt;EOMONTH(E$1,0)+1)
)</f>
        <v>0</v>
      </c>
      <c r="F658" s="245" cm="1">
        <f t="array" ref="F658">-SUMPRODUCT(
  desp[data.vencimento] *
  (desp[classificacao]=$B$289) *
  (desp[centro.negocio]=$B658) *
  (desp[parcela]&gt;=F$1) *
  (desp[parcela]&lt;EOMONTH(F$1,0)+1)
)</f>
        <v>0</v>
      </c>
      <c r="G658" s="245" cm="1">
        <f t="array" ref="G658">-SUMPRODUCT(
  desp[data.vencimento] *
  (desp[classificacao]=$B$289) *
  (desp[centro.negocio]=$B658) *
  (desp[parcela]&gt;=G$1) *
  (desp[parcela]&lt;EOMONTH(G$1,0)+1)
)</f>
        <v>0</v>
      </c>
      <c r="H658" s="245" cm="1">
        <f t="array" ref="H658">-SUMPRODUCT(
  desp[data.vencimento] *
  (desp[classificacao]=$B$289) *
  (desp[centro.negocio]=$B658) *
  (desp[parcela]&gt;=H$1) *
  (desp[parcela]&lt;EOMONTH(H$1,0)+1)
)</f>
        <v>0</v>
      </c>
      <c r="I658" s="245" cm="1">
        <f t="array" ref="I658">-SUMPRODUCT(
  desp[data.vencimento] *
  (desp[classificacao]=$B$289) *
  (desp[centro.negocio]=$B658) *
  (desp[parcela]&gt;=I$1) *
  (desp[parcela]&lt;EOMONTH(I$1,0)+1)
)</f>
        <v>0</v>
      </c>
      <c r="J658" s="245" cm="1">
        <f t="array" ref="J658">-SUMPRODUCT(
  desp[data.vencimento] *
  (desp[classificacao]=$B$289) *
  (desp[centro.negocio]=$B658) *
  (desp[parcela]&gt;=J$1) *
  (desp[parcela]&lt;EOMONTH(J$1,0)+1)
)</f>
        <v>0</v>
      </c>
      <c r="K658" s="245" cm="1">
        <f t="array" ref="K658">-SUMPRODUCT(
  desp[data.vencimento] *
  (desp[classificacao]=$B$289) *
  (desp[centro.negocio]=$B658) *
  (desp[parcela]&gt;=K$1) *
  (desp[parcela]&lt;EOMONTH(K$1,0)+1)
)</f>
        <v>0</v>
      </c>
      <c r="L658" s="245" cm="1">
        <f t="array" ref="L658">-SUMPRODUCT(
  desp[data.vencimento] *
  (desp[classificacao]=$B$289) *
  (desp[centro.negocio]=$B658) *
  (desp[parcela]&gt;=L$1) *
  (desp[parcela]&lt;EOMONTH(L$1,0)+1)
)</f>
        <v>0</v>
      </c>
      <c r="M658" s="245" cm="1">
        <f t="array" ref="M658">-SUMPRODUCT(
  desp[data.vencimento] *
  (desp[classificacao]=$B$289) *
  (desp[centro.negocio]=$B658) *
  (desp[parcela]&gt;=M$1) *
  (desp[parcela]&lt;EOMONTH(M$1,0)+1)
)</f>
        <v>0</v>
      </c>
      <c r="N658" s="245" cm="1">
        <f t="array" ref="N658">-SUMPRODUCT(
  desp[data.vencimento] *
  (desp[classificacao]=$B$289) *
  (desp[centro.negocio]=$B658) *
  (desp[parcela]&gt;=N$1) *
  (desp[parcela]&lt;EOMONTH(N$1,0)+1)
)</f>
        <v>0</v>
      </c>
      <c r="O658" s="245" cm="1">
        <f t="array" ref="O658">-SUMPRODUCT(
  desp[data.vencimento] *
  (desp[classificacao]=$B$289) *
  (desp[centro.negocio]=$B658) *
  (desp[parcela]&gt;=O$1) *
  (desp[parcela]&lt;EOMONTH(O$1,0)+1)
)</f>
        <v>0</v>
      </c>
      <c r="P658" s="245" cm="1">
        <f t="array" ref="P658">-SUMPRODUCT(
  desp[data.vencimento] *
  (desp[classificacao]=$B$289) *
  (desp[centro.negocio]=$B658) *
  (desp[parcela]&gt;=P$1) *
  (desp[parcela]&lt;EOMONTH(P$1,0)+1)
)</f>
        <v>0</v>
      </c>
      <c r="Q658" s="245" cm="1">
        <f t="array" ref="Q658">-SUMPRODUCT(
  desp[data.vencimento] *
  (desp[classificacao]=$B$289) *
  (desp[centro.negocio]=$B658) *
  (desp[parcela]&gt;=Q$1) *
  (desp[parcela]&lt;EOMONTH(Q$1,0)+1)
)</f>
        <v>0</v>
      </c>
      <c r="R658" s="245" cm="1">
        <f t="array" ref="R658">-SUMPRODUCT(
  desp[data.vencimento] *
  (desp[classificacao]=$B$289) *
  (desp[centro.negocio]=$B658) *
  (desp[parcela]&gt;=R$1) *
  (desp[parcela]&lt;EOMONTH(R$1,0)+1)
)</f>
        <v>0</v>
      </c>
    </row>
    <row r="659" spans="1:18" outlineLevel="1" x14ac:dyDescent="0.25">
      <c r="A659" s="243" t="s">
        <v>669</v>
      </c>
      <c r="B659" s="243" t="s">
        <v>385</v>
      </c>
      <c r="C659" s="244" t="s">
        <v>522</v>
      </c>
      <c r="D659" s="245" cm="1">
        <f t="array" ref="D659">-SUMPRODUCT(
  desp[data.vencimento] *
  (desp[classificacao]=$B$289) *
  (desp[centro.negocio]=$B659) *
  (desp[parcela]&gt;=D$1) *
  (desp[parcela]&lt;EOMONTH(D$1,0)+1)
)</f>
        <v>0</v>
      </c>
      <c r="E659" s="245" cm="1">
        <f t="array" ref="E659">-SUMPRODUCT(
  desp[data.vencimento] *
  (desp[classificacao]=$B$289) *
  (desp[centro.negocio]=$B659) *
  (desp[parcela]&gt;=E$1) *
  (desp[parcela]&lt;EOMONTH(E$1,0)+1)
)</f>
        <v>0</v>
      </c>
      <c r="F659" s="245" cm="1">
        <f t="array" ref="F659">-SUMPRODUCT(
  desp[data.vencimento] *
  (desp[classificacao]=$B$289) *
  (desp[centro.negocio]=$B659) *
  (desp[parcela]&gt;=F$1) *
  (desp[parcela]&lt;EOMONTH(F$1,0)+1)
)</f>
        <v>0</v>
      </c>
      <c r="G659" s="245" cm="1">
        <f t="array" ref="G659">-SUMPRODUCT(
  desp[data.vencimento] *
  (desp[classificacao]=$B$289) *
  (desp[centro.negocio]=$B659) *
  (desp[parcela]&gt;=G$1) *
  (desp[parcela]&lt;EOMONTH(G$1,0)+1)
)</f>
        <v>0</v>
      </c>
      <c r="H659" s="245" cm="1">
        <f t="array" ref="H659">-SUMPRODUCT(
  desp[data.vencimento] *
  (desp[classificacao]=$B$289) *
  (desp[centro.negocio]=$B659) *
  (desp[parcela]&gt;=H$1) *
  (desp[parcela]&lt;EOMONTH(H$1,0)+1)
)</f>
        <v>0</v>
      </c>
      <c r="I659" s="245" cm="1">
        <f t="array" ref="I659">-SUMPRODUCT(
  desp[data.vencimento] *
  (desp[classificacao]=$B$289) *
  (desp[centro.negocio]=$B659) *
  (desp[parcela]&gt;=I$1) *
  (desp[parcela]&lt;EOMONTH(I$1,0)+1)
)</f>
        <v>0</v>
      </c>
      <c r="J659" s="245" cm="1">
        <f t="array" ref="J659">-SUMPRODUCT(
  desp[data.vencimento] *
  (desp[classificacao]=$B$289) *
  (desp[centro.negocio]=$B659) *
  (desp[parcela]&gt;=J$1) *
  (desp[parcela]&lt;EOMONTH(J$1,0)+1)
)</f>
        <v>0</v>
      </c>
      <c r="K659" s="245" cm="1">
        <f t="array" ref="K659">-SUMPRODUCT(
  desp[data.vencimento] *
  (desp[classificacao]=$B$289) *
  (desp[centro.negocio]=$B659) *
  (desp[parcela]&gt;=K$1) *
  (desp[parcela]&lt;EOMONTH(K$1,0)+1)
)</f>
        <v>0</v>
      </c>
      <c r="L659" s="245" cm="1">
        <f t="array" ref="L659">-SUMPRODUCT(
  desp[data.vencimento] *
  (desp[classificacao]=$B$289) *
  (desp[centro.negocio]=$B659) *
  (desp[parcela]&gt;=L$1) *
  (desp[parcela]&lt;EOMONTH(L$1,0)+1)
)</f>
        <v>0</v>
      </c>
      <c r="M659" s="245" cm="1">
        <f t="array" ref="M659">-SUMPRODUCT(
  desp[data.vencimento] *
  (desp[classificacao]=$B$289) *
  (desp[centro.negocio]=$B659) *
  (desp[parcela]&gt;=M$1) *
  (desp[parcela]&lt;EOMONTH(M$1,0)+1)
)</f>
        <v>0</v>
      </c>
      <c r="N659" s="245" cm="1">
        <f t="array" ref="N659">-SUMPRODUCT(
  desp[data.vencimento] *
  (desp[classificacao]=$B$289) *
  (desp[centro.negocio]=$B659) *
  (desp[parcela]&gt;=N$1) *
  (desp[parcela]&lt;EOMONTH(N$1,0)+1)
)</f>
        <v>0</v>
      </c>
      <c r="O659" s="245" cm="1">
        <f t="array" ref="O659">-SUMPRODUCT(
  desp[data.vencimento] *
  (desp[classificacao]=$B$289) *
  (desp[centro.negocio]=$B659) *
  (desp[parcela]&gt;=O$1) *
  (desp[parcela]&lt;EOMONTH(O$1,0)+1)
)</f>
        <v>0</v>
      </c>
      <c r="P659" s="245" cm="1">
        <f t="array" ref="P659">-SUMPRODUCT(
  desp[data.vencimento] *
  (desp[classificacao]=$B$289) *
  (desp[centro.negocio]=$B659) *
  (desp[parcela]&gt;=P$1) *
  (desp[parcela]&lt;EOMONTH(P$1,0)+1)
)</f>
        <v>0</v>
      </c>
      <c r="Q659" s="245" cm="1">
        <f t="array" ref="Q659">-SUMPRODUCT(
  desp[data.vencimento] *
  (desp[classificacao]=$B$289) *
  (desp[centro.negocio]=$B659) *
  (desp[parcela]&gt;=Q$1) *
  (desp[parcela]&lt;EOMONTH(Q$1,0)+1)
)</f>
        <v>0</v>
      </c>
      <c r="R659" s="245" cm="1">
        <f t="array" ref="R659">-SUMPRODUCT(
  desp[data.vencimento] *
  (desp[classificacao]=$B$289) *
  (desp[centro.negocio]=$B659) *
  (desp[parcela]&gt;=R$1) *
  (desp[parcela]&lt;EOMONTH(R$1,0)+1)
)</f>
        <v>0</v>
      </c>
    </row>
    <row r="660" spans="1:18" outlineLevel="1" x14ac:dyDescent="0.25">
      <c r="A660" s="243" t="s">
        <v>674</v>
      </c>
      <c r="B660" s="243" t="s">
        <v>361</v>
      </c>
      <c r="C660" s="244" t="s">
        <v>522</v>
      </c>
      <c r="D660" s="245" cm="1">
        <f t="array" ref="D660">-SUMPRODUCT(
  desp[data.vencimento] *
  (desp[classificacao]=$B$289) *
  (desp[centro.negocio]=$B660) *
  (desp[parcela]&gt;=D$1) *
  (desp[parcela]&lt;EOMONTH(D$1,0)+1)
)</f>
        <v>0</v>
      </c>
      <c r="E660" s="245" cm="1">
        <f t="array" ref="E660">-SUMPRODUCT(
  desp[data.vencimento] *
  (desp[classificacao]=$B$289) *
  (desp[centro.negocio]=$B660) *
  (desp[parcela]&gt;=E$1) *
  (desp[parcela]&lt;EOMONTH(E$1,0)+1)
)</f>
        <v>0</v>
      </c>
      <c r="F660" s="245" cm="1">
        <f t="array" ref="F660">-SUMPRODUCT(
  desp[data.vencimento] *
  (desp[classificacao]=$B$289) *
  (desp[centro.negocio]=$B660) *
  (desp[parcela]&gt;=F$1) *
  (desp[parcela]&lt;EOMONTH(F$1,0)+1)
)</f>
        <v>0</v>
      </c>
      <c r="G660" s="245" cm="1">
        <f t="array" ref="G660">-SUMPRODUCT(
  desp[data.vencimento] *
  (desp[classificacao]=$B$289) *
  (desp[centro.negocio]=$B660) *
  (desp[parcela]&gt;=G$1) *
  (desp[parcela]&lt;EOMONTH(G$1,0)+1)
)</f>
        <v>0</v>
      </c>
      <c r="H660" s="245" cm="1">
        <f t="array" ref="H660">-SUMPRODUCT(
  desp[data.vencimento] *
  (desp[classificacao]=$B$289) *
  (desp[centro.negocio]=$B660) *
  (desp[parcela]&gt;=H$1) *
  (desp[parcela]&lt;EOMONTH(H$1,0)+1)
)</f>
        <v>0</v>
      </c>
      <c r="I660" s="245" cm="1">
        <f t="array" ref="I660">-SUMPRODUCT(
  desp[data.vencimento] *
  (desp[classificacao]=$B$289) *
  (desp[centro.negocio]=$B660) *
  (desp[parcela]&gt;=I$1) *
  (desp[parcela]&lt;EOMONTH(I$1,0)+1)
)</f>
        <v>0</v>
      </c>
      <c r="J660" s="245" cm="1">
        <f t="array" ref="J660">-SUMPRODUCT(
  desp[data.vencimento] *
  (desp[classificacao]=$B$289) *
  (desp[centro.negocio]=$B660) *
  (desp[parcela]&gt;=J$1) *
  (desp[parcela]&lt;EOMONTH(J$1,0)+1)
)</f>
        <v>0</v>
      </c>
      <c r="K660" s="245" cm="1">
        <f t="array" ref="K660">-SUMPRODUCT(
  desp[data.vencimento] *
  (desp[classificacao]=$B$289) *
  (desp[centro.negocio]=$B660) *
  (desp[parcela]&gt;=K$1) *
  (desp[parcela]&lt;EOMONTH(K$1,0)+1)
)</f>
        <v>0</v>
      </c>
      <c r="L660" s="245" cm="1">
        <f t="array" ref="L660">-SUMPRODUCT(
  desp[data.vencimento] *
  (desp[classificacao]=$B$289) *
  (desp[centro.negocio]=$B660) *
  (desp[parcela]&gt;=L$1) *
  (desp[parcela]&lt;EOMONTH(L$1,0)+1)
)</f>
        <v>0</v>
      </c>
      <c r="M660" s="245" cm="1">
        <f t="array" ref="M660">-SUMPRODUCT(
  desp[data.vencimento] *
  (desp[classificacao]=$B$289) *
  (desp[centro.negocio]=$B660) *
  (desp[parcela]&gt;=M$1) *
  (desp[parcela]&lt;EOMONTH(M$1,0)+1)
)</f>
        <v>0</v>
      </c>
      <c r="N660" s="245" cm="1">
        <f t="array" ref="N660">-SUMPRODUCT(
  desp[data.vencimento] *
  (desp[classificacao]=$B$289) *
  (desp[centro.negocio]=$B660) *
  (desp[parcela]&gt;=N$1) *
  (desp[parcela]&lt;EOMONTH(N$1,0)+1)
)</f>
        <v>0</v>
      </c>
      <c r="O660" s="245" cm="1">
        <f t="array" ref="O660">-SUMPRODUCT(
  desp[data.vencimento] *
  (desp[classificacao]=$B$289) *
  (desp[centro.negocio]=$B660) *
  (desp[parcela]&gt;=O$1) *
  (desp[parcela]&lt;EOMONTH(O$1,0)+1)
)</f>
        <v>0</v>
      </c>
      <c r="P660" s="245" cm="1">
        <f t="array" ref="P660">-SUMPRODUCT(
  desp[data.vencimento] *
  (desp[classificacao]=$B$289) *
  (desp[centro.negocio]=$B660) *
  (desp[parcela]&gt;=P$1) *
  (desp[parcela]&lt;EOMONTH(P$1,0)+1)
)</f>
        <v>0</v>
      </c>
      <c r="Q660" s="245" cm="1">
        <f t="array" ref="Q660">-SUMPRODUCT(
  desp[data.vencimento] *
  (desp[classificacao]=$B$289) *
  (desp[centro.negocio]=$B660) *
  (desp[parcela]&gt;=Q$1) *
  (desp[parcela]&lt;EOMONTH(Q$1,0)+1)
)</f>
        <v>0</v>
      </c>
      <c r="R660" s="245" cm="1">
        <f t="array" ref="R660">-SUMPRODUCT(
  desp[data.vencimento] *
  (desp[classificacao]=$B$289) *
  (desp[centro.negocio]=$B660) *
  (desp[parcela]&gt;=R$1) *
  (desp[parcela]&lt;EOMONTH(R$1,0)+1)
)</f>
        <v>0</v>
      </c>
    </row>
    <row r="661" spans="1:18" outlineLevel="1" x14ac:dyDescent="0.25">
      <c r="A661" s="243" t="s">
        <v>677</v>
      </c>
      <c r="B661" s="243" t="s">
        <v>377</v>
      </c>
      <c r="C661" s="244" t="s">
        <v>522</v>
      </c>
      <c r="D661" s="245" cm="1">
        <f t="array" ref="D661">-SUMPRODUCT(
  desp[data.vencimento] *
  (desp[classificacao]=$B$289) *
  (desp[centro.negocio]=$B661) *
  (desp[parcela]&gt;=D$1) *
  (desp[parcela]&lt;EOMONTH(D$1,0)+1)
)</f>
        <v>0</v>
      </c>
      <c r="E661" s="245" cm="1">
        <f t="array" ref="E661">-SUMPRODUCT(
  desp[data.vencimento] *
  (desp[classificacao]=$B$289) *
  (desp[centro.negocio]=$B661) *
  (desp[parcela]&gt;=E$1) *
  (desp[parcela]&lt;EOMONTH(E$1,0)+1)
)</f>
        <v>0</v>
      </c>
      <c r="F661" s="245" cm="1">
        <f t="array" ref="F661">-SUMPRODUCT(
  desp[data.vencimento] *
  (desp[classificacao]=$B$289) *
  (desp[centro.negocio]=$B661) *
  (desp[parcela]&gt;=F$1) *
  (desp[parcela]&lt;EOMONTH(F$1,0)+1)
)</f>
        <v>0</v>
      </c>
      <c r="G661" s="245" cm="1">
        <f t="array" ref="G661">-SUMPRODUCT(
  desp[data.vencimento] *
  (desp[classificacao]=$B$289) *
  (desp[centro.negocio]=$B661) *
  (desp[parcela]&gt;=G$1) *
  (desp[parcela]&lt;EOMONTH(G$1,0)+1)
)</f>
        <v>0</v>
      </c>
      <c r="H661" s="245" cm="1">
        <f t="array" ref="H661">-SUMPRODUCT(
  desp[data.vencimento] *
  (desp[classificacao]=$B$289) *
  (desp[centro.negocio]=$B661) *
  (desp[parcela]&gt;=H$1) *
  (desp[parcela]&lt;EOMONTH(H$1,0)+1)
)</f>
        <v>0</v>
      </c>
      <c r="I661" s="245" cm="1">
        <f t="array" ref="I661">-SUMPRODUCT(
  desp[data.vencimento] *
  (desp[classificacao]=$B$289) *
  (desp[centro.negocio]=$B661) *
  (desp[parcela]&gt;=I$1) *
  (desp[parcela]&lt;EOMONTH(I$1,0)+1)
)</f>
        <v>0</v>
      </c>
      <c r="J661" s="245" cm="1">
        <f t="array" ref="J661">-SUMPRODUCT(
  desp[data.vencimento] *
  (desp[classificacao]=$B$289) *
  (desp[centro.negocio]=$B661) *
  (desp[parcela]&gt;=J$1) *
  (desp[parcela]&lt;EOMONTH(J$1,0)+1)
)</f>
        <v>0</v>
      </c>
      <c r="K661" s="245" cm="1">
        <f t="array" ref="K661">-SUMPRODUCT(
  desp[data.vencimento] *
  (desp[classificacao]=$B$289) *
  (desp[centro.negocio]=$B661) *
  (desp[parcela]&gt;=K$1) *
  (desp[parcela]&lt;EOMONTH(K$1,0)+1)
)</f>
        <v>0</v>
      </c>
      <c r="L661" s="245" cm="1">
        <f t="array" ref="L661">-SUMPRODUCT(
  desp[data.vencimento] *
  (desp[classificacao]=$B$289) *
  (desp[centro.negocio]=$B661) *
  (desp[parcela]&gt;=L$1) *
  (desp[parcela]&lt;EOMONTH(L$1,0)+1)
)</f>
        <v>0</v>
      </c>
      <c r="M661" s="245" cm="1">
        <f t="array" ref="M661">-SUMPRODUCT(
  desp[data.vencimento] *
  (desp[classificacao]=$B$289) *
  (desp[centro.negocio]=$B661) *
  (desp[parcela]&gt;=M$1) *
  (desp[parcela]&lt;EOMONTH(M$1,0)+1)
)</f>
        <v>0</v>
      </c>
      <c r="N661" s="245" cm="1">
        <f t="array" ref="N661">-SUMPRODUCT(
  desp[data.vencimento] *
  (desp[classificacao]=$B$289) *
  (desp[centro.negocio]=$B661) *
  (desp[parcela]&gt;=N$1) *
  (desp[parcela]&lt;EOMONTH(N$1,0)+1)
)</f>
        <v>0</v>
      </c>
      <c r="O661" s="245" cm="1">
        <f t="array" ref="O661">-SUMPRODUCT(
  desp[data.vencimento] *
  (desp[classificacao]=$B$289) *
  (desp[centro.negocio]=$B661) *
  (desp[parcela]&gt;=O$1) *
  (desp[parcela]&lt;EOMONTH(O$1,0)+1)
)</f>
        <v>0</v>
      </c>
      <c r="P661" s="245" cm="1">
        <f t="array" ref="P661">-SUMPRODUCT(
  desp[data.vencimento] *
  (desp[classificacao]=$B$289) *
  (desp[centro.negocio]=$B661) *
  (desp[parcela]&gt;=P$1) *
  (desp[parcela]&lt;EOMONTH(P$1,0)+1)
)</f>
        <v>0</v>
      </c>
      <c r="Q661" s="245" cm="1">
        <f t="array" ref="Q661">-SUMPRODUCT(
  desp[data.vencimento] *
  (desp[classificacao]=$B$289) *
  (desp[centro.negocio]=$B661) *
  (desp[parcela]&gt;=Q$1) *
  (desp[parcela]&lt;EOMONTH(Q$1,0)+1)
)</f>
        <v>0</v>
      </c>
      <c r="R661" s="245" cm="1">
        <f t="array" ref="R661">-SUMPRODUCT(
  desp[data.vencimento] *
  (desp[classificacao]=$B$289) *
  (desp[centro.negocio]=$B661) *
  (desp[parcela]&gt;=R$1) *
  (desp[parcela]&lt;EOMONTH(R$1,0)+1)
)</f>
        <v>0</v>
      </c>
    </row>
    <row r="662" spans="1:18" outlineLevel="1" x14ac:dyDescent="0.25">
      <c r="A662" s="243" t="s">
        <v>679</v>
      </c>
      <c r="B662" s="243" t="s">
        <v>403</v>
      </c>
      <c r="C662" s="244" t="s">
        <v>522</v>
      </c>
      <c r="D662" s="245" cm="1">
        <f t="array" ref="D662">-SUMPRODUCT(
  desp[data.vencimento] *
  (desp[classificacao]=$B$289) *
  (desp[centro.negocio]=$B662) *
  (desp[parcela]&gt;=D$1) *
  (desp[parcela]&lt;EOMONTH(D$1,0)+1)
)</f>
        <v>0</v>
      </c>
      <c r="E662" s="245" cm="1">
        <f t="array" ref="E662">-SUMPRODUCT(
  desp[data.vencimento] *
  (desp[classificacao]=$B$289) *
  (desp[centro.negocio]=$B662) *
  (desp[parcela]&gt;=E$1) *
  (desp[parcela]&lt;EOMONTH(E$1,0)+1)
)</f>
        <v>0</v>
      </c>
      <c r="F662" s="245" cm="1">
        <f t="array" ref="F662">-SUMPRODUCT(
  desp[data.vencimento] *
  (desp[classificacao]=$B$289) *
  (desp[centro.negocio]=$B662) *
  (desp[parcela]&gt;=F$1) *
  (desp[parcela]&lt;EOMONTH(F$1,0)+1)
)</f>
        <v>0</v>
      </c>
      <c r="G662" s="245" cm="1">
        <f t="array" ref="G662">-SUMPRODUCT(
  desp[data.vencimento] *
  (desp[classificacao]=$B$289) *
  (desp[centro.negocio]=$B662) *
  (desp[parcela]&gt;=G$1) *
  (desp[parcela]&lt;EOMONTH(G$1,0)+1)
)</f>
        <v>0</v>
      </c>
      <c r="H662" s="245" cm="1">
        <f t="array" ref="H662">-SUMPRODUCT(
  desp[data.vencimento] *
  (desp[classificacao]=$B$289) *
  (desp[centro.negocio]=$B662) *
  (desp[parcela]&gt;=H$1) *
  (desp[parcela]&lt;EOMONTH(H$1,0)+1)
)</f>
        <v>0</v>
      </c>
      <c r="I662" s="245" cm="1">
        <f t="array" ref="I662">-SUMPRODUCT(
  desp[data.vencimento] *
  (desp[classificacao]=$B$289) *
  (desp[centro.negocio]=$B662) *
  (desp[parcela]&gt;=I$1) *
  (desp[parcela]&lt;EOMONTH(I$1,0)+1)
)</f>
        <v>0</v>
      </c>
      <c r="J662" s="245" cm="1">
        <f t="array" ref="J662">-SUMPRODUCT(
  desp[data.vencimento] *
  (desp[classificacao]=$B$289) *
  (desp[centro.negocio]=$B662) *
  (desp[parcela]&gt;=J$1) *
  (desp[parcela]&lt;EOMONTH(J$1,0)+1)
)</f>
        <v>0</v>
      </c>
      <c r="K662" s="245" cm="1">
        <f t="array" ref="K662">-SUMPRODUCT(
  desp[data.vencimento] *
  (desp[classificacao]=$B$289) *
  (desp[centro.negocio]=$B662) *
  (desp[parcela]&gt;=K$1) *
  (desp[parcela]&lt;EOMONTH(K$1,0)+1)
)</f>
        <v>0</v>
      </c>
      <c r="L662" s="245" cm="1">
        <f t="array" ref="L662">-SUMPRODUCT(
  desp[data.vencimento] *
  (desp[classificacao]=$B$289) *
  (desp[centro.negocio]=$B662) *
  (desp[parcela]&gt;=L$1) *
  (desp[parcela]&lt;EOMONTH(L$1,0)+1)
)</f>
        <v>0</v>
      </c>
      <c r="M662" s="245" cm="1">
        <f t="array" ref="M662">-SUMPRODUCT(
  desp[data.vencimento] *
  (desp[classificacao]=$B$289) *
  (desp[centro.negocio]=$B662) *
  (desp[parcela]&gt;=M$1) *
  (desp[parcela]&lt;EOMONTH(M$1,0)+1)
)</f>
        <v>0</v>
      </c>
      <c r="N662" s="245" cm="1">
        <f t="array" ref="N662">-SUMPRODUCT(
  desp[data.vencimento] *
  (desp[classificacao]=$B$289) *
  (desp[centro.negocio]=$B662) *
  (desp[parcela]&gt;=N$1) *
  (desp[parcela]&lt;EOMONTH(N$1,0)+1)
)</f>
        <v>0</v>
      </c>
      <c r="O662" s="245" cm="1">
        <f t="array" ref="O662">-SUMPRODUCT(
  desp[data.vencimento] *
  (desp[classificacao]=$B$289) *
  (desp[centro.negocio]=$B662) *
  (desp[parcela]&gt;=O$1) *
  (desp[parcela]&lt;EOMONTH(O$1,0)+1)
)</f>
        <v>0</v>
      </c>
      <c r="P662" s="245" cm="1">
        <f t="array" ref="P662">-SUMPRODUCT(
  desp[data.vencimento] *
  (desp[classificacao]=$B$289) *
  (desp[centro.negocio]=$B662) *
  (desp[parcela]&gt;=P$1) *
  (desp[parcela]&lt;EOMONTH(P$1,0)+1)
)</f>
        <v>0</v>
      </c>
      <c r="Q662" s="245" cm="1">
        <f t="array" ref="Q662">-SUMPRODUCT(
  desp[data.vencimento] *
  (desp[classificacao]=$B$289) *
  (desp[centro.negocio]=$B662) *
  (desp[parcela]&gt;=Q$1) *
  (desp[parcela]&lt;EOMONTH(Q$1,0)+1)
)</f>
        <v>0</v>
      </c>
      <c r="R662" s="245" cm="1">
        <f t="array" ref="R662">-SUMPRODUCT(
  desp[data.vencimento] *
  (desp[classificacao]=$B$289) *
  (desp[centro.negocio]=$B662) *
  (desp[parcela]&gt;=R$1) *
  (desp[parcela]&lt;EOMONTH(R$1,0)+1)
)</f>
        <v>0</v>
      </c>
    </row>
    <row r="663" spans="1:18" outlineLevel="1" x14ac:dyDescent="0.25">
      <c r="A663" s="243" t="s">
        <v>690</v>
      </c>
      <c r="B663" s="243" t="s">
        <v>378</v>
      </c>
      <c r="C663" s="244" t="s">
        <v>522</v>
      </c>
      <c r="D663" s="245" cm="1">
        <f t="array" ref="D663">-SUMPRODUCT(
  desp[data.vencimento] *
  (desp[classificacao]=$B$289) *
  (desp[centro.negocio]=$B663) *
  (desp[parcela]&gt;=D$1) *
  (desp[parcela]&lt;EOMONTH(D$1,0)+1)
)</f>
        <v>0</v>
      </c>
      <c r="E663" s="245" cm="1">
        <f t="array" ref="E663">-SUMPRODUCT(
  desp[data.vencimento] *
  (desp[classificacao]=$B$289) *
  (desp[centro.negocio]=$B663) *
  (desp[parcela]&gt;=E$1) *
  (desp[parcela]&lt;EOMONTH(E$1,0)+1)
)</f>
        <v>0</v>
      </c>
      <c r="F663" s="245" cm="1">
        <f t="array" ref="F663">-SUMPRODUCT(
  desp[data.vencimento] *
  (desp[classificacao]=$B$289) *
  (desp[centro.negocio]=$B663) *
  (desp[parcela]&gt;=F$1) *
  (desp[parcela]&lt;EOMONTH(F$1,0)+1)
)</f>
        <v>0</v>
      </c>
      <c r="G663" s="245" cm="1">
        <f t="array" ref="G663">-SUMPRODUCT(
  desp[data.vencimento] *
  (desp[classificacao]=$B$289) *
  (desp[centro.negocio]=$B663) *
  (desp[parcela]&gt;=G$1) *
  (desp[parcela]&lt;EOMONTH(G$1,0)+1)
)</f>
        <v>0</v>
      </c>
      <c r="H663" s="245" cm="1">
        <f t="array" ref="H663">-SUMPRODUCT(
  desp[data.vencimento] *
  (desp[classificacao]=$B$289) *
  (desp[centro.negocio]=$B663) *
  (desp[parcela]&gt;=H$1) *
  (desp[parcela]&lt;EOMONTH(H$1,0)+1)
)</f>
        <v>0</v>
      </c>
      <c r="I663" s="245" cm="1">
        <f t="array" ref="I663">-SUMPRODUCT(
  desp[data.vencimento] *
  (desp[classificacao]=$B$289) *
  (desp[centro.negocio]=$B663) *
  (desp[parcela]&gt;=I$1) *
  (desp[parcela]&lt;EOMONTH(I$1,0)+1)
)</f>
        <v>0</v>
      </c>
      <c r="J663" s="245" cm="1">
        <f t="array" ref="J663">-SUMPRODUCT(
  desp[data.vencimento] *
  (desp[classificacao]=$B$289) *
  (desp[centro.negocio]=$B663) *
  (desp[parcela]&gt;=J$1) *
  (desp[parcela]&lt;EOMONTH(J$1,0)+1)
)</f>
        <v>0</v>
      </c>
      <c r="K663" s="245" cm="1">
        <f t="array" ref="K663">-SUMPRODUCT(
  desp[data.vencimento] *
  (desp[classificacao]=$B$289) *
  (desp[centro.negocio]=$B663) *
  (desp[parcela]&gt;=K$1) *
  (desp[parcela]&lt;EOMONTH(K$1,0)+1)
)</f>
        <v>0</v>
      </c>
      <c r="L663" s="245" cm="1">
        <f t="array" ref="L663">-SUMPRODUCT(
  desp[data.vencimento] *
  (desp[classificacao]=$B$289) *
  (desp[centro.negocio]=$B663) *
  (desp[parcela]&gt;=L$1) *
  (desp[parcela]&lt;EOMONTH(L$1,0)+1)
)</f>
        <v>0</v>
      </c>
      <c r="M663" s="245" cm="1">
        <f t="array" ref="M663">-SUMPRODUCT(
  desp[data.vencimento] *
  (desp[classificacao]=$B$289) *
  (desp[centro.negocio]=$B663) *
  (desp[parcela]&gt;=M$1) *
  (desp[parcela]&lt;EOMONTH(M$1,0)+1)
)</f>
        <v>0</v>
      </c>
      <c r="N663" s="245" cm="1">
        <f t="array" ref="N663">-SUMPRODUCT(
  desp[data.vencimento] *
  (desp[classificacao]=$B$289) *
  (desp[centro.negocio]=$B663) *
  (desp[parcela]&gt;=N$1) *
  (desp[parcela]&lt;EOMONTH(N$1,0)+1)
)</f>
        <v>0</v>
      </c>
      <c r="O663" s="245" cm="1">
        <f t="array" ref="O663">-SUMPRODUCT(
  desp[data.vencimento] *
  (desp[classificacao]=$B$289) *
  (desp[centro.negocio]=$B663) *
  (desp[parcela]&gt;=O$1) *
  (desp[parcela]&lt;EOMONTH(O$1,0)+1)
)</f>
        <v>0</v>
      </c>
      <c r="P663" s="245" cm="1">
        <f t="array" ref="P663">-SUMPRODUCT(
  desp[data.vencimento] *
  (desp[classificacao]=$B$289) *
  (desp[centro.negocio]=$B663) *
  (desp[parcela]&gt;=P$1) *
  (desp[parcela]&lt;EOMONTH(P$1,0)+1)
)</f>
        <v>0</v>
      </c>
      <c r="Q663" s="245" cm="1">
        <f t="array" ref="Q663">-SUMPRODUCT(
  desp[data.vencimento] *
  (desp[classificacao]=$B$289) *
  (desp[centro.negocio]=$B663) *
  (desp[parcela]&gt;=Q$1) *
  (desp[parcela]&lt;EOMONTH(Q$1,0)+1)
)</f>
        <v>0</v>
      </c>
      <c r="R663" s="245" cm="1">
        <f t="array" ref="R663">-SUMPRODUCT(
  desp[data.vencimento] *
  (desp[classificacao]=$B$289) *
  (desp[centro.negocio]=$B663) *
  (desp[parcela]&gt;=R$1) *
  (desp[parcela]&lt;EOMONTH(R$1,0)+1)
)</f>
        <v>0</v>
      </c>
    </row>
    <row r="664" spans="1:18" outlineLevel="1" x14ac:dyDescent="0.25">
      <c r="A664" s="243" t="s">
        <v>692</v>
      </c>
      <c r="B664" s="243" t="s">
        <v>350</v>
      </c>
      <c r="C664" s="244" t="s">
        <v>522</v>
      </c>
      <c r="D664" s="245" cm="1">
        <f t="array" ref="D664">-SUMPRODUCT(
  desp[data.vencimento] *
  (desp[classificacao] = $B$289) *
  (desp[parcela] &gt;= D$1) *
  (desp[parcela] &lt; EOMONTH(D$1,0)+1) *
  --ISNA(MATCH(desp[centro.negocio], {"NF - Mão de Obra";"Operações Financeiras/juros";"Terreno"}, 0))
)-
SUM(D$297:D$313)</f>
        <v>0</v>
      </c>
      <c r="E664" s="245" cm="1">
        <f t="array" ref="E664">-SUMPRODUCT(
  desp[data.vencimento] *
  (desp[classificacao] = $B$289) *
  (desp[parcela] &gt;= E$1) *
  (desp[parcela] &lt; EOMONTH(E$1,0)+1) *
  --ISNA(MATCH(desp[centro.negocio], {"NF - Mão de Obra";"Operações Financeiras/juros";"Terreno"}, 0))
)-
SUM(E$297:E$313)</f>
        <v>0</v>
      </c>
      <c r="F664" s="245" cm="1">
        <f t="array" ref="F664">-SUMPRODUCT(
  desp[data.vencimento] *
  (desp[classificacao] = $B$289) *
  (desp[parcela] &gt;= F$1) *
  (desp[parcela] &lt; EOMONTH(F$1,0)+1) *
  --ISNA(MATCH(desp[centro.negocio], {"NF - Mão de Obra";"Operações Financeiras/juros";"Terreno"}, 0))
)-
SUM(F$297:F$313)</f>
        <v>0</v>
      </c>
      <c r="G664" s="245" cm="1">
        <f t="array" ref="G664">-SUMPRODUCT(
  desp[data.vencimento] *
  (desp[classificacao] = $B$289) *
  (desp[parcela] &gt;= G$1) *
  (desp[parcela] &lt; EOMONTH(G$1,0)+1) *
  --ISNA(MATCH(desp[centro.negocio], {"NF - Mão de Obra";"Operações Financeiras/juros";"Terreno"}, 0))
)-
SUM(G$297:G$313)</f>
        <v>0</v>
      </c>
      <c r="H664" s="245" cm="1">
        <f t="array" ref="H664">-SUMPRODUCT(
  desp[data.vencimento] *
  (desp[classificacao] = $B$289) *
  (desp[parcela] &gt;= H$1) *
  (desp[parcela] &lt; EOMONTH(H$1,0)+1) *
  --ISNA(MATCH(desp[centro.negocio], {"NF - Mão de Obra";"Operações Financeiras/juros";"Terreno"}, 0))
)-
SUM(H$297:H$313)</f>
        <v>0</v>
      </c>
      <c r="I664" s="245" cm="1">
        <f t="array" ref="I664">-SUMPRODUCT(
  desp[data.vencimento] *
  (desp[classificacao] = $B$289) *
  (desp[parcela] &gt;= I$1) *
  (desp[parcela] &lt; EOMONTH(I$1,0)+1) *
  --ISNA(MATCH(desp[centro.negocio], {"NF - Mão de Obra";"Operações Financeiras/juros";"Terreno"}, 0))
)-
SUM(I$297:I$313)</f>
        <v>0</v>
      </c>
      <c r="J664" s="245" cm="1">
        <f t="array" ref="J664">-SUMPRODUCT(
  desp[data.vencimento] *
  (desp[classificacao] = $B$289) *
  (desp[parcela] &gt;= J$1) *
  (desp[parcela] &lt; EOMONTH(J$1,0)+1) *
  --ISNA(MATCH(desp[centro.negocio], {"NF - Mão de Obra";"Operações Financeiras/juros";"Terreno"}, 0))
)-
SUM(J$297:J$313)</f>
        <v>0</v>
      </c>
      <c r="K664" s="245" cm="1">
        <f t="array" ref="K664">-SUMPRODUCT(
  desp[data.vencimento] *
  (desp[classificacao] = $B$289) *
  (desp[parcela] &gt;= K$1) *
  (desp[parcela] &lt; EOMONTH(K$1,0)+1) *
  --ISNA(MATCH(desp[centro.negocio], {"NF - Mão de Obra";"Operações Financeiras/juros";"Terreno"}, 0))
)-
SUM(K$297:K$313)</f>
        <v>0</v>
      </c>
      <c r="L664" s="245" cm="1">
        <f t="array" ref="L664">-SUMPRODUCT(
  desp[data.vencimento] *
  (desp[classificacao] = $B$289) *
  (desp[parcela] &gt;= L$1) *
  (desp[parcela] &lt; EOMONTH(L$1,0)+1) *
  --ISNA(MATCH(desp[centro.negocio], {"NF - Mão de Obra";"Operações Financeiras/juros";"Terreno"}, 0))
)-
SUM(L$297:L$313)</f>
        <v>0</v>
      </c>
      <c r="M664" s="245" cm="1">
        <f t="array" ref="M664">-SUMPRODUCT(
  desp[data.vencimento] *
  (desp[classificacao] = $B$289) *
  (desp[parcela] &gt;= M$1) *
  (desp[parcela] &lt; EOMONTH(M$1,0)+1) *
  --ISNA(MATCH(desp[centro.negocio], {"NF - Mão de Obra";"Operações Financeiras/juros";"Terreno"}, 0))
)-
SUM(M$297:M$313)</f>
        <v>0</v>
      </c>
      <c r="N664" s="245" cm="1">
        <f t="array" ref="N664">-SUMPRODUCT(
  desp[data.vencimento] *
  (desp[classificacao] = $B$289) *
  (desp[parcela] &gt;= N$1) *
  (desp[parcela] &lt; EOMONTH(N$1,0)+1) *
  --ISNA(MATCH(desp[centro.negocio], {"NF - Mão de Obra";"Operações Financeiras/juros";"Terreno"}, 0))
)-
SUM(N$297:N$313)</f>
        <v>0</v>
      </c>
      <c r="O664" s="245" cm="1">
        <f t="array" ref="O664">-SUMPRODUCT(
  desp[data.vencimento] *
  (desp[classificacao] = $B$289) *
  (desp[parcela] &gt;= O$1) *
  (desp[parcela] &lt; EOMONTH(O$1,0)+1) *
  --ISNA(MATCH(desp[centro.negocio], {"NF - Mão de Obra";"Operações Financeiras/juros";"Terreno"}, 0))
)-
SUM(O$297:O$313)</f>
        <v>0</v>
      </c>
      <c r="P664" s="245" cm="1">
        <f t="array" ref="P664">-SUMPRODUCT(
  desp[data.vencimento] *
  (desp[classificacao] = $B$289) *
  (desp[parcela] &gt;= P$1) *
  (desp[parcela] &lt; EOMONTH(P$1,0)+1) *
  --ISNA(MATCH(desp[centro.negocio], {"NF - Mão de Obra";"Operações Financeiras/juros";"Terreno"}, 0))
)-
SUM(P$297:P$313)</f>
        <v>0</v>
      </c>
      <c r="Q664" s="245" cm="1">
        <f t="array" ref="Q664">-SUMPRODUCT(
  desp[data.vencimento] *
  (desp[classificacao] = $B$289) *
  (desp[parcela] &gt;= Q$1) *
  (desp[parcela] &lt; EOMONTH(Q$1,0)+1) *
  --ISNA(MATCH(desp[centro.negocio], {"NF - Mão de Obra";"Operações Financeiras/juros";"Terreno"}, 0))
)-
SUM(Q$297:Q$313)</f>
        <v>0</v>
      </c>
      <c r="R664" s="245" cm="1">
        <f t="array" ref="R664">-SUMPRODUCT(
  desp[data.vencimento] *
  (desp[classificacao] = $B$289) *
  (desp[parcela] &gt;= R$1) *
  (desp[parcela] &lt; EOMONTH(R$1,0)+1) *
  --ISNA(MATCH(desp[centro.negocio], {"NF - Mão de Obra";"Operações Financeiras/juros";"Terreno"}, 0))
)-
SUM(R$297:R$313)</f>
        <v>0</v>
      </c>
    </row>
    <row r="665" spans="1:18" x14ac:dyDescent="0.25">
      <c r="A665" s="236" t="s">
        <v>693</v>
      </c>
      <c r="B665" s="236" t="s">
        <v>694</v>
      </c>
      <c r="C665" s="237"/>
      <c r="D665" s="253">
        <f>D666+D669</f>
        <v>0</v>
      </c>
      <c r="E665" s="253">
        <f t="shared" ref="E665" si="924">E666+E669</f>
        <v>0</v>
      </c>
      <c r="F665" s="253">
        <f t="shared" ref="F665" si="925">F666+F669</f>
        <v>0</v>
      </c>
      <c r="G665" s="253">
        <f t="shared" ref="G665" si="926">G666+G669</f>
        <v>0</v>
      </c>
      <c r="H665" s="253">
        <f t="shared" ref="H665" si="927">H666+H669</f>
        <v>0</v>
      </c>
      <c r="I665" s="253">
        <f t="shared" ref="I665" si="928">I666+I669</f>
        <v>0</v>
      </c>
      <c r="J665" s="253">
        <f t="shared" ref="J665" si="929">J666+J669</f>
        <v>0</v>
      </c>
      <c r="K665" s="253">
        <f t="shared" ref="K665" si="930">K666+K669</f>
        <v>0</v>
      </c>
      <c r="L665" s="253">
        <f t="shared" ref="L665" si="931">L666+L669</f>
        <v>0</v>
      </c>
      <c r="M665" s="253">
        <f t="shared" ref="M665" si="932">M666+M669</f>
        <v>0</v>
      </c>
      <c r="N665" s="253">
        <f t="shared" ref="N665" si="933">N666+N669</f>
        <v>0</v>
      </c>
      <c r="O665" s="253">
        <f t="shared" ref="O665" si="934">O666+O669</f>
        <v>0</v>
      </c>
      <c r="P665" s="253">
        <f t="shared" ref="P665" si="935">P666+P669</f>
        <v>0</v>
      </c>
      <c r="Q665" s="253">
        <f t="shared" ref="Q665:R665" si="936">Q666+Q669</f>
        <v>0</v>
      </c>
      <c r="R665" s="253">
        <f t="shared" si="936"/>
        <v>0</v>
      </c>
    </row>
    <row r="666" spans="1:18" x14ac:dyDescent="0.25">
      <c r="A666" s="240" t="s">
        <v>695</v>
      </c>
      <c r="B666" s="240" t="s">
        <v>696</v>
      </c>
      <c r="C666" s="241"/>
      <c r="D666" s="242">
        <f>SUM(D667:D668)</f>
        <v>0</v>
      </c>
      <c r="E666" s="242">
        <f t="shared" ref="E666" si="937">SUM(E667:E668)</f>
        <v>0</v>
      </c>
      <c r="F666" s="242">
        <f t="shared" ref="F666" si="938">SUM(F667:F668)</f>
        <v>0</v>
      </c>
      <c r="G666" s="242">
        <f t="shared" ref="G666" si="939">SUM(G667:G668)</f>
        <v>0</v>
      </c>
      <c r="H666" s="242">
        <f t="shared" ref="H666" si="940">SUM(H667:H668)</f>
        <v>0</v>
      </c>
      <c r="I666" s="242">
        <f t="shared" ref="I666" si="941">SUM(I667:I668)</f>
        <v>0</v>
      </c>
      <c r="J666" s="242">
        <f t="shared" ref="J666" si="942">SUM(J667:J668)</f>
        <v>0</v>
      </c>
      <c r="K666" s="242">
        <f t="shared" ref="K666" si="943">SUM(K667:K668)</f>
        <v>0</v>
      </c>
      <c r="L666" s="242">
        <f t="shared" ref="L666" si="944">SUM(L667:L668)</f>
        <v>0</v>
      </c>
      <c r="M666" s="242">
        <f t="shared" ref="M666" si="945">SUM(M667:M668)</f>
        <v>0</v>
      </c>
      <c r="N666" s="242">
        <f t="shared" ref="N666" si="946">SUM(N667:N668)</f>
        <v>0</v>
      </c>
      <c r="O666" s="242">
        <f t="shared" ref="O666" si="947">SUM(O667:O668)</f>
        <v>0</v>
      </c>
      <c r="P666" s="242">
        <f t="shared" ref="P666" si="948">SUM(P667:P668)</f>
        <v>0</v>
      </c>
      <c r="Q666" s="242">
        <f t="shared" ref="Q666:R666" si="949">SUM(Q667:Q668)</f>
        <v>0</v>
      </c>
      <c r="R666" s="242">
        <f t="shared" si="949"/>
        <v>0</v>
      </c>
    </row>
    <row r="667" spans="1:18" outlineLevel="1" x14ac:dyDescent="0.25">
      <c r="A667" s="243" t="s">
        <v>697</v>
      </c>
      <c r="B667" s="254" t="s">
        <v>698</v>
      </c>
      <c r="C667" s="193"/>
      <c r="D667" s="247"/>
      <c r="E667" s="247"/>
      <c r="F667" s="247"/>
      <c r="G667" s="247"/>
      <c r="H667" s="247"/>
      <c r="I667" s="247"/>
      <c r="J667" s="247"/>
      <c r="K667" s="247"/>
      <c r="L667" s="247"/>
      <c r="M667" s="247"/>
      <c r="N667" s="247"/>
      <c r="O667" s="247"/>
      <c r="P667" s="247"/>
      <c r="Q667" s="247"/>
      <c r="R667" s="247"/>
    </row>
    <row r="668" spans="1:18" outlineLevel="1" x14ac:dyDescent="0.25">
      <c r="A668" s="243" t="s">
        <v>699</v>
      </c>
      <c r="B668" s="254" t="s">
        <v>700</v>
      </c>
      <c r="C668" s="193"/>
      <c r="D668" s="247"/>
      <c r="E668" s="247"/>
      <c r="F668" s="247"/>
      <c r="G668" s="247"/>
      <c r="H668" s="247"/>
      <c r="I668" s="247"/>
      <c r="J668" s="247"/>
      <c r="K668" s="247"/>
      <c r="L668" s="247"/>
      <c r="M668" s="247"/>
      <c r="N668" s="247"/>
      <c r="O668" s="247"/>
      <c r="P668" s="247"/>
      <c r="Q668" s="247"/>
      <c r="R668" s="247"/>
    </row>
    <row r="669" spans="1:18" x14ac:dyDescent="0.25">
      <c r="A669" s="249" t="s">
        <v>701</v>
      </c>
      <c r="B669" s="249" t="s">
        <v>702</v>
      </c>
      <c r="C669" s="255"/>
      <c r="D669" s="256">
        <f>SUM(D670:D672)</f>
        <v>0</v>
      </c>
      <c r="E669" s="256">
        <f t="shared" ref="E669" si="950">SUM(E670:E672)</f>
        <v>0</v>
      </c>
      <c r="F669" s="256">
        <f t="shared" ref="F669" si="951">SUM(F670:F672)</f>
        <v>0</v>
      </c>
      <c r="G669" s="256">
        <f t="shared" ref="G669" si="952">SUM(G670:G672)</f>
        <v>0</v>
      </c>
      <c r="H669" s="256">
        <f t="shared" ref="H669" si="953">SUM(H670:H672)</f>
        <v>0</v>
      </c>
      <c r="I669" s="256">
        <f t="shared" ref="I669" si="954">SUM(I670:I672)</f>
        <v>0</v>
      </c>
      <c r="J669" s="256">
        <f t="shared" ref="J669" si="955">SUM(J670:J672)</f>
        <v>0</v>
      </c>
      <c r="K669" s="256">
        <f t="shared" ref="K669" si="956">SUM(K670:K672)</f>
        <v>0</v>
      </c>
      <c r="L669" s="256">
        <f t="shared" ref="L669" si="957">SUM(L670:L672)</f>
        <v>0</v>
      </c>
      <c r="M669" s="256">
        <f t="shared" ref="M669" si="958">SUM(M670:M672)</f>
        <v>0</v>
      </c>
      <c r="N669" s="256">
        <f t="shared" ref="N669" si="959">SUM(N670:N672)</f>
        <v>0</v>
      </c>
      <c r="O669" s="256">
        <f t="shared" ref="O669" si="960">SUM(O670:O672)</f>
        <v>0</v>
      </c>
      <c r="P669" s="256">
        <f t="shared" ref="P669" si="961">SUM(P670:P672)</f>
        <v>0</v>
      </c>
      <c r="Q669" s="256">
        <f t="shared" ref="Q669:R669" si="962">SUM(Q670:Q672)</f>
        <v>0</v>
      </c>
      <c r="R669" s="256">
        <f t="shared" si="962"/>
        <v>0</v>
      </c>
    </row>
    <row r="670" spans="1:18" outlineLevel="1" x14ac:dyDescent="0.25">
      <c r="A670" s="243" t="s">
        <v>703</v>
      </c>
      <c r="B670" s="243" t="s">
        <v>407</v>
      </c>
      <c r="C670" s="244" t="s">
        <v>522</v>
      </c>
      <c r="D670" s="245" cm="1">
        <f t="array" ref="D670">-SUMPRODUCT(
  desp[data.vencimento] *
  (desp[classificacao]=$B$289) *
  (desp[centro.negocio]=$B670) *
  (desp[parcela]&gt;=D$1) *
  (desp[parcela]&lt;EOMONTH(D$1,0)+1)
)</f>
        <v>0</v>
      </c>
      <c r="E670" s="245" cm="1">
        <f t="array" ref="E670">-SUMPRODUCT(
  desp[data.vencimento] *
  (desp[classificacao]=$B$289) *
  (desp[centro.negocio]=$B670) *
  (desp[parcela]&gt;=E$1) *
  (desp[parcela]&lt;EOMONTH(E$1,0)+1)
)</f>
        <v>0</v>
      </c>
      <c r="F670" s="245" cm="1">
        <f t="array" ref="F670">-SUMPRODUCT(
  desp[data.vencimento] *
  (desp[classificacao]=$B$289) *
  (desp[centro.negocio]=$B670) *
  (desp[parcela]&gt;=F$1) *
  (desp[parcela]&lt;EOMONTH(F$1,0)+1)
)</f>
        <v>0</v>
      </c>
      <c r="G670" s="245" cm="1">
        <f t="array" ref="G670">-SUMPRODUCT(
  desp[data.vencimento] *
  (desp[classificacao]=$B$289) *
  (desp[centro.negocio]=$B670) *
  (desp[parcela]&gt;=G$1) *
  (desp[parcela]&lt;EOMONTH(G$1,0)+1)
)</f>
        <v>0</v>
      </c>
      <c r="H670" s="245" cm="1">
        <f t="array" ref="H670">-SUMPRODUCT(
  desp[data.vencimento] *
  (desp[classificacao]=$B$289) *
  (desp[centro.negocio]=$B670) *
  (desp[parcela]&gt;=H$1) *
  (desp[parcela]&lt;EOMONTH(H$1,0)+1)
)</f>
        <v>0</v>
      </c>
      <c r="I670" s="245" cm="1">
        <f t="array" ref="I670">-SUMPRODUCT(
  desp[data.vencimento] *
  (desp[classificacao]=$B$289) *
  (desp[centro.negocio]=$B670) *
  (desp[parcela]&gt;=I$1) *
  (desp[parcela]&lt;EOMONTH(I$1,0)+1)
)</f>
        <v>0</v>
      </c>
      <c r="J670" s="245" cm="1">
        <f t="array" ref="J670">-SUMPRODUCT(
  desp[data.vencimento] *
  (desp[classificacao]=$B$289) *
  (desp[centro.negocio]=$B670) *
  (desp[parcela]&gt;=J$1) *
  (desp[parcela]&lt;EOMONTH(J$1,0)+1)
)</f>
        <v>0</v>
      </c>
      <c r="K670" s="245" cm="1">
        <f t="array" ref="K670">-SUMPRODUCT(
  desp[data.vencimento] *
  (desp[classificacao]=$B$289) *
  (desp[centro.negocio]=$B670) *
  (desp[parcela]&gt;=K$1) *
  (desp[parcela]&lt;EOMONTH(K$1,0)+1)
)</f>
        <v>0</v>
      </c>
      <c r="L670" s="245" cm="1">
        <f t="array" ref="L670">-SUMPRODUCT(
  desp[data.vencimento] *
  (desp[classificacao]=$B$289) *
  (desp[centro.negocio]=$B670) *
  (desp[parcela]&gt;=L$1) *
  (desp[parcela]&lt;EOMONTH(L$1,0)+1)
)</f>
        <v>0</v>
      </c>
      <c r="M670" s="245" cm="1">
        <f t="array" ref="M670">-SUMPRODUCT(
  desp[data.vencimento] *
  (desp[classificacao]=$B$289) *
  (desp[centro.negocio]=$B670) *
  (desp[parcela]&gt;=M$1) *
  (desp[parcela]&lt;EOMONTH(M$1,0)+1)
)</f>
        <v>0</v>
      </c>
      <c r="N670" s="245" cm="1">
        <f t="array" ref="N670">-SUMPRODUCT(
  desp[data.vencimento] *
  (desp[classificacao]=$B$289) *
  (desp[centro.negocio]=$B670) *
  (desp[parcela]&gt;=N$1) *
  (desp[parcela]&lt;EOMONTH(N$1,0)+1)
)</f>
        <v>0</v>
      </c>
      <c r="O670" s="245" cm="1">
        <f t="array" ref="O670">-SUMPRODUCT(
  desp[data.vencimento] *
  (desp[classificacao]=$B$289) *
  (desp[centro.negocio]=$B670) *
  (desp[parcela]&gt;=O$1) *
  (desp[parcela]&lt;EOMONTH(O$1,0)+1)
)</f>
        <v>0</v>
      </c>
      <c r="P670" s="245" cm="1">
        <f t="array" ref="P670">-SUMPRODUCT(
  desp[data.vencimento] *
  (desp[classificacao]=$B$289) *
  (desp[centro.negocio]=$B670) *
  (desp[parcela]&gt;=P$1) *
  (desp[parcela]&lt;EOMONTH(P$1,0)+1)
)</f>
        <v>0</v>
      </c>
      <c r="Q670" s="245" cm="1">
        <f t="array" ref="Q670">-SUMPRODUCT(
  desp[data.vencimento] *
  (desp[classificacao]=$B$289) *
  (desp[centro.negocio]=$B670) *
  (desp[parcela]&gt;=Q$1) *
  (desp[parcela]&lt;EOMONTH(Q$1,0)+1)
)</f>
        <v>0</v>
      </c>
      <c r="R670" s="245" cm="1">
        <f t="array" ref="R670">-SUMPRODUCT(
  desp[data.vencimento] *
  (desp[classificacao]=$B$289) *
  (desp[centro.negocio]=$B670) *
  (desp[parcela]&gt;=R$1) *
  (desp[parcela]&lt;EOMONTH(R$1,0)+1)
)</f>
        <v>0</v>
      </c>
    </row>
    <row r="671" spans="1:18" outlineLevel="1" x14ac:dyDescent="0.25">
      <c r="A671" s="243" t="s">
        <v>719</v>
      </c>
      <c r="B671" s="254" t="s">
        <v>720</v>
      </c>
      <c r="C671" s="193"/>
      <c r="D671" s="247"/>
      <c r="E671" s="247"/>
      <c r="F671" s="247"/>
      <c r="G671" s="247"/>
      <c r="H671" s="247"/>
      <c r="I671" s="247"/>
      <c r="J671" s="247"/>
      <c r="K671" s="247"/>
      <c r="L671" s="247"/>
      <c r="M671" s="247"/>
      <c r="N671" s="247"/>
      <c r="O671" s="247"/>
      <c r="P671" s="247"/>
      <c r="Q671" s="247"/>
      <c r="R671" s="247"/>
    </row>
    <row r="672" spans="1:18" outlineLevel="1" x14ac:dyDescent="0.25">
      <c r="A672" s="243" t="s">
        <v>721</v>
      </c>
      <c r="B672" s="254" t="s">
        <v>722</v>
      </c>
      <c r="C672" s="193"/>
      <c r="D672" s="247"/>
      <c r="E672" s="247"/>
      <c r="F672" s="247"/>
      <c r="G672" s="247"/>
      <c r="H672" s="247"/>
      <c r="I672" s="247"/>
      <c r="J672" s="247"/>
      <c r="K672" s="247"/>
      <c r="L672" s="247"/>
      <c r="M672" s="247"/>
      <c r="N672" s="247"/>
      <c r="O672" s="247"/>
      <c r="P672" s="247"/>
      <c r="Q672" s="247"/>
      <c r="R672" s="247"/>
    </row>
    <row r="673" spans="1:18" x14ac:dyDescent="0.25">
      <c r="A673" s="236" t="s">
        <v>723</v>
      </c>
      <c r="B673" s="236" t="s">
        <v>724</v>
      </c>
      <c r="C673" s="237"/>
      <c r="D673" s="238">
        <f>D674+D679</f>
        <v>489068.85</v>
      </c>
      <c r="E673" s="238">
        <f t="shared" ref="E673" si="963">E674+E679</f>
        <v>0</v>
      </c>
      <c r="F673" s="238">
        <f t="shared" ref="F673" si="964">F674+F679</f>
        <v>385006.39</v>
      </c>
      <c r="G673" s="238">
        <f t="shared" ref="G673" si="965">G674+G679</f>
        <v>223853.73</v>
      </c>
      <c r="H673" s="238">
        <f t="shared" ref="H673" si="966">H674+H679</f>
        <v>134752.4</v>
      </c>
      <c r="I673" s="238">
        <f t="shared" ref="I673" si="967">I674+I679</f>
        <v>289304.8</v>
      </c>
      <c r="J673" s="238">
        <f t="shared" ref="J673" si="968">J674+J679</f>
        <v>171602.91</v>
      </c>
      <c r="K673" s="238">
        <f t="shared" ref="K673" si="969">K674+K679</f>
        <v>366306.04</v>
      </c>
      <c r="L673" s="238">
        <f t="shared" ref="L673" si="970">L674+L679</f>
        <v>181081.21</v>
      </c>
      <c r="M673" s="238">
        <f t="shared" ref="M673" si="971">M674+M679</f>
        <v>266613.7</v>
      </c>
      <c r="N673" s="238">
        <f t="shared" ref="N673" si="972">N674+N679</f>
        <v>230479.34</v>
      </c>
      <c r="O673" s="238">
        <f t="shared" ref="O673" si="973">O674+O679</f>
        <v>471701.2</v>
      </c>
      <c r="P673" s="238">
        <f t="shared" ref="P673" si="974">P674+P679</f>
        <v>0</v>
      </c>
      <c r="Q673" s="238">
        <f t="shared" ref="Q673:R673" si="975">Q674+Q679</f>
        <v>46792.36</v>
      </c>
      <c r="R673" s="238">
        <f t="shared" si="975"/>
        <v>0</v>
      </c>
    </row>
    <row r="674" spans="1:18" x14ac:dyDescent="0.25">
      <c r="A674" s="240" t="s">
        <v>725</v>
      </c>
      <c r="B674" s="240" t="s">
        <v>726</v>
      </c>
      <c r="C674" s="241"/>
      <c r="D674" s="242">
        <f>D675+D678</f>
        <v>489068.85</v>
      </c>
      <c r="E674" s="242">
        <f t="shared" ref="E674" si="976">E675+E678</f>
        <v>0</v>
      </c>
      <c r="F674" s="242">
        <f t="shared" ref="F674" si="977">F675+F678</f>
        <v>385006.39</v>
      </c>
      <c r="G674" s="242">
        <f t="shared" ref="G674" si="978">G675+G678</f>
        <v>223853.73</v>
      </c>
      <c r="H674" s="242">
        <f t="shared" ref="H674" si="979">H675+H678</f>
        <v>134752.4</v>
      </c>
      <c r="I674" s="242">
        <f t="shared" ref="I674" si="980">I675+I678</f>
        <v>289304.8</v>
      </c>
      <c r="J674" s="242">
        <f t="shared" ref="J674" si="981">J675+J678</f>
        <v>171602.91</v>
      </c>
      <c r="K674" s="242">
        <f t="shared" ref="K674" si="982">K675+K678</f>
        <v>366306.04</v>
      </c>
      <c r="L674" s="242">
        <f t="shared" ref="L674" si="983">L675+L678</f>
        <v>181081.21</v>
      </c>
      <c r="M674" s="242">
        <f t="shared" ref="M674" si="984">M675+M678</f>
        <v>266613.7</v>
      </c>
      <c r="N674" s="242">
        <f t="shared" ref="N674" si="985">N675+N678</f>
        <v>230479.34</v>
      </c>
      <c r="O674" s="242">
        <f t="shared" ref="O674" si="986">O675+O678</f>
        <v>471701.2</v>
      </c>
      <c r="P674" s="242">
        <f t="shared" ref="P674" si="987">P675+P678</f>
        <v>0</v>
      </c>
      <c r="Q674" s="242">
        <f t="shared" ref="Q674:R674" si="988">Q675+Q678</f>
        <v>46792.36</v>
      </c>
      <c r="R674" s="242">
        <f t="shared" si="988"/>
        <v>0</v>
      </c>
    </row>
    <row r="675" spans="1:18" outlineLevel="1" x14ac:dyDescent="0.25">
      <c r="A675" s="243" t="s">
        <v>727</v>
      </c>
      <c r="B675" s="243" t="s">
        <v>728</v>
      </c>
      <c r="C675" s="244" t="s">
        <v>729</v>
      </c>
      <c r="D675" s="245">
        <f>SUM(D676:D677)</f>
        <v>489068.85</v>
      </c>
      <c r="E675" s="245">
        <f t="shared" ref="E675" si="989">SUM(E676:E677)</f>
        <v>0</v>
      </c>
      <c r="F675" s="245">
        <f t="shared" ref="F675" si="990">SUM(F676:F677)</f>
        <v>385006.39</v>
      </c>
      <c r="G675" s="245">
        <f t="shared" ref="G675" si="991">SUM(G676:G677)</f>
        <v>223853.73</v>
      </c>
      <c r="H675" s="245">
        <f t="shared" ref="H675" si="992">SUM(H676:H677)</f>
        <v>134752.4</v>
      </c>
      <c r="I675" s="245">
        <f t="shared" ref="I675" si="993">SUM(I676:I677)</f>
        <v>289304.8</v>
      </c>
      <c r="J675" s="245">
        <f t="shared" ref="J675" si="994">SUM(J676:J677)</f>
        <v>171602.91</v>
      </c>
      <c r="K675" s="245">
        <f t="shared" ref="K675" si="995">SUM(K676:K677)</f>
        <v>366306.04</v>
      </c>
      <c r="L675" s="245">
        <f t="shared" ref="L675" si="996">SUM(L676:L677)</f>
        <v>181081.21</v>
      </c>
      <c r="M675" s="245">
        <f t="shared" ref="M675" si="997">SUM(M676:M677)</f>
        <v>266613.7</v>
      </c>
      <c r="N675" s="245">
        <f t="shared" ref="N675" si="998">SUM(N676:N677)</f>
        <v>230479.34</v>
      </c>
      <c r="O675" s="245">
        <f t="shared" ref="O675" si="999">SUM(O676:O677)</f>
        <v>471701.2</v>
      </c>
      <c r="P675" s="245">
        <f t="shared" ref="P675" si="1000">SUM(P676:P677)</f>
        <v>0</v>
      </c>
      <c r="Q675" s="245">
        <f t="shared" ref="Q675:R675" si="1001">SUM(Q676:Q677)</f>
        <v>46792.36</v>
      </c>
      <c r="R675" s="245">
        <f t="shared" si="1001"/>
        <v>0</v>
      </c>
    </row>
    <row r="676" spans="1:18" outlineLevel="2" x14ac:dyDescent="0.25">
      <c r="A676" s="258" t="s">
        <v>730</v>
      </c>
      <c r="B676" s="258" t="s">
        <v>731</v>
      </c>
      <c r="C676" s="244"/>
      <c r="D676" s="245" cm="1">
        <f t="array" ref="D676:Q676">TRANSPOSE(inputs!F$51:F$64)</f>
        <v>489068.85</v>
      </c>
      <c r="E676" s="245">
        <v>0</v>
      </c>
      <c r="F676" s="245">
        <v>385006.39</v>
      </c>
      <c r="G676" s="245">
        <v>223853.73</v>
      </c>
      <c r="H676" s="245">
        <v>134752.4</v>
      </c>
      <c r="I676" s="245">
        <v>289304.8</v>
      </c>
      <c r="J676" s="245">
        <v>171602.91</v>
      </c>
      <c r="K676" s="245">
        <v>366306.04</v>
      </c>
      <c r="L676" s="245">
        <v>181081.21</v>
      </c>
      <c r="M676" s="245">
        <v>266613.7</v>
      </c>
      <c r="N676" s="245">
        <v>230479.34</v>
      </c>
      <c r="O676" s="245">
        <v>471701.2</v>
      </c>
      <c r="P676" s="245">
        <v>0</v>
      </c>
      <c r="Q676" s="245">
        <v>46792.36</v>
      </c>
      <c r="R676" s="245"/>
    </row>
    <row r="677" spans="1:18" outlineLevel="2" x14ac:dyDescent="0.25">
      <c r="A677" s="258" t="s">
        <v>736</v>
      </c>
      <c r="B677" s="258" t="s">
        <v>350</v>
      </c>
      <c r="C677" s="244" t="s">
        <v>737</v>
      </c>
      <c r="D677" s="302"/>
      <c r="E677" s="302"/>
      <c r="F677" s="302"/>
      <c r="G677" s="302"/>
      <c r="H677" s="302"/>
      <c r="I677" s="302"/>
      <c r="J677" s="302"/>
      <c r="K677" s="302"/>
      <c r="L677" s="302"/>
      <c r="M677" s="302"/>
      <c r="N677" s="302"/>
      <c r="O677" s="302"/>
      <c r="P677" s="302"/>
      <c r="Q677" s="302"/>
      <c r="R677" s="302"/>
    </row>
    <row r="678" spans="1:18" outlineLevel="1" x14ac:dyDescent="0.25">
      <c r="A678" s="243" t="s">
        <v>751</v>
      </c>
      <c r="B678" s="254" t="s">
        <v>752</v>
      </c>
      <c r="C678" s="244" t="s">
        <v>522</v>
      </c>
      <c r="D678" s="245"/>
      <c r="E678" s="245"/>
      <c r="F678" s="245"/>
      <c r="G678" s="245"/>
      <c r="H678" s="245"/>
      <c r="I678" s="245"/>
      <c r="J678" s="245"/>
      <c r="K678" s="245"/>
      <c r="L678" s="245"/>
      <c r="M678" s="245"/>
      <c r="N678" s="245"/>
      <c r="O678" s="245"/>
      <c r="P678" s="245"/>
      <c r="Q678" s="245"/>
      <c r="R678" s="245"/>
    </row>
    <row r="679" spans="1:18" x14ac:dyDescent="0.25">
      <c r="A679" s="249" t="s">
        <v>753</v>
      </c>
      <c r="B679" s="249" t="s">
        <v>754</v>
      </c>
      <c r="C679" s="255"/>
      <c r="D679" s="256">
        <f>SUM(D680:D681)</f>
        <v>0</v>
      </c>
      <c r="E679" s="256">
        <f t="shared" ref="E679" si="1002">SUM(E680:E681)</f>
        <v>0</v>
      </c>
      <c r="F679" s="256">
        <f t="shared" ref="F679" si="1003">SUM(F680:F681)</f>
        <v>0</v>
      </c>
      <c r="G679" s="256">
        <f t="shared" ref="G679" si="1004">SUM(G680:G681)</f>
        <v>0</v>
      </c>
      <c r="H679" s="256">
        <f t="shared" ref="H679" si="1005">SUM(H680:H681)</f>
        <v>0</v>
      </c>
      <c r="I679" s="256">
        <f t="shared" ref="I679" si="1006">SUM(I680:I681)</f>
        <v>0</v>
      </c>
      <c r="J679" s="256">
        <f t="shared" ref="J679" si="1007">SUM(J680:J681)</f>
        <v>0</v>
      </c>
      <c r="K679" s="256">
        <f t="shared" ref="K679" si="1008">SUM(K680:K681)</f>
        <v>0</v>
      </c>
      <c r="L679" s="256">
        <f t="shared" ref="L679" si="1009">SUM(L680:L681)</f>
        <v>0</v>
      </c>
      <c r="M679" s="256">
        <f t="shared" ref="M679" si="1010">SUM(M680:M681)</f>
        <v>0</v>
      </c>
      <c r="N679" s="256">
        <f t="shared" ref="N679" si="1011">SUM(N680:N681)</f>
        <v>0</v>
      </c>
      <c r="O679" s="256">
        <f t="shared" ref="O679" si="1012">SUM(O680:O681)</f>
        <v>0</v>
      </c>
      <c r="P679" s="256">
        <f t="shared" ref="P679" si="1013">SUM(P680:P681)</f>
        <v>0</v>
      </c>
      <c r="Q679" s="256">
        <f t="shared" ref="Q679:R679" si="1014">SUM(Q680:Q681)</f>
        <v>0</v>
      </c>
      <c r="R679" s="256">
        <f t="shared" si="1014"/>
        <v>0</v>
      </c>
    </row>
    <row r="680" spans="1:18" outlineLevel="1" x14ac:dyDescent="0.25">
      <c r="A680" s="243" t="s">
        <v>755</v>
      </c>
      <c r="B680" s="248" t="s">
        <v>396</v>
      </c>
      <c r="C680" s="244" t="s">
        <v>522</v>
      </c>
      <c r="D680" s="245" cm="1">
        <f t="array" ref="D680">-SUMPRODUCT(
  desp[data.vencimento] *
  (desp[classificacao]=$B$289) *
  (desp[centro.negocio]=$B680) *
  (desp[parcela]&gt;=D$1) *
  (desp[parcela]&lt;EOMONTH(D$1,0)+1)
)</f>
        <v>0</v>
      </c>
      <c r="E680" s="245" cm="1">
        <f t="array" ref="E680">-SUMPRODUCT(
  desp[data.vencimento] *
  (desp[classificacao]=$B$289) *
  (desp[centro.negocio]=$B680) *
  (desp[parcela]&gt;=E$1) *
  (desp[parcela]&lt;EOMONTH(E$1,0)+1)
)</f>
        <v>0</v>
      </c>
      <c r="F680" s="245" cm="1">
        <f t="array" ref="F680">-SUMPRODUCT(
  desp[data.vencimento] *
  (desp[classificacao]=$B$289) *
  (desp[centro.negocio]=$B680) *
  (desp[parcela]&gt;=F$1) *
  (desp[parcela]&lt;EOMONTH(F$1,0)+1)
)</f>
        <v>0</v>
      </c>
      <c r="G680" s="245" cm="1">
        <f t="array" ref="G680">-SUMPRODUCT(
  desp[data.vencimento] *
  (desp[classificacao]=$B$289) *
  (desp[centro.negocio]=$B680) *
  (desp[parcela]&gt;=G$1) *
  (desp[parcela]&lt;EOMONTH(G$1,0)+1)
)</f>
        <v>0</v>
      </c>
      <c r="H680" s="245" cm="1">
        <f t="array" ref="H680">-SUMPRODUCT(
  desp[data.vencimento] *
  (desp[classificacao]=$B$289) *
  (desp[centro.negocio]=$B680) *
  (desp[parcela]&gt;=H$1) *
  (desp[parcela]&lt;EOMONTH(H$1,0)+1)
)</f>
        <v>0</v>
      </c>
      <c r="I680" s="245" cm="1">
        <f t="array" ref="I680">-SUMPRODUCT(
  desp[data.vencimento] *
  (desp[classificacao]=$B$289) *
  (desp[centro.negocio]=$B680) *
  (desp[parcela]&gt;=I$1) *
  (desp[parcela]&lt;EOMONTH(I$1,0)+1)
)</f>
        <v>0</v>
      </c>
      <c r="J680" s="245" cm="1">
        <f t="array" ref="J680">-SUMPRODUCT(
  desp[data.vencimento] *
  (desp[classificacao]=$B$289) *
  (desp[centro.negocio]=$B680) *
  (desp[parcela]&gt;=J$1) *
  (desp[parcela]&lt;EOMONTH(J$1,0)+1)
)</f>
        <v>0</v>
      </c>
      <c r="K680" s="245" cm="1">
        <f t="array" ref="K680">-SUMPRODUCT(
  desp[data.vencimento] *
  (desp[classificacao]=$B$289) *
  (desp[centro.negocio]=$B680) *
  (desp[parcela]&gt;=K$1) *
  (desp[parcela]&lt;EOMONTH(K$1,0)+1)
)</f>
        <v>0</v>
      </c>
      <c r="L680" s="245" cm="1">
        <f t="array" ref="L680">-SUMPRODUCT(
  desp[data.vencimento] *
  (desp[classificacao]=$B$289) *
  (desp[centro.negocio]=$B680) *
  (desp[parcela]&gt;=L$1) *
  (desp[parcela]&lt;EOMONTH(L$1,0)+1)
)</f>
        <v>0</v>
      </c>
      <c r="M680" s="245" cm="1">
        <f t="array" ref="M680">-SUMPRODUCT(
  desp[data.vencimento] *
  (desp[classificacao]=$B$289) *
  (desp[centro.negocio]=$B680) *
  (desp[parcela]&gt;=M$1) *
  (desp[parcela]&lt;EOMONTH(M$1,0)+1)
)</f>
        <v>0</v>
      </c>
      <c r="N680" s="245" cm="1">
        <f t="array" ref="N680">-SUMPRODUCT(
  desp[data.vencimento] *
  (desp[classificacao]=$B$289) *
  (desp[centro.negocio]=$B680) *
  (desp[parcela]&gt;=N$1) *
  (desp[parcela]&lt;EOMONTH(N$1,0)+1)
)</f>
        <v>0</v>
      </c>
      <c r="O680" s="245" cm="1">
        <f t="array" ref="O680">-SUMPRODUCT(
  desp[data.vencimento] *
  (desp[classificacao]=$B$289) *
  (desp[centro.negocio]=$B680) *
  (desp[parcela]&gt;=O$1) *
  (desp[parcela]&lt;EOMONTH(O$1,0)+1)
)</f>
        <v>0</v>
      </c>
      <c r="P680" s="245" cm="1">
        <f t="array" ref="P680">-SUMPRODUCT(
  desp[data.vencimento] *
  (desp[classificacao]=$B$289) *
  (desp[centro.negocio]=$B680) *
  (desp[parcela]&gt;=P$1) *
  (desp[parcela]&lt;EOMONTH(P$1,0)+1)
)</f>
        <v>0</v>
      </c>
      <c r="Q680" s="245" cm="1">
        <f t="array" ref="Q680">-SUMPRODUCT(
  desp[data.vencimento] *
  (desp[classificacao]=$B$289) *
  (desp[centro.negocio]=$B680) *
  (desp[parcela]&gt;=Q$1) *
  (desp[parcela]&lt;EOMONTH(Q$1,0)+1)
)</f>
        <v>0</v>
      </c>
      <c r="R680" s="245" cm="1">
        <f t="array" ref="R680">-SUMPRODUCT(
  desp[data.vencimento] *
  (desp[classificacao]=$B$289) *
  (desp[centro.negocio]=$B680) *
  (desp[parcela]&gt;=R$1) *
  (desp[parcela]&lt;EOMONTH(R$1,0)+1)
)</f>
        <v>0</v>
      </c>
    </row>
    <row r="681" spans="1:18" outlineLevel="1" x14ac:dyDescent="0.25">
      <c r="A681" s="243" t="s">
        <v>773</v>
      </c>
      <c r="B681" s="254" t="s">
        <v>774</v>
      </c>
      <c r="C681" s="193"/>
      <c r="D681" s="247"/>
      <c r="E681" s="247"/>
      <c r="F681" s="247"/>
      <c r="G681" s="247"/>
      <c r="H681" s="247"/>
      <c r="I681" s="247"/>
      <c r="J681" s="247"/>
      <c r="K681" s="247"/>
      <c r="L681" s="247"/>
      <c r="M681" s="247"/>
      <c r="N681" s="247"/>
      <c r="O681" s="247"/>
      <c r="P681" s="247"/>
      <c r="Q681" s="247"/>
      <c r="R681" s="247"/>
    </row>
    <row r="682" spans="1:18" x14ac:dyDescent="0.25">
      <c r="A682" s="233"/>
      <c r="B682" s="233" t="s">
        <v>775</v>
      </c>
      <c r="C682" s="260"/>
      <c r="D682" s="261">
        <f ca="1">D640+D665+D673</f>
        <v>489068.85</v>
      </c>
      <c r="E682" s="261">
        <f t="shared" ref="E682:R682" ca="1" si="1015">E640+E665+E673</f>
        <v>0</v>
      </c>
      <c r="F682" s="261">
        <f t="shared" ca="1" si="1015"/>
        <v>385006.39</v>
      </c>
      <c r="G682" s="261">
        <f t="shared" ca="1" si="1015"/>
        <v>223853.73</v>
      </c>
      <c r="H682" s="261">
        <f t="shared" ca="1" si="1015"/>
        <v>134752.4</v>
      </c>
      <c r="I682" s="261">
        <f t="shared" ca="1" si="1015"/>
        <v>289304.8</v>
      </c>
      <c r="J682" s="261">
        <f t="shared" ca="1" si="1015"/>
        <v>171602.91</v>
      </c>
      <c r="K682" s="261">
        <f t="shared" ca="1" si="1015"/>
        <v>366306.04</v>
      </c>
      <c r="L682" s="261">
        <f t="shared" ca="1" si="1015"/>
        <v>181081.21</v>
      </c>
      <c r="M682" s="261">
        <f t="shared" ca="1" si="1015"/>
        <v>266613.7</v>
      </c>
      <c r="N682" s="261">
        <f t="shared" ca="1" si="1015"/>
        <v>230479.34</v>
      </c>
      <c r="O682" s="261">
        <f t="shared" ca="1" si="1015"/>
        <v>471701.2</v>
      </c>
      <c r="P682" s="261">
        <f t="shared" ca="1" si="1015"/>
        <v>0</v>
      </c>
      <c r="Q682" s="261">
        <f t="shared" ref="Q682" ca="1" si="1016">Q640+Q665+Q673</f>
        <v>46792.36</v>
      </c>
      <c r="R682" s="261">
        <f t="shared" ca="1" si="1015"/>
        <v>0</v>
      </c>
    </row>
    <row r="683" spans="1:18" x14ac:dyDescent="0.25">
      <c r="A683" s="305"/>
      <c r="B683" s="305" t="s">
        <v>776</v>
      </c>
      <c r="C683" s="306"/>
      <c r="D683" s="238"/>
      <c r="E683" s="238"/>
      <c r="F683" s="238"/>
      <c r="G683" s="238"/>
      <c r="H683" s="238"/>
      <c r="I683" s="238"/>
      <c r="J683" s="238"/>
      <c r="K683" s="238"/>
      <c r="L683" s="238"/>
      <c r="M683" s="238"/>
      <c r="N683" s="238"/>
      <c r="O683" s="238"/>
      <c r="P683" s="238"/>
      <c r="Q683" s="238"/>
      <c r="R683" s="238"/>
    </row>
    <row r="684" spans="1:18" x14ac:dyDescent="0.25">
      <c r="A684" s="305"/>
      <c r="B684" s="305" t="s">
        <v>777</v>
      </c>
      <c r="C684" s="306"/>
      <c r="D684" s="238"/>
      <c r="E684" s="238"/>
      <c r="F684" s="238"/>
      <c r="G684" s="238"/>
      <c r="H684" s="238"/>
      <c r="I684" s="238"/>
      <c r="J684" s="238"/>
      <c r="K684" s="238"/>
      <c r="L684" s="238"/>
      <c r="M684" s="238"/>
      <c r="N684" s="238"/>
      <c r="O684" s="238"/>
      <c r="P684" s="238"/>
      <c r="Q684" s="238"/>
      <c r="R684" s="238"/>
    </row>
    <row r="685" spans="1:18" x14ac:dyDescent="0.25">
      <c r="A685" s="305"/>
      <c r="B685" s="305" t="s">
        <v>796</v>
      </c>
      <c r="C685" s="306"/>
      <c r="D685" s="238"/>
      <c r="E685" s="238"/>
      <c r="F685" s="238"/>
      <c r="G685" s="238"/>
      <c r="H685" s="238"/>
      <c r="I685" s="238"/>
      <c r="J685" s="238"/>
      <c r="K685" s="238"/>
      <c r="L685" s="238"/>
      <c r="M685" s="238"/>
      <c r="N685" s="238"/>
      <c r="O685" s="238"/>
      <c r="P685" s="238"/>
      <c r="Q685" s="238"/>
      <c r="R685" s="238"/>
    </row>
    <row r="689" spans="1:18" ht="21" x14ac:dyDescent="0.35">
      <c r="A689" s="301" t="s">
        <v>18</v>
      </c>
      <c r="B689" s="301" t="s">
        <v>562</v>
      </c>
    </row>
    <row r="690" spans="1:18" x14ac:dyDescent="0.25">
      <c r="A690" s="236" t="s">
        <v>510</v>
      </c>
      <c r="B690" s="236" t="s">
        <v>511</v>
      </c>
      <c r="C690" s="237"/>
      <c r="D690" s="238">
        <f ca="1">D691+D696</f>
        <v>0</v>
      </c>
      <c r="E690" s="238">
        <f t="shared" ref="E690" ca="1" si="1017">E691+E696</f>
        <v>0</v>
      </c>
      <c r="F690" s="238">
        <f t="shared" ref="F690" ca="1" si="1018">F691+F696</f>
        <v>0</v>
      </c>
      <c r="G690" s="238">
        <f t="shared" ref="G690" ca="1" si="1019">G691+G696</f>
        <v>0</v>
      </c>
      <c r="H690" s="238">
        <f t="shared" ref="H690" ca="1" si="1020">H691+H696</f>
        <v>0</v>
      </c>
      <c r="I690" s="238">
        <f t="shared" ref="I690" ca="1" si="1021">I691+I696</f>
        <v>0</v>
      </c>
      <c r="J690" s="238">
        <f t="shared" ref="J690" ca="1" si="1022">J691+J696</f>
        <v>0</v>
      </c>
      <c r="K690" s="238">
        <f t="shared" ref="K690" ca="1" si="1023">K691+K696</f>
        <v>0</v>
      </c>
      <c r="L690" s="238">
        <f t="shared" ref="L690" ca="1" si="1024">L691+L696</f>
        <v>0</v>
      </c>
      <c r="M690" s="238">
        <f t="shared" ref="M690" ca="1" si="1025">M691+M696</f>
        <v>0</v>
      </c>
      <c r="N690" s="238">
        <f t="shared" ref="N690" ca="1" si="1026">N691+N696</f>
        <v>0</v>
      </c>
      <c r="O690" s="238">
        <f t="shared" ref="O690" ca="1" si="1027">O691+O696</f>
        <v>0</v>
      </c>
      <c r="P690" s="238">
        <f t="shared" ref="P690" ca="1" si="1028">P691+P696</f>
        <v>0</v>
      </c>
      <c r="Q690" s="238">
        <f t="shared" ref="Q690:R690" ca="1" si="1029">Q691+Q696</f>
        <v>0</v>
      </c>
      <c r="R690" s="238">
        <f t="shared" ca="1" si="1029"/>
        <v>0</v>
      </c>
    </row>
    <row r="691" spans="1:18" x14ac:dyDescent="0.25">
      <c r="A691" s="240" t="s">
        <v>513</v>
      </c>
      <c r="B691" s="240" t="s">
        <v>514</v>
      </c>
      <c r="C691" s="241"/>
      <c r="D691" s="242">
        <f ca="1">SUM(D692:D695)</f>
        <v>0</v>
      </c>
      <c r="E691" s="242">
        <f t="shared" ref="E691" ca="1" si="1030">SUM(E692:E695)</f>
        <v>0</v>
      </c>
      <c r="F691" s="242">
        <f t="shared" ref="F691" ca="1" si="1031">SUM(F692:F695)</f>
        <v>0</v>
      </c>
      <c r="G691" s="242">
        <f t="shared" ref="G691" ca="1" si="1032">SUM(G692:G695)</f>
        <v>0</v>
      </c>
      <c r="H691" s="242">
        <f t="shared" ref="H691" ca="1" si="1033">SUM(H692:H695)</f>
        <v>0</v>
      </c>
      <c r="I691" s="242">
        <f t="shared" ref="I691" ca="1" si="1034">SUM(I692:I695)</f>
        <v>0</v>
      </c>
      <c r="J691" s="242">
        <f t="shared" ref="J691" ca="1" si="1035">SUM(J692:J695)</f>
        <v>0</v>
      </c>
      <c r="K691" s="242">
        <f t="shared" ref="K691" ca="1" si="1036">SUM(K692:K695)</f>
        <v>0</v>
      </c>
      <c r="L691" s="242">
        <f t="shared" ref="L691" ca="1" si="1037">SUM(L692:L695)</f>
        <v>0</v>
      </c>
      <c r="M691" s="242">
        <f t="shared" ref="M691" ca="1" si="1038">SUM(M692:M695)</f>
        <v>0</v>
      </c>
      <c r="N691" s="242">
        <f t="shared" ref="N691" ca="1" si="1039">SUM(N692:N695)</f>
        <v>0</v>
      </c>
      <c r="O691" s="242">
        <f t="shared" ref="O691" ca="1" si="1040">SUM(O692:O695)</f>
        <v>0</v>
      </c>
      <c r="P691" s="242">
        <f t="shared" ref="P691" ca="1" si="1041">SUM(P692:P695)</f>
        <v>0</v>
      </c>
      <c r="Q691" s="242">
        <f t="shared" ref="Q691:R691" ca="1" si="1042">SUM(Q692:Q695)</f>
        <v>0</v>
      </c>
      <c r="R691" s="242">
        <f t="shared" ca="1" si="1042"/>
        <v>0</v>
      </c>
    </row>
    <row r="692" spans="1:18" outlineLevel="1" x14ac:dyDescent="0.25">
      <c r="A692" s="243" t="s">
        <v>515</v>
      </c>
      <c r="B692" s="243" t="s">
        <v>516</v>
      </c>
      <c r="C692" s="244" t="s">
        <v>482</v>
      </c>
      <c r="D692" s="245">
        <f ca="1">SUMIFS(rec.uni[2025-01-01],
INDIRECT("rec.uni[natureza]"),"repasse.cef.obra",
INDIRECT("rec.uni[empresa]"),$A$289)+
SUMIFS(rec.uni[2025-01-01],
INDIRECT("rec.uni[natureza]"),"repasse.cef.terreno",
INDIRECT("rec.uni[empresa]"),$A$289)</f>
        <v>0</v>
      </c>
      <c r="E692" s="245">
        <f ca="1">SUMIFS(rec.uni[2025-02-01],
INDIRECT("rec.uni[natureza]"),"repasse.cef.obra",
INDIRECT("rec.uni[empresa]"),$A$289)+
SUMIFS(rec.uni[2025-02-01],
INDIRECT("rec.uni[natureza]"),"repasse.cef.terreno",
INDIRECT("rec.uni[empresa]"),$A$289)</f>
        <v>0</v>
      </c>
      <c r="F692" s="245">
        <f ca="1">SUMIFS(rec.uni[2025-03-01],
INDIRECT("rec.uni[natureza]"),"repasse.cef.obra",
INDIRECT("rec.uni[empresa]"),$A$289)+
SUMIFS(rec.uni[2025-03-01],
INDIRECT("rec.uni[natureza]"),"repasse.cef.terreno",
INDIRECT("rec.uni[empresa]"),$A$289)</f>
        <v>0</v>
      </c>
      <c r="G692" s="245">
        <f ca="1">SUMIFS(rec.uni[2025-04-01],
INDIRECT("rec.uni[natureza]"),"repasse.cef.obra",
INDIRECT("rec.uni[empresa]"),$A$289)+
SUMIFS(rec.uni[2025-04-01],
INDIRECT("rec.uni[natureza]"),"repasse.cef.terreno",
INDIRECT("rec.uni[empresa]"),$A$289)</f>
        <v>0</v>
      </c>
      <c r="H692" s="245">
        <f ca="1">SUMIFS(rec.uni[2025-05-01],
INDIRECT("rec.uni[natureza]"),"repasse.cef.obra",
INDIRECT("rec.uni[empresa]"),$A$289)+
SUMIFS(rec.uni[2025-05-01],
INDIRECT("rec.uni[natureza]"),"repasse.cef.terreno",
INDIRECT("rec.uni[empresa]"),$A$289)</f>
        <v>0</v>
      </c>
      <c r="I692" s="245">
        <f ca="1">SUMIFS(rec.uni[2025-06-01],
INDIRECT("rec.uni[natureza]"),"repasse.cef.obra",
INDIRECT("rec.uni[empresa]"),$A$289)+
SUMIFS(rec.uni[2025-06-01],
INDIRECT("rec.uni[natureza]"),"repasse.cef.terreno",
INDIRECT("rec.uni[empresa]"),$A$289)</f>
        <v>0</v>
      </c>
      <c r="J692" s="245">
        <f ca="1">SUMIFS(rec.uni[2025-07-01],
INDIRECT("rec.uni[natureza]"),"repasse.cef.obra",
INDIRECT("rec.uni[empresa]"),$A$289)+
SUMIFS(rec.uni[2025-07-01],
INDIRECT("rec.uni[natureza]"),"repasse.cef.terreno",
INDIRECT("rec.uni[empresa]"),$A$289)</f>
        <v>0</v>
      </c>
      <c r="K692" s="245">
        <f ca="1">SUMIFS(rec.uni[2025-08-01],
INDIRECT("rec.uni[natureza]"),"repasse.cef.obra",
INDIRECT("rec.uni[empresa]"),$A$289)+
SUMIFS(rec.uni[2025-08-01],
INDIRECT("rec.uni[natureza]"),"repasse.cef.terreno",
INDIRECT("rec.uni[empresa]"),$A$289)</f>
        <v>0</v>
      </c>
      <c r="L692" s="245">
        <f ca="1">SUMIFS(rec.uni[2025-09-01],
INDIRECT("rec.uni[natureza]"),"repasse.cef.obra",
INDIRECT("rec.uni[empresa]"),$A$289)+
SUMIFS(rec.uni[2025-09-01],
INDIRECT("rec.uni[natureza]"),"repasse.cef.terreno",
INDIRECT("rec.uni[empresa]"),$A$289)</f>
        <v>0</v>
      </c>
      <c r="M692" s="245">
        <f ca="1">SUMIFS(rec.uni[2025-10-01],
INDIRECT("rec.uni[natureza]"),"repasse.cef.obra",
INDIRECT("rec.uni[empresa]"),$A$289)+
SUMIFS(rec.uni[2025-10-01],
INDIRECT("rec.uni[natureza]"),"repasse.cef.terreno",
INDIRECT("rec.uni[empresa]"),$A$289)</f>
        <v>0</v>
      </c>
      <c r="N692" s="245">
        <f ca="1">SUMIFS(rec.uni[2025-11-01],
INDIRECT("rec.uni[natureza]"),"repasse.cef.obra",
INDIRECT("rec.uni[empresa]"),$A$289)+
SUMIFS(rec.uni[2025-11-01],
INDIRECT("rec.uni[natureza]"),"repasse.cef.terreno",
INDIRECT("rec.uni[empresa]"),$A$289)</f>
        <v>0</v>
      </c>
      <c r="O692" s="245">
        <f ca="1">SUMIFS(rec.uni[2025-12-01],
INDIRECT("rec.uni[natureza]"),"repasse.cef.obra",
INDIRECT("rec.uni[empresa]"),$A$289)+
SUMIFS(rec.uni[2025-12-01],
INDIRECT("rec.uni[natureza]"),"repasse.cef.terreno",
INDIRECT("rec.uni[empresa]"),$A$289)</f>
        <v>0</v>
      </c>
      <c r="P692" s="245">
        <f ca="1">SUMIFS(rec.uni[2026-01-01],
INDIRECT("rec.uni[natureza]"),"repasse.cef.obra",
INDIRECT("rec.uni[empresa]"),$A$289)+
SUMIFS(rec.uni[2026-01-01],
INDIRECT("rec.uni[natureza]"),"repasse.cef.terreno",
INDIRECT("rec.uni[empresa]"),$A$289)</f>
        <v>0</v>
      </c>
      <c r="Q692" s="245">
        <f ca="1">SUMIFS(rec.uni[2026-02-01],
INDIRECT("rec.uni[natureza]"),"repasse.cef.obra",
INDIRECT("rec.uni[empresa]"),$A$289)+
SUMIFS(rec.uni[2026-02-01],
INDIRECT("rec.uni[natureza]"),"repasse.cef.terreno",
INDIRECT("rec.uni[empresa]"),$A$289)</f>
        <v>0</v>
      </c>
      <c r="R692" s="245">
        <f ca="1">SUMIFS(rec.uni[2026-03-01],
INDIRECT("rec.uni[natureza]"),"repasse.cef.obra",
INDIRECT("rec.uni[empresa]"),$A$289)+
SUMIFS(rec.uni[2026-03-01],
INDIRECT("rec.uni[natureza]"),"repasse.cef.terreno",
INDIRECT("rec.uni[empresa]"),$A$289)</f>
        <v>0</v>
      </c>
    </row>
    <row r="693" spans="1:18" outlineLevel="1" x14ac:dyDescent="0.25">
      <c r="A693" s="243" t="s">
        <v>521</v>
      </c>
      <c r="B693" s="243" t="s">
        <v>21</v>
      </c>
      <c r="C693" s="244" t="s">
        <v>522</v>
      </c>
      <c r="D693" s="245">
        <f ca="1">SUMIFS(rec.uni[2025-01-01],
INDIRECT("rec.uni[natureza]"),"pro.soluto",
INDIRECT("rec.uni[empresa]"),$A$289)</f>
        <v>0</v>
      </c>
      <c r="E693" s="245">
        <f ca="1">SUMIFS(rec.uni[2025-02-01],
INDIRECT("rec.uni[natureza]"),"pro.soluto",
INDIRECT("rec.uni[empresa]"),$A$289)</f>
        <v>0</v>
      </c>
      <c r="F693" s="245">
        <f ca="1">SUMIFS(rec.uni[2025-03-01],
INDIRECT("rec.uni[natureza]"),"pro.soluto",
INDIRECT("rec.uni[empresa]"),$A$289)</f>
        <v>0</v>
      </c>
      <c r="G693" s="245">
        <f ca="1">SUMIFS(rec.uni[2025-04-01],
INDIRECT("rec.uni[natureza]"),"pro.soluto",
INDIRECT("rec.uni[empresa]"),$A$289)</f>
        <v>0</v>
      </c>
      <c r="H693" s="245">
        <f ca="1">SUMIFS(rec.uni[2025-05-01],
INDIRECT("rec.uni[natureza]"),"pro.soluto",
INDIRECT("rec.uni[empresa]"),$A$289)</f>
        <v>0</v>
      </c>
      <c r="I693" s="245">
        <f ca="1">SUMIFS(rec.uni[2025-06-01],
INDIRECT("rec.uni[natureza]"),"pro.soluto",
INDIRECT("rec.uni[empresa]"),$A$289)</f>
        <v>0</v>
      </c>
      <c r="J693" s="245">
        <f ca="1">SUMIFS(rec.uni[2025-07-01],
INDIRECT("rec.uni[natureza]"),"pro.soluto",
INDIRECT("rec.uni[empresa]"),$A$289)</f>
        <v>0</v>
      </c>
      <c r="K693" s="245">
        <f ca="1">SUMIFS(rec.uni[2025-08-01],
INDIRECT("rec.uni[natureza]"),"pro.soluto",
INDIRECT("rec.uni[empresa]"),$A$289)</f>
        <v>0</v>
      </c>
      <c r="L693" s="245">
        <f ca="1">SUMIFS(rec.uni[2025-09-01],
INDIRECT("rec.uni[natureza]"),"pro.soluto",
INDIRECT("rec.uni[empresa]"),$A$289)</f>
        <v>0</v>
      </c>
      <c r="M693" s="245">
        <f ca="1">SUMIFS(rec.uni[2025-10-01],
INDIRECT("rec.uni[natureza]"),"pro.soluto",
INDIRECT("rec.uni[empresa]"),$A$289)</f>
        <v>0</v>
      </c>
      <c r="N693" s="245">
        <f ca="1">SUMIFS(rec.uni[2025-11-01],
INDIRECT("rec.uni[natureza]"),"pro.soluto",
INDIRECT("rec.uni[empresa]"),$A$289)</f>
        <v>0</v>
      </c>
      <c r="O693" s="245">
        <f ca="1">SUMIFS(rec.uni[2025-12-01],
INDIRECT("rec.uni[natureza]"),"pro.soluto",
INDIRECT("rec.uni[empresa]"),$A$289)</f>
        <v>0</v>
      </c>
      <c r="P693" s="245">
        <f ca="1">SUMIFS(rec.uni[2026-01-01],
INDIRECT("rec.uni[natureza]"),"pro.soluto",
INDIRECT("rec.uni[empresa]"),$A$289)</f>
        <v>0</v>
      </c>
      <c r="Q693" s="245">
        <f ca="1">SUMIFS(rec.uni[2026-02-01],
INDIRECT("rec.uni[natureza]"),"pro.soluto",
INDIRECT("rec.uni[empresa]"),$A$289)</f>
        <v>0</v>
      </c>
      <c r="R693" s="245">
        <f ca="1">SUMIFS(rec.uni[2026-03-01],
INDIRECT("rec.uni[natureza]"),"pro.soluto",
INDIRECT("rec.uni[empresa]"),$A$289)</f>
        <v>0</v>
      </c>
    </row>
    <row r="694" spans="1:18" outlineLevel="1" x14ac:dyDescent="0.25">
      <c r="A694" s="243" t="s">
        <v>530</v>
      </c>
      <c r="B694" s="243" t="s">
        <v>531</v>
      </c>
      <c r="C694" s="244" t="s">
        <v>522</v>
      </c>
      <c r="D694" s="245">
        <f ca="1">SUMIFS(rec.uni[2025-01-01],
INDIRECT("rec.uni[natureza]"),"taxa.extra",
INDIRECT("rec.uni[empresa]"),$A$289)</f>
        <v>0</v>
      </c>
      <c r="E694" s="245">
        <f ca="1">SUMIFS(rec.uni[2025-02-01],
INDIRECT("rec.uni[natureza]"),"taxa.extra",
INDIRECT("rec.uni[empresa]"),$A$289)</f>
        <v>0</v>
      </c>
      <c r="F694" s="245">
        <f ca="1">SUMIFS(rec.uni[2025-03-01],
INDIRECT("rec.uni[natureza]"),"taxa.extra",
INDIRECT("rec.uni[empresa]"),$A$289)</f>
        <v>0</v>
      </c>
      <c r="G694" s="245">
        <f ca="1">SUMIFS(rec.uni[2025-04-01],
INDIRECT("rec.uni[natureza]"),"taxa.extra",
INDIRECT("rec.uni[empresa]"),$A$289)</f>
        <v>0</v>
      </c>
      <c r="H694" s="245">
        <f ca="1">SUMIFS(rec.uni[2025-05-01],
INDIRECT("rec.uni[natureza]"),"taxa.extra",
INDIRECT("rec.uni[empresa]"),$A$289)</f>
        <v>0</v>
      </c>
      <c r="I694" s="245">
        <f ca="1">SUMIFS(rec.uni[2025-06-01],
INDIRECT("rec.uni[natureza]"),"taxa.extra",
INDIRECT("rec.uni[empresa]"),$A$289)</f>
        <v>0</v>
      </c>
      <c r="J694" s="245">
        <f ca="1">SUMIFS(rec.uni[2025-07-01],
INDIRECT("rec.uni[natureza]"),"taxa.extra",
INDIRECT("rec.uni[empresa]"),$A$289)</f>
        <v>0</v>
      </c>
      <c r="K694" s="245">
        <f ca="1">SUMIFS(rec.uni[2025-08-01],
INDIRECT("rec.uni[natureza]"),"taxa.extra",
INDIRECT("rec.uni[empresa]"),$A$289)</f>
        <v>0</v>
      </c>
      <c r="L694" s="245">
        <f ca="1">SUMIFS(rec.uni[2025-09-01],
INDIRECT("rec.uni[natureza]"),"taxa.extra",
INDIRECT("rec.uni[empresa]"),$A$289)</f>
        <v>0</v>
      </c>
      <c r="M694" s="245">
        <f ca="1">SUMIFS(rec.uni[2025-10-01],
INDIRECT("rec.uni[natureza]"),"taxa.extra",
INDIRECT("rec.uni[empresa]"),$A$289)</f>
        <v>0</v>
      </c>
      <c r="N694" s="245">
        <f ca="1">SUMIFS(rec.uni[2025-11-01],
INDIRECT("rec.uni[natureza]"),"taxa.extra",
INDIRECT("rec.uni[empresa]"),$A$289)</f>
        <v>0</v>
      </c>
      <c r="O694" s="245">
        <f ca="1">SUMIFS(rec.uni[2025-12-01],
INDIRECT("rec.uni[natureza]"),"taxa.extra",
INDIRECT("rec.uni[empresa]"),$A$289)</f>
        <v>0</v>
      </c>
      <c r="P694" s="245">
        <f ca="1">SUMIFS(rec.uni[2026-01-01],
INDIRECT("rec.uni[natureza]"),"taxa.extra",
INDIRECT("rec.uni[empresa]"),$A$289)</f>
        <v>0</v>
      </c>
      <c r="Q694" s="245">
        <f ca="1">SUMIFS(rec.uni[2026-02-01],
INDIRECT("rec.uni[natureza]"),"taxa.extra",
INDIRECT("rec.uni[empresa]"),$A$289)</f>
        <v>0</v>
      </c>
      <c r="R694" s="245">
        <f ca="1">SUMIFS(rec.uni[2026-03-01],
INDIRECT("rec.uni[natureza]"),"taxa.extra",
INDIRECT("rec.uni[empresa]"),$A$289)</f>
        <v>0</v>
      </c>
    </row>
    <row r="695" spans="1:18" outlineLevel="1" x14ac:dyDescent="0.25">
      <c r="A695" s="243" t="s">
        <v>539</v>
      </c>
      <c r="B695" s="243" t="s">
        <v>540</v>
      </c>
      <c r="C695" s="244" t="s">
        <v>27</v>
      </c>
      <c r="D695" s="245">
        <v>0</v>
      </c>
      <c r="E695" s="245">
        <v>0</v>
      </c>
      <c r="F695" s="245">
        <v>0</v>
      </c>
      <c r="G695" s="245">
        <v>0</v>
      </c>
      <c r="H695" s="245">
        <v>0</v>
      </c>
      <c r="I695" s="245">
        <v>0</v>
      </c>
      <c r="J695" s="245">
        <v>0</v>
      </c>
      <c r="K695" s="245">
        <v>0</v>
      </c>
      <c r="L695" s="245">
        <v>0</v>
      </c>
      <c r="M695" s="245">
        <v>0</v>
      </c>
      <c r="N695" s="245">
        <v>0</v>
      </c>
      <c r="O695" s="245">
        <v>0</v>
      </c>
      <c r="P695" s="245">
        <v>0</v>
      </c>
      <c r="Q695" s="245">
        <v>0</v>
      </c>
      <c r="R695" s="245">
        <v>0</v>
      </c>
    </row>
    <row r="696" spans="1:18" x14ac:dyDescent="0.25">
      <c r="A696" s="249" t="s">
        <v>542</v>
      </c>
      <c r="B696" s="249" t="s">
        <v>543</v>
      </c>
      <c r="C696" s="250" t="s">
        <v>522</v>
      </c>
      <c r="D696" s="251">
        <f>SUM(D697:D714)</f>
        <v>0</v>
      </c>
      <c r="E696" s="251">
        <f t="shared" ref="E696" si="1043">SUM(E697:E714)</f>
        <v>0</v>
      </c>
      <c r="F696" s="251">
        <f t="shared" ref="F696" si="1044">SUM(F697:F714)</f>
        <v>0</v>
      </c>
      <c r="G696" s="251">
        <f t="shared" ref="G696" si="1045">SUM(G697:G714)</f>
        <v>0</v>
      </c>
      <c r="H696" s="251">
        <f t="shared" ref="H696" si="1046">SUM(H697:H714)</f>
        <v>0</v>
      </c>
      <c r="I696" s="251">
        <f t="shared" ref="I696" si="1047">SUM(I697:I714)</f>
        <v>0</v>
      </c>
      <c r="J696" s="251">
        <f t="shared" ref="J696" si="1048">SUM(J697:J714)</f>
        <v>0</v>
      </c>
      <c r="K696" s="251">
        <f t="shared" ref="K696" si="1049">SUM(K697:K714)</f>
        <v>0</v>
      </c>
      <c r="L696" s="251">
        <f t="shared" ref="L696" si="1050">SUM(L697:L714)</f>
        <v>0</v>
      </c>
      <c r="M696" s="251">
        <f t="shared" ref="M696" si="1051">SUM(M697:M714)</f>
        <v>0</v>
      </c>
      <c r="N696" s="251">
        <f t="shared" ref="N696" si="1052">SUM(N697:N714)</f>
        <v>0</v>
      </c>
      <c r="O696" s="251">
        <f t="shared" ref="O696" si="1053">SUM(O697:O714)</f>
        <v>0</v>
      </c>
      <c r="P696" s="251">
        <f t="shared" ref="P696" si="1054">SUM(P697:P714)</f>
        <v>0</v>
      </c>
      <c r="Q696" s="251">
        <f t="shared" ref="Q696:R696" si="1055">SUM(Q697:Q714)</f>
        <v>0</v>
      </c>
      <c r="R696" s="251">
        <f t="shared" si="1055"/>
        <v>0</v>
      </c>
    </row>
    <row r="697" spans="1:18" outlineLevel="1" x14ac:dyDescent="0.25">
      <c r="A697" s="243" t="s">
        <v>544</v>
      </c>
      <c r="B697" s="243" t="s">
        <v>358</v>
      </c>
      <c r="C697" s="244" t="s">
        <v>522</v>
      </c>
      <c r="D697" s="245" cm="1">
        <f t="array" ref="D697">-SUMPRODUCT(
  desp[data.vencimento] *
  (desp[classificacao]=$B$289) *
  (desp[centro.negocio]=$B697) *
  (desp[parcela]&gt;=D$1) *
  (desp[parcela]&lt;EOMONTH(D$1,0)+1)
)</f>
        <v>0</v>
      </c>
      <c r="E697" s="245" cm="1">
        <f t="array" ref="E697">-SUMPRODUCT(
  desp[data.vencimento] *
  (desp[classificacao]=$B$289) *
  (desp[centro.negocio]=$B697) *
  (desp[parcela]&gt;=E$1) *
  (desp[parcela]&lt;EOMONTH(E$1,0)+1)
)</f>
        <v>0</v>
      </c>
      <c r="F697" s="245" cm="1">
        <f t="array" ref="F697">-SUMPRODUCT(
  desp[data.vencimento] *
  (desp[classificacao]=$B$289) *
  (desp[centro.negocio]=$B697) *
  (desp[parcela]&gt;=F$1) *
  (desp[parcela]&lt;EOMONTH(F$1,0)+1)
)</f>
        <v>0</v>
      </c>
      <c r="G697" s="245" cm="1">
        <f t="array" ref="G697">-SUMPRODUCT(
  desp[data.vencimento] *
  (desp[classificacao]=$B$289) *
  (desp[centro.negocio]=$B697) *
  (desp[parcela]&gt;=G$1) *
  (desp[parcela]&lt;EOMONTH(G$1,0)+1)
)</f>
        <v>0</v>
      </c>
      <c r="H697" s="245" cm="1">
        <f t="array" ref="H697">-SUMPRODUCT(
  desp[data.vencimento] *
  (desp[classificacao]=$B$289) *
  (desp[centro.negocio]=$B697) *
  (desp[parcela]&gt;=H$1) *
  (desp[parcela]&lt;EOMONTH(H$1,0)+1)
)</f>
        <v>0</v>
      </c>
      <c r="I697" s="245" cm="1">
        <f t="array" ref="I697">-SUMPRODUCT(
  desp[data.vencimento] *
  (desp[classificacao]=$B$289) *
  (desp[centro.negocio]=$B697) *
  (desp[parcela]&gt;=I$1) *
  (desp[parcela]&lt;EOMONTH(I$1,0)+1)
)</f>
        <v>0</v>
      </c>
      <c r="J697" s="245" cm="1">
        <f t="array" ref="J697">-SUMPRODUCT(
  desp[data.vencimento] *
  (desp[classificacao]=$B$289) *
  (desp[centro.negocio]=$B697) *
  (desp[parcela]&gt;=J$1) *
  (desp[parcela]&lt;EOMONTH(J$1,0)+1)
)</f>
        <v>0</v>
      </c>
      <c r="K697" s="245" cm="1">
        <f t="array" ref="K697">-SUMPRODUCT(
  desp[data.vencimento] *
  (desp[classificacao]=$B$289) *
  (desp[centro.negocio]=$B697) *
  (desp[parcela]&gt;=K$1) *
  (desp[parcela]&lt;EOMONTH(K$1,0)+1)
)</f>
        <v>0</v>
      </c>
      <c r="L697" s="245" cm="1">
        <f t="array" ref="L697">-SUMPRODUCT(
  desp[data.vencimento] *
  (desp[classificacao]=$B$289) *
  (desp[centro.negocio]=$B697) *
  (desp[parcela]&gt;=L$1) *
  (desp[parcela]&lt;EOMONTH(L$1,0)+1)
)</f>
        <v>0</v>
      </c>
      <c r="M697" s="245" cm="1">
        <f t="array" ref="M697">-SUMPRODUCT(
  desp[data.vencimento] *
  (desp[classificacao]=$B$289) *
  (desp[centro.negocio]=$B697) *
  (desp[parcela]&gt;=M$1) *
  (desp[parcela]&lt;EOMONTH(M$1,0)+1)
)</f>
        <v>0</v>
      </c>
      <c r="N697" s="245" cm="1">
        <f t="array" ref="N697">-SUMPRODUCT(
  desp[data.vencimento] *
  (desp[classificacao]=$B$289) *
  (desp[centro.negocio]=$B697) *
  (desp[parcela]&gt;=N$1) *
  (desp[parcela]&lt;EOMONTH(N$1,0)+1)
)</f>
        <v>0</v>
      </c>
      <c r="O697" s="245" cm="1">
        <f t="array" ref="O697">-SUMPRODUCT(
  desp[data.vencimento] *
  (desp[classificacao]=$B$289) *
  (desp[centro.negocio]=$B697) *
  (desp[parcela]&gt;=O$1) *
  (desp[parcela]&lt;EOMONTH(O$1,0)+1)
)</f>
        <v>0</v>
      </c>
      <c r="P697" s="245" cm="1">
        <f t="array" ref="P697">-SUMPRODUCT(
  desp[data.vencimento] *
  (desp[classificacao]=$B$289) *
  (desp[centro.negocio]=$B697) *
  (desp[parcela]&gt;=P$1) *
  (desp[parcela]&lt;EOMONTH(P$1,0)+1)
)</f>
        <v>0</v>
      </c>
      <c r="Q697" s="245" cm="1">
        <f t="array" ref="Q697">-SUMPRODUCT(
  desp[data.vencimento] *
  (desp[classificacao]=$B$289) *
  (desp[centro.negocio]=$B697) *
  (desp[parcela]&gt;=Q$1) *
  (desp[parcela]&lt;EOMONTH(Q$1,0)+1)
)</f>
        <v>0</v>
      </c>
      <c r="R697" s="245" cm="1">
        <f t="array" ref="R697">-SUMPRODUCT(
  desp[data.vencimento] *
  (desp[classificacao]=$B$289) *
  (desp[centro.negocio]=$B697) *
  (desp[parcela]&gt;=R$1) *
  (desp[parcela]&lt;EOMONTH(R$1,0)+1)
)</f>
        <v>0</v>
      </c>
    </row>
    <row r="698" spans="1:18" outlineLevel="1" x14ac:dyDescent="0.25">
      <c r="A698" s="243" t="s">
        <v>565</v>
      </c>
      <c r="B698" s="243" t="s">
        <v>398</v>
      </c>
      <c r="C698" s="244" t="s">
        <v>522</v>
      </c>
      <c r="D698" s="245" cm="1">
        <f t="array" ref="D698">-SUMPRODUCT(
  desp[data.vencimento] *
  (desp[classificacao]=$B$289) *
  (desp[centro.negocio]=$B698) *
  (desp[parcela]&gt;=D$1) *
  (desp[parcela]&lt;EOMONTH(D$1,0)+1)
)</f>
        <v>0</v>
      </c>
      <c r="E698" s="245" cm="1">
        <f t="array" ref="E698">-SUMPRODUCT(
  desp[data.vencimento] *
  (desp[classificacao]=$B$289) *
  (desp[centro.negocio]=$B698) *
  (desp[parcela]&gt;=E$1) *
  (desp[parcela]&lt;EOMONTH(E$1,0)+1)
)</f>
        <v>0</v>
      </c>
      <c r="F698" s="245" cm="1">
        <f t="array" ref="F698">-SUMPRODUCT(
  desp[data.vencimento] *
  (desp[classificacao]=$B$289) *
  (desp[centro.negocio]=$B698) *
  (desp[parcela]&gt;=F$1) *
  (desp[parcela]&lt;EOMONTH(F$1,0)+1)
)</f>
        <v>0</v>
      </c>
      <c r="G698" s="245" cm="1">
        <f t="array" ref="G698">-SUMPRODUCT(
  desp[data.vencimento] *
  (desp[classificacao]=$B$289) *
  (desp[centro.negocio]=$B698) *
  (desp[parcela]&gt;=G$1) *
  (desp[parcela]&lt;EOMONTH(G$1,0)+1)
)</f>
        <v>0</v>
      </c>
      <c r="H698" s="245" cm="1">
        <f t="array" ref="H698">-SUMPRODUCT(
  desp[data.vencimento] *
  (desp[classificacao]=$B$289) *
  (desp[centro.negocio]=$B698) *
  (desp[parcela]&gt;=H$1) *
  (desp[parcela]&lt;EOMONTH(H$1,0)+1)
)</f>
        <v>0</v>
      </c>
      <c r="I698" s="245" cm="1">
        <f t="array" ref="I698">-SUMPRODUCT(
  desp[data.vencimento] *
  (desp[classificacao]=$B$289) *
  (desp[centro.negocio]=$B698) *
  (desp[parcela]&gt;=I$1) *
  (desp[parcela]&lt;EOMONTH(I$1,0)+1)
)</f>
        <v>0</v>
      </c>
      <c r="J698" s="245" cm="1">
        <f t="array" ref="J698">-SUMPRODUCT(
  desp[data.vencimento] *
  (desp[classificacao]=$B$289) *
  (desp[centro.negocio]=$B698) *
  (desp[parcela]&gt;=J$1) *
  (desp[parcela]&lt;EOMONTH(J$1,0)+1)
)</f>
        <v>0</v>
      </c>
      <c r="K698" s="245" cm="1">
        <f t="array" ref="K698">-SUMPRODUCT(
  desp[data.vencimento] *
  (desp[classificacao]=$B$289) *
  (desp[centro.negocio]=$B698) *
  (desp[parcela]&gt;=K$1) *
  (desp[parcela]&lt;EOMONTH(K$1,0)+1)
)</f>
        <v>0</v>
      </c>
      <c r="L698" s="245" cm="1">
        <f t="array" ref="L698">-SUMPRODUCT(
  desp[data.vencimento] *
  (desp[classificacao]=$B$289) *
  (desp[centro.negocio]=$B698) *
  (desp[parcela]&gt;=L$1) *
  (desp[parcela]&lt;EOMONTH(L$1,0)+1)
)</f>
        <v>0</v>
      </c>
      <c r="M698" s="245" cm="1">
        <f t="array" ref="M698">-SUMPRODUCT(
  desp[data.vencimento] *
  (desp[classificacao]=$B$289) *
  (desp[centro.negocio]=$B698) *
  (desp[parcela]&gt;=M$1) *
  (desp[parcela]&lt;EOMONTH(M$1,0)+1)
)</f>
        <v>0</v>
      </c>
      <c r="N698" s="245" cm="1">
        <f t="array" ref="N698">-SUMPRODUCT(
  desp[data.vencimento] *
  (desp[classificacao]=$B$289) *
  (desp[centro.negocio]=$B698) *
  (desp[parcela]&gt;=N$1) *
  (desp[parcela]&lt;EOMONTH(N$1,0)+1)
)</f>
        <v>0</v>
      </c>
      <c r="O698" s="245" cm="1">
        <f t="array" ref="O698">-SUMPRODUCT(
  desp[data.vencimento] *
  (desp[classificacao]=$B$289) *
  (desp[centro.negocio]=$B698) *
  (desp[parcela]&gt;=O$1) *
  (desp[parcela]&lt;EOMONTH(O$1,0)+1)
)</f>
        <v>0</v>
      </c>
      <c r="P698" s="245" cm="1">
        <f t="array" ref="P698">-SUMPRODUCT(
  desp[data.vencimento] *
  (desp[classificacao]=$B$289) *
  (desp[centro.negocio]=$B698) *
  (desp[parcela]&gt;=P$1) *
  (desp[parcela]&lt;EOMONTH(P$1,0)+1)
)</f>
        <v>0</v>
      </c>
      <c r="Q698" s="245" cm="1">
        <f t="array" ref="Q698">-SUMPRODUCT(
  desp[data.vencimento] *
  (desp[classificacao]=$B$289) *
  (desp[centro.negocio]=$B698) *
  (desp[parcela]&gt;=Q$1) *
  (desp[parcela]&lt;EOMONTH(Q$1,0)+1)
)</f>
        <v>0</v>
      </c>
      <c r="R698" s="245" cm="1">
        <f t="array" ref="R698">-SUMPRODUCT(
  desp[data.vencimento] *
  (desp[classificacao]=$B$289) *
  (desp[centro.negocio]=$B698) *
  (desp[parcela]&gt;=R$1) *
  (desp[parcela]&lt;EOMONTH(R$1,0)+1)
)</f>
        <v>0</v>
      </c>
    </row>
    <row r="699" spans="1:18" outlineLevel="1" x14ac:dyDescent="0.25">
      <c r="A699" s="243" t="s">
        <v>573</v>
      </c>
      <c r="B699" s="243" t="s">
        <v>356</v>
      </c>
      <c r="C699" s="244" t="s">
        <v>522</v>
      </c>
      <c r="D699" s="245" cm="1">
        <f t="array" ref="D699">-SUMPRODUCT(
  desp[data.vencimento] *
  (desp[classificacao]=$B$289) *
  (desp[centro.negocio]=$B699) *
  (desp[parcela]&gt;=D$1) *
  (desp[parcela]&lt;EOMONTH(D$1,0)+1)
)</f>
        <v>0</v>
      </c>
      <c r="E699" s="245" cm="1">
        <f t="array" ref="E699">-SUMPRODUCT(
  desp[data.vencimento] *
  (desp[classificacao]=$B$289) *
  (desp[centro.negocio]=$B699) *
  (desp[parcela]&gt;=E$1) *
  (desp[parcela]&lt;EOMONTH(E$1,0)+1)
)</f>
        <v>0</v>
      </c>
      <c r="F699" s="245" cm="1">
        <f t="array" ref="F699">-SUMPRODUCT(
  desp[data.vencimento] *
  (desp[classificacao]=$B$289) *
  (desp[centro.negocio]=$B699) *
  (desp[parcela]&gt;=F$1) *
  (desp[parcela]&lt;EOMONTH(F$1,0)+1)
)</f>
        <v>0</v>
      </c>
      <c r="G699" s="245" cm="1">
        <f t="array" ref="G699">-SUMPRODUCT(
  desp[data.vencimento] *
  (desp[classificacao]=$B$289) *
  (desp[centro.negocio]=$B699) *
  (desp[parcela]&gt;=G$1) *
  (desp[parcela]&lt;EOMONTH(G$1,0)+1)
)</f>
        <v>0</v>
      </c>
      <c r="H699" s="245" cm="1">
        <f t="array" ref="H699">-SUMPRODUCT(
  desp[data.vencimento] *
  (desp[classificacao]=$B$289) *
  (desp[centro.negocio]=$B699) *
  (desp[parcela]&gt;=H$1) *
  (desp[parcela]&lt;EOMONTH(H$1,0)+1)
)</f>
        <v>0</v>
      </c>
      <c r="I699" s="245" cm="1">
        <f t="array" ref="I699">-SUMPRODUCT(
  desp[data.vencimento] *
  (desp[classificacao]=$B$289) *
  (desp[centro.negocio]=$B699) *
  (desp[parcela]&gt;=I$1) *
  (desp[parcela]&lt;EOMONTH(I$1,0)+1)
)</f>
        <v>0</v>
      </c>
      <c r="J699" s="245" cm="1">
        <f t="array" ref="J699">-SUMPRODUCT(
  desp[data.vencimento] *
  (desp[classificacao]=$B$289) *
  (desp[centro.negocio]=$B699) *
  (desp[parcela]&gt;=J$1) *
  (desp[parcela]&lt;EOMONTH(J$1,0)+1)
)</f>
        <v>0</v>
      </c>
      <c r="K699" s="245" cm="1">
        <f t="array" ref="K699">-SUMPRODUCT(
  desp[data.vencimento] *
  (desp[classificacao]=$B$289) *
  (desp[centro.negocio]=$B699) *
  (desp[parcela]&gt;=K$1) *
  (desp[parcela]&lt;EOMONTH(K$1,0)+1)
)</f>
        <v>0</v>
      </c>
      <c r="L699" s="245" cm="1">
        <f t="array" ref="L699">-SUMPRODUCT(
  desp[data.vencimento] *
  (desp[classificacao]=$B$289) *
  (desp[centro.negocio]=$B699) *
  (desp[parcela]&gt;=L$1) *
  (desp[parcela]&lt;EOMONTH(L$1,0)+1)
)</f>
        <v>0</v>
      </c>
      <c r="M699" s="245" cm="1">
        <f t="array" ref="M699">-SUMPRODUCT(
  desp[data.vencimento] *
  (desp[classificacao]=$B$289) *
  (desp[centro.negocio]=$B699) *
  (desp[parcela]&gt;=M$1) *
  (desp[parcela]&lt;EOMONTH(M$1,0)+1)
)</f>
        <v>0</v>
      </c>
      <c r="N699" s="245" cm="1">
        <f t="array" ref="N699">-SUMPRODUCT(
  desp[data.vencimento] *
  (desp[classificacao]=$B$289) *
  (desp[centro.negocio]=$B699) *
  (desp[parcela]&gt;=N$1) *
  (desp[parcela]&lt;EOMONTH(N$1,0)+1)
)</f>
        <v>0</v>
      </c>
      <c r="O699" s="245" cm="1">
        <f t="array" ref="O699">-SUMPRODUCT(
  desp[data.vencimento] *
  (desp[classificacao]=$B$289) *
  (desp[centro.negocio]=$B699) *
  (desp[parcela]&gt;=O$1) *
  (desp[parcela]&lt;EOMONTH(O$1,0)+1)
)</f>
        <v>0</v>
      </c>
      <c r="P699" s="245" cm="1">
        <f t="array" ref="P699">-SUMPRODUCT(
  desp[data.vencimento] *
  (desp[classificacao]=$B$289) *
  (desp[centro.negocio]=$B699) *
  (desp[parcela]&gt;=P$1) *
  (desp[parcela]&lt;EOMONTH(P$1,0)+1)
)</f>
        <v>0</v>
      </c>
      <c r="Q699" s="245" cm="1">
        <f t="array" ref="Q699">-SUMPRODUCT(
  desp[data.vencimento] *
  (desp[classificacao]=$B$289) *
  (desp[centro.negocio]=$B699) *
  (desp[parcela]&gt;=Q$1) *
  (desp[parcela]&lt;EOMONTH(Q$1,0)+1)
)</f>
        <v>0</v>
      </c>
      <c r="R699" s="245" cm="1">
        <f t="array" ref="R699">-SUMPRODUCT(
  desp[data.vencimento] *
  (desp[classificacao]=$B$289) *
  (desp[centro.negocio]=$B699) *
  (desp[parcela]&gt;=R$1) *
  (desp[parcela]&lt;EOMONTH(R$1,0)+1)
)</f>
        <v>0</v>
      </c>
    </row>
    <row r="700" spans="1:18" outlineLevel="1" x14ac:dyDescent="0.25">
      <c r="A700" s="243" t="s">
        <v>589</v>
      </c>
      <c r="B700" s="243" t="s">
        <v>343</v>
      </c>
      <c r="C700" s="244" t="s">
        <v>522</v>
      </c>
      <c r="D700" s="245" cm="1">
        <f t="array" ref="D700">-SUMPRODUCT(
  desp[data.vencimento] *
  (desp[classificacao]=$B$289) *
  (desp[centro.negocio]=$B700) *
  (desp[parcela]&gt;=D$1) *
  (desp[parcela]&lt;EOMONTH(D$1,0)+1)
)</f>
        <v>0</v>
      </c>
      <c r="E700" s="245" cm="1">
        <f t="array" ref="E700">-SUMPRODUCT(
  desp[data.vencimento] *
  (desp[classificacao]=$B$289) *
  (desp[centro.negocio]=$B700) *
  (desp[parcela]&gt;=E$1) *
  (desp[parcela]&lt;EOMONTH(E$1,0)+1)
)</f>
        <v>0</v>
      </c>
      <c r="F700" s="245" cm="1">
        <f t="array" ref="F700">-SUMPRODUCT(
  desp[data.vencimento] *
  (desp[classificacao]=$B$289) *
  (desp[centro.negocio]=$B700) *
  (desp[parcela]&gt;=F$1) *
  (desp[parcela]&lt;EOMONTH(F$1,0)+1)
)</f>
        <v>0</v>
      </c>
      <c r="G700" s="245" cm="1">
        <f t="array" ref="G700">-SUMPRODUCT(
  desp[data.vencimento] *
  (desp[classificacao]=$B$289) *
  (desp[centro.negocio]=$B700) *
  (desp[parcela]&gt;=G$1) *
  (desp[parcela]&lt;EOMONTH(G$1,0)+1)
)</f>
        <v>0</v>
      </c>
      <c r="H700" s="245" cm="1">
        <f t="array" ref="H700">-SUMPRODUCT(
  desp[data.vencimento] *
  (desp[classificacao]=$B$289) *
  (desp[centro.negocio]=$B700) *
  (desp[parcela]&gt;=H$1) *
  (desp[parcela]&lt;EOMONTH(H$1,0)+1)
)</f>
        <v>0</v>
      </c>
      <c r="I700" s="245" cm="1">
        <f t="array" ref="I700">-SUMPRODUCT(
  desp[data.vencimento] *
  (desp[classificacao]=$B$289) *
  (desp[centro.negocio]=$B700) *
  (desp[parcela]&gt;=I$1) *
  (desp[parcela]&lt;EOMONTH(I$1,0)+1)
)</f>
        <v>0</v>
      </c>
      <c r="J700" s="245" cm="1">
        <f t="array" ref="J700">-SUMPRODUCT(
  desp[data.vencimento] *
  (desp[classificacao]=$B$289) *
  (desp[centro.negocio]=$B700) *
  (desp[parcela]&gt;=J$1) *
  (desp[parcela]&lt;EOMONTH(J$1,0)+1)
)</f>
        <v>0</v>
      </c>
      <c r="K700" s="245" cm="1">
        <f t="array" ref="K700">-SUMPRODUCT(
  desp[data.vencimento] *
  (desp[classificacao]=$B$289) *
  (desp[centro.negocio]=$B700) *
  (desp[parcela]&gt;=K$1) *
  (desp[parcela]&lt;EOMONTH(K$1,0)+1)
)</f>
        <v>0</v>
      </c>
      <c r="L700" s="245" cm="1">
        <f t="array" ref="L700">-SUMPRODUCT(
  desp[data.vencimento] *
  (desp[classificacao]=$B$289) *
  (desp[centro.negocio]=$B700) *
  (desp[parcela]&gt;=L$1) *
  (desp[parcela]&lt;EOMONTH(L$1,0)+1)
)</f>
        <v>0</v>
      </c>
      <c r="M700" s="245" cm="1">
        <f t="array" ref="M700">-SUMPRODUCT(
  desp[data.vencimento] *
  (desp[classificacao]=$B$289) *
  (desp[centro.negocio]=$B700) *
  (desp[parcela]&gt;=M$1) *
  (desp[parcela]&lt;EOMONTH(M$1,0)+1)
)</f>
        <v>0</v>
      </c>
      <c r="N700" s="245" cm="1">
        <f t="array" ref="N700">-SUMPRODUCT(
  desp[data.vencimento] *
  (desp[classificacao]=$B$289) *
  (desp[centro.negocio]=$B700) *
  (desp[parcela]&gt;=N$1) *
  (desp[parcela]&lt;EOMONTH(N$1,0)+1)
)</f>
        <v>0</v>
      </c>
      <c r="O700" s="245" cm="1">
        <f t="array" ref="O700">-SUMPRODUCT(
  desp[data.vencimento] *
  (desp[classificacao]=$B$289) *
  (desp[centro.negocio]=$B700) *
  (desp[parcela]&gt;=O$1) *
  (desp[parcela]&lt;EOMONTH(O$1,0)+1)
)</f>
        <v>0</v>
      </c>
      <c r="P700" s="245" cm="1">
        <f t="array" ref="P700">-SUMPRODUCT(
  desp[data.vencimento] *
  (desp[classificacao]=$B$289) *
  (desp[centro.negocio]=$B700) *
  (desp[parcela]&gt;=P$1) *
  (desp[parcela]&lt;EOMONTH(P$1,0)+1)
)</f>
        <v>0</v>
      </c>
      <c r="Q700" s="245" cm="1">
        <f t="array" ref="Q700">-SUMPRODUCT(
  desp[data.vencimento] *
  (desp[classificacao]=$B$289) *
  (desp[centro.negocio]=$B700) *
  (desp[parcela]&gt;=Q$1) *
  (desp[parcela]&lt;EOMONTH(Q$1,0)+1)
)</f>
        <v>0</v>
      </c>
      <c r="R700" s="245" cm="1">
        <f t="array" ref="R700">-SUMPRODUCT(
  desp[data.vencimento] *
  (desp[classificacao]=$B$289) *
  (desp[centro.negocio]=$B700) *
  (desp[parcela]&gt;=R$1) *
  (desp[parcela]&lt;EOMONTH(R$1,0)+1)
)</f>
        <v>0</v>
      </c>
    </row>
    <row r="701" spans="1:18" outlineLevel="1" x14ac:dyDescent="0.25">
      <c r="A701" s="243" t="s">
        <v>591</v>
      </c>
      <c r="B701" s="243" t="s">
        <v>380</v>
      </c>
      <c r="C701" s="244" t="s">
        <v>522</v>
      </c>
      <c r="D701" s="245" cm="1">
        <f t="array" ref="D701">-SUMPRODUCT(
  desp[data.vencimento] *
  (desp[classificacao]=$B$289) *
  (desp[centro.negocio]=$B701) *
  (desp[parcela]&gt;=D$1) *
  (desp[parcela]&lt;EOMONTH(D$1,0)+1)
)</f>
        <v>0</v>
      </c>
      <c r="E701" s="245" cm="1">
        <f t="array" ref="E701">-SUMPRODUCT(
  desp[data.vencimento] *
  (desp[classificacao]=$B$289) *
  (desp[centro.negocio]=$B701) *
  (desp[parcela]&gt;=E$1) *
  (desp[parcela]&lt;EOMONTH(E$1,0)+1)
)</f>
        <v>0</v>
      </c>
      <c r="F701" s="245" cm="1">
        <f t="array" ref="F701">-SUMPRODUCT(
  desp[data.vencimento] *
  (desp[classificacao]=$B$289) *
  (desp[centro.negocio]=$B701) *
  (desp[parcela]&gt;=F$1) *
  (desp[parcela]&lt;EOMONTH(F$1,0)+1)
)</f>
        <v>0</v>
      </c>
      <c r="G701" s="245" cm="1">
        <f t="array" ref="G701">-SUMPRODUCT(
  desp[data.vencimento] *
  (desp[classificacao]=$B$289) *
  (desp[centro.negocio]=$B701) *
  (desp[parcela]&gt;=G$1) *
  (desp[parcela]&lt;EOMONTH(G$1,0)+1)
)</f>
        <v>0</v>
      </c>
      <c r="H701" s="245" cm="1">
        <f t="array" ref="H701">-SUMPRODUCT(
  desp[data.vencimento] *
  (desp[classificacao]=$B$289) *
  (desp[centro.negocio]=$B701) *
  (desp[parcela]&gt;=H$1) *
  (desp[parcela]&lt;EOMONTH(H$1,0)+1)
)</f>
        <v>0</v>
      </c>
      <c r="I701" s="245" cm="1">
        <f t="array" ref="I701">-SUMPRODUCT(
  desp[data.vencimento] *
  (desp[classificacao]=$B$289) *
  (desp[centro.negocio]=$B701) *
  (desp[parcela]&gt;=I$1) *
  (desp[parcela]&lt;EOMONTH(I$1,0)+1)
)</f>
        <v>0</v>
      </c>
      <c r="J701" s="245" cm="1">
        <f t="array" ref="J701">-SUMPRODUCT(
  desp[data.vencimento] *
  (desp[classificacao]=$B$289) *
  (desp[centro.negocio]=$B701) *
  (desp[parcela]&gt;=J$1) *
  (desp[parcela]&lt;EOMONTH(J$1,0)+1)
)</f>
        <v>0</v>
      </c>
      <c r="K701" s="245" cm="1">
        <f t="array" ref="K701">-SUMPRODUCT(
  desp[data.vencimento] *
  (desp[classificacao]=$B$289) *
  (desp[centro.negocio]=$B701) *
  (desp[parcela]&gt;=K$1) *
  (desp[parcela]&lt;EOMONTH(K$1,0)+1)
)</f>
        <v>0</v>
      </c>
      <c r="L701" s="245" cm="1">
        <f t="array" ref="L701">-SUMPRODUCT(
  desp[data.vencimento] *
  (desp[classificacao]=$B$289) *
  (desp[centro.negocio]=$B701) *
  (desp[parcela]&gt;=L$1) *
  (desp[parcela]&lt;EOMONTH(L$1,0)+1)
)</f>
        <v>0</v>
      </c>
      <c r="M701" s="245" cm="1">
        <f t="array" ref="M701">-SUMPRODUCT(
  desp[data.vencimento] *
  (desp[classificacao]=$B$289) *
  (desp[centro.negocio]=$B701) *
  (desp[parcela]&gt;=M$1) *
  (desp[parcela]&lt;EOMONTH(M$1,0)+1)
)</f>
        <v>0</v>
      </c>
      <c r="N701" s="245" cm="1">
        <f t="array" ref="N701">-SUMPRODUCT(
  desp[data.vencimento] *
  (desp[classificacao]=$B$289) *
  (desp[centro.negocio]=$B701) *
  (desp[parcela]&gt;=N$1) *
  (desp[parcela]&lt;EOMONTH(N$1,0)+1)
)</f>
        <v>0</v>
      </c>
      <c r="O701" s="245" cm="1">
        <f t="array" ref="O701">-SUMPRODUCT(
  desp[data.vencimento] *
  (desp[classificacao]=$B$289) *
  (desp[centro.negocio]=$B701) *
  (desp[parcela]&gt;=O$1) *
  (desp[parcela]&lt;EOMONTH(O$1,0)+1)
)</f>
        <v>0</v>
      </c>
      <c r="P701" s="245" cm="1">
        <f t="array" ref="P701">-SUMPRODUCT(
  desp[data.vencimento] *
  (desp[classificacao]=$B$289) *
  (desp[centro.negocio]=$B701) *
  (desp[parcela]&gt;=P$1) *
  (desp[parcela]&lt;EOMONTH(P$1,0)+1)
)</f>
        <v>0</v>
      </c>
      <c r="Q701" s="245" cm="1">
        <f t="array" ref="Q701">-SUMPRODUCT(
  desp[data.vencimento] *
  (desp[classificacao]=$B$289) *
  (desp[centro.negocio]=$B701) *
  (desp[parcela]&gt;=Q$1) *
  (desp[parcela]&lt;EOMONTH(Q$1,0)+1)
)</f>
        <v>0</v>
      </c>
      <c r="R701" s="245" cm="1">
        <f t="array" ref="R701">-SUMPRODUCT(
  desp[data.vencimento] *
  (desp[classificacao]=$B$289) *
  (desp[centro.negocio]=$B701) *
  (desp[parcela]&gt;=R$1) *
  (desp[parcela]&lt;EOMONTH(R$1,0)+1)
)</f>
        <v>0</v>
      </c>
    </row>
    <row r="702" spans="1:18" outlineLevel="1" x14ac:dyDescent="0.25">
      <c r="A702" s="243" t="s">
        <v>597</v>
      </c>
      <c r="B702" s="243" t="s">
        <v>375</v>
      </c>
      <c r="C702" s="244" t="s">
        <v>522</v>
      </c>
      <c r="D702" s="245" cm="1">
        <f t="array" ref="D702">-SUMPRODUCT(
  desp[data.vencimento] *
  (desp[classificacao]=$B$289) *
  (desp[centro.negocio]=$B702) *
  (desp[parcela]&gt;=D$1) *
  (desp[parcela]&lt;EOMONTH(D$1,0)+1)
)</f>
        <v>0</v>
      </c>
      <c r="E702" s="245" cm="1">
        <f t="array" ref="E702">-SUMPRODUCT(
  desp[data.vencimento] *
  (desp[classificacao]=$B$289) *
  (desp[centro.negocio]=$B702) *
  (desp[parcela]&gt;=E$1) *
  (desp[parcela]&lt;EOMONTH(E$1,0)+1)
)</f>
        <v>0</v>
      </c>
      <c r="F702" s="245" cm="1">
        <f t="array" ref="F702">-SUMPRODUCT(
  desp[data.vencimento] *
  (desp[classificacao]=$B$289) *
  (desp[centro.negocio]=$B702) *
  (desp[parcela]&gt;=F$1) *
  (desp[parcela]&lt;EOMONTH(F$1,0)+1)
)</f>
        <v>0</v>
      </c>
      <c r="G702" s="245" cm="1">
        <f t="array" ref="G702">-SUMPRODUCT(
  desp[data.vencimento] *
  (desp[classificacao]=$B$289) *
  (desp[centro.negocio]=$B702) *
  (desp[parcela]&gt;=G$1) *
  (desp[parcela]&lt;EOMONTH(G$1,0)+1)
)</f>
        <v>0</v>
      </c>
      <c r="H702" s="245" cm="1">
        <f t="array" ref="H702">-SUMPRODUCT(
  desp[data.vencimento] *
  (desp[classificacao]=$B$289) *
  (desp[centro.negocio]=$B702) *
  (desp[parcela]&gt;=H$1) *
  (desp[parcela]&lt;EOMONTH(H$1,0)+1)
)</f>
        <v>0</v>
      </c>
      <c r="I702" s="245" cm="1">
        <f t="array" ref="I702">-SUMPRODUCT(
  desp[data.vencimento] *
  (desp[classificacao]=$B$289) *
  (desp[centro.negocio]=$B702) *
  (desp[parcela]&gt;=I$1) *
  (desp[parcela]&lt;EOMONTH(I$1,0)+1)
)</f>
        <v>0</v>
      </c>
      <c r="J702" s="245" cm="1">
        <f t="array" ref="J702">-SUMPRODUCT(
  desp[data.vencimento] *
  (desp[classificacao]=$B$289) *
  (desp[centro.negocio]=$B702) *
  (desp[parcela]&gt;=J$1) *
  (desp[parcela]&lt;EOMONTH(J$1,0)+1)
)</f>
        <v>0</v>
      </c>
      <c r="K702" s="245" cm="1">
        <f t="array" ref="K702">-SUMPRODUCT(
  desp[data.vencimento] *
  (desp[classificacao]=$B$289) *
  (desp[centro.negocio]=$B702) *
  (desp[parcela]&gt;=K$1) *
  (desp[parcela]&lt;EOMONTH(K$1,0)+1)
)</f>
        <v>0</v>
      </c>
      <c r="L702" s="245" cm="1">
        <f t="array" ref="L702">-SUMPRODUCT(
  desp[data.vencimento] *
  (desp[classificacao]=$B$289) *
  (desp[centro.negocio]=$B702) *
  (desp[parcela]&gt;=L$1) *
  (desp[parcela]&lt;EOMONTH(L$1,0)+1)
)</f>
        <v>0</v>
      </c>
      <c r="M702" s="245" cm="1">
        <f t="array" ref="M702">-SUMPRODUCT(
  desp[data.vencimento] *
  (desp[classificacao]=$B$289) *
  (desp[centro.negocio]=$B702) *
  (desp[parcela]&gt;=M$1) *
  (desp[parcela]&lt;EOMONTH(M$1,0)+1)
)</f>
        <v>0</v>
      </c>
      <c r="N702" s="245" cm="1">
        <f t="array" ref="N702">-SUMPRODUCT(
  desp[data.vencimento] *
  (desp[classificacao]=$B$289) *
  (desp[centro.negocio]=$B702) *
  (desp[parcela]&gt;=N$1) *
  (desp[parcela]&lt;EOMONTH(N$1,0)+1)
)</f>
        <v>0</v>
      </c>
      <c r="O702" s="245" cm="1">
        <f t="array" ref="O702">-SUMPRODUCT(
  desp[data.vencimento] *
  (desp[classificacao]=$B$289) *
  (desp[centro.negocio]=$B702) *
  (desp[parcela]&gt;=O$1) *
  (desp[parcela]&lt;EOMONTH(O$1,0)+1)
)</f>
        <v>0</v>
      </c>
      <c r="P702" s="245" cm="1">
        <f t="array" ref="P702">-SUMPRODUCT(
  desp[data.vencimento] *
  (desp[classificacao]=$B$289) *
  (desp[centro.negocio]=$B702) *
  (desp[parcela]&gt;=P$1) *
  (desp[parcela]&lt;EOMONTH(P$1,0)+1)
)</f>
        <v>0</v>
      </c>
      <c r="Q702" s="245" cm="1">
        <f t="array" ref="Q702">-SUMPRODUCT(
  desp[data.vencimento] *
  (desp[classificacao]=$B$289) *
  (desp[centro.negocio]=$B702) *
  (desp[parcela]&gt;=Q$1) *
  (desp[parcela]&lt;EOMONTH(Q$1,0)+1)
)</f>
        <v>0</v>
      </c>
      <c r="R702" s="245" cm="1">
        <f t="array" ref="R702">-SUMPRODUCT(
  desp[data.vencimento] *
  (desp[classificacao]=$B$289) *
  (desp[centro.negocio]=$B702) *
  (desp[parcela]&gt;=R$1) *
  (desp[parcela]&lt;EOMONTH(R$1,0)+1)
)</f>
        <v>0</v>
      </c>
    </row>
    <row r="703" spans="1:18" outlineLevel="1" x14ac:dyDescent="0.25">
      <c r="A703" s="243" t="s">
        <v>599</v>
      </c>
      <c r="B703" s="243" t="s">
        <v>376</v>
      </c>
      <c r="C703" s="244" t="s">
        <v>522</v>
      </c>
      <c r="D703" s="245" cm="1">
        <f t="array" ref="D703">-SUMPRODUCT(
  desp[data.vencimento] *
  (desp[classificacao]=$B$289) *
  (desp[centro.negocio]=$B703) *
  (desp[parcela]&gt;=D$1) *
  (desp[parcela]&lt;EOMONTH(D$1,0)+1)
)</f>
        <v>0</v>
      </c>
      <c r="E703" s="245" cm="1">
        <f t="array" ref="E703">-SUMPRODUCT(
  desp[data.vencimento] *
  (desp[classificacao]=$B$289) *
  (desp[centro.negocio]=$B703) *
  (desp[parcela]&gt;=E$1) *
  (desp[parcela]&lt;EOMONTH(E$1,0)+1)
)</f>
        <v>0</v>
      </c>
      <c r="F703" s="245" cm="1">
        <f t="array" ref="F703">-SUMPRODUCT(
  desp[data.vencimento] *
  (desp[classificacao]=$B$289) *
  (desp[centro.negocio]=$B703) *
  (desp[parcela]&gt;=F$1) *
  (desp[parcela]&lt;EOMONTH(F$1,0)+1)
)</f>
        <v>0</v>
      </c>
      <c r="G703" s="245" cm="1">
        <f t="array" ref="G703">-SUMPRODUCT(
  desp[data.vencimento] *
  (desp[classificacao]=$B$289) *
  (desp[centro.negocio]=$B703) *
  (desp[parcela]&gt;=G$1) *
  (desp[parcela]&lt;EOMONTH(G$1,0)+1)
)</f>
        <v>0</v>
      </c>
      <c r="H703" s="245" cm="1">
        <f t="array" ref="H703">-SUMPRODUCT(
  desp[data.vencimento] *
  (desp[classificacao]=$B$289) *
  (desp[centro.negocio]=$B703) *
  (desp[parcela]&gt;=H$1) *
  (desp[parcela]&lt;EOMONTH(H$1,0)+1)
)</f>
        <v>0</v>
      </c>
      <c r="I703" s="245" cm="1">
        <f t="array" ref="I703">-SUMPRODUCT(
  desp[data.vencimento] *
  (desp[classificacao]=$B$289) *
  (desp[centro.negocio]=$B703) *
  (desp[parcela]&gt;=I$1) *
  (desp[parcela]&lt;EOMONTH(I$1,0)+1)
)</f>
        <v>0</v>
      </c>
      <c r="J703" s="245" cm="1">
        <f t="array" ref="J703">-SUMPRODUCT(
  desp[data.vencimento] *
  (desp[classificacao]=$B$289) *
  (desp[centro.negocio]=$B703) *
  (desp[parcela]&gt;=J$1) *
  (desp[parcela]&lt;EOMONTH(J$1,0)+1)
)</f>
        <v>0</v>
      </c>
      <c r="K703" s="245" cm="1">
        <f t="array" ref="K703">-SUMPRODUCT(
  desp[data.vencimento] *
  (desp[classificacao]=$B$289) *
  (desp[centro.negocio]=$B703) *
  (desp[parcela]&gt;=K$1) *
  (desp[parcela]&lt;EOMONTH(K$1,0)+1)
)</f>
        <v>0</v>
      </c>
      <c r="L703" s="245" cm="1">
        <f t="array" ref="L703">-SUMPRODUCT(
  desp[data.vencimento] *
  (desp[classificacao]=$B$289) *
  (desp[centro.negocio]=$B703) *
  (desp[parcela]&gt;=L$1) *
  (desp[parcela]&lt;EOMONTH(L$1,0)+1)
)</f>
        <v>0</v>
      </c>
      <c r="M703" s="245" cm="1">
        <f t="array" ref="M703">-SUMPRODUCT(
  desp[data.vencimento] *
  (desp[classificacao]=$B$289) *
  (desp[centro.negocio]=$B703) *
  (desp[parcela]&gt;=M$1) *
  (desp[parcela]&lt;EOMONTH(M$1,0)+1)
)</f>
        <v>0</v>
      </c>
      <c r="N703" s="245" cm="1">
        <f t="array" ref="N703">-SUMPRODUCT(
  desp[data.vencimento] *
  (desp[classificacao]=$B$289) *
  (desp[centro.negocio]=$B703) *
  (desp[parcela]&gt;=N$1) *
  (desp[parcela]&lt;EOMONTH(N$1,0)+1)
)</f>
        <v>0</v>
      </c>
      <c r="O703" s="245" cm="1">
        <f t="array" ref="O703">-SUMPRODUCT(
  desp[data.vencimento] *
  (desp[classificacao]=$B$289) *
  (desp[centro.negocio]=$B703) *
  (desp[parcela]&gt;=O$1) *
  (desp[parcela]&lt;EOMONTH(O$1,0)+1)
)</f>
        <v>0</v>
      </c>
      <c r="P703" s="245" cm="1">
        <f t="array" ref="P703">-SUMPRODUCT(
  desp[data.vencimento] *
  (desp[classificacao]=$B$289) *
  (desp[centro.negocio]=$B703) *
  (desp[parcela]&gt;=P$1) *
  (desp[parcela]&lt;EOMONTH(P$1,0)+1)
)</f>
        <v>0</v>
      </c>
      <c r="Q703" s="245" cm="1">
        <f t="array" ref="Q703">-SUMPRODUCT(
  desp[data.vencimento] *
  (desp[classificacao]=$B$289) *
  (desp[centro.negocio]=$B703) *
  (desp[parcela]&gt;=Q$1) *
  (desp[parcela]&lt;EOMONTH(Q$1,0)+1)
)</f>
        <v>0</v>
      </c>
      <c r="R703" s="245" cm="1">
        <f t="array" ref="R703">-SUMPRODUCT(
  desp[data.vencimento] *
  (desp[classificacao]=$B$289) *
  (desp[centro.negocio]=$B703) *
  (desp[parcela]&gt;=R$1) *
  (desp[parcela]&lt;EOMONTH(R$1,0)+1)
)</f>
        <v>0</v>
      </c>
    </row>
    <row r="704" spans="1:18" outlineLevel="1" x14ac:dyDescent="0.25">
      <c r="A704" s="243" t="s">
        <v>601</v>
      </c>
      <c r="B704" s="243" t="s">
        <v>374</v>
      </c>
      <c r="C704" s="244" t="s">
        <v>522</v>
      </c>
      <c r="D704" s="245" cm="1">
        <f t="array" ref="D704">-SUMPRODUCT(
  desp[data.vencimento] *
  (desp[classificacao]=$B$289) *
  (desp[centro.negocio]=$B704) *
  (desp[parcela]&gt;=D$1) *
  (desp[parcela]&lt;EOMONTH(D$1,0)+1)
)</f>
        <v>0</v>
      </c>
      <c r="E704" s="245" cm="1">
        <f t="array" ref="E704">-SUMPRODUCT(
  desp[data.vencimento] *
  (desp[classificacao]=$B$289) *
  (desp[centro.negocio]=$B704) *
  (desp[parcela]&gt;=E$1) *
  (desp[parcela]&lt;EOMONTH(E$1,0)+1)
)</f>
        <v>0</v>
      </c>
      <c r="F704" s="245" cm="1">
        <f t="array" ref="F704">-SUMPRODUCT(
  desp[data.vencimento] *
  (desp[classificacao]=$B$289) *
  (desp[centro.negocio]=$B704) *
  (desp[parcela]&gt;=F$1) *
  (desp[parcela]&lt;EOMONTH(F$1,0)+1)
)</f>
        <v>0</v>
      </c>
      <c r="G704" s="245" cm="1">
        <f t="array" ref="G704">-SUMPRODUCT(
  desp[data.vencimento] *
  (desp[classificacao]=$B$289) *
  (desp[centro.negocio]=$B704) *
  (desp[parcela]&gt;=G$1) *
  (desp[parcela]&lt;EOMONTH(G$1,0)+1)
)</f>
        <v>0</v>
      </c>
      <c r="H704" s="245" cm="1">
        <f t="array" ref="H704">-SUMPRODUCT(
  desp[data.vencimento] *
  (desp[classificacao]=$B$289) *
  (desp[centro.negocio]=$B704) *
  (desp[parcela]&gt;=H$1) *
  (desp[parcela]&lt;EOMONTH(H$1,0)+1)
)</f>
        <v>0</v>
      </c>
      <c r="I704" s="245" cm="1">
        <f t="array" ref="I704">-SUMPRODUCT(
  desp[data.vencimento] *
  (desp[classificacao]=$B$289) *
  (desp[centro.negocio]=$B704) *
  (desp[parcela]&gt;=I$1) *
  (desp[parcela]&lt;EOMONTH(I$1,0)+1)
)</f>
        <v>0</v>
      </c>
      <c r="J704" s="245" cm="1">
        <f t="array" ref="J704">-SUMPRODUCT(
  desp[data.vencimento] *
  (desp[classificacao]=$B$289) *
  (desp[centro.negocio]=$B704) *
  (desp[parcela]&gt;=J$1) *
  (desp[parcela]&lt;EOMONTH(J$1,0)+1)
)</f>
        <v>0</v>
      </c>
      <c r="K704" s="245" cm="1">
        <f t="array" ref="K704">-SUMPRODUCT(
  desp[data.vencimento] *
  (desp[classificacao]=$B$289) *
  (desp[centro.negocio]=$B704) *
  (desp[parcela]&gt;=K$1) *
  (desp[parcela]&lt;EOMONTH(K$1,0)+1)
)</f>
        <v>0</v>
      </c>
      <c r="L704" s="245" cm="1">
        <f t="array" ref="L704">-SUMPRODUCT(
  desp[data.vencimento] *
  (desp[classificacao]=$B$289) *
  (desp[centro.negocio]=$B704) *
  (desp[parcela]&gt;=L$1) *
  (desp[parcela]&lt;EOMONTH(L$1,0)+1)
)</f>
        <v>0</v>
      </c>
      <c r="M704" s="245" cm="1">
        <f t="array" ref="M704">-SUMPRODUCT(
  desp[data.vencimento] *
  (desp[classificacao]=$B$289) *
  (desp[centro.negocio]=$B704) *
  (desp[parcela]&gt;=M$1) *
  (desp[parcela]&lt;EOMONTH(M$1,0)+1)
)</f>
        <v>0</v>
      </c>
      <c r="N704" s="245" cm="1">
        <f t="array" ref="N704">-SUMPRODUCT(
  desp[data.vencimento] *
  (desp[classificacao]=$B$289) *
  (desp[centro.negocio]=$B704) *
  (desp[parcela]&gt;=N$1) *
  (desp[parcela]&lt;EOMONTH(N$1,0)+1)
)</f>
        <v>0</v>
      </c>
      <c r="O704" s="245" cm="1">
        <f t="array" ref="O704">-SUMPRODUCT(
  desp[data.vencimento] *
  (desp[classificacao]=$B$289) *
  (desp[centro.negocio]=$B704) *
  (desp[parcela]&gt;=O$1) *
  (desp[parcela]&lt;EOMONTH(O$1,0)+1)
)</f>
        <v>0</v>
      </c>
      <c r="P704" s="245" cm="1">
        <f t="array" ref="P704">-SUMPRODUCT(
  desp[data.vencimento] *
  (desp[classificacao]=$B$289) *
  (desp[centro.negocio]=$B704) *
  (desp[parcela]&gt;=P$1) *
  (desp[parcela]&lt;EOMONTH(P$1,0)+1)
)</f>
        <v>0</v>
      </c>
      <c r="Q704" s="245" cm="1">
        <f t="array" ref="Q704">-SUMPRODUCT(
  desp[data.vencimento] *
  (desp[classificacao]=$B$289) *
  (desp[centro.negocio]=$B704) *
  (desp[parcela]&gt;=Q$1) *
  (desp[parcela]&lt;EOMONTH(Q$1,0)+1)
)</f>
        <v>0</v>
      </c>
      <c r="R704" s="245" cm="1">
        <f t="array" ref="R704">-SUMPRODUCT(
  desp[data.vencimento] *
  (desp[classificacao]=$B$289) *
  (desp[centro.negocio]=$B704) *
  (desp[parcela]&gt;=R$1) *
  (desp[parcela]&lt;EOMONTH(R$1,0)+1)
)</f>
        <v>0</v>
      </c>
    </row>
    <row r="705" spans="1:18" outlineLevel="1" x14ac:dyDescent="0.25">
      <c r="A705" s="243" t="s">
        <v>603</v>
      </c>
      <c r="B705" s="243" t="s">
        <v>381</v>
      </c>
      <c r="C705" s="244" t="s">
        <v>522</v>
      </c>
      <c r="D705" s="245" cm="1">
        <f t="array" ref="D705">-SUMPRODUCT(
  desp[data.vencimento] *
  (desp[classificacao]=$B$289) *
  (desp[centro.negocio]=$B705) *
  (desp[parcela]&gt;=D$1) *
  (desp[parcela]&lt;EOMONTH(D$1,0)+1)
)</f>
        <v>0</v>
      </c>
      <c r="E705" s="245" cm="1">
        <f t="array" ref="E705">-SUMPRODUCT(
  desp[data.vencimento] *
  (desp[classificacao]=$B$289) *
  (desp[centro.negocio]=$B705) *
  (desp[parcela]&gt;=E$1) *
  (desp[parcela]&lt;EOMONTH(E$1,0)+1)
)</f>
        <v>0</v>
      </c>
      <c r="F705" s="245" cm="1">
        <f t="array" ref="F705">-SUMPRODUCT(
  desp[data.vencimento] *
  (desp[classificacao]=$B$289) *
  (desp[centro.negocio]=$B705) *
  (desp[parcela]&gt;=F$1) *
  (desp[parcela]&lt;EOMONTH(F$1,0)+1)
)</f>
        <v>0</v>
      </c>
      <c r="G705" s="245" cm="1">
        <f t="array" ref="G705">-SUMPRODUCT(
  desp[data.vencimento] *
  (desp[classificacao]=$B$289) *
  (desp[centro.negocio]=$B705) *
  (desp[parcela]&gt;=G$1) *
  (desp[parcela]&lt;EOMONTH(G$1,0)+1)
)</f>
        <v>0</v>
      </c>
      <c r="H705" s="245" cm="1">
        <f t="array" ref="H705">-SUMPRODUCT(
  desp[data.vencimento] *
  (desp[classificacao]=$B$289) *
  (desp[centro.negocio]=$B705) *
  (desp[parcela]&gt;=H$1) *
  (desp[parcela]&lt;EOMONTH(H$1,0)+1)
)</f>
        <v>0</v>
      </c>
      <c r="I705" s="245" cm="1">
        <f t="array" ref="I705">-SUMPRODUCT(
  desp[data.vencimento] *
  (desp[classificacao]=$B$289) *
  (desp[centro.negocio]=$B705) *
  (desp[parcela]&gt;=I$1) *
  (desp[parcela]&lt;EOMONTH(I$1,0)+1)
)</f>
        <v>0</v>
      </c>
      <c r="J705" s="245" cm="1">
        <f t="array" ref="J705">-SUMPRODUCT(
  desp[data.vencimento] *
  (desp[classificacao]=$B$289) *
  (desp[centro.negocio]=$B705) *
  (desp[parcela]&gt;=J$1) *
  (desp[parcela]&lt;EOMONTH(J$1,0)+1)
)</f>
        <v>0</v>
      </c>
      <c r="K705" s="245" cm="1">
        <f t="array" ref="K705">-SUMPRODUCT(
  desp[data.vencimento] *
  (desp[classificacao]=$B$289) *
  (desp[centro.negocio]=$B705) *
  (desp[parcela]&gt;=K$1) *
  (desp[parcela]&lt;EOMONTH(K$1,0)+1)
)</f>
        <v>0</v>
      </c>
      <c r="L705" s="245" cm="1">
        <f t="array" ref="L705">-SUMPRODUCT(
  desp[data.vencimento] *
  (desp[classificacao]=$B$289) *
  (desp[centro.negocio]=$B705) *
  (desp[parcela]&gt;=L$1) *
  (desp[parcela]&lt;EOMONTH(L$1,0)+1)
)</f>
        <v>0</v>
      </c>
      <c r="M705" s="245" cm="1">
        <f t="array" ref="M705">-SUMPRODUCT(
  desp[data.vencimento] *
  (desp[classificacao]=$B$289) *
  (desp[centro.negocio]=$B705) *
  (desp[parcela]&gt;=M$1) *
  (desp[parcela]&lt;EOMONTH(M$1,0)+1)
)</f>
        <v>0</v>
      </c>
      <c r="N705" s="245" cm="1">
        <f t="array" ref="N705">-SUMPRODUCT(
  desp[data.vencimento] *
  (desp[classificacao]=$B$289) *
  (desp[centro.negocio]=$B705) *
  (desp[parcela]&gt;=N$1) *
  (desp[parcela]&lt;EOMONTH(N$1,0)+1)
)</f>
        <v>0</v>
      </c>
      <c r="O705" s="245" cm="1">
        <f t="array" ref="O705">-SUMPRODUCT(
  desp[data.vencimento] *
  (desp[classificacao]=$B$289) *
  (desp[centro.negocio]=$B705) *
  (desp[parcela]&gt;=O$1) *
  (desp[parcela]&lt;EOMONTH(O$1,0)+1)
)</f>
        <v>0</v>
      </c>
      <c r="P705" s="245" cm="1">
        <f t="array" ref="P705">-SUMPRODUCT(
  desp[data.vencimento] *
  (desp[classificacao]=$B$289) *
  (desp[centro.negocio]=$B705) *
  (desp[parcela]&gt;=P$1) *
  (desp[parcela]&lt;EOMONTH(P$1,0)+1)
)</f>
        <v>0</v>
      </c>
      <c r="Q705" s="245" cm="1">
        <f t="array" ref="Q705">-SUMPRODUCT(
  desp[data.vencimento] *
  (desp[classificacao]=$B$289) *
  (desp[centro.negocio]=$B705) *
  (desp[parcela]&gt;=Q$1) *
  (desp[parcela]&lt;EOMONTH(Q$1,0)+1)
)</f>
        <v>0</v>
      </c>
      <c r="R705" s="245" cm="1">
        <f t="array" ref="R705">-SUMPRODUCT(
  desp[data.vencimento] *
  (desp[classificacao]=$B$289) *
  (desp[centro.negocio]=$B705) *
  (desp[parcela]&gt;=R$1) *
  (desp[parcela]&lt;EOMONTH(R$1,0)+1)
)</f>
        <v>0</v>
      </c>
    </row>
    <row r="706" spans="1:18" outlineLevel="1" x14ac:dyDescent="0.25">
      <c r="A706" s="243" t="s">
        <v>608</v>
      </c>
      <c r="B706" s="243" t="s">
        <v>393</v>
      </c>
      <c r="C706" s="244" t="s">
        <v>522</v>
      </c>
      <c r="D706" s="245" cm="1">
        <f t="array" ref="D706">-SUMPRODUCT(
  desp[data.vencimento] *
  (desp[classificacao]=$B$289) *
  (desp[centro.negocio]=$B706) *
  (desp[parcela]&gt;=D$1) *
  (desp[parcela]&lt;EOMONTH(D$1,0)+1)
)</f>
        <v>0</v>
      </c>
      <c r="E706" s="245" cm="1">
        <f t="array" ref="E706">-SUMPRODUCT(
  desp[data.vencimento] *
  (desp[classificacao]=$B$289) *
  (desp[centro.negocio]=$B706) *
  (desp[parcela]&gt;=E$1) *
  (desp[parcela]&lt;EOMONTH(E$1,0)+1)
)</f>
        <v>0</v>
      </c>
      <c r="F706" s="245" cm="1">
        <f t="array" ref="F706">-SUMPRODUCT(
  desp[data.vencimento] *
  (desp[classificacao]=$B$289) *
  (desp[centro.negocio]=$B706) *
  (desp[parcela]&gt;=F$1) *
  (desp[parcela]&lt;EOMONTH(F$1,0)+1)
)</f>
        <v>0</v>
      </c>
      <c r="G706" s="245" cm="1">
        <f t="array" ref="G706">-SUMPRODUCT(
  desp[data.vencimento] *
  (desp[classificacao]=$B$289) *
  (desp[centro.negocio]=$B706) *
  (desp[parcela]&gt;=G$1) *
  (desp[parcela]&lt;EOMONTH(G$1,0)+1)
)</f>
        <v>0</v>
      </c>
      <c r="H706" s="245" cm="1">
        <f t="array" ref="H706">-SUMPRODUCT(
  desp[data.vencimento] *
  (desp[classificacao]=$B$289) *
  (desp[centro.negocio]=$B706) *
  (desp[parcela]&gt;=H$1) *
  (desp[parcela]&lt;EOMONTH(H$1,0)+1)
)</f>
        <v>0</v>
      </c>
      <c r="I706" s="245" cm="1">
        <f t="array" ref="I706">-SUMPRODUCT(
  desp[data.vencimento] *
  (desp[classificacao]=$B$289) *
  (desp[centro.negocio]=$B706) *
  (desp[parcela]&gt;=I$1) *
  (desp[parcela]&lt;EOMONTH(I$1,0)+1)
)</f>
        <v>0</v>
      </c>
      <c r="J706" s="245" cm="1">
        <f t="array" ref="J706">-SUMPRODUCT(
  desp[data.vencimento] *
  (desp[classificacao]=$B$289) *
  (desp[centro.negocio]=$B706) *
  (desp[parcela]&gt;=J$1) *
  (desp[parcela]&lt;EOMONTH(J$1,0)+1)
)</f>
        <v>0</v>
      </c>
      <c r="K706" s="245" cm="1">
        <f t="array" ref="K706">-SUMPRODUCT(
  desp[data.vencimento] *
  (desp[classificacao]=$B$289) *
  (desp[centro.negocio]=$B706) *
  (desp[parcela]&gt;=K$1) *
  (desp[parcela]&lt;EOMONTH(K$1,0)+1)
)</f>
        <v>0</v>
      </c>
      <c r="L706" s="245" cm="1">
        <f t="array" ref="L706">-SUMPRODUCT(
  desp[data.vencimento] *
  (desp[classificacao]=$B$289) *
  (desp[centro.negocio]=$B706) *
  (desp[parcela]&gt;=L$1) *
  (desp[parcela]&lt;EOMONTH(L$1,0)+1)
)</f>
        <v>0</v>
      </c>
      <c r="M706" s="245" cm="1">
        <f t="array" ref="M706">-SUMPRODUCT(
  desp[data.vencimento] *
  (desp[classificacao]=$B$289) *
  (desp[centro.negocio]=$B706) *
  (desp[parcela]&gt;=M$1) *
  (desp[parcela]&lt;EOMONTH(M$1,0)+1)
)</f>
        <v>0</v>
      </c>
      <c r="N706" s="245" cm="1">
        <f t="array" ref="N706">-SUMPRODUCT(
  desp[data.vencimento] *
  (desp[classificacao]=$B$289) *
  (desp[centro.negocio]=$B706) *
  (desp[parcela]&gt;=N$1) *
  (desp[parcela]&lt;EOMONTH(N$1,0)+1)
)</f>
        <v>0</v>
      </c>
      <c r="O706" s="245" cm="1">
        <f t="array" ref="O706">-SUMPRODUCT(
  desp[data.vencimento] *
  (desp[classificacao]=$B$289) *
  (desp[centro.negocio]=$B706) *
  (desp[parcela]&gt;=O$1) *
  (desp[parcela]&lt;EOMONTH(O$1,0)+1)
)</f>
        <v>0</v>
      </c>
      <c r="P706" s="245" cm="1">
        <f t="array" ref="P706">-SUMPRODUCT(
  desp[data.vencimento] *
  (desp[classificacao]=$B$289) *
  (desp[centro.negocio]=$B706) *
  (desp[parcela]&gt;=P$1) *
  (desp[parcela]&lt;EOMONTH(P$1,0)+1)
)</f>
        <v>0</v>
      </c>
      <c r="Q706" s="245" cm="1">
        <f t="array" ref="Q706">-SUMPRODUCT(
  desp[data.vencimento] *
  (desp[classificacao]=$B$289) *
  (desp[centro.negocio]=$B706) *
  (desp[parcela]&gt;=Q$1) *
  (desp[parcela]&lt;EOMONTH(Q$1,0)+1)
)</f>
        <v>0</v>
      </c>
      <c r="R706" s="245" cm="1">
        <f t="array" ref="R706">-SUMPRODUCT(
  desp[data.vencimento] *
  (desp[classificacao]=$B$289) *
  (desp[centro.negocio]=$B706) *
  (desp[parcela]&gt;=R$1) *
  (desp[parcela]&lt;EOMONTH(R$1,0)+1)
)</f>
        <v>0</v>
      </c>
    </row>
    <row r="707" spans="1:18" outlineLevel="1" x14ac:dyDescent="0.25">
      <c r="A707" s="243" t="s">
        <v>622</v>
      </c>
      <c r="B707" s="243" t="s">
        <v>346</v>
      </c>
      <c r="C707" s="244" t="s">
        <v>522</v>
      </c>
      <c r="D707" s="245" cm="1">
        <f t="array" ref="D707">-SUMPRODUCT(
  desp[data.vencimento] *
  (desp[classificacao]=$B$289) *
  (desp[centro.negocio]=$B707) *
  (desp[parcela]&gt;=D$1) *
  (desp[parcela]&lt;EOMONTH(D$1,0)+1)
)</f>
        <v>0</v>
      </c>
      <c r="E707" s="245" cm="1">
        <f t="array" ref="E707">-SUMPRODUCT(
  desp[data.vencimento] *
  (desp[classificacao]=$B$289) *
  (desp[centro.negocio]=$B707) *
  (desp[parcela]&gt;=E$1) *
  (desp[parcela]&lt;EOMONTH(E$1,0)+1)
)</f>
        <v>0</v>
      </c>
      <c r="F707" s="245" cm="1">
        <f t="array" ref="F707">-SUMPRODUCT(
  desp[data.vencimento] *
  (desp[classificacao]=$B$289) *
  (desp[centro.negocio]=$B707) *
  (desp[parcela]&gt;=F$1) *
  (desp[parcela]&lt;EOMONTH(F$1,0)+1)
)</f>
        <v>0</v>
      </c>
      <c r="G707" s="245" cm="1">
        <f t="array" ref="G707">-SUMPRODUCT(
  desp[data.vencimento] *
  (desp[classificacao]=$B$289) *
  (desp[centro.negocio]=$B707) *
  (desp[parcela]&gt;=G$1) *
  (desp[parcela]&lt;EOMONTH(G$1,0)+1)
)</f>
        <v>0</v>
      </c>
      <c r="H707" s="245" cm="1">
        <f t="array" ref="H707">-SUMPRODUCT(
  desp[data.vencimento] *
  (desp[classificacao]=$B$289) *
  (desp[centro.negocio]=$B707) *
  (desp[parcela]&gt;=H$1) *
  (desp[parcela]&lt;EOMONTH(H$1,0)+1)
)</f>
        <v>0</v>
      </c>
      <c r="I707" s="245" cm="1">
        <f t="array" ref="I707">-SUMPRODUCT(
  desp[data.vencimento] *
  (desp[classificacao]=$B$289) *
  (desp[centro.negocio]=$B707) *
  (desp[parcela]&gt;=I$1) *
  (desp[parcela]&lt;EOMONTH(I$1,0)+1)
)</f>
        <v>0</v>
      </c>
      <c r="J707" s="245" cm="1">
        <f t="array" ref="J707">-SUMPRODUCT(
  desp[data.vencimento] *
  (desp[classificacao]=$B$289) *
  (desp[centro.negocio]=$B707) *
  (desp[parcela]&gt;=J$1) *
  (desp[parcela]&lt;EOMONTH(J$1,0)+1)
)</f>
        <v>0</v>
      </c>
      <c r="K707" s="245" cm="1">
        <f t="array" ref="K707">-SUMPRODUCT(
  desp[data.vencimento] *
  (desp[classificacao]=$B$289) *
  (desp[centro.negocio]=$B707) *
  (desp[parcela]&gt;=K$1) *
  (desp[parcela]&lt;EOMONTH(K$1,0)+1)
)</f>
        <v>0</v>
      </c>
      <c r="L707" s="245" cm="1">
        <f t="array" ref="L707">-SUMPRODUCT(
  desp[data.vencimento] *
  (desp[classificacao]=$B$289) *
  (desp[centro.negocio]=$B707) *
  (desp[parcela]&gt;=L$1) *
  (desp[parcela]&lt;EOMONTH(L$1,0)+1)
)</f>
        <v>0</v>
      </c>
      <c r="M707" s="245" cm="1">
        <f t="array" ref="M707">-SUMPRODUCT(
  desp[data.vencimento] *
  (desp[classificacao]=$B$289) *
  (desp[centro.negocio]=$B707) *
  (desp[parcela]&gt;=M$1) *
  (desp[parcela]&lt;EOMONTH(M$1,0)+1)
)</f>
        <v>0</v>
      </c>
      <c r="N707" s="245" cm="1">
        <f t="array" ref="N707">-SUMPRODUCT(
  desp[data.vencimento] *
  (desp[classificacao]=$B$289) *
  (desp[centro.negocio]=$B707) *
  (desp[parcela]&gt;=N$1) *
  (desp[parcela]&lt;EOMONTH(N$1,0)+1)
)</f>
        <v>0</v>
      </c>
      <c r="O707" s="245" cm="1">
        <f t="array" ref="O707">-SUMPRODUCT(
  desp[data.vencimento] *
  (desp[classificacao]=$B$289) *
  (desp[centro.negocio]=$B707) *
  (desp[parcela]&gt;=O$1) *
  (desp[parcela]&lt;EOMONTH(O$1,0)+1)
)</f>
        <v>0</v>
      </c>
      <c r="P707" s="245" cm="1">
        <f t="array" ref="P707">-SUMPRODUCT(
  desp[data.vencimento] *
  (desp[classificacao]=$B$289) *
  (desp[centro.negocio]=$B707) *
  (desp[parcela]&gt;=P$1) *
  (desp[parcela]&lt;EOMONTH(P$1,0)+1)
)</f>
        <v>0</v>
      </c>
      <c r="Q707" s="245" cm="1">
        <f t="array" ref="Q707">-SUMPRODUCT(
  desp[data.vencimento] *
  (desp[classificacao]=$B$289) *
  (desp[centro.negocio]=$B707) *
  (desp[parcela]&gt;=Q$1) *
  (desp[parcela]&lt;EOMONTH(Q$1,0)+1)
)</f>
        <v>0</v>
      </c>
      <c r="R707" s="245" cm="1">
        <f t="array" ref="R707">-SUMPRODUCT(
  desp[data.vencimento] *
  (desp[classificacao]=$B$289) *
  (desp[centro.negocio]=$B707) *
  (desp[parcela]&gt;=R$1) *
  (desp[parcela]&lt;EOMONTH(R$1,0)+1)
)</f>
        <v>0</v>
      </c>
    </row>
    <row r="708" spans="1:18" outlineLevel="1" x14ac:dyDescent="0.25">
      <c r="A708" s="243" t="s">
        <v>656</v>
      </c>
      <c r="B708" s="243" t="s">
        <v>390</v>
      </c>
      <c r="C708" s="244" t="s">
        <v>522</v>
      </c>
      <c r="D708" s="245" cm="1">
        <f t="array" ref="D708">-SUMPRODUCT(
  desp[data.vencimento] *
  (desp[classificacao]=$B$289) *
  (desp[centro.negocio]=$B708) *
  (desp[parcela]&gt;=D$1) *
  (desp[parcela]&lt;EOMONTH(D$1,0)+1)
)</f>
        <v>0</v>
      </c>
      <c r="E708" s="245" cm="1">
        <f t="array" ref="E708">-SUMPRODUCT(
  desp[data.vencimento] *
  (desp[classificacao]=$B$289) *
  (desp[centro.negocio]=$B708) *
  (desp[parcela]&gt;=E$1) *
  (desp[parcela]&lt;EOMONTH(E$1,0)+1)
)</f>
        <v>0</v>
      </c>
      <c r="F708" s="245" cm="1">
        <f t="array" ref="F708">-SUMPRODUCT(
  desp[data.vencimento] *
  (desp[classificacao]=$B$289) *
  (desp[centro.negocio]=$B708) *
  (desp[parcela]&gt;=F$1) *
  (desp[parcela]&lt;EOMONTH(F$1,0)+1)
)</f>
        <v>0</v>
      </c>
      <c r="G708" s="245" cm="1">
        <f t="array" ref="G708">-SUMPRODUCT(
  desp[data.vencimento] *
  (desp[classificacao]=$B$289) *
  (desp[centro.negocio]=$B708) *
  (desp[parcela]&gt;=G$1) *
  (desp[parcela]&lt;EOMONTH(G$1,0)+1)
)</f>
        <v>0</v>
      </c>
      <c r="H708" s="245" cm="1">
        <f t="array" ref="H708">-SUMPRODUCT(
  desp[data.vencimento] *
  (desp[classificacao]=$B$289) *
  (desp[centro.negocio]=$B708) *
  (desp[parcela]&gt;=H$1) *
  (desp[parcela]&lt;EOMONTH(H$1,0)+1)
)</f>
        <v>0</v>
      </c>
      <c r="I708" s="245" cm="1">
        <f t="array" ref="I708">-SUMPRODUCT(
  desp[data.vencimento] *
  (desp[classificacao]=$B$289) *
  (desp[centro.negocio]=$B708) *
  (desp[parcela]&gt;=I$1) *
  (desp[parcela]&lt;EOMONTH(I$1,0)+1)
)</f>
        <v>0</v>
      </c>
      <c r="J708" s="245" cm="1">
        <f t="array" ref="J708">-SUMPRODUCT(
  desp[data.vencimento] *
  (desp[classificacao]=$B$289) *
  (desp[centro.negocio]=$B708) *
  (desp[parcela]&gt;=J$1) *
  (desp[parcela]&lt;EOMONTH(J$1,0)+1)
)</f>
        <v>0</v>
      </c>
      <c r="K708" s="245" cm="1">
        <f t="array" ref="K708">-SUMPRODUCT(
  desp[data.vencimento] *
  (desp[classificacao]=$B$289) *
  (desp[centro.negocio]=$B708) *
  (desp[parcela]&gt;=K$1) *
  (desp[parcela]&lt;EOMONTH(K$1,0)+1)
)</f>
        <v>0</v>
      </c>
      <c r="L708" s="245" cm="1">
        <f t="array" ref="L708">-SUMPRODUCT(
  desp[data.vencimento] *
  (desp[classificacao]=$B$289) *
  (desp[centro.negocio]=$B708) *
  (desp[parcela]&gt;=L$1) *
  (desp[parcela]&lt;EOMONTH(L$1,0)+1)
)</f>
        <v>0</v>
      </c>
      <c r="M708" s="245" cm="1">
        <f t="array" ref="M708">-SUMPRODUCT(
  desp[data.vencimento] *
  (desp[classificacao]=$B$289) *
  (desp[centro.negocio]=$B708) *
  (desp[parcela]&gt;=M$1) *
  (desp[parcela]&lt;EOMONTH(M$1,0)+1)
)</f>
        <v>0</v>
      </c>
      <c r="N708" s="245" cm="1">
        <f t="array" ref="N708">-SUMPRODUCT(
  desp[data.vencimento] *
  (desp[classificacao]=$B$289) *
  (desp[centro.negocio]=$B708) *
  (desp[parcela]&gt;=N$1) *
  (desp[parcela]&lt;EOMONTH(N$1,0)+1)
)</f>
        <v>0</v>
      </c>
      <c r="O708" s="245" cm="1">
        <f t="array" ref="O708">-SUMPRODUCT(
  desp[data.vencimento] *
  (desp[classificacao]=$B$289) *
  (desp[centro.negocio]=$B708) *
  (desp[parcela]&gt;=O$1) *
  (desp[parcela]&lt;EOMONTH(O$1,0)+1)
)</f>
        <v>0</v>
      </c>
      <c r="P708" s="245" cm="1">
        <f t="array" ref="P708">-SUMPRODUCT(
  desp[data.vencimento] *
  (desp[classificacao]=$B$289) *
  (desp[centro.negocio]=$B708) *
  (desp[parcela]&gt;=P$1) *
  (desp[parcela]&lt;EOMONTH(P$1,0)+1)
)</f>
        <v>0</v>
      </c>
      <c r="Q708" s="245" cm="1">
        <f t="array" ref="Q708">-SUMPRODUCT(
  desp[data.vencimento] *
  (desp[classificacao]=$B$289) *
  (desp[centro.negocio]=$B708) *
  (desp[parcela]&gt;=Q$1) *
  (desp[parcela]&lt;EOMONTH(Q$1,0)+1)
)</f>
        <v>0</v>
      </c>
      <c r="R708" s="245" cm="1">
        <f t="array" ref="R708">-SUMPRODUCT(
  desp[data.vencimento] *
  (desp[classificacao]=$B$289) *
  (desp[centro.negocio]=$B708) *
  (desp[parcela]&gt;=R$1) *
  (desp[parcela]&lt;EOMONTH(R$1,0)+1)
)</f>
        <v>0</v>
      </c>
    </row>
    <row r="709" spans="1:18" outlineLevel="1" x14ac:dyDescent="0.25">
      <c r="A709" s="243" t="s">
        <v>669</v>
      </c>
      <c r="B709" s="243" t="s">
        <v>385</v>
      </c>
      <c r="C709" s="244" t="s">
        <v>522</v>
      </c>
      <c r="D709" s="245" cm="1">
        <f t="array" ref="D709">-SUMPRODUCT(
  desp[data.vencimento] *
  (desp[classificacao]=$B$289) *
  (desp[centro.negocio]=$B709) *
  (desp[parcela]&gt;=D$1) *
  (desp[parcela]&lt;EOMONTH(D$1,0)+1)
)</f>
        <v>0</v>
      </c>
      <c r="E709" s="245" cm="1">
        <f t="array" ref="E709">-SUMPRODUCT(
  desp[data.vencimento] *
  (desp[classificacao]=$B$289) *
  (desp[centro.negocio]=$B709) *
  (desp[parcela]&gt;=E$1) *
  (desp[parcela]&lt;EOMONTH(E$1,0)+1)
)</f>
        <v>0</v>
      </c>
      <c r="F709" s="245" cm="1">
        <f t="array" ref="F709">-SUMPRODUCT(
  desp[data.vencimento] *
  (desp[classificacao]=$B$289) *
  (desp[centro.negocio]=$B709) *
  (desp[parcela]&gt;=F$1) *
  (desp[parcela]&lt;EOMONTH(F$1,0)+1)
)</f>
        <v>0</v>
      </c>
      <c r="G709" s="245" cm="1">
        <f t="array" ref="G709">-SUMPRODUCT(
  desp[data.vencimento] *
  (desp[classificacao]=$B$289) *
  (desp[centro.negocio]=$B709) *
  (desp[parcela]&gt;=G$1) *
  (desp[parcela]&lt;EOMONTH(G$1,0)+1)
)</f>
        <v>0</v>
      </c>
      <c r="H709" s="245" cm="1">
        <f t="array" ref="H709">-SUMPRODUCT(
  desp[data.vencimento] *
  (desp[classificacao]=$B$289) *
  (desp[centro.negocio]=$B709) *
  (desp[parcela]&gt;=H$1) *
  (desp[parcela]&lt;EOMONTH(H$1,0)+1)
)</f>
        <v>0</v>
      </c>
      <c r="I709" s="245" cm="1">
        <f t="array" ref="I709">-SUMPRODUCT(
  desp[data.vencimento] *
  (desp[classificacao]=$B$289) *
  (desp[centro.negocio]=$B709) *
  (desp[parcela]&gt;=I$1) *
  (desp[parcela]&lt;EOMONTH(I$1,0)+1)
)</f>
        <v>0</v>
      </c>
      <c r="J709" s="245" cm="1">
        <f t="array" ref="J709">-SUMPRODUCT(
  desp[data.vencimento] *
  (desp[classificacao]=$B$289) *
  (desp[centro.negocio]=$B709) *
  (desp[parcela]&gt;=J$1) *
  (desp[parcela]&lt;EOMONTH(J$1,0)+1)
)</f>
        <v>0</v>
      </c>
      <c r="K709" s="245" cm="1">
        <f t="array" ref="K709">-SUMPRODUCT(
  desp[data.vencimento] *
  (desp[classificacao]=$B$289) *
  (desp[centro.negocio]=$B709) *
  (desp[parcela]&gt;=K$1) *
  (desp[parcela]&lt;EOMONTH(K$1,0)+1)
)</f>
        <v>0</v>
      </c>
      <c r="L709" s="245" cm="1">
        <f t="array" ref="L709">-SUMPRODUCT(
  desp[data.vencimento] *
  (desp[classificacao]=$B$289) *
  (desp[centro.negocio]=$B709) *
  (desp[parcela]&gt;=L$1) *
  (desp[parcela]&lt;EOMONTH(L$1,0)+1)
)</f>
        <v>0</v>
      </c>
      <c r="M709" s="245" cm="1">
        <f t="array" ref="M709">-SUMPRODUCT(
  desp[data.vencimento] *
  (desp[classificacao]=$B$289) *
  (desp[centro.negocio]=$B709) *
  (desp[parcela]&gt;=M$1) *
  (desp[parcela]&lt;EOMONTH(M$1,0)+1)
)</f>
        <v>0</v>
      </c>
      <c r="N709" s="245" cm="1">
        <f t="array" ref="N709">-SUMPRODUCT(
  desp[data.vencimento] *
  (desp[classificacao]=$B$289) *
  (desp[centro.negocio]=$B709) *
  (desp[parcela]&gt;=N$1) *
  (desp[parcela]&lt;EOMONTH(N$1,0)+1)
)</f>
        <v>0</v>
      </c>
      <c r="O709" s="245" cm="1">
        <f t="array" ref="O709">-SUMPRODUCT(
  desp[data.vencimento] *
  (desp[classificacao]=$B$289) *
  (desp[centro.negocio]=$B709) *
  (desp[parcela]&gt;=O$1) *
  (desp[parcela]&lt;EOMONTH(O$1,0)+1)
)</f>
        <v>0</v>
      </c>
      <c r="P709" s="245" cm="1">
        <f t="array" ref="P709">-SUMPRODUCT(
  desp[data.vencimento] *
  (desp[classificacao]=$B$289) *
  (desp[centro.negocio]=$B709) *
  (desp[parcela]&gt;=P$1) *
  (desp[parcela]&lt;EOMONTH(P$1,0)+1)
)</f>
        <v>0</v>
      </c>
      <c r="Q709" s="245" cm="1">
        <f t="array" ref="Q709">-SUMPRODUCT(
  desp[data.vencimento] *
  (desp[classificacao]=$B$289) *
  (desp[centro.negocio]=$B709) *
  (desp[parcela]&gt;=Q$1) *
  (desp[parcela]&lt;EOMONTH(Q$1,0)+1)
)</f>
        <v>0</v>
      </c>
      <c r="R709" s="245" cm="1">
        <f t="array" ref="R709">-SUMPRODUCT(
  desp[data.vencimento] *
  (desp[classificacao]=$B$289) *
  (desp[centro.negocio]=$B709) *
  (desp[parcela]&gt;=R$1) *
  (desp[parcela]&lt;EOMONTH(R$1,0)+1)
)</f>
        <v>0</v>
      </c>
    </row>
    <row r="710" spans="1:18" outlineLevel="1" x14ac:dyDescent="0.25">
      <c r="A710" s="243" t="s">
        <v>674</v>
      </c>
      <c r="B710" s="243" t="s">
        <v>361</v>
      </c>
      <c r="C710" s="244" t="s">
        <v>522</v>
      </c>
      <c r="D710" s="245" cm="1">
        <f t="array" ref="D710">-SUMPRODUCT(
  desp[data.vencimento] *
  (desp[classificacao]=$B$289) *
  (desp[centro.negocio]=$B710) *
  (desp[parcela]&gt;=D$1) *
  (desp[parcela]&lt;EOMONTH(D$1,0)+1)
)</f>
        <v>0</v>
      </c>
      <c r="E710" s="245" cm="1">
        <f t="array" ref="E710">-SUMPRODUCT(
  desp[data.vencimento] *
  (desp[classificacao]=$B$289) *
  (desp[centro.negocio]=$B710) *
  (desp[parcela]&gt;=E$1) *
  (desp[parcela]&lt;EOMONTH(E$1,0)+1)
)</f>
        <v>0</v>
      </c>
      <c r="F710" s="245" cm="1">
        <f t="array" ref="F710">-SUMPRODUCT(
  desp[data.vencimento] *
  (desp[classificacao]=$B$289) *
  (desp[centro.negocio]=$B710) *
  (desp[parcela]&gt;=F$1) *
  (desp[parcela]&lt;EOMONTH(F$1,0)+1)
)</f>
        <v>0</v>
      </c>
      <c r="G710" s="245" cm="1">
        <f t="array" ref="G710">-SUMPRODUCT(
  desp[data.vencimento] *
  (desp[classificacao]=$B$289) *
  (desp[centro.negocio]=$B710) *
  (desp[parcela]&gt;=G$1) *
  (desp[parcela]&lt;EOMONTH(G$1,0)+1)
)</f>
        <v>0</v>
      </c>
      <c r="H710" s="245" cm="1">
        <f t="array" ref="H710">-SUMPRODUCT(
  desp[data.vencimento] *
  (desp[classificacao]=$B$289) *
  (desp[centro.negocio]=$B710) *
  (desp[parcela]&gt;=H$1) *
  (desp[parcela]&lt;EOMONTH(H$1,0)+1)
)</f>
        <v>0</v>
      </c>
      <c r="I710" s="245" cm="1">
        <f t="array" ref="I710">-SUMPRODUCT(
  desp[data.vencimento] *
  (desp[classificacao]=$B$289) *
  (desp[centro.negocio]=$B710) *
  (desp[parcela]&gt;=I$1) *
  (desp[parcela]&lt;EOMONTH(I$1,0)+1)
)</f>
        <v>0</v>
      </c>
      <c r="J710" s="245" cm="1">
        <f t="array" ref="J710">-SUMPRODUCT(
  desp[data.vencimento] *
  (desp[classificacao]=$B$289) *
  (desp[centro.negocio]=$B710) *
  (desp[parcela]&gt;=J$1) *
  (desp[parcela]&lt;EOMONTH(J$1,0)+1)
)</f>
        <v>0</v>
      </c>
      <c r="K710" s="245" cm="1">
        <f t="array" ref="K710">-SUMPRODUCT(
  desp[data.vencimento] *
  (desp[classificacao]=$B$289) *
  (desp[centro.negocio]=$B710) *
  (desp[parcela]&gt;=K$1) *
  (desp[parcela]&lt;EOMONTH(K$1,0)+1)
)</f>
        <v>0</v>
      </c>
      <c r="L710" s="245" cm="1">
        <f t="array" ref="L710">-SUMPRODUCT(
  desp[data.vencimento] *
  (desp[classificacao]=$B$289) *
  (desp[centro.negocio]=$B710) *
  (desp[parcela]&gt;=L$1) *
  (desp[parcela]&lt;EOMONTH(L$1,0)+1)
)</f>
        <v>0</v>
      </c>
      <c r="M710" s="245" cm="1">
        <f t="array" ref="M710">-SUMPRODUCT(
  desp[data.vencimento] *
  (desp[classificacao]=$B$289) *
  (desp[centro.negocio]=$B710) *
  (desp[parcela]&gt;=M$1) *
  (desp[parcela]&lt;EOMONTH(M$1,0)+1)
)</f>
        <v>0</v>
      </c>
      <c r="N710" s="245" cm="1">
        <f t="array" ref="N710">-SUMPRODUCT(
  desp[data.vencimento] *
  (desp[classificacao]=$B$289) *
  (desp[centro.negocio]=$B710) *
  (desp[parcela]&gt;=N$1) *
  (desp[parcela]&lt;EOMONTH(N$1,0)+1)
)</f>
        <v>0</v>
      </c>
      <c r="O710" s="245" cm="1">
        <f t="array" ref="O710">-SUMPRODUCT(
  desp[data.vencimento] *
  (desp[classificacao]=$B$289) *
  (desp[centro.negocio]=$B710) *
  (desp[parcela]&gt;=O$1) *
  (desp[parcela]&lt;EOMONTH(O$1,0)+1)
)</f>
        <v>0</v>
      </c>
      <c r="P710" s="245" cm="1">
        <f t="array" ref="P710">-SUMPRODUCT(
  desp[data.vencimento] *
  (desp[classificacao]=$B$289) *
  (desp[centro.negocio]=$B710) *
  (desp[parcela]&gt;=P$1) *
  (desp[parcela]&lt;EOMONTH(P$1,0)+1)
)</f>
        <v>0</v>
      </c>
      <c r="Q710" s="245" cm="1">
        <f t="array" ref="Q710">-SUMPRODUCT(
  desp[data.vencimento] *
  (desp[classificacao]=$B$289) *
  (desp[centro.negocio]=$B710) *
  (desp[parcela]&gt;=Q$1) *
  (desp[parcela]&lt;EOMONTH(Q$1,0)+1)
)</f>
        <v>0</v>
      </c>
      <c r="R710" s="245" cm="1">
        <f t="array" ref="R710">-SUMPRODUCT(
  desp[data.vencimento] *
  (desp[classificacao]=$B$289) *
  (desp[centro.negocio]=$B710) *
  (desp[parcela]&gt;=R$1) *
  (desp[parcela]&lt;EOMONTH(R$1,0)+1)
)</f>
        <v>0</v>
      </c>
    </row>
    <row r="711" spans="1:18" outlineLevel="1" x14ac:dyDescent="0.25">
      <c r="A711" s="243" t="s">
        <v>677</v>
      </c>
      <c r="B711" s="243" t="s">
        <v>377</v>
      </c>
      <c r="C711" s="244" t="s">
        <v>522</v>
      </c>
      <c r="D711" s="245" cm="1">
        <f t="array" ref="D711">-SUMPRODUCT(
  desp[data.vencimento] *
  (desp[classificacao]=$B$289) *
  (desp[centro.negocio]=$B711) *
  (desp[parcela]&gt;=D$1) *
  (desp[parcela]&lt;EOMONTH(D$1,0)+1)
)</f>
        <v>0</v>
      </c>
      <c r="E711" s="245" cm="1">
        <f t="array" ref="E711">-SUMPRODUCT(
  desp[data.vencimento] *
  (desp[classificacao]=$B$289) *
  (desp[centro.negocio]=$B711) *
  (desp[parcela]&gt;=E$1) *
  (desp[parcela]&lt;EOMONTH(E$1,0)+1)
)</f>
        <v>0</v>
      </c>
      <c r="F711" s="245" cm="1">
        <f t="array" ref="F711">-SUMPRODUCT(
  desp[data.vencimento] *
  (desp[classificacao]=$B$289) *
  (desp[centro.negocio]=$B711) *
  (desp[parcela]&gt;=F$1) *
  (desp[parcela]&lt;EOMONTH(F$1,0)+1)
)</f>
        <v>0</v>
      </c>
      <c r="G711" s="245" cm="1">
        <f t="array" ref="G711">-SUMPRODUCT(
  desp[data.vencimento] *
  (desp[classificacao]=$B$289) *
  (desp[centro.negocio]=$B711) *
  (desp[parcela]&gt;=G$1) *
  (desp[parcela]&lt;EOMONTH(G$1,0)+1)
)</f>
        <v>0</v>
      </c>
      <c r="H711" s="245" cm="1">
        <f t="array" ref="H711">-SUMPRODUCT(
  desp[data.vencimento] *
  (desp[classificacao]=$B$289) *
  (desp[centro.negocio]=$B711) *
  (desp[parcela]&gt;=H$1) *
  (desp[parcela]&lt;EOMONTH(H$1,0)+1)
)</f>
        <v>0</v>
      </c>
      <c r="I711" s="245" cm="1">
        <f t="array" ref="I711">-SUMPRODUCT(
  desp[data.vencimento] *
  (desp[classificacao]=$B$289) *
  (desp[centro.negocio]=$B711) *
  (desp[parcela]&gt;=I$1) *
  (desp[parcela]&lt;EOMONTH(I$1,0)+1)
)</f>
        <v>0</v>
      </c>
      <c r="J711" s="245" cm="1">
        <f t="array" ref="J711">-SUMPRODUCT(
  desp[data.vencimento] *
  (desp[classificacao]=$B$289) *
  (desp[centro.negocio]=$B711) *
  (desp[parcela]&gt;=J$1) *
  (desp[parcela]&lt;EOMONTH(J$1,0)+1)
)</f>
        <v>0</v>
      </c>
      <c r="K711" s="245" cm="1">
        <f t="array" ref="K711">-SUMPRODUCT(
  desp[data.vencimento] *
  (desp[classificacao]=$B$289) *
  (desp[centro.negocio]=$B711) *
  (desp[parcela]&gt;=K$1) *
  (desp[parcela]&lt;EOMONTH(K$1,0)+1)
)</f>
        <v>0</v>
      </c>
      <c r="L711" s="245" cm="1">
        <f t="array" ref="L711">-SUMPRODUCT(
  desp[data.vencimento] *
  (desp[classificacao]=$B$289) *
  (desp[centro.negocio]=$B711) *
  (desp[parcela]&gt;=L$1) *
  (desp[parcela]&lt;EOMONTH(L$1,0)+1)
)</f>
        <v>0</v>
      </c>
      <c r="M711" s="245" cm="1">
        <f t="array" ref="M711">-SUMPRODUCT(
  desp[data.vencimento] *
  (desp[classificacao]=$B$289) *
  (desp[centro.negocio]=$B711) *
  (desp[parcela]&gt;=M$1) *
  (desp[parcela]&lt;EOMONTH(M$1,0)+1)
)</f>
        <v>0</v>
      </c>
      <c r="N711" s="245" cm="1">
        <f t="array" ref="N711">-SUMPRODUCT(
  desp[data.vencimento] *
  (desp[classificacao]=$B$289) *
  (desp[centro.negocio]=$B711) *
  (desp[parcela]&gt;=N$1) *
  (desp[parcela]&lt;EOMONTH(N$1,0)+1)
)</f>
        <v>0</v>
      </c>
      <c r="O711" s="245" cm="1">
        <f t="array" ref="O711">-SUMPRODUCT(
  desp[data.vencimento] *
  (desp[classificacao]=$B$289) *
  (desp[centro.negocio]=$B711) *
  (desp[parcela]&gt;=O$1) *
  (desp[parcela]&lt;EOMONTH(O$1,0)+1)
)</f>
        <v>0</v>
      </c>
      <c r="P711" s="245" cm="1">
        <f t="array" ref="P711">-SUMPRODUCT(
  desp[data.vencimento] *
  (desp[classificacao]=$B$289) *
  (desp[centro.negocio]=$B711) *
  (desp[parcela]&gt;=P$1) *
  (desp[parcela]&lt;EOMONTH(P$1,0)+1)
)</f>
        <v>0</v>
      </c>
      <c r="Q711" s="245" cm="1">
        <f t="array" ref="Q711">-SUMPRODUCT(
  desp[data.vencimento] *
  (desp[classificacao]=$B$289) *
  (desp[centro.negocio]=$B711) *
  (desp[parcela]&gt;=Q$1) *
  (desp[parcela]&lt;EOMONTH(Q$1,0)+1)
)</f>
        <v>0</v>
      </c>
      <c r="R711" s="245" cm="1">
        <f t="array" ref="R711">-SUMPRODUCT(
  desp[data.vencimento] *
  (desp[classificacao]=$B$289) *
  (desp[centro.negocio]=$B711) *
  (desp[parcela]&gt;=R$1) *
  (desp[parcela]&lt;EOMONTH(R$1,0)+1)
)</f>
        <v>0</v>
      </c>
    </row>
    <row r="712" spans="1:18" outlineLevel="1" x14ac:dyDescent="0.25">
      <c r="A712" s="243" t="s">
        <v>679</v>
      </c>
      <c r="B712" s="243" t="s">
        <v>403</v>
      </c>
      <c r="C712" s="244" t="s">
        <v>522</v>
      </c>
      <c r="D712" s="245" cm="1">
        <f t="array" ref="D712">-SUMPRODUCT(
  desp[data.vencimento] *
  (desp[classificacao]=$B$289) *
  (desp[centro.negocio]=$B712) *
  (desp[parcela]&gt;=D$1) *
  (desp[parcela]&lt;EOMONTH(D$1,0)+1)
)</f>
        <v>0</v>
      </c>
      <c r="E712" s="245" cm="1">
        <f t="array" ref="E712">-SUMPRODUCT(
  desp[data.vencimento] *
  (desp[classificacao]=$B$289) *
  (desp[centro.negocio]=$B712) *
  (desp[parcela]&gt;=E$1) *
  (desp[parcela]&lt;EOMONTH(E$1,0)+1)
)</f>
        <v>0</v>
      </c>
      <c r="F712" s="245" cm="1">
        <f t="array" ref="F712">-SUMPRODUCT(
  desp[data.vencimento] *
  (desp[classificacao]=$B$289) *
  (desp[centro.negocio]=$B712) *
  (desp[parcela]&gt;=F$1) *
  (desp[parcela]&lt;EOMONTH(F$1,0)+1)
)</f>
        <v>0</v>
      </c>
      <c r="G712" s="245" cm="1">
        <f t="array" ref="G712">-SUMPRODUCT(
  desp[data.vencimento] *
  (desp[classificacao]=$B$289) *
  (desp[centro.negocio]=$B712) *
  (desp[parcela]&gt;=G$1) *
  (desp[parcela]&lt;EOMONTH(G$1,0)+1)
)</f>
        <v>0</v>
      </c>
      <c r="H712" s="245" cm="1">
        <f t="array" ref="H712">-SUMPRODUCT(
  desp[data.vencimento] *
  (desp[classificacao]=$B$289) *
  (desp[centro.negocio]=$B712) *
  (desp[parcela]&gt;=H$1) *
  (desp[parcela]&lt;EOMONTH(H$1,0)+1)
)</f>
        <v>0</v>
      </c>
      <c r="I712" s="245" cm="1">
        <f t="array" ref="I712">-SUMPRODUCT(
  desp[data.vencimento] *
  (desp[classificacao]=$B$289) *
  (desp[centro.negocio]=$B712) *
  (desp[parcela]&gt;=I$1) *
  (desp[parcela]&lt;EOMONTH(I$1,0)+1)
)</f>
        <v>0</v>
      </c>
      <c r="J712" s="245" cm="1">
        <f t="array" ref="J712">-SUMPRODUCT(
  desp[data.vencimento] *
  (desp[classificacao]=$B$289) *
  (desp[centro.negocio]=$B712) *
  (desp[parcela]&gt;=J$1) *
  (desp[parcela]&lt;EOMONTH(J$1,0)+1)
)</f>
        <v>0</v>
      </c>
      <c r="K712" s="245" cm="1">
        <f t="array" ref="K712">-SUMPRODUCT(
  desp[data.vencimento] *
  (desp[classificacao]=$B$289) *
  (desp[centro.negocio]=$B712) *
  (desp[parcela]&gt;=K$1) *
  (desp[parcela]&lt;EOMONTH(K$1,0)+1)
)</f>
        <v>0</v>
      </c>
      <c r="L712" s="245" cm="1">
        <f t="array" ref="L712">-SUMPRODUCT(
  desp[data.vencimento] *
  (desp[classificacao]=$B$289) *
  (desp[centro.negocio]=$B712) *
  (desp[parcela]&gt;=L$1) *
  (desp[parcela]&lt;EOMONTH(L$1,0)+1)
)</f>
        <v>0</v>
      </c>
      <c r="M712" s="245" cm="1">
        <f t="array" ref="M712">-SUMPRODUCT(
  desp[data.vencimento] *
  (desp[classificacao]=$B$289) *
  (desp[centro.negocio]=$B712) *
  (desp[parcela]&gt;=M$1) *
  (desp[parcela]&lt;EOMONTH(M$1,0)+1)
)</f>
        <v>0</v>
      </c>
      <c r="N712" s="245" cm="1">
        <f t="array" ref="N712">-SUMPRODUCT(
  desp[data.vencimento] *
  (desp[classificacao]=$B$289) *
  (desp[centro.negocio]=$B712) *
  (desp[parcela]&gt;=N$1) *
  (desp[parcela]&lt;EOMONTH(N$1,0)+1)
)</f>
        <v>0</v>
      </c>
      <c r="O712" s="245" cm="1">
        <f t="array" ref="O712">-SUMPRODUCT(
  desp[data.vencimento] *
  (desp[classificacao]=$B$289) *
  (desp[centro.negocio]=$B712) *
  (desp[parcela]&gt;=O$1) *
  (desp[parcela]&lt;EOMONTH(O$1,0)+1)
)</f>
        <v>0</v>
      </c>
      <c r="P712" s="245" cm="1">
        <f t="array" ref="P712">-SUMPRODUCT(
  desp[data.vencimento] *
  (desp[classificacao]=$B$289) *
  (desp[centro.negocio]=$B712) *
  (desp[parcela]&gt;=P$1) *
  (desp[parcela]&lt;EOMONTH(P$1,0)+1)
)</f>
        <v>0</v>
      </c>
      <c r="Q712" s="245" cm="1">
        <f t="array" ref="Q712">-SUMPRODUCT(
  desp[data.vencimento] *
  (desp[classificacao]=$B$289) *
  (desp[centro.negocio]=$B712) *
  (desp[parcela]&gt;=Q$1) *
  (desp[parcela]&lt;EOMONTH(Q$1,0)+1)
)</f>
        <v>0</v>
      </c>
      <c r="R712" s="245" cm="1">
        <f t="array" ref="R712">-SUMPRODUCT(
  desp[data.vencimento] *
  (desp[classificacao]=$B$289) *
  (desp[centro.negocio]=$B712) *
  (desp[parcela]&gt;=R$1) *
  (desp[parcela]&lt;EOMONTH(R$1,0)+1)
)</f>
        <v>0</v>
      </c>
    </row>
    <row r="713" spans="1:18" outlineLevel="1" x14ac:dyDescent="0.25">
      <c r="A713" s="243" t="s">
        <v>690</v>
      </c>
      <c r="B713" s="243" t="s">
        <v>378</v>
      </c>
      <c r="C713" s="244" t="s">
        <v>522</v>
      </c>
      <c r="D713" s="245" cm="1">
        <f t="array" ref="D713">-SUMPRODUCT(
  desp[data.vencimento] *
  (desp[classificacao]=$B$289) *
  (desp[centro.negocio]=$B713) *
  (desp[parcela]&gt;=D$1) *
  (desp[parcela]&lt;EOMONTH(D$1,0)+1)
)</f>
        <v>0</v>
      </c>
      <c r="E713" s="245" cm="1">
        <f t="array" ref="E713">-SUMPRODUCT(
  desp[data.vencimento] *
  (desp[classificacao]=$B$289) *
  (desp[centro.negocio]=$B713) *
  (desp[parcela]&gt;=E$1) *
  (desp[parcela]&lt;EOMONTH(E$1,0)+1)
)</f>
        <v>0</v>
      </c>
      <c r="F713" s="245" cm="1">
        <f t="array" ref="F713">-SUMPRODUCT(
  desp[data.vencimento] *
  (desp[classificacao]=$B$289) *
  (desp[centro.negocio]=$B713) *
  (desp[parcela]&gt;=F$1) *
  (desp[parcela]&lt;EOMONTH(F$1,0)+1)
)</f>
        <v>0</v>
      </c>
      <c r="G713" s="245" cm="1">
        <f t="array" ref="G713">-SUMPRODUCT(
  desp[data.vencimento] *
  (desp[classificacao]=$B$289) *
  (desp[centro.negocio]=$B713) *
  (desp[parcela]&gt;=G$1) *
  (desp[parcela]&lt;EOMONTH(G$1,0)+1)
)</f>
        <v>0</v>
      </c>
      <c r="H713" s="245" cm="1">
        <f t="array" ref="H713">-SUMPRODUCT(
  desp[data.vencimento] *
  (desp[classificacao]=$B$289) *
  (desp[centro.negocio]=$B713) *
  (desp[parcela]&gt;=H$1) *
  (desp[parcela]&lt;EOMONTH(H$1,0)+1)
)</f>
        <v>0</v>
      </c>
      <c r="I713" s="245" cm="1">
        <f t="array" ref="I713">-SUMPRODUCT(
  desp[data.vencimento] *
  (desp[classificacao]=$B$289) *
  (desp[centro.negocio]=$B713) *
  (desp[parcela]&gt;=I$1) *
  (desp[parcela]&lt;EOMONTH(I$1,0)+1)
)</f>
        <v>0</v>
      </c>
      <c r="J713" s="245" cm="1">
        <f t="array" ref="J713">-SUMPRODUCT(
  desp[data.vencimento] *
  (desp[classificacao]=$B$289) *
  (desp[centro.negocio]=$B713) *
  (desp[parcela]&gt;=J$1) *
  (desp[parcela]&lt;EOMONTH(J$1,0)+1)
)</f>
        <v>0</v>
      </c>
      <c r="K713" s="245" cm="1">
        <f t="array" ref="K713">-SUMPRODUCT(
  desp[data.vencimento] *
  (desp[classificacao]=$B$289) *
  (desp[centro.negocio]=$B713) *
  (desp[parcela]&gt;=K$1) *
  (desp[parcela]&lt;EOMONTH(K$1,0)+1)
)</f>
        <v>0</v>
      </c>
      <c r="L713" s="245" cm="1">
        <f t="array" ref="L713">-SUMPRODUCT(
  desp[data.vencimento] *
  (desp[classificacao]=$B$289) *
  (desp[centro.negocio]=$B713) *
  (desp[parcela]&gt;=L$1) *
  (desp[parcela]&lt;EOMONTH(L$1,0)+1)
)</f>
        <v>0</v>
      </c>
      <c r="M713" s="245" cm="1">
        <f t="array" ref="M713">-SUMPRODUCT(
  desp[data.vencimento] *
  (desp[classificacao]=$B$289) *
  (desp[centro.negocio]=$B713) *
  (desp[parcela]&gt;=M$1) *
  (desp[parcela]&lt;EOMONTH(M$1,0)+1)
)</f>
        <v>0</v>
      </c>
      <c r="N713" s="245" cm="1">
        <f t="array" ref="N713">-SUMPRODUCT(
  desp[data.vencimento] *
  (desp[classificacao]=$B$289) *
  (desp[centro.negocio]=$B713) *
  (desp[parcela]&gt;=N$1) *
  (desp[parcela]&lt;EOMONTH(N$1,0)+1)
)</f>
        <v>0</v>
      </c>
      <c r="O713" s="245" cm="1">
        <f t="array" ref="O713">-SUMPRODUCT(
  desp[data.vencimento] *
  (desp[classificacao]=$B$289) *
  (desp[centro.negocio]=$B713) *
  (desp[parcela]&gt;=O$1) *
  (desp[parcela]&lt;EOMONTH(O$1,0)+1)
)</f>
        <v>0</v>
      </c>
      <c r="P713" s="245" cm="1">
        <f t="array" ref="P713">-SUMPRODUCT(
  desp[data.vencimento] *
  (desp[classificacao]=$B$289) *
  (desp[centro.negocio]=$B713) *
  (desp[parcela]&gt;=P$1) *
  (desp[parcela]&lt;EOMONTH(P$1,0)+1)
)</f>
        <v>0</v>
      </c>
      <c r="Q713" s="245" cm="1">
        <f t="array" ref="Q713">-SUMPRODUCT(
  desp[data.vencimento] *
  (desp[classificacao]=$B$289) *
  (desp[centro.negocio]=$B713) *
  (desp[parcela]&gt;=Q$1) *
  (desp[parcela]&lt;EOMONTH(Q$1,0)+1)
)</f>
        <v>0</v>
      </c>
      <c r="R713" s="245" cm="1">
        <f t="array" ref="R713">-SUMPRODUCT(
  desp[data.vencimento] *
  (desp[classificacao]=$B$289) *
  (desp[centro.negocio]=$B713) *
  (desp[parcela]&gt;=R$1) *
  (desp[parcela]&lt;EOMONTH(R$1,0)+1)
)</f>
        <v>0</v>
      </c>
    </row>
    <row r="714" spans="1:18" outlineLevel="1" x14ac:dyDescent="0.25">
      <c r="A714" s="243" t="s">
        <v>692</v>
      </c>
      <c r="B714" s="243" t="s">
        <v>350</v>
      </c>
      <c r="C714" s="244" t="s">
        <v>522</v>
      </c>
      <c r="D714" s="245" cm="1">
        <f t="array" ref="D714">-SUMPRODUCT(
  desp[data.vencimento] *
  (desp[classificacao] = $B$289) *
  (desp[parcela] &gt;= D$1) *
  (desp[parcela] &lt; EOMONTH(D$1,0)+1) *
  --ISNA(MATCH(desp[centro.negocio], {"NF - Mão de Obra";"Operações Financeiras/juros";"Terreno"}, 0))
)-
SUM(D$297:D$313)</f>
        <v>0</v>
      </c>
      <c r="E714" s="245" cm="1">
        <f t="array" ref="E714">-SUMPRODUCT(
  desp[data.vencimento] *
  (desp[classificacao] = $B$289) *
  (desp[parcela] &gt;= E$1) *
  (desp[parcela] &lt; EOMONTH(E$1,0)+1) *
  --ISNA(MATCH(desp[centro.negocio], {"NF - Mão de Obra";"Operações Financeiras/juros";"Terreno"}, 0))
)-
SUM(E$297:E$313)</f>
        <v>0</v>
      </c>
      <c r="F714" s="245" cm="1">
        <f t="array" ref="F714">-SUMPRODUCT(
  desp[data.vencimento] *
  (desp[classificacao] = $B$289) *
  (desp[parcela] &gt;= F$1) *
  (desp[parcela] &lt; EOMONTH(F$1,0)+1) *
  --ISNA(MATCH(desp[centro.negocio], {"NF - Mão de Obra";"Operações Financeiras/juros";"Terreno"}, 0))
)-
SUM(F$297:F$313)</f>
        <v>0</v>
      </c>
      <c r="G714" s="245" cm="1">
        <f t="array" ref="G714">-SUMPRODUCT(
  desp[data.vencimento] *
  (desp[classificacao] = $B$289) *
  (desp[parcela] &gt;= G$1) *
  (desp[parcela] &lt; EOMONTH(G$1,0)+1) *
  --ISNA(MATCH(desp[centro.negocio], {"NF - Mão de Obra";"Operações Financeiras/juros";"Terreno"}, 0))
)-
SUM(G$297:G$313)</f>
        <v>0</v>
      </c>
      <c r="H714" s="245" cm="1">
        <f t="array" ref="H714">-SUMPRODUCT(
  desp[data.vencimento] *
  (desp[classificacao] = $B$289) *
  (desp[parcela] &gt;= H$1) *
  (desp[parcela] &lt; EOMONTH(H$1,0)+1) *
  --ISNA(MATCH(desp[centro.negocio], {"NF - Mão de Obra";"Operações Financeiras/juros";"Terreno"}, 0))
)-
SUM(H$297:H$313)</f>
        <v>0</v>
      </c>
      <c r="I714" s="245" cm="1">
        <f t="array" ref="I714">-SUMPRODUCT(
  desp[data.vencimento] *
  (desp[classificacao] = $B$289) *
  (desp[parcela] &gt;= I$1) *
  (desp[parcela] &lt; EOMONTH(I$1,0)+1) *
  --ISNA(MATCH(desp[centro.negocio], {"NF - Mão de Obra";"Operações Financeiras/juros";"Terreno"}, 0))
)-
SUM(I$297:I$313)</f>
        <v>0</v>
      </c>
      <c r="J714" s="245" cm="1">
        <f t="array" ref="J714">-SUMPRODUCT(
  desp[data.vencimento] *
  (desp[classificacao] = $B$289) *
  (desp[parcela] &gt;= J$1) *
  (desp[parcela] &lt; EOMONTH(J$1,0)+1) *
  --ISNA(MATCH(desp[centro.negocio], {"NF - Mão de Obra";"Operações Financeiras/juros";"Terreno"}, 0))
)-
SUM(J$297:J$313)</f>
        <v>0</v>
      </c>
      <c r="K714" s="245" cm="1">
        <f t="array" ref="K714">-SUMPRODUCT(
  desp[data.vencimento] *
  (desp[classificacao] = $B$289) *
  (desp[parcela] &gt;= K$1) *
  (desp[parcela] &lt; EOMONTH(K$1,0)+1) *
  --ISNA(MATCH(desp[centro.negocio], {"NF - Mão de Obra";"Operações Financeiras/juros";"Terreno"}, 0))
)-
SUM(K$297:K$313)</f>
        <v>0</v>
      </c>
      <c r="L714" s="245" cm="1">
        <f t="array" ref="L714">-SUMPRODUCT(
  desp[data.vencimento] *
  (desp[classificacao] = $B$289) *
  (desp[parcela] &gt;= L$1) *
  (desp[parcela] &lt; EOMONTH(L$1,0)+1) *
  --ISNA(MATCH(desp[centro.negocio], {"NF - Mão de Obra";"Operações Financeiras/juros";"Terreno"}, 0))
)-
SUM(L$297:L$313)</f>
        <v>0</v>
      </c>
      <c r="M714" s="245" cm="1">
        <f t="array" ref="M714">-SUMPRODUCT(
  desp[data.vencimento] *
  (desp[classificacao] = $B$289) *
  (desp[parcela] &gt;= M$1) *
  (desp[parcela] &lt; EOMONTH(M$1,0)+1) *
  --ISNA(MATCH(desp[centro.negocio], {"NF - Mão de Obra";"Operações Financeiras/juros";"Terreno"}, 0))
)-
SUM(M$297:M$313)</f>
        <v>0</v>
      </c>
      <c r="N714" s="245" cm="1">
        <f t="array" ref="N714">-SUMPRODUCT(
  desp[data.vencimento] *
  (desp[classificacao] = $B$289) *
  (desp[parcela] &gt;= N$1) *
  (desp[parcela] &lt; EOMONTH(N$1,0)+1) *
  --ISNA(MATCH(desp[centro.negocio], {"NF - Mão de Obra";"Operações Financeiras/juros";"Terreno"}, 0))
)-
SUM(N$297:N$313)</f>
        <v>0</v>
      </c>
      <c r="O714" s="245" cm="1">
        <f t="array" ref="O714">-SUMPRODUCT(
  desp[data.vencimento] *
  (desp[classificacao] = $B$289) *
  (desp[parcela] &gt;= O$1) *
  (desp[parcela] &lt; EOMONTH(O$1,0)+1) *
  --ISNA(MATCH(desp[centro.negocio], {"NF - Mão de Obra";"Operações Financeiras/juros";"Terreno"}, 0))
)-
SUM(O$297:O$313)</f>
        <v>0</v>
      </c>
      <c r="P714" s="245" cm="1">
        <f t="array" ref="P714">-SUMPRODUCT(
  desp[data.vencimento] *
  (desp[classificacao] = $B$289) *
  (desp[parcela] &gt;= P$1) *
  (desp[parcela] &lt; EOMONTH(P$1,0)+1) *
  --ISNA(MATCH(desp[centro.negocio], {"NF - Mão de Obra";"Operações Financeiras/juros";"Terreno"}, 0))
)-
SUM(P$297:P$313)</f>
        <v>0</v>
      </c>
      <c r="Q714" s="245" cm="1">
        <f t="array" ref="Q714">-SUMPRODUCT(
  desp[data.vencimento] *
  (desp[classificacao] = $B$289) *
  (desp[parcela] &gt;= Q$1) *
  (desp[parcela] &lt; EOMONTH(Q$1,0)+1) *
  --ISNA(MATCH(desp[centro.negocio], {"NF - Mão de Obra";"Operações Financeiras/juros";"Terreno"}, 0))
)-
SUM(Q$297:Q$313)</f>
        <v>0</v>
      </c>
      <c r="R714" s="245" cm="1">
        <f t="array" ref="R714">-SUMPRODUCT(
  desp[data.vencimento] *
  (desp[classificacao] = $B$289) *
  (desp[parcela] &gt;= R$1) *
  (desp[parcela] &lt; EOMONTH(R$1,0)+1) *
  --ISNA(MATCH(desp[centro.negocio], {"NF - Mão de Obra";"Operações Financeiras/juros";"Terreno"}, 0))
)-
SUM(R$297:R$313)</f>
        <v>0</v>
      </c>
    </row>
    <row r="715" spans="1:18" x14ac:dyDescent="0.25">
      <c r="A715" s="236" t="s">
        <v>693</v>
      </c>
      <c r="B715" s="236" t="s">
        <v>694</v>
      </c>
      <c r="C715" s="237"/>
      <c r="D715" s="253">
        <f>D716+D719</f>
        <v>0</v>
      </c>
      <c r="E715" s="253">
        <f t="shared" ref="E715" si="1056">E716+E719</f>
        <v>0</v>
      </c>
      <c r="F715" s="253">
        <f t="shared" ref="F715" si="1057">F716+F719</f>
        <v>0</v>
      </c>
      <c r="G715" s="253">
        <f t="shared" ref="G715" si="1058">G716+G719</f>
        <v>0</v>
      </c>
      <c r="H715" s="253">
        <f t="shared" ref="H715" si="1059">H716+H719</f>
        <v>0</v>
      </c>
      <c r="I715" s="253">
        <f t="shared" ref="I715" si="1060">I716+I719</f>
        <v>0</v>
      </c>
      <c r="J715" s="253">
        <f t="shared" ref="J715" si="1061">J716+J719</f>
        <v>0</v>
      </c>
      <c r="K715" s="253">
        <f t="shared" ref="K715" si="1062">K716+K719</f>
        <v>0</v>
      </c>
      <c r="L715" s="253">
        <f t="shared" ref="L715" si="1063">L716+L719</f>
        <v>0</v>
      </c>
      <c r="M715" s="253">
        <f t="shared" ref="M715" si="1064">M716+M719</f>
        <v>0</v>
      </c>
      <c r="N715" s="253">
        <f t="shared" ref="N715" si="1065">N716+N719</f>
        <v>0</v>
      </c>
      <c r="O715" s="253">
        <f t="shared" ref="O715" si="1066">O716+O719</f>
        <v>0</v>
      </c>
      <c r="P715" s="253">
        <f t="shared" ref="P715" si="1067">P716+P719</f>
        <v>0</v>
      </c>
      <c r="Q715" s="253">
        <f t="shared" ref="Q715:R715" si="1068">Q716+Q719</f>
        <v>0</v>
      </c>
      <c r="R715" s="253">
        <f t="shared" si="1068"/>
        <v>0</v>
      </c>
    </row>
    <row r="716" spans="1:18" x14ac:dyDescent="0.25">
      <c r="A716" s="240" t="s">
        <v>695</v>
      </c>
      <c r="B716" s="240" t="s">
        <v>696</v>
      </c>
      <c r="C716" s="241"/>
      <c r="D716" s="242">
        <f>SUM(D717:D718)</f>
        <v>0</v>
      </c>
      <c r="E716" s="242">
        <f t="shared" ref="E716" si="1069">SUM(E717:E718)</f>
        <v>0</v>
      </c>
      <c r="F716" s="242">
        <f t="shared" ref="F716" si="1070">SUM(F717:F718)</f>
        <v>0</v>
      </c>
      <c r="G716" s="242">
        <f t="shared" ref="G716" si="1071">SUM(G717:G718)</f>
        <v>0</v>
      </c>
      <c r="H716" s="242">
        <f t="shared" ref="H716" si="1072">SUM(H717:H718)</f>
        <v>0</v>
      </c>
      <c r="I716" s="242">
        <f t="shared" ref="I716" si="1073">SUM(I717:I718)</f>
        <v>0</v>
      </c>
      <c r="J716" s="242">
        <f t="shared" ref="J716" si="1074">SUM(J717:J718)</f>
        <v>0</v>
      </c>
      <c r="K716" s="242">
        <f t="shared" ref="K716" si="1075">SUM(K717:K718)</f>
        <v>0</v>
      </c>
      <c r="L716" s="242">
        <f t="shared" ref="L716" si="1076">SUM(L717:L718)</f>
        <v>0</v>
      </c>
      <c r="M716" s="242">
        <f t="shared" ref="M716" si="1077">SUM(M717:M718)</f>
        <v>0</v>
      </c>
      <c r="N716" s="242">
        <f t="shared" ref="N716" si="1078">SUM(N717:N718)</f>
        <v>0</v>
      </c>
      <c r="O716" s="242">
        <f t="shared" ref="O716" si="1079">SUM(O717:O718)</f>
        <v>0</v>
      </c>
      <c r="P716" s="242">
        <f t="shared" ref="P716" si="1080">SUM(P717:P718)</f>
        <v>0</v>
      </c>
      <c r="Q716" s="242">
        <f t="shared" ref="Q716:R716" si="1081">SUM(Q717:Q718)</f>
        <v>0</v>
      </c>
      <c r="R716" s="242">
        <f t="shared" si="1081"/>
        <v>0</v>
      </c>
    </row>
    <row r="717" spans="1:18" outlineLevel="1" x14ac:dyDescent="0.25">
      <c r="A717" s="243" t="s">
        <v>697</v>
      </c>
      <c r="B717" s="254" t="s">
        <v>698</v>
      </c>
      <c r="C717" s="193"/>
      <c r="D717" s="247"/>
      <c r="E717" s="247"/>
      <c r="F717" s="247"/>
      <c r="G717" s="247"/>
      <c r="H717" s="247"/>
      <c r="I717" s="247"/>
      <c r="J717" s="247"/>
      <c r="K717" s="247"/>
      <c r="L717" s="247"/>
      <c r="M717" s="247"/>
      <c r="N717" s="247"/>
      <c r="O717" s="247"/>
      <c r="P717" s="247"/>
      <c r="Q717" s="247"/>
      <c r="R717" s="247"/>
    </row>
    <row r="718" spans="1:18" outlineLevel="1" x14ac:dyDescent="0.25">
      <c r="A718" s="243" t="s">
        <v>699</v>
      </c>
      <c r="B718" s="254" t="s">
        <v>700</v>
      </c>
      <c r="C718" s="193"/>
      <c r="D718" s="247"/>
      <c r="E718" s="247"/>
      <c r="F718" s="247"/>
      <c r="G718" s="247"/>
      <c r="H718" s="247"/>
      <c r="I718" s="247"/>
      <c r="J718" s="247"/>
      <c r="K718" s="247"/>
      <c r="L718" s="247"/>
      <c r="M718" s="247"/>
      <c r="N718" s="247"/>
      <c r="O718" s="247"/>
      <c r="P718" s="247"/>
      <c r="Q718" s="247"/>
      <c r="R718" s="247"/>
    </row>
    <row r="719" spans="1:18" x14ac:dyDescent="0.25">
      <c r="A719" s="249" t="s">
        <v>701</v>
      </c>
      <c r="B719" s="249" t="s">
        <v>702</v>
      </c>
      <c r="C719" s="255"/>
      <c r="D719" s="256">
        <f>SUM(D720:D722)</f>
        <v>0</v>
      </c>
      <c r="E719" s="256">
        <f t="shared" ref="E719" si="1082">SUM(E720:E722)</f>
        <v>0</v>
      </c>
      <c r="F719" s="256">
        <f t="shared" ref="F719" si="1083">SUM(F720:F722)</f>
        <v>0</v>
      </c>
      <c r="G719" s="256">
        <f t="shared" ref="G719" si="1084">SUM(G720:G722)</f>
        <v>0</v>
      </c>
      <c r="H719" s="256">
        <f t="shared" ref="H719" si="1085">SUM(H720:H722)</f>
        <v>0</v>
      </c>
      <c r="I719" s="256">
        <f t="shared" ref="I719" si="1086">SUM(I720:I722)</f>
        <v>0</v>
      </c>
      <c r="J719" s="256">
        <f t="shared" ref="J719" si="1087">SUM(J720:J722)</f>
        <v>0</v>
      </c>
      <c r="K719" s="256">
        <f t="shared" ref="K719" si="1088">SUM(K720:K722)</f>
        <v>0</v>
      </c>
      <c r="L719" s="256">
        <f t="shared" ref="L719" si="1089">SUM(L720:L722)</f>
        <v>0</v>
      </c>
      <c r="M719" s="256">
        <f t="shared" ref="M719" si="1090">SUM(M720:M722)</f>
        <v>0</v>
      </c>
      <c r="N719" s="256">
        <f t="shared" ref="N719" si="1091">SUM(N720:N722)</f>
        <v>0</v>
      </c>
      <c r="O719" s="256">
        <f t="shared" ref="O719" si="1092">SUM(O720:O722)</f>
        <v>0</v>
      </c>
      <c r="P719" s="256">
        <f t="shared" ref="P719" si="1093">SUM(P720:P722)</f>
        <v>0</v>
      </c>
      <c r="Q719" s="256">
        <f t="shared" ref="Q719:R719" si="1094">SUM(Q720:Q722)</f>
        <v>0</v>
      </c>
      <c r="R719" s="256">
        <f t="shared" si="1094"/>
        <v>0</v>
      </c>
    </row>
    <row r="720" spans="1:18" outlineLevel="1" x14ac:dyDescent="0.25">
      <c r="A720" s="243" t="s">
        <v>703</v>
      </c>
      <c r="B720" s="243" t="s">
        <v>407</v>
      </c>
      <c r="C720" s="244" t="s">
        <v>522</v>
      </c>
      <c r="D720" s="245" cm="1">
        <f t="array" ref="D720">-SUMPRODUCT(
  desp[data.vencimento] *
  (desp[classificacao]=$B$289) *
  (desp[centro.negocio]=$B720) *
  (desp[parcela]&gt;=D$1) *
  (desp[parcela]&lt;EOMONTH(D$1,0)+1)
)</f>
        <v>0</v>
      </c>
      <c r="E720" s="245" cm="1">
        <f t="array" ref="E720">-SUMPRODUCT(
  desp[data.vencimento] *
  (desp[classificacao]=$B$289) *
  (desp[centro.negocio]=$B720) *
  (desp[parcela]&gt;=E$1) *
  (desp[parcela]&lt;EOMONTH(E$1,0)+1)
)</f>
        <v>0</v>
      </c>
      <c r="F720" s="245" cm="1">
        <f t="array" ref="F720">-SUMPRODUCT(
  desp[data.vencimento] *
  (desp[classificacao]=$B$289) *
  (desp[centro.negocio]=$B720) *
  (desp[parcela]&gt;=F$1) *
  (desp[parcela]&lt;EOMONTH(F$1,0)+1)
)</f>
        <v>0</v>
      </c>
      <c r="G720" s="245" cm="1">
        <f t="array" ref="G720">-SUMPRODUCT(
  desp[data.vencimento] *
  (desp[classificacao]=$B$289) *
  (desp[centro.negocio]=$B720) *
  (desp[parcela]&gt;=G$1) *
  (desp[parcela]&lt;EOMONTH(G$1,0)+1)
)</f>
        <v>0</v>
      </c>
      <c r="H720" s="245" cm="1">
        <f t="array" ref="H720">-SUMPRODUCT(
  desp[data.vencimento] *
  (desp[classificacao]=$B$289) *
  (desp[centro.negocio]=$B720) *
  (desp[parcela]&gt;=H$1) *
  (desp[parcela]&lt;EOMONTH(H$1,0)+1)
)</f>
        <v>0</v>
      </c>
      <c r="I720" s="245" cm="1">
        <f t="array" ref="I720">-SUMPRODUCT(
  desp[data.vencimento] *
  (desp[classificacao]=$B$289) *
  (desp[centro.negocio]=$B720) *
  (desp[parcela]&gt;=I$1) *
  (desp[parcela]&lt;EOMONTH(I$1,0)+1)
)</f>
        <v>0</v>
      </c>
      <c r="J720" s="245" cm="1">
        <f t="array" ref="J720">-SUMPRODUCT(
  desp[data.vencimento] *
  (desp[classificacao]=$B$289) *
  (desp[centro.negocio]=$B720) *
  (desp[parcela]&gt;=J$1) *
  (desp[parcela]&lt;EOMONTH(J$1,0)+1)
)</f>
        <v>0</v>
      </c>
      <c r="K720" s="245" cm="1">
        <f t="array" ref="K720">-SUMPRODUCT(
  desp[data.vencimento] *
  (desp[classificacao]=$B$289) *
  (desp[centro.negocio]=$B720) *
  (desp[parcela]&gt;=K$1) *
  (desp[parcela]&lt;EOMONTH(K$1,0)+1)
)</f>
        <v>0</v>
      </c>
      <c r="L720" s="245" cm="1">
        <f t="array" ref="L720">-SUMPRODUCT(
  desp[data.vencimento] *
  (desp[classificacao]=$B$289) *
  (desp[centro.negocio]=$B720) *
  (desp[parcela]&gt;=L$1) *
  (desp[parcela]&lt;EOMONTH(L$1,0)+1)
)</f>
        <v>0</v>
      </c>
      <c r="M720" s="245" cm="1">
        <f t="array" ref="M720">-SUMPRODUCT(
  desp[data.vencimento] *
  (desp[classificacao]=$B$289) *
  (desp[centro.negocio]=$B720) *
  (desp[parcela]&gt;=M$1) *
  (desp[parcela]&lt;EOMONTH(M$1,0)+1)
)</f>
        <v>0</v>
      </c>
      <c r="N720" s="245" cm="1">
        <f t="array" ref="N720">-SUMPRODUCT(
  desp[data.vencimento] *
  (desp[classificacao]=$B$289) *
  (desp[centro.negocio]=$B720) *
  (desp[parcela]&gt;=N$1) *
  (desp[parcela]&lt;EOMONTH(N$1,0)+1)
)</f>
        <v>0</v>
      </c>
      <c r="O720" s="245" cm="1">
        <f t="array" ref="O720">-SUMPRODUCT(
  desp[data.vencimento] *
  (desp[classificacao]=$B$289) *
  (desp[centro.negocio]=$B720) *
  (desp[parcela]&gt;=O$1) *
  (desp[parcela]&lt;EOMONTH(O$1,0)+1)
)</f>
        <v>0</v>
      </c>
      <c r="P720" s="245" cm="1">
        <f t="array" ref="P720">-SUMPRODUCT(
  desp[data.vencimento] *
  (desp[classificacao]=$B$289) *
  (desp[centro.negocio]=$B720) *
  (desp[parcela]&gt;=P$1) *
  (desp[parcela]&lt;EOMONTH(P$1,0)+1)
)</f>
        <v>0</v>
      </c>
      <c r="Q720" s="245" cm="1">
        <f t="array" ref="Q720">-SUMPRODUCT(
  desp[data.vencimento] *
  (desp[classificacao]=$B$289) *
  (desp[centro.negocio]=$B720) *
  (desp[parcela]&gt;=Q$1) *
  (desp[parcela]&lt;EOMONTH(Q$1,0)+1)
)</f>
        <v>0</v>
      </c>
      <c r="R720" s="245" cm="1">
        <f t="array" ref="R720">-SUMPRODUCT(
  desp[data.vencimento] *
  (desp[classificacao]=$B$289) *
  (desp[centro.negocio]=$B720) *
  (desp[parcela]&gt;=R$1) *
  (desp[parcela]&lt;EOMONTH(R$1,0)+1)
)</f>
        <v>0</v>
      </c>
    </row>
    <row r="721" spans="1:18" outlineLevel="1" x14ac:dyDescent="0.25">
      <c r="A721" s="243" t="s">
        <v>719</v>
      </c>
      <c r="B721" s="254" t="s">
        <v>720</v>
      </c>
      <c r="C721" s="193"/>
      <c r="D721" s="247"/>
      <c r="E721" s="247"/>
      <c r="F721" s="247"/>
      <c r="G721" s="247"/>
      <c r="H721" s="247"/>
      <c r="I721" s="247"/>
      <c r="J721" s="247"/>
      <c r="K721" s="247"/>
      <c r="L721" s="247"/>
      <c r="M721" s="247"/>
      <c r="N721" s="247"/>
      <c r="O721" s="247"/>
      <c r="P721" s="247"/>
      <c r="Q721" s="247"/>
      <c r="R721" s="247"/>
    </row>
    <row r="722" spans="1:18" outlineLevel="1" x14ac:dyDescent="0.25">
      <c r="A722" s="243" t="s">
        <v>721</v>
      </c>
      <c r="B722" s="254" t="s">
        <v>722</v>
      </c>
      <c r="C722" s="193"/>
      <c r="D722" s="247"/>
      <c r="E722" s="247"/>
      <c r="F722" s="247"/>
      <c r="G722" s="247"/>
      <c r="H722" s="247"/>
      <c r="I722" s="247"/>
      <c r="J722" s="247"/>
      <c r="K722" s="247"/>
      <c r="L722" s="247"/>
      <c r="M722" s="247"/>
      <c r="N722" s="247"/>
      <c r="O722" s="247"/>
      <c r="P722" s="247"/>
      <c r="Q722" s="247"/>
      <c r="R722" s="247"/>
    </row>
    <row r="723" spans="1:18" x14ac:dyDescent="0.25">
      <c r="A723" s="236" t="s">
        <v>723</v>
      </c>
      <c r="B723" s="236" t="s">
        <v>724</v>
      </c>
      <c r="C723" s="237"/>
      <c r="D723" s="238">
        <f>D724+D729</f>
        <v>489068.85</v>
      </c>
      <c r="E723" s="238">
        <f t="shared" ref="E723" si="1095">E724+E729</f>
        <v>0</v>
      </c>
      <c r="F723" s="238">
        <f t="shared" ref="F723" si="1096">F724+F729</f>
        <v>385006.39</v>
      </c>
      <c r="G723" s="238">
        <f t="shared" ref="G723" si="1097">G724+G729</f>
        <v>223853.73</v>
      </c>
      <c r="H723" s="238">
        <f t="shared" ref="H723" si="1098">H724+H729</f>
        <v>134752.4</v>
      </c>
      <c r="I723" s="238">
        <f t="shared" ref="I723" si="1099">I724+I729</f>
        <v>289304.8</v>
      </c>
      <c r="J723" s="238">
        <f t="shared" ref="J723" si="1100">J724+J729</f>
        <v>171602.91</v>
      </c>
      <c r="K723" s="238">
        <f t="shared" ref="K723" si="1101">K724+K729</f>
        <v>366306.04</v>
      </c>
      <c r="L723" s="238">
        <f t="shared" ref="L723" si="1102">L724+L729</f>
        <v>181081.21</v>
      </c>
      <c r="M723" s="238">
        <f t="shared" ref="M723" si="1103">M724+M729</f>
        <v>266613.7</v>
      </c>
      <c r="N723" s="238">
        <f t="shared" ref="N723" si="1104">N724+N729</f>
        <v>230479.34</v>
      </c>
      <c r="O723" s="238">
        <f t="shared" ref="O723" si="1105">O724+O729</f>
        <v>471701.2</v>
      </c>
      <c r="P723" s="238">
        <f t="shared" ref="P723" si="1106">P724+P729</f>
        <v>0</v>
      </c>
      <c r="Q723" s="238">
        <f t="shared" ref="Q723:R723" si="1107">Q724+Q729</f>
        <v>46792.36</v>
      </c>
      <c r="R723" s="238">
        <f t="shared" si="1107"/>
        <v>0</v>
      </c>
    </row>
    <row r="724" spans="1:18" x14ac:dyDescent="0.25">
      <c r="A724" s="240" t="s">
        <v>725</v>
      </c>
      <c r="B724" s="240" t="s">
        <v>726</v>
      </c>
      <c r="C724" s="241"/>
      <c r="D724" s="242">
        <f>D725+D728</f>
        <v>489068.85</v>
      </c>
      <c r="E724" s="242">
        <f t="shared" ref="E724" si="1108">E725+E728</f>
        <v>0</v>
      </c>
      <c r="F724" s="242">
        <f t="shared" ref="F724" si="1109">F725+F728</f>
        <v>385006.39</v>
      </c>
      <c r="G724" s="242">
        <f t="shared" ref="G724" si="1110">G725+G728</f>
        <v>223853.73</v>
      </c>
      <c r="H724" s="242">
        <f t="shared" ref="H724" si="1111">H725+H728</f>
        <v>134752.4</v>
      </c>
      <c r="I724" s="242">
        <f t="shared" ref="I724" si="1112">I725+I728</f>
        <v>289304.8</v>
      </c>
      <c r="J724" s="242">
        <f t="shared" ref="J724" si="1113">J725+J728</f>
        <v>171602.91</v>
      </c>
      <c r="K724" s="242">
        <f t="shared" ref="K724" si="1114">K725+K728</f>
        <v>366306.04</v>
      </c>
      <c r="L724" s="242">
        <f t="shared" ref="L724" si="1115">L725+L728</f>
        <v>181081.21</v>
      </c>
      <c r="M724" s="242">
        <f t="shared" ref="M724" si="1116">M725+M728</f>
        <v>266613.7</v>
      </c>
      <c r="N724" s="242">
        <f t="shared" ref="N724" si="1117">N725+N728</f>
        <v>230479.34</v>
      </c>
      <c r="O724" s="242">
        <f t="shared" ref="O724" si="1118">O725+O728</f>
        <v>471701.2</v>
      </c>
      <c r="P724" s="242">
        <f t="shared" ref="P724" si="1119">P725+P728</f>
        <v>0</v>
      </c>
      <c r="Q724" s="242">
        <f t="shared" ref="Q724:R724" si="1120">Q725+Q728</f>
        <v>46792.36</v>
      </c>
      <c r="R724" s="242">
        <f t="shared" si="1120"/>
        <v>0</v>
      </c>
    </row>
    <row r="725" spans="1:18" outlineLevel="1" x14ac:dyDescent="0.25">
      <c r="A725" s="243" t="s">
        <v>727</v>
      </c>
      <c r="B725" s="243" t="s">
        <v>728</v>
      </c>
      <c r="C725" s="244" t="s">
        <v>729</v>
      </c>
      <c r="D725" s="245">
        <f>SUM(D726:D727)</f>
        <v>489068.85</v>
      </c>
      <c r="E725" s="245">
        <f t="shared" ref="E725" si="1121">SUM(E726:E727)</f>
        <v>0</v>
      </c>
      <c r="F725" s="245">
        <f t="shared" ref="F725" si="1122">SUM(F726:F727)</f>
        <v>385006.39</v>
      </c>
      <c r="G725" s="245">
        <f t="shared" ref="G725" si="1123">SUM(G726:G727)</f>
        <v>223853.73</v>
      </c>
      <c r="H725" s="245">
        <f t="shared" ref="H725" si="1124">SUM(H726:H727)</f>
        <v>134752.4</v>
      </c>
      <c r="I725" s="245">
        <f t="shared" ref="I725" si="1125">SUM(I726:I727)</f>
        <v>289304.8</v>
      </c>
      <c r="J725" s="245">
        <f t="shared" ref="J725" si="1126">SUM(J726:J727)</f>
        <v>171602.91</v>
      </c>
      <c r="K725" s="245">
        <f t="shared" ref="K725" si="1127">SUM(K726:K727)</f>
        <v>366306.04</v>
      </c>
      <c r="L725" s="245">
        <f t="shared" ref="L725" si="1128">SUM(L726:L727)</f>
        <v>181081.21</v>
      </c>
      <c r="M725" s="245">
        <f t="shared" ref="M725" si="1129">SUM(M726:M727)</f>
        <v>266613.7</v>
      </c>
      <c r="N725" s="245">
        <f t="shared" ref="N725" si="1130">SUM(N726:N727)</f>
        <v>230479.34</v>
      </c>
      <c r="O725" s="245">
        <f t="shared" ref="O725" si="1131">SUM(O726:O727)</f>
        <v>471701.2</v>
      </c>
      <c r="P725" s="245">
        <f t="shared" ref="P725" si="1132">SUM(P726:P727)</f>
        <v>0</v>
      </c>
      <c r="Q725" s="245">
        <f t="shared" ref="Q725:R725" si="1133">SUM(Q726:Q727)</f>
        <v>46792.36</v>
      </c>
      <c r="R725" s="245">
        <f t="shared" si="1133"/>
        <v>0</v>
      </c>
    </row>
    <row r="726" spans="1:18" outlineLevel="2" x14ac:dyDescent="0.25">
      <c r="A726" s="258" t="s">
        <v>730</v>
      </c>
      <c r="B726" s="258" t="s">
        <v>731</v>
      </c>
      <c r="C726" s="244"/>
      <c r="D726" s="245" cm="1">
        <f t="array" ref="D726:Q726">TRANSPOSE(inputs!F$51:F$64)</f>
        <v>489068.85</v>
      </c>
      <c r="E726" s="245">
        <v>0</v>
      </c>
      <c r="F726" s="245">
        <v>385006.39</v>
      </c>
      <c r="G726" s="245">
        <v>223853.73</v>
      </c>
      <c r="H726" s="245">
        <v>134752.4</v>
      </c>
      <c r="I726" s="245">
        <v>289304.8</v>
      </c>
      <c r="J726" s="245">
        <v>171602.91</v>
      </c>
      <c r="K726" s="245">
        <v>366306.04</v>
      </c>
      <c r="L726" s="245">
        <v>181081.21</v>
      </c>
      <c r="M726" s="245">
        <v>266613.7</v>
      </c>
      <c r="N726" s="245">
        <v>230479.34</v>
      </c>
      <c r="O726" s="245">
        <v>471701.2</v>
      </c>
      <c r="P726" s="245">
        <v>0</v>
      </c>
      <c r="Q726" s="245">
        <v>46792.36</v>
      </c>
      <c r="R726" s="245"/>
    </row>
    <row r="727" spans="1:18" outlineLevel="2" x14ac:dyDescent="0.25">
      <c r="A727" s="258" t="s">
        <v>736</v>
      </c>
      <c r="B727" s="258" t="s">
        <v>350</v>
      </c>
      <c r="C727" s="244" t="s">
        <v>737</v>
      </c>
      <c r="D727" s="302"/>
      <c r="E727" s="302"/>
      <c r="F727" s="302"/>
      <c r="G727" s="302"/>
      <c r="H727" s="302"/>
      <c r="I727" s="302"/>
      <c r="J727" s="302"/>
      <c r="K727" s="302"/>
      <c r="L727" s="302"/>
      <c r="M727" s="302"/>
      <c r="N727" s="302"/>
      <c r="O727" s="302"/>
      <c r="P727" s="302"/>
      <c r="Q727" s="302"/>
      <c r="R727" s="302"/>
    </row>
    <row r="728" spans="1:18" outlineLevel="1" x14ac:dyDescent="0.25">
      <c r="A728" s="243" t="s">
        <v>751</v>
      </c>
      <c r="B728" s="254" t="s">
        <v>752</v>
      </c>
      <c r="C728" s="244" t="s">
        <v>522</v>
      </c>
      <c r="D728" s="245"/>
      <c r="E728" s="245"/>
      <c r="F728" s="245"/>
      <c r="G728" s="245"/>
      <c r="H728" s="245"/>
      <c r="I728" s="245"/>
      <c r="J728" s="245"/>
      <c r="K728" s="245"/>
      <c r="L728" s="245"/>
      <c r="M728" s="245"/>
      <c r="N728" s="245"/>
      <c r="O728" s="245"/>
      <c r="P728" s="245"/>
      <c r="Q728" s="245"/>
      <c r="R728" s="245"/>
    </row>
    <row r="729" spans="1:18" x14ac:dyDescent="0.25">
      <c r="A729" s="249" t="s">
        <v>753</v>
      </c>
      <c r="B729" s="249" t="s">
        <v>754</v>
      </c>
      <c r="C729" s="255"/>
      <c r="D729" s="256">
        <f>SUM(D730:D731)</f>
        <v>0</v>
      </c>
      <c r="E729" s="256">
        <f t="shared" ref="E729" si="1134">SUM(E730:E731)</f>
        <v>0</v>
      </c>
      <c r="F729" s="256">
        <f t="shared" ref="F729" si="1135">SUM(F730:F731)</f>
        <v>0</v>
      </c>
      <c r="G729" s="256">
        <f t="shared" ref="G729" si="1136">SUM(G730:G731)</f>
        <v>0</v>
      </c>
      <c r="H729" s="256">
        <f t="shared" ref="H729" si="1137">SUM(H730:H731)</f>
        <v>0</v>
      </c>
      <c r="I729" s="256">
        <f t="shared" ref="I729" si="1138">SUM(I730:I731)</f>
        <v>0</v>
      </c>
      <c r="J729" s="256">
        <f t="shared" ref="J729" si="1139">SUM(J730:J731)</f>
        <v>0</v>
      </c>
      <c r="K729" s="256">
        <f t="shared" ref="K729" si="1140">SUM(K730:K731)</f>
        <v>0</v>
      </c>
      <c r="L729" s="256">
        <f t="shared" ref="L729" si="1141">SUM(L730:L731)</f>
        <v>0</v>
      </c>
      <c r="M729" s="256">
        <f t="shared" ref="M729" si="1142">SUM(M730:M731)</f>
        <v>0</v>
      </c>
      <c r="N729" s="256">
        <f t="shared" ref="N729" si="1143">SUM(N730:N731)</f>
        <v>0</v>
      </c>
      <c r="O729" s="256">
        <f t="shared" ref="O729" si="1144">SUM(O730:O731)</f>
        <v>0</v>
      </c>
      <c r="P729" s="256">
        <f t="shared" ref="P729" si="1145">SUM(P730:P731)</f>
        <v>0</v>
      </c>
      <c r="Q729" s="256">
        <f t="shared" ref="Q729:R729" si="1146">SUM(Q730:Q731)</f>
        <v>0</v>
      </c>
      <c r="R729" s="256">
        <f t="shared" si="1146"/>
        <v>0</v>
      </c>
    </row>
    <row r="730" spans="1:18" outlineLevel="1" x14ac:dyDescent="0.25">
      <c r="A730" s="243" t="s">
        <v>755</v>
      </c>
      <c r="B730" s="248" t="s">
        <v>396</v>
      </c>
      <c r="C730" s="244" t="s">
        <v>522</v>
      </c>
      <c r="D730" s="245" cm="1">
        <f t="array" ref="D730">-SUMPRODUCT(
  desp[data.vencimento] *
  (desp[classificacao]=$B$289) *
  (desp[centro.negocio]=$B730) *
  (desp[parcela]&gt;=D$1) *
  (desp[parcela]&lt;EOMONTH(D$1,0)+1)
)</f>
        <v>0</v>
      </c>
      <c r="E730" s="245" cm="1">
        <f t="array" ref="E730">-SUMPRODUCT(
  desp[data.vencimento] *
  (desp[classificacao]=$B$289) *
  (desp[centro.negocio]=$B730) *
  (desp[parcela]&gt;=E$1) *
  (desp[parcela]&lt;EOMONTH(E$1,0)+1)
)</f>
        <v>0</v>
      </c>
      <c r="F730" s="245" cm="1">
        <f t="array" ref="F730">-SUMPRODUCT(
  desp[data.vencimento] *
  (desp[classificacao]=$B$289) *
  (desp[centro.negocio]=$B730) *
  (desp[parcela]&gt;=F$1) *
  (desp[parcela]&lt;EOMONTH(F$1,0)+1)
)</f>
        <v>0</v>
      </c>
      <c r="G730" s="245" cm="1">
        <f t="array" ref="G730">-SUMPRODUCT(
  desp[data.vencimento] *
  (desp[classificacao]=$B$289) *
  (desp[centro.negocio]=$B730) *
  (desp[parcela]&gt;=G$1) *
  (desp[parcela]&lt;EOMONTH(G$1,0)+1)
)</f>
        <v>0</v>
      </c>
      <c r="H730" s="245" cm="1">
        <f t="array" ref="H730">-SUMPRODUCT(
  desp[data.vencimento] *
  (desp[classificacao]=$B$289) *
  (desp[centro.negocio]=$B730) *
  (desp[parcela]&gt;=H$1) *
  (desp[parcela]&lt;EOMONTH(H$1,0)+1)
)</f>
        <v>0</v>
      </c>
      <c r="I730" s="245" cm="1">
        <f t="array" ref="I730">-SUMPRODUCT(
  desp[data.vencimento] *
  (desp[classificacao]=$B$289) *
  (desp[centro.negocio]=$B730) *
  (desp[parcela]&gt;=I$1) *
  (desp[parcela]&lt;EOMONTH(I$1,0)+1)
)</f>
        <v>0</v>
      </c>
      <c r="J730" s="245" cm="1">
        <f t="array" ref="J730">-SUMPRODUCT(
  desp[data.vencimento] *
  (desp[classificacao]=$B$289) *
  (desp[centro.negocio]=$B730) *
  (desp[parcela]&gt;=J$1) *
  (desp[parcela]&lt;EOMONTH(J$1,0)+1)
)</f>
        <v>0</v>
      </c>
      <c r="K730" s="245" cm="1">
        <f t="array" ref="K730">-SUMPRODUCT(
  desp[data.vencimento] *
  (desp[classificacao]=$B$289) *
  (desp[centro.negocio]=$B730) *
  (desp[parcela]&gt;=K$1) *
  (desp[parcela]&lt;EOMONTH(K$1,0)+1)
)</f>
        <v>0</v>
      </c>
      <c r="L730" s="245" cm="1">
        <f t="array" ref="L730">-SUMPRODUCT(
  desp[data.vencimento] *
  (desp[classificacao]=$B$289) *
  (desp[centro.negocio]=$B730) *
  (desp[parcela]&gt;=L$1) *
  (desp[parcela]&lt;EOMONTH(L$1,0)+1)
)</f>
        <v>0</v>
      </c>
      <c r="M730" s="245" cm="1">
        <f t="array" ref="M730">-SUMPRODUCT(
  desp[data.vencimento] *
  (desp[classificacao]=$B$289) *
  (desp[centro.negocio]=$B730) *
  (desp[parcela]&gt;=M$1) *
  (desp[parcela]&lt;EOMONTH(M$1,0)+1)
)</f>
        <v>0</v>
      </c>
      <c r="N730" s="245" cm="1">
        <f t="array" ref="N730">-SUMPRODUCT(
  desp[data.vencimento] *
  (desp[classificacao]=$B$289) *
  (desp[centro.negocio]=$B730) *
  (desp[parcela]&gt;=N$1) *
  (desp[parcela]&lt;EOMONTH(N$1,0)+1)
)</f>
        <v>0</v>
      </c>
      <c r="O730" s="245" cm="1">
        <f t="array" ref="O730">-SUMPRODUCT(
  desp[data.vencimento] *
  (desp[classificacao]=$B$289) *
  (desp[centro.negocio]=$B730) *
  (desp[parcela]&gt;=O$1) *
  (desp[parcela]&lt;EOMONTH(O$1,0)+1)
)</f>
        <v>0</v>
      </c>
      <c r="P730" s="245" cm="1">
        <f t="array" ref="P730">-SUMPRODUCT(
  desp[data.vencimento] *
  (desp[classificacao]=$B$289) *
  (desp[centro.negocio]=$B730) *
  (desp[parcela]&gt;=P$1) *
  (desp[parcela]&lt;EOMONTH(P$1,0)+1)
)</f>
        <v>0</v>
      </c>
      <c r="Q730" s="245" cm="1">
        <f t="array" ref="Q730">-SUMPRODUCT(
  desp[data.vencimento] *
  (desp[classificacao]=$B$289) *
  (desp[centro.negocio]=$B730) *
  (desp[parcela]&gt;=Q$1) *
  (desp[parcela]&lt;EOMONTH(Q$1,0)+1)
)</f>
        <v>0</v>
      </c>
      <c r="R730" s="245" cm="1">
        <f t="array" ref="R730">-SUMPRODUCT(
  desp[data.vencimento] *
  (desp[classificacao]=$B$289) *
  (desp[centro.negocio]=$B730) *
  (desp[parcela]&gt;=R$1) *
  (desp[parcela]&lt;EOMONTH(R$1,0)+1)
)</f>
        <v>0</v>
      </c>
    </row>
    <row r="731" spans="1:18" outlineLevel="1" x14ac:dyDescent="0.25">
      <c r="A731" s="243" t="s">
        <v>773</v>
      </c>
      <c r="B731" s="254" t="s">
        <v>774</v>
      </c>
      <c r="C731" s="193"/>
      <c r="D731" s="247"/>
      <c r="E731" s="247"/>
      <c r="F731" s="247"/>
      <c r="G731" s="247"/>
      <c r="H731" s="247"/>
      <c r="I731" s="247"/>
      <c r="J731" s="247"/>
      <c r="K731" s="247"/>
      <c r="L731" s="247"/>
      <c r="M731" s="247"/>
      <c r="N731" s="247"/>
      <c r="O731" s="247"/>
      <c r="P731" s="247"/>
      <c r="Q731" s="247"/>
      <c r="R731" s="247"/>
    </row>
    <row r="732" spans="1:18" x14ac:dyDescent="0.25">
      <c r="A732" s="233"/>
      <c r="B732" s="233" t="s">
        <v>775</v>
      </c>
      <c r="C732" s="260"/>
      <c r="D732" s="261">
        <f ca="1">D690+D715+D723</f>
        <v>489068.85</v>
      </c>
      <c r="E732" s="261">
        <f t="shared" ref="E732:R732" ca="1" si="1147">E690+E715+E723</f>
        <v>0</v>
      </c>
      <c r="F732" s="261">
        <f t="shared" ca="1" si="1147"/>
        <v>385006.39</v>
      </c>
      <c r="G732" s="261">
        <f t="shared" ca="1" si="1147"/>
        <v>223853.73</v>
      </c>
      <c r="H732" s="261">
        <f t="shared" ca="1" si="1147"/>
        <v>134752.4</v>
      </c>
      <c r="I732" s="261">
        <f t="shared" ca="1" si="1147"/>
        <v>289304.8</v>
      </c>
      <c r="J732" s="261">
        <f t="shared" ca="1" si="1147"/>
        <v>171602.91</v>
      </c>
      <c r="K732" s="261">
        <f t="shared" ca="1" si="1147"/>
        <v>366306.04</v>
      </c>
      <c r="L732" s="261">
        <f t="shared" ca="1" si="1147"/>
        <v>181081.21</v>
      </c>
      <c r="M732" s="261">
        <f t="shared" ca="1" si="1147"/>
        <v>266613.7</v>
      </c>
      <c r="N732" s="261">
        <f t="shared" ca="1" si="1147"/>
        <v>230479.34</v>
      </c>
      <c r="O732" s="261">
        <f t="shared" ca="1" si="1147"/>
        <v>471701.2</v>
      </c>
      <c r="P732" s="261">
        <f t="shared" ca="1" si="1147"/>
        <v>0</v>
      </c>
      <c r="Q732" s="261">
        <f t="shared" ref="Q732" ca="1" si="1148">Q690+Q715+Q723</f>
        <v>46792.36</v>
      </c>
      <c r="R732" s="261">
        <f t="shared" ca="1" si="1147"/>
        <v>0</v>
      </c>
    </row>
    <row r="733" spans="1:18" x14ac:dyDescent="0.25">
      <c r="A733" s="305"/>
      <c r="B733" s="305" t="s">
        <v>776</v>
      </c>
      <c r="C733" s="306"/>
      <c r="D733" s="238"/>
      <c r="E733" s="238"/>
      <c r="F733" s="238"/>
      <c r="G733" s="238"/>
      <c r="H733" s="238"/>
      <c r="I733" s="238"/>
      <c r="J733" s="238"/>
      <c r="K733" s="238"/>
      <c r="L733" s="238"/>
      <c r="M733" s="238"/>
      <c r="N733" s="238"/>
      <c r="O733" s="238"/>
      <c r="P733" s="238"/>
      <c r="Q733" s="238"/>
      <c r="R733" s="238"/>
    </row>
    <row r="734" spans="1:18" x14ac:dyDescent="0.25">
      <c r="A734" s="305"/>
      <c r="B734" s="305" t="s">
        <v>777</v>
      </c>
      <c r="C734" s="306"/>
      <c r="D734" s="238"/>
      <c r="E734" s="238"/>
      <c r="F734" s="238"/>
      <c r="G734" s="238"/>
      <c r="H734" s="238"/>
      <c r="I734" s="238"/>
      <c r="J734" s="238"/>
      <c r="K734" s="238"/>
      <c r="L734" s="238"/>
      <c r="M734" s="238"/>
      <c r="N734" s="238"/>
      <c r="O734" s="238"/>
      <c r="P734" s="238"/>
      <c r="Q734" s="238"/>
      <c r="R734" s="238"/>
    </row>
    <row r="735" spans="1:18" x14ac:dyDescent="0.25">
      <c r="A735" s="305"/>
      <c r="B735" s="305" t="s">
        <v>796</v>
      </c>
      <c r="C735" s="306"/>
      <c r="D735" s="238"/>
      <c r="E735" s="238"/>
      <c r="F735" s="238"/>
      <c r="G735" s="238"/>
      <c r="H735" s="238"/>
      <c r="I735" s="238"/>
      <c r="J735" s="238"/>
      <c r="K735" s="238"/>
      <c r="L735" s="238"/>
      <c r="M735" s="238"/>
      <c r="N735" s="238"/>
      <c r="O735" s="238"/>
      <c r="P735" s="238"/>
      <c r="Q735" s="238"/>
      <c r="R735" s="238"/>
    </row>
  </sheetData>
  <pageMargins left="0.511811024" right="0.511811024" top="0.78740157499999996" bottom="0.78740157499999996" header="0.31496062000000002" footer="0.31496062000000002"/>
  <ignoredErrors>
    <ignoredError sqref="T8 T189 T16 T20" formula="1"/>
  </ignoredErrors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N80"/>
  <sheetViews>
    <sheetView showGridLines="0" zoomScale="80" workbookViewId="0"/>
  </sheetViews>
  <sheetFormatPr defaultRowHeight="15" x14ac:dyDescent="0.25"/>
  <cols>
    <col min="1" max="1" width="25.85546875" bestFit="1" customWidth="1"/>
    <col min="2" max="2" width="25.85546875" customWidth="1"/>
    <col min="3" max="3" width="12.28515625" bestFit="1" customWidth="1"/>
    <col min="7" max="8" width="48.7109375" customWidth="1"/>
    <col min="9" max="9" width="12.28515625" bestFit="1" customWidth="1"/>
    <col min="13" max="13" width="22.28515625" bestFit="1" customWidth="1"/>
    <col min="14" max="14" width="36.28515625" customWidth="1"/>
  </cols>
  <sheetData>
    <row r="1" spans="1:14" x14ac:dyDescent="0.25">
      <c r="A1" s="209" t="s">
        <v>494</v>
      </c>
      <c r="B1" s="210">
        <f>DATE(2025,1,1)</f>
        <v>45658</v>
      </c>
      <c r="G1" s="211" t="s">
        <v>495</v>
      </c>
      <c r="H1" s="212" t="s">
        <v>496</v>
      </c>
      <c r="M1" s="209" t="s">
        <v>497</v>
      </c>
      <c r="N1" s="209" t="s">
        <v>358</v>
      </c>
    </row>
    <row r="2" spans="1:14" x14ac:dyDescent="0.25">
      <c r="A2" s="209" t="s">
        <v>498</v>
      </c>
      <c r="B2" s="210">
        <f>inputs!A1</f>
        <v>46112</v>
      </c>
      <c r="G2" s="213" t="s">
        <v>499</v>
      </c>
      <c r="H2" s="214" t="s">
        <v>500</v>
      </c>
    </row>
    <row r="3" spans="1:14" x14ac:dyDescent="0.25">
      <c r="M3" t="e" cm="1" vm="1">
        <f t="array" ref="M3">_xlfn._xlws.SORT(
  _xlfn.UNIQUE(
    _xlfn._xlws.FILTER(
      desp[classificacao],
      (desp[centro.negocio]=$N$1) * (desp[parcela]&gt;='n&amp;cn'!$B$1) * (desp[parcela]&lt;='n&amp;cn'!$B$2)
    )
  )
)</f>
        <v>#VALUE!</v>
      </c>
      <c r="N3">
        <f>COUNTA($M$3:$M$100)</f>
        <v>1</v>
      </c>
    </row>
    <row r="4" spans="1:14" x14ac:dyDescent="0.25">
      <c r="A4" s="215" t="s">
        <v>501</v>
      </c>
      <c r="B4" s="215"/>
      <c r="G4" s="215" t="s">
        <v>503</v>
      </c>
      <c r="H4" s="216"/>
    </row>
    <row r="5" spans="1:14" x14ac:dyDescent="0.25">
      <c r="A5" s="217" t="s">
        <v>504</v>
      </c>
      <c r="B5" s="218" t="s">
        <v>505</v>
      </c>
      <c r="C5" s="219"/>
      <c r="G5" s="217" t="s">
        <v>504</v>
      </c>
      <c r="H5" s="218" t="s">
        <v>505</v>
      </c>
      <c r="I5" s="219"/>
    </row>
    <row r="6" spans="1:14" x14ac:dyDescent="0.25">
      <c r="A6" s="220" t="e" cm="1" vm="1">
        <f t="array" ref="A6">_xlfn._xlws.SORT(
   _xlfn.UNIQUE(
      _xlfn._xlws.FILTER(
         desp[classificacao],
         (desp[parcela] &gt;= B1) *
         (desp[parcela] &lt;= B2)
      )
   )
)</f>
        <v>#VALUE!</v>
      </c>
      <c r="B6" s="222" t="e" cm="1" vm="1">
        <f t="array" ref="B6">_xlfn.LET(_xlpm.ini,$B$1,_xlpm.fim,$B$2,
_xlpm.msk,(desp[parcela]&gt;=_xlpm.ini)*(desp[parcela]&lt;=_xlpm.fim),
_xlpm.nucs,_xlfn.UNIQUE(_xlfn._xlws.FILTER(desp[classificacao],_xlpm.msk)),
_xlpm.tot,SUMIFS(desp[data.vencimento],desp[classificacao],_xlpm.nucs,desp[parcela],"&gt;="&amp;_xlpm.ini,desp[parcela],"&lt;="&amp;_xlpm.fim),
_xlfn.SORTBY(_xlfn.HSTACK(_xlpm.nucs,_xlpm.tot),_xlpm.tot,-1))</f>
        <v>#VALUE!</v>
      </c>
      <c r="C6" s="223"/>
      <c r="D6" s="226" t="e">
        <f>$C6/SUM($C$6:$C$43)</f>
        <v>#DIV/0!</v>
      </c>
      <c r="E6" s="226" t="e">
        <f>SUM($D$6:$D6)</f>
        <v>#DIV/0!</v>
      </c>
      <c r="G6" s="227" t="e" cm="1" vm="1">
        <f t="array" ref="G6">_xlfn._xlws.SORT(
   _xlfn.UNIQUE(
      _xlfn._xlws.FILTER(
         desp[centro.negocio],
         (desp[parcela] &gt;= $B$1) *
         (desp[parcela] &lt;= $B$2)
      )
   )
)</f>
        <v>#VALUE!</v>
      </c>
      <c r="H6" s="229" t="e" cm="1" vm="1">
        <f t="array" ref="H6">_xlfn.LET(_xlpm.ini,$B$1,_xlpm.fim,$B$2,
_xlpm.msk,(desp[parcela]&gt;=_xlpm.ini)*(desp[parcela]&lt;=_xlpm.fim),
_xlpm.cns,_xlfn.UNIQUE(_xlfn._xlws.FILTER(desp[centro.negocio],_xlpm.msk)),
_xlpm.tot,SUMIFS(desp[data.vencimento],desp[centro.negocio],_xlpm.cns,desp[parcela],"&gt;="&amp;_xlpm.ini,desp[parcela],"&lt;="&amp;_xlpm.fim),
_xlfn.SORTBY(_xlfn.HSTACK(_xlpm.cns,_xlpm.tot),_xlpm.tot,-1))</f>
        <v>#VALUE!</v>
      </c>
      <c r="I6" s="223"/>
      <c r="J6" s="226" t="e">
        <f>$I6/SUM($I$6:$I$80)</f>
        <v>#DIV/0!</v>
      </c>
      <c r="K6" s="226" t="e">
        <f>SUM($J$6:$J6)</f>
        <v>#DIV/0!</v>
      </c>
    </row>
    <row r="7" spans="1:14" x14ac:dyDescent="0.25">
      <c r="A7" s="220"/>
      <c r="B7" s="222"/>
      <c r="C7" s="223"/>
      <c r="D7" s="226" t="e">
        <f t="shared" ref="D7:D43" si="0">$C7/SUM($C$6:$C$43)</f>
        <v>#DIV/0!</v>
      </c>
      <c r="E7" s="226" t="e">
        <f>SUM($D$6:$D7)</f>
        <v>#DIV/0!</v>
      </c>
      <c r="G7" s="227"/>
      <c r="H7" s="230"/>
      <c r="I7" s="223"/>
      <c r="J7" s="226" t="e">
        <f t="shared" ref="J7:J70" si="1">$I7/SUM($I$6:$I$80)</f>
        <v>#DIV/0!</v>
      </c>
      <c r="K7" s="226" t="e">
        <f>SUM($J$6:$J7)</f>
        <v>#DIV/0!</v>
      </c>
    </row>
    <row r="8" spans="1:14" x14ac:dyDescent="0.25">
      <c r="A8" s="220"/>
      <c r="B8" s="222"/>
      <c r="C8" s="223"/>
      <c r="D8" s="226" t="e">
        <f t="shared" si="0"/>
        <v>#DIV/0!</v>
      </c>
      <c r="E8" s="226" t="e">
        <f>SUM($D$6:$D8)</f>
        <v>#DIV/0!</v>
      </c>
      <c r="G8" s="227"/>
      <c r="H8" s="231"/>
      <c r="I8" s="223"/>
      <c r="J8" s="226" t="e">
        <f t="shared" si="1"/>
        <v>#DIV/0!</v>
      </c>
      <c r="K8" s="226" t="e">
        <f>SUM($J$6:$J8)</f>
        <v>#DIV/0!</v>
      </c>
    </row>
    <row r="9" spans="1:14" x14ac:dyDescent="0.25">
      <c r="A9" s="220"/>
      <c r="B9" s="222"/>
      <c r="C9" s="223"/>
      <c r="D9" s="226" t="e">
        <f t="shared" si="0"/>
        <v>#DIV/0!</v>
      </c>
      <c r="E9" s="226" t="e">
        <f>SUM($D$6:$D9)</f>
        <v>#DIV/0!</v>
      </c>
      <c r="G9" s="227"/>
      <c r="H9" s="230"/>
      <c r="I9" s="223"/>
      <c r="J9" s="226" t="e">
        <f t="shared" si="1"/>
        <v>#DIV/0!</v>
      </c>
      <c r="K9" s="226" t="e">
        <f>SUM($J$6:$J9)</f>
        <v>#DIV/0!</v>
      </c>
    </row>
    <row r="10" spans="1:14" x14ac:dyDescent="0.25">
      <c r="A10" s="220"/>
      <c r="B10" s="222"/>
      <c r="C10" s="223"/>
      <c r="D10" s="226" t="e">
        <f t="shared" si="0"/>
        <v>#DIV/0!</v>
      </c>
      <c r="E10" s="226" t="e">
        <f>SUM($D$6:$D10)</f>
        <v>#DIV/0!</v>
      </c>
      <c r="G10" s="227"/>
      <c r="H10" s="229"/>
      <c r="I10" s="223"/>
      <c r="J10" s="226" t="e">
        <f t="shared" si="1"/>
        <v>#DIV/0!</v>
      </c>
      <c r="K10" s="226" t="e">
        <f>SUM($J$6:$J10)</f>
        <v>#DIV/0!</v>
      </c>
    </row>
    <row r="11" spans="1:14" x14ac:dyDescent="0.25">
      <c r="A11" s="220"/>
      <c r="B11" s="222"/>
      <c r="C11" s="223"/>
      <c r="D11" s="226" t="e">
        <f t="shared" si="0"/>
        <v>#DIV/0!</v>
      </c>
      <c r="E11" s="226" t="e">
        <f>SUM($D$6:$D11)</f>
        <v>#DIV/0!</v>
      </c>
      <c r="G11" s="227"/>
      <c r="H11" s="229"/>
      <c r="I11" s="223"/>
      <c r="J11" s="226" t="e">
        <f t="shared" si="1"/>
        <v>#DIV/0!</v>
      </c>
      <c r="K11" s="226" t="e">
        <f>SUM($J$6:$J11)</f>
        <v>#DIV/0!</v>
      </c>
    </row>
    <row r="12" spans="1:14" x14ac:dyDescent="0.25">
      <c r="A12" s="220"/>
      <c r="B12" s="222"/>
      <c r="C12" s="223"/>
      <c r="D12" s="226" t="e">
        <f t="shared" si="0"/>
        <v>#DIV/0!</v>
      </c>
      <c r="E12" s="226" t="e">
        <f>SUM($D$6:$D12)</f>
        <v>#DIV/0!</v>
      </c>
      <c r="G12" s="227"/>
      <c r="H12" s="229"/>
      <c r="I12" s="223"/>
      <c r="J12" s="226" t="e">
        <f t="shared" si="1"/>
        <v>#DIV/0!</v>
      </c>
      <c r="K12" s="226" t="e">
        <f>SUM($J$6:$J12)</f>
        <v>#DIV/0!</v>
      </c>
    </row>
    <row r="13" spans="1:14" x14ac:dyDescent="0.25">
      <c r="A13" s="220"/>
      <c r="B13" s="222"/>
      <c r="C13" s="223"/>
      <c r="D13" s="226" t="e">
        <f t="shared" si="0"/>
        <v>#DIV/0!</v>
      </c>
      <c r="E13" s="226" t="e">
        <f>SUM($D$6:$D13)</f>
        <v>#DIV/0!</v>
      </c>
      <c r="G13" s="227"/>
      <c r="H13" s="229"/>
      <c r="I13" s="223"/>
      <c r="J13" s="226" t="e">
        <f t="shared" si="1"/>
        <v>#DIV/0!</v>
      </c>
      <c r="K13" s="226" t="e">
        <f>SUM($J$6:$J13)</f>
        <v>#DIV/0!</v>
      </c>
    </row>
    <row r="14" spans="1:14" x14ac:dyDescent="0.25">
      <c r="A14" s="220"/>
      <c r="B14" s="222"/>
      <c r="C14" s="223"/>
      <c r="D14" s="226" t="e">
        <f t="shared" si="0"/>
        <v>#DIV/0!</v>
      </c>
      <c r="E14" s="226" t="e">
        <f>SUM($D$6:$D14)</f>
        <v>#DIV/0!</v>
      </c>
      <c r="G14" s="227"/>
      <c r="H14" s="232"/>
      <c r="I14" s="223"/>
      <c r="J14" s="226" t="e">
        <f t="shared" si="1"/>
        <v>#DIV/0!</v>
      </c>
      <c r="K14" s="226" t="e">
        <f>SUM($J$6:$J14)</f>
        <v>#DIV/0!</v>
      </c>
    </row>
    <row r="15" spans="1:14" x14ac:dyDescent="0.25">
      <c r="A15" s="220"/>
      <c r="B15" s="222"/>
      <c r="C15" s="223"/>
      <c r="D15" s="226" t="e">
        <f t="shared" si="0"/>
        <v>#DIV/0!</v>
      </c>
      <c r="E15" s="226" t="e">
        <f>SUM($D$6:$D15)</f>
        <v>#DIV/0!</v>
      </c>
      <c r="G15" s="227"/>
      <c r="H15" s="232"/>
      <c r="I15" s="223"/>
      <c r="J15" s="226" t="e">
        <f t="shared" si="1"/>
        <v>#DIV/0!</v>
      </c>
      <c r="K15" s="226" t="e">
        <f>SUM($J$6:$J15)</f>
        <v>#DIV/0!</v>
      </c>
    </row>
    <row r="16" spans="1:14" x14ac:dyDescent="0.25">
      <c r="A16" s="220"/>
      <c r="B16" s="222"/>
      <c r="C16" s="223"/>
      <c r="D16" s="226" t="e">
        <f t="shared" si="0"/>
        <v>#DIV/0!</v>
      </c>
      <c r="E16" s="226" t="e">
        <f>SUM($D$6:$D16)</f>
        <v>#DIV/0!</v>
      </c>
      <c r="G16" s="227"/>
      <c r="H16" s="232"/>
      <c r="I16" s="223"/>
      <c r="J16" s="226" t="e">
        <f t="shared" si="1"/>
        <v>#DIV/0!</v>
      </c>
      <c r="K16" s="226" t="e">
        <f>SUM($J$6:$J16)</f>
        <v>#DIV/0!</v>
      </c>
    </row>
    <row r="17" spans="1:11" x14ac:dyDescent="0.25">
      <c r="A17" s="220"/>
      <c r="B17" s="222"/>
      <c r="C17" s="223"/>
      <c r="D17" s="226" t="e">
        <f t="shared" si="0"/>
        <v>#DIV/0!</v>
      </c>
      <c r="E17" s="226" t="e">
        <f>SUM($D$6:$D17)</f>
        <v>#DIV/0!</v>
      </c>
      <c r="G17" s="227"/>
      <c r="H17" s="229"/>
      <c r="I17" s="223"/>
      <c r="J17" s="226" t="e">
        <f t="shared" si="1"/>
        <v>#DIV/0!</v>
      </c>
      <c r="K17" s="226" t="e">
        <f>SUM($J$6:$J17)</f>
        <v>#DIV/0!</v>
      </c>
    </row>
    <row r="18" spans="1:11" x14ac:dyDescent="0.25">
      <c r="A18" s="220"/>
      <c r="B18" s="222"/>
      <c r="C18" s="223"/>
      <c r="D18" s="226" t="e">
        <f t="shared" si="0"/>
        <v>#DIV/0!</v>
      </c>
      <c r="E18" s="226" t="e">
        <f>SUM($D$6:$D18)</f>
        <v>#DIV/0!</v>
      </c>
      <c r="G18" s="227"/>
      <c r="H18" s="229"/>
      <c r="I18" s="223"/>
      <c r="J18" s="226" t="e">
        <f t="shared" si="1"/>
        <v>#DIV/0!</v>
      </c>
      <c r="K18" s="226" t="e">
        <f>SUM($J$6:$J18)</f>
        <v>#DIV/0!</v>
      </c>
    </row>
    <row r="19" spans="1:11" x14ac:dyDescent="0.25">
      <c r="A19" s="220"/>
      <c r="B19" s="222"/>
      <c r="C19" s="223"/>
      <c r="D19" s="226" t="e">
        <f t="shared" si="0"/>
        <v>#DIV/0!</v>
      </c>
      <c r="E19" s="226" t="e">
        <f>SUM($D$6:$D19)</f>
        <v>#DIV/0!</v>
      </c>
      <c r="G19" s="227"/>
      <c r="H19" s="229"/>
      <c r="I19" s="223"/>
      <c r="J19" s="226" t="e">
        <f t="shared" si="1"/>
        <v>#DIV/0!</v>
      </c>
      <c r="K19" s="226" t="e">
        <f>SUM($J$6:$J19)</f>
        <v>#DIV/0!</v>
      </c>
    </row>
    <row r="20" spans="1:11" x14ac:dyDescent="0.25">
      <c r="A20" s="220"/>
      <c r="B20" s="222"/>
      <c r="C20" s="223"/>
      <c r="D20" s="226" t="e">
        <f t="shared" si="0"/>
        <v>#DIV/0!</v>
      </c>
      <c r="E20" s="226" t="e">
        <f>SUM($D$6:$D20)</f>
        <v>#DIV/0!</v>
      </c>
      <c r="G20" s="227"/>
      <c r="H20" s="229"/>
      <c r="I20" s="223"/>
      <c r="J20" s="226" t="e">
        <f t="shared" si="1"/>
        <v>#DIV/0!</v>
      </c>
      <c r="K20" s="226" t="e">
        <f>SUM($J$6:$J20)</f>
        <v>#DIV/0!</v>
      </c>
    </row>
    <row r="21" spans="1:11" x14ac:dyDescent="0.25">
      <c r="A21" s="220"/>
      <c r="B21" s="222"/>
      <c r="C21" s="223"/>
      <c r="D21" s="226" t="e">
        <f t="shared" si="0"/>
        <v>#DIV/0!</v>
      </c>
      <c r="E21" s="226" t="e">
        <f>SUM($D$6:$D21)</f>
        <v>#DIV/0!</v>
      </c>
      <c r="G21" s="227"/>
      <c r="H21" s="229"/>
      <c r="I21" s="223"/>
      <c r="J21" s="226" t="e">
        <f t="shared" si="1"/>
        <v>#DIV/0!</v>
      </c>
      <c r="K21" s="226" t="e">
        <f>SUM($J$6:$J21)</f>
        <v>#DIV/0!</v>
      </c>
    </row>
    <row r="22" spans="1:11" x14ac:dyDescent="0.25">
      <c r="A22" s="220"/>
      <c r="B22" s="222"/>
      <c r="C22" s="223"/>
      <c r="D22" s="226" t="e">
        <f t="shared" si="0"/>
        <v>#DIV/0!</v>
      </c>
      <c r="E22" s="226" t="e">
        <f>SUM($D$6:$D22)</f>
        <v>#DIV/0!</v>
      </c>
      <c r="G22" s="227"/>
      <c r="H22" s="229"/>
      <c r="I22" s="223"/>
      <c r="J22" s="226" t="e">
        <f t="shared" si="1"/>
        <v>#DIV/0!</v>
      </c>
      <c r="K22" s="226" t="e">
        <f>SUM($J$6:$J22)</f>
        <v>#DIV/0!</v>
      </c>
    </row>
    <row r="23" spans="1:11" x14ac:dyDescent="0.25">
      <c r="A23" s="220"/>
      <c r="B23" s="222"/>
      <c r="C23" s="223"/>
      <c r="D23" s="226" t="e">
        <f t="shared" si="0"/>
        <v>#DIV/0!</v>
      </c>
      <c r="E23" s="226" t="e">
        <f>SUM($D$6:$D23)</f>
        <v>#DIV/0!</v>
      </c>
      <c r="G23" s="227"/>
      <c r="H23" s="232"/>
      <c r="I23" s="223"/>
      <c r="J23" s="226" t="e">
        <f t="shared" si="1"/>
        <v>#DIV/0!</v>
      </c>
      <c r="K23" s="226" t="e">
        <f>SUM($J$6:$J23)</f>
        <v>#DIV/0!</v>
      </c>
    </row>
    <row r="24" spans="1:11" x14ac:dyDescent="0.25">
      <c r="A24" s="220"/>
      <c r="B24" s="222"/>
      <c r="C24" s="223"/>
      <c r="D24" s="226" t="e">
        <f t="shared" si="0"/>
        <v>#DIV/0!</v>
      </c>
      <c r="E24" s="226" t="e">
        <f>SUM($D$6:$D24)</f>
        <v>#DIV/0!</v>
      </c>
      <c r="G24" s="227"/>
      <c r="H24" s="229"/>
      <c r="I24" s="223"/>
      <c r="J24" s="226" t="e">
        <f t="shared" si="1"/>
        <v>#DIV/0!</v>
      </c>
      <c r="K24" s="226" t="e">
        <f>SUM($J$6:$J24)</f>
        <v>#DIV/0!</v>
      </c>
    </row>
    <row r="25" spans="1:11" x14ac:dyDescent="0.25">
      <c r="A25" s="220"/>
      <c r="B25" s="222"/>
      <c r="C25" s="223"/>
      <c r="D25" s="226" t="e">
        <f t="shared" si="0"/>
        <v>#DIV/0!</v>
      </c>
      <c r="E25" s="226" t="e">
        <f>SUM($D$6:$D25)</f>
        <v>#DIV/0!</v>
      </c>
      <c r="G25" s="227"/>
      <c r="H25" s="232"/>
      <c r="I25" s="223"/>
      <c r="J25" s="226" t="e">
        <f t="shared" si="1"/>
        <v>#DIV/0!</v>
      </c>
      <c r="K25" s="226" t="e">
        <f>SUM($J$6:$J25)</f>
        <v>#DIV/0!</v>
      </c>
    </row>
    <row r="26" spans="1:11" x14ac:dyDescent="0.25">
      <c r="A26" s="220"/>
      <c r="B26" s="222"/>
      <c r="C26" s="223"/>
      <c r="D26" s="226" t="e">
        <f t="shared" si="0"/>
        <v>#DIV/0!</v>
      </c>
      <c r="E26" s="226" t="e">
        <f>SUM($D$6:$D26)</f>
        <v>#DIV/0!</v>
      </c>
      <c r="G26" s="227"/>
      <c r="H26" s="222"/>
      <c r="I26" s="223"/>
      <c r="J26" s="226" t="e">
        <f t="shared" si="1"/>
        <v>#DIV/0!</v>
      </c>
      <c r="K26" s="226" t="e">
        <f>SUM($J$6:$J26)</f>
        <v>#DIV/0!</v>
      </c>
    </row>
    <row r="27" spans="1:11" x14ac:dyDescent="0.25">
      <c r="A27" s="220"/>
      <c r="B27" s="222"/>
      <c r="C27" s="223"/>
      <c r="D27" s="226" t="e">
        <f t="shared" si="0"/>
        <v>#DIV/0!</v>
      </c>
      <c r="E27" s="226" t="e">
        <f>SUM($D$6:$D27)</f>
        <v>#DIV/0!</v>
      </c>
      <c r="G27" s="227"/>
      <c r="H27" s="222"/>
      <c r="I27" s="223"/>
      <c r="J27" s="226" t="e">
        <f t="shared" si="1"/>
        <v>#DIV/0!</v>
      </c>
      <c r="K27" s="226" t="e">
        <f>SUM($J$6:$J27)</f>
        <v>#DIV/0!</v>
      </c>
    </row>
    <row r="28" spans="1:11" x14ac:dyDescent="0.25">
      <c r="A28" s="220"/>
      <c r="B28" s="222"/>
      <c r="C28" s="223"/>
      <c r="D28" s="226" t="e">
        <f t="shared" si="0"/>
        <v>#DIV/0!</v>
      </c>
      <c r="E28" s="226" t="e">
        <f>SUM($D$6:$D28)</f>
        <v>#DIV/0!</v>
      </c>
      <c r="G28" s="227"/>
      <c r="H28" s="222"/>
      <c r="I28" s="223"/>
      <c r="J28" s="226" t="e">
        <f t="shared" si="1"/>
        <v>#DIV/0!</v>
      </c>
      <c r="K28" s="226" t="e">
        <f>SUM($J$6:$J28)</f>
        <v>#DIV/0!</v>
      </c>
    </row>
    <row r="29" spans="1:11" x14ac:dyDescent="0.25">
      <c r="A29" s="220"/>
      <c r="B29" s="222"/>
      <c r="C29" s="223"/>
      <c r="D29" s="226" t="e">
        <f t="shared" si="0"/>
        <v>#DIV/0!</v>
      </c>
      <c r="E29" s="226" t="e">
        <f>SUM($D$6:$D29)</f>
        <v>#DIV/0!</v>
      </c>
      <c r="G29" s="227"/>
      <c r="H29" s="222"/>
      <c r="I29" s="223"/>
      <c r="J29" s="226" t="e">
        <f t="shared" si="1"/>
        <v>#DIV/0!</v>
      </c>
      <c r="K29" s="226" t="e">
        <f>SUM($J$6:$J29)</f>
        <v>#DIV/0!</v>
      </c>
    </row>
    <row r="30" spans="1:11" x14ac:dyDescent="0.25">
      <c r="A30" s="220"/>
      <c r="B30" s="222"/>
      <c r="C30" s="223"/>
      <c r="D30" s="226" t="e">
        <f t="shared" si="0"/>
        <v>#DIV/0!</v>
      </c>
      <c r="E30" s="226" t="e">
        <f>SUM($D$6:$D30)</f>
        <v>#DIV/0!</v>
      </c>
      <c r="G30" s="227"/>
      <c r="H30" s="222"/>
      <c r="I30" s="223"/>
      <c r="J30" s="226" t="e">
        <f t="shared" si="1"/>
        <v>#DIV/0!</v>
      </c>
      <c r="K30" s="226" t="e">
        <f>SUM($J$6:$J30)</f>
        <v>#DIV/0!</v>
      </c>
    </row>
    <row r="31" spans="1:11" x14ac:dyDescent="0.25">
      <c r="A31" s="220"/>
      <c r="B31" s="222"/>
      <c r="C31" s="223"/>
      <c r="D31" s="226" t="e">
        <f t="shared" si="0"/>
        <v>#DIV/0!</v>
      </c>
      <c r="E31" s="226" t="e">
        <f>SUM($D$6:$D31)</f>
        <v>#DIV/0!</v>
      </c>
      <c r="G31" s="227"/>
      <c r="H31" s="222"/>
      <c r="I31" s="223"/>
      <c r="J31" s="226" t="e">
        <f t="shared" si="1"/>
        <v>#DIV/0!</v>
      </c>
      <c r="K31" s="226" t="e">
        <f>SUM($J$6:$J31)</f>
        <v>#DIV/0!</v>
      </c>
    </row>
    <row r="32" spans="1:11" x14ac:dyDescent="0.25">
      <c r="A32" s="220"/>
      <c r="B32" s="222"/>
      <c r="C32" s="223"/>
      <c r="D32" s="226" t="e">
        <f t="shared" si="0"/>
        <v>#DIV/0!</v>
      </c>
      <c r="E32" s="226" t="e">
        <f>SUM($D$6:$D32)</f>
        <v>#DIV/0!</v>
      </c>
      <c r="G32" s="227"/>
      <c r="H32" s="222"/>
      <c r="I32" s="223"/>
      <c r="J32" s="226" t="e">
        <f t="shared" si="1"/>
        <v>#DIV/0!</v>
      </c>
      <c r="K32" s="226" t="e">
        <f>SUM($J$6:$J32)</f>
        <v>#DIV/0!</v>
      </c>
    </row>
    <row r="33" spans="1:11" x14ac:dyDescent="0.25">
      <c r="A33" s="220"/>
      <c r="B33" s="222"/>
      <c r="C33" s="223"/>
      <c r="D33" s="226" t="e">
        <f t="shared" si="0"/>
        <v>#DIV/0!</v>
      </c>
      <c r="E33" s="226" t="e">
        <f>SUM($D$6:$D33)</f>
        <v>#DIV/0!</v>
      </c>
      <c r="G33" s="227"/>
      <c r="H33" s="222"/>
      <c r="I33" s="223"/>
      <c r="J33" s="226" t="e">
        <f t="shared" si="1"/>
        <v>#DIV/0!</v>
      </c>
      <c r="K33" s="226" t="e">
        <f>SUM($J$6:$J33)</f>
        <v>#DIV/0!</v>
      </c>
    </row>
    <row r="34" spans="1:11" x14ac:dyDescent="0.25">
      <c r="A34" s="220"/>
      <c r="B34" s="222"/>
      <c r="C34" s="223"/>
      <c r="D34" s="226" t="e">
        <f t="shared" si="0"/>
        <v>#DIV/0!</v>
      </c>
      <c r="E34" s="226" t="e">
        <f>SUM($D$6:$D34)</f>
        <v>#DIV/0!</v>
      </c>
      <c r="G34" s="227"/>
      <c r="H34" s="222"/>
      <c r="I34" s="223"/>
      <c r="J34" s="226" t="e">
        <f t="shared" si="1"/>
        <v>#DIV/0!</v>
      </c>
      <c r="K34" s="226" t="e">
        <f>SUM($J$6:$J34)</f>
        <v>#DIV/0!</v>
      </c>
    </row>
    <row r="35" spans="1:11" x14ac:dyDescent="0.25">
      <c r="A35" s="220"/>
      <c r="B35" s="222"/>
      <c r="C35" s="223"/>
      <c r="D35" s="226" t="e">
        <f t="shared" si="0"/>
        <v>#DIV/0!</v>
      </c>
      <c r="E35" s="226" t="e">
        <f>SUM($D$6:$D35)</f>
        <v>#DIV/0!</v>
      </c>
      <c r="G35" s="227"/>
      <c r="H35" s="222"/>
      <c r="I35" s="223"/>
      <c r="J35" s="226" t="e">
        <f t="shared" si="1"/>
        <v>#DIV/0!</v>
      </c>
      <c r="K35" s="226" t="e">
        <f>SUM($J$6:$J35)</f>
        <v>#DIV/0!</v>
      </c>
    </row>
    <row r="36" spans="1:11" x14ac:dyDescent="0.25">
      <c r="A36" s="220"/>
      <c r="B36" s="222"/>
      <c r="C36" s="223"/>
      <c r="D36" s="226" t="e">
        <f t="shared" si="0"/>
        <v>#DIV/0!</v>
      </c>
      <c r="E36" s="226" t="e">
        <f>SUM($D$6:$D36)</f>
        <v>#DIV/0!</v>
      </c>
      <c r="G36" s="227"/>
      <c r="H36" s="222"/>
      <c r="I36" s="223"/>
      <c r="J36" s="226" t="e">
        <f t="shared" si="1"/>
        <v>#DIV/0!</v>
      </c>
      <c r="K36" s="226" t="e">
        <f>SUM($J$6:$J36)</f>
        <v>#DIV/0!</v>
      </c>
    </row>
    <row r="37" spans="1:11" x14ac:dyDescent="0.25">
      <c r="A37" s="220"/>
      <c r="B37" s="222"/>
      <c r="C37" s="223"/>
      <c r="D37" s="226" t="e">
        <f t="shared" si="0"/>
        <v>#DIV/0!</v>
      </c>
      <c r="E37" s="226" t="e">
        <f>SUM($D$6:$D37)</f>
        <v>#DIV/0!</v>
      </c>
      <c r="G37" s="227"/>
      <c r="H37" s="222"/>
      <c r="I37" s="223"/>
      <c r="J37" s="226" t="e">
        <f t="shared" si="1"/>
        <v>#DIV/0!</v>
      </c>
      <c r="K37" s="226" t="e">
        <f>SUM($J$6:$J37)</f>
        <v>#DIV/0!</v>
      </c>
    </row>
    <row r="38" spans="1:11" x14ac:dyDescent="0.25">
      <c r="A38" s="220"/>
      <c r="B38" s="222"/>
      <c r="C38" s="223"/>
      <c r="D38" s="226" t="e">
        <f t="shared" si="0"/>
        <v>#DIV/0!</v>
      </c>
      <c r="E38" s="226" t="e">
        <f>SUM($D$6:$D38)</f>
        <v>#DIV/0!</v>
      </c>
      <c r="G38" s="227"/>
      <c r="H38" s="222"/>
      <c r="I38" s="223"/>
      <c r="J38" s="226" t="e">
        <f t="shared" si="1"/>
        <v>#DIV/0!</v>
      </c>
      <c r="K38" s="226" t="e">
        <f>SUM($J$6:$J38)</f>
        <v>#DIV/0!</v>
      </c>
    </row>
    <row r="39" spans="1:11" x14ac:dyDescent="0.25">
      <c r="A39" s="220"/>
      <c r="B39" s="222"/>
      <c r="C39" s="223"/>
      <c r="D39" s="226" t="e">
        <f t="shared" si="0"/>
        <v>#DIV/0!</v>
      </c>
      <c r="E39" s="226" t="e">
        <f>SUM($D$6:$D39)</f>
        <v>#DIV/0!</v>
      </c>
      <c r="G39" s="227"/>
      <c r="H39" s="222"/>
      <c r="I39" s="223"/>
      <c r="J39" s="226" t="e">
        <f t="shared" si="1"/>
        <v>#DIV/0!</v>
      </c>
      <c r="K39" s="226" t="e">
        <f>SUM($J$6:$J39)</f>
        <v>#DIV/0!</v>
      </c>
    </row>
    <row r="40" spans="1:11" x14ac:dyDescent="0.25">
      <c r="A40" s="220"/>
      <c r="B40" s="222"/>
      <c r="C40" s="223"/>
      <c r="D40" s="226" t="e">
        <f t="shared" si="0"/>
        <v>#DIV/0!</v>
      </c>
      <c r="E40" s="226" t="e">
        <f>SUM($D$6:$D40)</f>
        <v>#DIV/0!</v>
      </c>
      <c r="G40" s="227"/>
      <c r="H40" s="222"/>
      <c r="I40" s="223"/>
      <c r="J40" s="226" t="e">
        <f t="shared" si="1"/>
        <v>#DIV/0!</v>
      </c>
      <c r="K40" s="226" t="e">
        <f>SUM($J$6:$J40)</f>
        <v>#DIV/0!</v>
      </c>
    </row>
    <row r="41" spans="1:11" x14ac:dyDescent="0.25">
      <c r="A41" s="220"/>
      <c r="B41" s="222"/>
      <c r="C41" s="223"/>
      <c r="D41" s="226" t="e">
        <f t="shared" si="0"/>
        <v>#DIV/0!</v>
      </c>
      <c r="E41" s="226" t="e">
        <f>SUM($D$6:$D41)</f>
        <v>#DIV/0!</v>
      </c>
      <c r="G41" s="227"/>
      <c r="H41" s="222"/>
      <c r="I41" s="223"/>
      <c r="J41" s="226" t="e">
        <f t="shared" si="1"/>
        <v>#DIV/0!</v>
      </c>
      <c r="K41" s="226" t="e">
        <f>SUM($J$6:$J41)</f>
        <v>#DIV/0!</v>
      </c>
    </row>
    <row r="42" spans="1:11" x14ac:dyDescent="0.25">
      <c r="A42" s="220"/>
      <c r="B42" s="222"/>
      <c r="C42" s="223"/>
      <c r="D42" s="226" t="e">
        <f t="shared" si="0"/>
        <v>#DIV/0!</v>
      </c>
      <c r="E42" s="226" t="e">
        <f>SUM($D$6:$D42)</f>
        <v>#DIV/0!</v>
      </c>
      <c r="G42" s="227"/>
      <c r="H42" s="222"/>
      <c r="I42" s="223"/>
      <c r="J42" s="226" t="e">
        <f t="shared" si="1"/>
        <v>#DIV/0!</v>
      </c>
      <c r="K42" s="226" t="e">
        <f>SUM($J$6:$J42)</f>
        <v>#DIV/0!</v>
      </c>
    </row>
    <row r="43" spans="1:11" x14ac:dyDescent="0.25">
      <c r="A43" s="221"/>
      <c r="B43" s="224"/>
      <c r="C43" s="225"/>
      <c r="D43" s="226" t="e">
        <f t="shared" si="0"/>
        <v>#DIV/0!</v>
      </c>
      <c r="E43" s="226" t="e">
        <f>SUM($D$6:$D43)</f>
        <v>#DIV/0!</v>
      </c>
      <c r="G43" s="227"/>
      <c r="H43" s="222"/>
      <c r="I43" s="223"/>
      <c r="J43" s="226" t="e">
        <f t="shared" si="1"/>
        <v>#DIV/0!</v>
      </c>
      <c r="K43" s="226" t="e">
        <f>SUM($J$6:$J43)</f>
        <v>#DIV/0!</v>
      </c>
    </row>
    <row r="44" spans="1:11" x14ac:dyDescent="0.25">
      <c r="G44" s="227"/>
      <c r="H44" s="222"/>
      <c r="I44" s="223"/>
      <c r="J44" s="226" t="e">
        <f t="shared" si="1"/>
        <v>#DIV/0!</v>
      </c>
      <c r="K44" s="226" t="e">
        <f>SUM($J$6:$J44)</f>
        <v>#DIV/0!</v>
      </c>
    </row>
    <row r="45" spans="1:11" x14ac:dyDescent="0.25">
      <c r="G45" s="227"/>
      <c r="H45" s="222"/>
      <c r="I45" s="223"/>
      <c r="J45" s="226" t="e">
        <f t="shared" si="1"/>
        <v>#DIV/0!</v>
      </c>
      <c r="K45" s="226" t="e">
        <f>SUM($J$6:$J45)</f>
        <v>#DIV/0!</v>
      </c>
    </row>
    <row r="46" spans="1:11" x14ac:dyDescent="0.25">
      <c r="G46" s="227"/>
      <c r="H46" s="222"/>
      <c r="I46" s="223"/>
      <c r="J46" s="226" t="e">
        <f t="shared" si="1"/>
        <v>#DIV/0!</v>
      </c>
      <c r="K46" s="226" t="e">
        <f>SUM($J$6:$J46)</f>
        <v>#DIV/0!</v>
      </c>
    </row>
    <row r="47" spans="1:11" x14ac:dyDescent="0.25">
      <c r="G47" s="227"/>
      <c r="H47" s="222"/>
      <c r="I47" s="223"/>
      <c r="J47" s="226" t="e">
        <f t="shared" si="1"/>
        <v>#DIV/0!</v>
      </c>
      <c r="K47" s="226" t="e">
        <f>SUM($J$6:$J47)</f>
        <v>#DIV/0!</v>
      </c>
    </row>
    <row r="48" spans="1:11" x14ac:dyDescent="0.25">
      <c r="G48" s="227"/>
      <c r="H48" s="222"/>
      <c r="I48" s="223"/>
      <c r="J48" s="226" t="e">
        <f t="shared" si="1"/>
        <v>#DIV/0!</v>
      </c>
      <c r="K48" s="226" t="e">
        <f>SUM($J$6:$J48)</f>
        <v>#DIV/0!</v>
      </c>
    </row>
    <row r="49" spans="7:11" x14ac:dyDescent="0.25">
      <c r="G49" s="227"/>
      <c r="H49" s="222"/>
      <c r="I49" s="223"/>
      <c r="J49" s="226" t="e">
        <f t="shared" si="1"/>
        <v>#DIV/0!</v>
      </c>
      <c r="K49" s="226" t="e">
        <f>SUM($J$6:$J49)</f>
        <v>#DIV/0!</v>
      </c>
    </row>
    <row r="50" spans="7:11" x14ac:dyDescent="0.25">
      <c r="G50" s="227"/>
      <c r="H50" s="222"/>
      <c r="I50" s="223"/>
      <c r="J50" s="226" t="e">
        <f t="shared" si="1"/>
        <v>#DIV/0!</v>
      </c>
      <c r="K50" s="226" t="e">
        <f>SUM($J$6:$J50)</f>
        <v>#DIV/0!</v>
      </c>
    </row>
    <row r="51" spans="7:11" x14ac:dyDescent="0.25">
      <c r="G51" s="227"/>
      <c r="H51" s="222"/>
      <c r="I51" s="223"/>
      <c r="J51" s="226" t="e">
        <f t="shared" si="1"/>
        <v>#DIV/0!</v>
      </c>
      <c r="K51" s="226" t="e">
        <f>SUM($J$6:$J51)</f>
        <v>#DIV/0!</v>
      </c>
    </row>
    <row r="52" spans="7:11" x14ac:dyDescent="0.25">
      <c r="G52" s="227"/>
      <c r="H52" s="222"/>
      <c r="I52" s="223"/>
      <c r="J52" s="226" t="e">
        <f t="shared" si="1"/>
        <v>#DIV/0!</v>
      </c>
      <c r="K52" s="226" t="e">
        <f>SUM($J$6:$J52)</f>
        <v>#DIV/0!</v>
      </c>
    </row>
    <row r="53" spans="7:11" x14ac:dyDescent="0.25">
      <c r="G53" s="227"/>
      <c r="H53" s="222"/>
      <c r="I53" s="223"/>
      <c r="J53" s="226" t="e">
        <f t="shared" si="1"/>
        <v>#DIV/0!</v>
      </c>
      <c r="K53" s="226" t="e">
        <f>SUM($J$6:$J53)</f>
        <v>#DIV/0!</v>
      </c>
    </row>
    <row r="54" spans="7:11" x14ac:dyDescent="0.25">
      <c r="G54" s="227"/>
      <c r="H54" s="222"/>
      <c r="I54" s="223"/>
      <c r="J54" s="226" t="e">
        <f t="shared" si="1"/>
        <v>#DIV/0!</v>
      </c>
      <c r="K54" s="226" t="e">
        <f>SUM($J$6:$J54)</f>
        <v>#DIV/0!</v>
      </c>
    </row>
    <row r="55" spans="7:11" x14ac:dyDescent="0.25">
      <c r="G55" s="227"/>
      <c r="H55" s="222"/>
      <c r="I55" s="223"/>
      <c r="J55" s="226" t="e">
        <f t="shared" si="1"/>
        <v>#DIV/0!</v>
      </c>
      <c r="K55" s="226" t="e">
        <f>SUM($J$6:$J55)</f>
        <v>#DIV/0!</v>
      </c>
    </row>
    <row r="56" spans="7:11" x14ac:dyDescent="0.25">
      <c r="G56" s="227"/>
      <c r="H56" s="222"/>
      <c r="I56" s="223"/>
      <c r="J56" s="226" t="e">
        <f t="shared" si="1"/>
        <v>#DIV/0!</v>
      </c>
      <c r="K56" s="226" t="e">
        <f>SUM($J$6:$J56)</f>
        <v>#DIV/0!</v>
      </c>
    </row>
    <row r="57" spans="7:11" x14ac:dyDescent="0.25">
      <c r="G57" s="227"/>
      <c r="H57" s="222"/>
      <c r="I57" s="223"/>
      <c r="J57" s="226" t="e">
        <f t="shared" si="1"/>
        <v>#DIV/0!</v>
      </c>
      <c r="K57" s="226" t="e">
        <f>SUM($J$6:$J57)</f>
        <v>#DIV/0!</v>
      </c>
    </row>
    <row r="58" spans="7:11" x14ac:dyDescent="0.25">
      <c r="G58" s="227"/>
      <c r="H58" s="222"/>
      <c r="I58" s="223"/>
      <c r="J58" s="226" t="e">
        <f t="shared" si="1"/>
        <v>#DIV/0!</v>
      </c>
      <c r="K58" s="226" t="e">
        <f>SUM($J$6:$J58)</f>
        <v>#DIV/0!</v>
      </c>
    </row>
    <row r="59" spans="7:11" x14ac:dyDescent="0.25">
      <c r="G59" s="227"/>
      <c r="H59" s="222"/>
      <c r="I59" s="223"/>
      <c r="J59" s="226" t="e">
        <f t="shared" si="1"/>
        <v>#DIV/0!</v>
      </c>
      <c r="K59" s="226" t="e">
        <f>SUM($J$6:$J59)</f>
        <v>#DIV/0!</v>
      </c>
    </row>
    <row r="60" spans="7:11" x14ac:dyDescent="0.25">
      <c r="G60" s="227"/>
      <c r="H60" s="222"/>
      <c r="I60" s="223"/>
      <c r="J60" s="226" t="e">
        <f t="shared" si="1"/>
        <v>#DIV/0!</v>
      </c>
      <c r="K60" s="226" t="e">
        <f>SUM($J$6:$J60)</f>
        <v>#DIV/0!</v>
      </c>
    </row>
    <row r="61" spans="7:11" x14ac:dyDescent="0.25">
      <c r="G61" s="227"/>
      <c r="H61" s="222"/>
      <c r="I61" s="223"/>
      <c r="J61" s="226" t="e">
        <f t="shared" si="1"/>
        <v>#DIV/0!</v>
      </c>
      <c r="K61" s="226" t="e">
        <f>SUM($J$6:$J61)</f>
        <v>#DIV/0!</v>
      </c>
    </row>
    <row r="62" spans="7:11" x14ac:dyDescent="0.25">
      <c r="G62" s="227"/>
      <c r="H62" s="222"/>
      <c r="I62" s="223"/>
      <c r="J62" s="226" t="e">
        <f t="shared" si="1"/>
        <v>#DIV/0!</v>
      </c>
      <c r="K62" s="226" t="e">
        <f>SUM($J$6:$J62)</f>
        <v>#DIV/0!</v>
      </c>
    </row>
    <row r="63" spans="7:11" x14ac:dyDescent="0.25">
      <c r="G63" s="227"/>
      <c r="H63" s="222"/>
      <c r="I63" s="223"/>
      <c r="J63" s="226" t="e">
        <f t="shared" si="1"/>
        <v>#DIV/0!</v>
      </c>
      <c r="K63" s="226" t="e">
        <f>SUM($J$6:$J63)</f>
        <v>#DIV/0!</v>
      </c>
    </row>
    <row r="64" spans="7:11" x14ac:dyDescent="0.25">
      <c r="G64" s="227"/>
      <c r="H64" s="222"/>
      <c r="I64" s="223"/>
      <c r="J64" s="226" t="e">
        <f t="shared" si="1"/>
        <v>#DIV/0!</v>
      </c>
      <c r="K64" s="226" t="e">
        <f>SUM($J$6:$J64)</f>
        <v>#DIV/0!</v>
      </c>
    </row>
    <row r="65" spans="7:11" x14ac:dyDescent="0.25">
      <c r="G65" s="227"/>
      <c r="H65" s="222"/>
      <c r="I65" s="223"/>
      <c r="J65" s="226" t="e">
        <f t="shared" si="1"/>
        <v>#DIV/0!</v>
      </c>
      <c r="K65" s="226" t="e">
        <f>SUM($J$6:$J65)</f>
        <v>#DIV/0!</v>
      </c>
    </row>
    <row r="66" spans="7:11" x14ac:dyDescent="0.25">
      <c r="G66" s="227"/>
      <c r="H66" s="222"/>
      <c r="I66" s="223"/>
      <c r="J66" s="226" t="e">
        <f t="shared" si="1"/>
        <v>#DIV/0!</v>
      </c>
      <c r="K66" s="226" t="e">
        <f>SUM($J$6:$J66)</f>
        <v>#DIV/0!</v>
      </c>
    </row>
    <row r="67" spans="7:11" x14ac:dyDescent="0.25">
      <c r="G67" s="227"/>
      <c r="H67" s="222"/>
      <c r="I67" s="223"/>
      <c r="J67" s="226" t="e">
        <f t="shared" si="1"/>
        <v>#DIV/0!</v>
      </c>
      <c r="K67" s="226" t="e">
        <f>SUM($J$6:$J67)</f>
        <v>#DIV/0!</v>
      </c>
    </row>
    <row r="68" spans="7:11" x14ac:dyDescent="0.25">
      <c r="G68" s="227"/>
      <c r="H68" s="222"/>
      <c r="I68" s="223"/>
      <c r="J68" s="226" t="e">
        <f t="shared" si="1"/>
        <v>#DIV/0!</v>
      </c>
      <c r="K68" s="226" t="e">
        <f>SUM($J$6:$J68)</f>
        <v>#DIV/0!</v>
      </c>
    </row>
    <row r="69" spans="7:11" x14ac:dyDescent="0.25">
      <c r="G69" s="227"/>
      <c r="H69" s="222"/>
      <c r="I69" s="223"/>
      <c r="J69" s="226" t="e">
        <f t="shared" si="1"/>
        <v>#DIV/0!</v>
      </c>
      <c r="K69" s="226" t="e">
        <f>SUM($J$6:$J69)</f>
        <v>#DIV/0!</v>
      </c>
    </row>
    <row r="70" spans="7:11" x14ac:dyDescent="0.25">
      <c r="G70" s="227"/>
      <c r="H70" s="222"/>
      <c r="I70" s="223"/>
      <c r="J70" s="226" t="e">
        <f t="shared" si="1"/>
        <v>#DIV/0!</v>
      </c>
      <c r="K70" s="226" t="e">
        <f>SUM($J$6:$J70)</f>
        <v>#DIV/0!</v>
      </c>
    </row>
    <row r="71" spans="7:11" x14ac:dyDescent="0.25">
      <c r="G71" s="227"/>
      <c r="H71" s="222"/>
      <c r="I71" s="223"/>
      <c r="J71" s="226" t="e">
        <f t="shared" ref="J71:J80" si="2">$I71/SUM($I$6:$I$80)</f>
        <v>#DIV/0!</v>
      </c>
      <c r="K71" s="226" t="e">
        <f>SUM($J$6:$J71)</f>
        <v>#DIV/0!</v>
      </c>
    </row>
    <row r="72" spans="7:11" x14ac:dyDescent="0.25">
      <c r="G72" s="227"/>
      <c r="H72" s="222"/>
      <c r="I72" s="223"/>
      <c r="J72" s="226" t="e">
        <f t="shared" si="2"/>
        <v>#DIV/0!</v>
      </c>
      <c r="K72" s="226" t="e">
        <f>SUM($J$6:$J72)</f>
        <v>#DIV/0!</v>
      </c>
    </row>
    <row r="73" spans="7:11" x14ac:dyDescent="0.25">
      <c r="G73" s="227"/>
      <c r="H73" s="222"/>
      <c r="I73" s="223"/>
      <c r="J73" s="226" t="e">
        <f t="shared" si="2"/>
        <v>#DIV/0!</v>
      </c>
      <c r="K73" s="226" t="e">
        <f>SUM($J$6:$J73)</f>
        <v>#DIV/0!</v>
      </c>
    </row>
    <row r="74" spans="7:11" x14ac:dyDescent="0.25">
      <c r="G74" s="227"/>
      <c r="H74" s="222"/>
      <c r="I74" s="223"/>
      <c r="J74" s="226" t="e">
        <f t="shared" si="2"/>
        <v>#DIV/0!</v>
      </c>
      <c r="K74" s="226" t="e">
        <f>SUM($J$6:$J74)</f>
        <v>#DIV/0!</v>
      </c>
    </row>
    <row r="75" spans="7:11" x14ac:dyDescent="0.25">
      <c r="G75" s="227"/>
      <c r="H75" s="222"/>
      <c r="I75" s="223"/>
      <c r="J75" s="226" t="e">
        <f t="shared" si="2"/>
        <v>#DIV/0!</v>
      </c>
      <c r="K75" s="226" t="e">
        <f>SUM($J$6:$J75)</f>
        <v>#DIV/0!</v>
      </c>
    </row>
    <row r="76" spans="7:11" x14ac:dyDescent="0.25">
      <c r="G76" s="227"/>
      <c r="H76" s="222"/>
      <c r="I76" s="223"/>
      <c r="J76" s="226" t="e">
        <f t="shared" si="2"/>
        <v>#DIV/0!</v>
      </c>
      <c r="K76" s="226" t="e">
        <f>SUM($J$6:$J76)</f>
        <v>#DIV/0!</v>
      </c>
    </row>
    <row r="77" spans="7:11" x14ac:dyDescent="0.25">
      <c r="G77" s="227"/>
      <c r="H77" s="222"/>
      <c r="I77" s="223"/>
      <c r="J77" s="226" t="e">
        <f t="shared" si="2"/>
        <v>#DIV/0!</v>
      </c>
      <c r="K77" s="226" t="e">
        <f>SUM($J$6:$J77)</f>
        <v>#DIV/0!</v>
      </c>
    </row>
    <row r="78" spans="7:11" x14ac:dyDescent="0.25">
      <c r="G78" s="227"/>
      <c r="H78" s="222"/>
      <c r="I78" s="223"/>
      <c r="J78" s="226" t="e">
        <f t="shared" si="2"/>
        <v>#DIV/0!</v>
      </c>
      <c r="K78" s="226" t="e">
        <f>SUM($J$6:$J78)</f>
        <v>#DIV/0!</v>
      </c>
    </row>
    <row r="79" spans="7:11" x14ac:dyDescent="0.25">
      <c r="G79" s="227"/>
      <c r="H79" s="222"/>
      <c r="I79" s="223"/>
      <c r="J79" s="226" t="e">
        <f t="shared" si="2"/>
        <v>#DIV/0!</v>
      </c>
      <c r="K79" s="226" t="e">
        <f>SUM($J$6:$J79)</f>
        <v>#DIV/0!</v>
      </c>
    </row>
    <row r="80" spans="7:11" x14ac:dyDescent="0.25">
      <c r="G80" s="228"/>
      <c r="H80" s="224"/>
      <c r="I80" s="225"/>
      <c r="J80" s="226" t="e">
        <f t="shared" si="2"/>
        <v>#DIV/0!</v>
      </c>
      <c r="K80" s="226" t="e">
        <f>SUM($J$6:$J80)</f>
        <v>#DIV/0!</v>
      </c>
    </row>
  </sheetData>
  <conditionalFormatting sqref="E1:E1048576">
    <cfRule type="expression" dxfId="4" priority="2">
      <formula>$E1&gt;0.95</formula>
    </cfRule>
  </conditionalFormatting>
  <conditionalFormatting sqref="K1:K5 K81:K1048576">
    <cfRule type="expression" dxfId="3" priority="3">
      <formula>$K1&gt;0.8</formula>
    </cfRule>
  </conditionalFormatting>
  <conditionalFormatting sqref="K6:K80">
    <cfRule type="expression" dxfId="2" priority="1">
      <formula>$E6&gt;0.95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E102"/>
  <sheetViews>
    <sheetView showGridLines="0" workbookViewId="0"/>
  </sheetViews>
  <sheetFormatPr defaultRowHeight="15" x14ac:dyDescent="0.25"/>
  <cols>
    <col min="1" max="3" width="45.7109375" customWidth="1"/>
  </cols>
  <sheetData>
    <row r="1" spans="1:5" ht="18.75" x14ac:dyDescent="0.3">
      <c r="A1" s="116" t="s">
        <v>337</v>
      </c>
      <c r="B1" s="116" t="s">
        <v>338</v>
      </c>
      <c r="C1" s="116" t="s">
        <v>339</v>
      </c>
      <c r="E1" t="str" cm="1">
        <f t="array" ref="E1:E8">_xlfn._xlws.FILTER(ik_viab[Centros de negócio do Ik],ik_viab[Categoria na viabilidade]="Construção")</f>
        <v>Custo Obra</v>
      </c>
    </row>
    <row r="2" spans="1:5" ht="15.75" x14ac:dyDescent="0.25">
      <c r="A2" s="117" t="s">
        <v>340</v>
      </c>
      <c r="B2" s="118" t="s">
        <v>341</v>
      </c>
      <c r="C2" s="119" t="s">
        <v>342</v>
      </c>
      <c r="E2" t="str">
        <v>Dep. Pessoal - Up Estação Vila Sonia</v>
      </c>
    </row>
    <row r="3" spans="1:5" x14ac:dyDescent="0.25">
      <c r="A3" s="120" t="s">
        <v>343</v>
      </c>
      <c r="B3" s="121" t="s">
        <v>341</v>
      </c>
      <c r="C3" s="122" t="s">
        <v>341</v>
      </c>
      <c r="E3" t="str">
        <v>Dep. Pessoal - Up Jardim Prudencia</v>
      </c>
    </row>
    <row r="4" spans="1:5" x14ac:dyDescent="0.25">
      <c r="A4" s="120" t="s">
        <v>344</v>
      </c>
      <c r="B4" s="121" t="s">
        <v>341</v>
      </c>
      <c r="C4" s="122" t="s">
        <v>341</v>
      </c>
      <c r="E4" t="str">
        <v>Dep. Pessoal - Up Pompeia</v>
      </c>
    </row>
    <row r="5" spans="1:5" x14ac:dyDescent="0.25">
      <c r="A5" s="120" t="s">
        <v>345</v>
      </c>
      <c r="B5" s="121" t="s">
        <v>341</v>
      </c>
      <c r="C5" s="122" t="s">
        <v>341</v>
      </c>
      <c r="E5" t="str">
        <v>Dep. Pessoal - Up Select Vila Sonia</v>
      </c>
    </row>
    <row r="6" spans="1:5" x14ac:dyDescent="0.25">
      <c r="A6" s="120" t="s">
        <v>346</v>
      </c>
      <c r="B6" s="121" t="s">
        <v>341</v>
      </c>
      <c r="C6" s="122" t="s">
        <v>341</v>
      </c>
      <c r="E6" t="str">
        <v>Dep. Pessoal - Up Vila Sonia</v>
      </c>
    </row>
    <row r="7" spans="1:5" ht="15.75" x14ac:dyDescent="0.25">
      <c r="A7" s="120" t="s">
        <v>347</v>
      </c>
      <c r="B7" s="121" t="s">
        <v>341</v>
      </c>
      <c r="C7" s="123"/>
      <c r="E7" t="str">
        <v>Pós Obra/reparos</v>
      </c>
    </row>
    <row r="8" spans="1:5" ht="15.75" x14ac:dyDescent="0.25">
      <c r="A8" s="120" t="s">
        <v>348</v>
      </c>
      <c r="B8" s="124" t="s">
        <v>341</v>
      </c>
      <c r="C8" s="123" t="s">
        <v>341</v>
      </c>
      <c r="E8" t="str">
        <v>Reparos</v>
      </c>
    </row>
    <row r="9" spans="1:5" ht="15.75" x14ac:dyDescent="0.25">
      <c r="A9" s="120" t="s">
        <v>349</v>
      </c>
      <c r="B9" s="121" t="s">
        <v>341</v>
      </c>
      <c r="C9" s="123" t="s">
        <v>350</v>
      </c>
    </row>
    <row r="10" spans="1:5" ht="15.75" x14ac:dyDescent="0.25">
      <c r="A10" s="120" t="s">
        <v>351</v>
      </c>
      <c r="B10" s="121" t="s">
        <v>341</v>
      </c>
      <c r="C10" s="123" t="s">
        <v>350</v>
      </c>
    </row>
    <row r="11" spans="1:5" x14ac:dyDescent="0.25">
      <c r="A11" s="120" t="s">
        <v>352</v>
      </c>
      <c r="B11" s="121" t="s">
        <v>341</v>
      </c>
      <c r="C11" s="122" t="s">
        <v>341</v>
      </c>
    </row>
    <row r="12" spans="1:5" ht="15.75" x14ac:dyDescent="0.25">
      <c r="A12" s="120" t="s">
        <v>353</v>
      </c>
      <c r="B12" s="121" t="s">
        <v>341</v>
      </c>
      <c r="C12" s="123" t="s">
        <v>342</v>
      </c>
    </row>
    <row r="13" spans="1:5" ht="15.75" x14ac:dyDescent="0.25">
      <c r="A13" s="120" t="s">
        <v>354</v>
      </c>
      <c r="B13" s="121" t="s">
        <v>355</v>
      </c>
      <c r="C13" s="123"/>
    </row>
    <row r="14" spans="1:5" ht="15.75" x14ac:dyDescent="0.25">
      <c r="A14" s="120" t="s">
        <v>356</v>
      </c>
      <c r="B14" s="121" t="s">
        <v>20</v>
      </c>
      <c r="C14" s="123" t="s">
        <v>357</v>
      </c>
    </row>
    <row r="15" spans="1:5" ht="15.75" x14ac:dyDescent="0.25">
      <c r="A15" s="120" t="s">
        <v>358</v>
      </c>
      <c r="B15" s="121" t="s">
        <v>359</v>
      </c>
      <c r="C15" s="123" t="s">
        <v>342</v>
      </c>
    </row>
    <row r="16" spans="1:5" ht="15.75" x14ac:dyDescent="0.25">
      <c r="A16" s="120" t="s">
        <v>360</v>
      </c>
      <c r="B16" s="121" t="s">
        <v>341</v>
      </c>
      <c r="C16" s="123" t="s">
        <v>342</v>
      </c>
    </row>
    <row r="17" spans="1:3" ht="15.75" x14ac:dyDescent="0.25">
      <c r="A17" s="120" t="s">
        <v>361</v>
      </c>
      <c r="B17" s="121" t="s">
        <v>341</v>
      </c>
      <c r="C17" s="123" t="s">
        <v>342</v>
      </c>
    </row>
    <row r="18" spans="1:3" ht="15.75" x14ac:dyDescent="0.25">
      <c r="A18" s="120" t="s">
        <v>362</v>
      </c>
      <c r="B18" s="121" t="s">
        <v>341</v>
      </c>
      <c r="C18" s="123" t="s">
        <v>342</v>
      </c>
    </row>
    <row r="19" spans="1:3" ht="15.75" x14ac:dyDescent="0.25">
      <c r="A19" s="120" t="s">
        <v>363</v>
      </c>
      <c r="B19" s="121" t="s">
        <v>341</v>
      </c>
      <c r="C19" s="123"/>
    </row>
    <row r="20" spans="1:3" ht="15.75" x14ac:dyDescent="0.25">
      <c r="A20" s="120" t="s">
        <v>364</v>
      </c>
      <c r="B20" s="121" t="s">
        <v>355</v>
      </c>
      <c r="C20" s="123"/>
    </row>
    <row r="21" spans="1:3" ht="15.75" x14ac:dyDescent="0.25">
      <c r="A21" s="120" t="s">
        <v>365</v>
      </c>
      <c r="B21" s="121" t="s">
        <v>341</v>
      </c>
      <c r="C21" s="123" t="s">
        <v>350</v>
      </c>
    </row>
    <row r="22" spans="1:3" ht="15.75" x14ac:dyDescent="0.25">
      <c r="A22" s="120" t="s">
        <v>366</v>
      </c>
      <c r="B22" s="121" t="s">
        <v>367</v>
      </c>
      <c r="C22" s="123" t="s">
        <v>368</v>
      </c>
    </row>
    <row r="23" spans="1:3" ht="15.75" x14ac:dyDescent="0.25">
      <c r="A23" s="120" t="s">
        <v>369</v>
      </c>
      <c r="B23" s="121" t="s">
        <v>341</v>
      </c>
      <c r="C23" s="123" t="s">
        <v>341</v>
      </c>
    </row>
    <row r="24" spans="1:3" ht="15.75" x14ac:dyDescent="0.25">
      <c r="A24" s="120" t="s">
        <v>370</v>
      </c>
      <c r="B24" s="121" t="s">
        <v>341</v>
      </c>
      <c r="C24" s="123" t="s">
        <v>341</v>
      </c>
    </row>
    <row r="25" spans="1:3" ht="15.75" x14ac:dyDescent="0.25">
      <c r="A25" s="120" t="s">
        <v>371</v>
      </c>
      <c r="B25" s="121" t="s">
        <v>341</v>
      </c>
      <c r="C25" s="123" t="s">
        <v>341</v>
      </c>
    </row>
    <row r="26" spans="1:3" ht="15.75" x14ac:dyDescent="0.25">
      <c r="A26" s="120" t="s">
        <v>372</v>
      </c>
      <c r="B26" s="121" t="s">
        <v>341</v>
      </c>
      <c r="C26" s="123" t="s">
        <v>341</v>
      </c>
    </row>
    <row r="27" spans="1:3" ht="15.75" x14ac:dyDescent="0.25">
      <c r="A27" s="120" t="s">
        <v>373</v>
      </c>
      <c r="B27" s="121" t="s">
        <v>341</v>
      </c>
      <c r="C27" s="123" t="s">
        <v>341</v>
      </c>
    </row>
    <row r="28" spans="1:3" ht="15.75" x14ac:dyDescent="0.25">
      <c r="A28" s="120" t="s">
        <v>374</v>
      </c>
      <c r="B28" s="121" t="s">
        <v>359</v>
      </c>
      <c r="C28" s="123" t="s">
        <v>342</v>
      </c>
    </row>
    <row r="29" spans="1:3" ht="15.75" x14ac:dyDescent="0.25">
      <c r="A29" s="120" t="s">
        <v>375</v>
      </c>
      <c r="B29" s="121" t="s">
        <v>359</v>
      </c>
      <c r="C29" s="123" t="s">
        <v>342</v>
      </c>
    </row>
    <row r="30" spans="1:3" ht="15.75" x14ac:dyDescent="0.25">
      <c r="A30" s="120" t="s">
        <v>376</v>
      </c>
      <c r="B30" s="121" t="s">
        <v>359</v>
      </c>
      <c r="C30" s="123" t="s">
        <v>342</v>
      </c>
    </row>
    <row r="31" spans="1:3" ht="15.75" x14ac:dyDescent="0.25">
      <c r="A31" s="120" t="s">
        <v>377</v>
      </c>
      <c r="B31" s="121" t="s">
        <v>359</v>
      </c>
      <c r="C31" s="123" t="s">
        <v>342</v>
      </c>
    </row>
    <row r="32" spans="1:3" ht="15.75" x14ac:dyDescent="0.25">
      <c r="A32" s="120" t="s">
        <v>378</v>
      </c>
      <c r="B32" s="121" t="s">
        <v>359</v>
      </c>
      <c r="C32" s="123" t="s">
        <v>342</v>
      </c>
    </row>
    <row r="33" spans="1:3" ht="15.75" x14ac:dyDescent="0.25">
      <c r="A33" s="120" t="s">
        <v>379</v>
      </c>
      <c r="B33" s="122" t="s">
        <v>341</v>
      </c>
      <c r="C33" s="123" t="s">
        <v>341</v>
      </c>
    </row>
    <row r="34" spans="1:3" ht="15.75" x14ac:dyDescent="0.25">
      <c r="A34" s="120" t="s">
        <v>380</v>
      </c>
      <c r="B34" s="122" t="s">
        <v>341</v>
      </c>
      <c r="C34" s="123" t="s">
        <v>341</v>
      </c>
    </row>
    <row r="35" spans="1:3" ht="15.75" x14ac:dyDescent="0.25">
      <c r="A35" s="120" t="s">
        <v>381</v>
      </c>
      <c r="B35" s="121" t="s">
        <v>367</v>
      </c>
      <c r="C35" s="123"/>
    </row>
    <row r="36" spans="1:3" ht="15.75" x14ac:dyDescent="0.25">
      <c r="A36" s="120" t="s">
        <v>382</v>
      </c>
      <c r="B36" s="121" t="s">
        <v>341</v>
      </c>
      <c r="C36" s="123" t="s">
        <v>350</v>
      </c>
    </row>
    <row r="37" spans="1:3" ht="15.75" x14ac:dyDescent="0.25">
      <c r="A37" s="120" t="s">
        <v>383</v>
      </c>
      <c r="B37" s="121" t="s">
        <v>341</v>
      </c>
      <c r="C37" s="123" t="s">
        <v>350</v>
      </c>
    </row>
    <row r="38" spans="1:3" ht="15.75" x14ac:dyDescent="0.25">
      <c r="A38" s="120" t="s">
        <v>384</v>
      </c>
      <c r="B38" s="121" t="s">
        <v>341</v>
      </c>
      <c r="C38" s="123" t="s">
        <v>350</v>
      </c>
    </row>
    <row r="39" spans="1:3" ht="15.75" x14ac:dyDescent="0.25">
      <c r="A39" s="120" t="s">
        <v>385</v>
      </c>
      <c r="B39" s="121" t="s">
        <v>341</v>
      </c>
      <c r="C39" s="123" t="s">
        <v>386</v>
      </c>
    </row>
    <row r="40" spans="1:3" ht="15.75" x14ac:dyDescent="0.25">
      <c r="A40" s="120" t="s">
        <v>387</v>
      </c>
      <c r="B40" s="121" t="s">
        <v>341</v>
      </c>
      <c r="C40" s="123"/>
    </row>
    <row r="41" spans="1:3" ht="15.75" x14ac:dyDescent="0.25">
      <c r="A41" s="120" t="s">
        <v>388</v>
      </c>
      <c r="B41" s="121" t="s">
        <v>341</v>
      </c>
      <c r="C41" s="123"/>
    </row>
    <row r="42" spans="1:3" ht="15.75" x14ac:dyDescent="0.25">
      <c r="A42" s="120" t="s">
        <v>389</v>
      </c>
      <c r="B42" s="121" t="s">
        <v>341</v>
      </c>
      <c r="C42" s="123" t="s">
        <v>350</v>
      </c>
    </row>
    <row r="43" spans="1:3" ht="15.75" x14ac:dyDescent="0.25">
      <c r="A43" s="120" t="s">
        <v>390</v>
      </c>
      <c r="B43" s="121" t="s">
        <v>367</v>
      </c>
      <c r="C43" s="123" t="s">
        <v>391</v>
      </c>
    </row>
    <row r="44" spans="1:3" ht="15.75" x14ac:dyDescent="0.25">
      <c r="A44" s="120" t="s">
        <v>392</v>
      </c>
      <c r="B44" s="121" t="s">
        <v>341</v>
      </c>
      <c r="C44" s="123" t="s">
        <v>341</v>
      </c>
    </row>
    <row r="45" spans="1:3" ht="15.75" x14ac:dyDescent="0.25">
      <c r="A45" s="120" t="s">
        <v>393</v>
      </c>
      <c r="B45" s="121" t="s">
        <v>20</v>
      </c>
      <c r="C45" s="123" t="s">
        <v>393</v>
      </c>
    </row>
    <row r="46" spans="1:3" ht="15.75" x14ac:dyDescent="0.25">
      <c r="A46" s="120" t="s">
        <v>394</v>
      </c>
      <c r="B46" s="121" t="s">
        <v>20</v>
      </c>
      <c r="C46" s="123" t="s">
        <v>393</v>
      </c>
    </row>
    <row r="47" spans="1:3" ht="15.75" x14ac:dyDescent="0.25">
      <c r="A47" s="120" t="s">
        <v>395</v>
      </c>
      <c r="B47" s="121"/>
      <c r="C47" s="123"/>
    </row>
    <row r="48" spans="1:3" ht="15.75" x14ac:dyDescent="0.25">
      <c r="A48" s="120" t="s">
        <v>396</v>
      </c>
      <c r="B48" s="121" t="s">
        <v>397</v>
      </c>
      <c r="C48" s="123" t="s">
        <v>397</v>
      </c>
    </row>
    <row r="49" spans="1:3" ht="15.75" x14ac:dyDescent="0.25">
      <c r="A49" s="120" t="s">
        <v>398</v>
      </c>
      <c r="B49" s="121" t="s">
        <v>20</v>
      </c>
      <c r="C49" s="123" t="s">
        <v>399</v>
      </c>
    </row>
    <row r="50" spans="1:3" ht="15.75" x14ac:dyDescent="0.25">
      <c r="A50" s="120" t="s">
        <v>400</v>
      </c>
      <c r="B50" s="121" t="s">
        <v>20</v>
      </c>
      <c r="C50" s="123" t="s">
        <v>393</v>
      </c>
    </row>
    <row r="51" spans="1:3" ht="15.75" x14ac:dyDescent="0.25">
      <c r="A51" s="120" t="s">
        <v>401</v>
      </c>
      <c r="B51" s="121" t="s">
        <v>359</v>
      </c>
      <c r="C51" s="123" t="s">
        <v>402</v>
      </c>
    </row>
    <row r="52" spans="1:3" ht="15.75" x14ac:dyDescent="0.25">
      <c r="A52" s="120" t="s">
        <v>403</v>
      </c>
      <c r="B52" s="121" t="s">
        <v>367</v>
      </c>
      <c r="C52" s="123" t="s">
        <v>403</v>
      </c>
    </row>
    <row r="53" spans="1:3" ht="15.75" x14ac:dyDescent="0.25">
      <c r="A53" s="120" t="s">
        <v>404</v>
      </c>
      <c r="B53" s="121" t="s">
        <v>359</v>
      </c>
      <c r="C53" s="123" t="s">
        <v>402</v>
      </c>
    </row>
    <row r="54" spans="1:3" ht="15.75" x14ac:dyDescent="0.25">
      <c r="A54" s="120" t="s">
        <v>405</v>
      </c>
      <c r="B54" s="121" t="s">
        <v>341</v>
      </c>
      <c r="C54" s="123"/>
    </row>
    <row r="55" spans="1:3" ht="15.75" x14ac:dyDescent="0.25">
      <c r="A55" s="120" t="s">
        <v>406</v>
      </c>
      <c r="B55" s="121" t="s">
        <v>341</v>
      </c>
      <c r="C55" s="123"/>
    </row>
    <row r="56" spans="1:3" ht="15.75" x14ac:dyDescent="0.25">
      <c r="A56" s="120" t="s">
        <v>407</v>
      </c>
      <c r="B56" s="121" t="s">
        <v>355</v>
      </c>
      <c r="C56" s="123" t="s">
        <v>408</v>
      </c>
    </row>
    <row r="57" spans="1:3" ht="15.75" x14ac:dyDescent="0.25">
      <c r="A57" s="120" t="s">
        <v>409</v>
      </c>
      <c r="B57" s="121" t="s">
        <v>355</v>
      </c>
      <c r="C57" s="123" t="s">
        <v>410</v>
      </c>
    </row>
    <row r="58" spans="1:3" ht="15.75" x14ac:dyDescent="0.25">
      <c r="A58" s="120" t="s">
        <v>411</v>
      </c>
      <c r="B58" s="121" t="s">
        <v>355</v>
      </c>
      <c r="C58" s="123" t="s">
        <v>412</v>
      </c>
    </row>
    <row r="59" spans="1:3" ht="15.75" x14ac:dyDescent="0.25">
      <c r="A59" s="120" t="s">
        <v>413</v>
      </c>
      <c r="B59" s="121" t="s">
        <v>341</v>
      </c>
      <c r="C59" s="123"/>
    </row>
    <row r="60" spans="1:3" ht="15.75" x14ac:dyDescent="0.25">
      <c r="A60" s="120" t="s">
        <v>3</v>
      </c>
      <c r="B60" s="121" t="s">
        <v>341</v>
      </c>
      <c r="C60" s="123"/>
    </row>
    <row r="61" spans="1:3" ht="15.75" x14ac:dyDescent="0.25">
      <c r="A61" s="120" t="s">
        <v>414</v>
      </c>
      <c r="B61" s="121" t="s">
        <v>341</v>
      </c>
      <c r="C61" s="123"/>
    </row>
    <row r="62" spans="1:3" ht="15.75" x14ac:dyDescent="0.25">
      <c r="A62" s="120" t="s">
        <v>415</v>
      </c>
      <c r="B62" s="121" t="s">
        <v>341</v>
      </c>
      <c r="C62" s="123"/>
    </row>
    <row r="63" spans="1:3" ht="15.75" x14ac:dyDescent="0.25">
      <c r="A63" s="120" t="s">
        <v>416</v>
      </c>
      <c r="B63" s="121" t="s">
        <v>341</v>
      </c>
      <c r="C63" s="123"/>
    </row>
    <row r="64" spans="1:3" ht="15.75" x14ac:dyDescent="0.25">
      <c r="A64" s="120" t="s">
        <v>417</v>
      </c>
      <c r="B64" s="121" t="s">
        <v>341</v>
      </c>
      <c r="C64" s="123"/>
    </row>
    <row r="65" spans="1:3" ht="15.75" x14ac:dyDescent="0.25">
      <c r="A65" s="120" t="s">
        <v>418</v>
      </c>
      <c r="B65" s="121" t="s">
        <v>341</v>
      </c>
      <c r="C65" s="123"/>
    </row>
    <row r="66" spans="1:3" ht="15.75" x14ac:dyDescent="0.25">
      <c r="A66" s="120" t="s">
        <v>419</v>
      </c>
      <c r="B66" s="121" t="s">
        <v>341</v>
      </c>
      <c r="C66" s="123"/>
    </row>
    <row r="67" spans="1:3" ht="15.75" x14ac:dyDescent="0.25">
      <c r="A67" s="120" t="s">
        <v>420</v>
      </c>
      <c r="B67" s="121" t="s">
        <v>341</v>
      </c>
      <c r="C67" s="123"/>
    </row>
    <row r="68" spans="1:3" ht="15.75" x14ac:dyDescent="0.25">
      <c r="A68" s="120" t="s">
        <v>4</v>
      </c>
      <c r="B68" s="121" t="s">
        <v>341</v>
      </c>
      <c r="C68" s="123"/>
    </row>
    <row r="69" spans="1:3" ht="15.75" x14ac:dyDescent="0.25">
      <c r="A69" s="120" t="s">
        <v>421</v>
      </c>
      <c r="B69" s="121" t="s">
        <v>341</v>
      </c>
      <c r="C69" s="123"/>
    </row>
    <row r="70" spans="1:3" ht="15.75" x14ac:dyDescent="0.25">
      <c r="A70" s="120" t="s">
        <v>422</v>
      </c>
      <c r="B70" s="121" t="s">
        <v>341</v>
      </c>
      <c r="C70" s="123"/>
    </row>
    <row r="71" spans="1:3" ht="15.75" x14ac:dyDescent="0.25">
      <c r="A71" s="120" t="s">
        <v>423</v>
      </c>
      <c r="B71" s="121" t="s">
        <v>341</v>
      </c>
      <c r="C71" s="123"/>
    </row>
    <row r="72" spans="1:3" ht="15.75" x14ac:dyDescent="0.25">
      <c r="A72" s="120" t="s">
        <v>424</v>
      </c>
      <c r="B72" s="121" t="s">
        <v>341</v>
      </c>
      <c r="C72" s="123"/>
    </row>
    <row r="73" spans="1:3" ht="15.75" x14ac:dyDescent="0.25">
      <c r="A73" s="120" t="s">
        <v>425</v>
      </c>
      <c r="B73" s="121" t="s">
        <v>341</v>
      </c>
      <c r="C73" s="123"/>
    </row>
    <row r="74" spans="1:3" ht="15.75" x14ac:dyDescent="0.25">
      <c r="A74" s="120" t="s">
        <v>426</v>
      </c>
      <c r="B74" s="121" t="s">
        <v>341</v>
      </c>
      <c r="C74" s="123"/>
    </row>
    <row r="75" spans="1:3" ht="15.75" x14ac:dyDescent="0.25">
      <c r="A75" s="120" t="s">
        <v>427</v>
      </c>
      <c r="B75" s="121" t="s">
        <v>341</v>
      </c>
      <c r="C75" s="123"/>
    </row>
    <row r="76" spans="1:3" x14ac:dyDescent="0.25">
      <c r="A76" s="125" t="s">
        <v>428</v>
      </c>
      <c r="B76" s="126" t="s">
        <v>341</v>
      </c>
      <c r="C76" s="127"/>
    </row>
    <row r="78" spans="1:3" ht="18.75" x14ac:dyDescent="0.3">
      <c r="A78" s="116" t="s">
        <v>338</v>
      </c>
      <c r="B78" s="116" t="s">
        <v>339</v>
      </c>
    </row>
    <row r="79" spans="1:3" x14ac:dyDescent="0.25">
      <c r="A79" t="s">
        <v>341</v>
      </c>
      <c r="B79" t="s">
        <v>341</v>
      </c>
    </row>
    <row r="80" spans="1:3" x14ac:dyDescent="0.25">
      <c r="A80" t="s">
        <v>355</v>
      </c>
      <c r="B80" t="s">
        <v>429</v>
      </c>
    </row>
    <row r="81" spans="1:2" x14ac:dyDescent="0.25">
      <c r="A81" t="s">
        <v>355</v>
      </c>
      <c r="B81" t="s">
        <v>430</v>
      </c>
    </row>
    <row r="82" spans="1:2" x14ac:dyDescent="0.25">
      <c r="A82" t="s">
        <v>355</v>
      </c>
      <c r="B82" t="s">
        <v>357</v>
      </c>
    </row>
    <row r="83" spans="1:2" x14ac:dyDescent="0.25">
      <c r="A83" t="s">
        <v>355</v>
      </c>
      <c r="B83" t="s">
        <v>408</v>
      </c>
    </row>
    <row r="84" spans="1:2" x14ac:dyDescent="0.25">
      <c r="A84" t="s">
        <v>355</v>
      </c>
      <c r="B84" t="s">
        <v>410</v>
      </c>
    </row>
    <row r="85" spans="1:2" x14ac:dyDescent="0.25">
      <c r="A85" t="s">
        <v>355</v>
      </c>
      <c r="B85" t="s">
        <v>412</v>
      </c>
    </row>
    <row r="86" spans="1:2" x14ac:dyDescent="0.25">
      <c r="A86" t="s">
        <v>355</v>
      </c>
      <c r="B86" t="s">
        <v>431</v>
      </c>
    </row>
    <row r="87" spans="1:2" x14ac:dyDescent="0.25">
      <c r="A87" t="s">
        <v>355</v>
      </c>
      <c r="B87" t="s">
        <v>432</v>
      </c>
    </row>
    <row r="88" spans="1:2" x14ac:dyDescent="0.25">
      <c r="A88" t="s">
        <v>367</v>
      </c>
      <c r="B88" t="s">
        <v>403</v>
      </c>
    </row>
    <row r="89" spans="1:2" x14ac:dyDescent="0.25">
      <c r="A89" t="s">
        <v>367</v>
      </c>
      <c r="B89" t="s">
        <v>368</v>
      </c>
    </row>
    <row r="90" spans="1:2" x14ac:dyDescent="0.25">
      <c r="A90" t="s">
        <v>367</v>
      </c>
      <c r="B90" t="s">
        <v>433</v>
      </c>
    </row>
    <row r="91" spans="1:2" x14ac:dyDescent="0.25">
      <c r="A91" t="s">
        <v>367</v>
      </c>
      <c r="B91" t="s">
        <v>391</v>
      </c>
    </row>
    <row r="92" spans="1:2" x14ac:dyDescent="0.25">
      <c r="A92" t="s">
        <v>367</v>
      </c>
      <c r="B92" t="s">
        <v>434</v>
      </c>
    </row>
    <row r="93" spans="1:2" x14ac:dyDescent="0.25">
      <c r="A93" t="s">
        <v>367</v>
      </c>
      <c r="B93" t="s">
        <v>350</v>
      </c>
    </row>
    <row r="94" spans="1:2" x14ac:dyDescent="0.25">
      <c r="A94" t="s">
        <v>367</v>
      </c>
      <c r="B94" t="s">
        <v>386</v>
      </c>
    </row>
    <row r="95" spans="1:2" x14ac:dyDescent="0.25">
      <c r="A95" t="s">
        <v>359</v>
      </c>
      <c r="B95" t="s">
        <v>342</v>
      </c>
    </row>
    <row r="96" spans="1:2" x14ac:dyDescent="0.25">
      <c r="A96" t="s">
        <v>359</v>
      </c>
      <c r="B96" t="s">
        <v>402</v>
      </c>
    </row>
    <row r="97" spans="1:2" x14ac:dyDescent="0.25">
      <c r="A97" t="s">
        <v>359</v>
      </c>
      <c r="B97" t="s">
        <v>435</v>
      </c>
    </row>
    <row r="98" spans="1:2" x14ac:dyDescent="0.25">
      <c r="A98" t="s">
        <v>20</v>
      </c>
      <c r="B98" t="s">
        <v>357</v>
      </c>
    </row>
    <row r="99" spans="1:2" x14ac:dyDescent="0.25">
      <c r="A99" t="s">
        <v>20</v>
      </c>
      <c r="B99" t="s">
        <v>436</v>
      </c>
    </row>
    <row r="100" spans="1:2" x14ac:dyDescent="0.25">
      <c r="A100" t="s">
        <v>20</v>
      </c>
      <c r="B100" t="s">
        <v>399</v>
      </c>
    </row>
    <row r="101" spans="1:2" x14ac:dyDescent="0.25">
      <c r="A101" t="s">
        <v>20</v>
      </c>
      <c r="B101" t="s">
        <v>393</v>
      </c>
    </row>
    <row r="102" spans="1:2" x14ac:dyDescent="0.25">
      <c r="A102" t="s">
        <v>397</v>
      </c>
      <c r="B102" t="s">
        <v>397</v>
      </c>
    </row>
  </sheetData>
  <dataValidations count="2">
    <dataValidation type="list" allowBlank="1" showInputMessage="1" showErrorMessage="1" sqref="B2:B7 B9:B10 B12:B32 B35:B76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2:C76 B33:B34 B11 B8" xr:uid="{FEC68D70-2136-4286-A631-C56DBBBC9F06}">
      <formula1>$B$79:$B$102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B25"/>
  <sheetViews>
    <sheetView showGridLines="0" topLeftCell="R1" workbookViewId="0">
      <selection activeCell="AB3" sqref="AB3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28" width="14.7109375" customWidth="1"/>
  </cols>
  <sheetData>
    <row r="1" spans="1:28" ht="18.75" x14ac:dyDescent="0.3">
      <c r="A1" s="188" t="s">
        <v>438</v>
      </c>
      <c r="B1" s="116"/>
      <c r="N1" s="189">
        <f>SUBTOTAL(9,fin[jan/25])</f>
        <v>812640</v>
      </c>
      <c r="O1" s="189">
        <f>SUBTOTAL(9,fin[fev/25])</f>
        <v>0</v>
      </c>
      <c r="P1" s="189">
        <f>SUBTOTAL(9,fin[mar/25])</f>
        <v>0</v>
      </c>
      <c r="Q1" s="189">
        <f>SUBTOTAL(9,fin[abr/25])</f>
        <v>2911033.91</v>
      </c>
      <c r="R1" s="189">
        <f>SUBTOTAL(9,fin[mai/25])</f>
        <v>5935913.0499999998</v>
      </c>
      <c r="S1" s="189">
        <f>SUBTOTAL(9,fin[jun/25])</f>
        <v>2404000</v>
      </c>
      <c r="T1" s="189">
        <f>SUBTOTAL(9,fin[jul/25])</f>
        <v>545906</v>
      </c>
      <c r="U1" s="189">
        <f>SUBTOTAL(9,fin[ago/25])</f>
        <v>12012000</v>
      </c>
      <c r="V1" s="189">
        <f>SUBTOTAL(9,fin[set/25])</f>
        <v>500000</v>
      </c>
      <c r="W1" s="189">
        <f>SUBTOTAL(9,fin[out/25])</f>
        <v>5750378.79</v>
      </c>
      <c r="X1" s="189">
        <f>SUBTOTAL(9,fin[nov/25])</f>
        <v>0</v>
      </c>
      <c r="Y1" s="189">
        <f>SUBTOTAL(9,fin[dez/25])</f>
        <v>0</v>
      </c>
    </row>
    <row r="2" spans="1:28" x14ac:dyDescent="0.25">
      <c r="A2" s="49" t="s">
        <v>439</v>
      </c>
      <c r="B2" s="49" t="s">
        <v>440</v>
      </c>
      <c r="C2" s="190" t="s">
        <v>441</v>
      </c>
      <c r="D2" s="190" t="s">
        <v>442</v>
      </c>
      <c r="E2" s="190" t="s">
        <v>443</v>
      </c>
      <c r="F2" s="190" t="s">
        <v>444</v>
      </c>
      <c r="G2" s="190" t="s">
        <v>445</v>
      </c>
      <c r="H2" s="190" t="s">
        <v>446</v>
      </c>
      <c r="I2" s="190" t="s">
        <v>447</v>
      </c>
      <c r="J2" s="190" t="s">
        <v>448</v>
      </c>
      <c r="K2" s="190" t="s">
        <v>449</v>
      </c>
      <c r="L2" s="190" t="s">
        <v>54</v>
      </c>
      <c r="M2" s="190" t="s">
        <v>450</v>
      </c>
      <c r="N2" s="191" t="s">
        <v>451</v>
      </c>
      <c r="O2" s="191" t="s">
        <v>452</v>
      </c>
      <c r="P2" s="191" t="s">
        <v>453</v>
      </c>
      <c r="Q2" s="191" t="s">
        <v>454</v>
      </c>
      <c r="R2" s="191" t="s">
        <v>455</v>
      </c>
      <c r="S2" s="191" t="s">
        <v>456</v>
      </c>
      <c r="T2" s="191" t="s">
        <v>457</v>
      </c>
      <c r="U2" s="191" t="s">
        <v>458</v>
      </c>
      <c r="V2" s="191" t="s">
        <v>459</v>
      </c>
      <c r="W2" s="191" t="s">
        <v>460</v>
      </c>
      <c r="X2" s="191" t="s">
        <v>461</v>
      </c>
      <c r="Y2" s="191" t="s">
        <v>462</v>
      </c>
      <c r="Z2" s="191" t="s">
        <v>780</v>
      </c>
      <c r="AA2" s="191" t="s">
        <v>788</v>
      </c>
      <c r="AB2" s="191" t="s">
        <v>798</v>
      </c>
    </row>
    <row r="3" spans="1:28" x14ac:dyDescent="0.25">
      <c r="A3" s="192" t="str">
        <f>fin[[#This Row],[Tomadora]]&amp;"-"&amp;fin[[#This Row],[Agente]]&amp;"-"&amp;LEFT(D3,LEN(D3)-3)</f>
        <v>AMPLA-Blue3-24500</v>
      </c>
      <c r="B3" s="192" t="s">
        <v>463</v>
      </c>
      <c r="C3" s="193" t="s">
        <v>464</v>
      </c>
      <c r="D3" s="194">
        <v>24500000</v>
      </c>
      <c r="E3" s="195">
        <f>SUM(fin[[#This Row],[jan/25]:[dez/25]])</f>
        <v>10540291.84</v>
      </c>
      <c r="F3" s="196" t="s">
        <v>465</v>
      </c>
      <c r="G3" s="197">
        <v>45792</v>
      </c>
      <c r="H3" s="197"/>
      <c r="I3" s="198"/>
      <c r="J3" s="198">
        <v>15000000</v>
      </c>
      <c r="K3" s="199" t="s">
        <v>466</v>
      </c>
      <c r="L3" s="199" t="s">
        <v>467</v>
      </c>
      <c r="M3" s="200"/>
      <c r="N3" s="189"/>
      <c r="O3" s="189"/>
      <c r="P3" s="189"/>
      <c r="Q3" s="189"/>
      <c r="R3" s="189">
        <f>595760.36+840413.25+1749739.44</f>
        <v>3185913.05</v>
      </c>
      <c r="S3" s="189">
        <f>820000+784000</f>
        <v>1604000</v>
      </c>
      <c r="T3" s="189"/>
      <c r="U3" s="189"/>
      <c r="V3" s="189"/>
      <c r="W3" s="189">
        <f>1916792.93*3</f>
        <v>5750378.79</v>
      </c>
      <c r="X3" s="189"/>
      <c r="Y3" s="189"/>
      <c r="Z3" s="189"/>
      <c r="AA3" s="189"/>
      <c r="AB3" s="189"/>
    </row>
    <row r="4" spans="1:28" x14ac:dyDescent="0.25">
      <c r="A4" s="192" t="str">
        <f>fin[[#This Row],[Tomadora]]&amp;"-"&amp;fin[[#This Row],[Agente]]&amp;"-"&amp;LEFT(D4,LEN(D4)-3)</f>
        <v>LUC-Eldorado -6000</v>
      </c>
      <c r="B4" s="192" t="s">
        <v>15</v>
      </c>
      <c r="C4" s="193" t="s">
        <v>468</v>
      </c>
      <c r="D4" s="198">
        <v>6000000</v>
      </c>
      <c r="E4" s="198">
        <f>SUM(fin[[#This Row],[jan/25]:[dez/25]])</f>
        <v>6000000</v>
      </c>
      <c r="F4" s="199" t="s">
        <v>469</v>
      </c>
      <c r="G4" s="197">
        <v>45881</v>
      </c>
      <c r="H4" s="197">
        <v>46611</v>
      </c>
      <c r="I4" s="201"/>
      <c r="J4" s="198">
        <v>6000000</v>
      </c>
      <c r="K4" s="199" t="s">
        <v>470</v>
      </c>
      <c r="L4" s="199" t="s">
        <v>471</v>
      </c>
      <c r="M4" s="200"/>
      <c r="N4" s="189"/>
      <c r="O4" s="189"/>
      <c r="P4" s="189"/>
      <c r="Q4" s="189"/>
      <c r="R4" s="189"/>
      <c r="S4" s="189"/>
      <c r="T4" s="189"/>
      <c r="U4" s="189">
        <v>6000000</v>
      </c>
      <c r="V4" s="189"/>
      <c r="W4" s="189"/>
      <c r="X4" s="189"/>
      <c r="Y4" s="189"/>
      <c r="Z4" s="189"/>
      <c r="AA4" s="189"/>
      <c r="AB4" s="189"/>
    </row>
    <row r="5" spans="1:28" x14ac:dyDescent="0.25">
      <c r="A5" s="192" t="str">
        <f>fin[[#This Row],[Tomadora]]&amp;"-"&amp;fin[[#This Row],[Agente]]&amp;"-"&amp;LEFT(D5,LEN(D5)-3)</f>
        <v>SN4-Pedro Maria-5000</v>
      </c>
      <c r="B5" s="192" t="s">
        <v>18</v>
      </c>
      <c r="C5" s="193" t="s">
        <v>472</v>
      </c>
      <c r="D5" s="195">
        <v>5000000</v>
      </c>
      <c r="E5" s="195">
        <f>SUM(fin[[#This Row],[jan/25]:[dez/25]])</f>
        <v>5000000</v>
      </c>
      <c r="F5" s="196">
        <v>0.746</v>
      </c>
      <c r="G5" s="197">
        <v>45884</v>
      </c>
      <c r="H5" s="197">
        <v>46675</v>
      </c>
      <c r="I5" s="189"/>
      <c r="J5" s="189"/>
      <c r="K5" s="199"/>
      <c r="L5" s="199" t="s">
        <v>471</v>
      </c>
      <c r="M5" s="200"/>
      <c r="N5" s="189"/>
      <c r="O5" s="189"/>
      <c r="P5" s="189"/>
      <c r="Q5" s="189"/>
      <c r="R5" s="189"/>
      <c r="S5" s="189"/>
      <c r="T5" s="189"/>
      <c r="U5" s="189">
        <v>5000000</v>
      </c>
      <c r="V5" s="189"/>
      <c r="W5" s="189"/>
      <c r="X5" s="189"/>
      <c r="Y5" s="189"/>
      <c r="Z5" s="189"/>
      <c r="AA5" s="189"/>
      <c r="AB5" s="189"/>
    </row>
    <row r="6" spans="1:28" x14ac:dyDescent="0.25">
      <c r="A6" s="192" t="str">
        <f>fin[[#This Row],[Tomadora]]&amp;"-"&amp;fin[[#This Row],[Agente]]&amp;"-"&amp;LEFT(D6,LEN(D6)-3)</f>
        <v>SAU-Cy Capital-22000</v>
      </c>
      <c r="B6" s="192" t="s">
        <v>473</v>
      </c>
      <c r="C6" s="193" t="s">
        <v>474</v>
      </c>
      <c r="D6" s="195">
        <v>22000000</v>
      </c>
      <c r="E6" s="195">
        <f>SUM(fin[[#This Row],[jan/25]:[dez/25]])</f>
        <v>2911033.91</v>
      </c>
      <c r="F6" s="196" t="s">
        <v>475</v>
      </c>
      <c r="G6" s="197">
        <v>45762</v>
      </c>
      <c r="H6" s="199"/>
      <c r="I6" s="189"/>
      <c r="J6" s="198">
        <v>5022000</v>
      </c>
      <c r="K6" s="199" t="s">
        <v>476</v>
      </c>
      <c r="L6" s="199" t="s">
        <v>477</v>
      </c>
      <c r="M6" s="200"/>
      <c r="N6" s="189"/>
      <c r="O6" s="189"/>
      <c r="P6" s="189"/>
      <c r="Q6" s="189">
        <v>2911033.91</v>
      </c>
      <c r="R6" s="189"/>
      <c r="S6" s="189"/>
      <c r="T6" s="189"/>
      <c r="U6" s="189"/>
      <c r="V6" s="189"/>
      <c r="W6" s="189"/>
      <c r="X6" s="189"/>
      <c r="Y6" s="189"/>
      <c r="Z6" s="189"/>
      <c r="AA6" s="189"/>
      <c r="AB6" s="189"/>
    </row>
    <row r="7" spans="1:28" x14ac:dyDescent="0.25">
      <c r="A7" s="192" t="str">
        <f>fin[[#This Row],[Tomadora]]&amp;"-"&amp;fin[[#This Row],[Agente]]&amp;"-"&amp;LEFT(D7,LEN(D7)-3)</f>
        <v>AMPLA-Safra-2750</v>
      </c>
      <c r="B7" s="192" t="s">
        <v>463</v>
      </c>
      <c r="C7" s="193" t="s">
        <v>478</v>
      </c>
      <c r="D7" s="198">
        <v>2750000</v>
      </c>
      <c r="E7" s="198">
        <f>SUM(fin[[#This Row],[jan/25]:[dez/25]])</f>
        <v>2750000</v>
      </c>
      <c r="F7" s="196" t="s">
        <v>479</v>
      </c>
      <c r="G7" s="197">
        <v>45783</v>
      </c>
      <c r="H7" s="197">
        <v>47399</v>
      </c>
      <c r="I7" s="198">
        <v>93395.933700162612</v>
      </c>
      <c r="J7" s="198">
        <v>4321258</v>
      </c>
      <c r="K7" s="199" t="s">
        <v>480</v>
      </c>
      <c r="L7" s="199"/>
      <c r="M7" s="202" t="s">
        <v>481</v>
      </c>
      <c r="N7" s="189"/>
      <c r="O7" s="189"/>
      <c r="P7" s="189"/>
      <c r="Q7" s="189"/>
      <c r="R7" s="189">
        <v>2750000</v>
      </c>
      <c r="S7" s="189"/>
      <c r="T7" s="189"/>
      <c r="U7" s="189"/>
      <c r="V7" s="189"/>
      <c r="W7" s="189"/>
      <c r="X7" s="189"/>
      <c r="Y7" s="189"/>
      <c r="Z7" s="189"/>
      <c r="AA7" s="189"/>
      <c r="AB7" s="189"/>
    </row>
    <row r="8" spans="1:28" x14ac:dyDescent="0.25">
      <c r="A8" s="192" t="str">
        <f>fin[[#This Row],[Tomadora]]&amp;"-"&amp;fin[[#This Row],[Agente]]&amp;"-"&amp;LEFT(D8,LEN(D8)-3)</f>
        <v>AMPLA-CEF-4472</v>
      </c>
      <c r="B8" s="192" t="s">
        <v>463</v>
      </c>
      <c r="C8" s="193" t="s">
        <v>482</v>
      </c>
      <c r="D8" s="198">
        <v>4472640</v>
      </c>
      <c r="E8" s="198">
        <f>SUM(fin[[#This Row],[jan/25]:[dez/25]])</f>
        <v>812640</v>
      </c>
      <c r="F8" s="196">
        <v>0.216</v>
      </c>
      <c r="G8" s="197">
        <v>45687</v>
      </c>
      <c r="H8" s="197">
        <v>47148</v>
      </c>
      <c r="I8" s="198">
        <v>141823.14000000001</v>
      </c>
      <c r="J8" s="198">
        <v>4321258</v>
      </c>
      <c r="K8" s="203"/>
      <c r="L8" s="199"/>
      <c r="M8" s="204" t="s">
        <v>483</v>
      </c>
      <c r="N8" s="205">
        <v>812640</v>
      </c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</row>
    <row r="9" spans="1:28" x14ac:dyDescent="0.25">
      <c r="A9" s="192" t="str">
        <f>fin[[#This Row],[Tomadora]]&amp;"-"&amp;fin[[#This Row],[Agente]]&amp;"-"&amp;LEFT(D9,LEN(D9)-3)</f>
        <v>LUC-URBEME-612</v>
      </c>
      <c r="B9" s="192" t="s">
        <v>15</v>
      </c>
      <c r="C9" s="193" t="s">
        <v>484</v>
      </c>
      <c r="D9" s="194">
        <v>612000</v>
      </c>
      <c r="E9" s="195">
        <f>SUM(fin[[#This Row],[jan/25]:[dez/25]])</f>
        <v>612000</v>
      </c>
      <c r="F9" t="s">
        <v>485</v>
      </c>
      <c r="G9" s="197">
        <v>45870</v>
      </c>
      <c r="H9" s="197">
        <v>46600</v>
      </c>
      <c r="I9" s="198">
        <v>14734</v>
      </c>
      <c r="J9" s="194">
        <v>612000</v>
      </c>
      <c r="K9" s="199" t="s">
        <v>480</v>
      </c>
      <c r="L9" s="199" t="s">
        <v>486</v>
      </c>
      <c r="M9" s="200"/>
      <c r="N9" s="189"/>
      <c r="O9" s="189"/>
      <c r="P9" s="189"/>
      <c r="Q9" s="189"/>
      <c r="R9" s="189"/>
      <c r="S9" s="189"/>
      <c r="T9" s="189"/>
      <c r="U9" s="189">
        <v>612000</v>
      </c>
      <c r="V9" s="189"/>
      <c r="W9" s="189"/>
      <c r="X9" s="189"/>
      <c r="Y9" s="189"/>
      <c r="Z9" s="189"/>
      <c r="AA9" s="189"/>
      <c r="AB9" s="189"/>
    </row>
    <row r="10" spans="1:28" x14ac:dyDescent="0.25">
      <c r="A10" s="206" t="str">
        <f>fin[[#This Row],[Tomadora]]&amp;"-"&amp;fin[[#This Row],[Agente]]&amp;"-"&amp;LEFT(D10,LEN(D10)-3)</f>
        <v>ENC-CEF-545</v>
      </c>
      <c r="B10" s="206" t="s">
        <v>487</v>
      </c>
      <c r="C10" s="193" t="s">
        <v>482</v>
      </c>
      <c r="D10" s="194">
        <v>545906</v>
      </c>
      <c r="E10" s="195">
        <f>SUM(fin[[#This Row],[jan/25]:[dez/25]])</f>
        <v>545906</v>
      </c>
      <c r="F10" s="196">
        <v>0.34389999999999998</v>
      </c>
      <c r="G10" s="197">
        <v>45862</v>
      </c>
      <c r="H10" s="197">
        <v>47323</v>
      </c>
      <c r="I10" s="195">
        <v>17116.47</v>
      </c>
      <c r="J10" s="194">
        <v>548528</v>
      </c>
      <c r="K10" s="199"/>
      <c r="L10" s="199" t="s">
        <v>488</v>
      </c>
      <c r="M10" s="200"/>
      <c r="N10" s="189"/>
      <c r="O10" s="189"/>
      <c r="P10" s="189"/>
      <c r="Q10" s="189"/>
      <c r="R10" s="189"/>
      <c r="S10" s="189"/>
      <c r="T10" s="189">
        <v>545906</v>
      </c>
      <c r="U10" s="189"/>
      <c r="V10" s="189"/>
      <c r="W10" s="189"/>
      <c r="X10" s="189"/>
      <c r="Y10" s="189"/>
      <c r="Z10" s="189"/>
      <c r="AA10" s="189"/>
      <c r="AB10" s="189"/>
    </row>
    <row r="11" spans="1:28" x14ac:dyDescent="0.25">
      <c r="A11" s="206" t="str">
        <f>fin[[#This Row],[Tomadora]]&amp;"-"&amp;fin[[#This Row],[Agente]]&amp;"-"&amp;LEFT(D11,LEN(D11)-3)</f>
        <v>ENC-CEF-500</v>
      </c>
      <c r="B11" s="206" t="s">
        <v>487</v>
      </c>
      <c r="C11" s="193" t="s">
        <v>482</v>
      </c>
      <c r="D11" s="194">
        <v>500000</v>
      </c>
      <c r="E11" s="195">
        <f>SUM(fin[[#This Row],[jan/25]:[dez/25]])</f>
        <v>500000</v>
      </c>
      <c r="F11" s="196">
        <v>0.2908</v>
      </c>
      <c r="G11" s="197">
        <v>45834</v>
      </c>
      <c r="H11" s="197">
        <v>47629</v>
      </c>
      <c r="I11" s="195">
        <v>11000</v>
      </c>
      <c r="J11" s="194">
        <v>507953</v>
      </c>
      <c r="K11" s="199"/>
      <c r="L11" s="199" t="s">
        <v>488</v>
      </c>
      <c r="M11" s="200"/>
      <c r="N11" s="189"/>
      <c r="O11" s="189"/>
      <c r="P11" s="189"/>
      <c r="Q11" s="189"/>
      <c r="R11" s="189"/>
      <c r="S11" s="189">
        <v>500000</v>
      </c>
      <c r="T11" s="189"/>
      <c r="U11" s="189"/>
      <c r="V11" s="189"/>
      <c r="W11" s="189"/>
      <c r="X11" s="189"/>
      <c r="Y11" s="189"/>
      <c r="Z11" s="189"/>
      <c r="AA11" s="189"/>
      <c r="AB11" s="189"/>
    </row>
    <row r="12" spans="1:28" x14ac:dyDescent="0.25">
      <c r="A12" s="192" t="str">
        <f>fin[[#This Row],[Tomadora]]&amp;"-"&amp;fin[[#This Row],[Agente]]&amp;"-"&amp;LEFT(D12,LEN(D12)-3)</f>
        <v>INC-CEF-500</v>
      </c>
      <c r="B12" s="192" t="s">
        <v>489</v>
      </c>
      <c r="C12" s="193" t="s">
        <v>482</v>
      </c>
      <c r="D12" s="195">
        <v>500000</v>
      </c>
      <c r="E12" s="195">
        <f>SUM(fin[[#This Row],[jan/25]:[dez/25]])</f>
        <v>500000</v>
      </c>
      <c r="F12" s="207">
        <v>0.252</v>
      </c>
      <c r="G12" s="197">
        <v>45915</v>
      </c>
      <c r="H12" s="197">
        <v>47741</v>
      </c>
      <c r="I12" s="195">
        <v>15938.2</v>
      </c>
      <c r="J12" s="195">
        <v>500000</v>
      </c>
      <c r="K12" s="199"/>
      <c r="L12" s="199" t="s">
        <v>488</v>
      </c>
      <c r="M12" s="200"/>
      <c r="N12" s="189"/>
      <c r="O12" s="189"/>
      <c r="P12" s="189"/>
      <c r="Q12" s="189"/>
      <c r="R12" s="189"/>
      <c r="S12" s="189"/>
      <c r="T12" s="189"/>
      <c r="U12" s="189"/>
      <c r="V12" s="189">
        <v>500000</v>
      </c>
      <c r="W12" s="189"/>
      <c r="X12" s="189"/>
      <c r="Y12" s="189"/>
      <c r="Z12" s="189"/>
      <c r="AA12" s="189"/>
      <c r="AB12" s="189"/>
    </row>
    <row r="13" spans="1:28" x14ac:dyDescent="0.25">
      <c r="A13" s="192" t="str">
        <f>fin[[#This Row],[Tomadora]]&amp;"-"&amp;fin[[#This Row],[Agente]]&amp;"-"&amp;LEFT(D13,LEN(D13)-3)</f>
        <v>LCG-Bradesco-400</v>
      </c>
      <c r="B13" s="192" t="s">
        <v>490</v>
      </c>
      <c r="C13" s="193" t="s">
        <v>491</v>
      </c>
      <c r="D13" s="195">
        <v>400000</v>
      </c>
      <c r="E13" s="195">
        <f>SUM(fin[[#This Row],[jan/25]:[dez/25]])</f>
        <v>400000</v>
      </c>
      <c r="F13" s="207">
        <v>0.47389999999999999</v>
      </c>
      <c r="G13" s="197">
        <v>45895</v>
      </c>
      <c r="H13" s="197">
        <v>47325</v>
      </c>
      <c r="I13" s="195">
        <v>19387.82</v>
      </c>
      <c r="J13" s="189"/>
      <c r="K13" s="199"/>
      <c r="L13" s="199" t="s">
        <v>492</v>
      </c>
      <c r="M13" s="200"/>
      <c r="N13" s="189"/>
      <c r="O13" s="189"/>
      <c r="P13" s="189"/>
      <c r="Q13" s="189"/>
      <c r="R13" s="189"/>
      <c r="S13" s="189"/>
      <c r="T13" s="189"/>
      <c r="U13" s="189">
        <v>400000</v>
      </c>
      <c r="V13" s="189"/>
      <c r="W13" s="189"/>
      <c r="X13" s="189"/>
      <c r="Y13" s="189"/>
      <c r="Z13" s="189"/>
      <c r="AA13" s="189"/>
      <c r="AB13" s="189"/>
    </row>
    <row r="14" spans="1:28" x14ac:dyDescent="0.25">
      <c r="A14" s="192" t="str">
        <f>fin[[#This Row],[Tomadora]]&amp;"-"&amp;fin[[#This Row],[Agente]]&amp;"-"&amp;LEFT(D14,LEN(D14)-3)</f>
        <v>AMPLA-CEF-300</v>
      </c>
      <c r="B14" s="192" t="s">
        <v>463</v>
      </c>
      <c r="C14" s="193" t="s">
        <v>482</v>
      </c>
      <c r="D14" s="208">
        <v>300000</v>
      </c>
      <c r="E14" s="198">
        <f>SUM(fin[[#This Row],[jan/25]:[dez/25]])</f>
        <v>300000</v>
      </c>
      <c r="F14" s="196" t="s">
        <v>493</v>
      </c>
      <c r="G14" s="197">
        <v>45828</v>
      </c>
      <c r="H14" s="197">
        <v>46741</v>
      </c>
      <c r="I14" s="198">
        <v>16168.47</v>
      </c>
      <c r="J14" s="198">
        <v>316719.03999999998</v>
      </c>
      <c r="K14" s="199"/>
      <c r="L14" s="199" t="s">
        <v>488</v>
      </c>
      <c r="M14" s="200"/>
      <c r="N14" s="189"/>
      <c r="O14" s="189"/>
      <c r="P14" s="189"/>
      <c r="Q14" s="189"/>
      <c r="R14" s="189"/>
      <c r="S14" s="189">
        <v>300000</v>
      </c>
      <c r="T14" s="189"/>
      <c r="U14" s="189"/>
      <c r="V14" s="189"/>
      <c r="W14" s="189"/>
      <c r="X14" s="189"/>
      <c r="Y14" s="189"/>
      <c r="Z14" s="189"/>
      <c r="AA14" s="189"/>
      <c r="AB14" s="189"/>
    </row>
    <row r="16" spans="1:28" ht="18.75" x14ac:dyDescent="0.3">
      <c r="A16" s="116" t="s">
        <v>794</v>
      </c>
      <c r="B16" s="116"/>
      <c r="C16" s="116"/>
    </row>
    <row r="17" spans="1:3" x14ac:dyDescent="0.25">
      <c r="A17" s="303" t="s">
        <v>38</v>
      </c>
      <c r="B17" s="303" t="s">
        <v>790</v>
      </c>
      <c r="C17" s="303" t="s">
        <v>791</v>
      </c>
    </row>
    <row r="18" spans="1:3" x14ac:dyDescent="0.25">
      <c r="A18" t="s">
        <v>18</v>
      </c>
      <c r="B18" s="304">
        <v>45778</v>
      </c>
      <c r="C18" s="189">
        <v>944552</v>
      </c>
    </row>
    <row r="19" spans="1:3" x14ac:dyDescent="0.25">
      <c r="A19" t="s">
        <v>792</v>
      </c>
      <c r="B19" s="304">
        <v>45778</v>
      </c>
      <c r="C19" s="189">
        <v>5405358.0599999996</v>
      </c>
    </row>
    <row r="20" spans="1:3" x14ac:dyDescent="0.25">
      <c r="A20" t="s">
        <v>792</v>
      </c>
      <c r="B20" s="304">
        <v>45839</v>
      </c>
      <c r="C20" s="189">
        <v>994999.95</v>
      </c>
    </row>
    <row r="21" spans="1:3" x14ac:dyDescent="0.25">
      <c r="A21" t="s">
        <v>793</v>
      </c>
      <c r="B21" s="304">
        <v>45778</v>
      </c>
      <c r="C21" s="189">
        <v>4295585</v>
      </c>
    </row>
    <row r="22" spans="1:3" x14ac:dyDescent="0.25">
      <c r="A22" t="s">
        <v>793</v>
      </c>
      <c r="B22" s="304">
        <v>45839</v>
      </c>
      <c r="C22" s="189">
        <v>1855585</v>
      </c>
    </row>
    <row r="23" spans="1:3" x14ac:dyDescent="0.25">
      <c r="A23" t="s">
        <v>473</v>
      </c>
      <c r="B23" s="304">
        <v>45748</v>
      </c>
      <c r="C23" s="189">
        <v>528000</v>
      </c>
    </row>
    <row r="24" spans="1:3" x14ac:dyDescent="0.25">
      <c r="A24" t="s">
        <v>795</v>
      </c>
      <c r="B24" s="304">
        <v>45931</v>
      </c>
      <c r="C24" s="189">
        <v>3000000</v>
      </c>
    </row>
    <row r="25" spans="1:3" x14ac:dyDescent="0.25">
      <c r="A25" t="s">
        <v>795</v>
      </c>
      <c r="B25" s="304">
        <v>45962</v>
      </c>
      <c r="C25" s="189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AU11" activePane="bottomRight" state="frozen"/>
      <selection pane="topRight" activeCell="B1" sqref="B1"/>
      <selection pane="bottomLeft" activeCell="A11" sqref="A11"/>
      <selection pane="bottomRight" activeCell="CT64" sqref="CT64:CT65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128">
        <v>46112</v>
      </c>
      <c r="B1" s="129" t="s">
        <v>0</v>
      </c>
      <c r="C1" s="130"/>
      <c r="D1" s="130"/>
      <c r="E1" s="130"/>
      <c r="F1" s="131"/>
      <c r="G1" s="130"/>
      <c r="H1" s="130"/>
      <c r="I1" s="130"/>
      <c r="J1" s="130"/>
      <c r="K1" s="130"/>
      <c r="L1" s="130"/>
      <c r="M1" s="130"/>
      <c r="N1" s="129" t="s">
        <v>1</v>
      </c>
      <c r="O1" s="130"/>
      <c r="P1" s="130"/>
      <c r="Q1" s="130"/>
      <c r="R1" s="131"/>
      <c r="S1" s="130"/>
      <c r="T1" s="130"/>
      <c r="U1" s="130"/>
      <c r="V1" s="130"/>
      <c r="W1" s="130"/>
      <c r="X1" s="130"/>
      <c r="Y1" s="130"/>
      <c r="Z1" s="129" t="s">
        <v>413</v>
      </c>
      <c r="AA1" s="130"/>
      <c r="AB1" s="130"/>
      <c r="AC1" s="130"/>
      <c r="AD1" s="130"/>
      <c r="AE1" s="130"/>
      <c r="AF1" s="130"/>
      <c r="AG1" s="130"/>
      <c r="AH1" s="130"/>
      <c r="AI1" s="130"/>
      <c r="AJ1" s="129" t="s">
        <v>2</v>
      </c>
      <c r="AK1" s="130"/>
      <c r="AL1" s="130"/>
      <c r="AM1" s="130"/>
      <c r="AN1" s="131"/>
      <c r="AO1" s="130"/>
      <c r="AP1" s="130"/>
      <c r="AQ1" s="130"/>
      <c r="AR1" s="130"/>
      <c r="AS1" s="130"/>
      <c r="AT1" s="130"/>
      <c r="AU1" s="130"/>
      <c r="AV1" s="129" t="s">
        <v>3</v>
      </c>
      <c r="AW1" s="130"/>
      <c r="AX1" s="130"/>
      <c r="AY1" s="130"/>
      <c r="AZ1" s="130"/>
      <c r="BA1" s="130"/>
      <c r="BB1" s="130"/>
      <c r="BC1" s="130"/>
      <c r="BD1" s="130"/>
      <c r="BE1" s="130"/>
      <c r="BF1" s="130"/>
      <c r="BG1" s="130"/>
      <c r="BH1" s="129" t="s">
        <v>4</v>
      </c>
      <c r="BI1" s="130"/>
      <c r="BJ1" s="130"/>
      <c r="BK1" s="130"/>
      <c r="BL1" s="130"/>
      <c r="BM1" s="130"/>
      <c r="BN1" s="130"/>
      <c r="BO1" s="130"/>
      <c r="BP1" s="130"/>
      <c r="BQ1" s="130"/>
      <c r="BR1" s="129" t="s">
        <v>789</v>
      </c>
      <c r="BS1" s="130"/>
      <c r="BT1" s="130"/>
      <c r="BU1" s="130"/>
      <c r="BV1" s="130"/>
      <c r="BW1" s="130"/>
      <c r="BX1" s="130"/>
      <c r="BY1" s="130"/>
      <c r="BZ1" s="130"/>
      <c r="CA1" s="130"/>
      <c r="CB1" s="129" t="s">
        <v>5</v>
      </c>
      <c r="CC1" s="130"/>
      <c r="CD1" s="130"/>
      <c r="CE1" s="130"/>
      <c r="CF1" s="131"/>
      <c r="CG1" s="130"/>
      <c r="CH1" s="130"/>
      <c r="CI1" s="130"/>
      <c r="CJ1" s="130"/>
      <c r="CK1" s="130"/>
      <c r="CL1" s="130"/>
      <c r="CM1" s="130"/>
      <c r="CN1" s="129" t="s">
        <v>6</v>
      </c>
      <c r="CO1" s="130"/>
      <c r="CP1" s="130"/>
      <c r="CQ1" s="130"/>
      <c r="CR1" s="130"/>
      <c r="CS1" s="130"/>
      <c r="CT1" s="130"/>
      <c r="CU1" s="130"/>
      <c r="CV1" s="130"/>
      <c r="CW1" s="130"/>
      <c r="CX1" s="130"/>
      <c r="CY1" s="132"/>
    </row>
    <row r="2" spans="1:103" ht="15.75" customHeight="1" x14ac:dyDescent="0.25">
      <c r="B2" s="133" t="s">
        <v>7</v>
      </c>
      <c r="C2" s="134"/>
      <c r="D2" s="135">
        <f t="array" ref="D2">SUMPRODUCT(
   estq[Preço Tab.] *
   (estq[empresa]=D$6) *
   ((estq[Status]="Disponível") + (estq[Status]="Reservada") + (estq[Status]="Em negociação"))
)</f>
        <v>0</v>
      </c>
      <c r="M2" s="136"/>
      <c r="N2" s="133" t="s">
        <v>7</v>
      </c>
      <c r="O2" s="134"/>
      <c r="P2" s="135">
        <f t="array" ref="P2">SUMPRODUCT(
   estq[Preço Tab.] *
   (estq[empresa]=P$6) *
   ((estq[Status]="Disponível") + (estq[Status]="Reservada") + (estq[Status]="Em negociação"))
)</f>
        <v>0</v>
      </c>
      <c r="Y2" s="136"/>
      <c r="Z2" s="133" t="s">
        <v>7</v>
      </c>
      <c r="AA2" s="137"/>
      <c r="AB2" s="135">
        <f t="array" ref="AB2">SUMPRODUCT(
   estq[Preço Tab.] *
   (estq[empresa]=AB$6) *
   ((estq[Status]="Disponível") + (estq[Status]="Reservada") + (estq[Status]="Em negociação"))
)</f>
        <v>0</v>
      </c>
      <c r="AI2" s="136"/>
      <c r="AJ2" s="133" t="s">
        <v>7</v>
      </c>
      <c r="AK2" s="137"/>
      <c r="AL2" s="135">
        <f t="array" ref="AL2">SUMPRODUCT(
   estq[Preço Tab.] *
   (estq[empresa]=AL$6) *
   ((estq[Status]="Disponível") + (estq[Status]="Reservada") + (estq[Status]="Em negociação"))
)</f>
        <v>0</v>
      </c>
      <c r="AU2" s="136"/>
      <c r="AV2" s="133" t="s">
        <v>7</v>
      </c>
      <c r="AW2" s="137"/>
      <c r="AX2" s="135">
        <f t="array" ref="AX2">SUMPRODUCT(
   estq[Preço Tab.] *
   (estq[empresa]=BA$6) *
   ((estq[Status]="Disponível") + (estq[Status]="Reservada") + (estq[Status]="Em negociação"))
)</f>
        <v>0</v>
      </c>
      <c r="BG2" s="136"/>
      <c r="BH2" s="133" t="s">
        <v>7</v>
      </c>
      <c r="BI2" s="137"/>
      <c r="BJ2" s="135">
        <f t="array" ref="BJ2">SUMPRODUCT(
   estq[Preço Tab.] *
   (estq[empresa]=BJ$6) *
   ((estq[Status]="Disponível") + (estq[Status]="Reservada") + (estq[Status]="Em negociação"))
)</f>
        <v>0</v>
      </c>
      <c r="BQ2" s="136"/>
      <c r="BR2" s="133" t="s">
        <v>7</v>
      </c>
      <c r="BS2" s="137"/>
      <c r="BT2" s="135">
        <f t="array" ref="BT2">SUMPRODUCT(
   estq[Preço Tab.] *
   (estq[empresa]=BT$6) *
   ((estq[Status]="Disponível") + (estq[Status]="Reservada") + (estq[Status]="Em negociação"))
)</f>
        <v>0</v>
      </c>
      <c r="CA2" s="136"/>
      <c r="CB2" s="133" t="s">
        <v>7</v>
      </c>
      <c r="CC2" s="137"/>
      <c r="CD2" s="135">
        <f t="array" ref="CD2">SUMPRODUCT(
   estq[Preço Tab.] *
   (estq[empresa]=CD$6) *
   ((estq[Status]="Disponível") + (estq[Status]="Reservada") + (estq[Status]="Em negociação"))
)</f>
        <v>0</v>
      </c>
      <c r="CM2" s="136"/>
      <c r="CN2" s="133" t="s">
        <v>7</v>
      </c>
      <c r="CO2" s="137"/>
      <c r="CP2" s="135">
        <f t="array" ref="CP2">SUMPRODUCT(
   estq[Preço Tab.] *
   (estq[empresa]=CS$6) *
   ((estq[Status]="Disponível") + (estq[Status]="Reservada") + (estq[Status]="Em negociação"))
)</f>
        <v>0</v>
      </c>
      <c r="CY2" s="138"/>
    </row>
    <row r="3" spans="1:103" ht="15.75" customHeight="1" x14ac:dyDescent="0.25">
      <c r="B3" s="139" t="s">
        <v>8</v>
      </c>
      <c r="C3" s="140"/>
      <c r="D3" s="141">
        <f>COUNTIFS(estq[empresa], D$6, estq[Status], "Disponível")
+
COUNTIFS(estq[empresa], D$6, estq[Status], "Reservada")
+
COUNTIFS(estq[empresa], D$6, estq[Status], "Em negociação")</f>
        <v>0</v>
      </c>
      <c r="M3" s="136"/>
      <c r="N3" s="139" t="s">
        <v>8</v>
      </c>
      <c r="O3" s="140"/>
      <c r="P3" s="141">
        <f>COUNTIFS(estq[empresa], P$6, estq[Status], "Disponível")
+
COUNTIFS(estq[empresa], P$6, estq[Status], "Reservada")
+
COUNTIFS(estq[empresa], P$6, estq[Status], "Em negociação")</f>
        <v>0</v>
      </c>
      <c r="Y3" s="136"/>
      <c r="Z3" s="139" t="s">
        <v>8</v>
      </c>
      <c r="AA3" s="142"/>
      <c r="AB3" s="141">
        <f>COUNTIFS(estq[empresa], AB$6, estq[Status], "Disponível")
+
COUNTIFS(estq[empresa], AB$6, estq[Status], "Reservada")
+
COUNTIFS(estq[empresa], AB$6, estq[Status], "Em negociação")</f>
        <v>0</v>
      </c>
      <c r="AI3" s="136"/>
      <c r="AJ3" s="139" t="s">
        <v>8</v>
      </c>
      <c r="AK3" s="142"/>
      <c r="AL3" s="141">
        <f>COUNTIFS(estq[empresa], AL$6, estq[Status], "Disponível")
+
COUNTIFS(estq[empresa], AL$6, estq[Status], "Reservada")
+
COUNTIFS(estq[empresa], AL$6, estq[Status], "Em negociação")</f>
        <v>0</v>
      </c>
      <c r="AU3" s="136"/>
      <c r="AV3" s="139" t="s">
        <v>8</v>
      </c>
      <c r="AW3" s="142"/>
      <c r="AX3" s="141">
        <f>COUNTIFS(estq[empresa], BA$6, estq[Status], "Disponível")
+
COUNTIFS(estq[empresa], BA$6, estq[Status], "Reservada")
+
COUNTIFS(estq[empresa], BA$6, estq[Status], "Em negociação")</f>
        <v>0</v>
      </c>
      <c r="BG3" s="136"/>
      <c r="BH3" s="139" t="s">
        <v>8</v>
      </c>
      <c r="BI3" s="142"/>
      <c r="BJ3" s="141">
        <f>COUNTIFS(estq[empresa], BJ$6, estq[Status], "Disponível")
+
COUNTIFS(estq[empresa], BJ$6, estq[Status], "Reservada")
+
COUNTIFS(estq[empresa], BJ$6, estq[Status], "Em negociação")</f>
        <v>0</v>
      </c>
      <c r="BQ3" s="136"/>
      <c r="BR3" s="139" t="s">
        <v>8</v>
      </c>
      <c r="BS3" s="142"/>
      <c r="BT3" s="141">
        <f>COUNTIFS(estq[empresa], BT$6, estq[Status], "Disponível")
+
COUNTIFS(estq[empresa], BT$6, estq[Status], "Reservada")
+
COUNTIFS(estq[empresa], BT$6, estq[Status], "Em negociação")</f>
        <v>0</v>
      </c>
      <c r="CA3" s="136"/>
      <c r="CB3" s="139" t="s">
        <v>8</v>
      </c>
      <c r="CC3" s="142"/>
      <c r="CD3" s="141">
        <f>COUNTIFS(estq[empresa], CD$6, estq[Status], "Disponível")
+
COUNTIFS(estq[empresa], CD$6, estq[Status], "Reservada")
+
COUNTIFS(estq[empresa], CD$6, estq[Status], "Em negociação")</f>
        <v>0</v>
      </c>
      <c r="CM3" s="136"/>
      <c r="CN3" s="139" t="s">
        <v>8</v>
      </c>
      <c r="CO3" s="142"/>
      <c r="CP3" s="141">
        <f>COUNTIFS(estq[empresa], CS$6, estq[Status], "Disponível")
+
COUNTIFS(estq[empresa], CS$6, estq[Status], "Reservada")
+
COUNTIFS(estq[empresa], CS$6, estq[Status], "Em negociação")</f>
        <v>0</v>
      </c>
      <c r="CY3" s="138"/>
    </row>
    <row r="4" spans="1:103" ht="15.75" customHeight="1" x14ac:dyDescent="0.25">
      <c r="B4" s="133" t="s">
        <v>9</v>
      </c>
      <c r="C4" s="134"/>
      <c r="D4" s="135">
        <f ca="1">SUMIFS(rec.uni[soma.meses],
INDIRECT("rec.uni[natureza]"),"parcela.cef.assinar",
INDIRECT("rec.uni[empresa]"),D$6)</f>
        <v>0</v>
      </c>
      <c r="M4" s="136"/>
      <c r="N4" s="133" t="s">
        <v>9</v>
      </c>
      <c r="O4" s="134"/>
      <c r="P4" s="135">
        <f ca="1">SUMIFS(rec.uni[soma.meses],
INDIRECT("rec.uni[natureza]"),"parcela.cef.assinar",
INDIRECT("rec.uni[empresa]"),P$6)</f>
        <v>0</v>
      </c>
      <c r="Y4" s="136"/>
      <c r="Z4" s="143"/>
      <c r="AI4" s="136"/>
      <c r="AJ4" s="133" t="s">
        <v>9</v>
      </c>
      <c r="AK4" s="137"/>
      <c r="AL4" s="135">
        <f ca="1">SUMIFS(rec.uni[soma.meses],
INDIRECT("rec.uni[natureza]"),"parcela.cef.assinar",
INDIRECT("rec.uni[empresa]"),AL$6)</f>
        <v>0</v>
      </c>
      <c r="AU4" s="136"/>
      <c r="AV4" s="133" t="s">
        <v>9</v>
      </c>
      <c r="AW4" s="137"/>
      <c r="AX4" s="135">
        <f ca="1">SUMIFS(rec.uni[soma.meses],
INDIRECT("rec.uni[natureza]"),"parcela.cef.assinar",
INDIRECT("rec.uni[empresa]"),BA$6)</f>
        <v>0</v>
      </c>
      <c r="BG4" s="136"/>
      <c r="BH4" s="143"/>
      <c r="BQ4" s="136"/>
      <c r="BR4" s="143"/>
      <c r="CA4" s="136"/>
      <c r="CB4" s="133" t="s">
        <v>9</v>
      </c>
      <c r="CC4" s="137"/>
      <c r="CD4" s="135">
        <f ca="1">SUMIFS(rec.uni[soma.meses],
INDIRECT("rec.uni[natureza]"),"parcela.cef.assinar",
INDIRECT("rec.uni[empresa]"),CD$6)</f>
        <v>0</v>
      </c>
      <c r="CM4" s="136"/>
      <c r="CN4" s="133" t="s">
        <v>9</v>
      </c>
      <c r="CO4" s="137"/>
      <c r="CP4" s="135">
        <f ca="1">SUMIFS(rec.uni[soma.meses],
INDIRECT("rec.uni[natureza]"),"parcela.cef.assinar",
INDIRECT("rec.uni[empresa]"),CS$6)</f>
        <v>0</v>
      </c>
      <c r="CY4" s="138"/>
    </row>
    <row r="5" spans="1:103" ht="15.75" customHeight="1" x14ac:dyDescent="0.25">
      <c r="B5" s="144" t="s">
        <v>10</v>
      </c>
      <c r="C5" s="145"/>
      <c r="D5" s="146">
        <f>COUNTIFS(
   rec.uni[empresa],D$6,
   rec.uni[natureza],"parcela.cef.assinar"
)</f>
        <v>0</v>
      </c>
      <c r="M5" s="147"/>
      <c r="N5" s="144" t="s">
        <v>10</v>
      </c>
      <c r="O5" s="145"/>
      <c r="P5" s="146">
        <f>COUNTIFS(
   rec.uni[empresa],P$6,
   rec.uni[natureza],"parcela.cef.assinar"
)</f>
        <v>0</v>
      </c>
      <c r="Y5" s="147"/>
      <c r="Z5" s="149"/>
      <c r="AA5" s="147"/>
      <c r="AB5" s="289"/>
      <c r="AI5" s="147"/>
      <c r="AJ5" s="144" t="s">
        <v>10</v>
      </c>
      <c r="AK5" s="148"/>
      <c r="AL5" s="146">
        <f>COUNTIFS(
   rec.uni[empresa],AL$6,
   rec.uni[natureza],"parcela.cef.assinar"
)</f>
        <v>0</v>
      </c>
      <c r="AU5" s="147"/>
      <c r="AV5" s="144" t="s">
        <v>10</v>
      </c>
      <c r="AW5" s="148"/>
      <c r="AX5" s="146">
        <f>COUNTIFS(
   rec.uni[empresa],BA$6,
   rec.uni[natureza],"parcela.cef.assinar"
)</f>
        <v>0</v>
      </c>
      <c r="BG5" s="147"/>
      <c r="BH5" s="149"/>
      <c r="BI5" s="147"/>
      <c r="BJ5" s="289"/>
      <c r="BQ5" s="147"/>
      <c r="BR5" s="149"/>
      <c r="BS5" s="147"/>
      <c r="BT5" s="289"/>
      <c r="CA5" s="147"/>
      <c r="CB5" s="144" t="s">
        <v>10</v>
      </c>
      <c r="CC5" s="148"/>
      <c r="CD5" s="146">
        <f>COUNTIFS(
   rec.uni[empresa],CD$6,
   rec.uni[natureza],"parcela.cef.assinar"
)</f>
        <v>0</v>
      </c>
      <c r="CM5" s="147"/>
      <c r="CN5" s="144" t="s">
        <v>10</v>
      </c>
      <c r="CO5" s="148"/>
      <c r="CP5" s="146">
        <f>COUNTIFS(
   rec.uni[empresa],CS$6,
   rec.uni[natureza],"parcela.cef.assinar"
)</f>
        <v>0</v>
      </c>
      <c r="CY5" s="150"/>
    </row>
    <row r="6" spans="1:103" ht="15.75" customHeight="1" x14ac:dyDescent="0.25">
      <c r="A6" s="151" t="s">
        <v>11</v>
      </c>
      <c r="B6" s="152" t="s">
        <v>12</v>
      </c>
      <c r="C6" s="153" t="s">
        <v>12</v>
      </c>
      <c r="D6" s="153" t="s">
        <v>12</v>
      </c>
      <c r="E6" s="153" t="s">
        <v>12</v>
      </c>
      <c r="F6" s="153" t="s">
        <v>12</v>
      </c>
      <c r="G6" s="153" t="s">
        <v>12</v>
      </c>
      <c r="H6" s="153" t="s">
        <v>12</v>
      </c>
      <c r="I6" s="153" t="s">
        <v>12</v>
      </c>
      <c r="J6" s="153" t="s">
        <v>12</v>
      </c>
      <c r="K6" s="153" t="s">
        <v>12</v>
      </c>
      <c r="L6" s="153" t="s">
        <v>12</v>
      </c>
      <c r="M6" s="154" t="s">
        <v>12</v>
      </c>
      <c r="N6" s="152" t="s">
        <v>13</v>
      </c>
      <c r="O6" s="153" t="s">
        <v>13</v>
      </c>
      <c r="P6" s="153" t="s">
        <v>13</v>
      </c>
      <c r="Q6" s="153" t="s">
        <v>13</v>
      </c>
      <c r="R6" s="155" t="s">
        <v>13</v>
      </c>
      <c r="S6" s="153" t="s">
        <v>13</v>
      </c>
      <c r="T6" s="153" t="s">
        <v>13</v>
      </c>
      <c r="U6" s="153" t="s">
        <v>13</v>
      </c>
      <c r="V6" s="153" t="s">
        <v>13</v>
      </c>
      <c r="W6" s="153" t="s">
        <v>13</v>
      </c>
      <c r="X6" s="153" t="s">
        <v>13</v>
      </c>
      <c r="Y6" s="154" t="s">
        <v>13</v>
      </c>
      <c r="Z6" s="152" t="s">
        <v>787</v>
      </c>
      <c r="AA6" s="153" t="s">
        <v>787</v>
      </c>
      <c r="AB6" s="153" t="s">
        <v>787</v>
      </c>
      <c r="AC6" s="153" t="s">
        <v>787</v>
      </c>
      <c r="AD6" s="153" t="s">
        <v>787</v>
      </c>
      <c r="AE6" s="153" t="s">
        <v>787</v>
      </c>
      <c r="AF6" s="153" t="s">
        <v>787</v>
      </c>
      <c r="AG6" s="153" t="s">
        <v>787</v>
      </c>
      <c r="AH6" s="153" t="s">
        <v>787</v>
      </c>
      <c r="AI6" s="154" t="s">
        <v>787</v>
      </c>
      <c r="AJ6" s="152" t="s">
        <v>14</v>
      </c>
      <c r="AK6" s="153" t="s">
        <v>14</v>
      </c>
      <c r="AL6" s="153" t="s">
        <v>14</v>
      </c>
      <c r="AM6" s="153" t="s">
        <v>14</v>
      </c>
      <c r="AN6" s="153" t="s">
        <v>14</v>
      </c>
      <c r="AO6" s="153" t="s">
        <v>14</v>
      </c>
      <c r="AP6" s="153" t="s">
        <v>14</v>
      </c>
      <c r="AQ6" s="153" t="s">
        <v>14</v>
      </c>
      <c r="AR6" s="153" t="s">
        <v>14</v>
      </c>
      <c r="AS6" s="153" t="s">
        <v>14</v>
      </c>
      <c r="AT6" s="153" t="s">
        <v>14</v>
      </c>
      <c r="AU6" s="154" t="s">
        <v>14</v>
      </c>
      <c r="AV6" s="152" t="s">
        <v>15</v>
      </c>
      <c r="AW6" s="153" t="s">
        <v>15</v>
      </c>
      <c r="AX6" s="153" t="s">
        <v>15</v>
      </c>
      <c r="AY6" s="153" t="s">
        <v>15</v>
      </c>
      <c r="AZ6" s="153" t="s">
        <v>15</v>
      </c>
      <c r="BA6" s="153" t="s">
        <v>15</v>
      </c>
      <c r="BB6" s="153" t="s">
        <v>15</v>
      </c>
      <c r="BC6" s="153" t="s">
        <v>15</v>
      </c>
      <c r="BD6" s="153" t="s">
        <v>15</v>
      </c>
      <c r="BE6" s="153" t="s">
        <v>15</v>
      </c>
      <c r="BF6" s="153" t="s">
        <v>15</v>
      </c>
      <c r="BG6" s="154" t="s">
        <v>15</v>
      </c>
      <c r="BH6" s="152" t="s">
        <v>16</v>
      </c>
      <c r="BI6" s="288" t="s">
        <v>16</v>
      </c>
      <c r="BJ6" s="288" t="s">
        <v>16</v>
      </c>
      <c r="BK6" s="153" t="s">
        <v>16</v>
      </c>
      <c r="BL6" s="153" t="s">
        <v>16</v>
      </c>
      <c r="BM6" s="153" t="s">
        <v>16</v>
      </c>
      <c r="BN6" s="153" t="s">
        <v>16</v>
      </c>
      <c r="BO6" s="153" t="s">
        <v>16</v>
      </c>
      <c r="BP6" s="153" t="s">
        <v>16</v>
      </c>
      <c r="BQ6" s="154" t="s">
        <v>16</v>
      </c>
      <c r="BR6" s="152" t="s">
        <v>473</v>
      </c>
      <c r="BS6" s="153" t="s">
        <v>473</v>
      </c>
      <c r="BT6" s="153" t="s">
        <v>473</v>
      </c>
      <c r="BU6" s="153" t="s">
        <v>473</v>
      </c>
      <c r="BV6" s="153" t="s">
        <v>473</v>
      </c>
      <c r="BW6" s="153" t="s">
        <v>473</v>
      </c>
      <c r="BX6" s="153" t="s">
        <v>473</v>
      </c>
      <c r="BY6" s="153" t="s">
        <v>473</v>
      </c>
      <c r="BZ6" s="153" t="s">
        <v>473</v>
      </c>
      <c r="CA6" s="154" t="s">
        <v>473</v>
      </c>
      <c r="CB6" s="152" t="s">
        <v>17</v>
      </c>
      <c r="CC6" s="153" t="s">
        <v>17</v>
      </c>
      <c r="CD6" s="153" t="s">
        <v>17</v>
      </c>
      <c r="CE6" s="153" t="s">
        <v>17</v>
      </c>
      <c r="CF6" s="153" t="s">
        <v>17</v>
      </c>
      <c r="CG6" s="153" t="s">
        <v>17</v>
      </c>
      <c r="CH6" s="153" t="s">
        <v>17</v>
      </c>
      <c r="CI6" s="153" t="s">
        <v>17</v>
      </c>
      <c r="CJ6" s="153" t="s">
        <v>17</v>
      </c>
      <c r="CK6" s="153" t="s">
        <v>17</v>
      </c>
      <c r="CL6" s="153" t="s">
        <v>17</v>
      </c>
      <c r="CM6" s="154" t="s">
        <v>17</v>
      </c>
      <c r="CN6" s="152" t="s">
        <v>18</v>
      </c>
      <c r="CO6" s="153" t="s">
        <v>18</v>
      </c>
      <c r="CP6" s="153" t="s">
        <v>18</v>
      </c>
      <c r="CQ6" s="153" t="s">
        <v>18</v>
      </c>
      <c r="CR6" s="153" t="s">
        <v>18</v>
      </c>
      <c r="CS6" s="153" t="s">
        <v>18</v>
      </c>
      <c r="CT6" s="153" t="s">
        <v>18</v>
      </c>
      <c r="CU6" s="153" t="s">
        <v>18</v>
      </c>
      <c r="CV6" s="153" t="s">
        <v>18</v>
      </c>
      <c r="CW6" s="153" t="s">
        <v>18</v>
      </c>
      <c r="CX6" s="153" t="s">
        <v>18</v>
      </c>
      <c r="CY6" s="154" t="s">
        <v>18</v>
      </c>
    </row>
    <row r="7" spans="1:103" ht="30" customHeight="1" x14ac:dyDescent="0.25">
      <c r="A7" s="151" t="s">
        <v>19</v>
      </c>
      <c r="B7" s="156" t="s">
        <v>20</v>
      </c>
      <c r="C7" s="157" t="s">
        <v>21</v>
      </c>
      <c r="D7" s="157" t="s">
        <v>22</v>
      </c>
      <c r="E7" s="157" t="s">
        <v>23</v>
      </c>
      <c r="F7" s="158" t="s">
        <v>24</v>
      </c>
      <c r="G7" s="157" t="s">
        <v>25</v>
      </c>
      <c r="H7" s="157" t="s">
        <v>26</v>
      </c>
      <c r="I7" s="159" t="s">
        <v>437</v>
      </c>
      <c r="J7" s="159" t="s">
        <v>367</v>
      </c>
      <c r="K7" s="159" t="s">
        <v>359</v>
      </c>
      <c r="L7" s="159" t="s">
        <v>20</v>
      </c>
      <c r="M7" s="160" t="s">
        <v>397</v>
      </c>
      <c r="N7" s="156" t="s">
        <v>20</v>
      </c>
      <c r="O7" s="157" t="s">
        <v>21</v>
      </c>
      <c r="P7" s="157" t="s">
        <v>22</v>
      </c>
      <c r="Q7" s="157" t="s">
        <v>23</v>
      </c>
      <c r="R7" s="158" t="s">
        <v>24</v>
      </c>
      <c r="S7" s="157" t="s">
        <v>25</v>
      </c>
      <c r="T7" s="157" t="s">
        <v>26</v>
      </c>
      <c r="U7" s="159" t="s">
        <v>437</v>
      </c>
      <c r="V7" s="159" t="s">
        <v>367</v>
      </c>
      <c r="W7" s="159" t="s">
        <v>359</v>
      </c>
      <c r="X7" s="159" t="s">
        <v>20</v>
      </c>
      <c r="Y7" s="160" t="s">
        <v>397</v>
      </c>
      <c r="Z7" s="156" t="s">
        <v>20</v>
      </c>
      <c r="AA7" s="157" t="s">
        <v>21</v>
      </c>
      <c r="AB7" s="287" t="s">
        <v>44</v>
      </c>
      <c r="AC7" s="157" t="s">
        <v>25</v>
      </c>
      <c r="AD7" s="157" t="s">
        <v>26</v>
      </c>
      <c r="AE7" s="159" t="s">
        <v>437</v>
      </c>
      <c r="AF7" s="159" t="s">
        <v>367</v>
      </c>
      <c r="AG7" s="159" t="s">
        <v>359</v>
      </c>
      <c r="AH7" s="159" t="s">
        <v>20</v>
      </c>
      <c r="AI7" s="160" t="s">
        <v>397</v>
      </c>
      <c r="AJ7" s="156" t="s">
        <v>20</v>
      </c>
      <c r="AK7" s="157" t="s">
        <v>21</v>
      </c>
      <c r="AL7" s="157" t="s">
        <v>22</v>
      </c>
      <c r="AM7" s="157" t="s">
        <v>23</v>
      </c>
      <c r="AN7" s="158" t="s">
        <v>24</v>
      </c>
      <c r="AO7" s="157" t="s">
        <v>25</v>
      </c>
      <c r="AP7" s="157" t="s">
        <v>26</v>
      </c>
      <c r="AQ7" s="159" t="s">
        <v>437</v>
      </c>
      <c r="AR7" s="159" t="s">
        <v>367</v>
      </c>
      <c r="AS7" s="159" t="s">
        <v>359</v>
      </c>
      <c r="AT7" s="159" t="s">
        <v>20</v>
      </c>
      <c r="AU7" s="160" t="s">
        <v>397</v>
      </c>
      <c r="AV7" s="156" t="s">
        <v>20</v>
      </c>
      <c r="AW7" s="157" t="s">
        <v>21</v>
      </c>
      <c r="AX7" s="157" t="s">
        <v>22</v>
      </c>
      <c r="AY7" s="157" t="s">
        <v>23</v>
      </c>
      <c r="AZ7" s="158" t="s">
        <v>24</v>
      </c>
      <c r="BA7" s="157" t="s">
        <v>25</v>
      </c>
      <c r="BB7" s="157" t="s">
        <v>26</v>
      </c>
      <c r="BC7" s="159" t="s">
        <v>437</v>
      </c>
      <c r="BD7" s="159" t="s">
        <v>367</v>
      </c>
      <c r="BE7" s="159" t="s">
        <v>359</v>
      </c>
      <c r="BF7" s="159" t="s">
        <v>20</v>
      </c>
      <c r="BG7" s="160" t="s">
        <v>397</v>
      </c>
      <c r="BH7" s="156" t="s">
        <v>20</v>
      </c>
      <c r="BI7" s="157" t="s">
        <v>21</v>
      </c>
      <c r="BJ7" s="157" t="s">
        <v>27</v>
      </c>
      <c r="BK7" s="157" t="s">
        <v>25</v>
      </c>
      <c r="BL7" s="157" t="s">
        <v>26</v>
      </c>
      <c r="BM7" s="159" t="s">
        <v>437</v>
      </c>
      <c r="BN7" s="159" t="s">
        <v>367</v>
      </c>
      <c r="BO7" s="159" t="s">
        <v>359</v>
      </c>
      <c r="BP7" s="159" t="s">
        <v>20</v>
      </c>
      <c r="BQ7" s="160" t="s">
        <v>397</v>
      </c>
      <c r="BR7" s="156" t="s">
        <v>20</v>
      </c>
      <c r="BS7" s="157" t="s">
        <v>21</v>
      </c>
      <c r="BT7" s="287" t="s">
        <v>44</v>
      </c>
      <c r="BU7" s="157" t="s">
        <v>25</v>
      </c>
      <c r="BV7" s="157" t="s">
        <v>26</v>
      </c>
      <c r="BW7" s="159" t="s">
        <v>437</v>
      </c>
      <c r="BX7" s="159" t="s">
        <v>367</v>
      </c>
      <c r="BY7" s="159" t="s">
        <v>359</v>
      </c>
      <c r="BZ7" s="159" t="s">
        <v>20</v>
      </c>
      <c r="CA7" s="160" t="s">
        <v>397</v>
      </c>
      <c r="CB7" s="156" t="s">
        <v>20</v>
      </c>
      <c r="CC7" s="157" t="s">
        <v>21</v>
      </c>
      <c r="CD7" s="157" t="s">
        <v>22</v>
      </c>
      <c r="CE7" s="157" t="s">
        <v>23</v>
      </c>
      <c r="CF7" s="158" t="s">
        <v>24</v>
      </c>
      <c r="CG7" s="157" t="s">
        <v>25</v>
      </c>
      <c r="CH7" s="157" t="s">
        <v>26</v>
      </c>
      <c r="CI7" s="159" t="s">
        <v>437</v>
      </c>
      <c r="CJ7" s="159" t="s">
        <v>367</v>
      </c>
      <c r="CK7" s="159" t="s">
        <v>359</v>
      </c>
      <c r="CL7" s="159" t="s">
        <v>20</v>
      </c>
      <c r="CM7" s="160" t="s">
        <v>397</v>
      </c>
      <c r="CN7" s="156" t="s">
        <v>20</v>
      </c>
      <c r="CO7" s="157" t="s">
        <v>21</v>
      </c>
      <c r="CP7" s="157" t="s">
        <v>22</v>
      </c>
      <c r="CQ7" s="157" t="s">
        <v>23</v>
      </c>
      <c r="CR7" s="158" t="s">
        <v>24</v>
      </c>
      <c r="CS7" s="157" t="s">
        <v>25</v>
      </c>
      <c r="CT7" s="157" t="s">
        <v>26</v>
      </c>
      <c r="CU7" s="159" t="s">
        <v>437</v>
      </c>
      <c r="CV7" s="159" t="s">
        <v>367</v>
      </c>
      <c r="CW7" s="159" t="s">
        <v>359</v>
      </c>
      <c r="CX7" s="159" t="s">
        <v>20</v>
      </c>
      <c r="CY7" s="161" t="s">
        <v>397</v>
      </c>
    </row>
    <row r="8" spans="1:103" ht="15.75" customHeight="1" x14ac:dyDescent="0.25">
      <c r="A8" s="162" t="s">
        <v>28</v>
      </c>
      <c r="B8" s="163">
        <f t="shared" ref="B8:AI8" si="0">SUMIF($A$11:$A$122,"&lt;="&amp;$A$1,B$11:B$122)</f>
        <v>0</v>
      </c>
      <c r="C8" s="164">
        <f t="shared" ca="1" si="0"/>
        <v>0</v>
      </c>
      <c r="D8" s="164">
        <f t="shared" ca="1" si="0"/>
        <v>0</v>
      </c>
      <c r="E8" s="164">
        <f t="shared" ca="1" si="0"/>
        <v>0</v>
      </c>
      <c r="F8" s="165">
        <f t="shared" si="0"/>
        <v>5141779.45</v>
      </c>
      <c r="G8" s="164">
        <f t="shared" ca="1" si="0"/>
        <v>0</v>
      </c>
      <c r="H8" s="164">
        <f>SUMIF($A$11:$A$122,"&lt;="&amp;$A$1,H$11:H$122)</f>
        <v>0</v>
      </c>
      <c r="I8" s="164">
        <f t="shared" si="0"/>
        <v>0</v>
      </c>
      <c r="J8" s="164">
        <f t="shared" si="0"/>
        <v>0</v>
      </c>
      <c r="K8" s="164">
        <f t="shared" si="0"/>
        <v>0</v>
      </c>
      <c r="L8" s="164">
        <f t="shared" si="0"/>
        <v>0</v>
      </c>
      <c r="M8" s="165">
        <f t="shared" si="0"/>
        <v>0</v>
      </c>
      <c r="N8" s="163">
        <f t="shared" si="0"/>
        <v>0</v>
      </c>
      <c r="O8" s="164">
        <f t="shared" ca="1" si="0"/>
        <v>0</v>
      </c>
      <c r="P8" s="164">
        <f t="shared" ca="1" si="0"/>
        <v>0</v>
      </c>
      <c r="Q8" s="164">
        <f t="shared" ca="1" si="0"/>
        <v>0</v>
      </c>
      <c r="R8" s="165">
        <f t="shared" si="0"/>
        <v>5133141.9800000004</v>
      </c>
      <c r="S8" s="164">
        <f t="shared" ca="1" si="0"/>
        <v>0</v>
      </c>
      <c r="T8" s="164">
        <f>SUMIF($A$11:$A$122,"&lt;="&amp;$A$1,T$11:T$122)</f>
        <v>0</v>
      </c>
      <c r="U8" s="164">
        <f t="shared" si="0"/>
        <v>0</v>
      </c>
      <c r="V8" s="164">
        <f t="shared" si="0"/>
        <v>0</v>
      </c>
      <c r="W8" s="164">
        <f t="shared" si="0"/>
        <v>0</v>
      </c>
      <c r="X8" s="164">
        <f t="shared" si="0"/>
        <v>0</v>
      </c>
      <c r="Y8" s="165">
        <f t="shared" si="0"/>
        <v>0</v>
      </c>
      <c r="Z8" s="163">
        <f t="shared" si="0"/>
        <v>0</v>
      </c>
      <c r="AA8" s="164">
        <f t="shared" ca="1" si="0"/>
        <v>0</v>
      </c>
      <c r="AB8" s="166">
        <f t="shared" ca="1" si="0"/>
        <v>0</v>
      </c>
      <c r="AC8" s="164">
        <f t="shared" ca="1" si="0"/>
        <v>0</v>
      </c>
      <c r="AD8" s="164">
        <f t="shared" si="0"/>
        <v>0</v>
      </c>
      <c r="AE8" s="164">
        <f t="shared" si="0"/>
        <v>0</v>
      </c>
      <c r="AF8" s="164">
        <f t="shared" si="0"/>
        <v>0</v>
      </c>
      <c r="AG8" s="164">
        <f t="shared" si="0"/>
        <v>0</v>
      </c>
      <c r="AH8" s="164">
        <f t="shared" si="0"/>
        <v>0</v>
      </c>
      <c r="AI8" s="165">
        <f t="shared" si="0"/>
        <v>0</v>
      </c>
      <c r="AJ8" s="163">
        <f>SUMIF($A$11:$A$122,"&lt;="&amp;$A$1,AJ$11:AJ$122)</f>
        <v>0</v>
      </c>
      <c r="AK8" s="164">
        <f ca="1">SUMIF($A$11:$A$122,"&lt;="&amp;$A$1,AK$11:AK$122)</f>
        <v>0</v>
      </c>
      <c r="AL8" s="164">
        <f ca="1">SUMIF($A$11:$A$122,"&lt;="&amp;$A$1,AL$11:AL$122)</f>
        <v>0</v>
      </c>
      <c r="AM8" s="164">
        <f ca="1">SUMIF($A$11:$A$122,"&lt;="&amp;$A$1,AM$11:AM$122)</f>
        <v>0</v>
      </c>
      <c r="AN8" s="165">
        <f t="shared" ref="AN8:CY8" si="1">SUMIF($A$11:$A$122,"&lt;="&amp;$A$1,AN$11:AN$122)</f>
        <v>3088581.51</v>
      </c>
      <c r="AO8" s="164">
        <f t="shared" ca="1" si="1"/>
        <v>0</v>
      </c>
      <c r="AP8" s="164">
        <f t="shared" si="1"/>
        <v>0</v>
      </c>
      <c r="AQ8" s="164">
        <f t="shared" si="1"/>
        <v>0</v>
      </c>
      <c r="AR8" s="164">
        <f t="shared" si="1"/>
        <v>0</v>
      </c>
      <c r="AS8" s="164">
        <f t="shared" si="1"/>
        <v>0</v>
      </c>
      <c r="AT8" s="164">
        <f t="shared" si="1"/>
        <v>0</v>
      </c>
      <c r="AU8" s="165">
        <f t="shared" si="1"/>
        <v>0</v>
      </c>
      <c r="AV8" s="163">
        <f t="shared" si="1"/>
        <v>0</v>
      </c>
      <c r="AW8" s="164">
        <f t="shared" ca="1" si="1"/>
        <v>0</v>
      </c>
      <c r="AX8" s="164">
        <f ca="1">SUMIF($A$11:$A$122,"&lt;="&amp;$A$1,AX$11:AX$122)</f>
        <v>0</v>
      </c>
      <c r="AY8" s="164">
        <f ca="1">SUMIF($A$11:$A$122,"&lt;="&amp;$A$1,AY$11:AY$122)</f>
        <v>0</v>
      </c>
      <c r="AZ8" s="165">
        <f t="shared" si="1"/>
        <v>2031309.8199999998</v>
      </c>
      <c r="BA8" s="164">
        <f ca="1">SUMIF($A$11:$A$122,"&lt;="&amp;$A$1,BA$11:BA$122)</f>
        <v>0</v>
      </c>
      <c r="BB8" s="164">
        <f t="shared" si="1"/>
        <v>0</v>
      </c>
      <c r="BC8" s="164">
        <f t="shared" si="1"/>
        <v>0</v>
      </c>
      <c r="BD8" s="164">
        <f t="shared" si="1"/>
        <v>0</v>
      </c>
      <c r="BE8" s="164">
        <f t="shared" si="1"/>
        <v>0</v>
      </c>
      <c r="BF8" s="164">
        <f t="shared" si="1"/>
        <v>0</v>
      </c>
      <c r="BG8" s="165">
        <f t="shared" si="1"/>
        <v>0</v>
      </c>
      <c r="BH8" s="163">
        <f t="shared" si="1"/>
        <v>0</v>
      </c>
      <c r="BI8" s="164">
        <f t="shared" ca="1" si="1"/>
        <v>0</v>
      </c>
      <c r="BJ8" s="166">
        <f t="shared" ca="1" si="1"/>
        <v>6821939.3600000022</v>
      </c>
      <c r="BK8" s="164">
        <f t="shared" ca="1" si="1"/>
        <v>0</v>
      </c>
      <c r="BL8" s="164">
        <f t="shared" si="1"/>
        <v>0</v>
      </c>
      <c r="BM8" s="164">
        <f t="shared" si="1"/>
        <v>0</v>
      </c>
      <c r="BN8" s="164">
        <f t="shared" si="1"/>
        <v>0</v>
      </c>
      <c r="BO8" s="164">
        <f t="shared" si="1"/>
        <v>0</v>
      </c>
      <c r="BP8" s="164">
        <f t="shared" si="1"/>
        <v>0</v>
      </c>
      <c r="BQ8" s="165">
        <f t="shared" si="1"/>
        <v>0</v>
      </c>
      <c r="BR8" s="163">
        <f t="shared" si="1"/>
        <v>0</v>
      </c>
      <c r="BS8" s="164">
        <f t="shared" ca="1" si="1"/>
        <v>0</v>
      </c>
      <c r="BT8" s="166">
        <f t="shared" ca="1" si="1"/>
        <v>0</v>
      </c>
      <c r="BU8" s="164">
        <f t="shared" ca="1" si="1"/>
        <v>0</v>
      </c>
      <c r="BV8" s="164">
        <f t="shared" si="1"/>
        <v>0</v>
      </c>
      <c r="BW8" s="164">
        <f t="shared" si="1"/>
        <v>0</v>
      </c>
      <c r="BX8" s="164">
        <f t="shared" si="1"/>
        <v>0</v>
      </c>
      <c r="BY8" s="164">
        <f t="shared" si="1"/>
        <v>0</v>
      </c>
      <c r="BZ8" s="164">
        <f t="shared" si="1"/>
        <v>0</v>
      </c>
      <c r="CA8" s="165">
        <f t="shared" si="1"/>
        <v>0</v>
      </c>
      <c r="CB8" s="163">
        <f t="shared" si="1"/>
        <v>0</v>
      </c>
      <c r="CC8" s="164">
        <f t="shared" ca="1" si="1"/>
        <v>0</v>
      </c>
      <c r="CD8" s="164">
        <f t="shared" ca="1" si="1"/>
        <v>0</v>
      </c>
      <c r="CE8" s="164">
        <f t="shared" ca="1" si="1"/>
        <v>0</v>
      </c>
      <c r="CF8" s="165">
        <f t="shared" si="1"/>
        <v>4036212.9600000004</v>
      </c>
      <c r="CG8" s="164">
        <f t="shared" ca="1" si="1"/>
        <v>0</v>
      </c>
      <c r="CH8" s="164">
        <f t="shared" si="1"/>
        <v>0</v>
      </c>
      <c r="CI8" s="164">
        <f t="shared" si="1"/>
        <v>0</v>
      </c>
      <c r="CJ8" s="164">
        <f t="shared" si="1"/>
        <v>0</v>
      </c>
      <c r="CK8" s="164">
        <f t="shared" si="1"/>
        <v>0</v>
      </c>
      <c r="CL8" s="164">
        <f t="shared" si="1"/>
        <v>0</v>
      </c>
      <c r="CM8" s="165">
        <f t="shared" si="1"/>
        <v>0</v>
      </c>
      <c r="CN8" s="163">
        <f t="shared" si="1"/>
        <v>0</v>
      </c>
      <c r="CO8" s="164">
        <f t="shared" ca="1" si="1"/>
        <v>0</v>
      </c>
      <c r="CP8" s="164">
        <f ca="1">SUMIF($A$11:$A$122,"&lt;="&amp;$A$1,CP$11:CP$122)</f>
        <v>0</v>
      </c>
      <c r="CQ8" s="164">
        <f t="shared" ca="1" si="1"/>
        <v>0</v>
      </c>
      <c r="CR8" s="165">
        <f t="shared" si="1"/>
        <v>0</v>
      </c>
      <c r="CS8" s="164">
        <f ca="1">SUMIF($A$11:$A$122,"&lt;="&amp;$A$1,CS$11:CS$122)</f>
        <v>0</v>
      </c>
      <c r="CT8" s="164">
        <f t="shared" si="1"/>
        <v>0</v>
      </c>
      <c r="CU8" s="164">
        <f t="shared" si="1"/>
        <v>0</v>
      </c>
      <c r="CV8" s="164">
        <f t="shared" si="1"/>
        <v>0</v>
      </c>
      <c r="CW8" s="164">
        <f t="shared" si="1"/>
        <v>0</v>
      </c>
      <c r="CX8" s="164">
        <f t="shared" si="1"/>
        <v>0</v>
      </c>
      <c r="CY8" s="167">
        <f t="shared" si="1"/>
        <v>0</v>
      </c>
    </row>
    <row r="9" spans="1:103" ht="15.75" customHeight="1" x14ac:dyDescent="0.25">
      <c r="A9" s="162" t="s">
        <v>29</v>
      </c>
      <c r="B9" s="168">
        <f>B$10-B$8</f>
        <v>0</v>
      </c>
      <c r="C9" s="164">
        <f ca="1">SUMIF($A$11:$A$122,"&gt;"&amp;$A$1,C$11:C$122)</f>
        <v>0</v>
      </c>
      <c r="D9" s="169">
        <f ca="1">IFERROR(SUMIF(ecns[empresa], D$6,ecns[repasse.cef.total])
-E$8
-E$9
-D$8,0)</f>
        <v>0</v>
      </c>
      <c r="E9" s="169">
        <v>0</v>
      </c>
      <c r="F9" s="170">
        <f>SUMIF($A$11:$A$122,"&gt;"&amp;$A$1,F$11:F$122)</f>
        <v>0</v>
      </c>
      <c r="G9" s="164">
        <f ca="1">SUMIF($A$11:$A$122,"&gt;"&amp;$A$1,G$11:G$122)</f>
        <v>0</v>
      </c>
      <c r="H9" s="166">
        <f>SUMIF($A$11:$A$122,"&gt;"&amp;$A$1,H$11:H$122)</f>
        <v>0</v>
      </c>
      <c r="I9" s="166">
        <f>SUMIF($A$11:$A$122,"&gt;"&amp;$A$1,I$11:I$122)</f>
        <v>0</v>
      </c>
      <c r="J9" s="166">
        <f>SUMIF($A$11:$A$122,"&gt;"&amp;$A$1,J$11:J$122)</f>
        <v>0</v>
      </c>
      <c r="K9" s="166">
        <f t="shared" ref="K9:M9" si="2">SUMIF($A$11:$A$122,"&gt;"&amp;$A$1,K$11:K$122)</f>
        <v>0</v>
      </c>
      <c r="L9" s="166">
        <f t="shared" si="2"/>
        <v>0</v>
      </c>
      <c r="M9" s="170">
        <f t="shared" si="2"/>
        <v>0</v>
      </c>
      <c r="N9" s="168">
        <f>N$10-N$8</f>
        <v>0</v>
      </c>
      <c r="O9" s="164">
        <f ca="1">SUMIF($A$11:$A$122,"&gt;"&amp;$A$1,O$11:O$122)</f>
        <v>0</v>
      </c>
      <c r="P9" s="169">
        <v>0</v>
      </c>
      <c r="Q9" s="169">
        <v>0</v>
      </c>
      <c r="R9" s="170">
        <f>SUMIF($A$11:$A$122,"&gt;"&amp;$A$1,R$11:R$122)</f>
        <v>0</v>
      </c>
      <c r="S9" s="164">
        <f ca="1">SUMIF($A$11:$A$122,"&gt;"&amp;$A$1,S$11:S$122)</f>
        <v>0</v>
      </c>
      <c r="T9" s="166">
        <f>SUMIF($A$11:$A$122,"&gt;"&amp;$A$1,T$11:T$122)</f>
        <v>0</v>
      </c>
      <c r="U9" s="166">
        <f>SUMIF($A$11:$A$122,"&gt;"&amp;$A$1,U$11:U$122)</f>
        <v>0</v>
      </c>
      <c r="V9" s="166">
        <f>SUMIF($A$11:$A$122,"&gt;"&amp;$A$1,V$11:V$122)</f>
        <v>0</v>
      </c>
      <c r="W9" s="166">
        <f t="shared" ref="W9:Y9" si="3">SUMIF($A$11:$A$122,"&gt;"&amp;$A$1,W$11:W$122)</f>
        <v>0</v>
      </c>
      <c r="X9" s="166">
        <f t="shared" si="3"/>
        <v>0</v>
      </c>
      <c r="Y9" s="170">
        <f t="shared" si="3"/>
        <v>0</v>
      </c>
      <c r="Z9" s="168" t="e">
        <f>Z$10-Z$8</f>
        <v>#REF!</v>
      </c>
      <c r="AA9" s="164">
        <f t="shared" ref="AA9:AI9" ca="1" si="4">SUMIF($A$11:$A$122,"&gt;"&amp;$A$1,AA$11:AA$122)</f>
        <v>0</v>
      </c>
      <c r="AB9" s="169">
        <f ca="1">SUMIFS(rec.uni[soma.meses],
INDIRECT("rec.uni[natureza]"),"parcela.fin.total.ik",
INDIRECT("rec.uni[empresa]"),AB$6)-AB8</f>
        <v>0</v>
      </c>
      <c r="AC9" s="164">
        <f t="shared" ca="1" si="4"/>
        <v>0</v>
      </c>
      <c r="AD9" s="166">
        <f t="shared" si="4"/>
        <v>0</v>
      </c>
      <c r="AE9" s="166">
        <f t="shared" si="4"/>
        <v>0</v>
      </c>
      <c r="AF9" s="166">
        <f t="shared" si="4"/>
        <v>0</v>
      </c>
      <c r="AG9" s="166">
        <f t="shared" si="4"/>
        <v>0</v>
      </c>
      <c r="AH9" s="166">
        <f t="shared" si="4"/>
        <v>0</v>
      </c>
      <c r="AI9" s="170">
        <f t="shared" si="4"/>
        <v>0</v>
      </c>
      <c r="AJ9" s="168">
        <f>AJ$10-AJ$8</f>
        <v>0</v>
      </c>
      <c r="AK9" s="164">
        <f ca="1">SUMIF($A$11:$A$122,"&gt;"&amp;$A$1,AK$11:AK$122)</f>
        <v>0</v>
      </c>
      <c r="AL9" s="169">
        <f ca="1">IFERROR(SUMIF(ecns[empresa], AL$6,ecns[repasse.cef.total])
-AM$8
-AM$9
-AL$8,0)</f>
        <v>0</v>
      </c>
      <c r="AM9" s="169">
        <v>0</v>
      </c>
      <c r="AN9" s="170">
        <f>SUMIF($A$11:$A$122,"&gt;"&amp;$A$1,AN$11:AN$122)</f>
        <v>0</v>
      </c>
      <c r="AO9" s="164">
        <f ca="1">SUMIF($A$11:$A$122,"&gt;"&amp;$A$1,AO$11:AO$122)</f>
        <v>0</v>
      </c>
      <c r="AP9" s="166">
        <f>SUMIF($A$11:$A$122,"&gt;"&amp;$A$1,AP$11:AP$122)</f>
        <v>0</v>
      </c>
      <c r="AQ9" s="166">
        <f>SUMIF($A$11:$A$122,"&gt;"&amp;$A$1,AQ$11:AQ$122)</f>
        <v>0</v>
      </c>
      <c r="AR9" s="166">
        <f>SUMIF($A$11:$A$122,"&gt;"&amp;$A$1,AR$11:AR$122)</f>
        <v>0</v>
      </c>
      <c r="AS9" s="166">
        <f t="shared" ref="AS9:AU9" si="5">SUMIF($A$11:$A$122,"&gt;"&amp;$A$1,AS$11:AS$122)</f>
        <v>0</v>
      </c>
      <c r="AT9" s="166">
        <f t="shared" si="5"/>
        <v>0</v>
      </c>
      <c r="AU9" s="170">
        <f t="shared" si="5"/>
        <v>0</v>
      </c>
      <c r="AV9" s="168">
        <f>AV$10-AV$8</f>
        <v>0</v>
      </c>
      <c r="AW9" s="164">
        <f ca="1">SUMIF($A$11:$A$122,"&gt;"&amp;$A$1,AW$11:AW$122)</f>
        <v>0</v>
      </c>
      <c r="AX9" s="169">
        <f ca="1">IFERROR(SUMIF(ecns[empresa], AX$6,ecns[repasse.cef.total])
-AY$8
-AY$9
-AX$8,0)</f>
        <v>0</v>
      </c>
      <c r="AY9" s="169">
        <v>0</v>
      </c>
      <c r="AZ9" s="170">
        <f>SUMIF($A$11:$A$122,"&gt;"&amp;$A$1,AZ$11:AZ$122)</f>
        <v>0</v>
      </c>
      <c r="BA9" s="164">
        <f ca="1">SUMIF($A$11:$A$122,"&gt;"&amp;$A$1,BA$11:BA$122)</f>
        <v>0</v>
      </c>
      <c r="BB9" s="166">
        <f>SUMIF($A$11:$A$122,"&gt;"&amp;$A$1,BB$11:BB$122)</f>
        <v>0</v>
      </c>
      <c r="BC9" s="166">
        <f>SUMIF($A$11:$A$122,"&gt;"&amp;$A$1,BC$11:BC$122)</f>
        <v>0</v>
      </c>
      <c r="BD9" s="166">
        <f>SUMIF($A$11:$A$122,"&gt;"&amp;$A$1,BD$11:BD$122)</f>
        <v>0</v>
      </c>
      <c r="BE9" s="166">
        <f t="shared" ref="BE9:BG9" si="6">SUMIF($A$11:$A$122,"&gt;"&amp;$A$1,BE$11:BE$122)</f>
        <v>0</v>
      </c>
      <c r="BF9" s="166">
        <f t="shared" si="6"/>
        <v>0</v>
      </c>
      <c r="BG9" s="170">
        <f t="shared" si="6"/>
        <v>0</v>
      </c>
      <c r="BH9" s="168">
        <f>BH$10-BH$8</f>
        <v>0</v>
      </c>
      <c r="BI9" s="164">
        <f t="shared" ref="BI9:CA9" ca="1" si="7">SUMIF($A$11:$A$122,"&gt;"&amp;$A$1,BI$11:BI$122)</f>
        <v>0</v>
      </c>
      <c r="BJ9" s="169">
        <f ca="1">SUMIFS(rec.uni[soma.meses],
INDIRECT("rec.uni[natureza]"),"parcela.fin.total.ik",
INDIRECT("rec.uni[empresa]"),BJ$6)-BJ8</f>
        <v>-6821939.3600000022</v>
      </c>
      <c r="BK9" s="164">
        <f t="shared" ca="1" si="7"/>
        <v>0</v>
      </c>
      <c r="BL9" s="166">
        <f t="shared" si="7"/>
        <v>0</v>
      </c>
      <c r="BM9" s="166">
        <f t="shared" si="7"/>
        <v>0</v>
      </c>
      <c r="BN9" s="166">
        <f t="shared" si="7"/>
        <v>0</v>
      </c>
      <c r="BO9" s="166">
        <f t="shared" si="7"/>
        <v>0</v>
      </c>
      <c r="BP9" s="166">
        <f t="shared" si="7"/>
        <v>0</v>
      </c>
      <c r="BQ9" s="170">
        <f t="shared" si="7"/>
        <v>0</v>
      </c>
      <c r="BR9" s="168">
        <f>BR$10-BR$8</f>
        <v>0</v>
      </c>
      <c r="BS9" s="164">
        <f t="shared" ca="1" si="7"/>
        <v>0</v>
      </c>
      <c r="BT9" s="169">
        <f ca="1">SUMIFS(rec.uni[soma.meses],
INDIRECT("rec.uni[natureza]"),"parcela.fin.total.ik",
INDIRECT("rec.uni[empresa]"),BT$6)-BT8</f>
        <v>0</v>
      </c>
      <c r="BU9" s="164">
        <f t="shared" ca="1" si="7"/>
        <v>0</v>
      </c>
      <c r="BV9" s="166">
        <f t="shared" si="7"/>
        <v>0</v>
      </c>
      <c r="BW9" s="166">
        <f t="shared" si="7"/>
        <v>0</v>
      </c>
      <c r="BX9" s="166">
        <f t="shared" si="7"/>
        <v>0</v>
      </c>
      <c r="BY9" s="166">
        <f t="shared" si="7"/>
        <v>0</v>
      </c>
      <c r="BZ9" s="166">
        <f t="shared" si="7"/>
        <v>0</v>
      </c>
      <c r="CA9" s="170">
        <f t="shared" si="7"/>
        <v>0</v>
      </c>
      <c r="CB9" s="168">
        <f>CB$10-CB$8</f>
        <v>0</v>
      </c>
      <c r="CC9" s="164">
        <f ca="1">SUMIF($A$11:$A$122,"&gt;"&amp;$A$1,CC$11:CC$122)</f>
        <v>0</v>
      </c>
      <c r="CD9" s="169">
        <f ca="1">IFERROR(SUMIF(ecns[empresa], CD$6,ecns[repasse.cef.total])
-CE$8
-CE$9
-CD$8,0)</f>
        <v>0</v>
      </c>
      <c r="CE9" s="169">
        <v>0</v>
      </c>
      <c r="CF9" s="170">
        <f>SUMIF($A$11:$A$122,"&gt;"&amp;$A$1,CF$11:CF$122)</f>
        <v>0</v>
      </c>
      <c r="CG9" s="164">
        <f ca="1">SUMIF($A$11:$A$122,"&gt;"&amp;$A$1,CG$11:CG$122)</f>
        <v>0</v>
      </c>
      <c r="CH9" s="166">
        <f>SUMIF($A$11:$A$122,"&gt;"&amp;$A$1,CH$11:CH$122)</f>
        <v>0</v>
      </c>
      <c r="CI9" s="166">
        <f>SUMIF($A$11:$A$122,"&gt;"&amp;$A$1,CI$11:CI$122)</f>
        <v>0</v>
      </c>
      <c r="CJ9" s="166">
        <f>SUMIF($A$11:$A$122,"&gt;"&amp;$A$1,CJ$11:CJ$122)</f>
        <v>0</v>
      </c>
      <c r="CK9" s="166">
        <f t="shared" ref="CK9:CM9" si="8">SUMIF($A$11:$A$122,"&gt;"&amp;$A$1,CK$11:CK$122)</f>
        <v>0</v>
      </c>
      <c r="CL9" s="166">
        <f t="shared" si="8"/>
        <v>0</v>
      </c>
      <c r="CM9" s="170">
        <f t="shared" si="8"/>
        <v>0</v>
      </c>
      <c r="CN9" s="168">
        <f>CN$10-CN$8</f>
        <v>0</v>
      </c>
      <c r="CO9" s="164">
        <f ca="1">SUMIF($A$11:$A$122,"&gt;"&amp;$A$1,CO$11:CO$122)</f>
        <v>0</v>
      </c>
      <c r="CP9" s="169">
        <f ca="1">IFERROR(SUMIF(ecns[empresa], CP$6,ecns[repasse.cef.total])
-CQ$8
-CQ$9
-CP$8,0)</f>
        <v>0</v>
      </c>
      <c r="CQ9" s="169">
        <v>0</v>
      </c>
      <c r="CR9" s="170">
        <f>SUMIF($A$11:$A$122,"&gt;"&amp;$A$1,CR$11:CR$122)</f>
        <v>0</v>
      </c>
      <c r="CS9" s="164">
        <f ca="1">SUMIF($A$11:$A$122,"&gt;"&amp;$A$1,CS$11:CS$122)</f>
        <v>0</v>
      </c>
      <c r="CT9" s="166">
        <f>SUMIF($A$11:$A$122,"&gt;"&amp;$A$1,CT$11:CT$122)</f>
        <v>0</v>
      </c>
      <c r="CU9" s="166">
        <f>SUMIF($A$11:$A$122,"&gt;"&amp;$A$1,CU$11:CU$122)</f>
        <v>0</v>
      </c>
      <c r="CV9" s="166">
        <f>SUMIF($A$11:$A$122,"&gt;"&amp;$A$1,CV$11:CV$122)</f>
        <v>0</v>
      </c>
      <c r="CW9" s="166">
        <f t="shared" ref="CW9:CY9" si="9">SUMIF($A$11:$A$122,"&gt;"&amp;$A$1,CW$11:CW$122)</f>
        <v>0</v>
      </c>
      <c r="CX9" s="166">
        <f t="shared" si="9"/>
        <v>0</v>
      </c>
      <c r="CY9" s="171">
        <f t="shared" si="9"/>
        <v>0</v>
      </c>
    </row>
    <row r="10" spans="1:103" ht="15.75" customHeight="1" x14ac:dyDescent="0.25">
      <c r="A10" s="172" t="s">
        <v>30</v>
      </c>
      <c r="B10" s="168">
        <f>status.unis!H4</f>
        <v>0</v>
      </c>
      <c r="C10" s="173">
        <f t="shared" ref="C10:I10" ca="1" si="10">SUM(C8:C9)</f>
        <v>0</v>
      </c>
      <c r="D10" s="173">
        <f t="shared" ca="1" si="10"/>
        <v>0</v>
      </c>
      <c r="E10" s="173">
        <f t="shared" ca="1" si="10"/>
        <v>0</v>
      </c>
      <c r="F10" s="174">
        <f t="shared" si="10"/>
        <v>5141779.45</v>
      </c>
      <c r="G10" s="173">
        <f t="shared" ca="1" si="10"/>
        <v>0</v>
      </c>
      <c r="H10" s="173">
        <f t="shared" si="10"/>
        <v>0</v>
      </c>
      <c r="I10" s="173">
        <f t="shared" si="10"/>
        <v>0</v>
      </c>
      <c r="J10" s="173">
        <f t="shared" ref="J10:M10" si="11">SUM(J8:J9)</f>
        <v>0</v>
      </c>
      <c r="K10" s="173">
        <f t="shared" si="11"/>
        <v>0</v>
      </c>
      <c r="L10" s="173">
        <f t="shared" si="11"/>
        <v>0</v>
      </c>
      <c r="M10" s="174">
        <f t="shared" si="11"/>
        <v>0</v>
      </c>
      <c r="N10" s="168">
        <f>status.unis!H8</f>
        <v>0</v>
      </c>
      <c r="O10" s="173">
        <f t="shared" ref="O10:Y10" ca="1" si="12">SUM(O8:O9)</f>
        <v>0</v>
      </c>
      <c r="P10" s="173">
        <f t="shared" ca="1" si="12"/>
        <v>0</v>
      </c>
      <c r="Q10" s="173">
        <f t="shared" ca="1" si="12"/>
        <v>0</v>
      </c>
      <c r="R10" s="174">
        <f t="shared" si="12"/>
        <v>5133141.9800000004</v>
      </c>
      <c r="S10" s="173">
        <f t="shared" ca="1" si="12"/>
        <v>0</v>
      </c>
      <c r="T10" s="173">
        <f t="shared" si="12"/>
        <v>0</v>
      </c>
      <c r="U10" s="173">
        <f t="shared" si="12"/>
        <v>0</v>
      </c>
      <c r="V10" s="173">
        <f t="shared" si="12"/>
        <v>0</v>
      </c>
      <c r="W10" s="173">
        <f t="shared" si="12"/>
        <v>0</v>
      </c>
      <c r="X10" s="173">
        <f t="shared" si="12"/>
        <v>0</v>
      </c>
      <c r="Y10" s="174">
        <f t="shared" si="12"/>
        <v>0</v>
      </c>
      <c r="Z10" s="168" t="e">
        <f>status.unis!#REF!</f>
        <v>#REF!</v>
      </c>
      <c r="AA10" s="173">
        <f ca="1">SUM(AA8:AA9)</f>
        <v>0</v>
      </c>
      <c r="AB10" s="173">
        <f ca="1">SUM(AB8:AB9)</f>
        <v>0</v>
      </c>
      <c r="AC10" s="173">
        <f ca="1">SUM(AC8:AC9)</f>
        <v>0</v>
      </c>
      <c r="AD10" s="173">
        <f>SUM(AD8:AD9)</f>
        <v>0</v>
      </c>
      <c r="AE10" s="173">
        <f t="shared" ref="AE10:AI10" si="13">SUM(AE8:AE9)</f>
        <v>0</v>
      </c>
      <c r="AF10" s="173">
        <f t="shared" si="13"/>
        <v>0</v>
      </c>
      <c r="AG10" s="173">
        <f t="shared" si="13"/>
        <v>0</v>
      </c>
      <c r="AH10" s="173">
        <f t="shared" si="13"/>
        <v>0</v>
      </c>
      <c r="AI10" s="174">
        <f t="shared" si="13"/>
        <v>0</v>
      </c>
      <c r="AJ10" s="168">
        <f>status.unis!H16</f>
        <v>0</v>
      </c>
      <c r="AK10" s="173">
        <f t="shared" ref="AK10:AU10" ca="1" si="14">SUM(AK8:AK9)</f>
        <v>0</v>
      </c>
      <c r="AL10" s="173">
        <f t="shared" ca="1" si="14"/>
        <v>0</v>
      </c>
      <c r="AM10" s="173">
        <f t="shared" ca="1" si="14"/>
        <v>0</v>
      </c>
      <c r="AN10" s="174">
        <f t="shared" si="14"/>
        <v>3088581.51</v>
      </c>
      <c r="AO10" s="173">
        <f t="shared" ca="1" si="14"/>
        <v>0</v>
      </c>
      <c r="AP10" s="173">
        <f t="shared" si="14"/>
        <v>0</v>
      </c>
      <c r="AQ10" s="173">
        <f t="shared" si="14"/>
        <v>0</v>
      </c>
      <c r="AR10" s="173">
        <f t="shared" si="14"/>
        <v>0</v>
      </c>
      <c r="AS10" s="173">
        <f t="shared" si="14"/>
        <v>0</v>
      </c>
      <c r="AT10" s="173">
        <f t="shared" si="14"/>
        <v>0</v>
      </c>
      <c r="AU10" s="174">
        <f t="shared" si="14"/>
        <v>0</v>
      </c>
      <c r="AV10" s="168">
        <f>status.unis!H20</f>
        <v>0</v>
      </c>
      <c r="AW10" s="173">
        <f ca="1">SUM(AW8:AW9)</f>
        <v>0</v>
      </c>
      <c r="AX10" s="173">
        <f t="shared" ref="AX10:AZ10" ca="1" si="15">SUM(AX8:AX9)</f>
        <v>0</v>
      </c>
      <c r="AY10" s="173">
        <f t="shared" ca="1" si="15"/>
        <v>0</v>
      </c>
      <c r="AZ10" s="174">
        <f t="shared" si="15"/>
        <v>2031309.8199999998</v>
      </c>
      <c r="BA10" s="173">
        <f ca="1">SUM(BA8:BA9)</f>
        <v>0</v>
      </c>
      <c r="BB10" s="173">
        <f>SUM(BB8:BB9)</f>
        <v>0</v>
      </c>
      <c r="BC10" s="173">
        <f t="shared" ref="BC10:BG10" si="16">SUM(BC8:BC9)</f>
        <v>0</v>
      </c>
      <c r="BD10" s="173">
        <f t="shared" si="16"/>
        <v>0</v>
      </c>
      <c r="BE10" s="173">
        <f t="shared" si="16"/>
        <v>0</v>
      </c>
      <c r="BF10" s="173">
        <f t="shared" si="16"/>
        <v>0</v>
      </c>
      <c r="BG10" s="174">
        <f t="shared" si="16"/>
        <v>0</v>
      </c>
      <c r="BH10" s="168">
        <f>status.unis!H24</f>
        <v>0</v>
      </c>
      <c r="BI10" s="173">
        <f ca="1">SUM(BI8:BI9)</f>
        <v>0</v>
      </c>
      <c r="BJ10" s="173">
        <f ca="1">SUM(BJ8:BJ9)</f>
        <v>0</v>
      </c>
      <c r="BK10" s="173">
        <f ca="1">SUM(BK8:BK9)</f>
        <v>0</v>
      </c>
      <c r="BL10" s="173">
        <f>SUM(BL8:BL9)</f>
        <v>0</v>
      </c>
      <c r="BM10" s="173">
        <f t="shared" ref="BM10:BQ10" si="17">SUM(BM8:BM9)</f>
        <v>0</v>
      </c>
      <c r="BN10" s="173">
        <f t="shared" si="17"/>
        <v>0</v>
      </c>
      <c r="BO10" s="173">
        <f t="shared" si="17"/>
        <v>0</v>
      </c>
      <c r="BP10" s="173">
        <f t="shared" si="17"/>
        <v>0</v>
      </c>
      <c r="BQ10" s="174">
        <f t="shared" si="17"/>
        <v>0</v>
      </c>
      <c r="BR10" s="168">
        <f>status.unis!S20</f>
        <v>0</v>
      </c>
      <c r="BS10" s="173">
        <f ca="1">SUM(BS8:BS9)</f>
        <v>0</v>
      </c>
      <c r="BT10" s="173">
        <f ca="1">SUM(BT8:BT9)</f>
        <v>0</v>
      </c>
      <c r="BU10" s="173">
        <f ca="1">SUM(BU8:BU9)</f>
        <v>0</v>
      </c>
      <c r="BV10" s="173">
        <f>SUM(BV8:BV9)</f>
        <v>0</v>
      </c>
      <c r="BW10" s="173">
        <f t="shared" ref="BW10:CA10" si="18">SUM(BW8:BW9)</f>
        <v>0</v>
      </c>
      <c r="BX10" s="173">
        <f t="shared" si="18"/>
        <v>0</v>
      </c>
      <c r="BY10" s="173">
        <f t="shared" si="18"/>
        <v>0</v>
      </c>
      <c r="BZ10" s="173">
        <f t="shared" si="18"/>
        <v>0</v>
      </c>
      <c r="CA10" s="174">
        <f t="shared" si="18"/>
        <v>0</v>
      </c>
      <c r="CB10" s="168">
        <f>status.unis!H32</f>
        <v>0</v>
      </c>
      <c r="CC10" s="173">
        <f t="shared" ref="CC10:CM10" ca="1" si="19">SUM(CC8:CC9)</f>
        <v>0</v>
      </c>
      <c r="CD10" s="173">
        <f t="shared" ca="1" si="19"/>
        <v>0</v>
      </c>
      <c r="CE10" s="173">
        <f t="shared" ca="1" si="19"/>
        <v>0</v>
      </c>
      <c r="CF10" s="174">
        <f t="shared" si="19"/>
        <v>4036212.9600000004</v>
      </c>
      <c r="CG10" s="173">
        <f t="shared" ca="1" si="19"/>
        <v>0</v>
      </c>
      <c r="CH10" s="173">
        <f t="shared" si="19"/>
        <v>0</v>
      </c>
      <c r="CI10" s="173">
        <f t="shared" si="19"/>
        <v>0</v>
      </c>
      <c r="CJ10" s="173">
        <f t="shared" si="19"/>
        <v>0</v>
      </c>
      <c r="CK10" s="173">
        <f t="shared" si="19"/>
        <v>0</v>
      </c>
      <c r="CL10" s="173">
        <f t="shared" si="19"/>
        <v>0</v>
      </c>
      <c r="CM10" s="174">
        <f t="shared" si="19"/>
        <v>0</v>
      </c>
      <c r="CN10" s="168">
        <f>status.unis!H36</f>
        <v>0</v>
      </c>
      <c r="CO10" s="173">
        <f ca="1">SUM(CO8:CO9)</f>
        <v>0</v>
      </c>
      <c r="CP10" s="173">
        <f t="shared" ref="CP10:CR10" ca="1" si="20">SUM(CP8:CP9)</f>
        <v>0</v>
      </c>
      <c r="CQ10" s="173">
        <f t="shared" ca="1" si="20"/>
        <v>0</v>
      </c>
      <c r="CR10" s="174">
        <f t="shared" si="20"/>
        <v>0</v>
      </c>
      <c r="CS10" s="173">
        <f ca="1">SUM(CS8:CS9)</f>
        <v>0</v>
      </c>
      <c r="CT10" s="173">
        <f>SUM(CT8:CT9)</f>
        <v>0</v>
      </c>
      <c r="CU10" s="173">
        <f t="shared" ref="CU10:CY10" si="21">SUM(CU8:CU9)</f>
        <v>0</v>
      </c>
      <c r="CV10" s="173">
        <f t="shared" si="21"/>
        <v>0</v>
      </c>
      <c r="CW10" s="173">
        <f t="shared" si="21"/>
        <v>0</v>
      </c>
      <c r="CX10" s="173">
        <f t="shared" si="21"/>
        <v>0</v>
      </c>
      <c r="CY10" s="175">
        <f t="shared" si="21"/>
        <v>0</v>
      </c>
    </row>
    <row r="11" spans="1:103" x14ac:dyDescent="0.25">
      <c r="A11" s="176">
        <v>44440</v>
      </c>
      <c r="B11" s="177">
        <f>COUNTIFS(
    estq[empresa], B$6,
    estq[Data da venda / reserva], "&gt;=" &amp; $A11,
    estq[Data da venda / reserva], "&lt;"  &amp; EOMONTH($A11,0) + 1
)</f>
        <v>0</v>
      </c>
      <c r="C11" s="178">
        <v>0</v>
      </c>
      <c r="D11" s="178">
        <v>0</v>
      </c>
      <c r="E11" s="178">
        <v>0</v>
      </c>
      <c r="F11" s="178">
        <v>0</v>
      </c>
      <c r="G11" s="178">
        <v>0</v>
      </c>
      <c r="H11" s="166"/>
      <c r="I11" s="178" cm="1">
        <f t="array" ref="I11">SUMPRODUCT(
  IFERROR(--desp[valor],0)*
  (desp[nucleo]="UP JARDIM PRUDENCIA")*
  (desp[categoria]=I$7)*
  (desp[data.pagamento]&gt;=$A11)*
  (desp[data.pagamento]&lt;EOMONTH($A11,0)+1)
)</f>
        <v>0</v>
      </c>
      <c r="J11" s="178" cm="1">
        <f t="array" ref="J11">SUMPRODUCT(
  IFERROR(--desp[valor],0)*
  (desp[nucleo]="UP JARDIM PRUDENCIA")*
  (desp[categoria]=J$7)*
  (desp[data.pagamento]&gt;=$A11)*
  (desp[data.pagamento]&lt;EOMONTH($A11,0)+1)
)</f>
        <v>0</v>
      </c>
      <c r="K11" s="178" cm="1">
        <f t="array" ref="K11">SUMPRODUCT(
  IFERROR(--desp[valor],0)*
  (desp[nucleo]="UP JARDIM PRUDENCIA")*
  (desp[categoria]=K$7)*
  (desp[data.pagamento]&gt;=$A11)*
  (desp[data.pagamento]&lt;EOMONTH($A11,0)+1)
)</f>
        <v>0</v>
      </c>
      <c r="L11" s="178" cm="1">
        <f t="array" ref="L11">SUMPRODUCT(
  IFERROR(--desp[valor],0)*
  (desp[nucleo]="UP JARDIM PRUDENCIA")*
  (desp[categoria]=L$7)*
  (desp[data.pagamento]&gt;=$A11)*
  (desp[data.pagamento]&lt;EOMONTH($A11,0)+1)
)</f>
        <v>0</v>
      </c>
      <c r="M11" s="179" cm="1">
        <f t="array" ref="M11">SUMPRODUCT(
  IFERROR(--desp[valor],0)*
  (desp[nucleo]="UP JARDIM PRUDENCIA")*
  (desp[categoria]=M$7)*
  (desp[data.pagamento]&gt;=$A11)*
  (desp[data.pagamento]&lt;EOMONTH($A11,0)+1)
)</f>
        <v>0</v>
      </c>
      <c r="N11" s="177">
        <f>COUNTIFS(
    estq[empresa], N$6,
    estq[Data da venda / reserva], "&gt;=" &amp; $A11,
    estq[Data da venda / reserva], "&lt;"  &amp; EOMONTH($A11,0) + 1
)</f>
        <v>0</v>
      </c>
      <c r="O11" s="178">
        <v>0</v>
      </c>
      <c r="P11" s="178">
        <v>0</v>
      </c>
      <c r="Q11" s="178">
        <v>0</v>
      </c>
      <c r="R11" s="178">
        <v>0</v>
      </c>
      <c r="S11" s="178">
        <v>0</v>
      </c>
      <c r="T11" s="166"/>
      <c r="U11" s="178" cm="1">
        <f t="array" ref="U11">SUMPRODUCT(
  IFERROR(--desp[valor],0)*
  (desp[nucleo]="UP VILA SONIA")*
  (desp[categoria]=U$7)*
  (desp[data.pagamento]&gt;=$A11)*
  (desp[data.pagamento]&lt;EOMONTH($A11,0)+1)
)</f>
        <v>0</v>
      </c>
      <c r="V11" s="178" cm="1">
        <f t="array" ref="V11">SUMPRODUCT(
  IFERROR(--desp[valor],0)*
  (desp[nucleo]="UP VILA SONIA")*
  (desp[categoria]=V$7)*
  (desp[data.pagamento]&gt;=$A11)*
  (desp[data.pagamento]&lt;EOMONTH($A11,0)+1)
)</f>
        <v>0</v>
      </c>
      <c r="W11" s="178" cm="1">
        <f t="array" ref="W11">SUMPRODUCT(
  IFERROR(--desp[valor],0)*
  (desp[nucleo]="UP VILA SONIA")*
  (desp[categoria]=W$7)*
  (desp[data.pagamento]&gt;=$A11)*
  (desp[data.pagamento]&lt;EOMONTH($A11,0)+1)
)</f>
        <v>0</v>
      </c>
      <c r="X11" s="178" cm="1">
        <f t="array" ref="X11">SUMPRODUCT(
  IFERROR(--desp[valor],0)*
  (desp[nucleo]="UP VILA SONIA")*
  (desp[categoria]=X$7)*
  (desp[data.pagamento]&gt;=$A11)*
  (desp[data.pagamento]&lt;EOMONTH($A11,0)+1)
)</f>
        <v>0</v>
      </c>
      <c r="Y11" s="179" cm="1">
        <f t="array" ref="Y11">SUMPRODUCT(
  IFERROR(--desp[valor],0)*
  (desp[nucleo]="UP VILA SONIA")*
  (desp[categoria]=Y$7)*
  (desp[data.pagamento]&gt;=$A11)*
  (desp[data.pagamento]&lt;EOMONTH($A11,0)+1)
)</f>
        <v>0</v>
      </c>
      <c r="Z11" s="177">
        <f>COUNTIFS(
    estq[empresa], Z$6,
    estq[Data da venda / reserva], "&gt;=" &amp; $A11,
    estq[Data da venda / reserva], "&lt;"  &amp; EOMONTH($A11,0) + 1
)</f>
        <v>0</v>
      </c>
      <c r="AA11" s="178">
        <v>0</v>
      </c>
      <c r="AB11" s="178">
        <v>0</v>
      </c>
      <c r="AC11" s="178">
        <v>0</v>
      </c>
      <c r="AD11" s="166"/>
      <c r="AE11" s="178" cm="1">
        <f t="array" ref="AE11">SUMPRODUCT(
  IFERROR(--desp[valor],0)*
  (desp[nucleo]="UP CAMPO BELO")*
  (desp[categoria]=AE$7)*
  (desp[data.pagamento]&gt;=$A11)*
  (desp[data.pagamento]&lt;EOMONTH($A11,0)+1)
)</f>
        <v>0</v>
      </c>
      <c r="AF11" s="178" cm="1">
        <f t="array" ref="AF11">SUMPRODUCT(
  IFERROR(--desp[valor],0)*
  (desp[nucleo]="UP CAMPO BELO")*
  (desp[categoria]=AF$7)*
  (desp[data.pagamento]&gt;=$A11)*
  (desp[data.pagamento]&lt;EOMONTH($A11,0)+1)
)</f>
        <v>0</v>
      </c>
      <c r="AG11" s="178" cm="1">
        <f t="array" ref="AG11">SUMPRODUCT(
  IFERROR(--desp[valor],0)*
  (desp[nucleo]="UP CAMPO BELO")*
  (desp[categoria]=AG$7)*
  (desp[data.pagamento]&gt;=$A11)*
  (desp[data.pagamento]&lt;EOMONTH($A11,0)+1)
)</f>
        <v>0</v>
      </c>
      <c r="AH11" s="178" cm="1">
        <f t="array" ref="AH11">SUMPRODUCT(
  IFERROR(--desp[valor],0)*
  (desp[nucleo]="UP CAMPO BELO")*
  (desp[categoria]=AH$7)*
  (desp[data.pagamento]&gt;=$A11)*
  (desp[data.pagamento]&lt;EOMONTH($A11,0)+1)
)</f>
        <v>0</v>
      </c>
      <c r="AI11" s="179" cm="1">
        <f t="array" ref="AI11">SUMPRODUCT(
  IFERROR(--desp[valor],0)*
  (desp[nucleo]="UP CAMPO BELO")*
  (desp[categoria]=AI$7)*
  (desp[data.pagamento]&gt;=$A11)*
  (desp[data.pagamento]&lt;EOMONTH($A11,0)+1)
)</f>
        <v>0</v>
      </c>
      <c r="AJ11" s="177">
        <f>COUNTIFS(
    estq[empresa], AJ$6,
    estq[Data da venda / reserva], "&gt;=" &amp; $A11,
    estq[Data da venda / reserva], "&lt;"  &amp; EOMONTH($A11,0) + 1
)</f>
        <v>0</v>
      </c>
      <c r="AK11" s="178">
        <v>0</v>
      </c>
      <c r="AL11" s="178">
        <v>0</v>
      </c>
      <c r="AM11" s="178">
        <v>0</v>
      </c>
      <c r="AN11" s="178">
        <v>0</v>
      </c>
      <c r="AO11" s="178">
        <v>0</v>
      </c>
      <c r="AP11" s="166"/>
      <c r="AQ11" s="178" cm="1">
        <f t="array" ref="AQ11">SUMPRODUCT(
  IFERROR(--desp[valor],0)*
  (desp[nucleo]="UP SELECT VILA SONIA")*
  (desp[categoria]=AQ$7)*
  (desp[data.pagamento]&gt;=$A11)*
  (desp[data.pagamento]&lt;EOMONTH($A11,0)+1)
)</f>
        <v>0</v>
      </c>
      <c r="AR11" s="178" cm="1">
        <f t="array" ref="AR11">SUMPRODUCT(
  IFERROR(--desp[valor],0)*
  (desp[nucleo]="UP SELECT VILA SONIA")*
  (desp[categoria]=AR$7)*
  (desp[data.pagamento]&gt;=$A11)*
  (desp[data.pagamento]&lt;EOMONTH($A11,0)+1)
)</f>
        <v>0</v>
      </c>
      <c r="AS11" s="178" cm="1">
        <f t="array" ref="AS11">SUMPRODUCT(
  IFERROR(--desp[valor],0)*
  (desp[nucleo]="UP SELECT VILA SONIA")*
  (desp[categoria]=AS$7)*
  (desp[data.pagamento]&gt;=$A11)*
  (desp[data.pagamento]&lt;EOMONTH($A11,0)+1)
)</f>
        <v>0</v>
      </c>
      <c r="AT11" s="178" cm="1">
        <f t="array" ref="AT11">SUMPRODUCT(
  IFERROR(--desp[valor],0)*
  (desp[nucleo]="UP SELECT VILA SONIA")*
  (desp[categoria]=AT$7)*
  (desp[data.pagamento]&gt;=$A11)*
  (desp[data.pagamento]&lt;EOMONTH($A11,0)+1)
)</f>
        <v>0</v>
      </c>
      <c r="AU11" s="179" cm="1">
        <f t="array" ref="AU11">SUMPRODUCT(
  IFERROR(--desp[valor],0)*
  (desp[nucleo]="UP SELECT VILA SONIA")*
  (desp[categoria]=AU$7)*
  (desp[data.pagamento]&gt;=$A11)*
  (desp[data.pagamento]&lt;EOMONTH($A11,0)+1)
)</f>
        <v>0</v>
      </c>
      <c r="AV11" s="177">
        <f>COUNTIFS(
    estq[empresa], AV$6,
    estq[Data da venda / reserva], "&gt;=" &amp; $A11,
    estq[Data da venda / reserva], "&lt;"  &amp; EOMONTH($A11,0) + 1
)</f>
        <v>0</v>
      </c>
      <c r="AW11" s="178">
        <v>0</v>
      </c>
      <c r="AX11" s="178">
        <v>0</v>
      </c>
      <c r="AY11" s="178">
        <v>0</v>
      </c>
      <c r="AZ11" s="178">
        <v>0</v>
      </c>
      <c r="BA11" s="178">
        <v>0</v>
      </c>
      <c r="BB11" s="166"/>
      <c r="BC11" s="178" cm="1">
        <f t="array" ref="BC11">SUMPRODUCT(
  IFERROR(--desp[valor],0)*
  (desp[nucleo]="UP ESTAÇÃO SÃO LUCAS")*
  (desp[categoria]=BC$7)*
  (desp[data.pagamento]&gt;=$A11)*
  (desp[data.pagamento]&lt;EOMONTH($A11,0)+1)
)</f>
        <v>0</v>
      </c>
      <c r="BD11" s="178" cm="1">
        <f t="array" ref="BD11">SUMPRODUCT(
  IFERROR(--desp[valor],0)*
  (desp[nucleo]="UP ESTAÇÃO SÃO LUCAS")*
  (desp[categoria]=BD$7)*
  (desp[data.pagamento]&gt;=$A11)*
  (desp[data.pagamento]&lt;EOMONTH($A11,0)+1)
)</f>
        <v>0</v>
      </c>
      <c r="BE11" s="178" cm="1">
        <f t="array" ref="BE11">SUMPRODUCT(
  IFERROR(--desp[valor],0)*
  (desp[nucleo]="UP ESTAÇÃO SÃO LUCAS")*
  (desp[categoria]=BE$7)*
  (desp[data.pagamento]&gt;=$A11)*
  (desp[data.pagamento]&lt;EOMONTH($A11,0)+1)
)</f>
        <v>0</v>
      </c>
      <c r="BF11" s="178" cm="1">
        <f t="array" ref="BF11">SUMPRODUCT(
  IFERROR(--desp[valor],0)*
  (desp[nucleo]="UP ESTAÇÃO SÃO LUCAS")*
  (desp[categoria]=BF$7)*
  (desp[data.pagamento]&gt;=$A11)*
  (desp[data.pagamento]&lt;EOMONTH($A11,0)+1)
)</f>
        <v>0</v>
      </c>
      <c r="BG11" s="179" cm="1">
        <f t="array" ref="BG11">SUMPRODUCT(
  IFERROR(--desp[valor],0)*
  (desp[nucleo]="UP ESTAÇÃO SÃO LUCAS")*
  (desp[categoria]=BG$7)*
  (desp[data.pagamento]&gt;=$A11)*
  (desp[data.pagamento]&lt;EOMONTH($A11,0)+1)
)</f>
        <v>0</v>
      </c>
      <c r="BH11" s="177">
        <f>COUNTIFS(
    estq[empresa], BH$6,
    estq[Data da venda / reserva], "&gt;=" &amp; $A11,
    estq[Data da venda / reserva], "&lt;"  &amp; EOMONTH($A11,0) + 1
)</f>
        <v>0</v>
      </c>
      <c r="BI11" s="178">
        <v>0</v>
      </c>
      <c r="BJ11" s="166">
        <v>0</v>
      </c>
      <c r="BK11" s="178">
        <v>0</v>
      </c>
      <c r="BL11" s="166"/>
      <c r="BM11" s="178" cm="1">
        <f t="array" ref="BM11">SUMPRODUCT(
  IFERROR(--desp[valor],0)*
  (desp[nucleo]="UP POMPEIA")*
  (desp[categoria]=BM$7)*
  (desp[data.pagamento]&gt;=$A11)*
  (desp[data.pagamento]&lt;EOMONTH($A11,0)+1)
)</f>
        <v>0</v>
      </c>
      <c r="BN11" s="178" cm="1">
        <f t="array" ref="BN11">SUMPRODUCT(
  IFERROR(--desp[valor],0)*
  (desp[nucleo]="UP POMPEIA")*
  (desp[categoria]=BN$7)*
  (desp[data.pagamento]&gt;=$A11)*
  (desp[data.pagamento]&lt;EOMONTH($A11,0)+1)
)</f>
        <v>0</v>
      </c>
      <c r="BO11" s="178" cm="1">
        <f t="array" ref="BO11">SUMPRODUCT(
  IFERROR(--desp[valor],0)*
  (desp[nucleo]="UP POMPEIA")*
  (desp[categoria]=BO$7)*
  (desp[data.pagamento]&gt;=$A11)*
  (desp[data.pagamento]&lt;EOMONTH($A11,0)+1)
)</f>
        <v>0</v>
      </c>
      <c r="BP11" s="178" cm="1">
        <f t="array" ref="BP11">SUMPRODUCT(
  IFERROR(--desp[valor],0)*
  (desp[nucleo]="UP POMPEIA")*
  (desp[categoria]=BP$7)*
  (desp[data.pagamento]&gt;=$A11)*
  (desp[data.pagamento]&lt;EOMONTH($A11,0)+1)
)</f>
        <v>0</v>
      </c>
      <c r="BQ11" s="179" cm="1">
        <f t="array" ref="BQ11">SUMPRODUCT(
  IFERROR(--desp[valor],0)*
  (desp[nucleo]="UP POMPEIA")*
  (desp[categoria]=BQ$7)*
  (desp[data.pagamento]&gt;=$A11)*
  (desp[data.pagamento]&lt;EOMONTH($A11,0)+1)
)</f>
        <v>0</v>
      </c>
      <c r="BR11" s="177">
        <f>COUNTIFS(
    estq[empresa], BR$6,
    estq[Data da venda / reserva], "&gt;=" &amp; $A11,
    estq[Data da venda / reserva], "&lt;"  &amp; EOMONTH($A11,0) + 1
)</f>
        <v>0</v>
      </c>
      <c r="BS11" s="178">
        <v>0</v>
      </c>
      <c r="BT11" s="178">
        <v>0</v>
      </c>
      <c r="BU11" s="178">
        <v>0</v>
      </c>
      <c r="BV11" s="166"/>
      <c r="BW11" s="178" cm="1">
        <f t="array" ref="BW11">SUMPRODUCT(
  IFERROR(--desp[valor],0)*
  (desp[nucleo]="UP SAUDE")*
  (desp[categoria]=BW$7)*
  (desp[data.pagamento]&gt;=$A11)*
  (desp[data.pagamento]&lt;EOMONTH($A11,0)+1)
)</f>
        <v>0</v>
      </c>
      <c r="BX11" s="178" cm="1">
        <f t="array" ref="BX11">SUMPRODUCT(
  IFERROR(--desp[valor],0)*
  (desp[nucleo]="UP SAUDE")*
  (desp[categoria]=BX$7)*
  (desp[data.pagamento]&gt;=$A11)*
  (desp[data.pagamento]&lt;EOMONTH($A11,0)+1)
)</f>
        <v>0</v>
      </c>
      <c r="BY11" s="178" cm="1">
        <f t="array" ref="BY11">SUMPRODUCT(
  IFERROR(--desp[valor],0)*
  (desp[nucleo]="UP SAUDE")*
  (desp[categoria]=BY$7)*
  (desp[data.pagamento]&gt;=$A11)*
  (desp[data.pagamento]&lt;EOMONTH($A11,0)+1)
)</f>
        <v>0</v>
      </c>
      <c r="BZ11" s="178" cm="1">
        <f t="array" ref="BZ11">SUMPRODUCT(
  IFERROR(--desp[valor],0)*
  (desp[nucleo]="UP SAUDE")*
  (desp[categoria]=BZ$7)*
  (desp[data.pagamento]&gt;=$A11)*
  (desp[data.pagamento]&lt;EOMONTH($A11,0)+1)
)</f>
        <v>0</v>
      </c>
      <c r="CA11" s="179" cm="1">
        <f t="array" ref="CA11">SUMPRODUCT(
  IFERROR(--desp[valor],0)*
  (desp[nucleo]="UP SAUDE")*
  (desp[categoria]=CA$7)*
  (desp[data.pagamento]&gt;=$A11)*
  (desp[data.pagamento]&lt;EOMONTH($A11,0)+1)
)</f>
        <v>0</v>
      </c>
      <c r="CB11" s="177">
        <f>COUNTIFS(
    estq[empresa], CB$6,
    estq[Data da venda / reserva], "&gt;=" &amp; $A11,
    estq[Data da venda / reserva], "&lt;"  &amp; EOMONTH($A11,0) + 1
)</f>
        <v>0</v>
      </c>
      <c r="CC11" s="178">
        <v>0</v>
      </c>
      <c r="CD11" s="178">
        <v>0</v>
      </c>
      <c r="CE11" s="178">
        <v>0</v>
      </c>
      <c r="CF11" s="178">
        <v>0</v>
      </c>
      <c r="CG11" s="178">
        <v>0</v>
      </c>
      <c r="CH11" s="166"/>
      <c r="CI11" s="178" cm="1">
        <f t="array" ref="CI11">SUMPRODUCT(
  IFERROR(--desp[valor],0)*
  (desp[nucleo]="UP ESTAÇÃO VILA SONIA")*
  (desp[categoria]=CI$7)*
  (desp[data.pagamento]&gt;=$A11)*
  (desp[data.pagamento]&lt;EOMONTH($A11,0)+1)
)</f>
        <v>0</v>
      </c>
      <c r="CJ11" s="178" cm="1">
        <f t="array" ref="CJ11">SUMPRODUCT(
  IFERROR(--desp[valor],0)*
  (desp[nucleo]="UP ESTAÇÃO VILA SONIA")*
  (desp[categoria]=CJ$7)*
  (desp[data.pagamento]&gt;=$A11)*
  (desp[data.pagamento]&lt;EOMONTH($A11,0)+1)
)</f>
        <v>0</v>
      </c>
      <c r="CK11" s="178" cm="1">
        <f t="array" ref="CK11">SUMPRODUCT(
  IFERROR(--desp[valor],0)*
  (desp[nucleo]="UP ESTAÇÃO VILA SONIA")*
  (desp[categoria]=CK$7)*
  (desp[data.pagamento]&gt;=$A11)*
  (desp[data.pagamento]&lt;EOMONTH($A11,0)+1)
)</f>
        <v>0</v>
      </c>
      <c r="CL11" s="178" cm="1">
        <f t="array" ref="CL11">SUMPRODUCT(
  IFERROR(--desp[valor],0)*
  (desp[nucleo]="UP ESTAÇÃO VILA SONIA")*
  (desp[categoria]=CL$7)*
  (desp[data.pagamento]&gt;=$A11)*
  (desp[data.pagamento]&lt;EOMONTH($A11,0)+1)
)</f>
        <v>0</v>
      </c>
      <c r="CM11" s="179" cm="1">
        <f t="array" ref="CM11">SUMPRODUCT(
  IFERROR(--desp[valor],0)*
  (desp[nucleo]="UP ESTAÇÃO VILA SONIA")*
  (desp[categoria]=CM$7)*
  (desp[data.pagamento]&gt;=$A11)*
  (desp[data.pagamento]&lt;EOMONTH($A11,0)+1)
)</f>
        <v>0</v>
      </c>
      <c r="CN11" s="177">
        <f>COUNTIFS(
    estq[empresa], CN$6,
    estq[Data da venda / reserva], "&gt;=" &amp; $A11,
    estq[Data da venda / reserva], "&lt;"  &amp; EOMONTH($A11,0) + 1
)</f>
        <v>0</v>
      </c>
      <c r="CO11" s="178">
        <v>0</v>
      </c>
      <c r="CP11" s="178">
        <v>0</v>
      </c>
      <c r="CQ11" s="178">
        <v>0</v>
      </c>
      <c r="CR11" s="178">
        <v>0</v>
      </c>
      <c r="CS11" s="178">
        <v>0</v>
      </c>
      <c r="CT11" s="166"/>
      <c r="CU11" s="178" cm="1">
        <f t="array" ref="CU11">SUMPRODUCT(
  IFERROR(--desp[valor],0)*
  (desp[nucleo]="UP MOVE VILA SONIA")*
  (desp[categoria]=CU$7)*
  (desp[data.pagamento]&gt;=$A11)*
  (desp[data.pagamento]&lt;EOMONTH($A11,0)+1)
)</f>
        <v>0</v>
      </c>
      <c r="CV11" s="178" cm="1">
        <f t="array" ref="CV11">SUMPRODUCT(
  IFERROR(--desp[valor],0)*
  (desp[nucleo]="UP MOVE VILA SONIA")*
  (desp[categoria]=CV$7)*
  (desp[data.pagamento]&gt;=$A11)*
  (desp[data.pagamento]&lt;EOMONTH($A11,0)+1)
)</f>
        <v>0</v>
      </c>
      <c r="CW11" s="178" cm="1">
        <f t="array" ref="CW11">SUMPRODUCT(
  IFERROR(--desp[valor],0)*
  (desp[nucleo]="UP MOVE VILA SONIA")*
  (desp[categoria]=CW$7)*
  (desp[data.pagamento]&gt;=$A11)*
  (desp[data.pagamento]&lt;EOMONTH($A11,0)+1)
)</f>
        <v>0</v>
      </c>
      <c r="CX11" s="178" cm="1">
        <f t="array" ref="CX11">SUMPRODUCT(
  IFERROR(--desp[valor],0)*
  (desp[nucleo]="UP MOVE VILA SONIA")*
  (desp[categoria]=CX$7)*
  (desp[data.pagamento]&gt;=$A11)*
  (desp[data.pagamento]&lt;EOMONTH($A11,0)+1)
)</f>
        <v>0</v>
      </c>
      <c r="CY11" s="180" cm="1">
        <f t="array" ref="CY11">SUMPRODUCT(
  IFERROR(--desp[valor],0)*
  (desp[nucleo]="UP MOVE VILA SONIA")*
  (desp[categoria]=CY$7)*
  (desp[data.pagamento]&gt;=$A11)*
  (desp[data.pagamento]&lt;EOMONTH($A11,0)+1)
)</f>
        <v>0</v>
      </c>
    </row>
    <row r="12" spans="1:103" x14ac:dyDescent="0.25">
      <c r="A12" s="176">
        <v>44470</v>
      </c>
      <c r="B12" s="177">
        <f>COUNTIFS(
    estq[empresa], B$6,
    estq[Data da venda / reserva], "&gt;=" &amp; $A12,
    estq[Data da venda / reserva], "&lt;"  &amp; EOMONTH($A12,0) + 1
)</f>
        <v>0</v>
      </c>
      <c r="C12" s="178">
        <v>0</v>
      </c>
      <c r="D12" s="178">
        <v>0</v>
      </c>
      <c r="E12" s="178">
        <v>0</v>
      </c>
      <c r="F12" s="178">
        <v>0</v>
      </c>
      <c r="G12" s="178">
        <v>0</v>
      </c>
      <c r="H12" s="166"/>
      <c r="I12" s="178" cm="1">
        <f t="array" ref="I12">SUMPRODUCT(
  IFERROR(--desp[valor],0)*
  (desp[nucleo]="UP JARDIM PRUDENCIA")*
  (desp[categoria]=I$7)*
  (desp[data.pagamento]&gt;=$A12)*
  (desp[data.pagamento]&lt;EOMONTH($A12,0)+1)
)</f>
        <v>0</v>
      </c>
      <c r="J12" s="178" cm="1">
        <f t="array" ref="J12">SUMPRODUCT(
  IFERROR(--desp[valor],0)*
  (desp[nucleo]="UP JARDIM PRUDENCIA")*
  (desp[categoria]=J$7)*
  (desp[data.pagamento]&gt;=$A12)*
  (desp[data.pagamento]&lt;EOMONTH($A12,0)+1)
)</f>
        <v>0</v>
      </c>
      <c r="K12" s="178" cm="1">
        <f t="array" ref="K12">SUMPRODUCT(
  IFERROR(--desp[valor],0)*
  (desp[nucleo]="UP JARDIM PRUDENCIA")*
  (desp[categoria]=K$7)*
  (desp[data.pagamento]&gt;=$A12)*
  (desp[data.pagamento]&lt;EOMONTH($A12,0)+1)
)</f>
        <v>0</v>
      </c>
      <c r="L12" s="178" cm="1">
        <f t="array" ref="L12">SUMPRODUCT(
  IFERROR(--desp[valor],0)*
  (desp[nucleo]="UP JARDIM PRUDENCIA")*
  (desp[categoria]=L$7)*
  (desp[data.pagamento]&gt;=$A12)*
  (desp[data.pagamento]&lt;EOMONTH($A12,0)+1)
)</f>
        <v>0</v>
      </c>
      <c r="M12" s="179" cm="1">
        <f t="array" ref="M12">SUMPRODUCT(
  IFERROR(--desp[valor],0)*
  (desp[nucleo]="UP JARDIM PRUDENCIA")*
  (desp[categoria]=M$7)*
  (desp[data.pagamento]&gt;=$A12)*
  (desp[data.pagamento]&lt;EOMONTH($A12,0)+1)
)</f>
        <v>0</v>
      </c>
      <c r="N12" s="177">
        <f>COUNTIFS(
    estq[empresa], N$6,
    estq[Data da venda / reserva], "&gt;=" &amp; $A12,
    estq[Data da venda / reserva], "&lt;"  &amp; EOMONTH($A12,0) + 1
)</f>
        <v>0</v>
      </c>
      <c r="O12" s="178">
        <v>0</v>
      </c>
      <c r="P12" s="178">
        <v>0</v>
      </c>
      <c r="Q12" s="178">
        <v>0</v>
      </c>
      <c r="R12" s="178">
        <v>0</v>
      </c>
      <c r="S12" s="178">
        <v>0</v>
      </c>
      <c r="T12" s="166"/>
      <c r="U12" s="178" cm="1">
        <f t="array" ref="U12">SUMPRODUCT(
  IFERROR(--desp[valor],0)*
  (desp[nucleo]="UP VILA SONIA")*
  (desp[categoria]=U$7)*
  (desp[data.pagamento]&gt;=$A12)*
  (desp[data.pagamento]&lt;EOMONTH($A12,0)+1)
)</f>
        <v>0</v>
      </c>
      <c r="V12" s="178" cm="1">
        <f t="array" ref="V12">SUMPRODUCT(
  IFERROR(--desp[valor],0)*
  (desp[nucleo]="UP VILA SONIA")*
  (desp[categoria]=V$7)*
  (desp[data.pagamento]&gt;=$A12)*
  (desp[data.pagamento]&lt;EOMONTH($A12,0)+1)
)</f>
        <v>0</v>
      </c>
      <c r="W12" s="178" cm="1">
        <f t="array" ref="W12">SUMPRODUCT(
  IFERROR(--desp[valor],0)*
  (desp[nucleo]="UP VILA SONIA")*
  (desp[categoria]=W$7)*
  (desp[data.pagamento]&gt;=$A12)*
  (desp[data.pagamento]&lt;EOMONTH($A12,0)+1)
)</f>
        <v>0</v>
      </c>
      <c r="X12" s="178" cm="1">
        <f t="array" ref="X12">SUMPRODUCT(
  IFERROR(--desp[valor],0)*
  (desp[nucleo]="UP VILA SONIA")*
  (desp[categoria]=X$7)*
  (desp[data.pagamento]&gt;=$A12)*
  (desp[data.pagamento]&lt;EOMONTH($A12,0)+1)
)</f>
        <v>0</v>
      </c>
      <c r="Y12" s="179" cm="1">
        <f t="array" ref="Y12">SUMPRODUCT(
  IFERROR(--desp[valor],0)*
  (desp[nucleo]="UP VILA SONIA")*
  (desp[categoria]=Y$7)*
  (desp[data.pagamento]&gt;=$A12)*
  (desp[data.pagamento]&lt;EOMONTH($A12,0)+1)
)</f>
        <v>0</v>
      </c>
      <c r="Z12" s="177">
        <f>COUNTIFS(
    estq[empresa], Z$6,
    estq[Data da venda / reserva], "&gt;=" &amp; $A12,
    estq[Data da venda / reserva], "&lt;"  &amp; EOMONTH($A12,0) + 1
)</f>
        <v>0</v>
      </c>
      <c r="AA12" s="178">
        <v>0</v>
      </c>
      <c r="AB12" s="178">
        <v>0</v>
      </c>
      <c r="AC12" s="178">
        <v>0</v>
      </c>
      <c r="AD12" s="166"/>
      <c r="AE12" s="178" cm="1">
        <f t="array" ref="AE12">SUMPRODUCT(
  IFERROR(--desp[valor],0)*
  (desp[nucleo]="UP CAMPO BELO")*
  (desp[categoria]=AE$7)*
  (desp[data.pagamento]&gt;=$A12)*
  (desp[data.pagamento]&lt;EOMONTH($A12,0)+1)
)</f>
        <v>0</v>
      </c>
      <c r="AF12" s="178" cm="1">
        <f t="array" ref="AF12">SUMPRODUCT(
  IFERROR(--desp[valor],0)*
  (desp[nucleo]="UP CAMPO BELO")*
  (desp[categoria]=AF$7)*
  (desp[data.pagamento]&gt;=$A12)*
  (desp[data.pagamento]&lt;EOMONTH($A12,0)+1)
)</f>
        <v>0</v>
      </c>
      <c r="AG12" s="178" cm="1">
        <f t="array" ref="AG12">SUMPRODUCT(
  IFERROR(--desp[valor],0)*
  (desp[nucleo]="UP CAMPO BELO")*
  (desp[categoria]=AG$7)*
  (desp[data.pagamento]&gt;=$A12)*
  (desp[data.pagamento]&lt;EOMONTH($A12,0)+1)
)</f>
        <v>0</v>
      </c>
      <c r="AH12" s="178" cm="1">
        <f t="array" ref="AH12">SUMPRODUCT(
  IFERROR(--desp[valor],0)*
  (desp[nucleo]="UP CAMPO BELO")*
  (desp[categoria]=AH$7)*
  (desp[data.pagamento]&gt;=$A12)*
  (desp[data.pagamento]&lt;EOMONTH($A12,0)+1)
)</f>
        <v>0</v>
      </c>
      <c r="AI12" s="179" cm="1">
        <f t="array" ref="AI12">SUMPRODUCT(
  IFERROR(--desp[valor],0)*
  (desp[nucleo]="UP CAMPO BELO")*
  (desp[categoria]=AI$7)*
  (desp[data.pagamento]&gt;=$A12)*
  (desp[data.pagamento]&lt;EOMONTH($A12,0)+1)
)</f>
        <v>0</v>
      </c>
      <c r="AJ12" s="177">
        <f>COUNTIFS(
    estq[empresa], AJ$6,
    estq[Data da venda / reserva], "&gt;=" &amp; $A12,
    estq[Data da venda / reserva], "&lt;"  &amp; EOMONTH($A12,0) + 1
)</f>
        <v>0</v>
      </c>
      <c r="AK12" s="178">
        <v>0</v>
      </c>
      <c r="AL12" s="178">
        <v>0</v>
      </c>
      <c r="AM12" s="178">
        <v>0</v>
      </c>
      <c r="AN12" s="178">
        <v>0</v>
      </c>
      <c r="AO12" s="178">
        <v>0</v>
      </c>
      <c r="AP12" s="166"/>
      <c r="AQ12" s="178" cm="1">
        <f t="array" ref="AQ12">SUMPRODUCT(
  IFERROR(--desp[valor],0)*
  (desp[nucleo]="UP SELECT VILA SONIA")*
  (desp[categoria]=AQ$7)*
  (desp[data.pagamento]&gt;=$A12)*
  (desp[data.pagamento]&lt;EOMONTH($A12,0)+1)
)</f>
        <v>0</v>
      </c>
      <c r="AR12" s="178" cm="1">
        <f t="array" ref="AR12">SUMPRODUCT(
  IFERROR(--desp[valor],0)*
  (desp[nucleo]="UP SELECT VILA SONIA")*
  (desp[categoria]=AR$7)*
  (desp[data.pagamento]&gt;=$A12)*
  (desp[data.pagamento]&lt;EOMONTH($A12,0)+1)
)</f>
        <v>0</v>
      </c>
      <c r="AS12" s="178" cm="1">
        <f t="array" ref="AS12">SUMPRODUCT(
  IFERROR(--desp[valor],0)*
  (desp[nucleo]="UP SELECT VILA SONIA")*
  (desp[categoria]=AS$7)*
  (desp[data.pagamento]&gt;=$A12)*
  (desp[data.pagamento]&lt;EOMONTH($A12,0)+1)
)</f>
        <v>0</v>
      </c>
      <c r="AT12" s="178" cm="1">
        <f t="array" ref="AT12">SUMPRODUCT(
  IFERROR(--desp[valor],0)*
  (desp[nucleo]="UP SELECT VILA SONIA")*
  (desp[categoria]=AT$7)*
  (desp[data.pagamento]&gt;=$A12)*
  (desp[data.pagamento]&lt;EOMONTH($A12,0)+1)
)</f>
        <v>0</v>
      </c>
      <c r="AU12" s="179" cm="1">
        <f t="array" ref="AU12">SUMPRODUCT(
  IFERROR(--desp[valor],0)*
  (desp[nucleo]="UP SELECT VILA SONIA")*
  (desp[categoria]=AU$7)*
  (desp[data.pagamento]&gt;=$A12)*
  (desp[data.pagamento]&lt;EOMONTH($A12,0)+1)
)</f>
        <v>0</v>
      </c>
      <c r="AV12" s="177">
        <f>COUNTIFS(
    estq[empresa], AV$6,
    estq[Data da venda / reserva], "&gt;=" &amp; $A12,
    estq[Data da venda / reserva], "&lt;"  &amp; EOMONTH($A12,0) + 1
)</f>
        <v>0</v>
      </c>
      <c r="AW12" s="178">
        <v>0</v>
      </c>
      <c r="AX12" s="178">
        <v>0</v>
      </c>
      <c r="AY12" s="178">
        <v>0</v>
      </c>
      <c r="AZ12" s="178">
        <v>0</v>
      </c>
      <c r="BA12" s="178">
        <v>0</v>
      </c>
      <c r="BB12" s="166"/>
      <c r="BC12" s="178" cm="1">
        <f t="array" ref="BC12">SUMPRODUCT(
  IFERROR(--desp[valor],0)*
  (desp[nucleo]="UP ESTAÇÃO SÃO LUCAS")*
  (desp[categoria]=BC$7)*
  (desp[data.pagamento]&gt;=$A12)*
  (desp[data.pagamento]&lt;EOMONTH($A12,0)+1)
)</f>
        <v>0</v>
      </c>
      <c r="BD12" s="178" cm="1">
        <f t="array" ref="BD12">SUMPRODUCT(
  IFERROR(--desp[valor],0)*
  (desp[nucleo]="UP ESTAÇÃO SÃO LUCAS")*
  (desp[categoria]=BD$7)*
  (desp[data.pagamento]&gt;=$A12)*
  (desp[data.pagamento]&lt;EOMONTH($A12,0)+1)
)</f>
        <v>0</v>
      </c>
      <c r="BE12" s="178" cm="1">
        <f t="array" ref="BE12">SUMPRODUCT(
  IFERROR(--desp[valor],0)*
  (desp[nucleo]="UP ESTAÇÃO SÃO LUCAS")*
  (desp[categoria]=BE$7)*
  (desp[data.pagamento]&gt;=$A12)*
  (desp[data.pagamento]&lt;EOMONTH($A12,0)+1)
)</f>
        <v>0</v>
      </c>
      <c r="BF12" s="178" cm="1">
        <f t="array" ref="BF12">SUMPRODUCT(
  IFERROR(--desp[valor],0)*
  (desp[nucleo]="UP ESTAÇÃO SÃO LUCAS")*
  (desp[categoria]=BF$7)*
  (desp[data.pagamento]&gt;=$A12)*
  (desp[data.pagamento]&lt;EOMONTH($A12,0)+1)
)</f>
        <v>0</v>
      </c>
      <c r="BG12" s="179" cm="1">
        <f t="array" ref="BG12">SUMPRODUCT(
  IFERROR(--desp[valor],0)*
  (desp[nucleo]="UP ESTAÇÃO SÃO LUCAS")*
  (desp[categoria]=BG$7)*
  (desp[data.pagamento]&gt;=$A12)*
  (desp[data.pagamento]&lt;EOMONTH($A12,0)+1)
)</f>
        <v>0</v>
      </c>
      <c r="BH12" s="177">
        <f>COUNTIFS(
    estq[empresa], BH$6,
    estq[Data da venda / reserva], "&gt;=" &amp; $A12,
    estq[Data da venda / reserva], "&lt;"  &amp; EOMONTH($A12,0) + 1
)</f>
        <v>0</v>
      </c>
      <c r="BI12" s="178">
        <v>0</v>
      </c>
      <c r="BJ12" s="166">
        <v>0</v>
      </c>
      <c r="BK12" s="178">
        <v>0</v>
      </c>
      <c r="BL12" s="166"/>
      <c r="BM12" s="178" cm="1">
        <f t="array" ref="BM12">SUMPRODUCT(
  IFERROR(--desp[valor],0)*
  (desp[nucleo]="UP POMPEIA")*
  (desp[categoria]=BM$7)*
  (desp[data.pagamento]&gt;=$A12)*
  (desp[data.pagamento]&lt;EOMONTH($A12,0)+1)
)</f>
        <v>0</v>
      </c>
      <c r="BN12" s="178" cm="1">
        <f t="array" ref="BN12">SUMPRODUCT(
  IFERROR(--desp[valor],0)*
  (desp[nucleo]="UP POMPEIA")*
  (desp[categoria]=BN$7)*
  (desp[data.pagamento]&gt;=$A12)*
  (desp[data.pagamento]&lt;EOMONTH($A12,0)+1)
)</f>
        <v>0</v>
      </c>
      <c r="BO12" s="178" cm="1">
        <f t="array" ref="BO12">SUMPRODUCT(
  IFERROR(--desp[valor],0)*
  (desp[nucleo]="UP POMPEIA")*
  (desp[categoria]=BO$7)*
  (desp[data.pagamento]&gt;=$A12)*
  (desp[data.pagamento]&lt;EOMONTH($A12,0)+1)
)</f>
        <v>0</v>
      </c>
      <c r="BP12" s="178" cm="1">
        <f t="array" ref="BP12">SUMPRODUCT(
  IFERROR(--desp[valor],0)*
  (desp[nucleo]="UP POMPEIA")*
  (desp[categoria]=BP$7)*
  (desp[data.pagamento]&gt;=$A12)*
  (desp[data.pagamento]&lt;EOMONTH($A12,0)+1)
)</f>
        <v>0</v>
      </c>
      <c r="BQ12" s="179" cm="1">
        <f t="array" ref="BQ12">SUMPRODUCT(
  IFERROR(--desp[valor],0)*
  (desp[nucleo]="UP POMPEIA")*
  (desp[categoria]=BQ$7)*
  (desp[data.pagamento]&gt;=$A12)*
  (desp[data.pagamento]&lt;EOMONTH($A12,0)+1)
)</f>
        <v>0</v>
      </c>
      <c r="BR12" s="177">
        <f>COUNTIFS(
    estq[empresa], BR$6,
    estq[Data da venda / reserva], "&gt;=" &amp; $A12,
    estq[Data da venda / reserva], "&lt;"  &amp; EOMONTH($A12,0) + 1
)</f>
        <v>0</v>
      </c>
      <c r="BS12" s="178">
        <v>0</v>
      </c>
      <c r="BT12" s="178">
        <v>0</v>
      </c>
      <c r="BU12" s="178">
        <v>0</v>
      </c>
      <c r="BV12" s="166"/>
      <c r="BW12" s="178" cm="1">
        <f t="array" ref="BW12">SUMPRODUCT(
  IFERROR(--desp[valor],0)*
  (desp[nucleo]="UP SAUDE")*
  (desp[categoria]=BW$7)*
  (desp[data.pagamento]&gt;=$A12)*
  (desp[data.pagamento]&lt;EOMONTH($A12,0)+1)
)</f>
        <v>0</v>
      </c>
      <c r="BX12" s="178" cm="1">
        <f t="array" ref="BX12">SUMPRODUCT(
  IFERROR(--desp[valor],0)*
  (desp[nucleo]="UP SAUDE")*
  (desp[categoria]=BX$7)*
  (desp[data.pagamento]&gt;=$A12)*
  (desp[data.pagamento]&lt;EOMONTH($A12,0)+1)
)</f>
        <v>0</v>
      </c>
      <c r="BY12" s="178" cm="1">
        <f t="array" ref="BY12">SUMPRODUCT(
  IFERROR(--desp[valor],0)*
  (desp[nucleo]="UP SAUDE")*
  (desp[categoria]=BY$7)*
  (desp[data.pagamento]&gt;=$A12)*
  (desp[data.pagamento]&lt;EOMONTH($A12,0)+1)
)</f>
        <v>0</v>
      </c>
      <c r="BZ12" s="178" cm="1">
        <f t="array" ref="BZ12">SUMPRODUCT(
  IFERROR(--desp[valor],0)*
  (desp[nucleo]="UP SAUDE")*
  (desp[categoria]=BZ$7)*
  (desp[data.pagamento]&gt;=$A12)*
  (desp[data.pagamento]&lt;EOMONTH($A12,0)+1)
)</f>
        <v>0</v>
      </c>
      <c r="CA12" s="179" cm="1">
        <f t="array" ref="CA12">SUMPRODUCT(
  IFERROR(--desp[valor],0)*
  (desp[nucleo]="UP SAUDE")*
  (desp[categoria]=CA$7)*
  (desp[data.pagamento]&gt;=$A12)*
  (desp[data.pagamento]&lt;EOMONTH($A12,0)+1)
)</f>
        <v>0</v>
      </c>
      <c r="CB12" s="177">
        <f>COUNTIFS(
    estq[empresa], CB$6,
    estq[Data da venda / reserva], "&gt;=" &amp; $A12,
    estq[Data da venda / reserva], "&lt;"  &amp; EOMONTH($A12,0) + 1
)</f>
        <v>0</v>
      </c>
      <c r="CC12" s="178">
        <v>0</v>
      </c>
      <c r="CD12" s="178">
        <v>0</v>
      </c>
      <c r="CE12" s="178">
        <v>0</v>
      </c>
      <c r="CF12" s="178">
        <v>0</v>
      </c>
      <c r="CG12" s="178">
        <v>0</v>
      </c>
      <c r="CH12" s="166"/>
      <c r="CI12" s="178" cm="1">
        <f t="array" ref="CI12">SUMPRODUCT(
  IFERROR(--desp[valor],0)*
  (desp[nucleo]="UP ESTAÇÃO VILA SONIA")*
  (desp[categoria]=CI$7)*
  (desp[data.pagamento]&gt;=$A12)*
  (desp[data.pagamento]&lt;EOMONTH($A12,0)+1)
)</f>
        <v>0</v>
      </c>
      <c r="CJ12" s="178" cm="1">
        <f t="array" ref="CJ12">SUMPRODUCT(
  IFERROR(--desp[valor],0)*
  (desp[nucleo]="UP ESTAÇÃO VILA SONIA")*
  (desp[categoria]=CJ$7)*
  (desp[data.pagamento]&gt;=$A12)*
  (desp[data.pagamento]&lt;EOMONTH($A12,0)+1)
)</f>
        <v>0</v>
      </c>
      <c r="CK12" s="178" cm="1">
        <f t="array" ref="CK12">SUMPRODUCT(
  IFERROR(--desp[valor],0)*
  (desp[nucleo]="UP ESTAÇÃO VILA SONIA")*
  (desp[categoria]=CK$7)*
  (desp[data.pagamento]&gt;=$A12)*
  (desp[data.pagamento]&lt;EOMONTH($A12,0)+1)
)</f>
        <v>0</v>
      </c>
      <c r="CL12" s="178" cm="1">
        <f t="array" ref="CL12">SUMPRODUCT(
  IFERROR(--desp[valor],0)*
  (desp[nucleo]="UP ESTAÇÃO VILA SONIA")*
  (desp[categoria]=CL$7)*
  (desp[data.pagamento]&gt;=$A12)*
  (desp[data.pagamento]&lt;EOMONTH($A12,0)+1)
)</f>
        <v>0</v>
      </c>
      <c r="CM12" s="179" cm="1">
        <f t="array" ref="CM12">SUMPRODUCT(
  IFERROR(--desp[valor],0)*
  (desp[nucleo]="UP ESTAÇÃO VILA SONIA")*
  (desp[categoria]=CM$7)*
  (desp[data.pagamento]&gt;=$A12)*
  (desp[data.pagamento]&lt;EOMONTH($A12,0)+1)
)</f>
        <v>0</v>
      </c>
      <c r="CN12" s="177">
        <f>COUNTIFS(
    estq[empresa], CN$6,
    estq[Data da venda / reserva], "&gt;=" &amp; $A12,
    estq[Data da venda / reserva], "&lt;"  &amp; EOMONTH($A12,0) + 1
)</f>
        <v>0</v>
      </c>
      <c r="CO12" s="178">
        <v>0</v>
      </c>
      <c r="CP12" s="178">
        <v>0</v>
      </c>
      <c r="CQ12" s="178">
        <v>0</v>
      </c>
      <c r="CR12" s="178">
        <v>0</v>
      </c>
      <c r="CS12" s="178">
        <v>0</v>
      </c>
      <c r="CT12" s="166"/>
      <c r="CU12" s="178" cm="1">
        <f t="array" ref="CU12">SUMPRODUCT(
  IFERROR(--desp[valor],0)*
  (desp[nucleo]="UP MOVE VILA SONIA")*
  (desp[categoria]=CU$7)*
  (desp[data.pagamento]&gt;=$A12)*
  (desp[data.pagamento]&lt;EOMONTH($A12,0)+1)
)</f>
        <v>0</v>
      </c>
      <c r="CV12" s="178" cm="1">
        <f t="array" ref="CV12">SUMPRODUCT(
  IFERROR(--desp[valor],0)*
  (desp[nucleo]="UP MOVE VILA SONIA")*
  (desp[categoria]=CV$7)*
  (desp[data.pagamento]&gt;=$A12)*
  (desp[data.pagamento]&lt;EOMONTH($A12,0)+1)
)</f>
        <v>0</v>
      </c>
      <c r="CW12" s="178" cm="1">
        <f t="array" ref="CW12">SUMPRODUCT(
  IFERROR(--desp[valor],0)*
  (desp[nucleo]="UP MOVE VILA SONIA")*
  (desp[categoria]=CW$7)*
  (desp[data.pagamento]&gt;=$A12)*
  (desp[data.pagamento]&lt;EOMONTH($A12,0)+1)
)</f>
        <v>0</v>
      </c>
      <c r="CX12" s="178" cm="1">
        <f t="array" ref="CX12">SUMPRODUCT(
  IFERROR(--desp[valor],0)*
  (desp[nucleo]="UP MOVE VILA SONIA")*
  (desp[categoria]=CX$7)*
  (desp[data.pagamento]&gt;=$A12)*
  (desp[data.pagamento]&lt;EOMONTH($A12,0)+1)
)</f>
        <v>0</v>
      </c>
      <c r="CY12" s="180" cm="1">
        <f t="array" ref="CY12">SUMPRODUCT(
  IFERROR(--desp[valor],0)*
  (desp[nucleo]="UP MOVE VILA SONIA")*
  (desp[categoria]=CY$7)*
  (desp[data.pagamento]&gt;=$A12)*
  (desp[data.pagamento]&lt;EOMONTH($A12,0)+1)
)</f>
        <v>0</v>
      </c>
    </row>
    <row r="13" spans="1:103" x14ac:dyDescent="0.25">
      <c r="A13" s="176">
        <v>44501</v>
      </c>
      <c r="B13" s="177">
        <f>COUNTIFS(
    estq[empresa], B$6,
    estq[Data da venda / reserva], "&gt;=" &amp; $A13,
    estq[Data da venda / reserva], "&lt;"  &amp; EOMONTH($A13,0) + 1
)</f>
        <v>0</v>
      </c>
      <c r="C13" s="178">
        <v>0</v>
      </c>
      <c r="D13" s="178">
        <v>0</v>
      </c>
      <c r="E13" s="178">
        <v>0</v>
      </c>
      <c r="F13" s="178">
        <v>0</v>
      </c>
      <c r="G13" s="178">
        <v>0</v>
      </c>
      <c r="H13" s="166"/>
      <c r="I13" s="178" cm="1">
        <f t="array" ref="I13">SUMPRODUCT(
  IFERROR(--desp[valor],0)*
  (desp[nucleo]="UP JARDIM PRUDENCIA")*
  (desp[categoria]=I$7)*
  (desp[data.pagamento]&gt;=$A13)*
  (desp[data.pagamento]&lt;EOMONTH($A13,0)+1)
)</f>
        <v>0</v>
      </c>
      <c r="J13" s="178" cm="1">
        <f t="array" ref="J13">SUMPRODUCT(
  IFERROR(--desp[valor],0)*
  (desp[nucleo]="UP JARDIM PRUDENCIA")*
  (desp[categoria]=J$7)*
  (desp[data.pagamento]&gt;=$A13)*
  (desp[data.pagamento]&lt;EOMONTH($A13,0)+1)
)</f>
        <v>0</v>
      </c>
      <c r="K13" s="178" cm="1">
        <f t="array" ref="K13">SUMPRODUCT(
  IFERROR(--desp[valor],0)*
  (desp[nucleo]="UP JARDIM PRUDENCIA")*
  (desp[categoria]=K$7)*
  (desp[data.pagamento]&gt;=$A13)*
  (desp[data.pagamento]&lt;EOMONTH($A13,0)+1)
)</f>
        <v>0</v>
      </c>
      <c r="L13" s="178" cm="1">
        <f t="array" ref="L13">SUMPRODUCT(
  IFERROR(--desp[valor],0)*
  (desp[nucleo]="UP JARDIM PRUDENCIA")*
  (desp[categoria]=L$7)*
  (desp[data.pagamento]&gt;=$A13)*
  (desp[data.pagamento]&lt;EOMONTH($A13,0)+1)
)</f>
        <v>0</v>
      </c>
      <c r="M13" s="179" cm="1">
        <f t="array" ref="M13">SUMPRODUCT(
  IFERROR(--desp[valor],0)*
  (desp[nucleo]="UP JARDIM PRUDENCIA")*
  (desp[categoria]=M$7)*
  (desp[data.pagamento]&gt;=$A13)*
  (desp[data.pagamento]&lt;EOMONTH($A13,0)+1)
)</f>
        <v>0</v>
      </c>
      <c r="N13" s="177">
        <f>COUNTIFS(
    estq[empresa], N$6,
    estq[Data da venda / reserva], "&gt;=" &amp; $A13,
    estq[Data da venda / reserva], "&lt;"  &amp; EOMONTH($A13,0) + 1
)</f>
        <v>0</v>
      </c>
      <c r="O13" s="178">
        <v>0</v>
      </c>
      <c r="P13" s="178">
        <v>0</v>
      </c>
      <c r="Q13" s="178">
        <v>0</v>
      </c>
      <c r="R13" s="178">
        <v>0</v>
      </c>
      <c r="S13" s="178">
        <v>0</v>
      </c>
      <c r="T13" s="166"/>
      <c r="U13" s="178" cm="1">
        <f t="array" ref="U13">SUMPRODUCT(
  IFERROR(--desp[valor],0)*
  (desp[nucleo]="UP VILA SONIA")*
  (desp[categoria]=U$7)*
  (desp[data.pagamento]&gt;=$A13)*
  (desp[data.pagamento]&lt;EOMONTH($A13,0)+1)
)</f>
        <v>0</v>
      </c>
      <c r="V13" s="178" cm="1">
        <f t="array" ref="V13">SUMPRODUCT(
  IFERROR(--desp[valor],0)*
  (desp[nucleo]="UP VILA SONIA")*
  (desp[categoria]=V$7)*
  (desp[data.pagamento]&gt;=$A13)*
  (desp[data.pagamento]&lt;EOMONTH($A13,0)+1)
)</f>
        <v>0</v>
      </c>
      <c r="W13" s="178" cm="1">
        <f t="array" ref="W13">SUMPRODUCT(
  IFERROR(--desp[valor],0)*
  (desp[nucleo]="UP VILA SONIA")*
  (desp[categoria]=W$7)*
  (desp[data.pagamento]&gt;=$A13)*
  (desp[data.pagamento]&lt;EOMONTH($A13,0)+1)
)</f>
        <v>0</v>
      </c>
      <c r="X13" s="178" cm="1">
        <f t="array" ref="X13">SUMPRODUCT(
  IFERROR(--desp[valor],0)*
  (desp[nucleo]="UP VILA SONIA")*
  (desp[categoria]=X$7)*
  (desp[data.pagamento]&gt;=$A13)*
  (desp[data.pagamento]&lt;EOMONTH($A13,0)+1)
)</f>
        <v>0</v>
      </c>
      <c r="Y13" s="179" cm="1">
        <f t="array" ref="Y13">SUMPRODUCT(
  IFERROR(--desp[valor],0)*
  (desp[nucleo]="UP VILA SONIA")*
  (desp[categoria]=Y$7)*
  (desp[data.pagamento]&gt;=$A13)*
  (desp[data.pagamento]&lt;EOMONTH($A13,0)+1)
)</f>
        <v>0</v>
      </c>
      <c r="Z13" s="177">
        <f>COUNTIFS(
    estq[empresa], Z$6,
    estq[Data da venda / reserva], "&gt;=" &amp; $A13,
    estq[Data da venda / reserva], "&lt;"  &amp; EOMONTH($A13,0) + 1
)</f>
        <v>0</v>
      </c>
      <c r="AA13" s="178">
        <v>0</v>
      </c>
      <c r="AB13" s="178">
        <v>0</v>
      </c>
      <c r="AC13" s="178">
        <v>0</v>
      </c>
      <c r="AD13" s="166"/>
      <c r="AE13" s="178" cm="1">
        <f t="array" ref="AE13">SUMPRODUCT(
  IFERROR(--desp[valor],0)*
  (desp[nucleo]="UP CAMPO BELO")*
  (desp[categoria]=AE$7)*
  (desp[data.pagamento]&gt;=$A13)*
  (desp[data.pagamento]&lt;EOMONTH($A13,0)+1)
)</f>
        <v>0</v>
      </c>
      <c r="AF13" s="178" cm="1">
        <f t="array" ref="AF13">SUMPRODUCT(
  IFERROR(--desp[valor],0)*
  (desp[nucleo]="UP CAMPO BELO")*
  (desp[categoria]=AF$7)*
  (desp[data.pagamento]&gt;=$A13)*
  (desp[data.pagamento]&lt;EOMONTH($A13,0)+1)
)</f>
        <v>0</v>
      </c>
      <c r="AG13" s="178" cm="1">
        <f t="array" ref="AG13">SUMPRODUCT(
  IFERROR(--desp[valor],0)*
  (desp[nucleo]="UP CAMPO BELO")*
  (desp[categoria]=AG$7)*
  (desp[data.pagamento]&gt;=$A13)*
  (desp[data.pagamento]&lt;EOMONTH($A13,0)+1)
)</f>
        <v>0</v>
      </c>
      <c r="AH13" s="178" cm="1">
        <f t="array" ref="AH13">SUMPRODUCT(
  IFERROR(--desp[valor],0)*
  (desp[nucleo]="UP CAMPO BELO")*
  (desp[categoria]=AH$7)*
  (desp[data.pagamento]&gt;=$A13)*
  (desp[data.pagamento]&lt;EOMONTH($A13,0)+1)
)</f>
        <v>0</v>
      </c>
      <c r="AI13" s="179" cm="1">
        <f t="array" ref="AI13">SUMPRODUCT(
  IFERROR(--desp[valor],0)*
  (desp[nucleo]="UP CAMPO BELO")*
  (desp[categoria]=AI$7)*
  (desp[data.pagamento]&gt;=$A13)*
  (desp[data.pagamento]&lt;EOMONTH($A13,0)+1)
)</f>
        <v>0</v>
      </c>
      <c r="AJ13" s="177">
        <f>COUNTIFS(
    estq[empresa], AJ$6,
    estq[Data da venda / reserva], "&gt;=" &amp; $A13,
    estq[Data da venda / reserva], "&lt;"  &amp; EOMONTH($A13,0) + 1
)</f>
        <v>0</v>
      </c>
      <c r="AK13" s="178">
        <v>0</v>
      </c>
      <c r="AL13" s="178">
        <v>0</v>
      </c>
      <c r="AM13" s="178">
        <v>0</v>
      </c>
      <c r="AN13" s="178">
        <v>0</v>
      </c>
      <c r="AO13" s="178">
        <v>0</v>
      </c>
      <c r="AP13" s="166"/>
      <c r="AQ13" s="178" cm="1">
        <f t="array" ref="AQ13">SUMPRODUCT(
  IFERROR(--desp[valor],0)*
  (desp[nucleo]="UP SELECT VILA SONIA")*
  (desp[categoria]=AQ$7)*
  (desp[data.pagamento]&gt;=$A13)*
  (desp[data.pagamento]&lt;EOMONTH($A13,0)+1)
)</f>
        <v>0</v>
      </c>
      <c r="AR13" s="178" cm="1">
        <f t="array" ref="AR13">SUMPRODUCT(
  IFERROR(--desp[valor],0)*
  (desp[nucleo]="UP SELECT VILA SONIA")*
  (desp[categoria]=AR$7)*
  (desp[data.pagamento]&gt;=$A13)*
  (desp[data.pagamento]&lt;EOMONTH($A13,0)+1)
)</f>
        <v>0</v>
      </c>
      <c r="AS13" s="178" cm="1">
        <f t="array" ref="AS13">SUMPRODUCT(
  IFERROR(--desp[valor],0)*
  (desp[nucleo]="UP SELECT VILA SONIA")*
  (desp[categoria]=AS$7)*
  (desp[data.pagamento]&gt;=$A13)*
  (desp[data.pagamento]&lt;EOMONTH($A13,0)+1)
)</f>
        <v>0</v>
      </c>
      <c r="AT13" s="178" cm="1">
        <f t="array" ref="AT13">SUMPRODUCT(
  IFERROR(--desp[valor],0)*
  (desp[nucleo]="UP SELECT VILA SONIA")*
  (desp[categoria]=AT$7)*
  (desp[data.pagamento]&gt;=$A13)*
  (desp[data.pagamento]&lt;EOMONTH($A13,0)+1)
)</f>
        <v>0</v>
      </c>
      <c r="AU13" s="179" cm="1">
        <f t="array" ref="AU13">SUMPRODUCT(
  IFERROR(--desp[valor],0)*
  (desp[nucleo]="UP SELECT VILA SONIA")*
  (desp[categoria]=AU$7)*
  (desp[data.pagamento]&gt;=$A13)*
  (desp[data.pagamento]&lt;EOMONTH($A13,0)+1)
)</f>
        <v>0</v>
      </c>
      <c r="AV13" s="177">
        <f>COUNTIFS(
    estq[empresa], AV$6,
    estq[Data da venda / reserva], "&gt;=" &amp; $A13,
    estq[Data da venda / reserva], "&lt;"  &amp; EOMONTH($A13,0) + 1
)</f>
        <v>0</v>
      </c>
      <c r="AW13" s="178">
        <v>0</v>
      </c>
      <c r="AX13" s="178">
        <v>0</v>
      </c>
      <c r="AY13" s="178">
        <v>0</v>
      </c>
      <c r="AZ13" s="178">
        <v>0</v>
      </c>
      <c r="BA13" s="178">
        <v>0</v>
      </c>
      <c r="BB13" s="166"/>
      <c r="BC13" s="178" cm="1">
        <f t="array" ref="BC13">SUMPRODUCT(
  IFERROR(--desp[valor],0)*
  (desp[nucleo]="UP ESTAÇÃO SÃO LUCAS")*
  (desp[categoria]=BC$7)*
  (desp[data.pagamento]&gt;=$A13)*
  (desp[data.pagamento]&lt;EOMONTH($A13,0)+1)
)</f>
        <v>0</v>
      </c>
      <c r="BD13" s="178" cm="1">
        <f t="array" ref="BD13">SUMPRODUCT(
  IFERROR(--desp[valor],0)*
  (desp[nucleo]="UP ESTAÇÃO SÃO LUCAS")*
  (desp[categoria]=BD$7)*
  (desp[data.pagamento]&gt;=$A13)*
  (desp[data.pagamento]&lt;EOMONTH($A13,0)+1)
)</f>
        <v>0</v>
      </c>
      <c r="BE13" s="178" cm="1">
        <f t="array" ref="BE13">SUMPRODUCT(
  IFERROR(--desp[valor],0)*
  (desp[nucleo]="UP ESTAÇÃO SÃO LUCAS")*
  (desp[categoria]=BE$7)*
  (desp[data.pagamento]&gt;=$A13)*
  (desp[data.pagamento]&lt;EOMONTH($A13,0)+1)
)</f>
        <v>0</v>
      </c>
      <c r="BF13" s="178" cm="1">
        <f t="array" ref="BF13">SUMPRODUCT(
  IFERROR(--desp[valor],0)*
  (desp[nucleo]="UP ESTAÇÃO SÃO LUCAS")*
  (desp[categoria]=BF$7)*
  (desp[data.pagamento]&gt;=$A13)*
  (desp[data.pagamento]&lt;EOMONTH($A13,0)+1)
)</f>
        <v>0</v>
      </c>
      <c r="BG13" s="179" cm="1">
        <f t="array" ref="BG13">SUMPRODUCT(
  IFERROR(--desp[valor],0)*
  (desp[nucleo]="UP ESTAÇÃO SÃO LUCAS")*
  (desp[categoria]=BG$7)*
  (desp[data.pagamento]&gt;=$A13)*
  (desp[data.pagamento]&lt;EOMONTH($A13,0)+1)
)</f>
        <v>0</v>
      </c>
      <c r="BH13" s="177">
        <f>COUNTIFS(
    estq[empresa], BH$6,
    estq[Data da venda / reserva], "&gt;=" &amp; $A13,
    estq[Data da venda / reserva], "&lt;"  &amp; EOMONTH($A13,0) + 1
)</f>
        <v>0</v>
      </c>
      <c r="BI13" s="178">
        <v>0</v>
      </c>
      <c r="BJ13" s="166">
        <v>0</v>
      </c>
      <c r="BK13" s="178">
        <v>0</v>
      </c>
      <c r="BL13" s="166"/>
      <c r="BM13" s="178" cm="1">
        <f t="array" ref="BM13">SUMPRODUCT(
  IFERROR(--desp[valor],0)*
  (desp[nucleo]="UP POMPEIA")*
  (desp[categoria]=BM$7)*
  (desp[data.pagamento]&gt;=$A13)*
  (desp[data.pagamento]&lt;EOMONTH($A13,0)+1)
)</f>
        <v>0</v>
      </c>
      <c r="BN13" s="178" cm="1">
        <f t="array" ref="BN13">SUMPRODUCT(
  IFERROR(--desp[valor],0)*
  (desp[nucleo]="UP POMPEIA")*
  (desp[categoria]=BN$7)*
  (desp[data.pagamento]&gt;=$A13)*
  (desp[data.pagamento]&lt;EOMONTH($A13,0)+1)
)</f>
        <v>0</v>
      </c>
      <c r="BO13" s="178" cm="1">
        <f t="array" ref="BO13">SUMPRODUCT(
  IFERROR(--desp[valor],0)*
  (desp[nucleo]="UP POMPEIA")*
  (desp[categoria]=BO$7)*
  (desp[data.pagamento]&gt;=$A13)*
  (desp[data.pagamento]&lt;EOMONTH($A13,0)+1)
)</f>
        <v>0</v>
      </c>
      <c r="BP13" s="178" cm="1">
        <f t="array" ref="BP13">SUMPRODUCT(
  IFERROR(--desp[valor],0)*
  (desp[nucleo]="UP POMPEIA")*
  (desp[categoria]=BP$7)*
  (desp[data.pagamento]&gt;=$A13)*
  (desp[data.pagamento]&lt;EOMONTH($A13,0)+1)
)</f>
        <v>0</v>
      </c>
      <c r="BQ13" s="179" cm="1">
        <f t="array" ref="BQ13">SUMPRODUCT(
  IFERROR(--desp[valor],0)*
  (desp[nucleo]="UP POMPEIA")*
  (desp[categoria]=BQ$7)*
  (desp[data.pagamento]&gt;=$A13)*
  (desp[data.pagamento]&lt;EOMONTH($A13,0)+1)
)</f>
        <v>0</v>
      </c>
      <c r="BR13" s="177">
        <f>COUNTIFS(
    estq[empresa], BR$6,
    estq[Data da venda / reserva], "&gt;=" &amp; $A13,
    estq[Data da venda / reserva], "&lt;"  &amp; EOMONTH($A13,0) + 1
)</f>
        <v>0</v>
      </c>
      <c r="BS13" s="178">
        <v>0</v>
      </c>
      <c r="BT13" s="178">
        <v>0</v>
      </c>
      <c r="BU13" s="178">
        <v>0</v>
      </c>
      <c r="BV13" s="166"/>
      <c r="BW13" s="178" cm="1">
        <f t="array" ref="BW13">SUMPRODUCT(
  IFERROR(--desp[valor],0)*
  (desp[nucleo]="UP SAUDE")*
  (desp[categoria]=BW$7)*
  (desp[data.pagamento]&gt;=$A13)*
  (desp[data.pagamento]&lt;EOMONTH($A13,0)+1)
)</f>
        <v>0</v>
      </c>
      <c r="BX13" s="178" cm="1">
        <f t="array" ref="BX13">SUMPRODUCT(
  IFERROR(--desp[valor],0)*
  (desp[nucleo]="UP SAUDE")*
  (desp[categoria]=BX$7)*
  (desp[data.pagamento]&gt;=$A13)*
  (desp[data.pagamento]&lt;EOMONTH($A13,0)+1)
)</f>
        <v>0</v>
      </c>
      <c r="BY13" s="178" cm="1">
        <f t="array" ref="BY13">SUMPRODUCT(
  IFERROR(--desp[valor],0)*
  (desp[nucleo]="UP SAUDE")*
  (desp[categoria]=BY$7)*
  (desp[data.pagamento]&gt;=$A13)*
  (desp[data.pagamento]&lt;EOMONTH($A13,0)+1)
)</f>
        <v>0</v>
      </c>
      <c r="BZ13" s="178" cm="1">
        <f t="array" ref="BZ13">SUMPRODUCT(
  IFERROR(--desp[valor],0)*
  (desp[nucleo]="UP SAUDE")*
  (desp[categoria]=BZ$7)*
  (desp[data.pagamento]&gt;=$A13)*
  (desp[data.pagamento]&lt;EOMONTH($A13,0)+1)
)</f>
        <v>0</v>
      </c>
      <c r="CA13" s="179" cm="1">
        <f t="array" ref="CA13">SUMPRODUCT(
  IFERROR(--desp[valor],0)*
  (desp[nucleo]="UP SAUDE")*
  (desp[categoria]=CA$7)*
  (desp[data.pagamento]&gt;=$A13)*
  (desp[data.pagamento]&lt;EOMONTH($A13,0)+1)
)</f>
        <v>0</v>
      </c>
      <c r="CB13" s="177">
        <f>COUNTIFS(
    estq[empresa], CB$6,
    estq[Data da venda / reserva], "&gt;=" &amp; $A13,
    estq[Data da venda / reserva], "&lt;"  &amp; EOMONTH($A13,0) + 1
)</f>
        <v>0</v>
      </c>
      <c r="CC13" s="178">
        <v>0</v>
      </c>
      <c r="CD13" s="178">
        <v>0</v>
      </c>
      <c r="CE13" s="178">
        <v>0</v>
      </c>
      <c r="CF13" s="178">
        <v>0</v>
      </c>
      <c r="CG13" s="178">
        <v>0</v>
      </c>
      <c r="CH13" s="166"/>
      <c r="CI13" s="178" cm="1">
        <f t="array" ref="CI13">SUMPRODUCT(
  IFERROR(--desp[valor],0)*
  (desp[nucleo]="UP ESTAÇÃO VILA SONIA")*
  (desp[categoria]=CI$7)*
  (desp[data.pagamento]&gt;=$A13)*
  (desp[data.pagamento]&lt;EOMONTH($A13,0)+1)
)</f>
        <v>0</v>
      </c>
      <c r="CJ13" s="178" cm="1">
        <f t="array" ref="CJ13">SUMPRODUCT(
  IFERROR(--desp[valor],0)*
  (desp[nucleo]="UP ESTAÇÃO VILA SONIA")*
  (desp[categoria]=CJ$7)*
  (desp[data.pagamento]&gt;=$A13)*
  (desp[data.pagamento]&lt;EOMONTH($A13,0)+1)
)</f>
        <v>0</v>
      </c>
      <c r="CK13" s="178" cm="1">
        <f t="array" ref="CK13">SUMPRODUCT(
  IFERROR(--desp[valor],0)*
  (desp[nucleo]="UP ESTAÇÃO VILA SONIA")*
  (desp[categoria]=CK$7)*
  (desp[data.pagamento]&gt;=$A13)*
  (desp[data.pagamento]&lt;EOMONTH($A13,0)+1)
)</f>
        <v>0</v>
      </c>
      <c r="CL13" s="178" cm="1">
        <f t="array" ref="CL13">SUMPRODUCT(
  IFERROR(--desp[valor],0)*
  (desp[nucleo]="UP ESTAÇÃO VILA SONIA")*
  (desp[categoria]=CL$7)*
  (desp[data.pagamento]&gt;=$A13)*
  (desp[data.pagamento]&lt;EOMONTH($A13,0)+1)
)</f>
        <v>0</v>
      </c>
      <c r="CM13" s="179" cm="1">
        <f t="array" ref="CM13">SUMPRODUCT(
  IFERROR(--desp[valor],0)*
  (desp[nucleo]="UP ESTAÇÃO VILA SONIA")*
  (desp[categoria]=CM$7)*
  (desp[data.pagamento]&gt;=$A13)*
  (desp[data.pagamento]&lt;EOMONTH($A13,0)+1)
)</f>
        <v>0</v>
      </c>
      <c r="CN13" s="177">
        <f>COUNTIFS(
    estq[empresa], CN$6,
    estq[Data da venda / reserva], "&gt;=" &amp; $A13,
    estq[Data da venda / reserva], "&lt;"  &amp; EOMONTH($A13,0) + 1
)</f>
        <v>0</v>
      </c>
      <c r="CO13" s="178">
        <v>0</v>
      </c>
      <c r="CP13" s="178">
        <v>0</v>
      </c>
      <c r="CQ13" s="178">
        <v>0</v>
      </c>
      <c r="CR13" s="178">
        <v>0</v>
      </c>
      <c r="CS13" s="178">
        <v>0</v>
      </c>
      <c r="CT13" s="166"/>
      <c r="CU13" s="178" cm="1">
        <f t="array" ref="CU13">SUMPRODUCT(
  IFERROR(--desp[valor],0)*
  (desp[nucleo]="UP MOVE VILA SONIA")*
  (desp[categoria]=CU$7)*
  (desp[data.pagamento]&gt;=$A13)*
  (desp[data.pagamento]&lt;EOMONTH($A13,0)+1)
)</f>
        <v>0</v>
      </c>
      <c r="CV13" s="178" cm="1">
        <f t="array" ref="CV13">SUMPRODUCT(
  IFERROR(--desp[valor],0)*
  (desp[nucleo]="UP MOVE VILA SONIA")*
  (desp[categoria]=CV$7)*
  (desp[data.pagamento]&gt;=$A13)*
  (desp[data.pagamento]&lt;EOMONTH($A13,0)+1)
)</f>
        <v>0</v>
      </c>
      <c r="CW13" s="178" cm="1">
        <f t="array" ref="CW13">SUMPRODUCT(
  IFERROR(--desp[valor],0)*
  (desp[nucleo]="UP MOVE VILA SONIA")*
  (desp[categoria]=CW$7)*
  (desp[data.pagamento]&gt;=$A13)*
  (desp[data.pagamento]&lt;EOMONTH($A13,0)+1)
)</f>
        <v>0</v>
      </c>
      <c r="CX13" s="178" cm="1">
        <f t="array" ref="CX13">SUMPRODUCT(
  IFERROR(--desp[valor],0)*
  (desp[nucleo]="UP MOVE VILA SONIA")*
  (desp[categoria]=CX$7)*
  (desp[data.pagamento]&gt;=$A13)*
  (desp[data.pagamento]&lt;EOMONTH($A13,0)+1)
)</f>
        <v>0</v>
      </c>
      <c r="CY13" s="180" cm="1">
        <f t="array" ref="CY13">SUMPRODUCT(
  IFERROR(--desp[valor],0)*
  (desp[nucleo]="UP MOVE VILA SONIA")*
  (desp[categoria]=CY$7)*
  (desp[data.pagamento]&gt;=$A13)*
  (desp[data.pagamento]&lt;EOMONTH($A13,0)+1)
)</f>
        <v>0</v>
      </c>
    </row>
    <row r="14" spans="1:103" x14ac:dyDescent="0.25">
      <c r="A14" s="176">
        <v>44531</v>
      </c>
      <c r="B14" s="177">
        <f>COUNTIFS(
    estq[empresa], B$6,
    estq[Data da venda / reserva], "&gt;=" &amp; $A14,
    estq[Data da venda / reserva], "&lt;"  &amp; EOMONTH($A14,0) + 1
)</f>
        <v>0</v>
      </c>
      <c r="C14" s="178">
        <v>0</v>
      </c>
      <c r="D14" s="178">
        <v>0</v>
      </c>
      <c r="E14" s="178">
        <v>0</v>
      </c>
      <c r="F14" s="178">
        <v>0</v>
      </c>
      <c r="G14" s="178">
        <v>0</v>
      </c>
      <c r="H14" s="166"/>
      <c r="I14" s="178" cm="1">
        <f t="array" ref="I14">SUMPRODUCT(
  IFERROR(--desp[valor],0)*
  (desp[nucleo]="UP JARDIM PRUDENCIA")*
  (desp[categoria]=I$7)*
  (desp[data.pagamento]&gt;=$A14)*
  (desp[data.pagamento]&lt;EOMONTH($A14,0)+1)
)</f>
        <v>0</v>
      </c>
      <c r="J14" s="178" cm="1">
        <f t="array" ref="J14">SUMPRODUCT(
  IFERROR(--desp[valor],0)*
  (desp[nucleo]="UP JARDIM PRUDENCIA")*
  (desp[categoria]=J$7)*
  (desp[data.pagamento]&gt;=$A14)*
  (desp[data.pagamento]&lt;EOMONTH($A14,0)+1)
)</f>
        <v>0</v>
      </c>
      <c r="K14" s="178" cm="1">
        <f t="array" ref="K14">SUMPRODUCT(
  IFERROR(--desp[valor],0)*
  (desp[nucleo]="UP JARDIM PRUDENCIA")*
  (desp[categoria]=K$7)*
  (desp[data.pagamento]&gt;=$A14)*
  (desp[data.pagamento]&lt;EOMONTH($A14,0)+1)
)</f>
        <v>0</v>
      </c>
      <c r="L14" s="178" cm="1">
        <f t="array" ref="L14">SUMPRODUCT(
  IFERROR(--desp[valor],0)*
  (desp[nucleo]="UP JARDIM PRUDENCIA")*
  (desp[categoria]=L$7)*
  (desp[data.pagamento]&gt;=$A14)*
  (desp[data.pagamento]&lt;EOMONTH($A14,0)+1)
)</f>
        <v>0</v>
      </c>
      <c r="M14" s="179" cm="1">
        <f t="array" ref="M14">SUMPRODUCT(
  IFERROR(--desp[valor],0)*
  (desp[nucleo]="UP JARDIM PRUDENCIA")*
  (desp[categoria]=M$7)*
  (desp[data.pagamento]&gt;=$A14)*
  (desp[data.pagamento]&lt;EOMONTH($A14,0)+1)
)</f>
        <v>0</v>
      </c>
      <c r="N14" s="177">
        <f>COUNTIFS(
    estq[empresa], N$6,
    estq[Data da venda / reserva], "&gt;=" &amp; $A14,
    estq[Data da venda / reserva], "&lt;"  &amp; EOMONTH($A14,0) + 1
)</f>
        <v>0</v>
      </c>
      <c r="O14" s="178">
        <v>0</v>
      </c>
      <c r="P14" s="178">
        <v>0</v>
      </c>
      <c r="Q14" s="178">
        <v>0</v>
      </c>
      <c r="R14" s="178">
        <v>0</v>
      </c>
      <c r="S14" s="178">
        <v>0</v>
      </c>
      <c r="T14" s="166"/>
      <c r="U14" s="178" cm="1">
        <f t="array" ref="U14">SUMPRODUCT(
  IFERROR(--desp[valor],0)*
  (desp[nucleo]="UP VILA SONIA")*
  (desp[categoria]=U$7)*
  (desp[data.pagamento]&gt;=$A14)*
  (desp[data.pagamento]&lt;EOMONTH($A14,0)+1)
)</f>
        <v>0</v>
      </c>
      <c r="V14" s="178" cm="1">
        <f t="array" ref="V14">SUMPRODUCT(
  IFERROR(--desp[valor],0)*
  (desp[nucleo]="UP VILA SONIA")*
  (desp[categoria]=V$7)*
  (desp[data.pagamento]&gt;=$A14)*
  (desp[data.pagamento]&lt;EOMONTH($A14,0)+1)
)</f>
        <v>0</v>
      </c>
      <c r="W14" s="178" cm="1">
        <f t="array" ref="W14">SUMPRODUCT(
  IFERROR(--desp[valor],0)*
  (desp[nucleo]="UP VILA SONIA")*
  (desp[categoria]=W$7)*
  (desp[data.pagamento]&gt;=$A14)*
  (desp[data.pagamento]&lt;EOMONTH($A14,0)+1)
)</f>
        <v>0</v>
      </c>
      <c r="X14" s="178" cm="1">
        <f t="array" ref="X14">SUMPRODUCT(
  IFERROR(--desp[valor],0)*
  (desp[nucleo]="UP VILA SONIA")*
  (desp[categoria]=X$7)*
  (desp[data.pagamento]&gt;=$A14)*
  (desp[data.pagamento]&lt;EOMONTH($A14,0)+1)
)</f>
        <v>0</v>
      </c>
      <c r="Y14" s="179" cm="1">
        <f t="array" ref="Y14">SUMPRODUCT(
  IFERROR(--desp[valor],0)*
  (desp[nucleo]="UP VILA SONIA")*
  (desp[categoria]=Y$7)*
  (desp[data.pagamento]&gt;=$A14)*
  (desp[data.pagamento]&lt;EOMONTH($A14,0)+1)
)</f>
        <v>0</v>
      </c>
      <c r="Z14" s="177">
        <f>COUNTIFS(
    estq[empresa], Z$6,
    estq[Data da venda / reserva], "&gt;=" &amp; $A14,
    estq[Data da venda / reserva], "&lt;"  &amp; EOMONTH($A14,0) + 1
)</f>
        <v>0</v>
      </c>
      <c r="AA14" s="178">
        <v>0</v>
      </c>
      <c r="AB14" s="178">
        <v>0</v>
      </c>
      <c r="AC14" s="178">
        <v>0</v>
      </c>
      <c r="AD14" s="166"/>
      <c r="AE14" s="178" cm="1">
        <f t="array" ref="AE14">SUMPRODUCT(
  IFERROR(--desp[valor],0)*
  (desp[nucleo]="UP CAMPO BELO")*
  (desp[categoria]=AE$7)*
  (desp[data.pagamento]&gt;=$A14)*
  (desp[data.pagamento]&lt;EOMONTH($A14,0)+1)
)</f>
        <v>0</v>
      </c>
      <c r="AF14" s="178" cm="1">
        <f t="array" ref="AF14">SUMPRODUCT(
  IFERROR(--desp[valor],0)*
  (desp[nucleo]="UP CAMPO BELO")*
  (desp[categoria]=AF$7)*
  (desp[data.pagamento]&gt;=$A14)*
  (desp[data.pagamento]&lt;EOMONTH($A14,0)+1)
)</f>
        <v>0</v>
      </c>
      <c r="AG14" s="178" cm="1">
        <f t="array" ref="AG14">SUMPRODUCT(
  IFERROR(--desp[valor],0)*
  (desp[nucleo]="UP CAMPO BELO")*
  (desp[categoria]=AG$7)*
  (desp[data.pagamento]&gt;=$A14)*
  (desp[data.pagamento]&lt;EOMONTH($A14,0)+1)
)</f>
        <v>0</v>
      </c>
      <c r="AH14" s="178" cm="1">
        <f t="array" ref="AH14">SUMPRODUCT(
  IFERROR(--desp[valor],0)*
  (desp[nucleo]="UP CAMPO BELO")*
  (desp[categoria]=AH$7)*
  (desp[data.pagamento]&gt;=$A14)*
  (desp[data.pagamento]&lt;EOMONTH($A14,0)+1)
)</f>
        <v>0</v>
      </c>
      <c r="AI14" s="179" cm="1">
        <f t="array" ref="AI14">SUMPRODUCT(
  IFERROR(--desp[valor],0)*
  (desp[nucleo]="UP CAMPO BELO")*
  (desp[categoria]=AI$7)*
  (desp[data.pagamento]&gt;=$A14)*
  (desp[data.pagamento]&lt;EOMONTH($A14,0)+1)
)</f>
        <v>0</v>
      </c>
      <c r="AJ14" s="177">
        <f>COUNTIFS(
    estq[empresa], AJ$6,
    estq[Data da venda / reserva], "&gt;=" &amp; $A14,
    estq[Data da venda / reserva], "&lt;"  &amp; EOMONTH($A14,0) + 1
)</f>
        <v>0</v>
      </c>
      <c r="AK14" s="178">
        <v>0</v>
      </c>
      <c r="AL14" s="178">
        <v>0</v>
      </c>
      <c r="AM14" s="178">
        <v>0</v>
      </c>
      <c r="AN14" s="178">
        <v>0</v>
      </c>
      <c r="AO14" s="178">
        <v>0</v>
      </c>
      <c r="AP14" s="166"/>
      <c r="AQ14" s="178" cm="1">
        <f t="array" ref="AQ14">SUMPRODUCT(
  IFERROR(--desp[valor],0)*
  (desp[nucleo]="UP SELECT VILA SONIA")*
  (desp[categoria]=AQ$7)*
  (desp[data.pagamento]&gt;=$A14)*
  (desp[data.pagamento]&lt;EOMONTH($A14,0)+1)
)</f>
        <v>0</v>
      </c>
      <c r="AR14" s="178" cm="1">
        <f t="array" ref="AR14">SUMPRODUCT(
  IFERROR(--desp[valor],0)*
  (desp[nucleo]="UP SELECT VILA SONIA")*
  (desp[categoria]=AR$7)*
  (desp[data.pagamento]&gt;=$A14)*
  (desp[data.pagamento]&lt;EOMONTH($A14,0)+1)
)</f>
        <v>0</v>
      </c>
      <c r="AS14" s="178" cm="1">
        <f t="array" ref="AS14">SUMPRODUCT(
  IFERROR(--desp[valor],0)*
  (desp[nucleo]="UP SELECT VILA SONIA")*
  (desp[categoria]=AS$7)*
  (desp[data.pagamento]&gt;=$A14)*
  (desp[data.pagamento]&lt;EOMONTH($A14,0)+1)
)</f>
        <v>0</v>
      </c>
      <c r="AT14" s="178" cm="1">
        <f t="array" ref="AT14">SUMPRODUCT(
  IFERROR(--desp[valor],0)*
  (desp[nucleo]="UP SELECT VILA SONIA")*
  (desp[categoria]=AT$7)*
  (desp[data.pagamento]&gt;=$A14)*
  (desp[data.pagamento]&lt;EOMONTH($A14,0)+1)
)</f>
        <v>0</v>
      </c>
      <c r="AU14" s="179" cm="1">
        <f t="array" ref="AU14">SUMPRODUCT(
  IFERROR(--desp[valor],0)*
  (desp[nucleo]="UP SELECT VILA SONIA")*
  (desp[categoria]=AU$7)*
  (desp[data.pagamento]&gt;=$A14)*
  (desp[data.pagamento]&lt;EOMONTH($A14,0)+1)
)</f>
        <v>0</v>
      </c>
      <c r="AV14" s="177">
        <f>COUNTIFS(
    estq[empresa], AV$6,
    estq[Data da venda / reserva], "&gt;=" &amp; $A14,
    estq[Data da venda / reserva], "&lt;"  &amp; EOMONTH($A14,0) + 1
)</f>
        <v>0</v>
      </c>
      <c r="AW14" s="178">
        <v>0</v>
      </c>
      <c r="AX14" s="178">
        <v>0</v>
      </c>
      <c r="AY14" s="178">
        <v>0</v>
      </c>
      <c r="AZ14" s="178">
        <v>0</v>
      </c>
      <c r="BA14" s="178">
        <v>0</v>
      </c>
      <c r="BB14" s="166"/>
      <c r="BC14" s="178" cm="1">
        <f t="array" ref="BC14">SUMPRODUCT(
  IFERROR(--desp[valor],0)*
  (desp[nucleo]="UP ESTAÇÃO SÃO LUCAS")*
  (desp[categoria]=BC$7)*
  (desp[data.pagamento]&gt;=$A14)*
  (desp[data.pagamento]&lt;EOMONTH($A14,0)+1)
)</f>
        <v>0</v>
      </c>
      <c r="BD14" s="178" cm="1">
        <f t="array" ref="BD14">SUMPRODUCT(
  IFERROR(--desp[valor],0)*
  (desp[nucleo]="UP ESTAÇÃO SÃO LUCAS")*
  (desp[categoria]=BD$7)*
  (desp[data.pagamento]&gt;=$A14)*
  (desp[data.pagamento]&lt;EOMONTH($A14,0)+1)
)</f>
        <v>0</v>
      </c>
      <c r="BE14" s="178" cm="1">
        <f t="array" ref="BE14">SUMPRODUCT(
  IFERROR(--desp[valor],0)*
  (desp[nucleo]="UP ESTAÇÃO SÃO LUCAS")*
  (desp[categoria]=BE$7)*
  (desp[data.pagamento]&gt;=$A14)*
  (desp[data.pagamento]&lt;EOMONTH($A14,0)+1)
)</f>
        <v>0</v>
      </c>
      <c r="BF14" s="178" cm="1">
        <f t="array" ref="BF14">SUMPRODUCT(
  IFERROR(--desp[valor],0)*
  (desp[nucleo]="UP ESTAÇÃO SÃO LUCAS")*
  (desp[categoria]=BF$7)*
  (desp[data.pagamento]&gt;=$A14)*
  (desp[data.pagamento]&lt;EOMONTH($A14,0)+1)
)</f>
        <v>0</v>
      </c>
      <c r="BG14" s="179" cm="1">
        <f t="array" ref="BG14">SUMPRODUCT(
  IFERROR(--desp[valor],0)*
  (desp[nucleo]="UP ESTAÇÃO SÃO LUCAS")*
  (desp[categoria]=BG$7)*
  (desp[data.pagamento]&gt;=$A14)*
  (desp[data.pagamento]&lt;EOMONTH($A14,0)+1)
)</f>
        <v>0</v>
      </c>
      <c r="BH14" s="177">
        <f>COUNTIFS(
    estq[empresa], BH$6,
    estq[Data da venda / reserva], "&gt;=" &amp; $A14,
    estq[Data da venda / reserva], "&lt;"  &amp; EOMONTH($A14,0) + 1
)</f>
        <v>0</v>
      </c>
      <c r="BI14" s="178">
        <v>0</v>
      </c>
      <c r="BJ14" s="166">
        <v>0</v>
      </c>
      <c r="BK14" s="178">
        <v>0</v>
      </c>
      <c r="BL14" s="166"/>
      <c r="BM14" s="178" cm="1">
        <f t="array" ref="BM14">SUMPRODUCT(
  IFERROR(--desp[valor],0)*
  (desp[nucleo]="UP POMPEIA")*
  (desp[categoria]=BM$7)*
  (desp[data.pagamento]&gt;=$A14)*
  (desp[data.pagamento]&lt;EOMONTH($A14,0)+1)
)</f>
        <v>0</v>
      </c>
      <c r="BN14" s="178" cm="1">
        <f t="array" ref="BN14">SUMPRODUCT(
  IFERROR(--desp[valor],0)*
  (desp[nucleo]="UP POMPEIA")*
  (desp[categoria]=BN$7)*
  (desp[data.pagamento]&gt;=$A14)*
  (desp[data.pagamento]&lt;EOMONTH($A14,0)+1)
)</f>
        <v>0</v>
      </c>
      <c r="BO14" s="178" cm="1">
        <f t="array" ref="BO14">SUMPRODUCT(
  IFERROR(--desp[valor],0)*
  (desp[nucleo]="UP POMPEIA")*
  (desp[categoria]=BO$7)*
  (desp[data.pagamento]&gt;=$A14)*
  (desp[data.pagamento]&lt;EOMONTH($A14,0)+1)
)</f>
        <v>0</v>
      </c>
      <c r="BP14" s="178" cm="1">
        <f t="array" ref="BP14">SUMPRODUCT(
  IFERROR(--desp[valor],0)*
  (desp[nucleo]="UP POMPEIA")*
  (desp[categoria]=BP$7)*
  (desp[data.pagamento]&gt;=$A14)*
  (desp[data.pagamento]&lt;EOMONTH($A14,0)+1)
)</f>
        <v>0</v>
      </c>
      <c r="BQ14" s="179" cm="1">
        <f t="array" ref="BQ14">SUMPRODUCT(
  IFERROR(--desp[valor],0)*
  (desp[nucleo]="UP POMPEIA")*
  (desp[categoria]=BQ$7)*
  (desp[data.pagamento]&gt;=$A14)*
  (desp[data.pagamento]&lt;EOMONTH($A14,0)+1)
)</f>
        <v>0</v>
      </c>
      <c r="BR14" s="177">
        <f>COUNTIFS(
    estq[empresa], BR$6,
    estq[Data da venda / reserva], "&gt;=" &amp; $A14,
    estq[Data da venda / reserva], "&lt;"  &amp; EOMONTH($A14,0) + 1
)</f>
        <v>0</v>
      </c>
      <c r="BS14" s="178">
        <v>0</v>
      </c>
      <c r="BT14" s="178">
        <v>0</v>
      </c>
      <c r="BU14" s="178">
        <v>0</v>
      </c>
      <c r="BV14" s="166"/>
      <c r="BW14" s="178" cm="1">
        <f t="array" ref="BW14">SUMPRODUCT(
  IFERROR(--desp[valor],0)*
  (desp[nucleo]="UP SAUDE")*
  (desp[categoria]=BW$7)*
  (desp[data.pagamento]&gt;=$A14)*
  (desp[data.pagamento]&lt;EOMONTH($A14,0)+1)
)</f>
        <v>0</v>
      </c>
      <c r="BX14" s="178" cm="1">
        <f t="array" ref="BX14">SUMPRODUCT(
  IFERROR(--desp[valor],0)*
  (desp[nucleo]="UP SAUDE")*
  (desp[categoria]=BX$7)*
  (desp[data.pagamento]&gt;=$A14)*
  (desp[data.pagamento]&lt;EOMONTH($A14,0)+1)
)</f>
        <v>0</v>
      </c>
      <c r="BY14" s="178" cm="1">
        <f t="array" ref="BY14">SUMPRODUCT(
  IFERROR(--desp[valor],0)*
  (desp[nucleo]="UP SAUDE")*
  (desp[categoria]=BY$7)*
  (desp[data.pagamento]&gt;=$A14)*
  (desp[data.pagamento]&lt;EOMONTH($A14,0)+1)
)</f>
        <v>0</v>
      </c>
      <c r="BZ14" s="178" cm="1">
        <f t="array" ref="BZ14">SUMPRODUCT(
  IFERROR(--desp[valor],0)*
  (desp[nucleo]="UP SAUDE")*
  (desp[categoria]=BZ$7)*
  (desp[data.pagamento]&gt;=$A14)*
  (desp[data.pagamento]&lt;EOMONTH($A14,0)+1)
)</f>
        <v>0</v>
      </c>
      <c r="CA14" s="179" cm="1">
        <f t="array" ref="CA14">SUMPRODUCT(
  IFERROR(--desp[valor],0)*
  (desp[nucleo]="UP SAUDE")*
  (desp[categoria]=CA$7)*
  (desp[data.pagamento]&gt;=$A14)*
  (desp[data.pagamento]&lt;EOMONTH($A14,0)+1)
)</f>
        <v>0</v>
      </c>
      <c r="CB14" s="177">
        <f>COUNTIFS(
    estq[empresa], CB$6,
    estq[Data da venda / reserva], "&gt;=" &amp; $A14,
    estq[Data da venda / reserva], "&lt;"  &amp; EOMONTH($A14,0) + 1
)</f>
        <v>0</v>
      </c>
      <c r="CC14" s="178">
        <v>0</v>
      </c>
      <c r="CD14" s="178">
        <v>0</v>
      </c>
      <c r="CE14" s="178">
        <v>0</v>
      </c>
      <c r="CF14" s="178">
        <v>0</v>
      </c>
      <c r="CG14" s="178">
        <v>0</v>
      </c>
      <c r="CH14" s="166"/>
      <c r="CI14" s="178" cm="1">
        <f t="array" ref="CI14">SUMPRODUCT(
  IFERROR(--desp[valor],0)*
  (desp[nucleo]="UP ESTAÇÃO VILA SONIA")*
  (desp[categoria]=CI$7)*
  (desp[data.pagamento]&gt;=$A14)*
  (desp[data.pagamento]&lt;EOMONTH($A14,0)+1)
)</f>
        <v>0</v>
      </c>
      <c r="CJ14" s="178" cm="1">
        <f t="array" ref="CJ14">SUMPRODUCT(
  IFERROR(--desp[valor],0)*
  (desp[nucleo]="UP ESTAÇÃO VILA SONIA")*
  (desp[categoria]=CJ$7)*
  (desp[data.pagamento]&gt;=$A14)*
  (desp[data.pagamento]&lt;EOMONTH($A14,0)+1)
)</f>
        <v>0</v>
      </c>
      <c r="CK14" s="178" cm="1">
        <f t="array" ref="CK14">SUMPRODUCT(
  IFERROR(--desp[valor],0)*
  (desp[nucleo]="UP ESTAÇÃO VILA SONIA")*
  (desp[categoria]=CK$7)*
  (desp[data.pagamento]&gt;=$A14)*
  (desp[data.pagamento]&lt;EOMONTH($A14,0)+1)
)</f>
        <v>0</v>
      </c>
      <c r="CL14" s="178" cm="1">
        <f t="array" ref="CL14">SUMPRODUCT(
  IFERROR(--desp[valor],0)*
  (desp[nucleo]="UP ESTAÇÃO VILA SONIA")*
  (desp[categoria]=CL$7)*
  (desp[data.pagamento]&gt;=$A14)*
  (desp[data.pagamento]&lt;EOMONTH($A14,0)+1)
)</f>
        <v>0</v>
      </c>
      <c r="CM14" s="179" cm="1">
        <f t="array" ref="CM14">SUMPRODUCT(
  IFERROR(--desp[valor],0)*
  (desp[nucleo]="UP ESTAÇÃO VILA SONIA")*
  (desp[categoria]=CM$7)*
  (desp[data.pagamento]&gt;=$A14)*
  (desp[data.pagamento]&lt;EOMONTH($A14,0)+1)
)</f>
        <v>0</v>
      </c>
      <c r="CN14" s="177">
        <f>COUNTIFS(
    estq[empresa], CN$6,
    estq[Data da venda / reserva], "&gt;=" &amp; $A14,
    estq[Data da venda / reserva], "&lt;"  &amp; EOMONTH($A14,0) + 1
)</f>
        <v>0</v>
      </c>
      <c r="CO14" s="178">
        <v>0</v>
      </c>
      <c r="CP14" s="178">
        <v>0</v>
      </c>
      <c r="CQ14" s="178">
        <v>0</v>
      </c>
      <c r="CR14" s="178">
        <v>0</v>
      </c>
      <c r="CS14" s="178">
        <v>0</v>
      </c>
      <c r="CT14" s="166"/>
      <c r="CU14" s="178" cm="1">
        <f t="array" ref="CU14">SUMPRODUCT(
  IFERROR(--desp[valor],0)*
  (desp[nucleo]="UP MOVE VILA SONIA")*
  (desp[categoria]=CU$7)*
  (desp[data.pagamento]&gt;=$A14)*
  (desp[data.pagamento]&lt;EOMONTH($A14,0)+1)
)</f>
        <v>0</v>
      </c>
      <c r="CV14" s="178" cm="1">
        <f t="array" ref="CV14">SUMPRODUCT(
  IFERROR(--desp[valor],0)*
  (desp[nucleo]="UP MOVE VILA SONIA")*
  (desp[categoria]=CV$7)*
  (desp[data.pagamento]&gt;=$A14)*
  (desp[data.pagamento]&lt;EOMONTH($A14,0)+1)
)</f>
        <v>0</v>
      </c>
      <c r="CW14" s="178" cm="1">
        <f t="array" ref="CW14">SUMPRODUCT(
  IFERROR(--desp[valor],0)*
  (desp[nucleo]="UP MOVE VILA SONIA")*
  (desp[categoria]=CW$7)*
  (desp[data.pagamento]&gt;=$A14)*
  (desp[data.pagamento]&lt;EOMONTH($A14,0)+1)
)</f>
        <v>0</v>
      </c>
      <c r="CX14" s="178" cm="1">
        <f t="array" ref="CX14">SUMPRODUCT(
  IFERROR(--desp[valor],0)*
  (desp[nucleo]="UP MOVE VILA SONIA")*
  (desp[categoria]=CX$7)*
  (desp[data.pagamento]&gt;=$A14)*
  (desp[data.pagamento]&lt;EOMONTH($A14,0)+1)
)</f>
        <v>0</v>
      </c>
      <c r="CY14" s="180" cm="1">
        <f t="array" ref="CY14">SUMPRODUCT(
  IFERROR(--desp[valor],0)*
  (desp[nucleo]="UP MOVE VILA SONIA")*
  (desp[categoria]=CY$7)*
  (desp[data.pagamento]&gt;=$A14)*
  (desp[data.pagamento]&lt;EOMONTH($A14,0)+1)
)</f>
        <v>0</v>
      </c>
    </row>
    <row r="15" spans="1:103" x14ac:dyDescent="0.25">
      <c r="A15" s="176">
        <v>44562</v>
      </c>
      <c r="B15" s="177">
        <f>COUNTIFS(
    estq[empresa], B$6,
    estq[Data da venda / reserva], "&gt;=" &amp; $A15,
    estq[Data da venda / reserva], "&lt;"  &amp; EOMONTH($A15,0) + 1
)</f>
        <v>0</v>
      </c>
      <c r="C15" s="178">
        <f ca="1">SUMIFS(rec.uni[2022-01-01],
INDIRECT("rec.uni[natureza]"),"pro.soluto",
INDIRECT("rec.uni[empresa]"),C$6)</f>
        <v>0</v>
      </c>
      <c r="D15" s="178">
        <f ca="1">SUMIFS(rec.uni[2022-01-01],
INDIRECT("rec.uni[natureza]"),"repasse.cef.obra",
INDIRECT("rec.uni[empresa]"),D$6)</f>
        <v>0</v>
      </c>
      <c r="E15" s="178">
        <f ca="1">SUMIFS(rec.uni[2022-01-01],
INDIRECT("rec.uni[natureza]"),"repasse.cef.terreno",
INDIRECT("rec.uni[empresa]"),E$6)</f>
        <v>0</v>
      </c>
      <c r="F15" s="178">
        <v>0</v>
      </c>
      <c r="G15" s="178">
        <f ca="1">SUMIFS(rec.uni[2022-01-01],
INDIRECT("rec.uni[natureza]"),"taxa.extra",
INDIRECT("rec.uni[empresa]"),G$6)</f>
        <v>0</v>
      </c>
      <c r="H15" s="166"/>
      <c r="I15" s="178" cm="1">
        <f t="array" ref="I15">SUMPRODUCT(
  IFERROR(--desp[valor],0)*
  (desp[nucleo]="UP JARDIM PRUDENCIA")*
  (desp[categoria]=I$7)*
  (desp[data.pagamento]&gt;=$A15)*
  (desp[data.pagamento]&lt;EOMONTH($A15,0)+1)
)</f>
        <v>0</v>
      </c>
      <c r="J15" s="178" cm="1">
        <f t="array" ref="J15">SUMPRODUCT(
  IFERROR(--desp[valor],0)*
  (desp[nucleo]="UP JARDIM PRUDENCIA")*
  (desp[categoria]=J$7)*
  (desp[data.pagamento]&gt;=$A15)*
  (desp[data.pagamento]&lt;EOMONTH($A15,0)+1)
)</f>
        <v>0</v>
      </c>
      <c r="K15" s="178" cm="1">
        <f t="array" ref="K15">SUMPRODUCT(
  IFERROR(--desp[valor],0)*
  (desp[nucleo]="UP JARDIM PRUDENCIA")*
  (desp[categoria]=K$7)*
  (desp[data.pagamento]&gt;=$A15)*
  (desp[data.pagamento]&lt;EOMONTH($A15,0)+1)
)</f>
        <v>0</v>
      </c>
      <c r="L15" s="178" cm="1">
        <f t="array" ref="L15">SUMPRODUCT(
  IFERROR(--desp[valor],0)*
  (desp[nucleo]="UP JARDIM PRUDENCIA")*
  (desp[categoria]=L$7)*
  (desp[data.pagamento]&gt;=$A15)*
  (desp[data.pagamento]&lt;EOMONTH($A15,0)+1)
)</f>
        <v>0</v>
      </c>
      <c r="M15" s="179" cm="1">
        <f t="array" ref="M15">SUMPRODUCT(
  IFERROR(--desp[valor],0)*
  (desp[nucleo]="UP JARDIM PRUDENCIA")*
  (desp[categoria]=M$7)*
  (desp[data.pagamento]&gt;=$A15)*
  (desp[data.pagamento]&lt;EOMONTH($A15,0)+1)
)</f>
        <v>0</v>
      </c>
      <c r="N15" s="177">
        <f>COUNTIFS(
    estq[empresa], N$6,
    estq[Data da venda / reserva], "&gt;=" &amp; $A15,
    estq[Data da venda / reserva], "&lt;"  &amp; EOMONTH($A15,0) + 1
)</f>
        <v>0</v>
      </c>
      <c r="O15" s="178">
        <f ca="1">SUMIFS(rec.uni[2022-01-01],
INDIRECT("rec.uni[natureza]"),"pro.soluto",
INDIRECT("rec.uni[empresa]"),O$6)</f>
        <v>0</v>
      </c>
      <c r="P15" s="178">
        <f ca="1">SUMIFS(rec.uni[2022-01-01],
INDIRECT("rec.uni[natureza]"),"repasse.cef.obra",
INDIRECT("rec.uni[empresa]"),P$6)</f>
        <v>0</v>
      </c>
      <c r="Q15" s="178">
        <f ca="1">SUMIFS(rec.uni[2022-01-01],
INDIRECT("rec.uni[natureza]"),"repasse.cef.terreno",
INDIRECT("rec.uni[empresa]"),Q$6)</f>
        <v>0</v>
      </c>
      <c r="R15" s="178">
        <v>0</v>
      </c>
      <c r="S15" s="178">
        <f ca="1">SUMIFS(rec.uni[2022-01-01],
INDIRECT("rec.uni[natureza]"),"taxa.extra",
INDIRECT("rec.uni[empresa]"),S$6)</f>
        <v>0</v>
      </c>
      <c r="T15" s="166"/>
      <c r="U15" s="178" cm="1">
        <f t="array" ref="U15">SUMPRODUCT(
  IFERROR(--desp[valor],0)*
  (desp[nucleo]="UP VILA SONIA")*
  (desp[categoria]=U$7)*
  (desp[data.pagamento]&gt;=$A15)*
  (desp[data.pagamento]&lt;EOMONTH($A15,0)+1)
)</f>
        <v>0</v>
      </c>
      <c r="V15" s="178" cm="1">
        <f t="array" ref="V15">SUMPRODUCT(
  IFERROR(--desp[valor],0)*
  (desp[nucleo]="UP VILA SONIA")*
  (desp[categoria]=V$7)*
  (desp[data.pagamento]&gt;=$A15)*
  (desp[data.pagamento]&lt;EOMONTH($A15,0)+1)
)</f>
        <v>0</v>
      </c>
      <c r="W15" s="178" cm="1">
        <f t="array" ref="W15">SUMPRODUCT(
  IFERROR(--desp[valor],0)*
  (desp[nucleo]="UP VILA SONIA")*
  (desp[categoria]=W$7)*
  (desp[data.pagamento]&gt;=$A15)*
  (desp[data.pagamento]&lt;EOMONTH($A15,0)+1)
)</f>
        <v>0</v>
      </c>
      <c r="X15" s="178" cm="1">
        <f t="array" ref="X15">SUMPRODUCT(
  IFERROR(--desp[valor],0)*
  (desp[nucleo]="UP VILA SONIA")*
  (desp[categoria]=X$7)*
  (desp[data.pagamento]&gt;=$A15)*
  (desp[data.pagamento]&lt;EOMONTH($A15,0)+1)
)</f>
        <v>0</v>
      </c>
      <c r="Y15" s="179" cm="1">
        <f t="array" ref="Y15">SUMPRODUCT(
  IFERROR(--desp[valor],0)*
  (desp[nucleo]="UP VILA SONIA")*
  (desp[categoria]=Y$7)*
  (desp[data.pagamento]&gt;=$A15)*
  (desp[data.pagamento]&lt;EOMONTH($A15,0)+1)
)</f>
        <v>0</v>
      </c>
      <c r="Z15" s="177">
        <f>COUNTIFS(
    estq[empresa], Z$6,
    estq[Data da venda / reserva], "&gt;=" &amp; $A15,
    estq[Data da venda / reserva], "&lt;"  &amp; EOMONTH($A15,0) + 1
)</f>
        <v>0</v>
      </c>
      <c r="AA15" s="178">
        <f ca="1">SUMIFS(rec.uni[2022-01-01],
INDIRECT("rec.uni[natureza]"),"pro.soluto",
INDIRECT("rec.uni[empresa]"),AA$6)</f>
        <v>0</v>
      </c>
      <c r="AB15" s="178">
        <f ca="1">SUMIFS(rec.uni[2022-01-01],
INDIRECT("rec.uni[natureza]"),"pro.soluto",
INDIRECT("rec.uni[empresa]"),AB$6)</f>
        <v>0</v>
      </c>
      <c r="AC15" s="178">
        <f ca="1">SUMIFS(rec.uni[2022-01-01],
INDIRECT("rec.uni[natureza]"),"taxa.extra",
INDIRECT("rec.uni[empresa]"),AC$6)</f>
        <v>0</v>
      </c>
      <c r="AD15" s="166"/>
      <c r="AE15" s="178" cm="1">
        <f t="array" ref="AE15">SUMPRODUCT(
  IFERROR(--desp[valor],0)*
  (desp[nucleo]="UP CAMPO BELO")*
  (desp[categoria]=AE$7)*
  (desp[data.pagamento]&gt;=$A15)*
  (desp[data.pagamento]&lt;EOMONTH($A15,0)+1)
)</f>
        <v>0</v>
      </c>
      <c r="AF15" s="178" cm="1">
        <f t="array" ref="AF15">SUMPRODUCT(
  IFERROR(--desp[valor],0)*
  (desp[nucleo]="UP CAMPO BELO")*
  (desp[categoria]=AF$7)*
  (desp[data.pagamento]&gt;=$A15)*
  (desp[data.pagamento]&lt;EOMONTH($A15,0)+1)
)</f>
        <v>0</v>
      </c>
      <c r="AG15" s="178" cm="1">
        <f t="array" ref="AG15">SUMPRODUCT(
  IFERROR(--desp[valor],0)*
  (desp[nucleo]="UP CAMPO BELO")*
  (desp[categoria]=AG$7)*
  (desp[data.pagamento]&gt;=$A15)*
  (desp[data.pagamento]&lt;EOMONTH($A15,0)+1)
)</f>
        <v>0</v>
      </c>
      <c r="AH15" s="178" cm="1">
        <f t="array" ref="AH15">SUMPRODUCT(
  IFERROR(--desp[valor],0)*
  (desp[nucleo]="UP CAMPO BELO")*
  (desp[categoria]=AH$7)*
  (desp[data.pagamento]&gt;=$A15)*
  (desp[data.pagamento]&lt;EOMONTH($A15,0)+1)
)</f>
        <v>0</v>
      </c>
      <c r="AI15" s="179" cm="1">
        <f t="array" ref="AI15">SUMPRODUCT(
  IFERROR(--desp[valor],0)*
  (desp[nucleo]="UP CAMPO BELO")*
  (desp[categoria]=AI$7)*
  (desp[data.pagamento]&gt;=$A15)*
  (desp[data.pagamento]&lt;EOMONTH($A15,0)+1)
)</f>
        <v>0</v>
      </c>
      <c r="AJ15" s="177">
        <f>COUNTIFS(
    estq[empresa], AJ$6,
    estq[Data da venda / reserva], "&gt;=" &amp; $A15,
    estq[Data da venda / reserva], "&lt;"  &amp; EOMONTH($A15,0) + 1
)</f>
        <v>0</v>
      </c>
      <c r="AK15" s="178">
        <f ca="1">SUMIFS(rec.uni[2022-01-01],
INDIRECT("rec.uni[natureza]"),"pro.soluto",
INDIRECT("rec.uni[empresa]"),AK$6)</f>
        <v>0</v>
      </c>
      <c r="AL15" s="178">
        <f ca="1">SUMIFS(rec.uni[2022-01-01],
INDIRECT("rec.uni[natureza]"),"repasse.cef.obra",
INDIRECT("rec.uni[empresa]"),AL$6)</f>
        <v>0</v>
      </c>
      <c r="AM15" s="178">
        <f ca="1">SUMIFS(rec.uni[2022-01-01],
INDIRECT("rec.uni[natureza]"),"repasse.cef.terreno",
INDIRECT("rec.uni[empresa]"),AM$6)</f>
        <v>0</v>
      </c>
      <c r="AN15" s="178">
        <v>0</v>
      </c>
      <c r="AO15" s="178">
        <f ca="1">SUMIFS(rec.uni[2022-01-01],
INDIRECT("rec.uni[natureza]"),"taxa.extra",
INDIRECT("rec.uni[empresa]"),AO$6)</f>
        <v>0</v>
      </c>
      <c r="AP15" s="166"/>
      <c r="AQ15" s="178" cm="1">
        <f t="array" ref="AQ15">SUMPRODUCT(
  IFERROR(--desp[valor],0)*
  (desp[nucleo]="UP SELECT VILA SONIA")*
  (desp[categoria]=AQ$7)*
  (desp[data.pagamento]&gt;=$A15)*
  (desp[data.pagamento]&lt;EOMONTH($A15,0)+1)
)</f>
        <v>0</v>
      </c>
      <c r="AR15" s="178" cm="1">
        <f t="array" ref="AR15">SUMPRODUCT(
  IFERROR(--desp[valor],0)*
  (desp[nucleo]="UP SELECT VILA SONIA")*
  (desp[categoria]=AR$7)*
  (desp[data.pagamento]&gt;=$A15)*
  (desp[data.pagamento]&lt;EOMONTH($A15,0)+1)
)</f>
        <v>0</v>
      </c>
      <c r="AS15" s="178" cm="1">
        <f t="array" ref="AS15">SUMPRODUCT(
  IFERROR(--desp[valor],0)*
  (desp[nucleo]="UP SELECT VILA SONIA")*
  (desp[categoria]=AS$7)*
  (desp[data.pagamento]&gt;=$A15)*
  (desp[data.pagamento]&lt;EOMONTH($A15,0)+1)
)</f>
        <v>0</v>
      </c>
      <c r="AT15" s="178" cm="1">
        <f t="array" ref="AT15">SUMPRODUCT(
  IFERROR(--desp[valor],0)*
  (desp[nucleo]="UP SELECT VILA SONIA")*
  (desp[categoria]=AT$7)*
  (desp[data.pagamento]&gt;=$A15)*
  (desp[data.pagamento]&lt;EOMONTH($A15,0)+1)
)</f>
        <v>0</v>
      </c>
      <c r="AU15" s="179" cm="1">
        <f t="array" ref="AU15">SUMPRODUCT(
  IFERROR(--desp[valor],0)*
  (desp[nucleo]="UP SELECT VILA SONIA")*
  (desp[categoria]=AU$7)*
  (desp[data.pagamento]&gt;=$A15)*
  (desp[data.pagamento]&lt;EOMONTH($A15,0)+1)
)</f>
        <v>0</v>
      </c>
      <c r="AV15" s="177">
        <f>COUNTIFS(
    estq[empresa], AV$6,
    estq[Data da venda / reserva], "&gt;=" &amp; $A15,
    estq[Data da venda / reserva], "&lt;"  &amp; EOMONTH($A15,0) + 1
)</f>
        <v>0</v>
      </c>
      <c r="AW15" s="178">
        <f ca="1">SUMIFS(rec.uni[2022-01-01],
INDIRECT("rec.uni[natureza]"),"pro.soluto",
INDIRECT("rec.uni[empresa]"),AW$6)</f>
        <v>0</v>
      </c>
      <c r="AX15" s="178">
        <f ca="1">SUMIFS(rec.uni[2022-01-01],
INDIRECT("rec.uni[natureza]"),"repasse.cef.obra",
INDIRECT("rec.uni[empresa]"),AX$6)</f>
        <v>0</v>
      </c>
      <c r="AY15" s="178">
        <f ca="1">SUMIFS(rec.uni[2022-01-01],
INDIRECT("rec.uni[natureza]"),"repasse.cef.terreno",
INDIRECT("rec.uni[empresa]"),AY$6)</f>
        <v>0</v>
      </c>
      <c r="AZ15" s="178">
        <v>0</v>
      </c>
      <c r="BA15" s="178">
        <f ca="1">SUMIFS(rec.uni[2022-01-01],
INDIRECT("rec.uni[natureza]"),"taxa.extra",
INDIRECT("rec.uni[empresa]"),BA$6)</f>
        <v>0</v>
      </c>
      <c r="BB15" s="166"/>
      <c r="BC15" s="178" cm="1">
        <f t="array" ref="BC15">SUMPRODUCT(
  IFERROR(--desp[valor],0)*
  (desp[nucleo]="UP ESTAÇÃO SÃO LUCAS")*
  (desp[categoria]=BC$7)*
  (desp[data.pagamento]&gt;=$A15)*
  (desp[data.pagamento]&lt;EOMONTH($A15,0)+1)
)</f>
        <v>0</v>
      </c>
      <c r="BD15" s="178" cm="1">
        <f t="array" ref="BD15">SUMPRODUCT(
  IFERROR(--desp[valor],0)*
  (desp[nucleo]="UP ESTAÇÃO SÃO LUCAS")*
  (desp[categoria]=BD$7)*
  (desp[data.pagamento]&gt;=$A15)*
  (desp[data.pagamento]&lt;EOMONTH($A15,0)+1)
)</f>
        <v>0</v>
      </c>
      <c r="BE15" s="178" cm="1">
        <f t="array" ref="BE15">SUMPRODUCT(
  IFERROR(--desp[valor],0)*
  (desp[nucleo]="UP ESTAÇÃO SÃO LUCAS")*
  (desp[categoria]=BE$7)*
  (desp[data.pagamento]&gt;=$A15)*
  (desp[data.pagamento]&lt;EOMONTH($A15,0)+1)
)</f>
        <v>0</v>
      </c>
      <c r="BF15" s="178" cm="1">
        <f t="array" ref="BF15">SUMPRODUCT(
  IFERROR(--desp[valor],0)*
  (desp[nucleo]="UP ESTAÇÃO SÃO LUCAS")*
  (desp[categoria]=BF$7)*
  (desp[data.pagamento]&gt;=$A15)*
  (desp[data.pagamento]&lt;EOMONTH($A15,0)+1)
)</f>
        <v>0</v>
      </c>
      <c r="BG15" s="179" cm="1">
        <f t="array" ref="BG15">SUMPRODUCT(
  IFERROR(--desp[valor],0)*
  (desp[nucleo]="UP ESTAÇÃO SÃO LUCAS")*
  (desp[categoria]=BG$7)*
  (desp[data.pagamento]&gt;=$A15)*
  (desp[data.pagamento]&lt;EOMONTH($A15,0)+1)
)</f>
        <v>0</v>
      </c>
      <c r="BH15" s="177">
        <f>COUNTIFS(
    estq[empresa], BH$6,
    estq[Data da venda / reserva], "&gt;=" &amp; $A15,
    estq[Data da venda / reserva], "&lt;"  &amp; EOMONTH($A15,0) + 1
)</f>
        <v>0</v>
      </c>
      <c r="BI15" s="178">
        <f ca="1">SUMIFS(rec.uni[2022-01-01],
INDIRECT("rec.uni[natureza]"),"pro.soluto",
INDIRECT("rec.uni[empresa]"),BI$6)</f>
        <v>0</v>
      </c>
      <c r="BJ15" s="166">
        <v>0</v>
      </c>
      <c r="BK15" s="178">
        <f ca="1">SUMIFS(rec.uni[2022-01-01],
INDIRECT("rec.uni[natureza]"),"taxa.extra",
INDIRECT("rec.uni[empresa]"),BK$6)</f>
        <v>0</v>
      </c>
      <c r="BL15" s="166"/>
      <c r="BM15" s="178" cm="1">
        <f t="array" ref="BM15">SUMPRODUCT(
  IFERROR(--desp[valor],0)*
  (desp[nucleo]="UP POMPEIA")*
  (desp[categoria]=BM$7)*
  (desp[data.pagamento]&gt;=$A15)*
  (desp[data.pagamento]&lt;EOMONTH($A15,0)+1)
)</f>
        <v>0</v>
      </c>
      <c r="BN15" s="178" cm="1">
        <f t="array" ref="BN15">SUMPRODUCT(
  IFERROR(--desp[valor],0)*
  (desp[nucleo]="UP POMPEIA")*
  (desp[categoria]=BN$7)*
  (desp[data.pagamento]&gt;=$A15)*
  (desp[data.pagamento]&lt;EOMONTH($A15,0)+1)
)</f>
        <v>0</v>
      </c>
      <c r="BO15" s="178" cm="1">
        <f t="array" ref="BO15">SUMPRODUCT(
  IFERROR(--desp[valor],0)*
  (desp[nucleo]="UP POMPEIA")*
  (desp[categoria]=BO$7)*
  (desp[data.pagamento]&gt;=$A15)*
  (desp[data.pagamento]&lt;EOMONTH($A15,0)+1)
)</f>
        <v>0</v>
      </c>
      <c r="BP15" s="178" cm="1">
        <f t="array" ref="BP15">SUMPRODUCT(
  IFERROR(--desp[valor],0)*
  (desp[nucleo]="UP POMPEIA")*
  (desp[categoria]=BP$7)*
  (desp[data.pagamento]&gt;=$A15)*
  (desp[data.pagamento]&lt;EOMONTH($A15,0)+1)
)</f>
        <v>0</v>
      </c>
      <c r="BQ15" s="179" cm="1">
        <f t="array" ref="BQ15">SUMPRODUCT(
  IFERROR(--desp[valor],0)*
  (desp[nucleo]="UP POMPEIA")*
  (desp[categoria]=BQ$7)*
  (desp[data.pagamento]&gt;=$A15)*
  (desp[data.pagamento]&lt;EOMONTH($A15,0)+1)
)</f>
        <v>0</v>
      </c>
      <c r="BR15" s="177">
        <f>COUNTIFS(
    estq[empresa], BR$6,
    estq[Data da venda / reserva], "&gt;=" &amp; $A15,
    estq[Data da venda / reserva], "&lt;"  &amp; EOMONTH($A15,0) + 1
)</f>
        <v>0</v>
      </c>
      <c r="BS15" s="178">
        <f ca="1">SUMIFS(rec.uni[2022-01-01],
INDIRECT("rec.uni[natureza]"),"pro.soluto",
INDIRECT("rec.uni[empresa]"),BS$6)</f>
        <v>0</v>
      </c>
      <c r="BT15" s="178">
        <f ca="1">SUMIFS(rec.uni[2022-01-01],
INDIRECT("rec.uni[natureza]"),"pro.soluto",
INDIRECT("rec.uni[empresa]"),BT$6)</f>
        <v>0</v>
      </c>
      <c r="BU15" s="178">
        <f ca="1">SUMIFS(rec.uni[2022-01-01],
INDIRECT("rec.uni[natureza]"),"taxa.extra",
INDIRECT("rec.uni[empresa]"),BU$6)</f>
        <v>0</v>
      </c>
      <c r="BV15" s="166"/>
      <c r="BW15" s="178" cm="1">
        <f t="array" ref="BW15">SUMPRODUCT(
  IFERROR(--desp[valor],0)*
  (desp[nucleo]="UP SAUDE")*
  (desp[categoria]=BW$7)*
  (desp[data.pagamento]&gt;=$A15)*
  (desp[data.pagamento]&lt;EOMONTH($A15,0)+1)
)</f>
        <v>0</v>
      </c>
      <c r="BX15" s="178" cm="1">
        <f t="array" ref="BX15">SUMPRODUCT(
  IFERROR(--desp[valor],0)*
  (desp[nucleo]="UP SAUDE")*
  (desp[categoria]=BX$7)*
  (desp[data.pagamento]&gt;=$A15)*
  (desp[data.pagamento]&lt;EOMONTH($A15,0)+1)
)</f>
        <v>0</v>
      </c>
      <c r="BY15" s="178" cm="1">
        <f t="array" ref="BY15">SUMPRODUCT(
  IFERROR(--desp[valor],0)*
  (desp[nucleo]="UP SAUDE")*
  (desp[categoria]=BY$7)*
  (desp[data.pagamento]&gt;=$A15)*
  (desp[data.pagamento]&lt;EOMONTH($A15,0)+1)
)</f>
        <v>0</v>
      </c>
      <c r="BZ15" s="178" cm="1">
        <f t="array" ref="BZ15">SUMPRODUCT(
  IFERROR(--desp[valor],0)*
  (desp[nucleo]="UP SAUDE")*
  (desp[categoria]=BZ$7)*
  (desp[data.pagamento]&gt;=$A15)*
  (desp[data.pagamento]&lt;EOMONTH($A15,0)+1)
)</f>
        <v>0</v>
      </c>
      <c r="CA15" s="179" cm="1">
        <f t="array" ref="CA15">SUMPRODUCT(
  IFERROR(--desp[valor],0)*
  (desp[nucleo]="UP SAUDE")*
  (desp[categoria]=CA$7)*
  (desp[data.pagamento]&gt;=$A15)*
  (desp[data.pagamento]&lt;EOMONTH($A15,0)+1)
)</f>
        <v>0</v>
      </c>
      <c r="CB15" s="177">
        <f>COUNTIFS(
    estq[empresa], CB$6,
    estq[Data da venda / reserva], "&gt;=" &amp; $A15,
    estq[Data da venda / reserva], "&lt;"  &amp; EOMONTH($A15,0) + 1
)</f>
        <v>0</v>
      </c>
      <c r="CC15" s="178">
        <f ca="1">SUMIFS(rec.uni[2022-01-01],
INDIRECT("rec.uni[natureza]"),"pro.soluto",
INDIRECT("rec.uni[empresa]"),CC$6)</f>
        <v>0</v>
      </c>
      <c r="CD15" s="178">
        <f ca="1">SUMIFS(rec.uni[2022-01-01],
INDIRECT("rec.uni[natureza]"),"repasse.cef.obra",
INDIRECT("rec.uni[empresa]"),CD$6)</f>
        <v>0</v>
      </c>
      <c r="CE15" s="178">
        <f ca="1">SUMIFS(rec.uni[2022-01-01],
INDIRECT("rec.uni[natureza]"),"repasse.cef.terreno",
INDIRECT("rec.uni[empresa]"),CE$6)</f>
        <v>0</v>
      </c>
      <c r="CF15" s="178">
        <v>0</v>
      </c>
      <c r="CG15" s="178">
        <f ca="1">SUMIFS(rec.uni[2022-01-01],
INDIRECT("rec.uni[natureza]"),"taxa.extra",
INDIRECT("rec.uni[empresa]"),CG$6)</f>
        <v>0</v>
      </c>
      <c r="CH15" s="166"/>
      <c r="CI15" s="178" cm="1">
        <f t="array" ref="CI15">SUMPRODUCT(
  IFERROR(--desp[valor],0)*
  (desp[nucleo]="UP ESTAÇÃO VILA SONIA")*
  (desp[categoria]=CI$7)*
  (desp[data.pagamento]&gt;=$A15)*
  (desp[data.pagamento]&lt;EOMONTH($A15,0)+1)
)</f>
        <v>0</v>
      </c>
      <c r="CJ15" s="178" cm="1">
        <f t="array" ref="CJ15">SUMPRODUCT(
  IFERROR(--desp[valor],0)*
  (desp[nucleo]="UP ESTAÇÃO VILA SONIA")*
  (desp[categoria]=CJ$7)*
  (desp[data.pagamento]&gt;=$A15)*
  (desp[data.pagamento]&lt;EOMONTH($A15,0)+1)
)</f>
        <v>0</v>
      </c>
      <c r="CK15" s="178" cm="1">
        <f t="array" ref="CK15">SUMPRODUCT(
  IFERROR(--desp[valor],0)*
  (desp[nucleo]="UP ESTAÇÃO VILA SONIA")*
  (desp[categoria]=CK$7)*
  (desp[data.pagamento]&gt;=$A15)*
  (desp[data.pagamento]&lt;EOMONTH($A15,0)+1)
)</f>
        <v>0</v>
      </c>
      <c r="CL15" s="178" cm="1">
        <f t="array" ref="CL15">SUMPRODUCT(
  IFERROR(--desp[valor],0)*
  (desp[nucleo]="UP ESTAÇÃO VILA SONIA")*
  (desp[categoria]=CL$7)*
  (desp[data.pagamento]&gt;=$A15)*
  (desp[data.pagamento]&lt;EOMONTH($A15,0)+1)
)</f>
        <v>0</v>
      </c>
      <c r="CM15" s="179" cm="1">
        <f t="array" ref="CM15">SUMPRODUCT(
  IFERROR(--desp[valor],0)*
  (desp[nucleo]="UP ESTAÇÃO VILA SONIA")*
  (desp[categoria]=CM$7)*
  (desp[data.pagamento]&gt;=$A15)*
  (desp[data.pagamento]&lt;EOMONTH($A15,0)+1)
)</f>
        <v>0</v>
      </c>
      <c r="CN15" s="177">
        <f>COUNTIFS(
    estq[empresa], CN$6,
    estq[Data da venda / reserva], "&gt;=" &amp; $A15,
    estq[Data da venda / reserva], "&lt;"  &amp; EOMONTH($A15,0) + 1
)</f>
        <v>0</v>
      </c>
      <c r="CO15" s="178">
        <f ca="1">SUMIFS(rec.uni[2022-01-01],
INDIRECT("rec.uni[natureza]"),"pro.soluto",
INDIRECT("rec.uni[empresa]"),CO$6)</f>
        <v>0</v>
      </c>
      <c r="CP15" s="178">
        <f ca="1">SUMIFS(rec.uni[2022-01-01],
INDIRECT("rec.uni[natureza]"),"repasse.cef.obra",
INDIRECT("rec.uni[empresa]"),CP$6)</f>
        <v>0</v>
      </c>
      <c r="CQ15" s="178">
        <f ca="1">SUMIFS(rec.uni[2022-01-01],
INDIRECT("rec.uni[natureza]"),"repasse.cef.terreno",
INDIRECT("rec.uni[empresa]"),CQ$6)</f>
        <v>0</v>
      </c>
      <c r="CR15" s="178">
        <v>0</v>
      </c>
      <c r="CS15" s="178">
        <f ca="1">SUMIFS(rec.uni[2022-01-01],
INDIRECT("rec.uni[natureza]"),"taxa.extra",
INDIRECT("rec.uni[empresa]"),CS$6)</f>
        <v>0</v>
      </c>
      <c r="CT15" s="166"/>
      <c r="CU15" s="178" cm="1">
        <f t="array" ref="CU15">SUMPRODUCT(
  IFERROR(--desp[valor],0)*
  (desp[nucleo]="UP MOVE VILA SONIA")*
  (desp[categoria]=CU$7)*
  (desp[data.pagamento]&gt;=$A15)*
  (desp[data.pagamento]&lt;EOMONTH($A15,0)+1)
)</f>
        <v>0</v>
      </c>
      <c r="CV15" s="178" cm="1">
        <f t="array" ref="CV15">SUMPRODUCT(
  IFERROR(--desp[valor],0)*
  (desp[nucleo]="UP MOVE VILA SONIA")*
  (desp[categoria]=CV$7)*
  (desp[data.pagamento]&gt;=$A15)*
  (desp[data.pagamento]&lt;EOMONTH($A15,0)+1)
)</f>
        <v>0</v>
      </c>
      <c r="CW15" s="178" cm="1">
        <f t="array" ref="CW15">SUMPRODUCT(
  IFERROR(--desp[valor],0)*
  (desp[nucleo]="UP MOVE VILA SONIA")*
  (desp[categoria]=CW$7)*
  (desp[data.pagamento]&gt;=$A15)*
  (desp[data.pagamento]&lt;EOMONTH($A15,0)+1)
)</f>
        <v>0</v>
      </c>
      <c r="CX15" s="178" cm="1">
        <f t="array" ref="CX15">SUMPRODUCT(
  IFERROR(--desp[valor],0)*
  (desp[nucleo]="UP MOVE VILA SONIA")*
  (desp[categoria]=CX$7)*
  (desp[data.pagamento]&gt;=$A15)*
  (desp[data.pagamento]&lt;EOMONTH($A15,0)+1)
)</f>
        <v>0</v>
      </c>
      <c r="CY15" s="180" cm="1">
        <f t="array" ref="CY15">SUMPRODUCT(
  IFERROR(--desp[valor],0)*
  (desp[nucleo]="UP MOVE VILA SONIA")*
  (desp[categoria]=CY$7)*
  (desp[data.pagamento]&gt;=$A15)*
  (desp[data.pagamento]&lt;EOMONTH($A15,0)+1)
)</f>
        <v>0</v>
      </c>
    </row>
    <row r="16" spans="1:103" x14ac:dyDescent="0.25">
      <c r="A16" s="176">
        <v>44593</v>
      </c>
      <c r="B16" s="177">
        <f>COUNTIFS(
    estq[empresa], B$6,
    estq[Data da venda / reserva], "&gt;=" &amp; $A16,
    estq[Data da venda / reserva], "&lt;"  &amp; EOMONTH($A16,0) + 1
)</f>
        <v>0</v>
      </c>
      <c r="C16" s="178">
        <f ca="1">SUMIFS(rec.uni[2022-02-01],
INDIRECT("rec.uni[natureza]"),"pro.soluto",
INDIRECT("rec.uni[empresa]"),C$6)</f>
        <v>0</v>
      </c>
      <c r="D16" s="178">
        <f ca="1">SUMIFS(rec.uni[2022-02-01],
INDIRECT("rec.uni[natureza]"),"repasse.cef.obra",
INDIRECT("rec.uni[empresa]"),D$6)</f>
        <v>0</v>
      </c>
      <c r="E16" s="178">
        <f ca="1">SUMIFS(rec.uni[2022-02-01],
INDIRECT("rec.uni[natureza]"),"repasse.cef.terreno",
INDIRECT("rec.uni[empresa]"),E$6)</f>
        <v>0</v>
      </c>
      <c r="F16" s="178">
        <v>0</v>
      </c>
      <c r="G16" s="178">
        <f ca="1">SUMIFS(rec.uni[2022-02-01],
INDIRECT("rec.uni[natureza]"),"taxa.extra",
INDIRECT("rec.uni[empresa]"),G$6)</f>
        <v>0</v>
      </c>
      <c r="H16" s="166"/>
      <c r="I16" s="178" cm="1">
        <f t="array" ref="I16">SUMPRODUCT(
  IFERROR(--desp[valor],0)*
  (desp[nucleo]="UP JARDIM PRUDENCIA")*
  (desp[categoria]=I$7)*
  (desp[data.pagamento]&gt;=$A16)*
  (desp[data.pagamento]&lt;EOMONTH($A16,0)+1)
)</f>
        <v>0</v>
      </c>
      <c r="J16" s="178" cm="1">
        <f t="array" ref="J16">SUMPRODUCT(
  IFERROR(--desp[valor],0)*
  (desp[nucleo]="UP JARDIM PRUDENCIA")*
  (desp[categoria]=J$7)*
  (desp[data.pagamento]&gt;=$A16)*
  (desp[data.pagamento]&lt;EOMONTH($A16,0)+1)
)</f>
        <v>0</v>
      </c>
      <c r="K16" s="178" cm="1">
        <f t="array" ref="K16">SUMPRODUCT(
  IFERROR(--desp[valor],0)*
  (desp[nucleo]="UP JARDIM PRUDENCIA")*
  (desp[categoria]=K$7)*
  (desp[data.pagamento]&gt;=$A16)*
  (desp[data.pagamento]&lt;EOMONTH($A16,0)+1)
)</f>
        <v>0</v>
      </c>
      <c r="L16" s="178" cm="1">
        <f t="array" ref="L16">SUMPRODUCT(
  IFERROR(--desp[valor],0)*
  (desp[nucleo]="UP JARDIM PRUDENCIA")*
  (desp[categoria]=L$7)*
  (desp[data.pagamento]&gt;=$A16)*
  (desp[data.pagamento]&lt;EOMONTH($A16,0)+1)
)</f>
        <v>0</v>
      </c>
      <c r="M16" s="179" cm="1">
        <f t="array" ref="M16">SUMPRODUCT(
  IFERROR(--desp[valor],0)*
  (desp[nucleo]="UP JARDIM PRUDENCIA")*
  (desp[categoria]=M$7)*
  (desp[data.pagamento]&gt;=$A16)*
  (desp[data.pagamento]&lt;EOMONTH($A16,0)+1)
)</f>
        <v>0</v>
      </c>
      <c r="N16" s="177">
        <f>COUNTIFS(
    estq[empresa], N$6,
    estq[Data da venda / reserva], "&gt;=" &amp; $A16,
    estq[Data da venda / reserva], "&lt;"  &amp; EOMONTH($A16,0) + 1
)</f>
        <v>0</v>
      </c>
      <c r="O16" s="178">
        <f ca="1">SUMIFS(rec.uni[2022-02-01],
INDIRECT("rec.uni[natureza]"),"pro.soluto",
INDIRECT("rec.uni[empresa]"),O$6)</f>
        <v>0</v>
      </c>
      <c r="P16" s="178">
        <f ca="1">SUMIFS(rec.uni[2022-02-01],
INDIRECT("rec.uni[natureza]"),"repasse.cef.obra",
INDIRECT("rec.uni[empresa]"),P$6)</f>
        <v>0</v>
      </c>
      <c r="Q16" s="178">
        <f ca="1">SUMIFS(rec.uni[2022-02-01],
INDIRECT("rec.uni[natureza]"),"repasse.cef.terreno",
INDIRECT("rec.uni[empresa]"),Q$6)</f>
        <v>0</v>
      </c>
      <c r="R16" s="178">
        <v>0</v>
      </c>
      <c r="S16" s="178">
        <f ca="1">SUMIFS(rec.uni[2022-02-01],
INDIRECT("rec.uni[natureza]"),"taxa.extra",
INDIRECT("rec.uni[empresa]"),S$6)</f>
        <v>0</v>
      </c>
      <c r="T16" s="166"/>
      <c r="U16" s="178" cm="1">
        <f t="array" ref="U16">SUMPRODUCT(
  IFERROR(--desp[valor],0)*
  (desp[nucleo]="UP VILA SONIA")*
  (desp[categoria]=U$7)*
  (desp[data.pagamento]&gt;=$A16)*
  (desp[data.pagamento]&lt;EOMONTH($A16,0)+1)
)</f>
        <v>0</v>
      </c>
      <c r="V16" s="178" cm="1">
        <f t="array" ref="V16">SUMPRODUCT(
  IFERROR(--desp[valor],0)*
  (desp[nucleo]="UP VILA SONIA")*
  (desp[categoria]=V$7)*
  (desp[data.pagamento]&gt;=$A16)*
  (desp[data.pagamento]&lt;EOMONTH($A16,0)+1)
)</f>
        <v>0</v>
      </c>
      <c r="W16" s="178" cm="1">
        <f t="array" ref="W16">SUMPRODUCT(
  IFERROR(--desp[valor],0)*
  (desp[nucleo]="UP VILA SONIA")*
  (desp[categoria]=W$7)*
  (desp[data.pagamento]&gt;=$A16)*
  (desp[data.pagamento]&lt;EOMONTH($A16,0)+1)
)</f>
        <v>0</v>
      </c>
      <c r="X16" s="178" cm="1">
        <f t="array" ref="X16">SUMPRODUCT(
  IFERROR(--desp[valor],0)*
  (desp[nucleo]="UP VILA SONIA")*
  (desp[categoria]=X$7)*
  (desp[data.pagamento]&gt;=$A16)*
  (desp[data.pagamento]&lt;EOMONTH($A16,0)+1)
)</f>
        <v>0</v>
      </c>
      <c r="Y16" s="179" cm="1">
        <f t="array" ref="Y16">SUMPRODUCT(
  IFERROR(--desp[valor],0)*
  (desp[nucleo]="UP VILA SONIA")*
  (desp[categoria]=Y$7)*
  (desp[data.pagamento]&gt;=$A16)*
  (desp[data.pagamento]&lt;EOMONTH($A16,0)+1)
)</f>
        <v>0</v>
      </c>
      <c r="Z16" s="177">
        <f>COUNTIFS(
    estq[empresa], Z$6,
    estq[Data da venda / reserva], "&gt;=" &amp; $A16,
    estq[Data da venda / reserva], "&lt;"  &amp; EOMONTH($A16,0) + 1
)</f>
        <v>0</v>
      </c>
      <c r="AA16" s="178">
        <f ca="1">SUMIFS(rec.uni[2022-02-01],
INDIRECT("rec.uni[natureza]"),"pro.soluto",
INDIRECT("rec.uni[empresa]"),AA$6)</f>
        <v>0</v>
      </c>
      <c r="AB16" s="178">
        <f ca="1">SUMIFS(rec.uni[2022-02-01],
INDIRECT("rec.uni[natureza]"),"pro.soluto",
INDIRECT("rec.uni[empresa]"),AB$6)</f>
        <v>0</v>
      </c>
      <c r="AC16" s="178">
        <f ca="1">SUMIFS(rec.uni[2022-02-01],
INDIRECT("rec.uni[natureza]"),"taxa.extra",
INDIRECT("rec.uni[empresa]"),AC$6)</f>
        <v>0</v>
      </c>
      <c r="AD16" s="166"/>
      <c r="AE16" s="178" cm="1">
        <f t="array" ref="AE16">SUMPRODUCT(
  IFERROR(--desp[valor],0)*
  (desp[nucleo]="UP CAMPO BELO")*
  (desp[categoria]=AE$7)*
  (desp[data.pagamento]&gt;=$A16)*
  (desp[data.pagamento]&lt;EOMONTH($A16,0)+1)
)</f>
        <v>0</v>
      </c>
      <c r="AF16" s="178" cm="1">
        <f t="array" ref="AF16">SUMPRODUCT(
  IFERROR(--desp[valor],0)*
  (desp[nucleo]="UP CAMPO BELO")*
  (desp[categoria]=AF$7)*
  (desp[data.pagamento]&gt;=$A16)*
  (desp[data.pagamento]&lt;EOMONTH($A16,0)+1)
)</f>
        <v>0</v>
      </c>
      <c r="AG16" s="178" cm="1">
        <f t="array" ref="AG16">SUMPRODUCT(
  IFERROR(--desp[valor],0)*
  (desp[nucleo]="UP CAMPO BELO")*
  (desp[categoria]=AG$7)*
  (desp[data.pagamento]&gt;=$A16)*
  (desp[data.pagamento]&lt;EOMONTH($A16,0)+1)
)</f>
        <v>0</v>
      </c>
      <c r="AH16" s="178" cm="1">
        <f t="array" ref="AH16">SUMPRODUCT(
  IFERROR(--desp[valor],0)*
  (desp[nucleo]="UP CAMPO BELO")*
  (desp[categoria]=AH$7)*
  (desp[data.pagamento]&gt;=$A16)*
  (desp[data.pagamento]&lt;EOMONTH($A16,0)+1)
)</f>
        <v>0</v>
      </c>
      <c r="AI16" s="179" cm="1">
        <f t="array" ref="AI16">SUMPRODUCT(
  IFERROR(--desp[valor],0)*
  (desp[nucleo]="UP CAMPO BELO")*
  (desp[categoria]=AI$7)*
  (desp[data.pagamento]&gt;=$A16)*
  (desp[data.pagamento]&lt;EOMONTH($A16,0)+1)
)</f>
        <v>0</v>
      </c>
      <c r="AJ16" s="177">
        <f>COUNTIFS(
    estq[empresa], AJ$6,
    estq[Data da venda / reserva], "&gt;=" &amp; $A16,
    estq[Data da venda / reserva], "&lt;"  &amp; EOMONTH($A16,0) + 1
)</f>
        <v>0</v>
      </c>
      <c r="AK16" s="178">
        <f ca="1">SUMIFS(rec.uni[2022-02-01],
INDIRECT("rec.uni[natureza]"),"pro.soluto",
INDIRECT("rec.uni[empresa]"),AK$6)</f>
        <v>0</v>
      </c>
      <c r="AL16" s="178">
        <f ca="1">SUMIFS(rec.uni[2022-02-01],
INDIRECT("rec.uni[natureza]"),"repasse.cef.obra",
INDIRECT("rec.uni[empresa]"),AL$6)</f>
        <v>0</v>
      </c>
      <c r="AM16" s="178">
        <f ca="1">SUMIFS(rec.uni[2022-02-01],
INDIRECT("rec.uni[natureza]"),"repasse.cef.terreno",
INDIRECT("rec.uni[empresa]"),AM$6)</f>
        <v>0</v>
      </c>
      <c r="AN16" s="178">
        <v>0</v>
      </c>
      <c r="AO16" s="178">
        <f ca="1">SUMIFS(rec.uni[2022-02-01],
INDIRECT("rec.uni[natureza]"),"taxa.extra",
INDIRECT("rec.uni[empresa]"),AO$6)</f>
        <v>0</v>
      </c>
      <c r="AP16" s="166"/>
      <c r="AQ16" s="178" cm="1">
        <f t="array" ref="AQ16">SUMPRODUCT(
  IFERROR(--desp[valor],0)*
  (desp[nucleo]="UP SELECT VILA SONIA")*
  (desp[categoria]=AQ$7)*
  (desp[data.pagamento]&gt;=$A16)*
  (desp[data.pagamento]&lt;EOMONTH($A16,0)+1)
)</f>
        <v>0</v>
      </c>
      <c r="AR16" s="178" cm="1">
        <f t="array" ref="AR16">SUMPRODUCT(
  IFERROR(--desp[valor],0)*
  (desp[nucleo]="UP SELECT VILA SONIA")*
  (desp[categoria]=AR$7)*
  (desp[data.pagamento]&gt;=$A16)*
  (desp[data.pagamento]&lt;EOMONTH($A16,0)+1)
)</f>
        <v>0</v>
      </c>
      <c r="AS16" s="178" cm="1">
        <f t="array" ref="AS16">SUMPRODUCT(
  IFERROR(--desp[valor],0)*
  (desp[nucleo]="UP SELECT VILA SONIA")*
  (desp[categoria]=AS$7)*
  (desp[data.pagamento]&gt;=$A16)*
  (desp[data.pagamento]&lt;EOMONTH($A16,0)+1)
)</f>
        <v>0</v>
      </c>
      <c r="AT16" s="178" cm="1">
        <f t="array" ref="AT16">SUMPRODUCT(
  IFERROR(--desp[valor],0)*
  (desp[nucleo]="UP SELECT VILA SONIA")*
  (desp[categoria]=AT$7)*
  (desp[data.pagamento]&gt;=$A16)*
  (desp[data.pagamento]&lt;EOMONTH($A16,0)+1)
)</f>
        <v>0</v>
      </c>
      <c r="AU16" s="179" cm="1">
        <f t="array" ref="AU16">SUMPRODUCT(
  IFERROR(--desp[valor],0)*
  (desp[nucleo]="UP SELECT VILA SONIA")*
  (desp[categoria]=AU$7)*
  (desp[data.pagamento]&gt;=$A16)*
  (desp[data.pagamento]&lt;EOMONTH($A16,0)+1)
)</f>
        <v>0</v>
      </c>
      <c r="AV16" s="177">
        <f>COUNTIFS(
    estq[empresa], AV$6,
    estq[Data da venda / reserva], "&gt;=" &amp; $A16,
    estq[Data da venda / reserva], "&lt;"  &amp; EOMONTH($A16,0) + 1
)</f>
        <v>0</v>
      </c>
      <c r="AW16" s="178">
        <f ca="1">SUMIFS(rec.uni[2022-02-01],
INDIRECT("rec.uni[natureza]"),"pro.soluto",
INDIRECT("rec.uni[empresa]"),AW$6)</f>
        <v>0</v>
      </c>
      <c r="AX16" s="178">
        <f ca="1">SUMIFS(rec.uni[2022-02-01],
INDIRECT("rec.uni[natureza]"),"repasse.cef.obra",
INDIRECT("rec.uni[empresa]"),AX$6)</f>
        <v>0</v>
      </c>
      <c r="AY16" s="178">
        <f ca="1">SUMIFS(rec.uni[2022-02-01],
INDIRECT("rec.uni[natureza]"),"repasse.cef.terreno",
INDIRECT("rec.uni[empresa]"),AY$6)</f>
        <v>0</v>
      </c>
      <c r="AZ16" s="178">
        <v>0</v>
      </c>
      <c r="BA16" s="178">
        <f ca="1">SUMIFS(rec.uni[2022-02-01],
INDIRECT("rec.uni[natureza]"),"taxa.extra",
INDIRECT("rec.uni[empresa]"),BA$6)</f>
        <v>0</v>
      </c>
      <c r="BB16" s="166"/>
      <c r="BC16" s="178" cm="1">
        <f t="array" ref="BC16">SUMPRODUCT(
  IFERROR(--desp[valor],0)*
  (desp[nucleo]="UP ESTAÇÃO SÃO LUCAS")*
  (desp[categoria]=BC$7)*
  (desp[data.pagamento]&gt;=$A16)*
  (desp[data.pagamento]&lt;EOMONTH($A16,0)+1)
)</f>
        <v>0</v>
      </c>
      <c r="BD16" s="178" cm="1">
        <f t="array" ref="BD16">SUMPRODUCT(
  IFERROR(--desp[valor],0)*
  (desp[nucleo]="UP ESTAÇÃO SÃO LUCAS")*
  (desp[categoria]=BD$7)*
  (desp[data.pagamento]&gt;=$A16)*
  (desp[data.pagamento]&lt;EOMONTH($A16,0)+1)
)</f>
        <v>0</v>
      </c>
      <c r="BE16" s="178" cm="1">
        <f t="array" ref="BE16">SUMPRODUCT(
  IFERROR(--desp[valor],0)*
  (desp[nucleo]="UP ESTAÇÃO SÃO LUCAS")*
  (desp[categoria]=BE$7)*
  (desp[data.pagamento]&gt;=$A16)*
  (desp[data.pagamento]&lt;EOMONTH($A16,0)+1)
)</f>
        <v>0</v>
      </c>
      <c r="BF16" s="178" cm="1">
        <f t="array" ref="BF16">SUMPRODUCT(
  IFERROR(--desp[valor],0)*
  (desp[nucleo]="UP ESTAÇÃO SÃO LUCAS")*
  (desp[categoria]=BF$7)*
  (desp[data.pagamento]&gt;=$A16)*
  (desp[data.pagamento]&lt;EOMONTH($A16,0)+1)
)</f>
        <v>0</v>
      </c>
      <c r="BG16" s="179" cm="1">
        <f t="array" ref="BG16">SUMPRODUCT(
  IFERROR(--desp[valor],0)*
  (desp[nucleo]="UP ESTAÇÃO SÃO LUCAS")*
  (desp[categoria]=BG$7)*
  (desp[data.pagamento]&gt;=$A16)*
  (desp[data.pagamento]&lt;EOMONTH($A16,0)+1)
)</f>
        <v>0</v>
      </c>
      <c r="BH16" s="177">
        <f>COUNTIFS(
    estq[empresa], BH$6,
    estq[Data da venda / reserva], "&gt;=" &amp; $A16,
    estq[Data da venda / reserva], "&lt;"  &amp; EOMONTH($A16,0) + 1
)</f>
        <v>0</v>
      </c>
      <c r="BI16" s="178">
        <f ca="1">SUMIFS(rec.uni[2022-02-01],
INDIRECT("rec.uni[natureza]"),"pro.soluto",
INDIRECT("rec.uni[empresa]"),BI$6)</f>
        <v>0</v>
      </c>
      <c r="BJ16" s="166">
        <v>0</v>
      </c>
      <c r="BK16" s="178">
        <f ca="1">SUMIFS(rec.uni[2022-02-01],
INDIRECT("rec.uni[natureza]"),"taxa.extra",
INDIRECT("rec.uni[empresa]"),BK$6)</f>
        <v>0</v>
      </c>
      <c r="BL16" s="166"/>
      <c r="BM16" s="178" cm="1">
        <f t="array" ref="BM16">SUMPRODUCT(
  IFERROR(--desp[valor],0)*
  (desp[nucleo]="UP POMPEIA")*
  (desp[categoria]=BM$7)*
  (desp[data.pagamento]&gt;=$A16)*
  (desp[data.pagamento]&lt;EOMONTH($A16,0)+1)
)</f>
        <v>0</v>
      </c>
      <c r="BN16" s="178" cm="1">
        <f t="array" ref="BN16">SUMPRODUCT(
  IFERROR(--desp[valor],0)*
  (desp[nucleo]="UP POMPEIA")*
  (desp[categoria]=BN$7)*
  (desp[data.pagamento]&gt;=$A16)*
  (desp[data.pagamento]&lt;EOMONTH($A16,0)+1)
)</f>
        <v>0</v>
      </c>
      <c r="BO16" s="178" cm="1">
        <f t="array" ref="BO16">SUMPRODUCT(
  IFERROR(--desp[valor],0)*
  (desp[nucleo]="UP POMPEIA")*
  (desp[categoria]=BO$7)*
  (desp[data.pagamento]&gt;=$A16)*
  (desp[data.pagamento]&lt;EOMONTH($A16,0)+1)
)</f>
        <v>0</v>
      </c>
      <c r="BP16" s="178" cm="1">
        <f t="array" ref="BP16">SUMPRODUCT(
  IFERROR(--desp[valor],0)*
  (desp[nucleo]="UP POMPEIA")*
  (desp[categoria]=BP$7)*
  (desp[data.pagamento]&gt;=$A16)*
  (desp[data.pagamento]&lt;EOMONTH($A16,0)+1)
)</f>
        <v>0</v>
      </c>
      <c r="BQ16" s="179" cm="1">
        <f t="array" ref="BQ16">SUMPRODUCT(
  IFERROR(--desp[valor],0)*
  (desp[nucleo]="UP POMPEIA")*
  (desp[categoria]=BQ$7)*
  (desp[data.pagamento]&gt;=$A16)*
  (desp[data.pagamento]&lt;EOMONTH($A16,0)+1)
)</f>
        <v>0</v>
      </c>
      <c r="BR16" s="177">
        <f>COUNTIFS(
    estq[empresa], BR$6,
    estq[Data da venda / reserva], "&gt;=" &amp; $A16,
    estq[Data da venda / reserva], "&lt;"  &amp; EOMONTH($A16,0) + 1
)</f>
        <v>0</v>
      </c>
      <c r="BS16" s="178">
        <f ca="1">SUMIFS(rec.uni[2022-02-01],
INDIRECT("rec.uni[natureza]"),"pro.soluto",
INDIRECT("rec.uni[empresa]"),BS$6)</f>
        <v>0</v>
      </c>
      <c r="BT16" s="178">
        <f ca="1">SUMIFS(rec.uni[2022-02-01],
INDIRECT("rec.uni[natureza]"),"pro.soluto",
INDIRECT("rec.uni[empresa]"),BT$6)</f>
        <v>0</v>
      </c>
      <c r="BU16" s="178">
        <f ca="1">SUMIFS(rec.uni[2022-02-01],
INDIRECT("rec.uni[natureza]"),"taxa.extra",
INDIRECT("rec.uni[empresa]"),BU$6)</f>
        <v>0</v>
      </c>
      <c r="BV16" s="166"/>
      <c r="BW16" s="178" cm="1">
        <f t="array" ref="BW16">SUMPRODUCT(
  IFERROR(--desp[valor],0)*
  (desp[nucleo]="UP SAUDE")*
  (desp[categoria]=BW$7)*
  (desp[data.pagamento]&gt;=$A16)*
  (desp[data.pagamento]&lt;EOMONTH($A16,0)+1)
)</f>
        <v>0</v>
      </c>
      <c r="BX16" s="178" cm="1">
        <f t="array" ref="BX16">SUMPRODUCT(
  IFERROR(--desp[valor],0)*
  (desp[nucleo]="UP SAUDE")*
  (desp[categoria]=BX$7)*
  (desp[data.pagamento]&gt;=$A16)*
  (desp[data.pagamento]&lt;EOMONTH($A16,0)+1)
)</f>
        <v>0</v>
      </c>
      <c r="BY16" s="178" cm="1">
        <f t="array" ref="BY16">SUMPRODUCT(
  IFERROR(--desp[valor],0)*
  (desp[nucleo]="UP SAUDE")*
  (desp[categoria]=BY$7)*
  (desp[data.pagamento]&gt;=$A16)*
  (desp[data.pagamento]&lt;EOMONTH($A16,0)+1)
)</f>
        <v>0</v>
      </c>
      <c r="BZ16" s="178" cm="1">
        <f t="array" ref="BZ16">SUMPRODUCT(
  IFERROR(--desp[valor],0)*
  (desp[nucleo]="UP SAUDE")*
  (desp[categoria]=BZ$7)*
  (desp[data.pagamento]&gt;=$A16)*
  (desp[data.pagamento]&lt;EOMONTH($A16,0)+1)
)</f>
        <v>0</v>
      </c>
      <c r="CA16" s="179" cm="1">
        <f t="array" ref="CA16">SUMPRODUCT(
  IFERROR(--desp[valor],0)*
  (desp[nucleo]="UP SAUDE")*
  (desp[categoria]=CA$7)*
  (desp[data.pagamento]&gt;=$A16)*
  (desp[data.pagamento]&lt;EOMONTH($A16,0)+1)
)</f>
        <v>0</v>
      </c>
      <c r="CB16" s="177">
        <f>COUNTIFS(
    estq[empresa], CB$6,
    estq[Data da venda / reserva], "&gt;=" &amp; $A16,
    estq[Data da venda / reserva], "&lt;"  &amp; EOMONTH($A16,0) + 1
)</f>
        <v>0</v>
      </c>
      <c r="CC16" s="178">
        <f ca="1">SUMIFS(rec.uni[2022-02-01],
INDIRECT("rec.uni[natureza]"),"pro.soluto",
INDIRECT("rec.uni[empresa]"),CC$6)</f>
        <v>0</v>
      </c>
      <c r="CD16" s="178">
        <f ca="1">SUMIFS(rec.uni[2022-02-01],
INDIRECT("rec.uni[natureza]"),"repasse.cef.obra",
INDIRECT("rec.uni[empresa]"),CD$6)</f>
        <v>0</v>
      </c>
      <c r="CE16" s="178">
        <f ca="1">SUMIFS(rec.uni[2022-02-01],
INDIRECT("rec.uni[natureza]"),"repasse.cef.terreno",
INDIRECT("rec.uni[empresa]"),CE$6)</f>
        <v>0</v>
      </c>
      <c r="CF16" s="178">
        <v>0</v>
      </c>
      <c r="CG16" s="178">
        <f ca="1">SUMIFS(rec.uni[2022-02-01],
INDIRECT("rec.uni[natureza]"),"taxa.extra",
INDIRECT("rec.uni[empresa]"),CG$6)</f>
        <v>0</v>
      </c>
      <c r="CH16" s="166"/>
      <c r="CI16" s="178" cm="1">
        <f t="array" ref="CI16">SUMPRODUCT(
  IFERROR(--desp[valor],0)*
  (desp[nucleo]="UP ESTAÇÃO VILA SONIA")*
  (desp[categoria]=CI$7)*
  (desp[data.pagamento]&gt;=$A16)*
  (desp[data.pagamento]&lt;EOMONTH($A16,0)+1)
)</f>
        <v>0</v>
      </c>
      <c r="CJ16" s="178" cm="1">
        <f t="array" ref="CJ16">SUMPRODUCT(
  IFERROR(--desp[valor],0)*
  (desp[nucleo]="UP ESTAÇÃO VILA SONIA")*
  (desp[categoria]=CJ$7)*
  (desp[data.pagamento]&gt;=$A16)*
  (desp[data.pagamento]&lt;EOMONTH($A16,0)+1)
)</f>
        <v>0</v>
      </c>
      <c r="CK16" s="178" cm="1">
        <f t="array" ref="CK16">SUMPRODUCT(
  IFERROR(--desp[valor],0)*
  (desp[nucleo]="UP ESTAÇÃO VILA SONIA")*
  (desp[categoria]=CK$7)*
  (desp[data.pagamento]&gt;=$A16)*
  (desp[data.pagamento]&lt;EOMONTH($A16,0)+1)
)</f>
        <v>0</v>
      </c>
      <c r="CL16" s="178" cm="1">
        <f t="array" ref="CL16">SUMPRODUCT(
  IFERROR(--desp[valor],0)*
  (desp[nucleo]="UP ESTAÇÃO VILA SONIA")*
  (desp[categoria]=CL$7)*
  (desp[data.pagamento]&gt;=$A16)*
  (desp[data.pagamento]&lt;EOMONTH($A16,0)+1)
)</f>
        <v>0</v>
      </c>
      <c r="CM16" s="179" cm="1">
        <f t="array" ref="CM16">SUMPRODUCT(
  IFERROR(--desp[valor],0)*
  (desp[nucleo]="UP ESTAÇÃO VILA SONIA")*
  (desp[categoria]=CM$7)*
  (desp[data.pagamento]&gt;=$A16)*
  (desp[data.pagamento]&lt;EOMONTH($A16,0)+1)
)</f>
        <v>0</v>
      </c>
      <c r="CN16" s="177">
        <f>COUNTIFS(
    estq[empresa], CN$6,
    estq[Data da venda / reserva], "&gt;=" &amp; $A16,
    estq[Data da venda / reserva], "&lt;"  &amp; EOMONTH($A16,0) + 1
)</f>
        <v>0</v>
      </c>
      <c r="CO16" s="178">
        <f ca="1">SUMIFS(rec.uni[2022-02-01],
INDIRECT("rec.uni[natureza]"),"pro.soluto",
INDIRECT("rec.uni[empresa]"),CO$6)</f>
        <v>0</v>
      </c>
      <c r="CP16" s="178">
        <f ca="1">SUMIFS(rec.uni[2022-02-01],
INDIRECT("rec.uni[natureza]"),"repasse.cef.obra",
INDIRECT("rec.uni[empresa]"),CP$6)</f>
        <v>0</v>
      </c>
      <c r="CQ16" s="178">
        <f ca="1">SUMIFS(rec.uni[2022-02-01],
INDIRECT("rec.uni[natureza]"),"repasse.cef.terreno",
INDIRECT("rec.uni[empresa]"),CQ$6)</f>
        <v>0</v>
      </c>
      <c r="CR16" s="178">
        <v>0</v>
      </c>
      <c r="CS16" s="178">
        <f ca="1">SUMIFS(rec.uni[2022-02-01],
INDIRECT("rec.uni[natureza]"),"taxa.extra",
INDIRECT("rec.uni[empresa]"),CS$6)</f>
        <v>0</v>
      </c>
      <c r="CT16" s="166"/>
      <c r="CU16" s="178" cm="1">
        <f t="array" ref="CU16">SUMPRODUCT(
  IFERROR(--desp[valor],0)*
  (desp[nucleo]="UP MOVE VILA SONIA")*
  (desp[categoria]=CU$7)*
  (desp[data.pagamento]&gt;=$A16)*
  (desp[data.pagamento]&lt;EOMONTH($A16,0)+1)
)</f>
        <v>0</v>
      </c>
      <c r="CV16" s="178" cm="1">
        <f t="array" ref="CV16">SUMPRODUCT(
  IFERROR(--desp[valor],0)*
  (desp[nucleo]="UP MOVE VILA SONIA")*
  (desp[categoria]=CV$7)*
  (desp[data.pagamento]&gt;=$A16)*
  (desp[data.pagamento]&lt;EOMONTH($A16,0)+1)
)</f>
        <v>0</v>
      </c>
      <c r="CW16" s="178" cm="1">
        <f t="array" ref="CW16">SUMPRODUCT(
  IFERROR(--desp[valor],0)*
  (desp[nucleo]="UP MOVE VILA SONIA")*
  (desp[categoria]=CW$7)*
  (desp[data.pagamento]&gt;=$A16)*
  (desp[data.pagamento]&lt;EOMONTH($A16,0)+1)
)</f>
        <v>0</v>
      </c>
      <c r="CX16" s="178" cm="1">
        <f t="array" ref="CX16">SUMPRODUCT(
  IFERROR(--desp[valor],0)*
  (desp[nucleo]="UP MOVE VILA SONIA")*
  (desp[categoria]=CX$7)*
  (desp[data.pagamento]&gt;=$A16)*
  (desp[data.pagamento]&lt;EOMONTH($A16,0)+1)
)</f>
        <v>0</v>
      </c>
      <c r="CY16" s="180" cm="1">
        <f t="array" ref="CY16">SUMPRODUCT(
  IFERROR(--desp[valor],0)*
  (desp[nucleo]="UP MOVE VILA SONIA")*
  (desp[categoria]=CY$7)*
  (desp[data.pagamento]&gt;=$A16)*
  (desp[data.pagamento]&lt;EOMONTH($A16,0)+1)
)</f>
        <v>0</v>
      </c>
    </row>
    <row r="17" spans="1:103" x14ac:dyDescent="0.25">
      <c r="A17" s="176">
        <v>44621</v>
      </c>
      <c r="B17" s="177">
        <f>COUNTIFS(
    estq[empresa], B$6,
    estq[Data da venda / reserva], "&gt;=" &amp; $A17,
    estq[Data da venda / reserva], "&lt;"  &amp; EOMONTH($A17,0) + 1
)</f>
        <v>0</v>
      </c>
      <c r="C17" s="178">
        <f ca="1">SUMIFS(rec.uni[2022-03-01],
INDIRECT("rec.uni[natureza]"),"pro.soluto",
INDIRECT("rec.uni[empresa]"),C$6)</f>
        <v>0</v>
      </c>
      <c r="D17" s="178">
        <f ca="1">SUMIFS(rec.uni[2022-03-01],
INDIRECT("rec.uni[natureza]"),"repasse.cef.obra",
INDIRECT("rec.uni[empresa]"),D$6)</f>
        <v>0</v>
      </c>
      <c r="E17" s="178">
        <f ca="1">SUMIFS(rec.uni[2022-03-01],
INDIRECT("rec.uni[natureza]"),"repasse.cef.terreno",
INDIRECT("rec.uni[empresa]"),E$6)</f>
        <v>0</v>
      </c>
      <c r="F17" s="178">
        <v>0</v>
      </c>
      <c r="G17" s="178">
        <f ca="1">SUMIFS(rec.uni[2022-03-01],
INDIRECT("rec.uni[natureza]"),"taxa.extra",
INDIRECT("rec.uni[empresa]"),G$6)</f>
        <v>0</v>
      </c>
      <c r="H17" s="166"/>
      <c r="I17" s="178" cm="1">
        <f t="array" ref="I17">SUMPRODUCT(
  IFERROR(--desp[valor],0)*
  (desp[nucleo]="UP JARDIM PRUDENCIA")*
  (desp[categoria]=I$7)*
  (desp[data.pagamento]&gt;=$A17)*
  (desp[data.pagamento]&lt;EOMONTH($A17,0)+1)
)</f>
        <v>0</v>
      </c>
      <c r="J17" s="178" cm="1">
        <f t="array" ref="J17">SUMPRODUCT(
  IFERROR(--desp[valor],0)*
  (desp[nucleo]="UP JARDIM PRUDENCIA")*
  (desp[categoria]=J$7)*
  (desp[data.pagamento]&gt;=$A17)*
  (desp[data.pagamento]&lt;EOMONTH($A17,0)+1)
)</f>
        <v>0</v>
      </c>
      <c r="K17" s="178" cm="1">
        <f t="array" ref="K17">SUMPRODUCT(
  IFERROR(--desp[valor],0)*
  (desp[nucleo]="UP JARDIM PRUDENCIA")*
  (desp[categoria]=K$7)*
  (desp[data.pagamento]&gt;=$A17)*
  (desp[data.pagamento]&lt;EOMONTH($A17,0)+1)
)</f>
        <v>0</v>
      </c>
      <c r="L17" s="178" cm="1">
        <f t="array" ref="L17">SUMPRODUCT(
  IFERROR(--desp[valor],0)*
  (desp[nucleo]="UP JARDIM PRUDENCIA")*
  (desp[categoria]=L$7)*
  (desp[data.pagamento]&gt;=$A17)*
  (desp[data.pagamento]&lt;EOMONTH($A17,0)+1)
)</f>
        <v>0</v>
      </c>
      <c r="M17" s="179" cm="1">
        <f t="array" ref="M17">SUMPRODUCT(
  IFERROR(--desp[valor],0)*
  (desp[nucleo]="UP JARDIM PRUDENCIA")*
  (desp[categoria]=M$7)*
  (desp[data.pagamento]&gt;=$A17)*
  (desp[data.pagamento]&lt;EOMONTH($A17,0)+1)
)</f>
        <v>0</v>
      </c>
      <c r="N17" s="177">
        <f>COUNTIFS(
    estq[empresa], N$6,
    estq[Data da venda / reserva], "&gt;=" &amp; $A17,
    estq[Data da venda / reserva], "&lt;"  &amp; EOMONTH($A17,0) + 1
)</f>
        <v>0</v>
      </c>
      <c r="O17" s="178">
        <f ca="1">SUMIFS(rec.uni[2022-03-01],
INDIRECT("rec.uni[natureza]"),"pro.soluto",
INDIRECT("rec.uni[empresa]"),O$6)</f>
        <v>0</v>
      </c>
      <c r="P17" s="178">
        <f ca="1">SUMIFS(rec.uni[2022-03-01],
INDIRECT("rec.uni[natureza]"),"repasse.cef.obra",
INDIRECT("rec.uni[empresa]"),P$6)</f>
        <v>0</v>
      </c>
      <c r="Q17" s="178">
        <f ca="1">SUMIFS(rec.uni[2022-03-01],
INDIRECT("rec.uni[natureza]"),"repasse.cef.terreno",
INDIRECT("rec.uni[empresa]"),Q$6)</f>
        <v>0</v>
      </c>
      <c r="R17" s="178">
        <v>0</v>
      </c>
      <c r="S17" s="178">
        <f ca="1">SUMIFS(rec.uni[2022-03-01],
INDIRECT("rec.uni[natureza]"),"taxa.extra",
INDIRECT("rec.uni[empresa]"),S$6)</f>
        <v>0</v>
      </c>
      <c r="T17" s="166"/>
      <c r="U17" s="178" cm="1">
        <f t="array" ref="U17">SUMPRODUCT(
  IFERROR(--desp[valor],0)*
  (desp[nucleo]="UP VILA SONIA")*
  (desp[categoria]=U$7)*
  (desp[data.pagamento]&gt;=$A17)*
  (desp[data.pagamento]&lt;EOMONTH($A17,0)+1)
)</f>
        <v>0</v>
      </c>
      <c r="V17" s="178" cm="1">
        <f t="array" ref="V17">SUMPRODUCT(
  IFERROR(--desp[valor],0)*
  (desp[nucleo]="UP VILA SONIA")*
  (desp[categoria]=V$7)*
  (desp[data.pagamento]&gt;=$A17)*
  (desp[data.pagamento]&lt;EOMONTH($A17,0)+1)
)</f>
        <v>0</v>
      </c>
      <c r="W17" s="178" cm="1">
        <f t="array" ref="W17">SUMPRODUCT(
  IFERROR(--desp[valor],0)*
  (desp[nucleo]="UP VILA SONIA")*
  (desp[categoria]=W$7)*
  (desp[data.pagamento]&gt;=$A17)*
  (desp[data.pagamento]&lt;EOMONTH($A17,0)+1)
)</f>
        <v>0</v>
      </c>
      <c r="X17" s="178" cm="1">
        <f t="array" ref="X17">SUMPRODUCT(
  IFERROR(--desp[valor],0)*
  (desp[nucleo]="UP VILA SONIA")*
  (desp[categoria]=X$7)*
  (desp[data.pagamento]&gt;=$A17)*
  (desp[data.pagamento]&lt;EOMONTH($A17,0)+1)
)</f>
        <v>0</v>
      </c>
      <c r="Y17" s="179" cm="1">
        <f t="array" ref="Y17">SUMPRODUCT(
  IFERROR(--desp[valor],0)*
  (desp[nucleo]="UP VILA SONIA")*
  (desp[categoria]=Y$7)*
  (desp[data.pagamento]&gt;=$A17)*
  (desp[data.pagamento]&lt;EOMONTH($A17,0)+1)
)</f>
        <v>0</v>
      </c>
      <c r="Z17" s="177">
        <f>COUNTIFS(
    estq[empresa], Z$6,
    estq[Data da venda / reserva], "&gt;=" &amp; $A17,
    estq[Data da venda / reserva], "&lt;"  &amp; EOMONTH($A17,0) + 1
)</f>
        <v>0</v>
      </c>
      <c r="AA17" s="178">
        <f ca="1">SUMIFS(rec.uni[2022-03-01],
INDIRECT("rec.uni[natureza]"),"pro.soluto",
INDIRECT("rec.uni[empresa]"),AA$6)</f>
        <v>0</v>
      </c>
      <c r="AB17" s="178">
        <f ca="1">SUMIFS(rec.uni[2022-03-01],
INDIRECT("rec.uni[natureza]"),"pro.soluto",
INDIRECT("rec.uni[empresa]"),AB$6)</f>
        <v>0</v>
      </c>
      <c r="AC17" s="178">
        <f ca="1">SUMIFS(rec.uni[2022-03-01],
INDIRECT("rec.uni[natureza]"),"taxa.extra",
INDIRECT("rec.uni[empresa]"),AC$6)</f>
        <v>0</v>
      </c>
      <c r="AD17" s="166"/>
      <c r="AE17" s="178" cm="1">
        <f t="array" ref="AE17">SUMPRODUCT(
  IFERROR(--desp[valor],0)*
  (desp[nucleo]="UP CAMPO BELO")*
  (desp[categoria]=AE$7)*
  (desp[data.pagamento]&gt;=$A17)*
  (desp[data.pagamento]&lt;EOMONTH($A17,0)+1)
)</f>
        <v>0</v>
      </c>
      <c r="AF17" s="178" cm="1">
        <f t="array" ref="AF17">SUMPRODUCT(
  IFERROR(--desp[valor],0)*
  (desp[nucleo]="UP CAMPO BELO")*
  (desp[categoria]=AF$7)*
  (desp[data.pagamento]&gt;=$A17)*
  (desp[data.pagamento]&lt;EOMONTH($A17,0)+1)
)</f>
        <v>0</v>
      </c>
      <c r="AG17" s="178" cm="1">
        <f t="array" ref="AG17">SUMPRODUCT(
  IFERROR(--desp[valor],0)*
  (desp[nucleo]="UP CAMPO BELO")*
  (desp[categoria]=AG$7)*
  (desp[data.pagamento]&gt;=$A17)*
  (desp[data.pagamento]&lt;EOMONTH($A17,0)+1)
)</f>
        <v>0</v>
      </c>
      <c r="AH17" s="178" cm="1">
        <f t="array" ref="AH17">SUMPRODUCT(
  IFERROR(--desp[valor],0)*
  (desp[nucleo]="UP CAMPO BELO")*
  (desp[categoria]=AH$7)*
  (desp[data.pagamento]&gt;=$A17)*
  (desp[data.pagamento]&lt;EOMONTH($A17,0)+1)
)</f>
        <v>0</v>
      </c>
      <c r="AI17" s="179" cm="1">
        <f t="array" ref="AI17">SUMPRODUCT(
  IFERROR(--desp[valor],0)*
  (desp[nucleo]="UP CAMPO BELO")*
  (desp[categoria]=AI$7)*
  (desp[data.pagamento]&gt;=$A17)*
  (desp[data.pagamento]&lt;EOMONTH($A17,0)+1)
)</f>
        <v>0</v>
      </c>
      <c r="AJ17" s="177">
        <f>COUNTIFS(
    estq[empresa], AJ$6,
    estq[Data da venda / reserva], "&gt;=" &amp; $A17,
    estq[Data da venda / reserva], "&lt;"  &amp; EOMONTH($A17,0) + 1
)</f>
        <v>0</v>
      </c>
      <c r="AK17" s="178">
        <f ca="1">SUMIFS(rec.uni[2022-03-01],
INDIRECT("rec.uni[natureza]"),"pro.soluto",
INDIRECT("rec.uni[empresa]"),AK$6)</f>
        <v>0</v>
      </c>
      <c r="AL17" s="178">
        <f ca="1">SUMIFS(rec.uni[2022-03-01],
INDIRECT("rec.uni[natureza]"),"repasse.cef.obra",
INDIRECT("rec.uni[empresa]"),AL$6)</f>
        <v>0</v>
      </c>
      <c r="AM17" s="178">
        <f ca="1">SUMIFS(rec.uni[2022-03-01],
INDIRECT("rec.uni[natureza]"),"repasse.cef.terreno",
INDIRECT("rec.uni[empresa]"),AM$6)</f>
        <v>0</v>
      </c>
      <c r="AN17" s="178">
        <v>0</v>
      </c>
      <c r="AO17" s="178">
        <f ca="1">SUMIFS(rec.uni[2022-03-01],
INDIRECT("rec.uni[natureza]"),"taxa.extra",
INDIRECT("rec.uni[empresa]"),AO$6)</f>
        <v>0</v>
      </c>
      <c r="AP17" s="166"/>
      <c r="AQ17" s="178" cm="1">
        <f t="array" ref="AQ17">SUMPRODUCT(
  IFERROR(--desp[valor],0)*
  (desp[nucleo]="UP SELECT VILA SONIA")*
  (desp[categoria]=AQ$7)*
  (desp[data.pagamento]&gt;=$A17)*
  (desp[data.pagamento]&lt;EOMONTH($A17,0)+1)
)</f>
        <v>0</v>
      </c>
      <c r="AR17" s="178" cm="1">
        <f t="array" ref="AR17">SUMPRODUCT(
  IFERROR(--desp[valor],0)*
  (desp[nucleo]="UP SELECT VILA SONIA")*
  (desp[categoria]=AR$7)*
  (desp[data.pagamento]&gt;=$A17)*
  (desp[data.pagamento]&lt;EOMONTH($A17,0)+1)
)</f>
        <v>0</v>
      </c>
      <c r="AS17" s="178" cm="1">
        <f t="array" ref="AS17">SUMPRODUCT(
  IFERROR(--desp[valor],0)*
  (desp[nucleo]="UP SELECT VILA SONIA")*
  (desp[categoria]=AS$7)*
  (desp[data.pagamento]&gt;=$A17)*
  (desp[data.pagamento]&lt;EOMONTH($A17,0)+1)
)</f>
        <v>0</v>
      </c>
      <c r="AT17" s="178" cm="1">
        <f t="array" ref="AT17">SUMPRODUCT(
  IFERROR(--desp[valor],0)*
  (desp[nucleo]="UP SELECT VILA SONIA")*
  (desp[categoria]=AT$7)*
  (desp[data.pagamento]&gt;=$A17)*
  (desp[data.pagamento]&lt;EOMONTH($A17,0)+1)
)</f>
        <v>0</v>
      </c>
      <c r="AU17" s="179" cm="1">
        <f t="array" ref="AU17">SUMPRODUCT(
  IFERROR(--desp[valor],0)*
  (desp[nucleo]="UP SELECT VILA SONIA")*
  (desp[categoria]=AU$7)*
  (desp[data.pagamento]&gt;=$A17)*
  (desp[data.pagamento]&lt;EOMONTH($A17,0)+1)
)</f>
        <v>0</v>
      </c>
      <c r="AV17" s="177">
        <f>COUNTIFS(
    estq[empresa], AV$6,
    estq[Data da venda / reserva], "&gt;=" &amp; $A17,
    estq[Data da venda / reserva], "&lt;"  &amp; EOMONTH($A17,0) + 1
)</f>
        <v>0</v>
      </c>
      <c r="AW17" s="178">
        <f ca="1">SUMIFS(rec.uni[2022-03-01],
INDIRECT("rec.uni[natureza]"),"pro.soluto",
INDIRECT("rec.uni[empresa]"),AW$6)</f>
        <v>0</v>
      </c>
      <c r="AX17" s="178">
        <f ca="1">SUMIFS(rec.uni[2022-03-01],
INDIRECT("rec.uni[natureza]"),"repasse.cef.obra",
INDIRECT("rec.uni[empresa]"),AX$6)</f>
        <v>0</v>
      </c>
      <c r="AY17" s="178">
        <f ca="1">SUMIFS(rec.uni[2022-03-01],
INDIRECT("rec.uni[natureza]"),"repasse.cef.terreno",
INDIRECT("rec.uni[empresa]"),AY$6)</f>
        <v>0</v>
      </c>
      <c r="AZ17" s="178">
        <v>0</v>
      </c>
      <c r="BA17" s="178">
        <f ca="1">SUMIFS(rec.uni[2022-03-01],
INDIRECT("rec.uni[natureza]"),"taxa.extra",
INDIRECT("rec.uni[empresa]"),BA$6)</f>
        <v>0</v>
      </c>
      <c r="BB17" s="166"/>
      <c r="BC17" s="178" cm="1">
        <f t="array" ref="BC17">SUMPRODUCT(
  IFERROR(--desp[valor],0)*
  (desp[nucleo]="UP ESTAÇÃO SÃO LUCAS")*
  (desp[categoria]=BC$7)*
  (desp[data.pagamento]&gt;=$A17)*
  (desp[data.pagamento]&lt;EOMONTH($A17,0)+1)
)</f>
        <v>0</v>
      </c>
      <c r="BD17" s="178" cm="1">
        <f t="array" ref="BD17">SUMPRODUCT(
  IFERROR(--desp[valor],0)*
  (desp[nucleo]="UP ESTAÇÃO SÃO LUCAS")*
  (desp[categoria]=BD$7)*
  (desp[data.pagamento]&gt;=$A17)*
  (desp[data.pagamento]&lt;EOMONTH($A17,0)+1)
)</f>
        <v>0</v>
      </c>
      <c r="BE17" s="178" cm="1">
        <f t="array" ref="BE17">SUMPRODUCT(
  IFERROR(--desp[valor],0)*
  (desp[nucleo]="UP ESTAÇÃO SÃO LUCAS")*
  (desp[categoria]=BE$7)*
  (desp[data.pagamento]&gt;=$A17)*
  (desp[data.pagamento]&lt;EOMONTH($A17,0)+1)
)</f>
        <v>0</v>
      </c>
      <c r="BF17" s="178" cm="1">
        <f t="array" ref="BF17">SUMPRODUCT(
  IFERROR(--desp[valor],0)*
  (desp[nucleo]="UP ESTAÇÃO SÃO LUCAS")*
  (desp[categoria]=BF$7)*
  (desp[data.pagamento]&gt;=$A17)*
  (desp[data.pagamento]&lt;EOMONTH($A17,0)+1)
)</f>
        <v>0</v>
      </c>
      <c r="BG17" s="179" cm="1">
        <f t="array" ref="BG17">SUMPRODUCT(
  IFERROR(--desp[valor],0)*
  (desp[nucleo]="UP ESTAÇÃO SÃO LUCAS")*
  (desp[categoria]=BG$7)*
  (desp[data.pagamento]&gt;=$A17)*
  (desp[data.pagamento]&lt;EOMONTH($A17,0)+1)
)</f>
        <v>0</v>
      </c>
      <c r="BH17" s="177">
        <f>COUNTIFS(
    estq[empresa], BH$6,
    estq[Data da venda / reserva], "&gt;=" &amp; $A17,
    estq[Data da venda / reserva], "&lt;"  &amp; EOMONTH($A17,0) + 1
)</f>
        <v>0</v>
      </c>
      <c r="BI17" s="178">
        <f ca="1">SUMIFS(rec.uni[2022-03-01],
INDIRECT("rec.uni[natureza]"),"pro.soluto",
INDIRECT("rec.uni[empresa]"),BI$6)</f>
        <v>0</v>
      </c>
      <c r="BJ17" s="166">
        <v>0</v>
      </c>
      <c r="BK17" s="178">
        <f ca="1">SUMIFS(rec.uni[2022-03-01],
INDIRECT("rec.uni[natureza]"),"taxa.extra",
INDIRECT("rec.uni[empresa]"),BK$6)</f>
        <v>0</v>
      </c>
      <c r="BL17" s="166"/>
      <c r="BM17" s="178" cm="1">
        <f t="array" ref="BM17">SUMPRODUCT(
  IFERROR(--desp[valor],0)*
  (desp[nucleo]="UP POMPEIA")*
  (desp[categoria]=BM$7)*
  (desp[data.pagamento]&gt;=$A17)*
  (desp[data.pagamento]&lt;EOMONTH($A17,0)+1)
)</f>
        <v>0</v>
      </c>
      <c r="BN17" s="178" cm="1">
        <f t="array" ref="BN17">SUMPRODUCT(
  IFERROR(--desp[valor],0)*
  (desp[nucleo]="UP POMPEIA")*
  (desp[categoria]=BN$7)*
  (desp[data.pagamento]&gt;=$A17)*
  (desp[data.pagamento]&lt;EOMONTH($A17,0)+1)
)</f>
        <v>0</v>
      </c>
      <c r="BO17" s="178" cm="1">
        <f t="array" ref="BO17">SUMPRODUCT(
  IFERROR(--desp[valor],0)*
  (desp[nucleo]="UP POMPEIA")*
  (desp[categoria]=BO$7)*
  (desp[data.pagamento]&gt;=$A17)*
  (desp[data.pagamento]&lt;EOMONTH($A17,0)+1)
)</f>
        <v>0</v>
      </c>
      <c r="BP17" s="178" cm="1">
        <f t="array" ref="BP17">SUMPRODUCT(
  IFERROR(--desp[valor],0)*
  (desp[nucleo]="UP POMPEIA")*
  (desp[categoria]=BP$7)*
  (desp[data.pagamento]&gt;=$A17)*
  (desp[data.pagamento]&lt;EOMONTH($A17,0)+1)
)</f>
        <v>0</v>
      </c>
      <c r="BQ17" s="179" cm="1">
        <f t="array" ref="BQ17">SUMPRODUCT(
  IFERROR(--desp[valor],0)*
  (desp[nucleo]="UP POMPEIA")*
  (desp[categoria]=BQ$7)*
  (desp[data.pagamento]&gt;=$A17)*
  (desp[data.pagamento]&lt;EOMONTH($A17,0)+1)
)</f>
        <v>0</v>
      </c>
      <c r="BR17" s="177">
        <f>COUNTIFS(
    estq[empresa], BR$6,
    estq[Data da venda / reserva], "&gt;=" &amp; $A17,
    estq[Data da venda / reserva], "&lt;"  &amp; EOMONTH($A17,0) + 1
)</f>
        <v>0</v>
      </c>
      <c r="BS17" s="178">
        <f ca="1">SUMIFS(rec.uni[2022-03-01],
INDIRECT("rec.uni[natureza]"),"pro.soluto",
INDIRECT("rec.uni[empresa]"),BS$6)</f>
        <v>0</v>
      </c>
      <c r="BT17" s="178">
        <f ca="1">SUMIFS(rec.uni[2022-03-01],
INDIRECT("rec.uni[natureza]"),"pro.soluto",
INDIRECT("rec.uni[empresa]"),BT$6)</f>
        <v>0</v>
      </c>
      <c r="BU17" s="178">
        <f ca="1">SUMIFS(rec.uni[2022-03-01],
INDIRECT("rec.uni[natureza]"),"taxa.extra",
INDIRECT("rec.uni[empresa]"),BU$6)</f>
        <v>0</v>
      </c>
      <c r="BV17" s="166"/>
      <c r="BW17" s="178" cm="1">
        <f t="array" ref="BW17">SUMPRODUCT(
  IFERROR(--desp[valor],0)*
  (desp[nucleo]="UP SAUDE")*
  (desp[categoria]=BW$7)*
  (desp[data.pagamento]&gt;=$A17)*
  (desp[data.pagamento]&lt;EOMONTH($A17,0)+1)
)</f>
        <v>0</v>
      </c>
      <c r="BX17" s="178" cm="1">
        <f t="array" ref="BX17">SUMPRODUCT(
  IFERROR(--desp[valor],0)*
  (desp[nucleo]="UP SAUDE")*
  (desp[categoria]=BX$7)*
  (desp[data.pagamento]&gt;=$A17)*
  (desp[data.pagamento]&lt;EOMONTH($A17,0)+1)
)</f>
        <v>0</v>
      </c>
      <c r="BY17" s="178" cm="1">
        <f t="array" ref="BY17">SUMPRODUCT(
  IFERROR(--desp[valor],0)*
  (desp[nucleo]="UP SAUDE")*
  (desp[categoria]=BY$7)*
  (desp[data.pagamento]&gt;=$A17)*
  (desp[data.pagamento]&lt;EOMONTH($A17,0)+1)
)</f>
        <v>0</v>
      </c>
      <c r="BZ17" s="178" cm="1">
        <f t="array" ref="BZ17">SUMPRODUCT(
  IFERROR(--desp[valor],0)*
  (desp[nucleo]="UP SAUDE")*
  (desp[categoria]=BZ$7)*
  (desp[data.pagamento]&gt;=$A17)*
  (desp[data.pagamento]&lt;EOMONTH($A17,0)+1)
)</f>
        <v>0</v>
      </c>
      <c r="CA17" s="179" cm="1">
        <f t="array" ref="CA17">SUMPRODUCT(
  IFERROR(--desp[valor],0)*
  (desp[nucleo]="UP SAUDE")*
  (desp[categoria]=CA$7)*
  (desp[data.pagamento]&gt;=$A17)*
  (desp[data.pagamento]&lt;EOMONTH($A17,0)+1)
)</f>
        <v>0</v>
      </c>
      <c r="CB17" s="177">
        <f>COUNTIFS(
    estq[empresa], CB$6,
    estq[Data da venda / reserva], "&gt;=" &amp; $A17,
    estq[Data da venda / reserva], "&lt;"  &amp; EOMONTH($A17,0) + 1
)</f>
        <v>0</v>
      </c>
      <c r="CC17" s="178">
        <f ca="1">SUMIFS(rec.uni[2022-03-01],
INDIRECT("rec.uni[natureza]"),"pro.soluto",
INDIRECT("rec.uni[empresa]"),CC$6)</f>
        <v>0</v>
      </c>
      <c r="CD17" s="178">
        <f ca="1">SUMIFS(rec.uni[2022-03-01],
INDIRECT("rec.uni[natureza]"),"repasse.cef.obra",
INDIRECT("rec.uni[empresa]"),CD$6)</f>
        <v>0</v>
      </c>
      <c r="CE17" s="178">
        <f ca="1">SUMIFS(rec.uni[2022-03-01],
INDIRECT("rec.uni[natureza]"),"repasse.cef.terreno",
INDIRECT("rec.uni[empresa]"),CE$6)</f>
        <v>0</v>
      </c>
      <c r="CF17" s="178">
        <v>0</v>
      </c>
      <c r="CG17" s="178">
        <f ca="1">SUMIFS(rec.uni[2022-03-01],
INDIRECT("rec.uni[natureza]"),"taxa.extra",
INDIRECT("rec.uni[empresa]"),CG$6)</f>
        <v>0</v>
      </c>
      <c r="CH17" s="166"/>
      <c r="CI17" s="178" cm="1">
        <f t="array" ref="CI17">SUMPRODUCT(
  IFERROR(--desp[valor],0)*
  (desp[nucleo]="UP ESTAÇÃO VILA SONIA")*
  (desp[categoria]=CI$7)*
  (desp[data.pagamento]&gt;=$A17)*
  (desp[data.pagamento]&lt;EOMONTH($A17,0)+1)
)</f>
        <v>0</v>
      </c>
      <c r="CJ17" s="178" cm="1">
        <f t="array" ref="CJ17">SUMPRODUCT(
  IFERROR(--desp[valor],0)*
  (desp[nucleo]="UP ESTAÇÃO VILA SONIA")*
  (desp[categoria]=CJ$7)*
  (desp[data.pagamento]&gt;=$A17)*
  (desp[data.pagamento]&lt;EOMONTH($A17,0)+1)
)</f>
        <v>0</v>
      </c>
      <c r="CK17" s="178" cm="1">
        <f t="array" ref="CK17">SUMPRODUCT(
  IFERROR(--desp[valor],0)*
  (desp[nucleo]="UP ESTAÇÃO VILA SONIA")*
  (desp[categoria]=CK$7)*
  (desp[data.pagamento]&gt;=$A17)*
  (desp[data.pagamento]&lt;EOMONTH($A17,0)+1)
)</f>
        <v>0</v>
      </c>
      <c r="CL17" s="178" cm="1">
        <f t="array" ref="CL17">SUMPRODUCT(
  IFERROR(--desp[valor],0)*
  (desp[nucleo]="UP ESTAÇÃO VILA SONIA")*
  (desp[categoria]=CL$7)*
  (desp[data.pagamento]&gt;=$A17)*
  (desp[data.pagamento]&lt;EOMONTH($A17,0)+1)
)</f>
        <v>0</v>
      </c>
      <c r="CM17" s="179" cm="1">
        <f t="array" ref="CM17">SUMPRODUCT(
  IFERROR(--desp[valor],0)*
  (desp[nucleo]="UP ESTAÇÃO VILA SONIA")*
  (desp[categoria]=CM$7)*
  (desp[data.pagamento]&gt;=$A17)*
  (desp[data.pagamento]&lt;EOMONTH($A17,0)+1)
)</f>
        <v>0</v>
      </c>
      <c r="CN17" s="177">
        <f>COUNTIFS(
    estq[empresa], CN$6,
    estq[Data da venda / reserva], "&gt;=" &amp; $A17,
    estq[Data da venda / reserva], "&lt;"  &amp; EOMONTH($A17,0) + 1
)</f>
        <v>0</v>
      </c>
      <c r="CO17" s="178">
        <f ca="1">SUMIFS(rec.uni[2022-03-01],
INDIRECT("rec.uni[natureza]"),"pro.soluto",
INDIRECT("rec.uni[empresa]"),CO$6)</f>
        <v>0</v>
      </c>
      <c r="CP17" s="178">
        <f ca="1">SUMIFS(rec.uni[2022-03-01],
INDIRECT("rec.uni[natureza]"),"repasse.cef.obra",
INDIRECT("rec.uni[empresa]"),CP$6)</f>
        <v>0</v>
      </c>
      <c r="CQ17" s="178">
        <f ca="1">SUMIFS(rec.uni[2022-03-01],
INDIRECT("rec.uni[natureza]"),"repasse.cef.terreno",
INDIRECT("rec.uni[empresa]"),CQ$6)</f>
        <v>0</v>
      </c>
      <c r="CR17" s="178">
        <v>0</v>
      </c>
      <c r="CS17" s="178">
        <f ca="1">SUMIFS(rec.uni[2022-03-01],
INDIRECT("rec.uni[natureza]"),"taxa.extra",
INDIRECT("rec.uni[empresa]"),CS$6)</f>
        <v>0</v>
      </c>
      <c r="CT17" s="166"/>
      <c r="CU17" s="178" cm="1">
        <f t="array" ref="CU17">SUMPRODUCT(
  IFERROR(--desp[valor],0)*
  (desp[nucleo]="UP MOVE VILA SONIA")*
  (desp[categoria]=CU$7)*
  (desp[data.pagamento]&gt;=$A17)*
  (desp[data.pagamento]&lt;EOMONTH($A17,0)+1)
)</f>
        <v>0</v>
      </c>
      <c r="CV17" s="178" cm="1">
        <f t="array" ref="CV17">SUMPRODUCT(
  IFERROR(--desp[valor],0)*
  (desp[nucleo]="UP MOVE VILA SONIA")*
  (desp[categoria]=CV$7)*
  (desp[data.pagamento]&gt;=$A17)*
  (desp[data.pagamento]&lt;EOMONTH($A17,0)+1)
)</f>
        <v>0</v>
      </c>
      <c r="CW17" s="178" cm="1">
        <f t="array" ref="CW17">SUMPRODUCT(
  IFERROR(--desp[valor],0)*
  (desp[nucleo]="UP MOVE VILA SONIA")*
  (desp[categoria]=CW$7)*
  (desp[data.pagamento]&gt;=$A17)*
  (desp[data.pagamento]&lt;EOMONTH($A17,0)+1)
)</f>
        <v>0</v>
      </c>
      <c r="CX17" s="178" cm="1">
        <f t="array" ref="CX17">SUMPRODUCT(
  IFERROR(--desp[valor],0)*
  (desp[nucleo]="UP MOVE VILA SONIA")*
  (desp[categoria]=CX$7)*
  (desp[data.pagamento]&gt;=$A17)*
  (desp[data.pagamento]&lt;EOMONTH($A17,0)+1)
)</f>
        <v>0</v>
      </c>
      <c r="CY17" s="180" cm="1">
        <f t="array" ref="CY17">SUMPRODUCT(
  IFERROR(--desp[valor],0)*
  (desp[nucleo]="UP MOVE VILA SONIA")*
  (desp[categoria]=CY$7)*
  (desp[data.pagamento]&gt;=$A17)*
  (desp[data.pagamento]&lt;EOMONTH($A17,0)+1)
)</f>
        <v>0</v>
      </c>
    </row>
    <row r="18" spans="1:103" x14ac:dyDescent="0.25">
      <c r="A18" s="176">
        <v>44652</v>
      </c>
      <c r="B18" s="177">
        <f>COUNTIFS(
    estq[empresa], B$6,
    estq[Data da venda / reserva], "&gt;=" &amp; $A18,
    estq[Data da venda / reserva], "&lt;"  &amp; EOMONTH($A18,0) + 1
)</f>
        <v>0</v>
      </c>
      <c r="C18" s="178">
        <f ca="1">SUMIFS(rec.uni[2022-04-01],
INDIRECT("rec.uni[natureza]"),"pro.soluto",
INDIRECT("rec.uni[empresa]"),C$6)</f>
        <v>0</v>
      </c>
      <c r="D18" s="178">
        <f ca="1">SUMIFS(rec.uni[2022-04-01],
INDIRECT("rec.uni[natureza]"),"repasse.cef.obra",
INDIRECT("rec.uni[empresa]"),D$6)</f>
        <v>0</v>
      </c>
      <c r="E18" s="178">
        <f ca="1">SUMIFS(rec.uni[2022-04-01],
INDIRECT("rec.uni[natureza]"),"repasse.cef.terreno",
INDIRECT("rec.uni[empresa]"),E$6)</f>
        <v>0</v>
      </c>
      <c r="F18" s="178">
        <v>0</v>
      </c>
      <c r="G18" s="178">
        <f ca="1">SUMIFS(rec.uni[2022-04-01],
INDIRECT("rec.uni[natureza]"),"taxa.extra",
INDIRECT("rec.uni[empresa]"),G$6)</f>
        <v>0</v>
      </c>
      <c r="H18" s="166"/>
      <c r="I18" s="178" cm="1">
        <f t="array" ref="I18">SUMPRODUCT(
  IFERROR(--desp[valor],0)*
  (desp[nucleo]="UP JARDIM PRUDENCIA")*
  (desp[categoria]=I$7)*
  (desp[data.pagamento]&gt;=$A18)*
  (desp[data.pagamento]&lt;EOMONTH($A18,0)+1)
)</f>
        <v>0</v>
      </c>
      <c r="J18" s="178" cm="1">
        <f t="array" ref="J18">SUMPRODUCT(
  IFERROR(--desp[valor],0)*
  (desp[nucleo]="UP JARDIM PRUDENCIA")*
  (desp[categoria]=J$7)*
  (desp[data.pagamento]&gt;=$A18)*
  (desp[data.pagamento]&lt;EOMONTH($A18,0)+1)
)</f>
        <v>0</v>
      </c>
      <c r="K18" s="178" cm="1">
        <f t="array" ref="K18">SUMPRODUCT(
  IFERROR(--desp[valor],0)*
  (desp[nucleo]="UP JARDIM PRUDENCIA")*
  (desp[categoria]=K$7)*
  (desp[data.pagamento]&gt;=$A18)*
  (desp[data.pagamento]&lt;EOMONTH($A18,0)+1)
)</f>
        <v>0</v>
      </c>
      <c r="L18" s="178" cm="1">
        <f t="array" ref="L18">SUMPRODUCT(
  IFERROR(--desp[valor],0)*
  (desp[nucleo]="UP JARDIM PRUDENCIA")*
  (desp[categoria]=L$7)*
  (desp[data.pagamento]&gt;=$A18)*
  (desp[data.pagamento]&lt;EOMONTH($A18,0)+1)
)</f>
        <v>0</v>
      </c>
      <c r="M18" s="179" cm="1">
        <f t="array" ref="M18">SUMPRODUCT(
  IFERROR(--desp[valor],0)*
  (desp[nucleo]="UP JARDIM PRUDENCIA")*
  (desp[categoria]=M$7)*
  (desp[data.pagamento]&gt;=$A18)*
  (desp[data.pagamento]&lt;EOMONTH($A18,0)+1)
)</f>
        <v>0</v>
      </c>
      <c r="N18" s="177">
        <f>COUNTIFS(
    estq[empresa], N$6,
    estq[Data da venda / reserva], "&gt;=" &amp; $A18,
    estq[Data da venda / reserva], "&lt;"  &amp; EOMONTH($A18,0) + 1
)</f>
        <v>0</v>
      </c>
      <c r="O18" s="178">
        <f ca="1">SUMIFS(rec.uni[2022-04-01],
INDIRECT("rec.uni[natureza]"),"pro.soluto",
INDIRECT("rec.uni[empresa]"),O$6)</f>
        <v>0</v>
      </c>
      <c r="P18" s="178">
        <f ca="1">SUMIFS(rec.uni[2022-04-01],
INDIRECT("rec.uni[natureza]"),"repasse.cef.obra",
INDIRECT("rec.uni[empresa]"),P$6)</f>
        <v>0</v>
      </c>
      <c r="Q18" s="178">
        <f ca="1">SUMIFS(rec.uni[2022-04-01],
INDIRECT("rec.uni[natureza]"),"repasse.cef.terreno",
INDIRECT("rec.uni[empresa]"),Q$6)</f>
        <v>0</v>
      </c>
      <c r="R18" s="178">
        <v>0</v>
      </c>
      <c r="S18" s="178">
        <f ca="1">SUMIFS(rec.uni[2022-04-01],
INDIRECT("rec.uni[natureza]"),"taxa.extra",
INDIRECT("rec.uni[empresa]"),S$6)</f>
        <v>0</v>
      </c>
      <c r="T18" s="166"/>
      <c r="U18" s="178" cm="1">
        <f t="array" ref="U18">SUMPRODUCT(
  IFERROR(--desp[valor],0)*
  (desp[nucleo]="UP VILA SONIA")*
  (desp[categoria]=U$7)*
  (desp[data.pagamento]&gt;=$A18)*
  (desp[data.pagamento]&lt;EOMONTH($A18,0)+1)
)</f>
        <v>0</v>
      </c>
      <c r="V18" s="178" cm="1">
        <f t="array" ref="V18">SUMPRODUCT(
  IFERROR(--desp[valor],0)*
  (desp[nucleo]="UP VILA SONIA")*
  (desp[categoria]=V$7)*
  (desp[data.pagamento]&gt;=$A18)*
  (desp[data.pagamento]&lt;EOMONTH($A18,0)+1)
)</f>
        <v>0</v>
      </c>
      <c r="W18" s="178" cm="1">
        <f t="array" ref="W18">SUMPRODUCT(
  IFERROR(--desp[valor],0)*
  (desp[nucleo]="UP VILA SONIA")*
  (desp[categoria]=W$7)*
  (desp[data.pagamento]&gt;=$A18)*
  (desp[data.pagamento]&lt;EOMONTH($A18,0)+1)
)</f>
        <v>0</v>
      </c>
      <c r="X18" s="178" cm="1">
        <f t="array" ref="X18">SUMPRODUCT(
  IFERROR(--desp[valor],0)*
  (desp[nucleo]="UP VILA SONIA")*
  (desp[categoria]=X$7)*
  (desp[data.pagamento]&gt;=$A18)*
  (desp[data.pagamento]&lt;EOMONTH($A18,0)+1)
)</f>
        <v>0</v>
      </c>
      <c r="Y18" s="179" cm="1">
        <f t="array" ref="Y18">SUMPRODUCT(
  IFERROR(--desp[valor],0)*
  (desp[nucleo]="UP VILA SONIA")*
  (desp[categoria]=Y$7)*
  (desp[data.pagamento]&gt;=$A18)*
  (desp[data.pagamento]&lt;EOMONTH($A18,0)+1)
)</f>
        <v>0</v>
      </c>
      <c r="Z18" s="177">
        <f>COUNTIFS(
    estq[empresa], Z$6,
    estq[Data da venda / reserva], "&gt;=" &amp; $A18,
    estq[Data da venda / reserva], "&lt;"  &amp; EOMONTH($A18,0) + 1
)</f>
        <v>0</v>
      </c>
      <c r="AA18" s="178">
        <f ca="1">SUMIFS(rec.uni[2022-04-01],
INDIRECT("rec.uni[natureza]"),"pro.soluto",
INDIRECT("rec.uni[empresa]"),AA$6)</f>
        <v>0</v>
      </c>
      <c r="AB18" s="178">
        <f ca="1">SUMIFS(rec.uni[2022-04-01],
INDIRECT("rec.uni[natureza]"),"pro.soluto",
INDIRECT("rec.uni[empresa]"),AB$6)</f>
        <v>0</v>
      </c>
      <c r="AC18" s="178">
        <f ca="1">SUMIFS(rec.uni[2022-04-01],
INDIRECT("rec.uni[natureza]"),"taxa.extra",
INDIRECT("rec.uni[empresa]"),AC$6)</f>
        <v>0</v>
      </c>
      <c r="AD18" s="166"/>
      <c r="AE18" s="178" cm="1">
        <f t="array" ref="AE18">SUMPRODUCT(
  IFERROR(--desp[valor],0)*
  (desp[nucleo]="UP CAMPO BELO")*
  (desp[categoria]=AE$7)*
  (desp[data.pagamento]&gt;=$A18)*
  (desp[data.pagamento]&lt;EOMONTH($A18,0)+1)
)</f>
        <v>0</v>
      </c>
      <c r="AF18" s="178" cm="1">
        <f t="array" ref="AF18">SUMPRODUCT(
  IFERROR(--desp[valor],0)*
  (desp[nucleo]="UP CAMPO BELO")*
  (desp[categoria]=AF$7)*
  (desp[data.pagamento]&gt;=$A18)*
  (desp[data.pagamento]&lt;EOMONTH($A18,0)+1)
)</f>
        <v>0</v>
      </c>
      <c r="AG18" s="178" cm="1">
        <f t="array" ref="AG18">SUMPRODUCT(
  IFERROR(--desp[valor],0)*
  (desp[nucleo]="UP CAMPO BELO")*
  (desp[categoria]=AG$7)*
  (desp[data.pagamento]&gt;=$A18)*
  (desp[data.pagamento]&lt;EOMONTH($A18,0)+1)
)</f>
        <v>0</v>
      </c>
      <c r="AH18" s="178" cm="1">
        <f t="array" ref="AH18">SUMPRODUCT(
  IFERROR(--desp[valor],0)*
  (desp[nucleo]="UP CAMPO BELO")*
  (desp[categoria]=AH$7)*
  (desp[data.pagamento]&gt;=$A18)*
  (desp[data.pagamento]&lt;EOMONTH($A18,0)+1)
)</f>
        <v>0</v>
      </c>
      <c r="AI18" s="179" cm="1">
        <f t="array" ref="AI18">SUMPRODUCT(
  IFERROR(--desp[valor],0)*
  (desp[nucleo]="UP CAMPO BELO")*
  (desp[categoria]=AI$7)*
  (desp[data.pagamento]&gt;=$A18)*
  (desp[data.pagamento]&lt;EOMONTH($A18,0)+1)
)</f>
        <v>0</v>
      </c>
      <c r="AJ18" s="177">
        <f>COUNTIFS(
    estq[empresa], AJ$6,
    estq[Data da venda / reserva], "&gt;=" &amp; $A18,
    estq[Data da venda / reserva], "&lt;"  &amp; EOMONTH($A18,0) + 1
)</f>
        <v>0</v>
      </c>
      <c r="AK18" s="178">
        <f ca="1">SUMIFS(rec.uni[2022-04-01],
INDIRECT("rec.uni[natureza]"),"pro.soluto",
INDIRECT("rec.uni[empresa]"),AK$6)</f>
        <v>0</v>
      </c>
      <c r="AL18" s="178">
        <f ca="1">SUMIFS(rec.uni[2022-04-01],
INDIRECT("rec.uni[natureza]"),"repasse.cef.obra",
INDIRECT("rec.uni[empresa]"),AL$6)</f>
        <v>0</v>
      </c>
      <c r="AM18" s="178">
        <f ca="1">SUMIFS(rec.uni[2022-04-01],
INDIRECT("rec.uni[natureza]"),"repasse.cef.terreno",
INDIRECT("rec.uni[empresa]"),AM$6)</f>
        <v>0</v>
      </c>
      <c r="AN18" s="178">
        <v>0</v>
      </c>
      <c r="AO18" s="178">
        <f ca="1">SUMIFS(rec.uni[2022-04-01],
INDIRECT("rec.uni[natureza]"),"taxa.extra",
INDIRECT("rec.uni[empresa]"),AO$6)</f>
        <v>0</v>
      </c>
      <c r="AP18" s="166"/>
      <c r="AQ18" s="178" cm="1">
        <f t="array" ref="AQ18">SUMPRODUCT(
  IFERROR(--desp[valor],0)*
  (desp[nucleo]="UP SELECT VILA SONIA")*
  (desp[categoria]=AQ$7)*
  (desp[data.pagamento]&gt;=$A18)*
  (desp[data.pagamento]&lt;EOMONTH($A18,0)+1)
)</f>
        <v>0</v>
      </c>
      <c r="AR18" s="178" cm="1">
        <f t="array" ref="AR18">SUMPRODUCT(
  IFERROR(--desp[valor],0)*
  (desp[nucleo]="UP SELECT VILA SONIA")*
  (desp[categoria]=AR$7)*
  (desp[data.pagamento]&gt;=$A18)*
  (desp[data.pagamento]&lt;EOMONTH($A18,0)+1)
)</f>
        <v>0</v>
      </c>
      <c r="AS18" s="178" cm="1">
        <f t="array" ref="AS18">SUMPRODUCT(
  IFERROR(--desp[valor],0)*
  (desp[nucleo]="UP SELECT VILA SONIA")*
  (desp[categoria]=AS$7)*
  (desp[data.pagamento]&gt;=$A18)*
  (desp[data.pagamento]&lt;EOMONTH($A18,0)+1)
)</f>
        <v>0</v>
      </c>
      <c r="AT18" s="178" cm="1">
        <f t="array" ref="AT18">SUMPRODUCT(
  IFERROR(--desp[valor],0)*
  (desp[nucleo]="UP SELECT VILA SONIA")*
  (desp[categoria]=AT$7)*
  (desp[data.pagamento]&gt;=$A18)*
  (desp[data.pagamento]&lt;EOMONTH($A18,0)+1)
)</f>
        <v>0</v>
      </c>
      <c r="AU18" s="179" cm="1">
        <f t="array" ref="AU18">SUMPRODUCT(
  IFERROR(--desp[valor],0)*
  (desp[nucleo]="UP SELECT VILA SONIA")*
  (desp[categoria]=AU$7)*
  (desp[data.pagamento]&gt;=$A18)*
  (desp[data.pagamento]&lt;EOMONTH($A18,0)+1)
)</f>
        <v>0</v>
      </c>
      <c r="AV18" s="177">
        <f>COUNTIFS(
    estq[empresa], AV$6,
    estq[Data da venda / reserva], "&gt;=" &amp; $A18,
    estq[Data da venda / reserva], "&lt;"  &amp; EOMONTH($A18,0) + 1
)</f>
        <v>0</v>
      </c>
      <c r="AW18" s="178">
        <f ca="1">SUMIFS(rec.uni[2022-04-01],
INDIRECT("rec.uni[natureza]"),"pro.soluto",
INDIRECT("rec.uni[empresa]"),AW$6)</f>
        <v>0</v>
      </c>
      <c r="AX18" s="178">
        <f ca="1">SUMIFS(rec.uni[2022-04-01],
INDIRECT("rec.uni[natureza]"),"repasse.cef.obra",
INDIRECT("rec.uni[empresa]"),AX$6)</f>
        <v>0</v>
      </c>
      <c r="AY18" s="178">
        <f ca="1">SUMIFS(rec.uni[2022-04-01],
INDIRECT("rec.uni[natureza]"),"repasse.cef.terreno",
INDIRECT("rec.uni[empresa]"),AY$6)</f>
        <v>0</v>
      </c>
      <c r="AZ18" s="178">
        <v>0</v>
      </c>
      <c r="BA18" s="178">
        <f ca="1">SUMIFS(rec.uni[2022-04-01],
INDIRECT("rec.uni[natureza]"),"taxa.extra",
INDIRECT("rec.uni[empresa]"),BA$6)</f>
        <v>0</v>
      </c>
      <c r="BB18" s="166"/>
      <c r="BC18" s="178" cm="1">
        <f t="array" ref="BC18">SUMPRODUCT(
  IFERROR(--desp[valor],0)*
  (desp[nucleo]="UP ESTAÇÃO SÃO LUCAS")*
  (desp[categoria]=BC$7)*
  (desp[data.pagamento]&gt;=$A18)*
  (desp[data.pagamento]&lt;EOMONTH($A18,0)+1)
)</f>
        <v>0</v>
      </c>
      <c r="BD18" s="178" cm="1">
        <f t="array" ref="BD18">SUMPRODUCT(
  IFERROR(--desp[valor],0)*
  (desp[nucleo]="UP ESTAÇÃO SÃO LUCAS")*
  (desp[categoria]=BD$7)*
  (desp[data.pagamento]&gt;=$A18)*
  (desp[data.pagamento]&lt;EOMONTH($A18,0)+1)
)</f>
        <v>0</v>
      </c>
      <c r="BE18" s="178" cm="1">
        <f t="array" ref="BE18">SUMPRODUCT(
  IFERROR(--desp[valor],0)*
  (desp[nucleo]="UP ESTAÇÃO SÃO LUCAS")*
  (desp[categoria]=BE$7)*
  (desp[data.pagamento]&gt;=$A18)*
  (desp[data.pagamento]&lt;EOMONTH($A18,0)+1)
)</f>
        <v>0</v>
      </c>
      <c r="BF18" s="178" cm="1">
        <f t="array" ref="BF18">SUMPRODUCT(
  IFERROR(--desp[valor],0)*
  (desp[nucleo]="UP ESTAÇÃO SÃO LUCAS")*
  (desp[categoria]=BF$7)*
  (desp[data.pagamento]&gt;=$A18)*
  (desp[data.pagamento]&lt;EOMONTH($A18,0)+1)
)</f>
        <v>0</v>
      </c>
      <c r="BG18" s="179" cm="1">
        <f t="array" ref="BG18">SUMPRODUCT(
  IFERROR(--desp[valor],0)*
  (desp[nucleo]="UP ESTAÇÃO SÃO LUCAS")*
  (desp[categoria]=BG$7)*
  (desp[data.pagamento]&gt;=$A18)*
  (desp[data.pagamento]&lt;EOMONTH($A18,0)+1)
)</f>
        <v>0</v>
      </c>
      <c r="BH18" s="177">
        <f>COUNTIFS(
    estq[empresa], BH$6,
    estq[Data da venda / reserva], "&gt;=" &amp; $A18,
    estq[Data da venda / reserva], "&lt;"  &amp; EOMONTH($A18,0) + 1
)</f>
        <v>0</v>
      </c>
      <c r="BI18" s="178">
        <f ca="1">SUMIFS(rec.uni[2022-04-01],
INDIRECT("rec.uni[natureza]"),"pro.soluto",
INDIRECT("rec.uni[empresa]"),BI$6)</f>
        <v>0</v>
      </c>
      <c r="BJ18" s="166">
        <v>0</v>
      </c>
      <c r="BK18" s="178">
        <f ca="1">SUMIFS(rec.uni[2022-04-01],
INDIRECT("rec.uni[natureza]"),"taxa.extra",
INDIRECT("rec.uni[empresa]"),BK$6)</f>
        <v>0</v>
      </c>
      <c r="BL18" s="166"/>
      <c r="BM18" s="178" cm="1">
        <f t="array" ref="BM18">SUMPRODUCT(
  IFERROR(--desp[valor],0)*
  (desp[nucleo]="UP POMPEIA")*
  (desp[categoria]=BM$7)*
  (desp[data.pagamento]&gt;=$A18)*
  (desp[data.pagamento]&lt;EOMONTH($A18,0)+1)
)</f>
        <v>0</v>
      </c>
      <c r="BN18" s="178" cm="1">
        <f t="array" ref="BN18">SUMPRODUCT(
  IFERROR(--desp[valor],0)*
  (desp[nucleo]="UP POMPEIA")*
  (desp[categoria]=BN$7)*
  (desp[data.pagamento]&gt;=$A18)*
  (desp[data.pagamento]&lt;EOMONTH($A18,0)+1)
)</f>
        <v>0</v>
      </c>
      <c r="BO18" s="178" cm="1">
        <f t="array" ref="BO18">SUMPRODUCT(
  IFERROR(--desp[valor],0)*
  (desp[nucleo]="UP POMPEIA")*
  (desp[categoria]=BO$7)*
  (desp[data.pagamento]&gt;=$A18)*
  (desp[data.pagamento]&lt;EOMONTH($A18,0)+1)
)</f>
        <v>0</v>
      </c>
      <c r="BP18" s="178" cm="1">
        <f t="array" ref="BP18">SUMPRODUCT(
  IFERROR(--desp[valor],0)*
  (desp[nucleo]="UP POMPEIA")*
  (desp[categoria]=BP$7)*
  (desp[data.pagamento]&gt;=$A18)*
  (desp[data.pagamento]&lt;EOMONTH($A18,0)+1)
)</f>
        <v>0</v>
      </c>
      <c r="BQ18" s="179" cm="1">
        <f t="array" ref="BQ18">SUMPRODUCT(
  IFERROR(--desp[valor],0)*
  (desp[nucleo]="UP POMPEIA")*
  (desp[categoria]=BQ$7)*
  (desp[data.pagamento]&gt;=$A18)*
  (desp[data.pagamento]&lt;EOMONTH($A18,0)+1)
)</f>
        <v>0</v>
      </c>
      <c r="BR18" s="177">
        <f>COUNTIFS(
    estq[empresa], BR$6,
    estq[Data da venda / reserva], "&gt;=" &amp; $A18,
    estq[Data da venda / reserva], "&lt;"  &amp; EOMONTH($A18,0) + 1
)</f>
        <v>0</v>
      </c>
      <c r="BS18" s="178">
        <f ca="1">SUMIFS(rec.uni[2022-04-01],
INDIRECT("rec.uni[natureza]"),"pro.soluto",
INDIRECT("rec.uni[empresa]"),BS$6)</f>
        <v>0</v>
      </c>
      <c r="BT18" s="178">
        <f ca="1">SUMIFS(rec.uni[2022-04-01],
INDIRECT("rec.uni[natureza]"),"pro.soluto",
INDIRECT("rec.uni[empresa]"),BT$6)</f>
        <v>0</v>
      </c>
      <c r="BU18" s="178">
        <f ca="1">SUMIFS(rec.uni[2022-04-01],
INDIRECT("rec.uni[natureza]"),"taxa.extra",
INDIRECT("rec.uni[empresa]"),BU$6)</f>
        <v>0</v>
      </c>
      <c r="BV18" s="166"/>
      <c r="BW18" s="178" cm="1">
        <f t="array" ref="BW18">SUMPRODUCT(
  IFERROR(--desp[valor],0)*
  (desp[nucleo]="UP SAUDE")*
  (desp[categoria]=BW$7)*
  (desp[data.pagamento]&gt;=$A18)*
  (desp[data.pagamento]&lt;EOMONTH($A18,0)+1)
)</f>
        <v>0</v>
      </c>
      <c r="BX18" s="178" cm="1">
        <f t="array" ref="BX18">SUMPRODUCT(
  IFERROR(--desp[valor],0)*
  (desp[nucleo]="UP SAUDE")*
  (desp[categoria]=BX$7)*
  (desp[data.pagamento]&gt;=$A18)*
  (desp[data.pagamento]&lt;EOMONTH($A18,0)+1)
)</f>
        <v>0</v>
      </c>
      <c r="BY18" s="178" cm="1">
        <f t="array" ref="BY18">SUMPRODUCT(
  IFERROR(--desp[valor],0)*
  (desp[nucleo]="UP SAUDE")*
  (desp[categoria]=BY$7)*
  (desp[data.pagamento]&gt;=$A18)*
  (desp[data.pagamento]&lt;EOMONTH($A18,0)+1)
)</f>
        <v>0</v>
      </c>
      <c r="BZ18" s="178" cm="1">
        <f t="array" ref="BZ18">SUMPRODUCT(
  IFERROR(--desp[valor],0)*
  (desp[nucleo]="UP SAUDE")*
  (desp[categoria]=BZ$7)*
  (desp[data.pagamento]&gt;=$A18)*
  (desp[data.pagamento]&lt;EOMONTH($A18,0)+1)
)</f>
        <v>0</v>
      </c>
      <c r="CA18" s="179" cm="1">
        <f t="array" ref="CA18">SUMPRODUCT(
  IFERROR(--desp[valor],0)*
  (desp[nucleo]="UP SAUDE")*
  (desp[categoria]=CA$7)*
  (desp[data.pagamento]&gt;=$A18)*
  (desp[data.pagamento]&lt;EOMONTH($A18,0)+1)
)</f>
        <v>0</v>
      </c>
      <c r="CB18" s="177">
        <f>COUNTIFS(
    estq[empresa], CB$6,
    estq[Data da venda / reserva], "&gt;=" &amp; $A18,
    estq[Data da venda / reserva], "&lt;"  &amp; EOMONTH($A18,0) + 1
)</f>
        <v>0</v>
      </c>
      <c r="CC18" s="178">
        <f ca="1">SUMIFS(rec.uni[2022-04-01],
INDIRECT("rec.uni[natureza]"),"pro.soluto",
INDIRECT("rec.uni[empresa]"),CC$6)</f>
        <v>0</v>
      </c>
      <c r="CD18" s="178">
        <f ca="1">SUMIFS(rec.uni[2022-04-01],
INDIRECT("rec.uni[natureza]"),"repasse.cef.obra",
INDIRECT("rec.uni[empresa]"),CD$6)</f>
        <v>0</v>
      </c>
      <c r="CE18" s="178">
        <f ca="1">SUMIFS(rec.uni[2022-04-01],
INDIRECT("rec.uni[natureza]"),"repasse.cef.terreno",
INDIRECT("rec.uni[empresa]"),CE$6)</f>
        <v>0</v>
      </c>
      <c r="CF18" s="178">
        <v>0</v>
      </c>
      <c r="CG18" s="178">
        <f ca="1">SUMIFS(rec.uni[2022-04-01],
INDIRECT("rec.uni[natureza]"),"taxa.extra",
INDIRECT("rec.uni[empresa]"),CG$6)</f>
        <v>0</v>
      </c>
      <c r="CH18" s="166"/>
      <c r="CI18" s="178" cm="1">
        <f t="array" ref="CI18">SUMPRODUCT(
  IFERROR(--desp[valor],0)*
  (desp[nucleo]="UP ESTAÇÃO VILA SONIA")*
  (desp[categoria]=CI$7)*
  (desp[data.pagamento]&gt;=$A18)*
  (desp[data.pagamento]&lt;EOMONTH($A18,0)+1)
)</f>
        <v>0</v>
      </c>
      <c r="CJ18" s="178" cm="1">
        <f t="array" ref="CJ18">SUMPRODUCT(
  IFERROR(--desp[valor],0)*
  (desp[nucleo]="UP ESTAÇÃO VILA SONIA")*
  (desp[categoria]=CJ$7)*
  (desp[data.pagamento]&gt;=$A18)*
  (desp[data.pagamento]&lt;EOMONTH($A18,0)+1)
)</f>
        <v>0</v>
      </c>
      <c r="CK18" s="178" cm="1">
        <f t="array" ref="CK18">SUMPRODUCT(
  IFERROR(--desp[valor],0)*
  (desp[nucleo]="UP ESTAÇÃO VILA SONIA")*
  (desp[categoria]=CK$7)*
  (desp[data.pagamento]&gt;=$A18)*
  (desp[data.pagamento]&lt;EOMONTH($A18,0)+1)
)</f>
        <v>0</v>
      </c>
      <c r="CL18" s="178" cm="1">
        <f t="array" ref="CL18">SUMPRODUCT(
  IFERROR(--desp[valor],0)*
  (desp[nucleo]="UP ESTAÇÃO VILA SONIA")*
  (desp[categoria]=CL$7)*
  (desp[data.pagamento]&gt;=$A18)*
  (desp[data.pagamento]&lt;EOMONTH($A18,0)+1)
)</f>
        <v>0</v>
      </c>
      <c r="CM18" s="179" cm="1">
        <f t="array" ref="CM18">SUMPRODUCT(
  IFERROR(--desp[valor],0)*
  (desp[nucleo]="UP ESTAÇÃO VILA SONIA")*
  (desp[categoria]=CM$7)*
  (desp[data.pagamento]&gt;=$A18)*
  (desp[data.pagamento]&lt;EOMONTH($A18,0)+1)
)</f>
        <v>0</v>
      </c>
      <c r="CN18" s="177">
        <f>COUNTIFS(
    estq[empresa], CN$6,
    estq[Data da venda / reserva], "&gt;=" &amp; $A18,
    estq[Data da venda / reserva], "&lt;"  &amp; EOMONTH($A18,0) + 1
)</f>
        <v>0</v>
      </c>
      <c r="CO18" s="178">
        <f ca="1">SUMIFS(rec.uni[2022-04-01],
INDIRECT("rec.uni[natureza]"),"pro.soluto",
INDIRECT("rec.uni[empresa]"),CO$6)</f>
        <v>0</v>
      </c>
      <c r="CP18" s="178">
        <f ca="1">SUMIFS(rec.uni[2022-04-01],
INDIRECT("rec.uni[natureza]"),"repasse.cef.obra",
INDIRECT("rec.uni[empresa]"),CP$6)</f>
        <v>0</v>
      </c>
      <c r="CQ18" s="178">
        <f ca="1">SUMIFS(rec.uni[2022-04-01],
INDIRECT("rec.uni[natureza]"),"repasse.cef.terreno",
INDIRECT("rec.uni[empresa]"),CQ$6)</f>
        <v>0</v>
      </c>
      <c r="CR18" s="178">
        <v>0</v>
      </c>
      <c r="CS18" s="178">
        <f ca="1">SUMIFS(rec.uni[2022-04-01],
INDIRECT("rec.uni[natureza]"),"taxa.extra",
INDIRECT("rec.uni[empresa]"),CS$6)</f>
        <v>0</v>
      </c>
      <c r="CT18" s="166"/>
      <c r="CU18" s="178" cm="1">
        <f t="array" ref="CU18">SUMPRODUCT(
  IFERROR(--desp[valor],0)*
  (desp[nucleo]="UP MOVE VILA SONIA")*
  (desp[categoria]=CU$7)*
  (desp[data.pagamento]&gt;=$A18)*
  (desp[data.pagamento]&lt;EOMONTH($A18,0)+1)
)</f>
        <v>0</v>
      </c>
      <c r="CV18" s="178" cm="1">
        <f t="array" ref="CV18">SUMPRODUCT(
  IFERROR(--desp[valor],0)*
  (desp[nucleo]="UP MOVE VILA SONIA")*
  (desp[categoria]=CV$7)*
  (desp[data.pagamento]&gt;=$A18)*
  (desp[data.pagamento]&lt;EOMONTH($A18,0)+1)
)</f>
        <v>0</v>
      </c>
      <c r="CW18" s="178" cm="1">
        <f t="array" ref="CW18">SUMPRODUCT(
  IFERROR(--desp[valor],0)*
  (desp[nucleo]="UP MOVE VILA SONIA")*
  (desp[categoria]=CW$7)*
  (desp[data.pagamento]&gt;=$A18)*
  (desp[data.pagamento]&lt;EOMONTH($A18,0)+1)
)</f>
        <v>0</v>
      </c>
      <c r="CX18" s="178" cm="1">
        <f t="array" ref="CX18">SUMPRODUCT(
  IFERROR(--desp[valor],0)*
  (desp[nucleo]="UP MOVE VILA SONIA")*
  (desp[categoria]=CX$7)*
  (desp[data.pagamento]&gt;=$A18)*
  (desp[data.pagamento]&lt;EOMONTH($A18,0)+1)
)</f>
        <v>0</v>
      </c>
      <c r="CY18" s="180" cm="1">
        <f t="array" ref="CY18">SUMPRODUCT(
  IFERROR(--desp[valor],0)*
  (desp[nucleo]="UP MOVE VILA SONIA")*
  (desp[categoria]=CY$7)*
  (desp[data.pagamento]&gt;=$A18)*
  (desp[data.pagamento]&lt;EOMONTH($A18,0)+1)
)</f>
        <v>0</v>
      </c>
    </row>
    <row r="19" spans="1:103" x14ac:dyDescent="0.25">
      <c r="A19" s="176">
        <v>44682</v>
      </c>
      <c r="B19" s="177">
        <f>COUNTIFS(
    estq[empresa], B$6,
    estq[Data da venda / reserva], "&gt;=" &amp; $A19,
    estq[Data da venda / reserva], "&lt;"  &amp; EOMONTH($A19,0) + 1
)</f>
        <v>0</v>
      </c>
      <c r="C19" s="178">
        <f ca="1">SUMIFS(rec.uni[2022-05-01],
INDIRECT("rec.uni[natureza]"),"pro.soluto",
INDIRECT("rec.uni[empresa]"),C$6)</f>
        <v>0</v>
      </c>
      <c r="D19" s="178">
        <f ca="1">SUMIFS(rec.uni[2022-05-01],
INDIRECT("rec.uni[natureza]"),"repasse.cef.obra",
INDIRECT("rec.uni[empresa]"),D$6)</f>
        <v>0</v>
      </c>
      <c r="E19" s="178">
        <f ca="1">SUMIFS(rec.uni[2022-05-01],
INDIRECT("rec.uni[natureza]"),"repasse.cef.terreno",
INDIRECT("rec.uni[empresa]"),E$6)</f>
        <v>0</v>
      </c>
      <c r="F19" s="178">
        <v>0</v>
      </c>
      <c r="G19" s="178">
        <f ca="1">SUMIFS(rec.uni[2022-05-01],
INDIRECT("rec.uni[natureza]"),"taxa.extra",
INDIRECT("rec.uni[empresa]"),G$6)</f>
        <v>0</v>
      </c>
      <c r="H19" s="166"/>
      <c r="I19" s="178" cm="1">
        <f t="array" ref="I19">SUMPRODUCT(
  IFERROR(--desp[valor],0)*
  (desp[nucleo]="UP JARDIM PRUDENCIA")*
  (desp[categoria]=I$7)*
  (desp[data.pagamento]&gt;=$A19)*
  (desp[data.pagamento]&lt;EOMONTH($A19,0)+1)
)</f>
        <v>0</v>
      </c>
      <c r="J19" s="178" cm="1">
        <f t="array" ref="J19">SUMPRODUCT(
  IFERROR(--desp[valor],0)*
  (desp[nucleo]="UP JARDIM PRUDENCIA")*
  (desp[categoria]=J$7)*
  (desp[data.pagamento]&gt;=$A19)*
  (desp[data.pagamento]&lt;EOMONTH($A19,0)+1)
)</f>
        <v>0</v>
      </c>
      <c r="K19" s="178" cm="1">
        <f t="array" ref="K19">SUMPRODUCT(
  IFERROR(--desp[valor],0)*
  (desp[nucleo]="UP JARDIM PRUDENCIA")*
  (desp[categoria]=K$7)*
  (desp[data.pagamento]&gt;=$A19)*
  (desp[data.pagamento]&lt;EOMONTH($A19,0)+1)
)</f>
        <v>0</v>
      </c>
      <c r="L19" s="178" cm="1">
        <f t="array" ref="L19">SUMPRODUCT(
  IFERROR(--desp[valor],0)*
  (desp[nucleo]="UP JARDIM PRUDENCIA")*
  (desp[categoria]=L$7)*
  (desp[data.pagamento]&gt;=$A19)*
  (desp[data.pagamento]&lt;EOMONTH($A19,0)+1)
)</f>
        <v>0</v>
      </c>
      <c r="M19" s="179" cm="1">
        <f t="array" ref="M19">SUMPRODUCT(
  IFERROR(--desp[valor],0)*
  (desp[nucleo]="UP JARDIM PRUDENCIA")*
  (desp[categoria]=M$7)*
  (desp[data.pagamento]&gt;=$A19)*
  (desp[data.pagamento]&lt;EOMONTH($A19,0)+1)
)</f>
        <v>0</v>
      </c>
      <c r="N19" s="177">
        <f>COUNTIFS(
    estq[empresa], N$6,
    estq[Data da venda / reserva], "&gt;=" &amp; $A19,
    estq[Data da venda / reserva], "&lt;"  &amp; EOMONTH($A19,0) + 1
)</f>
        <v>0</v>
      </c>
      <c r="O19" s="178">
        <f ca="1">SUMIFS(rec.uni[2022-05-01],
INDIRECT("rec.uni[natureza]"),"pro.soluto",
INDIRECT("rec.uni[empresa]"),O$6)</f>
        <v>0</v>
      </c>
      <c r="P19" s="178">
        <f ca="1">SUMIFS(rec.uni[2022-05-01],
INDIRECT("rec.uni[natureza]"),"repasse.cef.obra",
INDIRECT("rec.uni[empresa]"),P$6)</f>
        <v>0</v>
      </c>
      <c r="Q19" s="178">
        <f ca="1">SUMIFS(rec.uni[2022-05-01],
INDIRECT("rec.uni[natureza]"),"repasse.cef.terreno",
INDIRECT("rec.uni[empresa]"),Q$6)</f>
        <v>0</v>
      </c>
      <c r="R19" s="178">
        <v>0</v>
      </c>
      <c r="S19" s="178">
        <f ca="1">SUMIFS(rec.uni[2022-05-01],
INDIRECT("rec.uni[natureza]"),"taxa.extra",
INDIRECT("rec.uni[empresa]"),S$6)</f>
        <v>0</v>
      </c>
      <c r="T19" s="166"/>
      <c r="U19" s="178" cm="1">
        <f t="array" ref="U19">SUMPRODUCT(
  IFERROR(--desp[valor],0)*
  (desp[nucleo]="UP VILA SONIA")*
  (desp[categoria]=U$7)*
  (desp[data.pagamento]&gt;=$A19)*
  (desp[data.pagamento]&lt;EOMONTH($A19,0)+1)
)</f>
        <v>0</v>
      </c>
      <c r="V19" s="178" cm="1">
        <f t="array" ref="V19">SUMPRODUCT(
  IFERROR(--desp[valor],0)*
  (desp[nucleo]="UP VILA SONIA")*
  (desp[categoria]=V$7)*
  (desp[data.pagamento]&gt;=$A19)*
  (desp[data.pagamento]&lt;EOMONTH($A19,0)+1)
)</f>
        <v>0</v>
      </c>
      <c r="W19" s="178" cm="1">
        <f t="array" ref="W19">SUMPRODUCT(
  IFERROR(--desp[valor],0)*
  (desp[nucleo]="UP VILA SONIA")*
  (desp[categoria]=W$7)*
  (desp[data.pagamento]&gt;=$A19)*
  (desp[data.pagamento]&lt;EOMONTH($A19,0)+1)
)</f>
        <v>0</v>
      </c>
      <c r="X19" s="178" cm="1">
        <f t="array" ref="X19">SUMPRODUCT(
  IFERROR(--desp[valor],0)*
  (desp[nucleo]="UP VILA SONIA")*
  (desp[categoria]=X$7)*
  (desp[data.pagamento]&gt;=$A19)*
  (desp[data.pagamento]&lt;EOMONTH($A19,0)+1)
)</f>
        <v>0</v>
      </c>
      <c r="Y19" s="179" cm="1">
        <f t="array" ref="Y19">SUMPRODUCT(
  IFERROR(--desp[valor],0)*
  (desp[nucleo]="UP VILA SONIA")*
  (desp[categoria]=Y$7)*
  (desp[data.pagamento]&gt;=$A19)*
  (desp[data.pagamento]&lt;EOMONTH($A19,0)+1)
)</f>
        <v>0</v>
      </c>
      <c r="Z19" s="177">
        <f>COUNTIFS(
    estq[empresa], Z$6,
    estq[Data da venda / reserva], "&gt;=" &amp; $A19,
    estq[Data da venda / reserva], "&lt;"  &amp; EOMONTH($A19,0) + 1
)</f>
        <v>0</v>
      </c>
      <c r="AA19" s="178">
        <f ca="1">SUMIFS(rec.uni[2022-05-01],
INDIRECT("rec.uni[natureza]"),"pro.soluto",
INDIRECT("rec.uni[empresa]"),AA$6)</f>
        <v>0</v>
      </c>
      <c r="AB19" s="178">
        <f ca="1">SUMIFS(rec.uni[2022-05-01],
INDIRECT("rec.uni[natureza]"),"pro.soluto",
INDIRECT("rec.uni[empresa]"),AB$6)</f>
        <v>0</v>
      </c>
      <c r="AC19" s="178">
        <f ca="1">SUMIFS(rec.uni[2022-05-01],
INDIRECT("rec.uni[natureza]"),"taxa.extra",
INDIRECT("rec.uni[empresa]"),AC$6)</f>
        <v>0</v>
      </c>
      <c r="AD19" s="166"/>
      <c r="AE19" s="178" cm="1">
        <f t="array" ref="AE19">SUMPRODUCT(
  IFERROR(--desp[valor],0)*
  (desp[nucleo]="UP CAMPO BELO")*
  (desp[categoria]=AE$7)*
  (desp[data.pagamento]&gt;=$A19)*
  (desp[data.pagamento]&lt;EOMONTH($A19,0)+1)
)</f>
        <v>0</v>
      </c>
      <c r="AF19" s="178" cm="1">
        <f t="array" ref="AF19">SUMPRODUCT(
  IFERROR(--desp[valor],0)*
  (desp[nucleo]="UP CAMPO BELO")*
  (desp[categoria]=AF$7)*
  (desp[data.pagamento]&gt;=$A19)*
  (desp[data.pagamento]&lt;EOMONTH($A19,0)+1)
)</f>
        <v>0</v>
      </c>
      <c r="AG19" s="178" cm="1">
        <f t="array" ref="AG19">SUMPRODUCT(
  IFERROR(--desp[valor],0)*
  (desp[nucleo]="UP CAMPO BELO")*
  (desp[categoria]=AG$7)*
  (desp[data.pagamento]&gt;=$A19)*
  (desp[data.pagamento]&lt;EOMONTH($A19,0)+1)
)</f>
        <v>0</v>
      </c>
      <c r="AH19" s="178" cm="1">
        <f t="array" ref="AH19">SUMPRODUCT(
  IFERROR(--desp[valor],0)*
  (desp[nucleo]="UP CAMPO BELO")*
  (desp[categoria]=AH$7)*
  (desp[data.pagamento]&gt;=$A19)*
  (desp[data.pagamento]&lt;EOMONTH($A19,0)+1)
)</f>
        <v>0</v>
      </c>
      <c r="AI19" s="179" cm="1">
        <f t="array" ref="AI19">SUMPRODUCT(
  IFERROR(--desp[valor],0)*
  (desp[nucleo]="UP CAMPO BELO")*
  (desp[categoria]=AI$7)*
  (desp[data.pagamento]&gt;=$A19)*
  (desp[data.pagamento]&lt;EOMONTH($A19,0)+1)
)</f>
        <v>0</v>
      </c>
      <c r="AJ19" s="177">
        <f>COUNTIFS(
    estq[empresa], AJ$6,
    estq[Data da venda / reserva], "&gt;=" &amp; $A19,
    estq[Data da venda / reserva], "&lt;"  &amp; EOMONTH($A19,0) + 1
)</f>
        <v>0</v>
      </c>
      <c r="AK19" s="178">
        <f ca="1">SUMIFS(rec.uni[2022-05-01],
INDIRECT("rec.uni[natureza]"),"pro.soluto",
INDIRECT("rec.uni[empresa]"),AK$6)</f>
        <v>0</v>
      </c>
      <c r="AL19" s="178">
        <f ca="1">SUMIFS(rec.uni[2022-05-01],
INDIRECT("rec.uni[natureza]"),"repasse.cef.obra",
INDIRECT("rec.uni[empresa]"),AL$6)</f>
        <v>0</v>
      </c>
      <c r="AM19" s="178">
        <f ca="1">SUMIFS(rec.uni[2022-05-01],
INDIRECT("rec.uni[natureza]"),"repasse.cef.terreno",
INDIRECT("rec.uni[empresa]"),AM$6)</f>
        <v>0</v>
      </c>
      <c r="AN19" s="178">
        <v>0</v>
      </c>
      <c r="AO19" s="178">
        <f ca="1">SUMIFS(rec.uni[2022-05-01],
INDIRECT("rec.uni[natureza]"),"taxa.extra",
INDIRECT("rec.uni[empresa]"),AO$6)</f>
        <v>0</v>
      </c>
      <c r="AP19" s="166"/>
      <c r="AQ19" s="178" cm="1">
        <f t="array" ref="AQ19">SUMPRODUCT(
  IFERROR(--desp[valor],0)*
  (desp[nucleo]="UP SELECT VILA SONIA")*
  (desp[categoria]=AQ$7)*
  (desp[data.pagamento]&gt;=$A19)*
  (desp[data.pagamento]&lt;EOMONTH($A19,0)+1)
)</f>
        <v>0</v>
      </c>
      <c r="AR19" s="178" cm="1">
        <f t="array" ref="AR19">SUMPRODUCT(
  IFERROR(--desp[valor],0)*
  (desp[nucleo]="UP SELECT VILA SONIA")*
  (desp[categoria]=AR$7)*
  (desp[data.pagamento]&gt;=$A19)*
  (desp[data.pagamento]&lt;EOMONTH($A19,0)+1)
)</f>
        <v>0</v>
      </c>
      <c r="AS19" s="178" cm="1">
        <f t="array" ref="AS19">SUMPRODUCT(
  IFERROR(--desp[valor],0)*
  (desp[nucleo]="UP SELECT VILA SONIA")*
  (desp[categoria]=AS$7)*
  (desp[data.pagamento]&gt;=$A19)*
  (desp[data.pagamento]&lt;EOMONTH($A19,0)+1)
)</f>
        <v>0</v>
      </c>
      <c r="AT19" s="178" cm="1">
        <f t="array" ref="AT19">SUMPRODUCT(
  IFERROR(--desp[valor],0)*
  (desp[nucleo]="UP SELECT VILA SONIA")*
  (desp[categoria]=AT$7)*
  (desp[data.pagamento]&gt;=$A19)*
  (desp[data.pagamento]&lt;EOMONTH($A19,0)+1)
)</f>
        <v>0</v>
      </c>
      <c r="AU19" s="179" cm="1">
        <f t="array" ref="AU19">SUMPRODUCT(
  IFERROR(--desp[valor],0)*
  (desp[nucleo]="UP SELECT VILA SONIA")*
  (desp[categoria]=AU$7)*
  (desp[data.pagamento]&gt;=$A19)*
  (desp[data.pagamento]&lt;EOMONTH($A19,0)+1)
)</f>
        <v>0</v>
      </c>
      <c r="AV19" s="177">
        <f>COUNTIFS(
    estq[empresa], AV$6,
    estq[Data da venda / reserva], "&gt;=" &amp; $A19,
    estq[Data da venda / reserva], "&lt;"  &amp; EOMONTH($A19,0) + 1
)</f>
        <v>0</v>
      </c>
      <c r="AW19" s="178">
        <f ca="1">SUMIFS(rec.uni[2022-05-01],
INDIRECT("rec.uni[natureza]"),"pro.soluto",
INDIRECT("rec.uni[empresa]"),AW$6)</f>
        <v>0</v>
      </c>
      <c r="AX19" s="178">
        <f ca="1">SUMIFS(rec.uni[2022-05-01],
INDIRECT("rec.uni[natureza]"),"repasse.cef.obra",
INDIRECT("rec.uni[empresa]"),AX$6)</f>
        <v>0</v>
      </c>
      <c r="AY19" s="178">
        <f ca="1">SUMIFS(rec.uni[2022-05-01],
INDIRECT("rec.uni[natureza]"),"repasse.cef.terreno",
INDIRECT("rec.uni[empresa]"),AY$6)</f>
        <v>0</v>
      </c>
      <c r="AZ19" s="178">
        <v>0</v>
      </c>
      <c r="BA19" s="178">
        <f ca="1">SUMIFS(rec.uni[2022-05-01],
INDIRECT("rec.uni[natureza]"),"taxa.extra",
INDIRECT("rec.uni[empresa]"),BA$6)</f>
        <v>0</v>
      </c>
      <c r="BB19" s="166"/>
      <c r="BC19" s="178" cm="1">
        <f t="array" ref="BC19">SUMPRODUCT(
  IFERROR(--desp[valor],0)*
  (desp[nucleo]="UP ESTAÇÃO SÃO LUCAS")*
  (desp[categoria]=BC$7)*
  (desp[data.pagamento]&gt;=$A19)*
  (desp[data.pagamento]&lt;EOMONTH($A19,0)+1)
)</f>
        <v>0</v>
      </c>
      <c r="BD19" s="178" cm="1">
        <f t="array" ref="BD19">SUMPRODUCT(
  IFERROR(--desp[valor],0)*
  (desp[nucleo]="UP ESTAÇÃO SÃO LUCAS")*
  (desp[categoria]=BD$7)*
  (desp[data.pagamento]&gt;=$A19)*
  (desp[data.pagamento]&lt;EOMONTH($A19,0)+1)
)</f>
        <v>0</v>
      </c>
      <c r="BE19" s="178" cm="1">
        <f t="array" ref="BE19">SUMPRODUCT(
  IFERROR(--desp[valor],0)*
  (desp[nucleo]="UP ESTAÇÃO SÃO LUCAS")*
  (desp[categoria]=BE$7)*
  (desp[data.pagamento]&gt;=$A19)*
  (desp[data.pagamento]&lt;EOMONTH($A19,0)+1)
)</f>
        <v>0</v>
      </c>
      <c r="BF19" s="178" cm="1">
        <f t="array" ref="BF19">SUMPRODUCT(
  IFERROR(--desp[valor],0)*
  (desp[nucleo]="UP ESTAÇÃO SÃO LUCAS")*
  (desp[categoria]=BF$7)*
  (desp[data.pagamento]&gt;=$A19)*
  (desp[data.pagamento]&lt;EOMONTH($A19,0)+1)
)</f>
        <v>0</v>
      </c>
      <c r="BG19" s="179" cm="1">
        <f t="array" ref="BG19">SUMPRODUCT(
  IFERROR(--desp[valor],0)*
  (desp[nucleo]="UP ESTAÇÃO SÃO LUCAS")*
  (desp[categoria]=BG$7)*
  (desp[data.pagamento]&gt;=$A19)*
  (desp[data.pagamento]&lt;EOMONTH($A19,0)+1)
)</f>
        <v>0</v>
      </c>
      <c r="BH19" s="177">
        <f>COUNTIFS(
    estq[empresa], BH$6,
    estq[Data da venda / reserva], "&gt;=" &amp; $A19,
    estq[Data da venda / reserva], "&lt;"  &amp; EOMONTH($A19,0) + 1
)</f>
        <v>0</v>
      </c>
      <c r="BI19" s="178">
        <f ca="1">SUMIFS(rec.uni[2022-05-01],
INDIRECT("rec.uni[natureza]"),"pro.soluto",
INDIRECT("rec.uni[empresa]"),BI$6)</f>
        <v>0</v>
      </c>
      <c r="BJ19" s="166">
        <v>0</v>
      </c>
      <c r="BK19" s="178">
        <f ca="1">SUMIFS(rec.uni[2022-05-01],
INDIRECT("rec.uni[natureza]"),"taxa.extra",
INDIRECT("rec.uni[empresa]"),BK$6)</f>
        <v>0</v>
      </c>
      <c r="BL19" s="166"/>
      <c r="BM19" s="178" cm="1">
        <f t="array" ref="BM19">SUMPRODUCT(
  IFERROR(--desp[valor],0)*
  (desp[nucleo]="UP POMPEIA")*
  (desp[categoria]=BM$7)*
  (desp[data.pagamento]&gt;=$A19)*
  (desp[data.pagamento]&lt;EOMONTH($A19,0)+1)
)</f>
        <v>0</v>
      </c>
      <c r="BN19" s="178" cm="1">
        <f t="array" ref="BN19">SUMPRODUCT(
  IFERROR(--desp[valor],0)*
  (desp[nucleo]="UP POMPEIA")*
  (desp[categoria]=BN$7)*
  (desp[data.pagamento]&gt;=$A19)*
  (desp[data.pagamento]&lt;EOMONTH($A19,0)+1)
)</f>
        <v>0</v>
      </c>
      <c r="BO19" s="178" cm="1">
        <f t="array" ref="BO19">SUMPRODUCT(
  IFERROR(--desp[valor],0)*
  (desp[nucleo]="UP POMPEIA")*
  (desp[categoria]=BO$7)*
  (desp[data.pagamento]&gt;=$A19)*
  (desp[data.pagamento]&lt;EOMONTH($A19,0)+1)
)</f>
        <v>0</v>
      </c>
      <c r="BP19" s="178" cm="1">
        <f t="array" ref="BP19">SUMPRODUCT(
  IFERROR(--desp[valor],0)*
  (desp[nucleo]="UP POMPEIA")*
  (desp[categoria]=BP$7)*
  (desp[data.pagamento]&gt;=$A19)*
  (desp[data.pagamento]&lt;EOMONTH($A19,0)+1)
)</f>
        <v>0</v>
      </c>
      <c r="BQ19" s="179" cm="1">
        <f t="array" ref="BQ19">SUMPRODUCT(
  IFERROR(--desp[valor],0)*
  (desp[nucleo]="UP POMPEIA")*
  (desp[categoria]=BQ$7)*
  (desp[data.pagamento]&gt;=$A19)*
  (desp[data.pagamento]&lt;EOMONTH($A19,0)+1)
)</f>
        <v>0</v>
      </c>
      <c r="BR19" s="177">
        <f>COUNTIFS(
    estq[empresa], BR$6,
    estq[Data da venda / reserva], "&gt;=" &amp; $A19,
    estq[Data da venda / reserva], "&lt;"  &amp; EOMONTH($A19,0) + 1
)</f>
        <v>0</v>
      </c>
      <c r="BS19" s="178">
        <f ca="1">SUMIFS(rec.uni[2022-05-01],
INDIRECT("rec.uni[natureza]"),"pro.soluto",
INDIRECT("rec.uni[empresa]"),BS$6)</f>
        <v>0</v>
      </c>
      <c r="BT19" s="178">
        <f ca="1">SUMIFS(rec.uni[2022-05-01],
INDIRECT("rec.uni[natureza]"),"pro.soluto",
INDIRECT("rec.uni[empresa]"),BT$6)</f>
        <v>0</v>
      </c>
      <c r="BU19" s="178">
        <f ca="1">SUMIFS(rec.uni[2022-05-01],
INDIRECT("rec.uni[natureza]"),"taxa.extra",
INDIRECT("rec.uni[empresa]"),BU$6)</f>
        <v>0</v>
      </c>
      <c r="BV19" s="166"/>
      <c r="BW19" s="178" cm="1">
        <f t="array" ref="BW19">SUMPRODUCT(
  IFERROR(--desp[valor],0)*
  (desp[nucleo]="UP SAUDE")*
  (desp[categoria]=BW$7)*
  (desp[data.pagamento]&gt;=$A19)*
  (desp[data.pagamento]&lt;EOMONTH($A19,0)+1)
)</f>
        <v>0</v>
      </c>
      <c r="BX19" s="178" cm="1">
        <f t="array" ref="BX19">SUMPRODUCT(
  IFERROR(--desp[valor],0)*
  (desp[nucleo]="UP SAUDE")*
  (desp[categoria]=BX$7)*
  (desp[data.pagamento]&gt;=$A19)*
  (desp[data.pagamento]&lt;EOMONTH($A19,0)+1)
)</f>
        <v>0</v>
      </c>
      <c r="BY19" s="178" cm="1">
        <f t="array" ref="BY19">SUMPRODUCT(
  IFERROR(--desp[valor],0)*
  (desp[nucleo]="UP SAUDE")*
  (desp[categoria]=BY$7)*
  (desp[data.pagamento]&gt;=$A19)*
  (desp[data.pagamento]&lt;EOMONTH($A19,0)+1)
)</f>
        <v>0</v>
      </c>
      <c r="BZ19" s="178" cm="1">
        <f t="array" ref="BZ19">SUMPRODUCT(
  IFERROR(--desp[valor],0)*
  (desp[nucleo]="UP SAUDE")*
  (desp[categoria]=BZ$7)*
  (desp[data.pagamento]&gt;=$A19)*
  (desp[data.pagamento]&lt;EOMONTH($A19,0)+1)
)</f>
        <v>0</v>
      </c>
      <c r="CA19" s="179" cm="1">
        <f t="array" ref="CA19">SUMPRODUCT(
  IFERROR(--desp[valor],0)*
  (desp[nucleo]="UP SAUDE")*
  (desp[categoria]=CA$7)*
  (desp[data.pagamento]&gt;=$A19)*
  (desp[data.pagamento]&lt;EOMONTH($A19,0)+1)
)</f>
        <v>0</v>
      </c>
      <c r="CB19" s="177">
        <f>COUNTIFS(
    estq[empresa], CB$6,
    estq[Data da venda / reserva], "&gt;=" &amp; $A19,
    estq[Data da venda / reserva], "&lt;"  &amp; EOMONTH($A19,0) + 1
)</f>
        <v>0</v>
      </c>
      <c r="CC19" s="178">
        <f ca="1">SUMIFS(rec.uni[2022-05-01],
INDIRECT("rec.uni[natureza]"),"pro.soluto",
INDIRECT("rec.uni[empresa]"),CC$6)</f>
        <v>0</v>
      </c>
      <c r="CD19" s="178">
        <f ca="1">SUMIFS(rec.uni[2022-05-01],
INDIRECT("rec.uni[natureza]"),"repasse.cef.obra",
INDIRECT("rec.uni[empresa]"),CD$6)</f>
        <v>0</v>
      </c>
      <c r="CE19" s="178">
        <f ca="1">SUMIFS(rec.uni[2022-05-01],
INDIRECT("rec.uni[natureza]"),"repasse.cef.terreno",
INDIRECT("rec.uni[empresa]"),CE$6)</f>
        <v>0</v>
      </c>
      <c r="CF19" s="178">
        <v>0</v>
      </c>
      <c r="CG19" s="178">
        <f ca="1">SUMIFS(rec.uni[2022-05-01],
INDIRECT("rec.uni[natureza]"),"taxa.extra",
INDIRECT("rec.uni[empresa]"),CG$6)</f>
        <v>0</v>
      </c>
      <c r="CH19" s="166"/>
      <c r="CI19" s="178" cm="1">
        <f t="array" ref="CI19">SUMPRODUCT(
  IFERROR(--desp[valor],0)*
  (desp[nucleo]="UP ESTAÇÃO VILA SONIA")*
  (desp[categoria]=CI$7)*
  (desp[data.pagamento]&gt;=$A19)*
  (desp[data.pagamento]&lt;EOMONTH($A19,0)+1)
)</f>
        <v>0</v>
      </c>
      <c r="CJ19" s="178" cm="1">
        <f t="array" ref="CJ19">SUMPRODUCT(
  IFERROR(--desp[valor],0)*
  (desp[nucleo]="UP ESTAÇÃO VILA SONIA")*
  (desp[categoria]=CJ$7)*
  (desp[data.pagamento]&gt;=$A19)*
  (desp[data.pagamento]&lt;EOMONTH($A19,0)+1)
)</f>
        <v>0</v>
      </c>
      <c r="CK19" s="178" cm="1">
        <f t="array" ref="CK19">SUMPRODUCT(
  IFERROR(--desp[valor],0)*
  (desp[nucleo]="UP ESTAÇÃO VILA SONIA")*
  (desp[categoria]=CK$7)*
  (desp[data.pagamento]&gt;=$A19)*
  (desp[data.pagamento]&lt;EOMONTH($A19,0)+1)
)</f>
        <v>0</v>
      </c>
      <c r="CL19" s="178" cm="1">
        <f t="array" ref="CL19">SUMPRODUCT(
  IFERROR(--desp[valor],0)*
  (desp[nucleo]="UP ESTAÇÃO VILA SONIA")*
  (desp[categoria]=CL$7)*
  (desp[data.pagamento]&gt;=$A19)*
  (desp[data.pagamento]&lt;EOMONTH($A19,0)+1)
)</f>
        <v>0</v>
      </c>
      <c r="CM19" s="179" cm="1">
        <f t="array" ref="CM19">SUMPRODUCT(
  IFERROR(--desp[valor],0)*
  (desp[nucleo]="UP ESTAÇÃO VILA SONIA")*
  (desp[categoria]=CM$7)*
  (desp[data.pagamento]&gt;=$A19)*
  (desp[data.pagamento]&lt;EOMONTH($A19,0)+1)
)</f>
        <v>0</v>
      </c>
      <c r="CN19" s="177">
        <f>COUNTIFS(
    estq[empresa], CN$6,
    estq[Data da venda / reserva], "&gt;=" &amp; $A19,
    estq[Data da venda / reserva], "&lt;"  &amp; EOMONTH($A19,0) + 1
)</f>
        <v>0</v>
      </c>
      <c r="CO19" s="178">
        <f ca="1">SUMIFS(rec.uni[2022-05-01],
INDIRECT("rec.uni[natureza]"),"pro.soluto",
INDIRECT("rec.uni[empresa]"),CO$6)</f>
        <v>0</v>
      </c>
      <c r="CP19" s="178">
        <f ca="1">SUMIFS(rec.uni[2022-05-01],
INDIRECT("rec.uni[natureza]"),"repasse.cef.obra",
INDIRECT("rec.uni[empresa]"),CP$6)</f>
        <v>0</v>
      </c>
      <c r="CQ19" s="178">
        <f ca="1">SUMIFS(rec.uni[2022-05-01],
INDIRECT("rec.uni[natureza]"),"repasse.cef.terreno",
INDIRECT("rec.uni[empresa]"),CQ$6)</f>
        <v>0</v>
      </c>
      <c r="CR19" s="178">
        <v>0</v>
      </c>
      <c r="CS19" s="178">
        <f ca="1">SUMIFS(rec.uni[2022-05-01],
INDIRECT("rec.uni[natureza]"),"taxa.extra",
INDIRECT("rec.uni[empresa]"),CS$6)</f>
        <v>0</v>
      </c>
      <c r="CT19" s="166"/>
      <c r="CU19" s="178" cm="1">
        <f t="array" ref="CU19">SUMPRODUCT(
  IFERROR(--desp[valor],0)*
  (desp[nucleo]="UP MOVE VILA SONIA")*
  (desp[categoria]=CU$7)*
  (desp[data.pagamento]&gt;=$A19)*
  (desp[data.pagamento]&lt;EOMONTH($A19,0)+1)
)</f>
        <v>0</v>
      </c>
      <c r="CV19" s="178" cm="1">
        <f t="array" ref="CV19">SUMPRODUCT(
  IFERROR(--desp[valor],0)*
  (desp[nucleo]="UP MOVE VILA SONIA")*
  (desp[categoria]=CV$7)*
  (desp[data.pagamento]&gt;=$A19)*
  (desp[data.pagamento]&lt;EOMONTH($A19,0)+1)
)</f>
        <v>0</v>
      </c>
      <c r="CW19" s="178" cm="1">
        <f t="array" ref="CW19">SUMPRODUCT(
  IFERROR(--desp[valor],0)*
  (desp[nucleo]="UP MOVE VILA SONIA")*
  (desp[categoria]=CW$7)*
  (desp[data.pagamento]&gt;=$A19)*
  (desp[data.pagamento]&lt;EOMONTH($A19,0)+1)
)</f>
        <v>0</v>
      </c>
      <c r="CX19" s="178" cm="1">
        <f t="array" ref="CX19">SUMPRODUCT(
  IFERROR(--desp[valor],0)*
  (desp[nucleo]="UP MOVE VILA SONIA")*
  (desp[categoria]=CX$7)*
  (desp[data.pagamento]&gt;=$A19)*
  (desp[data.pagamento]&lt;EOMONTH($A19,0)+1)
)</f>
        <v>0</v>
      </c>
      <c r="CY19" s="180" cm="1">
        <f t="array" ref="CY19">SUMPRODUCT(
  IFERROR(--desp[valor],0)*
  (desp[nucleo]="UP MOVE VILA SONIA")*
  (desp[categoria]=CY$7)*
  (desp[data.pagamento]&gt;=$A19)*
  (desp[data.pagamento]&lt;EOMONTH($A19,0)+1)
)</f>
        <v>0</v>
      </c>
    </row>
    <row r="20" spans="1:103" x14ac:dyDescent="0.25">
      <c r="A20" s="176">
        <v>44713</v>
      </c>
      <c r="B20" s="177">
        <f>COUNTIFS(
    estq[empresa], B$6,
    estq[Data da venda / reserva], "&gt;=" &amp; $A20,
    estq[Data da venda / reserva], "&lt;"  &amp; EOMONTH($A20,0) + 1
)</f>
        <v>0</v>
      </c>
      <c r="C20" s="178">
        <f ca="1">SUMIFS(rec.uni[2022-06-01],
INDIRECT("rec.uni[natureza]"),"pro.soluto",
INDIRECT("rec.uni[empresa]"),C$6)</f>
        <v>0</v>
      </c>
      <c r="D20" s="178">
        <f ca="1">SUMIFS(rec.uni[2022-06-01],
INDIRECT("rec.uni[natureza]"),"repasse.cef.obra",
INDIRECT("rec.uni[empresa]"),D$6)</f>
        <v>0</v>
      </c>
      <c r="E20" s="178">
        <f ca="1">SUMIFS(rec.uni[2022-06-01],
INDIRECT("rec.uni[natureza]"),"repasse.cef.terreno",
INDIRECT("rec.uni[empresa]"),E$6)</f>
        <v>0</v>
      </c>
      <c r="F20" s="178">
        <v>0</v>
      </c>
      <c r="G20" s="178">
        <f ca="1">SUMIFS(rec.uni[2022-06-01],
INDIRECT("rec.uni[natureza]"),"taxa.extra",
INDIRECT("rec.uni[empresa]"),G$6)</f>
        <v>0</v>
      </c>
      <c r="H20" s="166"/>
      <c r="I20" s="178" cm="1">
        <f t="array" ref="I20">SUMPRODUCT(
  IFERROR(--desp[valor],0)*
  (desp[nucleo]="UP JARDIM PRUDENCIA")*
  (desp[categoria]=I$7)*
  (desp[data.pagamento]&gt;=$A20)*
  (desp[data.pagamento]&lt;EOMONTH($A20,0)+1)
)</f>
        <v>0</v>
      </c>
      <c r="J20" s="178" cm="1">
        <f t="array" ref="J20">SUMPRODUCT(
  IFERROR(--desp[valor],0)*
  (desp[nucleo]="UP JARDIM PRUDENCIA")*
  (desp[categoria]=J$7)*
  (desp[data.pagamento]&gt;=$A20)*
  (desp[data.pagamento]&lt;EOMONTH($A20,0)+1)
)</f>
        <v>0</v>
      </c>
      <c r="K20" s="178" cm="1">
        <f t="array" ref="K20">SUMPRODUCT(
  IFERROR(--desp[valor],0)*
  (desp[nucleo]="UP JARDIM PRUDENCIA")*
  (desp[categoria]=K$7)*
  (desp[data.pagamento]&gt;=$A20)*
  (desp[data.pagamento]&lt;EOMONTH($A20,0)+1)
)</f>
        <v>0</v>
      </c>
      <c r="L20" s="178" cm="1">
        <f t="array" ref="L20">SUMPRODUCT(
  IFERROR(--desp[valor],0)*
  (desp[nucleo]="UP JARDIM PRUDENCIA")*
  (desp[categoria]=L$7)*
  (desp[data.pagamento]&gt;=$A20)*
  (desp[data.pagamento]&lt;EOMONTH($A20,0)+1)
)</f>
        <v>0</v>
      </c>
      <c r="M20" s="179" cm="1">
        <f t="array" ref="M20">SUMPRODUCT(
  IFERROR(--desp[valor],0)*
  (desp[nucleo]="UP JARDIM PRUDENCIA")*
  (desp[categoria]=M$7)*
  (desp[data.pagamento]&gt;=$A20)*
  (desp[data.pagamento]&lt;EOMONTH($A20,0)+1)
)</f>
        <v>0</v>
      </c>
      <c r="N20" s="177">
        <f>COUNTIFS(
    estq[empresa], N$6,
    estq[Data da venda / reserva], "&gt;=" &amp; $A20,
    estq[Data da venda / reserva], "&lt;"  &amp; EOMONTH($A20,0) + 1
)</f>
        <v>0</v>
      </c>
      <c r="O20" s="178">
        <f ca="1">SUMIFS(rec.uni[2022-06-01],
INDIRECT("rec.uni[natureza]"),"pro.soluto",
INDIRECT("rec.uni[empresa]"),O$6)</f>
        <v>0</v>
      </c>
      <c r="P20" s="178">
        <f ca="1">SUMIFS(rec.uni[2022-06-01],
INDIRECT("rec.uni[natureza]"),"repasse.cef.obra",
INDIRECT("rec.uni[empresa]"),P$6)</f>
        <v>0</v>
      </c>
      <c r="Q20" s="178">
        <f ca="1">SUMIFS(rec.uni[2022-06-01],
INDIRECT("rec.uni[natureza]"),"repasse.cef.terreno",
INDIRECT("rec.uni[empresa]"),Q$6)</f>
        <v>0</v>
      </c>
      <c r="R20" s="178">
        <v>0</v>
      </c>
      <c r="S20" s="178">
        <f ca="1">SUMIFS(rec.uni[2022-06-01],
INDIRECT("rec.uni[natureza]"),"taxa.extra",
INDIRECT("rec.uni[empresa]"),S$6)</f>
        <v>0</v>
      </c>
      <c r="T20" s="166"/>
      <c r="U20" s="178" cm="1">
        <f t="array" ref="U20">SUMPRODUCT(
  IFERROR(--desp[valor],0)*
  (desp[nucleo]="UP VILA SONIA")*
  (desp[categoria]=U$7)*
  (desp[data.pagamento]&gt;=$A20)*
  (desp[data.pagamento]&lt;EOMONTH($A20,0)+1)
)</f>
        <v>0</v>
      </c>
      <c r="V20" s="178" cm="1">
        <f t="array" ref="V20">SUMPRODUCT(
  IFERROR(--desp[valor],0)*
  (desp[nucleo]="UP VILA SONIA")*
  (desp[categoria]=V$7)*
  (desp[data.pagamento]&gt;=$A20)*
  (desp[data.pagamento]&lt;EOMONTH($A20,0)+1)
)</f>
        <v>0</v>
      </c>
      <c r="W20" s="178" cm="1">
        <f t="array" ref="W20">SUMPRODUCT(
  IFERROR(--desp[valor],0)*
  (desp[nucleo]="UP VILA SONIA")*
  (desp[categoria]=W$7)*
  (desp[data.pagamento]&gt;=$A20)*
  (desp[data.pagamento]&lt;EOMONTH($A20,0)+1)
)</f>
        <v>0</v>
      </c>
      <c r="X20" s="178" cm="1">
        <f t="array" ref="X20">SUMPRODUCT(
  IFERROR(--desp[valor],0)*
  (desp[nucleo]="UP VILA SONIA")*
  (desp[categoria]=X$7)*
  (desp[data.pagamento]&gt;=$A20)*
  (desp[data.pagamento]&lt;EOMONTH($A20,0)+1)
)</f>
        <v>0</v>
      </c>
      <c r="Y20" s="179" cm="1">
        <f t="array" ref="Y20">SUMPRODUCT(
  IFERROR(--desp[valor],0)*
  (desp[nucleo]="UP VILA SONIA")*
  (desp[categoria]=Y$7)*
  (desp[data.pagamento]&gt;=$A20)*
  (desp[data.pagamento]&lt;EOMONTH($A20,0)+1)
)</f>
        <v>0</v>
      </c>
      <c r="Z20" s="177">
        <f>COUNTIFS(
    estq[empresa], Z$6,
    estq[Data da venda / reserva], "&gt;=" &amp; $A20,
    estq[Data da venda / reserva], "&lt;"  &amp; EOMONTH($A20,0) + 1
)</f>
        <v>0</v>
      </c>
      <c r="AA20" s="178">
        <f ca="1">SUMIFS(rec.uni[2022-06-01],
INDIRECT("rec.uni[natureza]"),"pro.soluto",
INDIRECT("rec.uni[empresa]"),AA$6)</f>
        <v>0</v>
      </c>
      <c r="AB20" s="178">
        <f ca="1">SUMIFS(rec.uni[2022-06-01],
INDIRECT("rec.uni[natureza]"),"pro.soluto",
INDIRECT("rec.uni[empresa]"),AB$6)</f>
        <v>0</v>
      </c>
      <c r="AC20" s="178">
        <f ca="1">SUMIFS(rec.uni[2022-06-01],
INDIRECT("rec.uni[natureza]"),"taxa.extra",
INDIRECT("rec.uni[empresa]"),AC$6)</f>
        <v>0</v>
      </c>
      <c r="AD20" s="166"/>
      <c r="AE20" s="178" cm="1">
        <f t="array" ref="AE20">SUMPRODUCT(
  IFERROR(--desp[valor],0)*
  (desp[nucleo]="UP CAMPO BELO")*
  (desp[categoria]=AE$7)*
  (desp[data.pagamento]&gt;=$A20)*
  (desp[data.pagamento]&lt;EOMONTH($A20,0)+1)
)</f>
        <v>0</v>
      </c>
      <c r="AF20" s="178" cm="1">
        <f t="array" ref="AF20">SUMPRODUCT(
  IFERROR(--desp[valor],0)*
  (desp[nucleo]="UP CAMPO BELO")*
  (desp[categoria]=AF$7)*
  (desp[data.pagamento]&gt;=$A20)*
  (desp[data.pagamento]&lt;EOMONTH($A20,0)+1)
)</f>
        <v>0</v>
      </c>
      <c r="AG20" s="178" cm="1">
        <f t="array" ref="AG20">SUMPRODUCT(
  IFERROR(--desp[valor],0)*
  (desp[nucleo]="UP CAMPO BELO")*
  (desp[categoria]=AG$7)*
  (desp[data.pagamento]&gt;=$A20)*
  (desp[data.pagamento]&lt;EOMONTH($A20,0)+1)
)</f>
        <v>0</v>
      </c>
      <c r="AH20" s="178" cm="1">
        <f t="array" ref="AH20">SUMPRODUCT(
  IFERROR(--desp[valor],0)*
  (desp[nucleo]="UP CAMPO BELO")*
  (desp[categoria]=AH$7)*
  (desp[data.pagamento]&gt;=$A20)*
  (desp[data.pagamento]&lt;EOMONTH($A20,0)+1)
)</f>
        <v>0</v>
      </c>
      <c r="AI20" s="179" cm="1">
        <f t="array" ref="AI20">SUMPRODUCT(
  IFERROR(--desp[valor],0)*
  (desp[nucleo]="UP CAMPO BELO")*
  (desp[categoria]=AI$7)*
  (desp[data.pagamento]&gt;=$A20)*
  (desp[data.pagamento]&lt;EOMONTH($A20,0)+1)
)</f>
        <v>0</v>
      </c>
      <c r="AJ20" s="177">
        <f>COUNTIFS(
    estq[empresa], AJ$6,
    estq[Data da venda / reserva], "&gt;=" &amp; $A20,
    estq[Data da venda / reserva], "&lt;"  &amp; EOMONTH($A20,0) + 1
)</f>
        <v>0</v>
      </c>
      <c r="AK20" s="178">
        <f ca="1">SUMIFS(rec.uni[2022-06-01],
INDIRECT("rec.uni[natureza]"),"pro.soluto",
INDIRECT("rec.uni[empresa]"),AK$6)</f>
        <v>0</v>
      </c>
      <c r="AL20" s="178">
        <f ca="1">SUMIFS(rec.uni[2022-06-01],
INDIRECT("rec.uni[natureza]"),"repasse.cef.obra",
INDIRECT("rec.uni[empresa]"),AL$6)</f>
        <v>0</v>
      </c>
      <c r="AM20" s="178">
        <f ca="1">SUMIFS(rec.uni[2022-06-01],
INDIRECT("rec.uni[natureza]"),"repasse.cef.terreno",
INDIRECT("rec.uni[empresa]"),AM$6)</f>
        <v>0</v>
      </c>
      <c r="AN20" s="178">
        <v>0</v>
      </c>
      <c r="AO20" s="178">
        <f ca="1">SUMIFS(rec.uni[2022-06-01],
INDIRECT("rec.uni[natureza]"),"taxa.extra",
INDIRECT("rec.uni[empresa]"),AO$6)</f>
        <v>0</v>
      </c>
      <c r="AP20" s="166"/>
      <c r="AQ20" s="178" cm="1">
        <f t="array" ref="AQ20">SUMPRODUCT(
  IFERROR(--desp[valor],0)*
  (desp[nucleo]="UP SELECT VILA SONIA")*
  (desp[categoria]=AQ$7)*
  (desp[data.pagamento]&gt;=$A20)*
  (desp[data.pagamento]&lt;EOMONTH($A20,0)+1)
)</f>
        <v>0</v>
      </c>
      <c r="AR20" s="178" cm="1">
        <f t="array" ref="AR20">SUMPRODUCT(
  IFERROR(--desp[valor],0)*
  (desp[nucleo]="UP SELECT VILA SONIA")*
  (desp[categoria]=AR$7)*
  (desp[data.pagamento]&gt;=$A20)*
  (desp[data.pagamento]&lt;EOMONTH($A20,0)+1)
)</f>
        <v>0</v>
      </c>
      <c r="AS20" s="178" cm="1">
        <f t="array" ref="AS20">SUMPRODUCT(
  IFERROR(--desp[valor],0)*
  (desp[nucleo]="UP SELECT VILA SONIA")*
  (desp[categoria]=AS$7)*
  (desp[data.pagamento]&gt;=$A20)*
  (desp[data.pagamento]&lt;EOMONTH($A20,0)+1)
)</f>
        <v>0</v>
      </c>
      <c r="AT20" s="178" cm="1">
        <f t="array" ref="AT20">SUMPRODUCT(
  IFERROR(--desp[valor],0)*
  (desp[nucleo]="UP SELECT VILA SONIA")*
  (desp[categoria]=AT$7)*
  (desp[data.pagamento]&gt;=$A20)*
  (desp[data.pagamento]&lt;EOMONTH($A20,0)+1)
)</f>
        <v>0</v>
      </c>
      <c r="AU20" s="179" cm="1">
        <f t="array" ref="AU20">SUMPRODUCT(
  IFERROR(--desp[valor],0)*
  (desp[nucleo]="UP SELECT VILA SONIA")*
  (desp[categoria]=AU$7)*
  (desp[data.pagamento]&gt;=$A20)*
  (desp[data.pagamento]&lt;EOMONTH($A20,0)+1)
)</f>
        <v>0</v>
      </c>
      <c r="AV20" s="177">
        <f>COUNTIFS(
    estq[empresa], AV$6,
    estq[Data da venda / reserva], "&gt;=" &amp; $A20,
    estq[Data da venda / reserva], "&lt;"  &amp; EOMONTH($A20,0) + 1
)</f>
        <v>0</v>
      </c>
      <c r="AW20" s="178">
        <f ca="1">SUMIFS(rec.uni[2022-06-01],
INDIRECT("rec.uni[natureza]"),"pro.soluto",
INDIRECT("rec.uni[empresa]"),AW$6)</f>
        <v>0</v>
      </c>
      <c r="AX20" s="178">
        <f ca="1">SUMIFS(rec.uni[2022-06-01],
INDIRECT("rec.uni[natureza]"),"repasse.cef.obra",
INDIRECT("rec.uni[empresa]"),AX$6)</f>
        <v>0</v>
      </c>
      <c r="AY20" s="178">
        <f ca="1">SUMIFS(rec.uni[2022-06-01],
INDIRECT("rec.uni[natureza]"),"repasse.cef.terreno",
INDIRECT("rec.uni[empresa]"),AY$6)</f>
        <v>0</v>
      </c>
      <c r="AZ20" s="178">
        <v>0</v>
      </c>
      <c r="BA20" s="178">
        <f ca="1">SUMIFS(rec.uni[2022-06-01],
INDIRECT("rec.uni[natureza]"),"taxa.extra",
INDIRECT("rec.uni[empresa]"),BA$6)</f>
        <v>0</v>
      </c>
      <c r="BB20" s="166"/>
      <c r="BC20" s="178" cm="1">
        <f t="array" ref="BC20">SUMPRODUCT(
  IFERROR(--desp[valor],0)*
  (desp[nucleo]="UP ESTAÇÃO SÃO LUCAS")*
  (desp[categoria]=BC$7)*
  (desp[data.pagamento]&gt;=$A20)*
  (desp[data.pagamento]&lt;EOMONTH($A20,0)+1)
)</f>
        <v>0</v>
      </c>
      <c r="BD20" s="178" cm="1">
        <f t="array" ref="BD20">SUMPRODUCT(
  IFERROR(--desp[valor],0)*
  (desp[nucleo]="UP ESTAÇÃO SÃO LUCAS")*
  (desp[categoria]=BD$7)*
  (desp[data.pagamento]&gt;=$A20)*
  (desp[data.pagamento]&lt;EOMONTH($A20,0)+1)
)</f>
        <v>0</v>
      </c>
      <c r="BE20" s="178" cm="1">
        <f t="array" ref="BE20">SUMPRODUCT(
  IFERROR(--desp[valor],0)*
  (desp[nucleo]="UP ESTAÇÃO SÃO LUCAS")*
  (desp[categoria]=BE$7)*
  (desp[data.pagamento]&gt;=$A20)*
  (desp[data.pagamento]&lt;EOMONTH($A20,0)+1)
)</f>
        <v>0</v>
      </c>
      <c r="BF20" s="178" cm="1">
        <f t="array" ref="BF20">SUMPRODUCT(
  IFERROR(--desp[valor],0)*
  (desp[nucleo]="UP ESTAÇÃO SÃO LUCAS")*
  (desp[categoria]=BF$7)*
  (desp[data.pagamento]&gt;=$A20)*
  (desp[data.pagamento]&lt;EOMONTH($A20,0)+1)
)</f>
        <v>0</v>
      </c>
      <c r="BG20" s="179" cm="1">
        <f t="array" ref="BG20">SUMPRODUCT(
  IFERROR(--desp[valor],0)*
  (desp[nucleo]="UP ESTAÇÃO SÃO LUCAS")*
  (desp[categoria]=BG$7)*
  (desp[data.pagamento]&gt;=$A20)*
  (desp[data.pagamento]&lt;EOMONTH($A20,0)+1)
)</f>
        <v>0</v>
      </c>
      <c r="BH20" s="177">
        <f>COUNTIFS(
    estq[empresa], BH$6,
    estq[Data da venda / reserva], "&gt;=" &amp; $A20,
    estq[Data da venda / reserva], "&lt;"  &amp; EOMONTH($A20,0) + 1
)</f>
        <v>0</v>
      </c>
      <c r="BI20" s="178">
        <f ca="1">SUMIFS(rec.uni[2022-06-01],
INDIRECT("rec.uni[natureza]"),"pro.soluto",
INDIRECT("rec.uni[empresa]"),BI$6)</f>
        <v>0</v>
      </c>
      <c r="BJ20" s="166">
        <v>0</v>
      </c>
      <c r="BK20" s="178">
        <f ca="1">SUMIFS(rec.uni[2022-06-01],
INDIRECT("rec.uni[natureza]"),"taxa.extra",
INDIRECT("rec.uni[empresa]"),BK$6)</f>
        <v>0</v>
      </c>
      <c r="BL20" s="166"/>
      <c r="BM20" s="178" cm="1">
        <f t="array" ref="BM20">SUMPRODUCT(
  IFERROR(--desp[valor],0)*
  (desp[nucleo]="UP POMPEIA")*
  (desp[categoria]=BM$7)*
  (desp[data.pagamento]&gt;=$A20)*
  (desp[data.pagamento]&lt;EOMONTH($A20,0)+1)
)</f>
        <v>0</v>
      </c>
      <c r="BN20" s="178" cm="1">
        <f t="array" ref="BN20">SUMPRODUCT(
  IFERROR(--desp[valor],0)*
  (desp[nucleo]="UP POMPEIA")*
  (desp[categoria]=BN$7)*
  (desp[data.pagamento]&gt;=$A20)*
  (desp[data.pagamento]&lt;EOMONTH($A20,0)+1)
)</f>
        <v>0</v>
      </c>
      <c r="BO20" s="178" cm="1">
        <f t="array" ref="BO20">SUMPRODUCT(
  IFERROR(--desp[valor],0)*
  (desp[nucleo]="UP POMPEIA")*
  (desp[categoria]=BO$7)*
  (desp[data.pagamento]&gt;=$A20)*
  (desp[data.pagamento]&lt;EOMONTH($A20,0)+1)
)</f>
        <v>0</v>
      </c>
      <c r="BP20" s="178" cm="1">
        <f t="array" ref="BP20">SUMPRODUCT(
  IFERROR(--desp[valor],0)*
  (desp[nucleo]="UP POMPEIA")*
  (desp[categoria]=BP$7)*
  (desp[data.pagamento]&gt;=$A20)*
  (desp[data.pagamento]&lt;EOMONTH($A20,0)+1)
)</f>
        <v>0</v>
      </c>
      <c r="BQ20" s="179" cm="1">
        <f t="array" ref="BQ20">SUMPRODUCT(
  IFERROR(--desp[valor],0)*
  (desp[nucleo]="UP POMPEIA")*
  (desp[categoria]=BQ$7)*
  (desp[data.pagamento]&gt;=$A20)*
  (desp[data.pagamento]&lt;EOMONTH($A20,0)+1)
)</f>
        <v>0</v>
      </c>
      <c r="BR20" s="177">
        <f>COUNTIFS(
    estq[empresa], BR$6,
    estq[Data da venda / reserva], "&gt;=" &amp; $A20,
    estq[Data da venda / reserva], "&lt;"  &amp; EOMONTH($A20,0) + 1
)</f>
        <v>0</v>
      </c>
      <c r="BS20" s="178">
        <f ca="1">SUMIFS(rec.uni[2022-06-01],
INDIRECT("rec.uni[natureza]"),"pro.soluto",
INDIRECT("rec.uni[empresa]"),BS$6)</f>
        <v>0</v>
      </c>
      <c r="BT20" s="178">
        <f ca="1">SUMIFS(rec.uni[2022-06-01],
INDIRECT("rec.uni[natureza]"),"pro.soluto",
INDIRECT("rec.uni[empresa]"),BT$6)</f>
        <v>0</v>
      </c>
      <c r="BU20" s="178">
        <f ca="1">SUMIFS(rec.uni[2022-06-01],
INDIRECT("rec.uni[natureza]"),"taxa.extra",
INDIRECT("rec.uni[empresa]"),BU$6)</f>
        <v>0</v>
      </c>
      <c r="BV20" s="166"/>
      <c r="BW20" s="178" cm="1">
        <f t="array" ref="BW20">SUMPRODUCT(
  IFERROR(--desp[valor],0)*
  (desp[nucleo]="UP SAUDE")*
  (desp[categoria]=BW$7)*
  (desp[data.pagamento]&gt;=$A20)*
  (desp[data.pagamento]&lt;EOMONTH($A20,0)+1)
)</f>
        <v>0</v>
      </c>
      <c r="BX20" s="178" cm="1">
        <f t="array" ref="BX20">SUMPRODUCT(
  IFERROR(--desp[valor],0)*
  (desp[nucleo]="UP SAUDE")*
  (desp[categoria]=BX$7)*
  (desp[data.pagamento]&gt;=$A20)*
  (desp[data.pagamento]&lt;EOMONTH($A20,0)+1)
)</f>
        <v>0</v>
      </c>
      <c r="BY20" s="178" cm="1">
        <f t="array" ref="BY20">SUMPRODUCT(
  IFERROR(--desp[valor],0)*
  (desp[nucleo]="UP SAUDE")*
  (desp[categoria]=BY$7)*
  (desp[data.pagamento]&gt;=$A20)*
  (desp[data.pagamento]&lt;EOMONTH($A20,0)+1)
)</f>
        <v>0</v>
      </c>
      <c r="BZ20" s="178" cm="1">
        <f t="array" ref="BZ20">SUMPRODUCT(
  IFERROR(--desp[valor],0)*
  (desp[nucleo]="UP SAUDE")*
  (desp[categoria]=BZ$7)*
  (desp[data.pagamento]&gt;=$A20)*
  (desp[data.pagamento]&lt;EOMONTH($A20,0)+1)
)</f>
        <v>0</v>
      </c>
      <c r="CA20" s="179" cm="1">
        <f t="array" ref="CA20">SUMPRODUCT(
  IFERROR(--desp[valor],0)*
  (desp[nucleo]="UP SAUDE")*
  (desp[categoria]=CA$7)*
  (desp[data.pagamento]&gt;=$A20)*
  (desp[data.pagamento]&lt;EOMONTH($A20,0)+1)
)</f>
        <v>0</v>
      </c>
      <c r="CB20" s="177">
        <f>COUNTIFS(
    estq[empresa], CB$6,
    estq[Data da venda / reserva], "&gt;=" &amp; $A20,
    estq[Data da venda / reserva], "&lt;"  &amp; EOMONTH($A20,0) + 1
)</f>
        <v>0</v>
      </c>
      <c r="CC20" s="178">
        <f ca="1">SUMIFS(rec.uni[2022-06-01],
INDIRECT("rec.uni[natureza]"),"pro.soluto",
INDIRECT("rec.uni[empresa]"),CC$6)</f>
        <v>0</v>
      </c>
      <c r="CD20" s="178">
        <f ca="1">SUMIFS(rec.uni[2022-06-01],
INDIRECT("rec.uni[natureza]"),"repasse.cef.obra",
INDIRECT("rec.uni[empresa]"),CD$6)</f>
        <v>0</v>
      </c>
      <c r="CE20" s="178">
        <f ca="1">SUMIFS(rec.uni[2022-06-01],
INDIRECT("rec.uni[natureza]"),"repasse.cef.terreno",
INDIRECT("rec.uni[empresa]"),CE$6)</f>
        <v>0</v>
      </c>
      <c r="CF20" s="178">
        <v>0</v>
      </c>
      <c r="CG20" s="178">
        <f ca="1">SUMIFS(rec.uni[2022-06-01],
INDIRECT("rec.uni[natureza]"),"taxa.extra",
INDIRECT("rec.uni[empresa]"),CG$6)</f>
        <v>0</v>
      </c>
      <c r="CH20" s="166"/>
      <c r="CI20" s="178" cm="1">
        <f t="array" ref="CI20">SUMPRODUCT(
  IFERROR(--desp[valor],0)*
  (desp[nucleo]="UP ESTAÇÃO VILA SONIA")*
  (desp[categoria]=CI$7)*
  (desp[data.pagamento]&gt;=$A20)*
  (desp[data.pagamento]&lt;EOMONTH($A20,0)+1)
)</f>
        <v>0</v>
      </c>
      <c r="CJ20" s="178" cm="1">
        <f t="array" ref="CJ20">SUMPRODUCT(
  IFERROR(--desp[valor],0)*
  (desp[nucleo]="UP ESTAÇÃO VILA SONIA")*
  (desp[categoria]=CJ$7)*
  (desp[data.pagamento]&gt;=$A20)*
  (desp[data.pagamento]&lt;EOMONTH($A20,0)+1)
)</f>
        <v>0</v>
      </c>
      <c r="CK20" s="178" cm="1">
        <f t="array" ref="CK20">SUMPRODUCT(
  IFERROR(--desp[valor],0)*
  (desp[nucleo]="UP ESTAÇÃO VILA SONIA")*
  (desp[categoria]=CK$7)*
  (desp[data.pagamento]&gt;=$A20)*
  (desp[data.pagamento]&lt;EOMONTH($A20,0)+1)
)</f>
        <v>0</v>
      </c>
      <c r="CL20" s="178" cm="1">
        <f t="array" ref="CL20">SUMPRODUCT(
  IFERROR(--desp[valor],0)*
  (desp[nucleo]="UP ESTAÇÃO VILA SONIA")*
  (desp[categoria]=CL$7)*
  (desp[data.pagamento]&gt;=$A20)*
  (desp[data.pagamento]&lt;EOMONTH($A20,0)+1)
)</f>
        <v>0</v>
      </c>
      <c r="CM20" s="179" cm="1">
        <f t="array" ref="CM20">SUMPRODUCT(
  IFERROR(--desp[valor],0)*
  (desp[nucleo]="UP ESTAÇÃO VILA SONIA")*
  (desp[categoria]=CM$7)*
  (desp[data.pagamento]&gt;=$A20)*
  (desp[data.pagamento]&lt;EOMONTH($A20,0)+1)
)</f>
        <v>0</v>
      </c>
      <c r="CN20" s="177">
        <f>COUNTIFS(
    estq[empresa], CN$6,
    estq[Data da venda / reserva], "&gt;=" &amp; $A20,
    estq[Data da venda / reserva], "&lt;"  &amp; EOMONTH($A20,0) + 1
)</f>
        <v>0</v>
      </c>
      <c r="CO20" s="178">
        <f ca="1">SUMIFS(rec.uni[2022-06-01],
INDIRECT("rec.uni[natureza]"),"pro.soluto",
INDIRECT("rec.uni[empresa]"),CO$6)</f>
        <v>0</v>
      </c>
      <c r="CP20" s="178">
        <f ca="1">SUMIFS(rec.uni[2022-06-01],
INDIRECT("rec.uni[natureza]"),"repasse.cef.obra",
INDIRECT("rec.uni[empresa]"),CP$6)</f>
        <v>0</v>
      </c>
      <c r="CQ20" s="178">
        <f ca="1">SUMIFS(rec.uni[2022-06-01],
INDIRECT("rec.uni[natureza]"),"repasse.cef.terreno",
INDIRECT("rec.uni[empresa]"),CQ$6)</f>
        <v>0</v>
      </c>
      <c r="CR20" s="178">
        <v>0</v>
      </c>
      <c r="CS20" s="178">
        <f ca="1">SUMIFS(rec.uni[2022-06-01],
INDIRECT("rec.uni[natureza]"),"taxa.extra",
INDIRECT("rec.uni[empresa]"),CS$6)</f>
        <v>0</v>
      </c>
      <c r="CT20" s="166"/>
      <c r="CU20" s="178" cm="1">
        <f t="array" ref="CU20">SUMPRODUCT(
  IFERROR(--desp[valor],0)*
  (desp[nucleo]="UP MOVE VILA SONIA")*
  (desp[categoria]=CU$7)*
  (desp[data.pagamento]&gt;=$A20)*
  (desp[data.pagamento]&lt;EOMONTH($A20,0)+1)
)</f>
        <v>0</v>
      </c>
      <c r="CV20" s="178" cm="1">
        <f t="array" ref="CV20">SUMPRODUCT(
  IFERROR(--desp[valor],0)*
  (desp[nucleo]="UP MOVE VILA SONIA")*
  (desp[categoria]=CV$7)*
  (desp[data.pagamento]&gt;=$A20)*
  (desp[data.pagamento]&lt;EOMONTH($A20,0)+1)
)</f>
        <v>0</v>
      </c>
      <c r="CW20" s="178" cm="1">
        <f t="array" ref="CW20">SUMPRODUCT(
  IFERROR(--desp[valor],0)*
  (desp[nucleo]="UP MOVE VILA SONIA")*
  (desp[categoria]=CW$7)*
  (desp[data.pagamento]&gt;=$A20)*
  (desp[data.pagamento]&lt;EOMONTH($A20,0)+1)
)</f>
        <v>0</v>
      </c>
      <c r="CX20" s="178" cm="1">
        <f t="array" ref="CX20">SUMPRODUCT(
  IFERROR(--desp[valor],0)*
  (desp[nucleo]="UP MOVE VILA SONIA")*
  (desp[categoria]=CX$7)*
  (desp[data.pagamento]&gt;=$A20)*
  (desp[data.pagamento]&lt;EOMONTH($A20,0)+1)
)</f>
        <v>0</v>
      </c>
      <c r="CY20" s="180" cm="1">
        <f t="array" ref="CY20">SUMPRODUCT(
  IFERROR(--desp[valor],0)*
  (desp[nucleo]="UP MOVE VILA SONIA")*
  (desp[categoria]=CY$7)*
  (desp[data.pagamento]&gt;=$A20)*
  (desp[data.pagamento]&lt;EOMONTH($A20,0)+1)
)</f>
        <v>0</v>
      </c>
    </row>
    <row r="21" spans="1:103" x14ac:dyDescent="0.25">
      <c r="A21" s="176">
        <v>44743</v>
      </c>
      <c r="B21" s="177">
        <f>COUNTIFS(
    estq[empresa], B$6,
    estq[Data da venda / reserva], "&gt;=" &amp; $A21,
    estq[Data da venda / reserva], "&lt;"  &amp; EOMONTH($A21,0) + 1
)</f>
        <v>0</v>
      </c>
      <c r="C21" s="178">
        <f ca="1">SUMIFS(rec.uni[2022-07-01],
INDIRECT("rec.uni[natureza]"),"pro.soluto",
INDIRECT("rec.uni[empresa]"),C$6)</f>
        <v>0</v>
      </c>
      <c r="D21" s="178">
        <f ca="1">SUMIFS(rec.uni[2022-07-01],
INDIRECT("rec.uni[natureza]"),"repasse.cef.obra",
INDIRECT("rec.uni[empresa]"),D$6)</f>
        <v>0</v>
      </c>
      <c r="E21" s="178">
        <f ca="1">SUMIFS(rec.uni[2022-07-01],
INDIRECT("rec.uni[natureza]"),"repasse.cef.terreno",
INDIRECT("rec.uni[empresa]"),E$6)</f>
        <v>0</v>
      </c>
      <c r="F21" s="178">
        <v>0</v>
      </c>
      <c r="G21" s="178">
        <f ca="1">SUMIFS(rec.uni[2022-07-01],
INDIRECT("rec.uni[natureza]"),"taxa.extra",
INDIRECT("rec.uni[empresa]"),G$6)</f>
        <v>0</v>
      </c>
      <c r="H21" s="166"/>
      <c r="I21" s="178" cm="1">
        <f t="array" ref="I21">SUMPRODUCT(
  IFERROR(--desp[valor],0)*
  (desp[nucleo]="UP JARDIM PRUDENCIA")*
  (desp[categoria]=I$7)*
  (desp[data.pagamento]&gt;=$A21)*
  (desp[data.pagamento]&lt;EOMONTH($A21,0)+1)
)</f>
        <v>0</v>
      </c>
      <c r="J21" s="178" cm="1">
        <f t="array" ref="J21">SUMPRODUCT(
  IFERROR(--desp[valor],0)*
  (desp[nucleo]="UP JARDIM PRUDENCIA")*
  (desp[categoria]=J$7)*
  (desp[data.pagamento]&gt;=$A21)*
  (desp[data.pagamento]&lt;EOMONTH($A21,0)+1)
)</f>
        <v>0</v>
      </c>
      <c r="K21" s="178" cm="1">
        <f t="array" ref="K21">SUMPRODUCT(
  IFERROR(--desp[valor],0)*
  (desp[nucleo]="UP JARDIM PRUDENCIA")*
  (desp[categoria]=K$7)*
  (desp[data.pagamento]&gt;=$A21)*
  (desp[data.pagamento]&lt;EOMONTH($A21,0)+1)
)</f>
        <v>0</v>
      </c>
      <c r="L21" s="178" cm="1">
        <f t="array" ref="L21">SUMPRODUCT(
  IFERROR(--desp[valor],0)*
  (desp[nucleo]="UP JARDIM PRUDENCIA")*
  (desp[categoria]=L$7)*
  (desp[data.pagamento]&gt;=$A21)*
  (desp[data.pagamento]&lt;EOMONTH($A21,0)+1)
)</f>
        <v>0</v>
      </c>
      <c r="M21" s="179" cm="1">
        <f t="array" ref="M21">SUMPRODUCT(
  IFERROR(--desp[valor],0)*
  (desp[nucleo]="UP JARDIM PRUDENCIA")*
  (desp[categoria]=M$7)*
  (desp[data.pagamento]&gt;=$A21)*
  (desp[data.pagamento]&lt;EOMONTH($A21,0)+1)
)</f>
        <v>0</v>
      </c>
      <c r="N21" s="177">
        <f>COUNTIFS(
    estq[empresa], N$6,
    estq[Data da venda / reserva], "&gt;=" &amp; $A21,
    estq[Data da venda / reserva], "&lt;"  &amp; EOMONTH($A21,0) + 1
)</f>
        <v>0</v>
      </c>
      <c r="O21" s="178">
        <f ca="1">SUMIFS(rec.uni[2022-07-01],
INDIRECT("rec.uni[natureza]"),"pro.soluto",
INDIRECT("rec.uni[empresa]"),O$6)</f>
        <v>0</v>
      </c>
      <c r="P21" s="178">
        <f ca="1">SUMIFS(rec.uni[2022-07-01],
INDIRECT("rec.uni[natureza]"),"repasse.cef.obra",
INDIRECT("rec.uni[empresa]"),P$6)</f>
        <v>0</v>
      </c>
      <c r="Q21" s="178">
        <f ca="1">SUMIFS(rec.uni[2022-07-01],
INDIRECT("rec.uni[natureza]"),"repasse.cef.terreno",
INDIRECT("rec.uni[empresa]"),Q$6)</f>
        <v>0</v>
      </c>
      <c r="R21" s="178">
        <v>0</v>
      </c>
      <c r="S21" s="178">
        <f ca="1">SUMIFS(rec.uni[2022-07-01],
INDIRECT("rec.uni[natureza]"),"taxa.extra",
INDIRECT("rec.uni[empresa]"),S$6)</f>
        <v>0</v>
      </c>
      <c r="T21" s="166"/>
      <c r="U21" s="178" cm="1">
        <f t="array" ref="U21">SUMPRODUCT(
  IFERROR(--desp[valor],0)*
  (desp[nucleo]="UP VILA SONIA")*
  (desp[categoria]=U$7)*
  (desp[data.pagamento]&gt;=$A21)*
  (desp[data.pagamento]&lt;EOMONTH($A21,0)+1)
)</f>
        <v>0</v>
      </c>
      <c r="V21" s="178" cm="1">
        <f t="array" ref="V21">SUMPRODUCT(
  IFERROR(--desp[valor],0)*
  (desp[nucleo]="UP VILA SONIA")*
  (desp[categoria]=V$7)*
  (desp[data.pagamento]&gt;=$A21)*
  (desp[data.pagamento]&lt;EOMONTH($A21,0)+1)
)</f>
        <v>0</v>
      </c>
      <c r="W21" s="178" cm="1">
        <f t="array" ref="W21">SUMPRODUCT(
  IFERROR(--desp[valor],0)*
  (desp[nucleo]="UP VILA SONIA")*
  (desp[categoria]=W$7)*
  (desp[data.pagamento]&gt;=$A21)*
  (desp[data.pagamento]&lt;EOMONTH($A21,0)+1)
)</f>
        <v>0</v>
      </c>
      <c r="X21" s="178" cm="1">
        <f t="array" ref="X21">SUMPRODUCT(
  IFERROR(--desp[valor],0)*
  (desp[nucleo]="UP VILA SONIA")*
  (desp[categoria]=X$7)*
  (desp[data.pagamento]&gt;=$A21)*
  (desp[data.pagamento]&lt;EOMONTH($A21,0)+1)
)</f>
        <v>0</v>
      </c>
      <c r="Y21" s="179" cm="1">
        <f t="array" ref="Y21">SUMPRODUCT(
  IFERROR(--desp[valor],0)*
  (desp[nucleo]="UP VILA SONIA")*
  (desp[categoria]=Y$7)*
  (desp[data.pagamento]&gt;=$A21)*
  (desp[data.pagamento]&lt;EOMONTH($A21,0)+1)
)</f>
        <v>0</v>
      </c>
      <c r="Z21" s="177">
        <f>COUNTIFS(
    estq[empresa], Z$6,
    estq[Data da venda / reserva], "&gt;=" &amp; $A21,
    estq[Data da venda / reserva], "&lt;"  &amp; EOMONTH($A21,0) + 1
)</f>
        <v>0</v>
      </c>
      <c r="AA21" s="178">
        <f ca="1">SUMIFS(rec.uni[2022-07-01],
INDIRECT("rec.uni[natureza]"),"pro.soluto",
INDIRECT("rec.uni[empresa]"),AA$6)</f>
        <v>0</v>
      </c>
      <c r="AB21" s="178">
        <f ca="1">SUMIFS(rec.uni[2022-07-01],
INDIRECT("rec.uni[natureza]"),"pro.soluto",
INDIRECT("rec.uni[empresa]"),AB$6)</f>
        <v>0</v>
      </c>
      <c r="AC21" s="178">
        <f ca="1">SUMIFS(rec.uni[2022-07-01],
INDIRECT("rec.uni[natureza]"),"taxa.extra",
INDIRECT("rec.uni[empresa]"),AC$6)</f>
        <v>0</v>
      </c>
      <c r="AD21" s="166"/>
      <c r="AE21" s="178" cm="1">
        <f t="array" ref="AE21">SUMPRODUCT(
  IFERROR(--desp[valor],0)*
  (desp[nucleo]="UP CAMPO BELO")*
  (desp[categoria]=AE$7)*
  (desp[data.pagamento]&gt;=$A21)*
  (desp[data.pagamento]&lt;EOMONTH($A21,0)+1)
)</f>
        <v>0</v>
      </c>
      <c r="AF21" s="178" cm="1">
        <f t="array" ref="AF21">SUMPRODUCT(
  IFERROR(--desp[valor],0)*
  (desp[nucleo]="UP CAMPO BELO")*
  (desp[categoria]=AF$7)*
  (desp[data.pagamento]&gt;=$A21)*
  (desp[data.pagamento]&lt;EOMONTH($A21,0)+1)
)</f>
        <v>0</v>
      </c>
      <c r="AG21" s="178" cm="1">
        <f t="array" ref="AG21">SUMPRODUCT(
  IFERROR(--desp[valor],0)*
  (desp[nucleo]="UP CAMPO BELO")*
  (desp[categoria]=AG$7)*
  (desp[data.pagamento]&gt;=$A21)*
  (desp[data.pagamento]&lt;EOMONTH($A21,0)+1)
)</f>
        <v>0</v>
      </c>
      <c r="AH21" s="178" cm="1">
        <f t="array" ref="AH21">SUMPRODUCT(
  IFERROR(--desp[valor],0)*
  (desp[nucleo]="UP CAMPO BELO")*
  (desp[categoria]=AH$7)*
  (desp[data.pagamento]&gt;=$A21)*
  (desp[data.pagamento]&lt;EOMONTH($A21,0)+1)
)</f>
        <v>0</v>
      </c>
      <c r="AI21" s="179" cm="1">
        <f t="array" ref="AI21">SUMPRODUCT(
  IFERROR(--desp[valor],0)*
  (desp[nucleo]="UP CAMPO BELO")*
  (desp[categoria]=AI$7)*
  (desp[data.pagamento]&gt;=$A21)*
  (desp[data.pagamento]&lt;EOMONTH($A21,0)+1)
)</f>
        <v>0</v>
      </c>
      <c r="AJ21" s="177">
        <f>COUNTIFS(
    estq[empresa], AJ$6,
    estq[Data da venda / reserva], "&gt;=" &amp; $A21,
    estq[Data da venda / reserva], "&lt;"  &amp; EOMONTH($A21,0) + 1
)</f>
        <v>0</v>
      </c>
      <c r="AK21" s="178">
        <f ca="1">SUMIFS(rec.uni[2022-07-01],
INDIRECT("rec.uni[natureza]"),"pro.soluto",
INDIRECT("rec.uni[empresa]"),AK$6)</f>
        <v>0</v>
      </c>
      <c r="AL21" s="178">
        <f ca="1">SUMIFS(rec.uni[2022-07-01],
INDIRECT("rec.uni[natureza]"),"repasse.cef.obra",
INDIRECT("rec.uni[empresa]"),AL$6)</f>
        <v>0</v>
      </c>
      <c r="AM21" s="178">
        <f ca="1">SUMIFS(rec.uni[2022-07-01],
INDIRECT("rec.uni[natureza]"),"repasse.cef.terreno",
INDIRECT("rec.uni[empresa]"),AM$6)</f>
        <v>0</v>
      </c>
      <c r="AN21" s="178">
        <v>0</v>
      </c>
      <c r="AO21" s="178">
        <f ca="1">SUMIFS(rec.uni[2022-07-01],
INDIRECT("rec.uni[natureza]"),"taxa.extra",
INDIRECT("rec.uni[empresa]"),AO$6)</f>
        <v>0</v>
      </c>
      <c r="AP21" s="166"/>
      <c r="AQ21" s="178" cm="1">
        <f t="array" ref="AQ21">SUMPRODUCT(
  IFERROR(--desp[valor],0)*
  (desp[nucleo]="UP SELECT VILA SONIA")*
  (desp[categoria]=AQ$7)*
  (desp[data.pagamento]&gt;=$A21)*
  (desp[data.pagamento]&lt;EOMONTH($A21,0)+1)
)</f>
        <v>0</v>
      </c>
      <c r="AR21" s="178" cm="1">
        <f t="array" ref="AR21">SUMPRODUCT(
  IFERROR(--desp[valor],0)*
  (desp[nucleo]="UP SELECT VILA SONIA")*
  (desp[categoria]=AR$7)*
  (desp[data.pagamento]&gt;=$A21)*
  (desp[data.pagamento]&lt;EOMONTH($A21,0)+1)
)</f>
        <v>0</v>
      </c>
      <c r="AS21" s="178" cm="1">
        <f t="array" ref="AS21">SUMPRODUCT(
  IFERROR(--desp[valor],0)*
  (desp[nucleo]="UP SELECT VILA SONIA")*
  (desp[categoria]=AS$7)*
  (desp[data.pagamento]&gt;=$A21)*
  (desp[data.pagamento]&lt;EOMONTH($A21,0)+1)
)</f>
        <v>0</v>
      </c>
      <c r="AT21" s="178" cm="1">
        <f t="array" ref="AT21">SUMPRODUCT(
  IFERROR(--desp[valor],0)*
  (desp[nucleo]="UP SELECT VILA SONIA")*
  (desp[categoria]=AT$7)*
  (desp[data.pagamento]&gt;=$A21)*
  (desp[data.pagamento]&lt;EOMONTH($A21,0)+1)
)</f>
        <v>0</v>
      </c>
      <c r="AU21" s="179" cm="1">
        <f t="array" ref="AU21">SUMPRODUCT(
  IFERROR(--desp[valor],0)*
  (desp[nucleo]="UP SELECT VILA SONIA")*
  (desp[categoria]=AU$7)*
  (desp[data.pagamento]&gt;=$A21)*
  (desp[data.pagamento]&lt;EOMONTH($A21,0)+1)
)</f>
        <v>0</v>
      </c>
      <c r="AV21" s="177">
        <f>COUNTIFS(
    estq[empresa], AV$6,
    estq[Data da venda / reserva], "&gt;=" &amp; $A21,
    estq[Data da venda / reserva], "&lt;"  &amp; EOMONTH($A21,0) + 1
)</f>
        <v>0</v>
      </c>
      <c r="AW21" s="178">
        <f ca="1">SUMIFS(rec.uni[2022-07-01],
INDIRECT("rec.uni[natureza]"),"pro.soluto",
INDIRECT("rec.uni[empresa]"),AW$6)</f>
        <v>0</v>
      </c>
      <c r="AX21" s="178">
        <f ca="1">SUMIFS(rec.uni[2022-07-01],
INDIRECT("rec.uni[natureza]"),"repasse.cef.obra",
INDIRECT("rec.uni[empresa]"),AX$6)</f>
        <v>0</v>
      </c>
      <c r="AY21" s="178">
        <f ca="1">SUMIFS(rec.uni[2022-07-01],
INDIRECT("rec.uni[natureza]"),"repasse.cef.terreno",
INDIRECT("rec.uni[empresa]"),AY$6)</f>
        <v>0</v>
      </c>
      <c r="AZ21" s="178">
        <v>0</v>
      </c>
      <c r="BA21" s="178">
        <f ca="1">SUMIFS(rec.uni[2022-07-01],
INDIRECT("rec.uni[natureza]"),"taxa.extra",
INDIRECT("rec.uni[empresa]"),BA$6)</f>
        <v>0</v>
      </c>
      <c r="BB21" s="166"/>
      <c r="BC21" s="178" cm="1">
        <f t="array" ref="BC21">SUMPRODUCT(
  IFERROR(--desp[valor],0)*
  (desp[nucleo]="UP ESTAÇÃO SÃO LUCAS")*
  (desp[categoria]=BC$7)*
  (desp[data.pagamento]&gt;=$A21)*
  (desp[data.pagamento]&lt;EOMONTH($A21,0)+1)
)</f>
        <v>0</v>
      </c>
      <c r="BD21" s="178" cm="1">
        <f t="array" ref="BD21">SUMPRODUCT(
  IFERROR(--desp[valor],0)*
  (desp[nucleo]="UP ESTAÇÃO SÃO LUCAS")*
  (desp[categoria]=BD$7)*
  (desp[data.pagamento]&gt;=$A21)*
  (desp[data.pagamento]&lt;EOMONTH($A21,0)+1)
)</f>
        <v>0</v>
      </c>
      <c r="BE21" s="178" cm="1">
        <f t="array" ref="BE21">SUMPRODUCT(
  IFERROR(--desp[valor],0)*
  (desp[nucleo]="UP ESTAÇÃO SÃO LUCAS")*
  (desp[categoria]=BE$7)*
  (desp[data.pagamento]&gt;=$A21)*
  (desp[data.pagamento]&lt;EOMONTH($A21,0)+1)
)</f>
        <v>0</v>
      </c>
      <c r="BF21" s="178" cm="1">
        <f t="array" ref="BF21">SUMPRODUCT(
  IFERROR(--desp[valor],0)*
  (desp[nucleo]="UP ESTAÇÃO SÃO LUCAS")*
  (desp[categoria]=BF$7)*
  (desp[data.pagamento]&gt;=$A21)*
  (desp[data.pagamento]&lt;EOMONTH($A21,0)+1)
)</f>
        <v>0</v>
      </c>
      <c r="BG21" s="179" cm="1">
        <f t="array" ref="BG21">SUMPRODUCT(
  IFERROR(--desp[valor],0)*
  (desp[nucleo]="UP ESTAÇÃO SÃO LUCAS")*
  (desp[categoria]=BG$7)*
  (desp[data.pagamento]&gt;=$A21)*
  (desp[data.pagamento]&lt;EOMONTH($A21,0)+1)
)</f>
        <v>0</v>
      </c>
      <c r="BH21" s="177">
        <f>COUNTIFS(
    estq[empresa], BH$6,
    estq[Data da venda / reserva], "&gt;=" &amp; $A21,
    estq[Data da venda / reserva], "&lt;"  &amp; EOMONTH($A21,0) + 1
)</f>
        <v>0</v>
      </c>
      <c r="BI21" s="178">
        <f ca="1">SUMIFS(rec.uni[2022-07-01],
INDIRECT("rec.uni[natureza]"),"pro.soluto",
INDIRECT("rec.uni[empresa]"),BI$6)</f>
        <v>0</v>
      </c>
      <c r="BJ21" s="166">
        <v>0</v>
      </c>
      <c r="BK21" s="178">
        <f ca="1">SUMIFS(rec.uni[2022-07-01],
INDIRECT("rec.uni[natureza]"),"taxa.extra",
INDIRECT("rec.uni[empresa]"),BK$6)</f>
        <v>0</v>
      </c>
      <c r="BL21" s="166"/>
      <c r="BM21" s="178" cm="1">
        <f t="array" ref="BM21">SUMPRODUCT(
  IFERROR(--desp[valor],0)*
  (desp[nucleo]="UP POMPEIA")*
  (desp[categoria]=BM$7)*
  (desp[data.pagamento]&gt;=$A21)*
  (desp[data.pagamento]&lt;EOMONTH($A21,0)+1)
)</f>
        <v>0</v>
      </c>
      <c r="BN21" s="178" cm="1">
        <f t="array" ref="BN21">SUMPRODUCT(
  IFERROR(--desp[valor],0)*
  (desp[nucleo]="UP POMPEIA")*
  (desp[categoria]=BN$7)*
  (desp[data.pagamento]&gt;=$A21)*
  (desp[data.pagamento]&lt;EOMONTH($A21,0)+1)
)</f>
        <v>0</v>
      </c>
      <c r="BO21" s="178" cm="1">
        <f t="array" ref="BO21">SUMPRODUCT(
  IFERROR(--desp[valor],0)*
  (desp[nucleo]="UP POMPEIA")*
  (desp[categoria]=BO$7)*
  (desp[data.pagamento]&gt;=$A21)*
  (desp[data.pagamento]&lt;EOMONTH($A21,0)+1)
)</f>
        <v>0</v>
      </c>
      <c r="BP21" s="178" cm="1">
        <f t="array" ref="BP21">SUMPRODUCT(
  IFERROR(--desp[valor],0)*
  (desp[nucleo]="UP POMPEIA")*
  (desp[categoria]=BP$7)*
  (desp[data.pagamento]&gt;=$A21)*
  (desp[data.pagamento]&lt;EOMONTH($A21,0)+1)
)</f>
        <v>0</v>
      </c>
      <c r="BQ21" s="179" cm="1">
        <f t="array" ref="BQ21">SUMPRODUCT(
  IFERROR(--desp[valor],0)*
  (desp[nucleo]="UP POMPEIA")*
  (desp[categoria]=BQ$7)*
  (desp[data.pagamento]&gt;=$A21)*
  (desp[data.pagamento]&lt;EOMONTH($A21,0)+1)
)</f>
        <v>0</v>
      </c>
      <c r="BR21" s="177">
        <f>COUNTIFS(
    estq[empresa], BR$6,
    estq[Data da venda / reserva], "&gt;=" &amp; $A21,
    estq[Data da venda / reserva], "&lt;"  &amp; EOMONTH($A21,0) + 1
)</f>
        <v>0</v>
      </c>
      <c r="BS21" s="178">
        <f ca="1">SUMIFS(rec.uni[2022-07-01],
INDIRECT("rec.uni[natureza]"),"pro.soluto",
INDIRECT("rec.uni[empresa]"),BS$6)</f>
        <v>0</v>
      </c>
      <c r="BT21" s="178">
        <f ca="1">SUMIFS(rec.uni[2022-07-01],
INDIRECT("rec.uni[natureza]"),"pro.soluto",
INDIRECT("rec.uni[empresa]"),BT$6)</f>
        <v>0</v>
      </c>
      <c r="BU21" s="178">
        <f ca="1">SUMIFS(rec.uni[2022-07-01],
INDIRECT("rec.uni[natureza]"),"taxa.extra",
INDIRECT("rec.uni[empresa]"),BU$6)</f>
        <v>0</v>
      </c>
      <c r="BV21" s="166"/>
      <c r="BW21" s="178" cm="1">
        <f t="array" ref="BW21">SUMPRODUCT(
  IFERROR(--desp[valor],0)*
  (desp[nucleo]="UP SAUDE")*
  (desp[categoria]=BW$7)*
  (desp[data.pagamento]&gt;=$A21)*
  (desp[data.pagamento]&lt;EOMONTH($A21,0)+1)
)</f>
        <v>0</v>
      </c>
      <c r="BX21" s="178" cm="1">
        <f t="array" ref="BX21">SUMPRODUCT(
  IFERROR(--desp[valor],0)*
  (desp[nucleo]="UP SAUDE")*
  (desp[categoria]=BX$7)*
  (desp[data.pagamento]&gt;=$A21)*
  (desp[data.pagamento]&lt;EOMONTH($A21,0)+1)
)</f>
        <v>0</v>
      </c>
      <c r="BY21" s="178" cm="1">
        <f t="array" ref="BY21">SUMPRODUCT(
  IFERROR(--desp[valor],0)*
  (desp[nucleo]="UP SAUDE")*
  (desp[categoria]=BY$7)*
  (desp[data.pagamento]&gt;=$A21)*
  (desp[data.pagamento]&lt;EOMONTH($A21,0)+1)
)</f>
        <v>0</v>
      </c>
      <c r="BZ21" s="178" cm="1">
        <f t="array" ref="BZ21">SUMPRODUCT(
  IFERROR(--desp[valor],0)*
  (desp[nucleo]="UP SAUDE")*
  (desp[categoria]=BZ$7)*
  (desp[data.pagamento]&gt;=$A21)*
  (desp[data.pagamento]&lt;EOMONTH($A21,0)+1)
)</f>
        <v>0</v>
      </c>
      <c r="CA21" s="179" cm="1">
        <f t="array" ref="CA21">SUMPRODUCT(
  IFERROR(--desp[valor],0)*
  (desp[nucleo]="UP SAUDE")*
  (desp[categoria]=CA$7)*
  (desp[data.pagamento]&gt;=$A21)*
  (desp[data.pagamento]&lt;EOMONTH($A21,0)+1)
)</f>
        <v>0</v>
      </c>
      <c r="CB21" s="177">
        <f>COUNTIFS(
    estq[empresa], CB$6,
    estq[Data da venda / reserva], "&gt;=" &amp; $A21,
    estq[Data da venda / reserva], "&lt;"  &amp; EOMONTH($A21,0) + 1
)</f>
        <v>0</v>
      </c>
      <c r="CC21" s="178">
        <f ca="1">SUMIFS(rec.uni[2022-07-01],
INDIRECT("rec.uni[natureza]"),"pro.soluto",
INDIRECT("rec.uni[empresa]"),CC$6)</f>
        <v>0</v>
      </c>
      <c r="CD21" s="178">
        <f ca="1">SUMIFS(rec.uni[2022-07-01],
INDIRECT("rec.uni[natureza]"),"repasse.cef.obra",
INDIRECT("rec.uni[empresa]"),CD$6)</f>
        <v>0</v>
      </c>
      <c r="CE21" s="178">
        <f ca="1">SUMIFS(rec.uni[2022-07-01],
INDIRECT("rec.uni[natureza]"),"repasse.cef.terreno",
INDIRECT("rec.uni[empresa]"),CE$6)</f>
        <v>0</v>
      </c>
      <c r="CF21" s="178">
        <v>0</v>
      </c>
      <c r="CG21" s="178">
        <f ca="1">SUMIFS(rec.uni[2022-07-01],
INDIRECT("rec.uni[natureza]"),"taxa.extra",
INDIRECT("rec.uni[empresa]"),CG$6)</f>
        <v>0</v>
      </c>
      <c r="CH21" s="166"/>
      <c r="CI21" s="178" cm="1">
        <f t="array" ref="CI21">SUMPRODUCT(
  IFERROR(--desp[valor],0)*
  (desp[nucleo]="UP ESTAÇÃO VILA SONIA")*
  (desp[categoria]=CI$7)*
  (desp[data.pagamento]&gt;=$A21)*
  (desp[data.pagamento]&lt;EOMONTH($A21,0)+1)
)</f>
        <v>0</v>
      </c>
      <c r="CJ21" s="178" cm="1">
        <f t="array" ref="CJ21">SUMPRODUCT(
  IFERROR(--desp[valor],0)*
  (desp[nucleo]="UP ESTAÇÃO VILA SONIA")*
  (desp[categoria]=CJ$7)*
  (desp[data.pagamento]&gt;=$A21)*
  (desp[data.pagamento]&lt;EOMONTH($A21,0)+1)
)</f>
        <v>0</v>
      </c>
      <c r="CK21" s="178" cm="1">
        <f t="array" ref="CK21">SUMPRODUCT(
  IFERROR(--desp[valor],0)*
  (desp[nucleo]="UP ESTAÇÃO VILA SONIA")*
  (desp[categoria]=CK$7)*
  (desp[data.pagamento]&gt;=$A21)*
  (desp[data.pagamento]&lt;EOMONTH($A21,0)+1)
)</f>
        <v>0</v>
      </c>
      <c r="CL21" s="178" cm="1">
        <f t="array" ref="CL21">SUMPRODUCT(
  IFERROR(--desp[valor],0)*
  (desp[nucleo]="UP ESTAÇÃO VILA SONIA")*
  (desp[categoria]=CL$7)*
  (desp[data.pagamento]&gt;=$A21)*
  (desp[data.pagamento]&lt;EOMONTH($A21,0)+1)
)</f>
        <v>0</v>
      </c>
      <c r="CM21" s="179" cm="1">
        <f t="array" ref="CM21">SUMPRODUCT(
  IFERROR(--desp[valor],0)*
  (desp[nucleo]="UP ESTAÇÃO VILA SONIA")*
  (desp[categoria]=CM$7)*
  (desp[data.pagamento]&gt;=$A21)*
  (desp[data.pagamento]&lt;EOMONTH($A21,0)+1)
)</f>
        <v>0</v>
      </c>
      <c r="CN21" s="177">
        <f>COUNTIFS(
    estq[empresa], CN$6,
    estq[Data da venda / reserva], "&gt;=" &amp; $A21,
    estq[Data da venda / reserva], "&lt;"  &amp; EOMONTH($A21,0) + 1
)</f>
        <v>0</v>
      </c>
      <c r="CO21" s="178">
        <f ca="1">SUMIFS(rec.uni[2022-07-01],
INDIRECT("rec.uni[natureza]"),"pro.soluto",
INDIRECT("rec.uni[empresa]"),CO$6)</f>
        <v>0</v>
      </c>
      <c r="CP21" s="178">
        <f ca="1">SUMIFS(rec.uni[2022-07-01],
INDIRECT("rec.uni[natureza]"),"repasse.cef.obra",
INDIRECT("rec.uni[empresa]"),CP$6)</f>
        <v>0</v>
      </c>
      <c r="CQ21" s="178">
        <f ca="1">SUMIFS(rec.uni[2022-07-01],
INDIRECT("rec.uni[natureza]"),"repasse.cef.terreno",
INDIRECT("rec.uni[empresa]"),CQ$6)</f>
        <v>0</v>
      </c>
      <c r="CR21" s="178">
        <v>0</v>
      </c>
      <c r="CS21" s="178">
        <f ca="1">SUMIFS(rec.uni[2022-07-01],
INDIRECT("rec.uni[natureza]"),"taxa.extra",
INDIRECT("rec.uni[empresa]"),CS$6)</f>
        <v>0</v>
      </c>
      <c r="CT21" s="166"/>
      <c r="CU21" s="178" cm="1">
        <f t="array" ref="CU21">SUMPRODUCT(
  IFERROR(--desp[valor],0)*
  (desp[nucleo]="UP MOVE VILA SONIA")*
  (desp[categoria]=CU$7)*
  (desp[data.pagamento]&gt;=$A21)*
  (desp[data.pagamento]&lt;EOMONTH($A21,0)+1)
)</f>
        <v>0</v>
      </c>
      <c r="CV21" s="178" cm="1">
        <f t="array" ref="CV21">SUMPRODUCT(
  IFERROR(--desp[valor],0)*
  (desp[nucleo]="UP MOVE VILA SONIA")*
  (desp[categoria]=CV$7)*
  (desp[data.pagamento]&gt;=$A21)*
  (desp[data.pagamento]&lt;EOMONTH($A21,0)+1)
)</f>
        <v>0</v>
      </c>
      <c r="CW21" s="178" cm="1">
        <f t="array" ref="CW21">SUMPRODUCT(
  IFERROR(--desp[valor],0)*
  (desp[nucleo]="UP MOVE VILA SONIA")*
  (desp[categoria]=CW$7)*
  (desp[data.pagamento]&gt;=$A21)*
  (desp[data.pagamento]&lt;EOMONTH($A21,0)+1)
)</f>
        <v>0</v>
      </c>
      <c r="CX21" s="178" cm="1">
        <f t="array" ref="CX21">SUMPRODUCT(
  IFERROR(--desp[valor],0)*
  (desp[nucleo]="UP MOVE VILA SONIA")*
  (desp[categoria]=CX$7)*
  (desp[data.pagamento]&gt;=$A21)*
  (desp[data.pagamento]&lt;EOMONTH($A21,0)+1)
)</f>
        <v>0</v>
      </c>
      <c r="CY21" s="180" cm="1">
        <f t="array" ref="CY21">SUMPRODUCT(
  IFERROR(--desp[valor],0)*
  (desp[nucleo]="UP MOVE VILA SONIA")*
  (desp[categoria]=CY$7)*
  (desp[data.pagamento]&gt;=$A21)*
  (desp[data.pagamento]&lt;EOMONTH($A21,0)+1)
)</f>
        <v>0</v>
      </c>
    </row>
    <row r="22" spans="1:103" x14ac:dyDescent="0.25">
      <c r="A22" s="176">
        <v>44774</v>
      </c>
      <c r="B22" s="177">
        <f>COUNTIFS(
    estq[empresa], B$6,
    estq[Data da venda / reserva], "&gt;=" &amp; $A22,
    estq[Data da venda / reserva], "&lt;"  &amp; EOMONTH($A22,0) + 1
)</f>
        <v>0</v>
      </c>
      <c r="C22" s="178">
        <f ca="1">SUMIFS(rec.uni[2022-08-01],
INDIRECT("rec.uni[natureza]"),"pro.soluto",
INDIRECT("rec.uni[empresa]"),C$6)</f>
        <v>0</v>
      </c>
      <c r="D22" s="178">
        <f ca="1">SUMIFS(rec.uni[2022-08-01],
INDIRECT("rec.uni[natureza]"),"repasse.cef.obra",
INDIRECT("rec.uni[empresa]"),D$6)</f>
        <v>0</v>
      </c>
      <c r="E22" s="178">
        <f ca="1">SUMIFS(rec.uni[2022-08-01],
INDIRECT("rec.uni[natureza]"),"repasse.cef.terreno",
INDIRECT("rec.uni[empresa]"),E$6)</f>
        <v>0</v>
      </c>
      <c r="F22" s="178">
        <v>0</v>
      </c>
      <c r="G22" s="178">
        <f ca="1">SUMIFS(rec.uni[2022-08-01],
INDIRECT("rec.uni[natureza]"),"taxa.extra",
INDIRECT("rec.uni[empresa]"),G$6)</f>
        <v>0</v>
      </c>
      <c r="H22" s="166"/>
      <c r="I22" s="178" cm="1">
        <f t="array" ref="I22">SUMPRODUCT(
  IFERROR(--desp[valor],0)*
  (desp[nucleo]="UP JARDIM PRUDENCIA")*
  (desp[categoria]=I$7)*
  (desp[data.pagamento]&gt;=$A22)*
  (desp[data.pagamento]&lt;EOMONTH($A22,0)+1)
)</f>
        <v>0</v>
      </c>
      <c r="J22" s="178" cm="1">
        <f t="array" ref="J22">SUMPRODUCT(
  IFERROR(--desp[valor],0)*
  (desp[nucleo]="UP JARDIM PRUDENCIA")*
  (desp[categoria]=J$7)*
  (desp[data.pagamento]&gt;=$A22)*
  (desp[data.pagamento]&lt;EOMONTH($A22,0)+1)
)</f>
        <v>0</v>
      </c>
      <c r="K22" s="178" cm="1">
        <f t="array" ref="K22">SUMPRODUCT(
  IFERROR(--desp[valor],0)*
  (desp[nucleo]="UP JARDIM PRUDENCIA")*
  (desp[categoria]=K$7)*
  (desp[data.pagamento]&gt;=$A22)*
  (desp[data.pagamento]&lt;EOMONTH($A22,0)+1)
)</f>
        <v>0</v>
      </c>
      <c r="L22" s="178" cm="1">
        <f t="array" ref="L22">SUMPRODUCT(
  IFERROR(--desp[valor],0)*
  (desp[nucleo]="UP JARDIM PRUDENCIA")*
  (desp[categoria]=L$7)*
  (desp[data.pagamento]&gt;=$A22)*
  (desp[data.pagamento]&lt;EOMONTH($A22,0)+1)
)</f>
        <v>0</v>
      </c>
      <c r="M22" s="179" cm="1">
        <f t="array" ref="M22">SUMPRODUCT(
  IFERROR(--desp[valor],0)*
  (desp[nucleo]="UP JARDIM PRUDENCIA")*
  (desp[categoria]=M$7)*
  (desp[data.pagamento]&gt;=$A22)*
  (desp[data.pagamento]&lt;EOMONTH($A22,0)+1)
)</f>
        <v>0</v>
      </c>
      <c r="N22" s="177">
        <f>COUNTIFS(
    estq[empresa], N$6,
    estq[Data da venda / reserva], "&gt;=" &amp; $A22,
    estq[Data da venda / reserva], "&lt;"  &amp; EOMONTH($A22,0) + 1
)</f>
        <v>0</v>
      </c>
      <c r="O22" s="178">
        <f ca="1">SUMIFS(rec.uni[2022-08-01],
INDIRECT("rec.uni[natureza]"),"pro.soluto",
INDIRECT("rec.uni[empresa]"),O$6)</f>
        <v>0</v>
      </c>
      <c r="P22" s="178">
        <f ca="1">SUMIFS(rec.uni[2022-08-01],
INDIRECT("rec.uni[natureza]"),"repasse.cef.obra",
INDIRECT("rec.uni[empresa]"),P$6)</f>
        <v>0</v>
      </c>
      <c r="Q22" s="178">
        <f ca="1">SUMIFS(rec.uni[2022-08-01],
INDIRECT("rec.uni[natureza]"),"repasse.cef.terreno",
INDIRECT("rec.uni[empresa]"),Q$6)</f>
        <v>0</v>
      </c>
      <c r="R22" s="178">
        <v>0</v>
      </c>
      <c r="S22" s="178">
        <f ca="1">SUMIFS(rec.uni[2022-08-01],
INDIRECT("rec.uni[natureza]"),"taxa.extra",
INDIRECT("rec.uni[empresa]"),S$6)</f>
        <v>0</v>
      </c>
      <c r="T22" s="166"/>
      <c r="U22" s="178" cm="1">
        <f t="array" ref="U22">SUMPRODUCT(
  IFERROR(--desp[valor],0)*
  (desp[nucleo]="UP VILA SONIA")*
  (desp[categoria]=U$7)*
  (desp[data.pagamento]&gt;=$A22)*
  (desp[data.pagamento]&lt;EOMONTH($A22,0)+1)
)</f>
        <v>0</v>
      </c>
      <c r="V22" s="178" cm="1">
        <f t="array" ref="V22">SUMPRODUCT(
  IFERROR(--desp[valor],0)*
  (desp[nucleo]="UP VILA SONIA")*
  (desp[categoria]=V$7)*
  (desp[data.pagamento]&gt;=$A22)*
  (desp[data.pagamento]&lt;EOMONTH($A22,0)+1)
)</f>
        <v>0</v>
      </c>
      <c r="W22" s="178" cm="1">
        <f t="array" ref="W22">SUMPRODUCT(
  IFERROR(--desp[valor],0)*
  (desp[nucleo]="UP VILA SONIA")*
  (desp[categoria]=W$7)*
  (desp[data.pagamento]&gt;=$A22)*
  (desp[data.pagamento]&lt;EOMONTH($A22,0)+1)
)</f>
        <v>0</v>
      </c>
      <c r="X22" s="178" cm="1">
        <f t="array" ref="X22">SUMPRODUCT(
  IFERROR(--desp[valor],0)*
  (desp[nucleo]="UP VILA SONIA")*
  (desp[categoria]=X$7)*
  (desp[data.pagamento]&gt;=$A22)*
  (desp[data.pagamento]&lt;EOMONTH($A22,0)+1)
)</f>
        <v>0</v>
      </c>
      <c r="Y22" s="179" cm="1">
        <f t="array" ref="Y22">SUMPRODUCT(
  IFERROR(--desp[valor],0)*
  (desp[nucleo]="UP VILA SONIA")*
  (desp[categoria]=Y$7)*
  (desp[data.pagamento]&gt;=$A22)*
  (desp[data.pagamento]&lt;EOMONTH($A22,0)+1)
)</f>
        <v>0</v>
      </c>
      <c r="Z22" s="177">
        <f>COUNTIFS(
    estq[empresa], Z$6,
    estq[Data da venda / reserva], "&gt;=" &amp; $A22,
    estq[Data da venda / reserva], "&lt;"  &amp; EOMONTH($A22,0) + 1
)</f>
        <v>0</v>
      </c>
      <c r="AA22" s="178">
        <f ca="1">SUMIFS(rec.uni[2022-08-01],
INDIRECT("rec.uni[natureza]"),"pro.soluto",
INDIRECT("rec.uni[empresa]"),AA$6)</f>
        <v>0</v>
      </c>
      <c r="AB22" s="178">
        <f ca="1">SUMIFS(rec.uni[2022-08-01],
INDIRECT("rec.uni[natureza]"),"pro.soluto",
INDIRECT("rec.uni[empresa]"),AB$6)</f>
        <v>0</v>
      </c>
      <c r="AC22" s="178">
        <f ca="1">SUMIFS(rec.uni[2022-08-01],
INDIRECT("rec.uni[natureza]"),"taxa.extra",
INDIRECT("rec.uni[empresa]"),AC$6)</f>
        <v>0</v>
      </c>
      <c r="AD22" s="166"/>
      <c r="AE22" s="178" cm="1">
        <f t="array" ref="AE22">SUMPRODUCT(
  IFERROR(--desp[valor],0)*
  (desp[nucleo]="UP CAMPO BELO")*
  (desp[categoria]=AE$7)*
  (desp[data.pagamento]&gt;=$A22)*
  (desp[data.pagamento]&lt;EOMONTH($A22,0)+1)
)</f>
        <v>0</v>
      </c>
      <c r="AF22" s="178" cm="1">
        <f t="array" ref="AF22">SUMPRODUCT(
  IFERROR(--desp[valor],0)*
  (desp[nucleo]="UP CAMPO BELO")*
  (desp[categoria]=AF$7)*
  (desp[data.pagamento]&gt;=$A22)*
  (desp[data.pagamento]&lt;EOMONTH($A22,0)+1)
)</f>
        <v>0</v>
      </c>
      <c r="AG22" s="178" cm="1">
        <f t="array" ref="AG22">SUMPRODUCT(
  IFERROR(--desp[valor],0)*
  (desp[nucleo]="UP CAMPO BELO")*
  (desp[categoria]=AG$7)*
  (desp[data.pagamento]&gt;=$A22)*
  (desp[data.pagamento]&lt;EOMONTH($A22,0)+1)
)</f>
        <v>0</v>
      </c>
      <c r="AH22" s="178" cm="1">
        <f t="array" ref="AH22">SUMPRODUCT(
  IFERROR(--desp[valor],0)*
  (desp[nucleo]="UP CAMPO BELO")*
  (desp[categoria]=AH$7)*
  (desp[data.pagamento]&gt;=$A22)*
  (desp[data.pagamento]&lt;EOMONTH($A22,0)+1)
)</f>
        <v>0</v>
      </c>
      <c r="AI22" s="179" cm="1">
        <f t="array" ref="AI22">SUMPRODUCT(
  IFERROR(--desp[valor],0)*
  (desp[nucleo]="UP CAMPO BELO")*
  (desp[categoria]=AI$7)*
  (desp[data.pagamento]&gt;=$A22)*
  (desp[data.pagamento]&lt;EOMONTH($A22,0)+1)
)</f>
        <v>0</v>
      </c>
      <c r="AJ22" s="177">
        <f>COUNTIFS(
    estq[empresa], AJ$6,
    estq[Data da venda / reserva], "&gt;=" &amp; $A22,
    estq[Data da venda / reserva], "&lt;"  &amp; EOMONTH($A22,0) + 1
)</f>
        <v>0</v>
      </c>
      <c r="AK22" s="178">
        <f ca="1">SUMIFS(rec.uni[2022-08-01],
INDIRECT("rec.uni[natureza]"),"pro.soluto",
INDIRECT("rec.uni[empresa]"),AK$6)</f>
        <v>0</v>
      </c>
      <c r="AL22" s="178">
        <f ca="1">SUMIFS(rec.uni[2022-08-01],
INDIRECT("rec.uni[natureza]"),"repasse.cef.obra",
INDIRECT("rec.uni[empresa]"),AL$6)</f>
        <v>0</v>
      </c>
      <c r="AM22" s="178">
        <f ca="1">SUMIFS(rec.uni[2022-08-01],
INDIRECT("rec.uni[natureza]"),"repasse.cef.terreno",
INDIRECT("rec.uni[empresa]"),AM$6)</f>
        <v>0</v>
      </c>
      <c r="AN22" s="178">
        <v>0</v>
      </c>
      <c r="AO22" s="178">
        <f ca="1">SUMIFS(rec.uni[2022-08-01],
INDIRECT("rec.uni[natureza]"),"taxa.extra",
INDIRECT("rec.uni[empresa]"),AO$6)</f>
        <v>0</v>
      </c>
      <c r="AP22" s="166"/>
      <c r="AQ22" s="178" cm="1">
        <f t="array" ref="AQ22">SUMPRODUCT(
  IFERROR(--desp[valor],0)*
  (desp[nucleo]="UP SELECT VILA SONIA")*
  (desp[categoria]=AQ$7)*
  (desp[data.pagamento]&gt;=$A22)*
  (desp[data.pagamento]&lt;EOMONTH($A22,0)+1)
)</f>
        <v>0</v>
      </c>
      <c r="AR22" s="178" cm="1">
        <f t="array" ref="AR22">SUMPRODUCT(
  IFERROR(--desp[valor],0)*
  (desp[nucleo]="UP SELECT VILA SONIA")*
  (desp[categoria]=AR$7)*
  (desp[data.pagamento]&gt;=$A22)*
  (desp[data.pagamento]&lt;EOMONTH($A22,0)+1)
)</f>
        <v>0</v>
      </c>
      <c r="AS22" s="178" cm="1">
        <f t="array" ref="AS22">SUMPRODUCT(
  IFERROR(--desp[valor],0)*
  (desp[nucleo]="UP SELECT VILA SONIA")*
  (desp[categoria]=AS$7)*
  (desp[data.pagamento]&gt;=$A22)*
  (desp[data.pagamento]&lt;EOMONTH($A22,0)+1)
)</f>
        <v>0</v>
      </c>
      <c r="AT22" s="178" cm="1">
        <f t="array" ref="AT22">SUMPRODUCT(
  IFERROR(--desp[valor],0)*
  (desp[nucleo]="UP SELECT VILA SONIA")*
  (desp[categoria]=AT$7)*
  (desp[data.pagamento]&gt;=$A22)*
  (desp[data.pagamento]&lt;EOMONTH($A22,0)+1)
)</f>
        <v>0</v>
      </c>
      <c r="AU22" s="179" cm="1">
        <f t="array" ref="AU22">SUMPRODUCT(
  IFERROR(--desp[valor],0)*
  (desp[nucleo]="UP SELECT VILA SONIA")*
  (desp[categoria]=AU$7)*
  (desp[data.pagamento]&gt;=$A22)*
  (desp[data.pagamento]&lt;EOMONTH($A22,0)+1)
)</f>
        <v>0</v>
      </c>
      <c r="AV22" s="177">
        <f>COUNTIFS(
    estq[empresa], AV$6,
    estq[Data da venda / reserva], "&gt;=" &amp; $A22,
    estq[Data da venda / reserva], "&lt;"  &amp; EOMONTH($A22,0) + 1
)</f>
        <v>0</v>
      </c>
      <c r="AW22" s="178">
        <f ca="1">SUMIFS(rec.uni[2022-08-01],
INDIRECT("rec.uni[natureza]"),"pro.soluto",
INDIRECT("rec.uni[empresa]"),AW$6)</f>
        <v>0</v>
      </c>
      <c r="AX22" s="178">
        <f ca="1">SUMIFS(rec.uni[2022-08-01],
INDIRECT("rec.uni[natureza]"),"repasse.cef.obra",
INDIRECT("rec.uni[empresa]"),AX$6)</f>
        <v>0</v>
      </c>
      <c r="AY22" s="178">
        <f ca="1">SUMIFS(rec.uni[2022-08-01],
INDIRECT("rec.uni[natureza]"),"repasse.cef.terreno",
INDIRECT("rec.uni[empresa]"),AY$6)</f>
        <v>0</v>
      </c>
      <c r="AZ22" s="178">
        <v>0</v>
      </c>
      <c r="BA22" s="178">
        <f ca="1">SUMIFS(rec.uni[2022-08-01],
INDIRECT("rec.uni[natureza]"),"taxa.extra",
INDIRECT("rec.uni[empresa]"),BA$6)</f>
        <v>0</v>
      </c>
      <c r="BB22" s="166"/>
      <c r="BC22" s="178" cm="1">
        <f t="array" ref="BC22">SUMPRODUCT(
  IFERROR(--desp[valor],0)*
  (desp[nucleo]="UP ESTAÇÃO SÃO LUCAS")*
  (desp[categoria]=BC$7)*
  (desp[data.pagamento]&gt;=$A22)*
  (desp[data.pagamento]&lt;EOMONTH($A22,0)+1)
)</f>
        <v>0</v>
      </c>
      <c r="BD22" s="178" cm="1">
        <f t="array" ref="BD22">SUMPRODUCT(
  IFERROR(--desp[valor],0)*
  (desp[nucleo]="UP ESTAÇÃO SÃO LUCAS")*
  (desp[categoria]=BD$7)*
  (desp[data.pagamento]&gt;=$A22)*
  (desp[data.pagamento]&lt;EOMONTH($A22,0)+1)
)</f>
        <v>0</v>
      </c>
      <c r="BE22" s="178" cm="1">
        <f t="array" ref="BE22">SUMPRODUCT(
  IFERROR(--desp[valor],0)*
  (desp[nucleo]="UP ESTAÇÃO SÃO LUCAS")*
  (desp[categoria]=BE$7)*
  (desp[data.pagamento]&gt;=$A22)*
  (desp[data.pagamento]&lt;EOMONTH($A22,0)+1)
)</f>
        <v>0</v>
      </c>
      <c r="BF22" s="178" cm="1">
        <f t="array" ref="BF22">SUMPRODUCT(
  IFERROR(--desp[valor],0)*
  (desp[nucleo]="UP ESTAÇÃO SÃO LUCAS")*
  (desp[categoria]=BF$7)*
  (desp[data.pagamento]&gt;=$A22)*
  (desp[data.pagamento]&lt;EOMONTH($A22,0)+1)
)</f>
        <v>0</v>
      </c>
      <c r="BG22" s="179" cm="1">
        <f t="array" ref="BG22">SUMPRODUCT(
  IFERROR(--desp[valor],0)*
  (desp[nucleo]="UP ESTAÇÃO SÃO LUCAS")*
  (desp[categoria]=BG$7)*
  (desp[data.pagamento]&gt;=$A22)*
  (desp[data.pagamento]&lt;EOMONTH($A22,0)+1)
)</f>
        <v>0</v>
      </c>
      <c r="BH22" s="177">
        <f>COUNTIFS(
    estq[empresa], BH$6,
    estq[Data da venda / reserva], "&gt;=" &amp; $A22,
    estq[Data da venda / reserva], "&lt;"  &amp; EOMONTH($A22,0) + 1
)</f>
        <v>0</v>
      </c>
      <c r="BI22" s="178">
        <f ca="1">SUMIFS(rec.uni[2022-08-01],
INDIRECT("rec.uni[natureza]"),"pro.soluto",
INDIRECT("rec.uni[empresa]"),BI$6)</f>
        <v>0</v>
      </c>
      <c r="BJ22" s="166">
        <v>0</v>
      </c>
      <c r="BK22" s="178">
        <f ca="1">SUMIFS(rec.uni[2022-08-01],
INDIRECT("rec.uni[natureza]"),"taxa.extra",
INDIRECT("rec.uni[empresa]"),BK$6)</f>
        <v>0</v>
      </c>
      <c r="BL22" s="166"/>
      <c r="BM22" s="178" cm="1">
        <f t="array" ref="BM22">SUMPRODUCT(
  IFERROR(--desp[valor],0)*
  (desp[nucleo]="UP POMPEIA")*
  (desp[categoria]=BM$7)*
  (desp[data.pagamento]&gt;=$A22)*
  (desp[data.pagamento]&lt;EOMONTH($A22,0)+1)
)</f>
        <v>0</v>
      </c>
      <c r="BN22" s="178" cm="1">
        <f t="array" ref="BN22">SUMPRODUCT(
  IFERROR(--desp[valor],0)*
  (desp[nucleo]="UP POMPEIA")*
  (desp[categoria]=BN$7)*
  (desp[data.pagamento]&gt;=$A22)*
  (desp[data.pagamento]&lt;EOMONTH($A22,0)+1)
)</f>
        <v>0</v>
      </c>
      <c r="BO22" s="178" cm="1">
        <f t="array" ref="BO22">SUMPRODUCT(
  IFERROR(--desp[valor],0)*
  (desp[nucleo]="UP POMPEIA")*
  (desp[categoria]=BO$7)*
  (desp[data.pagamento]&gt;=$A22)*
  (desp[data.pagamento]&lt;EOMONTH($A22,0)+1)
)</f>
        <v>0</v>
      </c>
      <c r="BP22" s="178" cm="1">
        <f t="array" ref="BP22">SUMPRODUCT(
  IFERROR(--desp[valor],0)*
  (desp[nucleo]="UP POMPEIA")*
  (desp[categoria]=BP$7)*
  (desp[data.pagamento]&gt;=$A22)*
  (desp[data.pagamento]&lt;EOMONTH($A22,0)+1)
)</f>
        <v>0</v>
      </c>
      <c r="BQ22" s="179" cm="1">
        <f t="array" ref="BQ22">SUMPRODUCT(
  IFERROR(--desp[valor],0)*
  (desp[nucleo]="UP POMPEIA")*
  (desp[categoria]=BQ$7)*
  (desp[data.pagamento]&gt;=$A22)*
  (desp[data.pagamento]&lt;EOMONTH($A22,0)+1)
)</f>
        <v>0</v>
      </c>
      <c r="BR22" s="177">
        <f>COUNTIFS(
    estq[empresa], BR$6,
    estq[Data da venda / reserva], "&gt;=" &amp; $A22,
    estq[Data da venda / reserva], "&lt;"  &amp; EOMONTH($A22,0) + 1
)</f>
        <v>0</v>
      </c>
      <c r="BS22" s="178">
        <f ca="1">SUMIFS(rec.uni[2022-08-01],
INDIRECT("rec.uni[natureza]"),"pro.soluto",
INDIRECT("rec.uni[empresa]"),BS$6)</f>
        <v>0</v>
      </c>
      <c r="BT22" s="178">
        <f ca="1">SUMIFS(rec.uni[2022-08-01],
INDIRECT("rec.uni[natureza]"),"pro.soluto",
INDIRECT("rec.uni[empresa]"),BT$6)</f>
        <v>0</v>
      </c>
      <c r="BU22" s="178">
        <f ca="1">SUMIFS(rec.uni[2022-08-01],
INDIRECT("rec.uni[natureza]"),"taxa.extra",
INDIRECT("rec.uni[empresa]"),BU$6)</f>
        <v>0</v>
      </c>
      <c r="BV22" s="166"/>
      <c r="BW22" s="178" cm="1">
        <f t="array" ref="BW22">SUMPRODUCT(
  IFERROR(--desp[valor],0)*
  (desp[nucleo]="UP SAUDE")*
  (desp[categoria]=BW$7)*
  (desp[data.pagamento]&gt;=$A22)*
  (desp[data.pagamento]&lt;EOMONTH($A22,0)+1)
)</f>
        <v>0</v>
      </c>
      <c r="BX22" s="178" cm="1">
        <f t="array" ref="BX22">SUMPRODUCT(
  IFERROR(--desp[valor],0)*
  (desp[nucleo]="UP SAUDE")*
  (desp[categoria]=BX$7)*
  (desp[data.pagamento]&gt;=$A22)*
  (desp[data.pagamento]&lt;EOMONTH($A22,0)+1)
)</f>
        <v>0</v>
      </c>
      <c r="BY22" s="178" cm="1">
        <f t="array" ref="BY22">SUMPRODUCT(
  IFERROR(--desp[valor],0)*
  (desp[nucleo]="UP SAUDE")*
  (desp[categoria]=BY$7)*
  (desp[data.pagamento]&gt;=$A22)*
  (desp[data.pagamento]&lt;EOMONTH($A22,0)+1)
)</f>
        <v>0</v>
      </c>
      <c r="BZ22" s="178" cm="1">
        <f t="array" ref="BZ22">SUMPRODUCT(
  IFERROR(--desp[valor],0)*
  (desp[nucleo]="UP SAUDE")*
  (desp[categoria]=BZ$7)*
  (desp[data.pagamento]&gt;=$A22)*
  (desp[data.pagamento]&lt;EOMONTH($A22,0)+1)
)</f>
        <v>0</v>
      </c>
      <c r="CA22" s="179" cm="1">
        <f t="array" ref="CA22">SUMPRODUCT(
  IFERROR(--desp[valor],0)*
  (desp[nucleo]="UP SAUDE")*
  (desp[categoria]=CA$7)*
  (desp[data.pagamento]&gt;=$A22)*
  (desp[data.pagamento]&lt;EOMONTH($A22,0)+1)
)</f>
        <v>0</v>
      </c>
      <c r="CB22" s="177">
        <f>COUNTIFS(
    estq[empresa], CB$6,
    estq[Data da venda / reserva], "&gt;=" &amp; $A22,
    estq[Data da venda / reserva], "&lt;"  &amp; EOMONTH($A22,0) + 1
)</f>
        <v>0</v>
      </c>
      <c r="CC22" s="178">
        <f ca="1">SUMIFS(rec.uni[2022-08-01],
INDIRECT("rec.uni[natureza]"),"pro.soluto",
INDIRECT("rec.uni[empresa]"),CC$6)</f>
        <v>0</v>
      </c>
      <c r="CD22" s="178">
        <f ca="1">SUMIFS(rec.uni[2022-08-01],
INDIRECT("rec.uni[natureza]"),"repasse.cef.obra",
INDIRECT("rec.uni[empresa]"),CD$6)</f>
        <v>0</v>
      </c>
      <c r="CE22" s="178">
        <f ca="1">SUMIFS(rec.uni[2022-08-01],
INDIRECT("rec.uni[natureza]"),"repasse.cef.terreno",
INDIRECT("rec.uni[empresa]"),CE$6)</f>
        <v>0</v>
      </c>
      <c r="CF22" s="178">
        <v>0</v>
      </c>
      <c r="CG22" s="178">
        <f ca="1">SUMIFS(rec.uni[2022-08-01],
INDIRECT("rec.uni[natureza]"),"taxa.extra",
INDIRECT("rec.uni[empresa]"),CG$6)</f>
        <v>0</v>
      </c>
      <c r="CH22" s="166"/>
      <c r="CI22" s="178" cm="1">
        <f t="array" ref="CI22">SUMPRODUCT(
  IFERROR(--desp[valor],0)*
  (desp[nucleo]="UP ESTAÇÃO VILA SONIA")*
  (desp[categoria]=CI$7)*
  (desp[data.pagamento]&gt;=$A22)*
  (desp[data.pagamento]&lt;EOMONTH($A22,0)+1)
)</f>
        <v>0</v>
      </c>
      <c r="CJ22" s="178" cm="1">
        <f t="array" ref="CJ22">SUMPRODUCT(
  IFERROR(--desp[valor],0)*
  (desp[nucleo]="UP ESTAÇÃO VILA SONIA")*
  (desp[categoria]=CJ$7)*
  (desp[data.pagamento]&gt;=$A22)*
  (desp[data.pagamento]&lt;EOMONTH($A22,0)+1)
)</f>
        <v>0</v>
      </c>
      <c r="CK22" s="178" cm="1">
        <f t="array" ref="CK22">SUMPRODUCT(
  IFERROR(--desp[valor],0)*
  (desp[nucleo]="UP ESTAÇÃO VILA SONIA")*
  (desp[categoria]=CK$7)*
  (desp[data.pagamento]&gt;=$A22)*
  (desp[data.pagamento]&lt;EOMONTH($A22,0)+1)
)</f>
        <v>0</v>
      </c>
      <c r="CL22" s="178" cm="1">
        <f t="array" ref="CL22">SUMPRODUCT(
  IFERROR(--desp[valor],0)*
  (desp[nucleo]="UP ESTAÇÃO VILA SONIA")*
  (desp[categoria]=CL$7)*
  (desp[data.pagamento]&gt;=$A22)*
  (desp[data.pagamento]&lt;EOMONTH($A22,0)+1)
)</f>
        <v>0</v>
      </c>
      <c r="CM22" s="179" cm="1">
        <f t="array" ref="CM22">SUMPRODUCT(
  IFERROR(--desp[valor],0)*
  (desp[nucleo]="UP ESTAÇÃO VILA SONIA")*
  (desp[categoria]=CM$7)*
  (desp[data.pagamento]&gt;=$A22)*
  (desp[data.pagamento]&lt;EOMONTH($A22,0)+1)
)</f>
        <v>0</v>
      </c>
      <c r="CN22" s="177">
        <f>COUNTIFS(
    estq[empresa], CN$6,
    estq[Data da venda / reserva], "&gt;=" &amp; $A22,
    estq[Data da venda / reserva], "&lt;"  &amp; EOMONTH($A22,0) + 1
)</f>
        <v>0</v>
      </c>
      <c r="CO22" s="178">
        <f ca="1">SUMIFS(rec.uni[2022-08-01],
INDIRECT("rec.uni[natureza]"),"pro.soluto",
INDIRECT("rec.uni[empresa]"),CO$6)</f>
        <v>0</v>
      </c>
      <c r="CP22" s="178">
        <f ca="1">SUMIFS(rec.uni[2022-08-01],
INDIRECT("rec.uni[natureza]"),"repasse.cef.obra",
INDIRECT("rec.uni[empresa]"),CP$6)</f>
        <v>0</v>
      </c>
      <c r="CQ22" s="178">
        <f ca="1">SUMIFS(rec.uni[2022-08-01],
INDIRECT("rec.uni[natureza]"),"repasse.cef.terreno",
INDIRECT("rec.uni[empresa]"),CQ$6)</f>
        <v>0</v>
      </c>
      <c r="CR22" s="178">
        <v>0</v>
      </c>
      <c r="CS22" s="178">
        <f ca="1">SUMIFS(rec.uni[2022-08-01],
INDIRECT("rec.uni[natureza]"),"taxa.extra",
INDIRECT("rec.uni[empresa]"),CS$6)</f>
        <v>0</v>
      </c>
      <c r="CT22" s="166"/>
      <c r="CU22" s="178" cm="1">
        <f t="array" ref="CU22">SUMPRODUCT(
  IFERROR(--desp[valor],0)*
  (desp[nucleo]="UP MOVE VILA SONIA")*
  (desp[categoria]=CU$7)*
  (desp[data.pagamento]&gt;=$A22)*
  (desp[data.pagamento]&lt;EOMONTH($A22,0)+1)
)</f>
        <v>0</v>
      </c>
      <c r="CV22" s="178" cm="1">
        <f t="array" ref="CV22">SUMPRODUCT(
  IFERROR(--desp[valor],0)*
  (desp[nucleo]="UP MOVE VILA SONIA")*
  (desp[categoria]=CV$7)*
  (desp[data.pagamento]&gt;=$A22)*
  (desp[data.pagamento]&lt;EOMONTH($A22,0)+1)
)</f>
        <v>0</v>
      </c>
      <c r="CW22" s="178" cm="1">
        <f t="array" ref="CW22">SUMPRODUCT(
  IFERROR(--desp[valor],0)*
  (desp[nucleo]="UP MOVE VILA SONIA")*
  (desp[categoria]=CW$7)*
  (desp[data.pagamento]&gt;=$A22)*
  (desp[data.pagamento]&lt;EOMONTH($A22,0)+1)
)</f>
        <v>0</v>
      </c>
      <c r="CX22" s="178" cm="1">
        <f t="array" ref="CX22">SUMPRODUCT(
  IFERROR(--desp[valor],0)*
  (desp[nucleo]="UP MOVE VILA SONIA")*
  (desp[categoria]=CX$7)*
  (desp[data.pagamento]&gt;=$A22)*
  (desp[data.pagamento]&lt;EOMONTH($A22,0)+1)
)</f>
        <v>0</v>
      </c>
      <c r="CY22" s="180" cm="1">
        <f t="array" ref="CY22">SUMPRODUCT(
  IFERROR(--desp[valor],0)*
  (desp[nucleo]="UP MOVE VILA SONIA")*
  (desp[categoria]=CY$7)*
  (desp[data.pagamento]&gt;=$A22)*
  (desp[data.pagamento]&lt;EOMONTH($A22,0)+1)
)</f>
        <v>0</v>
      </c>
    </row>
    <row r="23" spans="1:103" x14ac:dyDescent="0.25">
      <c r="A23" s="176">
        <v>44805</v>
      </c>
      <c r="B23" s="177">
        <f>COUNTIFS(
    estq[empresa], B$6,
    estq[Data da venda / reserva], "&gt;=" &amp; $A23,
    estq[Data da venda / reserva], "&lt;"  &amp; EOMONTH($A23,0) + 1
)</f>
        <v>0</v>
      </c>
      <c r="C23" s="178">
        <f ca="1">SUMIFS(rec.uni[2022-09-01],
INDIRECT("rec.uni[natureza]"),"pro.soluto",
INDIRECT("rec.uni[empresa]"),C$6)</f>
        <v>0</v>
      </c>
      <c r="D23" s="178">
        <f ca="1">SUMIFS(rec.uni[2022-09-01],
INDIRECT("rec.uni[natureza]"),"repasse.cef.obra",
INDIRECT("rec.uni[empresa]"),D$6)</f>
        <v>0</v>
      </c>
      <c r="E23" s="178">
        <f ca="1">SUMIFS(rec.uni[2022-09-01],
INDIRECT("rec.uni[natureza]"),"repasse.cef.terreno",
INDIRECT("rec.uni[empresa]"),E$6)</f>
        <v>0</v>
      </c>
      <c r="F23" s="178">
        <v>0</v>
      </c>
      <c r="G23" s="178">
        <f ca="1">SUMIFS(rec.uni[2022-09-01],
INDIRECT("rec.uni[natureza]"),"taxa.extra",
INDIRECT("rec.uni[empresa]"),G$6)</f>
        <v>0</v>
      </c>
      <c r="H23" s="166"/>
      <c r="I23" s="178" cm="1">
        <f t="array" ref="I23">SUMPRODUCT(
  IFERROR(--desp[valor],0)*
  (desp[nucleo]="UP JARDIM PRUDENCIA")*
  (desp[categoria]=I$7)*
  (desp[data.pagamento]&gt;=$A23)*
  (desp[data.pagamento]&lt;EOMONTH($A23,0)+1)
)</f>
        <v>0</v>
      </c>
      <c r="J23" s="178" cm="1">
        <f t="array" ref="J23">SUMPRODUCT(
  IFERROR(--desp[valor],0)*
  (desp[nucleo]="UP JARDIM PRUDENCIA")*
  (desp[categoria]=J$7)*
  (desp[data.pagamento]&gt;=$A23)*
  (desp[data.pagamento]&lt;EOMONTH($A23,0)+1)
)</f>
        <v>0</v>
      </c>
      <c r="K23" s="178" cm="1">
        <f t="array" ref="K23">SUMPRODUCT(
  IFERROR(--desp[valor],0)*
  (desp[nucleo]="UP JARDIM PRUDENCIA")*
  (desp[categoria]=K$7)*
  (desp[data.pagamento]&gt;=$A23)*
  (desp[data.pagamento]&lt;EOMONTH($A23,0)+1)
)</f>
        <v>0</v>
      </c>
      <c r="L23" s="178" cm="1">
        <f t="array" ref="L23">SUMPRODUCT(
  IFERROR(--desp[valor],0)*
  (desp[nucleo]="UP JARDIM PRUDENCIA")*
  (desp[categoria]=L$7)*
  (desp[data.pagamento]&gt;=$A23)*
  (desp[data.pagamento]&lt;EOMONTH($A23,0)+1)
)</f>
        <v>0</v>
      </c>
      <c r="M23" s="179" cm="1">
        <f t="array" ref="M23">SUMPRODUCT(
  IFERROR(--desp[valor],0)*
  (desp[nucleo]="UP JARDIM PRUDENCIA")*
  (desp[categoria]=M$7)*
  (desp[data.pagamento]&gt;=$A23)*
  (desp[data.pagamento]&lt;EOMONTH($A23,0)+1)
)</f>
        <v>0</v>
      </c>
      <c r="N23" s="177">
        <f>COUNTIFS(
    estq[empresa], N$6,
    estq[Data da venda / reserva], "&gt;=" &amp; $A23,
    estq[Data da venda / reserva], "&lt;"  &amp; EOMONTH($A23,0) + 1
)</f>
        <v>0</v>
      </c>
      <c r="O23" s="178">
        <f ca="1">SUMIFS(rec.uni[2022-09-01],
INDIRECT("rec.uni[natureza]"),"pro.soluto",
INDIRECT("rec.uni[empresa]"),O$6)</f>
        <v>0</v>
      </c>
      <c r="P23" s="178">
        <f ca="1">SUMIFS(rec.uni[2022-09-01],
INDIRECT("rec.uni[natureza]"),"repasse.cef.obra",
INDIRECT("rec.uni[empresa]"),P$6)</f>
        <v>0</v>
      </c>
      <c r="Q23" s="178">
        <f ca="1">SUMIFS(rec.uni[2022-09-01],
INDIRECT("rec.uni[natureza]"),"repasse.cef.terreno",
INDIRECT("rec.uni[empresa]"),Q$6)</f>
        <v>0</v>
      </c>
      <c r="R23" s="178">
        <v>0</v>
      </c>
      <c r="S23" s="178">
        <f ca="1">SUMIFS(rec.uni[2022-09-01],
INDIRECT("rec.uni[natureza]"),"taxa.extra",
INDIRECT("rec.uni[empresa]"),S$6)</f>
        <v>0</v>
      </c>
      <c r="T23" s="166"/>
      <c r="U23" s="178" cm="1">
        <f t="array" ref="U23">SUMPRODUCT(
  IFERROR(--desp[valor],0)*
  (desp[nucleo]="UP VILA SONIA")*
  (desp[categoria]=U$7)*
  (desp[data.pagamento]&gt;=$A23)*
  (desp[data.pagamento]&lt;EOMONTH($A23,0)+1)
)</f>
        <v>0</v>
      </c>
      <c r="V23" s="178" cm="1">
        <f t="array" ref="V23">SUMPRODUCT(
  IFERROR(--desp[valor],0)*
  (desp[nucleo]="UP VILA SONIA")*
  (desp[categoria]=V$7)*
  (desp[data.pagamento]&gt;=$A23)*
  (desp[data.pagamento]&lt;EOMONTH($A23,0)+1)
)</f>
        <v>0</v>
      </c>
      <c r="W23" s="178" cm="1">
        <f t="array" ref="W23">SUMPRODUCT(
  IFERROR(--desp[valor],0)*
  (desp[nucleo]="UP VILA SONIA")*
  (desp[categoria]=W$7)*
  (desp[data.pagamento]&gt;=$A23)*
  (desp[data.pagamento]&lt;EOMONTH($A23,0)+1)
)</f>
        <v>0</v>
      </c>
      <c r="X23" s="178" cm="1">
        <f t="array" ref="X23">SUMPRODUCT(
  IFERROR(--desp[valor],0)*
  (desp[nucleo]="UP VILA SONIA")*
  (desp[categoria]=X$7)*
  (desp[data.pagamento]&gt;=$A23)*
  (desp[data.pagamento]&lt;EOMONTH($A23,0)+1)
)</f>
        <v>0</v>
      </c>
      <c r="Y23" s="179" cm="1">
        <f t="array" ref="Y23">SUMPRODUCT(
  IFERROR(--desp[valor],0)*
  (desp[nucleo]="UP VILA SONIA")*
  (desp[categoria]=Y$7)*
  (desp[data.pagamento]&gt;=$A23)*
  (desp[data.pagamento]&lt;EOMONTH($A23,0)+1)
)</f>
        <v>0</v>
      </c>
      <c r="Z23" s="177">
        <f>COUNTIFS(
    estq[empresa], Z$6,
    estq[Data da venda / reserva], "&gt;=" &amp; $A23,
    estq[Data da venda / reserva], "&lt;"  &amp; EOMONTH($A23,0) + 1
)</f>
        <v>0</v>
      </c>
      <c r="AA23" s="178">
        <f ca="1">SUMIFS(rec.uni[2022-09-01],
INDIRECT("rec.uni[natureza]"),"pro.soluto",
INDIRECT("rec.uni[empresa]"),AA$6)</f>
        <v>0</v>
      </c>
      <c r="AB23" s="178">
        <f ca="1">SUMIFS(rec.uni[2022-09-01],
INDIRECT("rec.uni[natureza]"),"pro.soluto",
INDIRECT("rec.uni[empresa]"),AB$6)</f>
        <v>0</v>
      </c>
      <c r="AC23" s="178">
        <f ca="1">SUMIFS(rec.uni[2022-09-01],
INDIRECT("rec.uni[natureza]"),"taxa.extra",
INDIRECT("rec.uni[empresa]"),AC$6)</f>
        <v>0</v>
      </c>
      <c r="AD23" s="166"/>
      <c r="AE23" s="178" cm="1">
        <f t="array" ref="AE23">SUMPRODUCT(
  IFERROR(--desp[valor],0)*
  (desp[nucleo]="UP CAMPO BELO")*
  (desp[categoria]=AE$7)*
  (desp[data.pagamento]&gt;=$A23)*
  (desp[data.pagamento]&lt;EOMONTH($A23,0)+1)
)</f>
        <v>0</v>
      </c>
      <c r="AF23" s="178" cm="1">
        <f t="array" ref="AF23">SUMPRODUCT(
  IFERROR(--desp[valor],0)*
  (desp[nucleo]="UP CAMPO BELO")*
  (desp[categoria]=AF$7)*
  (desp[data.pagamento]&gt;=$A23)*
  (desp[data.pagamento]&lt;EOMONTH($A23,0)+1)
)</f>
        <v>0</v>
      </c>
      <c r="AG23" s="178" cm="1">
        <f t="array" ref="AG23">SUMPRODUCT(
  IFERROR(--desp[valor],0)*
  (desp[nucleo]="UP CAMPO BELO")*
  (desp[categoria]=AG$7)*
  (desp[data.pagamento]&gt;=$A23)*
  (desp[data.pagamento]&lt;EOMONTH($A23,0)+1)
)</f>
        <v>0</v>
      </c>
      <c r="AH23" s="178" cm="1">
        <f t="array" ref="AH23">SUMPRODUCT(
  IFERROR(--desp[valor],0)*
  (desp[nucleo]="UP CAMPO BELO")*
  (desp[categoria]=AH$7)*
  (desp[data.pagamento]&gt;=$A23)*
  (desp[data.pagamento]&lt;EOMONTH($A23,0)+1)
)</f>
        <v>0</v>
      </c>
      <c r="AI23" s="179" cm="1">
        <f t="array" ref="AI23">SUMPRODUCT(
  IFERROR(--desp[valor],0)*
  (desp[nucleo]="UP CAMPO BELO")*
  (desp[categoria]=AI$7)*
  (desp[data.pagamento]&gt;=$A23)*
  (desp[data.pagamento]&lt;EOMONTH($A23,0)+1)
)</f>
        <v>0</v>
      </c>
      <c r="AJ23" s="177">
        <f>COUNTIFS(
    estq[empresa], AJ$6,
    estq[Data da venda / reserva], "&gt;=" &amp; $A23,
    estq[Data da venda / reserva], "&lt;"  &amp; EOMONTH($A23,0) + 1
)</f>
        <v>0</v>
      </c>
      <c r="AK23" s="178">
        <f ca="1">SUMIFS(rec.uni[2022-09-01],
INDIRECT("rec.uni[natureza]"),"pro.soluto",
INDIRECT("rec.uni[empresa]"),AK$6)</f>
        <v>0</v>
      </c>
      <c r="AL23" s="178">
        <f ca="1">SUMIFS(rec.uni[2022-09-01],
INDIRECT("rec.uni[natureza]"),"repasse.cef.obra",
INDIRECT("rec.uni[empresa]"),AL$6)</f>
        <v>0</v>
      </c>
      <c r="AM23" s="178">
        <f ca="1">SUMIFS(rec.uni[2022-09-01],
INDIRECT("rec.uni[natureza]"),"repasse.cef.terreno",
INDIRECT("rec.uni[empresa]"),AM$6)</f>
        <v>0</v>
      </c>
      <c r="AN23" s="178">
        <v>0</v>
      </c>
      <c r="AO23" s="178">
        <f ca="1">SUMIFS(rec.uni[2022-09-01],
INDIRECT("rec.uni[natureza]"),"taxa.extra",
INDIRECT("rec.uni[empresa]"),AO$6)</f>
        <v>0</v>
      </c>
      <c r="AP23" s="166"/>
      <c r="AQ23" s="178" cm="1">
        <f t="array" ref="AQ23">SUMPRODUCT(
  IFERROR(--desp[valor],0)*
  (desp[nucleo]="UP SELECT VILA SONIA")*
  (desp[categoria]=AQ$7)*
  (desp[data.pagamento]&gt;=$A23)*
  (desp[data.pagamento]&lt;EOMONTH($A23,0)+1)
)</f>
        <v>0</v>
      </c>
      <c r="AR23" s="178" cm="1">
        <f t="array" ref="AR23">SUMPRODUCT(
  IFERROR(--desp[valor],0)*
  (desp[nucleo]="UP SELECT VILA SONIA")*
  (desp[categoria]=AR$7)*
  (desp[data.pagamento]&gt;=$A23)*
  (desp[data.pagamento]&lt;EOMONTH($A23,0)+1)
)</f>
        <v>0</v>
      </c>
      <c r="AS23" s="178" cm="1">
        <f t="array" ref="AS23">SUMPRODUCT(
  IFERROR(--desp[valor],0)*
  (desp[nucleo]="UP SELECT VILA SONIA")*
  (desp[categoria]=AS$7)*
  (desp[data.pagamento]&gt;=$A23)*
  (desp[data.pagamento]&lt;EOMONTH($A23,0)+1)
)</f>
        <v>0</v>
      </c>
      <c r="AT23" s="178" cm="1">
        <f t="array" ref="AT23">SUMPRODUCT(
  IFERROR(--desp[valor],0)*
  (desp[nucleo]="UP SELECT VILA SONIA")*
  (desp[categoria]=AT$7)*
  (desp[data.pagamento]&gt;=$A23)*
  (desp[data.pagamento]&lt;EOMONTH($A23,0)+1)
)</f>
        <v>0</v>
      </c>
      <c r="AU23" s="179" cm="1">
        <f t="array" ref="AU23">SUMPRODUCT(
  IFERROR(--desp[valor],0)*
  (desp[nucleo]="UP SELECT VILA SONIA")*
  (desp[categoria]=AU$7)*
  (desp[data.pagamento]&gt;=$A23)*
  (desp[data.pagamento]&lt;EOMONTH($A23,0)+1)
)</f>
        <v>0</v>
      </c>
      <c r="AV23" s="177">
        <f>COUNTIFS(
    estq[empresa], AV$6,
    estq[Data da venda / reserva], "&gt;=" &amp; $A23,
    estq[Data da venda / reserva], "&lt;"  &amp; EOMONTH($A23,0) + 1
)</f>
        <v>0</v>
      </c>
      <c r="AW23" s="178">
        <f ca="1">SUMIFS(rec.uni[2022-09-01],
INDIRECT("rec.uni[natureza]"),"pro.soluto",
INDIRECT("rec.uni[empresa]"),AW$6)</f>
        <v>0</v>
      </c>
      <c r="AX23" s="178">
        <f ca="1">SUMIFS(rec.uni[2022-09-01],
INDIRECT("rec.uni[natureza]"),"repasse.cef.obra",
INDIRECT("rec.uni[empresa]"),AX$6)</f>
        <v>0</v>
      </c>
      <c r="AY23" s="178">
        <f ca="1">SUMIFS(rec.uni[2022-09-01],
INDIRECT("rec.uni[natureza]"),"repasse.cef.terreno",
INDIRECT("rec.uni[empresa]"),AY$6)</f>
        <v>0</v>
      </c>
      <c r="AZ23" s="178">
        <v>0</v>
      </c>
      <c r="BA23" s="178">
        <f ca="1">SUMIFS(rec.uni[2022-09-01],
INDIRECT("rec.uni[natureza]"),"taxa.extra",
INDIRECT("rec.uni[empresa]"),BA$6)</f>
        <v>0</v>
      </c>
      <c r="BB23" s="166"/>
      <c r="BC23" s="178" cm="1">
        <f t="array" ref="BC23">SUMPRODUCT(
  IFERROR(--desp[valor],0)*
  (desp[nucleo]="UP ESTAÇÃO SÃO LUCAS")*
  (desp[categoria]=BC$7)*
  (desp[data.pagamento]&gt;=$A23)*
  (desp[data.pagamento]&lt;EOMONTH($A23,0)+1)
)</f>
        <v>0</v>
      </c>
      <c r="BD23" s="178" cm="1">
        <f t="array" ref="BD23">SUMPRODUCT(
  IFERROR(--desp[valor],0)*
  (desp[nucleo]="UP ESTAÇÃO SÃO LUCAS")*
  (desp[categoria]=BD$7)*
  (desp[data.pagamento]&gt;=$A23)*
  (desp[data.pagamento]&lt;EOMONTH($A23,0)+1)
)</f>
        <v>0</v>
      </c>
      <c r="BE23" s="178" cm="1">
        <f t="array" ref="BE23">SUMPRODUCT(
  IFERROR(--desp[valor],0)*
  (desp[nucleo]="UP ESTAÇÃO SÃO LUCAS")*
  (desp[categoria]=BE$7)*
  (desp[data.pagamento]&gt;=$A23)*
  (desp[data.pagamento]&lt;EOMONTH($A23,0)+1)
)</f>
        <v>0</v>
      </c>
      <c r="BF23" s="178" cm="1">
        <f t="array" ref="BF23">SUMPRODUCT(
  IFERROR(--desp[valor],0)*
  (desp[nucleo]="UP ESTAÇÃO SÃO LUCAS")*
  (desp[categoria]=BF$7)*
  (desp[data.pagamento]&gt;=$A23)*
  (desp[data.pagamento]&lt;EOMONTH($A23,0)+1)
)</f>
        <v>0</v>
      </c>
      <c r="BG23" s="179" cm="1">
        <f t="array" ref="BG23">SUMPRODUCT(
  IFERROR(--desp[valor],0)*
  (desp[nucleo]="UP ESTAÇÃO SÃO LUCAS")*
  (desp[categoria]=BG$7)*
  (desp[data.pagamento]&gt;=$A23)*
  (desp[data.pagamento]&lt;EOMONTH($A23,0)+1)
)</f>
        <v>0</v>
      </c>
      <c r="BH23" s="177">
        <f>COUNTIFS(
    estq[empresa], BH$6,
    estq[Data da venda / reserva], "&gt;=" &amp; $A23,
    estq[Data da venda / reserva], "&lt;"  &amp; EOMONTH($A23,0) + 1
)</f>
        <v>0</v>
      </c>
      <c r="BI23" s="178">
        <f ca="1">SUMIFS(rec.uni[2022-09-01],
INDIRECT("rec.uni[natureza]"),"pro.soluto",
INDIRECT("rec.uni[empresa]"),BI$6)</f>
        <v>0</v>
      </c>
      <c r="BJ23" s="166">
        <v>0</v>
      </c>
      <c r="BK23" s="178">
        <f ca="1">SUMIFS(rec.uni[2022-09-01],
INDIRECT("rec.uni[natureza]"),"taxa.extra",
INDIRECT("rec.uni[empresa]"),BK$6)</f>
        <v>0</v>
      </c>
      <c r="BL23" s="166"/>
      <c r="BM23" s="178" cm="1">
        <f t="array" ref="BM23">SUMPRODUCT(
  IFERROR(--desp[valor],0)*
  (desp[nucleo]="UP POMPEIA")*
  (desp[categoria]=BM$7)*
  (desp[data.pagamento]&gt;=$A23)*
  (desp[data.pagamento]&lt;EOMONTH($A23,0)+1)
)</f>
        <v>0</v>
      </c>
      <c r="BN23" s="178" cm="1">
        <f t="array" ref="BN23">SUMPRODUCT(
  IFERROR(--desp[valor],0)*
  (desp[nucleo]="UP POMPEIA")*
  (desp[categoria]=BN$7)*
  (desp[data.pagamento]&gt;=$A23)*
  (desp[data.pagamento]&lt;EOMONTH($A23,0)+1)
)</f>
        <v>0</v>
      </c>
      <c r="BO23" s="178" cm="1">
        <f t="array" ref="BO23">SUMPRODUCT(
  IFERROR(--desp[valor],0)*
  (desp[nucleo]="UP POMPEIA")*
  (desp[categoria]=BO$7)*
  (desp[data.pagamento]&gt;=$A23)*
  (desp[data.pagamento]&lt;EOMONTH($A23,0)+1)
)</f>
        <v>0</v>
      </c>
      <c r="BP23" s="178" cm="1">
        <f t="array" ref="BP23">SUMPRODUCT(
  IFERROR(--desp[valor],0)*
  (desp[nucleo]="UP POMPEIA")*
  (desp[categoria]=BP$7)*
  (desp[data.pagamento]&gt;=$A23)*
  (desp[data.pagamento]&lt;EOMONTH($A23,0)+1)
)</f>
        <v>0</v>
      </c>
      <c r="BQ23" s="179" cm="1">
        <f t="array" ref="BQ23">SUMPRODUCT(
  IFERROR(--desp[valor],0)*
  (desp[nucleo]="UP POMPEIA")*
  (desp[categoria]=BQ$7)*
  (desp[data.pagamento]&gt;=$A23)*
  (desp[data.pagamento]&lt;EOMONTH($A23,0)+1)
)</f>
        <v>0</v>
      </c>
      <c r="BR23" s="177">
        <f>COUNTIFS(
    estq[empresa], BR$6,
    estq[Data da venda / reserva], "&gt;=" &amp; $A23,
    estq[Data da venda / reserva], "&lt;"  &amp; EOMONTH($A23,0) + 1
)</f>
        <v>0</v>
      </c>
      <c r="BS23" s="178">
        <f ca="1">SUMIFS(rec.uni[2022-09-01],
INDIRECT("rec.uni[natureza]"),"pro.soluto",
INDIRECT("rec.uni[empresa]"),BS$6)</f>
        <v>0</v>
      </c>
      <c r="BT23" s="178">
        <f ca="1">SUMIFS(rec.uni[2022-09-01],
INDIRECT("rec.uni[natureza]"),"pro.soluto",
INDIRECT("rec.uni[empresa]"),BT$6)</f>
        <v>0</v>
      </c>
      <c r="BU23" s="178">
        <f ca="1">SUMIFS(rec.uni[2022-09-01],
INDIRECT("rec.uni[natureza]"),"taxa.extra",
INDIRECT("rec.uni[empresa]"),BU$6)</f>
        <v>0</v>
      </c>
      <c r="BV23" s="166"/>
      <c r="BW23" s="178" cm="1">
        <f t="array" ref="BW23">SUMPRODUCT(
  IFERROR(--desp[valor],0)*
  (desp[nucleo]="UP SAUDE")*
  (desp[categoria]=BW$7)*
  (desp[data.pagamento]&gt;=$A23)*
  (desp[data.pagamento]&lt;EOMONTH($A23,0)+1)
)</f>
        <v>0</v>
      </c>
      <c r="BX23" s="178" cm="1">
        <f t="array" ref="BX23">SUMPRODUCT(
  IFERROR(--desp[valor],0)*
  (desp[nucleo]="UP SAUDE")*
  (desp[categoria]=BX$7)*
  (desp[data.pagamento]&gt;=$A23)*
  (desp[data.pagamento]&lt;EOMONTH($A23,0)+1)
)</f>
        <v>0</v>
      </c>
      <c r="BY23" s="178" cm="1">
        <f t="array" ref="BY23">SUMPRODUCT(
  IFERROR(--desp[valor],0)*
  (desp[nucleo]="UP SAUDE")*
  (desp[categoria]=BY$7)*
  (desp[data.pagamento]&gt;=$A23)*
  (desp[data.pagamento]&lt;EOMONTH($A23,0)+1)
)</f>
        <v>0</v>
      </c>
      <c r="BZ23" s="178" cm="1">
        <f t="array" ref="BZ23">SUMPRODUCT(
  IFERROR(--desp[valor],0)*
  (desp[nucleo]="UP SAUDE")*
  (desp[categoria]=BZ$7)*
  (desp[data.pagamento]&gt;=$A23)*
  (desp[data.pagamento]&lt;EOMONTH($A23,0)+1)
)</f>
        <v>0</v>
      </c>
      <c r="CA23" s="179" cm="1">
        <f t="array" ref="CA23">SUMPRODUCT(
  IFERROR(--desp[valor],0)*
  (desp[nucleo]="UP SAUDE")*
  (desp[categoria]=CA$7)*
  (desp[data.pagamento]&gt;=$A23)*
  (desp[data.pagamento]&lt;EOMONTH($A23,0)+1)
)</f>
        <v>0</v>
      </c>
      <c r="CB23" s="177">
        <f>COUNTIFS(
    estq[empresa], CB$6,
    estq[Data da venda / reserva], "&gt;=" &amp; $A23,
    estq[Data da venda / reserva], "&lt;"  &amp; EOMONTH($A23,0) + 1
)</f>
        <v>0</v>
      </c>
      <c r="CC23" s="178">
        <f ca="1">SUMIFS(rec.uni[2022-09-01],
INDIRECT("rec.uni[natureza]"),"pro.soluto",
INDIRECT("rec.uni[empresa]"),CC$6)</f>
        <v>0</v>
      </c>
      <c r="CD23" s="178">
        <f ca="1">SUMIFS(rec.uni[2022-09-01],
INDIRECT("rec.uni[natureza]"),"repasse.cef.obra",
INDIRECT("rec.uni[empresa]"),CD$6)</f>
        <v>0</v>
      </c>
      <c r="CE23" s="178">
        <f ca="1">SUMIFS(rec.uni[2022-09-01],
INDIRECT("rec.uni[natureza]"),"repasse.cef.terreno",
INDIRECT("rec.uni[empresa]"),CE$6)</f>
        <v>0</v>
      </c>
      <c r="CF23" s="178">
        <v>0</v>
      </c>
      <c r="CG23" s="178">
        <f ca="1">SUMIFS(rec.uni[2022-09-01],
INDIRECT("rec.uni[natureza]"),"taxa.extra",
INDIRECT("rec.uni[empresa]"),CG$6)</f>
        <v>0</v>
      </c>
      <c r="CH23" s="166"/>
      <c r="CI23" s="178" cm="1">
        <f t="array" ref="CI23">SUMPRODUCT(
  IFERROR(--desp[valor],0)*
  (desp[nucleo]="UP ESTAÇÃO VILA SONIA")*
  (desp[categoria]=CI$7)*
  (desp[data.pagamento]&gt;=$A23)*
  (desp[data.pagamento]&lt;EOMONTH($A23,0)+1)
)</f>
        <v>0</v>
      </c>
      <c r="CJ23" s="178" cm="1">
        <f t="array" ref="CJ23">SUMPRODUCT(
  IFERROR(--desp[valor],0)*
  (desp[nucleo]="UP ESTAÇÃO VILA SONIA")*
  (desp[categoria]=CJ$7)*
  (desp[data.pagamento]&gt;=$A23)*
  (desp[data.pagamento]&lt;EOMONTH($A23,0)+1)
)</f>
        <v>0</v>
      </c>
      <c r="CK23" s="178" cm="1">
        <f t="array" ref="CK23">SUMPRODUCT(
  IFERROR(--desp[valor],0)*
  (desp[nucleo]="UP ESTAÇÃO VILA SONIA")*
  (desp[categoria]=CK$7)*
  (desp[data.pagamento]&gt;=$A23)*
  (desp[data.pagamento]&lt;EOMONTH($A23,0)+1)
)</f>
        <v>0</v>
      </c>
      <c r="CL23" s="178" cm="1">
        <f t="array" ref="CL23">SUMPRODUCT(
  IFERROR(--desp[valor],0)*
  (desp[nucleo]="UP ESTAÇÃO VILA SONIA")*
  (desp[categoria]=CL$7)*
  (desp[data.pagamento]&gt;=$A23)*
  (desp[data.pagamento]&lt;EOMONTH($A23,0)+1)
)</f>
        <v>0</v>
      </c>
      <c r="CM23" s="179" cm="1">
        <f t="array" ref="CM23">SUMPRODUCT(
  IFERROR(--desp[valor],0)*
  (desp[nucleo]="UP ESTAÇÃO VILA SONIA")*
  (desp[categoria]=CM$7)*
  (desp[data.pagamento]&gt;=$A23)*
  (desp[data.pagamento]&lt;EOMONTH($A23,0)+1)
)</f>
        <v>0</v>
      </c>
      <c r="CN23" s="177">
        <f>COUNTIFS(
    estq[empresa], CN$6,
    estq[Data da venda / reserva], "&gt;=" &amp; $A23,
    estq[Data da venda / reserva], "&lt;"  &amp; EOMONTH($A23,0) + 1
)</f>
        <v>0</v>
      </c>
      <c r="CO23" s="178">
        <f ca="1">SUMIFS(rec.uni[2022-09-01],
INDIRECT("rec.uni[natureza]"),"pro.soluto",
INDIRECT("rec.uni[empresa]"),CO$6)</f>
        <v>0</v>
      </c>
      <c r="CP23" s="178">
        <f ca="1">SUMIFS(rec.uni[2022-09-01],
INDIRECT("rec.uni[natureza]"),"repasse.cef.obra",
INDIRECT("rec.uni[empresa]"),CP$6)</f>
        <v>0</v>
      </c>
      <c r="CQ23" s="178">
        <f ca="1">SUMIFS(rec.uni[2022-09-01],
INDIRECT("rec.uni[natureza]"),"repasse.cef.terreno",
INDIRECT("rec.uni[empresa]"),CQ$6)</f>
        <v>0</v>
      </c>
      <c r="CR23" s="178">
        <v>0</v>
      </c>
      <c r="CS23" s="178">
        <f ca="1">SUMIFS(rec.uni[2022-09-01],
INDIRECT("rec.uni[natureza]"),"taxa.extra",
INDIRECT("rec.uni[empresa]"),CS$6)</f>
        <v>0</v>
      </c>
      <c r="CT23" s="166"/>
      <c r="CU23" s="178" cm="1">
        <f t="array" ref="CU23">SUMPRODUCT(
  IFERROR(--desp[valor],0)*
  (desp[nucleo]="UP MOVE VILA SONIA")*
  (desp[categoria]=CU$7)*
  (desp[data.pagamento]&gt;=$A23)*
  (desp[data.pagamento]&lt;EOMONTH($A23,0)+1)
)</f>
        <v>0</v>
      </c>
      <c r="CV23" s="178" cm="1">
        <f t="array" ref="CV23">SUMPRODUCT(
  IFERROR(--desp[valor],0)*
  (desp[nucleo]="UP MOVE VILA SONIA")*
  (desp[categoria]=CV$7)*
  (desp[data.pagamento]&gt;=$A23)*
  (desp[data.pagamento]&lt;EOMONTH($A23,0)+1)
)</f>
        <v>0</v>
      </c>
      <c r="CW23" s="178" cm="1">
        <f t="array" ref="CW23">SUMPRODUCT(
  IFERROR(--desp[valor],0)*
  (desp[nucleo]="UP MOVE VILA SONIA")*
  (desp[categoria]=CW$7)*
  (desp[data.pagamento]&gt;=$A23)*
  (desp[data.pagamento]&lt;EOMONTH($A23,0)+1)
)</f>
        <v>0</v>
      </c>
      <c r="CX23" s="178" cm="1">
        <f t="array" ref="CX23">SUMPRODUCT(
  IFERROR(--desp[valor],0)*
  (desp[nucleo]="UP MOVE VILA SONIA")*
  (desp[categoria]=CX$7)*
  (desp[data.pagamento]&gt;=$A23)*
  (desp[data.pagamento]&lt;EOMONTH($A23,0)+1)
)</f>
        <v>0</v>
      </c>
      <c r="CY23" s="180" cm="1">
        <f t="array" ref="CY23">SUMPRODUCT(
  IFERROR(--desp[valor],0)*
  (desp[nucleo]="UP MOVE VILA SONIA")*
  (desp[categoria]=CY$7)*
  (desp[data.pagamento]&gt;=$A23)*
  (desp[data.pagamento]&lt;EOMONTH($A23,0)+1)
)</f>
        <v>0</v>
      </c>
    </row>
    <row r="24" spans="1:103" x14ac:dyDescent="0.25">
      <c r="A24" s="176">
        <v>44835</v>
      </c>
      <c r="B24" s="177">
        <f>COUNTIFS(
    estq[empresa], B$6,
    estq[Data da venda / reserva], "&gt;=" &amp; $A24,
    estq[Data da venda / reserva], "&lt;"  &amp; EOMONTH($A24,0) + 1
)</f>
        <v>0</v>
      </c>
      <c r="C24" s="178">
        <f ca="1">SUMIFS(rec.uni[2022-10-01],
INDIRECT("rec.uni[natureza]"),"pro.soluto",
INDIRECT("rec.uni[empresa]"),C$6)</f>
        <v>0</v>
      </c>
      <c r="D24" s="178">
        <f ca="1">SUMIFS(rec.uni[2022-10-01],
INDIRECT("rec.uni[natureza]"),"repasse.cef.obra",
INDIRECT("rec.uni[empresa]"),D$6)</f>
        <v>0</v>
      </c>
      <c r="E24" s="178">
        <f ca="1">SUMIFS(rec.uni[2022-10-01],
INDIRECT("rec.uni[natureza]"),"repasse.cef.terreno",
INDIRECT("rec.uni[empresa]"),E$6)</f>
        <v>0</v>
      </c>
      <c r="F24" s="178">
        <v>0</v>
      </c>
      <c r="G24" s="178">
        <f ca="1">SUMIFS(rec.uni[2022-10-01],
INDIRECT("rec.uni[natureza]"),"taxa.extra",
INDIRECT("rec.uni[empresa]"),G$6)</f>
        <v>0</v>
      </c>
      <c r="H24" s="166"/>
      <c r="I24" s="178" cm="1">
        <f t="array" ref="I24">SUMPRODUCT(
  IFERROR(--desp[valor],0)*
  (desp[nucleo]="UP JARDIM PRUDENCIA")*
  (desp[categoria]=I$7)*
  (desp[data.pagamento]&gt;=$A24)*
  (desp[data.pagamento]&lt;EOMONTH($A24,0)+1)
)</f>
        <v>0</v>
      </c>
      <c r="J24" s="178" cm="1">
        <f t="array" ref="J24">SUMPRODUCT(
  IFERROR(--desp[valor],0)*
  (desp[nucleo]="UP JARDIM PRUDENCIA")*
  (desp[categoria]=J$7)*
  (desp[data.pagamento]&gt;=$A24)*
  (desp[data.pagamento]&lt;EOMONTH($A24,0)+1)
)</f>
        <v>0</v>
      </c>
      <c r="K24" s="178" cm="1">
        <f t="array" ref="K24">SUMPRODUCT(
  IFERROR(--desp[valor],0)*
  (desp[nucleo]="UP JARDIM PRUDENCIA")*
  (desp[categoria]=K$7)*
  (desp[data.pagamento]&gt;=$A24)*
  (desp[data.pagamento]&lt;EOMONTH($A24,0)+1)
)</f>
        <v>0</v>
      </c>
      <c r="L24" s="178" cm="1">
        <f t="array" ref="L24">SUMPRODUCT(
  IFERROR(--desp[valor],0)*
  (desp[nucleo]="UP JARDIM PRUDENCIA")*
  (desp[categoria]=L$7)*
  (desp[data.pagamento]&gt;=$A24)*
  (desp[data.pagamento]&lt;EOMONTH($A24,0)+1)
)</f>
        <v>0</v>
      </c>
      <c r="M24" s="179" cm="1">
        <f t="array" ref="M24">SUMPRODUCT(
  IFERROR(--desp[valor],0)*
  (desp[nucleo]="UP JARDIM PRUDENCIA")*
  (desp[categoria]=M$7)*
  (desp[data.pagamento]&gt;=$A24)*
  (desp[data.pagamento]&lt;EOMONTH($A24,0)+1)
)</f>
        <v>0</v>
      </c>
      <c r="N24" s="177">
        <f>COUNTIFS(
    estq[empresa], N$6,
    estq[Data da venda / reserva], "&gt;=" &amp; $A24,
    estq[Data da venda / reserva], "&lt;"  &amp; EOMONTH($A24,0) + 1
)</f>
        <v>0</v>
      </c>
      <c r="O24" s="178">
        <f ca="1">SUMIFS(rec.uni[2022-10-01],
INDIRECT("rec.uni[natureza]"),"pro.soluto",
INDIRECT("rec.uni[empresa]"),O$6)</f>
        <v>0</v>
      </c>
      <c r="P24" s="178">
        <f ca="1">SUMIFS(rec.uni[2022-10-01],
INDIRECT("rec.uni[natureza]"),"repasse.cef.obra",
INDIRECT("rec.uni[empresa]"),P$6)</f>
        <v>0</v>
      </c>
      <c r="Q24" s="178">
        <f ca="1">SUMIFS(rec.uni[2022-10-01],
INDIRECT("rec.uni[natureza]"),"repasse.cef.terreno",
INDIRECT("rec.uni[empresa]"),Q$6)</f>
        <v>0</v>
      </c>
      <c r="R24" s="178">
        <v>0</v>
      </c>
      <c r="S24" s="178">
        <f ca="1">SUMIFS(rec.uni[2022-10-01],
INDIRECT("rec.uni[natureza]"),"taxa.extra",
INDIRECT("rec.uni[empresa]"),S$6)</f>
        <v>0</v>
      </c>
      <c r="T24" s="166"/>
      <c r="U24" s="178" cm="1">
        <f t="array" ref="U24">SUMPRODUCT(
  IFERROR(--desp[valor],0)*
  (desp[nucleo]="UP VILA SONIA")*
  (desp[categoria]=U$7)*
  (desp[data.pagamento]&gt;=$A24)*
  (desp[data.pagamento]&lt;EOMONTH($A24,0)+1)
)</f>
        <v>0</v>
      </c>
      <c r="V24" s="178" cm="1">
        <f t="array" ref="V24">SUMPRODUCT(
  IFERROR(--desp[valor],0)*
  (desp[nucleo]="UP VILA SONIA")*
  (desp[categoria]=V$7)*
  (desp[data.pagamento]&gt;=$A24)*
  (desp[data.pagamento]&lt;EOMONTH($A24,0)+1)
)</f>
        <v>0</v>
      </c>
      <c r="W24" s="178" cm="1">
        <f t="array" ref="W24">SUMPRODUCT(
  IFERROR(--desp[valor],0)*
  (desp[nucleo]="UP VILA SONIA")*
  (desp[categoria]=W$7)*
  (desp[data.pagamento]&gt;=$A24)*
  (desp[data.pagamento]&lt;EOMONTH($A24,0)+1)
)</f>
        <v>0</v>
      </c>
      <c r="X24" s="178" cm="1">
        <f t="array" ref="X24">SUMPRODUCT(
  IFERROR(--desp[valor],0)*
  (desp[nucleo]="UP VILA SONIA")*
  (desp[categoria]=X$7)*
  (desp[data.pagamento]&gt;=$A24)*
  (desp[data.pagamento]&lt;EOMONTH($A24,0)+1)
)</f>
        <v>0</v>
      </c>
      <c r="Y24" s="179" cm="1">
        <f t="array" ref="Y24">SUMPRODUCT(
  IFERROR(--desp[valor],0)*
  (desp[nucleo]="UP VILA SONIA")*
  (desp[categoria]=Y$7)*
  (desp[data.pagamento]&gt;=$A24)*
  (desp[data.pagamento]&lt;EOMONTH($A24,0)+1)
)</f>
        <v>0</v>
      </c>
      <c r="Z24" s="177">
        <f>COUNTIFS(
    estq[empresa], Z$6,
    estq[Data da venda / reserva], "&gt;=" &amp; $A24,
    estq[Data da venda / reserva], "&lt;"  &amp; EOMONTH($A24,0) + 1
)</f>
        <v>0</v>
      </c>
      <c r="AA24" s="178">
        <f ca="1">SUMIFS(rec.uni[2022-10-01],
INDIRECT("rec.uni[natureza]"),"pro.soluto",
INDIRECT("rec.uni[empresa]"),AA$6)</f>
        <v>0</v>
      </c>
      <c r="AB24" s="178">
        <f ca="1">SUMIFS(rec.uni[2022-10-01],
INDIRECT("rec.uni[natureza]"),"pro.soluto",
INDIRECT("rec.uni[empresa]"),AB$6)</f>
        <v>0</v>
      </c>
      <c r="AC24" s="178">
        <f ca="1">SUMIFS(rec.uni[2022-10-01],
INDIRECT("rec.uni[natureza]"),"taxa.extra",
INDIRECT("rec.uni[empresa]"),AC$6)</f>
        <v>0</v>
      </c>
      <c r="AD24" s="166"/>
      <c r="AE24" s="178" cm="1">
        <f t="array" ref="AE24">SUMPRODUCT(
  IFERROR(--desp[valor],0)*
  (desp[nucleo]="UP CAMPO BELO")*
  (desp[categoria]=AE$7)*
  (desp[data.pagamento]&gt;=$A24)*
  (desp[data.pagamento]&lt;EOMONTH($A24,0)+1)
)</f>
        <v>0</v>
      </c>
      <c r="AF24" s="178" cm="1">
        <f t="array" ref="AF24">SUMPRODUCT(
  IFERROR(--desp[valor],0)*
  (desp[nucleo]="UP CAMPO BELO")*
  (desp[categoria]=AF$7)*
  (desp[data.pagamento]&gt;=$A24)*
  (desp[data.pagamento]&lt;EOMONTH($A24,0)+1)
)</f>
        <v>0</v>
      </c>
      <c r="AG24" s="178" cm="1">
        <f t="array" ref="AG24">SUMPRODUCT(
  IFERROR(--desp[valor],0)*
  (desp[nucleo]="UP CAMPO BELO")*
  (desp[categoria]=AG$7)*
  (desp[data.pagamento]&gt;=$A24)*
  (desp[data.pagamento]&lt;EOMONTH($A24,0)+1)
)</f>
        <v>0</v>
      </c>
      <c r="AH24" s="178" cm="1">
        <f t="array" ref="AH24">SUMPRODUCT(
  IFERROR(--desp[valor],0)*
  (desp[nucleo]="UP CAMPO BELO")*
  (desp[categoria]=AH$7)*
  (desp[data.pagamento]&gt;=$A24)*
  (desp[data.pagamento]&lt;EOMONTH($A24,0)+1)
)</f>
        <v>0</v>
      </c>
      <c r="AI24" s="179" cm="1">
        <f t="array" ref="AI24">SUMPRODUCT(
  IFERROR(--desp[valor],0)*
  (desp[nucleo]="UP CAMPO BELO")*
  (desp[categoria]=AI$7)*
  (desp[data.pagamento]&gt;=$A24)*
  (desp[data.pagamento]&lt;EOMONTH($A24,0)+1)
)</f>
        <v>0</v>
      </c>
      <c r="AJ24" s="177">
        <f>COUNTIFS(
    estq[empresa], AJ$6,
    estq[Data da venda / reserva], "&gt;=" &amp; $A24,
    estq[Data da venda / reserva], "&lt;"  &amp; EOMONTH($A24,0) + 1
)</f>
        <v>0</v>
      </c>
      <c r="AK24" s="178">
        <f ca="1">SUMIFS(rec.uni[2022-10-01],
INDIRECT("rec.uni[natureza]"),"pro.soluto",
INDIRECT("rec.uni[empresa]"),AK$6)</f>
        <v>0</v>
      </c>
      <c r="AL24" s="178">
        <f ca="1">SUMIFS(rec.uni[2022-10-01],
INDIRECT("rec.uni[natureza]"),"repasse.cef.obra",
INDIRECT("rec.uni[empresa]"),AL$6)</f>
        <v>0</v>
      </c>
      <c r="AM24" s="178">
        <f ca="1">SUMIFS(rec.uni[2022-10-01],
INDIRECT("rec.uni[natureza]"),"repasse.cef.terreno",
INDIRECT("rec.uni[empresa]"),AM$6)</f>
        <v>0</v>
      </c>
      <c r="AN24" s="178">
        <v>0</v>
      </c>
      <c r="AO24" s="178">
        <f ca="1">SUMIFS(rec.uni[2022-10-01],
INDIRECT("rec.uni[natureza]"),"taxa.extra",
INDIRECT("rec.uni[empresa]"),AO$6)</f>
        <v>0</v>
      </c>
      <c r="AP24" s="166"/>
      <c r="AQ24" s="178" cm="1">
        <f t="array" ref="AQ24">SUMPRODUCT(
  IFERROR(--desp[valor],0)*
  (desp[nucleo]="UP SELECT VILA SONIA")*
  (desp[categoria]=AQ$7)*
  (desp[data.pagamento]&gt;=$A24)*
  (desp[data.pagamento]&lt;EOMONTH($A24,0)+1)
)</f>
        <v>0</v>
      </c>
      <c r="AR24" s="178" cm="1">
        <f t="array" ref="AR24">SUMPRODUCT(
  IFERROR(--desp[valor],0)*
  (desp[nucleo]="UP SELECT VILA SONIA")*
  (desp[categoria]=AR$7)*
  (desp[data.pagamento]&gt;=$A24)*
  (desp[data.pagamento]&lt;EOMONTH($A24,0)+1)
)</f>
        <v>0</v>
      </c>
      <c r="AS24" s="178" cm="1">
        <f t="array" ref="AS24">SUMPRODUCT(
  IFERROR(--desp[valor],0)*
  (desp[nucleo]="UP SELECT VILA SONIA")*
  (desp[categoria]=AS$7)*
  (desp[data.pagamento]&gt;=$A24)*
  (desp[data.pagamento]&lt;EOMONTH($A24,0)+1)
)</f>
        <v>0</v>
      </c>
      <c r="AT24" s="178" cm="1">
        <f t="array" ref="AT24">SUMPRODUCT(
  IFERROR(--desp[valor],0)*
  (desp[nucleo]="UP SELECT VILA SONIA")*
  (desp[categoria]=AT$7)*
  (desp[data.pagamento]&gt;=$A24)*
  (desp[data.pagamento]&lt;EOMONTH($A24,0)+1)
)</f>
        <v>0</v>
      </c>
      <c r="AU24" s="179" cm="1">
        <f t="array" ref="AU24">SUMPRODUCT(
  IFERROR(--desp[valor],0)*
  (desp[nucleo]="UP SELECT VILA SONIA")*
  (desp[categoria]=AU$7)*
  (desp[data.pagamento]&gt;=$A24)*
  (desp[data.pagamento]&lt;EOMONTH($A24,0)+1)
)</f>
        <v>0</v>
      </c>
      <c r="AV24" s="177">
        <f>COUNTIFS(
    estq[empresa], AV$6,
    estq[Data da venda / reserva], "&gt;=" &amp; $A24,
    estq[Data da venda / reserva], "&lt;"  &amp; EOMONTH($A24,0) + 1
)</f>
        <v>0</v>
      </c>
      <c r="AW24" s="178">
        <f ca="1">SUMIFS(rec.uni[2022-10-01],
INDIRECT("rec.uni[natureza]"),"pro.soluto",
INDIRECT("rec.uni[empresa]"),AW$6)</f>
        <v>0</v>
      </c>
      <c r="AX24" s="178">
        <f ca="1">SUMIFS(rec.uni[2022-10-01],
INDIRECT("rec.uni[natureza]"),"repasse.cef.obra",
INDIRECT("rec.uni[empresa]"),AX$6)</f>
        <v>0</v>
      </c>
      <c r="AY24" s="178">
        <f ca="1">SUMIFS(rec.uni[2022-10-01],
INDIRECT("rec.uni[natureza]"),"repasse.cef.terreno",
INDIRECT("rec.uni[empresa]"),AY$6)</f>
        <v>0</v>
      </c>
      <c r="AZ24" s="178">
        <v>0</v>
      </c>
      <c r="BA24" s="178">
        <f ca="1">SUMIFS(rec.uni[2022-10-01],
INDIRECT("rec.uni[natureza]"),"taxa.extra",
INDIRECT("rec.uni[empresa]"),BA$6)</f>
        <v>0</v>
      </c>
      <c r="BB24" s="166"/>
      <c r="BC24" s="178" cm="1">
        <f t="array" ref="BC24">SUMPRODUCT(
  IFERROR(--desp[valor],0)*
  (desp[nucleo]="UP ESTAÇÃO SÃO LUCAS")*
  (desp[categoria]=BC$7)*
  (desp[data.pagamento]&gt;=$A24)*
  (desp[data.pagamento]&lt;EOMONTH($A24,0)+1)
)</f>
        <v>0</v>
      </c>
      <c r="BD24" s="178" cm="1">
        <f t="array" ref="BD24">SUMPRODUCT(
  IFERROR(--desp[valor],0)*
  (desp[nucleo]="UP ESTAÇÃO SÃO LUCAS")*
  (desp[categoria]=BD$7)*
  (desp[data.pagamento]&gt;=$A24)*
  (desp[data.pagamento]&lt;EOMONTH($A24,0)+1)
)</f>
        <v>0</v>
      </c>
      <c r="BE24" s="178" cm="1">
        <f t="array" ref="BE24">SUMPRODUCT(
  IFERROR(--desp[valor],0)*
  (desp[nucleo]="UP ESTAÇÃO SÃO LUCAS")*
  (desp[categoria]=BE$7)*
  (desp[data.pagamento]&gt;=$A24)*
  (desp[data.pagamento]&lt;EOMONTH($A24,0)+1)
)</f>
        <v>0</v>
      </c>
      <c r="BF24" s="178" cm="1">
        <f t="array" ref="BF24">SUMPRODUCT(
  IFERROR(--desp[valor],0)*
  (desp[nucleo]="UP ESTAÇÃO SÃO LUCAS")*
  (desp[categoria]=BF$7)*
  (desp[data.pagamento]&gt;=$A24)*
  (desp[data.pagamento]&lt;EOMONTH($A24,0)+1)
)</f>
        <v>0</v>
      </c>
      <c r="BG24" s="179" cm="1">
        <f t="array" ref="BG24">SUMPRODUCT(
  IFERROR(--desp[valor],0)*
  (desp[nucleo]="UP ESTAÇÃO SÃO LUCAS")*
  (desp[categoria]=BG$7)*
  (desp[data.pagamento]&gt;=$A24)*
  (desp[data.pagamento]&lt;EOMONTH($A24,0)+1)
)</f>
        <v>0</v>
      </c>
      <c r="BH24" s="177">
        <f>COUNTIFS(
    estq[empresa], BH$6,
    estq[Data da venda / reserva], "&gt;=" &amp; $A24,
    estq[Data da venda / reserva], "&lt;"  &amp; EOMONTH($A24,0) + 1
)</f>
        <v>0</v>
      </c>
      <c r="BI24" s="178">
        <f ca="1">SUMIFS(rec.uni[2022-10-01],
INDIRECT("rec.uni[natureza]"),"pro.soluto",
INDIRECT("rec.uni[empresa]"),BI$6)</f>
        <v>0</v>
      </c>
      <c r="BJ24" s="166">
        <v>0</v>
      </c>
      <c r="BK24" s="178">
        <f ca="1">SUMIFS(rec.uni[2022-10-01],
INDIRECT("rec.uni[natureza]"),"taxa.extra",
INDIRECT("rec.uni[empresa]"),BK$6)</f>
        <v>0</v>
      </c>
      <c r="BL24" s="166"/>
      <c r="BM24" s="178" cm="1">
        <f t="array" ref="BM24">SUMPRODUCT(
  IFERROR(--desp[valor],0)*
  (desp[nucleo]="UP POMPEIA")*
  (desp[categoria]=BM$7)*
  (desp[data.pagamento]&gt;=$A24)*
  (desp[data.pagamento]&lt;EOMONTH($A24,0)+1)
)</f>
        <v>0</v>
      </c>
      <c r="BN24" s="178" cm="1">
        <f t="array" ref="BN24">SUMPRODUCT(
  IFERROR(--desp[valor],0)*
  (desp[nucleo]="UP POMPEIA")*
  (desp[categoria]=BN$7)*
  (desp[data.pagamento]&gt;=$A24)*
  (desp[data.pagamento]&lt;EOMONTH($A24,0)+1)
)</f>
        <v>0</v>
      </c>
      <c r="BO24" s="178" cm="1">
        <f t="array" ref="BO24">SUMPRODUCT(
  IFERROR(--desp[valor],0)*
  (desp[nucleo]="UP POMPEIA")*
  (desp[categoria]=BO$7)*
  (desp[data.pagamento]&gt;=$A24)*
  (desp[data.pagamento]&lt;EOMONTH($A24,0)+1)
)</f>
        <v>0</v>
      </c>
      <c r="BP24" s="178" cm="1">
        <f t="array" ref="BP24">SUMPRODUCT(
  IFERROR(--desp[valor],0)*
  (desp[nucleo]="UP POMPEIA")*
  (desp[categoria]=BP$7)*
  (desp[data.pagamento]&gt;=$A24)*
  (desp[data.pagamento]&lt;EOMONTH($A24,0)+1)
)</f>
        <v>0</v>
      </c>
      <c r="BQ24" s="179" cm="1">
        <f t="array" ref="BQ24">SUMPRODUCT(
  IFERROR(--desp[valor],0)*
  (desp[nucleo]="UP POMPEIA")*
  (desp[categoria]=BQ$7)*
  (desp[data.pagamento]&gt;=$A24)*
  (desp[data.pagamento]&lt;EOMONTH($A24,0)+1)
)</f>
        <v>0</v>
      </c>
      <c r="BR24" s="177">
        <f>COUNTIFS(
    estq[empresa], BR$6,
    estq[Data da venda / reserva], "&gt;=" &amp; $A24,
    estq[Data da venda / reserva], "&lt;"  &amp; EOMONTH($A24,0) + 1
)</f>
        <v>0</v>
      </c>
      <c r="BS24" s="178">
        <f ca="1">SUMIFS(rec.uni[2022-10-01],
INDIRECT("rec.uni[natureza]"),"pro.soluto",
INDIRECT("rec.uni[empresa]"),BS$6)</f>
        <v>0</v>
      </c>
      <c r="BT24" s="178">
        <f ca="1">SUMIFS(rec.uni[2022-10-01],
INDIRECT("rec.uni[natureza]"),"pro.soluto",
INDIRECT("rec.uni[empresa]"),BT$6)</f>
        <v>0</v>
      </c>
      <c r="BU24" s="178">
        <f ca="1">SUMIFS(rec.uni[2022-10-01],
INDIRECT("rec.uni[natureza]"),"taxa.extra",
INDIRECT("rec.uni[empresa]"),BU$6)</f>
        <v>0</v>
      </c>
      <c r="BV24" s="166"/>
      <c r="BW24" s="178" cm="1">
        <f t="array" ref="BW24">SUMPRODUCT(
  IFERROR(--desp[valor],0)*
  (desp[nucleo]="UP SAUDE")*
  (desp[categoria]=BW$7)*
  (desp[data.pagamento]&gt;=$A24)*
  (desp[data.pagamento]&lt;EOMONTH($A24,0)+1)
)</f>
        <v>0</v>
      </c>
      <c r="BX24" s="178" cm="1">
        <f t="array" ref="BX24">SUMPRODUCT(
  IFERROR(--desp[valor],0)*
  (desp[nucleo]="UP SAUDE")*
  (desp[categoria]=BX$7)*
  (desp[data.pagamento]&gt;=$A24)*
  (desp[data.pagamento]&lt;EOMONTH($A24,0)+1)
)</f>
        <v>0</v>
      </c>
      <c r="BY24" s="178" cm="1">
        <f t="array" ref="BY24">SUMPRODUCT(
  IFERROR(--desp[valor],0)*
  (desp[nucleo]="UP SAUDE")*
  (desp[categoria]=BY$7)*
  (desp[data.pagamento]&gt;=$A24)*
  (desp[data.pagamento]&lt;EOMONTH($A24,0)+1)
)</f>
        <v>0</v>
      </c>
      <c r="BZ24" s="178" cm="1">
        <f t="array" ref="BZ24">SUMPRODUCT(
  IFERROR(--desp[valor],0)*
  (desp[nucleo]="UP SAUDE")*
  (desp[categoria]=BZ$7)*
  (desp[data.pagamento]&gt;=$A24)*
  (desp[data.pagamento]&lt;EOMONTH($A24,0)+1)
)</f>
        <v>0</v>
      </c>
      <c r="CA24" s="179" cm="1">
        <f t="array" ref="CA24">SUMPRODUCT(
  IFERROR(--desp[valor],0)*
  (desp[nucleo]="UP SAUDE")*
  (desp[categoria]=CA$7)*
  (desp[data.pagamento]&gt;=$A24)*
  (desp[data.pagamento]&lt;EOMONTH($A24,0)+1)
)</f>
        <v>0</v>
      </c>
      <c r="CB24" s="177">
        <f>COUNTIFS(
    estq[empresa], CB$6,
    estq[Data da venda / reserva], "&gt;=" &amp; $A24,
    estq[Data da venda / reserva], "&lt;"  &amp; EOMONTH($A24,0) + 1
)</f>
        <v>0</v>
      </c>
      <c r="CC24" s="178">
        <f ca="1">SUMIFS(rec.uni[2022-10-01],
INDIRECT("rec.uni[natureza]"),"pro.soluto",
INDIRECT("rec.uni[empresa]"),CC$6)</f>
        <v>0</v>
      </c>
      <c r="CD24" s="178">
        <f ca="1">SUMIFS(rec.uni[2022-10-01],
INDIRECT("rec.uni[natureza]"),"repasse.cef.obra",
INDIRECT("rec.uni[empresa]"),CD$6)</f>
        <v>0</v>
      </c>
      <c r="CE24" s="178">
        <f ca="1">SUMIFS(rec.uni[2022-10-01],
INDIRECT("rec.uni[natureza]"),"repasse.cef.terreno",
INDIRECT("rec.uni[empresa]"),CE$6)</f>
        <v>0</v>
      </c>
      <c r="CF24" s="178">
        <v>0</v>
      </c>
      <c r="CG24" s="178">
        <f ca="1">SUMIFS(rec.uni[2022-10-01],
INDIRECT("rec.uni[natureza]"),"taxa.extra",
INDIRECT("rec.uni[empresa]"),CG$6)</f>
        <v>0</v>
      </c>
      <c r="CH24" s="166"/>
      <c r="CI24" s="178" cm="1">
        <f t="array" ref="CI24">SUMPRODUCT(
  IFERROR(--desp[valor],0)*
  (desp[nucleo]="UP ESTAÇÃO VILA SONIA")*
  (desp[categoria]=CI$7)*
  (desp[data.pagamento]&gt;=$A24)*
  (desp[data.pagamento]&lt;EOMONTH($A24,0)+1)
)</f>
        <v>0</v>
      </c>
      <c r="CJ24" s="178" cm="1">
        <f t="array" ref="CJ24">SUMPRODUCT(
  IFERROR(--desp[valor],0)*
  (desp[nucleo]="UP ESTAÇÃO VILA SONIA")*
  (desp[categoria]=CJ$7)*
  (desp[data.pagamento]&gt;=$A24)*
  (desp[data.pagamento]&lt;EOMONTH($A24,0)+1)
)</f>
        <v>0</v>
      </c>
      <c r="CK24" s="178" cm="1">
        <f t="array" ref="CK24">SUMPRODUCT(
  IFERROR(--desp[valor],0)*
  (desp[nucleo]="UP ESTAÇÃO VILA SONIA")*
  (desp[categoria]=CK$7)*
  (desp[data.pagamento]&gt;=$A24)*
  (desp[data.pagamento]&lt;EOMONTH($A24,0)+1)
)</f>
        <v>0</v>
      </c>
      <c r="CL24" s="178" cm="1">
        <f t="array" ref="CL24">SUMPRODUCT(
  IFERROR(--desp[valor],0)*
  (desp[nucleo]="UP ESTAÇÃO VILA SONIA")*
  (desp[categoria]=CL$7)*
  (desp[data.pagamento]&gt;=$A24)*
  (desp[data.pagamento]&lt;EOMONTH($A24,0)+1)
)</f>
        <v>0</v>
      </c>
      <c r="CM24" s="179" cm="1">
        <f t="array" ref="CM24">SUMPRODUCT(
  IFERROR(--desp[valor],0)*
  (desp[nucleo]="UP ESTAÇÃO VILA SONIA")*
  (desp[categoria]=CM$7)*
  (desp[data.pagamento]&gt;=$A24)*
  (desp[data.pagamento]&lt;EOMONTH($A24,0)+1)
)</f>
        <v>0</v>
      </c>
      <c r="CN24" s="177">
        <f>COUNTIFS(
    estq[empresa], CN$6,
    estq[Data da venda / reserva], "&gt;=" &amp; $A24,
    estq[Data da venda / reserva], "&lt;"  &amp; EOMONTH($A24,0) + 1
)</f>
        <v>0</v>
      </c>
      <c r="CO24" s="178">
        <f ca="1">SUMIFS(rec.uni[2022-10-01],
INDIRECT("rec.uni[natureza]"),"pro.soluto",
INDIRECT("rec.uni[empresa]"),CO$6)</f>
        <v>0</v>
      </c>
      <c r="CP24" s="178">
        <f ca="1">SUMIFS(rec.uni[2022-10-01],
INDIRECT("rec.uni[natureza]"),"repasse.cef.obra",
INDIRECT("rec.uni[empresa]"),CP$6)</f>
        <v>0</v>
      </c>
      <c r="CQ24" s="178">
        <f ca="1">SUMIFS(rec.uni[2022-10-01],
INDIRECT("rec.uni[natureza]"),"repasse.cef.terreno",
INDIRECT("rec.uni[empresa]"),CQ$6)</f>
        <v>0</v>
      </c>
      <c r="CR24" s="178">
        <v>0</v>
      </c>
      <c r="CS24" s="178">
        <f ca="1">SUMIFS(rec.uni[2022-10-01],
INDIRECT("rec.uni[natureza]"),"taxa.extra",
INDIRECT("rec.uni[empresa]"),CS$6)</f>
        <v>0</v>
      </c>
      <c r="CT24" s="166"/>
      <c r="CU24" s="178" cm="1">
        <f t="array" ref="CU24">SUMPRODUCT(
  IFERROR(--desp[valor],0)*
  (desp[nucleo]="UP MOVE VILA SONIA")*
  (desp[categoria]=CU$7)*
  (desp[data.pagamento]&gt;=$A24)*
  (desp[data.pagamento]&lt;EOMONTH($A24,0)+1)
)</f>
        <v>0</v>
      </c>
      <c r="CV24" s="178" cm="1">
        <f t="array" ref="CV24">SUMPRODUCT(
  IFERROR(--desp[valor],0)*
  (desp[nucleo]="UP MOVE VILA SONIA")*
  (desp[categoria]=CV$7)*
  (desp[data.pagamento]&gt;=$A24)*
  (desp[data.pagamento]&lt;EOMONTH($A24,0)+1)
)</f>
        <v>0</v>
      </c>
      <c r="CW24" s="178" cm="1">
        <f t="array" ref="CW24">SUMPRODUCT(
  IFERROR(--desp[valor],0)*
  (desp[nucleo]="UP MOVE VILA SONIA")*
  (desp[categoria]=CW$7)*
  (desp[data.pagamento]&gt;=$A24)*
  (desp[data.pagamento]&lt;EOMONTH($A24,0)+1)
)</f>
        <v>0</v>
      </c>
      <c r="CX24" s="178" cm="1">
        <f t="array" ref="CX24">SUMPRODUCT(
  IFERROR(--desp[valor],0)*
  (desp[nucleo]="UP MOVE VILA SONIA")*
  (desp[categoria]=CX$7)*
  (desp[data.pagamento]&gt;=$A24)*
  (desp[data.pagamento]&lt;EOMONTH($A24,0)+1)
)</f>
        <v>0</v>
      </c>
      <c r="CY24" s="180" cm="1">
        <f t="array" ref="CY24">SUMPRODUCT(
  IFERROR(--desp[valor],0)*
  (desp[nucleo]="UP MOVE VILA SONIA")*
  (desp[categoria]=CY$7)*
  (desp[data.pagamento]&gt;=$A24)*
  (desp[data.pagamento]&lt;EOMONTH($A24,0)+1)
)</f>
        <v>0</v>
      </c>
    </row>
    <row r="25" spans="1:103" x14ac:dyDescent="0.25">
      <c r="A25" s="176">
        <v>44866</v>
      </c>
      <c r="B25" s="177">
        <f>COUNTIFS(
    estq[empresa], B$6,
    estq[Data da venda / reserva], "&gt;=" &amp; $A25,
    estq[Data da venda / reserva], "&lt;"  &amp; EOMONTH($A25,0) + 1
)</f>
        <v>0</v>
      </c>
      <c r="C25" s="178">
        <f ca="1">SUMIFS(rec.uni[2022-11-01],
INDIRECT("rec.uni[natureza]"),"pro.soluto",
INDIRECT("rec.uni[empresa]"),C$6)</f>
        <v>0</v>
      </c>
      <c r="D25" s="178">
        <f ca="1">SUMIFS(rec.uni[2022-11-01],
INDIRECT("rec.uni[natureza]"),"repasse.cef.obra",
INDIRECT("rec.uni[empresa]"),D$6)</f>
        <v>0</v>
      </c>
      <c r="E25" s="178">
        <f ca="1">SUMIFS(rec.uni[2022-11-01],
INDIRECT("rec.uni[natureza]"),"repasse.cef.terreno",
INDIRECT("rec.uni[empresa]"),E$6)</f>
        <v>0</v>
      </c>
      <c r="F25" s="178">
        <v>0</v>
      </c>
      <c r="G25" s="178">
        <f ca="1">SUMIFS(rec.uni[2022-11-01],
INDIRECT("rec.uni[natureza]"),"taxa.extra",
INDIRECT("rec.uni[empresa]"),G$6)</f>
        <v>0</v>
      </c>
      <c r="H25" s="166"/>
      <c r="I25" s="178" cm="1">
        <f t="array" ref="I25">SUMPRODUCT(
  IFERROR(--desp[valor],0)*
  (desp[nucleo]="UP JARDIM PRUDENCIA")*
  (desp[categoria]=I$7)*
  (desp[data.pagamento]&gt;=$A25)*
  (desp[data.pagamento]&lt;EOMONTH($A25,0)+1)
)</f>
        <v>0</v>
      </c>
      <c r="J25" s="178" cm="1">
        <f t="array" ref="J25">SUMPRODUCT(
  IFERROR(--desp[valor],0)*
  (desp[nucleo]="UP JARDIM PRUDENCIA")*
  (desp[categoria]=J$7)*
  (desp[data.pagamento]&gt;=$A25)*
  (desp[data.pagamento]&lt;EOMONTH($A25,0)+1)
)</f>
        <v>0</v>
      </c>
      <c r="K25" s="178" cm="1">
        <f t="array" ref="K25">SUMPRODUCT(
  IFERROR(--desp[valor],0)*
  (desp[nucleo]="UP JARDIM PRUDENCIA")*
  (desp[categoria]=K$7)*
  (desp[data.pagamento]&gt;=$A25)*
  (desp[data.pagamento]&lt;EOMONTH($A25,0)+1)
)</f>
        <v>0</v>
      </c>
      <c r="L25" s="178" cm="1">
        <f t="array" ref="L25">SUMPRODUCT(
  IFERROR(--desp[valor],0)*
  (desp[nucleo]="UP JARDIM PRUDENCIA")*
  (desp[categoria]=L$7)*
  (desp[data.pagamento]&gt;=$A25)*
  (desp[data.pagamento]&lt;EOMONTH($A25,0)+1)
)</f>
        <v>0</v>
      </c>
      <c r="M25" s="179" cm="1">
        <f t="array" ref="M25">SUMPRODUCT(
  IFERROR(--desp[valor],0)*
  (desp[nucleo]="UP JARDIM PRUDENCIA")*
  (desp[categoria]=M$7)*
  (desp[data.pagamento]&gt;=$A25)*
  (desp[data.pagamento]&lt;EOMONTH($A25,0)+1)
)</f>
        <v>0</v>
      </c>
      <c r="N25" s="177">
        <f>COUNTIFS(
    estq[empresa], N$6,
    estq[Data da venda / reserva], "&gt;=" &amp; $A25,
    estq[Data da venda / reserva], "&lt;"  &amp; EOMONTH($A25,0) + 1
)</f>
        <v>0</v>
      </c>
      <c r="O25" s="178">
        <f ca="1">SUMIFS(rec.uni[2022-11-01],
INDIRECT("rec.uni[natureza]"),"pro.soluto",
INDIRECT("rec.uni[empresa]"),O$6)</f>
        <v>0</v>
      </c>
      <c r="P25" s="178">
        <f ca="1">SUMIFS(rec.uni[2022-11-01],
INDIRECT("rec.uni[natureza]"),"repasse.cef.obra",
INDIRECT("rec.uni[empresa]"),P$6)</f>
        <v>0</v>
      </c>
      <c r="Q25" s="178">
        <f ca="1">SUMIFS(rec.uni[2022-11-01],
INDIRECT("rec.uni[natureza]"),"repasse.cef.terreno",
INDIRECT("rec.uni[empresa]"),Q$6)</f>
        <v>0</v>
      </c>
      <c r="R25" s="178">
        <v>0</v>
      </c>
      <c r="S25" s="178">
        <f ca="1">SUMIFS(rec.uni[2022-11-01],
INDIRECT("rec.uni[natureza]"),"taxa.extra",
INDIRECT("rec.uni[empresa]"),S$6)</f>
        <v>0</v>
      </c>
      <c r="T25" s="166"/>
      <c r="U25" s="178" cm="1">
        <f t="array" ref="U25">SUMPRODUCT(
  IFERROR(--desp[valor],0)*
  (desp[nucleo]="UP VILA SONIA")*
  (desp[categoria]=U$7)*
  (desp[data.pagamento]&gt;=$A25)*
  (desp[data.pagamento]&lt;EOMONTH($A25,0)+1)
)</f>
        <v>0</v>
      </c>
      <c r="V25" s="178" cm="1">
        <f t="array" ref="V25">SUMPRODUCT(
  IFERROR(--desp[valor],0)*
  (desp[nucleo]="UP VILA SONIA")*
  (desp[categoria]=V$7)*
  (desp[data.pagamento]&gt;=$A25)*
  (desp[data.pagamento]&lt;EOMONTH($A25,0)+1)
)</f>
        <v>0</v>
      </c>
      <c r="W25" s="178" cm="1">
        <f t="array" ref="W25">SUMPRODUCT(
  IFERROR(--desp[valor],0)*
  (desp[nucleo]="UP VILA SONIA")*
  (desp[categoria]=W$7)*
  (desp[data.pagamento]&gt;=$A25)*
  (desp[data.pagamento]&lt;EOMONTH($A25,0)+1)
)</f>
        <v>0</v>
      </c>
      <c r="X25" s="178" cm="1">
        <f t="array" ref="X25">SUMPRODUCT(
  IFERROR(--desp[valor],0)*
  (desp[nucleo]="UP VILA SONIA")*
  (desp[categoria]=X$7)*
  (desp[data.pagamento]&gt;=$A25)*
  (desp[data.pagamento]&lt;EOMONTH($A25,0)+1)
)</f>
        <v>0</v>
      </c>
      <c r="Y25" s="179" cm="1">
        <f t="array" ref="Y25">SUMPRODUCT(
  IFERROR(--desp[valor],0)*
  (desp[nucleo]="UP VILA SONIA")*
  (desp[categoria]=Y$7)*
  (desp[data.pagamento]&gt;=$A25)*
  (desp[data.pagamento]&lt;EOMONTH($A25,0)+1)
)</f>
        <v>0</v>
      </c>
      <c r="Z25" s="177">
        <f>COUNTIFS(
    estq[empresa], Z$6,
    estq[Data da venda / reserva], "&gt;=" &amp; $A25,
    estq[Data da venda / reserva], "&lt;"  &amp; EOMONTH($A25,0) + 1
)</f>
        <v>0</v>
      </c>
      <c r="AA25" s="178">
        <f ca="1">SUMIFS(rec.uni[2022-11-01],
INDIRECT("rec.uni[natureza]"),"pro.soluto",
INDIRECT("rec.uni[empresa]"),AA$6)</f>
        <v>0</v>
      </c>
      <c r="AB25" s="178">
        <f ca="1">SUMIFS(rec.uni[2022-11-01],
INDIRECT("rec.uni[natureza]"),"pro.soluto",
INDIRECT("rec.uni[empresa]"),AB$6)</f>
        <v>0</v>
      </c>
      <c r="AC25" s="178">
        <f ca="1">SUMIFS(rec.uni[2022-11-01],
INDIRECT("rec.uni[natureza]"),"taxa.extra",
INDIRECT("rec.uni[empresa]"),AC$6)</f>
        <v>0</v>
      </c>
      <c r="AD25" s="166"/>
      <c r="AE25" s="178" cm="1">
        <f t="array" ref="AE25">SUMPRODUCT(
  IFERROR(--desp[valor],0)*
  (desp[nucleo]="UP CAMPO BELO")*
  (desp[categoria]=AE$7)*
  (desp[data.pagamento]&gt;=$A25)*
  (desp[data.pagamento]&lt;EOMONTH($A25,0)+1)
)</f>
        <v>0</v>
      </c>
      <c r="AF25" s="178" cm="1">
        <f t="array" ref="AF25">SUMPRODUCT(
  IFERROR(--desp[valor],0)*
  (desp[nucleo]="UP CAMPO BELO")*
  (desp[categoria]=AF$7)*
  (desp[data.pagamento]&gt;=$A25)*
  (desp[data.pagamento]&lt;EOMONTH($A25,0)+1)
)</f>
        <v>0</v>
      </c>
      <c r="AG25" s="178" cm="1">
        <f t="array" ref="AG25">SUMPRODUCT(
  IFERROR(--desp[valor],0)*
  (desp[nucleo]="UP CAMPO BELO")*
  (desp[categoria]=AG$7)*
  (desp[data.pagamento]&gt;=$A25)*
  (desp[data.pagamento]&lt;EOMONTH($A25,0)+1)
)</f>
        <v>0</v>
      </c>
      <c r="AH25" s="178" cm="1">
        <f t="array" ref="AH25">SUMPRODUCT(
  IFERROR(--desp[valor],0)*
  (desp[nucleo]="UP CAMPO BELO")*
  (desp[categoria]=AH$7)*
  (desp[data.pagamento]&gt;=$A25)*
  (desp[data.pagamento]&lt;EOMONTH($A25,0)+1)
)</f>
        <v>0</v>
      </c>
      <c r="AI25" s="179" cm="1">
        <f t="array" ref="AI25">SUMPRODUCT(
  IFERROR(--desp[valor],0)*
  (desp[nucleo]="UP CAMPO BELO")*
  (desp[categoria]=AI$7)*
  (desp[data.pagamento]&gt;=$A25)*
  (desp[data.pagamento]&lt;EOMONTH($A25,0)+1)
)</f>
        <v>0</v>
      </c>
      <c r="AJ25" s="177">
        <f>COUNTIFS(
    estq[empresa], AJ$6,
    estq[Data da venda / reserva], "&gt;=" &amp; $A25,
    estq[Data da venda / reserva], "&lt;"  &amp; EOMONTH($A25,0) + 1
)</f>
        <v>0</v>
      </c>
      <c r="AK25" s="178">
        <f ca="1">SUMIFS(rec.uni[2022-11-01],
INDIRECT("rec.uni[natureza]"),"pro.soluto",
INDIRECT("rec.uni[empresa]"),AK$6)</f>
        <v>0</v>
      </c>
      <c r="AL25" s="178">
        <f ca="1">SUMIFS(rec.uni[2022-11-01],
INDIRECT("rec.uni[natureza]"),"repasse.cef.obra",
INDIRECT("rec.uni[empresa]"),AL$6)</f>
        <v>0</v>
      </c>
      <c r="AM25" s="178">
        <f ca="1">SUMIFS(rec.uni[2022-11-01],
INDIRECT("rec.uni[natureza]"),"repasse.cef.terreno",
INDIRECT("rec.uni[empresa]"),AM$6)</f>
        <v>0</v>
      </c>
      <c r="AN25" s="178">
        <v>0</v>
      </c>
      <c r="AO25" s="178">
        <f ca="1">SUMIFS(rec.uni[2022-11-01],
INDIRECT("rec.uni[natureza]"),"taxa.extra",
INDIRECT("rec.uni[empresa]"),AO$6)</f>
        <v>0</v>
      </c>
      <c r="AP25" s="166"/>
      <c r="AQ25" s="178" cm="1">
        <f t="array" ref="AQ25">SUMPRODUCT(
  IFERROR(--desp[valor],0)*
  (desp[nucleo]="UP SELECT VILA SONIA")*
  (desp[categoria]=AQ$7)*
  (desp[data.pagamento]&gt;=$A25)*
  (desp[data.pagamento]&lt;EOMONTH($A25,0)+1)
)</f>
        <v>0</v>
      </c>
      <c r="AR25" s="178" cm="1">
        <f t="array" ref="AR25">SUMPRODUCT(
  IFERROR(--desp[valor],0)*
  (desp[nucleo]="UP SELECT VILA SONIA")*
  (desp[categoria]=AR$7)*
  (desp[data.pagamento]&gt;=$A25)*
  (desp[data.pagamento]&lt;EOMONTH($A25,0)+1)
)</f>
        <v>0</v>
      </c>
      <c r="AS25" s="178" cm="1">
        <f t="array" ref="AS25">SUMPRODUCT(
  IFERROR(--desp[valor],0)*
  (desp[nucleo]="UP SELECT VILA SONIA")*
  (desp[categoria]=AS$7)*
  (desp[data.pagamento]&gt;=$A25)*
  (desp[data.pagamento]&lt;EOMONTH($A25,0)+1)
)</f>
        <v>0</v>
      </c>
      <c r="AT25" s="178" cm="1">
        <f t="array" ref="AT25">SUMPRODUCT(
  IFERROR(--desp[valor],0)*
  (desp[nucleo]="UP SELECT VILA SONIA")*
  (desp[categoria]=AT$7)*
  (desp[data.pagamento]&gt;=$A25)*
  (desp[data.pagamento]&lt;EOMONTH($A25,0)+1)
)</f>
        <v>0</v>
      </c>
      <c r="AU25" s="179" cm="1">
        <f t="array" ref="AU25">SUMPRODUCT(
  IFERROR(--desp[valor],0)*
  (desp[nucleo]="UP SELECT VILA SONIA")*
  (desp[categoria]=AU$7)*
  (desp[data.pagamento]&gt;=$A25)*
  (desp[data.pagamento]&lt;EOMONTH($A25,0)+1)
)</f>
        <v>0</v>
      </c>
      <c r="AV25" s="177">
        <f>COUNTIFS(
    estq[empresa], AV$6,
    estq[Data da venda / reserva], "&gt;=" &amp; $A25,
    estq[Data da venda / reserva], "&lt;"  &amp; EOMONTH($A25,0) + 1
)</f>
        <v>0</v>
      </c>
      <c r="AW25" s="178">
        <f ca="1">SUMIFS(rec.uni[2022-11-01],
INDIRECT("rec.uni[natureza]"),"pro.soluto",
INDIRECT("rec.uni[empresa]"),AW$6)</f>
        <v>0</v>
      </c>
      <c r="AX25" s="178">
        <f ca="1">SUMIFS(rec.uni[2022-11-01],
INDIRECT("rec.uni[natureza]"),"repasse.cef.obra",
INDIRECT("rec.uni[empresa]"),AX$6)</f>
        <v>0</v>
      </c>
      <c r="AY25" s="178">
        <f ca="1">SUMIFS(rec.uni[2022-11-01],
INDIRECT("rec.uni[natureza]"),"repasse.cef.terreno",
INDIRECT("rec.uni[empresa]"),AY$6)</f>
        <v>0</v>
      </c>
      <c r="AZ25" s="178">
        <v>0</v>
      </c>
      <c r="BA25" s="178">
        <f ca="1">SUMIFS(rec.uni[2022-11-01],
INDIRECT("rec.uni[natureza]"),"taxa.extra",
INDIRECT("rec.uni[empresa]"),BA$6)</f>
        <v>0</v>
      </c>
      <c r="BB25" s="166"/>
      <c r="BC25" s="178" cm="1">
        <f t="array" ref="BC25">SUMPRODUCT(
  IFERROR(--desp[valor],0)*
  (desp[nucleo]="UP ESTAÇÃO SÃO LUCAS")*
  (desp[categoria]=BC$7)*
  (desp[data.pagamento]&gt;=$A25)*
  (desp[data.pagamento]&lt;EOMONTH($A25,0)+1)
)</f>
        <v>0</v>
      </c>
      <c r="BD25" s="178" cm="1">
        <f t="array" ref="BD25">SUMPRODUCT(
  IFERROR(--desp[valor],0)*
  (desp[nucleo]="UP ESTAÇÃO SÃO LUCAS")*
  (desp[categoria]=BD$7)*
  (desp[data.pagamento]&gt;=$A25)*
  (desp[data.pagamento]&lt;EOMONTH($A25,0)+1)
)</f>
        <v>0</v>
      </c>
      <c r="BE25" s="178" cm="1">
        <f t="array" ref="BE25">SUMPRODUCT(
  IFERROR(--desp[valor],0)*
  (desp[nucleo]="UP ESTAÇÃO SÃO LUCAS")*
  (desp[categoria]=BE$7)*
  (desp[data.pagamento]&gt;=$A25)*
  (desp[data.pagamento]&lt;EOMONTH($A25,0)+1)
)</f>
        <v>0</v>
      </c>
      <c r="BF25" s="178" cm="1">
        <f t="array" ref="BF25">SUMPRODUCT(
  IFERROR(--desp[valor],0)*
  (desp[nucleo]="UP ESTAÇÃO SÃO LUCAS")*
  (desp[categoria]=BF$7)*
  (desp[data.pagamento]&gt;=$A25)*
  (desp[data.pagamento]&lt;EOMONTH($A25,0)+1)
)</f>
        <v>0</v>
      </c>
      <c r="BG25" s="179" cm="1">
        <f t="array" ref="BG25">SUMPRODUCT(
  IFERROR(--desp[valor],0)*
  (desp[nucleo]="UP ESTAÇÃO SÃO LUCAS")*
  (desp[categoria]=BG$7)*
  (desp[data.pagamento]&gt;=$A25)*
  (desp[data.pagamento]&lt;EOMONTH($A25,0)+1)
)</f>
        <v>0</v>
      </c>
      <c r="BH25" s="177">
        <f>COUNTIFS(
    estq[empresa], BH$6,
    estq[Data da venda / reserva], "&gt;=" &amp; $A25,
    estq[Data da venda / reserva], "&lt;"  &amp; EOMONTH($A25,0) + 1
)</f>
        <v>0</v>
      </c>
      <c r="BI25" s="178">
        <f ca="1">SUMIFS(rec.uni[2022-11-01],
INDIRECT("rec.uni[natureza]"),"pro.soluto",
INDIRECT("rec.uni[empresa]"),BI$6)</f>
        <v>0</v>
      </c>
      <c r="BJ25" s="166">
        <v>0</v>
      </c>
      <c r="BK25" s="178">
        <f ca="1">SUMIFS(rec.uni[2022-11-01],
INDIRECT("rec.uni[natureza]"),"taxa.extra",
INDIRECT("rec.uni[empresa]"),BK$6)</f>
        <v>0</v>
      </c>
      <c r="BL25" s="166"/>
      <c r="BM25" s="178" cm="1">
        <f t="array" ref="BM25">SUMPRODUCT(
  IFERROR(--desp[valor],0)*
  (desp[nucleo]="UP POMPEIA")*
  (desp[categoria]=BM$7)*
  (desp[data.pagamento]&gt;=$A25)*
  (desp[data.pagamento]&lt;EOMONTH($A25,0)+1)
)</f>
        <v>0</v>
      </c>
      <c r="BN25" s="178" cm="1">
        <f t="array" ref="BN25">SUMPRODUCT(
  IFERROR(--desp[valor],0)*
  (desp[nucleo]="UP POMPEIA")*
  (desp[categoria]=BN$7)*
  (desp[data.pagamento]&gt;=$A25)*
  (desp[data.pagamento]&lt;EOMONTH($A25,0)+1)
)</f>
        <v>0</v>
      </c>
      <c r="BO25" s="178" cm="1">
        <f t="array" ref="BO25">SUMPRODUCT(
  IFERROR(--desp[valor],0)*
  (desp[nucleo]="UP POMPEIA")*
  (desp[categoria]=BO$7)*
  (desp[data.pagamento]&gt;=$A25)*
  (desp[data.pagamento]&lt;EOMONTH($A25,0)+1)
)</f>
        <v>0</v>
      </c>
      <c r="BP25" s="178" cm="1">
        <f t="array" ref="BP25">SUMPRODUCT(
  IFERROR(--desp[valor],0)*
  (desp[nucleo]="UP POMPEIA")*
  (desp[categoria]=BP$7)*
  (desp[data.pagamento]&gt;=$A25)*
  (desp[data.pagamento]&lt;EOMONTH($A25,0)+1)
)</f>
        <v>0</v>
      </c>
      <c r="BQ25" s="179" cm="1">
        <f t="array" ref="BQ25">SUMPRODUCT(
  IFERROR(--desp[valor],0)*
  (desp[nucleo]="UP POMPEIA")*
  (desp[categoria]=BQ$7)*
  (desp[data.pagamento]&gt;=$A25)*
  (desp[data.pagamento]&lt;EOMONTH($A25,0)+1)
)</f>
        <v>0</v>
      </c>
      <c r="BR25" s="177">
        <f>COUNTIFS(
    estq[empresa], BR$6,
    estq[Data da venda / reserva], "&gt;=" &amp; $A25,
    estq[Data da venda / reserva], "&lt;"  &amp; EOMONTH($A25,0) + 1
)</f>
        <v>0</v>
      </c>
      <c r="BS25" s="178">
        <f ca="1">SUMIFS(rec.uni[2022-11-01],
INDIRECT("rec.uni[natureza]"),"pro.soluto",
INDIRECT("rec.uni[empresa]"),BS$6)</f>
        <v>0</v>
      </c>
      <c r="BT25" s="178">
        <f ca="1">SUMIFS(rec.uni[2022-11-01],
INDIRECT("rec.uni[natureza]"),"pro.soluto",
INDIRECT("rec.uni[empresa]"),BT$6)</f>
        <v>0</v>
      </c>
      <c r="BU25" s="178">
        <f ca="1">SUMIFS(rec.uni[2022-11-01],
INDIRECT("rec.uni[natureza]"),"taxa.extra",
INDIRECT("rec.uni[empresa]"),BU$6)</f>
        <v>0</v>
      </c>
      <c r="BV25" s="166"/>
      <c r="BW25" s="178" cm="1">
        <f t="array" ref="BW25">SUMPRODUCT(
  IFERROR(--desp[valor],0)*
  (desp[nucleo]="UP SAUDE")*
  (desp[categoria]=BW$7)*
  (desp[data.pagamento]&gt;=$A25)*
  (desp[data.pagamento]&lt;EOMONTH($A25,0)+1)
)</f>
        <v>0</v>
      </c>
      <c r="BX25" s="178" cm="1">
        <f t="array" ref="BX25">SUMPRODUCT(
  IFERROR(--desp[valor],0)*
  (desp[nucleo]="UP SAUDE")*
  (desp[categoria]=BX$7)*
  (desp[data.pagamento]&gt;=$A25)*
  (desp[data.pagamento]&lt;EOMONTH($A25,0)+1)
)</f>
        <v>0</v>
      </c>
      <c r="BY25" s="178" cm="1">
        <f t="array" ref="BY25">SUMPRODUCT(
  IFERROR(--desp[valor],0)*
  (desp[nucleo]="UP SAUDE")*
  (desp[categoria]=BY$7)*
  (desp[data.pagamento]&gt;=$A25)*
  (desp[data.pagamento]&lt;EOMONTH($A25,0)+1)
)</f>
        <v>0</v>
      </c>
      <c r="BZ25" s="178" cm="1">
        <f t="array" ref="BZ25">SUMPRODUCT(
  IFERROR(--desp[valor],0)*
  (desp[nucleo]="UP SAUDE")*
  (desp[categoria]=BZ$7)*
  (desp[data.pagamento]&gt;=$A25)*
  (desp[data.pagamento]&lt;EOMONTH($A25,0)+1)
)</f>
        <v>0</v>
      </c>
      <c r="CA25" s="179" cm="1">
        <f t="array" ref="CA25">SUMPRODUCT(
  IFERROR(--desp[valor],0)*
  (desp[nucleo]="UP SAUDE")*
  (desp[categoria]=CA$7)*
  (desp[data.pagamento]&gt;=$A25)*
  (desp[data.pagamento]&lt;EOMONTH($A25,0)+1)
)</f>
        <v>0</v>
      </c>
      <c r="CB25" s="177">
        <f>COUNTIFS(
    estq[empresa], CB$6,
    estq[Data da venda / reserva], "&gt;=" &amp; $A25,
    estq[Data da venda / reserva], "&lt;"  &amp; EOMONTH($A25,0) + 1
)</f>
        <v>0</v>
      </c>
      <c r="CC25" s="178">
        <f ca="1">SUMIFS(rec.uni[2022-11-01],
INDIRECT("rec.uni[natureza]"),"pro.soluto",
INDIRECT("rec.uni[empresa]"),CC$6)</f>
        <v>0</v>
      </c>
      <c r="CD25" s="178">
        <f ca="1">SUMIFS(rec.uni[2022-11-01],
INDIRECT("rec.uni[natureza]"),"repasse.cef.obra",
INDIRECT("rec.uni[empresa]"),CD$6)</f>
        <v>0</v>
      </c>
      <c r="CE25" s="178">
        <f ca="1">SUMIFS(rec.uni[2022-11-01],
INDIRECT("rec.uni[natureza]"),"repasse.cef.terreno",
INDIRECT("rec.uni[empresa]"),CE$6)</f>
        <v>0</v>
      </c>
      <c r="CF25" s="178">
        <v>0</v>
      </c>
      <c r="CG25" s="178">
        <f ca="1">SUMIFS(rec.uni[2022-11-01],
INDIRECT("rec.uni[natureza]"),"taxa.extra",
INDIRECT("rec.uni[empresa]"),CG$6)</f>
        <v>0</v>
      </c>
      <c r="CH25" s="166"/>
      <c r="CI25" s="178" cm="1">
        <f t="array" ref="CI25">SUMPRODUCT(
  IFERROR(--desp[valor],0)*
  (desp[nucleo]="UP ESTAÇÃO VILA SONIA")*
  (desp[categoria]=CI$7)*
  (desp[data.pagamento]&gt;=$A25)*
  (desp[data.pagamento]&lt;EOMONTH($A25,0)+1)
)</f>
        <v>0</v>
      </c>
      <c r="CJ25" s="178" cm="1">
        <f t="array" ref="CJ25">SUMPRODUCT(
  IFERROR(--desp[valor],0)*
  (desp[nucleo]="UP ESTAÇÃO VILA SONIA")*
  (desp[categoria]=CJ$7)*
  (desp[data.pagamento]&gt;=$A25)*
  (desp[data.pagamento]&lt;EOMONTH($A25,0)+1)
)</f>
        <v>0</v>
      </c>
      <c r="CK25" s="178" cm="1">
        <f t="array" ref="CK25">SUMPRODUCT(
  IFERROR(--desp[valor],0)*
  (desp[nucleo]="UP ESTAÇÃO VILA SONIA")*
  (desp[categoria]=CK$7)*
  (desp[data.pagamento]&gt;=$A25)*
  (desp[data.pagamento]&lt;EOMONTH($A25,0)+1)
)</f>
        <v>0</v>
      </c>
      <c r="CL25" s="178" cm="1">
        <f t="array" ref="CL25">SUMPRODUCT(
  IFERROR(--desp[valor],0)*
  (desp[nucleo]="UP ESTAÇÃO VILA SONIA")*
  (desp[categoria]=CL$7)*
  (desp[data.pagamento]&gt;=$A25)*
  (desp[data.pagamento]&lt;EOMONTH($A25,0)+1)
)</f>
        <v>0</v>
      </c>
      <c r="CM25" s="179" cm="1">
        <f t="array" ref="CM25">SUMPRODUCT(
  IFERROR(--desp[valor],0)*
  (desp[nucleo]="UP ESTAÇÃO VILA SONIA")*
  (desp[categoria]=CM$7)*
  (desp[data.pagamento]&gt;=$A25)*
  (desp[data.pagamento]&lt;EOMONTH($A25,0)+1)
)</f>
        <v>0</v>
      </c>
      <c r="CN25" s="177">
        <f>COUNTIFS(
    estq[empresa], CN$6,
    estq[Data da venda / reserva], "&gt;=" &amp; $A25,
    estq[Data da venda / reserva], "&lt;"  &amp; EOMONTH($A25,0) + 1
)</f>
        <v>0</v>
      </c>
      <c r="CO25" s="178">
        <f ca="1">SUMIFS(rec.uni[2022-11-01],
INDIRECT("rec.uni[natureza]"),"pro.soluto",
INDIRECT("rec.uni[empresa]"),CO$6)</f>
        <v>0</v>
      </c>
      <c r="CP25" s="178">
        <f ca="1">SUMIFS(rec.uni[2022-11-01],
INDIRECT("rec.uni[natureza]"),"repasse.cef.obra",
INDIRECT("rec.uni[empresa]"),CP$6)</f>
        <v>0</v>
      </c>
      <c r="CQ25" s="178">
        <f ca="1">SUMIFS(rec.uni[2022-11-01],
INDIRECT("rec.uni[natureza]"),"repasse.cef.terreno",
INDIRECT("rec.uni[empresa]"),CQ$6)</f>
        <v>0</v>
      </c>
      <c r="CR25" s="178">
        <v>0</v>
      </c>
      <c r="CS25" s="178">
        <f ca="1">SUMIFS(rec.uni[2022-11-01],
INDIRECT("rec.uni[natureza]"),"taxa.extra",
INDIRECT("rec.uni[empresa]"),CS$6)</f>
        <v>0</v>
      </c>
      <c r="CT25" s="166"/>
      <c r="CU25" s="178" cm="1">
        <f t="array" ref="CU25">SUMPRODUCT(
  IFERROR(--desp[valor],0)*
  (desp[nucleo]="UP MOVE VILA SONIA")*
  (desp[categoria]=CU$7)*
  (desp[data.pagamento]&gt;=$A25)*
  (desp[data.pagamento]&lt;EOMONTH($A25,0)+1)
)</f>
        <v>0</v>
      </c>
      <c r="CV25" s="178" cm="1">
        <f t="array" ref="CV25">SUMPRODUCT(
  IFERROR(--desp[valor],0)*
  (desp[nucleo]="UP MOVE VILA SONIA")*
  (desp[categoria]=CV$7)*
  (desp[data.pagamento]&gt;=$A25)*
  (desp[data.pagamento]&lt;EOMONTH($A25,0)+1)
)</f>
        <v>0</v>
      </c>
      <c r="CW25" s="178" cm="1">
        <f t="array" ref="CW25">SUMPRODUCT(
  IFERROR(--desp[valor],0)*
  (desp[nucleo]="UP MOVE VILA SONIA")*
  (desp[categoria]=CW$7)*
  (desp[data.pagamento]&gt;=$A25)*
  (desp[data.pagamento]&lt;EOMONTH($A25,0)+1)
)</f>
        <v>0</v>
      </c>
      <c r="CX25" s="178" cm="1">
        <f t="array" ref="CX25">SUMPRODUCT(
  IFERROR(--desp[valor],0)*
  (desp[nucleo]="UP MOVE VILA SONIA")*
  (desp[categoria]=CX$7)*
  (desp[data.pagamento]&gt;=$A25)*
  (desp[data.pagamento]&lt;EOMONTH($A25,0)+1)
)</f>
        <v>0</v>
      </c>
      <c r="CY25" s="180" cm="1">
        <f t="array" ref="CY25">SUMPRODUCT(
  IFERROR(--desp[valor],0)*
  (desp[nucleo]="UP MOVE VILA SONIA")*
  (desp[categoria]=CY$7)*
  (desp[data.pagamento]&gt;=$A25)*
  (desp[data.pagamento]&lt;EOMONTH($A25,0)+1)
)</f>
        <v>0</v>
      </c>
    </row>
    <row r="26" spans="1:103" x14ac:dyDescent="0.25">
      <c r="A26" s="176">
        <v>44896</v>
      </c>
      <c r="B26" s="177">
        <f>COUNTIFS(
    estq[empresa], B$6,
    estq[Data da venda / reserva], "&gt;=" &amp; $A26,
    estq[Data da venda / reserva], "&lt;"  &amp; EOMONTH($A26,0) + 1
)</f>
        <v>0</v>
      </c>
      <c r="C26" s="178">
        <f ca="1">SUMIFS(rec.uni[2022-12-01],
INDIRECT("rec.uni[natureza]"),"pro.soluto",
INDIRECT("rec.uni[empresa]"),C$6)</f>
        <v>0</v>
      </c>
      <c r="D26" s="178">
        <f ca="1">SUMIFS(rec.uni[2022-12-01],
INDIRECT("rec.uni[natureza]"),"repasse.cef.obra",
INDIRECT("rec.uni[empresa]"),D$6)</f>
        <v>0</v>
      </c>
      <c r="E26" s="178">
        <f ca="1">SUMIFS(rec.uni[2022-12-01],
INDIRECT("rec.uni[natureza]"),"repasse.cef.terreno",
INDIRECT("rec.uni[empresa]"),E$6)</f>
        <v>0</v>
      </c>
      <c r="F26" s="178">
        <v>0</v>
      </c>
      <c r="G26" s="178">
        <f ca="1">SUMIFS(rec.uni[2022-12-01],
INDIRECT("rec.uni[natureza]"),"taxa.extra",
INDIRECT("rec.uni[empresa]"),G$6)</f>
        <v>0</v>
      </c>
      <c r="H26" s="166"/>
      <c r="I26" s="178" cm="1">
        <f t="array" ref="I26">SUMPRODUCT(
  IFERROR(--desp[valor],0)*
  (desp[nucleo]="UP JARDIM PRUDENCIA")*
  (desp[categoria]=I$7)*
  (desp[data.pagamento]&gt;=$A26)*
  (desp[data.pagamento]&lt;EOMONTH($A26,0)+1)
)</f>
        <v>0</v>
      </c>
      <c r="J26" s="178" cm="1">
        <f t="array" ref="J26">SUMPRODUCT(
  IFERROR(--desp[valor],0)*
  (desp[nucleo]="UP JARDIM PRUDENCIA")*
  (desp[categoria]=J$7)*
  (desp[data.pagamento]&gt;=$A26)*
  (desp[data.pagamento]&lt;EOMONTH($A26,0)+1)
)</f>
        <v>0</v>
      </c>
      <c r="K26" s="178" cm="1">
        <f t="array" ref="K26">SUMPRODUCT(
  IFERROR(--desp[valor],0)*
  (desp[nucleo]="UP JARDIM PRUDENCIA")*
  (desp[categoria]=K$7)*
  (desp[data.pagamento]&gt;=$A26)*
  (desp[data.pagamento]&lt;EOMONTH($A26,0)+1)
)</f>
        <v>0</v>
      </c>
      <c r="L26" s="178" cm="1">
        <f t="array" ref="L26">SUMPRODUCT(
  IFERROR(--desp[valor],0)*
  (desp[nucleo]="UP JARDIM PRUDENCIA")*
  (desp[categoria]=L$7)*
  (desp[data.pagamento]&gt;=$A26)*
  (desp[data.pagamento]&lt;EOMONTH($A26,0)+1)
)</f>
        <v>0</v>
      </c>
      <c r="M26" s="179" cm="1">
        <f t="array" ref="M26">SUMPRODUCT(
  IFERROR(--desp[valor],0)*
  (desp[nucleo]="UP JARDIM PRUDENCIA")*
  (desp[categoria]=M$7)*
  (desp[data.pagamento]&gt;=$A26)*
  (desp[data.pagamento]&lt;EOMONTH($A26,0)+1)
)</f>
        <v>0</v>
      </c>
      <c r="N26" s="177">
        <f>COUNTIFS(
    estq[empresa], N$6,
    estq[Data da venda / reserva], "&gt;=" &amp; $A26,
    estq[Data da venda / reserva], "&lt;"  &amp; EOMONTH($A26,0) + 1
)</f>
        <v>0</v>
      </c>
      <c r="O26" s="178">
        <f ca="1">SUMIFS(rec.uni[2022-12-01],
INDIRECT("rec.uni[natureza]"),"pro.soluto",
INDIRECT("rec.uni[empresa]"),O$6)</f>
        <v>0</v>
      </c>
      <c r="P26" s="178">
        <f ca="1">SUMIFS(rec.uni[2022-12-01],
INDIRECT("rec.uni[natureza]"),"repasse.cef.obra",
INDIRECT("rec.uni[empresa]"),P$6)</f>
        <v>0</v>
      </c>
      <c r="Q26" s="178">
        <f ca="1">SUMIFS(rec.uni[2022-12-01],
INDIRECT("rec.uni[natureza]"),"repasse.cef.terreno",
INDIRECT("rec.uni[empresa]"),Q$6)</f>
        <v>0</v>
      </c>
      <c r="R26" s="178">
        <v>0</v>
      </c>
      <c r="S26" s="178">
        <f ca="1">SUMIFS(rec.uni[2022-12-01],
INDIRECT("rec.uni[natureza]"),"taxa.extra",
INDIRECT("rec.uni[empresa]"),S$6)</f>
        <v>0</v>
      </c>
      <c r="T26" s="166"/>
      <c r="U26" s="178" cm="1">
        <f t="array" ref="U26">SUMPRODUCT(
  IFERROR(--desp[valor],0)*
  (desp[nucleo]="UP VILA SONIA")*
  (desp[categoria]=U$7)*
  (desp[data.pagamento]&gt;=$A26)*
  (desp[data.pagamento]&lt;EOMONTH($A26,0)+1)
)</f>
        <v>0</v>
      </c>
      <c r="V26" s="178" cm="1">
        <f t="array" ref="V26">SUMPRODUCT(
  IFERROR(--desp[valor],0)*
  (desp[nucleo]="UP VILA SONIA")*
  (desp[categoria]=V$7)*
  (desp[data.pagamento]&gt;=$A26)*
  (desp[data.pagamento]&lt;EOMONTH($A26,0)+1)
)</f>
        <v>0</v>
      </c>
      <c r="W26" s="178" cm="1">
        <f t="array" ref="W26">SUMPRODUCT(
  IFERROR(--desp[valor],0)*
  (desp[nucleo]="UP VILA SONIA")*
  (desp[categoria]=W$7)*
  (desp[data.pagamento]&gt;=$A26)*
  (desp[data.pagamento]&lt;EOMONTH($A26,0)+1)
)</f>
        <v>0</v>
      </c>
      <c r="X26" s="178" cm="1">
        <f t="array" ref="X26">SUMPRODUCT(
  IFERROR(--desp[valor],0)*
  (desp[nucleo]="UP VILA SONIA")*
  (desp[categoria]=X$7)*
  (desp[data.pagamento]&gt;=$A26)*
  (desp[data.pagamento]&lt;EOMONTH($A26,0)+1)
)</f>
        <v>0</v>
      </c>
      <c r="Y26" s="179" cm="1">
        <f t="array" ref="Y26">SUMPRODUCT(
  IFERROR(--desp[valor],0)*
  (desp[nucleo]="UP VILA SONIA")*
  (desp[categoria]=Y$7)*
  (desp[data.pagamento]&gt;=$A26)*
  (desp[data.pagamento]&lt;EOMONTH($A26,0)+1)
)</f>
        <v>0</v>
      </c>
      <c r="Z26" s="177">
        <f>COUNTIFS(
    estq[empresa], Z$6,
    estq[Data da venda / reserva], "&gt;=" &amp; $A26,
    estq[Data da venda / reserva], "&lt;"  &amp; EOMONTH($A26,0) + 1
)</f>
        <v>0</v>
      </c>
      <c r="AA26" s="178">
        <f ca="1">SUMIFS(rec.uni[2022-12-01],
INDIRECT("rec.uni[natureza]"),"pro.soluto",
INDIRECT("rec.uni[empresa]"),AA$6)</f>
        <v>0</v>
      </c>
      <c r="AB26" s="178">
        <f ca="1">SUMIFS(rec.uni[2022-12-01],
INDIRECT("rec.uni[natureza]"),"pro.soluto",
INDIRECT("rec.uni[empresa]"),AB$6)</f>
        <v>0</v>
      </c>
      <c r="AC26" s="178">
        <f ca="1">SUMIFS(rec.uni[2022-12-01],
INDIRECT("rec.uni[natureza]"),"taxa.extra",
INDIRECT("rec.uni[empresa]"),AC$6)</f>
        <v>0</v>
      </c>
      <c r="AD26" s="166"/>
      <c r="AE26" s="178" cm="1">
        <f t="array" ref="AE26">SUMPRODUCT(
  IFERROR(--desp[valor],0)*
  (desp[nucleo]="UP CAMPO BELO")*
  (desp[categoria]=AE$7)*
  (desp[data.pagamento]&gt;=$A26)*
  (desp[data.pagamento]&lt;EOMONTH($A26,0)+1)
)</f>
        <v>0</v>
      </c>
      <c r="AF26" s="178" cm="1">
        <f t="array" ref="AF26">SUMPRODUCT(
  IFERROR(--desp[valor],0)*
  (desp[nucleo]="UP CAMPO BELO")*
  (desp[categoria]=AF$7)*
  (desp[data.pagamento]&gt;=$A26)*
  (desp[data.pagamento]&lt;EOMONTH($A26,0)+1)
)</f>
        <v>0</v>
      </c>
      <c r="AG26" s="178" cm="1">
        <f t="array" ref="AG26">SUMPRODUCT(
  IFERROR(--desp[valor],0)*
  (desp[nucleo]="UP CAMPO BELO")*
  (desp[categoria]=AG$7)*
  (desp[data.pagamento]&gt;=$A26)*
  (desp[data.pagamento]&lt;EOMONTH($A26,0)+1)
)</f>
        <v>0</v>
      </c>
      <c r="AH26" s="178" cm="1">
        <f t="array" ref="AH26">SUMPRODUCT(
  IFERROR(--desp[valor],0)*
  (desp[nucleo]="UP CAMPO BELO")*
  (desp[categoria]=AH$7)*
  (desp[data.pagamento]&gt;=$A26)*
  (desp[data.pagamento]&lt;EOMONTH($A26,0)+1)
)</f>
        <v>0</v>
      </c>
      <c r="AI26" s="179" cm="1">
        <f t="array" ref="AI26">SUMPRODUCT(
  IFERROR(--desp[valor],0)*
  (desp[nucleo]="UP CAMPO BELO")*
  (desp[categoria]=AI$7)*
  (desp[data.pagamento]&gt;=$A26)*
  (desp[data.pagamento]&lt;EOMONTH($A26,0)+1)
)</f>
        <v>0</v>
      </c>
      <c r="AJ26" s="177">
        <f>COUNTIFS(
    estq[empresa], AJ$6,
    estq[Data da venda / reserva], "&gt;=" &amp; $A26,
    estq[Data da venda / reserva], "&lt;"  &amp; EOMONTH($A26,0) + 1
)</f>
        <v>0</v>
      </c>
      <c r="AK26" s="178">
        <f ca="1">SUMIFS(rec.uni[2022-12-01],
INDIRECT("rec.uni[natureza]"),"pro.soluto",
INDIRECT("rec.uni[empresa]"),AK$6)</f>
        <v>0</v>
      </c>
      <c r="AL26" s="178">
        <f ca="1">SUMIFS(rec.uni[2022-12-01],
INDIRECT("rec.uni[natureza]"),"repasse.cef.obra",
INDIRECT("rec.uni[empresa]"),AL$6)</f>
        <v>0</v>
      </c>
      <c r="AM26" s="178">
        <f ca="1">SUMIFS(rec.uni[2022-12-01],
INDIRECT("rec.uni[natureza]"),"repasse.cef.terreno",
INDIRECT("rec.uni[empresa]"),AM$6)</f>
        <v>0</v>
      </c>
      <c r="AN26" s="178">
        <v>0</v>
      </c>
      <c r="AO26" s="178">
        <f ca="1">SUMIFS(rec.uni[2022-12-01],
INDIRECT("rec.uni[natureza]"),"taxa.extra",
INDIRECT("rec.uni[empresa]"),AO$6)</f>
        <v>0</v>
      </c>
      <c r="AP26" s="166"/>
      <c r="AQ26" s="178" cm="1">
        <f t="array" ref="AQ26">SUMPRODUCT(
  IFERROR(--desp[valor],0)*
  (desp[nucleo]="UP SELECT VILA SONIA")*
  (desp[categoria]=AQ$7)*
  (desp[data.pagamento]&gt;=$A26)*
  (desp[data.pagamento]&lt;EOMONTH($A26,0)+1)
)</f>
        <v>0</v>
      </c>
      <c r="AR26" s="178" cm="1">
        <f t="array" ref="AR26">SUMPRODUCT(
  IFERROR(--desp[valor],0)*
  (desp[nucleo]="UP SELECT VILA SONIA")*
  (desp[categoria]=AR$7)*
  (desp[data.pagamento]&gt;=$A26)*
  (desp[data.pagamento]&lt;EOMONTH($A26,0)+1)
)</f>
        <v>0</v>
      </c>
      <c r="AS26" s="178" cm="1">
        <f t="array" ref="AS26">SUMPRODUCT(
  IFERROR(--desp[valor],0)*
  (desp[nucleo]="UP SELECT VILA SONIA")*
  (desp[categoria]=AS$7)*
  (desp[data.pagamento]&gt;=$A26)*
  (desp[data.pagamento]&lt;EOMONTH($A26,0)+1)
)</f>
        <v>0</v>
      </c>
      <c r="AT26" s="178" cm="1">
        <f t="array" ref="AT26">SUMPRODUCT(
  IFERROR(--desp[valor],0)*
  (desp[nucleo]="UP SELECT VILA SONIA")*
  (desp[categoria]=AT$7)*
  (desp[data.pagamento]&gt;=$A26)*
  (desp[data.pagamento]&lt;EOMONTH($A26,0)+1)
)</f>
        <v>0</v>
      </c>
      <c r="AU26" s="179" cm="1">
        <f t="array" ref="AU26">SUMPRODUCT(
  IFERROR(--desp[valor],0)*
  (desp[nucleo]="UP SELECT VILA SONIA")*
  (desp[categoria]=AU$7)*
  (desp[data.pagamento]&gt;=$A26)*
  (desp[data.pagamento]&lt;EOMONTH($A26,0)+1)
)</f>
        <v>0</v>
      </c>
      <c r="AV26" s="177">
        <f>COUNTIFS(
    estq[empresa], AV$6,
    estq[Data da venda / reserva], "&gt;=" &amp; $A26,
    estq[Data da venda / reserva], "&lt;"  &amp; EOMONTH($A26,0) + 1
)</f>
        <v>0</v>
      </c>
      <c r="AW26" s="178">
        <f ca="1">SUMIFS(rec.uni[2022-12-01],
INDIRECT("rec.uni[natureza]"),"pro.soluto",
INDIRECT("rec.uni[empresa]"),AW$6)</f>
        <v>0</v>
      </c>
      <c r="AX26" s="178">
        <f ca="1">SUMIFS(rec.uni[2022-12-01],
INDIRECT("rec.uni[natureza]"),"repasse.cef.obra",
INDIRECT("rec.uni[empresa]"),AX$6)</f>
        <v>0</v>
      </c>
      <c r="AY26" s="178">
        <f ca="1">SUMIFS(rec.uni[2022-12-01],
INDIRECT("rec.uni[natureza]"),"repasse.cef.terreno",
INDIRECT("rec.uni[empresa]"),AY$6)</f>
        <v>0</v>
      </c>
      <c r="AZ26" s="178">
        <v>0</v>
      </c>
      <c r="BA26" s="178">
        <f ca="1">SUMIFS(rec.uni[2022-12-01],
INDIRECT("rec.uni[natureza]"),"taxa.extra",
INDIRECT("rec.uni[empresa]"),BA$6)</f>
        <v>0</v>
      </c>
      <c r="BB26" s="166"/>
      <c r="BC26" s="178" cm="1">
        <f t="array" ref="BC26">SUMPRODUCT(
  IFERROR(--desp[valor],0)*
  (desp[nucleo]="UP ESTAÇÃO SÃO LUCAS")*
  (desp[categoria]=BC$7)*
  (desp[data.pagamento]&gt;=$A26)*
  (desp[data.pagamento]&lt;EOMONTH($A26,0)+1)
)</f>
        <v>0</v>
      </c>
      <c r="BD26" s="178" cm="1">
        <f t="array" ref="BD26">SUMPRODUCT(
  IFERROR(--desp[valor],0)*
  (desp[nucleo]="UP ESTAÇÃO SÃO LUCAS")*
  (desp[categoria]=BD$7)*
  (desp[data.pagamento]&gt;=$A26)*
  (desp[data.pagamento]&lt;EOMONTH($A26,0)+1)
)</f>
        <v>0</v>
      </c>
      <c r="BE26" s="178" cm="1">
        <f t="array" ref="BE26">SUMPRODUCT(
  IFERROR(--desp[valor],0)*
  (desp[nucleo]="UP ESTAÇÃO SÃO LUCAS")*
  (desp[categoria]=BE$7)*
  (desp[data.pagamento]&gt;=$A26)*
  (desp[data.pagamento]&lt;EOMONTH($A26,0)+1)
)</f>
        <v>0</v>
      </c>
      <c r="BF26" s="178" cm="1">
        <f t="array" ref="BF26">SUMPRODUCT(
  IFERROR(--desp[valor],0)*
  (desp[nucleo]="UP ESTAÇÃO SÃO LUCAS")*
  (desp[categoria]=BF$7)*
  (desp[data.pagamento]&gt;=$A26)*
  (desp[data.pagamento]&lt;EOMONTH($A26,0)+1)
)</f>
        <v>0</v>
      </c>
      <c r="BG26" s="179" cm="1">
        <f t="array" ref="BG26">SUMPRODUCT(
  IFERROR(--desp[valor],0)*
  (desp[nucleo]="UP ESTAÇÃO SÃO LUCAS")*
  (desp[categoria]=BG$7)*
  (desp[data.pagamento]&gt;=$A26)*
  (desp[data.pagamento]&lt;EOMONTH($A26,0)+1)
)</f>
        <v>0</v>
      </c>
      <c r="BH26" s="177">
        <f>COUNTIFS(
    estq[empresa], BH$6,
    estq[Data da venda / reserva], "&gt;=" &amp; $A26,
    estq[Data da venda / reserva], "&lt;"  &amp; EOMONTH($A26,0) + 1
)</f>
        <v>0</v>
      </c>
      <c r="BI26" s="178">
        <f ca="1">SUMIFS(rec.uni[2022-12-01],
INDIRECT("rec.uni[natureza]"),"pro.soluto",
INDIRECT("rec.uni[empresa]"),BI$6)</f>
        <v>0</v>
      </c>
      <c r="BJ26" s="166">
        <v>0</v>
      </c>
      <c r="BK26" s="178">
        <f ca="1">SUMIFS(rec.uni[2022-12-01],
INDIRECT("rec.uni[natureza]"),"taxa.extra",
INDIRECT("rec.uni[empresa]"),BK$6)</f>
        <v>0</v>
      </c>
      <c r="BL26" s="166"/>
      <c r="BM26" s="178" cm="1">
        <f t="array" ref="BM26">SUMPRODUCT(
  IFERROR(--desp[valor],0)*
  (desp[nucleo]="UP POMPEIA")*
  (desp[categoria]=BM$7)*
  (desp[data.pagamento]&gt;=$A26)*
  (desp[data.pagamento]&lt;EOMONTH($A26,0)+1)
)</f>
        <v>0</v>
      </c>
      <c r="BN26" s="178" cm="1">
        <f t="array" ref="BN26">SUMPRODUCT(
  IFERROR(--desp[valor],0)*
  (desp[nucleo]="UP POMPEIA")*
  (desp[categoria]=BN$7)*
  (desp[data.pagamento]&gt;=$A26)*
  (desp[data.pagamento]&lt;EOMONTH($A26,0)+1)
)</f>
        <v>0</v>
      </c>
      <c r="BO26" s="178" cm="1">
        <f t="array" ref="BO26">SUMPRODUCT(
  IFERROR(--desp[valor],0)*
  (desp[nucleo]="UP POMPEIA")*
  (desp[categoria]=BO$7)*
  (desp[data.pagamento]&gt;=$A26)*
  (desp[data.pagamento]&lt;EOMONTH($A26,0)+1)
)</f>
        <v>0</v>
      </c>
      <c r="BP26" s="178" cm="1">
        <f t="array" ref="BP26">SUMPRODUCT(
  IFERROR(--desp[valor],0)*
  (desp[nucleo]="UP POMPEIA")*
  (desp[categoria]=BP$7)*
  (desp[data.pagamento]&gt;=$A26)*
  (desp[data.pagamento]&lt;EOMONTH($A26,0)+1)
)</f>
        <v>0</v>
      </c>
      <c r="BQ26" s="179" cm="1">
        <f t="array" ref="BQ26">SUMPRODUCT(
  IFERROR(--desp[valor],0)*
  (desp[nucleo]="UP POMPEIA")*
  (desp[categoria]=BQ$7)*
  (desp[data.pagamento]&gt;=$A26)*
  (desp[data.pagamento]&lt;EOMONTH($A26,0)+1)
)</f>
        <v>0</v>
      </c>
      <c r="BR26" s="177">
        <f>COUNTIFS(
    estq[empresa], BR$6,
    estq[Data da venda / reserva], "&gt;=" &amp; $A26,
    estq[Data da venda / reserva], "&lt;"  &amp; EOMONTH($A26,0) + 1
)</f>
        <v>0</v>
      </c>
      <c r="BS26" s="178">
        <f ca="1">SUMIFS(rec.uni[2022-12-01],
INDIRECT("rec.uni[natureza]"),"pro.soluto",
INDIRECT("rec.uni[empresa]"),BS$6)</f>
        <v>0</v>
      </c>
      <c r="BT26" s="178">
        <f ca="1">SUMIFS(rec.uni[2022-12-01],
INDIRECT("rec.uni[natureza]"),"pro.soluto",
INDIRECT("rec.uni[empresa]"),BT$6)</f>
        <v>0</v>
      </c>
      <c r="BU26" s="178">
        <f ca="1">SUMIFS(rec.uni[2022-12-01],
INDIRECT("rec.uni[natureza]"),"taxa.extra",
INDIRECT("rec.uni[empresa]"),BU$6)</f>
        <v>0</v>
      </c>
      <c r="BV26" s="166"/>
      <c r="BW26" s="178" cm="1">
        <f t="array" ref="BW26">SUMPRODUCT(
  IFERROR(--desp[valor],0)*
  (desp[nucleo]="UP SAUDE")*
  (desp[categoria]=BW$7)*
  (desp[data.pagamento]&gt;=$A26)*
  (desp[data.pagamento]&lt;EOMONTH($A26,0)+1)
)</f>
        <v>0</v>
      </c>
      <c r="BX26" s="178" cm="1">
        <f t="array" ref="BX26">SUMPRODUCT(
  IFERROR(--desp[valor],0)*
  (desp[nucleo]="UP SAUDE")*
  (desp[categoria]=BX$7)*
  (desp[data.pagamento]&gt;=$A26)*
  (desp[data.pagamento]&lt;EOMONTH($A26,0)+1)
)</f>
        <v>0</v>
      </c>
      <c r="BY26" s="178" cm="1">
        <f t="array" ref="BY26">SUMPRODUCT(
  IFERROR(--desp[valor],0)*
  (desp[nucleo]="UP SAUDE")*
  (desp[categoria]=BY$7)*
  (desp[data.pagamento]&gt;=$A26)*
  (desp[data.pagamento]&lt;EOMONTH($A26,0)+1)
)</f>
        <v>0</v>
      </c>
      <c r="BZ26" s="178" cm="1">
        <f t="array" ref="BZ26">SUMPRODUCT(
  IFERROR(--desp[valor],0)*
  (desp[nucleo]="UP SAUDE")*
  (desp[categoria]=BZ$7)*
  (desp[data.pagamento]&gt;=$A26)*
  (desp[data.pagamento]&lt;EOMONTH($A26,0)+1)
)</f>
        <v>0</v>
      </c>
      <c r="CA26" s="179" cm="1">
        <f t="array" ref="CA26">SUMPRODUCT(
  IFERROR(--desp[valor],0)*
  (desp[nucleo]="UP SAUDE")*
  (desp[categoria]=CA$7)*
  (desp[data.pagamento]&gt;=$A26)*
  (desp[data.pagamento]&lt;EOMONTH($A26,0)+1)
)</f>
        <v>0</v>
      </c>
      <c r="CB26" s="177">
        <f>COUNTIFS(
    estq[empresa], CB$6,
    estq[Data da venda / reserva], "&gt;=" &amp; $A26,
    estq[Data da venda / reserva], "&lt;"  &amp; EOMONTH($A26,0) + 1
)</f>
        <v>0</v>
      </c>
      <c r="CC26" s="178">
        <f ca="1">SUMIFS(rec.uni[2022-12-01],
INDIRECT("rec.uni[natureza]"),"pro.soluto",
INDIRECT("rec.uni[empresa]"),CC$6)</f>
        <v>0</v>
      </c>
      <c r="CD26" s="178">
        <f ca="1">SUMIFS(rec.uni[2022-12-01],
INDIRECT("rec.uni[natureza]"),"repasse.cef.obra",
INDIRECT("rec.uni[empresa]"),CD$6)</f>
        <v>0</v>
      </c>
      <c r="CE26" s="178">
        <f ca="1">SUMIFS(rec.uni[2022-12-01],
INDIRECT("rec.uni[natureza]"),"repasse.cef.terreno",
INDIRECT("rec.uni[empresa]"),CE$6)</f>
        <v>0</v>
      </c>
      <c r="CF26" s="178">
        <v>0</v>
      </c>
      <c r="CG26" s="178">
        <f ca="1">SUMIFS(rec.uni[2022-12-01],
INDIRECT("rec.uni[natureza]"),"taxa.extra",
INDIRECT("rec.uni[empresa]"),CG$6)</f>
        <v>0</v>
      </c>
      <c r="CH26" s="166"/>
      <c r="CI26" s="178" cm="1">
        <f t="array" ref="CI26">SUMPRODUCT(
  IFERROR(--desp[valor],0)*
  (desp[nucleo]="UP ESTAÇÃO VILA SONIA")*
  (desp[categoria]=CI$7)*
  (desp[data.pagamento]&gt;=$A26)*
  (desp[data.pagamento]&lt;EOMONTH($A26,0)+1)
)</f>
        <v>0</v>
      </c>
      <c r="CJ26" s="178" cm="1">
        <f t="array" ref="CJ26">SUMPRODUCT(
  IFERROR(--desp[valor],0)*
  (desp[nucleo]="UP ESTAÇÃO VILA SONIA")*
  (desp[categoria]=CJ$7)*
  (desp[data.pagamento]&gt;=$A26)*
  (desp[data.pagamento]&lt;EOMONTH($A26,0)+1)
)</f>
        <v>0</v>
      </c>
      <c r="CK26" s="178" cm="1">
        <f t="array" ref="CK26">SUMPRODUCT(
  IFERROR(--desp[valor],0)*
  (desp[nucleo]="UP ESTAÇÃO VILA SONIA")*
  (desp[categoria]=CK$7)*
  (desp[data.pagamento]&gt;=$A26)*
  (desp[data.pagamento]&lt;EOMONTH($A26,0)+1)
)</f>
        <v>0</v>
      </c>
      <c r="CL26" s="178" cm="1">
        <f t="array" ref="CL26">SUMPRODUCT(
  IFERROR(--desp[valor],0)*
  (desp[nucleo]="UP ESTAÇÃO VILA SONIA")*
  (desp[categoria]=CL$7)*
  (desp[data.pagamento]&gt;=$A26)*
  (desp[data.pagamento]&lt;EOMONTH($A26,0)+1)
)</f>
        <v>0</v>
      </c>
      <c r="CM26" s="179" cm="1">
        <f t="array" ref="CM26">SUMPRODUCT(
  IFERROR(--desp[valor],0)*
  (desp[nucleo]="UP ESTAÇÃO VILA SONIA")*
  (desp[categoria]=CM$7)*
  (desp[data.pagamento]&gt;=$A26)*
  (desp[data.pagamento]&lt;EOMONTH($A26,0)+1)
)</f>
        <v>0</v>
      </c>
      <c r="CN26" s="177">
        <f>COUNTIFS(
    estq[empresa], CN$6,
    estq[Data da venda / reserva], "&gt;=" &amp; $A26,
    estq[Data da venda / reserva], "&lt;"  &amp; EOMONTH($A26,0) + 1
)</f>
        <v>0</v>
      </c>
      <c r="CO26" s="178">
        <f ca="1">SUMIFS(rec.uni[2022-12-01],
INDIRECT("rec.uni[natureza]"),"pro.soluto",
INDIRECT("rec.uni[empresa]"),CO$6)</f>
        <v>0</v>
      </c>
      <c r="CP26" s="178">
        <f ca="1">SUMIFS(rec.uni[2022-12-01],
INDIRECT("rec.uni[natureza]"),"repasse.cef.obra",
INDIRECT("rec.uni[empresa]"),CP$6)</f>
        <v>0</v>
      </c>
      <c r="CQ26" s="178">
        <f ca="1">SUMIFS(rec.uni[2022-12-01],
INDIRECT("rec.uni[natureza]"),"repasse.cef.terreno",
INDIRECT("rec.uni[empresa]"),CQ$6)</f>
        <v>0</v>
      </c>
      <c r="CR26" s="178">
        <v>0</v>
      </c>
      <c r="CS26" s="178">
        <f ca="1">SUMIFS(rec.uni[2022-12-01],
INDIRECT("rec.uni[natureza]"),"taxa.extra",
INDIRECT("rec.uni[empresa]"),CS$6)</f>
        <v>0</v>
      </c>
      <c r="CT26" s="166"/>
      <c r="CU26" s="178" cm="1">
        <f t="array" ref="CU26">SUMPRODUCT(
  IFERROR(--desp[valor],0)*
  (desp[nucleo]="UP MOVE VILA SONIA")*
  (desp[categoria]=CU$7)*
  (desp[data.pagamento]&gt;=$A26)*
  (desp[data.pagamento]&lt;EOMONTH($A26,0)+1)
)</f>
        <v>0</v>
      </c>
      <c r="CV26" s="178" cm="1">
        <f t="array" ref="CV26">SUMPRODUCT(
  IFERROR(--desp[valor],0)*
  (desp[nucleo]="UP MOVE VILA SONIA")*
  (desp[categoria]=CV$7)*
  (desp[data.pagamento]&gt;=$A26)*
  (desp[data.pagamento]&lt;EOMONTH($A26,0)+1)
)</f>
        <v>0</v>
      </c>
      <c r="CW26" s="178" cm="1">
        <f t="array" ref="CW26">SUMPRODUCT(
  IFERROR(--desp[valor],0)*
  (desp[nucleo]="UP MOVE VILA SONIA")*
  (desp[categoria]=CW$7)*
  (desp[data.pagamento]&gt;=$A26)*
  (desp[data.pagamento]&lt;EOMONTH($A26,0)+1)
)</f>
        <v>0</v>
      </c>
      <c r="CX26" s="178" cm="1">
        <f t="array" ref="CX26">SUMPRODUCT(
  IFERROR(--desp[valor],0)*
  (desp[nucleo]="UP MOVE VILA SONIA")*
  (desp[categoria]=CX$7)*
  (desp[data.pagamento]&gt;=$A26)*
  (desp[data.pagamento]&lt;EOMONTH($A26,0)+1)
)</f>
        <v>0</v>
      </c>
      <c r="CY26" s="180" cm="1">
        <f t="array" ref="CY26">SUMPRODUCT(
  IFERROR(--desp[valor],0)*
  (desp[nucleo]="UP MOVE VILA SONIA")*
  (desp[categoria]=CY$7)*
  (desp[data.pagamento]&gt;=$A26)*
  (desp[data.pagamento]&lt;EOMONTH($A26,0)+1)
)</f>
        <v>0</v>
      </c>
    </row>
    <row r="27" spans="1:103" x14ac:dyDescent="0.25">
      <c r="A27" s="176">
        <v>44927</v>
      </c>
      <c r="B27" s="177">
        <f>COUNTIFS(
    estq[empresa], B$6,
    estq[Data da venda / reserva], "&gt;=" &amp; $A27,
    estq[Data da venda / reserva], "&lt;"  &amp; EOMONTH($A27,0) + 1
)</f>
        <v>0</v>
      </c>
      <c r="C27" s="178">
        <f ca="1">SUMIFS(rec.uni[2023-01-01],
INDIRECT("rec.uni[natureza]"),"pro.soluto",
INDIRECT("rec.uni[empresa]"),C$6)</f>
        <v>0</v>
      </c>
      <c r="D27" s="178">
        <f ca="1">SUMIFS(rec.uni[2023-01-01],
INDIRECT("rec.uni[natureza]"),"repasse.cef.obra",
INDIRECT("rec.uni[empresa]"),D$6)</f>
        <v>0</v>
      </c>
      <c r="E27" s="178">
        <f ca="1">SUMIFS(rec.uni[2023-01-01],
INDIRECT("rec.uni[natureza]"),"repasse.cef.terreno",
INDIRECT("rec.uni[empresa]"),E$6)</f>
        <v>0</v>
      </c>
      <c r="F27" s="178">
        <v>0</v>
      </c>
      <c r="G27" s="178">
        <f ca="1">SUMIFS(rec.uni[2023-01-01],
INDIRECT("rec.uni[natureza]"),"taxa.extra",
INDIRECT("rec.uni[empresa]"),G$6)</f>
        <v>0</v>
      </c>
      <c r="H27" s="166"/>
      <c r="I27" s="178" cm="1">
        <f t="array" ref="I27">SUMPRODUCT(
  IFERROR(--desp[valor],0)*
  (desp[nucleo]="UP JARDIM PRUDENCIA")*
  (desp[categoria]=I$7)*
  (desp[data.pagamento]&gt;=$A27)*
  (desp[data.pagamento]&lt;EOMONTH($A27,0)+1)
)</f>
        <v>0</v>
      </c>
      <c r="J27" s="178" cm="1">
        <f t="array" ref="J27">SUMPRODUCT(
  IFERROR(--desp[valor],0)*
  (desp[nucleo]="UP JARDIM PRUDENCIA")*
  (desp[categoria]=J$7)*
  (desp[data.pagamento]&gt;=$A27)*
  (desp[data.pagamento]&lt;EOMONTH($A27,0)+1)
)</f>
        <v>0</v>
      </c>
      <c r="K27" s="178" cm="1">
        <f t="array" ref="K27">SUMPRODUCT(
  IFERROR(--desp[valor],0)*
  (desp[nucleo]="UP JARDIM PRUDENCIA")*
  (desp[categoria]=K$7)*
  (desp[data.pagamento]&gt;=$A27)*
  (desp[data.pagamento]&lt;EOMONTH($A27,0)+1)
)</f>
        <v>0</v>
      </c>
      <c r="L27" s="178" cm="1">
        <f t="array" ref="L27">SUMPRODUCT(
  IFERROR(--desp[valor],0)*
  (desp[nucleo]="UP JARDIM PRUDENCIA")*
  (desp[categoria]=L$7)*
  (desp[data.pagamento]&gt;=$A27)*
  (desp[data.pagamento]&lt;EOMONTH($A27,0)+1)
)</f>
        <v>0</v>
      </c>
      <c r="M27" s="179" cm="1">
        <f t="array" ref="M27">SUMPRODUCT(
  IFERROR(--desp[valor],0)*
  (desp[nucleo]="UP JARDIM PRUDENCIA")*
  (desp[categoria]=M$7)*
  (desp[data.pagamento]&gt;=$A27)*
  (desp[data.pagamento]&lt;EOMONTH($A27,0)+1)
)</f>
        <v>0</v>
      </c>
      <c r="N27" s="177">
        <f>COUNTIFS(
    estq[empresa], N$6,
    estq[Data da venda / reserva], "&gt;=" &amp; $A27,
    estq[Data da venda / reserva], "&lt;"  &amp; EOMONTH($A27,0) + 1
)</f>
        <v>0</v>
      </c>
      <c r="O27" s="178">
        <f ca="1">SUMIFS(rec.uni[2023-01-01],
INDIRECT("rec.uni[natureza]"),"pro.soluto",
INDIRECT("rec.uni[empresa]"),O$6)</f>
        <v>0</v>
      </c>
      <c r="P27" s="178">
        <f ca="1">SUMIFS(rec.uni[2023-01-01],
INDIRECT("rec.uni[natureza]"),"repasse.cef.obra",
INDIRECT("rec.uni[empresa]"),P$6)</f>
        <v>0</v>
      </c>
      <c r="Q27" s="178">
        <f ca="1">SUMIFS(rec.uni[2023-01-01],
INDIRECT("rec.uni[natureza]"),"repasse.cef.terreno",
INDIRECT("rec.uni[empresa]"),Q$6)</f>
        <v>0</v>
      </c>
      <c r="R27" s="178">
        <v>0</v>
      </c>
      <c r="S27" s="178">
        <f ca="1">SUMIFS(rec.uni[2023-01-01],
INDIRECT("rec.uni[natureza]"),"taxa.extra",
INDIRECT("rec.uni[empresa]"),S$6)</f>
        <v>0</v>
      </c>
      <c r="T27" s="166"/>
      <c r="U27" s="178" cm="1">
        <f t="array" ref="U27">SUMPRODUCT(
  IFERROR(--desp[valor],0)*
  (desp[nucleo]="UP VILA SONIA")*
  (desp[categoria]=U$7)*
  (desp[data.pagamento]&gt;=$A27)*
  (desp[data.pagamento]&lt;EOMONTH($A27,0)+1)
)</f>
        <v>0</v>
      </c>
      <c r="V27" s="178" cm="1">
        <f t="array" ref="V27">SUMPRODUCT(
  IFERROR(--desp[valor],0)*
  (desp[nucleo]="UP VILA SONIA")*
  (desp[categoria]=V$7)*
  (desp[data.pagamento]&gt;=$A27)*
  (desp[data.pagamento]&lt;EOMONTH($A27,0)+1)
)</f>
        <v>0</v>
      </c>
      <c r="W27" s="178" cm="1">
        <f t="array" ref="W27">SUMPRODUCT(
  IFERROR(--desp[valor],0)*
  (desp[nucleo]="UP VILA SONIA")*
  (desp[categoria]=W$7)*
  (desp[data.pagamento]&gt;=$A27)*
  (desp[data.pagamento]&lt;EOMONTH($A27,0)+1)
)</f>
        <v>0</v>
      </c>
      <c r="X27" s="178" cm="1">
        <f t="array" ref="X27">SUMPRODUCT(
  IFERROR(--desp[valor],0)*
  (desp[nucleo]="UP VILA SONIA")*
  (desp[categoria]=X$7)*
  (desp[data.pagamento]&gt;=$A27)*
  (desp[data.pagamento]&lt;EOMONTH($A27,0)+1)
)</f>
        <v>0</v>
      </c>
      <c r="Y27" s="179" cm="1">
        <f t="array" ref="Y27">SUMPRODUCT(
  IFERROR(--desp[valor],0)*
  (desp[nucleo]="UP VILA SONIA")*
  (desp[categoria]=Y$7)*
  (desp[data.pagamento]&gt;=$A27)*
  (desp[data.pagamento]&lt;EOMONTH($A27,0)+1)
)</f>
        <v>0</v>
      </c>
      <c r="Z27" s="177">
        <f>COUNTIFS(
    estq[empresa], Z$6,
    estq[Data da venda / reserva], "&gt;=" &amp; $A27,
    estq[Data da venda / reserva], "&lt;"  &amp; EOMONTH($A27,0) + 1
)</f>
        <v>0</v>
      </c>
      <c r="AA27" s="178">
        <f ca="1">SUMIFS(rec.uni[2023-01-01],
INDIRECT("rec.uni[natureza]"),"pro.soluto",
INDIRECT("rec.uni[empresa]"),AA$6)</f>
        <v>0</v>
      </c>
      <c r="AB27" s="178">
        <f ca="1">SUMIFS(rec.uni[2023-01-01],
INDIRECT("rec.uni[natureza]"),"pro.soluto",
INDIRECT("rec.uni[empresa]"),AB$6)</f>
        <v>0</v>
      </c>
      <c r="AC27" s="178">
        <f ca="1">SUMIFS(rec.uni[2023-01-01],
INDIRECT("rec.uni[natureza]"),"taxa.extra",
INDIRECT("rec.uni[empresa]"),AC$6)</f>
        <v>0</v>
      </c>
      <c r="AD27" s="166"/>
      <c r="AE27" s="178" cm="1">
        <f t="array" ref="AE27">SUMPRODUCT(
  IFERROR(--desp[valor],0)*
  (desp[nucleo]="UP CAMPO BELO")*
  (desp[categoria]=AE$7)*
  (desp[data.pagamento]&gt;=$A27)*
  (desp[data.pagamento]&lt;EOMONTH($A27,0)+1)
)</f>
        <v>0</v>
      </c>
      <c r="AF27" s="178" cm="1">
        <f t="array" ref="AF27">SUMPRODUCT(
  IFERROR(--desp[valor],0)*
  (desp[nucleo]="UP CAMPO BELO")*
  (desp[categoria]=AF$7)*
  (desp[data.pagamento]&gt;=$A27)*
  (desp[data.pagamento]&lt;EOMONTH($A27,0)+1)
)</f>
        <v>0</v>
      </c>
      <c r="AG27" s="178" cm="1">
        <f t="array" ref="AG27">SUMPRODUCT(
  IFERROR(--desp[valor],0)*
  (desp[nucleo]="UP CAMPO BELO")*
  (desp[categoria]=AG$7)*
  (desp[data.pagamento]&gt;=$A27)*
  (desp[data.pagamento]&lt;EOMONTH($A27,0)+1)
)</f>
        <v>0</v>
      </c>
      <c r="AH27" s="178" cm="1">
        <f t="array" ref="AH27">SUMPRODUCT(
  IFERROR(--desp[valor],0)*
  (desp[nucleo]="UP CAMPO BELO")*
  (desp[categoria]=AH$7)*
  (desp[data.pagamento]&gt;=$A27)*
  (desp[data.pagamento]&lt;EOMONTH($A27,0)+1)
)</f>
        <v>0</v>
      </c>
      <c r="AI27" s="179" cm="1">
        <f t="array" ref="AI27">SUMPRODUCT(
  IFERROR(--desp[valor],0)*
  (desp[nucleo]="UP CAMPO BELO")*
  (desp[categoria]=AI$7)*
  (desp[data.pagamento]&gt;=$A27)*
  (desp[data.pagamento]&lt;EOMONTH($A27,0)+1)
)</f>
        <v>0</v>
      </c>
      <c r="AJ27" s="177">
        <f>COUNTIFS(
    estq[empresa], AJ$6,
    estq[Data da venda / reserva], "&gt;=" &amp; $A27,
    estq[Data da venda / reserva], "&lt;"  &amp; EOMONTH($A27,0) + 1
)</f>
        <v>0</v>
      </c>
      <c r="AK27" s="178">
        <f ca="1">SUMIFS(rec.uni[2023-01-01],
INDIRECT("rec.uni[natureza]"),"pro.soluto",
INDIRECT("rec.uni[empresa]"),AK$6)</f>
        <v>0</v>
      </c>
      <c r="AL27" s="178">
        <f ca="1">SUMIFS(rec.uni[2023-01-01],
INDIRECT("rec.uni[natureza]"),"repasse.cef.obra",
INDIRECT("rec.uni[empresa]"),AL$6)</f>
        <v>0</v>
      </c>
      <c r="AM27" s="178">
        <f ca="1">SUMIFS(rec.uni[2023-01-01],
INDIRECT("rec.uni[natureza]"),"repasse.cef.terreno",
INDIRECT("rec.uni[empresa]"),AM$6)</f>
        <v>0</v>
      </c>
      <c r="AN27" s="178">
        <v>0</v>
      </c>
      <c r="AO27" s="178">
        <f ca="1">SUMIFS(rec.uni[2023-01-01],
INDIRECT("rec.uni[natureza]"),"taxa.extra",
INDIRECT("rec.uni[empresa]"),AO$6)</f>
        <v>0</v>
      </c>
      <c r="AP27" s="166"/>
      <c r="AQ27" s="178" cm="1">
        <f t="array" ref="AQ27">SUMPRODUCT(
  IFERROR(--desp[valor],0)*
  (desp[nucleo]="UP SELECT VILA SONIA")*
  (desp[categoria]=AQ$7)*
  (desp[data.pagamento]&gt;=$A27)*
  (desp[data.pagamento]&lt;EOMONTH($A27,0)+1)
)</f>
        <v>0</v>
      </c>
      <c r="AR27" s="178" cm="1">
        <f t="array" ref="AR27">SUMPRODUCT(
  IFERROR(--desp[valor],0)*
  (desp[nucleo]="UP SELECT VILA SONIA")*
  (desp[categoria]=AR$7)*
  (desp[data.pagamento]&gt;=$A27)*
  (desp[data.pagamento]&lt;EOMONTH($A27,0)+1)
)</f>
        <v>0</v>
      </c>
      <c r="AS27" s="178" cm="1">
        <f t="array" ref="AS27">SUMPRODUCT(
  IFERROR(--desp[valor],0)*
  (desp[nucleo]="UP SELECT VILA SONIA")*
  (desp[categoria]=AS$7)*
  (desp[data.pagamento]&gt;=$A27)*
  (desp[data.pagamento]&lt;EOMONTH($A27,0)+1)
)</f>
        <v>0</v>
      </c>
      <c r="AT27" s="178" cm="1">
        <f t="array" ref="AT27">SUMPRODUCT(
  IFERROR(--desp[valor],0)*
  (desp[nucleo]="UP SELECT VILA SONIA")*
  (desp[categoria]=AT$7)*
  (desp[data.pagamento]&gt;=$A27)*
  (desp[data.pagamento]&lt;EOMONTH($A27,0)+1)
)</f>
        <v>0</v>
      </c>
      <c r="AU27" s="179" cm="1">
        <f t="array" ref="AU27">SUMPRODUCT(
  IFERROR(--desp[valor],0)*
  (desp[nucleo]="UP SELECT VILA SONIA")*
  (desp[categoria]=AU$7)*
  (desp[data.pagamento]&gt;=$A27)*
  (desp[data.pagamento]&lt;EOMONTH($A27,0)+1)
)</f>
        <v>0</v>
      </c>
      <c r="AV27" s="177">
        <f>COUNTIFS(
    estq[empresa], AV$6,
    estq[Data da venda / reserva], "&gt;=" &amp; $A27,
    estq[Data da venda / reserva], "&lt;"  &amp; EOMONTH($A27,0) + 1
)</f>
        <v>0</v>
      </c>
      <c r="AW27" s="178">
        <f ca="1">SUMIFS(rec.uni[2023-01-01],
INDIRECT("rec.uni[natureza]"),"pro.soluto",
INDIRECT("rec.uni[empresa]"),AW$6)</f>
        <v>0</v>
      </c>
      <c r="AX27" s="178">
        <f ca="1">SUMIFS(rec.uni[2023-01-01],
INDIRECT("rec.uni[natureza]"),"repasse.cef.obra",
INDIRECT("rec.uni[empresa]"),AX$6)</f>
        <v>0</v>
      </c>
      <c r="AY27" s="178">
        <f ca="1">SUMIFS(rec.uni[2023-01-01],
INDIRECT("rec.uni[natureza]"),"repasse.cef.terreno",
INDIRECT("rec.uni[empresa]"),AY$6)</f>
        <v>0</v>
      </c>
      <c r="AZ27" s="178">
        <v>0</v>
      </c>
      <c r="BA27" s="178">
        <f ca="1">SUMIFS(rec.uni[2023-01-01],
INDIRECT("rec.uni[natureza]"),"taxa.extra",
INDIRECT("rec.uni[empresa]"),BA$6)</f>
        <v>0</v>
      </c>
      <c r="BB27" s="166"/>
      <c r="BC27" s="178" cm="1">
        <f t="array" ref="BC27">SUMPRODUCT(
  IFERROR(--desp[valor],0)*
  (desp[nucleo]="UP ESTAÇÃO SÃO LUCAS")*
  (desp[categoria]=BC$7)*
  (desp[data.pagamento]&gt;=$A27)*
  (desp[data.pagamento]&lt;EOMONTH($A27,0)+1)
)</f>
        <v>0</v>
      </c>
      <c r="BD27" s="178" cm="1">
        <f t="array" ref="BD27">SUMPRODUCT(
  IFERROR(--desp[valor],0)*
  (desp[nucleo]="UP ESTAÇÃO SÃO LUCAS")*
  (desp[categoria]=BD$7)*
  (desp[data.pagamento]&gt;=$A27)*
  (desp[data.pagamento]&lt;EOMONTH($A27,0)+1)
)</f>
        <v>0</v>
      </c>
      <c r="BE27" s="178" cm="1">
        <f t="array" ref="BE27">SUMPRODUCT(
  IFERROR(--desp[valor],0)*
  (desp[nucleo]="UP ESTAÇÃO SÃO LUCAS")*
  (desp[categoria]=BE$7)*
  (desp[data.pagamento]&gt;=$A27)*
  (desp[data.pagamento]&lt;EOMONTH($A27,0)+1)
)</f>
        <v>0</v>
      </c>
      <c r="BF27" s="178" cm="1">
        <f t="array" ref="BF27">SUMPRODUCT(
  IFERROR(--desp[valor],0)*
  (desp[nucleo]="UP ESTAÇÃO SÃO LUCAS")*
  (desp[categoria]=BF$7)*
  (desp[data.pagamento]&gt;=$A27)*
  (desp[data.pagamento]&lt;EOMONTH($A27,0)+1)
)</f>
        <v>0</v>
      </c>
      <c r="BG27" s="179" cm="1">
        <f t="array" ref="BG27">SUMPRODUCT(
  IFERROR(--desp[valor],0)*
  (desp[nucleo]="UP ESTAÇÃO SÃO LUCAS")*
  (desp[categoria]=BG$7)*
  (desp[data.pagamento]&gt;=$A27)*
  (desp[data.pagamento]&lt;EOMONTH($A27,0)+1)
)</f>
        <v>0</v>
      </c>
      <c r="BH27" s="177">
        <f>COUNTIFS(
    estq[empresa], BH$6,
    estq[Data da venda / reserva], "&gt;=" &amp; $A27,
    estq[Data da venda / reserva], "&lt;"  &amp; EOMONTH($A27,0) + 1
)</f>
        <v>0</v>
      </c>
      <c r="BI27" s="178">
        <f ca="1">SUMIFS(rec.uni[2023-01-01],
INDIRECT("rec.uni[natureza]"),"pro.soluto",
INDIRECT("rec.uni[empresa]"),BI$6)</f>
        <v>0</v>
      </c>
      <c r="BJ27" s="166">
        <v>0</v>
      </c>
      <c r="BK27" s="178">
        <f ca="1">SUMIFS(rec.uni[2023-01-01],
INDIRECT("rec.uni[natureza]"),"taxa.extra",
INDIRECT("rec.uni[empresa]"),BK$6)</f>
        <v>0</v>
      </c>
      <c r="BL27" s="166"/>
      <c r="BM27" s="178" cm="1">
        <f t="array" ref="BM27">SUMPRODUCT(
  IFERROR(--desp[valor],0)*
  (desp[nucleo]="UP POMPEIA")*
  (desp[categoria]=BM$7)*
  (desp[data.pagamento]&gt;=$A27)*
  (desp[data.pagamento]&lt;EOMONTH($A27,0)+1)
)</f>
        <v>0</v>
      </c>
      <c r="BN27" s="178" cm="1">
        <f t="array" ref="BN27">SUMPRODUCT(
  IFERROR(--desp[valor],0)*
  (desp[nucleo]="UP POMPEIA")*
  (desp[categoria]=BN$7)*
  (desp[data.pagamento]&gt;=$A27)*
  (desp[data.pagamento]&lt;EOMONTH($A27,0)+1)
)</f>
        <v>0</v>
      </c>
      <c r="BO27" s="178" cm="1">
        <f t="array" ref="BO27">SUMPRODUCT(
  IFERROR(--desp[valor],0)*
  (desp[nucleo]="UP POMPEIA")*
  (desp[categoria]=BO$7)*
  (desp[data.pagamento]&gt;=$A27)*
  (desp[data.pagamento]&lt;EOMONTH($A27,0)+1)
)</f>
        <v>0</v>
      </c>
      <c r="BP27" s="178" cm="1">
        <f t="array" ref="BP27">SUMPRODUCT(
  IFERROR(--desp[valor],0)*
  (desp[nucleo]="UP POMPEIA")*
  (desp[categoria]=BP$7)*
  (desp[data.pagamento]&gt;=$A27)*
  (desp[data.pagamento]&lt;EOMONTH($A27,0)+1)
)</f>
        <v>0</v>
      </c>
      <c r="BQ27" s="179" cm="1">
        <f t="array" ref="BQ27">SUMPRODUCT(
  IFERROR(--desp[valor],0)*
  (desp[nucleo]="UP POMPEIA")*
  (desp[categoria]=BQ$7)*
  (desp[data.pagamento]&gt;=$A27)*
  (desp[data.pagamento]&lt;EOMONTH($A27,0)+1)
)</f>
        <v>0</v>
      </c>
      <c r="BR27" s="177">
        <f>COUNTIFS(
    estq[empresa], BR$6,
    estq[Data da venda / reserva], "&gt;=" &amp; $A27,
    estq[Data da venda / reserva], "&lt;"  &amp; EOMONTH($A27,0) + 1
)</f>
        <v>0</v>
      </c>
      <c r="BS27" s="178">
        <f ca="1">SUMIFS(rec.uni[2023-01-01],
INDIRECT("rec.uni[natureza]"),"pro.soluto",
INDIRECT("rec.uni[empresa]"),BS$6)</f>
        <v>0</v>
      </c>
      <c r="BT27" s="178">
        <f ca="1">SUMIFS(rec.uni[2023-01-01],
INDIRECT("rec.uni[natureza]"),"pro.soluto",
INDIRECT("rec.uni[empresa]"),BT$6)</f>
        <v>0</v>
      </c>
      <c r="BU27" s="178">
        <f ca="1">SUMIFS(rec.uni[2023-01-01],
INDIRECT("rec.uni[natureza]"),"taxa.extra",
INDIRECT("rec.uni[empresa]"),BU$6)</f>
        <v>0</v>
      </c>
      <c r="BV27" s="166"/>
      <c r="BW27" s="178" cm="1">
        <f t="array" ref="BW27">SUMPRODUCT(
  IFERROR(--desp[valor],0)*
  (desp[nucleo]="UP SAUDE")*
  (desp[categoria]=BW$7)*
  (desp[data.pagamento]&gt;=$A27)*
  (desp[data.pagamento]&lt;EOMONTH($A27,0)+1)
)</f>
        <v>0</v>
      </c>
      <c r="BX27" s="178" cm="1">
        <f t="array" ref="BX27">SUMPRODUCT(
  IFERROR(--desp[valor],0)*
  (desp[nucleo]="UP SAUDE")*
  (desp[categoria]=BX$7)*
  (desp[data.pagamento]&gt;=$A27)*
  (desp[data.pagamento]&lt;EOMONTH($A27,0)+1)
)</f>
        <v>0</v>
      </c>
      <c r="BY27" s="178" cm="1">
        <f t="array" ref="BY27">SUMPRODUCT(
  IFERROR(--desp[valor],0)*
  (desp[nucleo]="UP SAUDE")*
  (desp[categoria]=BY$7)*
  (desp[data.pagamento]&gt;=$A27)*
  (desp[data.pagamento]&lt;EOMONTH($A27,0)+1)
)</f>
        <v>0</v>
      </c>
      <c r="BZ27" s="178" cm="1">
        <f t="array" ref="BZ27">SUMPRODUCT(
  IFERROR(--desp[valor],0)*
  (desp[nucleo]="UP SAUDE")*
  (desp[categoria]=BZ$7)*
  (desp[data.pagamento]&gt;=$A27)*
  (desp[data.pagamento]&lt;EOMONTH($A27,0)+1)
)</f>
        <v>0</v>
      </c>
      <c r="CA27" s="179" cm="1">
        <f t="array" ref="CA27">SUMPRODUCT(
  IFERROR(--desp[valor],0)*
  (desp[nucleo]="UP SAUDE")*
  (desp[categoria]=CA$7)*
  (desp[data.pagamento]&gt;=$A27)*
  (desp[data.pagamento]&lt;EOMONTH($A27,0)+1)
)</f>
        <v>0</v>
      </c>
      <c r="CB27" s="177">
        <f>COUNTIFS(
    estq[empresa], CB$6,
    estq[Data da venda / reserva], "&gt;=" &amp; $A27,
    estq[Data da venda / reserva], "&lt;"  &amp; EOMONTH($A27,0) + 1
)</f>
        <v>0</v>
      </c>
      <c r="CC27" s="178">
        <f ca="1">SUMIFS(rec.uni[2023-01-01],
INDIRECT("rec.uni[natureza]"),"pro.soluto",
INDIRECT("rec.uni[empresa]"),CC$6)</f>
        <v>0</v>
      </c>
      <c r="CD27" s="178">
        <f ca="1">SUMIFS(rec.uni[2023-01-01],
INDIRECT("rec.uni[natureza]"),"repasse.cef.obra",
INDIRECT("rec.uni[empresa]"),CD$6)</f>
        <v>0</v>
      </c>
      <c r="CE27" s="178">
        <f ca="1">SUMIFS(rec.uni[2023-01-01],
INDIRECT("rec.uni[natureza]"),"repasse.cef.terreno",
INDIRECT("rec.uni[empresa]"),CE$6)</f>
        <v>0</v>
      </c>
      <c r="CF27" s="178">
        <v>0</v>
      </c>
      <c r="CG27" s="178">
        <f ca="1">SUMIFS(rec.uni[2023-01-01],
INDIRECT("rec.uni[natureza]"),"taxa.extra",
INDIRECT("rec.uni[empresa]"),CG$6)</f>
        <v>0</v>
      </c>
      <c r="CH27" s="166"/>
      <c r="CI27" s="178" cm="1">
        <f t="array" ref="CI27">SUMPRODUCT(
  IFERROR(--desp[valor],0)*
  (desp[nucleo]="UP ESTAÇÃO VILA SONIA")*
  (desp[categoria]=CI$7)*
  (desp[data.pagamento]&gt;=$A27)*
  (desp[data.pagamento]&lt;EOMONTH($A27,0)+1)
)</f>
        <v>0</v>
      </c>
      <c r="CJ27" s="178" cm="1">
        <f t="array" ref="CJ27">SUMPRODUCT(
  IFERROR(--desp[valor],0)*
  (desp[nucleo]="UP ESTAÇÃO VILA SONIA")*
  (desp[categoria]=CJ$7)*
  (desp[data.pagamento]&gt;=$A27)*
  (desp[data.pagamento]&lt;EOMONTH($A27,0)+1)
)</f>
        <v>0</v>
      </c>
      <c r="CK27" s="178" cm="1">
        <f t="array" ref="CK27">SUMPRODUCT(
  IFERROR(--desp[valor],0)*
  (desp[nucleo]="UP ESTAÇÃO VILA SONIA")*
  (desp[categoria]=CK$7)*
  (desp[data.pagamento]&gt;=$A27)*
  (desp[data.pagamento]&lt;EOMONTH($A27,0)+1)
)</f>
        <v>0</v>
      </c>
      <c r="CL27" s="178" cm="1">
        <f t="array" ref="CL27">SUMPRODUCT(
  IFERROR(--desp[valor],0)*
  (desp[nucleo]="UP ESTAÇÃO VILA SONIA")*
  (desp[categoria]=CL$7)*
  (desp[data.pagamento]&gt;=$A27)*
  (desp[data.pagamento]&lt;EOMONTH($A27,0)+1)
)</f>
        <v>0</v>
      </c>
      <c r="CM27" s="179" cm="1">
        <f t="array" ref="CM27">SUMPRODUCT(
  IFERROR(--desp[valor],0)*
  (desp[nucleo]="UP ESTAÇÃO VILA SONIA")*
  (desp[categoria]=CM$7)*
  (desp[data.pagamento]&gt;=$A27)*
  (desp[data.pagamento]&lt;EOMONTH($A27,0)+1)
)</f>
        <v>0</v>
      </c>
      <c r="CN27" s="177">
        <f>COUNTIFS(
    estq[empresa], CN$6,
    estq[Data da venda / reserva], "&gt;=" &amp; $A27,
    estq[Data da venda / reserva], "&lt;"  &amp; EOMONTH($A27,0) + 1
)</f>
        <v>0</v>
      </c>
      <c r="CO27" s="178">
        <f ca="1">SUMIFS(rec.uni[2023-01-01],
INDIRECT("rec.uni[natureza]"),"pro.soluto",
INDIRECT("rec.uni[empresa]"),CO$6)</f>
        <v>0</v>
      </c>
      <c r="CP27" s="178">
        <f ca="1">SUMIFS(rec.uni[2023-01-01],
INDIRECT("rec.uni[natureza]"),"repasse.cef.obra",
INDIRECT("rec.uni[empresa]"),CP$6)</f>
        <v>0</v>
      </c>
      <c r="CQ27" s="178">
        <f ca="1">SUMIFS(rec.uni[2023-01-01],
INDIRECT("rec.uni[natureza]"),"repasse.cef.terreno",
INDIRECT("rec.uni[empresa]"),CQ$6)</f>
        <v>0</v>
      </c>
      <c r="CR27" s="178">
        <v>0</v>
      </c>
      <c r="CS27" s="178">
        <f ca="1">SUMIFS(rec.uni[2023-01-01],
INDIRECT("rec.uni[natureza]"),"taxa.extra",
INDIRECT("rec.uni[empresa]"),CS$6)</f>
        <v>0</v>
      </c>
      <c r="CT27" s="166"/>
      <c r="CU27" s="178" cm="1">
        <f t="array" ref="CU27">SUMPRODUCT(
  IFERROR(--desp[valor],0)*
  (desp[nucleo]="UP MOVE VILA SONIA")*
  (desp[categoria]=CU$7)*
  (desp[data.pagamento]&gt;=$A27)*
  (desp[data.pagamento]&lt;EOMONTH($A27,0)+1)
)</f>
        <v>0</v>
      </c>
      <c r="CV27" s="178" cm="1">
        <f t="array" ref="CV27">SUMPRODUCT(
  IFERROR(--desp[valor],0)*
  (desp[nucleo]="UP MOVE VILA SONIA")*
  (desp[categoria]=CV$7)*
  (desp[data.pagamento]&gt;=$A27)*
  (desp[data.pagamento]&lt;EOMONTH($A27,0)+1)
)</f>
        <v>0</v>
      </c>
      <c r="CW27" s="178" cm="1">
        <f t="array" ref="CW27">SUMPRODUCT(
  IFERROR(--desp[valor],0)*
  (desp[nucleo]="UP MOVE VILA SONIA")*
  (desp[categoria]=CW$7)*
  (desp[data.pagamento]&gt;=$A27)*
  (desp[data.pagamento]&lt;EOMONTH($A27,0)+1)
)</f>
        <v>0</v>
      </c>
      <c r="CX27" s="178" cm="1">
        <f t="array" ref="CX27">SUMPRODUCT(
  IFERROR(--desp[valor],0)*
  (desp[nucleo]="UP MOVE VILA SONIA")*
  (desp[categoria]=CX$7)*
  (desp[data.pagamento]&gt;=$A27)*
  (desp[data.pagamento]&lt;EOMONTH($A27,0)+1)
)</f>
        <v>0</v>
      </c>
      <c r="CY27" s="180" cm="1">
        <f t="array" ref="CY27">SUMPRODUCT(
  IFERROR(--desp[valor],0)*
  (desp[nucleo]="UP MOVE VILA SONIA")*
  (desp[categoria]=CY$7)*
  (desp[data.pagamento]&gt;=$A27)*
  (desp[data.pagamento]&lt;EOMONTH($A27,0)+1)
)</f>
        <v>0</v>
      </c>
    </row>
    <row r="28" spans="1:103" x14ac:dyDescent="0.25">
      <c r="A28" s="176">
        <v>44958</v>
      </c>
      <c r="B28" s="177">
        <f>COUNTIFS(
    estq[empresa], B$6,
    estq[Data da venda / reserva], "&gt;=" &amp; $A28,
    estq[Data da venda / reserva], "&lt;"  &amp; EOMONTH($A28,0) + 1
)</f>
        <v>0</v>
      </c>
      <c r="C28" s="178">
        <f ca="1">SUMIFS(rec.uni[2023-02-01],
INDIRECT("rec.uni[natureza]"),"pro.soluto",
INDIRECT("rec.uni[empresa]"),C$6)</f>
        <v>0</v>
      </c>
      <c r="D28" s="178">
        <f ca="1">SUMIFS(rec.uni[2023-02-01],
INDIRECT("rec.uni[natureza]"),"repasse.cef.obra",
INDIRECT("rec.uni[empresa]"),D$6)</f>
        <v>0</v>
      </c>
      <c r="E28" s="178">
        <f ca="1">SUMIFS(rec.uni[2023-02-01],
INDIRECT("rec.uni[natureza]"),"repasse.cef.terreno",
INDIRECT("rec.uni[empresa]"),E$6)</f>
        <v>0</v>
      </c>
      <c r="F28" s="178">
        <v>0</v>
      </c>
      <c r="G28" s="178">
        <f ca="1">SUMIFS(rec.uni[2023-02-01],
INDIRECT("rec.uni[natureza]"),"taxa.extra",
INDIRECT("rec.uni[empresa]"),G$6)</f>
        <v>0</v>
      </c>
      <c r="H28" s="166"/>
      <c r="I28" s="178" cm="1">
        <f t="array" ref="I28">SUMPRODUCT(
  IFERROR(--desp[valor],0)*
  (desp[nucleo]="UP JARDIM PRUDENCIA")*
  (desp[categoria]=I$7)*
  (desp[data.pagamento]&gt;=$A28)*
  (desp[data.pagamento]&lt;EOMONTH($A28,0)+1)
)</f>
        <v>0</v>
      </c>
      <c r="J28" s="178" cm="1">
        <f t="array" ref="J28">SUMPRODUCT(
  IFERROR(--desp[valor],0)*
  (desp[nucleo]="UP JARDIM PRUDENCIA")*
  (desp[categoria]=J$7)*
  (desp[data.pagamento]&gt;=$A28)*
  (desp[data.pagamento]&lt;EOMONTH($A28,0)+1)
)</f>
        <v>0</v>
      </c>
      <c r="K28" s="178" cm="1">
        <f t="array" ref="K28">SUMPRODUCT(
  IFERROR(--desp[valor],0)*
  (desp[nucleo]="UP JARDIM PRUDENCIA")*
  (desp[categoria]=K$7)*
  (desp[data.pagamento]&gt;=$A28)*
  (desp[data.pagamento]&lt;EOMONTH($A28,0)+1)
)</f>
        <v>0</v>
      </c>
      <c r="L28" s="178" cm="1">
        <f t="array" ref="L28">SUMPRODUCT(
  IFERROR(--desp[valor],0)*
  (desp[nucleo]="UP JARDIM PRUDENCIA")*
  (desp[categoria]=L$7)*
  (desp[data.pagamento]&gt;=$A28)*
  (desp[data.pagamento]&lt;EOMONTH($A28,0)+1)
)</f>
        <v>0</v>
      </c>
      <c r="M28" s="179" cm="1">
        <f t="array" ref="M28">SUMPRODUCT(
  IFERROR(--desp[valor],0)*
  (desp[nucleo]="UP JARDIM PRUDENCIA")*
  (desp[categoria]=M$7)*
  (desp[data.pagamento]&gt;=$A28)*
  (desp[data.pagamento]&lt;EOMONTH($A28,0)+1)
)</f>
        <v>0</v>
      </c>
      <c r="N28" s="177">
        <f>COUNTIFS(
    estq[empresa], N$6,
    estq[Data da venda / reserva], "&gt;=" &amp; $A28,
    estq[Data da venda / reserva], "&lt;"  &amp; EOMONTH($A28,0) + 1
)</f>
        <v>0</v>
      </c>
      <c r="O28" s="178">
        <f ca="1">SUMIFS(rec.uni[2023-02-01],
INDIRECT("rec.uni[natureza]"),"pro.soluto",
INDIRECT("rec.uni[empresa]"),O$6)</f>
        <v>0</v>
      </c>
      <c r="P28" s="178">
        <f ca="1">SUMIFS(rec.uni[2023-02-01],
INDIRECT("rec.uni[natureza]"),"repasse.cef.obra",
INDIRECT("rec.uni[empresa]"),P$6)</f>
        <v>0</v>
      </c>
      <c r="Q28" s="178">
        <f ca="1">SUMIFS(rec.uni[2023-02-01],
INDIRECT("rec.uni[natureza]"),"repasse.cef.terreno",
INDIRECT("rec.uni[empresa]"),Q$6)</f>
        <v>0</v>
      </c>
      <c r="R28" s="178">
        <v>0</v>
      </c>
      <c r="S28" s="178">
        <f ca="1">SUMIFS(rec.uni[2023-02-01],
INDIRECT("rec.uni[natureza]"),"taxa.extra",
INDIRECT("rec.uni[empresa]"),S$6)</f>
        <v>0</v>
      </c>
      <c r="T28" s="166"/>
      <c r="U28" s="178" cm="1">
        <f t="array" ref="U28">SUMPRODUCT(
  IFERROR(--desp[valor],0)*
  (desp[nucleo]="UP VILA SONIA")*
  (desp[categoria]=U$7)*
  (desp[data.pagamento]&gt;=$A28)*
  (desp[data.pagamento]&lt;EOMONTH($A28,0)+1)
)</f>
        <v>0</v>
      </c>
      <c r="V28" s="178" cm="1">
        <f t="array" ref="V28">SUMPRODUCT(
  IFERROR(--desp[valor],0)*
  (desp[nucleo]="UP VILA SONIA")*
  (desp[categoria]=V$7)*
  (desp[data.pagamento]&gt;=$A28)*
  (desp[data.pagamento]&lt;EOMONTH($A28,0)+1)
)</f>
        <v>0</v>
      </c>
      <c r="W28" s="178" cm="1">
        <f t="array" ref="W28">SUMPRODUCT(
  IFERROR(--desp[valor],0)*
  (desp[nucleo]="UP VILA SONIA")*
  (desp[categoria]=W$7)*
  (desp[data.pagamento]&gt;=$A28)*
  (desp[data.pagamento]&lt;EOMONTH($A28,0)+1)
)</f>
        <v>0</v>
      </c>
      <c r="X28" s="178" cm="1">
        <f t="array" ref="X28">SUMPRODUCT(
  IFERROR(--desp[valor],0)*
  (desp[nucleo]="UP VILA SONIA")*
  (desp[categoria]=X$7)*
  (desp[data.pagamento]&gt;=$A28)*
  (desp[data.pagamento]&lt;EOMONTH($A28,0)+1)
)</f>
        <v>0</v>
      </c>
      <c r="Y28" s="179" cm="1">
        <f t="array" ref="Y28">SUMPRODUCT(
  IFERROR(--desp[valor],0)*
  (desp[nucleo]="UP VILA SONIA")*
  (desp[categoria]=Y$7)*
  (desp[data.pagamento]&gt;=$A28)*
  (desp[data.pagamento]&lt;EOMONTH($A28,0)+1)
)</f>
        <v>0</v>
      </c>
      <c r="Z28" s="177">
        <f>COUNTIFS(
    estq[empresa], Z$6,
    estq[Data da venda / reserva], "&gt;=" &amp; $A28,
    estq[Data da venda / reserva], "&lt;"  &amp; EOMONTH($A28,0) + 1
)</f>
        <v>0</v>
      </c>
      <c r="AA28" s="178">
        <f ca="1">SUMIFS(rec.uni[2023-02-01],
INDIRECT("rec.uni[natureza]"),"pro.soluto",
INDIRECT("rec.uni[empresa]"),AA$6)</f>
        <v>0</v>
      </c>
      <c r="AB28" s="178">
        <f ca="1">SUMIFS(rec.uni[2023-02-01],
INDIRECT("rec.uni[natureza]"),"pro.soluto",
INDIRECT("rec.uni[empresa]"),AB$6)</f>
        <v>0</v>
      </c>
      <c r="AC28" s="178">
        <f ca="1">SUMIFS(rec.uni[2023-02-01],
INDIRECT("rec.uni[natureza]"),"taxa.extra",
INDIRECT("rec.uni[empresa]"),AC$6)</f>
        <v>0</v>
      </c>
      <c r="AD28" s="166"/>
      <c r="AE28" s="178" cm="1">
        <f t="array" ref="AE28">SUMPRODUCT(
  IFERROR(--desp[valor],0)*
  (desp[nucleo]="UP CAMPO BELO")*
  (desp[categoria]=AE$7)*
  (desp[data.pagamento]&gt;=$A28)*
  (desp[data.pagamento]&lt;EOMONTH($A28,0)+1)
)</f>
        <v>0</v>
      </c>
      <c r="AF28" s="178" cm="1">
        <f t="array" ref="AF28">SUMPRODUCT(
  IFERROR(--desp[valor],0)*
  (desp[nucleo]="UP CAMPO BELO")*
  (desp[categoria]=AF$7)*
  (desp[data.pagamento]&gt;=$A28)*
  (desp[data.pagamento]&lt;EOMONTH($A28,0)+1)
)</f>
        <v>0</v>
      </c>
      <c r="AG28" s="178" cm="1">
        <f t="array" ref="AG28">SUMPRODUCT(
  IFERROR(--desp[valor],0)*
  (desp[nucleo]="UP CAMPO BELO")*
  (desp[categoria]=AG$7)*
  (desp[data.pagamento]&gt;=$A28)*
  (desp[data.pagamento]&lt;EOMONTH($A28,0)+1)
)</f>
        <v>0</v>
      </c>
      <c r="AH28" s="178" cm="1">
        <f t="array" ref="AH28">SUMPRODUCT(
  IFERROR(--desp[valor],0)*
  (desp[nucleo]="UP CAMPO BELO")*
  (desp[categoria]=AH$7)*
  (desp[data.pagamento]&gt;=$A28)*
  (desp[data.pagamento]&lt;EOMONTH($A28,0)+1)
)</f>
        <v>0</v>
      </c>
      <c r="AI28" s="179" cm="1">
        <f t="array" ref="AI28">SUMPRODUCT(
  IFERROR(--desp[valor],0)*
  (desp[nucleo]="UP CAMPO BELO")*
  (desp[categoria]=AI$7)*
  (desp[data.pagamento]&gt;=$A28)*
  (desp[data.pagamento]&lt;EOMONTH($A28,0)+1)
)</f>
        <v>0</v>
      </c>
      <c r="AJ28" s="177">
        <f>COUNTIFS(
    estq[empresa], AJ$6,
    estq[Data da venda / reserva], "&gt;=" &amp; $A28,
    estq[Data da venda / reserva], "&lt;"  &amp; EOMONTH($A28,0) + 1
)</f>
        <v>0</v>
      </c>
      <c r="AK28" s="178">
        <f ca="1">SUMIFS(rec.uni[2023-02-01],
INDIRECT("rec.uni[natureza]"),"pro.soluto",
INDIRECT("rec.uni[empresa]"),AK$6)</f>
        <v>0</v>
      </c>
      <c r="AL28" s="178">
        <f ca="1">SUMIFS(rec.uni[2023-02-01],
INDIRECT("rec.uni[natureza]"),"repasse.cef.obra",
INDIRECT("rec.uni[empresa]"),AL$6)</f>
        <v>0</v>
      </c>
      <c r="AM28" s="178">
        <f ca="1">SUMIFS(rec.uni[2023-02-01],
INDIRECT("rec.uni[natureza]"),"repasse.cef.terreno",
INDIRECT("rec.uni[empresa]"),AM$6)</f>
        <v>0</v>
      </c>
      <c r="AN28" s="178">
        <v>0</v>
      </c>
      <c r="AO28" s="178">
        <f ca="1">SUMIFS(rec.uni[2023-02-01],
INDIRECT("rec.uni[natureza]"),"taxa.extra",
INDIRECT("rec.uni[empresa]"),AO$6)</f>
        <v>0</v>
      </c>
      <c r="AP28" s="166"/>
      <c r="AQ28" s="178" cm="1">
        <f t="array" ref="AQ28">SUMPRODUCT(
  IFERROR(--desp[valor],0)*
  (desp[nucleo]="UP SELECT VILA SONIA")*
  (desp[categoria]=AQ$7)*
  (desp[data.pagamento]&gt;=$A28)*
  (desp[data.pagamento]&lt;EOMONTH($A28,0)+1)
)</f>
        <v>0</v>
      </c>
      <c r="AR28" s="178" cm="1">
        <f t="array" ref="AR28">SUMPRODUCT(
  IFERROR(--desp[valor],0)*
  (desp[nucleo]="UP SELECT VILA SONIA")*
  (desp[categoria]=AR$7)*
  (desp[data.pagamento]&gt;=$A28)*
  (desp[data.pagamento]&lt;EOMONTH($A28,0)+1)
)</f>
        <v>0</v>
      </c>
      <c r="AS28" s="178" cm="1">
        <f t="array" ref="AS28">SUMPRODUCT(
  IFERROR(--desp[valor],0)*
  (desp[nucleo]="UP SELECT VILA SONIA")*
  (desp[categoria]=AS$7)*
  (desp[data.pagamento]&gt;=$A28)*
  (desp[data.pagamento]&lt;EOMONTH($A28,0)+1)
)</f>
        <v>0</v>
      </c>
      <c r="AT28" s="178" cm="1">
        <f t="array" ref="AT28">SUMPRODUCT(
  IFERROR(--desp[valor],0)*
  (desp[nucleo]="UP SELECT VILA SONIA")*
  (desp[categoria]=AT$7)*
  (desp[data.pagamento]&gt;=$A28)*
  (desp[data.pagamento]&lt;EOMONTH($A28,0)+1)
)</f>
        <v>0</v>
      </c>
      <c r="AU28" s="179" cm="1">
        <f t="array" ref="AU28">SUMPRODUCT(
  IFERROR(--desp[valor],0)*
  (desp[nucleo]="UP SELECT VILA SONIA")*
  (desp[categoria]=AU$7)*
  (desp[data.pagamento]&gt;=$A28)*
  (desp[data.pagamento]&lt;EOMONTH($A28,0)+1)
)</f>
        <v>0</v>
      </c>
      <c r="AV28" s="177">
        <f>COUNTIFS(
    estq[empresa], AV$6,
    estq[Data da venda / reserva], "&gt;=" &amp; $A28,
    estq[Data da venda / reserva], "&lt;"  &amp; EOMONTH($A28,0) + 1
)</f>
        <v>0</v>
      </c>
      <c r="AW28" s="178">
        <f ca="1">SUMIFS(rec.uni[2023-02-01],
INDIRECT("rec.uni[natureza]"),"pro.soluto",
INDIRECT("rec.uni[empresa]"),AW$6)</f>
        <v>0</v>
      </c>
      <c r="AX28" s="178">
        <f ca="1">SUMIFS(rec.uni[2023-02-01],
INDIRECT("rec.uni[natureza]"),"repasse.cef.obra",
INDIRECT("rec.uni[empresa]"),AX$6)</f>
        <v>0</v>
      </c>
      <c r="AY28" s="178">
        <f ca="1">SUMIFS(rec.uni[2023-02-01],
INDIRECT("rec.uni[natureza]"),"repasse.cef.terreno",
INDIRECT("rec.uni[empresa]"),AY$6)</f>
        <v>0</v>
      </c>
      <c r="AZ28" s="178">
        <v>0</v>
      </c>
      <c r="BA28" s="178">
        <f ca="1">SUMIFS(rec.uni[2023-02-01],
INDIRECT("rec.uni[natureza]"),"taxa.extra",
INDIRECT("rec.uni[empresa]"),BA$6)</f>
        <v>0</v>
      </c>
      <c r="BB28" s="166"/>
      <c r="BC28" s="178" cm="1">
        <f t="array" ref="BC28">SUMPRODUCT(
  IFERROR(--desp[valor],0)*
  (desp[nucleo]="UP ESTAÇÃO SÃO LUCAS")*
  (desp[categoria]=BC$7)*
  (desp[data.pagamento]&gt;=$A28)*
  (desp[data.pagamento]&lt;EOMONTH($A28,0)+1)
)</f>
        <v>0</v>
      </c>
      <c r="BD28" s="178" cm="1">
        <f t="array" ref="BD28">SUMPRODUCT(
  IFERROR(--desp[valor],0)*
  (desp[nucleo]="UP ESTAÇÃO SÃO LUCAS")*
  (desp[categoria]=BD$7)*
  (desp[data.pagamento]&gt;=$A28)*
  (desp[data.pagamento]&lt;EOMONTH($A28,0)+1)
)</f>
        <v>0</v>
      </c>
      <c r="BE28" s="178" cm="1">
        <f t="array" ref="BE28">SUMPRODUCT(
  IFERROR(--desp[valor],0)*
  (desp[nucleo]="UP ESTAÇÃO SÃO LUCAS")*
  (desp[categoria]=BE$7)*
  (desp[data.pagamento]&gt;=$A28)*
  (desp[data.pagamento]&lt;EOMONTH($A28,0)+1)
)</f>
        <v>0</v>
      </c>
      <c r="BF28" s="178" cm="1">
        <f t="array" ref="BF28">SUMPRODUCT(
  IFERROR(--desp[valor],0)*
  (desp[nucleo]="UP ESTAÇÃO SÃO LUCAS")*
  (desp[categoria]=BF$7)*
  (desp[data.pagamento]&gt;=$A28)*
  (desp[data.pagamento]&lt;EOMONTH($A28,0)+1)
)</f>
        <v>0</v>
      </c>
      <c r="BG28" s="179" cm="1">
        <f t="array" ref="BG28">SUMPRODUCT(
  IFERROR(--desp[valor],0)*
  (desp[nucleo]="UP ESTAÇÃO SÃO LUCAS")*
  (desp[categoria]=BG$7)*
  (desp[data.pagamento]&gt;=$A28)*
  (desp[data.pagamento]&lt;EOMONTH($A28,0)+1)
)</f>
        <v>0</v>
      </c>
      <c r="BH28" s="177">
        <f>COUNTIFS(
    estq[empresa], BH$6,
    estq[Data da venda / reserva], "&gt;=" &amp; $A28,
    estq[Data da venda / reserva], "&lt;"  &amp; EOMONTH($A28,0) + 1
)</f>
        <v>0</v>
      </c>
      <c r="BI28" s="178">
        <f ca="1">SUMIFS(rec.uni[2023-02-01],
INDIRECT("rec.uni[natureza]"),"pro.soluto",
INDIRECT("rec.uni[empresa]"),BI$6)</f>
        <v>0</v>
      </c>
      <c r="BJ28" s="166">
        <v>0</v>
      </c>
      <c r="BK28" s="178">
        <f ca="1">SUMIFS(rec.uni[2023-02-01],
INDIRECT("rec.uni[natureza]"),"taxa.extra",
INDIRECT("rec.uni[empresa]"),BK$6)</f>
        <v>0</v>
      </c>
      <c r="BL28" s="166"/>
      <c r="BM28" s="178" cm="1">
        <f t="array" ref="BM28">SUMPRODUCT(
  IFERROR(--desp[valor],0)*
  (desp[nucleo]="UP POMPEIA")*
  (desp[categoria]=BM$7)*
  (desp[data.pagamento]&gt;=$A28)*
  (desp[data.pagamento]&lt;EOMONTH($A28,0)+1)
)</f>
        <v>0</v>
      </c>
      <c r="BN28" s="178" cm="1">
        <f t="array" ref="BN28">SUMPRODUCT(
  IFERROR(--desp[valor],0)*
  (desp[nucleo]="UP POMPEIA")*
  (desp[categoria]=BN$7)*
  (desp[data.pagamento]&gt;=$A28)*
  (desp[data.pagamento]&lt;EOMONTH($A28,0)+1)
)</f>
        <v>0</v>
      </c>
      <c r="BO28" s="178" cm="1">
        <f t="array" ref="BO28">SUMPRODUCT(
  IFERROR(--desp[valor],0)*
  (desp[nucleo]="UP POMPEIA")*
  (desp[categoria]=BO$7)*
  (desp[data.pagamento]&gt;=$A28)*
  (desp[data.pagamento]&lt;EOMONTH($A28,0)+1)
)</f>
        <v>0</v>
      </c>
      <c r="BP28" s="178" cm="1">
        <f t="array" ref="BP28">SUMPRODUCT(
  IFERROR(--desp[valor],0)*
  (desp[nucleo]="UP POMPEIA")*
  (desp[categoria]=BP$7)*
  (desp[data.pagamento]&gt;=$A28)*
  (desp[data.pagamento]&lt;EOMONTH($A28,0)+1)
)</f>
        <v>0</v>
      </c>
      <c r="BQ28" s="179" cm="1">
        <f t="array" ref="BQ28">SUMPRODUCT(
  IFERROR(--desp[valor],0)*
  (desp[nucleo]="UP POMPEIA")*
  (desp[categoria]=BQ$7)*
  (desp[data.pagamento]&gt;=$A28)*
  (desp[data.pagamento]&lt;EOMONTH($A28,0)+1)
)</f>
        <v>0</v>
      </c>
      <c r="BR28" s="177">
        <f>COUNTIFS(
    estq[empresa], BR$6,
    estq[Data da venda / reserva], "&gt;=" &amp; $A28,
    estq[Data da venda / reserva], "&lt;"  &amp; EOMONTH($A28,0) + 1
)</f>
        <v>0</v>
      </c>
      <c r="BS28" s="178">
        <f ca="1">SUMIFS(rec.uni[2023-02-01],
INDIRECT("rec.uni[natureza]"),"pro.soluto",
INDIRECT("rec.uni[empresa]"),BS$6)</f>
        <v>0</v>
      </c>
      <c r="BT28" s="178">
        <f ca="1">SUMIFS(rec.uni[2023-02-01],
INDIRECT("rec.uni[natureza]"),"pro.soluto",
INDIRECT("rec.uni[empresa]"),BT$6)</f>
        <v>0</v>
      </c>
      <c r="BU28" s="178">
        <f ca="1">SUMIFS(rec.uni[2023-02-01],
INDIRECT("rec.uni[natureza]"),"taxa.extra",
INDIRECT("rec.uni[empresa]"),BU$6)</f>
        <v>0</v>
      </c>
      <c r="BV28" s="166"/>
      <c r="BW28" s="178" cm="1">
        <f t="array" ref="BW28">SUMPRODUCT(
  IFERROR(--desp[valor],0)*
  (desp[nucleo]="UP SAUDE")*
  (desp[categoria]=BW$7)*
  (desp[data.pagamento]&gt;=$A28)*
  (desp[data.pagamento]&lt;EOMONTH($A28,0)+1)
)</f>
        <v>0</v>
      </c>
      <c r="BX28" s="178" cm="1">
        <f t="array" ref="BX28">SUMPRODUCT(
  IFERROR(--desp[valor],0)*
  (desp[nucleo]="UP SAUDE")*
  (desp[categoria]=BX$7)*
  (desp[data.pagamento]&gt;=$A28)*
  (desp[data.pagamento]&lt;EOMONTH($A28,0)+1)
)</f>
        <v>0</v>
      </c>
      <c r="BY28" s="178" cm="1">
        <f t="array" ref="BY28">SUMPRODUCT(
  IFERROR(--desp[valor],0)*
  (desp[nucleo]="UP SAUDE")*
  (desp[categoria]=BY$7)*
  (desp[data.pagamento]&gt;=$A28)*
  (desp[data.pagamento]&lt;EOMONTH($A28,0)+1)
)</f>
        <v>0</v>
      </c>
      <c r="BZ28" s="178" cm="1">
        <f t="array" ref="BZ28">SUMPRODUCT(
  IFERROR(--desp[valor],0)*
  (desp[nucleo]="UP SAUDE")*
  (desp[categoria]=BZ$7)*
  (desp[data.pagamento]&gt;=$A28)*
  (desp[data.pagamento]&lt;EOMONTH($A28,0)+1)
)</f>
        <v>0</v>
      </c>
      <c r="CA28" s="179" cm="1">
        <f t="array" ref="CA28">SUMPRODUCT(
  IFERROR(--desp[valor],0)*
  (desp[nucleo]="UP SAUDE")*
  (desp[categoria]=CA$7)*
  (desp[data.pagamento]&gt;=$A28)*
  (desp[data.pagamento]&lt;EOMONTH($A28,0)+1)
)</f>
        <v>0</v>
      </c>
      <c r="CB28" s="177">
        <f>COUNTIFS(
    estq[empresa], CB$6,
    estq[Data da venda / reserva], "&gt;=" &amp; $A28,
    estq[Data da venda / reserva], "&lt;"  &amp; EOMONTH($A28,0) + 1
)</f>
        <v>0</v>
      </c>
      <c r="CC28" s="178">
        <f ca="1">SUMIFS(rec.uni[2023-02-01],
INDIRECT("rec.uni[natureza]"),"pro.soluto",
INDIRECT("rec.uni[empresa]"),CC$6)</f>
        <v>0</v>
      </c>
      <c r="CD28" s="178">
        <f ca="1">SUMIFS(rec.uni[2023-02-01],
INDIRECT("rec.uni[natureza]"),"repasse.cef.obra",
INDIRECT("rec.uni[empresa]"),CD$6)</f>
        <v>0</v>
      </c>
      <c r="CE28" s="178">
        <f ca="1">SUMIFS(rec.uni[2023-02-01],
INDIRECT("rec.uni[natureza]"),"repasse.cef.terreno",
INDIRECT("rec.uni[empresa]"),CE$6)</f>
        <v>0</v>
      </c>
      <c r="CF28" s="178">
        <v>0</v>
      </c>
      <c r="CG28" s="178">
        <f ca="1">SUMIFS(rec.uni[2023-02-01],
INDIRECT("rec.uni[natureza]"),"taxa.extra",
INDIRECT("rec.uni[empresa]"),CG$6)</f>
        <v>0</v>
      </c>
      <c r="CH28" s="166"/>
      <c r="CI28" s="178" cm="1">
        <f t="array" ref="CI28">SUMPRODUCT(
  IFERROR(--desp[valor],0)*
  (desp[nucleo]="UP ESTAÇÃO VILA SONIA")*
  (desp[categoria]=CI$7)*
  (desp[data.pagamento]&gt;=$A28)*
  (desp[data.pagamento]&lt;EOMONTH($A28,0)+1)
)</f>
        <v>0</v>
      </c>
      <c r="CJ28" s="178" cm="1">
        <f t="array" ref="CJ28">SUMPRODUCT(
  IFERROR(--desp[valor],0)*
  (desp[nucleo]="UP ESTAÇÃO VILA SONIA")*
  (desp[categoria]=CJ$7)*
  (desp[data.pagamento]&gt;=$A28)*
  (desp[data.pagamento]&lt;EOMONTH($A28,0)+1)
)</f>
        <v>0</v>
      </c>
      <c r="CK28" s="178" cm="1">
        <f t="array" ref="CK28">SUMPRODUCT(
  IFERROR(--desp[valor],0)*
  (desp[nucleo]="UP ESTAÇÃO VILA SONIA")*
  (desp[categoria]=CK$7)*
  (desp[data.pagamento]&gt;=$A28)*
  (desp[data.pagamento]&lt;EOMONTH($A28,0)+1)
)</f>
        <v>0</v>
      </c>
      <c r="CL28" s="178" cm="1">
        <f t="array" ref="CL28">SUMPRODUCT(
  IFERROR(--desp[valor],0)*
  (desp[nucleo]="UP ESTAÇÃO VILA SONIA")*
  (desp[categoria]=CL$7)*
  (desp[data.pagamento]&gt;=$A28)*
  (desp[data.pagamento]&lt;EOMONTH($A28,0)+1)
)</f>
        <v>0</v>
      </c>
      <c r="CM28" s="179" cm="1">
        <f t="array" ref="CM28">SUMPRODUCT(
  IFERROR(--desp[valor],0)*
  (desp[nucleo]="UP ESTAÇÃO VILA SONIA")*
  (desp[categoria]=CM$7)*
  (desp[data.pagamento]&gt;=$A28)*
  (desp[data.pagamento]&lt;EOMONTH($A28,0)+1)
)</f>
        <v>0</v>
      </c>
      <c r="CN28" s="177">
        <f>COUNTIFS(
    estq[empresa], CN$6,
    estq[Data da venda / reserva], "&gt;=" &amp; $A28,
    estq[Data da venda / reserva], "&lt;"  &amp; EOMONTH($A28,0) + 1
)</f>
        <v>0</v>
      </c>
      <c r="CO28" s="178">
        <f ca="1">SUMIFS(rec.uni[2023-02-01],
INDIRECT("rec.uni[natureza]"),"pro.soluto",
INDIRECT("rec.uni[empresa]"),CO$6)</f>
        <v>0</v>
      </c>
      <c r="CP28" s="178">
        <f ca="1">SUMIFS(rec.uni[2023-02-01],
INDIRECT("rec.uni[natureza]"),"repasse.cef.obra",
INDIRECT("rec.uni[empresa]"),CP$6)</f>
        <v>0</v>
      </c>
      <c r="CQ28" s="178">
        <f ca="1">SUMIFS(rec.uni[2023-02-01],
INDIRECT("rec.uni[natureza]"),"repasse.cef.terreno",
INDIRECT("rec.uni[empresa]"),CQ$6)</f>
        <v>0</v>
      </c>
      <c r="CR28" s="178">
        <v>0</v>
      </c>
      <c r="CS28" s="178">
        <f ca="1">SUMIFS(rec.uni[2023-02-01],
INDIRECT("rec.uni[natureza]"),"taxa.extra",
INDIRECT("rec.uni[empresa]"),CS$6)</f>
        <v>0</v>
      </c>
      <c r="CT28" s="166"/>
      <c r="CU28" s="178" cm="1">
        <f t="array" ref="CU28">SUMPRODUCT(
  IFERROR(--desp[valor],0)*
  (desp[nucleo]="UP MOVE VILA SONIA")*
  (desp[categoria]=CU$7)*
  (desp[data.pagamento]&gt;=$A28)*
  (desp[data.pagamento]&lt;EOMONTH($A28,0)+1)
)</f>
        <v>0</v>
      </c>
      <c r="CV28" s="178" cm="1">
        <f t="array" ref="CV28">SUMPRODUCT(
  IFERROR(--desp[valor],0)*
  (desp[nucleo]="UP MOVE VILA SONIA")*
  (desp[categoria]=CV$7)*
  (desp[data.pagamento]&gt;=$A28)*
  (desp[data.pagamento]&lt;EOMONTH($A28,0)+1)
)</f>
        <v>0</v>
      </c>
      <c r="CW28" s="178" cm="1">
        <f t="array" ref="CW28">SUMPRODUCT(
  IFERROR(--desp[valor],0)*
  (desp[nucleo]="UP MOVE VILA SONIA")*
  (desp[categoria]=CW$7)*
  (desp[data.pagamento]&gt;=$A28)*
  (desp[data.pagamento]&lt;EOMONTH($A28,0)+1)
)</f>
        <v>0</v>
      </c>
      <c r="CX28" s="178" cm="1">
        <f t="array" ref="CX28">SUMPRODUCT(
  IFERROR(--desp[valor],0)*
  (desp[nucleo]="UP MOVE VILA SONIA")*
  (desp[categoria]=CX$7)*
  (desp[data.pagamento]&gt;=$A28)*
  (desp[data.pagamento]&lt;EOMONTH($A28,0)+1)
)</f>
        <v>0</v>
      </c>
      <c r="CY28" s="180" cm="1">
        <f t="array" ref="CY28">SUMPRODUCT(
  IFERROR(--desp[valor],0)*
  (desp[nucleo]="UP MOVE VILA SONIA")*
  (desp[categoria]=CY$7)*
  (desp[data.pagamento]&gt;=$A28)*
  (desp[data.pagamento]&lt;EOMONTH($A28,0)+1)
)</f>
        <v>0</v>
      </c>
    </row>
    <row r="29" spans="1:103" x14ac:dyDescent="0.25">
      <c r="A29" s="176">
        <v>44986</v>
      </c>
      <c r="B29" s="177">
        <f>COUNTIFS(
    estq[empresa], B$6,
    estq[Data da venda / reserva], "&gt;=" &amp; $A29,
    estq[Data da venda / reserva], "&lt;"  &amp; EOMONTH($A29,0) + 1
)</f>
        <v>0</v>
      </c>
      <c r="C29" s="178">
        <f ca="1">SUMIFS(rec.uni[2023-03-01],
INDIRECT("rec.uni[natureza]"),"pro.soluto",
INDIRECT("rec.uni[empresa]"),C$6)</f>
        <v>0</v>
      </c>
      <c r="D29" s="178">
        <f ca="1">SUMIFS(rec.uni[2023-03-01],
INDIRECT("rec.uni[natureza]"),"repasse.cef.obra",
INDIRECT("rec.uni[empresa]"),D$6)</f>
        <v>0</v>
      </c>
      <c r="E29" s="178">
        <f ca="1">SUMIFS(rec.uni[2023-03-01],
INDIRECT("rec.uni[natureza]"),"repasse.cef.terreno",
INDIRECT("rec.uni[empresa]"),E$6)</f>
        <v>0</v>
      </c>
      <c r="F29" s="178">
        <v>0</v>
      </c>
      <c r="G29" s="178">
        <f ca="1">SUMIFS(rec.uni[2023-03-01],
INDIRECT("rec.uni[natureza]"),"taxa.extra",
INDIRECT("rec.uni[empresa]"),G$6)</f>
        <v>0</v>
      </c>
      <c r="H29" s="166"/>
      <c r="I29" s="178" cm="1">
        <f t="array" ref="I29">SUMPRODUCT(
  IFERROR(--desp[valor],0)*
  (desp[nucleo]="UP JARDIM PRUDENCIA")*
  (desp[categoria]=I$7)*
  (desp[data.pagamento]&gt;=$A29)*
  (desp[data.pagamento]&lt;EOMONTH($A29,0)+1)
)</f>
        <v>0</v>
      </c>
      <c r="J29" s="178" cm="1">
        <f t="array" ref="J29">SUMPRODUCT(
  IFERROR(--desp[valor],0)*
  (desp[nucleo]="UP JARDIM PRUDENCIA")*
  (desp[categoria]=J$7)*
  (desp[data.pagamento]&gt;=$A29)*
  (desp[data.pagamento]&lt;EOMONTH($A29,0)+1)
)</f>
        <v>0</v>
      </c>
      <c r="K29" s="178" cm="1">
        <f t="array" ref="K29">SUMPRODUCT(
  IFERROR(--desp[valor],0)*
  (desp[nucleo]="UP JARDIM PRUDENCIA")*
  (desp[categoria]=K$7)*
  (desp[data.pagamento]&gt;=$A29)*
  (desp[data.pagamento]&lt;EOMONTH($A29,0)+1)
)</f>
        <v>0</v>
      </c>
      <c r="L29" s="178" cm="1">
        <f t="array" ref="L29">SUMPRODUCT(
  IFERROR(--desp[valor],0)*
  (desp[nucleo]="UP JARDIM PRUDENCIA")*
  (desp[categoria]=L$7)*
  (desp[data.pagamento]&gt;=$A29)*
  (desp[data.pagamento]&lt;EOMONTH($A29,0)+1)
)</f>
        <v>0</v>
      </c>
      <c r="M29" s="179" cm="1">
        <f t="array" ref="M29">SUMPRODUCT(
  IFERROR(--desp[valor],0)*
  (desp[nucleo]="UP JARDIM PRUDENCIA")*
  (desp[categoria]=M$7)*
  (desp[data.pagamento]&gt;=$A29)*
  (desp[data.pagamento]&lt;EOMONTH($A29,0)+1)
)</f>
        <v>0</v>
      </c>
      <c r="N29" s="177">
        <f>COUNTIFS(
    estq[empresa], N$6,
    estq[Data da venda / reserva], "&gt;=" &amp; $A29,
    estq[Data da venda / reserva], "&lt;"  &amp; EOMONTH($A29,0) + 1
)</f>
        <v>0</v>
      </c>
      <c r="O29" s="178">
        <f ca="1">SUMIFS(rec.uni[2023-03-01],
INDIRECT("rec.uni[natureza]"),"pro.soluto",
INDIRECT("rec.uni[empresa]"),O$6)</f>
        <v>0</v>
      </c>
      <c r="P29" s="178">
        <f ca="1">SUMIFS(rec.uni[2023-03-01],
INDIRECT("rec.uni[natureza]"),"repasse.cef.obra",
INDIRECT("rec.uni[empresa]"),P$6)</f>
        <v>0</v>
      </c>
      <c r="Q29" s="178">
        <f ca="1">SUMIFS(rec.uni[2023-03-01],
INDIRECT("rec.uni[natureza]"),"repasse.cef.terreno",
INDIRECT("rec.uni[empresa]"),Q$6)</f>
        <v>0</v>
      </c>
      <c r="R29" s="178">
        <v>0</v>
      </c>
      <c r="S29" s="178">
        <f ca="1">SUMIFS(rec.uni[2023-03-01],
INDIRECT("rec.uni[natureza]"),"taxa.extra",
INDIRECT("rec.uni[empresa]"),S$6)</f>
        <v>0</v>
      </c>
      <c r="T29" s="166"/>
      <c r="U29" s="178" cm="1">
        <f t="array" ref="U29">SUMPRODUCT(
  IFERROR(--desp[valor],0)*
  (desp[nucleo]="UP VILA SONIA")*
  (desp[categoria]=U$7)*
  (desp[data.pagamento]&gt;=$A29)*
  (desp[data.pagamento]&lt;EOMONTH($A29,0)+1)
)</f>
        <v>0</v>
      </c>
      <c r="V29" s="178" cm="1">
        <f t="array" ref="V29">SUMPRODUCT(
  IFERROR(--desp[valor],0)*
  (desp[nucleo]="UP VILA SONIA")*
  (desp[categoria]=V$7)*
  (desp[data.pagamento]&gt;=$A29)*
  (desp[data.pagamento]&lt;EOMONTH($A29,0)+1)
)</f>
        <v>0</v>
      </c>
      <c r="W29" s="178" cm="1">
        <f t="array" ref="W29">SUMPRODUCT(
  IFERROR(--desp[valor],0)*
  (desp[nucleo]="UP VILA SONIA")*
  (desp[categoria]=W$7)*
  (desp[data.pagamento]&gt;=$A29)*
  (desp[data.pagamento]&lt;EOMONTH($A29,0)+1)
)</f>
        <v>0</v>
      </c>
      <c r="X29" s="178" cm="1">
        <f t="array" ref="X29">SUMPRODUCT(
  IFERROR(--desp[valor],0)*
  (desp[nucleo]="UP VILA SONIA")*
  (desp[categoria]=X$7)*
  (desp[data.pagamento]&gt;=$A29)*
  (desp[data.pagamento]&lt;EOMONTH($A29,0)+1)
)</f>
        <v>0</v>
      </c>
      <c r="Y29" s="179" cm="1">
        <f t="array" ref="Y29">SUMPRODUCT(
  IFERROR(--desp[valor],0)*
  (desp[nucleo]="UP VILA SONIA")*
  (desp[categoria]=Y$7)*
  (desp[data.pagamento]&gt;=$A29)*
  (desp[data.pagamento]&lt;EOMONTH($A29,0)+1)
)</f>
        <v>0</v>
      </c>
      <c r="Z29" s="177">
        <f>COUNTIFS(
    estq[empresa], Z$6,
    estq[Data da venda / reserva], "&gt;=" &amp; $A29,
    estq[Data da venda / reserva], "&lt;"  &amp; EOMONTH($A29,0) + 1
)</f>
        <v>0</v>
      </c>
      <c r="AA29" s="178">
        <f ca="1">SUMIFS(rec.uni[2023-03-01],
INDIRECT("rec.uni[natureza]"),"pro.soluto",
INDIRECT("rec.uni[empresa]"),AA$6)</f>
        <v>0</v>
      </c>
      <c r="AB29" s="178">
        <f ca="1">SUMIFS(rec.uni[2023-03-01],
INDIRECT("rec.uni[natureza]"),"pro.soluto",
INDIRECT("rec.uni[empresa]"),AB$6)</f>
        <v>0</v>
      </c>
      <c r="AC29" s="178">
        <f ca="1">SUMIFS(rec.uni[2023-03-01],
INDIRECT("rec.uni[natureza]"),"taxa.extra",
INDIRECT("rec.uni[empresa]"),AC$6)</f>
        <v>0</v>
      </c>
      <c r="AD29" s="166"/>
      <c r="AE29" s="178" cm="1">
        <f t="array" ref="AE29">SUMPRODUCT(
  IFERROR(--desp[valor],0)*
  (desp[nucleo]="UP CAMPO BELO")*
  (desp[categoria]=AE$7)*
  (desp[data.pagamento]&gt;=$A29)*
  (desp[data.pagamento]&lt;EOMONTH($A29,0)+1)
)</f>
        <v>0</v>
      </c>
      <c r="AF29" s="178" cm="1">
        <f t="array" ref="AF29">SUMPRODUCT(
  IFERROR(--desp[valor],0)*
  (desp[nucleo]="UP CAMPO BELO")*
  (desp[categoria]=AF$7)*
  (desp[data.pagamento]&gt;=$A29)*
  (desp[data.pagamento]&lt;EOMONTH($A29,0)+1)
)</f>
        <v>0</v>
      </c>
      <c r="AG29" s="178" cm="1">
        <f t="array" ref="AG29">SUMPRODUCT(
  IFERROR(--desp[valor],0)*
  (desp[nucleo]="UP CAMPO BELO")*
  (desp[categoria]=AG$7)*
  (desp[data.pagamento]&gt;=$A29)*
  (desp[data.pagamento]&lt;EOMONTH($A29,0)+1)
)</f>
        <v>0</v>
      </c>
      <c r="AH29" s="178" cm="1">
        <f t="array" ref="AH29">SUMPRODUCT(
  IFERROR(--desp[valor],0)*
  (desp[nucleo]="UP CAMPO BELO")*
  (desp[categoria]=AH$7)*
  (desp[data.pagamento]&gt;=$A29)*
  (desp[data.pagamento]&lt;EOMONTH($A29,0)+1)
)</f>
        <v>0</v>
      </c>
      <c r="AI29" s="179" cm="1">
        <f t="array" ref="AI29">SUMPRODUCT(
  IFERROR(--desp[valor],0)*
  (desp[nucleo]="UP CAMPO BELO")*
  (desp[categoria]=AI$7)*
  (desp[data.pagamento]&gt;=$A29)*
  (desp[data.pagamento]&lt;EOMONTH($A29,0)+1)
)</f>
        <v>0</v>
      </c>
      <c r="AJ29" s="177">
        <f>COUNTIFS(
    estq[empresa], AJ$6,
    estq[Data da venda / reserva], "&gt;=" &amp; $A29,
    estq[Data da venda / reserva], "&lt;"  &amp; EOMONTH($A29,0) + 1
)</f>
        <v>0</v>
      </c>
      <c r="AK29" s="178">
        <f ca="1">SUMIFS(rec.uni[2023-03-01],
INDIRECT("rec.uni[natureza]"),"pro.soluto",
INDIRECT("rec.uni[empresa]"),AK$6)</f>
        <v>0</v>
      </c>
      <c r="AL29" s="178">
        <f ca="1">SUMIFS(rec.uni[2023-03-01],
INDIRECT("rec.uni[natureza]"),"repasse.cef.obra",
INDIRECT("rec.uni[empresa]"),AL$6)</f>
        <v>0</v>
      </c>
      <c r="AM29" s="178">
        <f ca="1">SUMIFS(rec.uni[2023-03-01],
INDIRECT("rec.uni[natureza]"),"repasse.cef.terreno",
INDIRECT("rec.uni[empresa]"),AM$6)</f>
        <v>0</v>
      </c>
      <c r="AN29" s="178">
        <v>0</v>
      </c>
      <c r="AO29" s="178">
        <f ca="1">SUMIFS(rec.uni[2023-03-01],
INDIRECT("rec.uni[natureza]"),"taxa.extra",
INDIRECT("rec.uni[empresa]"),AO$6)</f>
        <v>0</v>
      </c>
      <c r="AP29" s="166"/>
      <c r="AQ29" s="178" cm="1">
        <f t="array" ref="AQ29">SUMPRODUCT(
  IFERROR(--desp[valor],0)*
  (desp[nucleo]="UP SELECT VILA SONIA")*
  (desp[categoria]=AQ$7)*
  (desp[data.pagamento]&gt;=$A29)*
  (desp[data.pagamento]&lt;EOMONTH($A29,0)+1)
)</f>
        <v>0</v>
      </c>
      <c r="AR29" s="178" cm="1">
        <f t="array" ref="AR29">SUMPRODUCT(
  IFERROR(--desp[valor],0)*
  (desp[nucleo]="UP SELECT VILA SONIA")*
  (desp[categoria]=AR$7)*
  (desp[data.pagamento]&gt;=$A29)*
  (desp[data.pagamento]&lt;EOMONTH($A29,0)+1)
)</f>
        <v>0</v>
      </c>
      <c r="AS29" s="178" cm="1">
        <f t="array" ref="AS29">SUMPRODUCT(
  IFERROR(--desp[valor],0)*
  (desp[nucleo]="UP SELECT VILA SONIA")*
  (desp[categoria]=AS$7)*
  (desp[data.pagamento]&gt;=$A29)*
  (desp[data.pagamento]&lt;EOMONTH($A29,0)+1)
)</f>
        <v>0</v>
      </c>
      <c r="AT29" s="178" cm="1">
        <f t="array" ref="AT29">SUMPRODUCT(
  IFERROR(--desp[valor],0)*
  (desp[nucleo]="UP SELECT VILA SONIA")*
  (desp[categoria]=AT$7)*
  (desp[data.pagamento]&gt;=$A29)*
  (desp[data.pagamento]&lt;EOMONTH($A29,0)+1)
)</f>
        <v>0</v>
      </c>
      <c r="AU29" s="179" cm="1">
        <f t="array" ref="AU29">SUMPRODUCT(
  IFERROR(--desp[valor],0)*
  (desp[nucleo]="UP SELECT VILA SONIA")*
  (desp[categoria]=AU$7)*
  (desp[data.pagamento]&gt;=$A29)*
  (desp[data.pagamento]&lt;EOMONTH($A29,0)+1)
)</f>
        <v>0</v>
      </c>
      <c r="AV29" s="177">
        <f>COUNTIFS(
    estq[empresa], AV$6,
    estq[Data da venda / reserva], "&gt;=" &amp; $A29,
    estq[Data da venda / reserva], "&lt;"  &amp; EOMONTH($A29,0) + 1
)</f>
        <v>0</v>
      </c>
      <c r="AW29" s="178">
        <f ca="1">SUMIFS(rec.uni[2023-03-01],
INDIRECT("rec.uni[natureza]"),"pro.soluto",
INDIRECT("rec.uni[empresa]"),AW$6)</f>
        <v>0</v>
      </c>
      <c r="AX29" s="178">
        <f ca="1">SUMIFS(rec.uni[2023-03-01],
INDIRECT("rec.uni[natureza]"),"repasse.cef.obra",
INDIRECT("rec.uni[empresa]"),AX$6)</f>
        <v>0</v>
      </c>
      <c r="AY29" s="178">
        <f ca="1">SUMIFS(rec.uni[2023-03-01],
INDIRECT("rec.uni[natureza]"),"repasse.cef.terreno",
INDIRECT("rec.uni[empresa]"),AY$6)</f>
        <v>0</v>
      </c>
      <c r="AZ29" s="178">
        <v>0</v>
      </c>
      <c r="BA29" s="178">
        <f ca="1">SUMIFS(rec.uni[2023-03-01],
INDIRECT("rec.uni[natureza]"),"taxa.extra",
INDIRECT("rec.uni[empresa]"),BA$6)</f>
        <v>0</v>
      </c>
      <c r="BB29" s="166"/>
      <c r="BC29" s="178" cm="1">
        <f t="array" ref="BC29">SUMPRODUCT(
  IFERROR(--desp[valor],0)*
  (desp[nucleo]="UP ESTAÇÃO SÃO LUCAS")*
  (desp[categoria]=BC$7)*
  (desp[data.pagamento]&gt;=$A29)*
  (desp[data.pagamento]&lt;EOMONTH($A29,0)+1)
)</f>
        <v>0</v>
      </c>
      <c r="BD29" s="178" cm="1">
        <f t="array" ref="BD29">SUMPRODUCT(
  IFERROR(--desp[valor],0)*
  (desp[nucleo]="UP ESTAÇÃO SÃO LUCAS")*
  (desp[categoria]=BD$7)*
  (desp[data.pagamento]&gt;=$A29)*
  (desp[data.pagamento]&lt;EOMONTH($A29,0)+1)
)</f>
        <v>0</v>
      </c>
      <c r="BE29" s="178" cm="1">
        <f t="array" ref="BE29">SUMPRODUCT(
  IFERROR(--desp[valor],0)*
  (desp[nucleo]="UP ESTAÇÃO SÃO LUCAS")*
  (desp[categoria]=BE$7)*
  (desp[data.pagamento]&gt;=$A29)*
  (desp[data.pagamento]&lt;EOMONTH($A29,0)+1)
)</f>
        <v>0</v>
      </c>
      <c r="BF29" s="178" cm="1">
        <f t="array" ref="BF29">SUMPRODUCT(
  IFERROR(--desp[valor],0)*
  (desp[nucleo]="UP ESTAÇÃO SÃO LUCAS")*
  (desp[categoria]=BF$7)*
  (desp[data.pagamento]&gt;=$A29)*
  (desp[data.pagamento]&lt;EOMONTH($A29,0)+1)
)</f>
        <v>0</v>
      </c>
      <c r="BG29" s="179" cm="1">
        <f t="array" ref="BG29">SUMPRODUCT(
  IFERROR(--desp[valor],0)*
  (desp[nucleo]="UP ESTAÇÃO SÃO LUCAS")*
  (desp[categoria]=BG$7)*
  (desp[data.pagamento]&gt;=$A29)*
  (desp[data.pagamento]&lt;EOMONTH($A29,0)+1)
)</f>
        <v>0</v>
      </c>
      <c r="BH29" s="177">
        <f>COUNTIFS(
    estq[empresa], BH$6,
    estq[Data da venda / reserva], "&gt;=" &amp; $A29,
    estq[Data da venda / reserva], "&lt;"  &amp; EOMONTH($A29,0) + 1
)</f>
        <v>0</v>
      </c>
      <c r="BI29" s="178">
        <f ca="1">SUMIFS(rec.uni[2023-03-01],
INDIRECT("rec.uni[natureza]"),"pro.soluto",
INDIRECT("rec.uni[empresa]"),BI$6)</f>
        <v>0</v>
      </c>
      <c r="BJ29" s="166">
        <v>0</v>
      </c>
      <c r="BK29" s="178">
        <f ca="1">SUMIFS(rec.uni[2023-03-01],
INDIRECT("rec.uni[natureza]"),"taxa.extra",
INDIRECT("rec.uni[empresa]"),BK$6)</f>
        <v>0</v>
      </c>
      <c r="BL29" s="166"/>
      <c r="BM29" s="178" cm="1">
        <f t="array" ref="BM29">SUMPRODUCT(
  IFERROR(--desp[valor],0)*
  (desp[nucleo]="UP POMPEIA")*
  (desp[categoria]=BM$7)*
  (desp[data.pagamento]&gt;=$A29)*
  (desp[data.pagamento]&lt;EOMONTH($A29,0)+1)
)</f>
        <v>0</v>
      </c>
      <c r="BN29" s="178" cm="1">
        <f t="array" ref="BN29">SUMPRODUCT(
  IFERROR(--desp[valor],0)*
  (desp[nucleo]="UP POMPEIA")*
  (desp[categoria]=BN$7)*
  (desp[data.pagamento]&gt;=$A29)*
  (desp[data.pagamento]&lt;EOMONTH($A29,0)+1)
)</f>
        <v>0</v>
      </c>
      <c r="BO29" s="178" cm="1">
        <f t="array" ref="BO29">SUMPRODUCT(
  IFERROR(--desp[valor],0)*
  (desp[nucleo]="UP POMPEIA")*
  (desp[categoria]=BO$7)*
  (desp[data.pagamento]&gt;=$A29)*
  (desp[data.pagamento]&lt;EOMONTH($A29,0)+1)
)</f>
        <v>0</v>
      </c>
      <c r="BP29" s="178" cm="1">
        <f t="array" ref="BP29">SUMPRODUCT(
  IFERROR(--desp[valor],0)*
  (desp[nucleo]="UP POMPEIA")*
  (desp[categoria]=BP$7)*
  (desp[data.pagamento]&gt;=$A29)*
  (desp[data.pagamento]&lt;EOMONTH($A29,0)+1)
)</f>
        <v>0</v>
      </c>
      <c r="BQ29" s="179" cm="1">
        <f t="array" ref="BQ29">SUMPRODUCT(
  IFERROR(--desp[valor],0)*
  (desp[nucleo]="UP POMPEIA")*
  (desp[categoria]=BQ$7)*
  (desp[data.pagamento]&gt;=$A29)*
  (desp[data.pagamento]&lt;EOMONTH($A29,0)+1)
)</f>
        <v>0</v>
      </c>
      <c r="BR29" s="177">
        <f>COUNTIFS(
    estq[empresa], BR$6,
    estq[Data da venda / reserva], "&gt;=" &amp; $A29,
    estq[Data da venda / reserva], "&lt;"  &amp; EOMONTH($A29,0) + 1
)</f>
        <v>0</v>
      </c>
      <c r="BS29" s="178">
        <f ca="1">SUMIFS(rec.uni[2023-03-01],
INDIRECT("rec.uni[natureza]"),"pro.soluto",
INDIRECT("rec.uni[empresa]"),BS$6)</f>
        <v>0</v>
      </c>
      <c r="BT29" s="178">
        <f ca="1">SUMIFS(rec.uni[2023-03-01],
INDIRECT("rec.uni[natureza]"),"pro.soluto",
INDIRECT("rec.uni[empresa]"),BT$6)</f>
        <v>0</v>
      </c>
      <c r="BU29" s="178">
        <f ca="1">SUMIFS(rec.uni[2023-03-01],
INDIRECT("rec.uni[natureza]"),"taxa.extra",
INDIRECT("rec.uni[empresa]"),BU$6)</f>
        <v>0</v>
      </c>
      <c r="BV29" s="166"/>
      <c r="BW29" s="178" cm="1">
        <f t="array" ref="BW29">SUMPRODUCT(
  IFERROR(--desp[valor],0)*
  (desp[nucleo]="UP SAUDE")*
  (desp[categoria]=BW$7)*
  (desp[data.pagamento]&gt;=$A29)*
  (desp[data.pagamento]&lt;EOMONTH($A29,0)+1)
)</f>
        <v>0</v>
      </c>
      <c r="BX29" s="178" cm="1">
        <f t="array" ref="BX29">SUMPRODUCT(
  IFERROR(--desp[valor],0)*
  (desp[nucleo]="UP SAUDE")*
  (desp[categoria]=BX$7)*
  (desp[data.pagamento]&gt;=$A29)*
  (desp[data.pagamento]&lt;EOMONTH($A29,0)+1)
)</f>
        <v>0</v>
      </c>
      <c r="BY29" s="178" cm="1">
        <f t="array" ref="BY29">SUMPRODUCT(
  IFERROR(--desp[valor],0)*
  (desp[nucleo]="UP SAUDE")*
  (desp[categoria]=BY$7)*
  (desp[data.pagamento]&gt;=$A29)*
  (desp[data.pagamento]&lt;EOMONTH($A29,0)+1)
)</f>
        <v>0</v>
      </c>
      <c r="BZ29" s="178" cm="1">
        <f t="array" ref="BZ29">SUMPRODUCT(
  IFERROR(--desp[valor],0)*
  (desp[nucleo]="UP SAUDE")*
  (desp[categoria]=BZ$7)*
  (desp[data.pagamento]&gt;=$A29)*
  (desp[data.pagamento]&lt;EOMONTH($A29,0)+1)
)</f>
        <v>0</v>
      </c>
      <c r="CA29" s="179" cm="1">
        <f t="array" ref="CA29">SUMPRODUCT(
  IFERROR(--desp[valor],0)*
  (desp[nucleo]="UP SAUDE")*
  (desp[categoria]=CA$7)*
  (desp[data.pagamento]&gt;=$A29)*
  (desp[data.pagamento]&lt;EOMONTH($A29,0)+1)
)</f>
        <v>0</v>
      </c>
      <c r="CB29" s="177">
        <f>COUNTIFS(
    estq[empresa], CB$6,
    estq[Data da venda / reserva], "&gt;=" &amp; $A29,
    estq[Data da venda / reserva], "&lt;"  &amp; EOMONTH($A29,0) + 1
)</f>
        <v>0</v>
      </c>
      <c r="CC29" s="178">
        <f ca="1">SUMIFS(rec.uni[2023-03-01],
INDIRECT("rec.uni[natureza]"),"pro.soluto",
INDIRECT("rec.uni[empresa]"),CC$6)</f>
        <v>0</v>
      </c>
      <c r="CD29" s="178">
        <f ca="1">SUMIFS(rec.uni[2023-03-01],
INDIRECT("rec.uni[natureza]"),"repasse.cef.obra",
INDIRECT("rec.uni[empresa]"),CD$6)</f>
        <v>0</v>
      </c>
      <c r="CE29" s="178">
        <f ca="1">SUMIFS(rec.uni[2023-03-01],
INDIRECT("rec.uni[natureza]"),"repasse.cef.terreno",
INDIRECT("rec.uni[empresa]"),CE$6)</f>
        <v>0</v>
      </c>
      <c r="CF29" s="178">
        <v>0</v>
      </c>
      <c r="CG29" s="178">
        <f ca="1">SUMIFS(rec.uni[2023-03-01],
INDIRECT("rec.uni[natureza]"),"taxa.extra",
INDIRECT("rec.uni[empresa]"),CG$6)</f>
        <v>0</v>
      </c>
      <c r="CH29" s="166"/>
      <c r="CI29" s="178" cm="1">
        <f t="array" ref="CI29">SUMPRODUCT(
  IFERROR(--desp[valor],0)*
  (desp[nucleo]="UP ESTAÇÃO VILA SONIA")*
  (desp[categoria]=CI$7)*
  (desp[data.pagamento]&gt;=$A29)*
  (desp[data.pagamento]&lt;EOMONTH($A29,0)+1)
)</f>
        <v>0</v>
      </c>
      <c r="CJ29" s="178" cm="1">
        <f t="array" ref="CJ29">SUMPRODUCT(
  IFERROR(--desp[valor],0)*
  (desp[nucleo]="UP ESTAÇÃO VILA SONIA")*
  (desp[categoria]=CJ$7)*
  (desp[data.pagamento]&gt;=$A29)*
  (desp[data.pagamento]&lt;EOMONTH($A29,0)+1)
)</f>
        <v>0</v>
      </c>
      <c r="CK29" s="178" cm="1">
        <f t="array" ref="CK29">SUMPRODUCT(
  IFERROR(--desp[valor],0)*
  (desp[nucleo]="UP ESTAÇÃO VILA SONIA")*
  (desp[categoria]=CK$7)*
  (desp[data.pagamento]&gt;=$A29)*
  (desp[data.pagamento]&lt;EOMONTH($A29,0)+1)
)</f>
        <v>0</v>
      </c>
      <c r="CL29" s="178" cm="1">
        <f t="array" ref="CL29">SUMPRODUCT(
  IFERROR(--desp[valor],0)*
  (desp[nucleo]="UP ESTAÇÃO VILA SONIA")*
  (desp[categoria]=CL$7)*
  (desp[data.pagamento]&gt;=$A29)*
  (desp[data.pagamento]&lt;EOMONTH($A29,0)+1)
)</f>
        <v>0</v>
      </c>
      <c r="CM29" s="179" cm="1">
        <f t="array" ref="CM29">SUMPRODUCT(
  IFERROR(--desp[valor],0)*
  (desp[nucleo]="UP ESTAÇÃO VILA SONIA")*
  (desp[categoria]=CM$7)*
  (desp[data.pagamento]&gt;=$A29)*
  (desp[data.pagamento]&lt;EOMONTH($A29,0)+1)
)</f>
        <v>0</v>
      </c>
      <c r="CN29" s="177">
        <f>COUNTIFS(
    estq[empresa], CN$6,
    estq[Data da venda / reserva], "&gt;=" &amp; $A29,
    estq[Data da venda / reserva], "&lt;"  &amp; EOMONTH($A29,0) + 1
)</f>
        <v>0</v>
      </c>
      <c r="CO29" s="178">
        <f ca="1">SUMIFS(rec.uni[2023-03-01],
INDIRECT("rec.uni[natureza]"),"pro.soluto",
INDIRECT("rec.uni[empresa]"),CO$6)</f>
        <v>0</v>
      </c>
      <c r="CP29" s="178">
        <f ca="1">SUMIFS(rec.uni[2023-03-01],
INDIRECT("rec.uni[natureza]"),"repasse.cef.obra",
INDIRECT("rec.uni[empresa]"),CP$6)</f>
        <v>0</v>
      </c>
      <c r="CQ29" s="178">
        <f ca="1">SUMIFS(rec.uni[2023-03-01],
INDIRECT("rec.uni[natureza]"),"repasse.cef.terreno",
INDIRECT("rec.uni[empresa]"),CQ$6)</f>
        <v>0</v>
      </c>
      <c r="CR29" s="178">
        <v>0</v>
      </c>
      <c r="CS29" s="178">
        <f ca="1">SUMIFS(rec.uni[2023-03-01],
INDIRECT("rec.uni[natureza]"),"taxa.extra",
INDIRECT("rec.uni[empresa]"),CS$6)</f>
        <v>0</v>
      </c>
      <c r="CT29" s="166"/>
      <c r="CU29" s="178" cm="1">
        <f t="array" ref="CU29">SUMPRODUCT(
  IFERROR(--desp[valor],0)*
  (desp[nucleo]="UP MOVE VILA SONIA")*
  (desp[categoria]=CU$7)*
  (desp[data.pagamento]&gt;=$A29)*
  (desp[data.pagamento]&lt;EOMONTH($A29,0)+1)
)</f>
        <v>0</v>
      </c>
      <c r="CV29" s="178" cm="1">
        <f t="array" ref="CV29">SUMPRODUCT(
  IFERROR(--desp[valor],0)*
  (desp[nucleo]="UP MOVE VILA SONIA")*
  (desp[categoria]=CV$7)*
  (desp[data.pagamento]&gt;=$A29)*
  (desp[data.pagamento]&lt;EOMONTH($A29,0)+1)
)</f>
        <v>0</v>
      </c>
      <c r="CW29" s="178" cm="1">
        <f t="array" ref="CW29">SUMPRODUCT(
  IFERROR(--desp[valor],0)*
  (desp[nucleo]="UP MOVE VILA SONIA")*
  (desp[categoria]=CW$7)*
  (desp[data.pagamento]&gt;=$A29)*
  (desp[data.pagamento]&lt;EOMONTH($A29,0)+1)
)</f>
        <v>0</v>
      </c>
      <c r="CX29" s="178" cm="1">
        <f t="array" ref="CX29">SUMPRODUCT(
  IFERROR(--desp[valor],0)*
  (desp[nucleo]="UP MOVE VILA SONIA")*
  (desp[categoria]=CX$7)*
  (desp[data.pagamento]&gt;=$A29)*
  (desp[data.pagamento]&lt;EOMONTH($A29,0)+1)
)</f>
        <v>0</v>
      </c>
      <c r="CY29" s="180" cm="1">
        <f t="array" ref="CY29">SUMPRODUCT(
  IFERROR(--desp[valor],0)*
  (desp[nucleo]="UP MOVE VILA SONIA")*
  (desp[categoria]=CY$7)*
  (desp[data.pagamento]&gt;=$A29)*
  (desp[data.pagamento]&lt;EOMONTH($A29,0)+1)
)</f>
        <v>0</v>
      </c>
    </row>
    <row r="30" spans="1:103" x14ac:dyDescent="0.25">
      <c r="A30" s="176">
        <v>45017</v>
      </c>
      <c r="B30" s="177">
        <f>COUNTIFS(
    estq[empresa], B$6,
    estq[Data da venda / reserva], "&gt;=" &amp; $A30,
    estq[Data da venda / reserva], "&lt;"  &amp; EOMONTH($A30,0) + 1
)</f>
        <v>0</v>
      </c>
      <c r="C30" s="178">
        <f ca="1">SUMIFS(rec.uni[2023-04-01],
INDIRECT("rec.uni[natureza]"),"pro.soluto",
INDIRECT("rec.uni[empresa]"),C$6)</f>
        <v>0</v>
      </c>
      <c r="D30" s="178">
        <f ca="1">SUMIFS(rec.uni[2023-04-01],
INDIRECT("rec.uni[natureza]"),"repasse.cef.obra",
INDIRECT("rec.uni[empresa]"),D$6)</f>
        <v>0</v>
      </c>
      <c r="E30" s="178">
        <f ca="1">SUMIFS(rec.uni[2023-04-01],
INDIRECT("rec.uni[natureza]"),"repasse.cef.terreno",
INDIRECT("rec.uni[empresa]"),E$6)</f>
        <v>0</v>
      </c>
      <c r="F30" s="178">
        <v>0</v>
      </c>
      <c r="G30" s="178">
        <f ca="1">SUMIFS(rec.uni[2023-04-01],
INDIRECT("rec.uni[natureza]"),"taxa.extra",
INDIRECT("rec.uni[empresa]"),G$6)</f>
        <v>0</v>
      </c>
      <c r="H30" s="166"/>
      <c r="I30" s="178" cm="1">
        <f t="array" ref="I30">SUMPRODUCT(
  IFERROR(--desp[valor],0)*
  (desp[nucleo]="UP JARDIM PRUDENCIA")*
  (desp[categoria]=I$7)*
  (desp[data.pagamento]&gt;=$A30)*
  (desp[data.pagamento]&lt;EOMONTH($A30,0)+1)
)</f>
        <v>0</v>
      </c>
      <c r="J30" s="178" cm="1">
        <f t="array" ref="J30">SUMPRODUCT(
  IFERROR(--desp[valor],0)*
  (desp[nucleo]="UP JARDIM PRUDENCIA")*
  (desp[categoria]=J$7)*
  (desp[data.pagamento]&gt;=$A30)*
  (desp[data.pagamento]&lt;EOMONTH($A30,0)+1)
)</f>
        <v>0</v>
      </c>
      <c r="K30" s="178" cm="1">
        <f t="array" ref="K30">SUMPRODUCT(
  IFERROR(--desp[valor],0)*
  (desp[nucleo]="UP JARDIM PRUDENCIA")*
  (desp[categoria]=K$7)*
  (desp[data.pagamento]&gt;=$A30)*
  (desp[data.pagamento]&lt;EOMONTH($A30,0)+1)
)</f>
        <v>0</v>
      </c>
      <c r="L30" s="178" cm="1">
        <f t="array" ref="L30">SUMPRODUCT(
  IFERROR(--desp[valor],0)*
  (desp[nucleo]="UP JARDIM PRUDENCIA")*
  (desp[categoria]=L$7)*
  (desp[data.pagamento]&gt;=$A30)*
  (desp[data.pagamento]&lt;EOMONTH($A30,0)+1)
)</f>
        <v>0</v>
      </c>
      <c r="M30" s="179" cm="1">
        <f t="array" ref="M30">SUMPRODUCT(
  IFERROR(--desp[valor],0)*
  (desp[nucleo]="UP JARDIM PRUDENCIA")*
  (desp[categoria]=M$7)*
  (desp[data.pagamento]&gt;=$A30)*
  (desp[data.pagamento]&lt;EOMONTH($A30,0)+1)
)</f>
        <v>0</v>
      </c>
      <c r="N30" s="177">
        <f>COUNTIFS(
    estq[empresa], N$6,
    estq[Data da venda / reserva], "&gt;=" &amp; $A30,
    estq[Data da venda / reserva], "&lt;"  &amp; EOMONTH($A30,0) + 1
)</f>
        <v>0</v>
      </c>
      <c r="O30" s="178">
        <f ca="1">SUMIFS(rec.uni[2023-04-01],
INDIRECT("rec.uni[natureza]"),"pro.soluto",
INDIRECT("rec.uni[empresa]"),O$6)</f>
        <v>0</v>
      </c>
      <c r="P30" s="178">
        <f ca="1">SUMIFS(rec.uni[2023-04-01],
INDIRECT("rec.uni[natureza]"),"repasse.cef.obra",
INDIRECT("rec.uni[empresa]"),P$6)</f>
        <v>0</v>
      </c>
      <c r="Q30" s="178">
        <f ca="1">SUMIFS(rec.uni[2023-04-01],
INDIRECT("rec.uni[natureza]"),"repasse.cef.terreno",
INDIRECT("rec.uni[empresa]"),Q$6)</f>
        <v>0</v>
      </c>
      <c r="R30" s="178">
        <v>0</v>
      </c>
      <c r="S30" s="178">
        <f ca="1">SUMIFS(rec.uni[2023-04-01],
INDIRECT("rec.uni[natureza]"),"taxa.extra",
INDIRECT("rec.uni[empresa]"),S$6)</f>
        <v>0</v>
      </c>
      <c r="T30" s="166"/>
      <c r="U30" s="178" cm="1">
        <f t="array" ref="U30">SUMPRODUCT(
  IFERROR(--desp[valor],0)*
  (desp[nucleo]="UP VILA SONIA")*
  (desp[categoria]=U$7)*
  (desp[data.pagamento]&gt;=$A30)*
  (desp[data.pagamento]&lt;EOMONTH($A30,0)+1)
)</f>
        <v>0</v>
      </c>
      <c r="V30" s="178" cm="1">
        <f t="array" ref="V30">SUMPRODUCT(
  IFERROR(--desp[valor],0)*
  (desp[nucleo]="UP VILA SONIA")*
  (desp[categoria]=V$7)*
  (desp[data.pagamento]&gt;=$A30)*
  (desp[data.pagamento]&lt;EOMONTH($A30,0)+1)
)</f>
        <v>0</v>
      </c>
      <c r="W30" s="178" cm="1">
        <f t="array" ref="W30">SUMPRODUCT(
  IFERROR(--desp[valor],0)*
  (desp[nucleo]="UP VILA SONIA")*
  (desp[categoria]=W$7)*
  (desp[data.pagamento]&gt;=$A30)*
  (desp[data.pagamento]&lt;EOMONTH($A30,0)+1)
)</f>
        <v>0</v>
      </c>
      <c r="X30" s="178" cm="1">
        <f t="array" ref="X30">SUMPRODUCT(
  IFERROR(--desp[valor],0)*
  (desp[nucleo]="UP VILA SONIA")*
  (desp[categoria]=X$7)*
  (desp[data.pagamento]&gt;=$A30)*
  (desp[data.pagamento]&lt;EOMONTH($A30,0)+1)
)</f>
        <v>0</v>
      </c>
      <c r="Y30" s="179" cm="1">
        <f t="array" ref="Y30">SUMPRODUCT(
  IFERROR(--desp[valor],0)*
  (desp[nucleo]="UP VILA SONIA")*
  (desp[categoria]=Y$7)*
  (desp[data.pagamento]&gt;=$A30)*
  (desp[data.pagamento]&lt;EOMONTH($A30,0)+1)
)</f>
        <v>0</v>
      </c>
      <c r="Z30" s="177">
        <f>COUNTIFS(
    estq[empresa], Z$6,
    estq[Data da venda / reserva], "&gt;=" &amp; $A30,
    estq[Data da venda / reserva], "&lt;"  &amp; EOMONTH($A30,0) + 1
)</f>
        <v>0</v>
      </c>
      <c r="AA30" s="178">
        <f ca="1">SUMIFS(rec.uni[2023-04-01],
INDIRECT("rec.uni[natureza]"),"pro.soluto",
INDIRECT("rec.uni[empresa]"),AA$6)</f>
        <v>0</v>
      </c>
      <c r="AB30" s="178">
        <f ca="1">SUMIFS(rec.uni[2023-04-01],
INDIRECT("rec.uni[natureza]"),"pro.soluto",
INDIRECT("rec.uni[empresa]"),AB$6)</f>
        <v>0</v>
      </c>
      <c r="AC30" s="178">
        <f ca="1">SUMIFS(rec.uni[2023-04-01],
INDIRECT("rec.uni[natureza]"),"taxa.extra",
INDIRECT("rec.uni[empresa]"),AC$6)</f>
        <v>0</v>
      </c>
      <c r="AD30" s="166"/>
      <c r="AE30" s="178" cm="1">
        <f t="array" ref="AE30">SUMPRODUCT(
  IFERROR(--desp[valor],0)*
  (desp[nucleo]="UP CAMPO BELO")*
  (desp[categoria]=AE$7)*
  (desp[data.pagamento]&gt;=$A30)*
  (desp[data.pagamento]&lt;EOMONTH($A30,0)+1)
)</f>
        <v>0</v>
      </c>
      <c r="AF30" s="178" cm="1">
        <f t="array" ref="AF30">SUMPRODUCT(
  IFERROR(--desp[valor],0)*
  (desp[nucleo]="UP CAMPO BELO")*
  (desp[categoria]=AF$7)*
  (desp[data.pagamento]&gt;=$A30)*
  (desp[data.pagamento]&lt;EOMONTH($A30,0)+1)
)</f>
        <v>0</v>
      </c>
      <c r="AG30" s="178" cm="1">
        <f t="array" ref="AG30">SUMPRODUCT(
  IFERROR(--desp[valor],0)*
  (desp[nucleo]="UP CAMPO BELO")*
  (desp[categoria]=AG$7)*
  (desp[data.pagamento]&gt;=$A30)*
  (desp[data.pagamento]&lt;EOMONTH($A30,0)+1)
)</f>
        <v>0</v>
      </c>
      <c r="AH30" s="178" cm="1">
        <f t="array" ref="AH30">SUMPRODUCT(
  IFERROR(--desp[valor],0)*
  (desp[nucleo]="UP CAMPO BELO")*
  (desp[categoria]=AH$7)*
  (desp[data.pagamento]&gt;=$A30)*
  (desp[data.pagamento]&lt;EOMONTH($A30,0)+1)
)</f>
        <v>0</v>
      </c>
      <c r="AI30" s="179" cm="1">
        <f t="array" ref="AI30">SUMPRODUCT(
  IFERROR(--desp[valor],0)*
  (desp[nucleo]="UP CAMPO BELO")*
  (desp[categoria]=AI$7)*
  (desp[data.pagamento]&gt;=$A30)*
  (desp[data.pagamento]&lt;EOMONTH($A30,0)+1)
)</f>
        <v>0</v>
      </c>
      <c r="AJ30" s="177">
        <f>COUNTIFS(
    estq[empresa], AJ$6,
    estq[Data da venda / reserva], "&gt;=" &amp; $A30,
    estq[Data da venda / reserva], "&lt;"  &amp; EOMONTH($A30,0) + 1
)</f>
        <v>0</v>
      </c>
      <c r="AK30" s="178">
        <f ca="1">SUMIFS(rec.uni[2023-04-01],
INDIRECT("rec.uni[natureza]"),"pro.soluto",
INDIRECT("rec.uni[empresa]"),AK$6)</f>
        <v>0</v>
      </c>
      <c r="AL30" s="178">
        <f ca="1">SUMIFS(rec.uni[2023-04-01],
INDIRECT("rec.uni[natureza]"),"repasse.cef.obra",
INDIRECT("rec.uni[empresa]"),AL$6)</f>
        <v>0</v>
      </c>
      <c r="AM30" s="178">
        <f ca="1">SUMIFS(rec.uni[2023-04-01],
INDIRECT("rec.uni[natureza]"),"repasse.cef.terreno",
INDIRECT("rec.uni[empresa]"),AM$6)</f>
        <v>0</v>
      </c>
      <c r="AN30" s="178">
        <v>0</v>
      </c>
      <c r="AO30" s="178">
        <f ca="1">SUMIFS(rec.uni[2023-04-01],
INDIRECT("rec.uni[natureza]"),"taxa.extra",
INDIRECT("rec.uni[empresa]"),AO$6)</f>
        <v>0</v>
      </c>
      <c r="AP30" s="166"/>
      <c r="AQ30" s="178" cm="1">
        <f t="array" ref="AQ30">SUMPRODUCT(
  IFERROR(--desp[valor],0)*
  (desp[nucleo]="UP SELECT VILA SONIA")*
  (desp[categoria]=AQ$7)*
  (desp[data.pagamento]&gt;=$A30)*
  (desp[data.pagamento]&lt;EOMONTH($A30,0)+1)
)</f>
        <v>0</v>
      </c>
      <c r="AR30" s="178" cm="1">
        <f t="array" ref="AR30">SUMPRODUCT(
  IFERROR(--desp[valor],0)*
  (desp[nucleo]="UP SELECT VILA SONIA")*
  (desp[categoria]=AR$7)*
  (desp[data.pagamento]&gt;=$A30)*
  (desp[data.pagamento]&lt;EOMONTH($A30,0)+1)
)</f>
        <v>0</v>
      </c>
      <c r="AS30" s="178" cm="1">
        <f t="array" ref="AS30">SUMPRODUCT(
  IFERROR(--desp[valor],0)*
  (desp[nucleo]="UP SELECT VILA SONIA")*
  (desp[categoria]=AS$7)*
  (desp[data.pagamento]&gt;=$A30)*
  (desp[data.pagamento]&lt;EOMONTH($A30,0)+1)
)</f>
        <v>0</v>
      </c>
      <c r="AT30" s="178" cm="1">
        <f t="array" ref="AT30">SUMPRODUCT(
  IFERROR(--desp[valor],0)*
  (desp[nucleo]="UP SELECT VILA SONIA")*
  (desp[categoria]=AT$7)*
  (desp[data.pagamento]&gt;=$A30)*
  (desp[data.pagamento]&lt;EOMONTH($A30,0)+1)
)</f>
        <v>0</v>
      </c>
      <c r="AU30" s="179" cm="1">
        <f t="array" ref="AU30">SUMPRODUCT(
  IFERROR(--desp[valor],0)*
  (desp[nucleo]="UP SELECT VILA SONIA")*
  (desp[categoria]=AU$7)*
  (desp[data.pagamento]&gt;=$A30)*
  (desp[data.pagamento]&lt;EOMONTH($A30,0)+1)
)</f>
        <v>0</v>
      </c>
      <c r="AV30" s="177">
        <f>COUNTIFS(
    estq[empresa], AV$6,
    estq[Data da venda / reserva], "&gt;=" &amp; $A30,
    estq[Data da venda / reserva], "&lt;"  &amp; EOMONTH($A30,0) + 1
)</f>
        <v>0</v>
      </c>
      <c r="AW30" s="178">
        <f ca="1">SUMIFS(rec.uni[2023-04-01],
INDIRECT("rec.uni[natureza]"),"pro.soluto",
INDIRECT("rec.uni[empresa]"),AW$6)</f>
        <v>0</v>
      </c>
      <c r="AX30" s="178">
        <f ca="1">SUMIFS(rec.uni[2023-04-01],
INDIRECT("rec.uni[natureza]"),"repasse.cef.obra",
INDIRECT("rec.uni[empresa]"),AX$6)</f>
        <v>0</v>
      </c>
      <c r="AY30" s="178">
        <f ca="1">SUMIFS(rec.uni[2023-04-01],
INDIRECT("rec.uni[natureza]"),"repasse.cef.terreno",
INDIRECT("rec.uni[empresa]"),AY$6)</f>
        <v>0</v>
      </c>
      <c r="AZ30" s="178">
        <v>0</v>
      </c>
      <c r="BA30" s="178">
        <f ca="1">SUMIFS(rec.uni[2023-04-01],
INDIRECT("rec.uni[natureza]"),"taxa.extra",
INDIRECT("rec.uni[empresa]"),BA$6)</f>
        <v>0</v>
      </c>
      <c r="BB30" s="166"/>
      <c r="BC30" s="178" cm="1">
        <f t="array" ref="BC30">SUMPRODUCT(
  IFERROR(--desp[valor],0)*
  (desp[nucleo]="UP ESTAÇÃO SÃO LUCAS")*
  (desp[categoria]=BC$7)*
  (desp[data.pagamento]&gt;=$A30)*
  (desp[data.pagamento]&lt;EOMONTH($A30,0)+1)
)</f>
        <v>0</v>
      </c>
      <c r="BD30" s="178" cm="1">
        <f t="array" ref="BD30">SUMPRODUCT(
  IFERROR(--desp[valor],0)*
  (desp[nucleo]="UP ESTAÇÃO SÃO LUCAS")*
  (desp[categoria]=BD$7)*
  (desp[data.pagamento]&gt;=$A30)*
  (desp[data.pagamento]&lt;EOMONTH($A30,0)+1)
)</f>
        <v>0</v>
      </c>
      <c r="BE30" s="178" cm="1">
        <f t="array" ref="BE30">SUMPRODUCT(
  IFERROR(--desp[valor],0)*
  (desp[nucleo]="UP ESTAÇÃO SÃO LUCAS")*
  (desp[categoria]=BE$7)*
  (desp[data.pagamento]&gt;=$A30)*
  (desp[data.pagamento]&lt;EOMONTH($A30,0)+1)
)</f>
        <v>0</v>
      </c>
      <c r="BF30" s="178" cm="1">
        <f t="array" ref="BF30">SUMPRODUCT(
  IFERROR(--desp[valor],0)*
  (desp[nucleo]="UP ESTAÇÃO SÃO LUCAS")*
  (desp[categoria]=BF$7)*
  (desp[data.pagamento]&gt;=$A30)*
  (desp[data.pagamento]&lt;EOMONTH($A30,0)+1)
)</f>
        <v>0</v>
      </c>
      <c r="BG30" s="179" cm="1">
        <f t="array" ref="BG30">SUMPRODUCT(
  IFERROR(--desp[valor],0)*
  (desp[nucleo]="UP ESTAÇÃO SÃO LUCAS")*
  (desp[categoria]=BG$7)*
  (desp[data.pagamento]&gt;=$A30)*
  (desp[data.pagamento]&lt;EOMONTH($A30,0)+1)
)</f>
        <v>0</v>
      </c>
      <c r="BH30" s="177">
        <f>COUNTIFS(
    estq[empresa], BH$6,
    estq[Data da venda / reserva], "&gt;=" &amp; $A30,
    estq[Data da venda / reserva], "&lt;"  &amp; EOMONTH($A30,0) + 1
)</f>
        <v>0</v>
      </c>
      <c r="BI30" s="178">
        <f ca="1">SUMIFS(rec.uni[2023-04-01],
INDIRECT("rec.uni[natureza]"),"pro.soluto",
INDIRECT("rec.uni[empresa]"),BI$6)</f>
        <v>0</v>
      </c>
      <c r="BJ30" s="166">
        <v>0</v>
      </c>
      <c r="BK30" s="178">
        <f ca="1">SUMIFS(rec.uni[2023-04-01],
INDIRECT("rec.uni[natureza]"),"taxa.extra",
INDIRECT("rec.uni[empresa]"),BK$6)</f>
        <v>0</v>
      </c>
      <c r="BL30" s="166"/>
      <c r="BM30" s="178" cm="1">
        <f t="array" ref="BM30">SUMPRODUCT(
  IFERROR(--desp[valor],0)*
  (desp[nucleo]="UP POMPEIA")*
  (desp[categoria]=BM$7)*
  (desp[data.pagamento]&gt;=$A30)*
  (desp[data.pagamento]&lt;EOMONTH($A30,0)+1)
)</f>
        <v>0</v>
      </c>
      <c r="BN30" s="178" cm="1">
        <f t="array" ref="BN30">SUMPRODUCT(
  IFERROR(--desp[valor],0)*
  (desp[nucleo]="UP POMPEIA")*
  (desp[categoria]=BN$7)*
  (desp[data.pagamento]&gt;=$A30)*
  (desp[data.pagamento]&lt;EOMONTH($A30,0)+1)
)</f>
        <v>0</v>
      </c>
      <c r="BO30" s="178" cm="1">
        <f t="array" ref="BO30">SUMPRODUCT(
  IFERROR(--desp[valor],0)*
  (desp[nucleo]="UP POMPEIA")*
  (desp[categoria]=BO$7)*
  (desp[data.pagamento]&gt;=$A30)*
  (desp[data.pagamento]&lt;EOMONTH($A30,0)+1)
)</f>
        <v>0</v>
      </c>
      <c r="BP30" s="178" cm="1">
        <f t="array" ref="BP30">SUMPRODUCT(
  IFERROR(--desp[valor],0)*
  (desp[nucleo]="UP POMPEIA")*
  (desp[categoria]=BP$7)*
  (desp[data.pagamento]&gt;=$A30)*
  (desp[data.pagamento]&lt;EOMONTH($A30,0)+1)
)</f>
        <v>0</v>
      </c>
      <c r="BQ30" s="179" cm="1">
        <f t="array" ref="BQ30">SUMPRODUCT(
  IFERROR(--desp[valor],0)*
  (desp[nucleo]="UP POMPEIA")*
  (desp[categoria]=BQ$7)*
  (desp[data.pagamento]&gt;=$A30)*
  (desp[data.pagamento]&lt;EOMONTH($A30,0)+1)
)</f>
        <v>0</v>
      </c>
      <c r="BR30" s="177">
        <f>COUNTIFS(
    estq[empresa], BR$6,
    estq[Data da venda / reserva], "&gt;=" &amp; $A30,
    estq[Data da venda / reserva], "&lt;"  &amp; EOMONTH($A30,0) + 1
)</f>
        <v>0</v>
      </c>
      <c r="BS30" s="178">
        <f ca="1">SUMIFS(rec.uni[2023-04-01],
INDIRECT("rec.uni[natureza]"),"pro.soluto",
INDIRECT("rec.uni[empresa]"),BS$6)</f>
        <v>0</v>
      </c>
      <c r="BT30" s="178">
        <f ca="1">SUMIFS(rec.uni[2023-04-01],
INDIRECT("rec.uni[natureza]"),"pro.soluto",
INDIRECT("rec.uni[empresa]"),BT$6)</f>
        <v>0</v>
      </c>
      <c r="BU30" s="178">
        <f ca="1">SUMIFS(rec.uni[2023-04-01],
INDIRECT("rec.uni[natureza]"),"taxa.extra",
INDIRECT("rec.uni[empresa]"),BU$6)</f>
        <v>0</v>
      </c>
      <c r="BV30" s="166"/>
      <c r="BW30" s="178" cm="1">
        <f t="array" ref="BW30">SUMPRODUCT(
  IFERROR(--desp[valor],0)*
  (desp[nucleo]="UP SAUDE")*
  (desp[categoria]=BW$7)*
  (desp[data.pagamento]&gt;=$A30)*
  (desp[data.pagamento]&lt;EOMONTH($A30,0)+1)
)</f>
        <v>0</v>
      </c>
      <c r="BX30" s="178" cm="1">
        <f t="array" ref="BX30">SUMPRODUCT(
  IFERROR(--desp[valor],0)*
  (desp[nucleo]="UP SAUDE")*
  (desp[categoria]=BX$7)*
  (desp[data.pagamento]&gt;=$A30)*
  (desp[data.pagamento]&lt;EOMONTH($A30,0)+1)
)</f>
        <v>0</v>
      </c>
      <c r="BY30" s="178" cm="1">
        <f t="array" ref="BY30">SUMPRODUCT(
  IFERROR(--desp[valor],0)*
  (desp[nucleo]="UP SAUDE")*
  (desp[categoria]=BY$7)*
  (desp[data.pagamento]&gt;=$A30)*
  (desp[data.pagamento]&lt;EOMONTH($A30,0)+1)
)</f>
        <v>0</v>
      </c>
      <c r="BZ30" s="178" cm="1">
        <f t="array" ref="BZ30">SUMPRODUCT(
  IFERROR(--desp[valor],0)*
  (desp[nucleo]="UP SAUDE")*
  (desp[categoria]=BZ$7)*
  (desp[data.pagamento]&gt;=$A30)*
  (desp[data.pagamento]&lt;EOMONTH($A30,0)+1)
)</f>
        <v>0</v>
      </c>
      <c r="CA30" s="179" cm="1">
        <f t="array" ref="CA30">SUMPRODUCT(
  IFERROR(--desp[valor],0)*
  (desp[nucleo]="UP SAUDE")*
  (desp[categoria]=CA$7)*
  (desp[data.pagamento]&gt;=$A30)*
  (desp[data.pagamento]&lt;EOMONTH($A30,0)+1)
)</f>
        <v>0</v>
      </c>
      <c r="CB30" s="177">
        <f>COUNTIFS(
    estq[empresa], CB$6,
    estq[Data da venda / reserva], "&gt;=" &amp; $A30,
    estq[Data da venda / reserva], "&lt;"  &amp; EOMONTH($A30,0) + 1
)</f>
        <v>0</v>
      </c>
      <c r="CC30" s="178">
        <f ca="1">SUMIFS(rec.uni[2023-04-01],
INDIRECT("rec.uni[natureza]"),"pro.soluto",
INDIRECT("rec.uni[empresa]"),CC$6)</f>
        <v>0</v>
      </c>
      <c r="CD30" s="178">
        <f ca="1">SUMIFS(rec.uni[2023-04-01],
INDIRECT("rec.uni[natureza]"),"repasse.cef.obra",
INDIRECT("rec.uni[empresa]"),CD$6)</f>
        <v>0</v>
      </c>
      <c r="CE30" s="178">
        <f ca="1">SUMIFS(rec.uni[2023-04-01],
INDIRECT("rec.uni[natureza]"),"repasse.cef.terreno",
INDIRECT("rec.uni[empresa]"),CE$6)</f>
        <v>0</v>
      </c>
      <c r="CF30" s="178">
        <v>0</v>
      </c>
      <c r="CG30" s="178">
        <f ca="1">SUMIFS(rec.uni[2023-04-01],
INDIRECT("rec.uni[natureza]"),"taxa.extra",
INDIRECT("rec.uni[empresa]"),CG$6)</f>
        <v>0</v>
      </c>
      <c r="CH30" s="166"/>
      <c r="CI30" s="178" cm="1">
        <f t="array" ref="CI30">SUMPRODUCT(
  IFERROR(--desp[valor],0)*
  (desp[nucleo]="UP ESTAÇÃO VILA SONIA")*
  (desp[categoria]=CI$7)*
  (desp[data.pagamento]&gt;=$A30)*
  (desp[data.pagamento]&lt;EOMONTH($A30,0)+1)
)</f>
        <v>0</v>
      </c>
      <c r="CJ30" s="178" cm="1">
        <f t="array" ref="CJ30">SUMPRODUCT(
  IFERROR(--desp[valor],0)*
  (desp[nucleo]="UP ESTAÇÃO VILA SONIA")*
  (desp[categoria]=CJ$7)*
  (desp[data.pagamento]&gt;=$A30)*
  (desp[data.pagamento]&lt;EOMONTH($A30,0)+1)
)</f>
        <v>0</v>
      </c>
      <c r="CK30" s="178" cm="1">
        <f t="array" ref="CK30">SUMPRODUCT(
  IFERROR(--desp[valor],0)*
  (desp[nucleo]="UP ESTAÇÃO VILA SONIA")*
  (desp[categoria]=CK$7)*
  (desp[data.pagamento]&gt;=$A30)*
  (desp[data.pagamento]&lt;EOMONTH($A30,0)+1)
)</f>
        <v>0</v>
      </c>
      <c r="CL30" s="178" cm="1">
        <f t="array" ref="CL30">SUMPRODUCT(
  IFERROR(--desp[valor],0)*
  (desp[nucleo]="UP ESTAÇÃO VILA SONIA")*
  (desp[categoria]=CL$7)*
  (desp[data.pagamento]&gt;=$A30)*
  (desp[data.pagamento]&lt;EOMONTH($A30,0)+1)
)</f>
        <v>0</v>
      </c>
      <c r="CM30" s="179" cm="1">
        <f t="array" ref="CM30">SUMPRODUCT(
  IFERROR(--desp[valor],0)*
  (desp[nucleo]="UP ESTAÇÃO VILA SONIA")*
  (desp[categoria]=CM$7)*
  (desp[data.pagamento]&gt;=$A30)*
  (desp[data.pagamento]&lt;EOMONTH($A30,0)+1)
)</f>
        <v>0</v>
      </c>
      <c r="CN30" s="177">
        <f>COUNTIFS(
    estq[empresa], CN$6,
    estq[Data da venda / reserva], "&gt;=" &amp; $A30,
    estq[Data da venda / reserva], "&lt;"  &amp; EOMONTH($A30,0) + 1
)</f>
        <v>0</v>
      </c>
      <c r="CO30" s="178">
        <f ca="1">SUMIFS(rec.uni[2023-04-01],
INDIRECT("rec.uni[natureza]"),"pro.soluto",
INDIRECT("rec.uni[empresa]"),CO$6)</f>
        <v>0</v>
      </c>
      <c r="CP30" s="178">
        <f ca="1">SUMIFS(rec.uni[2023-04-01],
INDIRECT("rec.uni[natureza]"),"repasse.cef.obra",
INDIRECT("rec.uni[empresa]"),CP$6)</f>
        <v>0</v>
      </c>
      <c r="CQ30" s="178">
        <f ca="1">SUMIFS(rec.uni[2023-04-01],
INDIRECT("rec.uni[natureza]"),"repasse.cef.terreno",
INDIRECT("rec.uni[empresa]"),CQ$6)</f>
        <v>0</v>
      </c>
      <c r="CR30" s="178">
        <v>0</v>
      </c>
      <c r="CS30" s="178">
        <f ca="1">SUMIFS(rec.uni[2023-04-01],
INDIRECT("rec.uni[natureza]"),"taxa.extra",
INDIRECT("rec.uni[empresa]"),CS$6)</f>
        <v>0</v>
      </c>
      <c r="CT30" s="166"/>
      <c r="CU30" s="178" cm="1">
        <f t="array" ref="CU30">SUMPRODUCT(
  IFERROR(--desp[valor],0)*
  (desp[nucleo]="UP MOVE VILA SONIA")*
  (desp[categoria]=CU$7)*
  (desp[data.pagamento]&gt;=$A30)*
  (desp[data.pagamento]&lt;EOMONTH($A30,0)+1)
)</f>
        <v>0</v>
      </c>
      <c r="CV30" s="178" cm="1">
        <f t="array" ref="CV30">SUMPRODUCT(
  IFERROR(--desp[valor],0)*
  (desp[nucleo]="UP MOVE VILA SONIA")*
  (desp[categoria]=CV$7)*
  (desp[data.pagamento]&gt;=$A30)*
  (desp[data.pagamento]&lt;EOMONTH($A30,0)+1)
)</f>
        <v>0</v>
      </c>
      <c r="CW30" s="178" cm="1">
        <f t="array" ref="CW30">SUMPRODUCT(
  IFERROR(--desp[valor],0)*
  (desp[nucleo]="UP MOVE VILA SONIA")*
  (desp[categoria]=CW$7)*
  (desp[data.pagamento]&gt;=$A30)*
  (desp[data.pagamento]&lt;EOMONTH($A30,0)+1)
)</f>
        <v>0</v>
      </c>
      <c r="CX30" s="178" cm="1">
        <f t="array" ref="CX30">SUMPRODUCT(
  IFERROR(--desp[valor],0)*
  (desp[nucleo]="UP MOVE VILA SONIA")*
  (desp[categoria]=CX$7)*
  (desp[data.pagamento]&gt;=$A30)*
  (desp[data.pagamento]&lt;EOMONTH($A30,0)+1)
)</f>
        <v>0</v>
      </c>
      <c r="CY30" s="180" cm="1">
        <f t="array" ref="CY30">SUMPRODUCT(
  IFERROR(--desp[valor],0)*
  (desp[nucleo]="UP MOVE VILA SONIA")*
  (desp[categoria]=CY$7)*
  (desp[data.pagamento]&gt;=$A30)*
  (desp[data.pagamento]&lt;EOMONTH($A30,0)+1)
)</f>
        <v>0</v>
      </c>
    </row>
    <row r="31" spans="1:103" x14ac:dyDescent="0.25">
      <c r="A31" s="176">
        <v>45047</v>
      </c>
      <c r="B31" s="177">
        <f>COUNTIFS(
    estq[empresa], B$6,
    estq[Data da venda / reserva], "&gt;=" &amp; $A31,
    estq[Data da venda / reserva], "&lt;"  &amp; EOMONTH($A31,0) + 1
)</f>
        <v>0</v>
      </c>
      <c r="C31" s="178">
        <f ca="1">SUMIFS(rec.uni[2023-05-01],
INDIRECT("rec.uni[natureza]"),"pro.soluto",
INDIRECT("rec.uni[empresa]"),C$6)</f>
        <v>0</v>
      </c>
      <c r="D31" s="178">
        <f ca="1">SUMIFS(rec.uni[2023-05-01],
INDIRECT("rec.uni[natureza]"),"repasse.cef.obra",
INDIRECT("rec.uni[empresa]"),D$6)</f>
        <v>0</v>
      </c>
      <c r="E31" s="178">
        <f ca="1">SUMIFS(rec.uni[2023-05-01],
INDIRECT("rec.uni[natureza]"),"repasse.cef.terreno",
INDIRECT("rec.uni[empresa]"),E$6)</f>
        <v>0</v>
      </c>
      <c r="F31" s="178">
        <v>0</v>
      </c>
      <c r="G31" s="178">
        <f ca="1">SUMIFS(rec.uni[2023-05-01],
INDIRECT("rec.uni[natureza]"),"taxa.extra",
INDIRECT("rec.uni[empresa]"),G$6)</f>
        <v>0</v>
      </c>
      <c r="H31" s="166"/>
      <c r="I31" s="178" cm="1">
        <f t="array" ref="I31">SUMPRODUCT(
  IFERROR(--desp[valor],0)*
  (desp[nucleo]="UP JARDIM PRUDENCIA")*
  (desp[categoria]=I$7)*
  (desp[data.pagamento]&gt;=$A31)*
  (desp[data.pagamento]&lt;EOMONTH($A31,0)+1)
)</f>
        <v>0</v>
      </c>
      <c r="J31" s="178" cm="1">
        <f t="array" ref="J31">SUMPRODUCT(
  IFERROR(--desp[valor],0)*
  (desp[nucleo]="UP JARDIM PRUDENCIA")*
  (desp[categoria]=J$7)*
  (desp[data.pagamento]&gt;=$A31)*
  (desp[data.pagamento]&lt;EOMONTH($A31,0)+1)
)</f>
        <v>0</v>
      </c>
      <c r="K31" s="178" cm="1">
        <f t="array" ref="K31">SUMPRODUCT(
  IFERROR(--desp[valor],0)*
  (desp[nucleo]="UP JARDIM PRUDENCIA")*
  (desp[categoria]=K$7)*
  (desp[data.pagamento]&gt;=$A31)*
  (desp[data.pagamento]&lt;EOMONTH($A31,0)+1)
)</f>
        <v>0</v>
      </c>
      <c r="L31" s="178" cm="1">
        <f t="array" ref="L31">SUMPRODUCT(
  IFERROR(--desp[valor],0)*
  (desp[nucleo]="UP JARDIM PRUDENCIA")*
  (desp[categoria]=L$7)*
  (desp[data.pagamento]&gt;=$A31)*
  (desp[data.pagamento]&lt;EOMONTH($A31,0)+1)
)</f>
        <v>0</v>
      </c>
      <c r="M31" s="179" cm="1">
        <f t="array" ref="M31">SUMPRODUCT(
  IFERROR(--desp[valor],0)*
  (desp[nucleo]="UP JARDIM PRUDENCIA")*
  (desp[categoria]=M$7)*
  (desp[data.pagamento]&gt;=$A31)*
  (desp[data.pagamento]&lt;EOMONTH($A31,0)+1)
)</f>
        <v>0</v>
      </c>
      <c r="N31" s="177">
        <f>COUNTIFS(
    estq[empresa], N$6,
    estq[Data da venda / reserva], "&gt;=" &amp; $A31,
    estq[Data da venda / reserva], "&lt;"  &amp; EOMONTH($A31,0) + 1
)</f>
        <v>0</v>
      </c>
      <c r="O31" s="178">
        <f ca="1">SUMIFS(rec.uni[2023-05-01],
INDIRECT("rec.uni[natureza]"),"pro.soluto",
INDIRECT("rec.uni[empresa]"),O$6)</f>
        <v>0</v>
      </c>
      <c r="P31" s="178">
        <f ca="1">SUMIFS(rec.uni[2023-05-01],
INDIRECT("rec.uni[natureza]"),"repasse.cef.obra",
INDIRECT("rec.uni[empresa]"),P$6)</f>
        <v>0</v>
      </c>
      <c r="Q31" s="178">
        <f ca="1">SUMIFS(rec.uni[2023-05-01],
INDIRECT("rec.uni[natureza]"),"repasse.cef.terreno",
INDIRECT("rec.uni[empresa]"),Q$6)</f>
        <v>0</v>
      </c>
      <c r="R31" s="178">
        <v>0</v>
      </c>
      <c r="S31" s="178">
        <f ca="1">SUMIFS(rec.uni[2023-05-01],
INDIRECT("rec.uni[natureza]"),"taxa.extra",
INDIRECT("rec.uni[empresa]"),S$6)</f>
        <v>0</v>
      </c>
      <c r="T31" s="166"/>
      <c r="U31" s="178" cm="1">
        <f t="array" ref="U31">SUMPRODUCT(
  IFERROR(--desp[valor],0)*
  (desp[nucleo]="UP VILA SONIA")*
  (desp[categoria]=U$7)*
  (desp[data.pagamento]&gt;=$A31)*
  (desp[data.pagamento]&lt;EOMONTH($A31,0)+1)
)</f>
        <v>0</v>
      </c>
      <c r="V31" s="178" cm="1">
        <f t="array" ref="V31">SUMPRODUCT(
  IFERROR(--desp[valor],0)*
  (desp[nucleo]="UP VILA SONIA")*
  (desp[categoria]=V$7)*
  (desp[data.pagamento]&gt;=$A31)*
  (desp[data.pagamento]&lt;EOMONTH($A31,0)+1)
)</f>
        <v>0</v>
      </c>
      <c r="W31" s="178" cm="1">
        <f t="array" ref="W31">SUMPRODUCT(
  IFERROR(--desp[valor],0)*
  (desp[nucleo]="UP VILA SONIA")*
  (desp[categoria]=W$7)*
  (desp[data.pagamento]&gt;=$A31)*
  (desp[data.pagamento]&lt;EOMONTH($A31,0)+1)
)</f>
        <v>0</v>
      </c>
      <c r="X31" s="178" cm="1">
        <f t="array" ref="X31">SUMPRODUCT(
  IFERROR(--desp[valor],0)*
  (desp[nucleo]="UP VILA SONIA")*
  (desp[categoria]=X$7)*
  (desp[data.pagamento]&gt;=$A31)*
  (desp[data.pagamento]&lt;EOMONTH($A31,0)+1)
)</f>
        <v>0</v>
      </c>
      <c r="Y31" s="179" cm="1">
        <f t="array" ref="Y31">SUMPRODUCT(
  IFERROR(--desp[valor],0)*
  (desp[nucleo]="UP VILA SONIA")*
  (desp[categoria]=Y$7)*
  (desp[data.pagamento]&gt;=$A31)*
  (desp[data.pagamento]&lt;EOMONTH($A31,0)+1)
)</f>
        <v>0</v>
      </c>
      <c r="Z31" s="177">
        <f>COUNTIFS(
    estq[empresa], Z$6,
    estq[Data da venda / reserva], "&gt;=" &amp; $A31,
    estq[Data da venda / reserva], "&lt;"  &amp; EOMONTH($A31,0) + 1
)</f>
        <v>0</v>
      </c>
      <c r="AA31" s="178">
        <f ca="1">SUMIFS(rec.uni[2023-05-01],
INDIRECT("rec.uni[natureza]"),"pro.soluto",
INDIRECT("rec.uni[empresa]"),AA$6)</f>
        <v>0</v>
      </c>
      <c r="AB31" s="178">
        <f ca="1">SUMIFS(rec.uni[2023-05-01],
INDIRECT("rec.uni[natureza]"),"pro.soluto",
INDIRECT("rec.uni[empresa]"),AB$6)</f>
        <v>0</v>
      </c>
      <c r="AC31" s="178">
        <f ca="1">SUMIFS(rec.uni[2023-05-01],
INDIRECT("rec.uni[natureza]"),"taxa.extra",
INDIRECT("rec.uni[empresa]"),AC$6)</f>
        <v>0</v>
      </c>
      <c r="AD31" s="166"/>
      <c r="AE31" s="178" cm="1">
        <f t="array" ref="AE31">SUMPRODUCT(
  IFERROR(--desp[valor],0)*
  (desp[nucleo]="UP CAMPO BELO")*
  (desp[categoria]=AE$7)*
  (desp[data.pagamento]&gt;=$A31)*
  (desp[data.pagamento]&lt;EOMONTH($A31,0)+1)
)</f>
        <v>0</v>
      </c>
      <c r="AF31" s="178" cm="1">
        <f t="array" ref="AF31">SUMPRODUCT(
  IFERROR(--desp[valor],0)*
  (desp[nucleo]="UP CAMPO BELO")*
  (desp[categoria]=AF$7)*
  (desp[data.pagamento]&gt;=$A31)*
  (desp[data.pagamento]&lt;EOMONTH($A31,0)+1)
)</f>
        <v>0</v>
      </c>
      <c r="AG31" s="178" cm="1">
        <f t="array" ref="AG31">SUMPRODUCT(
  IFERROR(--desp[valor],0)*
  (desp[nucleo]="UP CAMPO BELO")*
  (desp[categoria]=AG$7)*
  (desp[data.pagamento]&gt;=$A31)*
  (desp[data.pagamento]&lt;EOMONTH($A31,0)+1)
)</f>
        <v>0</v>
      </c>
      <c r="AH31" s="178" cm="1">
        <f t="array" ref="AH31">SUMPRODUCT(
  IFERROR(--desp[valor],0)*
  (desp[nucleo]="UP CAMPO BELO")*
  (desp[categoria]=AH$7)*
  (desp[data.pagamento]&gt;=$A31)*
  (desp[data.pagamento]&lt;EOMONTH($A31,0)+1)
)</f>
        <v>0</v>
      </c>
      <c r="AI31" s="179" cm="1">
        <f t="array" ref="AI31">SUMPRODUCT(
  IFERROR(--desp[valor],0)*
  (desp[nucleo]="UP CAMPO BELO")*
  (desp[categoria]=AI$7)*
  (desp[data.pagamento]&gt;=$A31)*
  (desp[data.pagamento]&lt;EOMONTH($A31,0)+1)
)</f>
        <v>0</v>
      </c>
      <c r="AJ31" s="177">
        <f>COUNTIFS(
    estq[empresa], AJ$6,
    estq[Data da venda / reserva], "&gt;=" &amp; $A31,
    estq[Data da venda / reserva], "&lt;"  &amp; EOMONTH($A31,0) + 1
)</f>
        <v>0</v>
      </c>
      <c r="AK31" s="178">
        <f ca="1">SUMIFS(rec.uni[2023-05-01],
INDIRECT("rec.uni[natureza]"),"pro.soluto",
INDIRECT("rec.uni[empresa]"),AK$6)</f>
        <v>0</v>
      </c>
      <c r="AL31" s="178">
        <f ca="1">SUMIFS(rec.uni[2023-05-01],
INDIRECT("rec.uni[natureza]"),"repasse.cef.obra",
INDIRECT("rec.uni[empresa]"),AL$6)</f>
        <v>0</v>
      </c>
      <c r="AM31" s="178">
        <f ca="1">SUMIFS(rec.uni[2023-05-01],
INDIRECT("rec.uni[natureza]"),"repasse.cef.terreno",
INDIRECT("rec.uni[empresa]"),AM$6)</f>
        <v>0</v>
      </c>
      <c r="AN31" s="178">
        <v>0</v>
      </c>
      <c r="AO31" s="178">
        <f ca="1">SUMIFS(rec.uni[2023-05-01],
INDIRECT("rec.uni[natureza]"),"taxa.extra",
INDIRECT("rec.uni[empresa]"),AO$6)</f>
        <v>0</v>
      </c>
      <c r="AP31" s="166"/>
      <c r="AQ31" s="178" cm="1">
        <f t="array" ref="AQ31">SUMPRODUCT(
  IFERROR(--desp[valor],0)*
  (desp[nucleo]="UP SELECT VILA SONIA")*
  (desp[categoria]=AQ$7)*
  (desp[data.pagamento]&gt;=$A31)*
  (desp[data.pagamento]&lt;EOMONTH($A31,0)+1)
)</f>
        <v>0</v>
      </c>
      <c r="AR31" s="178" cm="1">
        <f t="array" ref="AR31">SUMPRODUCT(
  IFERROR(--desp[valor],0)*
  (desp[nucleo]="UP SELECT VILA SONIA")*
  (desp[categoria]=AR$7)*
  (desp[data.pagamento]&gt;=$A31)*
  (desp[data.pagamento]&lt;EOMONTH($A31,0)+1)
)</f>
        <v>0</v>
      </c>
      <c r="AS31" s="178" cm="1">
        <f t="array" ref="AS31">SUMPRODUCT(
  IFERROR(--desp[valor],0)*
  (desp[nucleo]="UP SELECT VILA SONIA")*
  (desp[categoria]=AS$7)*
  (desp[data.pagamento]&gt;=$A31)*
  (desp[data.pagamento]&lt;EOMONTH($A31,0)+1)
)</f>
        <v>0</v>
      </c>
      <c r="AT31" s="178" cm="1">
        <f t="array" ref="AT31">SUMPRODUCT(
  IFERROR(--desp[valor],0)*
  (desp[nucleo]="UP SELECT VILA SONIA")*
  (desp[categoria]=AT$7)*
  (desp[data.pagamento]&gt;=$A31)*
  (desp[data.pagamento]&lt;EOMONTH($A31,0)+1)
)</f>
        <v>0</v>
      </c>
      <c r="AU31" s="179" cm="1">
        <f t="array" ref="AU31">SUMPRODUCT(
  IFERROR(--desp[valor],0)*
  (desp[nucleo]="UP SELECT VILA SONIA")*
  (desp[categoria]=AU$7)*
  (desp[data.pagamento]&gt;=$A31)*
  (desp[data.pagamento]&lt;EOMONTH($A31,0)+1)
)</f>
        <v>0</v>
      </c>
      <c r="AV31" s="177">
        <f>COUNTIFS(
    estq[empresa], AV$6,
    estq[Data da venda / reserva], "&gt;=" &amp; $A31,
    estq[Data da venda / reserva], "&lt;"  &amp; EOMONTH($A31,0) + 1
)</f>
        <v>0</v>
      </c>
      <c r="AW31" s="178">
        <f ca="1">SUMIFS(rec.uni[2023-05-01],
INDIRECT("rec.uni[natureza]"),"pro.soluto",
INDIRECT("rec.uni[empresa]"),AW$6)</f>
        <v>0</v>
      </c>
      <c r="AX31" s="178">
        <f ca="1">SUMIFS(rec.uni[2023-05-01],
INDIRECT("rec.uni[natureza]"),"repasse.cef.obra",
INDIRECT("rec.uni[empresa]"),AX$6)</f>
        <v>0</v>
      </c>
      <c r="AY31" s="178">
        <f ca="1">SUMIFS(rec.uni[2023-05-01],
INDIRECT("rec.uni[natureza]"),"repasse.cef.terreno",
INDIRECT("rec.uni[empresa]"),AY$6)</f>
        <v>0</v>
      </c>
      <c r="AZ31" s="178">
        <v>0</v>
      </c>
      <c r="BA31" s="178">
        <f ca="1">SUMIFS(rec.uni[2023-05-01],
INDIRECT("rec.uni[natureza]"),"taxa.extra",
INDIRECT("rec.uni[empresa]"),BA$6)</f>
        <v>0</v>
      </c>
      <c r="BB31" s="166"/>
      <c r="BC31" s="178" cm="1">
        <f t="array" ref="BC31">SUMPRODUCT(
  IFERROR(--desp[valor],0)*
  (desp[nucleo]="UP ESTAÇÃO SÃO LUCAS")*
  (desp[categoria]=BC$7)*
  (desp[data.pagamento]&gt;=$A31)*
  (desp[data.pagamento]&lt;EOMONTH($A31,0)+1)
)</f>
        <v>0</v>
      </c>
      <c r="BD31" s="178" cm="1">
        <f t="array" ref="BD31">SUMPRODUCT(
  IFERROR(--desp[valor],0)*
  (desp[nucleo]="UP ESTAÇÃO SÃO LUCAS")*
  (desp[categoria]=BD$7)*
  (desp[data.pagamento]&gt;=$A31)*
  (desp[data.pagamento]&lt;EOMONTH($A31,0)+1)
)</f>
        <v>0</v>
      </c>
      <c r="BE31" s="178" cm="1">
        <f t="array" ref="BE31">SUMPRODUCT(
  IFERROR(--desp[valor],0)*
  (desp[nucleo]="UP ESTAÇÃO SÃO LUCAS")*
  (desp[categoria]=BE$7)*
  (desp[data.pagamento]&gt;=$A31)*
  (desp[data.pagamento]&lt;EOMONTH($A31,0)+1)
)</f>
        <v>0</v>
      </c>
      <c r="BF31" s="178" cm="1">
        <f t="array" ref="BF31">SUMPRODUCT(
  IFERROR(--desp[valor],0)*
  (desp[nucleo]="UP ESTAÇÃO SÃO LUCAS")*
  (desp[categoria]=BF$7)*
  (desp[data.pagamento]&gt;=$A31)*
  (desp[data.pagamento]&lt;EOMONTH($A31,0)+1)
)</f>
        <v>0</v>
      </c>
      <c r="BG31" s="179" cm="1">
        <f t="array" ref="BG31">SUMPRODUCT(
  IFERROR(--desp[valor],0)*
  (desp[nucleo]="UP ESTAÇÃO SÃO LUCAS")*
  (desp[categoria]=BG$7)*
  (desp[data.pagamento]&gt;=$A31)*
  (desp[data.pagamento]&lt;EOMONTH($A31,0)+1)
)</f>
        <v>0</v>
      </c>
      <c r="BH31" s="177">
        <f>COUNTIFS(
    estq[empresa], BH$6,
    estq[Data da venda / reserva], "&gt;=" &amp; $A31,
    estq[Data da venda / reserva], "&lt;"  &amp; EOMONTH($A31,0) + 1
)</f>
        <v>0</v>
      </c>
      <c r="BI31" s="178">
        <f ca="1">SUMIFS(rec.uni[2023-05-01],
INDIRECT("rec.uni[natureza]"),"pro.soluto",
INDIRECT("rec.uni[empresa]"),BI$6)</f>
        <v>0</v>
      </c>
      <c r="BJ31" s="166">
        <v>0</v>
      </c>
      <c r="BK31" s="178">
        <f ca="1">SUMIFS(rec.uni[2023-05-01],
INDIRECT("rec.uni[natureza]"),"taxa.extra",
INDIRECT("rec.uni[empresa]"),BK$6)</f>
        <v>0</v>
      </c>
      <c r="BL31" s="166"/>
      <c r="BM31" s="178" cm="1">
        <f t="array" ref="BM31">SUMPRODUCT(
  IFERROR(--desp[valor],0)*
  (desp[nucleo]="UP POMPEIA")*
  (desp[categoria]=BM$7)*
  (desp[data.pagamento]&gt;=$A31)*
  (desp[data.pagamento]&lt;EOMONTH($A31,0)+1)
)</f>
        <v>0</v>
      </c>
      <c r="BN31" s="178" cm="1">
        <f t="array" ref="BN31">SUMPRODUCT(
  IFERROR(--desp[valor],0)*
  (desp[nucleo]="UP POMPEIA")*
  (desp[categoria]=BN$7)*
  (desp[data.pagamento]&gt;=$A31)*
  (desp[data.pagamento]&lt;EOMONTH($A31,0)+1)
)</f>
        <v>0</v>
      </c>
      <c r="BO31" s="178" cm="1">
        <f t="array" ref="BO31">SUMPRODUCT(
  IFERROR(--desp[valor],0)*
  (desp[nucleo]="UP POMPEIA")*
  (desp[categoria]=BO$7)*
  (desp[data.pagamento]&gt;=$A31)*
  (desp[data.pagamento]&lt;EOMONTH($A31,0)+1)
)</f>
        <v>0</v>
      </c>
      <c r="BP31" s="178" cm="1">
        <f t="array" ref="BP31">SUMPRODUCT(
  IFERROR(--desp[valor],0)*
  (desp[nucleo]="UP POMPEIA")*
  (desp[categoria]=BP$7)*
  (desp[data.pagamento]&gt;=$A31)*
  (desp[data.pagamento]&lt;EOMONTH($A31,0)+1)
)</f>
        <v>0</v>
      </c>
      <c r="BQ31" s="179" cm="1">
        <f t="array" ref="BQ31">SUMPRODUCT(
  IFERROR(--desp[valor],0)*
  (desp[nucleo]="UP POMPEIA")*
  (desp[categoria]=BQ$7)*
  (desp[data.pagamento]&gt;=$A31)*
  (desp[data.pagamento]&lt;EOMONTH($A31,0)+1)
)</f>
        <v>0</v>
      </c>
      <c r="BR31" s="177">
        <f>COUNTIFS(
    estq[empresa], BR$6,
    estq[Data da venda / reserva], "&gt;=" &amp; $A31,
    estq[Data da venda / reserva], "&lt;"  &amp; EOMONTH($A31,0) + 1
)</f>
        <v>0</v>
      </c>
      <c r="BS31" s="178">
        <f ca="1">SUMIFS(rec.uni[2023-05-01],
INDIRECT("rec.uni[natureza]"),"pro.soluto",
INDIRECT("rec.uni[empresa]"),BS$6)</f>
        <v>0</v>
      </c>
      <c r="BT31" s="178">
        <f ca="1">SUMIFS(rec.uni[2023-05-01],
INDIRECT("rec.uni[natureza]"),"pro.soluto",
INDIRECT("rec.uni[empresa]"),BT$6)</f>
        <v>0</v>
      </c>
      <c r="BU31" s="178">
        <f ca="1">SUMIFS(rec.uni[2023-05-01],
INDIRECT("rec.uni[natureza]"),"taxa.extra",
INDIRECT("rec.uni[empresa]"),BU$6)</f>
        <v>0</v>
      </c>
      <c r="BV31" s="166"/>
      <c r="BW31" s="178" cm="1">
        <f t="array" ref="BW31">SUMPRODUCT(
  IFERROR(--desp[valor],0)*
  (desp[nucleo]="UP SAUDE")*
  (desp[categoria]=BW$7)*
  (desp[data.pagamento]&gt;=$A31)*
  (desp[data.pagamento]&lt;EOMONTH($A31,0)+1)
)</f>
        <v>0</v>
      </c>
      <c r="BX31" s="178" cm="1">
        <f t="array" ref="BX31">SUMPRODUCT(
  IFERROR(--desp[valor],0)*
  (desp[nucleo]="UP SAUDE")*
  (desp[categoria]=BX$7)*
  (desp[data.pagamento]&gt;=$A31)*
  (desp[data.pagamento]&lt;EOMONTH($A31,0)+1)
)</f>
        <v>0</v>
      </c>
      <c r="BY31" s="178" cm="1">
        <f t="array" ref="BY31">SUMPRODUCT(
  IFERROR(--desp[valor],0)*
  (desp[nucleo]="UP SAUDE")*
  (desp[categoria]=BY$7)*
  (desp[data.pagamento]&gt;=$A31)*
  (desp[data.pagamento]&lt;EOMONTH($A31,0)+1)
)</f>
        <v>0</v>
      </c>
      <c r="BZ31" s="178" cm="1">
        <f t="array" ref="BZ31">SUMPRODUCT(
  IFERROR(--desp[valor],0)*
  (desp[nucleo]="UP SAUDE")*
  (desp[categoria]=BZ$7)*
  (desp[data.pagamento]&gt;=$A31)*
  (desp[data.pagamento]&lt;EOMONTH($A31,0)+1)
)</f>
        <v>0</v>
      </c>
      <c r="CA31" s="179" cm="1">
        <f t="array" ref="CA31">SUMPRODUCT(
  IFERROR(--desp[valor],0)*
  (desp[nucleo]="UP SAUDE")*
  (desp[categoria]=CA$7)*
  (desp[data.pagamento]&gt;=$A31)*
  (desp[data.pagamento]&lt;EOMONTH($A31,0)+1)
)</f>
        <v>0</v>
      </c>
      <c r="CB31" s="177">
        <f>COUNTIFS(
    estq[empresa], CB$6,
    estq[Data da venda / reserva], "&gt;=" &amp; $A31,
    estq[Data da venda / reserva], "&lt;"  &amp; EOMONTH($A31,0) + 1
)</f>
        <v>0</v>
      </c>
      <c r="CC31" s="178">
        <f ca="1">SUMIFS(rec.uni[2023-05-01],
INDIRECT("rec.uni[natureza]"),"pro.soluto",
INDIRECT("rec.uni[empresa]"),CC$6)</f>
        <v>0</v>
      </c>
      <c r="CD31" s="178">
        <f ca="1">SUMIFS(rec.uni[2023-05-01],
INDIRECT("rec.uni[natureza]"),"repasse.cef.obra",
INDIRECT("rec.uni[empresa]"),CD$6)</f>
        <v>0</v>
      </c>
      <c r="CE31" s="178">
        <f ca="1">SUMIFS(rec.uni[2023-05-01],
INDIRECT("rec.uni[natureza]"),"repasse.cef.terreno",
INDIRECT("rec.uni[empresa]"),CE$6)</f>
        <v>0</v>
      </c>
      <c r="CF31" s="178">
        <v>0</v>
      </c>
      <c r="CG31" s="178">
        <f ca="1">SUMIFS(rec.uni[2023-05-01],
INDIRECT("rec.uni[natureza]"),"taxa.extra",
INDIRECT("rec.uni[empresa]"),CG$6)</f>
        <v>0</v>
      </c>
      <c r="CH31" s="166"/>
      <c r="CI31" s="178" cm="1">
        <f t="array" ref="CI31">SUMPRODUCT(
  IFERROR(--desp[valor],0)*
  (desp[nucleo]="UP ESTAÇÃO VILA SONIA")*
  (desp[categoria]=CI$7)*
  (desp[data.pagamento]&gt;=$A31)*
  (desp[data.pagamento]&lt;EOMONTH($A31,0)+1)
)</f>
        <v>0</v>
      </c>
      <c r="CJ31" s="178" cm="1">
        <f t="array" ref="CJ31">SUMPRODUCT(
  IFERROR(--desp[valor],0)*
  (desp[nucleo]="UP ESTAÇÃO VILA SONIA")*
  (desp[categoria]=CJ$7)*
  (desp[data.pagamento]&gt;=$A31)*
  (desp[data.pagamento]&lt;EOMONTH($A31,0)+1)
)</f>
        <v>0</v>
      </c>
      <c r="CK31" s="178" cm="1">
        <f t="array" ref="CK31">SUMPRODUCT(
  IFERROR(--desp[valor],0)*
  (desp[nucleo]="UP ESTAÇÃO VILA SONIA")*
  (desp[categoria]=CK$7)*
  (desp[data.pagamento]&gt;=$A31)*
  (desp[data.pagamento]&lt;EOMONTH($A31,0)+1)
)</f>
        <v>0</v>
      </c>
      <c r="CL31" s="178" cm="1">
        <f t="array" ref="CL31">SUMPRODUCT(
  IFERROR(--desp[valor],0)*
  (desp[nucleo]="UP ESTAÇÃO VILA SONIA")*
  (desp[categoria]=CL$7)*
  (desp[data.pagamento]&gt;=$A31)*
  (desp[data.pagamento]&lt;EOMONTH($A31,0)+1)
)</f>
        <v>0</v>
      </c>
      <c r="CM31" s="179" cm="1">
        <f t="array" ref="CM31">SUMPRODUCT(
  IFERROR(--desp[valor],0)*
  (desp[nucleo]="UP ESTAÇÃO VILA SONIA")*
  (desp[categoria]=CM$7)*
  (desp[data.pagamento]&gt;=$A31)*
  (desp[data.pagamento]&lt;EOMONTH($A31,0)+1)
)</f>
        <v>0</v>
      </c>
      <c r="CN31" s="177">
        <f>COUNTIFS(
    estq[empresa], CN$6,
    estq[Data da venda / reserva], "&gt;=" &amp; $A31,
    estq[Data da venda / reserva], "&lt;"  &amp; EOMONTH($A31,0) + 1
)</f>
        <v>0</v>
      </c>
      <c r="CO31" s="178">
        <f ca="1">SUMIFS(rec.uni[2023-05-01],
INDIRECT("rec.uni[natureza]"),"pro.soluto",
INDIRECT("rec.uni[empresa]"),CO$6)</f>
        <v>0</v>
      </c>
      <c r="CP31" s="178">
        <f ca="1">SUMIFS(rec.uni[2023-05-01],
INDIRECT("rec.uni[natureza]"),"repasse.cef.obra",
INDIRECT("rec.uni[empresa]"),CP$6)</f>
        <v>0</v>
      </c>
      <c r="CQ31" s="178">
        <f ca="1">SUMIFS(rec.uni[2023-05-01],
INDIRECT("rec.uni[natureza]"),"repasse.cef.terreno",
INDIRECT("rec.uni[empresa]"),CQ$6)</f>
        <v>0</v>
      </c>
      <c r="CR31" s="178">
        <v>0</v>
      </c>
      <c r="CS31" s="178">
        <f ca="1">SUMIFS(rec.uni[2023-05-01],
INDIRECT("rec.uni[natureza]"),"taxa.extra",
INDIRECT("rec.uni[empresa]"),CS$6)</f>
        <v>0</v>
      </c>
      <c r="CT31" s="166"/>
      <c r="CU31" s="178" cm="1">
        <f t="array" ref="CU31">SUMPRODUCT(
  IFERROR(--desp[valor],0)*
  (desp[nucleo]="UP MOVE VILA SONIA")*
  (desp[categoria]=CU$7)*
  (desp[data.pagamento]&gt;=$A31)*
  (desp[data.pagamento]&lt;EOMONTH($A31,0)+1)
)</f>
        <v>0</v>
      </c>
      <c r="CV31" s="178" cm="1">
        <f t="array" ref="CV31">SUMPRODUCT(
  IFERROR(--desp[valor],0)*
  (desp[nucleo]="UP MOVE VILA SONIA")*
  (desp[categoria]=CV$7)*
  (desp[data.pagamento]&gt;=$A31)*
  (desp[data.pagamento]&lt;EOMONTH($A31,0)+1)
)</f>
        <v>0</v>
      </c>
      <c r="CW31" s="178" cm="1">
        <f t="array" ref="CW31">SUMPRODUCT(
  IFERROR(--desp[valor],0)*
  (desp[nucleo]="UP MOVE VILA SONIA")*
  (desp[categoria]=CW$7)*
  (desp[data.pagamento]&gt;=$A31)*
  (desp[data.pagamento]&lt;EOMONTH($A31,0)+1)
)</f>
        <v>0</v>
      </c>
      <c r="CX31" s="178" cm="1">
        <f t="array" ref="CX31">SUMPRODUCT(
  IFERROR(--desp[valor],0)*
  (desp[nucleo]="UP MOVE VILA SONIA")*
  (desp[categoria]=CX$7)*
  (desp[data.pagamento]&gt;=$A31)*
  (desp[data.pagamento]&lt;EOMONTH($A31,0)+1)
)</f>
        <v>0</v>
      </c>
      <c r="CY31" s="180" cm="1">
        <f t="array" ref="CY31">SUMPRODUCT(
  IFERROR(--desp[valor],0)*
  (desp[nucleo]="UP MOVE VILA SONIA")*
  (desp[categoria]=CY$7)*
  (desp[data.pagamento]&gt;=$A31)*
  (desp[data.pagamento]&lt;EOMONTH($A31,0)+1)
)</f>
        <v>0</v>
      </c>
    </row>
    <row r="32" spans="1:103" x14ac:dyDescent="0.25">
      <c r="A32" s="176">
        <v>45078</v>
      </c>
      <c r="B32" s="177">
        <f>COUNTIFS(
    estq[empresa], B$6,
    estq[Data da venda / reserva], "&gt;=" &amp; $A32,
    estq[Data da venda / reserva], "&lt;"  &amp; EOMONTH($A32,0) + 1
)</f>
        <v>0</v>
      </c>
      <c r="C32" s="178">
        <f ca="1">SUMIFS(rec.uni[2023-06-01],
INDIRECT("rec.uni[natureza]"),"pro.soluto",
INDIRECT("rec.uni[empresa]"),C$6)</f>
        <v>0</v>
      </c>
      <c r="D32" s="178">
        <f ca="1">SUMIFS(rec.uni[2023-06-01],
INDIRECT("rec.uni[natureza]"),"repasse.cef.obra",
INDIRECT("rec.uni[empresa]"),D$6)</f>
        <v>0</v>
      </c>
      <c r="E32" s="178">
        <f ca="1">SUMIFS(rec.uni[2023-06-01],
INDIRECT("rec.uni[natureza]"),"repasse.cef.terreno",
INDIRECT("rec.uni[empresa]"),E$6)</f>
        <v>0</v>
      </c>
      <c r="F32" s="178">
        <v>0</v>
      </c>
      <c r="G32" s="178">
        <f ca="1">SUMIFS(rec.uni[2023-06-01],
INDIRECT("rec.uni[natureza]"),"taxa.extra",
INDIRECT("rec.uni[empresa]"),G$6)</f>
        <v>0</v>
      </c>
      <c r="H32" s="166"/>
      <c r="I32" s="178" cm="1">
        <f t="array" ref="I32">SUMPRODUCT(
  IFERROR(--desp[valor],0)*
  (desp[nucleo]="UP JARDIM PRUDENCIA")*
  (desp[categoria]=I$7)*
  (desp[data.pagamento]&gt;=$A32)*
  (desp[data.pagamento]&lt;EOMONTH($A32,0)+1)
)</f>
        <v>0</v>
      </c>
      <c r="J32" s="178" cm="1">
        <f t="array" ref="J32">SUMPRODUCT(
  IFERROR(--desp[valor],0)*
  (desp[nucleo]="UP JARDIM PRUDENCIA")*
  (desp[categoria]=J$7)*
  (desp[data.pagamento]&gt;=$A32)*
  (desp[data.pagamento]&lt;EOMONTH($A32,0)+1)
)</f>
        <v>0</v>
      </c>
      <c r="K32" s="178" cm="1">
        <f t="array" ref="K32">SUMPRODUCT(
  IFERROR(--desp[valor],0)*
  (desp[nucleo]="UP JARDIM PRUDENCIA")*
  (desp[categoria]=K$7)*
  (desp[data.pagamento]&gt;=$A32)*
  (desp[data.pagamento]&lt;EOMONTH($A32,0)+1)
)</f>
        <v>0</v>
      </c>
      <c r="L32" s="178" cm="1">
        <f t="array" ref="L32">SUMPRODUCT(
  IFERROR(--desp[valor],0)*
  (desp[nucleo]="UP JARDIM PRUDENCIA")*
  (desp[categoria]=L$7)*
  (desp[data.pagamento]&gt;=$A32)*
  (desp[data.pagamento]&lt;EOMONTH($A32,0)+1)
)</f>
        <v>0</v>
      </c>
      <c r="M32" s="179" cm="1">
        <f t="array" ref="M32">SUMPRODUCT(
  IFERROR(--desp[valor],0)*
  (desp[nucleo]="UP JARDIM PRUDENCIA")*
  (desp[categoria]=M$7)*
  (desp[data.pagamento]&gt;=$A32)*
  (desp[data.pagamento]&lt;EOMONTH($A32,0)+1)
)</f>
        <v>0</v>
      </c>
      <c r="N32" s="177">
        <f>COUNTIFS(
    estq[empresa], N$6,
    estq[Data da venda / reserva], "&gt;=" &amp; $A32,
    estq[Data da venda / reserva], "&lt;"  &amp; EOMONTH($A32,0) + 1
)</f>
        <v>0</v>
      </c>
      <c r="O32" s="178">
        <f ca="1">SUMIFS(rec.uni[2023-06-01],
INDIRECT("rec.uni[natureza]"),"pro.soluto",
INDIRECT("rec.uni[empresa]"),O$6)</f>
        <v>0</v>
      </c>
      <c r="P32" s="178">
        <f ca="1">SUMIFS(rec.uni[2023-06-01],
INDIRECT("rec.uni[natureza]"),"repasse.cef.obra",
INDIRECT("rec.uni[empresa]"),P$6)</f>
        <v>0</v>
      </c>
      <c r="Q32" s="178">
        <f ca="1">SUMIFS(rec.uni[2023-06-01],
INDIRECT("rec.uni[natureza]"),"repasse.cef.terreno",
INDIRECT("rec.uni[empresa]"),Q$6)</f>
        <v>0</v>
      </c>
      <c r="R32" s="178">
        <v>0</v>
      </c>
      <c r="S32" s="178">
        <f ca="1">SUMIFS(rec.uni[2023-06-01],
INDIRECT("rec.uni[natureza]"),"taxa.extra",
INDIRECT("rec.uni[empresa]"),S$6)</f>
        <v>0</v>
      </c>
      <c r="T32" s="166"/>
      <c r="U32" s="178" cm="1">
        <f t="array" ref="U32">SUMPRODUCT(
  IFERROR(--desp[valor],0)*
  (desp[nucleo]="UP VILA SONIA")*
  (desp[categoria]=U$7)*
  (desp[data.pagamento]&gt;=$A32)*
  (desp[data.pagamento]&lt;EOMONTH($A32,0)+1)
)</f>
        <v>0</v>
      </c>
      <c r="V32" s="178" cm="1">
        <f t="array" ref="V32">SUMPRODUCT(
  IFERROR(--desp[valor],0)*
  (desp[nucleo]="UP VILA SONIA")*
  (desp[categoria]=V$7)*
  (desp[data.pagamento]&gt;=$A32)*
  (desp[data.pagamento]&lt;EOMONTH($A32,0)+1)
)</f>
        <v>0</v>
      </c>
      <c r="W32" s="178" cm="1">
        <f t="array" ref="W32">SUMPRODUCT(
  IFERROR(--desp[valor],0)*
  (desp[nucleo]="UP VILA SONIA")*
  (desp[categoria]=W$7)*
  (desp[data.pagamento]&gt;=$A32)*
  (desp[data.pagamento]&lt;EOMONTH($A32,0)+1)
)</f>
        <v>0</v>
      </c>
      <c r="X32" s="178" cm="1">
        <f t="array" ref="X32">SUMPRODUCT(
  IFERROR(--desp[valor],0)*
  (desp[nucleo]="UP VILA SONIA")*
  (desp[categoria]=X$7)*
  (desp[data.pagamento]&gt;=$A32)*
  (desp[data.pagamento]&lt;EOMONTH($A32,0)+1)
)</f>
        <v>0</v>
      </c>
      <c r="Y32" s="179" cm="1">
        <f t="array" ref="Y32">SUMPRODUCT(
  IFERROR(--desp[valor],0)*
  (desp[nucleo]="UP VILA SONIA")*
  (desp[categoria]=Y$7)*
  (desp[data.pagamento]&gt;=$A32)*
  (desp[data.pagamento]&lt;EOMONTH($A32,0)+1)
)</f>
        <v>0</v>
      </c>
      <c r="Z32" s="177">
        <f>COUNTIFS(
    estq[empresa], Z$6,
    estq[Data da venda / reserva], "&gt;=" &amp; $A32,
    estq[Data da venda / reserva], "&lt;"  &amp; EOMONTH($A32,0) + 1
)</f>
        <v>0</v>
      </c>
      <c r="AA32" s="178">
        <f ca="1">SUMIFS(rec.uni[2023-06-01],
INDIRECT("rec.uni[natureza]"),"pro.soluto",
INDIRECT("rec.uni[empresa]"),AA$6)</f>
        <v>0</v>
      </c>
      <c r="AB32" s="178">
        <f ca="1">SUMIFS(rec.uni[2023-06-01],
INDIRECT("rec.uni[natureza]"),"pro.soluto",
INDIRECT("rec.uni[empresa]"),AB$6)</f>
        <v>0</v>
      </c>
      <c r="AC32" s="178">
        <f ca="1">SUMIFS(rec.uni[2023-06-01],
INDIRECT("rec.uni[natureza]"),"taxa.extra",
INDIRECT("rec.uni[empresa]"),AC$6)</f>
        <v>0</v>
      </c>
      <c r="AD32" s="166"/>
      <c r="AE32" s="178" cm="1">
        <f t="array" ref="AE32">SUMPRODUCT(
  IFERROR(--desp[valor],0)*
  (desp[nucleo]="UP CAMPO BELO")*
  (desp[categoria]=AE$7)*
  (desp[data.pagamento]&gt;=$A32)*
  (desp[data.pagamento]&lt;EOMONTH($A32,0)+1)
)</f>
        <v>0</v>
      </c>
      <c r="AF32" s="178" cm="1">
        <f t="array" ref="AF32">SUMPRODUCT(
  IFERROR(--desp[valor],0)*
  (desp[nucleo]="UP CAMPO BELO")*
  (desp[categoria]=AF$7)*
  (desp[data.pagamento]&gt;=$A32)*
  (desp[data.pagamento]&lt;EOMONTH($A32,0)+1)
)</f>
        <v>0</v>
      </c>
      <c r="AG32" s="178" cm="1">
        <f t="array" ref="AG32">SUMPRODUCT(
  IFERROR(--desp[valor],0)*
  (desp[nucleo]="UP CAMPO BELO")*
  (desp[categoria]=AG$7)*
  (desp[data.pagamento]&gt;=$A32)*
  (desp[data.pagamento]&lt;EOMONTH($A32,0)+1)
)</f>
        <v>0</v>
      </c>
      <c r="AH32" s="178" cm="1">
        <f t="array" ref="AH32">SUMPRODUCT(
  IFERROR(--desp[valor],0)*
  (desp[nucleo]="UP CAMPO BELO")*
  (desp[categoria]=AH$7)*
  (desp[data.pagamento]&gt;=$A32)*
  (desp[data.pagamento]&lt;EOMONTH($A32,0)+1)
)</f>
        <v>0</v>
      </c>
      <c r="AI32" s="179" cm="1">
        <f t="array" ref="AI32">SUMPRODUCT(
  IFERROR(--desp[valor],0)*
  (desp[nucleo]="UP CAMPO BELO")*
  (desp[categoria]=AI$7)*
  (desp[data.pagamento]&gt;=$A32)*
  (desp[data.pagamento]&lt;EOMONTH($A32,0)+1)
)</f>
        <v>0</v>
      </c>
      <c r="AJ32" s="177">
        <f>COUNTIFS(
    estq[empresa], AJ$6,
    estq[Data da venda / reserva], "&gt;=" &amp; $A32,
    estq[Data da venda / reserva], "&lt;"  &amp; EOMONTH($A32,0) + 1
)</f>
        <v>0</v>
      </c>
      <c r="AK32" s="178">
        <f ca="1">SUMIFS(rec.uni[2023-06-01],
INDIRECT("rec.uni[natureza]"),"pro.soluto",
INDIRECT("rec.uni[empresa]"),AK$6)</f>
        <v>0</v>
      </c>
      <c r="AL32" s="178">
        <f ca="1">SUMIFS(rec.uni[2023-06-01],
INDIRECT("rec.uni[natureza]"),"repasse.cef.obra",
INDIRECT("rec.uni[empresa]"),AL$6)</f>
        <v>0</v>
      </c>
      <c r="AM32" s="178">
        <f ca="1">SUMIFS(rec.uni[2023-06-01],
INDIRECT("rec.uni[natureza]"),"repasse.cef.terreno",
INDIRECT("rec.uni[empresa]"),AM$6)</f>
        <v>0</v>
      </c>
      <c r="AN32" s="178">
        <v>0</v>
      </c>
      <c r="AO32" s="178">
        <f ca="1">SUMIFS(rec.uni[2023-06-01],
INDIRECT("rec.uni[natureza]"),"taxa.extra",
INDIRECT("rec.uni[empresa]"),AO$6)</f>
        <v>0</v>
      </c>
      <c r="AP32" s="166"/>
      <c r="AQ32" s="178" cm="1">
        <f t="array" ref="AQ32">SUMPRODUCT(
  IFERROR(--desp[valor],0)*
  (desp[nucleo]="UP SELECT VILA SONIA")*
  (desp[categoria]=AQ$7)*
  (desp[data.pagamento]&gt;=$A32)*
  (desp[data.pagamento]&lt;EOMONTH($A32,0)+1)
)</f>
        <v>0</v>
      </c>
      <c r="AR32" s="178" cm="1">
        <f t="array" ref="AR32">SUMPRODUCT(
  IFERROR(--desp[valor],0)*
  (desp[nucleo]="UP SELECT VILA SONIA")*
  (desp[categoria]=AR$7)*
  (desp[data.pagamento]&gt;=$A32)*
  (desp[data.pagamento]&lt;EOMONTH($A32,0)+1)
)</f>
        <v>0</v>
      </c>
      <c r="AS32" s="178" cm="1">
        <f t="array" ref="AS32">SUMPRODUCT(
  IFERROR(--desp[valor],0)*
  (desp[nucleo]="UP SELECT VILA SONIA")*
  (desp[categoria]=AS$7)*
  (desp[data.pagamento]&gt;=$A32)*
  (desp[data.pagamento]&lt;EOMONTH($A32,0)+1)
)</f>
        <v>0</v>
      </c>
      <c r="AT32" s="178" cm="1">
        <f t="array" ref="AT32">SUMPRODUCT(
  IFERROR(--desp[valor],0)*
  (desp[nucleo]="UP SELECT VILA SONIA")*
  (desp[categoria]=AT$7)*
  (desp[data.pagamento]&gt;=$A32)*
  (desp[data.pagamento]&lt;EOMONTH($A32,0)+1)
)</f>
        <v>0</v>
      </c>
      <c r="AU32" s="179" cm="1">
        <f t="array" ref="AU32">SUMPRODUCT(
  IFERROR(--desp[valor],0)*
  (desp[nucleo]="UP SELECT VILA SONIA")*
  (desp[categoria]=AU$7)*
  (desp[data.pagamento]&gt;=$A32)*
  (desp[data.pagamento]&lt;EOMONTH($A32,0)+1)
)</f>
        <v>0</v>
      </c>
      <c r="AV32" s="177">
        <f>COUNTIFS(
    estq[empresa], AV$6,
    estq[Data da venda / reserva], "&gt;=" &amp; $A32,
    estq[Data da venda / reserva], "&lt;"  &amp; EOMONTH($A32,0) + 1
)</f>
        <v>0</v>
      </c>
      <c r="AW32" s="178">
        <f ca="1">SUMIFS(rec.uni[2023-06-01],
INDIRECT("rec.uni[natureza]"),"pro.soluto",
INDIRECT("rec.uni[empresa]"),AW$6)</f>
        <v>0</v>
      </c>
      <c r="AX32" s="178">
        <f ca="1">SUMIFS(rec.uni[2023-06-01],
INDIRECT("rec.uni[natureza]"),"repasse.cef.obra",
INDIRECT("rec.uni[empresa]"),AX$6)</f>
        <v>0</v>
      </c>
      <c r="AY32" s="178">
        <f ca="1">SUMIFS(rec.uni[2023-06-01],
INDIRECT("rec.uni[natureza]"),"repasse.cef.terreno",
INDIRECT("rec.uni[empresa]"),AY$6)</f>
        <v>0</v>
      </c>
      <c r="AZ32" s="178">
        <v>0</v>
      </c>
      <c r="BA32" s="178">
        <f ca="1">SUMIFS(rec.uni[2023-06-01],
INDIRECT("rec.uni[natureza]"),"taxa.extra",
INDIRECT("rec.uni[empresa]"),BA$6)</f>
        <v>0</v>
      </c>
      <c r="BB32" s="166"/>
      <c r="BC32" s="178" cm="1">
        <f t="array" ref="BC32">SUMPRODUCT(
  IFERROR(--desp[valor],0)*
  (desp[nucleo]="UP ESTAÇÃO SÃO LUCAS")*
  (desp[categoria]=BC$7)*
  (desp[data.pagamento]&gt;=$A32)*
  (desp[data.pagamento]&lt;EOMONTH($A32,0)+1)
)</f>
        <v>0</v>
      </c>
      <c r="BD32" s="178" cm="1">
        <f t="array" ref="BD32">SUMPRODUCT(
  IFERROR(--desp[valor],0)*
  (desp[nucleo]="UP ESTAÇÃO SÃO LUCAS")*
  (desp[categoria]=BD$7)*
  (desp[data.pagamento]&gt;=$A32)*
  (desp[data.pagamento]&lt;EOMONTH($A32,0)+1)
)</f>
        <v>0</v>
      </c>
      <c r="BE32" s="178" cm="1">
        <f t="array" ref="BE32">SUMPRODUCT(
  IFERROR(--desp[valor],0)*
  (desp[nucleo]="UP ESTAÇÃO SÃO LUCAS")*
  (desp[categoria]=BE$7)*
  (desp[data.pagamento]&gt;=$A32)*
  (desp[data.pagamento]&lt;EOMONTH($A32,0)+1)
)</f>
        <v>0</v>
      </c>
      <c r="BF32" s="178" cm="1">
        <f t="array" ref="BF32">SUMPRODUCT(
  IFERROR(--desp[valor],0)*
  (desp[nucleo]="UP ESTAÇÃO SÃO LUCAS")*
  (desp[categoria]=BF$7)*
  (desp[data.pagamento]&gt;=$A32)*
  (desp[data.pagamento]&lt;EOMONTH($A32,0)+1)
)</f>
        <v>0</v>
      </c>
      <c r="BG32" s="179" cm="1">
        <f t="array" ref="BG32">SUMPRODUCT(
  IFERROR(--desp[valor],0)*
  (desp[nucleo]="UP ESTAÇÃO SÃO LUCAS")*
  (desp[categoria]=BG$7)*
  (desp[data.pagamento]&gt;=$A32)*
  (desp[data.pagamento]&lt;EOMONTH($A32,0)+1)
)</f>
        <v>0</v>
      </c>
      <c r="BH32" s="177">
        <f>COUNTIFS(
    estq[empresa], BH$6,
    estq[Data da venda / reserva], "&gt;=" &amp; $A32,
    estq[Data da venda / reserva], "&lt;"  &amp; EOMONTH($A32,0) + 1
)</f>
        <v>0</v>
      </c>
      <c r="BI32" s="178">
        <f ca="1">SUMIFS(rec.uni[2023-06-01],
INDIRECT("rec.uni[natureza]"),"pro.soluto",
INDIRECT("rec.uni[empresa]"),BI$6)</f>
        <v>0</v>
      </c>
      <c r="BJ32" s="166">
        <v>0</v>
      </c>
      <c r="BK32" s="178">
        <f ca="1">SUMIFS(rec.uni[2023-06-01],
INDIRECT("rec.uni[natureza]"),"taxa.extra",
INDIRECT("rec.uni[empresa]"),BK$6)</f>
        <v>0</v>
      </c>
      <c r="BL32" s="166"/>
      <c r="BM32" s="178" cm="1">
        <f t="array" ref="BM32">SUMPRODUCT(
  IFERROR(--desp[valor],0)*
  (desp[nucleo]="UP POMPEIA")*
  (desp[categoria]=BM$7)*
  (desp[data.pagamento]&gt;=$A32)*
  (desp[data.pagamento]&lt;EOMONTH($A32,0)+1)
)</f>
        <v>0</v>
      </c>
      <c r="BN32" s="178" cm="1">
        <f t="array" ref="BN32">SUMPRODUCT(
  IFERROR(--desp[valor],0)*
  (desp[nucleo]="UP POMPEIA")*
  (desp[categoria]=BN$7)*
  (desp[data.pagamento]&gt;=$A32)*
  (desp[data.pagamento]&lt;EOMONTH($A32,0)+1)
)</f>
        <v>0</v>
      </c>
      <c r="BO32" s="178" cm="1">
        <f t="array" ref="BO32">SUMPRODUCT(
  IFERROR(--desp[valor],0)*
  (desp[nucleo]="UP POMPEIA")*
  (desp[categoria]=BO$7)*
  (desp[data.pagamento]&gt;=$A32)*
  (desp[data.pagamento]&lt;EOMONTH($A32,0)+1)
)</f>
        <v>0</v>
      </c>
      <c r="BP32" s="178" cm="1">
        <f t="array" ref="BP32">SUMPRODUCT(
  IFERROR(--desp[valor],0)*
  (desp[nucleo]="UP POMPEIA")*
  (desp[categoria]=BP$7)*
  (desp[data.pagamento]&gt;=$A32)*
  (desp[data.pagamento]&lt;EOMONTH($A32,0)+1)
)</f>
        <v>0</v>
      </c>
      <c r="BQ32" s="179" cm="1">
        <f t="array" ref="BQ32">SUMPRODUCT(
  IFERROR(--desp[valor],0)*
  (desp[nucleo]="UP POMPEIA")*
  (desp[categoria]=BQ$7)*
  (desp[data.pagamento]&gt;=$A32)*
  (desp[data.pagamento]&lt;EOMONTH($A32,0)+1)
)</f>
        <v>0</v>
      </c>
      <c r="BR32" s="177">
        <f>COUNTIFS(
    estq[empresa], BR$6,
    estq[Data da venda / reserva], "&gt;=" &amp; $A32,
    estq[Data da venda / reserva], "&lt;"  &amp; EOMONTH($A32,0) + 1
)</f>
        <v>0</v>
      </c>
      <c r="BS32" s="178">
        <f ca="1">SUMIFS(rec.uni[2023-06-01],
INDIRECT("rec.uni[natureza]"),"pro.soluto",
INDIRECT("rec.uni[empresa]"),BS$6)</f>
        <v>0</v>
      </c>
      <c r="BT32" s="178">
        <f ca="1">SUMIFS(rec.uni[2023-06-01],
INDIRECT("rec.uni[natureza]"),"pro.soluto",
INDIRECT("rec.uni[empresa]"),BT$6)</f>
        <v>0</v>
      </c>
      <c r="BU32" s="178">
        <f ca="1">SUMIFS(rec.uni[2023-06-01],
INDIRECT("rec.uni[natureza]"),"taxa.extra",
INDIRECT("rec.uni[empresa]"),BU$6)</f>
        <v>0</v>
      </c>
      <c r="BV32" s="166"/>
      <c r="BW32" s="178" cm="1">
        <f t="array" ref="BW32">SUMPRODUCT(
  IFERROR(--desp[valor],0)*
  (desp[nucleo]="UP SAUDE")*
  (desp[categoria]=BW$7)*
  (desp[data.pagamento]&gt;=$A32)*
  (desp[data.pagamento]&lt;EOMONTH($A32,0)+1)
)</f>
        <v>0</v>
      </c>
      <c r="BX32" s="178" cm="1">
        <f t="array" ref="BX32">SUMPRODUCT(
  IFERROR(--desp[valor],0)*
  (desp[nucleo]="UP SAUDE")*
  (desp[categoria]=BX$7)*
  (desp[data.pagamento]&gt;=$A32)*
  (desp[data.pagamento]&lt;EOMONTH($A32,0)+1)
)</f>
        <v>0</v>
      </c>
      <c r="BY32" s="178" cm="1">
        <f t="array" ref="BY32">SUMPRODUCT(
  IFERROR(--desp[valor],0)*
  (desp[nucleo]="UP SAUDE")*
  (desp[categoria]=BY$7)*
  (desp[data.pagamento]&gt;=$A32)*
  (desp[data.pagamento]&lt;EOMONTH($A32,0)+1)
)</f>
        <v>0</v>
      </c>
      <c r="BZ32" s="178" cm="1">
        <f t="array" ref="BZ32">SUMPRODUCT(
  IFERROR(--desp[valor],0)*
  (desp[nucleo]="UP SAUDE")*
  (desp[categoria]=BZ$7)*
  (desp[data.pagamento]&gt;=$A32)*
  (desp[data.pagamento]&lt;EOMONTH($A32,0)+1)
)</f>
        <v>0</v>
      </c>
      <c r="CA32" s="179" cm="1">
        <f t="array" ref="CA32">SUMPRODUCT(
  IFERROR(--desp[valor],0)*
  (desp[nucleo]="UP SAUDE")*
  (desp[categoria]=CA$7)*
  (desp[data.pagamento]&gt;=$A32)*
  (desp[data.pagamento]&lt;EOMONTH($A32,0)+1)
)</f>
        <v>0</v>
      </c>
      <c r="CB32" s="177">
        <f>COUNTIFS(
    estq[empresa], CB$6,
    estq[Data da venda / reserva], "&gt;=" &amp; $A32,
    estq[Data da venda / reserva], "&lt;"  &amp; EOMONTH($A32,0) + 1
)</f>
        <v>0</v>
      </c>
      <c r="CC32" s="178">
        <f ca="1">SUMIFS(rec.uni[2023-06-01],
INDIRECT("rec.uni[natureza]"),"pro.soluto",
INDIRECT("rec.uni[empresa]"),CC$6)</f>
        <v>0</v>
      </c>
      <c r="CD32" s="178">
        <f ca="1">SUMIFS(rec.uni[2023-06-01],
INDIRECT("rec.uni[natureza]"),"repasse.cef.obra",
INDIRECT("rec.uni[empresa]"),CD$6)</f>
        <v>0</v>
      </c>
      <c r="CE32" s="178">
        <f ca="1">SUMIFS(rec.uni[2023-06-01],
INDIRECT("rec.uni[natureza]"),"repasse.cef.terreno",
INDIRECT("rec.uni[empresa]"),CE$6)</f>
        <v>0</v>
      </c>
      <c r="CF32" s="178">
        <v>0</v>
      </c>
      <c r="CG32" s="178">
        <f ca="1">SUMIFS(rec.uni[2023-06-01],
INDIRECT("rec.uni[natureza]"),"taxa.extra",
INDIRECT("rec.uni[empresa]"),CG$6)</f>
        <v>0</v>
      </c>
      <c r="CH32" s="166"/>
      <c r="CI32" s="178" cm="1">
        <f t="array" ref="CI32">SUMPRODUCT(
  IFERROR(--desp[valor],0)*
  (desp[nucleo]="UP ESTAÇÃO VILA SONIA")*
  (desp[categoria]=CI$7)*
  (desp[data.pagamento]&gt;=$A32)*
  (desp[data.pagamento]&lt;EOMONTH($A32,0)+1)
)</f>
        <v>0</v>
      </c>
      <c r="CJ32" s="178" cm="1">
        <f t="array" ref="CJ32">SUMPRODUCT(
  IFERROR(--desp[valor],0)*
  (desp[nucleo]="UP ESTAÇÃO VILA SONIA")*
  (desp[categoria]=CJ$7)*
  (desp[data.pagamento]&gt;=$A32)*
  (desp[data.pagamento]&lt;EOMONTH($A32,0)+1)
)</f>
        <v>0</v>
      </c>
      <c r="CK32" s="178" cm="1">
        <f t="array" ref="CK32">SUMPRODUCT(
  IFERROR(--desp[valor],0)*
  (desp[nucleo]="UP ESTAÇÃO VILA SONIA")*
  (desp[categoria]=CK$7)*
  (desp[data.pagamento]&gt;=$A32)*
  (desp[data.pagamento]&lt;EOMONTH($A32,0)+1)
)</f>
        <v>0</v>
      </c>
      <c r="CL32" s="178" cm="1">
        <f t="array" ref="CL32">SUMPRODUCT(
  IFERROR(--desp[valor],0)*
  (desp[nucleo]="UP ESTAÇÃO VILA SONIA")*
  (desp[categoria]=CL$7)*
  (desp[data.pagamento]&gt;=$A32)*
  (desp[data.pagamento]&lt;EOMONTH($A32,0)+1)
)</f>
        <v>0</v>
      </c>
      <c r="CM32" s="179" cm="1">
        <f t="array" ref="CM32">SUMPRODUCT(
  IFERROR(--desp[valor],0)*
  (desp[nucleo]="UP ESTAÇÃO VILA SONIA")*
  (desp[categoria]=CM$7)*
  (desp[data.pagamento]&gt;=$A32)*
  (desp[data.pagamento]&lt;EOMONTH($A32,0)+1)
)</f>
        <v>0</v>
      </c>
      <c r="CN32" s="177">
        <f>COUNTIFS(
    estq[empresa], CN$6,
    estq[Data da venda / reserva], "&gt;=" &amp; $A32,
    estq[Data da venda / reserva], "&lt;"  &amp; EOMONTH($A32,0) + 1
)</f>
        <v>0</v>
      </c>
      <c r="CO32" s="178">
        <f ca="1">SUMIFS(rec.uni[2023-06-01],
INDIRECT("rec.uni[natureza]"),"pro.soluto",
INDIRECT("rec.uni[empresa]"),CO$6)</f>
        <v>0</v>
      </c>
      <c r="CP32" s="178">
        <f ca="1">SUMIFS(rec.uni[2023-06-01],
INDIRECT("rec.uni[natureza]"),"repasse.cef.obra",
INDIRECT("rec.uni[empresa]"),CP$6)</f>
        <v>0</v>
      </c>
      <c r="CQ32" s="178">
        <f ca="1">SUMIFS(rec.uni[2023-06-01],
INDIRECT("rec.uni[natureza]"),"repasse.cef.terreno",
INDIRECT("rec.uni[empresa]"),CQ$6)</f>
        <v>0</v>
      </c>
      <c r="CR32" s="178">
        <v>0</v>
      </c>
      <c r="CS32" s="178">
        <f ca="1">SUMIFS(rec.uni[2023-06-01],
INDIRECT("rec.uni[natureza]"),"taxa.extra",
INDIRECT("rec.uni[empresa]"),CS$6)</f>
        <v>0</v>
      </c>
      <c r="CT32" s="166"/>
      <c r="CU32" s="178" cm="1">
        <f t="array" ref="CU32">SUMPRODUCT(
  IFERROR(--desp[valor],0)*
  (desp[nucleo]="UP MOVE VILA SONIA")*
  (desp[categoria]=CU$7)*
  (desp[data.pagamento]&gt;=$A32)*
  (desp[data.pagamento]&lt;EOMONTH($A32,0)+1)
)</f>
        <v>0</v>
      </c>
      <c r="CV32" s="178" cm="1">
        <f t="array" ref="CV32">SUMPRODUCT(
  IFERROR(--desp[valor],0)*
  (desp[nucleo]="UP MOVE VILA SONIA")*
  (desp[categoria]=CV$7)*
  (desp[data.pagamento]&gt;=$A32)*
  (desp[data.pagamento]&lt;EOMONTH($A32,0)+1)
)</f>
        <v>0</v>
      </c>
      <c r="CW32" s="178" cm="1">
        <f t="array" ref="CW32">SUMPRODUCT(
  IFERROR(--desp[valor],0)*
  (desp[nucleo]="UP MOVE VILA SONIA")*
  (desp[categoria]=CW$7)*
  (desp[data.pagamento]&gt;=$A32)*
  (desp[data.pagamento]&lt;EOMONTH($A32,0)+1)
)</f>
        <v>0</v>
      </c>
      <c r="CX32" s="178" cm="1">
        <f t="array" ref="CX32">SUMPRODUCT(
  IFERROR(--desp[valor],0)*
  (desp[nucleo]="UP MOVE VILA SONIA")*
  (desp[categoria]=CX$7)*
  (desp[data.pagamento]&gt;=$A32)*
  (desp[data.pagamento]&lt;EOMONTH($A32,0)+1)
)</f>
        <v>0</v>
      </c>
      <c r="CY32" s="180" cm="1">
        <f t="array" ref="CY32">SUMPRODUCT(
  IFERROR(--desp[valor],0)*
  (desp[nucleo]="UP MOVE VILA SONIA")*
  (desp[categoria]=CY$7)*
  (desp[data.pagamento]&gt;=$A32)*
  (desp[data.pagamento]&lt;EOMONTH($A32,0)+1)
)</f>
        <v>0</v>
      </c>
    </row>
    <row r="33" spans="1:103" x14ac:dyDescent="0.25">
      <c r="A33" s="176">
        <v>45108</v>
      </c>
      <c r="B33" s="177">
        <f>COUNTIFS(
    estq[empresa], B$6,
    estq[Data da venda / reserva], "&gt;=" &amp; $A33,
    estq[Data da venda / reserva], "&lt;"  &amp; EOMONTH($A33,0) + 1
)</f>
        <v>0</v>
      </c>
      <c r="C33" s="178">
        <f ca="1">SUMIFS(rec.uni[2023-07-01],
INDIRECT("rec.uni[natureza]"),"pro.soluto",
INDIRECT("rec.uni[empresa]"),C$6)</f>
        <v>0</v>
      </c>
      <c r="D33" s="178">
        <f ca="1">SUMIFS(rec.uni[2023-07-01],
INDIRECT("rec.uni[natureza]"),"repasse.cef.obra",
INDIRECT("rec.uni[empresa]"),D$6)</f>
        <v>0</v>
      </c>
      <c r="E33" s="178">
        <f ca="1">SUMIFS(rec.uni[2023-07-01],
INDIRECT("rec.uni[natureza]"),"repasse.cef.terreno",
INDIRECT("rec.uni[empresa]"),E$6)</f>
        <v>0</v>
      </c>
      <c r="F33" s="178">
        <v>0</v>
      </c>
      <c r="G33" s="178">
        <f ca="1">SUMIFS(rec.uni[2023-07-01],
INDIRECT("rec.uni[natureza]"),"taxa.extra",
INDIRECT("rec.uni[empresa]"),G$6)</f>
        <v>0</v>
      </c>
      <c r="H33" s="166"/>
      <c r="I33" s="178" cm="1">
        <f t="array" ref="I33">SUMPRODUCT(
  IFERROR(--desp[valor],0)*
  (desp[nucleo]="UP JARDIM PRUDENCIA")*
  (desp[categoria]=I$7)*
  (desp[data.pagamento]&gt;=$A33)*
  (desp[data.pagamento]&lt;EOMONTH($A33,0)+1)
)</f>
        <v>0</v>
      </c>
      <c r="J33" s="178" cm="1">
        <f t="array" ref="J33">SUMPRODUCT(
  IFERROR(--desp[valor],0)*
  (desp[nucleo]="UP JARDIM PRUDENCIA")*
  (desp[categoria]=J$7)*
  (desp[data.pagamento]&gt;=$A33)*
  (desp[data.pagamento]&lt;EOMONTH($A33,0)+1)
)</f>
        <v>0</v>
      </c>
      <c r="K33" s="178" cm="1">
        <f t="array" ref="K33">SUMPRODUCT(
  IFERROR(--desp[valor],0)*
  (desp[nucleo]="UP JARDIM PRUDENCIA")*
  (desp[categoria]=K$7)*
  (desp[data.pagamento]&gt;=$A33)*
  (desp[data.pagamento]&lt;EOMONTH($A33,0)+1)
)</f>
        <v>0</v>
      </c>
      <c r="L33" s="178" cm="1">
        <f t="array" ref="L33">SUMPRODUCT(
  IFERROR(--desp[valor],0)*
  (desp[nucleo]="UP JARDIM PRUDENCIA")*
  (desp[categoria]=L$7)*
  (desp[data.pagamento]&gt;=$A33)*
  (desp[data.pagamento]&lt;EOMONTH($A33,0)+1)
)</f>
        <v>0</v>
      </c>
      <c r="M33" s="179" cm="1">
        <f t="array" ref="M33">SUMPRODUCT(
  IFERROR(--desp[valor],0)*
  (desp[nucleo]="UP JARDIM PRUDENCIA")*
  (desp[categoria]=M$7)*
  (desp[data.pagamento]&gt;=$A33)*
  (desp[data.pagamento]&lt;EOMONTH($A33,0)+1)
)</f>
        <v>0</v>
      </c>
      <c r="N33" s="177">
        <f>COUNTIFS(
    estq[empresa], N$6,
    estq[Data da venda / reserva], "&gt;=" &amp; $A33,
    estq[Data da venda / reserva], "&lt;"  &amp; EOMONTH($A33,0) + 1
)</f>
        <v>0</v>
      </c>
      <c r="O33" s="178">
        <f ca="1">SUMIFS(rec.uni[2023-07-01],
INDIRECT("rec.uni[natureza]"),"pro.soluto",
INDIRECT("rec.uni[empresa]"),O$6)</f>
        <v>0</v>
      </c>
      <c r="P33" s="178">
        <f ca="1">SUMIFS(rec.uni[2023-07-01],
INDIRECT("rec.uni[natureza]"),"repasse.cef.obra",
INDIRECT("rec.uni[empresa]"),P$6)</f>
        <v>0</v>
      </c>
      <c r="Q33" s="178">
        <f ca="1">SUMIFS(rec.uni[2023-07-01],
INDIRECT("rec.uni[natureza]"),"repasse.cef.terreno",
INDIRECT("rec.uni[empresa]"),Q$6)</f>
        <v>0</v>
      </c>
      <c r="R33" s="178">
        <v>0</v>
      </c>
      <c r="S33" s="178">
        <f ca="1">SUMIFS(rec.uni[2023-07-01],
INDIRECT("rec.uni[natureza]"),"taxa.extra",
INDIRECT("rec.uni[empresa]"),S$6)</f>
        <v>0</v>
      </c>
      <c r="T33" s="166"/>
      <c r="U33" s="178" cm="1">
        <f t="array" ref="U33">SUMPRODUCT(
  IFERROR(--desp[valor],0)*
  (desp[nucleo]="UP VILA SONIA")*
  (desp[categoria]=U$7)*
  (desp[data.pagamento]&gt;=$A33)*
  (desp[data.pagamento]&lt;EOMONTH($A33,0)+1)
)</f>
        <v>0</v>
      </c>
      <c r="V33" s="178" cm="1">
        <f t="array" ref="V33">SUMPRODUCT(
  IFERROR(--desp[valor],0)*
  (desp[nucleo]="UP VILA SONIA")*
  (desp[categoria]=V$7)*
  (desp[data.pagamento]&gt;=$A33)*
  (desp[data.pagamento]&lt;EOMONTH($A33,0)+1)
)</f>
        <v>0</v>
      </c>
      <c r="W33" s="178" cm="1">
        <f t="array" ref="W33">SUMPRODUCT(
  IFERROR(--desp[valor],0)*
  (desp[nucleo]="UP VILA SONIA")*
  (desp[categoria]=W$7)*
  (desp[data.pagamento]&gt;=$A33)*
  (desp[data.pagamento]&lt;EOMONTH($A33,0)+1)
)</f>
        <v>0</v>
      </c>
      <c r="X33" s="178" cm="1">
        <f t="array" ref="X33">SUMPRODUCT(
  IFERROR(--desp[valor],0)*
  (desp[nucleo]="UP VILA SONIA")*
  (desp[categoria]=X$7)*
  (desp[data.pagamento]&gt;=$A33)*
  (desp[data.pagamento]&lt;EOMONTH($A33,0)+1)
)</f>
        <v>0</v>
      </c>
      <c r="Y33" s="179" cm="1">
        <f t="array" ref="Y33">SUMPRODUCT(
  IFERROR(--desp[valor],0)*
  (desp[nucleo]="UP VILA SONIA")*
  (desp[categoria]=Y$7)*
  (desp[data.pagamento]&gt;=$A33)*
  (desp[data.pagamento]&lt;EOMONTH($A33,0)+1)
)</f>
        <v>0</v>
      </c>
      <c r="Z33" s="177">
        <f>COUNTIFS(
    estq[empresa], Z$6,
    estq[Data da venda / reserva], "&gt;=" &amp; $A33,
    estq[Data da venda / reserva], "&lt;"  &amp; EOMONTH($A33,0) + 1
)</f>
        <v>0</v>
      </c>
      <c r="AA33" s="178">
        <f ca="1">SUMIFS(rec.uni[2023-07-01],
INDIRECT("rec.uni[natureza]"),"pro.soluto",
INDIRECT("rec.uni[empresa]"),AA$6)</f>
        <v>0</v>
      </c>
      <c r="AB33" s="178">
        <f ca="1">SUMIFS(rec.uni[2023-07-01],
INDIRECT("rec.uni[natureza]"),"pro.soluto",
INDIRECT("rec.uni[empresa]"),AB$6)</f>
        <v>0</v>
      </c>
      <c r="AC33" s="178">
        <f ca="1">SUMIFS(rec.uni[2023-07-01],
INDIRECT("rec.uni[natureza]"),"taxa.extra",
INDIRECT("rec.uni[empresa]"),AC$6)</f>
        <v>0</v>
      </c>
      <c r="AD33" s="166"/>
      <c r="AE33" s="178" cm="1">
        <f t="array" ref="AE33">SUMPRODUCT(
  IFERROR(--desp[valor],0)*
  (desp[nucleo]="UP CAMPO BELO")*
  (desp[categoria]=AE$7)*
  (desp[data.pagamento]&gt;=$A33)*
  (desp[data.pagamento]&lt;EOMONTH($A33,0)+1)
)</f>
        <v>0</v>
      </c>
      <c r="AF33" s="178" cm="1">
        <f t="array" ref="AF33">SUMPRODUCT(
  IFERROR(--desp[valor],0)*
  (desp[nucleo]="UP CAMPO BELO")*
  (desp[categoria]=AF$7)*
  (desp[data.pagamento]&gt;=$A33)*
  (desp[data.pagamento]&lt;EOMONTH($A33,0)+1)
)</f>
        <v>0</v>
      </c>
      <c r="AG33" s="178" cm="1">
        <f t="array" ref="AG33">SUMPRODUCT(
  IFERROR(--desp[valor],0)*
  (desp[nucleo]="UP CAMPO BELO")*
  (desp[categoria]=AG$7)*
  (desp[data.pagamento]&gt;=$A33)*
  (desp[data.pagamento]&lt;EOMONTH($A33,0)+1)
)</f>
        <v>0</v>
      </c>
      <c r="AH33" s="178" cm="1">
        <f t="array" ref="AH33">SUMPRODUCT(
  IFERROR(--desp[valor],0)*
  (desp[nucleo]="UP CAMPO BELO")*
  (desp[categoria]=AH$7)*
  (desp[data.pagamento]&gt;=$A33)*
  (desp[data.pagamento]&lt;EOMONTH($A33,0)+1)
)</f>
        <v>0</v>
      </c>
      <c r="AI33" s="179" cm="1">
        <f t="array" ref="AI33">SUMPRODUCT(
  IFERROR(--desp[valor],0)*
  (desp[nucleo]="UP CAMPO BELO")*
  (desp[categoria]=AI$7)*
  (desp[data.pagamento]&gt;=$A33)*
  (desp[data.pagamento]&lt;EOMONTH($A33,0)+1)
)</f>
        <v>0</v>
      </c>
      <c r="AJ33" s="177">
        <f>COUNTIFS(
    estq[empresa], AJ$6,
    estq[Data da venda / reserva], "&gt;=" &amp; $A33,
    estq[Data da venda / reserva], "&lt;"  &amp; EOMONTH($A33,0) + 1
)</f>
        <v>0</v>
      </c>
      <c r="AK33" s="178">
        <f ca="1">SUMIFS(rec.uni[2023-07-01],
INDIRECT("rec.uni[natureza]"),"pro.soluto",
INDIRECT("rec.uni[empresa]"),AK$6)</f>
        <v>0</v>
      </c>
      <c r="AL33" s="178">
        <f ca="1">SUMIFS(rec.uni[2023-07-01],
INDIRECT("rec.uni[natureza]"),"repasse.cef.obra",
INDIRECT("rec.uni[empresa]"),AL$6)</f>
        <v>0</v>
      </c>
      <c r="AM33" s="178">
        <f ca="1">SUMIFS(rec.uni[2023-07-01],
INDIRECT("rec.uni[natureza]"),"repasse.cef.terreno",
INDIRECT("rec.uni[empresa]"),AM$6)</f>
        <v>0</v>
      </c>
      <c r="AN33" s="178">
        <v>0</v>
      </c>
      <c r="AO33" s="178">
        <f ca="1">SUMIFS(rec.uni[2023-07-01],
INDIRECT("rec.uni[natureza]"),"taxa.extra",
INDIRECT("rec.uni[empresa]"),AO$6)</f>
        <v>0</v>
      </c>
      <c r="AP33" s="166"/>
      <c r="AQ33" s="178" cm="1">
        <f t="array" ref="AQ33">SUMPRODUCT(
  IFERROR(--desp[valor],0)*
  (desp[nucleo]="UP SELECT VILA SONIA")*
  (desp[categoria]=AQ$7)*
  (desp[data.pagamento]&gt;=$A33)*
  (desp[data.pagamento]&lt;EOMONTH($A33,0)+1)
)</f>
        <v>0</v>
      </c>
      <c r="AR33" s="178" cm="1">
        <f t="array" ref="AR33">SUMPRODUCT(
  IFERROR(--desp[valor],0)*
  (desp[nucleo]="UP SELECT VILA SONIA")*
  (desp[categoria]=AR$7)*
  (desp[data.pagamento]&gt;=$A33)*
  (desp[data.pagamento]&lt;EOMONTH($A33,0)+1)
)</f>
        <v>0</v>
      </c>
      <c r="AS33" s="178" cm="1">
        <f t="array" ref="AS33">SUMPRODUCT(
  IFERROR(--desp[valor],0)*
  (desp[nucleo]="UP SELECT VILA SONIA")*
  (desp[categoria]=AS$7)*
  (desp[data.pagamento]&gt;=$A33)*
  (desp[data.pagamento]&lt;EOMONTH($A33,0)+1)
)</f>
        <v>0</v>
      </c>
      <c r="AT33" s="178" cm="1">
        <f t="array" ref="AT33">SUMPRODUCT(
  IFERROR(--desp[valor],0)*
  (desp[nucleo]="UP SELECT VILA SONIA")*
  (desp[categoria]=AT$7)*
  (desp[data.pagamento]&gt;=$A33)*
  (desp[data.pagamento]&lt;EOMONTH($A33,0)+1)
)</f>
        <v>0</v>
      </c>
      <c r="AU33" s="179" cm="1">
        <f t="array" ref="AU33">SUMPRODUCT(
  IFERROR(--desp[valor],0)*
  (desp[nucleo]="UP SELECT VILA SONIA")*
  (desp[categoria]=AU$7)*
  (desp[data.pagamento]&gt;=$A33)*
  (desp[data.pagamento]&lt;EOMONTH($A33,0)+1)
)</f>
        <v>0</v>
      </c>
      <c r="AV33" s="177">
        <f>COUNTIFS(
    estq[empresa], AV$6,
    estq[Data da venda / reserva], "&gt;=" &amp; $A33,
    estq[Data da venda / reserva], "&lt;"  &amp; EOMONTH($A33,0) + 1
)</f>
        <v>0</v>
      </c>
      <c r="AW33" s="178">
        <f ca="1">SUMIFS(rec.uni[2023-07-01],
INDIRECT("rec.uni[natureza]"),"pro.soluto",
INDIRECT("rec.uni[empresa]"),AW$6)</f>
        <v>0</v>
      </c>
      <c r="AX33" s="178">
        <f ca="1">SUMIFS(rec.uni[2023-07-01],
INDIRECT("rec.uni[natureza]"),"repasse.cef.obra",
INDIRECT("rec.uni[empresa]"),AX$6)</f>
        <v>0</v>
      </c>
      <c r="AY33" s="178">
        <f ca="1">SUMIFS(rec.uni[2023-07-01],
INDIRECT("rec.uni[natureza]"),"repasse.cef.terreno",
INDIRECT("rec.uni[empresa]"),AY$6)</f>
        <v>0</v>
      </c>
      <c r="AZ33" s="178">
        <v>0</v>
      </c>
      <c r="BA33" s="178">
        <f ca="1">SUMIFS(rec.uni[2023-07-01],
INDIRECT("rec.uni[natureza]"),"taxa.extra",
INDIRECT("rec.uni[empresa]"),BA$6)</f>
        <v>0</v>
      </c>
      <c r="BB33" s="166"/>
      <c r="BC33" s="178" cm="1">
        <f t="array" ref="BC33">SUMPRODUCT(
  IFERROR(--desp[valor],0)*
  (desp[nucleo]="UP ESTAÇÃO SÃO LUCAS")*
  (desp[categoria]=BC$7)*
  (desp[data.pagamento]&gt;=$A33)*
  (desp[data.pagamento]&lt;EOMONTH($A33,0)+1)
)</f>
        <v>0</v>
      </c>
      <c r="BD33" s="178" cm="1">
        <f t="array" ref="BD33">SUMPRODUCT(
  IFERROR(--desp[valor],0)*
  (desp[nucleo]="UP ESTAÇÃO SÃO LUCAS")*
  (desp[categoria]=BD$7)*
  (desp[data.pagamento]&gt;=$A33)*
  (desp[data.pagamento]&lt;EOMONTH($A33,0)+1)
)</f>
        <v>0</v>
      </c>
      <c r="BE33" s="178" cm="1">
        <f t="array" ref="BE33">SUMPRODUCT(
  IFERROR(--desp[valor],0)*
  (desp[nucleo]="UP ESTAÇÃO SÃO LUCAS")*
  (desp[categoria]=BE$7)*
  (desp[data.pagamento]&gt;=$A33)*
  (desp[data.pagamento]&lt;EOMONTH($A33,0)+1)
)</f>
        <v>0</v>
      </c>
      <c r="BF33" s="178" cm="1">
        <f t="array" ref="BF33">SUMPRODUCT(
  IFERROR(--desp[valor],0)*
  (desp[nucleo]="UP ESTAÇÃO SÃO LUCAS")*
  (desp[categoria]=BF$7)*
  (desp[data.pagamento]&gt;=$A33)*
  (desp[data.pagamento]&lt;EOMONTH($A33,0)+1)
)</f>
        <v>0</v>
      </c>
      <c r="BG33" s="179" cm="1">
        <f t="array" ref="BG33">SUMPRODUCT(
  IFERROR(--desp[valor],0)*
  (desp[nucleo]="UP ESTAÇÃO SÃO LUCAS")*
  (desp[categoria]=BG$7)*
  (desp[data.pagamento]&gt;=$A33)*
  (desp[data.pagamento]&lt;EOMONTH($A33,0)+1)
)</f>
        <v>0</v>
      </c>
      <c r="BH33" s="177">
        <f>COUNTIFS(
    estq[empresa], BH$6,
    estq[Data da venda / reserva], "&gt;=" &amp; $A33,
    estq[Data da venda / reserva], "&lt;"  &amp; EOMONTH($A33,0) + 1
)</f>
        <v>0</v>
      </c>
      <c r="BI33" s="178">
        <f ca="1">SUMIFS(rec.uni[2023-07-01],
INDIRECT("rec.uni[natureza]"),"pro.soluto",
INDIRECT("rec.uni[empresa]"),BI$6)</f>
        <v>0</v>
      </c>
      <c r="BJ33" s="166">
        <v>0</v>
      </c>
      <c r="BK33" s="178">
        <f ca="1">SUMIFS(rec.uni[2023-07-01],
INDIRECT("rec.uni[natureza]"),"taxa.extra",
INDIRECT("rec.uni[empresa]"),BK$6)</f>
        <v>0</v>
      </c>
      <c r="BL33" s="166"/>
      <c r="BM33" s="178" cm="1">
        <f t="array" ref="BM33">SUMPRODUCT(
  IFERROR(--desp[valor],0)*
  (desp[nucleo]="UP POMPEIA")*
  (desp[categoria]=BM$7)*
  (desp[data.pagamento]&gt;=$A33)*
  (desp[data.pagamento]&lt;EOMONTH($A33,0)+1)
)</f>
        <v>0</v>
      </c>
      <c r="BN33" s="178" cm="1">
        <f t="array" ref="BN33">SUMPRODUCT(
  IFERROR(--desp[valor],0)*
  (desp[nucleo]="UP POMPEIA")*
  (desp[categoria]=BN$7)*
  (desp[data.pagamento]&gt;=$A33)*
  (desp[data.pagamento]&lt;EOMONTH($A33,0)+1)
)</f>
        <v>0</v>
      </c>
      <c r="BO33" s="178" cm="1">
        <f t="array" ref="BO33">SUMPRODUCT(
  IFERROR(--desp[valor],0)*
  (desp[nucleo]="UP POMPEIA")*
  (desp[categoria]=BO$7)*
  (desp[data.pagamento]&gt;=$A33)*
  (desp[data.pagamento]&lt;EOMONTH($A33,0)+1)
)</f>
        <v>0</v>
      </c>
      <c r="BP33" s="178" cm="1">
        <f t="array" ref="BP33">SUMPRODUCT(
  IFERROR(--desp[valor],0)*
  (desp[nucleo]="UP POMPEIA")*
  (desp[categoria]=BP$7)*
  (desp[data.pagamento]&gt;=$A33)*
  (desp[data.pagamento]&lt;EOMONTH($A33,0)+1)
)</f>
        <v>0</v>
      </c>
      <c r="BQ33" s="179" cm="1">
        <f t="array" ref="BQ33">SUMPRODUCT(
  IFERROR(--desp[valor],0)*
  (desp[nucleo]="UP POMPEIA")*
  (desp[categoria]=BQ$7)*
  (desp[data.pagamento]&gt;=$A33)*
  (desp[data.pagamento]&lt;EOMONTH($A33,0)+1)
)</f>
        <v>0</v>
      </c>
      <c r="BR33" s="177">
        <f>COUNTIFS(
    estq[empresa], BR$6,
    estq[Data da venda / reserva], "&gt;=" &amp; $A33,
    estq[Data da venda / reserva], "&lt;"  &amp; EOMONTH($A33,0) + 1
)</f>
        <v>0</v>
      </c>
      <c r="BS33" s="178">
        <f ca="1">SUMIFS(rec.uni[2023-07-01],
INDIRECT("rec.uni[natureza]"),"pro.soluto",
INDIRECT("rec.uni[empresa]"),BS$6)</f>
        <v>0</v>
      </c>
      <c r="BT33" s="178">
        <f ca="1">SUMIFS(rec.uni[2023-07-01],
INDIRECT("rec.uni[natureza]"),"pro.soluto",
INDIRECT("rec.uni[empresa]"),BT$6)</f>
        <v>0</v>
      </c>
      <c r="BU33" s="178">
        <f ca="1">SUMIFS(rec.uni[2023-07-01],
INDIRECT("rec.uni[natureza]"),"taxa.extra",
INDIRECT("rec.uni[empresa]"),BU$6)</f>
        <v>0</v>
      </c>
      <c r="BV33" s="166"/>
      <c r="BW33" s="178" cm="1">
        <f t="array" ref="BW33">SUMPRODUCT(
  IFERROR(--desp[valor],0)*
  (desp[nucleo]="UP SAUDE")*
  (desp[categoria]=BW$7)*
  (desp[data.pagamento]&gt;=$A33)*
  (desp[data.pagamento]&lt;EOMONTH($A33,0)+1)
)</f>
        <v>0</v>
      </c>
      <c r="BX33" s="178" cm="1">
        <f t="array" ref="BX33">SUMPRODUCT(
  IFERROR(--desp[valor],0)*
  (desp[nucleo]="UP SAUDE")*
  (desp[categoria]=BX$7)*
  (desp[data.pagamento]&gt;=$A33)*
  (desp[data.pagamento]&lt;EOMONTH($A33,0)+1)
)</f>
        <v>0</v>
      </c>
      <c r="BY33" s="178" cm="1">
        <f t="array" ref="BY33">SUMPRODUCT(
  IFERROR(--desp[valor],0)*
  (desp[nucleo]="UP SAUDE")*
  (desp[categoria]=BY$7)*
  (desp[data.pagamento]&gt;=$A33)*
  (desp[data.pagamento]&lt;EOMONTH($A33,0)+1)
)</f>
        <v>0</v>
      </c>
      <c r="BZ33" s="178" cm="1">
        <f t="array" ref="BZ33">SUMPRODUCT(
  IFERROR(--desp[valor],0)*
  (desp[nucleo]="UP SAUDE")*
  (desp[categoria]=BZ$7)*
  (desp[data.pagamento]&gt;=$A33)*
  (desp[data.pagamento]&lt;EOMONTH($A33,0)+1)
)</f>
        <v>0</v>
      </c>
      <c r="CA33" s="179" cm="1">
        <f t="array" ref="CA33">SUMPRODUCT(
  IFERROR(--desp[valor],0)*
  (desp[nucleo]="UP SAUDE")*
  (desp[categoria]=CA$7)*
  (desp[data.pagamento]&gt;=$A33)*
  (desp[data.pagamento]&lt;EOMONTH($A33,0)+1)
)</f>
        <v>0</v>
      </c>
      <c r="CB33" s="177">
        <f>COUNTIFS(
    estq[empresa], CB$6,
    estq[Data da venda / reserva], "&gt;=" &amp; $A33,
    estq[Data da venda / reserva], "&lt;"  &amp; EOMONTH($A33,0) + 1
)</f>
        <v>0</v>
      </c>
      <c r="CC33" s="178">
        <f ca="1">SUMIFS(rec.uni[2023-07-01],
INDIRECT("rec.uni[natureza]"),"pro.soluto",
INDIRECT("rec.uni[empresa]"),CC$6)</f>
        <v>0</v>
      </c>
      <c r="CD33" s="178">
        <f ca="1">SUMIFS(rec.uni[2023-07-01],
INDIRECT("rec.uni[natureza]"),"repasse.cef.obra",
INDIRECT("rec.uni[empresa]"),CD$6)</f>
        <v>0</v>
      </c>
      <c r="CE33" s="178">
        <f ca="1">SUMIFS(rec.uni[2023-07-01],
INDIRECT("rec.uni[natureza]"),"repasse.cef.terreno",
INDIRECT("rec.uni[empresa]"),CE$6)</f>
        <v>0</v>
      </c>
      <c r="CF33" s="178">
        <v>0</v>
      </c>
      <c r="CG33" s="178">
        <f ca="1">SUMIFS(rec.uni[2023-07-01],
INDIRECT("rec.uni[natureza]"),"taxa.extra",
INDIRECT("rec.uni[empresa]"),CG$6)</f>
        <v>0</v>
      </c>
      <c r="CH33" s="166"/>
      <c r="CI33" s="178" cm="1">
        <f t="array" ref="CI33">SUMPRODUCT(
  IFERROR(--desp[valor],0)*
  (desp[nucleo]="UP ESTAÇÃO VILA SONIA")*
  (desp[categoria]=CI$7)*
  (desp[data.pagamento]&gt;=$A33)*
  (desp[data.pagamento]&lt;EOMONTH($A33,0)+1)
)</f>
        <v>0</v>
      </c>
      <c r="CJ33" s="178" cm="1">
        <f t="array" ref="CJ33">SUMPRODUCT(
  IFERROR(--desp[valor],0)*
  (desp[nucleo]="UP ESTAÇÃO VILA SONIA")*
  (desp[categoria]=CJ$7)*
  (desp[data.pagamento]&gt;=$A33)*
  (desp[data.pagamento]&lt;EOMONTH($A33,0)+1)
)</f>
        <v>0</v>
      </c>
      <c r="CK33" s="178" cm="1">
        <f t="array" ref="CK33">SUMPRODUCT(
  IFERROR(--desp[valor],0)*
  (desp[nucleo]="UP ESTAÇÃO VILA SONIA")*
  (desp[categoria]=CK$7)*
  (desp[data.pagamento]&gt;=$A33)*
  (desp[data.pagamento]&lt;EOMONTH($A33,0)+1)
)</f>
        <v>0</v>
      </c>
      <c r="CL33" s="178" cm="1">
        <f t="array" ref="CL33">SUMPRODUCT(
  IFERROR(--desp[valor],0)*
  (desp[nucleo]="UP ESTAÇÃO VILA SONIA")*
  (desp[categoria]=CL$7)*
  (desp[data.pagamento]&gt;=$A33)*
  (desp[data.pagamento]&lt;EOMONTH($A33,0)+1)
)</f>
        <v>0</v>
      </c>
      <c r="CM33" s="179" cm="1">
        <f t="array" ref="CM33">SUMPRODUCT(
  IFERROR(--desp[valor],0)*
  (desp[nucleo]="UP ESTAÇÃO VILA SONIA")*
  (desp[categoria]=CM$7)*
  (desp[data.pagamento]&gt;=$A33)*
  (desp[data.pagamento]&lt;EOMONTH($A33,0)+1)
)</f>
        <v>0</v>
      </c>
      <c r="CN33" s="177">
        <f>COUNTIFS(
    estq[empresa], CN$6,
    estq[Data da venda / reserva], "&gt;=" &amp; $A33,
    estq[Data da venda / reserva], "&lt;"  &amp; EOMONTH($A33,0) + 1
)</f>
        <v>0</v>
      </c>
      <c r="CO33" s="178">
        <f ca="1">SUMIFS(rec.uni[2023-07-01],
INDIRECT("rec.uni[natureza]"),"pro.soluto",
INDIRECT("rec.uni[empresa]"),CO$6)</f>
        <v>0</v>
      </c>
      <c r="CP33" s="178">
        <f ca="1">SUMIFS(rec.uni[2023-07-01],
INDIRECT("rec.uni[natureza]"),"repasse.cef.obra",
INDIRECT("rec.uni[empresa]"),CP$6)</f>
        <v>0</v>
      </c>
      <c r="CQ33" s="178">
        <f ca="1">SUMIFS(rec.uni[2023-07-01],
INDIRECT("rec.uni[natureza]"),"repasse.cef.terreno",
INDIRECT("rec.uni[empresa]"),CQ$6)</f>
        <v>0</v>
      </c>
      <c r="CR33" s="178">
        <v>0</v>
      </c>
      <c r="CS33" s="178">
        <f ca="1">SUMIFS(rec.uni[2023-07-01],
INDIRECT("rec.uni[natureza]"),"taxa.extra",
INDIRECT("rec.uni[empresa]"),CS$6)</f>
        <v>0</v>
      </c>
      <c r="CT33" s="166"/>
      <c r="CU33" s="178" cm="1">
        <f t="array" ref="CU33">SUMPRODUCT(
  IFERROR(--desp[valor],0)*
  (desp[nucleo]="UP MOVE VILA SONIA")*
  (desp[categoria]=CU$7)*
  (desp[data.pagamento]&gt;=$A33)*
  (desp[data.pagamento]&lt;EOMONTH($A33,0)+1)
)</f>
        <v>0</v>
      </c>
      <c r="CV33" s="178" cm="1">
        <f t="array" ref="CV33">SUMPRODUCT(
  IFERROR(--desp[valor],0)*
  (desp[nucleo]="UP MOVE VILA SONIA")*
  (desp[categoria]=CV$7)*
  (desp[data.pagamento]&gt;=$A33)*
  (desp[data.pagamento]&lt;EOMONTH($A33,0)+1)
)</f>
        <v>0</v>
      </c>
      <c r="CW33" s="178" cm="1">
        <f t="array" ref="CW33">SUMPRODUCT(
  IFERROR(--desp[valor],0)*
  (desp[nucleo]="UP MOVE VILA SONIA")*
  (desp[categoria]=CW$7)*
  (desp[data.pagamento]&gt;=$A33)*
  (desp[data.pagamento]&lt;EOMONTH($A33,0)+1)
)</f>
        <v>0</v>
      </c>
      <c r="CX33" s="178" cm="1">
        <f t="array" ref="CX33">SUMPRODUCT(
  IFERROR(--desp[valor],0)*
  (desp[nucleo]="UP MOVE VILA SONIA")*
  (desp[categoria]=CX$7)*
  (desp[data.pagamento]&gt;=$A33)*
  (desp[data.pagamento]&lt;EOMONTH($A33,0)+1)
)</f>
        <v>0</v>
      </c>
      <c r="CY33" s="180" cm="1">
        <f t="array" ref="CY33">SUMPRODUCT(
  IFERROR(--desp[valor],0)*
  (desp[nucleo]="UP MOVE VILA SONIA")*
  (desp[categoria]=CY$7)*
  (desp[data.pagamento]&gt;=$A33)*
  (desp[data.pagamento]&lt;EOMONTH($A33,0)+1)
)</f>
        <v>0</v>
      </c>
    </row>
    <row r="34" spans="1:103" x14ac:dyDescent="0.25">
      <c r="A34" s="176">
        <v>45139</v>
      </c>
      <c r="B34" s="177">
        <f>COUNTIFS(
    estq[empresa], B$6,
    estq[Data da venda / reserva], "&gt;=" &amp; $A34,
    estq[Data da venda / reserva], "&lt;"  &amp; EOMONTH($A34,0) + 1
)</f>
        <v>0</v>
      </c>
      <c r="C34" s="178">
        <f ca="1">SUMIFS(rec.uni[2023-08-01],
INDIRECT("rec.uni[natureza]"),"pro.soluto",
INDIRECT("rec.uni[empresa]"),C$6)</f>
        <v>0</v>
      </c>
      <c r="D34" s="178">
        <f ca="1">SUMIFS(rec.uni[2023-08-01],
INDIRECT("rec.uni[natureza]"),"repasse.cef.obra",
INDIRECT("rec.uni[empresa]"),D$6)</f>
        <v>0</v>
      </c>
      <c r="E34" s="178">
        <f ca="1">SUMIFS(rec.uni[2023-08-01],
INDIRECT("rec.uni[natureza]"),"repasse.cef.terreno",
INDIRECT("rec.uni[empresa]"),E$6)</f>
        <v>0</v>
      </c>
      <c r="F34" s="178">
        <v>0</v>
      </c>
      <c r="G34" s="178">
        <f ca="1">SUMIFS(rec.uni[2023-08-01],
INDIRECT("rec.uni[natureza]"),"taxa.extra",
INDIRECT("rec.uni[empresa]"),G$6)</f>
        <v>0</v>
      </c>
      <c r="H34" s="166"/>
      <c r="I34" s="178" cm="1">
        <f t="array" ref="I34">SUMPRODUCT(
  IFERROR(--desp[valor],0)*
  (desp[nucleo]="UP JARDIM PRUDENCIA")*
  (desp[categoria]=I$7)*
  (desp[data.pagamento]&gt;=$A34)*
  (desp[data.pagamento]&lt;EOMONTH($A34,0)+1)
)</f>
        <v>0</v>
      </c>
      <c r="J34" s="178" cm="1">
        <f t="array" ref="J34">SUMPRODUCT(
  IFERROR(--desp[valor],0)*
  (desp[nucleo]="UP JARDIM PRUDENCIA")*
  (desp[categoria]=J$7)*
  (desp[data.pagamento]&gt;=$A34)*
  (desp[data.pagamento]&lt;EOMONTH($A34,0)+1)
)</f>
        <v>0</v>
      </c>
      <c r="K34" s="178" cm="1">
        <f t="array" ref="K34">SUMPRODUCT(
  IFERROR(--desp[valor],0)*
  (desp[nucleo]="UP JARDIM PRUDENCIA")*
  (desp[categoria]=K$7)*
  (desp[data.pagamento]&gt;=$A34)*
  (desp[data.pagamento]&lt;EOMONTH($A34,0)+1)
)</f>
        <v>0</v>
      </c>
      <c r="L34" s="178" cm="1">
        <f t="array" ref="L34">SUMPRODUCT(
  IFERROR(--desp[valor],0)*
  (desp[nucleo]="UP JARDIM PRUDENCIA")*
  (desp[categoria]=L$7)*
  (desp[data.pagamento]&gt;=$A34)*
  (desp[data.pagamento]&lt;EOMONTH($A34,0)+1)
)</f>
        <v>0</v>
      </c>
      <c r="M34" s="179" cm="1">
        <f t="array" ref="M34">SUMPRODUCT(
  IFERROR(--desp[valor],0)*
  (desp[nucleo]="UP JARDIM PRUDENCIA")*
  (desp[categoria]=M$7)*
  (desp[data.pagamento]&gt;=$A34)*
  (desp[data.pagamento]&lt;EOMONTH($A34,0)+1)
)</f>
        <v>0</v>
      </c>
      <c r="N34" s="177">
        <f>COUNTIFS(
    estq[empresa], N$6,
    estq[Data da venda / reserva], "&gt;=" &amp; $A34,
    estq[Data da venda / reserva], "&lt;"  &amp; EOMONTH($A34,0) + 1
)</f>
        <v>0</v>
      </c>
      <c r="O34" s="178">
        <f ca="1">SUMIFS(rec.uni[2023-08-01],
INDIRECT("rec.uni[natureza]"),"pro.soluto",
INDIRECT("rec.uni[empresa]"),O$6)</f>
        <v>0</v>
      </c>
      <c r="P34" s="178">
        <f ca="1">SUMIFS(rec.uni[2023-08-01],
INDIRECT("rec.uni[natureza]"),"repasse.cef.obra",
INDIRECT("rec.uni[empresa]"),P$6)</f>
        <v>0</v>
      </c>
      <c r="Q34" s="178">
        <f ca="1">SUMIFS(rec.uni[2023-08-01],
INDIRECT("rec.uni[natureza]"),"repasse.cef.terreno",
INDIRECT("rec.uni[empresa]"),Q$6)</f>
        <v>0</v>
      </c>
      <c r="R34" s="178">
        <v>327575.88</v>
      </c>
      <c r="S34" s="178">
        <f ca="1">SUMIFS(rec.uni[2023-08-01],
INDIRECT("rec.uni[natureza]"),"taxa.extra",
INDIRECT("rec.uni[empresa]"),S$6)</f>
        <v>0</v>
      </c>
      <c r="T34" s="166"/>
      <c r="U34" s="178" cm="1">
        <f t="array" ref="U34">SUMPRODUCT(
  IFERROR(--desp[valor],0)*
  (desp[nucleo]="UP VILA SONIA")*
  (desp[categoria]=U$7)*
  (desp[data.pagamento]&gt;=$A34)*
  (desp[data.pagamento]&lt;EOMONTH($A34,0)+1)
)</f>
        <v>0</v>
      </c>
      <c r="V34" s="178" cm="1">
        <f t="array" ref="V34">SUMPRODUCT(
  IFERROR(--desp[valor],0)*
  (desp[nucleo]="UP VILA SONIA")*
  (desp[categoria]=V$7)*
  (desp[data.pagamento]&gt;=$A34)*
  (desp[data.pagamento]&lt;EOMONTH($A34,0)+1)
)</f>
        <v>0</v>
      </c>
      <c r="W34" s="178" cm="1">
        <f t="array" ref="W34">SUMPRODUCT(
  IFERROR(--desp[valor],0)*
  (desp[nucleo]="UP VILA SONIA")*
  (desp[categoria]=W$7)*
  (desp[data.pagamento]&gt;=$A34)*
  (desp[data.pagamento]&lt;EOMONTH($A34,0)+1)
)</f>
        <v>0</v>
      </c>
      <c r="X34" s="178" cm="1">
        <f t="array" ref="X34">SUMPRODUCT(
  IFERROR(--desp[valor],0)*
  (desp[nucleo]="UP VILA SONIA")*
  (desp[categoria]=X$7)*
  (desp[data.pagamento]&gt;=$A34)*
  (desp[data.pagamento]&lt;EOMONTH($A34,0)+1)
)</f>
        <v>0</v>
      </c>
      <c r="Y34" s="179" cm="1">
        <f t="array" ref="Y34">SUMPRODUCT(
  IFERROR(--desp[valor],0)*
  (desp[nucleo]="UP VILA SONIA")*
  (desp[categoria]=Y$7)*
  (desp[data.pagamento]&gt;=$A34)*
  (desp[data.pagamento]&lt;EOMONTH($A34,0)+1)
)</f>
        <v>0</v>
      </c>
      <c r="Z34" s="177">
        <f>COUNTIFS(
    estq[empresa], Z$6,
    estq[Data da venda / reserva], "&gt;=" &amp; $A34,
    estq[Data da venda / reserva], "&lt;"  &amp; EOMONTH($A34,0) + 1
)</f>
        <v>0</v>
      </c>
      <c r="AA34" s="178">
        <f ca="1">SUMIFS(rec.uni[2023-08-01],
INDIRECT("rec.uni[natureza]"),"pro.soluto",
INDIRECT("rec.uni[empresa]"),AA$6)</f>
        <v>0</v>
      </c>
      <c r="AB34" s="178">
        <f ca="1">SUMIFS(rec.uni[2023-08-01],
INDIRECT("rec.uni[natureza]"),"pro.soluto",
INDIRECT("rec.uni[empresa]"),AB$6)</f>
        <v>0</v>
      </c>
      <c r="AC34" s="178">
        <f ca="1">SUMIFS(rec.uni[2023-08-01],
INDIRECT("rec.uni[natureza]"),"taxa.extra",
INDIRECT("rec.uni[empresa]"),AC$6)</f>
        <v>0</v>
      </c>
      <c r="AD34" s="166"/>
      <c r="AE34" s="178" cm="1">
        <f t="array" ref="AE34">SUMPRODUCT(
  IFERROR(--desp[valor],0)*
  (desp[nucleo]="UP CAMPO BELO")*
  (desp[categoria]=AE$7)*
  (desp[data.pagamento]&gt;=$A34)*
  (desp[data.pagamento]&lt;EOMONTH($A34,0)+1)
)</f>
        <v>0</v>
      </c>
      <c r="AF34" s="178" cm="1">
        <f t="array" ref="AF34">SUMPRODUCT(
  IFERROR(--desp[valor],0)*
  (desp[nucleo]="UP CAMPO BELO")*
  (desp[categoria]=AF$7)*
  (desp[data.pagamento]&gt;=$A34)*
  (desp[data.pagamento]&lt;EOMONTH($A34,0)+1)
)</f>
        <v>0</v>
      </c>
      <c r="AG34" s="178" cm="1">
        <f t="array" ref="AG34">SUMPRODUCT(
  IFERROR(--desp[valor],0)*
  (desp[nucleo]="UP CAMPO BELO")*
  (desp[categoria]=AG$7)*
  (desp[data.pagamento]&gt;=$A34)*
  (desp[data.pagamento]&lt;EOMONTH($A34,0)+1)
)</f>
        <v>0</v>
      </c>
      <c r="AH34" s="178" cm="1">
        <f t="array" ref="AH34">SUMPRODUCT(
  IFERROR(--desp[valor],0)*
  (desp[nucleo]="UP CAMPO BELO")*
  (desp[categoria]=AH$7)*
  (desp[data.pagamento]&gt;=$A34)*
  (desp[data.pagamento]&lt;EOMONTH($A34,0)+1)
)</f>
        <v>0</v>
      </c>
      <c r="AI34" s="179" cm="1">
        <f t="array" ref="AI34">SUMPRODUCT(
  IFERROR(--desp[valor],0)*
  (desp[nucleo]="UP CAMPO BELO")*
  (desp[categoria]=AI$7)*
  (desp[data.pagamento]&gt;=$A34)*
  (desp[data.pagamento]&lt;EOMONTH($A34,0)+1)
)</f>
        <v>0</v>
      </c>
      <c r="AJ34" s="177">
        <f>COUNTIFS(
    estq[empresa], AJ$6,
    estq[Data da venda / reserva], "&gt;=" &amp; $A34,
    estq[Data da venda / reserva], "&lt;"  &amp; EOMONTH($A34,0) + 1
)</f>
        <v>0</v>
      </c>
      <c r="AK34" s="178">
        <f ca="1">SUMIFS(rec.uni[2023-08-01],
INDIRECT("rec.uni[natureza]"),"pro.soluto",
INDIRECT("rec.uni[empresa]"),AK$6)</f>
        <v>0</v>
      </c>
      <c r="AL34" s="178">
        <f ca="1">SUMIFS(rec.uni[2023-08-01],
INDIRECT("rec.uni[natureza]"),"repasse.cef.obra",
INDIRECT("rec.uni[empresa]"),AL$6)</f>
        <v>0</v>
      </c>
      <c r="AM34" s="178">
        <f ca="1">SUMIFS(rec.uni[2023-08-01],
INDIRECT("rec.uni[natureza]"),"repasse.cef.terreno",
INDIRECT("rec.uni[empresa]"),AM$6)</f>
        <v>0</v>
      </c>
      <c r="AN34" s="178">
        <v>0</v>
      </c>
      <c r="AO34" s="178">
        <f ca="1">SUMIFS(rec.uni[2023-08-01],
INDIRECT("rec.uni[natureza]"),"taxa.extra",
INDIRECT("rec.uni[empresa]"),AO$6)</f>
        <v>0</v>
      </c>
      <c r="AP34" s="166"/>
      <c r="AQ34" s="178" cm="1">
        <f t="array" ref="AQ34">SUMPRODUCT(
  IFERROR(--desp[valor],0)*
  (desp[nucleo]="UP SELECT VILA SONIA")*
  (desp[categoria]=AQ$7)*
  (desp[data.pagamento]&gt;=$A34)*
  (desp[data.pagamento]&lt;EOMONTH($A34,0)+1)
)</f>
        <v>0</v>
      </c>
      <c r="AR34" s="178" cm="1">
        <f t="array" ref="AR34">SUMPRODUCT(
  IFERROR(--desp[valor],0)*
  (desp[nucleo]="UP SELECT VILA SONIA")*
  (desp[categoria]=AR$7)*
  (desp[data.pagamento]&gt;=$A34)*
  (desp[data.pagamento]&lt;EOMONTH($A34,0)+1)
)</f>
        <v>0</v>
      </c>
      <c r="AS34" s="178" cm="1">
        <f t="array" ref="AS34">SUMPRODUCT(
  IFERROR(--desp[valor],0)*
  (desp[nucleo]="UP SELECT VILA SONIA")*
  (desp[categoria]=AS$7)*
  (desp[data.pagamento]&gt;=$A34)*
  (desp[data.pagamento]&lt;EOMONTH($A34,0)+1)
)</f>
        <v>0</v>
      </c>
      <c r="AT34" s="178" cm="1">
        <f t="array" ref="AT34">SUMPRODUCT(
  IFERROR(--desp[valor],0)*
  (desp[nucleo]="UP SELECT VILA SONIA")*
  (desp[categoria]=AT$7)*
  (desp[data.pagamento]&gt;=$A34)*
  (desp[data.pagamento]&lt;EOMONTH($A34,0)+1)
)</f>
        <v>0</v>
      </c>
      <c r="AU34" s="179" cm="1">
        <f t="array" ref="AU34">SUMPRODUCT(
  IFERROR(--desp[valor],0)*
  (desp[nucleo]="UP SELECT VILA SONIA")*
  (desp[categoria]=AU$7)*
  (desp[data.pagamento]&gt;=$A34)*
  (desp[data.pagamento]&lt;EOMONTH($A34,0)+1)
)</f>
        <v>0</v>
      </c>
      <c r="AV34" s="177">
        <f>COUNTIFS(
    estq[empresa], AV$6,
    estq[Data da venda / reserva], "&gt;=" &amp; $A34,
    estq[Data da venda / reserva], "&lt;"  &amp; EOMONTH($A34,0) + 1
)</f>
        <v>0</v>
      </c>
      <c r="AW34" s="178">
        <f ca="1">SUMIFS(rec.uni[2023-08-01],
INDIRECT("rec.uni[natureza]"),"pro.soluto",
INDIRECT("rec.uni[empresa]"),AW$6)</f>
        <v>0</v>
      </c>
      <c r="AX34" s="178">
        <f ca="1">SUMIFS(rec.uni[2023-08-01],
INDIRECT("rec.uni[natureza]"),"repasse.cef.obra",
INDIRECT("rec.uni[empresa]"),AX$6)</f>
        <v>0</v>
      </c>
      <c r="AY34" s="178">
        <f ca="1">SUMIFS(rec.uni[2023-08-01],
INDIRECT("rec.uni[natureza]"),"repasse.cef.terreno",
INDIRECT("rec.uni[empresa]"),AY$6)</f>
        <v>0</v>
      </c>
      <c r="AZ34" s="178">
        <v>0</v>
      </c>
      <c r="BA34" s="178">
        <f ca="1">SUMIFS(rec.uni[2023-08-01],
INDIRECT("rec.uni[natureza]"),"taxa.extra",
INDIRECT("rec.uni[empresa]"),BA$6)</f>
        <v>0</v>
      </c>
      <c r="BB34" s="166"/>
      <c r="BC34" s="178" cm="1">
        <f t="array" ref="BC34">SUMPRODUCT(
  IFERROR(--desp[valor],0)*
  (desp[nucleo]="UP ESTAÇÃO SÃO LUCAS")*
  (desp[categoria]=BC$7)*
  (desp[data.pagamento]&gt;=$A34)*
  (desp[data.pagamento]&lt;EOMONTH($A34,0)+1)
)</f>
        <v>0</v>
      </c>
      <c r="BD34" s="178" cm="1">
        <f t="array" ref="BD34">SUMPRODUCT(
  IFERROR(--desp[valor],0)*
  (desp[nucleo]="UP ESTAÇÃO SÃO LUCAS")*
  (desp[categoria]=BD$7)*
  (desp[data.pagamento]&gt;=$A34)*
  (desp[data.pagamento]&lt;EOMONTH($A34,0)+1)
)</f>
        <v>0</v>
      </c>
      <c r="BE34" s="178" cm="1">
        <f t="array" ref="BE34">SUMPRODUCT(
  IFERROR(--desp[valor],0)*
  (desp[nucleo]="UP ESTAÇÃO SÃO LUCAS")*
  (desp[categoria]=BE$7)*
  (desp[data.pagamento]&gt;=$A34)*
  (desp[data.pagamento]&lt;EOMONTH($A34,0)+1)
)</f>
        <v>0</v>
      </c>
      <c r="BF34" s="178" cm="1">
        <f t="array" ref="BF34">SUMPRODUCT(
  IFERROR(--desp[valor],0)*
  (desp[nucleo]="UP ESTAÇÃO SÃO LUCAS")*
  (desp[categoria]=BF$7)*
  (desp[data.pagamento]&gt;=$A34)*
  (desp[data.pagamento]&lt;EOMONTH($A34,0)+1)
)</f>
        <v>0</v>
      </c>
      <c r="BG34" s="179" cm="1">
        <f t="array" ref="BG34">SUMPRODUCT(
  IFERROR(--desp[valor],0)*
  (desp[nucleo]="UP ESTAÇÃO SÃO LUCAS")*
  (desp[categoria]=BG$7)*
  (desp[data.pagamento]&gt;=$A34)*
  (desp[data.pagamento]&lt;EOMONTH($A34,0)+1)
)</f>
        <v>0</v>
      </c>
      <c r="BH34" s="177">
        <f>COUNTIFS(
    estq[empresa], BH$6,
    estq[Data da venda / reserva], "&gt;=" &amp; $A34,
    estq[Data da venda / reserva], "&lt;"  &amp; EOMONTH($A34,0) + 1
)</f>
        <v>0</v>
      </c>
      <c r="BI34" s="178">
        <f ca="1">SUMIFS(rec.uni[2023-08-01],
INDIRECT("rec.uni[natureza]"),"pro.soluto",
INDIRECT("rec.uni[empresa]"),BI$6)</f>
        <v>0</v>
      </c>
      <c r="BJ34" s="166">
        <v>0</v>
      </c>
      <c r="BK34" s="178">
        <f ca="1">SUMIFS(rec.uni[2023-08-01],
INDIRECT("rec.uni[natureza]"),"taxa.extra",
INDIRECT("rec.uni[empresa]"),BK$6)</f>
        <v>0</v>
      </c>
      <c r="BL34" s="166"/>
      <c r="BM34" s="178" cm="1">
        <f t="array" ref="BM34">SUMPRODUCT(
  IFERROR(--desp[valor],0)*
  (desp[nucleo]="UP POMPEIA")*
  (desp[categoria]=BM$7)*
  (desp[data.pagamento]&gt;=$A34)*
  (desp[data.pagamento]&lt;EOMONTH($A34,0)+1)
)</f>
        <v>0</v>
      </c>
      <c r="BN34" s="178" cm="1">
        <f t="array" ref="BN34">SUMPRODUCT(
  IFERROR(--desp[valor],0)*
  (desp[nucleo]="UP POMPEIA")*
  (desp[categoria]=BN$7)*
  (desp[data.pagamento]&gt;=$A34)*
  (desp[data.pagamento]&lt;EOMONTH($A34,0)+1)
)</f>
        <v>0</v>
      </c>
      <c r="BO34" s="178" cm="1">
        <f t="array" ref="BO34">SUMPRODUCT(
  IFERROR(--desp[valor],0)*
  (desp[nucleo]="UP POMPEIA")*
  (desp[categoria]=BO$7)*
  (desp[data.pagamento]&gt;=$A34)*
  (desp[data.pagamento]&lt;EOMONTH($A34,0)+1)
)</f>
        <v>0</v>
      </c>
      <c r="BP34" s="178" cm="1">
        <f t="array" ref="BP34">SUMPRODUCT(
  IFERROR(--desp[valor],0)*
  (desp[nucleo]="UP POMPEIA")*
  (desp[categoria]=BP$7)*
  (desp[data.pagamento]&gt;=$A34)*
  (desp[data.pagamento]&lt;EOMONTH($A34,0)+1)
)</f>
        <v>0</v>
      </c>
      <c r="BQ34" s="179" cm="1">
        <f t="array" ref="BQ34">SUMPRODUCT(
  IFERROR(--desp[valor],0)*
  (desp[nucleo]="UP POMPEIA")*
  (desp[categoria]=BQ$7)*
  (desp[data.pagamento]&gt;=$A34)*
  (desp[data.pagamento]&lt;EOMONTH($A34,0)+1)
)</f>
        <v>0</v>
      </c>
      <c r="BR34" s="177">
        <f>COUNTIFS(
    estq[empresa], BR$6,
    estq[Data da venda / reserva], "&gt;=" &amp; $A34,
    estq[Data da venda / reserva], "&lt;"  &amp; EOMONTH($A34,0) + 1
)</f>
        <v>0</v>
      </c>
      <c r="BS34" s="178">
        <f ca="1">SUMIFS(rec.uni[2023-08-01],
INDIRECT("rec.uni[natureza]"),"pro.soluto",
INDIRECT("rec.uni[empresa]"),BS$6)</f>
        <v>0</v>
      </c>
      <c r="BT34" s="178">
        <f ca="1">SUMIFS(rec.uni[2023-08-01],
INDIRECT("rec.uni[natureza]"),"pro.soluto",
INDIRECT("rec.uni[empresa]"),BT$6)</f>
        <v>0</v>
      </c>
      <c r="BU34" s="178">
        <f ca="1">SUMIFS(rec.uni[2023-08-01],
INDIRECT("rec.uni[natureza]"),"taxa.extra",
INDIRECT("rec.uni[empresa]"),BU$6)</f>
        <v>0</v>
      </c>
      <c r="BV34" s="166"/>
      <c r="BW34" s="178" cm="1">
        <f t="array" ref="BW34">SUMPRODUCT(
  IFERROR(--desp[valor],0)*
  (desp[nucleo]="UP SAUDE")*
  (desp[categoria]=BW$7)*
  (desp[data.pagamento]&gt;=$A34)*
  (desp[data.pagamento]&lt;EOMONTH($A34,0)+1)
)</f>
        <v>0</v>
      </c>
      <c r="BX34" s="178" cm="1">
        <f t="array" ref="BX34">SUMPRODUCT(
  IFERROR(--desp[valor],0)*
  (desp[nucleo]="UP SAUDE")*
  (desp[categoria]=BX$7)*
  (desp[data.pagamento]&gt;=$A34)*
  (desp[data.pagamento]&lt;EOMONTH($A34,0)+1)
)</f>
        <v>0</v>
      </c>
      <c r="BY34" s="178" cm="1">
        <f t="array" ref="BY34">SUMPRODUCT(
  IFERROR(--desp[valor],0)*
  (desp[nucleo]="UP SAUDE")*
  (desp[categoria]=BY$7)*
  (desp[data.pagamento]&gt;=$A34)*
  (desp[data.pagamento]&lt;EOMONTH($A34,0)+1)
)</f>
        <v>0</v>
      </c>
      <c r="BZ34" s="178" cm="1">
        <f t="array" ref="BZ34">SUMPRODUCT(
  IFERROR(--desp[valor],0)*
  (desp[nucleo]="UP SAUDE")*
  (desp[categoria]=BZ$7)*
  (desp[data.pagamento]&gt;=$A34)*
  (desp[data.pagamento]&lt;EOMONTH($A34,0)+1)
)</f>
        <v>0</v>
      </c>
      <c r="CA34" s="179" cm="1">
        <f t="array" ref="CA34">SUMPRODUCT(
  IFERROR(--desp[valor],0)*
  (desp[nucleo]="UP SAUDE")*
  (desp[categoria]=CA$7)*
  (desp[data.pagamento]&gt;=$A34)*
  (desp[data.pagamento]&lt;EOMONTH($A34,0)+1)
)</f>
        <v>0</v>
      </c>
      <c r="CB34" s="177">
        <f>COUNTIFS(
    estq[empresa], CB$6,
    estq[Data da venda / reserva], "&gt;=" &amp; $A34,
    estq[Data da venda / reserva], "&lt;"  &amp; EOMONTH($A34,0) + 1
)</f>
        <v>0</v>
      </c>
      <c r="CC34" s="178">
        <f ca="1">SUMIFS(rec.uni[2023-08-01],
INDIRECT("rec.uni[natureza]"),"pro.soluto",
INDIRECT("rec.uni[empresa]"),CC$6)</f>
        <v>0</v>
      </c>
      <c r="CD34" s="178">
        <f ca="1">SUMIFS(rec.uni[2023-08-01],
INDIRECT("rec.uni[natureza]"),"repasse.cef.obra",
INDIRECT("rec.uni[empresa]"),CD$6)</f>
        <v>0</v>
      </c>
      <c r="CE34" s="178">
        <f ca="1">SUMIFS(rec.uni[2023-08-01],
INDIRECT("rec.uni[natureza]"),"repasse.cef.terreno",
INDIRECT("rec.uni[empresa]"),CE$6)</f>
        <v>0</v>
      </c>
      <c r="CF34" s="178">
        <v>0</v>
      </c>
      <c r="CG34" s="178">
        <f ca="1">SUMIFS(rec.uni[2023-08-01],
INDIRECT("rec.uni[natureza]"),"taxa.extra",
INDIRECT("rec.uni[empresa]"),CG$6)</f>
        <v>0</v>
      </c>
      <c r="CH34" s="166"/>
      <c r="CI34" s="178" cm="1">
        <f t="array" ref="CI34">SUMPRODUCT(
  IFERROR(--desp[valor],0)*
  (desp[nucleo]="UP ESTAÇÃO VILA SONIA")*
  (desp[categoria]=CI$7)*
  (desp[data.pagamento]&gt;=$A34)*
  (desp[data.pagamento]&lt;EOMONTH($A34,0)+1)
)</f>
        <v>0</v>
      </c>
      <c r="CJ34" s="178" cm="1">
        <f t="array" ref="CJ34">SUMPRODUCT(
  IFERROR(--desp[valor],0)*
  (desp[nucleo]="UP ESTAÇÃO VILA SONIA")*
  (desp[categoria]=CJ$7)*
  (desp[data.pagamento]&gt;=$A34)*
  (desp[data.pagamento]&lt;EOMONTH($A34,0)+1)
)</f>
        <v>0</v>
      </c>
      <c r="CK34" s="178" cm="1">
        <f t="array" ref="CK34">SUMPRODUCT(
  IFERROR(--desp[valor],0)*
  (desp[nucleo]="UP ESTAÇÃO VILA SONIA")*
  (desp[categoria]=CK$7)*
  (desp[data.pagamento]&gt;=$A34)*
  (desp[data.pagamento]&lt;EOMONTH($A34,0)+1)
)</f>
        <v>0</v>
      </c>
      <c r="CL34" s="178" cm="1">
        <f t="array" ref="CL34">SUMPRODUCT(
  IFERROR(--desp[valor],0)*
  (desp[nucleo]="UP ESTAÇÃO VILA SONIA")*
  (desp[categoria]=CL$7)*
  (desp[data.pagamento]&gt;=$A34)*
  (desp[data.pagamento]&lt;EOMONTH($A34,0)+1)
)</f>
        <v>0</v>
      </c>
      <c r="CM34" s="179" cm="1">
        <f t="array" ref="CM34">SUMPRODUCT(
  IFERROR(--desp[valor],0)*
  (desp[nucleo]="UP ESTAÇÃO VILA SONIA")*
  (desp[categoria]=CM$7)*
  (desp[data.pagamento]&gt;=$A34)*
  (desp[data.pagamento]&lt;EOMONTH($A34,0)+1)
)</f>
        <v>0</v>
      </c>
      <c r="CN34" s="177">
        <f>COUNTIFS(
    estq[empresa], CN$6,
    estq[Data da venda / reserva], "&gt;=" &amp; $A34,
    estq[Data da venda / reserva], "&lt;"  &amp; EOMONTH($A34,0) + 1
)</f>
        <v>0</v>
      </c>
      <c r="CO34" s="178">
        <f ca="1">SUMIFS(rec.uni[2023-08-01],
INDIRECT("rec.uni[natureza]"),"pro.soluto",
INDIRECT("rec.uni[empresa]"),CO$6)</f>
        <v>0</v>
      </c>
      <c r="CP34" s="178">
        <f ca="1">SUMIFS(rec.uni[2023-08-01],
INDIRECT("rec.uni[natureza]"),"repasse.cef.obra",
INDIRECT("rec.uni[empresa]"),CP$6)</f>
        <v>0</v>
      </c>
      <c r="CQ34" s="178">
        <f ca="1">SUMIFS(rec.uni[2023-08-01],
INDIRECT("rec.uni[natureza]"),"repasse.cef.terreno",
INDIRECT("rec.uni[empresa]"),CQ$6)</f>
        <v>0</v>
      </c>
      <c r="CR34" s="178">
        <v>0</v>
      </c>
      <c r="CS34" s="178">
        <f ca="1">SUMIFS(rec.uni[2023-08-01],
INDIRECT("rec.uni[natureza]"),"taxa.extra",
INDIRECT("rec.uni[empresa]"),CS$6)</f>
        <v>0</v>
      </c>
      <c r="CT34" s="166"/>
      <c r="CU34" s="178" cm="1">
        <f t="array" ref="CU34">SUMPRODUCT(
  IFERROR(--desp[valor],0)*
  (desp[nucleo]="UP MOVE VILA SONIA")*
  (desp[categoria]=CU$7)*
  (desp[data.pagamento]&gt;=$A34)*
  (desp[data.pagamento]&lt;EOMONTH($A34,0)+1)
)</f>
        <v>0</v>
      </c>
      <c r="CV34" s="178" cm="1">
        <f t="array" ref="CV34">SUMPRODUCT(
  IFERROR(--desp[valor],0)*
  (desp[nucleo]="UP MOVE VILA SONIA")*
  (desp[categoria]=CV$7)*
  (desp[data.pagamento]&gt;=$A34)*
  (desp[data.pagamento]&lt;EOMONTH($A34,0)+1)
)</f>
        <v>0</v>
      </c>
      <c r="CW34" s="178" cm="1">
        <f t="array" ref="CW34">SUMPRODUCT(
  IFERROR(--desp[valor],0)*
  (desp[nucleo]="UP MOVE VILA SONIA")*
  (desp[categoria]=CW$7)*
  (desp[data.pagamento]&gt;=$A34)*
  (desp[data.pagamento]&lt;EOMONTH($A34,0)+1)
)</f>
        <v>0</v>
      </c>
      <c r="CX34" s="178" cm="1">
        <f t="array" ref="CX34">SUMPRODUCT(
  IFERROR(--desp[valor],0)*
  (desp[nucleo]="UP MOVE VILA SONIA")*
  (desp[categoria]=CX$7)*
  (desp[data.pagamento]&gt;=$A34)*
  (desp[data.pagamento]&lt;EOMONTH($A34,0)+1)
)</f>
        <v>0</v>
      </c>
      <c r="CY34" s="180" cm="1">
        <f t="array" ref="CY34">SUMPRODUCT(
  IFERROR(--desp[valor],0)*
  (desp[nucleo]="UP MOVE VILA SONIA")*
  (desp[categoria]=CY$7)*
  (desp[data.pagamento]&gt;=$A34)*
  (desp[data.pagamento]&lt;EOMONTH($A34,0)+1)
)</f>
        <v>0</v>
      </c>
    </row>
    <row r="35" spans="1:103" x14ac:dyDescent="0.25">
      <c r="A35" s="176">
        <v>45170</v>
      </c>
      <c r="B35" s="177">
        <f>COUNTIFS(
    estq[empresa], B$6,
    estq[Data da venda / reserva], "&gt;=" &amp; $A35,
    estq[Data da venda / reserva], "&lt;"  &amp; EOMONTH($A35,0) + 1
)</f>
        <v>0</v>
      </c>
      <c r="C35" s="178">
        <f ca="1">SUMIFS(rec.uni[2023-09-01],
INDIRECT("rec.uni[natureza]"),"pro.soluto",
INDIRECT("rec.uni[empresa]"),C$6)</f>
        <v>0</v>
      </c>
      <c r="D35" s="178">
        <f ca="1">SUMIFS(rec.uni[2023-09-01],
INDIRECT("rec.uni[natureza]"),"repasse.cef.obra",
INDIRECT("rec.uni[empresa]"),D$6)</f>
        <v>0</v>
      </c>
      <c r="E35" s="178">
        <f ca="1">SUMIFS(rec.uni[2023-09-01],
INDIRECT("rec.uni[natureza]"),"repasse.cef.terreno",
INDIRECT("rec.uni[empresa]"),E$6)</f>
        <v>0</v>
      </c>
      <c r="F35" s="178">
        <v>0</v>
      </c>
      <c r="G35" s="178">
        <f ca="1">SUMIFS(rec.uni[2023-09-01],
INDIRECT("rec.uni[natureza]"),"taxa.extra",
INDIRECT("rec.uni[empresa]"),G$6)</f>
        <v>0</v>
      </c>
      <c r="H35" s="166"/>
      <c r="I35" s="178" cm="1">
        <f t="array" ref="I35">SUMPRODUCT(
  IFERROR(--desp[valor],0)*
  (desp[nucleo]="UP JARDIM PRUDENCIA")*
  (desp[categoria]=I$7)*
  (desp[data.pagamento]&gt;=$A35)*
  (desp[data.pagamento]&lt;EOMONTH($A35,0)+1)
)</f>
        <v>0</v>
      </c>
      <c r="J35" s="178" cm="1">
        <f t="array" ref="J35">SUMPRODUCT(
  IFERROR(--desp[valor],0)*
  (desp[nucleo]="UP JARDIM PRUDENCIA")*
  (desp[categoria]=J$7)*
  (desp[data.pagamento]&gt;=$A35)*
  (desp[data.pagamento]&lt;EOMONTH($A35,0)+1)
)</f>
        <v>0</v>
      </c>
      <c r="K35" s="178" cm="1">
        <f t="array" ref="K35">SUMPRODUCT(
  IFERROR(--desp[valor],0)*
  (desp[nucleo]="UP JARDIM PRUDENCIA")*
  (desp[categoria]=K$7)*
  (desp[data.pagamento]&gt;=$A35)*
  (desp[data.pagamento]&lt;EOMONTH($A35,0)+1)
)</f>
        <v>0</v>
      </c>
      <c r="L35" s="178" cm="1">
        <f t="array" ref="L35">SUMPRODUCT(
  IFERROR(--desp[valor],0)*
  (desp[nucleo]="UP JARDIM PRUDENCIA")*
  (desp[categoria]=L$7)*
  (desp[data.pagamento]&gt;=$A35)*
  (desp[data.pagamento]&lt;EOMONTH($A35,0)+1)
)</f>
        <v>0</v>
      </c>
      <c r="M35" s="179" cm="1">
        <f t="array" ref="M35">SUMPRODUCT(
  IFERROR(--desp[valor],0)*
  (desp[nucleo]="UP JARDIM PRUDENCIA")*
  (desp[categoria]=M$7)*
  (desp[data.pagamento]&gt;=$A35)*
  (desp[data.pagamento]&lt;EOMONTH($A35,0)+1)
)</f>
        <v>0</v>
      </c>
      <c r="N35" s="177">
        <f>COUNTIFS(
    estq[empresa], N$6,
    estq[Data da venda / reserva], "&gt;=" &amp; $A35,
    estq[Data da venda / reserva], "&lt;"  &amp; EOMONTH($A35,0) + 1
)</f>
        <v>0</v>
      </c>
      <c r="O35" s="178">
        <f ca="1">SUMIFS(rec.uni[2023-09-01],
INDIRECT("rec.uni[natureza]"),"pro.soluto",
INDIRECT("rec.uni[empresa]"),O$6)</f>
        <v>0</v>
      </c>
      <c r="P35" s="178">
        <f ca="1">SUMIFS(rec.uni[2023-09-01],
INDIRECT("rec.uni[natureza]"),"repasse.cef.obra",
INDIRECT("rec.uni[empresa]"),P$6)</f>
        <v>0</v>
      </c>
      <c r="Q35" s="178">
        <f ca="1">SUMIFS(rec.uni[2023-09-01],
INDIRECT("rec.uni[natureza]"),"repasse.cef.terreno",
INDIRECT("rec.uni[empresa]"),Q$6)</f>
        <v>0</v>
      </c>
      <c r="R35" s="178">
        <v>445799.01</v>
      </c>
      <c r="S35" s="178">
        <f ca="1">SUMIFS(rec.uni[2023-09-01],
INDIRECT("rec.uni[natureza]"),"taxa.extra",
INDIRECT("rec.uni[empresa]"),S$6)</f>
        <v>0</v>
      </c>
      <c r="T35" s="166"/>
      <c r="U35" s="178" cm="1">
        <f t="array" ref="U35">SUMPRODUCT(
  IFERROR(--desp[valor],0)*
  (desp[nucleo]="UP VILA SONIA")*
  (desp[categoria]=U$7)*
  (desp[data.pagamento]&gt;=$A35)*
  (desp[data.pagamento]&lt;EOMONTH($A35,0)+1)
)</f>
        <v>0</v>
      </c>
      <c r="V35" s="178" cm="1">
        <f t="array" ref="V35">SUMPRODUCT(
  IFERROR(--desp[valor],0)*
  (desp[nucleo]="UP VILA SONIA")*
  (desp[categoria]=V$7)*
  (desp[data.pagamento]&gt;=$A35)*
  (desp[data.pagamento]&lt;EOMONTH($A35,0)+1)
)</f>
        <v>0</v>
      </c>
      <c r="W35" s="178" cm="1">
        <f t="array" ref="W35">SUMPRODUCT(
  IFERROR(--desp[valor],0)*
  (desp[nucleo]="UP VILA SONIA")*
  (desp[categoria]=W$7)*
  (desp[data.pagamento]&gt;=$A35)*
  (desp[data.pagamento]&lt;EOMONTH($A35,0)+1)
)</f>
        <v>0</v>
      </c>
      <c r="X35" s="178" cm="1">
        <f t="array" ref="X35">SUMPRODUCT(
  IFERROR(--desp[valor],0)*
  (desp[nucleo]="UP VILA SONIA")*
  (desp[categoria]=X$7)*
  (desp[data.pagamento]&gt;=$A35)*
  (desp[data.pagamento]&lt;EOMONTH($A35,0)+1)
)</f>
        <v>0</v>
      </c>
      <c r="Y35" s="179" cm="1">
        <f t="array" ref="Y35">SUMPRODUCT(
  IFERROR(--desp[valor],0)*
  (desp[nucleo]="UP VILA SONIA")*
  (desp[categoria]=Y$7)*
  (desp[data.pagamento]&gt;=$A35)*
  (desp[data.pagamento]&lt;EOMONTH($A35,0)+1)
)</f>
        <v>0</v>
      </c>
      <c r="Z35" s="177">
        <f>COUNTIFS(
    estq[empresa], Z$6,
    estq[Data da venda / reserva], "&gt;=" &amp; $A35,
    estq[Data da venda / reserva], "&lt;"  &amp; EOMONTH($A35,0) + 1
)</f>
        <v>0</v>
      </c>
      <c r="AA35" s="178">
        <f ca="1">SUMIFS(rec.uni[2023-09-01],
INDIRECT("rec.uni[natureza]"),"pro.soluto",
INDIRECT("rec.uni[empresa]"),AA$6)</f>
        <v>0</v>
      </c>
      <c r="AB35" s="178">
        <f ca="1">SUMIFS(rec.uni[2023-09-01],
INDIRECT("rec.uni[natureza]"),"pro.soluto",
INDIRECT("rec.uni[empresa]"),AB$6)</f>
        <v>0</v>
      </c>
      <c r="AC35" s="178">
        <f ca="1">SUMIFS(rec.uni[2023-09-01],
INDIRECT("rec.uni[natureza]"),"taxa.extra",
INDIRECT("rec.uni[empresa]"),AC$6)</f>
        <v>0</v>
      </c>
      <c r="AD35" s="166"/>
      <c r="AE35" s="178" cm="1">
        <f t="array" ref="AE35">SUMPRODUCT(
  IFERROR(--desp[valor],0)*
  (desp[nucleo]="UP CAMPO BELO")*
  (desp[categoria]=AE$7)*
  (desp[data.pagamento]&gt;=$A35)*
  (desp[data.pagamento]&lt;EOMONTH($A35,0)+1)
)</f>
        <v>0</v>
      </c>
      <c r="AF35" s="178" cm="1">
        <f t="array" ref="AF35">SUMPRODUCT(
  IFERROR(--desp[valor],0)*
  (desp[nucleo]="UP CAMPO BELO")*
  (desp[categoria]=AF$7)*
  (desp[data.pagamento]&gt;=$A35)*
  (desp[data.pagamento]&lt;EOMONTH($A35,0)+1)
)</f>
        <v>0</v>
      </c>
      <c r="AG35" s="178" cm="1">
        <f t="array" ref="AG35">SUMPRODUCT(
  IFERROR(--desp[valor],0)*
  (desp[nucleo]="UP CAMPO BELO")*
  (desp[categoria]=AG$7)*
  (desp[data.pagamento]&gt;=$A35)*
  (desp[data.pagamento]&lt;EOMONTH($A35,0)+1)
)</f>
        <v>0</v>
      </c>
      <c r="AH35" s="178" cm="1">
        <f t="array" ref="AH35">SUMPRODUCT(
  IFERROR(--desp[valor],0)*
  (desp[nucleo]="UP CAMPO BELO")*
  (desp[categoria]=AH$7)*
  (desp[data.pagamento]&gt;=$A35)*
  (desp[data.pagamento]&lt;EOMONTH($A35,0)+1)
)</f>
        <v>0</v>
      </c>
      <c r="AI35" s="179" cm="1">
        <f t="array" ref="AI35">SUMPRODUCT(
  IFERROR(--desp[valor],0)*
  (desp[nucleo]="UP CAMPO BELO")*
  (desp[categoria]=AI$7)*
  (desp[data.pagamento]&gt;=$A35)*
  (desp[data.pagamento]&lt;EOMONTH($A35,0)+1)
)</f>
        <v>0</v>
      </c>
      <c r="AJ35" s="177">
        <f>COUNTIFS(
    estq[empresa], AJ$6,
    estq[Data da venda / reserva], "&gt;=" &amp; $A35,
    estq[Data da venda / reserva], "&lt;"  &amp; EOMONTH($A35,0) + 1
)</f>
        <v>0</v>
      </c>
      <c r="AK35" s="178">
        <f ca="1">SUMIFS(rec.uni[2023-09-01],
INDIRECT("rec.uni[natureza]"),"pro.soluto",
INDIRECT("rec.uni[empresa]"),AK$6)</f>
        <v>0</v>
      </c>
      <c r="AL35" s="178">
        <f ca="1">SUMIFS(rec.uni[2023-09-01],
INDIRECT("rec.uni[natureza]"),"repasse.cef.obra",
INDIRECT("rec.uni[empresa]"),AL$6)</f>
        <v>0</v>
      </c>
      <c r="AM35" s="178">
        <f ca="1">SUMIFS(rec.uni[2023-09-01],
INDIRECT("rec.uni[natureza]"),"repasse.cef.terreno",
INDIRECT("rec.uni[empresa]"),AM$6)</f>
        <v>0</v>
      </c>
      <c r="AN35" s="178">
        <v>0</v>
      </c>
      <c r="AO35" s="178">
        <f ca="1">SUMIFS(rec.uni[2023-09-01],
INDIRECT("rec.uni[natureza]"),"taxa.extra",
INDIRECT("rec.uni[empresa]"),AO$6)</f>
        <v>0</v>
      </c>
      <c r="AP35" s="166"/>
      <c r="AQ35" s="178" cm="1">
        <f t="array" ref="AQ35">SUMPRODUCT(
  IFERROR(--desp[valor],0)*
  (desp[nucleo]="UP SELECT VILA SONIA")*
  (desp[categoria]=AQ$7)*
  (desp[data.pagamento]&gt;=$A35)*
  (desp[data.pagamento]&lt;EOMONTH($A35,0)+1)
)</f>
        <v>0</v>
      </c>
      <c r="AR35" s="178" cm="1">
        <f t="array" ref="AR35">SUMPRODUCT(
  IFERROR(--desp[valor],0)*
  (desp[nucleo]="UP SELECT VILA SONIA")*
  (desp[categoria]=AR$7)*
  (desp[data.pagamento]&gt;=$A35)*
  (desp[data.pagamento]&lt;EOMONTH($A35,0)+1)
)</f>
        <v>0</v>
      </c>
      <c r="AS35" s="178" cm="1">
        <f t="array" ref="AS35">SUMPRODUCT(
  IFERROR(--desp[valor],0)*
  (desp[nucleo]="UP SELECT VILA SONIA")*
  (desp[categoria]=AS$7)*
  (desp[data.pagamento]&gt;=$A35)*
  (desp[data.pagamento]&lt;EOMONTH($A35,0)+1)
)</f>
        <v>0</v>
      </c>
      <c r="AT35" s="178" cm="1">
        <f t="array" ref="AT35">SUMPRODUCT(
  IFERROR(--desp[valor],0)*
  (desp[nucleo]="UP SELECT VILA SONIA")*
  (desp[categoria]=AT$7)*
  (desp[data.pagamento]&gt;=$A35)*
  (desp[data.pagamento]&lt;EOMONTH($A35,0)+1)
)</f>
        <v>0</v>
      </c>
      <c r="AU35" s="179" cm="1">
        <f t="array" ref="AU35">SUMPRODUCT(
  IFERROR(--desp[valor],0)*
  (desp[nucleo]="UP SELECT VILA SONIA")*
  (desp[categoria]=AU$7)*
  (desp[data.pagamento]&gt;=$A35)*
  (desp[data.pagamento]&lt;EOMONTH($A35,0)+1)
)</f>
        <v>0</v>
      </c>
      <c r="AV35" s="177">
        <f>COUNTIFS(
    estq[empresa], AV$6,
    estq[Data da venda / reserva], "&gt;=" &amp; $A35,
    estq[Data da venda / reserva], "&lt;"  &amp; EOMONTH($A35,0) + 1
)</f>
        <v>0</v>
      </c>
      <c r="AW35" s="178">
        <f ca="1">SUMIFS(rec.uni[2023-09-01],
INDIRECT("rec.uni[natureza]"),"pro.soluto",
INDIRECT("rec.uni[empresa]"),AW$6)</f>
        <v>0</v>
      </c>
      <c r="AX35" s="178">
        <f ca="1">SUMIFS(rec.uni[2023-09-01],
INDIRECT("rec.uni[natureza]"),"repasse.cef.obra",
INDIRECT("rec.uni[empresa]"),AX$6)</f>
        <v>0</v>
      </c>
      <c r="AY35" s="178">
        <f ca="1">SUMIFS(rec.uni[2023-09-01],
INDIRECT("rec.uni[natureza]"),"repasse.cef.terreno",
INDIRECT("rec.uni[empresa]"),AY$6)</f>
        <v>0</v>
      </c>
      <c r="AZ35" s="178">
        <v>0</v>
      </c>
      <c r="BA35" s="178">
        <f ca="1">SUMIFS(rec.uni[2023-09-01],
INDIRECT("rec.uni[natureza]"),"taxa.extra",
INDIRECT("rec.uni[empresa]"),BA$6)</f>
        <v>0</v>
      </c>
      <c r="BB35" s="166"/>
      <c r="BC35" s="178" cm="1">
        <f t="array" ref="BC35">SUMPRODUCT(
  IFERROR(--desp[valor],0)*
  (desp[nucleo]="UP ESTAÇÃO SÃO LUCAS")*
  (desp[categoria]=BC$7)*
  (desp[data.pagamento]&gt;=$A35)*
  (desp[data.pagamento]&lt;EOMONTH($A35,0)+1)
)</f>
        <v>0</v>
      </c>
      <c r="BD35" s="178" cm="1">
        <f t="array" ref="BD35">SUMPRODUCT(
  IFERROR(--desp[valor],0)*
  (desp[nucleo]="UP ESTAÇÃO SÃO LUCAS")*
  (desp[categoria]=BD$7)*
  (desp[data.pagamento]&gt;=$A35)*
  (desp[data.pagamento]&lt;EOMONTH($A35,0)+1)
)</f>
        <v>0</v>
      </c>
      <c r="BE35" s="178" cm="1">
        <f t="array" ref="BE35">SUMPRODUCT(
  IFERROR(--desp[valor],0)*
  (desp[nucleo]="UP ESTAÇÃO SÃO LUCAS")*
  (desp[categoria]=BE$7)*
  (desp[data.pagamento]&gt;=$A35)*
  (desp[data.pagamento]&lt;EOMONTH($A35,0)+1)
)</f>
        <v>0</v>
      </c>
      <c r="BF35" s="178" cm="1">
        <f t="array" ref="BF35">SUMPRODUCT(
  IFERROR(--desp[valor],0)*
  (desp[nucleo]="UP ESTAÇÃO SÃO LUCAS")*
  (desp[categoria]=BF$7)*
  (desp[data.pagamento]&gt;=$A35)*
  (desp[data.pagamento]&lt;EOMONTH($A35,0)+1)
)</f>
        <v>0</v>
      </c>
      <c r="BG35" s="179" cm="1">
        <f t="array" ref="BG35">SUMPRODUCT(
  IFERROR(--desp[valor],0)*
  (desp[nucleo]="UP ESTAÇÃO SÃO LUCAS")*
  (desp[categoria]=BG$7)*
  (desp[data.pagamento]&gt;=$A35)*
  (desp[data.pagamento]&lt;EOMONTH($A35,0)+1)
)</f>
        <v>0</v>
      </c>
      <c r="BH35" s="177">
        <f>COUNTIFS(
    estq[empresa], BH$6,
    estq[Data da venda / reserva], "&gt;=" &amp; $A35,
    estq[Data da venda / reserva], "&lt;"  &amp; EOMONTH($A35,0) + 1
)</f>
        <v>0</v>
      </c>
      <c r="BI35" s="178">
        <f ca="1">SUMIFS(rec.uni[2023-09-01],
INDIRECT("rec.uni[natureza]"),"pro.soluto",
INDIRECT("rec.uni[empresa]"),BI$6)</f>
        <v>0</v>
      </c>
      <c r="BJ35" s="166">
        <v>0</v>
      </c>
      <c r="BK35" s="178">
        <f ca="1">SUMIFS(rec.uni[2023-09-01],
INDIRECT("rec.uni[natureza]"),"taxa.extra",
INDIRECT("rec.uni[empresa]"),BK$6)</f>
        <v>0</v>
      </c>
      <c r="BL35" s="166"/>
      <c r="BM35" s="178" cm="1">
        <f t="array" ref="BM35">SUMPRODUCT(
  IFERROR(--desp[valor],0)*
  (desp[nucleo]="UP POMPEIA")*
  (desp[categoria]=BM$7)*
  (desp[data.pagamento]&gt;=$A35)*
  (desp[data.pagamento]&lt;EOMONTH($A35,0)+1)
)</f>
        <v>0</v>
      </c>
      <c r="BN35" s="178" cm="1">
        <f t="array" ref="BN35">SUMPRODUCT(
  IFERROR(--desp[valor],0)*
  (desp[nucleo]="UP POMPEIA")*
  (desp[categoria]=BN$7)*
  (desp[data.pagamento]&gt;=$A35)*
  (desp[data.pagamento]&lt;EOMONTH($A35,0)+1)
)</f>
        <v>0</v>
      </c>
      <c r="BO35" s="178" cm="1">
        <f t="array" ref="BO35">SUMPRODUCT(
  IFERROR(--desp[valor],0)*
  (desp[nucleo]="UP POMPEIA")*
  (desp[categoria]=BO$7)*
  (desp[data.pagamento]&gt;=$A35)*
  (desp[data.pagamento]&lt;EOMONTH($A35,0)+1)
)</f>
        <v>0</v>
      </c>
      <c r="BP35" s="178" cm="1">
        <f t="array" ref="BP35">SUMPRODUCT(
  IFERROR(--desp[valor],0)*
  (desp[nucleo]="UP POMPEIA")*
  (desp[categoria]=BP$7)*
  (desp[data.pagamento]&gt;=$A35)*
  (desp[data.pagamento]&lt;EOMONTH($A35,0)+1)
)</f>
        <v>0</v>
      </c>
      <c r="BQ35" s="179" cm="1">
        <f t="array" ref="BQ35">SUMPRODUCT(
  IFERROR(--desp[valor],0)*
  (desp[nucleo]="UP POMPEIA")*
  (desp[categoria]=BQ$7)*
  (desp[data.pagamento]&gt;=$A35)*
  (desp[data.pagamento]&lt;EOMONTH($A35,0)+1)
)</f>
        <v>0</v>
      </c>
      <c r="BR35" s="177">
        <f>COUNTIFS(
    estq[empresa], BR$6,
    estq[Data da venda / reserva], "&gt;=" &amp; $A35,
    estq[Data da venda / reserva], "&lt;"  &amp; EOMONTH($A35,0) + 1
)</f>
        <v>0</v>
      </c>
      <c r="BS35" s="178">
        <f ca="1">SUMIFS(rec.uni[2023-09-01],
INDIRECT("rec.uni[natureza]"),"pro.soluto",
INDIRECT("rec.uni[empresa]"),BS$6)</f>
        <v>0</v>
      </c>
      <c r="BT35" s="178">
        <f ca="1">SUMIFS(rec.uni[2023-09-01],
INDIRECT("rec.uni[natureza]"),"pro.soluto",
INDIRECT("rec.uni[empresa]"),BT$6)</f>
        <v>0</v>
      </c>
      <c r="BU35" s="178">
        <f ca="1">SUMIFS(rec.uni[2023-09-01],
INDIRECT("rec.uni[natureza]"),"taxa.extra",
INDIRECT("rec.uni[empresa]"),BU$6)</f>
        <v>0</v>
      </c>
      <c r="BV35" s="166"/>
      <c r="BW35" s="178" cm="1">
        <f t="array" ref="BW35">SUMPRODUCT(
  IFERROR(--desp[valor],0)*
  (desp[nucleo]="UP SAUDE")*
  (desp[categoria]=BW$7)*
  (desp[data.pagamento]&gt;=$A35)*
  (desp[data.pagamento]&lt;EOMONTH($A35,0)+1)
)</f>
        <v>0</v>
      </c>
      <c r="BX35" s="178" cm="1">
        <f t="array" ref="BX35">SUMPRODUCT(
  IFERROR(--desp[valor],0)*
  (desp[nucleo]="UP SAUDE")*
  (desp[categoria]=BX$7)*
  (desp[data.pagamento]&gt;=$A35)*
  (desp[data.pagamento]&lt;EOMONTH($A35,0)+1)
)</f>
        <v>0</v>
      </c>
      <c r="BY35" s="178" cm="1">
        <f t="array" ref="BY35">SUMPRODUCT(
  IFERROR(--desp[valor],0)*
  (desp[nucleo]="UP SAUDE")*
  (desp[categoria]=BY$7)*
  (desp[data.pagamento]&gt;=$A35)*
  (desp[data.pagamento]&lt;EOMONTH($A35,0)+1)
)</f>
        <v>0</v>
      </c>
      <c r="BZ35" s="178" cm="1">
        <f t="array" ref="BZ35">SUMPRODUCT(
  IFERROR(--desp[valor],0)*
  (desp[nucleo]="UP SAUDE")*
  (desp[categoria]=BZ$7)*
  (desp[data.pagamento]&gt;=$A35)*
  (desp[data.pagamento]&lt;EOMONTH($A35,0)+1)
)</f>
        <v>0</v>
      </c>
      <c r="CA35" s="179" cm="1">
        <f t="array" ref="CA35">SUMPRODUCT(
  IFERROR(--desp[valor],0)*
  (desp[nucleo]="UP SAUDE")*
  (desp[categoria]=CA$7)*
  (desp[data.pagamento]&gt;=$A35)*
  (desp[data.pagamento]&lt;EOMONTH($A35,0)+1)
)</f>
        <v>0</v>
      </c>
      <c r="CB35" s="177">
        <f>COUNTIFS(
    estq[empresa], CB$6,
    estq[Data da venda / reserva], "&gt;=" &amp; $A35,
    estq[Data da venda / reserva], "&lt;"  &amp; EOMONTH($A35,0) + 1
)</f>
        <v>0</v>
      </c>
      <c r="CC35" s="178">
        <f ca="1">SUMIFS(rec.uni[2023-09-01],
INDIRECT("rec.uni[natureza]"),"pro.soluto",
INDIRECT("rec.uni[empresa]"),CC$6)</f>
        <v>0</v>
      </c>
      <c r="CD35" s="178">
        <f ca="1">SUMIFS(rec.uni[2023-09-01],
INDIRECT("rec.uni[natureza]"),"repasse.cef.obra",
INDIRECT("rec.uni[empresa]"),CD$6)</f>
        <v>0</v>
      </c>
      <c r="CE35" s="178">
        <f ca="1">SUMIFS(rec.uni[2023-09-01],
INDIRECT("rec.uni[natureza]"),"repasse.cef.terreno",
INDIRECT("rec.uni[empresa]"),CE$6)</f>
        <v>0</v>
      </c>
      <c r="CF35" s="178">
        <v>0</v>
      </c>
      <c r="CG35" s="178">
        <f ca="1">SUMIFS(rec.uni[2023-09-01],
INDIRECT("rec.uni[natureza]"),"taxa.extra",
INDIRECT("rec.uni[empresa]"),CG$6)</f>
        <v>0</v>
      </c>
      <c r="CH35" s="166"/>
      <c r="CI35" s="178" cm="1">
        <f t="array" ref="CI35">SUMPRODUCT(
  IFERROR(--desp[valor],0)*
  (desp[nucleo]="UP ESTAÇÃO VILA SONIA")*
  (desp[categoria]=CI$7)*
  (desp[data.pagamento]&gt;=$A35)*
  (desp[data.pagamento]&lt;EOMONTH($A35,0)+1)
)</f>
        <v>0</v>
      </c>
      <c r="CJ35" s="178" cm="1">
        <f t="array" ref="CJ35">SUMPRODUCT(
  IFERROR(--desp[valor],0)*
  (desp[nucleo]="UP ESTAÇÃO VILA SONIA")*
  (desp[categoria]=CJ$7)*
  (desp[data.pagamento]&gt;=$A35)*
  (desp[data.pagamento]&lt;EOMONTH($A35,0)+1)
)</f>
        <v>0</v>
      </c>
      <c r="CK35" s="178" cm="1">
        <f t="array" ref="CK35">SUMPRODUCT(
  IFERROR(--desp[valor],0)*
  (desp[nucleo]="UP ESTAÇÃO VILA SONIA")*
  (desp[categoria]=CK$7)*
  (desp[data.pagamento]&gt;=$A35)*
  (desp[data.pagamento]&lt;EOMONTH($A35,0)+1)
)</f>
        <v>0</v>
      </c>
      <c r="CL35" s="178" cm="1">
        <f t="array" ref="CL35">SUMPRODUCT(
  IFERROR(--desp[valor],0)*
  (desp[nucleo]="UP ESTAÇÃO VILA SONIA")*
  (desp[categoria]=CL$7)*
  (desp[data.pagamento]&gt;=$A35)*
  (desp[data.pagamento]&lt;EOMONTH($A35,0)+1)
)</f>
        <v>0</v>
      </c>
      <c r="CM35" s="179" cm="1">
        <f t="array" ref="CM35">SUMPRODUCT(
  IFERROR(--desp[valor],0)*
  (desp[nucleo]="UP ESTAÇÃO VILA SONIA")*
  (desp[categoria]=CM$7)*
  (desp[data.pagamento]&gt;=$A35)*
  (desp[data.pagamento]&lt;EOMONTH($A35,0)+1)
)</f>
        <v>0</v>
      </c>
      <c r="CN35" s="177">
        <f>COUNTIFS(
    estq[empresa], CN$6,
    estq[Data da venda / reserva], "&gt;=" &amp; $A35,
    estq[Data da venda / reserva], "&lt;"  &amp; EOMONTH($A35,0) + 1
)</f>
        <v>0</v>
      </c>
      <c r="CO35" s="178">
        <f ca="1">SUMIFS(rec.uni[2023-09-01],
INDIRECT("rec.uni[natureza]"),"pro.soluto",
INDIRECT("rec.uni[empresa]"),CO$6)</f>
        <v>0</v>
      </c>
      <c r="CP35" s="178">
        <f ca="1">SUMIFS(rec.uni[2023-09-01],
INDIRECT("rec.uni[natureza]"),"repasse.cef.obra",
INDIRECT("rec.uni[empresa]"),CP$6)</f>
        <v>0</v>
      </c>
      <c r="CQ35" s="178">
        <f ca="1">SUMIFS(rec.uni[2023-09-01],
INDIRECT("rec.uni[natureza]"),"repasse.cef.terreno",
INDIRECT("rec.uni[empresa]"),CQ$6)</f>
        <v>0</v>
      </c>
      <c r="CR35" s="178">
        <v>0</v>
      </c>
      <c r="CS35" s="178">
        <f ca="1">SUMIFS(rec.uni[2023-09-01],
INDIRECT("rec.uni[natureza]"),"taxa.extra",
INDIRECT("rec.uni[empresa]"),CS$6)</f>
        <v>0</v>
      </c>
      <c r="CT35" s="166"/>
      <c r="CU35" s="178" cm="1">
        <f t="array" ref="CU35">SUMPRODUCT(
  IFERROR(--desp[valor],0)*
  (desp[nucleo]="UP MOVE VILA SONIA")*
  (desp[categoria]=CU$7)*
  (desp[data.pagamento]&gt;=$A35)*
  (desp[data.pagamento]&lt;EOMONTH($A35,0)+1)
)</f>
        <v>0</v>
      </c>
      <c r="CV35" s="178" cm="1">
        <f t="array" ref="CV35">SUMPRODUCT(
  IFERROR(--desp[valor],0)*
  (desp[nucleo]="UP MOVE VILA SONIA")*
  (desp[categoria]=CV$7)*
  (desp[data.pagamento]&gt;=$A35)*
  (desp[data.pagamento]&lt;EOMONTH($A35,0)+1)
)</f>
        <v>0</v>
      </c>
      <c r="CW35" s="178" cm="1">
        <f t="array" ref="CW35">SUMPRODUCT(
  IFERROR(--desp[valor],0)*
  (desp[nucleo]="UP MOVE VILA SONIA")*
  (desp[categoria]=CW$7)*
  (desp[data.pagamento]&gt;=$A35)*
  (desp[data.pagamento]&lt;EOMONTH($A35,0)+1)
)</f>
        <v>0</v>
      </c>
      <c r="CX35" s="178" cm="1">
        <f t="array" ref="CX35">SUMPRODUCT(
  IFERROR(--desp[valor],0)*
  (desp[nucleo]="UP MOVE VILA SONIA")*
  (desp[categoria]=CX$7)*
  (desp[data.pagamento]&gt;=$A35)*
  (desp[data.pagamento]&lt;EOMONTH($A35,0)+1)
)</f>
        <v>0</v>
      </c>
      <c r="CY35" s="180" cm="1">
        <f t="array" ref="CY35">SUMPRODUCT(
  IFERROR(--desp[valor],0)*
  (desp[nucleo]="UP MOVE VILA SONIA")*
  (desp[categoria]=CY$7)*
  (desp[data.pagamento]&gt;=$A35)*
  (desp[data.pagamento]&lt;EOMONTH($A35,0)+1)
)</f>
        <v>0</v>
      </c>
    </row>
    <row r="36" spans="1:103" x14ac:dyDescent="0.25">
      <c r="A36" s="176">
        <v>45200</v>
      </c>
      <c r="B36" s="177">
        <f>COUNTIFS(
    estq[empresa], B$6,
    estq[Data da venda / reserva], "&gt;=" &amp; $A36,
    estq[Data da venda / reserva], "&lt;"  &amp; EOMONTH($A36,0) + 1
)</f>
        <v>0</v>
      </c>
      <c r="C36" s="178">
        <f ca="1">SUMIFS(rec.uni[2023-10-01],
INDIRECT("rec.uni[natureza]"),"pro.soluto",
INDIRECT("rec.uni[empresa]"),C$6)</f>
        <v>0</v>
      </c>
      <c r="D36" s="178">
        <f ca="1">SUMIFS(rec.uni[2023-10-01],
INDIRECT("rec.uni[natureza]"),"repasse.cef.obra",
INDIRECT("rec.uni[empresa]"),D$6)</f>
        <v>0</v>
      </c>
      <c r="E36" s="178">
        <f ca="1">SUMIFS(rec.uni[2023-10-01],
INDIRECT("rec.uni[natureza]"),"repasse.cef.terreno",
INDIRECT("rec.uni[empresa]"),E$6)</f>
        <v>0</v>
      </c>
      <c r="F36" s="178">
        <v>0</v>
      </c>
      <c r="G36" s="178">
        <f ca="1">SUMIFS(rec.uni[2023-10-01],
INDIRECT("rec.uni[natureza]"),"taxa.extra",
INDIRECT("rec.uni[empresa]"),G$6)</f>
        <v>0</v>
      </c>
      <c r="H36" s="166"/>
      <c r="I36" s="178" cm="1">
        <f t="array" ref="I36">SUMPRODUCT(
  IFERROR(--desp[valor],0)*
  (desp[nucleo]="UP JARDIM PRUDENCIA")*
  (desp[categoria]=I$7)*
  (desp[data.pagamento]&gt;=$A36)*
  (desp[data.pagamento]&lt;EOMONTH($A36,0)+1)
)</f>
        <v>0</v>
      </c>
      <c r="J36" s="178" cm="1">
        <f t="array" ref="J36">SUMPRODUCT(
  IFERROR(--desp[valor],0)*
  (desp[nucleo]="UP JARDIM PRUDENCIA")*
  (desp[categoria]=J$7)*
  (desp[data.pagamento]&gt;=$A36)*
  (desp[data.pagamento]&lt;EOMONTH($A36,0)+1)
)</f>
        <v>0</v>
      </c>
      <c r="K36" s="178" cm="1">
        <f t="array" ref="K36">SUMPRODUCT(
  IFERROR(--desp[valor],0)*
  (desp[nucleo]="UP JARDIM PRUDENCIA")*
  (desp[categoria]=K$7)*
  (desp[data.pagamento]&gt;=$A36)*
  (desp[data.pagamento]&lt;EOMONTH($A36,0)+1)
)</f>
        <v>0</v>
      </c>
      <c r="L36" s="178" cm="1">
        <f t="array" ref="L36">SUMPRODUCT(
  IFERROR(--desp[valor],0)*
  (desp[nucleo]="UP JARDIM PRUDENCIA")*
  (desp[categoria]=L$7)*
  (desp[data.pagamento]&gt;=$A36)*
  (desp[data.pagamento]&lt;EOMONTH($A36,0)+1)
)</f>
        <v>0</v>
      </c>
      <c r="M36" s="179" cm="1">
        <f t="array" ref="M36">SUMPRODUCT(
  IFERROR(--desp[valor],0)*
  (desp[nucleo]="UP JARDIM PRUDENCIA")*
  (desp[categoria]=M$7)*
  (desp[data.pagamento]&gt;=$A36)*
  (desp[data.pagamento]&lt;EOMONTH($A36,0)+1)
)</f>
        <v>0</v>
      </c>
      <c r="N36" s="177">
        <f>COUNTIFS(
    estq[empresa], N$6,
    estq[Data da venda / reserva], "&gt;=" &amp; $A36,
    estq[Data da venda / reserva], "&lt;"  &amp; EOMONTH($A36,0) + 1
)</f>
        <v>0</v>
      </c>
      <c r="O36" s="178">
        <f ca="1">SUMIFS(rec.uni[2023-10-01],
INDIRECT("rec.uni[natureza]"),"pro.soluto",
INDIRECT("rec.uni[empresa]"),O$6)</f>
        <v>0</v>
      </c>
      <c r="P36" s="178">
        <f ca="1">SUMIFS(rec.uni[2023-10-01],
INDIRECT("rec.uni[natureza]"),"repasse.cef.obra",
INDIRECT("rec.uni[empresa]"),P$6)</f>
        <v>0</v>
      </c>
      <c r="Q36" s="178">
        <f ca="1">SUMIFS(rec.uni[2023-10-01],
INDIRECT("rec.uni[natureza]"),"repasse.cef.terreno",
INDIRECT("rec.uni[empresa]"),Q$6)</f>
        <v>0</v>
      </c>
      <c r="R36" s="178">
        <v>0</v>
      </c>
      <c r="S36" s="178">
        <f ca="1">SUMIFS(rec.uni[2023-10-01],
INDIRECT("rec.uni[natureza]"),"taxa.extra",
INDIRECT("rec.uni[empresa]"),S$6)</f>
        <v>0</v>
      </c>
      <c r="T36" s="166"/>
      <c r="U36" s="178" cm="1">
        <f t="array" ref="U36">SUMPRODUCT(
  IFERROR(--desp[valor],0)*
  (desp[nucleo]="UP VILA SONIA")*
  (desp[categoria]=U$7)*
  (desp[data.pagamento]&gt;=$A36)*
  (desp[data.pagamento]&lt;EOMONTH($A36,0)+1)
)</f>
        <v>0</v>
      </c>
      <c r="V36" s="178" cm="1">
        <f t="array" ref="V36">SUMPRODUCT(
  IFERROR(--desp[valor],0)*
  (desp[nucleo]="UP VILA SONIA")*
  (desp[categoria]=V$7)*
  (desp[data.pagamento]&gt;=$A36)*
  (desp[data.pagamento]&lt;EOMONTH($A36,0)+1)
)</f>
        <v>0</v>
      </c>
      <c r="W36" s="178" cm="1">
        <f t="array" ref="W36">SUMPRODUCT(
  IFERROR(--desp[valor],0)*
  (desp[nucleo]="UP VILA SONIA")*
  (desp[categoria]=W$7)*
  (desp[data.pagamento]&gt;=$A36)*
  (desp[data.pagamento]&lt;EOMONTH($A36,0)+1)
)</f>
        <v>0</v>
      </c>
      <c r="X36" s="178" cm="1">
        <f t="array" ref="X36">SUMPRODUCT(
  IFERROR(--desp[valor],0)*
  (desp[nucleo]="UP VILA SONIA")*
  (desp[categoria]=X$7)*
  (desp[data.pagamento]&gt;=$A36)*
  (desp[data.pagamento]&lt;EOMONTH($A36,0)+1)
)</f>
        <v>0</v>
      </c>
      <c r="Y36" s="179" cm="1">
        <f t="array" ref="Y36">SUMPRODUCT(
  IFERROR(--desp[valor],0)*
  (desp[nucleo]="UP VILA SONIA")*
  (desp[categoria]=Y$7)*
  (desp[data.pagamento]&gt;=$A36)*
  (desp[data.pagamento]&lt;EOMONTH($A36,0)+1)
)</f>
        <v>0</v>
      </c>
      <c r="Z36" s="177">
        <f>COUNTIFS(
    estq[empresa], Z$6,
    estq[Data da venda / reserva], "&gt;=" &amp; $A36,
    estq[Data da venda / reserva], "&lt;"  &amp; EOMONTH($A36,0) + 1
)</f>
        <v>0</v>
      </c>
      <c r="AA36" s="178">
        <f ca="1">SUMIFS(rec.uni[2023-10-01],
INDIRECT("rec.uni[natureza]"),"pro.soluto",
INDIRECT("rec.uni[empresa]"),AA$6)</f>
        <v>0</v>
      </c>
      <c r="AB36" s="178">
        <f ca="1">SUMIFS(rec.uni[2023-10-01],
INDIRECT("rec.uni[natureza]"),"pro.soluto",
INDIRECT("rec.uni[empresa]"),AB$6)</f>
        <v>0</v>
      </c>
      <c r="AC36" s="178">
        <f ca="1">SUMIFS(rec.uni[2023-10-01],
INDIRECT("rec.uni[natureza]"),"taxa.extra",
INDIRECT("rec.uni[empresa]"),AC$6)</f>
        <v>0</v>
      </c>
      <c r="AD36" s="166"/>
      <c r="AE36" s="178" cm="1">
        <f t="array" ref="AE36">SUMPRODUCT(
  IFERROR(--desp[valor],0)*
  (desp[nucleo]="UP CAMPO BELO")*
  (desp[categoria]=AE$7)*
  (desp[data.pagamento]&gt;=$A36)*
  (desp[data.pagamento]&lt;EOMONTH($A36,0)+1)
)</f>
        <v>0</v>
      </c>
      <c r="AF36" s="178" cm="1">
        <f t="array" ref="AF36">SUMPRODUCT(
  IFERROR(--desp[valor],0)*
  (desp[nucleo]="UP CAMPO BELO")*
  (desp[categoria]=AF$7)*
  (desp[data.pagamento]&gt;=$A36)*
  (desp[data.pagamento]&lt;EOMONTH($A36,0)+1)
)</f>
        <v>0</v>
      </c>
      <c r="AG36" s="178" cm="1">
        <f t="array" ref="AG36">SUMPRODUCT(
  IFERROR(--desp[valor],0)*
  (desp[nucleo]="UP CAMPO BELO")*
  (desp[categoria]=AG$7)*
  (desp[data.pagamento]&gt;=$A36)*
  (desp[data.pagamento]&lt;EOMONTH($A36,0)+1)
)</f>
        <v>0</v>
      </c>
      <c r="AH36" s="178" cm="1">
        <f t="array" ref="AH36">SUMPRODUCT(
  IFERROR(--desp[valor],0)*
  (desp[nucleo]="UP CAMPO BELO")*
  (desp[categoria]=AH$7)*
  (desp[data.pagamento]&gt;=$A36)*
  (desp[data.pagamento]&lt;EOMONTH($A36,0)+1)
)</f>
        <v>0</v>
      </c>
      <c r="AI36" s="179" cm="1">
        <f t="array" ref="AI36">SUMPRODUCT(
  IFERROR(--desp[valor],0)*
  (desp[nucleo]="UP CAMPO BELO")*
  (desp[categoria]=AI$7)*
  (desp[data.pagamento]&gt;=$A36)*
  (desp[data.pagamento]&lt;EOMONTH($A36,0)+1)
)</f>
        <v>0</v>
      </c>
      <c r="AJ36" s="177">
        <f>COUNTIFS(
    estq[empresa], AJ$6,
    estq[Data da venda / reserva], "&gt;=" &amp; $A36,
    estq[Data da venda / reserva], "&lt;"  &amp; EOMONTH($A36,0) + 1
)</f>
        <v>0</v>
      </c>
      <c r="AK36" s="178">
        <f ca="1">SUMIFS(rec.uni[2023-10-01],
INDIRECT("rec.uni[natureza]"),"pro.soluto",
INDIRECT("rec.uni[empresa]"),AK$6)</f>
        <v>0</v>
      </c>
      <c r="AL36" s="178">
        <f ca="1">SUMIFS(rec.uni[2023-10-01],
INDIRECT("rec.uni[natureza]"),"repasse.cef.obra",
INDIRECT("rec.uni[empresa]"),AL$6)</f>
        <v>0</v>
      </c>
      <c r="AM36" s="178">
        <f ca="1">SUMIFS(rec.uni[2023-10-01],
INDIRECT("rec.uni[natureza]"),"repasse.cef.terreno",
INDIRECT("rec.uni[empresa]"),AM$6)</f>
        <v>0</v>
      </c>
      <c r="AN36" s="178">
        <v>0</v>
      </c>
      <c r="AO36" s="178">
        <f ca="1">SUMIFS(rec.uni[2023-10-01],
INDIRECT("rec.uni[natureza]"),"taxa.extra",
INDIRECT("rec.uni[empresa]"),AO$6)</f>
        <v>0</v>
      </c>
      <c r="AP36" s="166"/>
      <c r="AQ36" s="178" cm="1">
        <f t="array" ref="AQ36">SUMPRODUCT(
  IFERROR(--desp[valor],0)*
  (desp[nucleo]="UP SELECT VILA SONIA")*
  (desp[categoria]=AQ$7)*
  (desp[data.pagamento]&gt;=$A36)*
  (desp[data.pagamento]&lt;EOMONTH($A36,0)+1)
)</f>
        <v>0</v>
      </c>
      <c r="AR36" s="178" cm="1">
        <f t="array" ref="AR36">SUMPRODUCT(
  IFERROR(--desp[valor],0)*
  (desp[nucleo]="UP SELECT VILA SONIA")*
  (desp[categoria]=AR$7)*
  (desp[data.pagamento]&gt;=$A36)*
  (desp[data.pagamento]&lt;EOMONTH($A36,0)+1)
)</f>
        <v>0</v>
      </c>
      <c r="AS36" s="178" cm="1">
        <f t="array" ref="AS36">SUMPRODUCT(
  IFERROR(--desp[valor],0)*
  (desp[nucleo]="UP SELECT VILA SONIA")*
  (desp[categoria]=AS$7)*
  (desp[data.pagamento]&gt;=$A36)*
  (desp[data.pagamento]&lt;EOMONTH($A36,0)+1)
)</f>
        <v>0</v>
      </c>
      <c r="AT36" s="178" cm="1">
        <f t="array" ref="AT36">SUMPRODUCT(
  IFERROR(--desp[valor],0)*
  (desp[nucleo]="UP SELECT VILA SONIA")*
  (desp[categoria]=AT$7)*
  (desp[data.pagamento]&gt;=$A36)*
  (desp[data.pagamento]&lt;EOMONTH($A36,0)+1)
)</f>
        <v>0</v>
      </c>
      <c r="AU36" s="179" cm="1">
        <f t="array" ref="AU36">SUMPRODUCT(
  IFERROR(--desp[valor],0)*
  (desp[nucleo]="UP SELECT VILA SONIA")*
  (desp[categoria]=AU$7)*
  (desp[data.pagamento]&gt;=$A36)*
  (desp[data.pagamento]&lt;EOMONTH($A36,0)+1)
)</f>
        <v>0</v>
      </c>
      <c r="AV36" s="177">
        <f>COUNTIFS(
    estq[empresa], AV$6,
    estq[Data da venda / reserva], "&gt;=" &amp; $A36,
    estq[Data da venda / reserva], "&lt;"  &amp; EOMONTH($A36,0) + 1
)</f>
        <v>0</v>
      </c>
      <c r="AW36" s="178">
        <f ca="1">SUMIFS(rec.uni[2023-10-01],
INDIRECT("rec.uni[natureza]"),"pro.soluto",
INDIRECT("rec.uni[empresa]"),AW$6)</f>
        <v>0</v>
      </c>
      <c r="AX36" s="178">
        <f ca="1">SUMIFS(rec.uni[2023-10-01],
INDIRECT("rec.uni[natureza]"),"repasse.cef.obra",
INDIRECT("rec.uni[empresa]"),AX$6)</f>
        <v>0</v>
      </c>
      <c r="AY36" s="178">
        <f ca="1">SUMIFS(rec.uni[2023-10-01],
INDIRECT("rec.uni[natureza]"),"repasse.cef.terreno",
INDIRECT("rec.uni[empresa]"),AY$6)</f>
        <v>0</v>
      </c>
      <c r="AZ36" s="178">
        <v>0</v>
      </c>
      <c r="BA36" s="178">
        <f ca="1">SUMIFS(rec.uni[2023-10-01],
INDIRECT("rec.uni[natureza]"),"taxa.extra",
INDIRECT("rec.uni[empresa]"),BA$6)</f>
        <v>0</v>
      </c>
      <c r="BB36" s="166"/>
      <c r="BC36" s="178" cm="1">
        <f t="array" ref="BC36">SUMPRODUCT(
  IFERROR(--desp[valor],0)*
  (desp[nucleo]="UP ESTAÇÃO SÃO LUCAS")*
  (desp[categoria]=BC$7)*
  (desp[data.pagamento]&gt;=$A36)*
  (desp[data.pagamento]&lt;EOMONTH($A36,0)+1)
)</f>
        <v>0</v>
      </c>
      <c r="BD36" s="178" cm="1">
        <f t="array" ref="BD36">SUMPRODUCT(
  IFERROR(--desp[valor],0)*
  (desp[nucleo]="UP ESTAÇÃO SÃO LUCAS")*
  (desp[categoria]=BD$7)*
  (desp[data.pagamento]&gt;=$A36)*
  (desp[data.pagamento]&lt;EOMONTH($A36,0)+1)
)</f>
        <v>0</v>
      </c>
      <c r="BE36" s="178" cm="1">
        <f t="array" ref="BE36">SUMPRODUCT(
  IFERROR(--desp[valor],0)*
  (desp[nucleo]="UP ESTAÇÃO SÃO LUCAS")*
  (desp[categoria]=BE$7)*
  (desp[data.pagamento]&gt;=$A36)*
  (desp[data.pagamento]&lt;EOMONTH($A36,0)+1)
)</f>
        <v>0</v>
      </c>
      <c r="BF36" s="178" cm="1">
        <f t="array" ref="BF36">SUMPRODUCT(
  IFERROR(--desp[valor],0)*
  (desp[nucleo]="UP ESTAÇÃO SÃO LUCAS")*
  (desp[categoria]=BF$7)*
  (desp[data.pagamento]&gt;=$A36)*
  (desp[data.pagamento]&lt;EOMONTH($A36,0)+1)
)</f>
        <v>0</v>
      </c>
      <c r="BG36" s="179" cm="1">
        <f t="array" ref="BG36">SUMPRODUCT(
  IFERROR(--desp[valor],0)*
  (desp[nucleo]="UP ESTAÇÃO SÃO LUCAS")*
  (desp[categoria]=BG$7)*
  (desp[data.pagamento]&gt;=$A36)*
  (desp[data.pagamento]&lt;EOMONTH($A36,0)+1)
)</f>
        <v>0</v>
      </c>
      <c r="BH36" s="177">
        <f>COUNTIFS(
    estq[empresa], BH$6,
    estq[Data da venda / reserva], "&gt;=" &amp; $A36,
    estq[Data da venda / reserva], "&lt;"  &amp; EOMONTH($A36,0) + 1
)</f>
        <v>0</v>
      </c>
      <c r="BI36" s="178">
        <f ca="1">SUMIFS(rec.uni[2023-10-01],
INDIRECT("rec.uni[natureza]"),"pro.soluto",
INDIRECT("rec.uni[empresa]"),BI$6)</f>
        <v>0</v>
      </c>
      <c r="BJ36" s="166">
        <v>0</v>
      </c>
      <c r="BK36" s="178">
        <f ca="1">SUMIFS(rec.uni[2023-10-01],
INDIRECT("rec.uni[natureza]"),"taxa.extra",
INDIRECT("rec.uni[empresa]"),BK$6)</f>
        <v>0</v>
      </c>
      <c r="BL36" s="166"/>
      <c r="BM36" s="178" cm="1">
        <f t="array" ref="BM36">SUMPRODUCT(
  IFERROR(--desp[valor],0)*
  (desp[nucleo]="UP POMPEIA")*
  (desp[categoria]=BM$7)*
  (desp[data.pagamento]&gt;=$A36)*
  (desp[data.pagamento]&lt;EOMONTH($A36,0)+1)
)</f>
        <v>0</v>
      </c>
      <c r="BN36" s="178" cm="1">
        <f t="array" ref="BN36">SUMPRODUCT(
  IFERROR(--desp[valor],0)*
  (desp[nucleo]="UP POMPEIA")*
  (desp[categoria]=BN$7)*
  (desp[data.pagamento]&gt;=$A36)*
  (desp[data.pagamento]&lt;EOMONTH($A36,0)+1)
)</f>
        <v>0</v>
      </c>
      <c r="BO36" s="178" cm="1">
        <f t="array" ref="BO36">SUMPRODUCT(
  IFERROR(--desp[valor],0)*
  (desp[nucleo]="UP POMPEIA")*
  (desp[categoria]=BO$7)*
  (desp[data.pagamento]&gt;=$A36)*
  (desp[data.pagamento]&lt;EOMONTH($A36,0)+1)
)</f>
        <v>0</v>
      </c>
      <c r="BP36" s="178" cm="1">
        <f t="array" ref="BP36">SUMPRODUCT(
  IFERROR(--desp[valor],0)*
  (desp[nucleo]="UP POMPEIA")*
  (desp[categoria]=BP$7)*
  (desp[data.pagamento]&gt;=$A36)*
  (desp[data.pagamento]&lt;EOMONTH($A36,0)+1)
)</f>
        <v>0</v>
      </c>
      <c r="BQ36" s="179" cm="1">
        <f t="array" ref="BQ36">SUMPRODUCT(
  IFERROR(--desp[valor],0)*
  (desp[nucleo]="UP POMPEIA")*
  (desp[categoria]=BQ$7)*
  (desp[data.pagamento]&gt;=$A36)*
  (desp[data.pagamento]&lt;EOMONTH($A36,0)+1)
)</f>
        <v>0</v>
      </c>
      <c r="BR36" s="177">
        <f>COUNTIFS(
    estq[empresa], BR$6,
    estq[Data da venda / reserva], "&gt;=" &amp; $A36,
    estq[Data da venda / reserva], "&lt;"  &amp; EOMONTH($A36,0) + 1
)</f>
        <v>0</v>
      </c>
      <c r="BS36" s="178">
        <f ca="1">SUMIFS(rec.uni[2023-10-01],
INDIRECT("rec.uni[natureza]"),"pro.soluto",
INDIRECT("rec.uni[empresa]"),BS$6)</f>
        <v>0</v>
      </c>
      <c r="BT36" s="178">
        <f ca="1">SUMIFS(rec.uni[2023-10-01],
INDIRECT("rec.uni[natureza]"),"pro.soluto",
INDIRECT("rec.uni[empresa]"),BT$6)</f>
        <v>0</v>
      </c>
      <c r="BU36" s="178">
        <f ca="1">SUMIFS(rec.uni[2023-10-01],
INDIRECT("rec.uni[natureza]"),"taxa.extra",
INDIRECT("rec.uni[empresa]"),BU$6)</f>
        <v>0</v>
      </c>
      <c r="BV36" s="166"/>
      <c r="BW36" s="178" cm="1">
        <f t="array" ref="BW36">SUMPRODUCT(
  IFERROR(--desp[valor],0)*
  (desp[nucleo]="UP SAUDE")*
  (desp[categoria]=BW$7)*
  (desp[data.pagamento]&gt;=$A36)*
  (desp[data.pagamento]&lt;EOMONTH($A36,0)+1)
)</f>
        <v>0</v>
      </c>
      <c r="BX36" s="178" cm="1">
        <f t="array" ref="BX36">SUMPRODUCT(
  IFERROR(--desp[valor],0)*
  (desp[nucleo]="UP SAUDE")*
  (desp[categoria]=BX$7)*
  (desp[data.pagamento]&gt;=$A36)*
  (desp[data.pagamento]&lt;EOMONTH($A36,0)+1)
)</f>
        <v>0</v>
      </c>
      <c r="BY36" s="178" cm="1">
        <f t="array" ref="BY36">SUMPRODUCT(
  IFERROR(--desp[valor],0)*
  (desp[nucleo]="UP SAUDE")*
  (desp[categoria]=BY$7)*
  (desp[data.pagamento]&gt;=$A36)*
  (desp[data.pagamento]&lt;EOMONTH($A36,0)+1)
)</f>
        <v>0</v>
      </c>
      <c r="BZ36" s="178" cm="1">
        <f t="array" ref="BZ36">SUMPRODUCT(
  IFERROR(--desp[valor],0)*
  (desp[nucleo]="UP SAUDE")*
  (desp[categoria]=BZ$7)*
  (desp[data.pagamento]&gt;=$A36)*
  (desp[data.pagamento]&lt;EOMONTH($A36,0)+1)
)</f>
        <v>0</v>
      </c>
      <c r="CA36" s="179" cm="1">
        <f t="array" ref="CA36">SUMPRODUCT(
  IFERROR(--desp[valor],0)*
  (desp[nucleo]="UP SAUDE")*
  (desp[categoria]=CA$7)*
  (desp[data.pagamento]&gt;=$A36)*
  (desp[data.pagamento]&lt;EOMONTH($A36,0)+1)
)</f>
        <v>0</v>
      </c>
      <c r="CB36" s="177">
        <f>COUNTIFS(
    estq[empresa], CB$6,
    estq[Data da venda / reserva], "&gt;=" &amp; $A36,
    estq[Data da venda / reserva], "&lt;"  &amp; EOMONTH($A36,0) + 1
)</f>
        <v>0</v>
      </c>
      <c r="CC36" s="178">
        <f ca="1">SUMIFS(rec.uni[2023-10-01],
INDIRECT("rec.uni[natureza]"),"pro.soluto",
INDIRECT("rec.uni[empresa]"),CC$6)</f>
        <v>0</v>
      </c>
      <c r="CD36" s="178">
        <f ca="1">SUMIFS(rec.uni[2023-10-01],
INDIRECT("rec.uni[natureza]"),"repasse.cef.obra",
INDIRECT("rec.uni[empresa]"),CD$6)</f>
        <v>0</v>
      </c>
      <c r="CE36" s="178">
        <f ca="1">SUMIFS(rec.uni[2023-10-01],
INDIRECT("rec.uni[natureza]"),"repasse.cef.terreno",
INDIRECT("rec.uni[empresa]"),CE$6)</f>
        <v>0</v>
      </c>
      <c r="CF36" s="178">
        <v>0</v>
      </c>
      <c r="CG36" s="178">
        <f ca="1">SUMIFS(rec.uni[2023-10-01],
INDIRECT("rec.uni[natureza]"),"taxa.extra",
INDIRECT("rec.uni[empresa]"),CG$6)</f>
        <v>0</v>
      </c>
      <c r="CH36" s="166"/>
      <c r="CI36" s="178" cm="1">
        <f t="array" ref="CI36">SUMPRODUCT(
  IFERROR(--desp[valor],0)*
  (desp[nucleo]="UP ESTAÇÃO VILA SONIA")*
  (desp[categoria]=CI$7)*
  (desp[data.pagamento]&gt;=$A36)*
  (desp[data.pagamento]&lt;EOMONTH($A36,0)+1)
)</f>
        <v>0</v>
      </c>
      <c r="CJ36" s="178" cm="1">
        <f t="array" ref="CJ36">SUMPRODUCT(
  IFERROR(--desp[valor],0)*
  (desp[nucleo]="UP ESTAÇÃO VILA SONIA")*
  (desp[categoria]=CJ$7)*
  (desp[data.pagamento]&gt;=$A36)*
  (desp[data.pagamento]&lt;EOMONTH($A36,0)+1)
)</f>
        <v>0</v>
      </c>
      <c r="CK36" s="178" cm="1">
        <f t="array" ref="CK36">SUMPRODUCT(
  IFERROR(--desp[valor],0)*
  (desp[nucleo]="UP ESTAÇÃO VILA SONIA")*
  (desp[categoria]=CK$7)*
  (desp[data.pagamento]&gt;=$A36)*
  (desp[data.pagamento]&lt;EOMONTH($A36,0)+1)
)</f>
        <v>0</v>
      </c>
      <c r="CL36" s="178" cm="1">
        <f t="array" ref="CL36">SUMPRODUCT(
  IFERROR(--desp[valor],0)*
  (desp[nucleo]="UP ESTAÇÃO VILA SONIA")*
  (desp[categoria]=CL$7)*
  (desp[data.pagamento]&gt;=$A36)*
  (desp[data.pagamento]&lt;EOMONTH($A36,0)+1)
)</f>
        <v>0</v>
      </c>
      <c r="CM36" s="179" cm="1">
        <f t="array" ref="CM36">SUMPRODUCT(
  IFERROR(--desp[valor],0)*
  (desp[nucleo]="UP ESTAÇÃO VILA SONIA")*
  (desp[categoria]=CM$7)*
  (desp[data.pagamento]&gt;=$A36)*
  (desp[data.pagamento]&lt;EOMONTH($A36,0)+1)
)</f>
        <v>0</v>
      </c>
      <c r="CN36" s="177">
        <f>COUNTIFS(
    estq[empresa], CN$6,
    estq[Data da venda / reserva], "&gt;=" &amp; $A36,
    estq[Data da venda / reserva], "&lt;"  &amp; EOMONTH($A36,0) + 1
)</f>
        <v>0</v>
      </c>
      <c r="CO36" s="178">
        <f ca="1">SUMIFS(rec.uni[2023-10-01],
INDIRECT("rec.uni[natureza]"),"pro.soluto",
INDIRECT("rec.uni[empresa]"),CO$6)</f>
        <v>0</v>
      </c>
      <c r="CP36" s="178">
        <f ca="1">SUMIFS(rec.uni[2023-10-01],
INDIRECT("rec.uni[natureza]"),"repasse.cef.obra",
INDIRECT("rec.uni[empresa]"),CP$6)</f>
        <v>0</v>
      </c>
      <c r="CQ36" s="178">
        <f ca="1">SUMIFS(rec.uni[2023-10-01],
INDIRECT("rec.uni[natureza]"),"repasse.cef.terreno",
INDIRECT("rec.uni[empresa]"),CQ$6)</f>
        <v>0</v>
      </c>
      <c r="CR36" s="178">
        <v>0</v>
      </c>
      <c r="CS36" s="178">
        <f ca="1">SUMIFS(rec.uni[2023-10-01],
INDIRECT("rec.uni[natureza]"),"taxa.extra",
INDIRECT("rec.uni[empresa]"),CS$6)</f>
        <v>0</v>
      </c>
      <c r="CT36" s="166"/>
      <c r="CU36" s="178" cm="1">
        <f t="array" ref="CU36">SUMPRODUCT(
  IFERROR(--desp[valor],0)*
  (desp[nucleo]="UP MOVE VILA SONIA")*
  (desp[categoria]=CU$7)*
  (desp[data.pagamento]&gt;=$A36)*
  (desp[data.pagamento]&lt;EOMONTH($A36,0)+1)
)</f>
        <v>0</v>
      </c>
      <c r="CV36" s="178" cm="1">
        <f t="array" ref="CV36">SUMPRODUCT(
  IFERROR(--desp[valor],0)*
  (desp[nucleo]="UP MOVE VILA SONIA")*
  (desp[categoria]=CV$7)*
  (desp[data.pagamento]&gt;=$A36)*
  (desp[data.pagamento]&lt;EOMONTH($A36,0)+1)
)</f>
        <v>0</v>
      </c>
      <c r="CW36" s="178" cm="1">
        <f t="array" ref="CW36">SUMPRODUCT(
  IFERROR(--desp[valor],0)*
  (desp[nucleo]="UP MOVE VILA SONIA")*
  (desp[categoria]=CW$7)*
  (desp[data.pagamento]&gt;=$A36)*
  (desp[data.pagamento]&lt;EOMONTH($A36,0)+1)
)</f>
        <v>0</v>
      </c>
      <c r="CX36" s="178" cm="1">
        <f t="array" ref="CX36">SUMPRODUCT(
  IFERROR(--desp[valor],0)*
  (desp[nucleo]="UP MOVE VILA SONIA")*
  (desp[categoria]=CX$7)*
  (desp[data.pagamento]&gt;=$A36)*
  (desp[data.pagamento]&lt;EOMONTH($A36,0)+1)
)</f>
        <v>0</v>
      </c>
      <c r="CY36" s="180" cm="1">
        <f t="array" ref="CY36">SUMPRODUCT(
  IFERROR(--desp[valor],0)*
  (desp[nucleo]="UP MOVE VILA SONIA")*
  (desp[categoria]=CY$7)*
  (desp[data.pagamento]&gt;=$A36)*
  (desp[data.pagamento]&lt;EOMONTH($A36,0)+1)
)</f>
        <v>0</v>
      </c>
    </row>
    <row r="37" spans="1:103" x14ac:dyDescent="0.25">
      <c r="A37" s="176">
        <v>45231</v>
      </c>
      <c r="B37" s="177">
        <f>COUNTIFS(
    estq[empresa], B$6,
    estq[Data da venda / reserva], "&gt;=" &amp; $A37,
    estq[Data da venda / reserva], "&lt;"  &amp; EOMONTH($A37,0) + 1
)</f>
        <v>0</v>
      </c>
      <c r="C37" s="178">
        <f ca="1">SUMIFS(rec.uni[2023-11-01],
INDIRECT("rec.uni[natureza]"),"pro.soluto",
INDIRECT("rec.uni[empresa]"),C$6)</f>
        <v>0</v>
      </c>
      <c r="D37" s="178">
        <f ca="1">SUMIFS(rec.uni[2023-11-01],
INDIRECT("rec.uni[natureza]"),"repasse.cef.obra",
INDIRECT("rec.uni[empresa]"),D$6)</f>
        <v>0</v>
      </c>
      <c r="E37" s="178">
        <f ca="1">SUMIFS(rec.uni[2023-11-01],
INDIRECT("rec.uni[natureza]"),"repasse.cef.terreno",
INDIRECT("rec.uni[empresa]"),E$6)</f>
        <v>0</v>
      </c>
      <c r="F37" s="178">
        <v>0</v>
      </c>
      <c r="G37" s="178">
        <f ca="1">SUMIFS(rec.uni[2023-11-01],
INDIRECT("rec.uni[natureza]"),"taxa.extra",
INDIRECT("rec.uni[empresa]"),G$6)</f>
        <v>0</v>
      </c>
      <c r="H37" s="166"/>
      <c r="I37" s="178" cm="1">
        <f t="array" ref="I37">SUMPRODUCT(
  IFERROR(--desp[valor],0)*
  (desp[nucleo]="UP JARDIM PRUDENCIA")*
  (desp[categoria]=I$7)*
  (desp[data.pagamento]&gt;=$A37)*
  (desp[data.pagamento]&lt;EOMONTH($A37,0)+1)
)</f>
        <v>0</v>
      </c>
      <c r="J37" s="178" cm="1">
        <f t="array" ref="J37">SUMPRODUCT(
  IFERROR(--desp[valor],0)*
  (desp[nucleo]="UP JARDIM PRUDENCIA")*
  (desp[categoria]=J$7)*
  (desp[data.pagamento]&gt;=$A37)*
  (desp[data.pagamento]&lt;EOMONTH($A37,0)+1)
)</f>
        <v>0</v>
      </c>
      <c r="K37" s="178" cm="1">
        <f t="array" ref="K37">SUMPRODUCT(
  IFERROR(--desp[valor],0)*
  (desp[nucleo]="UP JARDIM PRUDENCIA")*
  (desp[categoria]=K$7)*
  (desp[data.pagamento]&gt;=$A37)*
  (desp[data.pagamento]&lt;EOMONTH($A37,0)+1)
)</f>
        <v>0</v>
      </c>
      <c r="L37" s="178" cm="1">
        <f t="array" ref="L37">SUMPRODUCT(
  IFERROR(--desp[valor],0)*
  (desp[nucleo]="UP JARDIM PRUDENCIA")*
  (desp[categoria]=L$7)*
  (desp[data.pagamento]&gt;=$A37)*
  (desp[data.pagamento]&lt;EOMONTH($A37,0)+1)
)</f>
        <v>0</v>
      </c>
      <c r="M37" s="179" cm="1">
        <f t="array" ref="M37">SUMPRODUCT(
  IFERROR(--desp[valor],0)*
  (desp[nucleo]="UP JARDIM PRUDENCIA")*
  (desp[categoria]=M$7)*
  (desp[data.pagamento]&gt;=$A37)*
  (desp[data.pagamento]&lt;EOMONTH($A37,0)+1)
)</f>
        <v>0</v>
      </c>
      <c r="N37" s="177">
        <f>COUNTIFS(
    estq[empresa], N$6,
    estq[Data da venda / reserva], "&gt;=" &amp; $A37,
    estq[Data da venda / reserva], "&lt;"  &amp; EOMONTH($A37,0) + 1
)</f>
        <v>0</v>
      </c>
      <c r="O37" s="178">
        <f ca="1">SUMIFS(rec.uni[2023-11-01],
INDIRECT("rec.uni[natureza]"),"pro.soluto",
INDIRECT("rec.uni[empresa]"),O$6)</f>
        <v>0</v>
      </c>
      <c r="P37" s="178">
        <f ca="1">SUMIFS(rec.uni[2023-11-01],
INDIRECT("rec.uni[natureza]"),"repasse.cef.obra",
INDIRECT("rec.uni[empresa]"),P$6)</f>
        <v>0</v>
      </c>
      <c r="Q37" s="178">
        <f ca="1">SUMIFS(rec.uni[2023-11-01],
INDIRECT("rec.uni[natureza]"),"repasse.cef.terreno",
INDIRECT("rec.uni[empresa]"),Q$6)</f>
        <v>0</v>
      </c>
      <c r="R37" s="178">
        <v>1455283.7599999998</v>
      </c>
      <c r="S37" s="178">
        <f ca="1">SUMIFS(rec.uni[2023-11-01],
INDIRECT("rec.uni[natureza]"),"taxa.extra",
INDIRECT("rec.uni[empresa]"),S$6)</f>
        <v>0</v>
      </c>
      <c r="T37" s="166"/>
      <c r="U37" s="178" cm="1">
        <f t="array" ref="U37">SUMPRODUCT(
  IFERROR(--desp[valor],0)*
  (desp[nucleo]="UP VILA SONIA")*
  (desp[categoria]=U$7)*
  (desp[data.pagamento]&gt;=$A37)*
  (desp[data.pagamento]&lt;EOMONTH($A37,0)+1)
)</f>
        <v>0</v>
      </c>
      <c r="V37" s="178" cm="1">
        <f t="array" ref="V37">SUMPRODUCT(
  IFERROR(--desp[valor],0)*
  (desp[nucleo]="UP VILA SONIA")*
  (desp[categoria]=V$7)*
  (desp[data.pagamento]&gt;=$A37)*
  (desp[data.pagamento]&lt;EOMONTH($A37,0)+1)
)</f>
        <v>0</v>
      </c>
      <c r="W37" s="178" cm="1">
        <f t="array" ref="W37">SUMPRODUCT(
  IFERROR(--desp[valor],0)*
  (desp[nucleo]="UP VILA SONIA")*
  (desp[categoria]=W$7)*
  (desp[data.pagamento]&gt;=$A37)*
  (desp[data.pagamento]&lt;EOMONTH($A37,0)+1)
)</f>
        <v>0</v>
      </c>
      <c r="X37" s="178" cm="1">
        <f t="array" ref="X37">SUMPRODUCT(
  IFERROR(--desp[valor],0)*
  (desp[nucleo]="UP VILA SONIA")*
  (desp[categoria]=X$7)*
  (desp[data.pagamento]&gt;=$A37)*
  (desp[data.pagamento]&lt;EOMONTH($A37,0)+1)
)</f>
        <v>0</v>
      </c>
      <c r="Y37" s="179" cm="1">
        <f t="array" ref="Y37">SUMPRODUCT(
  IFERROR(--desp[valor],0)*
  (desp[nucleo]="UP VILA SONIA")*
  (desp[categoria]=Y$7)*
  (desp[data.pagamento]&gt;=$A37)*
  (desp[data.pagamento]&lt;EOMONTH($A37,0)+1)
)</f>
        <v>0</v>
      </c>
      <c r="Z37" s="177">
        <f>COUNTIFS(
    estq[empresa], Z$6,
    estq[Data da venda / reserva], "&gt;=" &amp; $A37,
    estq[Data da venda / reserva], "&lt;"  &amp; EOMONTH($A37,0) + 1
)</f>
        <v>0</v>
      </c>
      <c r="AA37" s="178">
        <f ca="1">SUMIFS(rec.uni[2023-11-01],
INDIRECT("rec.uni[natureza]"),"pro.soluto",
INDIRECT("rec.uni[empresa]"),AA$6)</f>
        <v>0</v>
      </c>
      <c r="AB37" s="178">
        <f ca="1">SUMIFS(rec.uni[2023-11-01],
INDIRECT("rec.uni[natureza]"),"pro.soluto",
INDIRECT("rec.uni[empresa]"),AB$6)</f>
        <v>0</v>
      </c>
      <c r="AC37" s="178">
        <f ca="1">SUMIFS(rec.uni[2023-11-01],
INDIRECT("rec.uni[natureza]"),"taxa.extra",
INDIRECT("rec.uni[empresa]"),AC$6)</f>
        <v>0</v>
      </c>
      <c r="AD37" s="166"/>
      <c r="AE37" s="178" cm="1">
        <f t="array" ref="AE37">SUMPRODUCT(
  IFERROR(--desp[valor],0)*
  (desp[nucleo]="UP CAMPO BELO")*
  (desp[categoria]=AE$7)*
  (desp[data.pagamento]&gt;=$A37)*
  (desp[data.pagamento]&lt;EOMONTH($A37,0)+1)
)</f>
        <v>0</v>
      </c>
      <c r="AF37" s="178" cm="1">
        <f t="array" ref="AF37">SUMPRODUCT(
  IFERROR(--desp[valor],0)*
  (desp[nucleo]="UP CAMPO BELO")*
  (desp[categoria]=AF$7)*
  (desp[data.pagamento]&gt;=$A37)*
  (desp[data.pagamento]&lt;EOMONTH($A37,0)+1)
)</f>
        <v>0</v>
      </c>
      <c r="AG37" s="178" cm="1">
        <f t="array" ref="AG37">SUMPRODUCT(
  IFERROR(--desp[valor],0)*
  (desp[nucleo]="UP CAMPO BELO")*
  (desp[categoria]=AG$7)*
  (desp[data.pagamento]&gt;=$A37)*
  (desp[data.pagamento]&lt;EOMONTH($A37,0)+1)
)</f>
        <v>0</v>
      </c>
      <c r="AH37" s="178" cm="1">
        <f t="array" ref="AH37">SUMPRODUCT(
  IFERROR(--desp[valor],0)*
  (desp[nucleo]="UP CAMPO BELO")*
  (desp[categoria]=AH$7)*
  (desp[data.pagamento]&gt;=$A37)*
  (desp[data.pagamento]&lt;EOMONTH($A37,0)+1)
)</f>
        <v>0</v>
      </c>
      <c r="AI37" s="179" cm="1">
        <f t="array" ref="AI37">SUMPRODUCT(
  IFERROR(--desp[valor],0)*
  (desp[nucleo]="UP CAMPO BELO")*
  (desp[categoria]=AI$7)*
  (desp[data.pagamento]&gt;=$A37)*
  (desp[data.pagamento]&lt;EOMONTH($A37,0)+1)
)</f>
        <v>0</v>
      </c>
      <c r="AJ37" s="177">
        <f>COUNTIFS(
    estq[empresa], AJ$6,
    estq[Data da venda / reserva], "&gt;=" &amp; $A37,
    estq[Data da venda / reserva], "&lt;"  &amp; EOMONTH($A37,0) + 1
)</f>
        <v>0</v>
      </c>
      <c r="AK37" s="178">
        <f ca="1">SUMIFS(rec.uni[2023-11-01],
INDIRECT("rec.uni[natureza]"),"pro.soluto",
INDIRECT("rec.uni[empresa]"),AK$6)</f>
        <v>0</v>
      </c>
      <c r="AL37" s="178">
        <f ca="1">SUMIFS(rec.uni[2023-11-01],
INDIRECT("rec.uni[natureza]"),"repasse.cef.obra",
INDIRECT("rec.uni[empresa]"),AL$6)</f>
        <v>0</v>
      </c>
      <c r="AM37" s="178">
        <f ca="1">SUMIFS(rec.uni[2023-11-01],
INDIRECT("rec.uni[natureza]"),"repasse.cef.terreno",
INDIRECT("rec.uni[empresa]"),AM$6)</f>
        <v>0</v>
      </c>
      <c r="AN37" s="178">
        <v>0</v>
      </c>
      <c r="AO37" s="178">
        <f ca="1">SUMIFS(rec.uni[2023-11-01],
INDIRECT("rec.uni[natureza]"),"taxa.extra",
INDIRECT("rec.uni[empresa]"),AO$6)</f>
        <v>0</v>
      </c>
      <c r="AP37" s="166"/>
      <c r="AQ37" s="178" cm="1">
        <f t="array" ref="AQ37">SUMPRODUCT(
  IFERROR(--desp[valor],0)*
  (desp[nucleo]="UP SELECT VILA SONIA")*
  (desp[categoria]=AQ$7)*
  (desp[data.pagamento]&gt;=$A37)*
  (desp[data.pagamento]&lt;EOMONTH($A37,0)+1)
)</f>
        <v>0</v>
      </c>
      <c r="AR37" s="178" cm="1">
        <f t="array" ref="AR37">SUMPRODUCT(
  IFERROR(--desp[valor],0)*
  (desp[nucleo]="UP SELECT VILA SONIA")*
  (desp[categoria]=AR$7)*
  (desp[data.pagamento]&gt;=$A37)*
  (desp[data.pagamento]&lt;EOMONTH($A37,0)+1)
)</f>
        <v>0</v>
      </c>
      <c r="AS37" s="178" cm="1">
        <f t="array" ref="AS37">SUMPRODUCT(
  IFERROR(--desp[valor],0)*
  (desp[nucleo]="UP SELECT VILA SONIA")*
  (desp[categoria]=AS$7)*
  (desp[data.pagamento]&gt;=$A37)*
  (desp[data.pagamento]&lt;EOMONTH($A37,0)+1)
)</f>
        <v>0</v>
      </c>
      <c r="AT37" s="178" cm="1">
        <f t="array" ref="AT37">SUMPRODUCT(
  IFERROR(--desp[valor],0)*
  (desp[nucleo]="UP SELECT VILA SONIA")*
  (desp[categoria]=AT$7)*
  (desp[data.pagamento]&gt;=$A37)*
  (desp[data.pagamento]&lt;EOMONTH($A37,0)+1)
)</f>
        <v>0</v>
      </c>
      <c r="AU37" s="179" cm="1">
        <f t="array" ref="AU37">SUMPRODUCT(
  IFERROR(--desp[valor],0)*
  (desp[nucleo]="UP SELECT VILA SONIA")*
  (desp[categoria]=AU$7)*
  (desp[data.pagamento]&gt;=$A37)*
  (desp[data.pagamento]&lt;EOMONTH($A37,0)+1)
)</f>
        <v>0</v>
      </c>
      <c r="AV37" s="177">
        <f>COUNTIFS(
    estq[empresa], AV$6,
    estq[Data da venda / reserva], "&gt;=" &amp; $A37,
    estq[Data da venda / reserva], "&lt;"  &amp; EOMONTH($A37,0) + 1
)</f>
        <v>0</v>
      </c>
      <c r="AW37" s="178">
        <f ca="1">SUMIFS(rec.uni[2023-11-01],
INDIRECT("rec.uni[natureza]"),"pro.soluto",
INDIRECT("rec.uni[empresa]"),AW$6)</f>
        <v>0</v>
      </c>
      <c r="AX37" s="178">
        <f ca="1">SUMIFS(rec.uni[2023-11-01],
INDIRECT("rec.uni[natureza]"),"repasse.cef.obra",
INDIRECT("rec.uni[empresa]"),AX$6)</f>
        <v>0</v>
      </c>
      <c r="AY37" s="178">
        <f ca="1">SUMIFS(rec.uni[2023-11-01],
INDIRECT("rec.uni[natureza]"),"repasse.cef.terreno",
INDIRECT("rec.uni[empresa]"),AY$6)</f>
        <v>0</v>
      </c>
      <c r="AZ37" s="178">
        <v>0</v>
      </c>
      <c r="BA37" s="178">
        <f ca="1">SUMIFS(rec.uni[2023-11-01],
INDIRECT("rec.uni[natureza]"),"taxa.extra",
INDIRECT("rec.uni[empresa]"),BA$6)</f>
        <v>0</v>
      </c>
      <c r="BB37" s="166"/>
      <c r="BC37" s="178" cm="1">
        <f t="array" ref="BC37">SUMPRODUCT(
  IFERROR(--desp[valor],0)*
  (desp[nucleo]="UP ESTAÇÃO SÃO LUCAS")*
  (desp[categoria]=BC$7)*
  (desp[data.pagamento]&gt;=$A37)*
  (desp[data.pagamento]&lt;EOMONTH($A37,0)+1)
)</f>
        <v>0</v>
      </c>
      <c r="BD37" s="178" cm="1">
        <f t="array" ref="BD37">SUMPRODUCT(
  IFERROR(--desp[valor],0)*
  (desp[nucleo]="UP ESTAÇÃO SÃO LUCAS")*
  (desp[categoria]=BD$7)*
  (desp[data.pagamento]&gt;=$A37)*
  (desp[data.pagamento]&lt;EOMONTH($A37,0)+1)
)</f>
        <v>0</v>
      </c>
      <c r="BE37" s="178" cm="1">
        <f t="array" ref="BE37">SUMPRODUCT(
  IFERROR(--desp[valor],0)*
  (desp[nucleo]="UP ESTAÇÃO SÃO LUCAS")*
  (desp[categoria]=BE$7)*
  (desp[data.pagamento]&gt;=$A37)*
  (desp[data.pagamento]&lt;EOMONTH($A37,0)+1)
)</f>
        <v>0</v>
      </c>
      <c r="BF37" s="178" cm="1">
        <f t="array" ref="BF37">SUMPRODUCT(
  IFERROR(--desp[valor],0)*
  (desp[nucleo]="UP ESTAÇÃO SÃO LUCAS")*
  (desp[categoria]=BF$7)*
  (desp[data.pagamento]&gt;=$A37)*
  (desp[data.pagamento]&lt;EOMONTH($A37,0)+1)
)</f>
        <v>0</v>
      </c>
      <c r="BG37" s="179" cm="1">
        <f t="array" ref="BG37">SUMPRODUCT(
  IFERROR(--desp[valor],0)*
  (desp[nucleo]="UP ESTAÇÃO SÃO LUCAS")*
  (desp[categoria]=BG$7)*
  (desp[data.pagamento]&gt;=$A37)*
  (desp[data.pagamento]&lt;EOMONTH($A37,0)+1)
)</f>
        <v>0</v>
      </c>
      <c r="BH37" s="177">
        <f>COUNTIFS(
    estq[empresa], BH$6,
    estq[Data da venda / reserva], "&gt;=" &amp; $A37,
    estq[Data da venda / reserva], "&lt;"  &amp; EOMONTH($A37,0) + 1
)</f>
        <v>0</v>
      </c>
      <c r="BI37" s="178">
        <f ca="1">SUMIFS(rec.uni[2023-11-01],
INDIRECT("rec.uni[natureza]"),"pro.soluto",
INDIRECT("rec.uni[empresa]"),BI$6)</f>
        <v>0</v>
      </c>
      <c r="BJ37" s="166">
        <v>0</v>
      </c>
      <c r="BK37" s="178">
        <f ca="1">SUMIFS(rec.uni[2023-11-01],
INDIRECT("rec.uni[natureza]"),"taxa.extra",
INDIRECT("rec.uni[empresa]"),BK$6)</f>
        <v>0</v>
      </c>
      <c r="BL37" s="166"/>
      <c r="BM37" s="178" cm="1">
        <f t="array" ref="BM37">SUMPRODUCT(
  IFERROR(--desp[valor],0)*
  (desp[nucleo]="UP POMPEIA")*
  (desp[categoria]=BM$7)*
  (desp[data.pagamento]&gt;=$A37)*
  (desp[data.pagamento]&lt;EOMONTH($A37,0)+1)
)</f>
        <v>0</v>
      </c>
      <c r="BN37" s="178" cm="1">
        <f t="array" ref="BN37">SUMPRODUCT(
  IFERROR(--desp[valor],0)*
  (desp[nucleo]="UP POMPEIA")*
  (desp[categoria]=BN$7)*
  (desp[data.pagamento]&gt;=$A37)*
  (desp[data.pagamento]&lt;EOMONTH($A37,0)+1)
)</f>
        <v>0</v>
      </c>
      <c r="BO37" s="178" cm="1">
        <f t="array" ref="BO37">SUMPRODUCT(
  IFERROR(--desp[valor],0)*
  (desp[nucleo]="UP POMPEIA")*
  (desp[categoria]=BO$7)*
  (desp[data.pagamento]&gt;=$A37)*
  (desp[data.pagamento]&lt;EOMONTH($A37,0)+1)
)</f>
        <v>0</v>
      </c>
      <c r="BP37" s="178" cm="1">
        <f t="array" ref="BP37">SUMPRODUCT(
  IFERROR(--desp[valor],0)*
  (desp[nucleo]="UP POMPEIA")*
  (desp[categoria]=BP$7)*
  (desp[data.pagamento]&gt;=$A37)*
  (desp[data.pagamento]&lt;EOMONTH($A37,0)+1)
)</f>
        <v>0</v>
      </c>
      <c r="BQ37" s="179" cm="1">
        <f t="array" ref="BQ37">SUMPRODUCT(
  IFERROR(--desp[valor],0)*
  (desp[nucleo]="UP POMPEIA")*
  (desp[categoria]=BQ$7)*
  (desp[data.pagamento]&gt;=$A37)*
  (desp[data.pagamento]&lt;EOMONTH($A37,0)+1)
)</f>
        <v>0</v>
      </c>
      <c r="BR37" s="177">
        <f>COUNTIFS(
    estq[empresa], BR$6,
    estq[Data da venda / reserva], "&gt;=" &amp; $A37,
    estq[Data da venda / reserva], "&lt;"  &amp; EOMONTH($A37,0) + 1
)</f>
        <v>0</v>
      </c>
      <c r="BS37" s="178">
        <f ca="1">SUMIFS(rec.uni[2023-11-01],
INDIRECT("rec.uni[natureza]"),"pro.soluto",
INDIRECT("rec.uni[empresa]"),BS$6)</f>
        <v>0</v>
      </c>
      <c r="BT37" s="178">
        <f ca="1">SUMIFS(rec.uni[2023-11-01],
INDIRECT("rec.uni[natureza]"),"pro.soluto",
INDIRECT("rec.uni[empresa]"),BT$6)</f>
        <v>0</v>
      </c>
      <c r="BU37" s="178">
        <f ca="1">SUMIFS(rec.uni[2023-11-01],
INDIRECT("rec.uni[natureza]"),"taxa.extra",
INDIRECT("rec.uni[empresa]"),BU$6)</f>
        <v>0</v>
      </c>
      <c r="BV37" s="166"/>
      <c r="BW37" s="178" cm="1">
        <f t="array" ref="BW37">SUMPRODUCT(
  IFERROR(--desp[valor],0)*
  (desp[nucleo]="UP SAUDE")*
  (desp[categoria]=BW$7)*
  (desp[data.pagamento]&gt;=$A37)*
  (desp[data.pagamento]&lt;EOMONTH($A37,0)+1)
)</f>
        <v>0</v>
      </c>
      <c r="BX37" s="178" cm="1">
        <f t="array" ref="BX37">SUMPRODUCT(
  IFERROR(--desp[valor],0)*
  (desp[nucleo]="UP SAUDE")*
  (desp[categoria]=BX$7)*
  (desp[data.pagamento]&gt;=$A37)*
  (desp[data.pagamento]&lt;EOMONTH($A37,0)+1)
)</f>
        <v>0</v>
      </c>
      <c r="BY37" s="178" cm="1">
        <f t="array" ref="BY37">SUMPRODUCT(
  IFERROR(--desp[valor],0)*
  (desp[nucleo]="UP SAUDE")*
  (desp[categoria]=BY$7)*
  (desp[data.pagamento]&gt;=$A37)*
  (desp[data.pagamento]&lt;EOMONTH($A37,0)+1)
)</f>
        <v>0</v>
      </c>
      <c r="BZ37" s="178" cm="1">
        <f t="array" ref="BZ37">SUMPRODUCT(
  IFERROR(--desp[valor],0)*
  (desp[nucleo]="UP SAUDE")*
  (desp[categoria]=BZ$7)*
  (desp[data.pagamento]&gt;=$A37)*
  (desp[data.pagamento]&lt;EOMONTH($A37,0)+1)
)</f>
        <v>0</v>
      </c>
      <c r="CA37" s="179" cm="1">
        <f t="array" ref="CA37">SUMPRODUCT(
  IFERROR(--desp[valor],0)*
  (desp[nucleo]="UP SAUDE")*
  (desp[categoria]=CA$7)*
  (desp[data.pagamento]&gt;=$A37)*
  (desp[data.pagamento]&lt;EOMONTH($A37,0)+1)
)</f>
        <v>0</v>
      </c>
      <c r="CB37" s="177">
        <f>COUNTIFS(
    estq[empresa], CB$6,
    estq[Data da venda / reserva], "&gt;=" &amp; $A37,
    estq[Data da venda / reserva], "&lt;"  &amp; EOMONTH($A37,0) + 1
)</f>
        <v>0</v>
      </c>
      <c r="CC37" s="178">
        <f ca="1">SUMIFS(rec.uni[2023-11-01],
INDIRECT("rec.uni[natureza]"),"pro.soluto",
INDIRECT("rec.uni[empresa]"),CC$6)</f>
        <v>0</v>
      </c>
      <c r="CD37" s="178">
        <f ca="1">SUMIFS(rec.uni[2023-11-01],
INDIRECT("rec.uni[natureza]"),"repasse.cef.obra",
INDIRECT("rec.uni[empresa]"),CD$6)</f>
        <v>0</v>
      </c>
      <c r="CE37" s="178">
        <f ca="1">SUMIFS(rec.uni[2023-11-01],
INDIRECT("rec.uni[natureza]"),"repasse.cef.terreno",
INDIRECT("rec.uni[empresa]"),CE$6)</f>
        <v>0</v>
      </c>
      <c r="CF37" s="178">
        <v>0</v>
      </c>
      <c r="CG37" s="178">
        <f ca="1">SUMIFS(rec.uni[2023-11-01],
INDIRECT("rec.uni[natureza]"),"taxa.extra",
INDIRECT("rec.uni[empresa]"),CG$6)</f>
        <v>0</v>
      </c>
      <c r="CH37" s="166"/>
      <c r="CI37" s="178" cm="1">
        <f t="array" ref="CI37">SUMPRODUCT(
  IFERROR(--desp[valor],0)*
  (desp[nucleo]="UP ESTAÇÃO VILA SONIA")*
  (desp[categoria]=CI$7)*
  (desp[data.pagamento]&gt;=$A37)*
  (desp[data.pagamento]&lt;EOMONTH($A37,0)+1)
)</f>
        <v>0</v>
      </c>
      <c r="CJ37" s="178" cm="1">
        <f t="array" ref="CJ37">SUMPRODUCT(
  IFERROR(--desp[valor],0)*
  (desp[nucleo]="UP ESTAÇÃO VILA SONIA")*
  (desp[categoria]=CJ$7)*
  (desp[data.pagamento]&gt;=$A37)*
  (desp[data.pagamento]&lt;EOMONTH($A37,0)+1)
)</f>
        <v>0</v>
      </c>
      <c r="CK37" s="178" cm="1">
        <f t="array" ref="CK37">SUMPRODUCT(
  IFERROR(--desp[valor],0)*
  (desp[nucleo]="UP ESTAÇÃO VILA SONIA")*
  (desp[categoria]=CK$7)*
  (desp[data.pagamento]&gt;=$A37)*
  (desp[data.pagamento]&lt;EOMONTH($A37,0)+1)
)</f>
        <v>0</v>
      </c>
      <c r="CL37" s="178" cm="1">
        <f t="array" ref="CL37">SUMPRODUCT(
  IFERROR(--desp[valor],0)*
  (desp[nucleo]="UP ESTAÇÃO VILA SONIA")*
  (desp[categoria]=CL$7)*
  (desp[data.pagamento]&gt;=$A37)*
  (desp[data.pagamento]&lt;EOMONTH($A37,0)+1)
)</f>
        <v>0</v>
      </c>
      <c r="CM37" s="179" cm="1">
        <f t="array" ref="CM37">SUMPRODUCT(
  IFERROR(--desp[valor],0)*
  (desp[nucleo]="UP ESTAÇÃO VILA SONIA")*
  (desp[categoria]=CM$7)*
  (desp[data.pagamento]&gt;=$A37)*
  (desp[data.pagamento]&lt;EOMONTH($A37,0)+1)
)</f>
        <v>0</v>
      </c>
      <c r="CN37" s="177">
        <f>COUNTIFS(
    estq[empresa], CN$6,
    estq[Data da venda / reserva], "&gt;=" &amp; $A37,
    estq[Data da venda / reserva], "&lt;"  &amp; EOMONTH($A37,0) + 1
)</f>
        <v>0</v>
      </c>
      <c r="CO37" s="178">
        <f ca="1">SUMIFS(rec.uni[2023-11-01],
INDIRECT("rec.uni[natureza]"),"pro.soluto",
INDIRECT("rec.uni[empresa]"),CO$6)</f>
        <v>0</v>
      </c>
      <c r="CP37" s="178">
        <f ca="1">SUMIFS(rec.uni[2023-11-01],
INDIRECT("rec.uni[natureza]"),"repasse.cef.obra",
INDIRECT("rec.uni[empresa]"),CP$6)</f>
        <v>0</v>
      </c>
      <c r="CQ37" s="178">
        <f ca="1">SUMIFS(rec.uni[2023-11-01],
INDIRECT("rec.uni[natureza]"),"repasse.cef.terreno",
INDIRECT("rec.uni[empresa]"),CQ$6)</f>
        <v>0</v>
      </c>
      <c r="CR37" s="178">
        <v>0</v>
      </c>
      <c r="CS37" s="178">
        <f ca="1">SUMIFS(rec.uni[2023-11-01],
INDIRECT("rec.uni[natureza]"),"taxa.extra",
INDIRECT("rec.uni[empresa]"),CS$6)</f>
        <v>0</v>
      </c>
      <c r="CT37" s="166"/>
      <c r="CU37" s="178" cm="1">
        <f t="array" ref="CU37">SUMPRODUCT(
  IFERROR(--desp[valor],0)*
  (desp[nucleo]="UP MOVE VILA SONIA")*
  (desp[categoria]=CU$7)*
  (desp[data.pagamento]&gt;=$A37)*
  (desp[data.pagamento]&lt;EOMONTH($A37,0)+1)
)</f>
        <v>0</v>
      </c>
      <c r="CV37" s="178" cm="1">
        <f t="array" ref="CV37">SUMPRODUCT(
  IFERROR(--desp[valor],0)*
  (desp[nucleo]="UP MOVE VILA SONIA")*
  (desp[categoria]=CV$7)*
  (desp[data.pagamento]&gt;=$A37)*
  (desp[data.pagamento]&lt;EOMONTH($A37,0)+1)
)</f>
        <v>0</v>
      </c>
      <c r="CW37" s="178" cm="1">
        <f t="array" ref="CW37">SUMPRODUCT(
  IFERROR(--desp[valor],0)*
  (desp[nucleo]="UP MOVE VILA SONIA")*
  (desp[categoria]=CW$7)*
  (desp[data.pagamento]&gt;=$A37)*
  (desp[data.pagamento]&lt;EOMONTH($A37,0)+1)
)</f>
        <v>0</v>
      </c>
      <c r="CX37" s="178" cm="1">
        <f t="array" ref="CX37">SUMPRODUCT(
  IFERROR(--desp[valor],0)*
  (desp[nucleo]="UP MOVE VILA SONIA")*
  (desp[categoria]=CX$7)*
  (desp[data.pagamento]&gt;=$A37)*
  (desp[data.pagamento]&lt;EOMONTH($A37,0)+1)
)</f>
        <v>0</v>
      </c>
      <c r="CY37" s="180" cm="1">
        <f t="array" ref="CY37">SUMPRODUCT(
  IFERROR(--desp[valor],0)*
  (desp[nucleo]="UP MOVE VILA SONIA")*
  (desp[categoria]=CY$7)*
  (desp[data.pagamento]&gt;=$A37)*
  (desp[data.pagamento]&lt;EOMONTH($A37,0)+1)
)</f>
        <v>0</v>
      </c>
    </row>
    <row r="38" spans="1:103" x14ac:dyDescent="0.25">
      <c r="A38" s="176">
        <v>45261</v>
      </c>
      <c r="B38" s="177">
        <f>COUNTIFS(
    estq[empresa], B$6,
    estq[Data da venda / reserva], "&gt;=" &amp; $A38,
    estq[Data da venda / reserva], "&lt;"  &amp; EOMONTH($A38,0) + 1
)</f>
        <v>0</v>
      </c>
      <c r="C38" s="178">
        <f ca="1">SUMIFS(rec.uni[2023-12-01],
INDIRECT("rec.uni[natureza]"),"pro.soluto",
INDIRECT("rec.uni[empresa]"),C$6)</f>
        <v>0</v>
      </c>
      <c r="D38" s="178">
        <f ca="1">SUMIFS(rec.uni[2023-12-01],
INDIRECT("rec.uni[natureza]"),"repasse.cef.obra",
INDIRECT("rec.uni[empresa]"),D$6)</f>
        <v>0</v>
      </c>
      <c r="E38" s="178">
        <f ca="1">SUMIFS(rec.uni[2023-12-01],
INDIRECT("rec.uni[natureza]"),"repasse.cef.terreno",
INDIRECT("rec.uni[empresa]"),E$6)</f>
        <v>0</v>
      </c>
      <c r="F38" s="178">
        <v>0</v>
      </c>
      <c r="G38" s="178">
        <f ca="1">SUMIFS(rec.uni[2023-12-01],
INDIRECT("rec.uni[natureza]"),"taxa.extra",
INDIRECT("rec.uni[empresa]"),G$6)</f>
        <v>0</v>
      </c>
      <c r="H38" s="166"/>
      <c r="I38" s="178" cm="1">
        <f t="array" ref="I38">SUMPRODUCT(
  IFERROR(--desp[valor],0)*
  (desp[nucleo]="UP JARDIM PRUDENCIA")*
  (desp[categoria]=I$7)*
  (desp[data.pagamento]&gt;=$A38)*
  (desp[data.pagamento]&lt;EOMONTH($A38,0)+1)
)</f>
        <v>0</v>
      </c>
      <c r="J38" s="178" cm="1">
        <f t="array" ref="J38">SUMPRODUCT(
  IFERROR(--desp[valor],0)*
  (desp[nucleo]="UP JARDIM PRUDENCIA")*
  (desp[categoria]=J$7)*
  (desp[data.pagamento]&gt;=$A38)*
  (desp[data.pagamento]&lt;EOMONTH($A38,0)+1)
)</f>
        <v>0</v>
      </c>
      <c r="K38" s="178" cm="1">
        <f t="array" ref="K38">SUMPRODUCT(
  IFERROR(--desp[valor],0)*
  (desp[nucleo]="UP JARDIM PRUDENCIA")*
  (desp[categoria]=K$7)*
  (desp[data.pagamento]&gt;=$A38)*
  (desp[data.pagamento]&lt;EOMONTH($A38,0)+1)
)</f>
        <v>0</v>
      </c>
      <c r="L38" s="178" cm="1">
        <f t="array" ref="L38">SUMPRODUCT(
  IFERROR(--desp[valor],0)*
  (desp[nucleo]="UP JARDIM PRUDENCIA")*
  (desp[categoria]=L$7)*
  (desp[data.pagamento]&gt;=$A38)*
  (desp[data.pagamento]&lt;EOMONTH($A38,0)+1)
)</f>
        <v>0</v>
      </c>
      <c r="M38" s="179" cm="1">
        <f t="array" ref="M38">SUMPRODUCT(
  IFERROR(--desp[valor],0)*
  (desp[nucleo]="UP JARDIM PRUDENCIA")*
  (desp[categoria]=M$7)*
  (desp[data.pagamento]&gt;=$A38)*
  (desp[data.pagamento]&lt;EOMONTH($A38,0)+1)
)</f>
        <v>0</v>
      </c>
      <c r="N38" s="177">
        <f>COUNTIFS(
    estq[empresa], N$6,
    estq[Data da venda / reserva], "&gt;=" &amp; $A38,
    estq[Data da venda / reserva], "&lt;"  &amp; EOMONTH($A38,0) + 1
)</f>
        <v>0</v>
      </c>
      <c r="O38" s="178">
        <f ca="1">SUMIFS(rec.uni[2023-12-01],
INDIRECT("rec.uni[natureza]"),"pro.soluto",
INDIRECT("rec.uni[empresa]"),O$6)</f>
        <v>0</v>
      </c>
      <c r="P38" s="178">
        <f ca="1">SUMIFS(rec.uni[2023-12-01],
INDIRECT("rec.uni[natureza]"),"repasse.cef.obra",
INDIRECT("rec.uni[empresa]"),P$6)</f>
        <v>0</v>
      </c>
      <c r="Q38" s="178">
        <f ca="1">SUMIFS(rec.uni[2023-12-01],
INDIRECT("rec.uni[natureza]"),"repasse.cef.terreno",
INDIRECT("rec.uni[empresa]"),Q$6)</f>
        <v>0</v>
      </c>
      <c r="R38" s="178">
        <v>0</v>
      </c>
      <c r="S38" s="178">
        <f ca="1">SUMIFS(rec.uni[2023-12-01],
INDIRECT("rec.uni[natureza]"),"taxa.extra",
INDIRECT("rec.uni[empresa]"),S$6)</f>
        <v>0</v>
      </c>
      <c r="T38" s="166"/>
      <c r="U38" s="178" cm="1">
        <f t="array" ref="U38">SUMPRODUCT(
  IFERROR(--desp[valor],0)*
  (desp[nucleo]="UP VILA SONIA")*
  (desp[categoria]=U$7)*
  (desp[data.pagamento]&gt;=$A38)*
  (desp[data.pagamento]&lt;EOMONTH($A38,0)+1)
)</f>
        <v>0</v>
      </c>
      <c r="V38" s="178" cm="1">
        <f t="array" ref="V38">SUMPRODUCT(
  IFERROR(--desp[valor],0)*
  (desp[nucleo]="UP VILA SONIA")*
  (desp[categoria]=V$7)*
  (desp[data.pagamento]&gt;=$A38)*
  (desp[data.pagamento]&lt;EOMONTH($A38,0)+1)
)</f>
        <v>0</v>
      </c>
      <c r="W38" s="178" cm="1">
        <f t="array" ref="W38">SUMPRODUCT(
  IFERROR(--desp[valor],0)*
  (desp[nucleo]="UP VILA SONIA")*
  (desp[categoria]=W$7)*
  (desp[data.pagamento]&gt;=$A38)*
  (desp[data.pagamento]&lt;EOMONTH($A38,0)+1)
)</f>
        <v>0</v>
      </c>
      <c r="X38" s="178" cm="1">
        <f t="array" ref="X38">SUMPRODUCT(
  IFERROR(--desp[valor],0)*
  (desp[nucleo]="UP VILA SONIA")*
  (desp[categoria]=X$7)*
  (desp[data.pagamento]&gt;=$A38)*
  (desp[data.pagamento]&lt;EOMONTH($A38,0)+1)
)</f>
        <v>0</v>
      </c>
      <c r="Y38" s="179" cm="1">
        <f t="array" ref="Y38">SUMPRODUCT(
  IFERROR(--desp[valor],0)*
  (desp[nucleo]="UP VILA SONIA")*
  (desp[categoria]=Y$7)*
  (desp[data.pagamento]&gt;=$A38)*
  (desp[data.pagamento]&lt;EOMONTH($A38,0)+1)
)</f>
        <v>0</v>
      </c>
      <c r="Z38" s="177">
        <f>COUNTIFS(
    estq[empresa], Z$6,
    estq[Data da venda / reserva], "&gt;=" &amp; $A38,
    estq[Data da venda / reserva], "&lt;"  &amp; EOMONTH($A38,0) + 1
)</f>
        <v>0</v>
      </c>
      <c r="AA38" s="178">
        <f ca="1">SUMIFS(rec.uni[2023-12-01],
INDIRECT("rec.uni[natureza]"),"pro.soluto",
INDIRECT("rec.uni[empresa]"),AA$6)</f>
        <v>0</v>
      </c>
      <c r="AB38" s="178">
        <f ca="1">SUMIFS(rec.uni[2023-12-01],
INDIRECT("rec.uni[natureza]"),"pro.soluto",
INDIRECT("rec.uni[empresa]"),AB$6)</f>
        <v>0</v>
      </c>
      <c r="AC38" s="178">
        <f ca="1">SUMIFS(rec.uni[2023-12-01],
INDIRECT("rec.uni[natureza]"),"taxa.extra",
INDIRECT("rec.uni[empresa]"),AC$6)</f>
        <v>0</v>
      </c>
      <c r="AD38" s="166"/>
      <c r="AE38" s="178" cm="1">
        <f t="array" ref="AE38">SUMPRODUCT(
  IFERROR(--desp[valor],0)*
  (desp[nucleo]="UP CAMPO BELO")*
  (desp[categoria]=AE$7)*
  (desp[data.pagamento]&gt;=$A38)*
  (desp[data.pagamento]&lt;EOMONTH($A38,0)+1)
)</f>
        <v>0</v>
      </c>
      <c r="AF38" s="178" cm="1">
        <f t="array" ref="AF38">SUMPRODUCT(
  IFERROR(--desp[valor],0)*
  (desp[nucleo]="UP CAMPO BELO")*
  (desp[categoria]=AF$7)*
  (desp[data.pagamento]&gt;=$A38)*
  (desp[data.pagamento]&lt;EOMONTH($A38,0)+1)
)</f>
        <v>0</v>
      </c>
      <c r="AG38" s="178" cm="1">
        <f t="array" ref="AG38">SUMPRODUCT(
  IFERROR(--desp[valor],0)*
  (desp[nucleo]="UP CAMPO BELO")*
  (desp[categoria]=AG$7)*
  (desp[data.pagamento]&gt;=$A38)*
  (desp[data.pagamento]&lt;EOMONTH($A38,0)+1)
)</f>
        <v>0</v>
      </c>
      <c r="AH38" s="178" cm="1">
        <f t="array" ref="AH38">SUMPRODUCT(
  IFERROR(--desp[valor],0)*
  (desp[nucleo]="UP CAMPO BELO")*
  (desp[categoria]=AH$7)*
  (desp[data.pagamento]&gt;=$A38)*
  (desp[data.pagamento]&lt;EOMONTH($A38,0)+1)
)</f>
        <v>0</v>
      </c>
      <c r="AI38" s="179" cm="1">
        <f t="array" ref="AI38">SUMPRODUCT(
  IFERROR(--desp[valor],0)*
  (desp[nucleo]="UP CAMPO BELO")*
  (desp[categoria]=AI$7)*
  (desp[data.pagamento]&gt;=$A38)*
  (desp[data.pagamento]&lt;EOMONTH($A38,0)+1)
)</f>
        <v>0</v>
      </c>
      <c r="AJ38" s="177">
        <f>COUNTIFS(
    estq[empresa], AJ$6,
    estq[Data da venda / reserva], "&gt;=" &amp; $A38,
    estq[Data da venda / reserva], "&lt;"  &amp; EOMONTH($A38,0) + 1
)</f>
        <v>0</v>
      </c>
      <c r="AK38" s="178">
        <f ca="1">SUMIFS(rec.uni[2023-12-01],
INDIRECT("rec.uni[natureza]"),"pro.soluto",
INDIRECT("rec.uni[empresa]"),AK$6)</f>
        <v>0</v>
      </c>
      <c r="AL38" s="178">
        <f ca="1">SUMIFS(rec.uni[2023-12-01],
INDIRECT("rec.uni[natureza]"),"repasse.cef.obra",
INDIRECT("rec.uni[empresa]"),AL$6)</f>
        <v>0</v>
      </c>
      <c r="AM38" s="178">
        <f ca="1">SUMIFS(rec.uni[2023-12-01],
INDIRECT("rec.uni[natureza]"),"repasse.cef.terreno",
INDIRECT("rec.uni[empresa]"),AM$6)</f>
        <v>0</v>
      </c>
      <c r="AN38" s="178">
        <v>0</v>
      </c>
      <c r="AO38" s="178">
        <f ca="1">SUMIFS(rec.uni[2023-12-01],
INDIRECT("rec.uni[natureza]"),"taxa.extra",
INDIRECT("rec.uni[empresa]"),AO$6)</f>
        <v>0</v>
      </c>
      <c r="AP38" s="166"/>
      <c r="AQ38" s="178" cm="1">
        <f t="array" ref="AQ38">SUMPRODUCT(
  IFERROR(--desp[valor],0)*
  (desp[nucleo]="UP SELECT VILA SONIA")*
  (desp[categoria]=AQ$7)*
  (desp[data.pagamento]&gt;=$A38)*
  (desp[data.pagamento]&lt;EOMONTH($A38,0)+1)
)</f>
        <v>0</v>
      </c>
      <c r="AR38" s="178" cm="1">
        <f t="array" ref="AR38">SUMPRODUCT(
  IFERROR(--desp[valor],0)*
  (desp[nucleo]="UP SELECT VILA SONIA")*
  (desp[categoria]=AR$7)*
  (desp[data.pagamento]&gt;=$A38)*
  (desp[data.pagamento]&lt;EOMONTH($A38,0)+1)
)</f>
        <v>0</v>
      </c>
      <c r="AS38" s="178" cm="1">
        <f t="array" ref="AS38">SUMPRODUCT(
  IFERROR(--desp[valor],0)*
  (desp[nucleo]="UP SELECT VILA SONIA")*
  (desp[categoria]=AS$7)*
  (desp[data.pagamento]&gt;=$A38)*
  (desp[data.pagamento]&lt;EOMONTH($A38,0)+1)
)</f>
        <v>0</v>
      </c>
      <c r="AT38" s="178" cm="1">
        <f t="array" ref="AT38">SUMPRODUCT(
  IFERROR(--desp[valor],0)*
  (desp[nucleo]="UP SELECT VILA SONIA")*
  (desp[categoria]=AT$7)*
  (desp[data.pagamento]&gt;=$A38)*
  (desp[data.pagamento]&lt;EOMONTH($A38,0)+1)
)</f>
        <v>0</v>
      </c>
      <c r="AU38" s="179" cm="1">
        <f t="array" ref="AU38">SUMPRODUCT(
  IFERROR(--desp[valor],0)*
  (desp[nucleo]="UP SELECT VILA SONIA")*
  (desp[categoria]=AU$7)*
  (desp[data.pagamento]&gt;=$A38)*
  (desp[data.pagamento]&lt;EOMONTH($A38,0)+1)
)</f>
        <v>0</v>
      </c>
      <c r="AV38" s="177">
        <f>COUNTIFS(
    estq[empresa], AV$6,
    estq[Data da venda / reserva], "&gt;=" &amp; $A38,
    estq[Data da venda / reserva], "&lt;"  &amp; EOMONTH($A38,0) + 1
)</f>
        <v>0</v>
      </c>
      <c r="AW38" s="178">
        <f ca="1">SUMIFS(rec.uni[2023-12-01],
INDIRECT("rec.uni[natureza]"),"pro.soluto",
INDIRECT("rec.uni[empresa]"),AW$6)</f>
        <v>0</v>
      </c>
      <c r="AX38" s="178">
        <f ca="1">SUMIFS(rec.uni[2023-12-01],
INDIRECT("rec.uni[natureza]"),"repasse.cef.obra",
INDIRECT("rec.uni[empresa]"),AX$6)</f>
        <v>0</v>
      </c>
      <c r="AY38" s="178">
        <f ca="1">SUMIFS(rec.uni[2023-12-01],
INDIRECT("rec.uni[natureza]"),"repasse.cef.terreno",
INDIRECT("rec.uni[empresa]"),AY$6)</f>
        <v>0</v>
      </c>
      <c r="AZ38" s="178">
        <v>0</v>
      </c>
      <c r="BA38" s="178">
        <f ca="1">SUMIFS(rec.uni[2023-12-01],
INDIRECT("rec.uni[natureza]"),"taxa.extra",
INDIRECT("rec.uni[empresa]"),BA$6)</f>
        <v>0</v>
      </c>
      <c r="BB38" s="166"/>
      <c r="BC38" s="178" cm="1">
        <f t="array" ref="BC38">SUMPRODUCT(
  IFERROR(--desp[valor],0)*
  (desp[nucleo]="UP ESTAÇÃO SÃO LUCAS")*
  (desp[categoria]=BC$7)*
  (desp[data.pagamento]&gt;=$A38)*
  (desp[data.pagamento]&lt;EOMONTH($A38,0)+1)
)</f>
        <v>0</v>
      </c>
      <c r="BD38" s="178" cm="1">
        <f t="array" ref="BD38">SUMPRODUCT(
  IFERROR(--desp[valor],0)*
  (desp[nucleo]="UP ESTAÇÃO SÃO LUCAS")*
  (desp[categoria]=BD$7)*
  (desp[data.pagamento]&gt;=$A38)*
  (desp[data.pagamento]&lt;EOMONTH($A38,0)+1)
)</f>
        <v>0</v>
      </c>
      <c r="BE38" s="178" cm="1">
        <f t="array" ref="BE38">SUMPRODUCT(
  IFERROR(--desp[valor],0)*
  (desp[nucleo]="UP ESTAÇÃO SÃO LUCAS")*
  (desp[categoria]=BE$7)*
  (desp[data.pagamento]&gt;=$A38)*
  (desp[data.pagamento]&lt;EOMONTH($A38,0)+1)
)</f>
        <v>0</v>
      </c>
      <c r="BF38" s="178" cm="1">
        <f t="array" ref="BF38">SUMPRODUCT(
  IFERROR(--desp[valor],0)*
  (desp[nucleo]="UP ESTAÇÃO SÃO LUCAS")*
  (desp[categoria]=BF$7)*
  (desp[data.pagamento]&gt;=$A38)*
  (desp[data.pagamento]&lt;EOMONTH($A38,0)+1)
)</f>
        <v>0</v>
      </c>
      <c r="BG38" s="179" cm="1">
        <f t="array" ref="BG38">SUMPRODUCT(
  IFERROR(--desp[valor],0)*
  (desp[nucleo]="UP ESTAÇÃO SÃO LUCAS")*
  (desp[categoria]=BG$7)*
  (desp[data.pagamento]&gt;=$A38)*
  (desp[data.pagamento]&lt;EOMONTH($A38,0)+1)
)</f>
        <v>0</v>
      </c>
      <c r="BH38" s="177">
        <f>COUNTIFS(
    estq[empresa], BH$6,
    estq[Data da venda / reserva], "&gt;=" &amp; $A38,
    estq[Data da venda / reserva], "&lt;"  &amp; EOMONTH($A38,0) + 1
)</f>
        <v>0</v>
      </c>
      <c r="BI38" s="178">
        <f ca="1">SUMIFS(rec.uni[2023-12-01],
INDIRECT("rec.uni[natureza]"),"pro.soluto",
INDIRECT("rec.uni[empresa]"),BI$6)</f>
        <v>0</v>
      </c>
      <c r="BJ38" s="166">
        <v>0</v>
      </c>
      <c r="BK38" s="178">
        <f ca="1">SUMIFS(rec.uni[2023-12-01],
INDIRECT("rec.uni[natureza]"),"taxa.extra",
INDIRECT("rec.uni[empresa]"),BK$6)</f>
        <v>0</v>
      </c>
      <c r="BL38" s="166"/>
      <c r="BM38" s="178" cm="1">
        <f t="array" ref="BM38">SUMPRODUCT(
  IFERROR(--desp[valor],0)*
  (desp[nucleo]="UP POMPEIA")*
  (desp[categoria]=BM$7)*
  (desp[data.pagamento]&gt;=$A38)*
  (desp[data.pagamento]&lt;EOMONTH($A38,0)+1)
)</f>
        <v>0</v>
      </c>
      <c r="BN38" s="178" cm="1">
        <f t="array" ref="BN38">SUMPRODUCT(
  IFERROR(--desp[valor],0)*
  (desp[nucleo]="UP POMPEIA")*
  (desp[categoria]=BN$7)*
  (desp[data.pagamento]&gt;=$A38)*
  (desp[data.pagamento]&lt;EOMONTH($A38,0)+1)
)</f>
        <v>0</v>
      </c>
      <c r="BO38" s="178" cm="1">
        <f t="array" ref="BO38">SUMPRODUCT(
  IFERROR(--desp[valor],0)*
  (desp[nucleo]="UP POMPEIA")*
  (desp[categoria]=BO$7)*
  (desp[data.pagamento]&gt;=$A38)*
  (desp[data.pagamento]&lt;EOMONTH($A38,0)+1)
)</f>
        <v>0</v>
      </c>
      <c r="BP38" s="178" cm="1">
        <f t="array" ref="BP38">SUMPRODUCT(
  IFERROR(--desp[valor],0)*
  (desp[nucleo]="UP POMPEIA")*
  (desp[categoria]=BP$7)*
  (desp[data.pagamento]&gt;=$A38)*
  (desp[data.pagamento]&lt;EOMONTH($A38,0)+1)
)</f>
        <v>0</v>
      </c>
      <c r="BQ38" s="179" cm="1">
        <f t="array" ref="BQ38">SUMPRODUCT(
  IFERROR(--desp[valor],0)*
  (desp[nucleo]="UP POMPEIA")*
  (desp[categoria]=BQ$7)*
  (desp[data.pagamento]&gt;=$A38)*
  (desp[data.pagamento]&lt;EOMONTH($A38,0)+1)
)</f>
        <v>0</v>
      </c>
      <c r="BR38" s="177">
        <f>COUNTIFS(
    estq[empresa], BR$6,
    estq[Data da venda / reserva], "&gt;=" &amp; $A38,
    estq[Data da venda / reserva], "&lt;"  &amp; EOMONTH($A38,0) + 1
)</f>
        <v>0</v>
      </c>
      <c r="BS38" s="178">
        <f ca="1">SUMIFS(rec.uni[2023-12-01],
INDIRECT("rec.uni[natureza]"),"pro.soluto",
INDIRECT("rec.uni[empresa]"),BS$6)</f>
        <v>0</v>
      </c>
      <c r="BT38" s="178">
        <f ca="1">SUMIFS(rec.uni[2023-12-01],
INDIRECT("rec.uni[natureza]"),"pro.soluto",
INDIRECT("rec.uni[empresa]"),BT$6)</f>
        <v>0</v>
      </c>
      <c r="BU38" s="178">
        <f ca="1">SUMIFS(rec.uni[2023-12-01],
INDIRECT("rec.uni[natureza]"),"taxa.extra",
INDIRECT("rec.uni[empresa]"),BU$6)</f>
        <v>0</v>
      </c>
      <c r="BV38" s="166"/>
      <c r="BW38" s="178" cm="1">
        <f t="array" ref="BW38">SUMPRODUCT(
  IFERROR(--desp[valor],0)*
  (desp[nucleo]="UP SAUDE")*
  (desp[categoria]=BW$7)*
  (desp[data.pagamento]&gt;=$A38)*
  (desp[data.pagamento]&lt;EOMONTH($A38,0)+1)
)</f>
        <v>0</v>
      </c>
      <c r="BX38" s="178" cm="1">
        <f t="array" ref="BX38">SUMPRODUCT(
  IFERROR(--desp[valor],0)*
  (desp[nucleo]="UP SAUDE")*
  (desp[categoria]=BX$7)*
  (desp[data.pagamento]&gt;=$A38)*
  (desp[data.pagamento]&lt;EOMONTH($A38,0)+1)
)</f>
        <v>0</v>
      </c>
      <c r="BY38" s="178" cm="1">
        <f t="array" ref="BY38">SUMPRODUCT(
  IFERROR(--desp[valor],0)*
  (desp[nucleo]="UP SAUDE")*
  (desp[categoria]=BY$7)*
  (desp[data.pagamento]&gt;=$A38)*
  (desp[data.pagamento]&lt;EOMONTH($A38,0)+1)
)</f>
        <v>0</v>
      </c>
      <c r="BZ38" s="178" cm="1">
        <f t="array" ref="BZ38">SUMPRODUCT(
  IFERROR(--desp[valor],0)*
  (desp[nucleo]="UP SAUDE")*
  (desp[categoria]=BZ$7)*
  (desp[data.pagamento]&gt;=$A38)*
  (desp[data.pagamento]&lt;EOMONTH($A38,0)+1)
)</f>
        <v>0</v>
      </c>
      <c r="CA38" s="179" cm="1">
        <f t="array" ref="CA38">SUMPRODUCT(
  IFERROR(--desp[valor],0)*
  (desp[nucleo]="UP SAUDE")*
  (desp[categoria]=CA$7)*
  (desp[data.pagamento]&gt;=$A38)*
  (desp[data.pagamento]&lt;EOMONTH($A38,0)+1)
)</f>
        <v>0</v>
      </c>
      <c r="CB38" s="177">
        <f>COUNTIFS(
    estq[empresa], CB$6,
    estq[Data da venda / reserva], "&gt;=" &amp; $A38,
    estq[Data da venda / reserva], "&lt;"  &amp; EOMONTH($A38,0) + 1
)</f>
        <v>0</v>
      </c>
      <c r="CC38" s="178">
        <f ca="1">SUMIFS(rec.uni[2023-12-01],
INDIRECT("rec.uni[natureza]"),"pro.soluto",
INDIRECT("rec.uni[empresa]"),CC$6)</f>
        <v>0</v>
      </c>
      <c r="CD38" s="178">
        <f ca="1">SUMIFS(rec.uni[2023-12-01],
INDIRECT("rec.uni[natureza]"),"repasse.cef.obra",
INDIRECT("rec.uni[empresa]"),CD$6)</f>
        <v>0</v>
      </c>
      <c r="CE38" s="178">
        <f ca="1">SUMIFS(rec.uni[2023-12-01],
INDIRECT("rec.uni[natureza]"),"repasse.cef.terreno",
INDIRECT("rec.uni[empresa]"),CE$6)</f>
        <v>0</v>
      </c>
      <c r="CF38" s="178">
        <v>0</v>
      </c>
      <c r="CG38" s="178">
        <f ca="1">SUMIFS(rec.uni[2023-12-01],
INDIRECT("rec.uni[natureza]"),"taxa.extra",
INDIRECT("rec.uni[empresa]"),CG$6)</f>
        <v>0</v>
      </c>
      <c r="CH38" s="166"/>
      <c r="CI38" s="178" cm="1">
        <f t="array" ref="CI38">SUMPRODUCT(
  IFERROR(--desp[valor],0)*
  (desp[nucleo]="UP ESTAÇÃO VILA SONIA")*
  (desp[categoria]=CI$7)*
  (desp[data.pagamento]&gt;=$A38)*
  (desp[data.pagamento]&lt;EOMONTH($A38,0)+1)
)</f>
        <v>0</v>
      </c>
      <c r="CJ38" s="178" cm="1">
        <f t="array" ref="CJ38">SUMPRODUCT(
  IFERROR(--desp[valor],0)*
  (desp[nucleo]="UP ESTAÇÃO VILA SONIA")*
  (desp[categoria]=CJ$7)*
  (desp[data.pagamento]&gt;=$A38)*
  (desp[data.pagamento]&lt;EOMONTH($A38,0)+1)
)</f>
        <v>0</v>
      </c>
      <c r="CK38" s="178" cm="1">
        <f t="array" ref="CK38">SUMPRODUCT(
  IFERROR(--desp[valor],0)*
  (desp[nucleo]="UP ESTAÇÃO VILA SONIA")*
  (desp[categoria]=CK$7)*
  (desp[data.pagamento]&gt;=$A38)*
  (desp[data.pagamento]&lt;EOMONTH($A38,0)+1)
)</f>
        <v>0</v>
      </c>
      <c r="CL38" s="178" cm="1">
        <f t="array" ref="CL38">SUMPRODUCT(
  IFERROR(--desp[valor],0)*
  (desp[nucleo]="UP ESTAÇÃO VILA SONIA")*
  (desp[categoria]=CL$7)*
  (desp[data.pagamento]&gt;=$A38)*
  (desp[data.pagamento]&lt;EOMONTH($A38,0)+1)
)</f>
        <v>0</v>
      </c>
      <c r="CM38" s="179" cm="1">
        <f t="array" ref="CM38">SUMPRODUCT(
  IFERROR(--desp[valor],0)*
  (desp[nucleo]="UP ESTAÇÃO VILA SONIA")*
  (desp[categoria]=CM$7)*
  (desp[data.pagamento]&gt;=$A38)*
  (desp[data.pagamento]&lt;EOMONTH($A38,0)+1)
)</f>
        <v>0</v>
      </c>
      <c r="CN38" s="177">
        <f>COUNTIFS(
    estq[empresa], CN$6,
    estq[Data da venda / reserva], "&gt;=" &amp; $A38,
    estq[Data da venda / reserva], "&lt;"  &amp; EOMONTH($A38,0) + 1
)</f>
        <v>0</v>
      </c>
      <c r="CO38" s="178">
        <f ca="1">SUMIFS(rec.uni[2023-12-01],
INDIRECT("rec.uni[natureza]"),"pro.soluto",
INDIRECT("rec.uni[empresa]"),CO$6)</f>
        <v>0</v>
      </c>
      <c r="CP38" s="178">
        <f ca="1">SUMIFS(rec.uni[2023-12-01],
INDIRECT("rec.uni[natureza]"),"repasse.cef.obra",
INDIRECT("rec.uni[empresa]"),CP$6)</f>
        <v>0</v>
      </c>
      <c r="CQ38" s="178">
        <f ca="1">SUMIFS(rec.uni[2023-12-01],
INDIRECT("rec.uni[natureza]"),"repasse.cef.terreno",
INDIRECT("rec.uni[empresa]"),CQ$6)</f>
        <v>0</v>
      </c>
      <c r="CR38" s="178">
        <v>0</v>
      </c>
      <c r="CS38" s="178">
        <f ca="1">SUMIFS(rec.uni[2023-12-01],
INDIRECT("rec.uni[natureza]"),"taxa.extra",
INDIRECT("rec.uni[empresa]"),CS$6)</f>
        <v>0</v>
      </c>
      <c r="CT38" s="166"/>
      <c r="CU38" s="178" cm="1">
        <f t="array" ref="CU38">SUMPRODUCT(
  IFERROR(--desp[valor],0)*
  (desp[nucleo]="UP MOVE VILA SONIA")*
  (desp[categoria]=CU$7)*
  (desp[data.pagamento]&gt;=$A38)*
  (desp[data.pagamento]&lt;EOMONTH($A38,0)+1)
)</f>
        <v>0</v>
      </c>
      <c r="CV38" s="178" cm="1">
        <f t="array" ref="CV38">SUMPRODUCT(
  IFERROR(--desp[valor],0)*
  (desp[nucleo]="UP MOVE VILA SONIA")*
  (desp[categoria]=CV$7)*
  (desp[data.pagamento]&gt;=$A38)*
  (desp[data.pagamento]&lt;EOMONTH($A38,0)+1)
)</f>
        <v>0</v>
      </c>
      <c r="CW38" s="178" cm="1">
        <f t="array" ref="CW38">SUMPRODUCT(
  IFERROR(--desp[valor],0)*
  (desp[nucleo]="UP MOVE VILA SONIA")*
  (desp[categoria]=CW$7)*
  (desp[data.pagamento]&gt;=$A38)*
  (desp[data.pagamento]&lt;EOMONTH($A38,0)+1)
)</f>
        <v>0</v>
      </c>
      <c r="CX38" s="178" cm="1">
        <f t="array" ref="CX38">SUMPRODUCT(
  IFERROR(--desp[valor],0)*
  (desp[nucleo]="UP MOVE VILA SONIA")*
  (desp[categoria]=CX$7)*
  (desp[data.pagamento]&gt;=$A38)*
  (desp[data.pagamento]&lt;EOMONTH($A38,0)+1)
)</f>
        <v>0</v>
      </c>
      <c r="CY38" s="180" cm="1">
        <f t="array" ref="CY38">SUMPRODUCT(
  IFERROR(--desp[valor],0)*
  (desp[nucleo]="UP MOVE VILA SONIA")*
  (desp[categoria]=CY$7)*
  (desp[data.pagamento]&gt;=$A38)*
  (desp[data.pagamento]&lt;EOMONTH($A38,0)+1)
)</f>
        <v>0</v>
      </c>
    </row>
    <row r="39" spans="1:103" x14ac:dyDescent="0.25">
      <c r="A39" s="176">
        <v>45292</v>
      </c>
      <c r="B39" s="177">
        <f>COUNTIFS(
    estq[empresa], B$6,
    estq[Data da venda / reserva], "&gt;=" &amp; $A39,
    estq[Data da venda / reserva], "&lt;"  &amp; EOMONTH($A39,0) + 1
)</f>
        <v>0</v>
      </c>
      <c r="C39" s="178">
        <f ca="1">SUMIFS(rec.uni[2024-01-01],
INDIRECT("rec.uni[natureza]"),"pro.soluto",
INDIRECT("rec.uni[empresa]"),C$6)</f>
        <v>0</v>
      </c>
      <c r="D39" s="178">
        <f ca="1">SUMIFS(rec.uni[2024-01-01],
INDIRECT("rec.uni[natureza]"),"repasse.cef.obra",
INDIRECT("rec.uni[empresa]"),D$6)</f>
        <v>0</v>
      </c>
      <c r="E39" s="178">
        <f ca="1">SUMIFS(rec.uni[2024-01-01],
INDIRECT("rec.uni[natureza]"),"repasse.cef.terreno",
INDIRECT("rec.uni[empresa]"),E$6)</f>
        <v>0</v>
      </c>
      <c r="F39" s="178">
        <v>0</v>
      </c>
      <c r="G39" s="178">
        <f ca="1">SUMIFS(rec.uni[2024-01-01],
INDIRECT("rec.uni[natureza]"),"taxa.extra",
INDIRECT("rec.uni[empresa]"),G$6)</f>
        <v>0</v>
      </c>
      <c r="H39" s="166"/>
      <c r="I39" s="178" cm="1">
        <f t="array" ref="I39">SUMPRODUCT(
  IFERROR(--desp[valor],0)*
  (desp[nucleo]="UP JARDIM PRUDENCIA")*
  (desp[categoria]=I$7)*
  (desp[data.pagamento]&gt;=$A39)*
  (desp[data.pagamento]&lt;EOMONTH($A39,0)+1)
)</f>
        <v>0</v>
      </c>
      <c r="J39" s="178" cm="1">
        <f t="array" ref="J39">SUMPRODUCT(
  IFERROR(--desp[valor],0)*
  (desp[nucleo]="UP JARDIM PRUDENCIA")*
  (desp[categoria]=J$7)*
  (desp[data.pagamento]&gt;=$A39)*
  (desp[data.pagamento]&lt;EOMONTH($A39,0)+1)
)</f>
        <v>0</v>
      </c>
      <c r="K39" s="178" cm="1">
        <f t="array" ref="K39">SUMPRODUCT(
  IFERROR(--desp[valor],0)*
  (desp[nucleo]="UP JARDIM PRUDENCIA")*
  (desp[categoria]=K$7)*
  (desp[data.pagamento]&gt;=$A39)*
  (desp[data.pagamento]&lt;EOMONTH($A39,0)+1)
)</f>
        <v>0</v>
      </c>
      <c r="L39" s="178" cm="1">
        <f t="array" ref="L39">SUMPRODUCT(
  IFERROR(--desp[valor],0)*
  (desp[nucleo]="UP JARDIM PRUDENCIA")*
  (desp[categoria]=L$7)*
  (desp[data.pagamento]&gt;=$A39)*
  (desp[data.pagamento]&lt;EOMONTH($A39,0)+1)
)</f>
        <v>0</v>
      </c>
      <c r="M39" s="179" cm="1">
        <f t="array" ref="M39">SUMPRODUCT(
  IFERROR(--desp[valor],0)*
  (desp[nucleo]="UP JARDIM PRUDENCIA")*
  (desp[categoria]=M$7)*
  (desp[data.pagamento]&gt;=$A39)*
  (desp[data.pagamento]&lt;EOMONTH($A39,0)+1)
)</f>
        <v>0</v>
      </c>
      <c r="N39" s="177">
        <f>COUNTIFS(
    estq[empresa], N$6,
    estq[Data da venda / reserva], "&gt;=" &amp; $A39,
    estq[Data da venda / reserva], "&lt;"  &amp; EOMONTH($A39,0) + 1
)</f>
        <v>0</v>
      </c>
      <c r="O39" s="178">
        <f ca="1">SUMIFS(rec.uni[2024-01-01],
INDIRECT("rec.uni[natureza]"),"pro.soluto",
INDIRECT("rec.uni[empresa]"),O$6)</f>
        <v>0</v>
      </c>
      <c r="P39" s="178">
        <f ca="1">SUMIFS(rec.uni[2024-01-01],
INDIRECT("rec.uni[natureza]"),"repasse.cef.obra",
INDIRECT("rec.uni[empresa]"),P$6)</f>
        <v>0</v>
      </c>
      <c r="Q39" s="178">
        <f ca="1">SUMIFS(rec.uni[2024-01-01],
INDIRECT("rec.uni[natureza]"),"repasse.cef.terreno",
INDIRECT("rec.uni[empresa]"),Q$6)</f>
        <v>0</v>
      </c>
      <c r="R39" s="178">
        <v>1292869.73</v>
      </c>
      <c r="S39" s="178">
        <f ca="1">SUMIFS(rec.uni[2024-01-01],
INDIRECT("rec.uni[natureza]"),"taxa.extra",
INDIRECT("rec.uni[empresa]"),S$6)</f>
        <v>0</v>
      </c>
      <c r="T39" s="166"/>
      <c r="U39" s="178" cm="1">
        <f t="array" ref="U39">SUMPRODUCT(
  IFERROR(--desp[valor],0)*
  (desp[nucleo]="UP VILA SONIA")*
  (desp[categoria]=U$7)*
  (desp[data.pagamento]&gt;=$A39)*
  (desp[data.pagamento]&lt;EOMONTH($A39,0)+1)
)</f>
        <v>0</v>
      </c>
      <c r="V39" s="178" cm="1">
        <f t="array" ref="V39">SUMPRODUCT(
  IFERROR(--desp[valor],0)*
  (desp[nucleo]="UP VILA SONIA")*
  (desp[categoria]=V$7)*
  (desp[data.pagamento]&gt;=$A39)*
  (desp[data.pagamento]&lt;EOMONTH($A39,0)+1)
)</f>
        <v>0</v>
      </c>
      <c r="W39" s="178" cm="1">
        <f t="array" ref="W39">SUMPRODUCT(
  IFERROR(--desp[valor],0)*
  (desp[nucleo]="UP VILA SONIA")*
  (desp[categoria]=W$7)*
  (desp[data.pagamento]&gt;=$A39)*
  (desp[data.pagamento]&lt;EOMONTH($A39,0)+1)
)</f>
        <v>0</v>
      </c>
      <c r="X39" s="178" cm="1">
        <f t="array" ref="X39">SUMPRODUCT(
  IFERROR(--desp[valor],0)*
  (desp[nucleo]="UP VILA SONIA")*
  (desp[categoria]=X$7)*
  (desp[data.pagamento]&gt;=$A39)*
  (desp[data.pagamento]&lt;EOMONTH($A39,0)+1)
)</f>
        <v>0</v>
      </c>
      <c r="Y39" s="179" cm="1">
        <f t="array" ref="Y39">SUMPRODUCT(
  IFERROR(--desp[valor],0)*
  (desp[nucleo]="UP VILA SONIA")*
  (desp[categoria]=Y$7)*
  (desp[data.pagamento]&gt;=$A39)*
  (desp[data.pagamento]&lt;EOMONTH($A39,0)+1)
)</f>
        <v>0</v>
      </c>
      <c r="Z39" s="177">
        <f>COUNTIFS(
    estq[empresa], Z$6,
    estq[Data da venda / reserva], "&gt;=" &amp; $A39,
    estq[Data da venda / reserva], "&lt;"  &amp; EOMONTH($A39,0) + 1
)</f>
        <v>0</v>
      </c>
      <c r="AA39" s="178">
        <f ca="1">SUMIFS(rec.uni[2024-01-01],
INDIRECT("rec.uni[natureza]"),"pro.soluto",
INDIRECT("rec.uni[empresa]"),AA$6)</f>
        <v>0</v>
      </c>
      <c r="AB39" s="178">
        <f ca="1">SUMIFS(rec.uni[2024-01-01],
INDIRECT("rec.uni[natureza]"),"pro.soluto",
INDIRECT("rec.uni[empresa]"),AB$6)</f>
        <v>0</v>
      </c>
      <c r="AC39" s="178">
        <f ca="1">SUMIFS(rec.uni[2024-01-01],
INDIRECT("rec.uni[natureza]"),"taxa.extra",
INDIRECT("rec.uni[empresa]"),AC$6)</f>
        <v>0</v>
      </c>
      <c r="AD39" s="166"/>
      <c r="AE39" s="178" cm="1">
        <f t="array" ref="AE39">SUMPRODUCT(
  IFERROR(--desp[valor],0)*
  (desp[nucleo]="UP CAMPO BELO")*
  (desp[categoria]=AE$7)*
  (desp[data.pagamento]&gt;=$A39)*
  (desp[data.pagamento]&lt;EOMONTH($A39,0)+1)
)</f>
        <v>0</v>
      </c>
      <c r="AF39" s="178" cm="1">
        <f t="array" ref="AF39">SUMPRODUCT(
  IFERROR(--desp[valor],0)*
  (desp[nucleo]="UP CAMPO BELO")*
  (desp[categoria]=AF$7)*
  (desp[data.pagamento]&gt;=$A39)*
  (desp[data.pagamento]&lt;EOMONTH($A39,0)+1)
)</f>
        <v>0</v>
      </c>
      <c r="AG39" s="178" cm="1">
        <f t="array" ref="AG39">SUMPRODUCT(
  IFERROR(--desp[valor],0)*
  (desp[nucleo]="UP CAMPO BELO")*
  (desp[categoria]=AG$7)*
  (desp[data.pagamento]&gt;=$A39)*
  (desp[data.pagamento]&lt;EOMONTH($A39,0)+1)
)</f>
        <v>0</v>
      </c>
      <c r="AH39" s="178" cm="1">
        <f t="array" ref="AH39">SUMPRODUCT(
  IFERROR(--desp[valor],0)*
  (desp[nucleo]="UP CAMPO BELO")*
  (desp[categoria]=AH$7)*
  (desp[data.pagamento]&gt;=$A39)*
  (desp[data.pagamento]&lt;EOMONTH($A39,0)+1)
)</f>
        <v>0</v>
      </c>
      <c r="AI39" s="179" cm="1">
        <f t="array" ref="AI39">SUMPRODUCT(
  IFERROR(--desp[valor],0)*
  (desp[nucleo]="UP CAMPO BELO")*
  (desp[categoria]=AI$7)*
  (desp[data.pagamento]&gt;=$A39)*
  (desp[data.pagamento]&lt;EOMONTH($A39,0)+1)
)</f>
        <v>0</v>
      </c>
      <c r="AJ39" s="177">
        <f>COUNTIFS(
    estq[empresa], AJ$6,
    estq[Data da venda / reserva], "&gt;=" &amp; $A39,
    estq[Data da venda / reserva], "&lt;"  &amp; EOMONTH($A39,0) + 1
)</f>
        <v>0</v>
      </c>
      <c r="AK39" s="178">
        <f ca="1">SUMIFS(rec.uni[2024-01-01],
INDIRECT("rec.uni[natureza]"),"pro.soluto",
INDIRECT("rec.uni[empresa]"),AK$6)</f>
        <v>0</v>
      </c>
      <c r="AL39" s="178">
        <f ca="1">SUMIFS(rec.uni[2024-01-01],
INDIRECT("rec.uni[natureza]"),"repasse.cef.obra",
INDIRECT("rec.uni[empresa]"),AL$6)</f>
        <v>0</v>
      </c>
      <c r="AM39" s="178">
        <f ca="1">SUMIFS(rec.uni[2024-01-01],
INDIRECT("rec.uni[natureza]"),"repasse.cef.terreno",
INDIRECT("rec.uni[empresa]"),AM$6)</f>
        <v>0</v>
      </c>
      <c r="AN39" s="178">
        <v>0</v>
      </c>
      <c r="AO39" s="178">
        <f ca="1">SUMIFS(rec.uni[2024-01-01],
INDIRECT("rec.uni[natureza]"),"taxa.extra",
INDIRECT("rec.uni[empresa]"),AO$6)</f>
        <v>0</v>
      </c>
      <c r="AP39" s="166"/>
      <c r="AQ39" s="178" cm="1">
        <f t="array" ref="AQ39">SUMPRODUCT(
  IFERROR(--desp[valor],0)*
  (desp[nucleo]="UP SELECT VILA SONIA")*
  (desp[categoria]=AQ$7)*
  (desp[data.pagamento]&gt;=$A39)*
  (desp[data.pagamento]&lt;EOMONTH($A39,0)+1)
)</f>
        <v>0</v>
      </c>
      <c r="AR39" s="178" cm="1">
        <f t="array" ref="AR39">SUMPRODUCT(
  IFERROR(--desp[valor],0)*
  (desp[nucleo]="UP SELECT VILA SONIA")*
  (desp[categoria]=AR$7)*
  (desp[data.pagamento]&gt;=$A39)*
  (desp[data.pagamento]&lt;EOMONTH($A39,0)+1)
)</f>
        <v>0</v>
      </c>
      <c r="AS39" s="178" cm="1">
        <f t="array" ref="AS39">SUMPRODUCT(
  IFERROR(--desp[valor],0)*
  (desp[nucleo]="UP SELECT VILA SONIA")*
  (desp[categoria]=AS$7)*
  (desp[data.pagamento]&gt;=$A39)*
  (desp[data.pagamento]&lt;EOMONTH($A39,0)+1)
)</f>
        <v>0</v>
      </c>
      <c r="AT39" s="178" cm="1">
        <f t="array" ref="AT39">SUMPRODUCT(
  IFERROR(--desp[valor],0)*
  (desp[nucleo]="UP SELECT VILA SONIA")*
  (desp[categoria]=AT$7)*
  (desp[data.pagamento]&gt;=$A39)*
  (desp[data.pagamento]&lt;EOMONTH($A39,0)+1)
)</f>
        <v>0</v>
      </c>
      <c r="AU39" s="179" cm="1">
        <f t="array" ref="AU39">SUMPRODUCT(
  IFERROR(--desp[valor],0)*
  (desp[nucleo]="UP SELECT VILA SONIA")*
  (desp[categoria]=AU$7)*
  (desp[data.pagamento]&gt;=$A39)*
  (desp[data.pagamento]&lt;EOMONTH($A39,0)+1)
)</f>
        <v>0</v>
      </c>
      <c r="AV39" s="177">
        <f>COUNTIFS(
    estq[empresa], AV$6,
    estq[Data da venda / reserva], "&gt;=" &amp; $A39,
    estq[Data da venda / reserva], "&lt;"  &amp; EOMONTH($A39,0) + 1
)</f>
        <v>0</v>
      </c>
      <c r="AW39" s="178">
        <f ca="1">SUMIFS(rec.uni[2024-01-01],
INDIRECT("rec.uni[natureza]"),"pro.soluto",
INDIRECT("rec.uni[empresa]"),AW$6)</f>
        <v>0</v>
      </c>
      <c r="AX39" s="178">
        <f ca="1">SUMIFS(rec.uni[2024-01-01],
INDIRECT("rec.uni[natureza]"),"repasse.cef.obra",
INDIRECT("rec.uni[empresa]"),AX$6)</f>
        <v>0</v>
      </c>
      <c r="AY39" s="178">
        <f ca="1">SUMIFS(rec.uni[2024-01-01],
INDIRECT("rec.uni[natureza]"),"repasse.cef.terreno",
INDIRECT("rec.uni[empresa]"),AY$6)</f>
        <v>0</v>
      </c>
      <c r="AZ39" s="178">
        <v>0</v>
      </c>
      <c r="BA39" s="178">
        <f ca="1">SUMIFS(rec.uni[2024-01-01],
INDIRECT("rec.uni[natureza]"),"taxa.extra",
INDIRECT("rec.uni[empresa]"),BA$6)</f>
        <v>0</v>
      </c>
      <c r="BB39" s="166"/>
      <c r="BC39" s="178" cm="1">
        <f t="array" ref="BC39">SUMPRODUCT(
  IFERROR(--desp[valor],0)*
  (desp[nucleo]="UP ESTAÇÃO SÃO LUCAS")*
  (desp[categoria]=BC$7)*
  (desp[data.pagamento]&gt;=$A39)*
  (desp[data.pagamento]&lt;EOMONTH($A39,0)+1)
)</f>
        <v>0</v>
      </c>
      <c r="BD39" s="178" cm="1">
        <f t="array" ref="BD39">SUMPRODUCT(
  IFERROR(--desp[valor],0)*
  (desp[nucleo]="UP ESTAÇÃO SÃO LUCAS")*
  (desp[categoria]=BD$7)*
  (desp[data.pagamento]&gt;=$A39)*
  (desp[data.pagamento]&lt;EOMONTH($A39,0)+1)
)</f>
        <v>0</v>
      </c>
      <c r="BE39" s="178" cm="1">
        <f t="array" ref="BE39">SUMPRODUCT(
  IFERROR(--desp[valor],0)*
  (desp[nucleo]="UP ESTAÇÃO SÃO LUCAS")*
  (desp[categoria]=BE$7)*
  (desp[data.pagamento]&gt;=$A39)*
  (desp[data.pagamento]&lt;EOMONTH($A39,0)+1)
)</f>
        <v>0</v>
      </c>
      <c r="BF39" s="178" cm="1">
        <f t="array" ref="BF39">SUMPRODUCT(
  IFERROR(--desp[valor],0)*
  (desp[nucleo]="UP ESTAÇÃO SÃO LUCAS")*
  (desp[categoria]=BF$7)*
  (desp[data.pagamento]&gt;=$A39)*
  (desp[data.pagamento]&lt;EOMONTH($A39,0)+1)
)</f>
        <v>0</v>
      </c>
      <c r="BG39" s="179" cm="1">
        <f t="array" ref="BG39">SUMPRODUCT(
  IFERROR(--desp[valor],0)*
  (desp[nucleo]="UP ESTAÇÃO SÃO LUCAS")*
  (desp[categoria]=BG$7)*
  (desp[data.pagamento]&gt;=$A39)*
  (desp[data.pagamento]&lt;EOMONTH($A39,0)+1)
)</f>
        <v>0</v>
      </c>
      <c r="BH39" s="177">
        <f>COUNTIFS(
    estq[empresa], BH$6,
    estq[Data da venda / reserva], "&gt;=" &amp; $A39,
    estq[Data da venda / reserva], "&lt;"  &amp; EOMONTH($A39,0) + 1
)</f>
        <v>0</v>
      </c>
      <c r="BI39" s="178">
        <f ca="1">SUMIFS(rec.uni[2024-01-01],
INDIRECT("rec.uni[natureza]"),"pro.soluto",
INDIRECT("rec.uni[empresa]"),BI$6)</f>
        <v>0</v>
      </c>
      <c r="BJ39" s="166">
        <v>0</v>
      </c>
      <c r="BK39" s="178">
        <f ca="1">SUMIFS(rec.uni[2024-01-01],
INDIRECT("rec.uni[natureza]"),"taxa.extra",
INDIRECT("rec.uni[empresa]"),BK$6)</f>
        <v>0</v>
      </c>
      <c r="BL39" s="166"/>
      <c r="BM39" s="178" cm="1">
        <f t="array" ref="BM39">SUMPRODUCT(
  IFERROR(--desp[valor],0)*
  (desp[nucleo]="UP POMPEIA")*
  (desp[categoria]=BM$7)*
  (desp[data.pagamento]&gt;=$A39)*
  (desp[data.pagamento]&lt;EOMONTH($A39,0)+1)
)</f>
        <v>0</v>
      </c>
      <c r="BN39" s="178" cm="1">
        <f t="array" ref="BN39">SUMPRODUCT(
  IFERROR(--desp[valor],0)*
  (desp[nucleo]="UP POMPEIA")*
  (desp[categoria]=BN$7)*
  (desp[data.pagamento]&gt;=$A39)*
  (desp[data.pagamento]&lt;EOMONTH($A39,0)+1)
)</f>
        <v>0</v>
      </c>
      <c r="BO39" s="178" cm="1">
        <f t="array" ref="BO39">SUMPRODUCT(
  IFERROR(--desp[valor],0)*
  (desp[nucleo]="UP POMPEIA")*
  (desp[categoria]=BO$7)*
  (desp[data.pagamento]&gt;=$A39)*
  (desp[data.pagamento]&lt;EOMONTH($A39,0)+1)
)</f>
        <v>0</v>
      </c>
      <c r="BP39" s="178" cm="1">
        <f t="array" ref="BP39">SUMPRODUCT(
  IFERROR(--desp[valor],0)*
  (desp[nucleo]="UP POMPEIA")*
  (desp[categoria]=BP$7)*
  (desp[data.pagamento]&gt;=$A39)*
  (desp[data.pagamento]&lt;EOMONTH($A39,0)+1)
)</f>
        <v>0</v>
      </c>
      <c r="BQ39" s="179" cm="1">
        <f t="array" ref="BQ39">SUMPRODUCT(
  IFERROR(--desp[valor],0)*
  (desp[nucleo]="UP POMPEIA")*
  (desp[categoria]=BQ$7)*
  (desp[data.pagamento]&gt;=$A39)*
  (desp[data.pagamento]&lt;EOMONTH($A39,0)+1)
)</f>
        <v>0</v>
      </c>
      <c r="BR39" s="177">
        <f>COUNTIFS(
    estq[empresa], BR$6,
    estq[Data da venda / reserva], "&gt;=" &amp; $A39,
    estq[Data da venda / reserva], "&lt;"  &amp; EOMONTH($A39,0) + 1
)</f>
        <v>0</v>
      </c>
      <c r="BS39" s="178">
        <f ca="1">SUMIFS(rec.uni[2024-01-01],
INDIRECT("rec.uni[natureza]"),"pro.soluto",
INDIRECT("rec.uni[empresa]"),BS$6)</f>
        <v>0</v>
      </c>
      <c r="BT39" s="178">
        <f ca="1">SUMIFS(rec.uni[2024-01-01],
INDIRECT("rec.uni[natureza]"),"pro.soluto",
INDIRECT("rec.uni[empresa]"),BT$6)</f>
        <v>0</v>
      </c>
      <c r="BU39" s="178">
        <f ca="1">SUMIFS(rec.uni[2024-01-01],
INDIRECT("rec.uni[natureza]"),"taxa.extra",
INDIRECT("rec.uni[empresa]"),BU$6)</f>
        <v>0</v>
      </c>
      <c r="BV39" s="166"/>
      <c r="BW39" s="178" cm="1">
        <f t="array" ref="BW39">SUMPRODUCT(
  IFERROR(--desp[valor],0)*
  (desp[nucleo]="UP SAUDE")*
  (desp[categoria]=BW$7)*
  (desp[data.pagamento]&gt;=$A39)*
  (desp[data.pagamento]&lt;EOMONTH($A39,0)+1)
)</f>
        <v>0</v>
      </c>
      <c r="BX39" s="178" cm="1">
        <f t="array" ref="BX39">SUMPRODUCT(
  IFERROR(--desp[valor],0)*
  (desp[nucleo]="UP SAUDE")*
  (desp[categoria]=BX$7)*
  (desp[data.pagamento]&gt;=$A39)*
  (desp[data.pagamento]&lt;EOMONTH($A39,0)+1)
)</f>
        <v>0</v>
      </c>
      <c r="BY39" s="178" cm="1">
        <f t="array" ref="BY39">SUMPRODUCT(
  IFERROR(--desp[valor],0)*
  (desp[nucleo]="UP SAUDE")*
  (desp[categoria]=BY$7)*
  (desp[data.pagamento]&gt;=$A39)*
  (desp[data.pagamento]&lt;EOMONTH($A39,0)+1)
)</f>
        <v>0</v>
      </c>
      <c r="BZ39" s="178" cm="1">
        <f t="array" ref="BZ39">SUMPRODUCT(
  IFERROR(--desp[valor],0)*
  (desp[nucleo]="UP SAUDE")*
  (desp[categoria]=BZ$7)*
  (desp[data.pagamento]&gt;=$A39)*
  (desp[data.pagamento]&lt;EOMONTH($A39,0)+1)
)</f>
        <v>0</v>
      </c>
      <c r="CA39" s="179" cm="1">
        <f t="array" ref="CA39">SUMPRODUCT(
  IFERROR(--desp[valor],0)*
  (desp[nucleo]="UP SAUDE")*
  (desp[categoria]=CA$7)*
  (desp[data.pagamento]&gt;=$A39)*
  (desp[data.pagamento]&lt;EOMONTH($A39,0)+1)
)</f>
        <v>0</v>
      </c>
      <c r="CB39" s="177">
        <f>COUNTIFS(
    estq[empresa], CB$6,
    estq[Data da venda / reserva], "&gt;=" &amp; $A39,
    estq[Data da venda / reserva], "&lt;"  &amp; EOMONTH($A39,0) + 1
)</f>
        <v>0</v>
      </c>
      <c r="CC39" s="178">
        <f ca="1">SUMIFS(rec.uni[2024-01-01],
INDIRECT("rec.uni[natureza]"),"pro.soluto",
INDIRECT("rec.uni[empresa]"),CC$6)</f>
        <v>0</v>
      </c>
      <c r="CD39" s="178">
        <f ca="1">SUMIFS(rec.uni[2024-01-01],
INDIRECT("rec.uni[natureza]"),"repasse.cef.obra",
INDIRECT("rec.uni[empresa]"),CD$6)</f>
        <v>0</v>
      </c>
      <c r="CE39" s="178">
        <f ca="1">SUMIFS(rec.uni[2024-01-01],
INDIRECT("rec.uni[natureza]"),"repasse.cef.terreno",
INDIRECT("rec.uni[empresa]"),CE$6)</f>
        <v>0</v>
      </c>
      <c r="CF39" s="178">
        <v>0</v>
      </c>
      <c r="CG39" s="178">
        <f ca="1">SUMIFS(rec.uni[2024-01-01],
INDIRECT("rec.uni[natureza]"),"taxa.extra",
INDIRECT("rec.uni[empresa]"),CG$6)</f>
        <v>0</v>
      </c>
      <c r="CH39" s="166"/>
      <c r="CI39" s="178" cm="1">
        <f t="array" ref="CI39">SUMPRODUCT(
  IFERROR(--desp[valor],0)*
  (desp[nucleo]="UP ESTAÇÃO VILA SONIA")*
  (desp[categoria]=CI$7)*
  (desp[data.pagamento]&gt;=$A39)*
  (desp[data.pagamento]&lt;EOMONTH($A39,0)+1)
)</f>
        <v>0</v>
      </c>
      <c r="CJ39" s="178" cm="1">
        <f t="array" ref="CJ39">SUMPRODUCT(
  IFERROR(--desp[valor],0)*
  (desp[nucleo]="UP ESTAÇÃO VILA SONIA")*
  (desp[categoria]=CJ$7)*
  (desp[data.pagamento]&gt;=$A39)*
  (desp[data.pagamento]&lt;EOMONTH($A39,0)+1)
)</f>
        <v>0</v>
      </c>
      <c r="CK39" s="178" cm="1">
        <f t="array" ref="CK39">SUMPRODUCT(
  IFERROR(--desp[valor],0)*
  (desp[nucleo]="UP ESTAÇÃO VILA SONIA")*
  (desp[categoria]=CK$7)*
  (desp[data.pagamento]&gt;=$A39)*
  (desp[data.pagamento]&lt;EOMONTH($A39,0)+1)
)</f>
        <v>0</v>
      </c>
      <c r="CL39" s="178" cm="1">
        <f t="array" ref="CL39">SUMPRODUCT(
  IFERROR(--desp[valor],0)*
  (desp[nucleo]="UP ESTAÇÃO VILA SONIA")*
  (desp[categoria]=CL$7)*
  (desp[data.pagamento]&gt;=$A39)*
  (desp[data.pagamento]&lt;EOMONTH($A39,0)+1)
)</f>
        <v>0</v>
      </c>
      <c r="CM39" s="179" cm="1">
        <f t="array" ref="CM39">SUMPRODUCT(
  IFERROR(--desp[valor],0)*
  (desp[nucleo]="UP ESTAÇÃO VILA SONIA")*
  (desp[categoria]=CM$7)*
  (desp[data.pagamento]&gt;=$A39)*
  (desp[data.pagamento]&lt;EOMONTH($A39,0)+1)
)</f>
        <v>0</v>
      </c>
      <c r="CN39" s="177">
        <f>COUNTIFS(
    estq[empresa], CN$6,
    estq[Data da venda / reserva], "&gt;=" &amp; $A39,
    estq[Data da venda / reserva], "&lt;"  &amp; EOMONTH($A39,0) + 1
)</f>
        <v>0</v>
      </c>
      <c r="CO39" s="178">
        <f ca="1">SUMIFS(rec.uni[2024-01-01],
INDIRECT("rec.uni[natureza]"),"pro.soluto",
INDIRECT("rec.uni[empresa]"),CO$6)</f>
        <v>0</v>
      </c>
      <c r="CP39" s="178">
        <f ca="1">SUMIFS(rec.uni[2024-01-01],
INDIRECT("rec.uni[natureza]"),"repasse.cef.obra",
INDIRECT("rec.uni[empresa]"),CP$6)</f>
        <v>0</v>
      </c>
      <c r="CQ39" s="178">
        <f ca="1">SUMIFS(rec.uni[2024-01-01],
INDIRECT("rec.uni[natureza]"),"repasse.cef.terreno",
INDIRECT("rec.uni[empresa]"),CQ$6)</f>
        <v>0</v>
      </c>
      <c r="CR39" s="178">
        <v>0</v>
      </c>
      <c r="CS39" s="178">
        <f ca="1">SUMIFS(rec.uni[2024-01-01],
INDIRECT("rec.uni[natureza]"),"taxa.extra",
INDIRECT("rec.uni[empresa]"),CS$6)</f>
        <v>0</v>
      </c>
      <c r="CT39" s="166"/>
      <c r="CU39" s="178" cm="1">
        <f t="array" ref="CU39">SUMPRODUCT(
  IFERROR(--desp[valor],0)*
  (desp[nucleo]="UP MOVE VILA SONIA")*
  (desp[categoria]=CU$7)*
  (desp[data.pagamento]&gt;=$A39)*
  (desp[data.pagamento]&lt;EOMONTH($A39,0)+1)
)</f>
        <v>0</v>
      </c>
      <c r="CV39" s="178" cm="1">
        <f t="array" ref="CV39">SUMPRODUCT(
  IFERROR(--desp[valor],0)*
  (desp[nucleo]="UP MOVE VILA SONIA")*
  (desp[categoria]=CV$7)*
  (desp[data.pagamento]&gt;=$A39)*
  (desp[data.pagamento]&lt;EOMONTH($A39,0)+1)
)</f>
        <v>0</v>
      </c>
      <c r="CW39" s="178" cm="1">
        <f t="array" ref="CW39">SUMPRODUCT(
  IFERROR(--desp[valor],0)*
  (desp[nucleo]="UP MOVE VILA SONIA")*
  (desp[categoria]=CW$7)*
  (desp[data.pagamento]&gt;=$A39)*
  (desp[data.pagamento]&lt;EOMONTH($A39,0)+1)
)</f>
        <v>0</v>
      </c>
      <c r="CX39" s="178" cm="1">
        <f t="array" ref="CX39">SUMPRODUCT(
  IFERROR(--desp[valor],0)*
  (desp[nucleo]="UP MOVE VILA SONIA")*
  (desp[categoria]=CX$7)*
  (desp[data.pagamento]&gt;=$A39)*
  (desp[data.pagamento]&lt;EOMONTH($A39,0)+1)
)</f>
        <v>0</v>
      </c>
      <c r="CY39" s="180" cm="1">
        <f t="array" ref="CY39">SUMPRODUCT(
  IFERROR(--desp[valor],0)*
  (desp[nucleo]="UP MOVE VILA SONIA")*
  (desp[categoria]=CY$7)*
  (desp[data.pagamento]&gt;=$A39)*
  (desp[data.pagamento]&lt;EOMONTH($A39,0)+1)
)</f>
        <v>0</v>
      </c>
    </row>
    <row r="40" spans="1:103" x14ac:dyDescent="0.25">
      <c r="A40" s="176">
        <v>45323</v>
      </c>
      <c r="B40" s="177">
        <f>COUNTIFS(
    estq[empresa], B$6,
    estq[Data da venda / reserva], "&gt;=" &amp; $A40,
    estq[Data da venda / reserva], "&lt;"  &amp; EOMONTH($A40,0) + 1
)</f>
        <v>0</v>
      </c>
      <c r="C40" s="178">
        <f ca="1">SUMIFS(rec.uni[2024-02-01],
INDIRECT("rec.uni[natureza]"),"pro.soluto",
INDIRECT("rec.uni[empresa]"),C$6)</f>
        <v>0</v>
      </c>
      <c r="D40" s="178">
        <f ca="1">SUMIFS(rec.uni[2024-02-01],
INDIRECT("rec.uni[natureza]"),"repasse.cef.obra",
INDIRECT("rec.uni[empresa]"),D$6)</f>
        <v>0</v>
      </c>
      <c r="E40" s="178">
        <f ca="1">SUMIFS(rec.uni[2024-02-01],
INDIRECT("rec.uni[natureza]"),"repasse.cef.terreno",
INDIRECT("rec.uni[empresa]"),E$6)</f>
        <v>0</v>
      </c>
      <c r="F40" s="178">
        <v>0</v>
      </c>
      <c r="G40" s="178">
        <f ca="1">SUMIFS(rec.uni[2024-02-01],
INDIRECT("rec.uni[natureza]"),"taxa.extra",
INDIRECT("rec.uni[empresa]"),G$6)</f>
        <v>0</v>
      </c>
      <c r="H40" s="166"/>
      <c r="I40" s="178" cm="1">
        <f t="array" ref="I40">SUMPRODUCT(
  IFERROR(--desp[valor],0)*
  (desp[nucleo]="UP JARDIM PRUDENCIA")*
  (desp[categoria]=I$7)*
  (desp[data.pagamento]&gt;=$A40)*
  (desp[data.pagamento]&lt;EOMONTH($A40,0)+1)
)</f>
        <v>0</v>
      </c>
      <c r="J40" s="178" cm="1">
        <f t="array" ref="J40">SUMPRODUCT(
  IFERROR(--desp[valor],0)*
  (desp[nucleo]="UP JARDIM PRUDENCIA")*
  (desp[categoria]=J$7)*
  (desp[data.pagamento]&gt;=$A40)*
  (desp[data.pagamento]&lt;EOMONTH($A40,0)+1)
)</f>
        <v>0</v>
      </c>
      <c r="K40" s="178" cm="1">
        <f t="array" ref="K40">SUMPRODUCT(
  IFERROR(--desp[valor],0)*
  (desp[nucleo]="UP JARDIM PRUDENCIA")*
  (desp[categoria]=K$7)*
  (desp[data.pagamento]&gt;=$A40)*
  (desp[data.pagamento]&lt;EOMONTH($A40,0)+1)
)</f>
        <v>0</v>
      </c>
      <c r="L40" s="178" cm="1">
        <f t="array" ref="L40">SUMPRODUCT(
  IFERROR(--desp[valor],0)*
  (desp[nucleo]="UP JARDIM PRUDENCIA")*
  (desp[categoria]=L$7)*
  (desp[data.pagamento]&gt;=$A40)*
  (desp[data.pagamento]&lt;EOMONTH($A40,0)+1)
)</f>
        <v>0</v>
      </c>
      <c r="M40" s="179" cm="1">
        <f t="array" ref="M40">SUMPRODUCT(
  IFERROR(--desp[valor],0)*
  (desp[nucleo]="UP JARDIM PRUDENCIA")*
  (desp[categoria]=M$7)*
  (desp[data.pagamento]&gt;=$A40)*
  (desp[data.pagamento]&lt;EOMONTH($A40,0)+1)
)</f>
        <v>0</v>
      </c>
      <c r="N40" s="177">
        <f>COUNTIFS(
    estq[empresa], N$6,
    estq[Data da venda / reserva], "&gt;=" &amp; $A40,
    estq[Data da venda / reserva], "&lt;"  &amp; EOMONTH($A40,0) + 1
)</f>
        <v>0</v>
      </c>
      <c r="O40" s="178">
        <f ca="1">SUMIFS(rec.uni[2024-02-01],
INDIRECT("rec.uni[natureza]"),"pro.soluto",
INDIRECT("rec.uni[empresa]"),O$6)</f>
        <v>0</v>
      </c>
      <c r="P40" s="178">
        <f ca="1">SUMIFS(rec.uni[2024-02-01],
INDIRECT("rec.uni[natureza]"),"repasse.cef.obra",
INDIRECT("rec.uni[empresa]"),P$6)</f>
        <v>0</v>
      </c>
      <c r="Q40" s="178">
        <f ca="1">SUMIFS(rec.uni[2024-02-01],
INDIRECT("rec.uni[natureza]"),"repasse.cef.terreno",
INDIRECT("rec.uni[empresa]"),Q$6)</f>
        <v>0</v>
      </c>
      <c r="R40" s="178">
        <v>641961.35</v>
      </c>
      <c r="S40" s="178">
        <f ca="1">SUMIFS(rec.uni[2024-02-01],
INDIRECT("rec.uni[natureza]"),"taxa.extra",
INDIRECT("rec.uni[empresa]"),S$6)</f>
        <v>0</v>
      </c>
      <c r="T40" s="166"/>
      <c r="U40" s="178" cm="1">
        <f t="array" ref="U40">SUMPRODUCT(
  IFERROR(--desp[valor],0)*
  (desp[nucleo]="UP VILA SONIA")*
  (desp[categoria]=U$7)*
  (desp[data.pagamento]&gt;=$A40)*
  (desp[data.pagamento]&lt;EOMONTH($A40,0)+1)
)</f>
        <v>0</v>
      </c>
      <c r="V40" s="178" cm="1">
        <f t="array" ref="V40">SUMPRODUCT(
  IFERROR(--desp[valor],0)*
  (desp[nucleo]="UP VILA SONIA")*
  (desp[categoria]=V$7)*
  (desp[data.pagamento]&gt;=$A40)*
  (desp[data.pagamento]&lt;EOMONTH($A40,0)+1)
)</f>
        <v>0</v>
      </c>
      <c r="W40" s="178" cm="1">
        <f t="array" ref="W40">SUMPRODUCT(
  IFERROR(--desp[valor],0)*
  (desp[nucleo]="UP VILA SONIA")*
  (desp[categoria]=W$7)*
  (desp[data.pagamento]&gt;=$A40)*
  (desp[data.pagamento]&lt;EOMONTH($A40,0)+1)
)</f>
        <v>0</v>
      </c>
      <c r="X40" s="178" cm="1">
        <f t="array" ref="X40">SUMPRODUCT(
  IFERROR(--desp[valor],0)*
  (desp[nucleo]="UP VILA SONIA")*
  (desp[categoria]=X$7)*
  (desp[data.pagamento]&gt;=$A40)*
  (desp[data.pagamento]&lt;EOMONTH($A40,0)+1)
)</f>
        <v>0</v>
      </c>
      <c r="Y40" s="179" cm="1">
        <f t="array" ref="Y40">SUMPRODUCT(
  IFERROR(--desp[valor],0)*
  (desp[nucleo]="UP VILA SONIA")*
  (desp[categoria]=Y$7)*
  (desp[data.pagamento]&gt;=$A40)*
  (desp[data.pagamento]&lt;EOMONTH($A40,0)+1)
)</f>
        <v>0</v>
      </c>
      <c r="Z40" s="177">
        <f>COUNTIFS(
    estq[empresa], Z$6,
    estq[Data da venda / reserva], "&gt;=" &amp; $A40,
    estq[Data da venda / reserva], "&lt;"  &amp; EOMONTH($A40,0) + 1
)</f>
        <v>0</v>
      </c>
      <c r="AA40" s="178">
        <f ca="1">SUMIFS(rec.uni[2024-02-01],
INDIRECT("rec.uni[natureza]"),"pro.soluto",
INDIRECT("rec.uni[empresa]"),AA$6)</f>
        <v>0</v>
      </c>
      <c r="AB40" s="178">
        <f ca="1">SUMIFS(rec.uni[2024-02-01],
INDIRECT("rec.uni[natureza]"),"pro.soluto",
INDIRECT("rec.uni[empresa]"),AB$6)</f>
        <v>0</v>
      </c>
      <c r="AC40" s="178">
        <f ca="1">SUMIFS(rec.uni[2024-02-01],
INDIRECT("rec.uni[natureza]"),"taxa.extra",
INDIRECT("rec.uni[empresa]"),AC$6)</f>
        <v>0</v>
      </c>
      <c r="AD40" s="166"/>
      <c r="AE40" s="178" cm="1">
        <f t="array" ref="AE40">SUMPRODUCT(
  IFERROR(--desp[valor],0)*
  (desp[nucleo]="UP CAMPO BELO")*
  (desp[categoria]=AE$7)*
  (desp[data.pagamento]&gt;=$A40)*
  (desp[data.pagamento]&lt;EOMONTH($A40,0)+1)
)</f>
        <v>0</v>
      </c>
      <c r="AF40" s="178" cm="1">
        <f t="array" ref="AF40">SUMPRODUCT(
  IFERROR(--desp[valor],0)*
  (desp[nucleo]="UP CAMPO BELO")*
  (desp[categoria]=AF$7)*
  (desp[data.pagamento]&gt;=$A40)*
  (desp[data.pagamento]&lt;EOMONTH($A40,0)+1)
)</f>
        <v>0</v>
      </c>
      <c r="AG40" s="178" cm="1">
        <f t="array" ref="AG40">SUMPRODUCT(
  IFERROR(--desp[valor],0)*
  (desp[nucleo]="UP CAMPO BELO")*
  (desp[categoria]=AG$7)*
  (desp[data.pagamento]&gt;=$A40)*
  (desp[data.pagamento]&lt;EOMONTH($A40,0)+1)
)</f>
        <v>0</v>
      </c>
      <c r="AH40" s="178" cm="1">
        <f t="array" ref="AH40">SUMPRODUCT(
  IFERROR(--desp[valor],0)*
  (desp[nucleo]="UP CAMPO BELO")*
  (desp[categoria]=AH$7)*
  (desp[data.pagamento]&gt;=$A40)*
  (desp[data.pagamento]&lt;EOMONTH($A40,0)+1)
)</f>
        <v>0</v>
      </c>
      <c r="AI40" s="179" cm="1">
        <f t="array" ref="AI40">SUMPRODUCT(
  IFERROR(--desp[valor],0)*
  (desp[nucleo]="UP CAMPO BELO")*
  (desp[categoria]=AI$7)*
  (desp[data.pagamento]&gt;=$A40)*
  (desp[data.pagamento]&lt;EOMONTH($A40,0)+1)
)</f>
        <v>0</v>
      </c>
      <c r="AJ40" s="177">
        <f>COUNTIFS(
    estq[empresa], AJ$6,
    estq[Data da venda / reserva], "&gt;=" &amp; $A40,
    estq[Data da venda / reserva], "&lt;"  &amp; EOMONTH($A40,0) + 1
)</f>
        <v>0</v>
      </c>
      <c r="AK40" s="178">
        <f ca="1">SUMIFS(rec.uni[2024-02-01],
INDIRECT("rec.uni[natureza]"),"pro.soluto",
INDIRECT("rec.uni[empresa]"),AK$6)</f>
        <v>0</v>
      </c>
      <c r="AL40" s="178">
        <f ca="1">SUMIFS(rec.uni[2024-02-01],
INDIRECT("rec.uni[natureza]"),"repasse.cef.obra",
INDIRECT("rec.uni[empresa]"),AL$6)</f>
        <v>0</v>
      </c>
      <c r="AM40" s="178">
        <f ca="1">SUMIFS(rec.uni[2024-02-01],
INDIRECT("rec.uni[natureza]"),"repasse.cef.terreno",
INDIRECT("rec.uni[empresa]"),AM$6)</f>
        <v>0</v>
      </c>
      <c r="AN40" s="178">
        <v>0</v>
      </c>
      <c r="AO40" s="178">
        <f ca="1">SUMIFS(rec.uni[2024-02-01],
INDIRECT("rec.uni[natureza]"),"taxa.extra",
INDIRECT("rec.uni[empresa]"),AO$6)</f>
        <v>0</v>
      </c>
      <c r="AP40" s="166"/>
      <c r="AQ40" s="178" cm="1">
        <f t="array" ref="AQ40">SUMPRODUCT(
  IFERROR(--desp[valor],0)*
  (desp[nucleo]="UP SELECT VILA SONIA")*
  (desp[categoria]=AQ$7)*
  (desp[data.pagamento]&gt;=$A40)*
  (desp[data.pagamento]&lt;EOMONTH($A40,0)+1)
)</f>
        <v>0</v>
      </c>
      <c r="AR40" s="178" cm="1">
        <f t="array" ref="AR40">SUMPRODUCT(
  IFERROR(--desp[valor],0)*
  (desp[nucleo]="UP SELECT VILA SONIA")*
  (desp[categoria]=AR$7)*
  (desp[data.pagamento]&gt;=$A40)*
  (desp[data.pagamento]&lt;EOMONTH($A40,0)+1)
)</f>
        <v>0</v>
      </c>
      <c r="AS40" s="178" cm="1">
        <f t="array" ref="AS40">SUMPRODUCT(
  IFERROR(--desp[valor],0)*
  (desp[nucleo]="UP SELECT VILA SONIA")*
  (desp[categoria]=AS$7)*
  (desp[data.pagamento]&gt;=$A40)*
  (desp[data.pagamento]&lt;EOMONTH($A40,0)+1)
)</f>
        <v>0</v>
      </c>
      <c r="AT40" s="178" cm="1">
        <f t="array" ref="AT40">SUMPRODUCT(
  IFERROR(--desp[valor],0)*
  (desp[nucleo]="UP SELECT VILA SONIA")*
  (desp[categoria]=AT$7)*
  (desp[data.pagamento]&gt;=$A40)*
  (desp[data.pagamento]&lt;EOMONTH($A40,0)+1)
)</f>
        <v>0</v>
      </c>
      <c r="AU40" s="179" cm="1">
        <f t="array" ref="AU40">SUMPRODUCT(
  IFERROR(--desp[valor],0)*
  (desp[nucleo]="UP SELECT VILA SONIA")*
  (desp[categoria]=AU$7)*
  (desp[data.pagamento]&gt;=$A40)*
  (desp[data.pagamento]&lt;EOMONTH($A40,0)+1)
)</f>
        <v>0</v>
      </c>
      <c r="AV40" s="177">
        <f>COUNTIFS(
    estq[empresa], AV$6,
    estq[Data da venda / reserva], "&gt;=" &amp; $A40,
    estq[Data da venda / reserva], "&lt;"  &amp; EOMONTH($A40,0) + 1
)</f>
        <v>0</v>
      </c>
      <c r="AW40" s="178">
        <f ca="1">SUMIFS(rec.uni[2024-02-01],
INDIRECT("rec.uni[natureza]"),"pro.soluto",
INDIRECT("rec.uni[empresa]"),AW$6)</f>
        <v>0</v>
      </c>
      <c r="AX40" s="178">
        <f ca="1">SUMIFS(rec.uni[2024-02-01],
INDIRECT("rec.uni[natureza]"),"repasse.cef.obra",
INDIRECT("rec.uni[empresa]"),AX$6)</f>
        <v>0</v>
      </c>
      <c r="AY40" s="178">
        <f ca="1">SUMIFS(rec.uni[2024-02-01],
INDIRECT("rec.uni[natureza]"),"repasse.cef.terreno",
INDIRECT("rec.uni[empresa]"),AY$6)</f>
        <v>0</v>
      </c>
      <c r="AZ40" s="178">
        <v>0</v>
      </c>
      <c r="BA40" s="178">
        <f ca="1">SUMIFS(rec.uni[2024-02-01],
INDIRECT("rec.uni[natureza]"),"taxa.extra",
INDIRECT("rec.uni[empresa]"),BA$6)</f>
        <v>0</v>
      </c>
      <c r="BB40" s="166"/>
      <c r="BC40" s="178" cm="1">
        <f t="array" ref="BC40">SUMPRODUCT(
  IFERROR(--desp[valor],0)*
  (desp[nucleo]="UP ESTAÇÃO SÃO LUCAS")*
  (desp[categoria]=BC$7)*
  (desp[data.pagamento]&gt;=$A40)*
  (desp[data.pagamento]&lt;EOMONTH($A40,0)+1)
)</f>
        <v>0</v>
      </c>
      <c r="BD40" s="178" cm="1">
        <f t="array" ref="BD40">SUMPRODUCT(
  IFERROR(--desp[valor],0)*
  (desp[nucleo]="UP ESTAÇÃO SÃO LUCAS")*
  (desp[categoria]=BD$7)*
  (desp[data.pagamento]&gt;=$A40)*
  (desp[data.pagamento]&lt;EOMONTH($A40,0)+1)
)</f>
        <v>0</v>
      </c>
      <c r="BE40" s="178" cm="1">
        <f t="array" ref="BE40">SUMPRODUCT(
  IFERROR(--desp[valor],0)*
  (desp[nucleo]="UP ESTAÇÃO SÃO LUCAS")*
  (desp[categoria]=BE$7)*
  (desp[data.pagamento]&gt;=$A40)*
  (desp[data.pagamento]&lt;EOMONTH($A40,0)+1)
)</f>
        <v>0</v>
      </c>
      <c r="BF40" s="178" cm="1">
        <f t="array" ref="BF40">SUMPRODUCT(
  IFERROR(--desp[valor],0)*
  (desp[nucleo]="UP ESTAÇÃO SÃO LUCAS")*
  (desp[categoria]=BF$7)*
  (desp[data.pagamento]&gt;=$A40)*
  (desp[data.pagamento]&lt;EOMONTH($A40,0)+1)
)</f>
        <v>0</v>
      </c>
      <c r="BG40" s="179" cm="1">
        <f t="array" ref="BG40">SUMPRODUCT(
  IFERROR(--desp[valor],0)*
  (desp[nucleo]="UP ESTAÇÃO SÃO LUCAS")*
  (desp[categoria]=BG$7)*
  (desp[data.pagamento]&gt;=$A40)*
  (desp[data.pagamento]&lt;EOMONTH($A40,0)+1)
)</f>
        <v>0</v>
      </c>
      <c r="BH40" s="177">
        <f>COUNTIFS(
    estq[empresa], BH$6,
    estq[Data da venda / reserva], "&gt;=" &amp; $A40,
    estq[Data da venda / reserva], "&lt;"  &amp; EOMONTH($A40,0) + 1
)</f>
        <v>0</v>
      </c>
      <c r="BI40" s="178">
        <f ca="1">SUMIFS(rec.uni[2024-02-01],
INDIRECT("rec.uni[natureza]"),"pro.soluto",
INDIRECT("rec.uni[empresa]"),BI$6)</f>
        <v>0</v>
      </c>
      <c r="BJ40" s="166">
        <v>0</v>
      </c>
      <c r="BK40" s="178">
        <f ca="1">SUMIFS(rec.uni[2024-02-01],
INDIRECT("rec.uni[natureza]"),"taxa.extra",
INDIRECT("rec.uni[empresa]"),BK$6)</f>
        <v>0</v>
      </c>
      <c r="BL40" s="166"/>
      <c r="BM40" s="178" cm="1">
        <f t="array" ref="BM40">SUMPRODUCT(
  IFERROR(--desp[valor],0)*
  (desp[nucleo]="UP POMPEIA")*
  (desp[categoria]=BM$7)*
  (desp[data.pagamento]&gt;=$A40)*
  (desp[data.pagamento]&lt;EOMONTH($A40,0)+1)
)</f>
        <v>0</v>
      </c>
      <c r="BN40" s="178" cm="1">
        <f t="array" ref="BN40">SUMPRODUCT(
  IFERROR(--desp[valor],0)*
  (desp[nucleo]="UP POMPEIA")*
  (desp[categoria]=BN$7)*
  (desp[data.pagamento]&gt;=$A40)*
  (desp[data.pagamento]&lt;EOMONTH($A40,0)+1)
)</f>
        <v>0</v>
      </c>
      <c r="BO40" s="178" cm="1">
        <f t="array" ref="BO40">SUMPRODUCT(
  IFERROR(--desp[valor],0)*
  (desp[nucleo]="UP POMPEIA")*
  (desp[categoria]=BO$7)*
  (desp[data.pagamento]&gt;=$A40)*
  (desp[data.pagamento]&lt;EOMONTH($A40,0)+1)
)</f>
        <v>0</v>
      </c>
      <c r="BP40" s="178" cm="1">
        <f t="array" ref="BP40">SUMPRODUCT(
  IFERROR(--desp[valor],0)*
  (desp[nucleo]="UP POMPEIA")*
  (desp[categoria]=BP$7)*
  (desp[data.pagamento]&gt;=$A40)*
  (desp[data.pagamento]&lt;EOMONTH($A40,0)+1)
)</f>
        <v>0</v>
      </c>
      <c r="BQ40" s="179" cm="1">
        <f t="array" ref="BQ40">SUMPRODUCT(
  IFERROR(--desp[valor],0)*
  (desp[nucleo]="UP POMPEIA")*
  (desp[categoria]=BQ$7)*
  (desp[data.pagamento]&gt;=$A40)*
  (desp[data.pagamento]&lt;EOMONTH($A40,0)+1)
)</f>
        <v>0</v>
      </c>
      <c r="BR40" s="177">
        <f>COUNTIFS(
    estq[empresa], BR$6,
    estq[Data da venda / reserva], "&gt;=" &amp; $A40,
    estq[Data da venda / reserva], "&lt;"  &amp; EOMONTH($A40,0) + 1
)</f>
        <v>0</v>
      </c>
      <c r="BS40" s="178">
        <f ca="1">SUMIFS(rec.uni[2024-02-01],
INDIRECT("rec.uni[natureza]"),"pro.soluto",
INDIRECT("rec.uni[empresa]"),BS$6)</f>
        <v>0</v>
      </c>
      <c r="BT40" s="178">
        <f ca="1">SUMIFS(rec.uni[2024-02-01],
INDIRECT("rec.uni[natureza]"),"pro.soluto",
INDIRECT("rec.uni[empresa]"),BT$6)</f>
        <v>0</v>
      </c>
      <c r="BU40" s="178">
        <f ca="1">SUMIFS(rec.uni[2024-02-01],
INDIRECT("rec.uni[natureza]"),"taxa.extra",
INDIRECT("rec.uni[empresa]"),BU$6)</f>
        <v>0</v>
      </c>
      <c r="BV40" s="166"/>
      <c r="BW40" s="178" cm="1">
        <f t="array" ref="BW40">SUMPRODUCT(
  IFERROR(--desp[valor],0)*
  (desp[nucleo]="UP SAUDE")*
  (desp[categoria]=BW$7)*
  (desp[data.pagamento]&gt;=$A40)*
  (desp[data.pagamento]&lt;EOMONTH($A40,0)+1)
)</f>
        <v>0</v>
      </c>
      <c r="BX40" s="178" cm="1">
        <f t="array" ref="BX40">SUMPRODUCT(
  IFERROR(--desp[valor],0)*
  (desp[nucleo]="UP SAUDE")*
  (desp[categoria]=BX$7)*
  (desp[data.pagamento]&gt;=$A40)*
  (desp[data.pagamento]&lt;EOMONTH($A40,0)+1)
)</f>
        <v>0</v>
      </c>
      <c r="BY40" s="178" cm="1">
        <f t="array" ref="BY40">SUMPRODUCT(
  IFERROR(--desp[valor],0)*
  (desp[nucleo]="UP SAUDE")*
  (desp[categoria]=BY$7)*
  (desp[data.pagamento]&gt;=$A40)*
  (desp[data.pagamento]&lt;EOMONTH($A40,0)+1)
)</f>
        <v>0</v>
      </c>
      <c r="BZ40" s="178" cm="1">
        <f t="array" ref="BZ40">SUMPRODUCT(
  IFERROR(--desp[valor],0)*
  (desp[nucleo]="UP SAUDE")*
  (desp[categoria]=BZ$7)*
  (desp[data.pagamento]&gt;=$A40)*
  (desp[data.pagamento]&lt;EOMONTH($A40,0)+1)
)</f>
        <v>0</v>
      </c>
      <c r="CA40" s="179" cm="1">
        <f t="array" ref="CA40">SUMPRODUCT(
  IFERROR(--desp[valor],0)*
  (desp[nucleo]="UP SAUDE")*
  (desp[categoria]=CA$7)*
  (desp[data.pagamento]&gt;=$A40)*
  (desp[data.pagamento]&lt;EOMONTH($A40,0)+1)
)</f>
        <v>0</v>
      </c>
      <c r="CB40" s="177">
        <f>COUNTIFS(
    estq[empresa], CB$6,
    estq[Data da venda / reserva], "&gt;=" &amp; $A40,
    estq[Data da venda / reserva], "&lt;"  &amp; EOMONTH($A40,0) + 1
)</f>
        <v>0</v>
      </c>
      <c r="CC40" s="178">
        <f ca="1">SUMIFS(rec.uni[2024-02-01],
INDIRECT("rec.uni[natureza]"),"pro.soluto",
INDIRECT("rec.uni[empresa]"),CC$6)</f>
        <v>0</v>
      </c>
      <c r="CD40" s="178">
        <f ca="1">SUMIFS(rec.uni[2024-02-01],
INDIRECT("rec.uni[natureza]"),"repasse.cef.obra",
INDIRECT("rec.uni[empresa]"),CD$6)</f>
        <v>0</v>
      </c>
      <c r="CE40" s="178">
        <f ca="1">SUMIFS(rec.uni[2024-02-01],
INDIRECT("rec.uni[natureza]"),"repasse.cef.terreno",
INDIRECT("rec.uni[empresa]"),CE$6)</f>
        <v>0</v>
      </c>
      <c r="CF40" s="178">
        <v>0</v>
      </c>
      <c r="CG40" s="178">
        <f ca="1">SUMIFS(rec.uni[2024-02-01],
INDIRECT("rec.uni[natureza]"),"taxa.extra",
INDIRECT("rec.uni[empresa]"),CG$6)</f>
        <v>0</v>
      </c>
      <c r="CH40" s="166"/>
      <c r="CI40" s="178" cm="1">
        <f t="array" ref="CI40">SUMPRODUCT(
  IFERROR(--desp[valor],0)*
  (desp[nucleo]="UP ESTAÇÃO VILA SONIA")*
  (desp[categoria]=CI$7)*
  (desp[data.pagamento]&gt;=$A40)*
  (desp[data.pagamento]&lt;EOMONTH($A40,0)+1)
)</f>
        <v>0</v>
      </c>
      <c r="CJ40" s="178" cm="1">
        <f t="array" ref="CJ40">SUMPRODUCT(
  IFERROR(--desp[valor],0)*
  (desp[nucleo]="UP ESTAÇÃO VILA SONIA")*
  (desp[categoria]=CJ$7)*
  (desp[data.pagamento]&gt;=$A40)*
  (desp[data.pagamento]&lt;EOMONTH($A40,0)+1)
)</f>
        <v>0</v>
      </c>
      <c r="CK40" s="178" cm="1">
        <f t="array" ref="CK40">SUMPRODUCT(
  IFERROR(--desp[valor],0)*
  (desp[nucleo]="UP ESTAÇÃO VILA SONIA")*
  (desp[categoria]=CK$7)*
  (desp[data.pagamento]&gt;=$A40)*
  (desp[data.pagamento]&lt;EOMONTH($A40,0)+1)
)</f>
        <v>0</v>
      </c>
      <c r="CL40" s="178" cm="1">
        <f t="array" ref="CL40">SUMPRODUCT(
  IFERROR(--desp[valor],0)*
  (desp[nucleo]="UP ESTAÇÃO VILA SONIA")*
  (desp[categoria]=CL$7)*
  (desp[data.pagamento]&gt;=$A40)*
  (desp[data.pagamento]&lt;EOMONTH($A40,0)+1)
)</f>
        <v>0</v>
      </c>
      <c r="CM40" s="179" cm="1">
        <f t="array" ref="CM40">SUMPRODUCT(
  IFERROR(--desp[valor],0)*
  (desp[nucleo]="UP ESTAÇÃO VILA SONIA")*
  (desp[categoria]=CM$7)*
  (desp[data.pagamento]&gt;=$A40)*
  (desp[data.pagamento]&lt;EOMONTH($A40,0)+1)
)</f>
        <v>0</v>
      </c>
      <c r="CN40" s="177">
        <f>COUNTIFS(
    estq[empresa], CN$6,
    estq[Data da venda / reserva], "&gt;=" &amp; $A40,
    estq[Data da venda / reserva], "&lt;"  &amp; EOMONTH($A40,0) + 1
)</f>
        <v>0</v>
      </c>
      <c r="CO40" s="178">
        <f ca="1">SUMIFS(rec.uni[2024-02-01],
INDIRECT("rec.uni[natureza]"),"pro.soluto",
INDIRECT("rec.uni[empresa]"),CO$6)</f>
        <v>0</v>
      </c>
      <c r="CP40" s="178">
        <f ca="1">SUMIFS(rec.uni[2024-02-01],
INDIRECT("rec.uni[natureza]"),"repasse.cef.obra",
INDIRECT("rec.uni[empresa]"),CP$6)</f>
        <v>0</v>
      </c>
      <c r="CQ40" s="178">
        <f ca="1">SUMIFS(rec.uni[2024-02-01],
INDIRECT("rec.uni[natureza]"),"repasse.cef.terreno",
INDIRECT("rec.uni[empresa]"),CQ$6)</f>
        <v>0</v>
      </c>
      <c r="CR40" s="178">
        <v>0</v>
      </c>
      <c r="CS40" s="178">
        <f ca="1">SUMIFS(rec.uni[2024-02-01],
INDIRECT("rec.uni[natureza]"),"taxa.extra",
INDIRECT("rec.uni[empresa]"),CS$6)</f>
        <v>0</v>
      </c>
      <c r="CT40" s="166"/>
      <c r="CU40" s="178" cm="1">
        <f t="array" ref="CU40">SUMPRODUCT(
  IFERROR(--desp[valor],0)*
  (desp[nucleo]="UP MOVE VILA SONIA")*
  (desp[categoria]=CU$7)*
  (desp[data.pagamento]&gt;=$A40)*
  (desp[data.pagamento]&lt;EOMONTH($A40,0)+1)
)</f>
        <v>0</v>
      </c>
      <c r="CV40" s="178" cm="1">
        <f t="array" ref="CV40">SUMPRODUCT(
  IFERROR(--desp[valor],0)*
  (desp[nucleo]="UP MOVE VILA SONIA")*
  (desp[categoria]=CV$7)*
  (desp[data.pagamento]&gt;=$A40)*
  (desp[data.pagamento]&lt;EOMONTH($A40,0)+1)
)</f>
        <v>0</v>
      </c>
      <c r="CW40" s="178" cm="1">
        <f t="array" ref="CW40">SUMPRODUCT(
  IFERROR(--desp[valor],0)*
  (desp[nucleo]="UP MOVE VILA SONIA")*
  (desp[categoria]=CW$7)*
  (desp[data.pagamento]&gt;=$A40)*
  (desp[data.pagamento]&lt;EOMONTH($A40,0)+1)
)</f>
        <v>0</v>
      </c>
      <c r="CX40" s="178" cm="1">
        <f t="array" ref="CX40">SUMPRODUCT(
  IFERROR(--desp[valor],0)*
  (desp[nucleo]="UP MOVE VILA SONIA")*
  (desp[categoria]=CX$7)*
  (desp[data.pagamento]&gt;=$A40)*
  (desp[data.pagamento]&lt;EOMONTH($A40,0)+1)
)</f>
        <v>0</v>
      </c>
      <c r="CY40" s="180" cm="1">
        <f t="array" ref="CY40">SUMPRODUCT(
  IFERROR(--desp[valor],0)*
  (desp[nucleo]="UP MOVE VILA SONIA")*
  (desp[categoria]=CY$7)*
  (desp[data.pagamento]&gt;=$A40)*
  (desp[data.pagamento]&lt;EOMONTH($A40,0)+1)
)</f>
        <v>0</v>
      </c>
    </row>
    <row r="41" spans="1:103" x14ac:dyDescent="0.25">
      <c r="A41" s="176">
        <v>45352</v>
      </c>
      <c r="B41" s="177">
        <f>COUNTIFS(
    estq[empresa], B$6,
    estq[Data da venda / reserva], "&gt;=" &amp; $A41,
    estq[Data da venda / reserva], "&lt;"  &amp; EOMONTH($A41,0) + 1
)</f>
        <v>0</v>
      </c>
      <c r="C41" s="178">
        <f ca="1">SUMIFS(rec.uni[2024-03-01],
INDIRECT("rec.uni[natureza]"),"pro.soluto",
INDIRECT("rec.uni[empresa]"),C$6)</f>
        <v>0</v>
      </c>
      <c r="D41" s="178">
        <f ca="1">SUMIFS(rec.uni[2024-03-01],
INDIRECT("rec.uni[natureza]"),"repasse.cef.obra",
INDIRECT("rec.uni[empresa]"),D$6)</f>
        <v>0</v>
      </c>
      <c r="E41" s="178">
        <f ca="1">SUMIFS(rec.uni[2024-03-01],
INDIRECT("rec.uni[natureza]"),"repasse.cef.terreno",
INDIRECT("rec.uni[empresa]"),E$6)</f>
        <v>0</v>
      </c>
      <c r="F41" s="178">
        <v>403051.79</v>
      </c>
      <c r="G41" s="178">
        <f ca="1">SUMIFS(rec.uni[2024-03-01],
INDIRECT("rec.uni[natureza]"),"taxa.extra",
INDIRECT("rec.uni[empresa]"),G$6)</f>
        <v>0</v>
      </c>
      <c r="H41" s="166"/>
      <c r="I41" s="178" cm="1">
        <f t="array" ref="I41">SUMPRODUCT(
  IFERROR(--desp[valor],0)*
  (desp[nucleo]="UP JARDIM PRUDENCIA")*
  (desp[categoria]=I$7)*
  (desp[data.pagamento]&gt;=$A41)*
  (desp[data.pagamento]&lt;EOMONTH($A41,0)+1)
)</f>
        <v>0</v>
      </c>
      <c r="J41" s="178" cm="1">
        <f t="array" ref="J41">SUMPRODUCT(
  IFERROR(--desp[valor],0)*
  (desp[nucleo]="UP JARDIM PRUDENCIA")*
  (desp[categoria]=J$7)*
  (desp[data.pagamento]&gt;=$A41)*
  (desp[data.pagamento]&lt;EOMONTH($A41,0)+1)
)</f>
        <v>0</v>
      </c>
      <c r="K41" s="178" cm="1">
        <f t="array" ref="K41">SUMPRODUCT(
  IFERROR(--desp[valor],0)*
  (desp[nucleo]="UP JARDIM PRUDENCIA")*
  (desp[categoria]=K$7)*
  (desp[data.pagamento]&gt;=$A41)*
  (desp[data.pagamento]&lt;EOMONTH($A41,0)+1)
)</f>
        <v>0</v>
      </c>
      <c r="L41" s="178" cm="1">
        <f t="array" ref="L41">SUMPRODUCT(
  IFERROR(--desp[valor],0)*
  (desp[nucleo]="UP JARDIM PRUDENCIA")*
  (desp[categoria]=L$7)*
  (desp[data.pagamento]&gt;=$A41)*
  (desp[data.pagamento]&lt;EOMONTH($A41,0)+1)
)</f>
        <v>0</v>
      </c>
      <c r="M41" s="179" cm="1">
        <f t="array" ref="M41">SUMPRODUCT(
  IFERROR(--desp[valor],0)*
  (desp[nucleo]="UP JARDIM PRUDENCIA")*
  (desp[categoria]=M$7)*
  (desp[data.pagamento]&gt;=$A41)*
  (desp[data.pagamento]&lt;EOMONTH($A41,0)+1)
)</f>
        <v>0</v>
      </c>
      <c r="N41" s="177">
        <f>COUNTIFS(
    estq[empresa], N$6,
    estq[Data da venda / reserva], "&gt;=" &amp; $A41,
    estq[Data da venda / reserva], "&lt;"  &amp; EOMONTH($A41,0) + 1
)</f>
        <v>0</v>
      </c>
      <c r="O41" s="178">
        <f ca="1">SUMIFS(rec.uni[2024-03-01],
INDIRECT("rec.uni[natureza]"),"pro.soluto",
INDIRECT("rec.uni[empresa]"),O$6)</f>
        <v>0</v>
      </c>
      <c r="P41" s="178">
        <f ca="1">SUMIFS(rec.uni[2024-03-01],
INDIRECT("rec.uni[natureza]"),"repasse.cef.obra",
INDIRECT("rec.uni[empresa]"),P$6)</f>
        <v>0</v>
      </c>
      <c r="Q41" s="178">
        <f ca="1">SUMIFS(rec.uni[2024-03-01],
INDIRECT("rec.uni[natureza]"),"repasse.cef.terreno",
INDIRECT("rec.uni[empresa]"),Q$6)</f>
        <v>0</v>
      </c>
      <c r="R41" s="178">
        <v>412689.22</v>
      </c>
      <c r="S41" s="178">
        <f ca="1">SUMIFS(rec.uni[2024-03-01],
INDIRECT("rec.uni[natureza]"),"taxa.extra",
INDIRECT("rec.uni[empresa]"),S$6)</f>
        <v>0</v>
      </c>
      <c r="T41" s="166"/>
      <c r="U41" s="178" cm="1">
        <f t="array" ref="U41">SUMPRODUCT(
  IFERROR(--desp[valor],0)*
  (desp[nucleo]="UP VILA SONIA")*
  (desp[categoria]=U$7)*
  (desp[data.pagamento]&gt;=$A41)*
  (desp[data.pagamento]&lt;EOMONTH($A41,0)+1)
)</f>
        <v>0</v>
      </c>
      <c r="V41" s="178" cm="1">
        <f t="array" ref="V41">SUMPRODUCT(
  IFERROR(--desp[valor],0)*
  (desp[nucleo]="UP VILA SONIA")*
  (desp[categoria]=V$7)*
  (desp[data.pagamento]&gt;=$A41)*
  (desp[data.pagamento]&lt;EOMONTH($A41,0)+1)
)</f>
        <v>0</v>
      </c>
      <c r="W41" s="178" cm="1">
        <f t="array" ref="W41">SUMPRODUCT(
  IFERROR(--desp[valor],0)*
  (desp[nucleo]="UP VILA SONIA")*
  (desp[categoria]=W$7)*
  (desp[data.pagamento]&gt;=$A41)*
  (desp[data.pagamento]&lt;EOMONTH($A41,0)+1)
)</f>
        <v>0</v>
      </c>
      <c r="X41" s="178" cm="1">
        <f t="array" ref="X41">SUMPRODUCT(
  IFERROR(--desp[valor],0)*
  (desp[nucleo]="UP VILA SONIA")*
  (desp[categoria]=X$7)*
  (desp[data.pagamento]&gt;=$A41)*
  (desp[data.pagamento]&lt;EOMONTH($A41,0)+1)
)</f>
        <v>0</v>
      </c>
      <c r="Y41" s="179" cm="1">
        <f t="array" ref="Y41">SUMPRODUCT(
  IFERROR(--desp[valor],0)*
  (desp[nucleo]="UP VILA SONIA")*
  (desp[categoria]=Y$7)*
  (desp[data.pagamento]&gt;=$A41)*
  (desp[data.pagamento]&lt;EOMONTH($A41,0)+1)
)</f>
        <v>0</v>
      </c>
      <c r="Z41" s="177">
        <f>COUNTIFS(
    estq[empresa], Z$6,
    estq[Data da venda / reserva], "&gt;=" &amp; $A41,
    estq[Data da venda / reserva], "&lt;"  &amp; EOMONTH($A41,0) + 1
)</f>
        <v>0</v>
      </c>
      <c r="AA41" s="178">
        <f ca="1">SUMIFS(rec.uni[2024-03-01],
INDIRECT("rec.uni[natureza]"),"pro.soluto",
INDIRECT("rec.uni[empresa]"),AA$6)</f>
        <v>0</v>
      </c>
      <c r="AB41" s="178">
        <f ca="1">SUMIFS(rec.uni[2024-03-01],
INDIRECT("rec.uni[natureza]"),"pro.soluto",
INDIRECT("rec.uni[empresa]"),AB$6)</f>
        <v>0</v>
      </c>
      <c r="AC41" s="178">
        <f ca="1">SUMIFS(rec.uni[2024-03-01],
INDIRECT("rec.uni[natureza]"),"taxa.extra",
INDIRECT("rec.uni[empresa]"),AC$6)</f>
        <v>0</v>
      </c>
      <c r="AD41" s="166"/>
      <c r="AE41" s="178" cm="1">
        <f t="array" ref="AE41">SUMPRODUCT(
  IFERROR(--desp[valor],0)*
  (desp[nucleo]="UP CAMPO BELO")*
  (desp[categoria]=AE$7)*
  (desp[data.pagamento]&gt;=$A41)*
  (desp[data.pagamento]&lt;EOMONTH($A41,0)+1)
)</f>
        <v>0</v>
      </c>
      <c r="AF41" s="178" cm="1">
        <f t="array" ref="AF41">SUMPRODUCT(
  IFERROR(--desp[valor],0)*
  (desp[nucleo]="UP CAMPO BELO")*
  (desp[categoria]=AF$7)*
  (desp[data.pagamento]&gt;=$A41)*
  (desp[data.pagamento]&lt;EOMONTH($A41,0)+1)
)</f>
        <v>0</v>
      </c>
      <c r="AG41" s="178" cm="1">
        <f t="array" ref="AG41">SUMPRODUCT(
  IFERROR(--desp[valor],0)*
  (desp[nucleo]="UP CAMPO BELO")*
  (desp[categoria]=AG$7)*
  (desp[data.pagamento]&gt;=$A41)*
  (desp[data.pagamento]&lt;EOMONTH($A41,0)+1)
)</f>
        <v>0</v>
      </c>
      <c r="AH41" s="178" cm="1">
        <f t="array" ref="AH41">SUMPRODUCT(
  IFERROR(--desp[valor],0)*
  (desp[nucleo]="UP CAMPO BELO")*
  (desp[categoria]=AH$7)*
  (desp[data.pagamento]&gt;=$A41)*
  (desp[data.pagamento]&lt;EOMONTH($A41,0)+1)
)</f>
        <v>0</v>
      </c>
      <c r="AI41" s="179" cm="1">
        <f t="array" ref="AI41">SUMPRODUCT(
  IFERROR(--desp[valor],0)*
  (desp[nucleo]="UP CAMPO BELO")*
  (desp[categoria]=AI$7)*
  (desp[data.pagamento]&gt;=$A41)*
  (desp[data.pagamento]&lt;EOMONTH($A41,0)+1)
)</f>
        <v>0</v>
      </c>
      <c r="AJ41" s="177">
        <f>COUNTIFS(
    estq[empresa], AJ$6,
    estq[Data da venda / reserva], "&gt;=" &amp; $A41,
    estq[Data da venda / reserva], "&lt;"  &amp; EOMONTH($A41,0) + 1
)</f>
        <v>0</v>
      </c>
      <c r="AK41" s="178">
        <f ca="1">SUMIFS(rec.uni[2024-03-01],
INDIRECT("rec.uni[natureza]"),"pro.soluto",
INDIRECT("rec.uni[empresa]"),AK$6)</f>
        <v>0</v>
      </c>
      <c r="AL41" s="178">
        <f ca="1">SUMIFS(rec.uni[2024-03-01],
INDIRECT("rec.uni[natureza]"),"repasse.cef.obra",
INDIRECT("rec.uni[empresa]"),AL$6)</f>
        <v>0</v>
      </c>
      <c r="AM41" s="178">
        <f ca="1">SUMIFS(rec.uni[2024-03-01],
INDIRECT("rec.uni[natureza]"),"repasse.cef.terreno",
INDIRECT("rec.uni[empresa]"),AM$6)</f>
        <v>0</v>
      </c>
      <c r="AN41" s="178">
        <v>0</v>
      </c>
      <c r="AO41" s="178">
        <f ca="1">SUMIFS(rec.uni[2024-03-01],
INDIRECT("rec.uni[natureza]"),"taxa.extra",
INDIRECT("rec.uni[empresa]"),AO$6)</f>
        <v>0</v>
      </c>
      <c r="AP41" s="166"/>
      <c r="AQ41" s="178" cm="1">
        <f t="array" ref="AQ41">SUMPRODUCT(
  IFERROR(--desp[valor],0)*
  (desp[nucleo]="UP SELECT VILA SONIA")*
  (desp[categoria]=AQ$7)*
  (desp[data.pagamento]&gt;=$A41)*
  (desp[data.pagamento]&lt;EOMONTH($A41,0)+1)
)</f>
        <v>0</v>
      </c>
      <c r="AR41" s="178" cm="1">
        <f t="array" ref="AR41">SUMPRODUCT(
  IFERROR(--desp[valor],0)*
  (desp[nucleo]="UP SELECT VILA SONIA")*
  (desp[categoria]=AR$7)*
  (desp[data.pagamento]&gt;=$A41)*
  (desp[data.pagamento]&lt;EOMONTH($A41,0)+1)
)</f>
        <v>0</v>
      </c>
      <c r="AS41" s="178" cm="1">
        <f t="array" ref="AS41">SUMPRODUCT(
  IFERROR(--desp[valor],0)*
  (desp[nucleo]="UP SELECT VILA SONIA")*
  (desp[categoria]=AS$7)*
  (desp[data.pagamento]&gt;=$A41)*
  (desp[data.pagamento]&lt;EOMONTH($A41,0)+1)
)</f>
        <v>0</v>
      </c>
      <c r="AT41" s="178" cm="1">
        <f t="array" ref="AT41">SUMPRODUCT(
  IFERROR(--desp[valor],0)*
  (desp[nucleo]="UP SELECT VILA SONIA")*
  (desp[categoria]=AT$7)*
  (desp[data.pagamento]&gt;=$A41)*
  (desp[data.pagamento]&lt;EOMONTH($A41,0)+1)
)</f>
        <v>0</v>
      </c>
      <c r="AU41" s="179" cm="1">
        <f t="array" ref="AU41">SUMPRODUCT(
  IFERROR(--desp[valor],0)*
  (desp[nucleo]="UP SELECT VILA SONIA")*
  (desp[categoria]=AU$7)*
  (desp[data.pagamento]&gt;=$A41)*
  (desp[data.pagamento]&lt;EOMONTH($A41,0)+1)
)</f>
        <v>0</v>
      </c>
      <c r="AV41" s="177">
        <f>COUNTIFS(
    estq[empresa], AV$6,
    estq[Data da venda / reserva], "&gt;=" &amp; $A41,
    estq[Data da venda / reserva], "&lt;"  &amp; EOMONTH($A41,0) + 1
)</f>
        <v>0</v>
      </c>
      <c r="AW41" s="178">
        <f ca="1">SUMIFS(rec.uni[2024-03-01],
INDIRECT("rec.uni[natureza]"),"pro.soluto",
INDIRECT("rec.uni[empresa]"),AW$6)</f>
        <v>0</v>
      </c>
      <c r="AX41" s="178">
        <f ca="1">SUMIFS(rec.uni[2024-03-01],
INDIRECT("rec.uni[natureza]"),"repasse.cef.obra",
INDIRECT("rec.uni[empresa]"),AX$6)</f>
        <v>0</v>
      </c>
      <c r="AY41" s="178">
        <f ca="1">SUMIFS(rec.uni[2024-03-01],
INDIRECT("rec.uni[natureza]"),"repasse.cef.terreno",
INDIRECT("rec.uni[empresa]"),AY$6)</f>
        <v>0</v>
      </c>
      <c r="AZ41" s="178">
        <v>0</v>
      </c>
      <c r="BA41" s="178">
        <f ca="1">SUMIFS(rec.uni[2024-03-01],
INDIRECT("rec.uni[natureza]"),"taxa.extra",
INDIRECT("rec.uni[empresa]"),BA$6)</f>
        <v>0</v>
      </c>
      <c r="BB41" s="166"/>
      <c r="BC41" s="178" cm="1">
        <f t="array" ref="BC41">SUMPRODUCT(
  IFERROR(--desp[valor],0)*
  (desp[nucleo]="UP ESTAÇÃO SÃO LUCAS")*
  (desp[categoria]=BC$7)*
  (desp[data.pagamento]&gt;=$A41)*
  (desp[data.pagamento]&lt;EOMONTH($A41,0)+1)
)</f>
        <v>0</v>
      </c>
      <c r="BD41" s="178" cm="1">
        <f t="array" ref="BD41">SUMPRODUCT(
  IFERROR(--desp[valor],0)*
  (desp[nucleo]="UP ESTAÇÃO SÃO LUCAS")*
  (desp[categoria]=BD$7)*
  (desp[data.pagamento]&gt;=$A41)*
  (desp[data.pagamento]&lt;EOMONTH($A41,0)+1)
)</f>
        <v>0</v>
      </c>
      <c r="BE41" s="178" cm="1">
        <f t="array" ref="BE41">SUMPRODUCT(
  IFERROR(--desp[valor],0)*
  (desp[nucleo]="UP ESTAÇÃO SÃO LUCAS")*
  (desp[categoria]=BE$7)*
  (desp[data.pagamento]&gt;=$A41)*
  (desp[data.pagamento]&lt;EOMONTH($A41,0)+1)
)</f>
        <v>0</v>
      </c>
      <c r="BF41" s="178" cm="1">
        <f t="array" ref="BF41">SUMPRODUCT(
  IFERROR(--desp[valor],0)*
  (desp[nucleo]="UP ESTAÇÃO SÃO LUCAS")*
  (desp[categoria]=BF$7)*
  (desp[data.pagamento]&gt;=$A41)*
  (desp[data.pagamento]&lt;EOMONTH($A41,0)+1)
)</f>
        <v>0</v>
      </c>
      <c r="BG41" s="179" cm="1">
        <f t="array" ref="BG41">SUMPRODUCT(
  IFERROR(--desp[valor],0)*
  (desp[nucleo]="UP ESTAÇÃO SÃO LUCAS")*
  (desp[categoria]=BG$7)*
  (desp[data.pagamento]&gt;=$A41)*
  (desp[data.pagamento]&lt;EOMONTH($A41,0)+1)
)</f>
        <v>0</v>
      </c>
      <c r="BH41" s="177">
        <f>COUNTIFS(
    estq[empresa], BH$6,
    estq[Data da venda / reserva], "&gt;=" &amp; $A41,
    estq[Data da venda / reserva], "&lt;"  &amp; EOMONTH($A41,0) + 1
)</f>
        <v>0</v>
      </c>
      <c r="BI41" s="178">
        <f ca="1">SUMIFS(rec.uni[2024-03-01],
INDIRECT("rec.uni[natureza]"),"pro.soluto",
INDIRECT("rec.uni[empresa]"),BI$6)</f>
        <v>0</v>
      </c>
      <c r="BJ41" s="166">
        <v>0</v>
      </c>
      <c r="BK41" s="178">
        <f ca="1">SUMIFS(rec.uni[2024-03-01],
INDIRECT("rec.uni[natureza]"),"taxa.extra",
INDIRECT("rec.uni[empresa]"),BK$6)</f>
        <v>0</v>
      </c>
      <c r="BL41" s="166"/>
      <c r="BM41" s="178" cm="1">
        <f t="array" ref="BM41">SUMPRODUCT(
  IFERROR(--desp[valor],0)*
  (desp[nucleo]="UP POMPEIA")*
  (desp[categoria]=BM$7)*
  (desp[data.pagamento]&gt;=$A41)*
  (desp[data.pagamento]&lt;EOMONTH($A41,0)+1)
)</f>
        <v>0</v>
      </c>
      <c r="BN41" s="178" cm="1">
        <f t="array" ref="BN41">SUMPRODUCT(
  IFERROR(--desp[valor],0)*
  (desp[nucleo]="UP POMPEIA")*
  (desp[categoria]=BN$7)*
  (desp[data.pagamento]&gt;=$A41)*
  (desp[data.pagamento]&lt;EOMONTH($A41,0)+1)
)</f>
        <v>0</v>
      </c>
      <c r="BO41" s="178" cm="1">
        <f t="array" ref="BO41">SUMPRODUCT(
  IFERROR(--desp[valor],0)*
  (desp[nucleo]="UP POMPEIA")*
  (desp[categoria]=BO$7)*
  (desp[data.pagamento]&gt;=$A41)*
  (desp[data.pagamento]&lt;EOMONTH($A41,0)+1)
)</f>
        <v>0</v>
      </c>
      <c r="BP41" s="178" cm="1">
        <f t="array" ref="BP41">SUMPRODUCT(
  IFERROR(--desp[valor],0)*
  (desp[nucleo]="UP POMPEIA")*
  (desp[categoria]=BP$7)*
  (desp[data.pagamento]&gt;=$A41)*
  (desp[data.pagamento]&lt;EOMONTH($A41,0)+1)
)</f>
        <v>0</v>
      </c>
      <c r="BQ41" s="179" cm="1">
        <f t="array" ref="BQ41">SUMPRODUCT(
  IFERROR(--desp[valor],0)*
  (desp[nucleo]="UP POMPEIA")*
  (desp[categoria]=BQ$7)*
  (desp[data.pagamento]&gt;=$A41)*
  (desp[data.pagamento]&lt;EOMONTH($A41,0)+1)
)</f>
        <v>0</v>
      </c>
      <c r="BR41" s="177">
        <f>COUNTIFS(
    estq[empresa], BR$6,
    estq[Data da venda / reserva], "&gt;=" &amp; $A41,
    estq[Data da venda / reserva], "&lt;"  &amp; EOMONTH($A41,0) + 1
)</f>
        <v>0</v>
      </c>
      <c r="BS41" s="178">
        <f ca="1">SUMIFS(rec.uni[2024-03-01],
INDIRECT("rec.uni[natureza]"),"pro.soluto",
INDIRECT("rec.uni[empresa]"),BS$6)</f>
        <v>0</v>
      </c>
      <c r="BT41" s="178">
        <f ca="1">SUMIFS(rec.uni[2024-03-01],
INDIRECT("rec.uni[natureza]"),"pro.soluto",
INDIRECT("rec.uni[empresa]"),BT$6)</f>
        <v>0</v>
      </c>
      <c r="BU41" s="178">
        <f ca="1">SUMIFS(rec.uni[2024-03-01],
INDIRECT("rec.uni[natureza]"),"taxa.extra",
INDIRECT("rec.uni[empresa]"),BU$6)</f>
        <v>0</v>
      </c>
      <c r="BV41" s="166"/>
      <c r="BW41" s="178" cm="1">
        <f t="array" ref="BW41">SUMPRODUCT(
  IFERROR(--desp[valor],0)*
  (desp[nucleo]="UP SAUDE")*
  (desp[categoria]=BW$7)*
  (desp[data.pagamento]&gt;=$A41)*
  (desp[data.pagamento]&lt;EOMONTH($A41,0)+1)
)</f>
        <v>0</v>
      </c>
      <c r="BX41" s="178" cm="1">
        <f t="array" ref="BX41">SUMPRODUCT(
  IFERROR(--desp[valor],0)*
  (desp[nucleo]="UP SAUDE")*
  (desp[categoria]=BX$7)*
  (desp[data.pagamento]&gt;=$A41)*
  (desp[data.pagamento]&lt;EOMONTH($A41,0)+1)
)</f>
        <v>0</v>
      </c>
      <c r="BY41" s="178" cm="1">
        <f t="array" ref="BY41">SUMPRODUCT(
  IFERROR(--desp[valor],0)*
  (desp[nucleo]="UP SAUDE")*
  (desp[categoria]=BY$7)*
  (desp[data.pagamento]&gt;=$A41)*
  (desp[data.pagamento]&lt;EOMONTH($A41,0)+1)
)</f>
        <v>0</v>
      </c>
      <c r="BZ41" s="178" cm="1">
        <f t="array" ref="BZ41">SUMPRODUCT(
  IFERROR(--desp[valor],0)*
  (desp[nucleo]="UP SAUDE")*
  (desp[categoria]=BZ$7)*
  (desp[data.pagamento]&gt;=$A41)*
  (desp[data.pagamento]&lt;EOMONTH($A41,0)+1)
)</f>
        <v>0</v>
      </c>
      <c r="CA41" s="179" cm="1">
        <f t="array" ref="CA41">SUMPRODUCT(
  IFERROR(--desp[valor],0)*
  (desp[nucleo]="UP SAUDE")*
  (desp[categoria]=CA$7)*
  (desp[data.pagamento]&gt;=$A41)*
  (desp[data.pagamento]&lt;EOMONTH($A41,0)+1)
)</f>
        <v>0</v>
      </c>
      <c r="CB41" s="177">
        <f>COUNTIFS(
    estq[empresa], CB$6,
    estq[Data da venda / reserva], "&gt;=" &amp; $A41,
    estq[Data da venda / reserva], "&lt;"  &amp; EOMONTH($A41,0) + 1
)</f>
        <v>0</v>
      </c>
      <c r="CC41" s="178">
        <f ca="1">SUMIFS(rec.uni[2024-03-01],
INDIRECT("rec.uni[natureza]"),"pro.soluto",
INDIRECT("rec.uni[empresa]"),CC$6)</f>
        <v>0</v>
      </c>
      <c r="CD41" s="178">
        <f ca="1">SUMIFS(rec.uni[2024-03-01],
INDIRECT("rec.uni[natureza]"),"repasse.cef.obra",
INDIRECT("rec.uni[empresa]"),CD$6)</f>
        <v>0</v>
      </c>
      <c r="CE41" s="178">
        <f ca="1">SUMIFS(rec.uni[2024-03-01],
INDIRECT("rec.uni[natureza]"),"repasse.cef.terreno",
INDIRECT("rec.uni[empresa]"),CE$6)</f>
        <v>0</v>
      </c>
      <c r="CF41" s="178">
        <v>0</v>
      </c>
      <c r="CG41" s="178">
        <f ca="1">SUMIFS(rec.uni[2024-03-01],
INDIRECT("rec.uni[natureza]"),"taxa.extra",
INDIRECT("rec.uni[empresa]"),CG$6)</f>
        <v>0</v>
      </c>
      <c r="CH41" s="166"/>
      <c r="CI41" s="178" cm="1">
        <f t="array" ref="CI41">SUMPRODUCT(
  IFERROR(--desp[valor],0)*
  (desp[nucleo]="UP ESTAÇÃO VILA SONIA")*
  (desp[categoria]=CI$7)*
  (desp[data.pagamento]&gt;=$A41)*
  (desp[data.pagamento]&lt;EOMONTH($A41,0)+1)
)</f>
        <v>0</v>
      </c>
      <c r="CJ41" s="178" cm="1">
        <f t="array" ref="CJ41">SUMPRODUCT(
  IFERROR(--desp[valor],0)*
  (desp[nucleo]="UP ESTAÇÃO VILA SONIA")*
  (desp[categoria]=CJ$7)*
  (desp[data.pagamento]&gt;=$A41)*
  (desp[data.pagamento]&lt;EOMONTH($A41,0)+1)
)</f>
        <v>0</v>
      </c>
      <c r="CK41" s="178" cm="1">
        <f t="array" ref="CK41">SUMPRODUCT(
  IFERROR(--desp[valor],0)*
  (desp[nucleo]="UP ESTAÇÃO VILA SONIA")*
  (desp[categoria]=CK$7)*
  (desp[data.pagamento]&gt;=$A41)*
  (desp[data.pagamento]&lt;EOMONTH($A41,0)+1)
)</f>
        <v>0</v>
      </c>
      <c r="CL41" s="178" cm="1">
        <f t="array" ref="CL41">SUMPRODUCT(
  IFERROR(--desp[valor],0)*
  (desp[nucleo]="UP ESTAÇÃO VILA SONIA")*
  (desp[categoria]=CL$7)*
  (desp[data.pagamento]&gt;=$A41)*
  (desp[data.pagamento]&lt;EOMONTH($A41,0)+1)
)</f>
        <v>0</v>
      </c>
      <c r="CM41" s="179" cm="1">
        <f t="array" ref="CM41">SUMPRODUCT(
  IFERROR(--desp[valor],0)*
  (desp[nucleo]="UP ESTAÇÃO VILA SONIA")*
  (desp[categoria]=CM$7)*
  (desp[data.pagamento]&gt;=$A41)*
  (desp[data.pagamento]&lt;EOMONTH($A41,0)+1)
)</f>
        <v>0</v>
      </c>
      <c r="CN41" s="177">
        <f>COUNTIFS(
    estq[empresa], CN$6,
    estq[Data da venda / reserva], "&gt;=" &amp; $A41,
    estq[Data da venda / reserva], "&lt;"  &amp; EOMONTH($A41,0) + 1
)</f>
        <v>0</v>
      </c>
      <c r="CO41" s="178">
        <f ca="1">SUMIFS(rec.uni[2024-03-01],
INDIRECT("rec.uni[natureza]"),"pro.soluto",
INDIRECT("rec.uni[empresa]"),CO$6)</f>
        <v>0</v>
      </c>
      <c r="CP41" s="178">
        <f ca="1">SUMIFS(rec.uni[2024-03-01],
INDIRECT("rec.uni[natureza]"),"repasse.cef.obra",
INDIRECT("rec.uni[empresa]"),CP$6)</f>
        <v>0</v>
      </c>
      <c r="CQ41" s="178">
        <f ca="1">SUMIFS(rec.uni[2024-03-01],
INDIRECT("rec.uni[natureza]"),"repasse.cef.terreno",
INDIRECT("rec.uni[empresa]"),CQ$6)</f>
        <v>0</v>
      </c>
      <c r="CR41" s="178">
        <v>0</v>
      </c>
      <c r="CS41" s="178">
        <f ca="1">SUMIFS(rec.uni[2024-03-01],
INDIRECT("rec.uni[natureza]"),"taxa.extra",
INDIRECT("rec.uni[empresa]"),CS$6)</f>
        <v>0</v>
      </c>
      <c r="CT41" s="166"/>
      <c r="CU41" s="178" cm="1">
        <f t="array" ref="CU41">SUMPRODUCT(
  IFERROR(--desp[valor],0)*
  (desp[nucleo]="UP MOVE VILA SONIA")*
  (desp[categoria]=CU$7)*
  (desp[data.pagamento]&gt;=$A41)*
  (desp[data.pagamento]&lt;EOMONTH($A41,0)+1)
)</f>
        <v>0</v>
      </c>
      <c r="CV41" s="178" cm="1">
        <f t="array" ref="CV41">SUMPRODUCT(
  IFERROR(--desp[valor],0)*
  (desp[nucleo]="UP MOVE VILA SONIA")*
  (desp[categoria]=CV$7)*
  (desp[data.pagamento]&gt;=$A41)*
  (desp[data.pagamento]&lt;EOMONTH($A41,0)+1)
)</f>
        <v>0</v>
      </c>
      <c r="CW41" s="178" cm="1">
        <f t="array" ref="CW41">SUMPRODUCT(
  IFERROR(--desp[valor],0)*
  (desp[nucleo]="UP MOVE VILA SONIA")*
  (desp[categoria]=CW$7)*
  (desp[data.pagamento]&gt;=$A41)*
  (desp[data.pagamento]&lt;EOMONTH($A41,0)+1)
)</f>
        <v>0</v>
      </c>
      <c r="CX41" s="178" cm="1">
        <f t="array" ref="CX41">SUMPRODUCT(
  IFERROR(--desp[valor],0)*
  (desp[nucleo]="UP MOVE VILA SONIA")*
  (desp[categoria]=CX$7)*
  (desp[data.pagamento]&gt;=$A41)*
  (desp[data.pagamento]&lt;EOMONTH($A41,0)+1)
)</f>
        <v>0</v>
      </c>
      <c r="CY41" s="180" cm="1">
        <f t="array" ref="CY41">SUMPRODUCT(
  IFERROR(--desp[valor],0)*
  (desp[nucleo]="UP MOVE VILA SONIA")*
  (desp[categoria]=CY$7)*
  (desp[data.pagamento]&gt;=$A41)*
  (desp[data.pagamento]&lt;EOMONTH($A41,0)+1)
)</f>
        <v>0</v>
      </c>
    </row>
    <row r="42" spans="1:103" x14ac:dyDescent="0.25">
      <c r="A42" s="176">
        <v>45383</v>
      </c>
      <c r="B42" s="177">
        <f>COUNTIFS(
    estq[empresa], B$6,
    estq[Data da venda / reserva], "&gt;=" &amp; $A42,
    estq[Data da venda / reserva], "&lt;"  &amp; EOMONTH($A42,0) + 1
)</f>
        <v>0</v>
      </c>
      <c r="C42" s="178">
        <f ca="1">SUMIFS(rec.uni[2024-04-01],
INDIRECT("rec.uni[natureza]"),"pro.soluto",
INDIRECT("rec.uni[empresa]"),C$6)</f>
        <v>0</v>
      </c>
      <c r="D42" s="178">
        <f ca="1">SUMIFS(rec.uni[2024-04-01],
INDIRECT("rec.uni[natureza]"),"repasse.cef.obra",
INDIRECT("rec.uni[empresa]"),D$6)</f>
        <v>0</v>
      </c>
      <c r="E42" s="178">
        <f ca="1">SUMIFS(rec.uni[2024-04-01],
INDIRECT("rec.uni[natureza]"),"repasse.cef.terreno",
INDIRECT("rec.uni[empresa]"),E$6)</f>
        <v>0</v>
      </c>
      <c r="F42" s="178">
        <v>516683.36</v>
      </c>
      <c r="G42" s="178">
        <f ca="1">SUMIFS(rec.uni[2024-04-01],
INDIRECT("rec.uni[natureza]"),"taxa.extra",
INDIRECT("rec.uni[empresa]"),G$6)</f>
        <v>0</v>
      </c>
      <c r="H42" s="166"/>
      <c r="I42" s="178" cm="1">
        <f t="array" ref="I42">SUMPRODUCT(
  IFERROR(--desp[valor],0)*
  (desp[nucleo]="UP JARDIM PRUDENCIA")*
  (desp[categoria]=I$7)*
  (desp[data.pagamento]&gt;=$A42)*
  (desp[data.pagamento]&lt;EOMONTH($A42,0)+1)
)</f>
        <v>0</v>
      </c>
      <c r="J42" s="178" cm="1">
        <f t="array" ref="J42">SUMPRODUCT(
  IFERROR(--desp[valor],0)*
  (desp[nucleo]="UP JARDIM PRUDENCIA")*
  (desp[categoria]=J$7)*
  (desp[data.pagamento]&gt;=$A42)*
  (desp[data.pagamento]&lt;EOMONTH($A42,0)+1)
)</f>
        <v>0</v>
      </c>
      <c r="K42" s="178" cm="1">
        <f t="array" ref="K42">SUMPRODUCT(
  IFERROR(--desp[valor],0)*
  (desp[nucleo]="UP JARDIM PRUDENCIA")*
  (desp[categoria]=K$7)*
  (desp[data.pagamento]&gt;=$A42)*
  (desp[data.pagamento]&lt;EOMONTH($A42,0)+1)
)</f>
        <v>0</v>
      </c>
      <c r="L42" s="178" cm="1">
        <f t="array" ref="L42">SUMPRODUCT(
  IFERROR(--desp[valor],0)*
  (desp[nucleo]="UP JARDIM PRUDENCIA")*
  (desp[categoria]=L$7)*
  (desp[data.pagamento]&gt;=$A42)*
  (desp[data.pagamento]&lt;EOMONTH($A42,0)+1)
)</f>
        <v>0</v>
      </c>
      <c r="M42" s="179" cm="1">
        <f t="array" ref="M42">SUMPRODUCT(
  IFERROR(--desp[valor],0)*
  (desp[nucleo]="UP JARDIM PRUDENCIA")*
  (desp[categoria]=M$7)*
  (desp[data.pagamento]&gt;=$A42)*
  (desp[data.pagamento]&lt;EOMONTH($A42,0)+1)
)</f>
        <v>0</v>
      </c>
      <c r="N42" s="177">
        <f>COUNTIFS(
    estq[empresa], N$6,
    estq[Data da venda / reserva], "&gt;=" &amp; $A42,
    estq[Data da venda / reserva], "&lt;"  &amp; EOMONTH($A42,0) + 1
)</f>
        <v>0</v>
      </c>
      <c r="O42" s="178">
        <f ca="1">SUMIFS(rec.uni[2024-04-01],
INDIRECT("rec.uni[natureza]"),"pro.soluto",
INDIRECT("rec.uni[empresa]"),O$6)</f>
        <v>0</v>
      </c>
      <c r="P42" s="178">
        <f ca="1">SUMIFS(rec.uni[2024-04-01],
INDIRECT("rec.uni[natureza]"),"repasse.cef.obra",
INDIRECT("rec.uni[empresa]"),P$6)</f>
        <v>0</v>
      </c>
      <c r="Q42" s="178">
        <f ca="1">SUMIFS(rec.uni[2024-04-01],
INDIRECT("rec.uni[natureza]"),"repasse.cef.terreno",
INDIRECT("rec.uni[empresa]"),Q$6)</f>
        <v>0</v>
      </c>
      <c r="R42" s="178">
        <v>556963.03</v>
      </c>
      <c r="S42" s="178">
        <f ca="1">SUMIFS(rec.uni[2024-04-01],
INDIRECT("rec.uni[natureza]"),"taxa.extra",
INDIRECT("rec.uni[empresa]"),S$6)</f>
        <v>0</v>
      </c>
      <c r="T42" s="166"/>
      <c r="U42" s="178" cm="1">
        <f t="array" ref="U42">SUMPRODUCT(
  IFERROR(--desp[valor],0)*
  (desp[nucleo]="UP VILA SONIA")*
  (desp[categoria]=U$7)*
  (desp[data.pagamento]&gt;=$A42)*
  (desp[data.pagamento]&lt;EOMONTH($A42,0)+1)
)</f>
        <v>0</v>
      </c>
      <c r="V42" s="178" cm="1">
        <f t="array" ref="V42">SUMPRODUCT(
  IFERROR(--desp[valor],0)*
  (desp[nucleo]="UP VILA SONIA")*
  (desp[categoria]=V$7)*
  (desp[data.pagamento]&gt;=$A42)*
  (desp[data.pagamento]&lt;EOMONTH($A42,0)+1)
)</f>
        <v>0</v>
      </c>
      <c r="W42" s="178" cm="1">
        <f t="array" ref="W42">SUMPRODUCT(
  IFERROR(--desp[valor],0)*
  (desp[nucleo]="UP VILA SONIA")*
  (desp[categoria]=W$7)*
  (desp[data.pagamento]&gt;=$A42)*
  (desp[data.pagamento]&lt;EOMONTH($A42,0)+1)
)</f>
        <v>0</v>
      </c>
      <c r="X42" s="178" cm="1">
        <f t="array" ref="X42">SUMPRODUCT(
  IFERROR(--desp[valor],0)*
  (desp[nucleo]="UP VILA SONIA")*
  (desp[categoria]=X$7)*
  (desp[data.pagamento]&gt;=$A42)*
  (desp[data.pagamento]&lt;EOMONTH($A42,0)+1)
)</f>
        <v>0</v>
      </c>
      <c r="Y42" s="179" cm="1">
        <f t="array" ref="Y42">SUMPRODUCT(
  IFERROR(--desp[valor],0)*
  (desp[nucleo]="UP VILA SONIA")*
  (desp[categoria]=Y$7)*
  (desp[data.pagamento]&gt;=$A42)*
  (desp[data.pagamento]&lt;EOMONTH($A42,0)+1)
)</f>
        <v>0</v>
      </c>
      <c r="Z42" s="177">
        <f>COUNTIFS(
    estq[empresa], Z$6,
    estq[Data da venda / reserva], "&gt;=" &amp; $A42,
    estq[Data da venda / reserva], "&lt;"  &amp; EOMONTH($A42,0) + 1
)</f>
        <v>0</v>
      </c>
      <c r="AA42" s="178">
        <f ca="1">SUMIFS(rec.uni[2024-04-01],
INDIRECT("rec.uni[natureza]"),"pro.soluto",
INDIRECT("rec.uni[empresa]"),AA$6)</f>
        <v>0</v>
      </c>
      <c r="AB42" s="178">
        <f ca="1">SUMIFS(rec.uni[2024-04-01],
INDIRECT("rec.uni[natureza]"),"pro.soluto",
INDIRECT("rec.uni[empresa]"),AB$6)</f>
        <v>0</v>
      </c>
      <c r="AC42" s="178">
        <f ca="1">SUMIFS(rec.uni[2024-04-01],
INDIRECT("rec.uni[natureza]"),"taxa.extra",
INDIRECT("rec.uni[empresa]"),AC$6)</f>
        <v>0</v>
      </c>
      <c r="AD42" s="166"/>
      <c r="AE42" s="178" cm="1">
        <f t="array" ref="AE42">SUMPRODUCT(
  IFERROR(--desp[valor],0)*
  (desp[nucleo]="UP CAMPO BELO")*
  (desp[categoria]=AE$7)*
  (desp[data.pagamento]&gt;=$A42)*
  (desp[data.pagamento]&lt;EOMONTH($A42,0)+1)
)</f>
        <v>0</v>
      </c>
      <c r="AF42" s="178" cm="1">
        <f t="array" ref="AF42">SUMPRODUCT(
  IFERROR(--desp[valor],0)*
  (desp[nucleo]="UP CAMPO BELO")*
  (desp[categoria]=AF$7)*
  (desp[data.pagamento]&gt;=$A42)*
  (desp[data.pagamento]&lt;EOMONTH($A42,0)+1)
)</f>
        <v>0</v>
      </c>
      <c r="AG42" s="178" cm="1">
        <f t="array" ref="AG42">SUMPRODUCT(
  IFERROR(--desp[valor],0)*
  (desp[nucleo]="UP CAMPO BELO")*
  (desp[categoria]=AG$7)*
  (desp[data.pagamento]&gt;=$A42)*
  (desp[data.pagamento]&lt;EOMONTH($A42,0)+1)
)</f>
        <v>0</v>
      </c>
      <c r="AH42" s="178" cm="1">
        <f t="array" ref="AH42">SUMPRODUCT(
  IFERROR(--desp[valor],0)*
  (desp[nucleo]="UP CAMPO BELO")*
  (desp[categoria]=AH$7)*
  (desp[data.pagamento]&gt;=$A42)*
  (desp[data.pagamento]&lt;EOMONTH($A42,0)+1)
)</f>
        <v>0</v>
      </c>
      <c r="AI42" s="179" cm="1">
        <f t="array" ref="AI42">SUMPRODUCT(
  IFERROR(--desp[valor],0)*
  (desp[nucleo]="UP CAMPO BELO")*
  (desp[categoria]=AI$7)*
  (desp[data.pagamento]&gt;=$A42)*
  (desp[data.pagamento]&lt;EOMONTH($A42,0)+1)
)</f>
        <v>0</v>
      </c>
      <c r="AJ42" s="177">
        <f>COUNTIFS(
    estq[empresa], AJ$6,
    estq[Data da venda / reserva], "&gt;=" &amp; $A42,
    estq[Data da venda / reserva], "&lt;"  &amp; EOMONTH($A42,0) + 1
)</f>
        <v>0</v>
      </c>
      <c r="AK42" s="178">
        <f ca="1">SUMIFS(rec.uni[2024-04-01],
INDIRECT("rec.uni[natureza]"),"pro.soluto",
INDIRECT("rec.uni[empresa]"),AK$6)</f>
        <v>0</v>
      </c>
      <c r="AL42" s="178">
        <f ca="1">SUMIFS(rec.uni[2024-04-01],
INDIRECT("rec.uni[natureza]"),"repasse.cef.obra",
INDIRECT("rec.uni[empresa]"),AL$6)</f>
        <v>0</v>
      </c>
      <c r="AM42" s="178">
        <f ca="1">SUMIFS(rec.uni[2024-04-01],
INDIRECT("rec.uni[natureza]"),"repasse.cef.terreno",
INDIRECT("rec.uni[empresa]"),AM$6)</f>
        <v>0</v>
      </c>
      <c r="AN42" s="178">
        <v>0</v>
      </c>
      <c r="AO42" s="178">
        <f ca="1">SUMIFS(rec.uni[2024-04-01],
INDIRECT("rec.uni[natureza]"),"taxa.extra",
INDIRECT("rec.uni[empresa]"),AO$6)</f>
        <v>0</v>
      </c>
      <c r="AP42" s="166"/>
      <c r="AQ42" s="178" cm="1">
        <f t="array" ref="AQ42">SUMPRODUCT(
  IFERROR(--desp[valor],0)*
  (desp[nucleo]="UP SELECT VILA SONIA")*
  (desp[categoria]=AQ$7)*
  (desp[data.pagamento]&gt;=$A42)*
  (desp[data.pagamento]&lt;EOMONTH($A42,0)+1)
)</f>
        <v>0</v>
      </c>
      <c r="AR42" s="178" cm="1">
        <f t="array" ref="AR42">SUMPRODUCT(
  IFERROR(--desp[valor],0)*
  (desp[nucleo]="UP SELECT VILA SONIA")*
  (desp[categoria]=AR$7)*
  (desp[data.pagamento]&gt;=$A42)*
  (desp[data.pagamento]&lt;EOMONTH($A42,0)+1)
)</f>
        <v>0</v>
      </c>
      <c r="AS42" s="178" cm="1">
        <f t="array" ref="AS42">SUMPRODUCT(
  IFERROR(--desp[valor],0)*
  (desp[nucleo]="UP SELECT VILA SONIA")*
  (desp[categoria]=AS$7)*
  (desp[data.pagamento]&gt;=$A42)*
  (desp[data.pagamento]&lt;EOMONTH($A42,0)+1)
)</f>
        <v>0</v>
      </c>
      <c r="AT42" s="178" cm="1">
        <f t="array" ref="AT42">SUMPRODUCT(
  IFERROR(--desp[valor],0)*
  (desp[nucleo]="UP SELECT VILA SONIA")*
  (desp[categoria]=AT$7)*
  (desp[data.pagamento]&gt;=$A42)*
  (desp[data.pagamento]&lt;EOMONTH($A42,0)+1)
)</f>
        <v>0</v>
      </c>
      <c r="AU42" s="179" cm="1">
        <f t="array" ref="AU42">SUMPRODUCT(
  IFERROR(--desp[valor],0)*
  (desp[nucleo]="UP SELECT VILA SONIA")*
  (desp[categoria]=AU$7)*
  (desp[data.pagamento]&gt;=$A42)*
  (desp[data.pagamento]&lt;EOMONTH($A42,0)+1)
)</f>
        <v>0</v>
      </c>
      <c r="AV42" s="177">
        <f>COUNTIFS(
    estq[empresa], AV$6,
    estq[Data da venda / reserva], "&gt;=" &amp; $A42,
    estq[Data da venda / reserva], "&lt;"  &amp; EOMONTH($A42,0) + 1
)</f>
        <v>0</v>
      </c>
      <c r="AW42" s="178">
        <f ca="1">SUMIFS(rec.uni[2024-04-01],
INDIRECT("rec.uni[natureza]"),"pro.soluto",
INDIRECT("rec.uni[empresa]"),AW$6)</f>
        <v>0</v>
      </c>
      <c r="AX42" s="178">
        <f ca="1">SUMIFS(rec.uni[2024-04-01],
INDIRECT("rec.uni[natureza]"),"repasse.cef.obra",
INDIRECT("rec.uni[empresa]"),AX$6)</f>
        <v>0</v>
      </c>
      <c r="AY42" s="178">
        <f ca="1">SUMIFS(rec.uni[2024-04-01],
INDIRECT("rec.uni[natureza]"),"repasse.cef.terreno",
INDIRECT("rec.uni[empresa]"),AY$6)</f>
        <v>0</v>
      </c>
      <c r="AZ42" s="178">
        <v>0</v>
      </c>
      <c r="BA42" s="178">
        <f ca="1">SUMIFS(rec.uni[2024-04-01],
INDIRECT("rec.uni[natureza]"),"taxa.extra",
INDIRECT("rec.uni[empresa]"),BA$6)</f>
        <v>0</v>
      </c>
      <c r="BB42" s="166"/>
      <c r="BC42" s="178" cm="1">
        <f t="array" ref="BC42">SUMPRODUCT(
  IFERROR(--desp[valor],0)*
  (desp[nucleo]="UP ESTAÇÃO SÃO LUCAS")*
  (desp[categoria]=BC$7)*
  (desp[data.pagamento]&gt;=$A42)*
  (desp[data.pagamento]&lt;EOMONTH($A42,0)+1)
)</f>
        <v>0</v>
      </c>
      <c r="BD42" s="178" cm="1">
        <f t="array" ref="BD42">SUMPRODUCT(
  IFERROR(--desp[valor],0)*
  (desp[nucleo]="UP ESTAÇÃO SÃO LUCAS")*
  (desp[categoria]=BD$7)*
  (desp[data.pagamento]&gt;=$A42)*
  (desp[data.pagamento]&lt;EOMONTH($A42,0)+1)
)</f>
        <v>0</v>
      </c>
      <c r="BE42" s="178" cm="1">
        <f t="array" ref="BE42">SUMPRODUCT(
  IFERROR(--desp[valor],0)*
  (desp[nucleo]="UP ESTAÇÃO SÃO LUCAS")*
  (desp[categoria]=BE$7)*
  (desp[data.pagamento]&gt;=$A42)*
  (desp[data.pagamento]&lt;EOMONTH($A42,0)+1)
)</f>
        <v>0</v>
      </c>
      <c r="BF42" s="178" cm="1">
        <f t="array" ref="BF42">SUMPRODUCT(
  IFERROR(--desp[valor],0)*
  (desp[nucleo]="UP ESTAÇÃO SÃO LUCAS")*
  (desp[categoria]=BF$7)*
  (desp[data.pagamento]&gt;=$A42)*
  (desp[data.pagamento]&lt;EOMONTH($A42,0)+1)
)</f>
        <v>0</v>
      </c>
      <c r="BG42" s="179" cm="1">
        <f t="array" ref="BG42">SUMPRODUCT(
  IFERROR(--desp[valor],0)*
  (desp[nucleo]="UP ESTAÇÃO SÃO LUCAS")*
  (desp[categoria]=BG$7)*
  (desp[data.pagamento]&gt;=$A42)*
  (desp[data.pagamento]&lt;EOMONTH($A42,0)+1)
)</f>
        <v>0</v>
      </c>
      <c r="BH42" s="177">
        <f>COUNTIFS(
    estq[empresa], BH$6,
    estq[Data da venda / reserva], "&gt;=" &amp; $A42,
    estq[Data da venda / reserva], "&lt;"  &amp; EOMONTH($A42,0) + 1
)</f>
        <v>0</v>
      </c>
      <c r="BI42" s="178">
        <f ca="1">SUMIFS(rec.uni[2024-04-01],
INDIRECT("rec.uni[natureza]"),"pro.soluto",
INDIRECT("rec.uni[empresa]"),BI$6)</f>
        <v>0</v>
      </c>
      <c r="BJ42" s="166">
        <v>0</v>
      </c>
      <c r="BK42" s="178">
        <f ca="1">SUMIFS(rec.uni[2024-04-01],
INDIRECT("rec.uni[natureza]"),"taxa.extra",
INDIRECT("rec.uni[empresa]"),BK$6)</f>
        <v>0</v>
      </c>
      <c r="BL42" s="166"/>
      <c r="BM42" s="178" cm="1">
        <f t="array" ref="BM42">SUMPRODUCT(
  IFERROR(--desp[valor],0)*
  (desp[nucleo]="UP POMPEIA")*
  (desp[categoria]=BM$7)*
  (desp[data.pagamento]&gt;=$A42)*
  (desp[data.pagamento]&lt;EOMONTH($A42,0)+1)
)</f>
        <v>0</v>
      </c>
      <c r="BN42" s="178" cm="1">
        <f t="array" ref="BN42">SUMPRODUCT(
  IFERROR(--desp[valor],0)*
  (desp[nucleo]="UP POMPEIA")*
  (desp[categoria]=BN$7)*
  (desp[data.pagamento]&gt;=$A42)*
  (desp[data.pagamento]&lt;EOMONTH($A42,0)+1)
)</f>
        <v>0</v>
      </c>
      <c r="BO42" s="178" cm="1">
        <f t="array" ref="BO42">SUMPRODUCT(
  IFERROR(--desp[valor],0)*
  (desp[nucleo]="UP POMPEIA")*
  (desp[categoria]=BO$7)*
  (desp[data.pagamento]&gt;=$A42)*
  (desp[data.pagamento]&lt;EOMONTH($A42,0)+1)
)</f>
        <v>0</v>
      </c>
      <c r="BP42" s="178" cm="1">
        <f t="array" ref="BP42">SUMPRODUCT(
  IFERROR(--desp[valor],0)*
  (desp[nucleo]="UP POMPEIA")*
  (desp[categoria]=BP$7)*
  (desp[data.pagamento]&gt;=$A42)*
  (desp[data.pagamento]&lt;EOMONTH($A42,0)+1)
)</f>
        <v>0</v>
      </c>
      <c r="BQ42" s="179" cm="1">
        <f t="array" ref="BQ42">SUMPRODUCT(
  IFERROR(--desp[valor],0)*
  (desp[nucleo]="UP POMPEIA")*
  (desp[categoria]=BQ$7)*
  (desp[data.pagamento]&gt;=$A42)*
  (desp[data.pagamento]&lt;EOMONTH($A42,0)+1)
)</f>
        <v>0</v>
      </c>
      <c r="BR42" s="177">
        <f>COUNTIFS(
    estq[empresa], BR$6,
    estq[Data da venda / reserva], "&gt;=" &amp; $A42,
    estq[Data da venda / reserva], "&lt;"  &amp; EOMONTH($A42,0) + 1
)</f>
        <v>0</v>
      </c>
      <c r="BS42" s="178">
        <f ca="1">SUMIFS(rec.uni[2024-04-01],
INDIRECT("rec.uni[natureza]"),"pro.soluto",
INDIRECT("rec.uni[empresa]"),BS$6)</f>
        <v>0</v>
      </c>
      <c r="BT42" s="178">
        <f ca="1">SUMIFS(rec.uni[2024-04-01],
INDIRECT("rec.uni[natureza]"),"pro.soluto",
INDIRECT("rec.uni[empresa]"),BT$6)</f>
        <v>0</v>
      </c>
      <c r="BU42" s="178">
        <f ca="1">SUMIFS(rec.uni[2024-04-01],
INDIRECT("rec.uni[natureza]"),"taxa.extra",
INDIRECT("rec.uni[empresa]"),BU$6)</f>
        <v>0</v>
      </c>
      <c r="BV42" s="166"/>
      <c r="BW42" s="178" cm="1">
        <f t="array" ref="BW42">SUMPRODUCT(
  IFERROR(--desp[valor],0)*
  (desp[nucleo]="UP SAUDE")*
  (desp[categoria]=BW$7)*
  (desp[data.pagamento]&gt;=$A42)*
  (desp[data.pagamento]&lt;EOMONTH($A42,0)+1)
)</f>
        <v>0</v>
      </c>
      <c r="BX42" s="178" cm="1">
        <f t="array" ref="BX42">SUMPRODUCT(
  IFERROR(--desp[valor],0)*
  (desp[nucleo]="UP SAUDE")*
  (desp[categoria]=BX$7)*
  (desp[data.pagamento]&gt;=$A42)*
  (desp[data.pagamento]&lt;EOMONTH($A42,0)+1)
)</f>
        <v>0</v>
      </c>
      <c r="BY42" s="178" cm="1">
        <f t="array" ref="BY42">SUMPRODUCT(
  IFERROR(--desp[valor],0)*
  (desp[nucleo]="UP SAUDE")*
  (desp[categoria]=BY$7)*
  (desp[data.pagamento]&gt;=$A42)*
  (desp[data.pagamento]&lt;EOMONTH($A42,0)+1)
)</f>
        <v>0</v>
      </c>
      <c r="BZ42" s="178" cm="1">
        <f t="array" ref="BZ42">SUMPRODUCT(
  IFERROR(--desp[valor],0)*
  (desp[nucleo]="UP SAUDE")*
  (desp[categoria]=BZ$7)*
  (desp[data.pagamento]&gt;=$A42)*
  (desp[data.pagamento]&lt;EOMONTH($A42,0)+1)
)</f>
        <v>0</v>
      </c>
      <c r="CA42" s="179" cm="1">
        <f t="array" ref="CA42">SUMPRODUCT(
  IFERROR(--desp[valor],0)*
  (desp[nucleo]="UP SAUDE")*
  (desp[categoria]=CA$7)*
  (desp[data.pagamento]&gt;=$A42)*
  (desp[data.pagamento]&lt;EOMONTH($A42,0)+1)
)</f>
        <v>0</v>
      </c>
      <c r="CB42" s="177">
        <f>COUNTIFS(
    estq[empresa], CB$6,
    estq[Data da venda / reserva], "&gt;=" &amp; $A42,
    estq[Data da venda / reserva], "&lt;"  &amp; EOMONTH($A42,0) + 1
)</f>
        <v>0</v>
      </c>
      <c r="CC42" s="178">
        <f ca="1">SUMIFS(rec.uni[2024-04-01],
INDIRECT("rec.uni[natureza]"),"pro.soluto",
INDIRECT("rec.uni[empresa]"),CC$6)</f>
        <v>0</v>
      </c>
      <c r="CD42" s="178">
        <f ca="1">SUMIFS(rec.uni[2024-04-01],
INDIRECT("rec.uni[natureza]"),"repasse.cef.obra",
INDIRECT("rec.uni[empresa]"),CD$6)</f>
        <v>0</v>
      </c>
      <c r="CE42" s="178">
        <f ca="1">SUMIFS(rec.uni[2024-04-01],
INDIRECT("rec.uni[natureza]"),"repasse.cef.terreno",
INDIRECT("rec.uni[empresa]"),CE$6)</f>
        <v>0</v>
      </c>
      <c r="CF42" s="178">
        <v>0</v>
      </c>
      <c r="CG42" s="178">
        <f ca="1">SUMIFS(rec.uni[2024-04-01],
INDIRECT("rec.uni[natureza]"),"taxa.extra",
INDIRECT("rec.uni[empresa]"),CG$6)</f>
        <v>0</v>
      </c>
      <c r="CH42" s="166"/>
      <c r="CI42" s="178" cm="1">
        <f t="array" ref="CI42">SUMPRODUCT(
  IFERROR(--desp[valor],0)*
  (desp[nucleo]="UP ESTAÇÃO VILA SONIA")*
  (desp[categoria]=CI$7)*
  (desp[data.pagamento]&gt;=$A42)*
  (desp[data.pagamento]&lt;EOMONTH($A42,0)+1)
)</f>
        <v>0</v>
      </c>
      <c r="CJ42" s="178" cm="1">
        <f t="array" ref="CJ42">SUMPRODUCT(
  IFERROR(--desp[valor],0)*
  (desp[nucleo]="UP ESTAÇÃO VILA SONIA")*
  (desp[categoria]=CJ$7)*
  (desp[data.pagamento]&gt;=$A42)*
  (desp[data.pagamento]&lt;EOMONTH($A42,0)+1)
)</f>
        <v>0</v>
      </c>
      <c r="CK42" s="178" cm="1">
        <f t="array" ref="CK42">SUMPRODUCT(
  IFERROR(--desp[valor],0)*
  (desp[nucleo]="UP ESTAÇÃO VILA SONIA")*
  (desp[categoria]=CK$7)*
  (desp[data.pagamento]&gt;=$A42)*
  (desp[data.pagamento]&lt;EOMONTH($A42,0)+1)
)</f>
        <v>0</v>
      </c>
      <c r="CL42" s="178" cm="1">
        <f t="array" ref="CL42">SUMPRODUCT(
  IFERROR(--desp[valor],0)*
  (desp[nucleo]="UP ESTAÇÃO VILA SONIA")*
  (desp[categoria]=CL$7)*
  (desp[data.pagamento]&gt;=$A42)*
  (desp[data.pagamento]&lt;EOMONTH($A42,0)+1)
)</f>
        <v>0</v>
      </c>
      <c r="CM42" s="179" cm="1">
        <f t="array" ref="CM42">SUMPRODUCT(
  IFERROR(--desp[valor],0)*
  (desp[nucleo]="UP ESTAÇÃO VILA SONIA")*
  (desp[categoria]=CM$7)*
  (desp[data.pagamento]&gt;=$A42)*
  (desp[data.pagamento]&lt;EOMONTH($A42,0)+1)
)</f>
        <v>0</v>
      </c>
      <c r="CN42" s="177">
        <f>COUNTIFS(
    estq[empresa], CN$6,
    estq[Data da venda / reserva], "&gt;=" &amp; $A42,
    estq[Data da venda / reserva], "&lt;"  &amp; EOMONTH($A42,0) + 1
)</f>
        <v>0</v>
      </c>
      <c r="CO42" s="178">
        <f ca="1">SUMIFS(rec.uni[2024-04-01],
INDIRECT("rec.uni[natureza]"),"pro.soluto",
INDIRECT("rec.uni[empresa]"),CO$6)</f>
        <v>0</v>
      </c>
      <c r="CP42" s="178">
        <f ca="1">SUMIFS(rec.uni[2024-04-01],
INDIRECT("rec.uni[natureza]"),"repasse.cef.obra",
INDIRECT("rec.uni[empresa]"),CP$6)</f>
        <v>0</v>
      </c>
      <c r="CQ42" s="178">
        <f ca="1">SUMIFS(rec.uni[2024-04-01],
INDIRECT("rec.uni[natureza]"),"repasse.cef.terreno",
INDIRECT("rec.uni[empresa]"),CQ$6)</f>
        <v>0</v>
      </c>
      <c r="CR42" s="178">
        <v>0</v>
      </c>
      <c r="CS42" s="178">
        <f ca="1">SUMIFS(rec.uni[2024-04-01],
INDIRECT("rec.uni[natureza]"),"taxa.extra",
INDIRECT("rec.uni[empresa]"),CS$6)</f>
        <v>0</v>
      </c>
      <c r="CT42" s="166"/>
      <c r="CU42" s="178" cm="1">
        <f t="array" ref="CU42">SUMPRODUCT(
  IFERROR(--desp[valor],0)*
  (desp[nucleo]="UP MOVE VILA SONIA")*
  (desp[categoria]=CU$7)*
  (desp[data.pagamento]&gt;=$A42)*
  (desp[data.pagamento]&lt;EOMONTH($A42,0)+1)
)</f>
        <v>0</v>
      </c>
      <c r="CV42" s="178" cm="1">
        <f t="array" ref="CV42">SUMPRODUCT(
  IFERROR(--desp[valor],0)*
  (desp[nucleo]="UP MOVE VILA SONIA")*
  (desp[categoria]=CV$7)*
  (desp[data.pagamento]&gt;=$A42)*
  (desp[data.pagamento]&lt;EOMONTH($A42,0)+1)
)</f>
        <v>0</v>
      </c>
      <c r="CW42" s="178" cm="1">
        <f t="array" ref="CW42">SUMPRODUCT(
  IFERROR(--desp[valor],0)*
  (desp[nucleo]="UP MOVE VILA SONIA")*
  (desp[categoria]=CW$7)*
  (desp[data.pagamento]&gt;=$A42)*
  (desp[data.pagamento]&lt;EOMONTH($A42,0)+1)
)</f>
        <v>0</v>
      </c>
      <c r="CX42" s="178" cm="1">
        <f t="array" ref="CX42">SUMPRODUCT(
  IFERROR(--desp[valor],0)*
  (desp[nucleo]="UP MOVE VILA SONIA")*
  (desp[categoria]=CX$7)*
  (desp[data.pagamento]&gt;=$A42)*
  (desp[data.pagamento]&lt;EOMONTH($A42,0)+1)
)</f>
        <v>0</v>
      </c>
      <c r="CY42" s="180" cm="1">
        <f t="array" ref="CY42">SUMPRODUCT(
  IFERROR(--desp[valor],0)*
  (desp[nucleo]="UP MOVE VILA SONIA")*
  (desp[categoria]=CY$7)*
  (desp[data.pagamento]&gt;=$A42)*
  (desp[data.pagamento]&lt;EOMONTH($A42,0)+1)
)</f>
        <v>0</v>
      </c>
    </row>
    <row r="43" spans="1:103" x14ac:dyDescent="0.25">
      <c r="A43" s="176">
        <v>45413</v>
      </c>
      <c r="B43" s="177">
        <f>COUNTIFS(
    estq[empresa], B$6,
    estq[Data da venda / reserva], "&gt;=" &amp; $A43,
    estq[Data da venda / reserva], "&lt;"  &amp; EOMONTH($A43,0) + 1
)</f>
        <v>0</v>
      </c>
      <c r="C43" s="178">
        <f ca="1">SUMIFS(rec.uni[2024-05-01],
INDIRECT("rec.uni[natureza]"),"pro.soluto",
INDIRECT("rec.uni[empresa]"),C$6)</f>
        <v>0</v>
      </c>
      <c r="D43" s="178">
        <f ca="1">SUMIFS(rec.uni[2024-05-01],
INDIRECT("rec.uni[natureza]"),"repasse.cef.obra",
INDIRECT("rec.uni[empresa]"),D$6)</f>
        <v>0</v>
      </c>
      <c r="E43" s="178">
        <f ca="1">SUMIFS(rec.uni[2024-05-01],
INDIRECT("rec.uni[natureza]"),"repasse.cef.terreno",
INDIRECT("rec.uni[empresa]"),E$6)</f>
        <v>0</v>
      </c>
      <c r="F43" s="178">
        <v>0</v>
      </c>
      <c r="G43" s="178">
        <f ca="1">SUMIFS(rec.uni[2024-05-01],
INDIRECT("rec.uni[natureza]"),"taxa.extra",
INDIRECT("rec.uni[empresa]"),G$6)</f>
        <v>0</v>
      </c>
      <c r="H43" s="166"/>
      <c r="I43" s="178" cm="1">
        <f t="array" ref="I43">SUMPRODUCT(
  IFERROR(--desp[valor],0)*
  (desp[nucleo]="UP JARDIM PRUDENCIA")*
  (desp[categoria]=I$7)*
  (desp[data.pagamento]&gt;=$A43)*
  (desp[data.pagamento]&lt;EOMONTH($A43,0)+1)
)</f>
        <v>0</v>
      </c>
      <c r="J43" s="178" cm="1">
        <f t="array" ref="J43">SUMPRODUCT(
  IFERROR(--desp[valor],0)*
  (desp[nucleo]="UP JARDIM PRUDENCIA")*
  (desp[categoria]=J$7)*
  (desp[data.pagamento]&gt;=$A43)*
  (desp[data.pagamento]&lt;EOMONTH($A43,0)+1)
)</f>
        <v>0</v>
      </c>
      <c r="K43" s="178" cm="1">
        <f t="array" ref="K43">SUMPRODUCT(
  IFERROR(--desp[valor],0)*
  (desp[nucleo]="UP JARDIM PRUDENCIA")*
  (desp[categoria]=K$7)*
  (desp[data.pagamento]&gt;=$A43)*
  (desp[data.pagamento]&lt;EOMONTH($A43,0)+1)
)</f>
        <v>0</v>
      </c>
      <c r="L43" s="178" cm="1">
        <f t="array" ref="L43">SUMPRODUCT(
  IFERROR(--desp[valor],0)*
  (desp[nucleo]="UP JARDIM PRUDENCIA")*
  (desp[categoria]=L$7)*
  (desp[data.pagamento]&gt;=$A43)*
  (desp[data.pagamento]&lt;EOMONTH($A43,0)+1)
)</f>
        <v>0</v>
      </c>
      <c r="M43" s="179" cm="1">
        <f t="array" ref="M43">SUMPRODUCT(
  IFERROR(--desp[valor],0)*
  (desp[nucleo]="UP JARDIM PRUDENCIA")*
  (desp[categoria]=M$7)*
  (desp[data.pagamento]&gt;=$A43)*
  (desp[data.pagamento]&lt;EOMONTH($A43,0)+1)
)</f>
        <v>0</v>
      </c>
      <c r="N43" s="177">
        <f>COUNTIFS(
    estq[empresa], N$6,
    estq[Data da venda / reserva], "&gt;=" &amp; $A43,
    estq[Data da venda / reserva], "&lt;"  &amp; EOMONTH($A43,0) + 1
)</f>
        <v>0</v>
      </c>
      <c r="O43" s="178">
        <f ca="1">SUMIFS(rec.uni[2024-05-01],
INDIRECT("rec.uni[natureza]"),"pro.soluto",
INDIRECT("rec.uni[empresa]"),O$6)</f>
        <v>0</v>
      </c>
      <c r="P43" s="178">
        <f ca="1">SUMIFS(rec.uni[2024-05-01],
INDIRECT("rec.uni[natureza]"),"repasse.cef.obra",
INDIRECT("rec.uni[empresa]"),P$6)</f>
        <v>0</v>
      </c>
      <c r="Q43" s="178">
        <f ca="1">SUMIFS(rec.uni[2024-05-01],
INDIRECT("rec.uni[natureza]"),"repasse.cef.terreno",
INDIRECT("rec.uni[empresa]"),Q$6)</f>
        <v>0</v>
      </c>
      <c r="R43" s="178">
        <v>0</v>
      </c>
      <c r="S43" s="178">
        <f ca="1">SUMIFS(rec.uni[2024-05-01],
INDIRECT("rec.uni[natureza]"),"taxa.extra",
INDIRECT("rec.uni[empresa]"),S$6)</f>
        <v>0</v>
      </c>
      <c r="T43" s="166"/>
      <c r="U43" s="178" cm="1">
        <f t="array" ref="U43">SUMPRODUCT(
  IFERROR(--desp[valor],0)*
  (desp[nucleo]="UP VILA SONIA")*
  (desp[categoria]=U$7)*
  (desp[data.pagamento]&gt;=$A43)*
  (desp[data.pagamento]&lt;EOMONTH($A43,0)+1)
)</f>
        <v>0</v>
      </c>
      <c r="V43" s="178" cm="1">
        <f t="array" ref="V43">SUMPRODUCT(
  IFERROR(--desp[valor],0)*
  (desp[nucleo]="UP VILA SONIA")*
  (desp[categoria]=V$7)*
  (desp[data.pagamento]&gt;=$A43)*
  (desp[data.pagamento]&lt;EOMONTH($A43,0)+1)
)</f>
        <v>0</v>
      </c>
      <c r="W43" s="178" cm="1">
        <f t="array" ref="W43">SUMPRODUCT(
  IFERROR(--desp[valor],0)*
  (desp[nucleo]="UP VILA SONIA")*
  (desp[categoria]=W$7)*
  (desp[data.pagamento]&gt;=$A43)*
  (desp[data.pagamento]&lt;EOMONTH($A43,0)+1)
)</f>
        <v>0</v>
      </c>
      <c r="X43" s="178" cm="1">
        <f t="array" ref="X43">SUMPRODUCT(
  IFERROR(--desp[valor],0)*
  (desp[nucleo]="UP VILA SONIA")*
  (desp[categoria]=X$7)*
  (desp[data.pagamento]&gt;=$A43)*
  (desp[data.pagamento]&lt;EOMONTH($A43,0)+1)
)</f>
        <v>0</v>
      </c>
      <c r="Y43" s="179" cm="1">
        <f t="array" ref="Y43">SUMPRODUCT(
  IFERROR(--desp[valor],0)*
  (desp[nucleo]="UP VILA SONIA")*
  (desp[categoria]=Y$7)*
  (desp[data.pagamento]&gt;=$A43)*
  (desp[data.pagamento]&lt;EOMONTH($A43,0)+1)
)</f>
        <v>0</v>
      </c>
      <c r="Z43" s="177">
        <f>COUNTIFS(
    estq[empresa], Z$6,
    estq[Data da venda / reserva], "&gt;=" &amp; $A43,
    estq[Data da venda / reserva], "&lt;"  &amp; EOMONTH($A43,0) + 1
)</f>
        <v>0</v>
      </c>
      <c r="AA43" s="178">
        <f ca="1">SUMIFS(rec.uni[2024-05-01],
INDIRECT("rec.uni[natureza]"),"pro.soluto",
INDIRECT("rec.uni[empresa]"),AA$6)</f>
        <v>0</v>
      </c>
      <c r="AB43" s="178">
        <f ca="1">SUMIFS(rec.uni[2024-05-01],
INDIRECT("rec.uni[natureza]"),"pro.soluto",
INDIRECT("rec.uni[empresa]"),AB$6)</f>
        <v>0</v>
      </c>
      <c r="AC43" s="178">
        <f ca="1">SUMIFS(rec.uni[2024-05-01],
INDIRECT("rec.uni[natureza]"),"taxa.extra",
INDIRECT("rec.uni[empresa]"),AC$6)</f>
        <v>0</v>
      </c>
      <c r="AD43" s="166"/>
      <c r="AE43" s="178" cm="1">
        <f t="array" ref="AE43">SUMPRODUCT(
  IFERROR(--desp[valor],0)*
  (desp[nucleo]="UP CAMPO BELO")*
  (desp[categoria]=AE$7)*
  (desp[data.pagamento]&gt;=$A43)*
  (desp[data.pagamento]&lt;EOMONTH($A43,0)+1)
)</f>
        <v>0</v>
      </c>
      <c r="AF43" s="178" cm="1">
        <f t="array" ref="AF43">SUMPRODUCT(
  IFERROR(--desp[valor],0)*
  (desp[nucleo]="UP CAMPO BELO")*
  (desp[categoria]=AF$7)*
  (desp[data.pagamento]&gt;=$A43)*
  (desp[data.pagamento]&lt;EOMONTH($A43,0)+1)
)</f>
        <v>0</v>
      </c>
      <c r="AG43" s="178" cm="1">
        <f t="array" ref="AG43">SUMPRODUCT(
  IFERROR(--desp[valor],0)*
  (desp[nucleo]="UP CAMPO BELO")*
  (desp[categoria]=AG$7)*
  (desp[data.pagamento]&gt;=$A43)*
  (desp[data.pagamento]&lt;EOMONTH($A43,0)+1)
)</f>
        <v>0</v>
      </c>
      <c r="AH43" s="178" cm="1">
        <f t="array" ref="AH43">SUMPRODUCT(
  IFERROR(--desp[valor],0)*
  (desp[nucleo]="UP CAMPO BELO")*
  (desp[categoria]=AH$7)*
  (desp[data.pagamento]&gt;=$A43)*
  (desp[data.pagamento]&lt;EOMONTH($A43,0)+1)
)</f>
        <v>0</v>
      </c>
      <c r="AI43" s="179" cm="1">
        <f t="array" ref="AI43">SUMPRODUCT(
  IFERROR(--desp[valor],0)*
  (desp[nucleo]="UP CAMPO BELO")*
  (desp[categoria]=AI$7)*
  (desp[data.pagamento]&gt;=$A43)*
  (desp[data.pagamento]&lt;EOMONTH($A43,0)+1)
)</f>
        <v>0</v>
      </c>
      <c r="AJ43" s="177">
        <f>COUNTIFS(
    estq[empresa], AJ$6,
    estq[Data da venda / reserva], "&gt;=" &amp; $A43,
    estq[Data da venda / reserva], "&lt;"  &amp; EOMONTH($A43,0) + 1
)</f>
        <v>0</v>
      </c>
      <c r="AK43" s="178">
        <f ca="1">SUMIFS(rec.uni[2024-05-01],
INDIRECT("rec.uni[natureza]"),"pro.soluto",
INDIRECT("rec.uni[empresa]"),AK$6)</f>
        <v>0</v>
      </c>
      <c r="AL43" s="178">
        <f ca="1">SUMIFS(rec.uni[2024-05-01],
INDIRECT("rec.uni[natureza]"),"repasse.cef.obra",
INDIRECT("rec.uni[empresa]"),AL$6)</f>
        <v>0</v>
      </c>
      <c r="AM43" s="178">
        <f ca="1">SUMIFS(rec.uni[2024-05-01],
INDIRECT("rec.uni[natureza]"),"repasse.cef.terreno",
INDIRECT("rec.uni[empresa]"),AM$6)</f>
        <v>0</v>
      </c>
      <c r="AN43" s="178">
        <v>0</v>
      </c>
      <c r="AO43" s="178">
        <f ca="1">SUMIFS(rec.uni[2024-05-01],
INDIRECT("rec.uni[natureza]"),"taxa.extra",
INDIRECT("rec.uni[empresa]"),AO$6)</f>
        <v>0</v>
      </c>
      <c r="AP43" s="166"/>
      <c r="AQ43" s="178" cm="1">
        <f t="array" ref="AQ43">SUMPRODUCT(
  IFERROR(--desp[valor],0)*
  (desp[nucleo]="UP SELECT VILA SONIA")*
  (desp[categoria]=AQ$7)*
  (desp[data.pagamento]&gt;=$A43)*
  (desp[data.pagamento]&lt;EOMONTH($A43,0)+1)
)</f>
        <v>0</v>
      </c>
      <c r="AR43" s="178" cm="1">
        <f t="array" ref="AR43">SUMPRODUCT(
  IFERROR(--desp[valor],0)*
  (desp[nucleo]="UP SELECT VILA SONIA")*
  (desp[categoria]=AR$7)*
  (desp[data.pagamento]&gt;=$A43)*
  (desp[data.pagamento]&lt;EOMONTH($A43,0)+1)
)</f>
        <v>0</v>
      </c>
      <c r="AS43" s="178" cm="1">
        <f t="array" ref="AS43">SUMPRODUCT(
  IFERROR(--desp[valor],0)*
  (desp[nucleo]="UP SELECT VILA SONIA")*
  (desp[categoria]=AS$7)*
  (desp[data.pagamento]&gt;=$A43)*
  (desp[data.pagamento]&lt;EOMONTH($A43,0)+1)
)</f>
        <v>0</v>
      </c>
      <c r="AT43" s="178" cm="1">
        <f t="array" ref="AT43">SUMPRODUCT(
  IFERROR(--desp[valor],0)*
  (desp[nucleo]="UP SELECT VILA SONIA")*
  (desp[categoria]=AT$7)*
  (desp[data.pagamento]&gt;=$A43)*
  (desp[data.pagamento]&lt;EOMONTH($A43,0)+1)
)</f>
        <v>0</v>
      </c>
      <c r="AU43" s="179" cm="1">
        <f t="array" ref="AU43">SUMPRODUCT(
  IFERROR(--desp[valor],0)*
  (desp[nucleo]="UP SELECT VILA SONIA")*
  (desp[categoria]=AU$7)*
  (desp[data.pagamento]&gt;=$A43)*
  (desp[data.pagamento]&lt;EOMONTH($A43,0)+1)
)</f>
        <v>0</v>
      </c>
      <c r="AV43" s="177">
        <f>COUNTIFS(
    estq[empresa], AV$6,
    estq[Data da venda / reserva], "&gt;=" &amp; $A43,
    estq[Data da venda / reserva], "&lt;"  &amp; EOMONTH($A43,0) + 1
)</f>
        <v>0</v>
      </c>
      <c r="AW43" s="178">
        <f ca="1">SUMIFS(rec.uni[2024-05-01],
INDIRECT("rec.uni[natureza]"),"pro.soluto",
INDIRECT("rec.uni[empresa]"),AW$6)</f>
        <v>0</v>
      </c>
      <c r="AX43" s="178">
        <f ca="1">SUMIFS(rec.uni[2024-05-01],
INDIRECT("rec.uni[natureza]"),"repasse.cef.obra",
INDIRECT("rec.uni[empresa]"),AX$6)</f>
        <v>0</v>
      </c>
      <c r="AY43" s="178">
        <f ca="1">SUMIFS(rec.uni[2024-05-01],
INDIRECT("rec.uni[natureza]"),"repasse.cef.terreno",
INDIRECT("rec.uni[empresa]"),AY$6)</f>
        <v>0</v>
      </c>
      <c r="AZ43" s="178">
        <v>0</v>
      </c>
      <c r="BA43" s="178">
        <f ca="1">SUMIFS(rec.uni[2024-05-01],
INDIRECT("rec.uni[natureza]"),"taxa.extra",
INDIRECT("rec.uni[empresa]"),BA$6)</f>
        <v>0</v>
      </c>
      <c r="BB43" s="166"/>
      <c r="BC43" s="178" cm="1">
        <f t="array" ref="BC43">SUMPRODUCT(
  IFERROR(--desp[valor],0)*
  (desp[nucleo]="UP ESTAÇÃO SÃO LUCAS")*
  (desp[categoria]=BC$7)*
  (desp[data.pagamento]&gt;=$A43)*
  (desp[data.pagamento]&lt;EOMONTH($A43,0)+1)
)</f>
        <v>0</v>
      </c>
      <c r="BD43" s="178" cm="1">
        <f t="array" ref="BD43">SUMPRODUCT(
  IFERROR(--desp[valor],0)*
  (desp[nucleo]="UP ESTAÇÃO SÃO LUCAS")*
  (desp[categoria]=BD$7)*
  (desp[data.pagamento]&gt;=$A43)*
  (desp[data.pagamento]&lt;EOMONTH($A43,0)+1)
)</f>
        <v>0</v>
      </c>
      <c r="BE43" s="178" cm="1">
        <f t="array" ref="BE43">SUMPRODUCT(
  IFERROR(--desp[valor],0)*
  (desp[nucleo]="UP ESTAÇÃO SÃO LUCAS")*
  (desp[categoria]=BE$7)*
  (desp[data.pagamento]&gt;=$A43)*
  (desp[data.pagamento]&lt;EOMONTH($A43,0)+1)
)</f>
        <v>0</v>
      </c>
      <c r="BF43" s="178" cm="1">
        <f t="array" ref="BF43">SUMPRODUCT(
  IFERROR(--desp[valor],0)*
  (desp[nucleo]="UP ESTAÇÃO SÃO LUCAS")*
  (desp[categoria]=BF$7)*
  (desp[data.pagamento]&gt;=$A43)*
  (desp[data.pagamento]&lt;EOMONTH($A43,0)+1)
)</f>
        <v>0</v>
      </c>
      <c r="BG43" s="179" cm="1">
        <f t="array" ref="BG43">SUMPRODUCT(
  IFERROR(--desp[valor],0)*
  (desp[nucleo]="UP ESTAÇÃO SÃO LUCAS")*
  (desp[categoria]=BG$7)*
  (desp[data.pagamento]&gt;=$A43)*
  (desp[data.pagamento]&lt;EOMONTH($A43,0)+1)
)</f>
        <v>0</v>
      </c>
      <c r="BH43" s="177">
        <f>COUNTIFS(
    estq[empresa], BH$6,
    estq[Data da venda / reserva], "&gt;=" &amp; $A43,
    estq[Data da venda / reserva], "&lt;"  &amp; EOMONTH($A43,0) + 1
)</f>
        <v>0</v>
      </c>
      <c r="BI43" s="178">
        <f ca="1">SUMIFS(rec.uni[2024-05-01],
INDIRECT("rec.uni[natureza]"),"pro.soluto",
INDIRECT("rec.uni[empresa]"),BI$6)</f>
        <v>0</v>
      </c>
      <c r="BJ43" s="166">
        <v>0</v>
      </c>
      <c r="BK43" s="178">
        <f ca="1">SUMIFS(rec.uni[2024-05-01],
INDIRECT("rec.uni[natureza]"),"taxa.extra",
INDIRECT("rec.uni[empresa]"),BK$6)</f>
        <v>0</v>
      </c>
      <c r="BL43" s="166"/>
      <c r="BM43" s="178" cm="1">
        <f t="array" ref="BM43">SUMPRODUCT(
  IFERROR(--desp[valor],0)*
  (desp[nucleo]="UP POMPEIA")*
  (desp[categoria]=BM$7)*
  (desp[data.pagamento]&gt;=$A43)*
  (desp[data.pagamento]&lt;EOMONTH($A43,0)+1)
)</f>
        <v>0</v>
      </c>
      <c r="BN43" s="178" cm="1">
        <f t="array" ref="BN43">SUMPRODUCT(
  IFERROR(--desp[valor],0)*
  (desp[nucleo]="UP POMPEIA")*
  (desp[categoria]=BN$7)*
  (desp[data.pagamento]&gt;=$A43)*
  (desp[data.pagamento]&lt;EOMONTH($A43,0)+1)
)</f>
        <v>0</v>
      </c>
      <c r="BO43" s="178" cm="1">
        <f t="array" ref="BO43">SUMPRODUCT(
  IFERROR(--desp[valor],0)*
  (desp[nucleo]="UP POMPEIA")*
  (desp[categoria]=BO$7)*
  (desp[data.pagamento]&gt;=$A43)*
  (desp[data.pagamento]&lt;EOMONTH($A43,0)+1)
)</f>
        <v>0</v>
      </c>
      <c r="BP43" s="178" cm="1">
        <f t="array" ref="BP43">SUMPRODUCT(
  IFERROR(--desp[valor],0)*
  (desp[nucleo]="UP POMPEIA")*
  (desp[categoria]=BP$7)*
  (desp[data.pagamento]&gt;=$A43)*
  (desp[data.pagamento]&lt;EOMONTH($A43,0)+1)
)</f>
        <v>0</v>
      </c>
      <c r="BQ43" s="179" cm="1">
        <f t="array" ref="BQ43">SUMPRODUCT(
  IFERROR(--desp[valor],0)*
  (desp[nucleo]="UP POMPEIA")*
  (desp[categoria]=BQ$7)*
  (desp[data.pagamento]&gt;=$A43)*
  (desp[data.pagamento]&lt;EOMONTH($A43,0)+1)
)</f>
        <v>0</v>
      </c>
      <c r="BR43" s="177">
        <f>COUNTIFS(
    estq[empresa], BR$6,
    estq[Data da venda / reserva], "&gt;=" &amp; $A43,
    estq[Data da venda / reserva], "&lt;"  &amp; EOMONTH($A43,0) + 1
)</f>
        <v>0</v>
      </c>
      <c r="BS43" s="178">
        <f ca="1">SUMIFS(rec.uni[2024-05-01],
INDIRECT("rec.uni[natureza]"),"pro.soluto",
INDIRECT("rec.uni[empresa]"),BS$6)</f>
        <v>0</v>
      </c>
      <c r="BT43" s="178">
        <f ca="1">SUMIFS(rec.uni[2024-05-01],
INDIRECT("rec.uni[natureza]"),"pro.soluto",
INDIRECT("rec.uni[empresa]"),BT$6)</f>
        <v>0</v>
      </c>
      <c r="BU43" s="178">
        <f ca="1">SUMIFS(rec.uni[2024-05-01],
INDIRECT("rec.uni[natureza]"),"taxa.extra",
INDIRECT("rec.uni[empresa]"),BU$6)</f>
        <v>0</v>
      </c>
      <c r="BV43" s="166"/>
      <c r="BW43" s="178" cm="1">
        <f t="array" ref="BW43">SUMPRODUCT(
  IFERROR(--desp[valor],0)*
  (desp[nucleo]="UP SAUDE")*
  (desp[categoria]=BW$7)*
  (desp[data.pagamento]&gt;=$A43)*
  (desp[data.pagamento]&lt;EOMONTH($A43,0)+1)
)</f>
        <v>0</v>
      </c>
      <c r="BX43" s="178" cm="1">
        <f t="array" ref="BX43">SUMPRODUCT(
  IFERROR(--desp[valor],0)*
  (desp[nucleo]="UP SAUDE")*
  (desp[categoria]=BX$7)*
  (desp[data.pagamento]&gt;=$A43)*
  (desp[data.pagamento]&lt;EOMONTH($A43,0)+1)
)</f>
        <v>0</v>
      </c>
      <c r="BY43" s="178" cm="1">
        <f t="array" ref="BY43">SUMPRODUCT(
  IFERROR(--desp[valor],0)*
  (desp[nucleo]="UP SAUDE")*
  (desp[categoria]=BY$7)*
  (desp[data.pagamento]&gt;=$A43)*
  (desp[data.pagamento]&lt;EOMONTH($A43,0)+1)
)</f>
        <v>0</v>
      </c>
      <c r="BZ43" s="178" cm="1">
        <f t="array" ref="BZ43">SUMPRODUCT(
  IFERROR(--desp[valor],0)*
  (desp[nucleo]="UP SAUDE")*
  (desp[categoria]=BZ$7)*
  (desp[data.pagamento]&gt;=$A43)*
  (desp[data.pagamento]&lt;EOMONTH($A43,0)+1)
)</f>
        <v>0</v>
      </c>
      <c r="CA43" s="179" cm="1">
        <f t="array" ref="CA43">SUMPRODUCT(
  IFERROR(--desp[valor],0)*
  (desp[nucleo]="UP SAUDE")*
  (desp[categoria]=CA$7)*
  (desp[data.pagamento]&gt;=$A43)*
  (desp[data.pagamento]&lt;EOMONTH($A43,0)+1)
)</f>
        <v>0</v>
      </c>
      <c r="CB43" s="177">
        <f>COUNTIFS(
    estq[empresa], CB$6,
    estq[Data da venda / reserva], "&gt;=" &amp; $A43,
    estq[Data da venda / reserva], "&lt;"  &amp; EOMONTH($A43,0) + 1
)</f>
        <v>0</v>
      </c>
      <c r="CC43" s="178">
        <f ca="1">SUMIFS(rec.uni[2024-05-01],
INDIRECT("rec.uni[natureza]"),"pro.soluto",
INDIRECT("rec.uni[empresa]"),CC$6)</f>
        <v>0</v>
      </c>
      <c r="CD43" s="178">
        <f ca="1">SUMIFS(rec.uni[2024-05-01],
INDIRECT("rec.uni[natureza]"),"repasse.cef.obra",
INDIRECT("rec.uni[empresa]"),CD$6)</f>
        <v>0</v>
      </c>
      <c r="CE43" s="178">
        <f ca="1">SUMIFS(rec.uni[2024-05-01],
INDIRECT("rec.uni[natureza]"),"repasse.cef.terreno",
INDIRECT("rec.uni[empresa]"),CE$6)</f>
        <v>0</v>
      </c>
      <c r="CF43" s="178">
        <v>0</v>
      </c>
      <c r="CG43" s="178">
        <f ca="1">SUMIFS(rec.uni[2024-05-01],
INDIRECT("rec.uni[natureza]"),"taxa.extra",
INDIRECT("rec.uni[empresa]"),CG$6)</f>
        <v>0</v>
      </c>
      <c r="CH43" s="166"/>
      <c r="CI43" s="178" cm="1">
        <f t="array" ref="CI43">SUMPRODUCT(
  IFERROR(--desp[valor],0)*
  (desp[nucleo]="UP ESTAÇÃO VILA SONIA")*
  (desp[categoria]=CI$7)*
  (desp[data.pagamento]&gt;=$A43)*
  (desp[data.pagamento]&lt;EOMONTH($A43,0)+1)
)</f>
        <v>0</v>
      </c>
      <c r="CJ43" s="178" cm="1">
        <f t="array" ref="CJ43">SUMPRODUCT(
  IFERROR(--desp[valor],0)*
  (desp[nucleo]="UP ESTAÇÃO VILA SONIA")*
  (desp[categoria]=CJ$7)*
  (desp[data.pagamento]&gt;=$A43)*
  (desp[data.pagamento]&lt;EOMONTH($A43,0)+1)
)</f>
        <v>0</v>
      </c>
      <c r="CK43" s="178" cm="1">
        <f t="array" ref="CK43">SUMPRODUCT(
  IFERROR(--desp[valor],0)*
  (desp[nucleo]="UP ESTAÇÃO VILA SONIA")*
  (desp[categoria]=CK$7)*
  (desp[data.pagamento]&gt;=$A43)*
  (desp[data.pagamento]&lt;EOMONTH($A43,0)+1)
)</f>
        <v>0</v>
      </c>
      <c r="CL43" s="178" cm="1">
        <f t="array" ref="CL43">SUMPRODUCT(
  IFERROR(--desp[valor],0)*
  (desp[nucleo]="UP ESTAÇÃO VILA SONIA")*
  (desp[categoria]=CL$7)*
  (desp[data.pagamento]&gt;=$A43)*
  (desp[data.pagamento]&lt;EOMONTH($A43,0)+1)
)</f>
        <v>0</v>
      </c>
      <c r="CM43" s="179" cm="1">
        <f t="array" ref="CM43">SUMPRODUCT(
  IFERROR(--desp[valor],0)*
  (desp[nucleo]="UP ESTAÇÃO VILA SONIA")*
  (desp[categoria]=CM$7)*
  (desp[data.pagamento]&gt;=$A43)*
  (desp[data.pagamento]&lt;EOMONTH($A43,0)+1)
)</f>
        <v>0</v>
      </c>
      <c r="CN43" s="177">
        <f>COUNTIFS(
    estq[empresa], CN$6,
    estq[Data da venda / reserva], "&gt;=" &amp; $A43,
    estq[Data da venda / reserva], "&lt;"  &amp; EOMONTH($A43,0) + 1
)</f>
        <v>0</v>
      </c>
      <c r="CO43" s="178">
        <f ca="1">SUMIFS(rec.uni[2024-05-01],
INDIRECT("rec.uni[natureza]"),"pro.soluto",
INDIRECT("rec.uni[empresa]"),CO$6)</f>
        <v>0</v>
      </c>
      <c r="CP43" s="178">
        <f ca="1">SUMIFS(rec.uni[2024-05-01],
INDIRECT("rec.uni[natureza]"),"repasse.cef.obra",
INDIRECT("rec.uni[empresa]"),CP$6)</f>
        <v>0</v>
      </c>
      <c r="CQ43" s="178">
        <f ca="1">SUMIFS(rec.uni[2024-05-01],
INDIRECT("rec.uni[natureza]"),"repasse.cef.terreno",
INDIRECT("rec.uni[empresa]"),CQ$6)</f>
        <v>0</v>
      </c>
      <c r="CR43" s="178">
        <v>0</v>
      </c>
      <c r="CS43" s="178">
        <f ca="1">SUMIFS(rec.uni[2024-05-01],
INDIRECT("rec.uni[natureza]"),"taxa.extra",
INDIRECT("rec.uni[empresa]"),CS$6)</f>
        <v>0</v>
      </c>
      <c r="CT43" s="166"/>
      <c r="CU43" s="178" cm="1">
        <f t="array" ref="CU43">SUMPRODUCT(
  IFERROR(--desp[valor],0)*
  (desp[nucleo]="UP MOVE VILA SONIA")*
  (desp[categoria]=CU$7)*
  (desp[data.pagamento]&gt;=$A43)*
  (desp[data.pagamento]&lt;EOMONTH($A43,0)+1)
)</f>
        <v>0</v>
      </c>
      <c r="CV43" s="178" cm="1">
        <f t="array" ref="CV43">SUMPRODUCT(
  IFERROR(--desp[valor],0)*
  (desp[nucleo]="UP MOVE VILA SONIA")*
  (desp[categoria]=CV$7)*
  (desp[data.pagamento]&gt;=$A43)*
  (desp[data.pagamento]&lt;EOMONTH($A43,0)+1)
)</f>
        <v>0</v>
      </c>
      <c r="CW43" s="178" cm="1">
        <f t="array" ref="CW43">SUMPRODUCT(
  IFERROR(--desp[valor],0)*
  (desp[nucleo]="UP MOVE VILA SONIA")*
  (desp[categoria]=CW$7)*
  (desp[data.pagamento]&gt;=$A43)*
  (desp[data.pagamento]&lt;EOMONTH($A43,0)+1)
)</f>
        <v>0</v>
      </c>
      <c r="CX43" s="178" cm="1">
        <f t="array" ref="CX43">SUMPRODUCT(
  IFERROR(--desp[valor],0)*
  (desp[nucleo]="UP MOVE VILA SONIA")*
  (desp[categoria]=CX$7)*
  (desp[data.pagamento]&gt;=$A43)*
  (desp[data.pagamento]&lt;EOMONTH($A43,0)+1)
)</f>
        <v>0</v>
      </c>
      <c r="CY43" s="180" cm="1">
        <f t="array" ref="CY43">SUMPRODUCT(
  IFERROR(--desp[valor],0)*
  (desp[nucleo]="UP MOVE VILA SONIA")*
  (desp[categoria]=CY$7)*
  (desp[data.pagamento]&gt;=$A43)*
  (desp[data.pagamento]&lt;EOMONTH($A43,0)+1)
)</f>
        <v>0</v>
      </c>
    </row>
    <row r="44" spans="1:103" x14ac:dyDescent="0.25">
      <c r="A44" s="176">
        <v>45444</v>
      </c>
      <c r="B44" s="177">
        <f>COUNTIFS(
    estq[empresa], B$6,
    estq[Data da venda / reserva], "&gt;=" &amp; $A44,
    estq[Data da venda / reserva], "&lt;"  &amp; EOMONTH($A44,0) + 1
)</f>
        <v>0</v>
      </c>
      <c r="C44" s="178">
        <f ca="1">SUMIFS(rec.uni[2024-06-01],
INDIRECT("rec.uni[natureza]"),"pro.soluto",
INDIRECT("rec.uni[empresa]"),C$6)</f>
        <v>0</v>
      </c>
      <c r="D44" s="178">
        <f ca="1">SUMIFS(rec.uni[2024-06-01],
INDIRECT("rec.uni[natureza]"),"repasse.cef.obra",
INDIRECT("rec.uni[empresa]"),D$6)</f>
        <v>0</v>
      </c>
      <c r="E44" s="178">
        <f ca="1">SUMIFS(rec.uni[2024-06-01],
INDIRECT("rec.uni[natureza]"),"repasse.cef.terreno",
INDIRECT("rec.uni[empresa]"),E$6)</f>
        <v>0</v>
      </c>
      <c r="F44" s="178">
        <v>0</v>
      </c>
      <c r="G44" s="178">
        <f ca="1">SUMIFS(rec.uni[2024-06-01],
INDIRECT("rec.uni[natureza]"),"taxa.extra",
INDIRECT("rec.uni[empresa]"),G$6)</f>
        <v>0</v>
      </c>
      <c r="H44" s="166"/>
      <c r="I44" s="178" cm="1">
        <f t="array" ref="I44">SUMPRODUCT(
  IFERROR(--desp[valor],0)*
  (desp[nucleo]="UP JARDIM PRUDENCIA")*
  (desp[categoria]=I$7)*
  (desp[data.pagamento]&gt;=$A44)*
  (desp[data.pagamento]&lt;EOMONTH($A44,0)+1)
)</f>
        <v>0</v>
      </c>
      <c r="J44" s="178" cm="1">
        <f t="array" ref="J44">SUMPRODUCT(
  IFERROR(--desp[valor],0)*
  (desp[nucleo]="UP JARDIM PRUDENCIA")*
  (desp[categoria]=J$7)*
  (desp[data.pagamento]&gt;=$A44)*
  (desp[data.pagamento]&lt;EOMONTH($A44,0)+1)
)</f>
        <v>0</v>
      </c>
      <c r="K44" s="178" cm="1">
        <f t="array" ref="K44">SUMPRODUCT(
  IFERROR(--desp[valor],0)*
  (desp[nucleo]="UP JARDIM PRUDENCIA")*
  (desp[categoria]=K$7)*
  (desp[data.pagamento]&gt;=$A44)*
  (desp[data.pagamento]&lt;EOMONTH($A44,0)+1)
)</f>
        <v>0</v>
      </c>
      <c r="L44" s="178" cm="1">
        <f t="array" ref="L44">SUMPRODUCT(
  IFERROR(--desp[valor],0)*
  (desp[nucleo]="UP JARDIM PRUDENCIA")*
  (desp[categoria]=L$7)*
  (desp[data.pagamento]&gt;=$A44)*
  (desp[data.pagamento]&lt;EOMONTH($A44,0)+1)
)</f>
        <v>0</v>
      </c>
      <c r="M44" s="179" cm="1">
        <f t="array" ref="M44">SUMPRODUCT(
  IFERROR(--desp[valor],0)*
  (desp[nucleo]="UP JARDIM PRUDENCIA")*
  (desp[categoria]=M$7)*
  (desp[data.pagamento]&gt;=$A44)*
  (desp[data.pagamento]&lt;EOMONTH($A44,0)+1)
)</f>
        <v>0</v>
      </c>
      <c r="N44" s="177">
        <f>COUNTIFS(
    estq[empresa], N$6,
    estq[Data da venda / reserva], "&gt;=" &amp; $A44,
    estq[Data da venda / reserva], "&lt;"  &amp; EOMONTH($A44,0) + 1
)</f>
        <v>0</v>
      </c>
      <c r="O44" s="178">
        <f ca="1">SUMIFS(rec.uni[2024-06-01],
INDIRECT("rec.uni[natureza]"),"pro.soluto",
INDIRECT("rec.uni[empresa]"),O$6)</f>
        <v>0</v>
      </c>
      <c r="P44" s="178">
        <f ca="1">SUMIFS(rec.uni[2024-06-01],
INDIRECT("rec.uni[natureza]"),"repasse.cef.obra",
INDIRECT("rec.uni[empresa]"),P$6)</f>
        <v>0</v>
      </c>
      <c r="Q44" s="178">
        <f ca="1">SUMIFS(rec.uni[2024-06-01],
INDIRECT("rec.uni[natureza]"),"repasse.cef.terreno",
INDIRECT("rec.uni[empresa]"),Q$6)</f>
        <v>0</v>
      </c>
      <c r="R44" s="178">
        <v>0</v>
      </c>
      <c r="S44" s="178">
        <f ca="1">SUMIFS(rec.uni[2024-06-01],
INDIRECT("rec.uni[natureza]"),"taxa.extra",
INDIRECT("rec.uni[empresa]"),S$6)</f>
        <v>0</v>
      </c>
      <c r="T44" s="166"/>
      <c r="U44" s="178" cm="1">
        <f t="array" ref="U44">SUMPRODUCT(
  IFERROR(--desp[valor],0)*
  (desp[nucleo]="UP VILA SONIA")*
  (desp[categoria]=U$7)*
  (desp[data.pagamento]&gt;=$A44)*
  (desp[data.pagamento]&lt;EOMONTH($A44,0)+1)
)</f>
        <v>0</v>
      </c>
      <c r="V44" s="178" cm="1">
        <f t="array" ref="V44">SUMPRODUCT(
  IFERROR(--desp[valor],0)*
  (desp[nucleo]="UP VILA SONIA")*
  (desp[categoria]=V$7)*
  (desp[data.pagamento]&gt;=$A44)*
  (desp[data.pagamento]&lt;EOMONTH($A44,0)+1)
)</f>
        <v>0</v>
      </c>
      <c r="W44" s="178" cm="1">
        <f t="array" ref="W44">SUMPRODUCT(
  IFERROR(--desp[valor],0)*
  (desp[nucleo]="UP VILA SONIA")*
  (desp[categoria]=W$7)*
  (desp[data.pagamento]&gt;=$A44)*
  (desp[data.pagamento]&lt;EOMONTH($A44,0)+1)
)</f>
        <v>0</v>
      </c>
      <c r="X44" s="178" cm="1">
        <f t="array" ref="X44">SUMPRODUCT(
  IFERROR(--desp[valor],0)*
  (desp[nucleo]="UP VILA SONIA")*
  (desp[categoria]=X$7)*
  (desp[data.pagamento]&gt;=$A44)*
  (desp[data.pagamento]&lt;EOMONTH($A44,0)+1)
)</f>
        <v>0</v>
      </c>
      <c r="Y44" s="179" cm="1">
        <f t="array" ref="Y44">SUMPRODUCT(
  IFERROR(--desp[valor],0)*
  (desp[nucleo]="UP VILA SONIA")*
  (desp[categoria]=Y$7)*
  (desp[data.pagamento]&gt;=$A44)*
  (desp[data.pagamento]&lt;EOMONTH($A44,0)+1)
)</f>
        <v>0</v>
      </c>
      <c r="Z44" s="177">
        <f>COUNTIFS(
    estq[empresa], Z$6,
    estq[Data da venda / reserva], "&gt;=" &amp; $A44,
    estq[Data da venda / reserva], "&lt;"  &amp; EOMONTH($A44,0) + 1
)</f>
        <v>0</v>
      </c>
      <c r="AA44" s="178">
        <f ca="1">SUMIFS(rec.uni[2024-06-01],
INDIRECT("rec.uni[natureza]"),"pro.soluto",
INDIRECT("rec.uni[empresa]"),AA$6)</f>
        <v>0</v>
      </c>
      <c r="AB44" s="178">
        <f ca="1">SUMIFS(rec.uni[2024-06-01],
INDIRECT("rec.uni[natureza]"),"pro.soluto",
INDIRECT("rec.uni[empresa]"),AB$6)</f>
        <v>0</v>
      </c>
      <c r="AC44" s="178">
        <f ca="1">SUMIFS(rec.uni[2024-06-01],
INDIRECT("rec.uni[natureza]"),"taxa.extra",
INDIRECT("rec.uni[empresa]"),AC$6)</f>
        <v>0</v>
      </c>
      <c r="AD44" s="166"/>
      <c r="AE44" s="178" cm="1">
        <f t="array" ref="AE44">SUMPRODUCT(
  IFERROR(--desp[valor],0)*
  (desp[nucleo]="UP CAMPO BELO")*
  (desp[categoria]=AE$7)*
  (desp[data.pagamento]&gt;=$A44)*
  (desp[data.pagamento]&lt;EOMONTH($A44,0)+1)
)</f>
        <v>0</v>
      </c>
      <c r="AF44" s="178" cm="1">
        <f t="array" ref="AF44">SUMPRODUCT(
  IFERROR(--desp[valor],0)*
  (desp[nucleo]="UP CAMPO BELO")*
  (desp[categoria]=AF$7)*
  (desp[data.pagamento]&gt;=$A44)*
  (desp[data.pagamento]&lt;EOMONTH($A44,0)+1)
)</f>
        <v>0</v>
      </c>
      <c r="AG44" s="178" cm="1">
        <f t="array" ref="AG44">SUMPRODUCT(
  IFERROR(--desp[valor],0)*
  (desp[nucleo]="UP CAMPO BELO")*
  (desp[categoria]=AG$7)*
  (desp[data.pagamento]&gt;=$A44)*
  (desp[data.pagamento]&lt;EOMONTH($A44,0)+1)
)</f>
        <v>0</v>
      </c>
      <c r="AH44" s="178" cm="1">
        <f t="array" ref="AH44">SUMPRODUCT(
  IFERROR(--desp[valor],0)*
  (desp[nucleo]="UP CAMPO BELO")*
  (desp[categoria]=AH$7)*
  (desp[data.pagamento]&gt;=$A44)*
  (desp[data.pagamento]&lt;EOMONTH($A44,0)+1)
)</f>
        <v>0</v>
      </c>
      <c r="AI44" s="179" cm="1">
        <f t="array" ref="AI44">SUMPRODUCT(
  IFERROR(--desp[valor],0)*
  (desp[nucleo]="UP CAMPO BELO")*
  (desp[categoria]=AI$7)*
  (desp[data.pagamento]&gt;=$A44)*
  (desp[data.pagamento]&lt;EOMONTH($A44,0)+1)
)</f>
        <v>0</v>
      </c>
      <c r="AJ44" s="177">
        <f>COUNTIFS(
    estq[empresa], AJ$6,
    estq[Data da venda / reserva], "&gt;=" &amp; $A44,
    estq[Data da venda / reserva], "&lt;"  &amp; EOMONTH($A44,0) + 1
)</f>
        <v>0</v>
      </c>
      <c r="AK44" s="178">
        <f ca="1">SUMIFS(rec.uni[2024-06-01],
INDIRECT("rec.uni[natureza]"),"pro.soluto",
INDIRECT("rec.uni[empresa]"),AK$6)</f>
        <v>0</v>
      </c>
      <c r="AL44" s="178">
        <f ca="1">SUMIFS(rec.uni[2024-06-01],
INDIRECT("rec.uni[natureza]"),"repasse.cef.obra",
INDIRECT("rec.uni[empresa]"),AL$6)</f>
        <v>0</v>
      </c>
      <c r="AM44" s="178">
        <f ca="1">SUMIFS(rec.uni[2024-06-01],
INDIRECT("rec.uni[natureza]"),"repasse.cef.terreno",
INDIRECT("rec.uni[empresa]"),AM$6)</f>
        <v>0</v>
      </c>
      <c r="AN44" s="178">
        <v>0</v>
      </c>
      <c r="AO44" s="178">
        <f ca="1">SUMIFS(rec.uni[2024-06-01],
INDIRECT("rec.uni[natureza]"),"taxa.extra",
INDIRECT("rec.uni[empresa]"),AO$6)</f>
        <v>0</v>
      </c>
      <c r="AP44" s="166"/>
      <c r="AQ44" s="178" cm="1">
        <f t="array" ref="AQ44">SUMPRODUCT(
  IFERROR(--desp[valor],0)*
  (desp[nucleo]="UP SELECT VILA SONIA")*
  (desp[categoria]=AQ$7)*
  (desp[data.pagamento]&gt;=$A44)*
  (desp[data.pagamento]&lt;EOMONTH($A44,0)+1)
)</f>
        <v>0</v>
      </c>
      <c r="AR44" s="178" cm="1">
        <f t="array" ref="AR44">SUMPRODUCT(
  IFERROR(--desp[valor],0)*
  (desp[nucleo]="UP SELECT VILA SONIA")*
  (desp[categoria]=AR$7)*
  (desp[data.pagamento]&gt;=$A44)*
  (desp[data.pagamento]&lt;EOMONTH($A44,0)+1)
)</f>
        <v>0</v>
      </c>
      <c r="AS44" s="178" cm="1">
        <f t="array" ref="AS44">SUMPRODUCT(
  IFERROR(--desp[valor],0)*
  (desp[nucleo]="UP SELECT VILA SONIA")*
  (desp[categoria]=AS$7)*
  (desp[data.pagamento]&gt;=$A44)*
  (desp[data.pagamento]&lt;EOMONTH($A44,0)+1)
)</f>
        <v>0</v>
      </c>
      <c r="AT44" s="178" cm="1">
        <f t="array" ref="AT44">SUMPRODUCT(
  IFERROR(--desp[valor],0)*
  (desp[nucleo]="UP SELECT VILA SONIA")*
  (desp[categoria]=AT$7)*
  (desp[data.pagamento]&gt;=$A44)*
  (desp[data.pagamento]&lt;EOMONTH($A44,0)+1)
)</f>
        <v>0</v>
      </c>
      <c r="AU44" s="179" cm="1">
        <f t="array" ref="AU44">SUMPRODUCT(
  IFERROR(--desp[valor],0)*
  (desp[nucleo]="UP SELECT VILA SONIA")*
  (desp[categoria]=AU$7)*
  (desp[data.pagamento]&gt;=$A44)*
  (desp[data.pagamento]&lt;EOMONTH($A44,0)+1)
)</f>
        <v>0</v>
      </c>
      <c r="AV44" s="177">
        <f>COUNTIFS(
    estq[empresa], AV$6,
    estq[Data da venda / reserva], "&gt;=" &amp; $A44,
    estq[Data da venda / reserva], "&lt;"  &amp; EOMONTH($A44,0) + 1
)</f>
        <v>0</v>
      </c>
      <c r="AW44" s="178">
        <f ca="1">SUMIFS(rec.uni[2024-06-01],
INDIRECT("rec.uni[natureza]"),"pro.soluto",
INDIRECT("rec.uni[empresa]"),AW$6)</f>
        <v>0</v>
      </c>
      <c r="AX44" s="178">
        <f ca="1">SUMIFS(rec.uni[2024-06-01],
INDIRECT("rec.uni[natureza]"),"repasse.cef.obra",
INDIRECT("rec.uni[empresa]"),AX$6)</f>
        <v>0</v>
      </c>
      <c r="AY44" s="178">
        <f ca="1">SUMIFS(rec.uni[2024-06-01],
INDIRECT("rec.uni[natureza]"),"repasse.cef.terreno",
INDIRECT("rec.uni[empresa]"),AY$6)</f>
        <v>0</v>
      </c>
      <c r="AZ44" s="178">
        <v>0</v>
      </c>
      <c r="BA44" s="178">
        <f ca="1">SUMIFS(rec.uni[2024-06-01],
INDIRECT("rec.uni[natureza]"),"taxa.extra",
INDIRECT("rec.uni[empresa]"),BA$6)</f>
        <v>0</v>
      </c>
      <c r="BB44" s="166"/>
      <c r="BC44" s="178" cm="1">
        <f t="array" ref="BC44">SUMPRODUCT(
  IFERROR(--desp[valor],0)*
  (desp[nucleo]="UP ESTAÇÃO SÃO LUCAS")*
  (desp[categoria]=BC$7)*
  (desp[data.pagamento]&gt;=$A44)*
  (desp[data.pagamento]&lt;EOMONTH($A44,0)+1)
)</f>
        <v>0</v>
      </c>
      <c r="BD44" s="178" cm="1">
        <f t="array" ref="BD44">SUMPRODUCT(
  IFERROR(--desp[valor],0)*
  (desp[nucleo]="UP ESTAÇÃO SÃO LUCAS")*
  (desp[categoria]=BD$7)*
  (desp[data.pagamento]&gt;=$A44)*
  (desp[data.pagamento]&lt;EOMONTH($A44,0)+1)
)</f>
        <v>0</v>
      </c>
      <c r="BE44" s="178" cm="1">
        <f t="array" ref="BE44">SUMPRODUCT(
  IFERROR(--desp[valor],0)*
  (desp[nucleo]="UP ESTAÇÃO SÃO LUCAS")*
  (desp[categoria]=BE$7)*
  (desp[data.pagamento]&gt;=$A44)*
  (desp[data.pagamento]&lt;EOMONTH($A44,0)+1)
)</f>
        <v>0</v>
      </c>
      <c r="BF44" s="178" cm="1">
        <f t="array" ref="BF44">SUMPRODUCT(
  IFERROR(--desp[valor],0)*
  (desp[nucleo]="UP ESTAÇÃO SÃO LUCAS")*
  (desp[categoria]=BF$7)*
  (desp[data.pagamento]&gt;=$A44)*
  (desp[data.pagamento]&lt;EOMONTH($A44,0)+1)
)</f>
        <v>0</v>
      </c>
      <c r="BG44" s="179" cm="1">
        <f t="array" ref="BG44">SUMPRODUCT(
  IFERROR(--desp[valor],0)*
  (desp[nucleo]="UP ESTAÇÃO SÃO LUCAS")*
  (desp[categoria]=BG$7)*
  (desp[data.pagamento]&gt;=$A44)*
  (desp[data.pagamento]&lt;EOMONTH($A44,0)+1)
)</f>
        <v>0</v>
      </c>
      <c r="BH44" s="177">
        <f>COUNTIFS(
    estq[empresa], BH$6,
    estq[Data da venda / reserva], "&gt;=" &amp; $A44,
    estq[Data da venda / reserva], "&lt;"  &amp; EOMONTH($A44,0) + 1
)</f>
        <v>0</v>
      </c>
      <c r="BI44" s="178">
        <f ca="1">SUMIFS(rec.uni[2024-06-01],
INDIRECT("rec.uni[natureza]"),"pro.soluto",
INDIRECT("rec.uni[empresa]"),BI$6)</f>
        <v>0</v>
      </c>
      <c r="BJ44" s="166">
        <v>0</v>
      </c>
      <c r="BK44" s="178">
        <f ca="1">SUMIFS(rec.uni[2024-06-01],
INDIRECT("rec.uni[natureza]"),"taxa.extra",
INDIRECT("rec.uni[empresa]"),BK$6)</f>
        <v>0</v>
      </c>
      <c r="BL44" s="166"/>
      <c r="BM44" s="178" cm="1">
        <f t="array" ref="BM44">SUMPRODUCT(
  IFERROR(--desp[valor],0)*
  (desp[nucleo]="UP POMPEIA")*
  (desp[categoria]=BM$7)*
  (desp[data.pagamento]&gt;=$A44)*
  (desp[data.pagamento]&lt;EOMONTH($A44,0)+1)
)</f>
        <v>0</v>
      </c>
      <c r="BN44" s="178" cm="1">
        <f t="array" ref="BN44">SUMPRODUCT(
  IFERROR(--desp[valor],0)*
  (desp[nucleo]="UP POMPEIA")*
  (desp[categoria]=BN$7)*
  (desp[data.pagamento]&gt;=$A44)*
  (desp[data.pagamento]&lt;EOMONTH($A44,0)+1)
)</f>
        <v>0</v>
      </c>
      <c r="BO44" s="178" cm="1">
        <f t="array" ref="BO44">SUMPRODUCT(
  IFERROR(--desp[valor],0)*
  (desp[nucleo]="UP POMPEIA")*
  (desp[categoria]=BO$7)*
  (desp[data.pagamento]&gt;=$A44)*
  (desp[data.pagamento]&lt;EOMONTH($A44,0)+1)
)</f>
        <v>0</v>
      </c>
      <c r="BP44" s="178" cm="1">
        <f t="array" ref="BP44">SUMPRODUCT(
  IFERROR(--desp[valor],0)*
  (desp[nucleo]="UP POMPEIA")*
  (desp[categoria]=BP$7)*
  (desp[data.pagamento]&gt;=$A44)*
  (desp[data.pagamento]&lt;EOMONTH($A44,0)+1)
)</f>
        <v>0</v>
      </c>
      <c r="BQ44" s="179" cm="1">
        <f t="array" ref="BQ44">SUMPRODUCT(
  IFERROR(--desp[valor],0)*
  (desp[nucleo]="UP POMPEIA")*
  (desp[categoria]=BQ$7)*
  (desp[data.pagamento]&gt;=$A44)*
  (desp[data.pagamento]&lt;EOMONTH($A44,0)+1)
)</f>
        <v>0</v>
      </c>
      <c r="BR44" s="177">
        <f>COUNTIFS(
    estq[empresa], BR$6,
    estq[Data da venda / reserva], "&gt;=" &amp; $A44,
    estq[Data da venda / reserva], "&lt;"  &amp; EOMONTH($A44,0) + 1
)</f>
        <v>0</v>
      </c>
      <c r="BS44" s="178">
        <f ca="1">SUMIFS(rec.uni[2024-06-01],
INDIRECT("rec.uni[natureza]"),"pro.soluto",
INDIRECT("rec.uni[empresa]"),BS$6)</f>
        <v>0</v>
      </c>
      <c r="BT44" s="178">
        <f ca="1">SUMIFS(rec.uni[2024-06-01],
INDIRECT("rec.uni[natureza]"),"pro.soluto",
INDIRECT("rec.uni[empresa]"),BT$6)</f>
        <v>0</v>
      </c>
      <c r="BU44" s="178">
        <f ca="1">SUMIFS(rec.uni[2024-06-01],
INDIRECT("rec.uni[natureza]"),"taxa.extra",
INDIRECT("rec.uni[empresa]"),BU$6)</f>
        <v>0</v>
      </c>
      <c r="BV44" s="166"/>
      <c r="BW44" s="178" cm="1">
        <f t="array" ref="BW44">SUMPRODUCT(
  IFERROR(--desp[valor],0)*
  (desp[nucleo]="UP SAUDE")*
  (desp[categoria]=BW$7)*
  (desp[data.pagamento]&gt;=$A44)*
  (desp[data.pagamento]&lt;EOMONTH($A44,0)+1)
)</f>
        <v>0</v>
      </c>
      <c r="BX44" s="178" cm="1">
        <f t="array" ref="BX44">SUMPRODUCT(
  IFERROR(--desp[valor],0)*
  (desp[nucleo]="UP SAUDE")*
  (desp[categoria]=BX$7)*
  (desp[data.pagamento]&gt;=$A44)*
  (desp[data.pagamento]&lt;EOMONTH($A44,0)+1)
)</f>
        <v>0</v>
      </c>
      <c r="BY44" s="178" cm="1">
        <f t="array" ref="BY44">SUMPRODUCT(
  IFERROR(--desp[valor],0)*
  (desp[nucleo]="UP SAUDE")*
  (desp[categoria]=BY$7)*
  (desp[data.pagamento]&gt;=$A44)*
  (desp[data.pagamento]&lt;EOMONTH($A44,0)+1)
)</f>
        <v>0</v>
      </c>
      <c r="BZ44" s="178" cm="1">
        <f t="array" ref="BZ44">SUMPRODUCT(
  IFERROR(--desp[valor],0)*
  (desp[nucleo]="UP SAUDE")*
  (desp[categoria]=BZ$7)*
  (desp[data.pagamento]&gt;=$A44)*
  (desp[data.pagamento]&lt;EOMONTH($A44,0)+1)
)</f>
        <v>0</v>
      </c>
      <c r="CA44" s="179" cm="1">
        <f t="array" ref="CA44">SUMPRODUCT(
  IFERROR(--desp[valor],0)*
  (desp[nucleo]="UP SAUDE")*
  (desp[categoria]=CA$7)*
  (desp[data.pagamento]&gt;=$A44)*
  (desp[data.pagamento]&lt;EOMONTH($A44,0)+1)
)</f>
        <v>0</v>
      </c>
      <c r="CB44" s="177">
        <f>COUNTIFS(
    estq[empresa], CB$6,
    estq[Data da venda / reserva], "&gt;=" &amp; $A44,
    estq[Data da venda / reserva], "&lt;"  &amp; EOMONTH($A44,0) + 1
)</f>
        <v>0</v>
      </c>
      <c r="CC44" s="178">
        <f ca="1">SUMIFS(rec.uni[2024-06-01],
INDIRECT("rec.uni[natureza]"),"pro.soluto",
INDIRECT("rec.uni[empresa]"),CC$6)</f>
        <v>0</v>
      </c>
      <c r="CD44" s="178">
        <f ca="1">SUMIFS(rec.uni[2024-06-01],
INDIRECT("rec.uni[natureza]"),"repasse.cef.obra",
INDIRECT("rec.uni[empresa]"),CD$6)</f>
        <v>0</v>
      </c>
      <c r="CE44" s="178">
        <f ca="1">SUMIFS(rec.uni[2024-06-01],
INDIRECT("rec.uni[natureza]"),"repasse.cef.terreno",
INDIRECT("rec.uni[empresa]"),CE$6)</f>
        <v>0</v>
      </c>
      <c r="CF44" s="178">
        <v>0</v>
      </c>
      <c r="CG44" s="178">
        <f ca="1">SUMIFS(rec.uni[2024-06-01],
INDIRECT("rec.uni[natureza]"),"taxa.extra",
INDIRECT("rec.uni[empresa]"),CG$6)</f>
        <v>0</v>
      </c>
      <c r="CH44" s="166"/>
      <c r="CI44" s="178" cm="1">
        <f t="array" ref="CI44">SUMPRODUCT(
  IFERROR(--desp[valor],0)*
  (desp[nucleo]="UP ESTAÇÃO VILA SONIA")*
  (desp[categoria]=CI$7)*
  (desp[data.pagamento]&gt;=$A44)*
  (desp[data.pagamento]&lt;EOMONTH($A44,0)+1)
)</f>
        <v>0</v>
      </c>
      <c r="CJ44" s="178" cm="1">
        <f t="array" ref="CJ44">SUMPRODUCT(
  IFERROR(--desp[valor],0)*
  (desp[nucleo]="UP ESTAÇÃO VILA SONIA")*
  (desp[categoria]=CJ$7)*
  (desp[data.pagamento]&gt;=$A44)*
  (desp[data.pagamento]&lt;EOMONTH($A44,0)+1)
)</f>
        <v>0</v>
      </c>
      <c r="CK44" s="178" cm="1">
        <f t="array" ref="CK44">SUMPRODUCT(
  IFERROR(--desp[valor],0)*
  (desp[nucleo]="UP ESTAÇÃO VILA SONIA")*
  (desp[categoria]=CK$7)*
  (desp[data.pagamento]&gt;=$A44)*
  (desp[data.pagamento]&lt;EOMONTH($A44,0)+1)
)</f>
        <v>0</v>
      </c>
      <c r="CL44" s="178" cm="1">
        <f t="array" ref="CL44">SUMPRODUCT(
  IFERROR(--desp[valor],0)*
  (desp[nucleo]="UP ESTAÇÃO VILA SONIA")*
  (desp[categoria]=CL$7)*
  (desp[data.pagamento]&gt;=$A44)*
  (desp[data.pagamento]&lt;EOMONTH($A44,0)+1)
)</f>
        <v>0</v>
      </c>
      <c r="CM44" s="179" cm="1">
        <f t="array" ref="CM44">SUMPRODUCT(
  IFERROR(--desp[valor],0)*
  (desp[nucleo]="UP ESTAÇÃO VILA SONIA")*
  (desp[categoria]=CM$7)*
  (desp[data.pagamento]&gt;=$A44)*
  (desp[data.pagamento]&lt;EOMONTH($A44,0)+1)
)</f>
        <v>0</v>
      </c>
      <c r="CN44" s="177">
        <f>COUNTIFS(
    estq[empresa], CN$6,
    estq[Data da venda / reserva], "&gt;=" &amp; $A44,
    estq[Data da venda / reserva], "&lt;"  &amp; EOMONTH($A44,0) + 1
)</f>
        <v>0</v>
      </c>
      <c r="CO44" s="178">
        <f ca="1">SUMIFS(rec.uni[2024-06-01],
INDIRECT("rec.uni[natureza]"),"pro.soluto",
INDIRECT("rec.uni[empresa]"),CO$6)</f>
        <v>0</v>
      </c>
      <c r="CP44" s="178">
        <f ca="1">SUMIFS(rec.uni[2024-06-01],
INDIRECT("rec.uni[natureza]"),"repasse.cef.obra",
INDIRECT("rec.uni[empresa]"),CP$6)</f>
        <v>0</v>
      </c>
      <c r="CQ44" s="178">
        <f ca="1">SUMIFS(rec.uni[2024-06-01],
INDIRECT("rec.uni[natureza]"),"repasse.cef.terreno",
INDIRECT("rec.uni[empresa]"),CQ$6)</f>
        <v>0</v>
      </c>
      <c r="CR44" s="178">
        <v>0</v>
      </c>
      <c r="CS44" s="178">
        <f ca="1">SUMIFS(rec.uni[2024-06-01],
INDIRECT("rec.uni[natureza]"),"taxa.extra",
INDIRECT("rec.uni[empresa]"),CS$6)</f>
        <v>0</v>
      </c>
      <c r="CT44" s="166"/>
      <c r="CU44" s="178" cm="1">
        <f t="array" ref="CU44">SUMPRODUCT(
  IFERROR(--desp[valor],0)*
  (desp[nucleo]="UP MOVE VILA SONIA")*
  (desp[categoria]=CU$7)*
  (desp[data.pagamento]&gt;=$A44)*
  (desp[data.pagamento]&lt;EOMONTH($A44,0)+1)
)</f>
        <v>0</v>
      </c>
      <c r="CV44" s="178" cm="1">
        <f t="array" ref="CV44">SUMPRODUCT(
  IFERROR(--desp[valor],0)*
  (desp[nucleo]="UP MOVE VILA SONIA")*
  (desp[categoria]=CV$7)*
  (desp[data.pagamento]&gt;=$A44)*
  (desp[data.pagamento]&lt;EOMONTH($A44,0)+1)
)</f>
        <v>0</v>
      </c>
      <c r="CW44" s="178" cm="1">
        <f t="array" ref="CW44">SUMPRODUCT(
  IFERROR(--desp[valor],0)*
  (desp[nucleo]="UP MOVE VILA SONIA")*
  (desp[categoria]=CW$7)*
  (desp[data.pagamento]&gt;=$A44)*
  (desp[data.pagamento]&lt;EOMONTH($A44,0)+1)
)</f>
        <v>0</v>
      </c>
      <c r="CX44" s="178" cm="1">
        <f t="array" ref="CX44">SUMPRODUCT(
  IFERROR(--desp[valor],0)*
  (desp[nucleo]="UP MOVE VILA SONIA")*
  (desp[categoria]=CX$7)*
  (desp[data.pagamento]&gt;=$A44)*
  (desp[data.pagamento]&lt;EOMONTH($A44,0)+1)
)</f>
        <v>0</v>
      </c>
      <c r="CY44" s="180" cm="1">
        <f t="array" ref="CY44">SUMPRODUCT(
  IFERROR(--desp[valor],0)*
  (desp[nucleo]="UP MOVE VILA SONIA")*
  (desp[categoria]=CY$7)*
  (desp[data.pagamento]&gt;=$A44)*
  (desp[data.pagamento]&lt;EOMONTH($A44,0)+1)
)</f>
        <v>0</v>
      </c>
    </row>
    <row r="45" spans="1:103" x14ac:dyDescent="0.25">
      <c r="A45" s="176">
        <v>45474</v>
      </c>
      <c r="B45" s="177">
        <f>COUNTIFS(
    estq[empresa], B$6,
    estq[Data da venda / reserva], "&gt;=" &amp; $A45,
    estq[Data da venda / reserva], "&lt;"  &amp; EOMONTH($A45,0) + 1
)</f>
        <v>0</v>
      </c>
      <c r="C45" s="178">
        <f ca="1">SUMIFS(rec.uni[2024-07-01],
INDIRECT("rec.uni[natureza]"),"pro.soluto",
INDIRECT("rec.uni[empresa]"),C$6)</f>
        <v>0</v>
      </c>
      <c r="D45" s="178">
        <f ca="1">SUMIFS(rec.uni[2024-07-01],
INDIRECT("rec.uni[natureza]"),"repasse.cef.obra",
INDIRECT("rec.uni[empresa]"),D$6)</f>
        <v>0</v>
      </c>
      <c r="E45" s="178">
        <f ca="1">SUMIFS(rec.uni[2024-07-01],
INDIRECT("rec.uni[natureza]"),"repasse.cef.terreno",
INDIRECT("rec.uni[empresa]"),E$6)</f>
        <v>0</v>
      </c>
      <c r="F45" s="178">
        <v>0</v>
      </c>
      <c r="G45" s="178">
        <f ca="1">SUMIFS(rec.uni[2024-07-01],
INDIRECT("rec.uni[natureza]"),"taxa.extra",
INDIRECT("rec.uni[empresa]"),G$6)</f>
        <v>0</v>
      </c>
      <c r="H45" s="166"/>
      <c r="I45" s="178" cm="1">
        <f t="array" ref="I45">SUMPRODUCT(
  IFERROR(--desp[valor],0)*
  (desp[nucleo]="UP JARDIM PRUDENCIA")*
  (desp[categoria]=I$7)*
  (desp[data.pagamento]&gt;=$A45)*
  (desp[data.pagamento]&lt;EOMONTH($A45,0)+1)
)</f>
        <v>0</v>
      </c>
      <c r="J45" s="178" cm="1">
        <f t="array" ref="J45">SUMPRODUCT(
  IFERROR(--desp[valor],0)*
  (desp[nucleo]="UP JARDIM PRUDENCIA")*
  (desp[categoria]=J$7)*
  (desp[data.pagamento]&gt;=$A45)*
  (desp[data.pagamento]&lt;EOMONTH($A45,0)+1)
)</f>
        <v>0</v>
      </c>
      <c r="K45" s="178" cm="1">
        <f t="array" ref="K45">SUMPRODUCT(
  IFERROR(--desp[valor],0)*
  (desp[nucleo]="UP JARDIM PRUDENCIA")*
  (desp[categoria]=K$7)*
  (desp[data.pagamento]&gt;=$A45)*
  (desp[data.pagamento]&lt;EOMONTH($A45,0)+1)
)</f>
        <v>0</v>
      </c>
      <c r="L45" s="178" cm="1">
        <f t="array" ref="L45">SUMPRODUCT(
  IFERROR(--desp[valor],0)*
  (desp[nucleo]="UP JARDIM PRUDENCIA")*
  (desp[categoria]=L$7)*
  (desp[data.pagamento]&gt;=$A45)*
  (desp[data.pagamento]&lt;EOMONTH($A45,0)+1)
)</f>
        <v>0</v>
      </c>
      <c r="M45" s="179" cm="1">
        <f t="array" ref="M45">SUMPRODUCT(
  IFERROR(--desp[valor],0)*
  (desp[nucleo]="UP JARDIM PRUDENCIA")*
  (desp[categoria]=M$7)*
  (desp[data.pagamento]&gt;=$A45)*
  (desp[data.pagamento]&lt;EOMONTH($A45,0)+1)
)</f>
        <v>0</v>
      </c>
      <c r="N45" s="177">
        <f>COUNTIFS(
    estq[empresa], N$6,
    estq[Data da venda / reserva], "&gt;=" &amp; $A45,
    estq[Data da venda / reserva], "&lt;"  &amp; EOMONTH($A45,0) + 1
)</f>
        <v>0</v>
      </c>
      <c r="O45" s="178">
        <f ca="1">SUMIFS(rec.uni[2024-07-01],
INDIRECT("rec.uni[natureza]"),"pro.soluto",
INDIRECT("rec.uni[empresa]"),O$6)</f>
        <v>0</v>
      </c>
      <c r="P45" s="178">
        <f ca="1">SUMIFS(rec.uni[2024-07-01],
INDIRECT("rec.uni[natureza]"),"repasse.cef.obra",
INDIRECT("rec.uni[empresa]"),P$6)</f>
        <v>0</v>
      </c>
      <c r="Q45" s="178">
        <f ca="1">SUMIFS(rec.uni[2024-07-01],
INDIRECT("rec.uni[natureza]"),"repasse.cef.terreno",
INDIRECT("rec.uni[empresa]"),Q$6)</f>
        <v>0</v>
      </c>
      <c r="R45" s="178">
        <v>0</v>
      </c>
      <c r="S45" s="178">
        <f ca="1">SUMIFS(rec.uni[2024-07-01],
INDIRECT("rec.uni[natureza]"),"taxa.extra",
INDIRECT("rec.uni[empresa]"),S$6)</f>
        <v>0</v>
      </c>
      <c r="T45" s="166"/>
      <c r="U45" s="178" cm="1">
        <f t="array" ref="U45">SUMPRODUCT(
  IFERROR(--desp[valor],0)*
  (desp[nucleo]="UP VILA SONIA")*
  (desp[categoria]=U$7)*
  (desp[data.pagamento]&gt;=$A45)*
  (desp[data.pagamento]&lt;EOMONTH($A45,0)+1)
)</f>
        <v>0</v>
      </c>
      <c r="V45" s="178" cm="1">
        <f t="array" ref="V45">SUMPRODUCT(
  IFERROR(--desp[valor],0)*
  (desp[nucleo]="UP VILA SONIA")*
  (desp[categoria]=V$7)*
  (desp[data.pagamento]&gt;=$A45)*
  (desp[data.pagamento]&lt;EOMONTH($A45,0)+1)
)</f>
        <v>0</v>
      </c>
      <c r="W45" s="178" cm="1">
        <f t="array" ref="W45">SUMPRODUCT(
  IFERROR(--desp[valor],0)*
  (desp[nucleo]="UP VILA SONIA")*
  (desp[categoria]=W$7)*
  (desp[data.pagamento]&gt;=$A45)*
  (desp[data.pagamento]&lt;EOMONTH($A45,0)+1)
)</f>
        <v>0</v>
      </c>
      <c r="X45" s="178" cm="1">
        <f t="array" ref="X45">SUMPRODUCT(
  IFERROR(--desp[valor],0)*
  (desp[nucleo]="UP VILA SONIA")*
  (desp[categoria]=X$7)*
  (desp[data.pagamento]&gt;=$A45)*
  (desp[data.pagamento]&lt;EOMONTH($A45,0)+1)
)</f>
        <v>0</v>
      </c>
      <c r="Y45" s="179" cm="1">
        <f t="array" ref="Y45">SUMPRODUCT(
  IFERROR(--desp[valor],0)*
  (desp[nucleo]="UP VILA SONIA")*
  (desp[categoria]=Y$7)*
  (desp[data.pagamento]&gt;=$A45)*
  (desp[data.pagamento]&lt;EOMONTH($A45,0)+1)
)</f>
        <v>0</v>
      </c>
      <c r="Z45" s="177">
        <f>COUNTIFS(
    estq[empresa], Z$6,
    estq[Data da venda / reserva], "&gt;=" &amp; $A45,
    estq[Data da venda / reserva], "&lt;"  &amp; EOMONTH($A45,0) + 1
)</f>
        <v>0</v>
      </c>
      <c r="AA45" s="178">
        <f ca="1">SUMIFS(rec.uni[2024-07-01],
INDIRECT("rec.uni[natureza]"),"pro.soluto",
INDIRECT("rec.uni[empresa]"),AA$6)</f>
        <v>0</v>
      </c>
      <c r="AB45" s="178">
        <f ca="1">SUMIFS(rec.uni[2024-07-01],
INDIRECT("rec.uni[natureza]"),"pro.soluto",
INDIRECT("rec.uni[empresa]"),AB$6)</f>
        <v>0</v>
      </c>
      <c r="AC45" s="178">
        <f ca="1">SUMIFS(rec.uni[2024-07-01],
INDIRECT("rec.uni[natureza]"),"taxa.extra",
INDIRECT("rec.uni[empresa]"),AC$6)</f>
        <v>0</v>
      </c>
      <c r="AD45" s="166"/>
      <c r="AE45" s="178" cm="1">
        <f t="array" ref="AE45">SUMPRODUCT(
  IFERROR(--desp[valor],0)*
  (desp[nucleo]="UP CAMPO BELO")*
  (desp[categoria]=AE$7)*
  (desp[data.pagamento]&gt;=$A45)*
  (desp[data.pagamento]&lt;EOMONTH($A45,0)+1)
)</f>
        <v>0</v>
      </c>
      <c r="AF45" s="178" cm="1">
        <f t="array" ref="AF45">SUMPRODUCT(
  IFERROR(--desp[valor],0)*
  (desp[nucleo]="UP CAMPO BELO")*
  (desp[categoria]=AF$7)*
  (desp[data.pagamento]&gt;=$A45)*
  (desp[data.pagamento]&lt;EOMONTH($A45,0)+1)
)</f>
        <v>0</v>
      </c>
      <c r="AG45" s="178" cm="1">
        <f t="array" ref="AG45">SUMPRODUCT(
  IFERROR(--desp[valor],0)*
  (desp[nucleo]="UP CAMPO BELO")*
  (desp[categoria]=AG$7)*
  (desp[data.pagamento]&gt;=$A45)*
  (desp[data.pagamento]&lt;EOMONTH($A45,0)+1)
)</f>
        <v>0</v>
      </c>
      <c r="AH45" s="178" cm="1">
        <f t="array" ref="AH45">SUMPRODUCT(
  IFERROR(--desp[valor],0)*
  (desp[nucleo]="UP CAMPO BELO")*
  (desp[categoria]=AH$7)*
  (desp[data.pagamento]&gt;=$A45)*
  (desp[data.pagamento]&lt;EOMONTH($A45,0)+1)
)</f>
        <v>0</v>
      </c>
      <c r="AI45" s="179" cm="1">
        <f t="array" ref="AI45">SUMPRODUCT(
  IFERROR(--desp[valor],0)*
  (desp[nucleo]="UP CAMPO BELO")*
  (desp[categoria]=AI$7)*
  (desp[data.pagamento]&gt;=$A45)*
  (desp[data.pagamento]&lt;EOMONTH($A45,0)+1)
)</f>
        <v>0</v>
      </c>
      <c r="AJ45" s="177">
        <f>COUNTIFS(
    estq[empresa], AJ$6,
    estq[Data da venda / reserva], "&gt;=" &amp; $A45,
    estq[Data da venda / reserva], "&lt;"  &amp; EOMONTH($A45,0) + 1
)</f>
        <v>0</v>
      </c>
      <c r="AK45" s="178">
        <f ca="1">SUMIFS(rec.uni[2024-07-01],
INDIRECT("rec.uni[natureza]"),"pro.soluto",
INDIRECT("rec.uni[empresa]"),AK$6)</f>
        <v>0</v>
      </c>
      <c r="AL45" s="178">
        <f ca="1">SUMIFS(rec.uni[2024-07-01],
INDIRECT("rec.uni[natureza]"),"repasse.cef.obra",
INDIRECT("rec.uni[empresa]"),AL$6)</f>
        <v>0</v>
      </c>
      <c r="AM45" s="178">
        <f ca="1">SUMIFS(rec.uni[2024-07-01],
INDIRECT("rec.uni[natureza]"),"repasse.cef.terreno",
INDIRECT("rec.uni[empresa]"),AM$6)</f>
        <v>0</v>
      </c>
      <c r="AN45" s="178">
        <v>0</v>
      </c>
      <c r="AO45" s="178">
        <f ca="1">SUMIFS(rec.uni[2024-07-01],
INDIRECT("rec.uni[natureza]"),"taxa.extra",
INDIRECT("rec.uni[empresa]"),AO$6)</f>
        <v>0</v>
      </c>
      <c r="AP45" s="166"/>
      <c r="AQ45" s="178" cm="1">
        <f t="array" ref="AQ45">SUMPRODUCT(
  IFERROR(--desp[valor],0)*
  (desp[nucleo]="UP SELECT VILA SONIA")*
  (desp[categoria]=AQ$7)*
  (desp[data.pagamento]&gt;=$A45)*
  (desp[data.pagamento]&lt;EOMONTH($A45,0)+1)
)</f>
        <v>0</v>
      </c>
      <c r="AR45" s="178" cm="1">
        <f t="array" ref="AR45">SUMPRODUCT(
  IFERROR(--desp[valor],0)*
  (desp[nucleo]="UP SELECT VILA SONIA")*
  (desp[categoria]=AR$7)*
  (desp[data.pagamento]&gt;=$A45)*
  (desp[data.pagamento]&lt;EOMONTH($A45,0)+1)
)</f>
        <v>0</v>
      </c>
      <c r="AS45" s="178" cm="1">
        <f t="array" ref="AS45">SUMPRODUCT(
  IFERROR(--desp[valor],0)*
  (desp[nucleo]="UP SELECT VILA SONIA")*
  (desp[categoria]=AS$7)*
  (desp[data.pagamento]&gt;=$A45)*
  (desp[data.pagamento]&lt;EOMONTH($A45,0)+1)
)</f>
        <v>0</v>
      </c>
      <c r="AT45" s="178" cm="1">
        <f t="array" ref="AT45">SUMPRODUCT(
  IFERROR(--desp[valor],0)*
  (desp[nucleo]="UP SELECT VILA SONIA")*
  (desp[categoria]=AT$7)*
  (desp[data.pagamento]&gt;=$A45)*
  (desp[data.pagamento]&lt;EOMONTH($A45,0)+1)
)</f>
        <v>0</v>
      </c>
      <c r="AU45" s="179" cm="1">
        <f t="array" ref="AU45">SUMPRODUCT(
  IFERROR(--desp[valor],0)*
  (desp[nucleo]="UP SELECT VILA SONIA")*
  (desp[categoria]=AU$7)*
  (desp[data.pagamento]&gt;=$A45)*
  (desp[data.pagamento]&lt;EOMONTH($A45,0)+1)
)</f>
        <v>0</v>
      </c>
      <c r="AV45" s="177">
        <f>COUNTIFS(
    estq[empresa], AV$6,
    estq[Data da venda / reserva], "&gt;=" &amp; $A45,
    estq[Data da venda / reserva], "&lt;"  &amp; EOMONTH($A45,0) + 1
)</f>
        <v>0</v>
      </c>
      <c r="AW45" s="178">
        <f ca="1">SUMIFS(rec.uni[2024-07-01],
INDIRECT("rec.uni[natureza]"),"pro.soluto",
INDIRECT("rec.uni[empresa]"),AW$6)</f>
        <v>0</v>
      </c>
      <c r="AX45" s="178">
        <f ca="1">SUMIFS(rec.uni[2024-07-01],
INDIRECT("rec.uni[natureza]"),"repasse.cef.obra",
INDIRECT("rec.uni[empresa]"),AX$6)</f>
        <v>0</v>
      </c>
      <c r="AY45" s="178">
        <f ca="1">SUMIFS(rec.uni[2024-07-01],
INDIRECT("rec.uni[natureza]"),"repasse.cef.terreno",
INDIRECT("rec.uni[empresa]"),AY$6)</f>
        <v>0</v>
      </c>
      <c r="AZ45" s="178">
        <v>0</v>
      </c>
      <c r="BA45" s="178">
        <f ca="1">SUMIFS(rec.uni[2024-07-01],
INDIRECT("rec.uni[natureza]"),"taxa.extra",
INDIRECT("rec.uni[empresa]"),BA$6)</f>
        <v>0</v>
      </c>
      <c r="BB45" s="166"/>
      <c r="BC45" s="178" cm="1">
        <f t="array" ref="BC45">SUMPRODUCT(
  IFERROR(--desp[valor],0)*
  (desp[nucleo]="UP ESTAÇÃO SÃO LUCAS")*
  (desp[categoria]=BC$7)*
  (desp[data.pagamento]&gt;=$A45)*
  (desp[data.pagamento]&lt;EOMONTH($A45,0)+1)
)</f>
        <v>0</v>
      </c>
      <c r="BD45" s="178" cm="1">
        <f t="array" ref="BD45">SUMPRODUCT(
  IFERROR(--desp[valor],0)*
  (desp[nucleo]="UP ESTAÇÃO SÃO LUCAS")*
  (desp[categoria]=BD$7)*
  (desp[data.pagamento]&gt;=$A45)*
  (desp[data.pagamento]&lt;EOMONTH($A45,0)+1)
)</f>
        <v>0</v>
      </c>
      <c r="BE45" s="178" cm="1">
        <f t="array" ref="BE45">SUMPRODUCT(
  IFERROR(--desp[valor],0)*
  (desp[nucleo]="UP ESTAÇÃO SÃO LUCAS")*
  (desp[categoria]=BE$7)*
  (desp[data.pagamento]&gt;=$A45)*
  (desp[data.pagamento]&lt;EOMONTH($A45,0)+1)
)</f>
        <v>0</v>
      </c>
      <c r="BF45" s="178" cm="1">
        <f t="array" ref="BF45">SUMPRODUCT(
  IFERROR(--desp[valor],0)*
  (desp[nucleo]="UP ESTAÇÃO SÃO LUCAS")*
  (desp[categoria]=BF$7)*
  (desp[data.pagamento]&gt;=$A45)*
  (desp[data.pagamento]&lt;EOMONTH($A45,0)+1)
)</f>
        <v>0</v>
      </c>
      <c r="BG45" s="179" cm="1">
        <f t="array" ref="BG45">SUMPRODUCT(
  IFERROR(--desp[valor],0)*
  (desp[nucleo]="UP ESTAÇÃO SÃO LUCAS")*
  (desp[categoria]=BG$7)*
  (desp[data.pagamento]&gt;=$A45)*
  (desp[data.pagamento]&lt;EOMONTH($A45,0)+1)
)</f>
        <v>0</v>
      </c>
      <c r="BH45" s="177">
        <f>COUNTIFS(
    estq[empresa], BH$6,
    estq[Data da venda / reserva], "&gt;=" &amp; $A45,
    estq[Data da venda / reserva], "&lt;"  &amp; EOMONTH($A45,0) + 1
)</f>
        <v>0</v>
      </c>
      <c r="BI45" s="178">
        <f ca="1">SUMIFS(rec.uni[2024-07-01],
INDIRECT("rec.uni[natureza]"),"pro.soluto",
INDIRECT("rec.uni[empresa]"),BI$6)</f>
        <v>0</v>
      </c>
      <c r="BJ45" s="166">
        <v>0</v>
      </c>
      <c r="BK45" s="178">
        <f ca="1">SUMIFS(rec.uni[2024-07-01],
INDIRECT("rec.uni[natureza]"),"taxa.extra",
INDIRECT("rec.uni[empresa]"),BK$6)</f>
        <v>0</v>
      </c>
      <c r="BL45" s="166"/>
      <c r="BM45" s="178" cm="1">
        <f t="array" ref="BM45">SUMPRODUCT(
  IFERROR(--desp[valor],0)*
  (desp[nucleo]="UP POMPEIA")*
  (desp[categoria]=BM$7)*
  (desp[data.pagamento]&gt;=$A45)*
  (desp[data.pagamento]&lt;EOMONTH($A45,0)+1)
)</f>
        <v>0</v>
      </c>
      <c r="BN45" s="178" cm="1">
        <f t="array" ref="BN45">SUMPRODUCT(
  IFERROR(--desp[valor],0)*
  (desp[nucleo]="UP POMPEIA")*
  (desp[categoria]=BN$7)*
  (desp[data.pagamento]&gt;=$A45)*
  (desp[data.pagamento]&lt;EOMONTH($A45,0)+1)
)</f>
        <v>0</v>
      </c>
      <c r="BO45" s="178" cm="1">
        <f t="array" ref="BO45">SUMPRODUCT(
  IFERROR(--desp[valor],0)*
  (desp[nucleo]="UP POMPEIA")*
  (desp[categoria]=BO$7)*
  (desp[data.pagamento]&gt;=$A45)*
  (desp[data.pagamento]&lt;EOMONTH($A45,0)+1)
)</f>
        <v>0</v>
      </c>
      <c r="BP45" s="178" cm="1">
        <f t="array" ref="BP45">SUMPRODUCT(
  IFERROR(--desp[valor],0)*
  (desp[nucleo]="UP POMPEIA")*
  (desp[categoria]=BP$7)*
  (desp[data.pagamento]&gt;=$A45)*
  (desp[data.pagamento]&lt;EOMONTH($A45,0)+1)
)</f>
        <v>0</v>
      </c>
      <c r="BQ45" s="179" cm="1">
        <f t="array" ref="BQ45">SUMPRODUCT(
  IFERROR(--desp[valor],0)*
  (desp[nucleo]="UP POMPEIA")*
  (desp[categoria]=BQ$7)*
  (desp[data.pagamento]&gt;=$A45)*
  (desp[data.pagamento]&lt;EOMONTH($A45,0)+1)
)</f>
        <v>0</v>
      </c>
      <c r="BR45" s="177">
        <f>COUNTIFS(
    estq[empresa], BR$6,
    estq[Data da venda / reserva], "&gt;=" &amp; $A45,
    estq[Data da venda / reserva], "&lt;"  &amp; EOMONTH($A45,0) + 1
)</f>
        <v>0</v>
      </c>
      <c r="BS45" s="178">
        <f ca="1">SUMIFS(rec.uni[2024-07-01],
INDIRECT("rec.uni[natureza]"),"pro.soluto",
INDIRECT("rec.uni[empresa]"),BS$6)</f>
        <v>0</v>
      </c>
      <c r="BT45" s="178">
        <f ca="1">SUMIFS(rec.uni[2024-07-01],
INDIRECT("rec.uni[natureza]"),"pro.soluto",
INDIRECT("rec.uni[empresa]"),BT$6)</f>
        <v>0</v>
      </c>
      <c r="BU45" s="178">
        <f ca="1">SUMIFS(rec.uni[2024-07-01],
INDIRECT("rec.uni[natureza]"),"taxa.extra",
INDIRECT("rec.uni[empresa]"),BU$6)</f>
        <v>0</v>
      </c>
      <c r="BV45" s="166"/>
      <c r="BW45" s="178" cm="1">
        <f t="array" ref="BW45">SUMPRODUCT(
  IFERROR(--desp[valor],0)*
  (desp[nucleo]="UP SAUDE")*
  (desp[categoria]=BW$7)*
  (desp[data.pagamento]&gt;=$A45)*
  (desp[data.pagamento]&lt;EOMONTH($A45,0)+1)
)</f>
        <v>0</v>
      </c>
      <c r="BX45" s="178" cm="1">
        <f t="array" ref="BX45">SUMPRODUCT(
  IFERROR(--desp[valor],0)*
  (desp[nucleo]="UP SAUDE")*
  (desp[categoria]=BX$7)*
  (desp[data.pagamento]&gt;=$A45)*
  (desp[data.pagamento]&lt;EOMONTH($A45,0)+1)
)</f>
        <v>0</v>
      </c>
      <c r="BY45" s="178" cm="1">
        <f t="array" ref="BY45">SUMPRODUCT(
  IFERROR(--desp[valor],0)*
  (desp[nucleo]="UP SAUDE")*
  (desp[categoria]=BY$7)*
  (desp[data.pagamento]&gt;=$A45)*
  (desp[data.pagamento]&lt;EOMONTH($A45,0)+1)
)</f>
        <v>0</v>
      </c>
      <c r="BZ45" s="178" cm="1">
        <f t="array" ref="BZ45">SUMPRODUCT(
  IFERROR(--desp[valor],0)*
  (desp[nucleo]="UP SAUDE")*
  (desp[categoria]=BZ$7)*
  (desp[data.pagamento]&gt;=$A45)*
  (desp[data.pagamento]&lt;EOMONTH($A45,0)+1)
)</f>
        <v>0</v>
      </c>
      <c r="CA45" s="179" cm="1">
        <f t="array" ref="CA45">SUMPRODUCT(
  IFERROR(--desp[valor],0)*
  (desp[nucleo]="UP SAUDE")*
  (desp[categoria]=CA$7)*
  (desp[data.pagamento]&gt;=$A45)*
  (desp[data.pagamento]&lt;EOMONTH($A45,0)+1)
)</f>
        <v>0</v>
      </c>
      <c r="CB45" s="177">
        <f>COUNTIFS(
    estq[empresa], CB$6,
    estq[Data da venda / reserva], "&gt;=" &amp; $A45,
    estq[Data da venda / reserva], "&lt;"  &amp; EOMONTH($A45,0) + 1
)</f>
        <v>0</v>
      </c>
      <c r="CC45" s="178">
        <f ca="1">SUMIFS(rec.uni[2024-07-01],
INDIRECT("rec.uni[natureza]"),"pro.soluto",
INDIRECT("rec.uni[empresa]"),CC$6)</f>
        <v>0</v>
      </c>
      <c r="CD45" s="178">
        <f ca="1">SUMIFS(rec.uni[2024-07-01],
INDIRECT("rec.uni[natureza]"),"repasse.cef.obra",
INDIRECT("rec.uni[empresa]"),CD$6)</f>
        <v>0</v>
      </c>
      <c r="CE45" s="178">
        <f ca="1">SUMIFS(rec.uni[2024-07-01],
INDIRECT("rec.uni[natureza]"),"repasse.cef.terreno",
INDIRECT("rec.uni[empresa]"),CE$6)</f>
        <v>0</v>
      </c>
      <c r="CF45" s="178">
        <v>0</v>
      </c>
      <c r="CG45" s="178">
        <f ca="1">SUMIFS(rec.uni[2024-07-01],
INDIRECT("rec.uni[natureza]"),"taxa.extra",
INDIRECT("rec.uni[empresa]"),CG$6)</f>
        <v>0</v>
      </c>
      <c r="CH45" s="166"/>
      <c r="CI45" s="178" cm="1">
        <f t="array" ref="CI45">SUMPRODUCT(
  IFERROR(--desp[valor],0)*
  (desp[nucleo]="UP ESTAÇÃO VILA SONIA")*
  (desp[categoria]=CI$7)*
  (desp[data.pagamento]&gt;=$A45)*
  (desp[data.pagamento]&lt;EOMONTH($A45,0)+1)
)</f>
        <v>0</v>
      </c>
      <c r="CJ45" s="178" cm="1">
        <f t="array" ref="CJ45">SUMPRODUCT(
  IFERROR(--desp[valor],0)*
  (desp[nucleo]="UP ESTAÇÃO VILA SONIA")*
  (desp[categoria]=CJ$7)*
  (desp[data.pagamento]&gt;=$A45)*
  (desp[data.pagamento]&lt;EOMONTH($A45,0)+1)
)</f>
        <v>0</v>
      </c>
      <c r="CK45" s="178" cm="1">
        <f t="array" ref="CK45">SUMPRODUCT(
  IFERROR(--desp[valor],0)*
  (desp[nucleo]="UP ESTAÇÃO VILA SONIA")*
  (desp[categoria]=CK$7)*
  (desp[data.pagamento]&gt;=$A45)*
  (desp[data.pagamento]&lt;EOMONTH($A45,0)+1)
)</f>
        <v>0</v>
      </c>
      <c r="CL45" s="178" cm="1">
        <f t="array" ref="CL45">SUMPRODUCT(
  IFERROR(--desp[valor],0)*
  (desp[nucleo]="UP ESTAÇÃO VILA SONIA")*
  (desp[categoria]=CL$7)*
  (desp[data.pagamento]&gt;=$A45)*
  (desp[data.pagamento]&lt;EOMONTH($A45,0)+1)
)</f>
        <v>0</v>
      </c>
      <c r="CM45" s="179" cm="1">
        <f t="array" ref="CM45">SUMPRODUCT(
  IFERROR(--desp[valor],0)*
  (desp[nucleo]="UP ESTAÇÃO VILA SONIA")*
  (desp[categoria]=CM$7)*
  (desp[data.pagamento]&gt;=$A45)*
  (desp[data.pagamento]&lt;EOMONTH($A45,0)+1)
)</f>
        <v>0</v>
      </c>
      <c r="CN45" s="177">
        <f>COUNTIFS(
    estq[empresa], CN$6,
    estq[Data da venda / reserva], "&gt;=" &amp; $A45,
    estq[Data da venda / reserva], "&lt;"  &amp; EOMONTH($A45,0) + 1
)</f>
        <v>0</v>
      </c>
      <c r="CO45" s="178">
        <f ca="1">SUMIFS(rec.uni[2024-07-01],
INDIRECT("rec.uni[natureza]"),"pro.soluto",
INDIRECT("rec.uni[empresa]"),CO$6)</f>
        <v>0</v>
      </c>
      <c r="CP45" s="178">
        <f ca="1">SUMIFS(rec.uni[2024-07-01],
INDIRECT("rec.uni[natureza]"),"repasse.cef.obra",
INDIRECT("rec.uni[empresa]"),CP$6)</f>
        <v>0</v>
      </c>
      <c r="CQ45" s="178">
        <f ca="1">SUMIFS(rec.uni[2024-07-01],
INDIRECT("rec.uni[natureza]"),"repasse.cef.terreno",
INDIRECT("rec.uni[empresa]"),CQ$6)</f>
        <v>0</v>
      </c>
      <c r="CR45" s="178">
        <v>0</v>
      </c>
      <c r="CS45" s="178">
        <f ca="1">SUMIFS(rec.uni[2024-07-01],
INDIRECT("rec.uni[natureza]"),"taxa.extra",
INDIRECT("rec.uni[empresa]"),CS$6)</f>
        <v>0</v>
      </c>
      <c r="CT45" s="166"/>
      <c r="CU45" s="178" cm="1">
        <f t="array" ref="CU45">SUMPRODUCT(
  IFERROR(--desp[valor],0)*
  (desp[nucleo]="UP MOVE VILA SONIA")*
  (desp[categoria]=CU$7)*
  (desp[data.pagamento]&gt;=$A45)*
  (desp[data.pagamento]&lt;EOMONTH($A45,0)+1)
)</f>
        <v>0</v>
      </c>
      <c r="CV45" s="178" cm="1">
        <f t="array" ref="CV45">SUMPRODUCT(
  IFERROR(--desp[valor],0)*
  (desp[nucleo]="UP MOVE VILA SONIA")*
  (desp[categoria]=CV$7)*
  (desp[data.pagamento]&gt;=$A45)*
  (desp[data.pagamento]&lt;EOMONTH($A45,0)+1)
)</f>
        <v>0</v>
      </c>
      <c r="CW45" s="178" cm="1">
        <f t="array" ref="CW45">SUMPRODUCT(
  IFERROR(--desp[valor],0)*
  (desp[nucleo]="UP MOVE VILA SONIA")*
  (desp[categoria]=CW$7)*
  (desp[data.pagamento]&gt;=$A45)*
  (desp[data.pagamento]&lt;EOMONTH($A45,0)+1)
)</f>
        <v>0</v>
      </c>
      <c r="CX45" s="178" cm="1">
        <f t="array" ref="CX45">SUMPRODUCT(
  IFERROR(--desp[valor],0)*
  (desp[nucleo]="UP MOVE VILA SONIA")*
  (desp[categoria]=CX$7)*
  (desp[data.pagamento]&gt;=$A45)*
  (desp[data.pagamento]&lt;EOMONTH($A45,0)+1)
)</f>
        <v>0</v>
      </c>
      <c r="CY45" s="180" cm="1">
        <f t="array" ref="CY45">SUMPRODUCT(
  IFERROR(--desp[valor],0)*
  (desp[nucleo]="UP MOVE VILA SONIA")*
  (desp[categoria]=CY$7)*
  (desp[data.pagamento]&gt;=$A45)*
  (desp[data.pagamento]&lt;EOMONTH($A45,0)+1)
)</f>
        <v>0</v>
      </c>
    </row>
    <row r="46" spans="1:103" x14ac:dyDescent="0.25">
      <c r="A46" s="176">
        <v>45505</v>
      </c>
      <c r="B46" s="177">
        <f>COUNTIFS(
    estq[empresa], B$6,
    estq[Data da venda / reserva], "&gt;=" &amp; $A46,
    estq[Data da venda / reserva], "&lt;"  &amp; EOMONTH($A46,0) + 1
)</f>
        <v>0</v>
      </c>
      <c r="C46" s="178">
        <f ca="1">SUMIFS(rec.uni[2024-08-01],
INDIRECT("rec.uni[natureza]"),"pro.soluto",
INDIRECT("rec.uni[empresa]"),C$6)</f>
        <v>0</v>
      </c>
      <c r="D46" s="178">
        <f ca="1">SUMIFS(rec.uni[2024-08-01],
INDIRECT("rec.uni[natureza]"),"repasse.cef.obra",
INDIRECT("rec.uni[empresa]"),D$6)</f>
        <v>0</v>
      </c>
      <c r="E46" s="178">
        <f ca="1">SUMIFS(rec.uni[2024-08-01],
INDIRECT("rec.uni[natureza]"),"repasse.cef.terreno",
INDIRECT("rec.uni[empresa]"),E$6)</f>
        <v>0</v>
      </c>
      <c r="F46" s="178">
        <v>0</v>
      </c>
      <c r="G46" s="178">
        <f ca="1">SUMIFS(rec.uni[2024-08-01],
INDIRECT("rec.uni[natureza]"),"taxa.extra",
INDIRECT("rec.uni[empresa]"),G$6)</f>
        <v>0</v>
      </c>
      <c r="H46" s="166"/>
      <c r="I46" s="178" cm="1">
        <f t="array" ref="I46">SUMPRODUCT(
  IFERROR(--desp[valor],0)*
  (desp[nucleo]="UP JARDIM PRUDENCIA")*
  (desp[categoria]=I$7)*
  (desp[data.pagamento]&gt;=$A46)*
  (desp[data.pagamento]&lt;EOMONTH($A46,0)+1)
)</f>
        <v>0</v>
      </c>
      <c r="J46" s="178" cm="1">
        <f t="array" ref="J46">SUMPRODUCT(
  IFERROR(--desp[valor],0)*
  (desp[nucleo]="UP JARDIM PRUDENCIA")*
  (desp[categoria]=J$7)*
  (desp[data.pagamento]&gt;=$A46)*
  (desp[data.pagamento]&lt;EOMONTH($A46,0)+1)
)</f>
        <v>0</v>
      </c>
      <c r="K46" s="178" cm="1">
        <f t="array" ref="K46">SUMPRODUCT(
  IFERROR(--desp[valor],0)*
  (desp[nucleo]="UP JARDIM PRUDENCIA")*
  (desp[categoria]=K$7)*
  (desp[data.pagamento]&gt;=$A46)*
  (desp[data.pagamento]&lt;EOMONTH($A46,0)+1)
)</f>
        <v>0</v>
      </c>
      <c r="L46" s="178" cm="1">
        <f t="array" ref="L46">SUMPRODUCT(
  IFERROR(--desp[valor],0)*
  (desp[nucleo]="UP JARDIM PRUDENCIA")*
  (desp[categoria]=L$7)*
  (desp[data.pagamento]&gt;=$A46)*
  (desp[data.pagamento]&lt;EOMONTH($A46,0)+1)
)</f>
        <v>0</v>
      </c>
      <c r="M46" s="179" cm="1">
        <f t="array" ref="M46">SUMPRODUCT(
  IFERROR(--desp[valor],0)*
  (desp[nucleo]="UP JARDIM PRUDENCIA")*
  (desp[categoria]=M$7)*
  (desp[data.pagamento]&gt;=$A46)*
  (desp[data.pagamento]&lt;EOMONTH($A46,0)+1)
)</f>
        <v>0</v>
      </c>
      <c r="N46" s="177">
        <f>COUNTIFS(
    estq[empresa], N$6,
    estq[Data da venda / reserva], "&gt;=" &amp; $A46,
    estq[Data da venda / reserva], "&lt;"  &amp; EOMONTH($A46,0) + 1
)</f>
        <v>0</v>
      </c>
      <c r="O46" s="178">
        <f ca="1">SUMIFS(rec.uni[2024-08-01],
INDIRECT("rec.uni[natureza]"),"pro.soluto",
INDIRECT("rec.uni[empresa]"),O$6)</f>
        <v>0</v>
      </c>
      <c r="P46" s="178">
        <f ca="1">SUMIFS(rec.uni[2024-08-01],
INDIRECT("rec.uni[natureza]"),"repasse.cef.obra",
INDIRECT("rec.uni[empresa]"),P$6)</f>
        <v>0</v>
      </c>
      <c r="Q46" s="178">
        <f ca="1">SUMIFS(rec.uni[2024-08-01],
INDIRECT("rec.uni[natureza]"),"repasse.cef.terreno",
INDIRECT("rec.uni[empresa]"),Q$6)</f>
        <v>0</v>
      </c>
      <c r="R46" s="178">
        <v>0</v>
      </c>
      <c r="S46" s="178">
        <f ca="1">SUMIFS(rec.uni[2024-08-01],
INDIRECT("rec.uni[natureza]"),"taxa.extra",
INDIRECT("rec.uni[empresa]"),S$6)</f>
        <v>0</v>
      </c>
      <c r="T46" s="166"/>
      <c r="U46" s="178" cm="1">
        <f t="array" ref="U46">SUMPRODUCT(
  IFERROR(--desp[valor],0)*
  (desp[nucleo]="UP VILA SONIA")*
  (desp[categoria]=U$7)*
  (desp[data.pagamento]&gt;=$A46)*
  (desp[data.pagamento]&lt;EOMONTH($A46,0)+1)
)</f>
        <v>0</v>
      </c>
      <c r="V46" s="178" cm="1">
        <f t="array" ref="V46">SUMPRODUCT(
  IFERROR(--desp[valor],0)*
  (desp[nucleo]="UP VILA SONIA")*
  (desp[categoria]=V$7)*
  (desp[data.pagamento]&gt;=$A46)*
  (desp[data.pagamento]&lt;EOMONTH($A46,0)+1)
)</f>
        <v>0</v>
      </c>
      <c r="W46" s="178" cm="1">
        <f t="array" ref="W46">SUMPRODUCT(
  IFERROR(--desp[valor],0)*
  (desp[nucleo]="UP VILA SONIA")*
  (desp[categoria]=W$7)*
  (desp[data.pagamento]&gt;=$A46)*
  (desp[data.pagamento]&lt;EOMONTH($A46,0)+1)
)</f>
        <v>0</v>
      </c>
      <c r="X46" s="178" cm="1">
        <f t="array" ref="X46">SUMPRODUCT(
  IFERROR(--desp[valor],0)*
  (desp[nucleo]="UP VILA SONIA")*
  (desp[categoria]=X$7)*
  (desp[data.pagamento]&gt;=$A46)*
  (desp[data.pagamento]&lt;EOMONTH($A46,0)+1)
)</f>
        <v>0</v>
      </c>
      <c r="Y46" s="179" cm="1">
        <f t="array" ref="Y46">SUMPRODUCT(
  IFERROR(--desp[valor],0)*
  (desp[nucleo]="UP VILA SONIA")*
  (desp[categoria]=Y$7)*
  (desp[data.pagamento]&gt;=$A46)*
  (desp[data.pagamento]&lt;EOMONTH($A46,0)+1)
)</f>
        <v>0</v>
      </c>
      <c r="Z46" s="177">
        <f>COUNTIFS(
    estq[empresa], Z$6,
    estq[Data da venda / reserva], "&gt;=" &amp; $A46,
    estq[Data da venda / reserva], "&lt;"  &amp; EOMONTH($A46,0) + 1
)</f>
        <v>0</v>
      </c>
      <c r="AA46" s="178">
        <f ca="1">SUMIFS(rec.uni[2024-08-01],
INDIRECT("rec.uni[natureza]"),"pro.soluto",
INDIRECT("rec.uni[empresa]"),AA$6)</f>
        <v>0</v>
      </c>
      <c r="AB46" s="178">
        <f ca="1">SUMIFS(rec.uni[2024-08-01],
INDIRECT("rec.uni[natureza]"),"pro.soluto",
INDIRECT("rec.uni[empresa]"),AB$6)</f>
        <v>0</v>
      </c>
      <c r="AC46" s="178">
        <f ca="1">SUMIFS(rec.uni[2024-08-01],
INDIRECT("rec.uni[natureza]"),"taxa.extra",
INDIRECT("rec.uni[empresa]"),AC$6)</f>
        <v>0</v>
      </c>
      <c r="AD46" s="166"/>
      <c r="AE46" s="178" cm="1">
        <f t="array" ref="AE46">SUMPRODUCT(
  IFERROR(--desp[valor],0)*
  (desp[nucleo]="UP CAMPO BELO")*
  (desp[categoria]=AE$7)*
  (desp[data.pagamento]&gt;=$A46)*
  (desp[data.pagamento]&lt;EOMONTH($A46,0)+1)
)</f>
        <v>0</v>
      </c>
      <c r="AF46" s="178" cm="1">
        <f t="array" ref="AF46">SUMPRODUCT(
  IFERROR(--desp[valor],0)*
  (desp[nucleo]="UP CAMPO BELO")*
  (desp[categoria]=AF$7)*
  (desp[data.pagamento]&gt;=$A46)*
  (desp[data.pagamento]&lt;EOMONTH($A46,0)+1)
)</f>
        <v>0</v>
      </c>
      <c r="AG46" s="178" cm="1">
        <f t="array" ref="AG46">SUMPRODUCT(
  IFERROR(--desp[valor],0)*
  (desp[nucleo]="UP CAMPO BELO")*
  (desp[categoria]=AG$7)*
  (desp[data.pagamento]&gt;=$A46)*
  (desp[data.pagamento]&lt;EOMONTH($A46,0)+1)
)</f>
        <v>0</v>
      </c>
      <c r="AH46" s="178" cm="1">
        <f t="array" ref="AH46">SUMPRODUCT(
  IFERROR(--desp[valor],0)*
  (desp[nucleo]="UP CAMPO BELO")*
  (desp[categoria]=AH$7)*
  (desp[data.pagamento]&gt;=$A46)*
  (desp[data.pagamento]&lt;EOMONTH($A46,0)+1)
)</f>
        <v>0</v>
      </c>
      <c r="AI46" s="179" cm="1">
        <f t="array" ref="AI46">SUMPRODUCT(
  IFERROR(--desp[valor],0)*
  (desp[nucleo]="UP CAMPO BELO")*
  (desp[categoria]=AI$7)*
  (desp[data.pagamento]&gt;=$A46)*
  (desp[data.pagamento]&lt;EOMONTH($A46,0)+1)
)</f>
        <v>0</v>
      </c>
      <c r="AJ46" s="177">
        <f>COUNTIFS(
    estq[empresa], AJ$6,
    estq[Data da venda / reserva], "&gt;=" &amp; $A46,
    estq[Data da venda / reserva], "&lt;"  &amp; EOMONTH($A46,0) + 1
)</f>
        <v>0</v>
      </c>
      <c r="AK46" s="178">
        <f ca="1">SUMIFS(rec.uni[2024-08-01],
INDIRECT("rec.uni[natureza]"),"pro.soluto",
INDIRECT("rec.uni[empresa]"),AK$6)</f>
        <v>0</v>
      </c>
      <c r="AL46" s="178">
        <f ca="1">SUMIFS(rec.uni[2024-08-01],
INDIRECT("rec.uni[natureza]"),"repasse.cef.obra",
INDIRECT("rec.uni[empresa]"),AL$6)</f>
        <v>0</v>
      </c>
      <c r="AM46" s="178">
        <f ca="1">SUMIFS(rec.uni[2024-08-01],
INDIRECT("rec.uni[natureza]"),"repasse.cef.terreno",
INDIRECT("rec.uni[empresa]"),AM$6)</f>
        <v>0</v>
      </c>
      <c r="AN46" s="178">
        <v>0</v>
      </c>
      <c r="AO46" s="178">
        <f ca="1">SUMIFS(rec.uni[2024-08-01],
INDIRECT("rec.uni[natureza]"),"taxa.extra",
INDIRECT("rec.uni[empresa]"),AO$6)</f>
        <v>0</v>
      </c>
      <c r="AP46" s="166"/>
      <c r="AQ46" s="178" cm="1">
        <f t="array" ref="AQ46">SUMPRODUCT(
  IFERROR(--desp[valor],0)*
  (desp[nucleo]="UP SELECT VILA SONIA")*
  (desp[categoria]=AQ$7)*
  (desp[data.pagamento]&gt;=$A46)*
  (desp[data.pagamento]&lt;EOMONTH($A46,0)+1)
)</f>
        <v>0</v>
      </c>
      <c r="AR46" s="178" cm="1">
        <f t="array" ref="AR46">SUMPRODUCT(
  IFERROR(--desp[valor],0)*
  (desp[nucleo]="UP SELECT VILA SONIA")*
  (desp[categoria]=AR$7)*
  (desp[data.pagamento]&gt;=$A46)*
  (desp[data.pagamento]&lt;EOMONTH($A46,0)+1)
)</f>
        <v>0</v>
      </c>
      <c r="AS46" s="178" cm="1">
        <f t="array" ref="AS46">SUMPRODUCT(
  IFERROR(--desp[valor],0)*
  (desp[nucleo]="UP SELECT VILA SONIA")*
  (desp[categoria]=AS$7)*
  (desp[data.pagamento]&gt;=$A46)*
  (desp[data.pagamento]&lt;EOMONTH($A46,0)+1)
)</f>
        <v>0</v>
      </c>
      <c r="AT46" s="178" cm="1">
        <f t="array" ref="AT46">SUMPRODUCT(
  IFERROR(--desp[valor],0)*
  (desp[nucleo]="UP SELECT VILA SONIA")*
  (desp[categoria]=AT$7)*
  (desp[data.pagamento]&gt;=$A46)*
  (desp[data.pagamento]&lt;EOMONTH($A46,0)+1)
)</f>
        <v>0</v>
      </c>
      <c r="AU46" s="179" cm="1">
        <f t="array" ref="AU46">SUMPRODUCT(
  IFERROR(--desp[valor],0)*
  (desp[nucleo]="UP SELECT VILA SONIA")*
  (desp[categoria]=AU$7)*
  (desp[data.pagamento]&gt;=$A46)*
  (desp[data.pagamento]&lt;EOMONTH($A46,0)+1)
)</f>
        <v>0</v>
      </c>
      <c r="AV46" s="177">
        <f>COUNTIFS(
    estq[empresa], AV$6,
    estq[Data da venda / reserva], "&gt;=" &amp; $A46,
    estq[Data da venda / reserva], "&lt;"  &amp; EOMONTH($A46,0) + 1
)</f>
        <v>0</v>
      </c>
      <c r="AW46" s="178">
        <f ca="1">SUMIFS(rec.uni[2024-08-01],
INDIRECT("rec.uni[natureza]"),"pro.soluto",
INDIRECT("rec.uni[empresa]"),AW$6)</f>
        <v>0</v>
      </c>
      <c r="AX46" s="178">
        <f ca="1">SUMIFS(rec.uni[2024-08-01],
INDIRECT("rec.uni[natureza]"),"repasse.cef.obra",
INDIRECT("rec.uni[empresa]"),AX$6)</f>
        <v>0</v>
      </c>
      <c r="AY46" s="178">
        <f ca="1">SUMIFS(rec.uni[2024-08-01],
INDIRECT("rec.uni[natureza]"),"repasse.cef.terreno",
INDIRECT("rec.uni[empresa]"),AY$6)</f>
        <v>0</v>
      </c>
      <c r="AZ46" s="178">
        <v>0</v>
      </c>
      <c r="BA46" s="178">
        <f ca="1">SUMIFS(rec.uni[2024-08-01],
INDIRECT("rec.uni[natureza]"),"taxa.extra",
INDIRECT("rec.uni[empresa]"),BA$6)</f>
        <v>0</v>
      </c>
      <c r="BB46" s="166"/>
      <c r="BC46" s="178" cm="1">
        <f t="array" ref="BC46">SUMPRODUCT(
  IFERROR(--desp[valor],0)*
  (desp[nucleo]="UP ESTAÇÃO SÃO LUCAS")*
  (desp[categoria]=BC$7)*
  (desp[data.pagamento]&gt;=$A46)*
  (desp[data.pagamento]&lt;EOMONTH($A46,0)+1)
)</f>
        <v>0</v>
      </c>
      <c r="BD46" s="178" cm="1">
        <f t="array" ref="BD46">SUMPRODUCT(
  IFERROR(--desp[valor],0)*
  (desp[nucleo]="UP ESTAÇÃO SÃO LUCAS")*
  (desp[categoria]=BD$7)*
  (desp[data.pagamento]&gt;=$A46)*
  (desp[data.pagamento]&lt;EOMONTH($A46,0)+1)
)</f>
        <v>0</v>
      </c>
      <c r="BE46" s="178" cm="1">
        <f t="array" ref="BE46">SUMPRODUCT(
  IFERROR(--desp[valor],0)*
  (desp[nucleo]="UP ESTAÇÃO SÃO LUCAS")*
  (desp[categoria]=BE$7)*
  (desp[data.pagamento]&gt;=$A46)*
  (desp[data.pagamento]&lt;EOMONTH($A46,0)+1)
)</f>
        <v>0</v>
      </c>
      <c r="BF46" s="178" cm="1">
        <f t="array" ref="BF46">SUMPRODUCT(
  IFERROR(--desp[valor],0)*
  (desp[nucleo]="UP ESTAÇÃO SÃO LUCAS")*
  (desp[categoria]=BF$7)*
  (desp[data.pagamento]&gt;=$A46)*
  (desp[data.pagamento]&lt;EOMONTH($A46,0)+1)
)</f>
        <v>0</v>
      </c>
      <c r="BG46" s="179" cm="1">
        <f t="array" ref="BG46">SUMPRODUCT(
  IFERROR(--desp[valor],0)*
  (desp[nucleo]="UP ESTAÇÃO SÃO LUCAS")*
  (desp[categoria]=BG$7)*
  (desp[data.pagamento]&gt;=$A46)*
  (desp[data.pagamento]&lt;EOMONTH($A46,0)+1)
)</f>
        <v>0</v>
      </c>
      <c r="BH46" s="177">
        <f>COUNTIFS(
    estq[empresa], BH$6,
    estq[Data da venda / reserva], "&gt;=" &amp; $A46,
    estq[Data da venda / reserva], "&lt;"  &amp; EOMONTH($A46,0) + 1
)</f>
        <v>0</v>
      </c>
      <c r="BI46" s="178">
        <f ca="1">SUMIFS(rec.uni[2024-08-01],
INDIRECT("rec.uni[natureza]"),"pro.soluto",
INDIRECT("rec.uni[empresa]"),BI$6)</f>
        <v>0</v>
      </c>
      <c r="BJ46" s="166">
        <v>0</v>
      </c>
      <c r="BK46" s="178">
        <f ca="1">SUMIFS(rec.uni[2024-08-01],
INDIRECT("rec.uni[natureza]"),"taxa.extra",
INDIRECT("rec.uni[empresa]"),BK$6)</f>
        <v>0</v>
      </c>
      <c r="BL46" s="166"/>
      <c r="BM46" s="178" cm="1">
        <f t="array" ref="BM46">SUMPRODUCT(
  IFERROR(--desp[valor],0)*
  (desp[nucleo]="UP POMPEIA")*
  (desp[categoria]=BM$7)*
  (desp[data.pagamento]&gt;=$A46)*
  (desp[data.pagamento]&lt;EOMONTH($A46,0)+1)
)</f>
        <v>0</v>
      </c>
      <c r="BN46" s="178" cm="1">
        <f t="array" ref="BN46">SUMPRODUCT(
  IFERROR(--desp[valor],0)*
  (desp[nucleo]="UP POMPEIA")*
  (desp[categoria]=BN$7)*
  (desp[data.pagamento]&gt;=$A46)*
  (desp[data.pagamento]&lt;EOMONTH($A46,0)+1)
)</f>
        <v>0</v>
      </c>
      <c r="BO46" s="178" cm="1">
        <f t="array" ref="BO46">SUMPRODUCT(
  IFERROR(--desp[valor],0)*
  (desp[nucleo]="UP POMPEIA")*
  (desp[categoria]=BO$7)*
  (desp[data.pagamento]&gt;=$A46)*
  (desp[data.pagamento]&lt;EOMONTH($A46,0)+1)
)</f>
        <v>0</v>
      </c>
      <c r="BP46" s="178" cm="1">
        <f t="array" ref="BP46">SUMPRODUCT(
  IFERROR(--desp[valor],0)*
  (desp[nucleo]="UP POMPEIA")*
  (desp[categoria]=BP$7)*
  (desp[data.pagamento]&gt;=$A46)*
  (desp[data.pagamento]&lt;EOMONTH($A46,0)+1)
)</f>
        <v>0</v>
      </c>
      <c r="BQ46" s="179" cm="1">
        <f t="array" ref="BQ46">SUMPRODUCT(
  IFERROR(--desp[valor],0)*
  (desp[nucleo]="UP POMPEIA")*
  (desp[categoria]=BQ$7)*
  (desp[data.pagamento]&gt;=$A46)*
  (desp[data.pagamento]&lt;EOMONTH($A46,0)+1)
)</f>
        <v>0</v>
      </c>
      <c r="BR46" s="177">
        <f>COUNTIFS(
    estq[empresa], BR$6,
    estq[Data da venda / reserva], "&gt;=" &amp; $A46,
    estq[Data da venda / reserva], "&lt;"  &amp; EOMONTH($A46,0) + 1
)</f>
        <v>0</v>
      </c>
      <c r="BS46" s="178">
        <f ca="1">SUMIFS(rec.uni[2024-08-01],
INDIRECT("rec.uni[natureza]"),"pro.soluto",
INDIRECT("rec.uni[empresa]"),BS$6)</f>
        <v>0</v>
      </c>
      <c r="BT46" s="178">
        <f ca="1">SUMIFS(rec.uni[2024-08-01],
INDIRECT("rec.uni[natureza]"),"pro.soluto",
INDIRECT("rec.uni[empresa]"),BT$6)</f>
        <v>0</v>
      </c>
      <c r="BU46" s="178">
        <f ca="1">SUMIFS(rec.uni[2024-08-01],
INDIRECT("rec.uni[natureza]"),"taxa.extra",
INDIRECT("rec.uni[empresa]"),BU$6)</f>
        <v>0</v>
      </c>
      <c r="BV46" s="166"/>
      <c r="BW46" s="178" cm="1">
        <f t="array" ref="BW46">SUMPRODUCT(
  IFERROR(--desp[valor],0)*
  (desp[nucleo]="UP SAUDE")*
  (desp[categoria]=BW$7)*
  (desp[data.pagamento]&gt;=$A46)*
  (desp[data.pagamento]&lt;EOMONTH($A46,0)+1)
)</f>
        <v>0</v>
      </c>
      <c r="BX46" s="178" cm="1">
        <f t="array" ref="BX46">SUMPRODUCT(
  IFERROR(--desp[valor],0)*
  (desp[nucleo]="UP SAUDE")*
  (desp[categoria]=BX$7)*
  (desp[data.pagamento]&gt;=$A46)*
  (desp[data.pagamento]&lt;EOMONTH($A46,0)+1)
)</f>
        <v>0</v>
      </c>
      <c r="BY46" s="178" cm="1">
        <f t="array" ref="BY46">SUMPRODUCT(
  IFERROR(--desp[valor],0)*
  (desp[nucleo]="UP SAUDE")*
  (desp[categoria]=BY$7)*
  (desp[data.pagamento]&gt;=$A46)*
  (desp[data.pagamento]&lt;EOMONTH($A46,0)+1)
)</f>
        <v>0</v>
      </c>
      <c r="BZ46" s="178" cm="1">
        <f t="array" ref="BZ46">SUMPRODUCT(
  IFERROR(--desp[valor],0)*
  (desp[nucleo]="UP SAUDE")*
  (desp[categoria]=BZ$7)*
  (desp[data.pagamento]&gt;=$A46)*
  (desp[data.pagamento]&lt;EOMONTH($A46,0)+1)
)</f>
        <v>0</v>
      </c>
      <c r="CA46" s="179" cm="1">
        <f t="array" ref="CA46">SUMPRODUCT(
  IFERROR(--desp[valor],0)*
  (desp[nucleo]="UP SAUDE")*
  (desp[categoria]=CA$7)*
  (desp[data.pagamento]&gt;=$A46)*
  (desp[data.pagamento]&lt;EOMONTH($A46,0)+1)
)</f>
        <v>0</v>
      </c>
      <c r="CB46" s="177">
        <f>COUNTIFS(
    estq[empresa], CB$6,
    estq[Data da venda / reserva], "&gt;=" &amp; $A46,
    estq[Data da venda / reserva], "&lt;"  &amp; EOMONTH($A46,0) + 1
)</f>
        <v>0</v>
      </c>
      <c r="CC46" s="178">
        <f ca="1">SUMIFS(rec.uni[2024-08-01],
INDIRECT("rec.uni[natureza]"),"pro.soluto",
INDIRECT("rec.uni[empresa]"),CC$6)</f>
        <v>0</v>
      </c>
      <c r="CD46" s="178">
        <f ca="1">SUMIFS(rec.uni[2024-08-01],
INDIRECT("rec.uni[natureza]"),"repasse.cef.obra",
INDIRECT("rec.uni[empresa]"),CD$6)</f>
        <v>0</v>
      </c>
      <c r="CE46" s="178">
        <f ca="1">SUMIFS(rec.uni[2024-08-01],
INDIRECT("rec.uni[natureza]"),"repasse.cef.terreno",
INDIRECT("rec.uni[empresa]"),CE$6)</f>
        <v>0</v>
      </c>
      <c r="CF46" s="178">
        <v>0</v>
      </c>
      <c r="CG46" s="178">
        <f ca="1">SUMIFS(rec.uni[2024-08-01],
INDIRECT("rec.uni[natureza]"),"taxa.extra",
INDIRECT("rec.uni[empresa]"),CG$6)</f>
        <v>0</v>
      </c>
      <c r="CH46" s="166"/>
      <c r="CI46" s="178" cm="1">
        <f t="array" ref="CI46">SUMPRODUCT(
  IFERROR(--desp[valor],0)*
  (desp[nucleo]="UP ESTAÇÃO VILA SONIA")*
  (desp[categoria]=CI$7)*
  (desp[data.pagamento]&gt;=$A46)*
  (desp[data.pagamento]&lt;EOMONTH($A46,0)+1)
)</f>
        <v>0</v>
      </c>
      <c r="CJ46" s="178" cm="1">
        <f t="array" ref="CJ46">SUMPRODUCT(
  IFERROR(--desp[valor],0)*
  (desp[nucleo]="UP ESTAÇÃO VILA SONIA")*
  (desp[categoria]=CJ$7)*
  (desp[data.pagamento]&gt;=$A46)*
  (desp[data.pagamento]&lt;EOMONTH($A46,0)+1)
)</f>
        <v>0</v>
      </c>
      <c r="CK46" s="178" cm="1">
        <f t="array" ref="CK46">SUMPRODUCT(
  IFERROR(--desp[valor],0)*
  (desp[nucleo]="UP ESTAÇÃO VILA SONIA")*
  (desp[categoria]=CK$7)*
  (desp[data.pagamento]&gt;=$A46)*
  (desp[data.pagamento]&lt;EOMONTH($A46,0)+1)
)</f>
        <v>0</v>
      </c>
      <c r="CL46" s="178" cm="1">
        <f t="array" ref="CL46">SUMPRODUCT(
  IFERROR(--desp[valor],0)*
  (desp[nucleo]="UP ESTAÇÃO VILA SONIA")*
  (desp[categoria]=CL$7)*
  (desp[data.pagamento]&gt;=$A46)*
  (desp[data.pagamento]&lt;EOMONTH($A46,0)+1)
)</f>
        <v>0</v>
      </c>
      <c r="CM46" s="179" cm="1">
        <f t="array" ref="CM46">SUMPRODUCT(
  IFERROR(--desp[valor],0)*
  (desp[nucleo]="UP ESTAÇÃO VILA SONIA")*
  (desp[categoria]=CM$7)*
  (desp[data.pagamento]&gt;=$A46)*
  (desp[data.pagamento]&lt;EOMONTH($A46,0)+1)
)</f>
        <v>0</v>
      </c>
      <c r="CN46" s="177">
        <f>COUNTIFS(
    estq[empresa], CN$6,
    estq[Data da venda / reserva], "&gt;=" &amp; $A46,
    estq[Data da venda / reserva], "&lt;"  &amp; EOMONTH($A46,0) + 1
)</f>
        <v>0</v>
      </c>
      <c r="CO46" s="178">
        <f ca="1">SUMIFS(rec.uni[2024-08-01],
INDIRECT("rec.uni[natureza]"),"pro.soluto",
INDIRECT("rec.uni[empresa]"),CO$6)</f>
        <v>0</v>
      </c>
      <c r="CP46" s="178">
        <f ca="1">SUMIFS(rec.uni[2024-08-01],
INDIRECT("rec.uni[natureza]"),"repasse.cef.obra",
INDIRECT("rec.uni[empresa]"),CP$6)</f>
        <v>0</v>
      </c>
      <c r="CQ46" s="178">
        <f ca="1">SUMIFS(rec.uni[2024-08-01],
INDIRECT("rec.uni[natureza]"),"repasse.cef.terreno",
INDIRECT("rec.uni[empresa]"),CQ$6)</f>
        <v>0</v>
      </c>
      <c r="CR46" s="178">
        <v>0</v>
      </c>
      <c r="CS46" s="178">
        <f ca="1">SUMIFS(rec.uni[2024-08-01],
INDIRECT("rec.uni[natureza]"),"taxa.extra",
INDIRECT("rec.uni[empresa]"),CS$6)</f>
        <v>0</v>
      </c>
      <c r="CT46" s="166"/>
      <c r="CU46" s="178" cm="1">
        <f t="array" ref="CU46">SUMPRODUCT(
  IFERROR(--desp[valor],0)*
  (desp[nucleo]="UP MOVE VILA SONIA")*
  (desp[categoria]=CU$7)*
  (desp[data.pagamento]&gt;=$A46)*
  (desp[data.pagamento]&lt;EOMONTH($A46,0)+1)
)</f>
        <v>0</v>
      </c>
      <c r="CV46" s="178" cm="1">
        <f t="array" ref="CV46">SUMPRODUCT(
  IFERROR(--desp[valor],0)*
  (desp[nucleo]="UP MOVE VILA SONIA")*
  (desp[categoria]=CV$7)*
  (desp[data.pagamento]&gt;=$A46)*
  (desp[data.pagamento]&lt;EOMONTH($A46,0)+1)
)</f>
        <v>0</v>
      </c>
      <c r="CW46" s="178" cm="1">
        <f t="array" ref="CW46">SUMPRODUCT(
  IFERROR(--desp[valor],0)*
  (desp[nucleo]="UP MOVE VILA SONIA")*
  (desp[categoria]=CW$7)*
  (desp[data.pagamento]&gt;=$A46)*
  (desp[data.pagamento]&lt;EOMONTH($A46,0)+1)
)</f>
        <v>0</v>
      </c>
      <c r="CX46" s="178" cm="1">
        <f t="array" ref="CX46">SUMPRODUCT(
  IFERROR(--desp[valor],0)*
  (desp[nucleo]="UP MOVE VILA SONIA")*
  (desp[categoria]=CX$7)*
  (desp[data.pagamento]&gt;=$A46)*
  (desp[data.pagamento]&lt;EOMONTH($A46,0)+1)
)</f>
        <v>0</v>
      </c>
      <c r="CY46" s="180" cm="1">
        <f t="array" ref="CY46">SUMPRODUCT(
  IFERROR(--desp[valor],0)*
  (desp[nucleo]="UP MOVE VILA SONIA")*
  (desp[categoria]=CY$7)*
  (desp[data.pagamento]&gt;=$A46)*
  (desp[data.pagamento]&lt;EOMONTH($A46,0)+1)
)</f>
        <v>0</v>
      </c>
    </row>
    <row r="47" spans="1:103" x14ac:dyDescent="0.25">
      <c r="A47" s="176">
        <v>45536</v>
      </c>
      <c r="B47" s="177">
        <f>COUNTIFS(
    estq[empresa], B$6,
    estq[Data da venda / reserva], "&gt;=" &amp; $A47,
    estq[Data da venda / reserva], "&lt;"  &amp; EOMONTH($A47,0) + 1
)</f>
        <v>0</v>
      </c>
      <c r="C47" s="178">
        <f ca="1">SUMIFS(rec.uni[2024-09-01],
INDIRECT("rec.uni[natureza]"),"pro.soluto",
INDIRECT("rec.uni[empresa]"),C$6)</f>
        <v>0</v>
      </c>
      <c r="D47" s="178">
        <f ca="1">SUMIFS(rec.uni[2024-09-01],
INDIRECT("rec.uni[natureza]"),"repasse.cef.obra",
INDIRECT("rec.uni[empresa]"),D$6)</f>
        <v>0</v>
      </c>
      <c r="E47" s="178">
        <f ca="1">SUMIFS(rec.uni[2024-09-01],
INDIRECT("rec.uni[natureza]"),"repasse.cef.terreno",
INDIRECT("rec.uni[empresa]"),E$6)</f>
        <v>0</v>
      </c>
      <c r="F47" s="178">
        <v>198297.96</v>
      </c>
      <c r="G47" s="178">
        <f ca="1">SUMIFS(rec.uni[2024-09-01],
INDIRECT("rec.uni[natureza]"),"taxa.extra",
INDIRECT("rec.uni[empresa]"),G$6)</f>
        <v>0</v>
      </c>
      <c r="H47" s="166"/>
      <c r="I47" s="178" cm="1">
        <f t="array" ref="I47">SUMPRODUCT(
  IFERROR(--desp[valor],0)*
  (desp[nucleo]="UP JARDIM PRUDENCIA")*
  (desp[categoria]=I$7)*
  (desp[data.pagamento]&gt;=$A47)*
  (desp[data.pagamento]&lt;EOMONTH($A47,0)+1)
)</f>
        <v>0</v>
      </c>
      <c r="J47" s="178" cm="1">
        <f t="array" ref="J47">SUMPRODUCT(
  IFERROR(--desp[valor],0)*
  (desp[nucleo]="UP JARDIM PRUDENCIA")*
  (desp[categoria]=J$7)*
  (desp[data.pagamento]&gt;=$A47)*
  (desp[data.pagamento]&lt;EOMONTH($A47,0)+1)
)</f>
        <v>0</v>
      </c>
      <c r="K47" s="178" cm="1">
        <f t="array" ref="K47">SUMPRODUCT(
  IFERROR(--desp[valor],0)*
  (desp[nucleo]="UP JARDIM PRUDENCIA")*
  (desp[categoria]=K$7)*
  (desp[data.pagamento]&gt;=$A47)*
  (desp[data.pagamento]&lt;EOMONTH($A47,0)+1)
)</f>
        <v>0</v>
      </c>
      <c r="L47" s="178" cm="1">
        <f t="array" ref="L47">SUMPRODUCT(
  IFERROR(--desp[valor],0)*
  (desp[nucleo]="UP JARDIM PRUDENCIA")*
  (desp[categoria]=L$7)*
  (desp[data.pagamento]&gt;=$A47)*
  (desp[data.pagamento]&lt;EOMONTH($A47,0)+1)
)</f>
        <v>0</v>
      </c>
      <c r="M47" s="179" cm="1">
        <f t="array" ref="M47">SUMPRODUCT(
  IFERROR(--desp[valor],0)*
  (desp[nucleo]="UP JARDIM PRUDENCIA")*
  (desp[categoria]=M$7)*
  (desp[data.pagamento]&gt;=$A47)*
  (desp[data.pagamento]&lt;EOMONTH($A47,0)+1)
)</f>
        <v>0</v>
      </c>
      <c r="N47" s="177">
        <f>COUNTIFS(
    estq[empresa], N$6,
    estq[Data da venda / reserva], "&gt;=" &amp; $A47,
    estq[Data da venda / reserva], "&lt;"  &amp; EOMONTH($A47,0) + 1
)</f>
        <v>0</v>
      </c>
      <c r="O47" s="178">
        <f ca="1">SUMIFS(rec.uni[2024-09-01],
INDIRECT("rec.uni[natureza]"),"pro.soluto",
INDIRECT("rec.uni[empresa]"),O$6)</f>
        <v>0</v>
      </c>
      <c r="P47" s="178">
        <f ca="1">SUMIFS(rec.uni[2024-09-01],
INDIRECT("rec.uni[natureza]"),"repasse.cef.obra",
INDIRECT("rec.uni[empresa]"),P$6)</f>
        <v>0</v>
      </c>
      <c r="Q47" s="178">
        <f ca="1">SUMIFS(rec.uni[2024-09-01],
INDIRECT("rec.uni[natureza]"),"repasse.cef.terreno",
INDIRECT("rec.uni[empresa]"),Q$6)</f>
        <v>0</v>
      </c>
      <c r="R47" s="178">
        <v>0</v>
      </c>
      <c r="S47" s="178">
        <f ca="1">SUMIFS(rec.uni[2024-09-01],
INDIRECT("rec.uni[natureza]"),"taxa.extra",
INDIRECT("rec.uni[empresa]"),S$6)</f>
        <v>0</v>
      </c>
      <c r="T47" s="166"/>
      <c r="U47" s="178" cm="1">
        <f t="array" ref="U47">SUMPRODUCT(
  IFERROR(--desp[valor],0)*
  (desp[nucleo]="UP VILA SONIA")*
  (desp[categoria]=U$7)*
  (desp[data.pagamento]&gt;=$A47)*
  (desp[data.pagamento]&lt;EOMONTH($A47,0)+1)
)</f>
        <v>0</v>
      </c>
      <c r="V47" s="178" cm="1">
        <f t="array" ref="V47">SUMPRODUCT(
  IFERROR(--desp[valor],0)*
  (desp[nucleo]="UP VILA SONIA")*
  (desp[categoria]=V$7)*
  (desp[data.pagamento]&gt;=$A47)*
  (desp[data.pagamento]&lt;EOMONTH($A47,0)+1)
)</f>
        <v>0</v>
      </c>
      <c r="W47" s="178" cm="1">
        <f t="array" ref="W47">SUMPRODUCT(
  IFERROR(--desp[valor],0)*
  (desp[nucleo]="UP VILA SONIA")*
  (desp[categoria]=W$7)*
  (desp[data.pagamento]&gt;=$A47)*
  (desp[data.pagamento]&lt;EOMONTH($A47,0)+1)
)</f>
        <v>0</v>
      </c>
      <c r="X47" s="178" cm="1">
        <f t="array" ref="X47">SUMPRODUCT(
  IFERROR(--desp[valor],0)*
  (desp[nucleo]="UP VILA SONIA")*
  (desp[categoria]=X$7)*
  (desp[data.pagamento]&gt;=$A47)*
  (desp[data.pagamento]&lt;EOMONTH($A47,0)+1)
)</f>
        <v>0</v>
      </c>
      <c r="Y47" s="179" cm="1">
        <f t="array" ref="Y47">SUMPRODUCT(
  IFERROR(--desp[valor],0)*
  (desp[nucleo]="UP VILA SONIA")*
  (desp[categoria]=Y$7)*
  (desp[data.pagamento]&gt;=$A47)*
  (desp[data.pagamento]&lt;EOMONTH($A47,0)+1)
)</f>
        <v>0</v>
      </c>
      <c r="Z47" s="177">
        <f>COUNTIFS(
    estq[empresa], Z$6,
    estq[Data da venda / reserva], "&gt;=" &amp; $A47,
    estq[Data da venda / reserva], "&lt;"  &amp; EOMONTH($A47,0) + 1
)</f>
        <v>0</v>
      </c>
      <c r="AA47" s="178">
        <f ca="1">SUMIFS(rec.uni[2024-09-01],
INDIRECT("rec.uni[natureza]"),"pro.soluto",
INDIRECT("rec.uni[empresa]"),AA$6)</f>
        <v>0</v>
      </c>
      <c r="AB47" s="178">
        <f ca="1">SUMIFS(rec.uni[2024-09-01],
INDIRECT("rec.uni[natureza]"),"pro.soluto",
INDIRECT("rec.uni[empresa]"),AB$6)</f>
        <v>0</v>
      </c>
      <c r="AC47" s="178">
        <f ca="1">SUMIFS(rec.uni[2024-09-01],
INDIRECT("rec.uni[natureza]"),"taxa.extra",
INDIRECT("rec.uni[empresa]"),AC$6)</f>
        <v>0</v>
      </c>
      <c r="AD47" s="166"/>
      <c r="AE47" s="178" cm="1">
        <f t="array" ref="AE47">SUMPRODUCT(
  IFERROR(--desp[valor],0)*
  (desp[nucleo]="UP CAMPO BELO")*
  (desp[categoria]=AE$7)*
  (desp[data.pagamento]&gt;=$A47)*
  (desp[data.pagamento]&lt;EOMONTH($A47,0)+1)
)</f>
        <v>0</v>
      </c>
      <c r="AF47" s="178" cm="1">
        <f t="array" ref="AF47">SUMPRODUCT(
  IFERROR(--desp[valor],0)*
  (desp[nucleo]="UP CAMPO BELO")*
  (desp[categoria]=AF$7)*
  (desp[data.pagamento]&gt;=$A47)*
  (desp[data.pagamento]&lt;EOMONTH($A47,0)+1)
)</f>
        <v>0</v>
      </c>
      <c r="AG47" s="178" cm="1">
        <f t="array" ref="AG47">SUMPRODUCT(
  IFERROR(--desp[valor],0)*
  (desp[nucleo]="UP CAMPO BELO")*
  (desp[categoria]=AG$7)*
  (desp[data.pagamento]&gt;=$A47)*
  (desp[data.pagamento]&lt;EOMONTH($A47,0)+1)
)</f>
        <v>0</v>
      </c>
      <c r="AH47" s="178" cm="1">
        <f t="array" ref="AH47">SUMPRODUCT(
  IFERROR(--desp[valor],0)*
  (desp[nucleo]="UP CAMPO BELO")*
  (desp[categoria]=AH$7)*
  (desp[data.pagamento]&gt;=$A47)*
  (desp[data.pagamento]&lt;EOMONTH($A47,0)+1)
)</f>
        <v>0</v>
      </c>
      <c r="AI47" s="179" cm="1">
        <f t="array" ref="AI47">SUMPRODUCT(
  IFERROR(--desp[valor],0)*
  (desp[nucleo]="UP CAMPO BELO")*
  (desp[categoria]=AI$7)*
  (desp[data.pagamento]&gt;=$A47)*
  (desp[data.pagamento]&lt;EOMONTH($A47,0)+1)
)</f>
        <v>0</v>
      </c>
      <c r="AJ47" s="177">
        <f>COUNTIFS(
    estq[empresa], AJ$6,
    estq[Data da venda / reserva], "&gt;=" &amp; $A47,
    estq[Data da venda / reserva], "&lt;"  &amp; EOMONTH($A47,0) + 1
)</f>
        <v>0</v>
      </c>
      <c r="AK47" s="178">
        <f ca="1">SUMIFS(rec.uni[2024-09-01],
INDIRECT("rec.uni[natureza]"),"pro.soluto",
INDIRECT("rec.uni[empresa]"),AK$6)</f>
        <v>0</v>
      </c>
      <c r="AL47" s="178">
        <f ca="1">SUMIFS(rec.uni[2024-09-01],
INDIRECT("rec.uni[natureza]"),"repasse.cef.obra",
INDIRECT("rec.uni[empresa]"),AL$6)</f>
        <v>0</v>
      </c>
      <c r="AM47" s="178">
        <f ca="1">SUMIFS(rec.uni[2024-09-01],
INDIRECT("rec.uni[natureza]"),"repasse.cef.terreno",
INDIRECT("rec.uni[empresa]"),AM$6)</f>
        <v>0</v>
      </c>
      <c r="AN47" s="178">
        <v>0</v>
      </c>
      <c r="AO47" s="178">
        <f ca="1">SUMIFS(rec.uni[2024-09-01],
INDIRECT("rec.uni[natureza]"),"taxa.extra",
INDIRECT("rec.uni[empresa]"),AO$6)</f>
        <v>0</v>
      </c>
      <c r="AP47" s="166"/>
      <c r="AQ47" s="178" cm="1">
        <f t="array" ref="AQ47">SUMPRODUCT(
  IFERROR(--desp[valor],0)*
  (desp[nucleo]="UP SELECT VILA SONIA")*
  (desp[categoria]=AQ$7)*
  (desp[data.pagamento]&gt;=$A47)*
  (desp[data.pagamento]&lt;EOMONTH($A47,0)+1)
)</f>
        <v>0</v>
      </c>
      <c r="AR47" s="178" cm="1">
        <f t="array" ref="AR47">SUMPRODUCT(
  IFERROR(--desp[valor],0)*
  (desp[nucleo]="UP SELECT VILA SONIA")*
  (desp[categoria]=AR$7)*
  (desp[data.pagamento]&gt;=$A47)*
  (desp[data.pagamento]&lt;EOMONTH($A47,0)+1)
)</f>
        <v>0</v>
      </c>
      <c r="AS47" s="178" cm="1">
        <f t="array" ref="AS47">SUMPRODUCT(
  IFERROR(--desp[valor],0)*
  (desp[nucleo]="UP SELECT VILA SONIA")*
  (desp[categoria]=AS$7)*
  (desp[data.pagamento]&gt;=$A47)*
  (desp[data.pagamento]&lt;EOMONTH($A47,0)+1)
)</f>
        <v>0</v>
      </c>
      <c r="AT47" s="178" cm="1">
        <f t="array" ref="AT47">SUMPRODUCT(
  IFERROR(--desp[valor],0)*
  (desp[nucleo]="UP SELECT VILA SONIA")*
  (desp[categoria]=AT$7)*
  (desp[data.pagamento]&gt;=$A47)*
  (desp[data.pagamento]&lt;EOMONTH($A47,0)+1)
)</f>
        <v>0</v>
      </c>
      <c r="AU47" s="179" cm="1">
        <f t="array" ref="AU47">SUMPRODUCT(
  IFERROR(--desp[valor],0)*
  (desp[nucleo]="UP SELECT VILA SONIA")*
  (desp[categoria]=AU$7)*
  (desp[data.pagamento]&gt;=$A47)*
  (desp[data.pagamento]&lt;EOMONTH($A47,0)+1)
)</f>
        <v>0</v>
      </c>
      <c r="AV47" s="177">
        <f>COUNTIFS(
    estq[empresa], AV$6,
    estq[Data da venda / reserva], "&gt;=" &amp; $A47,
    estq[Data da venda / reserva], "&lt;"  &amp; EOMONTH($A47,0) + 1
)</f>
        <v>0</v>
      </c>
      <c r="AW47" s="178">
        <f ca="1">SUMIFS(rec.uni[2024-09-01],
INDIRECT("rec.uni[natureza]"),"pro.soluto",
INDIRECT("rec.uni[empresa]"),AW$6)</f>
        <v>0</v>
      </c>
      <c r="AX47" s="178">
        <f ca="1">SUMIFS(rec.uni[2024-09-01],
INDIRECT("rec.uni[natureza]"),"repasse.cef.obra",
INDIRECT("rec.uni[empresa]"),AX$6)</f>
        <v>0</v>
      </c>
      <c r="AY47" s="178">
        <f ca="1">SUMIFS(rec.uni[2024-09-01],
INDIRECT("rec.uni[natureza]"),"repasse.cef.terreno",
INDIRECT("rec.uni[empresa]"),AY$6)</f>
        <v>0</v>
      </c>
      <c r="AZ47" s="178">
        <v>0</v>
      </c>
      <c r="BA47" s="178">
        <f ca="1">SUMIFS(rec.uni[2024-09-01],
INDIRECT("rec.uni[natureza]"),"taxa.extra",
INDIRECT("rec.uni[empresa]"),BA$6)</f>
        <v>0</v>
      </c>
      <c r="BB47" s="166"/>
      <c r="BC47" s="178" cm="1">
        <f t="array" ref="BC47">SUMPRODUCT(
  IFERROR(--desp[valor],0)*
  (desp[nucleo]="UP ESTAÇÃO SÃO LUCAS")*
  (desp[categoria]=BC$7)*
  (desp[data.pagamento]&gt;=$A47)*
  (desp[data.pagamento]&lt;EOMONTH($A47,0)+1)
)</f>
        <v>0</v>
      </c>
      <c r="BD47" s="178" cm="1">
        <f t="array" ref="BD47">SUMPRODUCT(
  IFERROR(--desp[valor],0)*
  (desp[nucleo]="UP ESTAÇÃO SÃO LUCAS")*
  (desp[categoria]=BD$7)*
  (desp[data.pagamento]&gt;=$A47)*
  (desp[data.pagamento]&lt;EOMONTH($A47,0)+1)
)</f>
        <v>0</v>
      </c>
      <c r="BE47" s="178" cm="1">
        <f t="array" ref="BE47">SUMPRODUCT(
  IFERROR(--desp[valor],0)*
  (desp[nucleo]="UP ESTAÇÃO SÃO LUCAS")*
  (desp[categoria]=BE$7)*
  (desp[data.pagamento]&gt;=$A47)*
  (desp[data.pagamento]&lt;EOMONTH($A47,0)+1)
)</f>
        <v>0</v>
      </c>
      <c r="BF47" s="178" cm="1">
        <f t="array" ref="BF47">SUMPRODUCT(
  IFERROR(--desp[valor],0)*
  (desp[nucleo]="UP ESTAÇÃO SÃO LUCAS")*
  (desp[categoria]=BF$7)*
  (desp[data.pagamento]&gt;=$A47)*
  (desp[data.pagamento]&lt;EOMONTH($A47,0)+1)
)</f>
        <v>0</v>
      </c>
      <c r="BG47" s="179" cm="1">
        <f t="array" ref="BG47">SUMPRODUCT(
  IFERROR(--desp[valor],0)*
  (desp[nucleo]="UP ESTAÇÃO SÃO LUCAS")*
  (desp[categoria]=BG$7)*
  (desp[data.pagamento]&gt;=$A47)*
  (desp[data.pagamento]&lt;EOMONTH($A47,0)+1)
)</f>
        <v>0</v>
      </c>
      <c r="BH47" s="177">
        <f>COUNTIFS(
    estq[empresa], BH$6,
    estq[Data da venda / reserva], "&gt;=" &amp; $A47,
    estq[Data da venda / reserva], "&lt;"  &amp; EOMONTH($A47,0) + 1
)</f>
        <v>0</v>
      </c>
      <c r="BI47" s="178">
        <f ca="1">SUMIFS(rec.uni[2024-09-01],
INDIRECT("rec.uni[natureza]"),"pro.soluto",
INDIRECT("rec.uni[empresa]"),BI$6)</f>
        <v>0</v>
      </c>
      <c r="BJ47" s="166">
        <f ca="1">SUMIFS(rec.uni[2024-09-01],
INDIRECT("rec.uni[natureza]"),"parcela.fin.total.ik",
INDIRECT("rec.uni[empresa]"),BJ$6)</f>
        <v>0</v>
      </c>
      <c r="BK47" s="178">
        <f ca="1">SUMIFS(rec.uni[2024-09-01],
INDIRECT("rec.uni[natureza]"),"taxa.extra",
INDIRECT("rec.uni[empresa]"),BK$6)</f>
        <v>0</v>
      </c>
      <c r="BL47" s="166"/>
      <c r="BM47" s="178" cm="1">
        <f t="array" ref="BM47">SUMPRODUCT(
  IFERROR(--desp[valor],0)*
  (desp[nucleo]="UP POMPEIA")*
  (desp[categoria]=BM$7)*
  (desp[data.pagamento]&gt;=$A47)*
  (desp[data.pagamento]&lt;EOMONTH($A47,0)+1)
)</f>
        <v>0</v>
      </c>
      <c r="BN47" s="178" cm="1">
        <f t="array" ref="BN47">SUMPRODUCT(
  IFERROR(--desp[valor],0)*
  (desp[nucleo]="UP POMPEIA")*
  (desp[categoria]=BN$7)*
  (desp[data.pagamento]&gt;=$A47)*
  (desp[data.pagamento]&lt;EOMONTH($A47,0)+1)
)</f>
        <v>0</v>
      </c>
      <c r="BO47" s="178" cm="1">
        <f t="array" ref="BO47">SUMPRODUCT(
  IFERROR(--desp[valor],0)*
  (desp[nucleo]="UP POMPEIA")*
  (desp[categoria]=BO$7)*
  (desp[data.pagamento]&gt;=$A47)*
  (desp[data.pagamento]&lt;EOMONTH($A47,0)+1)
)</f>
        <v>0</v>
      </c>
      <c r="BP47" s="178" cm="1">
        <f t="array" ref="BP47">SUMPRODUCT(
  IFERROR(--desp[valor],0)*
  (desp[nucleo]="UP POMPEIA")*
  (desp[categoria]=BP$7)*
  (desp[data.pagamento]&gt;=$A47)*
  (desp[data.pagamento]&lt;EOMONTH($A47,0)+1)
)</f>
        <v>0</v>
      </c>
      <c r="BQ47" s="179" cm="1">
        <f t="array" ref="BQ47">SUMPRODUCT(
  IFERROR(--desp[valor],0)*
  (desp[nucleo]="UP POMPEIA")*
  (desp[categoria]=BQ$7)*
  (desp[data.pagamento]&gt;=$A47)*
  (desp[data.pagamento]&lt;EOMONTH($A47,0)+1)
)</f>
        <v>0</v>
      </c>
      <c r="BR47" s="177">
        <f>COUNTIFS(
    estq[empresa], BR$6,
    estq[Data da venda / reserva], "&gt;=" &amp; $A47,
    estq[Data da venda / reserva], "&lt;"  &amp; EOMONTH($A47,0) + 1
)</f>
        <v>0</v>
      </c>
      <c r="BS47" s="178">
        <f ca="1">SUMIFS(rec.uni[2024-09-01],
INDIRECT("rec.uni[natureza]"),"pro.soluto",
INDIRECT("rec.uni[empresa]"),BS$6)</f>
        <v>0</v>
      </c>
      <c r="BT47" s="178">
        <f ca="1">SUMIFS(rec.uni[2024-09-01],
INDIRECT("rec.uni[natureza]"),"pro.soluto",
INDIRECT("rec.uni[empresa]"),BT$6)</f>
        <v>0</v>
      </c>
      <c r="BU47" s="178">
        <f ca="1">SUMIFS(rec.uni[2024-09-01],
INDIRECT("rec.uni[natureza]"),"taxa.extra",
INDIRECT("rec.uni[empresa]"),BU$6)</f>
        <v>0</v>
      </c>
      <c r="BV47" s="166"/>
      <c r="BW47" s="178" cm="1">
        <f t="array" ref="BW47">SUMPRODUCT(
  IFERROR(--desp[valor],0)*
  (desp[nucleo]="UP SAUDE")*
  (desp[categoria]=BW$7)*
  (desp[data.pagamento]&gt;=$A47)*
  (desp[data.pagamento]&lt;EOMONTH($A47,0)+1)
)</f>
        <v>0</v>
      </c>
      <c r="BX47" s="178" cm="1">
        <f t="array" ref="BX47">SUMPRODUCT(
  IFERROR(--desp[valor],0)*
  (desp[nucleo]="UP SAUDE")*
  (desp[categoria]=BX$7)*
  (desp[data.pagamento]&gt;=$A47)*
  (desp[data.pagamento]&lt;EOMONTH($A47,0)+1)
)</f>
        <v>0</v>
      </c>
      <c r="BY47" s="178" cm="1">
        <f t="array" ref="BY47">SUMPRODUCT(
  IFERROR(--desp[valor],0)*
  (desp[nucleo]="UP SAUDE")*
  (desp[categoria]=BY$7)*
  (desp[data.pagamento]&gt;=$A47)*
  (desp[data.pagamento]&lt;EOMONTH($A47,0)+1)
)</f>
        <v>0</v>
      </c>
      <c r="BZ47" s="178" cm="1">
        <f t="array" ref="BZ47">SUMPRODUCT(
  IFERROR(--desp[valor],0)*
  (desp[nucleo]="UP SAUDE")*
  (desp[categoria]=BZ$7)*
  (desp[data.pagamento]&gt;=$A47)*
  (desp[data.pagamento]&lt;EOMONTH($A47,0)+1)
)</f>
        <v>0</v>
      </c>
      <c r="CA47" s="179" cm="1">
        <f t="array" ref="CA47">SUMPRODUCT(
  IFERROR(--desp[valor],0)*
  (desp[nucleo]="UP SAUDE")*
  (desp[categoria]=CA$7)*
  (desp[data.pagamento]&gt;=$A47)*
  (desp[data.pagamento]&lt;EOMONTH($A47,0)+1)
)</f>
        <v>0</v>
      </c>
      <c r="CB47" s="177">
        <f>COUNTIFS(
    estq[empresa], CB$6,
    estq[Data da venda / reserva], "&gt;=" &amp; $A47,
    estq[Data da venda / reserva], "&lt;"  &amp; EOMONTH($A47,0) + 1
)</f>
        <v>0</v>
      </c>
      <c r="CC47" s="178">
        <f ca="1">SUMIFS(rec.uni[2024-09-01],
INDIRECT("rec.uni[natureza]"),"pro.soluto",
INDIRECT("rec.uni[empresa]"),CC$6)</f>
        <v>0</v>
      </c>
      <c r="CD47" s="178">
        <f ca="1">SUMIFS(rec.uni[2024-09-01],
INDIRECT("rec.uni[natureza]"),"repasse.cef.obra",
INDIRECT("rec.uni[empresa]"),CD$6)</f>
        <v>0</v>
      </c>
      <c r="CE47" s="178">
        <f ca="1">SUMIFS(rec.uni[2024-09-01],
INDIRECT("rec.uni[natureza]"),"repasse.cef.terreno",
INDIRECT("rec.uni[empresa]"),CE$6)</f>
        <v>0</v>
      </c>
      <c r="CF47" s="178">
        <v>0</v>
      </c>
      <c r="CG47" s="178">
        <f ca="1">SUMIFS(rec.uni[2024-09-01],
INDIRECT("rec.uni[natureza]"),"taxa.extra",
INDIRECT("rec.uni[empresa]"),CG$6)</f>
        <v>0</v>
      </c>
      <c r="CH47" s="166"/>
      <c r="CI47" s="178" cm="1">
        <f t="array" ref="CI47">SUMPRODUCT(
  IFERROR(--desp[valor],0)*
  (desp[nucleo]="UP ESTAÇÃO VILA SONIA")*
  (desp[categoria]=CI$7)*
  (desp[data.pagamento]&gt;=$A47)*
  (desp[data.pagamento]&lt;EOMONTH($A47,0)+1)
)</f>
        <v>0</v>
      </c>
      <c r="CJ47" s="178" cm="1">
        <f t="array" ref="CJ47">SUMPRODUCT(
  IFERROR(--desp[valor],0)*
  (desp[nucleo]="UP ESTAÇÃO VILA SONIA")*
  (desp[categoria]=CJ$7)*
  (desp[data.pagamento]&gt;=$A47)*
  (desp[data.pagamento]&lt;EOMONTH($A47,0)+1)
)</f>
        <v>0</v>
      </c>
      <c r="CK47" s="178" cm="1">
        <f t="array" ref="CK47">SUMPRODUCT(
  IFERROR(--desp[valor],0)*
  (desp[nucleo]="UP ESTAÇÃO VILA SONIA")*
  (desp[categoria]=CK$7)*
  (desp[data.pagamento]&gt;=$A47)*
  (desp[data.pagamento]&lt;EOMONTH($A47,0)+1)
)</f>
        <v>0</v>
      </c>
      <c r="CL47" s="178" cm="1">
        <f t="array" ref="CL47">SUMPRODUCT(
  IFERROR(--desp[valor],0)*
  (desp[nucleo]="UP ESTAÇÃO VILA SONIA")*
  (desp[categoria]=CL$7)*
  (desp[data.pagamento]&gt;=$A47)*
  (desp[data.pagamento]&lt;EOMONTH($A47,0)+1)
)</f>
        <v>0</v>
      </c>
      <c r="CM47" s="179" cm="1">
        <f t="array" ref="CM47">SUMPRODUCT(
  IFERROR(--desp[valor],0)*
  (desp[nucleo]="UP ESTAÇÃO VILA SONIA")*
  (desp[categoria]=CM$7)*
  (desp[data.pagamento]&gt;=$A47)*
  (desp[data.pagamento]&lt;EOMONTH($A47,0)+1)
)</f>
        <v>0</v>
      </c>
      <c r="CN47" s="177">
        <f>COUNTIFS(
    estq[empresa], CN$6,
    estq[Data da venda / reserva], "&gt;=" &amp; $A47,
    estq[Data da venda / reserva], "&lt;"  &amp; EOMONTH($A47,0) + 1
)</f>
        <v>0</v>
      </c>
      <c r="CO47" s="178">
        <f ca="1">SUMIFS(rec.uni[2024-09-01],
INDIRECT("rec.uni[natureza]"),"pro.soluto",
INDIRECT("rec.uni[empresa]"),CO$6)</f>
        <v>0</v>
      </c>
      <c r="CP47" s="178">
        <f ca="1">SUMIFS(rec.uni[2024-09-01],
INDIRECT("rec.uni[natureza]"),"repasse.cef.obra",
INDIRECT("rec.uni[empresa]"),CP$6)</f>
        <v>0</v>
      </c>
      <c r="CQ47" s="178">
        <f ca="1">SUMIFS(rec.uni[2024-09-01],
INDIRECT("rec.uni[natureza]"),"repasse.cef.terreno",
INDIRECT("rec.uni[empresa]"),CQ$6)</f>
        <v>0</v>
      </c>
      <c r="CR47" s="178">
        <v>0</v>
      </c>
      <c r="CS47" s="178">
        <f ca="1">SUMIFS(rec.uni[2024-09-01],
INDIRECT("rec.uni[natureza]"),"taxa.extra",
INDIRECT("rec.uni[empresa]"),CS$6)</f>
        <v>0</v>
      </c>
      <c r="CT47" s="166"/>
      <c r="CU47" s="178" cm="1">
        <f t="array" ref="CU47">SUMPRODUCT(
  IFERROR(--desp[valor],0)*
  (desp[nucleo]="UP MOVE VILA SONIA")*
  (desp[categoria]=CU$7)*
  (desp[data.pagamento]&gt;=$A47)*
  (desp[data.pagamento]&lt;EOMONTH($A47,0)+1)
)</f>
        <v>0</v>
      </c>
      <c r="CV47" s="178" cm="1">
        <f t="array" ref="CV47">SUMPRODUCT(
  IFERROR(--desp[valor],0)*
  (desp[nucleo]="UP MOVE VILA SONIA")*
  (desp[categoria]=CV$7)*
  (desp[data.pagamento]&gt;=$A47)*
  (desp[data.pagamento]&lt;EOMONTH($A47,0)+1)
)</f>
        <v>0</v>
      </c>
      <c r="CW47" s="178" cm="1">
        <f t="array" ref="CW47">SUMPRODUCT(
  IFERROR(--desp[valor],0)*
  (desp[nucleo]="UP MOVE VILA SONIA")*
  (desp[categoria]=CW$7)*
  (desp[data.pagamento]&gt;=$A47)*
  (desp[data.pagamento]&lt;EOMONTH($A47,0)+1)
)</f>
        <v>0</v>
      </c>
      <c r="CX47" s="178" cm="1">
        <f t="array" ref="CX47">SUMPRODUCT(
  IFERROR(--desp[valor],0)*
  (desp[nucleo]="UP MOVE VILA SONIA")*
  (desp[categoria]=CX$7)*
  (desp[data.pagamento]&gt;=$A47)*
  (desp[data.pagamento]&lt;EOMONTH($A47,0)+1)
)</f>
        <v>0</v>
      </c>
      <c r="CY47" s="180" cm="1">
        <f t="array" ref="CY47">SUMPRODUCT(
  IFERROR(--desp[valor],0)*
  (desp[nucleo]="UP MOVE VILA SONIA")*
  (desp[categoria]=CY$7)*
  (desp[data.pagamento]&gt;=$A47)*
  (desp[data.pagamento]&lt;EOMONTH($A47,0)+1)
)</f>
        <v>0</v>
      </c>
    </row>
    <row r="48" spans="1:103" x14ac:dyDescent="0.25">
      <c r="A48" s="176">
        <v>45566</v>
      </c>
      <c r="B48" s="177">
        <f>COUNTIFS(
    estq[empresa], B$6,
    estq[Data da venda / reserva], "&gt;=" &amp; $A48,
    estq[Data da venda / reserva], "&lt;"  &amp; EOMONTH($A48,0) + 1
)</f>
        <v>0</v>
      </c>
      <c r="C48" s="178">
        <f ca="1">SUMIFS(rec.uni[2024-10-01],
INDIRECT("rec.uni[natureza]"),"pro.soluto",
INDIRECT("rec.uni[empresa]"),C$6)</f>
        <v>0</v>
      </c>
      <c r="D48" s="178">
        <f ca="1">SUMIFS(rec.uni[2024-10-01],
INDIRECT("rec.uni[natureza]"),"repasse.cef.obra",
INDIRECT("rec.uni[empresa]"),D$6)</f>
        <v>0</v>
      </c>
      <c r="E48" s="178">
        <f ca="1">SUMIFS(rec.uni[2024-10-01],
INDIRECT("rec.uni[natureza]"),"repasse.cef.terreno",
INDIRECT("rec.uni[empresa]"),E$6)</f>
        <v>0</v>
      </c>
      <c r="F48" s="178">
        <v>473587.72</v>
      </c>
      <c r="G48" s="178">
        <f ca="1">SUMIFS(rec.uni[2024-10-01],
INDIRECT("rec.uni[natureza]"),"taxa.extra",
INDIRECT("rec.uni[empresa]"),G$6)</f>
        <v>0</v>
      </c>
      <c r="H48" s="166"/>
      <c r="I48" s="178" cm="1">
        <f t="array" ref="I48">SUMPRODUCT(
  IFERROR(--desp[valor],0)*
  (desp[nucleo]="UP JARDIM PRUDENCIA")*
  (desp[categoria]=I$7)*
  (desp[data.pagamento]&gt;=$A48)*
  (desp[data.pagamento]&lt;EOMONTH($A48,0)+1)
)</f>
        <v>0</v>
      </c>
      <c r="J48" s="178" cm="1">
        <f t="array" ref="J48">SUMPRODUCT(
  IFERROR(--desp[valor],0)*
  (desp[nucleo]="UP JARDIM PRUDENCIA")*
  (desp[categoria]=J$7)*
  (desp[data.pagamento]&gt;=$A48)*
  (desp[data.pagamento]&lt;EOMONTH($A48,0)+1)
)</f>
        <v>0</v>
      </c>
      <c r="K48" s="178" cm="1">
        <f t="array" ref="K48">SUMPRODUCT(
  IFERROR(--desp[valor],0)*
  (desp[nucleo]="UP JARDIM PRUDENCIA")*
  (desp[categoria]=K$7)*
  (desp[data.pagamento]&gt;=$A48)*
  (desp[data.pagamento]&lt;EOMONTH($A48,0)+1)
)</f>
        <v>0</v>
      </c>
      <c r="L48" s="178" cm="1">
        <f t="array" ref="L48">SUMPRODUCT(
  IFERROR(--desp[valor],0)*
  (desp[nucleo]="UP JARDIM PRUDENCIA")*
  (desp[categoria]=L$7)*
  (desp[data.pagamento]&gt;=$A48)*
  (desp[data.pagamento]&lt;EOMONTH($A48,0)+1)
)</f>
        <v>0</v>
      </c>
      <c r="M48" s="179" cm="1">
        <f t="array" ref="M48">SUMPRODUCT(
  IFERROR(--desp[valor],0)*
  (desp[nucleo]="UP JARDIM PRUDENCIA")*
  (desp[categoria]=M$7)*
  (desp[data.pagamento]&gt;=$A48)*
  (desp[data.pagamento]&lt;EOMONTH($A48,0)+1)
)</f>
        <v>0</v>
      </c>
      <c r="N48" s="177">
        <f>COUNTIFS(
    estq[empresa], N$6,
    estq[Data da venda / reserva], "&gt;=" &amp; $A48,
    estq[Data da venda / reserva], "&lt;"  &amp; EOMONTH($A48,0) + 1
)</f>
        <v>0</v>
      </c>
      <c r="O48" s="178">
        <f ca="1">SUMIFS(rec.uni[2024-10-01],
INDIRECT("rec.uni[natureza]"),"pro.soluto",
INDIRECT("rec.uni[empresa]"),O$6)</f>
        <v>0</v>
      </c>
      <c r="P48" s="178">
        <f ca="1">SUMIFS(rec.uni[2024-10-01],
INDIRECT("rec.uni[natureza]"),"repasse.cef.obra",
INDIRECT("rec.uni[empresa]"),P$6)</f>
        <v>0</v>
      </c>
      <c r="Q48" s="178">
        <f ca="1">SUMIFS(rec.uni[2024-10-01],
INDIRECT("rec.uni[natureza]"),"repasse.cef.terreno",
INDIRECT("rec.uni[empresa]"),Q$6)</f>
        <v>0</v>
      </c>
      <c r="R48" s="178">
        <v>0</v>
      </c>
      <c r="S48" s="178">
        <f ca="1">SUMIFS(rec.uni[2024-10-01],
INDIRECT("rec.uni[natureza]"),"taxa.extra",
INDIRECT("rec.uni[empresa]"),S$6)</f>
        <v>0</v>
      </c>
      <c r="T48" s="166"/>
      <c r="U48" s="178" cm="1">
        <f t="array" ref="U48">SUMPRODUCT(
  IFERROR(--desp[valor],0)*
  (desp[nucleo]="UP VILA SONIA")*
  (desp[categoria]=U$7)*
  (desp[data.pagamento]&gt;=$A48)*
  (desp[data.pagamento]&lt;EOMONTH($A48,0)+1)
)</f>
        <v>0</v>
      </c>
      <c r="V48" s="178" cm="1">
        <f t="array" ref="V48">SUMPRODUCT(
  IFERROR(--desp[valor],0)*
  (desp[nucleo]="UP VILA SONIA")*
  (desp[categoria]=V$7)*
  (desp[data.pagamento]&gt;=$A48)*
  (desp[data.pagamento]&lt;EOMONTH($A48,0)+1)
)</f>
        <v>0</v>
      </c>
      <c r="W48" s="178" cm="1">
        <f t="array" ref="W48">SUMPRODUCT(
  IFERROR(--desp[valor],0)*
  (desp[nucleo]="UP VILA SONIA")*
  (desp[categoria]=W$7)*
  (desp[data.pagamento]&gt;=$A48)*
  (desp[data.pagamento]&lt;EOMONTH($A48,0)+1)
)</f>
        <v>0</v>
      </c>
      <c r="X48" s="178" cm="1">
        <f t="array" ref="X48">SUMPRODUCT(
  IFERROR(--desp[valor],0)*
  (desp[nucleo]="UP VILA SONIA")*
  (desp[categoria]=X$7)*
  (desp[data.pagamento]&gt;=$A48)*
  (desp[data.pagamento]&lt;EOMONTH($A48,0)+1)
)</f>
        <v>0</v>
      </c>
      <c r="Y48" s="179" cm="1">
        <f t="array" ref="Y48">SUMPRODUCT(
  IFERROR(--desp[valor],0)*
  (desp[nucleo]="UP VILA SONIA")*
  (desp[categoria]=Y$7)*
  (desp[data.pagamento]&gt;=$A48)*
  (desp[data.pagamento]&lt;EOMONTH($A48,0)+1)
)</f>
        <v>0</v>
      </c>
      <c r="Z48" s="177">
        <f>COUNTIFS(
    estq[empresa], Z$6,
    estq[Data da venda / reserva], "&gt;=" &amp; $A48,
    estq[Data da venda / reserva], "&lt;"  &amp; EOMONTH($A48,0) + 1
)</f>
        <v>0</v>
      </c>
      <c r="AA48" s="178">
        <f ca="1">SUMIFS(rec.uni[2024-10-01],
INDIRECT("rec.uni[natureza]"),"pro.soluto",
INDIRECT("rec.uni[empresa]"),AA$6)</f>
        <v>0</v>
      </c>
      <c r="AB48" s="178">
        <f ca="1">SUMIFS(rec.uni[2024-10-01],
INDIRECT("rec.uni[natureza]"),"pro.soluto",
INDIRECT("rec.uni[empresa]"),AB$6)</f>
        <v>0</v>
      </c>
      <c r="AC48" s="178">
        <f ca="1">SUMIFS(rec.uni[2024-10-01],
INDIRECT("rec.uni[natureza]"),"taxa.extra",
INDIRECT("rec.uni[empresa]"),AC$6)</f>
        <v>0</v>
      </c>
      <c r="AD48" s="166"/>
      <c r="AE48" s="178" cm="1">
        <f t="array" ref="AE48">SUMPRODUCT(
  IFERROR(--desp[valor],0)*
  (desp[nucleo]="UP CAMPO BELO")*
  (desp[categoria]=AE$7)*
  (desp[data.pagamento]&gt;=$A48)*
  (desp[data.pagamento]&lt;EOMONTH($A48,0)+1)
)</f>
        <v>0</v>
      </c>
      <c r="AF48" s="178" cm="1">
        <f t="array" ref="AF48">SUMPRODUCT(
  IFERROR(--desp[valor],0)*
  (desp[nucleo]="UP CAMPO BELO")*
  (desp[categoria]=AF$7)*
  (desp[data.pagamento]&gt;=$A48)*
  (desp[data.pagamento]&lt;EOMONTH($A48,0)+1)
)</f>
        <v>0</v>
      </c>
      <c r="AG48" s="178" cm="1">
        <f t="array" ref="AG48">SUMPRODUCT(
  IFERROR(--desp[valor],0)*
  (desp[nucleo]="UP CAMPO BELO")*
  (desp[categoria]=AG$7)*
  (desp[data.pagamento]&gt;=$A48)*
  (desp[data.pagamento]&lt;EOMONTH($A48,0)+1)
)</f>
        <v>0</v>
      </c>
      <c r="AH48" s="178" cm="1">
        <f t="array" ref="AH48">SUMPRODUCT(
  IFERROR(--desp[valor],0)*
  (desp[nucleo]="UP CAMPO BELO")*
  (desp[categoria]=AH$7)*
  (desp[data.pagamento]&gt;=$A48)*
  (desp[data.pagamento]&lt;EOMONTH($A48,0)+1)
)</f>
        <v>0</v>
      </c>
      <c r="AI48" s="179" cm="1">
        <f t="array" ref="AI48">SUMPRODUCT(
  IFERROR(--desp[valor],0)*
  (desp[nucleo]="UP CAMPO BELO")*
  (desp[categoria]=AI$7)*
  (desp[data.pagamento]&gt;=$A48)*
  (desp[data.pagamento]&lt;EOMONTH($A48,0)+1)
)</f>
        <v>0</v>
      </c>
      <c r="AJ48" s="177">
        <f>COUNTIFS(
    estq[empresa], AJ$6,
    estq[Data da venda / reserva], "&gt;=" &amp; $A48,
    estq[Data da venda / reserva], "&lt;"  &amp; EOMONTH($A48,0) + 1
)</f>
        <v>0</v>
      </c>
      <c r="AK48" s="178">
        <f ca="1">SUMIFS(rec.uni[2024-10-01],
INDIRECT("rec.uni[natureza]"),"pro.soluto",
INDIRECT("rec.uni[empresa]"),AK$6)</f>
        <v>0</v>
      </c>
      <c r="AL48" s="178">
        <f ca="1">SUMIFS(rec.uni[2024-10-01],
INDIRECT("rec.uni[natureza]"),"repasse.cef.obra",
INDIRECT("rec.uni[empresa]"),AL$6)</f>
        <v>0</v>
      </c>
      <c r="AM48" s="178">
        <f ca="1">SUMIFS(rec.uni[2024-10-01],
INDIRECT("rec.uni[natureza]"),"repasse.cef.terreno",
INDIRECT("rec.uni[empresa]"),AM$6)</f>
        <v>0</v>
      </c>
      <c r="AN48" s="178">
        <v>0</v>
      </c>
      <c r="AO48" s="178">
        <f ca="1">SUMIFS(rec.uni[2024-10-01],
INDIRECT("rec.uni[natureza]"),"taxa.extra",
INDIRECT("rec.uni[empresa]"),AO$6)</f>
        <v>0</v>
      </c>
      <c r="AP48" s="166"/>
      <c r="AQ48" s="178" cm="1">
        <f t="array" ref="AQ48">SUMPRODUCT(
  IFERROR(--desp[valor],0)*
  (desp[nucleo]="UP SELECT VILA SONIA")*
  (desp[categoria]=AQ$7)*
  (desp[data.pagamento]&gt;=$A48)*
  (desp[data.pagamento]&lt;EOMONTH($A48,0)+1)
)</f>
        <v>0</v>
      </c>
      <c r="AR48" s="178" cm="1">
        <f t="array" ref="AR48">SUMPRODUCT(
  IFERROR(--desp[valor],0)*
  (desp[nucleo]="UP SELECT VILA SONIA")*
  (desp[categoria]=AR$7)*
  (desp[data.pagamento]&gt;=$A48)*
  (desp[data.pagamento]&lt;EOMONTH($A48,0)+1)
)</f>
        <v>0</v>
      </c>
      <c r="AS48" s="178" cm="1">
        <f t="array" ref="AS48">SUMPRODUCT(
  IFERROR(--desp[valor],0)*
  (desp[nucleo]="UP SELECT VILA SONIA")*
  (desp[categoria]=AS$7)*
  (desp[data.pagamento]&gt;=$A48)*
  (desp[data.pagamento]&lt;EOMONTH($A48,0)+1)
)</f>
        <v>0</v>
      </c>
      <c r="AT48" s="178" cm="1">
        <f t="array" ref="AT48">SUMPRODUCT(
  IFERROR(--desp[valor],0)*
  (desp[nucleo]="UP SELECT VILA SONIA")*
  (desp[categoria]=AT$7)*
  (desp[data.pagamento]&gt;=$A48)*
  (desp[data.pagamento]&lt;EOMONTH($A48,0)+1)
)</f>
        <v>0</v>
      </c>
      <c r="AU48" s="179" cm="1">
        <f t="array" ref="AU48">SUMPRODUCT(
  IFERROR(--desp[valor],0)*
  (desp[nucleo]="UP SELECT VILA SONIA")*
  (desp[categoria]=AU$7)*
  (desp[data.pagamento]&gt;=$A48)*
  (desp[data.pagamento]&lt;EOMONTH($A48,0)+1)
)</f>
        <v>0</v>
      </c>
      <c r="AV48" s="177">
        <f>COUNTIFS(
    estq[empresa], AV$6,
    estq[Data da venda / reserva], "&gt;=" &amp; $A48,
    estq[Data da venda / reserva], "&lt;"  &amp; EOMONTH($A48,0) + 1
)</f>
        <v>0</v>
      </c>
      <c r="AW48" s="178">
        <f ca="1">SUMIFS(rec.uni[2024-10-01],
INDIRECT("rec.uni[natureza]"),"pro.soluto",
INDIRECT("rec.uni[empresa]"),AW$6)</f>
        <v>0</v>
      </c>
      <c r="AX48" s="178">
        <f ca="1">SUMIFS(rec.uni[2024-10-01],
INDIRECT("rec.uni[natureza]"),"repasse.cef.obra",
INDIRECT("rec.uni[empresa]"),AX$6)</f>
        <v>0</v>
      </c>
      <c r="AY48" s="178">
        <f ca="1">SUMIFS(rec.uni[2024-10-01],
INDIRECT("rec.uni[natureza]"),"repasse.cef.terreno",
INDIRECT("rec.uni[empresa]"),AY$6)</f>
        <v>0</v>
      </c>
      <c r="AZ48" s="178">
        <v>0</v>
      </c>
      <c r="BA48" s="178">
        <f ca="1">SUMIFS(rec.uni[2024-10-01],
INDIRECT("rec.uni[natureza]"),"taxa.extra",
INDIRECT("rec.uni[empresa]"),BA$6)</f>
        <v>0</v>
      </c>
      <c r="BB48" s="166"/>
      <c r="BC48" s="178" cm="1">
        <f t="array" ref="BC48">SUMPRODUCT(
  IFERROR(--desp[valor],0)*
  (desp[nucleo]="UP ESTAÇÃO SÃO LUCAS")*
  (desp[categoria]=BC$7)*
  (desp[data.pagamento]&gt;=$A48)*
  (desp[data.pagamento]&lt;EOMONTH($A48,0)+1)
)</f>
        <v>0</v>
      </c>
      <c r="BD48" s="178" cm="1">
        <f t="array" ref="BD48">SUMPRODUCT(
  IFERROR(--desp[valor],0)*
  (desp[nucleo]="UP ESTAÇÃO SÃO LUCAS")*
  (desp[categoria]=BD$7)*
  (desp[data.pagamento]&gt;=$A48)*
  (desp[data.pagamento]&lt;EOMONTH($A48,0)+1)
)</f>
        <v>0</v>
      </c>
      <c r="BE48" s="178" cm="1">
        <f t="array" ref="BE48">SUMPRODUCT(
  IFERROR(--desp[valor],0)*
  (desp[nucleo]="UP ESTAÇÃO SÃO LUCAS")*
  (desp[categoria]=BE$7)*
  (desp[data.pagamento]&gt;=$A48)*
  (desp[data.pagamento]&lt;EOMONTH($A48,0)+1)
)</f>
        <v>0</v>
      </c>
      <c r="BF48" s="178" cm="1">
        <f t="array" ref="BF48">SUMPRODUCT(
  IFERROR(--desp[valor],0)*
  (desp[nucleo]="UP ESTAÇÃO SÃO LUCAS")*
  (desp[categoria]=BF$7)*
  (desp[data.pagamento]&gt;=$A48)*
  (desp[data.pagamento]&lt;EOMONTH($A48,0)+1)
)</f>
        <v>0</v>
      </c>
      <c r="BG48" s="179" cm="1">
        <f t="array" ref="BG48">SUMPRODUCT(
  IFERROR(--desp[valor],0)*
  (desp[nucleo]="UP ESTAÇÃO SÃO LUCAS")*
  (desp[categoria]=BG$7)*
  (desp[data.pagamento]&gt;=$A48)*
  (desp[data.pagamento]&lt;EOMONTH($A48,0)+1)
)</f>
        <v>0</v>
      </c>
      <c r="BH48" s="177">
        <f>COUNTIFS(
    estq[empresa], BH$6,
    estq[Data da venda / reserva], "&gt;=" &amp; $A48,
    estq[Data da venda / reserva], "&lt;"  &amp; EOMONTH($A48,0) + 1
)</f>
        <v>0</v>
      </c>
      <c r="BI48" s="178">
        <f ca="1">SUMIFS(rec.uni[2024-10-01],
INDIRECT("rec.uni[natureza]"),"pro.soluto",
INDIRECT("rec.uni[empresa]"),BI$6)</f>
        <v>0</v>
      </c>
      <c r="BJ48" s="166">
        <f>0.87*94736</f>
        <v>82420.319999999992</v>
      </c>
      <c r="BK48" s="178">
        <f ca="1">SUMIFS(rec.uni[2024-10-01],
INDIRECT("rec.uni[natureza]"),"taxa.extra",
INDIRECT("rec.uni[empresa]"),BK$6)</f>
        <v>0</v>
      </c>
      <c r="BL48" s="166"/>
      <c r="BM48" s="178" cm="1">
        <f t="array" ref="BM48">SUMPRODUCT(
  IFERROR(--desp[valor],0)*
  (desp[nucleo]="UP POMPEIA")*
  (desp[categoria]=BM$7)*
  (desp[data.pagamento]&gt;=$A48)*
  (desp[data.pagamento]&lt;EOMONTH($A48,0)+1)
)</f>
        <v>0</v>
      </c>
      <c r="BN48" s="178" cm="1">
        <f t="array" ref="BN48">SUMPRODUCT(
  IFERROR(--desp[valor],0)*
  (desp[nucleo]="UP POMPEIA")*
  (desp[categoria]=BN$7)*
  (desp[data.pagamento]&gt;=$A48)*
  (desp[data.pagamento]&lt;EOMONTH($A48,0)+1)
)</f>
        <v>0</v>
      </c>
      <c r="BO48" s="178" cm="1">
        <f t="array" ref="BO48">SUMPRODUCT(
  IFERROR(--desp[valor],0)*
  (desp[nucleo]="UP POMPEIA")*
  (desp[categoria]=BO$7)*
  (desp[data.pagamento]&gt;=$A48)*
  (desp[data.pagamento]&lt;EOMONTH($A48,0)+1)
)</f>
        <v>0</v>
      </c>
      <c r="BP48" s="178" cm="1">
        <f t="array" ref="BP48">SUMPRODUCT(
  IFERROR(--desp[valor],0)*
  (desp[nucleo]="UP POMPEIA")*
  (desp[categoria]=BP$7)*
  (desp[data.pagamento]&gt;=$A48)*
  (desp[data.pagamento]&lt;EOMONTH($A48,0)+1)
)</f>
        <v>0</v>
      </c>
      <c r="BQ48" s="179" cm="1">
        <f t="array" ref="BQ48">SUMPRODUCT(
  IFERROR(--desp[valor],0)*
  (desp[nucleo]="UP POMPEIA")*
  (desp[categoria]=BQ$7)*
  (desp[data.pagamento]&gt;=$A48)*
  (desp[data.pagamento]&lt;EOMONTH($A48,0)+1)
)</f>
        <v>0</v>
      </c>
      <c r="BR48" s="177">
        <f>COUNTIFS(
    estq[empresa], BR$6,
    estq[Data da venda / reserva], "&gt;=" &amp; $A48,
    estq[Data da venda / reserva], "&lt;"  &amp; EOMONTH($A48,0) + 1
)</f>
        <v>0</v>
      </c>
      <c r="BS48" s="178">
        <f ca="1">SUMIFS(rec.uni[2024-10-01],
INDIRECT("rec.uni[natureza]"),"pro.soluto",
INDIRECT("rec.uni[empresa]"),BS$6)</f>
        <v>0</v>
      </c>
      <c r="BT48" s="178">
        <f ca="1">SUMIFS(rec.uni[2024-10-01],
INDIRECT("rec.uni[natureza]"),"pro.soluto",
INDIRECT("rec.uni[empresa]"),BT$6)</f>
        <v>0</v>
      </c>
      <c r="BU48" s="178">
        <f ca="1">SUMIFS(rec.uni[2024-10-01],
INDIRECT("rec.uni[natureza]"),"taxa.extra",
INDIRECT("rec.uni[empresa]"),BU$6)</f>
        <v>0</v>
      </c>
      <c r="BV48" s="166"/>
      <c r="BW48" s="178" cm="1">
        <f t="array" ref="BW48">SUMPRODUCT(
  IFERROR(--desp[valor],0)*
  (desp[nucleo]="UP SAUDE")*
  (desp[categoria]=BW$7)*
  (desp[data.pagamento]&gt;=$A48)*
  (desp[data.pagamento]&lt;EOMONTH($A48,0)+1)
)</f>
        <v>0</v>
      </c>
      <c r="BX48" s="178" cm="1">
        <f t="array" ref="BX48">SUMPRODUCT(
  IFERROR(--desp[valor],0)*
  (desp[nucleo]="UP SAUDE")*
  (desp[categoria]=BX$7)*
  (desp[data.pagamento]&gt;=$A48)*
  (desp[data.pagamento]&lt;EOMONTH($A48,0)+1)
)</f>
        <v>0</v>
      </c>
      <c r="BY48" s="178" cm="1">
        <f t="array" ref="BY48">SUMPRODUCT(
  IFERROR(--desp[valor],0)*
  (desp[nucleo]="UP SAUDE")*
  (desp[categoria]=BY$7)*
  (desp[data.pagamento]&gt;=$A48)*
  (desp[data.pagamento]&lt;EOMONTH($A48,0)+1)
)</f>
        <v>0</v>
      </c>
      <c r="BZ48" s="178" cm="1">
        <f t="array" ref="BZ48">SUMPRODUCT(
  IFERROR(--desp[valor],0)*
  (desp[nucleo]="UP SAUDE")*
  (desp[categoria]=BZ$7)*
  (desp[data.pagamento]&gt;=$A48)*
  (desp[data.pagamento]&lt;EOMONTH($A48,0)+1)
)</f>
        <v>0</v>
      </c>
      <c r="CA48" s="179" cm="1">
        <f t="array" ref="CA48">SUMPRODUCT(
  IFERROR(--desp[valor],0)*
  (desp[nucleo]="UP SAUDE")*
  (desp[categoria]=CA$7)*
  (desp[data.pagamento]&gt;=$A48)*
  (desp[data.pagamento]&lt;EOMONTH($A48,0)+1)
)</f>
        <v>0</v>
      </c>
      <c r="CB48" s="177">
        <f>COUNTIFS(
    estq[empresa], CB$6,
    estq[Data da venda / reserva], "&gt;=" &amp; $A48,
    estq[Data da venda / reserva], "&lt;"  &amp; EOMONTH($A48,0) + 1
)</f>
        <v>0</v>
      </c>
      <c r="CC48" s="178">
        <f ca="1">SUMIFS(rec.uni[2024-10-01],
INDIRECT("rec.uni[natureza]"),"pro.soluto",
INDIRECT("rec.uni[empresa]"),CC$6)</f>
        <v>0</v>
      </c>
      <c r="CD48" s="178">
        <f ca="1">SUMIFS(rec.uni[2024-10-01],
INDIRECT("rec.uni[natureza]"),"repasse.cef.obra",
INDIRECT("rec.uni[empresa]"),CD$6)</f>
        <v>0</v>
      </c>
      <c r="CE48" s="178">
        <f ca="1">SUMIFS(rec.uni[2024-10-01],
INDIRECT("rec.uni[natureza]"),"repasse.cef.terreno",
INDIRECT("rec.uni[empresa]"),CE$6)</f>
        <v>0</v>
      </c>
      <c r="CF48" s="178">
        <v>0</v>
      </c>
      <c r="CG48" s="178">
        <f ca="1">SUMIFS(rec.uni[2024-10-01],
INDIRECT("rec.uni[natureza]"),"taxa.extra",
INDIRECT("rec.uni[empresa]"),CG$6)</f>
        <v>0</v>
      </c>
      <c r="CH48" s="166"/>
      <c r="CI48" s="178" cm="1">
        <f t="array" ref="CI48">SUMPRODUCT(
  IFERROR(--desp[valor],0)*
  (desp[nucleo]="UP ESTAÇÃO VILA SONIA")*
  (desp[categoria]=CI$7)*
  (desp[data.pagamento]&gt;=$A48)*
  (desp[data.pagamento]&lt;EOMONTH($A48,0)+1)
)</f>
        <v>0</v>
      </c>
      <c r="CJ48" s="178" cm="1">
        <f t="array" ref="CJ48">SUMPRODUCT(
  IFERROR(--desp[valor],0)*
  (desp[nucleo]="UP ESTAÇÃO VILA SONIA")*
  (desp[categoria]=CJ$7)*
  (desp[data.pagamento]&gt;=$A48)*
  (desp[data.pagamento]&lt;EOMONTH($A48,0)+1)
)</f>
        <v>0</v>
      </c>
      <c r="CK48" s="178" cm="1">
        <f t="array" ref="CK48">SUMPRODUCT(
  IFERROR(--desp[valor],0)*
  (desp[nucleo]="UP ESTAÇÃO VILA SONIA")*
  (desp[categoria]=CK$7)*
  (desp[data.pagamento]&gt;=$A48)*
  (desp[data.pagamento]&lt;EOMONTH($A48,0)+1)
)</f>
        <v>0</v>
      </c>
      <c r="CL48" s="178" cm="1">
        <f t="array" ref="CL48">SUMPRODUCT(
  IFERROR(--desp[valor],0)*
  (desp[nucleo]="UP ESTAÇÃO VILA SONIA")*
  (desp[categoria]=CL$7)*
  (desp[data.pagamento]&gt;=$A48)*
  (desp[data.pagamento]&lt;EOMONTH($A48,0)+1)
)</f>
        <v>0</v>
      </c>
      <c r="CM48" s="179" cm="1">
        <f t="array" ref="CM48">SUMPRODUCT(
  IFERROR(--desp[valor],0)*
  (desp[nucleo]="UP ESTAÇÃO VILA SONIA")*
  (desp[categoria]=CM$7)*
  (desp[data.pagamento]&gt;=$A48)*
  (desp[data.pagamento]&lt;EOMONTH($A48,0)+1)
)</f>
        <v>0</v>
      </c>
      <c r="CN48" s="177">
        <f>COUNTIFS(
    estq[empresa], CN$6,
    estq[Data da venda / reserva], "&gt;=" &amp; $A48,
    estq[Data da venda / reserva], "&lt;"  &amp; EOMONTH($A48,0) + 1
)</f>
        <v>0</v>
      </c>
      <c r="CO48" s="178">
        <f ca="1">SUMIFS(rec.uni[2024-10-01],
INDIRECT("rec.uni[natureza]"),"pro.soluto",
INDIRECT("rec.uni[empresa]"),CO$6)</f>
        <v>0</v>
      </c>
      <c r="CP48" s="178">
        <f ca="1">SUMIFS(rec.uni[2024-10-01],
INDIRECT("rec.uni[natureza]"),"repasse.cef.obra",
INDIRECT("rec.uni[empresa]"),CP$6)</f>
        <v>0</v>
      </c>
      <c r="CQ48" s="178">
        <f ca="1">SUMIFS(rec.uni[2024-10-01],
INDIRECT("rec.uni[natureza]"),"repasse.cef.terreno",
INDIRECT("rec.uni[empresa]"),CQ$6)</f>
        <v>0</v>
      </c>
      <c r="CR48" s="178">
        <v>0</v>
      </c>
      <c r="CS48" s="178">
        <f ca="1">SUMIFS(rec.uni[2024-10-01],
INDIRECT("rec.uni[natureza]"),"taxa.extra",
INDIRECT("rec.uni[empresa]"),CS$6)</f>
        <v>0</v>
      </c>
      <c r="CT48" s="166"/>
      <c r="CU48" s="178" cm="1">
        <f t="array" ref="CU48">SUMPRODUCT(
  IFERROR(--desp[valor],0)*
  (desp[nucleo]="UP MOVE VILA SONIA")*
  (desp[categoria]=CU$7)*
  (desp[data.pagamento]&gt;=$A48)*
  (desp[data.pagamento]&lt;EOMONTH($A48,0)+1)
)</f>
        <v>0</v>
      </c>
      <c r="CV48" s="178" cm="1">
        <f t="array" ref="CV48">SUMPRODUCT(
  IFERROR(--desp[valor],0)*
  (desp[nucleo]="UP MOVE VILA SONIA")*
  (desp[categoria]=CV$7)*
  (desp[data.pagamento]&gt;=$A48)*
  (desp[data.pagamento]&lt;EOMONTH($A48,0)+1)
)</f>
        <v>0</v>
      </c>
      <c r="CW48" s="178" cm="1">
        <f t="array" ref="CW48">SUMPRODUCT(
  IFERROR(--desp[valor],0)*
  (desp[nucleo]="UP MOVE VILA SONIA")*
  (desp[categoria]=CW$7)*
  (desp[data.pagamento]&gt;=$A48)*
  (desp[data.pagamento]&lt;EOMONTH($A48,0)+1)
)</f>
        <v>0</v>
      </c>
      <c r="CX48" s="178" cm="1">
        <f t="array" ref="CX48">SUMPRODUCT(
  IFERROR(--desp[valor],0)*
  (desp[nucleo]="UP MOVE VILA SONIA")*
  (desp[categoria]=CX$7)*
  (desp[data.pagamento]&gt;=$A48)*
  (desp[data.pagamento]&lt;EOMONTH($A48,0)+1)
)</f>
        <v>0</v>
      </c>
      <c r="CY48" s="180" cm="1">
        <f t="array" ref="CY48">SUMPRODUCT(
  IFERROR(--desp[valor],0)*
  (desp[nucleo]="UP MOVE VILA SONIA")*
  (desp[categoria]=CY$7)*
  (desp[data.pagamento]&gt;=$A48)*
  (desp[data.pagamento]&lt;EOMONTH($A48,0)+1)
)</f>
        <v>0</v>
      </c>
    </row>
    <row r="49" spans="1:103" x14ac:dyDescent="0.25">
      <c r="A49" s="176">
        <v>45597</v>
      </c>
      <c r="B49" s="177">
        <f>COUNTIFS(
    estq[empresa], B$6,
    estq[Data da venda / reserva], "&gt;=" &amp; $A49,
    estq[Data da venda / reserva], "&lt;"  &amp; EOMONTH($A49,0) + 1
)</f>
        <v>0</v>
      </c>
      <c r="C49" s="178">
        <f ca="1">SUMIFS(rec.uni[2024-11-01],
INDIRECT("rec.uni[natureza]"),"pro.soluto",
INDIRECT("rec.uni[empresa]"),C$6)</f>
        <v>0</v>
      </c>
      <c r="D49" s="178">
        <f ca="1">SUMIFS(rec.uni[2024-11-01],
INDIRECT("rec.uni[natureza]"),"repasse.cef.obra",
INDIRECT("rec.uni[empresa]"),D$6)</f>
        <v>0</v>
      </c>
      <c r="E49" s="178">
        <f ca="1">SUMIFS(rec.uni[2024-11-01],
INDIRECT("rec.uni[natureza]"),"repasse.cef.terreno",
INDIRECT("rec.uni[empresa]"),E$6)</f>
        <v>0</v>
      </c>
      <c r="F49" s="178">
        <v>0</v>
      </c>
      <c r="G49" s="178">
        <f ca="1">SUMIFS(rec.uni[2024-11-01],
INDIRECT("rec.uni[natureza]"),"taxa.extra",
INDIRECT("rec.uni[empresa]"),G$6)</f>
        <v>0</v>
      </c>
      <c r="H49" s="166"/>
      <c r="I49" s="178" cm="1">
        <f t="array" ref="I49">SUMPRODUCT(
  IFERROR(--desp[valor],0)*
  (desp[nucleo]="UP JARDIM PRUDENCIA")*
  (desp[categoria]=I$7)*
  (desp[data.pagamento]&gt;=$A49)*
  (desp[data.pagamento]&lt;EOMONTH($A49,0)+1)
)</f>
        <v>0</v>
      </c>
      <c r="J49" s="178" cm="1">
        <f t="array" ref="J49">SUMPRODUCT(
  IFERROR(--desp[valor],0)*
  (desp[nucleo]="UP JARDIM PRUDENCIA")*
  (desp[categoria]=J$7)*
  (desp[data.pagamento]&gt;=$A49)*
  (desp[data.pagamento]&lt;EOMONTH($A49,0)+1)
)</f>
        <v>0</v>
      </c>
      <c r="K49" s="178" cm="1">
        <f t="array" ref="K49">SUMPRODUCT(
  IFERROR(--desp[valor],0)*
  (desp[nucleo]="UP JARDIM PRUDENCIA")*
  (desp[categoria]=K$7)*
  (desp[data.pagamento]&gt;=$A49)*
  (desp[data.pagamento]&lt;EOMONTH($A49,0)+1)
)</f>
        <v>0</v>
      </c>
      <c r="L49" s="178" cm="1">
        <f t="array" ref="L49">SUMPRODUCT(
  IFERROR(--desp[valor],0)*
  (desp[nucleo]="UP JARDIM PRUDENCIA")*
  (desp[categoria]=L$7)*
  (desp[data.pagamento]&gt;=$A49)*
  (desp[data.pagamento]&lt;EOMONTH($A49,0)+1)
)</f>
        <v>0</v>
      </c>
      <c r="M49" s="179" cm="1">
        <f t="array" ref="M49">SUMPRODUCT(
  IFERROR(--desp[valor],0)*
  (desp[nucleo]="UP JARDIM PRUDENCIA")*
  (desp[categoria]=M$7)*
  (desp[data.pagamento]&gt;=$A49)*
  (desp[data.pagamento]&lt;EOMONTH($A49,0)+1)
)</f>
        <v>0</v>
      </c>
      <c r="N49" s="177">
        <f>COUNTIFS(
    estq[empresa], N$6,
    estq[Data da venda / reserva], "&gt;=" &amp; $A49,
    estq[Data da venda / reserva], "&lt;"  &amp; EOMONTH($A49,0) + 1
)</f>
        <v>0</v>
      </c>
      <c r="O49" s="178">
        <f ca="1">SUMIFS(rec.uni[2024-11-01],
INDIRECT("rec.uni[natureza]"),"pro.soluto",
INDIRECT("rec.uni[empresa]"),O$6)</f>
        <v>0</v>
      </c>
      <c r="P49" s="178">
        <f ca="1">SUMIFS(rec.uni[2024-11-01],
INDIRECT("rec.uni[natureza]"),"repasse.cef.obra",
INDIRECT("rec.uni[empresa]"),P$6)</f>
        <v>0</v>
      </c>
      <c r="Q49" s="178">
        <f ca="1">SUMIFS(rec.uni[2024-11-01],
INDIRECT("rec.uni[natureza]"),"repasse.cef.terreno",
INDIRECT("rec.uni[empresa]"),Q$6)</f>
        <v>0</v>
      </c>
      <c r="R49" s="178">
        <v>0</v>
      </c>
      <c r="S49" s="178">
        <f ca="1">SUMIFS(rec.uni[2024-11-01],
INDIRECT("rec.uni[natureza]"),"taxa.extra",
INDIRECT("rec.uni[empresa]"),S$6)</f>
        <v>0</v>
      </c>
      <c r="T49" s="166"/>
      <c r="U49" s="178" cm="1">
        <f t="array" ref="U49">SUMPRODUCT(
  IFERROR(--desp[valor],0)*
  (desp[nucleo]="UP VILA SONIA")*
  (desp[categoria]=U$7)*
  (desp[data.pagamento]&gt;=$A49)*
  (desp[data.pagamento]&lt;EOMONTH($A49,0)+1)
)</f>
        <v>0</v>
      </c>
      <c r="V49" s="178" cm="1">
        <f t="array" ref="V49">SUMPRODUCT(
  IFERROR(--desp[valor],0)*
  (desp[nucleo]="UP VILA SONIA")*
  (desp[categoria]=V$7)*
  (desp[data.pagamento]&gt;=$A49)*
  (desp[data.pagamento]&lt;EOMONTH($A49,0)+1)
)</f>
        <v>0</v>
      </c>
      <c r="W49" s="178" cm="1">
        <f t="array" ref="W49">SUMPRODUCT(
  IFERROR(--desp[valor],0)*
  (desp[nucleo]="UP VILA SONIA")*
  (desp[categoria]=W$7)*
  (desp[data.pagamento]&gt;=$A49)*
  (desp[data.pagamento]&lt;EOMONTH($A49,0)+1)
)</f>
        <v>0</v>
      </c>
      <c r="X49" s="178" cm="1">
        <f t="array" ref="X49">SUMPRODUCT(
  IFERROR(--desp[valor],0)*
  (desp[nucleo]="UP VILA SONIA")*
  (desp[categoria]=X$7)*
  (desp[data.pagamento]&gt;=$A49)*
  (desp[data.pagamento]&lt;EOMONTH($A49,0)+1)
)</f>
        <v>0</v>
      </c>
      <c r="Y49" s="179" cm="1">
        <f t="array" ref="Y49">SUMPRODUCT(
  IFERROR(--desp[valor],0)*
  (desp[nucleo]="UP VILA SONIA")*
  (desp[categoria]=Y$7)*
  (desp[data.pagamento]&gt;=$A49)*
  (desp[data.pagamento]&lt;EOMONTH($A49,0)+1)
)</f>
        <v>0</v>
      </c>
      <c r="Z49" s="177">
        <f>COUNTIFS(
    estq[empresa], Z$6,
    estq[Data da venda / reserva], "&gt;=" &amp; $A49,
    estq[Data da venda / reserva], "&lt;"  &amp; EOMONTH($A49,0) + 1
)</f>
        <v>0</v>
      </c>
      <c r="AA49" s="178">
        <f ca="1">SUMIFS(rec.uni[2024-11-01],
INDIRECT("rec.uni[natureza]"),"pro.soluto",
INDIRECT("rec.uni[empresa]"),AA$6)</f>
        <v>0</v>
      </c>
      <c r="AB49" s="178">
        <f ca="1">SUMIFS(rec.uni[2024-11-01],
INDIRECT("rec.uni[natureza]"),"pro.soluto",
INDIRECT("rec.uni[empresa]"),AB$6)</f>
        <v>0</v>
      </c>
      <c r="AC49" s="178">
        <f ca="1">SUMIFS(rec.uni[2024-11-01],
INDIRECT("rec.uni[natureza]"),"taxa.extra",
INDIRECT("rec.uni[empresa]"),AC$6)</f>
        <v>0</v>
      </c>
      <c r="AD49" s="166"/>
      <c r="AE49" s="178" cm="1">
        <f t="array" ref="AE49">SUMPRODUCT(
  IFERROR(--desp[valor],0)*
  (desp[nucleo]="UP CAMPO BELO")*
  (desp[categoria]=AE$7)*
  (desp[data.pagamento]&gt;=$A49)*
  (desp[data.pagamento]&lt;EOMONTH($A49,0)+1)
)</f>
        <v>0</v>
      </c>
      <c r="AF49" s="178" cm="1">
        <f t="array" ref="AF49">SUMPRODUCT(
  IFERROR(--desp[valor],0)*
  (desp[nucleo]="UP CAMPO BELO")*
  (desp[categoria]=AF$7)*
  (desp[data.pagamento]&gt;=$A49)*
  (desp[data.pagamento]&lt;EOMONTH($A49,0)+1)
)</f>
        <v>0</v>
      </c>
      <c r="AG49" s="178" cm="1">
        <f t="array" ref="AG49">SUMPRODUCT(
  IFERROR(--desp[valor],0)*
  (desp[nucleo]="UP CAMPO BELO")*
  (desp[categoria]=AG$7)*
  (desp[data.pagamento]&gt;=$A49)*
  (desp[data.pagamento]&lt;EOMONTH($A49,0)+1)
)</f>
        <v>0</v>
      </c>
      <c r="AH49" s="178" cm="1">
        <f t="array" ref="AH49">SUMPRODUCT(
  IFERROR(--desp[valor],0)*
  (desp[nucleo]="UP CAMPO BELO")*
  (desp[categoria]=AH$7)*
  (desp[data.pagamento]&gt;=$A49)*
  (desp[data.pagamento]&lt;EOMONTH($A49,0)+1)
)</f>
        <v>0</v>
      </c>
      <c r="AI49" s="179" cm="1">
        <f t="array" ref="AI49">SUMPRODUCT(
  IFERROR(--desp[valor],0)*
  (desp[nucleo]="UP CAMPO BELO")*
  (desp[categoria]=AI$7)*
  (desp[data.pagamento]&gt;=$A49)*
  (desp[data.pagamento]&lt;EOMONTH($A49,0)+1)
)</f>
        <v>0</v>
      </c>
      <c r="AJ49" s="177">
        <f>COUNTIFS(
    estq[empresa], AJ$6,
    estq[Data da venda / reserva], "&gt;=" &amp; $A49,
    estq[Data da venda / reserva], "&lt;"  &amp; EOMONTH($A49,0) + 1
)</f>
        <v>0</v>
      </c>
      <c r="AK49" s="178">
        <f ca="1">SUMIFS(rec.uni[2024-11-01],
INDIRECT("rec.uni[natureza]"),"pro.soluto",
INDIRECT("rec.uni[empresa]"),AK$6)</f>
        <v>0</v>
      </c>
      <c r="AL49" s="178">
        <f ca="1">SUMIFS(rec.uni[2024-11-01],
INDIRECT("rec.uni[natureza]"),"repasse.cef.obra",
INDIRECT("rec.uni[empresa]"),AL$6)</f>
        <v>0</v>
      </c>
      <c r="AM49" s="178">
        <f ca="1">SUMIFS(rec.uni[2024-11-01],
INDIRECT("rec.uni[natureza]"),"repasse.cef.terreno",
INDIRECT("rec.uni[empresa]"),AM$6)</f>
        <v>0</v>
      </c>
      <c r="AN49" s="178">
        <v>0</v>
      </c>
      <c r="AO49" s="178">
        <f ca="1">SUMIFS(rec.uni[2024-11-01],
INDIRECT("rec.uni[natureza]"),"taxa.extra",
INDIRECT("rec.uni[empresa]"),AO$6)</f>
        <v>0</v>
      </c>
      <c r="AP49" s="166"/>
      <c r="AQ49" s="178" cm="1">
        <f t="array" ref="AQ49">SUMPRODUCT(
  IFERROR(--desp[valor],0)*
  (desp[nucleo]="UP SELECT VILA SONIA")*
  (desp[categoria]=AQ$7)*
  (desp[data.pagamento]&gt;=$A49)*
  (desp[data.pagamento]&lt;EOMONTH($A49,0)+1)
)</f>
        <v>0</v>
      </c>
      <c r="AR49" s="178" cm="1">
        <f t="array" ref="AR49">SUMPRODUCT(
  IFERROR(--desp[valor],0)*
  (desp[nucleo]="UP SELECT VILA SONIA")*
  (desp[categoria]=AR$7)*
  (desp[data.pagamento]&gt;=$A49)*
  (desp[data.pagamento]&lt;EOMONTH($A49,0)+1)
)</f>
        <v>0</v>
      </c>
      <c r="AS49" s="178" cm="1">
        <f t="array" ref="AS49">SUMPRODUCT(
  IFERROR(--desp[valor],0)*
  (desp[nucleo]="UP SELECT VILA SONIA")*
  (desp[categoria]=AS$7)*
  (desp[data.pagamento]&gt;=$A49)*
  (desp[data.pagamento]&lt;EOMONTH($A49,0)+1)
)</f>
        <v>0</v>
      </c>
      <c r="AT49" s="178" cm="1">
        <f t="array" ref="AT49">SUMPRODUCT(
  IFERROR(--desp[valor],0)*
  (desp[nucleo]="UP SELECT VILA SONIA")*
  (desp[categoria]=AT$7)*
  (desp[data.pagamento]&gt;=$A49)*
  (desp[data.pagamento]&lt;EOMONTH($A49,0)+1)
)</f>
        <v>0</v>
      </c>
      <c r="AU49" s="179" cm="1">
        <f t="array" ref="AU49">SUMPRODUCT(
  IFERROR(--desp[valor],0)*
  (desp[nucleo]="UP SELECT VILA SONIA")*
  (desp[categoria]=AU$7)*
  (desp[data.pagamento]&gt;=$A49)*
  (desp[data.pagamento]&lt;EOMONTH($A49,0)+1)
)</f>
        <v>0</v>
      </c>
      <c r="AV49" s="177">
        <f>COUNTIFS(
    estq[empresa], AV$6,
    estq[Data da venda / reserva], "&gt;=" &amp; $A49,
    estq[Data da venda / reserva], "&lt;"  &amp; EOMONTH($A49,0) + 1
)</f>
        <v>0</v>
      </c>
      <c r="AW49" s="178">
        <f ca="1">SUMIFS(rec.uni[2024-11-01],
INDIRECT("rec.uni[natureza]"),"pro.soluto",
INDIRECT("rec.uni[empresa]"),AW$6)</f>
        <v>0</v>
      </c>
      <c r="AX49" s="178">
        <f ca="1">SUMIFS(rec.uni[2024-11-01],
INDIRECT("rec.uni[natureza]"),"repasse.cef.obra",
INDIRECT("rec.uni[empresa]"),AX$6)</f>
        <v>0</v>
      </c>
      <c r="AY49" s="178">
        <f ca="1">SUMIFS(rec.uni[2024-11-01],
INDIRECT("rec.uni[natureza]"),"repasse.cef.terreno",
INDIRECT("rec.uni[empresa]"),AY$6)</f>
        <v>0</v>
      </c>
      <c r="AZ49" s="178">
        <v>0</v>
      </c>
      <c r="BA49" s="178">
        <f ca="1">SUMIFS(rec.uni[2024-11-01],
INDIRECT("rec.uni[natureza]"),"taxa.extra",
INDIRECT("rec.uni[empresa]"),BA$6)</f>
        <v>0</v>
      </c>
      <c r="BB49" s="166"/>
      <c r="BC49" s="178" cm="1">
        <f t="array" ref="BC49">SUMPRODUCT(
  IFERROR(--desp[valor],0)*
  (desp[nucleo]="UP ESTAÇÃO SÃO LUCAS")*
  (desp[categoria]=BC$7)*
  (desp[data.pagamento]&gt;=$A49)*
  (desp[data.pagamento]&lt;EOMONTH($A49,0)+1)
)</f>
        <v>0</v>
      </c>
      <c r="BD49" s="178" cm="1">
        <f t="array" ref="BD49">SUMPRODUCT(
  IFERROR(--desp[valor],0)*
  (desp[nucleo]="UP ESTAÇÃO SÃO LUCAS")*
  (desp[categoria]=BD$7)*
  (desp[data.pagamento]&gt;=$A49)*
  (desp[data.pagamento]&lt;EOMONTH($A49,0)+1)
)</f>
        <v>0</v>
      </c>
      <c r="BE49" s="178" cm="1">
        <f t="array" ref="BE49">SUMPRODUCT(
  IFERROR(--desp[valor],0)*
  (desp[nucleo]="UP ESTAÇÃO SÃO LUCAS")*
  (desp[categoria]=BE$7)*
  (desp[data.pagamento]&gt;=$A49)*
  (desp[data.pagamento]&lt;EOMONTH($A49,0)+1)
)</f>
        <v>0</v>
      </c>
      <c r="BF49" s="178" cm="1">
        <f t="array" ref="BF49">SUMPRODUCT(
  IFERROR(--desp[valor],0)*
  (desp[nucleo]="UP ESTAÇÃO SÃO LUCAS")*
  (desp[categoria]=BF$7)*
  (desp[data.pagamento]&gt;=$A49)*
  (desp[data.pagamento]&lt;EOMONTH($A49,0)+1)
)</f>
        <v>0</v>
      </c>
      <c r="BG49" s="179" cm="1">
        <f t="array" ref="BG49">SUMPRODUCT(
  IFERROR(--desp[valor],0)*
  (desp[nucleo]="UP ESTAÇÃO SÃO LUCAS")*
  (desp[categoria]=BG$7)*
  (desp[data.pagamento]&gt;=$A49)*
  (desp[data.pagamento]&lt;EOMONTH($A49,0)+1)
)</f>
        <v>0</v>
      </c>
      <c r="BH49" s="177">
        <f>COUNTIFS(
    estq[empresa], BH$6,
    estq[Data da venda / reserva], "&gt;=" &amp; $A49,
    estq[Data da venda / reserva], "&lt;"  &amp; EOMONTH($A49,0) + 1
)</f>
        <v>0</v>
      </c>
      <c r="BI49" s="178">
        <f ca="1">SUMIFS(rec.uni[2024-11-01],
INDIRECT("rec.uni[natureza]"),"pro.soluto",
INDIRECT("rec.uni[empresa]"),BI$6)</f>
        <v>0</v>
      </c>
      <c r="BJ49" s="166">
        <f>0.88*94736</f>
        <v>83367.680000000008</v>
      </c>
      <c r="BK49" s="178">
        <f ca="1">SUMIFS(rec.uni[2024-11-01],
INDIRECT("rec.uni[natureza]"),"taxa.extra",
INDIRECT("rec.uni[empresa]"),BK$6)</f>
        <v>0</v>
      </c>
      <c r="BL49" s="166"/>
      <c r="BM49" s="178" cm="1">
        <f t="array" ref="BM49">SUMPRODUCT(
  IFERROR(--desp[valor],0)*
  (desp[nucleo]="UP POMPEIA")*
  (desp[categoria]=BM$7)*
  (desp[data.pagamento]&gt;=$A49)*
  (desp[data.pagamento]&lt;EOMONTH($A49,0)+1)
)</f>
        <v>0</v>
      </c>
      <c r="BN49" s="178" cm="1">
        <f t="array" ref="BN49">SUMPRODUCT(
  IFERROR(--desp[valor],0)*
  (desp[nucleo]="UP POMPEIA")*
  (desp[categoria]=BN$7)*
  (desp[data.pagamento]&gt;=$A49)*
  (desp[data.pagamento]&lt;EOMONTH($A49,0)+1)
)</f>
        <v>0</v>
      </c>
      <c r="BO49" s="178" cm="1">
        <f t="array" ref="BO49">SUMPRODUCT(
  IFERROR(--desp[valor],0)*
  (desp[nucleo]="UP POMPEIA")*
  (desp[categoria]=BO$7)*
  (desp[data.pagamento]&gt;=$A49)*
  (desp[data.pagamento]&lt;EOMONTH($A49,0)+1)
)</f>
        <v>0</v>
      </c>
      <c r="BP49" s="178" cm="1">
        <f t="array" ref="BP49">SUMPRODUCT(
  IFERROR(--desp[valor],0)*
  (desp[nucleo]="UP POMPEIA")*
  (desp[categoria]=BP$7)*
  (desp[data.pagamento]&gt;=$A49)*
  (desp[data.pagamento]&lt;EOMONTH($A49,0)+1)
)</f>
        <v>0</v>
      </c>
      <c r="BQ49" s="179" cm="1">
        <f t="array" ref="BQ49">SUMPRODUCT(
  IFERROR(--desp[valor],0)*
  (desp[nucleo]="UP POMPEIA")*
  (desp[categoria]=BQ$7)*
  (desp[data.pagamento]&gt;=$A49)*
  (desp[data.pagamento]&lt;EOMONTH($A49,0)+1)
)</f>
        <v>0</v>
      </c>
      <c r="BR49" s="177">
        <f>COUNTIFS(
    estq[empresa], BR$6,
    estq[Data da venda / reserva], "&gt;=" &amp; $A49,
    estq[Data da venda / reserva], "&lt;"  &amp; EOMONTH($A49,0) + 1
)</f>
        <v>0</v>
      </c>
      <c r="BS49" s="178">
        <f ca="1">SUMIFS(rec.uni[2024-11-01],
INDIRECT("rec.uni[natureza]"),"pro.soluto",
INDIRECT("rec.uni[empresa]"),BS$6)</f>
        <v>0</v>
      </c>
      <c r="BT49" s="178">
        <f ca="1">SUMIFS(rec.uni[2024-11-01],
INDIRECT("rec.uni[natureza]"),"pro.soluto",
INDIRECT("rec.uni[empresa]"),BT$6)</f>
        <v>0</v>
      </c>
      <c r="BU49" s="178">
        <f ca="1">SUMIFS(rec.uni[2024-11-01],
INDIRECT("rec.uni[natureza]"),"taxa.extra",
INDIRECT("rec.uni[empresa]"),BU$6)</f>
        <v>0</v>
      </c>
      <c r="BV49" s="166"/>
      <c r="BW49" s="178" cm="1">
        <f t="array" ref="BW49">SUMPRODUCT(
  IFERROR(--desp[valor],0)*
  (desp[nucleo]="UP SAUDE")*
  (desp[categoria]=BW$7)*
  (desp[data.pagamento]&gt;=$A49)*
  (desp[data.pagamento]&lt;EOMONTH($A49,0)+1)
)</f>
        <v>0</v>
      </c>
      <c r="BX49" s="178" cm="1">
        <f t="array" ref="BX49">SUMPRODUCT(
  IFERROR(--desp[valor],0)*
  (desp[nucleo]="UP SAUDE")*
  (desp[categoria]=BX$7)*
  (desp[data.pagamento]&gt;=$A49)*
  (desp[data.pagamento]&lt;EOMONTH($A49,0)+1)
)</f>
        <v>0</v>
      </c>
      <c r="BY49" s="178" cm="1">
        <f t="array" ref="BY49">SUMPRODUCT(
  IFERROR(--desp[valor],0)*
  (desp[nucleo]="UP SAUDE")*
  (desp[categoria]=BY$7)*
  (desp[data.pagamento]&gt;=$A49)*
  (desp[data.pagamento]&lt;EOMONTH($A49,0)+1)
)</f>
        <v>0</v>
      </c>
      <c r="BZ49" s="178" cm="1">
        <f t="array" ref="BZ49">SUMPRODUCT(
  IFERROR(--desp[valor],0)*
  (desp[nucleo]="UP SAUDE")*
  (desp[categoria]=BZ$7)*
  (desp[data.pagamento]&gt;=$A49)*
  (desp[data.pagamento]&lt;EOMONTH($A49,0)+1)
)</f>
        <v>0</v>
      </c>
      <c r="CA49" s="179" cm="1">
        <f t="array" ref="CA49">SUMPRODUCT(
  IFERROR(--desp[valor],0)*
  (desp[nucleo]="UP SAUDE")*
  (desp[categoria]=CA$7)*
  (desp[data.pagamento]&gt;=$A49)*
  (desp[data.pagamento]&lt;EOMONTH($A49,0)+1)
)</f>
        <v>0</v>
      </c>
      <c r="CB49" s="177">
        <f>COUNTIFS(
    estq[empresa], CB$6,
    estq[Data da venda / reserva], "&gt;=" &amp; $A49,
    estq[Data da venda / reserva], "&lt;"  &amp; EOMONTH($A49,0) + 1
)</f>
        <v>0</v>
      </c>
      <c r="CC49" s="178">
        <f ca="1">SUMIFS(rec.uni[2024-11-01],
INDIRECT("rec.uni[natureza]"),"pro.soluto",
INDIRECT("rec.uni[empresa]"),CC$6)</f>
        <v>0</v>
      </c>
      <c r="CD49" s="178">
        <f ca="1">SUMIFS(rec.uni[2024-11-01],
INDIRECT("rec.uni[natureza]"),"repasse.cef.obra",
INDIRECT("rec.uni[empresa]"),CD$6)</f>
        <v>0</v>
      </c>
      <c r="CE49" s="178">
        <f ca="1">SUMIFS(rec.uni[2024-11-01],
INDIRECT("rec.uni[natureza]"),"repasse.cef.terreno",
INDIRECT("rec.uni[empresa]"),CE$6)</f>
        <v>0</v>
      </c>
      <c r="CF49" s="178">
        <v>0</v>
      </c>
      <c r="CG49" s="178">
        <f ca="1">SUMIFS(rec.uni[2024-11-01],
INDIRECT("rec.uni[natureza]"),"taxa.extra",
INDIRECT("rec.uni[empresa]"),CG$6)</f>
        <v>0</v>
      </c>
      <c r="CH49" s="166"/>
      <c r="CI49" s="178" cm="1">
        <f t="array" ref="CI49">SUMPRODUCT(
  IFERROR(--desp[valor],0)*
  (desp[nucleo]="UP ESTAÇÃO VILA SONIA")*
  (desp[categoria]=CI$7)*
  (desp[data.pagamento]&gt;=$A49)*
  (desp[data.pagamento]&lt;EOMONTH($A49,0)+1)
)</f>
        <v>0</v>
      </c>
      <c r="CJ49" s="178" cm="1">
        <f t="array" ref="CJ49">SUMPRODUCT(
  IFERROR(--desp[valor],0)*
  (desp[nucleo]="UP ESTAÇÃO VILA SONIA")*
  (desp[categoria]=CJ$7)*
  (desp[data.pagamento]&gt;=$A49)*
  (desp[data.pagamento]&lt;EOMONTH($A49,0)+1)
)</f>
        <v>0</v>
      </c>
      <c r="CK49" s="178" cm="1">
        <f t="array" ref="CK49">SUMPRODUCT(
  IFERROR(--desp[valor],0)*
  (desp[nucleo]="UP ESTAÇÃO VILA SONIA")*
  (desp[categoria]=CK$7)*
  (desp[data.pagamento]&gt;=$A49)*
  (desp[data.pagamento]&lt;EOMONTH($A49,0)+1)
)</f>
        <v>0</v>
      </c>
      <c r="CL49" s="178" cm="1">
        <f t="array" ref="CL49">SUMPRODUCT(
  IFERROR(--desp[valor],0)*
  (desp[nucleo]="UP ESTAÇÃO VILA SONIA")*
  (desp[categoria]=CL$7)*
  (desp[data.pagamento]&gt;=$A49)*
  (desp[data.pagamento]&lt;EOMONTH($A49,0)+1)
)</f>
        <v>0</v>
      </c>
      <c r="CM49" s="179" cm="1">
        <f t="array" ref="CM49">SUMPRODUCT(
  IFERROR(--desp[valor],0)*
  (desp[nucleo]="UP ESTAÇÃO VILA SONIA")*
  (desp[categoria]=CM$7)*
  (desp[data.pagamento]&gt;=$A49)*
  (desp[data.pagamento]&lt;EOMONTH($A49,0)+1)
)</f>
        <v>0</v>
      </c>
      <c r="CN49" s="177">
        <f>COUNTIFS(
    estq[empresa], CN$6,
    estq[Data da venda / reserva], "&gt;=" &amp; $A49,
    estq[Data da venda / reserva], "&lt;"  &amp; EOMONTH($A49,0) + 1
)</f>
        <v>0</v>
      </c>
      <c r="CO49" s="178">
        <f ca="1">SUMIFS(rec.uni[2024-11-01],
INDIRECT("rec.uni[natureza]"),"pro.soluto",
INDIRECT("rec.uni[empresa]"),CO$6)</f>
        <v>0</v>
      </c>
      <c r="CP49" s="178">
        <f ca="1">SUMIFS(rec.uni[2024-11-01],
INDIRECT("rec.uni[natureza]"),"repasse.cef.obra",
INDIRECT("rec.uni[empresa]"),CP$6)</f>
        <v>0</v>
      </c>
      <c r="CQ49" s="178">
        <f ca="1">SUMIFS(rec.uni[2024-11-01],
INDIRECT("rec.uni[natureza]"),"repasse.cef.terreno",
INDIRECT("rec.uni[empresa]"),CQ$6)</f>
        <v>0</v>
      </c>
      <c r="CR49" s="178">
        <v>0</v>
      </c>
      <c r="CS49" s="178">
        <f ca="1">SUMIFS(rec.uni[2024-11-01],
INDIRECT("rec.uni[natureza]"),"taxa.extra",
INDIRECT("rec.uni[empresa]"),CS$6)</f>
        <v>0</v>
      </c>
      <c r="CT49" s="166"/>
      <c r="CU49" s="178" cm="1">
        <f t="array" ref="CU49">SUMPRODUCT(
  IFERROR(--desp[valor],0)*
  (desp[nucleo]="UP MOVE VILA SONIA")*
  (desp[categoria]=CU$7)*
  (desp[data.pagamento]&gt;=$A49)*
  (desp[data.pagamento]&lt;EOMONTH($A49,0)+1)
)</f>
        <v>0</v>
      </c>
      <c r="CV49" s="178" cm="1">
        <f t="array" ref="CV49">SUMPRODUCT(
  IFERROR(--desp[valor],0)*
  (desp[nucleo]="UP MOVE VILA SONIA")*
  (desp[categoria]=CV$7)*
  (desp[data.pagamento]&gt;=$A49)*
  (desp[data.pagamento]&lt;EOMONTH($A49,0)+1)
)</f>
        <v>0</v>
      </c>
      <c r="CW49" s="178" cm="1">
        <f t="array" ref="CW49">SUMPRODUCT(
  IFERROR(--desp[valor],0)*
  (desp[nucleo]="UP MOVE VILA SONIA")*
  (desp[categoria]=CW$7)*
  (desp[data.pagamento]&gt;=$A49)*
  (desp[data.pagamento]&lt;EOMONTH($A49,0)+1)
)</f>
        <v>0</v>
      </c>
      <c r="CX49" s="178" cm="1">
        <f t="array" ref="CX49">SUMPRODUCT(
  IFERROR(--desp[valor],0)*
  (desp[nucleo]="UP MOVE VILA SONIA")*
  (desp[categoria]=CX$7)*
  (desp[data.pagamento]&gt;=$A49)*
  (desp[data.pagamento]&lt;EOMONTH($A49,0)+1)
)</f>
        <v>0</v>
      </c>
      <c r="CY49" s="180" cm="1">
        <f t="array" ref="CY49">SUMPRODUCT(
  IFERROR(--desp[valor],0)*
  (desp[nucleo]="UP MOVE VILA SONIA")*
  (desp[categoria]=CY$7)*
  (desp[data.pagamento]&gt;=$A49)*
  (desp[data.pagamento]&lt;EOMONTH($A49,0)+1)
)</f>
        <v>0</v>
      </c>
    </row>
    <row r="50" spans="1:103" x14ac:dyDescent="0.25">
      <c r="A50" s="176">
        <v>45627</v>
      </c>
      <c r="B50" s="177">
        <f>COUNTIFS(
    estq[empresa], B$6,
    estq[Data da venda / reserva], "&gt;=" &amp; $A50,
    estq[Data da venda / reserva], "&lt;"  &amp; EOMONTH($A50,0) + 1
)</f>
        <v>0</v>
      </c>
      <c r="C50" s="178">
        <f ca="1">SUMIFS(rec.uni[2024-12-01],
INDIRECT("rec.uni[natureza]"),"pro.soluto",
INDIRECT("rec.uni[empresa]"),C$6)</f>
        <v>0</v>
      </c>
      <c r="D50" s="178">
        <f ca="1">SUMIFS(rec.uni[2024-12-01],
INDIRECT("rec.uni[natureza]"),"repasse.cef.obra",
INDIRECT("rec.uni[empresa]"),D$6)</f>
        <v>0</v>
      </c>
      <c r="E50" s="178">
        <f ca="1">SUMIFS(rec.uni[2024-12-01],
INDIRECT("rec.uni[natureza]"),"repasse.cef.terreno",
INDIRECT("rec.uni[empresa]"),E$6)</f>
        <v>0</v>
      </c>
      <c r="F50" s="178">
        <v>293595.69</v>
      </c>
      <c r="G50" s="178">
        <f ca="1">SUMIFS(rec.uni[2024-12-01],
INDIRECT("rec.uni[natureza]"),"taxa.extra",
INDIRECT("rec.uni[empresa]"),G$6)</f>
        <v>0</v>
      </c>
      <c r="H50" s="166"/>
      <c r="I50" s="178" cm="1">
        <f t="array" ref="I50">SUMPRODUCT(
  IFERROR(--desp[valor],0)*
  (desp[nucleo]="UP JARDIM PRUDENCIA")*
  (desp[categoria]=I$7)*
  (desp[data.pagamento]&gt;=$A50)*
  (desp[data.pagamento]&lt;EOMONTH($A50,0)+1)
)</f>
        <v>0</v>
      </c>
      <c r="J50" s="178" cm="1">
        <f t="array" ref="J50">SUMPRODUCT(
  IFERROR(--desp[valor],0)*
  (desp[nucleo]="UP JARDIM PRUDENCIA")*
  (desp[categoria]=J$7)*
  (desp[data.pagamento]&gt;=$A50)*
  (desp[data.pagamento]&lt;EOMONTH($A50,0)+1)
)</f>
        <v>0</v>
      </c>
      <c r="K50" s="178" cm="1">
        <f t="array" ref="K50">SUMPRODUCT(
  IFERROR(--desp[valor],0)*
  (desp[nucleo]="UP JARDIM PRUDENCIA")*
  (desp[categoria]=K$7)*
  (desp[data.pagamento]&gt;=$A50)*
  (desp[data.pagamento]&lt;EOMONTH($A50,0)+1)
)</f>
        <v>0</v>
      </c>
      <c r="L50" s="178" cm="1">
        <f t="array" ref="L50">SUMPRODUCT(
  IFERROR(--desp[valor],0)*
  (desp[nucleo]="UP JARDIM PRUDENCIA")*
  (desp[categoria]=L$7)*
  (desp[data.pagamento]&gt;=$A50)*
  (desp[data.pagamento]&lt;EOMONTH($A50,0)+1)
)</f>
        <v>0</v>
      </c>
      <c r="M50" s="179" cm="1">
        <f t="array" ref="M50">SUMPRODUCT(
  IFERROR(--desp[valor],0)*
  (desp[nucleo]="UP JARDIM PRUDENCIA")*
  (desp[categoria]=M$7)*
  (desp[data.pagamento]&gt;=$A50)*
  (desp[data.pagamento]&lt;EOMONTH($A50,0)+1)
)</f>
        <v>0</v>
      </c>
      <c r="N50" s="177">
        <f>COUNTIFS(
    estq[empresa], N$6,
    estq[Data da venda / reserva], "&gt;=" &amp; $A50,
    estq[Data da venda / reserva], "&lt;"  &amp; EOMONTH($A50,0) + 1
)</f>
        <v>0</v>
      </c>
      <c r="O50" s="178">
        <f ca="1">SUMIFS(rec.uni[2024-12-01],
INDIRECT("rec.uni[natureza]"),"pro.soluto",
INDIRECT("rec.uni[empresa]"),O$6)</f>
        <v>0</v>
      </c>
      <c r="P50" s="178">
        <f ca="1">SUMIFS(rec.uni[2024-12-01],
INDIRECT("rec.uni[natureza]"),"repasse.cef.obra",
INDIRECT("rec.uni[empresa]"),P$6)</f>
        <v>0</v>
      </c>
      <c r="Q50" s="178">
        <f ca="1">SUMIFS(rec.uni[2024-12-01],
INDIRECT("rec.uni[natureza]"),"repasse.cef.terreno",
INDIRECT("rec.uni[empresa]"),Q$6)</f>
        <v>0</v>
      </c>
      <c r="R50" s="178">
        <v>0</v>
      </c>
      <c r="S50" s="178">
        <f ca="1">SUMIFS(rec.uni[2024-12-01],
INDIRECT("rec.uni[natureza]"),"taxa.extra",
INDIRECT("rec.uni[empresa]"),S$6)</f>
        <v>0</v>
      </c>
      <c r="T50" s="166"/>
      <c r="U50" s="178" cm="1">
        <f t="array" ref="U50">SUMPRODUCT(
  IFERROR(--desp[valor],0)*
  (desp[nucleo]="UP VILA SONIA")*
  (desp[categoria]=U$7)*
  (desp[data.pagamento]&gt;=$A50)*
  (desp[data.pagamento]&lt;EOMONTH($A50,0)+1)
)</f>
        <v>0</v>
      </c>
      <c r="V50" s="178" cm="1">
        <f t="array" ref="V50">SUMPRODUCT(
  IFERROR(--desp[valor],0)*
  (desp[nucleo]="UP VILA SONIA")*
  (desp[categoria]=V$7)*
  (desp[data.pagamento]&gt;=$A50)*
  (desp[data.pagamento]&lt;EOMONTH($A50,0)+1)
)</f>
        <v>0</v>
      </c>
      <c r="W50" s="178" cm="1">
        <f t="array" ref="W50">SUMPRODUCT(
  IFERROR(--desp[valor],0)*
  (desp[nucleo]="UP VILA SONIA")*
  (desp[categoria]=W$7)*
  (desp[data.pagamento]&gt;=$A50)*
  (desp[data.pagamento]&lt;EOMONTH($A50,0)+1)
)</f>
        <v>0</v>
      </c>
      <c r="X50" s="178" cm="1">
        <f t="array" ref="X50">SUMPRODUCT(
  IFERROR(--desp[valor],0)*
  (desp[nucleo]="UP VILA SONIA")*
  (desp[categoria]=X$7)*
  (desp[data.pagamento]&gt;=$A50)*
  (desp[data.pagamento]&lt;EOMONTH($A50,0)+1)
)</f>
        <v>0</v>
      </c>
      <c r="Y50" s="179" cm="1">
        <f t="array" ref="Y50">SUMPRODUCT(
  IFERROR(--desp[valor],0)*
  (desp[nucleo]="UP VILA SONIA")*
  (desp[categoria]=Y$7)*
  (desp[data.pagamento]&gt;=$A50)*
  (desp[data.pagamento]&lt;EOMONTH($A50,0)+1)
)</f>
        <v>0</v>
      </c>
      <c r="Z50" s="177">
        <f>COUNTIFS(
    estq[empresa], Z$6,
    estq[Data da venda / reserva], "&gt;=" &amp; $A50,
    estq[Data da venda / reserva], "&lt;"  &amp; EOMONTH($A50,0) + 1
)</f>
        <v>0</v>
      </c>
      <c r="AA50" s="178">
        <f ca="1">SUMIFS(rec.uni[2024-12-01],
INDIRECT("rec.uni[natureza]"),"pro.soluto",
INDIRECT("rec.uni[empresa]"),AA$6)</f>
        <v>0</v>
      </c>
      <c r="AB50" s="178">
        <f ca="1">SUMIFS(rec.uni[2024-12-01],
INDIRECT("rec.uni[natureza]"),"pro.soluto",
INDIRECT("rec.uni[empresa]"),AB$6)</f>
        <v>0</v>
      </c>
      <c r="AC50" s="178">
        <f ca="1">SUMIFS(rec.uni[2024-12-01],
INDIRECT("rec.uni[natureza]"),"taxa.extra",
INDIRECT("rec.uni[empresa]"),AC$6)</f>
        <v>0</v>
      </c>
      <c r="AD50" s="166"/>
      <c r="AE50" s="178" cm="1">
        <f t="array" ref="AE50">SUMPRODUCT(
  IFERROR(--desp[valor],0)*
  (desp[nucleo]="UP CAMPO BELO")*
  (desp[categoria]=AE$7)*
  (desp[data.pagamento]&gt;=$A50)*
  (desp[data.pagamento]&lt;EOMONTH($A50,0)+1)
)</f>
        <v>0</v>
      </c>
      <c r="AF50" s="178" cm="1">
        <f t="array" ref="AF50">SUMPRODUCT(
  IFERROR(--desp[valor],0)*
  (desp[nucleo]="UP CAMPO BELO")*
  (desp[categoria]=AF$7)*
  (desp[data.pagamento]&gt;=$A50)*
  (desp[data.pagamento]&lt;EOMONTH($A50,0)+1)
)</f>
        <v>0</v>
      </c>
      <c r="AG50" s="178" cm="1">
        <f t="array" ref="AG50">SUMPRODUCT(
  IFERROR(--desp[valor],0)*
  (desp[nucleo]="UP CAMPO BELO")*
  (desp[categoria]=AG$7)*
  (desp[data.pagamento]&gt;=$A50)*
  (desp[data.pagamento]&lt;EOMONTH($A50,0)+1)
)</f>
        <v>0</v>
      </c>
      <c r="AH50" s="178" cm="1">
        <f t="array" ref="AH50">SUMPRODUCT(
  IFERROR(--desp[valor],0)*
  (desp[nucleo]="UP CAMPO BELO")*
  (desp[categoria]=AH$7)*
  (desp[data.pagamento]&gt;=$A50)*
  (desp[data.pagamento]&lt;EOMONTH($A50,0)+1)
)</f>
        <v>0</v>
      </c>
      <c r="AI50" s="179" cm="1">
        <f t="array" ref="AI50">SUMPRODUCT(
  IFERROR(--desp[valor],0)*
  (desp[nucleo]="UP CAMPO BELO")*
  (desp[categoria]=AI$7)*
  (desp[data.pagamento]&gt;=$A50)*
  (desp[data.pagamento]&lt;EOMONTH($A50,0)+1)
)</f>
        <v>0</v>
      </c>
      <c r="AJ50" s="177">
        <f>COUNTIFS(
    estq[empresa], AJ$6,
    estq[Data da venda / reserva], "&gt;=" &amp; $A50,
    estq[Data da venda / reserva], "&lt;"  &amp; EOMONTH($A50,0) + 1
)</f>
        <v>0</v>
      </c>
      <c r="AK50" s="178">
        <f ca="1">SUMIFS(rec.uni[2024-12-01],
INDIRECT("rec.uni[natureza]"),"pro.soluto",
INDIRECT("rec.uni[empresa]"),AK$6)</f>
        <v>0</v>
      </c>
      <c r="AL50" s="178">
        <f ca="1">SUMIFS(rec.uni[2024-12-01],
INDIRECT("rec.uni[natureza]"),"repasse.cef.obra",
INDIRECT("rec.uni[empresa]"),AL$6)</f>
        <v>0</v>
      </c>
      <c r="AM50" s="178">
        <f ca="1">SUMIFS(rec.uni[2024-12-01],
INDIRECT("rec.uni[natureza]"),"repasse.cef.terreno",
INDIRECT("rec.uni[empresa]"),AM$6)</f>
        <v>0</v>
      </c>
      <c r="AN50" s="178">
        <v>0</v>
      </c>
      <c r="AO50" s="178">
        <f ca="1">SUMIFS(rec.uni[2024-12-01],
INDIRECT("rec.uni[natureza]"),"taxa.extra",
INDIRECT("rec.uni[empresa]"),AO$6)</f>
        <v>0</v>
      </c>
      <c r="AP50" s="166"/>
      <c r="AQ50" s="178" cm="1">
        <f t="array" ref="AQ50">SUMPRODUCT(
  IFERROR(--desp[valor],0)*
  (desp[nucleo]="UP SELECT VILA SONIA")*
  (desp[categoria]=AQ$7)*
  (desp[data.pagamento]&gt;=$A50)*
  (desp[data.pagamento]&lt;EOMONTH($A50,0)+1)
)</f>
        <v>0</v>
      </c>
      <c r="AR50" s="178" cm="1">
        <f t="array" ref="AR50">SUMPRODUCT(
  IFERROR(--desp[valor],0)*
  (desp[nucleo]="UP SELECT VILA SONIA")*
  (desp[categoria]=AR$7)*
  (desp[data.pagamento]&gt;=$A50)*
  (desp[data.pagamento]&lt;EOMONTH($A50,0)+1)
)</f>
        <v>0</v>
      </c>
      <c r="AS50" s="178" cm="1">
        <f t="array" ref="AS50">SUMPRODUCT(
  IFERROR(--desp[valor],0)*
  (desp[nucleo]="UP SELECT VILA SONIA")*
  (desp[categoria]=AS$7)*
  (desp[data.pagamento]&gt;=$A50)*
  (desp[data.pagamento]&lt;EOMONTH($A50,0)+1)
)</f>
        <v>0</v>
      </c>
      <c r="AT50" s="178" cm="1">
        <f t="array" ref="AT50">SUMPRODUCT(
  IFERROR(--desp[valor],0)*
  (desp[nucleo]="UP SELECT VILA SONIA")*
  (desp[categoria]=AT$7)*
  (desp[data.pagamento]&gt;=$A50)*
  (desp[data.pagamento]&lt;EOMONTH($A50,0)+1)
)</f>
        <v>0</v>
      </c>
      <c r="AU50" s="179" cm="1">
        <f t="array" ref="AU50">SUMPRODUCT(
  IFERROR(--desp[valor],0)*
  (desp[nucleo]="UP SELECT VILA SONIA")*
  (desp[categoria]=AU$7)*
  (desp[data.pagamento]&gt;=$A50)*
  (desp[data.pagamento]&lt;EOMONTH($A50,0)+1)
)</f>
        <v>0</v>
      </c>
      <c r="AV50" s="177">
        <f>COUNTIFS(
    estq[empresa], AV$6,
    estq[Data da venda / reserva], "&gt;=" &amp; $A50,
    estq[Data da venda / reserva], "&lt;"  &amp; EOMONTH($A50,0) + 1
)</f>
        <v>0</v>
      </c>
      <c r="AW50" s="178">
        <f ca="1">SUMIFS(rec.uni[2024-12-01],
INDIRECT("rec.uni[natureza]"),"pro.soluto",
INDIRECT("rec.uni[empresa]"),AW$6)</f>
        <v>0</v>
      </c>
      <c r="AX50" s="178">
        <f ca="1">SUMIFS(rec.uni[2024-12-01],
INDIRECT("rec.uni[natureza]"),"repasse.cef.obra",
INDIRECT("rec.uni[empresa]"),AX$6)</f>
        <v>0</v>
      </c>
      <c r="AY50" s="178">
        <f ca="1">SUMIFS(rec.uni[2024-12-01],
INDIRECT("rec.uni[natureza]"),"repasse.cef.terreno",
INDIRECT("rec.uni[empresa]"),AY$6)</f>
        <v>0</v>
      </c>
      <c r="AZ50" s="178">
        <v>0</v>
      </c>
      <c r="BA50" s="178">
        <f ca="1">SUMIFS(rec.uni[2024-12-01],
INDIRECT("rec.uni[natureza]"),"taxa.extra",
INDIRECT("rec.uni[empresa]"),BA$6)</f>
        <v>0</v>
      </c>
      <c r="BB50" s="166"/>
      <c r="BC50" s="178" cm="1">
        <f t="array" ref="BC50">SUMPRODUCT(
  IFERROR(--desp[valor],0)*
  (desp[nucleo]="UP ESTAÇÃO SÃO LUCAS")*
  (desp[categoria]=BC$7)*
  (desp[data.pagamento]&gt;=$A50)*
  (desp[data.pagamento]&lt;EOMONTH($A50,0)+1)
)</f>
        <v>0</v>
      </c>
      <c r="BD50" s="178" cm="1">
        <f t="array" ref="BD50">SUMPRODUCT(
  IFERROR(--desp[valor],0)*
  (desp[nucleo]="UP ESTAÇÃO SÃO LUCAS")*
  (desp[categoria]=BD$7)*
  (desp[data.pagamento]&gt;=$A50)*
  (desp[data.pagamento]&lt;EOMONTH($A50,0)+1)
)</f>
        <v>0</v>
      </c>
      <c r="BE50" s="178" cm="1">
        <f t="array" ref="BE50">SUMPRODUCT(
  IFERROR(--desp[valor],0)*
  (desp[nucleo]="UP ESTAÇÃO SÃO LUCAS")*
  (desp[categoria]=BE$7)*
  (desp[data.pagamento]&gt;=$A50)*
  (desp[data.pagamento]&lt;EOMONTH($A50,0)+1)
)</f>
        <v>0</v>
      </c>
      <c r="BF50" s="178" cm="1">
        <f t="array" ref="BF50">SUMPRODUCT(
  IFERROR(--desp[valor],0)*
  (desp[nucleo]="UP ESTAÇÃO SÃO LUCAS")*
  (desp[categoria]=BF$7)*
  (desp[data.pagamento]&gt;=$A50)*
  (desp[data.pagamento]&lt;EOMONTH($A50,0)+1)
)</f>
        <v>0</v>
      </c>
      <c r="BG50" s="179" cm="1">
        <f t="array" ref="BG50">SUMPRODUCT(
  IFERROR(--desp[valor],0)*
  (desp[nucleo]="UP ESTAÇÃO SÃO LUCAS")*
  (desp[categoria]=BG$7)*
  (desp[data.pagamento]&gt;=$A50)*
  (desp[data.pagamento]&lt;EOMONTH($A50,0)+1)
)</f>
        <v>0</v>
      </c>
      <c r="BH50" s="177">
        <f>COUNTIFS(
    estq[empresa], BH$6,
    estq[Data da venda / reserva], "&gt;=" &amp; $A50,
    estq[Data da venda / reserva], "&lt;"  &amp; EOMONTH($A50,0) + 1
)</f>
        <v>0</v>
      </c>
      <c r="BI50" s="178">
        <f ca="1">SUMIFS(rec.uni[2024-12-01],
INDIRECT("rec.uni[natureza]"),"pro.soluto",
INDIRECT("rec.uni[empresa]"),BI$6)</f>
        <v>0</v>
      </c>
      <c r="BJ50" s="166">
        <f>1.1*94736</f>
        <v>104209.60000000001</v>
      </c>
      <c r="BK50" s="178">
        <f ca="1">SUMIFS(rec.uni[2024-12-01],
INDIRECT("rec.uni[natureza]"),"taxa.extra",
INDIRECT("rec.uni[empresa]"),BK$6)</f>
        <v>0</v>
      </c>
      <c r="BL50" s="166"/>
      <c r="BM50" s="178" cm="1">
        <f t="array" ref="BM50">SUMPRODUCT(
  IFERROR(--desp[valor],0)*
  (desp[nucleo]="UP POMPEIA")*
  (desp[categoria]=BM$7)*
  (desp[data.pagamento]&gt;=$A50)*
  (desp[data.pagamento]&lt;EOMONTH($A50,0)+1)
)</f>
        <v>0</v>
      </c>
      <c r="BN50" s="178" cm="1">
        <f t="array" ref="BN50">SUMPRODUCT(
  IFERROR(--desp[valor],0)*
  (desp[nucleo]="UP POMPEIA")*
  (desp[categoria]=BN$7)*
  (desp[data.pagamento]&gt;=$A50)*
  (desp[data.pagamento]&lt;EOMONTH($A50,0)+1)
)</f>
        <v>0</v>
      </c>
      <c r="BO50" s="178" cm="1">
        <f t="array" ref="BO50">SUMPRODUCT(
  IFERROR(--desp[valor],0)*
  (desp[nucleo]="UP POMPEIA")*
  (desp[categoria]=BO$7)*
  (desp[data.pagamento]&gt;=$A50)*
  (desp[data.pagamento]&lt;EOMONTH($A50,0)+1)
)</f>
        <v>0</v>
      </c>
      <c r="BP50" s="178" cm="1">
        <f t="array" ref="BP50">SUMPRODUCT(
  IFERROR(--desp[valor],0)*
  (desp[nucleo]="UP POMPEIA")*
  (desp[categoria]=BP$7)*
  (desp[data.pagamento]&gt;=$A50)*
  (desp[data.pagamento]&lt;EOMONTH($A50,0)+1)
)</f>
        <v>0</v>
      </c>
      <c r="BQ50" s="179" cm="1">
        <f t="array" ref="BQ50">SUMPRODUCT(
  IFERROR(--desp[valor],0)*
  (desp[nucleo]="UP POMPEIA")*
  (desp[categoria]=BQ$7)*
  (desp[data.pagamento]&gt;=$A50)*
  (desp[data.pagamento]&lt;EOMONTH($A50,0)+1)
)</f>
        <v>0</v>
      </c>
      <c r="BR50" s="177">
        <f>COUNTIFS(
    estq[empresa], BR$6,
    estq[Data da venda / reserva], "&gt;=" &amp; $A50,
    estq[Data da venda / reserva], "&lt;"  &amp; EOMONTH($A50,0) + 1
)</f>
        <v>0</v>
      </c>
      <c r="BS50" s="178">
        <f ca="1">SUMIFS(rec.uni[2024-12-01],
INDIRECT("rec.uni[natureza]"),"pro.soluto",
INDIRECT("rec.uni[empresa]"),BS$6)</f>
        <v>0</v>
      </c>
      <c r="BT50" s="178">
        <f ca="1">SUMIFS(rec.uni[2024-12-01],
INDIRECT("rec.uni[natureza]"),"pro.soluto",
INDIRECT("rec.uni[empresa]"),BT$6)</f>
        <v>0</v>
      </c>
      <c r="BU50" s="178">
        <f ca="1">SUMIFS(rec.uni[2024-12-01],
INDIRECT("rec.uni[natureza]"),"taxa.extra",
INDIRECT("rec.uni[empresa]"),BU$6)</f>
        <v>0</v>
      </c>
      <c r="BV50" s="166"/>
      <c r="BW50" s="178" cm="1">
        <f t="array" ref="BW50">SUMPRODUCT(
  IFERROR(--desp[valor],0)*
  (desp[nucleo]="UP SAUDE")*
  (desp[categoria]=BW$7)*
  (desp[data.pagamento]&gt;=$A50)*
  (desp[data.pagamento]&lt;EOMONTH($A50,0)+1)
)</f>
        <v>0</v>
      </c>
      <c r="BX50" s="178" cm="1">
        <f t="array" ref="BX50">SUMPRODUCT(
  IFERROR(--desp[valor],0)*
  (desp[nucleo]="UP SAUDE")*
  (desp[categoria]=BX$7)*
  (desp[data.pagamento]&gt;=$A50)*
  (desp[data.pagamento]&lt;EOMONTH($A50,0)+1)
)</f>
        <v>0</v>
      </c>
      <c r="BY50" s="178" cm="1">
        <f t="array" ref="BY50">SUMPRODUCT(
  IFERROR(--desp[valor],0)*
  (desp[nucleo]="UP SAUDE")*
  (desp[categoria]=BY$7)*
  (desp[data.pagamento]&gt;=$A50)*
  (desp[data.pagamento]&lt;EOMONTH($A50,0)+1)
)</f>
        <v>0</v>
      </c>
      <c r="BZ50" s="178" cm="1">
        <f t="array" ref="BZ50">SUMPRODUCT(
  IFERROR(--desp[valor],0)*
  (desp[nucleo]="UP SAUDE")*
  (desp[categoria]=BZ$7)*
  (desp[data.pagamento]&gt;=$A50)*
  (desp[data.pagamento]&lt;EOMONTH($A50,0)+1)
)</f>
        <v>0</v>
      </c>
      <c r="CA50" s="179" cm="1">
        <f t="array" ref="CA50">SUMPRODUCT(
  IFERROR(--desp[valor],0)*
  (desp[nucleo]="UP SAUDE")*
  (desp[categoria]=CA$7)*
  (desp[data.pagamento]&gt;=$A50)*
  (desp[data.pagamento]&lt;EOMONTH($A50,0)+1)
)</f>
        <v>0</v>
      </c>
      <c r="CB50" s="177">
        <f>COUNTIFS(
    estq[empresa], CB$6,
    estq[Data da venda / reserva], "&gt;=" &amp; $A50,
    estq[Data da venda / reserva], "&lt;"  &amp; EOMONTH($A50,0) + 1
)</f>
        <v>0</v>
      </c>
      <c r="CC50" s="178">
        <f ca="1">SUMIFS(rec.uni[2024-12-01],
INDIRECT("rec.uni[natureza]"),"pro.soluto",
INDIRECT("rec.uni[empresa]"),CC$6)</f>
        <v>0</v>
      </c>
      <c r="CD50" s="178">
        <f ca="1">SUMIFS(rec.uni[2024-12-01],
INDIRECT("rec.uni[natureza]"),"repasse.cef.obra",
INDIRECT("rec.uni[empresa]"),CD$6)</f>
        <v>0</v>
      </c>
      <c r="CE50" s="178">
        <f ca="1">SUMIFS(rec.uni[2024-12-01],
INDIRECT("rec.uni[natureza]"),"repasse.cef.terreno",
INDIRECT("rec.uni[empresa]"),CE$6)</f>
        <v>0</v>
      </c>
      <c r="CF50" s="178">
        <v>928463.72</v>
      </c>
      <c r="CG50" s="178">
        <f ca="1">SUMIFS(rec.uni[2024-12-01],
INDIRECT("rec.uni[natureza]"),"taxa.extra",
INDIRECT("rec.uni[empresa]"),CG$6)</f>
        <v>0</v>
      </c>
      <c r="CH50" s="166"/>
      <c r="CI50" s="178" cm="1">
        <f t="array" ref="CI50">SUMPRODUCT(
  IFERROR(--desp[valor],0)*
  (desp[nucleo]="UP ESTAÇÃO VILA SONIA")*
  (desp[categoria]=CI$7)*
  (desp[data.pagamento]&gt;=$A50)*
  (desp[data.pagamento]&lt;EOMONTH($A50,0)+1)
)</f>
        <v>0</v>
      </c>
      <c r="CJ50" s="178" cm="1">
        <f t="array" ref="CJ50">SUMPRODUCT(
  IFERROR(--desp[valor],0)*
  (desp[nucleo]="UP ESTAÇÃO VILA SONIA")*
  (desp[categoria]=CJ$7)*
  (desp[data.pagamento]&gt;=$A50)*
  (desp[data.pagamento]&lt;EOMONTH($A50,0)+1)
)</f>
        <v>0</v>
      </c>
      <c r="CK50" s="178" cm="1">
        <f t="array" ref="CK50">SUMPRODUCT(
  IFERROR(--desp[valor],0)*
  (desp[nucleo]="UP ESTAÇÃO VILA SONIA")*
  (desp[categoria]=CK$7)*
  (desp[data.pagamento]&gt;=$A50)*
  (desp[data.pagamento]&lt;EOMONTH($A50,0)+1)
)</f>
        <v>0</v>
      </c>
      <c r="CL50" s="178" cm="1">
        <f t="array" ref="CL50">SUMPRODUCT(
  IFERROR(--desp[valor],0)*
  (desp[nucleo]="UP ESTAÇÃO VILA SONIA")*
  (desp[categoria]=CL$7)*
  (desp[data.pagamento]&gt;=$A50)*
  (desp[data.pagamento]&lt;EOMONTH($A50,0)+1)
)</f>
        <v>0</v>
      </c>
      <c r="CM50" s="179" cm="1">
        <f t="array" ref="CM50">SUMPRODUCT(
  IFERROR(--desp[valor],0)*
  (desp[nucleo]="UP ESTAÇÃO VILA SONIA")*
  (desp[categoria]=CM$7)*
  (desp[data.pagamento]&gt;=$A50)*
  (desp[data.pagamento]&lt;EOMONTH($A50,0)+1)
)</f>
        <v>0</v>
      </c>
      <c r="CN50" s="177">
        <f>COUNTIFS(
    estq[empresa], CN$6,
    estq[Data da venda / reserva], "&gt;=" &amp; $A50,
    estq[Data da venda / reserva], "&lt;"  &amp; EOMONTH($A50,0) + 1
)</f>
        <v>0</v>
      </c>
      <c r="CO50" s="178">
        <f ca="1">SUMIFS(rec.uni[2024-12-01],
INDIRECT("rec.uni[natureza]"),"pro.soluto",
INDIRECT("rec.uni[empresa]"),CO$6)</f>
        <v>0</v>
      </c>
      <c r="CP50" s="178">
        <f ca="1">SUMIFS(rec.uni[2024-12-01],
INDIRECT("rec.uni[natureza]"),"repasse.cef.obra",
INDIRECT("rec.uni[empresa]"),CP$6)</f>
        <v>0</v>
      </c>
      <c r="CQ50" s="178">
        <f ca="1">SUMIFS(rec.uni[2024-12-01],
INDIRECT("rec.uni[natureza]"),"repasse.cef.terreno",
INDIRECT("rec.uni[empresa]"),CQ$6)</f>
        <v>0</v>
      </c>
      <c r="CR50" s="178">
        <v>0</v>
      </c>
      <c r="CS50" s="178">
        <f ca="1">SUMIFS(rec.uni[2024-12-01],
INDIRECT("rec.uni[natureza]"),"taxa.extra",
INDIRECT("rec.uni[empresa]"),CS$6)</f>
        <v>0</v>
      </c>
      <c r="CT50" s="166"/>
      <c r="CU50" s="178" cm="1">
        <f t="array" ref="CU50">SUMPRODUCT(
  IFERROR(--desp[valor],0)*
  (desp[nucleo]="UP MOVE VILA SONIA")*
  (desp[categoria]=CU$7)*
  (desp[data.pagamento]&gt;=$A50)*
  (desp[data.pagamento]&lt;EOMONTH($A50,0)+1)
)</f>
        <v>0</v>
      </c>
      <c r="CV50" s="178" cm="1">
        <f t="array" ref="CV50">SUMPRODUCT(
  IFERROR(--desp[valor],0)*
  (desp[nucleo]="UP MOVE VILA SONIA")*
  (desp[categoria]=CV$7)*
  (desp[data.pagamento]&gt;=$A50)*
  (desp[data.pagamento]&lt;EOMONTH($A50,0)+1)
)</f>
        <v>0</v>
      </c>
      <c r="CW50" s="178" cm="1">
        <f t="array" ref="CW50">SUMPRODUCT(
  IFERROR(--desp[valor],0)*
  (desp[nucleo]="UP MOVE VILA SONIA")*
  (desp[categoria]=CW$7)*
  (desp[data.pagamento]&gt;=$A50)*
  (desp[data.pagamento]&lt;EOMONTH($A50,0)+1)
)</f>
        <v>0</v>
      </c>
      <c r="CX50" s="178" cm="1">
        <f t="array" ref="CX50">SUMPRODUCT(
  IFERROR(--desp[valor],0)*
  (desp[nucleo]="UP MOVE VILA SONIA")*
  (desp[categoria]=CX$7)*
  (desp[data.pagamento]&gt;=$A50)*
  (desp[data.pagamento]&lt;EOMONTH($A50,0)+1)
)</f>
        <v>0</v>
      </c>
      <c r="CY50" s="180" cm="1">
        <f t="array" ref="CY50">SUMPRODUCT(
  IFERROR(--desp[valor],0)*
  (desp[nucleo]="UP MOVE VILA SONIA")*
  (desp[categoria]=CY$7)*
  (desp[data.pagamento]&gt;=$A50)*
  (desp[data.pagamento]&lt;EOMONTH($A50,0)+1)
)</f>
        <v>0</v>
      </c>
    </row>
    <row r="51" spans="1:103" x14ac:dyDescent="0.25">
      <c r="A51" s="176">
        <v>45658</v>
      </c>
      <c r="B51" s="177">
        <f>COUNTIFS(
    estq[empresa], B$6,
    estq[Data da venda / reserva], "&gt;=" &amp; $A51,
    estq[Data da venda / reserva], "&lt;"  &amp; EOMONTH($A51,0) + 1
)</f>
        <v>0</v>
      </c>
      <c r="C51" s="178">
        <f ca="1">SUMIFS(rec.uni[2025-01-01],
INDIRECT("rec.uni[natureza]"),"pro.soluto",
INDIRECT("rec.uni[empresa]"),C$6)</f>
        <v>0</v>
      </c>
      <c r="D51" s="178">
        <f ca="1">SUMIFS(rec.uni[2025-01-01],
INDIRECT("rec.uni[natureza]"),"repasse.cef.obra",
INDIRECT("rec.uni[empresa]"),D$6)</f>
        <v>0</v>
      </c>
      <c r="E51" s="178">
        <f ca="1">SUMIFS(rec.uni[2025-01-01],
INDIRECT("rec.uni[natureza]"),"repasse.cef.terreno",
INDIRECT("rec.uni[empresa]"),E$6)</f>
        <v>0</v>
      </c>
      <c r="F51" s="178">
        <v>489068.85</v>
      </c>
      <c r="G51" s="178">
        <f ca="1">SUMIFS(rec.uni[2025-01-01],
INDIRECT("rec.uni[natureza]"),"taxa.extra",
INDIRECT("rec.uni[empresa]"),G$6)</f>
        <v>0</v>
      </c>
      <c r="H51" s="166"/>
      <c r="I51" s="178" cm="1">
        <f t="array" ref="I51">SUMPRODUCT(
  IFERROR(--desp[valor],0)*
  (desp[nucleo]="UP JARDIM PRUDENCIA")*
  (desp[categoria]=I$7)*
  (desp[data.pagamento]&gt;=$A51)*
  (desp[data.pagamento]&lt;EOMONTH($A51,0)+1)
)</f>
        <v>0</v>
      </c>
      <c r="J51" s="178" cm="1">
        <f t="array" ref="J51">SUMPRODUCT(
  IFERROR(--desp[valor],0)*
  (desp[nucleo]="UP JARDIM PRUDENCIA")*
  (desp[categoria]=J$7)*
  (desp[data.pagamento]&gt;=$A51)*
  (desp[data.pagamento]&lt;EOMONTH($A51,0)+1)
)</f>
        <v>0</v>
      </c>
      <c r="K51" s="178" cm="1">
        <f t="array" ref="K51">SUMPRODUCT(
  IFERROR(--desp[valor],0)*
  (desp[nucleo]="UP JARDIM PRUDENCIA")*
  (desp[categoria]=K$7)*
  (desp[data.pagamento]&gt;=$A51)*
  (desp[data.pagamento]&lt;EOMONTH($A51,0)+1)
)</f>
        <v>0</v>
      </c>
      <c r="L51" s="178" cm="1">
        <f t="array" ref="L51">SUMPRODUCT(
  IFERROR(--desp[valor],0)*
  (desp[nucleo]="UP JARDIM PRUDENCIA")*
  (desp[categoria]=L$7)*
  (desp[data.pagamento]&gt;=$A51)*
  (desp[data.pagamento]&lt;EOMONTH($A51,0)+1)
)</f>
        <v>0</v>
      </c>
      <c r="M51" s="179" cm="1">
        <f t="array" ref="M51">SUMPRODUCT(
  IFERROR(--desp[valor],0)*
  (desp[nucleo]="UP JARDIM PRUDENCIA")*
  (desp[categoria]=M$7)*
  (desp[data.pagamento]&gt;=$A51)*
  (desp[data.pagamento]&lt;EOMONTH($A51,0)+1)
)</f>
        <v>0</v>
      </c>
      <c r="N51" s="177">
        <f>COUNTIFS(
    estq[empresa], N$6,
    estq[Data da venda / reserva], "&gt;=" &amp; $A51,
    estq[Data da venda / reserva], "&lt;"  &amp; EOMONTH($A51,0) + 1
)</f>
        <v>0</v>
      </c>
      <c r="O51" s="178">
        <f ca="1">SUMIFS(rec.uni[2025-01-01],
INDIRECT("rec.uni[natureza]"),"pro.soluto",
INDIRECT("rec.uni[empresa]"),O$6)</f>
        <v>0</v>
      </c>
      <c r="P51" s="178">
        <f ca="1">SUMIFS(rec.uni[2025-01-01],
INDIRECT("rec.uni[natureza]"),"repasse.cef.obra",
INDIRECT("rec.uni[empresa]"),P$6)</f>
        <v>0</v>
      </c>
      <c r="Q51" s="178">
        <f ca="1">SUMIFS(rec.uni[2025-01-01],
INDIRECT("rec.uni[natureza]"),"repasse.cef.terreno",
INDIRECT("rec.uni[empresa]"),Q$6)</f>
        <v>0</v>
      </c>
      <c r="R51" s="178">
        <v>0</v>
      </c>
      <c r="S51" s="178">
        <f ca="1">SUMIFS(rec.uni[2025-01-01],
INDIRECT("rec.uni[natureza]"),"taxa.extra",
INDIRECT("rec.uni[empresa]"),S$6)</f>
        <v>0</v>
      </c>
      <c r="T51" s="166"/>
      <c r="U51" s="178" cm="1">
        <f t="array" ref="U51">SUMPRODUCT(
  IFERROR(--desp[valor],0)*
  (desp[nucleo]="UP VILA SONIA")*
  (desp[categoria]=U$7)*
  (desp[data.pagamento]&gt;=$A51)*
  (desp[data.pagamento]&lt;EOMONTH($A51,0)+1)
)</f>
        <v>0</v>
      </c>
      <c r="V51" s="178" cm="1">
        <f t="array" ref="V51">SUMPRODUCT(
  IFERROR(--desp[valor],0)*
  (desp[nucleo]="UP VILA SONIA")*
  (desp[categoria]=V$7)*
  (desp[data.pagamento]&gt;=$A51)*
  (desp[data.pagamento]&lt;EOMONTH($A51,0)+1)
)</f>
        <v>0</v>
      </c>
      <c r="W51" s="178" cm="1">
        <f t="array" ref="W51">SUMPRODUCT(
  IFERROR(--desp[valor],0)*
  (desp[nucleo]="UP VILA SONIA")*
  (desp[categoria]=W$7)*
  (desp[data.pagamento]&gt;=$A51)*
  (desp[data.pagamento]&lt;EOMONTH($A51,0)+1)
)</f>
        <v>0</v>
      </c>
      <c r="X51" s="178" cm="1">
        <f t="array" ref="X51">SUMPRODUCT(
  IFERROR(--desp[valor],0)*
  (desp[nucleo]="UP VILA SONIA")*
  (desp[categoria]=X$7)*
  (desp[data.pagamento]&gt;=$A51)*
  (desp[data.pagamento]&lt;EOMONTH($A51,0)+1)
)</f>
        <v>0</v>
      </c>
      <c r="Y51" s="179" cm="1">
        <f t="array" ref="Y51">SUMPRODUCT(
  IFERROR(--desp[valor],0)*
  (desp[nucleo]="UP VILA SONIA")*
  (desp[categoria]=Y$7)*
  (desp[data.pagamento]&gt;=$A51)*
  (desp[data.pagamento]&lt;EOMONTH($A51,0)+1)
)</f>
        <v>0</v>
      </c>
      <c r="Z51" s="177">
        <f>COUNTIFS(
    estq[empresa], Z$6,
    estq[Data da venda / reserva], "&gt;=" &amp; $A51,
    estq[Data da venda / reserva], "&lt;"  &amp; EOMONTH($A51,0) + 1
)</f>
        <v>0</v>
      </c>
      <c r="AA51" s="178">
        <f ca="1">SUMIFS(rec.uni[2025-01-01],
INDIRECT("rec.uni[natureza]"),"pro.soluto",
INDIRECT("rec.uni[empresa]"),AA$6)</f>
        <v>0</v>
      </c>
      <c r="AB51" s="178">
        <f ca="1">SUMIFS(rec.uni[2025-01-01],
INDIRECT("rec.uni[natureza]"),"pro.soluto",
INDIRECT("rec.uni[empresa]"),AB$6)</f>
        <v>0</v>
      </c>
      <c r="AC51" s="178">
        <f ca="1">SUMIFS(rec.uni[2025-01-01],
INDIRECT("rec.uni[natureza]"),"taxa.extra",
INDIRECT("rec.uni[empresa]"),AC$6)</f>
        <v>0</v>
      </c>
      <c r="AD51" s="166"/>
      <c r="AE51" s="178" cm="1">
        <f t="array" ref="AE51">SUMPRODUCT(
  IFERROR(--desp[valor],0)*
  (desp[nucleo]="UP CAMPO BELO")*
  (desp[categoria]=AE$7)*
  (desp[data.pagamento]&gt;=$A51)*
  (desp[data.pagamento]&lt;EOMONTH($A51,0)+1)
)</f>
        <v>0</v>
      </c>
      <c r="AF51" s="178" cm="1">
        <f t="array" ref="AF51">SUMPRODUCT(
  IFERROR(--desp[valor],0)*
  (desp[nucleo]="UP CAMPO BELO")*
  (desp[categoria]=AF$7)*
  (desp[data.pagamento]&gt;=$A51)*
  (desp[data.pagamento]&lt;EOMONTH($A51,0)+1)
)</f>
        <v>0</v>
      </c>
      <c r="AG51" s="178" cm="1">
        <f t="array" ref="AG51">SUMPRODUCT(
  IFERROR(--desp[valor],0)*
  (desp[nucleo]="UP CAMPO BELO")*
  (desp[categoria]=AG$7)*
  (desp[data.pagamento]&gt;=$A51)*
  (desp[data.pagamento]&lt;EOMONTH($A51,0)+1)
)</f>
        <v>0</v>
      </c>
      <c r="AH51" s="178" cm="1">
        <f t="array" ref="AH51">SUMPRODUCT(
  IFERROR(--desp[valor],0)*
  (desp[nucleo]="UP CAMPO BELO")*
  (desp[categoria]=AH$7)*
  (desp[data.pagamento]&gt;=$A51)*
  (desp[data.pagamento]&lt;EOMONTH($A51,0)+1)
)</f>
        <v>0</v>
      </c>
      <c r="AI51" s="179" cm="1">
        <f t="array" ref="AI51">SUMPRODUCT(
  IFERROR(--desp[valor],0)*
  (desp[nucleo]="UP CAMPO BELO")*
  (desp[categoria]=AI$7)*
  (desp[data.pagamento]&gt;=$A51)*
  (desp[data.pagamento]&lt;EOMONTH($A51,0)+1)
)</f>
        <v>0</v>
      </c>
      <c r="AJ51" s="177">
        <f>COUNTIFS(
    estq[empresa], AJ$6,
    estq[Data da venda / reserva], "&gt;=" &amp; $A51,
    estq[Data da venda / reserva], "&lt;"  &amp; EOMONTH($A51,0) + 1
)</f>
        <v>0</v>
      </c>
      <c r="AK51" s="178">
        <f ca="1">SUMIFS(rec.uni[2025-01-01],
INDIRECT("rec.uni[natureza]"),"pro.soluto",
INDIRECT("rec.uni[empresa]"),AK$6)</f>
        <v>0</v>
      </c>
      <c r="AL51" s="178">
        <f ca="1">SUMIFS(rec.uni[2025-01-01],
INDIRECT("rec.uni[natureza]"),"repasse.cef.obra",
INDIRECT("rec.uni[empresa]"),AL$6)</f>
        <v>0</v>
      </c>
      <c r="AM51" s="178">
        <f ca="1">SUMIFS(rec.uni[2025-01-01],
INDIRECT("rec.uni[natureza]"),"repasse.cef.terreno",
INDIRECT("rec.uni[empresa]"),AM$6)</f>
        <v>0</v>
      </c>
      <c r="AN51" s="178">
        <v>0</v>
      </c>
      <c r="AO51" s="178">
        <f ca="1">SUMIFS(rec.uni[2025-01-01],
INDIRECT("rec.uni[natureza]"),"taxa.extra",
INDIRECT("rec.uni[empresa]"),AO$6)</f>
        <v>0</v>
      </c>
      <c r="AP51" s="166"/>
      <c r="AQ51" s="178" cm="1">
        <f t="array" ref="AQ51">SUMPRODUCT(
  IFERROR(--desp[valor],0)*
  (desp[nucleo]="UP SELECT VILA SONIA")*
  (desp[categoria]=AQ$7)*
  (desp[data.pagamento]&gt;=$A51)*
  (desp[data.pagamento]&lt;EOMONTH($A51,0)+1)
)</f>
        <v>0</v>
      </c>
      <c r="AR51" s="178" cm="1">
        <f t="array" ref="AR51">SUMPRODUCT(
  IFERROR(--desp[valor],0)*
  (desp[nucleo]="UP SELECT VILA SONIA")*
  (desp[categoria]=AR$7)*
  (desp[data.pagamento]&gt;=$A51)*
  (desp[data.pagamento]&lt;EOMONTH($A51,0)+1)
)</f>
        <v>0</v>
      </c>
      <c r="AS51" s="178" cm="1">
        <f t="array" ref="AS51">SUMPRODUCT(
  IFERROR(--desp[valor],0)*
  (desp[nucleo]="UP SELECT VILA SONIA")*
  (desp[categoria]=AS$7)*
  (desp[data.pagamento]&gt;=$A51)*
  (desp[data.pagamento]&lt;EOMONTH($A51,0)+1)
)</f>
        <v>0</v>
      </c>
      <c r="AT51" s="178" cm="1">
        <f t="array" ref="AT51">SUMPRODUCT(
  IFERROR(--desp[valor],0)*
  (desp[nucleo]="UP SELECT VILA SONIA")*
  (desp[categoria]=AT$7)*
  (desp[data.pagamento]&gt;=$A51)*
  (desp[data.pagamento]&lt;EOMONTH($A51,0)+1)
)</f>
        <v>0</v>
      </c>
      <c r="AU51" s="179" cm="1">
        <f t="array" ref="AU51">SUMPRODUCT(
  IFERROR(--desp[valor],0)*
  (desp[nucleo]="UP SELECT VILA SONIA")*
  (desp[categoria]=AU$7)*
  (desp[data.pagamento]&gt;=$A51)*
  (desp[data.pagamento]&lt;EOMONTH($A51,0)+1)
)</f>
        <v>0</v>
      </c>
      <c r="AV51" s="177">
        <f>COUNTIFS(
    estq[empresa], AV$6,
    estq[Data da venda / reserva], "&gt;=" &amp; $A51,
    estq[Data da venda / reserva], "&lt;"  &amp; EOMONTH($A51,0) + 1
)</f>
        <v>0</v>
      </c>
      <c r="AW51" s="178">
        <f ca="1">SUMIFS(rec.uni[2025-01-01],
INDIRECT("rec.uni[natureza]"),"pro.soluto",
INDIRECT("rec.uni[empresa]"),AW$6)</f>
        <v>0</v>
      </c>
      <c r="AX51" s="178">
        <f ca="1">SUMIFS(rec.uni[2025-01-01],
INDIRECT("rec.uni[natureza]"),"repasse.cef.obra",
INDIRECT("rec.uni[empresa]"),AX$6)</f>
        <v>0</v>
      </c>
      <c r="AY51" s="178">
        <f ca="1">SUMIFS(rec.uni[2025-01-01],
INDIRECT("rec.uni[natureza]"),"repasse.cef.terreno",
INDIRECT("rec.uni[empresa]"),AY$6)</f>
        <v>0</v>
      </c>
      <c r="AZ51" s="178">
        <v>0</v>
      </c>
      <c r="BA51" s="178">
        <f ca="1">SUMIFS(rec.uni[2025-01-01],
INDIRECT("rec.uni[natureza]"),"taxa.extra",
INDIRECT("rec.uni[empresa]"),BA$6)</f>
        <v>0</v>
      </c>
      <c r="BB51" s="166"/>
      <c r="BC51" s="178" cm="1">
        <f t="array" ref="BC51">SUMPRODUCT(
  IFERROR(--desp[valor],0)*
  (desp[nucleo]="UP ESTAÇÃO SÃO LUCAS")*
  (desp[categoria]=BC$7)*
  (desp[data.pagamento]&gt;=$A51)*
  (desp[data.pagamento]&lt;EOMONTH($A51,0)+1)
)</f>
        <v>0</v>
      </c>
      <c r="BD51" s="178" cm="1">
        <f t="array" ref="BD51">SUMPRODUCT(
  IFERROR(--desp[valor],0)*
  (desp[nucleo]="UP ESTAÇÃO SÃO LUCAS")*
  (desp[categoria]=BD$7)*
  (desp[data.pagamento]&gt;=$A51)*
  (desp[data.pagamento]&lt;EOMONTH($A51,0)+1)
)</f>
        <v>0</v>
      </c>
      <c r="BE51" s="178" cm="1">
        <f t="array" ref="BE51">SUMPRODUCT(
  IFERROR(--desp[valor],0)*
  (desp[nucleo]="UP ESTAÇÃO SÃO LUCAS")*
  (desp[categoria]=BE$7)*
  (desp[data.pagamento]&gt;=$A51)*
  (desp[data.pagamento]&lt;EOMONTH($A51,0)+1)
)</f>
        <v>0</v>
      </c>
      <c r="BF51" s="178" cm="1">
        <f t="array" ref="BF51">SUMPRODUCT(
  IFERROR(--desp[valor],0)*
  (desp[nucleo]="UP ESTAÇÃO SÃO LUCAS")*
  (desp[categoria]=BF$7)*
  (desp[data.pagamento]&gt;=$A51)*
  (desp[data.pagamento]&lt;EOMONTH($A51,0)+1)
)</f>
        <v>0</v>
      </c>
      <c r="BG51" s="179" cm="1">
        <f t="array" ref="BG51">SUMPRODUCT(
  IFERROR(--desp[valor],0)*
  (desp[nucleo]="UP ESTAÇÃO SÃO LUCAS")*
  (desp[categoria]=BG$7)*
  (desp[data.pagamento]&gt;=$A51)*
  (desp[data.pagamento]&lt;EOMONTH($A51,0)+1)
)</f>
        <v>0</v>
      </c>
      <c r="BH51" s="177">
        <f>COUNTIFS(
    estq[empresa], BH$6,
    estq[Data da venda / reserva], "&gt;=" &amp; $A51,
    estq[Data da venda / reserva], "&lt;"  &amp; EOMONTH($A51,0) + 1
)</f>
        <v>0</v>
      </c>
      <c r="BI51" s="178">
        <f ca="1">SUMIFS(rec.uni[2025-01-01],
INDIRECT("rec.uni[natureza]"),"pro.soluto",
INDIRECT("rec.uni[empresa]"),BI$6)</f>
        <v>0</v>
      </c>
      <c r="BJ51" s="166">
        <f>0.7*94736</f>
        <v>66315.199999999997</v>
      </c>
      <c r="BK51" s="178">
        <f ca="1">SUMIFS(rec.uni[2025-01-01],
INDIRECT("rec.uni[natureza]"),"taxa.extra",
INDIRECT("rec.uni[empresa]"),BK$6)</f>
        <v>0</v>
      </c>
      <c r="BL51" s="166"/>
      <c r="BM51" s="178" cm="1">
        <f t="array" ref="BM51">SUMPRODUCT(
  IFERROR(--desp[valor],0)*
  (desp[nucleo]="UP POMPEIA")*
  (desp[categoria]=BM$7)*
  (desp[data.pagamento]&gt;=$A51)*
  (desp[data.pagamento]&lt;EOMONTH($A51,0)+1)
)</f>
        <v>0</v>
      </c>
      <c r="BN51" s="178" cm="1">
        <f t="array" ref="BN51">SUMPRODUCT(
  IFERROR(--desp[valor],0)*
  (desp[nucleo]="UP POMPEIA")*
  (desp[categoria]=BN$7)*
  (desp[data.pagamento]&gt;=$A51)*
  (desp[data.pagamento]&lt;EOMONTH($A51,0)+1)
)</f>
        <v>0</v>
      </c>
      <c r="BO51" s="178" cm="1">
        <f t="array" ref="BO51">SUMPRODUCT(
  IFERROR(--desp[valor],0)*
  (desp[nucleo]="UP POMPEIA")*
  (desp[categoria]=BO$7)*
  (desp[data.pagamento]&gt;=$A51)*
  (desp[data.pagamento]&lt;EOMONTH($A51,0)+1)
)</f>
        <v>0</v>
      </c>
      <c r="BP51" s="178" cm="1">
        <f t="array" ref="BP51">SUMPRODUCT(
  IFERROR(--desp[valor],0)*
  (desp[nucleo]="UP POMPEIA")*
  (desp[categoria]=BP$7)*
  (desp[data.pagamento]&gt;=$A51)*
  (desp[data.pagamento]&lt;EOMONTH($A51,0)+1)
)</f>
        <v>0</v>
      </c>
      <c r="BQ51" s="179" cm="1">
        <f t="array" ref="BQ51">SUMPRODUCT(
  IFERROR(--desp[valor],0)*
  (desp[nucleo]="UP POMPEIA")*
  (desp[categoria]=BQ$7)*
  (desp[data.pagamento]&gt;=$A51)*
  (desp[data.pagamento]&lt;EOMONTH($A51,0)+1)
)</f>
        <v>0</v>
      </c>
      <c r="BR51" s="177">
        <f>COUNTIFS(
    estq[empresa], BR$6,
    estq[Data da venda / reserva], "&gt;=" &amp; $A51,
    estq[Data da venda / reserva], "&lt;"  &amp; EOMONTH($A51,0) + 1
)</f>
        <v>0</v>
      </c>
      <c r="BS51" s="178">
        <f ca="1">SUMIFS(rec.uni[2025-01-01],
INDIRECT("rec.uni[natureza]"),"pro.soluto",
INDIRECT("rec.uni[empresa]"),BS$6)</f>
        <v>0</v>
      </c>
      <c r="BT51" s="178">
        <f ca="1">SUMIFS(rec.uni[2025-01-01],
INDIRECT("rec.uni[natureza]"),"pro.soluto",
INDIRECT("rec.uni[empresa]"),BT$6)</f>
        <v>0</v>
      </c>
      <c r="BU51" s="178">
        <f ca="1">SUMIFS(rec.uni[2025-01-01],
INDIRECT("rec.uni[natureza]"),"taxa.extra",
INDIRECT("rec.uni[empresa]"),BU$6)</f>
        <v>0</v>
      </c>
      <c r="BV51" s="166"/>
      <c r="BW51" s="178" cm="1">
        <f t="array" ref="BW51">SUMPRODUCT(
  IFERROR(--desp[valor],0)*
  (desp[nucleo]="UP SAUDE")*
  (desp[categoria]=BW$7)*
  (desp[data.pagamento]&gt;=$A51)*
  (desp[data.pagamento]&lt;EOMONTH($A51,0)+1)
)</f>
        <v>0</v>
      </c>
      <c r="BX51" s="178" cm="1">
        <f t="array" ref="BX51">SUMPRODUCT(
  IFERROR(--desp[valor],0)*
  (desp[nucleo]="UP SAUDE")*
  (desp[categoria]=BX$7)*
  (desp[data.pagamento]&gt;=$A51)*
  (desp[data.pagamento]&lt;EOMONTH($A51,0)+1)
)</f>
        <v>0</v>
      </c>
      <c r="BY51" s="178" cm="1">
        <f t="array" ref="BY51">SUMPRODUCT(
  IFERROR(--desp[valor],0)*
  (desp[nucleo]="UP SAUDE")*
  (desp[categoria]=BY$7)*
  (desp[data.pagamento]&gt;=$A51)*
  (desp[data.pagamento]&lt;EOMONTH($A51,0)+1)
)</f>
        <v>0</v>
      </c>
      <c r="BZ51" s="178" cm="1">
        <f t="array" ref="BZ51">SUMPRODUCT(
  IFERROR(--desp[valor],0)*
  (desp[nucleo]="UP SAUDE")*
  (desp[categoria]=BZ$7)*
  (desp[data.pagamento]&gt;=$A51)*
  (desp[data.pagamento]&lt;EOMONTH($A51,0)+1)
)</f>
        <v>0</v>
      </c>
      <c r="CA51" s="179" cm="1">
        <f t="array" ref="CA51">SUMPRODUCT(
  IFERROR(--desp[valor],0)*
  (desp[nucleo]="UP SAUDE")*
  (desp[categoria]=CA$7)*
  (desp[data.pagamento]&gt;=$A51)*
  (desp[data.pagamento]&lt;EOMONTH($A51,0)+1)
)</f>
        <v>0</v>
      </c>
      <c r="CB51" s="177">
        <f>COUNTIFS(
    estq[empresa], CB$6,
    estq[Data da venda / reserva], "&gt;=" &amp; $A51,
    estq[Data da venda / reserva], "&lt;"  &amp; EOMONTH($A51,0) + 1
)</f>
        <v>0</v>
      </c>
      <c r="CC51" s="178">
        <f ca="1">SUMIFS(rec.uni[2025-01-01],
INDIRECT("rec.uni[natureza]"),"pro.soluto",
INDIRECT("rec.uni[empresa]"),CC$6)</f>
        <v>0</v>
      </c>
      <c r="CD51" s="178">
        <f ca="1">SUMIFS(rec.uni[2025-01-01],
INDIRECT("rec.uni[natureza]"),"repasse.cef.obra",
INDIRECT("rec.uni[empresa]"),CD$6)</f>
        <v>0</v>
      </c>
      <c r="CE51" s="178">
        <f ca="1">SUMIFS(rec.uni[2025-01-01],
INDIRECT("rec.uni[natureza]"),"repasse.cef.terreno",
INDIRECT("rec.uni[empresa]"),CE$6)</f>
        <v>0</v>
      </c>
      <c r="CF51" s="178">
        <v>0</v>
      </c>
      <c r="CG51" s="178">
        <f ca="1">SUMIFS(rec.uni[2025-01-01],
INDIRECT("rec.uni[natureza]"),"taxa.extra",
INDIRECT("rec.uni[empresa]"),CG$6)</f>
        <v>0</v>
      </c>
      <c r="CH51" s="166"/>
      <c r="CI51" s="178" cm="1">
        <f t="array" ref="CI51">SUMPRODUCT(
  IFERROR(--desp[valor],0)*
  (desp[nucleo]="UP ESTAÇÃO VILA SONIA")*
  (desp[categoria]=CI$7)*
  (desp[data.pagamento]&gt;=$A51)*
  (desp[data.pagamento]&lt;EOMONTH($A51,0)+1)
)</f>
        <v>0</v>
      </c>
      <c r="CJ51" s="178" cm="1">
        <f t="array" ref="CJ51">SUMPRODUCT(
  IFERROR(--desp[valor],0)*
  (desp[nucleo]="UP ESTAÇÃO VILA SONIA")*
  (desp[categoria]=CJ$7)*
  (desp[data.pagamento]&gt;=$A51)*
  (desp[data.pagamento]&lt;EOMONTH($A51,0)+1)
)</f>
        <v>0</v>
      </c>
      <c r="CK51" s="178" cm="1">
        <f t="array" ref="CK51">SUMPRODUCT(
  IFERROR(--desp[valor],0)*
  (desp[nucleo]="UP ESTAÇÃO VILA SONIA")*
  (desp[categoria]=CK$7)*
  (desp[data.pagamento]&gt;=$A51)*
  (desp[data.pagamento]&lt;EOMONTH($A51,0)+1)
)</f>
        <v>0</v>
      </c>
      <c r="CL51" s="178" cm="1">
        <f t="array" ref="CL51">SUMPRODUCT(
  IFERROR(--desp[valor],0)*
  (desp[nucleo]="UP ESTAÇÃO VILA SONIA")*
  (desp[categoria]=CL$7)*
  (desp[data.pagamento]&gt;=$A51)*
  (desp[data.pagamento]&lt;EOMONTH($A51,0)+1)
)</f>
        <v>0</v>
      </c>
      <c r="CM51" s="179" cm="1">
        <f t="array" ref="CM51">SUMPRODUCT(
  IFERROR(--desp[valor],0)*
  (desp[nucleo]="UP ESTAÇÃO VILA SONIA")*
  (desp[categoria]=CM$7)*
  (desp[data.pagamento]&gt;=$A51)*
  (desp[data.pagamento]&lt;EOMONTH($A51,0)+1)
)</f>
        <v>0</v>
      </c>
      <c r="CN51" s="177">
        <f>COUNTIFS(
    estq[empresa], CN$6,
    estq[Data da venda / reserva], "&gt;=" &amp; $A51,
    estq[Data da venda / reserva], "&lt;"  &amp; EOMONTH($A51,0) + 1
)</f>
        <v>0</v>
      </c>
      <c r="CO51" s="178">
        <f ca="1">SUMIFS(rec.uni[2025-01-01],
INDIRECT("rec.uni[natureza]"),"pro.soluto",
INDIRECT("rec.uni[empresa]"),CO$6)</f>
        <v>0</v>
      </c>
      <c r="CP51" s="178">
        <f ca="1">SUMIFS(rec.uni[2025-01-01],
INDIRECT("rec.uni[natureza]"),"repasse.cef.obra",
INDIRECT("rec.uni[empresa]"),CP$6)</f>
        <v>0</v>
      </c>
      <c r="CQ51" s="178">
        <f ca="1">SUMIFS(rec.uni[2025-01-01],
INDIRECT("rec.uni[natureza]"),"repasse.cef.terreno",
INDIRECT("rec.uni[empresa]"),CQ$6)</f>
        <v>0</v>
      </c>
      <c r="CR51" s="178">
        <v>0</v>
      </c>
      <c r="CS51" s="178">
        <f ca="1">SUMIFS(rec.uni[2025-01-01],
INDIRECT("rec.uni[natureza]"),"taxa.extra",
INDIRECT("rec.uni[empresa]"),CS$6)</f>
        <v>0</v>
      </c>
      <c r="CT51" s="166"/>
      <c r="CU51" s="178" cm="1">
        <f t="array" ref="CU51">SUMPRODUCT(
  IFERROR(--desp[valor],0)*
  (desp[nucleo]="UP MOVE VILA SONIA")*
  (desp[categoria]=CU$7)*
  (desp[data.pagamento]&gt;=$A51)*
  (desp[data.pagamento]&lt;EOMONTH($A51,0)+1)
)</f>
        <v>0</v>
      </c>
      <c r="CV51" s="178" cm="1">
        <f t="array" ref="CV51">SUMPRODUCT(
  IFERROR(--desp[valor],0)*
  (desp[nucleo]="UP MOVE VILA SONIA")*
  (desp[categoria]=CV$7)*
  (desp[data.pagamento]&gt;=$A51)*
  (desp[data.pagamento]&lt;EOMONTH($A51,0)+1)
)</f>
        <v>0</v>
      </c>
      <c r="CW51" s="178" cm="1">
        <f t="array" ref="CW51">SUMPRODUCT(
  IFERROR(--desp[valor],0)*
  (desp[nucleo]="UP MOVE VILA SONIA")*
  (desp[categoria]=CW$7)*
  (desp[data.pagamento]&gt;=$A51)*
  (desp[data.pagamento]&lt;EOMONTH($A51,0)+1)
)</f>
        <v>0</v>
      </c>
      <c r="CX51" s="178" cm="1">
        <f t="array" ref="CX51">SUMPRODUCT(
  IFERROR(--desp[valor],0)*
  (desp[nucleo]="UP MOVE VILA SONIA")*
  (desp[categoria]=CX$7)*
  (desp[data.pagamento]&gt;=$A51)*
  (desp[data.pagamento]&lt;EOMONTH($A51,0)+1)
)</f>
        <v>0</v>
      </c>
      <c r="CY51" s="180" cm="1">
        <f t="array" ref="CY51">SUMPRODUCT(
  IFERROR(--desp[valor],0)*
  (desp[nucleo]="UP MOVE VILA SONIA")*
  (desp[categoria]=CY$7)*
  (desp[data.pagamento]&gt;=$A51)*
  (desp[data.pagamento]&lt;EOMONTH($A51,0)+1)
)</f>
        <v>0</v>
      </c>
    </row>
    <row r="52" spans="1:103" x14ac:dyDescent="0.25">
      <c r="A52" s="176">
        <v>45689</v>
      </c>
      <c r="B52" s="177">
        <f>COUNTIFS(
    estq[empresa], B$6,
    estq[Data da venda / reserva], "&gt;=" &amp; $A52,
    estq[Data da venda / reserva], "&lt;"  &amp; EOMONTH($A52,0) + 1
)</f>
        <v>0</v>
      </c>
      <c r="C52" s="178">
        <f ca="1">SUMIFS(rec.uni[2025-02-01],
INDIRECT("rec.uni[natureza]"),"pro.soluto",
INDIRECT("rec.uni[empresa]"),C$6)</f>
        <v>0</v>
      </c>
      <c r="D52" s="178">
        <f ca="1">SUMIFS(rec.uni[2025-02-01],
INDIRECT("rec.uni[natureza]"),"repasse.cef.obra",
INDIRECT("rec.uni[empresa]"),D$6)</f>
        <v>0</v>
      </c>
      <c r="E52" s="178">
        <f ca="1">SUMIFS(rec.uni[2025-02-01],
INDIRECT("rec.uni[natureza]"),"repasse.cef.terreno",
INDIRECT("rec.uni[empresa]"),E$6)</f>
        <v>0</v>
      </c>
      <c r="F52" s="178">
        <v>0</v>
      </c>
      <c r="G52" s="178">
        <f ca="1">SUMIFS(rec.uni[2025-02-01],
INDIRECT("rec.uni[natureza]"),"taxa.extra",
INDIRECT("rec.uni[empresa]"),G$6)</f>
        <v>0</v>
      </c>
      <c r="H52" s="166"/>
      <c r="I52" s="178" cm="1">
        <f t="array" ref="I52">SUMPRODUCT(
  IFERROR(--desp[valor],0)*
  (desp[nucleo]="UP JARDIM PRUDENCIA")*
  (desp[categoria]=I$7)*
  (desp[data.pagamento]&gt;=$A52)*
  (desp[data.pagamento]&lt;EOMONTH($A52,0)+1)
)</f>
        <v>0</v>
      </c>
      <c r="J52" s="178" cm="1">
        <f t="array" ref="J52">SUMPRODUCT(
  IFERROR(--desp[valor],0)*
  (desp[nucleo]="UP JARDIM PRUDENCIA")*
  (desp[categoria]=J$7)*
  (desp[data.pagamento]&gt;=$A52)*
  (desp[data.pagamento]&lt;EOMONTH($A52,0)+1)
)</f>
        <v>0</v>
      </c>
      <c r="K52" s="178" cm="1">
        <f t="array" ref="K52">SUMPRODUCT(
  IFERROR(--desp[valor],0)*
  (desp[nucleo]="UP JARDIM PRUDENCIA")*
  (desp[categoria]=K$7)*
  (desp[data.pagamento]&gt;=$A52)*
  (desp[data.pagamento]&lt;EOMONTH($A52,0)+1)
)</f>
        <v>0</v>
      </c>
      <c r="L52" s="178" cm="1">
        <f t="array" ref="L52">SUMPRODUCT(
  IFERROR(--desp[valor],0)*
  (desp[nucleo]="UP JARDIM PRUDENCIA")*
  (desp[categoria]=L$7)*
  (desp[data.pagamento]&gt;=$A52)*
  (desp[data.pagamento]&lt;EOMONTH($A52,0)+1)
)</f>
        <v>0</v>
      </c>
      <c r="M52" s="179" cm="1">
        <f t="array" ref="M52">SUMPRODUCT(
  IFERROR(--desp[valor],0)*
  (desp[nucleo]="UP JARDIM PRUDENCIA")*
  (desp[categoria]=M$7)*
  (desp[data.pagamento]&gt;=$A52)*
  (desp[data.pagamento]&lt;EOMONTH($A52,0)+1)
)</f>
        <v>0</v>
      </c>
      <c r="N52" s="177">
        <f>COUNTIFS(
    estq[empresa], N$6,
    estq[Data da venda / reserva], "&gt;=" &amp; $A52,
    estq[Data da venda / reserva], "&lt;"  &amp; EOMONTH($A52,0) + 1
)</f>
        <v>0</v>
      </c>
      <c r="O52" s="178">
        <f ca="1">SUMIFS(rec.uni[2025-02-01],
INDIRECT("rec.uni[natureza]"),"pro.soluto",
INDIRECT("rec.uni[empresa]"),O$6)</f>
        <v>0</v>
      </c>
      <c r="P52" s="178">
        <f ca="1">SUMIFS(rec.uni[2025-02-01],
INDIRECT("rec.uni[natureza]"),"repasse.cef.obra",
INDIRECT("rec.uni[empresa]"),P$6)</f>
        <v>0</v>
      </c>
      <c r="Q52" s="178">
        <f ca="1">SUMIFS(rec.uni[2025-02-01],
INDIRECT("rec.uni[natureza]"),"repasse.cef.terreno",
INDIRECT("rec.uni[empresa]"),Q$6)</f>
        <v>0</v>
      </c>
      <c r="R52" s="178">
        <v>0</v>
      </c>
      <c r="S52" s="178">
        <f ca="1">SUMIFS(rec.uni[2025-02-01],
INDIRECT("rec.uni[natureza]"),"taxa.extra",
INDIRECT("rec.uni[empresa]"),S$6)</f>
        <v>0</v>
      </c>
      <c r="T52" s="166"/>
      <c r="U52" s="178" cm="1">
        <f t="array" ref="U52">SUMPRODUCT(
  IFERROR(--desp[valor],0)*
  (desp[nucleo]="UP VILA SONIA")*
  (desp[categoria]=U$7)*
  (desp[data.pagamento]&gt;=$A52)*
  (desp[data.pagamento]&lt;EOMONTH($A52,0)+1)
)</f>
        <v>0</v>
      </c>
      <c r="V52" s="178" cm="1">
        <f t="array" ref="V52">SUMPRODUCT(
  IFERROR(--desp[valor],0)*
  (desp[nucleo]="UP VILA SONIA")*
  (desp[categoria]=V$7)*
  (desp[data.pagamento]&gt;=$A52)*
  (desp[data.pagamento]&lt;EOMONTH($A52,0)+1)
)</f>
        <v>0</v>
      </c>
      <c r="W52" s="178" cm="1">
        <f t="array" ref="W52">SUMPRODUCT(
  IFERROR(--desp[valor],0)*
  (desp[nucleo]="UP VILA SONIA")*
  (desp[categoria]=W$7)*
  (desp[data.pagamento]&gt;=$A52)*
  (desp[data.pagamento]&lt;EOMONTH($A52,0)+1)
)</f>
        <v>0</v>
      </c>
      <c r="X52" s="178" cm="1">
        <f t="array" ref="X52">SUMPRODUCT(
  IFERROR(--desp[valor],0)*
  (desp[nucleo]="UP VILA SONIA")*
  (desp[categoria]=X$7)*
  (desp[data.pagamento]&gt;=$A52)*
  (desp[data.pagamento]&lt;EOMONTH($A52,0)+1)
)</f>
        <v>0</v>
      </c>
      <c r="Y52" s="179" cm="1">
        <f t="array" ref="Y52">SUMPRODUCT(
  IFERROR(--desp[valor],0)*
  (desp[nucleo]="UP VILA SONIA")*
  (desp[categoria]=Y$7)*
  (desp[data.pagamento]&gt;=$A52)*
  (desp[data.pagamento]&lt;EOMONTH($A52,0)+1)
)</f>
        <v>0</v>
      </c>
      <c r="Z52" s="177">
        <f>COUNTIFS(
    estq[empresa], Z$6,
    estq[Data da venda / reserva], "&gt;=" &amp; $A52,
    estq[Data da venda / reserva], "&lt;"  &amp; EOMONTH($A52,0) + 1
)</f>
        <v>0</v>
      </c>
      <c r="AA52" s="178">
        <f ca="1">SUMIFS(rec.uni[2025-02-01],
INDIRECT("rec.uni[natureza]"),"pro.soluto",
INDIRECT("rec.uni[empresa]"),AA$6)</f>
        <v>0</v>
      </c>
      <c r="AB52" s="178">
        <f ca="1">SUMIFS(rec.uni[2025-02-01],
INDIRECT("rec.uni[natureza]"),"pro.soluto",
INDIRECT("rec.uni[empresa]"),AB$6)</f>
        <v>0</v>
      </c>
      <c r="AC52" s="178">
        <f ca="1">SUMIFS(rec.uni[2025-02-01],
INDIRECT("rec.uni[natureza]"),"taxa.extra",
INDIRECT("rec.uni[empresa]"),AC$6)</f>
        <v>0</v>
      </c>
      <c r="AD52" s="166"/>
      <c r="AE52" s="178" cm="1">
        <f t="array" ref="AE52">SUMPRODUCT(
  IFERROR(--desp[valor],0)*
  (desp[nucleo]="UP CAMPO BELO")*
  (desp[categoria]=AE$7)*
  (desp[data.pagamento]&gt;=$A52)*
  (desp[data.pagamento]&lt;EOMONTH($A52,0)+1)
)</f>
        <v>0</v>
      </c>
      <c r="AF52" s="178" cm="1">
        <f t="array" ref="AF52">SUMPRODUCT(
  IFERROR(--desp[valor],0)*
  (desp[nucleo]="UP CAMPO BELO")*
  (desp[categoria]=AF$7)*
  (desp[data.pagamento]&gt;=$A52)*
  (desp[data.pagamento]&lt;EOMONTH($A52,0)+1)
)</f>
        <v>0</v>
      </c>
      <c r="AG52" s="178" cm="1">
        <f t="array" ref="AG52">SUMPRODUCT(
  IFERROR(--desp[valor],0)*
  (desp[nucleo]="UP CAMPO BELO")*
  (desp[categoria]=AG$7)*
  (desp[data.pagamento]&gt;=$A52)*
  (desp[data.pagamento]&lt;EOMONTH($A52,0)+1)
)</f>
        <v>0</v>
      </c>
      <c r="AH52" s="178" cm="1">
        <f t="array" ref="AH52">SUMPRODUCT(
  IFERROR(--desp[valor],0)*
  (desp[nucleo]="UP CAMPO BELO")*
  (desp[categoria]=AH$7)*
  (desp[data.pagamento]&gt;=$A52)*
  (desp[data.pagamento]&lt;EOMONTH($A52,0)+1)
)</f>
        <v>0</v>
      </c>
      <c r="AI52" s="179" cm="1">
        <f t="array" ref="AI52">SUMPRODUCT(
  IFERROR(--desp[valor],0)*
  (desp[nucleo]="UP CAMPO BELO")*
  (desp[categoria]=AI$7)*
  (desp[data.pagamento]&gt;=$A52)*
  (desp[data.pagamento]&lt;EOMONTH($A52,0)+1)
)</f>
        <v>0</v>
      </c>
      <c r="AJ52" s="177">
        <f>COUNTIFS(
    estq[empresa], AJ$6,
    estq[Data da venda / reserva], "&gt;=" &amp; $A52,
    estq[Data da venda / reserva], "&lt;"  &amp; EOMONTH($A52,0) + 1
)</f>
        <v>0</v>
      </c>
      <c r="AK52" s="178">
        <f ca="1">SUMIFS(rec.uni[2025-02-01],
INDIRECT("rec.uni[natureza]"),"pro.soluto",
INDIRECT("rec.uni[empresa]"),AK$6)</f>
        <v>0</v>
      </c>
      <c r="AL52" s="178">
        <f ca="1">SUMIFS(rec.uni[2025-02-01],
INDIRECT("rec.uni[natureza]"),"repasse.cef.obra",
INDIRECT("rec.uni[empresa]"),AL$6)</f>
        <v>0</v>
      </c>
      <c r="AM52" s="178">
        <f ca="1">SUMIFS(rec.uni[2025-02-01],
INDIRECT("rec.uni[natureza]"),"repasse.cef.terreno",
INDIRECT("rec.uni[empresa]"),AM$6)</f>
        <v>0</v>
      </c>
      <c r="AN52" s="178">
        <v>0</v>
      </c>
      <c r="AO52" s="178">
        <f ca="1">SUMIFS(rec.uni[2025-02-01],
INDIRECT("rec.uni[natureza]"),"taxa.extra",
INDIRECT("rec.uni[empresa]"),AO$6)</f>
        <v>0</v>
      </c>
      <c r="AP52" s="166"/>
      <c r="AQ52" s="178" cm="1">
        <f t="array" ref="AQ52">SUMPRODUCT(
  IFERROR(--desp[valor],0)*
  (desp[nucleo]="UP SELECT VILA SONIA")*
  (desp[categoria]=AQ$7)*
  (desp[data.pagamento]&gt;=$A52)*
  (desp[data.pagamento]&lt;EOMONTH($A52,0)+1)
)</f>
        <v>0</v>
      </c>
      <c r="AR52" s="178" cm="1">
        <f t="array" ref="AR52">SUMPRODUCT(
  IFERROR(--desp[valor],0)*
  (desp[nucleo]="UP SELECT VILA SONIA")*
  (desp[categoria]=AR$7)*
  (desp[data.pagamento]&gt;=$A52)*
  (desp[data.pagamento]&lt;EOMONTH($A52,0)+1)
)</f>
        <v>0</v>
      </c>
      <c r="AS52" s="178" cm="1">
        <f t="array" ref="AS52">SUMPRODUCT(
  IFERROR(--desp[valor],0)*
  (desp[nucleo]="UP SELECT VILA SONIA")*
  (desp[categoria]=AS$7)*
  (desp[data.pagamento]&gt;=$A52)*
  (desp[data.pagamento]&lt;EOMONTH($A52,0)+1)
)</f>
        <v>0</v>
      </c>
      <c r="AT52" s="178" cm="1">
        <f t="array" ref="AT52">SUMPRODUCT(
  IFERROR(--desp[valor],0)*
  (desp[nucleo]="UP SELECT VILA SONIA")*
  (desp[categoria]=AT$7)*
  (desp[data.pagamento]&gt;=$A52)*
  (desp[data.pagamento]&lt;EOMONTH($A52,0)+1)
)</f>
        <v>0</v>
      </c>
      <c r="AU52" s="179" cm="1">
        <f t="array" ref="AU52">SUMPRODUCT(
  IFERROR(--desp[valor],0)*
  (desp[nucleo]="UP SELECT VILA SONIA")*
  (desp[categoria]=AU$7)*
  (desp[data.pagamento]&gt;=$A52)*
  (desp[data.pagamento]&lt;EOMONTH($A52,0)+1)
)</f>
        <v>0</v>
      </c>
      <c r="AV52" s="177">
        <f>COUNTIFS(
    estq[empresa], AV$6,
    estq[Data da venda / reserva], "&gt;=" &amp; $A52,
    estq[Data da venda / reserva], "&lt;"  &amp; EOMONTH($A52,0) + 1
)</f>
        <v>0</v>
      </c>
      <c r="AW52" s="178">
        <f ca="1">SUMIFS(rec.uni[2025-02-01],
INDIRECT("rec.uni[natureza]"),"pro.soluto",
INDIRECT("rec.uni[empresa]"),AW$6)</f>
        <v>0</v>
      </c>
      <c r="AX52" s="178">
        <f ca="1">SUMIFS(rec.uni[2025-02-01],
INDIRECT("rec.uni[natureza]"),"repasse.cef.obra",
INDIRECT("rec.uni[empresa]"),AX$6)</f>
        <v>0</v>
      </c>
      <c r="AY52" s="178">
        <f ca="1">SUMIFS(rec.uni[2025-02-01],
INDIRECT("rec.uni[natureza]"),"repasse.cef.terreno",
INDIRECT("rec.uni[empresa]"),AY$6)</f>
        <v>0</v>
      </c>
      <c r="AZ52" s="178">
        <v>0</v>
      </c>
      <c r="BA52" s="178">
        <f ca="1">SUMIFS(rec.uni[2025-02-01],
INDIRECT("rec.uni[natureza]"),"taxa.extra",
INDIRECT("rec.uni[empresa]"),BA$6)</f>
        <v>0</v>
      </c>
      <c r="BB52" s="166"/>
      <c r="BC52" s="178" cm="1">
        <f t="array" ref="BC52">SUMPRODUCT(
  IFERROR(--desp[valor],0)*
  (desp[nucleo]="UP ESTAÇÃO SÃO LUCAS")*
  (desp[categoria]=BC$7)*
  (desp[data.pagamento]&gt;=$A52)*
  (desp[data.pagamento]&lt;EOMONTH($A52,0)+1)
)</f>
        <v>0</v>
      </c>
      <c r="BD52" s="178" cm="1">
        <f t="array" ref="BD52">SUMPRODUCT(
  IFERROR(--desp[valor],0)*
  (desp[nucleo]="UP ESTAÇÃO SÃO LUCAS")*
  (desp[categoria]=BD$7)*
  (desp[data.pagamento]&gt;=$A52)*
  (desp[data.pagamento]&lt;EOMONTH($A52,0)+1)
)</f>
        <v>0</v>
      </c>
      <c r="BE52" s="178" cm="1">
        <f t="array" ref="BE52">SUMPRODUCT(
  IFERROR(--desp[valor],0)*
  (desp[nucleo]="UP ESTAÇÃO SÃO LUCAS")*
  (desp[categoria]=BE$7)*
  (desp[data.pagamento]&gt;=$A52)*
  (desp[data.pagamento]&lt;EOMONTH($A52,0)+1)
)</f>
        <v>0</v>
      </c>
      <c r="BF52" s="178" cm="1">
        <f t="array" ref="BF52">SUMPRODUCT(
  IFERROR(--desp[valor],0)*
  (desp[nucleo]="UP ESTAÇÃO SÃO LUCAS")*
  (desp[categoria]=BF$7)*
  (desp[data.pagamento]&gt;=$A52)*
  (desp[data.pagamento]&lt;EOMONTH($A52,0)+1)
)</f>
        <v>0</v>
      </c>
      <c r="BG52" s="179" cm="1">
        <f t="array" ref="BG52">SUMPRODUCT(
  IFERROR(--desp[valor],0)*
  (desp[nucleo]="UP ESTAÇÃO SÃO LUCAS")*
  (desp[categoria]=BG$7)*
  (desp[data.pagamento]&gt;=$A52)*
  (desp[data.pagamento]&lt;EOMONTH($A52,0)+1)
)</f>
        <v>0</v>
      </c>
      <c r="BH52" s="177">
        <f>COUNTIFS(
    estq[empresa], BH$6,
    estq[Data da venda / reserva], "&gt;=" &amp; $A52,
    estq[Data da venda / reserva], "&lt;"  &amp; EOMONTH($A52,0) + 1
)</f>
        <v>0</v>
      </c>
      <c r="BI52" s="178">
        <f ca="1">SUMIFS(rec.uni[2025-02-01],
INDIRECT("rec.uni[natureza]"),"pro.soluto",
INDIRECT("rec.uni[empresa]"),BI$6)</f>
        <v>0</v>
      </c>
      <c r="BJ52" s="166">
        <f>1.08*94736</f>
        <v>102314.88</v>
      </c>
      <c r="BK52" s="178">
        <f ca="1">SUMIFS(rec.uni[2025-02-01],
INDIRECT("rec.uni[natureza]"),"taxa.extra",
INDIRECT("rec.uni[empresa]"),BK$6)</f>
        <v>0</v>
      </c>
      <c r="BL52" s="166"/>
      <c r="BM52" s="178" cm="1">
        <f t="array" ref="BM52">SUMPRODUCT(
  IFERROR(--desp[valor],0)*
  (desp[nucleo]="UP POMPEIA")*
  (desp[categoria]=BM$7)*
  (desp[data.pagamento]&gt;=$A52)*
  (desp[data.pagamento]&lt;EOMONTH($A52,0)+1)
)</f>
        <v>0</v>
      </c>
      <c r="BN52" s="178" cm="1">
        <f t="array" ref="BN52">SUMPRODUCT(
  IFERROR(--desp[valor],0)*
  (desp[nucleo]="UP POMPEIA")*
  (desp[categoria]=BN$7)*
  (desp[data.pagamento]&gt;=$A52)*
  (desp[data.pagamento]&lt;EOMONTH($A52,0)+1)
)</f>
        <v>0</v>
      </c>
      <c r="BO52" s="178" cm="1">
        <f t="array" ref="BO52">SUMPRODUCT(
  IFERROR(--desp[valor],0)*
  (desp[nucleo]="UP POMPEIA")*
  (desp[categoria]=BO$7)*
  (desp[data.pagamento]&gt;=$A52)*
  (desp[data.pagamento]&lt;EOMONTH($A52,0)+1)
)</f>
        <v>0</v>
      </c>
      <c r="BP52" s="178" cm="1">
        <f t="array" ref="BP52">SUMPRODUCT(
  IFERROR(--desp[valor],0)*
  (desp[nucleo]="UP POMPEIA")*
  (desp[categoria]=BP$7)*
  (desp[data.pagamento]&gt;=$A52)*
  (desp[data.pagamento]&lt;EOMONTH($A52,0)+1)
)</f>
        <v>0</v>
      </c>
      <c r="BQ52" s="179" cm="1">
        <f t="array" ref="BQ52">SUMPRODUCT(
  IFERROR(--desp[valor],0)*
  (desp[nucleo]="UP POMPEIA")*
  (desp[categoria]=BQ$7)*
  (desp[data.pagamento]&gt;=$A52)*
  (desp[data.pagamento]&lt;EOMONTH($A52,0)+1)
)</f>
        <v>0</v>
      </c>
      <c r="BR52" s="177">
        <f>COUNTIFS(
    estq[empresa], BR$6,
    estq[Data da venda / reserva], "&gt;=" &amp; $A52,
    estq[Data da venda / reserva], "&lt;"  &amp; EOMONTH($A52,0) + 1
)</f>
        <v>0</v>
      </c>
      <c r="BS52" s="178">
        <f ca="1">SUMIFS(rec.uni[2025-02-01],
INDIRECT("rec.uni[natureza]"),"pro.soluto",
INDIRECT("rec.uni[empresa]"),BS$6)</f>
        <v>0</v>
      </c>
      <c r="BT52" s="178">
        <f ca="1">SUMIFS(rec.uni[2025-02-01],
INDIRECT("rec.uni[natureza]"),"pro.soluto",
INDIRECT("rec.uni[empresa]"),BT$6)</f>
        <v>0</v>
      </c>
      <c r="BU52" s="178">
        <f ca="1">SUMIFS(rec.uni[2025-02-01],
INDIRECT("rec.uni[natureza]"),"taxa.extra",
INDIRECT("rec.uni[empresa]"),BU$6)</f>
        <v>0</v>
      </c>
      <c r="BV52" s="166"/>
      <c r="BW52" s="178" cm="1">
        <f t="array" ref="BW52">SUMPRODUCT(
  IFERROR(--desp[valor],0)*
  (desp[nucleo]="UP SAUDE")*
  (desp[categoria]=BW$7)*
  (desp[data.pagamento]&gt;=$A52)*
  (desp[data.pagamento]&lt;EOMONTH($A52,0)+1)
)</f>
        <v>0</v>
      </c>
      <c r="BX52" s="178" cm="1">
        <f t="array" ref="BX52">SUMPRODUCT(
  IFERROR(--desp[valor],0)*
  (desp[nucleo]="UP SAUDE")*
  (desp[categoria]=BX$7)*
  (desp[data.pagamento]&gt;=$A52)*
  (desp[data.pagamento]&lt;EOMONTH($A52,0)+1)
)</f>
        <v>0</v>
      </c>
      <c r="BY52" s="178" cm="1">
        <f t="array" ref="BY52">SUMPRODUCT(
  IFERROR(--desp[valor],0)*
  (desp[nucleo]="UP SAUDE")*
  (desp[categoria]=BY$7)*
  (desp[data.pagamento]&gt;=$A52)*
  (desp[data.pagamento]&lt;EOMONTH($A52,0)+1)
)</f>
        <v>0</v>
      </c>
      <c r="BZ52" s="178" cm="1">
        <f t="array" ref="BZ52">SUMPRODUCT(
  IFERROR(--desp[valor],0)*
  (desp[nucleo]="UP SAUDE")*
  (desp[categoria]=BZ$7)*
  (desp[data.pagamento]&gt;=$A52)*
  (desp[data.pagamento]&lt;EOMONTH($A52,0)+1)
)</f>
        <v>0</v>
      </c>
      <c r="CA52" s="179" cm="1">
        <f t="array" ref="CA52">SUMPRODUCT(
  IFERROR(--desp[valor],0)*
  (desp[nucleo]="UP SAUDE")*
  (desp[categoria]=CA$7)*
  (desp[data.pagamento]&gt;=$A52)*
  (desp[data.pagamento]&lt;EOMONTH($A52,0)+1)
)</f>
        <v>0</v>
      </c>
      <c r="CB52" s="177">
        <f>COUNTIFS(
    estq[empresa], CB$6,
    estq[Data da venda / reserva], "&gt;=" &amp; $A52,
    estq[Data da venda / reserva], "&lt;"  &amp; EOMONTH($A52,0) + 1
)</f>
        <v>0</v>
      </c>
      <c r="CC52" s="178">
        <f ca="1">SUMIFS(rec.uni[2025-02-01],
INDIRECT("rec.uni[natureza]"),"pro.soluto",
INDIRECT("rec.uni[empresa]"),CC$6)</f>
        <v>0</v>
      </c>
      <c r="CD52" s="178">
        <f ca="1">SUMIFS(rec.uni[2025-02-01],
INDIRECT("rec.uni[natureza]"),"repasse.cef.obra",
INDIRECT("rec.uni[empresa]"),CD$6)</f>
        <v>0</v>
      </c>
      <c r="CE52" s="178">
        <f ca="1">SUMIFS(rec.uni[2025-02-01],
INDIRECT("rec.uni[natureza]"),"repasse.cef.terreno",
INDIRECT("rec.uni[empresa]"),CE$6)</f>
        <v>0</v>
      </c>
      <c r="CF52" s="178">
        <v>0</v>
      </c>
      <c r="CG52" s="178">
        <f ca="1">SUMIFS(rec.uni[2025-02-01],
INDIRECT("rec.uni[natureza]"),"taxa.extra",
INDIRECT("rec.uni[empresa]"),CG$6)</f>
        <v>0</v>
      </c>
      <c r="CH52" s="166"/>
      <c r="CI52" s="178" cm="1">
        <f t="array" ref="CI52">SUMPRODUCT(
  IFERROR(--desp[valor],0)*
  (desp[nucleo]="UP ESTAÇÃO VILA SONIA")*
  (desp[categoria]=CI$7)*
  (desp[data.pagamento]&gt;=$A52)*
  (desp[data.pagamento]&lt;EOMONTH($A52,0)+1)
)</f>
        <v>0</v>
      </c>
      <c r="CJ52" s="178" cm="1">
        <f t="array" ref="CJ52">SUMPRODUCT(
  IFERROR(--desp[valor],0)*
  (desp[nucleo]="UP ESTAÇÃO VILA SONIA")*
  (desp[categoria]=CJ$7)*
  (desp[data.pagamento]&gt;=$A52)*
  (desp[data.pagamento]&lt;EOMONTH($A52,0)+1)
)</f>
        <v>0</v>
      </c>
      <c r="CK52" s="178" cm="1">
        <f t="array" ref="CK52">SUMPRODUCT(
  IFERROR(--desp[valor],0)*
  (desp[nucleo]="UP ESTAÇÃO VILA SONIA")*
  (desp[categoria]=CK$7)*
  (desp[data.pagamento]&gt;=$A52)*
  (desp[data.pagamento]&lt;EOMONTH($A52,0)+1)
)</f>
        <v>0</v>
      </c>
      <c r="CL52" s="178" cm="1">
        <f t="array" ref="CL52">SUMPRODUCT(
  IFERROR(--desp[valor],0)*
  (desp[nucleo]="UP ESTAÇÃO VILA SONIA")*
  (desp[categoria]=CL$7)*
  (desp[data.pagamento]&gt;=$A52)*
  (desp[data.pagamento]&lt;EOMONTH($A52,0)+1)
)</f>
        <v>0</v>
      </c>
      <c r="CM52" s="179" cm="1">
        <f t="array" ref="CM52">SUMPRODUCT(
  IFERROR(--desp[valor],0)*
  (desp[nucleo]="UP ESTAÇÃO VILA SONIA")*
  (desp[categoria]=CM$7)*
  (desp[data.pagamento]&gt;=$A52)*
  (desp[data.pagamento]&lt;EOMONTH($A52,0)+1)
)</f>
        <v>0</v>
      </c>
      <c r="CN52" s="177">
        <f>COUNTIFS(
    estq[empresa], CN$6,
    estq[Data da venda / reserva], "&gt;=" &amp; $A52,
    estq[Data da venda / reserva], "&lt;"  &amp; EOMONTH($A52,0) + 1
)</f>
        <v>0</v>
      </c>
      <c r="CO52" s="178">
        <f ca="1">SUMIFS(rec.uni[2025-02-01],
INDIRECT("rec.uni[natureza]"),"pro.soluto",
INDIRECT("rec.uni[empresa]"),CO$6)</f>
        <v>0</v>
      </c>
      <c r="CP52" s="178">
        <f ca="1">SUMIFS(rec.uni[2025-02-01],
INDIRECT("rec.uni[natureza]"),"repasse.cef.obra",
INDIRECT("rec.uni[empresa]"),CP$6)</f>
        <v>0</v>
      </c>
      <c r="CQ52" s="178">
        <f ca="1">SUMIFS(rec.uni[2025-02-01],
INDIRECT("rec.uni[natureza]"),"repasse.cef.terreno",
INDIRECT("rec.uni[empresa]"),CQ$6)</f>
        <v>0</v>
      </c>
      <c r="CR52" s="178">
        <v>0</v>
      </c>
      <c r="CS52" s="178">
        <f ca="1">SUMIFS(rec.uni[2025-02-01],
INDIRECT("rec.uni[natureza]"),"taxa.extra",
INDIRECT("rec.uni[empresa]"),CS$6)</f>
        <v>0</v>
      </c>
      <c r="CT52" s="166"/>
      <c r="CU52" s="178" cm="1">
        <f t="array" ref="CU52">SUMPRODUCT(
  IFERROR(--desp[valor],0)*
  (desp[nucleo]="UP MOVE VILA SONIA")*
  (desp[categoria]=CU$7)*
  (desp[data.pagamento]&gt;=$A52)*
  (desp[data.pagamento]&lt;EOMONTH($A52,0)+1)
)</f>
        <v>0</v>
      </c>
      <c r="CV52" s="178" cm="1">
        <f t="array" ref="CV52">SUMPRODUCT(
  IFERROR(--desp[valor],0)*
  (desp[nucleo]="UP MOVE VILA SONIA")*
  (desp[categoria]=CV$7)*
  (desp[data.pagamento]&gt;=$A52)*
  (desp[data.pagamento]&lt;EOMONTH($A52,0)+1)
)</f>
        <v>0</v>
      </c>
      <c r="CW52" s="178" cm="1">
        <f t="array" ref="CW52">SUMPRODUCT(
  IFERROR(--desp[valor],0)*
  (desp[nucleo]="UP MOVE VILA SONIA")*
  (desp[categoria]=CW$7)*
  (desp[data.pagamento]&gt;=$A52)*
  (desp[data.pagamento]&lt;EOMONTH($A52,0)+1)
)</f>
        <v>0</v>
      </c>
      <c r="CX52" s="178" cm="1">
        <f t="array" ref="CX52">SUMPRODUCT(
  IFERROR(--desp[valor],0)*
  (desp[nucleo]="UP MOVE VILA SONIA")*
  (desp[categoria]=CX$7)*
  (desp[data.pagamento]&gt;=$A52)*
  (desp[data.pagamento]&lt;EOMONTH($A52,0)+1)
)</f>
        <v>0</v>
      </c>
      <c r="CY52" s="180" cm="1">
        <f t="array" ref="CY52">SUMPRODUCT(
  IFERROR(--desp[valor],0)*
  (desp[nucleo]="UP MOVE VILA SONIA")*
  (desp[categoria]=CY$7)*
  (desp[data.pagamento]&gt;=$A52)*
  (desp[data.pagamento]&lt;EOMONTH($A52,0)+1)
)</f>
        <v>0</v>
      </c>
    </row>
    <row r="53" spans="1:103" x14ac:dyDescent="0.25">
      <c r="A53" s="176">
        <v>45717</v>
      </c>
      <c r="B53" s="177">
        <f>COUNTIFS(
    estq[empresa], B$6,
    estq[Data da venda / reserva], "&gt;=" &amp; $A53,
    estq[Data da venda / reserva], "&lt;"  &amp; EOMONTH($A53,0) + 1
)</f>
        <v>0</v>
      </c>
      <c r="C53" s="178">
        <f ca="1">SUMIFS(rec.uni[2025-03-01],
INDIRECT("rec.uni[natureza]"),"pro.soluto",
INDIRECT("rec.uni[empresa]"),C$6)</f>
        <v>0</v>
      </c>
      <c r="D53" s="178">
        <f ca="1">SUMIFS(rec.uni[2025-03-01],
INDIRECT("rec.uni[natureza]"),"repasse.cef.obra",
INDIRECT("rec.uni[empresa]"),D$6)</f>
        <v>0</v>
      </c>
      <c r="E53" s="178">
        <f ca="1">SUMIFS(rec.uni[2025-03-01],
INDIRECT("rec.uni[natureza]"),"repasse.cef.terreno",
INDIRECT("rec.uni[empresa]"),E$6)</f>
        <v>0</v>
      </c>
      <c r="F53" s="178">
        <v>385006.39</v>
      </c>
      <c r="G53" s="178">
        <f ca="1">SUMIFS(rec.uni[2025-03-01],
INDIRECT("rec.uni[natureza]"),"taxa.extra",
INDIRECT("rec.uni[empresa]"),G$6)</f>
        <v>0</v>
      </c>
      <c r="H53" s="166"/>
      <c r="I53" s="178" cm="1">
        <f t="array" ref="I53">SUMPRODUCT(
  IFERROR(--desp[valor],0)*
  (desp[nucleo]="UP JARDIM PRUDENCIA")*
  (desp[categoria]=I$7)*
  (desp[data.pagamento]&gt;=$A53)*
  (desp[data.pagamento]&lt;EOMONTH($A53,0)+1)
)</f>
        <v>0</v>
      </c>
      <c r="J53" s="178" cm="1">
        <f t="array" ref="J53">SUMPRODUCT(
  IFERROR(--desp[valor],0)*
  (desp[nucleo]="UP JARDIM PRUDENCIA")*
  (desp[categoria]=J$7)*
  (desp[data.pagamento]&gt;=$A53)*
  (desp[data.pagamento]&lt;EOMONTH($A53,0)+1)
)</f>
        <v>0</v>
      </c>
      <c r="K53" s="178" cm="1">
        <f t="array" ref="K53">SUMPRODUCT(
  IFERROR(--desp[valor],0)*
  (desp[nucleo]="UP JARDIM PRUDENCIA")*
  (desp[categoria]=K$7)*
  (desp[data.pagamento]&gt;=$A53)*
  (desp[data.pagamento]&lt;EOMONTH($A53,0)+1)
)</f>
        <v>0</v>
      </c>
      <c r="L53" s="178" cm="1">
        <f t="array" ref="L53">SUMPRODUCT(
  IFERROR(--desp[valor],0)*
  (desp[nucleo]="UP JARDIM PRUDENCIA")*
  (desp[categoria]=L$7)*
  (desp[data.pagamento]&gt;=$A53)*
  (desp[data.pagamento]&lt;EOMONTH($A53,0)+1)
)</f>
        <v>0</v>
      </c>
      <c r="M53" s="179" cm="1">
        <f t="array" ref="M53">SUMPRODUCT(
  IFERROR(--desp[valor],0)*
  (desp[nucleo]="UP JARDIM PRUDENCIA")*
  (desp[categoria]=M$7)*
  (desp[data.pagamento]&gt;=$A53)*
  (desp[data.pagamento]&lt;EOMONTH($A53,0)+1)
)</f>
        <v>0</v>
      </c>
      <c r="N53" s="177">
        <f>COUNTIFS(
    estq[empresa], N$6,
    estq[Data da venda / reserva], "&gt;=" &amp; $A53,
    estq[Data da venda / reserva], "&lt;"  &amp; EOMONTH($A53,0) + 1
)</f>
        <v>0</v>
      </c>
      <c r="O53" s="178">
        <f ca="1">SUMIFS(rec.uni[2025-03-01],
INDIRECT("rec.uni[natureza]"),"pro.soluto",
INDIRECT("rec.uni[empresa]"),O$6)</f>
        <v>0</v>
      </c>
      <c r="P53" s="178">
        <f ca="1">SUMIFS(rec.uni[2025-03-01],
INDIRECT("rec.uni[natureza]"),"repasse.cef.obra",
INDIRECT("rec.uni[empresa]"),P$6)</f>
        <v>0</v>
      </c>
      <c r="Q53" s="178">
        <f ca="1">SUMIFS(rec.uni[2025-03-01],
INDIRECT("rec.uni[natureza]"),"repasse.cef.terreno",
INDIRECT("rec.uni[empresa]"),Q$6)</f>
        <v>0</v>
      </c>
      <c r="R53" s="178">
        <v>0</v>
      </c>
      <c r="S53" s="178">
        <f ca="1">SUMIFS(rec.uni[2025-03-01],
INDIRECT("rec.uni[natureza]"),"taxa.extra",
INDIRECT("rec.uni[empresa]"),S$6)</f>
        <v>0</v>
      </c>
      <c r="T53" s="166"/>
      <c r="U53" s="178" cm="1">
        <f t="array" ref="U53">SUMPRODUCT(
  IFERROR(--desp[valor],0)*
  (desp[nucleo]="UP VILA SONIA")*
  (desp[categoria]=U$7)*
  (desp[data.pagamento]&gt;=$A53)*
  (desp[data.pagamento]&lt;EOMONTH($A53,0)+1)
)</f>
        <v>0</v>
      </c>
      <c r="V53" s="178" cm="1">
        <f t="array" ref="V53">SUMPRODUCT(
  IFERROR(--desp[valor],0)*
  (desp[nucleo]="UP VILA SONIA")*
  (desp[categoria]=V$7)*
  (desp[data.pagamento]&gt;=$A53)*
  (desp[data.pagamento]&lt;EOMONTH($A53,0)+1)
)</f>
        <v>0</v>
      </c>
      <c r="W53" s="178" cm="1">
        <f t="array" ref="W53">SUMPRODUCT(
  IFERROR(--desp[valor],0)*
  (desp[nucleo]="UP VILA SONIA")*
  (desp[categoria]=W$7)*
  (desp[data.pagamento]&gt;=$A53)*
  (desp[data.pagamento]&lt;EOMONTH($A53,0)+1)
)</f>
        <v>0</v>
      </c>
      <c r="X53" s="178" cm="1">
        <f t="array" ref="X53">SUMPRODUCT(
  IFERROR(--desp[valor],0)*
  (desp[nucleo]="UP VILA SONIA")*
  (desp[categoria]=X$7)*
  (desp[data.pagamento]&gt;=$A53)*
  (desp[data.pagamento]&lt;EOMONTH($A53,0)+1)
)</f>
        <v>0</v>
      </c>
      <c r="Y53" s="179" cm="1">
        <f t="array" ref="Y53">SUMPRODUCT(
  IFERROR(--desp[valor],0)*
  (desp[nucleo]="UP VILA SONIA")*
  (desp[categoria]=Y$7)*
  (desp[data.pagamento]&gt;=$A53)*
  (desp[data.pagamento]&lt;EOMONTH($A53,0)+1)
)</f>
        <v>0</v>
      </c>
      <c r="Z53" s="177">
        <f>COUNTIFS(
    estq[empresa], Z$6,
    estq[Data da venda / reserva], "&gt;=" &amp; $A53,
    estq[Data da venda / reserva], "&lt;"  &amp; EOMONTH($A53,0) + 1
)</f>
        <v>0</v>
      </c>
      <c r="AA53" s="178">
        <f ca="1">SUMIFS(rec.uni[2025-03-01],
INDIRECT("rec.uni[natureza]"),"pro.soluto",
INDIRECT("rec.uni[empresa]"),AA$6)</f>
        <v>0</v>
      </c>
      <c r="AB53" s="178">
        <f ca="1">SUMIFS(rec.uni[2025-03-01],
INDIRECT("rec.uni[natureza]"),"pro.soluto",
INDIRECT("rec.uni[empresa]"),AB$6)</f>
        <v>0</v>
      </c>
      <c r="AC53" s="178">
        <f ca="1">SUMIFS(rec.uni[2025-03-01],
INDIRECT("rec.uni[natureza]"),"taxa.extra",
INDIRECT("rec.uni[empresa]"),AC$6)</f>
        <v>0</v>
      </c>
      <c r="AD53" s="166"/>
      <c r="AE53" s="178" cm="1">
        <f t="array" ref="AE53">SUMPRODUCT(
  IFERROR(--desp[valor],0)*
  (desp[nucleo]="UP CAMPO BELO")*
  (desp[categoria]=AE$7)*
  (desp[data.pagamento]&gt;=$A53)*
  (desp[data.pagamento]&lt;EOMONTH($A53,0)+1)
)</f>
        <v>0</v>
      </c>
      <c r="AF53" s="178" cm="1">
        <f t="array" ref="AF53">SUMPRODUCT(
  IFERROR(--desp[valor],0)*
  (desp[nucleo]="UP CAMPO BELO")*
  (desp[categoria]=AF$7)*
  (desp[data.pagamento]&gt;=$A53)*
  (desp[data.pagamento]&lt;EOMONTH($A53,0)+1)
)</f>
        <v>0</v>
      </c>
      <c r="AG53" s="178" cm="1">
        <f t="array" ref="AG53">SUMPRODUCT(
  IFERROR(--desp[valor],0)*
  (desp[nucleo]="UP CAMPO BELO")*
  (desp[categoria]=AG$7)*
  (desp[data.pagamento]&gt;=$A53)*
  (desp[data.pagamento]&lt;EOMONTH($A53,0)+1)
)</f>
        <v>0</v>
      </c>
      <c r="AH53" s="178" cm="1">
        <f t="array" ref="AH53">SUMPRODUCT(
  IFERROR(--desp[valor],0)*
  (desp[nucleo]="UP CAMPO BELO")*
  (desp[categoria]=AH$7)*
  (desp[data.pagamento]&gt;=$A53)*
  (desp[data.pagamento]&lt;EOMONTH($A53,0)+1)
)</f>
        <v>0</v>
      </c>
      <c r="AI53" s="179" cm="1">
        <f t="array" ref="AI53">SUMPRODUCT(
  IFERROR(--desp[valor],0)*
  (desp[nucleo]="UP CAMPO BELO")*
  (desp[categoria]=AI$7)*
  (desp[data.pagamento]&gt;=$A53)*
  (desp[data.pagamento]&lt;EOMONTH($A53,0)+1)
)</f>
        <v>0</v>
      </c>
      <c r="AJ53" s="177">
        <f>COUNTIFS(
    estq[empresa], AJ$6,
    estq[Data da venda / reserva], "&gt;=" &amp; $A53,
    estq[Data da venda / reserva], "&lt;"  &amp; EOMONTH($A53,0) + 1
)</f>
        <v>0</v>
      </c>
      <c r="AK53" s="178">
        <f ca="1">SUMIFS(rec.uni[2025-03-01],
INDIRECT("rec.uni[natureza]"),"pro.soluto",
INDIRECT("rec.uni[empresa]"),AK$6)</f>
        <v>0</v>
      </c>
      <c r="AL53" s="178">
        <f ca="1">SUMIFS(rec.uni[2025-03-01],
INDIRECT("rec.uni[natureza]"),"repasse.cef.obra",
INDIRECT("rec.uni[empresa]"),AL$6)</f>
        <v>0</v>
      </c>
      <c r="AM53" s="178">
        <f ca="1">SUMIFS(rec.uni[2025-03-01],
INDIRECT("rec.uni[natureza]"),"repasse.cef.terreno",
INDIRECT("rec.uni[empresa]"),AM$6)</f>
        <v>0</v>
      </c>
      <c r="AN53" s="178">
        <v>0</v>
      </c>
      <c r="AO53" s="178">
        <f ca="1">SUMIFS(rec.uni[2025-03-01],
INDIRECT("rec.uni[natureza]"),"taxa.extra",
INDIRECT("rec.uni[empresa]"),AO$6)</f>
        <v>0</v>
      </c>
      <c r="AP53" s="166"/>
      <c r="AQ53" s="178" cm="1">
        <f t="array" ref="AQ53">SUMPRODUCT(
  IFERROR(--desp[valor],0)*
  (desp[nucleo]="UP SELECT VILA SONIA")*
  (desp[categoria]=AQ$7)*
  (desp[data.pagamento]&gt;=$A53)*
  (desp[data.pagamento]&lt;EOMONTH($A53,0)+1)
)</f>
        <v>0</v>
      </c>
      <c r="AR53" s="178" cm="1">
        <f t="array" ref="AR53">SUMPRODUCT(
  IFERROR(--desp[valor],0)*
  (desp[nucleo]="UP SELECT VILA SONIA")*
  (desp[categoria]=AR$7)*
  (desp[data.pagamento]&gt;=$A53)*
  (desp[data.pagamento]&lt;EOMONTH($A53,0)+1)
)</f>
        <v>0</v>
      </c>
      <c r="AS53" s="178" cm="1">
        <f t="array" ref="AS53">SUMPRODUCT(
  IFERROR(--desp[valor],0)*
  (desp[nucleo]="UP SELECT VILA SONIA")*
  (desp[categoria]=AS$7)*
  (desp[data.pagamento]&gt;=$A53)*
  (desp[data.pagamento]&lt;EOMONTH($A53,0)+1)
)</f>
        <v>0</v>
      </c>
      <c r="AT53" s="178" cm="1">
        <f t="array" ref="AT53">SUMPRODUCT(
  IFERROR(--desp[valor],0)*
  (desp[nucleo]="UP SELECT VILA SONIA")*
  (desp[categoria]=AT$7)*
  (desp[data.pagamento]&gt;=$A53)*
  (desp[data.pagamento]&lt;EOMONTH($A53,0)+1)
)</f>
        <v>0</v>
      </c>
      <c r="AU53" s="179" cm="1">
        <f t="array" ref="AU53">SUMPRODUCT(
  IFERROR(--desp[valor],0)*
  (desp[nucleo]="UP SELECT VILA SONIA")*
  (desp[categoria]=AU$7)*
  (desp[data.pagamento]&gt;=$A53)*
  (desp[data.pagamento]&lt;EOMONTH($A53,0)+1)
)</f>
        <v>0</v>
      </c>
      <c r="AV53" s="177">
        <f>COUNTIFS(
    estq[empresa], AV$6,
    estq[Data da venda / reserva], "&gt;=" &amp; $A53,
    estq[Data da venda / reserva], "&lt;"  &amp; EOMONTH($A53,0) + 1
)</f>
        <v>0</v>
      </c>
      <c r="AW53" s="178">
        <f ca="1">SUMIFS(rec.uni[2025-03-01],
INDIRECT("rec.uni[natureza]"),"pro.soluto",
INDIRECT("rec.uni[empresa]"),AW$6)</f>
        <v>0</v>
      </c>
      <c r="AX53" s="178">
        <f ca="1">SUMIFS(rec.uni[2025-03-01],
INDIRECT("rec.uni[natureza]"),"repasse.cef.obra",
INDIRECT("rec.uni[empresa]"),AX$6)</f>
        <v>0</v>
      </c>
      <c r="AY53" s="178">
        <f ca="1">SUMIFS(rec.uni[2025-03-01],
INDIRECT("rec.uni[natureza]"),"repasse.cef.terreno",
INDIRECT("rec.uni[empresa]"),AY$6)</f>
        <v>0</v>
      </c>
      <c r="AZ53" s="178">
        <v>0</v>
      </c>
      <c r="BA53" s="178">
        <f ca="1">SUMIFS(rec.uni[2025-03-01],
INDIRECT("rec.uni[natureza]"),"taxa.extra",
INDIRECT("rec.uni[empresa]"),BA$6)</f>
        <v>0</v>
      </c>
      <c r="BB53" s="166"/>
      <c r="BC53" s="178" cm="1">
        <f t="array" ref="BC53">SUMPRODUCT(
  IFERROR(--desp[valor],0)*
  (desp[nucleo]="UP ESTAÇÃO SÃO LUCAS")*
  (desp[categoria]=BC$7)*
  (desp[data.pagamento]&gt;=$A53)*
  (desp[data.pagamento]&lt;EOMONTH($A53,0)+1)
)</f>
        <v>0</v>
      </c>
      <c r="BD53" s="178" cm="1">
        <f t="array" ref="BD53">SUMPRODUCT(
  IFERROR(--desp[valor],0)*
  (desp[nucleo]="UP ESTAÇÃO SÃO LUCAS")*
  (desp[categoria]=BD$7)*
  (desp[data.pagamento]&gt;=$A53)*
  (desp[data.pagamento]&lt;EOMONTH($A53,0)+1)
)</f>
        <v>0</v>
      </c>
      <c r="BE53" s="178" cm="1">
        <f t="array" ref="BE53">SUMPRODUCT(
  IFERROR(--desp[valor],0)*
  (desp[nucleo]="UP ESTAÇÃO SÃO LUCAS")*
  (desp[categoria]=BE$7)*
  (desp[data.pagamento]&gt;=$A53)*
  (desp[data.pagamento]&lt;EOMONTH($A53,0)+1)
)</f>
        <v>0</v>
      </c>
      <c r="BF53" s="178" cm="1">
        <f t="array" ref="BF53">SUMPRODUCT(
  IFERROR(--desp[valor],0)*
  (desp[nucleo]="UP ESTAÇÃO SÃO LUCAS")*
  (desp[categoria]=BF$7)*
  (desp[data.pagamento]&gt;=$A53)*
  (desp[data.pagamento]&lt;EOMONTH($A53,0)+1)
)</f>
        <v>0</v>
      </c>
      <c r="BG53" s="179" cm="1">
        <f t="array" ref="BG53">SUMPRODUCT(
  IFERROR(--desp[valor],0)*
  (desp[nucleo]="UP ESTAÇÃO SÃO LUCAS")*
  (desp[categoria]=BG$7)*
  (desp[data.pagamento]&gt;=$A53)*
  (desp[data.pagamento]&lt;EOMONTH($A53,0)+1)
)</f>
        <v>0</v>
      </c>
      <c r="BH53" s="177">
        <f>COUNTIFS(
    estq[empresa], BH$6,
    estq[Data da venda / reserva], "&gt;=" &amp; $A53,
    estq[Data da venda / reserva], "&lt;"  &amp; EOMONTH($A53,0) + 1
)</f>
        <v>0</v>
      </c>
      <c r="BI53" s="178">
        <f ca="1">SUMIFS(rec.uni[2025-03-01],
INDIRECT("rec.uni[natureza]"),"pro.soluto",
INDIRECT("rec.uni[empresa]"),BI$6)</f>
        <v>0</v>
      </c>
      <c r="BJ53" s="166">
        <f>2.61*94736</f>
        <v>247260.96</v>
      </c>
      <c r="BK53" s="178">
        <f ca="1">SUMIFS(rec.uni[2025-03-01],
INDIRECT("rec.uni[natureza]"),"taxa.extra",
INDIRECT("rec.uni[empresa]"),BK$6)</f>
        <v>0</v>
      </c>
      <c r="BL53" s="166"/>
      <c r="BM53" s="178" cm="1">
        <f t="array" ref="BM53">SUMPRODUCT(
  IFERROR(--desp[valor],0)*
  (desp[nucleo]="UP POMPEIA")*
  (desp[categoria]=BM$7)*
  (desp[data.pagamento]&gt;=$A53)*
  (desp[data.pagamento]&lt;EOMONTH($A53,0)+1)
)</f>
        <v>0</v>
      </c>
      <c r="BN53" s="178" cm="1">
        <f t="array" ref="BN53">SUMPRODUCT(
  IFERROR(--desp[valor],0)*
  (desp[nucleo]="UP POMPEIA")*
  (desp[categoria]=BN$7)*
  (desp[data.pagamento]&gt;=$A53)*
  (desp[data.pagamento]&lt;EOMONTH($A53,0)+1)
)</f>
        <v>0</v>
      </c>
      <c r="BO53" s="178" cm="1">
        <f t="array" ref="BO53">SUMPRODUCT(
  IFERROR(--desp[valor],0)*
  (desp[nucleo]="UP POMPEIA")*
  (desp[categoria]=BO$7)*
  (desp[data.pagamento]&gt;=$A53)*
  (desp[data.pagamento]&lt;EOMONTH($A53,0)+1)
)</f>
        <v>0</v>
      </c>
      <c r="BP53" s="178" cm="1">
        <f t="array" ref="BP53">SUMPRODUCT(
  IFERROR(--desp[valor],0)*
  (desp[nucleo]="UP POMPEIA")*
  (desp[categoria]=BP$7)*
  (desp[data.pagamento]&gt;=$A53)*
  (desp[data.pagamento]&lt;EOMONTH($A53,0)+1)
)</f>
        <v>0</v>
      </c>
      <c r="BQ53" s="179" cm="1">
        <f t="array" ref="BQ53">SUMPRODUCT(
  IFERROR(--desp[valor],0)*
  (desp[nucleo]="UP POMPEIA")*
  (desp[categoria]=BQ$7)*
  (desp[data.pagamento]&gt;=$A53)*
  (desp[data.pagamento]&lt;EOMONTH($A53,0)+1)
)</f>
        <v>0</v>
      </c>
      <c r="BR53" s="177">
        <f>COUNTIFS(
    estq[empresa], BR$6,
    estq[Data da venda / reserva], "&gt;=" &amp; $A53,
    estq[Data da venda / reserva], "&lt;"  &amp; EOMONTH($A53,0) + 1
)</f>
        <v>0</v>
      </c>
      <c r="BS53" s="178">
        <f ca="1">SUMIFS(rec.uni[2025-03-01],
INDIRECT("rec.uni[natureza]"),"pro.soluto",
INDIRECT("rec.uni[empresa]"),BS$6)</f>
        <v>0</v>
      </c>
      <c r="BT53" s="178">
        <f ca="1">SUMIFS(rec.uni[2025-03-01],
INDIRECT("rec.uni[natureza]"),"pro.soluto",
INDIRECT("rec.uni[empresa]"),BT$6)</f>
        <v>0</v>
      </c>
      <c r="BU53" s="178">
        <f ca="1">SUMIFS(rec.uni[2025-03-01],
INDIRECT("rec.uni[natureza]"),"taxa.extra",
INDIRECT("rec.uni[empresa]"),BU$6)</f>
        <v>0</v>
      </c>
      <c r="BV53" s="166"/>
      <c r="BW53" s="178" cm="1">
        <f t="array" ref="BW53">SUMPRODUCT(
  IFERROR(--desp[valor],0)*
  (desp[nucleo]="UP SAUDE")*
  (desp[categoria]=BW$7)*
  (desp[data.pagamento]&gt;=$A53)*
  (desp[data.pagamento]&lt;EOMONTH($A53,0)+1)
)</f>
        <v>0</v>
      </c>
      <c r="BX53" s="178" cm="1">
        <f t="array" ref="BX53">SUMPRODUCT(
  IFERROR(--desp[valor],0)*
  (desp[nucleo]="UP SAUDE")*
  (desp[categoria]=BX$7)*
  (desp[data.pagamento]&gt;=$A53)*
  (desp[data.pagamento]&lt;EOMONTH($A53,0)+1)
)</f>
        <v>0</v>
      </c>
      <c r="BY53" s="178" cm="1">
        <f t="array" ref="BY53">SUMPRODUCT(
  IFERROR(--desp[valor],0)*
  (desp[nucleo]="UP SAUDE")*
  (desp[categoria]=BY$7)*
  (desp[data.pagamento]&gt;=$A53)*
  (desp[data.pagamento]&lt;EOMONTH($A53,0)+1)
)</f>
        <v>0</v>
      </c>
      <c r="BZ53" s="178" cm="1">
        <f t="array" ref="BZ53">SUMPRODUCT(
  IFERROR(--desp[valor],0)*
  (desp[nucleo]="UP SAUDE")*
  (desp[categoria]=BZ$7)*
  (desp[data.pagamento]&gt;=$A53)*
  (desp[data.pagamento]&lt;EOMONTH($A53,0)+1)
)</f>
        <v>0</v>
      </c>
      <c r="CA53" s="179" cm="1">
        <f t="array" ref="CA53">SUMPRODUCT(
  IFERROR(--desp[valor],0)*
  (desp[nucleo]="UP SAUDE")*
  (desp[categoria]=CA$7)*
  (desp[data.pagamento]&gt;=$A53)*
  (desp[data.pagamento]&lt;EOMONTH($A53,0)+1)
)</f>
        <v>0</v>
      </c>
      <c r="CB53" s="177">
        <f>COUNTIFS(
    estq[empresa], CB$6,
    estq[Data da venda / reserva], "&gt;=" &amp; $A53,
    estq[Data da venda / reserva], "&lt;"  &amp; EOMONTH($A53,0) + 1
)</f>
        <v>0</v>
      </c>
      <c r="CC53" s="178">
        <f ca="1">SUMIFS(rec.uni[2025-03-01],
INDIRECT("rec.uni[natureza]"),"pro.soluto",
INDIRECT("rec.uni[empresa]"),CC$6)</f>
        <v>0</v>
      </c>
      <c r="CD53" s="178">
        <f ca="1">SUMIFS(rec.uni[2025-03-01],
INDIRECT("rec.uni[natureza]"),"repasse.cef.obra",
INDIRECT("rec.uni[empresa]"),CD$6)</f>
        <v>0</v>
      </c>
      <c r="CE53" s="178">
        <f ca="1">SUMIFS(rec.uni[2025-03-01],
INDIRECT("rec.uni[natureza]"),"repasse.cef.terreno",
INDIRECT("rec.uni[empresa]"),CE$6)</f>
        <v>0</v>
      </c>
      <c r="CF53" s="178">
        <v>236708.67</v>
      </c>
      <c r="CG53" s="178">
        <f ca="1">SUMIFS(rec.uni[2025-03-01],
INDIRECT("rec.uni[natureza]"),"taxa.extra",
INDIRECT("rec.uni[empresa]"),CG$6)</f>
        <v>0</v>
      </c>
      <c r="CH53" s="166"/>
      <c r="CI53" s="178" cm="1">
        <f t="array" ref="CI53">SUMPRODUCT(
  IFERROR(--desp[valor],0)*
  (desp[nucleo]="UP ESTAÇÃO VILA SONIA")*
  (desp[categoria]=CI$7)*
  (desp[data.pagamento]&gt;=$A53)*
  (desp[data.pagamento]&lt;EOMONTH($A53,0)+1)
)</f>
        <v>0</v>
      </c>
      <c r="CJ53" s="178" cm="1">
        <f t="array" ref="CJ53">SUMPRODUCT(
  IFERROR(--desp[valor],0)*
  (desp[nucleo]="UP ESTAÇÃO VILA SONIA")*
  (desp[categoria]=CJ$7)*
  (desp[data.pagamento]&gt;=$A53)*
  (desp[data.pagamento]&lt;EOMONTH($A53,0)+1)
)</f>
        <v>0</v>
      </c>
      <c r="CK53" s="178" cm="1">
        <f t="array" ref="CK53">SUMPRODUCT(
  IFERROR(--desp[valor],0)*
  (desp[nucleo]="UP ESTAÇÃO VILA SONIA")*
  (desp[categoria]=CK$7)*
  (desp[data.pagamento]&gt;=$A53)*
  (desp[data.pagamento]&lt;EOMONTH($A53,0)+1)
)</f>
        <v>0</v>
      </c>
      <c r="CL53" s="178" cm="1">
        <f t="array" ref="CL53">SUMPRODUCT(
  IFERROR(--desp[valor],0)*
  (desp[nucleo]="UP ESTAÇÃO VILA SONIA")*
  (desp[categoria]=CL$7)*
  (desp[data.pagamento]&gt;=$A53)*
  (desp[data.pagamento]&lt;EOMONTH($A53,0)+1)
)</f>
        <v>0</v>
      </c>
      <c r="CM53" s="179" cm="1">
        <f t="array" ref="CM53">SUMPRODUCT(
  IFERROR(--desp[valor],0)*
  (desp[nucleo]="UP ESTAÇÃO VILA SONIA")*
  (desp[categoria]=CM$7)*
  (desp[data.pagamento]&gt;=$A53)*
  (desp[data.pagamento]&lt;EOMONTH($A53,0)+1)
)</f>
        <v>0</v>
      </c>
      <c r="CN53" s="177">
        <f>COUNTIFS(
    estq[empresa], CN$6,
    estq[Data da venda / reserva], "&gt;=" &amp; $A53,
    estq[Data da venda / reserva], "&lt;"  &amp; EOMONTH($A53,0) + 1
)</f>
        <v>0</v>
      </c>
      <c r="CO53" s="178">
        <f ca="1">SUMIFS(rec.uni[2025-03-01],
INDIRECT("rec.uni[natureza]"),"pro.soluto",
INDIRECT("rec.uni[empresa]"),CO$6)</f>
        <v>0</v>
      </c>
      <c r="CP53" s="178">
        <f ca="1">SUMIFS(rec.uni[2025-03-01],
INDIRECT("rec.uni[natureza]"),"repasse.cef.obra",
INDIRECT("rec.uni[empresa]"),CP$6)</f>
        <v>0</v>
      </c>
      <c r="CQ53" s="178">
        <f ca="1">SUMIFS(rec.uni[2025-03-01],
INDIRECT("rec.uni[natureza]"),"repasse.cef.terreno",
INDIRECT("rec.uni[empresa]"),CQ$6)</f>
        <v>0</v>
      </c>
      <c r="CR53" s="178">
        <v>0</v>
      </c>
      <c r="CS53" s="178">
        <f ca="1">SUMIFS(rec.uni[2025-03-01],
INDIRECT("rec.uni[natureza]"),"taxa.extra",
INDIRECT("rec.uni[empresa]"),CS$6)</f>
        <v>0</v>
      </c>
      <c r="CT53" s="166"/>
      <c r="CU53" s="178" cm="1">
        <f t="array" ref="CU53">SUMPRODUCT(
  IFERROR(--desp[valor],0)*
  (desp[nucleo]="UP MOVE VILA SONIA")*
  (desp[categoria]=CU$7)*
  (desp[data.pagamento]&gt;=$A53)*
  (desp[data.pagamento]&lt;EOMONTH($A53,0)+1)
)</f>
        <v>0</v>
      </c>
      <c r="CV53" s="178" cm="1">
        <f t="array" ref="CV53">SUMPRODUCT(
  IFERROR(--desp[valor],0)*
  (desp[nucleo]="UP MOVE VILA SONIA")*
  (desp[categoria]=CV$7)*
  (desp[data.pagamento]&gt;=$A53)*
  (desp[data.pagamento]&lt;EOMONTH($A53,0)+1)
)</f>
        <v>0</v>
      </c>
      <c r="CW53" s="178" cm="1">
        <f t="array" ref="CW53">SUMPRODUCT(
  IFERROR(--desp[valor],0)*
  (desp[nucleo]="UP MOVE VILA SONIA")*
  (desp[categoria]=CW$7)*
  (desp[data.pagamento]&gt;=$A53)*
  (desp[data.pagamento]&lt;EOMONTH($A53,0)+1)
)</f>
        <v>0</v>
      </c>
      <c r="CX53" s="178" cm="1">
        <f t="array" ref="CX53">SUMPRODUCT(
  IFERROR(--desp[valor],0)*
  (desp[nucleo]="UP MOVE VILA SONIA")*
  (desp[categoria]=CX$7)*
  (desp[data.pagamento]&gt;=$A53)*
  (desp[data.pagamento]&lt;EOMONTH($A53,0)+1)
)</f>
        <v>0</v>
      </c>
      <c r="CY53" s="180" cm="1">
        <f t="array" ref="CY53">SUMPRODUCT(
  IFERROR(--desp[valor],0)*
  (desp[nucleo]="UP MOVE VILA SONIA")*
  (desp[categoria]=CY$7)*
  (desp[data.pagamento]&gt;=$A53)*
  (desp[data.pagamento]&lt;EOMONTH($A53,0)+1)
)</f>
        <v>0</v>
      </c>
    </row>
    <row r="54" spans="1:103" x14ac:dyDescent="0.25">
      <c r="A54" s="176">
        <v>45748</v>
      </c>
      <c r="B54" s="177">
        <f>COUNTIFS(
    estq[empresa], B$6,
    estq[Data da venda / reserva], "&gt;=" &amp; $A54,
    estq[Data da venda / reserva], "&lt;"  &amp; EOMONTH($A54,0) + 1
)</f>
        <v>0</v>
      </c>
      <c r="C54" s="178">
        <f ca="1">SUMIFS(rec.uni[2025-04-01],
INDIRECT("rec.uni[natureza]"),"pro.soluto",
INDIRECT("rec.uni[empresa]"),C$6)</f>
        <v>0</v>
      </c>
      <c r="D54" s="178">
        <f ca="1">SUMIFS(rec.uni[2025-04-01],
INDIRECT("rec.uni[natureza]"),"repasse.cef.obra",
INDIRECT("rec.uni[empresa]"),D$6)</f>
        <v>0</v>
      </c>
      <c r="E54" s="178">
        <f ca="1">SUMIFS(rec.uni[2025-04-01],
INDIRECT("rec.uni[natureza]"),"repasse.cef.terreno",
INDIRECT("rec.uni[empresa]"),E$6)</f>
        <v>0</v>
      </c>
      <c r="F54" s="178">
        <v>223853.73</v>
      </c>
      <c r="G54" s="178">
        <f ca="1">SUMIFS(rec.uni[2025-04-01],
INDIRECT("rec.uni[natureza]"),"taxa.extra",
INDIRECT("rec.uni[empresa]"),G$6)</f>
        <v>0</v>
      </c>
      <c r="H54" s="166"/>
      <c r="I54" s="178" cm="1">
        <f t="array" ref="I54">SUMPRODUCT(
  IFERROR(--desp[valor],0)*
  (desp[nucleo]="UP JARDIM PRUDENCIA")*
  (desp[categoria]=I$7)*
  (desp[data.pagamento]&gt;=$A54)*
  (desp[data.pagamento]&lt;EOMONTH($A54,0)+1)
)</f>
        <v>0</v>
      </c>
      <c r="J54" s="178" cm="1">
        <f t="array" ref="J54">SUMPRODUCT(
  IFERROR(--desp[valor],0)*
  (desp[nucleo]="UP JARDIM PRUDENCIA")*
  (desp[categoria]=J$7)*
  (desp[data.pagamento]&gt;=$A54)*
  (desp[data.pagamento]&lt;EOMONTH($A54,0)+1)
)</f>
        <v>0</v>
      </c>
      <c r="K54" s="178" cm="1">
        <f t="array" ref="K54">SUMPRODUCT(
  IFERROR(--desp[valor],0)*
  (desp[nucleo]="UP JARDIM PRUDENCIA")*
  (desp[categoria]=K$7)*
  (desp[data.pagamento]&gt;=$A54)*
  (desp[data.pagamento]&lt;EOMONTH($A54,0)+1)
)</f>
        <v>0</v>
      </c>
      <c r="L54" s="178" cm="1">
        <f t="array" ref="L54">SUMPRODUCT(
  IFERROR(--desp[valor],0)*
  (desp[nucleo]="UP JARDIM PRUDENCIA")*
  (desp[categoria]=L$7)*
  (desp[data.pagamento]&gt;=$A54)*
  (desp[data.pagamento]&lt;EOMONTH($A54,0)+1)
)</f>
        <v>0</v>
      </c>
      <c r="M54" s="179" cm="1">
        <f t="array" ref="M54">SUMPRODUCT(
  IFERROR(--desp[valor],0)*
  (desp[nucleo]="UP JARDIM PRUDENCIA")*
  (desp[categoria]=M$7)*
  (desp[data.pagamento]&gt;=$A54)*
  (desp[data.pagamento]&lt;EOMONTH($A54,0)+1)
)</f>
        <v>0</v>
      </c>
      <c r="N54" s="177">
        <f>COUNTIFS(
    estq[empresa], N$6,
    estq[Data da venda / reserva], "&gt;=" &amp; $A54,
    estq[Data da venda / reserva], "&lt;"  &amp; EOMONTH($A54,0) + 1
)</f>
        <v>0</v>
      </c>
      <c r="O54" s="178">
        <f ca="1">SUMIFS(rec.uni[2025-04-01],
INDIRECT("rec.uni[natureza]"),"pro.soluto",
INDIRECT("rec.uni[empresa]"),O$6)</f>
        <v>0</v>
      </c>
      <c r="P54" s="178">
        <f ca="1">SUMIFS(rec.uni[2025-04-01],
INDIRECT("rec.uni[natureza]"),"repasse.cef.obra",
INDIRECT("rec.uni[empresa]"),P$6)</f>
        <v>0</v>
      </c>
      <c r="Q54" s="178">
        <f ca="1">SUMIFS(rec.uni[2025-04-01],
INDIRECT("rec.uni[natureza]"),"repasse.cef.terreno",
INDIRECT("rec.uni[empresa]"),Q$6)</f>
        <v>0</v>
      </c>
      <c r="R54" s="178">
        <v>0</v>
      </c>
      <c r="S54" s="178">
        <f ca="1">SUMIFS(rec.uni[2025-04-01],
INDIRECT("rec.uni[natureza]"),"taxa.extra",
INDIRECT("rec.uni[empresa]"),S$6)</f>
        <v>0</v>
      </c>
      <c r="T54" s="166"/>
      <c r="U54" s="178" cm="1">
        <f t="array" ref="U54">SUMPRODUCT(
  IFERROR(--desp[valor],0)*
  (desp[nucleo]="UP VILA SONIA")*
  (desp[categoria]=U$7)*
  (desp[data.pagamento]&gt;=$A54)*
  (desp[data.pagamento]&lt;EOMONTH($A54,0)+1)
)</f>
        <v>0</v>
      </c>
      <c r="V54" s="178" cm="1">
        <f t="array" ref="V54">SUMPRODUCT(
  IFERROR(--desp[valor],0)*
  (desp[nucleo]="UP VILA SONIA")*
  (desp[categoria]=V$7)*
  (desp[data.pagamento]&gt;=$A54)*
  (desp[data.pagamento]&lt;EOMONTH($A54,0)+1)
)</f>
        <v>0</v>
      </c>
      <c r="W54" s="178" cm="1">
        <f t="array" ref="W54">SUMPRODUCT(
  IFERROR(--desp[valor],0)*
  (desp[nucleo]="UP VILA SONIA")*
  (desp[categoria]=W$7)*
  (desp[data.pagamento]&gt;=$A54)*
  (desp[data.pagamento]&lt;EOMONTH($A54,0)+1)
)</f>
        <v>0</v>
      </c>
      <c r="X54" s="178" cm="1">
        <f t="array" ref="X54">SUMPRODUCT(
  IFERROR(--desp[valor],0)*
  (desp[nucleo]="UP VILA SONIA")*
  (desp[categoria]=X$7)*
  (desp[data.pagamento]&gt;=$A54)*
  (desp[data.pagamento]&lt;EOMONTH($A54,0)+1)
)</f>
        <v>0</v>
      </c>
      <c r="Y54" s="179" cm="1">
        <f t="array" ref="Y54">SUMPRODUCT(
  IFERROR(--desp[valor],0)*
  (desp[nucleo]="UP VILA SONIA")*
  (desp[categoria]=Y$7)*
  (desp[data.pagamento]&gt;=$A54)*
  (desp[data.pagamento]&lt;EOMONTH($A54,0)+1)
)</f>
        <v>0</v>
      </c>
      <c r="Z54" s="177">
        <f>COUNTIFS(
    estq[empresa], Z$6,
    estq[Data da venda / reserva], "&gt;=" &amp; $A54,
    estq[Data da venda / reserva], "&lt;"  &amp; EOMONTH($A54,0) + 1
)</f>
        <v>0</v>
      </c>
      <c r="AA54" s="178">
        <f ca="1">SUMIFS(rec.uni[2025-04-01],
INDIRECT("rec.uni[natureza]"),"pro.soluto",
INDIRECT("rec.uni[empresa]"),AA$6)</f>
        <v>0</v>
      </c>
      <c r="AB54" s="178">
        <f ca="1">SUMIFS(rec.uni[2025-04-01],
INDIRECT("rec.uni[natureza]"),"pro.soluto",
INDIRECT("rec.uni[empresa]"),AB$6)</f>
        <v>0</v>
      </c>
      <c r="AC54" s="178">
        <f ca="1">SUMIFS(rec.uni[2025-04-01],
INDIRECT("rec.uni[natureza]"),"taxa.extra",
INDIRECT("rec.uni[empresa]"),AC$6)</f>
        <v>0</v>
      </c>
      <c r="AD54" s="166"/>
      <c r="AE54" s="178" cm="1">
        <f t="array" ref="AE54">SUMPRODUCT(
  IFERROR(--desp[valor],0)*
  (desp[nucleo]="UP CAMPO BELO")*
  (desp[categoria]=AE$7)*
  (desp[data.pagamento]&gt;=$A54)*
  (desp[data.pagamento]&lt;EOMONTH($A54,0)+1)
)</f>
        <v>0</v>
      </c>
      <c r="AF54" s="178" cm="1">
        <f t="array" ref="AF54">SUMPRODUCT(
  IFERROR(--desp[valor],0)*
  (desp[nucleo]="UP CAMPO BELO")*
  (desp[categoria]=AF$7)*
  (desp[data.pagamento]&gt;=$A54)*
  (desp[data.pagamento]&lt;EOMONTH($A54,0)+1)
)</f>
        <v>0</v>
      </c>
      <c r="AG54" s="178" cm="1">
        <f t="array" ref="AG54">SUMPRODUCT(
  IFERROR(--desp[valor],0)*
  (desp[nucleo]="UP CAMPO BELO")*
  (desp[categoria]=AG$7)*
  (desp[data.pagamento]&gt;=$A54)*
  (desp[data.pagamento]&lt;EOMONTH($A54,0)+1)
)</f>
        <v>0</v>
      </c>
      <c r="AH54" s="178" cm="1">
        <f t="array" ref="AH54">SUMPRODUCT(
  IFERROR(--desp[valor],0)*
  (desp[nucleo]="UP CAMPO BELO")*
  (desp[categoria]=AH$7)*
  (desp[data.pagamento]&gt;=$A54)*
  (desp[data.pagamento]&lt;EOMONTH($A54,0)+1)
)</f>
        <v>0</v>
      </c>
      <c r="AI54" s="179" cm="1">
        <f t="array" ref="AI54">SUMPRODUCT(
  IFERROR(--desp[valor],0)*
  (desp[nucleo]="UP CAMPO BELO")*
  (desp[categoria]=AI$7)*
  (desp[data.pagamento]&gt;=$A54)*
  (desp[data.pagamento]&lt;EOMONTH($A54,0)+1)
)</f>
        <v>0</v>
      </c>
      <c r="AJ54" s="177">
        <f>COUNTIFS(
    estq[empresa], AJ$6,
    estq[Data da venda / reserva], "&gt;=" &amp; $A54,
    estq[Data da venda / reserva], "&lt;"  &amp; EOMONTH($A54,0) + 1
)</f>
        <v>0</v>
      </c>
      <c r="AK54" s="178">
        <f ca="1">SUMIFS(rec.uni[2025-04-01],
INDIRECT("rec.uni[natureza]"),"pro.soluto",
INDIRECT("rec.uni[empresa]"),AK$6)</f>
        <v>0</v>
      </c>
      <c r="AL54" s="178">
        <f ca="1">SUMIFS(rec.uni[2025-04-01],
INDIRECT("rec.uni[natureza]"),"repasse.cef.obra",
INDIRECT("rec.uni[empresa]"),AL$6)</f>
        <v>0</v>
      </c>
      <c r="AM54" s="178">
        <f ca="1">SUMIFS(rec.uni[2025-04-01],
INDIRECT("rec.uni[natureza]"),"repasse.cef.terreno",
INDIRECT("rec.uni[empresa]"),AM$6)</f>
        <v>0</v>
      </c>
      <c r="AN54" s="178">
        <v>0</v>
      </c>
      <c r="AO54" s="178">
        <f ca="1">SUMIFS(rec.uni[2025-04-01],
INDIRECT("rec.uni[natureza]"),"taxa.extra",
INDIRECT("rec.uni[empresa]"),AO$6)</f>
        <v>0</v>
      </c>
      <c r="AP54" s="166"/>
      <c r="AQ54" s="178" cm="1">
        <f t="array" ref="AQ54">SUMPRODUCT(
  IFERROR(--desp[valor],0)*
  (desp[nucleo]="UP SELECT VILA SONIA")*
  (desp[categoria]=AQ$7)*
  (desp[data.pagamento]&gt;=$A54)*
  (desp[data.pagamento]&lt;EOMONTH($A54,0)+1)
)</f>
        <v>0</v>
      </c>
      <c r="AR54" s="178" cm="1">
        <f t="array" ref="AR54">SUMPRODUCT(
  IFERROR(--desp[valor],0)*
  (desp[nucleo]="UP SELECT VILA SONIA")*
  (desp[categoria]=AR$7)*
  (desp[data.pagamento]&gt;=$A54)*
  (desp[data.pagamento]&lt;EOMONTH($A54,0)+1)
)</f>
        <v>0</v>
      </c>
      <c r="AS54" s="178" cm="1">
        <f t="array" ref="AS54">SUMPRODUCT(
  IFERROR(--desp[valor],0)*
  (desp[nucleo]="UP SELECT VILA SONIA")*
  (desp[categoria]=AS$7)*
  (desp[data.pagamento]&gt;=$A54)*
  (desp[data.pagamento]&lt;EOMONTH($A54,0)+1)
)</f>
        <v>0</v>
      </c>
      <c r="AT54" s="178" cm="1">
        <f t="array" ref="AT54">SUMPRODUCT(
  IFERROR(--desp[valor],0)*
  (desp[nucleo]="UP SELECT VILA SONIA")*
  (desp[categoria]=AT$7)*
  (desp[data.pagamento]&gt;=$A54)*
  (desp[data.pagamento]&lt;EOMONTH($A54,0)+1)
)</f>
        <v>0</v>
      </c>
      <c r="AU54" s="179" cm="1">
        <f t="array" ref="AU54">SUMPRODUCT(
  IFERROR(--desp[valor],0)*
  (desp[nucleo]="UP SELECT VILA SONIA")*
  (desp[categoria]=AU$7)*
  (desp[data.pagamento]&gt;=$A54)*
  (desp[data.pagamento]&lt;EOMONTH($A54,0)+1)
)</f>
        <v>0</v>
      </c>
      <c r="AV54" s="177">
        <f>COUNTIFS(
    estq[empresa], AV$6,
    estq[Data da venda / reserva], "&gt;=" &amp; $A54,
    estq[Data da venda / reserva], "&lt;"  &amp; EOMONTH($A54,0) + 1
)</f>
        <v>0</v>
      </c>
      <c r="AW54" s="178">
        <f ca="1">SUMIFS(rec.uni[2025-04-01],
INDIRECT("rec.uni[natureza]"),"pro.soluto",
INDIRECT("rec.uni[empresa]"),AW$6)</f>
        <v>0</v>
      </c>
      <c r="AX54" s="178">
        <f ca="1">SUMIFS(rec.uni[2025-04-01],
INDIRECT("rec.uni[natureza]"),"repasse.cef.obra",
INDIRECT("rec.uni[empresa]"),AX$6)</f>
        <v>0</v>
      </c>
      <c r="AY54" s="178">
        <f ca="1">SUMIFS(rec.uni[2025-04-01],
INDIRECT("rec.uni[natureza]"),"repasse.cef.terreno",
INDIRECT("rec.uni[empresa]"),AY$6)</f>
        <v>0</v>
      </c>
      <c r="AZ54" s="178">
        <v>0</v>
      </c>
      <c r="BA54" s="178">
        <f ca="1">SUMIFS(rec.uni[2025-04-01],
INDIRECT("rec.uni[natureza]"),"taxa.extra",
INDIRECT("rec.uni[empresa]"),BA$6)</f>
        <v>0</v>
      </c>
      <c r="BB54" s="166"/>
      <c r="BC54" s="178" cm="1">
        <f t="array" ref="BC54">SUMPRODUCT(
  IFERROR(--desp[valor],0)*
  (desp[nucleo]="UP ESTAÇÃO SÃO LUCAS")*
  (desp[categoria]=BC$7)*
  (desp[data.pagamento]&gt;=$A54)*
  (desp[data.pagamento]&lt;EOMONTH($A54,0)+1)
)</f>
        <v>0</v>
      </c>
      <c r="BD54" s="178" cm="1">
        <f t="array" ref="BD54">SUMPRODUCT(
  IFERROR(--desp[valor],0)*
  (desp[nucleo]="UP ESTAÇÃO SÃO LUCAS")*
  (desp[categoria]=BD$7)*
  (desp[data.pagamento]&gt;=$A54)*
  (desp[data.pagamento]&lt;EOMONTH($A54,0)+1)
)</f>
        <v>0</v>
      </c>
      <c r="BE54" s="178" cm="1">
        <f t="array" ref="BE54">SUMPRODUCT(
  IFERROR(--desp[valor],0)*
  (desp[nucleo]="UP ESTAÇÃO SÃO LUCAS")*
  (desp[categoria]=BE$7)*
  (desp[data.pagamento]&gt;=$A54)*
  (desp[data.pagamento]&lt;EOMONTH($A54,0)+1)
)</f>
        <v>0</v>
      </c>
      <c r="BF54" s="178" cm="1">
        <f t="array" ref="BF54">SUMPRODUCT(
  IFERROR(--desp[valor],0)*
  (desp[nucleo]="UP ESTAÇÃO SÃO LUCAS")*
  (desp[categoria]=BF$7)*
  (desp[data.pagamento]&gt;=$A54)*
  (desp[data.pagamento]&lt;EOMONTH($A54,0)+1)
)</f>
        <v>0</v>
      </c>
      <c r="BG54" s="179" cm="1">
        <f t="array" ref="BG54">SUMPRODUCT(
  IFERROR(--desp[valor],0)*
  (desp[nucleo]="UP ESTAÇÃO SÃO LUCAS")*
  (desp[categoria]=BG$7)*
  (desp[data.pagamento]&gt;=$A54)*
  (desp[data.pagamento]&lt;EOMONTH($A54,0)+1)
)</f>
        <v>0</v>
      </c>
      <c r="BH54" s="177">
        <f>COUNTIFS(
    estq[empresa], BH$6,
    estq[Data da venda / reserva], "&gt;=" &amp; $A54,
    estq[Data da venda / reserva], "&lt;"  &amp; EOMONTH($A54,0) + 1
)</f>
        <v>0</v>
      </c>
      <c r="BI54" s="178">
        <f ca="1">SUMIFS(rec.uni[2025-04-01],
INDIRECT("rec.uni[natureza]"),"pro.soluto",
INDIRECT("rec.uni[empresa]"),BI$6)</f>
        <v>0</v>
      </c>
      <c r="BJ54" s="166">
        <f>3.82*94736</f>
        <v>361891.51999999996</v>
      </c>
      <c r="BK54" s="178">
        <f ca="1">SUMIFS(rec.uni[2025-04-01],
INDIRECT("rec.uni[natureza]"),"taxa.extra",
INDIRECT("rec.uni[empresa]"),BK$6)</f>
        <v>0</v>
      </c>
      <c r="BL54" s="166"/>
      <c r="BM54" s="178" cm="1">
        <f t="array" ref="BM54">SUMPRODUCT(
  IFERROR(--desp[valor],0)*
  (desp[nucleo]="UP POMPEIA")*
  (desp[categoria]=BM$7)*
  (desp[data.pagamento]&gt;=$A54)*
  (desp[data.pagamento]&lt;EOMONTH($A54,0)+1)
)</f>
        <v>0</v>
      </c>
      <c r="BN54" s="178" cm="1">
        <f t="array" ref="BN54">SUMPRODUCT(
  IFERROR(--desp[valor],0)*
  (desp[nucleo]="UP POMPEIA")*
  (desp[categoria]=BN$7)*
  (desp[data.pagamento]&gt;=$A54)*
  (desp[data.pagamento]&lt;EOMONTH($A54,0)+1)
)</f>
        <v>0</v>
      </c>
      <c r="BO54" s="178" cm="1">
        <f t="array" ref="BO54">SUMPRODUCT(
  IFERROR(--desp[valor],0)*
  (desp[nucleo]="UP POMPEIA")*
  (desp[categoria]=BO$7)*
  (desp[data.pagamento]&gt;=$A54)*
  (desp[data.pagamento]&lt;EOMONTH($A54,0)+1)
)</f>
        <v>0</v>
      </c>
      <c r="BP54" s="178" cm="1">
        <f t="array" ref="BP54">SUMPRODUCT(
  IFERROR(--desp[valor],0)*
  (desp[nucleo]="UP POMPEIA")*
  (desp[categoria]=BP$7)*
  (desp[data.pagamento]&gt;=$A54)*
  (desp[data.pagamento]&lt;EOMONTH($A54,0)+1)
)</f>
        <v>0</v>
      </c>
      <c r="BQ54" s="179" cm="1">
        <f t="array" ref="BQ54">SUMPRODUCT(
  IFERROR(--desp[valor],0)*
  (desp[nucleo]="UP POMPEIA")*
  (desp[categoria]=BQ$7)*
  (desp[data.pagamento]&gt;=$A54)*
  (desp[data.pagamento]&lt;EOMONTH($A54,0)+1)
)</f>
        <v>0</v>
      </c>
      <c r="BR54" s="177">
        <f>COUNTIFS(
    estq[empresa], BR$6,
    estq[Data da venda / reserva], "&gt;=" &amp; $A54,
    estq[Data da venda / reserva], "&lt;"  &amp; EOMONTH($A54,0) + 1
)</f>
        <v>0</v>
      </c>
      <c r="BS54" s="178">
        <f ca="1">SUMIFS(rec.uni[2025-04-01],
INDIRECT("rec.uni[natureza]"),"pro.soluto",
INDIRECT("rec.uni[empresa]"),BS$6)</f>
        <v>0</v>
      </c>
      <c r="BT54" s="178">
        <f ca="1">SUMIFS(rec.uni[2025-04-01],
INDIRECT("rec.uni[natureza]"),"pro.soluto",
INDIRECT("rec.uni[empresa]"),BT$6)</f>
        <v>0</v>
      </c>
      <c r="BU54" s="178">
        <f ca="1">SUMIFS(rec.uni[2025-04-01],
INDIRECT("rec.uni[natureza]"),"taxa.extra",
INDIRECT("rec.uni[empresa]"),BU$6)</f>
        <v>0</v>
      </c>
      <c r="BV54" s="166"/>
      <c r="BW54" s="178" cm="1">
        <f t="array" ref="BW54">SUMPRODUCT(
  IFERROR(--desp[valor],0)*
  (desp[nucleo]="UP SAUDE")*
  (desp[categoria]=BW$7)*
  (desp[data.pagamento]&gt;=$A54)*
  (desp[data.pagamento]&lt;EOMONTH($A54,0)+1)
)</f>
        <v>0</v>
      </c>
      <c r="BX54" s="178" cm="1">
        <f t="array" ref="BX54">SUMPRODUCT(
  IFERROR(--desp[valor],0)*
  (desp[nucleo]="UP SAUDE")*
  (desp[categoria]=BX$7)*
  (desp[data.pagamento]&gt;=$A54)*
  (desp[data.pagamento]&lt;EOMONTH($A54,0)+1)
)</f>
        <v>0</v>
      </c>
      <c r="BY54" s="178" cm="1">
        <f t="array" ref="BY54">SUMPRODUCT(
  IFERROR(--desp[valor],0)*
  (desp[nucleo]="UP SAUDE")*
  (desp[categoria]=BY$7)*
  (desp[data.pagamento]&gt;=$A54)*
  (desp[data.pagamento]&lt;EOMONTH($A54,0)+1)
)</f>
        <v>0</v>
      </c>
      <c r="BZ54" s="178" cm="1">
        <f t="array" ref="BZ54">SUMPRODUCT(
  IFERROR(--desp[valor],0)*
  (desp[nucleo]="UP SAUDE")*
  (desp[categoria]=BZ$7)*
  (desp[data.pagamento]&gt;=$A54)*
  (desp[data.pagamento]&lt;EOMONTH($A54,0)+1)
)</f>
        <v>0</v>
      </c>
      <c r="CA54" s="179" cm="1">
        <f t="array" ref="CA54">SUMPRODUCT(
  IFERROR(--desp[valor],0)*
  (desp[nucleo]="UP SAUDE")*
  (desp[categoria]=CA$7)*
  (desp[data.pagamento]&gt;=$A54)*
  (desp[data.pagamento]&lt;EOMONTH($A54,0)+1)
)</f>
        <v>0</v>
      </c>
      <c r="CB54" s="177">
        <f>COUNTIFS(
    estq[empresa], CB$6,
    estq[Data da venda / reserva], "&gt;=" &amp; $A54,
    estq[Data da venda / reserva], "&lt;"  &amp; EOMONTH($A54,0) + 1
)</f>
        <v>0</v>
      </c>
      <c r="CC54" s="178">
        <f ca="1">SUMIFS(rec.uni[2025-04-01],
INDIRECT("rec.uni[natureza]"),"pro.soluto",
INDIRECT("rec.uni[empresa]"),CC$6)</f>
        <v>0</v>
      </c>
      <c r="CD54" s="178">
        <f ca="1">SUMIFS(rec.uni[2025-04-01],
INDIRECT("rec.uni[natureza]"),"repasse.cef.obra",
INDIRECT("rec.uni[empresa]"),CD$6)</f>
        <v>0</v>
      </c>
      <c r="CE54" s="178">
        <f ca="1">SUMIFS(rec.uni[2025-04-01],
INDIRECT("rec.uni[natureza]"),"repasse.cef.terreno",
INDIRECT("rec.uni[empresa]"),CE$6)</f>
        <v>0</v>
      </c>
      <c r="CF54" s="178">
        <v>273233.02</v>
      </c>
      <c r="CG54" s="178">
        <f ca="1">SUMIFS(rec.uni[2025-04-01],
INDIRECT("rec.uni[natureza]"),"taxa.extra",
INDIRECT("rec.uni[empresa]"),CG$6)</f>
        <v>0</v>
      </c>
      <c r="CH54" s="166"/>
      <c r="CI54" s="178" cm="1">
        <f t="array" ref="CI54">SUMPRODUCT(
  IFERROR(--desp[valor],0)*
  (desp[nucleo]="UP ESTAÇÃO VILA SONIA")*
  (desp[categoria]=CI$7)*
  (desp[data.pagamento]&gt;=$A54)*
  (desp[data.pagamento]&lt;EOMONTH($A54,0)+1)
)</f>
        <v>0</v>
      </c>
      <c r="CJ54" s="178" cm="1">
        <f t="array" ref="CJ54">SUMPRODUCT(
  IFERROR(--desp[valor],0)*
  (desp[nucleo]="UP ESTAÇÃO VILA SONIA")*
  (desp[categoria]=CJ$7)*
  (desp[data.pagamento]&gt;=$A54)*
  (desp[data.pagamento]&lt;EOMONTH($A54,0)+1)
)</f>
        <v>0</v>
      </c>
      <c r="CK54" s="178" cm="1">
        <f t="array" ref="CK54">SUMPRODUCT(
  IFERROR(--desp[valor],0)*
  (desp[nucleo]="UP ESTAÇÃO VILA SONIA")*
  (desp[categoria]=CK$7)*
  (desp[data.pagamento]&gt;=$A54)*
  (desp[data.pagamento]&lt;EOMONTH($A54,0)+1)
)</f>
        <v>0</v>
      </c>
      <c r="CL54" s="178" cm="1">
        <f t="array" ref="CL54">SUMPRODUCT(
  IFERROR(--desp[valor],0)*
  (desp[nucleo]="UP ESTAÇÃO VILA SONIA")*
  (desp[categoria]=CL$7)*
  (desp[data.pagamento]&gt;=$A54)*
  (desp[data.pagamento]&lt;EOMONTH($A54,0)+1)
)</f>
        <v>0</v>
      </c>
      <c r="CM54" s="179" cm="1">
        <f t="array" ref="CM54">SUMPRODUCT(
  IFERROR(--desp[valor],0)*
  (desp[nucleo]="UP ESTAÇÃO VILA SONIA")*
  (desp[categoria]=CM$7)*
  (desp[data.pagamento]&gt;=$A54)*
  (desp[data.pagamento]&lt;EOMONTH($A54,0)+1)
)</f>
        <v>0</v>
      </c>
      <c r="CN54" s="177">
        <f>COUNTIFS(
    estq[empresa], CN$6,
    estq[Data da venda / reserva], "&gt;=" &amp; $A54,
    estq[Data da venda / reserva], "&lt;"  &amp; EOMONTH($A54,0) + 1
)</f>
        <v>0</v>
      </c>
      <c r="CO54" s="178">
        <f ca="1">SUMIFS(rec.uni[2025-04-01],
INDIRECT("rec.uni[natureza]"),"pro.soluto",
INDIRECT("rec.uni[empresa]"),CO$6)</f>
        <v>0</v>
      </c>
      <c r="CP54" s="178">
        <f ca="1">SUMIFS(rec.uni[2025-04-01],
INDIRECT("rec.uni[natureza]"),"repasse.cef.obra",
INDIRECT("rec.uni[empresa]"),CP$6)</f>
        <v>0</v>
      </c>
      <c r="CQ54" s="178">
        <f ca="1">SUMIFS(rec.uni[2025-04-01],
INDIRECT("rec.uni[natureza]"),"repasse.cef.terreno",
INDIRECT("rec.uni[empresa]"),CQ$6)</f>
        <v>0</v>
      </c>
      <c r="CR54" s="178">
        <v>0</v>
      </c>
      <c r="CS54" s="178">
        <f ca="1">SUMIFS(rec.uni[2025-04-01],
INDIRECT("rec.uni[natureza]"),"taxa.extra",
INDIRECT("rec.uni[empresa]"),CS$6)</f>
        <v>0</v>
      </c>
      <c r="CT54" s="166"/>
      <c r="CU54" s="178" cm="1">
        <f t="array" ref="CU54">SUMPRODUCT(
  IFERROR(--desp[valor],0)*
  (desp[nucleo]="UP MOVE VILA SONIA")*
  (desp[categoria]=CU$7)*
  (desp[data.pagamento]&gt;=$A54)*
  (desp[data.pagamento]&lt;EOMONTH($A54,0)+1)
)</f>
        <v>0</v>
      </c>
      <c r="CV54" s="178" cm="1">
        <f t="array" ref="CV54">SUMPRODUCT(
  IFERROR(--desp[valor],0)*
  (desp[nucleo]="UP MOVE VILA SONIA")*
  (desp[categoria]=CV$7)*
  (desp[data.pagamento]&gt;=$A54)*
  (desp[data.pagamento]&lt;EOMONTH($A54,0)+1)
)</f>
        <v>0</v>
      </c>
      <c r="CW54" s="178" cm="1">
        <f t="array" ref="CW54">SUMPRODUCT(
  IFERROR(--desp[valor],0)*
  (desp[nucleo]="UP MOVE VILA SONIA")*
  (desp[categoria]=CW$7)*
  (desp[data.pagamento]&gt;=$A54)*
  (desp[data.pagamento]&lt;EOMONTH($A54,0)+1)
)</f>
        <v>0</v>
      </c>
      <c r="CX54" s="178" cm="1">
        <f t="array" ref="CX54">SUMPRODUCT(
  IFERROR(--desp[valor],0)*
  (desp[nucleo]="UP MOVE VILA SONIA")*
  (desp[categoria]=CX$7)*
  (desp[data.pagamento]&gt;=$A54)*
  (desp[data.pagamento]&lt;EOMONTH($A54,0)+1)
)</f>
        <v>0</v>
      </c>
      <c r="CY54" s="180" cm="1">
        <f t="array" ref="CY54">SUMPRODUCT(
  IFERROR(--desp[valor],0)*
  (desp[nucleo]="UP MOVE VILA SONIA")*
  (desp[categoria]=CY$7)*
  (desp[data.pagamento]&gt;=$A54)*
  (desp[data.pagamento]&lt;EOMONTH($A54,0)+1)
)</f>
        <v>0</v>
      </c>
    </row>
    <row r="55" spans="1:103" x14ac:dyDescent="0.25">
      <c r="A55" s="176">
        <v>45778</v>
      </c>
      <c r="B55" s="177">
        <f>COUNTIFS(
    estq[empresa], B$6,
    estq[Data da venda / reserva], "&gt;=" &amp; $A55,
    estq[Data da venda / reserva], "&lt;"  &amp; EOMONTH($A55,0) + 1
)</f>
        <v>0</v>
      </c>
      <c r="C55" s="178">
        <f ca="1">SUMIFS(rec.uni[2025-05-01],
INDIRECT("rec.uni[natureza]"),"pro.soluto",
INDIRECT("rec.uni[empresa]"),C$6)</f>
        <v>0</v>
      </c>
      <c r="D55" s="178">
        <f ca="1">SUMIFS(rec.uni[2025-05-01],
INDIRECT("rec.uni[natureza]"),"repasse.cef.obra",
INDIRECT("rec.uni[empresa]"),D$6)</f>
        <v>0</v>
      </c>
      <c r="E55" s="178">
        <f ca="1">SUMIFS(rec.uni[2025-05-01],
INDIRECT("rec.uni[natureza]"),"repasse.cef.terreno",
INDIRECT("rec.uni[empresa]"),E$6)</f>
        <v>0</v>
      </c>
      <c r="F55" s="178">
        <v>134752.4</v>
      </c>
      <c r="G55" s="178">
        <f ca="1">SUMIFS(rec.uni[2025-05-01],
INDIRECT("rec.uni[natureza]"),"taxa.extra",
INDIRECT("rec.uni[empresa]"),G$6)</f>
        <v>0</v>
      </c>
      <c r="H55" s="166"/>
      <c r="I55" s="178" cm="1">
        <f t="array" ref="I55">SUMPRODUCT(
  IFERROR(--desp[valor],0)*
  (desp[nucleo]="UP JARDIM PRUDENCIA")*
  (desp[categoria]=I$7)*
  (desp[data.pagamento]&gt;=$A55)*
  (desp[data.pagamento]&lt;EOMONTH($A55,0)+1)
)</f>
        <v>0</v>
      </c>
      <c r="J55" s="178" cm="1">
        <f t="array" ref="J55">SUMPRODUCT(
  IFERROR(--desp[valor],0)*
  (desp[nucleo]="UP JARDIM PRUDENCIA")*
  (desp[categoria]=J$7)*
  (desp[data.pagamento]&gt;=$A55)*
  (desp[data.pagamento]&lt;EOMONTH($A55,0)+1)
)</f>
        <v>0</v>
      </c>
      <c r="K55" s="178" cm="1">
        <f t="array" ref="K55">SUMPRODUCT(
  IFERROR(--desp[valor],0)*
  (desp[nucleo]="UP JARDIM PRUDENCIA")*
  (desp[categoria]=K$7)*
  (desp[data.pagamento]&gt;=$A55)*
  (desp[data.pagamento]&lt;EOMONTH($A55,0)+1)
)</f>
        <v>0</v>
      </c>
      <c r="L55" s="178" cm="1">
        <f t="array" ref="L55">SUMPRODUCT(
  IFERROR(--desp[valor],0)*
  (desp[nucleo]="UP JARDIM PRUDENCIA")*
  (desp[categoria]=L$7)*
  (desp[data.pagamento]&gt;=$A55)*
  (desp[data.pagamento]&lt;EOMONTH($A55,0)+1)
)</f>
        <v>0</v>
      </c>
      <c r="M55" s="179" cm="1">
        <f t="array" ref="M55">SUMPRODUCT(
  IFERROR(--desp[valor],0)*
  (desp[nucleo]="UP JARDIM PRUDENCIA")*
  (desp[categoria]=M$7)*
  (desp[data.pagamento]&gt;=$A55)*
  (desp[data.pagamento]&lt;EOMONTH($A55,0)+1)
)</f>
        <v>0</v>
      </c>
      <c r="N55" s="177">
        <f>COUNTIFS(
    estq[empresa], N$6,
    estq[Data da venda / reserva], "&gt;=" &amp; $A55,
    estq[Data da venda / reserva], "&lt;"  &amp; EOMONTH($A55,0) + 1
)</f>
        <v>0</v>
      </c>
      <c r="O55" s="178">
        <f ca="1">SUMIFS(rec.uni[2025-05-01],
INDIRECT("rec.uni[natureza]"),"pro.soluto",
INDIRECT("rec.uni[empresa]"),O$6)</f>
        <v>0</v>
      </c>
      <c r="P55" s="178">
        <f ca="1">SUMIFS(rec.uni[2025-05-01],
INDIRECT("rec.uni[natureza]"),"repasse.cef.obra",
INDIRECT("rec.uni[empresa]"),P$6)</f>
        <v>0</v>
      </c>
      <c r="Q55" s="178">
        <f ca="1">SUMIFS(rec.uni[2025-05-01],
INDIRECT("rec.uni[natureza]"),"repasse.cef.terreno",
INDIRECT("rec.uni[empresa]"),Q$6)</f>
        <v>0</v>
      </c>
      <c r="R55" s="178">
        <v>0</v>
      </c>
      <c r="S55" s="178">
        <f ca="1">SUMIFS(rec.uni[2025-05-01],
INDIRECT("rec.uni[natureza]"),"taxa.extra",
INDIRECT("rec.uni[empresa]"),S$6)</f>
        <v>0</v>
      </c>
      <c r="T55" s="166"/>
      <c r="U55" s="178" cm="1">
        <f t="array" ref="U55">SUMPRODUCT(
  IFERROR(--desp[valor],0)*
  (desp[nucleo]="UP VILA SONIA")*
  (desp[categoria]=U$7)*
  (desp[data.pagamento]&gt;=$A55)*
  (desp[data.pagamento]&lt;EOMONTH($A55,0)+1)
)</f>
        <v>0</v>
      </c>
      <c r="V55" s="178" cm="1">
        <f t="array" ref="V55">SUMPRODUCT(
  IFERROR(--desp[valor],0)*
  (desp[nucleo]="UP VILA SONIA")*
  (desp[categoria]=V$7)*
  (desp[data.pagamento]&gt;=$A55)*
  (desp[data.pagamento]&lt;EOMONTH($A55,0)+1)
)</f>
        <v>0</v>
      </c>
      <c r="W55" s="178" cm="1">
        <f t="array" ref="W55">SUMPRODUCT(
  IFERROR(--desp[valor],0)*
  (desp[nucleo]="UP VILA SONIA")*
  (desp[categoria]=W$7)*
  (desp[data.pagamento]&gt;=$A55)*
  (desp[data.pagamento]&lt;EOMONTH($A55,0)+1)
)</f>
        <v>0</v>
      </c>
      <c r="X55" s="178" cm="1">
        <f t="array" ref="X55">SUMPRODUCT(
  IFERROR(--desp[valor],0)*
  (desp[nucleo]="UP VILA SONIA")*
  (desp[categoria]=X$7)*
  (desp[data.pagamento]&gt;=$A55)*
  (desp[data.pagamento]&lt;EOMONTH($A55,0)+1)
)</f>
        <v>0</v>
      </c>
      <c r="Y55" s="179" cm="1">
        <f t="array" ref="Y55">SUMPRODUCT(
  IFERROR(--desp[valor],0)*
  (desp[nucleo]="UP VILA SONIA")*
  (desp[categoria]=Y$7)*
  (desp[data.pagamento]&gt;=$A55)*
  (desp[data.pagamento]&lt;EOMONTH($A55,0)+1)
)</f>
        <v>0</v>
      </c>
      <c r="Z55" s="177">
        <f>COUNTIFS(
    estq[empresa], Z$6,
    estq[Data da venda / reserva], "&gt;=" &amp; $A55,
    estq[Data da venda / reserva], "&lt;"  &amp; EOMONTH($A55,0) + 1
)</f>
        <v>0</v>
      </c>
      <c r="AA55" s="178">
        <f ca="1">SUMIFS(rec.uni[2025-05-01],
INDIRECT("rec.uni[natureza]"),"pro.soluto",
INDIRECT("rec.uni[empresa]"),AA$6)</f>
        <v>0</v>
      </c>
      <c r="AB55" s="178">
        <f ca="1">SUMIFS(rec.uni[2025-05-01],
INDIRECT("rec.uni[natureza]"),"pro.soluto",
INDIRECT("rec.uni[empresa]"),AB$6)</f>
        <v>0</v>
      </c>
      <c r="AC55" s="178">
        <f ca="1">SUMIFS(rec.uni[2025-05-01],
INDIRECT("rec.uni[natureza]"),"taxa.extra",
INDIRECT("rec.uni[empresa]"),AC$6)</f>
        <v>0</v>
      </c>
      <c r="AD55" s="166"/>
      <c r="AE55" s="178" cm="1">
        <f t="array" ref="AE55">SUMPRODUCT(
  IFERROR(--desp[valor],0)*
  (desp[nucleo]="UP CAMPO BELO")*
  (desp[categoria]=AE$7)*
  (desp[data.pagamento]&gt;=$A55)*
  (desp[data.pagamento]&lt;EOMONTH($A55,0)+1)
)</f>
        <v>0</v>
      </c>
      <c r="AF55" s="178" cm="1">
        <f t="array" ref="AF55">SUMPRODUCT(
  IFERROR(--desp[valor],0)*
  (desp[nucleo]="UP CAMPO BELO")*
  (desp[categoria]=AF$7)*
  (desp[data.pagamento]&gt;=$A55)*
  (desp[data.pagamento]&lt;EOMONTH($A55,0)+1)
)</f>
        <v>0</v>
      </c>
      <c r="AG55" s="178" cm="1">
        <f t="array" ref="AG55">SUMPRODUCT(
  IFERROR(--desp[valor],0)*
  (desp[nucleo]="UP CAMPO BELO")*
  (desp[categoria]=AG$7)*
  (desp[data.pagamento]&gt;=$A55)*
  (desp[data.pagamento]&lt;EOMONTH($A55,0)+1)
)</f>
        <v>0</v>
      </c>
      <c r="AH55" s="178" cm="1">
        <f t="array" ref="AH55">SUMPRODUCT(
  IFERROR(--desp[valor],0)*
  (desp[nucleo]="UP CAMPO BELO")*
  (desp[categoria]=AH$7)*
  (desp[data.pagamento]&gt;=$A55)*
  (desp[data.pagamento]&lt;EOMONTH($A55,0)+1)
)</f>
        <v>0</v>
      </c>
      <c r="AI55" s="179" cm="1">
        <f t="array" ref="AI55">SUMPRODUCT(
  IFERROR(--desp[valor],0)*
  (desp[nucleo]="UP CAMPO BELO")*
  (desp[categoria]=AI$7)*
  (desp[data.pagamento]&gt;=$A55)*
  (desp[data.pagamento]&lt;EOMONTH($A55,0)+1)
)</f>
        <v>0</v>
      </c>
      <c r="AJ55" s="177">
        <f>COUNTIFS(
    estq[empresa], AJ$6,
    estq[Data da venda / reserva], "&gt;=" &amp; $A55,
    estq[Data da venda / reserva], "&lt;"  &amp; EOMONTH($A55,0) + 1
)</f>
        <v>0</v>
      </c>
      <c r="AK55" s="178">
        <f ca="1">SUMIFS(rec.uni[2025-05-01],
INDIRECT("rec.uni[natureza]"),"pro.soluto",
INDIRECT("rec.uni[empresa]"),AK$6)</f>
        <v>0</v>
      </c>
      <c r="AL55" s="178">
        <f ca="1">SUMIFS(rec.uni[2025-05-01],
INDIRECT("rec.uni[natureza]"),"repasse.cef.obra",
INDIRECT("rec.uni[empresa]"),AL$6)</f>
        <v>0</v>
      </c>
      <c r="AM55" s="178">
        <f ca="1">SUMIFS(rec.uni[2025-05-01],
INDIRECT("rec.uni[natureza]"),"repasse.cef.terreno",
INDIRECT("rec.uni[empresa]"),AM$6)</f>
        <v>0</v>
      </c>
      <c r="AN55" s="178">
        <v>0</v>
      </c>
      <c r="AO55" s="178">
        <f ca="1">SUMIFS(rec.uni[2025-05-01],
INDIRECT("rec.uni[natureza]"),"taxa.extra",
INDIRECT("rec.uni[empresa]"),AO$6)</f>
        <v>0</v>
      </c>
      <c r="AP55" s="166"/>
      <c r="AQ55" s="178" cm="1">
        <f t="array" ref="AQ55">SUMPRODUCT(
  IFERROR(--desp[valor],0)*
  (desp[nucleo]="UP SELECT VILA SONIA")*
  (desp[categoria]=AQ$7)*
  (desp[data.pagamento]&gt;=$A55)*
  (desp[data.pagamento]&lt;EOMONTH($A55,0)+1)
)</f>
        <v>0</v>
      </c>
      <c r="AR55" s="178" cm="1">
        <f t="array" ref="AR55">SUMPRODUCT(
  IFERROR(--desp[valor],0)*
  (desp[nucleo]="UP SELECT VILA SONIA")*
  (desp[categoria]=AR$7)*
  (desp[data.pagamento]&gt;=$A55)*
  (desp[data.pagamento]&lt;EOMONTH($A55,0)+1)
)</f>
        <v>0</v>
      </c>
      <c r="AS55" s="178" cm="1">
        <f t="array" ref="AS55">SUMPRODUCT(
  IFERROR(--desp[valor],0)*
  (desp[nucleo]="UP SELECT VILA SONIA")*
  (desp[categoria]=AS$7)*
  (desp[data.pagamento]&gt;=$A55)*
  (desp[data.pagamento]&lt;EOMONTH($A55,0)+1)
)</f>
        <v>0</v>
      </c>
      <c r="AT55" s="178" cm="1">
        <f t="array" ref="AT55">SUMPRODUCT(
  IFERROR(--desp[valor],0)*
  (desp[nucleo]="UP SELECT VILA SONIA")*
  (desp[categoria]=AT$7)*
  (desp[data.pagamento]&gt;=$A55)*
  (desp[data.pagamento]&lt;EOMONTH($A55,0)+1)
)</f>
        <v>0</v>
      </c>
      <c r="AU55" s="179" cm="1">
        <f t="array" ref="AU55">SUMPRODUCT(
  IFERROR(--desp[valor],0)*
  (desp[nucleo]="UP SELECT VILA SONIA")*
  (desp[categoria]=AU$7)*
  (desp[data.pagamento]&gt;=$A55)*
  (desp[data.pagamento]&lt;EOMONTH($A55,0)+1)
)</f>
        <v>0</v>
      </c>
      <c r="AV55" s="177">
        <f>COUNTIFS(
    estq[empresa], AV$6,
    estq[Data da venda / reserva], "&gt;=" &amp; $A55,
    estq[Data da venda / reserva], "&lt;"  &amp; EOMONTH($A55,0) + 1
)</f>
        <v>0</v>
      </c>
      <c r="AW55" s="178">
        <f ca="1">SUMIFS(rec.uni[2025-05-01],
INDIRECT("rec.uni[natureza]"),"pro.soluto",
INDIRECT("rec.uni[empresa]"),AW$6)</f>
        <v>0</v>
      </c>
      <c r="AX55" s="178">
        <f ca="1">SUMIFS(rec.uni[2025-05-01],
INDIRECT("rec.uni[natureza]"),"repasse.cef.obra",
INDIRECT("rec.uni[empresa]"),AX$6)</f>
        <v>0</v>
      </c>
      <c r="AY55" s="178">
        <f ca="1">SUMIFS(rec.uni[2025-05-01],
INDIRECT("rec.uni[natureza]"),"repasse.cef.terreno",
INDIRECT("rec.uni[empresa]"),AY$6)</f>
        <v>0</v>
      </c>
      <c r="AZ55" s="178">
        <v>0</v>
      </c>
      <c r="BA55" s="178">
        <f ca="1">SUMIFS(rec.uni[2025-05-01],
INDIRECT("rec.uni[natureza]"),"taxa.extra",
INDIRECT("rec.uni[empresa]"),BA$6)</f>
        <v>0</v>
      </c>
      <c r="BB55" s="166"/>
      <c r="BC55" s="178" cm="1">
        <f t="array" ref="BC55">SUMPRODUCT(
  IFERROR(--desp[valor],0)*
  (desp[nucleo]="UP ESTAÇÃO SÃO LUCAS")*
  (desp[categoria]=BC$7)*
  (desp[data.pagamento]&gt;=$A55)*
  (desp[data.pagamento]&lt;EOMONTH($A55,0)+1)
)</f>
        <v>0</v>
      </c>
      <c r="BD55" s="178" cm="1">
        <f t="array" ref="BD55">SUMPRODUCT(
  IFERROR(--desp[valor],0)*
  (desp[nucleo]="UP ESTAÇÃO SÃO LUCAS")*
  (desp[categoria]=BD$7)*
  (desp[data.pagamento]&gt;=$A55)*
  (desp[data.pagamento]&lt;EOMONTH($A55,0)+1)
)</f>
        <v>0</v>
      </c>
      <c r="BE55" s="178" cm="1">
        <f t="array" ref="BE55">SUMPRODUCT(
  IFERROR(--desp[valor],0)*
  (desp[nucleo]="UP ESTAÇÃO SÃO LUCAS")*
  (desp[categoria]=BE$7)*
  (desp[data.pagamento]&gt;=$A55)*
  (desp[data.pagamento]&lt;EOMONTH($A55,0)+1)
)</f>
        <v>0</v>
      </c>
      <c r="BF55" s="178" cm="1">
        <f t="array" ref="BF55">SUMPRODUCT(
  IFERROR(--desp[valor],0)*
  (desp[nucleo]="UP ESTAÇÃO SÃO LUCAS")*
  (desp[categoria]=BF$7)*
  (desp[data.pagamento]&gt;=$A55)*
  (desp[data.pagamento]&lt;EOMONTH($A55,0)+1)
)</f>
        <v>0</v>
      </c>
      <c r="BG55" s="179" cm="1">
        <f t="array" ref="BG55">SUMPRODUCT(
  IFERROR(--desp[valor],0)*
  (desp[nucleo]="UP ESTAÇÃO SÃO LUCAS")*
  (desp[categoria]=BG$7)*
  (desp[data.pagamento]&gt;=$A55)*
  (desp[data.pagamento]&lt;EOMONTH($A55,0)+1)
)</f>
        <v>0</v>
      </c>
      <c r="BH55" s="177">
        <f>COUNTIFS(
    estq[empresa], BH$6,
    estq[Data da venda / reserva], "&gt;=" &amp; $A55,
    estq[Data da venda / reserva], "&lt;"  &amp; EOMONTH($A55,0) + 1
)</f>
        <v>0</v>
      </c>
      <c r="BI55" s="178">
        <f ca="1">SUMIFS(rec.uni[2025-05-01],
INDIRECT("rec.uni[natureza]"),"pro.soluto",
INDIRECT("rec.uni[empresa]"),BI$6)</f>
        <v>0</v>
      </c>
      <c r="BJ55" s="166">
        <f>8.51*94736</f>
        <v>806203.36</v>
      </c>
      <c r="BK55" s="178">
        <f ca="1">SUMIFS(rec.uni[2025-05-01],
INDIRECT("rec.uni[natureza]"),"taxa.extra",
INDIRECT("rec.uni[empresa]"),BK$6)</f>
        <v>0</v>
      </c>
      <c r="BL55" s="166"/>
      <c r="BM55" s="178" cm="1">
        <f t="array" ref="BM55">SUMPRODUCT(
  IFERROR(--desp[valor],0)*
  (desp[nucleo]="UP POMPEIA")*
  (desp[categoria]=BM$7)*
  (desp[data.pagamento]&gt;=$A55)*
  (desp[data.pagamento]&lt;EOMONTH($A55,0)+1)
)</f>
        <v>0</v>
      </c>
      <c r="BN55" s="178" cm="1">
        <f t="array" ref="BN55">SUMPRODUCT(
  IFERROR(--desp[valor],0)*
  (desp[nucleo]="UP POMPEIA")*
  (desp[categoria]=BN$7)*
  (desp[data.pagamento]&gt;=$A55)*
  (desp[data.pagamento]&lt;EOMONTH($A55,0)+1)
)</f>
        <v>0</v>
      </c>
      <c r="BO55" s="178" cm="1">
        <f t="array" ref="BO55">SUMPRODUCT(
  IFERROR(--desp[valor],0)*
  (desp[nucleo]="UP POMPEIA")*
  (desp[categoria]=BO$7)*
  (desp[data.pagamento]&gt;=$A55)*
  (desp[data.pagamento]&lt;EOMONTH($A55,0)+1)
)</f>
        <v>0</v>
      </c>
      <c r="BP55" s="178" cm="1">
        <f t="array" ref="BP55">SUMPRODUCT(
  IFERROR(--desp[valor],0)*
  (desp[nucleo]="UP POMPEIA")*
  (desp[categoria]=BP$7)*
  (desp[data.pagamento]&gt;=$A55)*
  (desp[data.pagamento]&lt;EOMONTH($A55,0)+1)
)</f>
        <v>0</v>
      </c>
      <c r="BQ55" s="179" cm="1">
        <f t="array" ref="BQ55">SUMPRODUCT(
  IFERROR(--desp[valor],0)*
  (desp[nucleo]="UP POMPEIA")*
  (desp[categoria]=BQ$7)*
  (desp[data.pagamento]&gt;=$A55)*
  (desp[data.pagamento]&lt;EOMONTH($A55,0)+1)
)</f>
        <v>0</v>
      </c>
      <c r="BR55" s="177">
        <f>COUNTIFS(
    estq[empresa], BR$6,
    estq[Data da venda / reserva], "&gt;=" &amp; $A55,
    estq[Data da venda / reserva], "&lt;"  &amp; EOMONTH($A55,0) + 1
)</f>
        <v>0</v>
      </c>
      <c r="BS55" s="178">
        <f ca="1">SUMIFS(rec.uni[2025-05-01],
INDIRECT("rec.uni[natureza]"),"pro.soluto",
INDIRECT("rec.uni[empresa]"),BS$6)</f>
        <v>0</v>
      </c>
      <c r="BT55" s="178">
        <f ca="1">SUMIFS(rec.uni[2025-05-01],
INDIRECT("rec.uni[natureza]"),"pro.soluto",
INDIRECT("rec.uni[empresa]"),BT$6)</f>
        <v>0</v>
      </c>
      <c r="BU55" s="178">
        <f ca="1">SUMIFS(rec.uni[2025-05-01],
INDIRECT("rec.uni[natureza]"),"taxa.extra",
INDIRECT("rec.uni[empresa]"),BU$6)</f>
        <v>0</v>
      </c>
      <c r="BV55" s="166"/>
      <c r="BW55" s="178" cm="1">
        <f t="array" ref="BW55">SUMPRODUCT(
  IFERROR(--desp[valor],0)*
  (desp[nucleo]="UP SAUDE")*
  (desp[categoria]=BW$7)*
  (desp[data.pagamento]&gt;=$A55)*
  (desp[data.pagamento]&lt;EOMONTH($A55,0)+1)
)</f>
        <v>0</v>
      </c>
      <c r="BX55" s="178" cm="1">
        <f t="array" ref="BX55">SUMPRODUCT(
  IFERROR(--desp[valor],0)*
  (desp[nucleo]="UP SAUDE")*
  (desp[categoria]=BX$7)*
  (desp[data.pagamento]&gt;=$A55)*
  (desp[data.pagamento]&lt;EOMONTH($A55,0)+1)
)</f>
        <v>0</v>
      </c>
      <c r="BY55" s="178" cm="1">
        <f t="array" ref="BY55">SUMPRODUCT(
  IFERROR(--desp[valor],0)*
  (desp[nucleo]="UP SAUDE")*
  (desp[categoria]=BY$7)*
  (desp[data.pagamento]&gt;=$A55)*
  (desp[data.pagamento]&lt;EOMONTH($A55,0)+1)
)</f>
        <v>0</v>
      </c>
      <c r="BZ55" s="178" cm="1">
        <f t="array" ref="BZ55">SUMPRODUCT(
  IFERROR(--desp[valor],0)*
  (desp[nucleo]="UP SAUDE")*
  (desp[categoria]=BZ$7)*
  (desp[data.pagamento]&gt;=$A55)*
  (desp[data.pagamento]&lt;EOMONTH($A55,0)+1)
)</f>
        <v>0</v>
      </c>
      <c r="CA55" s="179" cm="1">
        <f t="array" ref="CA55">SUMPRODUCT(
  IFERROR(--desp[valor],0)*
  (desp[nucleo]="UP SAUDE")*
  (desp[categoria]=CA$7)*
  (desp[data.pagamento]&gt;=$A55)*
  (desp[data.pagamento]&lt;EOMONTH($A55,0)+1)
)</f>
        <v>0</v>
      </c>
      <c r="CB55" s="177">
        <f>COUNTIFS(
    estq[empresa], CB$6,
    estq[Data da venda / reserva], "&gt;=" &amp; $A55,
    estq[Data da venda / reserva], "&lt;"  &amp; EOMONTH($A55,0) + 1
)</f>
        <v>0</v>
      </c>
      <c r="CC55" s="178">
        <f ca="1">SUMIFS(rec.uni[2025-05-01],
INDIRECT("rec.uni[natureza]"),"pro.soluto",
INDIRECT("rec.uni[empresa]"),CC$6)</f>
        <v>0</v>
      </c>
      <c r="CD55" s="178">
        <f ca="1">SUMIFS(rec.uni[2025-05-01],
INDIRECT("rec.uni[natureza]"),"repasse.cef.obra",
INDIRECT("rec.uni[empresa]"),CD$6)</f>
        <v>0</v>
      </c>
      <c r="CE55" s="178">
        <f ca="1">SUMIFS(rec.uni[2025-05-01],
INDIRECT("rec.uni[natureza]"),"repasse.cef.terreno",
INDIRECT("rec.uni[empresa]"),CE$6)</f>
        <v>0</v>
      </c>
      <c r="CF55" s="178">
        <v>0</v>
      </c>
      <c r="CG55" s="178">
        <f ca="1">SUMIFS(rec.uni[2025-05-01],
INDIRECT("rec.uni[natureza]"),"taxa.extra",
INDIRECT("rec.uni[empresa]"),CG$6)</f>
        <v>0</v>
      </c>
      <c r="CH55" s="166"/>
      <c r="CI55" s="178" cm="1">
        <f t="array" ref="CI55">SUMPRODUCT(
  IFERROR(--desp[valor],0)*
  (desp[nucleo]="UP ESTAÇÃO VILA SONIA")*
  (desp[categoria]=CI$7)*
  (desp[data.pagamento]&gt;=$A55)*
  (desp[data.pagamento]&lt;EOMONTH($A55,0)+1)
)</f>
        <v>0</v>
      </c>
      <c r="CJ55" s="178" cm="1">
        <f t="array" ref="CJ55">SUMPRODUCT(
  IFERROR(--desp[valor],0)*
  (desp[nucleo]="UP ESTAÇÃO VILA SONIA")*
  (desp[categoria]=CJ$7)*
  (desp[data.pagamento]&gt;=$A55)*
  (desp[data.pagamento]&lt;EOMONTH($A55,0)+1)
)</f>
        <v>0</v>
      </c>
      <c r="CK55" s="178" cm="1">
        <f t="array" ref="CK55">SUMPRODUCT(
  IFERROR(--desp[valor],0)*
  (desp[nucleo]="UP ESTAÇÃO VILA SONIA")*
  (desp[categoria]=CK$7)*
  (desp[data.pagamento]&gt;=$A55)*
  (desp[data.pagamento]&lt;EOMONTH($A55,0)+1)
)</f>
        <v>0</v>
      </c>
      <c r="CL55" s="178" cm="1">
        <f t="array" ref="CL55">SUMPRODUCT(
  IFERROR(--desp[valor],0)*
  (desp[nucleo]="UP ESTAÇÃO VILA SONIA")*
  (desp[categoria]=CL$7)*
  (desp[data.pagamento]&gt;=$A55)*
  (desp[data.pagamento]&lt;EOMONTH($A55,0)+1)
)</f>
        <v>0</v>
      </c>
      <c r="CM55" s="179" cm="1">
        <f t="array" ref="CM55">SUMPRODUCT(
  IFERROR(--desp[valor],0)*
  (desp[nucleo]="UP ESTAÇÃO VILA SONIA")*
  (desp[categoria]=CM$7)*
  (desp[data.pagamento]&gt;=$A55)*
  (desp[data.pagamento]&lt;EOMONTH($A55,0)+1)
)</f>
        <v>0</v>
      </c>
      <c r="CN55" s="177">
        <f>COUNTIFS(
    estq[empresa], CN$6,
    estq[Data da venda / reserva], "&gt;=" &amp; $A55,
    estq[Data da venda / reserva], "&lt;"  &amp; EOMONTH($A55,0) + 1
)</f>
        <v>0</v>
      </c>
      <c r="CO55" s="178">
        <f ca="1">SUMIFS(rec.uni[2025-05-01],
INDIRECT("rec.uni[natureza]"),"pro.soluto",
INDIRECT("rec.uni[empresa]"),CO$6)</f>
        <v>0</v>
      </c>
      <c r="CP55" s="178">
        <f ca="1">SUMIFS(rec.uni[2025-05-01],
INDIRECT("rec.uni[natureza]"),"repasse.cef.obra",
INDIRECT("rec.uni[empresa]"),CP$6)</f>
        <v>0</v>
      </c>
      <c r="CQ55" s="178">
        <f ca="1">SUMIFS(rec.uni[2025-05-01],
INDIRECT("rec.uni[natureza]"),"repasse.cef.terreno",
INDIRECT("rec.uni[empresa]"),CQ$6)</f>
        <v>0</v>
      </c>
      <c r="CR55" s="178">
        <v>0</v>
      </c>
      <c r="CS55" s="178">
        <f ca="1">SUMIFS(rec.uni[2025-05-01],
INDIRECT("rec.uni[natureza]"),"taxa.extra",
INDIRECT("rec.uni[empresa]"),CS$6)</f>
        <v>0</v>
      </c>
      <c r="CT55" s="166"/>
      <c r="CU55" s="178" cm="1">
        <f t="array" ref="CU55">SUMPRODUCT(
  IFERROR(--desp[valor],0)*
  (desp[nucleo]="UP MOVE VILA SONIA")*
  (desp[categoria]=CU$7)*
  (desp[data.pagamento]&gt;=$A55)*
  (desp[data.pagamento]&lt;EOMONTH($A55,0)+1)
)</f>
        <v>0</v>
      </c>
      <c r="CV55" s="178" cm="1">
        <f t="array" ref="CV55">SUMPRODUCT(
  IFERROR(--desp[valor],0)*
  (desp[nucleo]="UP MOVE VILA SONIA")*
  (desp[categoria]=CV$7)*
  (desp[data.pagamento]&gt;=$A55)*
  (desp[data.pagamento]&lt;EOMONTH($A55,0)+1)
)</f>
        <v>0</v>
      </c>
      <c r="CW55" s="178" cm="1">
        <f t="array" ref="CW55">SUMPRODUCT(
  IFERROR(--desp[valor],0)*
  (desp[nucleo]="UP MOVE VILA SONIA")*
  (desp[categoria]=CW$7)*
  (desp[data.pagamento]&gt;=$A55)*
  (desp[data.pagamento]&lt;EOMONTH($A55,0)+1)
)</f>
        <v>0</v>
      </c>
      <c r="CX55" s="178" cm="1">
        <f t="array" ref="CX55">SUMPRODUCT(
  IFERROR(--desp[valor],0)*
  (desp[nucleo]="UP MOVE VILA SONIA")*
  (desp[categoria]=CX$7)*
  (desp[data.pagamento]&gt;=$A55)*
  (desp[data.pagamento]&lt;EOMONTH($A55,0)+1)
)</f>
        <v>0</v>
      </c>
      <c r="CY55" s="180" cm="1">
        <f t="array" ref="CY55">SUMPRODUCT(
  IFERROR(--desp[valor],0)*
  (desp[nucleo]="UP MOVE VILA SONIA")*
  (desp[categoria]=CY$7)*
  (desp[data.pagamento]&gt;=$A55)*
  (desp[data.pagamento]&lt;EOMONTH($A55,0)+1)
)</f>
        <v>0</v>
      </c>
    </row>
    <row r="56" spans="1:103" x14ac:dyDescent="0.25">
      <c r="A56" s="176">
        <v>45809</v>
      </c>
      <c r="B56" s="177">
        <f>COUNTIFS(
    estq[empresa], B$6,
    estq[Data da venda / reserva], "&gt;=" &amp; $A56,
    estq[Data da venda / reserva], "&lt;"  &amp; EOMONTH($A56,0) + 1
)</f>
        <v>0</v>
      </c>
      <c r="C56" s="178">
        <f ca="1">SUMIFS(rec.uni[2025-06-01],
INDIRECT("rec.uni[natureza]"),"pro.soluto",
INDIRECT("rec.uni[empresa]"),C$6)</f>
        <v>0</v>
      </c>
      <c r="D56" s="178">
        <f ca="1">SUMIFS(rec.uni[2025-06-01],
INDIRECT("rec.uni[natureza]"),"repasse.cef.obra",
INDIRECT("rec.uni[empresa]"),D$6)</f>
        <v>0</v>
      </c>
      <c r="E56" s="178">
        <f ca="1">SUMIFS(rec.uni[2025-06-01],
INDIRECT("rec.uni[natureza]"),"repasse.cef.terreno",
INDIRECT("rec.uni[empresa]"),E$6)</f>
        <v>0</v>
      </c>
      <c r="F56" s="178">
        <v>289304.8</v>
      </c>
      <c r="G56" s="178">
        <f ca="1">SUMIFS(rec.uni[2025-06-01],
INDIRECT("rec.uni[natureza]"),"taxa.extra",
INDIRECT("rec.uni[empresa]"),G$6)</f>
        <v>0</v>
      </c>
      <c r="H56" s="166"/>
      <c r="I56" s="178" cm="1">
        <f t="array" ref="I56">SUMPRODUCT(
  IFERROR(--desp[valor],0)*
  (desp[nucleo]="UP JARDIM PRUDENCIA")*
  (desp[categoria]=I$7)*
  (desp[data.pagamento]&gt;=$A56)*
  (desp[data.pagamento]&lt;EOMONTH($A56,0)+1)
)</f>
        <v>0</v>
      </c>
      <c r="J56" s="178" cm="1">
        <f t="array" ref="J56">SUMPRODUCT(
  IFERROR(--desp[valor],0)*
  (desp[nucleo]="UP JARDIM PRUDENCIA")*
  (desp[categoria]=J$7)*
  (desp[data.pagamento]&gt;=$A56)*
  (desp[data.pagamento]&lt;EOMONTH($A56,0)+1)
)</f>
        <v>0</v>
      </c>
      <c r="K56" s="178" cm="1">
        <f t="array" ref="K56">SUMPRODUCT(
  IFERROR(--desp[valor],0)*
  (desp[nucleo]="UP JARDIM PRUDENCIA")*
  (desp[categoria]=K$7)*
  (desp[data.pagamento]&gt;=$A56)*
  (desp[data.pagamento]&lt;EOMONTH($A56,0)+1)
)</f>
        <v>0</v>
      </c>
      <c r="L56" s="178" cm="1">
        <f t="array" ref="L56">SUMPRODUCT(
  IFERROR(--desp[valor],0)*
  (desp[nucleo]="UP JARDIM PRUDENCIA")*
  (desp[categoria]=L$7)*
  (desp[data.pagamento]&gt;=$A56)*
  (desp[data.pagamento]&lt;EOMONTH($A56,0)+1)
)</f>
        <v>0</v>
      </c>
      <c r="M56" s="179" cm="1">
        <f t="array" ref="M56">SUMPRODUCT(
  IFERROR(--desp[valor],0)*
  (desp[nucleo]="UP JARDIM PRUDENCIA")*
  (desp[categoria]=M$7)*
  (desp[data.pagamento]&gt;=$A56)*
  (desp[data.pagamento]&lt;EOMONTH($A56,0)+1)
)</f>
        <v>0</v>
      </c>
      <c r="N56" s="177">
        <f>COUNTIFS(
    estq[empresa], N$6,
    estq[Data da venda / reserva], "&gt;=" &amp; $A56,
    estq[Data da venda / reserva], "&lt;"  &amp; EOMONTH($A56,0) + 1
)</f>
        <v>0</v>
      </c>
      <c r="O56" s="178">
        <f ca="1">SUMIFS(rec.uni[2025-06-01],
INDIRECT("rec.uni[natureza]"),"pro.soluto",
INDIRECT("rec.uni[empresa]"),O$6)</f>
        <v>0</v>
      </c>
      <c r="P56" s="178">
        <f ca="1">SUMIFS(rec.uni[2025-06-01],
INDIRECT("rec.uni[natureza]"),"repasse.cef.obra",
INDIRECT("rec.uni[empresa]"),P$6)</f>
        <v>0</v>
      </c>
      <c r="Q56" s="178">
        <f ca="1">SUMIFS(rec.uni[2025-06-01],
INDIRECT("rec.uni[natureza]"),"repasse.cef.terreno",
INDIRECT("rec.uni[empresa]"),Q$6)</f>
        <v>0</v>
      </c>
      <c r="R56" s="178">
        <v>0</v>
      </c>
      <c r="S56" s="178">
        <f ca="1">SUMIFS(rec.uni[2025-06-01],
INDIRECT("rec.uni[natureza]"),"taxa.extra",
INDIRECT("rec.uni[empresa]"),S$6)</f>
        <v>0</v>
      </c>
      <c r="T56" s="166"/>
      <c r="U56" s="178" cm="1">
        <f t="array" ref="U56">SUMPRODUCT(
  IFERROR(--desp[valor],0)*
  (desp[nucleo]="UP VILA SONIA")*
  (desp[categoria]=U$7)*
  (desp[data.pagamento]&gt;=$A56)*
  (desp[data.pagamento]&lt;EOMONTH($A56,0)+1)
)</f>
        <v>0</v>
      </c>
      <c r="V56" s="178" cm="1">
        <f t="array" ref="V56">SUMPRODUCT(
  IFERROR(--desp[valor],0)*
  (desp[nucleo]="UP VILA SONIA")*
  (desp[categoria]=V$7)*
  (desp[data.pagamento]&gt;=$A56)*
  (desp[data.pagamento]&lt;EOMONTH($A56,0)+1)
)</f>
        <v>0</v>
      </c>
      <c r="W56" s="178" cm="1">
        <f t="array" ref="W56">SUMPRODUCT(
  IFERROR(--desp[valor],0)*
  (desp[nucleo]="UP VILA SONIA")*
  (desp[categoria]=W$7)*
  (desp[data.pagamento]&gt;=$A56)*
  (desp[data.pagamento]&lt;EOMONTH($A56,0)+1)
)</f>
        <v>0</v>
      </c>
      <c r="X56" s="178" cm="1">
        <f t="array" ref="X56">SUMPRODUCT(
  IFERROR(--desp[valor],0)*
  (desp[nucleo]="UP VILA SONIA")*
  (desp[categoria]=X$7)*
  (desp[data.pagamento]&gt;=$A56)*
  (desp[data.pagamento]&lt;EOMONTH($A56,0)+1)
)</f>
        <v>0</v>
      </c>
      <c r="Y56" s="179" cm="1">
        <f t="array" ref="Y56">SUMPRODUCT(
  IFERROR(--desp[valor],0)*
  (desp[nucleo]="UP VILA SONIA")*
  (desp[categoria]=Y$7)*
  (desp[data.pagamento]&gt;=$A56)*
  (desp[data.pagamento]&lt;EOMONTH($A56,0)+1)
)</f>
        <v>0</v>
      </c>
      <c r="Z56" s="177">
        <f>COUNTIFS(
    estq[empresa], Z$6,
    estq[Data da venda / reserva], "&gt;=" &amp; $A56,
    estq[Data da venda / reserva], "&lt;"  &amp; EOMONTH($A56,0) + 1
)</f>
        <v>0</v>
      </c>
      <c r="AA56" s="178">
        <f ca="1">SUMIFS(rec.uni[2025-06-01],
INDIRECT("rec.uni[natureza]"),"pro.soluto",
INDIRECT("rec.uni[empresa]"),AA$6)</f>
        <v>0</v>
      </c>
      <c r="AB56" s="178">
        <f ca="1">SUMIFS(rec.uni[2025-06-01],
INDIRECT("rec.uni[natureza]"),"pro.soluto",
INDIRECT("rec.uni[empresa]"),AB$6)</f>
        <v>0</v>
      </c>
      <c r="AC56" s="178">
        <f ca="1">SUMIFS(rec.uni[2025-06-01],
INDIRECT("rec.uni[natureza]"),"taxa.extra",
INDIRECT("rec.uni[empresa]"),AC$6)</f>
        <v>0</v>
      </c>
      <c r="AD56" s="166"/>
      <c r="AE56" s="178" cm="1">
        <f t="array" ref="AE56">SUMPRODUCT(
  IFERROR(--desp[valor],0)*
  (desp[nucleo]="UP CAMPO BELO")*
  (desp[categoria]=AE$7)*
  (desp[data.pagamento]&gt;=$A56)*
  (desp[data.pagamento]&lt;EOMONTH($A56,0)+1)
)</f>
        <v>0</v>
      </c>
      <c r="AF56" s="178" cm="1">
        <f t="array" ref="AF56">SUMPRODUCT(
  IFERROR(--desp[valor],0)*
  (desp[nucleo]="UP CAMPO BELO")*
  (desp[categoria]=AF$7)*
  (desp[data.pagamento]&gt;=$A56)*
  (desp[data.pagamento]&lt;EOMONTH($A56,0)+1)
)</f>
        <v>0</v>
      </c>
      <c r="AG56" s="178" cm="1">
        <f t="array" ref="AG56">SUMPRODUCT(
  IFERROR(--desp[valor],0)*
  (desp[nucleo]="UP CAMPO BELO")*
  (desp[categoria]=AG$7)*
  (desp[data.pagamento]&gt;=$A56)*
  (desp[data.pagamento]&lt;EOMONTH($A56,0)+1)
)</f>
        <v>0</v>
      </c>
      <c r="AH56" s="178" cm="1">
        <f t="array" ref="AH56">SUMPRODUCT(
  IFERROR(--desp[valor],0)*
  (desp[nucleo]="UP CAMPO BELO")*
  (desp[categoria]=AH$7)*
  (desp[data.pagamento]&gt;=$A56)*
  (desp[data.pagamento]&lt;EOMONTH($A56,0)+1)
)</f>
        <v>0</v>
      </c>
      <c r="AI56" s="179" cm="1">
        <f t="array" ref="AI56">SUMPRODUCT(
  IFERROR(--desp[valor],0)*
  (desp[nucleo]="UP CAMPO BELO")*
  (desp[categoria]=AI$7)*
  (desp[data.pagamento]&gt;=$A56)*
  (desp[data.pagamento]&lt;EOMONTH($A56,0)+1)
)</f>
        <v>0</v>
      </c>
      <c r="AJ56" s="177">
        <f>COUNTIFS(
    estq[empresa], AJ$6,
    estq[Data da venda / reserva], "&gt;=" &amp; $A56,
    estq[Data da venda / reserva], "&lt;"  &amp; EOMONTH($A56,0) + 1
)</f>
        <v>0</v>
      </c>
      <c r="AK56" s="178">
        <f ca="1">SUMIFS(rec.uni[2025-06-01],
INDIRECT("rec.uni[natureza]"),"pro.soluto",
INDIRECT("rec.uni[empresa]"),AK$6)</f>
        <v>0</v>
      </c>
      <c r="AL56" s="178">
        <f ca="1">SUMIFS(rec.uni[2025-06-01],
INDIRECT("rec.uni[natureza]"),"repasse.cef.obra",
INDIRECT("rec.uni[empresa]"),AL$6)</f>
        <v>0</v>
      </c>
      <c r="AM56" s="178">
        <f ca="1">SUMIFS(rec.uni[2025-06-01],
INDIRECT("rec.uni[natureza]"),"repasse.cef.terreno",
INDIRECT("rec.uni[empresa]"),AM$6)</f>
        <v>0</v>
      </c>
      <c r="AN56" s="178">
        <v>0</v>
      </c>
      <c r="AO56" s="178">
        <f ca="1">SUMIFS(rec.uni[2025-06-01],
INDIRECT("rec.uni[natureza]"),"taxa.extra",
INDIRECT("rec.uni[empresa]"),AO$6)</f>
        <v>0</v>
      </c>
      <c r="AP56" s="166"/>
      <c r="AQ56" s="178" cm="1">
        <f t="array" ref="AQ56">SUMPRODUCT(
  IFERROR(--desp[valor],0)*
  (desp[nucleo]="UP SELECT VILA SONIA")*
  (desp[categoria]=AQ$7)*
  (desp[data.pagamento]&gt;=$A56)*
  (desp[data.pagamento]&lt;EOMONTH($A56,0)+1)
)</f>
        <v>0</v>
      </c>
      <c r="AR56" s="178" cm="1">
        <f t="array" ref="AR56">SUMPRODUCT(
  IFERROR(--desp[valor],0)*
  (desp[nucleo]="UP SELECT VILA SONIA")*
  (desp[categoria]=AR$7)*
  (desp[data.pagamento]&gt;=$A56)*
  (desp[data.pagamento]&lt;EOMONTH($A56,0)+1)
)</f>
        <v>0</v>
      </c>
      <c r="AS56" s="178" cm="1">
        <f t="array" ref="AS56">SUMPRODUCT(
  IFERROR(--desp[valor],0)*
  (desp[nucleo]="UP SELECT VILA SONIA")*
  (desp[categoria]=AS$7)*
  (desp[data.pagamento]&gt;=$A56)*
  (desp[data.pagamento]&lt;EOMONTH($A56,0)+1)
)</f>
        <v>0</v>
      </c>
      <c r="AT56" s="178" cm="1">
        <f t="array" ref="AT56">SUMPRODUCT(
  IFERROR(--desp[valor],0)*
  (desp[nucleo]="UP SELECT VILA SONIA")*
  (desp[categoria]=AT$7)*
  (desp[data.pagamento]&gt;=$A56)*
  (desp[data.pagamento]&lt;EOMONTH($A56,0)+1)
)</f>
        <v>0</v>
      </c>
      <c r="AU56" s="179" cm="1">
        <f t="array" ref="AU56">SUMPRODUCT(
  IFERROR(--desp[valor],0)*
  (desp[nucleo]="UP SELECT VILA SONIA")*
  (desp[categoria]=AU$7)*
  (desp[data.pagamento]&gt;=$A56)*
  (desp[data.pagamento]&lt;EOMONTH($A56,0)+1)
)</f>
        <v>0</v>
      </c>
      <c r="AV56" s="177">
        <f>COUNTIFS(
    estq[empresa], AV$6,
    estq[Data da venda / reserva], "&gt;=" &amp; $A56,
    estq[Data da venda / reserva], "&lt;"  &amp; EOMONTH($A56,0) + 1
)</f>
        <v>0</v>
      </c>
      <c r="AW56" s="178">
        <f ca="1">SUMIFS(rec.uni[2025-06-01],
INDIRECT("rec.uni[natureza]"),"pro.soluto",
INDIRECT("rec.uni[empresa]"),AW$6)</f>
        <v>0</v>
      </c>
      <c r="AX56" s="178">
        <f ca="1">SUMIFS(rec.uni[2025-06-01],
INDIRECT("rec.uni[natureza]"),"repasse.cef.obra",
INDIRECT("rec.uni[empresa]"),AX$6)</f>
        <v>0</v>
      </c>
      <c r="AY56" s="178">
        <f ca="1">SUMIFS(rec.uni[2025-06-01],
INDIRECT("rec.uni[natureza]"),"repasse.cef.terreno",
INDIRECT("rec.uni[empresa]"),AY$6)</f>
        <v>0</v>
      </c>
      <c r="AZ56" s="178">
        <v>0</v>
      </c>
      <c r="BA56" s="178">
        <f ca="1">SUMIFS(rec.uni[2025-06-01],
INDIRECT("rec.uni[natureza]"),"taxa.extra",
INDIRECT("rec.uni[empresa]"),BA$6)</f>
        <v>0</v>
      </c>
      <c r="BB56" s="166"/>
      <c r="BC56" s="178" cm="1">
        <f t="array" ref="BC56">SUMPRODUCT(
  IFERROR(--desp[valor],0)*
  (desp[nucleo]="UP ESTAÇÃO SÃO LUCAS")*
  (desp[categoria]=BC$7)*
  (desp[data.pagamento]&gt;=$A56)*
  (desp[data.pagamento]&lt;EOMONTH($A56,0)+1)
)</f>
        <v>0</v>
      </c>
      <c r="BD56" s="178" cm="1">
        <f t="array" ref="BD56">SUMPRODUCT(
  IFERROR(--desp[valor],0)*
  (desp[nucleo]="UP ESTAÇÃO SÃO LUCAS")*
  (desp[categoria]=BD$7)*
  (desp[data.pagamento]&gt;=$A56)*
  (desp[data.pagamento]&lt;EOMONTH($A56,0)+1)
)</f>
        <v>0</v>
      </c>
      <c r="BE56" s="178" cm="1">
        <f t="array" ref="BE56">SUMPRODUCT(
  IFERROR(--desp[valor],0)*
  (desp[nucleo]="UP ESTAÇÃO SÃO LUCAS")*
  (desp[categoria]=BE$7)*
  (desp[data.pagamento]&gt;=$A56)*
  (desp[data.pagamento]&lt;EOMONTH($A56,0)+1)
)</f>
        <v>0</v>
      </c>
      <c r="BF56" s="178" cm="1">
        <f t="array" ref="BF56">SUMPRODUCT(
  IFERROR(--desp[valor],0)*
  (desp[nucleo]="UP ESTAÇÃO SÃO LUCAS")*
  (desp[categoria]=BF$7)*
  (desp[data.pagamento]&gt;=$A56)*
  (desp[data.pagamento]&lt;EOMONTH($A56,0)+1)
)</f>
        <v>0</v>
      </c>
      <c r="BG56" s="179" cm="1">
        <f t="array" ref="BG56">SUMPRODUCT(
  IFERROR(--desp[valor],0)*
  (desp[nucleo]="UP ESTAÇÃO SÃO LUCAS")*
  (desp[categoria]=BG$7)*
  (desp[data.pagamento]&gt;=$A56)*
  (desp[data.pagamento]&lt;EOMONTH($A56,0)+1)
)</f>
        <v>0</v>
      </c>
      <c r="BH56" s="177">
        <f>COUNTIFS(
    estq[empresa], BH$6,
    estq[Data da venda / reserva], "&gt;=" &amp; $A56,
    estq[Data da venda / reserva], "&lt;"  &amp; EOMONTH($A56,0) + 1
)</f>
        <v>0</v>
      </c>
      <c r="BI56" s="178">
        <f ca="1">SUMIFS(rec.uni[2025-06-01],
INDIRECT("rec.uni[natureza]"),"pro.soluto",
INDIRECT("rec.uni[empresa]"),BI$6)</f>
        <v>0</v>
      </c>
      <c r="BJ56" s="166">
        <f>8.13*94736</f>
        <v>770203.68</v>
      </c>
      <c r="BK56" s="178">
        <f ca="1">SUMIFS(rec.uni[2025-06-01],
INDIRECT("rec.uni[natureza]"),"taxa.extra",
INDIRECT("rec.uni[empresa]"),BK$6)</f>
        <v>0</v>
      </c>
      <c r="BL56" s="166"/>
      <c r="BM56" s="178" cm="1">
        <f t="array" ref="BM56">SUMPRODUCT(
  IFERROR(--desp[valor],0)*
  (desp[nucleo]="UP POMPEIA")*
  (desp[categoria]=BM$7)*
  (desp[data.pagamento]&gt;=$A56)*
  (desp[data.pagamento]&lt;EOMONTH($A56,0)+1)
)</f>
        <v>0</v>
      </c>
      <c r="BN56" s="178" cm="1">
        <f t="array" ref="BN56">SUMPRODUCT(
  IFERROR(--desp[valor],0)*
  (desp[nucleo]="UP POMPEIA")*
  (desp[categoria]=BN$7)*
  (desp[data.pagamento]&gt;=$A56)*
  (desp[data.pagamento]&lt;EOMONTH($A56,0)+1)
)</f>
        <v>0</v>
      </c>
      <c r="BO56" s="178" cm="1">
        <f t="array" ref="BO56">SUMPRODUCT(
  IFERROR(--desp[valor],0)*
  (desp[nucleo]="UP POMPEIA")*
  (desp[categoria]=BO$7)*
  (desp[data.pagamento]&gt;=$A56)*
  (desp[data.pagamento]&lt;EOMONTH($A56,0)+1)
)</f>
        <v>0</v>
      </c>
      <c r="BP56" s="178" cm="1">
        <f t="array" ref="BP56">SUMPRODUCT(
  IFERROR(--desp[valor],0)*
  (desp[nucleo]="UP POMPEIA")*
  (desp[categoria]=BP$7)*
  (desp[data.pagamento]&gt;=$A56)*
  (desp[data.pagamento]&lt;EOMONTH($A56,0)+1)
)</f>
        <v>0</v>
      </c>
      <c r="BQ56" s="179" cm="1">
        <f t="array" ref="BQ56">SUMPRODUCT(
  IFERROR(--desp[valor],0)*
  (desp[nucleo]="UP POMPEIA")*
  (desp[categoria]=BQ$7)*
  (desp[data.pagamento]&gt;=$A56)*
  (desp[data.pagamento]&lt;EOMONTH($A56,0)+1)
)</f>
        <v>0</v>
      </c>
      <c r="BR56" s="177">
        <f>COUNTIFS(
    estq[empresa], BR$6,
    estq[Data da venda / reserva], "&gt;=" &amp; $A56,
    estq[Data da venda / reserva], "&lt;"  &amp; EOMONTH($A56,0) + 1
)</f>
        <v>0</v>
      </c>
      <c r="BS56" s="178">
        <f ca="1">SUMIFS(rec.uni[2025-06-01],
INDIRECT("rec.uni[natureza]"),"pro.soluto",
INDIRECT("rec.uni[empresa]"),BS$6)</f>
        <v>0</v>
      </c>
      <c r="BT56" s="178">
        <f ca="1">SUMIFS(rec.uni[2025-06-01],
INDIRECT("rec.uni[natureza]"),"pro.soluto",
INDIRECT("rec.uni[empresa]"),BT$6)</f>
        <v>0</v>
      </c>
      <c r="BU56" s="178">
        <f ca="1">SUMIFS(rec.uni[2025-06-01],
INDIRECT("rec.uni[natureza]"),"taxa.extra",
INDIRECT("rec.uni[empresa]"),BU$6)</f>
        <v>0</v>
      </c>
      <c r="BV56" s="166"/>
      <c r="BW56" s="178" cm="1">
        <f t="array" ref="BW56">SUMPRODUCT(
  IFERROR(--desp[valor],0)*
  (desp[nucleo]="UP SAUDE")*
  (desp[categoria]=BW$7)*
  (desp[data.pagamento]&gt;=$A56)*
  (desp[data.pagamento]&lt;EOMONTH($A56,0)+1)
)</f>
        <v>0</v>
      </c>
      <c r="BX56" s="178" cm="1">
        <f t="array" ref="BX56">SUMPRODUCT(
  IFERROR(--desp[valor],0)*
  (desp[nucleo]="UP SAUDE")*
  (desp[categoria]=BX$7)*
  (desp[data.pagamento]&gt;=$A56)*
  (desp[data.pagamento]&lt;EOMONTH($A56,0)+1)
)</f>
        <v>0</v>
      </c>
      <c r="BY56" s="178" cm="1">
        <f t="array" ref="BY56">SUMPRODUCT(
  IFERROR(--desp[valor],0)*
  (desp[nucleo]="UP SAUDE")*
  (desp[categoria]=BY$7)*
  (desp[data.pagamento]&gt;=$A56)*
  (desp[data.pagamento]&lt;EOMONTH($A56,0)+1)
)</f>
        <v>0</v>
      </c>
      <c r="BZ56" s="178" cm="1">
        <f t="array" ref="BZ56">SUMPRODUCT(
  IFERROR(--desp[valor],0)*
  (desp[nucleo]="UP SAUDE")*
  (desp[categoria]=BZ$7)*
  (desp[data.pagamento]&gt;=$A56)*
  (desp[data.pagamento]&lt;EOMONTH($A56,0)+1)
)</f>
        <v>0</v>
      </c>
      <c r="CA56" s="179" cm="1">
        <f t="array" ref="CA56">SUMPRODUCT(
  IFERROR(--desp[valor],0)*
  (desp[nucleo]="UP SAUDE")*
  (desp[categoria]=CA$7)*
  (desp[data.pagamento]&gt;=$A56)*
  (desp[data.pagamento]&lt;EOMONTH($A56,0)+1)
)</f>
        <v>0</v>
      </c>
      <c r="CB56" s="177">
        <f>COUNTIFS(
    estq[empresa], CB$6,
    estq[Data da venda / reserva], "&gt;=" &amp; $A56,
    estq[Data da venda / reserva], "&lt;"  &amp; EOMONTH($A56,0) + 1
)</f>
        <v>0</v>
      </c>
      <c r="CC56" s="178">
        <f ca="1">SUMIFS(rec.uni[2025-06-01],
INDIRECT("rec.uni[natureza]"),"pro.soluto",
INDIRECT("rec.uni[empresa]"),CC$6)</f>
        <v>0</v>
      </c>
      <c r="CD56" s="178">
        <f ca="1">SUMIFS(rec.uni[2025-06-01],
INDIRECT("rec.uni[natureza]"),"repasse.cef.obra",
INDIRECT("rec.uni[empresa]"),CD$6)</f>
        <v>0</v>
      </c>
      <c r="CE56" s="178">
        <f ca="1">SUMIFS(rec.uni[2025-06-01],
INDIRECT("rec.uni[natureza]"),"repasse.cef.terreno",
INDIRECT("rec.uni[empresa]"),CE$6)</f>
        <v>0</v>
      </c>
      <c r="CF56" s="178">
        <v>0</v>
      </c>
      <c r="CG56" s="178">
        <f ca="1">SUMIFS(rec.uni[2025-06-01],
INDIRECT("rec.uni[natureza]"),"taxa.extra",
INDIRECT("rec.uni[empresa]"),CG$6)</f>
        <v>0</v>
      </c>
      <c r="CH56" s="166"/>
      <c r="CI56" s="178" cm="1">
        <f t="array" ref="CI56">SUMPRODUCT(
  IFERROR(--desp[valor],0)*
  (desp[nucleo]="UP ESTAÇÃO VILA SONIA")*
  (desp[categoria]=CI$7)*
  (desp[data.pagamento]&gt;=$A56)*
  (desp[data.pagamento]&lt;EOMONTH($A56,0)+1)
)</f>
        <v>0</v>
      </c>
      <c r="CJ56" s="178" cm="1">
        <f t="array" ref="CJ56">SUMPRODUCT(
  IFERROR(--desp[valor],0)*
  (desp[nucleo]="UP ESTAÇÃO VILA SONIA")*
  (desp[categoria]=CJ$7)*
  (desp[data.pagamento]&gt;=$A56)*
  (desp[data.pagamento]&lt;EOMONTH($A56,0)+1)
)</f>
        <v>0</v>
      </c>
      <c r="CK56" s="178" cm="1">
        <f t="array" ref="CK56">SUMPRODUCT(
  IFERROR(--desp[valor],0)*
  (desp[nucleo]="UP ESTAÇÃO VILA SONIA")*
  (desp[categoria]=CK$7)*
  (desp[data.pagamento]&gt;=$A56)*
  (desp[data.pagamento]&lt;EOMONTH($A56,0)+1)
)</f>
        <v>0</v>
      </c>
      <c r="CL56" s="178" cm="1">
        <f t="array" ref="CL56">SUMPRODUCT(
  IFERROR(--desp[valor],0)*
  (desp[nucleo]="UP ESTAÇÃO VILA SONIA")*
  (desp[categoria]=CL$7)*
  (desp[data.pagamento]&gt;=$A56)*
  (desp[data.pagamento]&lt;EOMONTH($A56,0)+1)
)</f>
        <v>0</v>
      </c>
      <c r="CM56" s="179" cm="1">
        <f t="array" ref="CM56">SUMPRODUCT(
  IFERROR(--desp[valor],0)*
  (desp[nucleo]="UP ESTAÇÃO VILA SONIA")*
  (desp[categoria]=CM$7)*
  (desp[data.pagamento]&gt;=$A56)*
  (desp[data.pagamento]&lt;EOMONTH($A56,0)+1)
)</f>
        <v>0</v>
      </c>
      <c r="CN56" s="177">
        <f>COUNTIFS(
    estq[empresa], CN$6,
    estq[Data da venda / reserva], "&gt;=" &amp; $A56,
    estq[Data da venda / reserva], "&lt;"  &amp; EOMONTH($A56,0) + 1
)</f>
        <v>0</v>
      </c>
      <c r="CO56" s="178">
        <f ca="1">SUMIFS(rec.uni[2025-06-01],
INDIRECT("rec.uni[natureza]"),"pro.soluto",
INDIRECT("rec.uni[empresa]"),CO$6)</f>
        <v>0</v>
      </c>
      <c r="CP56" s="178">
        <f ca="1">SUMIFS(rec.uni[2025-06-01],
INDIRECT("rec.uni[natureza]"),"repasse.cef.obra",
INDIRECT("rec.uni[empresa]"),CP$6)</f>
        <v>0</v>
      </c>
      <c r="CQ56" s="178">
        <f ca="1">SUMIFS(rec.uni[2025-06-01],
INDIRECT("rec.uni[natureza]"),"repasse.cef.terreno",
INDIRECT("rec.uni[empresa]"),CQ$6)</f>
        <v>0</v>
      </c>
      <c r="CR56" s="178">
        <v>0</v>
      </c>
      <c r="CS56" s="178">
        <f ca="1">SUMIFS(rec.uni[2025-06-01],
INDIRECT("rec.uni[natureza]"),"taxa.extra",
INDIRECT("rec.uni[empresa]"),CS$6)</f>
        <v>0</v>
      </c>
      <c r="CT56" s="166"/>
      <c r="CU56" s="178" cm="1">
        <f t="array" ref="CU56">SUMPRODUCT(
  IFERROR(--desp[valor],0)*
  (desp[nucleo]="UP MOVE VILA SONIA")*
  (desp[categoria]=CU$7)*
  (desp[data.pagamento]&gt;=$A56)*
  (desp[data.pagamento]&lt;EOMONTH($A56,0)+1)
)</f>
        <v>0</v>
      </c>
      <c r="CV56" s="178" cm="1">
        <f t="array" ref="CV56">SUMPRODUCT(
  IFERROR(--desp[valor],0)*
  (desp[nucleo]="UP MOVE VILA SONIA")*
  (desp[categoria]=CV$7)*
  (desp[data.pagamento]&gt;=$A56)*
  (desp[data.pagamento]&lt;EOMONTH($A56,0)+1)
)</f>
        <v>0</v>
      </c>
      <c r="CW56" s="178" cm="1">
        <f t="array" ref="CW56">SUMPRODUCT(
  IFERROR(--desp[valor],0)*
  (desp[nucleo]="UP MOVE VILA SONIA")*
  (desp[categoria]=CW$7)*
  (desp[data.pagamento]&gt;=$A56)*
  (desp[data.pagamento]&lt;EOMONTH($A56,0)+1)
)</f>
        <v>0</v>
      </c>
      <c r="CX56" s="178" cm="1">
        <f t="array" ref="CX56">SUMPRODUCT(
  IFERROR(--desp[valor],0)*
  (desp[nucleo]="UP MOVE VILA SONIA")*
  (desp[categoria]=CX$7)*
  (desp[data.pagamento]&gt;=$A56)*
  (desp[data.pagamento]&lt;EOMONTH($A56,0)+1)
)</f>
        <v>0</v>
      </c>
      <c r="CY56" s="180" cm="1">
        <f t="array" ref="CY56">SUMPRODUCT(
  IFERROR(--desp[valor],0)*
  (desp[nucleo]="UP MOVE VILA SONIA")*
  (desp[categoria]=CY$7)*
  (desp[data.pagamento]&gt;=$A56)*
  (desp[data.pagamento]&lt;EOMONTH($A56,0)+1)
)</f>
        <v>0</v>
      </c>
    </row>
    <row r="57" spans="1:103" x14ac:dyDescent="0.25">
      <c r="A57" s="176">
        <v>45839</v>
      </c>
      <c r="B57" s="177">
        <f>COUNTIFS(
    estq[empresa], B$6,
    estq[Data da venda / reserva], "&gt;=" &amp; $A57,
    estq[Data da venda / reserva], "&lt;"  &amp; EOMONTH($A57,0) + 1
)</f>
        <v>0</v>
      </c>
      <c r="C57" s="178">
        <f ca="1">SUMIFS(rec.uni[2025-07-01],
INDIRECT("rec.uni[natureza]"),"pro.soluto",
INDIRECT("rec.uni[empresa]"),C$6)</f>
        <v>0</v>
      </c>
      <c r="D57" s="178">
        <f ca="1">SUMIFS(rec.uni[2025-07-01],
INDIRECT("rec.uni[natureza]"),"repasse.cef.obra",
INDIRECT("rec.uni[empresa]"),D$6)</f>
        <v>0</v>
      </c>
      <c r="E57" s="178">
        <f ca="1">SUMIFS(rec.uni[2025-07-01],
INDIRECT("rec.uni[natureza]"),"repasse.cef.terreno",
INDIRECT("rec.uni[empresa]"),E$6)</f>
        <v>0</v>
      </c>
      <c r="F57" s="178">
        <v>171602.91</v>
      </c>
      <c r="G57" s="178">
        <f ca="1">SUMIFS(rec.uni[2025-07-01],
INDIRECT("rec.uni[natureza]"),"taxa.extra",
INDIRECT("rec.uni[empresa]"),G$6)</f>
        <v>0</v>
      </c>
      <c r="H57" s="166"/>
      <c r="I57" s="178" cm="1">
        <f t="array" ref="I57">SUMPRODUCT(
  IFERROR(--desp[valor],0)*
  (desp[nucleo]="UP JARDIM PRUDENCIA")*
  (desp[categoria]=I$7)*
  (desp[data.pagamento]&gt;=$A57)*
  (desp[data.pagamento]&lt;EOMONTH($A57,0)+1)
)</f>
        <v>0</v>
      </c>
      <c r="J57" s="178" cm="1">
        <f t="array" ref="J57">SUMPRODUCT(
  IFERROR(--desp[valor],0)*
  (desp[nucleo]="UP JARDIM PRUDENCIA")*
  (desp[categoria]=J$7)*
  (desp[data.pagamento]&gt;=$A57)*
  (desp[data.pagamento]&lt;EOMONTH($A57,0)+1)
)</f>
        <v>0</v>
      </c>
      <c r="K57" s="178" cm="1">
        <f t="array" ref="K57">SUMPRODUCT(
  IFERROR(--desp[valor],0)*
  (desp[nucleo]="UP JARDIM PRUDENCIA")*
  (desp[categoria]=K$7)*
  (desp[data.pagamento]&gt;=$A57)*
  (desp[data.pagamento]&lt;EOMONTH($A57,0)+1)
)</f>
        <v>0</v>
      </c>
      <c r="L57" s="178" cm="1">
        <f t="array" ref="L57">SUMPRODUCT(
  IFERROR(--desp[valor],0)*
  (desp[nucleo]="UP JARDIM PRUDENCIA")*
  (desp[categoria]=L$7)*
  (desp[data.pagamento]&gt;=$A57)*
  (desp[data.pagamento]&lt;EOMONTH($A57,0)+1)
)</f>
        <v>0</v>
      </c>
      <c r="M57" s="179" cm="1">
        <f t="array" ref="M57">SUMPRODUCT(
  IFERROR(--desp[valor],0)*
  (desp[nucleo]="UP JARDIM PRUDENCIA")*
  (desp[categoria]=M$7)*
  (desp[data.pagamento]&gt;=$A57)*
  (desp[data.pagamento]&lt;EOMONTH($A57,0)+1)
)</f>
        <v>0</v>
      </c>
      <c r="N57" s="177">
        <f>COUNTIFS(
    estq[empresa], N$6,
    estq[Data da venda / reserva], "&gt;=" &amp; $A57,
    estq[Data da venda / reserva], "&lt;"  &amp; EOMONTH($A57,0) + 1
)</f>
        <v>0</v>
      </c>
      <c r="O57" s="178">
        <f ca="1">SUMIFS(rec.uni[2025-07-01],
INDIRECT("rec.uni[natureza]"),"pro.soluto",
INDIRECT("rec.uni[empresa]"),O$6)</f>
        <v>0</v>
      </c>
      <c r="P57" s="178">
        <f ca="1">SUMIFS(rec.uni[2025-07-01],
INDIRECT("rec.uni[natureza]"),"repasse.cef.obra",
INDIRECT("rec.uni[empresa]"),P$6)</f>
        <v>0</v>
      </c>
      <c r="Q57" s="178">
        <f ca="1">SUMIFS(rec.uni[2025-07-01],
INDIRECT("rec.uni[natureza]"),"repasse.cef.terreno",
INDIRECT("rec.uni[empresa]"),Q$6)</f>
        <v>0</v>
      </c>
      <c r="R57" s="178">
        <v>0</v>
      </c>
      <c r="S57" s="178">
        <f ca="1">SUMIFS(rec.uni[2025-07-01],
INDIRECT("rec.uni[natureza]"),"taxa.extra",
INDIRECT("rec.uni[empresa]"),S$6)</f>
        <v>0</v>
      </c>
      <c r="T57" s="166"/>
      <c r="U57" s="178" cm="1">
        <f t="array" ref="U57">SUMPRODUCT(
  IFERROR(--desp[valor],0)*
  (desp[nucleo]="UP VILA SONIA")*
  (desp[categoria]=U$7)*
  (desp[data.pagamento]&gt;=$A57)*
  (desp[data.pagamento]&lt;EOMONTH($A57,0)+1)
)</f>
        <v>0</v>
      </c>
      <c r="V57" s="178" cm="1">
        <f t="array" ref="V57">SUMPRODUCT(
  IFERROR(--desp[valor],0)*
  (desp[nucleo]="UP VILA SONIA")*
  (desp[categoria]=V$7)*
  (desp[data.pagamento]&gt;=$A57)*
  (desp[data.pagamento]&lt;EOMONTH($A57,0)+1)
)</f>
        <v>0</v>
      </c>
      <c r="W57" s="178" cm="1">
        <f t="array" ref="W57">SUMPRODUCT(
  IFERROR(--desp[valor],0)*
  (desp[nucleo]="UP VILA SONIA")*
  (desp[categoria]=W$7)*
  (desp[data.pagamento]&gt;=$A57)*
  (desp[data.pagamento]&lt;EOMONTH($A57,0)+1)
)</f>
        <v>0</v>
      </c>
      <c r="X57" s="178" cm="1">
        <f t="array" ref="X57">SUMPRODUCT(
  IFERROR(--desp[valor],0)*
  (desp[nucleo]="UP VILA SONIA")*
  (desp[categoria]=X$7)*
  (desp[data.pagamento]&gt;=$A57)*
  (desp[data.pagamento]&lt;EOMONTH($A57,0)+1)
)</f>
        <v>0</v>
      </c>
      <c r="Y57" s="179" cm="1">
        <f t="array" ref="Y57">SUMPRODUCT(
  IFERROR(--desp[valor],0)*
  (desp[nucleo]="UP VILA SONIA")*
  (desp[categoria]=Y$7)*
  (desp[data.pagamento]&gt;=$A57)*
  (desp[data.pagamento]&lt;EOMONTH($A57,0)+1)
)</f>
        <v>0</v>
      </c>
      <c r="Z57" s="177">
        <f>COUNTIFS(
    estq[empresa], Z$6,
    estq[Data da venda / reserva], "&gt;=" &amp; $A57,
    estq[Data da venda / reserva], "&lt;"  &amp; EOMONTH($A57,0) + 1
)</f>
        <v>0</v>
      </c>
      <c r="AA57" s="178">
        <f ca="1">SUMIFS(rec.uni[2025-07-01],
INDIRECT("rec.uni[natureza]"),"pro.soluto",
INDIRECT("rec.uni[empresa]"),AA$6)</f>
        <v>0</v>
      </c>
      <c r="AB57" s="178">
        <f ca="1">SUMIFS(rec.uni[2025-07-01],
INDIRECT("rec.uni[natureza]"),"pro.soluto",
INDIRECT("rec.uni[empresa]"),AB$6)</f>
        <v>0</v>
      </c>
      <c r="AC57" s="178">
        <f ca="1">SUMIFS(rec.uni[2025-07-01],
INDIRECT("rec.uni[natureza]"),"taxa.extra",
INDIRECT("rec.uni[empresa]"),AC$6)</f>
        <v>0</v>
      </c>
      <c r="AD57" s="166"/>
      <c r="AE57" s="178" cm="1">
        <f t="array" ref="AE57">SUMPRODUCT(
  IFERROR(--desp[valor],0)*
  (desp[nucleo]="UP CAMPO BELO")*
  (desp[categoria]=AE$7)*
  (desp[data.pagamento]&gt;=$A57)*
  (desp[data.pagamento]&lt;EOMONTH($A57,0)+1)
)</f>
        <v>0</v>
      </c>
      <c r="AF57" s="178" cm="1">
        <f t="array" ref="AF57">SUMPRODUCT(
  IFERROR(--desp[valor],0)*
  (desp[nucleo]="UP CAMPO BELO")*
  (desp[categoria]=AF$7)*
  (desp[data.pagamento]&gt;=$A57)*
  (desp[data.pagamento]&lt;EOMONTH($A57,0)+1)
)</f>
        <v>0</v>
      </c>
      <c r="AG57" s="178" cm="1">
        <f t="array" ref="AG57">SUMPRODUCT(
  IFERROR(--desp[valor],0)*
  (desp[nucleo]="UP CAMPO BELO")*
  (desp[categoria]=AG$7)*
  (desp[data.pagamento]&gt;=$A57)*
  (desp[data.pagamento]&lt;EOMONTH($A57,0)+1)
)</f>
        <v>0</v>
      </c>
      <c r="AH57" s="178" cm="1">
        <f t="array" ref="AH57">SUMPRODUCT(
  IFERROR(--desp[valor],0)*
  (desp[nucleo]="UP CAMPO BELO")*
  (desp[categoria]=AH$7)*
  (desp[data.pagamento]&gt;=$A57)*
  (desp[data.pagamento]&lt;EOMONTH($A57,0)+1)
)</f>
        <v>0</v>
      </c>
      <c r="AI57" s="179" cm="1">
        <f t="array" ref="AI57">SUMPRODUCT(
  IFERROR(--desp[valor],0)*
  (desp[nucleo]="UP CAMPO BELO")*
  (desp[categoria]=AI$7)*
  (desp[data.pagamento]&gt;=$A57)*
  (desp[data.pagamento]&lt;EOMONTH($A57,0)+1)
)</f>
        <v>0</v>
      </c>
      <c r="AJ57" s="177">
        <f>COUNTIFS(
    estq[empresa], AJ$6,
    estq[Data da venda / reserva], "&gt;=" &amp; $A57,
    estq[Data da venda / reserva], "&lt;"  &amp; EOMONTH($A57,0) + 1
)</f>
        <v>0</v>
      </c>
      <c r="AK57" s="178">
        <f ca="1">SUMIFS(rec.uni[2025-07-01],
INDIRECT("rec.uni[natureza]"),"pro.soluto",
INDIRECT("rec.uni[empresa]"),AK$6)</f>
        <v>0</v>
      </c>
      <c r="AL57" s="178">
        <f ca="1">SUMIFS(rec.uni[2025-07-01],
INDIRECT("rec.uni[natureza]"),"repasse.cef.obra",
INDIRECT("rec.uni[empresa]"),AL$6)</f>
        <v>0</v>
      </c>
      <c r="AM57" s="178">
        <f ca="1">SUMIFS(rec.uni[2025-07-01],
INDIRECT("rec.uni[natureza]"),"repasse.cef.terreno",
INDIRECT("rec.uni[empresa]"),AM$6)</f>
        <v>0</v>
      </c>
      <c r="AN57" s="178">
        <v>493410.63</v>
      </c>
      <c r="AO57" s="178">
        <f ca="1">SUMIFS(rec.uni[2025-07-01],
INDIRECT("rec.uni[natureza]"),"taxa.extra",
INDIRECT("rec.uni[empresa]"),AO$6)</f>
        <v>0</v>
      </c>
      <c r="AP57" s="166"/>
      <c r="AQ57" s="178" cm="1">
        <f t="array" ref="AQ57">SUMPRODUCT(
  IFERROR(--desp[valor],0)*
  (desp[nucleo]="UP SELECT VILA SONIA")*
  (desp[categoria]=AQ$7)*
  (desp[data.pagamento]&gt;=$A57)*
  (desp[data.pagamento]&lt;EOMONTH($A57,0)+1)
)</f>
        <v>0</v>
      </c>
      <c r="AR57" s="178" cm="1">
        <f t="array" ref="AR57">SUMPRODUCT(
  IFERROR(--desp[valor],0)*
  (desp[nucleo]="UP SELECT VILA SONIA")*
  (desp[categoria]=AR$7)*
  (desp[data.pagamento]&gt;=$A57)*
  (desp[data.pagamento]&lt;EOMONTH($A57,0)+1)
)</f>
        <v>0</v>
      </c>
      <c r="AS57" s="178" cm="1">
        <f t="array" ref="AS57">SUMPRODUCT(
  IFERROR(--desp[valor],0)*
  (desp[nucleo]="UP SELECT VILA SONIA")*
  (desp[categoria]=AS$7)*
  (desp[data.pagamento]&gt;=$A57)*
  (desp[data.pagamento]&lt;EOMONTH($A57,0)+1)
)</f>
        <v>0</v>
      </c>
      <c r="AT57" s="178" cm="1">
        <f t="array" ref="AT57">SUMPRODUCT(
  IFERROR(--desp[valor],0)*
  (desp[nucleo]="UP SELECT VILA SONIA")*
  (desp[categoria]=AT$7)*
  (desp[data.pagamento]&gt;=$A57)*
  (desp[data.pagamento]&lt;EOMONTH($A57,0)+1)
)</f>
        <v>0</v>
      </c>
      <c r="AU57" s="179" cm="1">
        <f t="array" ref="AU57">SUMPRODUCT(
  IFERROR(--desp[valor],0)*
  (desp[nucleo]="UP SELECT VILA SONIA")*
  (desp[categoria]=AU$7)*
  (desp[data.pagamento]&gt;=$A57)*
  (desp[data.pagamento]&lt;EOMONTH($A57,0)+1)
)</f>
        <v>0</v>
      </c>
      <c r="AV57" s="177">
        <f>COUNTIFS(
    estq[empresa], AV$6,
    estq[Data da venda / reserva], "&gt;=" &amp; $A57,
    estq[Data da venda / reserva], "&lt;"  &amp; EOMONTH($A57,0) + 1
)</f>
        <v>0</v>
      </c>
      <c r="AW57" s="178">
        <f ca="1">SUMIFS(rec.uni[2025-07-01],
INDIRECT("rec.uni[natureza]"),"pro.soluto",
INDIRECT("rec.uni[empresa]"),AW$6)</f>
        <v>0</v>
      </c>
      <c r="AX57" s="178">
        <f ca="1">SUMIFS(rec.uni[2025-07-01],
INDIRECT("rec.uni[natureza]"),"repasse.cef.obra",
INDIRECT("rec.uni[empresa]"),AX$6)</f>
        <v>0</v>
      </c>
      <c r="AY57" s="178">
        <f ca="1">SUMIFS(rec.uni[2025-07-01],
INDIRECT("rec.uni[natureza]"),"repasse.cef.terreno",
INDIRECT("rec.uni[empresa]"),AY$6)</f>
        <v>0</v>
      </c>
      <c r="AZ57" s="178">
        <v>0</v>
      </c>
      <c r="BA57" s="178">
        <f ca="1">SUMIFS(rec.uni[2025-07-01],
INDIRECT("rec.uni[natureza]"),"taxa.extra",
INDIRECT("rec.uni[empresa]"),BA$6)</f>
        <v>0</v>
      </c>
      <c r="BB57" s="166"/>
      <c r="BC57" s="178" cm="1">
        <f t="array" ref="BC57">SUMPRODUCT(
  IFERROR(--desp[valor],0)*
  (desp[nucleo]="UP ESTAÇÃO SÃO LUCAS")*
  (desp[categoria]=BC$7)*
  (desp[data.pagamento]&gt;=$A57)*
  (desp[data.pagamento]&lt;EOMONTH($A57,0)+1)
)</f>
        <v>0</v>
      </c>
      <c r="BD57" s="178" cm="1">
        <f t="array" ref="BD57">SUMPRODUCT(
  IFERROR(--desp[valor],0)*
  (desp[nucleo]="UP ESTAÇÃO SÃO LUCAS")*
  (desp[categoria]=BD$7)*
  (desp[data.pagamento]&gt;=$A57)*
  (desp[data.pagamento]&lt;EOMONTH($A57,0)+1)
)</f>
        <v>0</v>
      </c>
      <c r="BE57" s="178" cm="1">
        <f t="array" ref="BE57">SUMPRODUCT(
  IFERROR(--desp[valor],0)*
  (desp[nucleo]="UP ESTAÇÃO SÃO LUCAS")*
  (desp[categoria]=BE$7)*
  (desp[data.pagamento]&gt;=$A57)*
  (desp[data.pagamento]&lt;EOMONTH($A57,0)+1)
)</f>
        <v>0</v>
      </c>
      <c r="BF57" s="178" cm="1">
        <f t="array" ref="BF57">SUMPRODUCT(
  IFERROR(--desp[valor],0)*
  (desp[nucleo]="UP ESTAÇÃO SÃO LUCAS")*
  (desp[categoria]=BF$7)*
  (desp[data.pagamento]&gt;=$A57)*
  (desp[data.pagamento]&lt;EOMONTH($A57,0)+1)
)</f>
        <v>0</v>
      </c>
      <c r="BG57" s="179" cm="1">
        <f t="array" ref="BG57">SUMPRODUCT(
  IFERROR(--desp[valor],0)*
  (desp[nucleo]="UP ESTAÇÃO SÃO LUCAS")*
  (desp[categoria]=BG$7)*
  (desp[data.pagamento]&gt;=$A57)*
  (desp[data.pagamento]&lt;EOMONTH($A57,0)+1)
)</f>
        <v>0</v>
      </c>
      <c r="BH57" s="177">
        <f>COUNTIFS(
    estq[empresa], BH$6,
    estq[Data da venda / reserva], "&gt;=" &amp; $A57,
    estq[Data da venda / reserva], "&lt;"  &amp; EOMONTH($A57,0) + 1
)</f>
        <v>0</v>
      </c>
      <c r="BI57" s="178">
        <f ca="1">SUMIFS(rec.uni[2025-07-01],
INDIRECT("rec.uni[natureza]"),"pro.soluto",
INDIRECT("rec.uni[empresa]"),BI$6)</f>
        <v>0</v>
      </c>
      <c r="BJ57" s="166">
        <f>10.89*94736</f>
        <v>1031675.04</v>
      </c>
      <c r="BK57" s="178">
        <f ca="1">SUMIFS(rec.uni[2025-07-01],
INDIRECT("rec.uni[natureza]"),"taxa.extra",
INDIRECT("rec.uni[empresa]"),BK$6)</f>
        <v>0</v>
      </c>
      <c r="BL57" s="166"/>
      <c r="BM57" s="178" cm="1">
        <f t="array" ref="BM57">SUMPRODUCT(
  IFERROR(--desp[valor],0)*
  (desp[nucleo]="UP POMPEIA")*
  (desp[categoria]=BM$7)*
  (desp[data.pagamento]&gt;=$A57)*
  (desp[data.pagamento]&lt;EOMONTH($A57,0)+1)
)</f>
        <v>0</v>
      </c>
      <c r="BN57" s="178" cm="1">
        <f t="array" ref="BN57">SUMPRODUCT(
  IFERROR(--desp[valor],0)*
  (desp[nucleo]="UP POMPEIA")*
  (desp[categoria]=BN$7)*
  (desp[data.pagamento]&gt;=$A57)*
  (desp[data.pagamento]&lt;EOMONTH($A57,0)+1)
)</f>
        <v>0</v>
      </c>
      <c r="BO57" s="178" cm="1">
        <f t="array" ref="BO57">SUMPRODUCT(
  IFERROR(--desp[valor],0)*
  (desp[nucleo]="UP POMPEIA")*
  (desp[categoria]=BO$7)*
  (desp[data.pagamento]&gt;=$A57)*
  (desp[data.pagamento]&lt;EOMONTH($A57,0)+1)
)</f>
        <v>0</v>
      </c>
      <c r="BP57" s="178" cm="1">
        <f t="array" ref="BP57">SUMPRODUCT(
  IFERROR(--desp[valor],0)*
  (desp[nucleo]="UP POMPEIA")*
  (desp[categoria]=BP$7)*
  (desp[data.pagamento]&gt;=$A57)*
  (desp[data.pagamento]&lt;EOMONTH($A57,0)+1)
)</f>
        <v>0</v>
      </c>
      <c r="BQ57" s="179" cm="1">
        <f t="array" ref="BQ57">SUMPRODUCT(
  IFERROR(--desp[valor],0)*
  (desp[nucleo]="UP POMPEIA")*
  (desp[categoria]=BQ$7)*
  (desp[data.pagamento]&gt;=$A57)*
  (desp[data.pagamento]&lt;EOMONTH($A57,0)+1)
)</f>
        <v>0</v>
      </c>
      <c r="BR57" s="177">
        <f>COUNTIFS(
    estq[empresa], BR$6,
    estq[Data da venda / reserva], "&gt;=" &amp; $A57,
    estq[Data da venda / reserva], "&lt;"  &amp; EOMONTH($A57,0) + 1
)</f>
        <v>0</v>
      </c>
      <c r="BS57" s="178">
        <f ca="1">SUMIFS(rec.uni[2025-07-01],
INDIRECT("rec.uni[natureza]"),"pro.soluto",
INDIRECT("rec.uni[empresa]"),BS$6)</f>
        <v>0</v>
      </c>
      <c r="BT57" s="178">
        <f ca="1">SUMIFS(rec.uni[2025-07-01],
INDIRECT("rec.uni[natureza]"),"pro.soluto",
INDIRECT("rec.uni[empresa]"),BT$6)</f>
        <v>0</v>
      </c>
      <c r="BU57" s="178">
        <f ca="1">SUMIFS(rec.uni[2025-07-01],
INDIRECT("rec.uni[natureza]"),"taxa.extra",
INDIRECT("rec.uni[empresa]"),BU$6)</f>
        <v>0</v>
      </c>
      <c r="BV57" s="166"/>
      <c r="BW57" s="178" cm="1">
        <f t="array" ref="BW57">SUMPRODUCT(
  IFERROR(--desp[valor],0)*
  (desp[nucleo]="UP SAUDE")*
  (desp[categoria]=BW$7)*
  (desp[data.pagamento]&gt;=$A57)*
  (desp[data.pagamento]&lt;EOMONTH($A57,0)+1)
)</f>
        <v>0</v>
      </c>
      <c r="BX57" s="178" cm="1">
        <f t="array" ref="BX57">SUMPRODUCT(
  IFERROR(--desp[valor],0)*
  (desp[nucleo]="UP SAUDE")*
  (desp[categoria]=BX$7)*
  (desp[data.pagamento]&gt;=$A57)*
  (desp[data.pagamento]&lt;EOMONTH($A57,0)+1)
)</f>
        <v>0</v>
      </c>
      <c r="BY57" s="178" cm="1">
        <f t="array" ref="BY57">SUMPRODUCT(
  IFERROR(--desp[valor],0)*
  (desp[nucleo]="UP SAUDE")*
  (desp[categoria]=BY$7)*
  (desp[data.pagamento]&gt;=$A57)*
  (desp[data.pagamento]&lt;EOMONTH($A57,0)+1)
)</f>
        <v>0</v>
      </c>
      <c r="BZ57" s="178" cm="1">
        <f t="array" ref="BZ57">SUMPRODUCT(
  IFERROR(--desp[valor],0)*
  (desp[nucleo]="UP SAUDE")*
  (desp[categoria]=BZ$7)*
  (desp[data.pagamento]&gt;=$A57)*
  (desp[data.pagamento]&lt;EOMONTH($A57,0)+1)
)</f>
        <v>0</v>
      </c>
      <c r="CA57" s="179" cm="1">
        <f t="array" ref="CA57">SUMPRODUCT(
  IFERROR(--desp[valor],0)*
  (desp[nucleo]="UP SAUDE")*
  (desp[categoria]=CA$7)*
  (desp[data.pagamento]&gt;=$A57)*
  (desp[data.pagamento]&lt;EOMONTH($A57,0)+1)
)</f>
        <v>0</v>
      </c>
      <c r="CB57" s="177">
        <f>COUNTIFS(
    estq[empresa], CB$6,
    estq[Data da venda / reserva], "&gt;=" &amp; $A57,
    estq[Data da venda / reserva], "&lt;"  &amp; EOMONTH($A57,0) + 1
)</f>
        <v>0</v>
      </c>
      <c r="CC57" s="178">
        <f ca="1">SUMIFS(rec.uni[2025-07-01],
INDIRECT("rec.uni[natureza]"),"pro.soluto",
INDIRECT("rec.uni[empresa]"),CC$6)</f>
        <v>0</v>
      </c>
      <c r="CD57" s="178">
        <f ca="1">SUMIFS(rec.uni[2025-07-01],
INDIRECT("rec.uni[natureza]"),"repasse.cef.obra",
INDIRECT("rec.uni[empresa]"),CD$6)</f>
        <v>0</v>
      </c>
      <c r="CE57" s="178">
        <f ca="1">SUMIFS(rec.uni[2025-07-01],
INDIRECT("rec.uni[natureza]"),"repasse.cef.terreno",
INDIRECT("rec.uni[empresa]"),CE$6)</f>
        <v>0</v>
      </c>
      <c r="CF57" s="178">
        <v>504350.63</v>
      </c>
      <c r="CG57" s="178">
        <f ca="1">SUMIFS(rec.uni[2025-07-01],
INDIRECT("rec.uni[natureza]"),"taxa.extra",
INDIRECT("rec.uni[empresa]"),CG$6)</f>
        <v>0</v>
      </c>
      <c r="CH57" s="166"/>
      <c r="CI57" s="178" cm="1">
        <f t="array" ref="CI57">SUMPRODUCT(
  IFERROR(--desp[valor],0)*
  (desp[nucleo]="UP ESTAÇÃO VILA SONIA")*
  (desp[categoria]=CI$7)*
  (desp[data.pagamento]&gt;=$A57)*
  (desp[data.pagamento]&lt;EOMONTH($A57,0)+1)
)</f>
        <v>0</v>
      </c>
      <c r="CJ57" s="178" cm="1">
        <f t="array" ref="CJ57">SUMPRODUCT(
  IFERROR(--desp[valor],0)*
  (desp[nucleo]="UP ESTAÇÃO VILA SONIA")*
  (desp[categoria]=CJ$7)*
  (desp[data.pagamento]&gt;=$A57)*
  (desp[data.pagamento]&lt;EOMONTH($A57,0)+1)
)</f>
        <v>0</v>
      </c>
      <c r="CK57" s="178" cm="1">
        <f t="array" ref="CK57">SUMPRODUCT(
  IFERROR(--desp[valor],0)*
  (desp[nucleo]="UP ESTAÇÃO VILA SONIA")*
  (desp[categoria]=CK$7)*
  (desp[data.pagamento]&gt;=$A57)*
  (desp[data.pagamento]&lt;EOMONTH($A57,0)+1)
)</f>
        <v>0</v>
      </c>
      <c r="CL57" s="178" cm="1">
        <f t="array" ref="CL57">SUMPRODUCT(
  IFERROR(--desp[valor],0)*
  (desp[nucleo]="UP ESTAÇÃO VILA SONIA")*
  (desp[categoria]=CL$7)*
  (desp[data.pagamento]&gt;=$A57)*
  (desp[data.pagamento]&lt;EOMONTH($A57,0)+1)
)</f>
        <v>0</v>
      </c>
      <c r="CM57" s="179" cm="1">
        <f t="array" ref="CM57">SUMPRODUCT(
  IFERROR(--desp[valor],0)*
  (desp[nucleo]="UP ESTAÇÃO VILA SONIA")*
  (desp[categoria]=CM$7)*
  (desp[data.pagamento]&gt;=$A57)*
  (desp[data.pagamento]&lt;EOMONTH($A57,0)+1)
)</f>
        <v>0</v>
      </c>
      <c r="CN57" s="177">
        <f>COUNTIFS(
    estq[empresa], CN$6,
    estq[Data da venda / reserva], "&gt;=" &amp; $A57,
    estq[Data da venda / reserva], "&lt;"  &amp; EOMONTH($A57,0) + 1
)</f>
        <v>0</v>
      </c>
      <c r="CO57" s="178">
        <f ca="1">SUMIFS(rec.uni[2025-07-01],
INDIRECT("rec.uni[natureza]"),"pro.soluto",
INDIRECT("rec.uni[empresa]"),CO$6)</f>
        <v>0</v>
      </c>
      <c r="CP57" s="178">
        <f ca="1">SUMIFS(rec.uni[2025-07-01],
INDIRECT("rec.uni[natureza]"),"repasse.cef.obra",
INDIRECT("rec.uni[empresa]"),CP$6)</f>
        <v>0</v>
      </c>
      <c r="CQ57" s="178">
        <f ca="1">SUMIFS(rec.uni[2025-07-01],
INDIRECT("rec.uni[natureza]"),"repasse.cef.terreno",
INDIRECT("rec.uni[empresa]"),CQ$6)</f>
        <v>0</v>
      </c>
      <c r="CR57" s="178">
        <v>0</v>
      </c>
      <c r="CS57" s="178">
        <f ca="1">SUMIFS(rec.uni[2025-07-01],
INDIRECT("rec.uni[natureza]"),"taxa.extra",
INDIRECT("rec.uni[empresa]"),CS$6)</f>
        <v>0</v>
      </c>
      <c r="CT57" s="166"/>
      <c r="CU57" s="178" cm="1">
        <f t="array" ref="CU57">SUMPRODUCT(
  IFERROR(--desp[valor],0)*
  (desp[nucleo]="UP MOVE VILA SONIA")*
  (desp[categoria]=CU$7)*
  (desp[data.pagamento]&gt;=$A57)*
  (desp[data.pagamento]&lt;EOMONTH($A57,0)+1)
)</f>
        <v>0</v>
      </c>
      <c r="CV57" s="178" cm="1">
        <f t="array" ref="CV57">SUMPRODUCT(
  IFERROR(--desp[valor],0)*
  (desp[nucleo]="UP MOVE VILA SONIA")*
  (desp[categoria]=CV$7)*
  (desp[data.pagamento]&gt;=$A57)*
  (desp[data.pagamento]&lt;EOMONTH($A57,0)+1)
)</f>
        <v>0</v>
      </c>
      <c r="CW57" s="178" cm="1">
        <f t="array" ref="CW57">SUMPRODUCT(
  IFERROR(--desp[valor],0)*
  (desp[nucleo]="UP MOVE VILA SONIA")*
  (desp[categoria]=CW$7)*
  (desp[data.pagamento]&gt;=$A57)*
  (desp[data.pagamento]&lt;EOMONTH($A57,0)+1)
)</f>
        <v>0</v>
      </c>
      <c r="CX57" s="178" cm="1">
        <f t="array" ref="CX57">SUMPRODUCT(
  IFERROR(--desp[valor],0)*
  (desp[nucleo]="UP MOVE VILA SONIA")*
  (desp[categoria]=CX$7)*
  (desp[data.pagamento]&gt;=$A57)*
  (desp[data.pagamento]&lt;EOMONTH($A57,0)+1)
)</f>
        <v>0</v>
      </c>
      <c r="CY57" s="180" cm="1">
        <f t="array" ref="CY57">SUMPRODUCT(
  IFERROR(--desp[valor],0)*
  (desp[nucleo]="UP MOVE VILA SONIA")*
  (desp[categoria]=CY$7)*
  (desp[data.pagamento]&gt;=$A57)*
  (desp[data.pagamento]&lt;EOMONTH($A57,0)+1)
)</f>
        <v>0</v>
      </c>
    </row>
    <row r="58" spans="1:103" x14ac:dyDescent="0.25">
      <c r="A58" s="176">
        <v>45870</v>
      </c>
      <c r="B58" s="177">
        <f>COUNTIFS(
    estq[empresa], B$6,
    estq[Data da venda / reserva], "&gt;=" &amp; $A58,
    estq[Data da venda / reserva], "&lt;"  &amp; EOMONTH($A58,0) + 1
)</f>
        <v>0</v>
      </c>
      <c r="C58" s="178">
        <f ca="1">SUMIFS(rec.uni[2025-08-01],
INDIRECT("rec.uni[natureza]"),"pro.soluto",
INDIRECT("rec.uni[empresa]"),C$6)</f>
        <v>0</v>
      </c>
      <c r="D58" s="178">
        <f ca="1">SUMIFS(rec.uni[2025-08-01],
INDIRECT("rec.uni[natureza]"),"repasse.cef.obra",
INDIRECT("rec.uni[empresa]"),D$6)</f>
        <v>0</v>
      </c>
      <c r="E58" s="178">
        <f ca="1">SUMIFS(rec.uni[2025-08-01],
INDIRECT("rec.uni[natureza]"),"repasse.cef.terreno",
INDIRECT("rec.uni[empresa]"),E$6)</f>
        <v>0</v>
      </c>
      <c r="F58" s="178">
        <v>366306.04</v>
      </c>
      <c r="G58" s="178">
        <f ca="1">SUMIFS(rec.uni[2025-08-01],
INDIRECT("rec.uni[natureza]"),"taxa.extra",
INDIRECT("rec.uni[empresa]"),G$6)</f>
        <v>0</v>
      </c>
      <c r="H58" s="166"/>
      <c r="I58" s="178" cm="1">
        <f t="array" ref="I58">SUMPRODUCT(
  IFERROR(--desp[valor],0)*
  (desp[nucleo]="UP JARDIM PRUDENCIA")*
  (desp[categoria]=I$7)*
  (desp[data.pagamento]&gt;=$A58)*
  (desp[data.pagamento]&lt;EOMONTH($A58,0)+1)
)</f>
        <v>0</v>
      </c>
      <c r="J58" s="178" cm="1">
        <f t="array" ref="J58">SUMPRODUCT(
  IFERROR(--desp[valor],0)*
  (desp[nucleo]="UP JARDIM PRUDENCIA")*
  (desp[categoria]=J$7)*
  (desp[data.pagamento]&gt;=$A58)*
  (desp[data.pagamento]&lt;EOMONTH($A58,0)+1)
)</f>
        <v>0</v>
      </c>
      <c r="K58" s="178" cm="1">
        <f t="array" ref="K58">SUMPRODUCT(
  IFERROR(--desp[valor],0)*
  (desp[nucleo]="UP JARDIM PRUDENCIA")*
  (desp[categoria]=K$7)*
  (desp[data.pagamento]&gt;=$A58)*
  (desp[data.pagamento]&lt;EOMONTH($A58,0)+1)
)</f>
        <v>0</v>
      </c>
      <c r="L58" s="178" cm="1">
        <f t="array" ref="L58">SUMPRODUCT(
  IFERROR(--desp[valor],0)*
  (desp[nucleo]="UP JARDIM PRUDENCIA")*
  (desp[categoria]=L$7)*
  (desp[data.pagamento]&gt;=$A58)*
  (desp[data.pagamento]&lt;EOMONTH($A58,0)+1)
)</f>
        <v>0</v>
      </c>
      <c r="M58" s="179" cm="1">
        <f t="array" ref="M58">SUMPRODUCT(
  IFERROR(--desp[valor],0)*
  (desp[nucleo]="UP JARDIM PRUDENCIA")*
  (desp[categoria]=M$7)*
  (desp[data.pagamento]&gt;=$A58)*
  (desp[data.pagamento]&lt;EOMONTH($A58,0)+1)
)</f>
        <v>0</v>
      </c>
      <c r="N58" s="177">
        <f>COUNTIFS(
    estq[empresa], N$6,
    estq[Data da venda / reserva], "&gt;=" &amp; $A58,
    estq[Data da venda / reserva], "&lt;"  &amp; EOMONTH($A58,0) + 1
)</f>
        <v>0</v>
      </c>
      <c r="O58" s="178">
        <f ca="1">SUMIFS(rec.uni[2025-08-01],
INDIRECT("rec.uni[natureza]"),"pro.soluto",
INDIRECT("rec.uni[empresa]"),O$6)</f>
        <v>0</v>
      </c>
      <c r="P58" s="178">
        <f ca="1">SUMIFS(rec.uni[2025-08-01],
INDIRECT("rec.uni[natureza]"),"repasse.cef.obra",
INDIRECT("rec.uni[empresa]"),P$6)</f>
        <v>0</v>
      </c>
      <c r="Q58" s="178">
        <f ca="1">SUMIFS(rec.uni[2025-08-01],
INDIRECT("rec.uni[natureza]"),"repasse.cef.terreno",
INDIRECT("rec.uni[empresa]"),Q$6)</f>
        <v>0</v>
      </c>
      <c r="R58" s="178">
        <v>0</v>
      </c>
      <c r="S58" s="178">
        <f ca="1">SUMIFS(rec.uni[2025-08-01],
INDIRECT("rec.uni[natureza]"),"taxa.extra",
INDIRECT("rec.uni[empresa]"),S$6)</f>
        <v>0</v>
      </c>
      <c r="T58" s="166"/>
      <c r="U58" s="178" cm="1">
        <f t="array" ref="U58">SUMPRODUCT(
  IFERROR(--desp[valor],0)*
  (desp[nucleo]="UP VILA SONIA")*
  (desp[categoria]=U$7)*
  (desp[data.pagamento]&gt;=$A58)*
  (desp[data.pagamento]&lt;EOMONTH($A58,0)+1)
)</f>
        <v>0</v>
      </c>
      <c r="V58" s="178" cm="1">
        <f t="array" ref="V58">SUMPRODUCT(
  IFERROR(--desp[valor],0)*
  (desp[nucleo]="UP VILA SONIA")*
  (desp[categoria]=V$7)*
  (desp[data.pagamento]&gt;=$A58)*
  (desp[data.pagamento]&lt;EOMONTH($A58,0)+1)
)</f>
        <v>0</v>
      </c>
      <c r="W58" s="178" cm="1">
        <f t="array" ref="W58">SUMPRODUCT(
  IFERROR(--desp[valor],0)*
  (desp[nucleo]="UP VILA SONIA")*
  (desp[categoria]=W$7)*
  (desp[data.pagamento]&gt;=$A58)*
  (desp[data.pagamento]&lt;EOMONTH($A58,0)+1)
)</f>
        <v>0</v>
      </c>
      <c r="X58" s="178" cm="1">
        <f t="array" ref="X58">SUMPRODUCT(
  IFERROR(--desp[valor],0)*
  (desp[nucleo]="UP VILA SONIA")*
  (desp[categoria]=X$7)*
  (desp[data.pagamento]&gt;=$A58)*
  (desp[data.pagamento]&lt;EOMONTH($A58,0)+1)
)</f>
        <v>0</v>
      </c>
      <c r="Y58" s="179" cm="1">
        <f t="array" ref="Y58">SUMPRODUCT(
  IFERROR(--desp[valor],0)*
  (desp[nucleo]="UP VILA SONIA")*
  (desp[categoria]=Y$7)*
  (desp[data.pagamento]&gt;=$A58)*
  (desp[data.pagamento]&lt;EOMONTH($A58,0)+1)
)</f>
        <v>0</v>
      </c>
      <c r="Z58" s="177">
        <f>COUNTIFS(
    estq[empresa], Z$6,
    estq[Data da venda / reserva], "&gt;=" &amp; $A58,
    estq[Data da venda / reserva], "&lt;"  &amp; EOMONTH($A58,0) + 1
)</f>
        <v>0</v>
      </c>
      <c r="AA58" s="178">
        <f ca="1">SUMIFS(rec.uni[2025-08-01],
INDIRECT("rec.uni[natureza]"),"pro.soluto",
INDIRECT("rec.uni[empresa]"),AA$6)</f>
        <v>0</v>
      </c>
      <c r="AB58" s="178">
        <f ca="1">SUMIFS(rec.uni[2025-08-01],
INDIRECT("rec.uni[natureza]"),"pro.soluto",
INDIRECT("rec.uni[empresa]"),AB$6)</f>
        <v>0</v>
      </c>
      <c r="AC58" s="178">
        <f ca="1">SUMIFS(rec.uni[2025-08-01],
INDIRECT("rec.uni[natureza]"),"taxa.extra",
INDIRECT("rec.uni[empresa]"),AC$6)</f>
        <v>0</v>
      </c>
      <c r="AD58" s="166"/>
      <c r="AE58" s="178" cm="1">
        <f t="array" ref="AE58">SUMPRODUCT(
  IFERROR(--desp[valor],0)*
  (desp[nucleo]="UP CAMPO BELO")*
  (desp[categoria]=AE$7)*
  (desp[data.pagamento]&gt;=$A58)*
  (desp[data.pagamento]&lt;EOMONTH($A58,0)+1)
)</f>
        <v>0</v>
      </c>
      <c r="AF58" s="178" cm="1">
        <f t="array" ref="AF58">SUMPRODUCT(
  IFERROR(--desp[valor],0)*
  (desp[nucleo]="UP CAMPO BELO")*
  (desp[categoria]=AF$7)*
  (desp[data.pagamento]&gt;=$A58)*
  (desp[data.pagamento]&lt;EOMONTH($A58,0)+1)
)</f>
        <v>0</v>
      </c>
      <c r="AG58" s="178" cm="1">
        <f t="array" ref="AG58">SUMPRODUCT(
  IFERROR(--desp[valor],0)*
  (desp[nucleo]="UP CAMPO BELO")*
  (desp[categoria]=AG$7)*
  (desp[data.pagamento]&gt;=$A58)*
  (desp[data.pagamento]&lt;EOMONTH($A58,0)+1)
)</f>
        <v>0</v>
      </c>
      <c r="AH58" s="178" cm="1">
        <f t="array" ref="AH58">SUMPRODUCT(
  IFERROR(--desp[valor],0)*
  (desp[nucleo]="UP CAMPO BELO")*
  (desp[categoria]=AH$7)*
  (desp[data.pagamento]&gt;=$A58)*
  (desp[data.pagamento]&lt;EOMONTH($A58,0)+1)
)</f>
        <v>0</v>
      </c>
      <c r="AI58" s="179" cm="1">
        <f t="array" ref="AI58">SUMPRODUCT(
  IFERROR(--desp[valor],0)*
  (desp[nucleo]="UP CAMPO BELO")*
  (desp[categoria]=AI$7)*
  (desp[data.pagamento]&gt;=$A58)*
  (desp[data.pagamento]&lt;EOMONTH($A58,0)+1)
)</f>
        <v>0</v>
      </c>
      <c r="AJ58" s="177">
        <f>COUNTIFS(
    estq[empresa], AJ$6,
    estq[Data da venda / reserva], "&gt;=" &amp; $A58,
    estq[Data da venda / reserva], "&lt;"  &amp; EOMONTH($A58,0) + 1
)</f>
        <v>0</v>
      </c>
      <c r="AK58" s="178">
        <f ca="1">SUMIFS(rec.uni[2025-08-01],
INDIRECT("rec.uni[natureza]"),"pro.soluto",
INDIRECT("rec.uni[empresa]"),AK$6)</f>
        <v>0</v>
      </c>
      <c r="AL58" s="178">
        <f ca="1">SUMIFS(rec.uni[2025-08-01],
INDIRECT("rec.uni[natureza]"),"repasse.cef.obra",
INDIRECT("rec.uni[empresa]"),AL$6)</f>
        <v>0</v>
      </c>
      <c r="AM58" s="178">
        <f ca="1">SUMIFS(rec.uni[2025-08-01],
INDIRECT("rec.uni[natureza]"),"repasse.cef.terreno",
INDIRECT("rec.uni[empresa]"),AM$6)</f>
        <v>0</v>
      </c>
      <c r="AN58" s="178">
        <v>831222.47</v>
      </c>
      <c r="AO58" s="178">
        <f ca="1">SUMIFS(rec.uni[2025-08-01],
INDIRECT("rec.uni[natureza]"),"taxa.extra",
INDIRECT("rec.uni[empresa]"),AO$6)</f>
        <v>0</v>
      </c>
      <c r="AP58" s="166"/>
      <c r="AQ58" s="178" cm="1">
        <f t="array" ref="AQ58">SUMPRODUCT(
  IFERROR(--desp[valor],0)*
  (desp[nucleo]="UP SELECT VILA SONIA")*
  (desp[categoria]=AQ$7)*
  (desp[data.pagamento]&gt;=$A58)*
  (desp[data.pagamento]&lt;EOMONTH($A58,0)+1)
)</f>
        <v>0</v>
      </c>
      <c r="AR58" s="178" cm="1">
        <f t="array" ref="AR58">SUMPRODUCT(
  IFERROR(--desp[valor],0)*
  (desp[nucleo]="UP SELECT VILA SONIA")*
  (desp[categoria]=AR$7)*
  (desp[data.pagamento]&gt;=$A58)*
  (desp[data.pagamento]&lt;EOMONTH($A58,0)+1)
)</f>
        <v>0</v>
      </c>
      <c r="AS58" s="178" cm="1">
        <f t="array" ref="AS58">SUMPRODUCT(
  IFERROR(--desp[valor],0)*
  (desp[nucleo]="UP SELECT VILA SONIA")*
  (desp[categoria]=AS$7)*
  (desp[data.pagamento]&gt;=$A58)*
  (desp[data.pagamento]&lt;EOMONTH($A58,0)+1)
)</f>
        <v>0</v>
      </c>
      <c r="AT58" s="178" cm="1">
        <f t="array" ref="AT58">SUMPRODUCT(
  IFERROR(--desp[valor],0)*
  (desp[nucleo]="UP SELECT VILA SONIA")*
  (desp[categoria]=AT$7)*
  (desp[data.pagamento]&gt;=$A58)*
  (desp[data.pagamento]&lt;EOMONTH($A58,0)+1)
)</f>
        <v>0</v>
      </c>
      <c r="AU58" s="179" cm="1">
        <f t="array" ref="AU58">SUMPRODUCT(
  IFERROR(--desp[valor],0)*
  (desp[nucleo]="UP SELECT VILA SONIA")*
  (desp[categoria]=AU$7)*
  (desp[data.pagamento]&gt;=$A58)*
  (desp[data.pagamento]&lt;EOMONTH($A58,0)+1)
)</f>
        <v>0</v>
      </c>
      <c r="AV58" s="177">
        <f>COUNTIFS(
    estq[empresa], AV$6,
    estq[Data da venda / reserva], "&gt;=" &amp; $A58,
    estq[Data da venda / reserva], "&lt;"  &amp; EOMONTH($A58,0) + 1
)</f>
        <v>0</v>
      </c>
      <c r="AW58" s="178">
        <f ca="1">SUMIFS(rec.uni[2025-08-01],
INDIRECT("rec.uni[natureza]"),"pro.soluto",
INDIRECT("rec.uni[empresa]"),AW$6)</f>
        <v>0</v>
      </c>
      <c r="AX58" s="178">
        <f ca="1">SUMIFS(rec.uni[2025-08-01],
INDIRECT("rec.uni[natureza]"),"repasse.cef.obra",
INDIRECT("rec.uni[empresa]"),AX$6)</f>
        <v>0</v>
      </c>
      <c r="AY58" s="178">
        <f ca="1">SUMIFS(rec.uni[2025-08-01],
INDIRECT("rec.uni[natureza]"),"repasse.cef.terreno",
INDIRECT("rec.uni[empresa]"),AY$6)</f>
        <v>0</v>
      </c>
      <c r="AZ58" s="178">
        <v>0</v>
      </c>
      <c r="BA58" s="178">
        <f ca="1">SUMIFS(rec.uni[2025-08-01],
INDIRECT("rec.uni[natureza]"),"taxa.extra",
INDIRECT("rec.uni[empresa]"),BA$6)</f>
        <v>0</v>
      </c>
      <c r="BB58" s="166"/>
      <c r="BC58" s="178" cm="1">
        <f t="array" ref="BC58">SUMPRODUCT(
  IFERROR(--desp[valor],0)*
  (desp[nucleo]="UP ESTAÇÃO SÃO LUCAS")*
  (desp[categoria]=BC$7)*
  (desp[data.pagamento]&gt;=$A58)*
  (desp[data.pagamento]&lt;EOMONTH($A58,0)+1)
)</f>
        <v>0</v>
      </c>
      <c r="BD58" s="178" cm="1">
        <f t="array" ref="BD58">SUMPRODUCT(
  IFERROR(--desp[valor],0)*
  (desp[nucleo]="UP ESTAÇÃO SÃO LUCAS")*
  (desp[categoria]=BD$7)*
  (desp[data.pagamento]&gt;=$A58)*
  (desp[data.pagamento]&lt;EOMONTH($A58,0)+1)
)</f>
        <v>0</v>
      </c>
      <c r="BE58" s="178" cm="1">
        <f t="array" ref="BE58">SUMPRODUCT(
  IFERROR(--desp[valor],0)*
  (desp[nucleo]="UP ESTAÇÃO SÃO LUCAS")*
  (desp[categoria]=BE$7)*
  (desp[data.pagamento]&gt;=$A58)*
  (desp[data.pagamento]&lt;EOMONTH($A58,0)+1)
)</f>
        <v>0</v>
      </c>
      <c r="BF58" s="178" cm="1">
        <f t="array" ref="BF58">SUMPRODUCT(
  IFERROR(--desp[valor],0)*
  (desp[nucleo]="UP ESTAÇÃO SÃO LUCAS")*
  (desp[categoria]=BF$7)*
  (desp[data.pagamento]&gt;=$A58)*
  (desp[data.pagamento]&lt;EOMONTH($A58,0)+1)
)</f>
        <v>0</v>
      </c>
      <c r="BG58" s="179" cm="1">
        <f t="array" ref="BG58">SUMPRODUCT(
  IFERROR(--desp[valor],0)*
  (desp[nucleo]="UP ESTAÇÃO SÃO LUCAS")*
  (desp[categoria]=BG$7)*
  (desp[data.pagamento]&gt;=$A58)*
  (desp[data.pagamento]&lt;EOMONTH($A58,0)+1)
)</f>
        <v>0</v>
      </c>
      <c r="BH58" s="177">
        <f>COUNTIFS(
    estq[empresa], BH$6,
    estq[Data da venda / reserva], "&gt;=" &amp; $A58,
    estq[Data da venda / reserva], "&lt;"  &amp; EOMONTH($A58,0) + 1
)</f>
        <v>0</v>
      </c>
      <c r="BI58" s="178">
        <f ca="1">SUMIFS(rec.uni[2025-08-01],
INDIRECT("rec.uni[natureza]"),"pro.soluto",
INDIRECT("rec.uni[empresa]"),BI$6)</f>
        <v>0</v>
      </c>
      <c r="BJ58" s="166">
        <f>4.23*94736</f>
        <v>400733.28</v>
      </c>
      <c r="BK58" s="178">
        <f ca="1">SUMIFS(rec.uni[2025-08-01],
INDIRECT("rec.uni[natureza]"),"taxa.extra",
INDIRECT("rec.uni[empresa]"),BK$6)</f>
        <v>0</v>
      </c>
      <c r="BL58" s="166"/>
      <c r="BM58" s="178" cm="1">
        <f t="array" ref="BM58">SUMPRODUCT(
  IFERROR(--desp[valor],0)*
  (desp[nucleo]="UP POMPEIA")*
  (desp[categoria]=BM$7)*
  (desp[data.pagamento]&gt;=$A58)*
  (desp[data.pagamento]&lt;EOMONTH($A58,0)+1)
)</f>
        <v>0</v>
      </c>
      <c r="BN58" s="178" cm="1">
        <f t="array" ref="BN58">SUMPRODUCT(
  IFERROR(--desp[valor],0)*
  (desp[nucleo]="UP POMPEIA")*
  (desp[categoria]=BN$7)*
  (desp[data.pagamento]&gt;=$A58)*
  (desp[data.pagamento]&lt;EOMONTH($A58,0)+1)
)</f>
        <v>0</v>
      </c>
      <c r="BO58" s="178" cm="1">
        <f t="array" ref="BO58">SUMPRODUCT(
  IFERROR(--desp[valor],0)*
  (desp[nucleo]="UP POMPEIA")*
  (desp[categoria]=BO$7)*
  (desp[data.pagamento]&gt;=$A58)*
  (desp[data.pagamento]&lt;EOMONTH($A58,0)+1)
)</f>
        <v>0</v>
      </c>
      <c r="BP58" s="178" cm="1">
        <f t="array" ref="BP58">SUMPRODUCT(
  IFERROR(--desp[valor],0)*
  (desp[nucleo]="UP POMPEIA")*
  (desp[categoria]=BP$7)*
  (desp[data.pagamento]&gt;=$A58)*
  (desp[data.pagamento]&lt;EOMONTH($A58,0)+1)
)</f>
        <v>0</v>
      </c>
      <c r="BQ58" s="179" cm="1">
        <f t="array" ref="BQ58">SUMPRODUCT(
  IFERROR(--desp[valor],0)*
  (desp[nucleo]="UP POMPEIA")*
  (desp[categoria]=BQ$7)*
  (desp[data.pagamento]&gt;=$A58)*
  (desp[data.pagamento]&lt;EOMONTH($A58,0)+1)
)</f>
        <v>0</v>
      </c>
      <c r="BR58" s="177">
        <f>COUNTIFS(
    estq[empresa], BR$6,
    estq[Data da venda / reserva], "&gt;=" &amp; $A58,
    estq[Data da venda / reserva], "&lt;"  &amp; EOMONTH($A58,0) + 1
)</f>
        <v>0</v>
      </c>
      <c r="BS58" s="178">
        <f ca="1">SUMIFS(rec.uni[2025-08-01],
INDIRECT("rec.uni[natureza]"),"pro.soluto",
INDIRECT("rec.uni[empresa]"),BS$6)</f>
        <v>0</v>
      </c>
      <c r="BT58" s="178">
        <f ca="1">SUMIFS(rec.uni[2025-08-01],
INDIRECT("rec.uni[natureza]"),"pro.soluto",
INDIRECT("rec.uni[empresa]"),BT$6)</f>
        <v>0</v>
      </c>
      <c r="BU58" s="178">
        <f ca="1">SUMIFS(rec.uni[2025-08-01],
INDIRECT("rec.uni[natureza]"),"taxa.extra",
INDIRECT("rec.uni[empresa]"),BU$6)</f>
        <v>0</v>
      </c>
      <c r="BV58" s="166"/>
      <c r="BW58" s="178" cm="1">
        <f t="array" ref="BW58">SUMPRODUCT(
  IFERROR(--desp[valor],0)*
  (desp[nucleo]="UP SAUDE")*
  (desp[categoria]=BW$7)*
  (desp[data.pagamento]&gt;=$A58)*
  (desp[data.pagamento]&lt;EOMONTH($A58,0)+1)
)</f>
        <v>0</v>
      </c>
      <c r="BX58" s="178" cm="1">
        <f t="array" ref="BX58">SUMPRODUCT(
  IFERROR(--desp[valor],0)*
  (desp[nucleo]="UP SAUDE")*
  (desp[categoria]=BX$7)*
  (desp[data.pagamento]&gt;=$A58)*
  (desp[data.pagamento]&lt;EOMONTH($A58,0)+1)
)</f>
        <v>0</v>
      </c>
      <c r="BY58" s="178" cm="1">
        <f t="array" ref="BY58">SUMPRODUCT(
  IFERROR(--desp[valor],0)*
  (desp[nucleo]="UP SAUDE")*
  (desp[categoria]=BY$7)*
  (desp[data.pagamento]&gt;=$A58)*
  (desp[data.pagamento]&lt;EOMONTH($A58,0)+1)
)</f>
        <v>0</v>
      </c>
      <c r="BZ58" s="178" cm="1">
        <f t="array" ref="BZ58">SUMPRODUCT(
  IFERROR(--desp[valor],0)*
  (desp[nucleo]="UP SAUDE")*
  (desp[categoria]=BZ$7)*
  (desp[data.pagamento]&gt;=$A58)*
  (desp[data.pagamento]&lt;EOMONTH($A58,0)+1)
)</f>
        <v>0</v>
      </c>
      <c r="CA58" s="179" cm="1">
        <f t="array" ref="CA58">SUMPRODUCT(
  IFERROR(--desp[valor],0)*
  (desp[nucleo]="UP SAUDE")*
  (desp[categoria]=CA$7)*
  (desp[data.pagamento]&gt;=$A58)*
  (desp[data.pagamento]&lt;EOMONTH($A58,0)+1)
)</f>
        <v>0</v>
      </c>
      <c r="CB58" s="177">
        <f>COUNTIFS(
    estq[empresa], CB$6,
    estq[Data da venda / reserva], "&gt;=" &amp; $A58,
    estq[Data da venda / reserva], "&lt;"  &amp; EOMONTH($A58,0) + 1
)</f>
        <v>0</v>
      </c>
      <c r="CC58" s="178">
        <f ca="1">SUMIFS(rec.uni[2025-08-01],
INDIRECT("rec.uni[natureza]"),"pro.soluto",
INDIRECT("rec.uni[empresa]"),CC$6)</f>
        <v>0</v>
      </c>
      <c r="CD58" s="178">
        <f ca="1">SUMIFS(rec.uni[2025-08-01],
INDIRECT("rec.uni[natureza]"),"repasse.cef.obra",
INDIRECT("rec.uni[empresa]"),CD$6)</f>
        <v>0</v>
      </c>
      <c r="CE58" s="178">
        <f ca="1">SUMIFS(rec.uni[2025-08-01],
INDIRECT("rec.uni[natureza]"),"repasse.cef.terreno",
INDIRECT("rec.uni[empresa]"),CE$6)</f>
        <v>0</v>
      </c>
      <c r="CF58" s="178">
        <v>249520.85</v>
      </c>
      <c r="CG58" s="178">
        <f ca="1">SUMIFS(rec.uni[2025-08-01],
INDIRECT("rec.uni[natureza]"),"taxa.extra",
INDIRECT("rec.uni[empresa]"),CG$6)</f>
        <v>0</v>
      </c>
      <c r="CH58" s="166"/>
      <c r="CI58" s="178" cm="1">
        <f t="array" ref="CI58">SUMPRODUCT(
  IFERROR(--desp[valor],0)*
  (desp[nucleo]="UP ESTAÇÃO VILA SONIA")*
  (desp[categoria]=CI$7)*
  (desp[data.pagamento]&gt;=$A58)*
  (desp[data.pagamento]&lt;EOMONTH($A58,0)+1)
)</f>
        <v>0</v>
      </c>
      <c r="CJ58" s="178" cm="1">
        <f t="array" ref="CJ58">SUMPRODUCT(
  IFERROR(--desp[valor],0)*
  (desp[nucleo]="UP ESTAÇÃO VILA SONIA")*
  (desp[categoria]=CJ$7)*
  (desp[data.pagamento]&gt;=$A58)*
  (desp[data.pagamento]&lt;EOMONTH($A58,0)+1)
)</f>
        <v>0</v>
      </c>
      <c r="CK58" s="178" cm="1">
        <f t="array" ref="CK58">SUMPRODUCT(
  IFERROR(--desp[valor],0)*
  (desp[nucleo]="UP ESTAÇÃO VILA SONIA")*
  (desp[categoria]=CK$7)*
  (desp[data.pagamento]&gt;=$A58)*
  (desp[data.pagamento]&lt;EOMONTH($A58,0)+1)
)</f>
        <v>0</v>
      </c>
      <c r="CL58" s="178" cm="1">
        <f t="array" ref="CL58">SUMPRODUCT(
  IFERROR(--desp[valor],0)*
  (desp[nucleo]="UP ESTAÇÃO VILA SONIA")*
  (desp[categoria]=CL$7)*
  (desp[data.pagamento]&gt;=$A58)*
  (desp[data.pagamento]&lt;EOMONTH($A58,0)+1)
)</f>
        <v>0</v>
      </c>
      <c r="CM58" s="179" cm="1">
        <f t="array" ref="CM58">SUMPRODUCT(
  IFERROR(--desp[valor],0)*
  (desp[nucleo]="UP ESTAÇÃO VILA SONIA")*
  (desp[categoria]=CM$7)*
  (desp[data.pagamento]&gt;=$A58)*
  (desp[data.pagamento]&lt;EOMONTH($A58,0)+1)
)</f>
        <v>0</v>
      </c>
      <c r="CN58" s="177">
        <f>COUNTIFS(
    estq[empresa], CN$6,
    estq[Data da venda / reserva], "&gt;=" &amp; $A58,
    estq[Data da venda / reserva], "&lt;"  &amp; EOMONTH($A58,0) + 1
)</f>
        <v>0</v>
      </c>
      <c r="CO58" s="178">
        <f ca="1">SUMIFS(rec.uni[2025-08-01],
INDIRECT("rec.uni[natureza]"),"pro.soluto",
INDIRECT("rec.uni[empresa]"),CO$6)</f>
        <v>0</v>
      </c>
      <c r="CP58" s="178">
        <f ca="1">SUMIFS(rec.uni[2025-08-01],
INDIRECT("rec.uni[natureza]"),"repasse.cef.obra",
INDIRECT("rec.uni[empresa]"),CP$6)</f>
        <v>0</v>
      </c>
      <c r="CQ58" s="178">
        <f ca="1">SUMIFS(rec.uni[2025-08-01],
INDIRECT("rec.uni[natureza]"),"repasse.cef.terreno",
INDIRECT("rec.uni[empresa]"),CQ$6)</f>
        <v>0</v>
      </c>
      <c r="CR58" s="178">
        <v>0</v>
      </c>
      <c r="CS58" s="178">
        <f ca="1">SUMIFS(rec.uni[2025-08-01],
INDIRECT("rec.uni[natureza]"),"taxa.extra",
INDIRECT("rec.uni[empresa]"),CS$6)</f>
        <v>0</v>
      </c>
      <c r="CT58" s="166"/>
      <c r="CU58" s="178" cm="1">
        <f t="array" ref="CU58">SUMPRODUCT(
  IFERROR(--desp[valor],0)*
  (desp[nucleo]="UP MOVE VILA SONIA")*
  (desp[categoria]=CU$7)*
  (desp[data.pagamento]&gt;=$A58)*
  (desp[data.pagamento]&lt;EOMONTH($A58,0)+1)
)</f>
        <v>0</v>
      </c>
      <c r="CV58" s="178" cm="1">
        <f t="array" ref="CV58">SUMPRODUCT(
  IFERROR(--desp[valor],0)*
  (desp[nucleo]="UP MOVE VILA SONIA")*
  (desp[categoria]=CV$7)*
  (desp[data.pagamento]&gt;=$A58)*
  (desp[data.pagamento]&lt;EOMONTH($A58,0)+1)
)</f>
        <v>0</v>
      </c>
      <c r="CW58" s="178" cm="1">
        <f t="array" ref="CW58">SUMPRODUCT(
  IFERROR(--desp[valor],0)*
  (desp[nucleo]="UP MOVE VILA SONIA")*
  (desp[categoria]=CW$7)*
  (desp[data.pagamento]&gt;=$A58)*
  (desp[data.pagamento]&lt;EOMONTH($A58,0)+1)
)</f>
        <v>0</v>
      </c>
      <c r="CX58" s="178" cm="1">
        <f t="array" ref="CX58">SUMPRODUCT(
  IFERROR(--desp[valor],0)*
  (desp[nucleo]="UP MOVE VILA SONIA")*
  (desp[categoria]=CX$7)*
  (desp[data.pagamento]&gt;=$A58)*
  (desp[data.pagamento]&lt;EOMONTH($A58,0)+1)
)</f>
        <v>0</v>
      </c>
      <c r="CY58" s="180" cm="1">
        <f t="array" ref="CY58">SUMPRODUCT(
  IFERROR(--desp[valor],0)*
  (desp[nucleo]="UP MOVE VILA SONIA")*
  (desp[categoria]=CY$7)*
  (desp[data.pagamento]&gt;=$A58)*
  (desp[data.pagamento]&lt;EOMONTH($A58,0)+1)
)</f>
        <v>0</v>
      </c>
    </row>
    <row r="59" spans="1:103" x14ac:dyDescent="0.25">
      <c r="A59" s="176">
        <v>45901</v>
      </c>
      <c r="B59" s="177">
        <f>COUNTIFS(
    estq[empresa], B$6,
    estq[Data da venda / reserva], "&gt;=" &amp; $A59,
    estq[Data da venda / reserva], "&lt;"  &amp; EOMONTH($A59,0) + 1
)</f>
        <v>0</v>
      </c>
      <c r="C59" s="178">
        <f ca="1">SUMIFS(rec.uni[2025-09-01],
INDIRECT("rec.uni[natureza]"),"pro.soluto",
INDIRECT("rec.uni[empresa]"),C$6)</f>
        <v>0</v>
      </c>
      <c r="D59" s="178">
        <f ca="1">SUMIFS(rec.uni[2025-09-01],
INDIRECT("rec.uni[natureza]"),"repasse.cef.obra",
INDIRECT("rec.uni[empresa]"),D$6)</f>
        <v>0</v>
      </c>
      <c r="E59" s="178">
        <f ca="1">SUMIFS(rec.uni[2025-09-01],
INDIRECT("rec.uni[natureza]"),"repasse.cef.terreno",
INDIRECT("rec.uni[empresa]"),E$6)</f>
        <v>0</v>
      </c>
      <c r="F59" s="178">
        <v>181081.21</v>
      </c>
      <c r="G59" s="178">
        <f ca="1">SUMIFS(rec.uni[2025-09-01],
INDIRECT("rec.uni[natureza]"),"taxa.extra",
INDIRECT("rec.uni[empresa]"),G$6)</f>
        <v>0</v>
      </c>
      <c r="H59" s="166"/>
      <c r="I59" s="178" cm="1">
        <f t="array" ref="I59">SUMPRODUCT(
  IFERROR(--desp[valor],0)*
  (desp[nucleo]="UP JARDIM PRUDENCIA")*
  (desp[categoria]=I$7)*
  (desp[data.pagamento]&gt;=$A59)*
  (desp[data.pagamento]&lt;EOMONTH($A59,0)+1)
)</f>
        <v>0</v>
      </c>
      <c r="J59" s="178" cm="1">
        <f t="array" ref="J59">SUMPRODUCT(
  IFERROR(--desp[valor],0)*
  (desp[nucleo]="UP JARDIM PRUDENCIA")*
  (desp[categoria]=J$7)*
  (desp[data.pagamento]&gt;=$A59)*
  (desp[data.pagamento]&lt;EOMONTH($A59,0)+1)
)</f>
        <v>0</v>
      </c>
      <c r="K59" s="178" cm="1">
        <f t="array" ref="K59">SUMPRODUCT(
  IFERROR(--desp[valor],0)*
  (desp[nucleo]="UP JARDIM PRUDENCIA")*
  (desp[categoria]=K$7)*
  (desp[data.pagamento]&gt;=$A59)*
  (desp[data.pagamento]&lt;EOMONTH($A59,0)+1)
)</f>
        <v>0</v>
      </c>
      <c r="L59" s="178" cm="1">
        <f t="array" ref="L59">SUMPRODUCT(
  IFERROR(--desp[valor],0)*
  (desp[nucleo]="UP JARDIM PRUDENCIA")*
  (desp[categoria]=L$7)*
  (desp[data.pagamento]&gt;=$A59)*
  (desp[data.pagamento]&lt;EOMONTH($A59,0)+1)
)</f>
        <v>0</v>
      </c>
      <c r="M59" s="179" cm="1">
        <f t="array" ref="M59">SUMPRODUCT(
  IFERROR(--desp[valor],0)*
  (desp[nucleo]="UP JARDIM PRUDENCIA")*
  (desp[categoria]=M$7)*
  (desp[data.pagamento]&gt;=$A59)*
  (desp[data.pagamento]&lt;EOMONTH($A59,0)+1)
)</f>
        <v>0</v>
      </c>
      <c r="N59" s="177">
        <f>COUNTIFS(
    estq[empresa], N$6,
    estq[Data da venda / reserva], "&gt;=" &amp; $A59,
    estq[Data da venda / reserva], "&lt;"  &amp; EOMONTH($A59,0) + 1
)</f>
        <v>0</v>
      </c>
      <c r="O59" s="178">
        <f ca="1">SUMIFS(rec.uni[2025-09-01],
INDIRECT("rec.uni[natureza]"),"pro.soluto",
INDIRECT("rec.uni[empresa]"),O$6)</f>
        <v>0</v>
      </c>
      <c r="P59" s="178">
        <f ca="1">SUMIFS(rec.uni[2025-09-01],
INDIRECT("rec.uni[natureza]"),"repasse.cef.obra",
INDIRECT("rec.uni[empresa]"),P$6)</f>
        <v>0</v>
      </c>
      <c r="Q59" s="178">
        <f ca="1">SUMIFS(rec.uni[2025-09-01],
INDIRECT("rec.uni[natureza]"),"repasse.cef.terreno",
INDIRECT("rec.uni[empresa]"),Q$6)</f>
        <v>0</v>
      </c>
      <c r="R59" s="178">
        <v>0</v>
      </c>
      <c r="S59" s="178">
        <f ca="1">SUMIFS(rec.uni[2025-09-01],
INDIRECT("rec.uni[natureza]"),"taxa.extra",
INDIRECT("rec.uni[empresa]"),S$6)</f>
        <v>0</v>
      </c>
      <c r="T59" s="166"/>
      <c r="U59" s="178" cm="1">
        <f t="array" ref="U59">SUMPRODUCT(
  IFERROR(--desp[valor],0)*
  (desp[nucleo]="UP VILA SONIA")*
  (desp[categoria]=U$7)*
  (desp[data.pagamento]&gt;=$A59)*
  (desp[data.pagamento]&lt;EOMONTH($A59,0)+1)
)</f>
        <v>0</v>
      </c>
      <c r="V59" s="178" cm="1">
        <f t="array" ref="V59">SUMPRODUCT(
  IFERROR(--desp[valor],0)*
  (desp[nucleo]="UP VILA SONIA")*
  (desp[categoria]=V$7)*
  (desp[data.pagamento]&gt;=$A59)*
  (desp[data.pagamento]&lt;EOMONTH($A59,0)+1)
)</f>
        <v>0</v>
      </c>
      <c r="W59" s="178" cm="1">
        <f t="array" ref="W59">SUMPRODUCT(
  IFERROR(--desp[valor],0)*
  (desp[nucleo]="UP VILA SONIA")*
  (desp[categoria]=W$7)*
  (desp[data.pagamento]&gt;=$A59)*
  (desp[data.pagamento]&lt;EOMONTH($A59,0)+1)
)</f>
        <v>0</v>
      </c>
      <c r="X59" s="178" cm="1">
        <f t="array" ref="X59">SUMPRODUCT(
  IFERROR(--desp[valor],0)*
  (desp[nucleo]="UP VILA SONIA")*
  (desp[categoria]=X$7)*
  (desp[data.pagamento]&gt;=$A59)*
  (desp[data.pagamento]&lt;EOMONTH($A59,0)+1)
)</f>
        <v>0</v>
      </c>
      <c r="Y59" s="179" cm="1">
        <f t="array" ref="Y59">SUMPRODUCT(
  IFERROR(--desp[valor],0)*
  (desp[nucleo]="UP VILA SONIA")*
  (desp[categoria]=Y$7)*
  (desp[data.pagamento]&gt;=$A59)*
  (desp[data.pagamento]&lt;EOMONTH($A59,0)+1)
)</f>
        <v>0</v>
      </c>
      <c r="Z59" s="177">
        <f>COUNTIFS(
    estq[empresa], Z$6,
    estq[Data da venda / reserva], "&gt;=" &amp; $A59,
    estq[Data da venda / reserva], "&lt;"  &amp; EOMONTH($A59,0) + 1
)</f>
        <v>0</v>
      </c>
      <c r="AA59" s="178">
        <f ca="1">SUMIFS(rec.uni[2025-09-01],
INDIRECT("rec.uni[natureza]"),"pro.soluto",
INDIRECT("rec.uni[empresa]"),AA$6)</f>
        <v>0</v>
      </c>
      <c r="AB59" s="178">
        <f ca="1">SUMIFS(rec.uni[2025-09-01],
INDIRECT("rec.uni[natureza]"),"pro.soluto",
INDIRECT("rec.uni[empresa]"),AB$6)</f>
        <v>0</v>
      </c>
      <c r="AC59" s="178">
        <f ca="1">SUMIFS(rec.uni[2025-09-01],
INDIRECT("rec.uni[natureza]"),"taxa.extra",
INDIRECT("rec.uni[empresa]"),AC$6)</f>
        <v>0</v>
      </c>
      <c r="AD59" s="166"/>
      <c r="AE59" s="178" cm="1">
        <f t="array" ref="AE59">SUMPRODUCT(
  IFERROR(--desp[valor],0)*
  (desp[nucleo]="UP CAMPO BELO")*
  (desp[categoria]=AE$7)*
  (desp[data.pagamento]&gt;=$A59)*
  (desp[data.pagamento]&lt;EOMONTH($A59,0)+1)
)</f>
        <v>0</v>
      </c>
      <c r="AF59" s="178" cm="1">
        <f t="array" ref="AF59">SUMPRODUCT(
  IFERROR(--desp[valor],0)*
  (desp[nucleo]="UP CAMPO BELO")*
  (desp[categoria]=AF$7)*
  (desp[data.pagamento]&gt;=$A59)*
  (desp[data.pagamento]&lt;EOMONTH($A59,0)+1)
)</f>
        <v>0</v>
      </c>
      <c r="AG59" s="178" cm="1">
        <f t="array" ref="AG59">SUMPRODUCT(
  IFERROR(--desp[valor],0)*
  (desp[nucleo]="UP CAMPO BELO")*
  (desp[categoria]=AG$7)*
  (desp[data.pagamento]&gt;=$A59)*
  (desp[data.pagamento]&lt;EOMONTH($A59,0)+1)
)</f>
        <v>0</v>
      </c>
      <c r="AH59" s="178" cm="1">
        <f t="array" ref="AH59">SUMPRODUCT(
  IFERROR(--desp[valor],0)*
  (desp[nucleo]="UP CAMPO BELO")*
  (desp[categoria]=AH$7)*
  (desp[data.pagamento]&gt;=$A59)*
  (desp[data.pagamento]&lt;EOMONTH($A59,0)+1)
)</f>
        <v>0</v>
      </c>
      <c r="AI59" s="179" cm="1">
        <f t="array" ref="AI59">SUMPRODUCT(
  IFERROR(--desp[valor],0)*
  (desp[nucleo]="UP CAMPO BELO")*
  (desp[categoria]=AI$7)*
  (desp[data.pagamento]&gt;=$A59)*
  (desp[data.pagamento]&lt;EOMONTH($A59,0)+1)
)</f>
        <v>0</v>
      </c>
      <c r="AJ59" s="177">
        <f>COUNTIFS(
    estq[empresa], AJ$6,
    estq[Data da venda / reserva], "&gt;=" &amp; $A59,
    estq[Data da venda / reserva], "&lt;"  &amp; EOMONTH($A59,0) + 1
)</f>
        <v>0</v>
      </c>
      <c r="AK59" s="178">
        <f ca="1">SUMIFS(rec.uni[2025-09-01],
INDIRECT("rec.uni[natureza]"),"pro.soluto",
INDIRECT("rec.uni[empresa]"),AK$6)</f>
        <v>0</v>
      </c>
      <c r="AL59" s="178">
        <f ca="1">SUMIFS(rec.uni[2025-09-01],
INDIRECT("rec.uni[natureza]"),"repasse.cef.obra",
INDIRECT("rec.uni[empresa]"),AL$6)</f>
        <v>0</v>
      </c>
      <c r="AM59" s="178">
        <f ca="1">SUMIFS(rec.uni[2025-09-01],
INDIRECT("rec.uni[natureza]"),"repasse.cef.terreno",
INDIRECT("rec.uni[empresa]"),AM$6)</f>
        <v>0</v>
      </c>
      <c r="AN59" s="178">
        <v>229516.7</v>
      </c>
      <c r="AO59" s="178">
        <f ca="1">SUMIFS(rec.uni[2025-09-01],
INDIRECT("rec.uni[natureza]"),"taxa.extra",
INDIRECT("rec.uni[empresa]"),AO$6)</f>
        <v>0</v>
      </c>
      <c r="AP59" s="166"/>
      <c r="AQ59" s="178" cm="1">
        <f t="array" ref="AQ59">SUMPRODUCT(
  IFERROR(--desp[valor],0)*
  (desp[nucleo]="UP SELECT VILA SONIA")*
  (desp[categoria]=AQ$7)*
  (desp[data.pagamento]&gt;=$A59)*
  (desp[data.pagamento]&lt;EOMONTH($A59,0)+1)
)</f>
        <v>0</v>
      </c>
      <c r="AR59" s="178" cm="1">
        <f t="array" ref="AR59">SUMPRODUCT(
  IFERROR(--desp[valor],0)*
  (desp[nucleo]="UP SELECT VILA SONIA")*
  (desp[categoria]=AR$7)*
  (desp[data.pagamento]&gt;=$A59)*
  (desp[data.pagamento]&lt;EOMONTH($A59,0)+1)
)</f>
        <v>0</v>
      </c>
      <c r="AS59" s="178" cm="1">
        <f t="array" ref="AS59">SUMPRODUCT(
  IFERROR(--desp[valor],0)*
  (desp[nucleo]="UP SELECT VILA SONIA")*
  (desp[categoria]=AS$7)*
  (desp[data.pagamento]&gt;=$A59)*
  (desp[data.pagamento]&lt;EOMONTH($A59,0)+1)
)</f>
        <v>0</v>
      </c>
      <c r="AT59" s="178" cm="1">
        <f t="array" ref="AT59">SUMPRODUCT(
  IFERROR(--desp[valor],0)*
  (desp[nucleo]="UP SELECT VILA SONIA")*
  (desp[categoria]=AT$7)*
  (desp[data.pagamento]&gt;=$A59)*
  (desp[data.pagamento]&lt;EOMONTH($A59,0)+1)
)</f>
        <v>0</v>
      </c>
      <c r="AU59" s="179" cm="1">
        <f t="array" ref="AU59">SUMPRODUCT(
  IFERROR(--desp[valor],0)*
  (desp[nucleo]="UP SELECT VILA SONIA")*
  (desp[categoria]=AU$7)*
  (desp[data.pagamento]&gt;=$A59)*
  (desp[data.pagamento]&lt;EOMONTH($A59,0)+1)
)</f>
        <v>0</v>
      </c>
      <c r="AV59" s="177">
        <f>COUNTIFS(
    estq[empresa], AV$6,
    estq[Data da venda / reserva], "&gt;=" &amp; $A59,
    estq[Data da venda / reserva], "&lt;"  &amp; EOMONTH($A59,0) + 1
)</f>
        <v>0</v>
      </c>
      <c r="AW59" s="178">
        <f ca="1">SUMIFS(rec.uni[2025-09-01],
INDIRECT("rec.uni[natureza]"),"pro.soluto",
INDIRECT("rec.uni[empresa]"),AW$6)</f>
        <v>0</v>
      </c>
      <c r="AX59" s="178">
        <f ca="1">SUMIFS(rec.uni[2025-09-01],
INDIRECT("rec.uni[natureza]"),"repasse.cef.obra",
INDIRECT("rec.uni[empresa]"),AX$6)</f>
        <v>0</v>
      </c>
      <c r="AY59" s="178">
        <f ca="1">SUMIFS(rec.uni[2025-09-01],
INDIRECT("rec.uni[natureza]"),"repasse.cef.terreno",
INDIRECT("rec.uni[empresa]"),AY$6)</f>
        <v>0</v>
      </c>
      <c r="AZ59" s="178">
        <v>0</v>
      </c>
      <c r="BA59" s="178">
        <f ca="1">SUMIFS(rec.uni[2025-09-01],
INDIRECT("rec.uni[natureza]"),"taxa.extra",
INDIRECT("rec.uni[empresa]"),BA$6)</f>
        <v>0</v>
      </c>
      <c r="BB59" s="166"/>
      <c r="BC59" s="178" cm="1">
        <f t="array" ref="BC59">SUMPRODUCT(
  IFERROR(--desp[valor],0)*
  (desp[nucleo]="UP ESTAÇÃO SÃO LUCAS")*
  (desp[categoria]=BC$7)*
  (desp[data.pagamento]&gt;=$A59)*
  (desp[data.pagamento]&lt;EOMONTH($A59,0)+1)
)</f>
        <v>0</v>
      </c>
      <c r="BD59" s="178" cm="1">
        <f t="array" ref="BD59">SUMPRODUCT(
  IFERROR(--desp[valor],0)*
  (desp[nucleo]="UP ESTAÇÃO SÃO LUCAS")*
  (desp[categoria]=BD$7)*
  (desp[data.pagamento]&gt;=$A59)*
  (desp[data.pagamento]&lt;EOMONTH($A59,0)+1)
)</f>
        <v>0</v>
      </c>
      <c r="BE59" s="178" cm="1">
        <f t="array" ref="BE59">SUMPRODUCT(
  IFERROR(--desp[valor],0)*
  (desp[nucleo]="UP ESTAÇÃO SÃO LUCAS")*
  (desp[categoria]=BE$7)*
  (desp[data.pagamento]&gt;=$A59)*
  (desp[data.pagamento]&lt;EOMONTH($A59,0)+1)
)</f>
        <v>0</v>
      </c>
      <c r="BF59" s="178" cm="1">
        <f t="array" ref="BF59">SUMPRODUCT(
  IFERROR(--desp[valor],0)*
  (desp[nucleo]="UP ESTAÇÃO SÃO LUCAS")*
  (desp[categoria]=BF$7)*
  (desp[data.pagamento]&gt;=$A59)*
  (desp[data.pagamento]&lt;EOMONTH($A59,0)+1)
)</f>
        <v>0</v>
      </c>
      <c r="BG59" s="179" cm="1">
        <f t="array" ref="BG59">SUMPRODUCT(
  IFERROR(--desp[valor],0)*
  (desp[nucleo]="UP ESTAÇÃO SÃO LUCAS")*
  (desp[categoria]=BG$7)*
  (desp[data.pagamento]&gt;=$A59)*
  (desp[data.pagamento]&lt;EOMONTH($A59,0)+1)
)</f>
        <v>0</v>
      </c>
      <c r="BH59" s="177">
        <f>COUNTIFS(
    estq[empresa], BH$6,
    estq[Data da venda / reserva], "&gt;=" &amp; $A59,
    estq[Data da venda / reserva], "&lt;"  &amp; EOMONTH($A59,0) + 1
)</f>
        <v>0</v>
      </c>
      <c r="BI59" s="178">
        <f ca="1">SUMIFS(rec.uni[2025-09-01],
INDIRECT("rec.uni[natureza]"),"pro.soluto",
INDIRECT("rec.uni[empresa]"),BI$6)</f>
        <v>0</v>
      </c>
      <c r="BJ59" s="166">
        <f>3.65*94736</f>
        <v>345786.39999999997</v>
      </c>
      <c r="BK59" s="178">
        <f ca="1">SUMIFS(rec.uni[2025-09-01],
INDIRECT("rec.uni[natureza]"),"taxa.extra",
INDIRECT("rec.uni[empresa]"),BK$6)</f>
        <v>0</v>
      </c>
      <c r="BL59" s="166"/>
      <c r="BM59" s="178" cm="1">
        <f t="array" ref="BM59">SUMPRODUCT(
  IFERROR(--desp[valor],0)*
  (desp[nucleo]="UP POMPEIA")*
  (desp[categoria]=BM$7)*
  (desp[data.pagamento]&gt;=$A59)*
  (desp[data.pagamento]&lt;EOMONTH($A59,0)+1)
)</f>
        <v>0</v>
      </c>
      <c r="BN59" s="178" cm="1">
        <f t="array" ref="BN59">SUMPRODUCT(
  IFERROR(--desp[valor],0)*
  (desp[nucleo]="UP POMPEIA")*
  (desp[categoria]=BN$7)*
  (desp[data.pagamento]&gt;=$A59)*
  (desp[data.pagamento]&lt;EOMONTH($A59,0)+1)
)</f>
        <v>0</v>
      </c>
      <c r="BO59" s="178" cm="1">
        <f t="array" ref="BO59">SUMPRODUCT(
  IFERROR(--desp[valor],0)*
  (desp[nucleo]="UP POMPEIA")*
  (desp[categoria]=BO$7)*
  (desp[data.pagamento]&gt;=$A59)*
  (desp[data.pagamento]&lt;EOMONTH($A59,0)+1)
)</f>
        <v>0</v>
      </c>
      <c r="BP59" s="178" cm="1">
        <f t="array" ref="BP59">SUMPRODUCT(
  IFERROR(--desp[valor],0)*
  (desp[nucleo]="UP POMPEIA")*
  (desp[categoria]=BP$7)*
  (desp[data.pagamento]&gt;=$A59)*
  (desp[data.pagamento]&lt;EOMONTH($A59,0)+1)
)</f>
        <v>0</v>
      </c>
      <c r="BQ59" s="179" cm="1">
        <f t="array" ref="BQ59">SUMPRODUCT(
  IFERROR(--desp[valor],0)*
  (desp[nucleo]="UP POMPEIA")*
  (desp[categoria]=BQ$7)*
  (desp[data.pagamento]&gt;=$A59)*
  (desp[data.pagamento]&lt;EOMONTH($A59,0)+1)
)</f>
        <v>0</v>
      </c>
      <c r="BR59" s="177">
        <f>COUNTIFS(
    estq[empresa], BR$6,
    estq[Data da venda / reserva], "&gt;=" &amp; $A59,
    estq[Data da venda / reserva], "&lt;"  &amp; EOMONTH($A59,0) + 1
)</f>
        <v>0</v>
      </c>
      <c r="BS59" s="178">
        <f ca="1">SUMIFS(rec.uni[2025-09-01],
INDIRECT("rec.uni[natureza]"),"pro.soluto",
INDIRECT("rec.uni[empresa]"),BS$6)</f>
        <v>0</v>
      </c>
      <c r="BT59" s="178">
        <f ca="1">SUMIFS(rec.uni[2025-09-01],
INDIRECT("rec.uni[natureza]"),"pro.soluto",
INDIRECT("rec.uni[empresa]"),BT$6)</f>
        <v>0</v>
      </c>
      <c r="BU59" s="178">
        <f ca="1">SUMIFS(rec.uni[2025-09-01],
INDIRECT("rec.uni[natureza]"),"taxa.extra",
INDIRECT("rec.uni[empresa]"),BU$6)</f>
        <v>0</v>
      </c>
      <c r="BV59" s="166"/>
      <c r="BW59" s="178" cm="1">
        <f t="array" ref="BW59">SUMPRODUCT(
  IFERROR(--desp[valor],0)*
  (desp[nucleo]="UP SAUDE")*
  (desp[categoria]=BW$7)*
  (desp[data.pagamento]&gt;=$A59)*
  (desp[data.pagamento]&lt;EOMONTH($A59,0)+1)
)</f>
        <v>0</v>
      </c>
      <c r="BX59" s="178" cm="1">
        <f t="array" ref="BX59">SUMPRODUCT(
  IFERROR(--desp[valor],0)*
  (desp[nucleo]="UP SAUDE")*
  (desp[categoria]=BX$7)*
  (desp[data.pagamento]&gt;=$A59)*
  (desp[data.pagamento]&lt;EOMONTH($A59,0)+1)
)</f>
        <v>0</v>
      </c>
      <c r="BY59" s="178" cm="1">
        <f t="array" ref="BY59">SUMPRODUCT(
  IFERROR(--desp[valor],0)*
  (desp[nucleo]="UP SAUDE")*
  (desp[categoria]=BY$7)*
  (desp[data.pagamento]&gt;=$A59)*
  (desp[data.pagamento]&lt;EOMONTH($A59,0)+1)
)</f>
        <v>0</v>
      </c>
      <c r="BZ59" s="178" cm="1">
        <f t="array" ref="BZ59">SUMPRODUCT(
  IFERROR(--desp[valor],0)*
  (desp[nucleo]="UP SAUDE")*
  (desp[categoria]=BZ$7)*
  (desp[data.pagamento]&gt;=$A59)*
  (desp[data.pagamento]&lt;EOMONTH($A59,0)+1)
)</f>
        <v>0</v>
      </c>
      <c r="CA59" s="179" cm="1">
        <f t="array" ref="CA59">SUMPRODUCT(
  IFERROR(--desp[valor],0)*
  (desp[nucleo]="UP SAUDE")*
  (desp[categoria]=CA$7)*
  (desp[data.pagamento]&gt;=$A59)*
  (desp[data.pagamento]&lt;EOMONTH($A59,0)+1)
)</f>
        <v>0</v>
      </c>
      <c r="CB59" s="177">
        <f>COUNTIFS(
    estq[empresa], CB$6,
    estq[Data da venda / reserva], "&gt;=" &amp; $A59,
    estq[Data da venda / reserva], "&lt;"  &amp; EOMONTH($A59,0) + 1
)</f>
        <v>0</v>
      </c>
      <c r="CC59" s="178">
        <f ca="1">SUMIFS(rec.uni[2025-09-01],
INDIRECT("rec.uni[natureza]"),"pro.soluto",
INDIRECT("rec.uni[empresa]"),CC$6)</f>
        <v>0</v>
      </c>
      <c r="CD59" s="178">
        <f ca="1">SUMIFS(rec.uni[2025-09-01],
INDIRECT("rec.uni[natureza]"),"repasse.cef.obra",
INDIRECT("rec.uni[empresa]"),CD$6)</f>
        <v>0</v>
      </c>
      <c r="CE59" s="178">
        <f ca="1">SUMIFS(rec.uni[2025-09-01],
INDIRECT("rec.uni[natureza]"),"repasse.cef.terreno",
INDIRECT("rec.uni[empresa]"),CE$6)</f>
        <v>0</v>
      </c>
      <c r="CF59" s="178">
        <v>315799.90000000002</v>
      </c>
      <c r="CG59" s="178">
        <f ca="1">SUMIFS(rec.uni[2025-09-01],
INDIRECT("rec.uni[natureza]"),"taxa.extra",
INDIRECT("rec.uni[empresa]"),CG$6)</f>
        <v>0</v>
      </c>
      <c r="CH59" s="166"/>
      <c r="CI59" s="178" cm="1">
        <f t="array" ref="CI59">SUMPRODUCT(
  IFERROR(--desp[valor],0)*
  (desp[nucleo]="UP ESTAÇÃO VILA SONIA")*
  (desp[categoria]=CI$7)*
  (desp[data.pagamento]&gt;=$A59)*
  (desp[data.pagamento]&lt;EOMONTH($A59,0)+1)
)</f>
        <v>0</v>
      </c>
      <c r="CJ59" s="178" cm="1">
        <f t="array" ref="CJ59">SUMPRODUCT(
  IFERROR(--desp[valor],0)*
  (desp[nucleo]="UP ESTAÇÃO VILA SONIA")*
  (desp[categoria]=CJ$7)*
  (desp[data.pagamento]&gt;=$A59)*
  (desp[data.pagamento]&lt;EOMONTH($A59,0)+1)
)</f>
        <v>0</v>
      </c>
      <c r="CK59" s="178" cm="1">
        <f t="array" ref="CK59">SUMPRODUCT(
  IFERROR(--desp[valor],0)*
  (desp[nucleo]="UP ESTAÇÃO VILA SONIA")*
  (desp[categoria]=CK$7)*
  (desp[data.pagamento]&gt;=$A59)*
  (desp[data.pagamento]&lt;EOMONTH($A59,0)+1)
)</f>
        <v>0</v>
      </c>
      <c r="CL59" s="178" cm="1">
        <f t="array" ref="CL59">SUMPRODUCT(
  IFERROR(--desp[valor],0)*
  (desp[nucleo]="UP ESTAÇÃO VILA SONIA")*
  (desp[categoria]=CL$7)*
  (desp[data.pagamento]&gt;=$A59)*
  (desp[data.pagamento]&lt;EOMONTH($A59,0)+1)
)</f>
        <v>0</v>
      </c>
      <c r="CM59" s="179" cm="1">
        <f t="array" ref="CM59">SUMPRODUCT(
  IFERROR(--desp[valor],0)*
  (desp[nucleo]="UP ESTAÇÃO VILA SONIA")*
  (desp[categoria]=CM$7)*
  (desp[data.pagamento]&gt;=$A59)*
  (desp[data.pagamento]&lt;EOMONTH($A59,0)+1)
)</f>
        <v>0</v>
      </c>
      <c r="CN59" s="177">
        <f>COUNTIFS(
    estq[empresa], CN$6,
    estq[Data da venda / reserva], "&gt;=" &amp; $A59,
    estq[Data da venda / reserva], "&lt;"  &amp; EOMONTH($A59,0) + 1
)</f>
        <v>0</v>
      </c>
      <c r="CO59" s="178">
        <f ca="1">SUMIFS(rec.uni[2025-09-01],
INDIRECT("rec.uni[natureza]"),"pro.soluto",
INDIRECT("rec.uni[empresa]"),CO$6)</f>
        <v>0</v>
      </c>
      <c r="CP59" s="178">
        <f ca="1">SUMIFS(rec.uni[2025-09-01],
INDIRECT("rec.uni[natureza]"),"repasse.cef.obra",
INDIRECT("rec.uni[empresa]"),CP$6)</f>
        <v>0</v>
      </c>
      <c r="CQ59" s="178">
        <f ca="1">SUMIFS(rec.uni[2025-09-01],
INDIRECT("rec.uni[natureza]"),"repasse.cef.terreno",
INDIRECT("rec.uni[empresa]"),CQ$6)</f>
        <v>0</v>
      </c>
      <c r="CR59" s="178">
        <v>0</v>
      </c>
      <c r="CS59" s="178">
        <f ca="1">SUMIFS(rec.uni[2025-09-01],
INDIRECT("rec.uni[natureza]"),"taxa.extra",
INDIRECT("rec.uni[empresa]"),CS$6)</f>
        <v>0</v>
      </c>
      <c r="CT59" s="166"/>
      <c r="CU59" s="178" cm="1">
        <f t="array" ref="CU59">SUMPRODUCT(
  IFERROR(--desp[valor],0)*
  (desp[nucleo]="UP MOVE VILA SONIA")*
  (desp[categoria]=CU$7)*
  (desp[data.pagamento]&gt;=$A59)*
  (desp[data.pagamento]&lt;EOMONTH($A59,0)+1)
)</f>
        <v>0</v>
      </c>
      <c r="CV59" s="178" cm="1">
        <f t="array" ref="CV59">SUMPRODUCT(
  IFERROR(--desp[valor],0)*
  (desp[nucleo]="UP MOVE VILA SONIA")*
  (desp[categoria]=CV$7)*
  (desp[data.pagamento]&gt;=$A59)*
  (desp[data.pagamento]&lt;EOMONTH($A59,0)+1)
)</f>
        <v>0</v>
      </c>
      <c r="CW59" s="178" cm="1">
        <f t="array" ref="CW59">SUMPRODUCT(
  IFERROR(--desp[valor],0)*
  (desp[nucleo]="UP MOVE VILA SONIA")*
  (desp[categoria]=CW$7)*
  (desp[data.pagamento]&gt;=$A59)*
  (desp[data.pagamento]&lt;EOMONTH($A59,0)+1)
)</f>
        <v>0</v>
      </c>
      <c r="CX59" s="178" cm="1">
        <f t="array" ref="CX59">SUMPRODUCT(
  IFERROR(--desp[valor],0)*
  (desp[nucleo]="UP MOVE VILA SONIA")*
  (desp[categoria]=CX$7)*
  (desp[data.pagamento]&gt;=$A59)*
  (desp[data.pagamento]&lt;EOMONTH($A59,0)+1)
)</f>
        <v>0</v>
      </c>
      <c r="CY59" s="180" cm="1">
        <f t="array" ref="CY59">SUMPRODUCT(
  IFERROR(--desp[valor],0)*
  (desp[nucleo]="UP MOVE VILA SONIA")*
  (desp[categoria]=CY$7)*
  (desp[data.pagamento]&gt;=$A59)*
  (desp[data.pagamento]&lt;EOMONTH($A59,0)+1)
)</f>
        <v>0</v>
      </c>
    </row>
    <row r="60" spans="1:103" x14ac:dyDescent="0.25">
      <c r="A60" s="176">
        <v>45931</v>
      </c>
      <c r="B60" s="177">
        <f>COUNTIFS(
    estq[empresa], B$6,
    estq[Data da venda / reserva], "&gt;=" &amp; $A60,
    estq[Data da venda / reserva], "&lt;"  &amp; EOMONTH($A60,0) + 1
)</f>
        <v>0</v>
      </c>
      <c r="C60" s="178">
        <f ca="1">SUMIFS(rec.uni[2025-10-01],
INDIRECT("rec.uni[natureza]"),"pro.soluto",
INDIRECT("rec.uni[empresa]"),C$6)</f>
        <v>0</v>
      </c>
      <c r="D60" s="178">
        <f ca="1">SUMIFS(rec.uni[2025-10-01],
INDIRECT("rec.uni[natureza]"),"repasse.cef.obra",
INDIRECT("rec.uni[empresa]"),D$6)</f>
        <v>0</v>
      </c>
      <c r="E60" s="178">
        <f ca="1">SUMIFS(rec.uni[2025-10-01],
INDIRECT("rec.uni[natureza]"),"repasse.cef.terreno",
INDIRECT("rec.uni[empresa]"),E$6)</f>
        <v>0</v>
      </c>
      <c r="F60" s="178">
        <v>266613.7</v>
      </c>
      <c r="G60" s="178">
        <f ca="1">SUMIFS(rec.uni[2025-10-01],
INDIRECT("rec.uni[natureza]"),"taxa.extra",
INDIRECT("rec.uni[empresa]"),G$6)</f>
        <v>0</v>
      </c>
      <c r="H60" s="166"/>
      <c r="I60" s="178" cm="1">
        <f t="array" ref="I60">SUMPRODUCT(
  IFERROR(--desp[valor],0)*
  (desp[nucleo]="UP JARDIM PRUDENCIA")*
  (desp[categoria]=I$7)*
  (desp[data.pagamento]&gt;=$A60)*
  (desp[data.pagamento]&lt;EOMONTH($A60,0)+1)
)</f>
        <v>0</v>
      </c>
      <c r="J60" s="178" cm="1">
        <f t="array" ref="J60">SUMPRODUCT(
  IFERROR(--desp[valor],0)*
  (desp[nucleo]="UP JARDIM PRUDENCIA")*
  (desp[categoria]=J$7)*
  (desp[data.pagamento]&gt;=$A60)*
  (desp[data.pagamento]&lt;EOMONTH($A60,0)+1)
)</f>
        <v>0</v>
      </c>
      <c r="K60" s="178" cm="1">
        <f t="array" ref="K60">SUMPRODUCT(
  IFERROR(--desp[valor],0)*
  (desp[nucleo]="UP JARDIM PRUDENCIA")*
  (desp[categoria]=K$7)*
  (desp[data.pagamento]&gt;=$A60)*
  (desp[data.pagamento]&lt;EOMONTH($A60,0)+1)
)</f>
        <v>0</v>
      </c>
      <c r="L60" s="178" cm="1">
        <f t="array" ref="L60">SUMPRODUCT(
  IFERROR(--desp[valor],0)*
  (desp[nucleo]="UP JARDIM PRUDENCIA")*
  (desp[categoria]=L$7)*
  (desp[data.pagamento]&gt;=$A60)*
  (desp[data.pagamento]&lt;EOMONTH($A60,0)+1)
)</f>
        <v>0</v>
      </c>
      <c r="M60" s="179" cm="1">
        <f t="array" ref="M60">SUMPRODUCT(
  IFERROR(--desp[valor],0)*
  (desp[nucleo]="UP JARDIM PRUDENCIA")*
  (desp[categoria]=M$7)*
  (desp[data.pagamento]&gt;=$A60)*
  (desp[data.pagamento]&lt;EOMONTH($A60,0)+1)
)</f>
        <v>0</v>
      </c>
      <c r="N60" s="177">
        <f>COUNTIFS(
    estq[empresa], N$6,
    estq[Data da venda / reserva], "&gt;=" &amp; $A60,
    estq[Data da venda / reserva], "&lt;"  &amp; EOMONTH($A60,0) + 1
)</f>
        <v>0</v>
      </c>
      <c r="O60" s="178">
        <f ca="1">SUMIFS(rec.uni[2025-10-01],
INDIRECT("rec.uni[natureza]"),"pro.soluto",
INDIRECT("rec.uni[empresa]"),O$6)</f>
        <v>0</v>
      </c>
      <c r="P60" s="178">
        <f ca="1">SUMIFS(rec.uni[2025-10-01],
INDIRECT("rec.uni[natureza]"),"repasse.cef.obra",
INDIRECT("rec.uni[empresa]"),P$6)</f>
        <v>0</v>
      </c>
      <c r="Q60" s="178">
        <f ca="1">SUMIFS(rec.uni[2025-10-01],
INDIRECT("rec.uni[natureza]"),"repasse.cef.terreno",
INDIRECT("rec.uni[empresa]"),Q$6)</f>
        <v>0</v>
      </c>
      <c r="R60" s="178">
        <v>0</v>
      </c>
      <c r="S60" s="178">
        <f ca="1">SUMIFS(rec.uni[2025-10-01],
INDIRECT("rec.uni[natureza]"),"taxa.extra",
INDIRECT("rec.uni[empresa]"),S$6)</f>
        <v>0</v>
      </c>
      <c r="T60" s="166"/>
      <c r="U60" s="178" cm="1">
        <f t="array" ref="U60">SUMPRODUCT(
  IFERROR(--desp[valor],0)*
  (desp[nucleo]="UP VILA SONIA")*
  (desp[categoria]=U$7)*
  (desp[data.pagamento]&gt;=$A60)*
  (desp[data.pagamento]&lt;EOMONTH($A60,0)+1)
)</f>
        <v>0</v>
      </c>
      <c r="V60" s="178" cm="1">
        <f t="array" ref="V60">SUMPRODUCT(
  IFERROR(--desp[valor],0)*
  (desp[nucleo]="UP VILA SONIA")*
  (desp[categoria]=V$7)*
  (desp[data.pagamento]&gt;=$A60)*
  (desp[data.pagamento]&lt;EOMONTH($A60,0)+1)
)</f>
        <v>0</v>
      </c>
      <c r="W60" s="178" cm="1">
        <f t="array" ref="W60">SUMPRODUCT(
  IFERROR(--desp[valor],0)*
  (desp[nucleo]="UP VILA SONIA")*
  (desp[categoria]=W$7)*
  (desp[data.pagamento]&gt;=$A60)*
  (desp[data.pagamento]&lt;EOMONTH($A60,0)+1)
)</f>
        <v>0</v>
      </c>
      <c r="X60" s="178" cm="1">
        <f t="array" ref="X60">SUMPRODUCT(
  IFERROR(--desp[valor],0)*
  (desp[nucleo]="UP VILA SONIA")*
  (desp[categoria]=X$7)*
  (desp[data.pagamento]&gt;=$A60)*
  (desp[data.pagamento]&lt;EOMONTH($A60,0)+1)
)</f>
        <v>0</v>
      </c>
      <c r="Y60" s="179" cm="1">
        <f t="array" ref="Y60">SUMPRODUCT(
  IFERROR(--desp[valor],0)*
  (desp[nucleo]="UP VILA SONIA")*
  (desp[categoria]=Y$7)*
  (desp[data.pagamento]&gt;=$A60)*
  (desp[data.pagamento]&lt;EOMONTH($A60,0)+1)
)</f>
        <v>0</v>
      </c>
      <c r="Z60" s="177">
        <f>COUNTIFS(
    estq[empresa], Z$6,
    estq[Data da venda / reserva], "&gt;=" &amp; $A60,
    estq[Data da venda / reserva], "&lt;"  &amp; EOMONTH($A60,0) + 1
)</f>
        <v>0</v>
      </c>
      <c r="AA60" s="178">
        <f ca="1">SUMIFS(rec.uni[2025-10-01],
INDIRECT("rec.uni[natureza]"),"pro.soluto",
INDIRECT("rec.uni[empresa]"),AA$6)</f>
        <v>0</v>
      </c>
      <c r="AB60" s="178">
        <f ca="1">SUMIFS(rec.uni[2025-10-01],
INDIRECT("rec.uni[natureza]"),"pro.soluto",
INDIRECT("rec.uni[empresa]"),AB$6)</f>
        <v>0</v>
      </c>
      <c r="AC60" s="178">
        <f ca="1">SUMIFS(rec.uni[2025-10-01],
INDIRECT("rec.uni[natureza]"),"taxa.extra",
INDIRECT("rec.uni[empresa]"),AC$6)</f>
        <v>0</v>
      </c>
      <c r="AD60" s="166"/>
      <c r="AE60" s="178" cm="1">
        <f t="array" ref="AE60">SUMPRODUCT(
  IFERROR(--desp[valor],0)*
  (desp[nucleo]="UP CAMPO BELO")*
  (desp[categoria]=AE$7)*
  (desp[data.pagamento]&gt;=$A60)*
  (desp[data.pagamento]&lt;EOMONTH($A60,0)+1)
)</f>
        <v>0</v>
      </c>
      <c r="AF60" s="178" cm="1">
        <f t="array" ref="AF60">SUMPRODUCT(
  IFERROR(--desp[valor],0)*
  (desp[nucleo]="UP CAMPO BELO")*
  (desp[categoria]=AF$7)*
  (desp[data.pagamento]&gt;=$A60)*
  (desp[data.pagamento]&lt;EOMONTH($A60,0)+1)
)</f>
        <v>0</v>
      </c>
      <c r="AG60" s="178" cm="1">
        <f t="array" ref="AG60">SUMPRODUCT(
  IFERROR(--desp[valor],0)*
  (desp[nucleo]="UP CAMPO BELO")*
  (desp[categoria]=AG$7)*
  (desp[data.pagamento]&gt;=$A60)*
  (desp[data.pagamento]&lt;EOMONTH($A60,0)+1)
)</f>
        <v>0</v>
      </c>
      <c r="AH60" s="178" cm="1">
        <f t="array" ref="AH60">SUMPRODUCT(
  IFERROR(--desp[valor],0)*
  (desp[nucleo]="UP CAMPO BELO")*
  (desp[categoria]=AH$7)*
  (desp[data.pagamento]&gt;=$A60)*
  (desp[data.pagamento]&lt;EOMONTH($A60,0)+1)
)</f>
        <v>0</v>
      </c>
      <c r="AI60" s="179" cm="1">
        <f t="array" ref="AI60">SUMPRODUCT(
  IFERROR(--desp[valor],0)*
  (desp[nucleo]="UP CAMPO BELO")*
  (desp[categoria]=AI$7)*
  (desp[data.pagamento]&gt;=$A60)*
  (desp[data.pagamento]&lt;EOMONTH($A60,0)+1)
)</f>
        <v>0</v>
      </c>
      <c r="AJ60" s="177">
        <f>COUNTIFS(
    estq[empresa], AJ$6,
    estq[Data da venda / reserva], "&gt;=" &amp; $A60,
    estq[Data da venda / reserva], "&lt;"  &amp; EOMONTH($A60,0) + 1
)</f>
        <v>0</v>
      </c>
      <c r="AK60" s="178">
        <f ca="1">SUMIFS(rec.uni[2025-10-01],
INDIRECT("rec.uni[natureza]"),"pro.soluto",
INDIRECT("rec.uni[empresa]"),AK$6)</f>
        <v>0</v>
      </c>
      <c r="AL60" s="178">
        <f ca="1">SUMIFS(rec.uni[2025-10-01],
INDIRECT("rec.uni[natureza]"),"repasse.cef.obra",
INDIRECT("rec.uni[empresa]"),AL$6)</f>
        <v>0</v>
      </c>
      <c r="AM60" s="178">
        <f ca="1">SUMIFS(rec.uni[2025-10-01],
INDIRECT("rec.uni[natureza]"),"repasse.cef.terreno",
INDIRECT("rec.uni[empresa]"),AM$6)</f>
        <v>0</v>
      </c>
      <c r="AN60" s="178">
        <v>314892.83</v>
      </c>
      <c r="AO60" s="178">
        <f ca="1">SUMIFS(rec.uni[2025-10-01],
INDIRECT("rec.uni[natureza]"),"taxa.extra",
INDIRECT("rec.uni[empresa]"),AO$6)</f>
        <v>0</v>
      </c>
      <c r="AP60" s="166"/>
      <c r="AQ60" s="178" cm="1">
        <f t="array" ref="AQ60">SUMPRODUCT(
  IFERROR(--desp[valor],0)*
  (desp[nucleo]="UP SELECT VILA SONIA")*
  (desp[categoria]=AQ$7)*
  (desp[data.pagamento]&gt;=$A60)*
  (desp[data.pagamento]&lt;EOMONTH($A60,0)+1)
)</f>
        <v>0</v>
      </c>
      <c r="AR60" s="178" cm="1">
        <f t="array" ref="AR60">SUMPRODUCT(
  IFERROR(--desp[valor],0)*
  (desp[nucleo]="UP SELECT VILA SONIA")*
  (desp[categoria]=AR$7)*
  (desp[data.pagamento]&gt;=$A60)*
  (desp[data.pagamento]&lt;EOMONTH($A60,0)+1)
)</f>
        <v>0</v>
      </c>
      <c r="AS60" s="178" cm="1">
        <f t="array" ref="AS60">SUMPRODUCT(
  IFERROR(--desp[valor],0)*
  (desp[nucleo]="UP SELECT VILA SONIA")*
  (desp[categoria]=AS$7)*
  (desp[data.pagamento]&gt;=$A60)*
  (desp[data.pagamento]&lt;EOMONTH($A60,0)+1)
)</f>
        <v>0</v>
      </c>
      <c r="AT60" s="178" cm="1">
        <f t="array" ref="AT60">SUMPRODUCT(
  IFERROR(--desp[valor],0)*
  (desp[nucleo]="UP SELECT VILA SONIA")*
  (desp[categoria]=AT$7)*
  (desp[data.pagamento]&gt;=$A60)*
  (desp[data.pagamento]&lt;EOMONTH($A60,0)+1)
)</f>
        <v>0</v>
      </c>
      <c r="AU60" s="179" cm="1">
        <f t="array" ref="AU60">SUMPRODUCT(
  IFERROR(--desp[valor],0)*
  (desp[nucleo]="UP SELECT VILA SONIA")*
  (desp[categoria]=AU$7)*
  (desp[data.pagamento]&gt;=$A60)*
  (desp[data.pagamento]&lt;EOMONTH($A60,0)+1)
)</f>
        <v>0</v>
      </c>
      <c r="AV60" s="177">
        <f>COUNTIFS(
    estq[empresa], AV$6,
    estq[Data da venda / reserva], "&gt;=" &amp; $A60,
    estq[Data da venda / reserva], "&lt;"  &amp; EOMONTH($A60,0) + 1
)</f>
        <v>0</v>
      </c>
      <c r="AW60" s="178">
        <f ca="1">SUMIFS(rec.uni[2025-10-01],
INDIRECT("rec.uni[natureza]"),"pro.soluto",
INDIRECT("rec.uni[empresa]"),AW$6)</f>
        <v>0</v>
      </c>
      <c r="AX60" s="178">
        <f ca="1">SUMIFS(rec.uni[2025-10-01],
INDIRECT("rec.uni[natureza]"),"repasse.cef.obra",
INDIRECT("rec.uni[empresa]"),AX$6)</f>
        <v>0</v>
      </c>
      <c r="AY60" s="178">
        <f ca="1">SUMIFS(rec.uni[2025-10-01],
INDIRECT("rec.uni[natureza]"),"repasse.cef.terreno",
INDIRECT("rec.uni[empresa]"),AY$6)</f>
        <v>0</v>
      </c>
      <c r="AZ60" s="178">
        <v>0</v>
      </c>
      <c r="BA60" s="178">
        <f ca="1">SUMIFS(rec.uni[2025-10-01],
INDIRECT("rec.uni[natureza]"),"taxa.extra",
INDIRECT("rec.uni[empresa]"),BA$6)</f>
        <v>0</v>
      </c>
      <c r="BB60" s="166"/>
      <c r="BC60" s="178" cm="1">
        <f t="array" ref="BC60">SUMPRODUCT(
  IFERROR(--desp[valor],0)*
  (desp[nucleo]="UP ESTAÇÃO SÃO LUCAS")*
  (desp[categoria]=BC$7)*
  (desp[data.pagamento]&gt;=$A60)*
  (desp[data.pagamento]&lt;EOMONTH($A60,0)+1)
)</f>
        <v>0</v>
      </c>
      <c r="BD60" s="178" cm="1">
        <f t="array" ref="BD60">SUMPRODUCT(
  IFERROR(--desp[valor],0)*
  (desp[nucleo]="UP ESTAÇÃO SÃO LUCAS")*
  (desp[categoria]=BD$7)*
  (desp[data.pagamento]&gt;=$A60)*
  (desp[data.pagamento]&lt;EOMONTH($A60,0)+1)
)</f>
        <v>0</v>
      </c>
      <c r="BE60" s="178" cm="1">
        <f t="array" ref="BE60">SUMPRODUCT(
  IFERROR(--desp[valor],0)*
  (desp[nucleo]="UP ESTAÇÃO SÃO LUCAS")*
  (desp[categoria]=BE$7)*
  (desp[data.pagamento]&gt;=$A60)*
  (desp[data.pagamento]&lt;EOMONTH($A60,0)+1)
)</f>
        <v>0</v>
      </c>
      <c r="BF60" s="178" cm="1">
        <f t="array" ref="BF60">SUMPRODUCT(
  IFERROR(--desp[valor],0)*
  (desp[nucleo]="UP ESTAÇÃO SÃO LUCAS")*
  (desp[categoria]=BF$7)*
  (desp[data.pagamento]&gt;=$A60)*
  (desp[data.pagamento]&lt;EOMONTH($A60,0)+1)
)</f>
        <v>0</v>
      </c>
      <c r="BG60" s="179" cm="1">
        <f t="array" ref="BG60">SUMPRODUCT(
  IFERROR(--desp[valor],0)*
  (desp[nucleo]="UP ESTAÇÃO SÃO LUCAS")*
  (desp[categoria]=BG$7)*
  (desp[data.pagamento]&gt;=$A60)*
  (desp[data.pagamento]&lt;EOMONTH($A60,0)+1)
)</f>
        <v>0</v>
      </c>
      <c r="BH60" s="177">
        <f>COUNTIFS(
    estq[empresa], BH$6,
    estq[Data da venda / reserva], "&gt;=" &amp; $A60,
    estq[Data da venda / reserva], "&lt;"  &amp; EOMONTH($A60,0) + 1
)</f>
        <v>0</v>
      </c>
      <c r="BI60" s="178">
        <f ca="1">SUMIFS(rec.uni[2025-10-01],
INDIRECT("rec.uni[natureza]"),"pro.soluto",
INDIRECT("rec.uni[empresa]"),BI$6)</f>
        <v>0</v>
      </c>
      <c r="BJ60" s="166">
        <f>6.57*94736</f>
        <v>622415.52</v>
      </c>
      <c r="BK60" s="178">
        <f ca="1">SUMIFS(rec.uni[2025-10-01],
INDIRECT("rec.uni[natureza]"),"taxa.extra",
INDIRECT("rec.uni[empresa]"),BK$6)</f>
        <v>0</v>
      </c>
      <c r="BL60" s="166"/>
      <c r="BM60" s="178" cm="1">
        <f t="array" ref="BM60">SUMPRODUCT(
  IFERROR(--desp[valor],0)*
  (desp[nucleo]="UP POMPEIA")*
  (desp[categoria]=BM$7)*
  (desp[data.pagamento]&gt;=$A60)*
  (desp[data.pagamento]&lt;EOMONTH($A60,0)+1)
)</f>
        <v>0</v>
      </c>
      <c r="BN60" s="178" cm="1">
        <f t="array" ref="BN60">SUMPRODUCT(
  IFERROR(--desp[valor],0)*
  (desp[nucleo]="UP POMPEIA")*
  (desp[categoria]=BN$7)*
  (desp[data.pagamento]&gt;=$A60)*
  (desp[data.pagamento]&lt;EOMONTH($A60,0)+1)
)</f>
        <v>0</v>
      </c>
      <c r="BO60" s="178" cm="1">
        <f t="array" ref="BO60">SUMPRODUCT(
  IFERROR(--desp[valor],0)*
  (desp[nucleo]="UP POMPEIA")*
  (desp[categoria]=BO$7)*
  (desp[data.pagamento]&gt;=$A60)*
  (desp[data.pagamento]&lt;EOMONTH($A60,0)+1)
)</f>
        <v>0</v>
      </c>
      <c r="BP60" s="178" cm="1">
        <f t="array" ref="BP60">SUMPRODUCT(
  IFERROR(--desp[valor],0)*
  (desp[nucleo]="UP POMPEIA")*
  (desp[categoria]=BP$7)*
  (desp[data.pagamento]&gt;=$A60)*
  (desp[data.pagamento]&lt;EOMONTH($A60,0)+1)
)</f>
        <v>0</v>
      </c>
      <c r="BQ60" s="179" cm="1">
        <f t="array" ref="BQ60">SUMPRODUCT(
  IFERROR(--desp[valor],0)*
  (desp[nucleo]="UP POMPEIA")*
  (desp[categoria]=BQ$7)*
  (desp[data.pagamento]&gt;=$A60)*
  (desp[data.pagamento]&lt;EOMONTH($A60,0)+1)
)</f>
        <v>0</v>
      </c>
      <c r="BR60" s="177">
        <f>COUNTIFS(
    estq[empresa], BR$6,
    estq[Data da venda / reserva], "&gt;=" &amp; $A60,
    estq[Data da venda / reserva], "&lt;"  &amp; EOMONTH($A60,0) + 1
)</f>
        <v>0</v>
      </c>
      <c r="BS60" s="178">
        <f ca="1">SUMIFS(rec.uni[2025-10-01],
INDIRECT("rec.uni[natureza]"),"pro.soluto",
INDIRECT("rec.uni[empresa]"),BS$6)</f>
        <v>0</v>
      </c>
      <c r="BT60" s="178">
        <f ca="1">SUMIFS(rec.uni[2025-10-01],
INDIRECT("rec.uni[natureza]"),"pro.soluto",
INDIRECT("rec.uni[empresa]"),BT$6)</f>
        <v>0</v>
      </c>
      <c r="BU60" s="178">
        <f ca="1">SUMIFS(rec.uni[2025-10-01],
INDIRECT("rec.uni[natureza]"),"taxa.extra",
INDIRECT("rec.uni[empresa]"),BU$6)</f>
        <v>0</v>
      </c>
      <c r="BV60" s="166"/>
      <c r="BW60" s="178" cm="1">
        <f t="array" ref="BW60">SUMPRODUCT(
  IFERROR(--desp[valor],0)*
  (desp[nucleo]="UP SAUDE")*
  (desp[categoria]=BW$7)*
  (desp[data.pagamento]&gt;=$A60)*
  (desp[data.pagamento]&lt;EOMONTH($A60,0)+1)
)</f>
        <v>0</v>
      </c>
      <c r="BX60" s="178" cm="1">
        <f t="array" ref="BX60">SUMPRODUCT(
  IFERROR(--desp[valor],0)*
  (desp[nucleo]="UP SAUDE")*
  (desp[categoria]=BX$7)*
  (desp[data.pagamento]&gt;=$A60)*
  (desp[data.pagamento]&lt;EOMONTH($A60,0)+1)
)</f>
        <v>0</v>
      </c>
      <c r="BY60" s="178" cm="1">
        <f t="array" ref="BY60">SUMPRODUCT(
  IFERROR(--desp[valor],0)*
  (desp[nucleo]="UP SAUDE")*
  (desp[categoria]=BY$7)*
  (desp[data.pagamento]&gt;=$A60)*
  (desp[data.pagamento]&lt;EOMONTH($A60,0)+1)
)</f>
        <v>0</v>
      </c>
      <c r="BZ60" s="178" cm="1">
        <f t="array" ref="BZ60">SUMPRODUCT(
  IFERROR(--desp[valor],0)*
  (desp[nucleo]="UP SAUDE")*
  (desp[categoria]=BZ$7)*
  (desp[data.pagamento]&gt;=$A60)*
  (desp[data.pagamento]&lt;EOMONTH($A60,0)+1)
)</f>
        <v>0</v>
      </c>
      <c r="CA60" s="179" cm="1">
        <f t="array" ref="CA60">SUMPRODUCT(
  IFERROR(--desp[valor],0)*
  (desp[nucleo]="UP SAUDE")*
  (desp[categoria]=CA$7)*
  (desp[data.pagamento]&gt;=$A60)*
  (desp[data.pagamento]&lt;EOMONTH($A60,0)+1)
)</f>
        <v>0</v>
      </c>
      <c r="CB60" s="177">
        <f>COUNTIFS(
    estq[empresa], CB$6,
    estq[Data da venda / reserva], "&gt;=" &amp; $A60,
    estq[Data da venda / reserva], "&lt;"  &amp; EOMONTH($A60,0) + 1
)</f>
        <v>0</v>
      </c>
      <c r="CC60" s="178">
        <f ca="1">SUMIFS(rec.uni[2025-10-01],
INDIRECT("rec.uni[natureza]"),"pro.soluto",
INDIRECT("rec.uni[empresa]"),CC$6)</f>
        <v>0</v>
      </c>
      <c r="CD60" s="178">
        <f ca="1">SUMIFS(rec.uni[2025-10-01],
INDIRECT("rec.uni[natureza]"),"repasse.cef.obra",
INDIRECT("rec.uni[empresa]"),CD$6)</f>
        <v>0</v>
      </c>
      <c r="CE60" s="178">
        <f ca="1">SUMIFS(rec.uni[2025-10-01],
INDIRECT("rec.uni[natureza]"),"repasse.cef.terreno",
INDIRECT("rec.uni[empresa]"),CE$6)</f>
        <v>0</v>
      </c>
      <c r="CF60" s="178">
        <v>165252.20000000001</v>
      </c>
      <c r="CG60" s="178">
        <f ca="1">SUMIFS(rec.uni[2025-10-01],
INDIRECT("rec.uni[natureza]"),"taxa.extra",
INDIRECT("rec.uni[empresa]"),CG$6)</f>
        <v>0</v>
      </c>
      <c r="CH60" s="166"/>
      <c r="CI60" s="178" cm="1">
        <f t="array" ref="CI60">SUMPRODUCT(
  IFERROR(--desp[valor],0)*
  (desp[nucleo]="UP ESTAÇÃO VILA SONIA")*
  (desp[categoria]=CI$7)*
  (desp[data.pagamento]&gt;=$A60)*
  (desp[data.pagamento]&lt;EOMONTH($A60,0)+1)
)</f>
        <v>0</v>
      </c>
      <c r="CJ60" s="178" cm="1">
        <f t="array" ref="CJ60">SUMPRODUCT(
  IFERROR(--desp[valor],0)*
  (desp[nucleo]="UP ESTAÇÃO VILA SONIA")*
  (desp[categoria]=CJ$7)*
  (desp[data.pagamento]&gt;=$A60)*
  (desp[data.pagamento]&lt;EOMONTH($A60,0)+1)
)</f>
        <v>0</v>
      </c>
      <c r="CK60" s="178" cm="1">
        <f t="array" ref="CK60">SUMPRODUCT(
  IFERROR(--desp[valor],0)*
  (desp[nucleo]="UP ESTAÇÃO VILA SONIA")*
  (desp[categoria]=CK$7)*
  (desp[data.pagamento]&gt;=$A60)*
  (desp[data.pagamento]&lt;EOMONTH($A60,0)+1)
)</f>
        <v>0</v>
      </c>
      <c r="CL60" s="178" cm="1">
        <f t="array" ref="CL60">SUMPRODUCT(
  IFERROR(--desp[valor],0)*
  (desp[nucleo]="UP ESTAÇÃO VILA SONIA")*
  (desp[categoria]=CL$7)*
  (desp[data.pagamento]&gt;=$A60)*
  (desp[data.pagamento]&lt;EOMONTH($A60,0)+1)
)</f>
        <v>0</v>
      </c>
      <c r="CM60" s="179" cm="1">
        <f t="array" ref="CM60">SUMPRODUCT(
  IFERROR(--desp[valor],0)*
  (desp[nucleo]="UP ESTAÇÃO VILA SONIA")*
  (desp[categoria]=CM$7)*
  (desp[data.pagamento]&gt;=$A60)*
  (desp[data.pagamento]&lt;EOMONTH($A60,0)+1)
)</f>
        <v>0</v>
      </c>
      <c r="CN60" s="177">
        <f>COUNTIFS(
    estq[empresa], CN$6,
    estq[Data da venda / reserva], "&gt;=" &amp; $A60,
    estq[Data da venda / reserva], "&lt;"  &amp; EOMONTH($A60,0) + 1
)</f>
        <v>0</v>
      </c>
      <c r="CO60" s="178">
        <f ca="1">SUMIFS(rec.uni[2025-10-01],
INDIRECT("rec.uni[natureza]"),"pro.soluto",
INDIRECT("rec.uni[empresa]"),CO$6)</f>
        <v>0</v>
      </c>
      <c r="CP60" s="178">
        <f ca="1">SUMIFS(rec.uni[2025-10-01],
INDIRECT("rec.uni[natureza]"),"repasse.cef.obra",
INDIRECT("rec.uni[empresa]"),CP$6)</f>
        <v>0</v>
      </c>
      <c r="CQ60" s="178">
        <f ca="1">SUMIFS(rec.uni[2025-10-01],
INDIRECT("rec.uni[natureza]"),"repasse.cef.terreno",
INDIRECT("rec.uni[empresa]"),CQ$6)</f>
        <v>0</v>
      </c>
      <c r="CR60" s="178">
        <v>0</v>
      </c>
      <c r="CS60" s="178">
        <f ca="1">SUMIFS(rec.uni[2025-10-01],
INDIRECT("rec.uni[natureza]"),"taxa.extra",
INDIRECT("rec.uni[empresa]"),CS$6)</f>
        <v>0</v>
      </c>
      <c r="CT60" s="166"/>
      <c r="CU60" s="178" cm="1">
        <f t="array" ref="CU60">SUMPRODUCT(
  IFERROR(--desp[valor],0)*
  (desp[nucleo]="UP MOVE VILA SONIA")*
  (desp[categoria]=CU$7)*
  (desp[data.pagamento]&gt;=$A60)*
  (desp[data.pagamento]&lt;EOMONTH($A60,0)+1)
)</f>
        <v>0</v>
      </c>
      <c r="CV60" s="178" cm="1">
        <f t="array" ref="CV60">SUMPRODUCT(
  IFERROR(--desp[valor],0)*
  (desp[nucleo]="UP MOVE VILA SONIA")*
  (desp[categoria]=CV$7)*
  (desp[data.pagamento]&gt;=$A60)*
  (desp[data.pagamento]&lt;EOMONTH($A60,0)+1)
)</f>
        <v>0</v>
      </c>
      <c r="CW60" s="178" cm="1">
        <f t="array" ref="CW60">SUMPRODUCT(
  IFERROR(--desp[valor],0)*
  (desp[nucleo]="UP MOVE VILA SONIA")*
  (desp[categoria]=CW$7)*
  (desp[data.pagamento]&gt;=$A60)*
  (desp[data.pagamento]&lt;EOMONTH($A60,0)+1)
)</f>
        <v>0</v>
      </c>
      <c r="CX60" s="178" cm="1">
        <f t="array" ref="CX60">SUMPRODUCT(
  IFERROR(--desp[valor],0)*
  (desp[nucleo]="UP MOVE VILA SONIA")*
  (desp[categoria]=CX$7)*
  (desp[data.pagamento]&gt;=$A60)*
  (desp[data.pagamento]&lt;EOMONTH($A60,0)+1)
)</f>
        <v>0</v>
      </c>
      <c r="CY60" s="180" cm="1">
        <f t="array" ref="CY60">SUMPRODUCT(
  IFERROR(--desp[valor],0)*
  (desp[nucleo]="UP MOVE VILA SONIA")*
  (desp[categoria]=CY$7)*
  (desp[data.pagamento]&gt;=$A60)*
  (desp[data.pagamento]&lt;EOMONTH($A60,0)+1)
)</f>
        <v>0</v>
      </c>
    </row>
    <row r="61" spans="1:103" x14ac:dyDescent="0.25">
      <c r="A61" s="176">
        <v>45962</v>
      </c>
      <c r="B61" s="177">
        <f>COUNTIFS(
    estq[empresa], B$6,
    estq[Data da venda / reserva], "&gt;=" &amp; $A61,
    estq[Data da venda / reserva], "&lt;"  &amp; EOMONTH($A61,0) + 1
)</f>
        <v>0</v>
      </c>
      <c r="C61" s="178">
        <f ca="1">SUMIFS(rec.uni[2025-11-01],
INDIRECT("rec.uni[natureza]"),"pro.soluto",
INDIRECT("rec.uni[empresa]"),C$6)</f>
        <v>0</v>
      </c>
      <c r="D61" s="178">
        <f ca="1">SUMIFS(rec.uni[2025-11-01],
INDIRECT("rec.uni[natureza]"),"repasse.cef.obra",
INDIRECT("rec.uni[empresa]"),D$6)</f>
        <v>0</v>
      </c>
      <c r="E61" s="178">
        <f ca="1">SUMIFS(rec.uni[2025-11-01],
INDIRECT("rec.uni[natureza]"),"repasse.cef.terreno",
INDIRECT("rec.uni[empresa]"),E$6)</f>
        <v>0</v>
      </c>
      <c r="F61" s="181">
        <v>230479.34</v>
      </c>
      <c r="G61" s="178">
        <f ca="1">SUMIFS(rec.uni[2025-11-01],
INDIRECT("rec.uni[natureza]"),"taxa.extra",
INDIRECT("rec.uni[empresa]"),G$6)</f>
        <v>0</v>
      </c>
      <c r="H61" s="166"/>
      <c r="I61" s="178" cm="1">
        <f t="array" ref="I61">SUMPRODUCT(
  IFERROR(--desp[valor],0)*
  (desp[nucleo]="UP JARDIM PRUDENCIA")*
  (desp[categoria]=I$7)*
  (desp[data.pagamento]&gt;=$A61)*
  (desp[data.pagamento]&lt;EOMONTH($A61,0)+1)
)</f>
        <v>0</v>
      </c>
      <c r="J61" s="178" cm="1">
        <f t="array" ref="J61">SUMPRODUCT(
  IFERROR(--desp[valor],0)*
  (desp[nucleo]="UP JARDIM PRUDENCIA")*
  (desp[categoria]=J$7)*
  (desp[data.pagamento]&gt;=$A61)*
  (desp[data.pagamento]&lt;EOMONTH($A61,0)+1)
)</f>
        <v>0</v>
      </c>
      <c r="K61" s="178" cm="1">
        <f t="array" ref="K61">SUMPRODUCT(
  IFERROR(--desp[valor],0)*
  (desp[nucleo]="UP JARDIM PRUDENCIA")*
  (desp[categoria]=K$7)*
  (desp[data.pagamento]&gt;=$A61)*
  (desp[data.pagamento]&lt;EOMONTH($A61,0)+1)
)</f>
        <v>0</v>
      </c>
      <c r="L61" s="178" cm="1">
        <f t="array" ref="L61">SUMPRODUCT(
  IFERROR(--desp[valor],0)*
  (desp[nucleo]="UP JARDIM PRUDENCIA")*
  (desp[categoria]=L$7)*
  (desp[data.pagamento]&gt;=$A61)*
  (desp[data.pagamento]&lt;EOMONTH($A61,0)+1)
)</f>
        <v>0</v>
      </c>
      <c r="M61" s="179" cm="1">
        <f t="array" ref="M61">SUMPRODUCT(
  IFERROR(--desp[valor],0)*
  (desp[nucleo]="UP JARDIM PRUDENCIA")*
  (desp[categoria]=M$7)*
  (desp[data.pagamento]&gt;=$A61)*
  (desp[data.pagamento]&lt;EOMONTH($A61,0)+1)
)</f>
        <v>0</v>
      </c>
      <c r="N61" s="177">
        <f>COUNTIFS(
    estq[empresa], N$6,
    estq[Data da venda / reserva], "&gt;=" &amp; $A61,
    estq[Data da venda / reserva], "&lt;"  &amp; EOMONTH($A61,0) + 1
)</f>
        <v>0</v>
      </c>
      <c r="O61" s="178">
        <f ca="1">SUMIFS(rec.uni[2025-11-01],
INDIRECT("rec.uni[natureza]"),"pro.soluto",
INDIRECT("rec.uni[empresa]"),O$6)</f>
        <v>0</v>
      </c>
      <c r="P61" s="178">
        <f ca="1">SUMIFS(rec.uni[2025-11-01],
INDIRECT("rec.uni[natureza]"),"repasse.cef.obra",
INDIRECT("rec.uni[empresa]"),P$6)</f>
        <v>0</v>
      </c>
      <c r="Q61" s="178">
        <f ca="1">SUMIFS(rec.uni[2025-11-01],
INDIRECT("rec.uni[natureza]"),"repasse.cef.terreno",
INDIRECT("rec.uni[empresa]"),Q$6)</f>
        <v>0</v>
      </c>
      <c r="R61" s="181">
        <v>0</v>
      </c>
      <c r="S61" s="178">
        <f ca="1">SUMIFS(rec.uni[2025-11-01],
INDIRECT("rec.uni[natureza]"),"taxa.extra",
INDIRECT("rec.uni[empresa]"),S$6)</f>
        <v>0</v>
      </c>
      <c r="T61" s="166"/>
      <c r="U61" s="178" cm="1">
        <f t="array" ref="U61">SUMPRODUCT(
  IFERROR(--desp[valor],0)*
  (desp[nucleo]="UP VILA SONIA")*
  (desp[categoria]=U$7)*
  (desp[data.pagamento]&gt;=$A61)*
  (desp[data.pagamento]&lt;EOMONTH($A61,0)+1)
)</f>
        <v>0</v>
      </c>
      <c r="V61" s="178" cm="1">
        <f t="array" ref="V61">SUMPRODUCT(
  IFERROR(--desp[valor],0)*
  (desp[nucleo]="UP VILA SONIA")*
  (desp[categoria]=V$7)*
  (desp[data.pagamento]&gt;=$A61)*
  (desp[data.pagamento]&lt;EOMONTH($A61,0)+1)
)</f>
        <v>0</v>
      </c>
      <c r="W61" s="178" cm="1">
        <f t="array" ref="W61">SUMPRODUCT(
  IFERROR(--desp[valor],0)*
  (desp[nucleo]="UP VILA SONIA")*
  (desp[categoria]=W$7)*
  (desp[data.pagamento]&gt;=$A61)*
  (desp[data.pagamento]&lt;EOMONTH($A61,0)+1)
)</f>
        <v>0</v>
      </c>
      <c r="X61" s="178" cm="1">
        <f t="array" ref="X61">SUMPRODUCT(
  IFERROR(--desp[valor],0)*
  (desp[nucleo]="UP VILA SONIA")*
  (desp[categoria]=X$7)*
  (desp[data.pagamento]&gt;=$A61)*
  (desp[data.pagamento]&lt;EOMONTH($A61,0)+1)
)</f>
        <v>0</v>
      </c>
      <c r="Y61" s="179" cm="1">
        <f t="array" ref="Y61">SUMPRODUCT(
  IFERROR(--desp[valor],0)*
  (desp[nucleo]="UP VILA SONIA")*
  (desp[categoria]=Y$7)*
  (desp[data.pagamento]&gt;=$A61)*
  (desp[data.pagamento]&lt;EOMONTH($A61,0)+1)
)</f>
        <v>0</v>
      </c>
      <c r="Z61" s="177">
        <f>COUNTIFS(
    estq[empresa], Z$6,
    estq[Data da venda / reserva], "&gt;=" &amp; $A61,
    estq[Data da venda / reserva], "&lt;"  &amp; EOMONTH($A61,0) + 1
)</f>
        <v>0</v>
      </c>
      <c r="AA61" s="178">
        <f ca="1">SUMIFS(rec.uni[2025-11-01],
INDIRECT("rec.uni[natureza]"),"pro.soluto",
INDIRECT("rec.uni[empresa]"),AA$6)</f>
        <v>0</v>
      </c>
      <c r="AB61" s="178">
        <f ca="1">SUMIFS(rec.uni[2025-11-01],
INDIRECT("rec.uni[natureza]"),"pro.soluto",
INDIRECT("rec.uni[empresa]"),AB$6)</f>
        <v>0</v>
      </c>
      <c r="AC61" s="178">
        <f ca="1">SUMIFS(rec.uni[2025-11-01],
INDIRECT("rec.uni[natureza]"),"taxa.extra",
INDIRECT("rec.uni[empresa]"),AC$6)</f>
        <v>0</v>
      </c>
      <c r="AD61" s="166"/>
      <c r="AE61" s="178" cm="1">
        <f t="array" ref="AE61">SUMPRODUCT(
  IFERROR(--desp[valor],0)*
  (desp[nucleo]="UP CAMPO BELO")*
  (desp[categoria]=AE$7)*
  (desp[data.pagamento]&gt;=$A61)*
  (desp[data.pagamento]&lt;EOMONTH($A61,0)+1)
)</f>
        <v>0</v>
      </c>
      <c r="AF61" s="178" cm="1">
        <f t="array" ref="AF61">SUMPRODUCT(
  IFERROR(--desp[valor],0)*
  (desp[nucleo]="UP CAMPO BELO")*
  (desp[categoria]=AF$7)*
  (desp[data.pagamento]&gt;=$A61)*
  (desp[data.pagamento]&lt;EOMONTH($A61,0)+1)
)</f>
        <v>0</v>
      </c>
      <c r="AG61" s="178" cm="1">
        <f t="array" ref="AG61">SUMPRODUCT(
  IFERROR(--desp[valor],0)*
  (desp[nucleo]="UP CAMPO BELO")*
  (desp[categoria]=AG$7)*
  (desp[data.pagamento]&gt;=$A61)*
  (desp[data.pagamento]&lt;EOMONTH($A61,0)+1)
)</f>
        <v>0</v>
      </c>
      <c r="AH61" s="178" cm="1">
        <f t="array" ref="AH61">SUMPRODUCT(
  IFERROR(--desp[valor],0)*
  (desp[nucleo]="UP CAMPO BELO")*
  (desp[categoria]=AH$7)*
  (desp[data.pagamento]&gt;=$A61)*
  (desp[data.pagamento]&lt;EOMONTH($A61,0)+1)
)</f>
        <v>0</v>
      </c>
      <c r="AI61" s="179" cm="1">
        <f t="array" ref="AI61">SUMPRODUCT(
  IFERROR(--desp[valor],0)*
  (desp[nucleo]="UP CAMPO BELO")*
  (desp[categoria]=AI$7)*
  (desp[data.pagamento]&gt;=$A61)*
  (desp[data.pagamento]&lt;EOMONTH($A61,0)+1)
)</f>
        <v>0</v>
      </c>
      <c r="AJ61" s="177">
        <f>COUNTIFS(
    estq[empresa], AJ$6,
    estq[Data da venda / reserva], "&gt;=" &amp; $A61,
    estq[Data da venda / reserva], "&lt;"  &amp; EOMONTH($A61,0) + 1
)</f>
        <v>0</v>
      </c>
      <c r="AK61" s="178">
        <f ca="1">SUMIFS(rec.uni[2025-11-01],
INDIRECT("rec.uni[natureza]"),"pro.soluto",
INDIRECT("rec.uni[empresa]"),AK$6)</f>
        <v>0</v>
      </c>
      <c r="AL61" s="178">
        <f ca="1">SUMIFS(rec.uni[2025-11-01],
INDIRECT("rec.uni[natureza]"),"repasse.cef.obra",
INDIRECT("rec.uni[empresa]"),AL$6)</f>
        <v>0</v>
      </c>
      <c r="AM61" s="181">
        <f ca="1">SUMIFS(rec.uni[2025-11-01],
INDIRECT("rec.uni[natureza]"),"repasse.cef.terreno",
INDIRECT("rec.uni[empresa]"),AM$6)</f>
        <v>0</v>
      </c>
      <c r="AN61" s="181">
        <v>378061.31</v>
      </c>
      <c r="AO61" s="178">
        <f ca="1">SUMIFS(rec.uni[2025-11-01],
INDIRECT("rec.uni[natureza]"),"taxa.extra",
INDIRECT("rec.uni[empresa]"),AO$6)</f>
        <v>0</v>
      </c>
      <c r="AP61" s="166"/>
      <c r="AQ61" s="178" cm="1">
        <f t="array" ref="AQ61">SUMPRODUCT(
  IFERROR(--desp[valor],0)*
  (desp[nucleo]="UP SELECT VILA SONIA")*
  (desp[categoria]=AQ$7)*
  (desp[data.pagamento]&gt;=$A61)*
  (desp[data.pagamento]&lt;EOMONTH($A61,0)+1)
)</f>
        <v>0</v>
      </c>
      <c r="AR61" s="178" cm="1">
        <f t="array" ref="AR61">SUMPRODUCT(
  IFERROR(--desp[valor],0)*
  (desp[nucleo]="UP SELECT VILA SONIA")*
  (desp[categoria]=AR$7)*
  (desp[data.pagamento]&gt;=$A61)*
  (desp[data.pagamento]&lt;EOMONTH($A61,0)+1)
)</f>
        <v>0</v>
      </c>
      <c r="AS61" s="178" cm="1">
        <f t="array" ref="AS61">SUMPRODUCT(
  IFERROR(--desp[valor],0)*
  (desp[nucleo]="UP SELECT VILA SONIA")*
  (desp[categoria]=AS$7)*
  (desp[data.pagamento]&gt;=$A61)*
  (desp[data.pagamento]&lt;EOMONTH($A61,0)+1)
)</f>
        <v>0</v>
      </c>
      <c r="AT61" s="178" cm="1">
        <f t="array" ref="AT61">SUMPRODUCT(
  IFERROR(--desp[valor],0)*
  (desp[nucleo]="UP SELECT VILA SONIA")*
  (desp[categoria]=AT$7)*
  (desp[data.pagamento]&gt;=$A61)*
  (desp[data.pagamento]&lt;EOMONTH($A61,0)+1)
)</f>
        <v>0</v>
      </c>
      <c r="AU61" s="179" cm="1">
        <f t="array" ref="AU61">SUMPRODUCT(
  IFERROR(--desp[valor],0)*
  (desp[nucleo]="UP SELECT VILA SONIA")*
  (desp[categoria]=AU$7)*
  (desp[data.pagamento]&gt;=$A61)*
  (desp[data.pagamento]&lt;EOMONTH($A61,0)+1)
)</f>
        <v>0</v>
      </c>
      <c r="AV61" s="177">
        <f>COUNTIFS(
    estq[empresa], AV$6,
    estq[Data da venda / reserva], "&gt;=" &amp; $A61,
    estq[Data da venda / reserva], "&lt;"  &amp; EOMONTH($A61,0) + 1
)</f>
        <v>0</v>
      </c>
      <c r="AW61" s="178">
        <f ca="1">SUMIFS(rec.uni[2025-11-01],
INDIRECT("rec.uni[natureza]"),"pro.soluto",
INDIRECT("rec.uni[empresa]"),AW$6)</f>
        <v>0</v>
      </c>
      <c r="AX61" s="178">
        <f ca="1">SUMIFS(rec.uni[2025-11-01],
INDIRECT("rec.uni[natureza]"),"repasse.cef.obra",
INDIRECT("rec.uni[empresa]"),AX$6)</f>
        <v>0</v>
      </c>
      <c r="AY61" s="181">
        <f ca="1">SUMIFS(rec.uni[2025-11-01],
INDIRECT("rec.uni[natureza]"),"repasse.cef.terreno",
INDIRECT("rec.uni[empresa]"),AY$6)</f>
        <v>0</v>
      </c>
      <c r="AZ61" s="181">
        <v>0</v>
      </c>
      <c r="BA61" s="178">
        <f ca="1">SUMIFS(rec.uni[2025-11-01],
INDIRECT("rec.uni[natureza]"),"taxa.extra",
INDIRECT("rec.uni[empresa]"),BA$6)</f>
        <v>0</v>
      </c>
      <c r="BB61" s="166"/>
      <c r="BC61" s="178" cm="1">
        <f t="array" ref="BC61">SUMPRODUCT(
  IFERROR(--desp[valor],0)*
  (desp[nucleo]="UP ESTAÇÃO SÃO LUCAS")*
  (desp[categoria]=BC$7)*
  (desp[data.pagamento]&gt;=$A61)*
  (desp[data.pagamento]&lt;EOMONTH($A61,0)+1)
)</f>
        <v>0</v>
      </c>
      <c r="BD61" s="178" cm="1">
        <f t="array" ref="BD61">SUMPRODUCT(
  IFERROR(--desp[valor],0)*
  (desp[nucleo]="UP ESTAÇÃO SÃO LUCAS")*
  (desp[categoria]=BD$7)*
  (desp[data.pagamento]&gt;=$A61)*
  (desp[data.pagamento]&lt;EOMONTH($A61,0)+1)
)</f>
        <v>0</v>
      </c>
      <c r="BE61" s="178" cm="1">
        <f t="array" ref="BE61">SUMPRODUCT(
  IFERROR(--desp[valor],0)*
  (desp[nucleo]="UP ESTAÇÃO SÃO LUCAS")*
  (desp[categoria]=BE$7)*
  (desp[data.pagamento]&gt;=$A61)*
  (desp[data.pagamento]&lt;EOMONTH($A61,0)+1)
)</f>
        <v>0</v>
      </c>
      <c r="BF61" s="178" cm="1">
        <f t="array" ref="BF61">SUMPRODUCT(
  IFERROR(--desp[valor],0)*
  (desp[nucleo]="UP ESTAÇÃO SÃO LUCAS")*
  (desp[categoria]=BF$7)*
  (desp[data.pagamento]&gt;=$A61)*
  (desp[data.pagamento]&lt;EOMONTH($A61,0)+1)
)</f>
        <v>0</v>
      </c>
      <c r="BG61" s="179" cm="1">
        <f t="array" ref="BG61">SUMPRODUCT(
  IFERROR(--desp[valor],0)*
  (desp[nucleo]="UP ESTAÇÃO SÃO LUCAS")*
  (desp[categoria]=BG$7)*
  (desp[data.pagamento]&gt;=$A61)*
  (desp[data.pagamento]&lt;EOMONTH($A61,0)+1)
)</f>
        <v>0</v>
      </c>
      <c r="BH61" s="177">
        <f>COUNTIFS(
    estq[empresa], BH$6,
    estq[Data da venda / reserva], "&gt;=" &amp; $A61,
    estq[Data da venda / reserva], "&lt;"  &amp; EOMONTH($A61,0) + 1
)</f>
        <v>0</v>
      </c>
      <c r="BI61" s="178">
        <f ca="1">SUMIFS(rec.uni[2025-11-01],
INDIRECT("rec.uni[natureza]"),"pro.soluto",
INDIRECT("rec.uni[empresa]"),BI$6)</f>
        <v>0</v>
      </c>
      <c r="BJ61" s="166">
        <f>4*94736</f>
        <v>378944</v>
      </c>
      <c r="BK61" s="178">
        <f ca="1">SUMIFS(rec.uni[2025-11-01],
INDIRECT("rec.uni[natureza]"),"taxa.extra",
INDIRECT("rec.uni[empresa]"),BK$6)</f>
        <v>0</v>
      </c>
      <c r="BL61" s="166"/>
      <c r="BM61" s="178" cm="1">
        <f t="array" ref="BM61">SUMPRODUCT(
  IFERROR(--desp[valor],0)*
  (desp[nucleo]="UP POMPEIA")*
  (desp[categoria]=BM$7)*
  (desp[data.pagamento]&gt;=$A61)*
  (desp[data.pagamento]&lt;EOMONTH($A61,0)+1)
)</f>
        <v>0</v>
      </c>
      <c r="BN61" s="178" cm="1">
        <f t="array" ref="BN61">SUMPRODUCT(
  IFERROR(--desp[valor],0)*
  (desp[nucleo]="UP POMPEIA")*
  (desp[categoria]=BN$7)*
  (desp[data.pagamento]&gt;=$A61)*
  (desp[data.pagamento]&lt;EOMONTH($A61,0)+1)
)</f>
        <v>0</v>
      </c>
      <c r="BO61" s="178" cm="1">
        <f t="array" ref="BO61">SUMPRODUCT(
  IFERROR(--desp[valor],0)*
  (desp[nucleo]="UP POMPEIA")*
  (desp[categoria]=BO$7)*
  (desp[data.pagamento]&gt;=$A61)*
  (desp[data.pagamento]&lt;EOMONTH($A61,0)+1)
)</f>
        <v>0</v>
      </c>
      <c r="BP61" s="178" cm="1">
        <f t="array" ref="BP61">SUMPRODUCT(
  IFERROR(--desp[valor],0)*
  (desp[nucleo]="UP POMPEIA")*
  (desp[categoria]=BP$7)*
  (desp[data.pagamento]&gt;=$A61)*
  (desp[data.pagamento]&lt;EOMONTH($A61,0)+1)
)</f>
        <v>0</v>
      </c>
      <c r="BQ61" s="179" cm="1">
        <f t="array" ref="BQ61">SUMPRODUCT(
  IFERROR(--desp[valor],0)*
  (desp[nucleo]="UP POMPEIA")*
  (desp[categoria]=BQ$7)*
  (desp[data.pagamento]&gt;=$A61)*
  (desp[data.pagamento]&lt;EOMONTH($A61,0)+1)
)</f>
        <v>0</v>
      </c>
      <c r="BR61" s="177">
        <f>COUNTIFS(
    estq[empresa], BR$6,
    estq[Data da venda / reserva], "&gt;=" &amp; $A61,
    estq[Data da venda / reserva], "&lt;"  &amp; EOMONTH($A61,0) + 1
)</f>
        <v>0</v>
      </c>
      <c r="BS61" s="178">
        <f ca="1">SUMIFS(rec.uni[2025-11-01],
INDIRECT("rec.uni[natureza]"),"pro.soluto",
INDIRECT("rec.uni[empresa]"),BS$6)</f>
        <v>0</v>
      </c>
      <c r="BT61" s="178">
        <f ca="1">SUMIFS(rec.uni[2025-11-01],
INDIRECT("rec.uni[natureza]"),"pro.soluto",
INDIRECT("rec.uni[empresa]"),BT$6)</f>
        <v>0</v>
      </c>
      <c r="BU61" s="178">
        <f ca="1">SUMIFS(rec.uni[2025-11-01],
INDIRECT("rec.uni[natureza]"),"taxa.extra",
INDIRECT("rec.uni[empresa]"),BU$6)</f>
        <v>0</v>
      </c>
      <c r="BV61" s="166"/>
      <c r="BW61" s="178" cm="1">
        <f t="array" ref="BW61">SUMPRODUCT(
  IFERROR(--desp[valor],0)*
  (desp[nucleo]="UP SAUDE")*
  (desp[categoria]=BW$7)*
  (desp[data.pagamento]&gt;=$A61)*
  (desp[data.pagamento]&lt;EOMONTH($A61,0)+1)
)</f>
        <v>0</v>
      </c>
      <c r="BX61" s="178" cm="1">
        <f t="array" ref="BX61">SUMPRODUCT(
  IFERROR(--desp[valor],0)*
  (desp[nucleo]="UP SAUDE")*
  (desp[categoria]=BX$7)*
  (desp[data.pagamento]&gt;=$A61)*
  (desp[data.pagamento]&lt;EOMONTH($A61,0)+1)
)</f>
        <v>0</v>
      </c>
      <c r="BY61" s="178" cm="1">
        <f t="array" ref="BY61">SUMPRODUCT(
  IFERROR(--desp[valor],0)*
  (desp[nucleo]="UP SAUDE")*
  (desp[categoria]=BY$7)*
  (desp[data.pagamento]&gt;=$A61)*
  (desp[data.pagamento]&lt;EOMONTH($A61,0)+1)
)</f>
        <v>0</v>
      </c>
      <c r="BZ61" s="178" cm="1">
        <f t="array" ref="BZ61">SUMPRODUCT(
  IFERROR(--desp[valor],0)*
  (desp[nucleo]="UP SAUDE")*
  (desp[categoria]=BZ$7)*
  (desp[data.pagamento]&gt;=$A61)*
  (desp[data.pagamento]&lt;EOMONTH($A61,0)+1)
)</f>
        <v>0</v>
      </c>
      <c r="CA61" s="179" cm="1">
        <f t="array" ref="CA61">SUMPRODUCT(
  IFERROR(--desp[valor],0)*
  (desp[nucleo]="UP SAUDE")*
  (desp[categoria]=CA$7)*
  (desp[data.pagamento]&gt;=$A61)*
  (desp[data.pagamento]&lt;EOMONTH($A61,0)+1)
)</f>
        <v>0</v>
      </c>
      <c r="CB61" s="177">
        <f>COUNTIFS(
    estq[empresa], CB$6,
    estq[Data da venda / reserva], "&gt;=" &amp; $A61,
    estq[Data da venda / reserva], "&lt;"  &amp; EOMONTH($A61,0) + 1
)</f>
        <v>0</v>
      </c>
      <c r="CC61" s="178">
        <f ca="1">SUMIFS(rec.uni[2025-11-01],
INDIRECT("rec.uni[natureza]"),"pro.soluto",
INDIRECT("rec.uni[empresa]"),CC$6)</f>
        <v>0</v>
      </c>
      <c r="CD61" s="178">
        <f ca="1">SUMIFS(rec.uni[2025-11-01],
INDIRECT("rec.uni[natureza]"),"repasse.cef.obra",
INDIRECT("rec.uni[empresa]"),CD$6)</f>
        <v>0</v>
      </c>
      <c r="CE61" s="181">
        <f ca="1">SUMIFS(rec.uni[2025-11-01],
INDIRECT("rec.uni[natureza]"),"repasse.cef.terreno",
INDIRECT("rec.uni[empresa]"),CE$6)</f>
        <v>0</v>
      </c>
      <c r="CF61" s="181">
        <v>200573.37</v>
      </c>
      <c r="CG61" s="178">
        <f ca="1">SUMIFS(rec.uni[2025-11-01],
INDIRECT("rec.uni[natureza]"),"taxa.extra",
INDIRECT("rec.uni[empresa]"),CG$6)</f>
        <v>0</v>
      </c>
      <c r="CH61" s="166"/>
      <c r="CI61" s="178" cm="1">
        <f t="array" ref="CI61">SUMPRODUCT(
  IFERROR(--desp[valor],0)*
  (desp[nucleo]="UP ESTAÇÃO VILA SONIA")*
  (desp[categoria]=CI$7)*
  (desp[data.pagamento]&gt;=$A61)*
  (desp[data.pagamento]&lt;EOMONTH($A61,0)+1)
)</f>
        <v>0</v>
      </c>
      <c r="CJ61" s="178" cm="1">
        <f t="array" ref="CJ61">SUMPRODUCT(
  IFERROR(--desp[valor],0)*
  (desp[nucleo]="UP ESTAÇÃO VILA SONIA")*
  (desp[categoria]=CJ$7)*
  (desp[data.pagamento]&gt;=$A61)*
  (desp[data.pagamento]&lt;EOMONTH($A61,0)+1)
)</f>
        <v>0</v>
      </c>
      <c r="CK61" s="178" cm="1">
        <f t="array" ref="CK61">SUMPRODUCT(
  IFERROR(--desp[valor],0)*
  (desp[nucleo]="UP ESTAÇÃO VILA SONIA")*
  (desp[categoria]=CK$7)*
  (desp[data.pagamento]&gt;=$A61)*
  (desp[data.pagamento]&lt;EOMONTH($A61,0)+1)
)</f>
        <v>0</v>
      </c>
      <c r="CL61" s="178" cm="1">
        <f t="array" ref="CL61">SUMPRODUCT(
  IFERROR(--desp[valor],0)*
  (desp[nucleo]="UP ESTAÇÃO VILA SONIA")*
  (desp[categoria]=CL$7)*
  (desp[data.pagamento]&gt;=$A61)*
  (desp[data.pagamento]&lt;EOMONTH($A61,0)+1)
)</f>
        <v>0</v>
      </c>
      <c r="CM61" s="179" cm="1">
        <f t="array" ref="CM61">SUMPRODUCT(
  IFERROR(--desp[valor],0)*
  (desp[nucleo]="UP ESTAÇÃO VILA SONIA")*
  (desp[categoria]=CM$7)*
  (desp[data.pagamento]&gt;=$A61)*
  (desp[data.pagamento]&lt;EOMONTH($A61,0)+1)
)</f>
        <v>0</v>
      </c>
      <c r="CN61" s="177">
        <f>COUNTIFS(
    estq[empresa], CN$6,
    estq[Data da venda / reserva], "&gt;=" &amp; $A61,
    estq[Data da venda / reserva], "&lt;"  &amp; EOMONTH($A61,0) + 1
)</f>
        <v>0</v>
      </c>
      <c r="CO61" s="178">
        <f ca="1">SUMIFS(rec.uni[2025-11-01],
INDIRECT("rec.uni[natureza]"),"pro.soluto",
INDIRECT("rec.uni[empresa]"),CO$6)</f>
        <v>0</v>
      </c>
      <c r="CP61" s="178">
        <f ca="1">SUMIFS(rec.uni[2025-11-01],
INDIRECT("rec.uni[natureza]"),"repasse.cef.obra",
INDIRECT("rec.uni[empresa]"),CP$6)</f>
        <v>0</v>
      </c>
      <c r="CQ61" s="181">
        <f ca="1">SUMIFS(rec.uni[2025-11-01],
INDIRECT("rec.uni[natureza]"),"repasse.cef.terreno",
INDIRECT("rec.uni[empresa]"),CQ$6)</f>
        <v>0</v>
      </c>
      <c r="CR61" s="181">
        <v>0</v>
      </c>
      <c r="CS61" s="178">
        <f ca="1">SUMIFS(rec.uni[2025-11-01],
INDIRECT("rec.uni[natureza]"),"taxa.extra",
INDIRECT("rec.uni[empresa]"),CS$6)</f>
        <v>0</v>
      </c>
      <c r="CT61" s="166"/>
      <c r="CU61" s="178" cm="1">
        <f t="array" ref="CU61">SUMPRODUCT(
  IFERROR(--desp[valor],0)*
  (desp[nucleo]="UP MOVE VILA SONIA")*
  (desp[categoria]=CU$7)*
  (desp[data.pagamento]&gt;=$A61)*
  (desp[data.pagamento]&lt;EOMONTH($A61,0)+1)
)</f>
        <v>0</v>
      </c>
      <c r="CV61" s="178" cm="1">
        <f t="array" ref="CV61">SUMPRODUCT(
  IFERROR(--desp[valor],0)*
  (desp[nucleo]="UP MOVE VILA SONIA")*
  (desp[categoria]=CV$7)*
  (desp[data.pagamento]&gt;=$A61)*
  (desp[data.pagamento]&lt;EOMONTH($A61,0)+1)
)</f>
        <v>0</v>
      </c>
      <c r="CW61" s="178" cm="1">
        <f t="array" ref="CW61">SUMPRODUCT(
  IFERROR(--desp[valor],0)*
  (desp[nucleo]="UP MOVE VILA SONIA")*
  (desp[categoria]=CW$7)*
  (desp[data.pagamento]&gt;=$A61)*
  (desp[data.pagamento]&lt;EOMONTH($A61,0)+1)
)</f>
        <v>0</v>
      </c>
      <c r="CX61" s="178" cm="1">
        <f t="array" ref="CX61">SUMPRODUCT(
  IFERROR(--desp[valor],0)*
  (desp[nucleo]="UP MOVE VILA SONIA")*
  (desp[categoria]=CX$7)*
  (desp[data.pagamento]&gt;=$A61)*
  (desp[data.pagamento]&lt;EOMONTH($A61,0)+1)
)</f>
        <v>0</v>
      </c>
      <c r="CY61" s="180" cm="1">
        <f t="array" ref="CY61">SUMPRODUCT(
  IFERROR(--desp[valor],0)*
  (desp[nucleo]="UP MOVE VILA SONIA")*
  (desp[categoria]=CY$7)*
  (desp[data.pagamento]&gt;=$A61)*
  (desp[data.pagamento]&lt;EOMONTH($A61,0)+1)
)</f>
        <v>0</v>
      </c>
    </row>
    <row r="62" spans="1:103" x14ac:dyDescent="0.25">
      <c r="A62" s="176">
        <v>45992</v>
      </c>
      <c r="B62" s="177">
        <f>COUNTIFS(
    estq[empresa], B$6,
    estq[Data da venda / reserva], "&gt;=" &amp; $A62,
    estq[Data da venda / reserva], "&lt;"  &amp; EOMONTH($A62,0) + 1
)</f>
        <v>0</v>
      </c>
      <c r="C62" s="178">
        <f ca="1">SUMIFS(rec.uni[2025-12-01],
INDIRECT("rec.uni[natureza]"),"pro.soluto",
INDIRECT("rec.uni[empresa]"),C$6)</f>
        <v>0</v>
      </c>
      <c r="D62" s="178">
        <f ca="1">SUMIFS(rec.uni[2025-12-01],
INDIRECT("rec.uni[natureza]"),"repasse.cef.obra",
INDIRECT("rec.uni[empresa]"),D$6)</f>
        <v>0</v>
      </c>
      <c r="E62" s="178">
        <f ca="1">SUMIFS(rec.uni[2025-12-01],
INDIRECT("rec.uni[natureza]"),"repasse.cef.terreno",
INDIRECT("rec.uni[empresa]"),E$6)</f>
        <v>0</v>
      </c>
      <c r="F62" s="181">
        <v>471701.2</v>
      </c>
      <c r="G62" s="178">
        <f ca="1">SUMIFS(rec.uni[2025-12-01],
INDIRECT("rec.uni[natureza]"),"taxa.extra",
INDIRECT("rec.uni[empresa]"),G$6)</f>
        <v>0</v>
      </c>
      <c r="H62" s="166"/>
      <c r="I62" s="178" cm="1">
        <f t="array" ref="I62">SUMPRODUCT(
  IFERROR(--desp[valor],0)*
  (desp[nucleo]="UP JARDIM PRUDENCIA")*
  (desp[categoria]=I$7)*
  (desp[data.pagamento]&gt;=$A62)*
  (desp[data.pagamento]&lt;EOMONTH($A62,0)+1)
)</f>
        <v>0</v>
      </c>
      <c r="J62" s="178" cm="1">
        <f t="array" ref="J62">SUMPRODUCT(
  IFERROR(--desp[valor],0)*
  (desp[nucleo]="UP JARDIM PRUDENCIA")*
  (desp[categoria]=J$7)*
  (desp[data.pagamento]&gt;=$A62)*
  (desp[data.pagamento]&lt;EOMONTH($A62,0)+1)
)</f>
        <v>0</v>
      </c>
      <c r="K62" s="178" cm="1">
        <f t="array" ref="K62">SUMPRODUCT(
  IFERROR(--desp[valor],0)*
  (desp[nucleo]="UP JARDIM PRUDENCIA")*
  (desp[categoria]=K$7)*
  (desp[data.pagamento]&gt;=$A62)*
  (desp[data.pagamento]&lt;EOMONTH($A62,0)+1)
)</f>
        <v>0</v>
      </c>
      <c r="L62" s="178" cm="1">
        <f t="array" ref="L62">SUMPRODUCT(
  IFERROR(--desp[valor],0)*
  (desp[nucleo]="UP JARDIM PRUDENCIA")*
  (desp[categoria]=L$7)*
  (desp[data.pagamento]&gt;=$A62)*
  (desp[data.pagamento]&lt;EOMONTH($A62,0)+1)
)</f>
        <v>0</v>
      </c>
      <c r="M62" s="179" cm="1">
        <f t="array" ref="M62">SUMPRODUCT(
  IFERROR(--desp[valor],0)*
  (desp[nucleo]="UP JARDIM PRUDENCIA")*
  (desp[categoria]=M$7)*
  (desp[data.pagamento]&gt;=$A62)*
  (desp[data.pagamento]&lt;EOMONTH($A62,0)+1)
)</f>
        <v>0</v>
      </c>
      <c r="N62" s="177">
        <f>COUNTIFS(
    estq[empresa], N$6,
    estq[Data da venda / reserva], "&gt;=" &amp; $A62,
    estq[Data da venda / reserva], "&lt;"  &amp; EOMONTH($A62,0) + 1
)</f>
        <v>0</v>
      </c>
      <c r="O62" s="178">
        <f ca="1">SUMIFS(rec.uni[2025-12-01],
INDIRECT("rec.uni[natureza]"),"pro.soluto",
INDIRECT("rec.uni[empresa]"),O$6)</f>
        <v>0</v>
      </c>
      <c r="P62" s="178">
        <f ca="1">SUMIFS(rec.uni[2025-12-01],
INDIRECT("rec.uni[natureza]"),"repasse.cef.obra",
INDIRECT("rec.uni[empresa]"),P$6)</f>
        <v>0</v>
      </c>
      <c r="Q62" s="178">
        <f ca="1">SUMIFS(rec.uni[2025-12-01],
INDIRECT("rec.uni[natureza]"),"repasse.cef.terreno",
INDIRECT("rec.uni[empresa]"),Q$6)</f>
        <v>0</v>
      </c>
      <c r="R62" s="181">
        <v>0</v>
      </c>
      <c r="S62" s="178">
        <f ca="1">SUMIFS(rec.uni[2025-12-01],
INDIRECT("rec.uni[natureza]"),"taxa.extra",
INDIRECT("rec.uni[empresa]"),S$6)</f>
        <v>0</v>
      </c>
      <c r="T62" s="166"/>
      <c r="U62" s="178" cm="1">
        <f t="array" ref="U62">SUMPRODUCT(
  IFERROR(--desp[valor],0)*
  (desp[nucleo]="UP VILA SONIA")*
  (desp[categoria]=U$7)*
  (desp[data.pagamento]&gt;=$A62)*
  (desp[data.pagamento]&lt;EOMONTH($A62,0)+1)
)</f>
        <v>0</v>
      </c>
      <c r="V62" s="178" cm="1">
        <f t="array" ref="V62">SUMPRODUCT(
  IFERROR(--desp[valor],0)*
  (desp[nucleo]="UP VILA SONIA")*
  (desp[categoria]=V$7)*
  (desp[data.pagamento]&gt;=$A62)*
  (desp[data.pagamento]&lt;EOMONTH($A62,0)+1)
)</f>
        <v>0</v>
      </c>
      <c r="W62" s="178" cm="1">
        <f t="array" ref="W62">SUMPRODUCT(
  IFERROR(--desp[valor],0)*
  (desp[nucleo]="UP VILA SONIA")*
  (desp[categoria]=W$7)*
  (desp[data.pagamento]&gt;=$A62)*
  (desp[data.pagamento]&lt;EOMONTH($A62,0)+1)
)</f>
        <v>0</v>
      </c>
      <c r="X62" s="178" cm="1">
        <f t="array" ref="X62">SUMPRODUCT(
  IFERROR(--desp[valor],0)*
  (desp[nucleo]="UP VILA SONIA")*
  (desp[categoria]=X$7)*
  (desp[data.pagamento]&gt;=$A62)*
  (desp[data.pagamento]&lt;EOMONTH($A62,0)+1)
)</f>
        <v>0</v>
      </c>
      <c r="Y62" s="179" cm="1">
        <f t="array" ref="Y62">SUMPRODUCT(
  IFERROR(--desp[valor],0)*
  (desp[nucleo]="UP VILA SONIA")*
  (desp[categoria]=Y$7)*
  (desp[data.pagamento]&gt;=$A62)*
  (desp[data.pagamento]&lt;EOMONTH($A62,0)+1)
)</f>
        <v>0</v>
      </c>
      <c r="Z62" s="177">
        <f>COUNTIFS(
    estq[empresa], Z$6,
    estq[Data da venda / reserva], "&gt;=" &amp; $A62,
    estq[Data da venda / reserva], "&lt;"  &amp; EOMONTH($A62,0) + 1
)</f>
        <v>0</v>
      </c>
      <c r="AA62" s="178">
        <f ca="1">SUMIFS(rec.uni[2025-12-01],
INDIRECT("rec.uni[natureza]"),"pro.soluto",
INDIRECT("rec.uni[empresa]"),AA$6)</f>
        <v>0</v>
      </c>
      <c r="AB62" s="178">
        <f ca="1">SUMIFS(rec.uni[2025-12-01],
INDIRECT("rec.uni[natureza]"),"pro.soluto",
INDIRECT("rec.uni[empresa]"),AB$6)</f>
        <v>0</v>
      </c>
      <c r="AC62" s="178">
        <f ca="1">SUMIFS(rec.uni[2025-12-01],
INDIRECT("rec.uni[natureza]"),"taxa.extra",
INDIRECT("rec.uni[empresa]"),AC$6)</f>
        <v>0</v>
      </c>
      <c r="AD62" s="166"/>
      <c r="AE62" s="178" cm="1">
        <f t="array" ref="AE62">SUMPRODUCT(
  IFERROR(--desp[valor],0)*
  (desp[nucleo]="UP CAMPO BELO")*
  (desp[categoria]=AE$7)*
  (desp[data.pagamento]&gt;=$A62)*
  (desp[data.pagamento]&lt;EOMONTH($A62,0)+1)
)</f>
        <v>0</v>
      </c>
      <c r="AF62" s="178" cm="1">
        <f t="array" ref="AF62">SUMPRODUCT(
  IFERROR(--desp[valor],0)*
  (desp[nucleo]="UP CAMPO BELO")*
  (desp[categoria]=AF$7)*
  (desp[data.pagamento]&gt;=$A62)*
  (desp[data.pagamento]&lt;EOMONTH($A62,0)+1)
)</f>
        <v>0</v>
      </c>
      <c r="AG62" s="178" cm="1">
        <f t="array" ref="AG62">SUMPRODUCT(
  IFERROR(--desp[valor],0)*
  (desp[nucleo]="UP CAMPO BELO")*
  (desp[categoria]=AG$7)*
  (desp[data.pagamento]&gt;=$A62)*
  (desp[data.pagamento]&lt;EOMONTH($A62,0)+1)
)</f>
        <v>0</v>
      </c>
      <c r="AH62" s="178" cm="1">
        <f t="array" ref="AH62">SUMPRODUCT(
  IFERROR(--desp[valor],0)*
  (desp[nucleo]="UP CAMPO BELO")*
  (desp[categoria]=AH$7)*
  (desp[data.pagamento]&gt;=$A62)*
  (desp[data.pagamento]&lt;EOMONTH($A62,0)+1)
)</f>
        <v>0</v>
      </c>
      <c r="AI62" s="179" cm="1">
        <f t="array" ref="AI62">SUMPRODUCT(
  IFERROR(--desp[valor],0)*
  (desp[nucleo]="UP CAMPO BELO")*
  (desp[categoria]=AI$7)*
  (desp[data.pagamento]&gt;=$A62)*
  (desp[data.pagamento]&lt;EOMONTH($A62,0)+1)
)</f>
        <v>0</v>
      </c>
      <c r="AJ62" s="177">
        <f>COUNTIFS(
    estq[empresa], AJ$6,
    estq[Data da venda / reserva], "&gt;=" &amp; $A62,
    estq[Data da venda / reserva], "&lt;"  &amp; EOMONTH($A62,0) + 1
)</f>
        <v>0</v>
      </c>
      <c r="AK62" s="178">
        <f ca="1">SUMIFS(rec.uni[2025-12-01],
INDIRECT("rec.uni[natureza]"),"pro.soluto",
INDIRECT("rec.uni[empresa]"),AK$6)</f>
        <v>0</v>
      </c>
      <c r="AL62" s="178">
        <f ca="1">SUMIFS(rec.uni[2025-12-01],
INDIRECT("rec.uni[natureza]"),"repasse.cef.obra",
INDIRECT("rec.uni[empresa]"),AL$6)</f>
        <v>0</v>
      </c>
      <c r="AM62" s="181">
        <f ca="1">SUMIFS(rec.uni[2025-12-01],
INDIRECT("rec.uni[natureza]"),"repasse.cef.terreno",
INDIRECT("rec.uni[empresa]"),AM$6)</f>
        <v>0</v>
      </c>
      <c r="AN62" s="181">
        <v>0</v>
      </c>
      <c r="AO62" s="178">
        <f ca="1">SUMIFS(rec.uni[2025-12-01],
INDIRECT("rec.uni[natureza]"),"taxa.extra",
INDIRECT("rec.uni[empresa]"),AO$6)</f>
        <v>0</v>
      </c>
      <c r="AP62" s="166"/>
      <c r="AQ62" s="178" cm="1">
        <f t="array" ref="AQ62">SUMPRODUCT(
  IFERROR(--desp[valor],0)*
  (desp[nucleo]="UP SELECT VILA SONIA")*
  (desp[categoria]=AQ$7)*
  (desp[data.pagamento]&gt;=$A62)*
  (desp[data.pagamento]&lt;EOMONTH($A62,0)+1)
)</f>
        <v>0</v>
      </c>
      <c r="AR62" s="178" cm="1">
        <f t="array" ref="AR62">SUMPRODUCT(
  IFERROR(--desp[valor],0)*
  (desp[nucleo]="UP SELECT VILA SONIA")*
  (desp[categoria]=AR$7)*
  (desp[data.pagamento]&gt;=$A62)*
  (desp[data.pagamento]&lt;EOMONTH($A62,0)+1)
)</f>
        <v>0</v>
      </c>
      <c r="AS62" s="178" cm="1">
        <f t="array" ref="AS62">SUMPRODUCT(
  IFERROR(--desp[valor],0)*
  (desp[nucleo]="UP SELECT VILA SONIA")*
  (desp[categoria]=AS$7)*
  (desp[data.pagamento]&gt;=$A62)*
  (desp[data.pagamento]&lt;EOMONTH($A62,0)+1)
)</f>
        <v>0</v>
      </c>
      <c r="AT62" s="178" cm="1">
        <f t="array" ref="AT62">SUMPRODUCT(
  IFERROR(--desp[valor],0)*
  (desp[nucleo]="UP SELECT VILA SONIA")*
  (desp[categoria]=AT$7)*
  (desp[data.pagamento]&gt;=$A62)*
  (desp[data.pagamento]&lt;EOMONTH($A62,0)+1)
)</f>
        <v>0</v>
      </c>
      <c r="AU62" s="179" cm="1">
        <f t="array" ref="AU62">SUMPRODUCT(
  IFERROR(--desp[valor],0)*
  (desp[nucleo]="UP SELECT VILA SONIA")*
  (desp[categoria]=AU$7)*
  (desp[data.pagamento]&gt;=$A62)*
  (desp[data.pagamento]&lt;EOMONTH($A62,0)+1)
)</f>
        <v>0</v>
      </c>
      <c r="AV62" s="177">
        <f>COUNTIFS(
    estq[empresa], AV$6,
    estq[Data da venda / reserva], "&gt;=" &amp; $A62,
    estq[Data da venda / reserva], "&lt;"  &amp; EOMONTH($A62,0) + 1
)</f>
        <v>0</v>
      </c>
      <c r="AW62" s="178">
        <f ca="1">SUMIFS(rec.uni[2025-12-01],
INDIRECT("rec.uni[natureza]"),"pro.soluto",
INDIRECT("rec.uni[empresa]"),AW$6)</f>
        <v>0</v>
      </c>
      <c r="AX62" s="178">
        <f ca="1">SUMIFS(rec.uni[2025-12-01],
INDIRECT("rec.uni[natureza]"),"repasse.cef.obra",
INDIRECT("rec.uni[empresa]"),AX$6)</f>
        <v>0</v>
      </c>
      <c r="AY62" s="181">
        <f ca="1">SUMIFS(rec.uni[2025-12-01],
INDIRECT("rec.uni[natureza]"),"repasse.cef.terreno",
INDIRECT("rec.uni[empresa]"),AY$6)</f>
        <v>0</v>
      </c>
      <c r="AZ62" s="181">
        <v>0</v>
      </c>
      <c r="BA62" s="178">
        <f ca="1">SUMIFS(rec.uni[2025-12-01],
INDIRECT("rec.uni[natureza]"),"taxa.extra",
INDIRECT("rec.uni[empresa]"),BA$6)</f>
        <v>0</v>
      </c>
      <c r="BB62" s="166"/>
      <c r="BC62" s="178" cm="1">
        <f t="array" ref="BC62">SUMPRODUCT(
  IFERROR(--desp[valor],0)*
  (desp[nucleo]="UP ESTAÇÃO SÃO LUCAS")*
  (desp[categoria]=BC$7)*
  (desp[data.pagamento]&gt;=$A62)*
  (desp[data.pagamento]&lt;EOMONTH($A62,0)+1)
)</f>
        <v>0</v>
      </c>
      <c r="BD62" s="178" cm="1">
        <f t="array" ref="BD62">SUMPRODUCT(
  IFERROR(--desp[valor],0)*
  (desp[nucleo]="UP ESTAÇÃO SÃO LUCAS")*
  (desp[categoria]=BD$7)*
  (desp[data.pagamento]&gt;=$A62)*
  (desp[data.pagamento]&lt;EOMONTH($A62,0)+1)
)</f>
        <v>0</v>
      </c>
      <c r="BE62" s="178" cm="1">
        <f t="array" ref="BE62">SUMPRODUCT(
  IFERROR(--desp[valor],0)*
  (desp[nucleo]="UP ESTAÇÃO SÃO LUCAS")*
  (desp[categoria]=BE$7)*
  (desp[data.pagamento]&gt;=$A62)*
  (desp[data.pagamento]&lt;EOMONTH($A62,0)+1)
)</f>
        <v>0</v>
      </c>
      <c r="BF62" s="178" cm="1">
        <f t="array" ref="BF62">SUMPRODUCT(
  IFERROR(--desp[valor],0)*
  (desp[nucleo]="UP ESTAÇÃO SÃO LUCAS")*
  (desp[categoria]=BF$7)*
  (desp[data.pagamento]&gt;=$A62)*
  (desp[data.pagamento]&lt;EOMONTH($A62,0)+1)
)</f>
        <v>0</v>
      </c>
      <c r="BG62" s="179" cm="1">
        <f t="array" ref="BG62">SUMPRODUCT(
  IFERROR(--desp[valor],0)*
  (desp[nucleo]="UP ESTAÇÃO SÃO LUCAS")*
  (desp[categoria]=BG$7)*
  (desp[data.pagamento]&gt;=$A62)*
  (desp[data.pagamento]&lt;EOMONTH($A62,0)+1)
)</f>
        <v>0</v>
      </c>
      <c r="BH62" s="177">
        <f>COUNTIFS(
    estq[empresa], BH$6,
    estq[Data da venda / reserva], "&gt;=" &amp; $A62,
    estq[Data da venda / reserva], "&lt;"  &amp; EOMONTH($A62,0) + 1
)</f>
        <v>0</v>
      </c>
      <c r="BI62" s="178">
        <f ca="1">SUMIFS(rec.uni[2025-12-01],
INDIRECT("rec.uni[natureza]"),"pro.soluto",
INDIRECT("rec.uni[empresa]"),BI$6)</f>
        <v>0</v>
      </c>
      <c r="BJ62" s="166">
        <f>3.43*94736</f>
        <v>324944.48000000004</v>
      </c>
      <c r="BK62" s="178">
        <f ca="1">SUMIFS(rec.uni[2025-12-01],
INDIRECT("rec.uni[natureza]"),"taxa.extra",
INDIRECT("rec.uni[empresa]"),BK$6)</f>
        <v>0</v>
      </c>
      <c r="BL62" s="166"/>
      <c r="BM62" s="178" cm="1">
        <f t="array" ref="BM62">SUMPRODUCT(
  IFERROR(--desp[valor],0)*
  (desp[nucleo]="UP POMPEIA")*
  (desp[categoria]=BM$7)*
  (desp[data.pagamento]&gt;=$A62)*
  (desp[data.pagamento]&lt;EOMONTH($A62,0)+1)
)</f>
        <v>0</v>
      </c>
      <c r="BN62" s="178" cm="1">
        <f t="array" ref="BN62">SUMPRODUCT(
  IFERROR(--desp[valor],0)*
  (desp[nucleo]="UP POMPEIA")*
  (desp[categoria]=BN$7)*
  (desp[data.pagamento]&gt;=$A62)*
  (desp[data.pagamento]&lt;EOMONTH($A62,0)+1)
)</f>
        <v>0</v>
      </c>
      <c r="BO62" s="178" cm="1">
        <f t="array" ref="BO62">SUMPRODUCT(
  IFERROR(--desp[valor],0)*
  (desp[nucleo]="UP POMPEIA")*
  (desp[categoria]=BO$7)*
  (desp[data.pagamento]&gt;=$A62)*
  (desp[data.pagamento]&lt;EOMONTH($A62,0)+1)
)</f>
        <v>0</v>
      </c>
      <c r="BP62" s="178" cm="1">
        <f t="array" ref="BP62">SUMPRODUCT(
  IFERROR(--desp[valor],0)*
  (desp[nucleo]="UP POMPEIA")*
  (desp[categoria]=BP$7)*
  (desp[data.pagamento]&gt;=$A62)*
  (desp[data.pagamento]&lt;EOMONTH($A62,0)+1)
)</f>
        <v>0</v>
      </c>
      <c r="BQ62" s="179" cm="1">
        <f t="array" ref="BQ62">SUMPRODUCT(
  IFERROR(--desp[valor],0)*
  (desp[nucleo]="UP POMPEIA")*
  (desp[categoria]=BQ$7)*
  (desp[data.pagamento]&gt;=$A62)*
  (desp[data.pagamento]&lt;EOMONTH($A62,0)+1)
)</f>
        <v>0</v>
      </c>
      <c r="BR62" s="177">
        <f>COUNTIFS(
    estq[empresa], BR$6,
    estq[Data da venda / reserva], "&gt;=" &amp; $A62,
    estq[Data da venda / reserva], "&lt;"  &amp; EOMONTH($A62,0) + 1
)</f>
        <v>0</v>
      </c>
      <c r="BS62" s="178">
        <f ca="1">SUMIFS(rec.uni[2025-12-01],
INDIRECT("rec.uni[natureza]"),"pro.soluto",
INDIRECT("rec.uni[empresa]"),BS$6)</f>
        <v>0</v>
      </c>
      <c r="BT62" s="178">
        <f ca="1">SUMIFS(rec.uni[2025-12-01],
INDIRECT("rec.uni[natureza]"),"pro.soluto",
INDIRECT("rec.uni[empresa]"),BT$6)</f>
        <v>0</v>
      </c>
      <c r="BU62" s="178">
        <f ca="1">SUMIFS(rec.uni[2025-12-01],
INDIRECT("rec.uni[natureza]"),"taxa.extra",
INDIRECT("rec.uni[empresa]"),BU$6)</f>
        <v>0</v>
      </c>
      <c r="BV62" s="166"/>
      <c r="BW62" s="178" cm="1">
        <f t="array" ref="BW62">SUMPRODUCT(
  IFERROR(--desp[valor],0)*
  (desp[nucleo]="UP SAUDE")*
  (desp[categoria]=BW$7)*
  (desp[data.pagamento]&gt;=$A62)*
  (desp[data.pagamento]&lt;EOMONTH($A62,0)+1)
)</f>
        <v>0</v>
      </c>
      <c r="BX62" s="178" cm="1">
        <f t="array" ref="BX62">SUMPRODUCT(
  IFERROR(--desp[valor],0)*
  (desp[nucleo]="UP SAUDE")*
  (desp[categoria]=BX$7)*
  (desp[data.pagamento]&gt;=$A62)*
  (desp[data.pagamento]&lt;EOMONTH($A62,0)+1)
)</f>
        <v>0</v>
      </c>
      <c r="BY62" s="178" cm="1">
        <f t="array" ref="BY62">SUMPRODUCT(
  IFERROR(--desp[valor],0)*
  (desp[nucleo]="UP SAUDE")*
  (desp[categoria]=BY$7)*
  (desp[data.pagamento]&gt;=$A62)*
  (desp[data.pagamento]&lt;EOMONTH($A62,0)+1)
)</f>
        <v>0</v>
      </c>
      <c r="BZ62" s="178" cm="1">
        <f t="array" ref="BZ62">SUMPRODUCT(
  IFERROR(--desp[valor],0)*
  (desp[nucleo]="UP SAUDE")*
  (desp[categoria]=BZ$7)*
  (desp[data.pagamento]&gt;=$A62)*
  (desp[data.pagamento]&lt;EOMONTH($A62,0)+1)
)</f>
        <v>0</v>
      </c>
      <c r="CA62" s="179" cm="1">
        <f t="array" ref="CA62">SUMPRODUCT(
  IFERROR(--desp[valor],0)*
  (desp[nucleo]="UP SAUDE")*
  (desp[categoria]=CA$7)*
  (desp[data.pagamento]&gt;=$A62)*
  (desp[data.pagamento]&lt;EOMONTH($A62,0)+1)
)</f>
        <v>0</v>
      </c>
      <c r="CB62" s="177">
        <f>COUNTIFS(
    estq[empresa], CB$6,
    estq[Data da venda / reserva], "&gt;=" &amp; $A62,
    estq[Data da venda / reserva], "&lt;"  &amp; EOMONTH($A62,0) + 1
)</f>
        <v>0</v>
      </c>
      <c r="CC62" s="178">
        <f ca="1">SUMIFS(rec.uni[2025-12-01],
INDIRECT("rec.uni[natureza]"),"pro.soluto",
INDIRECT("rec.uni[empresa]"),CC$6)</f>
        <v>0</v>
      </c>
      <c r="CD62" s="178">
        <f ca="1">SUMIFS(rec.uni[2025-12-01],
INDIRECT("rec.uni[natureza]"),"repasse.cef.obra",
INDIRECT("rec.uni[empresa]"),CD$6)</f>
        <v>0</v>
      </c>
      <c r="CE62" s="181">
        <f ca="1">SUMIFS(rec.uni[2025-12-01],
INDIRECT("rec.uni[natureza]"),"repasse.cef.terreno",
INDIRECT("rec.uni[empresa]"),CE$6)</f>
        <v>0</v>
      </c>
      <c r="CF62" s="181">
        <v>0</v>
      </c>
      <c r="CG62" s="178">
        <f ca="1">SUMIFS(rec.uni[2025-12-01],
INDIRECT("rec.uni[natureza]"),"taxa.extra",
INDIRECT("rec.uni[empresa]"),CG$6)</f>
        <v>0</v>
      </c>
      <c r="CH62" s="166"/>
      <c r="CI62" s="178" cm="1">
        <f t="array" ref="CI62">SUMPRODUCT(
  IFERROR(--desp[valor],0)*
  (desp[nucleo]="UP ESTAÇÃO VILA SONIA")*
  (desp[categoria]=CI$7)*
  (desp[data.pagamento]&gt;=$A62)*
  (desp[data.pagamento]&lt;EOMONTH($A62,0)+1)
)</f>
        <v>0</v>
      </c>
      <c r="CJ62" s="178" cm="1">
        <f t="array" ref="CJ62">SUMPRODUCT(
  IFERROR(--desp[valor],0)*
  (desp[nucleo]="UP ESTAÇÃO VILA SONIA")*
  (desp[categoria]=CJ$7)*
  (desp[data.pagamento]&gt;=$A62)*
  (desp[data.pagamento]&lt;EOMONTH($A62,0)+1)
)</f>
        <v>0</v>
      </c>
      <c r="CK62" s="178" cm="1">
        <f t="array" ref="CK62">SUMPRODUCT(
  IFERROR(--desp[valor],0)*
  (desp[nucleo]="UP ESTAÇÃO VILA SONIA")*
  (desp[categoria]=CK$7)*
  (desp[data.pagamento]&gt;=$A62)*
  (desp[data.pagamento]&lt;EOMONTH($A62,0)+1)
)</f>
        <v>0</v>
      </c>
      <c r="CL62" s="178" cm="1">
        <f t="array" ref="CL62">SUMPRODUCT(
  IFERROR(--desp[valor],0)*
  (desp[nucleo]="UP ESTAÇÃO VILA SONIA")*
  (desp[categoria]=CL$7)*
  (desp[data.pagamento]&gt;=$A62)*
  (desp[data.pagamento]&lt;EOMONTH($A62,0)+1)
)</f>
        <v>0</v>
      </c>
      <c r="CM62" s="179" cm="1">
        <f t="array" ref="CM62">SUMPRODUCT(
  IFERROR(--desp[valor],0)*
  (desp[nucleo]="UP ESTAÇÃO VILA SONIA")*
  (desp[categoria]=CM$7)*
  (desp[data.pagamento]&gt;=$A62)*
  (desp[data.pagamento]&lt;EOMONTH($A62,0)+1)
)</f>
        <v>0</v>
      </c>
      <c r="CN62" s="177">
        <f>COUNTIFS(
    estq[empresa], CN$6,
    estq[Data da venda / reserva], "&gt;=" &amp; $A62,
    estq[Data da venda / reserva], "&lt;"  &amp; EOMONTH($A62,0) + 1
)</f>
        <v>0</v>
      </c>
      <c r="CO62" s="178">
        <f ca="1">SUMIFS(rec.uni[2025-12-01],
INDIRECT("rec.uni[natureza]"),"pro.soluto",
INDIRECT("rec.uni[empresa]"),CO$6)</f>
        <v>0</v>
      </c>
      <c r="CP62" s="178">
        <f ca="1">SUMIFS(rec.uni[2025-12-01],
INDIRECT("rec.uni[natureza]"),"repasse.cef.obra",
INDIRECT("rec.uni[empresa]"),CP$6)</f>
        <v>0</v>
      </c>
      <c r="CQ62" s="181">
        <f ca="1">SUMIFS(rec.uni[2025-12-01],
INDIRECT("rec.uni[natureza]"),"repasse.cef.terreno",
INDIRECT("rec.uni[empresa]"),CQ$6)</f>
        <v>0</v>
      </c>
      <c r="CR62" s="181">
        <v>0</v>
      </c>
      <c r="CS62" s="178">
        <f ca="1">SUMIFS(rec.uni[2025-12-01],
INDIRECT("rec.uni[natureza]"),"taxa.extra",
INDIRECT("rec.uni[empresa]"),CS$6)</f>
        <v>0</v>
      </c>
      <c r="CT62" s="166"/>
      <c r="CU62" s="178" cm="1">
        <f t="array" ref="CU62">SUMPRODUCT(
  IFERROR(--desp[valor],0)*
  (desp[nucleo]="UP MOVE VILA SONIA")*
  (desp[categoria]=CU$7)*
  (desp[data.pagamento]&gt;=$A62)*
  (desp[data.pagamento]&lt;EOMONTH($A62,0)+1)
)</f>
        <v>0</v>
      </c>
      <c r="CV62" s="178" cm="1">
        <f t="array" ref="CV62">SUMPRODUCT(
  IFERROR(--desp[valor],0)*
  (desp[nucleo]="UP MOVE VILA SONIA")*
  (desp[categoria]=CV$7)*
  (desp[data.pagamento]&gt;=$A62)*
  (desp[data.pagamento]&lt;EOMONTH($A62,0)+1)
)</f>
        <v>0</v>
      </c>
      <c r="CW62" s="178" cm="1">
        <f t="array" ref="CW62">SUMPRODUCT(
  IFERROR(--desp[valor],0)*
  (desp[nucleo]="UP MOVE VILA SONIA")*
  (desp[categoria]=CW$7)*
  (desp[data.pagamento]&gt;=$A62)*
  (desp[data.pagamento]&lt;EOMONTH($A62,0)+1)
)</f>
        <v>0</v>
      </c>
      <c r="CX62" s="178" cm="1">
        <f t="array" ref="CX62">SUMPRODUCT(
  IFERROR(--desp[valor],0)*
  (desp[nucleo]="UP MOVE VILA SONIA")*
  (desp[categoria]=CX$7)*
  (desp[data.pagamento]&gt;=$A62)*
  (desp[data.pagamento]&lt;EOMONTH($A62,0)+1)
)</f>
        <v>0</v>
      </c>
      <c r="CY62" s="180" cm="1">
        <f t="array" ref="CY62">SUMPRODUCT(
  IFERROR(--desp[valor],0)*
  (desp[nucleo]="UP MOVE VILA SONIA")*
  (desp[categoria]=CY$7)*
  (desp[data.pagamento]&gt;=$A62)*
  (desp[data.pagamento]&lt;EOMONTH($A62,0)+1)
)</f>
        <v>0</v>
      </c>
    </row>
    <row r="63" spans="1:103" x14ac:dyDescent="0.25">
      <c r="A63" s="176">
        <v>46023</v>
      </c>
      <c r="B63" s="177">
        <f>COUNTIFS(
    estq[empresa], B$6,
    estq[Data da venda / reserva], "&gt;=" &amp; $A63,
    estq[Data da venda / reserva], "&lt;"  &amp; EOMONTH($A63,0) + 1
)</f>
        <v>0</v>
      </c>
      <c r="C63" s="178">
        <f ca="1">SUMIFS(rec.uni[2026-01-01],
INDIRECT("rec.uni[natureza]"),"pro.soluto",
INDIRECT("rec.uni[empresa]"),C$6)</f>
        <v>0</v>
      </c>
      <c r="D63" s="178">
        <f ca="1">SUMIFS(rec.uni[2026-01-01],
INDIRECT("rec.uni[natureza]"),"repasse.cef.obra",
INDIRECT("rec.uni[empresa]"),D$6)</f>
        <v>0</v>
      </c>
      <c r="E63" s="178">
        <f ca="1">SUMIFS(rec.uni[2026-01-01],
INDIRECT("rec.uni[natureza]"),"repasse.cef.terreno",
INDIRECT("rec.uni[empresa]"),E$6)</f>
        <v>0</v>
      </c>
      <c r="F63" s="181">
        <v>0</v>
      </c>
      <c r="G63" s="178">
        <f ca="1">SUMIFS(rec.uni[2026-01-01],
INDIRECT("rec.uni[natureza]"),"taxa.extra",
INDIRECT("rec.uni[empresa]"),G$6)</f>
        <v>0</v>
      </c>
      <c r="H63" s="166"/>
      <c r="I63" s="178" cm="1">
        <f t="array" ref="I63">SUMPRODUCT(
  IFERROR(--desp[valor],0)*
  (desp[nucleo]="UP JARDIM PRUDENCIA")*
  (desp[categoria]=I$7)*
  (desp[data.pagamento]&gt;=$A63)*
  (desp[data.pagamento]&lt;EOMONTH($A63,0)+1)
)</f>
        <v>0</v>
      </c>
      <c r="J63" s="178" cm="1">
        <f t="array" ref="J63">SUMPRODUCT(
  IFERROR(--desp[valor],0)*
  (desp[nucleo]="UP JARDIM PRUDENCIA")*
  (desp[categoria]=J$7)*
  (desp[data.pagamento]&gt;=$A63)*
  (desp[data.pagamento]&lt;EOMONTH($A63,0)+1)
)</f>
        <v>0</v>
      </c>
      <c r="K63" s="178" cm="1">
        <f t="array" ref="K63">SUMPRODUCT(
  IFERROR(--desp[valor],0)*
  (desp[nucleo]="UP JARDIM PRUDENCIA")*
  (desp[categoria]=K$7)*
  (desp[data.pagamento]&gt;=$A63)*
  (desp[data.pagamento]&lt;EOMONTH($A63,0)+1)
)</f>
        <v>0</v>
      </c>
      <c r="L63" s="178" cm="1">
        <f t="array" ref="L63">SUMPRODUCT(
  IFERROR(--desp[valor],0)*
  (desp[nucleo]="UP JARDIM PRUDENCIA")*
  (desp[categoria]=L$7)*
  (desp[data.pagamento]&gt;=$A63)*
  (desp[data.pagamento]&lt;EOMONTH($A63,0)+1)
)</f>
        <v>0</v>
      </c>
      <c r="M63" s="179" cm="1">
        <f t="array" ref="M63">SUMPRODUCT(
  IFERROR(--desp[valor],0)*
  (desp[nucleo]="UP JARDIM PRUDENCIA")*
  (desp[categoria]=M$7)*
  (desp[data.pagamento]&gt;=$A63)*
  (desp[data.pagamento]&lt;EOMONTH($A63,0)+1)
)</f>
        <v>0</v>
      </c>
      <c r="N63" s="177">
        <f>COUNTIFS(
    estq[empresa], N$6,
    estq[Data da venda / reserva], "&gt;=" &amp; $A63,
    estq[Data da venda / reserva], "&lt;"  &amp; EOMONTH($A63,0) + 1
)</f>
        <v>0</v>
      </c>
      <c r="O63" s="178">
        <f ca="1">SUMIFS(rec.uni[2026-01-01],
INDIRECT("rec.uni[natureza]"),"pro.soluto",
INDIRECT("rec.uni[empresa]"),O$6)</f>
        <v>0</v>
      </c>
      <c r="P63" s="178">
        <f ca="1">SUMIFS(rec.uni[2026-01-01],
INDIRECT("rec.uni[natureza]"),"repasse.cef.obra",
INDIRECT("rec.uni[empresa]"),P$6)</f>
        <v>0</v>
      </c>
      <c r="Q63" s="178">
        <f ca="1">SUMIFS(rec.uni[2026-01-01],
INDIRECT("rec.uni[natureza]"),"repasse.cef.terreno",
INDIRECT("rec.uni[empresa]"),Q$6)</f>
        <v>0</v>
      </c>
      <c r="R63" s="181">
        <v>0</v>
      </c>
      <c r="S63" s="178">
        <f ca="1">SUMIFS(rec.uni[2026-01-01],
INDIRECT("rec.uni[natureza]"),"taxa.extra",
INDIRECT("rec.uni[empresa]"),S$6)</f>
        <v>0</v>
      </c>
      <c r="T63" s="166"/>
      <c r="U63" s="178" cm="1">
        <f t="array" ref="U63">SUMPRODUCT(
  IFERROR(--desp[valor],0)*
  (desp[nucleo]="UP VILA SONIA")*
  (desp[categoria]=U$7)*
  (desp[data.pagamento]&gt;=$A63)*
  (desp[data.pagamento]&lt;EOMONTH($A63,0)+1)
)</f>
        <v>0</v>
      </c>
      <c r="V63" s="178" cm="1">
        <f t="array" ref="V63">SUMPRODUCT(
  IFERROR(--desp[valor],0)*
  (desp[nucleo]="UP VILA SONIA")*
  (desp[categoria]=V$7)*
  (desp[data.pagamento]&gt;=$A63)*
  (desp[data.pagamento]&lt;EOMONTH($A63,0)+1)
)</f>
        <v>0</v>
      </c>
      <c r="W63" s="178" cm="1">
        <f t="array" ref="W63">SUMPRODUCT(
  IFERROR(--desp[valor],0)*
  (desp[nucleo]="UP VILA SONIA")*
  (desp[categoria]=W$7)*
  (desp[data.pagamento]&gt;=$A63)*
  (desp[data.pagamento]&lt;EOMONTH($A63,0)+1)
)</f>
        <v>0</v>
      </c>
      <c r="X63" s="178" cm="1">
        <f t="array" ref="X63">SUMPRODUCT(
  IFERROR(--desp[valor],0)*
  (desp[nucleo]="UP VILA SONIA")*
  (desp[categoria]=X$7)*
  (desp[data.pagamento]&gt;=$A63)*
  (desp[data.pagamento]&lt;EOMONTH($A63,0)+1)
)</f>
        <v>0</v>
      </c>
      <c r="Y63" s="179" cm="1">
        <f t="array" ref="Y63">SUMPRODUCT(
  IFERROR(--desp[valor],0)*
  (desp[nucleo]="UP VILA SONIA")*
  (desp[categoria]=Y$7)*
  (desp[data.pagamento]&gt;=$A63)*
  (desp[data.pagamento]&lt;EOMONTH($A63,0)+1)
)</f>
        <v>0</v>
      </c>
      <c r="Z63" s="177">
        <f>COUNTIFS(
    estq[empresa], Z$6,
    estq[Data da venda / reserva], "&gt;=" &amp; $A63,
    estq[Data da venda / reserva], "&lt;"  &amp; EOMONTH($A63,0) + 1
)</f>
        <v>0</v>
      </c>
      <c r="AA63" s="178">
        <f ca="1">SUMIFS(rec.uni[2026-01-01],
INDIRECT("rec.uni[natureza]"),"pro.soluto",
INDIRECT("rec.uni[empresa]"),AA$6)</f>
        <v>0</v>
      </c>
      <c r="AB63" s="178">
        <f ca="1">SUMIFS(rec.uni[2026-01-01],
INDIRECT("rec.uni[natureza]"),"pro.soluto",
INDIRECT("rec.uni[empresa]"),AB$6)</f>
        <v>0</v>
      </c>
      <c r="AC63" s="178">
        <f ca="1">SUMIFS(rec.uni[2026-01-01],
INDIRECT("rec.uni[natureza]"),"taxa.extra",
INDIRECT("rec.uni[empresa]"),AC$6)</f>
        <v>0</v>
      </c>
      <c r="AD63" s="166"/>
      <c r="AE63" s="178" cm="1">
        <f t="array" ref="AE63">SUMPRODUCT(
  IFERROR(--desp[valor],0)*
  (desp[nucleo]="UP CAMPO BELO")*
  (desp[categoria]=AE$7)*
  (desp[data.pagamento]&gt;=$A63)*
  (desp[data.pagamento]&lt;EOMONTH($A63,0)+1)
)</f>
        <v>0</v>
      </c>
      <c r="AF63" s="178" cm="1">
        <f t="array" ref="AF63">SUMPRODUCT(
  IFERROR(--desp[valor],0)*
  (desp[nucleo]="UP CAMPO BELO")*
  (desp[categoria]=AF$7)*
  (desp[data.pagamento]&gt;=$A63)*
  (desp[data.pagamento]&lt;EOMONTH($A63,0)+1)
)</f>
        <v>0</v>
      </c>
      <c r="AG63" s="178" cm="1">
        <f t="array" ref="AG63">SUMPRODUCT(
  IFERROR(--desp[valor],0)*
  (desp[nucleo]="UP CAMPO BELO")*
  (desp[categoria]=AG$7)*
  (desp[data.pagamento]&gt;=$A63)*
  (desp[data.pagamento]&lt;EOMONTH($A63,0)+1)
)</f>
        <v>0</v>
      </c>
      <c r="AH63" s="178" cm="1">
        <f t="array" ref="AH63">SUMPRODUCT(
  IFERROR(--desp[valor],0)*
  (desp[nucleo]="UP CAMPO BELO")*
  (desp[categoria]=AH$7)*
  (desp[data.pagamento]&gt;=$A63)*
  (desp[data.pagamento]&lt;EOMONTH($A63,0)+1)
)</f>
        <v>0</v>
      </c>
      <c r="AI63" s="179" cm="1">
        <f t="array" ref="AI63">SUMPRODUCT(
  IFERROR(--desp[valor],0)*
  (desp[nucleo]="UP CAMPO BELO")*
  (desp[categoria]=AI$7)*
  (desp[data.pagamento]&gt;=$A63)*
  (desp[data.pagamento]&lt;EOMONTH($A63,0)+1)
)</f>
        <v>0</v>
      </c>
      <c r="AJ63" s="177">
        <f>COUNTIFS(
    estq[empresa], AJ$6,
    estq[Data da venda / reserva], "&gt;=" &amp; $A63,
    estq[Data da venda / reserva], "&lt;"  &amp; EOMONTH($A63,0) + 1
)</f>
        <v>0</v>
      </c>
      <c r="AK63" s="178">
        <f ca="1">SUMIFS(rec.uni[2026-01-01],
INDIRECT("rec.uni[natureza]"),"pro.soluto",
INDIRECT("rec.uni[empresa]"),AK$6)</f>
        <v>0</v>
      </c>
      <c r="AL63" s="178">
        <f ca="1">SUMIFS(rec.uni[2026-01-01],
INDIRECT("rec.uni[natureza]"),"repasse.cef.obra",
INDIRECT("rec.uni[empresa]"),AL$6)</f>
        <v>0</v>
      </c>
      <c r="AM63" s="181">
        <f ca="1">SUMIFS(rec.uni[2026-01-01],
INDIRECT("rec.uni[natureza]"),"repasse.cef.terreno",
INDIRECT("rec.uni[empresa]"),AM$6)</f>
        <v>0</v>
      </c>
      <c r="AN63" s="181">
        <v>313227.59000000003</v>
      </c>
      <c r="AO63" s="178">
        <f ca="1">SUMIFS(rec.uni[2026-01-01],
INDIRECT("rec.uni[natureza]"),"taxa.extra",
INDIRECT("rec.uni[empresa]"),AO$6)</f>
        <v>0</v>
      </c>
      <c r="AP63" s="166"/>
      <c r="AQ63" s="178" cm="1">
        <f t="array" ref="AQ63">SUMPRODUCT(
  IFERROR(--desp[valor],0)*
  (desp[nucleo]="UP SELECT VILA SONIA")*
  (desp[categoria]=AQ$7)*
  (desp[data.pagamento]&gt;=$A63)*
  (desp[data.pagamento]&lt;EOMONTH($A63,0)+1)
)</f>
        <v>0</v>
      </c>
      <c r="AR63" s="178" cm="1">
        <f t="array" ref="AR63">SUMPRODUCT(
  IFERROR(--desp[valor],0)*
  (desp[nucleo]="UP SELECT VILA SONIA")*
  (desp[categoria]=AR$7)*
  (desp[data.pagamento]&gt;=$A63)*
  (desp[data.pagamento]&lt;EOMONTH($A63,0)+1)
)</f>
        <v>0</v>
      </c>
      <c r="AS63" s="178" cm="1">
        <f t="array" ref="AS63">SUMPRODUCT(
  IFERROR(--desp[valor],0)*
  (desp[nucleo]="UP SELECT VILA SONIA")*
  (desp[categoria]=AS$7)*
  (desp[data.pagamento]&gt;=$A63)*
  (desp[data.pagamento]&lt;EOMONTH($A63,0)+1)
)</f>
        <v>0</v>
      </c>
      <c r="AT63" s="178" cm="1">
        <f t="array" ref="AT63">SUMPRODUCT(
  IFERROR(--desp[valor],0)*
  (desp[nucleo]="UP SELECT VILA SONIA")*
  (desp[categoria]=AT$7)*
  (desp[data.pagamento]&gt;=$A63)*
  (desp[data.pagamento]&lt;EOMONTH($A63,0)+1)
)</f>
        <v>0</v>
      </c>
      <c r="AU63" s="179" cm="1">
        <f t="array" ref="AU63">SUMPRODUCT(
  IFERROR(--desp[valor],0)*
  (desp[nucleo]="UP SELECT VILA SONIA")*
  (desp[categoria]=AU$7)*
  (desp[data.pagamento]&gt;=$A63)*
  (desp[data.pagamento]&lt;EOMONTH($A63,0)+1)
)</f>
        <v>0</v>
      </c>
      <c r="AV63" s="177">
        <f>COUNTIFS(
    estq[empresa], AV$6,
    estq[Data da venda / reserva], "&gt;=" &amp; $A63,
    estq[Data da venda / reserva], "&lt;"  &amp; EOMONTH($A63,0) + 1
)</f>
        <v>0</v>
      </c>
      <c r="AW63" s="178">
        <f ca="1">SUMIFS(rec.uni[2026-01-01],
INDIRECT("rec.uni[natureza]"),"pro.soluto",
INDIRECT("rec.uni[empresa]"),AW$6)</f>
        <v>0</v>
      </c>
      <c r="AX63" s="178">
        <f ca="1">SUMIFS(rec.uni[2026-01-01],
INDIRECT("rec.uni[natureza]"),"repasse.cef.obra",
INDIRECT("rec.uni[empresa]"),AX$6)</f>
        <v>0</v>
      </c>
      <c r="AY63" s="181">
        <f ca="1">SUMIFS(rec.uni[2026-01-01],
INDIRECT("rec.uni[natureza]"),"repasse.cef.terreno",
INDIRECT("rec.uni[empresa]"),AY$6)</f>
        <v>0</v>
      </c>
      <c r="AZ63" s="181">
        <v>513271.28</v>
      </c>
      <c r="BA63" s="178">
        <f ca="1">SUMIFS(rec.uni[2026-01-01],
INDIRECT("rec.uni[natureza]"),"taxa.extra",
INDIRECT("rec.uni[empresa]"),BA$6)</f>
        <v>0</v>
      </c>
      <c r="BB63" s="166"/>
      <c r="BC63" s="178" cm="1">
        <f t="array" ref="BC63">SUMPRODUCT(
  IFERROR(--desp[valor],0)*
  (desp[nucleo]="UP ESTAÇÃO SÃO LUCAS")*
  (desp[categoria]=BC$7)*
  (desp[data.pagamento]&gt;=$A63)*
  (desp[data.pagamento]&lt;EOMONTH($A63,0)+1)
)</f>
        <v>0</v>
      </c>
      <c r="BD63" s="178" cm="1">
        <f t="array" ref="BD63">SUMPRODUCT(
  IFERROR(--desp[valor],0)*
  (desp[nucleo]="UP ESTAÇÃO SÃO LUCAS")*
  (desp[categoria]=BD$7)*
  (desp[data.pagamento]&gt;=$A63)*
  (desp[data.pagamento]&lt;EOMONTH($A63,0)+1)
)</f>
        <v>0</v>
      </c>
      <c r="BE63" s="178" cm="1">
        <f t="array" ref="BE63">SUMPRODUCT(
  IFERROR(--desp[valor],0)*
  (desp[nucleo]="UP ESTAÇÃO SÃO LUCAS")*
  (desp[categoria]=BE$7)*
  (desp[data.pagamento]&gt;=$A63)*
  (desp[data.pagamento]&lt;EOMONTH($A63,0)+1)
)</f>
        <v>0</v>
      </c>
      <c r="BF63" s="178" cm="1">
        <f t="array" ref="BF63">SUMPRODUCT(
  IFERROR(--desp[valor],0)*
  (desp[nucleo]="UP ESTAÇÃO SÃO LUCAS")*
  (desp[categoria]=BF$7)*
  (desp[data.pagamento]&gt;=$A63)*
  (desp[data.pagamento]&lt;EOMONTH($A63,0)+1)
)</f>
        <v>0</v>
      </c>
      <c r="BG63" s="179" cm="1">
        <f t="array" ref="BG63">SUMPRODUCT(
  IFERROR(--desp[valor],0)*
  (desp[nucleo]="UP ESTAÇÃO SÃO LUCAS")*
  (desp[categoria]=BG$7)*
  (desp[data.pagamento]&gt;=$A63)*
  (desp[data.pagamento]&lt;EOMONTH($A63,0)+1)
)</f>
        <v>0</v>
      </c>
      <c r="BH63" s="177">
        <f>COUNTIFS(
    estq[empresa], BH$6,
    estq[Data da venda / reserva], "&gt;=" &amp; $A63,
    estq[Data da venda / reserva], "&lt;"  &amp; EOMONTH($A63,0) + 1
)</f>
        <v>0</v>
      </c>
      <c r="BI63" s="178">
        <f ca="1">SUMIFS(rec.uni[2026-01-01],
INDIRECT("rec.uni[natureza]"),"pro.soluto",
INDIRECT("rec.uni[empresa]"),BI$6)</f>
        <v>0</v>
      </c>
      <c r="BJ63" s="166">
        <f>1.9*94736</f>
        <v>179998.4</v>
      </c>
      <c r="BK63" s="178">
        <f ca="1">SUMIFS(rec.uni[2026-01-01],
INDIRECT("rec.uni[natureza]"),"taxa.extra",
INDIRECT("rec.uni[empresa]"),BK$6)</f>
        <v>0</v>
      </c>
      <c r="BL63" s="166"/>
      <c r="BM63" s="178" cm="1">
        <f t="array" ref="BM63">SUMPRODUCT(
  IFERROR(--desp[valor],0)*
  (desp[nucleo]="UP POMPEIA")*
  (desp[categoria]=BM$7)*
  (desp[data.pagamento]&gt;=$A63)*
  (desp[data.pagamento]&lt;EOMONTH($A63,0)+1)
)</f>
        <v>0</v>
      </c>
      <c r="BN63" s="178" cm="1">
        <f t="array" ref="BN63">SUMPRODUCT(
  IFERROR(--desp[valor],0)*
  (desp[nucleo]="UP POMPEIA")*
  (desp[categoria]=BN$7)*
  (desp[data.pagamento]&gt;=$A63)*
  (desp[data.pagamento]&lt;EOMONTH($A63,0)+1)
)</f>
        <v>0</v>
      </c>
      <c r="BO63" s="178" cm="1">
        <f t="array" ref="BO63">SUMPRODUCT(
  IFERROR(--desp[valor],0)*
  (desp[nucleo]="UP POMPEIA")*
  (desp[categoria]=BO$7)*
  (desp[data.pagamento]&gt;=$A63)*
  (desp[data.pagamento]&lt;EOMONTH($A63,0)+1)
)</f>
        <v>0</v>
      </c>
      <c r="BP63" s="178" cm="1">
        <f t="array" ref="BP63">SUMPRODUCT(
  IFERROR(--desp[valor],0)*
  (desp[nucleo]="UP POMPEIA")*
  (desp[categoria]=BP$7)*
  (desp[data.pagamento]&gt;=$A63)*
  (desp[data.pagamento]&lt;EOMONTH($A63,0)+1)
)</f>
        <v>0</v>
      </c>
      <c r="BQ63" s="179" cm="1">
        <f t="array" ref="BQ63">SUMPRODUCT(
  IFERROR(--desp[valor],0)*
  (desp[nucleo]="UP POMPEIA")*
  (desp[categoria]=BQ$7)*
  (desp[data.pagamento]&gt;=$A63)*
  (desp[data.pagamento]&lt;EOMONTH($A63,0)+1)
)</f>
        <v>0</v>
      </c>
      <c r="BR63" s="177">
        <f>COUNTIFS(
    estq[empresa], BR$6,
    estq[Data da venda / reserva], "&gt;=" &amp; $A63,
    estq[Data da venda / reserva], "&lt;"  &amp; EOMONTH($A63,0) + 1
)</f>
        <v>0</v>
      </c>
      <c r="BS63" s="178">
        <f ca="1">SUMIFS(rec.uni[2026-01-01],
INDIRECT("rec.uni[natureza]"),"pro.soluto",
INDIRECT("rec.uni[empresa]"),BS$6)</f>
        <v>0</v>
      </c>
      <c r="BT63" s="178">
        <f ca="1">SUMIFS(rec.uni[2026-01-01],
INDIRECT("rec.uni[natureza]"),"pro.soluto",
INDIRECT("rec.uni[empresa]"),BT$6)</f>
        <v>0</v>
      </c>
      <c r="BU63" s="178">
        <f ca="1">SUMIFS(rec.uni[2026-01-01],
INDIRECT("rec.uni[natureza]"),"taxa.extra",
INDIRECT("rec.uni[empresa]"),BU$6)</f>
        <v>0</v>
      </c>
      <c r="BV63" s="166"/>
      <c r="BW63" s="178" cm="1">
        <f t="array" ref="BW63">SUMPRODUCT(
  IFERROR(--desp[valor],0)*
  (desp[nucleo]="UP SAUDE")*
  (desp[categoria]=BW$7)*
  (desp[data.pagamento]&gt;=$A63)*
  (desp[data.pagamento]&lt;EOMONTH($A63,0)+1)
)</f>
        <v>0</v>
      </c>
      <c r="BX63" s="178" cm="1">
        <f t="array" ref="BX63">SUMPRODUCT(
  IFERROR(--desp[valor],0)*
  (desp[nucleo]="UP SAUDE")*
  (desp[categoria]=BX$7)*
  (desp[data.pagamento]&gt;=$A63)*
  (desp[data.pagamento]&lt;EOMONTH($A63,0)+1)
)</f>
        <v>0</v>
      </c>
      <c r="BY63" s="178" cm="1">
        <f t="array" ref="BY63">SUMPRODUCT(
  IFERROR(--desp[valor],0)*
  (desp[nucleo]="UP SAUDE")*
  (desp[categoria]=BY$7)*
  (desp[data.pagamento]&gt;=$A63)*
  (desp[data.pagamento]&lt;EOMONTH($A63,0)+1)
)</f>
        <v>0</v>
      </c>
      <c r="BZ63" s="178" cm="1">
        <f t="array" ref="BZ63">SUMPRODUCT(
  IFERROR(--desp[valor],0)*
  (desp[nucleo]="UP SAUDE")*
  (desp[categoria]=BZ$7)*
  (desp[data.pagamento]&gt;=$A63)*
  (desp[data.pagamento]&lt;EOMONTH($A63,0)+1)
)</f>
        <v>0</v>
      </c>
      <c r="CA63" s="179" cm="1">
        <f t="array" ref="CA63">SUMPRODUCT(
  IFERROR(--desp[valor],0)*
  (desp[nucleo]="UP SAUDE")*
  (desp[categoria]=CA$7)*
  (desp[data.pagamento]&gt;=$A63)*
  (desp[data.pagamento]&lt;EOMONTH($A63,0)+1)
)</f>
        <v>0</v>
      </c>
      <c r="CB63" s="177">
        <f>COUNTIFS(
    estq[empresa], CB$6,
    estq[Data da venda / reserva], "&gt;=" &amp; $A63,
    estq[Data da venda / reserva], "&lt;"  &amp; EOMONTH($A63,0) + 1
)</f>
        <v>0</v>
      </c>
      <c r="CC63" s="178">
        <f ca="1">SUMIFS(rec.uni[2026-01-01],
INDIRECT("rec.uni[natureza]"),"pro.soluto",
INDIRECT("rec.uni[empresa]"),CC$6)</f>
        <v>0</v>
      </c>
      <c r="CD63" s="178">
        <f ca="1">SUMIFS(rec.uni[2026-01-01],
INDIRECT("rec.uni[natureza]"),"repasse.cef.obra",
INDIRECT("rec.uni[empresa]"),CD$6)</f>
        <v>0</v>
      </c>
      <c r="CE63" s="181">
        <f ca="1">SUMIFS(rec.uni[2026-01-01],
INDIRECT("rec.uni[natureza]"),"repasse.cef.terreno",
INDIRECT("rec.uni[empresa]"),CE$6)</f>
        <v>0</v>
      </c>
      <c r="CF63" s="181">
        <v>311984.76</v>
      </c>
      <c r="CG63" s="178">
        <f ca="1">SUMIFS(rec.uni[2026-01-01],
INDIRECT("rec.uni[natureza]"),"taxa.extra",
INDIRECT("rec.uni[empresa]"),CG$6)</f>
        <v>0</v>
      </c>
      <c r="CH63" s="166"/>
      <c r="CI63" s="178" cm="1">
        <f t="array" ref="CI63">SUMPRODUCT(
  IFERROR(--desp[valor],0)*
  (desp[nucleo]="UP ESTAÇÃO VILA SONIA")*
  (desp[categoria]=CI$7)*
  (desp[data.pagamento]&gt;=$A63)*
  (desp[data.pagamento]&lt;EOMONTH($A63,0)+1)
)</f>
        <v>0</v>
      </c>
      <c r="CJ63" s="178" cm="1">
        <f t="array" ref="CJ63">SUMPRODUCT(
  IFERROR(--desp[valor],0)*
  (desp[nucleo]="UP ESTAÇÃO VILA SONIA")*
  (desp[categoria]=CJ$7)*
  (desp[data.pagamento]&gt;=$A63)*
  (desp[data.pagamento]&lt;EOMONTH($A63,0)+1)
)</f>
        <v>0</v>
      </c>
      <c r="CK63" s="178" cm="1">
        <f t="array" ref="CK63">SUMPRODUCT(
  IFERROR(--desp[valor],0)*
  (desp[nucleo]="UP ESTAÇÃO VILA SONIA")*
  (desp[categoria]=CK$7)*
  (desp[data.pagamento]&gt;=$A63)*
  (desp[data.pagamento]&lt;EOMONTH($A63,0)+1)
)</f>
        <v>0</v>
      </c>
      <c r="CL63" s="178" cm="1">
        <f t="array" ref="CL63">SUMPRODUCT(
  IFERROR(--desp[valor],0)*
  (desp[nucleo]="UP ESTAÇÃO VILA SONIA")*
  (desp[categoria]=CL$7)*
  (desp[data.pagamento]&gt;=$A63)*
  (desp[data.pagamento]&lt;EOMONTH($A63,0)+1)
)</f>
        <v>0</v>
      </c>
      <c r="CM63" s="179" cm="1">
        <f t="array" ref="CM63">SUMPRODUCT(
  IFERROR(--desp[valor],0)*
  (desp[nucleo]="UP ESTAÇÃO VILA SONIA")*
  (desp[categoria]=CM$7)*
  (desp[data.pagamento]&gt;=$A63)*
  (desp[data.pagamento]&lt;EOMONTH($A63,0)+1)
)</f>
        <v>0</v>
      </c>
      <c r="CN63" s="177">
        <f>COUNTIFS(
    estq[empresa], CN$6,
    estq[Data da venda / reserva], "&gt;=" &amp; $A63,
    estq[Data da venda / reserva], "&lt;"  &amp; EOMONTH($A63,0) + 1
)</f>
        <v>0</v>
      </c>
      <c r="CO63" s="178">
        <f ca="1">SUMIFS(rec.uni[2026-01-01],
INDIRECT("rec.uni[natureza]"),"pro.soluto",
INDIRECT("rec.uni[empresa]"),CO$6)</f>
        <v>0</v>
      </c>
      <c r="CP63" s="178">
        <f ca="1">SUMIFS(rec.uni[2026-01-01],
INDIRECT("rec.uni[natureza]"),"repasse.cef.obra",
INDIRECT("rec.uni[empresa]"),CP$6)</f>
        <v>0</v>
      </c>
      <c r="CQ63" s="181">
        <f ca="1">SUMIFS(rec.uni[2026-01-01],
INDIRECT("rec.uni[natureza]"),"repasse.cef.terreno",
INDIRECT("rec.uni[empresa]"),CQ$6)</f>
        <v>0</v>
      </c>
      <c r="CR63" s="181">
        <v>0</v>
      </c>
      <c r="CS63" s="178">
        <f ca="1">SUMIFS(rec.uni[2026-01-01],
INDIRECT("rec.uni[natureza]"),"taxa.extra",
INDIRECT("rec.uni[empresa]"),CS$6)</f>
        <v>0</v>
      </c>
      <c r="CT63" s="166"/>
      <c r="CU63" s="178" cm="1">
        <f t="array" ref="CU63">SUMPRODUCT(
  IFERROR(--desp[valor],0)*
  (desp[nucleo]="UP MOVE VILA SONIA")*
  (desp[categoria]=CU$7)*
  (desp[data.pagamento]&gt;=$A63)*
  (desp[data.pagamento]&lt;EOMONTH($A63,0)+1)
)</f>
        <v>0</v>
      </c>
      <c r="CV63" s="178" cm="1">
        <f t="array" ref="CV63">SUMPRODUCT(
  IFERROR(--desp[valor],0)*
  (desp[nucleo]="UP MOVE VILA SONIA")*
  (desp[categoria]=CV$7)*
  (desp[data.pagamento]&gt;=$A63)*
  (desp[data.pagamento]&lt;EOMONTH($A63,0)+1)
)</f>
        <v>0</v>
      </c>
      <c r="CW63" s="178" cm="1">
        <f t="array" ref="CW63">SUMPRODUCT(
  IFERROR(--desp[valor],0)*
  (desp[nucleo]="UP MOVE VILA SONIA")*
  (desp[categoria]=CW$7)*
  (desp[data.pagamento]&gt;=$A63)*
  (desp[data.pagamento]&lt;EOMONTH($A63,0)+1)
)</f>
        <v>0</v>
      </c>
      <c r="CX63" s="178" cm="1">
        <f t="array" ref="CX63">SUMPRODUCT(
  IFERROR(--desp[valor],0)*
  (desp[nucleo]="UP MOVE VILA SONIA")*
  (desp[categoria]=CX$7)*
  (desp[data.pagamento]&gt;=$A63)*
  (desp[data.pagamento]&lt;EOMONTH($A63,0)+1)
)</f>
        <v>0</v>
      </c>
      <c r="CY63" s="290" cm="1">
        <f t="array" ref="CY63">SUMPRODUCT(
  IFERROR(--desp[valor],0)*
  (desp[nucleo]="UP MOVE VILA SONIA")*
  (desp[categoria]=CY$7)*
  (desp[data.pagamento]&gt;=$A63)*
  (desp[data.pagamento]&lt;EOMONTH($A63,0)+1)
)</f>
        <v>0</v>
      </c>
    </row>
    <row r="64" spans="1:103" x14ac:dyDescent="0.25">
      <c r="A64" s="176">
        <v>46054</v>
      </c>
      <c r="B64" s="177">
        <f>COUNTIFS(
    estq[empresa], B$6,
    estq[Data da venda / reserva], "&gt;=" &amp; $A64,
    estq[Data da venda / reserva], "&lt;"  &amp; EOMONTH($A64,0) + 1
)</f>
        <v>0</v>
      </c>
      <c r="C64" s="178">
        <f ca="1">SUMIFS(rec.uni[2026-02-01],
INDIRECT("rec.uni[natureza]"),"pro.soluto",
INDIRECT("rec.uni[empresa]"),C$6)</f>
        <v>0</v>
      </c>
      <c r="D64" s="178">
        <f ca="1">SUMIFS(rec.uni[2026-02-01],
INDIRECT("rec.uni[natureza]"),"repasse.cef.obra",
INDIRECT("rec.uni[empresa]"),D$6)</f>
        <v>0</v>
      </c>
      <c r="E64" s="178">
        <f ca="1">SUMIFS(rec.uni[2026-02-01],
INDIRECT("rec.uni[natureza]"),"repasse.cef.terreno",
INDIRECT("rec.uni[empresa]"),E$6)</f>
        <v>0</v>
      </c>
      <c r="F64" s="181">
        <v>46792.36</v>
      </c>
      <c r="G64" s="178">
        <f ca="1">SUMIFS(rec.uni[2026-02-01],
INDIRECT("rec.uni[natureza]"),"taxa.extra",
INDIRECT("rec.uni[empresa]"),G$6)</f>
        <v>0</v>
      </c>
      <c r="H64" s="166"/>
      <c r="I64" s="178" cm="1">
        <f t="array" ref="I64">SUMPRODUCT(
  IFERROR(--desp[valor],0)*
  (desp[nucleo]="UP JARDIM PRUDENCIA")*
  (desp[categoria]=I$7)*
  (desp[data.pagamento]&gt;=$A64)*
  (desp[data.pagamento]&lt;EOMONTH($A64,0)+1)
)</f>
        <v>0</v>
      </c>
      <c r="J64" s="178" cm="1">
        <f t="array" ref="J64">SUMPRODUCT(
  IFERROR(--desp[valor],0)*
  (desp[nucleo]="UP JARDIM PRUDENCIA")*
  (desp[categoria]=J$7)*
  (desp[data.pagamento]&gt;=$A64)*
  (desp[data.pagamento]&lt;EOMONTH($A64,0)+1)
)</f>
        <v>0</v>
      </c>
      <c r="K64" s="178" cm="1">
        <f t="array" ref="K64">SUMPRODUCT(
  IFERROR(--desp[valor],0)*
  (desp[nucleo]="UP JARDIM PRUDENCIA")*
  (desp[categoria]=K$7)*
  (desp[data.pagamento]&gt;=$A64)*
  (desp[data.pagamento]&lt;EOMONTH($A64,0)+1)
)</f>
        <v>0</v>
      </c>
      <c r="L64" s="178" cm="1">
        <f t="array" ref="L64">SUMPRODUCT(
  IFERROR(--desp[valor],0)*
  (desp[nucleo]="UP JARDIM PRUDENCIA")*
  (desp[categoria]=L$7)*
  (desp[data.pagamento]&gt;=$A64)*
  (desp[data.pagamento]&lt;EOMONTH($A64,0)+1)
)</f>
        <v>0</v>
      </c>
      <c r="M64" s="178" cm="1">
        <f t="array" ref="M64">SUMPRODUCT(
  IFERROR(--desp[valor],0)*
  (desp[nucleo]="UP JARDIM PRUDENCIA")*
  (desp[categoria]=M$7)*
  (desp[data.pagamento]&gt;=$A64)*
  (desp[data.pagamento]&lt;EOMONTH($A64,0)+1)
)</f>
        <v>0</v>
      </c>
      <c r="N64" s="177">
        <f>COUNTIFS(
    estq[empresa], N$6,
    estq[Data da venda / reserva], "&gt;=" &amp; $A64,
    estq[Data da venda / reserva], "&lt;"  &amp; EOMONTH($A64,0) + 1
)</f>
        <v>0</v>
      </c>
      <c r="O64" s="178">
        <f ca="1">SUMIFS(rec.uni[2026-02-01],
INDIRECT("rec.uni[natureza]"),"pro.soluto",
INDIRECT("rec.uni[empresa]"),O$6)</f>
        <v>0</v>
      </c>
      <c r="P64" s="178">
        <f ca="1">SUMIFS(rec.uni[2026-02-01],
INDIRECT("rec.uni[natureza]"),"repasse.cef.obra",
INDIRECT("rec.uni[empresa]"),P$6)</f>
        <v>0</v>
      </c>
      <c r="Q64" s="178">
        <f ca="1">SUMIFS(rec.uni[2026-02-01],
INDIRECT("rec.uni[natureza]"),"repasse.cef.terreno",
INDIRECT("rec.uni[empresa]"),Q$6)</f>
        <v>0</v>
      </c>
      <c r="R64" s="181">
        <v>0</v>
      </c>
      <c r="S64" s="178">
        <f ca="1">SUMIFS(rec.uni[2026-02-01],
INDIRECT("rec.uni[natureza]"),"taxa.extra",
INDIRECT("rec.uni[empresa]"),S$6)</f>
        <v>0</v>
      </c>
      <c r="T64" s="166"/>
      <c r="U64" s="178" cm="1">
        <f t="array" ref="U64">SUMPRODUCT(
  IFERROR(--desp[valor],0)*
  (desp[nucleo]="UP VILA SONIA")*
  (desp[categoria]=U$7)*
  (desp[data.pagamento]&gt;=$A64)*
  (desp[data.pagamento]&lt;EOMONTH($A64,0)+1)
)</f>
        <v>0</v>
      </c>
      <c r="V64" s="178" cm="1">
        <f t="array" ref="V64">SUMPRODUCT(
  IFERROR(--desp[valor],0)*
  (desp[nucleo]="UP VILA SONIA")*
  (desp[categoria]=V$7)*
  (desp[data.pagamento]&gt;=$A64)*
  (desp[data.pagamento]&lt;EOMONTH($A64,0)+1)
)</f>
        <v>0</v>
      </c>
      <c r="W64" s="178" cm="1">
        <f t="array" ref="W64">SUMPRODUCT(
  IFERROR(--desp[valor],0)*
  (desp[nucleo]="UP VILA SONIA")*
  (desp[categoria]=W$7)*
  (desp[data.pagamento]&gt;=$A64)*
  (desp[data.pagamento]&lt;EOMONTH($A64,0)+1)
)</f>
        <v>0</v>
      </c>
      <c r="X64" s="178" cm="1">
        <f t="array" ref="X64">SUMPRODUCT(
  IFERROR(--desp[valor],0)*
  (desp[nucleo]="UP VILA SONIA")*
  (desp[categoria]=X$7)*
  (desp[data.pagamento]&gt;=$A64)*
  (desp[data.pagamento]&lt;EOMONTH($A64,0)+1)
)</f>
        <v>0</v>
      </c>
      <c r="Y64" s="178" cm="1">
        <f t="array" ref="Y64">SUMPRODUCT(
  IFERROR(--desp[valor],0)*
  (desp[nucleo]="UP VILA SONIA")*
  (desp[categoria]=Y$7)*
  (desp[data.pagamento]&gt;=$A64)*
  (desp[data.pagamento]&lt;EOMONTH($A64,0)+1)
)</f>
        <v>0</v>
      </c>
      <c r="Z64" s="177">
        <f>COUNTIFS(
    estq[empresa], Z$6,
    estq[Data da venda / reserva], "&gt;=" &amp; $A64,
    estq[Data da venda / reserva], "&lt;"  &amp; EOMONTH($A64,0) + 1
)</f>
        <v>0</v>
      </c>
      <c r="AA64" s="178">
        <f ca="1">SUMIFS(rec.uni[2026-02-01],
INDIRECT("rec.uni[natureza]"),"pro.soluto",
INDIRECT("rec.uni[empresa]"),AA$6)</f>
        <v>0</v>
      </c>
      <c r="AB64" s="181">
        <f ca="1">SUMIFS(rec.uni[2026-02-01],
INDIRECT("rec.uni[natureza]"),"pro.soluto",
INDIRECT("rec.uni[empresa]"),AB$6)</f>
        <v>0</v>
      </c>
      <c r="AC64" s="178">
        <f ca="1">SUMIFS(rec.uni[2026-02-01],
INDIRECT("rec.uni[natureza]"),"taxa.extra",
INDIRECT("rec.uni[empresa]"),AC$6)</f>
        <v>0</v>
      </c>
      <c r="AD64" s="166"/>
      <c r="AE64" s="178" cm="1">
        <f t="array" ref="AE64">SUMPRODUCT(
  IFERROR(--desp[valor],0)*
  (desp[nucleo]="UP CAMPO BELO")*
  (desp[categoria]=AE$7)*
  (desp[data.pagamento]&gt;=$A64)*
  (desp[data.pagamento]&lt;EOMONTH($A64,0)+1)
)</f>
        <v>0</v>
      </c>
      <c r="AF64" s="178" cm="1">
        <f t="array" ref="AF64">SUMPRODUCT(
  IFERROR(--desp[valor],0)*
  (desp[nucleo]="UP CAMPO BELO")*
  (desp[categoria]=AF$7)*
  (desp[data.pagamento]&gt;=$A64)*
  (desp[data.pagamento]&lt;EOMONTH($A64,0)+1)
)</f>
        <v>0</v>
      </c>
      <c r="AG64" s="178" cm="1">
        <f t="array" ref="AG64">SUMPRODUCT(
  IFERROR(--desp[valor],0)*
  (desp[nucleo]="UP CAMPO BELO")*
  (desp[categoria]=AG$7)*
  (desp[data.pagamento]&gt;=$A64)*
  (desp[data.pagamento]&lt;EOMONTH($A64,0)+1)
)</f>
        <v>0</v>
      </c>
      <c r="AH64" s="178" cm="1">
        <f t="array" ref="AH64">SUMPRODUCT(
  IFERROR(--desp[valor],0)*
  (desp[nucleo]="UP CAMPO BELO")*
  (desp[categoria]=AH$7)*
  (desp[data.pagamento]&gt;=$A64)*
  (desp[data.pagamento]&lt;EOMONTH($A64,0)+1)
)</f>
        <v>0</v>
      </c>
      <c r="AI64" s="178" cm="1">
        <f t="array" ref="AI64">SUMPRODUCT(
  IFERROR(--desp[valor],0)*
  (desp[nucleo]="UP CAMPO BELO")*
  (desp[categoria]=AI$7)*
  (desp[data.pagamento]&gt;=$A64)*
  (desp[data.pagamento]&lt;EOMONTH($A64,0)+1)
)</f>
        <v>0</v>
      </c>
      <c r="AJ64" s="177">
        <f>COUNTIFS(
    estq[empresa], AJ$6,
    estq[Data da venda / reserva], "&gt;=" &amp; $A64,
    estq[Data da venda / reserva], "&lt;"  &amp; EOMONTH($A64,0) + 1
)</f>
        <v>0</v>
      </c>
      <c r="AK64" s="178">
        <f ca="1">SUMIFS(rec.uni[2026-02-01],
INDIRECT("rec.uni[natureza]"),"pro.soluto",
INDIRECT("rec.uni[empresa]"),AK$6)</f>
        <v>0</v>
      </c>
      <c r="AL64" s="178">
        <f ca="1">SUMIFS(rec.uni[2026-02-01],
INDIRECT("rec.uni[natureza]"),"repasse.cef.obra",
INDIRECT("rec.uni[empresa]"),AL$6)</f>
        <v>0</v>
      </c>
      <c r="AM64" s="181">
        <f ca="1">SUMIFS(rec.uni[2026-02-01],
INDIRECT("rec.uni[natureza]"),"repasse.cef.terreno",
INDIRECT("rec.uni[empresa]"),AM$6)</f>
        <v>0</v>
      </c>
      <c r="AN64" s="181">
        <v>0</v>
      </c>
      <c r="AO64" s="178">
        <f ca="1">SUMIFS(rec.uni[2026-02-01],
INDIRECT("rec.uni[natureza]"),"taxa.extra",
INDIRECT("rec.uni[empresa]"),AO$6)</f>
        <v>0</v>
      </c>
      <c r="AP64" s="166"/>
      <c r="AQ64" s="178" cm="1">
        <f t="array" ref="AQ64">SUMPRODUCT(
  IFERROR(--desp[valor],0)*
  (desp[nucleo]="UP SELECT VILA SONIA")*
  (desp[categoria]=AQ$7)*
  (desp[data.pagamento]&gt;=$A64)*
  (desp[data.pagamento]&lt;EOMONTH($A64,0)+1)
)</f>
        <v>0</v>
      </c>
      <c r="AR64" s="178" cm="1">
        <f t="array" ref="AR64">SUMPRODUCT(
  IFERROR(--desp[valor],0)*
  (desp[nucleo]="UP SELECT VILA SONIA")*
  (desp[categoria]=AR$7)*
  (desp[data.pagamento]&gt;=$A64)*
  (desp[data.pagamento]&lt;EOMONTH($A64,0)+1)
)</f>
        <v>0</v>
      </c>
      <c r="AS64" s="178" cm="1">
        <f t="array" ref="AS64">SUMPRODUCT(
  IFERROR(--desp[valor],0)*
  (desp[nucleo]="UP SELECT VILA SONIA")*
  (desp[categoria]=AS$7)*
  (desp[data.pagamento]&gt;=$A64)*
  (desp[data.pagamento]&lt;EOMONTH($A64,0)+1)
)</f>
        <v>0</v>
      </c>
      <c r="AT64" s="178" cm="1">
        <f t="array" ref="AT64">SUMPRODUCT(
  IFERROR(--desp[valor],0)*
  (desp[nucleo]="UP SELECT VILA SONIA")*
  (desp[categoria]=AT$7)*
  (desp[data.pagamento]&gt;=$A64)*
  (desp[data.pagamento]&lt;EOMONTH($A64,0)+1)
)</f>
        <v>0</v>
      </c>
      <c r="AU64" s="178" cm="1">
        <f t="array" ref="AU64">SUMPRODUCT(
  IFERROR(--desp[valor],0)*
  (desp[nucleo]="UP SELECT VILA SONIA")*
  (desp[categoria]=AU$7)*
  (desp[data.pagamento]&gt;=$A64)*
  (desp[data.pagamento]&lt;EOMONTH($A64,0)+1)
)</f>
        <v>0</v>
      </c>
      <c r="AV64" s="177">
        <f>COUNTIFS(
    estq[empresa], AV$6,
    estq[Data da venda / reserva], "&gt;=" &amp; $A64,
    estq[Data da venda / reserva], "&lt;"  &amp; EOMONTH($A64,0) + 1
)</f>
        <v>0</v>
      </c>
      <c r="AW64" s="178">
        <f ca="1">SUMIFS(rec.uni[2026-02-01],
INDIRECT("rec.uni[natureza]"),"pro.soluto",
INDIRECT("rec.uni[empresa]"),AW$6)</f>
        <v>0</v>
      </c>
      <c r="AX64" s="178">
        <f ca="1">SUMIFS(rec.uni[2026-02-01],
INDIRECT("rec.uni[natureza]"),"repasse.cef.obra",
INDIRECT("rec.uni[empresa]"),AX$6)</f>
        <v>0</v>
      </c>
      <c r="AY64" s="181">
        <f ca="1">SUMIFS(rec.uni[2026-02-01],
INDIRECT("rec.uni[natureza]"),"repasse.cef.terreno",
INDIRECT("rec.uni[empresa]"),AY$6)</f>
        <v>0</v>
      </c>
      <c r="AZ64" s="181">
        <v>272968.38</v>
      </c>
      <c r="BA64" s="178">
        <f ca="1">SUMIFS(rec.uni[2026-02-01],
INDIRECT("rec.uni[natureza]"),"taxa.extra",
INDIRECT("rec.uni[empresa]"),BA$6)</f>
        <v>0</v>
      </c>
      <c r="BB64" s="166"/>
      <c r="BC64" s="178" cm="1">
        <f t="array" ref="BC64">SUMPRODUCT(
  IFERROR(--desp[valor],0)*
  (desp[nucleo]="UP ESTAÇÃO SÃO LUCAS")*
  (desp[categoria]=BC$7)*
  (desp[data.pagamento]&gt;=$A64)*
  (desp[data.pagamento]&lt;EOMONTH($A64,0)+1)
)</f>
        <v>0</v>
      </c>
      <c r="BD64" s="178" cm="1">
        <f t="array" ref="BD64">SUMPRODUCT(
  IFERROR(--desp[valor],0)*
  (desp[nucleo]="UP ESTAÇÃO SÃO LUCAS")*
  (desp[categoria]=BD$7)*
  (desp[data.pagamento]&gt;=$A64)*
  (desp[data.pagamento]&lt;EOMONTH($A64,0)+1)
)</f>
        <v>0</v>
      </c>
      <c r="BE64" s="178" cm="1">
        <f t="array" ref="BE64">SUMPRODUCT(
  IFERROR(--desp[valor],0)*
  (desp[nucleo]="UP ESTAÇÃO SÃO LUCAS")*
  (desp[categoria]=BE$7)*
  (desp[data.pagamento]&gt;=$A64)*
  (desp[data.pagamento]&lt;EOMONTH($A64,0)+1)
)</f>
        <v>0</v>
      </c>
      <c r="BF64" s="178" cm="1">
        <f t="array" ref="BF64">SUMPRODUCT(
  IFERROR(--desp[valor],0)*
  (desp[nucleo]="UP ESTAÇÃO SÃO LUCAS")*
  (desp[categoria]=BF$7)*
  (desp[data.pagamento]&gt;=$A64)*
  (desp[data.pagamento]&lt;EOMONTH($A64,0)+1)
)</f>
        <v>0</v>
      </c>
      <c r="BG64" s="178" cm="1">
        <f t="array" ref="BG64">SUMPRODUCT(
  IFERROR(--desp[valor],0)*
  (desp[nucleo]="UP ESTAÇÃO SÃO LUCAS")*
  (desp[categoria]=BG$7)*
  (desp[data.pagamento]&gt;=$A64)*
  (desp[data.pagamento]&lt;EOMONTH($A64,0)+1)
)</f>
        <v>0</v>
      </c>
      <c r="BH64" s="177">
        <f>COUNTIFS(
    estq[empresa], BH$6,
    estq[Data da venda / reserva], "&gt;=" &amp; $A64,
    estq[Data da venda / reserva], "&lt;"  &amp; EOMONTH($A64,0) + 1
)</f>
        <v>0</v>
      </c>
      <c r="BI64" s="178">
        <f ca="1">SUMIFS(rec.uni[2026-02-01],
INDIRECT("rec.uni[natureza]"),"pro.soluto",
INDIRECT("rec.uni[empresa]"),BI$6)</f>
        <v>0</v>
      </c>
      <c r="BJ64" s="182">
        <f>2.88*94736</f>
        <v>272839.67999999999</v>
      </c>
      <c r="BK64" s="178">
        <f ca="1">SUMIFS(rec.uni[2026-02-01],
INDIRECT("rec.uni[natureza]"),"taxa.extra",
INDIRECT("rec.uni[empresa]"),BK$6)</f>
        <v>0</v>
      </c>
      <c r="BL64" s="166"/>
      <c r="BM64" s="178" cm="1">
        <f t="array" ref="BM64">SUMPRODUCT(
  IFERROR(--desp[valor],0)*
  (desp[nucleo]="UP POMPEIA")*
  (desp[categoria]=BM$7)*
  (desp[data.pagamento]&gt;=$A64)*
  (desp[data.pagamento]&lt;EOMONTH($A64,0)+1)
)</f>
        <v>0</v>
      </c>
      <c r="BN64" s="178" cm="1">
        <f t="array" ref="BN64">SUMPRODUCT(
  IFERROR(--desp[valor],0)*
  (desp[nucleo]="UP POMPEIA")*
  (desp[categoria]=BN$7)*
  (desp[data.pagamento]&gt;=$A64)*
  (desp[data.pagamento]&lt;EOMONTH($A64,0)+1)
)</f>
        <v>0</v>
      </c>
      <c r="BO64" s="178" cm="1">
        <f t="array" ref="BO64">SUMPRODUCT(
  IFERROR(--desp[valor],0)*
  (desp[nucleo]="UP POMPEIA")*
  (desp[categoria]=BO$7)*
  (desp[data.pagamento]&gt;=$A64)*
  (desp[data.pagamento]&lt;EOMONTH($A64,0)+1)
)</f>
        <v>0</v>
      </c>
      <c r="BP64" s="178" cm="1">
        <f t="array" ref="BP64">SUMPRODUCT(
  IFERROR(--desp[valor],0)*
  (desp[nucleo]="UP POMPEIA")*
  (desp[categoria]=BP$7)*
  (desp[data.pagamento]&gt;=$A64)*
  (desp[data.pagamento]&lt;EOMONTH($A64,0)+1)
)</f>
        <v>0</v>
      </c>
      <c r="BQ64" s="178" cm="1">
        <f t="array" ref="BQ64">SUMPRODUCT(
  IFERROR(--desp[valor],0)*
  (desp[nucleo]="UP POMPEIA")*
  (desp[categoria]=BQ$7)*
  (desp[data.pagamento]&gt;=$A64)*
  (desp[data.pagamento]&lt;EOMONTH($A64,0)+1)
)</f>
        <v>0</v>
      </c>
      <c r="BR64" s="177">
        <f>COUNTIFS(
    estq[empresa], BR$6,
    estq[Data da venda / reserva], "&gt;=" &amp; $A64,
    estq[Data da venda / reserva], "&lt;"  &amp; EOMONTH($A64,0) + 1
)</f>
        <v>0</v>
      </c>
      <c r="BS64" s="178">
        <f ca="1">SUMIFS(rec.uni[2026-02-01],
INDIRECT("rec.uni[natureza]"),"pro.soluto",
INDIRECT("rec.uni[empresa]"),BS$6)</f>
        <v>0</v>
      </c>
      <c r="BT64" s="181">
        <f ca="1">SUMIFS(rec.uni[2026-02-01],
INDIRECT("rec.uni[natureza]"),"pro.soluto",
INDIRECT("rec.uni[empresa]"),BT$6)</f>
        <v>0</v>
      </c>
      <c r="BU64" s="178">
        <f ca="1">SUMIFS(rec.uni[2026-02-01],
INDIRECT("rec.uni[natureza]"),"taxa.extra",
INDIRECT("rec.uni[empresa]"),BU$6)</f>
        <v>0</v>
      </c>
      <c r="BV64" s="166"/>
      <c r="BW64" s="178" cm="1">
        <f t="array" ref="BW64">SUMPRODUCT(
  IFERROR(--desp[valor],0)*
  (desp[nucleo]="UP SAUDE")*
  (desp[categoria]=BW$7)*
  (desp[data.pagamento]&gt;=$A64)*
  (desp[data.pagamento]&lt;EOMONTH($A64,0)+1)
)</f>
        <v>0</v>
      </c>
      <c r="BX64" s="178" cm="1">
        <f t="array" ref="BX64">SUMPRODUCT(
  IFERROR(--desp[valor],0)*
  (desp[nucleo]="UP SAUDE")*
  (desp[categoria]=BX$7)*
  (desp[data.pagamento]&gt;=$A64)*
  (desp[data.pagamento]&lt;EOMONTH($A64,0)+1)
)</f>
        <v>0</v>
      </c>
      <c r="BY64" s="178" cm="1">
        <f t="array" ref="BY64">SUMPRODUCT(
  IFERROR(--desp[valor],0)*
  (desp[nucleo]="UP SAUDE")*
  (desp[categoria]=BY$7)*
  (desp[data.pagamento]&gt;=$A64)*
  (desp[data.pagamento]&lt;EOMONTH($A64,0)+1)
)</f>
        <v>0</v>
      </c>
      <c r="BZ64" s="178" cm="1">
        <f t="array" ref="BZ64">SUMPRODUCT(
  IFERROR(--desp[valor],0)*
  (desp[nucleo]="UP SAUDE")*
  (desp[categoria]=BZ$7)*
  (desp[data.pagamento]&gt;=$A64)*
  (desp[data.pagamento]&lt;EOMONTH($A64,0)+1)
)</f>
        <v>0</v>
      </c>
      <c r="CA64" s="178" cm="1">
        <f t="array" ref="CA64">SUMPRODUCT(
  IFERROR(--desp[valor],0)*
  (desp[nucleo]="UP SAUDE")*
  (desp[categoria]=CA$7)*
  (desp[data.pagamento]&gt;=$A64)*
  (desp[data.pagamento]&lt;EOMONTH($A64,0)+1)
)</f>
        <v>0</v>
      </c>
      <c r="CB64" s="177">
        <f>COUNTIFS(
    estq[empresa], CB$6,
    estq[Data da venda / reserva], "&gt;=" &amp; $A64,
    estq[Data da venda / reserva], "&lt;"  &amp; EOMONTH($A64,0) + 1
)</f>
        <v>0</v>
      </c>
      <c r="CC64" s="178">
        <f ca="1">SUMIFS(rec.uni[2026-02-01],
INDIRECT("rec.uni[natureza]"),"pro.soluto",
INDIRECT("rec.uni[empresa]"),CC$6)</f>
        <v>0</v>
      </c>
      <c r="CD64" s="178">
        <f ca="1">SUMIFS(rec.uni[2026-02-01],
INDIRECT("rec.uni[natureza]"),"repasse.cef.obra",
INDIRECT("rec.uni[empresa]"),CD$6)</f>
        <v>0</v>
      </c>
      <c r="CE64" s="181">
        <f ca="1">SUMIFS(rec.uni[2026-02-01],
INDIRECT("rec.uni[natureza]"),"repasse.cef.terreno",
INDIRECT("rec.uni[empresa]"),CE$6)</f>
        <v>0</v>
      </c>
      <c r="CF64" s="181">
        <v>378029.53</v>
      </c>
      <c r="CG64" s="178">
        <f ca="1">SUMIFS(rec.uni[2026-02-01],
INDIRECT("rec.uni[natureza]"),"taxa.extra",
INDIRECT("rec.uni[empresa]"),CG$6)</f>
        <v>0</v>
      </c>
      <c r="CH64" s="166"/>
      <c r="CI64" s="178" cm="1">
        <f t="array" ref="CI64">SUMPRODUCT(
  IFERROR(--desp[valor],0)*
  (desp[nucleo]="UP ESTAÇÃO VILA SONIA")*
  (desp[categoria]=CI$7)*
  (desp[data.pagamento]&gt;=$A64)*
  (desp[data.pagamento]&lt;EOMONTH($A64,0)+1)
)</f>
        <v>0</v>
      </c>
      <c r="CJ64" s="178" cm="1">
        <f t="array" ref="CJ64">SUMPRODUCT(
  IFERROR(--desp[valor],0)*
  (desp[nucleo]="UP ESTAÇÃO VILA SONIA")*
  (desp[categoria]=CJ$7)*
  (desp[data.pagamento]&gt;=$A64)*
  (desp[data.pagamento]&lt;EOMONTH($A64,0)+1)
)</f>
        <v>0</v>
      </c>
      <c r="CK64" s="178" cm="1">
        <f t="array" ref="CK64">SUMPRODUCT(
  IFERROR(--desp[valor],0)*
  (desp[nucleo]="UP ESTAÇÃO VILA SONIA")*
  (desp[categoria]=CK$7)*
  (desp[data.pagamento]&gt;=$A64)*
  (desp[data.pagamento]&lt;EOMONTH($A64,0)+1)
)</f>
        <v>0</v>
      </c>
      <c r="CL64" s="178" cm="1">
        <f t="array" ref="CL64">SUMPRODUCT(
  IFERROR(--desp[valor],0)*
  (desp[nucleo]="UP ESTAÇÃO VILA SONIA")*
  (desp[categoria]=CL$7)*
  (desp[data.pagamento]&gt;=$A64)*
  (desp[data.pagamento]&lt;EOMONTH($A64,0)+1)
)</f>
        <v>0</v>
      </c>
      <c r="CM64" s="178" cm="1">
        <f t="array" ref="CM64">SUMPRODUCT(
  IFERROR(--desp[valor],0)*
  (desp[nucleo]="UP ESTAÇÃO VILA SONIA")*
  (desp[categoria]=CM$7)*
  (desp[data.pagamento]&gt;=$A64)*
  (desp[data.pagamento]&lt;EOMONTH($A64,0)+1)
)</f>
        <v>0</v>
      </c>
      <c r="CN64" s="177">
        <f>COUNTIFS(
    estq[empresa], CN$6,
    estq[Data da venda / reserva], "&gt;=" &amp; $A64,
    estq[Data da venda / reserva], "&lt;"  &amp; EOMONTH($A64,0) + 1
)</f>
        <v>0</v>
      </c>
      <c r="CO64" s="178">
        <f ca="1">SUMIFS(rec.uni[2026-02-01],
INDIRECT("rec.uni[natureza]"),"pro.soluto",
INDIRECT("rec.uni[empresa]"),CO$6)</f>
        <v>0</v>
      </c>
      <c r="CP64" s="178">
        <f ca="1">SUMIFS(rec.uni[2026-02-01],
INDIRECT("rec.uni[natureza]"),"repasse.cef.obra",
INDIRECT("rec.uni[empresa]"),CP$6)</f>
        <v>0</v>
      </c>
      <c r="CQ64" s="181">
        <f ca="1">SUMIFS(rec.uni[2026-02-01],
INDIRECT("rec.uni[natureza]"),"repasse.cef.terreno",
INDIRECT("rec.uni[empresa]"),CQ$6)</f>
        <v>0</v>
      </c>
      <c r="CR64" s="181"/>
      <c r="CS64" s="178">
        <f ca="1">SUMIFS(rec.uni[2026-02-01],
INDIRECT("rec.uni[natureza]"),"taxa.extra",
INDIRECT("rec.uni[empresa]"),CS$6)</f>
        <v>0</v>
      </c>
      <c r="CT64" s="166"/>
      <c r="CU64" s="178" cm="1">
        <f t="array" ref="CU64">SUMPRODUCT(
  IFERROR(--desp[valor],0)*
  (desp[nucleo]="UP MOVE VILA SONIA")*
  (desp[categoria]=CU$7)*
  (desp[data.pagamento]&gt;=$A64)*
  (desp[data.pagamento]&lt;EOMONTH($A64,0)+1)
)</f>
        <v>0</v>
      </c>
      <c r="CV64" s="178" cm="1">
        <f t="array" ref="CV64">SUMPRODUCT(
  IFERROR(--desp[valor],0)*
  (desp[nucleo]="UP MOVE VILA SONIA")*
  (desp[categoria]=CV$7)*
  (desp[data.pagamento]&gt;=$A64)*
  (desp[data.pagamento]&lt;EOMONTH($A64,0)+1)
)</f>
        <v>0</v>
      </c>
      <c r="CW64" s="178" cm="1">
        <f t="array" ref="CW64">SUMPRODUCT(
  IFERROR(--desp[valor],0)*
  (desp[nucleo]="UP MOVE VILA SONIA")*
  (desp[categoria]=CW$7)*
  (desp[data.pagamento]&gt;=$A64)*
  (desp[data.pagamento]&lt;EOMONTH($A64,0)+1)
)</f>
        <v>0</v>
      </c>
      <c r="CX64" s="178" cm="1">
        <f t="array" ref="CX64">SUMPRODUCT(
  IFERROR(--desp[valor],0)*
  (desp[nucleo]="UP MOVE VILA SONIA")*
  (desp[categoria]=CX$7)*
  (desp[data.pagamento]&gt;=$A64)*
  (desp[data.pagamento]&lt;EOMONTH($A64,0)+1)
)</f>
        <v>0</v>
      </c>
      <c r="CY64" s="290" cm="1">
        <f t="array" ref="CY64">SUMPRODUCT(
  IFERROR(--desp[valor],0)*
  (desp[nucleo]="UP MOVE VILA SONIA")*
  (desp[categoria]=CY$7)*
  (desp[data.pagamento]&gt;=$A64)*
  (desp[data.pagamento]&lt;EOMONTH($A64,0)+1)
)</f>
        <v>0</v>
      </c>
    </row>
    <row r="65" spans="1:103" x14ac:dyDescent="0.25">
      <c r="A65" s="176">
        <v>46082</v>
      </c>
      <c r="B65" s="177">
        <f>COUNTIFS(
    estq[empresa], B$6,
    estq[Data da venda / reserva], "&gt;=" &amp; $A65,
    estq[Data da venda / reserva], "&lt;"  &amp; EOMONTH($A65,0) + 1
)</f>
        <v>0</v>
      </c>
      <c r="C65" s="178">
        <f ca="1">SUMIFS(rec.uni[2026-03-01],
INDIRECT("rec.uni[natureza]"),"pro.soluto",
INDIRECT("rec.uni[empresa]"),C$6)</f>
        <v>0</v>
      </c>
      <c r="D65" s="178">
        <f ca="1">SUMIFS(rec.uni[2026-03-01],
INDIRECT("rec.uni[natureza]"),"repasse.cef.obra",
INDIRECT("rec.uni[empresa]"),D$6)</f>
        <v>0</v>
      </c>
      <c r="E65" s="178">
        <f ca="1">SUMIFS(rec.uni[2026-03-01],
INDIRECT("rec.uni[natureza]"),"repasse.cef.terreno",
INDIRECT("rec.uni[empresa]"),E$6)</f>
        <v>0</v>
      </c>
      <c r="F65" s="182">
        <v>0</v>
      </c>
      <c r="G65" s="178">
        <f ca="1">SUMIFS(rec.uni[2026-03-01],
INDIRECT("rec.uni[natureza]"),"taxa.extra",
INDIRECT("rec.uni[empresa]"),G$6)</f>
        <v>0</v>
      </c>
      <c r="H65" s="166"/>
      <c r="I65" s="166" cm="1">
        <f t="array" ref="I65">SUMPRODUCT(
  IFERROR(--desp[valor],0)*
  (desp[nucleo]="UP JARDIM PRUDENCIA")*
  (desp[categoria]=I$7)*
  (desp[data.pagamento]&gt;=$A65)*
  (desp[data.pagamento]&lt;EOMONTH($A65,0)+1)
)</f>
        <v>0</v>
      </c>
      <c r="J65" s="166" cm="1">
        <f t="array" ref="J65">SUMPRODUCT(
  IFERROR(--desp[valor],0)*
  (desp[nucleo]="UP JARDIM PRUDENCIA")*
  (desp[categoria]=J$7)*
  (desp[data.pagamento]&gt;=$A65)*
  (desp[data.pagamento]&lt;EOMONTH($A65,0)+1)
)</f>
        <v>0</v>
      </c>
      <c r="K65" s="166" cm="1">
        <f t="array" ref="K65">SUMPRODUCT(
  IFERROR(--desp[valor],0)*
  (desp[nucleo]="UP JARDIM PRUDENCIA")*
  (desp[categoria]=K$7)*
  (desp[data.pagamento]&gt;=$A65)*
  (desp[data.pagamento]&lt;EOMONTH($A65,0)+1)
)</f>
        <v>0</v>
      </c>
      <c r="L65" s="166" cm="1">
        <f t="array" ref="L65">SUMPRODUCT(
  IFERROR(--desp[valor],0)*
  (desp[nucleo]="UP JARDIM PRUDENCIA")*
  (desp[categoria]=L$7)*
  (desp[data.pagamento]&gt;=$A65)*
  (desp[data.pagamento]&lt;EOMONTH($A65,0)+1)
)</f>
        <v>0</v>
      </c>
      <c r="M65" s="166" cm="1">
        <f t="array" ref="M65">SUMPRODUCT(
  IFERROR(--desp[valor],0)*
  (desp[nucleo]="UP JARDIM PRUDENCIA")*
  (desp[categoria]=M$7)*
  (desp[data.pagamento]&gt;=$A65)*
  (desp[data.pagamento]&lt;EOMONTH($A65,0)+1)
)</f>
        <v>0</v>
      </c>
      <c r="N65" s="177">
        <f>COUNTIFS(
    estq[empresa], N$6,
    estq[Data da venda / reserva], "&gt;=" &amp; $A65,
    estq[Data da venda / reserva], "&lt;"  &amp; EOMONTH($A65,0) + 1
)</f>
        <v>0</v>
      </c>
      <c r="O65" s="178">
        <f ca="1">SUMIFS(rec.uni[2026-03-01],
INDIRECT("rec.uni[natureza]"),"pro.soluto",
INDIRECT("rec.uni[empresa]"),O$6)</f>
        <v>0</v>
      </c>
      <c r="P65" s="178">
        <f ca="1">SUMIFS(rec.uni[2026-03-01],
INDIRECT("rec.uni[natureza]"),"repasse.cef.obra",
INDIRECT("rec.uni[empresa]"),P$6)</f>
        <v>0</v>
      </c>
      <c r="Q65" s="178">
        <f ca="1">SUMIFS(rec.uni[2026-03-01],
INDIRECT("rec.uni[natureza]"),"repasse.cef.terreno",
INDIRECT("rec.uni[empresa]"),Q$6)</f>
        <v>0</v>
      </c>
      <c r="R65" s="182">
        <v>0</v>
      </c>
      <c r="S65" s="178">
        <f ca="1">SUMIFS(rec.uni[2026-03-01],
INDIRECT("rec.uni[natureza]"),"taxa.extra",
INDIRECT("rec.uni[empresa]"),S$6)</f>
        <v>0</v>
      </c>
      <c r="T65" s="166"/>
      <c r="U65" s="166" cm="1">
        <f t="array" ref="U65">SUMPRODUCT(
  IFERROR(--desp[valor],0)*
  (desp[nucleo]="UP VILA SONIA")*
  (desp[categoria]=U$7)*
  (desp[data.pagamento]&gt;=$A65)*
  (desp[data.pagamento]&lt;EOMONTH($A65,0)+1)
)</f>
        <v>0</v>
      </c>
      <c r="V65" s="166" cm="1">
        <f t="array" ref="V65">SUMPRODUCT(
  IFERROR(--desp[valor],0)*
  (desp[nucleo]="UP VILA SONIA")*
  (desp[categoria]=V$7)*
  (desp[data.pagamento]&gt;=$A65)*
  (desp[data.pagamento]&lt;EOMONTH($A65,0)+1)
)</f>
        <v>0</v>
      </c>
      <c r="W65" s="166" cm="1">
        <f t="array" ref="W65">SUMPRODUCT(
  IFERROR(--desp[valor],0)*
  (desp[nucleo]="UP VILA SONIA")*
  (desp[categoria]=W$7)*
  (desp[data.pagamento]&gt;=$A65)*
  (desp[data.pagamento]&lt;EOMONTH($A65,0)+1)
)</f>
        <v>0</v>
      </c>
      <c r="X65" s="166" cm="1">
        <f t="array" ref="X65">SUMPRODUCT(
  IFERROR(--desp[valor],0)*
  (desp[nucleo]="UP VILA SONIA")*
  (desp[categoria]=X$7)*
  (desp[data.pagamento]&gt;=$A65)*
  (desp[data.pagamento]&lt;EOMONTH($A65,0)+1)
)</f>
        <v>0</v>
      </c>
      <c r="Y65" s="166" cm="1">
        <f t="array" ref="Y65">SUMPRODUCT(
  IFERROR(--desp[valor],0)*
  (desp[nucleo]="UP VILA SONIA")*
  (desp[categoria]=Y$7)*
  (desp[data.pagamento]&gt;=$A65)*
  (desp[data.pagamento]&lt;EOMONTH($A65,0)+1)
)</f>
        <v>0</v>
      </c>
      <c r="Z65" s="177">
        <f>COUNTIFS(
    estq[empresa], Z$6,
    estq[Data da venda / reserva], "&gt;=" &amp; $A65,
    estq[Data da venda / reserva], "&lt;"  &amp; EOMONTH($A65,0) + 1
)</f>
        <v>0</v>
      </c>
      <c r="AA65" s="178">
        <f ca="1">SUMIFS(rec.uni[2026-03-01],
INDIRECT("rec.uni[natureza]"),"pro.soluto",
INDIRECT("rec.uni[empresa]"),AA$6)</f>
        <v>0</v>
      </c>
      <c r="AB65" s="182">
        <f ca="1">SUMIFS(rec.uni[2026-03-01],
INDIRECT("rec.uni[natureza]"),"pro.soluto",
INDIRECT("rec.uni[empresa]"),AB$6)</f>
        <v>0</v>
      </c>
      <c r="AC65" s="178">
        <f ca="1">SUMIFS(rec.uni[2026-03-01],
INDIRECT("rec.uni[natureza]"),"taxa.extra",
INDIRECT("rec.uni[empresa]"),AC$6)</f>
        <v>0</v>
      </c>
      <c r="AD65" s="166"/>
      <c r="AE65" s="166" cm="1">
        <f t="array" ref="AE65">SUMPRODUCT(
  IFERROR(--desp[valor],0)*
  (desp[nucleo]="UP CAMPO BELO")*
  (desp[categoria]=AE$7)*
  (desp[data.pagamento]&gt;=$A65)*
  (desp[data.pagamento]&lt;EOMONTH($A65,0)+1)
)</f>
        <v>0</v>
      </c>
      <c r="AF65" s="166" cm="1">
        <f t="array" ref="AF65">SUMPRODUCT(
  IFERROR(--desp[valor],0)*
  (desp[nucleo]="UP CAMPO BELO")*
  (desp[categoria]=AF$7)*
  (desp[data.pagamento]&gt;=$A65)*
  (desp[data.pagamento]&lt;EOMONTH($A65,0)+1)
)</f>
        <v>0</v>
      </c>
      <c r="AG65" s="166" cm="1">
        <f t="array" ref="AG65">SUMPRODUCT(
  IFERROR(--desp[valor],0)*
  (desp[nucleo]="UP CAMPO BELO")*
  (desp[categoria]=AG$7)*
  (desp[data.pagamento]&gt;=$A65)*
  (desp[data.pagamento]&lt;EOMONTH($A65,0)+1)
)</f>
        <v>0</v>
      </c>
      <c r="AH65" s="166" cm="1">
        <f t="array" ref="AH65">SUMPRODUCT(
  IFERROR(--desp[valor],0)*
  (desp[nucleo]="UP CAMPO BELO")*
  (desp[categoria]=AH$7)*
  (desp[data.pagamento]&gt;=$A65)*
  (desp[data.pagamento]&lt;EOMONTH($A65,0)+1)
)</f>
        <v>0</v>
      </c>
      <c r="AI65" s="166" cm="1">
        <f t="array" ref="AI65">SUMPRODUCT(
  IFERROR(--desp[valor],0)*
  (desp[nucleo]="UP CAMPO BELO")*
  (desp[categoria]=AI$7)*
  (desp[data.pagamento]&gt;=$A65)*
  (desp[data.pagamento]&lt;EOMONTH($A65,0)+1)
)</f>
        <v>0</v>
      </c>
      <c r="AJ65" s="177">
        <f>COUNTIFS(
    estq[empresa], AJ$6,
    estq[Data da venda / reserva], "&gt;=" &amp; $A65,
    estq[Data da venda / reserva], "&lt;"  &amp; EOMONTH($A65,0) + 1
)</f>
        <v>0</v>
      </c>
      <c r="AK65" s="178">
        <f ca="1">SUMIFS(rec.uni[2026-03-01],
INDIRECT("rec.uni[natureza]"),"pro.soluto",
INDIRECT("rec.uni[empresa]"),AK$6)</f>
        <v>0</v>
      </c>
      <c r="AL65" s="178">
        <f ca="1">SUMIFS(rec.uni[2026-03-01],
INDIRECT("rec.uni[natureza]"),"repasse.cef.obra",
INDIRECT("rec.uni[empresa]"),AL$6)</f>
        <v>0</v>
      </c>
      <c r="AM65" s="181">
        <f ca="1">SUMIFS(rec.uni[2026-03-01],
INDIRECT("rec.uni[natureza]"),"repasse.cef.terreno",
INDIRECT("rec.uni[empresa]"),AM$6)</f>
        <v>0</v>
      </c>
      <c r="AN65" s="182">
        <f>222607.79+305642.19</f>
        <v>528249.98</v>
      </c>
      <c r="AO65" s="178">
        <f ca="1">SUMIFS(rec.uni[2026-03-01],
INDIRECT("rec.uni[natureza]"),"taxa.extra",
INDIRECT("rec.uni[empresa]"),AO$6)</f>
        <v>0</v>
      </c>
      <c r="AP65" s="166"/>
      <c r="AQ65" s="166" cm="1">
        <f t="array" ref="AQ65">SUMPRODUCT(
  IFERROR(--desp[valor],0)*
  (desp[nucleo]="UP SELECT VILA SONIA")*
  (desp[categoria]=AQ$7)*
  (desp[data.pagamento]&gt;=$A65)*
  (desp[data.pagamento]&lt;EOMONTH($A65,0)+1)
)</f>
        <v>0</v>
      </c>
      <c r="AR65" s="166" cm="1">
        <f t="array" ref="AR65">SUMPRODUCT(
  IFERROR(--desp[valor],0)*
  (desp[nucleo]="UP SELECT VILA SONIA")*
  (desp[categoria]=AR$7)*
  (desp[data.pagamento]&gt;=$A65)*
  (desp[data.pagamento]&lt;EOMONTH($A65,0)+1)
)</f>
        <v>0</v>
      </c>
      <c r="AS65" s="166" cm="1">
        <f t="array" ref="AS65">SUMPRODUCT(
  IFERROR(--desp[valor],0)*
  (desp[nucleo]="UP SELECT VILA SONIA")*
  (desp[categoria]=AS$7)*
  (desp[data.pagamento]&gt;=$A65)*
  (desp[data.pagamento]&lt;EOMONTH($A65,0)+1)
)</f>
        <v>0</v>
      </c>
      <c r="AT65" s="166" cm="1">
        <f t="array" ref="AT65">SUMPRODUCT(
  IFERROR(--desp[valor],0)*
  (desp[nucleo]="UP SELECT VILA SONIA")*
  (desp[categoria]=AT$7)*
  (desp[data.pagamento]&gt;=$A65)*
  (desp[data.pagamento]&lt;EOMONTH($A65,0)+1)
)</f>
        <v>0</v>
      </c>
      <c r="AU65" s="166" cm="1">
        <f t="array" ref="AU65">SUMPRODUCT(
  IFERROR(--desp[valor],0)*
  (desp[nucleo]="UP SELECT VILA SONIA")*
  (desp[categoria]=AU$7)*
  (desp[data.pagamento]&gt;=$A65)*
  (desp[data.pagamento]&lt;EOMONTH($A65,0)+1)
)</f>
        <v>0</v>
      </c>
      <c r="AV65" s="177">
        <f>COUNTIFS(
    estq[empresa], AV$6,
    estq[Data da venda / reserva], "&gt;=" &amp; $A65,
    estq[Data da venda / reserva], "&lt;"  &amp; EOMONTH($A65,0) + 1
)</f>
        <v>0</v>
      </c>
      <c r="AW65" s="178">
        <f ca="1">SUMIFS(rec.uni[2026-03-01],
INDIRECT("rec.uni[natureza]"),"pro.soluto",
INDIRECT("rec.uni[empresa]"),AW$6)</f>
        <v>0</v>
      </c>
      <c r="AX65" s="178">
        <f ca="1">SUMIFS(rec.uni[2026-03-01],
INDIRECT("rec.uni[natureza]"),"repasse.cef.obra",
INDIRECT("rec.uni[empresa]"),AX$6)</f>
        <v>0</v>
      </c>
      <c r="AY65" s="181">
        <f ca="1">SUMIFS(rec.uni[2026-03-01],
INDIRECT("rec.uni[natureza]"),"repasse.cef.terreno",
INDIRECT("rec.uni[empresa]"),AY$6)</f>
        <v>0</v>
      </c>
      <c r="AZ65" s="182">
        <v>1245070.1599999999</v>
      </c>
      <c r="BA65" s="178">
        <f ca="1">SUMIFS(rec.uni[2026-03-01],
INDIRECT("rec.uni[natureza]"),"taxa.extra",
INDIRECT("rec.uni[empresa]"),BA$6)</f>
        <v>0</v>
      </c>
      <c r="BB65" s="166"/>
      <c r="BC65" s="166" cm="1">
        <f t="array" ref="BC65">SUMPRODUCT(
  IFERROR(--desp[valor],0)*
  (desp[nucleo]="UP ESTAÇÃO SÃO LUCAS")*
  (desp[categoria]=BC$7)*
  (desp[data.pagamento]&gt;=$A65)*
  (desp[data.pagamento]&lt;EOMONTH($A65,0)+1)
)</f>
        <v>0</v>
      </c>
      <c r="BD65" s="166" cm="1">
        <f t="array" ref="BD65">SUMPRODUCT(
  IFERROR(--desp[valor],0)*
  (desp[nucleo]="UP ESTAÇÃO SÃO LUCAS")*
  (desp[categoria]=BD$7)*
  (desp[data.pagamento]&gt;=$A65)*
  (desp[data.pagamento]&lt;EOMONTH($A65,0)+1)
)</f>
        <v>0</v>
      </c>
      <c r="BE65" s="166" cm="1">
        <f t="array" ref="BE65">SUMPRODUCT(
  IFERROR(--desp[valor],0)*
  (desp[nucleo]="UP ESTAÇÃO SÃO LUCAS")*
  (desp[categoria]=BE$7)*
  (desp[data.pagamento]&gt;=$A65)*
  (desp[data.pagamento]&lt;EOMONTH($A65,0)+1)
)</f>
        <v>0</v>
      </c>
      <c r="BF65" s="166" cm="1">
        <f t="array" ref="BF65">SUMPRODUCT(
  IFERROR(--desp[valor],0)*
  (desp[nucleo]="UP ESTAÇÃO SÃO LUCAS")*
  (desp[categoria]=BF$7)*
  (desp[data.pagamento]&gt;=$A65)*
  (desp[data.pagamento]&lt;EOMONTH($A65,0)+1)
)</f>
        <v>0</v>
      </c>
      <c r="BG65" s="166" cm="1">
        <f t="array" ref="BG65">SUMPRODUCT(
  IFERROR(--desp[valor],0)*
  (desp[nucleo]="UP ESTAÇÃO SÃO LUCAS")*
  (desp[categoria]=BG$7)*
  (desp[data.pagamento]&gt;=$A65)*
  (desp[data.pagamento]&lt;EOMONTH($A65,0)+1)
)</f>
        <v>0</v>
      </c>
      <c r="BH65" s="177">
        <f>COUNTIFS(
    estq[empresa], BH$6,
    estq[Data da venda / reserva], "&gt;=" &amp; $A65,
    estq[Data da venda / reserva], "&lt;"  &amp; EOMONTH($A65,0) + 1
)</f>
        <v>0</v>
      </c>
      <c r="BI65" s="178">
        <f ca="1">SUMIFS(rec.uni[2026-03-01],
INDIRECT("rec.uni[natureza]"),"pro.soluto",
INDIRECT("rec.uni[empresa]"),BI$6)</f>
        <v>0</v>
      </c>
      <c r="BJ65" s="182">
        <f>6.76*94736</f>
        <v>640415.36</v>
      </c>
      <c r="BK65" s="178">
        <f ca="1">SUMIFS(rec.uni[2026-03-01],
INDIRECT("rec.uni[natureza]"),"taxa.extra",
INDIRECT("rec.uni[empresa]"),BK$6)</f>
        <v>0</v>
      </c>
      <c r="BL65" s="166"/>
      <c r="BM65" s="166" cm="1">
        <f t="array" ref="BM65">SUMPRODUCT(
  IFERROR(--desp[valor],0)*
  (desp[nucleo]="UP POMPEIA")*
  (desp[categoria]=BM$7)*
  (desp[data.pagamento]&gt;=$A65)*
  (desp[data.pagamento]&lt;EOMONTH($A65,0)+1)
)</f>
        <v>0</v>
      </c>
      <c r="BN65" s="166" cm="1">
        <f t="array" ref="BN65">SUMPRODUCT(
  IFERROR(--desp[valor],0)*
  (desp[nucleo]="UP POMPEIA")*
  (desp[categoria]=BN$7)*
  (desp[data.pagamento]&gt;=$A65)*
  (desp[data.pagamento]&lt;EOMONTH($A65,0)+1)
)</f>
        <v>0</v>
      </c>
      <c r="BO65" s="166" cm="1">
        <f t="array" ref="BO65">SUMPRODUCT(
  IFERROR(--desp[valor],0)*
  (desp[nucleo]="UP POMPEIA")*
  (desp[categoria]=BO$7)*
  (desp[data.pagamento]&gt;=$A65)*
  (desp[data.pagamento]&lt;EOMONTH($A65,0)+1)
)</f>
        <v>0</v>
      </c>
      <c r="BP65" s="166" cm="1">
        <f t="array" ref="BP65">SUMPRODUCT(
  IFERROR(--desp[valor],0)*
  (desp[nucleo]="UP POMPEIA")*
  (desp[categoria]=BP$7)*
  (desp[data.pagamento]&gt;=$A65)*
  (desp[data.pagamento]&lt;EOMONTH($A65,0)+1)
)</f>
        <v>0</v>
      </c>
      <c r="BQ65" s="166" cm="1">
        <f t="array" ref="BQ65">SUMPRODUCT(
  IFERROR(--desp[valor],0)*
  (desp[nucleo]="UP POMPEIA")*
  (desp[categoria]=BQ$7)*
  (desp[data.pagamento]&gt;=$A65)*
  (desp[data.pagamento]&lt;EOMONTH($A65,0)+1)
)</f>
        <v>0</v>
      </c>
      <c r="BR65" s="177">
        <f>COUNTIFS(
    estq[empresa], BR$6,
    estq[Data da venda / reserva], "&gt;=" &amp; $A65,
    estq[Data da venda / reserva], "&lt;"  &amp; EOMONTH($A65,0) + 1
)</f>
        <v>0</v>
      </c>
      <c r="BS65" s="178">
        <f ca="1">SUMIFS(rec.uni[2026-03-01],
INDIRECT("rec.uni[natureza]"),"pro.soluto",
INDIRECT("rec.uni[empresa]"),BS$6)</f>
        <v>0</v>
      </c>
      <c r="BT65" s="182">
        <f ca="1">SUMIFS(rec.uni[2026-03-01],
INDIRECT("rec.uni[natureza]"),"pro.soluto",
INDIRECT("rec.uni[empresa]"),BT$6)</f>
        <v>0</v>
      </c>
      <c r="BU65" s="178">
        <f ca="1">SUMIFS(rec.uni[2026-03-01],
INDIRECT("rec.uni[natureza]"),"taxa.extra",
INDIRECT("rec.uni[empresa]"),BU$6)</f>
        <v>0</v>
      </c>
      <c r="BV65" s="166"/>
      <c r="BW65" s="166" cm="1">
        <f t="array" ref="BW65">SUMPRODUCT(
  IFERROR(--desp[valor],0)*
  (desp[nucleo]="UP SAUDE")*
  (desp[categoria]=BW$7)*
  (desp[data.pagamento]&gt;=$A65)*
  (desp[data.pagamento]&lt;EOMONTH($A65,0)+1)
)</f>
        <v>0</v>
      </c>
      <c r="BX65" s="166" cm="1">
        <f t="array" ref="BX65">SUMPRODUCT(
  IFERROR(--desp[valor],0)*
  (desp[nucleo]="UP SAUDE")*
  (desp[categoria]=BX$7)*
  (desp[data.pagamento]&gt;=$A65)*
  (desp[data.pagamento]&lt;EOMONTH($A65,0)+1)
)</f>
        <v>0</v>
      </c>
      <c r="BY65" s="166" cm="1">
        <f t="array" ref="BY65">SUMPRODUCT(
  IFERROR(--desp[valor],0)*
  (desp[nucleo]="UP SAUDE")*
  (desp[categoria]=BY$7)*
  (desp[data.pagamento]&gt;=$A65)*
  (desp[data.pagamento]&lt;EOMONTH($A65,0)+1)
)</f>
        <v>0</v>
      </c>
      <c r="BZ65" s="166" cm="1">
        <f t="array" ref="BZ65">SUMPRODUCT(
  IFERROR(--desp[valor],0)*
  (desp[nucleo]="UP SAUDE")*
  (desp[categoria]=BZ$7)*
  (desp[data.pagamento]&gt;=$A65)*
  (desp[data.pagamento]&lt;EOMONTH($A65,0)+1)
)</f>
        <v>0</v>
      </c>
      <c r="CA65" s="166" cm="1">
        <f t="array" ref="CA65">SUMPRODUCT(
  IFERROR(--desp[valor],0)*
  (desp[nucleo]="UP SAUDE")*
  (desp[categoria]=CA$7)*
  (desp[data.pagamento]&gt;=$A65)*
  (desp[data.pagamento]&lt;EOMONTH($A65,0)+1)
)</f>
        <v>0</v>
      </c>
      <c r="CB65" s="177">
        <f>COUNTIFS(
    estq[empresa], CB$6,
    estq[Data da venda / reserva], "&gt;=" &amp; $A65,
    estq[Data da venda / reserva], "&lt;"  &amp; EOMONTH($A65,0) + 1
)</f>
        <v>0</v>
      </c>
      <c r="CC65" s="178">
        <f ca="1">SUMIFS(rec.uni[2026-03-01],
INDIRECT("rec.uni[natureza]"),"pro.soluto",
INDIRECT("rec.uni[empresa]"),CC$6)</f>
        <v>0</v>
      </c>
      <c r="CD65" s="178">
        <f ca="1">SUMIFS(rec.uni[2026-03-01],
INDIRECT("rec.uni[natureza]"),"repasse.cef.obra",
INDIRECT("rec.uni[empresa]"),CD$6)</f>
        <v>0</v>
      </c>
      <c r="CE65" s="181">
        <f ca="1">SUMIFS(rec.uni[2026-03-01],
INDIRECT("rec.uni[natureza]"),"repasse.cef.terreno",
INDIRECT("rec.uni[empresa]"),CE$6)</f>
        <v>0</v>
      </c>
      <c r="CF65" s="182">
        <v>472296.31</v>
      </c>
      <c r="CG65" s="178">
        <f ca="1">SUMIFS(rec.uni[2026-03-01],
INDIRECT("rec.uni[natureza]"),"taxa.extra",
INDIRECT("rec.uni[empresa]"),CG$6)</f>
        <v>0</v>
      </c>
      <c r="CH65" s="166"/>
      <c r="CI65" s="166" cm="1">
        <f t="array" ref="CI65">SUMPRODUCT(
  IFERROR(--desp[valor],0)*
  (desp[nucleo]="UP ESTAÇÃO VILA SONIA")*
  (desp[categoria]=CI$7)*
  (desp[data.pagamento]&gt;=$A65)*
  (desp[data.pagamento]&lt;EOMONTH($A65,0)+1)
)</f>
        <v>0</v>
      </c>
      <c r="CJ65" s="166" cm="1">
        <f t="array" ref="CJ65">SUMPRODUCT(
  IFERROR(--desp[valor],0)*
  (desp[nucleo]="UP ESTAÇÃO VILA SONIA")*
  (desp[categoria]=CJ$7)*
  (desp[data.pagamento]&gt;=$A65)*
  (desp[data.pagamento]&lt;EOMONTH($A65,0)+1)
)</f>
        <v>0</v>
      </c>
      <c r="CK65" s="166" cm="1">
        <f t="array" ref="CK65">SUMPRODUCT(
  IFERROR(--desp[valor],0)*
  (desp[nucleo]="UP ESTAÇÃO VILA SONIA")*
  (desp[categoria]=CK$7)*
  (desp[data.pagamento]&gt;=$A65)*
  (desp[data.pagamento]&lt;EOMONTH($A65,0)+1)
)</f>
        <v>0</v>
      </c>
      <c r="CL65" s="166" cm="1">
        <f t="array" ref="CL65">SUMPRODUCT(
  IFERROR(--desp[valor],0)*
  (desp[nucleo]="UP ESTAÇÃO VILA SONIA")*
  (desp[categoria]=CL$7)*
  (desp[data.pagamento]&gt;=$A65)*
  (desp[data.pagamento]&lt;EOMONTH($A65,0)+1)
)</f>
        <v>0</v>
      </c>
      <c r="CM65" s="166" cm="1">
        <f t="array" ref="CM65">SUMPRODUCT(
  IFERROR(--desp[valor],0)*
  (desp[nucleo]="UP ESTAÇÃO VILA SONIA")*
  (desp[categoria]=CM$7)*
  (desp[data.pagamento]&gt;=$A65)*
  (desp[data.pagamento]&lt;EOMONTH($A65,0)+1)
)</f>
        <v>0</v>
      </c>
      <c r="CN65" s="177">
        <f>COUNTIFS(
    estq[empresa], CN$6,
    estq[Data da venda / reserva], "&gt;=" &amp; $A65,
    estq[Data da venda / reserva], "&lt;"  &amp; EOMONTH($A65,0) + 1
)</f>
        <v>0</v>
      </c>
      <c r="CO65" s="178">
        <f ca="1">SUMIFS(rec.uni[2026-03-01],
INDIRECT("rec.uni[natureza]"),"pro.soluto",
INDIRECT("rec.uni[empresa]"),CO$6)</f>
        <v>0</v>
      </c>
      <c r="CP65" s="178">
        <f ca="1">SUMIFS(rec.uni[2026-03-01],
INDIRECT("rec.uni[natureza]"),"repasse.cef.obra",
INDIRECT("rec.uni[empresa]"),CP$6)</f>
        <v>0</v>
      </c>
      <c r="CQ65" s="181">
        <f ca="1">SUMIFS(rec.uni[2026-03-01],
INDIRECT("rec.uni[natureza]"),"repasse.cef.terreno",
INDIRECT("rec.uni[empresa]"),CQ$6)</f>
        <v>0</v>
      </c>
      <c r="CR65" s="182"/>
      <c r="CS65" s="178">
        <f ca="1">SUMIFS(rec.uni[2026-03-01],
INDIRECT("rec.uni[natureza]"),"taxa.extra",
INDIRECT("rec.uni[empresa]"),CS$6)</f>
        <v>0</v>
      </c>
      <c r="CT65" s="166"/>
      <c r="CU65" s="166" cm="1">
        <f t="array" ref="CU65">SUMPRODUCT(
  IFERROR(--desp[valor],0)*
  (desp[nucleo]="UP MOVE VILA SONIA")*
  (desp[categoria]=CU$7)*
  (desp[data.pagamento]&gt;=$A65)*
  (desp[data.pagamento]&lt;EOMONTH($A65,0)+1)
)</f>
        <v>0</v>
      </c>
      <c r="CV65" s="166" cm="1">
        <f t="array" ref="CV65">SUMPRODUCT(
  IFERROR(--desp[valor],0)*
  (desp[nucleo]="UP MOVE VILA SONIA")*
  (desp[categoria]=CV$7)*
  (desp[data.pagamento]&gt;=$A65)*
  (desp[data.pagamento]&lt;EOMONTH($A65,0)+1)
)</f>
        <v>0</v>
      </c>
      <c r="CW65" s="166" cm="1">
        <f t="array" ref="CW65">SUMPRODUCT(
  IFERROR(--desp[valor],0)*
  (desp[nucleo]="UP MOVE VILA SONIA")*
  (desp[categoria]=CW$7)*
  (desp[data.pagamento]&gt;=$A65)*
  (desp[data.pagamento]&lt;EOMONTH($A65,0)+1)
)</f>
        <v>0</v>
      </c>
      <c r="CX65" s="166" cm="1">
        <f t="array" ref="CX65">SUMPRODUCT(
  IFERROR(--desp[valor],0)*
  (desp[nucleo]="UP MOVE VILA SONIA")*
  (desp[categoria]=CX$7)*
  (desp[data.pagamento]&gt;=$A65)*
  (desp[data.pagamento]&lt;EOMONTH($A65,0)+1)
)</f>
        <v>0</v>
      </c>
      <c r="CY65" s="291" cm="1">
        <f t="array" ref="CY65">SUMPRODUCT(
  IFERROR(--desp[valor],0)*
  (desp[nucleo]="UP MOVE VILA SONIA")*
  (desp[categoria]=CY$7)*
  (desp[data.pagamento]&gt;=$A65)*
  (desp[data.pagamento]&lt;EOMONTH($A65,0)+1)
)</f>
        <v>0</v>
      </c>
    </row>
    <row r="66" spans="1:103" x14ac:dyDescent="0.25">
      <c r="A66" s="176">
        <v>46113</v>
      </c>
      <c r="B66" s="177">
        <f>COUNTIFS(
    estq[empresa], B$6,
    estq[Data da venda / reserva], "&gt;=" &amp; $A66,
    estq[Data da venda / reserva], "&lt;"  &amp; EOMONTH($A66,0) + 1
)</f>
        <v>0</v>
      </c>
      <c r="C66" s="178">
        <f ca="1">SUMIFS(rec.uni[2026-04-01],
INDIRECT("rec.uni[natureza]"),"pro.soluto",
INDIRECT("rec.uni[empresa]"),C$6)</f>
        <v>0</v>
      </c>
      <c r="D66" s="178">
        <f ca="1">SUMIFS(rec.uni[2026-04-01],
INDIRECT("rec.uni[natureza]"),"repasse.cef.obra",
INDIRECT("rec.uni[empresa]"),D$6)</f>
        <v>0</v>
      </c>
      <c r="E66" s="178">
        <f ca="1">SUMIFS(rec.uni[2026-04-01],
INDIRECT("rec.uni[natureza]"),"repasse.cef.terreno",
INDIRECT("rec.uni[empresa]"),E$6)</f>
        <v>0</v>
      </c>
      <c r="F66" s="182"/>
      <c r="G66" s="178">
        <f ca="1">SUMIFS(rec.uni[2026-04-01],
INDIRECT("rec.uni[natureza]"),"taxa.extra",
INDIRECT("rec.uni[empresa]"),G$6)</f>
        <v>0</v>
      </c>
      <c r="H66" s="166"/>
      <c r="I66" s="166" cm="1">
        <f t="array" ref="I66">SUMPRODUCT(
  IFERROR(--desp[valor],0)*
  (desp[nucleo]="UP JARDIM PRUDENCIA")*
  (desp[categoria]=I$7)*
  (desp[data.pagamento]&gt;=$A66)*
  (desp[data.pagamento]&lt;EOMONTH($A66,0)+1)
)</f>
        <v>0</v>
      </c>
      <c r="J66" s="166" cm="1">
        <f t="array" ref="J66">SUMPRODUCT(
  IFERROR(--desp[valor],0)*
  (desp[nucleo]="UP JARDIM PRUDENCIA")*
  (desp[categoria]=J$7)*
  (desp[data.pagamento]&gt;=$A66)*
  (desp[data.pagamento]&lt;EOMONTH($A66,0)+1)
)</f>
        <v>0</v>
      </c>
      <c r="K66" s="166" cm="1">
        <f t="array" ref="K66">SUMPRODUCT(
  IFERROR(--desp[valor],0)*
  (desp[nucleo]="UP JARDIM PRUDENCIA")*
  (desp[categoria]=K$7)*
  (desp[data.pagamento]&gt;=$A66)*
  (desp[data.pagamento]&lt;EOMONTH($A66,0)+1)
)</f>
        <v>0</v>
      </c>
      <c r="L66" s="166" cm="1">
        <f t="array" ref="L66">SUMPRODUCT(
  IFERROR(--desp[valor],0)*
  (desp[nucleo]="UP JARDIM PRUDENCIA")*
  (desp[categoria]=L$7)*
  (desp[data.pagamento]&gt;=$A66)*
  (desp[data.pagamento]&lt;EOMONTH($A66,0)+1)
)</f>
        <v>0</v>
      </c>
      <c r="M66" s="166" cm="1">
        <f t="array" ref="M66">SUMPRODUCT(
  IFERROR(--desp[valor],0)*
  (desp[nucleo]="UP JARDIM PRUDENCIA")*
  (desp[categoria]=M$7)*
  (desp[data.pagamento]&gt;=$A66)*
  (desp[data.pagamento]&lt;EOMONTH($A66,0)+1)
)</f>
        <v>0</v>
      </c>
      <c r="N66" s="177">
        <f>COUNTIFS(
    estq[empresa], N$6,
    estq[Data da venda / reserva], "&gt;=" &amp; $A66,
    estq[Data da venda / reserva], "&lt;"  &amp; EOMONTH($A66,0) + 1
)</f>
        <v>0</v>
      </c>
      <c r="O66" s="178">
        <f ca="1">SUMIFS(rec.uni[2026-04-01],
INDIRECT("rec.uni[natureza]"),"pro.soluto",
INDIRECT("rec.uni[empresa]"),O$6)</f>
        <v>0</v>
      </c>
      <c r="P66" s="178">
        <f ca="1">SUMIFS(rec.uni[2026-04-01],
INDIRECT("rec.uni[natureza]"),"repasse.cef.obra",
INDIRECT("rec.uni[empresa]"),P$6)</f>
        <v>0</v>
      </c>
      <c r="Q66" s="178">
        <f ca="1">SUMIFS(rec.uni[2026-04-01],
INDIRECT("rec.uni[natureza]"),"repasse.cef.terreno",
INDIRECT("rec.uni[empresa]"),Q$6)</f>
        <v>0</v>
      </c>
      <c r="R66" s="182"/>
      <c r="S66" s="178">
        <f ca="1">SUMIFS(rec.uni[2026-04-01],
INDIRECT("rec.uni[natureza]"),"taxa.extra",
INDIRECT("rec.uni[empresa]"),S$6)</f>
        <v>0</v>
      </c>
      <c r="T66" s="166"/>
      <c r="U66" s="166" cm="1">
        <f t="array" ref="U66">SUMPRODUCT(
  IFERROR(--desp[valor],0)*
  (desp[nucleo]="UP VILA SONIA")*
  (desp[categoria]=U$7)*
  (desp[data.pagamento]&gt;=$A66)*
  (desp[data.pagamento]&lt;EOMONTH($A66,0)+1)
)</f>
        <v>0</v>
      </c>
      <c r="V66" s="166" cm="1">
        <f t="array" ref="V66">SUMPRODUCT(
  IFERROR(--desp[valor],0)*
  (desp[nucleo]="UP VILA SONIA")*
  (desp[categoria]=V$7)*
  (desp[data.pagamento]&gt;=$A66)*
  (desp[data.pagamento]&lt;EOMONTH($A66,0)+1)
)</f>
        <v>0</v>
      </c>
      <c r="W66" s="166" cm="1">
        <f t="array" ref="W66">SUMPRODUCT(
  IFERROR(--desp[valor],0)*
  (desp[nucleo]="UP VILA SONIA")*
  (desp[categoria]=W$7)*
  (desp[data.pagamento]&gt;=$A66)*
  (desp[data.pagamento]&lt;EOMONTH($A66,0)+1)
)</f>
        <v>0</v>
      </c>
      <c r="X66" s="166" cm="1">
        <f t="array" ref="X66">SUMPRODUCT(
  IFERROR(--desp[valor],0)*
  (desp[nucleo]="UP VILA SONIA")*
  (desp[categoria]=X$7)*
  (desp[data.pagamento]&gt;=$A66)*
  (desp[data.pagamento]&lt;EOMONTH($A66,0)+1)
)</f>
        <v>0</v>
      </c>
      <c r="Y66" s="166" cm="1">
        <f t="array" ref="Y66">SUMPRODUCT(
  IFERROR(--desp[valor],0)*
  (desp[nucleo]="UP VILA SONIA")*
  (desp[categoria]=Y$7)*
  (desp[data.pagamento]&gt;=$A66)*
  (desp[data.pagamento]&lt;EOMONTH($A66,0)+1)
)</f>
        <v>0</v>
      </c>
      <c r="Z66" s="177">
        <f>COUNTIFS(
    estq[empresa], Z$6,
    estq[Data da venda / reserva], "&gt;=" &amp; $A66,
    estq[Data da venda / reserva], "&lt;"  &amp; EOMONTH($A66,0) + 1
)</f>
        <v>0</v>
      </c>
      <c r="AA66" s="178">
        <f ca="1">SUMIFS(rec.uni[2026-04-01],
INDIRECT("rec.uni[natureza]"),"pro.soluto",
INDIRECT("rec.uni[empresa]"),AA$6)</f>
        <v>0</v>
      </c>
      <c r="AB66" s="182">
        <f ca="1">SUMIFS(rec.uni[2026-04-01],
INDIRECT("rec.uni[natureza]"),"pro.soluto",
INDIRECT("rec.uni[empresa]"),AB$6)</f>
        <v>0</v>
      </c>
      <c r="AC66" s="178">
        <f ca="1">SUMIFS(rec.uni[2026-04-01],
INDIRECT("rec.uni[natureza]"),"taxa.extra",
INDIRECT("rec.uni[empresa]"),AC$6)</f>
        <v>0</v>
      </c>
      <c r="AD66" s="166"/>
      <c r="AE66" s="166" cm="1">
        <f t="array" ref="AE66">SUMPRODUCT(
  IFERROR(--desp[valor],0)*
  (desp[nucleo]="UP CAMPO BELO")*
  (desp[categoria]=AE$7)*
  (desp[data.pagamento]&gt;=$A66)*
  (desp[data.pagamento]&lt;EOMONTH($A66,0)+1)
)</f>
        <v>0</v>
      </c>
      <c r="AF66" s="166" cm="1">
        <f t="array" ref="AF66">SUMPRODUCT(
  IFERROR(--desp[valor],0)*
  (desp[nucleo]="UP CAMPO BELO")*
  (desp[categoria]=AF$7)*
  (desp[data.pagamento]&gt;=$A66)*
  (desp[data.pagamento]&lt;EOMONTH($A66,0)+1)
)</f>
        <v>0</v>
      </c>
      <c r="AG66" s="166" cm="1">
        <f t="array" ref="AG66">SUMPRODUCT(
  IFERROR(--desp[valor],0)*
  (desp[nucleo]="UP CAMPO BELO")*
  (desp[categoria]=AG$7)*
  (desp[data.pagamento]&gt;=$A66)*
  (desp[data.pagamento]&lt;EOMONTH($A66,0)+1)
)</f>
        <v>0</v>
      </c>
      <c r="AH66" s="166" cm="1">
        <f t="array" ref="AH66">SUMPRODUCT(
  IFERROR(--desp[valor],0)*
  (desp[nucleo]="UP CAMPO BELO")*
  (desp[categoria]=AH$7)*
  (desp[data.pagamento]&gt;=$A66)*
  (desp[data.pagamento]&lt;EOMONTH($A66,0)+1)
)</f>
        <v>0</v>
      </c>
      <c r="AI66" s="166" cm="1">
        <f t="array" ref="AI66">SUMPRODUCT(
  IFERROR(--desp[valor],0)*
  (desp[nucleo]="UP CAMPO BELO")*
  (desp[categoria]=AI$7)*
  (desp[data.pagamento]&gt;=$A66)*
  (desp[data.pagamento]&lt;EOMONTH($A66,0)+1)
)</f>
        <v>0</v>
      </c>
      <c r="AJ66" s="177">
        <f>COUNTIFS(
    estq[empresa], AJ$6,
    estq[Data da venda / reserva], "&gt;=" &amp; $A66,
    estq[Data da venda / reserva], "&lt;"  &amp; EOMONTH($A66,0) + 1
)</f>
        <v>0</v>
      </c>
      <c r="AK66" s="178">
        <f ca="1">SUMIFS(rec.uni[2026-04-01],
INDIRECT("rec.uni[natureza]"),"pro.soluto",
INDIRECT("rec.uni[empresa]"),AK$6)</f>
        <v>0</v>
      </c>
      <c r="AL66" s="178">
        <f ca="1">SUMIFS(rec.uni[2026-04-01],
INDIRECT("rec.uni[natureza]"),"repasse.cef.obra",
INDIRECT("rec.uni[empresa]"),AL$6)</f>
        <v>0</v>
      </c>
      <c r="AM66" s="181">
        <f ca="1">SUMIFS(rec.uni[2026-04-01],
INDIRECT("rec.uni[natureza]"),"repasse.cef.terreno",
INDIRECT("rec.uni[empresa]"),AM$6)</f>
        <v>0</v>
      </c>
      <c r="AN66" s="182"/>
      <c r="AO66" s="178">
        <f ca="1">SUMIFS(rec.uni[2026-04-01],
INDIRECT("rec.uni[natureza]"),"taxa.extra",
INDIRECT("rec.uni[empresa]"),AO$6)</f>
        <v>0</v>
      </c>
      <c r="AP66" s="166"/>
      <c r="AQ66" s="166" cm="1">
        <f t="array" ref="AQ66">SUMPRODUCT(
  IFERROR(--desp[valor],0)*
  (desp[nucleo]="UP SELECT VILA SONIA")*
  (desp[categoria]=AQ$7)*
  (desp[data.pagamento]&gt;=$A66)*
  (desp[data.pagamento]&lt;EOMONTH($A66,0)+1)
)</f>
        <v>0</v>
      </c>
      <c r="AR66" s="166" cm="1">
        <f t="array" ref="AR66">SUMPRODUCT(
  IFERROR(--desp[valor],0)*
  (desp[nucleo]="UP SELECT VILA SONIA")*
  (desp[categoria]=AR$7)*
  (desp[data.pagamento]&gt;=$A66)*
  (desp[data.pagamento]&lt;EOMONTH($A66,0)+1)
)</f>
        <v>0</v>
      </c>
      <c r="AS66" s="166" cm="1">
        <f t="array" ref="AS66">SUMPRODUCT(
  IFERROR(--desp[valor],0)*
  (desp[nucleo]="UP SELECT VILA SONIA")*
  (desp[categoria]=AS$7)*
  (desp[data.pagamento]&gt;=$A66)*
  (desp[data.pagamento]&lt;EOMONTH($A66,0)+1)
)</f>
        <v>0</v>
      </c>
      <c r="AT66" s="166" cm="1">
        <f t="array" ref="AT66">SUMPRODUCT(
  IFERROR(--desp[valor],0)*
  (desp[nucleo]="UP SELECT VILA SONIA")*
  (desp[categoria]=AT$7)*
  (desp[data.pagamento]&gt;=$A66)*
  (desp[data.pagamento]&lt;EOMONTH($A66,0)+1)
)</f>
        <v>0</v>
      </c>
      <c r="AU66" s="166" cm="1">
        <f t="array" ref="AU66">SUMPRODUCT(
  IFERROR(--desp[valor],0)*
  (desp[nucleo]="UP SELECT VILA SONIA")*
  (desp[categoria]=AU$7)*
  (desp[data.pagamento]&gt;=$A66)*
  (desp[data.pagamento]&lt;EOMONTH($A66,0)+1)
)</f>
        <v>0</v>
      </c>
      <c r="AV66" s="177">
        <f>COUNTIFS(
    estq[empresa], AV$6,
    estq[Data da venda / reserva], "&gt;=" &amp; $A66,
    estq[Data da venda / reserva], "&lt;"  &amp; EOMONTH($A66,0) + 1
)</f>
        <v>0</v>
      </c>
      <c r="AW66" s="178">
        <f ca="1">SUMIFS(rec.uni[2026-04-01],
INDIRECT("rec.uni[natureza]"),"pro.soluto",
INDIRECT("rec.uni[empresa]"),AW$6)</f>
        <v>0</v>
      </c>
      <c r="AX66" s="178">
        <f ca="1">SUMIFS(rec.uni[2026-04-01],
INDIRECT("rec.uni[natureza]"),"repasse.cef.obra",
INDIRECT("rec.uni[empresa]"),AX$6)</f>
        <v>0</v>
      </c>
      <c r="AY66" s="181">
        <f ca="1">SUMIFS(rec.uni[2026-04-01],
INDIRECT("rec.uni[natureza]"),"repasse.cef.terreno",
INDIRECT("rec.uni[empresa]"),AY$6)</f>
        <v>0</v>
      </c>
      <c r="AZ66" s="182"/>
      <c r="BA66" s="178">
        <f ca="1">SUMIFS(rec.uni[2026-04-01],
INDIRECT("rec.uni[natureza]"),"taxa.extra",
INDIRECT("rec.uni[empresa]"),BA$6)</f>
        <v>0</v>
      </c>
      <c r="BB66" s="166"/>
      <c r="BC66" s="166" cm="1">
        <f t="array" ref="BC66">SUMPRODUCT(
  IFERROR(--desp[valor],0)*
  (desp[nucleo]="UP ESTAÇÃO SÃO LUCAS")*
  (desp[categoria]=BC$7)*
  (desp[data.pagamento]&gt;=$A66)*
  (desp[data.pagamento]&lt;EOMONTH($A66,0)+1)
)</f>
        <v>0</v>
      </c>
      <c r="BD66" s="166" cm="1">
        <f t="array" ref="BD66">SUMPRODUCT(
  IFERROR(--desp[valor],0)*
  (desp[nucleo]="UP ESTAÇÃO SÃO LUCAS")*
  (desp[categoria]=BD$7)*
  (desp[data.pagamento]&gt;=$A66)*
  (desp[data.pagamento]&lt;EOMONTH($A66,0)+1)
)</f>
        <v>0</v>
      </c>
      <c r="BE66" s="166" cm="1">
        <f t="array" ref="BE66">SUMPRODUCT(
  IFERROR(--desp[valor],0)*
  (desp[nucleo]="UP ESTAÇÃO SÃO LUCAS")*
  (desp[categoria]=BE$7)*
  (desp[data.pagamento]&gt;=$A66)*
  (desp[data.pagamento]&lt;EOMONTH($A66,0)+1)
)</f>
        <v>0</v>
      </c>
      <c r="BF66" s="166" cm="1">
        <f t="array" ref="BF66">SUMPRODUCT(
  IFERROR(--desp[valor],0)*
  (desp[nucleo]="UP ESTAÇÃO SÃO LUCAS")*
  (desp[categoria]=BF$7)*
  (desp[data.pagamento]&gt;=$A66)*
  (desp[data.pagamento]&lt;EOMONTH($A66,0)+1)
)</f>
        <v>0</v>
      </c>
      <c r="BG66" s="166" cm="1">
        <f t="array" ref="BG66">SUMPRODUCT(
  IFERROR(--desp[valor],0)*
  (desp[nucleo]="UP ESTAÇÃO SÃO LUCAS")*
  (desp[categoria]=BG$7)*
  (desp[data.pagamento]&gt;=$A66)*
  (desp[data.pagamento]&lt;EOMONTH($A66,0)+1)
)</f>
        <v>0</v>
      </c>
      <c r="BH66" s="177">
        <f>COUNTIFS(
    estq[empresa], BH$6,
    estq[Data da venda / reserva], "&gt;=" &amp; $A66,
    estq[Data da venda / reserva], "&lt;"  &amp; EOMONTH($A66,0) + 1
)</f>
        <v>0</v>
      </c>
      <c r="BI66" s="178">
        <f ca="1">SUMIFS(rec.uni[2026-04-01],
INDIRECT("rec.uni[natureza]"),"pro.soluto",
INDIRECT("rec.uni[empresa]"),BI$6)</f>
        <v>0</v>
      </c>
      <c r="BJ66" s="182">
        <f ca="1">SUMIFS(rec.uni[2026-04-01],
INDIRECT("rec.uni[natureza]"),"parcela.fin.total.ik",
INDIRECT("rec.uni[empresa]"),BJ$6)</f>
        <v>0</v>
      </c>
      <c r="BK66" s="178">
        <f ca="1">SUMIFS(rec.uni[2026-04-01],
INDIRECT("rec.uni[natureza]"),"taxa.extra",
INDIRECT("rec.uni[empresa]"),BK$6)</f>
        <v>0</v>
      </c>
      <c r="BL66" s="166"/>
      <c r="BM66" s="166" cm="1">
        <f t="array" ref="BM66">SUMPRODUCT(
  IFERROR(--desp[valor],0)*
  (desp[nucleo]="UP POMPEIA")*
  (desp[categoria]=BM$7)*
  (desp[data.pagamento]&gt;=$A66)*
  (desp[data.pagamento]&lt;EOMONTH($A66,0)+1)
)</f>
        <v>0</v>
      </c>
      <c r="BN66" s="166" cm="1">
        <f t="array" ref="BN66">SUMPRODUCT(
  IFERROR(--desp[valor],0)*
  (desp[nucleo]="UP POMPEIA")*
  (desp[categoria]=BN$7)*
  (desp[data.pagamento]&gt;=$A66)*
  (desp[data.pagamento]&lt;EOMONTH($A66,0)+1)
)</f>
        <v>0</v>
      </c>
      <c r="BO66" s="166" cm="1">
        <f t="array" ref="BO66">SUMPRODUCT(
  IFERROR(--desp[valor],0)*
  (desp[nucleo]="UP POMPEIA")*
  (desp[categoria]=BO$7)*
  (desp[data.pagamento]&gt;=$A66)*
  (desp[data.pagamento]&lt;EOMONTH($A66,0)+1)
)</f>
        <v>0</v>
      </c>
      <c r="BP66" s="166" cm="1">
        <f t="array" ref="BP66">SUMPRODUCT(
  IFERROR(--desp[valor],0)*
  (desp[nucleo]="UP POMPEIA")*
  (desp[categoria]=BP$7)*
  (desp[data.pagamento]&gt;=$A66)*
  (desp[data.pagamento]&lt;EOMONTH($A66,0)+1)
)</f>
        <v>0</v>
      </c>
      <c r="BQ66" s="166" cm="1">
        <f t="array" ref="BQ66">SUMPRODUCT(
  IFERROR(--desp[valor],0)*
  (desp[nucleo]="UP POMPEIA")*
  (desp[categoria]=BQ$7)*
  (desp[data.pagamento]&gt;=$A66)*
  (desp[data.pagamento]&lt;EOMONTH($A66,0)+1)
)</f>
        <v>0</v>
      </c>
      <c r="BR66" s="177">
        <f>COUNTIFS(
    estq[empresa], BR$6,
    estq[Data da venda / reserva], "&gt;=" &amp; $A66,
    estq[Data da venda / reserva], "&lt;"  &amp; EOMONTH($A66,0) + 1
)</f>
        <v>0</v>
      </c>
      <c r="BS66" s="178">
        <f ca="1">SUMIFS(rec.uni[2026-04-01],
INDIRECT("rec.uni[natureza]"),"pro.soluto",
INDIRECT("rec.uni[empresa]"),BS$6)</f>
        <v>0</v>
      </c>
      <c r="BT66" s="182">
        <f ca="1">SUMIFS(rec.uni[2026-04-01],
INDIRECT("rec.uni[natureza]"),"pro.soluto",
INDIRECT("rec.uni[empresa]"),BT$6)</f>
        <v>0</v>
      </c>
      <c r="BU66" s="178">
        <f ca="1">SUMIFS(rec.uni[2026-04-01],
INDIRECT("rec.uni[natureza]"),"taxa.extra",
INDIRECT("rec.uni[empresa]"),BU$6)</f>
        <v>0</v>
      </c>
      <c r="BV66" s="166"/>
      <c r="BW66" s="166" cm="1">
        <f t="array" ref="BW66">SUMPRODUCT(
  IFERROR(--desp[valor],0)*
  (desp[nucleo]="UP SAUDE")*
  (desp[categoria]=BW$7)*
  (desp[data.pagamento]&gt;=$A66)*
  (desp[data.pagamento]&lt;EOMONTH($A66,0)+1)
)</f>
        <v>0</v>
      </c>
      <c r="BX66" s="166" cm="1">
        <f t="array" ref="BX66">SUMPRODUCT(
  IFERROR(--desp[valor],0)*
  (desp[nucleo]="UP SAUDE")*
  (desp[categoria]=BX$7)*
  (desp[data.pagamento]&gt;=$A66)*
  (desp[data.pagamento]&lt;EOMONTH($A66,0)+1)
)</f>
        <v>0</v>
      </c>
      <c r="BY66" s="166" cm="1">
        <f t="array" ref="BY66">SUMPRODUCT(
  IFERROR(--desp[valor],0)*
  (desp[nucleo]="UP SAUDE")*
  (desp[categoria]=BY$7)*
  (desp[data.pagamento]&gt;=$A66)*
  (desp[data.pagamento]&lt;EOMONTH($A66,0)+1)
)</f>
        <v>0</v>
      </c>
      <c r="BZ66" s="166" cm="1">
        <f t="array" ref="BZ66">SUMPRODUCT(
  IFERROR(--desp[valor],0)*
  (desp[nucleo]="UP SAUDE")*
  (desp[categoria]=BZ$7)*
  (desp[data.pagamento]&gt;=$A66)*
  (desp[data.pagamento]&lt;EOMONTH($A66,0)+1)
)</f>
        <v>0</v>
      </c>
      <c r="CA66" s="166" cm="1">
        <f t="array" ref="CA66">SUMPRODUCT(
  IFERROR(--desp[valor],0)*
  (desp[nucleo]="UP SAUDE")*
  (desp[categoria]=CA$7)*
  (desp[data.pagamento]&gt;=$A66)*
  (desp[data.pagamento]&lt;EOMONTH($A66,0)+1)
)</f>
        <v>0</v>
      </c>
      <c r="CB66" s="177">
        <f>COUNTIFS(
    estq[empresa], CB$6,
    estq[Data da venda / reserva], "&gt;=" &amp; $A66,
    estq[Data da venda / reserva], "&lt;"  &amp; EOMONTH($A66,0) + 1
)</f>
        <v>0</v>
      </c>
      <c r="CC66" s="178">
        <f ca="1">SUMIFS(rec.uni[2026-04-01],
INDIRECT("rec.uni[natureza]"),"pro.soluto",
INDIRECT("rec.uni[empresa]"),CC$6)</f>
        <v>0</v>
      </c>
      <c r="CD66" s="178">
        <f ca="1">SUMIFS(rec.uni[2026-04-01],
INDIRECT("rec.uni[natureza]"),"repasse.cef.obra",
INDIRECT("rec.uni[empresa]"),CD$6)</f>
        <v>0</v>
      </c>
      <c r="CE66" s="181">
        <f ca="1">SUMIFS(rec.uni[2026-04-01],
INDIRECT("rec.uni[natureza]"),"repasse.cef.terreno",
INDIRECT("rec.uni[empresa]"),CE$6)</f>
        <v>0</v>
      </c>
      <c r="CF66" s="182"/>
      <c r="CG66" s="178">
        <f ca="1">SUMIFS(rec.uni[2026-04-01],
INDIRECT("rec.uni[natureza]"),"taxa.extra",
INDIRECT("rec.uni[empresa]"),CG$6)</f>
        <v>0</v>
      </c>
      <c r="CH66" s="166"/>
      <c r="CI66" s="166" cm="1">
        <f t="array" ref="CI66">SUMPRODUCT(
  IFERROR(--desp[valor],0)*
  (desp[nucleo]="UP ESTAÇÃO VILA SONIA")*
  (desp[categoria]=CI$7)*
  (desp[data.pagamento]&gt;=$A66)*
  (desp[data.pagamento]&lt;EOMONTH($A66,0)+1)
)</f>
        <v>0</v>
      </c>
      <c r="CJ66" s="166" cm="1">
        <f t="array" ref="CJ66">SUMPRODUCT(
  IFERROR(--desp[valor],0)*
  (desp[nucleo]="UP ESTAÇÃO VILA SONIA")*
  (desp[categoria]=CJ$7)*
  (desp[data.pagamento]&gt;=$A66)*
  (desp[data.pagamento]&lt;EOMONTH($A66,0)+1)
)</f>
        <v>0</v>
      </c>
      <c r="CK66" s="166" cm="1">
        <f t="array" ref="CK66">SUMPRODUCT(
  IFERROR(--desp[valor],0)*
  (desp[nucleo]="UP ESTAÇÃO VILA SONIA")*
  (desp[categoria]=CK$7)*
  (desp[data.pagamento]&gt;=$A66)*
  (desp[data.pagamento]&lt;EOMONTH($A66,0)+1)
)</f>
        <v>0</v>
      </c>
      <c r="CL66" s="166" cm="1">
        <f t="array" ref="CL66">SUMPRODUCT(
  IFERROR(--desp[valor],0)*
  (desp[nucleo]="UP ESTAÇÃO VILA SONIA")*
  (desp[categoria]=CL$7)*
  (desp[data.pagamento]&gt;=$A66)*
  (desp[data.pagamento]&lt;EOMONTH($A66,0)+1)
)</f>
        <v>0</v>
      </c>
      <c r="CM66" s="166" cm="1">
        <f t="array" ref="CM66">SUMPRODUCT(
  IFERROR(--desp[valor],0)*
  (desp[nucleo]="UP ESTAÇÃO VILA SONIA")*
  (desp[categoria]=CM$7)*
  (desp[data.pagamento]&gt;=$A66)*
  (desp[data.pagamento]&lt;EOMONTH($A66,0)+1)
)</f>
        <v>0</v>
      </c>
      <c r="CN66" s="177">
        <f>COUNTIFS(
    estq[empresa], CN$6,
    estq[Data da venda / reserva], "&gt;=" &amp; $A66,
    estq[Data da venda / reserva], "&lt;"  &amp; EOMONTH($A66,0) + 1
)</f>
        <v>0</v>
      </c>
      <c r="CO66" s="178">
        <f ca="1">SUMIFS(rec.uni[2026-04-01],
INDIRECT("rec.uni[natureza]"),"pro.soluto",
INDIRECT("rec.uni[empresa]"),CO$6)</f>
        <v>0</v>
      </c>
      <c r="CP66" s="178">
        <f ca="1">SUMIFS(rec.uni[2026-04-01],
INDIRECT("rec.uni[natureza]"),"repasse.cef.obra",
INDIRECT("rec.uni[empresa]"),CP$6)</f>
        <v>0</v>
      </c>
      <c r="CQ66" s="181">
        <f ca="1">SUMIFS(rec.uni[2026-04-01],
INDIRECT("rec.uni[natureza]"),"repasse.cef.terreno",
INDIRECT("rec.uni[empresa]"),CQ$6)</f>
        <v>0</v>
      </c>
      <c r="CR66" s="182"/>
      <c r="CS66" s="178">
        <f ca="1">SUMIFS(rec.uni[2026-04-01],
INDIRECT("rec.uni[natureza]"),"taxa.extra",
INDIRECT("rec.uni[empresa]"),CS$6)</f>
        <v>0</v>
      </c>
      <c r="CT66" s="166"/>
      <c r="CU66" s="166" cm="1">
        <f t="array" ref="CU66">SUMPRODUCT(
  IFERROR(--desp[valor],0)*
  (desp[nucleo]="UP MOVE VILA SONIA")*
  (desp[categoria]=CU$7)*
  (desp[data.pagamento]&gt;=$A66)*
  (desp[data.pagamento]&lt;EOMONTH($A66,0)+1)
)</f>
        <v>0</v>
      </c>
      <c r="CV66" s="166" cm="1">
        <f t="array" ref="CV66">SUMPRODUCT(
  IFERROR(--desp[valor],0)*
  (desp[nucleo]="UP MOVE VILA SONIA")*
  (desp[categoria]=CV$7)*
  (desp[data.pagamento]&gt;=$A66)*
  (desp[data.pagamento]&lt;EOMONTH($A66,0)+1)
)</f>
        <v>0</v>
      </c>
      <c r="CW66" s="166" cm="1">
        <f t="array" ref="CW66">SUMPRODUCT(
  IFERROR(--desp[valor],0)*
  (desp[nucleo]="UP MOVE VILA SONIA")*
  (desp[categoria]=CW$7)*
  (desp[data.pagamento]&gt;=$A66)*
  (desp[data.pagamento]&lt;EOMONTH($A66,0)+1)
)</f>
        <v>0</v>
      </c>
      <c r="CX66" s="166" cm="1">
        <f t="array" ref="CX66">SUMPRODUCT(
  IFERROR(--desp[valor],0)*
  (desp[nucleo]="UP MOVE VILA SONIA")*
  (desp[categoria]=CX$7)*
  (desp[data.pagamento]&gt;=$A66)*
  (desp[data.pagamento]&lt;EOMONTH($A66,0)+1)
)</f>
        <v>0</v>
      </c>
      <c r="CY66" s="291" cm="1">
        <f t="array" ref="CY66">SUMPRODUCT(
  IFERROR(--desp[valor],0)*
  (desp[nucleo]="UP MOVE VILA SONIA")*
  (desp[categoria]=CY$7)*
  (desp[data.pagamento]&gt;=$A66)*
  (desp[data.pagamento]&lt;EOMONTH($A66,0)+1)
)</f>
        <v>0</v>
      </c>
    </row>
    <row r="67" spans="1:103" x14ac:dyDescent="0.25">
      <c r="A67" s="176">
        <v>46143</v>
      </c>
      <c r="B67" s="177">
        <f>COUNTIFS(
    estq[empresa], B$6,
    estq[Data da venda / reserva], "&gt;=" &amp; $A67,
    estq[Data da venda / reserva], "&lt;"  &amp; EOMONTH($A67,0) + 1
)</f>
        <v>0</v>
      </c>
      <c r="C67" s="178">
        <f ca="1">SUMIFS(rec.uni[2026-05-01],
INDIRECT("rec.uni[natureza]"),"pro.soluto",
INDIRECT("rec.uni[empresa]"),C$6)</f>
        <v>0</v>
      </c>
      <c r="D67" s="178">
        <f ca="1">SUMIFS(rec.uni[2026-05-01],
INDIRECT("rec.uni[natureza]"),"repasse.cef.obra",
INDIRECT("rec.uni[empresa]"),D$6)</f>
        <v>0</v>
      </c>
      <c r="E67" s="178">
        <f ca="1">SUMIFS(rec.uni[2026-05-01],
INDIRECT("rec.uni[natureza]"),"repasse.cef.terreno",
INDIRECT("rec.uni[empresa]"),E$6)</f>
        <v>0</v>
      </c>
      <c r="F67" s="182"/>
      <c r="G67" s="178">
        <f ca="1">SUMIFS(rec.uni[2026-05-01],
INDIRECT("rec.uni[natureza]"),"taxa.extra",
INDIRECT("rec.uni[empresa]"),G$6)</f>
        <v>0</v>
      </c>
      <c r="H67" s="166"/>
      <c r="I67" s="166" cm="1">
        <f t="array" ref="I67">SUMPRODUCT(
  IFERROR(--desp[valor],0)*
  (desp[nucleo]="UP JARDIM PRUDENCIA")*
  (desp[categoria]=I$7)*
  (desp[data.pagamento]&gt;=$A67)*
  (desp[data.pagamento]&lt;EOMONTH($A67,0)+1)
)</f>
        <v>0</v>
      </c>
      <c r="J67" s="166" cm="1">
        <f t="array" ref="J67">SUMPRODUCT(
  IFERROR(--desp[valor],0)*
  (desp[nucleo]="UP JARDIM PRUDENCIA")*
  (desp[categoria]=J$7)*
  (desp[data.pagamento]&gt;=$A67)*
  (desp[data.pagamento]&lt;EOMONTH($A67,0)+1)
)</f>
        <v>0</v>
      </c>
      <c r="K67" s="166" cm="1">
        <f t="array" ref="K67">SUMPRODUCT(
  IFERROR(--desp[valor],0)*
  (desp[nucleo]="UP JARDIM PRUDENCIA")*
  (desp[categoria]=K$7)*
  (desp[data.pagamento]&gt;=$A67)*
  (desp[data.pagamento]&lt;EOMONTH($A67,0)+1)
)</f>
        <v>0</v>
      </c>
      <c r="L67" s="166" cm="1">
        <f t="array" ref="L67">SUMPRODUCT(
  IFERROR(--desp[valor],0)*
  (desp[nucleo]="UP JARDIM PRUDENCIA")*
  (desp[categoria]=L$7)*
  (desp[data.pagamento]&gt;=$A67)*
  (desp[data.pagamento]&lt;EOMONTH($A67,0)+1)
)</f>
        <v>0</v>
      </c>
      <c r="M67" s="166" cm="1">
        <f t="array" ref="M67">SUMPRODUCT(
  IFERROR(--desp[valor],0)*
  (desp[nucleo]="UP JARDIM PRUDENCIA")*
  (desp[categoria]=M$7)*
  (desp[data.pagamento]&gt;=$A67)*
  (desp[data.pagamento]&lt;EOMONTH($A67,0)+1)
)</f>
        <v>0</v>
      </c>
      <c r="N67" s="177">
        <f>COUNTIFS(
    estq[empresa], N$6,
    estq[Data da venda / reserva], "&gt;=" &amp; $A67,
    estq[Data da venda / reserva], "&lt;"  &amp; EOMONTH($A67,0) + 1
)</f>
        <v>0</v>
      </c>
      <c r="O67" s="178">
        <f ca="1">SUMIFS(rec.uni[2026-05-01],
INDIRECT("rec.uni[natureza]"),"pro.soluto",
INDIRECT("rec.uni[empresa]"),O$6)</f>
        <v>0</v>
      </c>
      <c r="P67" s="178">
        <f ca="1">SUMIFS(rec.uni[2026-05-01],
INDIRECT("rec.uni[natureza]"),"repasse.cef.obra",
INDIRECT("rec.uni[empresa]"),P$6)</f>
        <v>0</v>
      </c>
      <c r="Q67" s="178">
        <f ca="1">SUMIFS(rec.uni[2026-05-01],
INDIRECT("rec.uni[natureza]"),"repasse.cef.terreno",
INDIRECT("rec.uni[empresa]"),Q$6)</f>
        <v>0</v>
      </c>
      <c r="R67" s="182"/>
      <c r="S67" s="178">
        <f ca="1">SUMIFS(rec.uni[2026-05-01],
INDIRECT("rec.uni[natureza]"),"taxa.extra",
INDIRECT("rec.uni[empresa]"),S$6)</f>
        <v>0</v>
      </c>
      <c r="T67" s="166"/>
      <c r="U67" s="166" cm="1">
        <f t="array" ref="U67">SUMPRODUCT(
  IFERROR(--desp[valor],0)*
  (desp[nucleo]="UP VILA SONIA")*
  (desp[categoria]=U$7)*
  (desp[data.pagamento]&gt;=$A67)*
  (desp[data.pagamento]&lt;EOMONTH($A67,0)+1)
)</f>
        <v>0</v>
      </c>
      <c r="V67" s="166" cm="1">
        <f t="array" ref="V67">SUMPRODUCT(
  IFERROR(--desp[valor],0)*
  (desp[nucleo]="UP VILA SONIA")*
  (desp[categoria]=V$7)*
  (desp[data.pagamento]&gt;=$A67)*
  (desp[data.pagamento]&lt;EOMONTH($A67,0)+1)
)</f>
        <v>0</v>
      </c>
      <c r="W67" s="166" cm="1">
        <f t="array" ref="W67">SUMPRODUCT(
  IFERROR(--desp[valor],0)*
  (desp[nucleo]="UP VILA SONIA")*
  (desp[categoria]=W$7)*
  (desp[data.pagamento]&gt;=$A67)*
  (desp[data.pagamento]&lt;EOMONTH($A67,0)+1)
)</f>
        <v>0</v>
      </c>
      <c r="X67" s="166" cm="1">
        <f t="array" ref="X67">SUMPRODUCT(
  IFERROR(--desp[valor],0)*
  (desp[nucleo]="UP VILA SONIA")*
  (desp[categoria]=X$7)*
  (desp[data.pagamento]&gt;=$A67)*
  (desp[data.pagamento]&lt;EOMONTH($A67,0)+1)
)</f>
        <v>0</v>
      </c>
      <c r="Y67" s="166" cm="1">
        <f t="array" ref="Y67">SUMPRODUCT(
  IFERROR(--desp[valor],0)*
  (desp[nucleo]="UP VILA SONIA")*
  (desp[categoria]=Y$7)*
  (desp[data.pagamento]&gt;=$A67)*
  (desp[data.pagamento]&lt;EOMONTH($A67,0)+1)
)</f>
        <v>0</v>
      </c>
      <c r="Z67" s="177">
        <f>COUNTIFS(
    estq[empresa], Z$6,
    estq[Data da venda / reserva], "&gt;=" &amp; $A67,
    estq[Data da venda / reserva], "&lt;"  &amp; EOMONTH($A67,0) + 1
)</f>
        <v>0</v>
      </c>
      <c r="AA67" s="178">
        <f ca="1">SUMIFS(rec.uni[2026-05-01],
INDIRECT("rec.uni[natureza]"),"pro.soluto",
INDIRECT("rec.uni[empresa]"),AA$6)</f>
        <v>0</v>
      </c>
      <c r="AB67" s="182">
        <f ca="1">SUMIFS(rec.uni[2026-05-01],
INDIRECT("rec.uni[natureza]"),"pro.soluto",
INDIRECT("rec.uni[empresa]"),AB$6)</f>
        <v>0</v>
      </c>
      <c r="AC67" s="178">
        <f ca="1">SUMIFS(rec.uni[2026-05-01],
INDIRECT("rec.uni[natureza]"),"taxa.extra",
INDIRECT("rec.uni[empresa]"),AC$6)</f>
        <v>0</v>
      </c>
      <c r="AD67" s="166"/>
      <c r="AE67" s="166" cm="1">
        <f t="array" ref="AE67">SUMPRODUCT(
  IFERROR(--desp[valor],0)*
  (desp[nucleo]="UP CAMPO BELO")*
  (desp[categoria]=AE$7)*
  (desp[data.pagamento]&gt;=$A67)*
  (desp[data.pagamento]&lt;EOMONTH($A67,0)+1)
)</f>
        <v>0</v>
      </c>
      <c r="AF67" s="166" cm="1">
        <f t="array" ref="AF67">SUMPRODUCT(
  IFERROR(--desp[valor],0)*
  (desp[nucleo]="UP CAMPO BELO")*
  (desp[categoria]=AF$7)*
  (desp[data.pagamento]&gt;=$A67)*
  (desp[data.pagamento]&lt;EOMONTH($A67,0)+1)
)</f>
        <v>0</v>
      </c>
      <c r="AG67" s="166" cm="1">
        <f t="array" ref="AG67">SUMPRODUCT(
  IFERROR(--desp[valor],0)*
  (desp[nucleo]="UP CAMPO BELO")*
  (desp[categoria]=AG$7)*
  (desp[data.pagamento]&gt;=$A67)*
  (desp[data.pagamento]&lt;EOMONTH($A67,0)+1)
)</f>
        <v>0</v>
      </c>
      <c r="AH67" s="166" cm="1">
        <f t="array" ref="AH67">SUMPRODUCT(
  IFERROR(--desp[valor],0)*
  (desp[nucleo]="UP CAMPO BELO")*
  (desp[categoria]=AH$7)*
  (desp[data.pagamento]&gt;=$A67)*
  (desp[data.pagamento]&lt;EOMONTH($A67,0)+1)
)</f>
        <v>0</v>
      </c>
      <c r="AI67" s="166" cm="1">
        <f t="array" ref="AI67">SUMPRODUCT(
  IFERROR(--desp[valor],0)*
  (desp[nucleo]="UP CAMPO BELO")*
  (desp[categoria]=AI$7)*
  (desp[data.pagamento]&gt;=$A67)*
  (desp[data.pagamento]&lt;EOMONTH($A67,0)+1)
)</f>
        <v>0</v>
      </c>
      <c r="AJ67" s="177">
        <f>COUNTIFS(
    estq[empresa], AJ$6,
    estq[Data da venda / reserva], "&gt;=" &amp; $A67,
    estq[Data da venda / reserva], "&lt;"  &amp; EOMONTH($A67,0) + 1
)</f>
        <v>0</v>
      </c>
      <c r="AK67" s="178">
        <f ca="1">SUMIFS(rec.uni[2026-05-01],
INDIRECT("rec.uni[natureza]"),"pro.soluto",
INDIRECT("rec.uni[empresa]"),AK$6)</f>
        <v>0</v>
      </c>
      <c r="AL67" s="178">
        <f ca="1">SUMIFS(rec.uni[2026-05-01],
INDIRECT("rec.uni[natureza]"),"repasse.cef.obra",
INDIRECT("rec.uni[empresa]"),AL$6)</f>
        <v>0</v>
      </c>
      <c r="AM67" s="181">
        <f ca="1">SUMIFS(rec.uni[2026-05-01],
INDIRECT("rec.uni[natureza]"),"repasse.cef.terreno",
INDIRECT("rec.uni[empresa]"),AM$6)</f>
        <v>0</v>
      </c>
      <c r="AN67" s="182"/>
      <c r="AO67" s="178">
        <f ca="1">SUMIFS(rec.uni[2026-05-01],
INDIRECT("rec.uni[natureza]"),"taxa.extra",
INDIRECT("rec.uni[empresa]"),AO$6)</f>
        <v>0</v>
      </c>
      <c r="AP67" s="166"/>
      <c r="AQ67" s="166" cm="1">
        <f t="array" ref="AQ67">SUMPRODUCT(
  IFERROR(--desp[valor],0)*
  (desp[nucleo]="UP SELECT VILA SONIA")*
  (desp[categoria]=AQ$7)*
  (desp[data.pagamento]&gt;=$A67)*
  (desp[data.pagamento]&lt;EOMONTH($A67,0)+1)
)</f>
        <v>0</v>
      </c>
      <c r="AR67" s="166" cm="1">
        <f t="array" ref="AR67">SUMPRODUCT(
  IFERROR(--desp[valor],0)*
  (desp[nucleo]="UP SELECT VILA SONIA")*
  (desp[categoria]=AR$7)*
  (desp[data.pagamento]&gt;=$A67)*
  (desp[data.pagamento]&lt;EOMONTH($A67,0)+1)
)</f>
        <v>0</v>
      </c>
      <c r="AS67" s="166" cm="1">
        <f t="array" ref="AS67">SUMPRODUCT(
  IFERROR(--desp[valor],0)*
  (desp[nucleo]="UP SELECT VILA SONIA")*
  (desp[categoria]=AS$7)*
  (desp[data.pagamento]&gt;=$A67)*
  (desp[data.pagamento]&lt;EOMONTH($A67,0)+1)
)</f>
        <v>0</v>
      </c>
      <c r="AT67" s="166" cm="1">
        <f t="array" ref="AT67">SUMPRODUCT(
  IFERROR(--desp[valor],0)*
  (desp[nucleo]="UP SELECT VILA SONIA")*
  (desp[categoria]=AT$7)*
  (desp[data.pagamento]&gt;=$A67)*
  (desp[data.pagamento]&lt;EOMONTH($A67,0)+1)
)</f>
        <v>0</v>
      </c>
      <c r="AU67" s="166" cm="1">
        <f t="array" ref="AU67">SUMPRODUCT(
  IFERROR(--desp[valor],0)*
  (desp[nucleo]="UP SELECT VILA SONIA")*
  (desp[categoria]=AU$7)*
  (desp[data.pagamento]&gt;=$A67)*
  (desp[data.pagamento]&lt;EOMONTH($A67,0)+1)
)</f>
        <v>0</v>
      </c>
      <c r="AV67" s="177">
        <f>COUNTIFS(
    estq[empresa], AV$6,
    estq[Data da venda / reserva], "&gt;=" &amp; $A67,
    estq[Data da venda / reserva], "&lt;"  &amp; EOMONTH($A67,0) + 1
)</f>
        <v>0</v>
      </c>
      <c r="AW67" s="178">
        <f ca="1">SUMIFS(rec.uni[2026-05-01],
INDIRECT("rec.uni[natureza]"),"pro.soluto",
INDIRECT("rec.uni[empresa]"),AW$6)</f>
        <v>0</v>
      </c>
      <c r="AX67" s="178">
        <f ca="1">SUMIFS(rec.uni[2026-05-01],
INDIRECT("rec.uni[natureza]"),"repasse.cef.obra",
INDIRECT("rec.uni[empresa]"),AX$6)</f>
        <v>0</v>
      </c>
      <c r="AY67" s="181">
        <f ca="1">SUMIFS(rec.uni[2026-05-01],
INDIRECT("rec.uni[natureza]"),"repasse.cef.terreno",
INDIRECT("rec.uni[empresa]"),AY$6)</f>
        <v>0</v>
      </c>
      <c r="AZ67" s="182"/>
      <c r="BA67" s="178">
        <f ca="1">SUMIFS(rec.uni[2026-05-01],
INDIRECT("rec.uni[natureza]"),"taxa.extra",
INDIRECT("rec.uni[empresa]"),BA$6)</f>
        <v>0</v>
      </c>
      <c r="BB67" s="166"/>
      <c r="BC67" s="166" cm="1">
        <f t="array" ref="BC67">SUMPRODUCT(
  IFERROR(--desp[valor],0)*
  (desp[nucleo]="UP ESTAÇÃO SÃO LUCAS")*
  (desp[categoria]=BC$7)*
  (desp[data.pagamento]&gt;=$A67)*
  (desp[data.pagamento]&lt;EOMONTH($A67,0)+1)
)</f>
        <v>0</v>
      </c>
      <c r="BD67" s="166" cm="1">
        <f t="array" ref="BD67">SUMPRODUCT(
  IFERROR(--desp[valor],0)*
  (desp[nucleo]="UP ESTAÇÃO SÃO LUCAS")*
  (desp[categoria]=BD$7)*
  (desp[data.pagamento]&gt;=$A67)*
  (desp[data.pagamento]&lt;EOMONTH($A67,0)+1)
)</f>
        <v>0</v>
      </c>
      <c r="BE67" s="166" cm="1">
        <f t="array" ref="BE67">SUMPRODUCT(
  IFERROR(--desp[valor],0)*
  (desp[nucleo]="UP ESTAÇÃO SÃO LUCAS")*
  (desp[categoria]=BE$7)*
  (desp[data.pagamento]&gt;=$A67)*
  (desp[data.pagamento]&lt;EOMONTH($A67,0)+1)
)</f>
        <v>0</v>
      </c>
      <c r="BF67" s="166" cm="1">
        <f t="array" ref="BF67">SUMPRODUCT(
  IFERROR(--desp[valor],0)*
  (desp[nucleo]="UP ESTAÇÃO SÃO LUCAS")*
  (desp[categoria]=BF$7)*
  (desp[data.pagamento]&gt;=$A67)*
  (desp[data.pagamento]&lt;EOMONTH($A67,0)+1)
)</f>
        <v>0</v>
      </c>
      <c r="BG67" s="166" cm="1">
        <f t="array" ref="BG67">SUMPRODUCT(
  IFERROR(--desp[valor],0)*
  (desp[nucleo]="UP ESTAÇÃO SÃO LUCAS")*
  (desp[categoria]=BG$7)*
  (desp[data.pagamento]&gt;=$A67)*
  (desp[data.pagamento]&lt;EOMONTH($A67,0)+1)
)</f>
        <v>0</v>
      </c>
      <c r="BH67" s="177">
        <f>COUNTIFS(
    estq[empresa], BH$6,
    estq[Data da venda / reserva], "&gt;=" &amp; $A67,
    estq[Data da venda / reserva], "&lt;"  &amp; EOMONTH($A67,0) + 1
)</f>
        <v>0</v>
      </c>
      <c r="BI67" s="178">
        <f ca="1">SUMIFS(rec.uni[2026-05-01],
INDIRECT("rec.uni[natureza]"),"pro.soluto",
INDIRECT("rec.uni[empresa]"),BI$6)</f>
        <v>0</v>
      </c>
      <c r="BJ67" s="182">
        <f ca="1">SUMIFS(rec.uni[2026-05-01],
INDIRECT("rec.uni[natureza]"),"parcela.fin.total.ik",
INDIRECT("rec.uni[empresa]"),BJ$6)</f>
        <v>0</v>
      </c>
      <c r="BK67" s="178">
        <f ca="1">SUMIFS(rec.uni[2026-05-01],
INDIRECT("rec.uni[natureza]"),"taxa.extra",
INDIRECT("rec.uni[empresa]"),BK$6)</f>
        <v>0</v>
      </c>
      <c r="BL67" s="166"/>
      <c r="BM67" s="166" cm="1">
        <f t="array" ref="BM67">SUMPRODUCT(
  IFERROR(--desp[valor],0)*
  (desp[nucleo]="UP POMPEIA")*
  (desp[categoria]=BM$7)*
  (desp[data.pagamento]&gt;=$A67)*
  (desp[data.pagamento]&lt;EOMONTH($A67,0)+1)
)</f>
        <v>0</v>
      </c>
      <c r="BN67" s="166" cm="1">
        <f t="array" ref="BN67">SUMPRODUCT(
  IFERROR(--desp[valor],0)*
  (desp[nucleo]="UP POMPEIA")*
  (desp[categoria]=BN$7)*
  (desp[data.pagamento]&gt;=$A67)*
  (desp[data.pagamento]&lt;EOMONTH($A67,0)+1)
)</f>
        <v>0</v>
      </c>
      <c r="BO67" s="166" cm="1">
        <f t="array" ref="BO67">SUMPRODUCT(
  IFERROR(--desp[valor],0)*
  (desp[nucleo]="UP POMPEIA")*
  (desp[categoria]=BO$7)*
  (desp[data.pagamento]&gt;=$A67)*
  (desp[data.pagamento]&lt;EOMONTH($A67,0)+1)
)</f>
        <v>0</v>
      </c>
      <c r="BP67" s="166" cm="1">
        <f t="array" ref="BP67">SUMPRODUCT(
  IFERROR(--desp[valor],0)*
  (desp[nucleo]="UP POMPEIA")*
  (desp[categoria]=BP$7)*
  (desp[data.pagamento]&gt;=$A67)*
  (desp[data.pagamento]&lt;EOMONTH($A67,0)+1)
)</f>
        <v>0</v>
      </c>
      <c r="BQ67" s="166" cm="1">
        <f t="array" ref="BQ67">SUMPRODUCT(
  IFERROR(--desp[valor],0)*
  (desp[nucleo]="UP POMPEIA")*
  (desp[categoria]=BQ$7)*
  (desp[data.pagamento]&gt;=$A67)*
  (desp[data.pagamento]&lt;EOMONTH($A67,0)+1)
)</f>
        <v>0</v>
      </c>
      <c r="BR67" s="177">
        <f>COUNTIFS(
    estq[empresa], BR$6,
    estq[Data da venda / reserva], "&gt;=" &amp; $A67,
    estq[Data da venda / reserva], "&lt;"  &amp; EOMONTH($A67,0) + 1
)</f>
        <v>0</v>
      </c>
      <c r="BS67" s="178">
        <f ca="1">SUMIFS(rec.uni[2026-05-01],
INDIRECT("rec.uni[natureza]"),"pro.soluto",
INDIRECT("rec.uni[empresa]"),BS$6)</f>
        <v>0</v>
      </c>
      <c r="BT67" s="182">
        <f ca="1">SUMIFS(rec.uni[2026-05-01],
INDIRECT("rec.uni[natureza]"),"pro.soluto",
INDIRECT("rec.uni[empresa]"),BT$6)</f>
        <v>0</v>
      </c>
      <c r="BU67" s="178">
        <f ca="1">SUMIFS(rec.uni[2026-05-01],
INDIRECT("rec.uni[natureza]"),"taxa.extra",
INDIRECT("rec.uni[empresa]"),BU$6)</f>
        <v>0</v>
      </c>
      <c r="BV67" s="166"/>
      <c r="BW67" s="166" cm="1">
        <f t="array" ref="BW67">SUMPRODUCT(
  IFERROR(--desp[valor],0)*
  (desp[nucleo]="UP SAUDE")*
  (desp[categoria]=BW$7)*
  (desp[data.pagamento]&gt;=$A67)*
  (desp[data.pagamento]&lt;EOMONTH($A67,0)+1)
)</f>
        <v>0</v>
      </c>
      <c r="BX67" s="166" cm="1">
        <f t="array" ref="BX67">SUMPRODUCT(
  IFERROR(--desp[valor],0)*
  (desp[nucleo]="UP SAUDE")*
  (desp[categoria]=BX$7)*
  (desp[data.pagamento]&gt;=$A67)*
  (desp[data.pagamento]&lt;EOMONTH($A67,0)+1)
)</f>
        <v>0</v>
      </c>
      <c r="BY67" s="166" cm="1">
        <f t="array" ref="BY67">SUMPRODUCT(
  IFERROR(--desp[valor],0)*
  (desp[nucleo]="UP SAUDE")*
  (desp[categoria]=BY$7)*
  (desp[data.pagamento]&gt;=$A67)*
  (desp[data.pagamento]&lt;EOMONTH($A67,0)+1)
)</f>
        <v>0</v>
      </c>
      <c r="BZ67" s="166" cm="1">
        <f t="array" ref="BZ67">SUMPRODUCT(
  IFERROR(--desp[valor],0)*
  (desp[nucleo]="UP SAUDE")*
  (desp[categoria]=BZ$7)*
  (desp[data.pagamento]&gt;=$A67)*
  (desp[data.pagamento]&lt;EOMONTH($A67,0)+1)
)</f>
        <v>0</v>
      </c>
      <c r="CA67" s="166" cm="1">
        <f t="array" ref="CA67">SUMPRODUCT(
  IFERROR(--desp[valor],0)*
  (desp[nucleo]="UP SAUDE")*
  (desp[categoria]=CA$7)*
  (desp[data.pagamento]&gt;=$A67)*
  (desp[data.pagamento]&lt;EOMONTH($A67,0)+1)
)</f>
        <v>0</v>
      </c>
      <c r="CB67" s="177">
        <f>COUNTIFS(
    estq[empresa], CB$6,
    estq[Data da venda / reserva], "&gt;=" &amp; $A67,
    estq[Data da venda / reserva], "&lt;"  &amp; EOMONTH($A67,0) + 1
)</f>
        <v>0</v>
      </c>
      <c r="CC67" s="178">
        <f ca="1">SUMIFS(rec.uni[2026-05-01],
INDIRECT("rec.uni[natureza]"),"pro.soluto",
INDIRECT("rec.uni[empresa]"),CC$6)</f>
        <v>0</v>
      </c>
      <c r="CD67" s="178">
        <f ca="1">SUMIFS(rec.uni[2026-05-01],
INDIRECT("rec.uni[natureza]"),"repasse.cef.obra",
INDIRECT("rec.uni[empresa]"),CD$6)</f>
        <v>0</v>
      </c>
      <c r="CE67" s="181">
        <f ca="1">SUMIFS(rec.uni[2026-05-01],
INDIRECT("rec.uni[natureza]"),"repasse.cef.terreno",
INDIRECT("rec.uni[empresa]"),CE$6)</f>
        <v>0</v>
      </c>
      <c r="CF67" s="182"/>
      <c r="CG67" s="178">
        <f ca="1">SUMIFS(rec.uni[2026-05-01],
INDIRECT("rec.uni[natureza]"),"taxa.extra",
INDIRECT("rec.uni[empresa]"),CG$6)</f>
        <v>0</v>
      </c>
      <c r="CH67" s="166"/>
      <c r="CI67" s="166" cm="1">
        <f t="array" ref="CI67">SUMPRODUCT(
  IFERROR(--desp[valor],0)*
  (desp[nucleo]="UP ESTAÇÃO VILA SONIA")*
  (desp[categoria]=CI$7)*
  (desp[data.pagamento]&gt;=$A67)*
  (desp[data.pagamento]&lt;EOMONTH($A67,0)+1)
)</f>
        <v>0</v>
      </c>
      <c r="CJ67" s="166" cm="1">
        <f t="array" ref="CJ67">SUMPRODUCT(
  IFERROR(--desp[valor],0)*
  (desp[nucleo]="UP ESTAÇÃO VILA SONIA")*
  (desp[categoria]=CJ$7)*
  (desp[data.pagamento]&gt;=$A67)*
  (desp[data.pagamento]&lt;EOMONTH($A67,0)+1)
)</f>
        <v>0</v>
      </c>
      <c r="CK67" s="166" cm="1">
        <f t="array" ref="CK67">SUMPRODUCT(
  IFERROR(--desp[valor],0)*
  (desp[nucleo]="UP ESTAÇÃO VILA SONIA")*
  (desp[categoria]=CK$7)*
  (desp[data.pagamento]&gt;=$A67)*
  (desp[data.pagamento]&lt;EOMONTH($A67,0)+1)
)</f>
        <v>0</v>
      </c>
      <c r="CL67" s="166" cm="1">
        <f t="array" ref="CL67">SUMPRODUCT(
  IFERROR(--desp[valor],0)*
  (desp[nucleo]="UP ESTAÇÃO VILA SONIA")*
  (desp[categoria]=CL$7)*
  (desp[data.pagamento]&gt;=$A67)*
  (desp[data.pagamento]&lt;EOMONTH($A67,0)+1)
)</f>
        <v>0</v>
      </c>
      <c r="CM67" s="166" cm="1">
        <f t="array" ref="CM67">SUMPRODUCT(
  IFERROR(--desp[valor],0)*
  (desp[nucleo]="UP ESTAÇÃO VILA SONIA")*
  (desp[categoria]=CM$7)*
  (desp[data.pagamento]&gt;=$A67)*
  (desp[data.pagamento]&lt;EOMONTH($A67,0)+1)
)</f>
        <v>0</v>
      </c>
      <c r="CN67" s="177">
        <f>COUNTIFS(
    estq[empresa], CN$6,
    estq[Data da venda / reserva], "&gt;=" &amp; $A67,
    estq[Data da venda / reserva], "&lt;"  &amp; EOMONTH($A67,0) + 1
)</f>
        <v>0</v>
      </c>
      <c r="CO67" s="178">
        <f ca="1">SUMIFS(rec.uni[2026-05-01],
INDIRECT("rec.uni[natureza]"),"pro.soluto",
INDIRECT("rec.uni[empresa]"),CO$6)</f>
        <v>0</v>
      </c>
      <c r="CP67" s="178">
        <f ca="1">SUMIFS(rec.uni[2026-05-01],
INDIRECT("rec.uni[natureza]"),"repasse.cef.obra",
INDIRECT("rec.uni[empresa]"),CP$6)</f>
        <v>0</v>
      </c>
      <c r="CQ67" s="181">
        <f ca="1">SUMIFS(rec.uni[2026-05-01],
INDIRECT("rec.uni[natureza]"),"repasse.cef.terreno",
INDIRECT("rec.uni[empresa]"),CQ$6)</f>
        <v>0</v>
      </c>
      <c r="CR67" s="182"/>
      <c r="CS67" s="178">
        <f ca="1">SUMIFS(rec.uni[2026-05-01],
INDIRECT("rec.uni[natureza]"),"taxa.extra",
INDIRECT("rec.uni[empresa]"),CS$6)</f>
        <v>0</v>
      </c>
      <c r="CT67" s="166"/>
      <c r="CU67" s="166" cm="1">
        <f t="array" ref="CU67">SUMPRODUCT(
  IFERROR(--desp[valor],0)*
  (desp[nucleo]="UP MOVE VILA SONIA")*
  (desp[categoria]=CU$7)*
  (desp[data.pagamento]&gt;=$A67)*
  (desp[data.pagamento]&lt;EOMONTH($A67,0)+1)
)</f>
        <v>0</v>
      </c>
      <c r="CV67" s="166" cm="1">
        <f t="array" ref="CV67">SUMPRODUCT(
  IFERROR(--desp[valor],0)*
  (desp[nucleo]="UP MOVE VILA SONIA")*
  (desp[categoria]=CV$7)*
  (desp[data.pagamento]&gt;=$A67)*
  (desp[data.pagamento]&lt;EOMONTH($A67,0)+1)
)</f>
        <v>0</v>
      </c>
      <c r="CW67" s="166" cm="1">
        <f t="array" ref="CW67">SUMPRODUCT(
  IFERROR(--desp[valor],0)*
  (desp[nucleo]="UP MOVE VILA SONIA")*
  (desp[categoria]=CW$7)*
  (desp[data.pagamento]&gt;=$A67)*
  (desp[data.pagamento]&lt;EOMONTH($A67,0)+1)
)</f>
        <v>0</v>
      </c>
      <c r="CX67" s="166" cm="1">
        <f t="array" ref="CX67">SUMPRODUCT(
  IFERROR(--desp[valor],0)*
  (desp[nucleo]="UP MOVE VILA SONIA")*
  (desp[categoria]=CX$7)*
  (desp[data.pagamento]&gt;=$A67)*
  (desp[data.pagamento]&lt;EOMONTH($A67,0)+1)
)</f>
        <v>0</v>
      </c>
      <c r="CY67" s="291" cm="1">
        <f t="array" ref="CY67">SUMPRODUCT(
  IFERROR(--desp[valor],0)*
  (desp[nucleo]="UP MOVE VILA SONIA")*
  (desp[categoria]=CY$7)*
  (desp[data.pagamento]&gt;=$A67)*
  (desp[data.pagamento]&lt;EOMONTH($A67,0)+1)
)</f>
        <v>0</v>
      </c>
    </row>
    <row r="68" spans="1:103" x14ac:dyDescent="0.25">
      <c r="A68" s="176">
        <v>46174</v>
      </c>
      <c r="B68" s="177">
        <f>COUNTIFS(
    estq[empresa], B$6,
    estq[Data da venda / reserva], "&gt;=" &amp; $A68,
    estq[Data da venda / reserva], "&lt;"  &amp; EOMONTH($A68,0) + 1
)</f>
        <v>0</v>
      </c>
      <c r="C68" s="178">
        <f ca="1">SUMIFS(rec.uni[2026-06-01],
INDIRECT("rec.uni[natureza]"),"pro.soluto",
INDIRECT("rec.uni[empresa]"),C$6)</f>
        <v>0</v>
      </c>
      <c r="D68" s="178">
        <f ca="1">SUMIFS(rec.uni[2026-06-01],
INDIRECT("rec.uni[natureza]"),"repasse.cef.obra",
INDIRECT("rec.uni[empresa]"),D$6)</f>
        <v>0</v>
      </c>
      <c r="E68" s="178">
        <f ca="1">SUMIFS(rec.uni[2026-06-01],
INDIRECT("rec.uni[natureza]"),"repasse.cef.terreno",
INDIRECT("rec.uni[empresa]"),E$6)</f>
        <v>0</v>
      </c>
      <c r="F68" s="182"/>
      <c r="G68" s="178">
        <f ca="1">SUMIFS(rec.uni[2026-06-01],
INDIRECT("rec.uni[natureza]"),"taxa.extra",
INDIRECT("rec.uni[empresa]"),G$6)</f>
        <v>0</v>
      </c>
      <c r="H68" s="166"/>
      <c r="I68" s="166" cm="1">
        <f t="array" ref="I68">SUMPRODUCT(
  IFERROR(--desp[valor],0)*
  (desp[nucleo]="UP JARDIM PRUDENCIA")*
  (desp[categoria]=I$7)*
  (desp[data.pagamento]&gt;=$A68)*
  (desp[data.pagamento]&lt;EOMONTH($A68,0)+1)
)</f>
        <v>0</v>
      </c>
      <c r="J68" s="166" cm="1">
        <f t="array" ref="J68">SUMPRODUCT(
  IFERROR(--desp[valor],0)*
  (desp[nucleo]="UP JARDIM PRUDENCIA")*
  (desp[categoria]=J$7)*
  (desp[data.pagamento]&gt;=$A68)*
  (desp[data.pagamento]&lt;EOMONTH($A68,0)+1)
)</f>
        <v>0</v>
      </c>
      <c r="K68" s="166" cm="1">
        <f t="array" ref="K68">SUMPRODUCT(
  IFERROR(--desp[valor],0)*
  (desp[nucleo]="UP JARDIM PRUDENCIA")*
  (desp[categoria]=K$7)*
  (desp[data.pagamento]&gt;=$A68)*
  (desp[data.pagamento]&lt;EOMONTH($A68,0)+1)
)</f>
        <v>0</v>
      </c>
      <c r="L68" s="166" cm="1">
        <f t="array" ref="L68">SUMPRODUCT(
  IFERROR(--desp[valor],0)*
  (desp[nucleo]="UP JARDIM PRUDENCIA")*
  (desp[categoria]=L$7)*
  (desp[data.pagamento]&gt;=$A68)*
  (desp[data.pagamento]&lt;EOMONTH($A68,0)+1)
)</f>
        <v>0</v>
      </c>
      <c r="M68" s="166" cm="1">
        <f t="array" ref="M68">SUMPRODUCT(
  IFERROR(--desp[valor],0)*
  (desp[nucleo]="UP JARDIM PRUDENCIA")*
  (desp[categoria]=M$7)*
  (desp[data.pagamento]&gt;=$A68)*
  (desp[data.pagamento]&lt;EOMONTH($A68,0)+1)
)</f>
        <v>0</v>
      </c>
      <c r="N68" s="177">
        <f>COUNTIFS(
    estq[empresa], N$6,
    estq[Data da venda / reserva], "&gt;=" &amp; $A68,
    estq[Data da venda / reserva], "&lt;"  &amp; EOMONTH($A68,0) + 1
)</f>
        <v>0</v>
      </c>
      <c r="O68" s="178">
        <f ca="1">SUMIFS(rec.uni[2026-06-01],
INDIRECT("rec.uni[natureza]"),"pro.soluto",
INDIRECT("rec.uni[empresa]"),O$6)</f>
        <v>0</v>
      </c>
      <c r="P68" s="178">
        <f ca="1">SUMIFS(rec.uni[2026-06-01],
INDIRECT("rec.uni[natureza]"),"repasse.cef.obra",
INDIRECT("rec.uni[empresa]"),P$6)</f>
        <v>0</v>
      </c>
      <c r="Q68" s="178">
        <f ca="1">SUMIFS(rec.uni[2026-06-01],
INDIRECT("rec.uni[natureza]"),"repasse.cef.terreno",
INDIRECT("rec.uni[empresa]"),Q$6)</f>
        <v>0</v>
      </c>
      <c r="R68" s="182"/>
      <c r="S68" s="178">
        <f ca="1">SUMIFS(rec.uni[2026-06-01],
INDIRECT("rec.uni[natureza]"),"taxa.extra",
INDIRECT("rec.uni[empresa]"),S$6)</f>
        <v>0</v>
      </c>
      <c r="T68" s="166"/>
      <c r="U68" s="166" cm="1">
        <f t="array" ref="U68">SUMPRODUCT(
  IFERROR(--desp[valor],0)*
  (desp[nucleo]="UP VILA SONIA")*
  (desp[categoria]=U$7)*
  (desp[data.pagamento]&gt;=$A68)*
  (desp[data.pagamento]&lt;EOMONTH($A68,0)+1)
)</f>
        <v>0</v>
      </c>
      <c r="V68" s="166" cm="1">
        <f t="array" ref="V68">SUMPRODUCT(
  IFERROR(--desp[valor],0)*
  (desp[nucleo]="UP VILA SONIA")*
  (desp[categoria]=V$7)*
  (desp[data.pagamento]&gt;=$A68)*
  (desp[data.pagamento]&lt;EOMONTH($A68,0)+1)
)</f>
        <v>0</v>
      </c>
      <c r="W68" s="166" cm="1">
        <f t="array" ref="W68">SUMPRODUCT(
  IFERROR(--desp[valor],0)*
  (desp[nucleo]="UP VILA SONIA")*
  (desp[categoria]=W$7)*
  (desp[data.pagamento]&gt;=$A68)*
  (desp[data.pagamento]&lt;EOMONTH($A68,0)+1)
)</f>
        <v>0</v>
      </c>
      <c r="X68" s="166" cm="1">
        <f t="array" ref="X68">SUMPRODUCT(
  IFERROR(--desp[valor],0)*
  (desp[nucleo]="UP VILA SONIA")*
  (desp[categoria]=X$7)*
  (desp[data.pagamento]&gt;=$A68)*
  (desp[data.pagamento]&lt;EOMONTH($A68,0)+1)
)</f>
        <v>0</v>
      </c>
      <c r="Y68" s="166" cm="1">
        <f t="array" ref="Y68">SUMPRODUCT(
  IFERROR(--desp[valor],0)*
  (desp[nucleo]="UP VILA SONIA")*
  (desp[categoria]=Y$7)*
  (desp[data.pagamento]&gt;=$A68)*
  (desp[data.pagamento]&lt;EOMONTH($A68,0)+1)
)</f>
        <v>0</v>
      </c>
      <c r="Z68" s="177">
        <f>COUNTIFS(
    estq[empresa], Z$6,
    estq[Data da venda / reserva], "&gt;=" &amp; $A68,
    estq[Data da venda / reserva], "&lt;"  &amp; EOMONTH($A68,0) + 1
)</f>
        <v>0</v>
      </c>
      <c r="AA68" s="178">
        <f ca="1">SUMIFS(rec.uni[2026-06-01],
INDIRECT("rec.uni[natureza]"),"pro.soluto",
INDIRECT("rec.uni[empresa]"),AA$6)</f>
        <v>0</v>
      </c>
      <c r="AB68" s="182">
        <f ca="1">SUMIFS(rec.uni[2026-06-01],
INDIRECT("rec.uni[natureza]"),"pro.soluto",
INDIRECT("rec.uni[empresa]"),AB$6)</f>
        <v>0</v>
      </c>
      <c r="AC68" s="178">
        <f ca="1">SUMIFS(rec.uni[2026-06-01],
INDIRECT("rec.uni[natureza]"),"taxa.extra",
INDIRECT("rec.uni[empresa]"),AC$6)</f>
        <v>0</v>
      </c>
      <c r="AD68" s="166"/>
      <c r="AE68" s="166" cm="1">
        <f t="array" ref="AE68">SUMPRODUCT(
  IFERROR(--desp[valor],0)*
  (desp[nucleo]="UP CAMPO BELO")*
  (desp[categoria]=AE$7)*
  (desp[data.pagamento]&gt;=$A68)*
  (desp[data.pagamento]&lt;EOMONTH($A68,0)+1)
)</f>
        <v>0</v>
      </c>
      <c r="AF68" s="166" cm="1">
        <f t="array" ref="AF68">SUMPRODUCT(
  IFERROR(--desp[valor],0)*
  (desp[nucleo]="UP CAMPO BELO")*
  (desp[categoria]=AF$7)*
  (desp[data.pagamento]&gt;=$A68)*
  (desp[data.pagamento]&lt;EOMONTH($A68,0)+1)
)</f>
        <v>0</v>
      </c>
      <c r="AG68" s="166" cm="1">
        <f t="array" ref="AG68">SUMPRODUCT(
  IFERROR(--desp[valor],0)*
  (desp[nucleo]="UP CAMPO BELO")*
  (desp[categoria]=AG$7)*
  (desp[data.pagamento]&gt;=$A68)*
  (desp[data.pagamento]&lt;EOMONTH($A68,0)+1)
)</f>
        <v>0</v>
      </c>
      <c r="AH68" s="166" cm="1">
        <f t="array" ref="AH68">SUMPRODUCT(
  IFERROR(--desp[valor],0)*
  (desp[nucleo]="UP CAMPO BELO")*
  (desp[categoria]=AH$7)*
  (desp[data.pagamento]&gt;=$A68)*
  (desp[data.pagamento]&lt;EOMONTH($A68,0)+1)
)</f>
        <v>0</v>
      </c>
      <c r="AI68" s="166" cm="1">
        <f t="array" ref="AI68">SUMPRODUCT(
  IFERROR(--desp[valor],0)*
  (desp[nucleo]="UP CAMPO BELO")*
  (desp[categoria]=AI$7)*
  (desp[data.pagamento]&gt;=$A68)*
  (desp[data.pagamento]&lt;EOMONTH($A68,0)+1)
)</f>
        <v>0</v>
      </c>
      <c r="AJ68" s="177">
        <f>COUNTIFS(
    estq[empresa], AJ$6,
    estq[Data da venda / reserva], "&gt;=" &amp; $A68,
    estq[Data da venda / reserva], "&lt;"  &amp; EOMONTH($A68,0) + 1
)</f>
        <v>0</v>
      </c>
      <c r="AK68" s="178">
        <f ca="1">SUMIFS(rec.uni[2026-06-01],
INDIRECT("rec.uni[natureza]"),"pro.soluto",
INDIRECT("rec.uni[empresa]"),AK$6)</f>
        <v>0</v>
      </c>
      <c r="AL68" s="178">
        <f ca="1">SUMIFS(rec.uni[2026-06-01],
INDIRECT("rec.uni[natureza]"),"repasse.cef.obra",
INDIRECT("rec.uni[empresa]"),AL$6)</f>
        <v>0</v>
      </c>
      <c r="AM68" s="181">
        <f ca="1">SUMIFS(rec.uni[2026-06-01],
INDIRECT("rec.uni[natureza]"),"repasse.cef.terreno",
INDIRECT("rec.uni[empresa]"),AM$6)</f>
        <v>0</v>
      </c>
      <c r="AN68" s="182"/>
      <c r="AO68" s="178">
        <f ca="1">SUMIFS(rec.uni[2026-06-01],
INDIRECT("rec.uni[natureza]"),"taxa.extra",
INDIRECT("rec.uni[empresa]"),AO$6)</f>
        <v>0</v>
      </c>
      <c r="AP68" s="166"/>
      <c r="AQ68" s="166" cm="1">
        <f t="array" ref="AQ68">SUMPRODUCT(
  IFERROR(--desp[valor],0)*
  (desp[nucleo]="UP SELECT VILA SONIA")*
  (desp[categoria]=AQ$7)*
  (desp[data.pagamento]&gt;=$A68)*
  (desp[data.pagamento]&lt;EOMONTH($A68,0)+1)
)</f>
        <v>0</v>
      </c>
      <c r="AR68" s="166" cm="1">
        <f t="array" ref="AR68">SUMPRODUCT(
  IFERROR(--desp[valor],0)*
  (desp[nucleo]="UP SELECT VILA SONIA")*
  (desp[categoria]=AR$7)*
  (desp[data.pagamento]&gt;=$A68)*
  (desp[data.pagamento]&lt;EOMONTH($A68,0)+1)
)</f>
        <v>0</v>
      </c>
      <c r="AS68" s="166" cm="1">
        <f t="array" ref="AS68">SUMPRODUCT(
  IFERROR(--desp[valor],0)*
  (desp[nucleo]="UP SELECT VILA SONIA")*
  (desp[categoria]=AS$7)*
  (desp[data.pagamento]&gt;=$A68)*
  (desp[data.pagamento]&lt;EOMONTH($A68,0)+1)
)</f>
        <v>0</v>
      </c>
      <c r="AT68" s="166" cm="1">
        <f t="array" ref="AT68">SUMPRODUCT(
  IFERROR(--desp[valor],0)*
  (desp[nucleo]="UP SELECT VILA SONIA")*
  (desp[categoria]=AT$7)*
  (desp[data.pagamento]&gt;=$A68)*
  (desp[data.pagamento]&lt;EOMONTH($A68,0)+1)
)</f>
        <v>0</v>
      </c>
      <c r="AU68" s="166" cm="1">
        <f t="array" ref="AU68">SUMPRODUCT(
  IFERROR(--desp[valor],0)*
  (desp[nucleo]="UP SELECT VILA SONIA")*
  (desp[categoria]=AU$7)*
  (desp[data.pagamento]&gt;=$A68)*
  (desp[data.pagamento]&lt;EOMONTH($A68,0)+1)
)</f>
        <v>0</v>
      </c>
      <c r="AV68" s="177">
        <f>COUNTIFS(
    estq[empresa], AV$6,
    estq[Data da venda / reserva], "&gt;=" &amp; $A68,
    estq[Data da venda / reserva], "&lt;"  &amp; EOMONTH($A68,0) + 1
)</f>
        <v>0</v>
      </c>
      <c r="AW68" s="178">
        <f ca="1">SUMIFS(rec.uni[2026-06-01],
INDIRECT("rec.uni[natureza]"),"pro.soluto",
INDIRECT("rec.uni[empresa]"),AW$6)</f>
        <v>0</v>
      </c>
      <c r="AX68" s="178">
        <f ca="1">SUMIFS(rec.uni[2026-06-01],
INDIRECT("rec.uni[natureza]"),"repasse.cef.obra",
INDIRECT("rec.uni[empresa]"),AX$6)</f>
        <v>0</v>
      </c>
      <c r="AY68" s="181">
        <f ca="1">SUMIFS(rec.uni[2026-06-01],
INDIRECT("rec.uni[natureza]"),"repasse.cef.terreno",
INDIRECT("rec.uni[empresa]"),AY$6)</f>
        <v>0</v>
      </c>
      <c r="AZ68" s="182"/>
      <c r="BA68" s="178">
        <f ca="1">SUMIFS(rec.uni[2026-06-01],
INDIRECT("rec.uni[natureza]"),"taxa.extra",
INDIRECT("rec.uni[empresa]"),BA$6)</f>
        <v>0</v>
      </c>
      <c r="BB68" s="166"/>
      <c r="BC68" s="166" cm="1">
        <f t="array" ref="BC68">SUMPRODUCT(
  IFERROR(--desp[valor],0)*
  (desp[nucleo]="UP ESTAÇÃO SÃO LUCAS")*
  (desp[categoria]=BC$7)*
  (desp[data.pagamento]&gt;=$A68)*
  (desp[data.pagamento]&lt;EOMONTH($A68,0)+1)
)</f>
        <v>0</v>
      </c>
      <c r="BD68" s="166" cm="1">
        <f t="array" ref="BD68">SUMPRODUCT(
  IFERROR(--desp[valor],0)*
  (desp[nucleo]="UP ESTAÇÃO SÃO LUCAS")*
  (desp[categoria]=BD$7)*
  (desp[data.pagamento]&gt;=$A68)*
  (desp[data.pagamento]&lt;EOMONTH($A68,0)+1)
)</f>
        <v>0</v>
      </c>
      <c r="BE68" s="166" cm="1">
        <f t="array" ref="BE68">SUMPRODUCT(
  IFERROR(--desp[valor],0)*
  (desp[nucleo]="UP ESTAÇÃO SÃO LUCAS")*
  (desp[categoria]=BE$7)*
  (desp[data.pagamento]&gt;=$A68)*
  (desp[data.pagamento]&lt;EOMONTH($A68,0)+1)
)</f>
        <v>0</v>
      </c>
      <c r="BF68" s="166" cm="1">
        <f t="array" ref="BF68">SUMPRODUCT(
  IFERROR(--desp[valor],0)*
  (desp[nucleo]="UP ESTAÇÃO SÃO LUCAS")*
  (desp[categoria]=BF$7)*
  (desp[data.pagamento]&gt;=$A68)*
  (desp[data.pagamento]&lt;EOMONTH($A68,0)+1)
)</f>
        <v>0</v>
      </c>
      <c r="BG68" s="166" cm="1">
        <f t="array" ref="BG68">SUMPRODUCT(
  IFERROR(--desp[valor],0)*
  (desp[nucleo]="UP ESTAÇÃO SÃO LUCAS")*
  (desp[categoria]=BG$7)*
  (desp[data.pagamento]&gt;=$A68)*
  (desp[data.pagamento]&lt;EOMONTH($A68,0)+1)
)</f>
        <v>0</v>
      </c>
      <c r="BH68" s="177">
        <f>COUNTIFS(
    estq[empresa], BH$6,
    estq[Data da venda / reserva], "&gt;=" &amp; $A68,
    estq[Data da venda / reserva], "&lt;"  &amp; EOMONTH($A68,0) + 1
)</f>
        <v>0</v>
      </c>
      <c r="BI68" s="178">
        <f ca="1">SUMIFS(rec.uni[2026-06-01],
INDIRECT("rec.uni[natureza]"),"pro.soluto",
INDIRECT("rec.uni[empresa]"),BI$6)</f>
        <v>0</v>
      </c>
      <c r="BJ68" s="182">
        <f ca="1">SUMIFS(rec.uni[2026-06-01],
INDIRECT("rec.uni[natureza]"),"parcela.fin.total.ik",
INDIRECT("rec.uni[empresa]"),BJ$6)</f>
        <v>0</v>
      </c>
      <c r="BK68" s="178">
        <f ca="1">SUMIFS(rec.uni[2026-06-01],
INDIRECT("rec.uni[natureza]"),"taxa.extra",
INDIRECT("rec.uni[empresa]"),BK$6)</f>
        <v>0</v>
      </c>
      <c r="BL68" s="166"/>
      <c r="BM68" s="166" cm="1">
        <f t="array" ref="BM68">SUMPRODUCT(
  IFERROR(--desp[valor],0)*
  (desp[nucleo]="UP POMPEIA")*
  (desp[categoria]=BM$7)*
  (desp[data.pagamento]&gt;=$A68)*
  (desp[data.pagamento]&lt;EOMONTH($A68,0)+1)
)</f>
        <v>0</v>
      </c>
      <c r="BN68" s="166" cm="1">
        <f t="array" ref="BN68">SUMPRODUCT(
  IFERROR(--desp[valor],0)*
  (desp[nucleo]="UP POMPEIA")*
  (desp[categoria]=BN$7)*
  (desp[data.pagamento]&gt;=$A68)*
  (desp[data.pagamento]&lt;EOMONTH($A68,0)+1)
)</f>
        <v>0</v>
      </c>
      <c r="BO68" s="166" cm="1">
        <f t="array" ref="BO68">SUMPRODUCT(
  IFERROR(--desp[valor],0)*
  (desp[nucleo]="UP POMPEIA")*
  (desp[categoria]=BO$7)*
  (desp[data.pagamento]&gt;=$A68)*
  (desp[data.pagamento]&lt;EOMONTH($A68,0)+1)
)</f>
        <v>0</v>
      </c>
      <c r="BP68" s="166" cm="1">
        <f t="array" ref="BP68">SUMPRODUCT(
  IFERROR(--desp[valor],0)*
  (desp[nucleo]="UP POMPEIA")*
  (desp[categoria]=BP$7)*
  (desp[data.pagamento]&gt;=$A68)*
  (desp[data.pagamento]&lt;EOMONTH($A68,0)+1)
)</f>
        <v>0</v>
      </c>
      <c r="BQ68" s="166" cm="1">
        <f t="array" ref="BQ68">SUMPRODUCT(
  IFERROR(--desp[valor],0)*
  (desp[nucleo]="UP POMPEIA")*
  (desp[categoria]=BQ$7)*
  (desp[data.pagamento]&gt;=$A68)*
  (desp[data.pagamento]&lt;EOMONTH($A68,0)+1)
)</f>
        <v>0</v>
      </c>
      <c r="BR68" s="177">
        <f>COUNTIFS(
    estq[empresa], BR$6,
    estq[Data da venda / reserva], "&gt;=" &amp; $A68,
    estq[Data da venda / reserva], "&lt;"  &amp; EOMONTH($A68,0) + 1
)</f>
        <v>0</v>
      </c>
      <c r="BS68" s="178">
        <f ca="1">SUMIFS(rec.uni[2026-06-01],
INDIRECT("rec.uni[natureza]"),"pro.soluto",
INDIRECT("rec.uni[empresa]"),BS$6)</f>
        <v>0</v>
      </c>
      <c r="BT68" s="182">
        <f ca="1">SUMIFS(rec.uni[2026-06-01],
INDIRECT("rec.uni[natureza]"),"pro.soluto",
INDIRECT("rec.uni[empresa]"),BT$6)</f>
        <v>0</v>
      </c>
      <c r="BU68" s="178">
        <f ca="1">SUMIFS(rec.uni[2026-06-01],
INDIRECT("rec.uni[natureza]"),"taxa.extra",
INDIRECT("rec.uni[empresa]"),BU$6)</f>
        <v>0</v>
      </c>
      <c r="BV68" s="166"/>
      <c r="BW68" s="166" cm="1">
        <f t="array" ref="BW68">SUMPRODUCT(
  IFERROR(--desp[valor],0)*
  (desp[nucleo]="UP SAUDE")*
  (desp[categoria]=BW$7)*
  (desp[data.pagamento]&gt;=$A68)*
  (desp[data.pagamento]&lt;EOMONTH($A68,0)+1)
)</f>
        <v>0</v>
      </c>
      <c r="BX68" s="166" cm="1">
        <f t="array" ref="BX68">SUMPRODUCT(
  IFERROR(--desp[valor],0)*
  (desp[nucleo]="UP SAUDE")*
  (desp[categoria]=BX$7)*
  (desp[data.pagamento]&gt;=$A68)*
  (desp[data.pagamento]&lt;EOMONTH($A68,0)+1)
)</f>
        <v>0</v>
      </c>
      <c r="BY68" s="166" cm="1">
        <f t="array" ref="BY68">SUMPRODUCT(
  IFERROR(--desp[valor],0)*
  (desp[nucleo]="UP SAUDE")*
  (desp[categoria]=BY$7)*
  (desp[data.pagamento]&gt;=$A68)*
  (desp[data.pagamento]&lt;EOMONTH($A68,0)+1)
)</f>
        <v>0</v>
      </c>
      <c r="BZ68" s="166" cm="1">
        <f t="array" ref="BZ68">SUMPRODUCT(
  IFERROR(--desp[valor],0)*
  (desp[nucleo]="UP SAUDE")*
  (desp[categoria]=BZ$7)*
  (desp[data.pagamento]&gt;=$A68)*
  (desp[data.pagamento]&lt;EOMONTH($A68,0)+1)
)</f>
        <v>0</v>
      </c>
      <c r="CA68" s="166" cm="1">
        <f t="array" ref="CA68">SUMPRODUCT(
  IFERROR(--desp[valor],0)*
  (desp[nucleo]="UP SAUDE")*
  (desp[categoria]=CA$7)*
  (desp[data.pagamento]&gt;=$A68)*
  (desp[data.pagamento]&lt;EOMONTH($A68,0)+1)
)</f>
        <v>0</v>
      </c>
      <c r="CB68" s="177">
        <f>COUNTIFS(
    estq[empresa], CB$6,
    estq[Data da venda / reserva], "&gt;=" &amp; $A68,
    estq[Data da venda / reserva], "&lt;"  &amp; EOMONTH($A68,0) + 1
)</f>
        <v>0</v>
      </c>
      <c r="CC68" s="178">
        <f ca="1">SUMIFS(rec.uni[2026-06-01],
INDIRECT("rec.uni[natureza]"),"pro.soluto",
INDIRECT("rec.uni[empresa]"),CC$6)</f>
        <v>0</v>
      </c>
      <c r="CD68" s="178">
        <f ca="1">SUMIFS(rec.uni[2026-06-01],
INDIRECT("rec.uni[natureza]"),"repasse.cef.obra",
INDIRECT("rec.uni[empresa]"),CD$6)</f>
        <v>0</v>
      </c>
      <c r="CE68" s="181">
        <f ca="1">SUMIFS(rec.uni[2026-06-01],
INDIRECT("rec.uni[natureza]"),"repasse.cef.terreno",
INDIRECT("rec.uni[empresa]"),CE$6)</f>
        <v>0</v>
      </c>
      <c r="CF68" s="182"/>
      <c r="CG68" s="178">
        <f ca="1">SUMIFS(rec.uni[2026-06-01],
INDIRECT("rec.uni[natureza]"),"taxa.extra",
INDIRECT("rec.uni[empresa]"),CG$6)</f>
        <v>0</v>
      </c>
      <c r="CH68" s="166"/>
      <c r="CI68" s="166" cm="1">
        <f t="array" ref="CI68">SUMPRODUCT(
  IFERROR(--desp[valor],0)*
  (desp[nucleo]="UP ESTAÇÃO VILA SONIA")*
  (desp[categoria]=CI$7)*
  (desp[data.pagamento]&gt;=$A68)*
  (desp[data.pagamento]&lt;EOMONTH($A68,0)+1)
)</f>
        <v>0</v>
      </c>
      <c r="CJ68" s="166" cm="1">
        <f t="array" ref="CJ68">SUMPRODUCT(
  IFERROR(--desp[valor],0)*
  (desp[nucleo]="UP ESTAÇÃO VILA SONIA")*
  (desp[categoria]=CJ$7)*
  (desp[data.pagamento]&gt;=$A68)*
  (desp[data.pagamento]&lt;EOMONTH($A68,0)+1)
)</f>
        <v>0</v>
      </c>
      <c r="CK68" s="166" cm="1">
        <f t="array" ref="CK68">SUMPRODUCT(
  IFERROR(--desp[valor],0)*
  (desp[nucleo]="UP ESTAÇÃO VILA SONIA")*
  (desp[categoria]=CK$7)*
  (desp[data.pagamento]&gt;=$A68)*
  (desp[data.pagamento]&lt;EOMONTH($A68,0)+1)
)</f>
        <v>0</v>
      </c>
      <c r="CL68" s="166" cm="1">
        <f t="array" ref="CL68">SUMPRODUCT(
  IFERROR(--desp[valor],0)*
  (desp[nucleo]="UP ESTAÇÃO VILA SONIA")*
  (desp[categoria]=CL$7)*
  (desp[data.pagamento]&gt;=$A68)*
  (desp[data.pagamento]&lt;EOMONTH($A68,0)+1)
)</f>
        <v>0</v>
      </c>
      <c r="CM68" s="166" cm="1">
        <f t="array" ref="CM68">SUMPRODUCT(
  IFERROR(--desp[valor],0)*
  (desp[nucleo]="UP ESTAÇÃO VILA SONIA")*
  (desp[categoria]=CM$7)*
  (desp[data.pagamento]&gt;=$A68)*
  (desp[data.pagamento]&lt;EOMONTH($A68,0)+1)
)</f>
        <v>0</v>
      </c>
      <c r="CN68" s="177">
        <f>COUNTIFS(
    estq[empresa], CN$6,
    estq[Data da venda / reserva], "&gt;=" &amp; $A68,
    estq[Data da venda / reserva], "&lt;"  &amp; EOMONTH($A68,0) + 1
)</f>
        <v>0</v>
      </c>
      <c r="CO68" s="178">
        <f ca="1">SUMIFS(rec.uni[2026-06-01],
INDIRECT("rec.uni[natureza]"),"pro.soluto",
INDIRECT("rec.uni[empresa]"),CO$6)</f>
        <v>0</v>
      </c>
      <c r="CP68" s="178">
        <f ca="1">SUMIFS(rec.uni[2026-06-01],
INDIRECT("rec.uni[natureza]"),"repasse.cef.obra",
INDIRECT("rec.uni[empresa]"),CP$6)</f>
        <v>0</v>
      </c>
      <c r="CQ68" s="181">
        <f ca="1">SUMIFS(rec.uni[2026-06-01],
INDIRECT("rec.uni[natureza]"),"repasse.cef.terreno",
INDIRECT("rec.uni[empresa]"),CQ$6)</f>
        <v>0</v>
      </c>
      <c r="CR68" s="182"/>
      <c r="CS68" s="178">
        <f ca="1">SUMIFS(rec.uni[2026-06-01],
INDIRECT("rec.uni[natureza]"),"taxa.extra",
INDIRECT("rec.uni[empresa]"),CS$6)</f>
        <v>0</v>
      </c>
      <c r="CT68" s="166"/>
      <c r="CU68" s="166" cm="1">
        <f t="array" ref="CU68">SUMPRODUCT(
  IFERROR(--desp[valor],0)*
  (desp[nucleo]="UP MOVE VILA SONIA")*
  (desp[categoria]=CU$7)*
  (desp[data.pagamento]&gt;=$A68)*
  (desp[data.pagamento]&lt;EOMONTH($A68,0)+1)
)</f>
        <v>0</v>
      </c>
      <c r="CV68" s="166" cm="1">
        <f t="array" ref="CV68">SUMPRODUCT(
  IFERROR(--desp[valor],0)*
  (desp[nucleo]="UP MOVE VILA SONIA")*
  (desp[categoria]=CV$7)*
  (desp[data.pagamento]&gt;=$A68)*
  (desp[data.pagamento]&lt;EOMONTH($A68,0)+1)
)</f>
        <v>0</v>
      </c>
      <c r="CW68" s="166" cm="1">
        <f t="array" ref="CW68">SUMPRODUCT(
  IFERROR(--desp[valor],0)*
  (desp[nucleo]="UP MOVE VILA SONIA")*
  (desp[categoria]=CW$7)*
  (desp[data.pagamento]&gt;=$A68)*
  (desp[data.pagamento]&lt;EOMONTH($A68,0)+1)
)</f>
        <v>0</v>
      </c>
      <c r="CX68" s="166" cm="1">
        <f t="array" ref="CX68">SUMPRODUCT(
  IFERROR(--desp[valor],0)*
  (desp[nucleo]="UP MOVE VILA SONIA")*
  (desp[categoria]=CX$7)*
  (desp[data.pagamento]&gt;=$A68)*
  (desp[data.pagamento]&lt;EOMONTH($A68,0)+1)
)</f>
        <v>0</v>
      </c>
      <c r="CY68" s="291" cm="1">
        <f t="array" ref="CY68">SUMPRODUCT(
  IFERROR(--desp[valor],0)*
  (desp[nucleo]="UP MOVE VILA SONIA")*
  (desp[categoria]=CY$7)*
  (desp[data.pagamento]&gt;=$A68)*
  (desp[data.pagamento]&lt;EOMONTH($A68,0)+1)
)</f>
        <v>0</v>
      </c>
    </row>
    <row r="69" spans="1:103" x14ac:dyDescent="0.25">
      <c r="A69" s="176">
        <v>46204</v>
      </c>
      <c r="B69" s="177">
        <f>COUNTIFS(
    estq[empresa], B$6,
    estq[Data da venda / reserva], "&gt;=" &amp; $A69,
    estq[Data da venda / reserva], "&lt;"  &amp; EOMONTH($A69,0) + 1
)</f>
        <v>0</v>
      </c>
      <c r="C69" s="178">
        <f ca="1">SUMIFS(rec.uni[2026-07-01],
INDIRECT("rec.uni[natureza]"),"pro.soluto",
INDIRECT("rec.uni[empresa]"),C$6)</f>
        <v>0</v>
      </c>
      <c r="D69" s="178">
        <f ca="1">SUMIFS(rec.uni[2026-07-01],
INDIRECT("rec.uni[natureza]"),"repasse.cef.obra",
INDIRECT("rec.uni[empresa]"),D$6)</f>
        <v>0</v>
      </c>
      <c r="E69" s="178">
        <f ca="1">SUMIFS(rec.uni[2026-07-01],
INDIRECT("rec.uni[natureza]"),"repasse.cef.terreno",
INDIRECT("rec.uni[empresa]"),E$6)</f>
        <v>0</v>
      </c>
      <c r="F69" s="182"/>
      <c r="G69" s="178">
        <f ca="1">SUMIFS(rec.uni[2026-07-01],
INDIRECT("rec.uni[natureza]"),"taxa.extra",
INDIRECT("rec.uni[empresa]"),G$6)</f>
        <v>0</v>
      </c>
      <c r="H69" s="166"/>
      <c r="I69" s="166" cm="1">
        <f t="array" ref="I69">SUMPRODUCT(
  IFERROR(--desp[valor],0)*
  (desp[nucleo]="UP JARDIM PRUDENCIA")*
  (desp[categoria]=I$7)*
  (desp[data.pagamento]&gt;=$A69)*
  (desp[data.pagamento]&lt;EOMONTH($A69,0)+1)
)</f>
        <v>0</v>
      </c>
      <c r="J69" s="166" cm="1">
        <f t="array" ref="J69">SUMPRODUCT(
  IFERROR(--desp[valor],0)*
  (desp[nucleo]="UP JARDIM PRUDENCIA")*
  (desp[categoria]=J$7)*
  (desp[data.pagamento]&gt;=$A69)*
  (desp[data.pagamento]&lt;EOMONTH($A69,0)+1)
)</f>
        <v>0</v>
      </c>
      <c r="K69" s="166" cm="1">
        <f t="array" ref="K69">SUMPRODUCT(
  IFERROR(--desp[valor],0)*
  (desp[nucleo]="UP JARDIM PRUDENCIA")*
  (desp[categoria]=K$7)*
  (desp[data.pagamento]&gt;=$A69)*
  (desp[data.pagamento]&lt;EOMONTH($A69,0)+1)
)</f>
        <v>0</v>
      </c>
      <c r="L69" s="166" cm="1">
        <f t="array" ref="L69">SUMPRODUCT(
  IFERROR(--desp[valor],0)*
  (desp[nucleo]="UP JARDIM PRUDENCIA")*
  (desp[categoria]=L$7)*
  (desp[data.pagamento]&gt;=$A69)*
  (desp[data.pagamento]&lt;EOMONTH($A69,0)+1)
)</f>
        <v>0</v>
      </c>
      <c r="M69" s="166" cm="1">
        <f t="array" ref="M69">SUMPRODUCT(
  IFERROR(--desp[valor],0)*
  (desp[nucleo]="UP JARDIM PRUDENCIA")*
  (desp[categoria]=M$7)*
  (desp[data.pagamento]&gt;=$A69)*
  (desp[data.pagamento]&lt;EOMONTH($A69,0)+1)
)</f>
        <v>0</v>
      </c>
      <c r="N69" s="177">
        <f>COUNTIFS(
    estq[empresa], N$6,
    estq[Data da venda / reserva], "&gt;=" &amp; $A69,
    estq[Data da venda / reserva], "&lt;"  &amp; EOMONTH($A69,0) + 1
)</f>
        <v>0</v>
      </c>
      <c r="O69" s="178">
        <f ca="1">SUMIFS(rec.uni[2026-07-01],
INDIRECT("rec.uni[natureza]"),"pro.soluto",
INDIRECT("rec.uni[empresa]"),O$6)</f>
        <v>0</v>
      </c>
      <c r="P69" s="178">
        <f ca="1">SUMIFS(rec.uni[2026-07-01],
INDIRECT("rec.uni[natureza]"),"repasse.cef.obra",
INDIRECT("rec.uni[empresa]"),P$6)</f>
        <v>0</v>
      </c>
      <c r="Q69" s="178">
        <f ca="1">SUMIFS(rec.uni[2026-07-01],
INDIRECT("rec.uni[natureza]"),"repasse.cef.terreno",
INDIRECT("rec.uni[empresa]"),Q$6)</f>
        <v>0</v>
      </c>
      <c r="R69" s="182"/>
      <c r="S69" s="178">
        <f ca="1">SUMIFS(rec.uni[2026-07-01],
INDIRECT("rec.uni[natureza]"),"taxa.extra",
INDIRECT("rec.uni[empresa]"),S$6)</f>
        <v>0</v>
      </c>
      <c r="T69" s="166"/>
      <c r="U69" s="166" cm="1">
        <f t="array" ref="U69">SUMPRODUCT(
  IFERROR(--desp[valor],0)*
  (desp[nucleo]="UP VILA SONIA")*
  (desp[categoria]=U$7)*
  (desp[data.pagamento]&gt;=$A69)*
  (desp[data.pagamento]&lt;EOMONTH($A69,0)+1)
)</f>
        <v>0</v>
      </c>
      <c r="V69" s="166" cm="1">
        <f t="array" ref="V69">SUMPRODUCT(
  IFERROR(--desp[valor],0)*
  (desp[nucleo]="UP VILA SONIA")*
  (desp[categoria]=V$7)*
  (desp[data.pagamento]&gt;=$A69)*
  (desp[data.pagamento]&lt;EOMONTH($A69,0)+1)
)</f>
        <v>0</v>
      </c>
      <c r="W69" s="166" cm="1">
        <f t="array" ref="W69">SUMPRODUCT(
  IFERROR(--desp[valor],0)*
  (desp[nucleo]="UP VILA SONIA")*
  (desp[categoria]=W$7)*
  (desp[data.pagamento]&gt;=$A69)*
  (desp[data.pagamento]&lt;EOMONTH($A69,0)+1)
)</f>
        <v>0</v>
      </c>
      <c r="X69" s="166" cm="1">
        <f t="array" ref="X69">SUMPRODUCT(
  IFERROR(--desp[valor],0)*
  (desp[nucleo]="UP VILA SONIA")*
  (desp[categoria]=X$7)*
  (desp[data.pagamento]&gt;=$A69)*
  (desp[data.pagamento]&lt;EOMONTH($A69,0)+1)
)</f>
        <v>0</v>
      </c>
      <c r="Y69" s="166" cm="1">
        <f t="array" ref="Y69">SUMPRODUCT(
  IFERROR(--desp[valor],0)*
  (desp[nucleo]="UP VILA SONIA")*
  (desp[categoria]=Y$7)*
  (desp[data.pagamento]&gt;=$A69)*
  (desp[data.pagamento]&lt;EOMONTH($A69,0)+1)
)</f>
        <v>0</v>
      </c>
      <c r="Z69" s="177">
        <f>COUNTIFS(
    estq[empresa], Z$6,
    estq[Data da venda / reserva], "&gt;=" &amp; $A69,
    estq[Data da venda / reserva], "&lt;"  &amp; EOMONTH($A69,0) + 1
)</f>
        <v>0</v>
      </c>
      <c r="AA69" s="178">
        <f ca="1">SUMIFS(rec.uni[2026-07-01],
INDIRECT("rec.uni[natureza]"),"pro.soluto",
INDIRECT("rec.uni[empresa]"),AA$6)</f>
        <v>0</v>
      </c>
      <c r="AB69" s="182">
        <f ca="1">SUMIFS(rec.uni[2026-07-01],
INDIRECT("rec.uni[natureza]"),"pro.soluto",
INDIRECT("rec.uni[empresa]"),AB$6)</f>
        <v>0</v>
      </c>
      <c r="AC69" s="178">
        <f ca="1">SUMIFS(rec.uni[2026-07-01],
INDIRECT("rec.uni[natureza]"),"taxa.extra",
INDIRECT("rec.uni[empresa]"),AC$6)</f>
        <v>0</v>
      </c>
      <c r="AD69" s="166"/>
      <c r="AE69" s="166" cm="1">
        <f t="array" ref="AE69">SUMPRODUCT(
  IFERROR(--desp[valor],0)*
  (desp[nucleo]="UP CAMPO BELO")*
  (desp[categoria]=AE$7)*
  (desp[data.pagamento]&gt;=$A69)*
  (desp[data.pagamento]&lt;EOMONTH($A69,0)+1)
)</f>
        <v>0</v>
      </c>
      <c r="AF69" s="166" cm="1">
        <f t="array" ref="AF69">SUMPRODUCT(
  IFERROR(--desp[valor],0)*
  (desp[nucleo]="UP CAMPO BELO")*
  (desp[categoria]=AF$7)*
  (desp[data.pagamento]&gt;=$A69)*
  (desp[data.pagamento]&lt;EOMONTH($A69,0)+1)
)</f>
        <v>0</v>
      </c>
      <c r="AG69" s="166" cm="1">
        <f t="array" ref="AG69">SUMPRODUCT(
  IFERROR(--desp[valor],0)*
  (desp[nucleo]="UP CAMPO BELO")*
  (desp[categoria]=AG$7)*
  (desp[data.pagamento]&gt;=$A69)*
  (desp[data.pagamento]&lt;EOMONTH($A69,0)+1)
)</f>
        <v>0</v>
      </c>
      <c r="AH69" s="166" cm="1">
        <f t="array" ref="AH69">SUMPRODUCT(
  IFERROR(--desp[valor],0)*
  (desp[nucleo]="UP CAMPO BELO")*
  (desp[categoria]=AH$7)*
  (desp[data.pagamento]&gt;=$A69)*
  (desp[data.pagamento]&lt;EOMONTH($A69,0)+1)
)</f>
        <v>0</v>
      </c>
      <c r="AI69" s="166" cm="1">
        <f t="array" ref="AI69">SUMPRODUCT(
  IFERROR(--desp[valor],0)*
  (desp[nucleo]="UP CAMPO BELO")*
  (desp[categoria]=AI$7)*
  (desp[data.pagamento]&gt;=$A69)*
  (desp[data.pagamento]&lt;EOMONTH($A69,0)+1)
)</f>
        <v>0</v>
      </c>
      <c r="AJ69" s="177">
        <f>COUNTIFS(
    estq[empresa], AJ$6,
    estq[Data da venda / reserva], "&gt;=" &amp; $A69,
    estq[Data da venda / reserva], "&lt;"  &amp; EOMONTH($A69,0) + 1
)</f>
        <v>0</v>
      </c>
      <c r="AK69" s="178">
        <f ca="1">SUMIFS(rec.uni[2026-07-01],
INDIRECT("rec.uni[natureza]"),"pro.soluto",
INDIRECT("rec.uni[empresa]"),AK$6)</f>
        <v>0</v>
      </c>
      <c r="AL69" s="178">
        <f ca="1">SUMIFS(rec.uni[2026-07-01],
INDIRECT("rec.uni[natureza]"),"repasse.cef.obra",
INDIRECT("rec.uni[empresa]"),AL$6)</f>
        <v>0</v>
      </c>
      <c r="AM69" s="181">
        <f ca="1">SUMIFS(rec.uni[2026-07-01],
INDIRECT("rec.uni[natureza]"),"repasse.cef.terreno",
INDIRECT("rec.uni[empresa]"),AM$6)</f>
        <v>0</v>
      </c>
      <c r="AN69" s="182"/>
      <c r="AO69" s="178">
        <f ca="1">SUMIFS(rec.uni[2026-07-01],
INDIRECT("rec.uni[natureza]"),"taxa.extra",
INDIRECT("rec.uni[empresa]"),AO$6)</f>
        <v>0</v>
      </c>
      <c r="AP69" s="166"/>
      <c r="AQ69" s="166" cm="1">
        <f t="array" ref="AQ69">SUMPRODUCT(
  IFERROR(--desp[valor],0)*
  (desp[nucleo]="UP SELECT VILA SONIA")*
  (desp[categoria]=AQ$7)*
  (desp[data.pagamento]&gt;=$A69)*
  (desp[data.pagamento]&lt;EOMONTH($A69,0)+1)
)</f>
        <v>0</v>
      </c>
      <c r="AR69" s="166" cm="1">
        <f t="array" ref="AR69">SUMPRODUCT(
  IFERROR(--desp[valor],0)*
  (desp[nucleo]="UP SELECT VILA SONIA")*
  (desp[categoria]=AR$7)*
  (desp[data.pagamento]&gt;=$A69)*
  (desp[data.pagamento]&lt;EOMONTH($A69,0)+1)
)</f>
        <v>0</v>
      </c>
      <c r="AS69" s="166" cm="1">
        <f t="array" ref="AS69">SUMPRODUCT(
  IFERROR(--desp[valor],0)*
  (desp[nucleo]="UP SELECT VILA SONIA")*
  (desp[categoria]=AS$7)*
  (desp[data.pagamento]&gt;=$A69)*
  (desp[data.pagamento]&lt;EOMONTH($A69,0)+1)
)</f>
        <v>0</v>
      </c>
      <c r="AT69" s="166" cm="1">
        <f t="array" ref="AT69">SUMPRODUCT(
  IFERROR(--desp[valor],0)*
  (desp[nucleo]="UP SELECT VILA SONIA")*
  (desp[categoria]=AT$7)*
  (desp[data.pagamento]&gt;=$A69)*
  (desp[data.pagamento]&lt;EOMONTH($A69,0)+1)
)</f>
        <v>0</v>
      </c>
      <c r="AU69" s="166" cm="1">
        <f t="array" ref="AU69">SUMPRODUCT(
  IFERROR(--desp[valor],0)*
  (desp[nucleo]="UP SELECT VILA SONIA")*
  (desp[categoria]=AU$7)*
  (desp[data.pagamento]&gt;=$A69)*
  (desp[data.pagamento]&lt;EOMONTH($A69,0)+1)
)</f>
        <v>0</v>
      </c>
      <c r="AV69" s="177">
        <f>COUNTIFS(
    estq[empresa], AV$6,
    estq[Data da venda / reserva], "&gt;=" &amp; $A69,
    estq[Data da venda / reserva], "&lt;"  &amp; EOMONTH($A69,0) + 1
)</f>
        <v>0</v>
      </c>
      <c r="AW69" s="178">
        <f ca="1">SUMIFS(rec.uni[2026-07-01],
INDIRECT("rec.uni[natureza]"),"pro.soluto",
INDIRECT("rec.uni[empresa]"),AW$6)</f>
        <v>0</v>
      </c>
      <c r="AX69" s="178">
        <f ca="1">SUMIFS(rec.uni[2026-07-01],
INDIRECT("rec.uni[natureza]"),"repasse.cef.obra",
INDIRECT("rec.uni[empresa]"),AX$6)</f>
        <v>0</v>
      </c>
      <c r="AY69" s="181">
        <f ca="1">SUMIFS(rec.uni[2026-07-01],
INDIRECT("rec.uni[natureza]"),"repasse.cef.terreno",
INDIRECT("rec.uni[empresa]"),AY$6)</f>
        <v>0</v>
      </c>
      <c r="AZ69" s="182"/>
      <c r="BA69" s="178">
        <f ca="1">SUMIFS(rec.uni[2026-07-01],
INDIRECT("rec.uni[natureza]"),"taxa.extra",
INDIRECT("rec.uni[empresa]"),BA$6)</f>
        <v>0</v>
      </c>
      <c r="BB69" s="166"/>
      <c r="BC69" s="166" cm="1">
        <f t="array" ref="BC69">SUMPRODUCT(
  IFERROR(--desp[valor],0)*
  (desp[nucleo]="UP ESTAÇÃO SÃO LUCAS")*
  (desp[categoria]=BC$7)*
  (desp[data.pagamento]&gt;=$A69)*
  (desp[data.pagamento]&lt;EOMONTH($A69,0)+1)
)</f>
        <v>0</v>
      </c>
      <c r="BD69" s="166" cm="1">
        <f t="array" ref="BD69">SUMPRODUCT(
  IFERROR(--desp[valor],0)*
  (desp[nucleo]="UP ESTAÇÃO SÃO LUCAS")*
  (desp[categoria]=BD$7)*
  (desp[data.pagamento]&gt;=$A69)*
  (desp[data.pagamento]&lt;EOMONTH($A69,0)+1)
)</f>
        <v>0</v>
      </c>
      <c r="BE69" s="166" cm="1">
        <f t="array" ref="BE69">SUMPRODUCT(
  IFERROR(--desp[valor],0)*
  (desp[nucleo]="UP ESTAÇÃO SÃO LUCAS")*
  (desp[categoria]=BE$7)*
  (desp[data.pagamento]&gt;=$A69)*
  (desp[data.pagamento]&lt;EOMONTH($A69,0)+1)
)</f>
        <v>0</v>
      </c>
      <c r="BF69" s="166" cm="1">
        <f t="array" ref="BF69">SUMPRODUCT(
  IFERROR(--desp[valor],0)*
  (desp[nucleo]="UP ESTAÇÃO SÃO LUCAS")*
  (desp[categoria]=BF$7)*
  (desp[data.pagamento]&gt;=$A69)*
  (desp[data.pagamento]&lt;EOMONTH($A69,0)+1)
)</f>
        <v>0</v>
      </c>
      <c r="BG69" s="166" cm="1">
        <f t="array" ref="BG69">SUMPRODUCT(
  IFERROR(--desp[valor],0)*
  (desp[nucleo]="UP ESTAÇÃO SÃO LUCAS")*
  (desp[categoria]=BG$7)*
  (desp[data.pagamento]&gt;=$A69)*
  (desp[data.pagamento]&lt;EOMONTH($A69,0)+1)
)</f>
        <v>0</v>
      </c>
      <c r="BH69" s="177">
        <f>COUNTIFS(
    estq[empresa], BH$6,
    estq[Data da venda / reserva], "&gt;=" &amp; $A69,
    estq[Data da venda / reserva], "&lt;"  &amp; EOMONTH($A69,0) + 1
)</f>
        <v>0</v>
      </c>
      <c r="BI69" s="178">
        <f ca="1">SUMIFS(rec.uni[2026-07-01],
INDIRECT("rec.uni[natureza]"),"pro.soluto",
INDIRECT("rec.uni[empresa]"),BI$6)</f>
        <v>0</v>
      </c>
      <c r="BJ69" s="182">
        <f ca="1">SUMIFS(rec.uni[2026-07-01],
INDIRECT("rec.uni[natureza]"),"parcela.fin.total.ik",
INDIRECT("rec.uni[empresa]"),BJ$6)</f>
        <v>0</v>
      </c>
      <c r="BK69" s="178">
        <f ca="1">SUMIFS(rec.uni[2026-07-01],
INDIRECT("rec.uni[natureza]"),"taxa.extra",
INDIRECT("rec.uni[empresa]"),BK$6)</f>
        <v>0</v>
      </c>
      <c r="BL69" s="166"/>
      <c r="BM69" s="166" cm="1">
        <f t="array" ref="BM69">SUMPRODUCT(
  IFERROR(--desp[valor],0)*
  (desp[nucleo]="UP POMPEIA")*
  (desp[categoria]=BM$7)*
  (desp[data.pagamento]&gt;=$A69)*
  (desp[data.pagamento]&lt;EOMONTH($A69,0)+1)
)</f>
        <v>0</v>
      </c>
      <c r="BN69" s="166" cm="1">
        <f t="array" ref="BN69">SUMPRODUCT(
  IFERROR(--desp[valor],0)*
  (desp[nucleo]="UP POMPEIA")*
  (desp[categoria]=BN$7)*
  (desp[data.pagamento]&gt;=$A69)*
  (desp[data.pagamento]&lt;EOMONTH($A69,0)+1)
)</f>
        <v>0</v>
      </c>
      <c r="BO69" s="166" cm="1">
        <f t="array" ref="BO69">SUMPRODUCT(
  IFERROR(--desp[valor],0)*
  (desp[nucleo]="UP POMPEIA")*
  (desp[categoria]=BO$7)*
  (desp[data.pagamento]&gt;=$A69)*
  (desp[data.pagamento]&lt;EOMONTH($A69,0)+1)
)</f>
        <v>0</v>
      </c>
      <c r="BP69" s="166" cm="1">
        <f t="array" ref="BP69">SUMPRODUCT(
  IFERROR(--desp[valor],0)*
  (desp[nucleo]="UP POMPEIA")*
  (desp[categoria]=BP$7)*
  (desp[data.pagamento]&gt;=$A69)*
  (desp[data.pagamento]&lt;EOMONTH($A69,0)+1)
)</f>
        <v>0</v>
      </c>
      <c r="BQ69" s="166" cm="1">
        <f t="array" ref="BQ69">SUMPRODUCT(
  IFERROR(--desp[valor],0)*
  (desp[nucleo]="UP POMPEIA")*
  (desp[categoria]=BQ$7)*
  (desp[data.pagamento]&gt;=$A69)*
  (desp[data.pagamento]&lt;EOMONTH($A69,0)+1)
)</f>
        <v>0</v>
      </c>
      <c r="BR69" s="177">
        <f>COUNTIFS(
    estq[empresa], BR$6,
    estq[Data da venda / reserva], "&gt;=" &amp; $A69,
    estq[Data da venda / reserva], "&lt;"  &amp; EOMONTH($A69,0) + 1
)</f>
        <v>0</v>
      </c>
      <c r="BS69" s="178">
        <f ca="1">SUMIFS(rec.uni[2026-07-01],
INDIRECT("rec.uni[natureza]"),"pro.soluto",
INDIRECT("rec.uni[empresa]"),BS$6)</f>
        <v>0</v>
      </c>
      <c r="BT69" s="182">
        <f ca="1">SUMIFS(rec.uni[2026-07-01],
INDIRECT("rec.uni[natureza]"),"pro.soluto",
INDIRECT("rec.uni[empresa]"),BT$6)</f>
        <v>0</v>
      </c>
      <c r="BU69" s="178">
        <f ca="1">SUMIFS(rec.uni[2026-07-01],
INDIRECT("rec.uni[natureza]"),"taxa.extra",
INDIRECT("rec.uni[empresa]"),BU$6)</f>
        <v>0</v>
      </c>
      <c r="BV69" s="166"/>
      <c r="BW69" s="166" cm="1">
        <f t="array" ref="BW69">SUMPRODUCT(
  IFERROR(--desp[valor],0)*
  (desp[nucleo]="UP SAUDE")*
  (desp[categoria]=BW$7)*
  (desp[data.pagamento]&gt;=$A69)*
  (desp[data.pagamento]&lt;EOMONTH($A69,0)+1)
)</f>
        <v>0</v>
      </c>
      <c r="BX69" s="166" cm="1">
        <f t="array" ref="BX69">SUMPRODUCT(
  IFERROR(--desp[valor],0)*
  (desp[nucleo]="UP SAUDE")*
  (desp[categoria]=BX$7)*
  (desp[data.pagamento]&gt;=$A69)*
  (desp[data.pagamento]&lt;EOMONTH($A69,0)+1)
)</f>
        <v>0</v>
      </c>
      <c r="BY69" s="166" cm="1">
        <f t="array" ref="BY69">SUMPRODUCT(
  IFERROR(--desp[valor],0)*
  (desp[nucleo]="UP SAUDE")*
  (desp[categoria]=BY$7)*
  (desp[data.pagamento]&gt;=$A69)*
  (desp[data.pagamento]&lt;EOMONTH($A69,0)+1)
)</f>
        <v>0</v>
      </c>
      <c r="BZ69" s="166" cm="1">
        <f t="array" ref="BZ69">SUMPRODUCT(
  IFERROR(--desp[valor],0)*
  (desp[nucleo]="UP SAUDE")*
  (desp[categoria]=BZ$7)*
  (desp[data.pagamento]&gt;=$A69)*
  (desp[data.pagamento]&lt;EOMONTH($A69,0)+1)
)</f>
        <v>0</v>
      </c>
      <c r="CA69" s="166" cm="1">
        <f t="array" ref="CA69">SUMPRODUCT(
  IFERROR(--desp[valor],0)*
  (desp[nucleo]="UP SAUDE")*
  (desp[categoria]=CA$7)*
  (desp[data.pagamento]&gt;=$A69)*
  (desp[data.pagamento]&lt;EOMONTH($A69,0)+1)
)</f>
        <v>0</v>
      </c>
      <c r="CB69" s="177">
        <f>COUNTIFS(
    estq[empresa], CB$6,
    estq[Data da venda / reserva], "&gt;=" &amp; $A69,
    estq[Data da venda / reserva], "&lt;"  &amp; EOMONTH($A69,0) + 1
)</f>
        <v>0</v>
      </c>
      <c r="CC69" s="178">
        <f ca="1">SUMIFS(rec.uni[2026-07-01],
INDIRECT("rec.uni[natureza]"),"pro.soluto",
INDIRECT("rec.uni[empresa]"),CC$6)</f>
        <v>0</v>
      </c>
      <c r="CD69" s="178">
        <f ca="1">SUMIFS(rec.uni[2026-07-01],
INDIRECT("rec.uni[natureza]"),"repasse.cef.obra",
INDIRECT("rec.uni[empresa]"),CD$6)</f>
        <v>0</v>
      </c>
      <c r="CE69" s="181">
        <f ca="1">SUMIFS(rec.uni[2026-07-01],
INDIRECT("rec.uni[natureza]"),"repasse.cef.terreno",
INDIRECT("rec.uni[empresa]"),CE$6)</f>
        <v>0</v>
      </c>
      <c r="CF69" s="182"/>
      <c r="CG69" s="178">
        <f ca="1">SUMIFS(rec.uni[2026-07-01],
INDIRECT("rec.uni[natureza]"),"taxa.extra",
INDIRECT("rec.uni[empresa]"),CG$6)</f>
        <v>0</v>
      </c>
      <c r="CH69" s="166"/>
      <c r="CI69" s="166" cm="1">
        <f t="array" ref="CI69">SUMPRODUCT(
  IFERROR(--desp[valor],0)*
  (desp[nucleo]="UP ESTAÇÃO VILA SONIA")*
  (desp[categoria]=CI$7)*
  (desp[data.pagamento]&gt;=$A69)*
  (desp[data.pagamento]&lt;EOMONTH($A69,0)+1)
)</f>
        <v>0</v>
      </c>
      <c r="CJ69" s="166" cm="1">
        <f t="array" ref="CJ69">SUMPRODUCT(
  IFERROR(--desp[valor],0)*
  (desp[nucleo]="UP ESTAÇÃO VILA SONIA")*
  (desp[categoria]=CJ$7)*
  (desp[data.pagamento]&gt;=$A69)*
  (desp[data.pagamento]&lt;EOMONTH($A69,0)+1)
)</f>
        <v>0</v>
      </c>
      <c r="CK69" s="166" cm="1">
        <f t="array" ref="CK69">SUMPRODUCT(
  IFERROR(--desp[valor],0)*
  (desp[nucleo]="UP ESTAÇÃO VILA SONIA")*
  (desp[categoria]=CK$7)*
  (desp[data.pagamento]&gt;=$A69)*
  (desp[data.pagamento]&lt;EOMONTH($A69,0)+1)
)</f>
        <v>0</v>
      </c>
      <c r="CL69" s="166" cm="1">
        <f t="array" ref="CL69">SUMPRODUCT(
  IFERROR(--desp[valor],0)*
  (desp[nucleo]="UP ESTAÇÃO VILA SONIA")*
  (desp[categoria]=CL$7)*
  (desp[data.pagamento]&gt;=$A69)*
  (desp[data.pagamento]&lt;EOMONTH($A69,0)+1)
)</f>
        <v>0</v>
      </c>
      <c r="CM69" s="166" cm="1">
        <f t="array" ref="CM69">SUMPRODUCT(
  IFERROR(--desp[valor],0)*
  (desp[nucleo]="UP ESTAÇÃO VILA SONIA")*
  (desp[categoria]=CM$7)*
  (desp[data.pagamento]&gt;=$A69)*
  (desp[data.pagamento]&lt;EOMONTH($A69,0)+1)
)</f>
        <v>0</v>
      </c>
      <c r="CN69" s="177">
        <f>COUNTIFS(
    estq[empresa], CN$6,
    estq[Data da venda / reserva], "&gt;=" &amp; $A69,
    estq[Data da venda / reserva], "&lt;"  &amp; EOMONTH($A69,0) + 1
)</f>
        <v>0</v>
      </c>
      <c r="CO69" s="178">
        <f ca="1">SUMIFS(rec.uni[2026-07-01],
INDIRECT("rec.uni[natureza]"),"pro.soluto",
INDIRECT("rec.uni[empresa]"),CO$6)</f>
        <v>0</v>
      </c>
      <c r="CP69" s="178">
        <f ca="1">SUMIFS(rec.uni[2026-07-01],
INDIRECT("rec.uni[natureza]"),"repasse.cef.obra",
INDIRECT("rec.uni[empresa]"),CP$6)</f>
        <v>0</v>
      </c>
      <c r="CQ69" s="181">
        <f ca="1">SUMIFS(rec.uni[2026-07-01],
INDIRECT("rec.uni[natureza]"),"repasse.cef.terreno",
INDIRECT("rec.uni[empresa]"),CQ$6)</f>
        <v>0</v>
      </c>
      <c r="CR69" s="182"/>
      <c r="CS69" s="178">
        <f ca="1">SUMIFS(rec.uni[2026-07-01],
INDIRECT("rec.uni[natureza]"),"taxa.extra",
INDIRECT("rec.uni[empresa]"),CS$6)</f>
        <v>0</v>
      </c>
      <c r="CT69" s="166"/>
      <c r="CU69" s="166" cm="1">
        <f t="array" ref="CU69">SUMPRODUCT(
  IFERROR(--desp[valor],0)*
  (desp[nucleo]="UP MOVE VILA SONIA")*
  (desp[categoria]=CU$7)*
  (desp[data.pagamento]&gt;=$A69)*
  (desp[data.pagamento]&lt;EOMONTH($A69,0)+1)
)</f>
        <v>0</v>
      </c>
      <c r="CV69" s="166" cm="1">
        <f t="array" ref="CV69">SUMPRODUCT(
  IFERROR(--desp[valor],0)*
  (desp[nucleo]="UP MOVE VILA SONIA")*
  (desp[categoria]=CV$7)*
  (desp[data.pagamento]&gt;=$A69)*
  (desp[data.pagamento]&lt;EOMONTH($A69,0)+1)
)</f>
        <v>0</v>
      </c>
      <c r="CW69" s="166" cm="1">
        <f t="array" ref="CW69">SUMPRODUCT(
  IFERROR(--desp[valor],0)*
  (desp[nucleo]="UP MOVE VILA SONIA")*
  (desp[categoria]=CW$7)*
  (desp[data.pagamento]&gt;=$A69)*
  (desp[data.pagamento]&lt;EOMONTH($A69,0)+1)
)</f>
        <v>0</v>
      </c>
      <c r="CX69" s="166" cm="1">
        <f t="array" ref="CX69">SUMPRODUCT(
  IFERROR(--desp[valor],0)*
  (desp[nucleo]="UP MOVE VILA SONIA")*
  (desp[categoria]=CX$7)*
  (desp[data.pagamento]&gt;=$A69)*
  (desp[data.pagamento]&lt;EOMONTH($A69,0)+1)
)</f>
        <v>0</v>
      </c>
      <c r="CY69" s="291" cm="1">
        <f t="array" ref="CY69">SUMPRODUCT(
  IFERROR(--desp[valor],0)*
  (desp[nucleo]="UP MOVE VILA SONIA")*
  (desp[categoria]=CY$7)*
  (desp[data.pagamento]&gt;=$A69)*
  (desp[data.pagamento]&lt;EOMONTH($A69,0)+1)
)</f>
        <v>0</v>
      </c>
    </row>
    <row r="70" spans="1:103" x14ac:dyDescent="0.25">
      <c r="A70" s="176">
        <v>46235</v>
      </c>
      <c r="B70" s="177">
        <f>COUNTIFS(
    estq[empresa], B$6,
    estq[Data da venda / reserva], "&gt;=" &amp; $A70,
    estq[Data da venda / reserva], "&lt;"  &amp; EOMONTH($A70,0) + 1
)</f>
        <v>0</v>
      </c>
      <c r="C70" s="178">
        <f ca="1">SUMIFS(rec.uni[2026-08-01],
INDIRECT("rec.uni[natureza]"),"pro.soluto",
INDIRECT("rec.uni[empresa]"),C$6)</f>
        <v>0</v>
      </c>
      <c r="D70" s="178">
        <f ca="1">SUMIFS(rec.uni[2026-08-01],
INDIRECT("rec.uni[natureza]"),"repasse.cef.obra",
INDIRECT("rec.uni[empresa]"),D$6)</f>
        <v>0</v>
      </c>
      <c r="E70" s="178">
        <f ca="1">SUMIFS(rec.uni[2026-08-01],
INDIRECT("rec.uni[natureza]"),"repasse.cef.terreno",
INDIRECT("rec.uni[empresa]"),E$6)</f>
        <v>0</v>
      </c>
      <c r="F70" s="182"/>
      <c r="G70" s="178">
        <f ca="1">SUMIFS(rec.uni[2026-08-01],
INDIRECT("rec.uni[natureza]"),"taxa.extra",
INDIRECT("rec.uni[empresa]"),G$6)</f>
        <v>0</v>
      </c>
      <c r="H70" s="166"/>
      <c r="I70" s="166" cm="1">
        <f t="array" ref="I70">SUMPRODUCT(
  IFERROR(--desp[valor],0)*
  (desp[nucleo]="UP JARDIM PRUDENCIA")*
  (desp[categoria]=I$7)*
  (desp[data.pagamento]&gt;=$A70)*
  (desp[data.pagamento]&lt;EOMONTH($A70,0)+1)
)</f>
        <v>0</v>
      </c>
      <c r="J70" s="166" cm="1">
        <f t="array" ref="J70">SUMPRODUCT(
  IFERROR(--desp[valor],0)*
  (desp[nucleo]="UP JARDIM PRUDENCIA")*
  (desp[categoria]=J$7)*
  (desp[data.pagamento]&gt;=$A70)*
  (desp[data.pagamento]&lt;EOMONTH($A70,0)+1)
)</f>
        <v>0</v>
      </c>
      <c r="K70" s="166" cm="1">
        <f t="array" ref="K70">SUMPRODUCT(
  IFERROR(--desp[valor],0)*
  (desp[nucleo]="UP JARDIM PRUDENCIA")*
  (desp[categoria]=K$7)*
  (desp[data.pagamento]&gt;=$A70)*
  (desp[data.pagamento]&lt;EOMONTH($A70,0)+1)
)</f>
        <v>0</v>
      </c>
      <c r="L70" s="166" cm="1">
        <f t="array" ref="L70">SUMPRODUCT(
  IFERROR(--desp[valor],0)*
  (desp[nucleo]="UP JARDIM PRUDENCIA")*
  (desp[categoria]=L$7)*
  (desp[data.pagamento]&gt;=$A70)*
  (desp[data.pagamento]&lt;EOMONTH($A70,0)+1)
)</f>
        <v>0</v>
      </c>
      <c r="M70" s="166" cm="1">
        <f t="array" ref="M70">SUMPRODUCT(
  IFERROR(--desp[valor],0)*
  (desp[nucleo]="UP JARDIM PRUDENCIA")*
  (desp[categoria]=M$7)*
  (desp[data.pagamento]&gt;=$A70)*
  (desp[data.pagamento]&lt;EOMONTH($A70,0)+1)
)</f>
        <v>0</v>
      </c>
      <c r="N70" s="177">
        <f>COUNTIFS(
    estq[empresa], N$6,
    estq[Data da venda / reserva], "&gt;=" &amp; $A70,
    estq[Data da venda / reserva], "&lt;"  &amp; EOMONTH($A70,0) + 1
)</f>
        <v>0</v>
      </c>
      <c r="O70" s="178">
        <f ca="1">SUMIFS(rec.uni[2026-08-01],
INDIRECT("rec.uni[natureza]"),"pro.soluto",
INDIRECT("rec.uni[empresa]"),O$6)</f>
        <v>0</v>
      </c>
      <c r="P70" s="178">
        <f ca="1">SUMIFS(rec.uni[2026-08-01],
INDIRECT("rec.uni[natureza]"),"repasse.cef.obra",
INDIRECT("rec.uni[empresa]"),P$6)</f>
        <v>0</v>
      </c>
      <c r="Q70" s="178">
        <f ca="1">SUMIFS(rec.uni[2026-08-01],
INDIRECT("rec.uni[natureza]"),"repasse.cef.terreno",
INDIRECT("rec.uni[empresa]"),Q$6)</f>
        <v>0</v>
      </c>
      <c r="R70" s="182"/>
      <c r="S70" s="178">
        <f ca="1">SUMIFS(rec.uni[2026-08-01],
INDIRECT("rec.uni[natureza]"),"taxa.extra",
INDIRECT("rec.uni[empresa]"),S$6)</f>
        <v>0</v>
      </c>
      <c r="T70" s="166"/>
      <c r="U70" s="166" cm="1">
        <f t="array" ref="U70">SUMPRODUCT(
  IFERROR(--desp[valor],0)*
  (desp[nucleo]="UP VILA SONIA")*
  (desp[categoria]=U$7)*
  (desp[data.pagamento]&gt;=$A70)*
  (desp[data.pagamento]&lt;EOMONTH($A70,0)+1)
)</f>
        <v>0</v>
      </c>
      <c r="V70" s="166" cm="1">
        <f t="array" ref="V70">SUMPRODUCT(
  IFERROR(--desp[valor],0)*
  (desp[nucleo]="UP VILA SONIA")*
  (desp[categoria]=V$7)*
  (desp[data.pagamento]&gt;=$A70)*
  (desp[data.pagamento]&lt;EOMONTH($A70,0)+1)
)</f>
        <v>0</v>
      </c>
      <c r="W70" s="166" cm="1">
        <f t="array" ref="W70">SUMPRODUCT(
  IFERROR(--desp[valor],0)*
  (desp[nucleo]="UP VILA SONIA")*
  (desp[categoria]=W$7)*
  (desp[data.pagamento]&gt;=$A70)*
  (desp[data.pagamento]&lt;EOMONTH($A70,0)+1)
)</f>
        <v>0</v>
      </c>
      <c r="X70" s="166" cm="1">
        <f t="array" ref="X70">SUMPRODUCT(
  IFERROR(--desp[valor],0)*
  (desp[nucleo]="UP VILA SONIA")*
  (desp[categoria]=X$7)*
  (desp[data.pagamento]&gt;=$A70)*
  (desp[data.pagamento]&lt;EOMONTH($A70,0)+1)
)</f>
        <v>0</v>
      </c>
      <c r="Y70" s="166" cm="1">
        <f t="array" ref="Y70">SUMPRODUCT(
  IFERROR(--desp[valor],0)*
  (desp[nucleo]="UP VILA SONIA")*
  (desp[categoria]=Y$7)*
  (desp[data.pagamento]&gt;=$A70)*
  (desp[data.pagamento]&lt;EOMONTH($A70,0)+1)
)</f>
        <v>0</v>
      </c>
      <c r="Z70" s="177">
        <f>COUNTIFS(
    estq[empresa], Z$6,
    estq[Data da venda / reserva], "&gt;=" &amp; $A70,
    estq[Data da venda / reserva], "&lt;"  &amp; EOMONTH($A70,0) + 1
)</f>
        <v>0</v>
      </c>
      <c r="AA70" s="178">
        <f ca="1">SUMIFS(rec.uni[2026-08-01],
INDIRECT("rec.uni[natureza]"),"pro.soluto",
INDIRECT("rec.uni[empresa]"),AA$6)</f>
        <v>0</v>
      </c>
      <c r="AB70" s="182">
        <f ca="1">SUMIFS(rec.uni[2026-08-01],
INDIRECT("rec.uni[natureza]"),"pro.soluto",
INDIRECT("rec.uni[empresa]"),AB$6)</f>
        <v>0</v>
      </c>
      <c r="AC70" s="178">
        <f ca="1">SUMIFS(rec.uni[2026-08-01],
INDIRECT("rec.uni[natureza]"),"taxa.extra",
INDIRECT("rec.uni[empresa]"),AC$6)</f>
        <v>0</v>
      </c>
      <c r="AD70" s="166"/>
      <c r="AE70" s="166" cm="1">
        <f t="array" ref="AE70">SUMPRODUCT(
  IFERROR(--desp[valor],0)*
  (desp[nucleo]="UP CAMPO BELO")*
  (desp[categoria]=AE$7)*
  (desp[data.pagamento]&gt;=$A70)*
  (desp[data.pagamento]&lt;EOMONTH($A70,0)+1)
)</f>
        <v>0</v>
      </c>
      <c r="AF70" s="166" cm="1">
        <f t="array" ref="AF70">SUMPRODUCT(
  IFERROR(--desp[valor],0)*
  (desp[nucleo]="UP CAMPO BELO")*
  (desp[categoria]=AF$7)*
  (desp[data.pagamento]&gt;=$A70)*
  (desp[data.pagamento]&lt;EOMONTH($A70,0)+1)
)</f>
        <v>0</v>
      </c>
      <c r="AG70" s="166" cm="1">
        <f t="array" ref="AG70">SUMPRODUCT(
  IFERROR(--desp[valor],0)*
  (desp[nucleo]="UP CAMPO BELO")*
  (desp[categoria]=AG$7)*
  (desp[data.pagamento]&gt;=$A70)*
  (desp[data.pagamento]&lt;EOMONTH($A70,0)+1)
)</f>
        <v>0</v>
      </c>
      <c r="AH70" s="166" cm="1">
        <f t="array" ref="AH70">SUMPRODUCT(
  IFERROR(--desp[valor],0)*
  (desp[nucleo]="UP CAMPO BELO")*
  (desp[categoria]=AH$7)*
  (desp[data.pagamento]&gt;=$A70)*
  (desp[data.pagamento]&lt;EOMONTH($A70,0)+1)
)</f>
        <v>0</v>
      </c>
      <c r="AI70" s="166" cm="1">
        <f t="array" ref="AI70">SUMPRODUCT(
  IFERROR(--desp[valor],0)*
  (desp[nucleo]="UP CAMPO BELO")*
  (desp[categoria]=AI$7)*
  (desp[data.pagamento]&gt;=$A70)*
  (desp[data.pagamento]&lt;EOMONTH($A70,0)+1)
)</f>
        <v>0</v>
      </c>
      <c r="AJ70" s="177">
        <f>COUNTIFS(
    estq[empresa], AJ$6,
    estq[Data da venda / reserva], "&gt;=" &amp; $A70,
    estq[Data da venda / reserva], "&lt;"  &amp; EOMONTH($A70,0) + 1
)</f>
        <v>0</v>
      </c>
      <c r="AK70" s="178">
        <f ca="1">SUMIFS(rec.uni[2026-08-01],
INDIRECT("rec.uni[natureza]"),"pro.soluto",
INDIRECT("rec.uni[empresa]"),AK$6)</f>
        <v>0</v>
      </c>
      <c r="AL70" s="178">
        <f ca="1">SUMIFS(rec.uni[2026-08-01],
INDIRECT("rec.uni[natureza]"),"repasse.cef.obra",
INDIRECT("rec.uni[empresa]"),AL$6)</f>
        <v>0</v>
      </c>
      <c r="AM70" s="181">
        <f ca="1">SUMIFS(rec.uni[2026-08-01],
INDIRECT("rec.uni[natureza]"),"repasse.cef.terreno",
INDIRECT("rec.uni[empresa]"),AM$6)</f>
        <v>0</v>
      </c>
      <c r="AN70" s="182"/>
      <c r="AO70" s="178">
        <f ca="1">SUMIFS(rec.uni[2026-08-01],
INDIRECT("rec.uni[natureza]"),"taxa.extra",
INDIRECT("rec.uni[empresa]"),AO$6)</f>
        <v>0</v>
      </c>
      <c r="AP70" s="166"/>
      <c r="AQ70" s="166" cm="1">
        <f t="array" ref="AQ70">SUMPRODUCT(
  IFERROR(--desp[valor],0)*
  (desp[nucleo]="UP SELECT VILA SONIA")*
  (desp[categoria]=AQ$7)*
  (desp[data.pagamento]&gt;=$A70)*
  (desp[data.pagamento]&lt;EOMONTH($A70,0)+1)
)</f>
        <v>0</v>
      </c>
      <c r="AR70" s="166" cm="1">
        <f t="array" ref="AR70">SUMPRODUCT(
  IFERROR(--desp[valor],0)*
  (desp[nucleo]="UP SELECT VILA SONIA")*
  (desp[categoria]=AR$7)*
  (desp[data.pagamento]&gt;=$A70)*
  (desp[data.pagamento]&lt;EOMONTH($A70,0)+1)
)</f>
        <v>0</v>
      </c>
      <c r="AS70" s="166" cm="1">
        <f t="array" ref="AS70">SUMPRODUCT(
  IFERROR(--desp[valor],0)*
  (desp[nucleo]="UP SELECT VILA SONIA")*
  (desp[categoria]=AS$7)*
  (desp[data.pagamento]&gt;=$A70)*
  (desp[data.pagamento]&lt;EOMONTH($A70,0)+1)
)</f>
        <v>0</v>
      </c>
      <c r="AT70" s="166" cm="1">
        <f t="array" ref="AT70">SUMPRODUCT(
  IFERROR(--desp[valor],0)*
  (desp[nucleo]="UP SELECT VILA SONIA")*
  (desp[categoria]=AT$7)*
  (desp[data.pagamento]&gt;=$A70)*
  (desp[data.pagamento]&lt;EOMONTH($A70,0)+1)
)</f>
        <v>0</v>
      </c>
      <c r="AU70" s="166" cm="1">
        <f t="array" ref="AU70">SUMPRODUCT(
  IFERROR(--desp[valor],0)*
  (desp[nucleo]="UP SELECT VILA SONIA")*
  (desp[categoria]=AU$7)*
  (desp[data.pagamento]&gt;=$A70)*
  (desp[data.pagamento]&lt;EOMONTH($A70,0)+1)
)</f>
        <v>0</v>
      </c>
      <c r="AV70" s="177">
        <f>COUNTIFS(
    estq[empresa], AV$6,
    estq[Data da venda / reserva], "&gt;=" &amp; $A70,
    estq[Data da venda / reserva], "&lt;"  &amp; EOMONTH($A70,0) + 1
)</f>
        <v>0</v>
      </c>
      <c r="AW70" s="178">
        <f ca="1">SUMIFS(rec.uni[2026-08-01],
INDIRECT("rec.uni[natureza]"),"pro.soluto",
INDIRECT("rec.uni[empresa]"),AW$6)</f>
        <v>0</v>
      </c>
      <c r="AX70" s="178">
        <f ca="1">SUMIFS(rec.uni[2026-08-01],
INDIRECT("rec.uni[natureza]"),"repasse.cef.obra",
INDIRECT("rec.uni[empresa]"),AX$6)</f>
        <v>0</v>
      </c>
      <c r="AY70" s="181">
        <f ca="1">SUMIFS(rec.uni[2026-08-01],
INDIRECT("rec.uni[natureza]"),"repasse.cef.terreno",
INDIRECT("rec.uni[empresa]"),AY$6)</f>
        <v>0</v>
      </c>
      <c r="AZ70" s="182"/>
      <c r="BA70" s="178">
        <f ca="1">SUMIFS(rec.uni[2026-08-01],
INDIRECT("rec.uni[natureza]"),"taxa.extra",
INDIRECT("rec.uni[empresa]"),BA$6)</f>
        <v>0</v>
      </c>
      <c r="BB70" s="166"/>
      <c r="BC70" s="166" cm="1">
        <f t="array" ref="BC70">SUMPRODUCT(
  IFERROR(--desp[valor],0)*
  (desp[nucleo]="UP ESTAÇÃO SÃO LUCAS")*
  (desp[categoria]=BC$7)*
  (desp[data.pagamento]&gt;=$A70)*
  (desp[data.pagamento]&lt;EOMONTH($A70,0)+1)
)</f>
        <v>0</v>
      </c>
      <c r="BD70" s="166" cm="1">
        <f t="array" ref="BD70">SUMPRODUCT(
  IFERROR(--desp[valor],0)*
  (desp[nucleo]="UP ESTAÇÃO SÃO LUCAS")*
  (desp[categoria]=BD$7)*
  (desp[data.pagamento]&gt;=$A70)*
  (desp[data.pagamento]&lt;EOMONTH($A70,0)+1)
)</f>
        <v>0</v>
      </c>
      <c r="BE70" s="166" cm="1">
        <f t="array" ref="BE70">SUMPRODUCT(
  IFERROR(--desp[valor],0)*
  (desp[nucleo]="UP ESTAÇÃO SÃO LUCAS")*
  (desp[categoria]=BE$7)*
  (desp[data.pagamento]&gt;=$A70)*
  (desp[data.pagamento]&lt;EOMONTH($A70,0)+1)
)</f>
        <v>0</v>
      </c>
      <c r="BF70" s="166" cm="1">
        <f t="array" ref="BF70">SUMPRODUCT(
  IFERROR(--desp[valor],0)*
  (desp[nucleo]="UP ESTAÇÃO SÃO LUCAS")*
  (desp[categoria]=BF$7)*
  (desp[data.pagamento]&gt;=$A70)*
  (desp[data.pagamento]&lt;EOMONTH($A70,0)+1)
)</f>
        <v>0</v>
      </c>
      <c r="BG70" s="166" cm="1">
        <f t="array" ref="BG70">SUMPRODUCT(
  IFERROR(--desp[valor],0)*
  (desp[nucleo]="UP ESTAÇÃO SÃO LUCAS")*
  (desp[categoria]=BG$7)*
  (desp[data.pagamento]&gt;=$A70)*
  (desp[data.pagamento]&lt;EOMONTH($A70,0)+1)
)</f>
        <v>0</v>
      </c>
      <c r="BH70" s="177">
        <f>COUNTIFS(
    estq[empresa], BH$6,
    estq[Data da venda / reserva], "&gt;=" &amp; $A70,
    estq[Data da venda / reserva], "&lt;"  &amp; EOMONTH($A70,0) + 1
)</f>
        <v>0</v>
      </c>
      <c r="BI70" s="178">
        <f ca="1">SUMIFS(rec.uni[2026-08-01],
INDIRECT("rec.uni[natureza]"),"pro.soluto",
INDIRECT("rec.uni[empresa]"),BI$6)</f>
        <v>0</v>
      </c>
      <c r="BJ70" s="182">
        <f ca="1">SUMIFS(rec.uni[2026-08-01],
INDIRECT("rec.uni[natureza]"),"parcela.fin.total.ik",
INDIRECT("rec.uni[empresa]"),BJ$6)</f>
        <v>0</v>
      </c>
      <c r="BK70" s="178">
        <f ca="1">SUMIFS(rec.uni[2026-08-01],
INDIRECT("rec.uni[natureza]"),"taxa.extra",
INDIRECT("rec.uni[empresa]"),BK$6)</f>
        <v>0</v>
      </c>
      <c r="BL70" s="166"/>
      <c r="BM70" s="166" cm="1">
        <f t="array" ref="BM70">SUMPRODUCT(
  IFERROR(--desp[valor],0)*
  (desp[nucleo]="UP POMPEIA")*
  (desp[categoria]=BM$7)*
  (desp[data.pagamento]&gt;=$A70)*
  (desp[data.pagamento]&lt;EOMONTH($A70,0)+1)
)</f>
        <v>0</v>
      </c>
      <c r="BN70" s="166" cm="1">
        <f t="array" ref="BN70">SUMPRODUCT(
  IFERROR(--desp[valor],0)*
  (desp[nucleo]="UP POMPEIA")*
  (desp[categoria]=BN$7)*
  (desp[data.pagamento]&gt;=$A70)*
  (desp[data.pagamento]&lt;EOMONTH($A70,0)+1)
)</f>
        <v>0</v>
      </c>
      <c r="BO70" s="166" cm="1">
        <f t="array" ref="BO70">SUMPRODUCT(
  IFERROR(--desp[valor],0)*
  (desp[nucleo]="UP POMPEIA")*
  (desp[categoria]=BO$7)*
  (desp[data.pagamento]&gt;=$A70)*
  (desp[data.pagamento]&lt;EOMONTH($A70,0)+1)
)</f>
        <v>0</v>
      </c>
      <c r="BP70" s="166" cm="1">
        <f t="array" ref="BP70">SUMPRODUCT(
  IFERROR(--desp[valor],0)*
  (desp[nucleo]="UP POMPEIA")*
  (desp[categoria]=BP$7)*
  (desp[data.pagamento]&gt;=$A70)*
  (desp[data.pagamento]&lt;EOMONTH($A70,0)+1)
)</f>
        <v>0</v>
      </c>
      <c r="BQ70" s="166" cm="1">
        <f t="array" ref="BQ70">SUMPRODUCT(
  IFERROR(--desp[valor],0)*
  (desp[nucleo]="UP POMPEIA")*
  (desp[categoria]=BQ$7)*
  (desp[data.pagamento]&gt;=$A70)*
  (desp[data.pagamento]&lt;EOMONTH($A70,0)+1)
)</f>
        <v>0</v>
      </c>
      <c r="BR70" s="177">
        <f>COUNTIFS(
    estq[empresa], BR$6,
    estq[Data da venda / reserva], "&gt;=" &amp; $A70,
    estq[Data da venda / reserva], "&lt;"  &amp; EOMONTH($A70,0) + 1
)</f>
        <v>0</v>
      </c>
      <c r="BS70" s="178">
        <f ca="1">SUMIFS(rec.uni[2026-08-01],
INDIRECT("rec.uni[natureza]"),"pro.soluto",
INDIRECT("rec.uni[empresa]"),BS$6)</f>
        <v>0</v>
      </c>
      <c r="BT70" s="182">
        <f ca="1">SUMIFS(rec.uni[2026-08-01],
INDIRECT("rec.uni[natureza]"),"pro.soluto",
INDIRECT("rec.uni[empresa]"),BT$6)</f>
        <v>0</v>
      </c>
      <c r="BU70" s="178">
        <f ca="1">SUMIFS(rec.uni[2026-08-01],
INDIRECT("rec.uni[natureza]"),"taxa.extra",
INDIRECT("rec.uni[empresa]"),BU$6)</f>
        <v>0</v>
      </c>
      <c r="BV70" s="166"/>
      <c r="BW70" s="166" cm="1">
        <f t="array" ref="BW70">SUMPRODUCT(
  IFERROR(--desp[valor],0)*
  (desp[nucleo]="UP SAUDE")*
  (desp[categoria]=BW$7)*
  (desp[data.pagamento]&gt;=$A70)*
  (desp[data.pagamento]&lt;EOMONTH($A70,0)+1)
)</f>
        <v>0</v>
      </c>
      <c r="BX70" s="166" cm="1">
        <f t="array" ref="BX70">SUMPRODUCT(
  IFERROR(--desp[valor],0)*
  (desp[nucleo]="UP SAUDE")*
  (desp[categoria]=BX$7)*
  (desp[data.pagamento]&gt;=$A70)*
  (desp[data.pagamento]&lt;EOMONTH($A70,0)+1)
)</f>
        <v>0</v>
      </c>
      <c r="BY70" s="166" cm="1">
        <f t="array" ref="BY70">SUMPRODUCT(
  IFERROR(--desp[valor],0)*
  (desp[nucleo]="UP SAUDE")*
  (desp[categoria]=BY$7)*
  (desp[data.pagamento]&gt;=$A70)*
  (desp[data.pagamento]&lt;EOMONTH($A70,0)+1)
)</f>
        <v>0</v>
      </c>
      <c r="BZ70" s="166" cm="1">
        <f t="array" ref="BZ70">SUMPRODUCT(
  IFERROR(--desp[valor],0)*
  (desp[nucleo]="UP SAUDE")*
  (desp[categoria]=BZ$7)*
  (desp[data.pagamento]&gt;=$A70)*
  (desp[data.pagamento]&lt;EOMONTH($A70,0)+1)
)</f>
        <v>0</v>
      </c>
      <c r="CA70" s="166" cm="1">
        <f t="array" ref="CA70">SUMPRODUCT(
  IFERROR(--desp[valor],0)*
  (desp[nucleo]="UP SAUDE")*
  (desp[categoria]=CA$7)*
  (desp[data.pagamento]&gt;=$A70)*
  (desp[data.pagamento]&lt;EOMONTH($A70,0)+1)
)</f>
        <v>0</v>
      </c>
      <c r="CB70" s="177">
        <f>COUNTIFS(
    estq[empresa], CB$6,
    estq[Data da venda / reserva], "&gt;=" &amp; $A70,
    estq[Data da venda / reserva], "&lt;"  &amp; EOMONTH($A70,0) + 1
)</f>
        <v>0</v>
      </c>
      <c r="CC70" s="178">
        <f ca="1">SUMIFS(rec.uni[2026-08-01],
INDIRECT("rec.uni[natureza]"),"pro.soluto",
INDIRECT("rec.uni[empresa]"),CC$6)</f>
        <v>0</v>
      </c>
      <c r="CD70" s="178">
        <f ca="1">SUMIFS(rec.uni[2026-08-01],
INDIRECT("rec.uni[natureza]"),"repasse.cef.obra",
INDIRECT("rec.uni[empresa]"),CD$6)</f>
        <v>0</v>
      </c>
      <c r="CE70" s="181">
        <f ca="1">SUMIFS(rec.uni[2026-08-01],
INDIRECT("rec.uni[natureza]"),"repasse.cef.terreno",
INDIRECT("rec.uni[empresa]"),CE$6)</f>
        <v>0</v>
      </c>
      <c r="CF70" s="182"/>
      <c r="CG70" s="178">
        <f ca="1">SUMIFS(rec.uni[2026-08-01],
INDIRECT("rec.uni[natureza]"),"taxa.extra",
INDIRECT("rec.uni[empresa]"),CG$6)</f>
        <v>0</v>
      </c>
      <c r="CH70" s="166"/>
      <c r="CI70" s="166" cm="1">
        <f t="array" ref="CI70">SUMPRODUCT(
  IFERROR(--desp[valor],0)*
  (desp[nucleo]="UP ESTAÇÃO VILA SONIA")*
  (desp[categoria]=CI$7)*
  (desp[data.pagamento]&gt;=$A70)*
  (desp[data.pagamento]&lt;EOMONTH($A70,0)+1)
)</f>
        <v>0</v>
      </c>
      <c r="CJ70" s="166" cm="1">
        <f t="array" ref="CJ70">SUMPRODUCT(
  IFERROR(--desp[valor],0)*
  (desp[nucleo]="UP ESTAÇÃO VILA SONIA")*
  (desp[categoria]=CJ$7)*
  (desp[data.pagamento]&gt;=$A70)*
  (desp[data.pagamento]&lt;EOMONTH($A70,0)+1)
)</f>
        <v>0</v>
      </c>
      <c r="CK70" s="166" cm="1">
        <f t="array" ref="CK70">SUMPRODUCT(
  IFERROR(--desp[valor],0)*
  (desp[nucleo]="UP ESTAÇÃO VILA SONIA")*
  (desp[categoria]=CK$7)*
  (desp[data.pagamento]&gt;=$A70)*
  (desp[data.pagamento]&lt;EOMONTH($A70,0)+1)
)</f>
        <v>0</v>
      </c>
      <c r="CL70" s="166" cm="1">
        <f t="array" ref="CL70">SUMPRODUCT(
  IFERROR(--desp[valor],0)*
  (desp[nucleo]="UP ESTAÇÃO VILA SONIA")*
  (desp[categoria]=CL$7)*
  (desp[data.pagamento]&gt;=$A70)*
  (desp[data.pagamento]&lt;EOMONTH($A70,0)+1)
)</f>
        <v>0</v>
      </c>
      <c r="CM70" s="166" cm="1">
        <f t="array" ref="CM70">SUMPRODUCT(
  IFERROR(--desp[valor],0)*
  (desp[nucleo]="UP ESTAÇÃO VILA SONIA")*
  (desp[categoria]=CM$7)*
  (desp[data.pagamento]&gt;=$A70)*
  (desp[data.pagamento]&lt;EOMONTH($A70,0)+1)
)</f>
        <v>0</v>
      </c>
      <c r="CN70" s="177">
        <f>COUNTIFS(
    estq[empresa], CN$6,
    estq[Data da venda / reserva], "&gt;=" &amp; $A70,
    estq[Data da venda / reserva], "&lt;"  &amp; EOMONTH($A70,0) + 1
)</f>
        <v>0</v>
      </c>
      <c r="CO70" s="178">
        <f ca="1">SUMIFS(rec.uni[2026-08-01],
INDIRECT("rec.uni[natureza]"),"pro.soluto",
INDIRECT("rec.uni[empresa]"),CO$6)</f>
        <v>0</v>
      </c>
      <c r="CP70" s="178">
        <f ca="1">SUMIFS(rec.uni[2026-08-01],
INDIRECT("rec.uni[natureza]"),"repasse.cef.obra",
INDIRECT("rec.uni[empresa]"),CP$6)</f>
        <v>0</v>
      </c>
      <c r="CQ70" s="181">
        <f ca="1">SUMIFS(rec.uni[2026-08-01],
INDIRECT("rec.uni[natureza]"),"repasse.cef.terreno",
INDIRECT("rec.uni[empresa]"),CQ$6)</f>
        <v>0</v>
      </c>
      <c r="CR70" s="182"/>
      <c r="CS70" s="178">
        <f ca="1">SUMIFS(rec.uni[2026-08-01],
INDIRECT("rec.uni[natureza]"),"taxa.extra",
INDIRECT("rec.uni[empresa]"),CS$6)</f>
        <v>0</v>
      </c>
      <c r="CT70" s="166"/>
      <c r="CU70" s="166" cm="1">
        <f t="array" ref="CU70">SUMPRODUCT(
  IFERROR(--desp[valor],0)*
  (desp[nucleo]="UP MOVE VILA SONIA")*
  (desp[categoria]=CU$7)*
  (desp[data.pagamento]&gt;=$A70)*
  (desp[data.pagamento]&lt;EOMONTH($A70,0)+1)
)</f>
        <v>0</v>
      </c>
      <c r="CV70" s="166" cm="1">
        <f t="array" ref="CV70">SUMPRODUCT(
  IFERROR(--desp[valor],0)*
  (desp[nucleo]="UP MOVE VILA SONIA")*
  (desp[categoria]=CV$7)*
  (desp[data.pagamento]&gt;=$A70)*
  (desp[data.pagamento]&lt;EOMONTH($A70,0)+1)
)</f>
        <v>0</v>
      </c>
      <c r="CW70" s="166" cm="1">
        <f t="array" ref="CW70">SUMPRODUCT(
  IFERROR(--desp[valor],0)*
  (desp[nucleo]="UP MOVE VILA SONIA")*
  (desp[categoria]=CW$7)*
  (desp[data.pagamento]&gt;=$A70)*
  (desp[data.pagamento]&lt;EOMONTH($A70,0)+1)
)</f>
        <v>0</v>
      </c>
      <c r="CX70" s="166" cm="1">
        <f t="array" ref="CX70">SUMPRODUCT(
  IFERROR(--desp[valor],0)*
  (desp[nucleo]="UP MOVE VILA SONIA")*
  (desp[categoria]=CX$7)*
  (desp[data.pagamento]&gt;=$A70)*
  (desp[data.pagamento]&lt;EOMONTH($A70,0)+1)
)</f>
        <v>0</v>
      </c>
      <c r="CY70" s="291" cm="1">
        <f t="array" ref="CY70">SUMPRODUCT(
  IFERROR(--desp[valor],0)*
  (desp[nucleo]="UP MOVE VILA SONIA")*
  (desp[categoria]=CY$7)*
  (desp[data.pagamento]&gt;=$A70)*
  (desp[data.pagamento]&lt;EOMONTH($A70,0)+1)
)</f>
        <v>0</v>
      </c>
    </row>
    <row r="71" spans="1:103" x14ac:dyDescent="0.25">
      <c r="A71" s="176">
        <v>46266</v>
      </c>
      <c r="B71" s="177">
        <f>COUNTIFS(
    estq[empresa], B$6,
    estq[Data da venda / reserva], "&gt;=" &amp; $A71,
    estq[Data da venda / reserva], "&lt;"  &amp; EOMONTH($A71,0) + 1
)</f>
        <v>0</v>
      </c>
      <c r="C71" s="178">
        <f ca="1">SUMIFS(rec.uni[2026-09-01],
INDIRECT("rec.uni[natureza]"),"pro.soluto",
INDIRECT("rec.uni[empresa]"),C$6)</f>
        <v>0</v>
      </c>
      <c r="D71" s="178">
        <f ca="1">SUMIFS(rec.uni[2026-09-01],
INDIRECT("rec.uni[natureza]"),"repasse.cef.obra",
INDIRECT("rec.uni[empresa]"),D$6)</f>
        <v>0</v>
      </c>
      <c r="E71" s="178">
        <f ca="1">SUMIFS(rec.uni[2026-09-01],
INDIRECT("rec.uni[natureza]"),"repasse.cef.terreno",
INDIRECT("rec.uni[empresa]"),E$6)</f>
        <v>0</v>
      </c>
      <c r="F71" s="182"/>
      <c r="G71" s="178">
        <f ca="1">SUMIFS(rec.uni[2026-09-01],
INDIRECT("rec.uni[natureza]"),"taxa.extra",
INDIRECT("rec.uni[empresa]"),G$6)</f>
        <v>0</v>
      </c>
      <c r="H71" s="166"/>
      <c r="I71" s="166" cm="1">
        <f t="array" ref="I71">SUMPRODUCT(
  IFERROR(--desp[valor],0)*
  (desp[nucleo]="UP JARDIM PRUDENCIA")*
  (desp[categoria]=I$7)*
  (desp[data.pagamento]&gt;=$A71)*
  (desp[data.pagamento]&lt;EOMONTH($A71,0)+1)
)</f>
        <v>0</v>
      </c>
      <c r="J71" s="166" cm="1">
        <f t="array" ref="J71">SUMPRODUCT(
  IFERROR(--desp[valor],0)*
  (desp[nucleo]="UP JARDIM PRUDENCIA")*
  (desp[categoria]=J$7)*
  (desp[data.pagamento]&gt;=$A71)*
  (desp[data.pagamento]&lt;EOMONTH($A71,0)+1)
)</f>
        <v>0</v>
      </c>
      <c r="K71" s="166" cm="1">
        <f t="array" ref="K71">SUMPRODUCT(
  IFERROR(--desp[valor],0)*
  (desp[nucleo]="UP JARDIM PRUDENCIA")*
  (desp[categoria]=K$7)*
  (desp[data.pagamento]&gt;=$A71)*
  (desp[data.pagamento]&lt;EOMONTH($A71,0)+1)
)</f>
        <v>0</v>
      </c>
      <c r="L71" s="166" cm="1">
        <f t="array" ref="L71">SUMPRODUCT(
  IFERROR(--desp[valor],0)*
  (desp[nucleo]="UP JARDIM PRUDENCIA")*
  (desp[categoria]=L$7)*
  (desp[data.pagamento]&gt;=$A71)*
  (desp[data.pagamento]&lt;EOMONTH($A71,0)+1)
)</f>
        <v>0</v>
      </c>
      <c r="M71" s="166" cm="1">
        <f t="array" ref="M71">SUMPRODUCT(
  IFERROR(--desp[valor],0)*
  (desp[nucleo]="UP JARDIM PRUDENCIA")*
  (desp[categoria]=M$7)*
  (desp[data.pagamento]&gt;=$A71)*
  (desp[data.pagamento]&lt;EOMONTH($A71,0)+1)
)</f>
        <v>0</v>
      </c>
      <c r="N71" s="177">
        <f>COUNTIFS(
    estq[empresa], N$6,
    estq[Data da venda / reserva], "&gt;=" &amp; $A71,
    estq[Data da venda / reserva], "&lt;"  &amp; EOMONTH($A71,0) + 1
)</f>
        <v>0</v>
      </c>
      <c r="O71" s="178">
        <f ca="1">SUMIFS(rec.uni[2026-09-01],
INDIRECT("rec.uni[natureza]"),"pro.soluto",
INDIRECT("rec.uni[empresa]"),O$6)</f>
        <v>0</v>
      </c>
      <c r="P71" s="178">
        <f ca="1">SUMIFS(rec.uni[2026-09-01],
INDIRECT("rec.uni[natureza]"),"repasse.cef.obra",
INDIRECT("rec.uni[empresa]"),P$6)</f>
        <v>0</v>
      </c>
      <c r="Q71" s="178">
        <f ca="1">SUMIFS(rec.uni[2026-09-01],
INDIRECT("rec.uni[natureza]"),"repasse.cef.terreno",
INDIRECT("rec.uni[empresa]"),Q$6)</f>
        <v>0</v>
      </c>
      <c r="R71" s="182"/>
      <c r="S71" s="178">
        <f ca="1">SUMIFS(rec.uni[2026-09-01],
INDIRECT("rec.uni[natureza]"),"taxa.extra",
INDIRECT("rec.uni[empresa]"),S$6)</f>
        <v>0</v>
      </c>
      <c r="T71" s="166"/>
      <c r="U71" s="166" cm="1">
        <f t="array" ref="U71">SUMPRODUCT(
  IFERROR(--desp[valor],0)*
  (desp[nucleo]="UP VILA SONIA")*
  (desp[categoria]=U$7)*
  (desp[data.pagamento]&gt;=$A71)*
  (desp[data.pagamento]&lt;EOMONTH($A71,0)+1)
)</f>
        <v>0</v>
      </c>
      <c r="V71" s="166" cm="1">
        <f t="array" ref="V71">SUMPRODUCT(
  IFERROR(--desp[valor],0)*
  (desp[nucleo]="UP VILA SONIA")*
  (desp[categoria]=V$7)*
  (desp[data.pagamento]&gt;=$A71)*
  (desp[data.pagamento]&lt;EOMONTH($A71,0)+1)
)</f>
        <v>0</v>
      </c>
      <c r="W71" s="166" cm="1">
        <f t="array" ref="W71">SUMPRODUCT(
  IFERROR(--desp[valor],0)*
  (desp[nucleo]="UP VILA SONIA")*
  (desp[categoria]=W$7)*
  (desp[data.pagamento]&gt;=$A71)*
  (desp[data.pagamento]&lt;EOMONTH($A71,0)+1)
)</f>
        <v>0</v>
      </c>
      <c r="X71" s="166" cm="1">
        <f t="array" ref="X71">SUMPRODUCT(
  IFERROR(--desp[valor],0)*
  (desp[nucleo]="UP VILA SONIA")*
  (desp[categoria]=X$7)*
  (desp[data.pagamento]&gt;=$A71)*
  (desp[data.pagamento]&lt;EOMONTH($A71,0)+1)
)</f>
        <v>0</v>
      </c>
      <c r="Y71" s="166" cm="1">
        <f t="array" ref="Y71">SUMPRODUCT(
  IFERROR(--desp[valor],0)*
  (desp[nucleo]="UP VILA SONIA")*
  (desp[categoria]=Y$7)*
  (desp[data.pagamento]&gt;=$A71)*
  (desp[data.pagamento]&lt;EOMONTH($A71,0)+1)
)</f>
        <v>0</v>
      </c>
      <c r="Z71" s="177">
        <f>COUNTIFS(
    estq[empresa], Z$6,
    estq[Data da venda / reserva], "&gt;=" &amp; $A71,
    estq[Data da venda / reserva], "&lt;"  &amp; EOMONTH($A71,0) + 1
)</f>
        <v>0</v>
      </c>
      <c r="AA71" s="178">
        <f ca="1">SUMIFS(rec.uni[2026-09-01],
INDIRECT("rec.uni[natureza]"),"pro.soluto",
INDIRECT("rec.uni[empresa]"),AA$6)</f>
        <v>0</v>
      </c>
      <c r="AB71" s="182">
        <f ca="1">SUMIFS(rec.uni[2026-09-01],
INDIRECT("rec.uni[natureza]"),"pro.soluto",
INDIRECT("rec.uni[empresa]"),AB$6)</f>
        <v>0</v>
      </c>
      <c r="AC71" s="178">
        <f ca="1">SUMIFS(rec.uni[2026-09-01],
INDIRECT("rec.uni[natureza]"),"taxa.extra",
INDIRECT("rec.uni[empresa]"),AC$6)</f>
        <v>0</v>
      </c>
      <c r="AD71" s="166"/>
      <c r="AE71" s="166" cm="1">
        <f t="array" ref="AE71">SUMPRODUCT(
  IFERROR(--desp[valor],0)*
  (desp[nucleo]="UP CAMPO BELO")*
  (desp[categoria]=AE$7)*
  (desp[data.pagamento]&gt;=$A71)*
  (desp[data.pagamento]&lt;EOMONTH($A71,0)+1)
)</f>
        <v>0</v>
      </c>
      <c r="AF71" s="166" cm="1">
        <f t="array" ref="AF71">SUMPRODUCT(
  IFERROR(--desp[valor],0)*
  (desp[nucleo]="UP CAMPO BELO")*
  (desp[categoria]=AF$7)*
  (desp[data.pagamento]&gt;=$A71)*
  (desp[data.pagamento]&lt;EOMONTH($A71,0)+1)
)</f>
        <v>0</v>
      </c>
      <c r="AG71" s="166" cm="1">
        <f t="array" ref="AG71">SUMPRODUCT(
  IFERROR(--desp[valor],0)*
  (desp[nucleo]="UP CAMPO BELO")*
  (desp[categoria]=AG$7)*
  (desp[data.pagamento]&gt;=$A71)*
  (desp[data.pagamento]&lt;EOMONTH($A71,0)+1)
)</f>
        <v>0</v>
      </c>
      <c r="AH71" s="166" cm="1">
        <f t="array" ref="AH71">SUMPRODUCT(
  IFERROR(--desp[valor],0)*
  (desp[nucleo]="UP CAMPO BELO")*
  (desp[categoria]=AH$7)*
  (desp[data.pagamento]&gt;=$A71)*
  (desp[data.pagamento]&lt;EOMONTH($A71,0)+1)
)</f>
        <v>0</v>
      </c>
      <c r="AI71" s="166" cm="1">
        <f t="array" ref="AI71">SUMPRODUCT(
  IFERROR(--desp[valor],0)*
  (desp[nucleo]="UP CAMPO BELO")*
  (desp[categoria]=AI$7)*
  (desp[data.pagamento]&gt;=$A71)*
  (desp[data.pagamento]&lt;EOMONTH($A71,0)+1)
)</f>
        <v>0</v>
      </c>
      <c r="AJ71" s="177">
        <f>COUNTIFS(
    estq[empresa], AJ$6,
    estq[Data da venda / reserva], "&gt;=" &amp; $A71,
    estq[Data da venda / reserva], "&lt;"  &amp; EOMONTH($A71,0) + 1
)</f>
        <v>0</v>
      </c>
      <c r="AK71" s="178">
        <f ca="1">SUMIFS(rec.uni[2026-09-01],
INDIRECT("rec.uni[natureza]"),"pro.soluto",
INDIRECT("rec.uni[empresa]"),AK$6)</f>
        <v>0</v>
      </c>
      <c r="AL71" s="178">
        <f ca="1">SUMIFS(rec.uni[2026-09-01],
INDIRECT("rec.uni[natureza]"),"repasse.cef.obra",
INDIRECT("rec.uni[empresa]"),AL$6)</f>
        <v>0</v>
      </c>
      <c r="AM71" s="181">
        <f ca="1">SUMIFS(rec.uni[2026-09-01],
INDIRECT("rec.uni[natureza]"),"repasse.cef.terreno",
INDIRECT("rec.uni[empresa]"),AM$6)</f>
        <v>0</v>
      </c>
      <c r="AN71" s="182"/>
      <c r="AO71" s="178">
        <f ca="1">SUMIFS(rec.uni[2026-09-01],
INDIRECT("rec.uni[natureza]"),"taxa.extra",
INDIRECT("rec.uni[empresa]"),AO$6)</f>
        <v>0</v>
      </c>
      <c r="AP71" s="166"/>
      <c r="AQ71" s="166" cm="1">
        <f t="array" ref="AQ71">SUMPRODUCT(
  IFERROR(--desp[valor],0)*
  (desp[nucleo]="UP SELECT VILA SONIA")*
  (desp[categoria]=AQ$7)*
  (desp[data.pagamento]&gt;=$A71)*
  (desp[data.pagamento]&lt;EOMONTH($A71,0)+1)
)</f>
        <v>0</v>
      </c>
      <c r="AR71" s="166" cm="1">
        <f t="array" ref="AR71">SUMPRODUCT(
  IFERROR(--desp[valor],0)*
  (desp[nucleo]="UP SELECT VILA SONIA")*
  (desp[categoria]=AR$7)*
  (desp[data.pagamento]&gt;=$A71)*
  (desp[data.pagamento]&lt;EOMONTH($A71,0)+1)
)</f>
        <v>0</v>
      </c>
      <c r="AS71" s="166" cm="1">
        <f t="array" ref="AS71">SUMPRODUCT(
  IFERROR(--desp[valor],0)*
  (desp[nucleo]="UP SELECT VILA SONIA")*
  (desp[categoria]=AS$7)*
  (desp[data.pagamento]&gt;=$A71)*
  (desp[data.pagamento]&lt;EOMONTH($A71,0)+1)
)</f>
        <v>0</v>
      </c>
      <c r="AT71" s="166" cm="1">
        <f t="array" ref="AT71">SUMPRODUCT(
  IFERROR(--desp[valor],0)*
  (desp[nucleo]="UP SELECT VILA SONIA")*
  (desp[categoria]=AT$7)*
  (desp[data.pagamento]&gt;=$A71)*
  (desp[data.pagamento]&lt;EOMONTH($A71,0)+1)
)</f>
        <v>0</v>
      </c>
      <c r="AU71" s="166" cm="1">
        <f t="array" ref="AU71">SUMPRODUCT(
  IFERROR(--desp[valor],0)*
  (desp[nucleo]="UP SELECT VILA SONIA")*
  (desp[categoria]=AU$7)*
  (desp[data.pagamento]&gt;=$A71)*
  (desp[data.pagamento]&lt;EOMONTH($A71,0)+1)
)</f>
        <v>0</v>
      </c>
      <c r="AV71" s="177">
        <f>COUNTIFS(
    estq[empresa], AV$6,
    estq[Data da venda / reserva], "&gt;=" &amp; $A71,
    estq[Data da venda / reserva], "&lt;"  &amp; EOMONTH($A71,0) + 1
)</f>
        <v>0</v>
      </c>
      <c r="AW71" s="178">
        <f ca="1">SUMIFS(rec.uni[2026-09-01],
INDIRECT("rec.uni[natureza]"),"pro.soluto",
INDIRECT("rec.uni[empresa]"),AW$6)</f>
        <v>0</v>
      </c>
      <c r="AX71" s="178">
        <f ca="1">SUMIFS(rec.uni[2026-09-01],
INDIRECT("rec.uni[natureza]"),"repasse.cef.obra",
INDIRECT("rec.uni[empresa]"),AX$6)</f>
        <v>0</v>
      </c>
      <c r="AY71" s="181">
        <f ca="1">SUMIFS(rec.uni[2026-09-01],
INDIRECT("rec.uni[natureza]"),"repasse.cef.terreno",
INDIRECT("rec.uni[empresa]"),AY$6)</f>
        <v>0</v>
      </c>
      <c r="AZ71" s="182"/>
      <c r="BA71" s="178">
        <f ca="1">SUMIFS(rec.uni[2026-09-01],
INDIRECT("rec.uni[natureza]"),"taxa.extra",
INDIRECT("rec.uni[empresa]"),BA$6)</f>
        <v>0</v>
      </c>
      <c r="BB71" s="166"/>
      <c r="BC71" s="166" cm="1">
        <f t="array" ref="BC71">SUMPRODUCT(
  IFERROR(--desp[valor],0)*
  (desp[nucleo]="UP ESTAÇÃO SÃO LUCAS")*
  (desp[categoria]=BC$7)*
  (desp[data.pagamento]&gt;=$A71)*
  (desp[data.pagamento]&lt;EOMONTH($A71,0)+1)
)</f>
        <v>0</v>
      </c>
      <c r="BD71" s="166" cm="1">
        <f t="array" ref="BD71">SUMPRODUCT(
  IFERROR(--desp[valor],0)*
  (desp[nucleo]="UP ESTAÇÃO SÃO LUCAS")*
  (desp[categoria]=BD$7)*
  (desp[data.pagamento]&gt;=$A71)*
  (desp[data.pagamento]&lt;EOMONTH($A71,0)+1)
)</f>
        <v>0</v>
      </c>
      <c r="BE71" s="166" cm="1">
        <f t="array" ref="BE71">SUMPRODUCT(
  IFERROR(--desp[valor],0)*
  (desp[nucleo]="UP ESTAÇÃO SÃO LUCAS")*
  (desp[categoria]=BE$7)*
  (desp[data.pagamento]&gt;=$A71)*
  (desp[data.pagamento]&lt;EOMONTH($A71,0)+1)
)</f>
        <v>0</v>
      </c>
      <c r="BF71" s="166" cm="1">
        <f t="array" ref="BF71">SUMPRODUCT(
  IFERROR(--desp[valor],0)*
  (desp[nucleo]="UP ESTAÇÃO SÃO LUCAS")*
  (desp[categoria]=BF$7)*
  (desp[data.pagamento]&gt;=$A71)*
  (desp[data.pagamento]&lt;EOMONTH($A71,0)+1)
)</f>
        <v>0</v>
      </c>
      <c r="BG71" s="166" cm="1">
        <f t="array" ref="BG71">SUMPRODUCT(
  IFERROR(--desp[valor],0)*
  (desp[nucleo]="UP ESTAÇÃO SÃO LUCAS")*
  (desp[categoria]=BG$7)*
  (desp[data.pagamento]&gt;=$A71)*
  (desp[data.pagamento]&lt;EOMONTH($A71,0)+1)
)</f>
        <v>0</v>
      </c>
      <c r="BH71" s="177">
        <f>COUNTIFS(
    estq[empresa], BH$6,
    estq[Data da venda / reserva], "&gt;=" &amp; $A71,
    estq[Data da venda / reserva], "&lt;"  &amp; EOMONTH($A71,0) + 1
)</f>
        <v>0</v>
      </c>
      <c r="BI71" s="178">
        <f ca="1">SUMIFS(rec.uni[2026-09-01],
INDIRECT("rec.uni[natureza]"),"pro.soluto",
INDIRECT("rec.uni[empresa]"),BI$6)</f>
        <v>0</v>
      </c>
      <c r="BJ71" s="182">
        <f ca="1">SUMIFS(rec.uni[2026-09-01],
INDIRECT("rec.uni[natureza]"),"parcela.fin.total.ik",
INDIRECT("rec.uni[empresa]"),BJ$6)</f>
        <v>0</v>
      </c>
      <c r="BK71" s="178">
        <f ca="1">SUMIFS(rec.uni[2026-09-01],
INDIRECT("rec.uni[natureza]"),"taxa.extra",
INDIRECT("rec.uni[empresa]"),BK$6)</f>
        <v>0</v>
      </c>
      <c r="BL71" s="166"/>
      <c r="BM71" s="166" cm="1">
        <f t="array" ref="BM71">SUMPRODUCT(
  IFERROR(--desp[valor],0)*
  (desp[nucleo]="UP POMPEIA")*
  (desp[categoria]=BM$7)*
  (desp[data.pagamento]&gt;=$A71)*
  (desp[data.pagamento]&lt;EOMONTH($A71,0)+1)
)</f>
        <v>0</v>
      </c>
      <c r="BN71" s="166" cm="1">
        <f t="array" ref="BN71">SUMPRODUCT(
  IFERROR(--desp[valor],0)*
  (desp[nucleo]="UP POMPEIA")*
  (desp[categoria]=BN$7)*
  (desp[data.pagamento]&gt;=$A71)*
  (desp[data.pagamento]&lt;EOMONTH($A71,0)+1)
)</f>
        <v>0</v>
      </c>
      <c r="BO71" s="166" cm="1">
        <f t="array" ref="BO71">SUMPRODUCT(
  IFERROR(--desp[valor],0)*
  (desp[nucleo]="UP POMPEIA")*
  (desp[categoria]=BO$7)*
  (desp[data.pagamento]&gt;=$A71)*
  (desp[data.pagamento]&lt;EOMONTH($A71,0)+1)
)</f>
        <v>0</v>
      </c>
      <c r="BP71" s="166" cm="1">
        <f t="array" ref="BP71">SUMPRODUCT(
  IFERROR(--desp[valor],0)*
  (desp[nucleo]="UP POMPEIA")*
  (desp[categoria]=BP$7)*
  (desp[data.pagamento]&gt;=$A71)*
  (desp[data.pagamento]&lt;EOMONTH($A71,0)+1)
)</f>
        <v>0</v>
      </c>
      <c r="BQ71" s="166" cm="1">
        <f t="array" ref="BQ71">SUMPRODUCT(
  IFERROR(--desp[valor],0)*
  (desp[nucleo]="UP POMPEIA")*
  (desp[categoria]=BQ$7)*
  (desp[data.pagamento]&gt;=$A71)*
  (desp[data.pagamento]&lt;EOMONTH($A71,0)+1)
)</f>
        <v>0</v>
      </c>
      <c r="BR71" s="177">
        <f>COUNTIFS(
    estq[empresa], BR$6,
    estq[Data da venda / reserva], "&gt;=" &amp; $A71,
    estq[Data da venda / reserva], "&lt;"  &amp; EOMONTH($A71,0) + 1
)</f>
        <v>0</v>
      </c>
      <c r="BS71" s="178">
        <f ca="1">SUMIFS(rec.uni[2026-09-01],
INDIRECT("rec.uni[natureza]"),"pro.soluto",
INDIRECT("rec.uni[empresa]"),BS$6)</f>
        <v>0</v>
      </c>
      <c r="BT71" s="182">
        <f ca="1">SUMIFS(rec.uni[2026-09-01],
INDIRECT("rec.uni[natureza]"),"pro.soluto",
INDIRECT("rec.uni[empresa]"),BT$6)</f>
        <v>0</v>
      </c>
      <c r="BU71" s="178">
        <f ca="1">SUMIFS(rec.uni[2026-09-01],
INDIRECT("rec.uni[natureza]"),"taxa.extra",
INDIRECT("rec.uni[empresa]"),BU$6)</f>
        <v>0</v>
      </c>
      <c r="BV71" s="166"/>
      <c r="BW71" s="166" cm="1">
        <f t="array" ref="BW71">SUMPRODUCT(
  IFERROR(--desp[valor],0)*
  (desp[nucleo]="UP SAUDE")*
  (desp[categoria]=BW$7)*
  (desp[data.pagamento]&gt;=$A71)*
  (desp[data.pagamento]&lt;EOMONTH($A71,0)+1)
)</f>
        <v>0</v>
      </c>
      <c r="BX71" s="166" cm="1">
        <f t="array" ref="BX71">SUMPRODUCT(
  IFERROR(--desp[valor],0)*
  (desp[nucleo]="UP SAUDE")*
  (desp[categoria]=BX$7)*
  (desp[data.pagamento]&gt;=$A71)*
  (desp[data.pagamento]&lt;EOMONTH($A71,0)+1)
)</f>
        <v>0</v>
      </c>
      <c r="BY71" s="166" cm="1">
        <f t="array" ref="BY71">SUMPRODUCT(
  IFERROR(--desp[valor],0)*
  (desp[nucleo]="UP SAUDE")*
  (desp[categoria]=BY$7)*
  (desp[data.pagamento]&gt;=$A71)*
  (desp[data.pagamento]&lt;EOMONTH($A71,0)+1)
)</f>
        <v>0</v>
      </c>
      <c r="BZ71" s="166" cm="1">
        <f t="array" ref="BZ71">SUMPRODUCT(
  IFERROR(--desp[valor],0)*
  (desp[nucleo]="UP SAUDE")*
  (desp[categoria]=BZ$7)*
  (desp[data.pagamento]&gt;=$A71)*
  (desp[data.pagamento]&lt;EOMONTH($A71,0)+1)
)</f>
        <v>0</v>
      </c>
      <c r="CA71" s="166" cm="1">
        <f t="array" ref="CA71">SUMPRODUCT(
  IFERROR(--desp[valor],0)*
  (desp[nucleo]="UP SAUDE")*
  (desp[categoria]=CA$7)*
  (desp[data.pagamento]&gt;=$A71)*
  (desp[data.pagamento]&lt;EOMONTH($A71,0)+1)
)</f>
        <v>0</v>
      </c>
      <c r="CB71" s="177">
        <f>COUNTIFS(
    estq[empresa], CB$6,
    estq[Data da venda / reserva], "&gt;=" &amp; $A71,
    estq[Data da venda / reserva], "&lt;"  &amp; EOMONTH($A71,0) + 1
)</f>
        <v>0</v>
      </c>
      <c r="CC71" s="178">
        <f ca="1">SUMIFS(rec.uni[2026-09-01],
INDIRECT("rec.uni[natureza]"),"pro.soluto",
INDIRECT("rec.uni[empresa]"),CC$6)</f>
        <v>0</v>
      </c>
      <c r="CD71" s="178">
        <f ca="1">SUMIFS(rec.uni[2026-09-01],
INDIRECT("rec.uni[natureza]"),"repasse.cef.obra",
INDIRECT("rec.uni[empresa]"),CD$6)</f>
        <v>0</v>
      </c>
      <c r="CE71" s="181">
        <f ca="1">SUMIFS(rec.uni[2026-09-01],
INDIRECT("rec.uni[natureza]"),"repasse.cef.terreno",
INDIRECT("rec.uni[empresa]"),CE$6)</f>
        <v>0</v>
      </c>
      <c r="CF71" s="182"/>
      <c r="CG71" s="178">
        <f ca="1">SUMIFS(rec.uni[2026-09-01],
INDIRECT("rec.uni[natureza]"),"taxa.extra",
INDIRECT("rec.uni[empresa]"),CG$6)</f>
        <v>0</v>
      </c>
      <c r="CH71" s="166"/>
      <c r="CI71" s="166" cm="1">
        <f t="array" ref="CI71">SUMPRODUCT(
  IFERROR(--desp[valor],0)*
  (desp[nucleo]="UP ESTAÇÃO VILA SONIA")*
  (desp[categoria]=CI$7)*
  (desp[data.pagamento]&gt;=$A71)*
  (desp[data.pagamento]&lt;EOMONTH($A71,0)+1)
)</f>
        <v>0</v>
      </c>
      <c r="CJ71" s="166" cm="1">
        <f t="array" ref="CJ71">SUMPRODUCT(
  IFERROR(--desp[valor],0)*
  (desp[nucleo]="UP ESTAÇÃO VILA SONIA")*
  (desp[categoria]=CJ$7)*
  (desp[data.pagamento]&gt;=$A71)*
  (desp[data.pagamento]&lt;EOMONTH($A71,0)+1)
)</f>
        <v>0</v>
      </c>
      <c r="CK71" s="166" cm="1">
        <f t="array" ref="CK71">SUMPRODUCT(
  IFERROR(--desp[valor],0)*
  (desp[nucleo]="UP ESTAÇÃO VILA SONIA")*
  (desp[categoria]=CK$7)*
  (desp[data.pagamento]&gt;=$A71)*
  (desp[data.pagamento]&lt;EOMONTH($A71,0)+1)
)</f>
        <v>0</v>
      </c>
      <c r="CL71" s="166" cm="1">
        <f t="array" ref="CL71">SUMPRODUCT(
  IFERROR(--desp[valor],0)*
  (desp[nucleo]="UP ESTAÇÃO VILA SONIA")*
  (desp[categoria]=CL$7)*
  (desp[data.pagamento]&gt;=$A71)*
  (desp[data.pagamento]&lt;EOMONTH($A71,0)+1)
)</f>
        <v>0</v>
      </c>
      <c r="CM71" s="166" cm="1">
        <f t="array" ref="CM71">SUMPRODUCT(
  IFERROR(--desp[valor],0)*
  (desp[nucleo]="UP ESTAÇÃO VILA SONIA")*
  (desp[categoria]=CM$7)*
  (desp[data.pagamento]&gt;=$A71)*
  (desp[data.pagamento]&lt;EOMONTH($A71,0)+1)
)</f>
        <v>0</v>
      </c>
      <c r="CN71" s="177">
        <f>COUNTIFS(
    estq[empresa], CN$6,
    estq[Data da venda / reserva], "&gt;=" &amp; $A71,
    estq[Data da venda / reserva], "&lt;"  &amp; EOMONTH($A71,0) + 1
)</f>
        <v>0</v>
      </c>
      <c r="CO71" s="178">
        <f ca="1">SUMIFS(rec.uni[2026-09-01],
INDIRECT("rec.uni[natureza]"),"pro.soluto",
INDIRECT("rec.uni[empresa]"),CO$6)</f>
        <v>0</v>
      </c>
      <c r="CP71" s="178">
        <f ca="1">SUMIFS(rec.uni[2026-09-01],
INDIRECT("rec.uni[natureza]"),"repasse.cef.obra",
INDIRECT("rec.uni[empresa]"),CP$6)</f>
        <v>0</v>
      </c>
      <c r="CQ71" s="181">
        <f ca="1">SUMIFS(rec.uni[2026-09-01],
INDIRECT("rec.uni[natureza]"),"repasse.cef.terreno",
INDIRECT("rec.uni[empresa]"),CQ$6)</f>
        <v>0</v>
      </c>
      <c r="CR71" s="182"/>
      <c r="CS71" s="178">
        <f ca="1">SUMIFS(rec.uni[2026-09-01],
INDIRECT("rec.uni[natureza]"),"taxa.extra",
INDIRECT("rec.uni[empresa]"),CS$6)</f>
        <v>0</v>
      </c>
      <c r="CT71" s="166"/>
      <c r="CU71" s="166" cm="1">
        <f t="array" ref="CU71">SUMPRODUCT(
  IFERROR(--desp[valor],0)*
  (desp[nucleo]="UP MOVE VILA SONIA")*
  (desp[categoria]=CU$7)*
  (desp[data.pagamento]&gt;=$A71)*
  (desp[data.pagamento]&lt;EOMONTH($A71,0)+1)
)</f>
        <v>0</v>
      </c>
      <c r="CV71" s="166" cm="1">
        <f t="array" ref="CV71">SUMPRODUCT(
  IFERROR(--desp[valor],0)*
  (desp[nucleo]="UP MOVE VILA SONIA")*
  (desp[categoria]=CV$7)*
  (desp[data.pagamento]&gt;=$A71)*
  (desp[data.pagamento]&lt;EOMONTH($A71,0)+1)
)</f>
        <v>0</v>
      </c>
      <c r="CW71" s="166" cm="1">
        <f t="array" ref="CW71">SUMPRODUCT(
  IFERROR(--desp[valor],0)*
  (desp[nucleo]="UP MOVE VILA SONIA")*
  (desp[categoria]=CW$7)*
  (desp[data.pagamento]&gt;=$A71)*
  (desp[data.pagamento]&lt;EOMONTH($A71,0)+1)
)</f>
        <v>0</v>
      </c>
      <c r="CX71" s="166" cm="1">
        <f t="array" ref="CX71">SUMPRODUCT(
  IFERROR(--desp[valor],0)*
  (desp[nucleo]="UP MOVE VILA SONIA")*
  (desp[categoria]=CX$7)*
  (desp[data.pagamento]&gt;=$A71)*
  (desp[data.pagamento]&lt;EOMONTH($A71,0)+1)
)</f>
        <v>0</v>
      </c>
      <c r="CY71" s="291" cm="1">
        <f t="array" ref="CY71">SUMPRODUCT(
  IFERROR(--desp[valor],0)*
  (desp[nucleo]="UP MOVE VILA SONIA")*
  (desp[categoria]=CY$7)*
  (desp[data.pagamento]&gt;=$A71)*
  (desp[data.pagamento]&lt;EOMONTH($A71,0)+1)
)</f>
        <v>0</v>
      </c>
    </row>
    <row r="72" spans="1:103" x14ac:dyDescent="0.25">
      <c r="A72" s="176">
        <v>46296</v>
      </c>
      <c r="B72" s="177">
        <f>COUNTIFS(
    estq[empresa], B$6,
    estq[Data da venda / reserva], "&gt;=" &amp; $A72,
    estq[Data da venda / reserva], "&lt;"  &amp; EOMONTH($A72,0) + 1
)</f>
        <v>0</v>
      </c>
      <c r="C72" s="178">
        <f ca="1">SUMIFS(rec.uni[2026-10-01],
INDIRECT("rec.uni[natureza]"),"pro.soluto",
INDIRECT("rec.uni[empresa]"),C$6)</f>
        <v>0</v>
      </c>
      <c r="D72" s="178">
        <f ca="1">SUMIFS(rec.uni[2026-10-01],
INDIRECT("rec.uni[natureza]"),"repasse.cef.obra",
INDIRECT("rec.uni[empresa]"),D$6)</f>
        <v>0</v>
      </c>
      <c r="E72" s="178">
        <f ca="1">SUMIFS(rec.uni[2026-10-01],
INDIRECT("rec.uni[natureza]"),"repasse.cef.terreno",
INDIRECT("rec.uni[empresa]"),E$6)</f>
        <v>0</v>
      </c>
      <c r="F72" s="182"/>
      <c r="G72" s="178">
        <f ca="1">SUMIFS(rec.uni[2026-10-01],
INDIRECT("rec.uni[natureza]"),"taxa.extra",
INDIRECT("rec.uni[empresa]"),G$6)</f>
        <v>0</v>
      </c>
      <c r="H72" s="166"/>
      <c r="I72" s="166" cm="1">
        <f t="array" ref="I72">SUMPRODUCT(
  IFERROR(--desp[valor],0)*
  (desp[nucleo]="UP JARDIM PRUDENCIA")*
  (desp[categoria]=I$7)*
  (desp[data.pagamento]&gt;=$A72)*
  (desp[data.pagamento]&lt;EOMONTH($A72,0)+1)
)</f>
        <v>0</v>
      </c>
      <c r="J72" s="166" cm="1">
        <f t="array" ref="J72">SUMPRODUCT(
  IFERROR(--desp[valor],0)*
  (desp[nucleo]="UP JARDIM PRUDENCIA")*
  (desp[categoria]=J$7)*
  (desp[data.pagamento]&gt;=$A72)*
  (desp[data.pagamento]&lt;EOMONTH($A72,0)+1)
)</f>
        <v>0</v>
      </c>
      <c r="K72" s="166" cm="1">
        <f t="array" ref="K72">SUMPRODUCT(
  IFERROR(--desp[valor],0)*
  (desp[nucleo]="UP JARDIM PRUDENCIA")*
  (desp[categoria]=K$7)*
  (desp[data.pagamento]&gt;=$A72)*
  (desp[data.pagamento]&lt;EOMONTH($A72,0)+1)
)</f>
        <v>0</v>
      </c>
      <c r="L72" s="166" cm="1">
        <f t="array" ref="L72">SUMPRODUCT(
  IFERROR(--desp[valor],0)*
  (desp[nucleo]="UP JARDIM PRUDENCIA")*
  (desp[categoria]=L$7)*
  (desp[data.pagamento]&gt;=$A72)*
  (desp[data.pagamento]&lt;EOMONTH($A72,0)+1)
)</f>
        <v>0</v>
      </c>
      <c r="M72" s="166" cm="1">
        <f t="array" ref="M72">SUMPRODUCT(
  IFERROR(--desp[valor],0)*
  (desp[nucleo]="UP JARDIM PRUDENCIA")*
  (desp[categoria]=M$7)*
  (desp[data.pagamento]&gt;=$A72)*
  (desp[data.pagamento]&lt;EOMONTH($A72,0)+1)
)</f>
        <v>0</v>
      </c>
      <c r="N72" s="177">
        <f>COUNTIFS(
    estq[empresa], N$6,
    estq[Data da venda / reserva], "&gt;=" &amp; $A72,
    estq[Data da venda / reserva], "&lt;"  &amp; EOMONTH($A72,0) + 1
)</f>
        <v>0</v>
      </c>
      <c r="O72" s="178">
        <f ca="1">SUMIFS(rec.uni[2026-10-01],
INDIRECT("rec.uni[natureza]"),"pro.soluto",
INDIRECT("rec.uni[empresa]"),O$6)</f>
        <v>0</v>
      </c>
      <c r="P72" s="178">
        <f ca="1">SUMIFS(rec.uni[2026-10-01],
INDIRECT("rec.uni[natureza]"),"repasse.cef.obra",
INDIRECT("rec.uni[empresa]"),P$6)</f>
        <v>0</v>
      </c>
      <c r="Q72" s="178">
        <f ca="1">SUMIFS(rec.uni[2026-10-01],
INDIRECT("rec.uni[natureza]"),"repasse.cef.terreno",
INDIRECT("rec.uni[empresa]"),Q$6)</f>
        <v>0</v>
      </c>
      <c r="R72" s="182"/>
      <c r="S72" s="178">
        <f ca="1">SUMIFS(rec.uni[2026-10-01],
INDIRECT("rec.uni[natureza]"),"taxa.extra",
INDIRECT("rec.uni[empresa]"),S$6)</f>
        <v>0</v>
      </c>
      <c r="T72" s="166"/>
      <c r="U72" s="166" cm="1">
        <f t="array" ref="U72">SUMPRODUCT(
  IFERROR(--desp[valor],0)*
  (desp[nucleo]="UP VILA SONIA")*
  (desp[categoria]=U$7)*
  (desp[data.pagamento]&gt;=$A72)*
  (desp[data.pagamento]&lt;EOMONTH($A72,0)+1)
)</f>
        <v>0</v>
      </c>
      <c r="V72" s="166" cm="1">
        <f t="array" ref="V72">SUMPRODUCT(
  IFERROR(--desp[valor],0)*
  (desp[nucleo]="UP VILA SONIA")*
  (desp[categoria]=V$7)*
  (desp[data.pagamento]&gt;=$A72)*
  (desp[data.pagamento]&lt;EOMONTH($A72,0)+1)
)</f>
        <v>0</v>
      </c>
      <c r="W72" s="166" cm="1">
        <f t="array" ref="W72">SUMPRODUCT(
  IFERROR(--desp[valor],0)*
  (desp[nucleo]="UP VILA SONIA")*
  (desp[categoria]=W$7)*
  (desp[data.pagamento]&gt;=$A72)*
  (desp[data.pagamento]&lt;EOMONTH($A72,0)+1)
)</f>
        <v>0</v>
      </c>
      <c r="X72" s="166" cm="1">
        <f t="array" ref="X72">SUMPRODUCT(
  IFERROR(--desp[valor],0)*
  (desp[nucleo]="UP VILA SONIA")*
  (desp[categoria]=X$7)*
  (desp[data.pagamento]&gt;=$A72)*
  (desp[data.pagamento]&lt;EOMONTH($A72,0)+1)
)</f>
        <v>0</v>
      </c>
      <c r="Y72" s="166" cm="1">
        <f t="array" ref="Y72">SUMPRODUCT(
  IFERROR(--desp[valor],0)*
  (desp[nucleo]="UP VILA SONIA")*
  (desp[categoria]=Y$7)*
  (desp[data.pagamento]&gt;=$A72)*
  (desp[data.pagamento]&lt;EOMONTH($A72,0)+1)
)</f>
        <v>0</v>
      </c>
      <c r="Z72" s="177">
        <f>COUNTIFS(
    estq[empresa], Z$6,
    estq[Data da venda / reserva], "&gt;=" &amp; $A72,
    estq[Data da venda / reserva], "&lt;"  &amp; EOMONTH($A72,0) + 1
)</f>
        <v>0</v>
      </c>
      <c r="AA72" s="178">
        <f ca="1">SUMIFS(rec.uni[2026-10-01],
INDIRECT("rec.uni[natureza]"),"pro.soluto",
INDIRECT("rec.uni[empresa]"),AA$6)</f>
        <v>0</v>
      </c>
      <c r="AB72" s="182">
        <f ca="1">SUMIFS(rec.uni[2026-10-01],
INDIRECT("rec.uni[natureza]"),"pro.soluto",
INDIRECT("rec.uni[empresa]"),AB$6)</f>
        <v>0</v>
      </c>
      <c r="AC72" s="178">
        <f ca="1">SUMIFS(rec.uni[2026-10-01],
INDIRECT("rec.uni[natureza]"),"taxa.extra",
INDIRECT("rec.uni[empresa]"),AC$6)</f>
        <v>0</v>
      </c>
      <c r="AD72" s="166"/>
      <c r="AE72" s="166" cm="1">
        <f t="array" ref="AE72">SUMPRODUCT(
  IFERROR(--desp[valor],0)*
  (desp[nucleo]="UP CAMPO BELO")*
  (desp[categoria]=AE$7)*
  (desp[data.pagamento]&gt;=$A72)*
  (desp[data.pagamento]&lt;EOMONTH($A72,0)+1)
)</f>
        <v>0</v>
      </c>
      <c r="AF72" s="166" cm="1">
        <f t="array" ref="AF72">SUMPRODUCT(
  IFERROR(--desp[valor],0)*
  (desp[nucleo]="UP CAMPO BELO")*
  (desp[categoria]=AF$7)*
  (desp[data.pagamento]&gt;=$A72)*
  (desp[data.pagamento]&lt;EOMONTH($A72,0)+1)
)</f>
        <v>0</v>
      </c>
      <c r="AG72" s="166" cm="1">
        <f t="array" ref="AG72">SUMPRODUCT(
  IFERROR(--desp[valor],0)*
  (desp[nucleo]="UP CAMPO BELO")*
  (desp[categoria]=AG$7)*
  (desp[data.pagamento]&gt;=$A72)*
  (desp[data.pagamento]&lt;EOMONTH($A72,0)+1)
)</f>
        <v>0</v>
      </c>
      <c r="AH72" s="166" cm="1">
        <f t="array" ref="AH72">SUMPRODUCT(
  IFERROR(--desp[valor],0)*
  (desp[nucleo]="UP CAMPO BELO")*
  (desp[categoria]=AH$7)*
  (desp[data.pagamento]&gt;=$A72)*
  (desp[data.pagamento]&lt;EOMONTH($A72,0)+1)
)</f>
        <v>0</v>
      </c>
      <c r="AI72" s="166" cm="1">
        <f t="array" ref="AI72">SUMPRODUCT(
  IFERROR(--desp[valor],0)*
  (desp[nucleo]="UP CAMPO BELO")*
  (desp[categoria]=AI$7)*
  (desp[data.pagamento]&gt;=$A72)*
  (desp[data.pagamento]&lt;EOMONTH($A72,0)+1)
)</f>
        <v>0</v>
      </c>
      <c r="AJ72" s="177">
        <f>COUNTIFS(
    estq[empresa], AJ$6,
    estq[Data da venda / reserva], "&gt;=" &amp; $A72,
    estq[Data da venda / reserva], "&lt;"  &amp; EOMONTH($A72,0) + 1
)</f>
        <v>0</v>
      </c>
      <c r="AK72" s="178">
        <f ca="1">SUMIFS(rec.uni[2026-10-01],
INDIRECT("rec.uni[natureza]"),"pro.soluto",
INDIRECT("rec.uni[empresa]"),AK$6)</f>
        <v>0</v>
      </c>
      <c r="AL72" s="178">
        <f ca="1">SUMIFS(rec.uni[2026-10-01],
INDIRECT("rec.uni[natureza]"),"repasse.cef.obra",
INDIRECT("rec.uni[empresa]"),AL$6)</f>
        <v>0</v>
      </c>
      <c r="AM72" s="181">
        <f ca="1">SUMIFS(rec.uni[2026-10-01],
INDIRECT("rec.uni[natureza]"),"repasse.cef.terreno",
INDIRECT("rec.uni[empresa]"),AM$6)</f>
        <v>0</v>
      </c>
      <c r="AN72" s="182"/>
      <c r="AO72" s="178">
        <f ca="1">SUMIFS(rec.uni[2026-10-01],
INDIRECT("rec.uni[natureza]"),"taxa.extra",
INDIRECT("rec.uni[empresa]"),AO$6)</f>
        <v>0</v>
      </c>
      <c r="AP72" s="166"/>
      <c r="AQ72" s="166" cm="1">
        <f t="array" ref="AQ72">SUMPRODUCT(
  IFERROR(--desp[valor],0)*
  (desp[nucleo]="UP SELECT VILA SONIA")*
  (desp[categoria]=AQ$7)*
  (desp[data.pagamento]&gt;=$A72)*
  (desp[data.pagamento]&lt;EOMONTH($A72,0)+1)
)</f>
        <v>0</v>
      </c>
      <c r="AR72" s="166" cm="1">
        <f t="array" ref="AR72">SUMPRODUCT(
  IFERROR(--desp[valor],0)*
  (desp[nucleo]="UP SELECT VILA SONIA")*
  (desp[categoria]=AR$7)*
  (desp[data.pagamento]&gt;=$A72)*
  (desp[data.pagamento]&lt;EOMONTH($A72,0)+1)
)</f>
        <v>0</v>
      </c>
      <c r="AS72" s="166" cm="1">
        <f t="array" ref="AS72">SUMPRODUCT(
  IFERROR(--desp[valor],0)*
  (desp[nucleo]="UP SELECT VILA SONIA")*
  (desp[categoria]=AS$7)*
  (desp[data.pagamento]&gt;=$A72)*
  (desp[data.pagamento]&lt;EOMONTH($A72,0)+1)
)</f>
        <v>0</v>
      </c>
      <c r="AT72" s="166" cm="1">
        <f t="array" ref="AT72">SUMPRODUCT(
  IFERROR(--desp[valor],0)*
  (desp[nucleo]="UP SELECT VILA SONIA")*
  (desp[categoria]=AT$7)*
  (desp[data.pagamento]&gt;=$A72)*
  (desp[data.pagamento]&lt;EOMONTH($A72,0)+1)
)</f>
        <v>0</v>
      </c>
      <c r="AU72" s="166" cm="1">
        <f t="array" ref="AU72">SUMPRODUCT(
  IFERROR(--desp[valor],0)*
  (desp[nucleo]="UP SELECT VILA SONIA")*
  (desp[categoria]=AU$7)*
  (desp[data.pagamento]&gt;=$A72)*
  (desp[data.pagamento]&lt;EOMONTH($A72,0)+1)
)</f>
        <v>0</v>
      </c>
      <c r="AV72" s="177">
        <f>COUNTIFS(
    estq[empresa], AV$6,
    estq[Data da venda / reserva], "&gt;=" &amp; $A72,
    estq[Data da venda / reserva], "&lt;"  &amp; EOMONTH($A72,0) + 1
)</f>
        <v>0</v>
      </c>
      <c r="AW72" s="178">
        <f ca="1">SUMIFS(rec.uni[2026-10-01],
INDIRECT("rec.uni[natureza]"),"pro.soluto",
INDIRECT("rec.uni[empresa]"),AW$6)</f>
        <v>0</v>
      </c>
      <c r="AX72" s="178">
        <f ca="1">SUMIFS(rec.uni[2026-10-01],
INDIRECT("rec.uni[natureza]"),"repasse.cef.obra",
INDIRECT("rec.uni[empresa]"),AX$6)</f>
        <v>0</v>
      </c>
      <c r="AY72" s="181">
        <f ca="1">SUMIFS(rec.uni[2026-10-01],
INDIRECT("rec.uni[natureza]"),"repasse.cef.terreno",
INDIRECT("rec.uni[empresa]"),AY$6)</f>
        <v>0</v>
      </c>
      <c r="AZ72" s="182"/>
      <c r="BA72" s="178">
        <f ca="1">SUMIFS(rec.uni[2026-10-01],
INDIRECT("rec.uni[natureza]"),"taxa.extra",
INDIRECT("rec.uni[empresa]"),BA$6)</f>
        <v>0</v>
      </c>
      <c r="BB72" s="166"/>
      <c r="BC72" s="166" cm="1">
        <f t="array" ref="BC72">SUMPRODUCT(
  IFERROR(--desp[valor],0)*
  (desp[nucleo]="UP ESTAÇÃO SÃO LUCAS")*
  (desp[categoria]=BC$7)*
  (desp[data.pagamento]&gt;=$A72)*
  (desp[data.pagamento]&lt;EOMONTH($A72,0)+1)
)</f>
        <v>0</v>
      </c>
      <c r="BD72" s="166" cm="1">
        <f t="array" ref="BD72">SUMPRODUCT(
  IFERROR(--desp[valor],0)*
  (desp[nucleo]="UP ESTAÇÃO SÃO LUCAS")*
  (desp[categoria]=BD$7)*
  (desp[data.pagamento]&gt;=$A72)*
  (desp[data.pagamento]&lt;EOMONTH($A72,0)+1)
)</f>
        <v>0</v>
      </c>
      <c r="BE72" s="166" cm="1">
        <f t="array" ref="BE72">SUMPRODUCT(
  IFERROR(--desp[valor],0)*
  (desp[nucleo]="UP ESTAÇÃO SÃO LUCAS")*
  (desp[categoria]=BE$7)*
  (desp[data.pagamento]&gt;=$A72)*
  (desp[data.pagamento]&lt;EOMONTH($A72,0)+1)
)</f>
        <v>0</v>
      </c>
      <c r="BF72" s="166" cm="1">
        <f t="array" ref="BF72">SUMPRODUCT(
  IFERROR(--desp[valor],0)*
  (desp[nucleo]="UP ESTAÇÃO SÃO LUCAS")*
  (desp[categoria]=BF$7)*
  (desp[data.pagamento]&gt;=$A72)*
  (desp[data.pagamento]&lt;EOMONTH($A72,0)+1)
)</f>
        <v>0</v>
      </c>
      <c r="BG72" s="166" cm="1">
        <f t="array" ref="BG72">SUMPRODUCT(
  IFERROR(--desp[valor],0)*
  (desp[nucleo]="UP ESTAÇÃO SÃO LUCAS")*
  (desp[categoria]=BG$7)*
  (desp[data.pagamento]&gt;=$A72)*
  (desp[data.pagamento]&lt;EOMONTH($A72,0)+1)
)</f>
        <v>0</v>
      </c>
      <c r="BH72" s="177">
        <f>COUNTIFS(
    estq[empresa], BH$6,
    estq[Data da venda / reserva], "&gt;=" &amp; $A72,
    estq[Data da venda / reserva], "&lt;"  &amp; EOMONTH($A72,0) + 1
)</f>
        <v>0</v>
      </c>
      <c r="BI72" s="178">
        <f ca="1">SUMIFS(rec.uni[2026-10-01],
INDIRECT("rec.uni[natureza]"),"pro.soluto",
INDIRECT("rec.uni[empresa]"),BI$6)</f>
        <v>0</v>
      </c>
      <c r="BJ72" s="182">
        <f ca="1">SUMIFS(rec.uni[2026-10-01],
INDIRECT("rec.uni[natureza]"),"parcela.fin.total.ik",
INDIRECT("rec.uni[empresa]"),BJ$6)</f>
        <v>0</v>
      </c>
      <c r="BK72" s="178">
        <f ca="1">SUMIFS(rec.uni[2026-10-01],
INDIRECT("rec.uni[natureza]"),"taxa.extra",
INDIRECT("rec.uni[empresa]"),BK$6)</f>
        <v>0</v>
      </c>
      <c r="BL72" s="166"/>
      <c r="BM72" s="166" cm="1">
        <f t="array" ref="BM72">SUMPRODUCT(
  IFERROR(--desp[valor],0)*
  (desp[nucleo]="UP POMPEIA")*
  (desp[categoria]=BM$7)*
  (desp[data.pagamento]&gt;=$A72)*
  (desp[data.pagamento]&lt;EOMONTH($A72,0)+1)
)</f>
        <v>0</v>
      </c>
      <c r="BN72" s="166" cm="1">
        <f t="array" ref="BN72">SUMPRODUCT(
  IFERROR(--desp[valor],0)*
  (desp[nucleo]="UP POMPEIA")*
  (desp[categoria]=BN$7)*
  (desp[data.pagamento]&gt;=$A72)*
  (desp[data.pagamento]&lt;EOMONTH($A72,0)+1)
)</f>
        <v>0</v>
      </c>
      <c r="BO72" s="166" cm="1">
        <f t="array" ref="BO72">SUMPRODUCT(
  IFERROR(--desp[valor],0)*
  (desp[nucleo]="UP POMPEIA")*
  (desp[categoria]=BO$7)*
  (desp[data.pagamento]&gt;=$A72)*
  (desp[data.pagamento]&lt;EOMONTH($A72,0)+1)
)</f>
        <v>0</v>
      </c>
      <c r="BP72" s="166" cm="1">
        <f t="array" ref="BP72">SUMPRODUCT(
  IFERROR(--desp[valor],0)*
  (desp[nucleo]="UP POMPEIA")*
  (desp[categoria]=BP$7)*
  (desp[data.pagamento]&gt;=$A72)*
  (desp[data.pagamento]&lt;EOMONTH($A72,0)+1)
)</f>
        <v>0</v>
      </c>
      <c r="BQ72" s="166" cm="1">
        <f t="array" ref="BQ72">SUMPRODUCT(
  IFERROR(--desp[valor],0)*
  (desp[nucleo]="UP POMPEIA")*
  (desp[categoria]=BQ$7)*
  (desp[data.pagamento]&gt;=$A72)*
  (desp[data.pagamento]&lt;EOMONTH($A72,0)+1)
)</f>
        <v>0</v>
      </c>
      <c r="BR72" s="177">
        <f>COUNTIFS(
    estq[empresa], BR$6,
    estq[Data da venda / reserva], "&gt;=" &amp; $A72,
    estq[Data da venda / reserva], "&lt;"  &amp; EOMONTH($A72,0) + 1
)</f>
        <v>0</v>
      </c>
      <c r="BS72" s="178">
        <f ca="1">SUMIFS(rec.uni[2026-10-01],
INDIRECT("rec.uni[natureza]"),"pro.soluto",
INDIRECT("rec.uni[empresa]"),BS$6)</f>
        <v>0</v>
      </c>
      <c r="BT72" s="182">
        <f ca="1">SUMIFS(rec.uni[2026-10-01],
INDIRECT("rec.uni[natureza]"),"pro.soluto",
INDIRECT("rec.uni[empresa]"),BT$6)</f>
        <v>0</v>
      </c>
      <c r="BU72" s="178">
        <f ca="1">SUMIFS(rec.uni[2026-10-01],
INDIRECT("rec.uni[natureza]"),"taxa.extra",
INDIRECT("rec.uni[empresa]"),BU$6)</f>
        <v>0</v>
      </c>
      <c r="BV72" s="166"/>
      <c r="BW72" s="166" cm="1">
        <f t="array" ref="BW72">SUMPRODUCT(
  IFERROR(--desp[valor],0)*
  (desp[nucleo]="UP SAUDE")*
  (desp[categoria]=BW$7)*
  (desp[data.pagamento]&gt;=$A72)*
  (desp[data.pagamento]&lt;EOMONTH($A72,0)+1)
)</f>
        <v>0</v>
      </c>
      <c r="BX72" s="166" cm="1">
        <f t="array" ref="BX72">SUMPRODUCT(
  IFERROR(--desp[valor],0)*
  (desp[nucleo]="UP SAUDE")*
  (desp[categoria]=BX$7)*
  (desp[data.pagamento]&gt;=$A72)*
  (desp[data.pagamento]&lt;EOMONTH($A72,0)+1)
)</f>
        <v>0</v>
      </c>
      <c r="BY72" s="166" cm="1">
        <f t="array" ref="BY72">SUMPRODUCT(
  IFERROR(--desp[valor],0)*
  (desp[nucleo]="UP SAUDE")*
  (desp[categoria]=BY$7)*
  (desp[data.pagamento]&gt;=$A72)*
  (desp[data.pagamento]&lt;EOMONTH($A72,0)+1)
)</f>
        <v>0</v>
      </c>
      <c r="BZ72" s="166" cm="1">
        <f t="array" ref="BZ72">SUMPRODUCT(
  IFERROR(--desp[valor],0)*
  (desp[nucleo]="UP SAUDE")*
  (desp[categoria]=BZ$7)*
  (desp[data.pagamento]&gt;=$A72)*
  (desp[data.pagamento]&lt;EOMONTH($A72,0)+1)
)</f>
        <v>0</v>
      </c>
      <c r="CA72" s="166" cm="1">
        <f t="array" ref="CA72">SUMPRODUCT(
  IFERROR(--desp[valor],0)*
  (desp[nucleo]="UP SAUDE")*
  (desp[categoria]=CA$7)*
  (desp[data.pagamento]&gt;=$A72)*
  (desp[data.pagamento]&lt;EOMONTH($A72,0)+1)
)</f>
        <v>0</v>
      </c>
      <c r="CB72" s="177">
        <f>COUNTIFS(
    estq[empresa], CB$6,
    estq[Data da venda / reserva], "&gt;=" &amp; $A72,
    estq[Data da venda / reserva], "&lt;"  &amp; EOMONTH($A72,0) + 1
)</f>
        <v>0</v>
      </c>
      <c r="CC72" s="178">
        <f ca="1">SUMIFS(rec.uni[2026-10-01],
INDIRECT("rec.uni[natureza]"),"pro.soluto",
INDIRECT("rec.uni[empresa]"),CC$6)</f>
        <v>0</v>
      </c>
      <c r="CD72" s="178">
        <f ca="1">SUMIFS(rec.uni[2026-10-01],
INDIRECT("rec.uni[natureza]"),"repasse.cef.obra",
INDIRECT("rec.uni[empresa]"),CD$6)</f>
        <v>0</v>
      </c>
      <c r="CE72" s="181">
        <f ca="1">SUMIFS(rec.uni[2026-10-01],
INDIRECT("rec.uni[natureza]"),"repasse.cef.terreno",
INDIRECT("rec.uni[empresa]"),CE$6)</f>
        <v>0</v>
      </c>
      <c r="CF72" s="182"/>
      <c r="CG72" s="178">
        <f ca="1">SUMIFS(rec.uni[2026-10-01],
INDIRECT("rec.uni[natureza]"),"taxa.extra",
INDIRECT("rec.uni[empresa]"),CG$6)</f>
        <v>0</v>
      </c>
      <c r="CH72" s="166"/>
      <c r="CI72" s="166" cm="1">
        <f t="array" ref="CI72">SUMPRODUCT(
  IFERROR(--desp[valor],0)*
  (desp[nucleo]="UP ESTAÇÃO VILA SONIA")*
  (desp[categoria]=CI$7)*
  (desp[data.pagamento]&gt;=$A72)*
  (desp[data.pagamento]&lt;EOMONTH($A72,0)+1)
)</f>
        <v>0</v>
      </c>
      <c r="CJ72" s="166" cm="1">
        <f t="array" ref="CJ72">SUMPRODUCT(
  IFERROR(--desp[valor],0)*
  (desp[nucleo]="UP ESTAÇÃO VILA SONIA")*
  (desp[categoria]=CJ$7)*
  (desp[data.pagamento]&gt;=$A72)*
  (desp[data.pagamento]&lt;EOMONTH($A72,0)+1)
)</f>
        <v>0</v>
      </c>
      <c r="CK72" s="166" cm="1">
        <f t="array" ref="CK72">SUMPRODUCT(
  IFERROR(--desp[valor],0)*
  (desp[nucleo]="UP ESTAÇÃO VILA SONIA")*
  (desp[categoria]=CK$7)*
  (desp[data.pagamento]&gt;=$A72)*
  (desp[data.pagamento]&lt;EOMONTH($A72,0)+1)
)</f>
        <v>0</v>
      </c>
      <c r="CL72" s="166" cm="1">
        <f t="array" ref="CL72">SUMPRODUCT(
  IFERROR(--desp[valor],0)*
  (desp[nucleo]="UP ESTAÇÃO VILA SONIA")*
  (desp[categoria]=CL$7)*
  (desp[data.pagamento]&gt;=$A72)*
  (desp[data.pagamento]&lt;EOMONTH($A72,0)+1)
)</f>
        <v>0</v>
      </c>
      <c r="CM72" s="166" cm="1">
        <f t="array" ref="CM72">SUMPRODUCT(
  IFERROR(--desp[valor],0)*
  (desp[nucleo]="UP ESTAÇÃO VILA SONIA")*
  (desp[categoria]=CM$7)*
  (desp[data.pagamento]&gt;=$A72)*
  (desp[data.pagamento]&lt;EOMONTH($A72,0)+1)
)</f>
        <v>0</v>
      </c>
      <c r="CN72" s="177">
        <f>COUNTIFS(
    estq[empresa], CN$6,
    estq[Data da venda / reserva], "&gt;=" &amp; $A72,
    estq[Data da venda / reserva], "&lt;"  &amp; EOMONTH($A72,0) + 1
)</f>
        <v>0</v>
      </c>
      <c r="CO72" s="178">
        <f ca="1">SUMIFS(rec.uni[2026-10-01],
INDIRECT("rec.uni[natureza]"),"pro.soluto",
INDIRECT("rec.uni[empresa]"),CO$6)</f>
        <v>0</v>
      </c>
      <c r="CP72" s="178">
        <f ca="1">SUMIFS(rec.uni[2026-10-01],
INDIRECT("rec.uni[natureza]"),"repasse.cef.obra",
INDIRECT("rec.uni[empresa]"),CP$6)</f>
        <v>0</v>
      </c>
      <c r="CQ72" s="181">
        <f ca="1">SUMIFS(rec.uni[2026-10-01],
INDIRECT("rec.uni[natureza]"),"repasse.cef.terreno",
INDIRECT("rec.uni[empresa]"),CQ$6)</f>
        <v>0</v>
      </c>
      <c r="CR72" s="182"/>
      <c r="CS72" s="178">
        <f ca="1">SUMIFS(rec.uni[2026-10-01],
INDIRECT("rec.uni[natureza]"),"taxa.extra",
INDIRECT("rec.uni[empresa]"),CS$6)</f>
        <v>0</v>
      </c>
      <c r="CT72" s="166"/>
      <c r="CU72" s="166" cm="1">
        <f t="array" ref="CU72">SUMPRODUCT(
  IFERROR(--desp[valor],0)*
  (desp[nucleo]="UP MOVE VILA SONIA")*
  (desp[categoria]=CU$7)*
  (desp[data.pagamento]&gt;=$A72)*
  (desp[data.pagamento]&lt;EOMONTH($A72,0)+1)
)</f>
        <v>0</v>
      </c>
      <c r="CV72" s="166" cm="1">
        <f t="array" ref="CV72">SUMPRODUCT(
  IFERROR(--desp[valor],0)*
  (desp[nucleo]="UP MOVE VILA SONIA")*
  (desp[categoria]=CV$7)*
  (desp[data.pagamento]&gt;=$A72)*
  (desp[data.pagamento]&lt;EOMONTH($A72,0)+1)
)</f>
        <v>0</v>
      </c>
      <c r="CW72" s="166" cm="1">
        <f t="array" ref="CW72">SUMPRODUCT(
  IFERROR(--desp[valor],0)*
  (desp[nucleo]="UP MOVE VILA SONIA")*
  (desp[categoria]=CW$7)*
  (desp[data.pagamento]&gt;=$A72)*
  (desp[data.pagamento]&lt;EOMONTH($A72,0)+1)
)</f>
        <v>0</v>
      </c>
      <c r="CX72" s="166" cm="1">
        <f t="array" ref="CX72">SUMPRODUCT(
  IFERROR(--desp[valor],0)*
  (desp[nucleo]="UP MOVE VILA SONIA")*
  (desp[categoria]=CX$7)*
  (desp[data.pagamento]&gt;=$A72)*
  (desp[data.pagamento]&lt;EOMONTH($A72,0)+1)
)</f>
        <v>0</v>
      </c>
      <c r="CY72" s="291" cm="1">
        <f t="array" ref="CY72">SUMPRODUCT(
  IFERROR(--desp[valor],0)*
  (desp[nucleo]="UP MOVE VILA SONIA")*
  (desp[categoria]=CY$7)*
  (desp[data.pagamento]&gt;=$A72)*
  (desp[data.pagamento]&lt;EOMONTH($A72,0)+1)
)</f>
        <v>0</v>
      </c>
    </row>
    <row r="73" spans="1:103" x14ac:dyDescent="0.25">
      <c r="A73" s="176">
        <v>46327</v>
      </c>
      <c r="B73" s="177">
        <f>COUNTIFS(
    estq[empresa], B$6,
    estq[Data da venda / reserva], "&gt;=" &amp; $A73,
    estq[Data da venda / reserva], "&lt;"  &amp; EOMONTH($A73,0) + 1
)</f>
        <v>0</v>
      </c>
      <c r="C73" s="178">
        <f ca="1">SUMIFS(rec.uni[2026-11-01],
INDIRECT("rec.uni[natureza]"),"pro.soluto",
INDIRECT("rec.uni[empresa]"),C$6)</f>
        <v>0</v>
      </c>
      <c r="D73" s="178">
        <f ca="1">SUMIFS(rec.uni[2026-11-01],
INDIRECT("rec.uni[natureza]"),"repasse.cef.obra",
INDIRECT("rec.uni[empresa]"),D$6)</f>
        <v>0</v>
      </c>
      <c r="E73" s="178">
        <f ca="1">SUMIFS(rec.uni[2026-11-01],
INDIRECT("rec.uni[natureza]"),"repasse.cef.terreno",
INDIRECT("rec.uni[empresa]"),E$6)</f>
        <v>0</v>
      </c>
      <c r="F73" s="182"/>
      <c r="G73" s="178">
        <f ca="1">SUMIFS(rec.uni[2026-11-01],
INDIRECT("rec.uni[natureza]"),"taxa.extra",
INDIRECT("rec.uni[empresa]"),G$6)</f>
        <v>0</v>
      </c>
      <c r="H73" s="166"/>
      <c r="I73" s="166" cm="1">
        <f t="array" ref="I73">SUMPRODUCT(
  IFERROR(--desp[valor],0)*
  (desp[nucleo]="UP JARDIM PRUDENCIA")*
  (desp[categoria]=I$7)*
  (desp[data.pagamento]&gt;=$A73)*
  (desp[data.pagamento]&lt;EOMONTH($A73,0)+1)
)</f>
        <v>0</v>
      </c>
      <c r="J73" s="166" cm="1">
        <f t="array" ref="J73">SUMPRODUCT(
  IFERROR(--desp[valor],0)*
  (desp[nucleo]="UP JARDIM PRUDENCIA")*
  (desp[categoria]=J$7)*
  (desp[data.pagamento]&gt;=$A73)*
  (desp[data.pagamento]&lt;EOMONTH($A73,0)+1)
)</f>
        <v>0</v>
      </c>
      <c r="K73" s="166" cm="1">
        <f t="array" ref="K73">SUMPRODUCT(
  IFERROR(--desp[valor],0)*
  (desp[nucleo]="UP JARDIM PRUDENCIA")*
  (desp[categoria]=K$7)*
  (desp[data.pagamento]&gt;=$A73)*
  (desp[data.pagamento]&lt;EOMONTH($A73,0)+1)
)</f>
        <v>0</v>
      </c>
      <c r="L73" s="166" cm="1">
        <f t="array" ref="L73">SUMPRODUCT(
  IFERROR(--desp[valor],0)*
  (desp[nucleo]="UP JARDIM PRUDENCIA")*
  (desp[categoria]=L$7)*
  (desp[data.pagamento]&gt;=$A73)*
  (desp[data.pagamento]&lt;EOMONTH($A73,0)+1)
)</f>
        <v>0</v>
      </c>
      <c r="M73" s="166" cm="1">
        <f t="array" ref="M73">SUMPRODUCT(
  IFERROR(--desp[valor],0)*
  (desp[nucleo]="UP JARDIM PRUDENCIA")*
  (desp[categoria]=M$7)*
  (desp[data.pagamento]&gt;=$A73)*
  (desp[data.pagamento]&lt;EOMONTH($A73,0)+1)
)</f>
        <v>0</v>
      </c>
      <c r="N73" s="177">
        <f>COUNTIFS(
    estq[empresa], N$6,
    estq[Data da venda / reserva], "&gt;=" &amp; $A73,
    estq[Data da venda / reserva], "&lt;"  &amp; EOMONTH($A73,0) + 1
)</f>
        <v>0</v>
      </c>
      <c r="O73" s="178">
        <f ca="1">SUMIFS(rec.uni[2026-11-01],
INDIRECT("rec.uni[natureza]"),"pro.soluto",
INDIRECT("rec.uni[empresa]"),O$6)</f>
        <v>0</v>
      </c>
      <c r="P73" s="178">
        <f ca="1">SUMIFS(rec.uni[2026-11-01],
INDIRECT("rec.uni[natureza]"),"repasse.cef.obra",
INDIRECT("rec.uni[empresa]"),P$6)</f>
        <v>0</v>
      </c>
      <c r="Q73" s="178">
        <f ca="1">SUMIFS(rec.uni[2026-11-01],
INDIRECT("rec.uni[natureza]"),"repasse.cef.terreno",
INDIRECT("rec.uni[empresa]"),Q$6)</f>
        <v>0</v>
      </c>
      <c r="R73" s="182"/>
      <c r="S73" s="178">
        <f ca="1">SUMIFS(rec.uni[2026-11-01],
INDIRECT("rec.uni[natureza]"),"taxa.extra",
INDIRECT("rec.uni[empresa]"),S$6)</f>
        <v>0</v>
      </c>
      <c r="T73" s="166"/>
      <c r="U73" s="166" cm="1">
        <f t="array" ref="U73">SUMPRODUCT(
  IFERROR(--desp[valor],0)*
  (desp[nucleo]="UP VILA SONIA")*
  (desp[categoria]=U$7)*
  (desp[data.pagamento]&gt;=$A73)*
  (desp[data.pagamento]&lt;EOMONTH($A73,0)+1)
)</f>
        <v>0</v>
      </c>
      <c r="V73" s="166" cm="1">
        <f t="array" ref="V73">SUMPRODUCT(
  IFERROR(--desp[valor],0)*
  (desp[nucleo]="UP VILA SONIA")*
  (desp[categoria]=V$7)*
  (desp[data.pagamento]&gt;=$A73)*
  (desp[data.pagamento]&lt;EOMONTH($A73,0)+1)
)</f>
        <v>0</v>
      </c>
      <c r="W73" s="166" cm="1">
        <f t="array" ref="W73">SUMPRODUCT(
  IFERROR(--desp[valor],0)*
  (desp[nucleo]="UP VILA SONIA")*
  (desp[categoria]=W$7)*
  (desp[data.pagamento]&gt;=$A73)*
  (desp[data.pagamento]&lt;EOMONTH($A73,0)+1)
)</f>
        <v>0</v>
      </c>
      <c r="X73" s="166" cm="1">
        <f t="array" ref="X73">SUMPRODUCT(
  IFERROR(--desp[valor],0)*
  (desp[nucleo]="UP VILA SONIA")*
  (desp[categoria]=X$7)*
  (desp[data.pagamento]&gt;=$A73)*
  (desp[data.pagamento]&lt;EOMONTH($A73,0)+1)
)</f>
        <v>0</v>
      </c>
      <c r="Y73" s="166" cm="1">
        <f t="array" ref="Y73">SUMPRODUCT(
  IFERROR(--desp[valor],0)*
  (desp[nucleo]="UP VILA SONIA")*
  (desp[categoria]=Y$7)*
  (desp[data.pagamento]&gt;=$A73)*
  (desp[data.pagamento]&lt;EOMONTH($A73,0)+1)
)</f>
        <v>0</v>
      </c>
      <c r="Z73" s="177">
        <f>COUNTIFS(
    estq[empresa], Z$6,
    estq[Data da venda / reserva], "&gt;=" &amp; $A73,
    estq[Data da venda / reserva], "&lt;"  &amp; EOMONTH($A73,0) + 1
)</f>
        <v>0</v>
      </c>
      <c r="AA73" s="178">
        <f ca="1">SUMIFS(rec.uni[2026-11-01],
INDIRECT("rec.uni[natureza]"),"pro.soluto",
INDIRECT("rec.uni[empresa]"),AA$6)</f>
        <v>0</v>
      </c>
      <c r="AB73" s="182">
        <f ca="1">SUMIFS(rec.uni[2026-11-01],
INDIRECT("rec.uni[natureza]"),"pro.soluto",
INDIRECT("rec.uni[empresa]"),AB$6)</f>
        <v>0</v>
      </c>
      <c r="AC73" s="178">
        <f ca="1">SUMIFS(rec.uni[2026-11-01],
INDIRECT("rec.uni[natureza]"),"taxa.extra",
INDIRECT("rec.uni[empresa]"),AC$6)</f>
        <v>0</v>
      </c>
      <c r="AD73" s="166"/>
      <c r="AE73" s="166" cm="1">
        <f t="array" ref="AE73">SUMPRODUCT(
  IFERROR(--desp[valor],0)*
  (desp[nucleo]="UP CAMPO BELO")*
  (desp[categoria]=AE$7)*
  (desp[data.pagamento]&gt;=$A73)*
  (desp[data.pagamento]&lt;EOMONTH($A73,0)+1)
)</f>
        <v>0</v>
      </c>
      <c r="AF73" s="166" cm="1">
        <f t="array" ref="AF73">SUMPRODUCT(
  IFERROR(--desp[valor],0)*
  (desp[nucleo]="UP CAMPO BELO")*
  (desp[categoria]=AF$7)*
  (desp[data.pagamento]&gt;=$A73)*
  (desp[data.pagamento]&lt;EOMONTH($A73,0)+1)
)</f>
        <v>0</v>
      </c>
      <c r="AG73" s="166" cm="1">
        <f t="array" ref="AG73">SUMPRODUCT(
  IFERROR(--desp[valor],0)*
  (desp[nucleo]="UP CAMPO BELO")*
  (desp[categoria]=AG$7)*
  (desp[data.pagamento]&gt;=$A73)*
  (desp[data.pagamento]&lt;EOMONTH($A73,0)+1)
)</f>
        <v>0</v>
      </c>
      <c r="AH73" s="166" cm="1">
        <f t="array" ref="AH73">SUMPRODUCT(
  IFERROR(--desp[valor],0)*
  (desp[nucleo]="UP CAMPO BELO")*
  (desp[categoria]=AH$7)*
  (desp[data.pagamento]&gt;=$A73)*
  (desp[data.pagamento]&lt;EOMONTH($A73,0)+1)
)</f>
        <v>0</v>
      </c>
      <c r="AI73" s="166" cm="1">
        <f t="array" ref="AI73">SUMPRODUCT(
  IFERROR(--desp[valor],0)*
  (desp[nucleo]="UP CAMPO BELO")*
  (desp[categoria]=AI$7)*
  (desp[data.pagamento]&gt;=$A73)*
  (desp[data.pagamento]&lt;EOMONTH($A73,0)+1)
)</f>
        <v>0</v>
      </c>
      <c r="AJ73" s="177">
        <f>COUNTIFS(
    estq[empresa], AJ$6,
    estq[Data da venda / reserva], "&gt;=" &amp; $A73,
    estq[Data da venda / reserva], "&lt;"  &amp; EOMONTH($A73,0) + 1
)</f>
        <v>0</v>
      </c>
      <c r="AK73" s="178">
        <f ca="1">SUMIFS(rec.uni[2026-11-01],
INDIRECT("rec.uni[natureza]"),"pro.soluto",
INDIRECT("rec.uni[empresa]"),AK$6)</f>
        <v>0</v>
      </c>
      <c r="AL73" s="178">
        <f ca="1">SUMIFS(rec.uni[2026-11-01],
INDIRECT("rec.uni[natureza]"),"repasse.cef.obra",
INDIRECT("rec.uni[empresa]"),AL$6)</f>
        <v>0</v>
      </c>
      <c r="AM73" s="181">
        <f ca="1">SUMIFS(rec.uni[2026-11-01],
INDIRECT("rec.uni[natureza]"),"repasse.cef.terreno",
INDIRECT("rec.uni[empresa]"),AM$6)</f>
        <v>0</v>
      </c>
      <c r="AN73" s="182"/>
      <c r="AO73" s="178">
        <f ca="1">SUMIFS(rec.uni[2026-11-01],
INDIRECT("rec.uni[natureza]"),"taxa.extra",
INDIRECT("rec.uni[empresa]"),AO$6)</f>
        <v>0</v>
      </c>
      <c r="AP73" s="166"/>
      <c r="AQ73" s="166" cm="1">
        <f t="array" ref="AQ73">SUMPRODUCT(
  IFERROR(--desp[valor],0)*
  (desp[nucleo]="UP SELECT VILA SONIA")*
  (desp[categoria]=AQ$7)*
  (desp[data.pagamento]&gt;=$A73)*
  (desp[data.pagamento]&lt;EOMONTH($A73,0)+1)
)</f>
        <v>0</v>
      </c>
      <c r="AR73" s="166" cm="1">
        <f t="array" ref="AR73">SUMPRODUCT(
  IFERROR(--desp[valor],0)*
  (desp[nucleo]="UP SELECT VILA SONIA")*
  (desp[categoria]=AR$7)*
  (desp[data.pagamento]&gt;=$A73)*
  (desp[data.pagamento]&lt;EOMONTH($A73,0)+1)
)</f>
        <v>0</v>
      </c>
      <c r="AS73" s="166" cm="1">
        <f t="array" ref="AS73">SUMPRODUCT(
  IFERROR(--desp[valor],0)*
  (desp[nucleo]="UP SELECT VILA SONIA")*
  (desp[categoria]=AS$7)*
  (desp[data.pagamento]&gt;=$A73)*
  (desp[data.pagamento]&lt;EOMONTH($A73,0)+1)
)</f>
        <v>0</v>
      </c>
      <c r="AT73" s="166" cm="1">
        <f t="array" ref="AT73">SUMPRODUCT(
  IFERROR(--desp[valor],0)*
  (desp[nucleo]="UP SELECT VILA SONIA")*
  (desp[categoria]=AT$7)*
  (desp[data.pagamento]&gt;=$A73)*
  (desp[data.pagamento]&lt;EOMONTH($A73,0)+1)
)</f>
        <v>0</v>
      </c>
      <c r="AU73" s="166" cm="1">
        <f t="array" ref="AU73">SUMPRODUCT(
  IFERROR(--desp[valor],0)*
  (desp[nucleo]="UP SELECT VILA SONIA")*
  (desp[categoria]=AU$7)*
  (desp[data.pagamento]&gt;=$A73)*
  (desp[data.pagamento]&lt;EOMONTH($A73,0)+1)
)</f>
        <v>0</v>
      </c>
      <c r="AV73" s="177">
        <f>COUNTIFS(
    estq[empresa], AV$6,
    estq[Data da venda / reserva], "&gt;=" &amp; $A73,
    estq[Data da venda / reserva], "&lt;"  &amp; EOMONTH($A73,0) + 1
)</f>
        <v>0</v>
      </c>
      <c r="AW73" s="178">
        <f ca="1">SUMIFS(rec.uni[2026-11-01],
INDIRECT("rec.uni[natureza]"),"pro.soluto",
INDIRECT("rec.uni[empresa]"),AW$6)</f>
        <v>0</v>
      </c>
      <c r="AX73" s="178">
        <f ca="1">SUMIFS(rec.uni[2026-11-01],
INDIRECT("rec.uni[natureza]"),"repasse.cef.obra",
INDIRECT("rec.uni[empresa]"),AX$6)</f>
        <v>0</v>
      </c>
      <c r="AY73" s="181">
        <f ca="1">SUMIFS(rec.uni[2026-11-01],
INDIRECT("rec.uni[natureza]"),"repasse.cef.terreno",
INDIRECT("rec.uni[empresa]"),AY$6)</f>
        <v>0</v>
      </c>
      <c r="AZ73" s="182"/>
      <c r="BA73" s="178">
        <f ca="1">SUMIFS(rec.uni[2026-11-01],
INDIRECT("rec.uni[natureza]"),"taxa.extra",
INDIRECT("rec.uni[empresa]"),BA$6)</f>
        <v>0</v>
      </c>
      <c r="BB73" s="166"/>
      <c r="BC73" s="166" cm="1">
        <f t="array" ref="BC73">SUMPRODUCT(
  IFERROR(--desp[valor],0)*
  (desp[nucleo]="UP ESTAÇÃO SÃO LUCAS")*
  (desp[categoria]=BC$7)*
  (desp[data.pagamento]&gt;=$A73)*
  (desp[data.pagamento]&lt;EOMONTH($A73,0)+1)
)</f>
        <v>0</v>
      </c>
      <c r="BD73" s="166" cm="1">
        <f t="array" ref="BD73">SUMPRODUCT(
  IFERROR(--desp[valor],0)*
  (desp[nucleo]="UP ESTAÇÃO SÃO LUCAS")*
  (desp[categoria]=BD$7)*
  (desp[data.pagamento]&gt;=$A73)*
  (desp[data.pagamento]&lt;EOMONTH($A73,0)+1)
)</f>
        <v>0</v>
      </c>
      <c r="BE73" s="166" cm="1">
        <f t="array" ref="BE73">SUMPRODUCT(
  IFERROR(--desp[valor],0)*
  (desp[nucleo]="UP ESTAÇÃO SÃO LUCAS")*
  (desp[categoria]=BE$7)*
  (desp[data.pagamento]&gt;=$A73)*
  (desp[data.pagamento]&lt;EOMONTH($A73,0)+1)
)</f>
        <v>0</v>
      </c>
      <c r="BF73" s="166" cm="1">
        <f t="array" ref="BF73">SUMPRODUCT(
  IFERROR(--desp[valor],0)*
  (desp[nucleo]="UP ESTAÇÃO SÃO LUCAS")*
  (desp[categoria]=BF$7)*
  (desp[data.pagamento]&gt;=$A73)*
  (desp[data.pagamento]&lt;EOMONTH($A73,0)+1)
)</f>
        <v>0</v>
      </c>
      <c r="BG73" s="166" cm="1">
        <f t="array" ref="BG73">SUMPRODUCT(
  IFERROR(--desp[valor],0)*
  (desp[nucleo]="UP ESTAÇÃO SÃO LUCAS")*
  (desp[categoria]=BG$7)*
  (desp[data.pagamento]&gt;=$A73)*
  (desp[data.pagamento]&lt;EOMONTH($A73,0)+1)
)</f>
        <v>0</v>
      </c>
      <c r="BH73" s="177">
        <f>COUNTIFS(
    estq[empresa], BH$6,
    estq[Data da venda / reserva], "&gt;=" &amp; $A73,
    estq[Data da venda / reserva], "&lt;"  &amp; EOMONTH($A73,0) + 1
)</f>
        <v>0</v>
      </c>
      <c r="BI73" s="178">
        <f ca="1">SUMIFS(rec.uni[2026-11-01],
INDIRECT("rec.uni[natureza]"),"pro.soluto",
INDIRECT("rec.uni[empresa]"),BI$6)</f>
        <v>0</v>
      </c>
      <c r="BJ73" s="182">
        <f ca="1">SUMIFS(rec.uni[2026-11-01],
INDIRECT("rec.uni[natureza]"),"parcela.fin.total.ik",
INDIRECT("rec.uni[empresa]"),BJ$6)</f>
        <v>0</v>
      </c>
      <c r="BK73" s="178">
        <f ca="1">SUMIFS(rec.uni[2026-11-01],
INDIRECT("rec.uni[natureza]"),"taxa.extra",
INDIRECT("rec.uni[empresa]"),BK$6)</f>
        <v>0</v>
      </c>
      <c r="BL73" s="166"/>
      <c r="BM73" s="166" cm="1">
        <f t="array" ref="BM73">SUMPRODUCT(
  IFERROR(--desp[valor],0)*
  (desp[nucleo]="UP POMPEIA")*
  (desp[categoria]=BM$7)*
  (desp[data.pagamento]&gt;=$A73)*
  (desp[data.pagamento]&lt;EOMONTH($A73,0)+1)
)</f>
        <v>0</v>
      </c>
      <c r="BN73" s="166" cm="1">
        <f t="array" ref="BN73">SUMPRODUCT(
  IFERROR(--desp[valor],0)*
  (desp[nucleo]="UP POMPEIA")*
  (desp[categoria]=BN$7)*
  (desp[data.pagamento]&gt;=$A73)*
  (desp[data.pagamento]&lt;EOMONTH($A73,0)+1)
)</f>
        <v>0</v>
      </c>
      <c r="BO73" s="166" cm="1">
        <f t="array" ref="BO73">SUMPRODUCT(
  IFERROR(--desp[valor],0)*
  (desp[nucleo]="UP POMPEIA")*
  (desp[categoria]=BO$7)*
  (desp[data.pagamento]&gt;=$A73)*
  (desp[data.pagamento]&lt;EOMONTH($A73,0)+1)
)</f>
        <v>0</v>
      </c>
      <c r="BP73" s="166" cm="1">
        <f t="array" ref="BP73">SUMPRODUCT(
  IFERROR(--desp[valor],0)*
  (desp[nucleo]="UP POMPEIA")*
  (desp[categoria]=BP$7)*
  (desp[data.pagamento]&gt;=$A73)*
  (desp[data.pagamento]&lt;EOMONTH($A73,0)+1)
)</f>
        <v>0</v>
      </c>
      <c r="BQ73" s="166" cm="1">
        <f t="array" ref="BQ73">SUMPRODUCT(
  IFERROR(--desp[valor],0)*
  (desp[nucleo]="UP POMPEIA")*
  (desp[categoria]=BQ$7)*
  (desp[data.pagamento]&gt;=$A73)*
  (desp[data.pagamento]&lt;EOMONTH($A73,0)+1)
)</f>
        <v>0</v>
      </c>
      <c r="BR73" s="177">
        <f>COUNTIFS(
    estq[empresa], BR$6,
    estq[Data da venda / reserva], "&gt;=" &amp; $A73,
    estq[Data da venda / reserva], "&lt;"  &amp; EOMONTH($A73,0) + 1
)</f>
        <v>0</v>
      </c>
      <c r="BS73" s="178">
        <f ca="1">SUMIFS(rec.uni[2026-11-01],
INDIRECT("rec.uni[natureza]"),"pro.soluto",
INDIRECT("rec.uni[empresa]"),BS$6)</f>
        <v>0</v>
      </c>
      <c r="BT73" s="182">
        <f ca="1">SUMIFS(rec.uni[2026-11-01],
INDIRECT("rec.uni[natureza]"),"pro.soluto",
INDIRECT("rec.uni[empresa]"),BT$6)</f>
        <v>0</v>
      </c>
      <c r="BU73" s="178">
        <f ca="1">SUMIFS(rec.uni[2026-11-01],
INDIRECT("rec.uni[natureza]"),"taxa.extra",
INDIRECT("rec.uni[empresa]"),BU$6)</f>
        <v>0</v>
      </c>
      <c r="BV73" s="166"/>
      <c r="BW73" s="166" cm="1">
        <f t="array" ref="BW73">SUMPRODUCT(
  IFERROR(--desp[valor],0)*
  (desp[nucleo]="UP SAUDE")*
  (desp[categoria]=BW$7)*
  (desp[data.pagamento]&gt;=$A73)*
  (desp[data.pagamento]&lt;EOMONTH($A73,0)+1)
)</f>
        <v>0</v>
      </c>
      <c r="BX73" s="166" cm="1">
        <f t="array" ref="BX73">SUMPRODUCT(
  IFERROR(--desp[valor],0)*
  (desp[nucleo]="UP SAUDE")*
  (desp[categoria]=BX$7)*
  (desp[data.pagamento]&gt;=$A73)*
  (desp[data.pagamento]&lt;EOMONTH($A73,0)+1)
)</f>
        <v>0</v>
      </c>
      <c r="BY73" s="166" cm="1">
        <f t="array" ref="BY73">SUMPRODUCT(
  IFERROR(--desp[valor],0)*
  (desp[nucleo]="UP SAUDE")*
  (desp[categoria]=BY$7)*
  (desp[data.pagamento]&gt;=$A73)*
  (desp[data.pagamento]&lt;EOMONTH($A73,0)+1)
)</f>
        <v>0</v>
      </c>
      <c r="BZ73" s="166" cm="1">
        <f t="array" ref="BZ73">SUMPRODUCT(
  IFERROR(--desp[valor],0)*
  (desp[nucleo]="UP SAUDE")*
  (desp[categoria]=BZ$7)*
  (desp[data.pagamento]&gt;=$A73)*
  (desp[data.pagamento]&lt;EOMONTH($A73,0)+1)
)</f>
        <v>0</v>
      </c>
      <c r="CA73" s="166" cm="1">
        <f t="array" ref="CA73">SUMPRODUCT(
  IFERROR(--desp[valor],0)*
  (desp[nucleo]="UP SAUDE")*
  (desp[categoria]=CA$7)*
  (desp[data.pagamento]&gt;=$A73)*
  (desp[data.pagamento]&lt;EOMONTH($A73,0)+1)
)</f>
        <v>0</v>
      </c>
      <c r="CB73" s="177">
        <f>COUNTIFS(
    estq[empresa], CB$6,
    estq[Data da venda / reserva], "&gt;=" &amp; $A73,
    estq[Data da venda / reserva], "&lt;"  &amp; EOMONTH($A73,0) + 1
)</f>
        <v>0</v>
      </c>
      <c r="CC73" s="178">
        <f ca="1">SUMIFS(rec.uni[2026-11-01],
INDIRECT("rec.uni[natureza]"),"pro.soluto",
INDIRECT("rec.uni[empresa]"),CC$6)</f>
        <v>0</v>
      </c>
      <c r="CD73" s="178">
        <f ca="1">SUMIFS(rec.uni[2026-11-01],
INDIRECT("rec.uni[natureza]"),"repasse.cef.obra",
INDIRECT("rec.uni[empresa]"),CD$6)</f>
        <v>0</v>
      </c>
      <c r="CE73" s="181">
        <f ca="1">SUMIFS(rec.uni[2026-11-01],
INDIRECT("rec.uni[natureza]"),"repasse.cef.terreno",
INDIRECT("rec.uni[empresa]"),CE$6)</f>
        <v>0</v>
      </c>
      <c r="CF73" s="182"/>
      <c r="CG73" s="178">
        <f ca="1">SUMIFS(rec.uni[2026-11-01],
INDIRECT("rec.uni[natureza]"),"taxa.extra",
INDIRECT("rec.uni[empresa]"),CG$6)</f>
        <v>0</v>
      </c>
      <c r="CH73" s="166"/>
      <c r="CI73" s="166" cm="1">
        <f t="array" ref="CI73">SUMPRODUCT(
  IFERROR(--desp[valor],0)*
  (desp[nucleo]="UP ESTAÇÃO VILA SONIA")*
  (desp[categoria]=CI$7)*
  (desp[data.pagamento]&gt;=$A73)*
  (desp[data.pagamento]&lt;EOMONTH($A73,0)+1)
)</f>
        <v>0</v>
      </c>
      <c r="CJ73" s="166" cm="1">
        <f t="array" ref="CJ73">SUMPRODUCT(
  IFERROR(--desp[valor],0)*
  (desp[nucleo]="UP ESTAÇÃO VILA SONIA")*
  (desp[categoria]=CJ$7)*
  (desp[data.pagamento]&gt;=$A73)*
  (desp[data.pagamento]&lt;EOMONTH($A73,0)+1)
)</f>
        <v>0</v>
      </c>
      <c r="CK73" s="166" cm="1">
        <f t="array" ref="CK73">SUMPRODUCT(
  IFERROR(--desp[valor],0)*
  (desp[nucleo]="UP ESTAÇÃO VILA SONIA")*
  (desp[categoria]=CK$7)*
  (desp[data.pagamento]&gt;=$A73)*
  (desp[data.pagamento]&lt;EOMONTH($A73,0)+1)
)</f>
        <v>0</v>
      </c>
      <c r="CL73" s="166" cm="1">
        <f t="array" ref="CL73">SUMPRODUCT(
  IFERROR(--desp[valor],0)*
  (desp[nucleo]="UP ESTAÇÃO VILA SONIA")*
  (desp[categoria]=CL$7)*
  (desp[data.pagamento]&gt;=$A73)*
  (desp[data.pagamento]&lt;EOMONTH($A73,0)+1)
)</f>
        <v>0</v>
      </c>
      <c r="CM73" s="166" cm="1">
        <f t="array" ref="CM73">SUMPRODUCT(
  IFERROR(--desp[valor],0)*
  (desp[nucleo]="UP ESTAÇÃO VILA SONIA")*
  (desp[categoria]=CM$7)*
  (desp[data.pagamento]&gt;=$A73)*
  (desp[data.pagamento]&lt;EOMONTH($A73,0)+1)
)</f>
        <v>0</v>
      </c>
      <c r="CN73" s="177">
        <f>COUNTIFS(
    estq[empresa], CN$6,
    estq[Data da venda / reserva], "&gt;=" &amp; $A73,
    estq[Data da venda / reserva], "&lt;"  &amp; EOMONTH($A73,0) + 1
)</f>
        <v>0</v>
      </c>
      <c r="CO73" s="178">
        <f ca="1">SUMIFS(rec.uni[2026-11-01],
INDIRECT("rec.uni[natureza]"),"pro.soluto",
INDIRECT("rec.uni[empresa]"),CO$6)</f>
        <v>0</v>
      </c>
      <c r="CP73" s="178">
        <f ca="1">SUMIFS(rec.uni[2026-11-01],
INDIRECT("rec.uni[natureza]"),"repasse.cef.obra",
INDIRECT("rec.uni[empresa]"),CP$6)</f>
        <v>0</v>
      </c>
      <c r="CQ73" s="181">
        <f ca="1">SUMIFS(rec.uni[2026-11-01],
INDIRECT("rec.uni[natureza]"),"repasse.cef.terreno",
INDIRECT("rec.uni[empresa]"),CQ$6)</f>
        <v>0</v>
      </c>
      <c r="CR73" s="182"/>
      <c r="CS73" s="178">
        <f ca="1">SUMIFS(rec.uni[2026-11-01],
INDIRECT("rec.uni[natureza]"),"taxa.extra",
INDIRECT("rec.uni[empresa]"),CS$6)</f>
        <v>0</v>
      </c>
      <c r="CT73" s="166"/>
      <c r="CU73" s="166" cm="1">
        <f t="array" ref="CU73">SUMPRODUCT(
  IFERROR(--desp[valor],0)*
  (desp[nucleo]="UP MOVE VILA SONIA")*
  (desp[categoria]=CU$7)*
  (desp[data.pagamento]&gt;=$A73)*
  (desp[data.pagamento]&lt;EOMONTH($A73,0)+1)
)</f>
        <v>0</v>
      </c>
      <c r="CV73" s="166" cm="1">
        <f t="array" ref="CV73">SUMPRODUCT(
  IFERROR(--desp[valor],0)*
  (desp[nucleo]="UP MOVE VILA SONIA")*
  (desp[categoria]=CV$7)*
  (desp[data.pagamento]&gt;=$A73)*
  (desp[data.pagamento]&lt;EOMONTH($A73,0)+1)
)</f>
        <v>0</v>
      </c>
      <c r="CW73" s="166" cm="1">
        <f t="array" ref="CW73">SUMPRODUCT(
  IFERROR(--desp[valor],0)*
  (desp[nucleo]="UP MOVE VILA SONIA")*
  (desp[categoria]=CW$7)*
  (desp[data.pagamento]&gt;=$A73)*
  (desp[data.pagamento]&lt;EOMONTH($A73,0)+1)
)</f>
        <v>0</v>
      </c>
      <c r="CX73" s="166" cm="1">
        <f t="array" ref="CX73">SUMPRODUCT(
  IFERROR(--desp[valor],0)*
  (desp[nucleo]="UP MOVE VILA SONIA")*
  (desp[categoria]=CX$7)*
  (desp[data.pagamento]&gt;=$A73)*
  (desp[data.pagamento]&lt;EOMONTH($A73,0)+1)
)</f>
        <v>0</v>
      </c>
      <c r="CY73" s="291" cm="1">
        <f t="array" ref="CY73">SUMPRODUCT(
  IFERROR(--desp[valor],0)*
  (desp[nucleo]="UP MOVE VILA SONIA")*
  (desp[categoria]=CY$7)*
  (desp[data.pagamento]&gt;=$A73)*
  (desp[data.pagamento]&lt;EOMONTH($A73,0)+1)
)</f>
        <v>0</v>
      </c>
    </row>
    <row r="74" spans="1:103" x14ac:dyDescent="0.25">
      <c r="A74" s="176">
        <v>46357</v>
      </c>
      <c r="B74" s="177">
        <f>COUNTIFS(
    estq[empresa], B$6,
    estq[Data da venda / reserva], "&gt;=" &amp; $A74,
    estq[Data da venda / reserva], "&lt;"  &amp; EOMONTH($A74,0) + 1
)</f>
        <v>0</v>
      </c>
      <c r="C74" s="178">
        <f ca="1">SUMIFS(rec.uni[2026-12-01],
INDIRECT("rec.uni[natureza]"),"pro.soluto",
INDIRECT("rec.uni[empresa]"),C$6)</f>
        <v>0</v>
      </c>
      <c r="D74" s="178">
        <f ca="1">SUMIFS(rec.uni[2026-12-01],
INDIRECT("rec.uni[natureza]"),"repasse.cef.obra",
INDIRECT("rec.uni[empresa]"),D$6)</f>
        <v>0</v>
      </c>
      <c r="E74" s="178">
        <f ca="1">SUMIFS(rec.uni[2026-12-01],
INDIRECT("rec.uni[natureza]"),"repasse.cef.terreno",
INDIRECT("rec.uni[empresa]"),E$6)</f>
        <v>0</v>
      </c>
      <c r="F74" s="182"/>
      <c r="G74" s="178">
        <f ca="1">SUMIFS(rec.uni[2026-12-01],
INDIRECT("rec.uni[natureza]"),"taxa.extra",
INDIRECT("rec.uni[empresa]"),G$6)</f>
        <v>0</v>
      </c>
      <c r="H74" s="166"/>
      <c r="I74" s="166" cm="1">
        <f t="array" ref="I74">SUMPRODUCT(
  IFERROR(--desp[valor],0)*
  (desp[nucleo]="UP JARDIM PRUDENCIA")*
  (desp[categoria]=I$7)*
  (desp[data.pagamento]&gt;=$A74)*
  (desp[data.pagamento]&lt;EOMONTH($A74,0)+1)
)</f>
        <v>0</v>
      </c>
      <c r="J74" s="166" cm="1">
        <f t="array" ref="J74">SUMPRODUCT(
  IFERROR(--desp[valor],0)*
  (desp[nucleo]="UP JARDIM PRUDENCIA")*
  (desp[categoria]=J$7)*
  (desp[data.pagamento]&gt;=$A74)*
  (desp[data.pagamento]&lt;EOMONTH($A74,0)+1)
)</f>
        <v>0</v>
      </c>
      <c r="K74" s="166" cm="1">
        <f t="array" ref="K74">SUMPRODUCT(
  IFERROR(--desp[valor],0)*
  (desp[nucleo]="UP JARDIM PRUDENCIA")*
  (desp[categoria]=K$7)*
  (desp[data.pagamento]&gt;=$A74)*
  (desp[data.pagamento]&lt;EOMONTH($A74,0)+1)
)</f>
        <v>0</v>
      </c>
      <c r="L74" s="166" cm="1">
        <f t="array" ref="L74">SUMPRODUCT(
  IFERROR(--desp[valor],0)*
  (desp[nucleo]="UP JARDIM PRUDENCIA")*
  (desp[categoria]=L$7)*
  (desp[data.pagamento]&gt;=$A74)*
  (desp[data.pagamento]&lt;EOMONTH($A74,0)+1)
)</f>
        <v>0</v>
      </c>
      <c r="M74" s="166" cm="1">
        <f t="array" ref="M74">SUMPRODUCT(
  IFERROR(--desp[valor],0)*
  (desp[nucleo]="UP JARDIM PRUDENCIA")*
  (desp[categoria]=M$7)*
  (desp[data.pagamento]&gt;=$A74)*
  (desp[data.pagamento]&lt;EOMONTH($A74,0)+1)
)</f>
        <v>0</v>
      </c>
      <c r="N74" s="177">
        <f>COUNTIFS(
    estq[empresa], N$6,
    estq[Data da venda / reserva], "&gt;=" &amp; $A74,
    estq[Data da venda / reserva], "&lt;"  &amp; EOMONTH($A74,0) + 1
)</f>
        <v>0</v>
      </c>
      <c r="O74" s="178">
        <f ca="1">SUMIFS(rec.uni[2026-12-01],
INDIRECT("rec.uni[natureza]"),"pro.soluto",
INDIRECT("rec.uni[empresa]"),O$6)</f>
        <v>0</v>
      </c>
      <c r="P74" s="178">
        <f ca="1">SUMIFS(rec.uni[2026-12-01],
INDIRECT("rec.uni[natureza]"),"repasse.cef.obra",
INDIRECT("rec.uni[empresa]"),P$6)</f>
        <v>0</v>
      </c>
      <c r="Q74" s="178">
        <f ca="1">SUMIFS(rec.uni[2026-12-01],
INDIRECT("rec.uni[natureza]"),"repasse.cef.terreno",
INDIRECT("rec.uni[empresa]"),Q$6)</f>
        <v>0</v>
      </c>
      <c r="R74" s="182"/>
      <c r="S74" s="178">
        <f ca="1">SUMIFS(rec.uni[2026-12-01],
INDIRECT("rec.uni[natureza]"),"taxa.extra",
INDIRECT("rec.uni[empresa]"),S$6)</f>
        <v>0</v>
      </c>
      <c r="T74" s="166"/>
      <c r="U74" s="166" cm="1">
        <f t="array" ref="U74">SUMPRODUCT(
  IFERROR(--desp[valor],0)*
  (desp[nucleo]="UP VILA SONIA")*
  (desp[categoria]=U$7)*
  (desp[data.pagamento]&gt;=$A74)*
  (desp[data.pagamento]&lt;EOMONTH($A74,0)+1)
)</f>
        <v>0</v>
      </c>
      <c r="V74" s="166" cm="1">
        <f t="array" ref="V74">SUMPRODUCT(
  IFERROR(--desp[valor],0)*
  (desp[nucleo]="UP VILA SONIA")*
  (desp[categoria]=V$7)*
  (desp[data.pagamento]&gt;=$A74)*
  (desp[data.pagamento]&lt;EOMONTH($A74,0)+1)
)</f>
        <v>0</v>
      </c>
      <c r="W74" s="166" cm="1">
        <f t="array" ref="W74">SUMPRODUCT(
  IFERROR(--desp[valor],0)*
  (desp[nucleo]="UP VILA SONIA")*
  (desp[categoria]=W$7)*
  (desp[data.pagamento]&gt;=$A74)*
  (desp[data.pagamento]&lt;EOMONTH($A74,0)+1)
)</f>
        <v>0</v>
      </c>
      <c r="X74" s="166" cm="1">
        <f t="array" ref="X74">SUMPRODUCT(
  IFERROR(--desp[valor],0)*
  (desp[nucleo]="UP VILA SONIA")*
  (desp[categoria]=X$7)*
  (desp[data.pagamento]&gt;=$A74)*
  (desp[data.pagamento]&lt;EOMONTH($A74,0)+1)
)</f>
        <v>0</v>
      </c>
      <c r="Y74" s="166" cm="1">
        <f t="array" ref="Y74">SUMPRODUCT(
  IFERROR(--desp[valor],0)*
  (desp[nucleo]="UP VILA SONIA")*
  (desp[categoria]=Y$7)*
  (desp[data.pagamento]&gt;=$A74)*
  (desp[data.pagamento]&lt;EOMONTH($A74,0)+1)
)</f>
        <v>0</v>
      </c>
      <c r="Z74" s="177">
        <f>COUNTIFS(
    estq[empresa], Z$6,
    estq[Data da venda / reserva], "&gt;=" &amp; $A74,
    estq[Data da venda / reserva], "&lt;"  &amp; EOMONTH($A74,0) + 1
)</f>
        <v>0</v>
      </c>
      <c r="AA74" s="178">
        <f ca="1">SUMIFS(rec.uni[2026-12-01],
INDIRECT("rec.uni[natureza]"),"pro.soluto",
INDIRECT("rec.uni[empresa]"),AA$6)</f>
        <v>0</v>
      </c>
      <c r="AB74" s="182">
        <f ca="1">SUMIFS(rec.uni[2026-12-01],
INDIRECT("rec.uni[natureza]"),"pro.soluto",
INDIRECT("rec.uni[empresa]"),AB$6)</f>
        <v>0</v>
      </c>
      <c r="AC74" s="178">
        <f ca="1">SUMIFS(rec.uni[2026-12-01],
INDIRECT("rec.uni[natureza]"),"taxa.extra",
INDIRECT("rec.uni[empresa]"),AC$6)</f>
        <v>0</v>
      </c>
      <c r="AD74" s="166"/>
      <c r="AE74" s="166" cm="1">
        <f t="array" ref="AE74">SUMPRODUCT(
  IFERROR(--desp[valor],0)*
  (desp[nucleo]="UP CAMPO BELO")*
  (desp[categoria]=AE$7)*
  (desp[data.pagamento]&gt;=$A74)*
  (desp[data.pagamento]&lt;EOMONTH($A74,0)+1)
)</f>
        <v>0</v>
      </c>
      <c r="AF74" s="166" cm="1">
        <f t="array" ref="AF74">SUMPRODUCT(
  IFERROR(--desp[valor],0)*
  (desp[nucleo]="UP CAMPO BELO")*
  (desp[categoria]=AF$7)*
  (desp[data.pagamento]&gt;=$A74)*
  (desp[data.pagamento]&lt;EOMONTH($A74,0)+1)
)</f>
        <v>0</v>
      </c>
      <c r="AG74" s="166" cm="1">
        <f t="array" ref="AG74">SUMPRODUCT(
  IFERROR(--desp[valor],0)*
  (desp[nucleo]="UP CAMPO BELO")*
  (desp[categoria]=AG$7)*
  (desp[data.pagamento]&gt;=$A74)*
  (desp[data.pagamento]&lt;EOMONTH($A74,0)+1)
)</f>
        <v>0</v>
      </c>
      <c r="AH74" s="166" cm="1">
        <f t="array" ref="AH74">SUMPRODUCT(
  IFERROR(--desp[valor],0)*
  (desp[nucleo]="UP CAMPO BELO")*
  (desp[categoria]=AH$7)*
  (desp[data.pagamento]&gt;=$A74)*
  (desp[data.pagamento]&lt;EOMONTH($A74,0)+1)
)</f>
        <v>0</v>
      </c>
      <c r="AI74" s="166" cm="1">
        <f t="array" ref="AI74">SUMPRODUCT(
  IFERROR(--desp[valor],0)*
  (desp[nucleo]="UP CAMPO BELO")*
  (desp[categoria]=AI$7)*
  (desp[data.pagamento]&gt;=$A74)*
  (desp[data.pagamento]&lt;EOMONTH($A74,0)+1)
)</f>
        <v>0</v>
      </c>
      <c r="AJ74" s="177">
        <f>COUNTIFS(
    estq[empresa], AJ$6,
    estq[Data da venda / reserva], "&gt;=" &amp; $A74,
    estq[Data da venda / reserva], "&lt;"  &amp; EOMONTH($A74,0) + 1
)</f>
        <v>0</v>
      </c>
      <c r="AK74" s="178">
        <f ca="1">SUMIFS(rec.uni[2026-12-01],
INDIRECT("rec.uni[natureza]"),"pro.soluto",
INDIRECT("rec.uni[empresa]"),AK$6)</f>
        <v>0</v>
      </c>
      <c r="AL74" s="178">
        <f ca="1">SUMIFS(rec.uni[2026-12-01],
INDIRECT("rec.uni[natureza]"),"repasse.cef.obra",
INDIRECT("rec.uni[empresa]"),AL$6)</f>
        <v>0</v>
      </c>
      <c r="AM74" s="181">
        <f ca="1">SUMIFS(rec.uni[2026-12-01],
INDIRECT("rec.uni[natureza]"),"repasse.cef.terreno",
INDIRECT("rec.uni[empresa]"),AM$6)</f>
        <v>0</v>
      </c>
      <c r="AN74" s="182"/>
      <c r="AO74" s="178">
        <f ca="1">SUMIFS(rec.uni[2026-12-01],
INDIRECT("rec.uni[natureza]"),"taxa.extra",
INDIRECT("rec.uni[empresa]"),AO$6)</f>
        <v>0</v>
      </c>
      <c r="AP74" s="166"/>
      <c r="AQ74" s="166" cm="1">
        <f t="array" ref="AQ74">SUMPRODUCT(
  IFERROR(--desp[valor],0)*
  (desp[nucleo]="UP SELECT VILA SONIA")*
  (desp[categoria]=AQ$7)*
  (desp[data.pagamento]&gt;=$A74)*
  (desp[data.pagamento]&lt;EOMONTH($A74,0)+1)
)</f>
        <v>0</v>
      </c>
      <c r="AR74" s="166" cm="1">
        <f t="array" ref="AR74">SUMPRODUCT(
  IFERROR(--desp[valor],0)*
  (desp[nucleo]="UP SELECT VILA SONIA")*
  (desp[categoria]=AR$7)*
  (desp[data.pagamento]&gt;=$A74)*
  (desp[data.pagamento]&lt;EOMONTH($A74,0)+1)
)</f>
        <v>0</v>
      </c>
      <c r="AS74" s="166" cm="1">
        <f t="array" ref="AS74">SUMPRODUCT(
  IFERROR(--desp[valor],0)*
  (desp[nucleo]="UP SELECT VILA SONIA")*
  (desp[categoria]=AS$7)*
  (desp[data.pagamento]&gt;=$A74)*
  (desp[data.pagamento]&lt;EOMONTH($A74,0)+1)
)</f>
        <v>0</v>
      </c>
      <c r="AT74" s="166" cm="1">
        <f t="array" ref="AT74">SUMPRODUCT(
  IFERROR(--desp[valor],0)*
  (desp[nucleo]="UP SELECT VILA SONIA")*
  (desp[categoria]=AT$7)*
  (desp[data.pagamento]&gt;=$A74)*
  (desp[data.pagamento]&lt;EOMONTH($A74,0)+1)
)</f>
        <v>0</v>
      </c>
      <c r="AU74" s="166" cm="1">
        <f t="array" ref="AU74">SUMPRODUCT(
  IFERROR(--desp[valor],0)*
  (desp[nucleo]="UP SELECT VILA SONIA")*
  (desp[categoria]=AU$7)*
  (desp[data.pagamento]&gt;=$A74)*
  (desp[data.pagamento]&lt;EOMONTH($A74,0)+1)
)</f>
        <v>0</v>
      </c>
      <c r="AV74" s="177">
        <f>COUNTIFS(
    estq[empresa], AV$6,
    estq[Data da venda / reserva], "&gt;=" &amp; $A74,
    estq[Data da venda / reserva], "&lt;"  &amp; EOMONTH($A74,0) + 1
)</f>
        <v>0</v>
      </c>
      <c r="AW74" s="178">
        <f ca="1">SUMIFS(rec.uni[2026-12-01],
INDIRECT("rec.uni[natureza]"),"pro.soluto",
INDIRECT("rec.uni[empresa]"),AW$6)</f>
        <v>0</v>
      </c>
      <c r="AX74" s="178">
        <f ca="1">SUMIFS(rec.uni[2026-12-01],
INDIRECT("rec.uni[natureza]"),"repasse.cef.obra",
INDIRECT("rec.uni[empresa]"),AX$6)</f>
        <v>0</v>
      </c>
      <c r="AY74" s="181">
        <f ca="1">SUMIFS(rec.uni[2026-12-01],
INDIRECT("rec.uni[natureza]"),"repasse.cef.terreno",
INDIRECT("rec.uni[empresa]"),AY$6)</f>
        <v>0</v>
      </c>
      <c r="AZ74" s="182"/>
      <c r="BA74" s="178">
        <f ca="1">SUMIFS(rec.uni[2026-12-01],
INDIRECT("rec.uni[natureza]"),"taxa.extra",
INDIRECT("rec.uni[empresa]"),BA$6)</f>
        <v>0</v>
      </c>
      <c r="BB74" s="166"/>
      <c r="BC74" s="166" cm="1">
        <f t="array" ref="BC74">SUMPRODUCT(
  IFERROR(--desp[valor],0)*
  (desp[nucleo]="UP ESTAÇÃO SÃO LUCAS")*
  (desp[categoria]=BC$7)*
  (desp[data.pagamento]&gt;=$A74)*
  (desp[data.pagamento]&lt;EOMONTH($A74,0)+1)
)</f>
        <v>0</v>
      </c>
      <c r="BD74" s="166" cm="1">
        <f t="array" ref="BD74">SUMPRODUCT(
  IFERROR(--desp[valor],0)*
  (desp[nucleo]="UP ESTAÇÃO SÃO LUCAS")*
  (desp[categoria]=BD$7)*
  (desp[data.pagamento]&gt;=$A74)*
  (desp[data.pagamento]&lt;EOMONTH($A74,0)+1)
)</f>
        <v>0</v>
      </c>
      <c r="BE74" s="166" cm="1">
        <f t="array" ref="BE74">SUMPRODUCT(
  IFERROR(--desp[valor],0)*
  (desp[nucleo]="UP ESTAÇÃO SÃO LUCAS")*
  (desp[categoria]=BE$7)*
  (desp[data.pagamento]&gt;=$A74)*
  (desp[data.pagamento]&lt;EOMONTH($A74,0)+1)
)</f>
        <v>0</v>
      </c>
      <c r="BF74" s="166" cm="1">
        <f t="array" ref="BF74">SUMPRODUCT(
  IFERROR(--desp[valor],0)*
  (desp[nucleo]="UP ESTAÇÃO SÃO LUCAS")*
  (desp[categoria]=BF$7)*
  (desp[data.pagamento]&gt;=$A74)*
  (desp[data.pagamento]&lt;EOMONTH($A74,0)+1)
)</f>
        <v>0</v>
      </c>
      <c r="BG74" s="166" cm="1">
        <f t="array" ref="BG74">SUMPRODUCT(
  IFERROR(--desp[valor],0)*
  (desp[nucleo]="UP ESTAÇÃO SÃO LUCAS")*
  (desp[categoria]=BG$7)*
  (desp[data.pagamento]&gt;=$A74)*
  (desp[data.pagamento]&lt;EOMONTH($A74,0)+1)
)</f>
        <v>0</v>
      </c>
      <c r="BH74" s="177">
        <f>COUNTIFS(
    estq[empresa], BH$6,
    estq[Data da venda / reserva], "&gt;=" &amp; $A74,
    estq[Data da venda / reserva], "&lt;"  &amp; EOMONTH($A74,0) + 1
)</f>
        <v>0</v>
      </c>
      <c r="BI74" s="178">
        <f ca="1">SUMIFS(rec.uni[2026-12-01],
INDIRECT("rec.uni[natureza]"),"pro.soluto",
INDIRECT("rec.uni[empresa]"),BI$6)</f>
        <v>0</v>
      </c>
      <c r="BJ74" s="182">
        <f ca="1">SUMIFS(rec.uni[2026-12-01],
INDIRECT("rec.uni[natureza]"),"parcela.fin.total.ik",
INDIRECT("rec.uni[empresa]"),BJ$6)</f>
        <v>0</v>
      </c>
      <c r="BK74" s="178">
        <f ca="1">SUMIFS(rec.uni[2026-12-01],
INDIRECT("rec.uni[natureza]"),"taxa.extra",
INDIRECT("rec.uni[empresa]"),BK$6)</f>
        <v>0</v>
      </c>
      <c r="BL74" s="166"/>
      <c r="BM74" s="166" cm="1">
        <f t="array" ref="BM74">SUMPRODUCT(
  IFERROR(--desp[valor],0)*
  (desp[nucleo]="UP POMPEIA")*
  (desp[categoria]=BM$7)*
  (desp[data.pagamento]&gt;=$A74)*
  (desp[data.pagamento]&lt;EOMONTH($A74,0)+1)
)</f>
        <v>0</v>
      </c>
      <c r="BN74" s="166" cm="1">
        <f t="array" ref="BN74">SUMPRODUCT(
  IFERROR(--desp[valor],0)*
  (desp[nucleo]="UP POMPEIA")*
  (desp[categoria]=BN$7)*
  (desp[data.pagamento]&gt;=$A74)*
  (desp[data.pagamento]&lt;EOMONTH($A74,0)+1)
)</f>
        <v>0</v>
      </c>
      <c r="BO74" s="166" cm="1">
        <f t="array" ref="BO74">SUMPRODUCT(
  IFERROR(--desp[valor],0)*
  (desp[nucleo]="UP POMPEIA")*
  (desp[categoria]=BO$7)*
  (desp[data.pagamento]&gt;=$A74)*
  (desp[data.pagamento]&lt;EOMONTH($A74,0)+1)
)</f>
        <v>0</v>
      </c>
      <c r="BP74" s="166" cm="1">
        <f t="array" ref="BP74">SUMPRODUCT(
  IFERROR(--desp[valor],0)*
  (desp[nucleo]="UP POMPEIA")*
  (desp[categoria]=BP$7)*
  (desp[data.pagamento]&gt;=$A74)*
  (desp[data.pagamento]&lt;EOMONTH($A74,0)+1)
)</f>
        <v>0</v>
      </c>
      <c r="BQ74" s="166" cm="1">
        <f t="array" ref="BQ74">SUMPRODUCT(
  IFERROR(--desp[valor],0)*
  (desp[nucleo]="UP POMPEIA")*
  (desp[categoria]=BQ$7)*
  (desp[data.pagamento]&gt;=$A74)*
  (desp[data.pagamento]&lt;EOMONTH($A74,0)+1)
)</f>
        <v>0</v>
      </c>
      <c r="BR74" s="177">
        <f>COUNTIFS(
    estq[empresa], BR$6,
    estq[Data da venda / reserva], "&gt;=" &amp; $A74,
    estq[Data da venda / reserva], "&lt;"  &amp; EOMONTH($A74,0) + 1
)</f>
        <v>0</v>
      </c>
      <c r="BS74" s="178">
        <f ca="1">SUMIFS(rec.uni[2026-12-01],
INDIRECT("rec.uni[natureza]"),"pro.soluto",
INDIRECT("rec.uni[empresa]"),BS$6)</f>
        <v>0</v>
      </c>
      <c r="BT74" s="182">
        <f ca="1">SUMIFS(rec.uni[2026-12-01],
INDIRECT("rec.uni[natureza]"),"pro.soluto",
INDIRECT("rec.uni[empresa]"),BT$6)</f>
        <v>0</v>
      </c>
      <c r="BU74" s="178">
        <f ca="1">SUMIFS(rec.uni[2026-12-01],
INDIRECT("rec.uni[natureza]"),"taxa.extra",
INDIRECT("rec.uni[empresa]"),BU$6)</f>
        <v>0</v>
      </c>
      <c r="BV74" s="166"/>
      <c r="BW74" s="166" cm="1">
        <f t="array" ref="BW74">SUMPRODUCT(
  IFERROR(--desp[valor],0)*
  (desp[nucleo]="UP SAUDE")*
  (desp[categoria]=BW$7)*
  (desp[data.pagamento]&gt;=$A74)*
  (desp[data.pagamento]&lt;EOMONTH($A74,0)+1)
)</f>
        <v>0</v>
      </c>
      <c r="BX74" s="166" cm="1">
        <f t="array" ref="BX74">SUMPRODUCT(
  IFERROR(--desp[valor],0)*
  (desp[nucleo]="UP SAUDE")*
  (desp[categoria]=BX$7)*
  (desp[data.pagamento]&gt;=$A74)*
  (desp[data.pagamento]&lt;EOMONTH($A74,0)+1)
)</f>
        <v>0</v>
      </c>
      <c r="BY74" s="166" cm="1">
        <f t="array" ref="BY74">SUMPRODUCT(
  IFERROR(--desp[valor],0)*
  (desp[nucleo]="UP SAUDE")*
  (desp[categoria]=BY$7)*
  (desp[data.pagamento]&gt;=$A74)*
  (desp[data.pagamento]&lt;EOMONTH($A74,0)+1)
)</f>
        <v>0</v>
      </c>
      <c r="BZ74" s="166" cm="1">
        <f t="array" ref="BZ74">SUMPRODUCT(
  IFERROR(--desp[valor],0)*
  (desp[nucleo]="UP SAUDE")*
  (desp[categoria]=BZ$7)*
  (desp[data.pagamento]&gt;=$A74)*
  (desp[data.pagamento]&lt;EOMONTH($A74,0)+1)
)</f>
        <v>0</v>
      </c>
      <c r="CA74" s="166" cm="1">
        <f t="array" ref="CA74">SUMPRODUCT(
  IFERROR(--desp[valor],0)*
  (desp[nucleo]="UP SAUDE")*
  (desp[categoria]=CA$7)*
  (desp[data.pagamento]&gt;=$A74)*
  (desp[data.pagamento]&lt;EOMONTH($A74,0)+1)
)</f>
        <v>0</v>
      </c>
      <c r="CB74" s="177">
        <f>COUNTIFS(
    estq[empresa], CB$6,
    estq[Data da venda / reserva], "&gt;=" &amp; $A74,
    estq[Data da venda / reserva], "&lt;"  &amp; EOMONTH($A74,0) + 1
)</f>
        <v>0</v>
      </c>
      <c r="CC74" s="178">
        <f ca="1">SUMIFS(rec.uni[2026-12-01],
INDIRECT("rec.uni[natureza]"),"pro.soluto",
INDIRECT("rec.uni[empresa]"),CC$6)</f>
        <v>0</v>
      </c>
      <c r="CD74" s="178">
        <f ca="1">SUMIFS(rec.uni[2026-12-01],
INDIRECT("rec.uni[natureza]"),"repasse.cef.obra",
INDIRECT("rec.uni[empresa]"),CD$6)</f>
        <v>0</v>
      </c>
      <c r="CE74" s="181">
        <f ca="1">SUMIFS(rec.uni[2026-12-01],
INDIRECT("rec.uni[natureza]"),"repasse.cef.terreno",
INDIRECT("rec.uni[empresa]"),CE$6)</f>
        <v>0</v>
      </c>
      <c r="CF74" s="182"/>
      <c r="CG74" s="178">
        <f ca="1">SUMIFS(rec.uni[2026-12-01],
INDIRECT("rec.uni[natureza]"),"taxa.extra",
INDIRECT("rec.uni[empresa]"),CG$6)</f>
        <v>0</v>
      </c>
      <c r="CH74" s="166"/>
      <c r="CI74" s="166" cm="1">
        <f t="array" ref="CI74">SUMPRODUCT(
  IFERROR(--desp[valor],0)*
  (desp[nucleo]="UP ESTAÇÃO VILA SONIA")*
  (desp[categoria]=CI$7)*
  (desp[data.pagamento]&gt;=$A74)*
  (desp[data.pagamento]&lt;EOMONTH($A74,0)+1)
)</f>
        <v>0</v>
      </c>
      <c r="CJ74" s="166" cm="1">
        <f t="array" ref="CJ74">SUMPRODUCT(
  IFERROR(--desp[valor],0)*
  (desp[nucleo]="UP ESTAÇÃO VILA SONIA")*
  (desp[categoria]=CJ$7)*
  (desp[data.pagamento]&gt;=$A74)*
  (desp[data.pagamento]&lt;EOMONTH($A74,0)+1)
)</f>
        <v>0</v>
      </c>
      <c r="CK74" s="166" cm="1">
        <f t="array" ref="CK74">SUMPRODUCT(
  IFERROR(--desp[valor],0)*
  (desp[nucleo]="UP ESTAÇÃO VILA SONIA")*
  (desp[categoria]=CK$7)*
  (desp[data.pagamento]&gt;=$A74)*
  (desp[data.pagamento]&lt;EOMONTH($A74,0)+1)
)</f>
        <v>0</v>
      </c>
      <c r="CL74" s="166" cm="1">
        <f t="array" ref="CL74">SUMPRODUCT(
  IFERROR(--desp[valor],0)*
  (desp[nucleo]="UP ESTAÇÃO VILA SONIA")*
  (desp[categoria]=CL$7)*
  (desp[data.pagamento]&gt;=$A74)*
  (desp[data.pagamento]&lt;EOMONTH($A74,0)+1)
)</f>
        <v>0</v>
      </c>
      <c r="CM74" s="166" cm="1">
        <f t="array" ref="CM74">SUMPRODUCT(
  IFERROR(--desp[valor],0)*
  (desp[nucleo]="UP ESTAÇÃO VILA SONIA")*
  (desp[categoria]=CM$7)*
  (desp[data.pagamento]&gt;=$A74)*
  (desp[data.pagamento]&lt;EOMONTH($A74,0)+1)
)</f>
        <v>0</v>
      </c>
      <c r="CN74" s="177">
        <f>COUNTIFS(
    estq[empresa], CN$6,
    estq[Data da venda / reserva], "&gt;=" &amp; $A74,
    estq[Data da venda / reserva], "&lt;"  &amp; EOMONTH($A74,0) + 1
)</f>
        <v>0</v>
      </c>
      <c r="CO74" s="178">
        <f ca="1">SUMIFS(rec.uni[2026-12-01],
INDIRECT("rec.uni[natureza]"),"pro.soluto",
INDIRECT("rec.uni[empresa]"),CO$6)</f>
        <v>0</v>
      </c>
      <c r="CP74" s="178">
        <f ca="1">SUMIFS(rec.uni[2026-12-01],
INDIRECT("rec.uni[natureza]"),"repasse.cef.obra",
INDIRECT("rec.uni[empresa]"),CP$6)</f>
        <v>0</v>
      </c>
      <c r="CQ74" s="181">
        <f ca="1">SUMIFS(rec.uni[2026-12-01],
INDIRECT("rec.uni[natureza]"),"repasse.cef.terreno",
INDIRECT("rec.uni[empresa]"),CQ$6)</f>
        <v>0</v>
      </c>
      <c r="CR74" s="182"/>
      <c r="CS74" s="178">
        <f ca="1">SUMIFS(rec.uni[2026-12-01],
INDIRECT("rec.uni[natureza]"),"taxa.extra",
INDIRECT("rec.uni[empresa]"),CS$6)</f>
        <v>0</v>
      </c>
      <c r="CT74" s="166"/>
      <c r="CU74" s="166" cm="1">
        <f t="array" ref="CU74">SUMPRODUCT(
  IFERROR(--desp[valor],0)*
  (desp[nucleo]="UP MOVE VILA SONIA")*
  (desp[categoria]=CU$7)*
  (desp[data.pagamento]&gt;=$A74)*
  (desp[data.pagamento]&lt;EOMONTH($A74,0)+1)
)</f>
        <v>0</v>
      </c>
      <c r="CV74" s="166" cm="1">
        <f t="array" ref="CV74">SUMPRODUCT(
  IFERROR(--desp[valor],0)*
  (desp[nucleo]="UP MOVE VILA SONIA")*
  (desp[categoria]=CV$7)*
  (desp[data.pagamento]&gt;=$A74)*
  (desp[data.pagamento]&lt;EOMONTH($A74,0)+1)
)</f>
        <v>0</v>
      </c>
      <c r="CW74" s="166" cm="1">
        <f t="array" ref="CW74">SUMPRODUCT(
  IFERROR(--desp[valor],0)*
  (desp[nucleo]="UP MOVE VILA SONIA")*
  (desp[categoria]=CW$7)*
  (desp[data.pagamento]&gt;=$A74)*
  (desp[data.pagamento]&lt;EOMONTH($A74,0)+1)
)</f>
        <v>0</v>
      </c>
      <c r="CX74" s="166" cm="1">
        <f t="array" ref="CX74">SUMPRODUCT(
  IFERROR(--desp[valor],0)*
  (desp[nucleo]="UP MOVE VILA SONIA")*
  (desp[categoria]=CX$7)*
  (desp[data.pagamento]&gt;=$A74)*
  (desp[data.pagamento]&lt;EOMONTH($A74,0)+1)
)</f>
        <v>0</v>
      </c>
      <c r="CY74" s="291" cm="1">
        <f t="array" ref="CY74">SUMPRODUCT(
  IFERROR(--desp[valor],0)*
  (desp[nucleo]="UP MOVE VILA SONIA")*
  (desp[categoria]=CY$7)*
  (desp[data.pagamento]&gt;=$A74)*
  (desp[data.pagamento]&lt;EOMONTH($A74,0)+1)
)</f>
        <v>0</v>
      </c>
    </row>
    <row r="75" spans="1:103" x14ac:dyDescent="0.25">
      <c r="A75" s="176">
        <v>46388</v>
      </c>
      <c r="B75" s="177">
        <f>COUNTIFS(
    estq[empresa], B$6,
    estq[Data da venda / reserva], "&gt;=" &amp; $A75,
    estq[Data da venda / reserva], "&lt;"  &amp; EOMONTH($A75,0) + 1
)</f>
        <v>0</v>
      </c>
      <c r="C75" s="178">
        <f ca="1">SUMIFS(rec.uni[2027-01-01],
INDIRECT("rec.uni[natureza]"),"pro.soluto",
INDIRECT("rec.uni[empresa]"),C$6)</f>
        <v>0</v>
      </c>
      <c r="D75" s="178">
        <f ca="1">SUMIFS(rec.uni[2027-01-01],
INDIRECT("rec.uni[natureza]"),"repasse.cef.obra",
INDIRECT("rec.uni[empresa]"),D$6)</f>
        <v>0</v>
      </c>
      <c r="E75" s="178">
        <f ca="1">SUMIFS(rec.uni[2027-01-01],
INDIRECT("rec.uni[natureza]"),"repasse.cef.terreno",
INDIRECT("rec.uni[empresa]"),E$6)</f>
        <v>0</v>
      </c>
      <c r="F75" s="182"/>
      <c r="G75" s="178">
        <f ca="1">SUMIFS(rec.uni[2027-01-01],
INDIRECT("rec.uni[natureza]"),"taxa.extra",
INDIRECT("rec.uni[empresa]"),G$6)</f>
        <v>0</v>
      </c>
      <c r="H75" s="166"/>
      <c r="I75" s="166" cm="1">
        <f t="array" ref="I75">SUMPRODUCT(
  IFERROR(--desp[valor],0)*
  (desp[nucleo]="UP JARDIM PRUDENCIA")*
  (desp[categoria]=I$7)*
  (desp[data.pagamento]&gt;=$A75)*
  (desp[data.pagamento]&lt;EOMONTH($A75,0)+1)
)</f>
        <v>0</v>
      </c>
      <c r="J75" s="166" cm="1">
        <f t="array" ref="J75">SUMPRODUCT(
  IFERROR(--desp[valor],0)*
  (desp[nucleo]="UP JARDIM PRUDENCIA")*
  (desp[categoria]=J$7)*
  (desp[data.pagamento]&gt;=$A75)*
  (desp[data.pagamento]&lt;EOMONTH($A75,0)+1)
)</f>
        <v>0</v>
      </c>
      <c r="K75" s="166" cm="1">
        <f t="array" ref="K75">SUMPRODUCT(
  IFERROR(--desp[valor],0)*
  (desp[nucleo]="UP JARDIM PRUDENCIA")*
  (desp[categoria]=K$7)*
  (desp[data.pagamento]&gt;=$A75)*
  (desp[data.pagamento]&lt;EOMONTH($A75,0)+1)
)</f>
        <v>0</v>
      </c>
      <c r="L75" s="166" cm="1">
        <f t="array" ref="L75">SUMPRODUCT(
  IFERROR(--desp[valor],0)*
  (desp[nucleo]="UP JARDIM PRUDENCIA")*
  (desp[categoria]=L$7)*
  (desp[data.pagamento]&gt;=$A75)*
  (desp[data.pagamento]&lt;EOMONTH($A75,0)+1)
)</f>
        <v>0</v>
      </c>
      <c r="M75" s="166" cm="1">
        <f t="array" ref="M75">SUMPRODUCT(
  IFERROR(--desp[valor],0)*
  (desp[nucleo]="UP JARDIM PRUDENCIA")*
  (desp[categoria]=M$7)*
  (desp[data.pagamento]&gt;=$A75)*
  (desp[data.pagamento]&lt;EOMONTH($A75,0)+1)
)</f>
        <v>0</v>
      </c>
      <c r="N75" s="177">
        <f>COUNTIFS(
    estq[empresa], N$6,
    estq[Data da venda / reserva], "&gt;=" &amp; $A75,
    estq[Data da venda / reserva], "&lt;"  &amp; EOMONTH($A75,0) + 1
)</f>
        <v>0</v>
      </c>
      <c r="O75" s="178">
        <f ca="1">SUMIFS(rec.uni[2027-01-01],
INDIRECT("rec.uni[natureza]"),"pro.soluto",
INDIRECT("rec.uni[empresa]"),O$6)</f>
        <v>0</v>
      </c>
      <c r="P75" s="178">
        <f ca="1">SUMIFS(rec.uni[2027-01-01],
INDIRECT("rec.uni[natureza]"),"repasse.cef.obra",
INDIRECT("rec.uni[empresa]"),P$6)</f>
        <v>0</v>
      </c>
      <c r="Q75" s="178">
        <f ca="1">SUMIFS(rec.uni[2027-01-01],
INDIRECT("rec.uni[natureza]"),"repasse.cef.terreno",
INDIRECT("rec.uni[empresa]"),Q$6)</f>
        <v>0</v>
      </c>
      <c r="R75" s="182"/>
      <c r="S75" s="178">
        <f ca="1">SUMIFS(rec.uni[2027-01-01],
INDIRECT("rec.uni[natureza]"),"taxa.extra",
INDIRECT("rec.uni[empresa]"),S$6)</f>
        <v>0</v>
      </c>
      <c r="T75" s="166"/>
      <c r="U75" s="166" cm="1">
        <f t="array" ref="U75">SUMPRODUCT(
  IFERROR(--desp[valor],0)*
  (desp[nucleo]="UP VILA SONIA")*
  (desp[categoria]=U$7)*
  (desp[data.pagamento]&gt;=$A75)*
  (desp[data.pagamento]&lt;EOMONTH($A75,0)+1)
)</f>
        <v>0</v>
      </c>
      <c r="V75" s="166" cm="1">
        <f t="array" ref="V75">SUMPRODUCT(
  IFERROR(--desp[valor],0)*
  (desp[nucleo]="UP VILA SONIA")*
  (desp[categoria]=V$7)*
  (desp[data.pagamento]&gt;=$A75)*
  (desp[data.pagamento]&lt;EOMONTH($A75,0)+1)
)</f>
        <v>0</v>
      </c>
      <c r="W75" s="166" cm="1">
        <f t="array" ref="W75">SUMPRODUCT(
  IFERROR(--desp[valor],0)*
  (desp[nucleo]="UP VILA SONIA")*
  (desp[categoria]=W$7)*
  (desp[data.pagamento]&gt;=$A75)*
  (desp[data.pagamento]&lt;EOMONTH($A75,0)+1)
)</f>
        <v>0</v>
      </c>
      <c r="X75" s="166" cm="1">
        <f t="array" ref="X75">SUMPRODUCT(
  IFERROR(--desp[valor],0)*
  (desp[nucleo]="UP VILA SONIA")*
  (desp[categoria]=X$7)*
  (desp[data.pagamento]&gt;=$A75)*
  (desp[data.pagamento]&lt;EOMONTH($A75,0)+1)
)</f>
        <v>0</v>
      </c>
      <c r="Y75" s="166" cm="1">
        <f t="array" ref="Y75">SUMPRODUCT(
  IFERROR(--desp[valor],0)*
  (desp[nucleo]="UP VILA SONIA")*
  (desp[categoria]=Y$7)*
  (desp[data.pagamento]&gt;=$A75)*
  (desp[data.pagamento]&lt;EOMONTH($A75,0)+1)
)</f>
        <v>0</v>
      </c>
      <c r="Z75" s="177">
        <f>COUNTIFS(
    estq[empresa], Z$6,
    estq[Data da venda / reserva], "&gt;=" &amp; $A75,
    estq[Data da venda / reserva], "&lt;"  &amp; EOMONTH($A75,0) + 1
)</f>
        <v>0</v>
      </c>
      <c r="AA75" s="178">
        <f ca="1">SUMIFS(rec.uni[2027-01-01],
INDIRECT("rec.uni[natureza]"),"pro.soluto",
INDIRECT("rec.uni[empresa]"),AA$6)</f>
        <v>0</v>
      </c>
      <c r="AB75" s="182">
        <f ca="1">SUMIFS(rec.uni[2027-01-01],
INDIRECT("rec.uni[natureza]"),"parcela.fin.total.ik",
INDIRECT("rec.uni[empresa]"),AB$6)</f>
        <v>0</v>
      </c>
      <c r="AC75" s="178">
        <f ca="1">SUMIFS(rec.uni[2027-01-01],
INDIRECT("rec.uni[natureza]"),"taxa.extra",
INDIRECT("rec.uni[empresa]"),AC$6)</f>
        <v>0</v>
      </c>
      <c r="AD75" s="166"/>
      <c r="AE75" s="166" cm="1">
        <f t="array" ref="AE75">SUMPRODUCT(
  IFERROR(--desp[valor],0)*
  (desp[nucleo]="UP CAMPO BELO")*
  (desp[categoria]=AE$7)*
  (desp[data.pagamento]&gt;=$A75)*
  (desp[data.pagamento]&lt;EOMONTH($A75,0)+1)
)</f>
        <v>0</v>
      </c>
      <c r="AF75" s="166" cm="1">
        <f t="array" ref="AF75">SUMPRODUCT(
  IFERROR(--desp[valor],0)*
  (desp[nucleo]="UP CAMPO BELO")*
  (desp[categoria]=AF$7)*
  (desp[data.pagamento]&gt;=$A75)*
  (desp[data.pagamento]&lt;EOMONTH($A75,0)+1)
)</f>
        <v>0</v>
      </c>
      <c r="AG75" s="166" cm="1">
        <f t="array" ref="AG75">SUMPRODUCT(
  IFERROR(--desp[valor],0)*
  (desp[nucleo]="UP CAMPO BELO")*
  (desp[categoria]=AG$7)*
  (desp[data.pagamento]&gt;=$A75)*
  (desp[data.pagamento]&lt;EOMONTH($A75,0)+1)
)</f>
        <v>0</v>
      </c>
      <c r="AH75" s="166" cm="1">
        <f t="array" ref="AH75">SUMPRODUCT(
  IFERROR(--desp[valor],0)*
  (desp[nucleo]="UP CAMPO BELO")*
  (desp[categoria]=AH$7)*
  (desp[data.pagamento]&gt;=$A75)*
  (desp[data.pagamento]&lt;EOMONTH($A75,0)+1)
)</f>
        <v>0</v>
      </c>
      <c r="AI75" s="166" cm="1">
        <f t="array" ref="AI75">SUMPRODUCT(
  IFERROR(--desp[valor],0)*
  (desp[nucleo]="UP CAMPO BELO")*
  (desp[categoria]=AI$7)*
  (desp[data.pagamento]&gt;=$A75)*
  (desp[data.pagamento]&lt;EOMONTH($A75,0)+1)
)</f>
        <v>0</v>
      </c>
      <c r="AJ75" s="177">
        <f>COUNTIFS(
    estq[empresa], AJ$6,
    estq[Data da venda / reserva], "&gt;=" &amp; $A75,
    estq[Data da venda / reserva], "&lt;"  &amp; EOMONTH($A75,0) + 1
)</f>
        <v>0</v>
      </c>
      <c r="AK75" s="178">
        <f ca="1">SUMIFS(rec.uni[2027-01-01],
INDIRECT("rec.uni[natureza]"),"pro.soluto",
INDIRECT("rec.uni[empresa]"),AK$6)</f>
        <v>0</v>
      </c>
      <c r="AL75" s="178">
        <f ca="1">SUMIFS(rec.uni[2027-01-01],
INDIRECT("rec.uni[natureza]"),"repasse.cef.obra",
INDIRECT("rec.uni[empresa]"),AL$6)</f>
        <v>0</v>
      </c>
      <c r="AM75" s="181">
        <f ca="1">SUMIFS(rec.uni[2027-01-01],
INDIRECT("rec.uni[natureza]"),"repasse.cef.terreno",
INDIRECT("rec.uni[empresa]"),AM$6)</f>
        <v>0</v>
      </c>
      <c r="AN75" s="182"/>
      <c r="AO75" s="178">
        <f ca="1">SUMIFS(rec.uni[2027-01-01],
INDIRECT("rec.uni[natureza]"),"taxa.extra",
INDIRECT("rec.uni[empresa]"),AO$6)</f>
        <v>0</v>
      </c>
      <c r="AP75" s="166"/>
      <c r="AQ75" s="166" cm="1">
        <f t="array" ref="AQ75">SUMPRODUCT(
  IFERROR(--desp[valor],0)*
  (desp[nucleo]="UP SELECT VILA SONIA")*
  (desp[categoria]=AQ$7)*
  (desp[data.pagamento]&gt;=$A75)*
  (desp[data.pagamento]&lt;EOMONTH($A75,0)+1)
)</f>
        <v>0</v>
      </c>
      <c r="AR75" s="166" cm="1">
        <f t="array" ref="AR75">SUMPRODUCT(
  IFERROR(--desp[valor],0)*
  (desp[nucleo]="UP SELECT VILA SONIA")*
  (desp[categoria]=AR$7)*
  (desp[data.pagamento]&gt;=$A75)*
  (desp[data.pagamento]&lt;EOMONTH($A75,0)+1)
)</f>
        <v>0</v>
      </c>
      <c r="AS75" s="166" cm="1">
        <f t="array" ref="AS75">SUMPRODUCT(
  IFERROR(--desp[valor],0)*
  (desp[nucleo]="UP SELECT VILA SONIA")*
  (desp[categoria]=AS$7)*
  (desp[data.pagamento]&gt;=$A75)*
  (desp[data.pagamento]&lt;EOMONTH($A75,0)+1)
)</f>
        <v>0</v>
      </c>
      <c r="AT75" s="166" cm="1">
        <f t="array" ref="AT75">SUMPRODUCT(
  IFERROR(--desp[valor],0)*
  (desp[nucleo]="UP SELECT VILA SONIA")*
  (desp[categoria]=AT$7)*
  (desp[data.pagamento]&gt;=$A75)*
  (desp[data.pagamento]&lt;EOMONTH($A75,0)+1)
)</f>
        <v>0</v>
      </c>
      <c r="AU75" s="166" cm="1">
        <f t="array" ref="AU75">SUMPRODUCT(
  IFERROR(--desp[valor],0)*
  (desp[nucleo]="UP SELECT VILA SONIA")*
  (desp[categoria]=AU$7)*
  (desp[data.pagamento]&gt;=$A75)*
  (desp[data.pagamento]&lt;EOMONTH($A75,0)+1)
)</f>
        <v>0</v>
      </c>
      <c r="AV75" s="177">
        <f>COUNTIFS(
    estq[empresa], AV$6,
    estq[Data da venda / reserva], "&gt;=" &amp; $A75,
    estq[Data da venda / reserva], "&lt;"  &amp; EOMONTH($A75,0) + 1
)</f>
        <v>0</v>
      </c>
      <c r="AW75" s="178">
        <f ca="1">SUMIFS(rec.uni[2027-01-01],
INDIRECT("rec.uni[natureza]"),"pro.soluto",
INDIRECT("rec.uni[empresa]"),AW$6)</f>
        <v>0</v>
      </c>
      <c r="AX75" s="178">
        <f ca="1">SUMIFS(rec.uni[2027-01-01],
INDIRECT("rec.uni[natureza]"),"repasse.cef.obra",
INDIRECT("rec.uni[empresa]"),AX$6)</f>
        <v>0</v>
      </c>
      <c r="AY75" s="181">
        <f ca="1">SUMIFS(rec.uni[2027-01-01],
INDIRECT("rec.uni[natureza]"),"repasse.cef.terreno",
INDIRECT("rec.uni[empresa]"),AY$6)</f>
        <v>0</v>
      </c>
      <c r="AZ75" s="182"/>
      <c r="BA75" s="178">
        <f ca="1">SUMIFS(rec.uni[2027-01-01],
INDIRECT("rec.uni[natureza]"),"taxa.extra",
INDIRECT("rec.uni[empresa]"),BA$6)</f>
        <v>0</v>
      </c>
      <c r="BB75" s="166"/>
      <c r="BC75" s="166" cm="1">
        <f t="array" ref="BC75">SUMPRODUCT(
  IFERROR(--desp[valor],0)*
  (desp[nucleo]="UP ESTAÇÃO SÃO LUCAS")*
  (desp[categoria]=BC$7)*
  (desp[data.pagamento]&gt;=$A75)*
  (desp[data.pagamento]&lt;EOMONTH($A75,0)+1)
)</f>
        <v>0</v>
      </c>
      <c r="BD75" s="166" cm="1">
        <f t="array" ref="BD75">SUMPRODUCT(
  IFERROR(--desp[valor],0)*
  (desp[nucleo]="UP ESTAÇÃO SÃO LUCAS")*
  (desp[categoria]=BD$7)*
  (desp[data.pagamento]&gt;=$A75)*
  (desp[data.pagamento]&lt;EOMONTH($A75,0)+1)
)</f>
        <v>0</v>
      </c>
      <c r="BE75" s="166" cm="1">
        <f t="array" ref="BE75">SUMPRODUCT(
  IFERROR(--desp[valor],0)*
  (desp[nucleo]="UP ESTAÇÃO SÃO LUCAS")*
  (desp[categoria]=BE$7)*
  (desp[data.pagamento]&gt;=$A75)*
  (desp[data.pagamento]&lt;EOMONTH($A75,0)+1)
)</f>
        <v>0</v>
      </c>
      <c r="BF75" s="166" cm="1">
        <f t="array" ref="BF75">SUMPRODUCT(
  IFERROR(--desp[valor],0)*
  (desp[nucleo]="UP ESTAÇÃO SÃO LUCAS")*
  (desp[categoria]=BF$7)*
  (desp[data.pagamento]&gt;=$A75)*
  (desp[data.pagamento]&lt;EOMONTH($A75,0)+1)
)</f>
        <v>0</v>
      </c>
      <c r="BG75" s="166" cm="1">
        <f t="array" ref="BG75">SUMPRODUCT(
  IFERROR(--desp[valor],0)*
  (desp[nucleo]="UP ESTAÇÃO SÃO LUCAS")*
  (desp[categoria]=BG$7)*
  (desp[data.pagamento]&gt;=$A75)*
  (desp[data.pagamento]&lt;EOMONTH($A75,0)+1)
)</f>
        <v>0</v>
      </c>
      <c r="BH75" s="177">
        <f>COUNTIFS(
    estq[empresa], BH$6,
    estq[Data da venda / reserva], "&gt;=" &amp; $A75,
    estq[Data da venda / reserva], "&lt;"  &amp; EOMONTH($A75,0) + 1
)</f>
        <v>0</v>
      </c>
      <c r="BI75" s="178">
        <f ca="1">SUMIFS(rec.uni[2027-01-01],
INDIRECT("rec.uni[natureza]"),"pro.soluto",
INDIRECT("rec.uni[empresa]"),BI$6)</f>
        <v>0</v>
      </c>
      <c r="BJ75" s="182">
        <f ca="1">SUMIFS(rec.uni[2027-01-01],
INDIRECT("rec.uni[natureza]"),"parcela.fin.total.ik",
INDIRECT("rec.uni[empresa]"),BJ$6)</f>
        <v>0</v>
      </c>
      <c r="BK75" s="178">
        <f ca="1">SUMIFS(rec.uni[2027-01-01],
INDIRECT("rec.uni[natureza]"),"taxa.extra",
INDIRECT("rec.uni[empresa]"),BK$6)</f>
        <v>0</v>
      </c>
      <c r="BL75" s="166"/>
      <c r="BM75" s="166" cm="1">
        <f t="array" ref="BM75">SUMPRODUCT(
  IFERROR(--desp[valor],0)*
  (desp[nucleo]="UP POMPEIA")*
  (desp[categoria]=BM$7)*
  (desp[data.pagamento]&gt;=$A75)*
  (desp[data.pagamento]&lt;EOMONTH($A75,0)+1)
)</f>
        <v>0</v>
      </c>
      <c r="BN75" s="166" cm="1">
        <f t="array" ref="BN75">SUMPRODUCT(
  IFERROR(--desp[valor],0)*
  (desp[nucleo]="UP POMPEIA")*
  (desp[categoria]=BN$7)*
  (desp[data.pagamento]&gt;=$A75)*
  (desp[data.pagamento]&lt;EOMONTH($A75,0)+1)
)</f>
        <v>0</v>
      </c>
      <c r="BO75" s="166" cm="1">
        <f t="array" ref="BO75">SUMPRODUCT(
  IFERROR(--desp[valor],0)*
  (desp[nucleo]="UP POMPEIA")*
  (desp[categoria]=BO$7)*
  (desp[data.pagamento]&gt;=$A75)*
  (desp[data.pagamento]&lt;EOMONTH($A75,0)+1)
)</f>
        <v>0</v>
      </c>
      <c r="BP75" s="166" cm="1">
        <f t="array" ref="BP75">SUMPRODUCT(
  IFERROR(--desp[valor],0)*
  (desp[nucleo]="UP POMPEIA")*
  (desp[categoria]=BP$7)*
  (desp[data.pagamento]&gt;=$A75)*
  (desp[data.pagamento]&lt;EOMONTH($A75,0)+1)
)</f>
        <v>0</v>
      </c>
      <c r="BQ75" s="166" cm="1">
        <f t="array" ref="BQ75">SUMPRODUCT(
  IFERROR(--desp[valor],0)*
  (desp[nucleo]="UP POMPEIA")*
  (desp[categoria]=BQ$7)*
  (desp[data.pagamento]&gt;=$A75)*
  (desp[data.pagamento]&lt;EOMONTH($A75,0)+1)
)</f>
        <v>0</v>
      </c>
      <c r="BR75" s="177">
        <f>COUNTIFS(
    estq[empresa], BR$6,
    estq[Data da venda / reserva], "&gt;=" &amp; $A75,
    estq[Data da venda / reserva], "&lt;"  &amp; EOMONTH($A75,0) + 1
)</f>
        <v>0</v>
      </c>
      <c r="BS75" s="178">
        <f ca="1">SUMIFS(rec.uni[2027-01-01],
INDIRECT("rec.uni[natureza]"),"pro.soluto",
INDIRECT("rec.uni[empresa]"),BS$6)</f>
        <v>0</v>
      </c>
      <c r="BT75" s="182">
        <f ca="1">SUMIFS(rec.uni[2027-01-01],
INDIRECT("rec.uni[natureza]"),"parcela.fin.total.ik",
INDIRECT("rec.uni[empresa]"),BT$6)</f>
        <v>0</v>
      </c>
      <c r="BU75" s="178">
        <f ca="1">SUMIFS(rec.uni[2027-01-01],
INDIRECT("rec.uni[natureza]"),"taxa.extra",
INDIRECT("rec.uni[empresa]"),BU$6)</f>
        <v>0</v>
      </c>
      <c r="BV75" s="166"/>
      <c r="BW75" s="166" cm="1">
        <f t="array" ref="BW75">SUMPRODUCT(
  IFERROR(--desp[valor],0)*
  (desp[nucleo]="UP SAUDE")*
  (desp[categoria]=BW$7)*
  (desp[data.pagamento]&gt;=$A75)*
  (desp[data.pagamento]&lt;EOMONTH($A75,0)+1)
)</f>
        <v>0</v>
      </c>
      <c r="BX75" s="166" cm="1">
        <f t="array" ref="BX75">SUMPRODUCT(
  IFERROR(--desp[valor],0)*
  (desp[nucleo]="UP SAUDE")*
  (desp[categoria]=BX$7)*
  (desp[data.pagamento]&gt;=$A75)*
  (desp[data.pagamento]&lt;EOMONTH($A75,0)+1)
)</f>
        <v>0</v>
      </c>
      <c r="BY75" s="166" cm="1">
        <f t="array" ref="BY75">SUMPRODUCT(
  IFERROR(--desp[valor],0)*
  (desp[nucleo]="UP SAUDE")*
  (desp[categoria]=BY$7)*
  (desp[data.pagamento]&gt;=$A75)*
  (desp[data.pagamento]&lt;EOMONTH($A75,0)+1)
)</f>
        <v>0</v>
      </c>
      <c r="BZ75" s="166" cm="1">
        <f t="array" ref="BZ75">SUMPRODUCT(
  IFERROR(--desp[valor],0)*
  (desp[nucleo]="UP SAUDE")*
  (desp[categoria]=BZ$7)*
  (desp[data.pagamento]&gt;=$A75)*
  (desp[data.pagamento]&lt;EOMONTH($A75,0)+1)
)</f>
        <v>0</v>
      </c>
      <c r="CA75" s="166" cm="1">
        <f t="array" ref="CA75">SUMPRODUCT(
  IFERROR(--desp[valor],0)*
  (desp[nucleo]="UP SAUDE")*
  (desp[categoria]=CA$7)*
  (desp[data.pagamento]&gt;=$A75)*
  (desp[data.pagamento]&lt;EOMONTH($A75,0)+1)
)</f>
        <v>0</v>
      </c>
      <c r="CB75" s="177">
        <f>COUNTIFS(
    estq[empresa], CB$6,
    estq[Data da venda / reserva], "&gt;=" &amp; $A75,
    estq[Data da venda / reserva], "&lt;"  &amp; EOMONTH($A75,0) + 1
)</f>
        <v>0</v>
      </c>
      <c r="CC75" s="178">
        <f ca="1">SUMIFS(rec.uni[2027-01-01],
INDIRECT("rec.uni[natureza]"),"pro.soluto",
INDIRECT("rec.uni[empresa]"),CC$6)</f>
        <v>0</v>
      </c>
      <c r="CD75" s="178">
        <f ca="1">SUMIFS(rec.uni[2027-01-01],
INDIRECT("rec.uni[natureza]"),"repasse.cef.obra",
INDIRECT("rec.uni[empresa]"),CD$6)</f>
        <v>0</v>
      </c>
      <c r="CE75" s="181">
        <f ca="1">SUMIFS(rec.uni[2027-01-01],
INDIRECT("rec.uni[natureza]"),"repasse.cef.terreno",
INDIRECT("rec.uni[empresa]"),CE$6)</f>
        <v>0</v>
      </c>
      <c r="CF75" s="182"/>
      <c r="CG75" s="178">
        <f ca="1">SUMIFS(rec.uni[2027-01-01],
INDIRECT("rec.uni[natureza]"),"taxa.extra",
INDIRECT("rec.uni[empresa]"),CG$6)</f>
        <v>0</v>
      </c>
      <c r="CH75" s="166"/>
      <c r="CI75" s="166" cm="1">
        <f t="array" ref="CI75">SUMPRODUCT(
  IFERROR(--desp[valor],0)*
  (desp[nucleo]="UP ESTAÇÃO VILA SONIA")*
  (desp[categoria]=CI$7)*
  (desp[data.pagamento]&gt;=$A75)*
  (desp[data.pagamento]&lt;EOMONTH($A75,0)+1)
)</f>
        <v>0</v>
      </c>
      <c r="CJ75" s="166" cm="1">
        <f t="array" ref="CJ75">SUMPRODUCT(
  IFERROR(--desp[valor],0)*
  (desp[nucleo]="UP ESTAÇÃO VILA SONIA")*
  (desp[categoria]=CJ$7)*
  (desp[data.pagamento]&gt;=$A75)*
  (desp[data.pagamento]&lt;EOMONTH($A75,0)+1)
)</f>
        <v>0</v>
      </c>
      <c r="CK75" s="166" cm="1">
        <f t="array" ref="CK75">SUMPRODUCT(
  IFERROR(--desp[valor],0)*
  (desp[nucleo]="UP ESTAÇÃO VILA SONIA")*
  (desp[categoria]=CK$7)*
  (desp[data.pagamento]&gt;=$A75)*
  (desp[data.pagamento]&lt;EOMONTH($A75,0)+1)
)</f>
        <v>0</v>
      </c>
      <c r="CL75" s="166" cm="1">
        <f t="array" ref="CL75">SUMPRODUCT(
  IFERROR(--desp[valor],0)*
  (desp[nucleo]="UP ESTAÇÃO VILA SONIA")*
  (desp[categoria]=CL$7)*
  (desp[data.pagamento]&gt;=$A75)*
  (desp[data.pagamento]&lt;EOMONTH($A75,0)+1)
)</f>
        <v>0</v>
      </c>
      <c r="CM75" s="166" cm="1">
        <f t="array" ref="CM75">SUMPRODUCT(
  IFERROR(--desp[valor],0)*
  (desp[nucleo]="UP ESTAÇÃO VILA SONIA")*
  (desp[categoria]=CM$7)*
  (desp[data.pagamento]&gt;=$A75)*
  (desp[data.pagamento]&lt;EOMONTH($A75,0)+1)
)</f>
        <v>0</v>
      </c>
      <c r="CN75" s="177">
        <f>COUNTIFS(
    estq[empresa], CN$6,
    estq[Data da venda / reserva], "&gt;=" &amp; $A75,
    estq[Data da venda / reserva], "&lt;"  &amp; EOMONTH($A75,0) + 1
)</f>
        <v>0</v>
      </c>
      <c r="CO75" s="178">
        <f ca="1">SUMIFS(rec.uni[2027-01-01],
INDIRECT("rec.uni[natureza]"),"pro.soluto",
INDIRECT("rec.uni[empresa]"),CO$6)</f>
        <v>0</v>
      </c>
      <c r="CP75" s="178">
        <f ca="1">SUMIFS(rec.uni[2027-01-01],
INDIRECT("rec.uni[natureza]"),"repasse.cef.obra",
INDIRECT("rec.uni[empresa]"),CP$6)</f>
        <v>0</v>
      </c>
      <c r="CQ75" s="181">
        <f ca="1">SUMIFS(rec.uni[2027-01-01],
INDIRECT("rec.uni[natureza]"),"repasse.cef.terreno",
INDIRECT("rec.uni[empresa]"),CQ$6)</f>
        <v>0</v>
      </c>
      <c r="CR75" s="182"/>
      <c r="CS75" s="178">
        <f ca="1">SUMIFS(rec.uni[2027-01-01],
INDIRECT("rec.uni[natureza]"),"taxa.extra",
INDIRECT("rec.uni[empresa]"),CS$6)</f>
        <v>0</v>
      </c>
      <c r="CT75" s="166"/>
      <c r="CU75" s="166" cm="1">
        <f t="array" ref="CU75">SUMPRODUCT(
  IFERROR(--desp[valor],0)*
  (desp[nucleo]="UP MOVE VILA SONIA")*
  (desp[categoria]=CU$7)*
  (desp[data.pagamento]&gt;=$A75)*
  (desp[data.pagamento]&lt;EOMONTH($A75,0)+1)
)</f>
        <v>0</v>
      </c>
      <c r="CV75" s="166" cm="1">
        <f t="array" ref="CV75">SUMPRODUCT(
  IFERROR(--desp[valor],0)*
  (desp[nucleo]="UP MOVE VILA SONIA")*
  (desp[categoria]=CV$7)*
  (desp[data.pagamento]&gt;=$A75)*
  (desp[data.pagamento]&lt;EOMONTH($A75,0)+1)
)</f>
        <v>0</v>
      </c>
      <c r="CW75" s="166" cm="1">
        <f t="array" ref="CW75">SUMPRODUCT(
  IFERROR(--desp[valor],0)*
  (desp[nucleo]="UP MOVE VILA SONIA")*
  (desp[categoria]=CW$7)*
  (desp[data.pagamento]&gt;=$A75)*
  (desp[data.pagamento]&lt;EOMONTH($A75,0)+1)
)</f>
        <v>0</v>
      </c>
      <c r="CX75" s="166" cm="1">
        <f t="array" ref="CX75">SUMPRODUCT(
  IFERROR(--desp[valor],0)*
  (desp[nucleo]="UP MOVE VILA SONIA")*
  (desp[categoria]=CX$7)*
  (desp[data.pagamento]&gt;=$A75)*
  (desp[data.pagamento]&lt;EOMONTH($A75,0)+1)
)</f>
        <v>0</v>
      </c>
      <c r="CY75" s="291" cm="1">
        <f t="array" ref="CY75">SUMPRODUCT(
  IFERROR(--desp[valor],0)*
  (desp[nucleo]="UP MOVE VILA SONIA")*
  (desp[categoria]=CY$7)*
  (desp[data.pagamento]&gt;=$A75)*
  (desp[data.pagamento]&lt;EOMONTH($A75,0)+1)
)</f>
        <v>0</v>
      </c>
    </row>
    <row r="76" spans="1:103" x14ac:dyDescent="0.25">
      <c r="A76" s="176">
        <v>46419</v>
      </c>
      <c r="B76" s="177">
        <f>COUNTIFS(
    estq[empresa], B$6,
    estq[Data da venda / reserva], "&gt;=" &amp; $A76,
    estq[Data da venda / reserva], "&lt;"  &amp; EOMONTH($A76,0) + 1
)</f>
        <v>0</v>
      </c>
      <c r="C76" s="178">
        <f ca="1">SUMIFS(rec.uni[2027-02-01],
INDIRECT("rec.uni[natureza]"),"pro.soluto",
INDIRECT("rec.uni[empresa]"),C$6)</f>
        <v>0</v>
      </c>
      <c r="D76" s="178">
        <f ca="1">SUMIFS(rec.uni[2027-02-01],
INDIRECT("rec.uni[natureza]"),"repasse.cef.obra",
INDIRECT("rec.uni[empresa]"),D$6)</f>
        <v>0</v>
      </c>
      <c r="E76" s="178">
        <f ca="1">SUMIFS(rec.uni[2027-02-01],
INDIRECT("rec.uni[natureza]"),"repasse.cef.terreno",
INDIRECT("rec.uni[empresa]"),E$6)</f>
        <v>0</v>
      </c>
      <c r="F76" s="182"/>
      <c r="G76" s="178">
        <f ca="1">SUMIFS(rec.uni[2027-02-01],
INDIRECT("rec.uni[natureza]"),"taxa.extra",
INDIRECT("rec.uni[empresa]"),G$6)</f>
        <v>0</v>
      </c>
      <c r="H76" s="166"/>
      <c r="I76" s="166" cm="1">
        <f t="array" ref="I76">SUMPRODUCT(
  IFERROR(--desp[valor],0)*
  (desp[nucleo]="UP JARDIM PRUDENCIA")*
  (desp[categoria]=I$7)*
  (desp[data.pagamento]&gt;=$A76)*
  (desp[data.pagamento]&lt;EOMONTH($A76,0)+1)
)</f>
        <v>0</v>
      </c>
      <c r="J76" s="166" cm="1">
        <f t="array" ref="J76">SUMPRODUCT(
  IFERROR(--desp[valor],0)*
  (desp[nucleo]="UP JARDIM PRUDENCIA")*
  (desp[categoria]=J$7)*
  (desp[data.pagamento]&gt;=$A76)*
  (desp[data.pagamento]&lt;EOMONTH($A76,0)+1)
)</f>
        <v>0</v>
      </c>
      <c r="K76" s="166" cm="1">
        <f t="array" ref="K76">SUMPRODUCT(
  IFERROR(--desp[valor],0)*
  (desp[nucleo]="UP JARDIM PRUDENCIA")*
  (desp[categoria]=K$7)*
  (desp[data.pagamento]&gt;=$A76)*
  (desp[data.pagamento]&lt;EOMONTH($A76,0)+1)
)</f>
        <v>0</v>
      </c>
      <c r="L76" s="166" cm="1">
        <f t="array" ref="L76">SUMPRODUCT(
  IFERROR(--desp[valor],0)*
  (desp[nucleo]="UP JARDIM PRUDENCIA")*
  (desp[categoria]=L$7)*
  (desp[data.pagamento]&gt;=$A76)*
  (desp[data.pagamento]&lt;EOMONTH($A76,0)+1)
)</f>
        <v>0</v>
      </c>
      <c r="M76" s="166" cm="1">
        <f t="array" ref="M76">SUMPRODUCT(
  IFERROR(--desp[valor],0)*
  (desp[nucleo]="UP JARDIM PRUDENCIA")*
  (desp[categoria]=M$7)*
  (desp[data.pagamento]&gt;=$A76)*
  (desp[data.pagamento]&lt;EOMONTH($A76,0)+1)
)</f>
        <v>0</v>
      </c>
      <c r="N76" s="177">
        <f>COUNTIFS(
    estq[empresa], N$6,
    estq[Data da venda / reserva], "&gt;=" &amp; $A76,
    estq[Data da venda / reserva], "&lt;"  &amp; EOMONTH($A76,0) + 1
)</f>
        <v>0</v>
      </c>
      <c r="O76" s="178">
        <f ca="1">SUMIFS(rec.uni[2027-02-01],
INDIRECT("rec.uni[natureza]"),"pro.soluto",
INDIRECT("rec.uni[empresa]"),O$6)</f>
        <v>0</v>
      </c>
      <c r="P76" s="178">
        <f ca="1">SUMIFS(rec.uni[2027-02-01],
INDIRECT("rec.uni[natureza]"),"repasse.cef.obra",
INDIRECT("rec.uni[empresa]"),P$6)</f>
        <v>0</v>
      </c>
      <c r="Q76" s="178">
        <f ca="1">SUMIFS(rec.uni[2027-02-01],
INDIRECT("rec.uni[natureza]"),"repasse.cef.terreno",
INDIRECT("rec.uni[empresa]"),Q$6)</f>
        <v>0</v>
      </c>
      <c r="R76" s="182"/>
      <c r="S76" s="178">
        <f ca="1">SUMIFS(rec.uni[2027-02-01],
INDIRECT("rec.uni[natureza]"),"taxa.extra",
INDIRECT("rec.uni[empresa]"),S$6)</f>
        <v>0</v>
      </c>
      <c r="T76" s="166"/>
      <c r="U76" s="166" cm="1">
        <f t="array" ref="U76">SUMPRODUCT(
  IFERROR(--desp[valor],0)*
  (desp[nucleo]="UP VILA SONIA")*
  (desp[categoria]=U$7)*
  (desp[data.pagamento]&gt;=$A76)*
  (desp[data.pagamento]&lt;EOMONTH($A76,0)+1)
)</f>
        <v>0</v>
      </c>
      <c r="V76" s="166" cm="1">
        <f t="array" ref="V76">SUMPRODUCT(
  IFERROR(--desp[valor],0)*
  (desp[nucleo]="UP VILA SONIA")*
  (desp[categoria]=V$7)*
  (desp[data.pagamento]&gt;=$A76)*
  (desp[data.pagamento]&lt;EOMONTH($A76,0)+1)
)</f>
        <v>0</v>
      </c>
      <c r="W76" s="166" cm="1">
        <f t="array" ref="W76">SUMPRODUCT(
  IFERROR(--desp[valor],0)*
  (desp[nucleo]="UP VILA SONIA")*
  (desp[categoria]=W$7)*
  (desp[data.pagamento]&gt;=$A76)*
  (desp[data.pagamento]&lt;EOMONTH($A76,0)+1)
)</f>
        <v>0</v>
      </c>
      <c r="X76" s="166" cm="1">
        <f t="array" ref="X76">SUMPRODUCT(
  IFERROR(--desp[valor],0)*
  (desp[nucleo]="UP VILA SONIA")*
  (desp[categoria]=X$7)*
  (desp[data.pagamento]&gt;=$A76)*
  (desp[data.pagamento]&lt;EOMONTH($A76,0)+1)
)</f>
        <v>0</v>
      </c>
      <c r="Y76" s="166" cm="1">
        <f t="array" ref="Y76">SUMPRODUCT(
  IFERROR(--desp[valor],0)*
  (desp[nucleo]="UP VILA SONIA")*
  (desp[categoria]=Y$7)*
  (desp[data.pagamento]&gt;=$A76)*
  (desp[data.pagamento]&lt;EOMONTH($A76,0)+1)
)</f>
        <v>0</v>
      </c>
      <c r="Z76" s="177">
        <f>COUNTIFS(
    estq[empresa], Z$6,
    estq[Data da venda / reserva], "&gt;=" &amp; $A76,
    estq[Data da venda / reserva], "&lt;"  &amp; EOMONTH($A76,0) + 1
)</f>
        <v>0</v>
      </c>
      <c r="AA76" s="178">
        <f ca="1">SUMIFS(rec.uni[2027-02-01],
INDIRECT("rec.uni[natureza]"),"pro.soluto",
INDIRECT("rec.uni[empresa]"),AA$6)</f>
        <v>0</v>
      </c>
      <c r="AB76" s="182">
        <f ca="1">SUMIFS(rec.uni[2027-02-01],
INDIRECT("rec.uni[natureza]"),"parcela.fin.total.ik",
INDIRECT("rec.uni[empresa]"),AB$6)</f>
        <v>0</v>
      </c>
      <c r="AC76" s="178">
        <f ca="1">SUMIFS(rec.uni[2027-02-01],
INDIRECT("rec.uni[natureza]"),"taxa.extra",
INDIRECT("rec.uni[empresa]"),AC$6)</f>
        <v>0</v>
      </c>
      <c r="AD76" s="166"/>
      <c r="AE76" s="166" cm="1">
        <f t="array" ref="AE76">SUMPRODUCT(
  IFERROR(--desp[valor],0)*
  (desp[nucleo]="UP CAMPO BELO")*
  (desp[categoria]=AE$7)*
  (desp[data.pagamento]&gt;=$A76)*
  (desp[data.pagamento]&lt;EOMONTH($A76,0)+1)
)</f>
        <v>0</v>
      </c>
      <c r="AF76" s="166" cm="1">
        <f t="array" ref="AF76">SUMPRODUCT(
  IFERROR(--desp[valor],0)*
  (desp[nucleo]="UP CAMPO BELO")*
  (desp[categoria]=AF$7)*
  (desp[data.pagamento]&gt;=$A76)*
  (desp[data.pagamento]&lt;EOMONTH($A76,0)+1)
)</f>
        <v>0</v>
      </c>
      <c r="AG76" s="166" cm="1">
        <f t="array" ref="AG76">SUMPRODUCT(
  IFERROR(--desp[valor],0)*
  (desp[nucleo]="UP CAMPO BELO")*
  (desp[categoria]=AG$7)*
  (desp[data.pagamento]&gt;=$A76)*
  (desp[data.pagamento]&lt;EOMONTH($A76,0)+1)
)</f>
        <v>0</v>
      </c>
      <c r="AH76" s="166" cm="1">
        <f t="array" ref="AH76">SUMPRODUCT(
  IFERROR(--desp[valor],0)*
  (desp[nucleo]="UP CAMPO BELO")*
  (desp[categoria]=AH$7)*
  (desp[data.pagamento]&gt;=$A76)*
  (desp[data.pagamento]&lt;EOMONTH($A76,0)+1)
)</f>
        <v>0</v>
      </c>
      <c r="AI76" s="166" cm="1">
        <f t="array" ref="AI76">SUMPRODUCT(
  IFERROR(--desp[valor],0)*
  (desp[nucleo]="UP CAMPO BELO")*
  (desp[categoria]=AI$7)*
  (desp[data.pagamento]&gt;=$A76)*
  (desp[data.pagamento]&lt;EOMONTH($A76,0)+1)
)</f>
        <v>0</v>
      </c>
      <c r="AJ76" s="177">
        <f>COUNTIFS(
    estq[empresa], AJ$6,
    estq[Data da venda / reserva], "&gt;=" &amp; $A76,
    estq[Data da venda / reserva], "&lt;"  &amp; EOMONTH($A76,0) + 1
)</f>
        <v>0</v>
      </c>
      <c r="AK76" s="178">
        <f ca="1">SUMIFS(rec.uni[2027-02-01],
INDIRECT("rec.uni[natureza]"),"pro.soluto",
INDIRECT("rec.uni[empresa]"),AK$6)</f>
        <v>0</v>
      </c>
      <c r="AL76" s="178">
        <f ca="1">SUMIFS(rec.uni[2027-02-01],
INDIRECT("rec.uni[natureza]"),"repasse.cef.obra",
INDIRECT("rec.uni[empresa]"),AL$6)</f>
        <v>0</v>
      </c>
      <c r="AM76" s="181">
        <f ca="1">SUMIFS(rec.uni[2027-02-01],
INDIRECT("rec.uni[natureza]"),"repasse.cef.terreno",
INDIRECT("rec.uni[empresa]"),AM$6)</f>
        <v>0</v>
      </c>
      <c r="AN76" s="182"/>
      <c r="AO76" s="178">
        <f ca="1">SUMIFS(rec.uni[2027-02-01],
INDIRECT("rec.uni[natureza]"),"taxa.extra",
INDIRECT("rec.uni[empresa]"),AO$6)</f>
        <v>0</v>
      </c>
      <c r="AP76" s="166"/>
      <c r="AQ76" s="166" cm="1">
        <f t="array" ref="AQ76">SUMPRODUCT(
  IFERROR(--desp[valor],0)*
  (desp[nucleo]="UP SELECT VILA SONIA")*
  (desp[categoria]=AQ$7)*
  (desp[data.pagamento]&gt;=$A76)*
  (desp[data.pagamento]&lt;EOMONTH($A76,0)+1)
)</f>
        <v>0</v>
      </c>
      <c r="AR76" s="166" cm="1">
        <f t="array" ref="AR76">SUMPRODUCT(
  IFERROR(--desp[valor],0)*
  (desp[nucleo]="UP SELECT VILA SONIA")*
  (desp[categoria]=AR$7)*
  (desp[data.pagamento]&gt;=$A76)*
  (desp[data.pagamento]&lt;EOMONTH($A76,0)+1)
)</f>
        <v>0</v>
      </c>
      <c r="AS76" s="166" cm="1">
        <f t="array" ref="AS76">SUMPRODUCT(
  IFERROR(--desp[valor],0)*
  (desp[nucleo]="UP SELECT VILA SONIA")*
  (desp[categoria]=AS$7)*
  (desp[data.pagamento]&gt;=$A76)*
  (desp[data.pagamento]&lt;EOMONTH($A76,0)+1)
)</f>
        <v>0</v>
      </c>
      <c r="AT76" s="166" cm="1">
        <f t="array" ref="AT76">SUMPRODUCT(
  IFERROR(--desp[valor],0)*
  (desp[nucleo]="UP SELECT VILA SONIA")*
  (desp[categoria]=AT$7)*
  (desp[data.pagamento]&gt;=$A76)*
  (desp[data.pagamento]&lt;EOMONTH($A76,0)+1)
)</f>
        <v>0</v>
      </c>
      <c r="AU76" s="166" cm="1">
        <f t="array" ref="AU76">SUMPRODUCT(
  IFERROR(--desp[valor],0)*
  (desp[nucleo]="UP SELECT VILA SONIA")*
  (desp[categoria]=AU$7)*
  (desp[data.pagamento]&gt;=$A76)*
  (desp[data.pagamento]&lt;EOMONTH($A76,0)+1)
)</f>
        <v>0</v>
      </c>
      <c r="AV76" s="177">
        <f>COUNTIFS(
    estq[empresa], AV$6,
    estq[Data da venda / reserva], "&gt;=" &amp; $A76,
    estq[Data da venda / reserva], "&lt;"  &amp; EOMONTH($A76,0) + 1
)</f>
        <v>0</v>
      </c>
      <c r="AW76" s="178">
        <f ca="1">SUMIFS(rec.uni[2027-02-01],
INDIRECT("rec.uni[natureza]"),"pro.soluto",
INDIRECT("rec.uni[empresa]"),AW$6)</f>
        <v>0</v>
      </c>
      <c r="AX76" s="178">
        <f ca="1">SUMIFS(rec.uni[2027-02-01],
INDIRECT("rec.uni[natureza]"),"repasse.cef.obra",
INDIRECT("rec.uni[empresa]"),AX$6)</f>
        <v>0</v>
      </c>
      <c r="AY76" s="181">
        <f ca="1">SUMIFS(rec.uni[2027-02-01],
INDIRECT("rec.uni[natureza]"),"repasse.cef.terreno",
INDIRECT("rec.uni[empresa]"),AY$6)</f>
        <v>0</v>
      </c>
      <c r="AZ76" s="182"/>
      <c r="BA76" s="178">
        <f ca="1">SUMIFS(rec.uni[2027-02-01],
INDIRECT("rec.uni[natureza]"),"taxa.extra",
INDIRECT("rec.uni[empresa]"),BA$6)</f>
        <v>0</v>
      </c>
      <c r="BB76" s="166"/>
      <c r="BC76" s="166" cm="1">
        <f t="array" ref="BC76">SUMPRODUCT(
  IFERROR(--desp[valor],0)*
  (desp[nucleo]="UP ESTAÇÃO SÃO LUCAS")*
  (desp[categoria]=BC$7)*
  (desp[data.pagamento]&gt;=$A76)*
  (desp[data.pagamento]&lt;EOMONTH($A76,0)+1)
)</f>
        <v>0</v>
      </c>
      <c r="BD76" s="166" cm="1">
        <f t="array" ref="BD76">SUMPRODUCT(
  IFERROR(--desp[valor],0)*
  (desp[nucleo]="UP ESTAÇÃO SÃO LUCAS")*
  (desp[categoria]=BD$7)*
  (desp[data.pagamento]&gt;=$A76)*
  (desp[data.pagamento]&lt;EOMONTH($A76,0)+1)
)</f>
        <v>0</v>
      </c>
      <c r="BE76" s="166" cm="1">
        <f t="array" ref="BE76">SUMPRODUCT(
  IFERROR(--desp[valor],0)*
  (desp[nucleo]="UP ESTAÇÃO SÃO LUCAS")*
  (desp[categoria]=BE$7)*
  (desp[data.pagamento]&gt;=$A76)*
  (desp[data.pagamento]&lt;EOMONTH($A76,0)+1)
)</f>
        <v>0</v>
      </c>
      <c r="BF76" s="166" cm="1">
        <f t="array" ref="BF76">SUMPRODUCT(
  IFERROR(--desp[valor],0)*
  (desp[nucleo]="UP ESTAÇÃO SÃO LUCAS")*
  (desp[categoria]=BF$7)*
  (desp[data.pagamento]&gt;=$A76)*
  (desp[data.pagamento]&lt;EOMONTH($A76,0)+1)
)</f>
        <v>0</v>
      </c>
      <c r="BG76" s="166" cm="1">
        <f t="array" ref="BG76">SUMPRODUCT(
  IFERROR(--desp[valor],0)*
  (desp[nucleo]="UP ESTAÇÃO SÃO LUCAS")*
  (desp[categoria]=BG$7)*
  (desp[data.pagamento]&gt;=$A76)*
  (desp[data.pagamento]&lt;EOMONTH($A76,0)+1)
)</f>
        <v>0</v>
      </c>
      <c r="BH76" s="177">
        <f>COUNTIFS(
    estq[empresa], BH$6,
    estq[Data da venda / reserva], "&gt;=" &amp; $A76,
    estq[Data da venda / reserva], "&lt;"  &amp; EOMONTH($A76,0) + 1
)</f>
        <v>0</v>
      </c>
      <c r="BI76" s="178">
        <f ca="1">SUMIFS(rec.uni[2027-02-01],
INDIRECT("rec.uni[natureza]"),"pro.soluto",
INDIRECT("rec.uni[empresa]"),BI$6)</f>
        <v>0</v>
      </c>
      <c r="BJ76" s="182">
        <f ca="1">SUMIFS(rec.uni[2027-02-01],
INDIRECT("rec.uni[natureza]"),"parcela.fin.total.ik",
INDIRECT("rec.uni[empresa]"),BJ$6)</f>
        <v>0</v>
      </c>
      <c r="BK76" s="178">
        <f ca="1">SUMIFS(rec.uni[2027-02-01],
INDIRECT("rec.uni[natureza]"),"taxa.extra",
INDIRECT("rec.uni[empresa]"),BK$6)</f>
        <v>0</v>
      </c>
      <c r="BL76" s="166"/>
      <c r="BM76" s="166" cm="1">
        <f t="array" ref="BM76">SUMPRODUCT(
  IFERROR(--desp[valor],0)*
  (desp[nucleo]="UP POMPEIA")*
  (desp[categoria]=BM$7)*
  (desp[data.pagamento]&gt;=$A76)*
  (desp[data.pagamento]&lt;EOMONTH($A76,0)+1)
)</f>
        <v>0</v>
      </c>
      <c r="BN76" s="166" cm="1">
        <f t="array" ref="BN76">SUMPRODUCT(
  IFERROR(--desp[valor],0)*
  (desp[nucleo]="UP POMPEIA")*
  (desp[categoria]=BN$7)*
  (desp[data.pagamento]&gt;=$A76)*
  (desp[data.pagamento]&lt;EOMONTH($A76,0)+1)
)</f>
        <v>0</v>
      </c>
      <c r="BO76" s="166" cm="1">
        <f t="array" ref="BO76">SUMPRODUCT(
  IFERROR(--desp[valor],0)*
  (desp[nucleo]="UP POMPEIA")*
  (desp[categoria]=BO$7)*
  (desp[data.pagamento]&gt;=$A76)*
  (desp[data.pagamento]&lt;EOMONTH($A76,0)+1)
)</f>
        <v>0</v>
      </c>
      <c r="BP76" s="166" cm="1">
        <f t="array" ref="BP76">SUMPRODUCT(
  IFERROR(--desp[valor],0)*
  (desp[nucleo]="UP POMPEIA")*
  (desp[categoria]=BP$7)*
  (desp[data.pagamento]&gt;=$A76)*
  (desp[data.pagamento]&lt;EOMONTH($A76,0)+1)
)</f>
        <v>0</v>
      </c>
      <c r="BQ76" s="166" cm="1">
        <f t="array" ref="BQ76">SUMPRODUCT(
  IFERROR(--desp[valor],0)*
  (desp[nucleo]="UP POMPEIA")*
  (desp[categoria]=BQ$7)*
  (desp[data.pagamento]&gt;=$A76)*
  (desp[data.pagamento]&lt;EOMONTH($A76,0)+1)
)</f>
        <v>0</v>
      </c>
      <c r="BR76" s="177">
        <f>COUNTIFS(
    estq[empresa], BR$6,
    estq[Data da venda / reserva], "&gt;=" &amp; $A76,
    estq[Data da venda / reserva], "&lt;"  &amp; EOMONTH($A76,0) + 1
)</f>
        <v>0</v>
      </c>
      <c r="BS76" s="178">
        <f ca="1">SUMIFS(rec.uni[2027-02-01],
INDIRECT("rec.uni[natureza]"),"pro.soluto",
INDIRECT("rec.uni[empresa]"),BS$6)</f>
        <v>0</v>
      </c>
      <c r="BT76" s="182">
        <f ca="1">SUMIFS(rec.uni[2027-02-01],
INDIRECT("rec.uni[natureza]"),"parcela.fin.total.ik",
INDIRECT("rec.uni[empresa]"),BT$6)</f>
        <v>0</v>
      </c>
      <c r="BU76" s="178">
        <f ca="1">SUMIFS(rec.uni[2027-02-01],
INDIRECT("rec.uni[natureza]"),"taxa.extra",
INDIRECT("rec.uni[empresa]"),BU$6)</f>
        <v>0</v>
      </c>
      <c r="BV76" s="166"/>
      <c r="BW76" s="166" cm="1">
        <f t="array" ref="BW76">SUMPRODUCT(
  IFERROR(--desp[valor],0)*
  (desp[nucleo]="UP SAUDE")*
  (desp[categoria]=BW$7)*
  (desp[data.pagamento]&gt;=$A76)*
  (desp[data.pagamento]&lt;EOMONTH($A76,0)+1)
)</f>
        <v>0</v>
      </c>
      <c r="BX76" s="166" cm="1">
        <f t="array" ref="BX76">SUMPRODUCT(
  IFERROR(--desp[valor],0)*
  (desp[nucleo]="UP SAUDE")*
  (desp[categoria]=BX$7)*
  (desp[data.pagamento]&gt;=$A76)*
  (desp[data.pagamento]&lt;EOMONTH($A76,0)+1)
)</f>
        <v>0</v>
      </c>
      <c r="BY76" s="166" cm="1">
        <f t="array" ref="BY76">SUMPRODUCT(
  IFERROR(--desp[valor],0)*
  (desp[nucleo]="UP SAUDE")*
  (desp[categoria]=BY$7)*
  (desp[data.pagamento]&gt;=$A76)*
  (desp[data.pagamento]&lt;EOMONTH($A76,0)+1)
)</f>
        <v>0</v>
      </c>
      <c r="BZ76" s="166" cm="1">
        <f t="array" ref="BZ76">SUMPRODUCT(
  IFERROR(--desp[valor],0)*
  (desp[nucleo]="UP SAUDE")*
  (desp[categoria]=BZ$7)*
  (desp[data.pagamento]&gt;=$A76)*
  (desp[data.pagamento]&lt;EOMONTH($A76,0)+1)
)</f>
        <v>0</v>
      </c>
      <c r="CA76" s="166" cm="1">
        <f t="array" ref="CA76">SUMPRODUCT(
  IFERROR(--desp[valor],0)*
  (desp[nucleo]="UP SAUDE")*
  (desp[categoria]=CA$7)*
  (desp[data.pagamento]&gt;=$A76)*
  (desp[data.pagamento]&lt;EOMONTH($A76,0)+1)
)</f>
        <v>0</v>
      </c>
      <c r="CB76" s="177">
        <f>COUNTIFS(
    estq[empresa], CB$6,
    estq[Data da venda / reserva], "&gt;=" &amp; $A76,
    estq[Data da venda / reserva], "&lt;"  &amp; EOMONTH($A76,0) + 1
)</f>
        <v>0</v>
      </c>
      <c r="CC76" s="178">
        <f ca="1">SUMIFS(rec.uni[2027-02-01],
INDIRECT("rec.uni[natureza]"),"pro.soluto",
INDIRECT("rec.uni[empresa]"),CC$6)</f>
        <v>0</v>
      </c>
      <c r="CD76" s="178">
        <f ca="1">SUMIFS(rec.uni[2027-02-01],
INDIRECT("rec.uni[natureza]"),"repasse.cef.obra",
INDIRECT("rec.uni[empresa]"),CD$6)</f>
        <v>0</v>
      </c>
      <c r="CE76" s="181">
        <f ca="1">SUMIFS(rec.uni[2027-02-01],
INDIRECT("rec.uni[natureza]"),"repasse.cef.terreno",
INDIRECT("rec.uni[empresa]"),CE$6)</f>
        <v>0</v>
      </c>
      <c r="CF76" s="182"/>
      <c r="CG76" s="178">
        <f ca="1">SUMIFS(rec.uni[2027-02-01],
INDIRECT("rec.uni[natureza]"),"taxa.extra",
INDIRECT("rec.uni[empresa]"),CG$6)</f>
        <v>0</v>
      </c>
      <c r="CH76" s="166"/>
      <c r="CI76" s="166" cm="1">
        <f t="array" ref="CI76">SUMPRODUCT(
  IFERROR(--desp[valor],0)*
  (desp[nucleo]="UP ESTAÇÃO VILA SONIA")*
  (desp[categoria]=CI$7)*
  (desp[data.pagamento]&gt;=$A76)*
  (desp[data.pagamento]&lt;EOMONTH($A76,0)+1)
)</f>
        <v>0</v>
      </c>
      <c r="CJ76" s="166" cm="1">
        <f t="array" ref="CJ76">SUMPRODUCT(
  IFERROR(--desp[valor],0)*
  (desp[nucleo]="UP ESTAÇÃO VILA SONIA")*
  (desp[categoria]=CJ$7)*
  (desp[data.pagamento]&gt;=$A76)*
  (desp[data.pagamento]&lt;EOMONTH($A76,0)+1)
)</f>
        <v>0</v>
      </c>
      <c r="CK76" s="166" cm="1">
        <f t="array" ref="CK76">SUMPRODUCT(
  IFERROR(--desp[valor],0)*
  (desp[nucleo]="UP ESTAÇÃO VILA SONIA")*
  (desp[categoria]=CK$7)*
  (desp[data.pagamento]&gt;=$A76)*
  (desp[data.pagamento]&lt;EOMONTH($A76,0)+1)
)</f>
        <v>0</v>
      </c>
      <c r="CL76" s="166" cm="1">
        <f t="array" ref="CL76">SUMPRODUCT(
  IFERROR(--desp[valor],0)*
  (desp[nucleo]="UP ESTAÇÃO VILA SONIA")*
  (desp[categoria]=CL$7)*
  (desp[data.pagamento]&gt;=$A76)*
  (desp[data.pagamento]&lt;EOMONTH($A76,0)+1)
)</f>
        <v>0</v>
      </c>
      <c r="CM76" s="166" cm="1">
        <f t="array" ref="CM76">SUMPRODUCT(
  IFERROR(--desp[valor],0)*
  (desp[nucleo]="UP ESTAÇÃO VILA SONIA")*
  (desp[categoria]=CM$7)*
  (desp[data.pagamento]&gt;=$A76)*
  (desp[data.pagamento]&lt;EOMONTH($A76,0)+1)
)</f>
        <v>0</v>
      </c>
      <c r="CN76" s="177">
        <f>COUNTIFS(
    estq[empresa], CN$6,
    estq[Data da venda / reserva], "&gt;=" &amp; $A76,
    estq[Data da venda / reserva], "&lt;"  &amp; EOMONTH($A76,0) + 1
)</f>
        <v>0</v>
      </c>
      <c r="CO76" s="178">
        <f ca="1">SUMIFS(rec.uni[2027-02-01],
INDIRECT("rec.uni[natureza]"),"pro.soluto",
INDIRECT("rec.uni[empresa]"),CO$6)</f>
        <v>0</v>
      </c>
      <c r="CP76" s="178">
        <f ca="1">SUMIFS(rec.uni[2027-02-01],
INDIRECT("rec.uni[natureza]"),"repasse.cef.obra",
INDIRECT("rec.uni[empresa]"),CP$6)</f>
        <v>0</v>
      </c>
      <c r="CQ76" s="181">
        <f ca="1">SUMIFS(rec.uni[2027-02-01],
INDIRECT("rec.uni[natureza]"),"repasse.cef.terreno",
INDIRECT("rec.uni[empresa]"),CQ$6)</f>
        <v>0</v>
      </c>
      <c r="CR76" s="182"/>
      <c r="CS76" s="178">
        <f ca="1">SUMIFS(rec.uni[2027-02-01],
INDIRECT("rec.uni[natureza]"),"taxa.extra",
INDIRECT("rec.uni[empresa]"),CS$6)</f>
        <v>0</v>
      </c>
      <c r="CT76" s="166"/>
      <c r="CU76" s="166" cm="1">
        <f t="array" ref="CU76">SUMPRODUCT(
  IFERROR(--desp[valor],0)*
  (desp[nucleo]="UP MOVE VILA SONIA")*
  (desp[categoria]=CU$7)*
  (desp[data.pagamento]&gt;=$A76)*
  (desp[data.pagamento]&lt;EOMONTH($A76,0)+1)
)</f>
        <v>0</v>
      </c>
      <c r="CV76" s="166" cm="1">
        <f t="array" ref="CV76">SUMPRODUCT(
  IFERROR(--desp[valor],0)*
  (desp[nucleo]="UP MOVE VILA SONIA")*
  (desp[categoria]=CV$7)*
  (desp[data.pagamento]&gt;=$A76)*
  (desp[data.pagamento]&lt;EOMONTH($A76,0)+1)
)</f>
        <v>0</v>
      </c>
      <c r="CW76" s="166" cm="1">
        <f t="array" ref="CW76">SUMPRODUCT(
  IFERROR(--desp[valor],0)*
  (desp[nucleo]="UP MOVE VILA SONIA")*
  (desp[categoria]=CW$7)*
  (desp[data.pagamento]&gt;=$A76)*
  (desp[data.pagamento]&lt;EOMONTH($A76,0)+1)
)</f>
        <v>0</v>
      </c>
      <c r="CX76" s="166" cm="1">
        <f t="array" ref="CX76">SUMPRODUCT(
  IFERROR(--desp[valor],0)*
  (desp[nucleo]="UP MOVE VILA SONIA")*
  (desp[categoria]=CX$7)*
  (desp[data.pagamento]&gt;=$A76)*
  (desp[data.pagamento]&lt;EOMONTH($A76,0)+1)
)</f>
        <v>0</v>
      </c>
      <c r="CY76" s="291" cm="1">
        <f t="array" ref="CY76">SUMPRODUCT(
  IFERROR(--desp[valor],0)*
  (desp[nucleo]="UP MOVE VILA SONIA")*
  (desp[categoria]=CY$7)*
  (desp[data.pagamento]&gt;=$A76)*
  (desp[data.pagamento]&lt;EOMONTH($A76,0)+1)
)</f>
        <v>0</v>
      </c>
    </row>
    <row r="77" spans="1:103" x14ac:dyDescent="0.25">
      <c r="A77" s="176">
        <v>46447</v>
      </c>
      <c r="B77" s="177">
        <f>COUNTIFS(
    estq[empresa], B$6,
    estq[Data da venda / reserva], "&gt;=" &amp; $A77,
    estq[Data da venda / reserva], "&lt;"  &amp; EOMONTH($A77,0) + 1
)</f>
        <v>0</v>
      </c>
      <c r="C77" s="178">
        <f ca="1">SUMIFS(rec.uni[2027-03-01],
INDIRECT("rec.uni[natureza]"),"pro.soluto",
INDIRECT("rec.uni[empresa]"),C$6)</f>
        <v>0</v>
      </c>
      <c r="D77" s="178">
        <f ca="1">SUMIFS(rec.uni[2027-03-01],
INDIRECT("rec.uni[natureza]"),"repasse.cef.obra",
INDIRECT("rec.uni[empresa]"),D$6)</f>
        <v>0</v>
      </c>
      <c r="E77" s="178">
        <f ca="1">SUMIFS(rec.uni[2027-03-01],
INDIRECT("rec.uni[natureza]"),"repasse.cef.terreno",
INDIRECT("rec.uni[empresa]"),E$6)</f>
        <v>0</v>
      </c>
      <c r="F77" s="182"/>
      <c r="G77" s="178">
        <f ca="1">SUMIFS(rec.uni[2027-03-01],
INDIRECT("rec.uni[natureza]"),"taxa.extra",
INDIRECT("rec.uni[empresa]"),G$6)</f>
        <v>0</v>
      </c>
      <c r="H77" s="166"/>
      <c r="I77" s="166" cm="1">
        <f t="array" ref="I77">SUMPRODUCT(
  IFERROR(--desp[valor],0)*
  (desp[nucleo]="UP JARDIM PRUDENCIA")*
  (desp[categoria]=I$7)*
  (desp[data.pagamento]&gt;=$A77)*
  (desp[data.pagamento]&lt;EOMONTH($A77,0)+1)
)</f>
        <v>0</v>
      </c>
      <c r="J77" s="166" cm="1">
        <f t="array" ref="J77">SUMPRODUCT(
  IFERROR(--desp[valor],0)*
  (desp[nucleo]="UP JARDIM PRUDENCIA")*
  (desp[categoria]=J$7)*
  (desp[data.pagamento]&gt;=$A77)*
  (desp[data.pagamento]&lt;EOMONTH($A77,0)+1)
)</f>
        <v>0</v>
      </c>
      <c r="K77" s="166" cm="1">
        <f t="array" ref="K77">SUMPRODUCT(
  IFERROR(--desp[valor],0)*
  (desp[nucleo]="UP JARDIM PRUDENCIA")*
  (desp[categoria]=K$7)*
  (desp[data.pagamento]&gt;=$A77)*
  (desp[data.pagamento]&lt;EOMONTH($A77,0)+1)
)</f>
        <v>0</v>
      </c>
      <c r="L77" s="166" cm="1">
        <f t="array" ref="L77">SUMPRODUCT(
  IFERROR(--desp[valor],0)*
  (desp[nucleo]="UP JARDIM PRUDENCIA")*
  (desp[categoria]=L$7)*
  (desp[data.pagamento]&gt;=$A77)*
  (desp[data.pagamento]&lt;EOMONTH($A77,0)+1)
)</f>
        <v>0</v>
      </c>
      <c r="M77" s="166" cm="1">
        <f t="array" ref="M77">SUMPRODUCT(
  IFERROR(--desp[valor],0)*
  (desp[nucleo]="UP JARDIM PRUDENCIA")*
  (desp[categoria]=M$7)*
  (desp[data.pagamento]&gt;=$A77)*
  (desp[data.pagamento]&lt;EOMONTH($A77,0)+1)
)</f>
        <v>0</v>
      </c>
      <c r="N77" s="177">
        <f>COUNTIFS(
    estq[empresa], N$6,
    estq[Data da venda / reserva], "&gt;=" &amp; $A77,
    estq[Data da venda / reserva], "&lt;"  &amp; EOMONTH($A77,0) + 1
)</f>
        <v>0</v>
      </c>
      <c r="O77" s="178">
        <f ca="1">SUMIFS(rec.uni[2027-03-01],
INDIRECT("rec.uni[natureza]"),"pro.soluto",
INDIRECT("rec.uni[empresa]"),O$6)</f>
        <v>0</v>
      </c>
      <c r="P77" s="178">
        <f ca="1">SUMIFS(rec.uni[2027-03-01],
INDIRECT("rec.uni[natureza]"),"repasse.cef.obra",
INDIRECT("rec.uni[empresa]"),P$6)</f>
        <v>0</v>
      </c>
      <c r="Q77" s="178">
        <f ca="1">SUMIFS(rec.uni[2027-03-01],
INDIRECT("rec.uni[natureza]"),"repasse.cef.terreno",
INDIRECT("rec.uni[empresa]"),Q$6)</f>
        <v>0</v>
      </c>
      <c r="R77" s="182"/>
      <c r="S77" s="178">
        <f ca="1">SUMIFS(rec.uni[2027-03-01],
INDIRECT("rec.uni[natureza]"),"taxa.extra",
INDIRECT("rec.uni[empresa]"),S$6)</f>
        <v>0</v>
      </c>
      <c r="T77" s="166"/>
      <c r="U77" s="166" cm="1">
        <f t="array" ref="U77">SUMPRODUCT(
  IFERROR(--desp[valor],0)*
  (desp[nucleo]="UP VILA SONIA")*
  (desp[categoria]=U$7)*
  (desp[data.pagamento]&gt;=$A77)*
  (desp[data.pagamento]&lt;EOMONTH($A77,0)+1)
)</f>
        <v>0</v>
      </c>
      <c r="V77" s="166" cm="1">
        <f t="array" ref="V77">SUMPRODUCT(
  IFERROR(--desp[valor],0)*
  (desp[nucleo]="UP VILA SONIA")*
  (desp[categoria]=V$7)*
  (desp[data.pagamento]&gt;=$A77)*
  (desp[data.pagamento]&lt;EOMONTH($A77,0)+1)
)</f>
        <v>0</v>
      </c>
      <c r="W77" s="166" cm="1">
        <f t="array" ref="W77">SUMPRODUCT(
  IFERROR(--desp[valor],0)*
  (desp[nucleo]="UP VILA SONIA")*
  (desp[categoria]=W$7)*
  (desp[data.pagamento]&gt;=$A77)*
  (desp[data.pagamento]&lt;EOMONTH($A77,0)+1)
)</f>
        <v>0</v>
      </c>
      <c r="X77" s="166" cm="1">
        <f t="array" ref="X77">SUMPRODUCT(
  IFERROR(--desp[valor],0)*
  (desp[nucleo]="UP VILA SONIA")*
  (desp[categoria]=X$7)*
  (desp[data.pagamento]&gt;=$A77)*
  (desp[data.pagamento]&lt;EOMONTH($A77,0)+1)
)</f>
        <v>0</v>
      </c>
      <c r="Y77" s="166" cm="1">
        <f t="array" ref="Y77">SUMPRODUCT(
  IFERROR(--desp[valor],0)*
  (desp[nucleo]="UP VILA SONIA")*
  (desp[categoria]=Y$7)*
  (desp[data.pagamento]&gt;=$A77)*
  (desp[data.pagamento]&lt;EOMONTH($A77,0)+1)
)</f>
        <v>0</v>
      </c>
      <c r="Z77" s="177">
        <f>COUNTIFS(
    estq[empresa], Z$6,
    estq[Data da venda / reserva], "&gt;=" &amp; $A77,
    estq[Data da venda / reserva], "&lt;"  &amp; EOMONTH($A77,0) + 1
)</f>
        <v>0</v>
      </c>
      <c r="AA77" s="178">
        <f ca="1">SUMIFS(rec.uni[2027-03-01],
INDIRECT("rec.uni[natureza]"),"pro.soluto",
INDIRECT("rec.uni[empresa]"),AA$6)</f>
        <v>0</v>
      </c>
      <c r="AB77" s="182">
        <f ca="1">SUMIFS(rec.uni[2027-03-01],
INDIRECT("rec.uni[natureza]"),"parcela.fin.total.ik",
INDIRECT("rec.uni[empresa]"),AB$6)</f>
        <v>0</v>
      </c>
      <c r="AC77" s="178">
        <f ca="1">SUMIFS(rec.uni[2027-03-01],
INDIRECT("rec.uni[natureza]"),"taxa.extra",
INDIRECT("rec.uni[empresa]"),AC$6)</f>
        <v>0</v>
      </c>
      <c r="AD77" s="166"/>
      <c r="AE77" s="166" cm="1">
        <f t="array" ref="AE77">SUMPRODUCT(
  IFERROR(--desp[valor],0)*
  (desp[nucleo]="UP CAMPO BELO")*
  (desp[categoria]=AE$7)*
  (desp[data.pagamento]&gt;=$A77)*
  (desp[data.pagamento]&lt;EOMONTH($A77,0)+1)
)</f>
        <v>0</v>
      </c>
      <c r="AF77" s="166" cm="1">
        <f t="array" ref="AF77">SUMPRODUCT(
  IFERROR(--desp[valor],0)*
  (desp[nucleo]="UP CAMPO BELO")*
  (desp[categoria]=AF$7)*
  (desp[data.pagamento]&gt;=$A77)*
  (desp[data.pagamento]&lt;EOMONTH($A77,0)+1)
)</f>
        <v>0</v>
      </c>
      <c r="AG77" s="166" cm="1">
        <f t="array" ref="AG77">SUMPRODUCT(
  IFERROR(--desp[valor],0)*
  (desp[nucleo]="UP CAMPO BELO")*
  (desp[categoria]=AG$7)*
  (desp[data.pagamento]&gt;=$A77)*
  (desp[data.pagamento]&lt;EOMONTH($A77,0)+1)
)</f>
        <v>0</v>
      </c>
      <c r="AH77" s="166" cm="1">
        <f t="array" ref="AH77">SUMPRODUCT(
  IFERROR(--desp[valor],0)*
  (desp[nucleo]="UP CAMPO BELO")*
  (desp[categoria]=AH$7)*
  (desp[data.pagamento]&gt;=$A77)*
  (desp[data.pagamento]&lt;EOMONTH($A77,0)+1)
)</f>
        <v>0</v>
      </c>
      <c r="AI77" s="166" cm="1">
        <f t="array" ref="AI77">SUMPRODUCT(
  IFERROR(--desp[valor],0)*
  (desp[nucleo]="UP CAMPO BELO")*
  (desp[categoria]=AI$7)*
  (desp[data.pagamento]&gt;=$A77)*
  (desp[data.pagamento]&lt;EOMONTH($A77,0)+1)
)</f>
        <v>0</v>
      </c>
      <c r="AJ77" s="177">
        <f>COUNTIFS(
    estq[empresa], AJ$6,
    estq[Data da venda / reserva], "&gt;=" &amp; $A77,
    estq[Data da venda / reserva], "&lt;"  &amp; EOMONTH($A77,0) + 1
)</f>
        <v>0</v>
      </c>
      <c r="AK77" s="178">
        <f ca="1">SUMIFS(rec.uni[2027-03-01],
INDIRECT("rec.uni[natureza]"),"pro.soluto",
INDIRECT("rec.uni[empresa]"),AK$6)</f>
        <v>0</v>
      </c>
      <c r="AL77" s="178">
        <f ca="1">SUMIFS(rec.uni[2027-03-01],
INDIRECT("rec.uni[natureza]"),"repasse.cef.obra",
INDIRECT("rec.uni[empresa]"),AL$6)</f>
        <v>0</v>
      </c>
      <c r="AM77" s="181">
        <f ca="1">SUMIFS(rec.uni[2027-03-01],
INDIRECT("rec.uni[natureza]"),"repasse.cef.terreno",
INDIRECT("rec.uni[empresa]"),AM$6)</f>
        <v>0</v>
      </c>
      <c r="AN77" s="182"/>
      <c r="AO77" s="178">
        <f ca="1">SUMIFS(rec.uni[2027-03-01],
INDIRECT("rec.uni[natureza]"),"taxa.extra",
INDIRECT("rec.uni[empresa]"),AO$6)</f>
        <v>0</v>
      </c>
      <c r="AP77" s="166"/>
      <c r="AQ77" s="166" cm="1">
        <f t="array" ref="AQ77">SUMPRODUCT(
  IFERROR(--desp[valor],0)*
  (desp[nucleo]="UP SELECT VILA SONIA")*
  (desp[categoria]=AQ$7)*
  (desp[data.pagamento]&gt;=$A77)*
  (desp[data.pagamento]&lt;EOMONTH($A77,0)+1)
)</f>
        <v>0</v>
      </c>
      <c r="AR77" s="166" cm="1">
        <f t="array" ref="AR77">SUMPRODUCT(
  IFERROR(--desp[valor],0)*
  (desp[nucleo]="UP SELECT VILA SONIA")*
  (desp[categoria]=AR$7)*
  (desp[data.pagamento]&gt;=$A77)*
  (desp[data.pagamento]&lt;EOMONTH($A77,0)+1)
)</f>
        <v>0</v>
      </c>
      <c r="AS77" s="166" cm="1">
        <f t="array" ref="AS77">SUMPRODUCT(
  IFERROR(--desp[valor],0)*
  (desp[nucleo]="UP SELECT VILA SONIA")*
  (desp[categoria]=AS$7)*
  (desp[data.pagamento]&gt;=$A77)*
  (desp[data.pagamento]&lt;EOMONTH($A77,0)+1)
)</f>
        <v>0</v>
      </c>
      <c r="AT77" s="166" cm="1">
        <f t="array" ref="AT77">SUMPRODUCT(
  IFERROR(--desp[valor],0)*
  (desp[nucleo]="UP SELECT VILA SONIA")*
  (desp[categoria]=AT$7)*
  (desp[data.pagamento]&gt;=$A77)*
  (desp[data.pagamento]&lt;EOMONTH($A77,0)+1)
)</f>
        <v>0</v>
      </c>
      <c r="AU77" s="166" cm="1">
        <f t="array" ref="AU77">SUMPRODUCT(
  IFERROR(--desp[valor],0)*
  (desp[nucleo]="UP SELECT VILA SONIA")*
  (desp[categoria]=AU$7)*
  (desp[data.pagamento]&gt;=$A77)*
  (desp[data.pagamento]&lt;EOMONTH($A77,0)+1)
)</f>
        <v>0</v>
      </c>
      <c r="AV77" s="177">
        <f>COUNTIFS(
    estq[empresa], AV$6,
    estq[Data da venda / reserva], "&gt;=" &amp; $A77,
    estq[Data da venda / reserva], "&lt;"  &amp; EOMONTH($A77,0) + 1
)</f>
        <v>0</v>
      </c>
      <c r="AW77" s="178">
        <f ca="1">SUMIFS(rec.uni[2027-03-01],
INDIRECT("rec.uni[natureza]"),"pro.soluto",
INDIRECT("rec.uni[empresa]"),AW$6)</f>
        <v>0</v>
      </c>
      <c r="AX77" s="178">
        <f ca="1">SUMIFS(rec.uni[2027-03-01],
INDIRECT("rec.uni[natureza]"),"repasse.cef.obra",
INDIRECT("rec.uni[empresa]"),AX$6)</f>
        <v>0</v>
      </c>
      <c r="AY77" s="181">
        <f ca="1">SUMIFS(rec.uni[2027-03-01],
INDIRECT("rec.uni[natureza]"),"repasse.cef.terreno",
INDIRECT("rec.uni[empresa]"),AY$6)</f>
        <v>0</v>
      </c>
      <c r="AZ77" s="182"/>
      <c r="BA77" s="178">
        <f ca="1">SUMIFS(rec.uni[2027-03-01],
INDIRECT("rec.uni[natureza]"),"taxa.extra",
INDIRECT("rec.uni[empresa]"),BA$6)</f>
        <v>0</v>
      </c>
      <c r="BB77" s="166"/>
      <c r="BC77" s="166" cm="1">
        <f t="array" ref="BC77">SUMPRODUCT(
  IFERROR(--desp[valor],0)*
  (desp[nucleo]="UP ESTAÇÃO SÃO LUCAS")*
  (desp[categoria]=BC$7)*
  (desp[data.pagamento]&gt;=$A77)*
  (desp[data.pagamento]&lt;EOMONTH($A77,0)+1)
)</f>
        <v>0</v>
      </c>
      <c r="BD77" s="166" cm="1">
        <f t="array" ref="BD77">SUMPRODUCT(
  IFERROR(--desp[valor],0)*
  (desp[nucleo]="UP ESTAÇÃO SÃO LUCAS")*
  (desp[categoria]=BD$7)*
  (desp[data.pagamento]&gt;=$A77)*
  (desp[data.pagamento]&lt;EOMONTH($A77,0)+1)
)</f>
        <v>0</v>
      </c>
      <c r="BE77" s="166" cm="1">
        <f t="array" ref="BE77">SUMPRODUCT(
  IFERROR(--desp[valor],0)*
  (desp[nucleo]="UP ESTAÇÃO SÃO LUCAS")*
  (desp[categoria]=BE$7)*
  (desp[data.pagamento]&gt;=$A77)*
  (desp[data.pagamento]&lt;EOMONTH($A77,0)+1)
)</f>
        <v>0</v>
      </c>
      <c r="BF77" s="166" cm="1">
        <f t="array" ref="BF77">SUMPRODUCT(
  IFERROR(--desp[valor],0)*
  (desp[nucleo]="UP ESTAÇÃO SÃO LUCAS")*
  (desp[categoria]=BF$7)*
  (desp[data.pagamento]&gt;=$A77)*
  (desp[data.pagamento]&lt;EOMONTH($A77,0)+1)
)</f>
        <v>0</v>
      </c>
      <c r="BG77" s="166" cm="1">
        <f t="array" ref="BG77">SUMPRODUCT(
  IFERROR(--desp[valor],0)*
  (desp[nucleo]="UP ESTAÇÃO SÃO LUCAS")*
  (desp[categoria]=BG$7)*
  (desp[data.pagamento]&gt;=$A77)*
  (desp[data.pagamento]&lt;EOMONTH($A77,0)+1)
)</f>
        <v>0</v>
      </c>
      <c r="BH77" s="177">
        <f>COUNTIFS(
    estq[empresa], BH$6,
    estq[Data da venda / reserva], "&gt;=" &amp; $A77,
    estq[Data da venda / reserva], "&lt;"  &amp; EOMONTH($A77,0) + 1
)</f>
        <v>0</v>
      </c>
      <c r="BI77" s="178">
        <f ca="1">SUMIFS(rec.uni[2027-03-01],
INDIRECT("rec.uni[natureza]"),"pro.soluto",
INDIRECT("rec.uni[empresa]"),BI$6)</f>
        <v>0</v>
      </c>
      <c r="BJ77" s="182">
        <f ca="1">SUMIFS(rec.uni[2027-03-01],
INDIRECT("rec.uni[natureza]"),"parcela.fin.total.ik",
INDIRECT("rec.uni[empresa]"),BJ$6)</f>
        <v>0</v>
      </c>
      <c r="BK77" s="178">
        <f ca="1">SUMIFS(rec.uni[2027-03-01],
INDIRECT("rec.uni[natureza]"),"taxa.extra",
INDIRECT("rec.uni[empresa]"),BK$6)</f>
        <v>0</v>
      </c>
      <c r="BL77" s="166"/>
      <c r="BM77" s="166" cm="1">
        <f t="array" ref="BM77">SUMPRODUCT(
  IFERROR(--desp[valor],0)*
  (desp[nucleo]="UP POMPEIA")*
  (desp[categoria]=BM$7)*
  (desp[data.pagamento]&gt;=$A77)*
  (desp[data.pagamento]&lt;EOMONTH($A77,0)+1)
)</f>
        <v>0</v>
      </c>
      <c r="BN77" s="166" cm="1">
        <f t="array" ref="BN77">SUMPRODUCT(
  IFERROR(--desp[valor],0)*
  (desp[nucleo]="UP POMPEIA")*
  (desp[categoria]=BN$7)*
  (desp[data.pagamento]&gt;=$A77)*
  (desp[data.pagamento]&lt;EOMONTH($A77,0)+1)
)</f>
        <v>0</v>
      </c>
      <c r="BO77" s="166" cm="1">
        <f t="array" ref="BO77">SUMPRODUCT(
  IFERROR(--desp[valor],0)*
  (desp[nucleo]="UP POMPEIA")*
  (desp[categoria]=BO$7)*
  (desp[data.pagamento]&gt;=$A77)*
  (desp[data.pagamento]&lt;EOMONTH($A77,0)+1)
)</f>
        <v>0</v>
      </c>
      <c r="BP77" s="166" cm="1">
        <f t="array" ref="BP77">SUMPRODUCT(
  IFERROR(--desp[valor],0)*
  (desp[nucleo]="UP POMPEIA")*
  (desp[categoria]=BP$7)*
  (desp[data.pagamento]&gt;=$A77)*
  (desp[data.pagamento]&lt;EOMONTH($A77,0)+1)
)</f>
        <v>0</v>
      </c>
      <c r="BQ77" s="166" cm="1">
        <f t="array" ref="BQ77">SUMPRODUCT(
  IFERROR(--desp[valor],0)*
  (desp[nucleo]="UP POMPEIA")*
  (desp[categoria]=BQ$7)*
  (desp[data.pagamento]&gt;=$A77)*
  (desp[data.pagamento]&lt;EOMONTH($A77,0)+1)
)</f>
        <v>0</v>
      </c>
      <c r="BR77" s="177">
        <f>COUNTIFS(
    estq[empresa], BR$6,
    estq[Data da venda / reserva], "&gt;=" &amp; $A77,
    estq[Data da venda / reserva], "&lt;"  &amp; EOMONTH($A77,0) + 1
)</f>
        <v>0</v>
      </c>
      <c r="BS77" s="178">
        <f ca="1">SUMIFS(rec.uni[2027-03-01],
INDIRECT("rec.uni[natureza]"),"pro.soluto",
INDIRECT("rec.uni[empresa]"),BS$6)</f>
        <v>0</v>
      </c>
      <c r="BT77" s="182">
        <f ca="1">SUMIFS(rec.uni[2027-03-01],
INDIRECT("rec.uni[natureza]"),"parcela.fin.total.ik",
INDIRECT("rec.uni[empresa]"),BT$6)</f>
        <v>0</v>
      </c>
      <c r="BU77" s="178">
        <f ca="1">SUMIFS(rec.uni[2027-03-01],
INDIRECT("rec.uni[natureza]"),"taxa.extra",
INDIRECT("rec.uni[empresa]"),BU$6)</f>
        <v>0</v>
      </c>
      <c r="BV77" s="166"/>
      <c r="BW77" s="166" cm="1">
        <f t="array" ref="BW77">SUMPRODUCT(
  IFERROR(--desp[valor],0)*
  (desp[nucleo]="UP SAUDE")*
  (desp[categoria]=BW$7)*
  (desp[data.pagamento]&gt;=$A77)*
  (desp[data.pagamento]&lt;EOMONTH($A77,0)+1)
)</f>
        <v>0</v>
      </c>
      <c r="BX77" s="166" cm="1">
        <f t="array" ref="BX77">SUMPRODUCT(
  IFERROR(--desp[valor],0)*
  (desp[nucleo]="UP SAUDE")*
  (desp[categoria]=BX$7)*
  (desp[data.pagamento]&gt;=$A77)*
  (desp[data.pagamento]&lt;EOMONTH($A77,0)+1)
)</f>
        <v>0</v>
      </c>
      <c r="BY77" s="166" cm="1">
        <f t="array" ref="BY77">SUMPRODUCT(
  IFERROR(--desp[valor],0)*
  (desp[nucleo]="UP SAUDE")*
  (desp[categoria]=BY$7)*
  (desp[data.pagamento]&gt;=$A77)*
  (desp[data.pagamento]&lt;EOMONTH($A77,0)+1)
)</f>
        <v>0</v>
      </c>
      <c r="BZ77" s="166" cm="1">
        <f t="array" ref="BZ77">SUMPRODUCT(
  IFERROR(--desp[valor],0)*
  (desp[nucleo]="UP SAUDE")*
  (desp[categoria]=BZ$7)*
  (desp[data.pagamento]&gt;=$A77)*
  (desp[data.pagamento]&lt;EOMONTH($A77,0)+1)
)</f>
        <v>0</v>
      </c>
      <c r="CA77" s="166" cm="1">
        <f t="array" ref="CA77">SUMPRODUCT(
  IFERROR(--desp[valor],0)*
  (desp[nucleo]="UP SAUDE")*
  (desp[categoria]=CA$7)*
  (desp[data.pagamento]&gt;=$A77)*
  (desp[data.pagamento]&lt;EOMONTH($A77,0)+1)
)</f>
        <v>0</v>
      </c>
      <c r="CB77" s="177">
        <f>COUNTIFS(
    estq[empresa], CB$6,
    estq[Data da venda / reserva], "&gt;=" &amp; $A77,
    estq[Data da venda / reserva], "&lt;"  &amp; EOMONTH($A77,0) + 1
)</f>
        <v>0</v>
      </c>
      <c r="CC77" s="178">
        <f ca="1">SUMIFS(rec.uni[2027-03-01],
INDIRECT("rec.uni[natureza]"),"pro.soluto",
INDIRECT("rec.uni[empresa]"),CC$6)</f>
        <v>0</v>
      </c>
      <c r="CD77" s="178">
        <f ca="1">SUMIFS(rec.uni[2027-03-01],
INDIRECT("rec.uni[natureza]"),"repasse.cef.obra",
INDIRECT("rec.uni[empresa]"),CD$6)</f>
        <v>0</v>
      </c>
      <c r="CE77" s="181">
        <f ca="1">SUMIFS(rec.uni[2027-03-01],
INDIRECT("rec.uni[natureza]"),"repasse.cef.terreno",
INDIRECT("rec.uni[empresa]"),CE$6)</f>
        <v>0</v>
      </c>
      <c r="CF77" s="182"/>
      <c r="CG77" s="178">
        <f ca="1">SUMIFS(rec.uni[2027-03-01],
INDIRECT("rec.uni[natureza]"),"taxa.extra",
INDIRECT("rec.uni[empresa]"),CG$6)</f>
        <v>0</v>
      </c>
      <c r="CH77" s="166"/>
      <c r="CI77" s="166" cm="1">
        <f t="array" ref="CI77">SUMPRODUCT(
  IFERROR(--desp[valor],0)*
  (desp[nucleo]="UP ESTAÇÃO VILA SONIA")*
  (desp[categoria]=CI$7)*
  (desp[data.pagamento]&gt;=$A77)*
  (desp[data.pagamento]&lt;EOMONTH($A77,0)+1)
)</f>
        <v>0</v>
      </c>
      <c r="CJ77" s="166" cm="1">
        <f t="array" ref="CJ77">SUMPRODUCT(
  IFERROR(--desp[valor],0)*
  (desp[nucleo]="UP ESTAÇÃO VILA SONIA")*
  (desp[categoria]=CJ$7)*
  (desp[data.pagamento]&gt;=$A77)*
  (desp[data.pagamento]&lt;EOMONTH($A77,0)+1)
)</f>
        <v>0</v>
      </c>
      <c r="CK77" s="166" cm="1">
        <f t="array" ref="CK77">SUMPRODUCT(
  IFERROR(--desp[valor],0)*
  (desp[nucleo]="UP ESTAÇÃO VILA SONIA")*
  (desp[categoria]=CK$7)*
  (desp[data.pagamento]&gt;=$A77)*
  (desp[data.pagamento]&lt;EOMONTH($A77,0)+1)
)</f>
        <v>0</v>
      </c>
      <c r="CL77" s="166" cm="1">
        <f t="array" ref="CL77">SUMPRODUCT(
  IFERROR(--desp[valor],0)*
  (desp[nucleo]="UP ESTAÇÃO VILA SONIA")*
  (desp[categoria]=CL$7)*
  (desp[data.pagamento]&gt;=$A77)*
  (desp[data.pagamento]&lt;EOMONTH($A77,0)+1)
)</f>
        <v>0</v>
      </c>
      <c r="CM77" s="166" cm="1">
        <f t="array" ref="CM77">SUMPRODUCT(
  IFERROR(--desp[valor],0)*
  (desp[nucleo]="UP ESTAÇÃO VILA SONIA")*
  (desp[categoria]=CM$7)*
  (desp[data.pagamento]&gt;=$A77)*
  (desp[data.pagamento]&lt;EOMONTH($A77,0)+1)
)</f>
        <v>0</v>
      </c>
      <c r="CN77" s="177">
        <f>COUNTIFS(
    estq[empresa], CN$6,
    estq[Data da venda / reserva], "&gt;=" &amp; $A77,
    estq[Data da venda / reserva], "&lt;"  &amp; EOMONTH($A77,0) + 1
)</f>
        <v>0</v>
      </c>
      <c r="CO77" s="178">
        <f ca="1">SUMIFS(rec.uni[2027-03-01],
INDIRECT("rec.uni[natureza]"),"pro.soluto",
INDIRECT("rec.uni[empresa]"),CO$6)</f>
        <v>0</v>
      </c>
      <c r="CP77" s="178">
        <f ca="1">SUMIFS(rec.uni[2027-03-01],
INDIRECT("rec.uni[natureza]"),"repasse.cef.obra",
INDIRECT("rec.uni[empresa]"),CP$6)</f>
        <v>0</v>
      </c>
      <c r="CQ77" s="181">
        <f ca="1">SUMIFS(rec.uni[2027-03-01],
INDIRECT("rec.uni[natureza]"),"repasse.cef.terreno",
INDIRECT("rec.uni[empresa]"),CQ$6)</f>
        <v>0</v>
      </c>
      <c r="CR77" s="182"/>
      <c r="CS77" s="178">
        <f ca="1">SUMIFS(rec.uni[2027-03-01],
INDIRECT("rec.uni[natureza]"),"taxa.extra",
INDIRECT("rec.uni[empresa]"),CS$6)</f>
        <v>0</v>
      </c>
      <c r="CT77" s="166"/>
      <c r="CU77" s="166" cm="1">
        <f t="array" ref="CU77">SUMPRODUCT(
  IFERROR(--desp[valor],0)*
  (desp[nucleo]="UP MOVE VILA SONIA")*
  (desp[categoria]=CU$7)*
  (desp[data.pagamento]&gt;=$A77)*
  (desp[data.pagamento]&lt;EOMONTH($A77,0)+1)
)</f>
        <v>0</v>
      </c>
      <c r="CV77" s="166" cm="1">
        <f t="array" ref="CV77">SUMPRODUCT(
  IFERROR(--desp[valor],0)*
  (desp[nucleo]="UP MOVE VILA SONIA")*
  (desp[categoria]=CV$7)*
  (desp[data.pagamento]&gt;=$A77)*
  (desp[data.pagamento]&lt;EOMONTH($A77,0)+1)
)</f>
        <v>0</v>
      </c>
      <c r="CW77" s="166" cm="1">
        <f t="array" ref="CW77">SUMPRODUCT(
  IFERROR(--desp[valor],0)*
  (desp[nucleo]="UP MOVE VILA SONIA")*
  (desp[categoria]=CW$7)*
  (desp[data.pagamento]&gt;=$A77)*
  (desp[data.pagamento]&lt;EOMONTH($A77,0)+1)
)</f>
        <v>0</v>
      </c>
      <c r="CX77" s="166" cm="1">
        <f t="array" ref="CX77">SUMPRODUCT(
  IFERROR(--desp[valor],0)*
  (desp[nucleo]="UP MOVE VILA SONIA")*
  (desp[categoria]=CX$7)*
  (desp[data.pagamento]&gt;=$A77)*
  (desp[data.pagamento]&lt;EOMONTH($A77,0)+1)
)</f>
        <v>0</v>
      </c>
      <c r="CY77" s="291" cm="1">
        <f t="array" ref="CY77">SUMPRODUCT(
  IFERROR(--desp[valor],0)*
  (desp[nucleo]="UP MOVE VILA SONIA")*
  (desp[categoria]=CY$7)*
  (desp[data.pagamento]&gt;=$A77)*
  (desp[data.pagamento]&lt;EOMONTH($A77,0)+1)
)</f>
        <v>0</v>
      </c>
    </row>
    <row r="78" spans="1:103" x14ac:dyDescent="0.25">
      <c r="A78" s="176">
        <v>46478</v>
      </c>
      <c r="B78" s="177">
        <f>COUNTIFS(
    estq[empresa], B$6,
    estq[Data da venda / reserva], "&gt;=" &amp; $A78,
    estq[Data da venda / reserva], "&lt;"  &amp; EOMONTH($A78,0) + 1
)</f>
        <v>0</v>
      </c>
      <c r="C78" s="178">
        <f ca="1">SUMIFS(rec.uni[2027-04-01],
INDIRECT("rec.uni[natureza]"),"pro.soluto",
INDIRECT("rec.uni[empresa]"),C$6)</f>
        <v>0</v>
      </c>
      <c r="D78" s="178">
        <f ca="1">SUMIFS(rec.uni[2027-04-01],
INDIRECT("rec.uni[natureza]"),"repasse.cef.obra",
INDIRECT("rec.uni[empresa]"),D$6)</f>
        <v>0</v>
      </c>
      <c r="E78" s="178">
        <f ca="1">SUMIFS(rec.uni[2027-04-01],
INDIRECT("rec.uni[natureza]"),"repasse.cef.terreno",
INDIRECT("rec.uni[empresa]"),E$6)</f>
        <v>0</v>
      </c>
      <c r="F78" s="182"/>
      <c r="G78" s="178">
        <f ca="1">SUMIFS(rec.uni[2027-04-01],
INDIRECT("rec.uni[natureza]"),"taxa.extra",
INDIRECT("rec.uni[empresa]"),G$6)</f>
        <v>0</v>
      </c>
      <c r="H78" s="166"/>
      <c r="I78" s="166" cm="1">
        <f t="array" ref="I78">SUMPRODUCT(
  IFERROR(--desp[valor],0)*
  (desp[nucleo]="UP JARDIM PRUDENCIA")*
  (desp[categoria]=I$7)*
  (desp[data.pagamento]&gt;=$A78)*
  (desp[data.pagamento]&lt;EOMONTH($A78,0)+1)
)</f>
        <v>0</v>
      </c>
      <c r="J78" s="166" cm="1">
        <f t="array" ref="J78">SUMPRODUCT(
  IFERROR(--desp[valor],0)*
  (desp[nucleo]="UP JARDIM PRUDENCIA")*
  (desp[categoria]=J$7)*
  (desp[data.pagamento]&gt;=$A78)*
  (desp[data.pagamento]&lt;EOMONTH($A78,0)+1)
)</f>
        <v>0</v>
      </c>
      <c r="K78" s="166" cm="1">
        <f t="array" ref="K78">SUMPRODUCT(
  IFERROR(--desp[valor],0)*
  (desp[nucleo]="UP JARDIM PRUDENCIA")*
  (desp[categoria]=K$7)*
  (desp[data.pagamento]&gt;=$A78)*
  (desp[data.pagamento]&lt;EOMONTH($A78,0)+1)
)</f>
        <v>0</v>
      </c>
      <c r="L78" s="166" cm="1">
        <f t="array" ref="L78">SUMPRODUCT(
  IFERROR(--desp[valor],0)*
  (desp[nucleo]="UP JARDIM PRUDENCIA")*
  (desp[categoria]=L$7)*
  (desp[data.pagamento]&gt;=$A78)*
  (desp[data.pagamento]&lt;EOMONTH($A78,0)+1)
)</f>
        <v>0</v>
      </c>
      <c r="M78" s="166" cm="1">
        <f t="array" ref="M78">SUMPRODUCT(
  IFERROR(--desp[valor],0)*
  (desp[nucleo]="UP JARDIM PRUDENCIA")*
  (desp[categoria]=M$7)*
  (desp[data.pagamento]&gt;=$A78)*
  (desp[data.pagamento]&lt;EOMONTH($A78,0)+1)
)</f>
        <v>0</v>
      </c>
      <c r="N78" s="177">
        <f>COUNTIFS(
    estq[empresa], N$6,
    estq[Data da venda / reserva], "&gt;=" &amp; $A78,
    estq[Data da venda / reserva], "&lt;"  &amp; EOMONTH($A78,0) + 1
)</f>
        <v>0</v>
      </c>
      <c r="O78" s="178">
        <f ca="1">SUMIFS(rec.uni[2027-04-01],
INDIRECT("rec.uni[natureza]"),"pro.soluto",
INDIRECT("rec.uni[empresa]"),O$6)</f>
        <v>0</v>
      </c>
      <c r="P78" s="178">
        <f ca="1">SUMIFS(rec.uni[2027-04-01],
INDIRECT("rec.uni[natureza]"),"repasse.cef.obra",
INDIRECT("rec.uni[empresa]"),P$6)</f>
        <v>0</v>
      </c>
      <c r="Q78" s="178">
        <f ca="1">SUMIFS(rec.uni[2027-04-01],
INDIRECT("rec.uni[natureza]"),"repasse.cef.terreno",
INDIRECT("rec.uni[empresa]"),Q$6)</f>
        <v>0</v>
      </c>
      <c r="R78" s="182"/>
      <c r="S78" s="178">
        <f ca="1">SUMIFS(rec.uni[2027-04-01],
INDIRECT("rec.uni[natureza]"),"taxa.extra",
INDIRECT("rec.uni[empresa]"),S$6)</f>
        <v>0</v>
      </c>
      <c r="T78" s="166"/>
      <c r="U78" s="166" cm="1">
        <f t="array" ref="U78">SUMPRODUCT(
  IFERROR(--desp[valor],0)*
  (desp[nucleo]="UP VILA SONIA")*
  (desp[categoria]=U$7)*
  (desp[data.pagamento]&gt;=$A78)*
  (desp[data.pagamento]&lt;EOMONTH($A78,0)+1)
)</f>
        <v>0</v>
      </c>
      <c r="V78" s="166" cm="1">
        <f t="array" ref="V78">SUMPRODUCT(
  IFERROR(--desp[valor],0)*
  (desp[nucleo]="UP VILA SONIA")*
  (desp[categoria]=V$7)*
  (desp[data.pagamento]&gt;=$A78)*
  (desp[data.pagamento]&lt;EOMONTH($A78,0)+1)
)</f>
        <v>0</v>
      </c>
      <c r="W78" s="166" cm="1">
        <f t="array" ref="W78">SUMPRODUCT(
  IFERROR(--desp[valor],0)*
  (desp[nucleo]="UP VILA SONIA")*
  (desp[categoria]=W$7)*
  (desp[data.pagamento]&gt;=$A78)*
  (desp[data.pagamento]&lt;EOMONTH($A78,0)+1)
)</f>
        <v>0</v>
      </c>
      <c r="X78" s="166" cm="1">
        <f t="array" ref="X78">SUMPRODUCT(
  IFERROR(--desp[valor],0)*
  (desp[nucleo]="UP VILA SONIA")*
  (desp[categoria]=X$7)*
  (desp[data.pagamento]&gt;=$A78)*
  (desp[data.pagamento]&lt;EOMONTH($A78,0)+1)
)</f>
        <v>0</v>
      </c>
      <c r="Y78" s="166" cm="1">
        <f t="array" ref="Y78">SUMPRODUCT(
  IFERROR(--desp[valor],0)*
  (desp[nucleo]="UP VILA SONIA")*
  (desp[categoria]=Y$7)*
  (desp[data.pagamento]&gt;=$A78)*
  (desp[data.pagamento]&lt;EOMONTH($A78,0)+1)
)</f>
        <v>0</v>
      </c>
      <c r="Z78" s="177">
        <f>COUNTIFS(
    estq[empresa], Z$6,
    estq[Data da venda / reserva], "&gt;=" &amp; $A78,
    estq[Data da venda / reserva], "&lt;"  &amp; EOMONTH($A78,0) + 1
)</f>
        <v>0</v>
      </c>
      <c r="AA78" s="178">
        <f ca="1">SUMIFS(rec.uni[2027-04-01],
INDIRECT("rec.uni[natureza]"),"pro.soluto",
INDIRECT("rec.uni[empresa]"),AA$6)</f>
        <v>0</v>
      </c>
      <c r="AB78" s="182">
        <f ca="1">SUMIFS(rec.uni[2027-04-01],
INDIRECT("rec.uni[natureza]"),"parcela.fin.total.ik",
INDIRECT("rec.uni[empresa]"),AB$6)</f>
        <v>0</v>
      </c>
      <c r="AC78" s="178">
        <f ca="1">SUMIFS(rec.uni[2027-04-01],
INDIRECT("rec.uni[natureza]"),"taxa.extra",
INDIRECT("rec.uni[empresa]"),AC$6)</f>
        <v>0</v>
      </c>
      <c r="AD78" s="166"/>
      <c r="AE78" s="166" cm="1">
        <f t="array" ref="AE78">SUMPRODUCT(
  IFERROR(--desp[valor],0)*
  (desp[nucleo]="UP CAMPO BELO")*
  (desp[categoria]=AE$7)*
  (desp[data.pagamento]&gt;=$A78)*
  (desp[data.pagamento]&lt;EOMONTH($A78,0)+1)
)</f>
        <v>0</v>
      </c>
      <c r="AF78" s="166" cm="1">
        <f t="array" ref="AF78">SUMPRODUCT(
  IFERROR(--desp[valor],0)*
  (desp[nucleo]="UP CAMPO BELO")*
  (desp[categoria]=AF$7)*
  (desp[data.pagamento]&gt;=$A78)*
  (desp[data.pagamento]&lt;EOMONTH($A78,0)+1)
)</f>
        <v>0</v>
      </c>
      <c r="AG78" s="166" cm="1">
        <f t="array" ref="AG78">SUMPRODUCT(
  IFERROR(--desp[valor],0)*
  (desp[nucleo]="UP CAMPO BELO")*
  (desp[categoria]=AG$7)*
  (desp[data.pagamento]&gt;=$A78)*
  (desp[data.pagamento]&lt;EOMONTH($A78,0)+1)
)</f>
        <v>0</v>
      </c>
      <c r="AH78" s="166" cm="1">
        <f t="array" ref="AH78">SUMPRODUCT(
  IFERROR(--desp[valor],0)*
  (desp[nucleo]="UP CAMPO BELO")*
  (desp[categoria]=AH$7)*
  (desp[data.pagamento]&gt;=$A78)*
  (desp[data.pagamento]&lt;EOMONTH($A78,0)+1)
)</f>
        <v>0</v>
      </c>
      <c r="AI78" s="166" cm="1">
        <f t="array" ref="AI78">SUMPRODUCT(
  IFERROR(--desp[valor],0)*
  (desp[nucleo]="UP CAMPO BELO")*
  (desp[categoria]=AI$7)*
  (desp[data.pagamento]&gt;=$A78)*
  (desp[data.pagamento]&lt;EOMONTH($A78,0)+1)
)</f>
        <v>0</v>
      </c>
      <c r="AJ78" s="177">
        <f>COUNTIFS(
    estq[empresa], AJ$6,
    estq[Data da venda / reserva], "&gt;=" &amp; $A78,
    estq[Data da venda / reserva], "&lt;"  &amp; EOMONTH($A78,0) + 1
)</f>
        <v>0</v>
      </c>
      <c r="AK78" s="178">
        <f ca="1">SUMIFS(rec.uni[2027-04-01],
INDIRECT("rec.uni[natureza]"),"pro.soluto",
INDIRECT("rec.uni[empresa]"),AK$6)</f>
        <v>0</v>
      </c>
      <c r="AL78" s="178">
        <f ca="1">SUMIFS(rec.uni[2027-04-01],
INDIRECT("rec.uni[natureza]"),"repasse.cef.obra",
INDIRECT("rec.uni[empresa]"),AL$6)</f>
        <v>0</v>
      </c>
      <c r="AM78" s="181">
        <f ca="1">SUMIFS(rec.uni[2027-04-01],
INDIRECT("rec.uni[natureza]"),"repasse.cef.terreno",
INDIRECT("rec.uni[empresa]"),AM$6)</f>
        <v>0</v>
      </c>
      <c r="AN78" s="182"/>
      <c r="AO78" s="178">
        <f ca="1">SUMIFS(rec.uni[2027-04-01],
INDIRECT("rec.uni[natureza]"),"taxa.extra",
INDIRECT("rec.uni[empresa]"),AO$6)</f>
        <v>0</v>
      </c>
      <c r="AP78" s="166"/>
      <c r="AQ78" s="166" cm="1">
        <f t="array" ref="AQ78">SUMPRODUCT(
  IFERROR(--desp[valor],0)*
  (desp[nucleo]="UP SELECT VILA SONIA")*
  (desp[categoria]=AQ$7)*
  (desp[data.pagamento]&gt;=$A78)*
  (desp[data.pagamento]&lt;EOMONTH($A78,0)+1)
)</f>
        <v>0</v>
      </c>
      <c r="AR78" s="166" cm="1">
        <f t="array" ref="AR78">SUMPRODUCT(
  IFERROR(--desp[valor],0)*
  (desp[nucleo]="UP SELECT VILA SONIA")*
  (desp[categoria]=AR$7)*
  (desp[data.pagamento]&gt;=$A78)*
  (desp[data.pagamento]&lt;EOMONTH($A78,0)+1)
)</f>
        <v>0</v>
      </c>
      <c r="AS78" s="166" cm="1">
        <f t="array" ref="AS78">SUMPRODUCT(
  IFERROR(--desp[valor],0)*
  (desp[nucleo]="UP SELECT VILA SONIA")*
  (desp[categoria]=AS$7)*
  (desp[data.pagamento]&gt;=$A78)*
  (desp[data.pagamento]&lt;EOMONTH($A78,0)+1)
)</f>
        <v>0</v>
      </c>
      <c r="AT78" s="166" cm="1">
        <f t="array" ref="AT78">SUMPRODUCT(
  IFERROR(--desp[valor],0)*
  (desp[nucleo]="UP SELECT VILA SONIA")*
  (desp[categoria]=AT$7)*
  (desp[data.pagamento]&gt;=$A78)*
  (desp[data.pagamento]&lt;EOMONTH($A78,0)+1)
)</f>
        <v>0</v>
      </c>
      <c r="AU78" s="166" cm="1">
        <f t="array" ref="AU78">SUMPRODUCT(
  IFERROR(--desp[valor],0)*
  (desp[nucleo]="UP SELECT VILA SONIA")*
  (desp[categoria]=AU$7)*
  (desp[data.pagamento]&gt;=$A78)*
  (desp[data.pagamento]&lt;EOMONTH($A78,0)+1)
)</f>
        <v>0</v>
      </c>
      <c r="AV78" s="177">
        <f>COUNTIFS(
    estq[empresa], AV$6,
    estq[Data da venda / reserva], "&gt;=" &amp; $A78,
    estq[Data da venda / reserva], "&lt;"  &amp; EOMONTH($A78,0) + 1
)</f>
        <v>0</v>
      </c>
      <c r="AW78" s="178">
        <f ca="1">SUMIFS(rec.uni[2027-04-01],
INDIRECT("rec.uni[natureza]"),"pro.soluto",
INDIRECT("rec.uni[empresa]"),AW$6)</f>
        <v>0</v>
      </c>
      <c r="AX78" s="178">
        <f ca="1">SUMIFS(rec.uni[2027-04-01],
INDIRECT("rec.uni[natureza]"),"repasse.cef.obra",
INDIRECT("rec.uni[empresa]"),AX$6)</f>
        <v>0</v>
      </c>
      <c r="AY78" s="181">
        <f ca="1">SUMIFS(rec.uni[2027-04-01],
INDIRECT("rec.uni[natureza]"),"repasse.cef.terreno",
INDIRECT("rec.uni[empresa]"),AY$6)</f>
        <v>0</v>
      </c>
      <c r="AZ78" s="182"/>
      <c r="BA78" s="178">
        <f ca="1">SUMIFS(rec.uni[2027-04-01],
INDIRECT("rec.uni[natureza]"),"taxa.extra",
INDIRECT("rec.uni[empresa]"),BA$6)</f>
        <v>0</v>
      </c>
      <c r="BB78" s="166"/>
      <c r="BC78" s="166" cm="1">
        <f t="array" ref="BC78">SUMPRODUCT(
  IFERROR(--desp[valor],0)*
  (desp[nucleo]="UP ESTAÇÃO SÃO LUCAS")*
  (desp[categoria]=BC$7)*
  (desp[data.pagamento]&gt;=$A78)*
  (desp[data.pagamento]&lt;EOMONTH($A78,0)+1)
)</f>
        <v>0</v>
      </c>
      <c r="BD78" s="166" cm="1">
        <f t="array" ref="BD78">SUMPRODUCT(
  IFERROR(--desp[valor],0)*
  (desp[nucleo]="UP ESTAÇÃO SÃO LUCAS")*
  (desp[categoria]=BD$7)*
  (desp[data.pagamento]&gt;=$A78)*
  (desp[data.pagamento]&lt;EOMONTH($A78,0)+1)
)</f>
        <v>0</v>
      </c>
      <c r="BE78" s="166" cm="1">
        <f t="array" ref="BE78">SUMPRODUCT(
  IFERROR(--desp[valor],0)*
  (desp[nucleo]="UP ESTAÇÃO SÃO LUCAS")*
  (desp[categoria]=BE$7)*
  (desp[data.pagamento]&gt;=$A78)*
  (desp[data.pagamento]&lt;EOMONTH($A78,0)+1)
)</f>
        <v>0</v>
      </c>
      <c r="BF78" s="166" cm="1">
        <f t="array" ref="BF78">SUMPRODUCT(
  IFERROR(--desp[valor],0)*
  (desp[nucleo]="UP ESTAÇÃO SÃO LUCAS")*
  (desp[categoria]=BF$7)*
  (desp[data.pagamento]&gt;=$A78)*
  (desp[data.pagamento]&lt;EOMONTH($A78,0)+1)
)</f>
        <v>0</v>
      </c>
      <c r="BG78" s="166" cm="1">
        <f t="array" ref="BG78">SUMPRODUCT(
  IFERROR(--desp[valor],0)*
  (desp[nucleo]="UP ESTAÇÃO SÃO LUCAS")*
  (desp[categoria]=BG$7)*
  (desp[data.pagamento]&gt;=$A78)*
  (desp[data.pagamento]&lt;EOMONTH($A78,0)+1)
)</f>
        <v>0</v>
      </c>
      <c r="BH78" s="177">
        <f>COUNTIFS(
    estq[empresa], BH$6,
    estq[Data da venda / reserva], "&gt;=" &amp; $A78,
    estq[Data da venda / reserva], "&lt;"  &amp; EOMONTH($A78,0) + 1
)</f>
        <v>0</v>
      </c>
      <c r="BI78" s="178">
        <f ca="1">SUMIFS(rec.uni[2027-04-01],
INDIRECT("rec.uni[natureza]"),"pro.soluto",
INDIRECT("rec.uni[empresa]"),BI$6)</f>
        <v>0</v>
      </c>
      <c r="BJ78" s="182">
        <f ca="1">SUMIFS(rec.uni[2027-04-01],
INDIRECT("rec.uni[natureza]"),"parcela.fin.total.ik",
INDIRECT("rec.uni[empresa]"),BJ$6)</f>
        <v>0</v>
      </c>
      <c r="BK78" s="178">
        <f ca="1">SUMIFS(rec.uni[2027-04-01],
INDIRECT("rec.uni[natureza]"),"taxa.extra",
INDIRECT("rec.uni[empresa]"),BK$6)</f>
        <v>0</v>
      </c>
      <c r="BL78" s="166"/>
      <c r="BM78" s="166" cm="1">
        <f t="array" ref="BM78">SUMPRODUCT(
  IFERROR(--desp[valor],0)*
  (desp[nucleo]="UP POMPEIA")*
  (desp[categoria]=BM$7)*
  (desp[data.pagamento]&gt;=$A78)*
  (desp[data.pagamento]&lt;EOMONTH($A78,0)+1)
)</f>
        <v>0</v>
      </c>
      <c r="BN78" s="166" cm="1">
        <f t="array" ref="BN78">SUMPRODUCT(
  IFERROR(--desp[valor],0)*
  (desp[nucleo]="UP POMPEIA")*
  (desp[categoria]=BN$7)*
  (desp[data.pagamento]&gt;=$A78)*
  (desp[data.pagamento]&lt;EOMONTH($A78,0)+1)
)</f>
        <v>0</v>
      </c>
      <c r="BO78" s="166" cm="1">
        <f t="array" ref="BO78">SUMPRODUCT(
  IFERROR(--desp[valor],0)*
  (desp[nucleo]="UP POMPEIA")*
  (desp[categoria]=BO$7)*
  (desp[data.pagamento]&gt;=$A78)*
  (desp[data.pagamento]&lt;EOMONTH($A78,0)+1)
)</f>
        <v>0</v>
      </c>
      <c r="BP78" s="166" cm="1">
        <f t="array" ref="BP78">SUMPRODUCT(
  IFERROR(--desp[valor],0)*
  (desp[nucleo]="UP POMPEIA")*
  (desp[categoria]=BP$7)*
  (desp[data.pagamento]&gt;=$A78)*
  (desp[data.pagamento]&lt;EOMONTH($A78,0)+1)
)</f>
        <v>0</v>
      </c>
      <c r="BQ78" s="166" cm="1">
        <f t="array" ref="BQ78">SUMPRODUCT(
  IFERROR(--desp[valor],0)*
  (desp[nucleo]="UP POMPEIA")*
  (desp[categoria]=BQ$7)*
  (desp[data.pagamento]&gt;=$A78)*
  (desp[data.pagamento]&lt;EOMONTH($A78,0)+1)
)</f>
        <v>0</v>
      </c>
      <c r="BR78" s="177">
        <f>COUNTIFS(
    estq[empresa], BR$6,
    estq[Data da venda / reserva], "&gt;=" &amp; $A78,
    estq[Data da venda / reserva], "&lt;"  &amp; EOMONTH($A78,0) + 1
)</f>
        <v>0</v>
      </c>
      <c r="BS78" s="178">
        <f ca="1">SUMIFS(rec.uni[2027-04-01],
INDIRECT("rec.uni[natureza]"),"pro.soluto",
INDIRECT("rec.uni[empresa]"),BS$6)</f>
        <v>0</v>
      </c>
      <c r="BT78" s="182">
        <f ca="1">SUMIFS(rec.uni[2027-04-01],
INDIRECT("rec.uni[natureza]"),"parcela.fin.total.ik",
INDIRECT("rec.uni[empresa]"),BT$6)</f>
        <v>0</v>
      </c>
      <c r="BU78" s="178">
        <f ca="1">SUMIFS(rec.uni[2027-04-01],
INDIRECT("rec.uni[natureza]"),"taxa.extra",
INDIRECT("rec.uni[empresa]"),BU$6)</f>
        <v>0</v>
      </c>
      <c r="BV78" s="166"/>
      <c r="BW78" s="166" cm="1">
        <f t="array" ref="BW78">SUMPRODUCT(
  IFERROR(--desp[valor],0)*
  (desp[nucleo]="UP SAUDE")*
  (desp[categoria]=BW$7)*
  (desp[data.pagamento]&gt;=$A78)*
  (desp[data.pagamento]&lt;EOMONTH($A78,0)+1)
)</f>
        <v>0</v>
      </c>
      <c r="BX78" s="166" cm="1">
        <f t="array" ref="BX78">SUMPRODUCT(
  IFERROR(--desp[valor],0)*
  (desp[nucleo]="UP SAUDE")*
  (desp[categoria]=BX$7)*
  (desp[data.pagamento]&gt;=$A78)*
  (desp[data.pagamento]&lt;EOMONTH($A78,0)+1)
)</f>
        <v>0</v>
      </c>
      <c r="BY78" s="166" cm="1">
        <f t="array" ref="BY78">SUMPRODUCT(
  IFERROR(--desp[valor],0)*
  (desp[nucleo]="UP SAUDE")*
  (desp[categoria]=BY$7)*
  (desp[data.pagamento]&gt;=$A78)*
  (desp[data.pagamento]&lt;EOMONTH($A78,0)+1)
)</f>
        <v>0</v>
      </c>
      <c r="BZ78" s="166" cm="1">
        <f t="array" ref="BZ78">SUMPRODUCT(
  IFERROR(--desp[valor],0)*
  (desp[nucleo]="UP SAUDE")*
  (desp[categoria]=BZ$7)*
  (desp[data.pagamento]&gt;=$A78)*
  (desp[data.pagamento]&lt;EOMONTH($A78,0)+1)
)</f>
        <v>0</v>
      </c>
      <c r="CA78" s="166" cm="1">
        <f t="array" ref="CA78">SUMPRODUCT(
  IFERROR(--desp[valor],0)*
  (desp[nucleo]="UP SAUDE")*
  (desp[categoria]=CA$7)*
  (desp[data.pagamento]&gt;=$A78)*
  (desp[data.pagamento]&lt;EOMONTH($A78,0)+1)
)</f>
        <v>0</v>
      </c>
      <c r="CB78" s="177">
        <f>COUNTIFS(
    estq[empresa], CB$6,
    estq[Data da venda / reserva], "&gt;=" &amp; $A78,
    estq[Data da venda / reserva], "&lt;"  &amp; EOMONTH($A78,0) + 1
)</f>
        <v>0</v>
      </c>
      <c r="CC78" s="178">
        <f ca="1">SUMIFS(rec.uni[2027-04-01],
INDIRECT("rec.uni[natureza]"),"pro.soluto",
INDIRECT("rec.uni[empresa]"),CC$6)</f>
        <v>0</v>
      </c>
      <c r="CD78" s="178">
        <f ca="1">SUMIFS(rec.uni[2027-04-01],
INDIRECT("rec.uni[natureza]"),"repasse.cef.obra",
INDIRECT("rec.uni[empresa]"),CD$6)</f>
        <v>0</v>
      </c>
      <c r="CE78" s="181">
        <f ca="1">SUMIFS(rec.uni[2027-04-01],
INDIRECT("rec.uni[natureza]"),"repasse.cef.terreno",
INDIRECT("rec.uni[empresa]"),CE$6)</f>
        <v>0</v>
      </c>
      <c r="CF78" s="182"/>
      <c r="CG78" s="178">
        <f ca="1">SUMIFS(rec.uni[2027-04-01],
INDIRECT("rec.uni[natureza]"),"taxa.extra",
INDIRECT("rec.uni[empresa]"),CG$6)</f>
        <v>0</v>
      </c>
      <c r="CH78" s="166"/>
      <c r="CI78" s="166" cm="1">
        <f t="array" ref="CI78">SUMPRODUCT(
  IFERROR(--desp[valor],0)*
  (desp[nucleo]="UP ESTAÇÃO VILA SONIA")*
  (desp[categoria]=CI$7)*
  (desp[data.pagamento]&gt;=$A78)*
  (desp[data.pagamento]&lt;EOMONTH($A78,0)+1)
)</f>
        <v>0</v>
      </c>
      <c r="CJ78" s="166" cm="1">
        <f t="array" ref="CJ78">SUMPRODUCT(
  IFERROR(--desp[valor],0)*
  (desp[nucleo]="UP ESTAÇÃO VILA SONIA")*
  (desp[categoria]=CJ$7)*
  (desp[data.pagamento]&gt;=$A78)*
  (desp[data.pagamento]&lt;EOMONTH($A78,0)+1)
)</f>
        <v>0</v>
      </c>
      <c r="CK78" s="166" cm="1">
        <f t="array" ref="CK78">SUMPRODUCT(
  IFERROR(--desp[valor],0)*
  (desp[nucleo]="UP ESTAÇÃO VILA SONIA")*
  (desp[categoria]=CK$7)*
  (desp[data.pagamento]&gt;=$A78)*
  (desp[data.pagamento]&lt;EOMONTH($A78,0)+1)
)</f>
        <v>0</v>
      </c>
      <c r="CL78" s="166" cm="1">
        <f t="array" ref="CL78">SUMPRODUCT(
  IFERROR(--desp[valor],0)*
  (desp[nucleo]="UP ESTAÇÃO VILA SONIA")*
  (desp[categoria]=CL$7)*
  (desp[data.pagamento]&gt;=$A78)*
  (desp[data.pagamento]&lt;EOMONTH($A78,0)+1)
)</f>
        <v>0</v>
      </c>
      <c r="CM78" s="166" cm="1">
        <f t="array" ref="CM78">SUMPRODUCT(
  IFERROR(--desp[valor],0)*
  (desp[nucleo]="UP ESTAÇÃO VILA SONIA")*
  (desp[categoria]=CM$7)*
  (desp[data.pagamento]&gt;=$A78)*
  (desp[data.pagamento]&lt;EOMONTH($A78,0)+1)
)</f>
        <v>0</v>
      </c>
      <c r="CN78" s="177">
        <f>COUNTIFS(
    estq[empresa], CN$6,
    estq[Data da venda / reserva], "&gt;=" &amp; $A78,
    estq[Data da venda / reserva], "&lt;"  &amp; EOMONTH($A78,0) + 1
)</f>
        <v>0</v>
      </c>
      <c r="CO78" s="178">
        <f ca="1">SUMIFS(rec.uni[2027-04-01],
INDIRECT("rec.uni[natureza]"),"pro.soluto",
INDIRECT("rec.uni[empresa]"),CO$6)</f>
        <v>0</v>
      </c>
      <c r="CP78" s="178">
        <f ca="1">SUMIFS(rec.uni[2027-04-01],
INDIRECT("rec.uni[natureza]"),"repasse.cef.obra",
INDIRECT("rec.uni[empresa]"),CP$6)</f>
        <v>0</v>
      </c>
      <c r="CQ78" s="181">
        <f ca="1">SUMIFS(rec.uni[2027-04-01],
INDIRECT("rec.uni[natureza]"),"repasse.cef.terreno",
INDIRECT("rec.uni[empresa]"),CQ$6)</f>
        <v>0</v>
      </c>
      <c r="CR78" s="182"/>
      <c r="CS78" s="178">
        <f ca="1">SUMIFS(rec.uni[2027-04-01],
INDIRECT("rec.uni[natureza]"),"taxa.extra",
INDIRECT("rec.uni[empresa]"),CS$6)</f>
        <v>0</v>
      </c>
      <c r="CT78" s="166"/>
      <c r="CU78" s="166" cm="1">
        <f t="array" ref="CU78">SUMPRODUCT(
  IFERROR(--desp[valor],0)*
  (desp[nucleo]="UP MOVE VILA SONIA")*
  (desp[categoria]=CU$7)*
  (desp[data.pagamento]&gt;=$A78)*
  (desp[data.pagamento]&lt;EOMONTH($A78,0)+1)
)</f>
        <v>0</v>
      </c>
      <c r="CV78" s="166" cm="1">
        <f t="array" ref="CV78">SUMPRODUCT(
  IFERROR(--desp[valor],0)*
  (desp[nucleo]="UP MOVE VILA SONIA")*
  (desp[categoria]=CV$7)*
  (desp[data.pagamento]&gt;=$A78)*
  (desp[data.pagamento]&lt;EOMONTH($A78,0)+1)
)</f>
        <v>0</v>
      </c>
      <c r="CW78" s="166" cm="1">
        <f t="array" ref="CW78">SUMPRODUCT(
  IFERROR(--desp[valor],0)*
  (desp[nucleo]="UP MOVE VILA SONIA")*
  (desp[categoria]=CW$7)*
  (desp[data.pagamento]&gt;=$A78)*
  (desp[data.pagamento]&lt;EOMONTH($A78,0)+1)
)</f>
        <v>0</v>
      </c>
      <c r="CX78" s="166" cm="1">
        <f t="array" ref="CX78">SUMPRODUCT(
  IFERROR(--desp[valor],0)*
  (desp[nucleo]="UP MOVE VILA SONIA")*
  (desp[categoria]=CX$7)*
  (desp[data.pagamento]&gt;=$A78)*
  (desp[data.pagamento]&lt;EOMONTH($A78,0)+1)
)</f>
        <v>0</v>
      </c>
      <c r="CY78" s="291" cm="1">
        <f t="array" ref="CY78">SUMPRODUCT(
  IFERROR(--desp[valor],0)*
  (desp[nucleo]="UP MOVE VILA SONIA")*
  (desp[categoria]=CY$7)*
  (desp[data.pagamento]&gt;=$A78)*
  (desp[data.pagamento]&lt;EOMONTH($A78,0)+1)
)</f>
        <v>0</v>
      </c>
    </row>
    <row r="79" spans="1:103" x14ac:dyDescent="0.25">
      <c r="A79" s="176">
        <v>46508</v>
      </c>
      <c r="B79" s="177">
        <f>COUNTIFS(
    estq[empresa], B$6,
    estq[Data da venda / reserva], "&gt;=" &amp; $A79,
    estq[Data da venda / reserva], "&lt;"  &amp; EOMONTH($A79,0) + 1
)</f>
        <v>0</v>
      </c>
      <c r="C79" s="178">
        <f ca="1">SUMIFS(rec.uni[2027-05-01],
INDIRECT("rec.uni[natureza]"),"pro.soluto",
INDIRECT("rec.uni[empresa]"),C$6)</f>
        <v>0</v>
      </c>
      <c r="D79" s="178">
        <f ca="1">SUMIFS(rec.uni[2027-05-01],
INDIRECT("rec.uni[natureza]"),"repasse.cef.obra",
INDIRECT("rec.uni[empresa]"),D$6)</f>
        <v>0</v>
      </c>
      <c r="E79" s="178">
        <f ca="1">SUMIFS(rec.uni[2027-05-01],
INDIRECT("rec.uni[natureza]"),"repasse.cef.terreno",
INDIRECT("rec.uni[empresa]"),E$6)</f>
        <v>0</v>
      </c>
      <c r="F79" s="182"/>
      <c r="G79" s="178">
        <f ca="1">SUMIFS(rec.uni[2027-05-01],
INDIRECT("rec.uni[natureza]"),"taxa.extra",
INDIRECT("rec.uni[empresa]"),G$6)</f>
        <v>0</v>
      </c>
      <c r="H79" s="166"/>
      <c r="I79" s="166" cm="1">
        <f t="array" ref="I79">SUMPRODUCT(
  IFERROR(--desp[valor],0)*
  (desp[nucleo]="UP JARDIM PRUDENCIA")*
  (desp[categoria]=I$7)*
  (desp[data.pagamento]&gt;=$A79)*
  (desp[data.pagamento]&lt;EOMONTH($A79,0)+1)
)</f>
        <v>0</v>
      </c>
      <c r="J79" s="166" cm="1">
        <f t="array" ref="J79">SUMPRODUCT(
  IFERROR(--desp[valor],0)*
  (desp[nucleo]="UP JARDIM PRUDENCIA")*
  (desp[categoria]=J$7)*
  (desp[data.pagamento]&gt;=$A79)*
  (desp[data.pagamento]&lt;EOMONTH($A79,0)+1)
)</f>
        <v>0</v>
      </c>
      <c r="K79" s="166" cm="1">
        <f t="array" ref="K79">SUMPRODUCT(
  IFERROR(--desp[valor],0)*
  (desp[nucleo]="UP JARDIM PRUDENCIA")*
  (desp[categoria]=K$7)*
  (desp[data.pagamento]&gt;=$A79)*
  (desp[data.pagamento]&lt;EOMONTH($A79,0)+1)
)</f>
        <v>0</v>
      </c>
      <c r="L79" s="166" cm="1">
        <f t="array" ref="L79">SUMPRODUCT(
  IFERROR(--desp[valor],0)*
  (desp[nucleo]="UP JARDIM PRUDENCIA")*
  (desp[categoria]=L$7)*
  (desp[data.pagamento]&gt;=$A79)*
  (desp[data.pagamento]&lt;EOMONTH($A79,0)+1)
)</f>
        <v>0</v>
      </c>
      <c r="M79" s="166" cm="1">
        <f t="array" ref="M79">SUMPRODUCT(
  IFERROR(--desp[valor],0)*
  (desp[nucleo]="UP JARDIM PRUDENCIA")*
  (desp[categoria]=M$7)*
  (desp[data.pagamento]&gt;=$A79)*
  (desp[data.pagamento]&lt;EOMONTH($A79,0)+1)
)</f>
        <v>0</v>
      </c>
      <c r="N79" s="177">
        <f>COUNTIFS(
    estq[empresa], N$6,
    estq[Data da venda / reserva], "&gt;=" &amp; $A79,
    estq[Data da venda / reserva], "&lt;"  &amp; EOMONTH($A79,0) + 1
)</f>
        <v>0</v>
      </c>
      <c r="O79" s="178">
        <f ca="1">SUMIFS(rec.uni[2027-05-01],
INDIRECT("rec.uni[natureza]"),"pro.soluto",
INDIRECT("rec.uni[empresa]"),O$6)</f>
        <v>0</v>
      </c>
      <c r="P79" s="178">
        <f ca="1">SUMIFS(rec.uni[2027-05-01],
INDIRECT("rec.uni[natureza]"),"repasse.cef.obra",
INDIRECT("rec.uni[empresa]"),P$6)</f>
        <v>0</v>
      </c>
      <c r="Q79" s="178">
        <f ca="1">SUMIFS(rec.uni[2027-05-01],
INDIRECT("rec.uni[natureza]"),"repasse.cef.terreno",
INDIRECT("rec.uni[empresa]"),Q$6)</f>
        <v>0</v>
      </c>
      <c r="R79" s="182"/>
      <c r="S79" s="178">
        <f ca="1">SUMIFS(rec.uni[2027-05-01],
INDIRECT("rec.uni[natureza]"),"taxa.extra",
INDIRECT("rec.uni[empresa]"),S$6)</f>
        <v>0</v>
      </c>
      <c r="T79" s="166"/>
      <c r="U79" s="166" cm="1">
        <f t="array" ref="U79">SUMPRODUCT(
  IFERROR(--desp[valor],0)*
  (desp[nucleo]="UP VILA SONIA")*
  (desp[categoria]=U$7)*
  (desp[data.pagamento]&gt;=$A79)*
  (desp[data.pagamento]&lt;EOMONTH($A79,0)+1)
)</f>
        <v>0</v>
      </c>
      <c r="V79" s="166" cm="1">
        <f t="array" ref="V79">SUMPRODUCT(
  IFERROR(--desp[valor],0)*
  (desp[nucleo]="UP VILA SONIA")*
  (desp[categoria]=V$7)*
  (desp[data.pagamento]&gt;=$A79)*
  (desp[data.pagamento]&lt;EOMONTH($A79,0)+1)
)</f>
        <v>0</v>
      </c>
      <c r="W79" s="166" cm="1">
        <f t="array" ref="W79">SUMPRODUCT(
  IFERROR(--desp[valor],0)*
  (desp[nucleo]="UP VILA SONIA")*
  (desp[categoria]=W$7)*
  (desp[data.pagamento]&gt;=$A79)*
  (desp[data.pagamento]&lt;EOMONTH($A79,0)+1)
)</f>
        <v>0</v>
      </c>
      <c r="X79" s="166" cm="1">
        <f t="array" ref="X79">SUMPRODUCT(
  IFERROR(--desp[valor],0)*
  (desp[nucleo]="UP VILA SONIA")*
  (desp[categoria]=X$7)*
  (desp[data.pagamento]&gt;=$A79)*
  (desp[data.pagamento]&lt;EOMONTH($A79,0)+1)
)</f>
        <v>0</v>
      </c>
      <c r="Y79" s="166" cm="1">
        <f t="array" ref="Y79">SUMPRODUCT(
  IFERROR(--desp[valor],0)*
  (desp[nucleo]="UP VILA SONIA")*
  (desp[categoria]=Y$7)*
  (desp[data.pagamento]&gt;=$A79)*
  (desp[data.pagamento]&lt;EOMONTH($A79,0)+1)
)</f>
        <v>0</v>
      </c>
      <c r="Z79" s="177">
        <f>COUNTIFS(
    estq[empresa], Z$6,
    estq[Data da venda / reserva], "&gt;=" &amp; $A79,
    estq[Data da venda / reserva], "&lt;"  &amp; EOMONTH($A79,0) + 1
)</f>
        <v>0</v>
      </c>
      <c r="AA79" s="178">
        <f ca="1">SUMIFS(rec.uni[2027-05-01],
INDIRECT("rec.uni[natureza]"),"pro.soluto",
INDIRECT("rec.uni[empresa]"),AA$6)</f>
        <v>0</v>
      </c>
      <c r="AB79" s="182">
        <f ca="1">SUMIFS(rec.uni[2027-05-01],
INDIRECT("rec.uni[natureza]"),"parcela.fin.total.ik",
INDIRECT("rec.uni[empresa]"),AB$6)</f>
        <v>0</v>
      </c>
      <c r="AC79" s="178">
        <f ca="1">SUMIFS(rec.uni[2027-05-01],
INDIRECT("rec.uni[natureza]"),"taxa.extra",
INDIRECT("rec.uni[empresa]"),AC$6)</f>
        <v>0</v>
      </c>
      <c r="AD79" s="166"/>
      <c r="AE79" s="166" cm="1">
        <f t="array" ref="AE79">SUMPRODUCT(
  IFERROR(--desp[valor],0)*
  (desp[nucleo]="UP CAMPO BELO")*
  (desp[categoria]=AE$7)*
  (desp[data.pagamento]&gt;=$A79)*
  (desp[data.pagamento]&lt;EOMONTH($A79,0)+1)
)</f>
        <v>0</v>
      </c>
      <c r="AF79" s="166" cm="1">
        <f t="array" ref="AF79">SUMPRODUCT(
  IFERROR(--desp[valor],0)*
  (desp[nucleo]="UP CAMPO BELO")*
  (desp[categoria]=AF$7)*
  (desp[data.pagamento]&gt;=$A79)*
  (desp[data.pagamento]&lt;EOMONTH($A79,0)+1)
)</f>
        <v>0</v>
      </c>
      <c r="AG79" s="166" cm="1">
        <f t="array" ref="AG79">SUMPRODUCT(
  IFERROR(--desp[valor],0)*
  (desp[nucleo]="UP CAMPO BELO")*
  (desp[categoria]=AG$7)*
  (desp[data.pagamento]&gt;=$A79)*
  (desp[data.pagamento]&lt;EOMONTH($A79,0)+1)
)</f>
        <v>0</v>
      </c>
      <c r="AH79" s="166" cm="1">
        <f t="array" ref="AH79">SUMPRODUCT(
  IFERROR(--desp[valor],0)*
  (desp[nucleo]="UP CAMPO BELO")*
  (desp[categoria]=AH$7)*
  (desp[data.pagamento]&gt;=$A79)*
  (desp[data.pagamento]&lt;EOMONTH($A79,0)+1)
)</f>
        <v>0</v>
      </c>
      <c r="AI79" s="166" cm="1">
        <f t="array" ref="AI79">SUMPRODUCT(
  IFERROR(--desp[valor],0)*
  (desp[nucleo]="UP CAMPO BELO")*
  (desp[categoria]=AI$7)*
  (desp[data.pagamento]&gt;=$A79)*
  (desp[data.pagamento]&lt;EOMONTH($A79,0)+1)
)</f>
        <v>0</v>
      </c>
      <c r="AJ79" s="177">
        <f>COUNTIFS(
    estq[empresa], AJ$6,
    estq[Data da venda / reserva], "&gt;=" &amp; $A79,
    estq[Data da venda / reserva], "&lt;"  &amp; EOMONTH($A79,0) + 1
)</f>
        <v>0</v>
      </c>
      <c r="AK79" s="178">
        <f ca="1">SUMIFS(rec.uni[2027-05-01],
INDIRECT("rec.uni[natureza]"),"pro.soluto",
INDIRECT("rec.uni[empresa]"),AK$6)</f>
        <v>0</v>
      </c>
      <c r="AL79" s="178">
        <f ca="1">SUMIFS(rec.uni[2027-05-01],
INDIRECT("rec.uni[natureza]"),"repasse.cef.obra",
INDIRECT("rec.uni[empresa]"),AL$6)</f>
        <v>0</v>
      </c>
      <c r="AM79" s="181">
        <f ca="1">SUMIFS(rec.uni[2027-05-01],
INDIRECT("rec.uni[natureza]"),"repasse.cef.terreno",
INDIRECT("rec.uni[empresa]"),AM$6)</f>
        <v>0</v>
      </c>
      <c r="AN79" s="182"/>
      <c r="AO79" s="178">
        <f ca="1">SUMIFS(rec.uni[2027-05-01],
INDIRECT("rec.uni[natureza]"),"taxa.extra",
INDIRECT("rec.uni[empresa]"),AO$6)</f>
        <v>0</v>
      </c>
      <c r="AP79" s="166"/>
      <c r="AQ79" s="166" cm="1">
        <f t="array" ref="AQ79">SUMPRODUCT(
  IFERROR(--desp[valor],0)*
  (desp[nucleo]="UP SELECT VILA SONIA")*
  (desp[categoria]=AQ$7)*
  (desp[data.pagamento]&gt;=$A79)*
  (desp[data.pagamento]&lt;EOMONTH($A79,0)+1)
)</f>
        <v>0</v>
      </c>
      <c r="AR79" s="166" cm="1">
        <f t="array" ref="AR79">SUMPRODUCT(
  IFERROR(--desp[valor],0)*
  (desp[nucleo]="UP SELECT VILA SONIA")*
  (desp[categoria]=AR$7)*
  (desp[data.pagamento]&gt;=$A79)*
  (desp[data.pagamento]&lt;EOMONTH($A79,0)+1)
)</f>
        <v>0</v>
      </c>
      <c r="AS79" s="166" cm="1">
        <f t="array" ref="AS79">SUMPRODUCT(
  IFERROR(--desp[valor],0)*
  (desp[nucleo]="UP SELECT VILA SONIA")*
  (desp[categoria]=AS$7)*
  (desp[data.pagamento]&gt;=$A79)*
  (desp[data.pagamento]&lt;EOMONTH($A79,0)+1)
)</f>
        <v>0</v>
      </c>
      <c r="AT79" s="166" cm="1">
        <f t="array" ref="AT79">SUMPRODUCT(
  IFERROR(--desp[valor],0)*
  (desp[nucleo]="UP SELECT VILA SONIA")*
  (desp[categoria]=AT$7)*
  (desp[data.pagamento]&gt;=$A79)*
  (desp[data.pagamento]&lt;EOMONTH($A79,0)+1)
)</f>
        <v>0</v>
      </c>
      <c r="AU79" s="166" cm="1">
        <f t="array" ref="AU79">SUMPRODUCT(
  IFERROR(--desp[valor],0)*
  (desp[nucleo]="UP SELECT VILA SONIA")*
  (desp[categoria]=AU$7)*
  (desp[data.pagamento]&gt;=$A79)*
  (desp[data.pagamento]&lt;EOMONTH($A79,0)+1)
)</f>
        <v>0</v>
      </c>
      <c r="AV79" s="177">
        <f>COUNTIFS(
    estq[empresa], AV$6,
    estq[Data da venda / reserva], "&gt;=" &amp; $A79,
    estq[Data da venda / reserva], "&lt;"  &amp; EOMONTH($A79,0) + 1
)</f>
        <v>0</v>
      </c>
      <c r="AW79" s="178">
        <f ca="1">SUMIFS(rec.uni[2027-05-01],
INDIRECT("rec.uni[natureza]"),"pro.soluto",
INDIRECT("rec.uni[empresa]"),AW$6)</f>
        <v>0</v>
      </c>
      <c r="AX79" s="178">
        <f ca="1">SUMIFS(rec.uni[2027-05-01],
INDIRECT("rec.uni[natureza]"),"repasse.cef.obra",
INDIRECT("rec.uni[empresa]"),AX$6)</f>
        <v>0</v>
      </c>
      <c r="AY79" s="181">
        <f ca="1">SUMIFS(rec.uni[2027-05-01],
INDIRECT("rec.uni[natureza]"),"repasse.cef.terreno",
INDIRECT("rec.uni[empresa]"),AY$6)</f>
        <v>0</v>
      </c>
      <c r="AZ79" s="182"/>
      <c r="BA79" s="178">
        <f ca="1">SUMIFS(rec.uni[2027-05-01],
INDIRECT("rec.uni[natureza]"),"taxa.extra",
INDIRECT("rec.uni[empresa]"),BA$6)</f>
        <v>0</v>
      </c>
      <c r="BB79" s="166"/>
      <c r="BC79" s="166" cm="1">
        <f t="array" ref="BC79">SUMPRODUCT(
  IFERROR(--desp[valor],0)*
  (desp[nucleo]="UP ESTAÇÃO SÃO LUCAS")*
  (desp[categoria]=BC$7)*
  (desp[data.pagamento]&gt;=$A79)*
  (desp[data.pagamento]&lt;EOMONTH($A79,0)+1)
)</f>
        <v>0</v>
      </c>
      <c r="BD79" s="166" cm="1">
        <f t="array" ref="BD79">SUMPRODUCT(
  IFERROR(--desp[valor],0)*
  (desp[nucleo]="UP ESTAÇÃO SÃO LUCAS")*
  (desp[categoria]=BD$7)*
  (desp[data.pagamento]&gt;=$A79)*
  (desp[data.pagamento]&lt;EOMONTH($A79,0)+1)
)</f>
        <v>0</v>
      </c>
      <c r="BE79" s="166" cm="1">
        <f t="array" ref="BE79">SUMPRODUCT(
  IFERROR(--desp[valor],0)*
  (desp[nucleo]="UP ESTAÇÃO SÃO LUCAS")*
  (desp[categoria]=BE$7)*
  (desp[data.pagamento]&gt;=$A79)*
  (desp[data.pagamento]&lt;EOMONTH($A79,0)+1)
)</f>
        <v>0</v>
      </c>
      <c r="BF79" s="166" cm="1">
        <f t="array" ref="BF79">SUMPRODUCT(
  IFERROR(--desp[valor],0)*
  (desp[nucleo]="UP ESTAÇÃO SÃO LUCAS")*
  (desp[categoria]=BF$7)*
  (desp[data.pagamento]&gt;=$A79)*
  (desp[data.pagamento]&lt;EOMONTH($A79,0)+1)
)</f>
        <v>0</v>
      </c>
      <c r="BG79" s="166" cm="1">
        <f t="array" ref="BG79">SUMPRODUCT(
  IFERROR(--desp[valor],0)*
  (desp[nucleo]="UP ESTAÇÃO SÃO LUCAS")*
  (desp[categoria]=BG$7)*
  (desp[data.pagamento]&gt;=$A79)*
  (desp[data.pagamento]&lt;EOMONTH($A79,0)+1)
)</f>
        <v>0</v>
      </c>
      <c r="BH79" s="177">
        <f>COUNTIFS(
    estq[empresa], BH$6,
    estq[Data da venda / reserva], "&gt;=" &amp; $A79,
    estq[Data da venda / reserva], "&lt;"  &amp; EOMONTH($A79,0) + 1
)</f>
        <v>0</v>
      </c>
      <c r="BI79" s="178">
        <f ca="1">SUMIFS(rec.uni[2027-05-01],
INDIRECT("rec.uni[natureza]"),"pro.soluto",
INDIRECT("rec.uni[empresa]"),BI$6)</f>
        <v>0</v>
      </c>
      <c r="BJ79" s="182">
        <f ca="1">SUMIFS(rec.uni[2027-05-01],
INDIRECT("rec.uni[natureza]"),"parcela.fin.total.ik",
INDIRECT("rec.uni[empresa]"),BJ$6)</f>
        <v>0</v>
      </c>
      <c r="BK79" s="178">
        <f ca="1">SUMIFS(rec.uni[2027-05-01],
INDIRECT("rec.uni[natureza]"),"taxa.extra",
INDIRECT("rec.uni[empresa]"),BK$6)</f>
        <v>0</v>
      </c>
      <c r="BL79" s="166"/>
      <c r="BM79" s="166" cm="1">
        <f t="array" ref="BM79">SUMPRODUCT(
  IFERROR(--desp[valor],0)*
  (desp[nucleo]="UP POMPEIA")*
  (desp[categoria]=BM$7)*
  (desp[data.pagamento]&gt;=$A79)*
  (desp[data.pagamento]&lt;EOMONTH($A79,0)+1)
)</f>
        <v>0</v>
      </c>
      <c r="BN79" s="166" cm="1">
        <f t="array" ref="BN79">SUMPRODUCT(
  IFERROR(--desp[valor],0)*
  (desp[nucleo]="UP POMPEIA")*
  (desp[categoria]=BN$7)*
  (desp[data.pagamento]&gt;=$A79)*
  (desp[data.pagamento]&lt;EOMONTH($A79,0)+1)
)</f>
        <v>0</v>
      </c>
      <c r="BO79" s="166" cm="1">
        <f t="array" ref="BO79">SUMPRODUCT(
  IFERROR(--desp[valor],0)*
  (desp[nucleo]="UP POMPEIA")*
  (desp[categoria]=BO$7)*
  (desp[data.pagamento]&gt;=$A79)*
  (desp[data.pagamento]&lt;EOMONTH($A79,0)+1)
)</f>
        <v>0</v>
      </c>
      <c r="BP79" s="166" cm="1">
        <f t="array" ref="BP79">SUMPRODUCT(
  IFERROR(--desp[valor],0)*
  (desp[nucleo]="UP POMPEIA")*
  (desp[categoria]=BP$7)*
  (desp[data.pagamento]&gt;=$A79)*
  (desp[data.pagamento]&lt;EOMONTH($A79,0)+1)
)</f>
        <v>0</v>
      </c>
      <c r="BQ79" s="166" cm="1">
        <f t="array" ref="BQ79">SUMPRODUCT(
  IFERROR(--desp[valor],0)*
  (desp[nucleo]="UP POMPEIA")*
  (desp[categoria]=BQ$7)*
  (desp[data.pagamento]&gt;=$A79)*
  (desp[data.pagamento]&lt;EOMONTH($A79,0)+1)
)</f>
        <v>0</v>
      </c>
      <c r="BR79" s="177">
        <f>COUNTIFS(
    estq[empresa], BR$6,
    estq[Data da venda / reserva], "&gt;=" &amp; $A79,
    estq[Data da venda / reserva], "&lt;"  &amp; EOMONTH($A79,0) + 1
)</f>
        <v>0</v>
      </c>
      <c r="BS79" s="178">
        <f ca="1">SUMIFS(rec.uni[2027-05-01],
INDIRECT("rec.uni[natureza]"),"pro.soluto",
INDIRECT("rec.uni[empresa]"),BS$6)</f>
        <v>0</v>
      </c>
      <c r="BT79" s="182">
        <f ca="1">SUMIFS(rec.uni[2027-05-01],
INDIRECT("rec.uni[natureza]"),"parcela.fin.total.ik",
INDIRECT("rec.uni[empresa]"),BT$6)</f>
        <v>0</v>
      </c>
      <c r="BU79" s="178">
        <f ca="1">SUMIFS(rec.uni[2027-05-01],
INDIRECT("rec.uni[natureza]"),"taxa.extra",
INDIRECT("rec.uni[empresa]"),BU$6)</f>
        <v>0</v>
      </c>
      <c r="BV79" s="166"/>
      <c r="BW79" s="166" cm="1">
        <f t="array" ref="BW79">SUMPRODUCT(
  IFERROR(--desp[valor],0)*
  (desp[nucleo]="UP SAUDE")*
  (desp[categoria]=BW$7)*
  (desp[data.pagamento]&gt;=$A79)*
  (desp[data.pagamento]&lt;EOMONTH($A79,0)+1)
)</f>
        <v>0</v>
      </c>
      <c r="BX79" s="166" cm="1">
        <f t="array" ref="BX79">SUMPRODUCT(
  IFERROR(--desp[valor],0)*
  (desp[nucleo]="UP SAUDE")*
  (desp[categoria]=BX$7)*
  (desp[data.pagamento]&gt;=$A79)*
  (desp[data.pagamento]&lt;EOMONTH($A79,0)+1)
)</f>
        <v>0</v>
      </c>
      <c r="BY79" s="166" cm="1">
        <f t="array" ref="BY79">SUMPRODUCT(
  IFERROR(--desp[valor],0)*
  (desp[nucleo]="UP SAUDE")*
  (desp[categoria]=BY$7)*
  (desp[data.pagamento]&gt;=$A79)*
  (desp[data.pagamento]&lt;EOMONTH($A79,0)+1)
)</f>
        <v>0</v>
      </c>
      <c r="BZ79" s="166" cm="1">
        <f t="array" ref="BZ79">SUMPRODUCT(
  IFERROR(--desp[valor],0)*
  (desp[nucleo]="UP SAUDE")*
  (desp[categoria]=BZ$7)*
  (desp[data.pagamento]&gt;=$A79)*
  (desp[data.pagamento]&lt;EOMONTH($A79,0)+1)
)</f>
        <v>0</v>
      </c>
      <c r="CA79" s="166" cm="1">
        <f t="array" ref="CA79">SUMPRODUCT(
  IFERROR(--desp[valor],0)*
  (desp[nucleo]="UP SAUDE")*
  (desp[categoria]=CA$7)*
  (desp[data.pagamento]&gt;=$A79)*
  (desp[data.pagamento]&lt;EOMONTH($A79,0)+1)
)</f>
        <v>0</v>
      </c>
      <c r="CB79" s="177">
        <f>COUNTIFS(
    estq[empresa], CB$6,
    estq[Data da venda / reserva], "&gt;=" &amp; $A79,
    estq[Data da venda / reserva], "&lt;"  &amp; EOMONTH($A79,0) + 1
)</f>
        <v>0</v>
      </c>
      <c r="CC79" s="178">
        <f ca="1">SUMIFS(rec.uni[2027-05-01],
INDIRECT("rec.uni[natureza]"),"pro.soluto",
INDIRECT("rec.uni[empresa]"),CC$6)</f>
        <v>0</v>
      </c>
      <c r="CD79" s="178">
        <f ca="1">SUMIFS(rec.uni[2027-05-01],
INDIRECT("rec.uni[natureza]"),"repasse.cef.obra",
INDIRECT("rec.uni[empresa]"),CD$6)</f>
        <v>0</v>
      </c>
      <c r="CE79" s="181">
        <f ca="1">SUMIFS(rec.uni[2027-05-01],
INDIRECT("rec.uni[natureza]"),"repasse.cef.terreno",
INDIRECT("rec.uni[empresa]"),CE$6)</f>
        <v>0</v>
      </c>
      <c r="CF79" s="182"/>
      <c r="CG79" s="178">
        <f ca="1">SUMIFS(rec.uni[2027-05-01],
INDIRECT("rec.uni[natureza]"),"taxa.extra",
INDIRECT("rec.uni[empresa]"),CG$6)</f>
        <v>0</v>
      </c>
      <c r="CH79" s="166"/>
      <c r="CI79" s="166" cm="1">
        <f t="array" ref="CI79">SUMPRODUCT(
  IFERROR(--desp[valor],0)*
  (desp[nucleo]="UP ESTAÇÃO VILA SONIA")*
  (desp[categoria]=CI$7)*
  (desp[data.pagamento]&gt;=$A79)*
  (desp[data.pagamento]&lt;EOMONTH($A79,0)+1)
)</f>
        <v>0</v>
      </c>
      <c r="CJ79" s="166" cm="1">
        <f t="array" ref="CJ79">SUMPRODUCT(
  IFERROR(--desp[valor],0)*
  (desp[nucleo]="UP ESTAÇÃO VILA SONIA")*
  (desp[categoria]=CJ$7)*
  (desp[data.pagamento]&gt;=$A79)*
  (desp[data.pagamento]&lt;EOMONTH($A79,0)+1)
)</f>
        <v>0</v>
      </c>
      <c r="CK79" s="166" cm="1">
        <f t="array" ref="CK79">SUMPRODUCT(
  IFERROR(--desp[valor],0)*
  (desp[nucleo]="UP ESTAÇÃO VILA SONIA")*
  (desp[categoria]=CK$7)*
  (desp[data.pagamento]&gt;=$A79)*
  (desp[data.pagamento]&lt;EOMONTH($A79,0)+1)
)</f>
        <v>0</v>
      </c>
      <c r="CL79" s="166" cm="1">
        <f t="array" ref="CL79">SUMPRODUCT(
  IFERROR(--desp[valor],0)*
  (desp[nucleo]="UP ESTAÇÃO VILA SONIA")*
  (desp[categoria]=CL$7)*
  (desp[data.pagamento]&gt;=$A79)*
  (desp[data.pagamento]&lt;EOMONTH($A79,0)+1)
)</f>
        <v>0</v>
      </c>
      <c r="CM79" s="166" cm="1">
        <f t="array" ref="CM79">SUMPRODUCT(
  IFERROR(--desp[valor],0)*
  (desp[nucleo]="UP ESTAÇÃO VILA SONIA")*
  (desp[categoria]=CM$7)*
  (desp[data.pagamento]&gt;=$A79)*
  (desp[data.pagamento]&lt;EOMONTH($A79,0)+1)
)</f>
        <v>0</v>
      </c>
      <c r="CN79" s="177">
        <f>COUNTIFS(
    estq[empresa], CN$6,
    estq[Data da venda / reserva], "&gt;=" &amp; $A79,
    estq[Data da venda / reserva], "&lt;"  &amp; EOMONTH($A79,0) + 1
)</f>
        <v>0</v>
      </c>
      <c r="CO79" s="178">
        <f ca="1">SUMIFS(rec.uni[2027-05-01],
INDIRECT("rec.uni[natureza]"),"pro.soluto",
INDIRECT("rec.uni[empresa]"),CO$6)</f>
        <v>0</v>
      </c>
      <c r="CP79" s="178">
        <f ca="1">SUMIFS(rec.uni[2027-05-01],
INDIRECT("rec.uni[natureza]"),"repasse.cef.obra",
INDIRECT("rec.uni[empresa]"),CP$6)</f>
        <v>0</v>
      </c>
      <c r="CQ79" s="181">
        <f ca="1">SUMIFS(rec.uni[2027-05-01],
INDIRECT("rec.uni[natureza]"),"repasse.cef.terreno",
INDIRECT("rec.uni[empresa]"),CQ$6)</f>
        <v>0</v>
      </c>
      <c r="CR79" s="182"/>
      <c r="CS79" s="178">
        <f ca="1">SUMIFS(rec.uni[2027-05-01],
INDIRECT("rec.uni[natureza]"),"taxa.extra",
INDIRECT("rec.uni[empresa]"),CS$6)</f>
        <v>0</v>
      </c>
      <c r="CT79" s="166"/>
      <c r="CU79" s="166" cm="1">
        <f t="array" ref="CU79">SUMPRODUCT(
  IFERROR(--desp[valor],0)*
  (desp[nucleo]="UP MOVE VILA SONIA")*
  (desp[categoria]=CU$7)*
  (desp[data.pagamento]&gt;=$A79)*
  (desp[data.pagamento]&lt;EOMONTH($A79,0)+1)
)</f>
        <v>0</v>
      </c>
      <c r="CV79" s="166" cm="1">
        <f t="array" ref="CV79">SUMPRODUCT(
  IFERROR(--desp[valor],0)*
  (desp[nucleo]="UP MOVE VILA SONIA")*
  (desp[categoria]=CV$7)*
  (desp[data.pagamento]&gt;=$A79)*
  (desp[data.pagamento]&lt;EOMONTH($A79,0)+1)
)</f>
        <v>0</v>
      </c>
      <c r="CW79" s="166" cm="1">
        <f t="array" ref="CW79">SUMPRODUCT(
  IFERROR(--desp[valor],0)*
  (desp[nucleo]="UP MOVE VILA SONIA")*
  (desp[categoria]=CW$7)*
  (desp[data.pagamento]&gt;=$A79)*
  (desp[data.pagamento]&lt;EOMONTH($A79,0)+1)
)</f>
        <v>0</v>
      </c>
      <c r="CX79" s="166" cm="1">
        <f t="array" ref="CX79">SUMPRODUCT(
  IFERROR(--desp[valor],0)*
  (desp[nucleo]="UP MOVE VILA SONIA")*
  (desp[categoria]=CX$7)*
  (desp[data.pagamento]&gt;=$A79)*
  (desp[data.pagamento]&lt;EOMONTH($A79,0)+1)
)</f>
        <v>0</v>
      </c>
      <c r="CY79" s="291" cm="1">
        <f t="array" ref="CY79">SUMPRODUCT(
  IFERROR(--desp[valor],0)*
  (desp[nucleo]="UP MOVE VILA SONIA")*
  (desp[categoria]=CY$7)*
  (desp[data.pagamento]&gt;=$A79)*
  (desp[data.pagamento]&lt;EOMONTH($A79,0)+1)
)</f>
        <v>0</v>
      </c>
    </row>
    <row r="80" spans="1:103" x14ac:dyDescent="0.25">
      <c r="A80" s="176">
        <v>46539</v>
      </c>
      <c r="B80" s="177">
        <f>COUNTIFS(
    estq[empresa], B$6,
    estq[Data da venda / reserva], "&gt;=" &amp; $A80,
    estq[Data da venda / reserva], "&lt;"  &amp; EOMONTH($A80,0) + 1
)</f>
        <v>0</v>
      </c>
      <c r="C80" s="178">
        <f ca="1">SUMIFS(rec.uni[2027-06-01],
INDIRECT("rec.uni[natureza]"),"pro.soluto",
INDIRECT("rec.uni[empresa]"),C$6)</f>
        <v>0</v>
      </c>
      <c r="D80" s="178">
        <f ca="1">SUMIFS(rec.uni[2027-06-01],
INDIRECT("rec.uni[natureza]"),"repasse.cef.obra",
INDIRECT("rec.uni[empresa]"),D$6)</f>
        <v>0</v>
      </c>
      <c r="E80" s="178">
        <f ca="1">SUMIFS(rec.uni[2027-06-01],
INDIRECT("rec.uni[natureza]"),"repasse.cef.terreno",
INDIRECT("rec.uni[empresa]"),E$6)</f>
        <v>0</v>
      </c>
      <c r="F80" s="182"/>
      <c r="G80" s="178">
        <f ca="1">SUMIFS(rec.uni[2027-06-01],
INDIRECT("rec.uni[natureza]"),"taxa.extra",
INDIRECT("rec.uni[empresa]"),G$6)</f>
        <v>0</v>
      </c>
      <c r="H80" s="166"/>
      <c r="I80" s="166" cm="1">
        <f t="array" ref="I80">SUMPRODUCT(
  IFERROR(--desp[valor],0)*
  (desp[nucleo]="UP JARDIM PRUDENCIA")*
  (desp[categoria]=I$7)*
  (desp[data.pagamento]&gt;=$A80)*
  (desp[data.pagamento]&lt;EOMONTH($A80,0)+1)
)</f>
        <v>0</v>
      </c>
      <c r="J80" s="166" cm="1">
        <f t="array" ref="J80">SUMPRODUCT(
  IFERROR(--desp[valor],0)*
  (desp[nucleo]="UP JARDIM PRUDENCIA")*
  (desp[categoria]=J$7)*
  (desp[data.pagamento]&gt;=$A80)*
  (desp[data.pagamento]&lt;EOMONTH($A80,0)+1)
)</f>
        <v>0</v>
      </c>
      <c r="K80" s="166" cm="1">
        <f t="array" ref="K80">SUMPRODUCT(
  IFERROR(--desp[valor],0)*
  (desp[nucleo]="UP JARDIM PRUDENCIA")*
  (desp[categoria]=K$7)*
  (desp[data.pagamento]&gt;=$A80)*
  (desp[data.pagamento]&lt;EOMONTH($A80,0)+1)
)</f>
        <v>0</v>
      </c>
      <c r="L80" s="166" cm="1">
        <f t="array" ref="L80">SUMPRODUCT(
  IFERROR(--desp[valor],0)*
  (desp[nucleo]="UP JARDIM PRUDENCIA")*
  (desp[categoria]=L$7)*
  (desp[data.pagamento]&gt;=$A80)*
  (desp[data.pagamento]&lt;EOMONTH($A80,0)+1)
)</f>
        <v>0</v>
      </c>
      <c r="M80" s="166" cm="1">
        <f t="array" ref="M80">SUMPRODUCT(
  IFERROR(--desp[valor],0)*
  (desp[nucleo]="UP JARDIM PRUDENCIA")*
  (desp[categoria]=M$7)*
  (desp[data.pagamento]&gt;=$A80)*
  (desp[data.pagamento]&lt;EOMONTH($A80,0)+1)
)</f>
        <v>0</v>
      </c>
      <c r="N80" s="177">
        <f>COUNTIFS(
    estq[empresa], N$6,
    estq[Data da venda / reserva], "&gt;=" &amp; $A80,
    estq[Data da venda / reserva], "&lt;"  &amp; EOMONTH($A80,0) + 1
)</f>
        <v>0</v>
      </c>
      <c r="O80" s="178">
        <f ca="1">SUMIFS(rec.uni[2027-06-01],
INDIRECT("rec.uni[natureza]"),"pro.soluto",
INDIRECT("rec.uni[empresa]"),O$6)</f>
        <v>0</v>
      </c>
      <c r="P80" s="178">
        <f ca="1">SUMIFS(rec.uni[2027-06-01],
INDIRECT("rec.uni[natureza]"),"repasse.cef.obra",
INDIRECT("rec.uni[empresa]"),P$6)</f>
        <v>0</v>
      </c>
      <c r="Q80" s="178">
        <f ca="1">SUMIFS(rec.uni[2027-06-01],
INDIRECT("rec.uni[natureza]"),"repasse.cef.terreno",
INDIRECT("rec.uni[empresa]"),Q$6)</f>
        <v>0</v>
      </c>
      <c r="R80" s="182"/>
      <c r="S80" s="178">
        <f ca="1">SUMIFS(rec.uni[2027-06-01],
INDIRECT("rec.uni[natureza]"),"taxa.extra",
INDIRECT("rec.uni[empresa]"),S$6)</f>
        <v>0</v>
      </c>
      <c r="T80" s="166"/>
      <c r="U80" s="166" cm="1">
        <f t="array" ref="U80">SUMPRODUCT(
  IFERROR(--desp[valor],0)*
  (desp[nucleo]="UP VILA SONIA")*
  (desp[categoria]=U$7)*
  (desp[data.pagamento]&gt;=$A80)*
  (desp[data.pagamento]&lt;EOMONTH($A80,0)+1)
)</f>
        <v>0</v>
      </c>
      <c r="V80" s="166" cm="1">
        <f t="array" ref="V80">SUMPRODUCT(
  IFERROR(--desp[valor],0)*
  (desp[nucleo]="UP VILA SONIA")*
  (desp[categoria]=V$7)*
  (desp[data.pagamento]&gt;=$A80)*
  (desp[data.pagamento]&lt;EOMONTH($A80,0)+1)
)</f>
        <v>0</v>
      </c>
      <c r="W80" s="166" cm="1">
        <f t="array" ref="W80">SUMPRODUCT(
  IFERROR(--desp[valor],0)*
  (desp[nucleo]="UP VILA SONIA")*
  (desp[categoria]=W$7)*
  (desp[data.pagamento]&gt;=$A80)*
  (desp[data.pagamento]&lt;EOMONTH($A80,0)+1)
)</f>
        <v>0</v>
      </c>
      <c r="X80" s="166" cm="1">
        <f t="array" ref="X80">SUMPRODUCT(
  IFERROR(--desp[valor],0)*
  (desp[nucleo]="UP VILA SONIA")*
  (desp[categoria]=X$7)*
  (desp[data.pagamento]&gt;=$A80)*
  (desp[data.pagamento]&lt;EOMONTH($A80,0)+1)
)</f>
        <v>0</v>
      </c>
      <c r="Y80" s="166" cm="1">
        <f t="array" ref="Y80">SUMPRODUCT(
  IFERROR(--desp[valor],0)*
  (desp[nucleo]="UP VILA SONIA")*
  (desp[categoria]=Y$7)*
  (desp[data.pagamento]&gt;=$A80)*
  (desp[data.pagamento]&lt;EOMONTH($A80,0)+1)
)</f>
        <v>0</v>
      </c>
      <c r="Z80" s="177">
        <f>COUNTIFS(
    estq[empresa], Z$6,
    estq[Data da venda / reserva], "&gt;=" &amp; $A80,
    estq[Data da venda / reserva], "&lt;"  &amp; EOMONTH($A80,0) + 1
)</f>
        <v>0</v>
      </c>
      <c r="AA80" s="178">
        <f ca="1">SUMIFS(rec.uni[2027-06-01],
INDIRECT("rec.uni[natureza]"),"pro.soluto",
INDIRECT("rec.uni[empresa]"),AA$6)</f>
        <v>0</v>
      </c>
      <c r="AB80" s="182">
        <f ca="1">SUMIFS(rec.uni[2027-06-01],
INDIRECT("rec.uni[natureza]"),"parcela.fin.total.ik",
INDIRECT("rec.uni[empresa]"),AB$6)</f>
        <v>0</v>
      </c>
      <c r="AC80" s="178">
        <f ca="1">SUMIFS(rec.uni[2027-06-01],
INDIRECT("rec.uni[natureza]"),"taxa.extra",
INDIRECT("rec.uni[empresa]"),AC$6)</f>
        <v>0</v>
      </c>
      <c r="AD80" s="166"/>
      <c r="AE80" s="166" cm="1">
        <f t="array" ref="AE80">SUMPRODUCT(
  IFERROR(--desp[valor],0)*
  (desp[nucleo]="UP CAMPO BELO")*
  (desp[categoria]=AE$7)*
  (desp[data.pagamento]&gt;=$A80)*
  (desp[data.pagamento]&lt;EOMONTH($A80,0)+1)
)</f>
        <v>0</v>
      </c>
      <c r="AF80" s="166" cm="1">
        <f t="array" ref="AF80">SUMPRODUCT(
  IFERROR(--desp[valor],0)*
  (desp[nucleo]="UP CAMPO BELO")*
  (desp[categoria]=AF$7)*
  (desp[data.pagamento]&gt;=$A80)*
  (desp[data.pagamento]&lt;EOMONTH($A80,0)+1)
)</f>
        <v>0</v>
      </c>
      <c r="AG80" s="166" cm="1">
        <f t="array" ref="AG80">SUMPRODUCT(
  IFERROR(--desp[valor],0)*
  (desp[nucleo]="UP CAMPO BELO")*
  (desp[categoria]=AG$7)*
  (desp[data.pagamento]&gt;=$A80)*
  (desp[data.pagamento]&lt;EOMONTH($A80,0)+1)
)</f>
        <v>0</v>
      </c>
      <c r="AH80" s="166" cm="1">
        <f t="array" ref="AH80">SUMPRODUCT(
  IFERROR(--desp[valor],0)*
  (desp[nucleo]="UP CAMPO BELO")*
  (desp[categoria]=AH$7)*
  (desp[data.pagamento]&gt;=$A80)*
  (desp[data.pagamento]&lt;EOMONTH($A80,0)+1)
)</f>
        <v>0</v>
      </c>
      <c r="AI80" s="166" cm="1">
        <f t="array" ref="AI80">SUMPRODUCT(
  IFERROR(--desp[valor],0)*
  (desp[nucleo]="UP CAMPO BELO")*
  (desp[categoria]=AI$7)*
  (desp[data.pagamento]&gt;=$A80)*
  (desp[data.pagamento]&lt;EOMONTH($A80,0)+1)
)</f>
        <v>0</v>
      </c>
      <c r="AJ80" s="177">
        <f>COUNTIFS(
    estq[empresa], AJ$6,
    estq[Data da venda / reserva], "&gt;=" &amp; $A80,
    estq[Data da venda / reserva], "&lt;"  &amp; EOMONTH($A80,0) + 1
)</f>
        <v>0</v>
      </c>
      <c r="AK80" s="178">
        <f ca="1">SUMIFS(rec.uni[2027-06-01],
INDIRECT("rec.uni[natureza]"),"pro.soluto",
INDIRECT("rec.uni[empresa]"),AK$6)</f>
        <v>0</v>
      </c>
      <c r="AL80" s="178">
        <f ca="1">SUMIFS(rec.uni[2027-06-01],
INDIRECT("rec.uni[natureza]"),"repasse.cef.obra",
INDIRECT("rec.uni[empresa]"),AL$6)</f>
        <v>0</v>
      </c>
      <c r="AM80" s="181">
        <f ca="1">SUMIFS(rec.uni[2027-06-01],
INDIRECT("rec.uni[natureza]"),"repasse.cef.terreno",
INDIRECT("rec.uni[empresa]"),AM$6)</f>
        <v>0</v>
      </c>
      <c r="AN80" s="182"/>
      <c r="AO80" s="178">
        <f ca="1">SUMIFS(rec.uni[2027-06-01],
INDIRECT("rec.uni[natureza]"),"taxa.extra",
INDIRECT("rec.uni[empresa]"),AO$6)</f>
        <v>0</v>
      </c>
      <c r="AP80" s="166"/>
      <c r="AQ80" s="166" cm="1">
        <f t="array" ref="AQ80">SUMPRODUCT(
  IFERROR(--desp[valor],0)*
  (desp[nucleo]="UP SELECT VILA SONIA")*
  (desp[categoria]=AQ$7)*
  (desp[data.pagamento]&gt;=$A80)*
  (desp[data.pagamento]&lt;EOMONTH($A80,0)+1)
)</f>
        <v>0</v>
      </c>
      <c r="AR80" s="166" cm="1">
        <f t="array" ref="AR80">SUMPRODUCT(
  IFERROR(--desp[valor],0)*
  (desp[nucleo]="UP SELECT VILA SONIA")*
  (desp[categoria]=AR$7)*
  (desp[data.pagamento]&gt;=$A80)*
  (desp[data.pagamento]&lt;EOMONTH($A80,0)+1)
)</f>
        <v>0</v>
      </c>
      <c r="AS80" s="166" cm="1">
        <f t="array" ref="AS80">SUMPRODUCT(
  IFERROR(--desp[valor],0)*
  (desp[nucleo]="UP SELECT VILA SONIA")*
  (desp[categoria]=AS$7)*
  (desp[data.pagamento]&gt;=$A80)*
  (desp[data.pagamento]&lt;EOMONTH($A80,0)+1)
)</f>
        <v>0</v>
      </c>
      <c r="AT80" s="166" cm="1">
        <f t="array" ref="AT80">SUMPRODUCT(
  IFERROR(--desp[valor],0)*
  (desp[nucleo]="UP SELECT VILA SONIA")*
  (desp[categoria]=AT$7)*
  (desp[data.pagamento]&gt;=$A80)*
  (desp[data.pagamento]&lt;EOMONTH($A80,0)+1)
)</f>
        <v>0</v>
      </c>
      <c r="AU80" s="166" cm="1">
        <f t="array" ref="AU80">SUMPRODUCT(
  IFERROR(--desp[valor],0)*
  (desp[nucleo]="UP SELECT VILA SONIA")*
  (desp[categoria]=AU$7)*
  (desp[data.pagamento]&gt;=$A80)*
  (desp[data.pagamento]&lt;EOMONTH($A80,0)+1)
)</f>
        <v>0</v>
      </c>
      <c r="AV80" s="177">
        <f>COUNTIFS(
    estq[empresa], AV$6,
    estq[Data da venda / reserva], "&gt;=" &amp; $A80,
    estq[Data da venda / reserva], "&lt;"  &amp; EOMONTH($A80,0) + 1
)</f>
        <v>0</v>
      </c>
      <c r="AW80" s="178">
        <f ca="1">SUMIFS(rec.uni[2027-06-01],
INDIRECT("rec.uni[natureza]"),"pro.soluto",
INDIRECT("rec.uni[empresa]"),AW$6)</f>
        <v>0</v>
      </c>
      <c r="AX80" s="178">
        <f ca="1">SUMIFS(rec.uni[2027-06-01],
INDIRECT("rec.uni[natureza]"),"repasse.cef.obra",
INDIRECT("rec.uni[empresa]"),AX$6)</f>
        <v>0</v>
      </c>
      <c r="AY80" s="181">
        <f ca="1">SUMIFS(rec.uni[2027-06-01],
INDIRECT("rec.uni[natureza]"),"repasse.cef.terreno",
INDIRECT("rec.uni[empresa]"),AY$6)</f>
        <v>0</v>
      </c>
      <c r="AZ80" s="182"/>
      <c r="BA80" s="178">
        <f ca="1">SUMIFS(rec.uni[2027-06-01],
INDIRECT("rec.uni[natureza]"),"taxa.extra",
INDIRECT("rec.uni[empresa]"),BA$6)</f>
        <v>0</v>
      </c>
      <c r="BB80" s="166"/>
      <c r="BC80" s="166" cm="1">
        <f t="array" ref="BC80">SUMPRODUCT(
  IFERROR(--desp[valor],0)*
  (desp[nucleo]="UP ESTAÇÃO SÃO LUCAS")*
  (desp[categoria]=BC$7)*
  (desp[data.pagamento]&gt;=$A80)*
  (desp[data.pagamento]&lt;EOMONTH($A80,0)+1)
)</f>
        <v>0</v>
      </c>
      <c r="BD80" s="166" cm="1">
        <f t="array" ref="BD80">SUMPRODUCT(
  IFERROR(--desp[valor],0)*
  (desp[nucleo]="UP ESTAÇÃO SÃO LUCAS")*
  (desp[categoria]=BD$7)*
  (desp[data.pagamento]&gt;=$A80)*
  (desp[data.pagamento]&lt;EOMONTH($A80,0)+1)
)</f>
        <v>0</v>
      </c>
      <c r="BE80" s="166" cm="1">
        <f t="array" ref="BE80">SUMPRODUCT(
  IFERROR(--desp[valor],0)*
  (desp[nucleo]="UP ESTAÇÃO SÃO LUCAS")*
  (desp[categoria]=BE$7)*
  (desp[data.pagamento]&gt;=$A80)*
  (desp[data.pagamento]&lt;EOMONTH($A80,0)+1)
)</f>
        <v>0</v>
      </c>
      <c r="BF80" s="166" cm="1">
        <f t="array" ref="BF80">SUMPRODUCT(
  IFERROR(--desp[valor],0)*
  (desp[nucleo]="UP ESTAÇÃO SÃO LUCAS")*
  (desp[categoria]=BF$7)*
  (desp[data.pagamento]&gt;=$A80)*
  (desp[data.pagamento]&lt;EOMONTH($A80,0)+1)
)</f>
        <v>0</v>
      </c>
      <c r="BG80" s="166" cm="1">
        <f t="array" ref="BG80">SUMPRODUCT(
  IFERROR(--desp[valor],0)*
  (desp[nucleo]="UP ESTAÇÃO SÃO LUCAS")*
  (desp[categoria]=BG$7)*
  (desp[data.pagamento]&gt;=$A80)*
  (desp[data.pagamento]&lt;EOMONTH($A80,0)+1)
)</f>
        <v>0</v>
      </c>
      <c r="BH80" s="177">
        <f>COUNTIFS(
    estq[empresa], BH$6,
    estq[Data da venda / reserva], "&gt;=" &amp; $A80,
    estq[Data da venda / reserva], "&lt;"  &amp; EOMONTH($A80,0) + 1
)</f>
        <v>0</v>
      </c>
      <c r="BI80" s="178">
        <f ca="1">SUMIFS(rec.uni[2027-06-01],
INDIRECT("rec.uni[natureza]"),"pro.soluto",
INDIRECT("rec.uni[empresa]"),BI$6)</f>
        <v>0</v>
      </c>
      <c r="BJ80" s="182">
        <f ca="1">SUMIFS(rec.uni[2027-06-01],
INDIRECT("rec.uni[natureza]"),"parcela.fin.total.ik",
INDIRECT("rec.uni[empresa]"),BJ$6)</f>
        <v>0</v>
      </c>
      <c r="BK80" s="178">
        <f ca="1">SUMIFS(rec.uni[2027-06-01],
INDIRECT("rec.uni[natureza]"),"taxa.extra",
INDIRECT("rec.uni[empresa]"),BK$6)</f>
        <v>0</v>
      </c>
      <c r="BL80" s="166"/>
      <c r="BM80" s="166" cm="1">
        <f t="array" ref="BM80">SUMPRODUCT(
  IFERROR(--desp[valor],0)*
  (desp[nucleo]="UP POMPEIA")*
  (desp[categoria]=BM$7)*
  (desp[data.pagamento]&gt;=$A80)*
  (desp[data.pagamento]&lt;EOMONTH($A80,0)+1)
)</f>
        <v>0</v>
      </c>
      <c r="BN80" s="166" cm="1">
        <f t="array" ref="BN80">SUMPRODUCT(
  IFERROR(--desp[valor],0)*
  (desp[nucleo]="UP POMPEIA")*
  (desp[categoria]=BN$7)*
  (desp[data.pagamento]&gt;=$A80)*
  (desp[data.pagamento]&lt;EOMONTH($A80,0)+1)
)</f>
        <v>0</v>
      </c>
      <c r="BO80" s="166" cm="1">
        <f t="array" ref="BO80">SUMPRODUCT(
  IFERROR(--desp[valor],0)*
  (desp[nucleo]="UP POMPEIA")*
  (desp[categoria]=BO$7)*
  (desp[data.pagamento]&gt;=$A80)*
  (desp[data.pagamento]&lt;EOMONTH($A80,0)+1)
)</f>
        <v>0</v>
      </c>
      <c r="BP80" s="166" cm="1">
        <f t="array" ref="BP80">SUMPRODUCT(
  IFERROR(--desp[valor],0)*
  (desp[nucleo]="UP POMPEIA")*
  (desp[categoria]=BP$7)*
  (desp[data.pagamento]&gt;=$A80)*
  (desp[data.pagamento]&lt;EOMONTH($A80,0)+1)
)</f>
        <v>0</v>
      </c>
      <c r="BQ80" s="166" cm="1">
        <f t="array" ref="BQ80">SUMPRODUCT(
  IFERROR(--desp[valor],0)*
  (desp[nucleo]="UP POMPEIA")*
  (desp[categoria]=BQ$7)*
  (desp[data.pagamento]&gt;=$A80)*
  (desp[data.pagamento]&lt;EOMONTH($A80,0)+1)
)</f>
        <v>0</v>
      </c>
      <c r="BR80" s="177">
        <f>COUNTIFS(
    estq[empresa], BR$6,
    estq[Data da venda / reserva], "&gt;=" &amp; $A80,
    estq[Data da venda / reserva], "&lt;"  &amp; EOMONTH($A80,0) + 1
)</f>
        <v>0</v>
      </c>
      <c r="BS80" s="178">
        <f ca="1">SUMIFS(rec.uni[2027-06-01],
INDIRECT("rec.uni[natureza]"),"pro.soluto",
INDIRECT("rec.uni[empresa]"),BS$6)</f>
        <v>0</v>
      </c>
      <c r="BT80" s="182">
        <f ca="1">SUMIFS(rec.uni[2027-06-01],
INDIRECT("rec.uni[natureza]"),"parcela.fin.total.ik",
INDIRECT("rec.uni[empresa]"),BT$6)</f>
        <v>0</v>
      </c>
      <c r="BU80" s="178">
        <f ca="1">SUMIFS(rec.uni[2027-06-01],
INDIRECT("rec.uni[natureza]"),"taxa.extra",
INDIRECT("rec.uni[empresa]"),BU$6)</f>
        <v>0</v>
      </c>
      <c r="BV80" s="166"/>
      <c r="BW80" s="166" cm="1">
        <f t="array" ref="BW80">SUMPRODUCT(
  IFERROR(--desp[valor],0)*
  (desp[nucleo]="UP SAUDE")*
  (desp[categoria]=BW$7)*
  (desp[data.pagamento]&gt;=$A80)*
  (desp[data.pagamento]&lt;EOMONTH($A80,0)+1)
)</f>
        <v>0</v>
      </c>
      <c r="BX80" s="166" cm="1">
        <f t="array" ref="BX80">SUMPRODUCT(
  IFERROR(--desp[valor],0)*
  (desp[nucleo]="UP SAUDE")*
  (desp[categoria]=BX$7)*
  (desp[data.pagamento]&gt;=$A80)*
  (desp[data.pagamento]&lt;EOMONTH($A80,0)+1)
)</f>
        <v>0</v>
      </c>
      <c r="BY80" s="166" cm="1">
        <f t="array" ref="BY80">SUMPRODUCT(
  IFERROR(--desp[valor],0)*
  (desp[nucleo]="UP SAUDE")*
  (desp[categoria]=BY$7)*
  (desp[data.pagamento]&gt;=$A80)*
  (desp[data.pagamento]&lt;EOMONTH($A80,0)+1)
)</f>
        <v>0</v>
      </c>
      <c r="BZ80" s="166" cm="1">
        <f t="array" ref="BZ80">SUMPRODUCT(
  IFERROR(--desp[valor],0)*
  (desp[nucleo]="UP SAUDE")*
  (desp[categoria]=BZ$7)*
  (desp[data.pagamento]&gt;=$A80)*
  (desp[data.pagamento]&lt;EOMONTH($A80,0)+1)
)</f>
        <v>0</v>
      </c>
      <c r="CA80" s="166" cm="1">
        <f t="array" ref="CA80">SUMPRODUCT(
  IFERROR(--desp[valor],0)*
  (desp[nucleo]="UP SAUDE")*
  (desp[categoria]=CA$7)*
  (desp[data.pagamento]&gt;=$A80)*
  (desp[data.pagamento]&lt;EOMONTH($A80,0)+1)
)</f>
        <v>0</v>
      </c>
      <c r="CB80" s="177">
        <f>COUNTIFS(
    estq[empresa], CB$6,
    estq[Data da venda / reserva], "&gt;=" &amp; $A80,
    estq[Data da venda / reserva], "&lt;"  &amp; EOMONTH($A80,0) + 1
)</f>
        <v>0</v>
      </c>
      <c r="CC80" s="178">
        <f ca="1">SUMIFS(rec.uni[2027-06-01],
INDIRECT("rec.uni[natureza]"),"pro.soluto",
INDIRECT("rec.uni[empresa]"),CC$6)</f>
        <v>0</v>
      </c>
      <c r="CD80" s="178">
        <f ca="1">SUMIFS(rec.uni[2027-06-01],
INDIRECT("rec.uni[natureza]"),"repasse.cef.obra",
INDIRECT("rec.uni[empresa]"),CD$6)</f>
        <v>0</v>
      </c>
      <c r="CE80" s="181">
        <f ca="1">SUMIFS(rec.uni[2027-06-01],
INDIRECT("rec.uni[natureza]"),"repasse.cef.terreno",
INDIRECT("rec.uni[empresa]"),CE$6)</f>
        <v>0</v>
      </c>
      <c r="CF80" s="182"/>
      <c r="CG80" s="178">
        <f ca="1">SUMIFS(rec.uni[2027-06-01],
INDIRECT("rec.uni[natureza]"),"taxa.extra",
INDIRECT("rec.uni[empresa]"),CG$6)</f>
        <v>0</v>
      </c>
      <c r="CH80" s="166"/>
      <c r="CI80" s="166" cm="1">
        <f t="array" ref="CI80">SUMPRODUCT(
  IFERROR(--desp[valor],0)*
  (desp[nucleo]="UP ESTAÇÃO VILA SONIA")*
  (desp[categoria]=CI$7)*
  (desp[data.pagamento]&gt;=$A80)*
  (desp[data.pagamento]&lt;EOMONTH($A80,0)+1)
)</f>
        <v>0</v>
      </c>
      <c r="CJ80" s="166" cm="1">
        <f t="array" ref="CJ80">SUMPRODUCT(
  IFERROR(--desp[valor],0)*
  (desp[nucleo]="UP ESTAÇÃO VILA SONIA")*
  (desp[categoria]=CJ$7)*
  (desp[data.pagamento]&gt;=$A80)*
  (desp[data.pagamento]&lt;EOMONTH($A80,0)+1)
)</f>
        <v>0</v>
      </c>
      <c r="CK80" s="166" cm="1">
        <f t="array" ref="CK80">SUMPRODUCT(
  IFERROR(--desp[valor],0)*
  (desp[nucleo]="UP ESTAÇÃO VILA SONIA")*
  (desp[categoria]=CK$7)*
  (desp[data.pagamento]&gt;=$A80)*
  (desp[data.pagamento]&lt;EOMONTH($A80,0)+1)
)</f>
        <v>0</v>
      </c>
      <c r="CL80" s="166" cm="1">
        <f t="array" ref="CL80">SUMPRODUCT(
  IFERROR(--desp[valor],0)*
  (desp[nucleo]="UP ESTAÇÃO VILA SONIA")*
  (desp[categoria]=CL$7)*
  (desp[data.pagamento]&gt;=$A80)*
  (desp[data.pagamento]&lt;EOMONTH($A80,0)+1)
)</f>
        <v>0</v>
      </c>
      <c r="CM80" s="166" cm="1">
        <f t="array" ref="CM80">SUMPRODUCT(
  IFERROR(--desp[valor],0)*
  (desp[nucleo]="UP ESTAÇÃO VILA SONIA")*
  (desp[categoria]=CM$7)*
  (desp[data.pagamento]&gt;=$A80)*
  (desp[data.pagamento]&lt;EOMONTH($A80,0)+1)
)</f>
        <v>0</v>
      </c>
      <c r="CN80" s="177">
        <f>COUNTIFS(
    estq[empresa], CN$6,
    estq[Data da venda / reserva], "&gt;=" &amp; $A80,
    estq[Data da venda / reserva], "&lt;"  &amp; EOMONTH($A80,0) + 1
)</f>
        <v>0</v>
      </c>
      <c r="CO80" s="178">
        <f ca="1">SUMIFS(rec.uni[2027-06-01],
INDIRECT("rec.uni[natureza]"),"pro.soluto",
INDIRECT("rec.uni[empresa]"),CO$6)</f>
        <v>0</v>
      </c>
      <c r="CP80" s="178">
        <f ca="1">SUMIFS(rec.uni[2027-06-01],
INDIRECT("rec.uni[natureza]"),"repasse.cef.obra",
INDIRECT("rec.uni[empresa]"),CP$6)</f>
        <v>0</v>
      </c>
      <c r="CQ80" s="181">
        <f ca="1">SUMIFS(rec.uni[2027-06-01],
INDIRECT("rec.uni[natureza]"),"repasse.cef.terreno",
INDIRECT("rec.uni[empresa]"),CQ$6)</f>
        <v>0</v>
      </c>
      <c r="CR80" s="182"/>
      <c r="CS80" s="178">
        <f ca="1">SUMIFS(rec.uni[2027-06-01],
INDIRECT("rec.uni[natureza]"),"taxa.extra",
INDIRECT("rec.uni[empresa]"),CS$6)</f>
        <v>0</v>
      </c>
      <c r="CT80" s="166"/>
      <c r="CU80" s="166" cm="1">
        <f t="array" ref="CU80">SUMPRODUCT(
  IFERROR(--desp[valor],0)*
  (desp[nucleo]="UP MOVE VILA SONIA")*
  (desp[categoria]=CU$7)*
  (desp[data.pagamento]&gt;=$A80)*
  (desp[data.pagamento]&lt;EOMONTH($A80,0)+1)
)</f>
        <v>0</v>
      </c>
      <c r="CV80" s="166" cm="1">
        <f t="array" ref="CV80">SUMPRODUCT(
  IFERROR(--desp[valor],0)*
  (desp[nucleo]="UP MOVE VILA SONIA")*
  (desp[categoria]=CV$7)*
  (desp[data.pagamento]&gt;=$A80)*
  (desp[data.pagamento]&lt;EOMONTH($A80,0)+1)
)</f>
        <v>0</v>
      </c>
      <c r="CW80" s="166" cm="1">
        <f t="array" ref="CW80">SUMPRODUCT(
  IFERROR(--desp[valor],0)*
  (desp[nucleo]="UP MOVE VILA SONIA")*
  (desp[categoria]=CW$7)*
  (desp[data.pagamento]&gt;=$A80)*
  (desp[data.pagamento]&lt;EOMONTH($A80,0)+1)
)</f>
        <v>0</v>
      </c>
      <c r="CX80" s="166" cm="1">
        <f t="array" ref="CX80">SUMPRODUCT(
  IFERROR(--desp[valor],0)*
  (desp[nucleo]="UP MOVE VILA SONIA")*
  (desp[categoria]=CX$7)*
  (desp[data.pagamento]&gt;=$A80)*
  (desp[data.pagamento]&lt;EOMONTH($A80,0)+1)
)</f>
        <v>0</v>
      </c>
      <c r="CY80" s="291" cm="1">
        <f t="array" ref="CY80">SUMPRODUCT(
  IFERROR(--desp[valor],0)*
  (desp[nucleo]="UP MOVE VILA SONIA")*
  (desp[categoria]=CY$7)*
  (desp[data.pagamento]&gt;=$A80)*
  (desp[data.pagamento]&lt;EOMONTH($A80,0)+1)
)</f>
        <v>0</v>
      </c>
    </row>
    <row r="81" spans="1:103" x14ac:dyDescent="0.25">
      <c r="A81" s="176">
        <v>46569</v>
      </c>
      <c r="B81" s="177">
        <f>COUNTIFS(
    estq[empresa], B$6,
    estq[Data da venda / reserva], "&gt;=" &amp; $A81,
    estq[Data da venda / reserva], "&lt;"  &amp; EOMONTH($A81,0) + 1
)</f>
        <v>0</v>
      </c>
      <c r="C81" s="178">
        <f ca="1">SUMIFS(rec.uni[2027-07-01],
INDIRECT("rec.uni[natureza]"),"pro.soluto",
INDIRECT("rec.uni[empresa]"),C$6)</f>
        <v>0</v>
      </c>
      <c r="D81" s="178">
        <f ca="1">SUMIFS(rec.uni[2027-07-01],
INDIRECT("rec.uni[natureza]"),"repasse.cef.obra",
INDIRECT("rec.uni[empresa]"),D$6)</f>
        <v>0</v>
      </c>
      <c r="E81" s="178">
        <f ca="1">SUMIFS(rec.uni[2027-07-01],
INDIRECT("rec.uni[natureza]"),"repasse.cef.terreno",
INDIRECT("rec.uni[empresa]"),E$6)</f>
        <v>0</v>
      </c>
      <c r="F81" s="182"/>
      <c r="G81" s="178">
        <f ca="1">SUMIFS(rec.uni[2027-07-01],
INDIRECT("rec.uni[natureza]"),"taxa.extra",
INDIRECT("rec.uni[empresa]"),G$6)</f>
        <v>0</v>
      </c>
      <c r="H81" s="166"/>
      <c r="I81" s="166" cm="1">
        <f t="array" ref="I81">SUMPRODUCT(
  IFERROR(--desp[valor],0)*
  (desp[nucleo]="UP JARDIM PRUDENCIA")*
  (desp[categoria]=I$7)*
  (desp[data.pagamento]&gt;=$A81)*
  (desp[data.pagamento]&lt;EOMONTH($A81,0)+1)
)</f>
        <v>0</v>
      </c>
      <c r="J81" s="166" cm="1">
        <f t="array" ref="J81">SUMPRODUCT(
  IFERROR(--desp[valor],0)*
  (desp[nucleo]="UP JARDIM PRUDENCIA")*
  (desp[categoria]=J$7)*
  (desp[data.pagamento]&gt;=$A81)*
  (desp[data.pagamento]&lt;EOMONTH($A81,0)+1)
)</f>
        <v>0</v>
      </c>
      <c r="K81" s="166" cm="1">
        <f t="array" ref="K81">SUMPRODUCT(
  IFERROR(--desp[valor],0)*
  (desp[nucleo]="UP JARDIM PRUDENCIA")*
  (desp[categoria]=K$7)*
  (desp[data.pagamento]&gt;=$A81)*
  (desp[data.pagamento]&lt;EOMONTH($A81,0)+1)
)</f>
        <v>0</v>
      </c>
      <c r="L81" s="166" cm="1">
        <f t="array" ref="L81">SUMPRODUCT(
  IFERROR(--desp[valor],0)*
  (desp[nucleo]="UP JARDIM PRUDENCIA")*
  (desp[categoria]=L$7)*
  (desp[data.pagamento]&gt;=$A81)*
  (desp[data.pagamento]&lt;EOMONTH($A81,0)+1)
)</f>
        <v>0</v>
      </c>
      <c r="M81" s="166" cm="1">
        <f t="array" ref="M81">SUMPRODUCT(
  IFERROR(--desp[valor],0)*
  (desp[nucleo]="UP JARDIM PRUDENCIA")*
  (desp[categoria]=M$7)*
  (desp[data.pagamento]&gt;=$A81)*
  (desp[data.pagamento]&lt;EOMONTH($A81,0)+1)
)</f>
        <v>0</v>
      </c>
      <c r="N81" s="177">
        <f>COUNTIFS(
    estq[empresa], N$6,
    estq[Data da venda / reserva], "&gt;=" &amp; $A81,
    estq[Data da venda / reserva], "&lt;"  &amp; EOMONTH($A81,0) + 1
)</f>
        <v>0</v>
      </c>
      <c r="O81" s="178">
        <f ca="1">SUMIFS(rec.uni[2027-07-01],
INDIRECT("rec.uni[natureza]"),"pro.soluto",
INDIRECT("rec.uni[empresa]"),O$6)</f>
        <v>0</v>
      </c>
      <c r="P81" s="178">
        <f ca="1">SUMIFS(rec.uni[2027-07-01],
INDIRECT("rec.uni[natureza]"),"repasse.cef.obra",
INDIRECT("rec.uni[empresa]"),P$6)</f>
        <v>0</v>
      </c>
      <c r="Q81" s="178">
        <f ca="1">SUMIFS(rec.uni[2027-07-01],
INDIRECT("rec.uni[natureza]"),"repasse.cef.terreno",
INDIRECT("rec.uni[empresa]"),Q$6)</f>
        <v>0</v>
      </c>
      <c r="R81" s="182"/>
      <c r="S81" s="178">
        <f ca="1">SUMIFS(rec.uni[2027-07-01],
INDIRECT("rec.uni[natureza]"),"taxa.extra",
INDIRECT("rec.uni[empresa]"),S$6)</f>
        <v>0</v>
      </c>
      <c r="T81" s="166"/>
      <c r="U81" s="166" cm="1">
        <f t="array" ref="U81">SUMPRODUCT(
  IFERROR(--desp[valor],0)*
  (desp[nucleo]="UP VILA SONIA")*
  (desp[categoria]=U$7)*
  (desp[data.pagamento]&gt;=$A81)*
  (desp[data.pagamento]&lt;EOMONTH($A81,0)+1)
)</f>
        <v>0</v>
      </c>
      <c r="V81" s="166" cm="1">
        <f t="array" ref="V81">SUMPRODUCT(
  IFERROR(--desp[valor],0)*
  (desp[nucleo]="UP VILA SONIA")*
  (desp[categoria]=V$7)*
  (desp[data.pagamento]&gt;=$A81)*
  (desp[data.pagamento]&lt;EOMONTH($A81,0)+1)
)</f>
        <v>0</v>
      </c>
      <c r="W81" s="166" cm="1">
        <f t="array" ref="W81">SUMPRODUCT(
  IFERROR(--desp[valor],0)*
  (desp[nucleo]="UP VILA SONIA")*
  (desp[categoria]=W$7)*
  (desp[data.pagamento]&gt;=$A81)*
  (desp[data.pagamento]&lt;EOMONTH($A81,0)+1)
)</f>
        <v>0</v>
      </c>
      <c r="X81" s="166" cm="1">
        <f t="array" ref="X81">SUMPRODUCT(
  IFERROR(--desp[valor],0)*
  (desp[nucleo]="UP VILA SONIA")*
  (desp[categoria]=X$7)*
  (desp[data.pagamento]&gt;=$A81)*
  (desp[data.pagamento]&lt;EOMONTH($A81,0)+1)
)</f>
        <v>0</v>
      </c>
      <c r="Y81" s="166" cm="1">
        <f t="array" ref="Y81">SUMPRODUCT(
  IFERROR(--desp[valor],0)*
  (desp[nucleo]="UP VILA SONIA")*
  (desp[categoria]=Y$7)*
  (desp[data.pagamento]&gt;=$A81)*
  (desp[data.pagamento]&lt;EOMONTH($A81,0)+1)
)</f>
        <v>0</v>
      </c>
      <c r="Z81" s="177">
        <f>COUNTIFS(
    estq[empresa], Z$6,
    estq[Data da venda / reserva], "&gt;=" &amp; $A81,
    estq[Data da venda / reserva], "&lt;"  &amp; EOMONTH($A81,0) + 1
)</f>
        <v>0</v>
      </c>
      <c r="AA81" s="178">
        <f ca="1">SUMIFS(rec.uni[2027-07-01],
INDIRECT("rec.uni[natureza]"),"pro.soluto",
INDIRECT("rec.uni[empresa]"),AA$6)</f>
        <v>0</v>
      </c>
      <c r="AB81" s="182">
        <f ca="1">SUMIFS(rec.uni[2027-07-01],
INDIRECT("rec.uni[natureza]"),"parcela.fin.total.ik",
INDIRECT("rec.uni[empresa]"),AB$6)</f>
        <v>0</v>
      </c>
      <c r="AC81" s="178">
        <f ca="1">SUMIFS(rec.uni[2027-07-01],
INDIRECT("rec.uni[natureza]"),"taxa.extra",
INDIRECT("rec.uni[empresa]"),AC$6)</f>
        <v>0</v>
      </c>
      <c r="AD81" s="166"/>
      <c r="AE81" s="166" cm="1">
        <f t="array" ref="AE81">SUMPRODUCT(
  IFERROR(--desp[valor],0)*
  (desp[nucleo]="UP CAMPO BELO")*
  (desp[categoria]=AE$7)*
  (desp[data.pagamento]&gt;=$A81)*
  (desp[data.pagamento]&lt;EOMONTH($A81,0)+1)
)</f>
        <v>0</v>
      </c>
      <c r="AF81" s="166" cm="1">
        <f t="array" ref="AF81">SUMPRODUCT(
  IFERROR(--desp[valor],0)*
  (desp[nucleo]="UP CAMPO BELO")*
  (desp[categoria]=AF$7)*
  (desp[data.pagamento]&gt;=$A81)*
  (desp[data.pagamento]&lt;EOMONTH($A81,0)+1)
)</f>
        <v>0</v>
      </c>
      <c r="AG81" s="166" cm="1">
        <f t="array" ref="AG81">SUMPRODUCT(
  IFERROR(--desp[valor],0)*
  (desp[nucleo]="UP CAMPO BELO")*
  (desp[categoria]=AG$7)*
  (desp[data.pagamento]&gt;=$A81)*
  (desp[data.pagamento]&lt;EOMONTH($A81,0)+1)
)</f>
        <v>0</v>
      </c>
      <c r="AH81" s="166" cm="1">
        <f t="array" ref="AH81">SUMPRODUCT(
  IFERROR(--desp[valor],0)*
  (desp[nucleo]="UP CAMPO BELO")*
  (desp[categoria]=AH$7)*
  (desp[data.pagamento]&gt;=$A81)*
  (desp[data.pagamento]&lt;EOMONTH($A81,0)+1)
)</f>
        <v>0</v>
      </c>
      <c r="AI81" s="166" cm="1">
        <f t="array" ref="AI81">SUMPRODUCT(
  IFERROR(--desp[valor],0)*
  (desp[nucleo]="UP CAMPO BELO")*
  (desp[categoria]=AI$7)*
  (desp[data.pagamento]&gt;=$A81)*
  (desp[data.pagamento]&lt;EOMONTH($A81,0)+1)
)</f>
        <v>0</v>
      </c>
      <c r="AJ81" s="177">
        <f>COUNTIFS(
    estq[empresa], AJ$6,
    estq[Data da venda / reserva], "&gt;=" &amp; $A81,
    estq[Data da venda / reserva], "&lt;"  &amp; EOMONTH($A81,0) + 1
)</f>
        <v>0</v>
      </c>
      <c r="AK81" s="178">
        <f ca="1">SUMIFS(rec.uni[2027-07-01],
INDIRECT("rec.uni[natureza]"),"pro.soluto",
INDIRECT("rec.uni[empresa]"),AK$6)</f>
        <v>0</v>
      </c>
      <c r="AL81" s="178">
        <f ca="1">SUMIFS(rec.uni[2027-07-01],
INDIRECT("rec.uni[natureza]"),"repasse.cef.obra",
INDIRECT("rec.uni[empresa]"),AL$6)</f>
        <v>0</v>
      </c>
      <c r="AM81" s="181">
        <f ca="1">SUMIFS(rec.uni[2027-07-01],
INDIRECT("rec.uni[natureza]"),"repasse.cef.terreno",
INDIRECT("rec.uni[empresa]"),AM$6)</f>
        <v>0</v>
      </c>
      <c r="AN81" s="182"/>
      <c r="AO81" s="178">
        <f ca="1">SUMIFS(rec.uni[2027-07-01],
INDIRECT("rec.uni[natureza]"),"taxa.extra",
INDIRECT("rec.uni[empresa]"),AO$6)</f>
        <v>0</v>
      </c>
      <c r="AP81" s="166"/>
      <c r="AQ81" s="166" cm="1">
        <f t="array" ref="AQ81">SUMPRODUCT(
  IFERROR(--desp[valor],0)*
  (desp[nucleo]="UP SELECT VILA SONIA")*
  (desp[categoria]=AQ$7)*
  (desp[data.pagamento]&gt;=$A81)*
  (desp[data.pagamento]&lt;EOMONTH($A81,0)+1)
)</f>
        <v>0</v>
      </c>
      <c r="AR81" s="166" cm="1">
        <f t="array" ref="AR81">SUMPRODUCT(
  IFERROR(--desp[valor],0)*
  (desp[nucleo]="UP SELECT VILA SONIA")*
  (desp[categoria]=AR$7)*
  (desp[data.pagamento]&gt;=$A81)*
  (desp[data.pagamento]&lt;EOMONTH($A81,0)+1)
)</f>
        <v>0</v>
      </c>
      <c r="AS81" s="166" cm="1">
        <f t="array" ref="AS81">SUMPRODUCT(
  IFERROR(--desp[valor],0)*
  (desp[nucleo]="UP SELECT VILA SONIA")*
  (desp[categoria]=AS$7)*
  (desp[data.pagamento]&gt;=$A81)*
  (desp[data.pagamento]&lt;EOMONTH($A81,0)+1)
)</f>
        <v>0</v>
      </c>
      <c r="AT81" s="166" cm="1">
        <f t="array" ref="AT81">SUMPRODUCT(
  IFERROR(--desp[valor],0)*
  (desp[nucleo]="UP SELECT VILA SONIA")*
  (desp[categoria]=AT$7)*
  (desp[data.pagamento]&gt;=$A81)*
  (desp[data.pagamento]&lt;EOMONTH($A81,0)+1)
)</f>
        <v>0</v>
      </c>
      <c r="AU81" s="166" cm="1">
        <f t="array" ref="AU81">SUMPRODUCT(
  IFERROR(--desp[valor],0)*
  (desp[nucleo]="UP SELECT VILA SONIA")*
  (desp[categoria]=AU$7)*
  (desp[data.pagamento]&gt;=$A81)*
  (desp[data.pagamento]&lt;EOMONTH($A81,0)+1)
)</f>
        <v>0</v>
      </c>
      <c r="AV81" s="177">
        <f>COUNTIFS(
    estq[empresa], AV$6,
    estq[Data da venda / reserva], "&gt;=" &amp; $A81,
    estq[Data da venda / reserva], "&lt;"  &amp; EOMONTH($A81,0) + 1
)</f>
        <v>0</v>
      </c>
      <c r="AW81" s="178">
        <f ca="1">SUMIFS(rec.uni[2027-07-01],
INDIRECT("rec.uni[natureza]"),"pro.soluto",
INDIRECT("rec.uni[empresa]"),AW$6)</f>
        <v>0</v>
      </c>
      <c r="AX81" s="178">
        <f ca="1">SUMIFS(rec.uni[2027-07-01],
INDIRECT("rec.uni[natureza]"),"repasse.cef.obra",
INDIRECT("rec.uni[empresa]"),AX$6)</f>
        <v>0</v>
      </c>
      <c r="AY81" s="181">
        <f ca="1">SUMIFS(rec.uni[2027-07-01],
INDIRECT("rec.uni[natureza]"),"repasse.cef.terreno",
INDIRECT("rec.uni[empresa]"),AY$6)</f>
        <v>0</v>
      </c>
      <c r="AZ81" s="182"/>
      <c r="BA81" s="178">
        <f ca="1">SUMIFS(rec.uni[2027-07-01],
INDIRECT("rec.uni[natureza]"),"taxa.extra",
INDIRECT("rec.uni[empresa]"),BA$6)</f>
        <v>0</v>
      </c>
      <c r="BB81" s="166"/>
      <c r="BC81" s="166" cm="1">
        <f t="array" ref="BC81">SUMPRODUCT(
  IFERROR(--desp[valor],0)*
  (desp[nucleo]="UP ESTAÇÃO SÃO LUCAS")*
  (desp[categoria]=BC$7)*
  (desp[data.pagamento]&gt;=$A81)*
  (desp[data.pagamento]&lt;EOMONTH($A81,0)+1)
)</f>
        <v>0</v>
      </c>
      <c r="BD81" s="166" cm="1">
        <f t="array" ref="BD81">SUMPRODUCT(
  IFERROR(--desp[valor],0)*
  (desp[nucleo]="UP ESTAÇÃO SÃO LUCAS")*
  (desp[categoria]=BD$7)*
  (desp[data.pagamento]&gt;=$A81)*
  (desp[data.pagamento]&lt;EOMONTH($A81,0)+1)
)</f>
        <v>0</v>
      </c>
      <c r="BE81" s="166" cm="1">
        <f t="array" ref="BE81">SUMPRODUCT(
  IFERROR(--desp[valor],0)*
  (desp[nucleo]="UP ESTAÇÃO SÃO LUCAS")*
  (desp[categoria]=BE$7)*
  (desp[data.pagamento]&gt;=$A81)*
  (desp[data.pagamento]&lt;EOMONTH($A81,0)+1)
)</f>
        <v>0</v>
      </c>
      <c r="BF81" s="166" cm="1">
        <f t="array" ref="BF81">SUMPRODUCT(
  IFERROR(--desp[valor],0)*
  (desp[nucleo]="UP ESTAÇÃO SÃO LUCAS")*
  (desp[categoria]=BF$7)*
  (desp[data.pagamento]&gt;=$A81)*
  (desp[data.pagamento]&lt;EOMONTH($A81,0)+1)
)</f>
        <v>0</v>
      </c>
      <c r="BG81" s="166" cm="1">
        <f t="array" ref="BG81">SUMPRODUCT(
  IFERROR(--desp[valor],0)*
  (desp[nucleo]="UP ESTAÇÃO SÃO LUCAS")*
  (desp[categoria]=BG$7)*
  (desp[data.pagamento]&gt;=$A81)*
  (desp[data.pagamento]&lt;EOMONTH($A81,0)+1)
)</f>
        <v>0</v>
      </c>
      <c r="BH81" s="177">
        <f>COUNTIFS(
    estq[empresa], BH$6,
    estq[Data da venda / reserva], "&gt;=" &amp; $A81,
    estq[Data da venda / reserva], "&lt;"  &amp; EOMONTH($A81,0) + 1
)</f>
        <v>0</v>
      </c>
      <c r="BI81" s="178">
        <f ca="1">SUMIFS(rec.uni[2027-07-01],
INDIRECT("rec.uni[natureza]"),"pro.soluto",
INDIRECT("rec.uni[empresa]"),BI$6)</f>
        <v>0</v>
      </c>
      <c r="BJ81" s="182">
        <f ca="1">SUMIFS(rec.uni[2027-07-01],
INDIRECT("rec.uni[natureza]"),"parcela.fin.total.ik",
INDIRECT("rec.uni[empresa]"),BJ$6)</f>
        <v>0</v>
      </c>
      <c r="BK81" s="178">
        <f ca="1">SUMIFS(rec.uni[2027-07-01],
INDIRECT("rec.uni[natureza]"),"taxa.extra",
INDIRECT("rec.uni[empresa]"),BK$6)</f>
        <v>0</v>
      </c>
      <c r="BL81" s="166"/>
      <c r="BM81" s="166" cm="1">
        <f t="array" ref="BM81">SUMPRODUCT(
  IFERROR(--desp[valor],0)*
  (desp[nucleo]="UP POMPEIA")*
  (desp[categoria]=BM$7)*
  (desp[data.pagamento]&gt;=$A81)*
  (desp[data.pagamento]&lt;EOMONTH($A81,0)+1)
)</f>
        <v>0</v>
      </c>
      <c r="BN81" s="166" cm="1">
        <f t="array" ref="BN81">SUMPRODUCT(
  IFERROR(--desp[valor],0)*
  (desp[nucleo]="UP POMPEIA")*
  (desp[categoria]=BN$7)*
  (desp[data.pagamento]&gt;=$A81)*
  (desp[data.pagamento]&lt;EOMONTH($A81,0)+1)
)</f>
        <v>0</v>
      </c>
      <c r="BO81" s="166" cm="1">
        <f t="array" ref="BO81">SUMPRODUCT(
  IFERROR(--desp[valor],0)*
  (desp[nucleo]="UP POMPEIA")*
  (desp[categoria]=BO$7)*
  (desp[data.pagamento]&gt;=$A81)*
  (desp[data.pagamento]&lt;EOMONTH($A81,0)+1)
)</f>
        <v>0</v>
      </c>
      <c r="BP81" s="166" cm="1">
        <f t="array" ref="BP81">SUMPRODUCT(
  IFERROR(--desp[valor],0)*
  (desp[nucleo]="UP POMPEIA")*
  (desp[categoria]=BP$7)*
  (desp[data.pagamento]&gt;=$A81)*
  (desp[data.pagamento]&lt;EOMONTH($A81,0)+1)
)</f>
        <v>0</v>
      </c>
      <c r="BQ81" s="166" cm="1">
        <f t="array" ref="BQ81">SUMPRODUCT(
  IFERROR(--desp[valor],0)*
  (desp[nucleo]="UP POMPEIA")*
  (desp[categoria]=BQ$7)*
  (desp[data.pagamento]&gt;=$A81)*
  (desp[data.pagamento]&lt;EOMONTH($A81,0)+1)
)</f>
        <v>0</v>
      </c>
      <c r="BR81" s="177">
        <f>COUNTIFS(
    estq[empresa], BR$6,
    estq[Data da venda / reserva], "&gt;=" &amp; $A81,
    estq[Data da venda / reserva], "&lt;"  &amp; EOMONTH($A81,0) + 1
)</f>
        <v>0</v>
      </c>
      <c r="BS81" s="178">
        <f ca="1">SUMIFS(rec.uni[2027-07-01],
INDIRECT("rec.uni[natureza]"),"pro.soluto",
INDIRECT("rec.uni[empresa]"),BS$6)</f>
        <v>0</v>
      </c>
      <c r="BT81" s="182">
        <f ca="1">SUMIFS(rec.uni[2027-07-01],
INDIRECT("rec.uni[natureza]"),"parcela.fin.total.ik",
INDIRECT("rec.uni[empresa]"),BT$6)</f>
        <v>0</v>
      </c>
      <c r="BU81" s="178">
        <f ca="1">SUMIFS(rec.uni[2027-07-01],
INDIRECT("rec.uni[natureza]"),"taxa.extra",
INDIRECT("rec.uni[empresa]"),BU$6)</f>
        <v>0</v>
      </c>
      <c r="BV81" s="166"/>
      <c r="BW81" s="166" cm="1">
        <f t="array" ref="BW81">SUMPRODUCT(
  IFERROR(--desp[valor],0)*
  (desp[nucleo]="UP SAUDE")*
  (desp[categoria]=BW$7)*
  (desp[data.pagamento]&gt;=$A81)*
  (desp[data.pagamento]&lt;EOMONTH($A81,0)+1)
)</f>
        <v>0</v>
      </c>
      <c r="BX81" s="166" cm="1">
        <f t="array" ref="BX81">SUMPRODUCT(
  IFERROR(--desp[valor],0)*
  (desp[nucleo]="UP SAUDE")*
  (desp[categoria]=BX$7)*
  (desp[data.pagamento]&gt;=$A81)*
  (desp[data.pagamento]&lt;EOMONTH($A81,0)+1)
)</f>
        <v>0</v>
      </c>
      <c r="BY81" s="166" cm="1">
        <f t="array" ref="BY81">SUMPRODUCT(
  IFERROR(--desp[valor],0)*
  (desp[nucleo]="UP SAUDE")*
  (desp[categoria]=BY$7)*
  (desp[data.pagamento]&gt;=$A81)*
  (desp[data.pagamento]&lt;EOMONTH($A81,0)+1)
)</f>
        <v>0</v>
      </c>
      <c r="BZ81" s="166" cm="1">
        <f t="array" ref="BZ81">SUMPRODUCT(
  IFERROR(--desp[valor],0)*
  (desp[nucleo]="UP SAUDE")*
  (desp[categoria]=BZ$7)*
  (desp[data.pagamento]&gt;=$A81)*
  (desp[data.pagamento]&lt;EOMONTH($A81,0)+1)
)</f>
        <v>0</v>
      </c>
      <c r="CA81" s="166" cm="1">
        <f t="array" ref="CA81">SUMPRODUCT(
  IFERROR(--desp[valor],0)*
  (desp[nucleo]="UP SAUDE")*
  (desp[categoria]=CA$7)*
  (desp[data.pagamento]&gt;=$A81)*
  (desp[data.pagamento]&lt;EOMONTH($A81,0)+1)
)</f>
        <v>0</v>
      </c>
      <c r="CB81" s="177">
        <f>COUNTIFS(
    estq[empresa], CB$6,
    estq[Data da venda / reserva], "&gt;=" &amp; $A81,
    estq[Data da venda / reserva], "&lt;"  &amp; EOMONTH($A81,0) + 1
)</f>
        <v>0</v>
      </c>
      <c r="CC81" s="178">
        <f ca="1">SUMIFS(rec.uni[2027-07-01],
INDIRECT("rec.uni[natureza]"),"pro.soluto",
INDIRECT("rec.uni[empresa]"),CC$6)</f>
        <v>0</v>
      </c>
      <c r="CD81" s="178">
        <f ca="1">SUMIFS(rec.uni[2027-07-01],
INDIRECT("rec.uni[natureza]"),"repasse.cef.obra",
INDIRECT("rec.uni[empresa]"),CD$6)</f>
        <v>0</v>
      </c>
      <c r="CE81" s="181">
        <f ca="1">SUMIFS(rec.uni[2027-07-01],
INDIRECT("rec.uni[natureza]"),"repasse.cef.terreno",
INDIRECT("rec.uni[empresa]"),CE$6)</f>
        <v>0</v>
      </c>
      <c r="CF81" s="182"/>
      <c r="CG81" s="178">
        <f ca="1">SUMIFS(rec.uni[2027-07-01],
INDIRECT("rec.uni[natureza]"),"taxa.extra",
INDIRECT("rec.uni[empresa]"),CG$6)</f>
        <v>0</v>
      </c>
      <c r="CH81" s="166"/>
      <c r="CI81" s="166" cm="1">
        <f t="array" ref="CI81">SUMPRODUCT(
  IFERROR(--desp[valor],0)*
  (desp[nucleo]="UP ESTAÇÃO VILA SONIA")*
  (desp[categoria]=CI$7)*
  (desp[data.pagamento]&gt;=$A81)*
  (desp[data.pagamento]&lt;EOMONTH($A81,0)+1)
)</f>
        <v>0</v>
      </c>
      <c r="CJ81" s="166" cm="1">
        <f t="array" ref="CJ81">SUMPRODUCT(
  IFERROR(--desp[valor],0)*
  (desp[nucleo]="UP ESTAÇÃO VILA SONIA")*
  (desp[categoria]=CJ$7)*
  (desp[data.pagamento]&gt;=$A81)*
  (desp[data.pagamento]&lt;EOMONTH($A81,0)+1)
)</f>
        <v>0</v>
      </c>
      <c r="CK81" s="166" cm="1">
        <f t="array" ref="CK81">SUMPRODUCT(
  IFERROR(--desp[valor],0)*
  (desp[nucleo]="UP ESTAÇÃO VILA SONIA")*
  (desp[categoria]=CK$7)*
  (desp[data.pagamento]&gt;=$A81)*
  (desp[data.pagamento]&lt;EOMONTH($A81,0)+1)
)</f>
        <v>0</v>
      </c>
      <c r="CL81" s="166" cm="1">
        <f t="array" ref="CL81">SUMPRODUCT(
  IFERROR(--desp[valor],0)*
  (desp[nucleo]="UP ESTAÇÃO VILA SONIA")*
  (desp[categoria]=CL$7)*
  (desp[data.pagamento]&gt;=$A81)*
  (desp[data.pagamento]&lt;EOMONTH($A81,0)+1)
)</f>
        <v>0</v>
      </c>
      <c r="CM81" s="166" cm="1">
        <f t="array" ref="CM81">SUMPRODUCT(
  IFERROR(--desp[valor],0)*
  (desp[nucleo]="UP ESTAÇÃO VILA SONIA")*
  (desp[categoria]=CM$7)*
  (desp[data.pagamento]&gt;=$A81)*
  (desp[data.pagamento]&lt;EOMONTH($A81,0)+1)
)</f>
        <v>0</v>
      </c>
      <c r="CN81" s="177">
        <f>COUNTIFS(
    estq[empresa], CN$6,
    estq[Data da venda / reserva], "&gt;=" &amp; $A81,
    estq[Data da venda / reserva], "&lt;"  &amp; EOMONTH($A81,0) + 1
)</f>
        <v>0</v>
      </c>
      <c r="CO81" s="178">
        <f ca="1">SUMIFS(rec.uni[2027-07-01],
INDIRECT("rec.uni[natureza]"),"pro.soluto",
INDIRECT("rec.uni[empresa]"),CO$6)</f>
        <v>0</v>
      </c>
      <c r="CP81" s="178">
        <f ca="1">SUMIFS(rec.uni[2027-07-01],
INDIRECT("rec.uni[natureza]"),"repasse.cef.obra",
INDIRECT("rec.uni[empresa]"),CP$6)</f>
        <v>0</v>
      </c>
      <c r="CQ81" s="181">
        <f ca="1">SUMIFS(rec.uni[2027-07-01],
INDIRECT("rec.uni[natureza]"),"repasse.cef.terreno",
INDIRECT("rec.uni[empresa]"),CQ$6)</f>
        <v>0</v>
      </c>
      <c r="CR81" s="182"/>
      <c r="CS81" s="178">
        <f ca="1">SUMIFS(rec.uni[2027-07-01],
INDIRECT("rec.uni[natureza]"),"taxa.extra",
INDIRECT("rec.uni[empresa]"),CS$6)</f>
        <v>0</v>
      </c>
      <c r="CT81" s="166"/>
      <c r="CU81" s="166" cm="1">
        <f t="array" ref="CU81">SUMPRODUCT(
  IFERROR(--desp[valor],0)*
  (desp[nucleo]="UP MOVE VILA SONIA")*
  (desp[categoria]=CU$7)*
  (desp[data.pagamento]&gt;=$A81)*
  (desp[data.pagamento]&lt;EOMONTH($A81,0)+1)
)</f>
        <v>0</v>
      </c>
      <c r="CV81" s="166" cm="1">
        <f t="array" ref="CV81">SUMPRODUCT(
  IFERROR(--desp[valor],0)*
  (desp[nucleo]="UP MOVE VILA SONIA")*
  (desp[categoria]=CV$7)*
  (desp[data.pagamento]&gt;=$A81)*
  (desp[data.pagamento]&lt;EOMONTH($A81,0)+1)
)</f>
        <v>0</v>
      </c>
      <c r="CW81" s="166" cm="1">
        <f t="array" ref="CW81">SUMPRODUCT(
  IFERROR(--desp[valor],0)*
  (desp[nucleo]="UP MOVE VILA SONIA")*
  (desp[categoria]=CW$7)*
  (desp[data.pagamento]&gt;=$A81)*
  (desp[data.pagamento]&lt;EOMONTH($A81,0)+1)
)</f>
        <v>0</v>
      </c>
      <c r="CX81" s="166" cm="1">
        <f t="array" ref="CX81">SUMPRODUCT(
  IFERROR(--desp[valor],0)*
  (desp[nucleo]="UP MOVE VILA SONIA")*
  (desp[categoria]=CX$7)*
  (desp[data.pagamento]&gt;=$A81)*
  (desp[data.pagamento]&lt;EOMONTH($A81,0)+1)
)</f>
        <v>0</v>
      </c>
      <c r="CY81" s="291" cm="1">
        <f t="array" ref="CY81">SUMPRODUCT(
  IFERROR(--desp[valor],0)*
  (desp[nucleo]="UP MOVE VILA SONIA")*
  (desp[categoria]=CY$7)*
  (desp[data.pagamento]&gt;=$A81)*
  (desp[data.pagamento]&lt;EOMONTH($A81,0)+1)
)</f>
        <v>0</v>
      </c>
    </row>
    <row r="82" spans="1:103" x14ac:dyDescent="0.25">
      <c r="A82" s="176">
        <v>46600</v>
      </c>
      <c r="B82" s="177">
        <f>COUNTIFS(
    estq[empresa], B$6,
    estq[Data da venda / reserva], "&gt;=" &amp; $A82,
    estq[Data da venda / reserva], "&lt;"  &amp; EOMONTH($A82,0) + 1
)</f>
        <v>0</v>
      </c>
      <c r="C82" s="178">
        <f ca="1">SUMIFS(rec.uni[2027-08-01],
INDIRECT("rec.uni[natureza]"),"pro.soluto",
INDIRECT("rec.uni[empresa]"),C$6)</f>
        <v>0</v>
      </c>
      <c r="D82" s="178">
        <f ca="1">SUMIFS(rec.uni[2027-08-01],
INDIRECT("rec.uni[natureza]"),"repasse.cef.obra",
INDIRECT("rec.uni[empresa]"),D$6)</f>
        <v>0</v>
      </c>
      <c r="E82" s="178">
        <f ca="1">SUMIFS(rec.uni[2027-08-01],
INDIRECT("rec.uni[natureza]"),"repasse.cef.terreno",
INDIRECT("rec.uni[empresa]"),E$6)</f>
        <v>0</v>
      </c>
      <c r="F82" s="182"/>
      <c r="G82" s="178">
        <f ca="1">SUMIFS(rec.uni[2027-08-01],
INDIRECT("rec.uni[natureza]"),"taxa.extra",
INDIRECT("rec.uni[empresa]"),G$6)</f>
        <v>0</v>
      </c>
      <c r="H82" s="166"/>
      <c r="I82" s="166" cm="1">
        <f t="array" ref="I82">SUMPRODUCT(
  IFERROR(--desp[valor],0)*
  (desp[nucleo]="UP JARDIM PRUDENCIA")*
  (desp[categoria]=I$7)*
  (desp[data.pagamento]&gt;=$A82)*
  (desp[data.pagamento]&lt;EOMONTH($A82,0)+1)
)</f>
        <v>0</v>
      </c>
      <c r="J82" s="166" cm="1">
        <f t="array" ref="J82">SUMPRODUCT(
  IFERROR(--desp[valor],0)*
  (desp[nucleo]="UP JARDIM PRUDENCIA")*
  (desp[categoria]=J$7)*
  (desp[data.pagamento]&gt;=$A82)*
  (desp[data.pagamento]&lt;EOMONTH($A82,0)+1)
)</f>
        <v>0</v>
      </c>
      <c r="K82" s="166" cm="1">
        <f t="array" ref="K82">SUMPRODUCT(
  IFERROR(--desp[valor],0)*
  (desp[nucleo]="UP JARDIM PRUDENCIA")*
  (desp[categoria]=K$7)*
  (desp[data.pagamento]&gt;=$A82)*
  (desp[data.pagamento]&lt;EOMONTH($A82,0)+1)
)</f>
        <v>0</v>
      </c>
      <c r="L82" s="166" cm="1">
        <f t="array" ref="L82">SUMPRODUCT(
  IFERROR(--desp[valor],0)*
  (desp[nucleo]="UP JARDIM PRUDENCIA")*
  (desp[categoria]=L$7)*
  (desp[data.pagamento]&gt;=$A82)*
  (desp[data.pagamento]&lt;EOMONTH($A82,0)+1)
)</f>
        <v>0</v>
      </c>
      <c r="M82" s="166" cm="1">
        <f t="array" ref="M82">SUMPRODUCT(
  IFERROR(--desp[valor],0)*
  (desp[nucleo]="UP JARDIM PRUDENCIA")*
  (desp[categoria]=M$7)*
  (desp[data.pagamento]&gt;=$A82)*
  (desp[data.pagamento]&lt;EOMONTH($A82,0)+1)
)</f>
        <v>0</v>
      </c>
      <c r="N82" s="177">
        <f>COUNTIFS(
    estq[empresa], N$6,
    estq[Data da venda / reserva], "&gt;=" &amp; $A82,
    estq[Data da venda / reserva], "&lt;"  &amp; EOMONTH($A82,0) + 1
)</f>
        <v>0</v>
      </c>
      <c r="O82" s="178">
        <f ca="1">SUMIFS(rec.uni[2027-08-01],
INDIRECT("rec.uni[natureza]"),"pro.soluto",
INDIRECT("rec.uni[empresa]"),O$6)</f>
        <v>0</v>
      </c>
      <c r="P82" s="178">
        <f ca="1">SUMIFS(rec.uni[2027-08-01],
INDIRECT("rec.uni[natureza]"),"repasse.cef.obra",
INDIRECT("rec.uni[empresa]"),P$6)</f>
        <v>0</v>
      </c>
      <c r="Q82" s="178">
        <f ca="1">SUMIFS(rec.uni[2027-08-01],
INDIRECT("rec.uni[natureza]"),"repasse.cef.terreno",
INDIRECT("rec.uni[empresa]"),Q$6)</f>
        <v>0</v>
      </c>
      <c r="R82" s="182"/>
      <c r="S82" s="178">
        <f ca="1">SUMIFS(rec.uni[2027-08-01],
INDIRECT("rec.uni[natureza]"),"taxa.extra",
INDIRECT("rec.uni[empresa]"),S$6)</f>
        <v>0</v>
      </c>
      <c r="T82" s="166"/>
      <c r="U82" s="166" cm="1">
        <f t="array" ref="U82">SUMPRODUCT(
  IFERROR(--desp[valor],0)*
  (desp[nucleo]="UP VILA SONIA")*
  (desp[categoria]=U$7)*
  (desp[data.pagamento]&gt;=$A82)*
  (desp[data.pagamento]&lt;EOMONTH($A82,0)+1)
)</f>
        <v>0</v>
      </c>
      <c r="V82" s="166" cm="1">
        <f t="array" ref="V82">SUMPRODUCT(
  IFERROR(--desp[valor],0)*
  (desp[nucleo]="UP VILA SONIA")*
  (desp[categoria]=V$7)*
  (desp[data.pagamento]&gt;=$A82)*
  (desp[data.pagamento]&lt;EOMONTH($A82,0)+1)
)</f>
        <v>0</v>
      </c>
      <c r="W82" s="166" cm="1">
        <f t="array" ref="W82">SUMPRODUCT(
  IFERROR(--desp[valor],0)*
  (desp[nucleo]="UP VILA SONIA")*
  (desp[categoria]=W$7)*
  (desp[data.pagamento]&gt;=$A82)*
  (desp[data.pagamento]&lt;EOMONTH($A82,0)+1)
)</f>
        <v>0</v>
      </c>
      <c r="X82" s="166" cm="1">
        <f t="array" ref="X82">SUMPRODUCT(
  IFERROR(--desp[valor],0)*
  (desp[nucleo]="UP VILA SONIA")*
  (desp[categoria]=X$7)*
  (desp[data.pagamento]&gt;=$A82)*
  (desp[data.pagamento]&lt;EOMONTH($A82,0)+1)
)</f>
        <v>0</v>
      </c>
      <c r="Y82" s="166" cm="1">
        <f t="array" ref="Y82">SUMPRODUCT(
  IFERROR(--desp[valor],0)*
  (desp[nucleo]="UP VILA SONIA")*
  (desp[categoria]=Y$7)*
  (desp[data.pagamento]&gt;=$A82)*
  (desp[data.pagamento]&lt;EOMONTH($A82,0)+1)
)</f>
        <v>0</v>
      </c>
      <c r="Z82" s="177">
        <f>COUNTIFS(
    estq[empresa], Z$6,
    estq[Data da venda / reserva], "&gt;=" &amp; $A82,
    estq[Data da venda / reserva], "&lt;"  &amp; EOMONTH($A82,0) + 1
)</f>
        <v>0</v>
      </c>
      <c r="AA82" s="178">
        <f ca="1">SUMIFS(rec.uni[2027-08-01],
INDIRECT("rec.uni[natureza]"),"pro.soluto",
INDIRECT("rec.uni[empresa]"),AA$6)</f>
        <v>0</v>
      </c>
      <c r="AB82" s="182">
        <f ca="1">SUMIFS(rec.uni[2027-08-01],
INDIRECT("rec.uni[natureza]"),"parcela.fin.total.ik",
INDIRECT("rec.uni[empresa]"),AB$6)</f>
        <v>0</v>
      </c>
      <c r="AC82" s="178">
        <f ca="1">SUMIFS(rec.uni[2027-08-01],
INDIRECT("rec.uni[natureza]"),"taxa.extra",
INDIRECT("rec.uni[empresa]"),AC$6)</f>
        <v>0</v>
      </c>
      <c r="AD82" s="166"/>
      <c r="AE82" s="166" cm="1">
        <f t="array" ref="AE82">SUMPRODUCT(
  IFERROR(--desp[valor],0)*
  (desp[nucleo]="UP CAMPO BELO")*
  (desp[categoria]=AE$7)*
  (desp[data.pagamento]&gt;=$A82)*
  (desp[data.pagamento]&lt;EOMONTH($A82,0)+1)
)</f>
        <v>0</v>
      </c>
      <c r="AF82" s="166" cm="1">
        <f t="array" ref="AF82">SUMPRODUCT(
  IFERROR(--desp[valor],0)*
  (desp[nucleo]="UP CAMPO BELO")*
  (desp[categoria]=AF$7)*
  (desp[data.pagamento]&gt;=$A82)*
  (desp[data.pagamento]&lt;EOMONTH($A82,0)+1)
)</f>
        <v>0</v>
      </c>
      <c r="AG82" s="166" cm="1">
        <f t="array" ref="AG82">SUMPRODUCT(
  IFERROR(--desp[valor],0)*
  (desp[nucleo]="UP CAMPO BELO")*
  (desp[categoria]=AG$7)*
  (desp[data.pagamento]&gt;=$A82)*
  (desp[data.pagamento]&lt;EOMONTH($A82,0)+1)
)</f>
        <v>0</v>
      </c>
      <c r="AH82" s="166" cm="1">
        <f t="array" ref="AH82">SUMPRODUCT(
  IFERROR(--desp[valor],0)*
  (desp[nucleo]="UP CAMPO BELO")*
  (desp[categoria]=AH$7)*
  (desp[data.pagamento]&gt;=$A82)*
  (desp[data.pagamento]&lt;EOMONTH($A82,0)+1)
)</f>
        <v>0</v>
      </c>
      <c r="AI82" s="166" cm="1">
        <f t="array" ref="AI82">SUMPRODUCT(
  IFERROR(--desp[valor],0)*
  (desp[nucleo]="UP CAMPO BELO")*
  (desp[categoria]=AI$7)*
  (desp[data.pagamento]&gt;=$A82)*
  (desp[data.pagamento]&lt;EOMONTH($A82,0)+1)
)</f>
        <v>0</v>
      </c>
      <c r="AJ82" s="177">
        <f>COUNTIFS(
    estq[empresa], AJ$6,
    estq[Data da venda / reserva], "&gt;=" &amp; $A82,
    estq[Data da venda / reserva], "&lt;"  &amp; EOMONTH($A82,0) + 1
)</f>
        <v>0</v>
      </c>
      <c r="AK82" s="178">
        <f ca="1">SUMIFS(rec.uni[2027-08-01],
INDIRECT("rec.uni[natureza]"),"pro.soluto",
INDIRECT("rec.uni[empresa]"),AK$6)</f>
        <v>0</v>
      </c>
      <c r="AL82" s="178">
        <f ca="1">SUMIFS(rec.uni[2027-08-01],
INDIRECT("rec.uni[natureza]"),"repasse.cef.obra",
INDIRECT("rec.uni[empresa]"),AL$6)</f>
        <v>0</v>
      </c>
      <c r="AM82" s="181">
        <f ca="1">SUMIFS(rec.uni[2027-08-01],
INDIRECT("rec.uni[natureza]"),"repasse.cef.terreno",
INDIRECT("rec.uni[empresa]"),AM$6)</f>
        <v>0</v>
      </c>
      <c r="AN82" s="182"/>
      <c r="AO82" s="178">
        <f ca="1">SUMIFS(rec.uni[2027-08-01],
INDIRECT("rec.uni[natureza]"),"taxa.extra",
INDIRECT("rec.uni[empresa]"),AO$6)</f>
        <v>0</v>
      </c>
      <c r="AP82" s="166"/>
      <c r="AQ82" s="166" cm="1">
        <f t="array" ref="AQ82">SUMPRODUCT(
  IFERROR(--desp[valor],0)*
  (desp[nucleo]="UP SELECT VILA SONIA")*
  (desp[categoria]=AQ$7)*
  (desp[data.pagamento]&gt;=$A82)*
  (desp[data.pagamento]&lt;EOMONTH($A82,0)+1)
)</f>
        <v>0</v>
      </c>
      <c r="AR82" s="166" cm="1">
        <f t="array" ref="AR82">SUMPRODUCT(
  IFERROR(--desp[valor],0)*
  (desp[nucleo]="UP SELECT VILA SONIA")*
  (desp[categoria]=AR$7)*
  (desp[data.pagamento]&gt;=$A82)*
  (desp[data.pagamento]&lt;EOMONTH($A82,0)+1)
)</f>
        <v>0</v>
      </c>
      <c r="AS82" s="166" cm="1">
        <f t="array" ref="AS82">SUMPRODUCT(
  IFERROR(--desp[valor],0)*
  (desp[nucleo]="UP SELECT VILA SONIA")*
  (desp[categoria]=AS$7)*
  (desp[data.pagamento]&gt;=$A82)*
  (desp[data.pagamento]&lt;EOMONTH($A82,0)+1)
)</f>
        <v>0</v>
      </c>
      <c r="AT82" s="166" cm="1">
        <f t="array" ref="AT82">SUMPRODUCT(
  IFERROR(--desp[valor],0)*
  (desp[nucleo]="UP SELECT VILA SONIA")*
  (desp[categoria]=AT$7)*
  (desp[data.pagamento]&gt;=$A82)*
  (desp[data.pagamento]&lt;EOMONTH($A82,0)+1)
)</f>
        <v>0</v>
      </c>
      <c r="AU82" s="166" cm="1">
        <f t="array" ref="AU82">SUMPRODUCT(
  IFERROR(--desp[valor],0)*
  (desp[nucleo]="UP SELECT VILA SONIA")*
  (desp[categoria]=AU$7)*
  (desp[data.pagamento]&gt;=$A82)*
  (desp[data.pagamento]&lt;EOMONTH($A82,0)+1)
)</f>
        <v>0</v>
      </c>
      <c r="AV82" s="177">
        <f>COUNTIFS(
    estq[empresa], AV$6,
    estq[Data da venda / reserva], "&gt;=" &amp; $A82,
    estq[Data da venda / reserva], "&lt;"  &amp; EOMONTH($A82,0) + 1
)</f>
        <v>0</v>
      </c>
      <c r="AW82" s="178">
        <f ca="1">SUMIFS(rec.uni[2027-08-01],
INDIRECT("rec.uni[natureza]"),"pro.soluto",
INDIRECT("rec.uni[empresa]"),AW$6)</f>
        <v>0</v>
      </c>
      <c r="AX82" s="178">
        <f ca="1">SUMIFS(rec.uni[2027-08-01],
INDIRECT("rec.uni[natureza]"),"repasse.cef.obra",
INDIRECT("rec.uni[empresa]"),AX$6)</f>
        <v>0</v>
      </c>
      <c r="AY82" s="181">
        <f ca="1">SUMIFS(rec.uni[2027-08-01],
INDIRECT("rec.uni[natureza]"),"repasse.cef.terreno",
INDIRECT("rec.uni[empresa]"),AY$6)</f>
        <v>0</v>
      </c>
      <c r="AZ82" s="182"/>
      <c r="BA82" s="178">
        <f ca="1">SUMIFS(rec.uni[2027-08-01],
INDIRECT("rec.uni[natureza]"),"taxa.extra",
INDIRECT("rec.uni[empresa]"),BA$6)</f>
        <v>0</v>
      </c>
      <c r="BB82" s="166"/>
      <c r="BC82" s="166" cm="1">
        <f t="array" ref="BC82">SUMPRODUCT(
  IFERROR(--desp[valor],0)*
  (desp[nucleo]="UP ESTAÇÃO SÃO LUCAS")*
  (desp[categoria]=BC$7)*
  (desp[data.pagamento]&gt;=$A82)*
  (desp[data.pagamento]&lt;EOMONTH($A82,0)+1)
)</f>
        <v>0</v>
      </c>
      <c r="BD82" s="166" cm="1">
        <f t="array" ref="BD82">SUMPRODUCT(
  IFERROR(--desp[valor],0)*
  (desp[nucleo]="UP ESTAÇÃO SÃO LUCAS")*
  (desp[categoria]=BD$7)*
  (desp[data.pagamento]&gt;=$A82)*
  (desp[data.pagamento]&lt;EOMONTH($A82,0)+1)
)</f>
        <v>0</v>
      </c>
      <c r="BE82" s="166" cm="1">
        <f t="array" ref="BE82">SUMPRODUCT(
  IFERROR(--desp[valor],0)*
  (desp[nucleo]="UP ESTAÇÃO SÃO LUCAS")*
  (desp[categoria]=BE$7)*
  (desp[data.pagamento]&gt;=$A82)*
  (desp[data.pagamento]&lt;EOMONTH($A82,0)+1)
)</f>
        <v>0</v>
      </c>
      <c r="BF82" s="166" cm="1">
        <f t="array" ref="BF82">SUMPRODUCT(
  IFERROR(--desp[valor],0)*
  (desp[nucleo]="UP ESTAÇÃO SÃO LUCAS")*
  (desp[categoria]=BF$7)*
  (desp[data.pagamento]&gt;=$A82)*
  (desp[data.pagamento]&lt;EOMONTH($A82,0)+1)
)</f>
        <v>0</v>
      </c>
      <c r="BG82" s="166" cm="1">
        <f t="array" ref="BG82">SUMPRODUCT(
  IFERROR(--desp[valor],0)*
  (desp[nucleo]="UP ESTAÇÃO SÃO LUCAS")*
  (desp[categoria]=BG$7)*
  (desp[data.pagamento]&gt;=$A82)*
  (desp[data.pagamento]&lt;EOMONTH($A82,0)+1)
)</f>
        <v>0</v>
      </c>
      <c r="BH82" s="177">
        <f>COUNTIFS(
    estq[empresa], BH$6,
    estq[Data da venda / reserva], "&gt;=" &amp; $A82,
    estq[Data da venda / reserva], "&lt;"  &amp; EOMONTH($A82,0) + 1
)</f>
        <v>0</v>
      </c>
      <c r="BI82" s="178">
        <f ca="1">SUMIFS(rec.uni[2027-08-01],
INDIRECT("rec.uni[natureza]"),"pro.soluto",
INDIRECT("rec.uni[empresa]"),BI$6)</f>
        <v>0</v>
      </c>
      <c r="BJ82" s="182">
        <f ca="1">SUMIFS(rec.uni[2027-08-01],
INDIRECT("rec.uni[natureza]"),"parcela.fin.total.ik",
INDIRECT("rec.uni[empresa]"),BJ$6)</f>
        <v>0</v>
      </c>
      <c r="BK82" s="178">
        <f ca="1">SUMIFS(rec.uni[2027-08-01],
INDIRECT("rec.uni[natureza]"),"taxa.extra",
INDIRECT("rec.uni[empresa]"),BK$6)</f>
        <v>0</v>
      </c>
      <c r="BL82" s="166"/>
      <c r="BM82" s="166" cm="1">
        <f t="array" ref="BM82">SUMPRODUCT(
  IFERROR(--desp[valor],0)*
  (desp[nucleo]="UP POMPEIA")*
  (desp[categoria]=BM$7)*
  (desp[data.pagamento]&gt;=$A82)*
  (desp[data.pagamento]&lt;EOMONTH($A82,0)+1)
)</f>
        <v>0</v>
      </c>
      <c r="BN82" s="166" cm="1">
        <f t="array" ref="BN82">SUMPRODUCT(
  IFERROR(--desp[valor],0)*
  (desp[nucleo]="UP POMPEIA")*
  (desp[categoria]=BN$7)*
  (desp[data.pagamento]&gt;=$A82)*
  (desp[data.pagamento]&lt;EOMONTH($A82,0)+1)
)</f>
        <v>0</v>
      </c>
      <c r="BO82" s="166" cm="1">
        <f t="array" ref="BO82">SUMPRODUCT(
  IFERROR(--desp[valor],0)*
  (desp[nucleo]="UP POMPEIA")*
  (desp[categoria]=BO$7)*
  (desp[data.pagamento]&gt;=$A82)*
  (desp[data.pagamento]&lt;EOMONTH($A82,0)+1)
)</f>
        <v>0</v>
      </c>
      <c r="BP82" s="166" cm="1">
        <f t="array" ref="BP82">SUMPRODUCT(
  IFERROR(--desp[valor],0)*
  (desp[nucleo]="UP POMPEIA")*
  (desp[categoria]=BP$7)*
  (desp[data.pagamento]&gt;=$A82)*
  (desp[data.pagamento]&lt;EOMONTH($A82,0)+1)
)</f>
        <v>0</v>
      </c>
      <c r="BQ82" s="166" cm="1">
        <f t="array" ref="BQ82">SUMPRODUCT(
  IFERROR(--desp[valor],0)*
  (desp[nucleo]="UP POMPEIA")*
  (desp[categoria]=BQ$7)*
  (desp[data.pagamento]&gt;=$A82)*
  (desp[data.pagamento]&lt;EOMONTH($A82,0)+1)
)</f>
        <v>0</v>
      </c>
      <c r="BR82" s="177">
        <f>COUNTIFS(
    estq[empresa], BR$6,
    estq[Data da venda / reserva], "&gt;=" &amp; $A82,
    estq[Data da venda / reserva], "&lt;"  &amp; EOMONTH($A82,0) + 1
)</f>
        <v>0</v>
      </c>
      <c r="BS82" s="178">
        <f ca="1">SUMIFS(rec.uni[2027-08-01],
INDIRECT("rec.uni[natureza]"),"pro.soluto",
INDIRECT("rec.uni[empresa]"),BS$6)</f>
        <v>0</v>
      </c>
      <c r="BT82" s="182">
        <f ca="1">SUMIFS(rec.uni[2027-08-01],
INDIRECT("rec.uni[natureza]"),"parcela.fin.total.ik",
INDIRECT("rec.uni[empresa]"),BT$6)</f>
        <v>0</v>
      </c>
      <c r="BU82" s="178">
        <f ca="1">SUMIFS(rec.uni[2027-08-01],
INDIRECT("rec.uni[natureza]"),"taxa.extra",
INDIRECT("rec.uni[empresa]"),BU$6)</f>
        <v>0</v>
      </c>
      <c r="BV82" s="166"/>
      <c r="BW82" s="166" cm="1">
        <f t="array" ref="BW82">SUMPRODUCT(
  IFERROR(--desp[valor],0)*
  (desp[nucleo]="UP SAUDE")*
  (desp[categoria]=BW$7)*
  (desp[data.pagamento]&gt;=$A82)*
  (desp[data.pagamento]&lt;EOMONTH($A82,0)+1)
)</f>
        <v>0</v>
      </c>
      <c r="BX82" s="166" cm="1">
        <f t="array" ref="BX82">SUMPRODUCT(
  IFERROR(--desp[valor],0)*
  (desp[nucleo]="UP SAUDE")*
  (desp[categoria]=BX$7)*
  (desp[data.pagamento]&gt;=$A82)*
  (desp[data.pagamento]&lt;EOMONTH($A82,0)+1)
)</f>
        <v>0</v>
      </c>
      <c r="BY82" s="166" cm="1">
        <f t="array" ref="BY82">SUMPRODUCT(
  IFERROR(--desp[valor],0)*
  (desp[nucleo]="UP SAUDE")*
  (desp[categoria]=BY$7)*
  (desp[data.pagamento]&gt;=$A82)*
  (desp[data.pagamento]&lt;EOMONTH($A82,0)+1)
)</f>
        <v>0</v>
      </c>
      <c r="BZ82" s="166" cm="1">
        <f t="array" ref="BZ82">SUMPRODUCT(
  IFERROR(--desp[valor],0)*
  (desp[nucleo]="UP SAUDE")*
  (desp[categoria]=BZ$7)*
  (desp[data.pagamento]&gt;=$A82)*
  (desp[data.pagamento]&lt;EOMONTH($A82,0)+1)
)</f>
        <v>0</v>
      </c>
      <c r="CA82" s="166" cm="1">
        <f t="array" ref="CA82">SUMPRODUCT(
  IFERROR(--desp[valor],0)*
  (desp[nucleo]="UP SAUDE")*
  (desp[categoria]=CA$7)*
  (desp[data.pagamento]&gt;=$A82)*
  (desp[data.pagamento]&lt;EOMONTH($A82,0)+1)
)</f>
        <v>0</v>
      </c>
      <c r="CB82" s="177">
        <f>COUNTIFS(
    estq[empresa], CB$6,
    estq[Data da venda / reserva], "&gt;=" &amp; $A82,
    estq[Data da venda / reserva], "&lt;"  &amp; EOMONTH($A82,0) + 1
)</f>
        <v>0</v>
      </c>
      <c r="CC82" s="178">
        <f ca="1">SUMIFS(rec.uni[2027-08-01],
INDIRECT("rec.uni[natureza]"),"pro.soluto",
INDIRECT("rec.uni[empresa]"),CC$6)</f>
        <v>0</v>
      </c>
      <c r="CD82" s="178">
        <f ca="1">SUMIFS(rec.uni[2027-08-01],
INDIRECT("rec.uni[natureza]"),"repasse.cef.obra",
INDIRECT("rec.uni[empresa]"),CD$6)</f>
        <v>0</v>
      </c>
      <c r="CE82" s="181">
        <f ca="1">SUMIFS(rec.uni[2027-08-01],
INDIRECT("rec.uni[natureza]"),"repasse.cef.terreno",
INDIRECT("rec.uni[empresa]"),CE$6)</f>
        <v>0</v>
      </c>
      <c r="CF82" s="182"/>
      <c r="CG82" s="178">
        <f ca="1">SUMIFS(rec.uni[2027-08-01],
INDIRECT("rec.uni[natureza]"),"taxa.extra",
INDIRECT("rec.uni[empresa]"),CG$6)</f>
        <v>0</v>
      </c>
      <c r="CH82" s="166"/>
      <c r="CI82" s="166" cm="1">
        <f t="array" ref="CI82">SUMPRODUCT(
  IFERROR(--desp[valor],0)*
  (desp[nucleo]="UP ESTAÇÃO VILA SONIA")*
  (desp[categoria]=CI$7)*
  (desp[data.pagamento]&gt;=$A82)*
  (desp[data.pagamento]&lt;EOMONTH($A82,0)+1)
)</f>
        <v>0</v>
      </c>
      <c r="CJ82" s="166" cm="1">
        <f t="array" ref="CJ82">SUMPRODUCT(
  IFERROR(--desp[valor],0)*
  (desp[nucleo]="UP ESTAÇÃO VILA SONIA")*
  (desp[categoria]=CJ$7)*
  (desp[data.pagamento]&gt;=$A82)*
  (desp[data.pagamento]&lt;EOMONTH($A82,0)+1)
)</f>
        <v>0</v>
      </c>
      <c r="CK82" s="166" cm="1">
        <f t="array" ref="CK82">SUMPRODUCT(
  IFERROR(--desp[valor],0)*
  (desp[nucleo]="UP ESTAÇÃO VILA SONIA")*
  (desp[categoria]=CK$7)*
  (desp[data.pagamento]&gt;=$A82)*
  (desp[data.pagamento]&lt;EOMONTH($A82,0)+1)
)</f>
        <v>0</v>
      </c>
      <c r="CL82" s="166" cm="1">
        <f t="array" ref="CL82">SUMPRODUCT(
  IFERROR(--desp[valor],0)*
  (desp[nucleo]="UP ESTAÇÃO VILA SONIA")*
  (desp[categoria]=CL$7)*
  (desp[data.pagamento]&gt;=$A82)*
  (desp[data.pagamento]&lt;EOMONTH($A82,0)+1)
)</f>
        <v>0</v>
      </c>
      <c r="CM82" s="166" cm="1">
        <f t="array" ref="CM82">SUMPRODUCT(
  IFERROR(--desp[valor],0)*
  (desp[nucleo]="UP ESTAÇÃO VILA SONIA")*
  (desp[categoria]=CM$7)*
  (desp[data.pagamento]&gt;=$A82)*
  (desp[data.pagamento]&lt;EOMONTH($A82,0)+1)
)</f>
        <v>0</v>
      </c>
      <c r="CN82" s="177">
        <f>COUNTIFS(
    estq[empresa], CN$6,
    estq[Data da venda / reserva], "&gt;=" &amp; $A82,
    estq[Data da venda / reserva], "&lt;"  &amp; EOMONTH($A82,0) + 1
)</f>
        <v>0</v>
      </c>
      <c r="CO82" s="178">
        <f ca="1">SUMIFS(rec.uni[2027-08-01],
INDIRECT("rec.uni[natureza]"),"pro.soluto",
INDIRECT("rec.uni[empresa]"),CO$6)</f>
        <v>0</v>
      </c>
      <c r="CP82" s="178">
        <f ca="1">SUMIFS(rec.uni[2027-08-01],
INDIRECT("rec.uni[natureza]"),"repasse.cef.obra",
INDIRECT("rec.uni[empresa]"),CP$6)</f>
        <v>0</v>
      </c>
      <c r="CQ82" s="181">
        <f ca="1">SUMIFS(rec.uni[2027-08-01],
INDIRECT("rec.uni[natureza]"),"repasse.cef.terreno",
INDIRECT("rec.uni[empresa]"),CQ$6)</f>
        <v>0</v>
      </c>
      <c r="CR82" s="182"/>
      <c r="CS82" s="178">
        <f ca="1">SUMIFS(rec.uni[2027-08-01],
INDIRECT("rec.uni[natureza]"),"taxa.extra",
INDIRECT("rec.uni[empresa]"),CS$6)</f>
        <v>0</v>
      </c>
      <c r="CT82" s="166"/>
      <c r="CU82" s="166" cm="1">
        <f t="array" ref="CU82">SUMPRODUCT(
  IFERROR(--desp[valor],0)*
  (desp[nucleo]="UP MOVE VILA SONIA")*
  (desp[categoria]=CU$7)*
  (desp[data.pagamento]&gt;=$A82)*
  (desp[data.pagamento]&lt;EOMONTH($A82,0)+1)
)</f>
        <v>0</v>
      </c>
      <c r="CV82" s="166" cm="1">
        <f t="array" ref="CV82">SUMPRODUCT(
  IFERROR(--desp[valor],0)*
  (desp[nucleo]="UP MOVE VILA SONIA")*
  (desp[categoria]=CV$7)*
  (desp[data.pagamento]&gt;=$A82)*
  (desp[data.pagamento]&lt;EOMONTH($A82,0)+1)
)</f>
        <v>0</v>
      </c>
      <c r="CW82" s="166" cm="1">
        <f t="array" ref="CW82">SUMPRODUCT(
  IFERROR(--desp[valor],0)*
  (desp[nucleo]="UP MOVE VILA SONIA")*
  (desp[categoria]=CW$7)*
  (desp[data.pagamento]&gt;=$A82)*
  (desp[data.pagamento]&lt;EOMONTH($A82,0)+1)
)</f>
        <v>0</v>
      </c>
      <c r="CX82" s="166" cm="1">
        <f t="array" ref="CX82">SUMPRODUCT(
  IFERROR(--desp[valor],0)*
  (desp[nucleo]="UP MOVE VILA SONIA")*
  (desp[categoria]=CX$7)*
  (desp[data.pagamento]&gt;=$A82)*
  (desp[data.pagamento]&lt;EOMONTH($A82,0)+1)
)</f>
        <v>0</v>
      </c>
      <c r="CY82" s="291" cm="1">
        <f t="array" ref="CY82">SUMPRODUCT(
  IFERROR(--desp[valor],0)*
  (desp[nucleo]="UP MOVE VILA SONIA")*
  (desp[categoria]=CY$7)*
  (desp[data.pagamento]&gt;=$A82)*
  (desp[data.pagamento]&lt;EOMONTH($A82,0)+1)
)</f>
        <v>0</v>
      </c>
    </row>
    <row r="83" spans="1:103" x14ac:dyDescent="0.25">
      <c r="A83" s="176">
        <v>46631</v>
      </c>
      <c r="B83" s="177">
        <f>COUNTIFS(
    estq[empresa], B$6,
    estq[Data da venda / reserva], "&gt;=" &amp; $A83,
    estq[Data da venda / reserva], "&lt;"  &amp; EOMONTH($A83,0) + 1
)</f>
        <v>0</v>
      </c>
      <c r="C83" s="178">
        <f ca="1">SUMIFS(rec.uni[2027-09-01],
INDIRECT("rec.uni[natureza]"),"pro.soluto",
INDIRECT("rec.uni[empresa]"),C$6)</f>
        <v>0</v>
      </c>
      <c r="D83" s="178">
        <f ca="1">SUMIFS(rec.uni[2027-09-01],
INDIRECT("rec.uni[natureza]"),"repasse.cef.obra",
INDIRECT("rec.uni[empresa]"),D$6)</f>
        <v>0</v>
      </c>
      <c r="E83" s="178">
        <f ca="1">SUMIFS(rec.uni[2027-09-01],
INDIRECT("rec.uni[natureza]"),"repasse.cef.terreno",
INDIRECT("rec.uni[empresa]"),E$6)</f>
        <v>0</v>
      </c>
      <c r="F83" s="182"/>
      <c r="G83" s="178">
        <f ca="1">SUMIFS(rec.uni[2027-09-01],
INDIRECT("rec.uni[natureza]"),"taxa.extra",
INDIRECT("rec.uni[empresa]"),G$6)</f>
        <v>0</v>
      </c>
      <c r="H83" s="166"/>
      <c r="I83" s="166" cm="1">
        <f t="array" ref="I83">SUMPRODUCT(
  IFERROR(--desp[valor],0)*
  (desp[nucleo]="UP JARDIM PRUDENCIA")*
  (desp[categoria]=I$7)*
  (desp[data.pagamento]&gt;=$A83)*
  (desp[data.pagamento]&lt;EOMONTH($A83,0)+1)
)</f>
        <v>0</v>
      </c>
      <c r="J83" s="166" cm="1">
        <f t="array" ref="J83">SUMPRODUCT(
  IFERROR(--desp[valor],0)*
  (desp[nucleo]="UP JARDIM PRUDENCIA")*
  (desp[categoria]=J$7)*
  (desp[data.pagamento]&gt;=$A83)*
  (desp[data.pagamento]&lt;EOMONTH($A83,0)+1)
)</f>
        <v>0</v>
      </c>
      <c r="K83" s="166" cm="1">
        <f t="array" ref="K83">SUMPRODUCT(
  IFERROR(--desp[valor],0)*
  (desp[nucleo]="UP JARDIM PRUDENCIA")*
  (desp[categoria]=K$7)*
  (desp[data.pagamento]&gt;=$A83)*
  (desp[data.pagamento]&lt;EOMONTH($A83,0)+1)
)</f>
        <v>0</v>
      </c>
      <c r="L83" s="166" cm="1">
        <f t="array" ref="L83">SUMPRODUCT(
  IFERROR(--desp[valor],0)*
  (desp[nucleo]="UP JARDIM PRUDENCIA")*
  (desp[categoria]=L$7)*
  (desp[data.pagamento]&gt;=$A83)*
  (desp[data.pagamento]&lt;EOMONTH($A83,0)+1)
)</f>
        <v>0</v>
      </c>
      <c r="M83" s="166" cm="1">
        <f t="array" ref="M83">SUMPRODUCT(
  IFERROR(--desp[valor],0)*
  (desp[nucleo]="UP JARDIM PRUDENCIA")*
  (desp[categoria]=M$7)*
  (desp[data.pagamento]&gt;=$A83)*
  (desp[data.pagamento]&lt;EOMONTH($A83,0)+1)
)</f>
        <v>0</v>
      </c>
      <c r="N83" s="177">
        <f>COUNTIFS(
    estq[empresa], N$6,
    estq[Data da venda / reserva], "&gt;=" &amp; $A83,
    estq[Data da venda / reserva], "&lt;"  &amp; EOMONTH($A83,0) + 1
)</f>
        <v>0</v>
      </c>
      <c r="O83" s="178">
        <f ca="1">SUMIFS(rec.uni[2027-09-01],
INDIRECT("rec.uni[natureza]"),"pro.soluto",
INDIRECT("rec.uni[empresa]"),O$6)</f>
        <v>0</v>
      </c>
      <c r="P83" s="178">
        <f ca="1">SUMIFS(rec.uni[2027-09-01],
INDIRECT("rec.uni[natureza]"),"repasse.cef.obra",
INDIRECT("rec.uni[empresa]"),P$6)</f>
        <v>0</v>
      </c>
      <c r="Q83" s="178">
        <f ca="1">SUMIFS(rec.uni[2027-09-01],
INDIRECT("rec.uni[natureza]"),"repasse.cef.terreno",
INDIRECT("rec.uni[empresa]"),Q$6)</f>
        <v>0</v>
      </c>
      <c r="R83" s="182"/>
      <c r="S83" s="178">
        <f ca="1">SUMIFS(rec.uni[2027-09-01],
INDIRECT("rec.uni[natureza]"),"taxa.extra",
INDIRECT("rec.uni[empresa]"),S$6)</f>
        <v>0</v>
      </c>
      <c r="T83" s="166"/>
      <c r="U83" s="166" cm="1">
        <f t="array" ref="U83">SUMPRODUCT(
  IFERROR(--desp[valor],0)*
  (desp[nucleo]="UP VILA SONIA")*
  (desp[categoria]=U$7)*
  (desp[data.pagamento]&gt;=$A83)*
  (desp[data.pagamento]&lt;EOMONTH($A83,0)+1)
)</f>
        <v>0</v>
      </c>
      <c r="V83" s="166" cm="1">
        <f t="array" ref="V83">SUMPRODUCT(
  IFERROR(--desp[valor],0)*
  (desp[nucleo]="UP VILA SONIA")*
  (desp[categoria]=V$7)*
  (desp[data.pagamento]&gt;=$A83)*
  (desp[data.pagamento]&lt;EOMONTH($A83,0)+1)
)</f>
        <v>0</v>
      </c>
      <c r="W83" s="166" cm="1">
        <f t="array" ref="W83">SUMPRODUCT(
  IFERROR(--desp[valor],0)*
  (desp[nucleo]="UP VILA SONIA")*
  (desp[categoria]=W$7)*
  (desp[data.pagamento]&gt;=$A83)*
  (desp[data.pagamento]&lt;EOMONTH($A83,0)+1)
)</f>
        <v>0</v>
      </c>
      <c r="X83" s="166" cm="1">
        <f t="array" ref="X83">SUMPRODUCT(
  IFERROR(--desp[valor],0)*
  (desp[nucleo]="UP VILA SONIA")*
  (desp[categoria]=X$7)*
  (desp[data.pagamento]&gt;=$A83)*
  (desp[data.pagamento]&lt;EOMONTH($A83,0)+1)
)</f>
        <v>0</v>
      </c>
      <c r="Y83" s="166" cm="1">
        <f t="array" ref="Y83">SUMPRODUCT(
  IFERROR(--desp[valor],0)*
  (desp[nucleo]="UP VILA SONIA")*
  (desp[categoria]=Y$7)*
  (desp[data.pagamento]&gt;=$A83)*
  (desp[data.pagamento]&lt;EOMONTH($A83,0)+1)
)</f>
        <v>0</v>
      </c>
      <c r="Z83" s="177">
        <f>COUNTIFS(
    estq[empresa], Z$6,
    estq[Data da venda / reserva], "&gt;=" &amp; $A83,
    estq[Data da venda / reserva], "&lt;"  &amp; EOMONTH($A83,0) + 1
)</f>
        <v>0</v>
      </c>
      <c r="AA83" s="178">
        <f ca="1">SUMIFS(rec.uni[2027-09-01],
INDIRECT("rec.uni[natureza]"),"pro.soluto",
INDIRECT("rec.uni[empresa]"),AA$6)</f>
        <v>0</v>
      </c>
      <c r="AB83" s="182">
        <f ca="1">SUMIFS(rec.uni[2027-09-01],
INDIRECT("rec.uni[natureza]"),"parcela.fin.total.ik",
INDIRECT("rec.uni[empresa]"),AB$6)</f>
        <v>0</v>
      </c>
      <c r="AC83" s="178">
        <f ca="1">SUMIFS(rec.uni[2027-09-01],
INDIRECT("rec.uni[natureza]"),"taxa.extra",
INDIRECT("rec.uni[empresa]"),AC$6)</f>
        <v>0</v>
      </c>
      <c r="AD83" s="166"/>
      <c r="AE83" s="166" cm="1">
        <f t="array" ref="AE83">SUMPRODUCT(
  IFERROR(--desp[valor],0)*
  (desp[nucleo]="UP CAMPO BELO")*
  (desp[categoria]=AE$7)*
  (desp[data.pagamento]&gt;=$A83)*
  (desp[data.pagamento]&lt;EOMONTH($A83,0)+1)
)</f>
        <v>0</v>
      </c>
      <c r="AF83" s="166" cm="1">
        <f t="array" ref="AF83">SUMPRODUCT(
  IFERROR(--desp[valor],0)*
  (desp[nucleo]="UP CAMPO BELO")*
  (desp[categoria]=AF$7)*
  (desp[data.pagamento]&gt;=$A83)*
  (desp[data.pagamento]&lt;EOMONTH($A83,0)+1)
)</f>
        <v>0</v>
      </c>
      <c r="AG83" s="166" cm="1">
        <f t="array" ref="AG83">SUMPRODUCT(
  IFERROR(--desp[valor],0)*
  (desp[nucleo]="UP CAMPO BELO")*
  (desp[categoria]=AG$7)*
  (desp[data.pagamento]&gt;=$A83)*
  (desp[data.pagamento]&lt;EOMONTH($A83,0)+1)
)</f>
        <v>0</v>
      </c>
      <c r="AH83" s="166" cm="1">
        <f t="array" ref="AH83">SUMPRODUCT(
  IFERROR(--desp[valor],0)*
  (desp[nucleo]="UP CAMPO BELO")*
  (desp[categoria]=AH$7)*
  (desp[data.pagamento]&gt;=$A83)*
  (desp[data.pagamento]&lt;EOMONTH($A83,0)+1)
)</f>
        <v>0</v>
      </c>
      <c r="AI83" s="166" cm="1">
        <f t="array" ref="AI83">SUMPRODUCT(
  IFERROR(--desp[valor],0)*
  (desp[nucleo]="UP CAMPO BELO")*
  (desp[categoria]=AI$7)*
  (desp[data.pagamento]&gt;=$A83)*
  (desp[data.pagamento]&lt;EOMONTH($A83,0)+1)
)</f>
        <v>0</v>
      </c>
      <c r="AJ83" s="177">
        <f>COUNTIFS(
    estq[empresa], AJ$6,
    estq[Data da venda / reserva], "&gt;=" &amp; $A83,
    estq[Data da venda / reserva], "&lt;"  &amp; EOMONTH($A83,0) + 1
)</f>
        <v>0</v>
      </c>
      <c r="AK83" s="178">
        <f ca="1">SUMIFS(rec.uni[2027-09-01],
INDIRECT("rec.uni[natureza]"),"pro.soluto",
INDIRECT("rec.uni[empresa]"),AK$6)</f>
        <v>0</v>
      </c>
      <c r="AL83" s="178">
        <f ca="1">SUMIFS(rec.uni[2027-09-01],
INDIRECT("rec.uni[natureza]"),"repasse.cef.obra",
INDIRECT("rec.uni[empresa]"),AL$6)</f>
        <v>0</v>
      </c>
      <c r="AM83" s="181">
        <f ca="1">SUMIFS(rec.uni[2027-09-01],
INDIRECT("rec.uni[natureza]"),"repasse.cef.terreno",
INDIRECT("rec.uni[empresa]"),AM$6)</f>
        <v>0</v>
      </c>
      <c r="AN83" s="182"/>
      <c r="AO83" s="178">
        <f ca="1">SUMIFS(rec.uni[2027-09-01],
INDIRECT("rec.uni[natureza]"),"taxa.extra",
INDIRECT("rec.uni[empresa]"),AO$6)</f>
        <v>0</v>
      </c>
      <c r="AP83" s="166"/>
      <c r="AQ83" s="166" cm="1">
        <f t="array" ref="AQ83">SUMPRODUCT(
  IFERROR(--desp[valor],0)*
  (desp[nucleo]="UP SELECT VILA SONIA")*
  (desp[categoria]=AQ$7)*
  (desp[data.pagamento]&gt;=$A83)*
  (desp[data.pagamento]&lt;EOMONTH($A83,0)+1)
)</f>
        <v>0</v>
      </c>
      <c r="AR83" s="166" cm="1">
        <f t="array" ref="AR83">SUMPRODUCT(
  IFERROR(--desp[valor],0)*
  (desp[nucleo]="UP SELECT VILA SONIA")*
  (desp[categoria]=AR$7)*
  (desp[data.pagamento]&gt;=$A83)*
  (desp[data.pagamento]&lt;EOMONTH($A83,0)+1)
)</f>
        <v>0</v>
      </c>
      <c r="AS83" s="166" cm="1">
        <f t="array" ref="AS83">SUMPRODUCT(
  IFERROR(--desp[valor],0)*
  (desp[nucleo]="UP SELECT VILA SONIA")*
  (desp[categoria]=AS$7)*
  (desp[data.pagamento]&gt;=$A83)*
  (desp[data.pagamento]&lt;EOMONTH($A83,0)+1)
)</f>
        <v>0</v>
      </c>
      <c r="AT83" s="166" cm="1">
        <f t="array" ref="AT83">SUMPRODUCT(
  IFERROR(--desp[valor],0)*
  (desp[nucleo]="UP SELECT VILA SONIA")*
  (desp[categoria]=AT$7)*
  (desp[data.pagamento]&gt;=$A83)*
  (desp[data.pagamento]&lt;EOMONTH($A83,0)+1)
)</f>
        <v>0</v>
      </c>
      <c r="AU83" s="166" cm="1">
        <f t="array" ref="AU83">SUMPRODUCT(
  IFERROR(--desp[valor],0)*
  (desp[nucleo]="UP SELECT VILA SONIA")*
  (desp[categoria]=AU$7)*
  (desp[data.pagamento]&gt;=$A83)*
  (desp[data.pagamento]&lt;EOMONTH($A83,0)+1)
)</f>
        <v>0</v>
      </c>
      <c r="AV83" s="177">
        <f>COUNTIFS(
    estq[empresa], AV$6,
    estq[Data da venda / reserva], "&gt;=" &amp; $A83,
    estq[Data da venda / reserva], "&lt;"  &amp; EOMONTH($A83,0) + 1
)</f>
        <v>0</v>
      </c>
      <c r="AW83" s="178">
        <f ca="1">SUMIFS(rec.uni[2027-09-01],
INDIRECT("rec.uni[natureza]"),"pro.soluto",
INDIRECT("rec.uni[empresa]"),AW$6)</f>
        <v>0</v>
      </c>
      <c r="AX83" s="178">
        <f ca="1">SUMIFS(rec.uni[2027-09-01],
INDIRECT("rec.uni[natureza]"),"repasse.cef.obra",
INDIRECT("rec.uni[empresa]"),AX$6)</f>
        <v>0</v>
      </c>
      <c r="AY83" s="181">
        <f ca="1">SUMIFS(rec.uni[2027-09-01],
INDIRECT("rec.uni[natureza]"),"repasse.cef.terreno",
INDIRECT("rec.uni[empresa]"),AY$6)</f>
        <v>0</v>
      </c>
      <c r="AZ83" s="182"/>
      <c r="BA83" s="178">
        <f ca="1">SUMIFS(rec.uni[2027-09-01],
INDIRECT("rec.uni[natureza]"),"taxa.extra",
INDIRECT("rec.uni[empresa]"),BA$6)</f>
        <v>0</v>
      </c>
      <c r="BB83" s="166"/>
      <c r="BC83" s="166" cm="1">
        <f t="array" ref="BC83">SUMPRODUCT(
  IFERROR(--desp[valor],0)*
  (desp[nucleo]="UP ESTAÇÃO SÃO LUCAS")*
  (desp[categoria]=BC$7)*
  (desp[data.pagamento]&gt;=$A83)*
  (desp[data.pagamento]&lt;EOMONTH($A83,0)+1)
)</f>
        <v>0</v>
      </c>
      <c r="BD83" s="166" cm="1">
        <f t="array" ref="BD83">SUMPRODUCT(
  IFERROR(--desp[valor],0)*
  (desp[nucleo]="UP ESTAÇÃO SÃO LUCAS")*
  (desp[categoria]=BD$7)*
  (desp[data.pagamento]&gt;=$A83)*
  (desp[data.pagamento]&lt;EOMONTH($A83,0)+1)
)</f>
        <v>0</v>
      </c>
      <c r="BE83" s="166" cm="1">
        <f t="array" ref="BE83">SUMPRODUCT(
  IFERROR(--desp[valor],0)*
  (desp[nucleo]="UP ESTAÇÃO SÃO LUCAS")*
  (desp[categoria]=BE$7)*
  (desp[data.pagamento]&gt;=$A83)*
  (desp[data.pagamento]&lt;EOMONTH($A83,0)+1)
)</f>
        <v>0</v>
      </c>
      <c r="BF83" s="166" cm="1">
        <f t="array" ref="BF83">SUMPRODUCT(
  IFERROR(--desp[valor],0)*
  (desp[nucleo]="UP ESTAÇÃO SÃO LUCAS")*
  (desp[categoria]=BF$7)*
  (desp[data.pagamento]&gt;=$A83)*
  (desp[data.pagamento]&lt;EOMONTH($A83,0)+1)
)</f>
        <v>0</v>
      </c>
      <c r="BG83" s="166" cm="1">
        <f t="array" ref="BG83">SUMPRODUCT(
  IFERROR(--desp[valor],0)*
  (desp[nucleo]="UP ESTAÇÃO SÃO LUCAS")*
  (desp[categoria]=BG$7)*
  (desp[data.pagamento]&gt;=$A83)*
  (desp[data.pagamento]&lt;EOMONTH($A83,0)+1)
)</f>
        <v>0</v>
      </c>
      <c r="BH83" s="177">
        <f>COUNTIFS(
    estq[empresa], BH$6,
    estq[Data da venda / reserva], "&gt;=" &amp; $A83,
    estq[Data da venda / reserva], "&lt;"  &amp; EOMONTH($A83,0) + 1
)</f>
        <v>0</v>
      </c>
      <c r="BI83" s="178">
        <f ca="1">SUMIFS(rec.uni[2027-09-01],
INDIRECT("rec.uni[natureza]"),"pro.soluto",
INDIRECT("rec.uni[empresa]"),BI$6)</f>
        <v>0</v>
      </c>
      <c r="BJ83" s="182">
        <f ca="1">SUMIFS(rec.uni[2027-09-01],
INDIRECT("rec.uni[natureza]"),"parcela.fin.total.ik",
INDIRECT("rec.uni[empresa]"),BJ$6)</f>
        <v>0</v>
      </c>
      <c r="BK83" s="178">
        <f ca="1">SUMIFS(rec.uni[2027-09-01],
INDIRECT("rec.uni[natureza]"),"taxa.extra",
INDIRECT("rec.uni[empresa]"),BK$6)</f>
        <v>0</v>
      </c>
      <c r="BL83" s="166"/>
      <c r="BM83" s="166" cm="1">
        <f t="array" ref="BM83">SUMPRODUCT(
  IFERROR(--desp[valor],0)*
  (desp[nucleo]="UP POMPEIA")*
  (desp[categoria]=BM$7)*
  (desp[data.pagamento]&gt;=$A83)*
  (desp[data.pagamento]&lt;EOMONTH($A83,0)+1)
)</f>
        <v>0</v>
      </c>
      <c r="BN83" s="166" cm="1">
        <f t="array" ref="BN83">SUMPRODUCT(
  IFERROR(--desp[valor],0)*
  (desp[nucleo]="UP POMPEIA")*
  (desp[categoria]=BN$7)*
  (desp[data.pagamento]&gt;=$A83)*
  (desp[data.pagamento]&lt;EOMONTH($A83,0)+1)
)</f>
        <v>0</v>
      </c>
      <c r="BO83" s="166" cm="1">
        <f t="array" ref="BO83">SUMPRODUCT(
  IFERROR(--desp[valor],0)*
  (desp[nucleo]="UP POMPEIA")*
  (desp[categoria]=BO$7)*
  (desp[data.pagamento]&gt;=$A83)*
  (desp[data.pagamento]&lt;EOMONTH($A83,0)+1)
)</f>
        <v>0</v>
      </c>
      <c r="BP83" s="166" cm="1">
        <f t="array" ref="BP83">SUMPRODUCT(
  IFERROR(--desp[valor],0)*
  (desp[nucleo]="UP POMPEIA")*
  (desp[categoria]=BP$7)*
  (desp[data.pagamento]&gt;=$A83)*
  (desp[data.pagamento]&lt;EOMONTH($A83,0)+1)
)</f>
        <v>0</v>
      </c>
      <c r="BQ83" s="166" cm="1">
        <f t="array" ref="BQ83">SUMPRODUCT(
  IFERROR(--desp[valor],0)*
  (desp[nucleo]="UP POMPEIA")*
  (desp[categoria]=BQ$7)*
  (desp[data.pagamento]&gt;=$A83)*
  (desp[data.pagamento]&lt;EOMONTH($A83,0)+1)
)</f>
        <v>0</v>
      </c>
      <c r="BR83" s="177">
        <f>COUNTIFS(
    estq[empresa], BR$6,
    estq[Data da venda / reserva], "&gt;=" &amp; $A83,
    estq[Data da venda / reserva], "&lt;"  &amp; EOMONTH($A83,0) + 1
)</f>
        <v>0</v>
      </c>
      <c r="BS83" s="178">
        <f ca="1">SUMIFS(rec.uni[2027-09-01],
INDIRECT("rec.uni[natureza]"),"pro.soluto",
INDIRECT("rec.uni[empresa]"),BS$6)</f>
        <v>0</v>
      </c>
      <c r="BT83" s="182">
        <f ca="1">SUMIFS(rec.uni[2027-09-01],
INDIRECT("rec.uni[natureza]"),"parcela.fin.total.ik",
INDIRECT("rec.uni[empresa]"),BT$6)</f>
        <v>0</v>
      </c>
      <c r="BU83" s="178">
        <f ca="1">SUMIFS(rec.uni[2027-09-01],
INDIRECT("rec.uni[natureza]"),"taxa.extra",
INDIRECT("rec.uni[empresa]"),BU$6)</f>
        <v>0</v>
      </c>
      <c r="BV83" s="166"/>
      <c r="BW83" s="166" cm="1">
        <f t="array" ref="BW83">SUMPRODUCT(
  IFERROR(--desp[valor],0)*
  (desp[nucleo]="UP SAUDE")*
  (desp[categoria]=BW$7)*
  (desp[data.pagamento]&gt;=$A83)*
  (desp[data.pagamento]&lt;EOMONTH($A83,0)+1)
)</f>
        <v>0</v>
      </c>
      <c r="BX83" s="166" cm="1">
        <f t="array" ref="BX83">SUMPRODUCT(
  IFERROR(--desp[valor],0)*
  (desp[nucleo]="UP SAUDE")*
  (desp[categoria]=BX$7)*
  (desp[data.pagamento]&gt;=$A83)*
  (desp[data.pagamento]&lt;EOMONTH($A83,0)+1)
)</f>
        <v>0</v>
      </c>
      <c r="BY83" s="166" cm="1">
        <f t="array" ref="BY83">SUMPRODUCT(
  IFERROR(--desp[valor],0)*
  (desp[nucleo]="UP SAUDE")*
  (desp[categoria]=BY$7)*
  (desp[data.pagamento]&gt;=$A83)*
  (desp[data.pagamento]&lt;EOMONTH($A83,0)+1)
)</f>
        <v>0</v>
      </c>
      <c r="BZ83" s="166" cm="1">
        <f t="array" ref="BZ83">SUMPRODUCT(
  IFERROR(--desp[valor],0)*
  (desp[nucleo]="UP SAUDE")*
  (desp[categoria]=BZ$7)*
  (desp[data.pagamento]&gt;=$A83)*
  (desp[data.pagamento]&lt;EOMONTH($A83,0)+1)
)</f>
        <v>0</v>
      </c>
      <c r="CA83" s="166" cm="1">
        <f t="array" ref="CA83">SUMPRODUCT(
  IFERROR(--desp[valor],0)*
  (desp[nucleo]="UP SAUDE")*
  (desp[categoria]=CA$7)*
  (desp[data.pagamento]&gt;=$A83)*
  (desp[data.pagamento]&lt;EOMONTH($A83,0)+1)
)</f>
        <v>0</v>
      </c>
      <c r="CB83" s="177">
        <f>COUNTIFS(
    estq[empresa], CB$6,
    estq[Data da venda / reserva], "&gt;=" &amp; $A83,
    estq[Data da venda / reserva], "&lt;"  &amp; EOMONTH($A83,0) + 1
)</f>
        <v>0</v>
      </c>
      <c r="CC83" s="178">
        <f ca="1">SUMIFS(rec.uni[2027-09-01],
INDIRECT("rec.uni[natureza]"),"pro.soluto",
INDIRECT("rec.uni[empresa]"),CC$6)</f>
        <v>0</v>
      </c>
      <c r="CD83" s="178">
        <f ca="1">SUMIFS(rec.uni[2027-09-01],
INDIRECT("rec.uni[natureza]"),"repasse.cef.obra",
INDIRECT("rec.uni[empresa]"),CD$6)</f>
        <v>0</v>
      </c>
      <c r="CE83" s="181">
        <f ca="1">SUMIFS(rec.uni[2027-09-01],
INDIRECT("rec.uni[natureza]"),"repasse.cef.terreno",
INDIRECT("rec.uni[empresa]"),CE$6)</f>
        <v>0</v>
      </c>
      <c r="CF83" s="182"/>
      <c r="CG83" s="178">
        <f ca="1">SUMIFS(rec.uni[2027-09-01],
INDIRECT("rec.uni[natureza]"),"taxa.extra",
INDIRECT("rec.uni[empresa]"),CG$6)</f>
        <v>0</v>
      </c>
      <c r="CH83" s="166"/>
      <c r="CI83" s="166" cm="1">
        <f t="array" ref="CI83">SUMPRODUCT(
  IFERROR(--desp[valor],0)*
  (desp[nucleo]="UP ESTAÇÃO VILA SONIA")*
  (desp[categoria]=CI$7)*
  (desp[data.pagamento]&gt;=$A83)*
  (desp[data.pagamento]&lt;EOMONTH($A83,0)+1)
)</f>
        <v>0</v>
      </c>
      <c r="CJ83" s="166" cm="1">
        <f t="array" ref="CJ83">SUMPRODUCT(
  IFERROR(--desp[valor],0)*
  (desp[nucleo]="UP ESTAÇÃO VILA SONIA")*
  (desp[categoria]=CJ$7)*
  (desp[data.pagamento]&gt;=$A83)*
  (desp[data.pagamento]&lt;EOMONTH($A83,0)+1)
)</f>
        <v>0</v>
      </c>
      <c r="CK83" s="166" cm="1">
        <f t="array" ref="CK83">SUMPRODUCT(
  IFERROR(--desp[valor],0)*
  (desp[nucleo]="UP ESTAÇÃO VILA SONIA")*
  (desp[categoria]=CK$7)*
  (desp[data.pagamento]&gt;=$A83)*
  (desp[data.pagamento]&lt;EOMONTH($A83,0)+1)
)</f>
        <v>0</v>
      </c>
      <c r="CL83" s="166" cm="1">
        <f t="array" ref="CL83">SUMPRODUCT(
  IFERROR(--desp[valor],0)*
  (desp[nucleo]="UP ESTAÇÃO VILA SONIA")*
  (desp[categoria]=CL$7)*
  (desp[data.pagamento]&gt;=$A83)*
  (desp[data.pagamento]&lt;EOMONTH($A83,0)+1)
)</f>
        <v>0</v>
      </c>
      <c r="CM83" s="166" cm="1">
        <f t="array" ref="CM83">SUMPRODUCT(
  IFERROR(--desp[valor],0)*
  (desp[nucleo]="UP ESTAÇÃO VILA SONIA")*
  (desp[categoria]=CM$7)*
  (desp[data.pagamento]&gt;=$A83)*
  (desp[data.pagamento]&lt;EOMONTH($A83,0)+1)
)</f>
        <v>0</v>
      </c>
      <c r="CN83" s="177">
        <f>COUNTIFS(
    estq[empresa], CN$6,
    estq[Data da venda / reserva], "&gt;=" &amp; $A83,
    estq[Data da venda / reserva], "&lt;"  &amp; EOMONTH($A83,0) + 1
)</f>
        <v>0</v>
      </c>
      <c r="CO83" s="178">
        <f ca="1">SUMIFS(rec.uni[2027-09-01],
INDIRECT("rec.uni[natureza]"),"pro.soluto",
INDIRECT("rec.uni[empresa]"),CO$6)</f>
        <v>0</v>
      </c>
      <c r="CP83" s="178">
        <f ca="1">SUMIFS(rec.uni[2027-09-01],
INDIRECT("rec.uni[natureza]"),"repasse.cef.obra",
INDIRECT("rec.uni[empresa]"),CP$6)</f>
        <v>0</v>
      </c>
      <c r="CQ83" s="181">
        <f ca="1">SUMIFS(rec.uni[2027-09-01],
INDIRECT("rec.uni[natureza]"),"repasse.cef.terreno",
INDIRECT("rec.uni[empresa]"),CQ$6)</f>
        <v>0</v>
      </c>
      <c r="CR83" s="182"/>
      <c r="CS83" s="178">
        <f ca="1">SUMIFS(rec.uni[2027-09-01],
INDIRECT("rec.uni[natureza]"),"taxa.extra",
INDIRECT("rec.uni[empresa]"),CS$6)</f>
        <v>0</v>
      </c>
      <c r="CT83" s="166"/>
      <c r="CU83" s="166" cm="1">
        <f t="array" ref="CU83">SUMPRODUCT(
  IFERROR(--desp[valor],0)*
  (desp[nucleo]="UP MOVE VILA SONIA")*
  (desp[categoria]=CU$7)*
  (desp[data.pagamento]&gt;=$A83)*
  (desp[data.pagamento]&lt;EOMONTH($A83,0)+1)
)</f>
        <v>0</v>
      </c>
      <c r="CV83" s="166" cm="1">
        <f t="array" ref="CV83">SUMPRODUCT(
  IFERROR(--desp[valor],0)*
  (desp[nucleo]="UP MOVE VILA SONIA")*
  (desp[categoria]=CV$7)*
  (desp[data.pagamento]&gt;=$A83)*
  (desp[data.pagamento]&lt;EOMONTH($A83,0)+1)
)</f>
        <v>0</v>
      </c>
      <c r="CW83" s="166" cm="1">
        <f t="array" ref="CW83">SUMPRODUCT(
  IFERROR(--desp[valor],0)*
  (desp[nucleo]="UP MOVE VILA SONIA")*
  (desp[categoria]=CW$7)*
  (desp[data.pagamento]&gt;=$A83)*
  (desp[data.pagamento]&lt;EOMONTH($A83,0)+1)
)</f>
        <v>0</v>
      </c>
      <c r="CX83" s="166" cm="1">
        <f t="array" ref="CX83">SUMPRODUCT(
  IFERROR(--desp[valor],0)*
  (desp[nucleo]="UP MOVE VILA SONIA")*
  (desp[categoria]=CX$7)*
  (desp[data.pagamento]&gt;=$A83)*
  (desp[data.pagamento]&lt;EOMONTH($A83,0)+1)
)</f>
        <v>0</v>
      </c>
      <c r="CY83" s="291" cm="1">
        <f t="array" ref="CY83">SUMPRODUCT(
  IFERROR(--desp[valor],0)*
  (desp[nucleo]="UP MOVE VILA SONIA")*
  (desp[categoria]=CY$7)*
  (desp[data.pagamento]&gt;=$A83)*
  (desp[data.pagamento]&lt;EOMONTH($A83,0)+1)
)</f>
        <v>0</v>
      </c>
    </row>
    <row r="84" spans="1:103" x14ac:dyDescent="0.25">
      <c r="A84" s="176">
        <v>46661</v>
      </c>
      <c r="B84" s="177">
        <f>COUNTIFS(
    estq[empresa], B$6,
    estq[Data da venda / reserva], "&gt;=" &amp; $A84,
    estq[Data da venda / reserva], "&lt;"  &amp; EOMONTH($A84,0) + 1
)</f>
        <v>0</v>
      </c>
      <c r="C84" s="178">
        <f ca="1">SUMIFS(rec.uni[2027-10-01],
INDIRECT("rec.uni[natureza]"),"pro.soluto",
INDIRECT("rec.uni[empresa]"),C$6)</f>
        <v>0</v>
      </c>
      <c r="D84" s="178">
        <f ca="1">SUMIFS(rec.uni[2027-10-01],
INDIRECT("rec.uni[natureza]"),"repasse.cef.obra",
INDIRECT("rec.uni[empresa]"),D$6)</f>
        <v>0</v>
      </c>
      <c r="E84" s="178">
        <f ca="1">SUMIFS(rec.uni[2027-10-01],
INDIRECT("rec.uni[natureza]"),"repasse.cef.terreno",
INDIRECT("rec.uni[empresa]"),E$6)</f>
        <v>0</v>
      </c>
      <c r="F84" s="182"/>
      <c r="G84" s="178">
        <f ca="1">SUMIFS(rec.uni[2027-10-01],
INDIRECT("rec.uni[natureza]"),"taxa.extra",
INDIRECT("rec.uni[empresa]"),G$6)</f>
        <v>0</v>
      </c>
      <c r="H84" s="166"/>
      <c r="I84" s="166" cm="1">
        <f t="array" ref="I84">SUMPRODUCT(
  IFERROR(--desp[valor],0)*
  (desp[nucleo]="UP JARDIM PRUDENCIA")*
  (desp[categoria]=I$7)*
  (desp[data.pagamento]&gt;=$A84)*
  (desp[data.pagamento]&lt;EOMONTH($A84,0)+1)
)</f>
        <v>0</v>
      </c>
      <c r="J84" s="166" cm="1">
        <f t="array" ref="J84">SUMPRODUCT(
  IFERROR(--desp[valor],0)*
  (desp[nucleo]="UP JARDIM PRUDENCIA")*
  (desp[categoria]=J$7)*
  (desp[data.pagamento]&gt;=$A84)*
  (desp[data.pagamento]&lt;EOMONTH($A84,0)+1)
)</f>
        <v>0</v>
      </c>
      <c r="K84" s="166" cm="1">
        <f t="array" ref="K84">SUMPRODUCT(
  IFERROR(--desp[valor],0)*
  (desp[nucleo]="UP JARDIM PRUDENCIA")*
  (desp[categoria]=K$7)*
  (desp[data.pagamento]&gt;=$A84)*
  (desp[data.pagamento]&lt;EOMONTH($A84,0)+1)
)</f>
        <v>0</v>
      </c>
      <c r="L84" s="166" cm="1">
        <f t="array" ref="L84">SUMPRODUCT(
  IFERROR(--desp[valor],0)*
  (desp[nucleo]="UP JARDIM PRUDENCIA")*
  (desp[categoria]=L$7)*
  (desp[data.pagamento]&gt;=$A84)*
  (desp[data.pagamento]&lt;EOMONTH($A84,0)+1)
)</f>
        <v>0</v>
      </c>
      <c r="M84" s="166" cm="1">
        <f t="array" ref="M84">SUMPRODUCT(
  IFERROR(--desp[valor],0)*
  (desp[nucleo]="UP JARDIM PRUDENCIA")*
  (desp[categoria]=M$7)*
  (desp[data.pagamento]&gt;=$A84)*
  (desp[data.pagamento]&lt;EOMONTH($A84,0)+1)
)</f>
        <v>0</v>
      </c>
      <c r="N84" s="177">
        <f>COUNTIFS(
    estq[empresa], N$6,
    estq[Data da venda / reserva], "&gt;=" &amp; $A84,
    estq[Data da venda / reserva], "&lt;"  &amp; EOMONTH($A84,0) + 1
)</f>
        <v>0</v>
      </c>
      <c r="O84" s="178">
        <f ca="1">SUMIFS(rec.uni[2027-10-01],
INDIRECT("rec.uni[natureza]"),"pro.soluto",
INDIRECT("rec.uni[empresa]"),O$6)</f>
        <v>0</v>
      </c>
      <c r="P84" s="178">
        <f ca="1">SUMIFS(rec.uni[2027-10-01],
INDIRECT("rec.uni[natureza]"),"repasse.cef.obra",
INDIRECT("rec.uni[empresa]"),P$6)</f>
        <v>0</v>
      </c>
      <c r="Q84" s="178">
        <f ca="1">SUMIFS(rec.uni[2027-10-01],
INDIRECT("rec.uni[natureza]"),"repasse.cef.terreno",
INDIRECT("rec.uni[empresa]"),Q$6)</f>
        <v>0</v>
      </c>
      <c r="R84" s="182"/>
      <c r="S84" s="178">
        <f ca="1">SUMIFS(rec.uni[2027-10-01],
INDIRECT("rec.uni[natureza]"),"taxa.extra",
INDIRECT("rec.uni[empresa]"),S$6)</f>
        <v>0</v>
      </c>
      <c r="T84" s="166"/>
      <c r="U84" s="166" cm="1">
        <f t="array" ref="U84">SUMPRODUCT(
  IFERROR(--desp[valor],0)*
  (desp[nucleo]="UP VILA SONIA")*
  (desp[categoria]=U$7)*
  (desp[data.pagamento]&gt;=$A84)*
  (desp[data.pagamento]&lt;EOMONTH($A84,0)+1)
)</f>
        <v>0</v>
      </c>
      <c r="V84" s="166" cm="1">
        <f t="array" ref="V84">SUMPRODUCT(
  IFERROR(--desp[valor],0)*
  (desp[nucleo]="UP VILA SONIA")*
  (desp[categoria]=V$7)*
  (desp[data.pagamento]&gt;=$A84)*
  (desp[data.pagamento]&lt;EOMONTH($A84,0)+1)
)</f>
        <v>0</v>
      </c>
      <c r="W84" s="166" cm="1">
        <f t="array" ref="W84">SUMPRODUCT(
  IFERROR(--desp[valor],0)*
  (desp[nucleo]="UP VILA SONIA")*
  (desp[categoria]=W$7)*
  (desp[data.pagamento]&gt;=$A84)*
  (desp[data.pagamento]&lt;EOMONTH($A84,0)+1)
)</f>
        <v>0</v>
      </c>
      <c r="X84" s="166" cm="1">
        <f t="array" ref="X84">SUMPRODUCT(
  IFERROR(--desp[valor],0)*
  (desp[nucleo]="UP VILA SONIA")*
  (desp[categoria]=X$7)*
  (desp[data.pagamento]&gt;=$A84)*
  (desp[data.pagamento]&lt;EOMONTH($A84,0)+1)
)</f>
        <v>0</v>
      </c>
      <c r="Y84" s="166" cm="1">
        <f t="array" ref="Y84">SUMPRODUCT(
  IFERROR(--desp[valor],0)*
  (desp[nucleo]="UP VILA SONIA")*
  (desp[categoria]=Y$7)*
  (desp[data.pagamento]&gt;=$A84)*
  (desp[data.pagamento]&lt;EOMONTH($A84,0)+1)
)</f>
        <v>0</v>
      </c>
      <c r="Z84" s="177">
        <f>COUNTIFS(
    estq[empresa], Z$6,
    estq[Data da venda / reserva], "&gt;=" &amp; $A84,
    estq[Data da venda / reserva], "&lt;"  &amp; EOMONTH($A84,0) + 1
)</f>
        <v>0</v>
      </c>
      <c r="AA84" s="178">
        <f ca="1">SUMIFS(rec.uni[2027-10-01],
INDIRECT("rec.uni[natureza]"),"pro.soluto",
INDIRECT("rec.uni[empresa]"),AA$6)</f>
        <v>0</v>
      </c>
      <c r="AB84" s="182">
        <f ca="1">SUMIFS(rec.uni[2027-10-01],
INDIRECT("rec.uni[natureza]"),"parcela.fin.total.ik",
INDIRECT("rec.uni[empresa]"),AB$6)</f>
        <v>0</v>
      </c>
      <c r="AC84" s="178">
        <f ca="1">SUMIFS(rec.uni[2027-10-01],
INDIRECT("rec.uni[natureza]"),"taxa.extra",
INDIRECT("rec.uni[empresa]"),AC$6)</f>
        <v>0</v>
      </c>
      <c r="AD84" s="166"/>
      <c r="AE84" s="166" cm="1">
        <f t="array" ref="AE84">SUMPRODUCT(
  IFERROR(--desp[valor],0)*
  (desp[nucleo]="UP CAMPO BELO")*
  (desp[categoria]=AE$7)*
  (desp[data.pagamento]&gt;=$A84)*
  (desp[data.pagamento]&lt;EOMONTH($A84,0)+1)
)</f>
        <v>0</v>
      </c>
      <c r="AF84" s="166" cm="1">
        <f t="array" ref="AF84">SUMPRODUCT(
  IFERROR(--desp[valor],0)*
  (desp[nucleo]="UP CAMPO BELO")*
  (desp[categoria]=AF$7)*
  (desp[data.pagamento]&gt;=$A84)*
  (desp[data.pagamento]&lt;EOMONTH($A84,0)+1)
)</f>
        <v>0</v>
      </c>
      <c r="AG84" s="166" cm="1">
        <f t="array" ref="AG84">SUMPRODUCT(
  IFERROR(--desp[valor],0)*
  (desp[nucleo]="UP CAMPO BELO")*
  (desp[categoria]=AG$7)*
  (desp[data.pagamento]&gt;=$A84)*
  (desp[data.pagamento]&lt;EOMONTH($A84,0)+1)
)</f>
        <v>0</v>
      </c>
      <c r="AH84" s="166" cm="1">
        <f t="array" ref="AH84">SUMPRODUCT(
  IFERROR(--desp[valor],0)*
  (desp[nucleo]="UP CAMPO BELO")*
  (desp[categoria]=AH$7)*
  (desp[data.pagamento]&gt;=$A84)*
  (desp[data.pagamento]&lt;EOMONTH($A84,0)+1)
)</f>
        <v>0</v>
      </c>
      <c r="AI84" s="166" cm="1">
        <f t="array" ref="AI84">SUMPRODUCT(
  IFERROR(--desp[valor],0)*
  (desp[nucleo]="UP CAMPO BELO")*
  (desp[categoria]=AI$7)*
  (desp[data.pagamento]&gt;=$A84)*
  (desp[data.pagamento]&lt;EOMONTH($A84,0)+1)
)</f>
        <v>0</v>
      </c>
      <c r="AJ84" s="177">
        <f>COUNTIFS(
    estq[empresa], AJ$6,
    estq[Data da venda / reserva], "&gt;=" &amp; $A84,
    estq[Data da venda / reserva], "&lt;"  &amp; EOMONTH($A84,0) + 1
)</f>
        <v>0</v>
      </c>
      <c r="AK84" s="178">
        <f ca="1">SUMIFS(rec.uni[2027-10-01],
INDIRECT("rec.uni[natureza]"),"pro.soluto",
INDIRECT("rec.uni[empresa]"),AK$6)</f>
        <v>0</v>
      </c>
      <c r="AL84" s="178">
        <f ca="1">SUMIFS(rec.uni[2027-10-01],
INDIRECT("rec.uni[natureza]"),"repasse.cef.obra",
INDIRECT("rec.uni[empresa]"),AL$6)</f>
        <v>0</v>
      </c>
      <c r="AM84" s="181">
        <f ca="1">SUMIFS(rec.uni[2027-10-01],
INDIRECT("rec.uni[natureza]"),"repasse.cef.terreno",
INDIRECT("rec.uni[empresa]"),AM$6)</f>
        <v>0</v>
      </c>
      <c r="AN84" s="182"/>
      <c r="AO84" s="178">
        <f ca="1">SUMIFS(rec.uni[2027-10-01],
INDIRECT("rec.uni[natureza]"),"taxa.extra",
INDIRECT("rec.uni[empresa]"),AO$6)</f>
        <v>0</v>
      </c>
      <c r="AP84" s="166"/>
      <c r="AQ84" s="166" cm="1">
        <f t="array" ref="AQ84">SUMPRODUCT(
  IFERROR(--desp[valor],0)*
  (desp[nucleo]="UP SELECT VILA SONIA")*
  (desp[categoria]=AQ$7)*
  (desp[data.pagamento]&gt;=$A84)*
  (desp[data.pagamento]&lt;EOMONTH($A84,0)+1)
)</f>
        <v>0</v>
      </c>
      <c r="AR84" s="166" cm="1">
        <f t="array" ref="AR84">SUMPRODUCT(
  IFERROR(--desp[valor],0)*
  (desp[nucleo]="UP SELECT VILA SONIA")*
  (desp[categoria]=AR$7)*
  (desp[data.pagamento]&gt;=$A84)*
  (desp[data.pagamento]&lt;EOMONTH($A84,0)+1)
)</f>
        <v>0</v>
      </c>
      <c r="AS84" s="166" cm="1">
        <f t="array" ref="AS84">SUMPRODUCT(
  IFERROR(--desp[valor],0)*
  (desp[nucleo]="UP SELECT VILA SONIA")*
  (desp[categoria]=AS$7)*
  (desp[data.pagamento]&gt;=$A84)*
  (desp[data.pagamento]&lt;EOMONTH($A84,0)+1)
)</f>
        <v>0</v>
      </c>
      <c r="AT84" s="166" cm="1">
        <f t="array" ref="AT84">SUMPRODUCT(
  IFERROR(--desp[valor],0)*
  (desp[nucleo]="UP SELECT VILA SONIA")*
  (desp[categoria]=AT$7)*
  (desp[data.pagamento]&gt;=$A84)*
  (desp[data.pagamento]&lt;EOMONTH($A84,0)+1)
)</f>
        <v>0</v>
      </c>
      <c r="AU84" s="166" cm="1">
        <f t="array" ref="AU84">SUMPRODUCT(
  IFERROR(--desp[valor],0)*
  (desp[nucleo]="UP SELECT VILA SONIA")*
  (desp[categoria]=AU$7)*
  (desp[data.pagamento]&gt;=$A84)*
  (desp[data.pagamento]&lt;EOMONTH($A84,0)+1)
)</f>
        <v>0</v>
      </c>
      <c r="AV84" s="177">
        <f>COUNTIFS(
    estq[empresa], AV$6,
    estq[Data da venda / reserva], "&gt;=" &amp; $A84,
    estq[Data da venda / reserva], "&lt;"  &amp; EOMONTH($A84,0) + 1
)</f>
        <v>0</v>
      </c>
      <c r="AW84" s="178">
        <f ca="1">SUMIFS(rec.uni[2027-10-01],
INDIRECT("rec.uni[natureza]"),"pro.soluto",
INDIRECT("rec.uni[empresa]"),AW$6)</f>
        <v>0</v>
      </c>
      <c r="AX84" s="178">
        <f ca="1">SUMIFS(rec.uni[2027-10-01],
INDIRECT("rec.uni[natureza]"),"repasse.cef.obra",
INDIRECT("rec.uni[empresa]"),AX$6)</f>
        <v>0</v>
      </c>
      <c r="AY84" s="181">
        <f ca="1">SUMIFS(rec.uni[2027-10-01],
INDIRECT("rec.uni[natureza]"),"repasse.cef.terreno",
INDIRECT("rec.uni[empresa]"),AY$6)</f>
        <v>0</v>
      </c>
      <c r="AZ84" s="182"/>
      <c r="BA84" s="178">
        <f ca="1">SUMIFS(rec.uni[2027-10-01],
INDIRECT("rec.uni[natureza]"),"taxa.extra",
INDIRECT("rec.uni[empresa]"),BA$6)</f>
        <v>0</v>
      </c>
      <c r="BB84" s="166"/>
      <c r="BC84" s="166" cm="1">
        <f t="array" ref="BC84">SUMPRODUCT(
  IFERROR(--desp[valor],0)*
  (desp[nucleo]="UP ESTAÇÃO SÃO LUCAS")*
  (desp[categoria]=BC$7)*
  (desp[data.pagamento]&gt;=$A84)*
  (desp[data.pagamento]&lt;EOMONTH($A84,0)+1)
)</f>
        <v>0</v>
      </c>
      <c r="BD84" s="166" cm="1">
        <f t="array" ref="BD84">SUMPRODUCT(
  IFERROR(--desp[valor],0)*
  (desp[nucleo]="UP ESTAÇÃO SÃO LUCAS")*
  (desp[categoria]=BD$7)*
  (desp[data.pagamento]&gt;=$A84)*
  (desp[data.pagamento]&lt;EOMONTH($A84,0)+1)
)</f>
        <v>0</v>
      </c>
      <c r="BE84" s="166" cm="1">
        <f t="array" ref="BE84">SUMPRODUCT(
  IFERROR(--desp[valor],0)*
  (desp[nucleo]="UP ESTAÇÃO SÃO LUCAS")*
  (desp[categoria]=BE$7)*
  (desp[data.pagamento]&gt;=$A84)*
  (desp[data.pagamento]&lt;EOMONTH($A84,0)+1)
)</f>
        <v>0</v>
      </c>
      <c r="BF84" s="166" cm="1">
        <f t="array" ref="BF84">SUMPRODUCT(
  IFERROR(--desp[valor],0)*
  (desp[nucleo]="UP ESTAÇÃO SÃO LUCAS")*
  (desp[categoria]=BF$7)*
  (desp[data.pagamento]&gt;=$A84)*
  (desp[data.pagamento]&lt;EOMONTH($A84,0)+1)
)</f>
        <v>0</v>
      </c>
      <c r="BG84" s="166" cm="1">
        <f t="array" ref="BG84">SUMPRODUCT(
  IFERROR(--desp[valor],0)*
  (desp[nucleo]="UP ESTAÇÃO SÃO LUCAS")*
  (desp[categoria]=BG$7)*
  (desp[data.pagamento]&gt;=$A84)*
  (desp[data.pagamento]&lt;EOMONTH($A84,0)+1)
)</f>
        <v>0</v>
      </c>
      <c r="BH84" s="177">
        <f>COUNTIFS(
    estq[empresa], BH$6,
    estq[Data da venda / reserva], "&gt;=" &amp; $A84,
    estq[Data da venda / reserva], "&lt;"  &amp; EOMONTH($A84,0) + 1
)</f>
        <v>0</v>
      </c>
      <c r="BI84" s="178">
        <f ca="1">SUMIFS(rec.uni[2027-10-01],
INDIRECT("rec.uni[natureza]"),"pro.soluto",
INDIRECT("rec.uni[empresa]"),BI$6)</f>
        <v>0</v>
      </c>
      <c r="BJ84" s="182">
        <f ca="1">SUMIFS(rec.uni[2027-10-01],
INDIRECT("rec.uni[natureza]"),"parcela.fin.total.ik",
INDIRECT("rec.uni[empresa]"),BJ$6)</f>
        <v>0</v>
      </c>
      <c r="BK84" s="178">
        <f ca="1">SUMIFS(rec.uni[2027-10-01],
INDIRECT("rec.uni[natureza]"),"taxa.extra",
INDIRECT("rec.uni[empresa]"),BK$6)</f>
        <v>0</v>
      </c>
      <c r="BL84" s="166"/>
      <c r="BM84" s="166" cm="1">
        <f t="array" ref="BM84">SUMPRODUCT(
  IFERROR(--desp[valor],0)*
  (desp[nucleo]="UP POMPEIA")*
  (desp[categoria]=BM$7)*
  (desp[data.pagamento]&gt;=$A84)*
  (desp[data.pagamento]&lt;EOMONTH($A84,0)+1)
)</f>
        <v>0</v>
      </c>
      <c r="BN84" s="166" cm="1">
        <f t="array" ref="BN84">SUMPRODUCT(
  IFERROR(--desp[valor],0)*
  (desp[nucleo]="UP POMPEIA")*
  (desp[categoria]=BN$7)*
  (desp[data.pagamento]&gt;=$A84)*
  (desp[data.pagamento]&lt;EOMONTH($A84,0)+1)
)</f>
        <v>0</v>
      </c>
      <c r="BO84" s="166" cm="1">
        <f t="array" ref="BO84">SUMPRODUCT(
  IFERROR(--desp[valor],0)*
  (desp[nucleo]="UP POMPEIA")*
  (desp[categoria]=BO$7)*
  (desp[data.pagamento]&gt;=$A84)*
  (desp[data.pagamento]&lt;EOMONTH($A84,0)+1)
)</f>
        <v>0</v>
      </c>
      <c r="BP84" s="166" cm="1">
        <f t="array" ref="BP84">SUMPRODUCT(
  IFERROR(--desp[valor],0)*
  (desp[nucleo]="UP POMPEIA")*
  (desp[categoria]=BP$7)*
  (desp[data.pagamento]&gt;=$A84)*
  (desp[data.pagamento]&lt;EOMONTH($A84,0)+1)
)</f>
        <v>0</v>
      </c>
      <c r="BQ84" s="166" cm="1">
        <f t="array" ref="BQ84">SUMPRODUCT(
  IFERROR(--desp[valor],0)*
  (desp[nucleo]="UP POMPEIA")*
  (desp[categoria]=BQ$7)*
  (desp[data.pagamento]&gt;=$A84)*
  (desp[data.pagamento]&lt;EOMONTH($A84,0)+1)
)</f>
        <v>0</v>
      </c>
      <c r="BR84" s="177">
        <f>COUNTIFS(
    estq[empresa], BR$6,
    estq[Data da venda / reserva], "&gt;=" &amp; $A84,
    estq[Data da venda / reserva], "&lt;"  &amp; EOMONTH($A84,0) + 1
)</f>
        <v>0</v>
      </c>
      <c r="BS84" s="178">
        <f ca="1">SUMIFS(rec.uni[2027-10-01],
INDIRECT("rec.uni[natureza]"),"pro.soluto",
INDIRECT("rec.uni[empresa]"),BS$6)</f>
        <v>0</v>
      </c>
      <c r="BT84" s="182">
        <f ca="1">SUMIFS(rec.uni[2027-10-01],
INDIRECT("rec.uni[natureza]"),"parcela.fin.total.ik",
INDIRECT("rec.uni[empresa]"),BT$6)</f>
        <v>0</v>
      </c>
      <c r="BU84" s="178">
        <f ca="1">SUMIFS(rec.uni[2027-10-01],
INDIRECT("rec.uni[natureza]"),"taxa.extra",
INDIRECT("rec.uni[empresa]"),BU$6)</f>
        <v>0</v>
      </c>
      <c r="BV84" s="166"/>
      <c r="BW84" s="166" cm="1">
        <f t="array" ref="BW84">SUMPRODUCT(
  IFERROR(--desp[valor],0)*
  (desp[nucleo]="UP SAUDE")*
  (desp[categoria]=BW$7)*
  (desp[data.pagamento]&gt;=$A84)*
  (desp[data.pagamento]&lt;EOMONTH($A84,0)+1)
)</f>
        <v>0</v>
      </c>
      <c r="BX84" s="166" cm="1">
        <f t="array" ref="BX84">SUMPRODUCT(
  IFERROR(--desp[valor],0)*
  (desp[nucleo]="UP SAUDE")*
  (desp[categoria]=BX$7)*
  (desp[data.pagamento]&gt;=$A84)*
  (desp[data.pagamento]&lt;EOMONTH($A84,0)+1)
)</f>
        <v>0</v>
      </c>
      <c r="BY84" s="166" cm="1">
        <f t="array" ref="BY84">SUMPRODUCT(
  IFERROR(--desp[valor],0)*
  (desp[nucleo]="UP SAUDE")*
  (desp[categoria]=BY$7)*
  (desp[data.pagamento]&gt;=$A84)*
  (desp[data.pagamento]&lt;EOMONTH($A84,0)+1)
)</f>
        <v>0</v>
      </c>
      <c r="BZ84" s="166" cm="1">
        <f t="array" ref="BZ84">SUMPRODUCT(
  IFERROR(--desp[valor],0)*
  (desp[nucleo]="UP SAUDE")*
  (desp[categoria]=BZ$7)*
  (desp[data.pagamento]&gt;=$A84)*
  (desp[data.pagamento]&lt;EOMONTH($A84,0)+1)
)</f>
        <v>0</v>
      </c>
      <c r="CA84" s="166" cm="1">
        <f t="array" ref="CA84">SUMPRODUCT(
  IFERROR(--desp[valor],0)*
  (desp[nucleo]="UP SAUDE")*
  (desp[categoria]=CA$7)*
  (desp[data.pagamento]&gt;=$A84)*
  (desp[data.pagamento]&lt;EOMONTH($A84,0)+1)
)</f>
        <v>0</v>
      </c>
      <c r="CB84" s="177">
        <f>COUNTIFS(
    estq[empresa], CB$6,
    estq[Data da venda / reserva], "&gt;=" &amp; $A84,
    estq[Data da venda / reserva], "&lt;"  &amp; EOMONTH($A84,0) + 1
)</f>
        <v>0</v>
      </c>
      <c r="CC84" s="178">
        <f ca="1">SUMIFS(rec.uni[2027-10-01],
INDIRECT("rec.uni[natureza]"),"pro.soluto",
INDIRECT("rec.uni[empresa]"),CC$6)</f>
        <v>0</v>
      </c>
      <c r="CD84" s="178">
        <f ca="1">SUMIFS(rec.uni[2027-10-01],
INDIRECT("rec.uni[natureza]"),"repasse.cef.obra",
INDIRECT("rec.uni[empresa]"),CD$6)</f>
        <v>0</v>
      </c>
      <c r="CE84" s="181">
        <f ca="1">SUMIFS(rec.uni[2027-10-01],
INDIRECT("rec.uni[natureza]"),"repasse.cef.terreno",
INDIRECT("rec.uni[empresa]"),CE$6)</f>
        <v>0</v>
      </c>
      <c r="CF84" s="182"/>
      <c r="CG84" s="178">
        <f ca="1">SUMIFS(rec.uni[2027-10-01],
INDIRECT("rec.uni[natureza]"),"taxa.extra",
INDIRECT("rec.uni[empresa]"),CG$6)</f>
        <v>0</v>
      </c>
      <c r="CH84" s="166"/>
      <c r="CI84" s="166" cm="1">
        <f t="array" ref="CI84">SUMPRODUCT(
  IFERROR(--desp[valor],0)*
  (desp[nucleo]="UP ESTAÇÃO VILA SONIA")*
  (desp[categoria]=CI$7)*
  (desp[data.pagamento]&gt;=$A84)*
  (desp[data.pagamento]&lt;EOMONTH($A84,0)+1)
)</f>
        <v>0</v>
      </c>
      <c r="CJ84" s="166" cm="1">
        <f t="array" ref="CJ84">SUMPRODUCT(
  IFERROR(--desp[valor],0)*
  (desp[nucleo]="UP ESTAÇÃO VILA SONIA")*
  (desp[categoria]=CJ$7)*
  (desp[data.pagamento]&gt;=$A84)*
  (desp[data.pagamento]&lt;EOMONTH($A84,0)+1)
)</f>
        <v>0</v>
      </c>
      <c r="CK84" s="166" cm="1">
        <f t="array" ref="CK84">SUMPRODUCT(
  IFERROR(--desp[valor],0)*
  (desp[nucleo]="UP ESTAÇÃO VILA SONIA")*
  (desp[categoria]=CK$7)*
  (desp[data.pagamento]&gt;=$A84)*
  (desp[data.pagamento]&lt;EOMONTH($A84,0)+1)
)</f>
        <v>0</v>
      </c>
      <c r="CL84" s="166" cm="1">
        <f t="array" ref="CL84">SUMPRODUCT(
  IFERROR(--desp[valor],0)*
  (desp[nucleo]="UP ESTAÇÃO VILA SONIA")*
  (desp[categoria]=CL$7)*
  (desp[data.pagamento]&gt;=$A84)*
  (desp[data.pagamento]&lt;EOMONTH($A84,0)+1)
)</f>
        <v>0</v>
      </c>
      <c r="CM84" s="166" cm="1">
        <f t="array" ref="CM84">SUMPRODUCT(
  IFERROR(--desp[valor],0)*
  (desp[nucleo]="UP ESTAÇÃO VILA SONIA")*
  (desp[categoria]=CM$7)*
  (desp[data.pagamento]&gt;=$A84)*
  (desp[data.pagamento]&lt;EOMONTH($A84,0)+1)
)</f>
        <v>0</v>
      </c>
      <c r="CN84" s="177">
        <f>COUNTIFS(
    estq[empresa], CN$6,
    estq[Data da venda / reserva], "&gt;=" &amp; $A84,
    estq[Data da venda / reserva], "&lt;"  &amp; EOMONTH($A84,0) + 1
)</f>
        <v>0</v>
      </c>
      <c r="CO84" s="178">
        <f ca="1">SUMIFS(rec.uni[2027-10-01],
INDIRECT("rec.uni[natureza]"),"pro.soluto",
INDIRECT("rec.uni[empresa]"),CO$6)</f>
        <v>0</v>
      </c>
      <c r="CP84" s="178">
        <f ca="1">SUMIFS(rec.uni[2027-10-01],
INDIRECT("rec.uni[natureza]"),"repasse.cef.obra",
INDIRECT("rec.uni[empresa]"),CP$6)</f>
        <v>0</v>
      </c>
      <c r="CQ84" s="181">
        <f ca="1">SUMIFS(rec.uni[2027-10-01],
INDIRECT("rec.uni[natureza]"),"repasse.cef.terreno",
INDIRECT("rec.uni[empresa]"),CQ$6)</f>
        <v>0</v>
      </c>
      <c r="CR84" s="182"/>
      <c r="CS84" s="178">
        <f ca="1">SUMIFS(rec.uni[2027-10-01],
INDIRECT("rec.uni[natureza]"),"taxa.extra",
INDIRECT("rec.uni[empresa]"),CS$6)</f>
        <v>0</v>
      </c>
      <c r="CT84" s="166"/>
      <c r="CU84" s="166" cm="1">
        <f t="array" ref="CU84">SUMPRODUCT(
  IFERROR(--desp[valor],0)*
  (desp[nucleo]="UP MOVE VILA SONIA")*
  (desp[categoria]=CU$7)*
  (desp[data.pagamento]&gt;=$A84)*
  (desp[data.pagamento]&lt;EOMONTH($A84,0)+1)
)</f>
        <v>0</v>
      </c>
      <c r="CV84" s="166" cm="1">
        <f t="array" ref="CV84">SUMPRODUCT(
  IFERROR(--desp[valor],0)*
  (desp[nucleo]="UP MOVE VILA SONIA")*
  (desp[categoria]=CV$7)*
  (desp[data.pagamento]&gt;=$A84)*
  (desp[data.pagamento]&lt;EOMONTH($A84,0)+1)
)</f>
        <v>0</v>
      </c>
      <c r="CW84" s="166" cm="1">
        <f t="array" ref="CW84">SUMPRODUCT(
  IFERROR(--desp[valor],0)*
  (desp[nucleo]="UP MOVE VILA SONIA")*
  (desp[categoria]=CW$7)*
  (desp[data.pagamento]&gt;=$A84)*
  (desp[data.pagamento]&lt;EOMONTH($A84,0)+1)
)</f>
        <v>0</v>
      </c>
      <c r="CX84" s="166" cm="1">
        <f t="array" ref="CX84">SUMPRODUCT(
  IFERROR(--desp[valor],0)*
  (desp[nucleo]="UP MOVE VILA SONIA")*
  (desp[categoria]=CX$7)*
  (desp[data.pagamento]&gt;=$A84)*
  (desp[data.pagamento]&lt;EOMONTH($A84,0)+1)
)</f>
        <v>0</v>
      </c>
      <c r="CY84" s="291" cm="1">
        <f t="array" ref="CY84">SUMPRODUCT(
  IFERROR(--desp[valor],0)*
  (desp[nucleo]="UP MOVE VILA SONIA")*
  (desp[categoria]=CY$7)*
  (desp[data.pagamento]&gt;=$A84)*
  (desp[data.pagamento]&lt;EOMONTH($A84,0)+1)
)</f>
        <v>0</v>
      </c>
    </row>
    <row r="85" spans="1:103" x14ac:dyDescent="0.25">
      <c r="A85" s="176">
        <v>46692</v>
      </c>
      <c r="B85" s="177">
        <f>COUNTIFS(
    estq[empresa], B$6,
    estq[Data da venda / reserva], "&gt;=" &amp; $A85,
    estq[Data da venda / reserva], "&lt;"  &amp; EOMONTH($A85,0) + 1
)</f>
        <v>0</v>
      </c>
      <c r="C85" s="178">
        <f ca="1">SUMIFS(rec.uni[2027-11-01],
INDIRECT("rec.uni[natureza]"),"pro.soluto",
INDIRECT("rec.uni[empresa]"),C$6)</f>
        <v>0</v>
      </c>
      <c r="D85" s="178">
        <f ca="1">SUMIFS(rec.uni[2027-11-01],
INDIRECT("rec.uni[natureza]"),"repasse.cef.obra",
INDIRECT("rec.uni[empresa]"),D$6)</f>
        <v>0</v>
      </c>
      <c r="E85" s="178">
        <f ca="1">SUMIFS(rec.uni[2027-11-01],
INDIRECT("rec.uni[natureza]"),"repasse.cef.terreno",
INDIRECT("rec.uni[empresa]"),E$6)</f>
        <v>0</v>
      </c>
      <c r="F85" s="182"/>
      <c r="G85" s="178">
        <f ca="1">SUMIFS(rec.uni[2027-11-01],
INDIRECT("rec.uni[natureza]"),"taxa.extra",
INDIRECT("rec.uni[empresa]"),G$6)</f>
        <v>0</v>
      </c>
      <c r="H85" s="166"/>
      <c r="I85" s="166" cm="1">
        <f t="array" ref="I85">SUMPRODUCT(
  IFERROR(--desp[valor],0)*
  (desp[nucleo]="UP JARDIM PRUDENCIA")*
  (desp[categoria]=I$7)*
  (desp[data.pagamento]&gt;=$A85)*
  (desp[data.pagamento]&lt;EOMONTH($A85,0)+1)
)</f>
        <v>0</v>
      </c>
      <c r="J85" s="166" cm="1">
        <f t="array" ref="J85">SUMPRODUCT(
  IFERROR(--desp[valor],0)*
  (desp[nucleo]="UP JARDIM PRUDENCIA")*
  (desp[categoria]=J$7)*
  (desp[data.pagamento]&gt;=$A85)*
  (desp[data.pagamento]&lt;EOMONTH($A85,0)+1)
)</f>
        <v>0</v>
      </c>
      <c r="K85" s="166" cm="1">
        <f t="array" ref="K85">SUMPRODUCT(
  IFERROR(--desp[valor],0)*
  (desp[nucleo]="UP JARDIM PRUDENCIA")*
  (desp[categoria]=K$7)*
  (desp[data.pagamento]&gt;=$A85)*
  (desp[data.pagamento]&lt;EOMONTH($A85,0)+1)
)</f>
        <v>0</v>
      </c>
      <c r="L85" s="166" cm="1">
        <f t="array" ref="L85">SUMPRODUCT(
  IFERROR(--desp[valor],0)*
  (desp[nucleo]="UP JARDIM PRUDENCIA")*
  (desp[categoria]=L$7)*
  (desp[data.pagamento]&gt;=$A85)*
  (desp[data.pagamento]&lt;EOMONTH($A85,0)+1)
)</f>
        <v>0</v>
      </c>
      <c r="M85" s="166" cm="1">
        <f t="array" ref="M85">SUMPRODUCT(
  IFERROR(--desp[valor],0)*
  (desp[nucleo]="UP JARDIM PRUDENCIA")*
  (desp[categoria]=M$7)*
  (desp[data.pagamento]&gt;=$A85)*
  (desp[data.pagamento]&lt;EOMONTH($A85,0)+1)
)</f>
        <v>0</v>
      </c>
      <c r="N85" s="177">
        <f>COUNTIFS(
    estq[empresa], N$6,
    estq[Data da venda / reserva], "&gt;=" &amp; $A85,
    estq[Data da venda / reserva], "&lt;"  &amp; EOMONTH($A85,0) + 1
)</f>
        <v>0</v>
      </c>
      <c r="O85" s="178">
        <f ca="1">SUMIFS(rec.uni[2027-11-01],
INDIRECT("rec.uni[natureza]"),"pro.soluto",
INDIRECT("rec.uni[empresa]"),O$6)</f>
        <v>0</v>
      </c>
      <c r="P85" s="178">
        <f ca="1">SUMIFS(rec.uni[2027-11-01],
INDIRECT("rec.uni[natureza]"),"repasse.cef.obra",
INDIRECT("rec.uni[empresa]"),P$6)</f>
        <v>0</v>
      </c>
      <c r="Q85" s="178">
        <f ca="1">SUMIFS(rec.uni[2027-11-01],
INDIRECT("rec.uni[natureza]"),"repasse.cef.terreno",
INDIRECT("rec.uni[empresa]"),Q$6)</f>
        <v>0</v>
      </c>
      <c r="R85" s="182"/>
      <c r="S85" s="178">
        <f ca="1">SUMIFS(rec.uni[2027-11-01],
INDIRECT("rec.uni[natureza]"),"taxa.extra",
INDIRECT("rec.uni[empresa]"),S$6)</f>
        <v>0</v>
      </c>
      <c r="T85" s="166"/>
      <c r="U85" s="166" cm="1">
        <f t="array" ref="U85">SUMPRODUCT(
  IFERROR(--desp[valor],0)*
  (desp[nucleo]="UP VILA SONIA")*
  (desp[categoria]=U$7)*
  (desp[data.pagamento]&gt;=$A85)*
  (desp[data.pagamento]&lt;EOMONTH($A85,0)+1)
)</f>
        <v>0</v>
      </c>
      <c r="V85" s="166" cm="1">
        <f t="array" ref="V85">SUMPRODUCT(
  IFERROR(--desp[valor],0)*
  (desp[nucleo]="UP VILA SONIA")*
  (desp[categoria]=V$7)*
  (desp[data.pagamento]&gt;=$A85)*
  (desp[data.pagamento]&lt;EOMONTH($A85,0)+1)
)</f>
        <v>0</v>
      </c>
      <c r="W85" s="166" cm="1">
        <f t="array" ref="W85">SUMPRODUCT(
  IFERROR(--desp[valor],0)*
  (desp[nucleo]="UP VILA SONIA")*
  (desp[categoria]=W$7)*
  (desp[data.pagamento]&gt;=$A85)*
  (desp[data.pagamento]&lt;EOMONTH($A85,0)+1)
)</f>
        <v>0</v>
      </c>
      <c r="X85" s="166" cm="1">
        <f t="array" ref="X85">SUMPRODUCT(
  IFERROR(--desp[valor],0)*
  (desp[nucleo]="UP VILA SONIA")*
  (desp[categoria]=X$7)*
  (desp[data.pagamento]&gt;=$A85)*
  (desp[data.pagamento]&lt;EOMONTH($A85,0)+1)
)</f>
        <v>0</v>
      </c>
      <c r="Y85" s="166" cm="1">
        <f t="array" ref="Y85">SUMPRODUCT(
  IFERROR(--desp[valor],0)*
  (desp[nucleo]="UP VILA SONIA")*
  (desp[categoria]=Y$7)*
  (desp[data.pagamento]&gt;=$A85)*
  (desp[data.pagamento]&lt;EOMONTH($A85,0)+1)
)</f>
        <v>0</v>
      </c>
      <c r="Z85" s="177">
        <f>COUNTIFS(
    estq[empresa], Z$6,
    estq[Data da venda / reserva], "&gt;=" &amp; $A85,
    estq[Data da venda / reserva], "&lt;"  &amp; EOMONTH($A85,0) + 1
)</f>
        <v>0</v>
      </c>
      <c r="AA85" s="178">
        <f ca="1">SUMIFS(rec.uni[2027-11-01],
INDIRECT("rec.uni[natureza]"),"pro.soluto",
INDIRECT("rec.uni[empresa]"),AA$6)</f>
        <v>0</v>
      </c>
      <c r="AB85" s="182">
        <f ca="1">SUMIFS(rec.uni[2027-11-01],
INDIRECT("rec.uni[natureza]"),"parcela.fin.total.ik",
INDIRECT("rec.uni[empresa]"),AB$6)</f>
        <v>0</v>
      </c>
      <c r="AC85" s="178">
        <f ca="1">SUMIFS(rec.uni[2027-11-01],
INDIRECT("rec.uni[natureza]"),"taxa.extra",
INDIRECT("rec.uni[empresa]"),AC$6)</f>
        <v>0</v>
      </c>
      <c r="AD85" s="166"/>
      <c r="AE85" s="166" cm="1">
        <f t="array" ref="AE85">SUMPRODUCT(
  IFERROR(--desp[valor],0)*
  (desp[nucleo]="UP CAMPO BELO")*
  (desp[categoria]=AE$7)*
  (desp[data.pagamento]&gt;=$A85)*
  (desp[data.pagamento]&lt;EOMONTH($A85,0)+1)
)</f>
        <v>0</v>
      </c>
      <c r="AF85" s="166" cm="1">
        <f t="array" ref="AF85">SUMPRODUCT(
  IFERROR(--desp[valor],0)*
  (desp[nucleo]="UP CAMPO BELO")*
  (desp[categoria]=AF$7)*
  (desp[data.pagamento]&gt;=$A85)*
  (desp[data.pagamento]&lt;EOMONTH($A85,0)+1)
)</f>
        <v>0</v>
      </c>
      <c r="AG85" s="166" cm="1">
        <f t="array" ref="AG85">SUMPRODUCT(
  IFERROR(--desp[valor],0)*
  (desp[nucleo]="UP CAMPO BELO")*
  (desp[categoria]=AG$7)*
  (desp[data.pagamento]&gt;=$A85)*
  (desp[data.pagamento]&lt;EOMONTH($A85,0)+1)
)</f>
        <v>0</v>
      </c>
      <c r="AH85" s="166" cm="1">
        <f t="array" ref="AH85">SUMPRODUCT(
  IFERROR(--desp[valor],0)*
  (desp[nucleo]="UP CAMPO BELO")*
  (desp[categoria]=AH$7)*
  (desp[data.pagamento]&gt;=$A85)*
  (desp[data.pagamento]&lt;EOMONTH($A85,0)+1)
)</f>
        <v>0</v>
      </c>
      <c r="AI85" s="166" cm="1">
        <f t="array" ref="AI85">SUMPRODUCT(
  IFERROR(--desp[valor],0)*
  (desp[nucleo]="UP CAMPO BELO")*
  (desp[categoria]=AI$7)*
  (desp[data.pagamento]&gt;=$A85)*
  (desp[data.pagamento]&lt;EOMONTH($A85,0)+1)
)</f>
        <v>0</v>
      </c>
      <c r="AJ85" s="177">
        <f>COUNTIFS(
    estq[empresa], AJ$6,
    estq[Data da venda / reserva], "&gt;=" &amp; $A85,
    estq[Data da venda / reserva], "&lt;"  &amp; EOMONTH($A85,0) + 1
)</f>
        <v>0</v>
      </c>
      <c r="AK85" s="178">
        <f ca="1">SUMIFS(rec.uni[2027-11-01],
INDIRECT("rec.uni[natureza]"),"pro.soluto",
INDIRECT("rec.uni[empresa]"),AK$6)</f>
        <v>0</v>
      </c>
      <c r="AL85" s="178">
        <f ca="1">SUMIFS(rec.uni[2027-11-01],
INDIRECT("rec.uni[natureza]"),"repasse.cef.obra",
INDIRECT("rec.uni[empresa]"),AL$6)</f>
        <v>0</v>
      </c>
      <c r="AM85" s="181">
        <f ca="1">SUMIFS(rec.uni[2027-11-01],
INDIRECT("rec.uni[natureza]"),"repasse.cef.terreno",
INDIRECT("rec.uni[empresa]"),AM$6)</f>
        <v>0</v>
      </c>
      <c r="AN85" s="182"/>
      <c r="AO85" s="178">
        <f ca="1">SUMIFS(rec.uni[2027-11-01],
INDIRECT("rec.uni[natureza]"),"taxa.extra",
INDIRECT("rec.uni[empresa]"),AO$6)</f>
        <v>0</v>
      </c>
      <c r="AP85" s="166"/>
      <c r="AQ85" s="166" cm="1">
        <f t="array" ref="AQ85">SUMPRODUCT(
  IFERROR(--desp[valor],0)*
  (desp[nucleo]="UP SELECT VILA SONIA")*
  (desp[categoria]=AQ$7)*
  (desp[data.pagamento]&gt;=$A85)*
  (desp[data.pagamento]&lt;EOMONTH($A85,0)+1)
)</f>
        <v>0</v>
      </c>
      <c r="AR85" s="166" cm="1">
        <f t="array" ref="AR85">SUMPRODUCT(
  IFERROR(--desp[valor],0)*
  (desp[nucleo]="UP SELECT VILA SONIA")*
  (desp[categoria]=AR$7)*
  (desp[data.pagamento]&gt;=$A85)*
  (desp[data.pagamento]&lt;EOMONTH($A85,0)+1)
)</f>
        <v>0</v>
      </c>
      <c r="AS85" s="166" cm="1">
        <f t="array" ref="AS85">SUMPRODUCT(
  IFERROR(--desp[valor],0)*
  (desp[nucleo]="UP SELECT VILA SONIA")*
  (desp[categoria]=AS$7)*
  (desp[data.pagamento]&gt;=$A85)*
  (desp[data.pagamento]&lt;EOMONTH($A85,0)+1)
)</f>
        <v>0</v>
      </c>
      <c r="AT85" s="166" cm="1">
        <f t="array" ref="AT85">SUMPRODUCT(
  IFERROR(--desp[valor],0)*
  (desp[nucleo]="UP SELECT VILA SONIA")*
  (desp[categoria]=AT$7)*
  (desp[data.pagamento]&gt;=$A85)*
  (desp[data.pagamento]&lt;EOMONTH($A85,0)+1)
)</f>
        <v>0</v>
      </c>
      <c r="AU85" s="166" cm="1">
        <f t="array" ref="AU85">SUMPRODUCT(
  IFERROR(--desp[valor],0)*
  (desp[nucleo]="UP SELECT VILA SONIA")*
  (desp[categoria]=AU$7)*
  (desp[data.pagamento]&gt;=$A85)*
  (desp[data.pagamento]&lt;EOMONTH($A85,0)+1)
)</f>
        <v>0</v>
      </c>
      <c r="AV85" s="177">
        <f>COUNTIFS(
    estq[empresa], AV$6,
    estq[Data da venda / reserva], "&gt;=" &amp; $A85,
    estq[Data da venda / reserva], "&lt;"  &amp; EOMONTH($A85,0) + 1
)</f>
        <v>0</v>
      </c>
      <c r="AW85" s="178">
        <f ca="1">SUMIFS(rec.uni[2027-11-01],
INDIRECT("rec.uni[natureza]"),"pro.soluto",
INDIRECT("rec.uni[empresa]"),AW$6)</f>
        <v>0</v>
      </c>
      <c r="AX85" s="178">
        <f ca="1">SUMIFS(rec.uni[2027-11-01],
INDIRECT("rec.uni[natureza]"),"repasse.cef.obra",
INDIRECT("rec.uni[empresa]"),AX$6)</f>
        <v>0</v>
      </c>
      <c r="AY85" s="181">
        <f ca="1">SUMIFS(rec.uni[2027-11-01],
INDIRECT("rec.uni[natureza]"),"repasse.cef.terreno",
INDIRECT("rec.uni[empresa]"),AY$6)</f>
        <v>0</v>
      </c>
      <c r="AZ85" s="182"/>
      <c r="BA85" s="178">
        <f ca="1">SUMIFS(rec.uni[2027-11-01],
INDIRECT("rec.uni[natureza]"),"taxa.extra",
INDIRECT("rec.uni[empresa]"),BA$6)</f>
        <v>0</v>
      </c>
      <c r="BB85" s="166"/>
      <c r="BC85" s="166" cm="1">
        <f t="array" ref="BC85">SUMPRODUCT(
  IFERROR(--desp[valor],0)*
  (desp[nucleo]="UP ESTAÇÃO SÃO LUCAS")*
  (desp[categoria]=BC$7)*
  (desp[data.pagamento]&gt;=$A85)*
  (desp[data.pagamento]&lt;EOMONTH($A85,0)+1)
)</f>
        <v>0</v>
      </c>
      <c r="BD85" s="166" cm="1">
        <f t="array" ref="BD85">SUMPRODUCT(
  IFERROR(--desp[valor],0)*
  (desp[nucleo]="UP ESTAÇÃO SÃO LUCAS")*
  (desp[categoria]=BD$7)*
  (desp[data.pagamento]&gt;=$A85)*
  (desp[data.pagamento]&lt;EOMONTH($A85,0)+1)
)</f>
        <v>0</v>
      </c>
      <c r="BE85" s="166" cm="1">
        <f t="array" ref="BE85">SUMPRODUCT(
  IFERROR(--desp[valor],0)*
  (desp[nucleo]="UP ESTAÇÃO SÃO LUCAS")*
  (desp[categoria]=BE$7)*
  (desp[data.pagamento]&gt;=$A85)*
  (desp[data.pagamento]&lt;EOMONTH($A85,0)+1)
)</f>
        <v>0</v>
      </c>
      <c r="BF85" s="166" cm="1">
        <f t="array" ref="BF85">SUMPRODUCT(
  IFERROR(--desp[valor],0)*
  (desp[nucleo]="UP ESTAÇÃO SÃO LUCAS")*
  (desp[categoria]=BF$7)*
  (desp[data.pagamento]&gt;=$A85)*
  (desp[data.pagamento]&lt;EOMONTH($A85,0)+1)
)</f>
        <v>0</v>
      </c>
      <c r="BG85" s="166" cm="1">
        <f t="array" ref="BG85">SUMPRODUCT(
  IFERROR(--desp[valor],0)*
  (desp[nucleo]="UP ESTAÇÃO SÃO LUCAS")*
  (desp[categoria]=BG$7)*
  (desp[data.pagamento]&gt;=$A85)*
  (desp[data.pagamento]&lt;EOMONTH($A85,0)+1)
)</f>
        <v>0</v>
      </c>
      <c r="BH85" s="177">
        <f>COUNTIFS(
    estq[empresa], BH$6,
    estq[Data da venda / reserva], "&gt;=" &amp; $A85,
    estq[Data da venda / reserva], "&lt;"  &amp; EOMONTH($A85,0) + 1
)</f>
        <v>0</v>
      </c>
      <c r="BI85" s="178">
        <f ca="1">SUMIFS(rec.uni[2027-11-01],
INDIRECT("rec.uni[natureza]"),"pro.soluto",
INDIRECT("rec.uni[empresa]"),BI$6)</f>
        <v>0</v>
      </c>
      <c r="BJ85" s="182">
        <f ca="1">SUMIFS(rec.uni[2027-11-01],
INDIRECT("rec.uni[natureza]"),"parcela.fin.total.ik",
INDIRECT("rec.uni[empresa]"),BJ$6)</f>
        <v>0</v>
      </c>
      <c r="BK85" s="178">
        <f ca="1">SUMIFS(rec.uni[2027-11-01],
INDIRECT("rec.uni[natureza]"),"taxa.extra",
INDIRECT("rec.uni[empresa]"),BK$6)</f>
        <v>0</v>
      </c>
      <c r="BL85" s="166"/>
      <c r="BM85" s="166" cm="1">
        <f t="array" ref="BM85">SUMPRODUCT(
  IFERROR(--desp[valor],0)*
  (desp[nucleo]="UP POMPEIA")*
  (desp[categoria]=BM$7)*
  (desp[data.pagamento]&gt;=$A85)*
  (desp[data.pagamento]&lt;EOMONTH($A85,0)+1)
)</f>
        <v>0</v>
      </c>
      <c r="BN85" s="166" cm="1">
        <f t="array" ref="BN85">SUMPRODUCT(
  IFERROR(--desp[valor],0)*
  (desp[nucleo]="UP POMPEIA")*
  (desp[categoria]=BN$7)*
  (desp[data.pagamento]&gt;=$A85)*
  (desp[data.pagamento]&lt;EOMONTH($A85,0)+1)
)</f>
        <v>0</v>
      </c>
      <c r="BO85" s="166" cm="1">
        <f t="array" ref="BO85">SUMPRODUCT(
  IFERROR(--desp[valor],0)*
  (desp[nucleo]="UP POMPEIA")*
  (desp[categoria]=BO$7)*
  (desp[data.pagamento]&gt;=$A85)*
  (desp[data.pagamento]&lt;EOMONTH($A85,0)+1)
)</f>
        <v>0</v>
      </c>
      <c r="BP85" s="166" cm="1">
        <f t="array" ref="BP85">SUMPRODUCT(
  IFERROR(--desp[valor],0)*
  (desp[nucleo]="UP POMPEIA")*
  (desp[categoria]=BP$7)*
  (desp[data.pagamento]&gt;=$A85)*
  (desp[data.pagamento]&lt;EOMONTH($A85,0)+1)
)</f>
        <v>0</v>
      </c>
      <c r="BQ85" s="166" cm="1">
        <f t="array" ref="BQ85">SUMPRODUCT(
  IFERROR(--desp[valor],0)*
  (desp[nucleo]="UP POMPEIA")*
  (desp[categoria]=BQ$7)*
  (desp[data.pagamento]&gt;=$A85)*
  (desp[data.pagamento]&lt;EOMONTH($A85,0)+1)
)</f>
        <v>0</v>
      </c>
      <c r="BR85" s="177">
        <f>COUNTIFS(
    estq[empresa], BR$6,
    estq[Data da venda / reserva], "&gt;=" &amp; $A85,
    estq[Data da venda / reserva], "&lt;"  &amp; EOMONTH($A85,0) + 1
)</f>
        <v>0</v>
      </c>
      <c r="BS85" s="178">
        <f ca="1">SUMIFS(rec.uni[2027-11-01],
INDIRECT("rec.uni[natureza]"),"pro.soluto",
INDIRECT("rec.uni[empresa]"),BS$6)</f>
        <v>0</v>
      </c>
      <c r="BT85" s="182">
        <f ca="1">SUMIFS(rec.uni[2027-11-01],
INDIRECT("rec.uni[natureza]"),"parcela.fin.total.ik",
INDIRECT("rec.uni[empresa]"),BT$6)</f>
        <v>0</v>
      </c>
      <c r="BU85" s="178">
        <f ca="1">SUMIFS(rec.uni[2027-11-01],
INDIRECT("rec.uni[natureza]"),"taxa.extra",
INDIRECT("rec.uni[empresa]"),BU$6)</f>
        <v>0</v>
      </c>
      <c r="BV85" s="166"/>
      <c r="BW85" s="166" cm="1">
        <f t="array" ref="BW85">SUMPRODUCT(
  IFERROR(--desp[valor],0)*
  (desp[nucleo]="UP SAUDE")*
  (desp[categoria]=BW$7)*
  (desp[data.pagamento]&gt;=$A85)*
  (desp[data.pagamento]&lt;EOMONTH($A85,0)+1)
)</f>
        <v>0</v>
      </c>
      <c r="BX85" s="166" cm="1">
        <f t="array" ref="BX85">SUMPRODUCT(
  IFERROR(--desp[valor],0)*
  (desp[nucleo]="UP SAUDE")*
  (desp[categoria]=BX$7)*
  (desp[data.pagamento]&gt;=$A85)*
  (desp[data.pagamento]&lt;EOMONTH($A85,0)+1)
)</f>
        <v>0</v>
      </c>
      <c r="BY85" s="166" cm="1">
        <f t="array" ref="BY85">SUMPRODUCT(
  IFERROR(--desp[valor],0)*
  (desp[nucleo]="UP SAUDE")*
  (desp[categoria]=BY$7)*
  (desp[data.pagamento]&gt;=$A85)*
  (desp[data.pagamento]&lt;EOMONTH($A85,0)+1)
)</f>
        <v>0</v>
      </c>
      <c r="BZ85" s="166" cm="1">
        <f t="array" ref="BZ85">SUMPRODUCT(
  IFERROR(--desp[valor],0)*
  (desp[nucleo]="UP SAUDE")*
  (desp[categoria]=BZ$7)*
  (desp[data.pagamento]&gt;=$A85)*
  (desp[data.pagamento]&lt;EOMONTH($A85,0)+1)
)</f>
        <v>0</v>
      </c>
      <c r="CA85" s="166" cm="1">
        <f t="array" ref="CA85">SUMPRODUCT(
  IFERROR(--desp[valor],0)*
  (desp[nucleo]="UP SAUDE")*
  (desp[categoria]=CA$7)*
  (desp[data.pagamento]&gt;=$A85)*
  (desp[data.pagamento]&lt;EOMONTH($A85,0)+1)
)</f>
        <v>0</v>
      </c>
      <c r="CB85" s="177">
        <f>COUNTIFS(
    estq[empresa], CB$6,
    estq[Data da venda / reserva], "&gt;=" &amp; $A85,
    estq[Data da venda / reserva], "&lt;"  &amp; EOMONTH($A85,0) + 1
)</f>
        <v>0</v>
      </c>
      <c r="CC85" s="178">
        <f ca="1">SUMIFS(rec.uni[2027-11-01],
INDIRECT("rec.uni[natureza]"),"pro.soluto",
INDIRECT("rec.uni[empresa]"),CC$6)</f>
        <v>0</v>
      </c>
      <c r="CD85" s="178">
        <f ca="1">SUMIFS(rec.uni[2027-11-01],
INDIRECT("rec.uni[natureza]"),"repasse.cef.obra",
INDIRECT("rec.uni[empresa]"),CD$6)</f>
        <v>0</v>
      </c>
      <c r="CE85" s="181">
        <f ca="1">SUMIFS(rec.uni[2027-11-01],
INDIRECT("rec.uni[natureza]"),"repasse.cef.terreno",
INDIRECT("rec.uni[empresa]"),CE$6)</f>
        <v>0</v>
      </c>
      <c r="CF85" s="182"/>
      <c r="CG85" s="178">
        <f ca="1">SUMIFS(rec.uni[2027-11-01],
INDIRECT("rec.uni[natureza]"),"taxa.extra",
INDIRECT("rec.uni[empresa]"),CG$6)</f>
        <v>0</v>
      </c>
      <c r="CH85" s="166"/>
      <c r="CI85" s="166" cm="1">
        <f t="array" ref="CI85">SUMPRODUCT(
  IFERROR(--desp[valor],0)*
  (desp[nucleo]="UP ESTAÇÃO VILA SONIA")*
  (desp[categoria]=CI$7)*
  (desp[data.pagamento]&gt;=$A85)*
  (desp[data.pagamento]&lt;EOMONTH($A85,0)+1)
)</f>
        <v>0</v>
      </c>
      <c r="CJ85" s="166" cm="1">
        <f t="array" ref="CJ85">SUMPRODUCT(
  IFERROR(--desp[valor],0)*
  (desp[nucleo]="UP ESTAÇÃO VILA SONIA")*
  (desp[categoria]=CJ$7)*
  (desp[data.pagamento]&gt;=$A85)*
  (desp[data.pagamento]&lt;EOMONTH($A85,0)+1)
)</f>
        <v>0</v>
      </c>
      <c r="CK85" s="166" cm="1">
        <f t="array" ref="CK85">SUMPRODUCT(
  IFERROR(--desp[valor],0)*
  (desp[nucleo]="UP ESTAÇÃO VILA SONIA")*
  (desp[categoria]=CK$7)*
  (desp[data.pagamento]&gt;=$A85)*
  (desp[data.pagamento]&lt;EOMONTH($A85,0)+1)
)</f>
        <v>0</v>
      </c>
      <c r="CL85" s="166" cm="1">
        <f t="array" ref="CL85">SUMPRODUCT(
  IFERROR(--desp[valor],0)*
  (desp[nucleo]="UP ESTAÇÃO VILA SONIA")*
  (desp[categoria]=CL$7)*
  (desp[data.pagamento]&gt;=$A85)*
  (desp[data.pagamento]&lt;EOMONTH($A85,0)+1)
)</f>
        <v>0</v>
      </c>
      <c r="CM85" s="166" cm="1">
        <f t="array" ref="CM85">SUMPRODUCT(
  IFERROR(--desp[valor],0)*
  (desp[nucleo]="UP ESTAÇÃO VILA SONIA")*
  (desp[categoria]=CM$7)*
  (desp[data.pagamento]&gt;=$A85)*
  (desp[data.pagamento]&lt;EOMONTH($A85,0)+1)
)</f>
        <v>0</v>
      </c>
      <c r="CN85" s="177">
        <f>COUNTIFS(
    estq[empresa], CN$6,
    estq[Data da venda / reserva], "&gt;=" &amp; $A85,
    estq[Data da venda / reserva], "&lt;"  &amp; EOMONTH($A85,0) + 1
)</f>
        <v>0</v>
      </c>
      <c r="CO85" s="178">
        <f ca="1">SUMIFS(rec.uni[2027-11-01],
INDIRECT("rec.uni[natureza]"),"pro.soluto",
INDIRECT("rec.uni[empresa]"),CO$6)</f>
        <v>0</v>
      </c>
      <c r="CP85" s="178">
        <f ca="1">SUMIFS(rec.uni[2027-11-01],
INDIRECT("rec.uni[natureza]"),"repasse.cef.obra",
INDIRECT("rec.uni[empresa]"),CP$6)</f>
        <v>0</v>
      </c>
      <c r="CQ85" s="181">
        <f ca="1">SUMIFS(rec.uni[2027-11-01],
INDIRECT("rec.uni[natureza]"),"repasse.cef.terreno",
INDIRECT("rec.uni[empresa]"),CQ$6)</f>
        <v>0</v>
      </c>
      <c r="CR85" s="182"/>
      <c r="CS85" s="178">
        <f ca="1">SUMIFS(rec.uni[2027-11-01],
INDIRECT("rec.uni[natureza]"),"taxa.extra",
INDIRECT("rec.uni[empresa]"),CS$6)</f>
        <v>0</v>
      </c>
      <c r="CT85" s="166"/>
      <c r="CU85" s="166" cm="1">
        <f t="array" ref="CU85">SUMPRODUCT(
  IFERROR(--desp[valor],0)*
  (desp[nucleo]="UP MOVE VILA SONIA")*
  (desp[categoria]=CU$7)*
  (desp[data.pagamento]&gt;=$A85)*
  (desp[data.pagamento]&lt;EOMONTH($A85,0)+1)
)</f>
        <v>0</v>
      </c>
      <c r="CV85" s="166" cm="1">
        <f t="array" ref="CV85">SUMPRODUCT(
  IFERROR(--desp[valor],0)*
  (desp[nucleo]="UP MOVE VILA SONIA")*
  (desp[categoria]=CV$7)*
  (desp[data.pagamento]&gt;=$A85)*
  (desp[data.pagamento]&lt;EOMONTH($A85,0)+1)
)</f>
        <v>0</v>
      </c>
      <c r="CW85" s="166" cm="1">
        <f t="array" ref="CW85">SUMPRODUCT(
  IFERROR(--desp[valor],0)*
  (desp[nucleo]="UP MOVE VILA SONIA")*
  (desp[categoria]=CW$7)*
  (desp[data.pagamento]&gt;=$A85)*
  (desp[data.pagamento]&lt;EOMONTH($A85,0)+1)
)</f>
        <v>0</v>
      </c>
      <c r="CX85" s="166" cm="1">
        <f t="array" ref="CX85">SUMPRODUCT(
  IFERROR(--desp[valor],0)*
  (desp[nucleo]="UP MOVE VILA SONIA")*
  (desp[categoria]=CX$7)*
  (desp[data.pagamento]&gt;=$A85)*
  (desp[data.pagamento]&lt;EOMONTH($A85,0)+1)
)</f>
        <v>0</v>
      </c>
      <c r="CY85" s="291" cm="1">
        <f t="array" ref="CY85">SUMPRODUCT(
  IFERROR(--desp[valor],0)*
  (desp[nucleo]="UP MOVE VILA SONIA")*
  (desp[categoria]=CY$7)*
  (desp[data.pagamento]&gt;=$A85)*
  (desp[data.pagamento]&lt;EOMONTH($A85,0)+1)
)</f>
        <v>0</v>
      </c>
    </row>
    <row r="86" spans="1:103" x14ac:dyDescent="0.25">
      <c r="A86" s="176">
        <v>46722</v>
      </c>
      <c r="B86" s="177">
        <f>COUNTIFS(
    estq[empresa], B$6,
    estq[Data da venda / reserva], "&gt;=" &amp; $A86,
    estq[Data da venda / reserva], "&lt;"  &amp; EOMONTH($A86,0) + 1
)</f>
        <v>0</v>
      </c>
      <c r="C86" s="178">
        <f ca="1">SUMIFS(rec.uni[2027-12-01],
INDIRECT("rec.uni[natureza]"),"pro.soluto",
INDIRECT("rec.uni[empresa]"),C$6)</f>
        <v>0</v>
      </c>
      <c r="D86" s="178">
        <f ca="1">SUMIFS(rec.uni[2027-12-01],
INDIRECT("rec.uni[natureza]"),"repasse.cef.obra",
INDIRECT("rec.uni[empresa]"),D$6)</f>
        <v>0</v>
      </c>
      <c r="E86" s="178">
        <f ca="1">SUMIFS(rec.uni[2027-12-01],
INDIRECT("rec.uni[natureza]"),"repasse.cef.terreno",
INDIRECT("rec.uni[empresa]"),E$6)</f>
        <v>0</v>
      </c>
      <c r="F86" s="182"/>
      <c r="G86" s="178">
        <f ca="1">SUMIFS(rec.uni[2027-12-01],
INDIRECT("rec.uni[natureza]"),"taxa.extra",
INDIRECT("rec.uni[empresa]"),G$6)</f>
        <v>0</v>
      </c>
      <c r="H86" s="166"/>
      <c r="I86" s="166" cm="1">
        <f t="array" ref="I86">SUMPRODUCT(
  IFERROR(--desp[valor],0)*
  (desp[nucleo]="UP JARDIM PRUDENCIA")*
  (desp[categoria]=I$7)*
  (desp[data.pagamento]&gt;=$A86)*
  (desp[data.pagamento]&lt;EOMONTH($A86,0)+1)
)</f>
        <v>0</v>
      </c>
      <c r="J86" s="166" cm="1">
        <f t="array" ref="J86">SUMPRODUCT(
  IFERROR(--desp[valor],0)*
  (desp[nucleo]="UP JARDIM PRUDENCIA")*
  (desp[categoria]=J$7)*
  (desp[data.pagamento]&gt;=$A86)*
  (desp[data.pagamento]&lt;EOMONTH($A86,0)+1)
)</f>
        <v>0</v>
      </c>
      <c r="K86" s="166" cm="1">
        <f t="array" ref="K86">SUMPRODUCT(
  IFERROR(--desp[valor],0)*
  (desp[nucleo]="UP JARDIM PRUDENCIA")*
  (desp[categoria]=K$7)*
  (desp[data.pagamento]&gt;=$A86)*
  (desp[data.pagamento]&lt;EOMONTH($A86,0)+1)
)</f>
        <v>0</v>
      </c>
      <c r="L86" s="166" cm="1">
        <f t="array" ref="L86">SUMPRODUCT(
  IFERROR(--desp[valor],0)*
  (desp[nucleo]="UP JARDIM PRUDENCIA")*
  (desp[categoria]=L$7)*
  (desp[data.pagamento]&gt;=$A86)*
  (desp[data.pagamento]&lt;EOMONTH($A86,0)+1)
)</f>
        <v>0</v>
      </c>
      <c r="M86" s="166" cm="1">
        <f t="array" ref="M86">SUMPRODUCT(
  IFERROR(--desp[valor],0)*
  (desp[nucleo]="UP JARDIM PRUDENCIA")*
  (desp[categoria]=M$7)*
  (desp[data.pagamento]&gt;=$A86)*
  (desp[data.pagamento]&lt;EOMONTH($A86,0)+1)
)</f>
        <v>0</v>
      </c>
      <c r="N86" s="177">
        <f>COUNTIFS(
    estq[empresa], N$6,
    estq[Data da venda / reserva], "&gt;=" &amp; $A86,
    estq[Data da venda / reserva], "&lt;"  &amp; EOMONTH($A86,0) + 1
)</f>
        <v>0</v>
      </c>
      <c r="O86" s="178">
        <f ca="1">SUMIFS(rec.uni[2027-12-01],
INDIRECT("rec.uni[natureza]"),"pro.soluto",
INDIRECT("rec.uni[empresa]"),O$6)</f>
        <v>0</v>
      </c>
      <c r="P86" s="178">
        <f ca="1">SUMIFS(rec.uni[2027-12-01],
INDIRECT("rec.uni[natureza]"),"repasse.cef.obra",
INDIRECT("rec.uni[empresa]"),P$6)</f>
        <v>0</v>
      </c>
      <c r="Q86" s="178">
        <f ca="1">SUMIFS(rec.uni[2027-12-01],
INDIRECT("rec.uni[natureza]"),"repasse.cef.terreno",
INDIRECT("rec.uni[empresa]"),Q$6)</f>
        <v>0</v>
      </c>
      <c r="R86" s="182"/>
      <c r="S86" s="178">
        <f ca="1">SUMIFS(rec.uni[2027-12-01],
INDIRECT("rec.uni[natureza]"),"taxa.extra",
INDIRECT("rec.uni[empresa]"),S$6)</f>
        <v>0</v>
      </c>
      <c r="T86" s="166"/>
      <c r="U86" s="166" cm="1">
        <f t="array" ref="U86">SUMPRODUCT(
  IFERROR(--desp[valor],0)*
  (desp[nucleo]="UP VILA SONIA")*
  (desp[categoria]=U$7)*
  (desp[data.pagamento]&gt;=$A86)*
  (desp[data.pagamento]&lt;EOMONTH($A86,0)+1)
)</f>
        <v>0</v>
      </c>
      <c r="V86" s="166" cm="1">
        <f t="array" ref="V86">SUMPRODUCT(
  IFERROR(--desp[valor],0)*
  (desp[nucleo]="UP VILA SONIA")*
  (desp[categoria]=V$7)*
  (desp[data.pagamento]&gt;=$A86)*
  (desp[data.pagamento]&lt;EOMONTH($A86,0)+1)
)</f>
        <v>0</v>
      </c>
      <c r="W86" s="166" cm="1">
        <f t="array" ref="W86">SUMPRODUCT(
  IFERROR(--desp[valor],0)*
  (desp[nucleo]="UP VILA SONIA")*
  (desp[categoria]=W$7)*
  (desp[data.pagamento]&gt;=$A86)*
  (desp[data.pagamento]&lt;EOMONTH($A86,0)+1)
)</f>
        <v>0</v>
      </c>
      <c r="X86" s="166" cm="1">
        <f t="array" ref="X86">SUMPRODUCT(
  IFERROR(--desp[valor],0)*
  (desp[nucleo]="UP VILA SONIA")*
  (desp[categoria]=X$7)*
  (desp[data.pagamento]&gt;=$A86)*
  (desp[data.pagamento]&lt;EOMONTH($A86,0)+1)
)</f>
        <v>0</v>
      </c>
      <c r="Y86" s="166" cm="1">
        <f t="array" ref="Y86">SUMPRODUCT(
  IFERROR(--desp[valor],0)*
  (desp[nucleo]="UP VILA SONIA")*
  (desp[categoria]=Y$7)*
  (desp[data.pagamento]&gt;=$A86)*
  (desp[data.pagamento]&lt;EOMONTH($A86,0)+1)
)</f>
        <v>0</v>
      </c>
      <c r="Z86" s="177">
        <f>COUNTIFS(
    estq[empresa], Z$6,
    estq[Data da venda / reserva], "&gt;=" &amp; $A86,
    estq[Data da venda / reserva], "&lt;"  &amp; EOMONTH($A86,0) + 1
)</f>
        <v>0</v>
      </c>
      <c r="AA86" s="178">
        <f ca="1">SUMIFS(rec.uni[2027-12-01],
INDIRECT("rec.uni[natureza]"),"pro.soluto",
INDIRECT("rec.uni[empresa]"),AA$6)</f>
        <v>0</v>
      </c>
      <c r="AB86" s="182">
        <f ca="1">SUMIFS(rec.uni[2027-12-01],
INDIRECT("rec.uni[natureza]"),"parcela.fin.total.ik",
INDIRECT("rec.uni[empresa]"),AB$6)</f>
        <v>0</v>
      </c>
      <c r="AC86" s="178">
        <f ca="1">SUMIFS(rec.uni[2027-12-01],
INDIRECT("rec.uni[natureza]"),"taxa.extra",
INDIRECT("rec.uni[empresa]"),AC$6)</f>
        <v>0</v>
      </c>
      <c r="AD86" s="166"/>
      <c r="AE86" s="166" cm="1">
        <f t="array" ref="AE86">SUMPRODUCT(
  IFERROR(--desp[valor],0)*
  (desp[nucleo]="UP CAMPO BELO")*
  (desp[categoria]=AE$7)*
  (desp[data.pagamento]&gt;=$A86)*
  (desp[data.pagamento]&lt;EOMONTH($A86,0)+1)
)</f>
        <v>0</v>
      </c>
      <c r="AF86" s="166" cm="1">
        <f t="array" ref="AF86">SUMPRODUCT(
  IFERROR(--desp[valor],0)*
  (desp[nucleo]="UP CAMPO BELO")*
  (desp[categoria]=AF$7)*
  (desp[data.pagamento]&gt;=$A86)*
  (desp[data.pagamento]&lt;EOMONTH($A86,0)+1)
)</f>
        <v>0</v>
      </c>
      <c r="AG86" s="166" cm="1">
        <f t="array" ref="AG86">SUMPRODUCT(
  IFERROR(--desp[valor],0)*
  (desp[nucleo]="UP CAMPO BELO")*
  (desp[categoria]=AG$7)*
  (desp[data.pagamento]&gt;=$A86)*
  (desp[data.pagamento]&lt;EOMONTH($A86,0)+1)
)</f>
        <v>0</v>
      </c>
      <c r="AH86" s="166" cm="1">
        <f t="array" ref="AH86">SUMPRODUCT(
  IFERROR(--desp[valor],0)*
  (desp[nucleo]="UP CAMPO BELO")*
  (desp[categoria]=AH$7)*
  (desp[data.pagamento]&gt;=$A86)*
  (desp[data.pagamento]&lt;EOMONTH($A86,0)+1)
)</f>
        <v>0</v>
      </c>
      <c r="AI86" s="166" cm="1">
        <f t="array" ref="AI86">SUMPRODUCT(
  IFERROR(--desp[valor],0)*
  (desp[nucleo]="UP CAMPO BELO")*
  (desp[categoria]=AI$7)*
  (desp[data.pagamento]&gt;=$A86)*
  (desp[data.pagamento]&lt;EOMONTH($A86,0)+1)
)</f>
        <v>0</v>
      </c>
      <c r="AJ86" s="177">
        <f>COUNTIFS(
    estq[empresa], AJ$6,
    estq[Data da venda / reserva], "&gt;=" &amp; $A86,
    estq[Data da venda / reserva], "&lt;"  &amp; EOMONTH($A86,0) + 1
)</f>
        <v>0</v>
      </c>
      <c r="AK86" s="178">
        <f ca="1">SUMIFS(rec.uni[2027-12-01],
INDIRECT("rec.uni[natureza]"),"pro.soluto",
INDIRECT("rec.uni[empresa]"),AK$6)</f>
        <v>0</v>
      </c>
      <c r="AL86" s="178">
        <f ca="1">SUMIFS(rec.uni[2027-12-01],
INDIRECT("rec.uni[natureza]"),"repasse.cef.obra",
INDIRECT("rec.uni[empresa]"),AL$6)</f>
        <v>0</v>
      </c>
      <c r="AM86" s="181">
        <f ca="1">SUMIFS(rec.uni[2027-12-01],
INDIRECT("rec.uni[natureza]"),"repasse.cef.terreno",
INDIRECT("rec.uni[empresa]"),AM$6)</f>
        <v>0</v>
      </c>
      <c r="AN86" s="182"/>
      <c r="AO86" s="178">
        <f ca="1">SUMIFS(rec.uni[2027-12-01],
INDIRECT("rec.uni[natureza]"),"taxa.extra",
INDIRECT("rec.uni[empresa]"),AO$6)</f>
        <v>0</v>
      </c>
      <c r="AP86" s="166"/>
      <c r="AQ86" s="166" cm="1">
        <f t="array" ref="AQ86">SUMPRODUCT(
  IFERROR(--desp[valor],0)*
  (desp[nucleo]="UP SELECT VILA SONIA")*
  (desp[categoria]=AQ$7)*
  (desp[data.pagamento]&gt;=$A86)*
  (desp[data.pagamento]&lt;EOMONTH($A86,0)+1)
)</f>
        <v>0</v>
      </c>
      <c r="AR86" s="166" cm="1">
        <f t="array" ref="AR86">SUMPRODUCT(
  IFERROR(--desp[valor],0)*
  (desp[nucleo]="UP SELECT VILA SONIA")*
  (desp[categoria]=AR$7)*
  (desp[data.pagamento]&gt;=$A86)*
  (desp[data.pagamento]&lt;EOMONTH($A86,0)+1)
)</f>
        <v>0</v>
      </c>
      <c r="AS86" s="166" cm="1">
        <f t="array" ref="AS86">SUMPRODUCT(
  IFERROR(--desp[valor],0)*
  (desp[nucleo]="UP SELECT VILA SONIA")*
  (desp[categoria]=AS$7)*
  (desp[data.pagamento]&gt;=$A86)*
  (desp[data.pagamento]&lt;EOMONTH($A86,0)+1)
)</f>
        <v>0</v>
      </c>
      <c r="AT86" s="166" cm="1">
        <f t="array" ref="AT86">SUMPRODUCT(
  IFERROR(--desp[valor],0)*
  (desp[nucleo]="UP SELECT VILA SONIA")*
  (desp[categoria]=AT$7)*
  (desp[data.pagamento]&gt;=$A86)*
  (desp[data.pagamento]&lt;EOMONTH($A86,0)+1)
)</f>
        <v>0</v>
      </c>
      <c r="AU86" s="166" cm="1">
        <f t="array" ref="AU86">SUMPRODUCT(
  IFERROR(--desp[valor],0)*
  (desp[nucleo]="UP SELECT VILA SONIA")*
  (desp[categoria]=AU$7)*
  (desp[data.pagamento]&gt;=$A86)*
  (desp[data.pagamento]&lt;EOMONTH($A86,0)+1)
)</f>
        <v>0</v>
      </c>
      <c r="AV86" s="177">
        <f>COUNTIFS(
    estq[empresa], AV$6,
    estq[Data da venda / reserva], "&gt;=" &amp; $A86,
    estq[Data da venda / reserva], "&lt;"  &amp; EOMONTH($A86,0) + 1
)</f>
        <v>0</v>
      </c>
      <c r="AW86" s="178">
        <f ca="1">SUMIFS(rec.uni[2027-12-01],
INDIRECT("rec.uni[natureza]"),"pro.soluto",
INDIRECT("rec.uni[empresa]"),AW$6)</f>
        <v>0</v>
      </c>
      <c r="AX86" s="178">
        <f ca="1">SUMIFS(rec.uni[2027-12-01],
INDIRECT("rec.uni[natureza]"),"repasse.cef.obra",
INDIRECT("rec.uni[empresa]"),AX$6)</f>
        <v>0</v>
      </c>
      <c r="AY86" s="181">
        <f ca="1">SUMIFS(rec.uni[2027-12-01],
INDIRECT("rec.uni[natureza]"),"repasse.cef.terreno",
INDIRECT("rec.uni[empresa]"),AY$6)</f>
        <v>0</v>
      </c>
      <c r="AZ86" s="182"/>
      <c r="BA86" s="178">
        <f ca="1">SUMIFS(rec.uni[2027-12-01],
INDIRECT("rec.uni[natureza]"),"taxa.extra",
INDIRECT("rec.uni[empresa]"),BA$6)</f>
        <v>0</v>
      </c>
      <c r="BB86" s="166"/>
      <c r="BC86" s="166" cm="1">
        <f t="array" ref="BC86">SUMPRODUCT(
  IFERROR(--desp[valor],0)*
  (desp[nucleo]="UP ESTAÇÃO SÃO LUCAS")*
  (desp[categoria]=BC$7)*
  (desp[data.pagamento]&gt;=$A86)*
  (desp[data.pagamento]&lt;EOMONTH($A86,0)+1)
)</f>
        <v>0</v>
      </c>
      <c r="BD86" s="166" cm="1">
        <f t="array" ref="BD86">SUMPRODUCT(
  IFERROR(--desp[valor],0)*
  (desp[nucleo]="UP ESTAÇÃO SÃO LUCAS")*
  (desp[categoria]=BD$7)*
  (desp[data.pagamento]&gt;=$A86)*
  (desp[data.pagamento]&lt;EOMONTH($A86,0)+1)
)</f>
        <v>0</v>
      </c>
      <c r="BE86" s="166" cm="1">
        <f t="array" ref="BE86">SUMPRODUCT(
  IFERROR(--desp[valor],0)*
  (desp[nucleo]="UP ESTAÇÃO SÃO LUCAS")*
  (desp[categoria]=BE$7)*
  (desp[data.pagamento]&gt;=$A86)*
  (desp[data.pagamento]&lt;EOMONTH($A86,0)+1)
)</f>
        <v>0</v>
      </c>
      <c r="BF86" s="166" cm="1">
        <f t="array" ref="BF86">SUMPRODUCT(
  IFERROR(--desp[valor],0)*
  (desp[nucleo]="UP ESTAÇÃO SÃO LUCAS")*
  (desp[categoria]=BF$7)*
  (desp[data.pagamento]&gt;=$A86)*
  (desp[data.pagamento]&lt;EOMONTH($A86,0)+1)
)</f>
        <v>0</v>
      </c>
      <c r="BG86" s="166" cm="1">
        <f t="array" ref="BG86">SUMPRODUCT(
  IFERROR(--desp[valor],0)*
  (desp[nucleo]="UP ESTAÇÃO SÃO LUCAS")*
  (desp[categoria]=BG$7)*
  (desp[data.pagamento]&gt;=$A86)*
  (desp[data.pagamento]&lt;EOMONTH($A86,0)+1)
)</f>
        <v>0</v>
      </c>
      <c r="BH86" s="177">
        <f>COUNTIFS(
    estq[empresa], BH$6,
    estq[Data da venda / reserva], "&gt;=" &amp; $A86,
    estq[Data da venda / reserva], "&lt;"  &amp; EOMONTH($A86,0) + 1
)</f>
        <v>0</v>
      </c>
      <c r="BI86" s="178">
        <f ca="1">SUMIFS(rec.uni[2027-12-01],
INDIRECT("rec.uni[natureza]"),"pro.soluto",
INDIRECT("rec.uni[empresa]"),BI$6)</f>
        <v>0</v>
      </c>
      <c r="BJ86" s="182">
        <f ca="1">SUMIFS(rec.uni[2027-12-01],
INDIRECT("rec.uni[natureza]"),"parcela.fin.total.ik",
INDIRECT("rec.uni[empresa]"),BJ$6)</f>
        <v>0</v>
      </c>
      <c r="BK86" s="178">
        <f ca="1">SUMIFS(rec.uni[2027-12-01],
INDIRECT("rec.uni[natureza]"),"taxa.extra",
INDIRECT("rec.uni[empresa]"),BK$6)</f>
        <v>0</v>
      </c>
      <c r="BL86" s="166"/>
      <c r="BM86" s="166" cm="1">
        <f t="array" ref="BM86">SUMPRODUCT(
  IFERROR(--desp[valor],0)*
  (desp[nucleo]="UP POMPEIA")*
  (desp[categoria]=BM$7)*
  (desp[data.pagamento]&gt;=$A86)*
  (desp[data.pagamento]&lt;EOMONTH($A86,0)+1)
)</f>
        <v>0</v>
      </c>
      <c r="BN86" s="166" cm="1">
        <f t="array" ref="BN86">SUMPRODUCT(
  IFERROR(--desp[valor],0)*
  (desp[nucleo]="UP POMPEIA")*
  (desp[categoria]=BN$7)*
  (desp[data.pagamento]&gt;=$A86)*
  (desp[data.pagamento]&lt;EOMONTH($A86,0)+1)
)</f>
        <v>0</v>
      </c>
      <c r="BO86" s="166" cm="1">
        <f t="array" ref="BO86">SUMPRODUCT(
  IFERROR(--desp[valor],0)*
  (desp[nucleo]="UP POMPEIA")*
  (desp[categoria]=BO$7)*
  (desp[data.pagamento]&gt;=$A86)*
  (desp[data.pagamento]&lt;EOMONTH($A86,0)+1)
)</f>
        <v>0</v>
      </c>
      <c r="BP86" s="166" cm="1">
        <f t="array" ref="BP86">SUMPRODUCT(
  IFERROR(--desp[valor],0)*
  (desp[nucleo]="UP POMPEIA")*
  (desp[categoria]=BP$7)*
  (desp[data.pagamento]&gt;=$A86)*
  (desp[data.pagamento]&lt;EOMONTH($A86,0)+1)
)</f>
        <v>0</v>
      </c>
      <c r="BQ86" s="166" cm="1">
        <f t="array" ref="BQ86">SUMPRODUCT(
  IFERROR(--desp[valor],0)*
  (desp[nucleo]="UP POMPEIA")*
  (desp[categoria]=BQ$7)*
  (desp[data.pagamento]&gt;=$A86)*
  (desp[data.pagamento]&lt;EOMONTH($A86,0)+1)
)</f>
        <v>0</v>
      </c>
      <c r="BR86" s="177">
        <f>COUNTIFS(
    estq[empresa], BR$6,
    estq[Data da venda / reserva], "&gt;=" &amp; $A86,
    estq[Data da venda / reserva], "&lt;"  &amp; EOMONTH($A86,0) + 1
)</f>
        <v>0</v>
      </c>
      <c r="BS86" s="178">
        <f ca="1">SUMIFS(rec.uni[2027-12-01],
INDIRECT("rec.uni[natureza]"),"pro.soluto",
INDIRECT("rec.uni[empresa]"),BS$6)</f>
        <v>0</v>
      </c>
      <c r="BT86" s="182">
        <f ca="1">SUMIFS(rec.uni[2027-12-01],
INDIRECT("rec.uni[natureza]"),"parcela.fin.total.ik",
INDIRECT("rec.uni[empresa]"),BT$6)</f>
        <v>0</v>
      </c>
      <c r="BU86" s="178">
        <f ca="1">SUMIFS(rec.uni[2027-12-01],
INDIRECT("rec.uni[natureza]"),"taxa.extra",
INDIRECT("rec.uni[empresa]"),BU$6)</f>
        <v>0</v>
      </c>
      <c r="BV86" s="166"/>
      <c r="BW86" s="166" cm="1">
        <f t="array" ref="BW86">SUMPRODUCT(
  IFERROR(--desp[valor],0)*
  (desp[nucleo]="UP SAUDE")*
  (desp[categoria]=BW$7)*
  (desp[data.pagamento]&gt;=$A86)*
  (desp[data.pagamento]&lt;EOMONTH($A86,0)+1)
)</f>
        <v>0</v>
      </c>
      <c r="BX86" s="166" cm="1">
        <f t="array" ref="BX86">SUMPRODUCT(
  IFERROR(--desp[valor],0)*
  (desp[nucleo]="UP SAUDE")*
  (desp[categoria]=BX$7)*
  (desp[data.pagamento]&gt;=$A86)*
  (desp[data.pagamento]&lt;EOMONTH($A86,0)+1)
)</f>
        <v>0</v>
      </c>
      <c r="BY86" s="166" cm="1">
        <f t="array" ref="BY86">SUMPRODUCT(
  IFERROR(--desp[valor],0)*
  (desp[nucleo]="UP SAUDE")*
  (desp[categoria]=BY$7)*
  (desp[data.pagamento]&gt;=$A86)*
  (desp[data.pagamento]&lt;EOMONTH($A86,0)+1)
)</f>
        <v>0</v>
      </c>
      <c r="BZ86" s="166" cm="1">
        <f t="array" ref="BZ86">SUMPRODUCT(
  IFERROR(--desp[valor],0)*
  (desp[nucleo]="UP SAUDE")*
  (desp[categoria]=BZ$7)*
  (desp[data.pagamento]&gt;=$A86)*
  (desp[data.pagamento]&lt;EOMONTH($A86,0)+1)
)</f>
        <v>0</v>
      </c>
      <c r="CA86" s="166" cm="1">
        <f t="array" ref="CA86">SUMPRODUCT(
  IFERROR(--desp[valor],0)*
  (desp[nucleo]="UP SAUDE")*
  (desp[categoria]=CA$7)*
  (desp[data.pagamento]&gt;=$A86)*
  (desp[data.pagamento]&lt;EOMONTH($A86,0)+1)
)</f>
        <v>0</v>
      </c>
      <c r="CB86" s="177">
        <f>COUNTIFS(
    estq[empresa], CB$6,
    estq[Data da venda / reserva], "&gt;=" &amp; $A86,
    estq[Data da venda / reserva], "&lt;"  &amp; EOMONTH($A86,0) + 1
)</f>
        <v>0</v>
      </c>
      <c r="CC86" s="178">
        <f ca="1">SUMIFS(rec.uni[2027-12-01],
INDIRECT("rec.uni[natureza]"),"pro.soluto",
INDIRECT("rec.uni[empresa]"),CC$6)</f>
        <v>0</v>
      </c>
      <c r="CD86" s="178">
        <f ca="1">SUMIFS(rec.uni[2027-12-01],
INDIRECT("rec.uni[natureza]"),"repasse.cef.obra",
INDIRECT("rec.uni[empresa]"),CD$6)</f>
        <v>0</v>
      </c>
      <c r="CE86" s="181">
        <f ca="1">SUMIFS(rec.uni[2027-12-01],
INDIRECT("rec.uni[natureza]"),"repasse.cef.terreno",
INDIRECT("rec.uni[empresa]"),CE$6)</f>
        <v>0</v>
      </c>
      <c r="CF86" s="182"/>
      <c r="CG86" s="178">
        <f ca="1">SUMIFS(rec.uni[2027-12-01],
INDIRECT("rec.uni[natureza]"),"taxa.extra",
INDIRECT("rec.uni[empresa]"),CG$6)</f>
        <v>0</v>
      </c>
      <c r="CH86" s="166"/>
      <c r="CI86" s="166" cm="1">
        <f t="array" ref="CI86">SUMPRODUCT(
  IFERROR(--desp[valor],0)*
  (desp[nucleo]="UP ESTAÇÃO VILA SONIA")*
  (desp[categoria]=CI$7)*
  (desp[data.pagamento]&gt;=$A86)*
  (desp[data.pagamento]&lt;EOMONTH($A86,0)+1)
)</f>
        <v>0</v>
      </c>
      <c r="CJ86" s="166" cm="1">
        <f t="array" ref="CJ86">SUMPRODUCT(
  IFERROR(--desp[valor],0)*
  (desp[nucleo]="UP ESTAÇÃO VILA SONIA")*
  (desp[categoria]=CJ$7)*
  (desp[data.pagamento]&gt;=$A86)*
  (desp[data.pagamento]&lt;EOMONTH($A86,0)+1)
)</f>
        <v>0</v>
      </c>
      <c r="CK86" s="166" cm="1">
        <f t="array" ref="CK86">SUMPRODUCT(
  IFERROR(--desp[valor],0)*
  (desp[nucleo]="UP ESTAÇÃO VILA SONIA")*
  (desp[categoria]=CK$7)*
  (desp[data.pagamento]&gt;=$A86)*
  (desp[data.pagamento]&lt;EOMONTH($A86,0)+1)
)</f>
        <v>0</v>
      </c>
      <c r="CL86" s="166" cm="1">
        <f t="array" ref="CL86">SUMPRODUCT(
  IFERROR(--desp[valor],0)*
  (desp[nucleo]="UP ESTAÇÃO VILA SONIA")*
  (desp[categoria]=CL$7)*
  (desp[data.pagamento]&gt;=$A86)*
  (desp[data.pagamento]&lt;EOMONTH($A86,0)+1)
)</f>
        <v>0</v>
      </c>
      <c r="CM86" s="166" cm="1">
        <f t="array" ref="CM86">SUMPRODUCT(
  IFERROR(--desp[valor],0)*
  (desp[nucleo]="UP ESTAÇÃO VILA SONIA")*
  (desp[categoria]=CM$7)*
  (desp[data.pagamento]&gt;=$A86)*
  (desp[data.pagamento]&lt;EOMONTH($A86,0)+1)
)</f>
        <v>0</v>
      </c>
      <c r="CN86" s="177">
        <f>COUNTIFS(
    estq[empresa], CN$6,
    estq[Data da venda / reserva], "&gt;=" &amp; $A86,
    estq[Data da venda / reserva], "&lt;"  &amp; EOMONTH($A86,0) + 1
)</f>
        <v>0</v>
      </c>
      <c r="CO86" s="178">
        <f ca="1">SUMIFS(rec.uni[2027-12-01],
INDIRECT("rec.uni[natureza]"),"pro.soluto",
INDIRECT("rec.uni[empresa]"),CO$6)</f>
        <v>0</v>
      </c>
      <c r="CP86" s="178">
        <f ca="1">SUMIFS(rec.uni[2027-12-01],
INDIRECT("rec.uni[natureza]"),"repasse.cef.obra",
INDIRECT("rec.uni[empresa]"),CP$6)</f>
        <v>0</v>
      </c>
      <c r="CQ86" s="181">
        <f ca="1">SUMIFS(rec.uni[2027-12-01],
INDIRECT("rec.uni[natureza]"),"repasse.cef.terreno",
INDIRECT("rec.uni[empresa]"),CQ$6)</f>
        <v>0</v>
      </c>
      <c r="CR86" s="182"/>
      <c r="CS86" s="178">
        <f ca="1">SUMIFS(rec.uni[2027-12-01],
INDIRECT("rec.uni[natureza]"),"taxa.extra",
INDIRECT("rec.uni[empresa]"),CS$6)</f>
        <v>0</v>
      </c>
      <c r="CT86" s="166"/>
      <c r="CU86" s="166" cm="1">
        <f t="array" ref="CU86">SUMPRODUCT(
  IFERROR(--desp[valor],0)*
  (desp[nucleo]="UP MOVE VILA SONIA")*
  (desp[categoria]=CU$7)*
  (desp[data.pagamento]&gt;=$A86)*
  (desp[data.pagamento]&lt;EOMONTH($A86,0)+1)
)</f>
        <v>0</v>
      </c>
      <c r="CV86" s="166" cm="1">
        <f t="array" ref="CV86">SUMPRODUCT(
  IFERROR(--desp[valor],0)*
  (desp[nucleo]="UP MOVE VILA SONIA")*
  (desp[categoria]=CV$7)*
  (desp[data.pagamento]&gt;=$A86)*
  (desp[data.pagamento]&lt;EOMONTH($A86,0)+1)
)</f>
        <v>0</v>
      </c>
      <c r="CW86" s="166" cm="1">
        <f t="array" ref="CW86">SUMPRODUCT(
  IFERROR(--desp[valor],0)*
  (desp[nucleo]="UP MOVE VILA SONIA")*
  (desp[categoria]=CW$7)*
  (desp[data.pagamento]&gt;=$A86)*
  (desp[data.pagamento]&lt;EOMONTH($A86,0)+1)
)</f>
        <v>0</v>
      </c>
      <c r="CX86" s="166" cm="1">
        <f t="array" ref="CX86">SUMPRODUCT(
  IFERROR(--desp[valor],0)*
  (desp[nucleo]="UP MOVE VILA SONIA")*
  (desp[categoria]=CX$7)*
  (desp[data.pagamento]&gt;=$A86)*
  (desp[data.pagamento]&lt;EOMONTH($A86,0)+1)
)</f>
        <v>0</v>
      </c>
      <c r="CY86" s="291" cm="1">
        <f t="array" ref="CY86">SUMPRODUCT(
  IFERROR(--desp[valor],0)*
  (desp[nucleo]="UP MOVE VILA SONIA")*
  (desp[categoria]=CY$7)*
  (desp[data.pagamento]&gt;=$A86)*
  (desp[data.pagamento]&lt;EOMONTH($A86,0)+1)
)</f>
        <v>0</v>
      </c>
    </row>
    <row r="87" spans="1:103" x14ac:dyDescent="0.25">
      <c r="A87" s="176">
        <v>46753</v>
      </c>
      <c r="B87" s="177">
        <f>COUNTIFS(
    estq[empresa], B$6,
    estq[Data da venda / reserva], "&gt;=" &amp; $A87,
    estq[Data da venda / reserva], "&lt;"  &amp; EOMONTH($A87,0) + 1
)</f>
        <v>0</v>
      </c>
      <c r="C87" s="178">
        <f ca="1">SUMIFS(rec.uni[2028-01-01],
INDIRECT("rec.uni[natureza]"),"pro.soluto",
INDIRECT("rec.uni[empresa]"),C$6)</f>
        <v>0</v>
      </c>
      <c r="D87" s="178">
        <f ca="1">SUMIFS(rec.uni[2028-01-01],
INDIRECT("rec.uni[natureza]"),"repasse.cef.obra",
INDIRECT("rec.uni[empresa]"),D$6)</f>
        <v>0</v>
      </c>
      <c r="E87" s="178">
        <f ca="1">SUMIFS(rec.uni[2028-01-01],
INDIRECT("rec.uni[natureza]"),"repasse.cef.terreno",
INDIRECT("rec.uni[empresa]"),E$6)</f>
        <v>0</v>
      </c>
      <c r="F87" s="182"/>
      <c r="G87" s="178">
        <f ca="1">SUMIFS(rec.uni[2028-01-01],
INDIRECT("rec.uni[natureza]"),"taxa.extra",
INDIRECT("rec.uni[empresa]"),G$6)</f>
        <v>0</v>
      </c>
      <c r="H87" s="166"/>
      <c r="I87" s="166" cm="1">
        <f t="array" ref="I87">SUMPRODUCT(
  IFERROR(--desp[valor],0)*
  (desp[nucleo]="UP JARDIM PRUDENCIA")*
  (desp[categoria]=I$7)*
  (desp[data.pagamento]&gt;=$A87)*
  (desp[data.pagamento]&lt;EOMONTH($A87,0)+1)
)</f>
        <v>0</v>
      </c>
      <c r="J87" s="166" cm="1">
        <f t="array" ref="J87">SUMPRODUCT(
  IFERROR(--desp[valor],0)*
  (desp[nucleo]="UP JARDIM PRUDENCIA")*
  (desp[categoria]=J$7)*
  (desp[data.pagamento]&gt;=$A87)*
  (desp[data.pagamento]&lt;EOMONTH($A87,0)+1)
)</f>
        <v>0</v>
      </c>
      <c r="K87" s="166" cm="1">
        <f t="array" ref="K87">SUMPRODUCT(
  IFERROR(--desp[valor],0)*
  (desp[nucleo]="UP JARDIM PRUDENCIA")*
  (desp[categoria]=K$7)*
  (desp[data.pagamento]&gt;=$A87)*
  (desp[data.pagamento]&lt;EOMONTH($A87,0)+1)
)</f>
        <v>0</v>
      </c>
      <c r="L87" s="166" cm="1">
        <f t="array" ref="L87">SUMPRODUCT(
  IFERROR(--desp[valor],0)*
  (desp[nucleo]="UP JARDIM PRUDENCIA")*
  (desp[categoria]=L$7)*
  (desp[data.pagamento]&gt;=$A87)*
  (desp[data.pagamento]&lt;EOMONTH($A87,0)+1)
)</f>
        <v>0</v>
      </c>
      <c r="M87" s="166" cm="1">
        <f t="array" ref="M87">SUMPRODUCT(
  IFERROR(--desp[valor],0)*
  (desp[nucleo]="UP JARDIM PRUDENCIA")*
  (desp[categoria]=M$7)*
  (desp[data.pagamento]&gt;=$A87)*
  (desp[data.pagamento]&lt;EOMONTH($A87,0)+1)
)</f>
        <v>0</v>
      </c>
      <c r="N87" s="177">
        <f>COUNTIFS(
    estq[empresa], N$6,
    estq[Data da venda / reserva], "&gt;=" &amp; $A87,
    estq[Data da venda / reserva], "&lt;"  &amp; EOMONTH($A87,0) + 1
)</f>
        <v>0</v>
      </c>
      <c r="O87" s="178">
        <f ca="1">SUMIFS(rec.uni[2028-01-01],
INDIRECT("rec.uni[natureza]"),"pro.soluto",
INDIRECT("rec.uni[empresa]"),O$6)</f>
        <v>0</v>
      </c>
      <c r="P87" s="178">
        <f ca="1">SUMIFS(rec.uni[2028-01-01],
INDIRECT("rec.uni[natureza]"),"repasse.cef.obra",
INDIRECT("rec.uni[empresa]"),P$6)</f>
        <v>0</v>
      </c>
      <c r="Q87" s="178">
        <f ca="1">SUMIFS(rec.uni[2028-01-01],
INDIRECT("rec.uni[natureza]"),"repasse.cef.terreno",
INDIRECT("rec.uni[empresa]"),Q$6)</f>
        <v>0</v>
      </c>
      <c r="R87" s="182"/>
      <c r="S87" s="178">
        <f ca="1">SUMIFS(rec.uni[2028-01-01],
INDIRECT("rec.uni[natureza]"),"taxa.extra",
INDIRECT("rec.uni[empresa]"),S$6)</f>
        <v>0</v>
      </c>
      <c r="T87" s="166"/>
      <c r="U87" s="166" cm="1">
        <f t="array" ref="U87">SUMPRODUCT(
  IFERROR(--desp[valor],0)*
  (desp[nucleo]="UP VILA SONIA")*
  (desp[categoria]=U$7)*
  (desp[data.pagamento]&gt;=$A87)*
  (desp[data.pagamento]&lt;EOMONTH($A87,0)+1)
)</f>
        <v>0</v>
      </c>
      <c r="V87" s="166" cm="1">
        <f t="array" ref="V87">SUMPRODUCT(
  IFERROR(--desp[valor],0)*
  (desp[nucleo]="UP VILA SONIA")*
  (desp[categoria]=V$7)*
  (desp[data.pagamento]&gt;=$A87)*
  (desp[data.pagamento]&lt;EOMONTH($A87,0)+1)
)</f>
        <v>0</v>
      </c>
      <c r="W87" s="166" cm="1">
        <f t="array" ref="W87">SUMPRODUCT(
  IFERROR(--desp[valor],0)*
  (desp[nucleo]="UP VILA SONIA")*
  (desp[categoria]=W$7)*
  (desp[data.pagamento]&gt;=$A87)*
  (desp[data.pagamento]&lt;EOMONTH($A87,0)+1)
)</f>
        <v>0</v>
      </c>
      <c r="X87" s="166" cm="1">
        <f t="array" ref="X87">SUMPRODUCT(
  IFERROR(--desp[valor],0)*
  (desp[nucleo]="UP VILA SONIA")*
  (desp[categoria]=X$7)*
  (desp[data.pagamento]&gt;=$A87)*
  (desp[data.pagamento]&lt;EOMONTH($A87,0)+1)
)</f>
        <v>0</v>
      </c>
      <c r="Y87" s="166" cm="1">
        <f t="array" ref="Y87">SUMPRODUCT(
  IFERROR(--desp[valor],0)*
  (desp[nucleo]="UP VILA SONIA")*
  (desp[categoria]=Y$7)*
  (desp[data.pagamento]&gt;=$A87)*
  (desp[data.pagamento]&lt;EOMONTH($A87,0)+1)
)</f>
        <v>0</v>
      </c>
      <c r="Z87" s="177">
        <f>COUNTIFS(
    estq[empresa], Z$6,
    estq[Data da venda / reserva], "&gt;=" &amp; $A87,
    estq[Data da venda / reserva], "&lt;"  &amp; EOMONTH($A87,0) + 1
)</f>
        <v>0</v>
      </c>
      <c r="AA87" s="178">
        <f ca="1">SUMIFS(rec.uni[2028-01-01],
INDIRECT("rec.uni[natureza]"),"pro.soluto",
INDIRECT("rec.uni[empresa]"),AA$6)</f>
        <v>0</v>
      </c>
      <c r="AB87" s="182">
        <f ca="1">SUMIFS(rec.uni[2028-01-01],
INDIRECT("rec.uni[natureza]"),"parcela.fin.total.ik",
INDIRECT("rec.uni[empresa]"),AB$6)</f>
        <v>0</v>
      </c>
      <c r="AC87" s="178">
        <f ca="1">SUMIFS(rec.uni[2028-01-01],
INDIRECT("rec.uni[natureza]"),"taxa.extra",
INDIRECT("rec.uni[empresa]"),AC$6)</f>
        <v>0</v>
      </c>
      <c r="AD87" s="166"/>
      <c r="AE87" s="166" cm="1">
        <f t="array" ref="AE87">SUMPRODUCT(
  IFERROR(--desp[valor],0)*
  (desp[nucleo]="UP CAMPO BELO")*
  (desp[categoria]=AE$7)*
  (desp[data.pagamento]&gt;=$A87)*
  (desp[data.pagamento]&lt;EOMONTH($A87,0)+1)
)</f>
        <v>0</v>
      </c>
      <c r="AF87" s="166" cm="1">
        <f t="array" ref="AF87">SUMPRODUCT(
  IFERROR(--desp[valor],0)*
  (desp[nucleo]="UP CAMPO BELO")*
  (desp[categoria]=AF$7)*
  (desp[data.pagamento]&gt;=$A87)*
  (desp[data.pagamento]&lt;EOMONTH($A87,0)+1)
)</f>
        <v>0</v>
      </c>
      <c r="AG87" s="166" cm="1">
        <f t="array" ref="AG87">SUMPRODUCT(
  IFERROR(--desp[valor],0)*
  (desp[nucleo]="UP CAMPO BELO")*
  (desp[categoria]=AG$7)*
  (desp[data.pagamento]&gt;=$A87)*
  (desp[data.pagamento]&lt;EOMONTH($A87,0)+1)
)</f>
        <v>0</v>
      </c>
      <c r="AH87" s="166" cm="1">
        <f t="array" ref="AH87">SUMPRODUCT(
  IFERROR(--desp[valor],0)*
  (desp[nucleo]="UP CAMPO BELO")*
  (desp[categoria]=AH$7)*
  (desp[data.pagamento]&gt;=$A87)*
  (desp[data.pagamento]&lt;EOMONTH($A87,0)+1)
)</f>
        <v>0</v>
      </c>
      <c r="AI87" s="166" cm="1">
        <f t="array" ref="AI87">SUMPRODUCT(
  IFERROR(--desp[valor],0)*
  (desp[nucleo]="UP CAMPO BELO")*
  (desp[categoria]=AI$7)*
  (desp[data.pagamento]&gt;=$A87)*
  (desp[data.pagamento]&lt;EOMONTH($A87,0)+1)
)</f>
        <v>0</v>
      </c>
      <c r="AJ87" s="177">
        <f>COUNTIFS(
    estq[empresa], AJ$6,
    estq[Data da venda / reserva], "&gt;=" &amp; $A87,
    estq[Data da venda / reserva], "&lt;"  &amp; EOMONTH($A87,0) + 1
)</f>
        <v>0</v>
      </c>
      <c r="AK87" s="178">
        <f ca="1">SUMIFS(rec.uni[2028-01-01],
INDIRECT("rec.uni[natureza]"),"pro.soluto",
INDIRECT("rec.uni[empresa]"),AK$6)</f>
        <v>0</v>
      </c>
      <c r="AL87" s="178">
        <f ca="1">SUMIFS(rec.uni[2028-01-01],
INDIRECT("rec.uni[natureza]"),"repasse.cef.obra",
INDIRECT("rec.uni[empresa]"),AL$6)</f>
        <v>0</v>
      </c>
      <c r="AM87" s="181">
        <f ca="1">SUMIFS(rec.uni[2028-01-01],
INDIRECT("rec.uni[natureza]"),"repasse.cef.terreno",
INDIRECT("rec.uni[empresa]"),AM$6)</f>
        <v>0</v>
      </c>
      <c r="AN87" s="182"/>
      <c r="AO87" s="178">
        <f ca="1">SUMIFS(rec.uni[2028-01-01],
INDIRECT("rec.uni[natureza]"),"taxa.extra",
INDIRECT("rec.uni[empresa]"),AO$6)</f>
        <v>0</v>
      </c>
      <c r="AP87" s="166"/>
      <c r="AQ87" s="166" cm="1">
        <f t="array" ref="AQ87">SUMPRODUCT(
  IFERROR(--desp[valor],0)*
  (desp[nucleo]="UP SELECT VILA SONIA")*
  (desp[categoria]=AQ$7)*
  (desp[data.pagamento]&gt;=$A87)*
  (desp[data.pagamento]&lt;EOMONTH($A87,0)+1)
)</f>
        <v>0</v>
      </c>
      <c r="AR87" s="166" cm="1">
        <f t="array" ref="AR87">SUMPRODUCT(
  IFERROR(--desp[valor],0)*
  (desp[nucleo]="UP SELECT VILA SONIA")*
  (desp[categoria]=AR$7)*
  (desp[data.pagamento]&gt;=$A87)*
  (desp[data.pagamento]&lt;EOMONTH($A87,0)+1)
)</f>
        <v>0</v>
      </c>
      <c r="AS87" s="166" cm="1">
        <f t="array" ref="AS87">SUMPRODUCT(
  IFERROR(--desp[valor],0)*
  (desp[nucleo]="UP SELECT VILA SONIA")*
  (desp[categoria]=AS$7)*
  (desp[data.pagamento]&gt;=$A87)*
  (desp[data.pagamento]&lt;EOMONTH($A87,0)+1)
)</f>
        <v>0</v>
      </c>
      <c r="AT87" s="166" cm="1">
        <f t="array" ref="AT87">SUMPRODUCT(
  IFERROR(--desp[valor],0)*
  (desp[nucleo]="UP SELECT VILA SONIA")*
  (desp[categoria]=AT$7)*
  (desp[data.pagamento]&gt;=$A87)*
  (desp[data.pagamento]&lt;EOMONTH($A87,0)+1)
)</f>
        <v>0</v>
      </c>
      <c r="AU87" s="166" cm="1">
        <f t="array" ref="AU87">SUMPRODUCT(
  IFERROR(--desp[valor],0)*
  (desp[nucleo]="UP SELECT VILA SONIA")*
  (desp[categoria]=AU$7)*
  (desp[data.pagamento]&gt;=$A87)*
  (desp[data.pagamento]&lt;EOMONTH($A87,0)+1)
)</f>
        <v>0</v>
      </c>
      <c r="AV87" s="177">
        <f>COUNTIFS(
    estq[empresa], AV$6,
    estq[Data da venda / reserva], "&gt;=" &amp; $A87,
    estq[Data da venda / reserva], "&lt;"  &amp; EOMONTH($A87,0) + 1
)</f>
        <v>0</v>
      </c>
      <c r="AW87" s="178">
        <f ca="1">SUMIFS(rec.uni[2028-01-01],
INDIRECT("rec.uni[natureza]"),"pro.soluto",
INDIRECT("rec.uni[empresa]"),AW$6)</f>
        <v>0</v>
      </c>
      <c r="AX87" s="178">
        <f ca="1">SUMIFS(rec.uni[2028-01-01],
INDIRECT("rec.uni[natureza]"),"repasse.cef.obra",
INDIRECT("rec.uni[empresa]"),AX$6)</f>
        <v>0</v>
      </c>
      <c r="AY87" s="181">
        <f ca="1">SUMIFS(rec.uni[2028-01-01],
INDIRECT("rec.uni[natureza]"),"repasse.cef.terreno",
INDIRECT("rec.uni[empresa]"),AY$6)</f>
        <v>0</v>
      </c>
      <c r="AZ87" s="182"/>
      <c r="BA87" s="178">
        <f ca="1">SUMIFS(rec.uni[2028-01-01],
INDIRECT("rec.uni[natureza]"),"taxa.extra",
INDIRECT("rec.uni[empresa]"),BA$6)</f>
        <v>0</v>
      </c>
      <c r="BB87" s="166"/>
      <c r="BC87" s="166" cm="1">
        <f t="array" ref="BC87">SUMPRODUCT(
  IFERROR(--desp[valor],0)*
  (desp[nucleo]="UP ESTAÇÃO SÃO LUCAS")*
  (desp[categoria]=BC$7)*
  (desp[data.pagamento]&gt;=$A87)*
  (desp[data.pagamento]&lt;EOMONTH($A87,0)+1)
)</f>
        <v>0</v>
      </c>
      <c r="BD87" s="166" cm="1">
        <f t="array" ref="BD87">SUMPRODUCT(
  IFERROR(--desp[valor],0)*
  (desp[nucleo]="UP ESTAÇÃO SÃO LUCAS")*
  (desp[categoria]=BD$7)*
  (desp[data.pagamento]&gt;=$A87)*
  (desp[data.pagamento]&lt;EOMONTH($A87,0)+1)
)</f>
        <v>0</v>
      </c>
      <c r="BE87" s="166" cm="1">
        <f t="array" ref="BE87">SUMPRODUCT(
  IFERROR(--desp[valor],0)*
  (desp[nucleo]="UP ESTAÇÃO SÃO LUCAS")*
  (desp[categoria]=BE$7)*
  (desp[data.pagamento]&gt;=$A87)*
  (desp[data.pagamento]&lt;EOMONTH($A87,0)+1)
)</f>
        <v>0</v>
      </c>
      <c r="BF87" s="166" cm="1">
        <f t="array" ref="BF87">SUMPRODUCT(
  IFERROR(--desp[valor],0)*
  (desp[nucleo]="UP ESTAÇÃO SÃO LUCAS")*
  (desp[categoria]=BF$7)*
  (desp[data.pagamento]&gt;=$A87)*
  (desp[data.pagamento]&lt;EOMONTH($A87,0)+1)
)</f>
        <v>0</v>
      </c>
      <c r="BG87" s="166" cm="1">
        <f t="array" ref="BG87">SUMPRODUCT(
  IFERROR(--desp[valor],0)*
  (desp[nucleo]="UP ESTAÇÃO SÃO LUCAS")*
  (desp[categoria]=BG$7)*
  (desp[data.pagamento]&gt;=$A87)*
  (desp[data.pagamento]&lt;EOMONTH($A87,0)+1)
)</f>
        <v>0</v>
      </c>
      <c r="BH87" s="177">
        <f>COUNTIFS(
    estq[empresa], BH$6,
    estq[Data da venda / reserva], "&gt;=" &amp; $A87,
    estq[Data da venda / reserva], "&lt;"  &amp; EOMONTH($A87,0) + 1
)</f>
        <v>0</v>
      </c>
      <c r="BI87" s="178">
        <f ca="1">SUMIFS(rec.uni[2028-01-01],
INDIRECT("rec.uni[natureza]"),"pro.soluto",
INDIRECT("rec.uni[empresa]"),BI$6)</f>
        <v>0</v>
      </c>
      <c r="BJ87" s="182">
        <f ca="1">SUMIFS(rec.uni[2028-01-01],
INDIRECT("rec.uni[natureza]"),"parcela.fin.total.ik",
INDIRECT("rec.uni[empresa]"),BJ$6)</f>
        <v>0</v>
      </c>
      <c r="BK87" s="178">
        <f ca="1">SUMIFS(rec.uni[2028-01-01],
INDIRECT("rec.uni[natureza]"),"taxa.extra",
INDIRECT("rec.uni[empresa]"),BK$6)</f>
        <v>0</v>
      </c>
      <c r="BL87" s="166"/>
      <c r="BM87" s="166" cm="1">
        <f t="array" ref="BM87">SUMPRODUCT(
  IFERROR(--desp[valor],0)*
  (desp[nucleo]="UP POMPEIA")*
  (desp[categoria]=BM$7)*
  (desp[data.pagamento]&gt;=$A87)*
  (desp[data.pagamento]&lt;EOMONTH($A87,0)+1)
)</f>
        <v>0</v>
      </c>
      <c r="BN87" s="166" cm="1">
        <f t="array" ref="BN87">SUMPRODUCT(
  IFERROR(--desp[valor],0)*
  (desp[nucleo]="UP POMPEIA")*
  (desp[categoria]=BN$7)*
  (desp[data.pagamento]&gt;=$A87)*
  (desp[data.pagamento]&lt;EOMONTH($A87,0)+1)
)</f>
        <v>0</v>
      </c>
      <c r="BO87" s="166" cm="1">
        <f t="array" ref="BO87">SUMPRODUCT(
  IFERROR(--desp[valor],0)*
  (desp[nucleo]="UP POMPEIA")*
  (desp[categoria]=BO$7)*
  (desp[data.pagamento]&gt;=$A87)*
  (desp[data.pagamento]&lt;EOMONTH($A87,0)+1)
)</f>
        <v>0</v>
      </c>
      <c r="BP87" s="166" cm="1">
        <f t="array" ref="BP87">SUMPRODUCT(
  IFERROR(--desp[valor],0)*
  (desp[nucleo]="UP POMPEIA")*
  (desp[categoria]=BP$7)*
  (desp[data.pagamento]&gt;=$A87)*
  (desp[data.pagamento]&lt;EOMONTH($A87,0)+1)
)</f>
        <v>0</v>
      </c>
      <c r="BQ87" s="166" cm="1">
        <f t="array" ref="BQ87">SUMPRODUCT(
  IFERROR(--desp[valor],0)*
  (desp[nucleo]="UP POMPEIA")*
  (desp[categoria]=BQ$7)*
  (desp[data.pagamento]&gt;=$A87)*
  (desp[data.pagamento]&lt;EOMONTH($A87,0)+1)
)</f>
        <v>0</v>
      </c>
      <c r="BR87" s="177">
        <f>COUNTIFS(
    estq[empresa], BR$6,
    estq[Data da venda / reserva], "&gt;=" &amp; $A87,
    estq[Data da venda / reserva], "&lt;"  &amp; EOMONTH($A87,0) + 1
)</f>
        <v>0</v>
      </c>
      <c r="BS87" s="178">
        <f ca="1">SUMIFS(rec.uni[2028-01-01],
INDIRECT("rec.uni[natureza]"),"pro.soluto",
INDIRECT("rec.uni[empresa]"),BS$6)</f>
        <v>0</v>
      </c>
      <c r="BT87" s="182">
        <f ca="1">SUMIFS(rec.uni[2028-01-01],
INDIRECT("rec.uni[natureza]"),"parcela.fin.total.ik",
INDIRECT("rec.uni[empresa]"),BT$6)</f>
        <v>0</v>
      </c>
      <c r="BU87" s="178">
        <f ca="1">SUMIFS(rec.uni[2028-01-01],
INDIRECT("rec.uni[natureza]"),"taxa.extra",
INDIRECT("rec.uni[empresa]"),BU$6)</f>
        <v>0</v>
      </c>
      <c r="BV87" s="166"/>
      <c r="BW87" s="166" cm="1">
        <f t="array" ref="BW87">SUMPRODUCT(
  IFERROR(--desp[valor],0)*
  (desp[nucleo]="UP SAUDE")*
  (desp[categoria]=BW$7)*
  (desp[data.pagamento]&gt;=$A87)*
  (desp[data.pagamento]&lt;EOMONTH($A87,0)+1)
)</f>
        <v>0</v>
      </c>
      <c r="BX87" s="166" cm="1">
        <f t="array" ref="BX87">SUMPRODUCT(
  IFERROR(--desp[valor],0)*
  (desp[nucleo]="UP SAUDE")*
  (desp[categoria]=BX$7)*
  (desp[data.pagamento]&gt;=$A87)*
  (desp[data.pagamento]&lt;EOMONTH($A87,0)+1)
)</f>
        <v>0</v>
      </c>
      <c r="BY87" s="166" cm="1">
        <f t="array" ref="BY87">SUMPRODUCT(
  IFERROR(--desp[valor],0)*
  (desp[nucleo]="UP SAUDE")*
  (desp[categoria]=BY$7)*
  (desp[data.pagamento]&gt;=$A87)*
  (desp[data.pagamento]&lt;EOMONTH($A87,0)+1)
)</f>
        <v>0</v>
      </c>
      <c r="BZ87" s="166" cm="1">
        <f t="array" ref="BZ87">SUMPRODUCT(
  IFERROR(--desp[valor],0)*
  (desp[nucleo]="UP SAUDE")*
  (desp[categoria]=BZ$7)*
  (desp[data.pagamento]&gt;=$A87)*
  (desp[data.pagamento]&lt;EOMONTH($A87,0)+1)
)</f>
        <v>0</v>
      </c>
      <c r="CA87" s="166" cm="1">
        <f t="array" ref="CA87">SUMPRODUCT(
  IFERROR(--desp[valor],0)*
  (desp[nucleo]="UP SAUDE")*
  (desp[categoria]=CA$7)*
  (desp[data.pagamento]&gt;=$A87)*
  (desp[data.pagamento]&lt;EOMONTH($A87,0)+1)
)</f>
        <v>0</v>
      </c>
      <c r="CB87" s="177">
        <f>COUNTIFS(
    estq[empresa], CB$6,
    estq[Data da venda / reserva], "&gt;=" &amp; $A87,
    estq[Data da venda / reserva], "&lt;"  &amp; EOMONTH($A87,0) + 1
)</f>
        <v>0</v>
      </c>
      <c r="CC87" s="178">
        <f ca="1">SUMIFS(rec.uni[2028-01-01],
INDIRECT("rec.uni[natureza]"),"pro.soluto",
INDIRECT("rec.uni[empresa]"),CC$6)</f>
        <v>0</v>
      </c>
      <c r="CD87" s="178">
        <f ca="1">SUMIFS(rec.uni[2028-01-01],
INDIRECT("rec.uni[natureza]"),"repasse.cef.obra",
INDIRECT("rec.uni[empresa]"),CD$6)</f>
        <v>0</v>
      </c>
      <c r="CE87" s="181">
        <f ca="1">SUMIFS(rec.uni[2028-01-01],
INDIRECT("rec.uni[natureza]"),"repasse.cef.terreno",
INDIRECT("rec.uni[empresa]"),CE$6)</f>
        <v>0</v>
      </c>
      <c r="CF87" s="182"/>
      <c r="CG87" s="178">
        <f ca="1">SUMIFS(rec.uni[2028-01-01],
INDIRECT("rec.uni[natureza]"),"taxa.extra",
INDIRECT("rec.uni[empresa]"),CG$6)</f>
        <v>0</v>
      </c>
      <c r="CH87" s="166"/>
      <c r="CI87" s="166" cm="1">
        <f t="array" ref="CI87">SUMPRODUCT(
  IFERROR(--desp[valor],0)*
  (desp[nucleo]="UP ESTAÇÃO VILA SONIA")*
  (desp[categoria]=CI$7)*
  (desp[data.pagamento]&gt;=$A87)*
  (desp[data.pagamento]&lt;EOMONTH($A87,0)+1)
)</f>
        <v>0</v>
      </c>
      <c r="CJ87" s="166" cm="1">
        <f t="array" ref="CJ87">SUMPRODUCT(
  IFERROR(--desp[valor],0)*
  (desp[nucleo]="UP ESTAÇÃO VILA SONIA")*
  (desp[categoria]=CJ$7)*
  (desp[data.pagamento]&gt;=$A87)*
  (desp[data.pagamento]&lt;EOMONTH($A87,0)+1)
)</f>
        <v>0</v>
      </c>
      <c r="CK87" s="166" cm="1">
        <f t="array" ref="CK87">SUMPRODUCT(
  IFERROR(--desp[valor],0)*
  (desp[nucleo]="UP ESTAÇÃO VILA SONIA")*
  (desp[categoria]=CK$7)*
  (desp[data.pagamento]&gt;=$A87)*
  (desp[data.pagamento]&lt;EOMONTH($A87,0)+1)
)</f>
        <v>0</v>
      </c>
      <c r="CL87" s="166" cm="1">
        <f t="array" ref="CL87">SUMPRODUCT(
  IFERROR(--desp[valor],0)*
  (desp[nucleo]="UP ESTAÇÃO VILA SONIA")*
  (desp[categoria]=CL$7)*
  (desp[data.pagamento]&gt;=$A87)*
  (desp[data.pagamento]&lt;EOMONTH($A87,0)+1)
)</f>
        <v>0</v>
      </c>
      <c r="CM87" s="166" cm="1">
        <f t="array" ref="CM87">SUMPRODUCT(
  IFERROR(--desp[valor],0)*
  (desp[nucleo]="UP ESTAÇÃO VILA SONIA")*
  (desp[categoria]=CM$7)*
  (desp[data.pagamento]&gt;=$A87)*
  (desp[data.pagamento]&lt;EOMONTH($A87,0)+1)
)</f>
        <v>0</v>
      </c>
      <c r="CN87" s="177">
        <f>COUNTIFS(
    estq[empresa], CN$6,
    estq[Data da venda / reserva], "&gt;=" &amp; $A87,
    estq[Data da venda / reserva], "&lt;"  &amp; EOMONTH($A87,0) + 1
)</f>
        <v>0</v>
      </c>
      <c r="CO87" s="178">
        <f ca="1">SUMIFS(rec.uni[2028-01-01],
INDIRECT("rec.uni[natureza]"),"pro.soluto",
INDIRECT("rec.uni[empresa]"),CO$6)</f>
        <v>0</v>
      </c>
      <c r="CP87" s="178">
        <f ca="1">SUMIFS(rec.uni[2028-01-01],
INDIRECT("rec.uni[natureza]"),"repasse.cef.obra",
INDIRECT("rec.uni[empresa]"),CP$6)</f>
        <v>0</v>
      </c>
      <c r="CQ87" s="181">
        <f ca="1">SUMIFS(rec.uni[2028-01-01],
INDIRECT("rec.uni[natureza]"),"repasse.cef.terreno",
INDIRECT("rec.uni[empresa]"),CQ$6)</f>
        <v>0</v>
      </c>
      <c r="CR87" s="182"/>
      <c r="CS87" s="178">
        <f ca="1">SUMIFS(rec.uni[2028-01-01],
INDIRECT("rec.uni[natureza]"),"taxa.extra",
INDIRECT("rec.uni[empresa]"),CS$6)</f>
        <v>0</v>
      </c>
      <c r="CT87" s="166"/>
      <c r="CU87" s="166" cm="1">
        <f t="array" ref="CU87">SUMPRODUCT(
  IFERROR(--desp[valor],0)*
  (desp[nucleo]="UP MOVE VILA SONIA")*
  (desp[categoria]=CU$7)*
  (desp[data.pagamento]&gt;=$A87)*
  (desp[data.pagamento]&lt;EOMONTH($A87,0)+1)
)</f>
        <v>0</v>
      </c>
      <c r="CV87" s="166" cm="1">
        <f t="array" ref="CV87">SUMPRODUCT(
  IFERROR(--desp[valor],0)*
  (desp[nucleo]="UP MOVE VILA SONIA")*
  (desp[categoria]=CV$7)*
  (desp[data.pagamento]&gt;=$A87)*
  (desp[data.pagamento]&lt;EOMONTH($A87,0)+1)
)</f>
        <v>0</v>
      </c>
      <c r="CW87" s="166" cm="1">
        <f t="array" ref="CW87">SUMPRODUCT(
  IFERROR(--desp[valor],0)*
  (desp[nucleo]="UP MOVE VILA SONIA")*
  (desp[categoria]=CW$7)*
  (desp[data.pagamento]&gt;=$A87)*
  (desp[data.pagamento]&lt;EOMONTH($A87,0)+1)
)</f>
        <v>0</v>
      </c>
      <c r="CX87" s="166" cm="1">
        <f t="array" ref="CX87">SUMPRODUCT(
  IFERROR(--desp[valor],0)*
  (desp[nucleo]="UP MOVE VILA SONIA")*
  (desp[categoria]=CX$7)*
  (desp[data.pagamento]&gt;=$A87)*
  (desp[data.pagamento]&lt;EOMONTH($A87,0)+1)
)</f>
        <v>0</v>
      </c>
      <c r="CY87" s="291" cm="1">
        <f t="array" ref="CY87">SUMPRODUCT(
  IFERROR(--desp[valor],0)*
  (desp[nucleo]="UP MOVE VILA SONIA")*
  (desp[categoria]=CY$7)*
  (desp[data.pagamento]&gt;=$A87)*
  (desp[data.pagamento]&lt;EOMONTH($A87,0)+1)
)</f>
        <v>0</v>
      </c>
    </row>
    <row r="88" spans="1:103" x14ac:dyDescent="0.25">
      <c r="A88" s="176">
        <v>46784</v>
      </c>
      <c r="B88" s="177">
        <f>COUNTIFS(
    estq[empresa], B$6,
    estq[Data da venda / reserva], "&gt;=" &amp; $A88,
    estq[Data da venda / reserva], "&lt;"  &amp; EOMONTH($A88,0) + 1
)</f>
        <v>0</v>
      </c>
      <c r="C88" s="178">
        <f ca="1">SUMIFS(rec.uni[2028-02-01],
INDIRECT("rec.uni[natureza]"),"pro.soluto",
INDIRECT("rec.uni[empresa]"),C$6)</f>
        <v>0</v>
      </c>
      <c r="D88" s="178">
        <f ca="1">SUMIFS(rec.uni[2028-02-01],
INDIRECT("rec.uni[natureza]"),"repasse.cef.obra",
INDIRECT("rec.uni[empresa]"),D$6)</f>
        <v>0</v>
      </c>
      <c r="E88" s="178">
        <f ca="1">SUMIFS(rec.uni[2028-02-01],
INDIRECT("rec.uni[natureza]"),"repasse.cef.terreno",
INDIRECT("rec.uni[empresa]"),E$6)</f>
        <v>0</v>
      </c>
      <c r="F88" s="182"/>
      <c r="G88" s="178">
        <f ca="1">SUMIFS(rec.uni[2028-02-01],
INDIRECT("rec.uni[natureza]"),"taxa.extra",
INDIRECT("rec.uni[empresa]"),G$6)</f>
        <v>0</v>
      </c>
      <c r="H88" s="166"/>
      <c r="I88" s="166" cm="1">
        <f t="array" ref="I88">SUMPRODUCT(
  IFERROR(--desp[valor],0)*
  (desp[nucleo]="UP JARDIM PRUDENCIA")*
  (desp[categoria]=I$7)*
  (desp[data.pagamento]&gt;=$A88)*
  (desp[data.pagamento]&lt;EOMONTH($A88,0)+1)
)</f>
        <v>0</v>
      </c>
      <c r="J88" s="166" cm="1">
        <f t="array" ref="J88">SUMPRODUCT(
  IFERROR(--desp[valor],0)*
  (desp[nucleo]="UP JARDIM PRUDENCIA")*
  (desp[categoria]=J$7)*
  (desp[data.pagamento]&gt;=$A88)*
  (desp[data.pagamento]&lt;EOMONTH($A88,0)+1)
)</f>
        <v>0</v>
      </c>
      <c r="K88" s="166" cm="1">
        <f t="array" ref="K88">SUMPRODUCT(
  IFERROR(--desp[valor],0)*
  (desp[nucleo]="UP JARDIM PRUDENCIA")*
  (desp[categoria]=K$7)*
  (desp[data.pagamento]&gt;=$A88)*
  (desp[data.pagamento]&lt;EOMONTH($A88,0)+1)
)</f>
        <v>0</v>
      </c>
      <c r="L88" s="166" cm="1">
        <f t="array" ref="L88">SUMPRODUCT(
  IFERROR(--desp[valor],0)*
  (desp[nucleo]="UP JARDIM PRUDENCIA")*
  (desp[categoria]=L$7)*
  (desp[data.pagamento]&gt;=$A88)*
  (desp[data.pagamento]&lt;EOMONTH($A88,0)+1)
)</f>
        <v>0</v>
      </c>
      <c r="M88" s="166" cm="1">
        <f t="array" ref="M88">SUMPRODUCT(
  IFERROR(--desp[valor],0)*
  (desp[nucleo]="UP JARDIM PRUDENCIA")*
  (desp[categoria]=M$7)*
  (desp[data.pagamento]&gt;=$A88)*
  (desp[data.pagamento]&lt;EOMONTH($A88,0)+1)
)</f>
        <v>0</v>
      </c>
      <c r="N88" s="177">
        <f>COUNTIFS(
    estq[empresa], N$6,
    estq[Data da venda / reserva], "&gt;=" &amp; $A88,
    estq[Data da venda / reserva], "&lt;"  &amp; EOMONTH($A88,0) + 1
)</f>
        <v>0</v>
      </c>
      <c r="O88" s="178">
        <f ca="1">SUMIFS(rec.uni[2028-02-01],
INDIRECT("rec.uni[natureza]"),"pro.soluto",
INDIRECT("rec.uni[empresa]"),O$6)</f>
        <v>0</v>
      </c>
      <c r="P88" s="178">
        <f ca="1">SUMIFS(rec.uni[2028-02-01],
INDIRECT("rec.uni[natureza]"),"repasse.cef.obra",
INDIRECT("rec.uni[empresa]"),P$6)</f>
        <v>0</v>
      </c>
      <c r="Q88" s="178">
        <f ca="1">SUMIFS(rec.uni[2028-02-01],
INDIRECT("rec.uni[natureza]"),"repasse.cef.terreno",
INDIRECT("rec.uni[empresa]"),Q$6)</f>
        <v>0</v>
      </c>
      <c r="R88" s="182"/>
      <c r="S88" s="178">
        <f ca="1">SUMIFS(rec.uni[2028-02-01],
INDIRECT("rec.uni[natureza]"),"taxa.extra",
INDIRECT("rec.uni[empresa]"),S$6)</f>
        <v>0</v>
      </c>
      <c r="T88" s="166"/>
      <c r="U88" s="166" cm="1">
        <f t="array" ref="U88">SUMPRODUCT(
  IFERROR(--desp[valor],0)*
  (desp[nucleo]="UP VILA SONIA")*
  (desp[categoria]=U$7)*
  (desp[data.pagamento]&gt;=$A88)*
  (desp[data.pagamento]&lt;EOMONTH($A88,0)+1)
)</f>
        <v>0</v>
      </c>
      <c r="V88" s="166" cm="1">
        <f t="array" ref="V88">SUMPRODUCT(
  IFERROR(--desp[valor],0)*
  (desp[nucleo]="UP VILA SONIA")*
  (desp[categoria]=V$7)*
  (desp[data.pagamento]&gt;=$A88)*
  (desp[data.pagamento]&lt;EOMONTH($A88,0)+1)
)</f>
        <v>0</v>
      </c>
      <c r="W88" s="166" cm="1">
        <f t="array" ref="W88">SUMPRODUCT(
  IFERROR(--desp[valor],0)*
  (desp[nucleo]="UP VILA SONIA")*
  (desp[categoria]=W$7)*
  (desp[data.pagamento]&gt;=$A88)*
  (desp[data.pagamento]&lt;EOMONTH($A88,0)+1)
)</f>
        <v>0</v>
      </c>
      <c r="X88" s="166" cm="1">
        <f t="array" ref="X88">SUMPRODUCT(
  IFERROR(--desp[valor],0)*
  (desp[nucleo]="UP VILA SONIA")*
  (desp[categoria]=X$7)*
  (desp[data.pagamento]&gt;=$A88)*
  (desp[data.pagamento]&lt;EOMONTH($A88,0)+1)
)</f>
        <v>0</v>
      </c>
      <c r="Y88" s="166" cm="1">
        <f t="array" ref="Y88">SUMPRODUCT(
  IFERROR(--desp[valor],0)*
  (desp[nucleo]="UP VILA SONIA")*
  (desp[categoria]=Y$7)*
  (desp[data.pagamento]&gt;=$A88)*
  (desp[data.pagamento]&lt;EOMONTH($A88,0)+1)
)</f>
        <v>0</v>
      </c>
      <c r="Z88" s="177">
        <f>COUNTIFS(
    estq[empresa], Z$6,
    estq[Data da venda / reserva], "&gt;=" &amp; $A88,
    estq[Data da venda / reserva], "&lt;"  &amp; EOMONTH($A88,0) + 1
)</f>
        <v>0</v>
      </c>
      <c r="AA88" s="178">
        <f ca="1">SUMIFS(rec.uni[2028-02-01],
INDIRECT("rec.uni[natureza]"),"pro.soluto",
INDIRECT("rec.uni[empresa]"),AA$6)</f>
        <v>0</v>
      </c>
      <c r="AB88" s="182">
        <f ca="1">SUMIFS(rec.uni[2028-02-01],
INDIRECT("rec.uni[natureza]"),"parcela.fin.total.ik",
INDIRECT("rec.uni[empresa]"),AB$6)</f>
        <v>0</v>
      </c>
      <c r="AC88" s="178">
        <f ca="1">SUMIFS(rec.uni[2028-02-01],
INDIRECT("rec.uni[natureza]"),"taxa.extra",
INDIRECT("rec.uni[empresa]"),AC$6)</f>
        <v>0</v>
      </c>
      <c r="AD88" s="166"/>
      <c r="AE88" s="166" cm="1">
        <f t="array" ref="AE88">SUMPRODUCT(
  IFERROR(--desp[valor],0)*
  (desp[nucleo]="UP CAMPO BELO")*
  (desp[categoria]=AE$7)*
  (desp[data.pagamento]&gt;=$A88)*
  (desp[data.pagamento]&lt;EOMONTH($A88,0)+1)
)</f>
        <v>0</v>
      </c>
      <c r="AF88" s="166" cm="1">
        <f t="array" ref="AF88">SUMPRODUCT(
  IFERROR(--desp[valor],0)*
  (desp[nucleo]="UP CAMPO BELO")*
  (desp[categoria]=AF$7)*
  (desp[data.pagamento]&gt;=$A88)*
  (desp[data.pagamento]&lt;EOMONTH($A88,0)+1)
)</f>
        <v>0</v>
      </c>
      <c r="AG88" s="166" cm="1">
        <f t="array" ref="AG88">SUMPRODUCT(
  IFERROR(--desp[valor],0)*
  (desp[nucleo]="UP CAMPO BELO")*
  (desp[categoria]=AG$7)*
  (desp[data.pagamento]&gt;=$A88)*
  (desp[data.pagamento]&lt;EOMONTH($A88,0)+1)
)</f>
        <v>0</v>
      </c>
      <c r="AH88" s="166" cm="1">
        <f t="array" ref="AH88">SUMPRODUCT(
  IFERROR(--desp[valor],0)*
  (desp[nucleo]="UP CAMPO BELO")*
  (desp[categoria]=AH$7)*
  (desp[data.pagamento]&gt;=$A88)*
  (desp[data.pagamento]&lt;EOMONTH($A88,0)+1)
)</f>
        <v>0</v>
      </c>
      <c r="AI88" s="166" cm="1">
        <f t="array" ref="AI88">SUMPRODUCT(
  IFERROR(--desp[valor],0)*
  (desp[nucleo]="UP CAMPO BELO")*
  (desp[categoria]=AI$7)*
  (desp[data.pagamento]&gt;=$A88)*
  (desp[data.pagamento]&lt;EOMONTH($A88,0)+1)
)</f>
        <v>0</v>
      </c>
      <c r="AJ88" s="177">
        <f>COUNTIFS(
    estq[empresa], AJ$6,
    estq[Data da venda / reserva], "&gt;=" &amp; $A88,
    estq[Data da venda / reserva], "&lt;"  &amp; EOMONTH($A88,0) + 1
)</f>
        <v>0</v>
      </c>
      <c r="AK88" s="178">
        <f ca="1">SUMIFS(rec.uni[2028-02-01],
INDIRECT("rec.uni[natureza]"),"pro.soluto",
INDIRECT("rec.uni[empresa]"),AK$6)</f>
        <v>0</v>
      </c>
      <c r="AL88" s="178">
        <f ca="1">SUMIFS(rec.uni[2028-02-01],
INDIRECT("rec.uni[natureza]"),"repasse.cef.obra",
INDIRECT("rec.uni[empresa]"),AL$6)</f>
        <v>0</v>
      </c>
      <c r="AM88" s="181">
        <f ca="1">SUMIFS(rec.uni[2028-02-01],
INDIRECT("rec.uni[natureza]"),"repasse.cef.terreno",
INDIRECT("rec.uni[empresa]"),AM$6)</f>
        <v>0</v>
      </c>
      <c r="AN88" s="182"/>
      <c r="AO88" s="178">
        <f ca="1">SUMIFS(rec.uni[2028-02-01],
INDIRECT("rec.uni[natureza]"),"taxa.extra",
INDIRECT("rec.uni[empresa]"),AO$6)</f>
        <v>0</v>
      </c>
      <c r="AP88" s="166"/>
      <c r="AQ88" s="166" cm="1">
        <f t="array" ref="AQ88">SUMPRODUCT(
  IFERROR(--desp[valor],0)*
  (desp[nucleo]="UP SELECT VILA SONIA")*
  (desp[categoria]=AQ$7)*
  (desp[data.pagamento]&gt;=$A88)*
  (desp[data.pagamento]&lt;EOMONTH($A88,0)+1)
)</f>
        <v>0</v>
      </c>
      <c r="AR88" s="166" cm="1">
        <f t="array" ref="AR88">SUMPRODUCT(
  IFERROR(--desp[valor],0)*
  (desp[nucleo]="UP SELECT VILA SONIA")*
  (desp[categoria]=AR$7)*
  (desp[data.pagamento]&gt;=$A88)*
  (desp[data.pagamento]&lt;EOMONTH($A88,0)+1)
)</f>
        <v>0</v>
      </c>
      <c r="AS88" s="166" cm="1">
        <f t="array" ref="AS88">SUMPRODUCT(
  IFERROR(--desp[valor],0)*
  (desp[nucleo]="UP SELECT VILA SONIA")*
  (desp[categoria]=AS$7)*
  (desp[data.pagamento]&gt;=$A88)*
  (desp[data.pagamento]&lt;EOMONTH($A88,0)+1)
)</f>
        <v>0</v>
      </c>
      <c r="AT88" s="166" cm="1">
        <f t="array" ref="AT88">SUMPRODUCT(
  IFERROR(--desp[valor],0)*
  (desp[nucleo]="UP SELECT VILA SONIA")*
  (desp[categoria]=AT$7)*
  (desp[data.pagamento]&gt;=$A88)*
  (desp[data.pagamento]&lt;EOMONTH($A88,0)+1)
)</f>
        <v>0</v>
      </c>
      <c r="AU88" s="166" cm="1">
        <f t="array" ref="AU88">SUMPRODUCT(
  IFERROR(--desp[valor],0)*
  (desp[nucleo]="UP SELECT VILA SONIA")*
  (desp[categoria]=AU$7)*
  (desp[data.pagamento]&gt;=$A88)*
  (desp[data.pagamento]&lt;EOMONTH($A88,0)+1)
)</f>
        <v>0</v>
      </c>
      <c r="AV88" s="177">
        <f>COUNTIFS(
    estq[empresa], AV$6,
    estq[Data da venda / reserva], "&gt;=" &amp; $A88,
    estq[Data da venda / reserva], "&lt;"  &amp; EOMONTH($A88,0) + 1
)</f>
        <v>0</v>
      </c>
      <c r="AW88" s="178">
        <f ca="1">SUMIFS(rec.uni[2028-02-01],
INDIRECT("rec.uni[natureza]"),"pro.soluto",
INDIRECT("rec.uni[empresa]"),AW$6)</f>
        <v>0</v>
      </c>
      <c r="AX88" s="178">
        <f ca="1">SUMIFS(rec.uni[2028-02-01],
INDIRECT("rec.uni[natureza]"),"repasse.cef.obra",
INDIRECT("rec.uni[empresa]"),AX$6)</f>
        <v>0</v>
      </c>
      <c r="AY88" s="181">
        <f ca="1">SUMIFS(rec.uni[2028-02-01],
INDIRECT("rec.uni[natureza]"),"repasse.cef.terreno",
INDIRECT("rec.uni[empresa]"),AY$6)</f>
        <v>0</v>
      </c>
      <c r="AZ88" s="182"/>
      <c r="BA88" s="178">
        <f ca="1">SUMIFS(rec.uni[2028-02-01],
INDIRECT("rec.uni[natureza]"),"taxa.extra",
INDIRECT("rec.uni[empresa]"),BA$6)</f>
        <v>0</v>
      </c>
      <c r="BB88" s="166"/>
      <c r="BC88" s="166" cm="1">
        <f t="array" ref="BC88">SUMPRODUCT(
  IFERROR(--desp[valor],0)*
  (desp[nucleo]="UP ESTAÇÃO SÃO LUCAS")*
  (desp[categoria]=BC$7)*
  (desp[data.pagamento]&gt;=$A88)*
  (desp[data.pagamento]&lt;EOMONTH($A88,0)+1)
)</f>
        <v>0</v>
      </c>
      <c r="BD88" s="166" cm="1">
        <f t="array" ref="BD88">SUMPRODUCT(
  IFERROR(--desp[valor],0)*
  (desp[nucleo]="UP ESTAÇÃO SÃO LUCAS")*
  (desp[categoria]=BD$7)*
  (desp[data.pagamento]&gt;=$A88)*
  (desp[data.pagamento]&lt;EOMONTH($A88,0)+1)
)</f>
        <v>0</v>
      </c>
      <c r="BE88" s="166" cm="1">
        <f t="array" ref="BE88">SUMPRODUCT(
  IFERROR(--desp[valor],0)*
  (desp[nucleo]="UP ESTAÇÃO SÃO LUCAS")*
  (desp[categoria]=BE$7)*
  (desp[data.pagamento]&gt;=$A88)*
  (desp[data.pagamento]&lt;EOMONTH($A88,0)+1)
)</f>
        <v>0</v>
      </c>
      <c r="BF88" s="166" cm="1">
        <f t="array" ref="BF88">SUMPRODUCT(
  IFERROR(--desp[valor],0)*
  (desp[nucleo]="UP ESTAÇÃO SÃO LUCAS")*
  (desp[categoria]=BF$7)*
  (desp[data.pagamento]&gt;=$A88)*
  (desp[data.pagamento]&lt;EOMONTH($A88,0)+1)
)</f>
        <v>0</v>
      </c>
      <c r="BG88" s="166" cm="1">
        <f t="array" ref="BG88">SUMPRODUCT(
  IFERROR(--desp[valor],0)*
  (desp[nucleo]="UP ESTAÇÃO SÃO LUCAS")*
  (desp[categoria]=BG$7)*
  (desp[data.pagamento]&gt;=$A88)*
  (desp[data.pagamento]&lt;EOMONTH($A88,0)+1)
)</f>
        <v>0</v>
      </c>
      <c r="BH88" s="177">
        <f>COUNTIFS(
    estq[empresa], BH$6,
    estq[Data da venda / reserva], "&gt;=" &amp; $A88,
    estq[Data da venda / reserva], "&lt;"  &amp; EOMONTH($A88,0) + 1
)</f>
        <v>0</v>
      </c>
      <c r="BI88" s="178">
        <f ca="1">SUMIFS(rec.uni[2028-02-01],
INDIRECT("rec.uni[natureza]"),"pro.soluto",
INDIRECT("rec.uni[empresa]"),BI$6)</f>
        <v>0</v>
      </c>
      <c r="BJ88" s="182">
        <f ca="1">SUMIFS(rec.uni[2028-02-01],
INDIRECT("rec.uni[natureza]"),"parcela.fin.total.ik",
INDIRECT("rec.uni[empresa]"),BJ$6)</f>
        <v>0</v>
      </c>
      <c r="BK88" s="178">
        <f ca="1">SUMIFS(rec.uni[2028-02-01],
INDIRECT("rec.uni[natureza]"),"taxa.extra",
INDIRECT("rec.uni[empresa]"),BK$6)</f>
        <v>0</v>
      </c>
      <c r="BL88" s="166"/>
      <c r="BM88" s="166" cm="1">
        <f t="array" ref="BM88">SUMPRODUCT(
  IFERROR(--desp[valor],0)*
  (desp[nucleo]="UP POMPEIA")*
  (desp[categoria]=BM$7)*
  (desp[data.pagamento]&gt;=$A88)*
  (desp[data.pagamento]&lt;EOMONTH($A88,0)+1)
)</f>
        <v>0</v>
      </c>
      <c r="BN88" s="166" cm="1">
        <f t="array" ref="BN88">SUMPRODUCT(
  IFERROR(--desp[valor],0)*
  (desp[nucleo]="UP POMPEIA")*
  (desp[categoria]=BN$7)*
  (desp[data.pagamento]&gt;=$A88)*
  (desp[data.pagamento]&lt;EOMONTH($A88,0)+1)
)</f>
        <v>0</v>
      </c>
      <c r="BO88" s="166" cm="1">
        <f t="array" ref="BO88">SUMPRODUCT(
  IFERROR(--desp[valor],0)*
  (desp[nucleo]="UP POMPEIA")*
  (desp[categoria]=BO$7)*
  (desp[data.pagamento]&gt;=$A88)*
  (desp[data.pagamento]&lt;EOMONTH($A88,0)+1)
)</f>
        <v>0</v>
      </c>
      <c r="BP88" s="166" cm="1">
        <f t="array" ref="BP88">SUMPRODUCT(
  IFERROR(--desp[valor],0)*
  (desp[nucleo]="UP POMPEIA")*
  (desp[categoria]=BP$7)*
  (desp[data.pagamento]&gt;=$A88)*
  (desp[data.pagamento]&lt;EOMONTH($A88,0)+1)
)</f>
        <v>0</v>
      </c>
      <c r="BQ88" s="166" cm="1">
        <f t="array" ref="BQ88">SUMPRODUCT(
  IFERROR(--desp[valor],0)*
  (desp[nucleo]="UP POMPEIA")*
  (desp[categoria]=BQ$7)*
  (desp[data.pagamento]&gt;=$A88)*
  (desp[data.pagamento]&lt;EOMONTH($A88,0)+1)
)</f>
        <v>0</v>
      </c>
      <c r="BR88" s="177">
        <f>COUNTIFS(
    estq[empresa], BR$6,
    estq[Data da venda / reserva], "&gt;=" &amp; $A88,
    estq[Data da venda / reserva], "&lt;"  &amp; EOMONTH($A88,0) + 1
)</f>
        <v>0</v>
      </c>
      <c r="BS88" s="178">
        <f ca="1">SUMIFS(rec.uni[2028-02-01],
INDIRECT("rec.uni[natureza]"),"pro.soluto",
INDIRECT("rec.uni[empresa]"),BS$6)</f>
        <v>0</v>
      </c>
      <c r="BT88" s="182">
        <f ca="1">SUMIFS(rec.uni[2028-02-01],
INDIRECT("rec.uni[natureza]"),"parcela.fin.total.ik",
INDIRECT("rec.uni[empresa]"),BT$6)</f>
        <v>0</v>
      </c>
      <c r="BU88" s="178">
        <f ca="1">SUMIFS(rec.uni[2028-02-01],
INDIRECT("rec.uni[natureza]"),"taxa.extra",
INDIRECT("rec.uni[empresa]"),BU$6)</f>
        <v>0</v>
      </c>
      <c r="BV88" s="166"/>
      <c r="BW88" s="166" cm="1">
        <f t="array" ref="BW88">SUMPRODUCT(
  IFERROR(--desp[valor],0)*
  (desp[nucleo]="UP SAUDE")*
  (desp[categoria]=BW$7)*
  (desp[data.pagamento]&gt;=$A88)*
  (desp[data.pagamento]&lt;EOMONTH($A88,0)+1)
)</f>
        <v>0</v>
      </c>
      <c r="BX88" s="166" cm="1">
        <f t="array" ref="BX88">SUMPRODUCT(
  IFERROR(--desp[valor],0)*
  (desp[nucleo]="UP SAUDE")*
  (desp[categoria]=BX$7)*
  (desp[data.pagamento]&gt;=$A88)*
  (desp[data.pagamento]&lt;EOMONTH($A88,0)+1)
)</f>
        <v>0</v>
      </c>
      <c r="BY88" s="166" cm="1">
        <f t="array" ref="BY88">SUMPRODUCT(
  IFERROR(--desp[valor],0)*
  (desp[nucleo]="UP SAUDE")*
  (desp[categoria]=BY$7)*
  (desp[data.pagamento]&gt;=$A88)*
  (desp[data.pagamento]&lt;EOMONTH($A88,0)+1)
)</f>
        <v>0</v>
      </c>
      <c r="BZ88" s="166" cm="1">
        <f t="array" ref="BZ88">SUMPRODUCT(
  IFERROR(--desp[valor],0)*
  (desp[nucleo]="UP SAUDE")*
  (desp[categoria]=BZ$7)*
  (desp[data.pagamento]&gt;=$A88)*
  (desp[data.pagamento]&lt;EOMONTH($A88,0)+1)
)</f>
        <v>0</v>
      </c>
      <c r="CA88" s="166" cm="1">
        <f t="array" ref="CA88">SUMPRODUCT(
  IFERROR(--desp[valor],0)*
  (desp[nucleo]="UP SAUDE")*
  (desp[categoria]=CA$7)*
  (desp[data.pagamento]&gt;=$A88)*
  (desp[data.pagamento]&lt;EOMONTH($A88,0)+1)
)</f>
        <v>0</v>
      </c>
      <c r="CB88" s="177">
        <f>COUNTIFS(
    estq[empresa], CB$6,
    estq[Data da venda / reserva], "&gt;=" &amp; $A88,
    estq[Data da venda / reserva], "&lt;"  &amp; EOMONTH($A88,0) + 1
)</f>
        <v>0</v>
      </c>
      <c r="CC88" s="178">
        <f ca="1">SUMIFS(rec.uni[2028-02-01],
INDIRECT("rec.uni[natureza]"),"pro.soluto",
INDIRECT("rec.uni[empresa]"),CC$6)</f>
        <v>0</v>
      </c>
      <c r="CD88" s="178">
        <f ca="1">SUMIFS(rec.uni[2028-02-01],
INDIRECT("rec.uni[natureza]"),"repasse.cef.obra",
INDIRECT("rec.uni[empresa]"),CD$6)</f>
        <v>0</v>
      </c>
      <c r="CE88" s="181">
        <f ca="1">SUMIFS(rec.uni[2028-02-01],
INDIRECT("rec.uni[natureza]"),"repasse.cef.terreno",
INDIRECT("rec.uni[empresa]"),CE$6)</f>
        <v>0</v>
      </c>
      <c r="CF88" s="182"/>
      <c r="CG88" s="178">
        <f ca="1">SUMIFS(rec.uni[2028-02-01],
INDIRECT("rec.uni[natureza]"),"taxa.extra",
INDIRECT("rec.uni[empresa]"),CG$6)</f>
        <v>0</v>
      </c>
      <c r="CH88" s="166"/>
      <c r="CI88" s="166" cm="1">
        <f t="array" ref="CI88">SUMPRODUCT(
  IFERROR(--desp[valor],0)*
  (desp[nucleo]="UP ESTAÇÃO VILA SONIA")*
  (desp[categoria]=CI$7)*
  (desp[data.pagamento]&gt;=$A88)*
  (desp[data.pagamento]&lt;EOMONTH($A88,0)+1)
)</f>
        <v>0</v>
      </c>
      <c r="CJ88" s="166" cm="1">
        <f t="array" ref="CJ88">SUMPRODUCT(
  IFERROR(--desp[valor],0)*
  (desp[nucleo]="UP ESTAÇÃO VILA SONIA")*
  (desp[categoria]=CJ$7)*
  (desp[data.pagamento]&gt;=$A88)*
  (desp[data.pagamento]&lt;EOMONTH($A88,0)+1)
)</f>
        <v>0</v>
      </c>
      <c r="CK88" s="166" cm="1">
        <f t="array" ref="CK88">SUMPRODUCT(
  IFERROR(--desp[valor],0)*
  (desp[nucleo]="UP ESTAÇÃO VILA SONIA")*
  (desp[categoria]=CK$7)*
  (desp[data.pagamento]&gt;=$A88)*
  (desp[data.pagamento]&lt;EOMONTH($A88,0)+1)
)</f>
        <v>0</v>
      </c>
      <c r="CL88" s="166" cm="1">
        <f t="array" ref="CL88">SUMPRODUCT(
  IFERROR(--desp[valor],0)*
  (desp[nucleo]="UP ESTAÇÃO VILA SONIA")*
  (desp[categoria]=CL$7)*
  (desp[data.pagamento]&gt;=$A88)*
  (desp[data.pagamento]&lt;EOMONTH($A88,0)+1)
)</f>
        <v>0</v>
      </c>
      <c r="CM88" s="166" cm="1">
        <f t="array" ref="CM88">SUMPRODUCT(
  IFERROR(--desp[valor],0)*
  (desp[nucleo]="UP ESTAÇÃO VILA SONIA")*
  (desp[categoria]=CM$7)*
  (desp[data.pagamento]&gt;=$A88)*
  (desp[data.pagamento]&lt;EOMONTH($A88,0)+1)
)</f>
        <v>0</v>
      </c>
      <c r="CN88" s="177">
        <f>COUNTIFS(
    estq[empresa], CN$6,
    estq[Data da venda / reserva], "&gt;=" &amp; $A88,
    estq[Data da venda / reserva], "&lt;"  &amp; EOMONTH($A88,0) + 1
)</f>
        <v>0</v>
      </c>
      <c r="CO88" s="178">
        <f ca="1">SUMIFS(rec.uni[2028-02-01],
INDIRECT("rec.uni[natureza]"),"pro.soluto",
INDIRECT("rec.uni[empresa]"),CO$6)</f>
        <v>0</v>
      </c>
      <c r="CP88" s="178">
        <f ca="1">SUMIFS(rec.uni[2028-02-01],
INDIRECT("rec.uni[natureza]"),"repasse.cef.obra",
INDIRECT("rec.uni[empresa]"),CP$6)</f>
        <v>0</v>
      </c>
      <c r="CQ88" s="181">
        <f ca="1">SUMIFS(rec.uni[2028-02-01],
INDIRECT("rec.uni[natureza]"),"repasse.cef.terreno",
INDIRECT("rec.uni[empresa]"),CQ$6)</f>
        <v>0</v>
      </c>
      <c r="CR88" s="182"/>
      <c r="CS88" s="178">
        <f ca="1">SUMIFS(rec.uni[2028-02-01],
INDIRECT("rec.uni[natureza]"),"taxa.extra",
INDIRECT("rec.uni[empresa]"),CS$6)</f>
        <v>0</v>
      </c>
      <c r="CT88" s="166"/>
      <c r="CU88" s="166" cm="1">
        <f t="array" ref="CU88">SUMPRODUCT(
  IFERROR(--desp[valor],0)*
  (desp[nucleo]="UP MOVE VILA SONIA")*
  (desp[categoria]=CU$7)*
  (desp[data.pagamento]&gt;=$A88)*
  (desp[data.pagamento]&lt;EOMONTH($A88,0)+1)
)</f>
        <v>0</v>
      </c>
      <c r="CV88" s="166" cm="1">
        <f t="array" ref="CV88">SUMPRODUCT(
  IFERROR(--desp[valor],0)*
  (desp[nucleo]="UP MOVE VILA SONIA")*
  (desp[categoria]=CV$7)*
  (desp[data.pagamento]&gt;=$A88)*
  (desp[data.pagamento]&lt;EOMONTH($A88,0)+1)
)</f>
        <v>0</v>
      </c>
      <c r="CW88" s="166" cm="1">
        <f t="array" ref="CW88">SUMPRODUCT(
  IFERROR(--desp[valor],0)*
  (desp[nucleo]="UP MOVE VILA SONIA")*
  (desp[categoria]=CW$7)*
  (desp[data.pagamento]&gt;=$A88)*
  (desp[data.pagamento]&lt;EOMONTH($A88,0)+1)
)</f>
        <v>0</v>
      </c>
      <c r="CX88" s="166" cm="1">
        <f t="array" ref="CX88">SUMPRODUCT(
  IFERROR(--desp[valor],0)*
  (desp[nucleo]="UP MOVE VILA SONIA")*
  (desp[categoria]=CX$7)*
  (desp[data.pagamento]&gt;=$A88)*
  (desp[data.pagamento]&lt;EOMONTH($A88,0)+1)
)</f>
        <v>0</v>
      </c>
      <c r="CY88" s="291" cm="1">
        <f t="array" ref="CY88">SUMPRODUCT(
  IFERROR(--desp[valor],0)*
  (desp[nucleo]="UP MOVE VILA SONIA")*
  (desp[categoria]=CY$7)*
  (desp[data.pagamento]&gt;=$A88)*
  (desp[data.pagamento]&lt;EOMONTH($A88,0)+1)
)</f>
        <v>0</v>
      </c>
    </row>
    <row r="89" spans="1:103" x14ac:dyDescent="0.25">
      <c r="A89" s="176">
        <v>46813</v>
      </c>
      <c r="B89" s="177">
        <f>COUNTIFS(
    estq[empresa], B$6,
    estq[Data da venda / reserva], "&gt;=" &amp; $A89,
    estq[Data da venda / reserva], "&lt;"  &amp; EOMONTH($A89,0) + 1
)</f>
        <v>0</v>
      </c>
      <c r="C89" s="178">
        <f ca="1">SUMIFS(rec.uni[2028-03-01],
INDIRECT("rec.uni[natureza]"),"pro.soluto",
INDIRECT("rec.uni[empresa]"),C$6)</f>
        <v>0</v>
      </c>
      <c r="D89" s="178">
        <f ca="1">SUMIFS(rec.uni[2028-03-01],
INDIRECT("rec.uni[natureza]"),"repasse.cef.obra",
INDIRECT("rec.uni[empresa]"),D$6)</f>
        <v>0</v>
      </c>
      <c r="E89" s="178">
        <f ca="1">SUMIFS(rec.uni[2028-03-01],
INDIRECT("rec.uni[natureza]"),"repasse.cef.terreno",
INDIRECT("rec.uni[empresa]"),E$6)</f>
        <v>0</v>
      </c>
      <c r="F89" s="182"/>
      <c r="G89" s="178">
        <f ca="1">SUMIFS(rec.uni[2028-03-01],
INDIRECT("rec.uni[natureza]"),"taxa.extra",
INDIRECT("rec.uni[empresa]"),G$6)</f>
        <v>0</v>
      </c>
      <c r="H89" s="166"/>
      <c r="I89" s="166" cm="1">
        <f t="array" ref="I89">SUMPRODUCT(
  IFERROR(--desp[valor],0)*
  (desp[nucleo]="UP JARDIM PRUDENCIA")*
  (desp[categoria]=I$7)*
  (desp[data.pagamento]&gt;=$A89)*
  (desp[data.pagamento]&lt;EOMONTH($A89,0)+1)
)</f>
        <v>0</v>
      </c>
      <c r="J89" s="166" cm="1">
        <f t="array" ref="J89">SUMPRODUCT(
  IFERROR(--desp[valor],0)*
  (desp[nucleo]="UP JARDIM PRUDENCIA")*
  (desp[categoria]=J$7)*
  (desp[data.pagamento]&gt;=$A89)*
  (desp[data.pagamento]&lt;EOMONTH($A89,0)+1)
)</f>
        <v>0</v>
      </c>
      <c r="K89" s="166" cm="1">
        <f t="array" ref="K89">SUMPRODUCT(
  IFERROR(--desp[valor],0)*
  (desp[nucleo]="UP JARDIM PRUDENCIA")*
  (desp[categoria]=K$7)*
  (desp[data.pagamento]&gt;=$A89)*
  (desp[data.pagamento]&lt;EOMONTH($A89,0)+1)
)</f>
        <v>0</v>
      </c>
      <c r="L89" s="166" cm="1">
        <f t="array" ref="L89">SUMPRODUCT(
  IFERROR(--desp[valor],0)*
  (desp[nucleo]="UP JARDIM PRUDENCIA")*
  (desp[categoria]=L$7)*
  (desp[data.pagamento]&gt;=$A89)*
  (desp[data.pagamento]&lt;EOMONTH($A89,0)+1)
)</f>
        <v>0</v>
      </c>
      <c r="M89" s="166" cm="1">
        <f t="array" ref="M89">SUMPRODUCT(
  IFERROR(--desp[valor],0)*
  (desp[nucleo]="UP JARDIM PRUDENCIA")*
  (desp[categoria]=M$7)*
  (desp[data.pagamento]&gt;=$A89)*
  (desp[data.pagamento]&lt;EOMONTH($A89,0)+1)
)</f>
        <v>0</v>
      </c>
      <c r="N89" s="177">
        <f>COUNTIFS(
    estq[empresa], N$6,
    estq[Data da venda / reserva], "&gt;=" &amp; $A89,
    estq[Data da venda / reserva], "&lt;"  &amp; EOMONTH($A89,0) + 1
)</f>
        <v>0</v>
      </c>
      <c r="O89" s="178">
        <f ca="1">SUMIFS(rec.uni[2028-03-01],
INDIRECT("rec.uni[natureza]"),"pro.soluto",
INDIRECT("rec.uni[empresa]"),O$6)</f>
        <v>0</v>
      </c>
      <c r="P89" s="178">
        <f ca="1">SUMIFS(rec.uni[2028-03-01],
INDIRECT("rec.uni[natureza]"),"repasse.cef.obra",
INDIRECT("rec.uni[empresa]"),P$6)</f>
        <v>0</v>
      </c>
      <c r="Q89" s="178">
        <f ca="1">SUMIFS(rec.uni[2028-03-01],
INDIRECT("rec.uni[natureza]"),"repasse.cef.terreno",
INDIRECT("rec.uni[empresa]"),Q$6)</f>
        <v>0</v>
      </c>
      <c r="R89" s="182"/>
      <c r="S89" s="178">
        <f ca="1">SUMIFS(rec.uni[2028-03-01],
INDIRECT("rec.uni[natureza]"),"taxa.extra",
INDIRECT("rec.uni[empresa]"),S$6)</f>
        <v>0</v>
      </c>
      <c r="T89" s="166"/>
      <c r="U89" s="166" cm="1">
        <f t="array" ref="U89">SUMPRODUCT(
  IFERROR(--desp[valor],0)*
  (desp[nucleo]="UP VILA SONIA")*
  (desp[categoria]=U$7)*
  (desp[data.pagamento]&gt;=$A89)*
  (desp[data.pagamento]&lt;EOMONTH($A89,0)+1)
)</f>
        <v>0</v>
      </c>
      <c r="V89" s="166" cm="1">
        <f t="array" ref="V89">SUMPRODUCT(
  IFERROR(--desp[valor],0)*
  (desp[nucleo]="UP VILA SONIA")*
  (desp[categoria]=V$7)*
  (desp[data.pagamento]&gt;=$A89)*
  (desp[data.pagamento]&lt;EOMONTH($A89,0)+1)
)</f>
        <v>0</v>
      </c>
      <c r="W89" s="166" cm="1">
        <f t="array" ref="W89">SUMPRODUCT(
  IFERROR(--desp[valor],0)*
  (desp[nucleo]="UP VILA SONIA")*
  (desp[categoria]=W$7)*
  (desp[data.pagamento]&gt;=$A89)*
  (desp[data.pagamento]&lt;EOMONTH($A89,0)+1)
)</f>
        <v>0</v>
      </c>
      <c r="X89" s="166" cm="1">
        <f t="array" ref="X89">SUMPRODUCT(
  IFERROR(--desp[valor],0)*
  (desp[nucleo]="UP VILA SONIA")*
  (desp[categoria]=X$7)*
  (desp[data.pagamento]&gt;=$A89)*
  (desp[data.pagamento]&lt;EOMONTH($A89,0)+1)
)</f>
        <v>0</v>
      </c>
      <c r="Y89" s="166" cm="1">
        <f t="array" ref="Y89">SUMPRODUCT(
  IFERROR(--desp[valor],0)*
  (desp[nucleo]="UP VILA SONIA")*
  (desp[categoria]=Y$7)*
  (desp[data.pagamento]&gt;=$A89)*
  (desp[data.pagamento]&lt;EOMONTH($A89,0)+1)
)</f>
        <v>0</v>
      </c>
      <c r="Z89" s="177">
        <f>COUNTIFS(
    estq[empresa], Z$6,
    estq[Data da venda / reserva], "&gt;=" &amp; $A89,
    estq[Data da venda / reserva], "&lt;"  &amp; EOMONTH($A89,0) + 1
)</f>
        <v>0</v>
      </c>
      <c r="AA89" s="178">
        <f ca="1">SUMIFS(rec.uni[2028-03-01],
INDIRECT("rec.uni[natureza]"),"pro.soluto",
INDIRECT("rec.uni[empresa]"),AA$6)</f>
        <v>0</v>
      </c>
      <c r="AB89" s="182">
        <f ca="1">SUMIFS(rec.uni[2028-03-01],
INDIRECT("rec.uni[natureza]"),"parcela.fin.total.ik",
INDIRECT("rec.uni[empresa]"),AB$6)</f>
        <v>0</v>
      </c>
      <c r="AC89" s="178">
        <f ca="1">SUMIFS(rec.uni[2028-03-01],
INDIRECT("rec.uni[natureza]"),"taxa.extra",
INDIRECT("rec.uni[empresa]"),AC$6)</f>
        <v>0</v>
      </c>
      <c r="AD89" s="166"/>
      <c r="AE89" s="166" cm="1">
        <f t="array" ref="AE89">SUMPRODUCT(
  IFERROR(--desp[valor],0)*
  (desp[nucleo]="UP CAMPO BELO")*
  (desp[categoria]=AE$7)*
  (desp[data.pagamento]&gt;=$A89)*
  (desp[data.pagamento]&lt;EOMONTH($A89,0)+1)
)</f>
        <v>0</v>
      </c>
      <c r="AF89" s="166" cm="1">
        <f t="array" ref="AF89">SUMPRODUCT(
  IFERROR(--desp[valor],0)*
  (desp[nucleo]="UP CAMPO BELO")*
  (desp[categoria]=AF$7)*
  (desp[data.pagamento]&gt;=$A89)*
  (desp[data.pagamento]&lt;EOMONTH($A89,0)+1)
)</f>
        <v>0</v>
      </c>
      <c r="AG89" s="166" cm="1">
        <f t="array" ref="AG89">SUMPRODUCT(
  IFERROR(--desp[valor],0)*
  (desp[nucleo]="UP CAMPO BELO")*
  (desp[categoria]=AG$7)*
  (desp[data.pagamento]&gt;=$A89)*
  (desp[data.pagamento]&lt;EOMONTH($A89,0)+1)
)</f>
        <v>0</v>
      </c>
      <c r="AH89" s="166" cm="1">
        <f t="array" ref="AH89">SUMPRODUCT(
  IFERROR(--desp[valor],0)*
  (desp[nucleo]="UP CAMPO BELO")*
  (desp[categoria]=AH$7)*
  (desp[data.pagamento]&gt;=$A89)*
  (desp[data.pagamento]&lt;EOMONTH($A89,0)+1)
)</f>
        <v>0</v>
      </c>
      <c r="AI89" s="166" cm="1">
        <f t="array" ref="AI89">SUMPRODUCT(
  IFERROR(--desp[valor],0)*
  (desp[nucleo]="UP CAMPO BELO")*
  (desp[categoria]=AI$7)*
  (desp[data.pagamento]&gt;=$A89)*
  (desp[data.pagamento]&lt;EOMONTH($A89,0)+1)
)</f>
        <v>0</v>
      </c>
      <c r="AJ89" s="177">
        <f>COUNTIFS(
    estq[empresa], AJ$6,
    estq[Data da venda / reserva], "&gt;=" &amp; $A89,
    estq[Data da venda / reserva], "&lt;"  &amp; EOMONTH($A89,0) + 1
)</f>
        <v>0</v>
      </c>
      <c r="AK89" s="178">
        <f ca="1">SUMIFS(rec.uni[2028-03-01],
INDIRECT("rec.uni[natureza]"),"pro.soluto",
INDIRECT("rec.uni[empresa]"),AK$6)</f>
        <v>0</v>
      </c>
      <c r="AL89" s="178">
        <f ca="1">SUMIFS(rec.uni[2028-03-01],
INDIRECT("rec.uni[natureza]"),"repasse.cef.obra",
INDIRECT("rec.uni[empresa]"),AL$6)</f>
        <v>0</v>
      </c>
      <c r="AM89" s="181">
        <f ca="1">SUMIFS(rec.uni[2028-03-01],
INDIRECT("rec.uni[natureza]"),"repasse.cef.terreno",
INDIRECT("rec.uni[empresa]"),AM$6)</f>
        <v>0</v>
      </c>
      <c r="AN89" s="182"/>
      <c r="AO89" s="178">
        <f ca="1">SUMIFS(rec.uni[2028-03-01],
INDIRECT("rec.uni[natureza]"),"taxa.extra",
INDIRECT("rec.uni[empresa]"),AO$6)</f>
        <v>0</v>
      </c>
      <c r="AP89" s="166"/>
      <c r="AQ89" s="166" cm="1">
        <f t="array" ref="AQ89">SUMPRODUCT(
  IFERROR(--desp[valor],0)*
  (desp[nucleo]="UP SELECT VILA SONIA")*
  (desp[categoria]=AQ$7)*
  (desp[data.pagamento]&gt;=$A89)*
  (desp[data.pagamento]&lt;EOMONTH($A89,0)+1)
)</f>
        <v>0</v>
      </c>
      <c r="AR89" s="166" cm="1">
        <f t="array" ref="AR89">SUMPRODUCT(
  IFERROR(--desp[valor],0)*
  (desp[nucleo]="UP SELECT VILA SONIA")*
  (desp[categoria]=AR$7)*
  (desp[data.pagamento]&gt;=$A89)*
  (desp[data.pagamento]&lt;EOMONTH($A89,0)+1)
)</f>
        <v>0</v>
      </c>
      <c r="AS89" s="166" cm="1">
        <f t="array" ref="AS89">SUMPRODUCT(
  IFERROR(--desp[valor],0)*
  (desp[nucleo]="UP SELECT VILA SONIA")*
  (desp[categoria]=AS$7)*
  (desp[data.pagamento]&gt;=$A89)*
  (desp[data.pagamento]&lt;EOMONTH($A89,0)+1)
)</f>
        <v>0</v>
      </c>
      <c r="AT89" s="166" cm="1">
        <f t="array" ref="AT89">SUMPRODUCT(
  IFERROR(--desp[valor],0)*
  (desp[nucleo]="UP SELECT VILA SONIA")*
  (desp[categoria]=AT$7)*
  (desp[data.pagamento]&gt;=$A89)*
  (desp[data.pagamento]&lt;EOMONTH($A89,0)+1)
)</f>
        <v>0</v>
      </c>
      <c r="AU89" s="166" cm="1">
        <f t="array" ref="AU89">SUMPRODUCT(
  IFERROR(--desp[valor],0)*
  (desp[nucleo]="UP SELECT VILA SONIA")*
  (desp[categoria]=AU$7)*
  (desp[data.pagamento]&gt;=$A89)*
  (desp[data.pagamento]&lt;EOMONTH($A89,0)+1)
)</f>
        <v>0</v>
      </c>
      <c r="AV89" s="177">
        <f>COUNTIFS(
    estq[empresa], AV$6,
    estq[Data da venda / reserva], "&gt;=" &amp; $A89,
    estq[Data da venda / reserva], "&lt;"  &amp; EOMONTH($A89,0) + 1
)</f>
        <v>0</v>
      </c>
      <c r="AW89" s="178">
        <f ca="1">SUMIFS(rec.uni[2028-03-01],
INDIRECT("rec.uni[natureza]"),"pro.soluto",
INDIRECT("rec.uni[empresa]"),AW$6)</f>
        <v>0</v>
      </c>
      <c r="AX89" s="178">
        <f ca="1">SUMIFS(rec.uni[2028-03-01],
INDIRECT("rec.uni[natureza]"),"repasse.cef.obra",
INDIRECT("rec.uni[empresa]"),AX$6)</f>
        <v>0</v>
      </c>
      <c r="AY89" s="181">
        <f ca="1">SUMIFS(rec.uni[2028-03-01],
INDIRECT("rec.uni[natureza]"),"repasse.cef.terreno",
INDIRECT("rec.uni[empresa]"),AY$6)</f>
        <v>0</v>
      </c>
      <c r="AZ89" s="182"/>
      <c r="BA89" s="178">
        <f ca="1">SUMIFS(rec.uni[2028-03-01],
INDIRECT("rec.uni[natureza]"),"taxa.extra",
INDIRECT("rec.uni[empresa]"),BA$6)</f>
        <v>0</v>
      </c>
      <c r="BB89" s="166"/>
      <c r="BC89" s="166" cm="1">
        <f t="array" ref="BC89">SUMPRODUCT(
  IFERROR(--desp[valor],0)*
  (desp[nucleo]="UP ESTAÇÃO SÃO LUCAS")*
  (desp[categoria]=BC$7)*
  (desp[data.pagamento]&gt;=$A89)*
  (desp[data.pagamento]&lt;EOMONTH($A89,0)+1)
)</f>
        <v>0</v>
      </c>
      <c r="BD89" s="166" cm="1">
        <f t="array" ref="BD89">SUMPRODUCT(
  IFERROR(--desp[valor],0)*
  (desp[nucleo]="UP ESTAÇÃO SÃO LUCAS")*
  (desp[categoria]=BD$7)*
  (desp[data.pagamento]&gt;=$A89)*
  (desp[data.pagamento]&lt;EOMONTH($A89,0)+1)
)</f>
        <v>0</v>
      </c>
      <c r="BE89" s="166" cm="1">
        <f t="array" ref="BE89">SUMPRODUCT(
  IFERROR(--desp[valor],0)*
  (desp[nucleo]="UP ESTAÇÃO SÃO LUCAS")*
  (desp[categoria]=BE$7)*
  (desp[data.pagamento]&gt;=$A89)*
  (desp[data.pagamento]&lt;EOMONTH($A89,0)+1)
)</f>
        <v>0</v>
      </c>
      <c r="BF89" s="166" cm="1">
        <f t="array" ref="BF89">SUMPRODUCT(
  IFERROR(--desp[valor],0)*
  (desp[nucleo]="UP ESTAÇÃO SÃO LUCAS")*
  (desp[categoria]=BF$7)*
  (desp[data.pagamento]&gt;=$A89)*
  (desp[data.pagamento]&lt;EOMONTH($A89,0)+1)
)</f>
        <v>0</v>
      </c>
      <c r="BG89" s="166" cm="1">
        <f t="array" ref="BG89">SUMPRODUCT(
  IFERROR(--desp[valor],0)*
  (desp[nucleo]="UP ESTAÇÃO SÃO LUCAS")*
  (desp[categoria]=BG$7)*
  (desp[data.pagamento]&gt;=$A89)*
  (desp[data.pagamento]&lt;EOMONTH($A89,0)+1)
)</f>
        <v>0</v>
      </c>
      <c r="BH89" s="177">
        <f>COUNTIFS(
    estq[empresa], BH$6,
    estq[Data da venda / reserva], "&gt;=" &amp; $A89,
    estq[Data da venda / reserva], "&lt;"  &amp; EOMONTH($A89,0) + 1
)</f>
        <v>0</v>
      </c>
      <c r="BI89" s="178">
        <f ca="1">SUMIFS(rec.uni[2028-03-01],
INDIRECT("rec.uni[natureza]"),"pro.soluto",
INDIRECT("rec.uni[empresa]"),BI$6)</f>
        <v>0</v>
      </c>
      <c r="BJ89" s="182">
        <f ca="1">SUMIFS(rec.uni[2028-03-01],
INDIRECT("rec.uni[natureza]"),"parcela.fin.total.ik",
INDIRECT("rec.uni[empresa]"),BJ$6)</f>
        <v>0</v>
      </c>
      <c r="BK89" s="178">
        <f ca="1">SUMIFS(rec.uni[2028-03-01],
INDIRECT("rec.uni[natureza]"),"taxa.extra",
INDIRECT("rec.uni[empresa]"),BK$6)</f>
        <v>0</v>
      </c>
      <c r="BL89" s="166"/>
      <c r="BM89" s="166" cm="1">
        <f t="array" ref="BM89">SUMPRODUCT(
  IFERROR(--desp[valor],0)*
  (desp[nucleo]="UP POMPEIA")*
  (desp[categoria]=BM$7)*
  (desp[data.pagamento]&gt;=$A89)*
  (desp[data.pagamento]&lt;EOMONTH($A89,0)+1)
)</f>
        <v>0</v>
      </c>
      <c r="BN89" s="166" cm="1">
        <f t="array" ref="BN89">SUMPRODUCT(
  IFERROR(--desp[valor],0)*
  (desp[nucleo]="UP POMPEIA")*
  (desp[categoria]=BN$7)*
  (desp[data.pagamento]&gt;=$A89)*
  (desp[data.pagamento]&lt;EOMONTH($A89,0)+1)
)</f>
        <v>0</v>
      </c>
      <c r="BO89" s="166" cm="1">
        <f t="array" ref="BO89">SUMPRODUCT(
  IFERROR(--desp[valor],0)*
  (desp[nucleo]="UP POMPEIA")*
  (desp[categoria]=BO$7)*
  (desp[data.pagamento]&gt;=$A89)*
  (desp[data.pagamento]&lt;EOMONTH($A89,0)+1)
)</f>
        <v>0</v>
      </c>
      <c r="BP89" s="166" cm="1">
        <f t="array" ref="BP89">SUMPRODUCT(
  IFERROR(--desp[valor],0)*
  (desp[nucleo]="UP POMPEIA")*
  (desp[categoria]=BP$7)*
  (desp[data.pagamento]&gt;=$A89)*
  (desp[data.pagamento]&lt;EOMONTH($A89,0)+1)
)</f>
        <v>0</v>
      </c>
      <c r="BQ89" s="166" cm="1">
        <f t="array" ref="BQ89">SUMPRODUCT(
  IFERROR(--desp[valor],0)*
  (desp[nucleo]="UP POMPEIA")*
  (desp[categoria]=BQ$7)*
  (desp[data.pagamento]&gt;=$A89)*
  (desp[data.pagamento]&lt;EOMONTH($A89,0)+1)
)</f>
        <v>0</v>
      </c>
      <c r="BR89" s="177">
        <f>COUNTIFS(
    estq[empresa], BR$6,
    estq[Data da venda / reserva], "&gt;=" &amp; $A89,
    estq[Data da venda / reserva], "&lt;"  &amp; EOMONTH($A89,0) + 1
)</f>
        <v>0</v>
      </c>
      <c r="BS89" s="178">
        <f ca="1">SUMIFS(rec.uni[2028-03-01],
INDIRECT("rec.uni[natureza]"),"pro.soluto",
INDIRECT("rec.uni[empresa]"),BS$6)</f>
        <v>0</v>
      </c>
      <c r="BT89" s="182">
        <f ca="1">SUMIFS(rec.uni[2028-03-01],
INDIRECT("rec.uni[natureza]"),"parcela.fin.total.ik",
INDIRECT("rec.uni[empresa]"),BT$6)</f>
        <v>0</v>
      </c>
      <c r="BU89" s="178">
        <f ca="1">SUMIFS(rec.uni[2028-03-01],
INDIRECT("rec.uni[natureza]"),"taxa.extra",
INDIRECT("rec.uni[empresa]"),BU$6)</f>
        <v>0</v>
      </c>
      <c r="BV89" s="166"/>
      <c r="BW89" s="166" cm="1">
        <f t="array" ref="BW89">SUMPRODUCT(
  IFERROR(--desp[valor],0)*
  (desp[nucleo]="UP SAUDE")*
  (desp[categoria]=BW$7)*
  (desp[data.pagamento]&gt;=$A89)*
  (desp[data.pagamento]&lt;EOMONTH($A89,0)+1)
)</f>
        <v>0</v>
      </c>
      <c r="BX89" s="166" cm="1">
        <f t="array" ref="BX89">SUMPRODUCT(
  IFERROR(--desp[valor],0)*
  (desp[nucleo]="UP SAUDE")*
  (desp[categoria]=BX$7)*
  (desp[data.pagamento]&gt;=$A89)*
  (desp[data.pagamento]&lt;EOMONTH($A89,0)+1)
)</f>
        <v>0</v>
      </c>
      <c r="BY89" s="166" cm="1">
        <f t="array" ref="BY89">SUMPRODUCT(
  IFERROR(--desp[valor],0)*
  (desp[nucleo]="UP SAUDE")*
  (desp[categoria]=BY$7)*
  (desp[data.pagamento]&gt;=$A89)*
  (desp[data.pagamento]&lt;EOMONTH($A89,0)+1)
)</f>
        <v>0</v>
      </c>
      <c r="BZ89" s="166" cm="1">
        <f t="array" ref="BZ89">SUMPRODUCT(
  IFERROR(--desp[valor],0)*
  (desp[nucleo]="UP SAUDE")*
  (desp[categoria]=BZ$7)*
  (desp[data.pagamento]&gt;=$A89)*
  (desp[data.pagamento]&lt;EOMONTH($A89,0)+1)
)</f>
        <v>0</v>
      </c>
      <c r="CA89" s="166" cm="1">
        <f t="array" ref="CA89">SUMPRODUCT(
  IFERROR(--desp[valor],0)*
  (desp[nucleo]="UP SAUDE")*
  (desp[categoria]=CA$7)*
  (desp[data.pagamento]&gt;=$A89)*
  (desp[data.pagamento]&lt;EOMONTH($A89,0)+1)
)</f>
        <v>0</v>
      </c>
      <c r="CB89" s="177">
        <f>COUNTIFS(
    estq[empresa], CB$6,
    estq[Data da venda / reserva], "&gt;=" &amp; $A89,
    estq[Data da venda / reserva], "&lt;"  &amp; EOMONTH($A89,0) + 1
)</f>
        <v>0</v>
      </c>
      <c r="CC89" s="178">
        <f ca="1">SUMIFS(rec.uni[2028-03-01],
INDIRECT("rec.uni[natureza]"),"pro.soluto",
INDIRECT("rec.uni[empresa]"),CC$6)</f>
        <v>0</v>
      </c>
      <c r="CD89" s="178">
        <f ca="1">SUMIFS(rec.uni[2028-03-01],
INDIRECT("rec.uni[natureza]"),"repasse.cef.obra",
INDIRECT("rec.uni[empresa]"),CD$6)</f>
        <v>0</v>
      </c>
      <c r="CE89" s="181">
        <f ca="1">SUMIFS(rec.uni[2028-03-01],
INDIRECT("rec.uni[natureza]"),"repasse.cef.terreno",
INDIRECT("rec.uni[empresa]"),CE$6)</f>
        <v>0</v>
      </c>
      <c r="CF89" s="182"/>
      <c r="CG89" s="178">
        <f ca="1">SUMIFS(rec.uni[2028-03-01],
INDIRECT("rec.uni[natureza]"),"taxa.extra",
INDIRECT("rec.uni[empresa]"),CG$6)</f>
        <v>0</v>
      </c>
      <c r="CH89" s="166"/>
      <c r="CI89" s="166" cm="1">
        <f t="array" ref="CI89">SUMPRODUCT(
  IFERROR(--desp[valor],0)*
  (desp[nucleo]="UP ESTAÇÃO VILA SONIA")*
  (desp[categoria]=CI$7)*
  (desp[data.pagamento]&gt;=$A89)*
  (desp[data.pagamento]&lt;EOMONTH($A89,0)+1)
)</f>
        <v>0</v>
      </c>
      <c r="CJ89" s="166" cm="1">
        <f t="array" ref="CJ89">SUMPRODUCT(
  IFERROR(--desp[valor],0)*
  (desp[nucleo]="UP ESTAÇÃO VILA SONIA")*
  (desp[categoria]=CJ$7)*
  (desp[data.pagamento]&gt;=$A89)*
  (desp[data.pagamento]&lt;EOMONTH($A89,0)+1)
)</f>
        <v>0</v>
      </c>
      <c r="CK89" s="166" cm="1">
        <f t="array" ref="CK89">SUMPRODUCT(
  IFERROR(--desp[valor],0)*
  (desp[nucleo]="UP ESTAÇÃO VILA SONIA")*
  (desp[categoria]=CK$7)*
  (desp[data.pagamento]&gt;=$A89)*
  (desp[data.pagamento]&lt;EOMONTH($A89,0)+1)
)</f>
        <v>0</v>
      </c>
      <c r="CL89" s="166" cm="1">
        <f t="array" ref="CL89">SUMPRODUCT(
  IFERROR(--desp[valor],0)*
  (desp[nucleo]="UP ESTAÇÃO VILA SONIA")*
  (desp[categoria]=CL$7)*
  (desp[data.pagamento]&gt;=$A89)*
  (desp[data.pagamento]&lt;EOMONTH($A89,0)+1)
)</f>
        <v>0</v>
      </c>
      <c r="CM89" s="166" cm="1">
        <f t="array" ref="CM89">SUMPRODUCT(
  IFERROR(--desp[valor],0)*
  (desp[nucleo]="UP ESTAÇÃO VILA SONIA")*
  (desp[categoria]=CM$7)*
  (desp[data.pagamento]&gt;=$A89)*
  (desp[data.pagamento]&lt;EOMONTH($A89,0)+1)
)</f>
        <v>0</v>
      </c>
      <c r="CN89" s="177">
        <f>COUNTIFS(
    estq[empresa], CN$6,
    estq[Data da venda / reserva], "&gt;=" &amp; $A89,
    estq[Data da venda / reserva], "&lt;"  &amp; EOMONTH($A89,0) + 1
)</f>
        <v>0</v>
      </c>
      <c r="CO89" s="178">
        <f ca="1">SUMIFS(rec.uni[2028-03-01],
INDIRECT("rec.uni[natureza]"),"pro.soluto",
INDIRECT("rec.uni[empresa]"),CO$6)</f>
        <v>0</v>
      </c>
      <c r="CP89" s="178">
        <f ca="1">SUMIFS(rec.uni[2028-03-01],
INDIRECT("rec.uni[natureza]"),"repasse.cef.obra",
INDIRECT("rec.uni[empresa]"),CP$6)</f>
        <v>0</v>
      </c>
      <c r="CQ89" s="181">
        <f ca="1">SUMIFS(rec.uni[2028-03-01],
INDIRECT("rec.uni[natureza]"),"repasse.cef.terreno",
INDIRECT("rec.uni[empresa]"),CQ$6)</f>
        <v>0</v>
      </c>
      <c r="CR89" s="182"/>
      <c r="CS89" s="178">
        <f ca="1">SUMIFS(rec.uni[2028-03-01],
INDIRECT("rec.uni[natureza]"),"taxa.extra",
INDIRECT("rec.uni[empresa]"),CS$6)</f>
        <v>0</v>
      </c>
      <c r="CT89" s="166"/>
      <c r="CU89" s="166" cm="1">
        <f t="array" ref="CU89">SUMPRODUCT(
  IFERROR(--desp[valor],0)*
  (desp[nucleo]="UP MOVE VILA SONIA")*
  (desp[categoria]=CU$7)*
  (desp[data.pagamento]&gt;=$A89)*
  (desp[data.pagamento]&lt;EOMONTH($A89,0)+1)
)</f>
        <v>0</v>
      </c>
      <c r="CV89" s="166" cm="1">
        <f t="array" ref="CV89">SUMPRODUCT(
  IFERROR(--desp[valor],0)*
  (desp[nucleo]="UP MOVE VILA SONIA")*
  (desp[categoria]=CV$7)*
  (desp[data.pagamento]&gt;=$A89)*
  (desp[data.pagamento]&lt;EOMONTH($A89,0)+1)
)</f>
        <v>0</v>
      </c>
      <c r="CW89" s="166" cm="1">
        <f t="array" ref="CW89">SUMPRODUCT(
  IFERROR(--desp[valor],0)*
  (desp[nucleo]="UP MOVE VILA SONIA")*
  (desp[categoria]=CW$7)*
  (desp[data.pagamento]&gt;=$A89)*
  (desp[data.pagamento]&lt;EOMONTH($A89,0)+1)
)</f>
        <v>0</v>
      </c>
      <c r="CX89" s="166" cm="1">
        <f t="array" ref="CX89">SUMPRODUCT(
  IFERROR(--desp[valor],0)*
  (desp[nucleo]="UP MOVE VILA SONIA")*
  (desp[categoria]=CX$7)*
  (desp[data.pagamento]&gt;=$A89)*
  (desp[data.pagamento]&lt;EOMONTH($A89,0)+1)
)</f>
        <v>0</v>
      </c>
      <c r="CY89" s="291" cm="1">
        <f t="array" ref="CY89">SUMPRODUCT(
  IFERROR(--desp[valor],0)*
  (desp[nucleo]="UP MOVE VILA SONIA")*
  (desp[categoria]=CY$7)*
  (desp[data.pagamento]&gt;=$A89)*
  (desp[data.pagamento]&lt;EOMONTH($A89,0)+1)
)</f>
        <v>0</v>
      </c>
    </row>
    <row r="90" spans="1:103" x14ac:dyDescent="0.25">
      <c r="A90" s="176">
        <v>46844</v>
      </c>
      <c r="B90" s="177">
        <f>COUNTIFS(
    estq[empresa], B$6,
    estq[Data da venda / reserva], "&gt;=" &amp; $A90,
    estq[Data da venda / reserva], "&lt;"  &amp; EOMONTH($A90,0) + 1
)</f>
        <v>0</v>
      </c>
      <c r="C90" s="178">
        <f ca="1">SUMIFS(rec.uni[2028-04-01],
INDIRECT("rec.uni[natureza]"),"pro.soluto",
INDIRECT("rec.uni[empresa]"),C$6)</f>
        <v>0</v>
      </c>
      <c r="D90" s="178">
        <f ca="1">SUMIFS(rec.uni[2028-04-01],
INDIRECT("rec.uni[natureza]"),"repasse.cef.obra",
INDIRECT("rec.uni[empresa]"),D$6)</f>
        <v>0</v>
      </c>
      <c r="E90" s="178">
        <f ca="1">SUMIFS(rec.uni[2028-04-01],
INDIRECT("rec.uni[natureza]"),"repasse.cef.terreno",
INDIRECT("rec.uni[empresa]"),E$6)</f>
        <v>0</v>
      </c>
      <c r="F90" s="182"/>
      <c r="G90" s="178">
        <f ca="1">SUMIFS(rec.uni[2028-04-01],
INDIRECT("rec.uni[natureza]"),"taxa.extra",
INDIRECT("rec.uni[empresa]"),G$6)</f>
        <v>0</v>
      </c>
      <c r="H90" s="166"/>
      <c r="I90" s="166" cm="1">
        <f t="array" ref="I90">SUMPRODUCT(
  IFERROR(--desp[valor],0)*
  (desp[nucleo]="UP JARDIM PRUDENCIA")*
  (desp[categoria]=I$7)*
  (desp[data.pagamento]&gt;=$A90)*
  (desp[data.pagamento]&lt;EOMONTH($A90,0)+1)
)</f>
        <v>0</v>
      </c>
      <c r="J90" s="166" cm="1">
        <f t="array" ref="J90">SUMPRODUCT(
  IFERROR(--desp[valor],0)*
  (desp[nucleo]="UP JARDIM PRUDENCIA")*
  (desp[categoria]=J$7)*
  (desp[data.pagamento]&gt;=$A90)*
  (desp[data.pagamento]&lt;EOMONTH($A90,0)+1)
)</f>
        <v>0</v>
      </c>
      <c r="K90" s="166" cm="1">
        <f t="array" ref="K90">SUMPRODUCT(
  IFERROR(--desp[valor],0)*
  (desp[nucleo]="UP JARDIM PRUDENCIA")*
  (desp[categoria]=K$7)*
  (desp[data.pagamento]&gt;=$A90)*
  (desp[data.pagamento]&lt;EOMONTH($A90,0)+1)
)</f>
        <v>0</v>
      </c>
      <c r="L90" s="166" cm="1">
        <f t="array" ref="L90">SUMPRODUCT(
  IFERROR(--desp[valor],0)*
  (desp[nucleo]="UP JARDIM PRUDENCIA")*
  (desp[categoria]=L$7)*
  (desp[data.pagamento]&gt;=$A90)*
  (desp[data.pagamento]&lt;EOMONTH($A90,0)+1)
)</f>
        <v>0</v>
      </c>
      <c r="M90" s="166" cm="1">
        <f t="array" ref="M90">SUMPRODUCT(
  IFERROR(--desp[valor],0)*
  (desp[nucleo]="UP JARDIM PRUDENCIA")*
  (desp[categoria]=M$7)*
  (desp[data.pagamento]&gt;=$A90)*
  (desp[data.pagamento]&lt;EOMONTH($A90,0)+1)
)</f>
        <v>0</v>
      </c>
      <c r="N90" s="177">
        <f>COUNTIFS(
    estq[empresa], N$6,
    estq[Data da venda / reserva], "&gt;=" &amp; $A90,
    estq[Data da venda / reserva], "&lt;"  &amp; EOMONTH($A90,0) + 1
)</f>
        <v>0</v>
      </c>
      <c r="O90" s="178">
        <f ca="1">SUMIFS(rec.uni[2028-04-01],
INDIRECT("rec.uni[natureza]"),"pro.soluto",
INDIRECT("rec.uni[empresa]"),O$6)</f>
        <v>0</v>
      </c>
      <c r="P90" s="178">
        <f ca="1">SUMIFS(rec.uni[2028-04-01],
INDIRECT("rec.uni[natureza]"),"repasse.cef.obra",
INDIRECT("rec.uni[empresa]"),P$6)</f>
        <v>0</v>
      </c>
      <c r="Q90" s="178">
        <f ca="1">SUMIFS(rec.uni[2028-04-01],
INDIRECT("rec.uni[natureza]"),"repasse.cef.terreno",
INDIRECT("rec.uni[empresa]"),Q$6)</f>
        <v>0</v>
      </c>
      <c r="R90" s="182"/>
      <c r="S90" s="178">
        <f ca="1">SUMIFS(rec.uni[2028-04-01],
INDIRECT("rec.uni[natureza]"),"taxa.extra",
INDIRECT("rec.uni[empresa]"),S$6)</f>
        <v>0</v>
      </c>
      <c r="T90" s="166"/>
      <c r="U90" s="166" cm="1">
        <f t="array" ref="U90">SUMPRODUCT(
  IFERROR(--desp[valor],0)*
  (desp[nucleo]="UP VILA SONIA")*
  (desp[categoria]=U$7)*
  (desp[data.pagamento]&gt;=$A90)*
  (desp[data.pagamento]&lt;EOMONTH($A90,0)+1)
)</f>
        <v>0</v>
      </c>
      <c r="V90" s="166" cm="1">
        <f t="array" ref="V90">SUMPRODUCT(
  IFERROR(--desp[valor],0)*
  (desp[nucleo]="UP VILA SONIA")*
  (desp[categoria]=V$7)*
  (desp[data.pagamento]&gt;=$A90)*
  (desp[data.pagamento]&lt;EOMONTH($A90,0)+1)
)</f>
        <v>0</v>
      </c>
      <c r="W90" s="166" cm="1">
        <f t="array" ref="W90">SUMPRODUCT(
  IFERROR(--desp[valor],0)*
  (desp[nucleo]="UP VILA SONIA")*
  (desp[categoria]=W$7)*
  (desp[data.pagamento]&gt;=$A90)*
  (desp[data.pagamento]&lt;EOMONTH($A90,0)+1)
)</f>
        <v>0</v>
      </c>
      <c r="X90" s="166" cm="1">
        <f t="array" ref="X90">SUMPRODUCT(
  IFERROR(--desp[valor],0)*
  (desp[nucleo]="UP VILA SONIA")*
  (desp[categoria]=X$7)*
  (desp[data.pagamento]&gt;=$A90)*
  (desp[data.pagamento]&lt;EOMONTH($A90,0)+1)
)</f>
        <v>0</v>
      </c>
      <c r="Y90" s="166" cm="1">
        <f t="array" ref="Y90">SUMPRODUCT(
  IFERROR(--desp[valor],0)*
  (desp[nucleo]="UP VILA SONIA")*
  (desp[categoria]=Y$7)*
  (desp[data.pagamento]&gt;=$A90)*
  (desp[data.pagamento]&lt;EOMONTH($A90,0)+1)
)</f>
        <v>0</v>
      </c>
      <c r="Z90" s="177">
        <f>COUNTIFS(
    estq[empresa], Z$6,
    estq[Data da venda / reserva], "&gt;=" &amp; $A90,
    estq[Data da venda / reserva], "&lt;"  &amp; EOMONTH($A90,0) + 1
)</f>
        <v>0</v>
      </c>
      <c r="AA90" s="178">
        <f ca="1">SUMIFS(rec.uni[2028-04-01],
INDIRECT("rec.uni[natureza]"),"pro.soluto",
INDIRECT("rec.uni[empresa]"),AA$6)</f>
        <v>0</v>
      </c>
      <c r="AB90" s="182">
        <f ca="1">SUMIFS(rec.uni[2028-04-01],
INDIRECT("rec.uni[natureza]"),"parcela.fin.total.ik",
INDIRECT("rec.uni[empresa]"),AB$6)</f>
        <v>0</v>
      </c>
      <c r="AC90" s="178">
        <f ca="1">SUMIFS(rec.uni[2028-04-01],
INDIRECT("rec.uni[natureza]"),"taxa.extra",
INDIRECT("rec.uni[empresa]"),AC$6)</f>
        <v>0</v>
      </c>
      <c r="AD90" s="166"/>
      <c r="AE90" s="166" cm="1">
        <f t="array" ref="AE90">SUMPRODUCT(
  IFERROR(--desp[valor],0)*
  (desp[nucleo]="UP CAMPO BELO")*
  (desp[categoria]=AE$7)*
  (desp[data.pagamento]&gt;=$A90)*
  (desp[data.pagamento]&lt;EOMONTH($A90,0)+1)
)</f>
        <v>0</v>
      </c>
      <c r="AF90" s="166" cm="1">
        <f t="array" ref="AF90">SUMPRODUCT(
  IFERROR(--desp[valor],0)*
  (desp[nucleo]="UP CAMPO BELO")*
  (desp[categoria]=AF$7)*
  (desp[data.pagamento]&gt;=$A90)*
  (desp[data.pagamento]&lt;EOMONTH($A90,0)+1)
)</f>
        <v>0</v>
      </c>
      <c r="AG90" s="166" cm="1">
        <f t="array" ref="AG90">SUMPRODUCT(
  IFERROR(--desp[valor],0)*
  (desp[nucleo]="UP CAMPO BELO")*
  (desp[categoria]=AG$7)*
  (desp[data.pagamento]&gt;=$A90)*
  (desp[data.pagamento]&lt;EOMONTH($A90,0)+1)
)</f>
        <v>0</v>
      </c>
      <c r="AH90" s="166" cm="1">
        <f t="array" ref="AH90">SUMPRODUCT(
  IFERROR(--desp[valor],0)*
  (desp[nucleo]="UP CAMPO BELO")*
  (desp[categoria]=AH$7)*
  (desp[data.pagamento]&gt;=$A90)*
  (desp[data.pagamento]&lt;EOMONTH($A90,0)+1)
)</f>
        <v>0</v>
      </c>
      <c r="AI90" s="166" cm="1">
        <f t="array" ref="AI90">SUMPRODUCT(
  IFERROR(--desp[valor],0)*
  (desp[nucleo]="UP CAMPO BELO")*
  (desp[categoria]=AI$7)*
  (desp[data.pagamento]&gt;=$A90)*
  (desp[data.pagamento]&lt;EOMONTH($A90,0)+1)
)</f>
        <v>0</v>
      </c>
      <c r="AJ90" s="177">
        <f>COUNTIFS(
    estq[empresa], AJ$6,
    estq[Data da venda / reserva], "&gt;=" &amp; $A90,
    estq[Data da venda / reserva], "&lt;"  &amp; EOMONTH($A90,0) + 1
)</f>
        <v>0</v>
      </c>
      <c r="AK90" s="178">
        <f ca="1">SUMIFS(rec.uni[2028-04-01],
INDIRECT("rec.uni[natureza]"),"pro.soluto",
INDIRECT("rec.uni[empresa]"),AK$6)</f>
        <v>0</v>
      </c>
      <c r="AL90" s="178">
        <f ca="1">SUMIFS(rec.uni[2028-04-01],
INDIRECT("rec.uni[natureza]"),"repasse.cef.obra",
INDIRECT("rec.uni[empresa]"),AL$6)</f>
        <v>0</v>
      </c>
      <c r="AM90" s="181">
        <f ca="1">SUMIFS(rec.uni[2028-04-01],
INDIRECT("rec.uni[natureza]"),"repasse.cef.terreno",
INDIRECT("rec.uni[empresa]"),AM$6)</f>
        <v>0</v>
      </c>
      <c r="AN90" s="182"/>
      <c r="AO90" s="178">
        <f ca="1">SUMIFS(rec.uni[2028-04-01],
INDIRECT("rec.uni[natureza]"),"taxa.extra",
INDIRECT("rec.uni[empresa]"),AO$6)</f>
        <v>0</v>
      </c>
      <c r="AP90" s="166"/>
      <c r="AQ90" s="166" cm="1">
        <f t="array" ref="AQ90">SUMPRODUCT(
  IFERROR(--desp[valor],0)*
  (desp[nucleo]="UP SELECT VILA SONIA")*
  (desp[categoria]=AQ$7)*
  (desp[data.pagamento]&gt;=$A90)*
  (desp[data.pagamento]&lt;EOMONTH($A90,0)+1)
)</f>
        <v>0</v>
      </c>
      <c r="AR90" s="166" cm="1">
        <f t="array" ref="AR90">SUMPRODUCT(
  IFERROR(--desp[valor],0)*
  (desp[nucleo]="UP SELECT VILA SONIA")*
  (desp[categoria]=AR$7)*
  (desp[data.pagamento]&gt;=$A90)*
  (desp[data.pagamento]&lt;EOMONTH($A90,0)+1)
)</f>
        <v>0</v>
      </c>
      <c r="AS90" s="166" cm="1">
        <f t="array" ref="AS90">SUMPRODUCT(
  IFERROR(--desp[valor],0)*
  (desp[nucleo]="UP SELECT VILA SONIA")*
  (desp[categoria]=AS$7)*
  (desp[data.pagamento]&gt;=$A90)*
  (desp[data.pagamento]&lt;EOMONTH($A90,0)+1)
)</f>
        <v>0</v>
      </c>
      <c r="AT90" s="166" cm="1">
        <f t="array" ref="AT90">SUMPRODUCT(
  IFERROR(--desp[valor],0)*
  (desp[nucleo]="UP SELECT VILA SONIA")*
  (desp[categoria]=AT$7)*
  (desp[data.pagamento]&gt;=$A90)*
  (desp[data.pagamento]&lt;EOMONTH($A90,0)+1)
)</f>
        <v>0</v>
      </c>
      <c r="AU90" s="166" cm="1">
        <f t="array" ref="AU90">SUMPRODUCT(
  IFERROR(--desp[valor],0)*
  (desp[nucleo]="UP SELECT VILA SONIA")*
  (desp[categoria]=AU$7)*
  (desp[data.pagamento]&gt;=$A90)*
  (desp[data.pagamento]&lt;EOMONTH($A90,0)+1)
)</f>
        <v>0</v>
      </c>
      <c r="AV90" s="177">
        <f>COUNTIFS(
    estq[empresa], AV$6,
    estq[Data da venda / reserva], "&gt;=" &amp; $A90,
    estq[Data da venda / reserva], "&lt;"  &amp; EOMONTH($A90,0) + 1
)</f>
        <v>0</v>
      </c>
      <c r="AW90" s="178">
        <f ca="1">SUMIFS(rec.uni[2028-04-01],
INDIRECT("rec.uni[natureza]"),"pro.soluto",
INDIRECT("rec.uni[empresa]"),AW$6)</f>
        <v>0</v>
      </c>
      <c r="AX90" s="178">
        <f ca="1">SUMIFS(rec.uni[2028-04-01],
INDIRECT("rec.uni[natureza]"),"repasse.cef.obra",
INDIRECT("rec.uni[empresa]"),AX$6)</f>
        <v>0</v>
      </c>
      <c r="AY90" s="181">
        <f ca="1">SUMIFS(rec.uni[2028-04-01],
INDIRECT("rec.uni[natureza]"),"repasse.cef.terreno",
INDIRECT("rec.uni[empresa]"),AY$6)</f>
        <v>0</v>
      </c>
      <c r="AZ90" s="182"/>
      <c r="BA90" s="178">
        <f ca="1">SUMIFS(rec.uni[2028-04-01],
INDIRECT("rec.uni[natureza]"),"taxa.extra",
INDIRECT("rec.uni[empresa]"),BA$6)</f>
        <v>0</v>
      </c>
      <c r="BB90" s="166"/>
      <c r="BC90" s="166" cm="1">
        <f t="array" ref="BC90">SUMPRODUCT(
  IFERROR(--desp[valor],0)*
  (desp[nucleo]="UP ESTAÇÃO SÃO LUCAS")*
  (desp[categoria]=BC$7)*
  (desp[data.pagamento]&gt;=$A90)*
  (desp[data.pagamento]&lt;EOMONTH($A90,0)+1)
)</f>
        <v>0</v>
      </c>
      <c r="BD90" s="166" cm="1">
        <f t="array" ref="BD90">SUMPRODUCT(
  IFERROR(--desp[valor],0)*
  (desp[nucleo]="UP ESTAÇÃO SÃO LUCAS")*
  (desp[categoria]=BD$7)*
  (desp[data.pagamento]&gt;=$A90)*
  (desp[data.pagamento]&lt;EOMONTH($A90,0)+1)
)</f>
        <v>0</v>
      </c>
      <c r="BE90" s="166" cm="1">
        <f t="array" ref="BE90">SUMPRODUCT(
  IFERROR(--desp[valor],0)*
  (desp[nucleo]="UP ESTAÇÃO SÃO LUCAS")*
  (desp[categoria]=BE$7)*
  (desp[data.pagamento]&gt;=$A90)*
  (desp[data.pagamento]&lt;EOMONTH($A90,0)+1)
)</f>
        <v>0</v>
      </c>
      <c r="BF90" s="166" cm="1">
        <f t="array" ref="BF90">SUMPRODUCT(
  IFERROR(--desp[valor],0)*
  (desp[nucleo]="UP ESTAÇÃO SÃO LUCAS")*
  (desp[categoria]=BF$7)*
  (desp[data.pagamento]&gt;=$A90)*
  (desp[data.pagamento]&lt;EOMONTH($A90,0)+1)
)</f>
        <v>0</v>
      </c>
      <c r="BG90" s="166" cm="1">
        <f t="array" ref="BG90">SUMPRODUCT(
  IFERROR(--desp[valor],0)*
  (desp[nucleo]="UP ESTAÇÃO SÃO LUCAS")*
  (desp[categoria]=BG$7)*
  (desp[data.pagamento]&gt;=$A90)*
  (desp[data.pagamento]&lt;EOMONTH($A90,0)+1)
)</f>
        <v>0</v>
      </c>
      <c r="BH90" s="177">
        <f>COUNTIFS(
    estq[empresa], BH$6,
    estq[Data da venda / reserva], "&gt;=" &amp; $A90,
    estq[Data da venda / reserva], "&lt;"  &amp; EOMONTH($A90,0) + 1
)</f>
        <v>0</v>
      </c>
      <c r="BI90" s="178">
        <f ca="1">SUMIFS(rec.uni[2028-04-01],
INDIRECT("rec.uni[natureza]"),"pro.soluto",
INDIRECT("rec.uni[empresa]"),BI$6)</f>
        <v>0</v>
      </c>
      <c r="BJ90" s="182">
        <f ca="1">SUMIFS(rec.uni[2028-04-01],
INDIRECT("rec.uni[natureza]"),"parcela.fin.total.ik",
INDIRECT("rec.uni[empresa]"),BJ$6)</f>
        <v>0</v>
      </c>
      <c r="BK90" s="178">
        <f ca="1">SUMIFS(rec.uni[2028-04-01],
INDIRECT("rec.uni[natureza]"),"taxa.extra",
INDIRECT("rec.uni[empresa]"),BK$6)</f>
        <v>0</v>
      </c>
      <c r="BL90" s="166"/>
      <c r="BM90" s="166" cm="1">
        <f t="array" ref="BM90">SUMPRODUCT(
  IFERROR(--desp[valor],0)*
  (desp[nucleo]="UP POMPEIA")*
  (desp[categoria]=BM$7)*
  (desp[data.pagamento]&gt;=$A90)*
  (desp[data.pagamento]&lt;EOMONTH($A90,0)+1)
)</f>
        <v>0</v>
      </c>
      <c r="BN90" s="166" cm="1">
        <f t="array" ref="BN90">SUMPRODUCT(
  IFERROR(--desp[valor],0)*
  (desp[nucleo]="UP POMPEIA")*
  (desp[categoria]=BN$7)*
  (desp[data.pagamento]&gt;=$A90)*
  (desp[data.pagamento]&lt;EOMONTH($A90,0)+1)
)</f>
        <v>0</v>
      </c>
      <c r="BO90" s="166" cm="1">
        <f t="array" ref="BO90">SUMPRODUCT(
  IFERROR(--desp[valor],0)*
  (desp[nucleo]="UP POMPEIA")*
  (desp[categoria]=BO$7)*
  (desp[data.pagamento]&gt;=$A90)*
  (desp[data.pagamento]&lt;EOMONTH($A90,0)+1)
)</f>
        <v>0</v>
      </c>
      <c r="BP90" s="166" cm="1">
        <f t="array" ref="BP90">SUMPRODUCT(
  IFERROR(--desp[valor],0)*
  (desp[nucleo]="UP POMPEIA")*
  (desp[categoria]=BP$7)*
  (desp[data.pagamento]&gt;=$A90)*
  (desp[data.pagamento]&lt;EOMONTH($A90,0)+1)
)</f>
        <v>0</v>
      </c>
      <c r="BQ90" s="166" cm="1">
        <f t="array" ref="BQ90">SUMPRODUCT(
  IFERROR(--desp[valor],0)*
  (desp[nucleo]="UP POMPEIA")*
  (desp[categoria]=BQ$7)*
  (desp[data.pagamento]&gt;=$A90)*
  (desp[data.pagamento]&lt;EOMONTH($A90,0)+1)
)</f>
        <v>0</v>
      </c>
      <c r="BR90" s="177">
        <f>COUNTIFS(
    estq[empresa], BR$6,
    estq[Data da venda / reserva], "&gt;=" &amp; $A90,
    estq[Data da venda / reserva], "&lt;"  &amp; EOMONTH($A90,0) + 1
)</f>
        <v>0</v>
      </c>
      <c r="BS90" s="178">
        <f ca="1">SUMIFS(rec.uni[2028-04-01],
INDIRECT("rec.uni[natureza]"),"pro.soluto",
INDIRECT("rec.uni[empresa]"),BS$6)</f>
        <v>0</v>
      </c>
      <c r="BT90" s="182">
        <f ca="1">SUMIFS(rec.uni[2028-04-01],
INDIRECT("rec.uni[natureza]"),"parcela.fin.total.ik",
INDIRECT("rec.uni[empresa]"),BT$6)</f>
        <v>0</v>
      </c>
      <c r="BU90" s="178">
        <f ca="1">SUMIFS(rec.uni[2028-04-01],
INDIRECT("rec.uni[natureza]"),"taxa.extra",
INDIRECT("rec.uni[empresa]"),BU$6)</f>
        <v>0</v>
      </c>
      <c r="BV90" s="166"/>
      <c r="BW90" s="166" cm="1">
        <f t="array" ref="BW90">SUMPRODUCT(
  IFERROR(--desp[valor],0)*
  (desp[nucleo]="UP SAUDE")*
  (desp[categoria]=BW$7)*
  (desp[data.pagamento]&gt;=$A90)*
  (desp[data.pagamento]&lt;EOMONTH($A90,0)+1)
)</f>
        <v>0</v>
      </c>
      <c r="BX90" s="166" cm="1">
        <f t="array" ref="BX90">SUMPRODUCT(
  IFERROR(--desp[valor],0)*
  (desp[nucleo]="UP SAUDE")*
  (desp[categoria]=BX$7)*
  (desp[data.pagamento]&gt;=$A90)*
  (desp[data.pagamento]&lt;EOMONTH($A90,0)+1)
)</f>
        <v>0</v>
      </c>
      <c r="BY90" s="166" cm="1">
        <f t="array" ref="BY90">SUMPRODUCT(
  IFERROR(--desp[valor],0)*
  (desp[nucleo]="UP SAUDE")*
  (desp[categoria]=BY$7)*
  (desp[data.pagamento]&gt;=$A90)*
  (desp[data.pagamento]&lt;EOMONTH($A90,0)+1)
)</f>
        <v>0</v>
      </c>
      <c r="BZ90" s="166" cm="1">
        <f t="array" ref="BZ90">SUMPRODUCT(
  IFERROR(--desp[valor],0)*
  (desp[nucleo]="UP SAUDE")*
  (desp[categoria]=BZ$7)*
  (desp[data.pagamento]&gt;=$A90)*
  (desp[data.pagamento]&lt;EOMONTH($A90,0)+1)
)</f>
        <v>0</v>
      </c>
      <c r="CA90" s="166" cm="1">
        <f t="array" ref="CA90">SUMPRODUCT(
  IFERROR(--desp[valor],0)*
  (desp[nucleo]="UP SAUDE")*
  (desp[categoria]=CA$7)*
  (desp[data.pagamento]&gt;=$A90)*
  (desp[data.pagamento]&lt;EOMONTH($A90,0)+1)
)</f>
        <v>0</v>
      </c>
      <c r="CB90" s="177">
        <f>COUNTIFS(
    estq[empresa], CB$6,
    estq[Data da venda / reserva], "&gt;=" &amp; $A90,
    estq[Data da venda / reserva], "&lt;"  &amp; EOMONTH($A90,0) + 1
)</f>
        <v>0</v>
      </c>
      <c r="CC90" s="178">
        <f ca="1">SUMIFS(rec.uni[2028-04-01],
INDIRECT("rec.uni[natureza]"),"pro.soluto",
INDIRECT("rec.uni[empresa]"),CC$6)</f>
        <v>0</v>
      </c>
      <c r="CD90" s="178">
        <f ca="1">SUMIFS(rec.uni[2028-04-01],
INDIRECT("rec.uni[natureza]"),"repasse.cef.obra",
INDIRECT("rec.uni[empresa]"),CD$6)</f>
        <v>0</v>
      </c>
      <c r="CE90" s="181">
        <f ca="1">SUMIFS(rec.uni[2028-04-01],
INDIRECT("rec.uni[natureza]"),"repasse.cef.terreno",
INDIRECT("rec.uni[empresa]"),CE$6)</f>
        <v>0</v>
      </c>
      <c r="CF90" s="182"/>
      <c r="CG90" s="178">
        <f ca="1">SUMIFS(rec.uni[2028-04-01],
INDIRECT("rec.uni[natureza]"),"taxa.extra",
INDIRECT("rec.uni[empresa]"),CG$6)</f>
        <v>0</v>
      </c>
      <c r="CH90" s="166"/>
      <c r="CI90" s="166" cm="1">
        <f t="array" ref="CI90">SUMPRODUCT(
  IFERROR(--desp[valor],0)*
  (desp[nucleo]="UP ESTAÇÃO VILA SONIA")*
  (desp[categoria]=CI$7)*
  (desp[data.pagamento]&gt;=$A90)*
  (desp[data.pagamento]&lt;EOMONTH($A90,0)+1)
)</f>
        <v>0</v>
      </c>
      <c r="CJ90" s="166" cm="1">
        <f t="array" ref="CJ90">SUMPRODUCT(
  IFERROR(--desp[valor],0)*
  (desp[nucleo]="UP ESTAÇÃO VILA SONIA")*
  (desp[categoria]=CJ$7)*
  (desp[data.pagamento]&gt;=$A90)*
  (desp[data.pagamento]&lt;EOMONTH($A90,0)+1)
)</f>
        <v>0</v>
      </c>
      <c r="CK90" s="166" cm="1">
        <f t="array" ref="CK90">SUMPRODUCT(
  IFERROR(--desp[valor],0)*
  (desp[nucleo]="UP ESTAÇÃO VILA SONIA")*
  (desp[categoria]=CK$7)*
  (desp[data.pagamento]&gt;=$A90)*
  (desp[data.pagamento]&lt;EOMONTH($A90,0)+1)
)</f>
        <v>0</v>
      </c>
      <c r="CL90" s="166" cm="1">
        <f t="array" ref="CL90">SUMPRODUCT(
  IFERROR(--desp[valor],0)*
  (desp[nucleo]="UP ESTAÇÃO VILA SONIA")*
  (desp[categoria]=CL$7)*
  (desp[data.pagamento]&gt;=$A90)*
  (desp[data.pagamento]&lt;EOMONTH($A90,0)+1)
)</f>
        <v>0</v>
      </c>
      <c r="CM90" s="166" cm="1">
        <f t="array" ref="CM90">SUMPRODUCT(
  IFERROR(--desp[valor],0)*
  (desp[nucleo]="UP ESTAÇÃO VILA SONIA")*
  (desp[categoria]=CM$7)*
  (desp[data.pagamento]&gt;=$A90)*
  (desp[data.pagamento]&lt;EOMONTH($A90,0)+1)
)</f>
        <v>0</v>
      </c>
      <c r="CN90" s="177">
        <f>COUNTIFS(
    estq[empresa], CN$6,
    estq[Data da venda / reserva], "&gt;=" &amp; $A90,
    estq[Data da venda / reserva], "&lt;"  &amp; EOMONTH($A90,0) + 1
)</f>
        <v>0</v>
      </c>
      <c r="CO90" s="178">
        <f ca="1">SUMIFS(rec.uni[2028-04-01],
INDIRECT("rec.uni[natureza]"),"pro.soluto",
INDIRECT("rec.uni[empresa]"),CO$6)</f>
        <v>0</v>
      </c>
      <c r="CP90" s="178">
        <f ca="1">SUMIFS(rec.uni[2028-04-01],
INDIRECT("rec.uni[natureza]"),"repasse.cef.obra",
INDIRECT("rec.uni[empresa]"),CP$6)</f>
        <v>0</v>
      </c>
      <c r="CQ90" s="181">
        <f ca="1">SUMIFS(rec.uni[2028-04-01],
INDIRECT("rec.uni[natureza]"),"repasse.cef.terreno",
INDIRECT("rec.uni[empresa]"),CQ$6)</f>
        <v>0</v>
      </c>
      <c r="CR90" s="182"/>
      <c r="CS90" s="178">
        <f ca="1">SUMIFS(rec.uni[2028-04-01],
INDIRECT("rec.uni[natureza]"),"taxa.extra",
INDIRECT("rec.uni[empresa]"),CS$6)</f>
        <v>0</v>
      </c>
      <c r="CT90" s="166"/>
      <c r="CU90" s="166" cm="1">
        <f t="array" ref="CU90">SUMPRODUCT(
  IFERROR(--desp[valor],0)*
  (desp[nucleo]="UP MOVE VILA SONIA")*
  (desp[categoria]=CU$7)*
  (desp[data.pagamento]&gt;=$A90)*
  (desp[data.pagamento]&lt;EOMONTH($A90,0)+1)
)</f>
        <v>0</v>
      </c>
      <c r="CV90" s="166" cm="1">
        <f t="array" ref="CV90">SUMPRODUCT(
  IFERROR(--desp[valor],0)*
  (desp[nucleo]="UP MOVE VILA SONIA")*
  (desp[categoria]=CV$7)*
  (desp[data.pagamento]&gt;=$A90)*
  (desp[data.pagamento]&lt;EOMONTH($A90,0)+1)
)</f>
        <v>0</v>
      </c>
      <c r="CW90" s="166" cm="1">
        <f t="array" ref="CW90">SUMPRODUCT(
  IFERROR(--desp[valor],0)*
  (desp[nucleo]="UP MOVE VILA SONIA")*
  (desp[categoria]=CW$7)*
  (desp[data.pagamento]&gt;=$A90)*
  (desp[data.pagamento]&lt;EOMONTH($A90,0)+1)
)</f>
        <v>0</v>
      </c>
      <c r="CX90" s="166" cm="1">
        <f t="array" ref="CX90">SUMPRODUCT(
  IFERROR(--desp[valor],0)*
  (desp[nucleo]="UP MOVE VILA SONIA")*
  (desp[categoria]=CX$7)*
  (desp[data.pagamento]&gt;=$A90)*
  (desp[data.pagamento]&lt;EOMONTH($A90,0)+1)
)</f>
        <v>0</v>
      </c>
      <c r="CY90" s="291" cm="1">
        <f t="array" ref="CY90">SUMPRODUCT(
  IFERROR(--desp[valor],0)*
  (desp[nucleo]="UP MOVE VILA SONIA")*
  (desp[categoria]=CY$7)*
  (desp[data.pagamento]&gt;=$A90)*
  (desp[data.pagamento]&lt;EOMONTH($A90,0)+1)
)</f>
        <v>0</v>
      </c>
    </row>
    <row r="91" spans="1:103" x14ac:dyDescent="0.25">
      <c r="A91" s="176">
        <v>46874</v>
      </c>
      <c r="B91" s="177">
        <f>COUNTIFS(
    estq[empresa], B$6,
    estq[Data da venda / reserva], "&gt;=" &amp; $A91,
    estq[Data da venda / reserva], "&lt;"  &amp; EOMONTH($A91,0) + 1
)</f>
        <v>0</v>
      </c>
      <c r="C91" s="178">
        <f ca="1">SUMIFS(rec.uni[2028-05-01],
INDIRECT("rec.uni[natureza]"),"pro.soluto",
INDIRECT("rec.uni[empresa]"),C$6)</f>
        <v>0</v>
      </c>
      <c r="D91" s="178">
        <f ca="1">SUMIFS(rec.uni[2028-05-01],
INDIRECT("rec.uni[natureza]"),"repasse.cef.obra",
INDIRECT("rec.uni[empresa]"),D$6)</f>
        <v>0</v>
      </c>
      <c r="E91" s="178">
        <f ca="1">SUMIFS(rec.uni[2028-05-01],
INDIRECT("rec.uni[natureza]"),"repasse.cef.terreno",
INDIRECT("rec.uni[empresa]"),E$6)</f>
        <v>0</v>
      </c>
      <c r="F91" s="182"/>
      <c r="G91" s="178">
        <f ca="1">SUMIFS(rec.uni[2028-05-01],
INDIRECT("rec.uni[natureza]"),"taxa.extra",
INDIRECT("rec.uni[empresa]"),G$6)</f>
        <v>0</v>
      </c>
      <c r="H91" s="166"/>
      <c r="I91" s="166" cm="1">
        <f t="array" ref="I91">SUMPRODUCT(
  IFERROR(--desp[valor],0)*
  (desp[nucleo]="UP JARDIM PRUDENCIA")*
  (desp[categoria]=I$7)*
  (desp[data.pagamento]&gt;=$A91)*
  (desp[data.pagamento]&lt;EOMONTH($A91,0)+1)
)</f>
        <v>0</v>
      </c>
      <c r="J91" s="166" cm="1">
        <f t="array" ref="J91">SUMPRODUCT(
  IFERROR(--desp[valor],0)*
  (desp[nucleo]="UP JARDIM PRUDENCIA")*
  (desp[categoria]=J$7)*
  (desp[data.pagamento]&gt;=$A91)*
  (desp[data.pagamento]&lt;EOMONTH($A91,0)+1)
)</f>
        <v>0</v>
      </c>
      <c r="K91" s="166" cm="1">
        <f t="array" ref="K91">SUMPRODUCT(
  IFERROR(--desp[valor],0)*
  (desp[nucleo]="UP JARDIM PRUDENCIA")*
  (desp[categoria]=K$7)*
  (desp[data.pagamento]&gt;=$A91)*
  (desp[data.pagamento]&lt;EOMONTH($A91,0)+1)
)</f>
        <v>0</v>
      </c>
      <c r="L91" s="166" cm="1">
        <f t="array" ref="L91">SUMPRODUCT(
  IFERROR(--desp[valor],0)*
  (desp[nucleo]="UP JARDIM PRUDENCIA")*
  (desp[categoria]=L$7)*
  (desp[data.pagamento]&gt;=$A91)*
  (desp[data.pagamento]&lt;EOMONTH($A91,0)+1)
)</f>
        <v>0</v>
      </c>
      <c r="M91" s="166" cm="1">
        <f t="array" ref="M91">SUMPRODUCT(
  IFERROR(--desp[valor],0)*
  (desp[nucleo]="UP JARDIM PRUDENCIA")*
  (desp[categoria]=M$7)*
  (desp[data.pagamento]&gt;=$A91)*
  (desp[data.pagamento]&lt;EOMONTH($A91,0)+1)
)</f>
        <v>0</v>
      </c>
      <c r="N91" s="177">
        <f>COUNTIFS(
    estq[empresa], N$6,
    estq[Data da venda / reserva], "&gt;=" &amp; $A91,
    estq[Data da venda / reserva], "&lt;"  &amp; EOMONTH($A91,0) + 1
)</f>
        <v>0</v>
      </c>
      <c r="O91" s="178">
        <f ca="1">SUMIFS(rec.uni[2028-05-01],
INDIRECT("rec.uni[natureza]"),"pro.soluto",
INDIRECT("rec.uni[empresa]"),O$6)</f>
        <v>0</v>
      </c>
      <c r="P91" s="178">
        <f ca="1">SUMIFS(rec.uni[2028-05-01],
INDIRECT("rec.uni[natureza]"),"repasse.cef.obra",
INDIRECT("rec.uni[empresa]"),P$6)</f>
        <v>0</v>
      </c>
      <c r="Q91" s="178">
        <f ca="1">SUMIFS(rec.uni[2028-05-01],
INDIRECT("rec.uni[natureza]"),"repasse.cef.terreno",
INDIRECT("rec.uni[empresa]"),Q$6)</f>
        <v>0</v>
      </c>
      <c r="R91" s="182"/>
      <c r="S91" s="178">
        <f ca="1">SUMIFS(rec.uni[2028-05-01],
INDIRECT("rec.uni[natureza]"),"taxa.extra",
INDIRECT("rec.uni[empresa]"),S$6)</f>
        <v>0</v>
      </c>
      <c r="T91" s="166"/>
      <c r="U91" s="166" cm="1">
        <f t="array" ref="U91">SUMPRODUCT(
  IFERROR(--desp[valor],0)*
  (desp[nucleo]="UP VILA SONIA")*
  (desp[categoria]=U$7)*
  (desp[data.pagamento]&gt;=$A91)*
  (desp[data.pagamento]&lt;EOMONTH($A91,0)+1)
)</f>
        <v>0</v>
      </c>
      <c r="V91" s="166" cm="1">
        <f t="array" ref="V91">SUMPRODUCT(
  IFERROR(--desp[valor],0)*
  (desp[nucleo]="UP VILA SONIA")*
  (desp[categoria]=V$7)*
  (desp[data.pagamento]&gt;=$A91)*
  (desp[data.pagamento]&lt;EOMONTH($A91,0)+1)
)</f>
        <v>0</v>
      </c>
      <c r="W91" s="166" cm="1">
        <f t="array" ref="W91">SUMPRODUCT(
  IFERROR(--desp[valor],0)*
  (desp[nucleo]="UP VILA SONIA")*
  (desp[categoria]=W$7)*
  (desp[data.pagamento]&gt;=$A91)*
  (desp[data.pagamento]&lt;EOMONTH($A91,0)+1)
)</f>
        <v>0</v>
      </c>
      <c r="X91" s="166" cm="1">
        <f t="array" ref="X91">SUMPRODUCT(
  IFERROR(--desp[valor],0)*
  (desp[nucleo]="UP VILA SONIA")*
  (desp[categoria]=X$7)*
  (desp[data.pagamento]&gt;=$A91)*
  (desp[data.pagamento]&lt;EOMONTH($A91,0)+1)
)</f>
        <v>0</v>
      </c>
      <c r="Y91" s="166" cm="1">
        <f t="array" ref="Y91">SUMPRODUCT(
  IFERROR(--desp[valor],0)*
  (desp[nucleo]="UP VILA SONIA")*
  (desp[categoria]=Y$7)*
  (desp[data.pagamento]&gt;=$A91)*
  (desp[data.pagamento]&lt;EOMONTH($A91,0)+1)
)</f>
        <v>0</v>
      </c>
      <c r="Z91" s="177">
        <f>COUNTIFS(
    estq[empresa], Z$6,
    estq[Data da venda / reserva], "&gt;=" &amp; $A91,
    estq[Data da venda / reserva], "&lt;"  &amp; EOMONTH($A91,0) + 1
)</f>
        <v>0</v>
      </c>
      <c r="AA91" s="178">
        <f ca="1">SUMIFS(rec.uni[2028-05-01],
INDIRECT("rec.uni[natureza]"),"pro.soluto",
INDIRECT("rec.uni[empresa]"),AA$6)</f>
        <v>0</v>
      </c>
      <c r="AB91" s="182">
        <f ca="1">SUMIFS(rec.uni[2028-05-01],
INDIRECT("rec.uni[natureza]"),"parcela.fin.total.ik",
INDIRECT("rec.uni[empresa]"),AB$6)</f>
        <v>0</v>
      </c>
      <c r="AC91" s="178">
        <f ca="1">SUMIFS(rec.uni[2028-05-01],
INDIRECT("rec.uni[natureza]"),"taxa.extra",
INDIRECT("rec.uni[empresa]"),AC$6)</f>
        <v>0</v>
      </c>
      <c r="AD91" s="166"/>
      <c r="AE91" s="166" cm="1">
        <f t="array" ref="AE91">SUMPRODUCT(
  IFERROR(--desp[valor],0)*
  (desp[nucleo]="UP CAMPO BELO")*
  (desp[categoria]=AE$7)*
  (desp[data.pagamento]&gt;=$A91)*
  (desp[data.pagamento]&lt;EOMONTH($A91,0)+1)
)</f>
        <v>0</v>
      </c>
      <c r="AF91" s="166" cm="1">
        <f t="array" ref="AF91">SUMPRODUCT(
  IFERROR(--desp[valor],0)*
  (desp[nucleo]="UP CAMPO BELO")*
  (desp[categoria]=AF$7)*
  (desp[data.pagamento]&gt;=$A91)*
  (desp[data.pagamento]&lt;EOMONTH($A91,0)+1)
)</f>
        <v>0</v>
      </c>
      <c r="AG91" s="166" cm="1">
        <f t="array" ref="AG91">SUMPRODUCT(
  IFERROR(--desp[valor],0)*
  (desp[nucleo]="UP CAMPO BELO")*
  (desp[categoria]=AG$7)*
  (desp[data.pagamento]&gt;=$A91)*
  (desp[data.pagamento]&lt;EOMONTH($A91,0)+1)
)</f>
        <v>0</v>
      </c>
      <c r="AH91" s="166" cm="1">
        <f t="array" ref="AH91">SUMPRODUCT(
  IFERROR(--desp[valor],0)*
  (desp[nucleo]="UP CAMPO BELO")*
  (desp[categoria]=AH$7)*
  (desp[data.pagamento]&gt;=$A91)*
  (desp[data.pagamento]&lt;EOMONTH($A91,0)+1)
)</f>
        <v>0</v>
      </c>
      <c r="AI91" s="166" cm="1">
        <f t="array" ref="AI91">SUMPRODUCT(
  IFERROR(--desp[valor],0)*
  (desp[nucleo]="UP CAMPO BELO")*
  (desp[categoria]=AI$7)*
  (desp[data.pagamento]&gt;=$A91)*
  (desp[data.pagamento]&lt;EOMONTH($A91,0)+1)
)</f>
        <v>0</v>
      </c>
      <c r="AJ91" s="177">
        <f>COUNTIFS(
    estq[empresa], AJ$6,
    estq[Data da venda / reserva], "&gt;=" &amp; $A91,
    estq[Data da venda / reserva], "&lt;"  &amp; EOMONTH($A91,0) + 1
)</f>
        <v>0</v>
      </c>
      <c r="AK91" s="178">
        <f ca="1">SUMIFS(rec.uni[2028-05-01],
INDIRECT("rec.uni[natureza]"),"pro.soluto",
INDIRECT("rec.uni[empresa]"),AK$6)</f>
        <v>0</v>
      </c>
      <c r="AL91" s="178">
        <f ca="1">SUMIFS(rec.uni[2028-05-01],
INDIRECT("rec.uni[natureza]"),"repasse.cef.obra",
INDIRECT("rec.uni[empresa]"),AL$6)</f>
        <v>0</v>
      </c>
      <c r="AM91" s="181">
        <f ca="1">SUMIFS(rec.uni[2028-05-01],
INDIRECT("rec.uni[natureza]"),"repasse.cef.terreno",
INDIRECT("rec.uni[empresa]"),AM$6)</f>
        <v>0</v>
      </c>
      <c r="AN91" s="182"/>
      <c r="AO91" s="178">
        <f ca="1">SUMIFS(rec.uni[2028-05-01],
INDIRECT("rec.uni[natureza]"),"taxa.extra",
INDIRECT("rec.uni[empresa]"),AO$6)</f>
        <v>0</v>
      </c>
      <c r="AP91" s="166"/>
      <c r="AQ91" s="166" cm="1">
        <f t="array" ref="AQ91">SUMPRODUCT(
  IFERROR(--desp[valor],0)*
  (desp[nucleo]="UP SELECT VILA SONIA")*
  (desp[categoria]=AQ$7)*
  (desp[data.pagamento]&gt;=$A91)*
  (desp[data.pagamento]&lt;EOMONTH($A91,0)+1)
)</f>
        <v>0</v>
      </c>
      <c r="AR91" s="166" cm="1">
        <f t="array" ref="AR91">SUMPRODUCT(
  IFERROR(--desp[valor],0)*
  (desp[nucleo]="UP SELECT VILA SONIA")*
  (desp[categoria]=AR$7)*
  (desp[data.pagamento]&gt;=$A91)*
  (desp[data.pagamento]&lt;EOMONTH($A91,0)+1)
)</f>
        <v>0</v>
      </c>
      <c r="AS91" s="166" cm="1">
        <f t="array" ref="AS91">SUMPRODUCT(
  IFERROR(--desp[valor],0)*
  (desp[nucleo]="UP SELECT VILA SONIA")*
  (desp[categoria]=AS$7)*
  (desp[data.pagamento]&gt;=$A91)*
  (desp[data.pagamento]&lt;EOMONTH($A91,0)+1)
)</f>
        <v>0</v>
      </c>
      <c r="AT91" s="166" cm="1">
        <f t="array" ref="AT91">SUMPRODUCT(
  IFERROR(--desp[valor],0)*
  (desp[nucleo]="UP SELECT VILA SONIA")*
  (desp[categoria]=AT$7)*
  (desp[data.pagamento]&gt;=$A91)*
  (desp[data.pagamento]&lt;EOMONTH($A91,0)+1)
)</f>
        <v>0</v>
      </c>
      <c r="AU91" s="166" cm="1">
        <f t="array" ref="AU91">SUMPRODUCT(
  IFERROR(--desp[valor],0)*
  (desp[nucleo]="UP SELECT VILA SONIA")*
  (desp[categoria]=AU$7)*
  (desp[data.pagamento]&gt;=$A91)*
  (desp[data.pagamento]&lt;EOMONTH($A91,0)+1)
)</f>
        <v>0</v>
      </c>
      <c r="AV91" s="177">
        <f>COUNTIFS(
    estq[empresa], AV$6,
    estq[Data da venda / reserva], "&gt;=" &amp; $A91,
    estq[Data da venda / reserva], "&lt;"  &amp; EOMONTH($A91,0) + 1
)</f>
        <v>0</v>
      </c>
      <c r="AW91" s="178">
        <f ca="1">SUMIFS(rec.uni[2028-05-01],
INDIRECT("rec.uni[natureza]"),"pro.soluto",
INDIRECT("rec.uni[empresa]"),AW$6)</f>
        <v>0</v>
      </c>
      <c r="AX91" s="178">
        <f ca="1">SUMIFS(rec.uni[2028-05-01],
INDIRECT("rec.uni[natureza]"),"repasse.cef.obra",
INDIRECT("rec.uni[empresa]"),AX$6)</f>
        <v>0</v>
      </c>
      <c r="AY91" s="181">
        <f ca="1">SUMIFS(rec.uni[2028-05-01],
INDIRECT("rec.uni[natureza]"),"repasse.cef.terreno",
INDIRECT("rec.uni[empresa]"),AY$6)</f>
        <v>0</v>
      </c>
      <c r="AZ91" s="182"/>
      <c r="BA91" s="178">
        <f ca="1">SUMIFS(rec.uni[2028-05-01],
INDIRECT("rec.uni[natureza]"),"taxa.extra",
INDIRECT("rec.uni[empresa]"),BA$6)</f>
        <v>0</v>
      </c>
      <c r="BB91" s="166"/>
      <c r="BC91" s="166" cm="1">
        <f t="array" ref="BC91">SUMPRODUCT(
  IFERROR(--desp[valor],0)*
  (desp[nucleo]="UP ESTAÇÃO SÃO LUCAS")*
  (desp[categoria]=BC$7)*
  (desp[data.pagamento]&gt;=$A91)*
  (desp[data.pagamento]&lt;EOMONTH($A91,0)+1)
)</f>
        <v>0</v>
      </c>
      <c r="BD91" s="166" cm="1">
        <f t="array" ref="BD91">SUMPRODUCT(
  IFERROR(--desp[valor],0)*
  (desp[nucleo]="UP ESTAÇÃO SÃO LUCAS")*
  (desp[categoria]=BD$7)*
  (desp[data.pagamento]&gt;=$A91)*
  (desp[data.pagamento]&lt;EOMONTH($A91,0)+1)
)</f>
        <v>0</v>
      </c>
      <c r="BE91" s="166" cm="1">
        <f t="array" ref="BE91">SUMPRODUCT(
  IFERROR(--desp[valor],0)*
  (desp[nucleo]="UP ESTAÇÃO SÃO LUCAS")*
  (desp[categoria]=BE$7)*
  (desp[data.pagamento]&gt;=$A91)*
  (desp[data.pagamento]&lt;EOMONTH($A91,0)+1)
)</f>
        <v>0</v>
      </c>
      <c r="BF91" s="166" cm="1">
        <f t="array" ref="BF91">SUMPRODUCT(
  IFERROR(--desp[valor],0)*
  (desp[nucleo]="UP ESTAÇÃO SÃO LUCAS")*
  (desp[categoria]=BF$7)*
  (desp[data.pagamento]&gt;=$A91)*
  (desp[data.pagamento]&lt;EOMONTH($A91,0)+1)
)</f>
        <v>0</v>
      </c>
      <c r="BG91" s="166" cm="1">
        <f t="array" ref="BG91">SUMPRODUCT(
  IFERROR(--desp[valor],0)*
  (desp[nucleo]="UP ESTAÇÃO SÃO LUCAS")*
  (desp[categoria]=BG$7)*
  (desp[data.pagamento]&gt;=$A91)*
  (desp[data.pagamento]&lt;EOMONTH($A91,0)+1)
)</f>
        <v>0</v>
      </c>
      <c r="BH91" s="177">
        <f>COUNTIFS(
    estq[empresa], BH$6,
    estq[Data da venda / reserva], "&gt;=" &amp; $A91,
    estq[Data da venda / reserva], "&lt;"  &amp; EOMONTH($A91,0) + 1
)</f>
        <v>0</v>
      </c>
      <c r="BI91" s="178">
        <f ca="1">SUMIFS(rec.uni[2028-05-01],
INDIRECT("rec.uni[natureza]"),"pro.soluto",
INDIRECT("rec.uni[empresa]"),BI$6)</f>
        <v>0</v>
      </c>
      <c r="BJ91" s="182">
        <f ca="1">SUMIFS(rec.uni[2028-05-01],
INDIRECT("rec.uni[natureza]"),"parcela.fin.total.ik",
INDIRECT("rec.uni[empresa]"),BJ$6)</f>
        <v>0</v>
      </c>
      <c r="BK91" s="178">
        <f ca="1">SUMIFS(rec.uni[2028-05-01],
INDIRECT("rec.uni[natureza]"),"taxa.extra",
INDIRECT("rec.uni[empresa]"),BK$6)</f>
        <v>0</v>
      </c>
      <c r="BL91" s="166"/>
      <c r="BM91" s="166" cm="1">
        <f t="array" ref="BM91">SUMPRODUCT(
  IFERROR(--desp[valor],0)*
  (desp[nucleo]="UP POMPEIA")*
  (desp[categoria]=BM$7)*
  (desp[data.pagamento]&gt;=$A91)*
  (desp[data.pagamento]&lt;EOMONTH($A91,0)+1)
)</f>
        <v>0</v>
      </c>
      <c r="BN91" s="166" cm="1">
        <f t="array" ref="BN91">SUMPRODUCT(
  IFERROR(--desp[valor],0)*
  (desp[nucleo]="UP POMPEIA")*
  (desp[categoria]=BN$7)*
  (desp[data.pagamento]&gt;=$A91)*
  (desp[data.pagamento]&lt;EOMONTH($A91,0)+1)
)</f>
        <v>0</v>
      </c>
      <c r="BO91" s="166" cm="1">
        <f t="array" ref="BO91">SUMPRODUCT(
  IFERROR(--desp[valor],0)*
  (desp[nucleo]="UP POMPEIA")*
  (desp[categoria]=BO$7)*
  (desp[data.pagamento]&gt;=$A91)*
  (desp[data.pagamento]&lt;EOMONTH($A91,0)+1)
)</f>
        <v>0</v>
      </c>
      <c r="BP91" s="166" cm="1">
        <f t="array" ref="BP91">SUMPRODUCT(
  IFERROR(--desp[valor],0)*
  (desp[nucleo]="UP POMPEIA")*
  (desp[categoria]=BP$7)*
  (desp[data.pagamento]&gt;=$A91)*
  (desp[data.pagamento]&lt;EOMONTH($A91,0)+1)
)</f>
        <v>0</v>
      </c>
      <c r="BQ91" s="166" cm="1">
        <f t="array" ref="BQ91">SUMPRODUCT(
  IFERROR(--desp[valor],0)*
  (desp[nucleo]="UP POMPEIA")*
  (desp[categoria]=BQ$7)*
  (desp[data.pagamento]&gt;=$A91)*
  (desp[data.pagamento]&lt;EOMONTH($A91,0)+1)
)</f>
        <v>0</v>
      </c>
      <c r="BR91" s="177">
        <f>COUNTIFS(
    estq[empresa], BR$6,
    estq[Data da venda / reserva], "&gt;=" &amp; $A91,
    estq[Data da venda / reserva], "&lt;"  &amp; EOMONTH($A91,0) + 1
)</f>
        <v>0</v>
      </c>
      <c r="BS91" s="178">
        <f ca="1">SUMIFS(rec.uni[2028-05-01],
INDIRECT("rec.uni[natureza]"),"pro.soluto",
INDIRECT("rec.uni[empresa]"),BS$6)</f>
        <v>0</v>
      </c>
      <c r="BT91" s="182">
        <f ca="1">SUMIFS(rec.uni[2028-05-01],
INDIRECT("rec.uni[natureza]"),"parcela.fin.total.ik",
INDIRECT("rec.uni[empresa]"),BT$6)</f>
        <v>0</v>
      </c>
      <c r="BU91" s="178">
        <f ca="1">SUMIFS(rec.uni[2028-05-01],
INDIRECT("rec.uni[natureza]"),"taxa.extra",
INDIRECT("rec.uni[empresa]"),BU$6)</f>
        <v>0</v>
      </c>
      <c r="BV91" s="166"/>
      <c r="BW91" s="166" cm="1">
        <f t="array" ref="BW91">SUMPRODUCT(
  IFERROR(--desp[valor],0)*
  (desp[nucleo]="UP SAUDE")*
  (desp[categoria]=BW$7)*
  (desp[data.pagamento]&gt;=$A91)*
  (desp[data.pagamento]&lt;EOMONTH($A91,0)+1)
)</f>
        <v>0</v>
      </c>
      <c r="BX91" s="166" cm="1">
        <f t="array" ref="BX91">SUMPRODUCT(
  IFERROR(--desp[valor],0)*
  (desp[nucleo]="UP SAUDE")*
  (desp[categoria]=BX$7)*
  (desp[data.pagamento]&gt;=$A91)*
  (desp[data.pagamento]&lt;EOMONTH($A91,0)+1)
)</f>
        <v>0</v>
      </c>
      <c r="BY91" s="166" cm="1">
        <f t="array" ref="BY91">SUMPRODUCT(
  IFERROR(--desp[valor],0)*
  (desp[nucleo]="UP SAUDE")*
  (desp[categoria]=BY$7)*
  (desp[data.pagamento]&gt;=$A91)*
  (desp[data.pagamento]&lt;EOMONTH($A91,0)+1)
)</f>
        <v>0</v>
      </c>
      <c r="BZ91" s="166" cm="1">
        <f t="array" ref="BZ91">SUMPRODUCT(
  IFERROR(--desp[valor],0)*
  (desp[nucleo]="UP SAUDE")*
  (desp[categoria]=BZ$7)*
  (desp[data.pagamento]&gt;=$A91)*
  (desp[data.pagamento]&lt;EOMONTH($A91,0)+1)
)</f>
        <v>0</v>
      </c>
      <c r="CA91" s="166" cm="1">
        <f t="array" ref="CA91">SUMPRODUCT(
  IFERROR(--desp[valor],0)*
  (desp[nucleo]="UP SAUDE")*
  (desp[categoria]=CA$7)*
  (desp[data.pagamento]&gt;=$A91)*
  (desp[data.pagamento]&lt;EOMONTH($A91,0)+1)
)</f>
        <v>0</v>
      </c>
      <c r="CB91" s="177">
        <f>COUNTIFS(
    estq[empresa], CB$6,
    estq[Data da venda / reserva], "&gt;=" &amp; $A91,
    estq[Data da venda / reserva], "&lt;"  &amp; EOMONTH($A91,0) + 1
)</f>
        <v>0</v>
      </c>
      <c r="CC91" s="178">
        <f ca="1">SUMIFS(rec.uni[2028-05-01],
INDIRECT("rec.uni[natureza]"),"pro.soluto",
INDIRECT("rec.uni[empresa]"),CC$6)</f>
        <v>0</v>
      </c>
      <c r="CD91" s="178">
        <f ca="1">SUMIFS(rec.uni[2028-05-01],
INDIRECT("rec.uni[natureza]"),"repasse.cef.obra",
INDIRECT("rec.uni[empresa]"),CD$6)</f>
        <v>0</v>
      </c>
      <c r="CE91" s="181">
        <f ca="1">SUMIFS(rec.uni[2028-05-01],
INDIRECT("rec.uni[natureza]"),"repasse.cef.terreno",
INDIRECT("rec.uni[empresa]"),CE$6)</f>
        <v>0</v>
      </c>
      <c r="CF91" s="182"/>
      <c r="CG91" s="178">
        <f ca="1">SUMIFS(rec.uni[2028-05-01],
INDIRECT("rec.uni[natureza]"),"taxa.extra",
INDIRECT("rec.uni[empresa]"),CG$6)</f>
        <v>0</v>
      </c>
      <c r="CH91" s="166"/>
      <c r="CI91" s="166" cm="1">
        <f t="array" ref="CI91">SUMPRODUCT(
  IFERROR(--desp[valor],0)*
  (desp[nucleo]="UP ESTAÇÃO VILA SONIA")*
  (desp[categoria]=CI$7)*
  (desp[data.pagamento]&gt;=$A91)*
  (desp[data.pagamento]&lt;EOMONTH($A91,0)+1)
)</f>
        <v>0</v>
      </c>
      <c r="CJ91" s="166" cm="1">
        <f t="array" ref="CJ91">SUMPRODUCT(
  IFERROR(--desp[valor],0)*
  (desp[nucleo]="UP ESTAÇÃO VILA SONIA")*
  (desp[categoria]=CJ$7)*
  (desp[data.pagamento]&gt;=$A91)*
  (desp[data.pagamento]&lt;EOMONTH($A91,0)+1)
)</f>
        <v>0</v>
      </c>
      <c r="CK91" s="166" cm="1">
        <f t="array" ref="CK91">SUMPRODUCT(
  IFERROR(--desp[valor],0)*
  (desp[nucleo]="UP ESTAÇÃO VILA SONIA")*
  (desp[categoria]=CK$7)*
  (desp[data.pagamento]&gt;=$A91)*
  (desp[data.pagamento]&lt;EOMONTH($A91,0)+1)
)</f>
        <v>0</v>
      </c>
      <c r="CL91" s="166" cm="1">
        <f t="array" ref="CL91">SUMPRODUCT(
  IFERROR(--desp[valor],0)*
  (desp[nucleo]="UP ESTAÇÃO VILA SONIA")*
  (desp[categoria]=CL$7)*
  (desp[data.pagamento]&gt;=$A91)*
  (desp[data.pagamento]&lt;EOMONTH($A91,0)+1)
)</f>
        <v>0</v>
      </c>
      <c r="CM91" s="166" cm="1">
        <f t="array" ref="CM91">SUMPRODUCT(
  IFERROR(--desp[valor],0)*
  (desp[nucleo]="UP ESTAÇÃO VILA SONIA")*
  (desp[categoria]=CM$7)*
  (desp[data.pagamento]&gt;=$A91)*
  (desp[data.pagamento]&lt;EOMONTH($A91,0)+1)
)</f>
        <v>0</v>
      </c>
      <c r="CN91" s="177">
        <f>COUNTIFS(
    estq[empresa], CN$6,
    estq[Data da venda / reserva], "&gt;=" &amp; $A91,
    estq[Data da venda / reserva], "&lt;"  &amp; EOMONTH($A91,0) + 1
)</f>
        <v>0</v>
      </c>
      <c r="CO91" s="178">
        <f ca="1">SUMIFS(rec.uni[2028-05-01],
INDIRECT("rec.uni[natureza]"),"pro.soluto",
INDIRECT("rec.uni[empresa]"),CO$6)</f>
        <v>0</v>
      </c>
      <c r="CP91" s="178">
        <f ca="1">SUMIFS(rec.uni[2028-05-01],
INDIRECT("rec.uni[natureza]"),"repasse.cef.obra",
INDIRECT("rec.uni[empresa]"),CP$6)</f>
        <v>0</v>
      </c>
      <c r="CQ91" s="181">
        <f ca="1">SUMIFS(rec.uni[2028-05-01],
INDIRECT("rec.uni[natureza]"),"repasse.cef.terreno",
INDIRECT("rec.uni[empresa]"),CQ$6)</f>
        <v>0</v>
      </c>
      <c r="CR91" s="182"/>
      <c r="CS91" s="178">
        <f ca="1">SUMIFS(rec.uni[2028-05-01],
INDIRECT("rec.uni[natureza]"),"taxa.extra",
INDIRECT("rec.uni[empresa]"),CS$6)</f>
        <v>0</v>
      </c>
      <c r="CT91" s="166"/>
      <c r="CU91" s="166" cm="1">
        <f t="array" ref="CU91">SUMPRODUCT(
  IFERROR(--desp[valor],0)*
  (desp[nucleo]="UP MOVE VILA SONIA")*
  (desp[categoria]=CU$7)*
  (desp[data.pagamento]&gt;=$A91)*
  (desp[data.pagamento]&lt;EOMONTH($A91,0)+1)
)</f>
        <v>0</v>
      </c>
      <c r="CV91" s="166" cm="1">
        <f t="array" ref="CV91">SUMPRODUCT(
  IFERROR(--desp[valor],0)*
  (desp[nucleo]="UP MOVE VILA SONIA")*
  (desp[categoria]=CV$7)*
  (desp[data.pagamento]&gt;=$A91)*
  (desp[data.pagamento]&lt;EOMONTH($A91,0)+1)
)</f>
        <v>0</v>
      </c>
      <c r="CW91" s="166" cm="1">
        <f t="array" ref="CW91">SUMPRODUCT(
  IFERROR(--desp[valor],0)*
  (desp[nucleo]="UP MOVE VILA SONIA")*
  (desp[categoria]=CW$7)*
  (desp[data.pagamento]&gt;=$A91)*
  (desp[data.pagamento]&lt;EOMONTH($A91,0)+1)
)</f>
        <v>0</v>
      </c>
      <c r="CX91" s="166" cm="1">
        <f t="array" ref="CX91">SUMPRODUCT(
  IFERROR(--desp[valor],0)*
  (desp[nucleo]="UP MOVE VILA SONIA")*
  (desp[categoria]=CX$7)*
  (desp[data.pagamento]&gt;=$A91)*
  (desp[data.pagamento]&lt;EOMONTH($A91,0)+1)
)</f>
        <v>0</v>
      </c>
      <c r="CY91" s="291" cm="1">
        <f t="array" ref="CY91">SUMPRODUCT(
  IFERROR(--desp[valor],0)*
  (desp[nucleo]="UP MOVE VILA SONIA")*
  (desp[categoria]=CY$7)*
  (desp[data.pagamento]&gt;=$A91)*
  (desp[data.pagamento]&lt;EOMONTH($A91,0)+1)
)</f>
        <v>0</v>
      </c>
    </row>
    <row r="92" spans="1:103" x14ac:dyDescent="0.25">
      <c r="A92" s="176">
        <v>46905</v>
      </c>
      <c r="B92" s="177">
        <f>COUNTIFS(
    estq[empresa], B$6,
    estq[Data da venda / reserva], "&gt;=" &amp; $A92,
    estq[Data da venda / reserva], "&lt;"  &amp; EOMONTH($A92,0) + 1
)</f>
        <v>0</v>
      </c>
      <c r="C92" s="178">
        <f ca="1">SUMIFS(rec.uni[2028-06-01],
INDIRECT("rec.uni[natureza]"),"pro.soluto",
INDIRECT("rec.uni[empresa]"),C$6)</f>
        <v>0</v>
      </c>
      <c r="D92" s="178">
        <f ca="1">SUMIFS(rec.uni[2028-06-01],
INDIRECT("rec.uni[natureza]"),"repasse.cef.obra",
INDIRECT("rec.uni[empresa]"),D$6)</f>
        <v>0</v>
      </c>
      <c r="E92" s="178">
        <f ca="1">SUMIFS(rec.uni[2028-06-01],
INDIRECT("rec.uni[natureza]"),"repasse.cef.terreno",
INDIRECT("rec.uni[empresa]"),E$6)</f>
        <v>0</v>
      </c>
      <c r="F92" s="182"/>
      <c r="G92" s="178">
        <f ca="1">SUMIFS(rec.uni[2028-06-01],
INDIRECT("rec.uni[natureza]"),"taxa.extra",
INDIRECT("rec.uni[empresa]"),G$6)</f>
        <v>0</v>
      </c>
      <c r="H92" s="166"/>
      <c r="I92" s="166" cm="1">
        <f t="array" ref="I92">SUMPRODUCT(
  IFERROR(--desp[valor],0)*
  (desp[nucleo]="UP JARDIM PRUDENCIA")*
  (desp[categoria]=I$7)*
  (desp[data.pagamento]&gt;=$A92)*
  (desp[data.pagamento]&lt;EOMONTH($A92,0)+1)
)</f>
        <v>0</v>
      </c>
      <c r="J92" s="166" cm="1">
        <f t="array" ref="J92">SUMPRODUCT(
  IFERROR(--desp[valor],0)*
  (desp[nucleo]="UP JARDIM PRUDENCIA")*
  (desp[categoria]=J$7)*
  (desp[data.pagamento]&gt;=$A92)*
  (desp[data.pagamento]&lt;EOMONTH($A92,0)+1)
)</f>
        <v>0</v>
      </c>
      <c r="K92" s="166" cm="1">
        <f t="array" ref="K92">SUMPRODUCT(
  IFERROR(--desp[valor],0)*
  (desp[nucleo]="UP JARDIM PRUDENCIA")*
  (desp[categoria]=K$7)*
  (desp[data.pagamento]&gt;=$A92)*
  (desp[data.pagamento]&lt;EOMONTH($A92,0)+1)
)</f>
        <v>0</v>
      </c>
      <c r="L92" s="166" cm="1">
        <f t="array" ref="L92">SUMPRODUCT(
  IFERROR(--desp[valor],0)*
  (desp[nucleo]="UP JARDIM PRUDENCIA")*
  (desp[categoria]=L$7)*
  (desp[data.pagamento]&gt;=$A92)*
  (desp[data.pagamento]&lt;EOMONTH($A92,0)+1)
)</f>
        <v>0</v>
      </c>
      <c r="M92" s="166" cm="1">
        <f t="array" ref="M92">SUMPRODUCT(
  IFERROR(--desp[valor],0)*
  (desp[nucleo]="UP JARDIM PRUDENCIA")*
  (desp[categoria]=M$7)*
  (desp[data.pagamento]&gt;=$A92)*
  (desp[data.pagamento]&lt;EOMONTH($A92,0)+1)
)</f>
        <v>0</v>
      </c>
      <c r="N92" s="177">
        <f>COUNTIFS(
    estq[empresa], N$6,
    estq[Data da venda / reserva], "&gt;=" &amp; $A92,
    estq[Data da venda / reserva], "&lt;"  &amp; EOMONTH($A92,0) + 1
)</f>
        <v>0</v>
      </c>
      <c r="O92" s="178">
        <f ca="1">SUMIFS(rec.uni[2028-06-01],
INDIRECT("rec.uni[natureza]"),"pro.soluto",
INDIRECT("rec.uni[empresa]"),O$6)</f>
        <v>0</v>
      </c>
      <c r="P92" s="178">
        <f ca="1">SUMIFS(rec.uni[2028-06-01],
INDIRECT("rec.uni[natureza]"),"repasse.cef.obra",
INDIRECT("rec.uni[empresa]"),P$6)</f>
        <v>0</v>
      </c>
      <c r="Q92" s="178">
        <f ca="1">SUMIFS(rec.uni[2028-06-01],
INDIRECT("rec.uni[natureza]"),"repasse.cef.terreno",
INDIRECT("rec.uni[empresa]"),Q$6)</f>
        <v>0</v>
      </c>
      <c r="R92" s="182"/>
      <c r="S92" s="178">
        <f ca="1">SUMIFS(rec.uni[2028-06-01],
INDIRECT("rec.uni[natureza]"),"taxa.extra",
INDIRECT("rec.uni[empresa]"),S$6)</f>
        <v>0</v>
      </c>
      <c r="T92" s="166"/>
      <c r="U92" s="166" cm="1">
        <f t="array" ref="U92">SUMPRODUCT(
  IFERROR(--desp[valor],0)*
  (desp[nucleo]="UP VILA SONIA")*
  (desp[categoria]=U$7)*
  (desp[data.pagamento]&gt;=$A92)*
  (desp[data.pagamento]&lt;EOMONTH($A92,0)+1)
)</f>
        <v>0</v>
      </c>
      <c r="V92" s="166" cm="1">
        <f t="array" ref="V92">SUMPRODUCT(
  IFERROR(--desp[valor],0)*
  (desp[nucleo]="UP VILA SONIA")*
  (desp[categoria]=V$7)*
  (desp[data.pagamento]&gt;=$A92)*
  (desp[data.pagamento]&lt;EOMONTH($A92,0)+1)
)</f>
        <v>0</v>
      </c>
      <c r="W92" s="166" cm="1">
        <f t="array" ref="W92">SUMPRODUCT(
  IFERROR(--desp[valor],0)*
  (desp[nucleo]="UP VILA SONIA")*
  (desp[categoria]=W$7)*
  (desp[data.pagamento]&gt;=$A92)*
  (desp[data.pagamento]&lt;EOMONTH($A92,0)+1)
)</f>
        <v>0</v>
      </c>
      <c r="X92" s="166" cm="1">
        <f t="array" ref="X92">SUMPRODUCT(
  IFERROR(--desp[valor],0)*
  (desp[nucleo]="UP VILA SONIA")*
  (desp[categoria]=X$7)*
  (desp[data.pagamento]&gt;=$A92)*
  (desp[data.pagamento]&lt;EOMONTH($A92,0)+1)
)</f>
        <v>0</v>
      </c>
      <c r="Y92" s="166" cm="1">
        <f t="array" ref="Y92">SUMPRODUCT(
  IFERROR(--desp[valor],0)*
  (desp[nucleo]="UP VILA SONIA")*
  (desp[categoria]=Y$7)*
  (desp[data.pagamento]&gt;=$A92)*
  (desp[data.pagamento]&lt;EOMONTH($A92,0)+1)
)</f>
        <v>0</v>
      </c>
      <c r="Z92" s="177">
        <f>COUNTIFS(
    estq[empresa], Z$6,
    estq[Data da venda / reserva], "&gt;=" &amp; $A92,
    estq[Data da venda / reserva], "&lt;"  &amp; EOMONTH($A92,0) + 1
)</f>
        <v>0</v>
      </c>
      <c r="AA92" s="178">
        <f ca="1">SUMIFS(rec.uni[2028-06-01],
INDIRECT("rec.uni[natureza]"),"pro.soluto",
INDIRECT("rec.uni[empresa]"),AA$6)</f>
        <v>0</v>
      </c>
      <c r="AB92" s="182">
        <f ca="1">SUMIFS(rec.uni[2028-06-01],
INDIRECT("rec.uni[natureza]"),"parcela.fin.total.ik",
INDIRECT("rec.uni[empresa]"),AB$6)</f>
        <v>0</v>
      </c>
      <c r="AC92" s="178">
        <f ca="1">SUMIFS(rec.uni[2028-06-01],
INDIRECT("rec.uni[natureza]"),"taxa.extra",
INDIRECT("rec.uni[empresa]"),AC$6)</f>
        <v>0</v>
      </c>
      <c r="AD92" s="166"/>
      <c r="AE92" s="166" cm="1">
        <f t="array" ref="AE92">SUMPRODUCT(
  IFERROR(--desp[valor],0)*
  (desp[nucleo]="UP CAMPO BELO")*
  (desp[categoria]=AE$7)*
  (desp[data.pagamento]&gt;=$A92)*
  (desp[data.pagamento]&lt;EOMONTH($A92,0)+1)
)</f>
        <v>0</v>
      </c>
      <c r="AF92" s="166" cm="1">
        <f t="array" ref="AF92">SUMPRODUCT(
  IFERROR(--desp[valor],0)*
  (desp[nucleo]="UP CAMPO BELO")*
  (desp[categoria]=AF$7)*
  (desp[data.pagamento]&gt;=$A92)*
  (desp[data.pagamento]&lt;EOMONTH($A92,0)+1)
)</f>
        <v>0</v>
      </c>
      <c r="AG92" s="166" cm="1">
        <f t="array" ref="AG92">SUMPRODUCT(
  IFERROR(--desp[valor],0)*
  (desp[nucleo]="UP CAMPO BELO")*
  (desp[categoria]=AG$7)*
  (desp[data.pagamento]&gt;=$A92)*
  (desp[data.pagamento]&lt;EOMONTH($A92,0)+1)
)</f>
        <v>0</v>
      </c>
      <c r="AH92" s="166" cm="1">
        <f t="array" ref="AH92">SUMPRODUCT(
  IFERROR(--desp[valor],0)*
  (desp[nucleo]="UP CAMPO BELO")*
  (desp[categoria]=AH$7)*
  (desp[data.pagamento]&gt;=$A92)*
  (desp[data.pagamento]&lt;EOMONTH($A92,0)+1)
)</f>
        <v>0</v>
      </c>
      <c r="AI92" s="166" cm="1">
        <f t="array" ref="AI92">SUMPRODUCT(
  IFERROR(--desp[valor],0)*
  (desp[nucleo]="UP CAMPO BELO")*
  (desp[categoria]=AI$7)*
  (desp[data.pagamento]&gt;=$A92)*
  (desp[data.pagamento]&lt;EOMONTH($A92,0)+1)
)</f>
        <v>0</v>
      </c>
      <c r="AJ92" s="177">
        <f>COUNTIFS(
    estq[empresa], AJ$6,
    estq[Data da venda / reserva], "&gt;=" &amp; $A92,
    estq[Data da venda / reserva], "&lt;"  &amp; EOMONTH($A92,0) + 1
)</f>
        <v>0</v>
      </c>
      <c r="AK92" s="178">
        <f ca="1">SUMIFS(rec.uni[2028-06-01],
INDIRECT("rec.uni[natureza]"),"pro.soluto",
INDIRECT("rec.uni[empresa]"),AK$6)</f>
        <v>0</v>
      </c>
      <c r="AL92" s="178">
        <f ca="1">SUMIFS(rec.uni[2028-06-01],
INDIRECT("rec.uni[natureza]"),"repasse.cef.obra",
INDIRECT("rec.uni[empresa]"),AL$6)</f>
        <v>0</v>
      </c>
      <c r="AM92" s="181">
        <f ca="1">SUMIFS(rec.uni[2028-06-01],
INDIRECT("rec.uni[natureza]"),"repasse.cef.terreno",
INDIRECT("rec.uni[empresa]"),AM$6)</f>
        <v>0</v>
      </c>
      <c r="AN92" s="182"/>
      <c r="AO92" s="178">
        <f ca="1">SUMIFS(rec.uni[2028-06-01],
INDIRECT("rec.uni[natureza]"),"taxa.extra",
INDIRECT("rec.uni[empresa]"),AO$6)</f>
        <v>0</v>
      </c>
      <c r="AP92" s="166"/>
      <c r="AQ92" s="166" cm="1">
        <f t="array" ref="AQ92">SUMPRODUCT(
  IFERROR(--desp[valor],0)*
  (desp[nucleo]="UP SELECT VILA SONIA")*
  (desp[categoria]=AQ$7)*
  (desp[data.pagamento]&gt;=$A92)*
  (desp[data.pagamento]&lt;EOMONTH($A92,0)+1)
)</f>
        <v>0</v>
      </c>
      <c r="AR92" s="166" cm="1">
        <f t="array" ref="AR92">SUMPRODUCT(
  IFERROR(--desp[valor],0)*
  (desp[nucleo]="UP SELECT VILA SONIA")*
  (desp[categoria]=AR$7)*
  (desp[data.pagamento]&gt;=$A92)*
  (desp[data.pagamento]&lt;EOMONTH($A92,0)+1)
)</f>
        <v>0</v>
      </c>
      <c r="AS92" s="166" cm="1">
        <f t="array" ref="AS92">SUMPRODUCT(
  IFERROR(--desp[valor],0)*
  (desp[nucleo]="UP SELECT VILA SONIA")*
  (desp[categoria]=AS$7)*
  (desp[data.pagamento]&gt;=$A92)*
  (desp[data.pagamento]&lt;EOMONTH($A92,0)+1)
)</f>
        <v>0</v>
      </c>
      <c r="AT92" s="166" cm="1">
        <f t="array" ref="AT92">SUMPRODUCT(
  IFERROR(--desp[valor],0)*
  (desp[nucleo]="UP SELECT VILA SONIA")*
  (desp[categoria]=AT$7)*
  (desp[data.pagamento]&gt;=$A92)*
  (desp[data.pagamento]&lt;EOMONTH($A92,0)+1)
)</f>
        <v>0</v>
      </c>
      <c r="AU92" s="166" cm="1">
        <f t="array" ref="AU92">SUMPRODUCT(
  IFERROR(--desp[valor],0)*
  (desp[nucleo]="UP SELECT VILA SONIA")*
  (desp[categoria]=AU$7)*
  (desp[data.pagamento]&gt;=$A92)*
  (desp[data.pagamento]&lt;EOMONTH($A92,0)+1)
)</f>
        <v>0</v>
      </c>
      <c r="AV92" s="177">
        <f>COUNTIFS(
    estq[empresa], AV$6,
    estq[Data da venda / reserva], "&gt;=" &amp; $A92,
    estq[Data da venda / reserva], "&lt;"  &amp; EOMONTH($A92,0) + 1
)</f>
        <v>0</v>
      </c>
      <c r="AW92" s="178">
        <f ca="1">SUMIFS(rec.uni[2028-06-01],
INDIRECT("rec.uni[natureza]"),"pro.soluto",
INDIRECT("rec.uni[empresa]"),AW$6)</f>
        <v>0</v>
      </c>
      <c r="AX92" s="178">
        <f ca="1">SUMIFS(rec.uni[2028-06-01],
INDIRECT("rec.uni[natureza]"),"repasse.cef.obra",
INDIRECT("rec.uni[empresa]"),AX$6)</f>
        <v>0</v>
      </c>
      <c r="AY92" s="181">
        <f ca="1">SUMIFS(rec.uni[2028-06-01],
INDIRECT("rec.uni[natureza]"),"repasse.cef.terreno",
INDIRECT("rec.uni[empresa]"),AY$6)</f>
        <v>0</v>
      </c>
      <c r="AZ92" s="182"/>
      <c r="BA92" s="178">
        <f ca="1">SUMIFS(rec.uni[2028-06-01],
INDIRECT("rec.uni[natureza]"),"taxa.extra",
INDIRECT("rec.uni[empresa]"),BA$6)</f>
        <v>0</v>
      </c>
      <c r="BB92" s="166"/>
      <c r="BC92" s="166" cm="1">
        <f t="array" ref="BC92">SUMPRODUCT(
  IFERROR(--desp[valor],0)*
  (desp[nucleo]="UP ESTAÇÃO SÃO LUCAS")*
  (desp[categoria]=BC$7)*
  (desp[data.pagamento]&gt;=$A92)*
  (desp[data.pagamento]&lt;EOMONTH($A92,0)+1)
)</f>
        <v>0</v>
      </c>
      <c r="BD92" s="166" cm="1">
        <f t="array" ref="BD92">SUMPRODUCT(
  IFERROR(--desp[valor],0)*
  (desp[nucleo]="UP ESTAÇÃO SÃO LUCAS")*
  (desp[categoria]=BD$7)*
  (desp[data.pagamento]&gt;=$A92)*
  (desp[data.pagamento]&lt;EOMONTH($A92,0)+1)
)</f>
        <v>0</v>
      </c>
      <c r="BE92" s="166" cm="1">
        <f t="array" ref="BE92">SUMPRODUCT(
  IFERROR(--desp[valor],0)*
  (desp[nucleo]="UP ESTAÇÃO SÃO LUCAS")*
  (desp[categoria]=BE$7)*
  (desp[data.pagamento]&gt;=$A92)*
  (desp[data.pagamento]&lt;EOMONTH($A92,0)+1)
)</f>
        <v>0</v>
      </c>
      <c r="BF92" s="166" cm="1">
        <f t="array" ref="BF92">SUMPRODUCT(
  IFERROR(--desp[valor],0)*
  (desp[nucleo]="UP ESTAÇÃO SÃO LUCAS")*
  (desp[categoria]=BF$7)*
  (desp[data.pagamento]&gt;=$A92)*
  (desp[data.pagamento]&lt;EOMONTH($A92,0)+1)
)</f>
        <v>0</v>
      </c>
      <c r="BG92" s="166" cm="1">
        <f t="array" ref="BG92">SUMPRODUCT(
  IFERROR(--desp[valor],0)*
  (desp[nucleo]="UP ESTAÇÃO SÃO LUCAS")*
  (desp[categoria]=BG$7)*
  (desp[data.pagamento]&gt;=$A92)*
  (desp[data.pagamento]&lt;EOMONTH($A92,0)+1)
)</f>
        <v>0</v>
      </c>
      <c r="BH92" s="177">
        <f>COUNTIFS(
    estq[empresa], BH$6,
    estq[Data da venda / reserva], "&gt;=" &amp; $A92,
    estq[Data da venda / reserva], "&lt;"  &amp; EOMONTH($A92,0) + 1
)</f>
        <v>0</v>
      </c>
      <c r="BI92" s="178">
        <f ca="1">SUMIFS(rec.uni[2028-06-01],
INDIRECT("rec.uni[natureza]"),"pro.soluto",
INDIRECT("rec.uni[empresa]"),BI$6)</f>
        <v>0</v>
      </c>
      <c r="BJ92" s="182">
        <f ca="1">SUMIFS(rec.uni[2028-06-01],
INDIRECT("rec.uni[natureza]"),"parcela.fin.total.ik",
INDIRECT("rec.uni[empresa]"),BJ$6)</f>
        <v>0</v>
      </c>
      <c r="BK92" s="178">
        <f ca="1">SUMIFS(rec.uni[2028-06-01],
INDIRECT("rec.uni[natureza]"),"taxa.extra",
INDIRECT("rec.uni[empresa]"),BK$6)</f>
        <v>0</v>
      </c>
      <c r="BL92" s="166"/>
      <c r="BM92" s="166" cm="1">
        <f t="array" ref="BM92">SUMPRODUCT(
  IFERROR(--desp[valor],0)*
  (desp[nucleo]="UP POMPEIA")*
  (desp[categoria]=BM$7)*
  (desp[data.pagamento]&gt;=$A92)*
  (desp[data.pagamento]&lt;EOMONTH($A92,0)+1)
)</f>
        <v>0</v>
      </c>
      <c r="BN92" s="166" cm="1">
        <f t="array" ref="BN92">SUMPRODUCT(
  IFERROR(--desp[valor],0)*
  (desp[nucleo]="UP POMPEIA")*
  (desp[categoria]=BN$7)*
  (desp[data.pagamento]&gt;=$A92)*
  (desp[data.pagamento]&lt;EOMONTH($A92,0)+1)
)</f>
        <v>0</v>
      </c>
      <c r="BO92" s="166" cm="1">
        <f t="array" ref="BO92">SUMPRODUCT(
  IFERROR(--desp[valor],0)*
  (desp[nucleo]="UP POMPEIA")*
  (desp[categoria]=BO$7)*
  (desp[data.pagamento]&gt;=$A92)*
  (desp[data.pagamento]&lt;EOMONTH($A92,0)+1)
)</f>
        <v>0</v>
      </c>
      <c r="BP92" s="166" cm="1">
        <f t="array" ref="BP92">SUMPRODUCT(
  IFERROR(--desp[valor],0)*
  (desp[nucleo]="UP POMPEIA")*
  (desp[categoria]=BP$7)*
  (desp[data.pagamento]&gt;=$A92)*
  (desp[data.pagamento]&lt;EOMONTH($A92,0)+1)
)</f>
        <v>0</v>
      </c>
      <c r="BQ92" s="166" cm="1">
        <f t="array" ref="BQ92">SUMPRODUCT(
  IFERROR(--desp[valor],0)*
  (desp[nucleo]="UP POMPEIA")*
  (desp[categoria]=BQ$7)*
  (desp[data.pagamento]&gt;=$A92)*
  (desp[data.pagamento]&lt;EOMONTH($A92,0)+1)
)</f>
        <v>0</v>
      </c>
      <c r="BR92" s="177">
        <f>COUNTIFS(
    estq[empresa], BR$6,
    estq[Data da venda / reserva], "&gt;=" &amp; $A92,
    estq[Data da venda / reserva], "&lt;"  &amp; EOMONTH($A92,0) + 1
)</f>
        <v>0</v>
      </c>
      <c r="BS92" s="178">
        <f ca="1">SUMIFS(rec.uni[2028-06-01],
INDIRECT("rec.uni[natureza]"),"pro.soluto",
INDIRECT("rec.uni[empresa]"),BS$6)</f>
        <v>0</v>
      </c>
      <c r="BT92" s="182">
        <f ca="1">SUMIFS(rec.uni[2028-06-01],
INDIRECT("rec.uni[natureza]"),"parcela.fin.total.ik",
INDIRECT("rec.uni[empresa]"),BT$6)</f>
        <v>0</v>
      </c>
      <c r="BU92" s="178">
        <f ca="1">SUMIFS(rec.uni[2028-06-01],
INDIRECT("rec.uni[natureza]"),"taxa.extra",
INDIRECT("rec.uni[empresa]"),BU$6)</f>
        <v>0</v>
      </c>
      <c r="BV92" s="166"/>
      <c r="BW92" s="166" cm="1">
        <f t="array" ref="BW92">SUMPRODUCT(
  IFERROR(--desp[valor],0)*
  (desp[nucleo]="UP SAUDE")*
  (desp[categoria]=BW$7)*
  (desp[data.pagamento]&gt;=$A92)*
  (desp[data.pagamento]&lt;EOMONTH($A92,0)+1)
)</f>
        <v>0</v>
      </c>
      <c r="BX92" s="166" cm="1">
        <f t="array" ref="BX92">SUMPRODUCT(
  IFERROR(--desp[valor],0)*
  (desp[nucleo]="UP SAUDE")*
  (desp[categoria]=BX$7)*
  (desp[data.pagamento]&gt;=$A92)*
  (desp[data.pagamento]&lt;EOMONTH($A92,0)+1)
)</f>
        <v>0</v>
      </c>
      <c r="BY92" s="166" cm="1">
        <f t="array" ref="BY92">SUMPRODUCT(
  IFERROR(--desp[valor],0)*
  (desp[nucleo]="UP SAUDE")*
  (desp[categoria]=BY$7)*
  (desp[data.pagamento]&gt;=$A92)*
  (desp[data.pagamento]&lt;EOMONTH($A92,0)+1)
)</f>
        <v>0</v>
      </c>
      <c r="BZ92" s="166" cm="1">
        <f t="array" ref="BZ92">SUMPRODUCT(
  IFERROR(--desp[valor],0)*
  (desp[nucleo]="UP SAUDE")*
  (desp[categoria]=BZ$7)*
  (desp[data.pagamento]&gt;=$A92)*
  (desp[data.pagamento]&lt;EOMONTH($A92,0)+1)
)</f>
        <v>0</v>
      </c>
      <c r="CA92" s="166" cm="1">
        <f t="array" ref="CA92">SUMPRODUCT(
  IFERROR(--desp[valor],0)*
  (desp[nucleo]="UP SAUDE")*
  (desp[categoria]=CA$7)*
  (desp[data.pagamento]&gt;=$A92)*
  (desp[data.pagamento]&lt;EOMONTH($A92,0)+1)
)</f>
        <v>0</v>
      </c>
      <c r="CB92" s="177">
        <f>COUNTIFS(
    estq[empresa], CB$6,
    estq[Data da venda / reserva], "&gt;=" &amp; $A92,
    estq[Data da venda / reserva], "&lt;"  &amp; EOMONTH($A92,0) + 1
)</f>
        <v>0</v>
      </c>
      <c r="CC92" s="178">
        <f ca="1">SUMIFS(rec.uni[2028-06-01],
INDIRECT("rec.uni[natureza]"),"pro.soluto",
INDIRECT("rec.uni[empresa]"),CC$6)</f>
        <v>0</v>
      </c>
      <c r="CD92" s="178">
        <f ca="1">SUMIFS(rec.uni[2028-06-01],
INDIRECT("rec.uni[natureza]"),"repasse.cef.obra",
INDIRECT("rec.uni[empresa]"),CD$6)</f>
        <v>0</v>
      </c>
      <c r="CE92" s="181">
        <f ca="1">SUMIFS(rec.uni[2028-06-01],
INDIRECT("rec.uni[natureza]"),"repasse.cef.terreno",
INDIRECT("rec.uni[empresa]"),CE$6)</f>
        <v>0</v>
      </c>
      <c r="CF92" s="182"/>
      <c r="CG92" s="178">
        <f ca="1">SUMIFS(rec.uni[2028-06-01],
INDIRECT("rec.uni[natureza]"),"taxa.extra",
INDIRECT("rec.uni[empresa]"),CG$6)</f>
        <v>0</v>
      </c>
      <c r="CH92" s="166"/>
      <c r="CI92" s="166" cm="1">
        <f t="array" ref="CI92">SUMPRODUCT(
  IFERROR(--desp[valor],0)*
  (desp[nucleo]="UP ESTAÇÃO VILA SONIA")*
  (desp[categoria]=CI$7)*
  (desp[data.pagamento]&gt;=$A92)*
  (desp[data.pagamento]&lt;EOMONTH($A92,0)+1)
)</f>
        <v>0</v>
      </c>
      <c r="CJ92" s="166" cm="1">
        <f t="array" ref="CJ92">SUMPRODUCT(
  IFERROR(--desp[valor],0)*
  (desp[nucleo]="UP ESTAÇÃO VILA SONIA")*
  (desp[categoria]=CJ$7)*
  (desp[data.pagamento]&gt;=$A92)*
  (desp[data.pagamento]&lt;EOMONTH($A92,0)+1)
)</f>
        <v>0</v>
      </c>
      <c r="CK92" s="166" cm="1">
        <f t="array" ref="CK92">SUMPRODUCT(
  IFERROR(--desp[valor],0)*
  (desp[nucleo]="UP ESTAÇÃO VILA SONIA")*
  (desp[categoria]=CK$7)*
  (desp[data.pagamento]&gt;=$A92)*
  (desp[data.pagamento]&lt;EOMONTH($A92,0)+1)
)</f>
        <v>0</v>
      </c>
      <c r="CL92" s="166" cm="1">
        <f t="array" ref="CL92">SUMPRODUCT(
  IFERROR(--desp[valor],0)*
  (desp[nucleo]="UP ESTAÇÃO VILA SONIA")*
  (desp[categoria]=CL$7)*
  (desp[data.pagamento]&gt;=$A92)*
  (desp[data.pagamento]&lt;EOMONTH($A92,0)+1)
)</f>
        <v>0</v>
      </c>
      <c r="CM92" s="166" cm="1">
        <f t="array" ref="CM92">SUMPRODUCT(
  IFERROR(--desp[valor],0)*
  (desp[nucleo]="UP ESTAÇÃO VILA SONIA")*
  (desp[categoria]=CM$7)*
  (desp[data.pagamento]&gt;=$A92)*
  (desp[data.pagamento]&lt;EOMONTH($A92,0)+1)
)</f>
        <v>0</v>
      </c>
      <c r="CN92" s="177">
        <f>COUNTIFS(
    estq[empresa], CN$6,
    estq[Data da venda / reserva], "&gt;=" &amp; $A92,
    estq[Data da venda / reserva], "&lt;"  &amp; EOMONTH($A92,0) + 1
)</f>
        <v>0</v>
      </c>
      <c r="CO92" s="178">
        <f ca="1">SUMIFS(rec.uni[2028-06-01],
INDIRECT("rec.uni[natureza]"),"pro.soluto",
INDIRECT("rec.uni[empresa]"),CO$6)</f>
        <v>0</v>
      </c>
      <c r="CP92" s="178">
        <f ca="1">SUMIFS(rec.uni[2028-06-01],
INDIRECT("rec.uni[natureza]"),"repasse.cef.obra",
INDIRECT("rec.uni[empresa]"),CP$6)</f>
        <v>0</v>
      </c>
      <c r="CQ92" s="181">
        <f ca="1">SUMIFS(rec.uni[2028-06-01],
INDIRECT("rec.uni[natureza]"),"repasse.cef.terreno",
INDIRECT("rec.uni[empresa]"),CQ$6)</f>
        <v>0</v>
      </c>
      <c r="CR92" s="182"/>
      <c r="CS92" s="178">
        <f ca="1">SUMIFS(rec.uni[2028-06-01],
INDIRECT("rec.uni[natureza]"),"taxa.extra",
INDIRECT("rec.uni[empresa]"),CS$6)</f>
        <v>0</v>
      </c>
      <c r="CT92" s="166"/>
      <c r="CU92" s="166" cm="1">
        <f t="array" ref="CU92">SUMPRODUCT(
  IFERROR(--desp[valor],0)*
  (desp[nucleo]="UP MOVE VILA SONIA")*
  (desp[categoria]=CU$7)*
  (desp[data.pagamento]&gt;=$A92)*
  (desp[data.pagamento]&lt;EOMONTH($A92,0)+1)
)</f>
        <v>0</v>
      </c>
      <c r="CV92" s="166" cm="1">
        <f t="array" ref="CV92">SUMPRODUCT(
  IFERROR(--desp[valor],0)*
  (desp[nucleo]="UP MOVE VILA SONIA")*
  (desp[categoria]=CV$7)*
  (desp[data.pagamento]&gt;=$A92)*
  (desp[data.pagamento]&lt;EOMONTH($A92,0)+1)
)</f>
        <v>0</v>
      </c>
      <c r="CW92" s="166" cm="1">
        <f t="array" ref="CW92">SUMPRODUCT(
  IFERROR(--desp[valor],0)*
  (desp[nucleo]="UP MOVE VILA SONIA")*
  (desp[categoria]=CW$7)*
  (desp[data.pagamento]&gt;=$A92)*
  (desp[data.pagamento]&lt;EOMONTH($A92,0)+1)
)</f>
        <v>0</v>
      </c>
      <c r="CX92" s="166" cm="1">
        <f t="array" ref="CX92">SUMPRODUCT(
  IFERROR(--desp[valor],0)*
  (desp[nucleo]="UP MOVE VILA SONIA")*
  (desp[categoria]=CX$7)*
  (desp[data.pagamento]&gt;=$A92)*
  (desp[data.pagamento]&lt;EOMONTH($A92,0)+1)
)</f>
        <v>0</v>
      </c>
      <c r="CY92" s="291" cm="1">
        <f t="array" ref="CY92">SUMPRODUCT(
  IFERROR(--desp[valor],0)*
  (desp[nucleo]="UP MOVE VILA SONIA")*
  (desp[categoria]=CY$7)*
  (desp[data.pagamento]&gt;=$A92)*
  (desp[data.pagamento]&lt;EOMONTH($A92,0)+1)
)</f>
        <v>0</v>
      </c>
    </row>
    <row r="93" spans="1:103" x14ac:dyDescent="0.25">
      <c r="A93" s="176">
        <v>46935</v>
      </c>
      <c r="B93" s="177">
        <f>COUNTIFS(
    estq[empresa], B$6,
    estq[Data da venda / reserva], "&gt;=" &amp; $A93,
    estq[Data da venda / reserva], "&lt;"  &amp; EOMONTH($A93,0) + 1
)</f>
        <v>0</v>
      </c>
      <c r="C93" s="178">
        <f ca="1">SUMIFS(rec.uni[2028-07-01],
INDIRECT("rec.uni[natureza]"),"pro.soluto",
INDIRECT("rec.uni[empresa]"),C$6)</f>
        <v>0</v>
      </c>
      <c r="D93" s="178">
        <f ca="1">SUMIFS(rec.uni[2028-07-01],
INDIRECT("rec.uni[natureza]"),"repasse.cef.obra",
INDIRECT("rec.uni[empresa]"),D$6)</f>
        <v>0</v>
      </c>
      <c r="E93" s="178">
        <f ca="1">SUMIFS(rec.uni[2028-07-01],
INDIRECT("rec.uni[natureza]"),"repasse.cef.terreno",
INDIRECT("rec.uni[empresa]"),E$6)</f>
        <v>0</v>
      </c>
      <c r="F93" s="182"/>
      <c r="G93" s="178">
        <f ca="1">SUMIFS(rec.uni[2028-07-01],
INDIRECT("rec.uni[natureza]"),"taxa.extra",
INDIRECT("rec.uni[empresa]"),G$6)</f>
        <v>0</v>
      </c>
      <c r="H93" s="166"/>
      <c r="I93" s="166" cm="1">
        <f t="array" ref="I93">SUMPRODUCT(
  IFERROR(--desp[valor],0)*
  (desp[nucleo]="UP JARDIM PRUDENCIA")*
  (desp[categoria]=I$7)*
  (desp[data.pagamento]&gt;=$A93)*
  (desp[data.pagamento]&lt;EOMONTH($A93,0)+1)
)</f>
        <v>0</v>
      </c>
      <c r="J93" s="166" cm="1">
        <f t="array" ref="J93">SUMPRODUCT(
  IFERROR(--desp[valor],0)*
  (desp[nucleo]="UP JARDIM PRUDENCIA")*
  (desp[categoria]=J$7)*
  (desp[data.pagamento]&gt;=$A93)*
  (desp[data.pagamento]&lt;EOMONTH($A93,0)+1)
)</f>
        <v>0</v>
      </c>
      <c r="K93" s="166" cm="1">
        <f t="array" ref="K93">SUMPRODUCT(
  IFERROR(--desp[valor],0)*
  (desp[nucleo]="UP JARDIM PRUDENCIA")*
  (desp[categoria]=K$7)*
  (desp[data.pagamento]&gt;=$A93)*
  (desp[data.pagamento]&lt;EOMONTH($A93,0)+1)
)</f>
        <v>0</v>
      </c>
      <c r="L93" s="166" cm="1">
        <f t="array" ref="L93">SUMPRODUCT(
  IFERROR(--desp[valor],0)*
  (desp[nucleo]="UP JARDIM PRUDENCIA")*
  (desp[categoria]=L$7)*
  (desp[data.pagamento]&gt;=$A93)*
  (desp[data.pagamento]&lt;EOMONTH($A93,0)+1)
)</f>
        <v>0</v>
      </c>
      <c r="M93" s="166" cm="1">
        <f t="array" ref="M93">SUMPRODUCT(
  IFERROR(--desp[valor],0)*
  (desp[nucleo]="UP JARDIM PRUDENCIA")*
  (desp[categoria]=M$7)*
  (desp[data.pagamento]&gt;=$A93)*
  (desp[data.pagamento]&lt;EOMONTH($A93,0)+1)
)</f>
        <v>0</v>
      </c>
      <c r="N93" s="177">
        <f>COUNTIFS(
    estq[empresa], N$6,
    estq[Data da venda / reserva], "&gt;=" &amp; $A93,
    estq[Data da venda / reserva], "&lt;"  &amp; EOMONTH($A93,0) + 1
)</f>
        <v>0</v>
      </c>
      <c r="O93" s="178">
        <f ca="1">SUMIFS(rec.uni[2028-07-01],
INDIRECT("rec.uni[natureza]"),"pro.soluto",
INDIRECT("rec.uni[empresa]"),O$6)</f>
        <v>0</v>
      </c>
      <c r="P93" s="178">
        <f ca="1">SUMIFS(rec.uni[2028-07-01],
INDIRECT("rec.uni[natureza]"),"repasse.cef.obra",
INDIRECT("rec.uni[empresa]"),P$6)</f>
        <v>0</v>
      </c>
      <c r="Q93" s="178">
        <f ca="1">SUMIFS(rec.uni[2028-07-01],
INDIRECT("rec.uni[natureza]"),"repasse.cef.terreno",
INDIRECT("rec.uni[empresa]"),Q$6)</f>
        <v>0</v>
      </c>
      <c r="R93" s="182"/>
      <c r="S93" s="178">
        <f ca="1">SUMIFS(rec.uni[2028-07-01],
INDIRECT("rec.uni[natureza]"),"taxa.extra",
INDIRECT("rec.uni[empresa]"),S$6)</f>
        <v>0</v>
      </c>
      <c r="T93" s="166"/>
      <c r="U93" s="166" cm="1">
        <f t="array" ref="U93">SUMPRODUCT(
  IFERROR(--desp[valor],0)*
  (desp[nucleo]="UP VILA SONIA")*
  (desp[categoria]=U$7)*
  (desp[data.pagamento]&gt;=$A93)*
  (desp[data.pagamento]&lt;EOMONTH($A93,0)+1)
)</f>
        <v>0</v>
      </c>
      <c r="V93" s="166" cm="1">
        <f t="array" ref="V93">SUMPRODUCT(
  IFERROR(--desp[valor],0)*
  (desp[nucleo]="UP VILA SONIA")*
  (desp[categoria]=V$7)*
  (desp[data.pagamento]&gt;=$A93)*
  (desp[data.pagamento]&lt;EOMONTH($A93,0)+1)
)</f>
        <v>0</v>
      </c>
      <c r="W93" s="166" cm="1">
        <f t="array" ref="W93">SUMPRODUCT(
  IFERROR(--desp[valor],0)*
  (desp[nucleo]="UP VILA SONIA")*
  (desp[categoria]=W$7)*
  (desp[data.pagamento]&gt;=$A93)*
  (desp[data.pagamento]&lt;EOMONTH($A93,0)+1)
)</f>
        <v>0</v>
      </c>
      <c r="X93" s="166" cm="1">
        <f t="array" ref="X93">SUMPRODUCT(
  IFERROR(--desp[valor],0)*
  (desp[nucleo]="UP VILA SONIA")*
  (desp[categoria]=X$7)*
  (desp[data.pagamento]&gt;=$A93)*
  (desp[data.pagamento]&lt;EOMONTH($A93,0)+1)
)</f>
        <v>0</v>
      </c>
      <c r="Y93" s="166" cm="1">
        <f t="array" ref="Y93">SUMPRODUCT(
  IFERROR(--desp[valor],0)*
  (desp[nucleo]="UP VILA SONIA")*
  (desp[categoria]=Y$7)*
  (desp[data.pagamento]&gt;=$A93)*
  (desp[data.pagamento]&lt;EOMONTH($A93,0)+1)
)</f>
        <v>0</v>
      </c>
      <c r="Z93" s="177">
        <f>COUNTIFS(
    estq[empresa], Z$6,
    estq[Data da venda / reserva], "&gt;=" &amp; $A93,
    estq[Data da venda / reserva], "&lt;"  &amp; EOMONTH($A93,0) + 1
)</f>
        <v>0</v>
      </c>
      <c r="AA93" s="178">
        <f ca="1">SUMIFS(rec.uni[2028-07-01],
INDIRECT("rec.uni[natureza]"),"pro.soluto",
INDIRECT("rec.uni[empresa]"),AA$6)</f>
        <v>0</v>
      </c>
      <c r="AB93" s="182">
        <f ca="1">SUMIFS(rec.uni[2028-07-01],
INDIRECT("rec.uni[natureza]"),"parcela.fin.total.ik",
INDIRECT("rec.uni[empresa]"),AB$6)</f>
        <v>0</v>
      </c>
      <c r="AC93" s="178">
        <f ca="1">SUMIFS(rec.uni[2028-07-01],
INDIRECT("rec.uni[natureza]"),"taxa.extra",
INDIRECT("rec.uni[empresa]"),AC$6)</f>
        <v>0</v>
      </c>
      <c r="AD93" s="166"/>
      <c r="AE93" s="166" cm="1">
        <f t="array" ref="AE93">SUMPRODUCT(
  IFERROR(--desp[valor],0)*
  (desp[nucleo]="UP CAMPO BELO")*
  (desp[categoria]=AE$7)*
  (desp[data.pagamento]&gt;=$A93)*
  (desp[data.pagamento]&lt;EOMONTH($A93,0)+1)
)</f>
        <v>0</v>
      </c>
      <c r="AF93" s="166" cm="1">
        <f t="array" ref="AF93">SUMPRODUCT(
  IFERROR(--desp[valor],0)*
  (desp[nucleo]="UP CAMPO BELO")*
  (desp[categoria]=AF$7)*
  (desp[data.pagamento]&gt;=$A93)*
  (desp[data.pagamento]&lt;EOMONTH($A93,0)+1)
)</f>
        <v>0</v>
      </c>
      <c r="AG93" s="166" cm="1">
        <f t="array" ref="AG93">SUMPRODUCT(
  IFERROR(--desp[valor],0)*
  (desp[nucleo]="UP CAMPO BELO")*
  (desp[categoria]=AG$7)*
  (desp[data.pagamento]&gt;=$A93)*
  (desp[data.pagamento]&lt;EOMONTH($A93,0)+1)
)</f>
        <v>0</v>
      </c>
      <c r="AH93" s="166" cm="1">
        <f t="array" ref="AH93">SUMPRODUCT(
  IFERROR(--desp[valor],0)*
  (desp[nucleo]="UP CAMPO BELO")*
  (desp[categoria]=AH$7)*
  (desp[data.pagamento]&gt;=$A93)*
  (desp[data.pagamento]&lt;EOMONTH($A93,0)+1)
)</f>
        <v>0</v>
      </c>
      <c r="AI93" s="166" cm="1">
        <f t="array" ref="AI93">SUMPRODUCT(
  IFERROR(--desp[valor],0)*
  (desp[nucleo]="UP CAMPO BELO")*
  (desp[categoria]=AI$7)*
  (desp[data.pagamento]&gt;=$A93)*
  (desp[data.pagamento]&lt;EOMONTH($A93,0)+1)
)</f>
        <v>0</v>
      </c>
      <c r="AJ93" s="177">
        <f>COUNTIFS(
    estq[empresa], AJ$6,
    estq[Data da venda / reserva], "&gt;=" &amp; $A93,
    estq[Data da venda / reserva], "&lt;"  &amp; EOMONTH($A93,0) + 1
)</f>
        <v>0</v>
      </c>
      <c r="AK93" s="178">
        <f ca="1">SUMIFS(rec.uni[2028-07-01],
INDIRECT("rec.uni[natureza]"),"pro.soluto",
INDIRECT("rec.uni[empresa]"),AK$6)</f>
        <v>0</v>
      </c>
      <c r="AL93" s="178">
        <f ca="1">SUMIFS(rec.uni[2028-07-01],
INDIRECT("rec.uni[natureza]"),"repasse.cef.obra",
INDIRECT("rec.uni[empresa]"),AL$6)</f>
        <v>0</v>
      </c>
      <c r="AM93" s="181">
        <f ca="1">SUMIFS(rec.uni[2028-07-01],
INDIRECT("rec.uni[natureza]"),"repasse.cef.terreno",
INDIRECT("rec.uni[empresa]"),AM$6)</f>
        <v>0</v>
      </c>
      <c r="AN93" s="182"/>
      <c r="AO93" s="178">
        <f ca="1">SUMIFS(rec.uni[2028-07-01],
INDIRECT("rec.uni[natureza]"),"taxa.extra",
INDIRECT("rec.uni[empresa]"),AO$6)</f>
        <v>0</v>
      </c>
      <c r="AP93" s="166"/>
      <c r="AQ93" s="166" cm="1">
        <f t="array" ref="AQ93">SUMPRODUCT(
  IFERROR(--desp[valor],0)*
  (desp[nucleo]="UP SELECT VILA SONIA")*
  (desp[categoria]=AQ$7)*
  (desp[data.pagamento]&gt;=$A93)*
  (desp[data.pagamento]&lt;EOMONTH($A93,0)+1)
)</f>
        <v>0</v>
      </c>
      <c r="AR93" s="166" cm="1">
        <f t="array" ref="AR93">SUMPRODUCT(
  IFERROR(--desp[valor],0)*
  (desp[nucleo]="UP SELECT VILA SONIA")*
  (desp[categoria]=AR$7)*
  (desp[data.pagamento]&gt;=$A93)*
  (desp[data.pagamento]&lt;EOMONTH($A93,0)+1)
)</f>
        <v>0</v>
      </c>
      <c r="AS93" s="166" cm="1">
        <f t="array" ref="AS93">SUMPRODUCT(
  IFERROR(--desp[valor],0)*
  (desp[nucleo]="UP SELECT VILA SONIA")*
  (desp[categoria]=AS$7)*
  (desp[data.pagamento]&gt;=$A93)*
  (desp[data.pagamento]&lt;EOMONTH($A93,0)+1)
)</f>
        <v>0</v>
      </c>
      <c r="AT93" s="166" cm="1">
        <f t="array" ref="AT93">SUMPRODUCT(
  IFERROR(--desp[valor],0)*
  (desp[nucleo]="UP SELECT VILA SONIA")*
  (desp[categoria]=AT$7)*
  (desp[data.pagamento]&gt;=$A93)*
  (desp[data.pagamento]&lt;EOMONTH($A93,0)+1)
)</f>
        <v>0</v>
      </c>
      <c r="AU93" s="166" cm="1">
        <f t="array" ref="AU93">SUMPRODUCT(
  IFERROR(--desp[valor],0)*
  (desp[nucleo]="UP SELECT VILA SONIA")*
  (desp[categoria]=AU$7)*
  (desp[data.pagamento]&gt;=$A93)*
  (desp[data.pagamento]&lt;EOMONTH($A93,0)+1)
)</f>
        <v>0</v>
      </c>
      <c r="AV93" s="177">
        <f>COUNTIFS(
    estq[empresa], AV$6,
    estq[Data da venda / reserva], "&gt;=" &amp; $A93,
    estq[Data da venda / reserva], "&lt;"  &amp; EOMONTH($A93,0) + 1
)</f>
        <v>0</v>
      </c>
      <c r="AW93" s="178">
        <f ca="1">SUMIFS(rec.uni[2028-07-01],
INDIRECT("rec.uni[natureza]"),"pro.soluto",
INDIRECT("rec.uni[empresa]"),AW$6)</f>
        <v>0</v>
      </c>
      <c r="AX93" s="178">
        <f ca="1">SUMIFS(rec.uni[2028-07-01],
INDIRECT("rec.uni[natureza]"),"repasse.cef.obra",
INDIRECT("rec.uni[empresa]"),AX$6)</f>
        <v>0</v>
      </c>
      <c r="AY93" s="181">
        <f ca="1">SUMIFS(rec.uni[2028-07-01],
INDIRECT("rec.uni[natureza]"),"repasse.cef.terreno",
INDIRECT("rec.uni[empresa]"),AY$6)</f>
        <v>0</v>
      </c>
      <c r="AZ93" s="182"/>
      <c r="BA93" s="178">
        <f ca="1">SUMIFS(rec.uni[2028-07-01],
INDIRECT("rec.uni[natureza]"),"taxa.extra",
INDIRECT("rec.uni[empresa]"),BA$6)</f>
        <v>0</v>
      </c>
      <c r="BB93" s="166"/>
      <c r="BC93" s="166" cm="1">
        <f t="array" ref="BC93">SUMPRODUCT(
  IFERROR(--desp[valor],0)*
  (desp[nucleo]="UP ESTAÇÃO SÃO LUCAS")*
  (desp[categoria]=BC$7)*
  (desp[data.pagamento]&gt;=$A93)*
  (desp[data.pagamento]&lt;EOMONTH($A93,0)+1)
)</f>
        <v>0</v>
      </c>
      <c r="BD93" s="166" cm="1">
        <f t="array" ref="BD93">SUMPRODUCT(
  IFERROR(--desp[valor],0)*
  (desp[nucleo]="UP ESTAÇÃO SÃO LUCAS")*
  (desp[categoria]=BD$7)*
  (desp[data.pagamento]&gt;=$A93)*
  (desp[data.pagamento]&lt;EOMONTH($A93,0)+1)
)</f>
        <v>0</v>
      </c>
      <c r="BE93" s="166" cm="1">
        <f t="array" ref="BE93">SUMPRODUCT(
  IFERROR(--desp[valor],0)*
  (desp[nucleo]="UP ESTAÇÃO SÃO LUCAS")*
  (desp[categoria]=BE$7)*
  (desp[data.pagamento]&gt;=$A93)*
  (desp[data.pagamento]&lt;EOMONTH($A93,0)+1)
)</f>
        <v>0</v>
      </c>
      <c r="BF93" s="166" cm="1">
        <f t="array" ref="BF93">SUMPRODUCT(
  IFERROR(--desp[valor],0)*
  (desp[nucleo]="UP ESTAÇÃO SÃO LUCAS")*
  (desp[categoria]=BF$7)*
  (desp[data.pagamento]&gt;=$A93)*
  (desp[data.pagamento]&lt;EOMONTH($A93,0)+1)
)</f>
        <v>0</v>
      </c>
      <c r="BG93" s="166" cm="1">
        <f t="array" ref="BG93">SUMPRODUCT(
  IFERROR(--desp[valor],0)*
  (desp[nucleo]="UP ESTAÇÃO SÃO LUCAS")*
  (desp[categoria]=BG$7)*
  (desp[data.pagamento]&gt;=$A93)*
  (desp[data.pagamento]&lt;EOMONTH($A93,0)+1)
)</f>
        <v>0</v>
      </c>
      <c r="BH93" s="177">
        <f>COUNTIFS(
    estq[empresa], BH$6,
    estq[Data da venda / reserva], "&gt;=" &amp; $A93,
    estq[Data da venda / reserva], "&lt;"  &amp; EOMONTH($A93,0) + 1
)</f>
        <v>0</v>
      </c>
      <c r="BI93" s="178">
        <f ca="1">SUMIFS(rec.uni[2028-07-01],
INDIRECT("rec.uni[natureza]"),"pro.soluto",
INDIRECT("rec.uni[empresa]"),BI$6)</f>
        <v>0</v>
      </c>
      <c r="BJ93" s="182">
        <f ca="1">SUMIFS(rec.uni[2028-07-01],
INDIRECT("rec.uni[natureza]"),"parcela.fin.total.ik",
INDIRECT("rec.uni[empresa]"),BJ$6)</f>
        <v>0</v>
      </c>
      <c r="BK93" s="178">
        <f ca="1">SUMIFS(rec.uni[2028-07-01],
INDIRECT("rec.uni[natureza]"),"taxa.extra",
INDIRECT("rec.uni[empresa]"),BK$6)</f>
        <v>0</v>
      </c>
      <c r="BL93" s="166"/>
      <c r="BM93" s="166" cm="1">
        <f t="array" ref="BM93">SUMPRODUCT(
  IFERROR(--desp[valor],0)*
  (desp[nucleo]="UP POMPEIA")*
  (desp[categoria]=BM$7)*
  (desp[data.pagamento]&gt;=$A93)*
  (desp[data.pagamento]&lt;EOMONTH($A93,0)+1)
)</f>
        <v>0</v>
      </c>
      <c r="BN93" s="166" cm="1">
        <f t="array" ref="BN93">SUMPRODUCT(
  IFERROR(--desp[valor],0)*
  (desp[nucleo]="UP POMPEIA")*
  (desp[categoria]=BN$7)*
  (desp[data.pagamento]&gt;=$A93)*
  (desp[data.pagamento]&lt;EOMONTH($A93,0)+1)
)</f>
        <v>0</v>
      </c>
      <c r="BO93" s="166" cm="1">
        <f t="array" ref="BO93">SUMPRODUCT(
  IFERROR(--desp[valor],0)*
  (desp[nucleo]="UP POMPEIA")*
  (desp[categoria]=BO$7)*
  (desp[data.pagamento]&gt;=$A93)*
  (desp[data.pagamento]&lt;EOMONTH($A93,0)+1)
)</f>
        <v>0</v>
      </c>
      <c r="BP93" s="166" cm="1">
        <f t="array" ref="BP93">SUMPRODUCT(
  IFERROR(--desp[valor],0)*
  (desp[nucleo]="UP POMPEIA")*
  (desp[categoria]=BP$7)*
  (desp[data.pagamento]&gt;=$A93)*
  (desp[data.pagamento]&lt;EOMONTH($A93,0)+1)
)</f>
        <v>0</v>
      </c>
      <c r="BQ93" s="166" cm="1">
        <f t="array" ref="BQ93">SUMPRODUCT(
  IFERROR(--desp[valor],0)*
  (desp[nucleo]="UP POMPEIA")*
  (desp[categoria]=BQ$7)*
  (desp[data.pagamento]&gt;=$A93)*
  (desp[data.pagamento]&lt;EOMONTH($A93,0)+1)
)</f>
        <v>0</v>
      </c>
      <c r="BR93" s="177">
        <f>COUNTIFS(
    estq[empresa], BR$6,
    estq[Data da venda / reserva], "&gt;=" &amp; $A93,
    estq[Data da venda / reserva], "&lt;"  &amp; EOMONTH($A93,0) + 1
)</f>
        <v>0</v>
      </c>
      <c r="BS93" s="178">
        <f ca="1">SUMIFS(rec.uni[2028-07-01],
INDIRECT("rec.uni[natureza]"),"pro.soluto",
INDIRECT("rec.uni[empresa]"),BS$6)</f>
        <v>0</v>
      </c>
      <c r="BT93" s="182">
        <f ca="1">SUMIFS(rec.uni[2028-07-01],
INDIRECT("rec.uni[natureza]"),"parcela.fin.total.ik",
INDIRECT("rec.uni[empresa]"),BT$6)</f>
        <v>0</v>
      </c>
      <c r="BU93" s="178">
        <f ca="1">SUMIFS(rec.uni[2028-07-01],
INDIRECT("rec.uni[natureza]"),"taxa.extra",
INDIRECT("rec.uni[empresa]"),BU$6)</f>
        <v>0</v>
      </c>
      <c r="BV93" s="166"/>
      <c r="BW93" s="166" cm="1">
        <f t="array" ref="BW93">SUMPRODUCT(
  IFERROR(--desp[valor],0)*
  (desp[nucleo]="UP SAUDE")*
  (desp[categoria]=BW$7)*
  (desp[data.pagamento]&gt;=$A93)*
  (desp[data.pagamento]&lt;EOMONTH($A93,0)+1)
)</f>
        <v>0</v>
      </c>
      <c r="BX93" s="166" cm="1">
        <f t="array" ref="BX93">SUMPRODUCT(
  IFERROR(--desp[valor],0)*
  (desp[nucleo]="UP SAUDE")*
  (desp[categoria]=BX$7)*
  (desp[data.pagamento]&gt;=$A93)*
  (desp[data.pagamento]&lt;EOMONTH($A93,0)+1)
)</f>
        <v>0</v>
      </c>
      <c r="BY93" s="166" cm="1">
        <f t="array" ref="BY93">SUMPRODUCT(
  IFERROR(--desp[valor],0)*
  (desp[nucleo]="UP SAUDE")*
  (desp[categoria]=BY$7)*
  (desp[data.pagamento]&gt;=$A93)*
  (desp[data.pagamento]&lt;EOMONTH($A93,0)+1)
)</f>
        <v>0</v>
      </c>
      <c r="BZ93" s="166" cm="1">
        <f t="array" ref="BZ93">SUMPRODUCT(
  IFERROR(--desp[valor],0)*
  (desp[nucleo]="UP SAUDE")*
  (desp[categoria]=BZ$7)*
  (desp[data.pagamento]&gt;=$A93)*
  (desp[data.pagamento]&lt;EOMONTH($A93,0)+1)
)</f>
        <v>0</v>
      </c>
      <c r="CA93" s="166" cm="1">
        <f t="array" ref="CA93">SUMPRODUCT(
  IFERROR(--desp[valor],0)*
  (desp[nucleo]="UP SAUDE")*
  (desp[categoria]=CA$7)*
  (desp[data.pagamento]&gt;=$A93)*
  (desp[data.pagamento]&lt;EOMONTH($A93,0)+1)
)</f>
        <v>0</v>
      </c>
      <c r="CB93" s="177">
        <f>COUNTIFS(
    estq[empresa], CB$6,
    estq[Data da venda / reserva], "&gt;=" &amp; $A93,
    estq[Data da venda / reserva], "&lt;"  &amp; EOMONTH($A93,0) + 1
)</f>
        <v>0</v>
      </c>
      <c r="CC93" s="178">
        <f ca="1">SUMIFS(rec.uni[2028-07-01],
INDIRECT("rec.uni[natureza]"),"pro.soluto",
INDIRECT("rec.uni[empresa]"),CC$6)</f>
        <v>0</v>
      </c>
      <c r="CD93" s="178">
        <f ca="1">SUMIFS(rec.uni[2028-07-01],
INDIRECT("rec.uni[natureza]"),"repasse.cef.obra",
INDIRECT("rec.uni[empresa]"),CD$6)</f>
        <v>0</v>
      </c>
      <c r="CE93" s="181">
        <f ca="1">SUMIFS(rec.uni[2028-07-01],
INDIRECT("rec.uni[natureza]"),"repasse.cef.terreno",
INDIRECT("rec.uni[empresa]"),CE$6)</f>
        <v>0</v>
      </c>
      <c r="CF93" s="182"/>
      <c r="CG93" s="178">
        <f ca="1">SUMIFS(rec.uni[2028-07-01],
INDIRECT("rec.uni[natureza]"),"taxa.extra",
INDIRECT("rec.uni[empresa]"),CG$6)</f>
        <v>0</v>
      </c>
      <c r="CH93" s="166"/>
      <c r="CI93" s="166" cm="1">
        <f t="array" ref="CI93">SUMPRODUCT(
  IFERROR(--desp[valor],0)*
  (desp[nucleo]="UP ESTAÇÃO VILA SONIA")*
  (desp[categoria]=CI$7)*
  (desp[data.pagamento]&gt;=$A93)*
  (desp[data.pagamento]&lt;EOMONTH($A93,0)+1)
)</f>
        <v>0</v>
      </c>
      <c r="CJ93" s="166" cm="1">
        <f t="array" ref="CJ93">SUMPRODUCT(
  IFERROR(--desp[valor],0)*
  (desp[nucleo]="UP ESTAÇÃO VILA SONIA")*
  (desp[categoria]=CJ$7)*
  (desp[data.pagamento]&gt;=$A93)*
  (desp[data.pagamento]&lt;EOMONTH($A93,0)+1)
)</f>
        <v>0</v>
      </c>
      <c r="CK93" s="166" cm="1">
        <f t="array" ref="CK93">SUMPRODUCT(
  IFERROR(--desp[valor],0)*
  (desp[nucleo]="UP ESTAÇÃO VILA SONIA")*
  (desp[categoria]=CK$7)*
  (desp[data.pagamento]&gt;=$A93)*
  (desp[data.pagamento]&lt;EOMONTH($A93,0)+1)
)</f>
        <v>0</v>
      </c>
      <c r="CL93" s="166" cm="1">
        <f t="array" ref="CL93">SUMPRODUCT(
  IFERROR(--desp[valor],0)*
  (desp[nucleo]="UP ESTAÇÃO VILA SONIA")*
  (desp[categoria]=CL$7)*
  (desp[data.pagamento]&gt;=$A93)*
  (desp[data.pagamento]&lt;EOMONTH($A93,0)+1)
)</f>
        <v>0</v>
      </c>
      <c r="CM93" s="166" cm="1">
        <f t="array" ref="CM93">SUMPRODUCT(
  IFERROR(--desp[valor],0)*
  (desp[nucleo]="UP ESTAÇÃO VILA SONIA")*
  (desp[categoria]=CM$7)*
  (desp[data.pagamento]&gt;=$A93)*
  (desp[data.pagamento]&lt;EOMONTH($A93,0)+1)
)</f>
        <v>0</v>
      </c>
      <c r="CN93" s="177">
        <f>COUNTIFS(
    estq[empresa], CN$6,
    estq[Data da venda / reserva], "&gt;=" &amp; $A93,
    estq[Data da venda / reserva], "&lt;"  &amp; EOMONTH($A93,0) + 1
)</f>
        <v>0</v>
      </c>
      <c r="CO93" s="178">
        <f ca="1">SUMIFS(rec.uni[2028-07-01],
INDIRECT("rec.uni[natureza]"),"pro.soluto",
INDIRECT("rec.uni[empresa]"),CO$6)</f>
        <v>0</v>
      </c>
      <c r="CP93" s="178">
        <f ca="1">SUMIFS(rec.uni[2028-07-01],
INDIRECT("rec.uni[natureza]"),"repasse.cef.obra",
INDIRECT("rec.uni[empresa]"),CP$6)</f>
        <v>0</v>
      </c>
      <c r="CQ93" s="181">
        <f ca="1">SUMIFS(rec.uni[2028-07-01],
INDIRECT("rec.uni[natureza]"),"repasse.cef.terreno",
INDIRECT("rec.uni[empresa]"),CQ$6)</f>
        <v>0</v>
      </c>
      <c r="CR93" s="182"/>
      <c r="CS93" s="178">
        <f ca="1">SUMIFS(rec.uni[2028-07-01],
INDIRECT("rec.uni[natureza]"),"taxa.extra",
INDIRECT("rec.uni[empresa]"),CS$6)</f>
        <v>0</v>
      </c>
      <c r="CT93" s="166"/>
      <c r="CU93" s="166" cm="1">
        <f t="array" ref="CU93">SUMPRODUCT(
  IFERROR(--desp[valor],0)*
  (desp[nucleo]="UP MOVE VILA SONIA")*
  (desp[categoria]=CU$7)*
  (desp[data.pagamento]&gt;=$A93)*
  (desp[data.pagamento]&lt;EOMONTH($A93,0)+1)
)</f>
        <v>0</v>
      </c>
      <c r="CV93" s="166" cm="1">
        <f t="array" ref="CV93">SUMPRODUCT(
  IFERROR(--desp[valor],0)*
  (desp[nucleo]="UP MOVE VILA SONIA")*
  (desp[categoria]=CV$7)*
  (desp[data.pagamento]&gt;=$A93)*
  (desp[data.pagamento]&lt;EOMONTH($A93,0)+1)
)</f>
        <v>0</v>
      </c>
      <c r="CW93" s="166" cm="1">
        <f t="array" ref="CW93">SUMPRODUCT(
  IFERROR(--desp[valor],0)*
  (desp[nucleo]="UP MOVE VILA SONIA")*
  (desp[categoria]=CW$7)*
  (desp[data.pagamento]&gt;=$A93)*
  (desp[data.pagamento]&lt;EOMONTH($A93,0)+1)
)</f>
        <v>0</v>
      </c>
      <c r="CX93" s="166" cm="1">
        <f t="array" ref="CX93">SUMPRODUCT(
  IFERROR(--desp[valor],0)*
  (desp[nucleo]="UP MOVE VILA SONIA")*
  (desp[categoria]=CX$7)*
  (desp[data.pagamento]&gt;=$A93)*
  (desp[data.pagamento]&lt;EOMONTH($A93,0)+1)
)</f>
        <v>0</v>
      </c>
      <c r="CY93" s="291" cm="1">
        <f t="array" ref="CY93">SUMPRODUCT(
  IFERROR(--desp[valor],0)*
  (desp[nucleo]="UP MOVE VILA SONIA")*
  (desp[categoria]=CY$7)*
  (desp[data.pagamento]&gt;=$A93)*
  (desp[data.pagamento]&lt;EOMONTH($A93,0)+1)
)</f>
        <v>0</v>
      </c>
    </row>
    <row r="94" spans="1:103" x14ac:dyDescent="0.25">
      <c r="A94" s="176">
        <v>46966</v>
      </c>
      <c r="B94" s="177">
        <f>COUNTIFS(
    estq[empresa], B$6,
    estq[Data da venda / reserva], "&gt;=" &amp; $A94,
    estq[Data da venda / reserva], "&lt;"  &amp; EOMONTH($A94,0) + 1
)</f>
        <v>0</v>
      </c>
      <c r="C94" s="178">
        <f ca="1">SUMIFS(rec.uni[2028-08-01],
INDIRECT("rec.uni[natureza]"),"pro.soluto",
INDIRECT("rec.uni[empresa]"),C$6)</f>
        <v>0</v>
      </c>
      <c r="D94" s="178">
        <f ca="1">SUMIFS(rec.uni[2028-08-01],
INDIRECT("rec.uni[natureza]"),"repasse.cef.obra",
INDIRECT("rec.uni[empresa]"),D$6)</f>
        <v>0</v>
      </c>
      <c r="E94" s="178">
        <f ca="1">SUMIFS(rec.uni[2028-08-01],
INDIRECT("rec.uni[natureza]"),"repasse.cef.terreno",
INDIRECT("rec.uni[empresa]"),E$6)</f>
        <v>0</v>
      </c>
      <c r="F94" s="182"/>
      <c r="G94" s="178">
        <f ca="1">SUMIFS(rec.uni[2028-08-01],
INDIRECT("rec.uni[natureza]"),"taxa.extra",
INDIRECT("rec.uni[empresa]"),G$6)</f>
        <v>0</v>
      </c>
      <c r="H94" s="166"/>
      <c r="I94" s="166" cm="1">
        <f t="array" ref="I94">SUMPRODUCT(
  IFERROR(--desp[valor],0)*
  (desp[nucleo]="UP JARDIM PRUDENCIA")*
  (desp[categoria]=I$7)*
  (desp[data.pagamento]&gt;=$A94)*
  (desp[data.pagamento]&lt;EOMONTH($A94,0)+1)
)</f>
        <v>0</v>
      </c>
      <c r="J94" s="166" cm="1">
        <f t="array" ref="J94">SUMPRODUCT(
  IFERROR(--desp[valor],0)*
  (desp[nucleo]="UP JARDIM PRUDENCIA")*
  (desp[categoria]=J$7)*
  (desp[data.pagamento]&gt;=$A94)*
  (desp[data.pagamento]&lt;EOMONTH($A94,0)+1)
)</f>
        <v>0</v>
      </c>
      <c r="K94" s="166" cm="1">
        <f t="array" ref="K94">SUMPRODUCT(
  IFERROR(--desp[valor],0)*
  (desp[nucleo]="UP JARDIM PRUDENCIA")*
  (desp[categoria]=K$7)*
  (desp[data.pagamento]&gt;=$A94)*
  (desp[data.pagamento]&lt;EOMONTH($A94,0)+1)
)</f>
        <v>0</v>
      </c>
      <c r="L94" s="166" cm="1">
        <f t="array" ref="L94">SUMPRODUCT(
  IFERROR(--desp[valor],0)*
  (desp[nucleo]="UP JARDIM PRUDENCIA")*
  (desp[categoria]=L$7)*
  (desp[data.pagamento]&gt;=$A94)*
  (desp[data.pagamento]&lt;EOMONTH($A94,0)+1)
)</f>
        <v>0</v>
      </c>
      <c r="M94" s="166" cm="1">
        <f t="array" ref="M94">SUMPRODUCT(
  IFERROR(--desp[valor],0)*
  (desp[nucleo]="UP JARDIM PRUDENCIA")*
  (desp[categoria]=M$7)*
  (desp[data.pagamento]&gt;=$A94)*
  (desp[data.pagamento]&lt;EOMONTH($A94,0)+1)
)</f>
        <v>0</v>
      </c>
      <c r="N94" s="177">
        <f>COUNTIFS(
    estq[empresa], N$6,
    estq[Data da venda / reserva], "&gt;=" &amp; $A94,
    estq[Data da venda / reserva], "&lt;"  &amp; EOMONTH($A94,0) + 1
)</f>
        <v>0</v>
      </c>
      <c r="O94" s="178">
        <f ca="1">SUMIFS(rec.uni[2028-08-01],
INDIRECT("rec.uni[natureza]"),"pro.soluto",
INDIRECT("rec.uni[empresa]"),O$6)</f>
        <v>0</v>
      </c>
      <c r="P94" s="178">
        <f ca="1">SUMIFS(rec.uni[2028-08-01],
INDIRECT("rec.uni[natureza]"),"repasse.cef.obra",
INDIRECT("rec.uni[empresa]"),P$6)</f>
        <v>0</v>
      </c>
      <c r="Q94" s="178">
        <f ca="1">SUMIFS(rec.uni[2028-08-01],
INDIRECT("rec.uni[natureza]"),"repasse.cef.terreno",
INDIRECT("rec.uni[empresa]"),Q$6)</f>
        <v>0</v>
      </c>
      <c r="R94" s="182"/>
      <c r="S94" s="178">
        <f ca="1">SUMIFS(rec.uni[2028-08-01],
INDIRECT("rec.uni[natureza]"),"taxa.extra",
INDIRECT("rec.uni[empresa]"),S$6)</f>
        <v>0</v>
      </c>
      <c r="T94" s="166"/>
      <c r="U94" s="166" cm="1">
        <f t="array" ref="U94">SUMPRODUCT(
  IFERROR(--desp[valor],0)*
  (desp[nucleo]="UP VILA SONIA")*
  (desp[categoria]=U$7)*
  (desp[data.pagamento]&gt;=$A94)*
  (desp[data.pagamento]&lt;EOMONTH($A94,0)+1)
)</f>
        <v>0</v>
      </c>
      <c r="V94" s="166" cm="1">
        <f t="array" ref="V94">SUMPRODUCT(
  IFERROR(--desp[valor],0)*
  (desp[nucleo]="UP VILA SONIA")*
  (desp[categoria]=V$7)*
  (desp[data.pagamento]&gt;=$A94)*
  (desp[data.pagamento]&lt;EOMONTH($A94,0)+1)
)</f>
        <v>0</v>
      </c>
      <c r="W94" s="166" cm="1">
        <f t="array" ref="W94">SUMPRODUCT(
  IFERROR(--desp[valor],0)*
  (desp[nucleo]="UP VILA SONIA")*
  (desp[categoria]=W$7)*
  (desp[data.pagamento]&gt;=$A94)*
  (desp[data.pagamento]&lt;EOMONTH($A94,0)+1)
)</f>
        <v>0</v>
      </c>
      <c r="X94" s="166" cm="1">
        <f t="array" ref="X94">SUMPRODUCT(
  IFERROR(--desp[valor],0)*
  (desp[nucleo]="UP VILA SONIA")*
  (desp[categoria]=X$7)*
  (desp[data.pagamento]&gt;=$A94)*
  (desp[data.pagamento]&lt;EOMONTH($A94,0)+1)
)</f>
        <v>0</v>
      </c>
      <c r="Y94" s="166" cm="1">
        <f t="array" ref="Y94">SUMPRODUCT(
  IFERROR(--desp[valor],0)*
  (desp[nucleo]="UP VILA SONIA")*
  (desp[categoria]=Y$7)*
  (desp[data.pagamento]&gt;=$A94)*
  (desp[data.pagamento]&lt;EOMONTH($A94,0)+1)
)</f>
        <v>0</v>
      </c>
      <c r="Z94" s="177">
        <f>COUNTIFS(
    estq[empresa], Z$6,
    estq[Data da venda / reserva], "&gt;=" &amp; $A94,
    estq[Data da venda / reserva], "&lt;"  &amp; EOMONTH($A94,0) + 1
)</f>
        <v>0</v>
      </c>
      <c r="AA94" s="178">
        <f ca="1">SUMIFS(rec.uni[2028-08-01],
INDIRECT("rec.uni[natureza]"),"pro.soluto",
INDIRECT("rec.uni[empresa]"),AA$6)</f>
        <v>0</v>
      </c>
      <c r="AB94" s="182">
        <f ca="1">SUMIFS(rec.uni[2028-08-01],
INDIRECT("rec.uni[natureza]"),"parcela.fin.total.ik",
INDIRECT("rec.uni[empresa]"),AB$6)</f>
        <v>0</v>
      </c>
      <c r="AC94" s="178">
        <f ca="1">SUMIFS(rec.uni[2028-08-01],
INDIRECT("rec.uni[natureza]"),"taxa.extra",
INDIRECT("rec.uni[empresa]"),AC$6)</f>
        <v>0</v>
      </c>
      <c r="AD94" s="166"/>
      <c r="AE94" s="166" cm="1">
        <f t="array" ref="AE94">SUMPRODUCT(
  IFERROR(--desp[valor],0)*
  (desp[nucleo]="UP CAMPO BELO")*
  (desp[categoria]=AE$7)*
  (desp[data.pagamento]&gt;=$A94)*
  (desp[data.pagamento]&lt;EOMONTH($A94,0)+1)
)</f>
        <v>0</v>
      </c>
      <c r="AF94" s="166" cm="1">
        <f t="array" ref="AF94">SUMPRODUCT(
  IFERROR(--desp[valor],0)*
  (desp[nucleo]="UP CAMPO BELO")*
  (desp[categoria]=AF$7)*
  (desp[data.pagamento]&gt;=$A94)*
  (desp[data.pagamento]&lt;EOMONTH($A94,0)+1)
)</f>
        <v>0</v>
      </c>
      <c r="AG94" s="166" cm="1">
        <f t="array" ref="AG94">SUMPRODUCT(
  IFERROR(--desp[valor],0)*
  (desp[nucleo]="UP CAMPO BELO")*
  (desp[categoria]=AG$7)*
  (desp[data.pagamento]&gt;=$A94)*
  (desp[data.pagamento]&lt;EOMONTH($A94,0)+1)
)</f>
        <v>0</v>
      </c>
      <c r="AH94" s="166" cm="1">
        <f t="array" ref="AH94">SUMPRODUCT(
  IFERROR(--desp[valor],0)*
  (desp[nucleo]="UP CAMPO BELO")*
  (desp[categoria]=AH$7)*
  (desp[data.pagamento]&gt;=$A94)*
  (desp[data.pagamento]&lt;EOMONTH($A94,0)+1)
)</f>
        <v>0</v>
      </c>
      <c r="AI94" s="166" cm="1">
        <f t="array" ref="AI94">SUMPRODUCT(
  IFERROR(--desp[valor],0)*
  (desp[nucleo]="UP CAMPO BELO")*
  (desp[categoria]=AI$7)*
  (desp[data.pagamento]&gt;=$A94)*
  (desp[data.pagamento]&lt;EOMONTH($A94,0)+1)
)</f>
        <v>0</v>
      </c>
      <c r="AJ94" s="177">
        <f>COUNTIFS(
    estq[empresa], AJ$6,
    estq[Data da venda / reserva], "&gt;=" &amp; $A94,
    estq[Data da venda / reserva], "&lt;"  &amp; EOMONTH($A94,0) + 1
)</f>
        <v>0</v>
      </c>
      <c r="AK94" s="178">
        <f ca="1">SUMIFS(rec.uni[2028-08-01],
INDIRECT("rec.uni[natureza]"),"pro.soluto",
INDIRECT("rec.uni[empresa]"),AK$6)</f>
        <v>0</v>
      </c>
      <c r="AL94" s="178">
        <f ca="1">SUMIFS(rec.uni[2028-08-01],
INDIRECT("rec.uni[natureza]"),"repasse.cef.obra",
INDIRECT("rec.uni[empresa]"),AL$6)</f>
        <v>0</v>
      </c>
      <c r="AM94" s="181">
        <f ca="1">SUMIFS(rec.uni[2028-08-01],
INDIRECT("rec.uni[natureza]"),"repasse.cef.terreno",
INDIRECT("rec.uni[empresa]"),AM$6)</f>
        <v>0</v>
      </c>
      <c r="AN94" s="182"/>
      <c r="AO94" s="178">
        <f ca="1">SUMIFS(rec.uni[2028-08-01],
INDIRECT("rec.uni[natureza]"),"taxa.extra",
INDIRECT("rec.uni[empresa]"),AO$6)</f>
        <v>0</v>
      </c>
      <c r="AP94" s="166"/>
      <c r="AQ94" s="166" cm="1">
        <f t="array" ref="AQ94">SUMPRODUCT(
  IFERROR(--desp[valor],0)*
  (desp[nucleo]="UP SELECT VILA SONIA")*
  (desp[categoria]=AQ$7)*
  (desp[data.pagamento]&gt;=$A94)*
  (desp[data.pagamento]&lt;EOMONTH($A94,0)+1)
)</f>
        <v>0</v>
      </c>
      <c r="AR94" s="166" cm="1">
        <f t="array" ref="AR94">SUMPRODUCT(
  IFERROR(--desp[valor],0)*
  (desp[nucleo]="UP SELECT VILA SONIA")*
  (desp[categoria]=AR$7)*
  (desp[data.pagamento]&gt;=$A94)*
  (desp[data.pagamento]&lt;EOMONTH($A94,0)+1)
)</f>
        <v>0</v>
      </c>
      <c r="AS94" s="166" cm="1">
        <f t="array" ref="AS94">SUMPRODUCT(
  IFERROR(--desp[valor],0)*
  (desp[nucleo]="UP SELECT VILA SONIA")*
  (desp[categoria]=AS$7)*
  (desp[data.pagamento]&gt;=$A94)*
  (desp[data.pagamento]&lt;EOMONTH($A94,0)+1)
)</f>
        <v>0</v>
      </c>
      <c r="AT94" s="166" cm="1">
        <f t="array" ref="AT94">SUMPRODUCT(
  IFERROR(--desp[valor],0)*
  (desp[nucleo]="UP SELECT VILA SONIA")*
  (desp[categoria]=AT$7)*
  (desp[data.pagamento]&gt;=$A94)*
  (desp[data.pagamento]&lt;EOMONTH($A94,0)+1)
)</f>
        <v>0</v>
      </c>
      <c r="AU94" s="166" cm="1">
        <f t="array" ref="AU94">SUMPRODUCT(
  IFERROR(--desp[valor],0)*
  (desp[nucleo]="UP SELECT VILA SONIA")*
  (desp[categoria]=AU$7)*
  (desp[data.pagamento]&gt;=$A94)*
  (desp[data.pagamento]&lt;EOMONTH($A94,0)+1)
)</f>
        <v>0</v>
      </c>
      <c r="AV94" s="177">
        <f>COUNTIFS(
    estq[empresa], AV$6,
    estq[Data da venda / reserva], "&gt;=" &amp; $A94,
    estq[Data da venda / reserva], "&lt;"  &amp; EOMONTH($A94,0) + 1
)</f>
        <v>0</v>
      </c>
      <c r="AW94" s="178">
        <f ca="1">SUMIFS(rec.uni[2028-08-01],
INDIRECT("rec.uni[natureza]"),"pro.soluto",
INDIRECT("rec.uni[empresa]"),AW$6)</f>
        <v>0</v>
      </c>
      <c r="AX94" s="178">
        <f ca="1">SUMIFS(rec.uni[2028-08-01],
INDIRECT("rec.uni[natureza]"),"repasse.cef.obra",
INDIRECT("rec.uni[empresa]"),AX$6)</f>
        <v>0</v>
      </c>
      <c r="AY94" s="181">
        <f ca="1">SUMIFS(rec.uni[2028-08-01],
INDIRECT("rec.uni[natureza]"),"repasse.cef.terreno",
INDIRECT("rec.uni[empresa]"),AY$6)</f>
        <v>0</v>
      </c>
      <c r="AZ94" s="182"/>
      <c r="BA94" s="178">
        <f ca="1">SUMIFS(rec.uni[2028-08-01],
INDIRECT("rec.uni[natureza]"),"taxa.extra",
INDIRECT("rec.uni[empresa]"),BA$6)</f>
        <v>0</v>
      </c>
      <c r="BB94" s="166"/>
      <c r="BC94" s="166" cm="1">
        <f t="array" ref="BC94">SUMPRODUCT(
  IFERROR(--desp[valor],0)*
  (desp[nucleo]="UP ESTAÇÃO SÃO LUCAS")*
  (desp[categoria]=BC$7)*
  (desp[data.pagamento]&gt;=$A94)*
  (desp[data.pagamento]&lt;EOMONTH($A94,0)+1)
)</f>
        <v>0</v>
      </c>
      <c r="BD94" s="166" cm="1">
        <f t="array" ref="BD94">SUMPRODUCT(
  IFERROR(--desp[valor],0)*
  (desp[nucleo]="UP ESTAÇÃO SÃO LUCAS")*
  (desp[categoria]=BD$7)*
  (desp[data.pagamento]&gt;=$A94)*
  (desp[data.pagamento]&lt;EOMONTH($A94,0)+1)
)</f>
        <v>0</v>
      </c>
      <c r="BE94" s="166" cm="1">
        <f t="array" ref="BE94">SUMPRODUCT(
  IFERROR(--desp[valor],0)*
  (desp[nucleo]="UP ESTAÇÃO SÃO LUCAS")*
  (desp[categoria]=BE$7)*
  (desp[data.pagamento]&gt;=$A94)*
  (desp[data.pagamento]&lt;EOMONTH($A94,0)+1)
)</f>
        <v>0</v>
      </c>
      <c r="BF94" s="166" cm="1">
        <f t="array" ref="BF94">SUMPRODUCT(
  IFERROR(--desp[valor],0)*
  (desp[nucleo]="UP ESTAÇÃO SÃO LUCAS")*
  (desp[categoria]=BF$7)*
  (desp[data.pagamento]&gt;=$A94)*
  (desp[data.pagamento]&lt;EOMONTH($A94,0)+1)
)</f>
        <v>0</v>
      </c>
      <c r="BG94" s="166" cm="1">
        <f t="array" ref="BG94">SUMPRODUCT(
  IFERROR(--desp[valor],0)*
  (desp[nucleo]="UP ESTAÇÃO SÃO LUCAS")*
  (desp[categoria]=BG$7)*
  (desp[data.pagamento]&gt;=$A94)*
  (desp[data.pagamento]&lt;EOMONTH($A94,0)+1)
)</f>
        <v>0</v>
      </c>
      <c r="BH94" s="177">
        <f>COUNTIFS(
    estq[empresa], BH$6,
    estq[Data da venda / reserva], "&gt;=" &amp; $A94,
    estq[Data da venda / reserva], "&lt;"  &amp; EOMONTH($A94,0) + 1
)</f>
        <v>0</v>
      </c>
      <c r="BI94" s="178">
        <f ca="1">SUMIFS(rec.uni[2028-08-01],
INDIRECT("rec.uni[natureza]"),"pro.soluto",
INDIRECT("rec.uni[empresa]"),BI$6)</f>
        <v>0</v>
      </c>
      <c r="BJ94" s="182">
        <f ca="1">SUMIFS(rec.uni[2028-08-01],
INDIRECT("rec.uni[natureza]"),"parcela.fin.total.ik",
INDIRECT("rec.uni[empresa]"),BJ$6)</f>
        <v>0</v>
      </c>
      <c r="BK94" s="178">
        <f ca="1">SUMIFS(rec.uni[2028-08-01],
INDIRECT("rec.uni[natureza]"),"taxa.extra",
INDIRECT("rec.uni[empresa]"),BK$6)</f>
        <v>0</v>
      </c>
      <c r="BL94" s="166"/>
      <c r="BM94" s="166" cm="1">
        <f t="array" ref="BM94">SUMPRODUCT(
  IFERROR(--desp[valor],0)*
  (desp[nucleo]="UP POMPEIA")*
  (desp[categoria]=BM$7)*
  (desp[data.pagamento]&gt;=$A94)*
  (desp[data.pagamento]&lt;EOMONTH($A94,0)+1)
)</f>
        <v>0</v>
      </c>
      <c r="BN94" s="166" cm="1">
        <f t="array" ref="BN94">SUMPRODUCT(
  IFERROR(--desp[valor],0)*
  (desp[nucleo]="UP POMPEIA")*
  (desp[categoria]=BN$7)*
  (desp[data.pagamento]&gt;=$A94)*
  (desp[data.pagamento]&lt;EOMONTH($A94,0)+1)
)</f>
        <v>0</v>
      </c>
      <c r="BO94" s="166" cm="1">
        <f t="array" ref="BO94">SUMPRODUCT(
  IFERROR(--desp[valor],0)*
  (desp[nucleo]="UP POMPEIA")*
  (desp[categoria]=BO$7)*
  (desp[data.pagamento]&gt;=$A94)*
  (desp[data.pagamento]&lt;EOMONTH($A94,0)+1)
)</f>
        <v>0</v>
      </c>
      <c r="BP94" s="166" cm="1">
        <f t="array" ref="BP94">SUMPRODUCT(
  IFERROR(--desp[valor],0)*
  (desp[nucleo]="UP POMPEIA")*
  (desp[categoria]=BP$7)*
  (desp[data.pagamento]&gt;=$A94)*
  (desp[data.pagamento]&lt;EOMONTH($A94,0)+1)
)</f>
        <v>0</v>
      </c>
      <c r="BQ94" s="166" cm="1">
        <f t="array" ref="BQ94">SUMPRODUCT(
  IFERROR(--desp[valor],0)*
  (desp[nucleo]="UP POMPEIA")*
  (desp[categoria]=BQ$7)*
  (desp[data.pagamento]&gt;=$A94)*
  (desp[data.pagamento]&lt;EOMONTH($A94,0)+1)
)</f>
        <v>0</v>
      </c>
      <c r="BR94" s="177">
        <f>COUNTIFS(
    estq[empresa], BR$6,
    estq[Data da venda / reserva], "&gt;=" &amp; $A94,
    estq[Data da venda / reserva], "&lt;"  &amp; EOMONTH($A94,0) + 1
)</f>
        <v>0</v>
      </c>
      <c r="BS94" s="178">
        <f ca="1">SUMIFS(rec.uni[2028-08-01],
INDIRECT("rec.uni[natureza]"),"pro.soluto",
INDIRECT("rec.uni[empresa]"),BS$6)</f>
        <v>0</v>
      </c>
      <c r="BT94" s="182">
        <f ca="1">SUMIFS(rec.uni[2028-08-01],
INDIRECT("rec.uni[natureza]"),"parcela.fin.total.ik",
INDIRECT("rec.uni[empresa]"),BT$6)</f>
        <v>0</v>
      </c>
      <c r="BU94" s="178">
        <f ca="1">SUMIFS(rec.uni[2028-08-01],
INDIRECT("rec.uni[natureza]"),"taxa.extra",
INDIRECT("rec.uni[empresa]"),BU$6)</f>
        <v>0</v>
      </c>
      <c r="BV94" s="166"/>
      <c r="BW94" s="166" cm="1">
        <f t="array" ref="BW94">SUMPRODUCT(
  IFERROR(--desp[valor],0)*
  (desp[nucleo]="UP SAUDE")*
  (desp[categoria]=BW$7)*
  (desp[data.pagamento]&gt;=$A94)*
  (desp[data.pagamento]&lt;EOMONTH($A94,0)+1)
)</f>
        <v>0</v>
      </c>
      <c r="BX94" s="166" cm="1">
        <f t="array" ref="BX94">SUMPRODUCT(
  IFERROR(--desp[valor],0)*
  (desp[nucleo]="UP SAUDE")*
  (desp[categoria]=BX$7)*
  (desp[data.pagamento]&gt;=$A94)*
  (desp[data.pagamento]&lt;EOMONTH($A94,0)+1)
)</f>
        <v>0</v>
      </c>
      <c r="BY94" s="166" cm="1">
        <f t="array" ref="BY94">SUMPRODUCT(
  IFERROR(--desp[valor],0)*
  (desp[nucleo]="UP SAUDE")*
  (desp[categoria]=BY$7)*
  (desp[data.pagamento]&gt;=$A94)*
  (desp[data.pagamento]&lt;EOMONTH($A94,0)+1)
)</f>
        <v>0</v>
      </c>
      <c r="BZ94" s="166" cm="1">
        <f t="array" ref="BZ94">SUMPRODUCT(
  IFERROR(--desp[valor],0)*
  (desp[nucleo]="UP SAUDE")*
  (desp[categoria]=BZ$7)*
  (desp[data.pagamento]&gt;=$A94)*
  (desp[data.pagamento]&lt;EOMONTH($A94,0)+1)
)</f>
        <v>0</v>
      </c>
      <c r="CA94" s="166" cm="1">
        <f t="array" ref="CA94">SUMPRODUCT(
  IFERROR(--desp[valor],0)*
  (desp[nucleo]="UP SAUDE")*
  (desp[categoria]=CA$7)*
  (desp[data.pagamento]&gt;=$A94)*
  (desp[data.pagamento]&lt;EOMONTH($A94,0)+1)
)</f>
        <v>0</v>
      </c>
      <c r="CB94" s="177">
        <f>COUNTIFS(
    estq[empresa], CB$6,
    estq[Data da venda / reserva], "&gt;=" &amp; $A94,
    estq[Data da venda / reserva], "&lt;"  &amp; EOMONTH($A94,0) + 1
)</f>
        <v>0</v>
      </c>
      <c r="CC94" s="178">
        <f ca="1">SUMIFS(rec.uni[2028-08-01],
INDIRECT("rec.uni[natureza]"),"pro.soluto",
INDIRECT("rec.uni[empresa]"),CC$6)</f>
        <v>0</v>
      </c>
      <c r="CD94" s="178">
        <f ca="1">SUMIFS(rec.uni[2028-08-01],
INDIRECT("rec.uni[natureza]"),"repasse.cef.obra",
INDIRECT("rec.uni[empresa]"),CD$6)</f>
        <v>0</v>
      </c>
      <c r="CE94" s="181">
        <f ca="1">SUMIFS(rec.uni[2028-08-01],
INDIRECT("rec.uni[natureza]"),"repasse.cef.terreno",
INDIRECT("rec.uni[empresa]"),CE$6)</f>
        <v>0</v>
      </c>
      <c r="CF94" s="182"/>
      <c r="CG94" s="178">
        <f ca="1">SUMIFS(rec.uni[2028-08-01],
INDIRECT("rec.uni[natureza]"),"taxa.extra",
INDIRECT("rec.uni[empresa]"),CG$6)</f>
        <v>0</v>
      </c>
      <c r="CH94" s="166"/>
      <c r="CI94" s="166" cm="1">
        <f t="array" ref="CI94">SUMPRODUCT(
  IFERROR(--desp[valor],0)*
  (desp[nucleo]="UP ESTAÇÃO VILA SONIA")*
  (desp[categoria]=CI$7)*
  (desp[data.pagamento]&gt;=$A94)*
  (desp[data.pagamento]&lt;EOMONTH($A94,0)+1)
)</f>
        <v>0</v>
      </c>
      <c r="CJ94" s="166" cm="1">
        <f t="array" ref="CJ94">SUMPRODUCT(
  IFERROR(--desp[valor],0)*
  (desp[nucleo]="UP ESTAÇÃO VILA SONIA")*
  (desp[categoria]=CJ$7)*
  (desp[data.pagamento]&gt;=$A94)*
  (desp[data.pagamento]&lt;EOMONTH($A94,0)+1)
)</f>
        <v>0</v>
      </c>
      <c r="CK94" s="166" cm="1">
        <f t="array" ref="CK94">SUMPRODUCT(
  IFERROR(--desp[valor],0)*
  (desp[nucleo]="UP ESTAÇÃO VILA SONIA")*
  (desp[categoria]=CK$7)*
  (desp[data.pagamento]&gt;=$A94)*
  (desp[data.pagamento]&lt;EOMONTH($A94,0)+1)
)</f>
        <v>0</v>
      </c>
      <c r="CL94" s="166" cm="1">
        <f t="array" ref="CL94">SUMPRODUCT(
  IFERROR(--desp[valor],0)*
  (desp[nucleo]="UP ESTAÇÃO VILA SONIA")*
  (desp[categoria]=CL$7)*
  (desp[data.pagamento]&gt;=$A94)*
  (desp[data.pagamento]&lt;EOMONTH($A94,0)+1)
)</f>
        <v>0</v>
      </c>
      <c r="CM94" s="166" cm="1">
        <f t="array" ref="CM94">SUMPRODUCT(
  IFERROR(--desp[valor],0)*
  (desp[nucleo]="UP ESTAÇÃO VILA SONIA")*
  (desp[categoria]=CM$7)*
  (desp[data.pagamento]&gt;=$A94)*
  (desp[data.pagamento]&lt;EOMONTH($A94,0)+1)
)</f>
        <v>0</v>
      </c>
      <c r="CN94" s="177">
        <f>COUNTIFS(
    estq[empresa], CN$6,
    estq[Data da venda / reserva], "&gt;=" &amp; $A94,
    estq[Data da venda / reserva], "&lt;"  &amp; EOMONTH($A94,0) + 1
)</f>
        <v>0</v>
      </c>
      <c r="CO94" s="178">
        <f ca="1">SUMIFS(rec.uni[2028-08-01],
INDIRECT("rec.uni[natureza]"),"pro.soluto",
INDIRECT("rec.uni[empresa]"),CO$6)</f>
        <v>0</v>
      </c>
      <c r="CP94" s="178">
        <f ca="1">SUMIFS(rec.uni[2028-08-01],
INDIRECT("rec.uni[natureza]"),"repasse.cef.obra",
INDIRECT("rec.uni[empresa]"),CP$6)</f>
        <v>0</v>
      </c>
      <c r="CQ94" s="181">
        <f ca="1">SUMIFS(rec.uni[2028-08-01],
INDIRECT("rec.uni[natureza]"),"repasse.cef.terreno",
INDIRECT("rec.uni[empresa]"),CQ$6)</f>
        <v>0</v>
      </c>
      <c r="CR94" s="182"/>
      <c r="CS94" s="178">
        <f ca="1">SUMIFS(rec.uni[2028-08-01],
INDIRECT("rec.uni[natureza]"),"taxa.extra",
INDIRECT("rec.uni[empresa]"),CS$6)</f>
        <v>0</v>
      </c>
      <c r="CT94" s="166"/>
      <c r="CU94" s="166" cm="1">
        <f t="array" ref="CU94">SUMPRODUCT(
  IFERROR(--desp[valor],0)*
  (desp[nucleo]="UP MOVE VILA SONIA")*
  (desp[categoria]=CU$7)*
  (desp[data.pagamento]&gt;=$A94)*
  (desp[data.pagamento]&lt;EOMONTH($A94,0)+1)
)</f>
        <v>0</v>
      </c>
      <c r="CV94" s="166" cm="1">
        <f t="array" ref="CV94">SUMPRODUCT(
  IFERROR(--desp[valor],0)*
  (desp[nucleo]="UP MOVE VILA SONIA")*
  (desp[categoria]=CV$7)*
  (desp[data.pagamento]&gt;=$A94)*
  (desp[data.pagamento]&lt;EOMONTH($A94,0)+1)
)</f>
        <v>0</v>
      </c>
      <c r="CW94" s="166" cm="1">
        <f t="array" ref="CW94">SUMPRODUCT(
  IFERROR(--desp[valor],0)*
  (desp[nucleo]="UP MOVE VILA SONIA")*
  (desp[categoria]=CW$7)*
  (desp[data.pagamento]&gt;=$A94)*
  (desp[data.pagamento]&lt;EOMONTH($A94,0)+1)
)</f>
        <v>0</v>
      </c>
      <c r="CX94" s="166" cm="1">
        <f t="array" ref="CX94">SUMPRODUCT(
  IFERROR(--desp[valor],0)*
  (desp[nucleo]="UP MOVE VILA SONIA")*
  (desp[categoria]=CX$7)*
  (desp[data.pagamento]&gt;=$A94)*
  (desp[data.pagamento]&lt;EOMONTH($A94,0)+1)
)</f>
        <v>0</v>
      </c>
      <c r="CY94" s="291" cm="1">
        <f t="array" ref="CY94">SUMPRODUCT(
  IFERROR(--desp[valor],0)*
  (desp[nucleo]="UP MOVE VILA SONIA")*
  (desp[categoria]=CY$7)*
  (desp[data.pagamento]&gt;=$A94)*
  (desp[data.pagamento]&lt;EOMONTH($A94,0)+1)
)</f>
        <v>0</v>
      </c>
    </row>
    <row r="95" spans="1:103" x14ac:dyDescent="0.25">
      <c r="A95" s="176">
        <v>46997</v>
      </c>
      <c r="B95" s="177">
        <f>COUNTIFS(
    estq[empresa], B$6,
    estq[Data da venda / reserva], "&gt;=" &amp; $A95,
    estq[Data da venda / reserva], "&lt;"  &amp; EOMONTH($A95,0) + 1
)</f>
        <v>0</v>
      </c>
      <c r="C95" s="178">
        <f ca="1">SUMIFS(rec.uni[2028-09-01],
INDIRECT("rec.uni[natureza]"),"pro.soluto",
INDIRECT("rec.uni[empresa]"),C$6)</f>
        <v>0</v>
      </c>
      <c r="D95" s="178">
        <f ca="1">SUMIFS(rec.uni[2028-09-01],
INDIRECT("rec.uni[natureza]"),"repasse.cef.obra",
INDIRECT("rec.uni[empresa]"),D$6)</f>
        <v>0</v>
      </c>
      <c r="E95" s="178">
        <f ca="1">SUMIFS(rec.uni[2028-09-01],
INDIRECT("rec.uni[natureza]"),"repasse.cef.terreno",
INDIRECT("rec.uni[empresa]"),E$6)</f>
        <v>0</v>
      </c>
      <c r="F95" s="182"/>
      <c r="G95" s="178">
        <f ca="1">SUMIFS(rec.uni[2028-09-01],
INDIRECT("rec.uni[natureza]"),"taxa.extra",
INDIRECT("rec.uni[empresa]"),G$6)</f>
        <v>0</v>
      </c>
      <c r="H95" s="166"/>
      <c r="I95" s="166" cm="1">
        <f t="array" ref="I95">SUMPRODUCT(
  IFERROR(--desp[valor],0)*
  (desp[nucleo]="UP JARDIM PRUDENCIA")*
  (desp[categoria]=I$7)*
  (desp[data.pagamento]&gt;=$A95)*
  (desp[data.pagamento]&lt;EOMONTH($A95,0)+1)
)</f>
        <v>0</v>
      </c>
      <c r="J95" s="166" cm="1">
        <f t="array" ref="J95">SUMPRODUCT(
  IFERROR(--desp[valor],0)*
  (desp[nucleo]="UP JARDIM PRUDENCIA")*
  (desp[categoria]=J$7)*
  (desp[data.pagamento]&gt;=$A95)*
  (desp[data.pagamento]&lt;EOMONTH($A95,0)+1)
)</f>
        <v>0</v>
      </c>
      <c r="K95" s="166" cm="1">
        <f t="array" ref="K95">SUMPRODUCT(
  IFERROR(--desp[valor],0)*
  (desp[nucleo]="UP JARDIM PRUDENCIA")*
  (desp[categoria]=K$7)*
  (desp[data.pagamento]&gt;=$A95)*
  (desp[data.pagamento]&lt;EOMONTH($A95,0)+1)
)</f>
        <v>0</v>
      </c>
      <c r="L95" s="166" cm="1">
        <f t="array" ref="L95">SUMPRODUCT(
  IFERROR(--desp[valor],0)*
  (desp[nucleo]="UP JARDIM PRUDENCIA")*
  (desp[categoria]=L$7)*
  (desp[data.pagamento]&gt;=$A95)*
  (desp[data.pagamento]&lt;EOMONTH($A95,0)+1)
)</f>
        <v>0</v>
      </c>
      <c r="M95" s="166" cm="1">
        <f t="array" ref="M95">SUMPRODUCT(
  IFERROR(--desp[valor],0)*
  (desp[nucleo]="UP JARDIM PRUDENCIA")*
  (desp[categoria]=M$7)*
  (desp[data.pagamento]&gt;=$A95)*
  (desp[data.pagamento]&lt;EOMONTH($A95,0)+1)
)</f>
        <v>0</v>
      </c>
      <c r="N95" s="177">
        <f>COUNTIFS(
    estq[empresa], N$6,
    estq[Data da venda / reserva], "&gt;=" &amp; $A95,
    estq[Data da venda / reserva], "&lt;"  &amp; EOMONTH($A95,0) + 1
)</f>
        <v>0</v>
      </c>
      <c r="O95" s="178">
        <f ca="1">SUMIFS(rec.uni[2028-09-01],
INDIRECT("rec.uni[natureza]"),"pro.soluto",
INDIRECT("rec.uni[empresa]"),O$6)</f>
        <v>0</v>
      </c>
      <c r="P95" s="178">
        <f ca="1">SUMIFS(rec.uni[2028-09-01],
INDIRECT("rec.uni[natureza]"),"repasse.cef.obra",
INDIRECT("rec.uni[empresa]"),P$6)</f>
        <v>0</v>
      </c>
      <c r="Q95" s="178">
        <f ca="1">SUMIFS(rec.uni[2028-09-01],
INDIRECT("rec.uni[natureza]"),"repasse.cef.terreno",
INDIRECT("rec.uni[empresa]"),Q$6)</f>
        <v>0</v>
      </c>
      <c r="R95" s="182"/>
      <c r="S95" s="178">
        <f ca="1">SUMIFS(rec.uni[2028-09-01],
INDIRECT("rec.uni[natureza]"),"taxa.extra",
INDIRECT("rec.uni[empresa]"),S$6)</f>
        <v>0</v>
      </c>
      <c r="T95" s="166"/>
      <c r="U95" s="166" cm="1">
        <f t="array" ref="U95">SUMPRODUCT(
  IFERROR(--desp[valor],0)*
  (desp[nucleo]="UP VILA SONIA")*
  (desp[categoria]=U$7)*
  (desp[data.pagamento]&gt;=$A95)*
  (desp[data.pagamento]&lt;EOMONTH($A95,0)+1)
)</f>
        <v>0</v>
      </c>
      <c r="V95" s="166" cm="1">
        <f t="array" ref="V95">SUMPRODUCT(
  IFERROR(--desp[valor],0)*
  (desp[nucleo]="UP VILA SONIA")*
  (desp[categoria]=V$7)*
  (desp[data.pagamento]&gt;=$A95)*
  (desp[data.pagamento]&lt;EOMONTH($A95,0)+1)
)</f>
        <v>0</v>
      </c>
      <c r="W95" s="166" cm="1">
        <f t="array" ref="W95">SUMPRODUCT(
  IFERROR(--desp[valor],0)*
  (desp[nucleo]="UP VILA SONIA")*
  (desp[categoria]=W$7)*
  (desp[data.pagamento]&gt;=$A95)*
  (desp[data.pagamento]&lt;EOMONTH($A95,0)+1)
)</f>
        <v>0</v>
      </c>
      <c r="X95" s="166" cm="1">
        <f t="array" ref="X95">SUMPRODUCT(
  IFERROR(--desp[valor],0)*
  (desp[nucleo]="UP VILA SONIA")*
  (desp[categoria]=X$7)*
  (desp[data.pagamento]&gt;=$A95)*
  (desp[data.pagamento]&lt;EOMONTH($A95,0)+1)
)</f>
        <v>0</v>
      </c>
      <c r="Y95" s="166" cm="1">
        <f t="array" ref="Y95">SUMPRODUCT(
  IFERROR(--desp[valor],0)*
  (desp[nucleo]="UP VILA SONIA")*
  (desp[categoria]=Y$7)*
  (desp[data.pagamento]&gt;=$A95)*
  (desp[data.pagamento]&lt;EOMONTH($A95,0)+1)
)</f>
        <v>0</v>
      </c>
      <c r="Z95" s="177">
        <f>COUNTIFS(
    estq[empresa], Z$6,
    estq[Data da venda / reserva], "&gt;=" &amp; $A95,
    estq[Data da venda / reserva], "&lt;"  &amp; EOMONTH($A95,0) + 1
)</f>
        <v>0</v>
      </c>
      <c r="AA95" s="178">
        <f ca="1">SUMIFS(rec.uni[2028-09-01],
INDIRECT("rec.uni[natureza]"),"pro.soluto",
INDIRECT("rec.uni[empresa]"),AA$6)</f>
        <v>0</v>
      </c>
      <c r="AB95" s="182">
        <f ca="1">SUMIFS(rec.uni[2028-09-01],
INDIRECT("rec.uni[natureza]"),"parcela.fin.total.ik",
INDIRECT("rec.uni[empresa]"),AB$6)</f>
        <v>0</v>
      </c>
      <c r="AC95" s="178">
        <f ca="1">SUMIFS(rec.uni[2028-09-01],
INDIRECT("rec.uni[natureza]"),"taxa.extra",
INDIRECT("rec.uni[empresa]"),AC$6)</f>
        <v>0</v>
      </c>
      <c r="AD95" s="166"/>
      <c r="AE95" s="166" cm="1">
        <f t="array" ref="AE95">SUMPRODUCT(
  IFERROR(--desp[valor],0)*
  (desp[nucleo]="UP CAMPO BELO")*
  (desp[categoria]=AE$7)*
  (desp[data.pagamento]&gt;=$A95)*
  (desp[data.pagamento]&lt;EOMONTH($A95,0)+1)
)</f>
        <v>0</v>
      </c>
      <c r="AF95" s="166" cm="1">
        <f t="array" ref="AF95">SUMPRODUCT(
  IFERROR(--desp[valor],0)*
  (desp[nucleo]="UP CAMPO BELO")*
  (desp[categoria]=AF$7)*
  (desp[data.pagamento]&gt;=$A95)*
  (desp[data.pagamento]&lt;EOMONTH($A95,0)+1)
)</f>
        <v>0</v>
      </c>
      <c r="AG95" s="166" cm="1">
        <f t="array" ref="AG95">SUMPRODUCT(
  IFERROR(--desp[valor],0)*
  (desp[nucleo]="UP CAMPO BELO")*
  (desp[categoria]=AG$7)*
  (desp[data.pagamento]&gt;=$A95)*
  (desp[data.pagamento]&lt;EOMONTH($A95,0)+1)
)</f>
        <v>0</v>
      </c>
      <c r="AH95" s="166" cm="1">
        <f t="array" ref="AH95">SUMPRODUCT(
  IFERROR(--desp[valor],0)*
  (desp[nucleo]="UP CAMPO BELO")*
  (desp[categoria]=AH$7)*
  (desp[data.pagamento]&gt;=$A95)*
  (desp[data.pagamento]&lt;EOMONTH($A95,0)+1)
)</f>
        <v>0</v>
      </c>
      <c r="AI95" s="166" cm="1">
        <f t="array" ref="AI95">SUMPRODUCT(
  IFERROR(--desp[valor],0)*
  (desp[nucleo]="UP CAMPO BELO")*
  (desp[categoria]=AI$7)*
  (desp[data.pagamento]&gt;=$A95)*
  (desp[data.pagamento]&lt;EOMONTH($A95,0)+1)
)</f>
        <v>0</v>
      </c>
      <c r="AJ95" s="177">
        <f>COUNTIFS(
    estq[empresa], AJ$6,
    estq[Data da venda / reserva], "&gt;=" &amp; $A95,
    estq[Data da venda / reserva], "&lt;"  &amp; EOMONTH($A95,0) + 1
)</f>
        <v>0</v>
      </c>
      <c r="AK95" s="178">
        <f ca="1">SUMIFS(rec.uni[2028-09-01],
INDIRECT("rec.uni[natureza]"),"pro.soluto",
INDIRECT("rec.uni[empresa]"),AK$6)</f>
        <v>0</v>
      </c>
      <c r="AL95" s="178">
        <f ca="1">SUMIFS(rec.uni[2028-09-01],
INDIRECT("rec.uni[natureza]"),"repasse.cef.obra",
INDIRECT("rec.uni[empresa]"),AL$6)</f>
        <v>0</v>
      </c>
      <c r="AM95" s="181">
        <f ca="1">SUMIFS(rec.uni[2028-09-01],
INDIRECT("rec.uni[natureza]"),"repasse.cef.terreno",
INDIRECT("rec.uni[empresa]"),AM$6)</f>
        <v>0</v>
      </c>
      <c r="AN95" s="182"/>
      <c r="AO95" s="178">
        <f ca="1">SUMIFS(rec.uni[2028-09-01],
INDIRECT("rec.uni[natureza]"),"taxa.extra",
INDIRECT("rec.uni[empresa]"),AO$6)</f>
        <v>0</v>
      </c>
      <c r="AP95" s="166"/>
      <c r="AQ95" s="166" cm="1">
        <f t="array" ref="AQ95">SUMPRODUCT(
  IFERROR(--desp[valor],0)*
  (desp[nucleo]="UP SELECT VILA SONIA")*
  (desp[categoria]=AQ$7)*
  (desp[data.pagamento]&gt;=$A95)*
  (desp[data.pagamento]&lt;EOMONTH($A95,0)+1)
)</f>
        <v>0</v>
      </c>
      <c r="AR95" s="166" cm="1">
        <f t="array" ref="AR95">SUMPRODUCT(
  IFERROR(--desp[valor],0)*
  (desp[nucleo]="UP SELECT VILA SONIA")*
  (desp[categoria]=AR$7)*
  (desp[data.pagamento]&gt;=$A95)*
  (desp[data.pagamento]&lt;EOMONTH($A95,0)+1)
)</f>
        <v>0</v>
      </c>
      <c r="AS95" s="166" cm="1">
        <f t="array" ref="AS95">SUMPRODUCT(
  IFERROR(--desp[valor],0)*
  (desp[nucleo]="UP SELECT VILA SONIA")*
  (desp[categoria]=AS$7)*
  (desp[data.pagamento]&gt;=$A95)*
  (desp[data.pagamento]&lt;EOMONTH($A95,0)+1)
)</f>
        <v>0</v>
      </c>
      <c r="AT95" s="166" cm="1">
        <f t="array" ref="AT95">SUMPRODUCT(
  IFERROR(--desp[valor],0)*
  (desp[nucleo]="UP SELECT VILA SONIA")*
  (desp[categoria]=AT$7)*
  (desp[data.pagamento]&gt;=$A95)*
  (desp[data.pagamento]&lt;EOMONTH($A95,0)+1)
)</f>
        <v>0</v>
      </c>
      <c r="AU95" s="166" cm="1">
        <f t="array" ref="AU95">SUMPRODUCT(
  IFERROR(--desp[valor],0)*
  (desp[nucleo]="UP SELECT VILA SONIA")*
  (desp[categoria]=AU$7)*
  (desp[data.pagamento]&gt;=$A95)*
  (desp[data.pagamento]&lt;EOMONTH($A95,0)+1)
)</f>
        <v>0</v>
      </c>
      <c r="AV95" s="177">
        <f>COUNTIFS(
    estq[empresa], AV$6,
    estq[Data da venda / reserva], "&gt;=" &amp; $A95,
    estq[Data da venda / reserva], "&lt;"  &amp; EOMONTH($A95,0) + 1
)</f>
        <v>0</v>
      </c>
      <c r="AW95" s="178">
        <f ca="1">SUMIFS(rec.uni[2028-09-01],
INDIRECT("rec.uni[natureza]"),"pro.soluto",
INDIRECT("rec.uni[empresa]"),AW$6)</f>
        <v>0</v>
      </c>
      <c r="AX95" s="178">
        <f ca="1">SUMIFS(rec.uni[2028-09-01],
INDIRECT("rec.uni[natureza]"),"repasse.cef.obra",
INDIRECT("rec.uni[empresa]"),AX$6)</f>
        <v>0</v>
      </c>
      <c r="AY95" s="181">
        <f ca="1">SUMIFS(rec.uni[2028-09-01],
INDIRECT("rec.uni[natureza]"),"repasse.cef.terreno",
INDIRECT("rec.uni[empresa]"),AY$6)</f>
        <v>0</v>
      </c>
      <c r="AZ95" s="182"/>
      <c r="BA95" s="178">
        <f ca="1">SUMIFS(rec.uni[2028-09-01],
INDIRECT("rec.uni[natureza]"),"taxa.extra",
INDIRECT("rec.uni[empresa]"),BA$6)</f>
        <v>0</v>
      </c>
      <c r="BB95" s="166"/>
      <c r="BC95" s="166" cm="1">
        <f t="array" ref="BC95">SUMPRODUCT(
  IFERROR(--desp[valor],0)*
  (desp[nucleo]="UP ESTAÇÃO SÃO LUCAS")*
  (desp[categoria]=BC$7)*
  (desp[data.pagamento]&gt;=$A95)*
  (desp[data.pagamento]&lt;EOMONTH($A95,0)+1)
)</f>
        <v>0</v>
      </c>
      <c r="BD95" s="166" cm="1">
        <f t="array" ref="BD95">SUMPRODUCT(
  IFERROR(--desp[valor],0)*
  (desp[nucleo]="UP ESTAÇÃO SÃO LUCAS")*
  (desp[categoria]=BD$7)*
  (desp[data.pagamento]&gt;=$A95)*
  (desp[data.pagamento]&lt;EOMONTH($A95,0)+1)
)</f>
        <v>0</v>
      </c>
      <c r="BE95" s="166" cm="1">
        <f t="array" ref="BE95">SUMPRODUCT(
  IFERROR(--desp[valor],0)*
  (desp[nucleo]="UP ESTAÇÃO SÃO LUCAS")*
  (desp[categoria]=BE$7)*
  (desp[data.pagamento]&gt;=$A95)*
  (desp[data.pagamento]&lt;EOMONTH($A95,0)+1)
)</f>
        <v>0</v>
      </c>
      <c r="BF95" s="166" cm="1">
        <f t="array" ref="BF95">SUMPRODUCT(
  IFERROR(--desp[valor],0)*
  (desp[nucleo]="UP ESTAÇÃO SÃO LUCAS")*
  (desp[categoria]=BF$7)*
  (desp[data.pagamento]&gt;=$A95)*
  (desp[data.pagamento]&lt;EOMONTH($A95,0)+1)
)</f>
        <v>0</v>
      </c>
      <c r="BG95" s="166" cm="1">
        <f t="array" ref="BG95">SUMPRODUCT(
  IFERROR(--desp[valor],0)*
  (desp[nucleo]="UP ESTAÇÃO SÃO LUCAS")*
  (desp[categoria]=BG$7)*
  (desp[data.pagamento]&gt;=$A95)*
  (desp[data.pagamento]&lt;EOMONTH($A95,0)+1)
)</f>
        <v>0</v>
      </c>
      <c r="BH95" s="177">
        <f>COUNTIFS(
    estq[empresa], BH$6,
    estq[Data da venda / reserva], "&gt;=" &amp; $A95,
    estq[Data da venda / reserva], "&lt;"  &amp; EOMONTH($A95,0) + 1
)</f>
        <v>0</v>
      </c>
      <c r="BI95" s="178">
        <f ca="1">SUMIFS(rec.uni[2028-09-01],
INDIRECT("rec.uni[natureza]"),"pro.soluto",
INDIRECT("rec.uni[empresa]"),BI$6)</f>
        <v>0</v>
      </c>
      <c r="BJ95" s="182">
        <f ca="1">SUMIFS(rec.uni[2028-09-01],
INDIRECT("rec.uni[natureza]"),"parcela.fin.total.ik",
INDIRECT("rec.uni[empresa]"),BJ$6)</f>
        <v>0</v>
      </c>
      <c r="BK95" s="178">
        <f ca="1">SUMIFS(rec.uni[2028-09-01],
INDIRECT("rec.uni[natureza]"),"taxa.extra",
INDIRECT("rec.uni[empresa]"),BK$6)</f>
        <v>0</v>
      </c>
      <c r="BL95" s="166"/>
      <c r="BM95" s="166" cm="1">
        <f t="array" ref="BM95">SUMPRODUCT(
  IFERROR(--desp[valor],0)*
  (desp[nucleo]="UP POMPEIA")*
  (desp[categoria]=BM$7)*
  (desp[data.pagamento]&gt;=$A95)*
  (desp[data.pagamento]&lt;EOMONTH($A95,0)+1)
)</f>
        <v>0</v>
      </c>
      <c r="BN95" s="166" cm="1">
        <f t="array" ref="BN95">SUMPRODUCT(
  IFERROR(--desp[valor],0)*
  (desp[nucleo]="UP POMPEIA")*
  (desp[categoria]=BN$7)*
  (desp[data.pagamento]&gt;=$A95)*
  (desp[data.pagamento]&lt;EOMONTH($A95,0)+1)
)</f>
        <v>0</v>
      </c>
      <c r="BO95" s="166" cm="1">
        <f t="array" ref="BO95">SUMPRODUCT(
  IFERROR(--desp[valor],0)*
  (desp[nucleo]="UP POMPEIA")*
  (desp[categoria]=BO$7)*
  (desp[data.pagamento]&gt;=$A95)*
  (desp[data.pagamento]&lt;EOMONTH($A95,0)+1)
)</f>
        <v>0</v>
      </c>
      <c r="BP95" s="166" cm="1">
        <f t="array" ref="BP95">SUMPRODUCT(
  IFERROR(--desp[valor],0)*
  (desp[nucleo]="UP POMPEIA")*
  (desp[categoria]=BP$7)*
  (desp[data.pagamento]&gt;=$A95)*
  (desp[data.pagamento]&lt;EOMONTH($A95,0)+1)
)</f>
        <v>0</v>
      </c>
      <c r="BQ95" s="166" cm="1">
        <f t="array" ref="BQ95">SUMPRODUCT(
  IFERROR(--desp[valor],0)*
  (desp[nucleo]="UP POMPEIA")*
  (desp[categoria]=BQ$7)*
  (desp[data.pagamento]&gt;=$A95)*
  (desp[data.pagamento]&lt;EOMONTH($A95,0)+1)
)</f>
        <v>0</v>
      </c>
      <c r="BR95" s="177">
        <f>COUNTIFS(
    estq[empresa], BR$6,
    estq[Data da venda / reserva], "&gt;=" &amp; $A95,
    estq[Data da venda / reserva], "&lt;"  &amp; EOMONTH($A95,0) + 1
)</f>
        <v>0</v>
      </c>
      <c r="BS95" s="178">
        <f ca="1">SUMIFS(rec.uni[2028-09-01],
INDIRECT("rec.uni[natureza]"),"pro.soluto",
INDIRECT("rec.uni[empresa]"),BS$6)</f>
        <v>0</v>
      </c>
      <c r="BT95" s="182">
        <f ca="1">SUMIFS(rec.uni[2028-09-01],
INDIRECT("rec.uni[natureza]"),"parcela.fin.total.ik",
INDIRECT("rec.uni[empresa]"),BT$6)</f>
        <v>0</v>
      </c>
      <c r="BU95" s="178">
        <f ca="1">SUMIFS(rec.uni[2028-09-01],
INDIRECT("rec.uni[natureza]"),"taxa.extra",
INDIRECT("rec.uni[empresa]"),BU$6)</f>
        <v>0</v>
      </c>
      <c r="BV95" s="166"/>
      <c r="BW95" s="166" cm="1">
        <f t="array" ref="BW95">SUMPRODUCT(
  IFERROR(--desp[valor],0)*
  (desp[nucleo]="UP SAUDE")*
  (desp[categoria]=BW$7)*
  (desp[data.pagamento]&gt;=$A95)*
  (desp[data.pagamento]&lt;EOMONTH($A95,0)+1)
)</f>
        <v>0</v>
      </c>
      <c r="BX95" s="166" cm="1">
        <f t="array" ref="BX95">SUMPRODUCT(
  IFERROR(--desp[valor],0)*
  (desp[nucleo]="UP SAUDE")*
  (desp[categoria]=BX$7)*
  (desp[data.pagamento]&gt;=$A95)*
  (desp[data.pagamento]&lt;EOMONTH($A95,0)+1)
)</f>
        <v>0</v>
      </c>
      <c r="BY95" s="166" cm="1">
        <f t="array" ref="BY95">SUMPRODUCT(
  IFERROR(--desp[valor],0)*
  (desp[nucleo]="UP SAUDE")*
  (desp[categoria]=BY$7)*
  (desp[data.pagamento]&gt;=$A95)*
  (desp[data.pagamento]&lt;EOMONTH($A95,0)+1)
)</f>
        <v>0</v>
      </c>
      <c r="BZ95" s="166" cm="1">
        <f t="array" ref="BZ95">SUMPRODUCT(
  IFERROR(--desp[valor],0)*
  (desp[nucleo]="UP SAUDE")*
  (desp[categoria]=BZ$7)*
  (desp[data.pagamento]&gt;=$A95)*
  (desp[data.pagamento]&lt;EOMONTH($A95,0)+1)
)</f>
        <v>0</v>
      </c>
      <c r="CA95" s="166" cm="1">
        <f t="array" ref="CA95">SUMPRODUCT(
  IFERROR(--desp[valor],0)*
  (desp[nucleo]="UP SAUDE")*
  (desp[categoria]=CA$7)*
  (desp[data.pagamento]&gt;=$A95)*
  (desp[data.pagamento]&lt;EOMONTH($A95,0)+1)
)</f>
        <v>0</v>
      </c>
      <c r="CB95" s="177">
        <f>COUNTIFS(
    estq[empresa], CB$6,
    estq[Data da venda / reserva], "&gt;=" &amp; $A95,
    estq[Data da venda / reserva], "&lt;"  &amp; EOMONTH($A95,0) + 1
)</f>
        <v>0</v>
      </c>
      <c r="CC95" s="178">
        <f ca="1">SUMIFS(rec.uni[2028-09-01],
INDIRECT("rec.uni[natureza]"),"pro.soluto",
INDIRECT("rec.uni[empresa]"),CC$6)</f>
        <v>0</v>
      </c>
      <c r="CD95" s="178">
        <f ca="1">SUMIFS(rec.uni[2028-09-01],
INDIRECT("rec.uni[natureza]"),"repasse.cef.obra",
INDIRECT("rec.uni[empresa]"),CD$6)</f>
        <v>0</v>
      </c>
      <c r="CE95" s="181">
        <f ca="1">SUMIFS(rec.uni[2028-09-01],
INDIRECT("rec.uni[natureza]"),"repasse.cef.terreno",
INDIRECT("rec.uni[empresa]"),CE$6)</f>
        <v>0</v>
      </c>
      <c r="CF95" s="182"/>
      <c r="CG95" s="178">
        <f ca="1">SUMIFS(rec.uni[2028-09-01],
INDIRECT("rec.uni[natureza]"),"taxa.extra",
INDIRECT("rec.uni[empresa]"),CG$6)</f>
        <v>0</v>
      </c>
      <c r="CH95" s="166"/>
      <c r="CI95" s="166" cm="1">
        <f t="array" ref="CI95">SUMPRODUCT(
  IFERROR(--desp[valor],0)*
  (desp[nucleo]="UP ESTAÇÃO VILA SONIA")*
  (desp[categoria]=CI$7)*
  (desp[data.pagamento]&gt;=$A95)*
  (desp[data.pagamento]&lt;EOMONTH($A95,0)+1)
)</f>
        <v>0</v>
      </c>
      <c r="CJ95" s="166" cm="1">
        <f t="array" ref="CJ95">SUMPRODUCT(
  IFERROR(--desp[valor],0)*
  (desp[nucleo]="UP ESTAÇÃO VILA SONIA")*
  (desp[categoria]=CJ$7)*
  (desp[data.pagamento]&gt;=$A95)*
  (desp[data.pagamento]&lt;EOMONTH($A95,0)+1)
)</f>
        <v>0</v>
      </c>
      <c r="CK95" s="166" cm="1">
        <f t="array" ref="CK95">SUMPRODUCT(
  IFERROR(--desp[valor],0)*
  (desp[nucleo]="UP ESTAÇÃO VILA SONIA")*
  (desp[categoria]=CK$7)*
  (desp[data.pagamento]&gt;=$A95)*
  (desp[data.pagamento]&lt;EOMONTH($A95,0)+1)
)</f>
        <v>0</v>
      </c>
      <c r="CL95" s="166" cm="1">
        <f t="array" ref="CL95">SUMPRODUCT(
  IFERROR(--desp[valor],0)*
  (desp[nucleo]="UP ESTAÇÃO VILA SONIA")*
  (desp[categoria]=CL$7)*
  (desp[data.pagamento]&gt;=$A95)*
  (desp[data.pagamento]&lt;EOMONTH($A95,0)+1)
)</f>
        <v>0</v>
      </c>
      <c r="CM95" s="166" cm="1">
        <f t="array" ref="CM95">SUMPRODUCT(
  IFERROR(--desp[valor],0)*
  (desp[nucleo]="UP ESTAÇÃO VILA SONIA")*
  (desp[categoria]=CM$7)*
  (desp[data.pagamento]&gt;=$A95)*
  (desp[data.pagamento]&lt;EOMONTH($A95,0)+1)
)</f>
        <v>0</v>
      </c>
      <c r="CN95" s="177">
        <f>COUNTIFS(
    estq[empresa], CN$6,
    estq[Data da venda / reserva], "&gt;=" &amp; $A95,
    estq[Data da venda / reserva], "&lt;"  &amp; EOMONTH($A95,0) + 1
)</f>
        <v>0</v>
      </c>
      <c r="CO95" s="178">
        <f ca="1">SUMIFS(rec.uni[2028-09-01],
INDIRECT("rec.uni[natureza]"),"pro.soluto",
INDIRECT("rec.uni[empresa]"),CO$6)</f>
        <v>0</v>
      </c>
      <c r="CP95" s="178">
        <f ca="1">SUMIFS(rec.uni[2028-09-01],
INDIRECT("rec.uni[natureza]"),"repasse.cef.obra",
INDIRECT("rec.uni[empresa]"),CP$6)</f>
        <v>0</v>
      </c>
      <c r="CQ95" s="181">
        <f ca="1">SUMIFS(rec.uni[2028-09-01],
INDIRECT("rec.uni[natureza]"),"repasse.cef.terreno",
INDIRECT("rec.uni[empresa]"),CQ$6)</f>
        <v>0</v>
      </c>
      <c r="CR95" s="182"/>
      <c r="CS95" s="178">
        <f ca="1">SUMIFS(rec.uni[2028-09-01],
INDIRECT("rec.uni[natureza]"),"taxa.extra",
INDIRECT("rec.uni[empresa]"),CS$6)</f>
        <v>0</v>
      </c>
      <c r="CT95" s="166"/>
      <c r="CU95" s="166" cm="1">
        <f t="array" ref="CU95">SUMPRODUCT(
  IFERROR(--desp[valor],0)*
  (desp[nucleo]="UP MOVE VILA SONIA")*
  (desp[categoria]=CU$7)*
  (desp[data.pagamento]&gt;=$A95)*
  (desp[data.pagamento]&lt;EOMONTH($A95,0)+1)
)</f>
        <v>0</v>
      </c>
      <c r="CV95" s="166" cm="1">
        <f t="array" ref="CV95">SUMPRODUCT(
  IFERROR(--desp[valor],0)*
  (desp[nucleo]="UP MOVE VILA SONIA")*
  (desp[categoria]=CV$7)*
  (desp[data.pagamento]&gt;=$A95)*
  (desp[data.pagamento]&lt;EOMONTH($A95,0)+1)
)</f>
        <v>0</v>
      </c>
      <c r="CW95" s="166" cm="1">
        <f t="array" ref="CW95">SUMPRODUCT(
  IFERROR(--desp[valor],0)*
  (desp[nucleo]="UP MOVE VILA SONIA")*
  (desp[categoria]=CW$7)*
  (desp[data.pagamento]&gt;=$A95)*
  (desp[data.pagamento]&lt;EOMONTH($A95,0)+1)
)</f>
        <v>0</v>
      </c>
      <c r="CX95" s="166" cm="1">
        <f t="array" ref="CX95">SUMPRODUCT(
  IFERROR(--desp[valor],0)*
  (desp[nucleo]="UP MOVE VILA SONIA")*
  (desp[categoria]=CX$7)*
  (desp[data.pagamento]&gt;=$A95)*
  (desp[data.pagamento]&lt;EOMONTH($A95,0)+1)
)</f>
        <v>0</v>
      </c>
      <c r="CY95" s="291" cm="1">
        <f t="array" ref="CY95">SUMPRODUCT(
  IFERROR(--desp[valor],0)*
  (desp[nucleo]="UP MOVE VILA SONIA")*
  (desp[categoria]=CY$7)*
  (desp[data.pagamento]&gt;=$A95)*
  (desp[data.pagamento]&lt;EOMONTH($A95,0)+1)
)</f>
        <v>0</v>
      </c>
    </row>
    <row r="96" spans="1:103" x14ac:dyDescent="0.25">
      <c r="A96" s="176">
        <v>47027</v>
      </c>
      <c r="B96" s="177">
        <f>COUNTIFS(
    estq[empresa], B$6,
    estq[Data da venda / reserva], "&gt;=" &amp; $A96,
    estq[Data da venda / reserva], "&lt;"  &amp; EOMONTH($A96,0) + 1
)</f>
        <v>0</v>
      </c>
      <c r="C96" s="178">
        <f ca="1">SUMIFS(rec.uni[2028-10-01],
INDIRECT("rec.uni[natureza]"),"pro.soluto",
INDIRECT("rec.uni[empresa]"),C$6)</f>
        <v>0</v>
      </c>
      <c r="D96" s="178">
        <f ca="1">SUMIFS(rec.uni[2028-10-01],
INDIRECT("rec.uni[natureza]"),"repasse.cef.obra",
INDIRECT("rec.uni[empresa]"),D$6)</f>
        <v>0</v>
      </c>
      <c r="E96" s="178">
        <f ca="1">SUMIFS(rec.uni[2028-10-01],
INDIRECT("rec.uni[natureza]"),"repasse.cef.terreno",
INDIRECT("rec.uni[empresa]"),E$6)</f>
        <v>0</v>
      </c>
      <c r="F96" s="182"/>
      <c r="G96" s="178">
        <f ca="1">SUMIFS(rec.uni[2028-10-01],
INDIRECT("rec.uni[natureza]"),"taxa.extra",
INDIRECT("rec.uni[empresa]"),G$6)</f>
        <v>0</v>
      </c>
      <c r="H96" s="166"/>
      <c r="I96" s="166" cm="1">
        <f t="array" ref="I96">SUMPRODUCT(
  IFERROR(--desp[valor],0)*
  (desp[nucleo]="UP JARDIM PRUDENCIA")*
  (desp[categoria]=I$7)*
  (desp[data.pagamento]&gt;=$A96)*
  (desp[data.pagamento]&lt;EOMONTH($A96,0)+1)
)</f>
        <v>0</v>
      </c>
      <c r="J96" s="166" cm="1">
        <f t="array" ref="J96">SUMPRODUCT(
  IFERROR(--desp[valor],0)*
  (desp[nucleo]="UP JARDIM PRUDENCIA")*
  (desp[categoria]=J$7)*
  (desp[data.pagamento]&gt;=$A96)*
  (desp[data.pagamento]&lt;EOMONTH($A96,0)+1)
)</f>
        <v>0</v>
      </c>
      <c r="K96" s="166" cm="1">
        <f t="array" ref="K96">SUMPRODUCT(
  IFERROR(--desp[valor],0)*
  (desp[nucleo]="UP JARDIM PRUDENCIA")*
  (desp[categoria]=K$7)*
  (desp[data.pagamento]&gt;=$A96)*
  (desp[data.pagamento]&lt;EOMONTH($A96,0)+1)
)</f>
        <v>0</v>
      </c>
      <c r="L96" s="166" cm="1">
        <f t="array" ref="L96">SUMPRODUCT(
  IFERROR(--desp[valor],0)*
  (desp[nucleo]="UP JARDIM PRUDENCIA")*
  (desp[categoria]=L$7)*
  (desp[data.pagamento]&gt;=$A96)*
  (desp[data.pagamento]&lt;EOMONTH($A96,0)+1)
)</f>
        <v>0</v>
      </c>
      <c r="M96" s="166" cm="1">
        <f t="array" ref="M96">SUMPRODUCT(
  IFERROR(--desp[valor],0)*
  (desp[nucleo]="UP JARDIM PRUDENCIA")*
  (desp[categoria]=M$7)*
  (desp[data.pagamento]&gt;=$A96)*
  (desp[data.pagamento]&lt;EOMONTH($A96,0)+1)
)</f>
        <v>0</v>
      </c>
      <c r="N96" s="177">
        <f>COUNTIFS(
    estq[empresa], N$6,
    estq[Data da venda / reserva], "&gt;=" &amp; $A96,
    estq[Data da venda / reserva], "&lt;"  &amp; EOMONTH($A96,0) + 1
)</f>
        <v>0</v>
      </c>
      <c r="O96" s="178">
        <f ca="1">SUMIFS(rec.uni[2028-10-01],
INDIRECT("rec.uni[natureza]"),"pro.soluto",
INDIRECT("rec.uni[empresa]"),O$6)</f>
        <v>0</v>
      </c>
      <c r="P96" s="178">
        <f ca="1">SUMIFS(rec.uni[2028-10-01],
INDIRECT("rec.uni[natureza]"),"repasse.cef.obra",
INDIRECT("rec.uni[empresa]"),P$6)</f>
        <v>0</v>
      </c>
      <c r="Q96" s="178">
        <f ca="1">SUMIFS(rec.uni[2028-10-01],
INDIRECT("rec.uni[natureza]"),"repasse.cef.terreno",
INDIRECT("rec.uni[empresa]"),Q$6)</f>
        <v>0</v>
      </c>
      <c r="R96" s="182"/>
      <c r="S96" s="178">
        <f ca="1">SUMIFS(rec.uni[2028-10-01],
INDIRECT("rec.uni[natureza]"),"taxa.extra",
INDIRECT("rec.uni[empresa]"),S$6)</f>
        <v>0</v>
      </c>
      <c r="T96" s="166"/>
      <c r="U96" s="166" cm="1">
        <f t="array" ref="U96">SUMPRODUCT(
  IFERROR(--desp[valor],0)*
  (desp[nucleo]="UP VILA SONIA")*
  (desp[categoria]=U$7)*
  (desp[data.pagamento]&gt;=$A96)*
  (desp[data.pagamento]&lt;EOMONTH($A96,0)+1)
)</f>
        <v>0</v>
      </c>
      <c r="V96" s="166" cm="1">
        <f t="array" ref="V96">SUMPRODUCT(
  IFERROR(--desp[valor],0)*
  (desp[nucleo]="UP VILA SONIA")*
  (desp[categoria]=V$7)*
  (desp[data.pagamento]&gt;=$A96)*
  (desp[data.pagamento]&lt;EOMONTH($A96,0)+1)
)</f>
        <v>0</v>
      </c>
      <c r="W96" s="166" cm="1">
        <f t="array" ref="W96">SUMPRODUCT(
  IFERROR(--desp[valor],0)*
  (desp[nucleo]="UP VILA SONIA")*
  (desp[categoria]=W$7)*
  (desp[data.pagamento]&gt;=$A96)*
  (desp[data.pagamento]&lt;EOMONTH($A96,0)+1)
)</f>
        <v>0</v>
      </c>
      <c r="X96" s="166" cm="1">
        <f t="array" ref="X96">SUMPRODUCT(
  IFERROR(--desp[valor],0)*
  (desp[nucleo]="UP VILA SONIA")*
  (desp[categoria]=X$7)*
  (desp[data.pagamento]&gt;=$A96)*
  (desp[data.pagamento]&lt;EOMONTH($A96,0)+1)
)</f>
        <v>0</v>
      </c>
      <c r="Y96" s="166" cm="1">
        <f t="array" ref="Y96">SUMPRODUCT(
  IFERROR(--desp[valor],0)*
  (desp[nucleo]="UP VILA SONIA")*
  (desp[categoria]=Y$7)*
  (desp[data.pagamento]&gt;=$A96)*
  (desp[data.pagamento]&lt;EOMONTH($A96,0)+1)
)</f>
        <v>0</v>
      </c>
      <c r="Z96" s="177">
        <f>COUNTIFS(
    estq[empresa], Z$6,
    estq[Data da venda / reserva], "&gt;=" &amp; $A96,
    estq[Data da venda / reserva], "&lt;"  &amp; EOMONTH($A96,0) + 1
)</f>
        <v>0</v>
      </c>
      <c r="AA96" s="178">
        <f ca="1">SUMIFS(rec.uni[2028-10-01],
INDIRECT("rec.uni[natureza]"),"pro.soluto",
INDIRECT("rec.uni[empresa]"),AA$6)</f>
        <v>0</v>
      </c>
      <c r="AB96" s="182">
        <f ca="1">SUMIFS(rec.uni[2028-10-01],
INDIRECT("rec.uni[natureza]"),"parcela.fin.total.ik",
INDIRECT("rec.uni[empresa]"),AB$6)</f>
        <v>0</v>
      </c>
      <c r="AC96" s="178">
        <f ca="1">SUMIFS(rec.uni[2028-10-01],
INDIRECT("rec.uni[natureza]"),"taxa.extra",
INDIRECT("rec.uni[empresa]"),AC$6)</f>
        <v>0</v>
      </c>
      <c r="AD96" s="166"/>
      <c r="AE96" s="166" cm="1">
        <f t="array" ref="AE96">SUMPRODUCT(
  IFERROR(--desp[valor],0)*
  (desp[nucleo]="UP CAMPO BELO")*
  (desp[categoria]=AE$7)*
  (desp[data.pagamento]&gt;=$A96)*
  (desp[data.pagamento]&lt;EOMONTH($A96,0)+1)
)</f>
        <v>0</v>
      </c>
      <c r="AF96" s="166" cm="1">
        <f t="array" ref="AF96">SUMPRODUCT(
  IFERROR(--desp[valor],0)*
  (desp[nucleo]="UP CAMPO BELO")*
  (desp[categoria]=AF$7)*
  (desp[data.pagamento]&gt;=$A96)*
  (desp[data.pagamento]&lt;EOMONTH($A96,0)+1)
)</f>
        <v>0</v>
      </c>
      <c r="AG96" s="166" cm="1">
        <f t="array" ref="AG96">SUMPRODUCT(
  IFERROR(--desp[valor],0)*
  (desp[nucleo]="UP CAMPO BELO")*
  (desp[categoria]=AG$7)*
  (desp[data.pagamento]&gt;=$A96)*
  (desp[data.pagamento]&lt;EOMONTH($A96,0)+1)
)</f>
        <v>0</v>
      </c>
      <c r="AH96" s="166" cm="1">
        <f t="array" ref="AH96">SUMPRODUCT(
  IFERROR(--desp[valor],0)*
  (desp[nucleo]="UP CAMPO BELO")*
  (desp[categoria]=AH$7)*
  (desp[data.pagamento]&gt;=$A96)*
  (desp[data.pagamento]&lt;EOMONTH($A96,0)+1)
)</f>
        <v>0</v>
      </c>
      <c r="AI96" s="166" cm="1">
        <f t="array" ref="AI96">SUMPRODUCT(
  IFERROR(--desp[valor],0)*
  (desp[nucleo]="UP CAMPO BELO")*
  (desp[categoria]=AI$7)*
  (desp[data.pagamento]&gt;=$A96)*
  (desp[data.pagamento]&lt;EOMONTH($A96,0)+1)
)</f>
        <v>0</v>
      </c>
      <c r="AJ96" s="177">
        <f>COUNTIFS(
    estq[empresa], AJ$6,
    estq[Data da venda / reserva], "&gt;=" &amp; $A96,
    estq[Data da venda / reserva], "&lt;"  &amp; EOMONTH($A96,0) + 1
)</f>
        <v>0</v>
      </c>
      <c r="AK96" s="178">
        <f ca="1">SUMIFS(rec.uni[2028-10-01],
INDIRECT("rec.uni[natureza]"),"pro.soluto",
INDIRECT("rec.uni[empresa]"),AK$6)</f>
        <v>0</v>
      </c>
      <c r="AL96" s="178">
        <f ca="1">SUMIFS(rec.uni[2028-10-01],
INDIRECT("rec.uni[natureza]"),"repasse.cef.obra",
INDIRECT("rec.uni[empresa]"),AL$6)</f>
        <v>0</v>
      </c>
      <c r="AM96" s="181">
        <f ca="1">SUMIFS(rec.uni[2028-10-01],
INDIRECT("rec.uni[natureza]"),"repasse.cef.terreno",
INDIRECT("rec.uni[empresa]"),AM$6)</f>
        <v>0</v>
      </c>
      <c r="AN96" s="182"/>
      <c r="AO96" s="178">
        <f ca="1">SUMIFS(rec.uni[2028-10-01],
INDIRECT("rec.uni[natureza]"),"taxa.extra",
INDIRECT("rec.uni[empresa]"),AO$6)</f>
        <v>0</v>
      </c>
      <c r="AP96" s="166"/>
      <c r="AQ96" s="166" cm="1">
        <f t="array" ref="AQ96">SUMPRODUCT(
  IFERROR(--desp[valor],0)*
  (desp[nucleo]="UP SELECT VILA SONIA")*
  (desp[categoria]=AQ$7)*
  (desp[data.pagamento]&gt;=$A96)*
  (desp[data.pagamento]&lt;EOMONTH($A96,0)+1)
)</f>
        <v>0</v>
      </c>
      <c r="AR96" s="166" cm="1">
        <f t="array" ref="AR96">SUMPRODUCT(
  IFERROR(--desp[valor],0)*
  (desp[nucleo]="UP SELECT VILA SONIA")*
  (desp[categoria]=AR$7)*
  (desp[data.pagamento]&gt;=$A96)*
  (desp[data.pagamento]&lt;EOMONTH($A96,0)+1)
)</f>
        <v>0</v>
      </c>
      <c r="AS96" s="166" cm="1">
        <f t="array" ref="AS96">SUMPRODUCT(
  IFERROR(--desp[valor],0)*
  (desp[nucleo]="UP SELECT VILA SONIA")*
  (desp[categoria]=AS$7)*
  (desp[data.pagamento]&gt;=$A96)*
  (desp[data.pagamento]&lt;EOMONTH($A96,0)+1)
)</f>
        <v>0</v>
      </c>
      <c r="AT96" s="166" cm="1">
        <f t="array" ref="AT96">SUMPRODUCT(
  IFERROR(--desp[valor],0)*
  (desp[nucleo]="UP SELECT VILA SONIA")*
  (desp[categoria]=AT$7)*
  (desp[data.pagamento]&gt;=$A96)*
  (desp[data.pagamento]&lt;EOMONTH($A96,0)+1)
)</f>
        <v>0</v>
      </c>
      <c r="AU96" s="166" cm="1">
        <f t="array" ref="AU96">SUMPRODUCT(
  IFERROR(--desp[valor],0)*
  (desp[nucleo]="UP SELECT VILA SONIA")*
  (desp[categoria]=AU$7)*
  (desp[data.pagamento]&gt;=$A96)*
  (desp[data.pagamento]&lt;EOMONTH($A96,0)+1)
)</f>
        <v>0</v>
      </c>
      <c r="AV96" s="177">
        <f>COUNTIFS(
    estq[empresa], AV$6,
    estq[Data da venda / reserva], "&gt;=" &amp; $A96,
    estq[Data da venda / reserva], "&lt;"  &amp; EOMONTH($A96,0) + 1
)</f>
        <v>0</v>
      </c>
      <c r="AW96" s="178">
        <f ca="1">SUMIFS(rec.uni[2028-10-01],
INDIRECT("rec.uni[natureza]"),"pro.soluto",
INDIRECT("rec.uni[empresa]"),AW$6)</f>
        <v>0</v>
      </c>
      <c r="AX96" s="178">
        <f ca="1">SUMIFS(rec.uni[2028-10-01],
INDIRECT("rec.uni[natureza]"),"repasse.cef.obra",
INDIRECT("rec.uni[empresa]"),AX$6)</f>
        <v>0</v>
      </c>
      <c r="AY96" s="181">
        <f ca="1">SUMIFS(rec.uni[2028-10-01],
INDIRECT("rec.uni[natureza]"),"repasse.cef.terreno",
INDIRECT("rec.uni[empresa]"),AY$6)</f>
        <v>0</v>
      </c>
      <c r="AZ96" s="182"/>
      <c r="BA96" s="178">
        <f ca="1">SUMIFS(rec.uni[2028-10-01],
INDIRECT("rec.uni[natureza]"),"taxa.extra",
INDIRECT("rec.uni[empresa]"),BA$6)</f>
        <v>0</v>
      </c>
      <c r="BB96" s="166"/>
      <c r="BC96" s="166" cm="1">
        <f t="array" ref="BC96">SUMPRODUCT(
  IFERROR(--desp[valor],0)*
  (desp[nucleo]="UP ESTAÇÃO SÃO LUCAS")*
  (desp[categoria]=BC$7)*
  (desp[data.pagamento]&gt;=$A96)*
  (desp[data.pagamento]&lt;EOMONTH($A96,0)+1)
)</f>
        <v>0</v>
      </c>
      <c r="BD96" s="166" cm="1">
        <f t="array" ref="BD96">SUMPRODUCT(
  IFERROR(--desp[valor],0)*
  (desp[nucleo]="UP ESTAÇÃO SÃO LUCAS")*
  (desp[categoria]=BD$7)*
  (desp[data.pagamento]&gt;=$A96)*
  (desp[data.pagamento]&lt;EOMONTH($A96,0)+1)
)</f>
        <v>0</v>
      </c>
      <c r="BE96" s="166" cm="1">
        <f t="array" ref="BE96">SUMPRODUCT(
  IFERROR(--desp[valor],0)*
  (desp[nucleo]="UP ESTAÇÃO SÃO LUCAS")*
  (desp[categoria]=BE$7)*
  (desp[data.pagamento]&gt;=$A96)*
  (desp[data.pagamento]&lt;EOMONTH($A96,0)+1)
)</f>
        <v>0</v>
      </c>
      <c r="BF96" s="166" cm="1">
        <f t="array" ref="BF96">SUMPRODUCT(
  IFERROR(--desp[valor],0)*
  (desp[nucleo]="UP ESTAÇÃO SÃO LUCAS")*
  (desp[categoria]=BF$7)*
  (desp[data.pagamento]&gt;=$A96)*
  (desp[data.pagamento]&lt;EOMONTH($A96,0)+1)
)</f>
        <v>0</v>
      </c>
      <c r="BG96" s="166" cm="1">
        <f t="array" ref="BG96">SUMPRODUCT(
  IFERROR(--desp[valor],0)*
  (desp[nucleo]="UP ESTAÇÃO SÃO LUCAS")*
  (desp[categoria]=BG$7)*
  (desp[data.pagamento]&gt;=$A96)*
  (desp[data.pagamento]&lt;EOMONTH($A96,0)+1)
)</f>
        <v>0</v>
      </c>
      <c r="BH96" s="177">
        <f>COUNTIFS(
    estq[empresa], BH$6,
    estq[Data da venda / reserva], "&gt;=" &amp; $A96,
    estq[Data da venda / reserva], "&lt;"  &amp; EOMONTH($A96,0) + 1
)</f>
        <v>0</v>
      </c>
      <c r="BI96" s="178">
        <f ca="1">SUMIFS(rec.uni[2028-10-01],
INDIRECT("rec.uni[natureza]"),"pro.soluto",
INDIRECT("rec.uni[empresa]"),BI$6)</f>
        <v>0</v>
      </c>
      <c r="BJ96" s="182">
        <f ca="1">SUMIFS(rec.uni[2028-10-01],
INDIRECT("rec.uni[natureza]"),"parcela.fin.total.ik",
INDIRECT("rec.uni[empresa]"),BJ$6)</f>
        <v>0</v>
      </c>
      <c r="BK96" s="178">
        <f ca="1">SUMIFS(rec.uni[2028-10-01],
INDIRECT("rec.uni[natureza]"),"taxa.extra",
INDIRECT("rec.uni[empresa]"),BK$6)</f>
        <v>0</v>
      </c>
      <c r="BL96" s="166"/>
      <c r="BM96" s="166" cm="1">
        <f t="array" ref="BM96">SUMPRODUCT(
  IFERROR(--desp[valor],0)*
  (desp[nucleo]="UP POMPEIA")*
  (desp[categoria]=BM$7)*
  (desp[data.pagamento]&gt;=$A96)*
  (desp[data.pagamento]&lt;EOMONTH($A96,0)+1)
)</f>
        <v>0</v>
      </c>
      <c r="BN96" s="166" cm="1">
        <f t="array" ref="BN96">SUMPRODUCT(
  IFERROR(--desp[valor],0)*
  (desp[nucleo]="UP POMPEIA")*
  (desp[categoria]=BN$7)*
  (desp[data.pagamento]&gt;=$A96)*
  (desp[data.pagamento]&lt;EOMONTH($A96,0)+1)
)</f>
        <v>0</v>
      </c>
      <c r="BO96" s="166" cm="1">
        <f t="array" ref="BO96">SUMPRODUCT(
  IFERROR(--desp[valor],0)*
  (desp[nucleo]="UP POMPEIA")*
  (desp[categoria]=BO$7)*
  (desp[data.pagamento]&gt;=$A96)*
  (desp[data.pagamento]&lt;EOMONTH($A96,0)+1)
)</f>
        <v>0</v>
      </c>
      <c r="BP96" s="166" cm="1">
        <f t="array" ref="BP96">SUMPRODUCT(
  IFERROR(--desp[valor],0)*
  (desp[nucleo]="UP POMPEIA")*
  (desp[categoria]=BP$7)*
  (desp[data.pagamento]&gt;=$A96)*
  (desp[data.pagamento]&lt;EOMONTH($A96,0)+1)
)</f>
        <v>0</v>
      </c>
      <c r="BQ96" s="166" cm="1">
        <f t="array" ref="BQ96">SUMPRODUCT(
  IFERROR(--desp[valor],0)*
  (desp[nucleo]="UP POMPEIA")*
  (desp[categoria]=BQ$7)*
  (desp[data.pagamento]&gt;=$A96)*
  (desp[data.pagamento]&lt;EOMONTH($A96,0)+1)
)</f>
        <v>0</v>
      </c>
      <c r="BR96" s="177">
        <f>COUNTIFS(
    estq[empresa], BR$6,
    estq[Data da venda / reserva], "&gt;=" &amp; $A96,
    estq[Data da venda / reserva], "&lt;"  &amp; EOMONTH($A96,0) + 1
)</f>
        <v>0</v>
      </c>
      <c r="BS96" s="178">
        <f ca="1">SUMIFS(rec.uni[2028-10-01],
INDIRECT("rec.uni[natureza]"),"pro.soluto",
INDIRECT("rec.uni[empresa]"),BS$6)</f>
        <v>0</v>
      </c>
      <c r="BT96" s="182">
        <f ca="1">SUMIFS(rec.uni[2028-10-01],
INDIRECT("rec.uni[natureza]"),"parcela.fin.total.ik",
INDIRECT("rec.uni[empresa]"),BT$6)</f>
        <v>0</v>
      </c>
      <c r="BU96" s="178">
        <f ca="1">SUMIFS(rec.uni[2028-10-01],
INDIRECT("rec.uni[natureza]"),"taxa.extra",
INDIRECT("rec.uni[empresa]"),BU$6)</f>
        <v>0</v>
      </c>
      <c r="BV96" s="166"/>
      <c r="BW96" s="166" cm="1">
        <f t="array" ref="BW96">SUMPRODUCT(
  IFERROR(--desp[valor],0)*
  (desp[nucleo]="UP SAUDE")*
  (desp[categoria]=BW$7)*
  (desp[data.pagamento]&gt;=$A96)*
  (desp[data.pagamento]&lt;EOMONTH($A96,0)+1)
)</f>
        <v>0</v>
      </c>
      <c r="BX96" s="166" cm="1">
        <f t="array" ref="BX96">SUMPRODUCT(
  IFERROR(--desp[valor],0)*
  (desp[nucleo]="UP SAUDE")*
  (desp[categoria]=BX$7)*
  (desp[data.pagamento]&gt;=$A96)*
  (desp[data.pagamento]&lt;EOMONTH($A96,0)+1)
)</f>
        <v>0</v>
      </c>
      <c r="BY96" s="166" cm="1">
        <f t="array" ref="BY96">SUMPRODUCT(
  IFERROR(--desp[valor],0)*
  (desp[nucleo]="UP SAUDE")*
  (desp[categoria]=BY$7)*
  (desp[data.pagamento]&gt;=$A96)*
  (desp[data.pagamento]&lt;EOMONTH($A96,0)+1)
)</f>
        <v>0</v>
      </c>
      <c r="BZ96" s="166" cm="1">
        <f t="array" ref="BZ96">SUMPRODUCT(
  IFERROR(--desp[valor],0)*
  (desp[nucleo]="UP SAUDE")*
  (desp[categoria]=BZ$7)*
  (desp[data.pagamento]&gt;=$A96)*
  (desp[data.pagamento]&lt;EOMONTH($A96,0)+1)
)</f>
        <v>0</v>
      </c>
      <c r="CA96" s="166" cm="1">
        <f t="array" ref="CA96">SUMPRODUCT(
  IFERROR(--desp[valor],0)*
  (desp[nucleo]="UP SAUDE")*
  (desp[categoria]=CA$7)*
  (desp[data.pagamento]&gt;=$A96)*
  (desp[data.pagamento]&lt;EOMONTH($A96,0)+1)
)</f>
        <v>0</v>
      </c>
      <c r="CB96" s="177">
        <f>COUNTIFS(
    estq[empresa], CB$6,
    estq[Data da venda / reserva], "&gt;=" &amp; $A96,
    estq[Data da venda / reserva], "&lt;"  &amp; EOMONTH($A96,0) + 1
)</f>
        <v>0</v>
      </c>
      <c r="CC96" s="178">
        <f ca="1">SUMIFS(rec.uni[2028-10-01],
INDIRECT("rec.uni[natureza]"),"pro.soluto",
INDIRECT("rec.uni[empresa]"),CC$6)</f>
        <v>0</v>
      </c>
      <c r="CD96" s="178">
        <f ca="1">SUMIFS(rec.uni[2028-10-01],
INDIRECT("rec.uni[natureza]"),"repasse.cef.obra",
INDIRECT("rec.uni[empresa]"),CD$6)</f>
        <v>0</v>
      </c>
      <c r="CE96" s="181">
        <f ca="1">SUMIFS(rec.uni[2028-10-01],
INDIRECT("rec.uni[natureza]"),"repasse.cef.terreno",
INDIRECT("rec.uni[empresa]"),CE$6)</f>
        <v>0</v>
      </c>
      <c r="CF96" s="182"/>
      <c r="CG96" s="178">
        <f ca="1">SUMIFS(rec.uni[2028-10-01],
INDIRECT("rec.uni[natureza]"),"taxa.extra",
INDIRECT("rec.uni[empresa]"),CG$6)</f>
        <v>0</v>
      </c>
      <c r="CH96" s="166"/>
      <c r="CI96" s="166" cm="1">
        <f t="array" ref="CI96">SUMPRODUCT(
  IFERROR(--desp[valor],0)*
  (desp[nucleo]="UP ESTAÇÃO VILA SONIA")*
  (desp[categoria]=CI$7)*
  (desp[data.pagamento]&gt;=$A96)*
  (desp[data.pagamento]&lt;EOMONTH($A96,0)+1)
)</f>
        <v>0</v>
      </c>
      <c r="CJ96" s="166" cm="1">
        <f t="array" ref="CJ96">SUMPRODUCT(
  IFERROR(--desp[valor],0)*
  (desp[nucleo]="UP ESTAÇÃO VILA SONIA")*
  (desp[categoria]=CJ$7)*
  (desp[data.pagamento]&gt;=$A96)*
  (desp[data.pagamento]&lt;EOMONTH($A96,0)+1)
)</f>
        <v>0</v>
      </c>
      <c r="CK96" s="166" cm="1">
        <f t="array" ref="CK96">SUMPRODUCT(
  IFERROR(--desp[valor],0)*
  (desp[nucleo]="UP ESTAÇÃO VILA SONIA")*
  (desp[categoria]=CK$7)*
  (desp[data.pagamento]&gt;=$A96)*
  (desp[data.pagamento]&lt;EOMONTH($A96,0)+1)
)</f>
        <v>0</v>
      </c>
      <c r="CL96" s="166" cm="1">
        <f t="array" ref="CL96">SUMPRODUCT(
  IFERROR(--desp[valor],0)*
  (desp[nucleo]="UP ESTAÇÃO VILA SONIA")*
  (desp[categoria]=CL$7)*
  (desp[data.pagamento]&gt;=$A96)*
  (desp[data.pagamento]&lt;EOMONTH($A96,0)+1)
)</f>
        <v>0</v>
      </c>
      <c r="CM96" s="166" cm="1">
        <f t="array" ref="CM96">SUMPRODUCT(
  IFERROR(--desp[valor],0)*
  (desp[nucleo]="UP ESTAÇÃO VILA SONIA")*
  (desp[categoria]=CM$7)*
  (desp[data.pagamento]&gt;=$A96)*
  (desp[data.pagamento]&lt;EOMONTH($A96,0)+1)
)</f>
        <v>0</v>
      </c>
      <c r="CN96" s="177">
        <f>COUNTIFS(
    estq[empresa], CN$6,
    estq[Data da venda / reserva], "&gt;=" &amp; $A96,
    estq[Data da venda / reserva], "&lt;"  &amp; EOMONTH($A96,0) + 1
)</f>
        <v>0</v>
      </c>
      <c r="CO96" s="178">
        <f ca="1">SUMIFS(rec.uni[2028-10-01],
INDIRECT("rec.uni[natureza]"),"pro.soluto",
INDIRECT("rec.uni[empresa]"),CO$6)</f>
        <v>0</v>
      </c>
      <c r="CP96" s="178">
        <f ca="1">SUMIFS(rec.uni[2028-10-01],
INDIRECT("rec.uni[natureza]"),"repasse.cef.obra",
INDIRECT("rec.uni[empresa]"),CP$6)</f>
        <v>0</v>
      </c>
      <c r="CQ96" s="181">
        <f ca="1">SUMIFS(rec.uni[2028-10-01],
INDIRECT("rec.uni[natureza]"),"repasse.cef.terreno",
INDIRECT("rec.uni[empresa]"),CQ$6)</f>
        <v>0</v>
      </c>
      <c r="CR96" s="182"/>
      <c r="CS96" s="178">
        <f ca="1">SUMIFS(rec.uni[2028-10-01],
INDIRECT("rec.uni[natureza]"),"taxa.extra",
INDIRECT("rec.uni[empresa]"),CS$6)</f>
        <v>0</v>
      </c>
      <c r="CT96" s="166"/>
      <c r="CU96" s="166" cm="1">
        <f t="array" ref="CU96">SUMPRODUCT(
  IFERROR(--desp[valor],0)*
  (desp[nucleo]="UP MOVE VILA SONIA")*
  (desp[categoria]=CU$7)*
  (desp[data.pagamento]&gt;=$A96)*
  (desp[data.pagamento]&lt;EOMONTH($A96,0)+1)
)</f>
        <v>0</v>
      </c>
      <c r="CV96" s="166" cm="1">
        <f t="array" ref="CV96">SUMPRODUCT(
  IFERROR(--desp[valor],0)*
  (desp[nucleo]="UP MOVE VILA SONIA")*
  (desp[categoria]=CV$7)*
  (desp[data.pagamento]&gt;=$A96)*
  (desp[data.pagamento]&lt;EOMONTH($A96,0)+1)
)</f>
        <v>0</v>
      </c>
      <c r="CW96" s="166" cm="1">
        <f t="array" ref="CW96">SUMPRODUCT(
  IFERROR(--desp[valor],0)*
  (desp[nucleo]="UP MOVE VILA SONIA")*
  (desp[categoria]=CW$7)*
  (desp[data.pagamento]&gt;=$A96)*
  (desp[data.pagamento]&lt;EOMONTH($A96,0)+1)
)</f>
        <v>0</v>
      </c>
      <c r="CX96" s="166" cm="1">
        <f t="array" ref="CX96">SUMPRODUCT(
  IFERROR(--desp[valor],0)*
  (desp[nucleo]="UP MOVE VILA SONIA")*
  (desp[categoria]=CX$7)*
  (desp[data.pagamento]&gt;=$A96)*
  (desp[data.pagamento]&lt;EOMONTH($A96,0)+1)
)</f>
        <v>0</v>
      </c>
      <c r="CY96" s="291" cm="1">
        <f t="array" ref="CY96">SUMPRODUCT(
  IFERROR(--desp[valor],0)*
  (desp[nucleo]="UP MOVE VILA SONIA")*
  (desp[categoria]=CY$7)*
  (desp[data.pagamento]&gt;=$A96)*
  (desp[data.pagamento]&lt;EOMONTH($A96,0)+1)
)</f>
        <v>0</v>
      </c>
    </row>
    <row r="97" spans="1:103" x14ac:dyDescent="0.25">
      <c r="A97" s="176">
        <v>47058</v>
      </c>
      <c r="B97" s="177">
        <f>COUNTIFS(
    estq[empresa], B$6,
    estq[Data da venda / reserva], "&gt;=" &amp; $A97,
    estq[Data da venda / reserva], "&lt;"  &amp; EOMONTH($A97,0) + 1
)</f>
        <v>0</v>
      </c>
      <c r="C97" s="178">
        <f ca="1">SUMIFS(rec.uni[2028-11-01],
INDIRECT("rec.uni[natureza]"),"pro.soluto",
INDIRECT("rec.uni[empresa]"),C$6)</f>
        <v>0</v>
      </c>
      <c r="D97" s="178">
        <f ca="1">SUMIFS(rec.uni[2028-11-01],
INDIRECT("rec.uni[natureza]"),"repasse.cef.obra",
INDIRECT("rec.uni[empresa]"),D$6)</f>
        <v>0</v>
      </c>
      <c r="E97" s="178">
        <f ca="1">SUMIFS(rec.uni[2028-11-01],
INDIRECT("rec.uni[natureza]"),"repasse.cef.terreno",
INDIRECT("rec.uni[empresa]"),E$6)</f>
        <v>0</v>
      </c>
      <c r="F97" s="182"/>
      <c r="G97" s="178">
        <f ca="1">SUMIFS(rec.uni[2028-11-01],
INDIRECT("rec.uni[natureza]"),"taxa.extra",
INDIRECT("rec.uni[empresa]"),G$6)</f>
        <v>0</v>
      </c>
      <c r="H97" s="166"/>
      <c r="I97" s="166" cm="1">
        <f t="array" ref="I97">SUMPRODUCT(
  IFERROR(--desp[valor],0)*
  (desp[nucleo]="UP JARDIM PRUDENCIA")*
  (desp[categoria]=I$7)*
  (desp[data.pagamento]&gt;=$A97)*
  (desp[data.pagamento]&lt;EOMONTH($A97,0)+1)
)</f>
        <v>0</v>
      </c>
      <c r="J97" s="166" cm="1">
        <f t="array" ref="J97">SUMPRODUCT(
  IFERROR(--desp[valor],0)*
  (desp[nucleo]="UP JARDIM PRUDENCIA")*
  (desp[categoria]=J$7)*
  (desp[data.pagamento]&gt;=$A97)*
  (desp[data.pagamento]&lt;EOMONTH($A97,0)+1)
)</f>
        <v>0</v>
      </c>
      <c r="K97" s="166" cm="1">
        <f t="array" ref="K97">SUMPRODUCT(
  IFERROR(--desp[valor],0)*
  (desp[nucleo]="UP JARDIM PRUDENCIA")*
  (desp[categoria]=K$7)*
  (desp[data.pagamento]&gt;=$A97)*
  (desp[data.pagamento]&lt;EOMONTH($A97,0)+1)
)</f>
        <v>0</v>
      </c>
      <c r="L97" s="166" cm="1">
        <f t="array" ref="L97">SUMPRODUCT(
  IFERROR(--desp[valor],0)*
  (desp[nucleo]="UP JARDIM PRUDENCIA")*
  (desp[categoria]=L$7)*
  (desp[data.pagamento]&gt;=$A97)*
  (desp[data.pagamento]&lt;EOMONTH($A97,0)+1)
)</f>
        <v>0</v>
      </c>
      <c r="M97" s="166" cm="1">
        <f t="array" ref="M97">SUMPRODUCT(
  IFERROR(--desp[valor],0)*
  (desp[nucleo]="UP JARDIM PRUDENCIA")*
  (desp[categoria]=M$7)*
  (desp[data.pagamento]&gt;=$A97)*
  (desp[data.pagamento]&lt;EOMONTH($A97,0)+1)
)</f>
        <v>0</v>
      </c>
      <c r="N97" s="177">
        <f>COUNTIFS(
    estq[empresa], N$6,
    estq[Data da venda / reserva], "&gt;=" &amp; $A97,
    estq[Data da venda / reserva], "&lt;"  &amp; EOMONTH($A97,0) + 1
)</f>
        <v>0</v>
      </c>
      <c r="O97" s="178">
        <f ca="1">SUMIFS(rec.uni[2028-11-01],
INDIRECT("rec.uni[natureza]"),"pro.soluto",
INDIRECT("rec.uni[empresa]"),O$6)</f>
        <v>0</v>
      </c>
      <c r="P97" s="178">
        <f ca="1">SUMIFS(rec.uni[2028-11-01],
INDIRECT("rec.uni[natureza]"),"repasse.cef.obra",
INDIRECT("rec.uni[empresa]"),P$6)</f>
        <v>0</v>
      </c>
      <c r="Q97" s="178">
        <f ca="1">SUMIFS(rec.uni[2028-11-01],
INDIRECT("rec.uni[natureza]"),"repasse.cef.terreno",
INDIRECT("rec.uni[empresa]"),Q$6)</f>
        <v>0</v>
      </c>
      <c r="R97" s="182"/>
      <c r="S97" s="178">
        <f ca="1">SUMIFS(rec.uni[2028-11-01],
INDIRECT("rec.uni[natureza]"),"taxa.extra",
INDIRECT("rec.uni[empresa]"),S$6)</f>
        <v>0</v>
      </c>
      <c r="T97" s="166"/>
      <c r="U97" s="166" cm="1">
        <f t="array" ref="U97">SUMPRODUCT(
  IFERROR(--desp[valor],0)*
  (desp[nucleo]="UP VILA SONIA")*
  (desp[categoria]=U$7)*
  (desp[data.pagamento]&gt;=$A97)*
  (desp[data.pagamento]&lt;EOMONTH($A97,0)+1)
)</f>
        <v>0</v>
      </c>
      <c r="V97" s="166" cm="1">
        <f t="array" ref="V97">SUMPRODUCT(
  IFERROR(--desp[valor],0)*
  (desp[nucleo]="UP VILA SONIA")*
  (desp[categoria]=V$7)*
  (desp[data.pagamento]&gt;=$A97)*
  (desp[data.pagamento]&lt;EOMONTH($A97,0)+1)
)</f>
        <v>0</v>
      </c>
      <c r="W97" s="166" cm="1">
        <f t="array" ref="W97">SUMPRODUCT(
  IFERROR(--desp[valor],0)*
  (desp[nucleo]="UP VILA SONIA")*
  (desp[categoria]=W$7)*
  (desp[data.pagamento]&gt;=$A97)*
  (desp[data.pagamento]&lt;EOMONTH($A97,0)+1)
)</f>
        <v>0</v>
      </c>
      <c r="X97" s="166" cm="1">
        <f t="array" ref="X97">SUMPRODUCT(
  IFERROR(--desp[valor],0)*
  (desp[nucleo]="UP VILA SONIA")*
  (desp[categoria]=X$7)*
  (desp[data.pagamento]&gt;=$A97)*
  (desp[data.pagamento]&lt;EOMONTH($A97,0)+1)
)</f>
        <v>0</v>
      </c>
      <c r="Y97" s="166" cm="1">
        <f t="array" ref="Y97">SUMPRODUCT(
  IFERROR(--desp[valor],0)*
  (desp[nucleo]="UP VILA SONIA")*
  (desp[categoria]=Y$7)*
  (desp[data.pagamento]&gt;=$A97)*
  (desp[data.pagamento]&lt;EOMONTH($A97,0)+1)
)</f>
        <v>0</v>
      </c>
      <c r="Z97" s="177">
        <f>COUNTIFS(
    estq[empresa], Z$6,
    estq[Data da venda / reserva], "&gt;=" &amp; $A97,
    estq[Data da venda / reserva], "&lt;"  &amp; EOMONTH($A97,0) + 1
)</f>
        <v>0</v>
      </c>
      <c r="AA97" s="178">
        <f ca="1">SUMIFS(rec.uni[2028-11-01],
INDIRECT("rec.uni[natureza]"),"pro.soluto",
INDIRECT("rec.uni[empresa]"),AA$6)</f>
        <v>0</v>
      </c>
      <c r="AB97" s="182">
        <f ca="1">SUMIFS(rec.uni[2028-11-01],
INDIRECT("rec.uni[natureza]"),"parcela.fin.total.ik",
INDIRECT("rec.uni[empresa]"),AB$6)</f>
        <v>0</v>
      </c>
      <c r="AC97" s="178">
        <f ca="1">SUMIFS(rec.uni[2028-11-01],
INDIRECT("rec.uni[natureza]"),"taxa.extra",
INDIRECT("rec.uni[empresa]"),AC$6)</f>
        <v>0</v>
      </c>
      <c r="AD97" s="166"/>
      <c r="AE97" s="166" cm="1">
        <f t="array" ref="AE97">SUMPRODUCT(
  IFERROR(--desp[valor],0)*
  (desp[nucleo]="UP CAMPO BELO")*
  (desp[categoria]=AE$7)*
  (desp[data.pagamento]&gt;=$A97)*
  (desp[data.pagamento]&lt;EOMONTH($A97,0)+1)
)</f>
        <v>0</v>
      </c>
      <c r="AF97" s="166" cm="1">
        <f t="array" ref="AF97">SUMPRODUCT(
  IFERROR(--desp[valor],0)*
  (desp[nucleo]="UP CAMPO BELO")*
  (desp[categoria]=AF$7)*
  (desp[data.pagamento]&gt;=$A97)*
  (desp[data.pagamento]&lt;EOMONTH($A97,0)+1)
)</f>
        <v>0</v>
      </c>
      <c r="AG97" s="166" cm="1">
        <f t="array" ref="AG97">SUMPRODUCT(
  IFERROR(--desp[valor],0)*
  (desp[nucleo]="UP CAMPO BELO")*
  (desp[categoria]=AG$7)*
  (desp[data.pagamento]&gt;=$A97)*
  (desp[data.pagamento]&lt;EOMONTH($A97,0)+1)
)</f>
        <v>0</v>
      </c>
      <c r="AH97" s="166" cm="1">
        <f t="array" ref="AH97">SUMPRODUCT(
  IFERROR(--desp[valor],0)*
  (desp[nucleo]="UP CAMPO BELO")*
  (desp[categoria]=AH$7)*
  (desp[data.pagamento]&gt;=$A97)*
  (desp[data.pagamento]&lt;EOMONTH($A97,0)+1)
)</f>
        <v>0</v>
      </c>
      <c r="AI97" s="166" cm="1">
        <f t="array" ref="AI97">SUMPRODUCT(
  IFERROR(--desp[valor],0)*
  (desp[nucleo]="UP CAMPO BELO")*
  (desp[categoria]=AI$7)*
  (desp[data.pagamento]&gt;=$A97)*
  (desp[data.pagamento]&lt;EOMONTH($A97,0)+1)
)</f>
        <v>0</v>
      </c>
      <c r="AJ97" s="177">
        <f>COUNTIFS(
    estq[empresa], AJ$6,
    estq[Data da venda / reserva], "&gt;=" &amp; $A97,
    estq[Data da venda / reserva], "&lt;"  &amp; EOMONTH($A97,0) + 1
)</f>
        <v>0</v>
      </c>
      <c r="AK97" s="178">
        <f ca="1">SUMIFS(rec.uni[2028-11-01],
INDIRECT("rec.uni[natureza]"),"pro.soluto",
INDIRECT("rec.uni[empresa]"),AK$6)</f>
        <v>0</v>
      </c>
      <c r="AL97" s="178">
        <f ca="1">SUMIFS(rec.uni[2028-11-01],
INDIRECT("rec.uni[natureza]"),"repasse.cef.obra",
INDIRECT("rec.uni[empresa]"),AL$6)</f>
        <v>0</v>
      </c>
      <c r="AM97" s="181">
        <f ca="1">SUMIFS(rec.uni[2028-11-01],
INDIRECT("rec.uni[natureza]"),"repasse.cef.terreno",
INDIRECT("rec.uni[empresa]"),AM$6)</f>
        <v>0</v>
      </c>
      <c r="AN97" s="182"/>
      <c r="AO97" s="178">
        <f ca="1">SUMIFS(rec.uni[2028-11-01],
INDIRECT("rec.uni[natureza]"),"taxa.extra",
INDIRECT("rec.uni[empresa]"),AO$6)</f>
        <v>0</v>
      </c>
      <c r="AP97" s="166"/>
      <c r="AQ97" s="166" cm="1">
        <f t="array" ref="AQ97">SUMPRODUCT(
  IFERROR(--desp[valor],0)*
  (desp[nucleo]="UP SELECT VILA SONIA")*
  (desp[categoria]=AQ$7)*
  (desp[data.pagamento]&gt;=$A97)*
  (desp[data.pagamento]&lt;EOMONTH($A97,0)+1)
)</f>
        <v>0</v>
      </c>
      <c r="AR97" s="166" cm="1">
        <f t="array" ref="AR97">SUMPRODUCT(
  IFERROR(--desp[valor],0)*
  (desp[nucleo]="UP SELECT VILA SONIA")*
  (desp[categoria]=AR$7)*
  (desp[data.pagamento]&gt;=$A97)*
  (desp[data.pagamento]&lt;EOMONTH($A97,0)+1)
)</f>
        <v>0</v>
      </c>
      <c r="AS97" s="166" cm="1">
        <f t="array" ref="AS97">SUMPRODUCT(
  IFERROR(--desp[valor],0)*
  (desp[nucleo]="UP SELECT VILA SONIA")*
  (desp[categoria]=AS$7)*
  (desp[data.pagamento]&gt;=$A97)*
  (desp[data.pagamento]&lt;EOMONTH($A97,0)+1)
)</f>
        <v>0</v>
      </c>
      <c r="AT97" s="166" cm="1">
        <f t="array" ref="AT97">SUMPRODUCT(
  IFERROR(--desp[valor],0)*
  (desp[nucleo]="UP SELECT VILA SONIA")*
  (desp[categoria]=AT$7)*
  (desp[data.pagamento]&gt;=$A97)*
  (desp[data.pagamento]&lt;EOMONTH($A97,0)+1)
)</f>
        <v>0</v>
      </c>
      <c r="AU97" s="166" cm="1">
        <f t="array" ref="AU97">SUMPRODUCT(
  IFERROR(--desp[valor],0)*
  (desp[nucleo]="UP SELECT VILA SONIA")*
  (desp[categoria]=AU$7)*
  (desp[data.pagamento]&gt;=$A97)*
  (desp[data.pagamento]&lt;EOMONTH($A97,0)+1)
)</f>
        <v>0</v>
      </c>
      <c r="AV97" s="177">
        <f>COUNTIFS(
    estq[empresa], AV$6,
    estq[Data da venda / reserva], "&gt;=" &amp; $A97,
    estq[Data da venda / reserva], "&lt;"  &amp; EOMONTH($A97,0) + 1
)</f>
        <v>0</v>
      </c>
      <c r="AW97" s="178">
        <f ca="1">SUMIFS(rec.uni[2028-11-01],
INDIRECT("rec.uni[natureza]"),"pro.soluto",
INDIRECT("rec.uni[empresa]"),AW$6)</f>
        <v>0</v>
      </c>
      <c r="AX97" s="178">
        <f ca="1">SUMIFS(rec.uni[2028-11-01],
INDIRECT("rec.uni[natureza]"),"repasse.cef.obra",
INDIRECT("rec.uni[empresa]"),AX$6)</f>
        <v>0</v>
      </c>
      <c r="AY97" s="181">
        <f ca="1">SUMIFS(rec.uni[2028-11-01],
INDIRECT("rec.uni[natureza]"),"repasse.cef.terreno",
INDIRECT("rec.uni[empresa]"),AY$6)</f>
        <v>0</v>
      </c>
      <c r="AZ97" s="182"/>
      <c r="BA97" s="178">
        <f ca="1">SUMIFS(rec.uni[2028-11-01],
INDIRECT("rec.uni[natureza]"),"taxa.extra",
INDIRECT("rec.uni[empresa]"),BA$6)</f>
        <v>0</v>
      </c>
      <c r="BB97" s="166"/>
      <c r="BC97" s="166" cm="1">
        <f t="array" ref="BC97">SUMPRODUCT(
  IFERROR(--desp[valor],0)*
  (desp[nucleo]="UP ESTAÇÃO SÃO LUCAS")*
  (desp[categoria]=BC$7)*
  (desp[data.pagamento]&gt;=$A97)*
  (desp[data.pagamento]&lt;EOMONTH($A97,0)+1)
)</f>
        <v>0</v>
      </c>
      <c r="BD97" s="166" cm="1">
        <f t="array" ref="BD97">SUMPRODUCT(
  IFERROR(--desp[valor],0)*
  (desp[nucleo]="UP ESTAÇÃO SÃO LUCAS")*
  (desp[categoria]=BD$7)*
  (desp[data.pagamento]&gt;=$A97)*
  (desp[data.pagamento]&lt;EOMONTH($A97,0)+1)
)</f>
        <v>0</v>
      </c>
      <c r="BE97" s="166" cm="1">
        <f t="array" ref="BE97">SUMPRODUCT(
  IFERROR(--desp[valor],0)*
  (desp[nucleo]="UP ESTAÇÃO SÃO LUCAS")*
  (desp[categoria]=BE$7)*
  (desp[data.pagamento]&gt;=$A97)*
  (desp[data.pagamento]&lt;EOMONTH($A97,0)+1)
)</f>
        <v>0</v>
      </c>
      <c r="BF97" s="166" cm="1">
        <f t="array" ref="BF97">SUMPRODUCT(
  IFERROR(--desp[valor],0)*
  (desp[nucleo]="UP ESTAÇÃO SÃO LUCAS")*
  (desp[categoria]=BF$7)*
  (desp[data.pagamento]&gt;=$A97)*
  (desp[data.pagamento]&lt;EOMONTH($A97,0)+1)
)</f>
        <v>0</v>
      </c>
      <c r="BG97" s="166" cm="1">
        <f t="array" ref="BG97">SUMPRODUCT(
  IFERROR(--desp[valor],0)*
  (desp[nucleo]="UP ESTAÇÃO SÃO LUCAS")*
  (desp[categoria]=BG$7)*
  (desp[data.pagamento]&gt;=$A97)*
  (desp[data.pagamento]&lt;EOMONTH($A97,0)+1)
)</f>
        <v>0</v>
      </c>
      <c r="BH97" s="177">
        <f>COUNTIFS(
    estq[empresa], BH$6,
    estq[Data da venda / reserva], "&gt;=" &amp; $A97,
    estq[Data da venda / reserva], "&lt;"  &amp; EOMONTH($A97,0) + 1
)</f>
        <v>0</v>
      </c>
      <c r="BI97" s="178">
        <f ca="1">SUMIFS(rec.uni[2028-11-01],
INDIRECT("rec.uni[natureza]"),"pro.soluto",
INDIRECT("rec.uni[empresa]"),BI$6)</f>
        <v>0</v>
      </c>
      <c r="BJ97" s="182">
        <f ca="1">SUMIFS(rec.uni[2028-11-01],
INDIRECT("rec.uni[natureza]"),"parcela.fin.total.ik",
INDIRECT("rec.uni[empresa]"),BJ$6)</f>
        <v>0</v>
      </c>
      <c r="BK97" s="178">
        <f ca="1">SUMIFS(rec.uni[2028-11-01],
INDIRECT("rec.uni[natureza]"),"taxa.extra",
INDIRECT("rec.uni[empresa]"),BK$6)</f>
        <v>0</v>
      </c>
      <c r="BL97" s="166"/>
      <c r="BM97" s="166" cm="1">
        <f t="array" ref="BM97">SUMPRODUCT(
  IFERROR(--desp[valor],0)*
  (desp[nucleo]="UP POMPEIA")*
  (desp[categoria]=BM$7)*
  (desp[data.pagamento]&gt;=$A97)*
  (desp[data.pagamento]&lt;EOMONTH($A97,0)+1)
)</f>
        <v>0</v>
      </c>
      <c r="BN97" s="166" cm="1">
        <f t="array" ref="BN97">SUMPRODUCT(
  IFERROR(--desp[valor],0)*
  (desp[nucleo]="UP POMPEIA")*
  (desp[categoria]=BN$7)*
  (desp[data.pagamento]&gt;=$A97)*
  (desp[data.pagamento]&lt;EOMONTH($A97,0)+1)
)</f>
        <v>0</v>
      </c>
      <c r="BO97" s="166" cm="1">
        <f t="array" ref="BO97">SUMPRODUCT(
  IFERROR(--desp[valor],0)*
  (desp[nucleo]="UP POMPEIA")*
  (desp[categoria]=BO$7)*
  (desp[data.pagamento]&gt;=$A97)*
  (desp[data.pagamento]&lt;EOMONTH($A97,0)+1)
)</f>
        <v>0</v>
      </c>
      <c r="BP97" s="166" cm="1">
        <f t="array" ref="BP97">SUMPRODUCT(
  IFERROR(--desp[valor],0)*
  (desp[nucleo]="UP POMPEIA")*
  (desp[categoria]=BP$7)*
  (desp[data.pagamento]&gt;=$A97)*
  (desp[data.pagamento]&lt;EOMONTH($A97,0)+1)
)</f>
        <v>0</v>
      </c>
      <c r="BQ97" s="166" cm="1">
        <f t="array" ref="BQ97">SUMPRODUCT(
  IFERROR(--desp[valor],0)*
  (desp[nucleo]="UP POMPEIA")*
  (desp[categoria]=BQ$7)*
  (desp[data.pagamento]&gt;=$A97)*
  (desp[data.pagamento]&lt;EOMONTH($A97,0)+1)
)</f>
        <v>0</v>
      </c>
      <c r="BR97" s="177">
        <f>COUNTIFS(
    estq[empresa], BR$6,
    estq[Data da venda / reserva], "&gt;=" &amp; $A97,
    estq[Data da venda / reserva], "&lt;"  &amp; EOMONTH($A97,0) + 1
)</f>
        <v>0</v>
      </c>
      <c r="BS97" s="178">
        <f ca="1">SUMIFS(rec.uni[2028-11-01],
INDIRECT("rec.uni[natureza]"),"pro.soluto",
INDIRECT("rec.uni[empresa]"),BS$6)</f>
        <v>0</v>
      </c>
      <c r="BT97" s="182">
        <f ca="1">SUMIFS(rec.uni[2028-11-01],
INDIRECT("rec.uni[natureza]"),"parcela.fin.total.ik",
INDIRECT("rec.uni[empresa]"),BT$6)</f>
        <v>0</v>
      </c>
      <c r="BU97" s="178">
        <f ca="1">SUMIFS(rec.uni[2028-11-01],
INDIRECT("rec.uni[natureza]"),"taxa.extra",
INDIRECT("rec.uni[empresa]"),BU$6)</f>
        <v>0</v>
      </c>
      <c r="BV97" s="166"/>
      <c r="BW97" s="166" cm="1">
        <f t="array" ref="BW97">SUMPRODUCT(
  IFERROR(--desp[valor],0)*
  (desp[nucleo]="UP SAUDE")*
  (desp[categoria]=BW$7)*
  (desp[data.pagamento]&gt;=$A97)*
  (desp[data.pagamento]&lt;EOMONTH($A97,0)+1)
)</f>
        <v>0</v>
      </c>
      <c r="BX97" s="166" cm="1">
        <f t="array" ref="BX97">SUMPRODUCT(
  IFERROR(--desp[valor],0)*
  (desp[nucleo]="UP SAUDE")*
  (desp[categoria]=BX$7)*
  (desp[data.pagamento]&gt;=$A97)*
  (desp[data.pagamento]&lt;EOMONTH($A97,0)+1)
)</f>
        <v>0</v>
      </c>
      <c r="BY97" s="166" cm="1">
        <f t="array" ref="BY97">SUMPRODUCT(
  IFERROR(--desp[valor],0)*
  (desp[nucleo]="UP SAUDE")*
  (desp[categoria]=BY$7)*
  (desp[data.pagamento]&gt;=$A97)*
  (desp[data.pagamento]&lt;EOMONTH($A97,0)+1)
)</f>
        <v>0</v>
      </c>
      <c r="BZ97" s="166" cm="1">
        <f t="array" ref="BZ97">SUMPRODUCT(
  IFERROR(--desp[valor],0)*
  (desp[nucleo]="UP SAUDE")*
  (desp[categoria]=BZ$7)*
  (desp[data.pagamento]&gt;=$A97)*
  (desp[data.pagamento]&lt;EOMONTH($A97,0)+1)
)</f>
        <v>0</v>
      </c>
      <c r="CA97" s="166" cm="1">
        <f t="array" ref="CA97">SUMPRODUCT(
  IFERROR(--desp[valor],0)*
  (desp[nucleo]="UP SAUDE")*
  (desp[categoria]=CA$7)*
  (desp[data.pagamento]&gt;=$A97)*
  (desp[data.pagamento]&lt;EOMONTH($A97,0)+1)
)</f>
        <v>0</v>
      </c>
      <c r="CB97" s="177">
        <f>COUNTIFS(
    estq[empresa], CB$6,
    estq[Data da venda / reserva], "&gt;=" &amp; $A97,
    estq[Data da venda / reserva], "&lt;"  &amp; EOMONTH($A97,0) + 1
)</f>
        <v>0</v>
      </c>
      <c r="CC97" s="178">
        <f ca="1">SUMIFS(rec.uni[2028-11-01],
INDIRECT("rec.uni[natureza]"),"pro.soluto",
INDIRECT("rec.uni[empresa]"),CC$6)</f>
        <v>0</v>
      </c>
      <c r="CD97" s="178">
        <f ca="1">SUMIFS(rec.uni[2028-11-01],
INDIRECT("rec.uni[natureza]"),"repasse.cef.obra",
INDIRECT("rec.uni[empresa]"),CD$6)</f>
        <v>0</v>
      </c>
      <c r="CE97" s="181">
        <f ca="1">SUMIFS(rec.uni[2028-11-01],
INDIRECT("rec.uni[natureza]"),"repasse.cef.terreno",
INDIRECT("rec.uni[empresa]"),CE$6)</f>
        <v>0</v>
      </c>
      <c r="CF97" s="182"/>
      <c r="CG97" s="178">
        <f ca="1">SUMIFS(rec.uni[2028-11-01],
INDIRECT("rec.uni[natureza]"),"taxa.extra",
INDIRECT("rec.uni[empresa]"),CG$6)</f>
        <v>0</v>
      </c>
      <c r="CH97" s="166"/>
      <c r="CI97" s="166" cm="1">
        <f t="array" ref="CI97">SUMPRODUCT(
  IFERROR(--desp[valor],0)*
  (desp[nucleo]="UP ESTAÇÃO VILA SONIA")*
  (desp[categoria]=CI$7)*
  (desp[data.pagamento]&gt;=$A97)*
  (desp[data.pagamento]&lt;EOMONTH($A97,0)+1)
)</f>
        <v>0</v>
      </c>
      <c r="CJ97" s="166" cm="1">
        <f t="array" ref="CJ97">SUMPRODUCT(
  IFERROR(--desp[valor],0)*
  (desp[nucleo]="UP ESTAÇÃO VILA SONIA")*
  (desp[categoria]=CJ$7)*
  (desp[data.pagamento]&gt;=$A97)*
  (desp[data.pagamento]&lt;EOMONTH($A97,0)+1)
)</f>
        <v>0</v>
      </c>
      <c r="CK97" s="166" cm="1">
        <f t="array" ref="CK97">SUMPRODUCT(
  IFERROR(--desp[valor],0)*
  (desp[nucleo]="UP ESTAÇÃO VILA SONIA")*
  (desp[categoria]=CK$7)*
  (desp[data.pagamento]&gt;=$A97)*
  (desp[data.pagamento]&lt;EOMONTH($A97,0)+1)
)</f>
        <v>0</v>
      </c>
      <c r="CL97" s="166" cm="1">
        <f t="array" ref="CL97">SUMPRODUCT(
  IFERROR(--desp[valor],0)*
  (desp[nucleo]="UP ESTAÇÃO VILA SONIA")*
  (desp[categoria]=CL$7)*
  (desp[data.pagamento]&gt;=$A97)*
  (desp[data.pagamento]&lt;EOMONTH($A97,0)+1)
)</f>
        <v>0</v>
      </c>
      <c r="CM97" s="166" cm="1">
        <f t="array" ref="CM97">SUMPRODUCT(
  IFERROR(--desp[valor],0)*
  (desp[nucleo]="UP ESTAÇÃO VILA SONIA")*
  (desp[categoria]=CM$7)*
  (desp[data.pagamento]&gt;=$A97)*
  (desp[data.pagamento]&lt;EOMONTH($A97,0)+1)
)</f>
        <v>0</v>
      </c>
      <c r="CN97" s="177">
        <f>COUNTIFS(
    estq[empresa], CN$6,
    estq[Data da venda / reserva], "&gt;=" &amp; $A97,
    estq[Data da venda / reserva], "&lt;"  &amp; EOMONTH($A97,0) + 1
)</f>
        <v>0</v>
      </c>
      <c r="CO97" s="178">
        <f ca="1">SUMIFS(rec.uni[2028-11-01],
INDIRECT("rec.uni[natureza]"),"pro.soluto",
INDIRECT("rec.uni[empresa]"),CO$6)</f>
        <v>0</v>
      </c>
      <c r="CP97" s="178">
        <f ca="1">SUMIFS(rec.uni[2028-11-01],
INDIRECT("rec.uni[natureza]"),"repasse.cef.obra",
INDIRECT("rec.uni[empresa]"),CP$6)</f>
        <v>0</v>
      </c>
      <c r="CQ97" s="181">
        <f ca="1">SUMIFS(rec.uni[2028-11-01],
INDIRECT("rec.uni[natureza]"),"repasse.cef.terreno",
INDIRECT("rec.uni[empresa]"),CQ$6)</f>
        <v>0</v>
      </c>
      <c r="CR97" s="182"/>
      <c r="CS97" s="178">
        <f ca="1">SUMIFS(rec.uni[2028-11-01],
INDIRECT("rec.uni[natureza]"),"taxa.extra",
INDIRECT("rec.uni[empresa]"),CS$6)</f>
        <v>0</v>
      </c>
      <c r="CT97" s="166"/>
      <c r="CU97" s="166" cm="1">
        <f t="array" ref="CU97">SUMPRODUCT(
  IFERROR(--desp[valor],0)*
  (desp[nucleo]="UP MOVE VILA SONIA")*
  (desp[categoria]=CU$7)*
  (desp[data.pagamento]&gt;=$A97)*
  (desp[data.pagamento]&lt;EOMONTH($A97,0)+1)
)</f>
        <v>0</v>
      </c>
      <c r="CV97" s="166" cm="1">
        <f t="array" ref="CV97">SUMPRODUCT(
  IFERROR(--desp[valor],0)*
  (desp[nucleo]="UP MOVE VILA SONIA")*
  (desp[categoria]=CV$7)*
  (desp[data.pagamento]&gt;=$A97)*
  (desp[data.pagamento]&lt;EOMONTH($A97,0)+1)
)</f>
        <v>0</v>
      </c>
      <c r="CW97" s="166" cm="1">
        <f t="array" ref="CW97">SUMPRODUCT(
  IFERROR(--desp[valor],0)*
  (desp[nucleo]="UP MOVE VILA SONIA")*
  (desp[categoria]=CW$7)*
  (desp[data.pagamento]&gt;=$A97)*
  (desp[data.pagamento]&lt;EOMONTH($A97,0)+1)
)</f>
        <v>0</v>
      </c>
      <c r="CX97" s="166" cm="1">
        <f t="array" ref="CX97">SUMPRODUCT(
  IFERROR(--desp[valor],0)*
  (desp[nucleo]="UP MOVE VILA SONIA")*
  (desp[categoria]=CX$7)*
  (desp[data.pagamento]&gt;=$A97)*
  (desp[data.pagamento]&lt;EOMONTH($A97,0)+1)
)</f>
        <v>0</v>
      </c>
      <c r="CY97" s="291" cm="1">
        <f t="array" ref="CY97">SUMPRODUCT(
  IFERROR(--desp[valor],0)*
  (desp[nucleo]="UP MOVE VILA SONIA")*
  (desp[categoria]=CY$7)*
  (desp[data.pagamento]&gt;=$A97)*
  (desp[data.pagamento]&lt;EOMONTH($A97,0)+1)
)</f>
        <v>0</v>
      </c>
    </row>
    <row r="98" spans="1:103" x14ac:dyDescent="0.25">
      <c r="A98" s="176">
        <v>47088</v>
      </c>
      <c r="B98" s="177">
        <f>COUNTIFS(
    estq[empresa], B$6,
    estq[Data da venda / reserva], "&gt;=" &amp; $A98,
    estq[Data da venda / reserva], "&lt;"  &amp; EOMONTH($A98,0) + 1
)</f>
        <v>0</v>
      </c>
      <c r="C98" s="178">
        <f ca="1">SUMIFS(rec.uni[2028-12-01],
INDIRECT("rec.uni[natureza]"),"pro.soluto",
INDIRECT("rec.uni[empresa]"),C$6)</f>
        <v>0</v>
      </c>
      <c r="D98" s="178">
        <f ca="1">SUMIFS(rec.uni[2028-12-01],
INDIRECT("rec.uni[natureza]"),"repasse.cef.obra",
INDIRECT("rec.uni[empresa]"),D$6)</f>
        <v>0</v>
      </c>
      <c r="E98" s="178">
        <f ca="1">SUMIFS(rec.uni[2028-12-01],
INDIRECT("rec.uni[natureza]"),"repasse.cef.terreno",
INDIRECT("rec.uni[empresa]"),E$6)</f>
        <v>0</v>
      </c>
      <c r="F98" s="182"/>
      <c r="G98" s="178">
        <f ca="1">SUMIFS(rec.uni[2028-12-01],
INDIRECT("rec.uni[natureza]"),"taxa.extra",
INDIRECT("rec.uni[empresa]"),G$6)</f>
        <v>0</v>
      </c>
      <c r="H98" s="166"/>
      <c r="I98" s="166" cm="1">
        <f t="array" ref="I98">SUMPRODUCT(
  IFERROR(--desp[valor],0)*
  (desp[nucleo]="UP JARDIM PRUDENCIA")*
  (desp[categoria]=I$7)*
  (desp[data.pagamento]&gt;=$A98)*
  (desp[data.pagamento]&lt;EOMONTH($A98,0)+1)
)</f>
        <v>0</v>
      </c>
      <c r="J98" s="166" cm="1">
        <f t="array" ref="J98">SUMPRODUCT(
  IFERROR(--desp[valor],0)*
  (desp[nucleo]="UP JARDIM PRUDENCIA")*
  (desp[categoria]=J$7)*
  (desp[data.pagamento]&gt;=$A98)*
  (desp[data.pagamento]&lt;EOMONTH($A98,0)+1)
)</f>
        <v>0</v>
      </c>
      <c r="K98" s="166" cm="1">
        <f t="array" ref="K98">SUMPRODUCT(
  IFERROR(--desp[valor],0)*
  (desp[nucleo]="UP JARDIM PRUDENCIA")*
  (desp[categoria]=K$7)*
  (desp[data.pagamento]&gt;=$A98)*
  (desp[data.pagamento]&lt;EOMONTH($A98,0)+1)
)</f>
        <v>0</v>
      </c>
      <c r="L98" s="166" cm="1">
        <f t="array" ref="L98">SUMPRODUCT(
  IFERROR(--desp[valor],0)*
  (desp[nucleo]="UP JARDIM PRUDENCIA")*
  (desp[categoria]=L$7)*
  (desp[data.pagamento]&gt;=$A98)*
  (desp[data.pagamento]&lt;EOMONTH($A98,0)+1)
)</f>
        <v>0</v>
      </c>
      <c r="M98" s="166" cm="1">
        <f t="array" ref="M98">SUMPRODUCT(
  IFERROR(--desp[valor],0)*
  (desp[nucleo]="UP JARDIM PRUDENCIA")*
  (desp[categoria]=M$7)*
  (desp[data.pagamento]&gt;=$A98)*
  (desp[data.pagamento]&lt;EOMONTH($A98,0)+1)
)</f>
        <v>0</v>
      </c>
      <c r="N98" s="177">
        <f>COUNTIFS(
    estq[empresa], N$6,
    estq[Data da venda / reserva], "&gt;=" &amp; $A98,
    estq[Data da venda / reserva], "&lt;"  &amp; EOMONTH($A98,0) + 1
)</f>
        <v>0</v>
      </c>
      <c r="O98" s="178">
        <f ca="1">SUMIFS(rec.uni[2028-12-01],
INDIRECT("rec.uni[natureza]"),"pro.soluto",
INDIRECT("rec.uni[empresa]"),O$6)</f>
        <v>0</v>
      </c>
      <c r="P98" s="178">
        <f ca="1">SUMIFS(rec.uni[2028-12-01],
INDIRECT("rec.uni[natureza]"),"repasse.cef.obra",
INDIRECT("rec.uni[empresa]"),P$6)</f>
        <v>0</v>
      </c>
      <c r="Q98" s="178">
        <f ca="1">SUMIFS(rec.uni[2028-12-01],
INDIRECT("rec.uni[natureza]"),"repasse.cef.terreno",
INDIRECT("rec.uni[empresa]"),Q$6)</f>
        <v>0</v>
      </c>
      <c r="R98" s="182"/>
      <c r="S98" s="178">
        <f ca="1">SUMIFS(rec.uni[2028-12-01],
INDIRECT("rec.uni[natureza]"),"taxa.extra",
INDIRECT("rec.uni[empresa]"),S$6)</f>
        <v>0</v>
      </c>
      <c r="T98" s="166"/>
      <c r="U98" s="166" cm="1">
        <f t="array" ref="U98">SUMPRODUCT(
  IFERROR(--desp[valor],0)*
  (desp[nucleo]="UP VILA SONIA")*
  (desp[categoria]=U$7)*
  (desp[data.pagamento]&gt;=$A98)*
  (desp[data.pagamento]&lt;EOMONTH($A98,0)+1)
)</f>
        <v>0</v>
      </c>
      <c r="V98" s="166" cm="1">
        <f t="array" ref="V98">SUMPRODUCT(
  IFERROR(--desp[valor],0)*
  (desp[nucleo]="UP VILA SONIA")*
  (desp[categoria]=V$7)*
  (desp[data.pagamento]&gt;=$A98)*
  (desp[data.pagamento]&lt;EOMONTH($A98,0)+1)
)</f>
        <v>0</v>
      </c>
      <c r="W98" s="166" cm="1">
        <f t="array" ref="W98">SUMPRODUCT(
  IFERROR(--desp[valor],0)*
  (desp[nucleo]="UP VILA SONIA")*
  (desp[categoria]=W$7)*
  (desp[data.pagamento]&gt;=$A98)*
  (desp[data.pagamento]&lt;EOMONTH($A98,0)+1)
)</f>
        <v>0</v>
      </c>
      <c r="X98" s="166" cm="1">
        <f t="array" ref="X98">SUMPRODUCT(
  IFERROR(--desp[valor],0)*
  (desp[nucleo]="UP VILA SONIA")*
  (desp[categoria]=X$7)*
  (desp[data.pagamento]&gt;=$A98)*
  (desp[data.pagamento]&lt;EOMONTH($A98,0)+1)
)</f>
        <v>0</v>
      </c>
      <c r="Y98" s="166" cm="1">
        <f t="array" ref="Y98">SUMPRODUCT(
  IFERROR(--desp[valor],0)*
  (desp[nucleo]="UP VILA SONIA")*
  (desp[categoria]=Y$7)*
  (desp[data.pagamento]&gt;=$A98)*
  (desp[data.pagamento]&lt;EOMONTH($A98,0)+1)
)</f>
        <v>0</v>
      </c>
      <c r="Z98" s="177">
        <f>COUNTIFS(
    estq[empresa], Z$6,
    estq[Data da venda / reserva], "&gt;=" &amp; $A98,
    estq[Data da venda / reserva], "&lt;"  &amp; EOMONTH($A98,0) + 1
)</f>
        <v>0</v>
      </c>
      <c r="AA98" s="178">
        <f ca="1">SUMIFS(rec.uni[2028-12-01],
INDIRECT("rec.uni[natureza]"),"pro.soluto",
INDIRECT("rec.uni[empresa]"),AA$6)</f>
        <v>0</v>
      </c>
      <c r="AB98" s="182">
        <f ca="1">SUMIFS(rec.uni[2028-12-01],
INDIRECT("rec.uni[natureza]"),"parcela.fin.total.ik",
INDIRECT("rec.uni[empresa]"),AB$6)</f>
        <v>0</v>
      </c>
      <c r="AC98" s="178">
        <f ca="1">SUMIFS(rec.uni[2028-12-01],
INDIRECT("rec.uni[natureza]"),"taxa.extra",
INDIRECT("rec.uni[empresa]"),AC$6)</f>
        <v>0</v>
      </c>
      <c r="AD98" s="166"/>
      <c r="AE98" s="166" cm="1">
        <f t="array" ref="AE98">SUMPRODUCT(
  IFERROR(--desp[valor],0)*
  (desp[nucleo]="UP CAMPO BELO")*
  (desp[categoria]=AE$7)*
  (desp[data.pagamento]&gt;=$A98)*
  (desp[data.pagamento]&lt;EOMONTH($A98,0)+1)
)</f>
        <v>0</v>
      </c>
      <c r="AF98" s="166" cm="1">
        <f t="array" ref="AF98">SUMPRODUCT(
  IFERROR(--desp[valor],0)*
  (desp[nucleo]="UP CAMPO BELO")*
  (desp[categoria]=AF$7)*
  (desp[data.pagamento]&gt;=$A98)*
  (desp[data.pagamento]&lt;EOMONTH($A98,0)+1)
)</f>
        <v>0</v>
      </c>
      <c r="AG98" s="166" cm="1">
        <f t="array" ref="AG98">SUMPRODUCT(
  IFERROR(--desp[valor],0)*
  (desp[nucleo]="UP CAMPO BELO")*
  (desp[categoria]=AG$7)*
  (desp[data.pagamento]&gt;=$A98)*
  (desp[data.pagamento]&lt;EOMONTH($A98,0)+1)
)</f>
        <v>0</v>
      </c>
      <c r="AH98" s="166" cm="1">
        <f t="array" ref="AH98">SUMPRODUCT(
  IFERROR(--desp[valor],0)*
  (desp[nucleo]="UP CAMPO BELO")*
  (desp[categoria]=AH$7)*
  (desp[data.pagamento]&gt;=$A98)*
  (desp[data.pagamento]&lt;EOMONTH($A98,0)+1)
)</f>
        <v>0</v>
      </c>
      <c r="AI98" s="166" cm="1">
        <f t="array" ref="AI98">SUMPRODUCT(
  IFERROR(--desp[valor],0)*
  (desp[nucleo]="UP CAMPO BELO")*
  (desp[categoria]=AI$7)*
  (desp[data.pagamento]&gt;=$A98)*
  (desp[data.pagamento]&lt;EOMONTH($A98,0)+1)
)</f>
        <v>0</v>
      </c>
      <c r="AJ98" s="177">
        <f>COUNTIFS(
    estq[empresa], AJ$6,
    estq[Data da venda / reserva], "&gt;=" &amp; $A98,
    estq[Data da venda / reserva], "&lt;"  &amp; EOMONTH($A98,0) + 1
)</f>
        <v>0</v>
      </c>
      <c r="AK98" s="178">
        <f ca="1">SUMIFS(rec.uni[2028-12-01],
INDIRECT("rec.uni[natureza]"),"pro.soluto",
INDIRECT("rec.uni[empresa]"),AK$6)</f>
        <v>0</v>
      </c>
      <c r="AL98" s="178">
        <f ca="1">SUMIFS(rec.uni[2028-12-01],
INDIRECT("rec.uni[natureza]"),"repasse.cef.obra",
INDIRECT("rec.uni[empresa]"),AL$6)</f>
        <v>0</v>
      </c>
      <c r="AM98" s="181">
        <f ca="1">SUMIFS(rec.uni[2028-12-01],
INDIRECT("rec.uni[natureza]"),"repasse.cef.terreno",
INDIRECT("rec.uni[empresa]"),AM$6)</f>
        <v>0</v>
      </c>
      <c r="AN98" s="182"/>
      <c r="AO98" s="178">
        <f ca="1">SUMIFS(rec.uni[2028-12-01],
INDIRECT("rec.uni[natureza]"),"taxa.extra",
INDIRECT("rec.uni[empresa]"),AO$6)</f>
        <v>0</v>
      </c>
      <c r="AP98" s="166"/>
      <c r="AQ98" s="166" cm="1">
        <f t="array" ref="AQ98">SUMPRODUCT(
  IFERROR(--desp[valor],0)*
  (desp[nucleo]="UP SELECT VILA SONIA")*
  (desp[categoria]=AQ$7)*
  (desp[data.pagamento]&gt;=$A98)*
  (desp[data.pagamento]&lt;EOMONTH($A98,0)+1)
)</f>
        <v>0</v>
      </c>
      <c r="AR98" s="166" cm="1">
        <f t="array" ref="AR98">SUMPRODUCT(
  IFERROR(--desp[valor],0)*
  (desp[nucleo]="UP SELECT VILA SONIA")*
  (desp[categoria]=AR$7)*
  (desp[data.pagamento]&gt;=$A98)*
  (desp[data.pagamento]&lt;EOMONTH($A98,0)+1)
)</f>
        <v>0</v>
      </c>
      <c r="AS98" s="166" cm="1">
        <f t="array" ref="AS98">SUMPRODUCT(
  IFERROR(--desp[valor],0)*
  (desp[nucleo]="UP SELECT VILA SONIA")*
  (desp[categoria]=AS$7)*
  (desp[data.pagamento]&gt;=$A98)*
  (desp[data.pagamento]&lt;EOMONTH($A98,0)+1)
)</f>
        <v>0</v>
      </c>
      <c r="AT98" s="166" cm="1">
        <f t="array" ref="AT98">SUMPRODUCT(
  IFERROR(--desp[valor],0)*
  (desp[nucleo]="UP SELECT VILA SONIA")*
  (desp[categoria]=AT$7)*
  (desp[data.pagamento]&gt;=$A98)*
  (desp[data.pagamento]&lt;EOMONTH($A98,0)+1)
)</f>
        <v>0</v>
      </c>
      <c r="AU98" s="166" cm="1">
        <f t="array" ref="AU98">SUMPRODUCT(
  IFERROR(--desp[valor],0)*
  (desp[nucleo]="UP SELECT VILA SONIA")*
  (desp[categoria]=AU$7)*
  (desp[data.pagamento]&gt;=$A98)*
  (desp[data.pagamento]&lt;EOMONTH($A98,0)+1)
)</f>
        <v>0</v>
      </c>
      <c r="AV98" s="177">
        <f>COUNTIFS(
    estq[empresa], AV$6,
    estq[Data da venda / reserva], "&gt;=" &amp; $A98,
    estq[Data da venda / reserva], "&lt;"  &amp; EOMONTH($A98,0) + 1
)</f>
        <v>0</v>
      </c>
      <c r="AW98" s="178">
        <f ca="1">SUMIFS(rec.uni[2028-12-01],
INDIRECT("rec.uni[natureza]"),"pro.soluto",
INDIRECT("rec.uni[empresa]"),AW$6)</f>
        <v>0</v>
      </c>
      <c r="AX98" s="178">
        <f ca="1">SUMIFS(rec.uni[2028-12-01],
INDIRECT("rec.uni[natureza]"),"repasse.cef.obra",
INDIRECT("rec.uni[empresa]"),AX$6)</f>
        <v>0</v>
      </c>
      <c r="AY98" s="181">
        <f ca="1">SUMIFS(rec.uni[2028-12-01],
INDIRECT("rec.uni[natureza]"),"repasse.cef.terreno",
INDIRECT("rec.uni[empresa]"),AY$6)</f>
        <v>0</v>
      </c>
      <c r="AZ98" s="182"/>
      <c r="BA98" s="178">
        <f ca="1">SUMIFS(rec.uni[2028-12-01],
INDIRECT("rec.uni[natureza]"),"taxa.extra",
INDIRECT("rec.uni[empresa]"),BA$6)</f>
        <v>0</v>
      </c>
      <c r="BB98" s="166"/>
      <c r="BC98" s="166" cm="1">
        <f t="array" ref="BC98">SUMPRODUCT(
  IFERROR(--desp[valor],0)*
  (desp[nucleo]="UP ESTAÇÃO SÃO LUCAS")*
  (desp[categoria]=BC$7)*
  (desp[data.pagamento]&gt;=$A98)*
  (desp[data.pagamento]&lt;EOMONTH($A98,0)+1)
)</f>
        <v>0</v>
      </c>
      <c r="BD98" s="166" cm="1">
        <f t="array" ref="BD98">SUMPRODUCT(
  IFERROR(--desp[valor],0)*
  (desp[nucleo]="UP ESTAÇÃO SÃO LUCAS")*
  (desp[categoria]=BD$7)*
  (desp[data.pagamento]&gt;=$A98)*
  (desp[data.pagamento]&lt;EOMONTH($A98,0)+1)
)</f>
        <v>0</v>
      </c>
      <c r="BE98" s="166" cm="1">
        <f t="array" ref="BE98">SUMPRODUCT(
  IFERROR(--desp[valor],0)*
  (desp[nucleo]="UP ESTAÇÃO SÃO LUCAS")*
  (desp[categoria]=BE$7)*
  (desp[data.pagamento]&gt;=$A98)*
  (desp[data.pagamento]&lt;EOMONTH($A98,0)+1)
)</f>
        <v>0</v>
      </c>
      <c r="BF98" s="166" cm="1">
        <f t="array" ref="BF98">SUMPRODUCT(
  IFERROR(--desp[valor],0)*
  (desp[nucleo]="UP ESTAÇÃO SÃO LUCAS")*
  (desp[categoria]=BF$7)*
  (desp[data.pagamento]&gt;=$A98)*
  (desp[data.pagamento]&lt;EOMONTH($A98,0)+1)
)</f>
        <v>0</v>
      </c>
      <c r="BG98" s="166" cm="1">
        <f t="array" ref="BG98">SUMPRODUCT(
  IFERROR(--desp[valor],0)*
  (desp[nucleo]="UP ESTAÇÃO SÃO LUCAS")*
  (desp[categoria]=BG$7)*
  (desp[data.pagamento]&gt;=$A98)*
  (desp[data.pagamento]&lt;EOMONTH($A98,0)+1)
)</f>
        <v>0</v>
      </c>
      <c r="BH98" s="177">
        <f>COUNTIFS(
    estq[empresa], BH$6,
    estq[Data da venda / reserva], "&gt;=" &amp; $A98,
    estq[Data da venda / reserva], "&lt;"  &amp; EOMONTH($A98,0) + 1
)</f>
        <v>0</v>
      </c>
      <c r="BI98" s="178">
        <f ca="1">SUMIFS(rec.uni[2028-12-01],
INDIRECT("rec.uni[natureza]"),"pro.soluto",
INDIRECT("rec.uni[empresa]"),BI$6)</f>
        <v>0</v>
      </c>
      <c r="BJ98" s="182">
        <f ca="1">SUMIFS(rec.uni[2028-12-01],
INDIRECT("rec.uni[natureza]"),"parcela.fin.total.ik",
INDIRECT("rec.uni[empresa]"),BJ$6)</f>
        <v>0</v>
      </c>
      <c r="BK98" s="178">
        <f ca="1">SUMIFS(rec.uni[2028-12-01],
INDIRECT("rec.uni[natureza]"),"taxa.extra",
INDIRECT("rec.uni[empresa]"),BK$6)</f>
        <v>0</v>
      </c>
      <c r="BL98" s="166"/>
      <c r="BM98" s="166" cm="1">
        <f t="array" ref="BM98">SUMPRODUCT(
  IFERROR(--desp[valor],0)*
  (desp[nucleo]="UP POMPEIA")*
  (desp[categoria]=BM$7)*
  (desp[data.pagamento]&gt;=$A98)*
  (desp[data.pagamento]&lt;EOMONTH($A98,0)+1)
)</f>
        <v>0</v>
      </c>
      <c r="BN98" s="166" cm="1">
        <f t="array" ref="BN98">SUMPRODUCT(
  IFERROR(--desp[valor],0)*
  (desp[nucleo]="UP POMPEIA")*
  (desp[categoria]=BN$7)*
  (desp[data.pagamento]&gt;=$A98)*
  (desp[data.pagamento]&lt;EOMONTH($A98,0)+1)
)</f>
        <v>0</v>
      </c>
      <c r="BO98" s="166" cm="1">
        <f t="array" ref="BO98">SUMPRODUCT(
  IFERROR(--desp[valor],0)*
  (desp[nucleo]="UP POMPEIA")*
  (desp[categoria]=BO$7)*
  (desp[data.pagamento]&gt;=$A98)*
  (desp[data.pagamento]&lt;EOMONTH($A98,0)+1)
)</f>
        <v>0</v>
      </c>
      <c r="BP98" s="166" cm="1">
        <f t="array" ref="BP98">SUMPRODUCT(
  IFERROR(--desp[valor],0)*
  (desp[nucleo]="UP POMPEIA")*
  (desp[categoria]=BP$7)*
  (desp[data.pagamento]&gt;=$A98)*
  (desp[data.pagamento]&lt;EOMONTH($A98,0)+1)
)</f>
        <v>0</v>
      </c>
      <c r="BQ98" s="166" cm="1">
        <f t="array" ref="BQ98">SUMPRODUCT(
  IFERROR(--desp[valor],0)*
  (desp[nucleo]="UP POMPEIA")*
  (desp[categoria]=BQ$7)*
  (desp[data.pagamento]&gt;=$A98)*
  (desp[data.pagamento]&lt;EOMONTH($A98,0)+1)
)</f>
        <v>0</v>
      </c>
      <c r="BR98" s="177">
        <f>COUNTIFS(
    estq[empresa], BR$6,
    estq[Data da venda / reserva], "&gt;=" &amp; $A98,
    estq[Data da venda / reserva], "&lt;"  &amp; EOMONTH($A98,0) + 1
)</f>
        <v>0</v>
      </c>
      <c r="BS98" s="178">
        <f ca="1">SUMIFS(rec.uni[2028-12-01],
INDIRECT("rec.uni[natureza]"),"pro.soluto",
INDIRECT("rec.uni[empresa]"),BS$6)</f>
        <v>0</v>
      </c>
      <c r="BT98" s="182">
        <f ca="1">SUMIFS(rec.uni[2028-12-01],
INDIRECT("rec.uni[natureza]"),"parcela.fin.total.ik",
INDIRECT("rec.uni[empresa]"),BT$6)</f>
        <v>0</v>
      </c>
      <c r="BU98" s="178">
        <f ca="1">SUMIFS(rec.uni[2028-12-01],
INDIRECT("rec.uni[natureza]"),"taxa.extra",
INDIRECT("rec.uni[empresa]"),BU$6)</f>
        <v>0</v>
      </c>
      <c r="BV98" s="166"/>
      <c r="BW98" s="166" cm="1">
        <f t="array" ref="BW98">SUMPRODUCT(
  IFERROR(--desp[valor],0)*
  (desp[nucleo]="UP SAUDE")*
  (desp[categoria]=BW$7)*
  (desp[data.pagamento]&gt;=$A98)*
  (desp[data.pagamento]&lt;EOMONTH($A98,0)+1)
)</f>
        <v>0</v>
      </c>
      <c r="BX98" s="166" cm="1">
        <f t="array" ref="BX98">SUMPRODUCT(
  IFERROR(--desp[valor],0)*
  (desp[nucleo]="UP SAUDE")*
  (desp[categoria]=BX$7)*
  (desp[data.pagamento]&gt;=$A98)*
  (desp[data.pagamento]&lt;EOMONTH($A98,0)+1)
)</f>
        <v>0</v>
      </c>
      <c r="BY98" s="166" cm="1">
        <f t="array" ref="BY98">SUMPRODUCT(
  IFERROR(--desp[valor],0)*
  (desp[nucleo]="UP SAUDE")*
  (desp[categoria]=BY$7)*
  (desp[data.pagamento]&gt;=$A98)*
  (desp[data.pagamento]&lt;EOMONTH($A98,0)+1)
)</f>
        <v>0</v>
      </c>
      <c r="BZ98" s="166" cm="1">
        <f t="array" ref="BZ98">SUMPRODUCT(
  IFERROR(--desp[valor],0)*
  (desp[nucleo]="UP SAUDE")*
  (desp[categoria]=BZ$7)*
  (desp[data.pagamento]&gt;=$A98)*
  (desp[data.pagamento]&lt;EOMONTH($A98,0)+1)
)</f>
        <v>0</v>
      </c>
      <c r="CA98" s="166" cm="1">
        <f t="array" ref="CA98">SUMPRODUCT(
  IFERROR(--desp[valor],0)*
  (desp[nucleo]="UP SAUDE")*
  (desp[categoria]=CA$7)*
  (desp[data.pagamento]&gt;=$A98)*
  (desp[data.pagamento]&lt;EOMONTH($A98,0)+1)
)</f>
        <v>0</v>
      </c>
      <c r="CB98" s="177">
        <f>COUNTIFS(
    estq[empresa], CB$6,
    estq[Data da venda / reserva], "&gt;=" &amp; $A98,
    estq[Data da venda / reserva], "&lt;"  &amp; EOMONTH($A98,0) + 1
)</f>
        <v>0</v>
      </c>
      <c r="CC98" s="178">
        <f ca="1">SUMIFS(rec.uni[2028-12-01],
INDIRECT("rec.uni[natureza]"),"pro.soluto",
INDIRECT("rec.uni[empresa]"),CC$6)</f>
        <v>0</v>
      </c>
      <c r="CD98" s="178">
        <f ca="1">SUMIFS(rec.uni[2028-12-01],
INDIRECT("rec.uni[natureza]"),"repasse.cef.obra",
INDIRECT("rec.uni[empresa]"),CD$6)</f>
        <v>0</v>
      </c>
      <c r="CE98" s="181">
        <f ca="1">SUMIFS(rec.uni[2028-12-01],
INDIRECT("rec.uni[natureza]"),"repasse.cef.terreno",
INDIRECT("rec.uni[empresa]"),CE$6)</f>
        <v>0</v>
      </c>
      <c r="CF98" s="182"/>
      <c r="CG98" s="178">
        <f ca="1">SUMIFS(rec.uni[2028-12-01],
INDIRECT("rec.uni[natureza]"),"taxa.extra",
INDIRECT("rec.uni[empresa]"),CG$6)</f>
        <v>0</v>
      </c>
      <c r="CH98" s="166"/>
      <c r="CI98" s="166" cm="1">
        <f t="array" ref="CI98">SUMPRODUCT(
  IFERROR(--desp[valor],0)*
  (desp[nucleo]="UP ESTAÇÃO VILA SONIA")*
  (desp[categoria]=CI$7)*
  (desp[data.pagamento]&gt;=$A98)*
  (desp[data.pagamento]&lt;EOMONTH($A98,0)+1)
)</f>
        <v>0</v>
      </c>
      <c r="CJ98" s="166" cm="1">
        <f t="array" ref="CJ98">SUMPRODUCT(
  IFERROR(--desp[valor],0)*
  (desp[nucleo]="UP ESTAÇÃO VILA SONIA")*
  (desp[categoria]=CJ$7)*
  (desp[data.pagamento]&gt;=$A98)*
  (desp[data.pagamento]&lt;EOMONTH($A98,0)+1)
)</f>
        <v>0</v>
      </c>
      <c r="CK98" s="166" cm="1">
        <f t="array" ref="CK98">SUMPRODUCT(
  IFERROR(--desp[valor],0)*
  (desp[nucleo]="UP ESTAÇÃO VILA SONIA")*
  (desp[categoria]=CK$7)*
  (desp[data.pagamento]&gt;=$A98)*
  (desp[data.pagamento]&lt;EOMONTH($A98,0)+1)
)</f>
        <v>0</v>
      </c>
      <c r="CL98" s="166" cm="1">
        <f t="array" ref="CL98">SUMPRODUCT(
  IFERROR(--desp[valor],0)*
  (desp[nucleo]="UP ESTAÇÃO VILA SONIA")*
  (desp[categoria]=CL$7)*
  (desp[data.pagamento]&gt;=$A98)*
  (desp[data.pagamento]&lt;EOMONTH($A98,0)+1)
)</f>
        <v>0</v>
      </c>
      <c r="CM98" s="166" cm="1">
        <f t="array" ref="CM98">SUMPRODUCT(
  IFERROR(--desp[valor],0)*
  (desp[nucleo]="UP ESTAÇÃO VILA SONIA")*
  (desp[categoria]=CM$7)*
  (desp[data.pagamento]&gt;=$A98)*
  (desp[data.pagamento]&lt;EOMONTH($A98,0)+1)
)</f>
        <v>0</v>
      </c>
      <c r="CN98" s="177">
        <f>COUNTIFS(
    estq[empresa], CN$6,
    estq[Data da venda / reserva], "&gt;=" &amp; $A98,
    estq[Data da venda / reserva], "&lt;"  &amp; EOMONTH($A98,0) + 1
)</f>
        <v>0</v>
      </c>
      <c r="CO98" s="178">
        <f ca="1">SUMIFS(rec.uni[2028-12-01],
INDIRECT("rec.uni[natureza]"),"pro.soluto",
INDIRECT("rec.uni[empresa]"),CO$6)</f>
        <v>0</v>
      </c>
      <c r="CP98" s="178">
        <f ca="1">SUMIFS(rec.uni[2028-12-01],
INDIRECT("rec.uni[natureza]"),"repasse.cef.obra",
INDIRECT("rec.uni[empresa]"),CP$6)</f>
        <v>0</v>
      </c>
      <c r="CQ98" s="181">
        <f ca="1">SUMIFS(rec.uni[2028-12-01],
INDIRECT("rec.uni[natureza]"),"repasse.cef.terreno",
INDIRECT("rec.uni[empresa]"),CQ$6)</f>
        <v>0</v>
      </c>
      <c r="CR98" s="182"/>
      <c r="CS98" s="178">
        <f ca="1">SUMIFS(rec.uni[2028-12-01],
INDIRECT("rec.uni[natureza]"),"taxa.extra",
INDIRECT("rec.uni[empresa]"),CS$6)</f>
        <v>0</v>
      </c>
      <c r="CT98" s="166"/>
      <c r="CU98" s="166" cm="1">
        <f t="array" ref="CU98">SUMPRODUCT(
  IFERROR(--desp[valor],0)*
  (desp[nucleo]="UP MOVE VILA SONIA")*
  (desp[categoria]=CU$7)*
  (desp[data.pagamento]&gt;=$A98)*
  (desp[data.pagamento]&lt;EOMONTH($A98,0)+1)
)</f>
        <v>0</v>
      </c>
      <c r="CV98" s="166" cm="1">
        <f t="array" ref="CV98">SUMPRODUCT(
  IFERROR(--desp[valor],0)*
  (desp[nucleo]="UP MOVE VILA SONIA")*
  (desp[categoria]=CV$7)*
  (desp[data.pagamento]&gt;=$A98)*
  (desp[data.pagamento]&lt;EOMONTH($A98,0)+1)
)</f>
        <v>0</v>
      </c>
      <c r="CW98" s="166" cm="1">
        <f t="array" ref="CW98">SUMPRODUCT(
  IFERROR(--desp[valor],0)*
  (desp[nucleo]="UP MOVE VILA SONIA")*
  (desp[categoria]=CW$7)*
  (desp[data.pagamento]&gt;=$A98)*
  (desp[data.pagamento]&lt;EOMONTH($A98,0)+1)
)</f>
        <v>0</v>
      </c>
      <c r="CX98" s="166" cm="1">
        <f t="array" ref="CX98">SUMPRODUCT(
  IFERROR(--desp[valor],0)*
  (desp[nucleo]="UP MOVE VILA SONIA")*
  (desp[categoria]=CX$7)*
  (desp[data.pagamento]&gt;=$A98)*
  (desp[data.pagamento]&lt;EOMONTH($A98,0)+1)
)</f>
        <v>0</v>
      </c>
      <c r="CY98" s="291" cm="1">
        <f t="array" ref="CY98">SUMPRODUCT(
  IFERROR(--desp[valor],0)*
  (desp[nucleo]="UP MOVE VILA SONIA")*
  (desp[categoria]=CY$7)*
  (desp[data.pagamento]&gt;=$A98)*
  (desp[data.pagamento]&lt;EOMONTH($A98,0)+1)
)</f>
        <v>0</v>
      </c>
    </row>
    <row r="99" spans="1:103" x14ac:dyDescent="0.25">
      <c r="A99" s="176">
        <v>47119</v>
      </c>
      <c r="B99" s="177">
        <f>COUNTIFS(
    estq[empresa], B$6,
    estq[Data da venda / reserva], "&gt;=" &amp; $A99,
    estq[Data da venda / reserva], "&lt;"  &amp; EOMONTH($A99,0) + 1
)</f>
        <v>0</v>
      </c>
      <c r="C99" s="178">
        <f ca="1">SUMIFS(rec.uni[2029-01-01],
INDIRECT("rec.uni[natureza]"),"pro.soluto",
INDIRECT("rec.uni[empresa]"),C$6)</f>
        <v>0</v>
      </c>
      <c r="D99" s="178">
        <f ca="1">SUMIFS(rec.uni[2029-01-01],
INDIRECT("rec.uni[natureza]"),"repasse.cef.obra",
INDIRECT("rec.uni[empresa]"),D$6)</f>
        <v>0</v>
      </c>
      <c r="E99" s="178">
        <f ca="1">SUMIFS(rec.uni[2029-01-01],
INDIRECT("rec.uni[natureza]"),"repasse.cef.terreno",
INDIRECT("rec.uni[empresa]"),E$6)</f>
        <v>0</v>
      </c>
      <c r="F99" s="182"/>
      <c r="G99" s="178">
        <f ca="1">SUMIFS(rec.uni[2029-01-01],
INDIRECT("rec.uni[natureza]"),"taxa.extra",
INDIRECT("rec.uni[empresa]"),G$6)</f>
        <v>0</v>
      </c>
      <c r="H99" s="166"/>
      <c r="I99" s="166" cm="1">
        <f t="array" ref="I99">SUMPRODUCT(
  IFERROR(--desp[valor],0)*
  (desp[nucleo]="UP JARDIM PRUDENCIA")*
  (desp[categoria]=I$7)*
  (desp[data.pagamento]&gt;=$A99)*
  (desp[data.pagamento]&lt;EOMONTH($A99,0)+1)
)</f>
        <v>0</v>
      </c>
      <c r="J99" s="166" cm="1">
        <f t="array" ref="J99">SUMPRODUCT(
  IFERROR(--desp[valor],0)*
  (desp[nucleo]="UP JARDIM PRUDENCIA")*
  (desp[categoria]=J$7)*
  (desp[data.pagamento]&gt;=$A99)*
  (desp[data.pagamento]&lt;EOMONTH($A99,0)+1)
)</f>
        <v>0</v>
      </c>
      <c r="K99" s="166" cm="1">
        <f t="array" ref="K99">SUMPRODUCT(
  IFERROR(--desp[valor],0)*
  (desp[nucleo]="UP JARDIM PRUDENCIA")*
  (desp[categoria]=K$7)*
  (desp[data.pagamento]&gt;=$A99)*
  (desp[data.pagamento]&lt;EOMONTH($A99,0)+1)
)</f>
        <v>0</v>
      </c>
      <c r="L99" s="166" cm="1">
        <f t="array" ref="L99">SUMPRODUCT(
  IFERROR(--desp[valor],0)*
  (desp[nucleo]="UP JARDIM PRUDENCIA")*
  (desp[categoria]=L$7)*
  (desp[data.pagamento]&gt;=$A99)*
  (desp[data.pagamento]&lt;EOMONTH($A99,0)+1)
)</f>
        <v>0</v>
      </c>
      <c r="M99" s="166" cm="1">
        <f t="array" ref="M99">SUMPRODUCT(
  IFERROR(--desp[valor],0)*
  (desp[nucleo]="UP JARDIM PRUDENCIA")*
  (desp[categoria]=M$7)*
  (desp[data.pagamento]&gt;=$A99)*
  (desp[data.pagamento]&lt;EOMONTH($A99,0)+1)
)</f>
        <v>0</v>
      </c>
      <c r="N99" s="177">
        <f>COUNTIFS(
    estq[empresa], N$6,
    estq[Data da venda / reserva], "&gt;=" &amp; $A99,
    estq[Data da venda / reserva], "&lt;"  &amp; EOMONTH($A99,0) + 1
)</f>
        <v>0</v>
      </c>
      <c r="O99" s="178">
        <f ca="1">SUMIFS(rec.uni[2029-01-01],
INDIRECT("rec.uni[natureza]"),"pro.soluto",
INDIRECT("rec.uni[empresa]"),O$6)</f>
        <v>0</v>
      </c>
      <c r="P99" s="178">
        <f ca="1">SUMIFS(rec.uni[2029-01-01],
INDIRECT("rec.uni[natureza]"),"repasse.cef.obra",
INDIRECT("rec.uni[empresa]"),P$6)</f>
        <v>0</v>
      </c>
      <c r="Q99" s="178">
        <f ca="1">SUMIFS(rec.uni[2029-01-01],
INDIRECT("rec.uni[natureza]"),"repasse.cef.terreno",
INDIRECT("rec.uni[empresa]"),Q$6)</f>
        <v>0</v>
      </c>
      <c r="R99" s="182"/>
      <c r="S99" s="178">
        <f ca="1">SUMIFS(rec.uni[2029-01-01],
INDIRECT("rec.uni[natureza]"),"taxa.extra",
INDIRECT("rec.uni[empresa]"),S$6)</f>
        <v>0</v>
      </c>
      <c r="T99" s="166"/>
      <c r="U99" s="166" cm="1">
        <f t="array" ref="U99">SUMPRODUCT(
  IFERROR(--desp[valor],0)*
  (desp[nucleo]="UP VILA SONIA")*
  (desp[categoria]=U$7)*
  (desp[data.pagamento]&gt;=$A99)*
  (desp[data.pagamento]&lt;EOMONTH($A99,0)+1)
)</f>
        <v>0</v>
      </c>
      <c r="V99" s="166" cm="1">
        <f t="array" ref="V99">SUMPRODUCT(
  IFERROR(--desp[valor],0)*
  (desp[nucleo]="UP VILA SONIA")*
  (desp[categoria]=V$7)*
  (desp[data.pagamento]&gt;=$A99)*
  (desp[data.pagamento]&lt;EOMONTH($A99,0)+1)
)</f>
        <v>0</v>
      </c>
      <c r="W99" s="166" cm="1">
        <f t="array" ref="W99">SUMPRODUCT(
  IFERROR(--desp[valor],0)*
  (desp[nucleo]="UP VILA SONIA")*
  (desp[categoria]=W$7)*
  (desp[data.pagamento]&gt;=$A99)*
  (desp[data.pagamento]&lt;EOMONTH($A99,0)+1)
)</f>
        <v>0</v>
      </c>
      <c r="X99" s="166" cm="1">
        <f t="array" ref="X99">SUMPRODUCT(
  IFERROR(--desp[valor],0)*
  (desp[nucleo]="UP VILA SONIA")*
  (desp[categoria]=X$7)*
  (desp[data.pagamento]&gt;=$A99)*
  (desp[data.pagamento]&lt;EOMONTH($A99,0)+1)
)</f>
        <v>0</v>
      </c>
      <c r="Y99" s="166" cm="1">
        <f t="array" ref="Y99">SUMPRODUCT(
  IFERROR(--desp[valor],0)*
  (desp[nucleo]="UP VILA SONIA")*
  (desp[categoria]=Y$7)*
  (desp[data.pagamento]&gt;=$A99)*
  (desp[data.pagamento]&lt;EOMONTH($A99,0)+1)
)</f>
        <v>0</v>
      </c>
      <c r="Z99" s="177">
        <f>COUNTIFS(
    estq[empresa], Z$6,
    estq[Data da venda / reserva], "&gt;=" &amp; $A99,
    estq[Data da venda / reserva], "&lt;"  &amp; EOMONTH($A99,0) + 1
)</f>
        <v>0</v>
      </c>
      <c r="AA99" s="178">
        <f ca="1">SUMIFS(rec.uni[2029-01-01],
INDIRECT("rec.uni[natureza]"),"pro.soluto",
INDIRECT("rec.uni[empresa]"),AA$6)</f>
        <v>0</v>
      </c>
      <c r="AB99" s="182">
        <f ca="1">SUMIFS(rec.uni[2029-01-01],
INDIRECT("rec.uni[natureza]"),"parcela.fin.total.ik",
INDIRECT("rec.uni[empresa]"),AB$6)</f>
        <v>0</v>
      </c>
      <c r="AC99" s="178">
        <f ca="1">SUMIFS(rec.uni[2029-01-01],
INDIRECT("rec.uni[natureza]"),"taxa.extra",
INDIRECT("rec.uni[empresa]"),AC$6)</f>
        <v>0</v>
      </c>
      <c r="AD99" s="166"/>
      <c r="AE99" s="166" cm="1">
        <f t="array" ref="AE99">SUMPRODUCT(
  IFERROR(--desp[valor],0)*
  (desp[nucleo]="UP CAMPO BELO")*
  (desp[categoria]=AE$7)*
  (desp[data.pagamento]&gt;=$A99)*
  (desp[data.pagamento]&lt;EOMONTH($A99,0)+1)
)</f>
        <v>0</v>
      </c>
      <c r="AF99" s="166" cm="1">
        <f t="array" ref="AF99">SUMPRODUCT(
  IFERROR(--desp[valor],0)*
  (desp[nucleo]="UP CAMPO BELO")*
  (desp[categoria]=AF$7)*
  (desp[data.pagamento]&gt;=$A99)*
  (desp[data.pagamento]&lt;EOMONTH($A99,0)+1)
)</f>
        <v>0</v>
      </c>
      <c r="AG99" s="166" cm="1">
        <f t="array" ref="AG99">SUMPRODUCT(
  IFERROR(--desp[valor],0)*
  (desp[nucleo]="UP CAMPO BELO")*
  (desp[categoria]=AG$7)*
  (desp[data.pagamento]&gt;=$A99)*
  (desp[data.pagamento]&lt;EOMONTH($A99,0)+1)
)</f>
        <v>0</v>
      </c>
      <c r="AH99" s="166" cm="1">
        <f t="array" ref="AH99">SUMPRODUCT(
  IFERROR(--desp[valor],0)*
  (desp[nucleo]="UP CAMPO BELO")*
  (desp[categoria]=AH$7)*
  (desp[data.pagamento]&gt;=$A99)*
  (desp[data.pagamento]&lt;EOMONTH($A99,0)+1)
)</f>
        <v>0</v>
      </c>
      <c r="AI99" s="166" cm="1">
        <f t="array" ref="AI99">SUMPRODUCT(
  IFERROR(--desp[valor],0)*
  (desp[nucleo]="UP CAMPO BELO")*
  (desp[categoria]=AI$7)*
  (desp[data.pagamento]&gt;=$A99)*
  (desp[data.pagamento]&lt;EOMONTH($A99,0)+1)
)</f>
        <v>0</v>
      </c>
      <c r="AJ99" s="177">
        <f>COUNTIFS(
    estq[empresa], AJ$6,
    estq[Data da venda / reserva], "&gt;=" &amp; $A99,
    estq[Data da venda / reserva], "&lt;"  &amp; EOMONTH($A99,0) + 1
)</f>
        <v>0</v>
      </c>
      <c r="AK99" s="178">
        <f ca="1">SUMIFS(rec.uni[2029-01-01],
INDIRECT("rec.uni[natureza]"),"pro.soluto",
INDIRECT("rec.uni[empresa]"),AK$6)</f>
        <v>0</v>
      </c>
      <c r="AL99" s="178">
        <f ca="1">SUMIFS(rec.uni[2029-01-01],
INDIRECT("rec.uni[natureza]"),"repasse.cef.obra",
INDIRECT("rec.uni[empresa]"),AL$6)</f>
        <v>0</v>
      </c>
      <c r="AM99" s="181">
        <f ca="1">SUMIFS(rec.uni[2029-01-01],
INDIRECT("rec.uni[natureza]"),"repasse.cef.terreno",
INDIRECT("rec.uni[empresa]"),AM$6)</f>
        <v>0</v>
      </c>
      <c r="AN99" s="182"/>
      <c r="AO99" s="178">
        <f ca="1">SUMIFS(rec.uni[2029-01-01],
INDIRECT("rec.uni[natureza]"),"taxa.extra",
INDIRECT("rec.uni[empresa]"),AO$6)</f>
        <v>0</v>
      </c>
      <c r="AP99" s="166"/>
      <c r="AQ99" s="166" cm="1">
        <f t="array" ref="AQ99">SUMPRODUCT(
  IFERROR(--desp[valor],0)*
  (desp[nucleo]="UP SELECT VILA SONIA")*
  (desp[categoria]=AQ$7)*
  (desp[data.pagamento]&gt;=$A99)*
  (desp[data.pagamento]&lt;EOMONTH($A99,0)+1)
)</f>
        <v>0</v>
      </c>
      <c r="AR99" s="166" cm="1">
        <f t="array" ref="AR99">SUMPRODUCT(
  IFERROR(--desp[valor],0)*
  (desp[nucleo]="UP SELECT VILA SONIA")*
  (desp[categoria]=AR$7)*
  (desp[data.pagamento]&gt;=$A99)*
  (desp[data.pagamento]&lt;EOMONTH($A99,0)+1)
)</f>
        <v>0</v>
      </c>
      <c r="AS99" s="166" cm="1">
        <f t="array" ref="AS99">SUMPRODUCT(
  IFERROR(--desp[valor],0)*
  (desp[nucleo]="UP SELECT VILA SONIA")*
  (desp[categoria]=AS$7)*
  (desp[data.pagamento]&gt;=$A99)*
  (desp[data.pagamento]&lt;EOMONTH($A99,0)+1)
)</f>
        <v>0</v>
      </c>
      <c r="AT99" s="166" cm="1">
        <f t="array" ref="AT99">SUMPRODUCT(
  IFERROR(--desp[valor],0)*
  (desp[nucleo]="UP SELECT VILA SONIA")*
  (desp[categoria]=AT$7)*
  (desp[data.pagamento]&gt;=$A99)*
  (desp[data.pagamento]&lt;EOMONTH($A99,0)+1)
)</f>
        <v>0</v>
      </c>
      <c r="AU99" s="166" cm="1">
        <f t="array" ref="AU99">SUMPRODUCT(
  IFERROR(--desp[valor],0)*
  (desp[nucleo]="UP SELECT VILA SONIA")*
  (desp[categoria]=AU$7)*
  (desp[data.pagamento]&gt;=$A99)*
  (desp[data.pagamento]&lt;EOMONTH($A99,0)+1)
)</f>
        <v>0</v>
      </c>
      <c r="AV99" s="177">
        <f>COUNTIFS(
    estq[empresa], AV$6,
    estq[Data da venda / reserva], "&gt;=" &amp; $A99,
    estq[Data da venda / reserva], "&lt;"  &amp; EOMONTH($A99,0) + 1
)</f>
        <v>0</v>
      </c>
      <c r="AW99" s="178">
        <f ca="1">SUMIFS(rec.uni[2029-01-01],
INDIRECT("rec.uni[natureza]"),"pro.soluto",
INDIRECT("rec.uni[empresa]"),AW$6)</f>
        <v>0</v>
      </c>
      <c r="AX99" s="178">
        <f ca="1">SUMIFS(rec.uni[2029-01-01],
INDIRECT("rec.uni[natureza]"),"repasse.cef.obra",
INDIRECT("rec.uni[empresa]"),AX$6)</f>
        <v>0</v>
      </c>
      <c r="AY99" s="181">
        <f ca="1">SUMIFS(rec.uni[2029-01-01],
INDIRECT("rec.uni[natureza]"),"repasse.cef.terreno",
INDIRECT("rec.uni[empresa]"),AY$6)</f>
        <v>0</v>
      </c>
      <c r="AZ99" s="182"/>
      <c r="BA99" s="178">
        <f ca="1">SUMIFS(rec.uni[2029-01-01],
INDIRECT("rec.uni[natureza]"),"taxa.extra",
INDIRECT("rec.uni[empresa]"),BA$6)</f>
        <v>0</v>
      </c>
      <c r="BB99" s="166"/>
      <c r="BC99" s="166" cm="1">
        <f t="array" ref="BC99">SUMPRODUCT(
  IFERROR(--desp[valor],0)*
  (desp[nucleo]="UP ESTAÇÃO SÃO LUCAS")*
  (desp[categoria]=BC$7)*
  (desp[data.pagamento]&gt;=$A99)*
  (desp[data.pagamento]&lt;EOMONTH($A99,0)+1)
)</f>
        <v>0</v>
      </c>
      <c r="BD99" s="166" cm="1">
        <f t="array" ref="BD99">SUMPRODUCT(
  IFERROR(--desp[valor],0)*
  (desp[nucleo]="UP ESTAÇÃO SÃO LUCAS")*
  (desp[categoria]=BD$7)*
  (desp[data.pagamento]&gt;=$A99)*
  (desp[data.pagamento]&lt;EOMONTH($A99,0)+1)
)</f>
        <v>0</v>
      </c>
      <c r="BE99" s="166" cm="1">
        <f t="array" ref="BE99">SUMPRODUCT(
  IFERROR(--desp[valor],0)*
  (desp[nucleo]="UP ESTAÇÃO SÃO LUCAS")*
  (desp[categoria]=BE$7)*
  (desp[data.pagamento]&gt;=$A99)*
  (desp[data.pagamento]&lt;EOMONTH($A99,0)+1)
)</f>
        <v>0</v>
      </c>
      <c r="BF99" s="166" cm="1">
        <f t="array" ref="BF99">SUMPRODUCT(
  IFERROR(--desp[valor],0)*
  (desp[nucleo]="UP ESTAÇÃO SÃO LUCAS")*
  (desp[categoria]=BF$7)*
  (desp[data.pagamento]&gt;=$A99)*
  (desp[data.pagamento]&lt;EOMONTH($A99,0)+1)
)</f>
        <v>0</v>
      </c>
      <c r="BG99" s="166" cm="1">
        <f t="array" ref="BG99">SUMPRODUCT(
  IFERROR(--desp[valor],0)*
  (desp[nucleo]="UP ESTAÇÃO SÃO LUCAS")*
  (desp[categoria]=BG$7)*
  (desp[data.pagamento]&gt;=$A99)*
  (desp[data.pagamento]&lt;EOMONTH($A99,0)+1)
)</f>
        <v>0</v>
      </c>
      <c r="BH99" s="177">
        <f>COUNTIFS(
    estq[empresa], BH$6,
    estq[Data da venda / reserva], "&gt;=" &amp; $A99,
    estq[Data da venda / reserva], "&lt;"  &amp; EOMONTH($A99,0) + 1
)</f>
        <v>0</v>
      </c>
      <c r="BI99" s="178">
        <f ca="1">SUMIFS(rec.uni[2029-01-01],
INDIRECT("rec.uni[natureza]"),"pro.soluto",
INDIRECT("rec.uni[empresa]"),BI$6)</f>
        <v>0</v>
      </c>
      <c r="BJ99" s="182">
        <f ca="1">SUMIFS(rec.uni[2029-01-01],
INDIRECT("rec.uni[natureza]"),"parcela.fin.total.ik",
INDIRECT("rec.uni[empresa]"),BJ$6)</f>
        <v>0</v>
      </c>
      <c r="BK99" s="178">
        <f ca="1">SUMIFS(rec.uni[2029-01-01],
INDIRECT("rec.uni[natureza]"),"taxa.extra",
INDIRECT("rec.uni[empresa]"),BK$6)</f>
        <v>0</v>
      </c>
      <c r="BL99" s="166"/>
      <c r="BM99" s="166" cm="1">
        <f t="array" ref="BM99">SUMPRODUCT(
  IFERROR(--desp[valor],0)*
  (desp[nucleo]="UP POMPEIA")*
  (desp[categoria]=BM$7)*
  (desp[data.pagamento]&gt;=$A99)*
  (desp[data.pagamento]&lt;EOMONTH($A99,0)+1)
)</f>
        <v>0</v>
      </c>
      <c r="BN99" s="166" cm="1">
        <f t="array" ref="BN99">SUMPRODUCT(
  IFERROR(--desp[valor],0)*
  (desp[nucleo]="UP POMPEIA")*
  (desp[categoria]=BN$7)*
  (desp[data.pagamento]&gt;=$A99)*
  (desp[data.pagamento]&lt;EOMONTH($A99,0)+1)
)</f>
        <v>0</v>
      </c>
      <c r="BO99" s="166" cm="1">
        <f t="array" ref="BO99">SUMPRODUCT(
  IFERROR(--desp[valor],0)*
  (desp[nucleo]="UP POMPEIA")*
  (desp[categoria]=BO$7)*
  (desp[data.pagamento]&gt;=$A99)*
  (desp[data.pagamento]&lt;EOMONTH($A99,0)+1)
)</f>
        <v>0</v>
      </c>
      <c r="BP99" s="166" cm="1">
        <f t="array" ref="BP99">SUMPRODUCT(
  IFERROR(--desp[valor],0)*
  (desp[nucleo]="UP POMPEIA")*
  (desp[categoria]=BP$7)*
  (desp[data.pagamento]&gt;=$A99)*
  (desp[data.pagamento]&lt;EOMONTH($A99,0)+1)
)</f>
        <v>0</v>
      </c>
      <c r="BQ99" s="166" cm="1">
        <f t="array" ref="BQ99">SUMPRODUCT(
  IFERROR(--desp[valor],0)*
  (desp[nucleo]="UP POMPEIA")*
  (desp[categoria]=BQ$7)*
  (desp[data.pagamento]&gt;=$A99)*
  (desp[data.pagamento]&lt;EOMONTH($A99,0)+1)
)</f>
        <v>0</v>
      </c>
      <c r="BR99" s="177">
        <f>COUNTIFS(
    estq[empresa], BR$6,
    estq[Data da venda / reserva], "&gt;=" &amp; $A99,
    estq[Data da venda / reserva], "&lt;"  &amp; EOMONTH($A99,0) + 1
)</f>
        <v>0</v>
      </c>
      <c r="BS99" s="178">
        <f ca="1">SUMIFS(rec.uni[2029-01-01],
INDIRECT("rec.uni[natureza]"),"pro.soluto",
INDIRECT("rec.uni[empresa]"),BS$6)</f>
        <v>0</v>
      </c>
      <c r="BT99" s="182">
        <f ca="1">SUMIFS(rec.uni[2029-01-01],
INDIRECT("rec.uni[natureza]"),"parcela.fin.total.ik",
INDIRECT("rec.uni[empresa]"),BT$6)</f>
        <v>0</v>
      </c>
      <c r="BU99" s="178">
        <f ca="1">SUMIFS(rec.uni[2029-01-01],
INDIRECT("rec.uni[natureza]"),"taxa.extra",
INDIRECT("rec.uni[empresa]"),BU$6)</f>
        <v>0</v>
      </c>
      <c r="BV99" s="166"/>
      <c r="BW99" s="166" cm="1">
        <f t="array" ref="BW99">SUMPRODUCT(
  IFERROR(--desp[valor],0)*
  (desp[nucleo]="UP SAUDE")*
  (desp[categoria]=BW$7)*
  (desp[data.pagamento]&gt;=$A99)*
  (desp[data.pagamento]&lt;EOMONTH($A99,0)+1)
)</f>
        <v>0</v>
      </c>
      <c r="BX99" s="166" cm="1">
        <f t="array" ref="BX99">SUMPRODUCT(
  IFERROR(--desp[valor],0)*
  (desp[nucleo]="UP SAUDE")*
  (desp[categoria]=BX$7)*
  (desp[data.pagamento]&gt;=$A99)*
  (desp[data.pagamento]&lt;EOMONTH($A99,0)+1)
)</f>
        <v>0</v>
      </c>
      <c r="BY99" s="166" cm="1">
        <f t="array" ref="BY99">SUMPRODUCT(
  IFERROR(--desp[valor],0)*
  (desp[nucleo]="UP SAUDE")*
  (desp[categoria]=BY$7)*
  (desp[data.pagamento]&gt;=$A99)*
  (desp[data.pagamento]&lt;EOMONTH($A99,0)+1)
)</f>
        <v>0</v>
      </c>
      <c r="BZ99" s="166" cm="1">
        <f t="array" ref="BZ99">SUMPRODUCT(
  IFERROR(--desp[valor],0)*
  (desp[nucleo]="UP SAUDE")*
  (desp[categoria]=BZ$7)*
  (desp[data.pagamento]&gt;=$A99)*
  (desp[data.pagamento]&lt;EOMONTH($A99,0)+1)
)</f>
        <v>0</v>
      </c>
      <c r="CA99" s="166" cm="1">
        <f t="array" ref="CA99">SUMPRODUCT(
  IFERROR(--desp[valor],0)*
  (desp[nucleo]="UP SAUDE")*
  (desp[categoria]=CA$7)*
  (desp[data.pagamento]&gt;=$A99)*
  (desp[data.pagamento]&lt;EOMONTH($A99,0)+1)
)</f>
        <v>0</v>
      </c>
      <c r="CB99" s="177">
        <f>COUNTIFS(
    estq[empresa], CB$6,
    estq[Data da venda / reserva], "&gt;=" &amp; $A99,
    estq[Data da venda / reserva], "&lt;"  &amp; EOMONTH($A99,0) + 1
)</f>
        <v>0</v>
      </c>
      <c r="CC99" s="178">
        <f ca="1">SUMIFS(rec.uni[2029-01-01],
INDIRECT("rec.uni[natureza]"),"pro.soluto",
INDIRECT("rec.uni[empresa]"),CC$6)</f>
        <v>0</v>
      </c>
      <c r="CD99" s="178">
        <f ca="1">SUMIFS(rec.uni[2029-01-01],
INDIRECT("rec.uni[natureza]"),"repasse.cef.obra",
INDIRECT("rec.uni[empresa]"),CD$6)</f>
        <v>0</v>
      </c>
      <c r="CE99" s="181">
        <f ca="1">SUMIFS(rec.uni[2029-01-01],
INDIRECT("rec.uni[natureza]"),"repasse.cef.terreno",
INDIRECT("rec.uni[empresa]"),CE$6)</f>
        <v>0</v>
      </c>
      <c r="CF99" s="182"/>
      <c r="CG99" s="178">
        <f ca="1">SUMIFS(rec.uni[2029-01-01],
INDIRECT("rec.uni[natureza]"),"taxa.extra",
INDIRECT("rec.uni[empresa]"),CG$6)</f>
        <v>0</v>
      </c>
      <c r="CH99" s="166"/>
      <c r="CI99" s="166" cm="1">
        <f t="array" ref="CI99">SUMPRODUCT(
  IFERROR(--desp[valor],0)*
  (desp[nucleo]="UP ESTAÇÃO VILA SONIA")*
  (desp[categoria]=CI$7)*
  (desp[data.pagamento]&gt;=$A99)*
  (desp[data.pagamento]&lt;EOMONTH($A99,0)+1)
)</f>
        <v>0</v>
      </c>
      <c r="CJ99" s="166" cm="1">
        <f t="array" ref="CJ99">SUMPRODUCT(
  IFERROR(--desp[valor],0)*
  (desp[nucleo]="UP ESTAÇÃO VILA SONIA")*
  (desp[categoria]=CJ$7)*
  (desp[data.pagamento]&gt;=$A99)*
  (desp[data.pagamento]&lt;EOMONTH($A99,0)+1)
)</f>
        <v>0</v>
      </c>
      <c r="CK99" s="166" cm="1">
        <f t="array" ref="CK99">SUMPRODUCT(
  IFERROR(--desp[valor],0)*
  (desp[nucleo]="UP ESTAÇÃO VILA SONIA")*
  (desp[categoria]=CK$7)*
  (desp[data.pagamento]&gt;=$A99)*
  (desp[data.pagamento]&lt;EOMONTH($A99,0)+1)
)</f>
        <v>0</v>
      </c>
      <c r="CL99" s="166" cm="1">
        <f t="array" ref="CL99">SUMPRODUCT(
  IFERROR(--desp[valor],0)*
  (desp[nucleo]="UP ESTAÇÃO VILA SONIA")*
  (desp[categoria]=CL$7)*
  (desp[data.pagamento]&gt;=$A99)*
  (desp[data.pagamento]&lt;EOMONTH($A99,0)+1)
)</f>
        <v>0</v>
      </c>
      <c r="CM99" s="166" cm="1">
        <f t="array" ref="CM99">SUMPRODUCT(
  IFERROR(--desp[valor],0)*
  (desp[nucleo]="UP ESTAÇÃO VILA SONIA")*
  (desp[categoria]=CM$7)*
  (desp[data.pagamento]&gt;=$A99)*
  (desp[data.pagamento]&lt;EOMONTH($A99,0)+1)
)</f>
        <v>0</v>
      </c>
      <c r="CN99" s="177">
        <f>COUNTIFS(
    estq[empresa], CN$6,
    estq[Data da venda / reserva], "&gt;=" &amp; $A99,
    estq[Data da venda / reserva], "&lt;"  &amp; EOMONTH($A99,0) + 1
)</f>
        <v>0</v>
      </c>
      <c r="CO99" s="178">
        <f ca="1">SUMIFS(rec.uni[2029-01-01],
INDIRECT("rec.uni[natureza]"),"pro.soluto",
INDIRECT("rec.uni[empresa]"),CO$6)</f>
        <v>0</v>
      </c>
      <c r="CP99" s="178">
        <f ca="1">SUMIFS(rec.uni[2029-01-01],
INDIRECT("rec.uni[natureza]"),"repasse.cef.obra",
INDIRECT("rec.uni[empresa]"),CP$6)</f>
        <v>0</v>
      </c>
      <c r="CQ99" s="181">
        <f ca="1">SUMIFS(rec.uni[2029-01-01],
INDIRECT("rec.uni[natureza]"),"repasse.cef.terreno",
INDIRECT("rec.uni[empresa]"),CQ$6)</f>
        <v>0</v>
      </c>
      <c r="CR99" s="182"/>
      <c r="CS99" s="178">
        <f ca="1">SUMIFS(rec.uni[2029-01-01],
INDIRECT("rec.uni[natureza]"),"taxa.extra",
INDIRECT("rec.uni[empresa]"),CS$6)</f>
        <v>0</v>
      </c>
      <c r="CT99" s="166"/>
      <c r="CU99" s="166" cm="1">
        <f t="array" ref="CU99">SUMPRODUCT(
  IFERROR(--desp[valor],0)*
  (desp[nucleo]="UP MOVE VILA SONIA")*
  (desp[categoria]=CU$7)*
  (desp[data.pagamento]&gt;=$A99)*
  (desp[data.pagamento]&lt;EOMONTH($A99,0)+1)
)</f>
        <v>0</v>
      </c>
      <c r="CV99" s="166" cm="1">
        <f t="array" ref="CV99">SUMPRODUCT(
  IFERROR(--desp[valor],0)*
  (desp[nucleo]="UP MOVE VILA SONIA")*
  (desp[categoria]=CV$7)*
  (desp[data.pagamento]&gt;=$A99)*
  (desp[data.pagamento]&lt;EOMONTH($A99,0)+1)
)</f>
        <v>0</v>
      </c>
      <c r="CW99" s="166" cm="1">
        <f t="array" ref="CW99">SUMPRODUCT(
  IFERROR(--desp[valor],0)*
  (desp[nucleo]="UP MOVE VILA SONIA")*
  (desp[categoria]=CW$7)*
  (desp[data.pagamento]&gt;=$A99)*
  (desp[data.pagamento]&lt;EOMONTH($A99,0)+1)
)</f>
        <v>0</v>
      </c>
      <c r="CX99" s="166" cm="1">
        <f t="array" ref="CX99">SUMPRODUCT(
  IFERROR(--desp[valor],0)*
  (desp[nucleo]="UP MOVE VILA SONIA")*
  (desp[categoria]=CX$7)*
  (desp[data.pagamento]&gt;=$A99)*
  (desp[data.pagamento]&lt;EOMONTH($A99,0)+1)
)</f>
        <v>0</v>
      </c>
      <c r="CY99" s="291" cm="1">
        <f t="array" ref="CY99">SUMPRODUCT(
  IFERROR(--desp[valor],0)*
  (desp[nucleo]="UP MOVE VILA SONIA")*
  (desp[categoria]=CY$7)*
  (desp[data.pagamento]&gt;=$A99)*
  (desp[data.pagamento]&lt;EOMONTH($A99,0)+1)
)</f>
        <v>0</v>
      </c>
    </row>
    <row r="100" spans="1:103" x14ac:dyDescent="0.25">
      <c r="A100" s="176">
        <v>47150</v>
      </c>
      <c r="B100" s="177">
        <f>COUNTIFS(
    estq[empresa], B$6,
    estq[Data da venda / reserva], "&gt;=" &amp; $A100,
    estq[Data da venda / reserva], "&lt;"  &amp; EOMONTH($A100,0) + 1
)</f>
        <v>0</v>
      </c>
      <c r="C100" s="178">
        <f ca="1">SUMIFS(rec.uni[2029-02-01],
INDIRECT("rec.uni[natureza]"),"pro.soluto",
INDIRECT("rec.uni[empresa]"),C$6)</f>
        <v>0</v>
      </c>
      <c r="D100" s="178">
        <f ca="1">SUMIFS(rec.uni[2029-02-01],
INDIRECT("rec.uni[natureza]"),"repasse.cef.obra",
INDIRECT("rec.uni[empresa]"),D$6)</f>
        <v>0</v>
      </c>
      <c r="E100" s="178">
        <f ca="1">SUMIFS(rec.uni[2029-02-01],
INDIRECT("rec.uni[natureza]"),"repasse.cef.terreno",
INDIRECT("rec.uni[empresa]"),E$6)</f>
        <v>0</v>
      </c>
      <c r="F100" s="182"/>
      <c r="G100" s="178">
        <f ca="1">SUMIFS(rec.uni[2029-02-01],
INDIRECT("rec.uni[natureza]"),"taxa.extra",
INDIRECT("rec.uni[empresa]"),G$6)</f>
        <v>0</v>
      </c>
      <c r="H100" s="166"/>
      <c r="I100" s="166" cm="1">
        <f t="array" ref="I100">SUMPRODUCT(
  IFERROR(--desp[valor],0)*
  (desp[nucleo]="UP JARDIM PRUDENCIA")*
  (desp[categoria]=I$7)*
  (desp[data.pagamento]&gt;=$A100)*
  (desp[data.pagamento]&lt;EOMONTH($A100,0)+1)
)</f>
        <v>0</v>
      </c>
      <c r="J100" s="166" cm="1">
        <f t="array" ref="J100">SUMPRODUCT(
  IFERROR(--desp[valor],0)*
  (desp[nucleo]="UP JARDIM PRUDENCIA")*
  (desp[categoria]=J$7)*
  (desp[data.pagamento]&gt;=$A100)*
  (desp[data.pagamento]&lt;EOMONTH($A100,0)+1)
)</f>
        <v>0</v>
      </c>
      <c r="K100" s="166" cm="1">
        <f t="array" ref="K100">SUMPRODUCT(
  IFERROR(--desp[valor],0)*
  (desp[nucleo]="UP JARDIM PRUDENCIA")*
  (desp[categoria]=K$7)*
  (desp[data.pagamento]&gt;=$A100)*
  (desp[data.pagamento]&lt;EOMONTH($A100,0)+1)
)</f>
        <v>0</v>
      </c>
      <c r="L100" s="166" cm="1">
        <f t="array" ref="L100">SUMPRODUCT(
  IFERROR(--desp[valor],0)*
  (desp[nucleo]="UP JARDIM PRUDENCIA")*
  (desp[categoria]=L$7)*
  (desp[data.pagamento]&gt;=$A100)*
  (desp[data.pagamento]&lt;EOMONTH($A100,0)+1)
)</f>
        <v>0</v>
      </c>
      <c r="M100" s="166" cm="1">
        <f t="array" ref="M100">SUMPRODUCT(
  IFERROR(--desp[valor],0)*
  (desp[nucleo]="UP JARDIM PRUDENCIA")*
  (desp[categoria]=M$7)*
  (desp[data.pagamento]&gt;=$A100)*
  (desp[data.pagamento]&lt;EOMONTH($A100,0)+1)
)</f>
        <v>0</v>
      </c>
      <c r="N100" s="177">
        <f>COUNTIFS(
    estq[empresa], N$6,
    estq[Data da venda / reserva], "&gt;=" &amp; $A100,
    estq[Data da venda / reserva], "&lt;"  &amp; EOMONTH($A100,0) + 1
)</f>
        <v>0</v>
      </c>
      <c r="O100" s="178">
        <f ca="1">SUMIFS(rec.uni[2029-02-01],
INDIRECT("rec.uni[natureza]"),"pro.soluto",
INDIRECT("rec.uni[empresa]"),O$6)</f>
        <v>0</v>
      </c>
      <c r="P100" s="178">
        <f ca="1">SUMIFS(rec.uni[2029-02-01],
INDIRECT("rec.uni[natureza]"),"repasse.cef.obra",
INDIRECT("rec.uni[empresa]"),P$6)</f>
        <v>0</v>
      </c>
      <c r="Q100" s="178">
        <f ca="1">SUMIFS(rec.uni[2029-02-01],
INDIRECT("rec.uni[natureza]"),"repasse.cef.terreno",
INDIRECT("rec.uni[empresa]"),Q$6)</f>
        <v>0</v>
      </c>
      <c r="R100" s="182"/>
      <c r="S100" s="178">
        <f ca="1">SUMIFS(rec.uni[2029-02-01],
INDIRECT("rec.uni[natureza]"),"taxa.extra",
INDIRECT("rec.uni[empresa]"),S$6)</f>
        <v>0</v>
      </c>
      <c r="T100" s="166"/>
      <c r="U100" s="166" cm="1">
        <f t="array" ref="U100">SUMPRODUCT(
  IFERROR(--desp[valor],0)*
  (desp[nucleo]="UP VILA SONIA")*
  (desp[categoria]=U$7)*
  (desp[data.pagamento]&gt;=$A100)*
  (desp[data.pagamento]&lt;EOMONTH($A100,0)+1)
)</f>
        <v>0</v>
      </c>
      <c r="V100" s="166" cm="1">
        <f t="array" ref="V100">SUMPRODUCT(
  IFERROR(--desp[valor],0)*
  (desp[nucleo]="UP VILA SONIA")*
  (desp[categoria]=V$7)*
  (desp[data.pagamento]&gt;=$A100)*
  (desp[data.pagamento]&lt;EOMONTH($A100,0)+1)
)</f>
        <v>0</v>
      </c>
      <c r="W100" s="166" cm="1">
        <f t="array" ref="W100">SUMPRODUCT(
  IFERROR(--desp[valor],0)*
  (desp[nucleo]="UP VILA SONIA")*
  (desp[categoria]=W$7)*
  (desp[data.pagamento]&gt;=$A100)*
  (desp[data.pagamento]&lt;EOMONTH($A100,0)+1)
)</f>
        <v>0</v>
      </c>
      <c r="X100" s="166" cm="1">
        <f t="array" ref="X100">SUMPRODUCT(
  IFERROR(--desp[valor],0)*
  (desp[nucleo]="UP VILA SONIA")*
  (desp[categoria]=X$7)*
  (desp[data.pagamento]&gt;=$A100)*
  (desp[data.pagamento]&lt;EOMONTH($A100,0)+1)
)</f>
        <v>0</v>
      </c>
      <c r="Y100" s="166" cm="1">
        <f t="array" ref="Y100">SUMPRODUCT(
  IFERROR(--desp[valor],0)*
  (desp[nucleo]="UP VILA SONIA")*
  (desp[categoria]=Y$7)*
  (desp[data.pagamento]&gt;=$A100)*
  (desp[data.pagamento]&lt;EOMONTH($A100,0)+1)
)</f>
        <v>0</v>
      </c>
      <c r="Z100" s="177">
        <f>COUNTIFS(
    estq[empresa], Z$6,
    estq[Data da venda / reserva], "&gt;=" &amp; $A100,
    estq[Data da venda / reserva], "&lt;"  &amp; EOMONTH($A100,0) + 1
)</f>
        <v>0</v>
      </c>
      <c r="AA100" s="178">
        <f ca="1">SUMIFS(rec.uni[2029-02-01],
INDIRECT("rec.uni[natureza]"),"pro.soluto",
INDIRECT("rec.uni[empresa]"),AA$6)</f>
        <v>0</v>
      </c>
      <c r="AB100" s="182">
        <f ca="1">SUMIFS(rec.uni[2029-02-01],
INDIRECT("rec.uni[natureza]"),"parcela.fin.total.ik",
INDIRECT("rec.uni[empresa]"),AB$6)</f>
        <v>0</v>
      </c>
      <c r="AC100" s="178">
        <f ca="1">SUMIFS(rec.uni[2029-02-01],
INDIRECT("rec.uni[natureza]"),"taxa.extra",
INDIRECT("rec.uni[empresa]"),AC$6)</f>
        <v>0</v>
      </c>
      <c r="AD100" s="166"/>
      <c r="AE100" s="166" cm="1">
        <f t="array" ref="AE100">SUMPRODUCT(
  IFERROR(--desp[valor],0)*
  (desp[nucleo]="UP CAMPO BELO")*
  (desp[categoria]=AE$7)*
  (desp[data.pagamento]&gt;=$A100)*
  (desp[data.pagamento]&lt;EOMONTH($A100,0)+1)
)</f>
        <v>0</v>
      </c>
      <c r="AF100" s="166" cm="1">
        <f t="array" ref="AF100">SUMPRODUCT(
  IFERROR(--desp[valor],0)*
  (desp[nucleo]="UP CAMPO BELO")*
  (desp[categoria]=AF$7)*
  (desp[data.pagamento]&gt;=$A100)*
  (desp[data.pagamento]&lt;EOMONTH($A100,0)+1)
)</f>
        <v>0</v>
      </c>
      <c r="AG100" s="166" cm="1">
        <f t="array" ref="AG100">SUMPRODUCT(
  IFERROR(--desp[valor],0)*
  (desp[nucleo]="UP CAMPO BELO")*
  (desp[categoria]=AG$7)*
  (desp[data.pagamento]&gt;=$A100)*
  (desp[data.pagamento]&lt;EOMONTH($A100,0)+1)
)</f>
        <v>0</v>
      </c>
      <c r="AH100" s="166" cm="1">
        <f t="array" ref="AH100">SUMPRODUCT(
  IFERROR(--desp[valor],0)*
  (desp[nucleo]="UP CAMPO BELO")*
  (desp[categoria]=AH$7)*
  (desp[data.pagamento]&gt;=$A100)*
  (desp[data.pagamento]&lt;EOMONTH($A100,0)+1)
)</f>
        <v>0</v>
      </c>
      <c r="AI100" s="166" cm="1">
        <f t="array" ref="AI100">SUMPRODUCT(
  IFERROR(--desp[valor],0)*
  (desp[nucleo]="UP CAMPO BELO")*
  (desp[categoria]=AI$7)*
  (desp[data.pagamento]&gt;=$A100)*
  (desp[data.pagamento]&lt;EOMONTH($A100,0)+1)
)</f>
        <v>0</v>
      </c>
      <c r="AJ100" s="177">
        <f>COUNTIFS(
    estq[empresa], AJ$6,
    estq[Data da venda / reserva], "&gt;=" &amp; $A100,
    estq[Data da venda / reserva], "&lt;"  &amp; EOMONTH($A100,0) + 1
)</f>
        <v>0</v>
      </c>
      <c r="AK100" s="178">
        <f ca="1">SUMIFS(rec.uni[2029-02-01],
INDIRECT("rec.uni[natureza]"),"pro.soluto",
INDIRECT("rec.uni[empresa]"),AK$6)</f>
        <v>0</v>
      </c>
      <c r="AL100" s="178">
        <f ca="1">SUMIFS(rec.uni[2029-02-01],
INDIRECT("rec.uni[natureza]"),"repasse.cef.obra",
INDIRECT("rec.uni[empresa]"),AL$6)</f>
        <v>0</v>
      </c>
      <c r="AM100" s="181">
        <f ca="1">SUMIFS(rec.uni[2029-02-01],
INDIRECT("rec.uni[natureza]"),"repasse.cef.terreno",
INDIRECT("rec.uni[empresa]"),AM$6)</f>
        <v>0</v>
      </c>
      <c r="AN100" s="182"/>
      <c r="AO100" s="178">
        <f ca="1">SUMIFS(rec.uni[2029-02-01],
INDIRECT("rec.uni[natureza]"),"taxa.extra",
INDIRECT("rec.uni[empresa]"),AO$6)</f>
        <v>0</v>
      </c>
      <c r="AP100" s="166"/>
      <c r="AQ100" s="166" cm="1">
        <f t="array" ref="AQ100">SUMPRODUCT(
  IFERROR(--desp[valor],0)*
  (desp[nucleo]="UP SELECT VILA SONIA")*
  (desp[categoria]=AQ$7)*
  (desp[data.pagamento]&gt;=$A100)*
  (desp[data.pagamento]&lt;EOMONTH($A100,0)+1)
)</f>
        <v>0</v>
      </c>
      <c r="AR100" s="166" cm="1">
        <f t="array" ref="AR100">SUMPRODUCT(
  IFERROR(--desp[valor],0)*
  (desp[nucleo]="UP SELECT VILA SONIA")*
  (desp[categoria]=AR$7)*
  (desp[data.pagamento]&gt;=$A100)*
  (desp[data.pagamento]&lt;EOMONTH($A100,0)+1)
)</f>
        <v>0</v>
      </c>
      <c r="AS100" s="166" cm="1">
        <f t="array" ref="AS100">SUMPRODUCT(
  IFERROR(--desp[valor],0)*
  (desp[nucleo]="UP SELECT VILA SONIA")*
  (desp[categoria]=AS$7)*
  (desp[data.pagamento]&gt;=$A100)*
  (desp[data.pagamento]&lt;EOMONTH($A100,0)+1)
)</f>
        <v>0</v>
      </c>
      <c r="AT100" s="166" cm="1">
        <f t="array" ref="AT100">SUMPRODUCT(
  IFERROR(--desp[valor],0)*
  (desp[nucleo]="UP SELECT VILA SONIA")*
  (desp[categoria]=AT$7)*
  (desp[data.pagamento]&gt;=$A100)*
  (desp[data.pagamento]&lt;EOMONTH($A100,0)+1)
)</f>
        <v>0</v>
      </c>
      <c r="AU100" s="166" cm="1">
        <f t="array" ref="AU100">SUMPRODUCT(
  IFERROR(--desp[valor],0)*
  (desp[nucleo]="UP SELECT VILA SONIA")*
  (desp[categoria]=AU$7)*
  (desp[data.pagamento]&gt;=$A100)*
  (desp[data.pagamento]&lt;EOMONTH($A100,0)+1)
)</f>
        <v>0</v>
      </c>
      <c r="AV100" s="177">
        <f>COUNTIFS(
    estq[empresa], AV$6,
    estq[Data da venda / reserva], "&gt;=" &amp; $A100,
    estq[Data da venda / reserva], "&lt;"  &amp; EOMONTH($A100,0) + 1
)</f>
        <v>0</v>
      </c>
      <c r="AW100" s="178">
        <f ca="1">SUMIFS(rec.uni[2029-02-01],
INDIRECT("rec.uni[natureza]"),"pro.soluto",
INDIRECT("rec.uni[empresa]"),AW$6)</f>
        <v>0</v>
      </c>
      <c r="AX100" s="178">
        <f ca="1">SUMIFS(rec.uni[2029-02-01],
INDIRECT("rec.uni[natureza]"),"repasse.cef.obra",
INDIRECT("rec.uni[empresa]"),AX$6)</f>
        <v>0</v>
      </c>
      <c r="AY100" s="181">
        <f ca="1">SUMIFS(rec.uni[2029-02-01],
INDIRECT("rec.uni[natureza]"),"repasse.cef.terreno",
INDIRECT("rec.uni[empresa]"),AY$6)</f>
        <v>0</v>
      </c>
      <c r="AZ100" s="182"/>
      <c r="BA100" s="178">
        <f ca="1">SUMIFS(rec.uni[2029-02-01],
INDIRECT("rec.uni[natureza]"),"taxa.extra",
INDIRECT("rec.uni[empresa]"),BA$6)</f>
        <v>0</v>
      </c>
      <c r="BB100" s="166"/>
      <c r="BC100" s="166" cm="1">
        <f t="array" ref="BC100">SUMPRODUCT(
  IFERROR(--desp[valor],0)*
  (desp[nucleo]="UP ESTAÇÃO SÃO LUCAS")*
  (desp[categoria]=BC$7)*
  (desp[data.pagamento]&gt;=$A100)*
  (desp[data.pagamento]&lt;EOMONTH($A100,0)+1)
)</f>
        <v>0</v>
      </c>
      <c r="BD100" s="166" cm="1">
        <f t="array" ref="BD100">SUMPRODUCT(
  IFERROR(--desp[valor],0)*
  (desp[nucleo]="UP ESTAÇÃO SÃO LUCAS")*
  (desp[categoria]=BD$7)*
  (desp[data.pagamento]&gt;=$A100)*
  (desp[data.pagamento]&lt;EOMONTH($A100,0)+1)
)</f>
        <v>0</v>
      </c>
      <c r="BE100" s="166" cm="1">
        <f t="array" ref="BE100">SUMPRODUCT(
  IFERROR(--desp[valor],0)*
  (desp[nucleo]="UP ESTAÇÃO SÃO LUCAS")*
  (desp[categoria]=BE$7)*
  (desp[data.pagamento]&gt;=$A100)*
  (desp[data.pagamento]&lt;EOMONTH($A100,0)+1)
)</f>
        <v>0</v>
      </c>
      <c r="BF100" s="166" cm="1">
        <f t="array" ref="BF100">SUMPRODUCT(
  IFERROR(--desp[valor],0)*
  (desp[nucleo]="UP ESTAÇÃO SÃO LUCAS")*
  (desp[categoria]=BF$7)*
  (desp[data.pagamento]&gt;=$A100)*
  (desp[data.pagamento]&lt;EOMONTH($A100,0)+1)
)</f>
        <v>0</v>
      </c>
      <c r="BG100" s="166" cm="1">
        <f t="array" ref="BG100">SUMPRODUCT(
  IFERROR(--desp[valor],0)*
  (desp[nucleo]="UP ESTAÇÃO SÃO LUCAS")*
  (desp[categoria]=BG$7)*
  (desp[data.pagamento]&gt;=$A100)*
  (desp[data.pagamento]&lt;EOMONTH($A100,0)+1)
)</f>
        <v>0</v>
      </c>
      <c r="BH100" s="177">
        <f>COUNTIFS(
    estq[empresa], BH$6,
    estq[Data da venda / reserva], "&gt;=" &amp; $A100,
    estq[Data da venda / reserva], "&lt;"  &amp; EOMONTH($A100,0) + 1
)</f>
        <v>0</v>
      </c>
      <c r="BI100" s="178">
        <f ca="1">SUMIFS(rec.uni[2029-02-01],
INDIRECT("rec.uni[natureza]"),"pro.soluto",
INDIRECT("rec.uni[empresa]"),BI$6)</f>
        <v>0</v>
      </c>
      <c r="BJ100" s="182">
        <f ca="1">SUMIFS(rec.uni[2029-02-01],
INDIRECT("rec.uni[natureza]"),"parcela.fin.total.ik",
INDIRECT("rec.uni[empresa]"),BJ$6)</f>
        <v>0</v>
      </c>
      <c r="BK100" s="178">
        <f ca="1">SUMIFS(rec.uni[2029-02-01],
INDIRECT("rec.uni[natureza]"),"taxa.extra",
INDIRECT("rec.uni[empresa]"),BK$6)</f>
        <v>0</v>
      </c>
      <c r="BL100" s="166"/>
      <c r="BM100" s="166" cm="1">
        <f t="array" ref="BM100">SUMPRODUCT(
  IFERROR(--desp[valor],0)*
  (desp[nucleo]="UP POMPEIA")*
  (desp[categoria]=BM$7)*
  (desp[data.pagamento]&gt;=$A100)*
  (desp[data.pagamento]&lt;EOMONTH($A100,0)+1)
)</f>
        <v>0</v>
      </c>
      <c r="BN100" s="166" cm="1">
        <f t="array" ref="BN100">SUMPRODUCT(
  IFERROR(--desp[valor],0)*
  (desp[nucleo]="UP POMPEIA")*
  (desp[categoria]=BN$7)*
  (desp[data.pagamento]&gt;=$A100)*
  (desp[data.pagamento]&lt;EOMONTH($A100,0)+1)
)</f>
        <v>0</v>
      </c>
      <c r="BO100" s="166" cm="1">
        <f t="array" ref="BO100">SUMPRODUCT(
  IFERROR(--desp[valor],0)*
  (desp[nucleo]="UP POMPEIA")*
  (desp[categoria]=BO$7)*
  (desp[data.pagamento]&gt;=$A100)*
  (desp[data.pagamento]&lt;EOMONTH($A100,0)+1)
)</f>
        <v>0</v>
      </c>
      <c r="BP100" s="166" cm="1">
        <f t="array" ref="BP100">SUMPRODUCT(
  IFERROR(--desp[valor],0)*
  (desp[nucleo]="UP POMPEIA")*
  (desp[categoria]=BP$7)*
  (desp[data.pagamento]&gt;=$A100)*
  (desp[data.pagamento]&lt;EOMONTH($A100,0)+1)
)</f>
        <v>0</v>
      </c>
      <c r="BQ100" s="166" cm="1">
        <f t="array" ref="BQ100">SUMPRODUCT(
  IFERROR(--desp[valor],0)*
  (desp[nucleo]="UP POMPEIA")*
  (desp[categoria]=BQ$7)*
  (desp[data.pagamento]&gt;=$A100)*
  (desp[data.pagamento]&lt;EOMONTH($A100,0)+1)
)</f>
        <v>0</v>
      </c>
      <c r="BR100" s="177">
        <f>COUNTIFS(
    estq[empresa], BR$6,
    estq[Data da venda / reserva], "&gt;=" &amp; $A100,
    estq[Data da venda / reserva], "&lt;"  &amp; EOMONTH($A100,0) + 1
)</f>
        <v>0</v>
      </c>
      <c r="BS100" s="178">
        <f ca="1">SUMIFS(rec.uni[2029-02-01],
INDIRECT("rec.uni[natureza]"),"pro.soluto",
INDIRECT("rec.uni[empresa]"),BS$6)</f>
        <v>0</v>
      </c>
      <c r="BT100" s="182">
        <f ca="1">SUMIFS(rec.uni[2029-02-01],
INDIRECT("rec.uni[natureza]"),"parcela.fin.total.ik",
INDIRECT("rec.uni[empresa]"),BT$6)</f>
        <v>0</v>
      </c>
      <c r="BU100" s="178">
        <f ca="1">SUMIFS(rec.uni[2029-02-01],
INDIRECT("rec.uni[natureza]"),"taxa.extra",
INDIRECT("rec.uni[empresa]"),BU$6)</f>
        <v>0</v>
      </c>
      <c r="BV100" s="166"/>
      <c r="BW100" s="166" cm="1">
        <f t="array" ref="BW100">SUMPRODUCT(
  IFERROR(--desp[valor],0)*
  (desp[nucleo]="UP SAUDE")*
  (desp[categoria]=BW$7)*
  (desp[data.pagamento]&gt;=$A100)*
  (desp[data.pagamento]&lt;EOMONTH($A100,0)+1)
)</f>
        <v>0</v>
      </c>
      <c r="BX100" s="166" cm="1">
        <f t="array" ref="BX100">SUMPRODUCT(
  IFERROR(--desp[valor],0)*
  (desp[nucleo]="UP SAUDE")*
  (desp[categoria]=BX$7)*
  (desp[data.pagamento]&gt;=$A100)*
  (desp[data.pagamento]&lt;EOMONTH($A100,0)+1)
)</f>
        <v>0</v>
      </c>
      <c r="BY100" s="166" cm="1">
        <f t="array" ref="BY100">SUMPRODUCT(
  IFERROR(--desp[valor],0)*
  (desp[nucleo]="UP SAUDE")*
  (desp[categoria]=BY$7)*
  (desp[data.pagamento]&gt;=$A100)*
  (desp[data.pagamento]&lt;EOMONTH($A100,0)+1)
)</f>
        <v>0</v>
      </c>
      <c r="BZ100" s="166" cm="1">
        <f t="array" ref="BZ100">SUMPRODUCT(
  IFERROR(--desp[valor],0)*
  (desp[nucleo]="UP SAUDE")*
  (desp[categoria]=BZ$7)*
  (desp[data.pagamento]&gt;=$A100)*
  (desp[data.pagamento]&lt;EOMONTH($A100,0)+1)
)</f>
        <v>0</v>
      </c>
      <c r="CA100" s="166" cm="1">
        <f t="array" ref="CA100">SUMPRODUCT(
  IFERROR(--desp[valor],0)*
  (desp[nucleo]="UP SAUDE")*
  (desp[categoria]=CA$7)*
  (desp[data.pagamento]&gt;=$A100)*
  (desp[data.pagamento]&lt;EOMONTH($A100,0)+1)
)</f>
        <v>0</v>
      </c>
      <c r="CB100" s="177">
        <f>COUNTIFS(
    estq[empresa], CB$6,
    estq[Data da venda / reserva], "&gt;=" &amp; $A100,
    estq[Data da venda / reserva], "&lt;"  &amp; EOMONTH($A100,0) + 1
)</f>
        <v>0</v>
      </c>
      <c r="CC100" s="178">
        <f ca="1">SUMIFS(rec.uni[2029-02-01],
INDIRECT("rec.uni[natureza]"),"pro.soluto",
INDIRECT("rec.uni[empresa]"),CC$6)</f>
        <v>0</v>
      </c>
      <c r="CD100" s="178">
        <f ca="1">SUMIFS(rec.uni[2029-02-01],
INDIRECT("rec.uni[natureza]"),"repasse.cef.obra",
INDIRECT("rec.uni[empresa]"),CD$6)</f>
        <v>0</v>
      </c>
      <c r="CE100" s="181">
        <f ca="1">SUMIFS(rec.uni[2029-02-01],
INDIRECT("rec.uni[natureza]"),"repasse.cef.terreno",
INDIRECT("rec.uni[empresa]"),CE$6)</f>
        <v>0</v>
      </c>
      <c r="CF100" s="182"/>
      <c r="CG100" s="178">
        <f ca="1">SUMIFS(rec.uni[2029-02-01],
INDIRECT("rec.uni[natureza]"),"taxa.extra",
INDIRECT("rec.uni[empresa]"),CG$6)</f>
        <v>0</v>
      </c>
      <c r="CH100" s="166"/>
      <c r="CI100" s="166" cm="1">
        <f t="array" ref="CI100">SUMPRODUCT(
  IFERROR(--desp[valor],0)*
  (desp[nucleo]="UP ESTAÇÃO VILA SONIA")*
  (desp[categoria]=CI$7)*
  (desp[data.pagamento]&gt;=$A100)*
  (desp[data.pagamento]&lt;EOMONTH($A100,0)+1)
)</f>
        <v>0</v>
      </c>
      <c r="CJ100" s="166" cm="1">
        <f t="array" ref="CJ100">SUMPRODUCT(
  IFERROR(--desp[valor],0)*
  (desp[nucleo]="UP ESTAÇÃO VILA SONIA")*
  (desp[categoria]=CJ$7)*
  (desp[data.pagamento]&gt;=$A100)*
  (desp[data.pagamento]&lt;EOMONTH($A100,0)+1)
)</f>
        <v>0</v>
      </c>
      <c r="CK100" s="166" cm="1">
        <f t="array" ref="CK100">SUMPRODUCT(
  IFERROR(--desp[valor],0)*
  (desp[nucleo]="UP ESTAÇÃO VILA SONIA")*
  (desp[categoria]=CK$7)*
  (desp[data.pagamento]&gt;=$A100)*
  (desp[data.pagamento]&lt;EOMONTH($A100,0)+1)
)</f>
        <v>0</v>
      </c>
      <c r="CL100" s="166" cm="1">
        <f t="array" ref="CL100">SUMPRODUCT(
  IFERROR(--desp[valor],0)*
  (desp[nucleo]="UP ESTAÇÃO VILA SONIA")*
  (desp[categoria]=CL$7)*
  (desp[data.pagamento]&gt;=$A100)*
  (desp[data.pagamento]&lt;EOMONTH($A100,0)+1)
)</f>
        <v>0</v>
      </c>
      <c r="CM100" s="166" cm="1">
        <f t="array" ref="CM100">SUMPRODUCT(
  IFERROR(--desp[valor],0)*
  (desp[nucleo]="UP ESTAÇÃO VILA SONIA")*
  (desp[categoria]=CM$7)*
  (desp[data.pagamento]&gt;=$A100)*
  (desp[data.pagamento]&lt;EOMONTH($A100,0)+1)
)</f>
        <v>0</v>
      </c>
      <c r="CN100" s="177">
        <f>COUNTIFS(
    estq[empresa], CN$6,
    estq[Data da venda / reserva], "&gt;=" &amp; $A100,
    estq[Data da venda / reserva], "&lt;"  &amp; EOMONTH($A100,0) + 1
)</f>
        <v>0</v>
      </c>
      <c r="CO100" s="178">
        <f ca="1">SUMIFS(rec.uni[2029-02-01],
INDIRECT("rec.uni[natureza]"),"pro.soluto",
INDIRECT("rec.uni[empresa]"),CO$6)</f>
        <v>0</v>
      </c>
      <c r="CP100" s="178">
        <f ca="1">SUMIFS(rec.uni[2029-02-01],
INDIRECT("rec.uni[natureza]"),"repasse.cef.obra",
INDIRECT("rec.uni[empresa]"),CP$6)</f>
        <v>0</v>
      </c>
      <c r="CQ100" s="181">
        <f ca="1">SUMIFS(rec.uni[2029-02-01],
INDIRECT("rec.uni[natureza]"),"repasse.cef.terreno",
INDIRECT("rec.uni[empresa]"),CQ$6)</f>
        <v>0</v>
      </c>
      <c r="CR100" s="182"/>
      <c r="CS100" s="178">
        <f ca="1">SUMIFS(rec.uni[2029-02-01],
INDIRECT("rec.uni[natureza]"),"taxa.extra",
INDIRECT("rec.uni[empresa]"),CS$6)</f>
        <v>0</v>
      </c>
      <c r="CT100" s="166"/>
      <c r="CU100" s="166" cm="1">
        <f t="array" ref="CU100">SUMPRODUCT(
  IFERROR(--desp[valor],0)*
  (desp[nucleo]="UP MOVE VILA SONIA")*
  (desp[categoria]=CU$7)*
  (desp[data.pagamento]&gt;=$A100)*
  (desp[data.pagamento]&lt;EOMONTH($A100,0)+1)
)</f>
        <v>0</v>
      </c>
      <c r="CV100" s="166" cm="1">
        <f t="array" ref="CV100">SUMPRODUCT(
  IFERROR(--desp[valor],0)*
  (desp[nucleo]="UP MOVE VILA SONIA")*
  (desp[categoria]=CV$7)*
  (desp[data.pagamento]&gt;=$A100)*
  (desp[data.pagamento]&lt;EOMONTH($A100,0)+1)
)</f>
        <v>0</v>
      </c>
      <c r="CW100" s="166" cm="1">
        <f t="array" ref="CW100">SUMPRODUCT(
  IFERROR(--desp[valor],0)*
  (desp[nucleo]="UP MOVE VILA SONIA")*
  (desp[categoria]=CW$7)*
  (desp[data.pagamento]&gt;=$A100)*
  (desp[data.pagamento]&lt;EOMONTH($A100,0)+1)
)</f>
        <v>0</v>
      </c>
      <c r="CX100" s="166" cm="1">
        <f t="array" ref="CX100">SUMPRODUCT(
  IFERROR(--desp[valor],0)*
  (desp[nucleo]="UP MOVE VILA SONIA")*
  (desp[categoria]=CX$7)*
  (desp[data.pagamento]&gt;=$A100)*
  (desp[data.pagamento]&lt;EOMONTH($A100,0)+1)
)</f>
        <v>0</v>
      </c>
      <c r="CY100" s="291" cm="1">
        <f t="array" ref="CY100">SUMPRODUCT(
  IFERROR(--desp[valor],0)*
  (desp[nucleo]="UP MOVE VILA SONIA")*
  (desp[categoria]=CY$7)*
  (desp[data.pagamento]&gt;=$A100)*
  (desp[data.pagamento]&lt;EOMONTH($A100,0)+1)
)</f>
        <v>0</v>
      </c>
    </row>
    <row r="101" spans="1:103" x14ac:dyDescent="0.25">
      <c r="A101" s="176">
        <v>47178</v>
      </c>
      <c r="B101" s="177">
        <f>COUNTIFS(
    estq[empresa], B$6,
    estq[Data da venda / reserva], "&gt;=" &amp; $A101,
    estq[Data da venda / reserva], "&lt;"  &amp; EOMONTH($A101,0) + 1
)</f>
        <v>0</v>
      </c>
      <c r="C101" s="178">
        <f ca="1">SUMIFS(rec.uni[2029-03-01],
INDIRECT("rec.uni[natureza]"),"pro.soluto",
INDIRECT("rec.uni[empresa]"),C$6)</f>
        <v>0</v>
      </c>
      <c r="D101" s="178">
        <f ca="1">SUMIFS(rec.uni[2029-03-01],
INDIRECT("rec.uni[natureza]"),"repasse.cef.obra",
INDIRECT("rec.uni[empresa]"),D$6)</f>
        <v>0</v>
      </c>
      <c r="E101" s="178">
        <f ca="1">SUMIFS(rec.uni[2029-03-01],
INDIRECT("rec.uni[natureza]"),"repasse.cef.terreno",
INDIRECT("rec.uni[empresa]"),E$6)</f>
        <v>0</v>
      </c>
      <c r="F101" s="182"/>
      <c r="G101" s="178">
        <f ca="1">SUMIFS(rec.uni[2029-03-01],
INDIRECT("rec.uni[natureza]"),"taxa.extra",
INDIRECT("rec.uni[empresa]"),G$6)</f>
        <v>0</v>
      </c>
      <c r="H101" s="166"/>
      <c r="I101" s="166" cm="1">
        <f t="array" ref="I101">SUMPRODUCT(
  IFERROR(--desp[valor],0)*
  (desp[nucleo]="UP JARDIM PRUDENCIA")*
  (desp[categoria]=I$7)*
  (desp[data.pagamento]&gt;=$A101)*
  (desp[data.pagamento]&lt;EOMONTH($A101,0)+1)
)</f>
        <v>0</v>
      </c>
      <c r="J101" s="166" cm="1">
        <f t="array" ref="J101">SUMPRODUCT(
  IFERROR(--desp[valor],0)*
  (desp[nucleo]="UP JARDIM PRUDENCIA")*
  (desp[categoria]=J$7)*
  (desp[data.pagamento]&gt;=$A101)*
  (desp[data.pagamento]&lt;EOMONTH($A101,0)+1)
)</f>
        <v>0</v>
      </c>
      <c r="K101" s="166" cm="1">
        <f t="array" ref="K101">SUMPRODUCT(
  IFERROR(--desp[valor],0)*
  (desp[nucleo]="UP JARDIM PRUDENCIA")*
  (desp[categoria]=K$7)*
  (desp[data.pagamento]&gt;=$A101)*
  (desp[data.pagamento]&lt;EOMONTH($A101,0)+1)
)</f>
        <v>0</v>
      </c>
      <c r="L101" s="166" cm="1">
        <f t="array" ref="L101">SUMPRODUCT(
  IFERROR(--desp[valor],0)*
  (desp[nucleo]="UP JARDIM PRUDENCIA")*
  (desp[categoria]=L$7)*
  (desp[data.pagamento]&gt;=$A101)*
  (desp[data.pagamento]&lt;EOMONTH($A101,0)+1)
)</f>
        <v>0</v>
      </c>
      <c r="M101" s="166" cm="1">
        <f t="array" ref="M101">SUMPRODUCT(
  IFERROR(--desp[valor],0)*
  (desp[nucleo]="UP JARDIM PRUDENCIA")*
  (desp[categoria]=M$7)*
  (desp[data.pagamento]&gt;=$A101)*
  (desp[data.pagamento]&lt;EOMONTH($A101,0)+1)
)</f>
        <v>0</v>
      </c>
      <c r="N101" s="177">
        <f>COUNTIFS(
    estq[empresa], N$6,
    estq[Data da venda / reserva], "&gt;=" &amp; $A101,
    estq[Data da venda / reserva], "&lt;"  &amp; EOMONTH($A101,0) + 1
)</f>
        <v>0</v>
      </c>
      <c r="O101" s="178">
        <f ca="1">SUMIFS(rec.uni[2029-03-01],
INDIRECT("rec.uni[natureza]"),"pro.soluto",
INDIRECT("rec.uni[empresa]"),O$6)</f>
        <v>0</v>
      </c>
      <c r="P101" s="178">
        <f ca="1">SUMIFS(rec.uni[2029-03-01],
INDIRECT("rec.uni[natureza]"),"repasse.cef.obra",
INDIRECT("rec.uni[empresa]"),P$6)</f>
        <v>0</v>
      </c>
      <c r="Q101" s="178">
        <f ca="1">SUMIFS(rec.uni[2029-03-01],
INDIRECT("rec.uni[natureza]"),"repasse.cef.terreno",
INDIRECT("rec.uni[empresa]"),Q$6)</f>
        <v>0</v>
      </c>
      <c r="R101" s="182"/>
      <c r="S101" s="178">
        <f ca="1">SUMIFS(rec.uni[2029-03-01],
INDIRECT("rec.uni[natureza]"),"taxa.extra",
INDIRECT("rec.uni[empresa]"),S$6)</f>
        <v>0</v>
      </c>
      <c r="T101" s="166"/>
      <c r="U101" s="166" cm="1">
        <f t="array" ref="U101">SUMPRODUCT(
  IFERROR(--desp[valor],0)*
  (desp[nucleo]="UP VILA SONIA")*
  (desp[categoria]=U$7)*
  (desp[data.pagamento]&gt;=$A101)*
  (desp[data.pagamento]&lt;EOMONTH($A101,0)+1)
)</f>
        <v>0</v>
      </c>
      <c r="V101" s="166" cm="1">
        <f t="array" ref="V101">SUMPRODUCT(
  IFERROR(--desp[valor],0)*
  (desp[nucleo]="UP VILA SONIA")*
  (desp[categoria]=V$7)*
  (desp[data.pagamento]&gt;=$A101)*
  (desp[data.pagamento]&lt;EOMONTH($A101,0)+1)
)</f>
        <v>0</v>
      </c>
      <c r="W101" s="166" cm="1">
        <f t="array" ref="W101">SUMPRODUCT(
  IFERROR(--desp[valor],0)*
  (desp[nucleo]="UP VILA SONIA")*
  (desp[categoria]=W$7)*
  (desp[data.pagamento]&gt;=$A101)*
  (desp[data.pagamento]&lt;EOMONTH($A101,0)+1)
)</f>
        <v>0</v>
      </c>
      <c r="X101" s="166" cm="1">
        <f t="array" ref="X101">SUMPRODUCT(
  IFERROR(--desp[valor],0)*
  (desp[nucleo]="UP VILA SONIA")*
  (desp[categoria]=X$7)*
  (desp[data.pagamento]&gt;=$A101)*
  (desp[data.pagamento]&lt;EOMONTH($A101,0)+1)
)</f>
        <v>0</v>
      </c>
      <c r="Y101" s="166" cm="1">
        <f t="array" ref="Y101">SUMPRODUCT(
  IFERROR(--desp[valor],0)*
  (desp[nucleo]="UP VILA SONIA")*
  (desp[categoria]=Y$7)*
  (desp[data.pagamento]&gt;=$A101)*
  (desp[data.pagamento]&lt;EOMONTH($A101,0)+1)
)</f>
        <v>0</v>
      </c>
      <c r="Z101" s="177">
        <f>COUNTIFS(
    estq[empresa], Z$6,
    estq[Data da venda / reserva], "&gt;=" &amp; $A101,
    estq[Data da venda / reserva], "&lt;"  &amp; EOMONTH($A101,0) + 1
)</f>
        <v>0</v>
      </c>
      <c r="AA101" s="178">
        <f ca="1">SUMIFS(rec.uni[2029-03-01],
INDIRECT("rec.uni[natureza]"),"pro.soluto",
INDIRECT("rec.uni[empresa]"),AA$6)</f>
        <v>0</v>
      </c>
      <c r="AB101" s="182">
        <f ca="1">SUMIFS(rec.uni[2029-03-01],
INDIRECT("rec.uni[natureza]"),"parcela.fin.total.ik",
INDIRECT("rec.uni[empresa]"),AB$6)</f>
        <v>0</v>
      </c>
      <c r="AC101" s="178">
        <f ca="1">SUMIFS(rec.uni[2029-03-01],
INDIRECT("rec.uni[natureza]"),"taxa.extra",
INDIRECT("rec.uni[empresa]"),AC$6)</f>
        <v>0</v>
      </c>
      <c r="AD101" s="166"/>
      <c r="AE101" s="166" cm="1">
        <f t="array" ref="AE101">SUMPRODUCT(
  IFERROR(--desp[valor],0)*
  (desp[nucleo]="UP CAMPO BELO")*
  (desp[categoria]=AE$7)*
  (desp[data.pagamento]&gt;=$A101)*
  (desp[data.pagamento]&lt;EOMONTH($A101,0)+1)
)</f>
        <v>0</v>
      </c>
      <c r="AF101" s="166" cm="1">
        <f t="array" ref="AF101">SUMPRODUCT(
  IFERROR(--desp[valor],0)*
  (desp[nucleo]="UP CAMPO BELO")*
  (desp[categoria]=AF$7)*
  (desp[data.pagamento]&gt;=$A101)*
  (desp[data.pagamento]&lt;EOMONTH($A101,0)+1)
)</f>
        <v>0</v>
      </c>
      <c r="AG101" s="166" cm="1">
        <f t="array" ref="AG101">SUMPRODUCT(
  IFERROR(--desp[valor],0)*
  (desp[nucleo]="UP CAMPO BELO")*
  (desp[categoria]=AG$7)*
  (desp[data.pagamento]&gt;=$A101)*
  (desp[data.pagamento]&lt;EOMONTH($A101,0)+1)
)</f>
        <v>0</v>
      </c>
      <c r="AH101" s="166" cm="1">
        <f t="array" ref="AH101">SUMPRODUCT(
  IFERROR(--desp[valor],0)*
  (desp[nucleo]="UP CAMPO BELO")*
  (desp[categoria]=AH$7)*
  (desp[data.pagamento]&gt;=$A101)*
  (desp[data.pagamento]&lt;EOMONTH($A101,0)+1)
)</f>
        <v>0</v>
      </c>
      <c r="AI101" s="166" cm="1">
        <f t="array" ref="AI101">SUMPRODUCT(
  IFERROR(--desp[valor],0)*
  (desp[nucleo]="UP CAMPO BELO")*
  (desp[categoria]=AI$7)*
  (desp[data.pagamento]&gt;=$A101)*
  (desp[data.pagamento]&lt;EOMONTH($A101,0)+1)
)</f>
        <v>0</v>
      </c>
      <c r="AJ101" s="177">
        <f>COUNTIFS(
    estq[empresa], AJ$6,
    estq[Data da venda / reserva], "&gt;=" &amp; $A101,
    estq[Data da venda / reserva], "&lt;"  &amp; EOMONTH($A101,0) + 1
)</f>
        <v>0</v>
      </c>
      <c r="AK101" s="178">
        <f ca="1">SUMIFS(rec.uni[2029-03-01],
INDIRECT("rec.uni[natureza]"),"pro.soluto",
INDIRECT("rec.uni[empresa]"),AK$6)</f>
        <v>0</v>
      </c>
      <c r="AL101" s="178">
        <f ca="1">SUMIFS(rec.uni[2029-03-01],
INDIRECT("rec.uni[natureza]"),"repasse.cef.obra",
INDIRECT("rec.uni[empresa]"),AL$6)</f>
        <v>0</v>
      </c>
      <c r="AM101" s="181">
        <f ca="1">SUMIFS(rec.uni[2029-03-01],
INDIRECT("rec.uni[natureza]"),"repasse.cef.terreno",
INDIRECT("rec.uni[empresa]"),AM$6)</f>
        <v>0</v>
      </c>
      <c r="AN101" s="182"/>
      <c r="AO101" s="178">
        <f ca="1">SUMIFS(rec.uni[2029-03-01],
INDIRECT("rec.uni[natureza]"),"taxa.extra",
INDIRECT("rec.uni[empresa]"),AO$6)</f>
        <v>0</v>
      </c>
      <c r="AP101" s="166"/>
      <c r="AQ101" s="166" cm="1">
        <f t="array" ref="AQ101">SUMPRODUCT(
  IFERROR(--desp[valor],0)*
  (desp[nucleo]="UP SELECT VILA SONIA")*
  (desp[categoria]=AQ$7)*
  (desp[data.pagamento]&gt;=$A101)*
  (desp[data.pagamento]&lt;EOMONTH($A101,0)+1)
)</f>
        <v>0</v>
      </c>
      <c r="AR101" s="166" cm="1">
        <f t="array" ref="AR101">SUMPRODUCT(
  IFERROR(--desp[valor],0)*
  (desp[nucleo]="UP SELECT VILA SONIA")*
  (desp[categoria]=AR$7)*
  (desp[data.pagamento]&gt;=$A101)*
  (desp[data.pagamento]&lt;EOMONTH($A101,0)+1)
)</f>
        <v>0</v>
      </c>
      <c r="AS101" s="166" cm="1">
        <f t="array" ref="AS101">SUMPRODUCT(
  IFERROR(--desp[valor],0)*
  (desp[nucleo]="UP SELECT VILA SONIA")*
  (desp[categoria]=AS$7)*
  (desp[data.pagamento]&gt;=$A101)*
  (desp[data.pagamento]&lt;EOMONTH($A101,0)+1)
)</f>
        <v>0</v>
      </c>
      <c r="AT101" s="166" cm="1">
        <f t="array" ref="AT101">SUMPRODUCT(
  IFERROR(--desp[valor],0)*
  (desp[nucleo]="UP SELECT VILA SONIA")*
  (desp[categoria]=AT$7)*
  (desp[data.pagamento]&gt;=$A101)*
  (desp[data.pagamento]&lt;EOMONTH($A101,0)+1)
)</f>
        <v>0</v>
      </c>
      <c r="AU101" s="166" cm="1">
        <f t="array" ref="AU101">SUMPRODUCT(
  IFERROR(--desp[valor],0)*
  (desp[nucleo]="UP SELECT VILA SONIA")*
  (desp[categoria]=AU$7)*
  (desp[data.pagamento]&gt;=$A101)*
  (desp[data.pagamento]&lt;EOMONTH($A101,0)+1)
)</f>
        <v>0</v>
      </c>
      <c r="AV101" s="177">
        <f>COUNTIFS(
    estq[empresa], AV$6,
    estq[Data da venda / reserva], "&gt;=" &amp; $A101,
    estq[Data da venda / reserva], "&lt;"  &amp; EOMONTH($A101,0) + 1
)</f>
        <v>0</v>
      </c>
      <c r="AW101" s="178">
        <f ca="1">SUMIFS(rec.uni[2029-03-01],
INDIRECT("rec.uni[natureza]"),"pro.soluto",
INDIRECT("rec.uni[empresa]"),AW$6)</f>
        <v>0</v>
      </c>
      <c r="AX101" s="178">
        <f ca="1">SUMIFS(rec.uni[2029-03-01],
INDIRECT("rec.uni[natureza]"),"repasse.cef.obra",
INDIRECT("rec.uni[empresa]"),AX$6)</f>
        <v>0</v>
      </c>
      <c r="AY101" s="181">
        <f ca="1">SUMIFS(rec.uni[2029-03-01],
INDIRECT("rec.uni[natureza]"),"repasse.cef.terreno",
INDIRECT("rec.uni[empresa]"),AY$6)</f>
        <v>0</v>
      </c>
      <c r="AZ101" s="182"/>
      <c r="BA101" s="178">
        <f ca="1">SUMIFS(rec.uni[2029-03-01],
INDIRECT("rec.uni[natureza]"),"taxa.extra",
INDIRECT("rec.uni[empresa]"),BA$6)</f>
        <v>0</v>
      </c>
      <c r="BB101" s="166"/>
      <c r="BC101" s="166" cm="1">
        <f t="array" ref="BC101">SUMPRODUCT(
  IFERROR(--desp[valor],0)*
  (desp[nucleo]="UP ESTAÇÃO SÃO LUCAS")*
  (desp[categoria]=BC$7)*
  (desp[data.pagamento]&gt;=$A101)*
  (desp[data.pagamento]&lt;EOMONTH($A101,0)+1)
)</f>
        <v>0</v>
      </c>
      <c r="BD101" s="166" cm="1">
        <f t="array" ref="BD101">SUMPRODUCT(
  IFERROR(--desp[valor],0)*
  (desp[nucleo]="UP ESTAÇÃO SÃO LUCAS")*
  (desp[categoria]=BD$7)*
  (desp[data.pagamento]&gt;=$A101)*
  (desp[data.pagamento]&lt;EOMONTH($A101,0)+1)
)</f>
        <v>0</v>
      </c>
      <c r="BE101" s="166" cm="1">
        <f t="array" ref="BE101">SUMPRODUCT(
  IFERROR(--desp[valor],0)*
  (desp[nucleo]="UP ESTAÇÃO SÃO LUCAS")*
  (desp[categoria]=BE$7)*
  (desp[data.pagamento]&gt;=$A101)*
  (desp[data.pagamento]&lt;EOMONTH($A101,0)+1)
)</f>
        <v>0</v>
      </c>
      <c r="BF101" s="166" cm="1">
        <f t="array" ref="BF101">SUMPRODUCT(
  IFERROR(--desp[valor],0)*
  (desp[nucleo]="UP ESTAÇÃO SÃO LUCAS")*
  (desp[categoria]=BF$7)*
  (desp[data.pagamento]&gt;=$A101)*
  (desp[data.pagamento]&lt;EOMONTH($A101,0)+1)
)</f>
        <v>0</v>
      </c>
      <c r="BG101" s="166" cm="1">
        <f t="array" ref="BG101">SUMPRODUCT(
  IFERROR(--desp[valor],0)*
  (desp[nucleo]="UP ESTAÇÃO SÃO LUCAS")*
  (desp[categoria]=BG$7)*
  (desp[data.pagamento]&gt;=$A101)*
  (desp[data.pagamento]&lt;EOMONTH($A101,0)+1)
)</f>
        <v>0</v>
      </c>
      <c r="BH101" s="177">
        <f>COUNTIFS(
    estq[empresa], BH$6,
    estq[Data da venda / reserva], "&gt;=" &amp; $A101,
    estq[Data da venda / reserva], "&lt;"  &amp; EOMONTH($A101,0) + 1
)</f>
        <v>0</v>
      </c>
      <c r="BI101" s="178">
        <f ca="1">SUMIFS(rec.uni[2029-03-01],
INDIRECT("rec.uni[natureza]"),"pro.soluto",
INDIRECT("rec.uni[empresa]"),BI$6)</f>
        <v>0</v>
      </c>
      <c r="BJ101" s="182">
        <f ca="1">SUMIFS(rec.uni[2029-03-01],
INDIRECT("rec.uni[natureza]"),"parcela.fin.total.ik",
INDIRECT("rec.uni[empresa]"),BJ$6)</f>
        <v>0</v>
      </c>
      <c r="BK101" s="178">
        <f ca="1">SUMIFS(rec.uni[2029-03-01],
INDIRECT("rec.uni[natureza]"),"taxa.extra",
INDIRECT("rec.uni[empresa]"),BK$6)</f>
        <v>0</v>
      </c>
      <c r="BL101" s="166"/>
      <c r="BM101" s="166" cm="1">
        <f t="array" ref="BM101">SUMPRODUCT(
  IFERROR(--desp[valor],0)*
  (desp[nucleo]="UP POMPEIA")*
  (desp[categoria]=BM$7)*
  (desp[data.pagamento]&gt;=$A101)*
  (desp[data.pagamento]&lt;EOMONTH($A101,0)+1)
)</f>
        <v>0</v>
      </c>
      <c r="BN101" s="166" cm="1">
        <f t="array" ref="BN101">SUMPRODUCT(
  IFERROR(--desp[valor],0)*
  (desp[nucleo]="UP POMPEIA")*
  (desp[categoria]=BN$7)*
  (desp[data.pagamento]&gt;=$A101)*
  (desp[data.pagamento]&lt;EOMONTH($A101,0)+1)
)</f>
        <v>0</v>
      </c>
      <c r="BO101" s="166" cm="1">
        <f t="array" ref="BO101">SUMPRODUCT(
  IFERROR(--desp[valor],0)*
  (desp[nucleo]="UP POMPEIA")*
  (desp[categoria]=BO$7)*
  (desp[data.pagamento]&gt;=$A101)*
  (desp[data.pagamento]&lt;EOMONTH($A101,0)+1)
)</f>
        <v>0</v>
      </c>
      <c r="BP101" s="166" cm="1">
        <f t="array" ref="BP101">SUMPRODUCT(
  IFERROR(--desp[valor],0)*
  (desp[nucleo]="UP POMPEIA")*
  (desp[categoria]=BP$7)*
  (desp[data.pagamento]&gt;=$A101)*
  (desp[data.pagamento]&lt;EOMONTH($A101,0)+1)
)</f>
        <v>0</v>
      </c>
      <c r="BQ101" s="166" cm="1">
        <f t="array" ref="BQ101">SUMPRODUCT(
  IFERROR(--desp[valor],0)*
  (desp[nucleo]="UP POMPEIA")*
  (desp[categoria]=BQ$7)*
  (desp[data.pagamento]&gt;=$A101)*
  (desp[data.pagamento]&lt;EOMONTH($A101,0)+1)
)</f>
        <v>0</v>
      </c>
      <c r="BR101" s="177">
        <f>COUNTIFS(
    estq[empresa], BR$6,
    estq[Data da venda / reserva], "&gt;=" &amp; $A101,
    estq[Data da venda / reserva], "&lt;"  &amp; EOMONTH($A101,0) + 1
)</f>
        <v>0</v>
      </c>
      <c r="BS101" s="178">
        <f ca="1">SUMIFS(rec.uni[2029-03-01],
INDIRECT("rec.uni[natureza]"),"pro.soluto",
INDIRECT("rec.uni[empresa]"),BS$6)</f>
        <v>0</v>
      </c>
      <c r="BT101" s="182">
        <f ca="1">SUMIFS(rec.uni[2029-03-01],
INDIRECT("rec.uni[natureza]"),"parcela.fin.total.ik",
INDIRECT("rec.uni[empresa]"),BT$6)</f>
        <v>0</v>
      </c>
      <c r="BU101" s="178">
        <f ca="1">SUMIFS(rec.uni[2029-03-01],
INDIRECT("rec.uni[natureza]"),"taxa.extra",
INDIRECT("rec.uni[empresa]"),BU$6)</f>
        <v>0</v>
      </c>
      <c r="BV101" s="166"/>
      <c r="BW101" s="166" cm="1">
        <f t="array" ref="BW101">SUMPRODUCT(
  IFERROR(--desp[valor],0)*
  (desp[nucleo]="UP SAUDE")*
  (desp[categoria]=BW$7)*
  (desp[data.pagamento]&gt;=$A101)*
  (desp[data.pagamento]&lt;EOMONTH($A101,0)+1)
)</f>
        <v>0</v>
      </c>
      <c r="BX101" s="166" cm="1">
        <f t="array" ref="BX101">SUMPRODUCT(
  IFERROR(--desp[valor],0)*
  (desp[nucleo]="UP SAUDE")*
  (desp[categoria]=BX$7)*
  (desp[data.pagamento]&gt;=$A101)*
  (desp[data.pagamento]&lt;EOMONTH($A101,0)+1)
)</f>
        <v>0</v>
      </c>
      <c r="BY101" s="166" cm="1">
        <f t="array" ref="BY101">SUMPRODUCT(
  IFERROR(--desp[valor],0)*
  (desp[nucleo]="UP SAUDE")*
  (desp[categoria]=BY$7)*
  (desp[data.pagamento]&gt;=$A101)*
  (desp[data.pagamento]&lt;EOMONTH($A101,0)+1)
)</f>
        <v>0</v>
      </c>
      <c r="BZ101" s="166" cm="1">
        <f t="array" ref="BZ101">SUMPRODUCT(
  IFERROR(--desp[valor],0)*
  (desp[nucleo]="UP SAUDE")*
  (desp[categoria]=BZ$7)*
  (desp[data.pagamento]&gt;=$A101)*
  (desp[data.pagamento]&lt;EOMONTH($A101,0)+1)
)</f>
        <v>0</v>
      </c>
      <c r="CA101" s="166" cm="1">
        <f t="array" ref="CA101">SUMPRODUCT(
  IFERROR(--desp[valor],0)*
  (desp[nucleo]="UP SAUDE")*
  (desp[categoria]=CA$7)*
  (desp[data.pagamento]&gt;=$A101)*
  (desp[data.pagamento]&lt;EOMONTH($A101,0)+1)
)</f>
        <v>0</v>
      </c>
      <c r="CB101" s="177">
        <f>COUNTIFS(
    estq[empresa], CB$6,
    estq[Data da venda / reserva], "&gt;=" &amp; $A101,
    estq[Data da venda / reserva], "&lt;"  &amp; EOMONTH($A101,0) + 1
)</f>
        <v>0</v>
      </c>
      <c r="CC101" s="178">
        <f ca="1">SUMIFS(rec.uni[2029-03-01],
INDIRECT("rec.uni[natureza]"),"pro.soluto",
INDIRECT("rec.uni[empresa]"),CC$6)</f>
        <v>0</v>
      </c>
      <c r="CD101" s="178">
        <f ca="1">SUMIFS(rec.uni[2029-03-01],
INDIRECT("rec.uni[natureza]"),"repasse.cef.obra",
INDIRECT("rec.uni[empresa]"),CD$6)</f>
        <v>0</v>
      </c>
      <c r="CE101" s="181">
        <f ca="1">SUMIFS(rec.uni[2029-03-01],
INDIRECT("rec.uni[natureza]"),"repasse.cef.terreno",
INDIRECT("rec.uni[empresa]"),CE$6)</f>
        <v>0</v>
      </c>
      <c r="CF101" s="182"/>
      <c r="CG101" s="178">
        <f ca="1">SUMIFS(rec.uni[2029-03-01],
INDIRECT("rec.uni[natureza]"),"taxa.extra",
INDIRECT("rec.uni[empresa]"),CG$6)</f>
        <v>0</v>
      </c>
      <c r="CH101" s="166"/>
      <c r="CI101" s="166" cm="1">
        <f t="array" ref="CI101">SUMPRODUCT(
  IFERROR(--desp[valor],0)*
  (desp[nucleo]="UP ESTAÇÃO VILA SONIA")*
  (desp[categoria]=CI$7)*
  (desp[data.pagamento]&gt;=$A101)*
  (desp[data.pagamento]&lt;EOMONTH($A101,0)+1)
)</f>
        <v>0</v>
      </c>
      <c r="CJ101" s="166" cm="1">
        <f t="array" ref="CJ101">SUMPRODUCT(
  IFERROR(--desp[valor],0)*
  (desp[nucleo]="UP ESTAÇÃO VILA SONIA")*
  (desp[categoria]=CJ$7)*
  (desp[data.pagamento]&gt;=$A101)*
  (desp[data.pagamento]&lt;EOMONTH($A101,0)+1)
)</f>
        <v>0</v>
      </c>
      <c r="CK101" s="166" cm="1">
        <f t="array" ref="CK101">SUMPRODUCT(
  IFERROR(--desp[valor],0)*
  (desp[nucleo]="UP ESTAÇÃO VILA SONIA")*
  (desp[categoria]=CK$7)*
  (desp[data.pagamento]&gt;=$A101)*
  (desp[data.pagamento]&lt;EOMONTH($A101,0)+1)
)</f>
        <v>0</v>
      </c>
      <c r="CL101" s="166" cm="1">
        <f t="array" ref="CL101">SUMPRODUCT(
  IFERROR(--desp[valor],0)*
  (desp[nucleo]="UP ESTAÇÃO VILA SONIA")*
  (desp[categoria]=CL$7)*
  (desp[data.pagamento]&gt;=$A101)*
  (desp[data.pagamento]&lt;EOMONTH($A101,0)+1)
)</f>
        <v>0</v>
      </c>
      <c r="CM101" s="166" cm="1">
        <f t="array" ref="CM101">SUMPRODUCT(
  IFERROR(--desp[valor],0)*
  (desp[nucleo]="UP ESTAÇÃO VILA SONIA")*
  (desp[categoria]=CM$7)*
  (desp[data.pagamento]&gt;=$A101)*
  (desp[data.pagamento]&lt;EOMONTH($A101,0)+1)
)</f>
        <v>0</v>
      </c>
      <c r="CN101" s="177">
        <f>COUNTIFS(
    estq[empresa], CN$6,
    estq[Data da venda / reserva], "&gt;=" &amp; $A101,
    estq[Data da venda / reserva], "&lt;"  &amp; EOMONTH($A101,0) + 1
)</f>
        <v>0</v>
      </c>
      <c r="CO101" s="178">
        <f ca="1">SUMIFS(rec.uni[2029-03-01],
INDIRECT("rec.uni[natureza]"),"pro.soluto",
INDIRECT("rec.uni[empresa]"),CO$6)</f>
        <v>0</v>
      </c>
      <c r="CP101" s="178">
        <f ca="1">SUMIFS(rec.uni[2029-03-01],
INDIRECT("rec.uni[natureza]"),"repasse.cef.obra",
INDIRECT("rec.uni[empresa]"),CP$6)</f>
        <v>0</v>
      </c>
      <c r="CQ101" s="181">
        <f ca="1">SUMIFS(rec.uni[2029-03-01],
INDIRECT("rec.uni[natureza]"),"repasse.cef.terreno",
INDIRECT("rec.uni[empresa]"),CQ$6)</f>
        <v>0</v>
      </c>
      <c r="CR101" s="182"/>
      <c r="CS101" s="178">
        <f ca="1">SUMIFS(rec.uni[2029-03-01],
INDIRECT("rec.uni[natureza]"),"taxa.extra",
INDIRECT("rec.uni[empresa]"),CS$6)</f>
        <v>0</v>
      </c>
      <c r="CT101" s="166"/>
      <c r="CU101" s="166" cm="1">
        <f t="array" ref="CU101">SUMPRODUCT(
  IFERROR(--desp[valor],0)*
  (desp[nucleo]="UP MOVE VILA SONIA")*
  (desp[categoria]=CU$7)*
  (desp[data.pagamento]&gt;=$A101)*
  (desp[data.pagamento]&lt;EOMONTH($A101,0)+1)
)</f>
        <v>0</v>
      </c>
      <c r="CV101" s="166" cm="1">
        <f t="array" ref="CV101">SUMPRODUCT(
  IFERROR(--desp[valor],0)*
  (desp[nucleo]="UP MOVE VILA SONIA")*
  (desp[categoria]=CV$7)*
  (desp[data.pagamento]&gt;=$A101)*
  (desp[data.pagamento]&lt;EOMONTH($A101,0)+1)
)</f>
        <v>0</v>
      </c>
      <c r="CW101" s="166" cm="1">
        <f t="array" ref="CW101">SUMPRODUCT(
  IFERROR(--desp[valor],0)*
  (desp[nucleo]="UP MOVE VILA SONIA")*
  (desp[categoria]=CW$7)*
  (desp[data.pagamento]&gt;=$A101)*
  (desp[data.pagamento]&lt;EOMONTH($A101,0)+1)
)</f>
        <v>0</v>
      </c>
      <c r="CX101" s="166" cm="1">
        <f t="array" ref="CX101">SUMPRODUCT(
  IFERROR(--desp[valor],0)*
  (desp[nucleo]="UP MOVE VILA SONIA")*
  (desp[categoria]=CX$7)*
  (desp[data.pagamento]&gt;=$A101)*
  (desp[data.pagamento]&lt;EOMONTH($A101,0)+1)
)</f>
        <v>0</v>
      </c>
      <c r="CY101" s="291" cm="1">
        <f t="array" ref="CY101">SUMPRODUCT(
  IFERROR(--desp[valor],0)*
  (desp[nucleo]="UP MOVE VILA SONIA")*
  (desp[categoria]=CY$7)*
  (desp[data.pagamento]&gt;=$A101)*
  (desp[data.pagamento]&lt;EOMONTH($A101,0)+1)
)</f>
        <v>0</v>
      </c>
    </row>
    <row r="102" spans="1:103" x14ac:dyDescent="0.25">
      <c r="A102" s="176">
        <v>47209</v>
      </c>
      <c r="B102" s="177">
        <f>COUNTIFS(
    estq[empresa], B$6,
    estq[Data da venda / reserva], "&gt;=" &amp; $A102,
    estq[Data da venda / reserva], "&lt;"  &amp; EOMONTH($A102,0) + 1
)</f>
        <v>0</v>
      </c>
      <c r="C102" s="178">
        <f ca="1">SUMIFS(rec.uni[2029-04-01],
INDIRECT("rec.uni[natureza]"),"pro.soluto",
INDIRECT("rec.uni[empresa]"),C$6)</f>
        <v>0</v>
      </c>
      <c r="D102" s="178">
        <f ca="1">SUMIFS(rec.uni[2029-04-01],
INDIRECT("rec.uni[natureza]"),"repasse.cef.obra",
INDIRECT("rec.uni[empresa]"),D$6)</f>
        <v>0</v>
      </c>
      <c r="E102" s="178">
        <f ca="1">SUMIFS(rec.uni[2029-04-01],
INDIRECT("rec.uni[natureza]"),"repasse.cef.terreno",
INDIRECT("rec.uni[empresa]"),E$6)</f>
        <v>0</v>
      </c>
      <c r="F102" s="182"/>
      <c r="G102" s="178">
        <f ca="1">SUMIFS(rec.uni[2029-04-01],
INDIRECT("rec.uni[natureza]"),"taxa.extra",
INDIRECT("rec.uni[empresa]"),G$6)</f>
        <v>0</v>
      </c>
      <c r="H102" s="166"/>
      <c r="I102" s="166" cm="1">
        <f t="array" ref="I102">SUMPRODUCT(
  IFERROR(--desp[valor],0)*
  (desp[nucleo]="UP JARDIM PRUDENCIA")*
  (desp[categoria]=I$7)*
  (desp[data.pagamento]&gt;=$A102)*
  (desp[data.pagamento]&lt;EOMONTH($A102,0)+1)
)</f>
        <v>0</v>
      </c>
      <c r="J102" s="166" cm="1">
        <f t="array" ref="J102">SUMPRODUCT(
  IFERROR(--desp[valor],0)*
  (desp[nucleo]="UP JARDIM PRUDENCIA")*
  (desp[categoria]=J$7)*
  (desp[data.pagamento]&gt;=$A102)*
  (desp[data.pagamento]&lt;EOMONTH($A102,0)+1)
)</f>
        <v>0</v>
      </c>
      <c r="K102" s="166" cm="1">
        <f t="array" ref="K102">SUMPRODUCT(
  IFERROR(--desp[valor],0)*
  (desp[nucleo]="UP JARDIM PRUDENCIA")*
  (desp[categoria]=K$7)*
  (desp[data.pagamento]&gt;=$A102)*
  (desp[data.pagamento]&lt;EOMONTH($A102,0)+1)
)</f>
        <v>0</v>
      </c>
      <c r="L102" s="166" cm="1">
        <f t="array" ref="L102">SUMPRODUCT(
  IFERROR(--desp[valor],0)*
  (desp[nucleo]="UP JARDIM PRUDENCIA")*
  (desp[categoria]=L$7)*
  (desp[data.pagamento]&gt;=$A102)*
  (desp[data.pagamento]&lt;EOMONTH($A102,0)+1)
)</f>
        <v>0</v>
      </c>
      <c r="M102" s="166" cm="1">
        <f t="array" ref="M102">SUMPRODUCT(
  IFERROR(--desp[valor],0)*
  (desp[nucleo]="UP JARDIM PRUDENCIA")*
  (desp[categoria]=M$7)*
  (desp[data.pagamento]&gt;=$A102)*
  (desp[data.pagamento]&lt;EOMONTH($A102,0)+1)
)</f>
        <v>0</v>
      </c>
      <c r="N102" s="177">
        <f>COUNTIFS(
    estq[empresa], N$6,
    estq[Data da venda / reserva], "&gt;=" &amp; $A102,
    estq[Data da venda / reserva], "&lt;"  &amp; EOMONTH($A102,0) + 1
)</f>
        <v>0</v>
      </c>
      <c r="O102" s="178">
        <f ca="1">SUMIFS(rec.uni[2029-04-01],
INDIRECT("rec.uni[natureza]"),"pro.soluto",
INDIRECT("rec.uni[empresa]"),O$6)</f>
        <v>0</v>
      </c>
      <c r="P102" s="178">
        <f ca="1">SUMIFS(rec.uni[2029-04-01],
INDIRECT("rec.uni[natureza]"),"repasse.cef.obra",
INDIRECT("rec.uni[empresa]"),P$6)</f>
        <v>0</v>
      </c>
      <c r="Q102" s="178">
        <f ca="1">SUMIFS(rec.uni[2029-04-01],
INDIRECT("rec.uni[natureza]"),"repasse.cef.terreno",
INDIRECT("rec.uni[empresa]"),Q$6)</f>
        <v>0</v>
      </c>
      <c r="R102" s="182"/>
      <c r="S102" s="178">
        <f ca="1">SUMIFS(rec.uni[2029-04-01],
INDIRECT("rec.uni[natureza]"),"taxa.extra",
INDIRECT("rec.uni[empresa]"),S$6)</f>
        <v>0</v>
      </c>
      <c r="T102" s="166"/>
      <c r="U102" s="166" cm="1">
        <f t="array" ref="U102">SUMPRODUCT(
  IFERROR(--desp[valor],0)*
  (desp[nucleo]="UP VILA SONIA")*
  (desp[categoria]=U$7)*
  (desp[data.pagamento]&gt;=$A102)*
  (desp[data.pagamento]&lt;EOMONTH($A102,0)+1)
)</f>
        <v>0</v>
      </c>
      <c r="V102" s="166" cm="1">
        <f t="array" ref="V102">SUMPRODUCT(
  IFERROR(--desp[valor],0)*
  (desp[nucleo]="UP VILA SONIA")*
  (desp[categoria]=V$7)*
  (desp[data.pagamento]&gt;=$A102)*
  (desp[data.pagamento]&lt;EOMONTH($A102,0)+1)
)</f>
        <v>0</v>
      </c>
      <c r="W102" s="166" cm="1">
        <f t="array" ref="W102">SUMPRODUCT(
  IFERROR(--desp[valor],0)*
  (desp[nucleo]="UP VILA SONIA")*
  (desp[categoria]=W$7)*
  (desp[data.pagamento]&gt;=$A102)*
  (desp[data.pagamento]&lt;EOMONTH($A102,0)+1)
)</f>
        <v>0</v>
      </c>
      <c r="X102" s="166" cm="1">
        <f t="array" ref="X102">SUMPRODUCT(
  IFERROR(--desp[valor],0)*
  (desp[nucleo]="UP VILA SONIA")*
  (desp[categoria]=X$7)*
  (desp[data.pagamento]&gt;=$A102)*
  (desp[data.pagamento]&lt;EOMONTH($A102,0)+1)
)</f>
        <v>0</v>
      </c>
      <c r="Y102" s="166" cm="1">
        <f t="array" ref="Y102">SUMPRODUCT(
  IFERROR(--desp[valor],0)*
  (desp[nucleo]="UP VILA SONIA")*
  (desp[categoria]=Y$7)*
  (desp[data.pagamento]&gt;=$A102)*
  (desp[data.pagamento]&lt;EOMONTH($A102,0)+1)
)</f>
        <v>0</v>
      </c>
      <c r="Z102" s="177">
        <f>COUNTIFS(
    estq[empresa], Z$6,
    estq[Data da venda / reserva], "&gt;=" &amp; $A102,
    estq[Data da venda / reserva], "&lt;"  &amp; EOMONTH($A102,0) + 1
)</f>
        <v>0</v>
      </c>
      <c r="AA102" s="178">
        <f ca="1">SUMIFS(rec.uni[2029-04-01],
INDIRECT("rec.uni[natureza]"),"pro.soluto",
INDIRECT("rec.uni[empresa]"),AA$6)</f>
        <v>0</v>
      </c>
      <c r="AB102" s="182">
        <f ca="1">SUMIFS(rec.uni[2029-04-01],
INDIRECT("rec.uni[natureza]"),"parcela.fin.total.ik",
INDIRECT("rec.uni[empresa]"),AB$6)</f>
        <v>0</v>
      </c>
      <c r="AC102" s="178">
        <f ca="1">SUMIFS(rec.uni[2029-04-01],
INDIRECT("rec.uni[natureza]"),"taxa.extra",
INDIRECT("rec.uni[empresa]"),AC$6)</f>
        <v>0</v>
      </c>
      <c r="AD102" s="166"/>
      <c r="AE102" s="166" cm="1">
        <f t="array" ref="AE102">SUMPRODUCT(
  IFERROR(--desp[valor],0)*
  (desp[nucleo]="UP CAMPO BELO")*
  (desp[categoria]=AE$7)*
  (desp[data.pagamento]&gt;=$A102)*
  (desp[data.pagamento]&lt;EOMONTH($A102,0)+1)
)</f>
        <v>0</v>
      </c>
      <c r="AF102" s="166" cm="1">
        <f t="array" ref="AF102">SUMPRODUCT(
  IFERROR(--desp[valor],0)*
  (desp[nucleo]="UP CAMPO BELO")*
  (desp[categoria]=AF$7)*
  (desp[data.pagamento]&gt;=$A102)*
  (desp[data.pagamento]&lt;EOMONTH($A102,0)+1)
)</f>
        <v>0</v>
      </c>
      <c r="AG102" s="166" cm="1">
        <f t="array" ref="AG102">SUMPRODUCT(
  IFERROR(--desp[valor],0)*
  (desp[nucleo]="UP CAMPO BELO")*
  (desp[categoria]=AG$7)*
  (desp[data.pagamento]&gt;=$A102)*
  (desp[data.pagamento]&lt;EOMONTH($A102,0)+1)
)</f>
        <v>0</v>
      </c>
      <c r="AH102" s="166" cm="1">
        <f t="array" ref="AH102">SUMPRODUCT(
  IFERROR(--desp[valor],0)*
  (desp[nucleo]="UP CAMPO BELO")*
  (desp[categoria]=AH$7)*
  (desp[data.pagamento]&gt;=$A102)*
  (desp[data.pagamento]&lt;EOMONTH($A102,0)+1)
)</f>
        <v>0</v>
      </c>
      <c r="AI102" s="166" cm="1">
        <f t="array" ref="AI102">SUMPRODUCT(
  IFERROR(--desp[valor],0)*
  (desp[nucleo]="UP CAMPO BELO")*
  (desp[categoria]=AI$7)*
  (desp[data.pagamento]&gt;=$A102)*
  (desp[data.pagamento]&lt;EOMONTH($A102,0)+1)
)</f>
        <v>0</v>
      </c>
      <c r="AJ102" s="177">
        <f>COUNTIFS(
    estq[empresa], AJ$6,
    estq[Data da venda / reserva], "&gt;=" &amp; $A102,
    estq[Data da venda / reserva], "&lt;"  &amp; EOMONTH($A102,0) + 1
)</f>
        <v>0</v>
      </c>
      <c r="AK102" s="178">
        <f ca="1">SUMIFS(rec.uni[2029-04-01],
INDIRECT("rec.uni[natureza]"),"pro.soluto",
INDIRECT("rec.uni[empresa]"),AK$6)</f>
        <v>0</v>
      </c>
      <c r="AL102" s="178">
        <f ca="1">SUMIFS(rec.uni[2029-04-01],
INDIRECT("rec.uni[natureza]"),"repasse.cef.obra",
INDIRECT("rec.uni[empresa]"),AL$6)</f>
        <v>0</v>
      </c>
      <c r="AM102" s="181">
        <f ca="1">SUMIFS(rec.uni[2029-04-01],
INDIRECT("rec.uni[natureza]"),"repasse.cef.terreno",
INDIRECT("rec.uni[empresa]"),AM$6)</f>
        <v>0</v>
      </c>
      <c r="AN102" s="182"/>
      <c r="AO102" s="178">
        <f ca="1">SUMIFS(rec.uni[2029-04-01],
INDIRECT("rec.uni[natureza]"),"taxa.extra",
INDIRECT("rec.uni[empresa]"),AO$6)</f>
        <v>0</v>
      </c>
      <c r="AP102" s="166"/>
      <c r="AQ102" s="166" cm="1">
        <f t="array" ref="AQ102">SUMPRODUCT(
  IFERROR(--desp[valor],0)*
  (desp[nucleo]="UP SELECT VILA SONIA")*
  (desp[categoria]=AQ$7)*
  (desp[data.pagamento]&gt;=$A102)*
  (desp[data.pagamento]&lt;EOMONTH($A102,0)+1)
)</f>
        <v>0</v>
      </c>
      <c r="AR102" s="166" cm="1">
        <f t="array" ref="AR102">SUMPRODUCT(
  IFERROR(--desp[valor],0)*
  (desp[nucleo]="UP SELECT VILA SONIA")*
  (desp[categoria]=AR$7)*
  (desp[data.pagamento]&gt;=$A102)*
  (desp[data.pagamento]&lt;EOMONTH($A102,0)+1)
)</f>
        <v>0</v>
      </c>
      <c r="AS102" s="166" cm="1">
        <f t="array" ref="AS102">SUMPRODUCT(
  IFERROR(--desp[valor],0)*
  (desp[nucleo]="UP SELECT VILA SONIA")*
  (desp[categoria]=AS$7)*
  (desp[data.pagamento]&gt;=$A102)*
  (desp[data.pagamento]&lt;EOMONTH($A102,0)+1)
)</f>
        <v>0</v>
      </c>
      <c r="AT102" s="166" cm="1">
        <f t="array" ref="AT102">SUMPRODUCT(
  IFERROR(--desp[valor],0)*
  (desp[nucleo]="UP SELECT VILA SONIA")*
  (desp[categoria]=AT$7)*
  (desp[data.pagamento]&gt;=$A102)*
  (desp[data.pagamento]&lt;EOMONTH($A102,0)+1)
)</f>
        <v>0</v>
      </c>
      <c r="AU102" s="166" cm="1">
        <f t="array" ref="AU102">SUMPRODUCT(
  IFERROR(--desp[valor],0)*
  (desp[nucleo]="UP SELECT VILA SONIA")*
  (desp[categoria]=AU$7)*
  (desp[data.pagamento]&gt;=$A102)*
  (desp[data.pagamento]&lt;EOMONTH($A102,0)+1)
)</f>
        <v>0</v>
      </c>
      <c r="AV102" s="177">
        <f>COUNTIFS(
    estq[empresa], AV$6,
    estq[Data da venda / reserva], "&gt;=" &amp; $A102,
    estq[Data da venda / reserva], "&lt;"  &amp; EOMONTH($A102,0) + 1
)</f>
        <v>0</v>
      </c>
      <c r="AW102" s="178">
        <f ca="1">SUMIFS(rec.uni[2029-04-01],
INDIRECT("rec.uni[natureza]"),"pro.soluto",
INDIRECT("rec.uni[empresa]"),AW$6)</f>
        <v>0</v>
      </c>
      <c r="AX102" s="178">
        <f ca="1">SUMIFS(rec.uni[2029-04-01],
INDIRECT("rec.uni[natureza]"),"repasse.cef.obra",
INDIRECT("rec.uni[empresa]"),AX$6)</f>
        <v>0</v>
      </c>
      <c r="AY102" s="181">
        <f ca="1">SUMIFS(rec.uni[2029-04-01],
INDIRECT("rec.uni[natureza]"),"repasse.cef.terreno",
INDIRECT("rec.uni[empresa]"),AY$6)</f>
        <v>0</v>
      </c>
      <c r="AZ102" s="182"/>
      <c r="BA102" s="178">
        <f ca="1">SUMIFS(rec.uni[2029-04-01],
INDIRECT("rec.uni[natureza]"),"taxa.extra",
INDIRECT("rec.uni[empresa]"),BA$6)</f>
        <v>0</v>
      </c>
      <c r="BB102" s="166"/>
      <c r="BC102" s="166" cm="1">
        <f t="array" ref="BC102">SUMPRODUCT(
  IFERROR(--desp[valor],0)*
  (desp[nucleo]="UP ESTAÇÃO SÃO LUCAS")*
  (desp[categoria]=BC$7)*
  (desp[data.pagamento]&gt;=$A102)*
  (desp[data.pagamento]&lt;EOMONTH($A102,0)+1)
)</f>
        <v>0</v>
      </c>
      <c r="BD102" s="166" cm="1">
        <f t="array" ref="BD102">SUMPRODUCT(
  IFERROR(--desp[valor],0)*
  (desp[nucleo]="UP ESTAÇÃO SÃO LUCAS")*
  (desp[categoria]=BD$7)*
  (desp[data.pagamento]&gt;=$A102)*
  (desp[data.pagamento]&lt;EOMONTH($A102,0)+1)
)</f>
        <v>0</v>
      </c>
      <c r="BE102" s="166" cm="1">
        <f t="array" ref="BE102">SUMPRODUCT(
  IFERROR(--desp[valor],0)*
  (desp[nucleo]="UP ESTAÇÃO SÃO LUCAS")*
  (desp[categoria]=BE$7)*
  (desp[data.pagamento]&gt;=$A102)*
  (desp[data.pagamento]&lt;EOMONTH($A102,0)+1)
)</f>
        <v>0</v>
      </c>
      <c r="BF102" s="166" cm="1">
        <f t="array" ref="BF102">SUMPRODUCT(
  IFERROR(--desp[valor],0)*
  (desp[nucleo]="UP ESTAÇÃO SÃO LUCAS")*
  (desp[categoria]=BF$7)*
  (desp[data.pagamento]&gt;=$A102)*
  (desp[data.pagamento]&lt;EOMONTH($A102,0)+1)
)</f>
        <v>0</v>
      </c>
      <c r="BG102" s="166" cm="1">
        <f t="array" ref="BG102">SUMPRODUCT(
  IFERROR(--desp[valor],0)*
  (desp[nucleo]="UP ESTAÇÃO SÃO LUCAS")*
  (desp[categoria]=BG$7)*
  (desp[data.pagamento]&gt;=$A102)*
  (desp[data.pagamento]&lt;EOMONTH($A102,0)+1)
)</f>
        <v>0</v>
      </c>
      <c r="BH102" s="177">
        <f>COUNTIFS(
    estq[empresa], BH$6,
    estq[Data da venda / reserva], "&gt;=" &amp; $A102,
    estq[Data da venda / reserva], "&lt;"  &amp; EOMONTH($A102,0) + 1
)</f>
        <v>0</v>
      </c>
      <c r="BI102" s="178">
        <f ca="1">SUMIFS(rec.uni[2029-04-01],
INDIRECT("rec.uni[natureza]"),"pro.soluto",
INDIRECT("rec.uni[empresa]"),BI$6)</f>
        <v>0</v>
      </c>
      <c r="BJ102" s="182">
        <f ca="1">SUMIFS(rec.uni[2029-04-01],
INDIRECT("rec.uni[natureza]"),"parcela.fin.total.ik",
INDIRECT("rec.uni[empresa]"),BJ$6)</f>
        <v>0</v>
      </c>
      <c r="BK102" s="178">
        <f ca="1">SUMIFS(rec.uni[2029-04-01],
INDIRECT("rec.uni[natureza]"),"taxa.extra",
INDIRECT("rec.uni[empresa]"),BK$6)</f>
        <v>0</v>
      </c>
      <c r="BL102" s="166"/>
      <c r="BM102" s="166" cm="1">
        <f t="array" ref="BM102">SUMPRODUCT(
  IFERROR(--desp[valor],0)*
  (desp[nucleo]="UP POMPEIA")*
  (desp[categoria]=BM$7)*
  (desp[data.pagamento]&gt;=$A102)*
  (desp[data.pagamento]&lt;EOMONTH($A102,0)+1)
)</f>
        <v>0</v>
      </c>
      <c r="BN102" s="166" cm="1">
        <f t="array" ref="BN102">SUMPRODUCT(
  IFERROR(--desp[valor],0)*
  (desp[nucleo]="UP POMPEIA")*
  (desp[categoria]=BN$7)*
  (desp[data.pagamento]&gt;=$A102)*
  (desp[data.pagamento]&lt;EOMONTH($A102,0)+1)
)</f>
        <v>0</v>
      </c>
      <c r="BO102" s="166" cm="1">
        <f t="array" ref="BO102">SUMPRODUCT(
  IFERROR(--desp[valor],0)*
  (desp[nucleo]="UP POMPEIA")*
  (desp[categoria]=BO$7)*
  (desp[data.pagamento]&gt;=$A102)*
  (desp[data.pagamento]&lt;EOMONTH($A102,0)+1)
)</f>
        <v>0</v>
      </c>
      <c r="BP102" s="166" cm="1">
        <f t="array" ref="BP102">SUMPRODUCT(
  IFERROR(--desp[valor],0)*
  (desp[nucleo]="UP POMPEIA")*
  (desp[categoria]=BP$7)*
  (desp[data.pagamento]&gt;=$A102)*
  (desp[data.pagamento]&lt;EOMONTH($A102,0)+1)
)</f>
        <v>0</v>
      </c>
      <c r="BQ102" s="166" cm="1">
        <f t="array" ref="BQ102">SUMPRODUCT(
  IFERROR(--desp[valor],0)*
  (desp[nucleo]="UP POMPEIA")*
  (desp[categoria]=BQ$7)*
  (desp[data.pagamento]&gt;=$A102)*
  (desp[data.pagamento]&lt;EOMONTH($A102,0)+1)
)</f>
        <v>0</v>
      </c>
      <c r="BR102" s="177">
        <f>COUNTIFS(
    estq[empresa], BR$6,
    estq[Data da venda / reserva], "&gt;=" &amp; $A102,
    estq[Data da venda / reserva], "&lt;"  &amp; EOMONTH($A102,0) + 1
)</f>
        <v>0</v>
      </c>
      <c r="BS102" s="178">
        <f ca="1">SUMIFS(rec.uni[2029-04-01],
INDIRECT("rec.uni[natureza]"),"pro.soluto",
INDIRECT("rec.uni[empresa]"),BS$6)</f>
        <v>0</v>
      </c>
      <c r="BT102" s="182">
        <f ca="1">SUMIFS(rec.uni[2029-04-01],
INDIRECT("rec.uni[natureza]"),"parcela.fin.total.ik",
INDIRECT("rec.uni[empresa]"),BT$6)</f>
        <v>0</v>
      </c>
      <c r="BU102" s="178">
        <f ca="1">SUMIFS(rec.uni[2029-04-01],
INDIRECT("rec.uni[natureza]"),"taxa.extra",
INDIRECT("rec.uni[empresa]"),BU$6)</f>
        <v>0</v>
      </c>
      <c r="BV102" s="166"/>
      <c r="BW102" s="166" cm="1">
        <f t="array" ref="BW102">SUMPRODUCT(
  IFERROR(--desp[valor],0)*
  (desp[nucleo]="UP SAUDE")*
  (desp[categoria]=BW$7)*
  (desp[data.pagamento]&gt;=$A102)*
  (desp[data.pagamento]&lt;EOMONTH($A102,0)+1)
)</f>
        <v>0</v>
      </c>
      <c r="BX102" s="166" cm="1">
        <f t="array" ref="BX102">SUMPRODUCT(
  IFERROR(--desp[valor],0)*
  (desp[nucleo]="UP SAUDE")*
  (desp[categoria]=BX$7)*
  (desp[data.pagamento]&gt;=$A102)*
  (desp[data.pagamento]&lt;EOMONTH($A102,0)+1)
)</f>
        <v>0</v>
      </c>
      <c r="BY102" s="166" cm="1">
        <f t="array" ref="BY102">SUMPRODUCT(
  IFERROR(--desp[valor],0)*
  (desp[nucleo]="UP SAUDE")*
  (desp[categoria]=BY$7)*
  (desp[data.pagamento]&gt;=$A102)*
  (desp[data.pagamento]&lt;EOMONTH($A102,0)+1)
)</f>
        <v>0</v>
      </c>
      <c r="BZ102" s="166" cm="1">
        <f t="array" ref="BZ102">SUMPRODUCT(
  IFERROR(--desp[valor],0)*
  (desp[nucleo]="UP SAUDE")*
  (desp[categoria]=BZ$7)*
  (desp[data.pagamento]&gt;=$A102)*
  (desp[data.pagamento]&lt;EOMONTH($A102,0)+1)
)</f>
        <v>0</v>
      </c>
      <c r="CA102" s="166" cm="1">
        <f t="array" ref="CA102">SUMPRODUCT(
  IFERROR(--desp[valor],0)*
  (desp[nucleo]="UP SAUDE")*
  (desp[categoria]=CA$7)*
  (desp[data.pagamento]&gt;=$A102)*
  (desp[data.pagamento]&lt;EOMONTH($A102,0)+1)
)</f>
        <v>0</v>
      </c>
      <c r="CB102" s="177">
        <f>COUNTIFS(
    estq[empresa], CB$6,
    estq[Data da venda / reserva], "&gt;=" &amp; $A102,
    estq[Data da venda / reserva], "&lt;"  &amp; EOMONTH($A102,0) + 1
)</f>
        <v>0</v>
      </c>
      <c r="CC102" s="178">
        <f ca="1">SUMIFS(rec.uni[2029-04-01],
INDIRECT("rec.uni[natureza]"),"pro.soluto",
INDIRECT("rec.uni[empresa]"),CC$6)</f>
        <v>0</v>
      </c>
      <c r="CD102" s="178">
        <f ca="1">SUMIFS(rec.uni[2029-04-01],
INDIRECT("rec.uni[natureza]"),"repasse.cef.obra",
INDIRECT("rec.uni[empresa]"),CD$6)</f>
        <v>0</v>
      </c>
      <c r="CE102" s="181">
        <f ca="1">SUMIFS(rec.uni[2029-04-01],
INDIRECT("rec.uni[natureza]"),"repasse.cef.terreno",
INDIRECT("rec.uni[empresa]"),CE$6)</f>
        <v>0</v>
      </c>
      <c r="CF102" s="182"/>
      <c r="CG102" s="178">
        <f ca="1">SUMIFS(rec.uni[2029-04-01],
INDIRECT("rec.uni[natureza]"),"taxa.extra",
INDIRECT("rec.uni[empresa]"),CG$6)</f>
        <v>0</v>
      </c>
      <c r="CH102" s="166"/>
      <c r="CI102" s="166" cm="1">
        <f t="array" ref="CI102">SUMPRODUCT(
  IFERROR(--desp[valor],0)*
  (desp[nucleo]="UP ESTAÇÃO VILA SONIA")*
  (desp[categoria]=CI$7)*
  (desp[data.pagamento]&gt;=$A102)*
  (desp[data.pagamento]&lt;EOMONTH($A102,0)+1)
)</f>
        <v>0</v>
      </c>
      <c r="CJ102" s="166" cm="1">
        <f t="array" ref="CJ102">SUMPRODUCT(
  IFERROR(--desp[valor],0)*
  (desp[nucleo]="UP ESTAÇÃO VILA SONIA")*
  (desp[categoria]=CJ$7)*
  (desp[data.pagamento]&gt;=$A102)*
  (desp[data.pagamento]&lt;EOMONTH($A102,0)+1)
)</f>
        <v>0</v>
      </c>
      <c r="CK102" s="166" cm="1">
        <f t="array" ref="CK102">SUMPRODUCT(
  IFERROR(--desp[valor],0)*
  (desp[nucleo]="UP ESTAÇÃO VILA SONIA")*
  (desp[categoria]=CK$7)*
  (desp[data.pagamento]&gt;=$A102)*
  (desp[data.pagamento]&lt;EOMONTH($A102,0)+1)
)</f>
        <v>0</v>
      </c>
      <c r="CL102" s="166" cm="1">
        <f t="array" ref="CL102">SUMPRODUCT(
  IFERROR(--desp[valor],0)*
  (desp[nucleo]="UP ESTAÇÃO VILA SONIA")*
  (desp[categoria]=CL$7)*
  (desp[data.pagamento]&gt;=$A102)*
  (desp[data.pagamento]&lt;EOMONTH($A102,0)+1)
)</f>
        <v>0</v>
      </c>
      <c r="CM102" s="166" cm="1">
        <f t="array" ref="CM102">SUMPRODUCT(
  IFERROR(--desp[valor],0)*
  (desp[nucleo]="UP ESTAÇÃO VILA SONIA")*
  (desp[categoria]=CM$7)*
  (desp[data.pagamento]&gt;=$A102)*
  (desp[data.pagamento]&lt;EOMONTH($A102,0)+1)
)</f>
        <v>0</v>
      </c>
      <c r="CN102" s="177">
        <f>COUNTIFS(
    estq[empresa], CN$6,
    estq[Data da venda / reserva], "&gt;=" &amp; $A102,
    estq[Data da venda / reserva], "&lt;"  &amp; EOMONTH($A102,0) + 1
)</f>
        <v>0</v>
      </c>
      <c r="CO102" s="178">
        <f ca="1">SUMIFS(rec.uni[2029-04-01],
INDIRECT("rec.uni[natureza]"),"pro.soluto",
INDIRECT("rec.uni[empresa]"),CO$6)</f>
        <v>0</v>
      </c>
      <c r="CP102" s="178">
        <f ca="1">SUMIFS(rec.uni[2029-04-01],
INDIRECT("rec.uni[natureza]"),"repasse.cef.obra",
INDIRECT("rec.uni[empresa]"),CP$6)</f>
        <v>0</v>
      </c>
      <c r="CQ102" s="181">
        <f ca="1">SUMIFS(rec.uni[2029-04-01],
INDIRECT("rec.uni[natureza]"),"repasse.cef.terreno",
INDIRECT("rec.uni[empresa]"),CQ$6)</f>
        <v>0</v>
      </c>
      <c r="CR102" s="182"/>
      <c r="CS102" s="178">
        <f ca="1">SUMIFS(rec.uni[2029-04-01],
INDIRECT("rec.uni[natureza]"),"taxa.extra",
INDIRECT("rec.uni[empresa]"),CS$6)</f>
        <v>0</v>
      </c>
      <c r="CT102" s="166"/>
      <c r="CU102" s="166" cm="1">
        <f t="array" ref="CU102">SUMPRODUCT(
  IFERROR(--desp[valor],0)*
  (desp[nucleo]="UP MOVE VILA SONIA")*
  (desp[categoria]=CU$7)*
  (desp[data.pagamento]&gt;=$A102)*
  (desp[data.pagamento]&lt;EOMONTH($A102,0)+1)
)</f>
        <v>0</v>
      </c>
      <c r="CV102" s="166" cm="1">
        <f t="array" ref="CV102">SUMPRODUCT(
  IFERROR(--desp[valor],0)*
  (desp[nucleo]="UP MOVE VILA SONIA")*
  (desp[categoria]=CV$7)*
  (desp[data.pagamento]&gt;=$A102)*
  (desp[data.pagamento]&lt;EOMONTH($A102,0)+1)
)</f>
        <v>0</v>
      </c>
      <c r="CW102" s="166" cm="1">
        <f t="array" ref="CW102">SUMPRODUCT(
  IFERROR(--desp[valor],0)*
  (desp[nucleo]="UP MOVE VILA SONIA")*
  (desp[categoria]=CW$7)*
  (desp[data.pagamento]&gt;=$A102)*
  (desp[data.pagamento]&lt;EOMONTH($A102,0)+1)
)</f>
        <v>0</v>
      </c>
      <c r="CX102" s="166" cm="1">
        <f t="array" ref="CX102">SUMPRODUCT(
  IFERROR(--desp[valor],0)*
  (desp[nucleo]="UP MOVE VILA SONIA")*
  (desp[categoria]=CX$7)*
  (desp[data.pagamento]&gt;=$A102)*
  (desp[data.pagamento]&lt;EOMONTH($A102,0)+1)
)</f>
        <v>0</v>
      </c>
      <c r="CY102" s="291" cm="1">
        <f t="array" ref="CY102">SUMPRODUCT(
  IFERROR(--desp[valor],0)*
  (desp[nucleo]="UP MOVE VILA SONIA")*
  (desp[categoria]=CY$7)*
  (desp[data.pagamento]&gt;=$A102)*
  (desp[data.pagamento]&lt;EOMONTH($A102,0)+1)
)</f>
        <v>0</v>
      </c>
    </row>
    <row r="103" spans="1:103" x14ac:dyDescent="0.25">
      <c r="A103" s="176">
        <v>47239</v>
      </c>
      <c r="B103" s="177">
        <f>COUNTIFS(
    estq[empresa], B$6,
    estq[Data da venda / reserva], "&gt;=" &amp; $A103,
    estq[Data da venda / reserva], "&lt;"  &amp; EOMONTH($A103,0) + 1
)</f>
        <v>0</v>
      </c>
      <c r="C103" s="178">
        <f ca="1">SUMIFS(rec.uni[2029-05-01],
INDIRECT("rec.uni[natureza]"),"pro.soluto",
INDIRECT("rec.uni[empresa]"),C$6)</f>
        <v>0</v>
      </c>
      <c r="D103" s="178">
        <f ca="1">SUMIFS(rec.uni[2029-05-01],
INDIRECT("rec.uni[natureza]"),"repasse.cef.obra",
INDIRECT("rec.uni[empresa]"),D$6)</f>
        <v>0</v>
      </c>
      <c r="E103" s="178">
        <f ca="1">SUMIFS(rec.uni[2029-05-01],
INDIRECT("rec.uni[natureza]"),"repasse.cef.terreno",
INDIRECT("rec.uni[empresa]"),E$6)</f>
        <v>0</v>
      </c>
      <c r="F103" s="182"/>
      <c r="G103" s="178">
        <f ca="1">SUMIFS(rec.uni[2029-05-01],
INDIRECT("rec.uni[natureza]"),"taxa.extra",
INDIRECT("rec.uni[empresa]"),G$6)</f>
        <v>0</v>
      </c>
      <c r="H103" s="166"/>
      <c r="I103" s="166" cm="1">
        <f t="array" ref="I103">SUMPRODUCT(
  IFERROR(--desp[valor],0)*
  (desp[nucleo]="UP JARDIM PRUDENCIA")*
  (desp[categoria]=I$7)*
  (desp[data.pagamento]&gt;=$A103)*
  (desp[data.pagamento]&lt;EOMONTH($A103,0)+1)
)</f>
        <v>0</v>
      </c>
      <c r="J103" s="166" cm="1">
        <f t="array" ref="J103">SUMPRODUCT(
  IFERROR(--desp[valor],0)*
  (desp[nucleo]="UP JARDIM PRUDENCIA")*
  (desp[categoria]=J$7)*
  (desp[data.pagamento]&gt;=$A103)*
  (desp[data.pagamento]&lt;EOMONTH($A103,0)+1)
)</f>
        <v>0</v>
      </c>
      <c r="K103" s="166" cm="1">
        <f t="array" ref="K103">SUMPRODUCT(
  IFERROR(--desp[valor],0)*
  (desp[nucleo]="UP JARDIM PRUDENCIA")*
  (desp[categoria]=K$7)*
  (desp[data.pagamento]&gt;=$A103)*
  (desp[data.pagamento]&lt;EOMONTH($A103,0)+1)
)</f>
        <v>0</v>
      </c>
      <c r="L103" s="166" cm="1">
        <f t="array" ref="L103">SUMPRODUCT(
  IFERROR(--desp[valor],0)*
  (desp[nucleo]="UP JARDIM PRUDENCIA")*
  (desp[categoria]=L$7)*
  (desp[data.pagamento]&gt;=$A103)*
  (desp[data.pagamento]&lt;EOMONTH($A103,0)+1)
)</f>
        <v>0</v>
      </c>
      <c r="M103" s="166" cm="1">
        <f t="array" ref="M103">SUMPRODUCT(
  IFERROR(--desp[valor],0)*
  (desp[nucleo]="UP JARDIM PRUDENCIA")*
  (desp[categoria]=M$7)*
  (desp[data.pagamento]&gt;=$A103)*
  (desp[data.pagamento]&lt;EOMONTH($A103,0)+1)
)</f>
        <v>0</v>
      </c>
      <c r="N103" s="177">
        <f>COUNTIFS(
    estq[empresa], N$6,
    estq[Data da venda / reserva], "&gt;=" &amp; $A103,
    estq[Data da venda / reserva], "&lt;"  &amp; EOMONTH($A103,0) + 1
)</f>
        <v>0</v>
      </c>
      <c r="O103" s="178">
        <f ca="1">SUMIFS(rec.uni[2029-05-01],
INDIRECT("rec.uni[natureza]"),"pro.soluto",
INDIRECT("rec.uni[empresa]"),O$6)</f>
        <v>0</v>
      </c>
      <c r="P103" s="178">
        <f ca="1">SUMIFS(rec.uni[2029-05-01],
INDIRECT("rec.uni[natureza]"),"repasse.cef.obra",
INDIRECT("rec.uni[empresa]"),P$6)</f>
        <v>0</v>
      </c>
      <c r="Q103" s="178">
        <f ca="1">SUMIFS(rec.uni[2029-05-01],
INDIRECT("rec.uni[natureza]"),"repasse.cef.terreno",
INDIRECT("rec.uni[empresa]"),Q$6)</f>
        <v>0</v>
      </c>
      <c r="R103" s="182"/>
      <c r="S103" s="178">
        <f ca="1">SUMIFS(rec.uni[2029-05-01],
INDIRECT("rec.uni[natureza]"),"taxa.extra",
INDIRECT("rec.uni[empresa]"),S$6)</f>
        <v>0</v>
      </c>
      <c r="T103" s="166"/>
      <c r="U103" s="166" cm="1">
        <f t="array" ref="U103">SUMPRODUCT(
  IFERROR(--desp[valor],0)*
  (desp[nucleo]="UP VILA SONIA")*
  (desp[categoria]=U$7)*
  (desp[data.pagamento]&gt;=$A103)*
  (desp[data.pagamento]&lt;EOMONTH($A103,0)+1)
)</f>
        <v>0</v>
      </c>
      <c r="V103" s="166" cm="1">
        <f t="array" ref="V103">SUMPRODUCT(
  IFERROR(--desp[valor],0)*
  (desp[nucleo]="UP VILA SONIA")*
  (desp[categoria]=V$7)*
  (desp[data.pagamento]&gt;=$A103)*
  (desp[data.pagamento]&lt;EOMONTH($A103,0)+1)
)</f>
        <v>0</v>
      </c>
      <c r="W103" s="166" cm="1">
        <f t="array" ref="W103">SUMPRODUCT(
  IFERROR(--desp[valor],0)*
  (desp[nucleo]="UP VILA SONIA")*
  (desp[categoria]=W$7)*
  (desp[data.pagamento]&gt;=$A103)*
  (desp[data.pagamento]&lt;EOMONTH($A103,0)+1)
)</f>
        <v>0</v>
      </c>
      <c r="X103" s="166" cm="1">
        <f t="array" ref="X103">SUMPRODUCT(
  IFERROR(--desp[valor],0)*
  (desp[nucleo]="UP VILA SONIA")*
  (desp[categoria]=X$7)*
  (desp[data.pagamento]&gt;=$A103)*
  (desp[data.pagamento]&lt;EOMONTH($A103,0)+1)
)</f>
        <v>0</v>
      </c>
      <c r="Y103" s="166" cm="1">
        <f t="array" ref="Y103">SUMPRODUCT(
  IFERROR(--desp[valor],0)*
  (desp[nucleo]="UP VILA SONIA")*
  (desp[categoria]=Y$7)*
  (desp[data.pagamento]&gt;=$A103)*
  (desp[data.pagamento]&lt;EOMONTH($A103,0)+1)
)</f>
        <v>0</v>
      </c>
      <c r="Z103" s="177">
        <f>COUNTIFS(
    estq[empresa], Z$6,
    estq[Data da venda / reserva], "&gt;=" &amp; $A103,
    estq[Data da venda / reserva], "&lt;"  &amp; EOMONTH($A103,0) + 1
)</f>
        <v>0</v>
      </c>
      <c r="AA103" s="178">
        <f ca="1">SUMIFS(rec.uni[2029-05-01],
INDIRECT("rec.uni[natureza]"),"pro.soluto",
INDIRECT("rec.uni[empresa]"),AA$6)</f>
        <v>0</v>
      </c>
      <c r="AB103" s="182">
        <f ca="1">SUMIFS(rec.uni[2029-05-01],
INDIRECT("rec.uni[natureza]"),"parcela.fin.total.ik",
INDIRECT("rec.uni[empresa]"),AB$6)</f>
        <v>0</v>
      </c>
      <c r="AC103" s="178">
        <f ca="1">SUMIFS(rec.uni[2029-05-01],
INDIRECT("rec.uni[natureza]"),"taxa.extra",
INDIRECT("rec.uni[empresa]"),AC$6)</f>
        <v>0</v>
      </c>
      <c r="AD103" s="166"/>
      <c r="AE103" s="166" cm="1">
        <f t="array" ref="AE103">SUMPRODUCT(
  IFERROR(--desp[valor],0)*
  (desp[nucleo]="UP CAMPO BELO")*
  (desp[categoria]=AE$7)*
  (desp[data.pagamento]&gt;=$A103)*
  (desp[data.pagamento]&lt;EOMONTH($A103,0)+1)
)</f>
        <v>0</v>
      </c>
      <c r="AF103" s="166" cm="1">
        <f t="array" ref="AF103">SUMPRODUCT(
  IFERROR(--desp[valor],0)*
  (desp[nucleo]="UP CAMPO BELO")*
  (desp[categoria]=AF$7)*
  (desp[data.pagamento]&gt;=$A103)*
  (desp[data.pagamento]&lt;EOMONTH($A103,0)+1)
)</f>
        <v>0</v>
      </c>
      <c r="AG103" s="166" cm="1">
        <f t="array" ref="AG103">SUMPRODUCT(
  IFERROR(--desp[valor],0)*
  (desp[nucleo]="UP CAMPO BELO")*
  (desp[categoria]=AG$7)*
  (desp[data.pagamento]&gt;=$A103)*
  (desp[data.pagamento]&lt;EOMONTH($A103,0)+1)
)</f>
        <v>0</v>
      </c>
      <c r="AH103" s="166" cm="1">
        <f t="array" ref="AH103">SUMPRODUCT(
  IFERROR(--desp[valor],0)*
  (desp[nucleo]="UP CAMPO BELO")*
  (desp[categoria]=AH$7)*
  (desp[data.pagamento]&gt;=$A103)*
  (desp[data.pagamento]&lt;EOMONTH($A103,0)+1)
)</f>
        <v>0</v>
      </c>
      <c r="AI103" s="166" cm="1">
        <f t="array" ref="AI103">SUMPRODUCT(
  IFERROR(--desp[valor],0)*
  (desp[nucleo]="UP CAMPO BELO")*
  (desp[categoria]=AI$7)*
  (desp[data.pagamento]&gt;=$A103)*
  (desp[data.pagamento]&lt;EOMONTH($A103,0)+1)
)</f>
        <v>0</v>
      </c>
      <c r="AJ103" s="177">
        <f>COUNTIFS(
    estq[empresa], AJ$6,
    estq[Data da venda / reserva], "&gt;=" &amp; $A103,
    estq[Data da venda / reserva], "&lt;"  &amp; EOMONTH($A103,0) + 1
)</f>
        <v>0</v>
      </c>
      <c r="AK103" s="178">
        <f ca="1">SUMIFS(rec.uni[2029-05-01],
INDIRECT("rec.uni[natureza]"),"pro.soluto",
INDIRECT("rec.uni[empresa]"),AK$6)</f>
        <v>0</v>
      </c>
      <c r="AL103" s="178">
        <f ca="1">SUMIFS(rec.uni[2029-05-01],
INDIRECT("rec.uni[natureza]"),"repasse.cef.obra",
INDIRECT("rec.uni[empresa]"),AL$6)</f>
        <v>0</v>
      </c>
      <c r="AM103" s="181">
        <f ca="1">SUMIFS(rec.uni[2029-05-01],
INDIRECT("rec.uni[natureza]"),"repasse.cef.terreno",
INDIRECT("rec.uni[empresa]"),AM$6)</f>
        <v>0</v>
      </c>
      <c r="AN103" s="182"/>
      <c r="AO103" s="178">
        <f ca="1">SUMIFS(rec.uni[2029-05-01],
INDIRECT("rec.uni[natureza]"),"taxa.extra",
INDIRECT("rec.uni[empresa]"),AO$6)</f>
        <v>0</v>
      </c>
      <c r="AP103" s="166"/>
      <c r="AQ103" s="166" cm="1">
        <f t="array" ref="AQ103">SUMPRODUCT(
  IFERROR(--desp[valor],0)*
  (desp[nucleo]="UP SELECT VILA SONIA")*
  (desp[categoria]=AQ$7)*
  (desp[data.pagamento]&gt;=$A103)*
  (desp[data.pagamento]&lt;EOMONTH($A103,0)+1)
)</f>
        <v>0</v>
      </c>
      <c r="AR103" s="166" cm="1">
        <f t="array" ref="AR103">SUMPRODUCT(
  IFERROR(--desp[valor],0)*
  (desp[nucleo]="UP SELECT VILA SONIA")*
  (desp[categoria]=AR$7)*
  (desp[data.pagamento]&gt;=$A103)*
  (desp[data.pagamento]&lt;EOMONTH($A103,0)+1)
)</f>
        <v>0</v>
      </c>
      <c r="AS103" s="166" cm="1">
        <f t="array" ref="AS103">SUMPRODUCT(
  IFERROR(--desp[valor],0)*
  (desp[nucleo]="UP SELECT VILA SONIA")*
  (desp[categoria]=AS$7)*
  (desp[data.pagamento]&gt;=$A103)*
  (desp[data.pagamento]&lt;EOMONTH($A103,0)+1)
)</f>
        <v>0</v>
      </c>
      <c r="AT103" s="166" cm="1">
        <f t="array" ref="AT103">SUMPRODUCT(
  IFERROR(--desp[valor],0)*
  (desp[nucleo]="UP SELECT VILA SONIA")*
  (desp[categoria]=AT$7)*
  (desp[data.pagamento]&gt;=$A103)*
  (desp[data.pagamento]&lt;EOMONTH($A103,0)+1)
)</f>
        <v>0</v>
      </c>
      <c r="AU103" s="166" cm="1">
        <f t="array" ref="AU103">SUMPRODUCT(
  IFERROR(--desp[valor],0)*
  (desp[nucleo]="UP SELECT VILA SONIA")*
  (desp[categoria]=AU$7)*
  (desp[data.pagamento]&gt;=$A103)*
  (desp[data.pagamento]&lt;EOMONTH($A103,0)+1)
)</f>
        <v>0</v>
      </c>
      <c r="AV103" s="177">
        <f>COUNTIFS(
    estq[empresa], AV$6,
    estq[Data da venda / reserva], "&gt;=" &amp; $A103,
    estq[Data da venda / reserva], "&lt;"  &amp; EOMONTH($A103,0) + 1
)</f>
        <v>0</v>
      </c>
      <c r="AW103" s="178">
        <f ca="1">SUMIFS(rec.uni[2029-05-01],
INDIRECT("rec.uni[natureza]"),"pro.soluto",
INDIRECT("rec.uni[empresa]"),AW$6)</f>
        <v>0</v>
      </c>
      <c r="AX103" s="178">
        <f ca="1">SUMIFS(rec.uni[2029-05-01],
INDIRECT("rec.uni[natureza]"),"repasse.cef.obra",
INDIRECT("rec.uni[empresa]"),AX$6)</f>
        <v>0</v>
      </c>
      <c r="AY103" s="181">
        <f ca="1">SUMIFS(rec.uni[2029-05-01],
INDIRECT("rec.uni[natureza]"),"repasse.cef.terreno",
INDIRECT("rec.uni[empresa]"),AY$6)</f>
        <v>0</v>
      </c>
      <c r="AZ103" s="182"/>
      <c r="BA103" s="178">
        <f ca="1">SUMIFS(rec.uni[2029-05-01],
INDIRECT("rec.uni[natureza]"),"taxa.extra",
INDIRECT("rec.uni[empresa]"),BA$6)</f>
        <v>0</v>
      </c>
      <c r="BB103" s="166"/>
      <c r="BC103" s="166" cm="1">
        <f t="array" ref="BC103">SUMPRODUCT(
  IFERROR(--desp[valor],0)*
  (desp[nucleo]="UP ESTAÇÃO SÃO LUCAS")*
  (desp[categoria]=BC$7)*
  (desp[data.pagamento]&gt;=$A103)*
  (desp[data.pagamento]&lt;EOMONTH($A103,0)+1)
)</f>
        <v>0</v>
      </c>
      <c r="BD103" s="166" cm="1">
        <f t="array" ref="BD103">SUMPRODUCT(
  IFERROR(--desp[valor],0)*
  (desp[nucleo]="UP ESTAÇÃO SÃO LUCAS")*
  (desp[categoria]=BD$7)*
  (desp[data.pagamento]&gt;=$A103)*
  (desp[data.pagamento]&lt;EOMONTH($A103,0)+1)
)</f>
        <v>0</v>
      </c>
      <c r="BE103" s="166" cm="1">
        <f t="array" ref="BE103">SUMPRODUCT(
  IFERROR(--desp[valor],0)*
  (desp[nucleo]="UP ESTAÇÃO SÃO LUCAS")*
  (desp[categoria]=BE$7)*
  (desp[data.pagamento]&gt;=$A103)*
  (desp[data.pagamento]&lt;EOMONTH($A103,0)+1)
)</f>
        <v>0</v>
      </c>
      <c r="BF103" s="166" cm="1">
        <f t="array" ref="BF103">SUMPRODUCT(
  IFERROR(--desp[valor],0)*
  (desp[nucleo]="UP ESTAÇÃO SÃO LUCAS")*
  (desp[categoria]=BF$7)*
  (desp[data.pagamento]&gt;=$A103)*
  (desp[data.pagamento]&lt;EOMONTH($A103,0)+1)
)</f>
        <v>0</v>
      </c>
      <c r="BG103" s="166" cm="1">
        <f t="array" ref="BG103">SUMPRODUCT(
  IFERROR(--desp[valor],0)*
  (desp[nucleo]="UP ESTAÇÃO SÃO LUCAS")*
  (desp[categoria]=BG$7)*
  (desp[data.pagamento]&gt;=$A103)*
  (desp[data.pagamento]&lt;EOMONTH($A103,0)+1)
)</f>
        <v>0</v>
      </c>
      <c r="BH103" s="177">
        <f>COUNTIFS(
    estq[empresa], BH$6,
    estq[Data da venda / reserva], "&gt;=" &amp; $A103,
    estq[Data da venda / reserva], "&lt;"  &amp; EOMONTH($A103,0) + 1
)</f>
        <v>0</v>
      </c>
      <c r="BI103" s="178">
        <f ca="1">SUMIFS(rec.uni[2029-05-01],
INDIRECT("rec.uni[natureza]"),"pro.soluto",
INDIRECT("rec.uni[empresa]"),BI$6)</f>
        <v>0</v>
      </c>
      <c r="BJ103" s="182">
        <f ca="1">SUMIFS(rec.uni[2029-05-01],
INDIRECT("rec.uni[natureza]"),"parcela.fin.total.ik",
INDIRECT("rec.uni[empresa]"),BJ$6)</f>
        <v>0</v>
      </c>
      <c r="BK103" s="178">
        <f ca="1">SUMIFS(rec.uni[2029-05-01],
INDIRECT("rec.uni[natureza]"),"taxa.extra",
INDIRECT("rec.uni[empresa]"),BK$6)</f>
        <v>0</v>
      </c>
      <c r="BL103" s="166"/>
      <c r="BM103" s="166" cm="1">
        <f t="array" ref="BM103">SUMPRODUCT(
  IFERROR(--desp[valor],0)*
  (desp[nucleo]="UP POMPEIA")*
  (desp[categoria]=BM$7)*
  (desp[data.pagamento]&gt;=$A103)*
  (desp[data.pagamento]&lt;EOMONTH($A103,0)+1)
)</f>
        <v>0</v>
      </c>
      <c r="BN103" s="166" cm="1">
        <f t="array" ref="BN103">SUMPRODUCT(
  IFERROR(--desp[valor],0)*
  (desp[nucleo]="UP POMPEIA")*
  (desp[categoria]=BN$7)*
  (desp[data.pagamento]&gt;=$A103)*
  (desp[data.pagamento]&lt;EOMONTH($A103,0)+1)
)</f>
        <v>0</v>
      </c>
      <c r="BO103" s="166" cm="1">
        <f t="array" ref="BO103">SUMPRODUCT(
  IFERROR(--desp[valor],0)*
  (desp[nucleo]="UP POMPEIA")*
  (desp[categoria]=BO$7)*
  (desp[data.pagamento]&gt;=$A103)*
  (desp[data.pagamento]&lt;EOMONTH($A103,0)+1)
)</f>
        <v>0</v>
      </c>
      <c r="BP103" s="166" cm="1">
        <f t="array" ref="BP103">SUMPRODUCT(
  IFERROR(--desp[valor],0)*
  (desp[nucleo]="UP POMPEIA")*
  (desp[categoria]=BP$7)*
  (desp[data.pagamento]&gt;=$A103)*
  (desp[data.pagamento]&lt;EOMONTH($A103,0)+1)
)</f>
        <v>0</v>
      </c>
      <c r="BQ103" s="166" cm="1">
        <f t="array" ref="BQ103">SUMPRODUCT(
  IFERROR(--desp[valor],0)*
  (desp[nucleo]="UP POMPEIA")*
  (desp[categoria]=BQ$7)*
  (desp[data.pagamento]&gt;=$A103)*
  (desp[data.pagamento]&lt;EOMONTH($A103,0)+1)
)</f>
        <v>0</v>
      </c>
      <c r="BR103" s="177">
        <f>COUNTIFS(
    estq[empresa], BR$6,
    estq[Data da venda / reserva], "&gt;=" &amp; $A103,
    estq[Data da venda / reserva], "&lt;"  &amp; EOMONTH($A103,0) + 1
)</f>
        <v>0</v>
      </c>
      <c r="BS103" s="178">
        <f ca="1">SUMIFS(rec.uni[2029-05-01],
INDIRECT("rec.uni[natureza]"),"pro.soluto",
INDIRECT("rec.uni[empresa]"),BS$6)</f>
        <v>0</v>
      </c>
      <c r="BT103" s="182">
        <f ca="1">SUMIFS(rec.uni[2029-05-01],
INDIRECT("rec.uni[natureza]"),"parcela.fin.total.ik",
INDIRECT("rec.uni[empresa]"),BT$6)</f>
        <v>0</v>
      </c>
      <c r="BU103" s="178">
        <f ca="1">SUMIFS(rec.uni[2029-05-01],
INDIRECT("rec.uni[natureza]"),"taxa.extra",
INDIRECT("rec.uni[empresa]"),BU$6)</f>
        <v>0</v>
      </c>
      <c r="BV103" s="166"/>
      <c r="BW103" s="166" cm="1">
        <f t="array" ref="BW103">SUMPRODUCT(
  IFERROR(--desp[valor],0)*
  (desp[nucleo]="UP SAUDE")*
  (desp[categoria]=BW$7)*
  (desp[data.pagamento]&gt;=$A103)*
  (desp[data.pagamento]&lt;EOMONTH($A103,0)+1)
)</f>
        <v>0</v>
      </c>
      <c r="BX103" s="166" cm="1">
        <f t="array" ref="BX103">SUMPRODUCT(
  IFERROR(--desp[valor],0)*
  (desp[nucleo]="UP SAUDE")*
  (desp[categoria]=BX$7)*
  (desp[data.pagamento]&gt;=$A103)*
  (desp[data.pagamento]&lt;EOMONTH($A103,0)+1)
)</f>
        <v>0</v>
      </c>
      <c r="BY103" s="166" cm="1">
        <f t="array" ref="BY103">SUMPRODUCT(
  IFERROR(--desp[valor],0)*
  (desp[nucleo]="UP SAUDE")*
  (desp[categoria]=BY$7)*
  (desp[data.pagamento]&gt;=$A103)*
  (desp[data.pagamento]&lt;EOMONTH($A103,0)+1)
)</f>
        <v>0</v>
      </c>
      <c r="BZ103" s="166" cm="1">
        <f t="array" ref="BZ103">SUMPRODUCT(
  IFERROR(--desp[valor],0)*
  (desp[nucleo]="UP SAUDE")*
  (desp[categoria]=BZ$7)*
  (desp[data.pagamento]&gt;=$A103)*
  (desp[data.pagamento]&lt;EOMONTH($A103,0)+1)
)</f>
        <v>0</v>
      </c>
      <c r="CA103" s="166" cm="1">
        <f t="array" ref="CA103">SUMPRODUCT(
  IFERROR(--desp[valor],0)*
  (desp[nucleo]="UP SAUDE")*
  (desp[categoria]=CA$7)*
  (desp[data.pagamento]&gt;=$A103)*
  (desp[data.pagamento]&lt;EOMONTH($A103,0)+1)
)</f>
        <v>0</v>
      </c>
      <c r="CB103" s="177">
        <f>COUNTIFS(
    estq[empresa], CB$6,
    estq[Data da venda / reserva], "&gt;=" &amp; $A103,
    estq[Data da venda / reserva], "&lt;"  &amp; EOMONTH($A103,0) + 1
)</f>
        <v>0</v>
      </c>
      <c r="CC103" s="178">
        <f ca="1">SUMIFS(rec.uni[2029-05-01],
INDIRECT("rec.uni[natureza]"),"pro.soluto",
INDIRECT("rec.uni[empresa]"),CC$6)</f>
        <v>0</v>
      </c>
      <c r="CD103" s="178">
        <f ca="1">SUMIFS(rec.uni[2029-05-01],
INDIRECT("rec.uni[natureza]"),"repasse.cef.obra",
INDIRECT("rec.uni[empresa]"),CD$6)</f>
        <v>0</v>
      </c>
      <c r="CE103" s="181">
        <f ca="1">SUMIFS(rec.uni[2029-05-01],
INDIRECT("rec.uni[natureza]"),"repasse.cef.terreno",
INDIRECT("rec.uni[empresa]"),CE$6)</f>
        <v>0</v>
      </c>
      <c r="CF103" s="182"/>
      <c r="CG103" s="178">
        <f ca="1">SUMIFS(rec.uni[2029-05-01],
INDIRECT("rec.uni[natureza]"),"taxa.extra",
INDIRECT("rec.uni[empresa]"),CG$6)</f>
        <v>0</v>
      </c>
      <c r="CH103" s="166"/>
      <c r="CI103" s="166" cm="1">
        <f t="array" ref="CI103">SUMPRODUCT(
  IFERROR(--desp[valor],0)*
  (desp[nucleo]="UP ESTAÇÃO VILA SONIA")*
  (desp[categoria]=CI$7)*
  (desp[data.pagamento]&gt;=$A103)*
  (desp[data.pagamento]&lt;EOMONTH($A103,0)+1)
)</f>
        <v>0</v>
      </c>
      <c r="CJ103" s="166" cm="1">
        <f t="array" ref="CJ103">SUMPRODUCT(
  IFERROR(--desp[valor],0)*
  (desp[nucleo]="UP ESTAÇÃO VILA SONIA")*
  (desp[categoria]=CJ$7)*
  (desp[data.pagamento]&gt;=$A103)*
  (desp[data.pagamento]&lt;EOMONTH($A103,0)+1)
)</f>
        <v>0</v>
      </c>
      <c r="CK103" s="166" cm="1">
        <f t="array" ref="CK103">SUMPRODUCT(
  IFERROR(--desp[valor],0)*
  (desp[nucleo]="UP ESTAÇÃO VILA SONIA")*
  (desp[categoria]=CK$7)*
  (desp[data.pagamento]&gt;=$A103)*
  (desp[data.pagamento]&lt;EOMONTH($A103,0)+1)
)</f>
        <v>0</v>
      </c>
      <c r="CL103" s="166" cm="1">
        <f t="array" ref="CL103">SUMPRODUCT(
  IFERROR(--desp[valor],0)*
  (desp[nucleo]="UP ESTAÇÃO VILA SONIA")*
  (desp[categoria]=CL$7)*
  (desp[data.pagamento]&gt;=$A103)*
  (desp[data.pagamento]&lt;EOMONTH($A103,0)+1)
)</f>
        <v>0</v>
      </c>
      <c r="CM103" s="166" cm="1">
        <f t="array" ref="CM103">SUMPRODUCT(
  IFERROR(--desp[valor],0)*
  (desp[nucleo]="UP ESTAÇÃO VILA SONIA")*
  (desp[categoria]=CM$7)*
  (desp[data.pagamento]&gt;=$A103)*
  (desp[data.pagamento]&lt;EOMONTH($A103,0)+1)
)</f>
        <v>0</v>
      </c>
      <c r="CN103" s="177">
        <f>COUNTIFS(
    estq[empresa], CN$6,
    estq[Data da venda / reserva], "&gt;=" &amp; $A103,
    estq[Data da venda / reserva], "&lt;"  &amp; EOMONTH($A103,0) + 1
)</f>
        <v>0</v>
      </c>
      <c r="CO103" s="178">
        <f ca="1">SUMIFS(rec.uni[2029-05-01],
INDIRECT("rec.uni[natureza]"),"pro.soluto",
INDIRECT("rec.uni[empresa]"),CO$6)</f>
        <v>0</v>
      </c>
      <c r="CP103" s="178">
        <f ca="1">SUMIFS(rec.uni[2029-05-01],
INDIRECT("rec.uni[natureza]"),"repasse.cef.obra",
INDIRECT("rec.uni[empresa]"),CP$6)</f>
        <v>0</v>
      </c>
      <c r="CQ103" s="181">
        <f ca="1">SUMIFS(rec.uni[2029-05-01],
INDIRECT("rec.uni[natureza]"),"repasse.cef.terreno",
INDIRECT("rec.uni[empresa]"),CQ$6)</f>
        <v>0</v>
      </c>
      <c r="CR103" s="182"/>
      <c r="CS103" s="178">
        <f ca="1">SUMIFS(rec.uni[2029-05-01],
INDIRECT("rec.uni[natureza]"),"taxa.extra",
INDIRECT("rec.uni[empresa]"),CS$6)</f>
        <v>0</v>
      </c>
      <c r="CT103" s="166"/>
      <c r="CU103" s="166" cm="1">
        <f t="array" ref="CU103">SUMPRODUCT(
  IFERROR(--desp[valor],0)*
  (desp[nucleo]="UP MOVE VILA SONIA")*
  (desp[categoria]=CU$7)*
  (desp[data.pagamento]&gt;=$A103)*
  (desp[data.pagamento]&lt;EOMONTH($A103,0)+1)
)</f>
        <v>0</v>
      </c>
      <c r="CV103" s="166" cm="1">
        <f t="array" ref="CV103">SUMPRODUCT(
  IFERROR(--desp[valor],0)*
  (desp[nucleo]="UP MOVE VILA SONIA")*
  (desp[categoria]=CV$7)*
  (desp[data.pagamento]&gt;=$A103)*
  (desp[data.pagamento]&lt;EOMONTH($A103,0)+1)
)</f>
        <v>0</v>
      </c>
      <c r="CW103" s="166" cm="1">
        <f t="array" ref="CW103">SUMPRODUCT(
  IFERROR(--desp[valor],0)*
  (desp[nucleo]="UP MOVE VILA SONIA")*
  (desp[categoria]=CW$7)*
  (desp[data.pagamento]&gt;=$A103)*
  (desp[data.pagamento]&lt;EOMONTH($A103,0)+1)
)</f>
        <v>0</v>
      </c>
      <c r="CX103" s="166" cm="1">
        <f t="array" ref="CX103">SUMPRODUCT(
  IFERROR(--desp[valor],0)*
  (desp[nucleo]="UP MOVE VILA SONIA")*
  (desp[categoria]=CX$7)*
  (desp[data.pagamento]&gt;=$A103)*
  (desp[data.pagamento]&lt;EOMONTH($A103,0)+1)
)</f>
        <v>0</v>
      </c>
      <c r="CY103" s="291" cm="1">
        <f t="array" ref="CY103">SUMPRODUCT(
  IFERROR(--desp[valor],0)*
  (desp[nucleo]="UP MOVE VILA SONIA")*
  (desp[categoria]=CY$7)*
  (desp[data.pagamento]&gt;=$A103)*
  (desp[data.pagamento]&lt;EOMONTH($A103,0)+1)
)</f>
        <v>0</v>
      </c>
    </row>
    <row r="104" spans="1:103" x14ac:dyDescent="0.25">
      <c r="A104" s="176">
        <v>47270</v>
      </c>
      <c r="B104" s="177">
        <f>COUNTIFS(
    estq[empresa], B$6,
    estq[Data da venda / reserva], "&gt;=" &amp; $A104,
    estq[Data da venda / reserva], "&lt;"  &amp; EOMONTH($A104,0) + 1
)</f>
        <v>0</v>
      </c>
      <c r="C104" s="178">
        <f ca="1">SUMIFS(rec.uni[2029-06-01],
INDIRECT("rec.uni[natureza]"),"pro.soluto",
INDIRECT("rec.uni[empresa]"),C$6)</f>
        <v>0</v>
      </c>
      <c r="D104" s="178">
        <f ca="1">SUMIFS(rec.uni[2029-06-01],
INDIRECT("rec.uni[natureza]"),"repasse.cef.obra",
INDIRECT("rec.uni[empresa]"),D$6)</f>
        <v>0</v>
      </c>
      <c r="E104" s="178">
        <f ca="1">SUMIFS(rec.uni[2029-06-01],
INDIRECT("rec.uni[natureza]"),"repasse.cef.terreno",
INDIRECT("rec.uni[empresa]"),E$6)</f>
        <v>0</v>
      </c>
      <c r="F104" s="182"/>
      <c r="G104" s="178">
        <f ca="1">SUMIFS(rec.uni[2029-06-01],
INDIRECT("rec.uni[natureza]"),"taxa.extra",
INDIRECT("rec.uni[empresa]"),G$6)</f>
        <v>0</v>
      </c>
      <c r="H104" s="166"/>
      <c r="I104" s="166" cm="1">
        <f t="array" ref="I104">SUMPRODUCT(
  IFERROR(--desp[valor],0)*
  (desp[nucleo]="UP JARDIM PRUDENCIA")*
  (desp[categoria]=I$7)*
  (desp[data.pagamento]&gt;=$A104)*
  (desp[data.pagamento]&lt;EOMONTH($A104,0)+1)
)</f>
        <v>0</v>
      </c>
      <c r="J104" s="166" cm="1">
        <f t="array" ref="J104">SUMPRODUCT(
  IFERROR(--desp[valor],0)*
  (desp[nucleo]="UP JARDIM PRUDENCIA")*
  (desp[categoria]=J$7)*
  (desp[data.pagamento]&gt;=$A104)*
  (desp[data.pagamento]&lt;EOMONTH($A104,0)+1)
)</f>
        <v>0</v>
      </c>
      <c r="K104" s="166" cm="1">
        <f t="array" ref="K104">SUMPRODUCT(
  IFERROR(--desp[valor],0)*
  (desp[nucleo]="UP JARDIM PRUDENCIA")*
  (desp[categoria]=K$7)*
  (desp[data.pagamento]&gt;=$A104)*
  (desp[data.pagamento]&lt;EOMONTH($A104,0)+1)
)</f>
        <v>0</v>
      </c>
      <c r="L104" s="166" cm="1">
        <f t="array" ref="L104">SUMPRODUCT(
  IFERROR(--desp[valor],0)*
  (desp[nucleo]="UP JARDIM PRUDENCIA")*
  (desp[categoria]=L$7)*
  (desp[data.pagamento]&gt;=$A104)*
  (desp[data.pagamento]&lt;EOMONTH($A104,0)+1)
)</f>
        <v>0</v>
      </c>
      <c r="M104" s="166" cm="1">
        <f t="array" ref="M104">SUMPRODUCT(
  IFERROR(--desp[valor],0)*
  (desp[nucleo]="UP JARDIM PRUDENCIA")*
  (desp[categoria]=M$7)*
  (desp[data.pagamento]&gt;=$A104)*
  (desp[data.pagamento]&lt;EOMONTH($A104,0)+1)
)</f>
        <v>0</v>
      </c>
      <c r="N104" s="177">
        <f>COUNTIFS(
    estq[empresa], N$6,
    estq[Data da venda / reserva], "&gt;=" &amp; $A104,
    estq[Data da venda / reserva], "&lt;"  &amp; EOMONTH($A104,0) + 1
)</f>
        <v>0</v>
      </c>
      <c r="O104" s="178">
        <f ca="1">SUMIFS(rec.uni[2029-06-01],
INDIRECT("rec.uni[natureza]"),"pro.soluto",
INDIRECT("rec.uni[empresa]"),O$6)</f>
        <v>0</v>
      </c>
      <c r="P104" s="178">
        <f ca="1">SUMIFS(rec.uni[2029-06-01],
INDIRECT("rec.uni[natureza]"),"repasse.cef.obra",
INDIRECT("rec.uni[empresa]"),P$6)</f>
        <v>0</v>
      </c>
      <c r="Q104" s="178">
        <f ca="1">SUMIFS(rec.uni[2029-06-01],
INDIRECT("rec.uni[natureza]"),"repasse.cef.terreno",
INDIRECT("rec.uni[empresa]"),Q$6)</f>
        <v>0</v>
      </c>
      <c r="R104" s="182"/>
      <c r="S104" s="178">
        <f ca="1">SUMIFS(rec.uni[2029-06-01],
INDIRECT("rec.uni[natureza]"),"taxa.extra",
INDIRECT("rec.uni[empresa]"),S$6)</f>
        <v>0</v>
      </c>
      <c r="T104" s="166"/>
      <c r="U104" s="166" cm="1">
        <f t="array" ref="U104">SUMPRODUCT(
  IFERROR(--desp[valor],0)*
  (desp[nucleo]="UP VILA SONIA")*
  (desp[categoria]=U$7)*
  (desp[data.pagamento]&gt;=$A104)*
  (desp[data.pagamento]&lt;EOMONTH($A104,0)+1)
)</f>
        <v>0</v>
      </c>
      <c r="V104" s="166" cm="1">
        <f t="array" ref="V104">SUMPRODUCT(
  IFERROR(--desp[valor],0)*
  (desp[nucleo]="UP VILA SONIA")*
  (desp[categoria]=V$7)*
  (desp[data.pagamento]&gt;=$A104)*
  (desp[data.pagamento]&lt;EOMONTH($A104,0)+1)
)</f>
        <v>0</v>
      </c>
      <c r="W104" s="166" cm="1">
        <f t="array" ref="W104">SUMPRODUCT(
  IFERROR(--desp[valor],0)*
  (desp[nucleo]="UP VILA SONIA")*
  (desp[categoria]=W$7)*
  (desp[data.pagamento]&gt;=$A104)*
  (desp[data.pagamento]&lt;EOMONTH($A104,0)+1)
)</f>
        <v>0</v>
      </c>
      <c r="X104" s="166" cm="1">
        <f t="array" ref="X104">SUMPRODUCT(
  IFERROR(--desp[valor],0)*
  (desp[nucleo]="UP VILA SONIA")*
  (desp[categoria]=X$7)*
  (desp[data.pagamento]&gt;=$A104)*
  (desp[data.pagamento]&lt;EOMONTH($A104,0)+1)
)</f>
        <v>0</v>
      </c>
      <c r="Y104" s="166" cm="1">
        <f t="array" ref="Y104">SUMPRODUCT(
  IFERROR(--desp[valor],0)*
  (desp[nucleo]="UP VILA SONIA")*
  (desp[categoria]=Y$7)*
  (desp[data.pagamento]&gt;=$A104)*
  (desp[data.pagamento]&lt;EOMONTH($A104,0)+1)
)</f>
        <v>0</v>
      </c>
      <c r="Z104" s="177">
        <f>COUNTIFS(
    estq[empresa], Z$6,
    estq[Data da venda / reserva], "&gt;=" &amp; $A104,
    estq[Data da venda / reserva], "&lt;"  &amp; EOMONTH($A104,0) + 1
)</f>
        <v>0</v>
      </c>
      <c r="AA104" s="178">
        <f ca="1">SUMIFS(rec.uni[2029-06-01],
INDIRECT("rec.uni[natureza]"),"pro.soluto",
INDIRECT("rec.uni[empresa]"),AA$6)</f>
        <v>0</v>
      </c>
      <c r="AB104" s="182">
        <f ca="1">SUMIFS(rec.uni[2029-06-01],
INDIRECT("rec.uni[natureza]"),"parcela.fin.total.ik",
INDIRECT("rec.uni[empresa]"),AB$6)</f>
        <v>0</v>
      </c>
      <c r="AC104" s="178">
        <f ca="1">SUMIFS(rec.uni[2029-06-01],
INDIRECT("rec.uni[natureza]"),"taxa.extra",
INDIRECT("rec.uni[empresa]"),AC$6)</f>
        <v>0</v>
      </c>
      <c r="AD104" s="166"/>
      <c r="AE104" s="166" cm="1">
        <f t="array" ref="AE104">SUMPRODUCT(
  IFERROR(--desp[valor],0)*
  (desp[nucleo]="UP CAMPO BELO")*
  (desp[categoria]=AE$7)*
  (desp[data.pagamento]&gt;=$A104)*
  (desp[data.pagamento]&lt;EOMONTH($A104,0)+1)
)</f>
        <v>0</v>
      </c>
      <c r="AF104" s="166" cm="1">
        <f t="array" ref="AF104">SUMPRODUCT(
  IFERROR(--desp[valor],0)*
  (desp[nucleo]="UP CAMPO BELO")*
  (desp[categoria]=AF$7)*
  (desp[data.pagamento]&gt;=$A104)*
  (desp[data.pagamento]&lt;EOMONTH($A104,0)+1)
)</f>
        <v>0</v>
      </c>
      <c r="AG104" s="166" cm="1">
        <f t="array" ref="AG104">SUMPRODUCT(
  IFERROR(--desp[valor],0)*
  (desp[nucleo]="UP CAMPO BELO")*
  (desp[categoria]=AG$7)*
  (desp[data.pagamento]&gt;=$A104)*
  (desp[data.pagamento]&lt;EOMONTH($A104,0)+1)
)</f>
        <v>0</v>
      </c>
      <c r="AH104" s="166" cm="1">
        <f t="array" ref="AH104">SUMPRODUCT(
  IFERROR(--desp[valor],0)*
  (desp[nucleo]="UP CAMPO BELO")*
  (desp[categoria]=AH$7)*
  (desp[data.pagamento]&gt;=$A104)*
  (desp[data.pagamento]&lt;EOMONTH($A104,0)+1)
)</f>
        <v>0</v>
      </c>
      <c r="AI104" s="166" cm="1">
        <f t="array" ref="AI104">SUMPRODUCT(
  IFERROR(--desp[valor],0)*
  (desp[nucleo]="UP CAMPO BELO")*
  (desp[categoria]=AI$7)*
  (desp[data.pagamento]&gt;=$A104)*
  (desp[data.pagamento]&lt;EOMONTH($A104,0)+1)
)</f>
        <v>0</v>
      </c>
      <c r="AJ104" s="177">
        <f>COUNTIFS(
    estq[empresa], AJ$6,
    estq[Data da venda / reserva], "&gt;=" &amp; $A104,
    estq[Data da venda / reserva], "&lt;"  &amp; EOMONTH($A104,0) + 1
)</f>
        <v>0</v>
      </c>
      <c r="AK104" s="178">
        <f ca="1">SUMIFS(rec.uni[2029-06-01],
INDIRECT("rec.uni[natureza]"),"pro.soluto",
INDIRECT("rec.uni[empresa]"),AK$6)</f>
        <v>0</v>
      </c>
      <c r="AL104" s="178">
        <f ca="1">SUMIFS(rec.uni[2029-06-01],
INDIRECT("rec.uni[natureza]"),"repasse.cef.obra",
INDIRECT("rec.uni[empresa]"),AL$6)</f>
        <v>0</v>
      </c>
      <c r="AM104" s="181">
        <f ca="1">SUMIFS(rec.uni[2029-06-01],
INDIRECT("rec.uni[natureza]"),"repasse.cef.terreno",
INDIRECT("rec.uni[empresa]"),AM$6)</f>
        <v>0</v>
      </c>
      <c r="AN104" s="182"/>
      <c r="AO104" s="178">
        <f ca="1">SUMIFS(rec.uni[2029-06-01],
INDIRECT("rec.uni[natureza]"),"taxa.extra",
INDIRECT("rec.uni[empresa]"),AO$6)</f>
        <v>0</v>
      </c>
      <c r="AP104" s="166"/>
      <c r="AQ104" s="166" cm="1">
        <f t="array" ref="AQ104">SUMPRODUCT(
  IFERROR(--desp[valor],0)*
  (desp[nucleo]="UP SELECT VILA SONIA")*
  (desp[categoria]=AQ$7)*
  (desp[data.pagamento]&gt;=$A104)*
  (desp[data.pagamento]&lt;EOMONTH($A104,0)+1)
)</f>
        <v>0</v>
      </c>
      <c r="AR104" s="166" cm="1">
        <f t="array" ref="AR104">SUMPRODUCT(
  IFERROR(--desp[valor],0)*
  (desp[nucleo]="UP SELECT VILA SONIA")*
  (desp[categoria]=AR$7)*
  (desp[data.pagamento]&gt;=$A104)*
  (desp[data.pagamento]&lt;EOMONTH($A104,0)+1)
)</f>
        <v>0</v>
      </c>
      <c r="AS104" s="166" cm="1">
        <f t="array" ref="AS104">SUMPRODUCT(
  IFERROR(--desp[valor],0)*
  (desp[nucleo]="UP SELECT VILA SONIA")*
  (desp[categoria]=AS$7)*
  (desp[data.pagamento]&gt;=$A104)*
  (desp[data.pagamento]&lt;EOMONTH($A104,0)+1)
)</f>
        <v>0</v>
      </c>
      <c r="AT104" s="166" cm="1">
        <f t="array" ref="AT104">SUMPRODUCT(
  IFERROR(--desp[valor],0)*
  (desp[nucleo]="UP SELECT VILA SONIA")*
  (desp[categoria]=AT$7)*
  (desp[data.pagamento]&gt;=$A104)*
  (desp[data.pagamento]&lt;EOMONTH($A104,0)+1)
)</f>
        <v>0</v>
      </c>
      <c r="AU104" s="166" cm="1">
        <f t="array" ref="AU104">SUMPRODUCT(
  IFERROR(--desp[valor],0)*
  (desp[nucleo]="UP SELECT VILA SONIA")*
  (desp[categoria]=AU$7)*
  (desp[data.pagamento]&gt;=$A104)*
  (desp[data.pagamento]&lt;EOMONTH($A104,0)+1)
)</f>
        <v>0</v>
      </c>
      <c r="AV104" s="177">
        <f>COUNTIFS(
    estq[empresa], AV$6,
    estq[Data da venda / reserva], "&gt;=" &amp; $A104,
    estq[Data da venda / reserva], "&lt;"  &amp; EOMONTH($A104,0) + 1
)</f>
        <v>0</v>
      </c>
      <c r="AW104" s="178">
        <f ca="1">SUMIFS(rec.uni[2029-06-01],
INDIRECT("rec.uni[natureza]"),"pro.soluto",
INDIRECT("rec.uni[empresa]"),AW$6)</f>
        <v>0</v>
      </c>
      <c r="AX104" s="178">
        <f ca="1">SUMIFS(rec.uni[2029-06-01],
INDIRECT("rec.uni[natureza]"),"repasse.cef.obra",
INDIRECT("rec.uni[empresa]"),AX$6)</f>
        <v>0</v>
      </c>
      <c r="AY104" s="181">
        <f ca="1">SUMIFS(rec.uni[2029-06-01],
INDIRECT("rec.uni[natureza]"),"repasse.cef.terreno",
INDIRECT("rec.uni[empresa]"),AY$6)</f>
        <v>0</v>
      </c>
      <c r="AZ104" s="182"/>
      <c r="BA104" s="178">
        <f ca="1">SUMIFS(rec.uni[2029-06-01],
INDIRECT("rec.uni[natureza]"),"taxa.extra",
INDIRECT("rec.uni[empresa]"),BA$6)</f>
        <v>0</v>
      </c>
      <c r="BB104" s="166"/>
      <c r="BC104" s="166" cm="1">
        <f t="array" ref="BC104">SUMPRODUCT(
  IFERROR(--desp[valor],0)*
  (desp[nucleo]="UP ESTAÇÃO SÃO LUCAS")*
  (desp[categoria]=BC$7)*
  (desp[data.pagamento]&gt;=$A104)*
  (desp[data.pagamento]&lt;EOMONTH($A104,0)+1)
)</f>
        <v>0</v>
      </c>
      <c r="BD104" s="166" cm="1">
        <f t="array" ref="BD104">SUMPRODUCT(
  IFERROR(--desp[valor],0)*
  (desp[nucleo]="UP ESTAÇÃO SÃO LUCAS")*
  (desp[categoria]=BD$7)*
  (desp[data.pagamento]&gt;=$A104)*
  (desp[data.pagamento]&lt;EOMONTH($A104,0)+1)
)</f>
        <v>0</v>
      </c>
      <c r="BE104" s="166" cm="1">
        <f t="array" ref="BE104">SUMPRODUCT(
  IFERROR(--desp[valor],0)*
  (desp[nucleo]="UP ESTAÇÃO SÃO LUCAS")*
  (desp[categoria]=BE$7)*
  (desp[data.pagamento]&gt;=$A104)*
  (desp[data.pagamento]&lt;EOMONTH($A104,0)+1)
)</f>
        <v>0</v>
      </c>
      <c r="BF104" s="166" cm="1">
        <f t="array" ref="BF104">SUMPRODUCT(
  IFERROR(--desp[valor],0)*
  (desp[nucleo]="UP ESTAÇÃO SÃO LUCAS")*
  (desp[categoria]=BF$7)*
  (desp[data.pagamento]&gt;=$A104)*
  (desp[data.pagamento]&lt;EOMONTH($A104,0)+1)
)</f>
        <v>0</v>
      </c>
      <c r="BG104" s="166" cm="1">
        <f t="array" ref="BG104">SUMPRODUCT(
  IFERROR(--desp[valor],0)*
  (desp[nucleo]="UP ESTAÇÃO SÃO LUCAS")*
  (desp[categoria]=BG$7)*
  (desp[data.pagamento]&gt;=$A104)*
  (desp[data.pagamento]&lt;EOMONTH($A104,0)+1)
)</f>
        <v>0</v>
      </c>
      <c r="BH104" s="177">
        <f>COUNTIFS(
    estq[empresa], BH$6,
    estq[Data da venda / reserva], "&gt;=" &amp; $A104,
    estq[Data da venda / reserva], "&lt;"  &amp; EOMONTH($A104,0) + 1
)</f>
        <v>0</v>
      </c>
      <c r="BI104" s="178">
        <f ca="1">SUMIFS(rec.uni[2029-06-01],
INDIRECT("rec.uni[natureza]"),"pro.soluto",
INDIRECT("rec.uni[empresa]"),BI$6)</f>
        <v>0</v>
      </c>
      <c r="BJ104" s="182">
        <f ca="1">SUMIFS(rec.uni[2029-06-01],
INDIRECT("rec.uni[natureza]"),"parcela.fin.total.ik",
INDIRECT("rec.uni[empresa]"),BJ$6)</f>
        <v>0</v>
      </c>
      <c r="BK104" s="178">
        <f ca="1">SUMIFS(rec.uni[2029-06-01],
INDIRECT("rec.uni[natureza]"),"taxa.extra",
INDIRECT("rec.uni[empresa]"),BK$6)</f>
        <v>0</v>
      </c>
      <c r="BL104" s="166"/>
      <c r="BM104" s="166" cm="1">
        <f t="array" ref="BM104">SUMPRODUCT(
  IFERROR(--desp[valor],0)*
  (desp[nucleo]="UP POMPEIA")*
  (desp[categoria]=BM$7)*
  (desp[data.pagamento]&gt;=$A104)*
  (desp[data.pagamento]&lt;EOMONTH($A104,0)+1)
)</f>
        <v>0</v>
      </c>
      <c r="BN104" s="166" cm="1">
        <f t="array" ref="BN104">SUMPRODUCT(
  IFERROR(--desp[valor],0)*
  (desp[nucleo]="UP POMPEIA")*
  (desp[categoria]=BN$7)*
  (desp[data.pagamento]&gt;=$A104)*
  (desp[data.pagamento]&lt;EOMONTH($A104,0)+1)
)</f>
        <v>0</v>
      </c>
      <c r="BO104" s="166" cm="1">
        <f t="array" ref="BO104">SUMPRODUCT(
  IFERROR(--desp[valor],0)*
  (desp[nucleo]="UP POMPEIA")*
  (desp[categoria]=BO$7)*
  (desp[data.pagamento]&gt;=$A104)*
  (desp[data.pagamento]&lt;EOMONTH($A104,0)+1)
)</f>
        <v>0</v>
      </c>
      <c r="BP104" s="166" cm="1">
        <f t="array" ref="BP104">SUMPRODUCT(
  IFERROR(--desp[valor],0)*
  (desp[nucleo]="UP POMPEIA")*
  (desp[categoria]=BP$7)*
  (desp[data.pagamento]&gt;=$A104)*
  (desp[data.pagamento]&lt;EOMONTH($A104,0)+1)
)</f>
        <v>0</v>
      </c>
      <c r="BQ104" s="166" cm="1">
        <f t="array" ref="BQ104">SUMPRODUCT(
  IFERROR(--desp[valor],0)*
  (desp[nucleo]="UP POMPEIA")*
  (desp[categoria]=BQ$7)*
  (desp[data.pagamento]&gt;=$A104)*
  (desp[data.pagamento]&lt;EOMONTH($A104,0)+1)
)</f>
        <v>0</v>
      </c>
      <c r="BR104" s="177">
        <f>COUNTIFS(
    estq[empresa], BR$6,
    estq[Data da venda / reserva], "&gt;=" &amp; $A104,
    estq[Data da venda / reserva], "&lt;"  &amp; EOMONTH($A104,0) + 1
)</f>
        <v>0</v>
      </c>
      <c r="BS104" s="178">
        <f ca="1">SUMIFS(rec.uni[2029-06-01],
INDIRECT("rec.uni[natureza]"),"pro.soluto",
INDIRECT("rec.uni[empresa]"),BS$6)</f>
        <v>0</v>
      </c>
      <c r="BT104" s="182">
        <f ca="1">SUMIFS(rec.uni[2029-06-01],
INDIRECT("rec.uni[natureza]"),"parcela.fin.total.ik",
INDIRECT("rec.uni[empresa]"),BT$6)</f>
        <v>0</v>
      </c>
      <c r="BU104" s="178">
        <f ca="1">SUMIFS(rec.uni[2029-06-01],
INDIRECT("rec.uni[natureza]"),"taxa.extra",
INDIRECT("rec.uni[empresa]"),BU$6)</f>
        <v>0</v>
      </c>
      <c r="BV104" s="166"/>
      <c r="BW104" s="166" cm="1">
        <f t="array" ref="BW104">SUMPRODUCT(
  IFERROR(--desp[valor],0)*
  (desp[nucleo]="UP SAUDE")*
  (desp[categoria]=BW$7)*
  (desp[data.pagamento]&gt;=$A104)*
  (desp[data.pagamento]&lt;EOMONTH($A104,0)+1)
)</f>
        <v>0</v>
      </c>
      <c r="BX104" s="166" cm="1">
        <f t="array" ref="BX104">SUMPRODUCT(
  IFERROR(--desp[valor],0)*
  (desp[nucleo]="UP SAUDE")*
  (desp[categoria]=BX$7)*
  (desp[data.pagamento]&gt;=$A104)*
  (desp[data.pagamento]&lt;EOMONTH($A104,0)+1)
)</f>
        <v>0</v>
      </c>
      <c r="BY104" s="166" cm="1">
        <f t="array" ref="BY104">SUMPRODUCT(
  IFERROR(--desp[valor],0)*
  (desp[nucleo]="UP SAUDE")*
  (desp[categoria]=BY$7)*
  (desp[data.pagamento]&gt;=$A104)*
  (desp[data.pagamento]&lt;EOMONTH($A104,0)+1)
)</f>
        <v>0</v>
      </c>
      <c r="BZ104" s="166" cm="1">
        <f t="array" ref="BZ104">SUMPRODUCT(
  IFERROR(--desp[valor],0)*
  (desp[nucleo]="UP SAUDE")*
  (desp[categoria]=BZ$7)*
  (desp[data.pagamento]&gt;=$A104)*
  (desp[data.pagamento]&lt;EOMONTH($A104,0)+1)
)</f>
        <v>0</v>
      </c>
      <c r="CA104" s="166" cm="1">
        <f t="array" ref="CA104">SUMPRODUCT(
  IFERROR(--desp[valor],0)*
  (desp[nucleo]="UP SAUDE")*
  (desp[categoria]=CA$7)*
  (desp[data.pagamento]&gt;=$A104)*
  (desp[data.pagamento]&lt;EOMONTH($A104,0)+1)
)</f>
        <v>0</v>
      </c>
      <c r="CB104" s="177">
        <f>COUNTIFS(
    estq[empresa], CB$6,
    estq[Data da venda / reserva], "&gt;=" &amp; $A104,
    estq[Data da venda / reserva], "&lt;"  &amp; EOMONTH($A104,0) + 1
)</f>
        <v>0</v>
      </c>
      <c r="CC104" s="178">
        <f ca="1">SUMIFS(rec.uni[2029-06-01],
INDIRECT("rec.uni[natureza]"),"pro.soluto",
INDIRECT("rec.uni[empresa]"),CC$6)</f>
        <v>0</v>
      </c>
      <c r="CD104" s="178">
        <f ca="1">SUMIFS(rec.uni[2029-06-01],
INDIRECT("rec.uni[natureza]"),"repasse.cef.obra",
INDIRECT("rec.uni[empresa]"),CD$6)</f>
        <v>0</v>
      </c>
      <c r="CE104" s="181">
        <f ca="1">SUMIFS(rec.uni[2029-06-01],
INDIRECT("rec.uni[natureza]"),"repasse.cef.terreno",
INDIRECT("rec.uni[empresa]"),CE$6)</f>
        <v>0</v>
      </c>
      <c r="CF104" s="182"/>
      <c r="CG104" s="178">
        <f ca="1">SUMIFS(rec.uni[2029-06-01],
INDIRECT("rec.uni[natureza]"),"taxa.extra",
INDIRECT("rec.uni[empresa]"),CG$6)</f>
        <v>0</v>
      </c>
      <c r="CH104" s="166"/>
      <c r="CI104" s="166" cm="1">
        <f t="array" ref="CI104">SUMPRODUCT(
  IFERROR(--desp[valor],0)*
  (desp[nucleo]="UP ESTAÇÃO VILA SONIA")*
  (desp[categoria]=CI$7)*
  (desp[data.pagamento]&gt;=$A104)*
  (desp[data.pagamento]&lt;EOMONTH($A104,0)+1)
)</f>
        <v>0</v>
      </c>
      <c r="CJ104" s="166" cm="1">
        <f t="array" ref="CJ104">SUMPRODUCT(
  IFERROR(--desp[valor],0)*
  (desp[nucleo]="UP ESTAÇÃO VILA SONIA")*
  (desp[categoria]=CJ$7)*
  (desp[data.pagamento]&gt;=$A104)*
  (desp[data.pagamento]&lt;EOMONTH($A104,0)+1)
)</f>
        <v>0</v>
      </c>
      <c r="CK104" s="166" cm="1">
        <f t="array" ref="CK104">SUMPRODUCT(
  IFERROR(--desp[valor],0)*
  (desp[nucleo]="UP ESTAÇÃO VILA SONIA")*
  (desp[categoria]=CK$7)*
  (desp[data.pagamento]&gt;=$A104)*
  (desp[data.pagamento]&lt;EOMONTH($A104,0)+1)
)</f>
        <v>0</v>
      </c>
      <c r="CL104" s="166" cm="1">
        <f t="array" ref="CL104">SUMPRODUCT(
  IFERROR(--desp[valor],0)*
  (desp[nucleo]="UP ESTAÇÃO VILA SONIA")*
  (desp[categoria]=CL$7)*
  (desp[data.pagamento]&gt;=$A104)*
  (desp[data.pagamento]&lt;EOMONTH($A104,0)+1)
)</f>
        <v>0</v>
      </c>
      <c r="CM104" s="166" cm="1">
        <f t="array" ref="CM104">SUMPRODUCT(
  IFERROR(--desp[valor],0)*
  (desp[nucleo]="UP ESTAÇÃO VILA SONIA")*
  (desp[categoria]=CM$7)*
  (desp[data.pagamento]&gt;=$A104)*
  (desp[data.pagamento]&lt;EOMONTH($A104,0)+1)
)</f>
        <v>0</v>
      </c>
      <c r="CN104" s="177">
        <f>COUNTIFS(
    estq[empresa], CN$6,
    estq[Data da venda / reserva], "&gt;=" &amp; $A104,
    estq[Data da venda / reserva], "&lt;"  &amp; EOMONTH($A104,0) + 1
)</f>
        <v>0</v>
      </c>
      <c r="CO104" s="178">
        <f ca="1">SUMIFS(rec.uni[2029-06-01],
INDIRECT("rec.uni[natureza]"),"pro.soluto",
INDIRECT("rec.uni[empresa]"),CO$6)</f>
        <v>0</v>
      </c>
      <c r="CP104" s="178">
        <f ca="1">SUMIFS(rec.uni[2029-06-01],
INDIRECT("rec.uni[natureza]"),"repasse.cef.obra",
INDIRECT("rec.uni[empresa]"),CP$6)</f>
        <v>0</v>
      </c>
      <c r="CQ104" s="181">
        <f ca="1">SUMIFS(rec.uni[2029-06-01],
INDIRECT("rec.uni[natureza]"),"repasse.cef.terreno",
INDIRECT("rec.uni[empresa]"),CQ$6)</f>
        <v>0</v>
      </c>
      <c r="CR104" s="182"/>
      <c r="CS104" s="178">
        <f ca="1">SUMIFS(rec.uni[2029-06-01],
INDIRECT("rec.uni[natureza]"),"taxa.extra",
INDIRECT("rec.uni[empresa]"),CS$6)</f>
        <v>0</v>
      </c>
      <c r="CT104" s="166"/>
      <c r="CU104" s="166" cm="1">
        <f t="array" ref="CU104">SUMPRODUCT(
  IFERROR(--desp[valor],0)*
  (desp[nucleo]="UP MOVE VILA SONIA")*
  (desp[categoria]=CU$7)*
  (desp[data.pagamento]&gt;=$A104)*
  (desp[data.pagamento]&lt;EOMONTH($A104,0)+1)
)</f>
        <v>0</v>
      </c>
      <c r="CV104" s="166" cm="1">
        <f t="array" ref="CV104">SUMPRODUCT(
  IFERROR(--desp[valor],0)*
  (desp[nucleo]="UP MOVE VILA SONIA")*
  (desp[categoria]=CV$7)*
  (desp[data.pagamento]&gt;=$A104)*
  (desp[data.pagamento]&lt;EOMONTH($A104,0)+1)
)</f>
        <v>0</v>
      </c>
      <c r="CW104" s="166" cm="1">
        <f t="array" ref="CW104">SUMPRODUCT(
  IFERROR(--desp[valor],0)*
  (desp[nucleo]="UP MOVE VILA SONIA")*
  (desp[categoria]=CW$7)*
  (desp[data.pagamento]&gt;=$A104)*
  (desp[data.pagamento]&lt;EOMONTH($A104,0)+1)
)</f>
        <v>0</v>
      </c>
      <c r="CX104" s="166" cm="1">
        <f t="array" ref="CX104">SUMPRODUCT(
  IFERROR(--desp[valor],0)*
  (desp[nucleo]="UP MOVE VILA SONIA")*
  (desp[categoria]=CX$7)*
  (desp[data.pagamento]&gt;=$A104)*
  (desp[data.pagamento]&lt;EOMONTH($A104,0)+1)
)</f>
        <v>0</v>
      </c>
      <c r="CY104" s="291" cm="1">
        <f t="array" ref="CY104">SUMPRODUCT(
  IFERROR(--desp[valor],0)*
  (desp[nucleo]="UP MOVE VILA SONIA")*
  (desp[categoria]=CY$7)*
  (desp[data.pagamento]&gt;=$A104)*
  (desp[data.pagamento]&lt;EOMONTH($A104,0)+1)
)</f>
        <v>0</v>
      </c>
    </row>
    <row r="105" spans="1:103" x14ac:dyDescent="0.25">
      <c r="A105" s="176">
        <v>47300</v>
      </c>
      <c r="B105" s="177">
        <f>COUNTIFS(
    estq[empresa], B$6,
    estq[Data da venda / reserva], "&gt;=" &amp; $A105,
    estq[Data da venda / reserva], "&lt;"  &amp; EOMONTH($A105,0) + 1
)</f>
        <v>0</v>
      </c>
      <c r="C105" s="178">
        <f ca="1">SUMIFS(rec.uni[2029-07-01],
INDIRECT("rec.uni[natureza]"),"pro.soluto",
INDIRECT("rec.uni[empresa]"),C$6)</f>
        <v>0</v>
      </c>
      <c r="D105" s="178">
        <f ca="1">SUMIFS(rec.uni[2029-07-01],
INDIRECT("rec.uni[natureza]"),"repasse.cef.obra",
INDIRECT("rec.uni[empresa]"),D$6)</f>
        <v>0</v>
      </c>
      <c r="E105" s="178">
        <f ca="1">SUMIFS(rec.uni[2029-07-01],
INDIRECT("rec.uni[natureza]"),"repasse.cef.terreno",
INDIRECT("rec.uni[empresa]"),E$6)</f>
        <v>0</v>
      </c>
      <c r="F105" s="182"/>
      <c r="G105" s="178">
        <f ca="1">SUMIFS(rec.uni[2029-07-01],
INDIRECT("rec.uni[natureza]"),"taxa.extra",
INDIRECT("rec.uni[empresa]"),G$6)</f>
        <v>0</v>
      </c>
      <c r="H105" s="166"/>
      <c r="I105" s="166" cm="1">
        <f t="array" ref="I105">SUMPRODUCT(
  IFERROR(--desp[valor],0)*
  (desp[nucleo]="UP JARDIM PRUDENCIA")*
  (desp[categoria]=I$7)*
  (desp[data.pagamento]&gt;=$A105)*
  (desp[data.pagamento]&lt;EOMONTH($A105,0)+1)
)</f>
        <v>0</v>
      </c>
      <c r="J105" s="166" cm="1">
        <f t="array" ref="J105">SUMPRODUCT(
  IFERROR(--desp[valor],0)*
  (desp[nucleo]="UP JARDIM PRUDENCIA")*
  (desp[categoria]=J$7)*
  (desp[data.pagamento]&gt;=$A105)*
  (desp[data.pagamento]&lt;EOMONTH($A105,0)+1)
)</f>
        <v>0</v>
      </c>
      <c r="K105" s="166" cm="1">
        <f t="array" ref="K105">SUMPRODUCT(
  IFERROR(--desp[valor],0)*
  (desp[nucleo]="UP JARDIM PRUDENCIA")*
  (desp[categoria]=K$7)*
  (desp[data.pagamento]&gt;=$A105)*
  (desp[data.pagamento]&lt;EOMONTH($A105,0)+1)
)</f>
        <v>0</v>
      </c>
      <c r="L105" s="166" cm="1">
        <f t="array" ref="L105">SUMPRODUCT(
  IFERROR(--desp[valor],0)*
  (desp[nucleo]="UP JARDIM PRUDENCIA")*
  (desp[categoria]=L$7)*
  (desp[data.pagamento]&gt;=$A105)*
  (desp[data.pagamento]&lt;EOMONTH($A105,0)+1)
)</f>
        <v>0</v>
      </c>
      <c r="M105" s="166" cm="1">
        <f t="array" ref="M105">SUMPRODUCT(
  IFERROR(--desp[valor],0)*
  (desp[nucleo]="UP JARDIM PRUDENCIA")*
  (desp[categoria]=M$7)*
  (desp[data.pagamento]&gt;=$A105)*
  (desp[data.pagamento]&lt;EOMONTH($A105,0)+1)
)</f>
        <v>0</v>
      </c>
      <c r="N105" s="177">
        <f>COUNTIFS(
    estq[empresa], N$6,
    estq[Data da venda / reserva], "&gt;=" &amp; $A105,
    estq[Data da venda / reserva], "&lt;"  &amp; EOMONTH($A105,0) + 1
)</f>
        <v>0</v>
      </c>
      <c r="O105" s="178">
        <f ca="1">SUMIFS(rec.uni[2029-07-01],
INDIRECT("rec.uni[natureza]"),"pro.soluto",
INDIRECT("rec.uni[empresa]"),O$6)</f>
        <v>0</v>
      </c>
      <c r="P105" s="178">
        <f ca="1">SUMIFS(rec.uni[2029-07-01],
INDIRECT("rec.uni[natureza]"),"repasse.cef.obra",
INDIRECT("rec.uni[empresa]"),P$6)</f>
        <v>0</v>
      </c>
      <c r="Q105" s="178">
        <f ca="1">SUMIFS(rec.uni[2029-07-01],
INDIRECT("rec.uni[natureza]"),"repasse.cef.terreno",
INDIRECT("rec.uni[empresa]"),Q$6)</f>
        <v>0</v>
      </c>
      <c r="R105" s="182"/>
      <c r="S105" s="178">
        <f ca="1">SUMIFS(rec.uni[2029-07-01],
INDIRECT("rec.uni[natureza]"),"taxa.extra",
INDIRECT("rec.uni[empresa]"),S$6)</f>
        <v>0</v>
      </c>
      <c r="T105" s="166"/>
      <c r="U105" s="166" cm="1">
        <f t="array" ref="U105">SUMPRODUCT(
  IFERROR(--desp[valor],0)*
  (desp[nucleo]="UP VILA SONIA")*
  (desp[categoria]=U$7)*
  (desp[data.pagamento]&gt;=$A105)*
  (desp[data.pagamento]&lt;EOMONTH($A105,0)+1)
)</f>
        <v>0</v>
      </c>
      <c r="V105" s="166" cm="1">
        <f t="array" ref="V105">SUMPRODUCT(
  IFERROR(--desp[valor],0)*
  (desp[nucleo]="UP VILA SONIA")*
  (desp[categoria]=V$7)*
  (desp[data.pagamento]&gt;=$A105)*
  (desp[data.pagamento]&lt;EOMONTH($A105,0)+1)
)</f>
        <v>0</v>
      </c>
      <c r="W105" s="166" cm="1">
        <f t="array" ref="W105">SUMPRODUCT(
  IFERROR(--desp[valor],0)*
  (desp[nucleo]="UP VILA SONIA")*
  (desp[categoria]=W$7)*
  (desp[data.pagamento]&gt;=$A105)*
  (desp[data.pagamento]&lt;EOMONTH($A105,0)+1)
)</f>
        <v>0</v>
      </c>
      <c r="X105" s="166" cm="1">
        <f t="array" ref="X105">SUMPRODUCT(
  IFERROR(--desp[valor],0)*
  (desp[nucleo]="UP VILA SONIA")*
  (desp[categoria]=X$7)*
  (desp[data.pagamento]&gt;=$A105)*
  (desp[data.pagamento]&lt;EOMONTH($A105,0)+1)
)</f>
        <v>0</v>
      </c>
      <c r="Y105" s="166" cm="1">
        <f t="array" ref="Y105">SUMPRODUCT(
  IFERROR(--desp[valor],0)*
  (desp[nucleo]="UP VILA SONIA")*
  (desp[categoria]=Y$7)*
  (desp[data.pagamento]&gt;=$A105)*
  (desp[data.pagamento]&lt;EOMONTH($A105,0)+1)
)</f>
        <v>0</v>
      </c>
      <c r="Z105" s="177">
        <f>COUNTIFS(
    estq[empresa], Z$6,
    estq[Data da venda / reserva], "&gt;=" &amp; $A105,
    estq[Data da venda / reserva], "&lt;"  &amp; EOMONTH($A105,0) + 1
)</f>
        <v>0</v>
      </c>
      <c r="AA105" s="178">
        <f ca="1">SUMIFS(rec.uni[2029-07-01],
INDIRECT("rec.uni[natureza]"),"pro.soluto",
INDIRECT("rec.uni[empresa]"),AA$6)</f>
        <v>0</v>
      </c>
      <c r="AB105" s="182">
        <f ca="1">SUMIFS(rec.uni[2029-07-01],
INDIRECT("rec.uni[natureza]"),"parcela.fin.total.ik",
INDIRECT("rec.uni[empresa]"),AB$6)</f>
        <v>0</v>
      </c>
      <c r="AC105" s="178">
        <f ca="1">SUMIFS(rec.uni[2029-07-01],
INDIRECT("rec.uni[natureza]"),"taxa.extra",
INDIRECT("rec.uni[empresa]"),AC$6)</f>
        <v>0</v>
      </c>
      <c r="AD105" s="166"/>
      <c r="AE105" s="166" cm="1">
        <f t="array" ref="AE105">SUMPRODUCT(
  IFERROR(--desp[valor],0)*
  (desp[nucleo]="UP CAMPO BELO")*
  (desp[categoria]=AE$7)*
  (desp[data.pagamento]&gt;=$A105)*
  (desp[data.pagamento]&lt;EOMONTH($A105,0)+1)
)</f>
        <v>0</v>
      </c>
      <c r="AF105" s="166" cm="1">
        <f t="array" ref="AF105">SUMPRODUCT(
  IFERROR(--desp[valor],0)*
  (desp[nucleo]="UP CAMPO BELO")*
  (desp[categoria]=AF$7)*
  (desp[data.pagamento]&gt;=$A105)*
  (desp[data.pagamento]&lt;EOMONTH($A105,0)+1)
)</f>
        <v>0</v>
      </c>
      <c r="AG105" s="166" cm="1">
        <f t="array" ref="AG105">SUMPRODUCT(
  IFERROR(--desp[valor],0)*
  (desp[nucleo]="UP CAMPO BELO")*
  (desp[categoria]=AG$7)*
  (desp[data.pagamento]&gt;=$A105)*
  (desp[data.pagamento]&lt;EOMONTH($A105,0)+1)
)</f>
        <v>0</v>
      </c>
      <c r="AH105" s="166" cm="1">
        <f t="array" ref="AH105">SUMPRODUCT(
  IFERROR(--desp[valor],0)*
  (desp[nucleo]="UP CAMPO BELO")*
  (desp[categoria]=AH$7)*
  (desp[data.pagamento]&gt;=$A105)*
  (desp[data.pagamento]&lt;EOMONTH($A105,0)+1)
)</f>
        <v>0</v>
      </c>
      <c r="AI105" s="166" cm="1">
        <f t="array" ref="AI105">SUMPRODUCT(
  IFERROR(--desp[valor],0)*
  (desp[nucleo]="UP CAMPO BELO")*
  (desp[categoria]=AI$7)*
  (desp[data.pagamento]&gt;=$A105)*
  (desp[data.pagamento]&lt;EOMONTH($A105,0)+1)
)</f>
        <v>0</v>
      </c>
      <c r="AJ105" s="177">
        <f>COUNTIFS(
    estq[empresa], AJ$6,
    estq[Data da venda / reserva], "&gt;=" &amp; $A105,
    estq[Data da venda / reserva], "&lt;"  &amp; EOMONTH($A105,0) + 1
)</f>
        <v>0</v>
      </c>
      <c r="AK105" s="178">
        <f ca="1">SUMIFS(rec.uni[2029-07-01],
INDIRECT("rec.uni[natureza]"),"pro.soluto",
INDIRECT("rec.uni[empresa]"),AK$6)</f>
        <v>0</v>
      </c>
      <c r="AL105" s="178">
        <f ca="1">SUMIFS(rec.uni[2029-07-01],
INDIRECT("rec.uni[natureza]"),"repasse.cef.obra",
INDIRECT("rec.uni[empresa]"),AL$6)</f>
        <v>0</v>
      </c>
      <c r="AM105" s="181">
        <f ca="1">SUMIFS(rec.uni[2029-07-01],
INDIRECT("rec.uni[natureza]"),"repasse.cef.terreno",
INDIRECT("rec.uni[empresa]"),AM$6)</f>
        <v>0</v>
      </c>
      <c r="AN105" s="182"/>
      <c r="AO105" s="178">
        <f ca="1">SUMIFS(rec.uni[2029-07-01],
INDIRECT("rec.uni[natureza]"),"taxa.extra",
INDIRECT("rec.uni[empresa]"),AO$6)</f>
        <v>0</v>
      </c>
      <c r="AP105" s="166"/>
      <c r="AQ105" s="166" cm="1">
        <f t="array" ref="AQ105">SUMPRODUCT(
  IFERROR(--desp[valor],0)*
  (desp[nucleo]="UP SELECT VILA SONIA")*
  (desp[categoria]=AQ$7)*
  (desp[data.pagamento]&gt;=$A105)*
  (desp[data.pagamento]&lt;EOMONTH($A105,0)+1)
)</f>
        <v>0</v>
      </c>
      <c r="AR105" s="166" cm="1">
        <f t="array" ref="AR105">SUMPRODUCT(
  IFERROR(--desp[valor],0)*
  (desp[nucleo]="UP SELECT VILA SONIA")*
  (desp[categoria]=AR$7)*
  (desp[data.pagamento]&gt;=$A105)*
  (desp[data.pagamento]&lt;EOMONTH($A105,0)+1)
)</f>
        <v>0</v>
      </c>
      <c r="AS105" s="166" cm="1">
        <f t="array" ref="AS105">SUMPRODUCT(
  IFERROR(--desp[valor],0)*
  (desp[nucleo]="UP SELECT VILA SONIA")*
  (desp[categoria]=AS$7)*
  (desp[data.pagamento]&gt;=$A105)*
  (desp[data.pagamento]&lt;EOMONTH($A105,0)+1)
)</f>
        <v>0</v>
      </c>
      <c r="AT105" s="166" cm="1">
        <f t="array" ref="AT105">SUMPRODUCT(
  IFERROR(--desp[valor],0)*
  (desp[nucleo]="UP SELECT VILA SONIA")*
  (desp[categoria]=AT$7)*
  (desp[data.pagamento]&gt;=$A105)*
  (desp[data.pagamento]&lt;EOMONTH($A105,0)+1)
)</f>
        <v>0</v>
      </c>
      <c r="AU105" s="166" cm="1">
        <f t="array" ref="AU105">SUMPRODUCT(
  IFERROR(--desp[valor],0)*
  (desp[nucleo]="UP SELECT VILA SONIA")*
  (desp[categoria]=AU$7)*
  (desp[data.pagamento]&gt;=$A105)*
  (desp[data.pagamento]&lt;EOMONTH($A105,0)+1)
)</f>
        <v>0</v>
      </c>
      <c r="AV105" s="177">
        <f>COUNTIFS(
    estq[empresa], AV$6,
    estq[Data da venda / reserva], "&gt;=" &amp; $A105,
    estq[Data da venda / reserva], "&lt;"  &amp; EOMONTH($A105,0) + 1
)</f>
        <v>0</v>
      </c>
      <c r="AW105" s="178">
        <f ca="1">SUMIFS(rec.uni[2029-07-01],
INDIRECT("rec.uni[natureza]"),"pro.soluto",
INDIRECT("rec.uni[empresa]"),AW$6)</f>
        <v>0</v>
      </c>
      <c r="AX105" s="178">
        <f ca="1">SUMIFS(rec.uni[2029-07-01],
INDIRECT("rec.uni[natureza]"),"repasse.cef.obra",
INDIRECT("rec.uni[empresa]"),AX$6)</f>
        <v>0</v>
      </c>
      <c r="AY105" s="181">
        <f ca="1">SUMIFS(rec.uni[2029-07-01],
INDIRECT("rec.uni[natureza]"),"repasse.cef.terreno",
INDIRECT("rec.uni[empresa]"),AY$6)</f>
        <v>0</v>
      </c>
      <c r="AZ105" s="182"/>
      <c r="BA105" s="178">
        <f ca="1">SUMIFS(rec.uni[2029-07-01],
INDIRECT("rec.uni[natureza]"),"taxa.extra",
INDIRECT("rec.uni[empresa]"),BA$6)</f>
        <v>0</v>
      </c>
      <c r="BB105" s="166"/>
      <c r="BC105" s="166" cm="1">
        <f t="array" ref="BC105">SUMPRODUCT(
  IFERROR(--desp[valor],0)*
  (desp[nucleo]="UP ESTAÇÃO SÃO LUCAS")*
  (desp[categoria]=BC$7)*
  (desp[data.pagamento]&gt;=$A105)*
  (desp[data.pagamento]&lt;EOMONTH($A105,0)+1)
)</f>
        <v>0</v>
      </c>
      <c r="BD105" s="166" cm="1">
        <f t="array" ref="BD105">SUMPRODUCT(
  IFERROR(--desp[valor],0)*
  (desp[nucleo]="UP ESTAÇÃO SÃO LUCAS")*
  (desp[categoria]=BD$7)*
  (desp[data.pagamento]&gt;=$A105)*
  (desp[data.pagamento]&lt;EOMONTH($A105,0)+1)
)</f>
        <v>0</v>
      </c>
      <c r="BE105" s="166" cm="1">
        <f t="array" ref="BE105">SUMPRODUCT(
  IFERROR(--desp[valor],0)*
  (desp[nucleo]="UP ESTAÇÃO SÃO LUCAS")*
  (desp[categoria]=BE$7)*
  (desp[data.pagamento]&gt;=$A105)*
  (desp[data.pagamento]&lt;EOMONTH($A105,0)+1)
)</f>
        <v>0</v>
      </c>
      <c r="BF105" s="166" cm="1">
        <f t="array" ref="BF105">SUMPRODUCT(
  IFERROR(--desp[valor],0)*
  (desp[nucleo]="UP ESTAÇÃO SÃO LUCAS")*
  (desp[categoria]=BF$7)*
  (desp[data.pagamento]&gt;=$A105)*
  (desp[data.pagamento]&lt;EOMONTH($A105,0)+1)
)</f>
        <v>0</v>
      </c>
      <c r="BG105" s="166" cm="1">
        <f t="array" ref="BG105">SUMPRODUCT(
  IFERROR(--desp[valor],0)*
  (desp[nucleo]="UP ESTAÇÃO SÃO LUCAS")*
  (desp[categoria]=BG$7)*
  (desp[data.pagamento]&gt;=$A105)*
  (desp[data.pagamento]&lt;EOMONTH($A105,0)+1)
)</f>
        <v>0</v>
      </c>
      <c r="BH105" s="177">
        <f>COUNTIFS(
    estq[empresa], BH$6,
    estq[Data da venda / reserva], "&gt;=" &amp; $A105,
    estq[Data da venda / reserva], "&lt;"  &amp; EOMONTH($A105,0) + 1
)</f>
        <v>0</v>
      </c>
      <c r="BI105" s="178">
        <f ca="1">SUMIFS(rec.uni[2029-07-01],
INDIRECT("rec.uni[natureza]"),"pro.soluto",
INDIRECT("rec.uni[empresa]"),BI$6)</f>
        <v>0</v>
      </c>
      <c r="BJ105" s="182">
        <f ca="1">SUMIFS(rec.uni[2029-07-01],
INDIRECT("rec.uni[natureza]"),"parcela.fin.total.ik",
INDIRECT("rec.uni[empresa]"),BJ$6)</f>
        <v>0</v>
      </c>
      <c r="BK105" s="178">
        <f ca="1">SUMIFS(rec.uni[2029-07-01],
INDIRECT("rec.uni[natureza]"),"taxa.extra",
INDIRECT("rec.uni[empresa]"),BK$6)</f>
        <v>0</v>
      </c>
      <c r="BL105" s="166"/>
      <c r="BM105" s="166" cm="1">
        <f t="array" ref="BM105">SUMPRODUCT(
  IFERROR(--desp[valor],0)*
  (desp[nucleo]="UP POMPEIA")*
  (desp[categoria]=BM$7)*
  (desp[data.pagamento]&gt;=$A105)*
  (desp[data.pagamento]&lt;EOMONTH($A105,0)+1)
)</f>
        <v>0</v>
      </c>
      <c r="BN105" s="166" cm="1">
        <f t="array" ref="BN105">SUMPRODUCT(
  IFERROR(--desp[valor],0)*
  (desp[nucleo]="UP POMPEIA")*
  (desp[categoria]=BN$7)*
  (desp[data.pagamento]&gt;=$A105)*
  (desp[data.pagamento]&lt;EOMONTH($A105,0)+1)
)</f>
        <v>0</v>
      </c>
      <c r="BO105" s="166" cm="1">
        <f t="array" ref="BO105">SUMPRODUCT(
  IFERROR(--desp[valor],0)*
  (desp[nucleo]="UP POMPEIA")*
  (desp[categoria]=BO$7)*
  (desp[data.pagamento]&gt;=$A105)*
  (desp[data.pagamento]&lt;EOMONTH($A105,0)+1)
)</f>
        <v>0</v>
      </c>
      <c r="BP105" s="166" cm="1">
        <f t="array" ref="BP105">SUMPRODUCT(
  IFERROR(--desp[valor],0)*
  (desp[nucleo]="UP POMPEIA")*
  (desp[categoria]=BP$7)*
  (desp[data.pagamento]&gt;=$A105)*
  (desp[data.pagamento]&lt;EOMONTH($A105,0)+1)
)</f>
        <v>0</v>
      </c>
      <c r="BQ105" s="166" cm="1">
        <f t="array" ref="BQ105">SUMPRODUCT(
  IFERROR(--desp[valor],0)*
  (desp[nucleo]="UP POMPEIA")*
  (desp[categoria]=BQ$7)*
  (desp[data.pagamento]&gt;=$A105)*
  (desp[data.pagamento]&lt;EOMONTH($A105,0)+1)
)</f>
        <v>0</v>
      </c>
      <c r="BR105" s="177">
        <f>COUNTIFS(
    estq[empresa], BR$6,
    estq[Data da venda / reserva], "&gt;=" &amp; $A105,
    estq[Data da venda / reserva], "&lt;"  &amp; EOMONTH($A105,0) + 1
)</f>
        <v>0</v>
      </c>
      <c r="BS105" s="178">
        <f ca="1">SUMIFS(rec.uni[2029-07-01],
INDIRECT("rec.uni[natureza]"),"pro.soluto",
INDIRECT("rec.uni[empresa]"),BS$6)</f>
        <v>0</v>
      </c>
      <c r="BT105" s="182">
        <f ca="1">SUMIFS(rec.uni[2029-07-01],
INDIRECT("rec.uni[natureza]"),"parcela.fin.total.ik",
INDIRECT("rec.uni[empresa]"),BT$6)</f>
        <v>0</v>
      </c>
      <c r="BU105" s="178">
        <f ca="1">SUMIFS(rec.uni[2029-07-01],
INDIRECT("rec.uni[natureza]"),"taxa.extra",
INDIRECT("rec.uni[empresa]"),BU$6)</f>
        <v>0</v>
      </c>
      <c r="BV105" s="166"/>
      <c r="BW105" s="166" cm="1">
        <f t="array" ref="BW105">SUMPRODUCT(
  IFERROR(--desp[valor],0)*
  (desp[nucleo]="UP SAUDE")*
  (desp[categoria]=BW$7)*
  (desp[data.pagamento]&gt;=$A105)*
  (desp[data.pagamento]&lt;EOMONTH($A105,0)+1)
)</f>
        <v>0</v>
      </c>
      <c r="BX105" s="166" cm="1">
        <f t="array" ref="BX105">SUMPRODUCT(
  IFERROR(--desp[valor],0)*
  (desp[nucleo]="UP SAUDE")*
  (desp[categoria]=BX$7)*
  (desp[data.pagamento]&gt;=$A105)*
  (desp[data.pagamento]&lt;EOMONTH($A105,0)+1)
)</f>
        <v>0</v>
      </c>
      <c r="BY105" s="166" cm="1">
        <f t="array" ref="BY105">SUMPRODUCT(
  IFERROR(--desp[valor],0)*
  (desp[nucleo]="UP SAUDE")*
  (desp[categoria]=BY$7)*
  (desp[data.pagamento]&gt;=$A105)*
  (desp[data.pagamento]&lt;EOMONTH($A105,0)+1)
)</f>
        <v>0</v>
      </c>
      <c r="BZ105" s="166" cm="1">
        <f t="array" ref="BZ105">SUMPRODUCT(
  IFERROR(--desp[valor],0)*
  (desp[nucleo]="UP SAUDE")*
  (desp[categoria]=BZ$7)*
  (desp[data.pagamento]&gt;=$A105)*
  (desp[data.pagamento]&lt;EOMONTH($A105,0)+1)
)</f>
        <v>0</v>
      </c>
      <c r="CA105" s="166" cm="1">
        <f t="array" ref="CA105">SUMPRODUCT(
  IFERROR(--desp[valor],0)*
  (desp[nucleo]="UP SAUDE")*
  (desp[categoria]=CA$7)*
  (desp[data.pagamento]&gt;=$A105)*
  (desp[data.pagamento]&lt;EOMONTH($A105,0)+1)
)</f>
        <v>0</v>
      </c>
      <c r="CB105" s="177">
        <f>COUNTIFS(
    estq[empresa], CB$6,
    estq[Data da venda / reserva], "&gt;=" &amp; $A105,
    estq[Data da venda / reserva], "&lt;"  &amp; EOMONTH($A105,0) + 1
)</f>
        <v>0</v>
      </c>
      <c r="CC105" s="178">
        <f ca="1">SUMIFS(rec.uni[2029-07-01],
INDIRECT("rec.uni[natureza]"),"pro.soluto",
INDIRECT("rec.uni[empresa]"),CC$6)</f>
        <v>0</v>
      </c>
      <c r="CD105" s="178">
        <f ca="1">SUMIFS(rec.uni[2029-07-01],
INDIRECT("rec.uni[natureza]"),"repasse.cef.obra",
INDIRECT("rec.uni[empresa]"),CD$6)</f>
        <v>0</v>
      </c>
      <c r="CE105" s="181">
        <f ca="1">SUMIFS(rec.uni[2029-07-01],
INDIRECT("rec.uni[natureza]"),"repasse.cef.terreno",
INDIRECT("rec.uni[empresa]"),CE$6)</f>
        <v>0</v>
      </c>
      <c r="CF105" s="182"/>
      <c r="CG105" s="178">
        <f ca="1">SUMIFS(rec.uni[2029-07-01],
INDIRECT("rec.uni[natureza]"),"taxa.extra",
INDIRECT("rec.uni[empresa]"),CG$6)</f>
        <v>0</v>
      </c>
      <c r="CH105" s="166"/>
      <c r="CI105" s="166" cm="1">
        <f t="array" ref="CI105">SUMPRODUCT(
  IFERROR(--desp[valor],0)*
  (desp[nucleo]="UP ESTAÇÃO VILA SONIA")*
  (desp[categoria]=CI$7)*
  (desp[data.pagamento]&gt;=$A105)*
  (desp[data.pagamento]&lt;EOMONTH($A105,0)+1)
)</f>
        <v>0</v>
      </c>
      <c r="CJ105" s="166" cm="1">
        <f t="array" ref="CJ105">SUMPRODUCT(
  IFERROR(--desp[valor],0)*
  (desp[nucleo]="UP ESTAÇÃO VILA SONIA")*
  (desp[categoria]=CJ$7)*
  (desp[data.pagamento]&gt;=$A105)*
  (desp[data.pagamento]&lt;EOMONTH($A105,0)+1)
)</f>
        <v>0</v>
      </c>
      <c r="CK105" s="166" cm="1">
        <f t="array" ref="CK105">SUMPRODUCT(
  IFERROR(--desp[valor],0)*
  (desp[nucleo]="UP ESTAÇÃO VILA SONIA")*
  (desp[categoria]=CK$7)*
  (desp[data.pagamento]&gt;=$A105)*
  (desp[data.pagamento]&lt;EOMONTH($A105,0)+1)
)</f>
        <v>0</v>
      </c>
      <c r="CL105" s="166" cm="1">
        <f t="array" ref="CL105">SUMPRODUCT(
  IFERROR(--desp[valor],0)*
  (desp[nucleo]="UP ESTAÇÃO VILA SONIA")*
  (desp[categoria]=CL$7)*
  (desp[data.pagamento]&gt;=$A105)*
  (desp[data.pagamento]&lt;EOMONTH($A105,0)+1)
)</f>
        <v>0</v>
      </c>
      <c r="CM105" s="166" cm="1">
        <f t="array" ref="CM105">SUMPRODUCT(
  IFERROR(--desp[valor],0)*
  (desp[nucleo]="UP ESTAÇÃO VILA SONIA")*
  (desp[categoria]=CM$7)*
  (desp[data.pagamento]&gt;=$A105)*
  (desp[data.pagamento]&lt;EOMONTH($A105,0)+1)
)</f>
        <v>0</v>
      </c>
      <c r="CN105" s="177">
        <f>COUNTIFS(
    estq[empresa], CN$6,
    estq[Data da venda / reserva], "&gt;=" &amp; $A105,
    estq[Data da venda / reserva], "&lt;"  &amp; EOMONTH($A105,0) + 1
)</f>
        <v>0</v>
      </c>
      <c r="CO105" s="178">
        <f ca="1">SUMIFS(rec.uni[2029-07-01],
INDIRECT("rec.uni[natureza]"),"pro.soluto",
INDIRECT("rec.uni[empresa]"),CO$6)</f>
        <v>0</v>
      </c>
      <c r="CP105" s="178">
        <f ca="1">SUMIFS(rec.uni[2029-07-01],
INDIRECT("rec.uni[natureza]"),"repasse.cef.obra",
INDIRECT("rec.uni[empresa]"),CP$6)</f>
        <v>0</v>
      </c>
      <c r="CQ105" s="181">
        <f ca="1">SUMIFS(rec.uni[2029-07-01],
INDIRECT("rec.uni[natureza]"),"repasse.cef.terreno",
INDIRECT("rec.uni[empresa]"),CQ$6)</f>
        <v>0</v>
      </c>
      <c r="CR105" s="182"/>
      <c r="CS105" s="178">
        <f ca="1">SUMIFS(rec.uni[2029-07-01],
INDIRECT("rec.uni[natureza]"),"taxa.extra",
INDIRECT("rec.uni[empresa]"),CS$6)</f>
        <v>0</v>
      </c>
      <c r="CT105" s="166"/>
      <c r="CU105" s="166" cm="1">
        <f t="array" ref="CU105">SUMPRODUCT(
  IFERROR(--desp[valor],0)*
  (desp[nucleo]="UP MOVE VILA SONIA")*
  (desp[categoria]=CU$7)*
  (desp[data.pagamento]&gt;=$A105)*
  (desp[data.pagamento]&lt;EOMONTH($A105,0)+1)
)</f>
        <v>0</v>
      </c>
      <c r="CV105" s="166" cm="1">
        <f t="array" ref="CV105">SUMPRODUCT(
  IFERROR(--desp[valor],0)*
  (desp[nucleo]="UP MOVE VILA SONIA")*
  (desp[categoria]=CV$7)*
  (desp[data.pagamento]&gt;=$A105)*
  (desp[data.pagamento]&lt;EOMONTH($A105,0)+1)
)</f>
        <v>0</v>
      </c>
      <c r="CW105" s="166" cm="1">
        <f t="array" ref="CW105">SUMPRODUCT(
  IFERROR(--desp[valor],0)*
  (desp[nucleo]="UP MOVE VILA SONIA")*
  (desp[categoria]=CW$7)*
  (desp[data.pagamento]&gt;=$A105)*
  (desp[data.pagamento]&lt;EOMONTH($A105,0)+1)
)</f>
        <v>0</v>
      </c>
      <c r="CX105" s="166" cm="1">
        <f t="array" ref="CX105">SUMPRODUCT(
  IFERROR(--desp[valor],0)*
  (desp[nucleo]="UP MOVE VILA SONIA")*
  (desp[categoria]=CX$7)*
  (desp[data.pagamento]&gt;=$A105)*
  (desp[data.pagamento]&lt;EOMONTH($A105,0)+1)
)</f>
        <v>0</v>
      </c>
      <c r="CY105" s="291" cm="1">
        <f t="array" ref="CY105">SUMPRODUCT(
  IFERROR(--desp[valor],0)*
  (desp[nucleo]="UP MOVE VILA SONIA")*
  (desp[categoria]=CY$7)*
  (desp[data.pagamento]&gt;=$A105)*
  (desp[data.pagamento]&lt;EOMONTH($A105,0)+1)
)</f>
        <v>0</v>
      </c>
    </row>
    <row r="106" spans="1:103" x14ac:dyDescent="0.25">
      <c r="A106" s="176">
        <v>47331</v>
      </c>
      <c r="B106" s="177">
        <f>COUNTIFS(
    estq[empresa], B$6,
    estq[Data da venda / reserva], "&gt;=" &amp; $A106,
    estq[Data da venda / reserva], "&lt;"  &amp; EOMONTH($A106,0) + 1
)</f>
        <v>0</v>
      </c>
      <c r="C106" s="178">
        <f ca="1">SUMIFS(rec.uni[2029-08-01],
INDIRECT("rec.uni[natureza]"),"pro.soluto",
INDIRECT("rec.uni[empresa]"),C$6)</f>
        <v>0</v>
      </c>
      <c r="D106" s="178">
        <f ca="1">SUMIFS(rec.uni[2029-08-01],
INDIRECT("rec.uni[natureza]"),"repasse.cef.obra",
INDIRECT("rec.uni[empresa]"),D$6)</f>
        <v>0</v>
      </c>
      <c r="E106" s="178">
        <f ca="1">SUMIFS(rec.uni[2029-08-01],
INDIRECT("rec.uni[natureza]"),"repasse.cef.terreno",
INDIRECT("rec.uni[empresa]"),E$6)</f>
        <v>0</v>
      </c>
      <c r="F106" s="182"/>
      <c r="G106" s="178">
        <f ca="1">SUMIFS(rec.uni[2029-08-01],
INDIRECT("rec.uni[natureza]"),"taxa.extra",
INDIRECT("rec.uni[empresa]"),G$6)</f>
        <v>0</v>
      </c>
      <c r="H106" s="166"/>
      <c r="I106" s="166" cm="1">
        <f t="array" ref="I106">SUMPRODUCT(
  IFERROR(--desp[valor],0)*
  (desp[nucleo]="UP JARDIM PRUDENCIA")*
  (desp[categoria]=I$7)*
  (desp[data.pagamento]&gt;=$A106)*
  (desp[data.pagamento]&lt;EOMONTH($A106,0)+1)
)</f>
        <v>0</v>
      </c>
      <c r="J106" s="166" cm="1">
        <f t="array" ref="J106">SUMPRODUCT(
  IFERROR(--desp[valor],0)*
  (desp[nucleo]="UP JARDIM PRUDENCIA")*
  (desp[categoria]=J$7)*
  (desp[data.pagamento]&gt;=$A106)*
  (desp[data.pagamento]&lt;EOMONTH($A106,0)+1)
)</f>
        <v>0</v>
      </c>
      <c r="K106" s="166" cm="1">
        <f t="array" ref="K106">SUMPRODUCT(
  IFERROR(--desp[valor],0)*
  (desp[nucleo]="UP JARDIM PRUDENCIA")*
  (desp[categoria]=K$7)*
  (desp[data.pagamento]&gt;=$A106)*
  (desp[data.pagamento]&lt;EOMONTH($A106,0)+1)
)</f>
        <v>0</v>
      </c>
      <c r="L106" s="166" cm="1">
        <f t="array" ref="L106">SUMPRODUCT(
  IFERROR(--desp[valor],0)*
  (desp[nucleo]="UP JARDIM PRUDENCIA")*
  (desp[categoria]=L$7)*
  (desp[data.pagamento]&gt;=$A106)*
  (desp[data.pagamento]&lt;EOMONTH($A106,0)+1)
)</f>
        <v>0</v>
      </c>
      <c r="M106" s="166" cm="1">
        <f t="array" ref="M106">SUMPRODUCT(
  IFERROR(--desp[valor],0)*
  (desp[nucleo]="UP JARDIM PRUDENCIA")*
  (desp[categoria]=M$7)*
  (desp[data.pagamento]&gt;=$A106)*
  (desp[data.pagamento]&lt;EOMONTH($A106,0)+1)
)</f>
        <v>0</v>
      </c>
      <c r="N106" s="177">
        <f>COUNTIFS(
    estq[empresa], N$6,
    estq[Data da venda / reserva], "&gt;=" &amp; $A106,
    estq[Data da venda / reserva], "&lt;"  &amp; EOMONTH($A106,0) + 1
)</f>
        <v>0</v>
      </c>
      <c r="O106" s="178">
        <f ca="1">SUMIFS(rec.uni[2029-08-01],
INDIRECT("rec.uni[natureza]"),"pro.soluto",
INDIRECT("rec.uni[empresa]"),O$6)</f>
        <v>0</v>
      </c>
      <c r="P106" s="178">
        <f ca="1">SUMIFS(rec.uni[2029-08-01],
INDIRECT("rec.uni[natureza]"),"repasse.cef.obra",
INDIRECT("rec.uni[empresa]"),P$6)</f>
        <v>0</v>
      </c>
      <c r="Q106" s="178">
        <f ca="1">SUMIFS(rec.uni[2029-08-01],
INDIRECT("rec.uni[natureza]"),"repasse.cef.terreno",
INDIRECT("rec.uni[empresa]"),Q$6)</f>
        <v>0</v>
      </c>
      <c r="R106" s="182"/>
      <c r="S106" s="178">
        <f ca="1">SUMIFS(rec.uni[2029-08-01],
INDIRECT("rec.uni[natureza]"),"taxa.extra",
INDIRECT("rec.uni[empresa]"),S$6)</f>
        <v>0</v>
      </c>
      <c r="T106" s="166"/>
      <c r="U106" s="166" cm="1">
        <f t="array" ref="U106">SUMPRODUCT(
  IFERROR(--desp[valor],0)*
  (desp[nucleo]="UP VILA SONIA")*
  (desp[categoria]=U$7)*
  (desp[data.pagamento]&gt;=$A106)*
  (desp[data.pagamento]&lt;EOMONTH($A106,0)+1)
)</f>
        <v>0</v>
      </c>
      <c r="V106" s="166" cm="1">
        <f t="array" ref="V106">SUMPRODUCT(
  IFERROR(--desp[valor],0)*
  (desp[nucleo]="UP VILA SONIA")*
  (desp[categoria]=V$7)*
  (desp[data.pagamento]&gt;=$A106)*
  (desp[data.pagamento]&lt;EOMONTH($A106,0)+1)
)</f>
        <v>0</v>
      </c>
      <c r="W106" s="166" cm="1">
        <f t="array" ref="W106">SUMPRODUCT(
  IFERROR(--desp[valor],0)*
  (desp[nucleo]="UP VILA SONIA")*
  (desp[categoria]=W$7)*
  (desp[data.pagamento]&gt;=$A106)*
  (desp[data.pagamento]&lt;EOMONTH($A106,0)+1)
)</f>
        <v>0</v>
      </c>
      <c r="X106" s="166" cm="1">
        <f t="array" ref="X106">SUMPRODUCT(
  IFERROR(--desp[valor],0)*
  (desp[nucleo]="UP VILA SONIA")*
  (desp[categoria]=X$7)*
  (desp[data.pagamento]&gt;=$A106)*
  (desp[data.pagamento]&lt;EOMONTH($A106,0)+1)
)</f>
        <v>0</v>
      </c>
      <c r="Y106" s="166" cm="1">
        <f t="array" ref="Y106">SUMPRODUCT(
  IFERROR(--desp[valor],0)*
  (desp[nucleo]="UP VILA SONIA")*
  (desp[categoria]=Y$7)*
  (desp[data.pagamento]&gt;=$A106)*
  (desp[data.pagamento]&lt;EOMONTH($A106,0)+1)
)</f>
        <v>0</v>
      </c>
      <c r="Z106" s="177">
        <f>COUNTIFS(
    estq[empresa], Z$6,
    estq[Data da venda / reserva], "&gt;=" &amp; $A106,
    estq[Data da venda / reserva], "&lt;"  &amp; EOMONTH($A106,0) + 1
)</f>
        <v>0</v>
      </c>
      <c r="AA106" s="178">
        <f ca="1">SUMIFS(rec.uni[2029-08-01],
INDIRECT("rec.uni[natureza]"),"pro.soluto",
INDIRECT("rec.uni[empresa]"),AA$6)</f>
        <v>0</v>
      </c>
      <c r="AB106" s="182">
        <f ca="1">SUMIFS(rec.uni[2029-08-01],
INDIRECT("rec.uni[natureza]"),"parcela.fin.total.ik",
INDIRECT("rec.uni[empresa]"),AB$6)</f>
        <v>0</v>
      </c>
      <c r="AC106" s="178">
        <f ca="1">SUMIFS(rec.uni[2029-08-01],
INDIRECT("rec.uni[natureza]"),"taxa.extra",
INDIRECT("rec.uni[empresa]"),AC$6)</f>
        <v>0</v>
      </c>
      <c r="AD106" s="166"/>
      <c r="AE106" s="166" cm="1">
        <f t="array" ref="AE106">SUMPRODUCT(
  IFERROR(--desp[valor],0)*
  (desp[nucleo]="UP CAMPO BELO")*
  (desp[categoria]=AE$7)*
  (desp[data.pagamento]&gt;=$A106)*
  (desp[data.pagamento]&lt;EOMONTH($A106,0)+1)
)</f>
        <v>0</v>
      </c>
      <c r="AF106" s="166" cm="1">
        <f t="array" ref="AF106">SUMPRODUCT(
  IFERROR(--desp[valor],0)*
  (desp[nucleo]="UP CAMPO BELO")*
  (desp[categoria]=AF$7)*
  (desp[data.pagamento]&gt;=$A106)*
  (desp[data.pagamento]&lt;EOMONTH($A106,0)+1)
)</f>
        <v>0</v>
      </c>
      <c r="AG106" s="166" cm="1">
        <f t="array" ref="AG106">SUMPRODUCT(
  IFERROR(--desp[valor],0)*
  (desp[nucleo]="UP CAMPO BELO")*
  (desp[categoria]=AG$7)*
  (desp[data.pagamento]&gt;=$A106)*
  (desp[data.pagamento]&lt;EOMONTH($A106,0)+1)
)</f>
        <v>0</v>
      </c>
      <c r="AH106" s="166" cm="1">
        <f t="array" ref="AH106">SUMPRODUCT(
  IFERROR(--desp[valor],0)*
  (desp[nucleo]="UP CAMPO BELO")*
  (desp[categoria]=AH$7)*
  (desp[data.pagamento]&gt;=$A106)*
  (desp[data.pagamento]&lt;EOMONTH($A106,0)+1)
)</f>
        <v>0</v>
      </c>
      <c r="AI106" s="166" cm="1">
        <f t="array" ref="AI106">SUMPRODUCT(
  IFERROR(--desp[valor],0)*
  (desp[nucleo]="UP CAMPO BELO")*
  (desp[categoria]=AI$7)*
  (desp[data.pagamento]&gt;=$A106)*
  (desp[data.pagamento]&lt;EOMONTH($A106,0)+1)
)</f>
        <v>0</v>
      </c>
      <c r="AJ106" s="177">
        <f>COUNTIFS(
    estq[empresa], AJ$6,
    estq[Data da venda / reserva], "&gt;=" &amp; $A106,
    estq[Data da venda / reserva], "&lt;"  &amp; EOMONTH($A106,0) + 1
)</f>
        <v>0</v>
      </c>
      <c r="AK106" s="178">
        <f ca="1">SUMIFS(rec.uni[2029-08-01],
INDIRECT("rec.uni[natureza]"),"pro.soluto",
INDIRECT("rec.uni[empresa]"),AK$6)</f>
        <v>0</v>
      </c>
      <c r="AL106" s="178">
        <f ca="1">SUMIFS(rec.uni[2029-08-01],
INDIRECT("rec.uni[natureza]"),"repasse.cef.obra",
INDIRECT("rec.uni[empresa]"),AL$6)</f>
        <v>0</v>
      </c>
      <c r="AM106" s="181">
        <f ca="1">SUMIFS(rec.uni[2029-08-01],
INDIRECT("rec.uni[natureza]"),"repasse.cef.terreno",
INDIRECT("rec.uni[empresa]"),AM$6)</f>
        <v>0</v>
      </c>
      <c r="AN106" s="182"/>
      <c r="AO106" s="178">
        <f ca="1">SUMIFS(rec.uni[2029-08-01],
INDIRECT("rec.uni[natureza]"),"taxa.extra",
INDIRECT("rec.uni[empresa]"),AO$6)</f>
        <v>0</v>
      </c>
      <c r="AP106" s="166"/>
      <c r="AQ106" s="166" cm="1">
        <f t="array" ref="AQ106">SUMPRODUCT(
  IFERROR(--desp[valor],0)*
  (desp[nucleo]="UP SELECT VILA SONIA")*
  (desp[categoria]=AQ$7)*
  (desp[data.pagamento]&gt;=$A106)*
  (desp[data.pagamento]&lt;EOMONTH($A106,0)+1)
)</f>
        <v>0</v>
      </c>
      <c r="AR106" s="166" cm="1">
        <f t="array" ref="AR106">SUMPRODUCT(
  IFERROR(--desp[valor],0)*
  (desp[nucleo]="UP SELECT VILA SONIA")*
  (desp[categoria]=AR$7)*
  (desp[data.pagamento]&gt;=$A106)*
  (desp[data.pagamento]&lt;EOMONTH($A106,0)+1)
)</f>
        <v>0</v>
      </c>
      <c r="AS106" s="166" cm="1">
        <f t="array" ref="AS106">SUMPRODUCT(
  IFERROR(--desp[valor],0)*
  (desp[nucleo]="UP SELECT VILA SONIA")*
  (desp[categoria]=AS$7)*
  (desp[data.pagamento]&gt;=$A106)*
  (desp[data.pagamento]&lt;EOMONTH($A106,0)+1)
)</f>
        <v>0</v>
      </c>
      <c r="AT106" s="166" cm="1">
        <f t="array" ref="AT106">SUMPRODUCT(
  IFERROR(--desp[valor],0)*
  (desp[nucleo]="UP SELECT VILA SONIA")*
  (desp[categoria]=AT$7)*
  (desp[data.pagamento]&gt;=$A106)*
  (desp[data.pagamento]&lt;EOMONTH($A106,0)+1)
)</f>
        <v>0</v>
      </c>
      <c r="AU106" s="166" cm="1">
        <f t="array" ref="AU106">SUMPRODUCT(
  IFERROR(--desp[valor],0)*
  (desp[nucleo]="UP SELECT VILA SONIA")*
  (desp[categoria]=AU$7)*
  (desp[data.pagamento]&gt;=$A106)*
  (desp[data.pagamento]&lt;EOMONTH($A106,0)+1)
)</f>
        <v>0</v>
      </c>
      <c r="AV106" s="177">
        <f>COUNTIFS(
    estq[empresa], AV$6,
    estq[Data da venda / reserva], "&gt;=" &amp; $A106,
    estq[Data da venda / reserva], "&lt;"  &amp; EOMONTH($A106,0) + 1
)</f>
        <v>0</v>
      </c>
      <c r="AW106" s="178">
        <f ca="1">SUMIFS(rec.uni[2029-08-01],
INDIRECT("rec.uni[natureza]"),"pro.soluto",
INDIRECT("rec.uni[empresa]"),AW$6)</f>
        <v>0</v>
      </c>
      <c r="AX106" s="178">
        <f ca="1">SUMIFS(rec.uni[2029-08-01],
INDIRECT("rec.uni[natureza]"),"repasse.cef.obra",
INDIRECT("rec.uni[empresa]"),AX$6)</f>
        <v>0</v>
      </c>
      <c r="AY106" s="181">
        <f ca="1">SUMIFS(rec.uni[2029-08-01],
INDIRECT("rec.uni[natureza]"),"repasse.cef.terreno",
INDIRECT("rec.uni[empresa]"),AY$6)</f>
        <v>0</v>
      </c>
      <c r="AZ106" s="182"/>
      <c r="BA106" s="178">
        <f ca="1">SUMIFS(rec.uni[2029-08-01],
INDIRECT("rec.uni[natureza]"),"taxa.extra",
INDIRECT("rec.uni[empresa]"),BA$6)</f>
        <v>0</v>
      </c>
      <c r="BB106" s="166"/>
      <c r="BC106" s="166" cm="1">
        <f t="array" ref="BC106">SUMPRODUCT(
  IFERROR(--desp[valor],0)*
  (desp[nucleo]="UP ESTAÇÃO SÃO LUCAS")*
  (desp[categoria]=BC$7)*
  (desp[data.pagamento]&gt;=$A106)*
  (desp[data.pagamento]&lt;EOMONTH($A106,0)+1)
)</f>
        <v>0</v>
      </c>
      <c r="BD106" s="166" cm="1">
        <f t="array" ref="BD106">SUMPRODUCT(
  IFERROR(--desp[valor],0)*
  (desp[nucleo]="UP ESTAÇÃO SÃO LUCAS")*
  (desp[categoria]=BD$7)*
  (desp[data.pagamento]&gt;=$A106)*
  (desp[data.pagamento]&lt;EOMONTH($A106,0)+1)
)</f>
        <v>0</v>
      </c>
      <c r="BE106" s="166" cm="1">
        <f t="array" ref="BE106">SUMPRODUCT(
  IFERROR(--desp[valor],0)*
  (desp[nucleo]="UP ESTAÇÃO SÃO LUCAS")*
  (desp[categoria]=BE$7)*
  (desp[data.pagamento]&gt;=$A106)*
  (desp[data.pagamento]&lt;EOMONTH($A106,0)+1)
)</f>
        <v>0</v>
      </c>
      <c r="BF106" s="166" cm="1">
        <f t="array" ref="BF106">SUMPRODUCT(
  IFERROR(--desp[valor],0)*
  (desp[nucleo]="UP ESTAÇÃO SÃO LUCAS")*
  (desp[categoria]=BF$7)*
  (desp[data.pagamento]&gt;=$A106)*
  (desp[data.pagamento]&lt;EOMONTH($A106,0)+1)
)</f>
        <v>0</v>
      </c>
      <c r="BG106" s="166" cm="1">
        <f t="array" ref="BG106">SUMPRODUCT(
  IFERROR(--desp[valor],0)*
  (desp[nucleo]="UP ESTAÇÃO SÃO LUCAS")*
  (desp[categoria]=BG$7)*
  (desp[data.pagamento]&gt;=$A106)*
  (desp[data.pagamento]&lt;EOMONTH($A106,0)+1)
)</f>
        <v>0</v>
      </c>
      <c r="BH106" s="177">
        <f>COUNTIFS(
    estq[empresa], BH$6,
    estq[Data da venda / reserva], "&gt;=" &amp; $A106,
    estq[Data da venda / reserva], "&lt;"  &amp; EOMONTH($A106,0) + 1
)</f>
        <v>0</v>
      </c>
      <c r="BI106" s="178">
        <f ca="1">SUMIFS(rec.uni[2029-08-01],
INDIRECT("rec.uni[natureza]"),"pro.soluto",
INDIRECT("rec.uni[empresa]"),BI$6)</f>
        <v>0</v>
      </c>
      <c r="BJ106" s="182">
        <f ca="1">SUMIFS(rec.uni[2029-08-01],
INDIRECT("rec.uni[natureza]"),"parcela.fin.total.ik",
INDIRECT("rec.uni[empresa]"),BJ$6)</f>
        <v>0</v>
      </c>
      <c r="BK106" s="178">
        <f ca="1">SUMIFS(rec.uni[2029-08-01],
INDIRECT("rec.uni[natureza]"),"taxa.extra",
INDIRECT("rec.uni[empresa]"),BK$6)</f>
        <v>0</v>
      </c>
      <c r="BL106" s="166"/>
      <c r="BM106" s="166" cm="1">
        <f t="array" ref="BM106">SUMPRODUCT(
  IFERROR(--desp[valor],0)*
  (desp[nucleo]="UP POMPEIA")*
  (desp[categoria]=BM$7)*
  (desp[data.pagamento]&gt;=$A106)*
  (desp[data.pagamento]&lt;EOMONTH($A106,0)+1)
)</f>
        <v>0</v>
      </c>
      <c r="BN106" s="166" cm="1">
        <f t="array" ref="BN106">SUMPRODUCT(
  IFERROR(--desp[valor],0)*
  (desp[nucleo]="UP POMPEIA")*
  (desp[categoria]=BN$7)*
  (desp[data.pagamento]&gt;=$A106)*
  (desp[data.pagamento]&lt;EOMONTH($A106,0)+1)
)</f>
        <v>0</v>
      </c>
      <c r="BO106" s="166" cm="1">
        <f t="array" ref="BO106">SUMPRODUCT(
  IFERROR(--desp[valor],0)*
  (desp[nucleo]="UP POMPEIA")*
  (desp[categoria]=BO$7)*
  (desp[data.pagamento]&gt;=$A106)*
  (desp[data.pagamento]&lt;EOMONTH($A106,0)+1)
)</f>
        <v>0</v>
      </c>
      <c r="BP106" s="166" cm="1">
        <f t="array" ref="BP106">SUMPRODUCT(
  IFERROR(--desp[valor],0)*
  (desp[nucleo]="UP POMPEIA")*
  (desp[categoria]=BP$7)*
  (desp[data.pagamento]&gt;=$A106)*
  (desp[data.pagamento]&lt;EOMONTH($A106,0)+1)
)</f>
        <v>0</v>
      </c>
      <c r="BQ106" s="166" cm="1">
        <f t="array" ref="BQ106">SUMPRODUCT(
  IFERROR(--desp[valor],0)*
  (desp[nucleo]="UP POMPEIA")*
  (desp[categoria]=BQ$7)*
  (desp[data.pagamento]&gt;=$A106)*
  (desp[data.pagamento]&lt;EOMONTH($A106,0)+1)
)</f>
        <v>0</v>
      </c>
      <c r="BR106" s="177">
        <f>COUNTIFS(
    estq[empresa], BR$6,
    estq[Data da venda / reserva], "&gt;=" &amp; $A106,
    estq[Data da venda / reserva], "&lt;"  &amp; EOMONTH($A106,0) + 1
)</f>
        <v>0</v>
      </c>
      <c r="BS106" s="178">
        <f ca="1">SUMIFS(rec.uni[2029-08-01],
INDIRECT("rec.uni[natureza]"),"pro.soluto",
INDIRECT("rec.uni[empresa]"),BS$6)</f>
        <v>0</v>
      </c>
      <c r="BT106" s="182">
        <f ca="1">SUMIFS(rec.uni[2029-08-01],
INDIRECT("rec.uni[natureza]"),"parcela.fin.total.ik",
INDIRECT("rec.uni[empresa]"),BT$6)</f>
        <v>0</v>
      </c>
      <c r="BU106" s="178">
        <f ca="1">SUMIFS(rec.uni[2029-08-01],
INDIRECT("rec.uni[natureza]"),"taxa.extra",
INDIRECT("rec.uni[empresa]"),BU$6)</f>
        <v>0</v>
      </c>
      <c r="BV106" s="166"/>
      <c r="BW106" s="166" cm="1">
        <f t="array" ref="BW106">SUMPRODUCT(
  IFERROR(--desp[valor],0)*
  (desp[nucleo]="UP SAUDE")*
  (desp[categoria]=BW$7)*
  (desp[data.pagamento]&gt;=$A106)*
  (desp[data.pagamento]&lt;EOMONTH($A106,0)+1)
)</f>
        <v>0</v>
      </c>
      <c r="BX106" s="166" cm="1">
        <f t="array" ref="BX106">SUMPRODUCT(
  IFERROR(--desp[valor],0)*
  (desp[nucleo]="UP SAUDE")*
  (desp[categoria]=BX$7)*
  (desp[data.pagamento]&gt;=$A106)*
  (desp[data.pagamento]&lt;EOMONTH($A106,0)+1)
)</f>
        <v>0</v>
      </c>
      <c r="BY106" s="166" cm="1">
        <f t="array" ref="BY106">SUMPRODUCT(
  IFERROR(--desp[valor],0)*
  (desp[nucleo]="UP SAUDE")*
  (desp[categoria]=BY$7)*
  (desp[data.pagamento]&gt;=$A106)*
  (desp[data.pagamento]&lt;EOMONTH($A106,0)+1)
)</f>
        <v>0</v>
      </c>
      <c r="BZ106" s="166" cm="1">
        <f t="array" ref="BZ106">SUMPRODUCT(
  IFERROR(--desp[valor],0)*
  (desp[nucleo]="UP SAUDE")*
  (desp[categoria]=BZ$7)*
  (desp[data.pagamento]&gt;=$A106)*
  (desp[data.pagamento]&lt;EOMONTH($A106,0)+1)
)</f>
        <v>0</v>
      </c>
      <c r="CA106" s="166" cm="1">
        <f t="array" ref="CA106">SUMPRODUCT(
  IFERROR(--desp[valor],0)*
  (desp[nucleo]="UP SAUDE")*
  (desp[categoria]=CA$7)*
  (desp[data.pagamento]&gt;=$A106)*
  (desp[data.pagamento]&lt;EOMONTH($A106,0)+1)
)</f>
        <v>0</v>
      </c>
      <c r="CB106" s="177">
        <f>COUNTIFS(
    estq[empresa], CB$6,
    estq[Data da venda / reserva], "&gt;=" &amp; $A106,
    estq[Data da venda / reserva], "&lt;"  &amp; EOMONTH($A106,0) + 1
)</f>
        <v>0</v>
      </c>
      <c r="CC106" s="178">
        <f ca="1">SUMIFS(rec.uni[2029-08-01],
INDIRECT("rec.uni[natureza]"),"pro.soluto",
INDIRECT("rec.uni[empresa]"),CC$6)</f>
        <v>0</v>
      </c>
      <c r="CD106" s="178">
        <f ca="1">SUMIFS(rec.uni[2029-08-01],
INDIRECT("rec.uni[natureza]"),"repasse.cef.obra",
INDIRECT("rec.uni[empresa]"),CD$6)</f>
        <v>0</v>
      </c>
      <c r="CE106" s="181">
        <f ca="1">SUMIFS(rec.uni[2029-08-01],
INDIRECT("rec.uni[natureza]"),"repasse.cef.terreno",
INDIRECT("rec.uni[empresa]"),CE$6)</f>
        <v>0</v>
      </c>
      <c r="CF106" s="182"/>
      <c r="CG106" s="178">
        <f ca="1">SUMIFS(rec.uni[2029-08-01],
INDIRECT("rec.uni[natureza]"),"taxa.extra",
INDIRECT("rec.uni[empresa]"),CG$6)</f>
        <v>0</v>
      </c>
      <c r="CH106" s="166"/>
      <c r="CI106" s="166" cm="1">
        <f t="array" ref="CI106">SUMPRODUCT(
  IFERROR(--desp[valor],0)*
  (desp[nucleo]="UP ESTAÇÃO VILA SONIA")*
  (desp[categoria]=CI$7)*
  (desp[data.pagamento]&gt;=$A106)*
  (desp[data.pagamento]&lt;EOMONTH($A106,0)+1)
)</f>
        <v>0</v>
      </c>
      <c r="CJ106" s="166" cm="1">
        <f t="array" ref="CJ106">SUMPRODUCT(
  IFERROR(--desp[valor],0)*
  (desp[nucleo]="UP ESTAÇÃO VILA SONIA")*
  (desp[categoria]=CJ$7)*
  (desp[data.pagamento]&gt;=$A106)*
  (desp[data.pagamento]&lt;EOMONTH($A106,0)+1)
)</f>
        <v>0</v>
      </c>
      <c r="CK106" s="166" cm="1">
        <f t="array" ref="CK106">SUMPRODUCT(
  IFERROR(--desp[valor],0)*
  (desp[nucleo]="UP ESTAÇÃO VILA SONIA")*
  (desp[categoria]=CK$7)*
  (desp[data.pagamento]&gt;=$A106)*
  (desp[data.pagamento]&lt;EOMONTH($A106,0)+1)
)</f>
        <v>0</v>
      </c>
      <c r="CL106" s="166" cm="1">
        <f t="array" ref="CL106">SUMPRODUCT(
  IFERROR(--desp[valor],0)*
  (desp[nucleo]="UP ESTAÇÃO VILA SONIA")*
  (desp[categoria]=CL$7)*
  (desp[data.pagamento]&gt;=$A106)*
  (desp[data.pagamento]&lt;EOMONTH($A106,0)+1)
)</f>
        <v>0</v>
      </c>
      <c r="CM106" s="166" cm="1">
        <f t="array" ref="CM106">SUMPRODUCT(
  IFERROR(--desp[valor],0)*
  (desp[nucleo]="UP ESTAÇÃO VILA SONIA")*
  (desp[categoria]=CM$7)*
  (desp[data.pagamento]&gt;=$A106)*
  (desp[data.pagamento]&lt;EOMONTH($A106,0)+1)
)</f>
        <v>0</v>
      </c>
      <c r="CN106" s="177">
        <f>COUNTIFS(
    estq[empresa], CN$6,
    estq[Data da venda / reserva], "&gt;=" &amp; $A106,
    estq[Data da venda / reserva], "&lt;"  &amp; EOMONTH($A106,0) + 1
)</f>
        <v>0</v>
      </c>
      <c r="CO106" s="178">
        <f ca="1">SUMIFS(rec.uni[2029-08-01],
INDIRECT("rec.uni[natureza]"),"pro.soluto",
INDIRECT("rec.uni[empresa]"),CO$6)</f>
        <v>0</v>
      </c>
      <c r="CP106" s="178">
        <f ca="1">SUMIFS(rec.uni[2029-08-01],
INDIRECT("rec.uni[natureza]"),"repasse.cef.obra",
INDIRECT("rec.uni[empresa]"),CP$6)</f>
        <v>0</v>
      </c>
      <c r="CQ106" s="181">
        <f ca="1">SUMIFS(rec.uni[2029-08-01],
INDIRECT("rec.uni[natureza]"),"repasse.cef.terreno",
INDIRECT("rec.uni[empresa]"),CQ$6)</f>
        <v>0</v>
      </c>
      <c r="CR106" s="182"/>
      <c r="CS106" s="178">
        <f ca="1">SUMIFS(rec.uni[2029-08-01],
INDIRECT("rec.uni[natureza]"),"taxa.extra",
INDIRECT("rec.uni[empresa]"),CS$6)</f>
        <v>0</v>
      </c>
      <c r="CT106" s="166"/>
      <c r="CU106" s="166" cm="1">
        <f t="array" ref="CU106">SUMPRODUCT(
  IFERROR(--desp[valor],0)*
  (desp[nucleo]="UP MOVE VILA SONIA")*
  (desp[categoria]=CU$7)*
  (desp[data.pagamento]&gt;=$A106)*
  (desp[data.pagamento]&lt;EOMONTH($A106,0)+1)
)</f>
        <v>0</v>
      </c>
      <c r="CV106" s="166" cm="1">
        <f t="array" ref="CV106">SUMPRODUCT(
  IFERROR(--desp[valor],0)*
  (desp[nucleo]="UP MOVE VILA SONIA")*
  (desp[categoria]=CV$7)*
  (desp[data.pagamento]&gt;=$A106)*
  (desp[data.pagamento]&lt;EOMONTH($A106,0)+1)
)</f>
        <v>0</v>
      </c>
      <c r="CW106" s="166" cm="1">
        <f t="array" ref="CW106">SUMPRODUCT(
  IFERROR(--desp[valor],0)*
  (desp[nucleo]="UP MOVE VILA SONIA")*
  (desp[categoria]=CW$7)*
  (desp[data.pagamento]&gt;=$A106)*
  (desp[data.pagamento]&lt;EOMONTH($A106,0)+1)
)</f>
        <v>0</v>
      </c>
      <c r="CX106" s="166" cm="1">
        <f t="array" ref="CX106">SUMPRODUCT(
  IFERROR(--desp[valor],0)*
  (desp[nucleo]="UP MOVE VILA SONIA")*
  (desp[categoria]=CX$7)*
  (desp[data.pagamento]&gt;=$A106)*
  (desp[data.pagamento]&lt;EOMONTH($A106,0)+1)
)</f>
        <v>0</v>
      </c>
      <c r="CY106" s="291" cm="1">
        <f t="array" ref="CY106">SUMPRODUCT(
  IFERROR(--desp[valor],0)*
  (desp[nucleo]="UP MOVE VILA SONIA")*
  (desp[categoria]=CY$7)*
  (desp[data.pagamento]&gt;=$A106)*
  (desp[data.pagamento]&lt;EOMONTH($A106,0)+1)
)</f>
        <v>0</v>
      </c>
    </row>
    <row r="107" spans="1:103" x14ac:dyDescent="0.25">
      <c r="A107" s="176">
        <v>47362</v>
      </c>
      <c r="B107" s="177">
        <f>COUNTIFS(
    estq[empresa], B$6,
    estq[Data da venda / reserva], "&gt;=" &amp; $A107,
    estq[Data da venda / reserva], "&lt;"  &amp; EOMONTH($A107,0) + 1
)</f>
        <v>0</v>
      </c>
      <c r="C107" s="178">
        <f ca="1">SUMIFS(rec.uni[2029-09-01],
INDIRECT("rec.uni[natureza]"),"pro.soluto",
INDIRECT("rec.uni[empresa]"),C$6)</f>
        <v>0</v>
      </c>
      <c r="D107" s="178">
        <f ca="1">SUMIFS(rec.uni[2029-09-01],
INDIRECT("rec.uni[natureza]"),"repasse.cef.obra",
INDIRECT("rec.uni[empresa]"),D$6)</f>
        <v>0</v>
      </c>
      <c r="E107" s="178">
        <f ca="1">SUMIFS(rec.uni[2029-09-01],
INDIRECT("rec.uni[natureza]"),"repasse.cef.terreno",
INDIRECT("rec.uni[empresa]"),E$6)</f>
        <v>0</v>
      </c>
      <c r="F107" s="182"/>
      <c r="G107" s="178">
        <f ca="1">SUMIFS(rec.uni[2029-09-01],
INDIRECT("rec.uni[natureza]"),"taxa.extra",
INDIRECT("rec.uni[empresa]"),G$6)</f>
        <v>0</v>
      </c>
      <c r="H107" s="166"/>
      <c r="I107" s="166" cm="1">
        <f t="array" ref="I107">SUMPRODUCT(
  IFERROR(--desp[valor],0)*
  (desp[nucleo]="UP JARDIM PRUDENCIA")*
  (desp[categoria]=I$7)*
  (desp[data.pagamento]&gt;=$A107)*
  (desp[data.pagamento]&lt;EOMONTH($A107,0)+1)
)</f>
        <v>0</v>
      </c>
      <c r="J107" s="166" cm="1">
        <f t="array" ref="J107">SUMPRODUCT(
  IFERROR(--desp[valor],0)*
  (desp[nucleo]="UP JARDIM PRUDENCIA")*
  (desp[categoria]=J$7)*
  (desp[data.pagamento]&gt;=$A107)*
  (desp[data.pagamento]&lt;EOMONTH($A107,0)+1)
)</f>
        <v>0</v>
      </c>
      <c r="K107" s="166" cm="1">
        <f t="array" ref="K107">SUMPRODUCT(
  IFERROR(--desp[valor],0)*
  (desp[nucleo]="UP JARDIM PRUDENCIA")*
  (desp[categoria]=K$7)*
  (desp[data.pagamento]&gt;=$A107)*
  (desp[data.pagamento]&lt;EOMONTH($A107,0)+1)
)</f>
        <v>0</v>
      </c>
      <c r="L107" s="166" cm="1">
        <f t="array" ref="L107">SUMPRODUCT(
  IFERROR(--desp[valor],0)*
  (desp[nucleo]="UP JARDIM PRUDENCIA")*
  (desp[categoria]=L$7)*
  (desp[data.pagamento]&gt;=$A107)*
  (desp[data.pagamento]&lt;EOMONTH($A107,0)+1)
)</f>
        <v>0</v>
      </c>
      <c r="M107" s="166" cm="1">
        <f t="array" ref="M107">SUMPRODUCT(
  IFERROR(--desp[valor],0)*
  (desp[nucleo]="UP JARDIM PRUDENCIA")*
  (desp[categoria]=M$7)*
  (desp[data.pagamento]&gt;=$A107)*
  (desp[data.pagamento]&lt;EOMONTH($A107,0)+1)
)</f>
        <v>0</v>
      </c>
      <c r="N107" s="177">
        <f>COUNTIFS(
    estq[empresa], N$6,
    estq[Data da venda / reserva], "&gt;=" &amp; $A107,
    estq[Data da venda / reserva], "&lt;"  &amp; EOMONTH($A107,0) + 1
)</f>
        <v>0</v>
      </c>
      <c r="O107" s="178">
        <f ca="1">SUMIFS(rec.uni[2029-09-01],
INDIRECT("rec.uni[natureza]"),"pro.soluto",
INDIRECT("rec.uni[empresa]"),O$6)</f>
        <v>0</v>
      </c>
      <c r="P107" s="178">
        <f ca="1">SUMIFS(rec.uni[2029-09-01],
INDIRECT("rec.uni[natureza]"),"repasse.cef.obra",
INDIRECT("rec.uni[empresa]"),P$6)</f>
        <v>0</v>
      </c>
      <c r="Q107" s="178">
        <f ca="1">SUMIFS(rec.uni[2029-09-01],
INDIRECT("rec.uni[natureza]"),"repasse.cef.terreno",
INDIRECT("rec.uni[empresa]"),Q$6)</f>
        <v>0</v>
      </c>
      <c r="R107" s="182"/>
      <c r="S107" s="178">
        <f ca="1">SUMIFS(rec.uni[2029-09-01],
INDIRECT("rec.uni[natureza]"),"taxa.extra",
INDIRECT("rec.uni[empresa]"),S$6)</f>
        <v>0</v>
      </c>
      <c r="T107" s="166"/>
      <c r="U107" s="166" cm="1">
        <f t="array" ref="U107">SUMPRODUCT(
  IFERROR(--desp[valor],0)*
  (desp[nucleo]="UP VILA SONIA")*
  (desp[categoria]=U$7)*
  (desp[data.pagamento]&gt;=$A107)*
  (desp[data.pagamento]&lt;EOMONTH($A107,0)+1)
)</f>
        <v>0</v>
      </c>
      <c r="V107" s="166" cm="1">
        <f t="array" ref="V107">SUMPRODUCT(
  IFERROR(--desp[valor],0)*
  (desp[nucleo]="UP VILA SONIA")*
  (desp[categoria]=V$7)*
  (desp[data.pagamento]&gt;=$A107)*
  (desp[data.pagamento]&lt;EOMONTH($A107,0)+1)
)</f>
        <v>0</v>
      </c>
      <c r="W107" s="166" cm="1">
        <f t="array" ref="W107">SUMPRODUCT(
  IFERROR(--desp[valor],0)*
  (desp[nucleo]="UP VILA SONIA")*
  (desp[categoria]=W$7)*
  (desp[data.pagamento]&gt;=$A107)*
  (desp[data.pagamento]&lt;EOMONTH($A107,0)+1)
)</f>
        <v>0</v>
      </c>
      <c r="X107" s="166" cm="1">
        <f t="array" ref="X107">SUMPRODUCT(
  IFERROR(--desp[valor],0)*
  (desp[nucleo]="UP VILA SONIA")*
  (desp[categoria]=X$7)*
  (desp[data.pagamento]&gt;=$A107)*
  (desp[data.pagamento]&lt;EOMONTH($A107,0)+1)
)</f>
        <v>0</v>
      </c>
      <c r="Y107" s="166" cm="1">
        <f t="array" ref="Y107">SUMPRODUCT(
  IFERROR(--desp[valor],0)*
  (desp[nucleo]="UP VILA SONIA")*
  (desp[categoria]=Y$7)*
  (desp[data.pagamento]&gt;=$A107)*
  (desp[data.pagamento]&lt;EOMONTH($A107,0)+1)
)</f>
        <v>0</v>
      </c>
      <c r="Z107" s="177">
        <f>COUNTIFS(
    estq[empresa], Z$6,
    estq[Data da venda / reserva], "&gt;=" &amp; $A107,
    estq[Data da venda / reserva], "&lt;"  &amp; EOMONTH($A107,0) + 1
)</f>
        <v>0</v>
      </c>
      <c r="AA107" s="178">
        <f ca="1">SUMIFS(rec.uni[2029-09-01],
INDIRECT("rec.uni[natureza]"),"pro.soluto",
INDIRECT("rec.uni[empresa]"),AA$6)</f>
        <v>0</v>
      </c>
      <c r="AB107" s="182">
        <f ca="1">SUMIFS(rec.uni[2029-09-01],
INDIRECT("rec.uni[natureza]"),"parcela.fin.total.ik",
INDIRECT("rec.uni[empresa]"),AB$6)</f>
        <v>0</v>
      </c>
      <c r="AC107" s="178">
        <f ca="1">SUMIFS(rec.uni[2029-09-01],
INDIRECT("rec.uni[natureza]"),"taxa.extra",
INDIRECT("rec.uni[empresa]"),AC$6)</f>
        <v>0</v>
      </c>
      <c r="AD107" s="166"/>
      <c r="AE107" s="166" cm="1">
        <f t="array" ref="AE107">SUMPRODUCT(
  IFERROR(--desp[valor],0)*
  (desp[nucleo]="UP CAMPO BELO")*
  (desp[categoria]=AE$7)*
  (desp[data.pagamento]&gt;=$A107)*
  (desp[data.pagamento]&lt;EOMONTH($A107,0)+1)
)</f>
        <v>0</v>
      </c>
      <c r="AF107" s="166" cm="1">
        <f t="array" ref="AF107">SUMPRODUCT(
  IFERROR(--desp[valor],0)*
  (desp[nucleo]="UP CAMPO BELO")*
  (desp[categoria]=AF$7)*
  (desp[data.pagamento]&gt;=$A107)*
  (desp[data.pagamento]&lt;EOMONTH($A107,0)+1)
)</f>
        <v>0</v>
      </c>
      <c r="AG107" s="166" cm="1">
        <f t="array" ref="AG107">SUMPRODUCT(
  IFERROR(--desp[valor],0)*
  (desp[nucleo]="UP CAMPO BELO")*
  (desp[categoria]=AG$7)*
  (desp[data.pagamento]&gt;=$A107)*
  (desp[data.pagamento]&lt;EOMONTH($A107,0)+1)
)</f>
        <v>0</v>
      </c>
      <c r="AH107" s="166" cm="1">
        <f t="array" ref="AH107">SUMPRODUCT(
  IFERROR(--desp[valor],0)*
  (desp[nucleo]="UP CAMPO BELO")*
  (desp[categoria]=AH$7)*
  (desp[data.pagamento]&gt;=$A107)*
  (desp[data.pagamento]&lt;EOMONTH($A107,0)+1)
)</f>
        <v>0</v>
      </c>
      <c r="AI107" s="166" cm="1">
        <f t="array" ref="AI107">SUMPRODUCT(
  IFERROR(--desp[valor],0)*
  (desp[nucleo]="UP CAMPO BELO")*
  (desp[categoria]=AI$7)*
  (desp[data.pagamento]&gt;=$A107)*
  (desp[data.pagamento]&lt;EOMONTH($A107,0)+1)
)</f>
        <v>0</v>
      </c>
      <c r="AJ107" s="177">
        <f>COUNTIFS(
    estq[empresa], AJ$6,
    estq[Data da venda / reserva], "&gt;=" &amp; $A107,
    estq[Data da venda / reserva], "&lt;"  &amp; EOMONTH($A107,0) + 1
)</f>
        <v>0</v>
      </c>
      <c r="AK107" s="178">
        <f ca="1">SUMIFS(rec.uni[2029-09-01],
INDIRECT("rec.uni[natureza]"),"pro.soluto",
INDIRECT("rec.uni[empresa]"),AK$6)</f>
        <v>0</v>
      </c>
      <c r="AL107" s="178">
        <f ca="1">SUMIFS(rec.uni[2029-09-01],
INDIRECT("rec.uni[natureza]"),"repasse.cef.obra",
INDIRECT("rec.uni[empresa]"),AL$6)</f>
        <v>0</v>
      </c>
      <c r="AM107" s="181">
        <f ca="1">SUMIFS(rec.uni[2029-09-01],
INDIRECT("rec.uni[natureza]"),"repasse.cef.terreno",
INDIRECT("rec.uni[empresa]"),AM$6)</f>
        <v>0</v>
      </c>
      <c r="AN107" s="182"/>
      <c r="AO107" s="178">
        <f ca="1">SUMIFS(rec.uni[2029-09-01],
INDIRECT("rec.uni[natureza]"),"taxa.extra",
INDIRECT("rec.uni[empresa]"),AO$6)</f>
        <v>0</v>
      </c>
      <c r="AP107" s="166"/>
      <c r="AQ107" s="166" cm="1">
        <f t="array" ref="AQ107">SUMPRODUCT(
  IFERROR(--desp[valor],0)*
  (desp[nucleo]="UP SELECT VILA SONIA")*
  (desp[categoria]=AQ$7)*
  (desp[data.pagamento]&gt;=$A107)*
  (desp[data.pagamento]&lt;EOMONTH($A107,0)+1)
)</f>
        <v>0</v>
      </c>
      <c r="AR107" s="166" cm="1">
        <f t="array" ref="AR107">SUMPRODUCT(
  IFERROR(--desp[valor],0)*
  (desp[nucleo]="UP SELECT VILA SONIA")*
  (desp[categoria]=AR$7)*
  (desp[data.pagamento]&gt;=$A107)*
  (desp[data.pagamento]&lt;EOMONTH($A107,0)+1)
)</f>
        <v>0</v>
      </c>
      <c r="AS107" s="166" cm="1">
        <f t="array" ref="AS107">SUMPRODUCT(
  IFERROR(--desp[valor],0)*
  (desp[nucleo]="UP SELECT VILA SONIA")*
  (desp[categoria]=AS$7)*
  (desp[data.pagamento]&gt;=$A107)*
  (desp[data.pagamento]&lt;EOMONTH($A107,0)+1)
)</f>
        <v>0</v>
      </c>
      <c r="AT107" s="166" cm="1">
        <f t="array" ref="AT107">SUMPRODUCT(
  IFERROR(--desp[valor],0)*
  (desp[nucleo]="UP SELECT VILA SONIA")*
  (desp[categoria]=AT$7)*
  (desp[data.pagamento]&gt;=$A107)*
  (desp[data.pagamento]&lt;EOMONTH($A107,0)+1)
)</f>
        <v>0</v>
      </c>
      <c r="AU107" s="166" cm="1">
        <f t="array" ref="AU107">SUMPRODUCT(
  IFERROR(--desp[valor],0)*
  (desp[nucleo]="UP SELECT VILA SONIA")*
  (desp[categoria]=AU$7)*
  (desp[data.pagamento]&gt;=$A107)*
  (desp[data.pagamento]&lt;EOMONTH($A107,0)+1)
)</f>
        <v>0</v>
      </c>
      <c r="AV107" s="177">
        <f>COUNTIFS(
    estq[empresa], AV$6,
    estq[Data da venda / reserva], "&gt;=" &amp; $A107,
    estq[Data da venda / reserva], "&lt;"  &amp; EOMONTH($A107,0) + 1
)</f>
        <v>0</v>
      </c>
      <c r="AW107" s="178">
        <f ca="1">SUMIFS(rec.uni[2029-09-01],
INDIRECT("rec.uni[natureza]"),"pro.soluto",
INDIRECT("rec.uni[empresa]"),AW$6)</f>
        <v>0</v>
      </c>
      <c r="AX107" s="178">
        <f ca="1">SUMIFS(rec.uni[2029-09-01],
INDIRECT("rec.uni[natureza]"),"repasse.cef.obra",
INDIRECT("rec.uni[empresa]"),AX$6)</f>
        <v>0</v>
      </c>
      <c r="AY107" s="181">
        <f ca="1">SUMIFS(rec.uni[2029-09-01],
INDIRECT("rec.uni[natureza]"),"repasse.cef.terreno",
INDIRECT("rec.uni[empresa]"),AY$6)</f>
        <v>0</v>
      </c>
      <c r="AZ107" s="182"/>
      <c r="BA107" s="178">
        <f ca="1">SUMIFS(rec.uni[2029-09-01],
INDIRECT("rec.uni[natureza]"),"taxa.extra",
INDIRECT("rec.uni[empresa]"),BA$6)</f>
        <v>0</v>
      </c>
      <c r="BB107" s="166"/>
      <c r="BC107" s="166" cm="1">
        <f t="array" ref="BC107">SUMPRODUCT(
  IFERROR(--desp[valor],0)*
  (desp[nucleo]="UP ESTAÇÃO SÃO LUCAS")*
  (desp[categoria]=BC$7)*
  (desp[data.pagamento]&gt;=$A107)*
  (desp[data.pagamento]&lt;EOMONTH($A107,0)+1)
)</f>
        <v>0</v>
      </c>
      <c r="BD107" s="166" cm="1">
        <f t="array" ref="BD107">SUMPRODUCT(
  IFERROR(--desp[valor],0)*
  (desp[nucleo]="UP ESTAÇÃO SÃO LUCAS")*
  (desp[categoria]=BD$7)*
  (desp[data.pagamento]&gt;=$A107)*
  (desp[data.pagamento]&lt;EOMONTH($A107,0)+1)
)</f>
        <v>0</v>
      </c>
      <c r="BE107" s="166" cm="1">
        <f t="array" ref="BE107">SUMPRODUCT(
  IFERROR(--desp[valor],0)*
  (desp[nucleo]="UP ESTAÇÃO SÃO LUCAS")*
  (desp[categoria]=BE$7)*
  (desp[data.pagamento]&gt;=$A107)*
  (desp[data.pagamento]&lt;EOMONTH($A107,0)+1)
)</f>
        <v>0</v>
      </c>
      <c r="BF107" s="166" cm="1">
        <f t="array" ref="BF107">SUMPRODUCT(
  IFERROR(--desp[valor],0)*
  (desp[nucleo]="UP ESTAÇÃO SÃO LUCAS")*
  (desp[categoria]=BF$7)*
  (desp[data.pagamento]&gt;=$A107)*
  (desp[data.pagamento]&lt;EOMONTH($A107,0)+1)
)</f>
        <v>0</v>
      </c>
      <c r="BG107" s="166" cm="1">
        <f t="array" ref="BG107">SUMPRODUCT(
  IFERROR(--desp[valor],0)*
  (desp[nucleo]="UP ESTAÇÃO SÃO LUCAS")*
  (desp[categoria]=BG$7)*
  (desp[data.pagamento]&gt;=$A107)*
  (desp[data.pagamento]&lt;EOMONTH($A107,0)+1)
)</f>
        <v>0</v>
      </c>
      <c r="BH107" s="177">
        <f>COUNTIFS(
    estq[empresa], BH$6,
    estq[Data da venda / reserva], "&gt;=" &amp; $A107,
    estq[Data da venda / reserva], "&lt;"  &amp; EOMONTH($A107,0) + 1
)</f>
        <v>0</v>
      </c>
      <c r="BI107" s="178">
        <f ca="1">SUMIFS(rec.uni[2029-09-01],
INDIRECT("rec.uni[natureza]"),"pro.soluto",
INDIRECT("rec.uni[empresa]"),BI$6)</f>
        <v>0</v>
      </c>
      <c r="BJ107" s="182">
        <f ca="1">SUMIFS(rec.uni[2029-09-01],
INDIRECT("rec.uni[natureza]"),"parcela.fin.total.ik",
INDIRECT("rec.uni[empresa]"),BJ$6)</f>
        <v>0</v>
      </c>
      <c r="BK107" s="178">
        <f ca="1">SUMIFS(rec.uni[2029-09-01],
INDIRECT("rec.uni[natureza]"),"taxa.extra",
INDIRECT("rec.uni[empresa]"),BK$6)</f>
        <v>0</v>
      </c>
      <c r="BL107" s="166"/>
      <c r="BM107" s="166" cm="1">
        <f t="array" ref="BM107">SUMPRODUCT(
  IFERROR(--desp[valor],0)*
  (desp[nucleo]="UP POMPEIA")*
  (desp[categoria]=BM$7)*
  (desp[data.pagamento]&gt;=$A107)*
  (desp[data.pagamento]&lt;EOMONTH($A107,0)+1)
)</f>
        <v>0</v>
      </c>
      <c r="BN107" s="166" cm="1">
        <f t="array" ref="BN107">SUMPRODUCT(
  IFERROR(--desp[valor],0)*
  (desp[nucleo]="UP POMPEIA")*
  (desp[categoria]=BN$7)*
  (desp[data.pagamento]&gt;=$A107)*
  (desp[data.pagamento]&lt;EOMONTH($A107,0)+1)
)</f>
        <v>0</v>
      </c>
      <c r="BO107" s="166" cm="1">
        <f t="array" ref="BO107">SUMPRODUCT(
  IFERROR(--desp[valor],0)*
  (desp[nucleo]="UP POMPEIA")*
  (desp[categoria]=BO$7)*
  (desp[data.pagamento]&gt;=$A107)*
  (desp[data.pagamento]&lt;EOMONTH($A107,0)+1)
)</f>
        <v>0</v>
      </c>
      <c r="BP107" s="166" cm="1">
        <f t="array" ref="BP107">SUMPRODUCT(
  IFERROR(--desp[valor],0)*
  (desp[nucleo]="UP POMPEIA")*
  (desp[categoria]=BP$7)*
  (desp[data.pagamento]&gt;=$A107)*
  (desp[data.pagamento]&lt;EOMONTH($A107,0)+1)
)</f>
        <v>0</v>
      </c>
      <c r="BQ107" s="166" cm="1">
        <f t="array" ref="BQ107">SUMPRODUCT(
  IFERROR(--desp[valor],0)*
  (desp[nucleo]="UP POMPEIA")*
  (desp[categoria]=BQ$7)*
  (desp[data.pagamento]&gt;=$A107)*
  (desp[data.pagamento]&lt;EOMONTH($A107,0)+1)
)</f>
        <v>0</v>
      </c>
      <c r="BR107" s="177">
        <f>COUNTIFS(
    estq[empresa], BR$6,
    estq[Data da venda / reserva], "&gt;=" &amp; $A107,
    estq[Data da venda / reserva], "&lt;"  &amp; EOMONTH($A107,0) + 1
)</f>
        <v>0</v>
      </c>
      <c r="BS107" s="178">
        <f ca="1">SUMIFS(rec.uni[2029-09-01],
INDIRECT("rec.uni[natureza]"),"pro.soluto",
INDIRECT("rec.uni[empresa]"),BS$6)</f>
        <v>0</v>
      </c>
      <c r="BT107" s="182">
        <f ca="1">SUMIFS(rec.uni[2029-09-01],
INDIRECT("rec.uni[natureza]"),"parcela.fin.total.ik",
INDIRECT("rec.uni[empresa]"),BT$6)</f>
        <v>0</v>
      </c>
      <c r="BU107" s="178">
        <f ca="1">SUMIFS(rec.uni[2029-09-01],
INDIRECT("rec.uni[natureza]"),"taxa.extra",
INDIRECT("rec.uni[empresa]"),BU$6)</f>
        <v>0</v>
      </c>
      <c r="BV107" s="166"/>
      <c r="BW107" s="166" cm="1">
        <f t="array" ref="BW107">SUMPRODUCT(
  IFERROR(--desp[valor],0)*
  (desp[nucleo]="UP SAUDE")*
  (desp[categoria]=BW$7)*
  (desp[data.pagamento]&gt;=$A107)*
  (desp[data.pagamento]&lt;EOMONTH($A107,0)+1)
)</f>
        <v>0</v>
      </c>
      <c r="BX107" s="166" cm="1">
        <f t="array" ref="BX107">SUMPRODUCT(
  IFERROR(--desp[valor],0)*
  (desp[nucleo]="UP SAUDE")*
  (desp[categoria]=BX$7)*
  (desp[data.pagamento]&gt;=$A107)*
  (desp[data.pagamento]&lt;EOMONTH($A107,0)+1)
)</f>
        <v>0</v>
      </c>
      <c r="BY107" s="166" cm="1">
        <f t="array" ref="BY107">SUMPRODUCT(
  IFERROR(--desp[valor],0)*
  (desp[nucleo]="UP SAUDE")*
  (desp[categoria]=BY$7)*
  (desp[data.pagamento]&gt;=$A107)*
  (desp[data.pagamento]&lt;EOMONTH($A107,0)+1)
)</f>
        <v>0</v>
      </c>
      <c r="BZ107" s="166" cm="1">
        <f t="array" ref="BZ107">SUMPRODUCT(
  IFERROR(--desp[valor],0)*
  (desp[nucleo]="UP SAUDE")*
  (desp[categoria]=BZ$7)*
  (desp[data.pagamento]&gt;=$A107)*
  (desp[data.pagamento]&lt;EOMONTH($A107,0)+1)
)</f>
        <v>0</v>
      </c>
      <c r="CA107" s="166" cm="1">
        <f t="array" ref="CA107">SUMPRODUCT(
  IFERROR(--desp[valor],0)*
  (desp[nucleo]="UP SAUDE")*
  (desp[categoria]=CA$7)*
  (desp[data.pagamento]&gt;=$A107)*
  (desp[data.pagamento]&lt;EOMONTH($A107,0)+1)
)</f>
        <v>0</v>
      </c>
      <c r="CB107" s="177">
        <f>COUNTIFS(
    estq[empresa], CB$6,
    estq[Data da venda / reserva], "&gt;=" &amp; $A107,
    estq[Data da venda / reserva], "&lt;"  &amp; EOMONTH($A107,0) + 1
)</f>
        <v>0</v>
      </c>
      <c r="CC107" s="178">
        <f ca="1">SUMIFS(rec.uni[2029-09-01],
INDIRECT("rec.uni[natureza]"),"pro.soluto",
INDIRECT("rec.uni[empresa]"),CC$6)</f>
        <v>0</v>
      </c>
      <c r="CD107" s="178">
        <f ca="1">SUMIFS(rec.uni[2029-09-01],
INDIRECT("rec.uni[natureza]"),"repasse.cef.obra",
INDIRECT("rec.uni[empresa]"),CD$6)</f>
        <v>0</v>
      </c>
      <c r="CE107" s="181">
        <f ca="1">SUMIFS(rec.uni[2029-09-01],
INDIRECT("rec.uni[natureza]"),"repasse.cef.terreno",
INDIRECT("rec.uni[empresa]"),CE$6)</f>
        <v>0</v>
      </c>
      <c r="CF107" s="182"/>
      <c r="CG107" s="178">
        <f ca="1">SUMIFS(rec.uni[2029-09-01],
INDIRECT("rec.uni[natureza]"),"taxa.extra",
INDIRECT("rec.uni[empresa]"),CG$6)</f>
        <v>0</v>
      </c>
      <c r="CH107" s="166"/>
      <c r="CI107" s="166" cm="1">
        <f t="array" ref="CI107">SUMPRODUCT(
  IFERROR(--desp[valor],0)*
  (desp[nucleo]="UP ESTAÇÃO VILA SONIA")*
  (desp[categoria]=CI$7)*
  (desp[data.pagamento]&gt;=$A107)*
  (desp[data.pagamento]&lt;EOMONTH($A107,0)+1)
)</f>
        <v>0</v>
      </c>
      <c r="CJ107" s="166" cm="1">
        <f t="array" ref="CJ107">SUMPRODUCT(
  IFERROR(--desp[valor],0)*
  (desp[nucleo]="UP ESTAÇÃO VILA SONIA")*
  (desp[categoria]=CJ$7)*
  (desp[data.pagamento]&gt;=$A107)*
  (desp[data.pagamento]&lt;EOMONTH($A107,0)+1)
)</f>
        <v>0</v>
      </c>
      <c r="CK107" s="166" cm="1">
        <f t="array" ref="CK107">SUMPRODUCT(
  IFERROR(--desp[valor],0)*
  (desp[nucleo]="UP ESTAÇÃO VILA SONIA")*
  (desp[categoria]=CK$7)*
  (desp[data.pagamento]&gt;=$A107)*
  (desp[data.pagamento]&lt;EOMONTH($A107,0)+1)
)</f>
        <v>0</v>
      </c>
      <c r="CL107" s="166" cm="1">
        <f t="array" ref="CL107">SUMPRODUCT(
  IFERROR(--desp[valor],0)*
  (desp[nucleo]="UP ESTAÇÃO VILA SONIA")*
  (desp[categoria]=CL$7)*
  (desp[data.pagamento]&gt;=$A107)*
  (desp[data.pagamento]&lt;EOMONTH($A107,0)+1)
)</f>
        <v>0</v>
      </c>
      <c r="CM107" s="166" cm="1">
        <f t="array" ref="CM107">SUMPRODUCT(
  IFERROR(--desp[valor],0)*
  (desp[nucleo]="UP ESTAÇÃO VILA SONIA")*
  (desp[categoria]=CM$7)*
  (desp[data.pagamento]&gt;=$A107)*
  (desp[data.pagamento]&lt;EOMONTH($A107,0)+1)
)</f>
        <v>0</v>
      </c>
      <c r="CN107" s="177">
        <f>COUNTIFS(
    estq[empresa], CN$6,
    estq[Data da venda / reserva], "&gt;=" &amp; $A107,
    estq[Data da venda / reserva], "&lt;"  &amp; EOMONTH($A107,0) + 1
)</f>
        <v>0</v>
      </c>
      <c r="CO107" s="178">
        <f ca="1">SUMIFS(rec.uni[2029-09-01],
INDIRECT("rec.uni[natureza]"),"pro.soluto",
INDIRECT("rec.uni[empresa]"),CO$6)</f>
        <v>0</v>
      </c>
      <c r="CP107" s="178">
        <f ca="1">SUMIFS(rec.uni[2029-09-01],
INDIRECT("rec.uni[natureza]"),"repasse.cef.obra",
INDIRECT("rec.uni[empresa]"),CP$6)</f>
        <v>0</v>
      </c>
      <c r="CQ107" s="181">
        <f ca="1">SUMIFS(rec.uni[2029-09-01],
INDIRECT("rec.uni[natureza]"),"repasse.cef.terreno",
INDIRECT("rec.uni[empresa]"),CQ$6)</f>
        <v>0</v>
      </c>
      <c r="CR107" s="182"/>
      <c r="CS107" s="178">
        <f ca="1">SUMIFS(rec.uni[2029-09-01],
INDIRECT("rec.uni[natureza]"),"taxa.extra",
INDIRECT("rec.uni[empresa]"),CS$6)</f>
        <v>0</v>
      </c>
      <c r="CT107" s="166"/>
      <c r="CU107" s="166" cm="1">
        <f t="array" ref="CU107">SUMPRODUCT(
  IFERROR(--desp[valor],0)*
  (desp[nucleo]="UP MOVE VILA SONIA")*
  (desp[categoria]=CU$7)*
  (desp[data.pagamento]&gt;=$A107)*
  (desp[data.pagamento]&lt;EOMONTH($A107,0)+1)
)</f>
        <v>0</v>
      </c>
      <c r="CV107" s="166" cm="1">
        <f t="array" ref="CV107">SUMPRODUCT(
  IFERROR(--desp[valor],0)*
  (desp[nucleo]="UP MOVE VILA SONIA")*
  (desp[categoria]=CV$7)*
  (desp[data.pagamento]&gt;=$A107)*
  (desp[data.pagamento]&lt;EOMONTH($A107,0)+1)
)</f>
        <v>0</v>
      </c>
      <c r="CW107" s="166" cm="1">
        <f t="array" ref="CW107">SUMPRODUCT(
  IFERROR(--desp[valor],0)*
  (desp[nucleo]="UP MOVE VILA SONIA")*
  (desp[categoria]=CW$7)*
  (desp[data.pagamento]&gt;=$A107)*
  (desp[data.pagamento]&lt;EOMONTH($A107,0)+1)
)</f>
        <v>0</v>
      </c>
      <c r="CX107" s="166" cm="1">
        <f t="array" ref="CX107">SUMPRODUCT(
  IFERROR(--desp[valor],0)*
  (desp[nucleo]="UP MOVE VILA SONIA")*
  (desp[categoria]=CX$7)*
  (desp[data.pagamento]&gt;=$A107)*
  (desp[data.pagamento]&lt;EOMONTH($A107,0)+1)
)</f>
        <v>0</v>
      </c>
      <c r="CY107" s="291" cm="1">
        <f t="array" ref="CY107">SUMPRODUCT(
  IFERROR(--desp[valor],0)*
  (desp[nucleo]="UP MOVE VILA SONIA")*
  (desp[categoria]=CY$7)*
  (desp[data.pagamento]&gt;=$A107)*
  (desp[data.pagamento]&lt;EOMONTH($A107,0)+1)
)</f>
        <v>0</v>
      </c>
    </row>
    <row r="108" spans="1:103" x14ac:dyDescent="0.25">
      <c r="A108" s="176">
        <v>47392</v>
      </c>
      <c r="B108" s="177">
        <f>COUNTIFS(
    estq[empresa], B$6,
    estq[Data da venda / reserva], "&gt;=" &amp; $A108,
    estq[Data da venda / reserva], "&lt;"  &amp; EOMONTH($A108,0) + 1
)</f>
        <v>0</v>
      </c>
      <c r="C108" s="178">
        <f ca="1">SUMIFS(rec.uni[2029-10-01],
INDIRECT("rec.uni[natureza]"),"pro.soluto",
INDIRECT("rec.uni[empresa]"),C$6)</f>
        <v>0</v>
      </c>
      <c r="D108" s="178">
        <f ca="1">SUMIFS(rec.uni[2029-10-01],
INDIRECT("rec.uni[natureza]"),"repasse.cef.obra",
INDIRECT("rec.uni[empresa]"),D$6)</f>
        <v>0</v>
      </c>
      <c r="E108" s="178">
        <f ca="1">SUMIFS(rec.uni[2029-10-01],
INDIRECT("rec.uni[natureza]"),"repasse.cef.terreno",
INDIRECT("rec.uni[empresa]"),E$6)</f>
        <v>0</v>
      </c>
      <c r="F108" s="182"/>
      <c r="G108" s="178">
        <f ca="1">SUMIFS(rec.uni[2029-10-01],
INDIRECT("rec.uni[natureza]"),"taxa.extra",
INDIRECT("rec.uni[empresa]"),G$6)</f>
        <v>0</v>
      </c>
      <c r="H108" s="166"/>
      <c r="I108" s="166" cm="1">
        <f t="array" ref="I108">SUMPRODUCT(
  IFERROR(--desp[valor],0)*
  (desp[nucleo]="UP JARDIM PRUDENCIA")*
  (desp[categoria]=I$7)*
  (desp[data.pagamento]&gt;=$A108)*
  (desp[data.pagamento]&lt;EOMONTH($A108,0)+1)
)</f>
        <v>0</v>
      </c>
      <c r="J108" s="166" cm="1">
        <f t="array" ref="J108">SUMPRODUCT(
  IFERROR(--desp[valor],0)*
  (desp[nucleo]="UP JARDIM PRUDENCIA")*
  (desp[categoria]=J$7)*
  (desp[data.pagamento]&gt;=$A108)*
  (desp[data.pagamento]&lt;EOMONTH($A108,0)+1)
)</f>
        <v>0</v>
      </c>
      <c r="K108" s="166" cm="1">
        <f t="array" ref="K108">SUMPRODUCT(
  IFERROR(--desp[valor],0)*
  (desp[nucleo]="UP JARDIM PRUDENCIA")*
  (desp[categoria]=K$7)*
  (desp[data.pagamento]&gt;=$A108)*
  (desp[data.pagamento]&lt;EOMONTH($A108,0)+1)
)</f>
        <v>0</v>
      </c>
      <c r="L108" s="166" cm="1">
        <f t="array" ref="L108">SUMPRODUCT(
  IFERROR(--desp[valor],0)*
  (desp[nucleo]="UP JARDIM PRUDENCIA")*
  (desp[categoria]=L$7)*
  (desp[data.pagamento]&gt;=$A108)*
  (desp[data.pagamento]&lt;EOMONTH($A108,0)+1)
)</f>
        <v>0</v>
      </c>
      <c r="M108" s="166" cm="1">
        <f t="array" ref="M108">SUMPRODUCT(
  IFERROR(--desp[valor],0)*
  (desp[nucleo]="UP JARDIM PRUDENCIA")*
  (desp[categoria]=M$7)*
  (desp[data.pagamento]&gt;=$A108)*
  (desp[data.pagamento]&lt;EOMONTH($A108,0)+1)
)</f>
        <v>0</v>
      </c>
      <c r="N108" s="177">
        <f>COUNTIFS(
    estq[empresa], N$6,
    estq[Data da venda / reserva], "&gt;=" &amp; $A108,
    estq[Data da venda / reserva], "&lt;"  &amp; EOMONTH($A108,0) + 1
)</f>
        <v>0</v>
      </c>
      <c r="O108" s="178">
        <f ca="1">SUMIFS(rec.uni[2029-10-01],
INDIRECT("rec.uni[natureza]"),"pro.soluto",
INDIRECT("rec.uni[empresa]"),O$6)</f>
        <v>0</v>
      </c>
      <c r="P108" s="178">
        <f ca="1">SUMIFS(rec.uni[2029-10-01],
INDIRECT("rec.uni[natureza]"),"repasse.cef.obra",
INDIRECT("rec.uni[empresa]"),P$6)</f>
        <v>0</v>
      </c>
      <c r="Q108" s="178">
        <f ca="1">SUMIFS(rec.uni[2029-10-01],
INDIRECT("rec.uni[natureza]"),"repasse.cef.terreno",
INDIRECT("rec.uni[empresa]"),Q$6)</f>
        <v>0</v>
      </c>
      <c r="R108" s="182"/>
      <c r="S108" s="178">
        <f ca="1">SUMIFS(rec.uni[2029-10-01],
INDIRECT("rec.uni[natureza]"),"taxa.extra",
INDIRECT("rec.uni[empresa]"),S$6)</f>
        <v>0</v>
      </c>
      <c r="T108" s="166"/>
      <c r="U108" s="166" cm="1">
        <f t="array" ref="U108">SUMPRODUCT(
  IFERROR(--desp[valor],0)*
  (desp[nucleo]="UP VILA SONIA")*
  (desp[categoria]=U$7)*
  (desp[data.pagamento]&gt;=$A108)*
  (desp[data.pagamento]&lt;EOMONTH($A108,0)+1)
)</f>
        <v>0</v>
      </c>
      <c r="V108" s="166" cm="1">
        <f t="array" ref="V108">SUMPRODUCT(
  IFERROR(--desp[valor],0)*
  (desp[nucleo]="UP VILA SONIA")*
  (desp[categoria]=V$7)*
  (desp[data.pagamento]&gt;=$A108)*
  (desp[data.pagamento]&lt;EOMONTH($A108,0)+1)
)</f>
        <v>0</v>
      </c>
      <c r="W108" s="166" cm="1">
        <f t="array" ref="W108">SUMPRODUCT(
  IFERROR(--desp[valor],0)*
  (desp[nucleo]="UP VILA SONIA")*
  (desp[categoria]=W$7)*
  (desp[data.pagamento]&gt;=$A108)*
  (desp[data.pagamento]&lt;EOMONTH($A108,0)+1)
)</f>
        <v>0</v>
      </c>
      <c r="X108" s="166" cm="1">
        <f t="array" ref="X108">SUMPRODUCT(
  IFERROR(--desp[valor],0)*
  (desp[nucleo]="UP VILA SONIA")*
  (desp[categoria]=X$7)*
  (desp[data.pagamento]&gt;=$A108)*
  (desp[data.pagamento]&lt;EOMONTH($A108,0)+1)
)</f>
        <v>0</v>
      </c>
      <c r="Y108" s="166" cm="1">
        <f t="array" ref="Y108">SUMPRODUCT(
  IFERROR(--desp[valor],0)*
  (desp[nucleo]="UP VILA SONIA")*
  (desp[categoria]=Y$7)*
  (desp[data.pagamento]&gt;=$A108)*
  (desp[data.pagamento]&lt;EOMONTH($A108,0)+1)
)</f>
        <v>0</v>
      </c>
      <c r="Z108" s="177">
        <f>COUNTIFS(
    estq[empresa], Z$6,
    estq[Data da venda / reserva], "&gt;=" &amp; $A108,
    estq[Data da venda / reserva], "&lt;"  &amp; EOMONTH($A108,0) + 1
)</f>
        <v>0</v>
      </c>
      <c r="AA108" s="178">
        <f ca="1">SUMIFS(rec.uni[2029-10-01],
INDIRECT("rec.uni[natureza]"),"pro.soluto",
INDIRECT("rec.uni[empresa]"),AA$6)</f>
        <v>0</v>
      </c>
      <c r="AB108" s="182">
        <f ca="1">SUMIFS(rec.uni[2029-10-01],
INDIRECT("rec.uni[natureza]"),"parcela.fin.total.ik",
INDIRECT("rec.uni[empresa]"),AB$6)</f>
        <v>0</v>
      </c>
      <c r="AC108" s="178">
        <f ca="1">SUMIFS(rec.uni[2029-10-01],
INDIRECT("rec.uni[natureza]"),"taxa.extra",
INDIRECT("rec.uni[empresa]"),AC$6)</f>
        <v>0</v>
      </c>
      <c r="AD108" s="166"/>
      <c r="AE108" s="166" cm="1">
        <f t="array" ref="AE108">SUMPRODUCT(
  IFERROR(--desp[valor],0)*
  (desp[nucleo]="UP CAMPO BELO")*
  (desp[categoria]=AE$7)*
  (desp[data.pagamento]&gt;=$A108)*
  (desp[data.pagamento]&lt;EOMONTH($A108,0)+1)
)</f>
        <v>0</v>
      </c>
      <c r="AF108" s="166" cm="1">
        <f t="array" ref="AF108">SUMPRODUCT(
  IFERROR(--desp[valor],0)*
  (desp[nucleo]="UP CAMPO BELO")*
  (desp[categoria]=AF$7)*
  (desp[data.pagamento]&gt;=$A108)*
  (desp[data.pagamento]&lt;EOMONTH($A108,0)+1)
)</f>
        <v>0</v>
      </c>
      <c r="AG108" s="166" cm="1">
        <f t="array" ref="AG108">SUMPRODUCT(
  IFERROR(--desp[valor],0)*
  (desp[nucleo]="UP CAMPO BELO")*
  (desp[categoria]=AG$7)*
  (desp[data.pagamento]&gt;=$A108)*
  (desp[data.pagamento]&lt;EOMONTH($A108,0)+1)
)</f>
        <v>0</v>
      </c>
      <c r="AH108" s="166" cm="1">
        <f t="array" ref="AH108">SUMPRODUCT(
  IFERROR(--desp[valor],0)*
  (desp[nucleo]="UP CAMPO BELO")*
  (desp[categoria]=AH$7)*
  (desp[data.pagamento]&gt;=$A108)*
  (desp[data.pagamento]&lt;EOMONTH($A108,0)+1)
)</f>
        <v>0</v>
      </c>
      <c r="AI108" s="166" cm="1">
        <f t="array" ref="AI108">SUMPRODUCT(
  IFERROR(--desp[valor],0)*
  (desp[nucleo]="UP CAMPO BELO")*
  (desp[categoria]=AI$7)*
  (desp[data.pagamento]&gt;=$A108)*
  (desp[data.pagamento]&lt;EOMONTH($A108,0)+1)
)</f>
        <v>0</v>
      </c>
      <c r="AJ108" s="177">
        <f>COUNTIFS(
    estq[empresa], AJ$6,
    estq[Data da venda / reserva], "&gt;=" &amp; $A108,
    estq[Data da venda / reserva], "&lt;"  &amp; EOMONTH($A108,0) + 1
)</f>
        <v>0</v>
      </c>
      <c r="AK108" s="178">
        <f ca="1">SUMIFS(rec.uni[2029-10-01],
INDIRECT("rec.uni[natureza]"),"pro.soluto",
INDIRECT("rec.uni[empresa]"),AK$6)</f>
        <v>0</v>
      </c>
      <c r="AL108" s="178">
        <f ca="1">SUMIFS(rec.uni[2029-10-01],
INDIRECT("rec.uni[natureza]"),"repasse.cef.obra",
INDIRECT("rec.uni[empresa]"),AL$6)</f>
        <v>0</v>
      </c>
      <c r="AM108" s="181">
        <f ca="1">SUMIFS(rec.uni[2029-10-01],
INDIRECT("rec.uni[natureza]"),"repasse.cef.terreno",
INDIRECT("rec.uni[empresa]"),AM$6)</f>
        <v>0</v>
      </c>
      <c r="AN108" s="182"/>
      <c r="AO108" s="178">
        <f ca="1">SUMIFS(rec.uni[2029-10-01],
INDIRECT("rec.uni[natureza]"),"taxa.extra",
INDIRECT("rec.uni[empresa]"),AO$6)</f>
        <v>0</v>
      </c>
      <c r="AP108" s="166"/>
      <c r="AQ108" s="166" cm="1">
        <f t="array" ref="AQ108">SUMPRODUCT(
  IFERROR(--desp[valor],0)*
  (desp[nucleo]="UP SELECT VILA SONIA")*
  (desp[categoria]=AQ$7)*
  (desp[data.pagamento]&gt;=$A108)*
  (desp[data.pagamento]&lt;EOMONTH($A108,0)+1)
)</f>
        <v>0</v>
      </c>
      <c r="AR108" s="166" cm="1">
        <f t="array" ref="AR108">SUMPRODUCT(
  IFERROR(--desp[valor],0)*
  (desp[nucleo]="UP SELECT VILA SONIA")*
  (desp[categoria]=AR$7)*
  (desp[data.pagamento]&gt;=$A108)*
  (desp[data.pagamento]&lt;EOMONTH($A108,0)+1)
)</f>
        <v>0</v>
      </c>
      <c r="AS108" s="166" cm="1">
        <f t="array" ref="AS108">SUMPRODUCT(
  IFERROR(--desp[valor],0)*
  (desp[nucleo]="UP SELECT VILA SONIA")*
  (desp[categoria]=AS$7)*
  (desp[data.pagamento]&gt;=$A108)*
  (desp[data.pagamento]&lt;EOMONTH($A108,0)+1)
)</f>
        <v>0</v>
      </c>
      <c r="AT108" s="166" cm="1">
        <f t="array" ref="AT108">SUMPRODUCT(
  IFERROR(--desp[valor],0)*
  (desp[nucleo]="UP SELECT VILA SONIA")*
  (desp[categoria]=AT$7)*
  (desp[data.pagamento]&gt;=$A108)*
  (desp[data.pagamento]&lt;EOMONTH($A108,0)+1)
)</f>
        <v>0</v>
      </c>
      <c r="AU108" s="166" cm="1">
        <f t="array" ref="AU108">SUMPRODUCT(
  IFERROR(--desp[valor],0)*
  (desp[nucleo]="UP SELECT VILA SONIA")*
  (desp[categoria]=AU$7)*
  (desp[data.pagamento]&gt;=$A108)*
  (desp[data.pagamento]&lt;EOMONTH($A108,0)+1)
)</f>
        <v>0</v>
      </c>
      <c r="AV108" s="177">
        <f>COUNTIFS(
    estq[empresa], AV$6,
    estq[Data da venda / reserva], "&gt;=" &amp; $A108,
    estq[Data da venda / reserva], "&lt;"  &amp; EOMONTH($A108,0) + 1
)</f>
        <v>0</v>
      </c>
      <c r="AW108" s="178">
        <f ca="1">SUMIFS(rec.uni[2029-10-01],
INDIRECT("rec.uni[natureza]"),"pro.soluto",
INDIRECT("rec.uni[empresa]"),AW$6)</f>
        <v>0</v>
      </c>
      <c r="AX108" s="178">
        <f ca="1">SUMIFS(rec.uni[2029-10-01],
INDIRECT("rec.uni[natureza]"),"repasse.cef.obra",
INDIRECT("rec.uni[empresa]"),AX$6)</f>
        <v>0</v>
      </c>
      <c r="AY108" s="181">
        <f ca="1">SUMIFS(rec.uni[2029-10-01],
INDIRECT("rec.uni[natureza]"),"repasse.cef.terreno",
INDIRECT("rec.uni[empresa]"),AY$6)</f>
        <v>0</v>
      </c>
      <c r="AZ108" s="182"/>
      <c r="BA108" s="178">
        <f ca="1">SUMIFS(rec.uni[2029-10-01],
INDIRECT("rec.uni[natureza]"),"taxa.extra",
INDIRECT("rec.uni[empresa]"),BA$6)</f>
        <v>0</v>
      </c>
      <c r="BB108" s="166"/>
      <c r="BC108" s="166" cm="1">
        <f t="array" ref="BC108">SUMPRODUCT(
  IFERROR(--desp[valor],0)*
  (desp[nucleo]="UP ESTAÇÃO SÃO LUCAS")*
  (desp[categoria]=BC$7)*
  (desp[data.pagamento]&gt;=$A108)*
  (desp[data.pagamento]&lt;EOMONTH($A108,0)+1)
)</f>
        <v>0</v>
      </c>
      <c r="BD108" s="166" cm="1">
        <f t="array" ref="BD108">SUMPRODUCT(
  IFERROR(--desp[valor],0)*
  (desp[nucleo]="UP ESTAÇÃO SÃO LUCAS")*
  (desp[categoria]=BD$7)*
  (desp[data.pagamento]&gt;=$A108)*
  (desp[data.pagamento]&lt;EOMONTH($A108,0)+1)
)</f>
        <v>0</v>
      </c>
      <c r="BE108" s="166" cm="1">
        <f t="array" ref="BE108">SUMPRODUCT(
  IFERROR(--desp[valor],0)*
  (desp[nucleo]="UP ESTAÇÃO SÃO LUCAS")*
  (desp[categoria]=BE$7)*
  (desp[data.pagamento]&gt;=$A108)*
  (desp[data.pagamento]&lt;EOMONTH($A108,0)+1)
)</f>
        <v>0</v>
      </c>
      <c r="BF108" s="166" cm="1">
        <f t="array" ref="BF108">SUMPRODUCT(
  IFERROR(--desp[valor],0)*
  (desp[nucleo]="UP ESTAÇÃO SÃO LUCAS")*
  (desp[categoria]=BF$7)*
  (desp[data.pagamento]&gt;=$A108)*
  (desp[data.pagamento]&lt;EOMONTH($A108,0)+1)
)</f>
        <v>0</v>
      </c>
      <c r="BG108" s="166" cm="1">
        <f t="array" ref="BG108">SUMPRODUCT(
  IFERROR(--desp[valor],0)*
  (desp[nucleo]="UP ESTAÇÃO SÃO LUCAS")*
  (desp[categoria]=BG$7)*
  (desp[data.pagamento]&gt;=$A108)*
  (desp[data.pagamento]&lt;EOMONTH($A108,0)+1)
)</f>
        <v>0</v>
      </c>
      <c r="BH108" s="177">
        <f>COUNTIFS(
    estq[empresa], BH$6,
    estq[Data da venda / reserva], "&gt;=" &amp; $A108,
    estq[Data da venda / reserva], "&lt;"  &amp; EOMONTH($A108,0) + 1
)</f>
        <v>0</v>
      </c>
      <c r="BI108" s="178">
        <f ca="1">SUMIFS(rec.uni[2029-10-01],
INDIRECT("rec.uni[natureza]"),"pro.soluto",
INDIRECT("rec.uni[empresa]"),BI$6)</f>
        <v>0</v>
      </c>
      <c r="BJ108" s="182">
        <f ca="1">SUMIFS(rec.uni[2029-10-01],
INDIRECT("rec.uni[natureza]"),"parcela.fin.total.ik",
INDIRECT("rec.uni[empresa]"),BJ$6)</f>
        <v>0</v>
      </c>
      <c r="BK108" s="178">
        <f ca="1">SUMIFS(rec.uni[2029-10-01],
INDIRECT("rec.uni[natureza]"),"taxa.extra",
INDIRECT("rec.uni[empresa]"),BK$6)</f>
        <v>0</v>
      </c>
      <c r="BL108" s="166"/>
      <c r="BM108" s="166" cm="1">
        <f t="array" ref="BM108">SUMPRODUCT(
  IFERROR(--desp[valor],0)*
  (desp[nucleo]="UP POMPEIA")*
  (desp[categoria]=BM$7)*
  (desp[data.pagamento]&gt;=$A108)*
  (desp[data.pagamento]&lt;EOMONTH($A108,0)+1)
)</f>
        <v>0</v>
      </c>
      <c r="BN108" s="166" cm="1">
        <f t="array" ref="BN108">SUMPRODUCT(
  IFERROR(--desp[valor],0)*
  (desp[nucleo]="UP POMPEIA")*
  (desp[categoria]=BN$7)*
  (desp[data.pagamento]&gt;=$A108)*
  (desp[data.pagamento]&lt;EOMONTH($A108,0)+1)
)</f>
        <v>0</v>
      </c>
      <c r="BO108" s="166" cm="1">
        <f t="array" ref="BO108">SUMPRODUCT(
  IFERROR(--desp[valor],0)*
  (desp[nucleo]="UP POMPEIA")*
  (desp[categoria]=BO$7)*
  (desp[data.pagamento]&gt;=$A108)*
  (desp[data.pagamento]&lt;EOMONTH($A108,0)+1)
)</f>
        <v>0</v>
      </c>
      <c r="BP108" s="166" cm="1">
        <f t="array" ref="BP108">SUMPRODUCT(
  IFERROR(--desp[valor],0)*
  (desp[nucleo]="UP POMPEIA")*
  (desp[categoria]=BP$7)*
  (desp[data.pagamento]&gt;=$A108)*
  (desp[data.pagamento]&lt;EOMONTH($A108,0)+1)
)</f>
        <v>0</v>
      </c>
      <c r="BQ108" s="166" cm="1">
        <f t="array" ref="BQ108">SUMPRODUCT(
  IFERROR(--desp[valor],0)*
  (desp[nucleo]="UP POMPEIA")*
  (desp[categoria]=BQ$7)*
  (desp[data.pagamento]&gt;=$A108)*
  (desp[data.pagamento]&lt;EOMONTH($A108,0)+1)
)</f>
        <v>0</v>
      </c>
      <c r="BR108" s="177">
        <f>COUNTIFS(
    estq[empresa], BR$6,
    estq[Data da venda / reserva], "&gt;=" &amp; $A108,
    estq[Data da venda / reserva], "&lt;"  &amp; EOMONTH($A108,0) + 1
)</f>
        <v>0</v>
      </c>
      <c r="BS108" s="178">
        <f ca="1">SUMIFS(rec.uni[2029-10-01],
INDIRECT("rec.uni[natureza]"),"pro.soluto",
INDIRECT("rec.uni[empresa]"),BS$6)</f>
        <v>0</v>
      </c>
      <c r="BT108" s="182">
        <f ca="1">SUMIFS(rec.uni[2029-10-01],
INDIRECT("rec.uni[natureza]"),"parcela.fin.total.ik",
INDIRECT("rec.uni[empresa]"),BT$6)</f>
        <v>0</v>
      </c>
      <c r="BU108" s="178">
        <f ca="1">SUMIFS(rec.uni[2029-10-01],
INDIRECT("rec.uni[natureza]"),"taxa.extra",
INDIRECT("rec.uni[empresa]"),BU$6)</f>
        <v>0</v>
      </c>
      <c r="BV108" s="166"/>
      <c r="BW108" s="166" cm="1">
        <f t="array" ref="BW108">SUMPRODUCT(
  IFERROR(--desp[valor],0)*
  (desp[nucleo]="UP SAUDE")*
  (desp[categoria]=BW$7)*
  (desp[data.pagamento]&gt;=$A108)*
  (desp[data.pagamento]&lt;EOMONTH($A108,0)+1)
)</f>
        <v>0</v>
      </c>
      <c r="BX108" s="166" cm="1">
        <f t="array" ref="BX108">SUMPRODUCT(
  IFERROR(--desp[valor],0)*
  (desp[nucleo]="UP SAUDE")*
  (desp[categoria]=BX$7)*
  (desp[data.pagamento]&gt;=$A108)*
  (desp[data.pagamento]&lt;EOMONTH($A108,0)+1)
)</f>
        <v>0</v>
      </c>
      <c r="BY108" s="166" cm="1">
        <f t="array" ref="BY108">SUMPRODUCT(
  IFERROR(--desp[valor],0)*
  (desp[nucleo]="UP SAUDE")*
  (desp[categoria]=BY$7)*
  (desp[data.pagamento]&gt;=$A108)*
  (desp[data.pagamento]&lt;EOMONTH($A108,0)+1)
)</f>
        <v>0</v>
      </c>
      <c r="BZ108" s="166" cm="1">
        <f t="array" ref="BZ108">SUMPRODUCT(
  IFERROR(--desp[valor],0)*
  (desp[nucleo]="UP SAUDE")*
  (desp[categoria]=BZ$7)*
  (desp[data.pagamento]&gt;=$A108)*
  (desp[data.pagamento]&lt;EOMONTH($A108,0)+1)
)</f>
        <v>0</v>
      </c>
      <c r="CA108" s="166" cm="1">
        <f t="array" ref="CA108">SUMPRODUCT(
  IFERROR(--desp[valor],0)*
  (desp[nucleo]="UP SAUDE")*
  (desp[categoria]=CA$7)*
  (desp[data.pagamento]&gt;=$A108)*
  (desp[data.pagamento]&lt;EOMONTH($A108,0)+1)
)</f>
        <v>0</v>
      </c>
      <c r="CB108" s="177">
        <f>COUNTIFS(
    estq[empresa], CB$6,
    estq[Data da venda / reserva], "&gt;=" &amp; $A108,
    estq[Data da venda / reserva], "&lt;"  &amp; EOMONTH($A108,0) + 1
)</f>
        <v>0</v>
      </c>
      <c r="CC108" s="178">
        <f ca="1">SUMIFS(rec.uni[2029-10-01],
INDIRECT("rec.uni[natureza]"),"pro.soluto",
INDIRECT("rec.uni[empresa]"),CC$6)</f>
        <v>0</v>
      </c>
      <c r="CD108" s="178">
        <f ca="1">SUMIFS(rec.uni[2029-10-01],
INDIRECT("rec.uni[natureza]"),"repasse.cef.obra",
INDIRECT("rec.uni[empresa]"),CD$6)</f>
        <v>0</v>
      </c>
      <c r="CE108" s="181">
        <f ca="1">SUMIFS(rec.uni[2029-10-01],
INDIRECT("rec.uni[natureza]"),"repasse.cef.terreno",
INDIRECT("rec.uni[empresa]"),CE$6)</f>
        <v>0</v>
      </c>
      <c r="CF108" s="182"/>
      <c r="CG108" s="178">
        <f ca="1">SUMIFS(rec.uni[2029-10-01],
INDIRECT("rec.uni[natureza]"),"taxa.extra",
INDIRECT("rec.uni[empresa]"),CG$6)</f>
        <v>0</v>
      </c>
      <c r="CH108" s="166"/>
      <c r="CI108" s="166" cm="1">
        <f t="array" ref="CI108">SUMPRODUCT(
  IFERROR(--desp[valor],0)*
  (desp[nucleo]="UP ESTAÇÃO VILA SONIA")*
  (desp[categoria]=CI$7)*
  (desp[data.pagamento]&gt;=$A108)*
  (desp[data.pagamento]&lt;EOMONTH($A108,0)+1)
)</f>
        <v>0</v>
      </c>
      <c r="CJ108" s="166" cm="1">
        <f t="array" ref="CJ108">SUMPRODUCT(
  IFERROR(--desp[valor],0)*
  (desp[nucleo]="UP ESTAÇÃO VILA SONIA")*
  (desp[categoria]=CJ$7)*
  (desp[data.pagamento]&gt;=$A108)*
  (desp[data.pagamento]&lt;EOMONTH($A108,0)+1)
)</f>
        <v>0</v>
      </c>
      <c r="CK108" s="166" cm="1">
        <f t="array" ref="CK108">SUMPRODUCT(
  IFERROR(--desp[valor],0)*
  (desp[nucleo]="UP ESTAÇÃO VILA SONIA")*
  (desp[categoria]=CK$7)*
  (desp[data.pagamento]&gt;=$A108)*
  (desp[data.pagamento]&lt;EOMONTH($A108,0)+1)
)</f>
        <v>0</v>
      </c>
      <c r="CL108" s="166" cm="1">
        <f t="array" ref="CL108">SUMPRODUCT(
  IFERROR(--desp[valor],0)*
  (desp[nucleo]="UP ESTAÇÃO VILA SONIA")*
  (desp[categoria]=CL$7)*
  (desp[data.pagamento]&gt;=$A108)*
  (desp[data.pagamento]&lt;EOMONTH($A108,0)+1)
)</f>
        <v>0</v>
      </c>
      <c r="CM108" s="166" cm="1">
        <f t="array" ref="CM108">SUMPRODUCT(
  IFERROR(--desp[valor],0)*
  (desp[nucleo]="UP ESTAÇÃO VILA SONIA")*
  (desp[categoria]=CM$7)*
  (desp[data.pagamento]&gt;=$A108)*
  (desp[data.pagamento]&lt;EOMONTH($A108,0)+1)
)</f>
        <v>0</v>
      </c>
      <c r="CN108" s="177">
        <f>COUNTIFS(
    estq[empresa], CN$6,
    estq[Data da venda / reserva], "&gt;=" &amp; $A108,
    estq[Data da venda / reserva], "&lt;"  &amp; EOMONTH($A108,0) + 1
)</f>
        <v>0</v>
      </c>
      <c r="CO108" s="178">
        <f ca="1">SUMIFS(rec.uni[2029-10-01],
INDIRECT("rec.uni[natureza]"),"pro.soluto",
INDIRECT("rec.uni[empresa]"),CO$6)</f>
        <v>0</v>
      </c>
      <c r="CP108" s="178">
        <f ca="1">SUMIFS(rec.uni[2029-10-01],
INDIRECT("rec.uni[natureza]"),"repasse.cef.obra",
INDIRECT("rec.uni[empresa]"),CP$6)</f>
        <v>0</v>
      </c>
      <c r="CQ108" s="181">
        <f ca="1">SUMIFS(rec.uni[2029-10-01],
INDIRECT("rec.uni[natureza]"),"repasse.cef.terreno",
INDIRECT("rec.uni[empresa]"),CQ$6)</f>
        <v>0</v>
      </c>
      <c r="CR108" s="182"/>
      <c r="CS108" s="178">
        <f ca="1">SUMIFS(rec.uni[2029-10-01],
INDIRECT("rec.uni[natureza]"),"taxa.extra",
INDIRECT("rec.uni[empresa]"),CS$6)</f>
        <v>0</v>
      </c>
      <c r="CT108" s="166"/>
      <c r="CU108" s="166" cm="1">
        <f t="array" ref="CU108">SUMPRODUCT(
  IFERROR(--desp[valor],0)*
  (desp[nucleo]="UP MOVE VILA SONIA")*
  (desp[categoria]=CU$7)*
  (desp[data.pagamento]&gt;=$A108)*
  (desp[data.pagamento]&lt;EOMONTH($A108,0)+1)
)</f>
        <v>0</v>
      </c>
      <c r="CV108" s="166" cm="1">
        <f t="array" ref="CV108">SUMPRODUCT(
  IFERROR(--desp[valor],0)*
  (desp[nucleo]="UP MOVE VILA SONIA")*
  (desp[categoria]=CV$7)*
  (desp[data.pagamento]&gt;=$A108)*
  (desp[data.pagamento]&lt;EOMONTH($A108,0)+1)
)</f>
        <v>0</v>
      </c>
      <c r="CW108" s="166" cm="1">
        <f t="array" ref="CW108">SUMPRODUCT(
  IFERROR(--desp[valor],0)*
  (desp[nucleo]="UP MOVE VILA SONIA")*
  (desp[categoria]=CW$7)*
  (desp[data.pagamento]&gt;=$A108)*
  (desp[data.pagamento]&lt;EOMONTH($A108,0)+1)
)</f>
        <v>0</v>
      </c>
      <c r="CX108" s="166" cm="1">
        <f t="array" ref="CX108">SUMPRODUCT(
  IFERROR(--desp[valor],0)*
  (desp[nucleo]="UP MOVE VILA SONIA")*
  (desp[categoria]=CX$7)*
  (desp[data.pagamento]&gt;=$A108)*
  (desp[data.pagamento]&lt;EOMONTH($A108,0)+1)
)</f>
        <v>0</v>
      </c>
      <c r="CY108" s="291" cm="1">
        <f t="array" ref="CY108">SUMPRODUCT(
  IFERROR(--desp[valor],0)*
  (desp[nucleo]="UP MOVE VILA SONIA")*
  (desp[categoria]=CY$7)*
  (desp[data.pagamento]&gt;=$A108)*
  (desp[data.pagamento]&lt;EOMONTH($A108,0)+1)
)</f>
        <v>0</v>
      </c>
    </row>
    <row r="109" spans="1:103" x14ac:dyDescent="0.25">
      <c r="A109" s="176">
        <v>47423</v>
      </c>
      <c r="B109" s="177">
        <f>COUNTIFS(
    estq[empresa], B$6,
    estq[Data da venda / reserva], "&gt;=" &amp; $A109,
    estq[Data da venda / reserva], "&lt;"  &amp; EOMONTH($A109,0) + 1
)</f>
        <v>0</v>
      </c>
      <c r="C109" s="178">
        <f ca="1">SUMIFS(rec.uni[2029-11-01],
INDIRECT("rec.uni[natureza]"),"pro.soluto",
INDIRECT("rec.uni[empresa]"),C$6)</f>
        <v>0</v>
      </c>
      <c r="D109" s="178">
        <f ca="1">SUMIFS(rec.uni[2029-11-01],
INDIRECT("rec.uni[natureza]"),"repasse.cef.obra",
INDIRECT("rec.uni[empresa]"),D$6)</f>
        <v>0</v>
      </c>
      <c r="E109" s="178">
        <f ca="1">SUMIFS(rec.uni[2029-11-01],
INDIRECT("rec.uni[natureza]"),"repasse.cef.terreno",
INDIRECT("rec.uni[empresa]"),E$6)</f>
        <v>0</v>
      </c>
      <c r="F109" s="182"/>
      <c r="G109" s="178">
        <f ca="1">SUMIFS(rec.uni[2029-11-01],
INDIRECT("rec.uni[natureza]"),"taxa.extra",
INDIRECT("rec.uni[empresa]"),G$6)</f>
        <v>0</v>
      </c>
      <c r="H109" s="166"/>
      <c r="I109" s="166" cm="1">
        <f t="array" ref="I109">SUMPRODUCT(
  IFERROR(--desp[valor],0)*
  (desp[nucleo]="UP JARDIM PRUDENCIA")*
  (desp[categoria]=I$7)*
  (desp[data.pagamento]&gt;=$A109)*
  (desp[data.pagamento]&lt;EOMONTH($A109,0)+1)
)</f>
        <v>0</v>
      </c>
      <c r="J109" s="166" cm="1">
        <f t="array" ref="J109">SUMPRODUCT(
  IFERROR(--desp[valor],0)*
  (desp[nucleo]="UP JARDIM PRUDENCIA")*
  (desp[categoria]=J$7)*
  (desp[data.pagamento]&gt;=$A109)*
  (desp[data.pagamento]&lt;EOMONTH($A109,0)+1)
)</f>
        <v>0</v>
      </c>
      <c r="K109" s="166" cm="1">
        <f t="array" ref="K109">SUMPRODUCT(
  IFERROR(--desp[valor],0)*
  (desp[nucleo]="UP JARDIM PRUDENCIA")*
  (desp[categoria]=K$7)*
  (desp[data.pagamento]&gt;=$A109)*
  (desp[data.pagamento]&lt;EOMONTH($A109,0)+1)
)</f>
        <v>0</v>
      </c>
      <c r="L109" s="166" cm="1">
        <f t="array" ref="L109">SUMPRODUCT(
  IFERROR(--desp[valor],0)*
  (desp[nucleo]="UP JARDIM PRUDENCIA")*
  (desp[categoria]=L$7)*
  (desp[data.pagamento]&gt;=$A109)*
  (desp[data.pagamento]&lt;EOMONTH($A109,0)+1)
)</f>
        <v>0</v>
      </c>
      <c r="M109" s="166" cm="1">
        <f t="array" ref="M109">SUMPRODUCT(
  IFERROR(--desp[valor],0)*
  (desp[nucleo]="UP JARDIM PRUDENCIA")*
  (desp[categoria]=M$7)*
  (desp[data.pagamento]&gt;=$A109)*
  (desp[data.pagamento]&lt;EOMONTH($A109,0)+1)
)</f>
        <v>0</v>
      </c>
      <c r="N109" s="177">
        <f>COUNTIFS(
    estq[empresa], N$6,
    estq[Data da venda / reserva], "&gt;=" &amp; $A109,
    estq[Data da venda / reserva], "&lt;"  &amp; EOMONTH($A109,0) + 1
)</f>
        <v>0</v>
      </c>
      <c r="O109" s="178">
        <f ca="1">SUMIFS(rec.uni[2029-11-01],
INDIRECT("rec.uni[natureza]"),"pro.soluto",
INDIRECT("rec.uni[empresa]"),O$6)</f>
        <v>0</v>
      </c>
      <c r="P109" s="178">
        <f ca="1">SUMIFS(rec.uni[2029-11-01],
INDIRECT("rec.uni[natureza]"),"repasse.cef.obra",
INDIRECT("rec.uni[empresa]"),P$6)</f>
        <v>0</v>
      </c>
      <c r="Q109" s="178">
        <f ca="1">SUMIFS(rec.uni[2029-11-01],
INDIRECT("rec.uni[natureza]"),"repasse.cef.terreno",
INDIRECT("rec.uni[empresa]"),Q$6)</f>
        <v>0</v>
      </c>
      <c r="R109" s="182"/>
      <c r="S109" s="178">
        <f ca="1">SUMIFS(rec.uni[2029-11-01],
INDIRECT("rec.uni[natureza]"),"taxa.extra",
INDIRECT("rec.uni[empresa]"),S$6)</f>
        <v>0</v>
      </c>
      <c r="T109" s="166"/>
      <c r="U109" s="166" cm="1">
        <f t="array" ref="U109">SUMPRODUCT(
  IFERROR(--desp[valor],0)*
  (desp[nucleo]="UP VILA SONIA")*
  (desp[categoria]=U$7)*
  (desp[data.pagamento]&gt;=$A109)*
  (desp[data.pagamento]&lt;EOMONTH($A109,0)+1)
)</f>
        <v>0</v>
      </c>
      <c r="V109" s="166" cm="1">
        <f t="array" ref="V109">SUMPRODUCT(
  IFERROR(--desp[valor],0)*
  (desp[nucleo]="UP VILA SONIA")*
  (desp[categoria]=V$7)*
  (desp[data.pagamento]&gt;=$A109)*
  (desp[data.pagamento]&lt;EOMONTH($A109,0)+1)
)</f>
        <v>0</v>
      </c>
      <c r="W109" s="166" cm="1">
        <f t="array" ref="W109">SUMPRODUCT(
  IFERROR(--desp[valor],0)*
  (desp[nucleo]="UP VILA SONIA")*
  (desp[categoria]=W$7)*
  (desp[data.pagamento]&gt;=$A109)*
  (desp[data.pagamento]&lt;EOMONTH($A109,0)+1)
)</f>
        <v>0</v>
      </c>
      <c r="X109" s="166" cm="1">
        <f t="array" ref="X109">SUMPRODUCT(
  IFERROR(--desp[valor],0)*
  (desp[nucleo]="UP VILA SONIA")*
  (desp[categoria]=X$7)*
  (desp[data.pagamento]&gt;=$A109)*
  (desp[data.pagamento]&lt;EOMONTH($A109,0)+1)
)</f>
        <v>0</v>
      </c>
      <c r="Y109" s="166" cm="1">
        <f t="array" ref="Y109">SUMPRODUCT(
  IFERROR(--desp[valor],0)*
  (desp[nucleo]="UP VILA SONIA")*
  (desp[categoria]=Y$7)*
  (desp[data.pagamento]&gt;=$A109)*
  (desp[data.pagamento]&lt;EOMONTH($A109,0)+1)
)</f>
        <v>0</v>
      </c>
      <c r="Z109" s="177">
        <f>COUNTIFS(
    estq[empresa], Z$6,
    estq[Data da venda / reserva], "&gt;=" &amp; $A109,
    estq[Data da venda / reserva], "&lt;"  &amp; EOMONTH($A109,0) + 1
)</f>
        <v>0</v>
      </c>
      <c r="AA109" s="178">
        <f ca="1">SUMIFS(rec.uni[2029-11-01],
INDIRECT("rec.uni[natureza]"),"pro.soluto",
INDIRECT("rec.uni[empresa]"),AA$6)</f>
        <v>0</v>
      </c>
      <c r="AB109" s="182">
        <f ca="1">SUMIFS(rec.uni[2029-11-01],
INDIRECT("rec.uni[natureza]"),"parcela.fin.total.ik",
INDIRECT("rec.uni[empresa]"),AB$6)</f>
        <v>0</v>
      </c>
      <c r="AC109" s="178">
        <f ca="1">SUMIFS(rec.uni[2029-11-01],
INDIRECT("rec.uni[natureza]"),"taxa.extra",
INDIRECT("rec.uni[empresa]"),AC$6)</f>
        <v>0</v>
      </c>
      <c r="AD109" s="166"/>
      <c r="AE109" s="166" cm="1">
        <f t="array" ref="AE109">SUMPRODUCT(
  IFERROR(--desp[valor],0)*
  (desp[nucleo]="UP CAMPO BELO")*
  (desp[categoria]=AE$7)*
  (desp[data.pagamento]&gt;=$A109)*
  (desp[data.pagamento]&lt;EOMONTH($A109,0)+1)
)</f>
        <v>0</v>
      </c>
      <c r="AF109" s="166" cm="1">
        <f t="array" ref="AF109">SUMPRODUCT(
  IFERROR(--desp[valor],0)*
  (desp[nucleo]="UP CAMPO BELO")*
  (desp[categoria]=AF$7)*
  (desp[data.pagamento]&gt;=$A109)*
  (desp[data.pagamento]&lt;EOMONTH($A109,0)+1)
)</f>
        <v>0</v>
      </c>
      <c r="AG109" s="166" cm="1">
        <f t="array" ref="AG109">SUMPRODUCT(
  IFERROR(--desp[valor],0)*
  (desp[nucleo]="UP CAMPO BELO")*
  (desp[categoria]=AG$7)*
  (desp[data.pagamento]&gt;=$A109)*
  (desp[data.pagamento]&lt;EOMONTH($A109,0)+1)
)</f>
        <v>0</v>
      </c>
      <c r="AH109" s="166" cm="1">
        <f t="array" ref="AH109">SUMPRODUCT(
  IFERROR(--desp[valor],0)*
  (desp[nucleo]="UP CAMPO BELO")*
  (desp[categoria]=AH$7)*
  (desp[data.pagamento]&gt;=$A109)*
  (desp[data.pagamento]&lt;EOMONTH($A109,0)+1)
)</f>
        <v>0</v>
      </c>
      <c r="AI109" s="166" cm="1">
        <f t="array" ref="AI109">SUMPRODUCT(
  IFERROR(--desp[valor],0)*
  (desp[nucleo]="UP CAMPO BELO")*
  (desp[categoria]=AI$7)*
  (desp[data.pagamento]&gt;=$A109)*
  (desp[data.pagamento]&lt;EOMONTH($A109,0)+1)
)</f>
        <v>0</v>
      </c>
      <c r="AJ109" s="177">
        <f>COUNTIFS(
    estq[empresa], AJ$6,
    estq[Data da venda / reserva], "&gt;=" &amp; $A109,
    estq[Data da venda / reserva], "&lt;"  &amp; EOMONTH($A109,0) + 1
)</f>
        <v>0</v>
      </c>
      <c r="AK109" s="178">
        <f ca="1">SUMIFS(rec.uni[2029-11-01],
INDIRECT("rec.uni[natureza]"),"pro.soluto",
INDIRECT("rec.uni[empresa]"),AK$6)</f>
        <v>0</v>
      </c>
      <c r="AL109" s="178">
        <f ca="1">SUMIFS(rec.uni[2029-11-01],
INDIRECT("rec.uni[natureza]"),"repasse.cef.obra",
INDIRECT("rec.uni[empresa]"),AL$6)</f>
        <v>0</v>
      </c>
      <c r="AM109" s="181">
        <f ca="1">SUMIFS(rec.uni[2029-11-01],
INDIRECT("rec.uni[natureza]"),"repasse.cef.terreno",
INDIRECT("rec.uni[empresa]"),AM$6)</f>
        <v>0</v>
      </c>
      <c r="AN109" s="182"/>
      <c r="AO109" s="178">
        <f ca="1">SUMIFS(rec.uni[2029-11-01],
INDIRECT("rec.uni[natureza]"),"taxa.extra",
INDIRECT("rec.uni[empresa]"),AO$6)</f>
        <v>0</v>
      </c>
      <c r="AP109" s="166"/>
      <c r="AQ109" s="166" cm="1">
        <f t="array" ref="AQ109">SUMPRODUCT(
  IFERROR(--desp[valor],0)*
  (desp[nucleo]="UP SELECT VILA SONIA")*
  (desp[categoria]=AQ$7)*
  (desp[data.pagamento]&gt;=$A109)*
  (desp[data.pagamento]&lt;EOMONTH($A109,0)+1)
)</f>
        <v>0</v>
      </c>
      <c r="AR109" s="166" cm="1">
        <f t="array" ref="AR109">SUMPRODUCT(
  IFERROR(--desp[valor],0)*
  (desp[nucleo]="UP SELECT VILA SONIA")*
  (desp[categoria]=AR$7)*
  (desp[data.pagamento]&gt;=$A109)*
  (desp[data.pagamento]&lt;EOMONTH($A109,0)+1)
)</f>
        <v>0</v>
      </c>
      <c r="AS109" s="166" cm="1">
        <f t="array" ref="AS109">SUMPRODUCT(
  IFERROR(--desp[valor],0)*
  (desp[nucleo]="UP SELECT VILA SONIA")*
  (desp[categoria]=AS$7)*
  (desp[data.pagamento]&gt;=$A109)*
  (desp[data.pagamento]&lt;EOMONTH($A109,0)+1)
)</f>
        <v>0</v>
      </c>
      <c r="AT109" s="166" cm="1">
        <f t="array" ref="AT109">SUMPRODUCT(
  IFERROR(--desp[valor],0)*
  (desp[nucleo]="UP SELECT VILA SONIA")*
  (desp[categoria]=AT$7)*
  (desp[data.pagamento]&gt;=$A109)*
  (desp[data.pagamento]&lt;EOMONTH($A109,0)+1)
)</f>
        <v>0</v>
      </c>
      <c r="AU109" s="166" cm="1">
        <f t="array" ref="AU109">SUMPRODUCT(
  IFERROR(--desp[valor],0)*
  (desp[nucleo]="UP SELECT VILA SONIA")*
  (desp[categoria]=AU$7)*
  (desp[data.pagamento]&gt;=$A109)*
  (desp[data.pagamento]&lt;EOMONTH($A109,0)+1)
)</f>
        <v>0</v>
      </c>
      <c r="AV109" s="177">
        <f>COUNTIFS(
    estq[empresa], AV$6,
    estq[Data da venda / reserva], "&gt;=" &amp; $A109,
    estq[Data da venda / reserva], "&lt;"  &amp; EOMONTH($A109,0) + 1
)</f>
        <v>0</v>
      </c>
      <c r="AW109" s="178">
        <f ca="1">SUMIFS(rec.uni[2029-11-01],
INDIRECT("rec.uni[natureza]"),"pro.soluto",
INDIRECT("rec.uni[empresa]"),AW$6)</f>
        <v>0</v>
      </c>
      <c r="AX109" s="178">
        <f ca="1">SUMIFS(rec.uni[2029-11-01],
INDIRECT("rec.uni[natureza]"),"repasse.cef.obra",
INDIRECT("rec.uni[empresa]"),AX$6)</f>
        <v>0</v>
      </c>
      <c r="AY109" s="181">
        <f ca="1">SUMIFS(rec.uni[2029-11-01],
INDIRECT("rec.uni[natureza]"),"repasse.cef.terreno",
INDIRECT("rec.uni[empresa]"),AY$6)</f>
        <v>0</v>
      </c>
      <c r="AZ109" s="182"/>
      <c r="BA109" s="178">
        <f ca="1">SUMIFS(rec.uni[2029-11-01],
INDIRECT("rec.uni[natureza]"),"taxa.extra",
INDIRECT("rec.uni[empresa]"),BA$6)</f>
        <v>0</v>
      </c>
      <c r="BB109" s="166"/>
      <c r="BC109" s="166" cm="1">
        <f t="array" ref="BC109">SUMPRODUCT(
  IFERROR(--desp[valor],0)*
  (desp[nucleo]="UP ESTAÇÃO SÃO LUCAS")*
  (desp[categoria]=BC$7)*
  (desp[data.pagamento]&gt;=$A109)*
  (desp[data.pagamento]&lt;EOMONTH($A109,0)+1)
)</f>
        <v>0</v>
      </c>
      <c r="BD109" s="166" cm="1">
        <f t="array" ref="BD109">SUMPRODUCT(
  IFERROR(--desp[valor],0)*
  (desp[nucleo]="UP ESTAÇÃO SÃO LUCAS")*
  (desp[categoria]=BD$7)*
  (desp[data.pagamento]&gt;=$A109)*
  (desp[data.pagamento]&lt;EOMONTH($A109,0)+1)
)</f>
        <v>0</v>
      </c>
      <c r="BE109" s="166" cm="1">
        <f t="array" ref="BE109">SUMPRODUCT(
  IFERROR(--desp[valor],0)*
  (desp[nucleo]="UP ESTAÇÃO SÃO LUCAS")*
  (desp[categoria]=BE$7)*
  (desp[data.pagamento]&gt;=$A109)*
  (desp[data.pagamento]&lt;EOMONTH($A109,0)+1)
)</f>
        <v>0</v>
      </c>
      <c r="BF109" s="166" cm="1">
        <f t="array" ref="BF109">SUMPRODUCT(
  IFERROR(--desp[valor],0)*
  (desp[nucleo]="UP ESTAÇÃO SÃO LUCAS")*
  (desp[categoria]=BF$7)*
  (desp[data.pagamento]&gt;=$A109)*
  (desp[data.pagamento]&lt;EOMONTH($A109,0)+1)
)</f>
        <v>0</v>
      </c>
      <c r="BG109" s="166" cm="1">
        <f t="array" ref="BG109">SUMPRODUCT(
  IFERROR(--desp[valor],0)*
  (desp[nucleo]="UP ESTAÇÃO SÃO LUCAS")*
  (desp[categoria]=BG$7)*
  (desp[data.pagamento]&gt;=$A109)*
  (desp[data.pagamento]&lt;EOMONTH($A109,0)+1)
)</f>
        <v>0</v>
      </c>
      <c r="BH109" s="177">
        <f>COUNTIFS(
    estq[empresa], BH$6,
    estq[Data da venda / reserva], "&gt;=" &amp; $A109,
    estq[Data da venda / reserva], "&lt;"  &amp; EOMONTH($A109,0) + 1
)</f>
        <v>0</v>
      </c>
      <c r="BI109" s="178">
        <f ca="1">SUMIFS(rec.uni[2029-11-01],
INDIRECT("rec.uni[natureza]"),"pro.soluto",
INDIRECT("rec.uni[empresa]"),BI$6)</f>
        <v>0</v>
      </c>
      <c r="BJ109" s="182">
        <f ca="1">SUMIFS(rec.uni[2029-11-01],
INDIRECT("rec.uni[natureza]"),"parcela.fin.total.ik",
INDIRECT("rec.uni[empresa]"),BJ$6)</f>
        <v>0</v>
      </c>
      <c r="BK109" s="178">
        <f ca="1">SUMIFS(rec.uni[2029-11-01],
INDIRECT("rec.uni[natureza]"),"taxa.extra",
INDIRECT("rec.uni[empresa]"),BK$6)</f>
        <v>0</v>
      </c>
      <c r="BL109" s="166"/>
      <c r="BM109" s="166" cm="1">
        <f t="array" ref="BM109">SUMPRODUCT(
  IFERROR(--desp[valor],0)*
  (desp[nucleo]="UP POMPEIA")*
  (desp[categoria]=BM$7)*
  (desp[data.pagamento]&gt;=$A109)*
  (desp[data.pagamento]&lt;EOMONTH($A109,0)+1)
)</f>
        <v>0</v>
      </c>
      <c r="BN109" s="166" cm="1">
        <f t="array" ref="BN109">SUMPRODUCT(
  IFERROR(--desp[valor],0)*
  (desp[nucleo]="UP POMPEIA")*
  (desp[categoria]=BN$7)*
  (desp[data.pagamento]&gt;=$A109)*
  (desp[data.pagamento]&lt;EOMONTH($A109,0)+1)
)</f>
        <v>0</v>
      </c>
      <c r="BO109" s="166" cm="1">
        <f t="array" ref="BO109">SUMPRODUCT(
  IFERROR(--desp[valor],0)*
  (desp[nucleo]="UP POMPEIA")*
  (desp[categoria]=BO$7)*
  (desp[data.pagamento]&gt;=$A109)*
  (desp[data.pagamento]&lt;EOMONTH($A109,0)+1)
)</f>
        <v>0</v>
      </c>
      <c r="BP109" s="166" cm="1">
        <f t="array" ref="BP109">SUMPRODUCT(
  IFERROR(--desp[valor],0)*
  (desp[nucleo]="UP POMPEIA")*
  (desp[categoria]=BP$7)*
  (desp[data.pagamento]&gt;=$A109)*
  (desp[data.pagamento]&lt;EOMONTH($A109,0)+1)
)</f>
        <v>0</v>
      </c>
      <c r="BQ109" s="166" cm="1">
        <f t="array" ref="BQ109">SUMPRODUCT(
  IFERROR(--desp[valor],0)*
  (desp[nucleo]="UP POMPEIA")*
  (desp[categoria]=BQ$7)*
  (desp[data.pagamento]&gt;=$A109)*
  (desp[data.pagamento]&lt;EOMONTH($A109,0)+1)
)</f>
        <v>0</v>
      </c>
      <c r="BR109" s="177">
        <f>COUNTIFS(
    estq[empresa], BR$6,
    estq[Data da venda / reserva], "&gt;=" &amp; $A109,
    estq[Data da venda / reserva], "&lt;"  &amp; EOMONTH($A109,0) + 1
)</f>
        <v>0</v>
      </c>
      <c r="BS109" s="178">
        <f ca="1">SUMIFS(rec.uni[2029-11-01],
INDIRECT("rec.uni[natureza]"),"pro.soluto",
INDIRECT("rec.uni[empresa]"),BS$6)</f>
        <v>0</v>
      </c>
      <c r="BT109" s="182">
        <f ca="1">SUMIFS(rec.uni[2029-11-01],
INDIRECT("rec.uni[natureza]"),"parcela.fin.total.ik",
INDIRECT("rec.uni[empresa]"),BT$6)</f>
        <v>0</v>
      </c>
      <c r="BU109" s="178">
        <f ca="1">SUMIFS(rec.uni[2029-11-01],
INDIRECT("rec.uni[natureza]"),"taxa.extra",
INDIRECT("rec.uni[empresa]"),BU$6)</f>
        <v>0</v>
      </c>
      <c r="BV109" s="166"/>
      <c r="BW109" s="166" cm="1">
        <f t="array" ref="BW109">SUMPRODUCT(
  IFERROR(--desp[valor],0)*
  (desp[nucleo]="UP SAUDE")*
  (desp[categoria]=BW$7)*
  (desp[data.pagamento]&gt;=$A109)*
  (desp[data.pagamento]&lt;EOMONTH($A109,0)+1)
)</f>
        <v>0</v>
      </c>
      <c r="BX109" s="166" cm="1">
        <f t="array" ref="BX109">SUMPRODUCT(
  IFERROR(--desp[valor],0)*
  (desp[nucleo]="UP SAUDE")*
  (desp[categoria]=BX$7)*
  (desp[data.pagamento]&gt;=$A109)*
  (desp[data.pagamento]&lt;EOMONTH($A109,0)+1)
)</f>
        <v>0</v>
      </c>
      <c r="BY109" s="166" cm="1">
        <f t="array" ref="BY109">SUMPRODUCT(
  IFERROR(--desp[valor],0)*
  (desp[nucleo]="UP SAUDE")*
  (desp[categoria]=BY$7)*
  (desp[data.pagamento]&gt;=$A109)*
  (desp[data.pagamento]&lt;EOMONTH($A109,0)+1)
)</f>
        <v>0</v>
      </c>
      <c r="BZ109" s="166" cm="1">
        <f t="array" ref="BZ109">SUMPRODUCT(
  IFERROR(--desp[valor],0)*
  (desp[nucleo]="UP SAUDE")*
  (desp[categoria]=BZ$7)*
  (desp[data.pagamento]&gt;=$A109)*
  (desp[data.pagamento]&lt;EOMONTH($A109,0)+1)
)</f>
        <v>0</v>
      </c>
      <c r="CA109" s="166" cm="1">
        <f t="array" ref="CA109">SUMPRODUCT(
  IFERROR(--desp[valor],0)*
  (desp[nucleo]="UP SAUDE")*
  (desp[categoria]=CA$7)*
  (desp[data.pagamento]&gt;=$A109)*
  (desp[data.pagamento]&lt;EOMONTH($A109,0)+1)
)</f>
        <v>0</v>
      </c>
      <c r="CB109" s="177">
        <f>COUNTIFS(
    estq[empresa], CB$6,
    estq[Data da venda / reserva], "&gt;=" &amp; $A109,
    estq[Data da venda / reserva], "&lt;"  &amp; EOMONTH($A109,0) + 1
)</f>
        <v>0</v>
      </c>
      <c r="CC109" s="178">
        <f ca="1">SUMIFS(rec.uni[2029-11-01],
INDIRECT("rec.uni[natureza]"),"pro.soluto",
INDIRECT("rec.uni[empresa]"),CC$6)</f>
        <v>0</v>
      </c>
      <c r="CD109" s="178">
        <f ca="1">SUMIFS(rec.uni[2029-11-01],
INDIRECT("rec.uni[natureza]"),"repasse.cef.obra",
INDIRECT("rec.uni[empresa]"),CD$6)</f>
        <v>0</v>
      </c>
      <c r="CE109" s="181">
        <f ca="1">SUMIFS(rec.uni[2029-11-01],
INDIRECT("rec.uni[natureza]"),"repasse.cef.terreno",
INDIRECT("rec.uni[empresa]"),CE$6)</f>
        <v>0</v>
      </c>
      <c r="CF109" s="182"/>
      <c r="CG109" s="178">
        <f ca="1">SUMIFS(rec.uni[2029-11-01],
INDIRECT("rec.uni[natureza]"),"taxa.extra",
INDIRECT("rec.uni[empresa]"),CG$6)</f>
        <v>0</v>
      </c>
      <c r="CH109" s="166"/>
      <c r="CI109" s="166" cm="1">
        <f t="array" ref="CI109">SUMPRODUCT(
  IFERROR(--desp[valor],0)*
  (desp[nucleo]="UP ESTAÇÃO VILA SONIA")*
  (desp[categoria]=CI$7)*
  (desp[data.pagamento]&gt;=$A109)*
  (desp[data.pagamento]&lt;EOMONTH($A109,0)+1)
)</f>
        <v>0</v>
      </c>
      <c r="CJ109" s="166" cm="1">
        <f t="array" ref="CJ109">SUMPRODUCT(
  IFERROR(--desp[valor],0)*
  (desp[nucleo]="UP ESTAÇÃO VILA SONIA")*
  (desp[categoria]=CJ$7)*
  (desp[data.pagamento]&gt;=$A109)*
  (desp[data.pagamento]&lt;EOMONTH($A109,0)+1)
)</f>
        <v>0</v>
      </c>
      <c r="CK109" s="166" cm="1">
        <f t="array" ref="CK109">SUMPRODUCT(
  IFERROR(--desp[valor],0)*
  (desp[nucleo]="UP ESTAÇÃO VILA SONIA")*
  (desp[categoria]=CK$7)*
  (desp[data.pagamento]&gt;=$A109)*
  (desp[data.pagamento]&lt;EOMONTH($A109,0)+1)
)</f>
        <v>0</v>
      </c>
      <c r="CL109" s="166" cm="1">
        <f t="array" ref="CL109">SUMPRODUCT(
  IFERROR(--desp[valor],0)*
  (desp[nucleo]="UP ESTAÇÃO VILA SONIA")*
  (desp[categoria]=CL$7)*
  (desp[data.pagamento]&gt;=$A109)*
  (desp[data.pagamento]&lt;EOMONTH($A109,0)+1)
)</f>
        <v>0</v>
      </c>
      <c r="CM109" s="166" cm="1">
        <f t="array" ref="CM109">SUMPRODUCT(
  IFERROR(--desp[valor],0)*
  (desp[nucleo]="UP ESTAÇÃO VILA SONIA")*
  (desp[categoria]=CM$7)*
  (desp[data.pagamento]&gt;=$A109)*
  (desp[data.pagamento]&lt;EOMONTH($A109,0)+1)
)</f>
        <v>0</v>
      </c>
      <c r="CN109" s="177">
        <f>COUNTIFS(
    estq[empresa], CN$6,
    estq[Data da venda / reserva], "&gt;=" &amp; $A109,
    estq[Data da venda / reserva], "&lt;"  &amp; EOMONTH($A109,0) + 1
)</f>
        <v>0</v>
      </c>
      <c r="CO109" s="178">
        <f ca="1">SUMIFS(rec.uni[2029-11-01],
INDIRECT("rec.uni[natureza]"),"pro.soluto",
INDIRECT("rec.uni[empresa]"),CO$6)</f>
        <v>0</v>
      </c>
      <c r="CP109" s="178">
        <f ca="1">SUMIFS(rec.uni[2029-11-01],
INDIRECT("rec.uni[natureza]"),"repasse.cef.obra",
INDIRECT("rec.uni[empresa]"),CP$6)</f>
        <v>0</v>
      </c>
      <c r="CQ109" s="181">
        <f ca="1">SUMIFS(rec.uni[2029-11-01],
INDIRECT("rec.uni[natureza]"),"repasse.cef.terreno",
INDIRECT("rec.uni[empresa]"),CQ$6)</f>
        <v>0</v>
      </c>
      <c r="CR109" s="182"/>
      <c r="CS109" s="178">
        <f ca="1">SUMIFS(rec.uni[2029-11-01],
INDIRECT("rec.uni[natureza]"),"taxa.extra",
INDIRECT("rec.uni[empresa]"),CS$6)</f>
        <v>0</v>
      </c>
      <c r="CT109" s="166"/>
      <c r="CU109" s="166" cm="1">
        <f t="array" ref="CU109">SUMPRODUCT(
  IFERROR(--desp[valor],0)*
  (desp[nucleo]="UP MOVE VILA SONIA")*
  (desp[categoria]=CU$7)*
  (desp[data.pagamento]&gt;=$A109)*
  (desp[data.pagamento]&lt;EOMONTH($A109,0)+1)
)</f>
        <v>0</v>
      </c>
      <c r="CV109" s="166" cm="1">
        <f t="array" ref="CV109">SUMPRODUCT(
  IFERROR(--desp[valor],0)*
  (desp[nucleo]="UP MOVE VILA SONIA")*
  (desp[categoria]=CV$7)*
  (desp[data.pagamento]&gt;=$A109)*
  (desp[data.pagamento]&lt;EOMONTH($A109,0)+1)
)</f>
        <v>0</v>
      </c>
      <c r="CW109" s="166" cm="1">
        <f t="array" ref="CW109">SUMPRODUCT(
  IFERROR(--desp[valor],0)*
  (desp[nucleo]="UP MOVE VILA SONIA")*
  (desp[categoria]=CW$7)*
  (desp[data.pagamento]&gt;=$A109)*
  (desp[data.pagamento]&lt;EOMONTH($A109,0)+1)
)</f>
        <v>0</v>
      </c>
      <c r="CX109" s="166" cm="1">
        <f t="array" ref="CX109">SUMPRODUCT(
  IFERROR(--desp[valor],0)*
  (desp[nucleo]="UP MOVE VILA SONIA")*
  (desp[categoria]=CX$7)*
  (desp[data.pagamento]&gt;=$A109)*
  (desp[data.pagamento]&lt;EOMONTH($A109,0)+1)
)</f>
        <v>0</v>
      </c>
      <c r="CY109" s="291" cm="1">
        <f t="array" ref="CY109">SUMPRODUCT(
  IFERROR(--desp[valor],0)*
  (desp[nucleo]="UP MOVE VILA SONIA")*
  (desp[categoria]=CY$7)*
  (desp[data.pagamento]&gt;=$A109)*
  (desp[data.pagamento]&lt;EOMONTH($A109,0)+1)
)</f>
        <v>0</v>
      </c>
    </row>
    <row r="110" spans="1:103" x14ac:dyDescent="0.25">
      <c r="A110" s="176">
        <v>47453</v>
      </c>
      <c r="B110" s="177">
        <f>COUNTIFS(
    estq[empresa], B$6,
    estq[Data da venda / reserva], "&gt;=" &amp; $A110,
    estq[Data da venda / reserva], "&lt;"  &amp; EOMONTH($A110,0) + 1
)</f>
        <v>0</v>
      </c>
      <c r="C110" s="178">
        <f ca="1">SUMIFS(rec.uni[2029-12-01],
INDIRECT("rec.uni[natureza]"),"pro.soluto",
INDIRECT("rec.uni[empresa]"),C$6)</f>
        <v>0</v>
      </c>
      <c r="D110" s="178">
        <f ca="1">SUMIFS(rec.uni[2029-12-01],
INDIRECT("rec.uni[natureza]"),"repasse.cef.obra",
INDIRECT("rec.uni[empresa]"),D$6)</f>
        <v>0</v>
      </c>
      <c r="E110" s="178">
        <f ca="1">SUMIFS(rec.uni[2029-12-01],
INDIRECT("rec.uni[natureza]"),"repasse.cef.terreno",
INDIRECT("rec.uni[empresa]"),E$6)</f>
        <v>0</v>
      </c>
      <c r="F110" s="182"/>
      <c r="G110" s="178">
        <f ca="1">SUMIFS(rec.uni[2029-12-01],
INDIRECT("rec.uni[natureza]"),"taxa.extra",
INDIRECT("rec.uni[empresa]"),G$6)</f>
        <v>0</v>
      </c>
      <c r="H110" s="166"/>
      <c r="I110" s="166" cm="1">
        <f t="array" ref="I110">SUMPRODUCT(
  IFERROR(--desp[valor],0)*
  (desp[nucleo]="UP JARDIM PRUDENCIA")*
  (desp[categoria]=I$7)*
  (desp[data.pagamento]&gt;=$A110)*
  (desp[data.pagamento]&lt;EOMONTH($A110,0)+1)
)</f>
        <v>0</v>
      </c>
      <c r="J110" s="166" cm="1">
        <f t="array" ref="J110">SUMPRODUCT(
  IFERROR(--desp[valor],0)*
  (desp[nucleo]="UP JARDIM PRUDENCIA")*
  (desp[categoria]=J$7)*
  (desp[data.pagamento]&gt;=$A110)*
  (desp[data.pagamento]&lt;EOMONTH($A110,0)+1)
)</f>
        <v>0</v>
      </c>
      <c r="K110" s="166" cm="1">
        <f t="array" ref="K110">SUMPRODUCT(
  IFERROR(--desp[valor],0)*
  (desp[nucleo]="UP JARDIM PRUDENCIA")*
  (desp[categoria]=K$7)*
  (desp[data.pagamento]&gt;=$A110)*
  (desp[data.pagamento]&lt;EOMONTH($A110,0)+1)
)</f>
        <v>0</v>
      </c>
      <c r="L110" s="166" cm="1">
        <f t="array" ref="L110">SUMPRODUCT(
  IFERROR(--desp[valor],0)*
  (desp[nucleo]="UP JARDIM PRUDENCIA")*
  (desp[categoria]=L$7)*
  (desp[data.pagamento]&gt;=$A110)*
  (desp[data.pagamento]&lt;EOMONTH($A110,0)+1)
)</f>
        <v>0</v>
      </c>
      <c r="M110" s="166" cm="1">
        <f t="array" ref="M110">SUMPRODUCT(
  IFERROR(--desp[valor],0)*
  (desp[nucleo]="UP JARDIM PRUDENCIA")*
  (desp[categoria]=M$7)*
  (desp[data.pagamento]&gt;=$A110)*
  (desp[data.pagamento]&lt;EOMONTH($A110,0)+1)
)</f>
        <v>0</v>
      </c>
      <c r="N110" s="177">
        <f>COUNTIFS(
    estq[empresa], N$6,
    estq[Data da venda / reserva], "&gt;=" &amp; $A110,
    estq[Data da venda / reserva], "&lt;"  &amp; EOMONTH($A110,0) + 1
)</f>
        <v>0</v>
      </c>
      <c r="O110" s="178">
        <f ca="1">SUMIFS(rec.uni[2029-12-01],
INDIRECT("rec.uni[natureza]"),"pro.soluto",
INDIRECT("rec.uni[empresa]"),O$6)</f>
        <v>0</v>
      </c>
      <c r="P110" s="178">
        <f ca="1">SUMIFS(rec.uni[2029-12-01],
INDIRECT("rec.uni[natureza]"),"repasse.cef.obra",
INDIRECT("rec.uni[empresa]"),P$6)</f>
        <v>0</v>
      </c>
      <c r="Q110" s="178">
        <f ca="1">SUMIFS(rec.uni[2029-12-01],
INDIRECT("rec.uni[natureza]"),"repasse.cef.terreno",
INDIRECT("rec.uni[empresa]"),Q$6)</f>
        <v>0</v>
      </c>
      <c r="R110" s="182"/>
      <c r="S110" s="178">
        <f ca="1">SUMIFS(rec.uni[2029-12-01],
INDIRECT("rec.uni[natureza]"),"taxa.extra",
INDIRECT("rec.uni[empresa]"),S$6)</f>
        <v>0</v>
      </c>
      <c r="T110" s="166"/>
      <c r="U110" s="166" cm="1">
        <f t="array" ref="U110">SUMPRODUCT(
  IFERROR(--desp[valor],0)*
  (desp[nucleo]="UP VILA SONIA")*
  (desp[categoria]=U$7)*
  (desp[data.pagamento]&gt;=$A110)*
  (desp[data.pagamento]&lt;EOMONTH($A110,0)+1)
)</f>
        <v>0</v>
      </c>
      <c r="V110" s="166" cm="1">
        <f t="array" ref="V110">SUMPRODUCT(
  IFERROR(--desp[valor],0)*
  (desp[nucleo]="UP VILA SONIA")*
  (desp[categoria]=V$7)*
  (desp[data.pagamento]&gt;=$A110)*
  (desp[data.pagamento]&lt;EOMONTH($A110,0)+1)
)</f>
        <v>0</v>
      </c>
      <c r="W110" s="166" cm="1">
        <f t="array" ref="W110">SUMPRODUCT(
  IFERROR(--desp[valor],0)*
  (desp[nucleo]="UP VILA SONIA")*
  (desp[categoria]=W$7)*
  (desp[data.pagamento]&gt;=$A110)*
  (desp[data.pagamento]&lt;EOMONTH($A110,0)+1)
)</f>
        <v>0</v>
      </c>
      <c r="X110" s="166" cm="1">
        <f t="array" ref="X110">SUMPRODUCT(
  IFERROR(--desp[valor],0)*
  (desp[nucleo]="UP VILA SONIA")*
  (desp[categoria]=X$7)*
  (desp[data.pagamento]&gt;=$A110)*
  (desp[data.pagamento]&lt;EOMONTH($A110,0)+1)
)</f>
        <v>0</v>
      </c>
      <c r="Y110" s="166" cm="1">
        <f t="array" ref="Y110">SUMPRODUCT(
  IFERROR(--desp[valor],0)*
  (desp[nucleo]="UP VILA SONIA")*
  (desp[categoria]=Y$7)*
  (desp[data.pagamento]&gt;=$A110)*
  (desp[data.pagamento]&lt;EOMONTH($A110,0)+1)
)</f>
        <v>0</v>
      </c>
      <c r="Z110" s="177">
        <f>COUNTIFS(
    estq[empresa], Z$6,
    estq[Data da venda / reserva], "&gt;=" &amp; $A110,
    estq[Data da venda / reserva], "&lt;"  &amp; EOMONTH($A110,0) + 1
)</f>
        <v>0</v>
      </c>
      <c r="AA110" s="178">
        <f ca="1">SUMIFS(rec.uni[2029-12-01],
INDIRECT("rec.uni[natureza]"),"pro.soluto",
INDIRECT("rec.uni[empresa]"),AA$6)</f>
        <v>0</v>
      </c>
      <c r="AB110" s="182">
        <f ca="1">SUMIFS(rec.uni[2029-12-01],
INDIRECT("rec.uni[natureza]"),"parcela.fin.total.ik",
INDIRECT("rec.uni[empresa]"),AB$6)</f>
        <v>0</v>
      </c>
      <c r="AC110" s="178">
        <f ca="1">SUMIFS(rec.uni[2029-12-01],
INDIRECT("rec.uni[natureza]"),"taxa.extra",
INDIRECT("rec.uni[empresa]"),AC$6)</f>
        <v>0</v>
      </c>
      <c r="AD110" s="166"/>
      <c r="AE110" s="166" cm="1">
        <f t="array" ref="AE110">SUMPRODUCT(
  IFERROR(--desp[valor],0)*
  (desp[nucleo]="UP CAMPO BELO")*
  (desp[categoria]=AE$7)*
  (desp[data.pagamento]&gt;=$A110)*
  (desp[data.pagamento]&lt;EOMONTH($A110,0)+1)
)</f>
        <v>0</v>
      </c>
      <c r="AF110" s="166" cm="1">
        <f t="array" ref="AF110">SUMPRODUCT(
  IFERROR(--desp[valor],0)*
  (desp[nucleo]="UP CAMPO BELO")*
  (desp[categoria]=AF$7)*
  (desp[data.pagamento]&gt;=$A110)*
  (desp[data.pagamento]&lt;EOMONTH($A110,0)+1)
)</f>
        <v>0</v>
      </c>
      <c r="AG110" s="166" cm="1">
        <f t="array" ref="AG110">SUMPRODUCT(
  IFERROR(--desp[valor],0)*
  (desp[nucleo]="UP CAMPO BELO")*
  (desp[categoria]=AG$7)*
  (desp[data.pagamento]&gt;=$A110)*
  (desp[data.pagamento]&lt;EOMONTH($A110,0)+1)
)</f>
        <v>0</v>
      </c>
      <c r="AH110" s="166" cm="1">
        <f t="array" ref="AH110">SUMPRODUCT(
  IFERROR(--desp[valor],0)*
  (desp[nucleo]="UP CAMPO BELO")*
  (desp[categoria]=AH$7)*
  (desp[data.pagamento]&gt;=$A110)*
  (desp[data.pagamento]&lt;EOMONTH($A110,0)+1)
)</f>
        <v>0</v>
      </c>
      <c r="AI110" s="166" cm="1">
        <f t="array" ref="AI110">SUMPRODUCT(
  IFERROR(--desp[valor],0)*
  (desp[nucleo]="UP CAMPO BELO")*
  (desp[categoria]=AI$7)*
  (desp[data.pagamento]&gt;=$A110)*
  (desp[data.pagamento]&lt;EOMONTH($A110,0)+1)
)</f>
        <v>0</v>
      </c>
      <c r="AJ110" s="177">
        <f>COUNTIFS(
    estq[empresa], AJ$6,
    estq[Data da venda / reserva], "&gt;=" &amp; $A110,
    estq[Data da venda / reserva], "&lt;"  &amp; EOMONTH($A110,0) + 1
)</f>
        <v>0</v>
      </c>
      <c r="AK110" s="178">
        <f ca="1">SUMIFS(rec.uni[2029-12-01],
INDIRECT("rec.uni[natureza]"),"pro.soluto",
INDIRECT("rec.uni[empresa]"),AK$6)</f>
        <v>0</v>
      </c>
      <c r="AL110" s="178">
        <f ca="1">SUMIFS(rec.uni[2029-12-01],
INDIRECT("rec.uni[natureza]"),"repasse.cef.obra",
INDIRECT("rec.uni[empresa]"),AL$6)</f>
        <v>0</v>
      </c>
      <c r="AM110" s="181">
        <f ca="1">SUMIFS(rec.uni[2029-12-01],
INDIRECT("rec.uni[natureza]"),"repasse.cef.terreno",
INDIRECT("rec.uni[empresa]"),AM$6)</f>
        <v>0</v>
      </c>
      <c r="AN110" s="182"/>
      <c r="AO110" s="178">
        <f ca="1">SUMIFS(rec.uni[2029-12-01],
INDIRECT("rec.uni[natureza]"),"taxa.extra",
INDIRECT("rec.uni[empresa]"),AO$6)</f>
        <v>0</v>
      </c>
      <c r="AP110" s="166"/>
      <c r="AQ110" s="166" cm="1">
        <f t="array" ref="AQ110">SUMPRODUCT(
  IFERROR(--desp[valor],0)*
  (desp[nucleo]="UP SELECT VILA SONIA")*
  (desp[categoria]=AQ$7)*
  (desp[data.pagamento]&gt;=$A110)*
  (desp[data.pagamento]&lt;EOMONTH($A110,0)+1)
)</f>
        <v>0</v>
      </c>
      <c r="AR110" s="166" cm="1">
        <f t="array" ref="AR110">SUMPRODUCT(
  IFERROR(--desp[valor],0)*
  (desp[nucleo]="UP SELECT VILA SONIA")*
  (desp[categoria]=AR$7)*
  (desp[data.pagamento]&gt;=$A110)*
  (desp[data.pagamento]&lt;EOMONTH($A110,0)+1)
)</f>
        <v>0</v>
      </c>
      <c r="AS110" s="166" cm="1">
        <f t="array" ref="AS110">SUMPRODUCT(
  IFERROR(--desp[valor],0)*
  (desp[nucleo]="UP SELECT VILA SONIA")*
  (desp[categoria]=AS$7)*
  (desp[data.pagamento]&gt;=$A110)*
  (desp[data.pagamento]&lt;EOMONTH($A110,0)+1)
)</f>
        <v>0</v>
      </c>
      <c r="AT110" s="166" cm="1">
        <f t="array" ref="AT110">SUMPRODUCT(
  IFERROR(--desp[valor],0)*
  (desp[nucleo]="UP SELECT VILA SONIA")*
  (desp[categoria]=AT$7)*
  (desp[data.pagamento]&gt;=$A110)*
  (desp[data.pagamento]&lt;EOMONTH($A110,0)+1)
)</f>
        <v>0</v>
      </c>
      <c r="AU110" s="166" cm="1">
        <f t="array" ref="AU110">SUMPRODUCT(
  IFERROR(--desp[valor],0)*
  (desp[nucleo]="UP SELECT VILA SONIA")*
  (desp[categoria]=AU$7)*
  (desp[data.pagamento]&gt;=$A110)*
  (desp[data.pagamento]&lt;EOMONTH($A110,0)+1)
)</f>
        <v>0</v>
      </c>
      <c r="AV110" s="177">
        <f>COUNTIFS(
    estq[empresa], AV$6,
    estq[Data da venda / reserva], "&gt;=" &amp; $A110,
    estq[Data da venda / reserva], "&lt;"  &amp; EOMONTH($A110,0) + 1
)</f>
        <v>0</v>
      </c>
      <c r="AW110" s="178">
        <f ca="1">SUMIFS(rec.uni[2029-12-01],
INDIRECT("rec.uni[natureza]"),"pro.soluto",
INDIRECT("rec.uni[empresa]"),AW$6)</f>
        <v>0</v>
      </c>
      <c r="AX110" s="178">
        <f ca="1">SUMIFS(rec.uni[2029-12-01],
INDIRECT("rec.uni[natureza]"),"repasse.cef.obra",
INDIRECT("rec.uni[empresa]"),AX$6)</f>
        <v>0</v>
      </c>
      <c r="AY110" s="181">
        <f ca="1">SUMIFS(rec.uni[2029-12-01],
INDIRECT("rec.uni[natureza]"),"repasse.cef.terreno",
INDIRECT("rec.uni[empresa]"),AY$6)</f>
        <v>0</v>
      </c>
      <c r="AZ110" s="182"/>
      <c r="BA110" s="178">
        <f ca="1">SUMIFS(rec.uni[2029-12-01],
INDIRECT("rec.uni[natureza]"),"taxa.extra",
INDIRECT("rec.uni[empresa]"),BA$6)</f>
        <v>0</v>
      </c>
      <c r="BB110" s="166"/>
      <c r="BC110" s="166" cm="1">
        <f t="array" ref="BC110">SUMPRODUCT(
  IFERROR(--desp[valor],0)*
  (desp[nucleo]="UP ESTAÇÃO SÃO LUCAS")*
  (desp[categoria]=BC$7)*
  (desp[data.pagamento]&gt;=$A110)*
  (desp[data.pagamento]&lt;EOMONTH($A110,0)+1)
)</f>
        <v>0</v>
      </c>
      <c r="BD110" s="166" cm="1">
        <f t="array" ref="BD110">SUMPRODUCT(
  IFERROR(--desp[valor],0)*
  (desp[nucleo]="UP ESTAÇÃO SÃO LUCAS")*
  (desp[categoria]=BD$7)*
  (desp[data.pagamento]&gt;=$A110)*
  (desp[data.pagamento]&lt;EOMONTH($A110,0)+1)
)</f>
        <v>0</v>
      </c>
      <c r="BE110" s="166" cm="1">
        <f t="array" ref="BE110">SUMPRODUCT(
  IFERROR(--desp[valor],0)*
  (desp[nucleo]="UP ESTAÇÃO SÃO LUCAS")*
  (desp[categoria]=BE$7)*
  (desp[data.pagamento]&gt;=$A110)*
  (desp[data.pagamento]&lt;EOMONTH($A110,0)+1)
)</f>
        <v>0</v>
      </c>
      <c r="BF110" s="166" cm="1">
        <f t="array" ref="BF110">SUMPRODUCT(
  IFERROR(--desp[valor],0)*
  (desp[nucleo]="UP ESTAÇÃO SÃO LUCAS")*
  (desp[categoria]=BF$7)*
  (desp[data.pagamento]&gt;=$A110)*
  (desp[data.pagamento]&lt;EOMONTH($A110,0)+1)
)</f>
        <v>0</v>
      </c>
      <c r="BG110" s="166" cm="1">
        <f t="array" ref="BG110">SUMPRODUCT(
  IFERROR(--desp[valor],0)*
  (desp[nucleo]="UP ESTAÇÃO SÃO LUCAS")*
  (desp[categoria]=BG$7)*
  (desp[data.pagamento]&gt;=$A110)*
  (desp[data.pagamento]&lt;EOMONTH($A110,0)+1)
)</f>
        <v>0</v>
      </c>
      <c r="BH110" s="177">
        <f>COUNTIFS(
    estq[empresa], BH$6,
    estq[Data da venda / reserva], "&gt;=" &amp; $A110,
    estq[Data da venda / reserva], "&lt;"  &amp; EOMONTH($A110,0) + 1
)</f>
        <v>0</v>
      </c>
      <c r="BI110" s="178">
        <f ca="1">SUMIFS(rec.uni[2029-12-01],
INDIRECT("rec.uni[natureza]"),"pro.soluto",
INDIRECT("rec.uni[empresa]"),BI$6)</f>
        <v>0</v>
      </c>
      <c r="BJ110" s="182">
        <f ca="1">SUMIFS(rec.uni[2029-12-01],
INDIRECT("rec.uni[natureza]"),"parcela.fin.total.ik",
INDIRECT("rec.uni[empresa]"),BJ$6)</f>
        <v>0</v>
      </c>
      <c r="BK110" s="178">
        <f ca="1">SUMIFS(rec.uni[2029-12-01],
INDIRECT("rec.uni[natureza]"),"taxa.extra",
INDIRECT("rec.uni[empresa]"),BK$6)</f>
        <v>0</v>
      </c>
      <c r="BL110" s="166"/>
      <c r="BM110" s="166" cm="1">
        <f t="array" ref="BM110">SUMPRODUCT(
  IFERROR(--desp[valor],0)*
  (desp[nucleo]="UP POMPEIA")*
  (desp[categoria]=BM$7)*
  (desp[data.pagamento]&gt;=$A110)*
  (desp[data.pagamento]&lt;EOMONTH($A110,0)+1)
)</f>
        <v>0</v>
      </c>
      <c r="BN110" s="166" cm="1">
        <f t="array" ref="BN110">SUMPRODUCT(
  IFERROR(--desp[valor],0)*
  (desp[nucleo]="UP POMPEIA")*
  (desp[categoria]=BN$7)*
  (desp[data.pagamento]&gt;=$A110)*
  (desp[data.pagamento]&lt;EOMONTH($A110,0)+1)
)</f>
        <v>0</v>
      </c>
      <c r="BO110" s="166" cm="1">
        <f t="array" ref="BO110">SUMPRODUCT(
  IFERROR(--desp[valor],0)*
  (desp[nucleo]="UP POMPEIA")*
  (desp[categoria]=BO$7)*
  (desp[data.pagamento]&gt;=$A110)*
  (desp[data.pagamento]&lt;EOMONTH($A110,0)+1)
)</f>
        <v>0</v>
      </c>
      <c r="BP110" s="166" cm="1">
        <f t="array" ref="BP110">SUMPRODUCT(
  IFERROR(--desp[valor],0)*
  (desp[nucleo]="UP POMPEIA")*
  (desp[categoria]=BP$7)*
  (desp[data.pagamento]&gt;=$A110)*
  (desp[data.pagamento]&lt;EOMONTH($A110,0)+1)
)</f>
        <v>0</v>
      </c>
      <c r="BQ110" s="166" cm="1">
        <f t="array" ref="BQ110">SUMPRODUCT(
  IFERROR(--desp[valor],0)*
  (desp[nucleo]="UP POMPEIA")*
  (desp[categoria]=BQ$7)*
  (desp[data.pagamento]&gt;=$A110)*
  (desp[data.pagamento]&lt;EOMONTH($A110,0)+1)
)</f>
        <v>0</v>
      </c>
      <c r="BR110" s="177">
        <f>COUNTIFS(
    estq[empresa], BR$6,
    estq[Data da venda / reserva], "&gt;=" &amp; $A110,
    estq[Data da venda / reserva], "&lt;"  &amp; EOMONTH($A110,0) + 1
)</f>
        <v>0</v>
      </c>
      <c r="BS110" s="178">
        <f ca="1">SUMIFS(rec.uni[2029-12-01],
INDIRECT("rec.uni[natureza]"),"pro.soluto",
INDIRECT("rec.uni[empresa]"),BS$6)</f>
        <v>0</v>
      </c>
      <c r="BT110" s="182">
        <f ca="1">SUMIFS(rec.uni[2029-12-01],
INDIRECT("rec.uni[natureza]"),"parcela.fin.total.ik",
INDIRECT("rec.uni[empresa]"),BT$6)</f>
        <v>0</v>
      </c>
      <c r="BU110" s="178">
        <f ca="1">SUMIFS(rec.uni[2029-12-01],
INDIRECT("rec.uni[natureza]"),"taxa.extra",
INDIRECT("rec.uni[empresa]"),BU$6)</f>
        <v>0</v>
      </c>
      <c r="BV110" s="166"/>
      <c r="BW110" s="166" cm="1">
        <f t="array" ref="BW110">SUMPRODUCT(
  IFERROR(--desp[valor],0)*
  (desp[nucleo]="UP SAUDE")*
  (desp[categoria]=BW$7)*
  (desp[data.pagamento]&gt;=$A110)*
  (desp[data.pagamento]&lt;EOMONTH($A110,0)+1)
)</f>
        <v>0</v>
      </c>
      <c r="BX110" s="166" cm="1">
        <f t="array" ref="BX110">SUMPRODUCT(
  IFERROR(--desp[valor],0)*
  (desp[nucleo]="UP SAUDE")*
  (desp[categoria]=BX$7)*
  (desp[data.pagamento]&gt;=$A110)*
  (desp[data.pagamento]&lt;EOMONTH($A110,0)+1)
)</f>
        <v>0</v>
      </c>
      <c r="BY110" s="166" cm="1">
        <f t="array" ref="BY110">SUMPRODUCT(
  IFERROR(--desp[valor],0)*
  (desp[nucleo]="UP SAUDE")*
  (desp[categoria]=BY$7)*
  (desp[data.pagamento]&gt;=$A110)*
  (desp[data.pagamento]&lt;EOMONTH($A110,0)+1)
)</f>
        <v>0</v>
      </c>
      <c r="BZ110" s="166" cm="1">
        <f t="array" ref="BZ110">SUMPRODUCT(
  IFERROR(--desp[valor],0)*
  (desp[nucleo]="UP SAUDE")*
  (desp[categoria]=BZ$7)*
  (desp[data.pagamento]&gt;=$A110)*
  (desp[data.pagamento]&lt;EOMONTH($A110,0)+1)
)</f>
        <v>0</v>
      </c>
      <c r="CA110" s="166" cm="1">
        <f t="array" ref="CA110">SUMPRODUCT(
  IFERROR(--desp[valor],0)*
  (desp[nucleo]="UP SAUDE")*
  (desp[categoria]=CA$7)*
  (desp[data.pagamento]&gt;=$A110)*
  (desp[data.pagamento]&lt;EOMONTH($A110,0)+1)
)</f>
        <v>0</v>
      </c>
      <c r="CB110" s="177">
        <f>COUNTIFS(
    estq[empresa], CB$6,
    estq[Data da venda / reserva], "&gt;=" &amp; $A110,
    estq[Data da venda / reserva], "&lt;"  &amp; EOMONTH($A110,0) + 1
)</f>
        <v>0</v>
      </c>
      <c r="CC110" s="178">
        <f ca="1">SUMIFS(rec.uni[2029-12-01],
INDIRECT("rec.uni[natureza]"),"pro.soluto",
INDIRECT("rec.uni[empresa]"),CC$6)</f>
        <v>0</v>
      </c>
      <c r="CD110" s="178">
        <f ca="1">SUMIFS(rec.uni[2029-12-01],
INDIRECT("rec.uni[natureza]"),"repasse.cef.obra",
INDIRECT("rec.uni[empresa]"),CD$6)</f>
        <v>0</v>
      </c>
      <c r="CE110" s="181">
        <f ca="1">SUMIFS(rec.uni[2029-12-01],
INDIRECT("rec.uni[natureza]"),"repasse.cef.terreno",
INDIRECT("rec.uni[empresa]"),CE$6)</f>
        <v>0</v>
      </c>
      <c r="CF110" s="182"/>
      <c r="CG110" s="178">
        <f ca="1">SUMIFS(rec.uni[2029-12-01],
INDIRECT("rec.uni[natureza]"),"taxa.extra",
INDIRECT("rec.uni[empresa]"),CG$6)</f>
        <v>0</v>
      </c>
      <c r="CH110" s="166"/>
      <c r="CI110" s="166" cm="1">
        <f t="array" ref="CI110">SUMPRODUCT(
  IFERROR(--desp[valor],0)*
  (desp[nucleo]="UP ESTAÇÃO VILA SONIA")*
  (desp[categoria]=CI$7)*
  (desp[data.pagamento]&gt;=$A110)*
  (desp[data.pagamento]&lt;EOMONTH($A110,0)+1)
)</f>
        <v>0</v>
      </c>
      <c r="CJ110" s="166" cm="1">
        <f t="array" ref="CJ110">SUMPRODUCT(
  IFERROR(--desp[valor],0)*
  (desp[nucleo]="UP ESTAÇÃO VILA SONIA")*
  (desp[categoria]=CJ$7)*
  (desp[data.pagamento]&gt;=$A110)*
  (desp[data.pagamento]&lt;EOMONTH($A110,0)+1)
)</f>
        <v>0</v>
      </c>
      <c r="CK110" s="166" cm="1">
        <f t="array" ref="CK110">SUMPRODUCT(
  IFERROR(--desp[valor],0)*
  (desp[nucleo]="UP ESTAÇÃO VILA SONIA")*
  (desp[categoria]=CK$7)*
  (desp[data.pagamento]&gt;=$A110)*
  (desp[data.pagamento]&lt;EOMONTH($A110,0)+1)
)</f>
        <v>0</v>
      </c>
      <c r="CL110" s="166" cm="1">
        <f t="array" ref="CL110">SUMPRODUCT(
  IFERROR(--desp[valor],0)*
  (desp[nucleo]="UP ESTAÇÃO VILA SONIA")*
  (desp[categoria]=CL$7)*
  (desp[data.pagamento]&gt;=$A110)*
  (desp[data.pagamento]&lt;EOMONTH($A110,0)+1)
)</f>
        <v>0</v>
      </c>
      <c r="CM110" s="166" cm="1">
        <f t="array" ref="CM110">SUMPRODUCT(
  IFERROR(--desp[valor],0)*
  (desp[nucleo]="UP ESTAÇÃO VILA SONIA")*
  (desp[categoria]=CM$7)*
  (desp[data.pagamento]&gt;=$A110)*
  (desp[data.pagamento]&lt;EOMONTH($A110,0)+1)
)</f>
        <v>0</v>
      </c>
      <c r="CN110" s="177">
        <f>COUNTIFS(
    estq[empresa], CN$6,
    estq[Data da venda / reserva], "&gt;=" &amp; $A110,
    estq[Data da venda / reserva], "&lt;"  &amp; EOMONTH($A110,0) + 1
)</f>
        <v>0</v>
      </c>
      <c r="CO110" s="178">
        <f ca="1">SUMIFS(rec.uni[2029-12-01],
INDIRECT("rec.uni[natureza]"),"pro.soluto",
INDIRECT("rec.uni[empresa]"),CO$6)</f>
        <v>0</v>
      </c>
      <c r="CP110" s="178">
        <f ca="1">SUMIFS(rec.uni[2029-12-01],
INDIRECT("rec.uni[natureza]"),"repasse.cef.obra",
INDIRECT("rec.uni[empresa]"),CP$6)</f>
        <v>0</v>
      </c>
      <c r="CQ110" s="181">
        <f ca="1">SUMIFS(rec.uni[2029-12-01],
INDIRECT("rec.uni[natureza]"),"repasse.cef.terreno",
INDIRECT("rec.uni[empresa]"),CQ$6)</f>
        <v>0</v>
      </c>
      <c r="CR110" s="182"/>
      <c r="CS110" s="178">
        <f ca="1">SUMIFS(rec.uni[2029-12-01],
INDIRECT("rec.uni[natureza]"),"taxa.extra",
INDIRECT("rec.uni[empresa]"),CS$6)</f>
        <v>0</v>
      </c>
      <c r="CT110" s="166"/>
      <c r="CU110" s="166" cm="1">
        <f t="array" ref="CU110">SUMPRODUCT(
  IFERROR(--desp[valor],0)*
  (desp[nucleo]="UP MOVE VILA SONIA")*
  (desp[categoria]=CU$7)*
  (desp[data.pagamento]&gt;=$A110)*
  (desp[data.pagamento]&lt;EOMONTH($A110,0)+1)
)</f>
        <v>0</v>
      </c>
      <c r="CV110" s="166" cm="1">
        <f t="array" ref="CV110">SUMPRODUCT(
  IFERROR(--desp[valor],0)*
  (desp[nucleo]="UP MOVE VILA SONIA")*
  (desp[categoria]=CV$7)*
  (desp[data.pagamento]&gt;=$A110)*
  (desp[data.pagamento]&lt;EOMONTH($A110,0)+1)
)</f>
        <v>0</v>
      </c>
      <c r="CW110" s="166" cm="1">
        <f t="array" ref="CW110">SUMPRODUCT(
  IFERROR(--desp[valor],0)*
  (desp[nucleo]="UP MOVE VILA SONIA")*
  (desp[categoria]=CW$7)*
  (desp[data.pagamento]&gt;=$A110)*
  (desp[data.pagamento]&lt;EOMONTH($A110,0)+1)
)</f>
        <v>0</v>
      </c>
      <c r="CX110" s="166" cm="1">
        <f t="array" ref="CX110">SUMPRODUCT(
  IFERROR(--desp[valor],0)*
  (desp[nucleo]="UP MOVE VILA SONIA")*
  (desp[categoria]=CX$7)*
  (desp[data.pagamento]&gt;=$A110)*
  (desp[data.pagamento]&lt;EOMONTH($A110,0)+1)
)</f>
        <v>0</v>
      </c>
      <c r="CY110" s="291" cm="1">
        <f t="array" ref="CY110">SUMPRODUCT(
  IFERROR(--desp[valor],0)*
  (desp[nucleo]="UP MOVE VILA SONIA")*
  (desp[categoria]=CY$7)*
  (desp[data.pagamento]&gt;=$A110)*
  (desp[data.pagamento]&lt;EOMONTH($A110,0)+1)
)</f>
        <v>0</v>
      </c>
    </row>
    <row r="111" spans="1:103" x14ac:dyDescent="0.25">
      <c r="A111" s="176">
        <v>47484</v>
      </c>
      <c r="B111" s="177">
        <f>COUNTIFS(
    estq[empresa], B$6,
    estq[Data da venda / reserva], "&gt;=" &amp; $A111,
    estq[Data da venda / reserva], "&lt;"  &amp; EOMONTH($A111,0) + 1
)</f>
        <v>0</v>
      </c>
      <c r="C111" s="178">
        <f ca="1">SUMIFS(rec.uni[2030-01-01],
INDIRECT("rec.uni[natureza]"),"pro.soluto",
INDIRECT("rec.uni[empresa]"),C$6)</f>
        <v>0</v>
      </c>
      <c r="D111" s="178">
        <f ca="1">SUMIFS(rec.uni[2030-01-01],
INDIRECT("rec.uni[natureza]"),"repasse.cef.obra",
INDIRECT("rec.uni[empresa]"),D$6)</f>
        <v>0</v>
      </c>
      <c r="E111" s="178">
        <f ca="1">SUMIFS(rec.uni[2030-01-01],
INDIRECT("rec.uni[natureza]"),"repasse.cef.terreno",
INDIRECT("rec.uni[empresa]"),E$6)</f>
        <v>0</v>
      </c>
      <c r="F111" s="182"/>
      <c r="G111" s="178">
        <f ca="1">SUMIFS(rec.uni[2030-01-01],
INDIRECT("rec.uni[natureza]"),"taxa.extra",
INDIRECT("rec.uni[empresa]"),G$6)</f>
        <v>0</v>
      </c>
      <c r="H111" s="166"/>
      <c r="I111" s="166" cm="1">
        <f t="array" ref="I111">SUMPRODUCT(
  IFERROR(--desp[valor],0)*
  (desp[nucleo]="UP JARDIM PRUDENCIA")*
  (desp[categoria]=I$7)*
  (desp[data.pagamento]&gt;=$A111)*
  (desp[data.pagamento]&lt;EOMONTH($A111,0)+1)
)</f>
        <v>0</v>
      </c>
      <c r="J111" s="166" cm="1">
        <f t="array" ref="J111">SUMPRODUCT(
  IFERROR(--desp[valor],0)*
  (desp[nucleo]="UP JARDIM PRUDENCIA")*
  (desp[categoria]=J$7)*
  (desp[data.pagamento]&gt;=$A111)*
  (desp[data.pagamento]&lt;EOMONTH($A111,0)+1)
)</f>
        <v>0</v>
      </c>
      <c r="K111" s="166" cm="1">
        <f t="array" ref="K111">SUMPRODUCT(
  IFERROR(--desp[valor],0)*
  (desp[nucleo]="UP JARDIM PRUDENCIA")*
  (desp[categoria]=K$7)*
  (desp[data.pagamento]&gt;=$A111)*
  (desp[data.pagamento]&lt;EOMONTH($A111,0)+1)
)</f>
        <v>0</v>
      </c>
      <c r="L111" s="166" cm="1">
        <f t="array" ref="L111">SUMPRODUCT(
  IFERROR(--desp[valor],0)*
  (desp[nucleo]="UP JARDIM PRUDENCIA")*
  (desp[categoria]=L$7)*
  (desp[data.pagamento]&gt;=$A111)*
  (desp[data.pagamento]&lt;EOMONTH($A111,0)+1)
)</f>
        <v>0</v>
      </c>
      <c r="M111" s="166" cm="1">
        <f t="array" ref="M111">SUMPRODUCT(
  IFERROR(--desp[valor],0)*
  (desp[nucleo]="UP JARDIM PRUDENCIA")*
  (desp[categoria]=M$7)*
  (desp[data.pagamento]&gt;=$A111)*
  (desp[data.pagamento]&lt;EOMONTH($A111,0)+1)
)</f>
        <v>0</v>
      </c>
      <c r="N111" s="177">
        <f>COUNTIFS(
    estq[empresa], N$6,
    estq[Data da venda / reserva], "&gt;=" &amp; $A111,
    estq[Data da venda / reserva], "&lt;"  &amp; EOMONTH($A111,0) + 1
)</f>
        <v>0</v>
      </c>
      <c r="O111" s="178">
        <f ca="1">SUMIFS(rec.uni[2030-01-01],
INDIRECT("rec.uni[natureza]"),"pro.soluto",
INDIRECT("rec.uni[empresa]"),O$6)</f>
        <v>0</v>
      </c>
      <c r="P111" s="178">
        <f ca="1">SUMIFS(rec.uni[2030-01-01],
INDIRECT("rec.uni[natureza]"),"repasse.cef.obra",
INDIRECT("rec.uni[empresa]"),P$6)</f>
        <v>0</v>
      </c>
      <c r="Q111" s="178">
        <f ca="1">SUMIFS(rec.uni[2030-01-01],
INDIRECT("rec.uni[natureza]"),"repasse.cef.terreno",
INDIRECT("rec.uni[empresa]"),Q$6)</f>
        <v>0</v>
      </c>
      <c r="R111" s="182"/>
      <c r="S111" s="178">
        <f ca="1">SUMIFS(rec.uni[2030-01-01],
INDIRECT("rec.uni[natureza]"),"taxa.extra",
INDIRECT("rec.uni[empresa]"),S$6)</f>
        <v>0</v>
      </c>
      <c r="T111" s="166"/>
      <c r="U111" s="166" cm="1">
        <f t="array" ref="U111">SUMPRODUCT(
  IFERROR(--desp[valor],0)*
  (desp[nucleo]="UP VILA SONIA")*
  (desp[categoria]=U$7)*
  (desp[data.pagamento]&gt;=$A111)*
  (desp[data.pagamento]&lt;EOMONTH($A111,0)+1)
)</f>
        <v>0</v>
      </c>
      <c r="V111" s="166" cm="1">
        <f t="array" ref="V111">SUMPRODUCT(
  IFERROR(--desp[valor],0)*
  (desp[nucleo]="UP VILA SONIA")*
  (desp[categoria]=V$7)*
  (desp[data.pagamento]&gt;=$A111)*
  (desp[data.pagamento]&lt;EOMONTH($A111,0)+1)
)</f>
        <v>0</v>
      </c>
      <c r="W111" s="166" cm="1">
        <f t="array" ref="W111">SUMPRODUCT(
  IFERROR(--desp[valor],0)*
  (desp[nucleo]="UP VILA SONIA")*
  (desp[categoria]=W$7)*
  (desp[data.pagamento]&gt;=$A111)*
  (desp[data.pagamento]&lt;EOMONTH($A111,0)+1)
)</f>
        <v>0</v>
      </c>
      <c r="X111" s="166" cm="1">
        <f t="array" ref="X111">SUMPRODUCT(
  IFERROR(--desp[valor],0)*
  (desp[nucleo]="UP VILA SONIA")*
  (desp[categoria]=X$7)*
  (desp[data.pagamento]&gt;=$A111)*
  (desp[data.pagamento]&lt;EOMONTH($A111,0)+1)
)</f>
        <v>0</v>
      </c>
      <c r="Y111" s="166" cm="1">
        <f t="array" ref="Y111">SUMPRODUCT(
  IFERROR(--desp[valor],0)*
  (desp[nucleo]="UP VILA SONIA")*
  (desp[categoria]=Y$7)*
  (desp[data.pagamento]&gt;=$A111)*
  (desp[data.pagamento]&lt;EOMONTH($A111,0)+1)
)</f>
        <v>0</v>
      </c>
      <c r="Z111" s="177">
        <f>COUNTIFS(
    estq[empresa], Z$6,
    estq[Data da venda / reserva], "&gt;=" &amp; $A111,
    estq[Data da venda / reserva], "&lt;"  &amp; EOMONTH($A111,0) + 1
)</f>
        <v>0</v>
      </c>
      <c r="AA111" s="178">
        <f ca="1">SUMIFS(rec.uni[2030-01-01],
INDIRECT("rec.uni[natureza]"),"pro.soluto",
INDIRECT("rec.uni[empresa]"),AA$6)</f>
        <v>0</v>
      </c>
      <c r="AB111" s="182">
        <f ca="1">SUMIFS(rec.uni[2030-01-01],
INDIRECT("rec.uni[natureza]"),"parcela.fin.total.ik",
INDIRECT("rec.uni[empresa]"),AB$6)</f>
        <v>0</v>
      </c>
      <c r="AC111" s="178">
        <f ca="1">SUMIFS(rec.uni[2030-01-01],
INDIRECT("rec.uni[natureza]"),"taxa.extra",
INDIRECT("rec.uni[empresa]"),AC$6)</f>
        <v>0</v>
      </c>
      <c r="AD111" s="166"/>
      <c r="AE111" s="166" cm="1">
        <f t="array" ref="AE111">SUMPRODUCT(
  IFERROR(--desp[valor],0)*
  (desp[nucleo]="UP CAMPO BELO")*
  (desp[categoria]=AE$7)*
  (desp[data.pagamento]&gt;=$A111)*
  (desp[data.pagamento]&lt;EOMONTH($A111,0)+1)
)</f>
        <v>0</v>
      </c>
      <c r="AF111" s="166" cm="1">
        <f t="array" ref="AF111">SUMPRODUCT(
  IFERROR(--desp[valor],0)*
  (desp[nucleo]="UP CAMPO BELO")*
  (desp[categoria]=AF$7)*
  (desp[data.pagamento]&gt;=$A111)*
  (desp[data.pagamento]&lt;EOMONTH($A111,0)+1)
)</f>
        <v>0</v>
      </c>
      <c r="AG111" s="166" cm="1">
        <f t="array" ref="AG111">SUMPRODUCT(
  IFERROR(--desp[valor],0)*
  (desp[nucleo]="UP CAMPO BELO")*
  (desp[categoria]=AG$7)*
  (desp[data.pagamento]&gt;=$A111)*
  (desp[data.pagamento]&lt;EOMONTH($A111,0)+1)
)</f>
        <v>0</v>
      </c>
      <c r="AH111" s="166" cm="1">
        <f t="array" ref="AH111">SUMPRODUCT(
  IFERROR(--desp[valor],0)*
  (desp[nucleo]="UP CAMPO BELO")*
  (desp[categoria]=AH$7)*
  (desp[data.pagamento]&gt;=$A111)*
  (desp[data.pagamento]&lt;EOMONTH($A111,0)+1)
)</f>
        <v>0</v>
      </c>
      <c r="AI111" s="166" cm="1">
        <f t="array" ref="AI111">SUMPRODUCT(
  IFERROR(--desp[valor],0)*
  (desp[nucleo]="UP CAMPO BELO")*
  (desp[categoria]=AI$7)*
  (desp[data.pagamento]&gt;=$A111)*
  (desp[data.pagamento]&lt;EOMONTH($A111,0)+1)
)</f>
        <v>0</v>
      </c>
      <c r="AJ111" s="177">
        <f>COUNTIFS(
    estq[empresa], AJ$6,
    estq[Data da venda / reserva], "&gt;=" &amp; $A111,
    estq[Data da venda / reserva], "&lt;"  &amp; EOMONTH($A111,0) + 1
)</f>
        <v>0</v>
      </c>
      <c r="AK111" s="178">
        <f ca="1">SUMIFS(rec.uni[2030-01-01],
INDIRECT("rec.uni[natureza]"),"pro.soluto",
INDIRECT("rec.uni[empresa]"),AK$6)</f>
        <v>0</v>
      </c>
      <c r="AL111" s="178">
        <f ca="1">SUMIFS(rec.uni[2030-01-01],
INDIRECT("rec.uni[natureza]"),"repasse.cef.obra",
INDIRECT("rec.uni[empresa]"),AL$6)</f>
        <v>0</v>
      </c>
      <c r="AM111" s="181">
        <f ca="1">SUMIFS(rec.uni[2030-01-01],
INDIRECT("rec.uni[natureza]"),"repasse.cef.terreno",
INDIRECT("rec.uni[empresa]"),AM$6)</f>
        <v>0</v>
      </c>
      <c r="AN111" s="182"/>
      <c r="AO111" s="178">
        <f ca="1">SUMIFS(rec.uni[2030-01-01],
INDIRECT("rec.uni[natureza]"),"taxa.extra",
INDIRECT("rec.uni[empresa]"),AO$6)</f>
        <v>0</v>
      </c>
      <c r="AP111" s="166"/>
      <c r="AQ111" s="166" cm="1">
        <f t="array" ref="AQ111">SUMPRODUCT(
  IFERROR(--desp[valor],0)*
  (desp[nucleo]="UP SELECT VILA SONIA")*
  (desp[categoria]=AQ$7)*
  (desp[data.pagamento]&gt;=$A111)*
  (desp[data.pagamento]&lt;EOMONTH($A111,0)+1)
)</f>
        <v>0</v>
      </c>
      <c r="AR111" s="166" cm="1">
        <f t="array" ref="AR111">SUMPRODUCT(
  IFERROR(--desp[valor],0)*
  (desp[nucleo]="UP SELECT VILA SONIA")*
  (desp[categoria]=AR$7)*
  (desp[data.pagamento]&gt;=$A111)*
  (desp[data.pagamento]&lt;EOMONTH($A111,0)+1)
)</f>
        <v>0</v>
      </c>
      <c r="AS111" s="166" cm="1">
        <f t="array" ref="AS111">SUMPRODUCT(
  IFERROR(--desp[valor],0)*
  (desp[nucleo]="UP SELECT VILA SONIA")*
  (desp[categoria]=AS$7)*
  (desp[data.pagamento]&gt;=$A111)*
  (desp[data.pagamento]&lt;EOMONTH($A111,0)+1)
)</f>
        <v>0</v>
      </c>
      <c r="AT111" s="166" cm="1">
        <f t="array" ref="AT111">SUMPRODUCT(
  IFERROR(--desp[valor],0)*
  (desp[nucleo]="UP SELECT VILA SONIA")*
  (desp[categoria]=AT$7)*
  (desp[data.pagamento]&gt;=$A111)*
  (desp[data.pagamento]&lt;EOMONTH($A111,0)+1)
)</f>
        <v>0</v>
      </c>
      <c r="AU111" s="166" cm="1">
        <f t="array" ref="AU111">SUMPRODUCT(
  IFERROR(--desp[valor],0)*
  (desp[nucleo]="UP SELECT VILA SONIA")*
  (desp[categoria]=AU$7)*
  (desp[data.pagamento]&gt;=$A111)*
  (desp[data.pagamento]&lt;EOMONTH($A111,0)+1)
)</f>
        <v>0</v>
      </c>
      <c r="AV111" s="177">
        <f>COUNTIFS(
    estq[empresa], AV$6,
    estq[Data da venda / reserva], "&gt;=" &amp; $A111,
    estq[Data da venda / reserva], "&lt;"  &amp; EOMONTH($A111,0) + 1
)</f>
        <v>0</v>
      </c>
      <c r="AW111" s="178">
        <f ca="1">SUMIFS(rec.uni[2030-01-01],
INDIRECT("rec.uni[natureza]"),"pro.soluto",
INDIRECT("rec.uni[empresa]"),AW$6)</f>
        <v>0</v>
      </c>
      <c r="AX111" s="178">
        <f ca="1">SUMIFS(rec.uni[2030-01-01],
INDIRECT("rec.uni[natureza]"),"repasse.cef.obra",
INDIRECT("rec.uni[empresa]"),AX$6)</f>
        <v>0</v>
      </c>
      <c r="AY111" s="181">
        <f ca="1">SUMIFS(rec.uni[2030-01-01],
INDIRECT("rec.uni[natureza]"),"repasse.cef.terreno",
INDIRECT("rec.uni[empresa]"),AY$6)</f>
        <v>0</v>
      </c>
      <c r="AZ111" s="182"/>
      <c r="BA111" s="178">
        <f ca="1">SUMIFS(rec.uni[2030-01-01],
INDIRECT("rec.uni[natureza]"),"taxa.extra",
INDIRECT("rec.uni[empresa]"),BA$6)</f>
        <v>0</v>
      </c>
      <c r="BB111" s="166"/>
      <c r="BC111" s="166" cm="1">
        <f t="array" ref="BC111">SUMPRODUCT(
  IFERROR(--desp[valor],0)*
  (desp[nucleo]="UP ESTAÇÃO SÃO LUCAS")*
  (desp[categoria]=BC$7)*
  (desp[data.pagamento]&gt;=$A111)*
  (desp[data.pagamento]&lt;EOMONTH($A111,0)+1)
)</f>
        <v>0</v>
      </c>
      <c r="BD111" s="166" cm="1">
        <f t="array" ref="BD111">SUMPRODUCT(
  IFERROR(--desp[valor],0)*
  (desp[nucleo]="UP ESTAÇÃO SÃO LUCAS")*
  (desp[categoria]=BD$7)*
  (desp[data.pagamento]&gt;=$A111)*
  (desp[data.pagamento]&lt;EOMONTH($A111,0)+1)
)</f>
        <v>0</v>
      </c>
      <c r="BE111" s="166" cm="1">
        <f t="array" ref="BE111">SUMPRODUCT(
  IFERROR(--desp[valor],0)*
  (desp[nucleo]="UP ESTAÇÃO SÃO LUCAS")*
  (desp[categoria]=BE$7)*
  (desp[data.pagamento]&gt;=$A111)*
  (desp[data.pagamento]&lt;EOMONTH($A111,0)+1)
)</f>
        <v>0</v>
      </c>
      <c r="BF111" s="166" cm="1">
        <f t="array" ref="BF111">SUMPRODUCT(
  IFERROR(--desp[valor],0)*
  (desp[nucleo]="UP ESTAÇÃO SÃO LUCAS")*
  (desp[categoria]=BF$7)*
  (desp[data.pagamento]&gt;=$A111)*
  (desp[data.pagamento]&lt;EOMONTH($A111,0)+1)
)</f>
        <v>0</v>
      </c>
      <c r="BG111" s="166" cm="1">
        <f t="array" ref="BG111">SUMPRODUCT(
  IFERROR(--desp[valor],0)*
  (desp[nucleo]="UP ESTAÇÃO SÃO LUCAS")*
  (desp[categoria]=BG$7)*
  (desp[data.pagamento]&gt;=$A111)*
  (desp[data.pagamento]&lt;EOMONTH($A111,0)+1)
)</f>
        <v>0</v>
      </c>
      <c r="BH111" s="177">
        <f>COUNTIFS(
    estq[empresa], BH$6,
    estq[Data da venda / reserva], "&gt;=" &amp; $A111,
    estq[Data da venda / reserva], "&lt;"  &amp; EOMONTH($A111,0) + 1
)</f>
        <v>0</v>
      </c>
      <c r="BI111" s="178">
        <f ca="1">SUMIFS(rec.uni[2030-01-01],
INDIRECT("rec.uni[natureza]"),"pro.soluto",
INDIRECT("rec.uni[empresa]"),BI$6)</f>
        <v>0</v>
      </c>
      <c r="BJ111" s="182">
        <f ca="1">SUMIFS(rec.uni[2030-01-01],
INDIRECT("rec.uni[natureza]"),"parcela.fin.total.ik",
INDIRECT("rec.uni[empresa]"),BJ$6)</f>
        <v>0</v>
      </c>
      <c r="BK111" s="178">
        <f ca="1">SUMIFS(rec.uni[2030-01-01],
INDIRECT("rec.uni[natureza]"),"taxa.extra",
INDIRECT("rec.uni[empresa]"),BK$6)</f>
        <v>0</v>
      </c>
      <c r="BL111" s="166"/>
      <c r="BM111" s="166" cm="1">
        <f t="array" ref="BM111">SUMPRODUCT(
  IFERROR(--desp[valor],0)*
  (desp[nucleo]="UP POMPEIA")*
  (desp[categoria]=BM$7)*
  (desp[data.pagamento]&gt;=$A111)*
  (desp[data.pagamento]&lt;EOMONTH($A111,0)+1)
)</f>
        <v>0</v>
      </c>
      <c r="BN111" s="166" cm="1">
        <f t="array" ref="BN111">SUMPRODUCT(
  IFERROR(--desp[valor],0)*
  (desp[nucleo]="UP POMPEIA")*
  (desp[categoria]=BN$7)*
  (desp[data.pagamento]&gt;=$A111)*
  (desp[data.pagamento]&lt;EOMONTH($A111,0)+1)
)</f>
        <v>0</v>
      </c>
      <c r="BO111" s="166" cm="1">
        <f t="array" ref="BO111">SUMPRODUCT(
  IFERROR(--desp[valor],0)*
  (desp[nucleo]="UP POMPEIA")*
  (desp[categoria]=BO$7)*
  (desp[data.pagamento]&gt;=$A111)*
  (desp[data.pagamento]&lt;EOMONTH($A111,0)+1)
)</f>
        <v>0</v>
      </c>
      <c r="BP111" s="166" cm="1">
        <f t="array" ref="BP111">SUMPRODUCT(
  IFERROR(--desp[valor],0)*
  (desp[nucleo]="UP POMPEIA")*
  (desp[categoria]=BP$7)*
  (desp[data.pagamento]&gt;=$A111)*
  (desp[data.pagamento]&lt;EOMONTH($A111,0)+1)
)</f>
        <v>0</v>
      </c>
      <c r="BQ111" s="166" cm="1">
        <f t="array" ref="BQ111">SUMPRODUCT(
  IFERROR(--desp[valor],0)*
  (desp[nucleo]="UP POMPEIA")*
  (desp[categoria]=BQ$7)*
  (desp[data.pagamento]&gt;=$A111)*
  (desp[data.pagamento]&lt;EOMONTH($A111,0)+1)
)</f>
        <v>0</v>
      </c>
      <c r="BR111" s="177">
        <f>COUNTIFS(
    estq[empresa], BR$6,
    estq[Data da venda / reserva], "&gt;=" &amp; $A111,
    estq[Data da venda / reserva], "&lt;"  &amp; EOMONTH($A111,0) + 1
)</f>
        <v>0</v>
      </c>
      <c r="BS111" s="178">
        <f ca="1">SUMIFS(rec.uni[2030-01-01],
INDIRECT("rec.uni[natureza]"),"pro.soluto",
INDIRECT("rec.uni[empresa]"),BS$6)</f>
        <v>0</v>
      </c>
      <c r="BT111" s="182">
        <f ca="1">SUMIFS(rec.uni[2030-01-01],
INDIRECT("rec.uni[natureza]"),"parcela.fin.total.ik",
INDIRECT("rec.uni[empresa]"),BT$6)</f>
        <v>0</v>
      </c>
      <c r="BU111" s="178">
        <f ca="1">SUMIFS(rec.uni[2030-01-01],
INDIRECT("rec.uni[natureza]"),"taxa.extra",
INDIRECT("rec.uni[empresa]"),BU$6)</f>
        <v>0</v>
      </c>
      <c r="BV111" s="166"/>
      <c r="BW111" s="166" cm="1">
        <f t="array" ref="BW111">SUMPRODUCT(
  IFERROR(--desp[valor],0)*
  (desp[nucleo]="UP SAUDE")*
  (desp[categoria]=BW$7)*
  (desp[data.pagamento]&gt;=$A111)*
  (desp[data.pagamento]&lt;EOMONTH($A111,0)+1)
)</f>
        <v>0</v>
      </c>
      <c r="BX111" s="166" cm="1">
        <f t="array" ref="BX111">SUMPRODUCT(
  IFERROR(--desp[valor],0)*
  (desp[nucleo]="UP SAUDE")*
  (desp[categoria]=BX$7)*
  (desp[data.pagamento]&gt;=$A111)*
  (desp[data.pagamento]&lt;EOMONTH($A111,0)+1)
)</f>
        <v>0</v>
      </c>
      <c r="BY111" s="166" cm="1">
        <f t="array" ref="BY111">SUMPRODUCT(
  IFERROR(--desp[valor],0)*
  (desp[nucleo]="UP SAUDE")*
  (desp[categoria]=BY$7)*
  (desp[data.pagamento]&gt;=$A111)*
  (desp[data.pagamento]&lt;EOMONTH($A111,0)+1)
)</f>
        <v>0</v>
      </c>
      <c r="BZ111" s="166" cm="1">
        <f t="array" ref="BZ111">SUMPRODUCT(
  IFERROR(--desp[valor],0)*
  (desp[nucleo]="UP SAUDE")*
  (desp[categoria]=BZ$7)*
  (desp[data.pagamento]&gt;=$A111)*
  (desp[data.pagamento]&lt;EOMONTH($A111,0)+1)
)</f>
        <v>0</v>
      </c>
      <c r="CA111" s="166" cm="1">
        <f t="array" ref="CA111">SUMPRODUCT(
  IFERROR(--desp[valor],0)*
  (desp[nucleo]="UP SAUDE")*
  (desp[categoria]=CA$7)*
  (desp[data.pagamento]&gt;=$A111)*
  (desp[data.pagamento]&lt;EOMONTH($A111,0)+1)
)</f>
        <v>0</v>
      </c>
      <c r="CB111" s="177">
        <f>COUNTIFS(
    estq[empresa], CB$6,
    estq[Data da venda / reserva], "&gt;=" &amp; $A111,
    estq[Data da venda / reserva], "&lt;"  &amp; EOMONTH($A111,0) + 1
)</f>
        <v>0</v>
      </c>
      <c r="CC111" s="178">
        <f ca="1">SUMIFS(rec.uni[2030-01-01],
INDIRECT("rec.uni[natureza]"),"pro.soluto",
INDIRECT("rec.uni[empresa]"),CC$6)</f>
        <v>0</v>
      </c>
      <c r="CD111" s="178">
        <f ca="1">SUMIFS(rec.uni[2030-01-01],
INDIRECT("rec.uni[natureza]"),"repasse.cef.obra",
INDIRECT("rec.uni[empresa]"),CD$6)</f>
        <v>0</v>
      </c>
      <c r="CE111" s="181">
        <f ca="1">SUMIFS(rec.uni[2030-01-01],
INDIRECT("rec.uni[natureza]"),"repasse.cef.terreno",
INDIRECT("rec.uni[empresa]"),CE$6)</f>
        <v>0</v>
      </c>
      <c r="CF111" s="182"/>
      <c r="CG111" s="178">
        <f ca="1">SUMIFS(rec.uni[2030-01-01],
INDIRECT("rec.uni[natureza]"),"taxa.extra",
INDIRECT("rec.uni[empresa]"),CG$6)</f>
        <v>0</v>
      </c>
      <c r="CH111" s="166"/>
      <c r="CI111" s="166" cm="1">
        <f t="array" ref="CI111">SUMPRODUCT(
  IFERROR(--desp[valor],0)*
  (desp[nucleo]="UP ESTAÇÃO VILA SONIA")*
  (desp[categoria]=CI$7)*
  (desp[data.pagamento]&gt;=$A111)*
  (desp[data.pagamento]&lt;EOMONTH($A111,0)+1)
)</f>
        <v>0</v>
      </c>
      <c r="CJ111" s="166" cm="1">
        <f t="array" ref="CJ111">SUMPRODUCT(
  IFERROR(--desp[valor],0)*
  (desp[nucleo]="UP ESTAÇÃO VILA SONIA")*
  (desp[categoria]=CJ$7)*
  (desp[data.pagamento]&gt;=$A111)*
  (desp[data.pagamento]&lt;EOMONTH($A111,0)+1)
)</f>
        <v>0</v>
      </c>
      <c r="CK111" s="166" cm="1">
        <f t="array" ref="CK111">SUMPRODUCT(
  IFERROR(--desp[valor],0)*
  (desp[nucleo]="UP ESTAÇÃO VILA SONIA")*
  (desp[categoria]=CK$7)*
  (desp[data.pagamento]&gt;=$A111)*
  (desp[data.pagamento]&lt;EOMONTH($A111,0)+1)
)</f>
        <v>0</v>
      </c>
      <c r="CL111" s="166" cm="1">
        <f t="array" ref="CL111">SUMPRODUCT(
  IFERROR(--desp[valor],0)*
  (desp[nucleo]="UP ESTAÇÃO VILA SONIA")*
  (desp[categoria]=CL$7)*
  (desp[data.pagamento]&gt;=$A111)*
  (desp[data.pagamento]&lt;EOMONTH($A111,0)+1)
)</f>
        <v>0</v>
      </c>
      <c r="CM111" s="166" cm="1">
        <f t="array" ref="CM111">SUMPRODUCT(
  IFERROR(--desp[valor],0)*
  (desp[nucleo]="UP ESTAÇÃO VILA SONIA")*
  (desp[categoria]=CM$7)*
  (desp[data.pagamento]&gt;=$A111)*
  (desp[data.pagamento]&lt;EOMONTH($A111,0)+1)
)</f>
        <v>0</v>
      </c>
      <c r="CN111" s="177">
        <f>COUNTIFS(
    estq[empresa], CN$6,
    estq[Data da venda / reserva], "&gt;=" &amp; $A111,
    estq[Data da venda / reserva], "&lt;"  &amp; EOMONTH($A111,0) + 1
)</f>
        <v>0</v>
      </c>
      <c r="CO111" s="178">
        <f ca="1">SUMIFS(rec.uni[2030-01-01],
INDIRECT("rec.uni[natureza]"),"pro.soluto",
INDIRECT("rec.uni[empresa]"),CO$6)</f>
        <v>0</v>
      </c>
      <c r="CP111" s="178">
        <f ca="1">SUMIFS(rec.uni[2030-01-01],
INDIRECT("rec.uni[natureza]"),"repasse.cef.obra",
INDIRECT("rec.uni[empresa]"),CP$6)</f>
        <v>0</v>
      </c>
      <c r="CQ111" s="181">
        <f ca="1">SUMIFS(rec.uni[2030-01-01],
INDIRECT("rec.uni[natureza]"),"repasse.cef.terreno",
INDIRECT("rec.uni[empresa]"),CQ$6)</f>
        <v>0</v>
      </c>
      <c r="CR111" s="182"/>
      <c r="CS111" s="178">
        <f ca="1">SUMIFS(rec.uni[2030-01-01],
INDIRECT("rec.uni[natureza]"),"taxa.extra",
INDIRECT("rec.uni[empresa]"),CS$6)</f>
        <v>0</v>
      </c>
      <c r="CT111" s="166"/>
      <c r="CU111" s="166" cm="1">
        <f t="array" ref="CU111">SUMPRODUCT(
  IFERROR(--desp[valor],0)*
  (desp[nucleo]="UP MOVE VILA SONIA")*
  (desp[categoria]=CU$7)*
  (desp[data.pagamento]&gt;=$A111)*
  (desp[data.pagamento]&lt;EOMONTH($A111,0)+1)
)</f>
        <v>0</v>
      </c>
      <c r="CV111" s="166" cm="1">
        <f t="array" ref="CV111">SUMPRODUCT(
  IFERROR(--desp[valor],0)*
  (desp[nucleo]="UP MOVE VILA SONIA")*
  (desp[categoria]=CV$7)*
  (desp[data.pagamento]&gt;=$A111)*
  (desp[data.pagamento]&lt;EOMONTH($A111,0)+1)
)</f>
        <v>0</v>
      </c>
      <c r="CW111" s="166" cm="1">
        <f t="array" ref="CW111">SUMPRODUCT(
  IFERROR(--desp[valor],0)*
  (desp[nucleo]="UP MOVE VILA SONIA")*
  (desp[categoria]=CW$7)*
  (desp[data.pagamento]&gt;=$A111)*
  (desp[data.pagamento]&lt;EOMONTH($A111,0)+1)
)</f>
        <v>0</v>
      </c>
      <c r="CX111" s="166" cm="1">
        <f t="array" ref="CX111">SUMPRODUCT(
  IFERROR(--desp[valor],0)*
  (desp[nucleo]="UP MOVE VILA SONIA")*
  (desp[categoria]=CX$7)*
  (desp[data.pagamento]&gt;=$A111)*
  (desp[data.pagamento]&lt;EOMONTH($A111,0)+1)
)</f>
        <v>0</v>
      </c>
      <c r="CY111" s="291" cm="1">
        <f t="array" ref="CY111">SUMPRODUCT(
  IFERROR(--desp[valor],0)*
  (desp[nucleo]="UP MOVE VILA SONIA")*
  (desp[categoria]=CY$7)*
  (desp[data.pagamento]&gt;=$A111)*
  (desp[data.pagamento]&lt;EOMONTH($A111,0)+1)
)</f>
        <v>0</v>
      </c>
    </row>
    <row r="112" spans="1:103" x14ac:dyDescent="0.25">
      <c r="A112" s="176">
        <v>47515</v>
      </c>
      <c r="B112" s="177">
        <f>COUNTIFS(
    estq[empresa], B$6,
    estq[Data da venda / reserva], "&gt;=" &amp; $A112,
    estq[Data da venda / reserva], "&lt;"  &amp; EOMONTH($A112,0) + 1
)</f>
        <v>0</v>
      </c>
      <c r="C112" s="178">
        <f ca="1">SUMIFS(rec.uni[2030-02-01],
INDIRECT("rec.uni[natureza]"),"pro.soluto",
INDIRECT("rec.uni[empresa]"),C$6)</f>
        <v>0</v>
      </c>
      <c r="D112" s="178">
        <f ca="1">SUMIFS(rec.uni[2030-02-01],
INDIRECT("rec.uni[natureza]"),"repasse.cef.obra",
INDIRECT("rec.uni[empresa]"),D$6)</f>
        <v>0</v>
      </c>
      <c r="E112" s="178">
        <f ca="1">SUMIFS(rec.uni[2030-02-01],
INDIRECT("rec.uni[natureza]"),"repasse.cef.terreno",
INDIRECT("rec.uni[empresa]"),E$6)</f>
        <v>0</v>
      </c>
      <c r="F112" s="182"/>
      <c r="G112" s="178">
        <f ca="1">SUMIFS(rec.uni[2030-02-01],
INDIRECT("rec.uni[natureza]"),"taxa.extra",
INDIRECT("rec.uni[empresa]"),G$6)</f>
        <v>0</v>
      </c>
      <c r="H112" s="166"/>
      <c r="I112" s="166" cm="1">
        <f t="array" ref="I112">SUMPRODUCT(
  IFERROR(--desp[valor],0)*
  (desp[nucleo]="UP JARDIM PRUDENCIA")*
  (desp[categoria]=I$7)*
  (desp[data.pagamento]&gt;=$A112)*
  (desp[data.pagamento]&lt;EOMONTH($A112,0)+1)
)</f>
        <v>0</v>
      </c>
      <c r="J112" s="166" cm="1">
        <f t="array" ref="J112">SUMPRODUCT(
  IFERROR(--desp[valor],0)*
  (desp[nucleo]="UP JARDIM PRUDENCIA")*
  (desp[categoria]=J$7)*
  (desp[data.pagamento]&gt;=$A112)*
  (desp[data.pagamento]&lt;EOMONTH($A112,0)+1)
)</f>
        <v>0</v>
      </c>
      <c r="K112" s="166" cm="1">
        <f t="array" ref="K112">SUMPRODUCT(
  IFERROR(--desp[valor],0)*
  (desp[nucleo]="UP JARDIM PRUDENCIA")*
  (desp[categoria]=K$7)*
  (desp[data.pagamento]&gt;=$A112)*
  (desp[data.pagamento]&lt;EOMONTH($A112,0)+1)
)</f>
        <v>0</v>
      </c>
      <c r="L112" s="166" cm="1">
        <f t="array" ref="L112">SUMPRODUCT(
  IFERROR(--desp[valor],0)*
  (desp[nucleo]="UP JARDIM PRUDENCIA")*
  (desp[categoria]=L$7)*
  (desp[data.pagamento]&gt;=$A112)*
  (desp[data.pagamento]&lt;EOMONTH($A112,0)+1)
)</f>
        <v>0</v>
      </c>
      <c r="M112" s="166" cm="1">
        <f t="array" ref="M112">SUMPRODUCT(
  IFERROR(--desp[valor],0)*
  (desp[nucleo]="UP JARDIM PRUDENCIA")*
  (desp[categoria]=M$7)*
  (desp[data.pagamento]&gt;=$A112)*
  (desp[data.pagamento]&lt;EOMONTH($A112,0)+1)
)</f>
        <v>0</v>
      </c>
      <c r="N112" s="177">
        <f>COUNTIFS(
    estq[empresa], N$6,
    estq[Data da venda / reserva], "&gt;=" &amp; $A112,
    estq[Data da venda / reserva], "&lt;"  &amp; EOMONTH($A112,0) + 1
)</f>
        <v>0</v>
      </c>
      <c r="O112" s="178">
        <f ca="1">SUMIFS(rec.uni[2030-02-01],
INDIRECT("rec.uni[natureza]"),"pro.soluto",
INDIRECT("rec.uni[empresa]"),O$6)</f>
        <v>0</v>
      </c>
      <c r="P112" s="178">
        <f ca="1">SUMIFS(rec.uni[2030-02-01],
INDIRECT("rec.uni[natureza]"),"repasse.cef.obra",
INDIRECT("rec.uni[empresa]"),P$6)</f>
        <v>0</v>
      </c>
      <c r="Q112" s="178">
        <f ca="1">SUMIFS(rec.uni[2030-02-01],
INDIRECT("rec.uni[natureza]"),"repasse.cef.terreno",
INDIRECT("rec.uni[empresa]"),Q$6)</f>
        <v>0</v>
      </c>
      <c r="R112" s="182"/>
      <c r="S112" s="178">
        <f ca="1">SUMIFS(rec.uni[2030-02-01],
INDIRECT("rec.uni[natureza]"),"taxa.extra",
INDIRECT("rec.uni[empresa]"),S$6)</f>
        <v>0</v>
      </c>
      <c r="T112" s="166"/>
      <c r="U112" s="166" cm="1">
        <f t="array" ref="U112">SUMPRODUCT(
  IFERROR(--desp[valor],0)*
  (desp[nucleo]="UP VILA SONIA")*
  (desp[categoria]=U$7)*
  (desp[data.pagamento]&gt;=$A112)*
  (desp[data.pagamento]&lt;EOMONTH($A112,0)+1)
)</f>
        <v>0</v>
      </c>
      <c r="V112" s="166" cm="1">
        <f t="array" ref="V112">SUMPRODUCT(
  IFERROR(--desp[valor],0)*
  (desp[nucleo]="UP VILA SONIA")*
  (desp[categoria]=V$7)*
  (desp[data.pagamento]&gt;=$A112)*
  (desp[data.pagamento]&lt;EOMONTH($A112,0)+1)
)</f>
        <v>0</v>
      </c>
      <c r="W112" s="166" cm="1">
        <f t="array" ref="W112">SUMPRODUCT(
  IFERROR(--desp[valor],0)*
  (desp[nucleo]="UP VILA SONIA")*
  (desp[categoria]=W$7)*
  (desp[data.pagamento]&gt;=$A112)*
  (desp[data.pagamento]&lt;EOMONTH($A112,0)+1)
)</f>
        <v>0</v>
      </c>
      <c r="X112" s="166" cm="1">
        <f t="array" ref="X112">SUMPRODUCT(
  IFERROR(--desp[valor],0)*
  (desp[nucleo]="UP VILA SONIA")*
  (desp[categoria]=X$7)*
  (desp[data.pagamento]&gt;=$A112)*
  (desp[data.pagamento]&lt;EOMONTH($A112,0)+1)
)</f>
        <v>0</v>
      </c>
      <c r="Y112" s="166" cm="1">
        <f t="array" ref="Y112">SUMPRODUCT(
  IFERROR(--desp[valor],0)*
  (desp[nucleo]="UP VILA SONIA")*
  (desp[categoria]=Y$7)*
  (desp[data.pagamento]&gt;=$A112)*
  (desp[data.pagamento]&lt;EOMONTH($A112,0)+1)
)</f>
        <v>0</v>
      </c>
      <c r="Z112" s="177">
        <f>COUNTIFS(
    estq[empresa], Z$6,
    estq[Data da venda / reserva], "&gt;=" &amp; $A112,
    estq[Data da venda / reserva], "&lt;"  &amp; EOMONTH($A112,0) + 1
)</f>
        <v>0</v>
      </c>
      <c r="AA112" s="178">
        <f ca="1">SUMIFS(rec.uni[2030-02-01],
INDIRECT("rec.uni[natureza]"),"pro.soluto",
INDIRECT("rec.uni[empresa]"),AA$6)</f>
        <v>0</v>
      </c>
      <c r="AB112" s="182">
        <f ca="1">SUMIFS(rec.uni[2030-02-01],
INDIRECT("rec.uni[natureza]"),"parcela.fin.total.ik",
INDIRECT("rec.uni[empresa]"),AB$6)</f>
        <v>0</v>
      </c>
      <c r="AC112" s="178">
        <f ca="1">SUMIFS(rec.uni[2030-02-01],
INDIRECT("rec.uni[natureza]"),"taxa.extra",
INDIRECT("rec.uni[empresa]"),AC$6)</f>
        <v>0</v>
      </c>
      <c r="AD112" s="166"/>
      <c r="AE112" s="166" cm="1">
        <f t="array" ref="AE112">SUMPRODUCT(
  IFERROR(--desp[valor],0)*
  (desp[nucleo]="UP CAMPO BELO")*
  (desp[categoria]=AE$7)*
  (desp[data.pagamento]&gt;=$A112)*
  (desp[data.pagamento]&lt;EOMONTH($A112,0)+1)
)</f>
        <v>0</v>
      </c>
      <c r="AF112" s="166" cm="1">
        <f t="array" ref="AF112">SUMPRODUCT(
  IFERROR(--desp[valor],0)*
  (desp[nucleo]="UP CAMPO BELO")*
  (desp[categoria]=AF$7)*
  (desp[data.pagamento]&gt;=$A112)*
  (desp[data.pagamento]&lt;EOMONTH($A112,0)+1)
)</f>
        <v>0</v>
      </c>
      <c r="AG112" s="166" cm="1">
        <f t="array" ref="AG112">SUMPRODUCT(
  IFERROR(--desp[valor],0)*
  (desp[nucleo]="UP CAMPO BELO")*
  (desp[categoria]=AG$7)*
  (desp[data.pagamento]&gt;=$A112)*
  (desp[data.pagamento]&lt;EOMONTH($A112,0)+1)
)</f>
        <v>0</v>
      </c>
      <c r="AH112" s="166" cm="1">
        <f t="array" ref="AH112">SUMPRODUCT(
  IFERROR(--desp[valor],0)*
  (desp[nucleo]="UP CAMPO BELO")*
  (desp[categoria]=AH$7)*
  (desp[data.pagamento]&gt;=$A112)*
  (desp[data.pagamento]&lt;EOMONTH($A112,0)+1)
)</f>
        <v>0</v>
      </c>
      <c r="AI112" s="166" cm="1">
        <f t="array" ref="AI112">SUMPRODUCT(
  IFERROR(--desp[valor],0)*
  (desp[nucleo]="UP CAMPO BELO")*
  (desp[categoria]=AI$7)*
  (desp[data.pagamento]&gt;=$A112)*
  (desp[data.pagamento]&lt;EOMONTH($A112,0)+1)
)</f>
        <v>0</v>
      </c>
      <c r="AJ112" s="177">
        <f>COUNTIFS(
    estq[empresa], AJ$6,
    estq[Data da venda / reserva], "&gt;=" &amp; $A112,
    estq[Data da venda / reserva], "&lt;"  &amp; EOMONTH($A112,0) + 1
)</f>
        <v>0</v>
      </c>
      <c r="AK112" s="178">
        <f ca="1">SUMIFS(rec.uni[2030-02-01],
INDIRECT("rec.uni[natureza]"),"pro.soluto",
INDIRECT("rec.uni[empresa]"),AK$6)</f>
        <v>0</v>
      </c>
      <c r="AL112" s="178">
        <f ca="1">SUMIFS(rec.uni[2030-02-01],
INDIRECT("rec.uni[natureza]"),"repasse.cef.obra",
INDIRECT("rec.uni[empresa]"),AL$6)</f>
        <v>0</v>
      </c>
      <c r="AM112" s="181">
        <f ca="1">SUMIFS(rec.uni[2030-02-01],
INDIRECT("rec.uni[natureza]"),"repasse.cef.terreno",
INDIRECT("rec.uni[empresa]"),AM$6)</f>
        <v>0</v>
      </c>
      <c r="AN112" s="182"/>
      <c r="AO112" s="178">
        <f ca="1">SUMIFS(rec.uni[2030-02-01],
INDIRECT("rec.uni[natureza]"),"taxa.extra",
INDIRECT("rec.uni[empresa]"),AO$6)</f>
        <v>0</v>
      </c>
      <c r="AP112" s="166"/>
      <c r="AQ112" s="166" cm="1">
        <f t="array" ref="AQ112">SUMPRODUCT(
  IFERROR(--desp[valor],0)*
  (desp[nucleo]="UP SELECT VILA SONIA")*
  (desp[categoria]=AQ$7)*
  (desp[data.pagamento]&gt;=$A112)*
  (desp[data.pagamento]&lt;EOMONTH($A112,0)+1)
)</f>
        <v>0</v>
      </c>
      <c r="AR112" s="166" cm="1">
        <f t="array" ref="AR112">SUMPRODUCT(
  IFERROR(--desp[valor],0)*
  (desp[nucleo]="UP SELECT VILA SONIA")*
  (desp[categoria]=AR$7)*
  (desp[data.pagamento]&gt;=$A112)*
  (desp[data.pagamento]&lt;EOMONTH($A112,0)+1)
)</f>
        <v>0</v>
      </c>
      <c r="AS112" s="166" cm="1">
        <f t="array" ref="AS112">SUMPRODUCT(
  IFERROR(--desp[valor],0)*
  (desp[nucleo]="UP SELECT VILA SONIA")*
  (desp[categoria]=AS$7)*
  (desp[data.pagamento]&gt;=$A112)*
  (desp[data.pagamento]&lt;EOMONTH($A112,0)+1)
)</f>
        <v>0</v>
      </c>
      <c r="AT112" s="166" cm="1">
        <f t="array" ref="AT112">SUMPRODUCT(
  IFERROR(--desp[valor],0)*
  (desp[nucleo]="UP SELECT VILA SONIA")*
  (desp[categoria]=AT$7)*
  (desp[data.pagamento]&gt;=$A112)*
  (desp[data.pagamento]&lt;EOMONTH($A112,0)+1)
)</f>
        <v>0</v>
      </c>
      <c r="AU112" s="166" cm="1">
        <f t="array" ref="AU112">SUMPRODUCT(
  IFERROR(--desp[valor],0)*
  (desp[nucleo]="UP SELECT VILA SONIA")*
  (desp[categoria]=AU$7)*
  (desp[data.pagamento]&gt;=$A112)*
  (desp[data.pagamento]&lt;EOMONTH($A112,0)+1)
)</f>
        <v>0</v>
      </c>
      <c r="AV112" s="177">
        <f>COUNTIFS(
    estq[empresa], AV$6,
    estq[Data da venda / reserva], "&gt;=" &amp; $A112,
    estq[Data da venda / reserva], "&lt;"  &amp; EOMONTH($A112,0) + 1
)</f>
        <v>0</v>
      </c>
      <c r="AW112" s="178">
        <f ca="1">SUMIFS(rec.uni[2030-02-01],
INDIRECT("rec.uni[natureza]"),"pro.soluto",
INDIRECT("rec.uni[empresa]"),AW$6)</f>
        <v>0</v>
      </c>
      <c r="AX112" s="178">
        <f ca="1">SUMIFS(rec.uni[2030-02-01],
INDIRECT("rec.uni[natureza]"),"repasse.cef.obra",
INDIRECT("rec.uni[empresa]"),AX$6)</f>
        <v>0</v>
      </c>
      <c r="AY112" s="181">
        <f ca="1">SUMIFS(rec.uni[2030-02-01],
INDIRECT("rec.uni[natureza]"),"repasse.cef.terreno",
INDIRECT("rec.uni[empresa]"),AY$6)</f>
        <v>0</v>
      </c>
      <c r="AZ112" s="182"/>
      <c r="BA112" s="178">
        <f ca="1">SUMIFS(rec.uni[2030-02-01],
INDIRECT("rec.uni[natureza]"),"taxa.extra",
INDIRECT("rec.uni[empresa]"),BA$6)</f>
        <v>0</v>
      </c>
      <c r="BB112" s="166"/>
      <c r="BC112" s="166" cm="1">
        <f t="array" ref="BC112">SUMPRODUCT(
  IFERROR(--desp[valor],0)*
  (desp[nucleo]="UP ESTAÇÃO SÃO LUCAS")*
  (desp[categoria]=BC$7)*
  (desp[data.pagamento]&gt;=$A112)*
  (desp[data.pagamento]&lt;EOMONTH($A112,0)+1)
)</f>
        <v>0</v>
      </c>
      <c r="BD112" s="166" cm="1">
        <f t="array" ref="BD112">SUMPRODUCT(
  IFERROR(--desp[valor],0)*
  (desp[nucleo]="UP ESTAÇÃO SÃO LUCAS")*
  (desp[categoria]=BD$7)*
  (desp[data.pagamento]&gt;=$A112)*
  (desp[data.pagamento]&lt;EOMONTH($A112,0)+1)
)</f>
        <v>0</v>
      </c>
      <c r="BE112" s="166" cm="1">
        <f t="array" ref="BE112">SUMPRODUCT(
  IFERROR(--desp[valor],0)*
  (desp[nucleo]="UP ESTAÇÃO SÃO LUCAS")*
  (desp[categoria]=BE$7)*
  (desp[data.pagamento]&gt;=$A112)*
  (desp[data.pagamento]&lt;EOMONTH($A112,0)+1)
)</f>
        <v>0</v>
      </c>
      <c r="BF112" s="166" cm="1">
        <f t="array" ref="BF112">SUMPRODUCT(
  IFERROR(--desp[valor],0)*
  (desp[nucleo]="UP ESTAÇÃO SÃO LUCAS")*
  (desp[categoria]=BF$7)*
  (desp[data.pagamento]&gt;=$A112)*
  (desp[data.pagamento]&lt;EOMONTH($A112,0)+1)
)</f>
        <v>0</v>
      </c>
      <c r="BG112" s="166" cm="1">
        <f t="array" ref="BG112">SUMPRODUCT(
  IFERROR(--desp[valor],0)*
  (desp[nucleo]="UP ESTAÇÃO SÃO LUCAS")*
  (desp[categoria]=BG$7)*
  (desp[data.pagamento]&gt;=$A112)*
  (desp[data.pagamento]&lt;EOMONTH($A112,0)+1)
)</f>
        <v>0</v>
      </c>
      <c r="BH112" s="177">
        <f>COUNTIFS(
    estq[empresa], BH$6,
    estq[Data da venda / reserva], "&gt;=" &amp; $A112,
    estq[Data da venda / reserva], "&lt;"  &amp; EOMONTH($A112,0) + 1
)</f>
        <v>0</v>
      </c>
      <c r="BI112" s="178">
        <f ca="1">SUMIFS(rec.uni[2030-02-01],
INDIRECT("rec.uni[natureza]"),"pro.soluto",
INDIRECT("rec.uni[empresa]"),BI$6)</f>
        <v>0</v>
      </c>
      <c r="BJ112" s="182">
        <f ca="1">SUMIFS(rec.uni[2030-02-01],
INDIRECT("rec.uni[natureza]"),"parcela.fin.total.ik",
INDIRECT("rec.uni[empresa]"),BJ$6)</f>
        <v>0</v>
      </c>
      <c r="BK112" s="178">
        <f ca="1">SUMIFS(rec.uni[2030-02-01],
INDIRECT("rec.uni[natureza]"),"taxa.extra",
INDIRECT("rec.uni[empresa]"),BK$6)</f>
        <v>0</v>
      </c>
      <c r="BL112" s="166"/>
      <c r="BM112" s="166" cm="1">
        <f t="array" ref="BM112">SUMPRODUCT(
  IFERROR(--desp[valor],0)*
  (desp[nucleo]="UP POMPEIA")*
  (desp[categoria]=BM$7)*
  (desp[data.pagamento]&gt;=$A112)*
  (desp[data.pagamento]&lt;EOMONTH($A112,0)+1)
)</f>
        <v>0</v>
      </c>
      <c r="BN112" s="166" cm="1">
        <f t="array" ref="BN112">SUMPRODUCT(
  IFERROR(--desp[valor],0)*
  (desp[nucleo]="UP POMPEIA")*
  (desp[categoria]=BN$7)*
  (desp[data.pagamento]&gt;=$A112)*
  (desp[data.pagamento]&lt;EOMONTH($A112,0)+1)
)</f>
        <v>0</v>
      </c>
      <c r="BO112" s="166" cm="1">
        <f t="array" ref="BO112">SUMPRODUCT(
  IFERROR(--desp[valor],0)*
  (desp[nucleo]="UP POMPEIA")*
  (desp[categoria]=BO$7)*
  (desp[data.pagamento]&gt;=$A112)*
  (desp[data.pagamento]&lt;EOMONTH($A112,0)+1)
)</f>
        <v>0</v>
      </c>
      <c r="BP112" s="166" cm="1">
        <f t="array" ref="BP112">SUMPRODUCT(
  IFERROR(--desp[valor],0)*
  (desp[nucleo]="UP POMPEIA")*
  (desp[categoria]=BP$7)*
  (desp[data.pagamento]&gt;=$A112)*
  (desp[data.pagamento]&lt;EOMONTH($A112,0)+1)
)</f>
        <v>0</v>
      </c>
      <c r="BQ112" s="166" cm="1">
        <f t="array" ref="BQ112">SUMPRODUCT(
  IFERROR(--desp[valor],0)*
  (desp[nucleo]="UP POMPEIA")*
  (desp[categoria]=BQ$7)*
  (desp[data.pagamento]&gt;=$A112)*
  (desp[data.pagamento]&lt;EOMONTH($A112,0)+1)
)</f>
        <v>0</v>
      </c>
      <c r="BR112" s="177">
        <f>COUNTIFS(
    estq[empresa], BR$6,
    estq[Data da venda / reserva], "&gt;=" &amp; $A112,
    estq[Data da venda / reserva], "&lt;"  &amp; EOMONTH($A112,0) + 1
)</f>
        <v>0</v>
      </c>
      <c r="BS112" s="178">
        <f ca="1">SUMIFS(rec.uni[2030-02-01],
INDIRECT("rec.uni[natureza]"),"pro.soluto",
INDIRECT("rec.uni[empresa]"),BS$6)</f>
        <v>0</v>
      </c>
      <c r="BT112" s="182">
        <f ca="1">SUMIFS(rec.uni[2030-02-01],
INDIRECT("rec.uni[natureza]"),"parcela.fin.total.ik",
INDIRECT("rec.uni[empresa]"),BT$6)</f>
        <v>0</v>
      </c>
      <c r="BU112" s="178">
        <f ca="1">SUMIFS(rec.uni[2030-02-01],
INDIRECT("rec.uni[natureza]"),"taxa.extra",
INDIRECT("rec.uni[empresa]"),BU$6)</f>
        <v>0</v>
      </c>
      <c r="BV112" s="166"/>
      <c r="BW112" s="166" cm="1">
        <f t="array" ref="BW112">SUMPRODUCT(
  IFERROR(--desp[valor],0)*
  (desp[nucleo]="UP SAUDE")*
  (desp[categoria]=BW$7)*
  (desp[data.pagamento]&gt;=$A112)*
  (desp[data.pagamento]&lt;EOMONTH($A112,0)+1)
)</f>
        <v>0</v>
      </c>
      <c r="BX112" s="166" cm="1">
        <f t="array" ref="BX112">SUMPRODUCT(
  IFERROR(--desp[valor],0)*
  (desp[nucleo]="UP SAUDE")*
  (desp[categoria]=BX$7)*
  (desp[data.pagamento]&gt;=$A112)*
  (desp[data.pagamento]&lt;EOMONTH($A112,0)+1)
)</f>
        <v>0</v>
      </c>
      <c r="BY112" s="166" cm="1">
        <f t="array" ref="BY112">SUMPRODUCT(
  IFERROR(--desp[valor],0)*
  (desp[nucleo]="UP SAUDE")*
  (desp[categoria]=BY$7)*
  (desp[data.pagamento]&gt;=$A112)*
  (desp[data.pagamento]&lt;EOMONTH($A112,0)+1)
)</f>
        <v>0</v>
      </c>
      <c r="BZ112" s="166" cm="1">
        <f t="array" ref="BZ112">SUMPRODUCT(
  IFERROR(--desp[valor],0)*
  (desp[nucleo]="UP SAUDE")*
  (desp[categoria]=BZ$7)*
  (desp[data.pagamento]&gt;=$A112)*
  (desp[data.pagamento]&lt;EOMONTH($A112,0)+1)
)</f>
        <v>0</v>
      </c>
      <c r="CA112" s="166" cm="1">
        <f t="array" ref="CA112">SUMPRODUCT(
  IFERROR(--desp[valor],0)*
  (desp[nucleo]="UP SAUDE")*
  (desp[categoria]=CA$7)*
  (desp[data.pagamento]&gt;=$A112)*
  (desp[data.pagamento]&lt;EOMONTH($A112,0)+1)
)</f>
        <v>0</v>
      </c>
      <c r="CB112" s="177">
        <f>COUNTIFS(
    estq[empresa], CB$6,
    estq[Data da venda / reserva], "&gt;=" &amp; $A112,
    estq[Data da venda / reserva], "&lt;"  &amp; EOMONTH($A112,0) + 1
)</f>
        <v>0</v>
      </c>
      <c r="CC112" s="178">
        <f ca="1">SUMIFS(rec.uni[2030-02-01],
INDIRECT("rec.uni[natureza]"),"pro.soluto",
INDIRECT("rec.uni[empresa]"),CC$6)</f>
        <v>0</v>
      </c>
      <c r="CD112" s="178">
        <f ca="1">SUMIFS(rec.uni[2030-02-01],
INDIRECT("rec.uni[natureza]"),"repasse.cef.obra",
INDIRECT("rec.uni[empresa]"),CD$6)</f>
        <v>0</v>
      </c>
      <c r="CE112" s="181">
        <f ca="1">SUMIFS(rec.uni[2030-02-01],
INDIRECT("rec.uni[natureza]"),"repasse.cef.terreno",
INDIRECT("rec.uni[empresa]"),CE$6)</f>
        <v>0</v>
      </c>
      <c r="CF112" s="182"/>
      <c r="CG112" s="178">
        <f ca="1">SUMIFS(rec.uni[2030-02-01],
INDIRECT("rec.uni[natureza]"),"taxa.extra",
INDIRECT("rec.uni[empresa]"),CG$6)</f>
        <v>0</v>
      </c>
      <c r="CH112" s="166"/>
      <c r="CI112" s="166" cm="1">
        <f t="array" ref="CI112">SUMPRODUCT(
  IFERROR(--desp[valor],0)*
  (desp[nucleo]="UP ESTAÇÃO VILA SONIA")*
  (desp[categoria]=CI$7)*
  (desp[data.pagamento]&gt;=$A112)*
  (desp[data.pagamento]&lt;EOMONTH($A112,0)+1)
)</f>
        <v>0</v>
      </c>
      <c r="CJ112" s="166" cm="1">
        <f t="array" ref="CJ112">SUMPRODUCT(
  IFERROR(--desp[valor],0)*
  (desp[nucleo]="UP ESTAÇÃO VILA SONIA")*
  (desp[categoria]=CJ$7)*
  (desp[data.pagamento]&gt;=$A112)*
  (desp[data.pagamento]&lt;EOMONTH($A112,0)+1)
)</f>
        <v>0</v>
      </c>
      <c r="CK112" s="166" cm="1">
        <f t="array" ref="CK112">SUMPRODUCT(
  IFERROR(--desp[valor],0)*
  (desp[nucleo]="UP ESTAÇÃO VILA SONIA")*
  (desp[categoria]=CK$7)*
  (desp[data.pagamento]&gt;=$A112)*
  (desp[data.pagamento]&lt;EOMONTH($A112,0)+1)
)</f>
        <v>0</v>
      </c>
      <c r="CL112" s="166" cm="1">
        <f t="array" ref="CL112">SUMPRODUCT(
  IFERROR(--desp[valor],0)*
  (desp[nucleo]="UP ESTAÇÃO VILA SONIA")*
  (desp[categoria]=CL$7)*
  (desp[data.pagamento]&gt;=$A112)*
  (desp[data.pagamento]&lt;EOMONTH($A112,0)+1)
)</f>
        <v>0</v>
      </c>
      <c r="CM112" s="166" cm="1">
        <f t="array" ref="CM112">SUMPRODUCT(
  IFERROR(--desp[valor],0)*
  (desp[nucleo]="UP ESTAÇÃO VILA SONIA")*
  (desp[categoria]=CM$7)*
  (desp[data.pagamento]&gt;=$A112)*
  (desp[data.pagamento]&lt;EOMONTH($A112,0)+1)
)</f>
        <v>0</v>
      </c>
      <c r="CN112" s="177">
        <f>COUNTIFS(
    estq[empresa], CN$6,
    estq[Data da venda / reserva], "&gt;=" &amp; $A112,
    estq[Data da venda / reserva], "&lt;"  &amp; EOMONTH($A112,0) + 1
)</f>
        <v>0</v>
      </c>
      <c r="CO112" s="178">
        <f ca="1">SUMIFS(rec.uni[2030-02-01],
INDIRECT("rec.uni[natureza]"),"pro.soluto",
INDIRECT("rec.uni[empresa]"),CO$6)</f>
        <v>0</v>
      </c>
      <c r="CP112" s="178">
        <f ca="1">SUMIFS(rec.uni[2030-02-01],
INDIRECT("rec.uni[natureza]"),"repasse.cef.obra",
INDIRECT("rec.uni[empresa]"),CP$6)</f>
        <v>0</v>
      </c>
      <c r="CQ112" s="181">
        <f ca="1">SUMIFS(rec.uni[2030-02-01],
INDIRECT("rec.uni[natureza]"),"repasse.cef.terreno",
INDIRECT("rec.uni[empresa]"),CQ$6)</f>
        <v>0</v>
      </c>
      <c r="CR112" s="182"/>
      <c r="CS112" s="178">
        <f ca="1">SUMIFS(rec.uni[2030-02-01],
INDIRECT("rec.uni[natureza]"),"taxa.extra",
INDIRECT("rec.uni[empresa]"),CS$6)</f>
        <v>0</v>
      </c>
      <c r="CT112" s="166"/>
      <c r="CU112" s="166" cm="1">
        <f t="array" ref="CU112">SUMPRODUCT(
  IFERROR(--desp[valor],0)*
  (desp[nucleo]="UP MOVE VILA SONIA")*
  (desp[categoria]=CU$7)*
  (desp[data.pagamento]&gt;=$A112)*
  (desp[data.pagamento]&lt;EOMONTH($A112,0)+1)
)</f>
        <v>0</v>
      </c>
      <c r="CV112" s="166" cm="1">
        <f t="array" ref="CV112">SUMPRODUCT(
  IFERROR(--desp[valor],0)*
  (desp[nucleo]="UP MOVE VILA SONIA")*
  (desp[categoria]=CV$7)*
  (desp[data.pagamento]&gt;=$A112)*
  (desp[data.pagamento]&lt;EOMONTH($A112,0)+1)
)</f>
        <v>0</v>
      </c>
      <c r="CW112" s="166" cm="1">
        <f t="array" ref="CW112">SUMPRODUCT(
  IFERROR(--desp[valor],0)*
  (desp[nucleo]="UP MOVE VILA SONIA")*
  (desp[categoria]=CW$7)*
  (desp[data.pagamento]&gt;=$A112)*
  (desp[data.pagamento]&lt;EOMONTH($A112,0)+1)
)</f>
        <v>0</v>
      </c>
      <c r="CX112" s="166" cm="1">
        <f t="array" ref="CX112">SUMPRODUCT(
  IFERROR(--desp[valor],0)*
  (desp[nucleo]="UP MOVE VILA SONIA")*
  (desp[categoria]=CX$7)*
  (desp[data.pagamento]&gt;=$A112)*
  (desp[data.pagamento]&lt;EOMONTH($A112,0)+1)
)</f>
        <v>0</v>
      </c>
      <c r="CY112" s="291" cm="1">
        <f t="array" ref="CY112">SUMPRODUCT(
  IFERROR(--desp[valor],0)*
  (desp[nucleo]="UP MOVE VILA SONIA")*
  (desp[categoria]=CY$7)*
  (desp[data.pagamento]&gt;=$A112)*
  (desp[data.pagamento]&lt;EOMONTH($A112,0)+1)
)</f>
        <v>0</v>
      </c>
    </row>
    <row r="113" spans="1:103" x14ac:dyDescent="0.25">
      <c r="A113" s="176">
        <v>47543</v>
      </c>
      <c r="B113" s="177">
        <f>COUNTIFS(
    estq[empresa], B$6,
    estq[Data da venda / reserva], "&gt;=" &amp; $A113,
    estq[Data da venda / reserva], "&lt;"  &amp; EOMONTH($A113,0) + 1
)</f>
        <v>0</v>
      </c>
      <c r="C113" s="178">
        <f ca="1">SUMIFS(rec.uni[2030-03-01],
INDIRECT("rec.uni[natureza]"),"pro.soluto",
INDIRECT("rec.uni[empresa]"),C$6)</f>
        <v>0</v>
      </c>
      <c r="D113" s="178">
        <f ca="1">SUMIFS(rec.uni[2030-03-01],
INDIRECT("rec.uni[natureza]"),"repasse.cef.obra",
INDIRECT("rec.uni[empresa]"),D$6)</f>
        <v>0</v>
      </c>
      <c r="E113" s="178">
        <f ca="1">SUMIFS(rec.uni[2030-03-01],
INDIRECT("rec.uni[natureza]"),"repasse.cef.terreno",
INDIRECT("rec.uni[empresa]"),E$6)</f>
        <v>0</v>
      </c>
      <c r="F113" s="182"/>
      <c r="G113" s="178">
        <f ca="1">SUMIFS(rec.uni[2030-03-01],
INDIRECT("rec.uni[natureza]"),"taxa.extra",
INDIRECT("rec.uni[empresa]"),G$6)</f>
        <v>0</v>
      </c>
      <c r="H113" s="166"/>
      <c r="I113" s="166" cm="1">
        <f t="array" ref="I113">SUMPRODUCT(
  IFERROR(--desp[valor],0)*
  (desp[nucleo]="UP JARDIM PRUDENCIA")*
  (desp[categoria]=I$7)*
  (desp[data.pagamento]&gt;=$A113)*
  (desp[data.pagamento]&lt;EOMONTH($A113,0)+1)
)</f>
        <v>0</v>
      </c>
      <c r="J113" s="166" cm="1">
        <f t="array" ref="J113">SUMPRODUCT(
  IFERROR(--desp[valor],0)*
  (desp[nucleo]="UP JARDIM PRUDENCIA")*
  (desp[categoria]=J$7)*
  (desp[data.pagamento]&gt;=$A113)*
  (desp[data.pagamento]&lt;EOMONTH($A113,0)+1)
)</f>
        <v>0</v>
      </c>
      <c r="K113" s="166" cm="1">
        <f t="array" ref="K113">SUMPRODUCT(
  IFERROR(--desp[valor],0)*
  (desp[nucleo]="UP JARDIM PRUDENCIA")*
  (desp[categoria]=K$7)*
  (desp[data.pagamento]&gt;=$A113)*
  (desp[data.pagamento]&lt;EOMONTH($A113,0)+1)
)</f>
        <v>0</v>
      </c>
      <c r="L113" s="166" cm="1">
        <f t="array" ref="L113">SUMPRODUCT(
  IFERROR(--desp[valor],0)*
  (desp[nucleo]="UP JARDIM PRUDENCIA")*
  (desp[categoria]=L$7)*
  (desp[data.pagamento]&gt;=$A113)*
  (desp[data.pagamento]&lt;EOMONTH($A113,0)+1)
)</f>
        <v>0</v>
      </c>
      <c r="M113" s="166" cm="1">
        <f t="array" ref="M113">SUMPRODUCT(
  IFERROR(--desp[valor],0)*
  (desp[nucleo]="UP JARDIM PRUDENCIA")*
  (desp[categoria]=M$7)*
  (desp[data.pagamento]&gt;=$A113)*
  (desp[data.pagamento]&lt;EOMONTH($A113,0)+1)
)</f>
        <v>0</v>
      </c>
      <c r="N113" s="177">
        <f>COUNTIFS(
    estq[empresa], N$6,
    estq[Data da venda / reserva], "&gt;=" &amp; $A113,
    estq[Data da venda / reserva], "&lt;"  &amp; EOMONTH($A113,0) + 1
)</f>
        <v>0</v>
      </c>
      <c r="O113" s="178">
        <f ca="1">SUMIFS(rec.uni[2030-03-01],
INDIRECT("rec.uni[natureza]"),"pro.soluto",
INDIRECT("rec.uni[empresa]"),O$6)</f>
        <v>0</v>
      </c>
      <c r="P113" s="178">
        <f ca="1">SUMIFS(rec.uni[2030-03-01],
INDIRECT("rec.uni[natureza]"),"repasse.cef.obra",
INDIRECT("rec.uni[empresa]"),P$6)</f>
        <v>0</v>
      </c>
      <c r="Q113" s="178">
        <f ca="1">SUMIFS(rec.uni[2030-03-01],
INDIRECT("rec.uni[natureza]"),"repasse.cef.terreno",
INDIRECT("rec.uni[empresa]"),Q$6)</f>
        <v>0</v>
      </c>
      <c r="R113" s="182"/>
      <c r="S113" s="178">
        <f ca="1">SUMIFS(rec.uni[2030-03-01],
INDIRECT("rec.uni[natureza]"),"taxa.extra",
INDIRECT("rec.uni[empresa]"),S$6)</f>
        <v>0</v>
      </c>
      <c r="T113" s="166"/>
      <c r="U113" s="166" cm="1">
        <f t="array" ref="U113">SUMPRODUCT(
  IFERROR(--desp[valor],0)*
  (desp[nucleo]="UP VILA SONIA")*
  (desp[categoria]=U$7)*
  (desp[data.pagamento]&gt;=$A113)*
  (desp[data.pagamento]&lt;EOMONTH($A113,0)+1)
)</f>
        <v>0</v>
      </c>
      <c r="V113" s="166" cm="1">
        <f t="array" ref="V113">SUMPRODUCT(
  IFERROR(--desp[valor],0)*
  (desp[nucleo]="UP VILA SONIA")*
  (desp[categoria]=V$7)*
  (desp[data.pagamento]&gt;=$A113)*
  (desp[data.pagamento]&lt;EOMONTH($A113,0)+1)
)</f>
        <v>0</v>
      </c>
      <c r="W113" s="166" cm="1">
        <f t="array" ref="W113">SUMPRODUCT(
  IFERROR(--desp[valor],0)*
  (desp[nucleo]="UP VILA SONIA")*
  (desp[categoria]=W$7)*
  (desp[data.pagamento]&gt;=$A113)*
  (desp[data.pagamento]&lt;EOMONTH($A113,0)+1)
)</f>
        <v>0</v>
      </c>
      <c r="X113" s="166" cm="1">
        <f t="array" ref="X113">SUMPRODUCT(
  IFERROR(--desp[valor],0)*
  (desp[nucleo]="UP VILA SONIA")*
  (desp[categoria]=X$7)*
  (desp[data.pagamento]&gt;=$A113)*
  (desp[data.pagamento]&lt;EOMONTH($A113,0)+1)
)</f>
        <v>0</v>
      </c>
      <c r="Y113" s="166" cm="1">
        <f t="array" ref="Y113">SUMPRODUCT(
  IFERROR(--desp[valor],0)*
  (desp[nucleo]="UP VILA SONIA")*
  (desp[categoria]=Y$7)*
  (desp[data.pagamento]&gt;=$A113)*
  (desp[data.pagamento]&lt;EOMONTH($A113,0)+1)
)</f>
        <v>0</v>
      </c>
      <c r="Z113" s="177">
        <f>COUNTIFS(
    estq[empresa], Z$6,
    estq[Data da venda / reserva], "&gt;=" &amp; $A113,
    estq[Data da venda / reserva], "&lt;"  &amp; EOMONTH($A113,0) + 1
)</f>
        <v>0</v>
      </c>
      <c r="AA113" s="178">
        <f ca="1">SUMIFS(rec.uni[2030-03-01],
INDIRECT("rec.uni[natureza]"),"pro.soluto",
INDIRECT("rec.uni[empresa]"),AA$6)</f>
        <v>0</v>
      </c>
      <c r="AB113" s="182">
        <f ca="1">SUMIFS(rec.uni[2030-03-01],
INDIRECT("rec.uni[natureza]"),"parcela.fin.total.ik",
INDIRECT("rec.uni[empresa]"),AB$6)</f>
        <v>0</v>
      </c>
      <c r="AC113" s="178">
        <f ca="1">SUMIFS(rec.uni[2030-03-01],
INDIRECT("rec.uni[natureza]"),"taxa.extra",
INDIRECT("rec.uni[empresa]"),AC$6)</f>
        <v>0</v>
      </c>
      <c r="AD113" s="166"/>
      <c r="AE113" s="166" cm="1">
        <f t="array" ref="AE113">SUMPRODUCT(
  IFERROR(--desp[valor],0)*
  (desp[nucleo]="UP CAMPO BELO")*
  (desp[categoria]=AE$7)*
  (desp[data.pagamento]&gt;=$A113)*
  (desp[data.pagamento]&lt;EOMONTH($A113,0)+1)
)</f>
        <v>0</v>
      </c>
      <c r="AF113" s="166" cm="1">
        <f t="array" ref="AF113">SUMPRODUCT(
  IFERROR(--desp[valor],0)*
  (desp[nucleo]="UP CAMPO BELO")*
  (desp[categoria]=AF$7)*
  (desp[data.pagamento]&gt;=$A113)*
  (desp[data.pagamento]&lt;EOMONTH($A113,0)+1)
)</f>
        <v>0</v>
      </c>
      <c r="AG113" s="166" cm="1">
        <f t="array" ref="AG113">SUMPRODUCT(
  IFERROR(--desp[valor],0)*
  (desp[nucleo]="UP CAMPO BELO")*
  (desp[categoria]=AG$7)*
  (desp[data.pagamento]&gt;=$A113)*
  (desp[data.pagamento]&lt;EOMONTH($A113,0)+1)
)</f>
        <v>0</v>
      </c>
      <c r="AH113" s="166" cm="1">
        <f t="array" ref="AH113">SUMPRODUCT(
  IFERROR(--desp[valor],0)*
  (desp[nucleo]="UP CAMPO BELO")*
  (desp[categoria]=AH$7)*
  (desp[data.pagamento]&gt;=$A113)*
  (desp[data.pagamento]&lt;EOMONTH($A113,0)+1)
)</f>
        <v>0</v>
      </c>
      <c r="AI113" s="166" cm="1">
        <f t="array" ref="AI113">SUMPRODUCT(
  IFERROR(--desp[valor],0)*
  (desp[nucleo]="UP CAMPO BELO")*
  (desp[categoria]=AI$7)*
  (desp[data.pagamento]&gt;=$A113)*
  (desp[data.pagamento]&lt;EOMONTH($A113,0)+1)
)</f>
        <v>0</v>
      </c>
      <c r="AJ113" s="177">
        <f>COUNTIFS(
    estq[empresa], AJ$6,
    estq[Data da venda / reserva], "&gt;=" &amp; $A113,
    estq[Data da venda / reserva], "&lt;"  &amp; EOMONTH($A113,0) + 1
)</f>
        <v>0</v>
      </c>
      <c r="AK113" s="178">
        <f ca="1">SUMIFS(rec.uni[2030-03-01],
INDIRECT("rec.uni[natureza]"),"pro.soluto",
INDIRECT("rec.uni[empresa]"),AK$6)</f>
        <v>0</v>
      </c>
      <c r="AL113" s="178">
        <f ca="1">SUMIFS(rec.uni[2030-03-01],
INDIRECT("rec.uni[natureza]"),"repasse.cef.obra",
INDIRECT("rec.uni[empresa]"),AL$6)</f>
        <v>0</v>
      </c>
      <c r="AM113" s="181">
        <f ca="1">SUMIFS(rec.uni[2030-03-01],
INDIRECT("rec.uni[natureza]"),"repasse.cef.terreno",
INDIRECT("rec.uni[empresa]"),AM$6)</f>
        <v>0</v>
      </c>
      <c r="AN113" s="182"/>
      <c r="AO113" s="178">
        <f ca="1">SUMIFS(rec.uni[2030-03-01],
INDIRECT("rec.uni[natureza]"),"taxa.extra",
INDIRECT("rec.uni[empresa]"),AO$6)</f>
        <v>0</v>
      </c>
      <c r="AP113" s="166"/>
      <c r="AQ113" s="166" cm="1">
        <f t="array" ref="AQ113">SUMPRODUCT(
  IFERROR(--desp[valor],0)*
  (desp[nucleo]="UP SELECT VILA SONIA")*
  (desp[categoria]=AQ$7)*
  (desp[data.pagamento]&gt;=$A113)*
  (desp[data.pagamento]&lt;EOMONTH($A113,0)+1)
)</f>
        <v>0</v>
      </c>
      <c r="AR113" s="166" cm="1">
        <f t="array" ref="AR113">SUMPRODUCT(
  IFERROR(--desp[valor],0)*
  (desp[nucleo]="UP SELECT VILA SONIA")*
  (desp[categoria]=AR$7)*
  (desp[data.pagamento]&gt;=$A113)*
  (desp[data.pagamento]&lt;EOMONTH($A113,0)+1)
)</f>
        <v>0</v>
      </c>
      <c r="AS113" s="166" cm="1">
        <f t="array" ref="AS113">SUMPRODUCT(
  IFERROR(--desp[valor],0)*
  (desp[nucleo]="UP SELECT VILA SONIA")*
  (desp[categoria]=AS$7)*
  (desp[data.pagamento]&gt;=$A113)*
  (desp[data.pagamento]&lt;EOMONTH($A113,0)+1)
)</f>
        <v>0</v>
      </c>
      <c r="AT113" s="166" cm="1">
        <f t="array" ref="AT113">SUMPRODUCT(
  IFERROR(--desp[valor],0)*
  (desp[nucleo]="UP SELECT VILA SONIA")*
  (desp[categoria]=AT$7)*
  (desp[data.pagamento]&gt;=$A113)*
  (desp[data.pagamento]&lt;EOMONTH($A113,0)+1)
)</f>
        <v>0</v>
      </c>
      <c r="AU113" s="166" cm="1">
        <f t="array" ref="AU113">SUMPRODUCT(
  IFERROR(--desp[valor],0)*
  (desp[nucleo]="UP SELECT VILA SONIA")*
  (desp[categoria]=AU$7)*
  (desp[data.pagamento]&gt;=$A113)*
  (desp[data.pagamento]&lt;EOMONTH($A113,0)+1)
)</f>
        <v>0</v>
      </c>
      <c r="AV113" s="177">
        <f>COUNTIFS(
    estq[empresa], AV$6,
    estq[Data da venda / reserva], "&gt;=" &amp; $A113,
    estq[Data da venda / reserva], "&lt;"  &amp; EOMONTH($A113,0) + 1
)</f>
        <v>0</v>
      </c>
      <c r="AW113" s="178">
        <f ca="1">SUMIFS(rec.uni[2030-03-01],
INDIRECT("rec.uni[natureza]"),"pro.soluto",
INDIRECT("rec.uni[empresa]"),AW$6)</f>
        <v>0</v>
      </c>
      <c r="AX113" s="178">
        <f ca="1">SUMIFS(rec.uni[2030-03-01],
INDIRECT("rec.uni[natureza]"),"repasse.cef.obra",
INDIRECT("rec.uni[empresa]"),AX$6)</f>
        <v>0</v>
      </c>
      <c r="AY113" s="181">
        <f ca="1">SUMIFS(rec.uni[2030-03-01],
INDIRECT("rec.uni[natureza]"),"repasse.cef.terreno",
INDIRECT("rec.uni[empresa]"),AY$6)</f>
        <v>0</v>
      </c>
      <c r="AZ113" s="182"/>
      <c r="BA113" s="178">
        <f ca="1">SUMIFS(rec.uni[2030-03-01],
INDIRECT("rec.uni[natureza]"),"taxa.extra",
INDIRECT("rec.uni[empresa]"),BA$6)</f>
        <v>0</v>
      </c>
      <c r="BB113" s="166"/>
      <c r="BC113" s="166" cm="1">
        <f t="array" ref="BC113">SUMPRODUCT(
  IFERROR(--desp[valor],0)*
  (desp[nucleo]="UP ESTAÇÃO SÃO LUCAS")*
  (desp[categoria]=BC$7)*
  (desp[data.pagamento]&gt;=$A113)*
  (desp[data.pagamento]&lt;EOMONTH($A113,0)+1)
)</f>
        <v>0</v>
      </c>
      <c r="BD113" s="166" cm="1">
        <f t="array" ref="BD113">SUMPRODUCT(
  IFERROR(--desp[valor],0)*
  (desp[nucleo]="UP ESTAÇÃO SÃO LUCAS")*
  (desp[categoria]=BD$7)*
  (desp[data.pagamento]&gt;=$A113)*
  (desp[data.pagamento]&lt;EOMONTH($A113,0)+1)
)</f>
        <v>0</v>
      </c>
      <c r="BE113" s="166" cm="1">
        <f t="array" ref="BE113">SUMPRODUCT(
  IFERROR(--desp[valor],0)*
  (desp[nucleo]="UP ESTAÇÃO SÃO LUCAS")*
  (desp[categoria]=BE$7)*
  (desp[data.pagamento]&gt;=$A113)*
  (desp[data.pagamento]&lt;EOMONTH($A113,0)+1)
)</f>
        <v>0</v>
      </c>
      <c r="BF113" s="166" cm="1">
        <f t="array" ref="BF113">SUMPRODUCT(
  IFERROR(--desp[valor],0)*
  (desp[nucleo]="UP ESTAÇÃO SÃO LUCAS")*
  (desp[categoria]=BF$7)*
  (desp[data.pagamento]&gt;=$A113)*
  (desp[data.pagamento]&lt;EOMONTH($A113,0)+1)
)</f>
        <v>0</v>
      </c>
      <c r="BG113" s="166" cm="1">
        <f t="array" ref="BG113">SUMPRODUCT(
  IFERROR(--desp[valor],0)*
  (desp[nucleo]="UP ESTAÇÃO SÃO LUCAS")*
  (desp[categoria]=BG$7)*
  (desp[data.pagamento]&gt;=$A113)*
  (desp[data.pagamento]&lt;EOMONTH($A113,0)+1)
)</f>
        <v>0</v>
      </c>
      <c r="BH113" s="177">
        <f>COUNTIFS(
    estq[empresa], BH$6,
    estq[Data da venda / reserva], "&gt;=" &amp; $A113,
    estq[Data da venda / reserva], "&lt;"  &amp; EOMONTH($A113,0) + 1
)</f>
        <v>0</v>
      </c>
      <c r="BI113" s="178">
        <f ca="1">SUMIFS(rec.uni[2030-03-01],
INDIRECT("rec.uni[natureza]"),"pro.soluto",
INDIRECT("rec.uni[empresa]"),BI$6)</f>
        <v>0</v>
      </c>
      <c r="BJ113" s="182">
        <f ca="1">SUMIFS(rec.uni[2030-03-01],
INDIRECT("rec.uni[natureza]"),"parcela.fin.total.ik",
INDIRECT("rec.uni[empresa]"),BJ$6)</f>
        <v>0</v>
      </c>
      <c r="BK113" s="178">
        <f ca="1">SUMIFS(rec.uni[2030-03-01],
INDIRECT("rec.uni[natureza]"),"taxa.extra",
INDIRECT("rec.uni[empresa]"),BK$6)</f>
        <v>0</v>
      </c>
      <c r="BL113" s="166"/>
      <c r="BM113" s="166" cm="1">
        <f t="array" ref="BM113">SUMPRODUCT(
  IFERROR(--desp[valor],0)*
  (desp[nucleo]="UP POMPEIA")*
  (desp[categoria]=BM$7)*
  (desp[data.pagamento]&gt;=$A113)*
  (desp[data.pagamento]&lt;EOMONTH($A113,0)+1)
)</f>
        <v>0</v>
      </c>
      <c r="BN113" s="166" cm="1">
        <f t="array" ref="BN113">SUMPRODUCT(
  IFERROR(--desp[valor],0)*
  (desp[nucleo]="UP POMPEIA")*
  (desp[categoria]=BN$7)*
  (desp[data.pagamento]&gt;=$A113)*
  (desp[data.pagamento]&lt;EOMONTH($A113,0)+1)
)</f>
        <v>0</v>
      </c>
      <c r="BO113" s="166" cm="1">
        <f t="array" ref="BO113">SUMPRODUCT(
  IFERROR(--desp[valor],0)*
  (desp[nucleo]="UP POMPEIA")*
  (desp[categoria]=BO$7)*
  (desp[data.pagamento]&gt;=$A113)*
  (desp[data.pagamento]&lt;EOMONTH($A113,0)+1)
)</f>
        <v>0</v>
      </c>
      <c r="BP113" s="166" cm="1">
        <f t="array" ref="BP113">SUMPRODUCT(
  IFERROR(--desp[valor],0)*
  (desp[nucleo]="UP POMPEIA")*
  (desp[categoria]=BP$7)*
  (desp[data.pagamento]&gt;=$A113)*
  (desp[data.pagamento]&lt;EOMONTH($A113,0)+1)
)</f>
        <v>0</v>
      </c>
      <c r="BQ113" s="166" cm="1">
        <f t="array" ref="BQ113">SUMPRODUCT(
  IFERROR(--desp[valor],0)*
  (desp[nucleo]="UP POMPEIA")*
  (desp[categoria]=BQ$7)*
  (desp[data.pagamento]&gt;=$A113)*
  (desp[data.pagamento]&lt;EOMONTH($A113,0)+1)
)</f>
        <v>0</v>
      </c>
      <c r="BR113" s="177">
        <f>COUNTIFS(
    estq[empresa], BR$6,
    estq[Data da venda / reserva], "&gt;=" &amp; $A113,
    estq[Data da venda / reserva], "&lt;"  &amp; EOMONTH($A113,0) + 1
)</f>
        <v>0</v>
      </c>
      <c r="BS113" s="178">
        <f ca="1">SUMIFS(rec.uni[2030-03-01],
INDIRECT("rec.uni[natureza]"),"pro.soluto",
INDIRECT("rec.uni[empresa]"),BS$6)</f>
        <v>0</v>
      </c>
      <c r="BT113" s="182">
        <f ca="1">SUMIFS(rec.uni[2030-03-01],
INDIRECT("rec.uni[natureza]"),"parcela.fin.total.ik",
INDIRECT("rec.uni[empresa]"),BT$6)</f>
        <v>0</v>
      </c>
      <c r="BU113" s="178">
        <f ca="1">SUMIFS(rec.uni[2030-03-01],
INDIRECT("rec.uni[natureza]"),"taxa.extra",
INDIRECT("rec.uni[empresa]"),BU$6)</f>
        <v>0</v>
      </c>
      <c r="BV113" s="166"/>
      <c r="BW113" s="166" cm="1">
        <f t="array" ref="BW113">SUMPRODUCT(
  IFERROR(--desp[valor],0)*
  (desp[nucleo]="UP SAUDE")*
  (desp[categoria]=BW$7)*
  (desp[data.pagamento]&gt;=$A113)*
  (desp[data.pagamento]&lt;EOMONTH($A113,0)+1)
)</f>
        <v>0</v>
      </c>
      <c r="BX113" s="166" cm="1">
        <f t="array" ref="BX113">SUMPRODUCT(
  IFERROR(--desp[valor],0)*
  (desp[nucleo]="UP SAUDE")*
  (desp[categoria]=BX$7)*
  (desp[data.pagamento]&gt;=$A113)*
  (desp[data.pagamento]&lt;EOMONTH($A113,0)+1)
)</f>
        <v>0</v>
      </c>
      <c r="BY113" s="166" cm="1">
        <f t="array" ref="BY113">SUMPRODUCT(
  IFERROR(--desp[valor],0)*
  (desp[nucleo]="UP SAUDE")*
  (desp[categoria]=BY$7)*
  (desp[data.pagamento]&gt;=$A113)*
  (desp[data.pagamento]&lt;EOMONTH($A113,0)+1)
)</f>
        <v>0</v>
      </c>
      <c r="BZ113" s="166" cm="1">
        <f t="array" ref="BZ113">SUMPRODUCT(
  IFERROR(--desp[valor],0)*
  (desp[nucleo]="UP SAUDE")*
  (desp[categoria]=BZ$7)*
  (desp[data.pagamento]&gt;=$A113)*
  (desp[data.pagamento]&lt;EOMONTH($A113,0)+1)
)</f>
        <v>0</v>
      </c>
      <c r="CA113" s="166" cm="1">
        <f t="array" ref="CA113">SUMPRODUCT(
  IFERROR(--desp[valor],0)*
  (desp[nucleo]="UP SAUDE")*
  (desp[categoria]=CA$7)*
  (desp[data.pagamento]&gt;=$A113)*
  (desp[data.pagamento]&lt;EOMONTH($A113,0)+1)
)</f>
        <v>0</v>
      </c>
      <c r="CB113" s="177">
        <f>COUNTIFS(
    estq[empresa], CB$6,
    estq[Data da venda / reserva], "&gt;=" &amp; $A113,
    estq[Data da venda / reserva], "&lt;"  &amp; EOMONTH($A113,0) + 1
)</f>
        <v>0</v>
      </c>
      <c r="CC113" s="178">
        <f ca="1">SUMIFS(rec.uni[2030-03-01],
INDIRECT("rec.uni[natureza]"),"pro.soluto",
INDIRECT("rec.uni[empresa]"),CC$6)</f>
        <v>0</v>
      </c>
      <c r="CD113" s="178">
        <f ca="1">SUMIFS(rec.uni[2030-03-01],
INDIRECT("rec.uni[natureza]"),"repasse.cef.obra",
INDIRECT("rec.uni[empresa]"),CD$6)</f>
        <v>0</v>
      </c>
      <c r="CE113" s="181">
        <f ca="1">SUMIFS(rec.uni[2030-03-01],
INDIRECT("rec.uni[natureza]"),"repasse.cef.terreno",
INDIRECT("rec.uni[empresa]"),CE$6)</f>
        <v>0</v>
      </c>
      <c r="CF113" s="182"/>
      <c r="CG113" s="178">
        <f ca="1">SUMIFS(rec.uni[2030-03-01],
INDIRECT("rec.uni[natureza]"),"taxa.extra",
INDIRECT("rec.uni[empresa]"),CG$6)</f>
        <v>0</v>
      </c>
      <c r="CH113" s="166"/>
      <c r="CI113" s="166" cm="1">
        <f t="array" ref="CI113">SUMPRODUCT(
  IFERROR(--desp[valor],0)*
  (desp[nucleo]="UP ESTAÇÃO VILA SONIA")*
  (desp[categoria]=CI$7)*
  (desp[data.pagamento]&gt;=$A113)*
  (desp[data.pagamento]&lt;EOMONTH($A113,0)+1)
)</f>
        <v>0</v>
      </c>
      <c r="CJ113" s="166" cm="1">
        <f t="array" ref="CJ113">SUMPRODUCT(
  IFERROR(--desp[valor],0)*
  (desp[nucleo]="UP ESTAÇÃO VILA SONIA")*
  (desp[categoria]=CJ$7)*
  (desp[data.pagamento]&gt;=$A113)*
  (desp[data.pagamento]&lt;EOMONTH($A113,0)+1)
)</f>
        <v>0</v>
      </c>
      <c r="CK113" s="166" cm="1">
        <f t="array" ref="CK113">SUMPRODUCT(
  IFERROR(--desp[valor],0)*
  (desp[nucleo]="UP ESTAÇÃO VILA SONIA")*
  (desp[categoria]=CK$7)*
  (desp[data.pagamento]&gt;=$A113)*
  (desp[data.pagamento]&lt;EOMONTH($A113,0)+1)
)</f>
        <v>0</v>
      </c>
      <c r="CL113" s="166" cm="1">
        <f t="array" ref="CL113">SUMPRODUCT(
  IFERROR(--desp[valor],0)*
  (desp[nucleo]="UP ESTAÇÃO VILA SONIA")*
  (desp[categoria]=CL$7)*
  (desp[data.pagamento]&gt;=$A113)*
  (desp[data.pagamento]&lt;EOMONTH($A113,0)+1)
)</f>
        <v>0</v>
      </c>
      <c r="CM113" s="166" cm="1">
        <f t="array" ref="CM113">SUMPRODUCT(
  IFERROR(--desp[valor],0)*
  (desp[nucleo]="UP ESTAÇÃO VILA SONIA")*
  (desp[categoria]=CM$7)*
  (desp[data.pagamento]&gt;=$A113)*
  (desp[data.pagamento]&lt;EOMONTH($A113,0)+1)
)</f>
        <v>0</v>
      </c>
      <c r="CN113" s="177">
        <f>COUNTIFS(
    estq[empresa], CN$6,
    estq[Data da venda / reserva], "&gt;=" &amp; $A113,
    estq[Data da venda / reserva], "&lt;"  &amp; EOMONTH($A113,0) + 1
)</f>
        <v>0</v>
      </c>
      <c r="CO113" s="178">
        <f ca="1">SUMIFS(rec.uni[2030-03-01],
INDIRECT("rec.uni[natureza]"),"pro.soluto",
INDIRECT("rec.uni[empresa]"),CO$6)</f>
        <v>0</v>
      </c>
      <c r="CP113" s="178">
        <f ca="1">SUMIFS(rec.uni[2030-03-01],
INDIRECT("rec.uni[natureza]"),"repasse.cef.obra",
INDIRECT("rec.uni[empresa]"),CP$6)</f>
        <v>0</v>
      </c>
      <c r="CQ113" s="181">
        <f ca="1">SUMIFS(rec.uni[2030-03-01],
INDIRECT("rec.uni[natureza]"),"repasse.cef.terreno",
INDIRECT("rec.uni[empresa]"),CQ$6)</f>
        <v>0</v>
      </c>
      <c r="CR113" s="182"/>
      <c r="CS113" s="178">
        <f ca="1">SUMIFS(rec.uni[2030-03-01],
INDIRECT("rec.uni[natureza]"),"taxa.extra",
INDIRECT("rec.uni[empresa]"),CS$6)</f>
        <v>0</v>
      </c>
      <c r="CT113" s="166"/>
      <c r="CU113" s="166" cm="1">
        <f t="array" ref="CU113">SUMPRODUCT(
  IFERROR(--desp[valor],0)*
  (desp[nucleo]="UP MOVE VILA SONIA")*
  (desp[categoria]=CU$7)*
  (desp[data.pagamento]&gt;=$A113)*
  (desp[data.pagamento]&lt;EOMONTH($A113,0)+1)
)</f>
        <v>0</v>
      </c>
      <c r="CV113" s="166" cm="1">
        <f t="array" ref="CV113">SUMPRODUCT(
  IFERROR(--desp[valor],0)*
  (desp[nucleo]="UP MOVE VILA SONIA")*
  (desp[categoria]=CV$7)*
  (desp[data.pagamento]&gt;=$A113)*
  (desp[data.pagamento]&lt;EOMONTH($A113,0)+1)
)</f>
        <v>0</v>
      </c>
      <c r="CW113" s="166" cm="1">
        <f t="array" ref="CW113">SUMPRODUCT(
  IFERROR(--desp[valor],0)*
  (desp[nucleo]="UP MOVE VILA SONIA")*
  (desp[categoria]=CW$7)*
  (desp[data.pagamento]&gt;=$A113)*
  (desp[data.pagamento]&lt;EOMONTH($A113,0)+1)
)</f>
        <v>0</v>
      </c>
      <c r="CX113" s="166" cm="1">
        <f t="array" ref="CX113">SUMPRODUCT(
  IFERROR(--desp[valor],0)*
  (desp[nucleo]="UP MOVE VILA SONIA")*
  (desp[categoria]=CX$7)*
  (desp[data.pagamento]&gt;=$A113)*
  (desp[data.pagamento]&lt;EOMONTH($A113,0)+1)
)</f>
        <v>0</v>
      </c>
      <c r="CY113" s="291" cm="1">
        <f t="array" ref="CY113">SUMPRODUCT(
  IFERROR(--desp[valor],0)*
  (desp[nucleo]="UP MOVE VILA SONIA")*
  (desp[categoria]=CY$7)*
  (desp[data.pagamento]&gt;=$A113)*
  (desp[data.pagamento]&lt;EOMONTH($A113,0)+1)
)</f>
        <v>0</v>
      </c>
    </row>
    <row r="114" spans="1:103" x14ac:dyDescent="0.25">
      <c r="A114" s="176">
        <v>47574</v>
      </c>
      <c r="B114" s="177">
        <f>COUNTIFS(
    estq[empresa], B$6,
    estq[Data da venda / reserva], "&gt;=" &amp; $A114,
    estq[Data da venda / reserva], "&lt;"  &amp; EOMONTH($A114,0) + 1
)</f>
        <v>0</v>
      </c>
      <c r="C114" s="178">
        <f ca="1">SUMIFS(rec.uni[2030-04-01],
INDIRECT("rec.uni[natureza]"),"pro.soluto",
INDIRECT("rec.uni[empresa]"),C$6)</f>
        <v>0</v>
      </c>
      <c r="D114" s="178">
        <f ca="1">SUMIFS(rec.uni[2030-04-01],
INDIRECT("rec.uni[natureza]"),"repasse.cef.obra",
INDIRECT("rec.uni[empresa]"),D$6)</f>
        <v>0</v>
      </c>
      <c r="E114" s="178">
        <f ca="1">SUMIFS(rec.uni[2030-04-01],
INDIRECT("rec.uni[natureza]"),"repasse.cef.terreno",
INDIRECT("rec.uni[empresa]"),E$6)</f>
        <v>0</v>
      </c>
      <c r="F114" s="182"/>
      <c r="G114" s="178">
        <f ca="1">SUMIFS(rec.uni[2030-04-01],
INDIRECT("rec.uni[natureza]"),"taxa.extra",
INDIRECT("rec.uni[empresa]"),G$6)</f>
        <v>0</v>
      </c>
      <c r="H114" s="166"/>
      <c r="I114" s="166" cm="1">
        <f t="array" ref="I114">SUMPRODUCT(
  IFERROR(--desp[valor],0)*
  (desp[nucleo]="UP JARDIM PRUDENCIA")*
  (desp[categoria]=I$7)*
  (desp[data.pagamento]&gt;=$A114)*
  (desp[data.pagamento]&lt;EOMONTH($A114,0)+1)
)</f>
        <v>0</v>
      </c>
      <c r="J114" s="166" cm="1">
        <f t="array" ref="J114">SUMPRODUCT(
  IFERROR(--desp[valor],0)*
  (desp[nucleo]="UP JARDIM PRUDENCIA")*
  (desp[categoria]=J$7)*
  (desp[data.pagamento]&gt;=$A114)*
  (desp[data.pagamento]&lt;EOMONTH($A114,0)+1)
)</f>
        <v>0</v>
      </c>
      <c r="K114" s="166" cm="1">
        <f t="array" ref="K114">SUMPRODUCT(
  IFERROR(--desp[valor],0)*
  (desp[nucleo]="UP JARDIM PRUDENCIA")*
  (desp[categoria]=K$7)*
  (desp[data.pagamento]&gt;=$A114)*
  (desp[data.pagamento]&lt;EOMONTH($A114,0)+1)
)</f>
        <v>0</v>
      </c>
      <c r="L114" s="166" cm="1">
        <f t="array" ref="L114">SUMPRODUCT(
  IFERROR(--desp[valor],0)*
  (desp[nucleo]="UP JARDIM PRUDENCIA")*
  (desp[categoria]=L$7)*
  (desp[data.pagamento]&gt;=$A114)*
  (desp[data.pagamento]&lt;EOMONTH($A114,0)+1)
)</f>
        <v>0</v>
      </c>
      <c r="M114" s="166" cm="1">
        <f t="array" ref="M114">SUMPRODUCT(
  IFERROR(--desp[valor],0)*
  (desp[nucleo]="UP JARDIM PRUDENCIA")*
  (desp[categoria]=M$7)*
  (desp[data.pagamento]&gt;=$A114)*
  (desp[data.pagamento]&lt;EOMONTH($A114,0)+1)
)</f>
        <v>0</v>
      </c>
      <c r="N114" s="177">
        <f>COUNTIFS(
    estq[empresa], N$6,
    estq[Data da venda / reserva], "&gt;=" &amp; $A114,
    estq[Data da venda / reserva], "&lt;"  &amp; EOMONTH($A114,0) + 1
)</f>
        <v>0</v>
      </c>
      <c r="O114" s="178">
        <f ca="1">SUMIFS(rec.uni[2030-04-01],
INDIRECT("rec.uni[natureza]"),"pro.soluto",
INDIRECT("rec.uni[empresa]"),O$6)</f>
        <v>0</v>
      </c>
      <c r="P114" s="178">
        <f ca="1">SUMIFS(rec.uni[2030-04-01],
INDIRECT("rec.uni[natureza]"),"repasse.cef.obra",
INDIRECT("rec.uni[empresa]"),P$6)</f>
        <v>0</v>
      </c>
      <c r="Q114" s="178">
        <f ca="1">SUMIFS(rec.uni[2030-04-01],
INDIRECT("rec.uni[natureza]"),"repasse.cef.terreno",
INDIRECT("rec.uni[empresa]"),Q$6)</f>
        <v>0</v>
      </c>
      <c r="R114" s="182"/>
      <c r="S114" s="178">
        <f ca="1">SUMIFS(rec.uni[2030-04-01],
INDIRECT("rec.uni[natureza]"),"taxa.extra",
INDIRECT("rec.uni[empresa]"),S$6)</f>
        <v>0</v>
      </c>
      <c r="T114" s="166"/>
      <c r="U114" s="166" cm="1">
        <f t="array" ref="U114">SUMPRODUCT(
  IFERROR(--desp[valor],0)*
  (desp[nucleo]="UP VILA SONIA")*
  (desp[categoria]=U$7)*
  (desp[data.pagamento]&gt;=$A114)*
  (desp[data.pagamento]&lt;EOMONTH($A114,0)+1)
)</f>
        <v>0</v>
      </c>
      <c r="V114" s="166" cm="1">
        <f t="array" ref="V114">SUMPRODUCT(
  IFERROR(--desp[valor],0)*
  (desp[nucleo]="UP VILA SONIA")*
  (desp[categoria]=V$7)*
  (desp[data.pagamento]&gt;=$A114)*
  (desp[data.pagamento]&lt;EOMONTH($A114,0)+1)
)</f>
        <v>0</v>
      </c>
      <c r="W114" s="166" cm="1">
        <f t="array" ref="W114">SUMPRODUCT(
  IFERROR(--desp[valor],0)*
  (desp[nucleo]="UP VILA SONIA")*
  (desp[categoria]=W$7)*
  (desp[data.pagamento]&gt;=$A114)*
  (desp[data.pagamento]&lt;EOMONTH($A114,0)+1)
)</f>
        <v>0</v>
      </c>
      <c r="X114" s="166" cm="1">
        <f t="array" ref="X114">SUMPRODUCT(
  IFERROR(--desp[valor],0)*
  (desp[nucleo]="UP VILA SONIA")*
  (desp[categoria]=X$7)*
  (desp[data.pagamento]&gt;=$A114)*
  (desp[data.pagamento]&lt;EOMONTH($A114,0)+1)
)</f>
        <v>0</v>
      </c>
      <c r="Y114" s="166" cm="1">
        <f t="array" ref="Y114">SUMPRODUCT(
  IFERROR(--desp[valor],0)*
  (desp[nucleo]="UP VILA SONIA")*
  (desp[categoria]=Y$7)*
  (desp[data.pagamento]&gt;=$A114)*
  (desp[data.pagamento]&lt;EOMONTH($A114,0)+1)
)</f>
        <v>0</v>
      </c>
      <c r="Z114" s="177">
        <f>COUNTIFS(
    estq[empresa], Z$6,
    estq[Data da venda / reserva], "&gt;=" &amp; $A114,
    estq[Data da venda / reserva], "&lt;"  &amp; EOMONTH($A114,0) + 1
)</f>
        <v>0</v>
      </c>
      <c r="AA114" s="178">
        <f ca="1">SUMIFS(rec.uni[2030-04-01],
INDIRECT("rec.uni[natureza]"),"pro.soluto",
INDIRECT("rec.uni[empresa]"),AA$6)</f>
        <v>0</v>
      </c>
      <c r="AB114" s="182">
        <f ca="1">SUMIFS(rec.uni[2030-04-01],
INDIRECT("rec.uni[natureza]"),"parcela.fin.total.ik",
INDIRECT("rec.uni[empresa]"),AB$6)</f>
        <v>0</v>
      </c>
      <c r="AC114" s="178">
        <f ca="1">SUMIFS(rec.uni[2030-04-01],
INDIRECT("rec.uni[natureza]"),"taxa.extra",
INDIRECT("rec.uni[empresa]"),AC$6)</f>
        <v>0</v>
      </c>
      <c r="AD114" s="166"/>
      <c r="AE114" s="166" cm="1">
        <f t="array" ref="AE114">SUMPRODUCT(
  IFERROR(--desp[valor],0)*
  (desp[nucleo]="UP CAMPO BELO")*
  (desp[categoria]=AE$7)*
  (desp[data.pagamento]&gt;=$A114)*
  (desp[data.pagamento]&lt;EOMONTH($A114,0)+1)
)</f>
        <v>0</v>
      </c>
      <c r="AF114" s="166" cm="1">
        <f t="array" ref="AF114">SUMPRODUCT(
  IFERROR(--desp[valor],0)*
  (desp[nucleo]="UP CAMPO BELO")*
  (desp[categoria]=AF$7)*
  (desp[data.pagamento]&gt;=$A114)*
  (desp[data.pagamento]&lt;EOMONTH($A114,0)+1)
)</f>
        <v>0</v>
      </c>
      <c r="AG114" s="166" cm="1">
        <f t="array" ref="AG114">SUMPRODUCT(
  IFERROR(--desp[valor],0)*
  (desp[nucleo]="UP CAMPO BELO")*
  (desp[categoria]=AG$7)*
  (desp[data.pagamento]&gt;=$A114)*
  (desp[data.pagamento]&lt;EOMONTH($A114,0)+1)
)</f>
        <v>0</v>
      </c>
      <c r="AH114" s="166" cm="1">
        <f t="array" ref="AH114">SUMPRODUCT(
  IFERROR(--desp[valor],0)*
  (desp[nucleo]="UP CAMPO BELO")*
  (desp[categoria]=AH$7)*
  (desp[data.pagamento]&gt;=$A114)*
  (desp[data.pagamento]&lt;EOMONTH($A114,0)+1)
)</f>
        <v>0</v>
      </c>
      <c r="AI114" s="166" cm="1">
        <f t="array" ref="AI114">SUMPRODUCT(
  IFERROR(--desp[valor],0)*
  (desp[nucleo]="UP CAMPO BELO")*
  (desp[categoria]=AI$7)*
  (desp[data.pagamento]&gt;=$A114)*
  (desp[data.pagamento]&lt;EOMONTH($A114,0)+1)
)</f>
        <v>0</v>
      </c>
      <c r="AJ114" s="177">
        <f>COUNTIFS(
    estq[empresa], AJ$6,
    estq[Data da venda / reserva], "&gt;=" &amp; $A114,
    estq[Data da venda / reserva], "&lt;"  &amp; EOMONTH($A114,0) + 1
)</f>
        <v>0</v>
      </c>
      <c r="AK114" s="178">
        <f ca="1">SUMIFS(rec.uni[2030-04-01],
INDIRECT("rec.uni[natureza]"),"pro.soluto",
INDIRECT("rec.uni[empresa]"),AK$6)</f>
        <v>0</v>
      </c>
      <c r="AL114" s="178">
        <f ca="1">SUMIFS(rec.uni[2030-04-01],
INDIRECT("rec.uni[natureza]"),"repasse.cef.obra",
INDIRECT("rec.uni[empresa]"),AL$6)</f>
        <v>0</v>
      </c>
      <c r="AM114" s="181">
        <f ca="1">SUMIFS(rec.uni[2030-04-01],
INDIRECT("rec.uni[natureza]"),"repasse.cef.terreno",
INDIRECT("rec.uni[empresa]"),AM$6)</f>
        <v>0</v>
      </c>
      <c r="AN114" s="182"/>
      <c r="AO114" s="178">
        <f ca="1">SUMIFS(rec.uni[2030-04-01],
INDIRECT("rec.uni[natureza]"),"taxa.extra",
INDIRECT("rec.uni[empresa]"),AO$6)</f>
        <v>0</v>
      </c>
      <c r="AP114" s="166"/>
      <c r="AQ114" s="166" cm="1">
        <f t="array" ref="AQ114">SUMPRODUCT(
  IFERROR(--desp[valor],0)*
  (desp[nucleo]="UP SELECT VILA SONIA")*
  (desp[categoria]=AQ$7)*
  (desp[data.pagamento]&gt;=$A114)*
  (desp[data.pagamento]&lt;EOMONTH($A114,0)+1)
)</f>
        <v>0</v>
      </c>
      <c r="AR114" s="166" cm="1">
        <f t="array" ref="AR114">SUMPRODUCT(
  IFERROR(--desp[valor],0)*
  (desp[nucleo]="UP SELECT VILA SONIA")*
  (desp[categoria]=AR$7)*
  (desp[data.pagamento]&gt;=$A114)*
  (desp[data.pagamento]&lt;EOMONTH($A114,0)+1)
)</f>
        <v>0</v>
      </c>
      <c r="AS114" s="166" cm="1">
        <f t="array" ref="AS114">SUMPRODUCT(
  IFERROR(--desp[valor],0)*
  (desp[nucleo]="UP SELECT VILA SONIA")*
  (desp[categoria]=AS$7)*
  (desp[data.pagamento]&gt;=$A114)*
  (desp[data.pagamento]&lt;EOMONTH($A114,0)+1)
)</f>
        <v>0</v>
      </c>
      <c r="AT114" s="166" cm="1">
        <f t="array" ref="AT114">SUMPRODUCT(
  IFERROR(--desp[valor],0)*
  (desp[nucleo]="UP SELECT VILA SONIA")*
  (desp[categoria]=AT$7)*
  (desp[data.pagamento]&gt;=$A114)*
  (desp[data.pagamento]&lt;EOMONTH($A114,0)+1)
)</f>
        <v>0</v>
      </c>
      <c r="AU114" s="166" cm="1">
        <f t="array" ref="AU114">SUMPRODUCT(
  IFERROR(--desp[valor],0)*
  (desp[nucleo]="UP SELECT VILA SONIA")*
  (desp[categoria]=AU$7)*
  (desp[data.pagamento]&gt;=$A114)*
  (desp[data.pagamento]&lt;EOMONTH($A114,0)+1)
)</f>
        <v>0</v>
      </c>
      <c r="AV114" s="177">
        <f>COUNTIFS(
    estq[empresa], AV$6,
    estq[Data da venda / reserva], "&gt;=" &amp; $A114,
    estq[Data da venda / reserva], "&lt;"  &amp; EOMONTH($A114,0) + 1
)</f>
        <v>0</v>
      </c>
      <c r="AW114" s="178">
        <f ca="1">SUMIFS(rec.uni[2030-04-01],
INDIRECT("rec.uni[natureza]"),"pro.soluto",
INDIRECT("rec.uni[empresa]"),AW$6)</f>
        <v>0</v>
      </c>
      <c r="AX114" s="178">
        <f ca="1">SUMIFS(rec.uni[2030-04-01],
INDIRECT("rec.uni[natureza]"),"repasse.cef.obra",
INDIRECT("rec.uni[empresa]"),AX$6)</f>
        <v>0</v>
      </c>
      <c r="AY114" s="181">
        <f ca="1">SUMIFS(rec.uni[2030-04-01],
INDIRECT("rec.uni[natureza]"),"repasse.cef.terreno",
INDIRECT("rec.uni[empresa]"),AY$6)</f>
        <v>0</v>
      </c>
      <c r="AZ114" s="182"/>
      <c r="BA114" s="178">
        <f ca="1">SUMIFS(rec.uni[2030-04-01],
INDIRECT("rec.uni[natureza]"),"taxa.extra",
INDIRECT("rec.uni[empresa]"),BA$6)</f>
        <v>0</v>
      </c>
      <c r="BB114" s="166"/>
      <c r="BC114" s="166" cm="1">
        <f t="array" ref="BC114">SUMPRODUCT(
  IFERROR(--desp[valor],0)*
  (desp[nucleo]="UP ESTAÇÃO SÃO LUCAS")*
  (desp[categoria]=BC$7)*
  (desp[data.pagamento]&gt;=$A114)*
  (desp[data.pagamento]&lt;EOMONTH($A114,0)+1)
)</f>
        <v>0</v>
      </c>
      <c r="BD114" s="166" cm="1">
        <f t="array" ref="BD114">SUMPRODUCT(
  IFERROR(--desp[valor],0)*
  (desp[nucleo]="UP ESTAÇÃO SÃO LUCAS")*
  (desp[categoria]=BD$7)*
  (desp[data.pagamento]&gt;=$A114)*
  (desp[data.pagamento]&lt;EOMONTH($A114,0)+1)
)</f>
        <v>0</v>
      </c>
      <c r="BE114" s="166" cm="1">
        <f t="array" ref="BE114">SUMPRODUCT(
  IFERROR(--desp[valor],0)*
  (desp[nucleo]="UP ESTAÇÃO SÃO LUCAS")*
  (desp[categoria]=BE$7)*
  (desp[data.pagamento]&gt;=$A114)*
  (desp[data.pagamento]&lt;EOMONTH($A114,0)+1)
)</f>
        <v>0</v>
      </c>
      <c r="BF114" s="166" cm="1">
        <f t="array" ref="BF114">SUMPRODUCT(
  IFERROR(--desp[valor],0)*
  (desp[nucleo]="UP ESTAÇÃO SÃO LUCAS")*
  (desp[categoria]=BF$7)*
  (desp[data.pagamento]&gt;=$A114)*
  (desp[data.pagamento]&lt;EOMONTH($A114,0)+1)
)</f>
        <v>0</v>
      </c>
      <c r="BG114" s="166" cm="1">
        <f t="array" ref="BG114">SUMPRODUCT(
  IFERROR(--desp[valor],0)*
  (desp[nucleo]="UP ESTAÇÃO SÃO LUCAS")*
  (desp[categoria]=BG$7)*
  (desp[data.pagamento]&gt;=$A114)*
  (desp[data.pagamento]&lt;EOMONTH($A114,0)+1)
)</f>
        <v>0</v>
      </c>
      <c r="BH114" s="177">
        <f>COUNTIFS(
    estq[empresa], BH$6,
    estq[Data da venda / reserva], "&gt;=" &amp; $A114,
    estq[Data da venda / reserva], "&lt;"  &amp; EOMONTH($A114,0) + 1
)</f>
        <v>0</v>
      </c>
      <c r="BI114" s="178">
        <f ca="1">SUMIFS(rec.uni[2030-04-01],
INDIRECT("rec.uni[natureza]"),"pro.soluto",
INDIRECT("rec.uni[empresa]"),BI$6)</f>
        <v>0</v>
      </c>
      <c r="BJ114" s="182">
        <f ca="1">SUMIFS(rec.uni[2030-04-01],
INDIRECT("rec.uni[natureza]"),"parcela.fin.total.ik",
INDIRECT("rec.uni[empresa]"),BJ$6)</f>
        <v>0</v>
      </c>
      <c r="BK114" s="178">
        <f ca="1">SUMIFS(rec.uni[2030-04-01],
INDIRECT("rec.uni[natureza]"),"taxa.extra",
INDIRECT("rec.uni[empresa]"),BK$6)</f>
        <v>0</v>
      </c>
      <c r="BL114" s="166"/>
      <c r="BM114" s="166" cm="1">
        <f t="array" ref="BM114">SUMPRODUCT(
  IFERROR(--desp[valor],0)*
  (desp[nucleo]="UP POMPEIA")*
  (desp[categoria]=BM$7)*
  (desp[data.pagamento]&gt;=$A114)*
  (desp[data.pagamento]&lt;EOMONTH($A114,0)+1)
)</f>
        <v>0</v>
      </c>
      <c r="BN114" s="166" cm="1">
        <f t="array" ref="BN114">SUMPRODUCT(
  IFERROR(--desp[valor],0)*
  (desp[nucleo]="UP POMPEIA")*
  (desp[categoria]=BN$7)*
  (desp[data.pagamento]&gt;=$A114)*
  (desp[data.pagamento]&lt;EOMONTH($A114,0)+1)
)</f>
        <v>0</v>
      </c>
      <c r="BO114" s="166" cm="1">
        <f t="array" ref="BO114">SUMPRODUCT(
  IFERROR(--desp[valor],0)*
  (desp[nucleo]="UP POMPEIA")*
  (desp[categoria]=BO$7)*
  (desp[data.pagamento]&gt;=$A114)*
  (desp[data.pagamento]&lt;EOMONTH($A114,0)+1)
)</f>
        <v>0</v>
      </c>
      <c r="BP114" s="166" cm="1">
        <f t="array" ref="BP114">SUMPRODUCT(
  IFERROR(--desp[valor],0)*
  (desp[nucleo]="UP POMPEIA")*
  (desp[categoria]=BP$7)*
  (desp[data.pagamento]&gt;=$A114)*
  (desp[data.pagamento]&lt;EOMONTH($A114,0)+1)
)</f>
        <v>0</v>
      </c>
      <c r="BQ114" s="166" cm="1">
        <f t="array" ref="BQ114">SUMPRODUCT(
  IFERROR(--desp[valor],0)*
  (desp[nucleo]="UP POMPEIA")*
  (desp[categoria]=BQ$7)*
  (desp[data.pagamento]&gt;=$A114)*
  (desp[data.pagamento]&lt;EOMONTH($A114,0)+1)
)</f>
        <v>0</v>
      </c>
      <c r="BR114" s="177">
        <f>COUNTIFS(
    estq[empresa], BR$6,
    estq[Data da venda / reserva], "&gt;=" &amp; $A114,
    estq[Data da venda / reserva], "&lt;"  &amp; EOMONTH($A114,0) + 1
)</f>
        <v>0</v>
      </c>
      <c r="BS114" s="178">
        <f ca="1">SUMIFS(rec.uni[2030-04-01],
INDIRECT("rec.uni[natureza]"),"pro.soluto",
INDIRECT("rec.uni[empresa]"),BS$6)</f>
        <v>0</v>
      </c>
      <c r="BT114" s="182">
        <f ca="1">SUMIFS(rec.uni[2030-04-01],
INDIRECT("rec.uni[natureza]"),"parcela.fin.total.ik",
INDIRECT("rec.uni[empresa]"),BT$6)</f>
        <v>0</v>
      </c>
      <c r="BU114" s="178">
        <f ca="1">SUMIFS(rec.uni[2030-04-01],
INDIRECT("rec.uni[natureza]"),"taxa.extra",
INDIRECT("rec.uni[empresa]"),BU$6)</f>
        <v>0</v>
      </c>
      <c r="BV114" s="166"/>
      <c r="BW114" s="166" cm="1">
        <f t="array" ref="BW114">SUMPRODUCT(
  IFERROR(--desp[valor],0)*
  (desp[nucleo]="UP SAUDE")*
  (desp[categoria]=BW$7)*
  (desp[data.pagamento]&gt;=$A114)*
  (desp[data.pagamento]&lt;EOMONTH($A114,0)+1)
)</f>
        <v>0</v>
      </c>
      <c r="BX114" s="166" cm="1">
        <f t="array" ref="BX114">SUMPRODUCT(
  IFERROR(--desp[valor],0)*
  (desp[nucleo]="UP SAUDE")*
  (desp[categoria]=BX$7)*
  (desp[data.pagamento]&gt;=$A114)*
  (desp[data.pagamento]&lt;EOMONTH($A114,0)+1)
)</f>
        <v>0</v>
      </c>
      <c r="BY114" s="166" cm="1">
        <f t="array" ref="BY114">SUMPRODUCT(
  IFERROR(--desp[valor],0)*
  (desp[nucleo]="UP SAUDE")*
  (desp[categoria]=BY$7)*
  (desp[data.pagamento]&gt;=$A114)*
  (desp[data.pagamento]&lt;EOMONTH($A114,0)+1)
)</f>
        <v>0</v>
      </c>
      <c r="BZ114" s="166" cm="1">
        <f t="array" ref="BZ114">SUMPRODUCT(
  IFERROR(--desp[valor],0)*
  (desp[nucleo]="UP SAUDE")*
  (desp[categoria]=BZ$7)*
  (desp[data.pagamento]&gt;=$A114)*
  (desp[data.pagamento]&lt;EOMONTH($A114,0)+1)
)</f>
        <v>0</v>
      </c>
      <c r="CA114" s="166" cm="1">
        <f t="array" ref="CA114">SUMPRODUCT(
  IFERROR(--desp[valor],0)*
  (desp[nucleo]="UP SAUDE")*
  (desp[categoria]=CA$7)*
  (desp[data.pagamento]&gt;=$A114)*
  (desp[data.pagamento]&lt;EOMONTH($A114,0)+1)
)</f>
        <v>0</v>
      </c>
      <c r="CB114" s="177">
        <f>COUNTIFS(
    estq[empresa], CB$6,
    estq[Data da venda / reserva], "&gt;=" &amp; $A114,
    estq[Data da venda / reserva], "&lt;"  &amp; EOMONTH($A114,0) + 1
)</f>
        <v>0</v>
      </c>
      <c r="CC114" s="178">
        <f ca="1">SUMIFS(rec.uni[2030-04-01],
INDIRECT("rec.uni[natureza]"),"pro.soluto",
INDIRECT("rec.uni[empresa]"),CC$6)</f>
        <v>0</v>
      </c>
      <c r="CD114" s="178">
        <f ca="1">SUMIFS(rec.uni[2030-04-01],
INDIRECT("rec.uni[natureza]"),"repasse.cef.obra",
INDIRECT("rec.uni[empresa]"),CD$6)</f>
        <v>0</v>
      </c>
      <c r="CE114" s="181">
        <f ca="1">SUMIFS(rec.uni[2030-04-01],
INDIRECT("rec.uni[natureza]"),"repasse.cef.terreno",
INDIRECT("rec.uni[empresa]"),CE$6)</f>
        <v>0</v>
      </c>
      <c r="CF114" s="182"/>
      <c r="CG114" s="178">
        <f ca="1">SUMIFS(rec.uni[2030-04-01],
INDIRECT("rec.uni[natureza]"),"taxa.extra",
INDIRECT("rec.uni[empresa]"),CG$6)</f>
        <v>0</v>
      </c>
      <c r="CH114" s="166"/>
      <c r="CI114" s="166" cm="1">
        <f t="array" ref="CI114">SUMPRODUCT(
  IFERROR(--desp[valor],0)*
  (desp[nucleo]="UP ESTAÇÃO VILA SONIA")*
  (desp[categoria]=CI$7)*
  (desp[data.pagamento]&gt;=$A114)*
  (desp[data.pagamento]&lt;EOMONTH($A114,0)+1)
)</f>
        <v>0</v>
      </c>
      <c r="CJ114" s="166" cm="1">
        <f t="array" ref="CJ114">SUMPRODUCT(
  IFERROR(--desp[valor],0)*
  (desp[nucleo]="UP ESTAÇÃO VILA SONIA")*
  (desp[categoria]=CJ$7)*
  (desp[data.pagamento]&gt;=$A114)*
  (desp[data.pagamento]&lt;EOMONTH($A114,0)+1)
)</f>
        <v>0</v>
      </c>
      <c r="CK114" s="166" cm="1">
        <f t="array" ref="CK114">SUMPRODUCT(
  IFERROR(--desp[valor],0)*
  (desp[nucleo]="UP ESTAÇÃO VILA SONIA")*
  (desp[categoria]=CK$7)*
  (desp[data.pagamento]&gt;=$A114)*
  (desp[data.pagamento]&lt;EOMONTH($A114,0)+1)
)</f>
        <v>0</v>
      </c>
      <c r="CL114" s="166" cm="1">
        <f t="array" ref="CL114">SUMPRODUCT(
  IFERROR(--desp[valor],0)*
  (desp[nucleo]="UP ESTAÇÃO VILA SONIA")*
  (desp[categoria]=CL$7)*
  (desp[data.pagamento]&gt;=$A114)*
  (desp[data.pagamento]&lt;EOMONTH($A114,0)+1)
)</f>
        <v>0</v>
      </c>
      <c r="CM114" s="166" cm="1">
        <f t="array" ref="CM114">SUMPRODUCT(
  IFERROR(--desp[valor],0)*
  (desp[nucleo]="UP ESTAÇÃO VILA SONIA")*
  (desp[categoria]=CM$7)*
  (desp[data.pagamento]&gt;=$A114)*
  (desp[data.pagamento]&lt;EOMONTH($A114,0)+1)
)</f>
        <v>0</v>
      </c>
      <c r="CN114" s="177">
        <f>COUNTIFS(
    estq[empresa], CN$6,
    estq[Data da venda / reserva], "&gt;=" &amp; $A114,
    estq[Data da venda / reserva], "&lt;"  &amp; EOMONTH($A114,0) + 1
)</f>
        <v>0</v>
      </c>
      <c r="CO114" s="178">
        <f ca="1">SUMIFS(rec.uni[2030-04-01],
INDIRECT("rec.uni[natureza]"),"pro.soluto",
INDIRECT("rec.uni[empresa]"),CO$6)</f>
        <v>0</v>
      </c>
      <c r="CP114" s="178">
        <f ca="1">SUMIFS(rec.uni[2030-04-01],
INDIRECT("rec.uni[natureza]"),"repasse.cef.obra",
INDIRECT("rec.uni[empresa]"),CP$6)</f>
        <v>0</v>
      </c>
      <c r="CQ114" s="181">
        <f ca="1">SUMIFS(rec.uni[2030-04-01],
INDIRECT("rec.uni[natureza]"),"repasse.cef.terreno",
INDIRECT("rec.uni[empresa]"),CQ$6)</f>
        <v>0</v>
      </c>
      <c r="CR114" s="182"/>
      <c r="CS114" s="178">
        <f ca="1">SUMIFS(rec.uni[2030-04-01],
INDIRECT("rec.uni[natureza]"),"taxa.extra",
INDIRECT("rec.uni[empresa]"),CS$6)</f>
        <v>0</v>
      </c>
      <c r="CT114" s="166"/>
      <c r="CU114" s="166" cm="1">
        <f t="array" ref="CU114">SUMPRODUCT(
  IFERROR(--desp[valor],0)*
  (desp[nucleo]="UP MOVE VILA SONIA")*
  (desp[categoria]=CU$7)*
  (desp[data.pagamento]&gt;=$A114)*
  (desp[data.pagamento]&lt;EOMONTH($A114,0)+1)
)</f>
        <v>0</v>
      </c>
      <c r="CV114" s="166" cm="1">
        <f t="array" ref="CV114">SUMPRODUCT(
  IFERROR(--desp[valor],0)*
  (desp[nucleo]="UP MOVE VILA SONIA")*
  (desp[categoria]=CV$7)*
  (desp[data.pagamento]&gt;=$A114)*
  (desp[data.pagamento]&lt;EOMONTH($A114,0)+1)
)</f>
        <v>0</v>
      </c>
      <c r="CW114" s="166" cm="1">
        <f t="array" ref="CW114">SUMPRODUCT(
  IFERROR(--desp[valor],0)*
  (desp[nucleo]="UP MOVE VILA SONIA")*
  (desp[categoria]=CW$7)*
  (desp[data.pagamento]&gt;=$A114)*
  (desp[data.pagamento]&lt;EOMONTH($A114,0)+1)
)</f>
        <v>0</v>
      </c>
      <c r="CX114" s="166" cm="1">
        <f t="array" ref="CX114">SUMPRODUCT(
  IFERROR(--desp[valor],0)*
  (desp[nucleo]="UP MOVE VILA SONIA")*
  (desp[categoria]=CX$7)*
  (desp[data.pagamento]&gt;=$A114)*
  (desp[data.pagamento]&lt;EOMONTH($A114,0)+1)
)</f>
        <v>0</v>
      </c>
      <c r="CY114" s="291" cm="1">
        <f t="array" ref="CY114">SUMPRODUCT(
  IFERROR(--desp[valor],0)*
  (desp[nucleo]="UP MOVE VILA SONIA")*
  (desp[categoria]=CY$7)*
  (desp[data.pagamento]&gt;=$A114)*
  (desp[data.pagamento]&lt;EOMONTH($A114,0)+1)
)</f>
        <v>0</v>
      </c>
    </row>
    <row r="115" spans="1:103" x14ac:dyDescent="0.25">
      <c r="A115" s="176">
        <v>47604</v>
      </c>
      <c r="B115" s="177">
        <f>COUNTIFS(
    estq[empresa], B$6,
    estq[Data da venda / reserva], "&gt;=" &amp; $A115,
    estq[Data da venda / reserva], "&lt;"  &amp; EOMONTH($A115,0) + 1
)</f>
        <v>0</v>
      </c>
      <c r="C115" s="178">
        <f ca="1">SUMIFS(rec.uni[2030-05-01],
INDIRECT("rec.uni[natureza]"),"pro.soluto",
INDIRECT("rec.uni[empresa]"),C$6)</f>
        <v>0</v>
      </c>
      <c r="D115" s="178">
        <f ca="1">SUMIFS(rec.uni[2030-05-01],
INDIRECT("rec.uni[natureza]"),"repasse.cef.obra",
INDIRECT("rec.uni[empresa]"),D$6)</f>
        <v>0</v>
      </c>
      <c r="E115" s="178">
        <f ca="1">SUMIFS(rec.uni[2030-05-01],
INDIRECT("rec.uni[natureza]"),"repasse.cef.terreno",
INDIRECT("rec.uni[empresa]"),E$6)</f>
        <v>0</v>
      </c>
      <c r="F115" s="182"/>
      <c r="G115" s="178">
        <f ca="1">SUMIFS(rec.uni[2030-05-01],
INDIRECT("rec.uni[natureza]"),"taxa.extra",
INDIRECT("rec.uni[empresa]"),G$6)</f>
        <v>0</v>
      </c>
      <c r="H115" s="166"/>
      <c r="I115" s="166" cm="1">
        <f t="array" ref="I115">SUMPRODUCT(
  IFERROR(--desp[valor],0)*
  (desp[nucleo]="UP JARDIM PRUDENCIA")*
  (desp[categoria]=I$7)*
  (desp[data.pagamento]&gt;=$A115)*
  (desp[data.pagamento]&lt;EOMONTH($A115,0)+1)
)</f>
        <v>0</v>
      </c>
      <c r="J115" s="166" cm="1">
        <f t="array" ref="J115">SUMPRODUCT(
  IFERROR(--desp[valor],0)*
  (desp[nucleo]="UP JARDIM PRUDENCIA")*
  (desp[categoria]=J$7)*
  (desp[data.pagamento]&gt;=$A115)*
  (desp[data.pagamento]&lt;EOMONTH($A115,0)+1)
)</f>
        <v>0</v>
      </c>
      <c r="K115" s="166" cm="1">
        <f t="array" ref="K115">SUMPRODUCT(
  IFERROR(--desp[valor],0)*
  (desp[nucleo]="UP JARDIM PRUDENCIA")*
  (desp[categoria]=K$7)*
  (desp[data.pagamento]&gt;=$A115)*
  (desp[data.pagamento]&lt;EOMONTH($A115,0)+1)
)</f>
        <v>0</v>
      </c>
      <c r="L115" s="166" cm="1">
        <f t="array" ref="L115">SUMPRODUCT(
  IFERROR(--desp[valor],0)*
  (desp[nucleo]="UP JARDIM PRUDENCIA")*
  (desp[categoria]=L$7)*
  (desp[data.pagamento]&gt;=$A115)*
  (desp[data.pagamento]&lt;EOMONTH($A115,0)+1)
)</f>
        <v>0</v>
      </c>
      <c r="M115" s="166" cm="1">
        <f t="array" ref="M115">SUMPRODUCT(
  IFERROR(--desp[valor],0)*
  (desp[nucleo]="UP JARDIM PRUDENCIA")*
  (desp[categoria]=M$7)*
  (desp[data.pagamento]&gt;=$A115)*
  (desp[data.pagamento]&lt;EOMONTH($A115,0)+1)
)</f>
        <v>0</v>
      </c>
      <c r="N115" s="177">
        <f>COUNTIFS(
    estq[empresa], N$6,
    estq[Data da venda / reserva], "&gt;=" &amp; $A115,
    estq[Data da venda / reserva], "&lt;"  &amp; EOMONTH($A115,0) + 1
)</f>
        <v>0</v>
      </c>
      <c r="O115" s="178">
        <f ca="1">SUMIFS(rec.uni[2030-05-01],
INDIRECT("rec.uni[natureza]"),"pro.soluto",
INDIRECT("rec.uni[empresa]"),O$6)</f>
        <v>0</v>
      </c>
      <c r="P115" s="178">
        <f ca="1">SUMIFS(rec.uni[2030-05-01],
INDIRECT("rec.uni[natureza]"),"repasse.cef.obra",
INDIRECT("rec.uni[empresa]"),P$6)</f>
        <v>0</v>
      </c>
      <c r="Q115" s="178">
        <f ca="1">SUMIFS(rec.uni[2030-05-01],
INDIRECT("rec.uni[natureza]"),"repasse.cef.terreno",
INDIRECT("rec.uni[empresa]"),Q$6)</f>
        <v>0</v>
      </c>
      <c r="R115" s="182"/>
      <c r="S115" s="178">
        <f ca="1">SUMIFS(rec.uni[2030-05-01],
INDIRECT("rec.uni[natureza]"),"taxa.extra",
INDIRECT("rec.uni[empresa]"),S$6)</f>
        <v>0</v>
      </c>
      <c r="T115" s="166"/>
      <c r="U115" s="166" cm="1">
        <f t="array" ref="U115">SUMPRODUCT(
  IFERROR(--desp[valor],0)*
  (desp[nucleo]="UP VILA SONIA")*
  (desp[categoria]=U$7)*
  (desp[data.pagamento]&gt;=$A115)*
  (desp[data.pagamento]&lt;EOMONTH($A115,0)+1)
)</f>
        <v>0</v>
      </c>
      <c r="V115" s="166" cm="1">
        <f t="array" ref="V115">SUMPRODUCT(
  IFERROR(--desp[valor],0)*
  (desp[nucleo]="UP VILA SONIA")*
  (desp[categoria]=V$7)*
  (desp[data.pagamento]&gt;=$A115)*
  (desp[data.pagamento]&lt;EOMONTH($A115,0)+1)
)</f>
        <v>0</v>
      </c>
      <c r="W115" s="166" cm="1">
        <f t="array" ref="W115">SUMPRODUCT(
  IFERROR(--desp[valor],0)*
  (desp[nucleo]="UP VILA SONIA")*
  (desp[categoria]=W$7)*
  (desp[data.pagamento]&gt;=$A115)*
  (desp[data.pagamento]&lt;EOMONTH($A115,0)+1)
)</f>
        <v>0</v>
      </c>
      <c r="X115" s="166" cm="1">
        <f t="array" ref="X115">SUMPRODUCT(
  IFERROR(--desp[valor],0)*
  (desp[nucleo]="UP VILA SONIA")*
  (desp[categoria]=X$7)*
  (desp[data.pagamento]&gt;=$A115)*
  (desp[data.pagamento]&lt;EOMONTH($A115,0)+1)
)</f>
        <v>0</v>
      </c>
      <c r="Y115" s="166" cm="1">
        <f t="array" ref="Y115">SUMPRODUCT(
  IFERROR(--desp[valor],0)*
  (desp[nucleo]="UP VILA SONIA")*
  (desp[categoria]=Y$7)*
  (desp[data.pagamento]&gt;=$A115)*
  (desp[data.pagamento]&lt;EOMONTH($A115,0)+1)
)</f>
        <v>0</v>
      </c>
      <c r="Z115" s="177">
        <f>COUNTIFS(
    estq[empresa], Z$6,
    estq[Data da venda / reserva], "&gt;=" &amp; $A115,
    estq[Data da venda / reserva], "&lt;"  &amp; EOMONTH($A115,0) + 1
)</f>
        <v>0</v>
      </c>
      <c r="AA115" s="178">
        <f ca="1">SUMIFS(rec.uni[2030-05-01],
INDIRECT("rec.uni[natureza]"),"pro.soluto",
INDIRECT("rec.uni[empresa]"),AA$6)</f>
        <v>0</v>
      </c>
      <c r="AB115" s="182">
        <f ca="1">SUMIFS(rec.uni[2030-05-01],
INDIRECT("rec.uni[natureza]"),"parcela.fin.total.ik",
INDIRECT("rec.uni[empresa]"),AB$6)</f>
        <v>0</v>
      </c>
      <c r="AC115" s="178">
        <f ca="1">SUMIFS(rec.uni[2030-05-01],
INDIRECT("rec.uni[natureza]"),"taxa.extra",
INDIRECT("rec.uni[empresa]"),AC$6)</f>
        <v>0</v>
      </c>
      <c r="AD115" s="166"/>
      <c r="AE115" s="166" cm="1">
        <f t="array" ref="AE115">SUMPRODUCT(
  IFERROR(--desp[valor],0)*
  (desp[nucleo]="UP CAMPO BELO")*
  (desp[categoria]=AE$7)*
  (desp[data.pagamento]&gt;=$A115)*
  (desp[data.pagamento]&lt;EOMONTH($A115,0)+1)
)</f>
        <v>0</v>
      </c>
      <c r="AF115" s="166" cm="1">
        <f t="array" ref="AF115">SUMPRODUCT(
  IFERROR(--desp[valor],0)*
  (desp[nucleo]="UP CAMPO BELO")*
  (desp[categoria]=AF$7)*
  (desp[data.pagamento]&gt;=$A115)*
  (desp[data.pagamento]&lt;EOMONTH($A115,0)+1)
)</f>
        <v>0</v>
      </c>
      <c r="AG115" s="166" cm="1">
        <f t="array" ref="AG115">SUMPRODUCT(
  IFERROR(--desp[valor],0)*
  (desp[nucleo]="UP CAMPO BELO")*
  (desp[categoria]=AG$7)*
  (desp[data.pagamento]&gt;=$A115)*
  (desp[data.pagamento]&lt;EOMONTH($A115,0)+1)
)</f>
        <v>0</v>
      </c>
      <c r="AH115" s="166" cm="1">
        <f t="array" ref="AH115">SUMPRODUCT(
  IFERROR(--desp[valor],0)*
  (desp[nucleo]="UP CAMPO BELO")*
  (desp[categoria]=AH$7)*
  (desp[data.pagamento]&gt;=$A115)*
  (desp[data.pagamento]&lt;EOMONTH($A115,0)+1)
)</f>
        <v>0</v>
      </c>
      <c r="AI115" s="166" cm="1">
        <f t="array" ref="AI115">SUMPRODUCT(
  IFERROR(--desp[valor],0)*
  (desp[nucleo]="UP CAMPO BELO")*
  (desp[categoria]=AI$7)*
  (desp[data.pagamento]&gt;=$A115)*
  (desp[data.pagamento]&lt;EOMONTH($A115,0)+1)
)</f>
        <v>0</v>
      </c>
      <c r="AJ115" s="177">
        <f>COUNTIFS(
    estq[empresa], AJ$6,
    estq[Data da venda / reserva], "&gt;=" &amp; $A115,
    estq[Data da venda / reserva], "&lt;"  &amp; EOMONTH($A115,0) + 1
)</f>
        <v>0</v>
      </c>
      <c r="AK115" s="178">
        <f ca="1">SUMIFS(rec.uni[2030-05-01],
INDIRECT("rec.uni[natureza]"),"pro.soluto",
INDIRECT("rec.uni[empresa]"),AK$6)</f>
        <v>0</v>
      </c>
      <c r="AL115" s="178">
        <f ca="1">SUMIFS(rec.uni[2030-05-01],
INDIRECT("rec.uni[natureza]"),"repasse.cef.obra",
INDIRECT("rec.uni[empresa]"),AL$6)</f>
        <v>0</v>
      </c>
      <c r="AM115" s="181">
        <f ca="1">SUMIFS(rec.uni[2030-05-01],
INDIRECT("rec.uni[natureza]"),"repasse.cef.terreno",
INDIRECT("rec.uni[empresa]"),AM$6)</f>
        <v>0</v>
      </c>
      <c r="AN115" s="182"/>
      <c r="AO115" s="178">
        <f ca="1">SUMIFS(rec.uni[2030-05-01],
INDIRECT("rec.uni[natureza]"),"taxa.extra",
INDIRECT("rec.uni[empresa]"),AO$6)</f>
        <v>0</v>
      </c>
      <c r="AP115" s="166"/>
      <c r="AQ115" s="166" cm="1">
        <f t="array" ref="AQ115">SUMPRODUCT(
  IFERROR(--desp[valor],0)*
  (desp[nucleo]="UP SELECT VILA SONIA")*
  (desp[categoria]=AQ$7)*
  (desp[data.pagamento]&gt;=$A115)*
  (desp[data.pagamento]&lt;EOMONTH($A115,0)+1)
)</f>
        <v>0</v>
      </c>
      <c r="AR115" s="166" cm="1">
        <f t="array" ref="AR115">SUMPRODUCT(
  IFERROR(--desp[valor],0)*
  (desp[nucleo]="UP SELECT VILA SONIA")*
  (desp[categoria]=AR$7)*
  (desp[data.pagamento]&gt;=$A115)*
  (desp[data.pagamento]&lt;EOMONTH($A115,0)+1)
)</f>
        <v>0</v>
      </c>
      <c r="AS115" s="166" cm="1">
        <f t="array" ref="AS115">SUMPRODUCT(
  IFERROR(--desp[valor],0)*
  (desp[nucleo]="UP SELECT VILA SONIA")*
  (desp[categoria]=AS$7)*
  (desp[data.pagamento]&gt;=$A115)*
  (desp[data.pagamento]&lt;EOMONTH($A115,0)+1)
)</f>
        <v>0</v>
      </c>
      <c r="AT115" s="166" cm="1">
        <f t="array" ref="AT115">SUMPRODUCT(
  IFERROR(--desp[valor],0)*
  (desp[nucleo]="UP SELECT VILA SONIA")*
  (desp[categoria]=AT$7)*
  (desp[data.pagamento]&gt;=$A115)*
  (desp[data.pagamento]&lt;EOMONTH($A115,0)+1)
)</f>
        <v>0</v>
      </c>
      <c r="AU115" s="166" cm="1">
        <f t="array" ref="AU115">SUMPRODUCT(
  IFERROR(--desp[valor],0)*
  (desp[nucleo]="UP SELECT VILA SONIA")*
  (desp[categoria]=AU$7)*
  (desp[data.pagamento]&gt;=$A115)*
  (desp[data.pagamento]&lt;EOMONTH($A115,0)+1)
)</f>
        <v>0</v>
      </c>
      <c r="AV115" s="177">
        <f>COUNTIFS(
    estq[empresa], AV$6,
    estq[Data da venda / reserva], "&gt;=" &amp; $A115,
    estq[Data da venda / reserva], "&lt;"  &amp; EOMONTH($A115,0) + 1
)</f>
        <v>0</v>
      </c>
      <c r="AW115" s="178">
        <f ca="1">SUMIFS(rec.uni[2030-05-01],
INDIRECT("rec.uni[natureza]"),"pro.soluto",
INDIRECT("rec.uni[empresa]"),AW$6)</f>
        <v>0</v>
      </c>
      <c r="AX115" s="178">
        <f ca="1">SUMIFS(rec.uni[2030-05-01],
INDIRECT("rec.uni[natureza]"),"repasse.cef.obra",
INDIRECT("rec.uni[empresa]"),AX$6)</f>
        <v>0</v>
      </c>
      <c r="AY115" s="181">
        <f ca="1">SUMIFS(rec.uni[2030-05-01],
INDIRECT("rec.uni[natureza]"),"repasse.cef.terreno",
INDIRECT("rec.uni[empresa]"),AY$6)</f>
        <v>0</v>
      </c>
      <c r="AZ115" s="182"/>
      <c r="BA115" s="178">
        <f ca="1">SUMIFS(rec.uni[2030-05-01],
INDIRECT("rec.uni[natureza]"),"taxa.extra",
INDIRECT("rec.uni[empresa]"),BA$6)</f>
        <v>0</v>
      </c>
      <c r="BB115" s="166"/>
      <c r="BC115" s="166" cm="1">
        <f t="array" ref="BC115">SUMPRODUCT(
  IFERROR(--desp[valor],0)*
  (desp[nucleo]="UP ESTAÇÃO SÃO LUCAS")*
  (desp[categoria]=BC$7)*
  (desp[data.pagamento]&gt;=$A115)*
  (desp[data.pagamento]&lt;EOMONTH($A115,0)+1)
)</f>
        <v>0</v>
      </c>
      <c r="BD115" s="166" cm="1">
        <f t="array" ref="BD115">SUMPRODUCT(
  IFERROR(--desp[valor],0)*
  (desp[nucleo]="UP ESTAÇÃO SÃO LUCAS")*
  (desp[categoria]=BD$7)*
  (desp[data.pagamento]&gt;=$A115)*
  (desp[data.pagamento]&lt;EOMONTH($A115,0)+1)
)</f>
        <v>0</v>
      </c>
      <c r="BE115" s="166" cm="1">
        <f t="array" ref="BE115">SUMPRODUCT(
  IFERROR(--desp[valor],0)*
  (desp[nucleo]="UP ESTAÇÃO SÃO LUCAS")*
  (desp[categoria]=BE$7)*
  (desp[data.pagamento]&gt;=$A115)*
  (desp[data.pagamento]&lt;EOMONTH($A115,0)+1)
)</f>
        <v>0</v>
      </c>
      <c r="BF115" s="166" cm="1">
        <f t="array" ref="BF115">SUMPRODUCT(
  IFERROR(--desp[valor],0)*
  (desp[nucleo]="UP ESTAÇÃO SÃO LUCAS")*
  (desp[categoria]=BF$7)*
  (desp[data.pagamento]&gt;=$A115)*
  (desp[data.pagamento]&lt;EOMONTH($A115,0)+1)
)</f>
        <v>0</v>
      </c>
      <c r="BG115" s="166" cm="1">
        <f t="array" ref="BG115">SUMPRODUCT(
  IFERROR(--desp[valor],0)*
  (desp[nucleo]="UP ESTAÇÃO SÃO LUCAS")*
  (desp[categoria]=BG$7)*
  (desp[data.pagamento]&gt;=$A115)*
  (desp[data.pagamento]&lt;EOMONTH($A115,0)+1)
)</f>
        <v>0</v>
      </c>
      <c r="BH115" s="177">
        <f>COUNTIFS(
    estq[empresa], BH$6,
    estq[Data da venda / reserva], "&gt;=" &amp; $A115,
    estq[Data da venda / reserva], "&lt;"  &amp; EOMONTH($A115,0) + 1
)</f>
        <v>0</v>
      </c>
      <c r="BI115" s="178">
        <f ca="1">SUMIFS(rec.uni[2030-05-01],
INDIRECT("rec.uni[natureza]"),"pro.soluto",
INDIRECT("rec.uni[empresa]"),BI$6)</f>
        <v>0</v>
      </c>
      <c r="BJ115" s="182">
        <f ca="1">SUMIFS(rec.uni[2030-05-01],
INDIRECT("rec.uni[natureza]"),"parcela.fin.total.ik",
INDIRECT("rec.uni[empresa]"),BJ$6)</f>
        <v>0</v>
      </c>
      <c r="BK115" s="178">
        <f ca="1">SUMIFS(rec.uni[2030-05-01],
INDIRECT("rec.uni[natureza]"),"taxa.extra",
INDIRECT("rec.uni[empresa]"),BK$6)</f>
        <v>0</v>
      </c>
      <c r="BL115" s="166"/>
      <c r="BM115" s="166" cm="1">
        <f t="array" ref="BM115">SUMPRODUCT(
  IFERROR(--desp[valor],0)*
  (desp[nucleo]="UP POMPEIA")*
  (desp[categoria]=BM$7)*
  (desp[data.pagamento]&gt;=$A115)*
  (desp[data.pagamento]&lt;EOMONTH($A115,0)+1)
)</f>
        <v>0</v>
      </c>
      <c r="BN115" s="166" cm="1">
        <f t="array" ref="BN115">SUMPRODUCT(
  IFERROR(--desp[valor],0)*
  (desp[nucleo]="UP POMPEIA")*
  (desp[categoria]=BN$7)*
  (desp[data.pagamento]&gt;=$A115)*
  (desp[data.pagamento]&lt;EOMONTH($A115,0)+1)
)</f>
        <v>0</v>
      </c>
      <c r="BO115" s="166" cm="1">
        <f t="array" ref="BO115">SUMPRODUCT(
  IFERROR(--desp[valor],0)*
  (desp[nucleo]="UP POMPEIA")*
  (desp[categoria]=BO$7)*
  (desp[data.pagamento]&gt;=$A115)*
  (desp[data.pagamento]&lt;EOMONTH($A115,0)+1)
)</f>
        <v>0</v>
      </c>
      <c r="BP115" s="166" cm="1">
        <f t="array" ref="BP115">SUMPRODUCT(
  IFERROR(--desp[valor],0)*
  (desp[nucleo]="UP POMPEIA")*
  (desp[categoria]=BP$7)*
  (desp[data.pagamento]&gt;=$A115)*
  (desp[data.pagamento]&lt;EOMONTH($A115,0)+1)
)</f>
        <v>0</v>
      </c>
      <c r="BQ115" s="166" cm="1">
        <f t="array" ref="BQ115">SUMPRODUCT(
  IFERROR(--desp[valor],0)*
  (desp[nucleo]="UP POMPEIA")*
  (desp[categoria]=BQ$7)*
  (desp[data.pagamento]&gt;=$A115)*
  (desp[data.pagamento]&lt;EOMONTH($A115,0)+1)
)</f>
        <v>0</v>
      </c>
      <c r="BR115" s="177">
        <f>COUNTIFS(
    estq[empresa], BR$6,
    estq[Data da venda / reserva], "&gt;=" &amp; $A115,
    estq[Data da venda / reserva], "&lt;"  &amp; EOMONTH($A115,0) + 1
)</f>
        <v>0</v>
      </c>
      <c r="BS115" s="178">
        <f ca="1">SUMIFS(rec.uni[2030-05-01],
INDIRECT("rec.uni[natureza]"),"pro.soluto",
INDIRECT("rec.uni[empresa]"),BS$6)</f>
        <v>0</v>
      </c>
      <c r="BT115" s="182">
        <f ca="1">SUMIFS(rec.uni[2030-05-01],
INDIRECT("rec.uni[natureza]"),"parcela.fin.total.ik",
INDIRECT("rec.uni[empresa]"),BT$6)</f>
        <v>0</v>
      </c>
      <c r="BU115" s="178">
        <f ca="1">SUMIFS(rec.uni[2030-05-01],
INDIRECT("rec.uni[natureza]"),"taxa.extra",
INDIRECT("rec.uni[empresa]"),BU$6)</f>
        <v>0</v>
      </c>
      <c r="BV115" s="166"/>
      <c r="BW115" s="166" cm="1">
        <f t="array" ref="BW115">SUMPRODUCT(
  IFERROR(--desp[valor],0)*
  (desp[nucleo]="UP SAUDE")*
  (desp[categoria]=BW$7)*
  (desp[data.pagamento]&gt;=$A115)*
  (desp[data.pagamento]&lt;EOMONTH($A115,0)+1)
)</f>
        <v>0</v>
      </c>
      <c r="BX115" s="166" cm="1">
        <f t="array" ref="BX115">SUMPRODUCT(
  IFERROR(--desp[valor],0)*
  (desp[nucleo]="UP SAUDE")*
  (desp[categoria]=BX$7)*
  (desp[data.pagamento]&gt;=$A115)*
  (desp[data.pagamento]&lt;EOMONTH($A115,0)+1)
)</f>
        <v>0</v>
      </c>
      <c r="BY115" s="166" cm="1">
        <f t="array" ref="BY115">SUMPRODUCT(
  IFERROR(--desp[valor],0)*
  (desp[nucleo]="UP SAUDE")*
  (desp[categoria]=BY$7)*
  (desp[data.pagamento]&gt;=$A115)*
  (desp[data.pagamento]&lt;EOMONTH($A115,0)+1)
)</f>
        <v>0</v>
      </c>
      <c r="BZ115" s="166" cm="1">
        <f t="array" ref="BZ115">SUMPRODUCT(
  IFERROR(--desp[valor],0)*
  (desp[nucleo]="UP SAUDE")*
  (desp[categoria]=BZ$7)*
  (desp[data.pagamento]&gt;=$A115)*
  (desp[data.pagamento]&lt;EOMONTH($A115,0)+1)
)</f>
        <v>0</v>
      </c>
      <c r="CA115" s="166" cm="1">
        <f t="array" ref="CA115">SUMPRODUCT(
  IFERROR(--desp[valor],0)*
  (desp[nucleo]="UP SAUDE")*
  (desp[categoria]=CA$7)*
  (desp[data.pagamento]&gt;=$A115)*
  (desp[data.pagamento]&lt;EOMONTH($A115,0)+1)
)</f>
        <v>0</v>
      </c>
      <c r="CB115" s="177">
        <f>COUNTIFS(
    estq[empresa], CB$6,
    estq[Data da venda / reserva], "&gt;=" &amp; $A115,
    estq[Data da venda / reserva], "&lt;"  &amp; EOMONTH($A115,0) + 1
)</f>
        <v>0</v>
      </c>
      <c r="CC115" s="178">
        <f ca="1">SUMIFS(rec.uni[2030-05-01],
INDIRECT("rec.uni[natureza]"),"pro.soluto",
INDIRECT("rec.uni[empresa]"),CC$6)</f>
        <v>0</v>
      </c>
      <c r="CD115" s="178">
        <f ca="1">SUMIFS(rec.uni[2030-05-01],
INDIRECT("rec.uni[natureza]"),"repasse.cef.obra",
INDIRECT("rec.uni[empresa]"),CD$6)</f>
        <v>0</v>
      </c>
      <c r="CE115" s="181">
        <f ca="1">SUMIFS(rec.uni[2030-05-01],
INDIRECT("rec.uni[natureza]"),"repasse.cef.terreno",
INDIRECT("rec.uni[empresa]"),CE$6)</f>
        <v>0</v>
      </c>
      <c r="CF115" s="182"/>
      <c r="CG115" s="178">
        <f ca="1">SUMIFS(rec.uni[2030-05-01],
INDIRECT("rec.uni[natureza]"),"taxa.extra",
INDIRECT("rec.uni[empresa]"),CG$6)</f>
        <v>0</v>
      </c>
      <c r="CH115" s="166"/>
      <c r="CI115" s="166" cm="1">
        <f t="array" ref="CI115">SUMPRODUCT(
  IFERROR(--desp[valor],0)*
  (desp[nucleo]="UP ESTAÇÃO VILA SONIA")*
  (desp[categoria]=CI$7)*
  (desp[data.pagamento]&gt;=$A115)*
  (desp[data.pagamento]&lt;EOMONTH($A115,0)+1)
)</f>
        <v>0</v>
      </c>
      <c r="CJ115" s="166" cm="1">
        <f t="array" ref="CJ115">SUMPRODUCT(
  IFERROR(--desp[valor],0)*
  (desp[nucleo]="UP ESTAÇÃO VILA SONIA")*
  (desp[categoria]=CJ$7)*
  (desp[data.pagamento]&gt;=$A115)*
  (desp[data.pagamento]&lt;EOMONTH($A115,0)+1)
)</f>
        <v>0</v>
      </c>
      <c r="CK115" s="166" cm="1">
        <f t="array" ref="CK115">SUMPRODUCT(
  IFERROR(--desp[valor],0)*
  (desp[nucleo]="UP ESTAÇÃO VILA SONIA")*
  (desp[categoria]=CK$7)*
  (desp[data.pagamento]&gt;=$A115)*
  (desp[data.pagamento]&lt;EOMONTH($A115,0)+1)
)</f>
        <v>0</v>
      </c>
      <c r="CL115" s="166" cm="1">
        <f t="array" ref="CL115">SUMPRODUCT(
  IFERROR(--desp[valor],0)*
  (desp[nucleo]="UP ESTAÇÃO VILA SONIA")*
  (desp[categoria]=CL$7)*
  (desp[data.pagamento]&gt;=$A115)*
  (desp[data.pagamento]&lt;EOMONTH($A115,0)+1)
)</f>
        <v>0</v>
      </c>
      <c r="CM115" s="166" cm="1">
        <f t="array" ref="CM115">SUMPRODUCT(
  IFERROR(--desp[valor],0)*
  (desp[nucleo]="UP ESTAÇÃO VILA SONIA")*
  (desp[categoria]=CM$7)*
  (desp[data.pagamento]&gt;=$A115)*
  (desp[data.pagamento]&lt;EOMONTH($A115,0)+1)
)</f>
        <v>0</v>
      </c>
      <c r="CN115" s="177">
        <f>COUNTIFS(
    estq[empresa], CN$6,
    estq[Data da venda / reserva], "&gt;=" &amp; $A115,
    estq[Data da venda / reserva], "&lt;"  &amp; EOMONTH($A115,0) + 1
)</f>
        <v>0</v>
      </c>
      <c r="CO115" s="178">
        <f ca="1">SUMIFS(rec.uni[2030-05-01],
INDIRECT("rec.uni[natureza]"),"pro.soluto",
INDIRECT("rec.uni[empresa]"),CO$6)</f>
        <v>0</v>
      </c>
      <c r="CP115" s="178">
        <f ca="1">SUMIFS(rec.uni[2030-05-01],
INDIRECT("rec.uni[natureza]"),"repasse.cef.obra",
INDIRECT("rec.uni[empresa]"),CP$6)</f>
        <v>0</v>
      </c>
      <c r="CQ115" s="181">
        <f ca="1">SUMIFS(rec.uni[2030-05-01],
INDIRECT("rec.uni[natureza]"),"repasse.cef.terreno",
INDIRECT("rec.uni[empresa]"),CQ$6)</f>
        <v>0</v>
      </c>
      <c r="CR115" s="182"/>
      <c r="CS115" s="178">
        <f ca="1">SUMIFS(rec.uni[2030-05-01],
INDIRECT("rec.uni[natureza]"),"taxa.extra",
INDIRECT("rec.uni[empresa]"),CS$6)</f>
        <v>0</v>
      </c>
      <c r="CT115" s="166"/>
      <c r="CU115" s="166" cm="1">
        <f t="array" ref="CU115">SUMPRODUCT(
  IFERROR(--desp[valor],0)*
  (desp[nucleo]="UP MOVE VILA SONIA")*
  (desp[categoria]=CU$7)*
  (desp[data.pagamento]&gt;=$A115)*
  (desp[data.pagamento]&lt;EOMONTH($A115,0)+1)
)</f>
        <v>0</v>
      </c>
      <c r="CV115" s="166" cm="1">
        <f t="array" ref="CV115">SUMPRODUCT(
  IFERROR(--desp[valor],0)*
  (desp[nucleo]="UP MOVE VILA SONIA")*
  (desp[categoria]=CV$7)*
  (desp[data.pagamento]&gt;=$A115)*
  (desp[data.pagamento]&lt;EOMONTH($A115,0)+1)
)</f>
        <v>0</v>
      </c>
      <c r="CW115" s="166" cm="1">
        <f t="array" ref="CW115">SUMPRODUCT(
  IFERROR(--desp[valor],0)*
  (desp[nucleo]="UP MOVE VILA SONIA")*
  (desp[categoria]=CW$7)*
  (desp[data.pagamento]&gt;=$A115)*
  (desp[data.pagamento]&lt;EOMONTH($A115,0)+1)
)</f>
        <v>0</v>
      </c>
      <c r="CX115" s="166" cm="1">
        <f t="array" ref="CX115">SUMPRODUCT(
  IFERROR(--desp[valor],0)*
  (desp[nucleo]="UP MOVE VILA SONIA")*
  (desp[categoria]=CX$7)*
  (desp[data.pagamento]&gt;=$A115)*
  (desp[data.pagamento]&lt;EOMONTH($A115,0)+1)
)</f>
        <v>0</v>
      </c>
      <c r="CY115" s="291" cm="1">
        <f t="array" ref="CY115">SUMPRODUCT(
  IFERROR(--desp[valor],0)*
  (desp[nucleo]="UP MOVE VILA SONIA")*
  (desp[categoria]=CY$7)*
  (desp[data.pagamento]&gt;=$A115)*
  (desp[data.pagamento]&lt;EOMONTH($A115,0)+1)
)</f>
        <v>0</v>
      </c>
    </row>
    <row r="116" spans="1:103" x14ac:dyDescent="0.25">
      <c r="A116" s="176">
        <v>47635</v>
      </c>
      <c r="B116" s="177">
        <f>COUNTIFS(
    estq[empresa], B$6,
    estq[Data da venda / reserva], "&gt;=" &amp; $A116,
    estq[Data da venda / reserva], "&lt;"  &amp; EOMONTH($A116,0) + 1
)</f>
        <v>0</v>
      </c>
      <c r="C116" s="178">
        <f ca="1">SUMIFS(rec.uni[2030-06-01],
INDIRECT("rec.uni[natureza]"),"pro.soluto",
INDIRECT("rec.uni[empresa]"),C$6)</f>
        <v>0</v>
      </c>
      <c r="D116" s="178">
        <f ca="1">SUMIFS(rec.uni[2030-06-01],
INDIRECT("rec.uni[natureza]"),"repasse.cef.obra",
INDIRECT("rec.uni[empresa]"),D$6)</f>
        <v>0</v>
      </c>
      <c r="E116" s="178">
        <f ca="1">SUMIFS(rec.uni[2030-06-01],
INDIRECT("rec.uni[natureza]"),"repasse.cef.terreno",
INDIRECT("rec.uni[empresa]"),E$6)</f>
        <v>0</v>
      </c>
      <c r="F116" s="182"/>
      <c r="G116" s="178">
        <f ca="1">SUMIFS(rec.uni[2030-06-01],
INDIRECT("rec.uni[natureza]"),"taxa.extra",
INDIRECT("rec.uni[empresa]"),G$6)</f>
        <v>0</v>
      </c>
      <c r="H116" s="166"/>
      <c r="I116" s="166" cm="1">
        <f t="array" ref="I116">SUMPRODUCT(
  IFERROR(--desp[valor],0)*
  (desp[nucleo]="UP JARDIM PRUDENCIA")*
  (desp[categoria]=I$7)*
  (desp[data.pagamento]&gt;=$A116)*
  (desp[data.pagamento]&lt;EOMONTH($A116,0)+1)
)</f>
        <v>0</v>
      </c>
      <c r="J116" s="166" cm="1">
        <f t="array" ref="J116">SUMPRODUCT(
  IFERROR(--desp[valor],0)*
  (desp[nucleo]="UP JARDIM PRUDENCIA")*
  (desp[categoria]=J$7)*
  (desp[data.pagamento]&gt;=$A116)*
  (desp[data.pagamento]&lt;EOMONTH($A116,0)+1)
)</f>
        <v>0</v>
      </c>
      <c r="K116" s="166" cm="1">
        <f t="array" ref="K116">SUMPRODUCT(
  IFERROR(--desp[valor],0)*
  (desp[nucleo]="UP JARDIM PRUDENCIA")*
  (desp[categoria]=K$7)*
  (desp[data.pagamento]&gt;=$A116)*
  (desp[data.pagamento]&lt;EOMONTH($A116,0)+1)
)</f>
        <v>0</v>
      </c>
      <c r="L116" s="166" cm="1">
        <f t="array" ref="L116">SUMPRODUCT(
  IFERROR(--desp[valor],0)*
  (desp[nucleo]="UP JARDIM PRUDENCIA")*
  (desp[categoria]=L$7)*
  (desp[data.pagamento]&gt;=$A116)*
  (desp[data.pagamento]&lt;EOMONTH($A116,0)+1)
)</f>
        <v>0</v>
      </c>
      <c r="M116" s="166" cm="1">
        <f t="array" ref="M116">SUMPRODUCT(
  IFERROR(--desp[valor],0)*
  (desp[nucleo]="UP JARDIM PRUDENCIA")*
  (desp[categoria]=M$7)*
  (desp[data.pagamento]&gt;=$A116)*
  (desp[data.pagamento]&lt;EOMONTH($A116,0)+1)
)</f>
        <v>0</v>
      </c>
      <c r="N116" s="177">
        <f>COUNTIFS(
    estq[empresa], N$6,
    estq[Data da venda / reserva], "&gt;=" &amp; $A116,
    estq[Data da venda / reserva], "&lt;"  &amp; EOMONTH($A116,0) + 1
)</f>
        <v>0</v>
      </c>
      <c r="O116" s="178">
        <f ca="1">SUMIFS(rec.uni[2030-06-01],
INDIRECT("rec.uni[natureza]"),"pro.soluto",
INDIRECT("rec.uni[empresa]"),O$6)</f>
        <v>0</v>
      </c>
      <c r="P116" s="178">
        <f ca="1">SUMIFS(rec.uni[2030-06-01],
INDIRECT("rec.uni[natureza]"),"repasse.cef.obra",
INDIRECT("rec.uni[empresa]"),P$6)</f>
        <v>0</v>
      </c>
      <c r="Q116" s="178">
        <f ca="1">SUMIFS(rec.uni[2030-06-01],
INDIRECT("rec.uni[natureza]"),"repasse.cef.terreno",
INDIRECT("rec.uni[empresa]"),Q$6)</f>
        <v>0</v>
      </c>
      <c r="R116" s="182"/>
      <c r="S116" s="178">
        <f ca="1">SUMIFS(rec.uni[2030-06-01],
INDIRECT("rec.uni[natureza]"),"taxa.extra",
INDIRECT("rec.uni[empresa]"),S$6)</f>
        <v>0</v>
      </c>
      <c r="T116" s="166"/>
      <c r="U116" s="166" cm="1">
        <f t="array" ref="U116">SUMPRODUCT(
  IFERROR(--desp[valor],0)*
  (desp[nucleo]="UP VILA SONIA")*
  (desp[categoria]=U$7)*
  (desp[data.pagamento]&gt;=$A116)*
  (desp[data.pagamento]&lt;EOMONTH($A116,0)+1)
)</f>
        <v>0</v>
      </c>
      <c r="V116" s="166" cm="1">
        <f t="array" ref="V116">SUMPRODUCT(
  IFERROR(--desp[valor],0)*
  (desp[nucleo]="UP VILA SONIA")*
  (desp[categoria]=V$7)*
  (desp[data.pagamento]&gt;=$A116)*
  (desp[data.pagamento]&lt;EOMONTH($A116,0)+1)
)</f>
        <v>0</v>
      </c>
      <c r="W116" s="166" cm="1">
        <f t="array" ref="W116">SUMPRODUCT(
  IFERROR(--desp[valor],0)*
  (desp[nucleo]="UP VILA SONIA")*
  (desp[categoria]=W$7)*
  (desp[data.pagamento]&gt;=$A116)*
  (desp[data.pagamento]&lt;EOMONTH($A116,0)+1)
)</f>
        <v>0</v>
      </c>
      <c r="X116" s="166" cm="1">
        <f t="array" ref="X116">SUMPRODUCT(
  IFERROR(--desp[valor],0)*
  (desp[nucleo]="UP VILA SONIA")*
  (desp[categoria]=X$7)*
  (desp[data.pagamento]&gt;=$A116)*
  (desp[data.pagamento]&lt;EOMONTH($A116,0)+1)
)</f>
        <v>0</v>
      </c>
      <c r="Y116" s="166" cm="1">
        <f t="array" ref="Y116">SUMPRODUCT(
  IFERROR(--desp[valor],0)*
  (desp[nucleo]="UP VILA SONIA")*
  (desp[categoria]=Y$7)*
  (desp[data.pagamento]&gt;=$A116)*
  (desp[data.pagamento]&lt;EOMONTH($A116,0)+1)
)</f>
        <v>0</v>
      </c>
      <c r="Z116" s="177">
        <f>COUNTIFS(
    estq[empresa], Z$6,
    estq[Data da venda / reserva], "&gt;=" &amp; $A116,
    estq[Data da venda / reserva], "&lt;"  &amp; EOMONTH($A116,0) + 1
)</f>
        <v>0</v>
      </c>
      <c r="AA116" s="178">
        <f ca="1">SUMIFS(rec.uni[2030-06-01],
INDIRECT("rec.uni[natureza]"),"pro.soluto",
INDIRECT("rec.uni[empresa]"),AA$6)</f>
        <v>0</v>
      </c>
      <c r="AB116" s="182">
        <f ca="1">SUMIFS(rec.uni[2030-06-01],
INDIRECT("rec.uni[natureza]"),"parcela.fin.total.ik",
INDIRECT("rec.uni[empresa]"),AB$6)</f>
        <v>0</v>
      </c>
      <c r="AC116" s="178">
        <f ca="1">SUMIFS(rec.uni[2030-06-01],
INDIRECT("rec.uni[natureza]"),"taxa.extra",
INDIRECT("rec.uni[empresa]"),AC$6)</f>
        <v>0</v>
      </c>
      <c r="AD116" s="166"/>
      <c r="AE116" s="166" cm="1">
        <f t="array" ref="AE116">SUMPRODUCT(
  IFERROR(--desp[valor],0)*
  (desp[nucleo]="UP CAMPO BELO")*
  (desp[categoria]=AE$7)*
  (desp[data.pagamento]&gt;=$A116)*
  (desp[data.pagamento]&lt;EOMONTH($A116,0)+1)
)</f>
        <v>0</v>
      </c>
      <c r="AF116" s="166" cm="1">
        <f t="array" ref="AF116">SUMPRODUCT(
  IFERROR(--desp[valor],0)*
  (desp[nucleo]="UP CAMPO BELO")*
  (desp[categoria]=AF$7)*
  (desp[data.pagamento]&gt;=$A116)*
  (desp[data.pagamento]&lt;EOMONTH($A116,0)+1)
)</f>
        <v>0</v>
      </c>
      <c r="AG116" s="166" cm="1">
        <f t="array" ref="AG116">SUMPRODUCT(
  IFERROR(--desp[valor],0)*
  (desp[nucleo]="UP CAMPO BELO")*
  (desp[categoria]=AG$7)*
  (desp[data.pagamento]&gt;=$A116)*
  (desp[data.pagamento]&lt;EOMONTH($A116,0)+1)
)</f>
        <v>0</v>
      </c>
      <c r="AH116" s="166" cm="1">
        <f t="array" ref="AH116">SUMPRODUCT(
  IFERROR(--desp[valor],0)*
  (desp[nucleo]="UP CAMPO BELO")*
  (desp[categoria]=AH$7)*
  (desp[data.pagamento]&gt;=$A116)*
  (desp[data.pagamento]&lt;EOMONTH($A116,0)+1)
)</f>
        <v>0</v>
      </c>
      <c r="AI116" s="166" cm="1">
        <f t="array" ref="AI116">SUMPRODUCT(
  IFERROR(--desp[valor],0)*
  (desp[nucleo]="UP CAMPO BELO")*
  (desp[categoria]=AI$7)*
  (desp[data.pagamento]&gt;=$A116)*
  (desp[data.pagamento]&lt;EOMONTH($A116,0)+1)
)</f>
        <v>0</v>
      </c>
      <c r="AJ116" s="177">
        <f>COUNTIFS(
    estq[empresa], AJ$6,
    estq[Data da venda / reserva], "&gt;=" &amp; $A116,
    estq[Data da venda / reserva], "&lt;"  &amp; EOMONTH($A116,0) + 1
)</f>
        <v>0</v>
      </c>
      <c r="AK116" s="178">
        <f ca="1">SUMIFS(rec.uni[2030-06-01],
INDIRECT("rec.uni[natureza]"),"pro.soluto",
INDIRECT("rec.uni[empresa]"),AK$6)</f>
        <v>0</v>
      </c>
      <c r="AL116" s="178">
        <f ca="1">SUMIFS(rec.uni[2030-06-01],
INDIRECT("rec.uni[natureza]"),"repasse.cef.obra",
INDIRECT("rec.uni[empresa]"),AL$6)</f>
        <v>0</v>
      </c>
      <c r="AM116" s="181">
        <f ca="1">SUMIFS(rec.uni[2030-06-01],
INDIRECT("rec.uni[natureza]"),"repasse.cef.terreno",
INDIRECT("rec.uni[empresa]"),AM$6)</f>
        <v>0</v>
      </c>
      <c r="AN116" s="182"/>
      <c r="AO116" s="178">
        <f ca="1">SUMIFS(rec.uni[2030-06-01],
INDIRECT("rec.uni[natureza]"),"taxa.extra",
INDIRECT("rec.uni[empresa]"),AO$6)</f>
        <v>0</v>
      </c>
      <c r="AP116" s="166"/>
      <c r="AQ116" s="166" cm="1">
        <f t="array" ref="AQ116">SUMPRODUCT(
  IFERROR(--desp[valor],0)*
  (desp[nucleo]="UP SELECT VILA SONIA")*
  (desp[categoria]=AQ$7)*
  (desp[data.pagamento]&gt;=$A116)*
  (desp[data.pagamento]&lt;EOMONTH($A116,0)+1)
)</f>
        <v>0</v>
      </c>
      <c r="AR116" s="166" cm="1">
        <f t="array" ref="AR116">SUMPRODUCT(
  IFERROR(--desp[valor],0)*
  (desp[nucleo]="UP SELECT VILA SONIA")*
  (desp[categoria]=AR$7)*
  (desp[data.pagamento]&gt;=$A116)*
  (desp[data.pagamento]&lt;EOMONTH($A116,0)+1)
)</f>
        <v>0</v>
      </c>
      <c r="AS116" s="166" cm="1">
        <f t="array" ref="AS116">SUMPRODUCT(
  IFERROR(--desp[valor],0)*
  (desp[nucleo]="UP SELECT VILA SONIA")*
  (desp[categoria]=AS$7)*
  (desp[data.pagamento]&gt;=$A116)*
  (desp[data.pagamento]&lt;EOMONTH($A116,0)+1)
)</f>
        <v>0</v>
      </c>
      <c r="AT116" s="166" cm="1">
        <f t="array" ref="AT116">SUMPRODUCT(
  IFERROR(--desp[valor],0)*
  (desp[nucleo]="UP SELECT VILA SONIA")*
  (desp[categoria]=AT$7)*
  (desp[data.pagamento]&gt;=$A116)*
  (desp[data.pagamento]&lt;EOMONTH($A116,0)+1)
)</f>
        <v>0</v>
      </c>
      <c r="AU116" s="166" cm="1">
        <f t="array" ref="AU116">SUMPRODUCT(
  IFERROR(--desp[valor],0)*
  (desp[nucleo]="UP SELECT VILA SONIA")*
  (desp[categoria]=AU$7)*
  (desp[data.pagamento]&gt;=$A116)*
  (desp[data.pagamento]&lt;EOMONTH($A116,0)+1)
)</f>
        <v>0</v>
      </c>
      <c r="AV116" s="177">
        <f>COUNTIFS(
    estq[empresa], AV$6,
    estq[Data da venda / reserva], "&gt;=" &amp; $A116,
    estq[Data da venda / reserva], "&lt;"  &amp; EOMONTH($A116,0) + 1
)</f>
        <v>0</v>
      </c>
      <c r="AW116" s="178">
        <f ca="1">SUMIFS(rec.uni[2030-06-01],
INDIRECT("rec.uni[natureza]"),"pro.soluto",
INDIRECT("rec.uni[empresa]"),AW$6)</f>
        <v>0</v>
      </c>
      <c r="AX116" s="178">
        <f ca="1">SUMIFS(rec.uni[2030-06-01],
INDIRECT("rec.uni[natureza]"),"repasse.cef.obra",
INDIRECT("rec.uni[empresa]"),AX$6)</f>
        <v>0</v>
      </c>
      <c r="AY116" s="181">
        <f ca="1">SUMIFS(rec.uni[2030-06-01],
INDIRECT("rec.uni[natureza]"),"repasse.cef.terreno",
INDIRECT("rec.uni[empresa]"),AY$6)</f>
        <v>0</v>
      </c>
      <c r="AZ116" s="182"/>
      <c r="BA116" s="178">
        <f ca="1">SUMIFS(rec.uni[2030-06-01],
INDIRECT("rec.uni[natureza]"),"taxa.extra",
INDIRECT("rec.uni[empresa]"),BA$6)</f>
        <v>0</v>
      </c>
      <c r="BB116" s="166"/>
      <c r="BC116" s="166" cm="1">
        <f t="array" ref="BC116">SUMPRODUCT(
  IFERROR(--desp[valor],0)*
  (desp[nucleo]="UP ESTAÇÃO SÃO LUCAS")*
  (desp[categoria]=BC$7)*
  (desp[data.pagamento]&gt;=$A116)*
  (desp[data.pagamento]&lt;EOMONTH($A116,0)+1)
)</f>
        <v>0</v>
      </c>
      <c r="BD116" s="166" cm="1">
        <f t="array" ref="BD116">SUMPRODUCT(
  IFERROR(--desp[valor],0)*
  (desp[nucleo]="UP ESTAÇÃO SÃO LUCAS")*
  (desp[categoria]=BD$7)*
  (desp[data.pagamento]&gt;=$A116)*
  (desp[data.pagamento]&lt;EOMONTH($A116,0)+1)
)</f>
        <v>0</v>
      </c>
      <c r="BE116" s="166" cm="1">
        <f t="array" ref="BE116">SUMPRODUCT(
  IFERROR(--desp[valor],0)*
  (desp[nucleo]="UP ESTAÇÃO SÃO LUCAS")*
  (desp[categoria]=BE$7)*
  (desp[data.pagamento]&gt;=$A116)*
  (desp[data.pagamento]&lt;EOMONTH($A116,0)+1)
)</f>
        <v>0</v>
      </c>
      <c r="BF116" s="166" cm="1">
        <f t="array" ref="BF116">SUMPRODUCT(
  IFERROR(--desp[valor],0)*
  (desp[nucleo]="UP ESTAÇÃO SÃO LUCAS")*
  (desp[categoria]=BF$7)*
  (desp[data.pagamento]&gt;=$A116)*
  (desp[data.pagamento]&lt;EOMONTH($A116,0)+1)
)</f>
        <v>0</v>
      </c>
      <c r="BG116" s="166" cm="1">
        <f t="array" ref="BG116">SUMPRODUCT(
  IFERROR(--desp[valor],0)*
  (desp[nucleo]="UP ESTAÇÃO SÃO LUCAS")*
  (desp[categoria]=BG$7)*
  (desp[data.pagamento]&gt;=$A116)*
  (desp[data.pagamento]&lt;EOMONTH($A116,0)+1)
)</f>
        <v>0</v>
      </c>
      <c r="BH116" s="177">
        <f>COUNTIFS(
    estq[empresa], BH$6,
    estq[Data da venda / reserva], "&gt;=" &amp; $A116,
    estq[Data da venda / reserva], "&lt;"  &amp; EOMONTH($A116,0) + 1
)</f>
        <v>0</v>
      </c>
      <c r="BI116" s="178">
        <f ca="1">SUMIFS(rec.uni[2030-06-01],
INDIRECT("rec.uni[natureza]"),"pro.soluto",
INDIRECT("rec.uni[empresa]"),BI$6)</f>
        <v>0</v>
      </c>
      <c r="BJ116" s="182">
        <f ca="1">SUMIFS(rec.uni[2030-06-01],
INDIRECT("rec.uni[natureza]"),"parcela.fin.total.ik",
INDIRECT("rec.uni[empresa]"),BJ$6)</f>
        <v>0</v>
      </c>
      <c r="BK116" s="178">
        <f ca="1">SUMIFS(rec.uni[2030-06-01],
INDIRECT("rec.uni[natureza]"),"taxa.extra",
INDIRECT("rec.uni[empresa]"),BK$6)</f>
        <v>0</v>
      </c>
      <c r="BL116" s="166"/>
      <c r="BM116" s="166" cm="1">
        <f t="array" ref="BM116">SUMPRODUCT(
  IFERROR(--desp[valor],0)*
  (desp[nucleo]="UP POMPEIA")*
  (desp[categoria]=BM$7)*
  (desp[data.pagamento]&gt;=$A116)*
  (desp[data.pagamento]&lt;EOMONTH($A116,0)+1)
)</f>
        <v>0</v>
      </c>
      <c r="BN116" s="166" cm="1">
        <f t="array" ref="BN116">SUMPRODUCT(
  IFERROR(--desp[valor],0)*
  (desp[nucleo]="UP POMPEIA")*
  (desp[categoria]=BN$7)*
  (desp[data.pagamento]&gt;=$A116)*
  (desp[data.pagamento]&lt;EOMONTH($A116,0)+1)
)</f>
        <v>0</v>
      </c>
      <c r="BO116" s="166" cm="1">
        <f t="array" ref="BO116">SUMPRODUCT(
  IFERROR(--desp[valor],0)*
  (desp[nucleo]="UP POMPEIA")*
  (desp[categoria]=BO$7)*
  (desp[data.pagamento]&gt;=$A116)*
  (desp[data.pagamento]&lt;EOMONTH($A116,0)+1)
)</f>
        <v>0</v>
      </c>
      <c r="BP116" s="166" cm="1">
        <f t="array" ref="BP116">SUMPRODUCT(
  IFERROR(--desp[valor],0)*
  (desp[nucleo]="UP POMPEIA")*
  (desp[categoria]=BP$7)*
  (desp[data.pagamento]&gt;=$A116)*
  (desp[data.pagamento]&lt;EOMONTH($A116,0)+1)
)</f>
        <v>0</v>
      </c>
      <c r="BQ116" s="166" cm="1">
        <f t="array" ref="BQ116">SUMPRODUCT(
  IFERROR(--desp[valor],0)*
  (desp[nucleo]="UP POMPEIA")*
  (desp[categoria]=BQ$7)*
  (desp[data.pagamento]&gt;=$A116)*
  (desp[data.pagamento]&lt;EOMONTH($A116,0)+1)
)</f>
        <v>0</v>
      </c>
      <c r="BR116" s="177">
        <f>COUNTIFS(
    estq[empresa], BR$6,
    estq[Data da venda / reserva], "&gt;=" &amp; $A116,
    estq[Data da venda / reserva], "&lt;"  &amp; EOMONTH($A116,0) + 1
)</f>
        <v>0</v>
      </c>
      <c r="BS116" s="178">
        <f ca="1">SUMIFS(rec.uni[2030-06-01],
INDIRECT("rec.uni[natureza]"),"pro.soluto",
INDIRECT("rec.uni[empresa]"),BS$6)</f>
        <v>0</v>
      </c>
      <c r="BT116" s="182">
        <f ca="1">SUMIFS(rec.uni[2030-06-01],
INDIRECT("rec.uni[natureza]"),"parcela.fin.total.ik",
INDIRECT("rec.uni[empresa]"),BT$6)</f>
        <v>0</v>
      </c>
      <c r="BU116" s="178">
        <f ca="1">SUMIFS(rec.uni[2030-06-01],
INDIRECT("rec.uni[natureza]"),"taxa.extra",
INDIRECT("rec.uni[empresa]"),BU$6)</f>
        <v>0</v>
      </c>
      <c r="BV116" s="166"/>
      <c r="BW116" s="166" cm="1">
        <f t="array" ref="BW116">SUMPRODUCT(
  IFERROR(--desp[valor],0)*
  (desp[nucleo]="UP SAUDE")*
  (desp[categoria]=BW$7)*
  (desp[data.pagamento]&gt;=$A116)*
  (desp[data.pagamento]&lt;EOMONTH($A116,0)+1)
)</f>
        <v>0</v>
      </c>
      <c r="BX116" s="166" cm="1">
        <f t="array" ref="BX116">SUMPRODUCT(
  IFERROR(--desp[valor],0)*
  (desp[nucleo]="UP SAUDE")*
  (desp[categoria]=BX$7)*
  (desp[data.pagamento]&gt;=$A116)*
  (desp[data.pagamento]&lt;EOMONTH($A116,0)+1)
)</f>
        <v>0</v>
      </c>
      <c r="BY116" s="166" cm="1">
        <f t="array" ref="BY116">SUMPRODUCT(
  IFERROR(--desp[valor],0)*
  (desp[nucleo]="UP SAUDE")*
  (desp[categoria]=BY$7)*
  (desp[data.pagamento]&gt;=$A116)*
  (desp[data.pagamento]&lt;EOMONTH($A116,0)+1)
)</f>
        <v>0</v>
      </c>
      <c r="BZ116" s="166" cm="1">
        <f t="array" ref="BZ116">SUMPRODUCT(
  IFERROR(--desp[valor],0)*
  (desp[nucleo]="UP SAUDE")*
  (desp[categoria]=BZ$7)*
  (desp[data.pagamento]&gt;=$A116)*
  (desp[data.pagamento]&lt;EOMONTH($A116,0)+1)
)</f>
        <v>0</v>
      </c>
      <c r="CA116" s="166" cm="1">
        <f t="array" ref="CA116">SUMPRODUCT(
  IFERROR(--desp[valor],0)*
  (desp[nucleo]="UP SAUDE")*
  (desp[categoria]=CA$7)*
  (desp[data.pagamento]&gt;=$A116)*
  (desp[data.pagamento]&lt;EOMONTH($A116,0)+1)
)</f>
        <v>0</v>
      </c>
      <c r="CB116" s="177">
        <f>COUNTIFS(
    estq[empresa], CB$6,
    estq[Data da venda / reserva], "&gt;=" &amp; $A116,
    estq[Data da venda / reserva], "&lt;"  &amp; EOMONTH($A116,0) + 1
)</f>
        <v>0</v>
      </c>
      <c r="CC116" s="178">
        <f ca="1">SUMIFS(rec.uni[2030-06-01],
INDIRECT("rec.uni[natureza]"),"pro.soluto",
INDIRECT("rec.uni[empresa]"),CC$6)</f>
        <v>0</v>
      </c>
      <c r="CD116" s="178">
        <f ca="1">SUMIFS(rec.uni[2030-06-01],
INDIRECT("rec.uni[natureza]"),"repasse.cef.obra",
INDIRECT("rec.uni[empresa]"),CD$6)</f>
        <v>0</v>
      </c>
      <c r="CE116" s="181">
        <f ca="1">SUMIFS(rec.uni[2030-06-01],
INDIRECT("rec.uni[natureza]"),"repasse.cef.terreno",
INDIRECT("rec.uni[empresa]"),CE$6)</f>
        <v>0</v>
      </c>
      <c r="CF116" s="182"/>
      <c r="CG116" s="178">
        <f ca="1">SUMIFS(rec.uni[2030-06-01],
INDIRECT("rec.uni[natureza]"),"taxa.extra",
INDIRECT("rec.uni[empresa]"),CG$6)</f>
        <v>0</v>
      </c>
      <c r="CH116" s="166"/>
      <c r="CI116" s="166" cm="1">
        <f t="array" ref="CI116">SUMPRODUCT(
  IFERROR(--desp[valor],0)*
  (desp[nucleo]="UP ESTAÇÃO VILA SONIA")*
  (desp[categoria]=CI$7)*
  (desp[data.pagamento]&gt;=$A116)*
  (desp[data.pagamento]&lt;EOMONTH($A116,0)+1)
)</f>
        <v>0</v>
      </c>
      <c r="CJ116" s="166" cm="1">
        <f t="array" ref="CJ116">SUMPRODUCT(
  IFERROR(--desp[valor],0)*
  (desp[nucleo]="UP ESTAÇÃO VILA SONIA")*
  (desp[categoria]=CJ$7)*
  (desp[data.pagamento]&gt;=$A116)*
  (desp[data.pagamento]&lt;EOMONTH($A116,0)+1)
)</f>
        <v>0</v>
      </c>
      <c r="CK116" s="166" cm="1">
        <f t="array" ref="CK116">SUMPRODUCT(
  IFERROR(--desp[valor],0)*
  (desp[nucleo]="UP ESTAÇÃO VILA SONIA")*
  (desp[categoria]=CK$7)*
  (desp[data.pagamento]&gt;=$A116)*
  (desp[data.pagamento]&lt;EOMONTH($A116,0)+1)
)</f>
        <v>0</v>
      </c>
      <c r="CL116" s="166" cm="1">
        <f t="array" ref="CL116">SUMPRODUCT(
  IFERROR(--desp[valor],0)*
  (desp[nucleo]="UP ESTAÇÃO VILA SONIA")*
  (desp[categoria]=CL$7)*
  (desp[data.pagamento]&gt;=$A116)*
  (desp[data.pagamento]&lt;EOMONTH($A116,0)+1)
)</f>
        <v>0</v>
      </c>
      <c r="CM116" s="166" cm="1">
        <f t="array" ref="CM116">SUMPRODUCT(
  IFERROR(--desp[valor],0)*
  (desp[nucleo]="UP ESTAÇÃO VILA SONIA")*
  (desp[categoria]=CM$7)*
  (desp[data.pagamento]&gt;=$A116)*
  (desp[data.pagamento]&lt;EOMONTH($A116,0)+1)
)</f>
        <v>0</v>
      </c>
      <c r="CN116" s="177">
        <f>COUNTIFS(
    estq[empresa], CN$6,
    estq[Data da venda / reserva], "&gt;=" &amp; $A116,
    estq[Data da venda / reserva], "&lt;"  &amp; EOMONTH($A116,0) + 1
)</f>
        <v>0</v>
      </c>
      <c r="CO116" s="178">
        <f ca="1">SUMIFS(rec.uni[2030-06-01],
INDIRECT("rec.uni[natureza]"),"pro.soluto",
INDIRECT("rec.uni[empresa]"),CO$6)</f>
        <v>0</v>
      </c>
      <c r="CP116" s="178">
        <f ca="1">SUMIFS(rec.uni[2030-06-01],
INDIRECT("rec.uni[natureza]"),"repasse.cef.obra",
INDIRECT("rec.uni[empresa]"),CP$6)</f>
        <v>0</v>
      </c>
      <c r="CQ116" s="181">
        <f ca="1">SUMIFS(rec.uni[2030-06-01],
INDIRECT("rec.uni[natureza]"),"repasse.cef.terreno",
INDIRECT("rec.uni[empresa]"),CQ$6)</f>
        <v>0</v>
      </c>
      <c r="CR116" s="182"/>
      <c r="CS116" s="178">
        <f ca="1">SUMIFS(rec.uni[2030-06-01],
INDIRECT("rec.uni[natureza]"),"taxa.extra",
INDIRECT("rec.uni[empresa]"),CS$6)</f>
        <v>0</v>
      </c>
      <c r="CT116" s="166"/>
      <c r="CU116" s="166" cm="1">
        <f t="array" ref="CU116">SUMPRODUCT(
  IFERROR(--desp[valor],0)*
  (desp[nucleo]="UP MOVE VILA SONIA")*
  (desp[categoria]=CU$7)*
  (desp[data.pagamento]&gt;=$A116)*
  (desp[data.pagamento]&lt;EOMONTH($A116,0)+1)
)</f>
        <v>0</v>
      </c>
      <c r="CV116" s="166" cm="1">
        <f t="array" ref="CV116">SUMPRODUCT(
  IFERROR(--desp[valor],0)*
  (desp[nucleo]="UP MOVE VILA SONIA")*
  (desp[categoria]=CV$7)*
  (desp[data.pagamento]&gt;=$A116)*
  (desp[data.pagamento]&lt;EOMONTH($A116,0)+1)
)</f>
        <v>0</v>
      </c>
      <c r="CW116" s="166" cm="1">
        <f t="array" ref="CW116">SUMPRODUCT(
  IFERROR(--desp[valor],0)*
  (desp[nucleo]="UP MOVE VILA SONIA")*
  (desp[categoria]=CW$7)*
  (desp[data.pagamento]&gt;=$A116)*
  (desp[data.pagamento]&lt;EOMONTH($A116,0)+1)
)</f>
        <v>0</v>
      </c>
      <c r="CX116" s="166" cm="1">
        <f t="array" ref="CX116">SUMPRODUCT(
  IFERROR(--desp[valor],0)*
  (desp[nucleo]="UP MOVE VILA SONIA")*
  (desp[categoria]=CX$7)*
  (desp[data.pagamento]&gt;=$A116)*
  (desp[data.pagamento]&lt;EOMONTH($A116,0)+1)
)</f>
        <v>0</v>
      </c>
      <c r="CY116" s="291" cm="1">
        <f t="array" ref="CY116">SUMPRODUCT(
  IFERROR(--desp[valor],0)*
  (desp[nucleo]="UP MOVE VILA SONIA")*
  (desp[categoria]=CY$7)*
  (desp[data.pagamento]&gt;=$A116)*
  (desp[data.pagamento]&lt;EOMONTH($A116,0)+1)
)</f>
        <v>0</v>
      </c>
    </row>
    <row r="117" spans="1:103" x14ac:dyDescent="0.25">
      <c r="A117" s="176">
        <v>47665</v>
      </c>
      <c r="B117" s="177">
        <f>COUNTIFS(
    estq[empresa], B$6,
    estq[Data da venda / reserva], "&gt;=" &amp; $A117,
    estq[Data da venda / reserva], "&lt;"  &amp; EOMONTH($A117,0) + 1
)</f>
        <v>0</v>
      </c>
      <c r="C117" s="178">
        <f ca="1">SUMIFS(rec.uni[2030-07-01],
INDIRECT("rec.uni[natureza]"),"pro.soluto",
INDIRECT("rec.uni[empresa]"),C$6)</f>
        <v>0</v>
      </c>
      <c r="D117" s="178">
        <f ca="1">SUMIFS(rec.uni[2030-07-01],
INDIRECT("rec.uni[natureza]"),"repasse.cef.obra",
INDIRECT("rec.uni[empresa]"),D$6)</f>
        <v>0</v>
      </c>
      <c r="E117" s="178">
        <f ca="1">SUMIFS(rec.uni[2030-07-01],
INDIRECT("rec.uni[natureza]"),"repasse.cef.terreno",
INDIRECT("rec.uni[empresa]"),E$6)</f>
        <v>0</v>
      </c>
      <c r="F117" s="182"/>
      <c r="G117" s="178">
        <f ca="1">SUMIFS(rec.uni[2030-07-01],
INDIRECT("rec.uni[natureza]"),"taxa.extra",
INDIRECT("rec.uni[empresa]"),G$6)</f>
        <v>0</v>
      </c>
      <c r="H117" s="166"/>
      <c r="I117" s="166" cm="1">
        <f t="array" ref="I117">SUMPRODUCT(
  IFERROR(--desp[valor],0)*
  (desp[nucleo]="UP JARDIM PRUDENCIA")*
  (desp[categoria]=I$7)*
  (desp[data.pagamento]&gt;=$A117)*
  (desp[data.pagamento]&lt;EOMONTH($A117,0)+1)
)</f>
        <v>0</v>
      </c>
      <c r="J117" s="166" cm="1">
        <f t="array" ref="J117">SUMPRODUCT(
  IFERROR(--desp[valor],0)*
  (desp[nucleo]="UP JARDIM PRUDENCIA")*
  (desp[categoria]=J$7)*
  (desp[data.pagamento]&gt;=$A117)*
  (desp[data.pagamento]&lt;EOMONTH($A117,0)+1)
)</f>
        <v>0</v>
      </c>
      <c r="K117" s="166" cm="1">
        <f t="array" ref="K117">SUMPRODUCT(
  IFERROR(--desp[valor],0)*
  (desp[nucleo]="UP JARDIM PRUDENCIA")*
  (desp[categoria]=K$7)*
  (desp[data.pagamento]&gt;=$A117)*
  (desp[data.pagamento]&lt;EOMONTH($A117,0)+1)
)</f>
        <v>0</v>
      </c>
      <c r="L117" s="166" cm="1">
        <f t="array" ref="L117">SUMPRODUCT(
  IFERROR(--desp[valor],0)*
  (desp[nucleo]="UP JARDIM PRUDENCIA")*
  (desp[categoria]=L$7)*
  (desp[data.pagamento]&gt;=$A117)*
  (desp[data.pagamento]&lt;EOMONTH($A117,0)+1)
)</f>
        <v>0</v>
      </c>
      <c r="M117" s="166" cm="1">
        <f t="array" ref="M117">SUMPRODUCT(
  IFERROR(--desp[valor],0)*
  (desp[nucleo]="UP JARDIM PRUDENCIA")*
  (desp[categoria]=M$7)*
  (desp[data.pagamento]&gt;=$A117)*
  (desp[data.pagamento]&lt;EOMONTH($A117,0)+1)
)</f>
        <v>0</v>
      </c>
      <c r="N117" s="177">
        <f>COUNTIFS(
    estq[empresa], N$6,
    estq[Data da venda / reserva], "&gt;=" &amp; $A117,
    estq[Data da venda / reserva], "&lt;"  &amp; EOMONTH($A117,0) + 1
)</f>
        <v>0</v>
      </c>
      <c r="O117" s="178">
        <f ca="1">SUMIFS(rec.uni[2030-07-01],
INDIRECT("rec.uni[natureza]"),"pro.soluto",
INDIRECT("rec.uni[empresa]"),O$6)</f>
        <v>0</v>
      </c>
      <c r="P117" s="178">
        <f ca="1">SUMIFS(rec.uni[2030-07-01],
INDIRECT("rec.uni[natureza]"),"repasse.cef.obra",
INDIRECT("rec.uni[empresa]"),P$6)</f>
        <v>0</v>
      </c>
      <c r="Q117" s="178">
        <f ca="1">SUMIFS(rec.uni[2030-07-01],
INDIRECT("rec.uni[natureza]"),"repasse.cef.terreno",
INDIRECT("rec.uni[empresa]"),Q$6)</f>
        <v>0</v>
      </c>
      <c r="R117" s="182"/>
      <c r="S117" s="178">
        <f ca="1">SUMIFS(rec.uni[2030-07-01],
INDIRECT("rec.uni[natureza]"),"taxa.extra",
INDIRECT("rec.uni[empresa]"),S$6)</f>
        <v>0</v>
      </c>
      <c r="T117" s="166"/>
      <c r="U117" s="166" cm="1">
        <f t="array" ref="U117">SUMPRODUCT(
  IFERROR(--desp[valor],0)*
  (desp[nucleo]="UP VILA SONIA")*
  (desp[categoria]=U$7)*
  (desp[data.pagamento]&gt;=$A117)*
  (desp[data.pagamento]&lt;EOMONTH($A117,0)+1)
)</f>
        <v>0</v>
      </c>
      <c r="V117" s="166" cm="1">
        <f t="array" ref="V117">SUMPRODUCT(
  IFERROR(--desp[valor],0)*
  (desp[nucleo]="UP VILA SONIA")*
  (desp[categoria]=V$7)*
  (desp[data.pagamento]&gt;=$A117)*
  (desp[data.pagamento]&lt;EOMONTH($A117,0)+1)
)</f>
        <v>0</v>
      </c>
      <c r="W117" s="166" cm="1">
        <f t="array" ref="W117">SUMPRODUCT(
  IFERROR(--desp[valor],0)*
  (desp[nucleo]="UP VILA SONIA")*
  (desp[categoria]=W$7)*
  (desp[data.pagamento]&gt;=$A117)*
  (desp[data.pagamento]&lt;EOMONTH($A117,0)+1)
)</f>
        <v>0</v>
      </c>
      <c r="X117" s="166" cm="1">
        <f t="array" ref="X117">SUMPRODUCT(
  IFERROR(--desp[valor],0)*
  (desp[nucleo]="UP VILA SONIA")*
  (desp[categoria]=X$7)*
  (desp[data.pagamento]&gt;=$A117)*
  (desp[data.pagamento]&lt;EOMONTH($A117,0)+1)
)</f>
        <v>0</v>
      </c>
      <c r="Y117" s="166" cm="1">
        <f t="array" ref="Y117">SUMPRODUCT(
  IFERROR(--desp[valor],0)*
  (desp[nucleo]="UP VILA SONIA")*
  (desp[categoria]=Y$7)*
  (desp[data.pagamento]&gt;=$A117)*
  (desp[data.pagamento]&lt;EOMONTH($A117,0)+1)
)</f>
        <v>0</v>
      </c>
      <c r="Z117" s="177">
        <f>COUNTIFS(
    estq[empresa], Z$6,
    estq[Data da venda / reserva], "&gt;=" &amp; $A117,
    estq[Data da venda / reserva], "&lt;"  &amp; EOMONTH($A117,0) + 1
)</f>
        <v>0</v>
      </c>
      <c r="AA117" s="178">
        <f ca="1">SUMIFS(rec.uni[2030-07-01],
INDIRECT("rec.uni[natureza]"),"pro.soluto",
INDIRECT("rec.uni[empresa]"),AA$6)</f>
        <v>0</v>
      </c>
      <c r="AB117" s="182">
        <f ca="1">SUMIFS(rec.uni[2030-07-01],
INDIRECT("rec.uni[natureza]"),"parcela.fin.total.ik",
INDIRECT("rec.uni[empresa]"),AB$6)</f>
        <v>0</v>
      </c>
      <c r="AC117" s="178">
        <f ca="1">SUMIFS(rec.uni[2030-07-01],
INDIRECT("rec.uni[natureza]"),"taxa.extra",
INDIRECT("rec.uni[empresa]"),AC$6)</f>
        <v>0</v>
      </c>
      <c r="AD117" s="166"/>
      <c r="AE117" s="166" cm="1">
        <f t="array" ref="AE117">SUMPRODUCT(
  IFERROR(--desp[valor],0)*
  (desp[nucleo]="UP CAMPO BELO")*
  (desp[categoria]=AE$7)*
  (desp[data.pagamento]&gt;=$A117)*
  (desp[data.pagamento]&lt;EOMONTH($A117,0)+1)
)</f>
        <v>0</v>
      </c>
      <c r="AF117" s="166" cm="1">
        <f t="array" ref="AF117">SUMPRODUCT(
  IFERROR(--desp[valor],0)*
  (desp[nucleo]="UP CAMPO BELO")*
  (desp[categoria]=AF$7)*
  (desp[data.pagamento]&gt;=$A117)*
  (desp[data.pagamento]&lt;EOMONTH($A117,0)+1)
)</f>
        <v>0</v>
      </c>
      <c r="AG117" s="166" cm="1">
        <f t="array" ref="AG117">SUMPRODUCT(
  IFERROR(--desp[valor],0)*
  (desp[nucleo]="UP CAMPO BELO")*
  (desp[categoria]=AG$7)*
  (desp[data.pagamento]&gt;=$A117)*
  (desp[data.pagamento]&lt;EOMONTH($A117,0)+1)
)</f>
        <v>0</v>
      </c>
      <c r="AH117" s="166" cm="1">
        <f t="array" ref="AH117">SUMPRODUCT(
  IFERROR(--desp[valor],0)*
  (desp[nucleo]="UP CAMPO BELO")*
  (desp[categoria]=AH$7)*
  (desp[data.pagamento]&gt;=$A117)*
  (desp[data.pagamento]&lt;EOMONTH($A117,0)+1)
)</f>
        <v>0</v>
      </c>
      <c r="AI117" s="166" cm="1">
        <f t="array" ref="AI117">SUMPRODUCT(
  IFERROR(--desp[valor],0)*
  (desp[nucleo]="UP CAMPO BELO")*
  (desp[categoria]=AI$7)*
  (desp[data.pagamento]&gt;=$A117)*
  (desp[data.pagamento]&lt;EOMONTH($A117,0)+1)
)</f>
        <v>0</v>
      </c>
      <c r="AJ117" s="177">
        <f>COUNTIFS(
    estq[empresa], AJ$6,
    estq[Data da venda / reserva], "&gt;=" &amp; $A117,
    estq[Data da venda / reserva], "&lt;"  &amp; EOMONTH($A117,0) + 1
)</f>
        <v>0</v>
      </c>
      <c r="AK117" s="178">
        <f ca="1">SUMIFS(rec.uni[2030-07-01],
INDIRECT("rec.uni[natureza]"),"pro.soluto",
INDIRECT("rec.uni[empresa]"),AK$6)</f>
        <v>0</v>
      </c>
      <c r="AL117" s="178">
        <f ca="1">SUMIFS(rec.uni[2030-07-01],
INDIRECT("rec.uni[natureza]"),"repasse.cef.obra",
INDIRECT("rec.uni[empresa]"),AL$6)</f>
        <v>0</v>
      </c>
      <c r="AM117" s="181">
        <f ca="1">SUMIFS(rec.uni[2030-07-01],
INDIRECT("rec.uni[natureza]"),"repasse.cef.terreno",
INDIRECT("rec.uni[empresa]"),AM$6)</f>
        <v>0</v>
      </c>
      <c r="AN117" s="182"/>
      <c r="AO117" s="178">
        <f ca="1">SUMIFS(rec.uni[2030-07-01],
INDIRECT("rec.uni[natureza]"),"taxa.extra",
INDIRECT("rec.uni[empresa]"),AO$6)</f>
        <v>0</v>
      </c>
      <c r="AP117" s="166"/>
      <c r="AQ117" s="166" cm="1">
        <f t="array" ref="AQ117">SUMPRODUCT(
  IFERROR(--desp[valor],0)*
  (desp[nucleo]="UP SELECT VILA SONIA")*
  (desp[categoria]=AQ$7)*
  (desp[data.pagamento]&gt;=$A117)*
  (desp[data.pagamento]&lt;EOMONTH($A117,0)+1)
)</f>
        <v>0</v>
      </c>
      <c r="AR117" s="166" cm="1">
        <f t="array" ref="AR117">SUMPRODUCT(
  IFERROR(--desp[valor],0)*
  (desp[nucleo]="UP SELECT VILA SONIA")*
  (desp[categoria]=AR$7)*
  (desp[data.pagamento]&gt;=$A117)*
  (desp[data.pagamento]&lt;EOMONTH($A117,0)+1)
)</f>
        <v>0</v>
      </c>
      <c r="AS117" s="166" cm="1">
        <f t="array" ref="AS117">SUMPRODUCT(
  IFERROR(--desp[valor],0)*
  (desp[nucleo]="UP SELECT VILA SONIA")*
  (desp[categoria]=AS$7)*
  (desp[data.pagamento]&gt;=$A117)*
  (desp[data.pagamento]&lt;EOMONTH($A117,0)+1)
)</f>
        <v>0</v>
      </c>
      <c r="AT117" s="166" cm="1">
        <f t="array" ref="AT117">SUMPRODUCT(
  IFERROR(--desp[valor],0)*
  (desp[nucleo]="UP SELECT VILA SONIA")*
  (desp[categoria]=AT$7)*
  (desp[data.pagamento]&gt;=$A117)*
  (desp[data.pagamento]&lt;EOMONTH($A117,0)+1)
)</f>
        <v>0</v>
      </c>
      <c r="AU117" s="166" cm="1">
        <f t="array" ref="AU117">SUMPRODUCT(
  IFERROR(--desp[valor],0)*
  (desp[nucleo]="UP SELECT VILA SONIA")*
  (desp[categoria]=AU$7)*
  (desp[data.pagamento]&gt;=$A117)*
  (desp[data.pagamento]&lt;EOMONTH($A117,0)+1)
)</f>
        <v>0</v>
      </c>
      <c r="AV117" s="177">
        <f>COUNTIFS(
    estq[empresa], AV$6,
    estq[Data da venda / reserva], "&gt;=" &amp; $A117,
    estq[Data da venda / reserva], "&lt;"  &amp; EOMONTH($A117,0) + 1
)</f>
        <v>0</v>
      </c>
      <c r="AW117" s="178">
        <f ca="1">SUMIFS(rec.uni[2030-07-01],
INDIRECT("rec.uni[natureza]"),"pro.soluto",
INDIRECT("rec.uni[empresa]"),AW$6)</f>
        <v>0</v>
      </c>
      <c r="AX117" s="178">
        <f ca="1">SUMIFS(rec.uni[2030-07-01],
INDIRECT("rec.uni[natureza]"),"repasse.cef.obra",
INDIRECT("rec.uni[empresa]"),AX$6)</f>
        <v>0</v>
      </c>
      <c r="AY117" s="181">
        <f ca="1">SUMIFS(rec.uni[2030-07-01],
INDIRECT("rec.uni[natureza]"),"repasse.cef.terreno",
INDIRECT("rec.uni[empresa]"),AY$6)</f>
        <v>0</v>
      </c>
      <c r="AZ117" s="182"/>
      <c r="BA117" s="178">
        <f ca="1">SUMIFS(rec.uni[2030-07-01],
INDIRECT("rec.uni[natureza]"),"taxa.extra",
INDIRECT("rec.uni[empresa]"),BA$6)</f>
        <v>0</v>
      </c>
      <c r="BB117" s="166"/>
      <c r="BC117" s="166" cm="1">
        <f t="array" ref="BC117">SUMPRODUCT(
  IFERROR(--desp[valor],0)*
  (desp[nucleo]="UP ESTAÇÃO SÃO LUCAS")*
  (desp[categoria]=BC$7)*
  (desp[data.pagamento]&gt;=$A117)*
  (desp[data.pagamento]&lt;EOMONTH($A117,0)+1)
)</f>
        <v>0</v>
      </c>
      <c r="BD117" s="166" cm="1">
        <f t="array" ref="BD117">SUMPRODUCT(
  IFERROR(--desp[valor],0)*
  (desp[nucleo]="UP ESTAÇÃO SÃO LUCAS")*
  (desp[categoria]=BD$7)*
  (desp[data.pagamento]&gt;=$A117)*
  (desp[data.pagamento]&lt;EOMONTH($A117,0)+1)
)</f>
        <v>0</v>
      </c>
      <c r="BE117" s="166" cm="1">
        <f t="array" ref="BE117">SUMPRODUCT(
  IFERROR(--desp[valor],0)*
  (desp[nucleo]="UP ESTAÇÃO SÃO LUCAS")*
  (desp[categoria]=BE$7)*
  (desp[data.pagamento]&gt;=$A117)*
  (desp[data.pagamento]&lt;EOMONTH($A117,0)+1)
)</f>
        <v>0</v>
      </c>
      <c r="BF117" s="166" cm="1">
        <f t="array" ref="BF117">SUMPRODUCT(
  IFERROR(--desp[valor],0)*
  (desp[nucleo]="UP ESTAÇÃO SÃO LUCAS")*
  (desp[categoria]=BF$7)*
  (desp[data.pagamento]&gt;=$A117)*
  (desp[data.pagamento]&lt;EOMONTH($A117,0)+1)
)</f>
        <v>0</v>
      </c>
      <c r="BG117" s="166" cm="1">
        <f t="array" ref="BG117">SUMPRODUCT(
  IFERROR(--desp[valor],0)*
  (desp[nucleo]="UP ESTAÇÃO SÃO LUCAS")*
  (desp[categoria]=BG$7)*
  (desp[data.pagamento]&gt;=$A117)*
  (desp[data.pagamento]&lt;EOMONTH($A117,0)+1)
)</f>
        <v>0</v>
      </c>
      <c r="BH117" s="177">
        <f>COUNTIFS(
    estq[empresa], BH$6,
    estq[Data da venda / reserva], "&gt;=" &amp; $A117,
    estq[Data da venda / reserva], "&lt;"  &amp; EOMONTH($A117,0) + 1
)</f>
        <v>0</v>
      </c>
      <c r="BI117" s="178">
        <f ca="1">SUMIFS(rec.uni[2030-07-01],
INDIRECT("rec.uni[natureza]"),"pro.soluto",
INDIRECT("rec.uni[empresa]"),BI$6)</f>
        <v>0</v>
      </c>
      <c r="BJ117" s="182">
        <f ca="1">SUMIFS(rec.uni[2030-07-01],
INDIRECT("rec.uni[natureza]"),"parcela.fin.total.ik",
INDIRECT("rec.uni[empresa]"),BJ$6)</f>
        <v>0</v>
      </c>
      <c r="BK117" s="178">
        <f ca="1">SUMIFS(rec.uni[2030-07-01],
INDIRECT("rec.uni[natureza]"),"taxa.extra",
INDIRECT("rec.uni[empresa]"),BK$6)</f>
        <v>0</v>
      </c>
      <c r="BL117" s="166"/>
      <c r="BM117" s="166" cm="1">
        <f t="array" ref="BM117">SUMPRODUCT(
  IFERROR(--desp[valor],0)*
  (desp[nucleo]="UP POMPEIA")*
  (desp[categoria]=BM$7)*
  (desp[data.pagamento]&gt;=$A117)*
  (desp[data.pagamento]&lt;EOMONTH($A117,0)+1)
)</f>
        <v>0</v>
      </c>
      <c r="BN117" s="166" cm="1">
        <f t="array" ref="BN117">SUMPRODUCT(
  IFERROR(--desp[valor],0)*
  (desp[nucleo]="UP POMPEIA")*
  (desp[categoria]=BN$7)*
  (desp[data.pagamento]&gt;=$A117)*
  (desp[data.pagamento]&lt;EOMONTH($A117,0)+1)
)</f>
        <v>0</v>
      </c>
      <c r="BO117" s="166" cm="1">
        <f t="array" ref="BO117">SUMPRODUCT(
  IFERROR(--desp[valor],0)*
  (desp[nucleo]="UP POMPEIA")*
  (desp[categoria]=BO$7)*
  (desp[data.pagamento]&gt;=$A117)*
  (desp[data.pagamento]&lt;EOMONTH($A117,0)+1)
)</f>
        <v>0</v>
      </c>
      <c r="BP117" s="166" cm="1">
        <f t="array" ref="BP117">SUMPRODUCT(
  IFERROR(--desp[valor],0)*
  (desp[nucleo]="UP POMPEIA")*
  (desp[categoria]=BP$7)*
  (desp[data.pagamento]&gt;=$A117)*
  (desp[data.pagamento]&lt;EOMONTH($A117,0)+1)
)</f>
        <v>0</v>
      </c>
      <c r="BQ117" s="166" cm="1">
        <f t="array" ref="BQ117">SUMPRODUCT(
  IFERROR(--desp[valor],0)*
  (desp[nucleo]="UP POMPEIA")*
  (desp[categoria]=BQ$7)*
  (desp[data.pagamento]&gt;=$A117)*
  (desp[data.pagamento]&lt;EOMONTH($A117,0)+1)
)</f>
        <v>0</v>
      </c>
      <c r="BR117" s="177">
        <f>COUNTIFS(
    estq[empresa], BR$6,
    estq[Data da venda / reserva], "&gt;=" &amp; $A117,
    estq[Data da venda / reserva], "&lt;"  &amp; EOMONTH($A117,0) + 1
)</f>
        <v>0</v>
      </c>
      <c r="BS117" s="178">
        <f ca="1">SUMIFS(rec.uni[2030-07-01],
INDIRECT("rec.uni[natureza]"),"pro.soluto",
INDIRECT("rec.uni[empresa]"),BS$6)</f>
        <v>0</v>
      </c>
      <c r="BT117" s="182">
        <f ca="1">SUMIFS(rec.uni[2030-07-01],
INDIRECT("rec.uni[natureza]"),"parcela.fin.total.ik",
INDIRECT("rec.uni[empresa]"),BT$6)</f>
        <v>0</v>
      </c>
      <c r="BU117" s="178">
        <f ca="1">SUMIFS(rec.uni[2030-07-01],
INDIRECT("rec.uni[natureza]"),"taxa.extra",
INDIRECT("rec.uni[empresa]"),BU$6)</f>
        <v>0</v>
      </c>
      <c r="BV117" s="166"/>
      <c r="BW117" s="166" cm="1">
        <f t="array" ref="BW117">SUMPRODUCT(
  IFERROR(--desp[valor],0)*
  (desp[nucleo]="UP SAUDE")*
  (desp[categoria]=BW$7)*
  (desp[data.pagamento]&gt;=$A117)*
  (desp[data.pagamento]&lt;EOMONTH($A117,0)+1)
)</f>
        <v>0</v>
      </c>
      <c r="BX117" s="166" cm="1">
        <f t="array" ref="BX117">SUMPRODUCT(
  IFERROR(--desp[valor],0)*
  (desp[nucleo]="UP SAUDE")*
  (desp[categoria]=BX$7)*
  (desp[data.pagamento]&gt;=$A117)*
  (desp[data.pagamento]&lt;EOMONTH($A117,0)+1)
)</f>
        <v>0</v>
      </c>
      <c r="BY117" s="166" cm="1">
        <f t="array" ref="BY117">SUMPRODUCT(
  IFERROR(--desp[valor],0)*
  (desp[nucleo]="UP SAUDE")*
  (desp[categoria]=BY$7)*
  (desp[data.pagamento]&gt;=$A117)*
  (desp[data.pagamento]&lt;EOMONTH($A117,0)+1)
)</f>
        <v>0</v>
      </c>
      <c r="BZ117" s="166" cm="1">
        <f t="array" ref="BZ117">SUMPRODUCT(
  IFERROR(--desp[valor],0)*
  (desp[nucleo]="UP SAUDE")*
  (desp[categoria]=BZ$7)*
  (desp[data.pagamento]&gt;=$A117)*
  (desp[data.pagamento]&lt;EOMONTH($A117,0)+1)
)</f>
        <v>0</v>
      </c>
      <c r="CA117" s="166" cm="1">
        <f t="array" ref="CA117">SUMPRODUCT(
  IFERROR(--desp[valor],0)*
  (desp[nucleo]="UP SAUDE")*
  (desp[categoria]=CA$7)*
  (desp[data.pagamento]&gt;=$A117)*
  (desp[data.pagamento]&lt;EOMONTH($A117,0)+1)
)</f>
        <v>0</v>
      </c>
      <c r="CB117" s="177">
        <f>COUNTIFS(
    estq[empresa], CB$6,
    estq[Data da venda / reserva], "&gt;=" &amp; $A117,
    estq[Data da venda / reserva], "&lt;"  &amp; EOMONTH($A117,0) + 1
)</f>
        <v>0</v>
      </c>
      <c r="CC117" s="178">
        <f ca="1">SUMIFS(rec.uni[2030-07-01],
INDIRECT("rec.uni[natureza]"),"pro.soluto",
INDIRECT("rec.uni[empresa]"),CC$6)</f>
        <v>0</v>
      </c>
      <c r="CD117" s="178">
        <f ca="1">SUMIFS(rec.uni[2030-07-01],
INDIRECT("rec.uni[natureza]"),"repasse.cef.obra",
INDIRECT("rec.uni[empresa]"),CD$6)</f>
        <v>0</v>
      </c>
      <c r="CE117" s="181">
        <f ca="1">SUMIFS(rec.uni[2030-07-01],
INDIRECT("rec.uni[natureza]"),"repasse.cef.terreno",
INDIRECT("rec.uni[empresa]"),CE$6)</f>
        <v>0</v>
      </c>
      <c r="CF117" s="182"/>
      <c r="CG117" s="178">
        <f ca="1">SUMIFS(rec.uni[2030-07-01],
INDIRECT("rec.uni[natureza]"),"taxa.extra",
INDIRECT("rec.uni[empresa]"),CG$6)</f>
        <v>0</v>
      </c>
      <c r="CH117" s="166"/>
      <c r="CI117" s="166" cm="1">
        <f t="array" ref="CI117">SUMPRODUCT(
  IFERROR(--desp[valor],0)*
  (desp[nucleo]="UP ESTAÇÃO VILA SONIA")*
  (desp[categoria]=CI$7)*
  (desp[data.pagamento]&gt;=$A117)*
  (desp[data.pagamento]&lt;EOMONTH($A117,0)+1)
)</f>
        <v>0</v>
      </c>
      <c r="CJ117" s="166" cm="1">
        <f t="array" ref="CJ117">SUMPRODUCT(
  IFERROR(--desp[valor],0)*
  (desp[nucleo]="UP ESTAÇÃO VILA SONIA")*
  (desp[categoria]=CJ$7)*
  (desp[data.pagamento]&gt;=$A117)*
  (desp[data.pagamento]&lt;EOMONTH($A117,0)+1)
)</f>
        <v>0</v>
      </c>
      <c r="CK117" s="166" cm="1">
        <f t="array" ref="CK117">SUMPRODUCT(
  IFERROR(--desp[valor],0)*
  (desp[nucleo]="UP ESTAÇÃO VILA SONIA")*
  (desp[categoria]=CK$7)*
  (desp[data.pagamento]&gt;=$A117)*
  (desp[data.pagamento]&lt;EOMONTH($A117,0)+1)
)</f>
        <v>0</v>
      </c>
      <c r="CL117" s="166" cm="1">
        <f t="array" ref="CL117">SUMPRODUCT(
  IFERROR(--desp[valor],0)*
  (desp[nucleo]="UP ESTAÇÃO VILA SONIA")*
  (desp[categoria]=CL$7)*
  (desp[data.pagamento]&gt;=$A117)*
  (desp[data.pagamento]&lt;EOMONTH($A117,0)+1)
)</f>
        <v>0</v>
      </c>
      <c r="CM117" s="166" cm="1">
        <f t="array" ref="CM117">SUMPRODUCT(
  IFERROR(--desp[valor],0)*
  (desp[nucleo]="UP ESTAÇÃO VILA SONIA")*
  (desp[categoria]=CM$7)*
  (desp[data.pagamento]&gt;=$A117)*
  (desp[data.pagamento]&lt;EOMONTH($A117,0)+1)
)</f>
        <v>0</v>
      </c>
      <c r="CN117" s="177">
        <f>COUNTIFS(
    estq[empresa], CN$6,
    estq[Data da venda / reserva], "&gt;=" &amp; $A117,
    estq[Data da venda / reserva], "&lt;"  &amp; EOMONTH($A117,0) + 1
)</f>
        <v>0</v>
      </c>
      <c r="CO117" s="178">
        <f ca="1">SUMIFS(rec.uni[2030-07-01],
INDIRECT("rec.uni[natureza]"),"pro.soluto",
INDIRECT("rec.uni[empresa]"),CO$6)</f>
        <v>0</v>
      </c>
      <c r="CP117" s="178">
        <f ca="1">SUMIFS(rec.uni[2030-07-01],
INDIRECT("rec.uni[natureza]"),"repasse.cef.obra",
INDIRECT("rec.uni[empresa]"),CP$6)</f>
        <v>0</v>
      </c>
      <c r="CQ117" s="181">
        <f ca="1">SUMIFS(rec.uni[2030-07-01],
INDIRECT("rec.uni[natureza]"),"repasse.cef.terreno",
INDIRECT("rec.uni[empresa]"),CQ$6)</f>
        <v>0</v>
      </c>
      <c r="CR117" s="182"/>
      <c r="CS117" s="178">
        <f ca="1">SUMIFS(rec.uni[2030-07-01],
INDIRECT("rec.uni[natureza]"),"taxa.extra",
INDIRECT("rec.uni[empresa]"),CS$6)</f>
        <v>0</v>
      </c>
      <c r="CT117" s="166"/>
      <c r="CU117" s="166" cm="1">
        <f t="array" ref="CU117">SUMPRODUCT(
  IFERROR(--desp[valor],0)*
  (desp[nucleo]="UP MOVE VILA SONIA")*
  (desp[categoria]=CU$7)*
  (desp[data.pagamento]&gt;=$A117)*
  (desp[data.pagamento]&lt;EOMONTH($A117,0)+1)
)</f>
        <v>0</v>
      </c>
      <c r="CV117" s="166" cm="1">
        <f t="array" ref="CV117">SUMPRODUCT(
  IFERROR(--desp[valor],0)*
  (desp[nucleo]="UP MOVE VILA SONIA")*
  (desp[categoria]=CV$7)*
  (desp[data.pagamento]&gt;=$A117)*
  (desp[data.pagamento]&lt;EOMONTH($A117,0)+1)
)</f>
        <v>0</v>
      </c>
      <c r="CW117" s="166" cm="1">
        <f t="array" ref="CW117">SUMPRODUCT(
  IFERROR(--desp[valor],0)*
  (desp[nucleo]="UP MOVE VILA SONIA")*
  (desp[categoria]=CW$7)*
  (desp[data.pagamento]&gt;=$A117)*
  (desp[data.pagamento]&lt;EOMONTH($A117,0)+1)
)</f>
        <v>0</v>
      </c>
      <c r="CX117" s="166" cm="1">
        <f t="array" ref="CX117">SUMPRODUCT(
  IFERROR(--desp[valor],0)*
  (desp[nucleo]="UP MOVE VILA SONIA")*
  (desp[categoria]=CX$7)*
  (desp[data.pagamento]&gt;=$A117)*
  (desp[data.pagamento]&lt;EOMONTH($A117,0)+1)
)</f>
        <v>0</v>
      </c>
      <c r="CY117" s="291" cm="1">
        <f t="array" ref="CY117">SUMPRODUCT(
  IFERROR(--desp[valor],0)*
  (desp[nucleo]="UP MOVE VILA SONIA")*
  (desp[categoria]=CY$7)*
  (desp[data.pagamento]&gt;=$A117)*
  (desp[data.pagamento]&lt;EOMONTH($A117,0)+1)
)</f>
        <v>0</v>
      </c>
    </row>
    <row r="118" spans="1:103" x14ac:dyDescent="0.25">
      <c r="A118" s="176">
        <v>47696</v>
      </c>
      <c r="B118" s="177">
        <f>COUNTIFS(
    estq[empresa], B$6,
    estq[Data da venda / reserva], "&gt;=" &amp; $A118,
    estq[Data da venda / reserva], "&lt;"  &amp; EOMONTH($A118,0) + 1
)</f>
        <v>0</v>
      </c>
      <c r="C118" s="178">
        <f ca="1">SUMIFS(rec.uni[2030-08-01],
INDIRECT("rec.uni[natureza]"),"pro.soluto",
INDIRECT("rec.uni[empresa]"),C$6)</f>
        <v>0</v>
      </c>
      <c r="D118" s="178">
        <f ca="1">SUMIFS(rec.uni[2030-08-01],
INDIRECT("rec.uni[natureza]"),"repasse.cef.obra",
INDIRECT("rec.uni[empresa]"),D$6)</f>
        <v>0</v>
      </c>
      <c r="E118" s="178">
        <f ca="1">SUMIFS(rec.uni[2030-08-01],
INDIRECT("rec.uni[natureza]"),"repasse.cef.terreno",
INDIRECT("rec.uni[empresa]"),E$6)</f>
        <v>0</v>
      </c>
      <c r="F118" s="182"/>
      <c r="G118" s="178">
        <f ca="1">SUMIFS(rec.uni[2030-08-01],
INDIRECT("rec.uni[natureza]"),"taxa.extra",
INDIRECT("rec.uni[empresa]"),G$6)</f>
        <v>0</v>
      </c>
      <c r="H118" s="166"/>
      <c r="I118" s="166" cm="1">
        <f t="array" ref="I118">SUMPRODUCT(
  IFERROR(--desp[valor],0)*
  (desp[nucleo]="UP JARDIM PRUDENCIA")*
  (desp[categoria]=I$7)*
  (desp[data.pagamento]&gt;=$A118)*
  (desp[data.pagamento]&lt;EOMONTH($A118,0)+1)
)</f>
        <v>0</v>
      </c>
      <c r="J118" s="166" cm="1">
        <f t="array" ref="J118">SUMPRODUCT(
  IFERROR(--desp[valor],0)*
  (desp[nucleo]="UP JARDIM PRUDENCIA")*
  (desp[categoria]=J$7)*
  (desp[data.pagamento]&gt;=$A118)*
  (desp[data.pagamento]&lt;EOMONTH($A118,0)+1)
)</f>
        <v>0</v>
      </c>
      <c r="K118" s="166" cm="1">
        <f t="array" ref="K118">SUMPRODUCT(
  IFERROR(--desp[valor],0)*
  (desp[nucleo]="UP JARDIM PRUDENCIA")*
  (desp[categoria]=K$7)*
  (desp[data.pagamento]&gt;=$A118)*
  (desp[data.pagamento]&lt;EOMONTH($A118,0)+1)
)</f>
        <v>0</v>
      </c>
      <c r="L118" s="166" cm="1">
        <f t="array" ref="L118">SUMPRODUCT(
  IFERROR(--desp[valor],0)*
  (desp[nucleo]="UP JARDIM PRUDENCIA")*
  (desp[categoria]=L$7)*
  (desp[data.pagamento]&gt;=$A118)*
  (desp[data.pagamento]&lt;EOMONTH($A118,0)+1)
)</f>
        <v>0</v>
      </c>
      <c r="M118" s="166" cm="1">
        <f t="array" ref="M118">SUMPRODUCT(
  IFERROR(--desp[valor],0)*
  (desp[nucleo]="UP JARDIM PRUDENCIA")*
  (desp[categoria]=M$7)*
  (desp[data.pagamento]&gt;=$A118)*
  (desp[data.pagamento]&lt;EOMONTH($A118,0)+1)
)</f>
        <v>0</v>
      </c>
      <c r="N118" s="177">
        <f>COUNTIFS(
    estq[empresa], N$6,
    estq[Data da venda / reserva], "&gt;=" &amp; $A118,
    estq[Data da venda / reserva], "&lt;"  &amp; EOMONTH($A118,0) + 1
)</f>
        <v>0</v>
      </c>
      <c r="O118" s="178">
        <f ca="1">SUMIFS(rec.uni[2030-08-01],
INDIRECT("rec.uni[natureza]"),"pro.soluto",
INDIRECT("rec.uni[empresa]"),O$6)</f>
        <v>0</v>
      </c>
      <c r="P118" s="178">
        <f ca="1">SUMIFS(rec.uni[2030-08-01],
INDIRECT("rec.uni[natureza]"),"repasse.cef.obra",
INDIRECT("rec.uni[empresa]"),P$6)</f>
        <v>0</v>
      </c>
      <c r="Q118" s="178">
        <f ca="1">SUMIFS(rec.uni[2030-08-01],
INDIRECT("rec.uni[natureza]"),"repasse.cef.terreno",
INDIRECT("rec.uni[empresa]"),Q$6)</f>
        <v>0</v>
      </c>
      <c r="R118" s="182"/>
      <c r="S118" s="178">
        <f ca="1">SUMIFS(rec.uni[2030-08-01],
INDIRECT("rec.uni[natureza]"),"taxa.extra",
INDIRECT("rec.uni[empresa]"),S$6)</f>
        <v>0</v>
      </c>
      <c r="T118" s="166"/>
      <c r="U118" s="166" cm="1">
        <f t="array" ref="U118">SUMPRODUCT(
  IFERROR(--desp[valor],0)*
  (desp[nucleo]="UP VILA SONIA")*
  (desp[categoria]=U$7)*
  (desp[data.pagamento]&gt;=$A118)*
  (desp[data.pagamento]&lt;EOMONTH($A118,0)+1)
)</f>
        <v>0</v>
      </c>
      <c r="V118" s="166" cm="1">
        <f t="array" ref="V118">SUMPRODUCT(
  IFERROR(--desp[valor],0)*
  (desp[nucleo]="UP VILA SONIA")*
  (desp[categoria]=V$7)*
  (desp[data.pagamento]&gt;=$A118)*
  (desp[data.pagamento]&lt;EOMONTH($A118,0)+1)
)</f>
        <v>0</v>
      </c>
      <c r="W118" s="166" cm="1">
        <f t="array" ref="W118">SUMPRODUCT(
  IFERROR(--desp[valor],0)*
  (desp[nucleo]="UP VILA SONIA")*
  (desp[categoria]=W$7)*
  (desp[data.pagamento]&gt;=$A118)*
  (desp[data.pagamento]&lt;EOMONTH($A118,0)+1)
)</f>
        <v>0</v>
      </c>
      <c r="X118" s="166" cm="1">
        <f t="array" ref="X118">SUMPRODUCT(
  IFERROR(--desp[valor],0)*
  (desp[nucleo]="UP VILA SONIA")*
  (desp[categoria]=X$7)*
  (desp[data.pagamento]&gt;=$A118)*
  (desp[data.pagamento]&lt;EOMONTH($A118,0)+1)
)</f>
        <v>0</v>
      </c>
      <c r="Y118" s="166" cm="1">
        <f t="array" ref="Y118">SUMPRODUCT(
  IFERROR(--desp[valor],0)*
  (desp[nucleo]="UP VILA SONIA")*
  (desp[categoria]=Y$7)*
  (desp[data.pagamento]&gt;=$A118)*
  (desp[data.pagamento]&lt;EOMONTH($A118,0)+1)
)</f>
        <v>0</v>
      </c>
      <c r="Z118" s="177">
        <f>COUNTIFS(
    estq[empresa], Z$6,
    estq[Data da venda / reserva], "&gt;=" &amp; $A118,
    estq[Data da venda / reserva], "&lt;"  &amp; EOMONTH($A118,0) + 1
)</f>
        <v>0</v>
      </c>
      <c r="AA118" s="178">
        <f ca="1">SUMIFS(rec.uni[2030-08-01],
INDIRECT("rec.uni[natureza]"),"pro.soluto",
INDIRECT("rec.uni[empresa]"),AA$6)</f>
        <v>0</v>
      </c>
      <c r="AB118" s="182">
        <f ca="1">SUMIFS(rec.uni[2030-08-01],
INDIRECT("rec.uni[natureza]"),"parcela.fin.total.ik",
INDIRECT("rec.uni[empresa]"),AB$6)</f>
        <v>0</v>
      </c>
      <c r="AC118" s="178">
        <f ca="1">SUMIFS(rec.uni[2030-08-01],
INDIRECT("rec.uni[natureza]"),"taxa.extra",
INDIRECT("rec.uni[empresa]"),AC$6)</f>
        <v>0</v>
      </c>
      <c r="AD118" s="166"/>
      <c r="AE118" s="166" cm="1">
        <f t="array" ref="AE118">SUMPRODUCT(
  IFERROR(--desp[valor],0)*
  (desp[nucleo]="UP CAMPO BELO")*
  (desp[categoria]=AE$7)*
  (desp[data.pagamento]&gt;=$A118)*
  (desp[data.pagamento]&lt;EOMONTH($A118,0)+1)
)</f>
        <v>0</v>
      </c>
      <c r="AF118" s="166" cm="1">
        <f t="array" ref="AF118">SUMPRODUCT(
  IFERROR(--desp[valor],0)*
  (desp[nucleo]="UP CAMPO BELO")*
  (desp[categoria]=AF$7)*
  (desp[data.pagamento]&gt;=$A118)*
  (desp[data.pagamento]&lt;EOMONTH($A118,0)+1)
)</f>
        <v>0</v>
      </c>
      <c r="AG118" s="166" cm="1">
        <f t="array" ref="AG118">SUMPRODUCT(
  IFERROR(--desp[valor],0)*
  (desp[nucleo]="UP CAMPO BELO")*
  (desp[categoria]=AG$7)*
  (desp[data.pagamento]&gt;=$A118)*
  (desp[data.pagamento]&lt;EOMONTH($A118,0)+1)
)</f>
        <v>0</v>
      </c>
      <c r="AH118" s="166" cm="1">
        <f t="array" ref="AH118">SUMPRODUCT(
  IFERROR(--desp[valor],0)*
  (desp[nucleo]="UP CAMPO BELO")*
  (desp[categoria]=AH$7)*
  (desp[data.pagamento]&gt;=$A118)*
  (desp[data.pagamento]&lt;EOMONTH($A118,0)+1)
)</f>
        <v>0</v>
      </c>
      <c r="AI118" s="166" cm="1">
        <f t="array" ref="AI118">SUMPRODUCT(
  IFERROR(--desp[valor],0)*
  (desp[nucleo]="UP CAMPO BELO")*
  (desp[categoria]=AI$7)*
  (desp[data.pagamento]&gt;=$A118)*
  (desp[data.pagamento]&lt;EOMONTH($A118,0)+1)
)</f>
        <v>0</v>
      </c>
      <c r="AJ118" s="177">
        <f>COUNTIFS(
    estq[empresa], AJ$6,
    estq[Data da venda / reserva], "&gt;=" &amp; $A118,
    estq[Data da venda / reserva], "&lt;"  &amp; EOMONTH($A118,0) + 1
)</f>
        <v>0</v>
      </c>
      <c r="AK118" s="178">
        <f ca="1">SUMIFS(rec.uni[2030-08-01],
INDIRECT("rec.uni[natureza]"),"pro.soluto",
INDIRECT("rec.uni[empresa]"),AK$6)</f>
        <v>0</v>
      </c>
      <c r="AL118" s="178">
        <f ca="1">SUMIFS(rec.uni[2030-08-01],
INDIRECT("rec.uni[natureza]"),"repasse.cef.obra",
INDIRECT("rec.uni[empresa]"),AL$6)</f>
        <v>0</v>
      </c>
      <c r="AM118" s="181">
        <f ca="1">SUMIFS(rec.uni[2030-08-01],
INDIRECT("rec.uni[natureza]"),"repasse.cef.terreno",
INDIRECT("rec.uni[empresa]"),AM$6)</f>
        <v>0</v>
      </c>
      <c r="AN118" s="182"/>
      <c r="AO118" s="178">
        <f ca="1">SUMIFS(rec.uni[2030-08-01],
INDIRECT("rec.uni[natureza]"),"taxa.extra",
INDIRECT("rec.uni[empresa]"),AO$6)</f>
        <v>0</v>
      </c>
      <c r="AP118" s="166"/>
      <c r="AQ118" s="166" cm="1">
        <f t="array" ref="AQ118">SUMPRODUCT(
  IFERROR(--desp[valor],0)*
  (desp[nucleo]="UP SELECT VILA SONIA")*
  (desp[categoria]=AQ$7)*
  (desp[data.pagamento]&gt;=$A118)*
  (desp[data.pagamento]&lt;EOMONTH($A118,0)+1)
)</f>
        <v>0</v>
      </c>
      <c r="AR118" s="166" cm="1">
        <f t="array" ref="AR118">SUMPRODUCT(
  IFERROR(--desp[valor],0)*
  (desp[nucleo]="UP SELECT VILA SONIA")*
  (desp[categoria]=AR$7)*
  (desp[data.pagamento]&gt;=$A118)*
  (desp[data.pagamento]&lt;EOMONTH($A118,0)+1)
)</f>
        <v>0</v>
      </c>
      <c r="AS118" s="166" cm="1">
        <f t="array" ref="AS118">SUMPRODUCT(
  IFERROR(--desp[valor],0)*
  (desp[nucleo]="UP SELECT VILA SONIA")*
  (desp[categoria]=AS$7)*
  (desp[data.pagamento]&gt;=$A118)*
  (desp[data.pagamento]&lt;EOMONTH($A118,0)+1)
)</f>
        <v>0</v>
      </c>
      <c r="AT118" s="166" cm="1">
        <f t="array" ref="AT118">SUMPRODUCT(
  IFERROR(--desp[valor],0)*
  (desp[nucleo]="UP SELECT VILA SONIA")*
  (desp[categoria]=AT$7)*
  (desp[data.pagamento]&gt;=$A118)*
  (desp[data.pagamento]&lt;EOMONTH($A118,0)+1)
)</f>
        <v>0</v>
      </c>
      <c r="AU118" s="166" cm="1">
        <f t="array" ref="AU118">SUMPRODUCT(
  IFERROR(--desp[valor],0)*
  (desp[nucleo]="UP SELECT VILA SONIA")*
  (desp[categoria]=AU$7)*
  (desp[data.pagamento]&gt;=$A118)*
  (desp[data.pagamento]&lt;EOMONTH($A118,0)+1)
)</f>
        <v>0</v>
      </c>
      <c r="AV118" s="177">
        <f>COUNTIFS(
    estq[empresa], AV$6,
    estq[Data da venda / reserva], "&gt;=" &amp; $A118,
    estq[Data da venda / reserva], "&lt;"  &amp; EOMONTH($A118,0) + 1
)</f>
        <v>0</v>
      </c>
      <c r="AW118" s="178">
        <f ca="1">SUMIFS(rec.uni[2030-08-01],
INDIRECT("rec.uni[natureza]"),"pro.soluto",
INDIRECT("rec.uni[empresa]"),AW$6)</f>
        <v>0</v>
      </c>
      <c r="AX118" s="178">
        <f ca="1">SUMIFS(rec.uni[2030-08-01],
INDIRECT("rec.uni[natureza]"),"repasse.cef.obra",
INDIRECT("rec.uni[empresa]"),AX$6)</f>
        <v>0</v>
      </c>
      <c r="AY118" s="181">
        <f ca="1">SUMIFS(rec.uni[2030-08-01],
INDIRECT("rec.uni[natureza]"),"repasse.cef.terreno",
INDIRECT("rec.uni[empresa]"),AY$6)</f>
        <v>0</v>
      </c>
      <c r="AZ118" s="182"/>
      <c r="BA118" s="178">
        <f ca="1">SUMIFS(rec.uni[2030-08-01],
INDIRECT("rec.uni[natureza]"),"taxa.extra",
INDIRECT("rec.uni[empresa]"),BA$6)</f>
        <v>0</v>
      </c>
      <c r="BB118" s="166"/>
      <c r="BC118" s="166" cm="1">
        <f t="array" ref="BC118">SUMPRODUCT(
  IFERROR(--desp[valor],0)*
  (desp[nucleo]="UP ESTAÇÃO SÃO LUCAS")*
  (desp[categoria]=BC$7)*
  (desp[data.pagamento]&gt;=$A118)*
  (desp[data.pagamento]&lt;EOMONTH($A118,0)+1)
)</f>
        <v>0</v>
      </c>
      <c r="BD118" s="166" cm="1">
        <f t="array" ref="BD118">SUMPRODUCT(
  IFERROR(--desp[valor],0)*
  (desp[nucleo]="UP ESTAÇÃO SÃO LUCAS")*
  (desp[categoria]=BD$7)*
  (desp[data.pagamento]&gt;=$A118)*
  (desp[data.pagamento]&lt;EOMONTH($A118,0)+1)
)</f>
        <v>0</v>
      </c>
      <c r="BE118" s="166" cm="1">
        <f t="array" ref="BE118">SUMPRODUCT(
  IFERROR(--desp[valor],0)*
  (desp[nucleo]="UP ESTAÇÃO SÃO LUCAS")*
  (desp[categoria]=BE$7)*
  (desp[data.pagamento]&gt;=$A118)*
  (desp[data.pagamento]&lt;EOMONTH($A118,0)+1)
)</f>
        <v>0</v>
      </c>
      <c r="BF118" s="166" cm="1">
        <f t="array" ref="BF118">SUMPRODUCT(
  IFERROR(--desp[valor],0)*
  (desp[nucleo]="UP ESTAÇÃO SÃO LUCAS")*
  (desp[categoria]=BF$7)*
  (desp[data.pagamento]&gt;=$A118)*
  (desp[data.pagamento]&lt;EOMONTH($A118,0)+1)
)</f>
        <v>0</v>
      </c>
      <c r="BG118" s="166" cm="1">
        <f t="array" ref="BG118">SUMPRODUCT(
  IFERROR(--desp[valor],0)*
  (desp[nucleo]="UP ESTAÇÃO SÃO LUCAS")*
  (desp[categoria]=BG$7)*
  (desp[data.pagamento]&gt;=$A118)*
  (desp[data.pagamento]&lt;EOMONTH($A118,0)+1)
)</f>
        <v>0</v>
      </c>
      <c r="BH118" s="177">
        <f>COUNTIFS(
    estq[empresa], BH$6,
    estq[Data da venda / reserva], "&gt;=" &amp; $A118,
    estq[Data da venda / reserva], "&lt;"  &amp; EOMONTH($A118,0) + 1
)</f>
        <v>0</v>
      </c>
      <c r="BI118" s="178">
        <f ca="1">SUMIFS(rec.uni[2030-08-01],
INDIRECT("rec.uni[natureza]"),"pro.soluto",
INDIRECT("rec.uni[empresa]"),BI$6)</f>
        <v>0</v>
      </c>
      <c r="BJ118" s="182">
        <f ca="1">SUMIFS(rec.uni[2030-08-01],
INDIRECT("rec.uni[natureza]"),"parcela.fin.total.ik",
INDIRECT("rec.uni[empresa]"),BJ$6)</f>
        <v>0</v>
      </c>
      <c r="BK118" s="178">
        <f ca="1">SUMIFS(rec.uni[2030-08-01],
INDIRECT("rec.uni[natureza]"),"taxa.extra",
INDIRECT("rec.uni[empresa]"),BK$6)</f>
        <v>0</v>
      </c>
      <c r="BL118" s="166"/>
      <c r="BM118" s="166" cm="1">
        <f t="array" ref="BM118">SUMPRODUCT(
  IFERROR(--desp[valor],0)*
  (desp[nucleo]="UP POMPEIA")*
  (desp[categoria]=BM$7)*
  (desp[data.pagamento]&gt;=$A118)*
  (desp[data.pagamento]&lt;EOMONTH($A118,0)+1)
)</f>
        <v>0</v>
      </c>
      <c r="BN118" s="166" cm="1">
        <f t="array" ref="BN118">SUMPRODUCT(
  IFERROR(--desp[valor],0)*
  (desp[nucleo]="UP POMPEIA")*
  (desp[categoria]=BN$7)*
  (desp[data.pagamento]&gt;=$A118)*
  (desp[data.pagamento]&lt;EOMONTH($A118,0)+1)
)</f>
        <v>0</v>
      </c>
      <c r="BO118" s="166" cm="1">
        <f t="array" ref="BO118">SUMPRODUCT(
  IFERROR(--desp[valor],0)*
  (desp[nucleo]="UP POMPEIA")*
  (desp[categoria]=BO$7)*
  (desp[data.pagamento]&gt;=$A118)*
  (desp[data.pagamento]&lt;EOMONTH($A118,0)+1)
)</f>
        <v>0</v>
      </c>
      <c r="BP118" s="166" cm="1">
        <f t="array" ref="BP118">SUMPRODUCT(
  IFERROR(--desp[valor],0)*
  (desp[nucleo]="UP POMPEIA")*
  (desp[categoria]=BP$7)*
  (desp[data.pagamento]&gt;=$A118)*
  (desp[data.pagamento]&lt;EOMONTH($A118,0)+1)
)</f>
        <v>0</v>
      </c>
      <c r="BQ118" s="166" cm="1">
        <f t="array" ref="BQ118">SUMPRODUCT(
  IFERROR(--desp[valor],0)*
  (desp[nucleo]="UP POMPEIA")*
  (desp[categoria]=BQ$7)*
  (desp[data.pagamento]&gt;=$A118)*
  (desp[data.pagamento]&lt;EOMONTH($A118,0)+1)
)</f>
        <v>0</v>
      </c>
      <c r="BR118" s="177">
        <f>COUNTIFS(
    estq[empresa], BR$6,
    estq[Data da venda / reserva], "&gt;=" &amp; $A118,
    estq[Data da venda / reserva], "&lt;"  &amp; EOMONTH($A118,0) + 1
)</f>
        <v>0</v>
      </c>
      <c r="BS118" s="178">
        <f ca="1">SUMIFS(rec.uni[2030-08-01],
INDIRECT("rec.uni[natureza]"),"pro.soluto",
INDIRECT("rec.uni[empresa]"),BS$6)</f>
        <v>0</v>
      </c>
      <c r="BT118" s="182">
        <f ca="1">SUMIFS(rec.uni[2030-08-01],
INDIRECT("rec.uni[natureza]"),"parcela.fin.total.ik",
INDIRECT("rec.uni[empresa]"),BT$6)</f>
        <v>0</v>
      </c>
      <c r="BU118" s="178">
        <f ca="1">SUMIFS(rec.uni[2030-08-01],
INDIRECT("rec.uni[natureza]"),"taxa.extra",
INDIRECT("rec.uni[empresa]"),BU$6)</f>
        <v>0</v>
      </c>
      <c r="BV118" s="166"/>
      <c r="BW118" s="166" cm="1">
        <f t="array" ref="BW118">SUMPRODUCT(
  IFERROR(--desp[valor],0)*
  (desp[nucleo]="UP SAUDE")*
  (desp[categoria]=BW$7)*
  (desp[data.pagamento]&gt;=$A118)*
  (desp[data.pagamento]&lt;EOMONTH($A118,0)+1)
)</f>
        <v>0</v>
      </c>
      <c r="BX118" s="166" cm="1">
        <f t="array" ref="BX118">SUMPRODUCT(
  IFERROR(--desp[valor],0)*
  (desp[nucleo]="UP SAUDE")*
  (desp[categoria]=BX$7)*
  (desp[data.pagamento]&gt;=$A118)*
  (desp[data.pagamento]&lt;EOMONTH($A118,0)+1)
)</f>
        <v>0</v>
      </c>
      <c r="BY118" s="166" cm="1">
        <f t="array" ref="BY118">SUMPRODUCT(
  IFERROR(--desp[valor],0)*
  (desp[nucleo]="UP SAUDE")*
  (desp[categoria]=BY$7)*
  (desp[data.pagamento]&gt;=$A118)*
  (desp[data.pagamento]&lt;EOMONTH($A118,0)+1)
)</f>
        <v>0</v>
      </c>
      <c r="BZ118" s="166" cm="1">
        <f t="array" ref="BZ118">SUMPRODUCT(
  IFERROR(--desp[valor],0)*
  (desp[nucleo]="UP SAUDE")*
  (desp[categoria]=BZ$7)*
  (desp[data.pagamento]&gt;=$A118)*
  (desp[data.pagamento]&lt;EOMONTH($A118,0)+1)
)</f>
        <v>0</v>
      </c>
      <c r="CA118" s="166" cm="1">
        <f t="array" ref="CA118">SUMPRODUCT(
  IFERROR(--desp[valor],0)*
  (desp[nucleo]="UP SAUDE")*
  (desp[categoria]=CA$7)*
  (desp[data.pagamento]&gt;=$A118)*
  (desp[data.pagamento]&lt;EOMONTH($A118,0)+1)
)</f>
        <v>0</v>
      </c>
      <c r="CB118" s="177">
        <f>COUNTIFS(
    estq[empresa], CB$6,
    estq[Data da venda / reserva], "&gt;=" &amp; $A118,
    estq[Data da venda / reserva], "&lt;"  &amp; EOMONTH($A118,0) + 1
)</f>
        <v>0</v>
      </c>
      <c r="CC118" s="178">
        <f ca="1">SUMIFS(rec.uni[2030-08-01],
INDIRECT("rec.uni[natureza]"),"pro.soluto",
INDIRECT("rec.uni[empresa]"),CC$6)</f>
        <v>0</v>
      </c>
      <c r="CD118" s="178">
        <f ca="1">SUMIFS(rec.uni[2030-08-01],
INDIRECT("rec.uni[natureza]"),"repasse.cef.obra",
INDIRECT("rec.uni[empresa]"),CD$6)</f>
        <v>0</v>
      </c>
      <c r="CE118" s="181">
        <f ca="1">SUMIFS(rec.uni[2030-08-01],
INDIRECT("rec.uni[natureza]"),"repasse.cef.terreno",
INDIRECT("rec.uni[empresa]"),CE$6)</f>
        <v>0</v>
      </c>
      <c r="CF118" s="182"/>
      <c r="CG118" s="178">
        <f ca="1">SUMIFS(rec.uni[2030-08-01],
INDIRECT("rec.uni[natureza]"),"taxa.extra",
INDIRECT("rec.uni[empresa]"),CG$6)</f>
        <v>0</v>
      </c>
      <c r="CH118" s="166"/>
      <c r="CI118" s="166" cm="1">
        <f t="array" ref="CI118">SUMPRODUCT(
  IFERROR(--desp[valor],0)*
  (desp[nucleo]="UP ESTAÇÃO VILA SONIA")*
  (desp[categoria]=CI$7)*
  (desp[data.pagamento]&gt;=$A118)*
  (desp[data.pagamento]&lt;EOMONTH($A118,0)+1)
)</f>
        <v>0</v>
      </c>
      <c r="CJ118" s="166" cm="1">
        <f t="array" ref="CJ118">SUMPRODUCT(
  IFERROR(--desp[valor],0)*
  (desp[nucleo]="UP ESTAÇÃO VILA SONIA")*
  (desp[categoria]=CJ$7)*
  (desp[data.pagamento]&gt;=$A118)*
  (desp[data.pagamento]&lt;EOMONTH($A118,0)+1)
)</f>
        <v>0</v>
      </c>
      <c r="CK118" s="166" cm="1">
        <f t="array" ref="CK118">SUMPRODUCT(
  IFERROR(--desp[valor],0)*
  (desp[nucleo]="UP ESTAÇÃO VILA SONIA")*
  (desp[categoria]=CK$7)*
  (desp[data.pagamento]&gt;=$A118)*
  (desp[data.pagamento]&lt;EOMONTH($A118,0)+1)
)</f>
        <v>0</v>
      </c>
      <c r="CL118" s="166" cm="1">
        <f t="array" ref="CL118">SUMPRODUCT(
  IFERROR(--desp[valor],0)*
  (desp[nucleo]="UP ESTAÇÃO VILA SONIA")*
  (desp[categoria]=CL$7)*
  (desp[data.pagamento]&gt;=$A118)*
  (desp[data.pagamento]&lt;EOMONTH($A118,0)+1)
)</f>
        <v>0</v>
      </c>
      <c r="CM118" s="166" cm="1">
        <f t="array" ref="CM118">SUMPRODUCT(
  IFERROR(--desp[valor],0)*
  (desp[nucleo]="UP ESTAÇÃO VILA SONIA")*
  (desp[categoria]=CM$7)*
  (desp[data.pagamento]&gt;=$A118)*
  (desp[data.pagamento]&lt;EOMONTH($A118,0)+1)
)</f>
        <v>0</v>
      </c>
      <c r="CN118" s="177">
        <f>COUNTIFS(
    estq[empresa], CN$6,
    estq[Data da venda / reserva], "&gt;=" &amp; $A118,
    estq[Data da venda / reserva], "&lt;"  &amp; EOMONTH($A118,0) + 1
)</f>
        <v>0</v>
      </c>
      <c r="CO118" s="178">
        <f ca="1">SUMIFS(rec.uni[2030-08-01],
INDIRECT("rec.uni[natureza]"),"pro.soluto",
INDIRECT("rec.uni[empresa]"),CO$6)</f>
        <v>0</v>
      </c>
      <c r="CP118" s="178">
        <f ca="1">SUMIFS(rec.uni[2030-08-01],
INDIRECT("rec.uni[natureza]"),"repasse.cef.obra",
INDIRECT("rec.uni[empresa]"),CP$6)</f>
        <v>0</v>
      </c>
      <c r="CQ118" s="181">
        <f ca="1">SUMIFS(rec.uni[2030-08-01],
INDIRECT("rec.uni[natureza]"),"repasse.cef.terreno",
INDIRECT("rec.uni[empresa]"),CQ$6)</f>
        <v>0</v>
      </c>
      <c r="CR118" s="182"/>
      <c r="CS118" s="178">
        <f ca="1">SUMIFS(rec.uni[2030-08-01],
INDIRECT("rec.uni[natureza]"),"taxa.extra",
INDIRECT("rec.uni[empresa]"),CS$6)</f>
        <v>0</v>
      </c>
      <c r="CT118" s="166"/>
      <c r="CU118" s="166" cm="1">
        <f t="array" ref="CU118">SUMPRODUCT(
  IFERROR(--desp[valor],0)*
  (desp[nucleo]="UP MOVE VILA SONIA")*
  (desp[categoria]=CU$7)*
  (desp[data.pagamento]&gt;=$A118)*
  (desp[data.pagamento]&lt;EOMONTH($A118,0)+1)
)</f>
        <v>0</v>
      </c>
      <c r="CV118" s="166" cm="1">
        <f t="array" ref="CV118">SUMPRODUCT(
  IFERROR(--desp[valor],0)*
  (desp[nucleo]="UP MOVE VILA SONIA")*
  (desp[categoria]=CV$7)*
  (desp[data.pagamento]&gt;=$A118)*
  (desp[data.pagamento]&lt;EOMONTH($A118,0)+1)
)</f>
        <v>0</v>
      </c>
      <c r="CW118" s="166" cm="1">
        <f t="array" ref="CW118">SUMPRODUCT(
  IFERROR(--desp[valor],0)*
  (desp[nucleo]="UP MOVE VILA SONIA")*
  (desp[categoria]=CW$7)*
  (desp[data.pagamento]&gt;=$A118)*
  (desp[data.pagamento]&lt;EOMONTH($A118,0)+1)
)</f>
        <v>0</v>
      </c>
      <c r="CX118" s="166" cm="1">
        <f t="array" ref="CX118">SUMPRODUCT(
  IFERROR(--desp[valor],0)*
  (desp[nucleo]="UP MOVE VILA SONIA")*
  (desp[categoria]=CX$7)*
  (desp[data.pagamento]&gt;=$A118)*
  (desp[data.pagamento]&lt;EOMONTH($A118,0)+1)
)</f>
        <v>0</v>
      </c>
      <c r="CY118" s="291" cm="1">
        <f t="array" ref="CY118">SUMPRODUCT(
  IFERROR(--desp[valor],0)*
  (desp[nucleo]="UP MOVE VILA SONIA")*
  (desp[categoria]=CY$7)*
  (desp[data.pagamento]&gt;=$A118)*
  (desp[data.pagamento]&lt;EOMONTH($A118,0)+1)
)</f>
        <v>0</v>
      </c>
    </row>
    <row r="119" spans="1:103" x14ac:dyDescent="0.25">
      <c r="A119" s="176">
        <v>47727</v>
      </c>
      <c r="B119" s="177">
        <f>COUNTIFS(
    estq[empresa], B$6,
    estq[Data da venda / reserva], "&gt;=" &amp; $A119,
    estq[Data da venda / reserva], "&lt;"  &amp; EOMONTH($A119,0) + 1
)</f>
        <v>0</v>
      </c>
      <c r="C119" s="178">
        <f ca="1">SUMIFS(rec.uni[2030-09-01],
INDIRECT("rec.uni[natureza]"),"pro.soluto",
INDIRECT("rec.uni[empresa]"),C$6)</f>
        <v>0</v>
      </c>
      <c r="D119" s="178">
        <f ca="1">SUMIFS(rec.uni[2030-09-01],
INDIRECT("rec.uni[natureza]"),"repasse.cef.obra",
INDIRECT("rec.uni[empresa]"),D$6)</f>
        <v>0</v>
      </c>
      <c r="E119" s="178">
        <f ca="1">SUMIFS(rec.uni[2030-09-01],
INDIRECT("rec.uni[natureza]"),"repasse.cef.terreno",
INDIRECT("rec.uni[empresa]"),E$6)</f>
        <v>0</v>
      </c>
      <c r="F119" s="182"/>
      <c r="G119" s="178">
        <f ca="1">SUMIFS(rec.uni[2030-09-01],
INDIRECT("rec.uni[natureza]"),"taxa.extra",
INDIRECT("rec.uni[empresa]"),G$6)</f>
        <v>0</v>
      </c>
      <c r="H119" s="166"/>
      <c r="I119" s="166" cm="1">
        <f t="array" ref="I119">SUMPRODUCT(
  IFERROR(--desp[valor],0)*
  (desp[nucleo]="UP JARDIM PRUDENCIA")*
  (desp[categoria]=I$7)*
  (desp[data.pagamento]&gt;=$A119)*
  (desp[data.pagamento]&lt;EOMONTH($A119,0)+1)
)</f>
        <v>0</v>
      </c>
      <c r="J119" s="166" cm="1">
        <f t="array" ref="J119">SUMPRODUCT(
  IFERROR(--desp[valor],0)*
  (desp[nucleo]="UP JARDIM PRUDENCIA")*
  (desp[categoria]=J$7)*
  (desp[data.pagamento]&gt;=$A119)*
  (desp[data.pagamento]&lt;EOMONTH($A119,0)+1)
)</f>
        <v>0</v>
      </c>
      <c r="K119" s="166" cm="1">
        <f t="array" ref="K119">SUMPRODUCT(
  IFERROR(--desp[valor],0)*
  (desp[nucleo]="UP JARDIM PRUDENCIA")*
  (desp[categoria]=K$7)*
  (desp[data.pagamento]&gt;=$A119)*
  (desp[data.pagamento]&lt;EOMONTH($A119,0)+1)
)</f>
        <v>0</v>
      </c>
      <c r="L119" s="166" cm="1">
        <f t="array" ref="L119">SUMPRODUCT(
  IFERROR(--desp[valor],0)*
  (desp[nucleo]="UP JARDIM PRUDENCIA")*
  (desp[categoria]=L$7)*
  (desp[data.pagamento]&gt;=$A119)*
  (desp[data.pagamento]&lt;EOMONTH($A119,0)+1)
)</f>
        <v>0</v>
      </c>
      <c r="M119" s="166" cm="1">
        <f t="array" ref="M119">SUMPRODUCT(
  IFERROR(--desp[valor],0)*
  (desp[nucleo]="UP JARDIM PRUDENCIA")*
  (desp[categoria]=M$7)*
  (desp[data.pagamento]&gt;=$A119)*
  (desp[data.pagamento]&lt;EOMONTH($A119,0)+1)
)</f>
        <v>0</v>
      </c>
      <c r="N119" s="177">
        <f>COUNTIFS(
    estq[empresa], N$6,
    estq[Data da venda / reserva], "&gt;=" &amp; $A119,
    estq[Data da venda / reserva], "&lt;"  &amp; EOMONTH($A119,0) + 1
)</f>
        <v>0</v>
      </c>
      <c r="O119" s="178">
        <f ca="1">SUMIFS(rec.uni[2030-09-01],
INDIRECT("rec.uni[natureza]"),"pro.soluto",
INDIRECT("rec.uni[empresa]"),O$6)</f>
        <v>0</v>
      </c>
      <c r="P119" s="178">
        <f ca="1">SUMIFS(rec.uni[2030-09-01],
INDIRECT("rec.uni[natureza]"),"repasse.cef.obra",
INDIRECT("rec.uni[empresa]"),P$6)</f>
        <v>0</v>
      </c>
      <c r="Q119" s="178">
        <f ca="1">SUMIFS(rec.uni[2030-09-01],
INDIRECT("rec.uni[natureza]"),"repasse.cef.terreno",
INDIRECT("rec.uni[empresa]"),Q$6)</f>
        <v>0</v>
      </c>
      <c r="R119" s="182"/>
      <c r="S119" s="178">
        <f ca="1">SUMIFS(rec.uni[2030-09-01],
INDIRECT("rec.uni[natureza]"),"taxa.extra",
INDIRECT("rec.uni[empresa]"),S$6)</f>
        <v>0</v>
      </c>
      <c r="T119" s="166"/>
      <c r="U119" s="166" cm="1">
        <f t="array" ref="U119">SUMPRODUCT(
  IFERROR(--desp[valor],0)*
  (desp[nucleo]="UP VILA SONIA")*
  (desp[categoria]=U$7)*
  (desp[data.pagamento]&gt;=$A119)*
  (desp[data.pagamento]&lt;EOMONTH($A119,0)+1)
)</f>
        <v>0</v>
      </c>
      <c r="V119" s="166" cm="1">
        <f t="array" ref="V119">SUMPRODUCT(
  IFERROR(--desp[valor],0)*
  (desp[nucleo]="UP VILA SONIA")*
  (desp[categoria]=V$7)*
  (desp[data.pagamento]&gt;=$A119)*
  (desp[data.pagamento]&lt;EOMONTH($A119,0)+1)
)</f>
        <v>0</v>
      </c>
      <c r="W119" s="166" cm="1">
        <f t="array" ref="W119">SUMPRODUCT(
  IFERROR(--desp[valor],0)*
  (desp[nucleo]="UP VILA SONIA")*
  (desp[categoria]=W$7)*
  (desp[data.pagamento]&gt;=$A119)*
  (desp[data.pagamento]&lt;EOMONTH($A119,0)+1)
)</f>
        <v>0</v>
      </c>
      <c r="X119" s="166" cm="1">
        <f t="array" ref="X119">SUMPRODUCT(
  IFERROR(--desp[valor],0)*
  (desp[nucleo]="UP VILA SONIA")*
  (desp[categoria]=X$7)*
  (desp[data.pagamento]&gt;=$A119)*
  (desp[data.pagamento]&lt;EOMONTH($A119,0)+1)
)</f>
        <v>0</v>
      </c>
      <c r="Y119" s="166" cm="1">
        <f t="array" ref="Y119">SUMPRODUCT(
  IFERROR(--desp[valor],0)*
  (desp[nucleo]="UP VILA SONIA")*
  (desp[categoria]=Y$7)*
  (desp[data.pagamento]&gt;=$A119)*
  (desp[data.pagamento]&lt;EOMONTH($A119,0)+1)
)</f>
        <v>0</v>
      </c>
      <c r="Z119" s="177">
        <f>COUNTIFS(
    estq[empresa], Z$6,
    estq[Data da venda / reserva], "&gt;=" &amp; $A119,
    estq[Data da venda / reserva], "&lt;"  &amp; EOMONTH($A119,0) + 1
)</f>
        <v>0</v>
      </c>
      <c r="AA119" s="178">
        <f ca="1">SUMIFS(rec.uni[2030-09-01],
INDIRECT("rec.uni[natureza]"),"pro.soluto",
INDIRECT("rec.uni[empresa]"),AA$6)</f>
        <v>0</v>
      </c>
      <c r="AB119" s="182">
        <f ca="1">SUMIFS(rec.uni[2030-09-01],
INDIRECT("rec.uni[natureza]"),"parcela.fin.total.ik",
INDIRECT("rec.uni[empresa]"),AB$6)</f>
        <v>0</v>
      </c>
      <c r="AC119" s="178">
        <f ca="1">SUMIFS(rec.uni[2030-09-01],
INDIRECT("rec.uni[natureza]"),"taxa.extra",
INDIRECT("rec.uni[empresa]"),AC$6)</f>
        <v>0</v>
      </c>
      <c r="AD119" s="166"/>
      <c r="AE119" s="166" cm="1">
        <f t="array" ref="AE119">SUMPRODUCT(
  IFERROR(--desp[valor],0)*
  (desp[nucleo]="UP CAMPO BELO")*
  (desp[categoria]=AE$7)*
  (desp[data.pagamento]&gt;=$A119)*
  (desp[data.pagamento]&lt;EOMONTH($A119,0)+1)
)</f>
        <v>0</v>
      </c>
      <c r="AF119" s="166" cm="1">
        <f t="array" ref="AF119">SUMPRODUCT(
  IFERROR(--desp[valor],0)*
  (desp[nucleo]="UP CAMPO BELO")*
  (desp[categoria]=AF$7)*
  (desp[data.pagamento]&gt;=$A119)*
  (desp[data.pagamento]&lt;EOMONTH($A119,0)+1)
)</f>
        <v>0</v>
      </c>
      <c r="AG119" s="166" cm="1">
        <f t="array" ref="AG119">SUMPRODUCT(
  IFERROR(--desp[valor],0)*
  (desp[nucleo]="UP CAMPO BELO")*
  (desp[categoria]=AG$7)*
  (desp[data.pagamento]&gt;=$A119)*
  (desp[data.pagamento]&lt;EOMONTH($A119,0)+1)
)</f>
        <v>0</v>
      </c>
      <c r="AH119" s="166" cm="1">
        <f t="array" ref="AH119">SUMPRODUCT(
  IFERROR(--desp[valor],0)*
  (desp[nucleo]="UP CAMPO BELO")*
  (desp[categoria]=AH$7)*
  (desp[data.pagamento]&gt;=$A119)*
  (desp[data.pagamento]&lt;EOMONTH($A119,0)+1)
)</f>
        <v>0</v>
      </c>
      <c r="AI119" s="166" cm="1">
        <f t="array" ref="AI119">SUMPRODUCT(
  IFERROR(--desp[valor],0)*
  (desp[nucleo]="UP CAMPO BELO")*
  (desp[categoria]=AI$7)*
  (desp[data.pagamento]&gt;=$A119)*
  (desp[data.pagamento]&lt;EOMONTH($A119,0)+1)
)</f>
        <v>0</v>
      </c>
      <c r="AJ119" s="177">
        <f>COUNTIFS(
    estq[empresa], AJ$6,
    estq[Data da venda / reserva], "&gt;=" &amp; $A119,
    estq[Data da venda / reserva], "&lt;"  &amp; EOMONTH($A119,0) + 1
)</f>
        <v>0</v>
      </c>
      <c r="AK119" s="178">
        <f ca="1">SUMIFS(rec.uni[2030-09-01],
INDIRECT("rec.uni[natureza]"),"pro.soluto",
INDIRECT("rec.uni[empresa]"),AK$6)</f>
        <v>0</v>
      </c>
      <c r="AL119" s="178">
        <f ca="1">SUMIFS(rec.uni[2030-09-01],
INDIRECT("rec.uni[natureza]"),"repasse.cef.obra",
INDIRECT("rec.uni[empresa]"),AL$6)</f>
        <v>0</v>
      </c>
      <c r="AM119" s="181">
        <f ca="1">SUMIFS(rec.uni[2030-09-01],
INDIRECT("rec.uni[natureza]"),"repasse.cef.terreno",
INDIRECT("rec.uni[empresa]"),AM$6)</f>
        <v>0</v>
      </c>
      <c r="AN119" s="182"/>
      <c r="AO119" s="178">
        <f ca="1">SUMIFS(rec.uni[2030-09-01],
INDIRECT("rec.uni[natureza]"),"taxa.extra",
INDIRECT("rec.uni[empresa]"),AO$6)</f>
        <v>0</v>
      </c>
      <c r="AP119" s="166"/>
      <c r="AQ119" s="166" cm="1">
        <f t="array" ref="AQ119">SUMPRODUCT(
  IFERROR(--desp[valor],0)*
  (desp[nucleo]="UP SELECT VILA SONIA")*
  (desp[categoria]=AQ$7)*
  (desp[data.pagamento]&gt;=$A119)*
  (desp[data.pagamento]&lt;EOMONTH($A119,0)+1)
)</f>
        <v>0</v>
      </c>
      <c r="AR119" s="166" cm="1">
        <f t="array" ref="AR119">SUMPRODUCT(
  IFERROR(--desp[valor],0)*
  (desp[nucleo]="UP SELECT VILA SONIA")*
  (desp[categoria]=AR$7)*
  (desp[data.pagamento]&gt;=$A119)*
  (desp[data.pagamento]&lt;EOMONTH($A119,0)+1)
)</f>
        <v>0</v>
      </c>
      <c r="AS119" s="166" cm="1">
        <f t="array" ref="AS119">SUMPRODUCT(
  IFERROR(--desp[valor],0)*
  (desp[nucleo]="UP SELECT VILA SONIA")*
  (desp[categoria]=AS$7)*
  (desp[data.pagamento]&gt;=$A119)*
  (desp[data.pagamento]&lt;EOMONTH($A119,0)+1)
)</f>
        <v>0</v>
      </c>
      <c r="AT119" s="166" cm="1">
        <f t="array" ref="AT119">SUMPRODUCT(
  IFERROR(--desp[valor],0)*
  (desp[nucleo]="UP SELECT VILA SONIA")*
  (desp[categoria]=AT$7)*
  (desp[data.pagamento]&gt;=$A119)*
  (desp[data.pagamento]&lt;EOMONTH($A119,0)+1)
)</f>
        <v>0</v>
      </c>
      <c r="AU119" s="166" cm="1">
        <f t="array" ref="AU119">SUMPRODUCT(
  IFERROR(--desp[valor],0)*
  (desp[nucleo]="UP SELECT VILA SONIA")*
  (desp[categoria]=AU$7)*
  (desp[data.pagamento]&gt;=$A119)*
  (desp[data.pagamento]&lt;EOMONTH($A119,0)+1)
)</f>
        <v>0</v>
      </c>
      <c r="AV119" s="177">
        <f>COUNTIFS(
    estq[empresa], AV$6,
    estq[Data da venda / reserva], "&gt;=" &amp; $A119,
    estq[Data da venda / reserva], "&lt;"  &amp; EOMONTH($A119,0) + 1
)</f>
        <v>0</v>
      </c>
      <c r="AW119" s="178">
        <f ca="1">SUMIFS(rec.uni[2030-09-01],
INDIRECT("rec.uni[natureza]"),"pro.soluto",
INDIRECT("rec.uni[empresa]"),AW$6)</f>
        <v>0</v>
      </c>
      <c r="AX119" s="178">
        <f ca="1">SUMIFS(rec.uni[2030-09-01],
INDIRECT("rec.uni[natureza]"),"repasse.cef.obra",
INDIRECT("rec.uni[empresa]"),AX$6)</f>
        <v>0</v>
      </c>
      <c r="AY119" s="181">
        <f ca="1">SUMIFS(rec.uni[2030-09-01],
INDIRECT("rec.uni[natureza]"),"repasse.cef.terreno",
INDIRECT("rec.uni[empresa]"),AY$6)</f>
        <v>0</v>
      </c>
      <c r="AZ119" s="182"/>
      <c r="BA119" s="178">
        <f ca="1">SUMIFS(rec.uni[2030-09-01],
INDIRECT("rec.uni[natureza]"),"taxa.extra",
INDIRECT("rec.uni[empresa]"),BA$6)</f>
        <v>0</v>
      </c>
      <c r="BB119" s="166"/>
      <c r="BC119" s="166" cm="1">
        <f t="array" ref="BC119">SUMPRODUCT(
  IFERROR(--desp[valor],0)*
  (desp[nucleo]="UP ESTAÇÃO SÃO LUCAS")*
  (desp[categoria]=BC$7)*
  (desp[data.pagamento]&gt;=$A119)*
  (desp[data.pagamento]&lt;EOMONTH($A119,0)+1)
)</f>
        <v>0</v>
      </c>
      <c r="BD119" s="166" cm="1">
        <f t="array" ref="BD119">SUMPRODUCT(
  IFERROR(--desp[valor],0)*
  (desp[nucleo]="UP ESTAÇÃO SÃO LUCAS")*
  (desp[categoria]=BD$7)*
  (desp[data.pagamento]&gt;=$A119)*
  (desp[data.pagamento]&lt;EOMONTH($A119,0)+1)
)</f>
        <v>0</v>
      </c>
      <c r="BE119" s="166" cm="1">
        <f t="array" ref="BE119">SUMPRODUCT(
  IFERROR(--desp[valor],0)*
  (desp[nucleo]="UP ESTAÇÃO SÃO LUCAS")*
  (desp[categoria]=BE$7)*
  (desp[data.pagamento]&gt;=$A119)*
  (desp[data.pagamento]&lt;EOMONTH($A119,0)+1)
)</f>
        <v>0</v>
      </c>
      <c r="BF119" s="166" cm="1">
        <f t="array" ref="BF119">SUMPRODUCT(
  IFERROR(--desp[valor],0)*
  (desp[nucleo]="UP ESTAÇÃO SÃO LUCAS")*
  (desp[categoria]=BF$7)*
  (desp[data.pagamento]&gt;=$A119)*
  (desp[data.pagamento]&lt;EOMONTH($A119,0)+1)
)</f>
        <v>0</v>
      </c>
      <c r="BG119" s="166" cm="1">
        <f t="array" ref="BG119">SUMPRODUCT(
  IFERROR(--desp[valor],0)*
  (desp[nucleo]="UP ESTAÇÃO SÃO LUCAS")*
  (desp[categoria]=BG$7)*
  (desp[data.pagamento]&gt;=$A119)*
  (desp[data.pagamento]&lt;EOMONTH($A119,0)+1)
)</f>
        <v>0</v>
      </c>
      <c r="BH119" s="177">
        <f>COUNTIFS(
    estq[empresa], BH$6,
    estq[Data da venda / reserva], "&gt;=" &amp; $A119,
    estq[Data da venda / reserva], "&lt;"  &amp; EOMONTH($A119,0) + 1
)</f>
        <v>0</v>
      </c>
      <c r="BI119" s="178">
        <f ca="1">SUMIFS(rec.uni[2030-09-01],
INDIRECT("rec.uni[natureza]"),"pro.soluto",
INDIRECT("rec.uni[empresa]"),BI$6)</f>
        <v>0</v>
      </c>
      <c r="BJ119" s="182">
        <f ca="1">SUMIFS(rec.uni[2030-09-01],
INDIRECT("rec.uni[natureza]"),"parcela.fin.total.ik",
INDIRECT("rec.uni[empresa]"),BJ$6)</f>
        <v>0</v>
      </c>
      <c r="BK119" s="178">
        <f ca="1">SUMIFS(rec.uni[2030-09-01],
INDIRECT("rec.uni[natureza]"),"taxa.extra",
INDIRECT("rec.uni[empresa]"),BK$6)</f>
        <v>0</v>
      </c>
      <c r="BL119" s="166"/>
      <c r="BM119" s="166" cm="1">
        <f t="array" ref="BM119">SUMPRODUCT(
  IFERROR(--desp[valor],0)*
  (desp[nucleo]="UP POMPEIA")*
  (desp[categoria]=BM$7)*
  (desp[data.pagamento]&gt;=$A119)*
  (desp[data.pagamento]&lt;EOMONTH($A119,0)+1)
)</f>
        <v>0</v>
      </c>
      <c r="BN119" s="166" cm="1">
        <f t="array" ref="BN119">SUMPRODUCT(
  IFERROR(--desp[valor],0)*
  (desp[nucleo]="UP POMPEIA")*
  (desp[categoria]=BN$7)*
  (desp[data.pagamento]&gt;=$A119)*
  (desp[data.pagamento]&lt;EOMONTH($A119,0)+1)
)</f>
        <v>0</v>
      </c>
      <c r="BO119" s="166" cm="1">
        <f t="array" ref="BO119">SUMPRODUCT(
  IFERROR(--desp[valor],0)*
  (desp[nucleo]="UP POMPEIA")*
  (desp[categoria]=BO$7)*
  (desp[data.pagamento]&gt;=$A119)*
  (desp[data.pagamento]&lt;EOMONTH($A119,0)+1)
)</f>
        <v>0</v>
      </c>
      <c r="BP119" s="166" cm="1">
        <f t="array" ref="BP119">SUMPRODUCT(
  IFERROR(--desp[valor],0)*
  (desp[nucleo]="UP POMPEIA")*
  (desp[categoria]=BP$7)*
  (desp[data.pagamento]&gt;=$A119)*
  (desp[data.pagamento]&lt;EOMONTH($A119,0)+1)
)</f>
        <v>0</v>
      </c>
      <c r="BQ119" s="166" cm="1">
        <f t="array" ref="BQ119">SUMPRODUCT(
  IFERROR(--desp[valor],0)*
  (desp[nucleo]="UP POMPEIA")*
  (desp[categoria]=BQ$7)*
  (desp[data.pagamento]&gt;=$A119)*
  (desp[data.pagamento]&lt;EOMONTH($A119,0)+1)
)</f>
        <v>0</v>
      </c>
      <c r="BR119" s="177">
        <f>COUNTIFS(
    estq[empresa], BR$6,
    estq[Data da venda / reserva], "&gt;=" &amp; $A119,
    estq[Data da venda / reserva], "&lt;"  &amp; EOMONTH($A119,0) + 1
)</f>
        <v>0</v>
      </c>
      <c r="BS119" s="178">
        <f ca="1">SUMIFS(rec.uni[2030-09-01],
INDIRECT("rec.uni[natureza]"),"pro.soluto",
INDIRECT("rec.uni[empresa]"),BS$6)</f>
        <v>0</v>
      </c>
      <c r="BT119" s="182">
        <f ca="1">SUMIFS(rec.uni[2030-09-01],
INDIRECT("rec.uni[natureza]"),"parcela.fin.total.ik",
INDIRECT("rec.uni[empresa]"),BT$6)</f>
        <v>0</v>
      </c>
      <c r="BU119" s="178">
        <f ca="1">SUMIFS(rec.uni[2030-09-01],
INDIRECT("rec.uni[natureza]"),"taxa.extra",
INDIRECT("rec.uni[empresa]"),BU$6)</f>
        <v>0</v>
      </c>
      <c r="BV119" s="166"/>
      <c r="BW119" s="166" cm="1">
        <f t="array" ref="BW119">SUMPRODUCT(
  IFERROR(--desp[valor],0)*
  (desp[nucleo]="UP SAUDE")*
  (desp[categoria]=BW$7)*
  (desp[data.pagamento]&gt;=$A119)*
  (desp[data.pagamento]&lt;EOMONTH($A119,0)+1)
)</f>
        <v>0</v>
      </c>
      <c r="BX119" s="166" cm="1">
        <f t="array" ref="BX119">SUMPRODUCT(
  IFERROR(--desp[valor],0)*
  (desp[nucleo]="UP SAUDE")*
  (desp[categoria]=BX$7)*
  (desp[data.pagamento]&gt;=$A119)*
  (desp[data.pagamento]&lt;EOMONTH($A119,0)+1)
)</f>
        <v>0</v>
      </c>
      <c r="BY119" s="166" cm="1">
        <f t="array" ref="BY119">SUMPRODUCT(
  IFERROR(--desp[valor],0)*
  (desp[nucleo]="UP SAUDE")*
  (desp[categoria]=BY$7)*
  (desp[data.pagamento]&gt;=$A119)*
  (desp[data.pagamento]&lt;EOMONTH($A119,0)+1)
)</f>
        <v>0</v>
      </c>
      <c r="BZ119" s="166" cm="1">
        <f t="array" ref="BZ119">SUMPRODUCT(
  IFERROR(--desp[valor],0)*
  (desp[nucleo]="UP SAUDE")*
  (desp[categoria]=BZ$7)*
  (desp[data.pagamento]&gt;=$A119)*
  (desp[data.pagamento]&lt;EOMONTH($A119,0)+1)
)</f>
        <v>0</v>
      </c>
      <c r="CA119" s="166" cm="1">
        <f t="array" ref="CA119">SUMPRODUCT(
  IFERROR(--desp[valor],0)*
  (desp[nucleo]="UP SAUDE")*
  (desp[categoria]=CA$7)*
  (desp[data.pagamento]&gt;=$A119)*
  (desp[data.pagamento]&lt;EOMONTH($A119,0)+1)
)</f>
        <v>0</v>
      </c>
      <c r="CB119" s="177">
        <f>COUNTIFS(
    estq[empresa], CB$6,
    estq[Data da venda / reserva], "&gt;=" &amp; $A119,
    estq[Data da venda / reserva], "&lt;"  &amp; EOMONTH($A119,0) + 1
)</f>
        <v>0</v>
      </c>
      <c r="CC119" s="178">
        <f ca="1">SUMIFS(rec.uni[2030-09-01],
INDIRECT("rec.uni[natureza]"),"pro.soluto",
INDIRECT("rec.uni[empresa]"),CC$6)</f>
        <v>0</v>
      </c>
      <c r="CD119" s="178">
        <f ca="1">SUMIFS(rec.uni[2030-09-01],
INDIRECT("rec.uni[natureza]"),"repasse.cef.obra",
INDIRECT("rec.uni[empresa]"),CD$6)</f>
        <v>0</v>
      </c>
      <c r="CE119" s="181">
        <f ca="1">SUMIFS(rec.uni[2030-09-01],
INDIRECT("rec.uni[natureza]"),"repasse.cef.terreno",
INDIRECT("rec.uni[empresa]"),CE$6)</f>
        <v>0</v>
      </c>
      <c r="CF119" s="182"/>
      <c r="CG119" s="178">
        <f ca="1">SUMIFS(rec.uni[2030-09-01],
INDIRECT("rec.uni[natureza]"),"taxa.extra",
INDIRECT("rec.uni[empresa]"),CG$6)</f>
        <v>0</v>
      </c>
      <c r="CH119" s="166"/>
      <c r="CI119" s="166" cm="1">
        <f t="array" ref="CI119">SUMPRODUCT(
  IFERROR(--desp[valor],0)*
  (desp[nucleo]="UP ESTAÇÃO VILA SONIA")*
  (desp[categoria]=CI$7)*
  (desp[data.pagamento]&gt;=$A119)*
  (desp[data.pagamento]&lt;EOMONTH($A119,0)+1)
)</f>
        <v>0</v>
      </c>
      <c r="CJ119" s="166" cm="1">
        <f t="array" ref="CJ119">SUMPRODUCT(
  IFERROR(--desp[valor],0)*
  (desp[nucleo]="UP ESTAÇÃO VILA SONIA")*
  (desp[categoria]=CJ$7)*
  (desp[data.pagamento]&gt;=$A119)*
  (desp[data.pagamento]&lt;EOMONTH($A119,0)+1)
)</f>
        <v>0</v>
      </c>
      <c r="CK119" s="166" cm="1">
        <f t="array" ref="CK119">SUMPRODUCT(
  IFERROR(--desp[valor],0)*
  (desp[nucleo]="UP ESTAÇÃO VILA SONIA")*
  (desp[categoria]=CK$7)*
  (desp[data.pagamento]&gt;=$A119)*
  (desp[data.pagamento]&lt;EOMONTH($A119,0)+1)
)</f>
        <v>0</v>
      </c>
      <c r="CL119" s="166" cm="1">
        <f t="array" ref="CL119">SUMPRODUCT(
  IFERROR(--desp[valor],0)*
  (desp[nucleo]="UP ESTAÇÃO VILA SONIA")*
  (desp[categoria]=CL$7)*
  (desp[data.pagamento]&gt;=$A119)*
  (desp[data.pagamento]&lt;EOMONTH($A119,0)+1)
)</f>
        <v>0</v>
      </c>
      <c r="CM119" s="166" cm="1">
        <f t="array" ref="CM119">SUMPRODUCT(
  IFERROR(--desp[valor],0)*
  (desp[nucleo]="UP ESTAÇÃO VILA SONIA")*
  (desp[categoria]=CM$7)*
  (desp[data.pagamento]&gt;=$A119)*
  (desp[data.pagamento]&lt;EOMONTH($A119,0)+1)
)</f>
        <v>0</v>
      </c>
      <c r="CN119" s="177">
        <f>COUNTIFS(
    estq[empresa], CN$6,
    estq[Data da venda / reserva], "&gt;=" &amp; $A119,
    estq[Data da venda / reserva], "&lt;"  &amp; EOMONTH($A119,0) + 1
)</f>
        <v>0</v>
      </c>
      <c r="CO119" s="178">
        <f ca="1">SUMIFS(rec.uni[2030-09-01],
INDIRECT("rec.uni[natureza]"),"pro.soluto",
INDIRECT("rec.uni[empresa]"),CO$6)</f>
        <v>0</v>
      </c>
      <c r="CP119" s="178">
        <f ca="1">SUMIFS(rec.uni[2030-09-01],
INDIRECT("rec.uni[natureza]"),"repasse.cef.obra",
INDIRECT("rec.uni[empresa]"),CP$6)</f>
        <v>0</v>
      </c>
      <c r="CQ119" s="181">
        <f ca="1">SUMIFS(rec.uni[2030-09-01],
INDIRECT("rec.uni[natureza]"),"repasse.cef.terreno",
INDIRECT("rec.uni[empresa]"),CQ$6)</f>
        <v>0</v>
      </c>
      <c r="CR119" s="182"/>
      <c r="CS119" s="178">
        <f ca="1">SUMIFS(rec.uni[2030-09-01],
INDIRECT("rec.uni[natureza]"),"taxa.extra",
INDIRECT("rec.uni[empresa]"),CS$6)</f>
        <v>0</v>
      </c>
      <c r="CT119" s="166"/>
      <c r="CU119" s="166" cm="1">
        <f t="array" ref="CU119">SUMPRODUCT(
  IFERROR(--desp[valor],0)*
  (desp[nucleo]="UP MOVE VILA SONIA")*
  (desp[categoria]=CU$7)*
  (desp[data.pagamento]&gt;=$A119)*
  (desp[data.pagamento]&lt;EOMONTH($A119,0)+1)
)</f>
        <v>0</v>
      </c>
      <c r="CV119" s="166" cm="1">
        <f t="array" ref="CV119">SUMPRODUCT(
  IFERROR(--desp[valor],0)*
  (desp[nucleo]="UP MOVE VILA SONIA")*
  (desp[categoria]=CV$7)*
  (desp[data.pagamento]&gt;=$A119)*
  (desp[data.pagamento]&lt;EOMONTH($A119,0)+1)
)</f>
        <v>0</v>
      </c>
      <c r="CW119" s="166" cm="1">
        <f t="array" ref="CW119">SUMPRODUCT(
  IFERROR(--desp[valor],0)*
  (desp[nucleo]="UP MOVE VILA SONIA")*
  (desp[categoria]=CW$7)*
  (desp[data.pagamento]&gt;=$A119)*
  (desp[data.pagamento]&lt;EOMONTH($A119,0)+1)
)</f>
        <v>0</v>
      </c>
      <c r="CX119" s="166" cm="1">
        <f t="array" ref="CX119">SUMPRODUCT(
  IFERROR(--desp[valor],0)*
  (desp[nucleo]="UP MOVE VILA SONIA")*
  (desp[categoria]=CX$7)*
  (desp[data.pagamento]&gt;=$A119)*
  (desp[data.pagamento]&lt;EOMONTH($A119,0)+1)
)</f>
        <v>0</v>
      </c>
      <c r="CY119" s="291" cm="1">
        <f t="array" ref="CY119">SUMPRODUCT(
  IFERROR(--desp[valor],0)*
  (desp[nucleo]="UP MOVE VILA SONIA")*
  (desp[categoria]=CY$7)*
  (desp[data.pagamento]&gt;=$A119)*
  (desp[data.pagamento]&lt;EOMONTH($A119,0)+1)
)</f>
        <v>0</v>
      </c>
    </row>
    <row r="120" spans="1:103" x14ac:dyDescent="0.25">
      <c r="A120" s="176">
        <v>47757</v>
      </c>
      <c r="B120" s="177">
        <f>COUNTIFS(
    estq[empresa], B$6,
    estq[Data da venda / reserva], "&gt;=" &amp; $A120,
    estq[Data da venda / reserva], "&lt;"  &amp; EOMONTH($A120,0) + 1
)</f>
        <v>0</v>
      </c>
      <c r="C120" s="178">
        <f ca="1">SUMIFS(rec.uni[2030-10-01],
INDIRECT("rec.uni[natureza]"),"pro.soluto",
INDIRECT("rec.uni[empresa]"),C$6)</f>
        <v>0</v>
      </c>
      <c r="D120" s="178">
        <f ca="1">SUMIFS(rec.uni[2030-10-01],
INDIRECT("rec.uni[natureza]"),"repasse.cef.obra",
INDIRECT("rec.uni[empresa]"),D$6)</f>
        <v>0</v>
      </c>
      <c r="E120" s="178">
        <f ca="1">SUMIFS(rec.uni[2030-10-01],
INDIRECT("rec.uni[natureza]"),"repasse.cef.terreno",
INDIRECT("rec.uni[empresa]"),E$6)</f>
        <v>0</v>
      </c>
      <c r="F120" s="182"/>
      <c r="G120" s="178">
        <f ca="1">SUMIFS(rec.uni[2030-10-01],
INDIRECT("rec.uni[natureza]"),"taxa.extra",
INDIRECT("rec.uni[empresa]"),G$6)</f>
        <v>0</v>
      </c>
      <c r="H120" s="166"/>
      <c r="I120" s="166" cm="1">
        <f t="array" ref="I120">SUMPRODUCT(
  IFERROR(--desp[valor],0)*
  (desp[nucleo]="UP JARDIM PRUDENCIA")*
  (desp[categoria]=I$7)*
  (desp[data.pagamento]&gt;=$A120)*
  (desp[data.pagamento]&lt;EOMONTH($A120,0)+1)
)</f>
        <v>0</v>
      </c>
      <c r="J120" s="166" cm="1">
        <f t="array" ref="J120">SUMPRODUCT(
  IFERROR(--desp[valor],0)*
  (desp[nucleo]="UP JARDIM PRUDENCIA")*
  (desp[categoria]=J$7)*
  (desp[data.pagamento]&gt;=$A120)*
  (desp[data.pagamento]&lt;EOMONTH($A120,0)+1)
)</f>
        <v>0</v>
      </c>
      <c r="K120" s="166" cm="1">
        <f t="array" ref="K120">SUMPRODUCT(
  IFERROR(--desp[valor],0)*
  (desp[nucleo]="UP JARDIM PRUDENCIA")*
  (desp[categoria]=K$7)*
  (desp[data.pagamento]&gt;=$A120)*
  (desp[data.pagamento]&lt;EOMONTH($A120,0)+1)
)</f>
        <v>0</v>
      </c>
      <c r="L120" s="166" cm="1">
        <f t="array" ref="L120">SUMPRODUCT(
  IFERROR(--desp[valor],0)*
  (desp[nucleo]="UP JARDIM PRUDENCIA")*
  (desp[categoria]=L$7)*
  (desp[data.pagamento]&gt;=$A120)*
  (desp[data.pagamento]&lt;EOMONTH($A120,0)+1)
)</f>
        <v>0</v>
      </c>
      <c r="M120" s="166" cm="1">
        <f t="array" ref="M120">SUMPRODUCT(
  IFERROR(--desp[valor],0)*
  (desp[nucleo]="UP JARDIM PRUDENCIA")*
  (desp[categoria]=M$7)*
  (desp[data.pagamento]&gt;=$A120)*
  (desp[data.pagamento]&lt;EOMONTH($A120,0)+1)
)</f>
        <v>0</v>
      </c>
      <c r="N120" s="177">
        <f>COUNTIFS(
    estq[empresa], N$6,
    estq[Data da venda / reserva], "&gt;=" &amp; $A120,
    estq[Data da venda / reserva], "&lt;"  &amp; EOMONTH($A120,0) + 1
)</f>
        <v>0</v>
      </c>
      <c r="O120" s="178">
        <f ca="1">SUMIFS(rec.uni[2030-10-01],
INDIRECT("rec.uni[natureza]"),"pro.soluto",
INDIRECT("rec.uni[empresa]"),O$6)</f>
        <v>0</v>
      </c>
      <c r="P120" s="178">
        <f ca="1">SUMIFS(rec.uni[2030-10-01],
INDIRECT("rec.uni[natureza]"),"repasse.cef.obra",
INDIRECT("rec.uni[empresa]"),P$6)</f>
        <v>0</v>
      </c>
      <c r="Q120" s="178">
        <f ca="1">SUMIFS(rec.uni[2030-10-01],
INDIRECT("rec.uni[natureza]"),"repasse.cef.terreno",
INDIRECT("rec.uni[empresa]"),Q$6)</f>
        <v>0</v>
      </c>
      <c r="R120" s="182"/>
      <c r="S120" s="178">
        <f ca="1">SUMIFS(rec.uni[2030-10-01],
INDIRECT("rec.uni[natureza]"),"taxa.extra",
INDIRECT("rec.uni[empresa]"),S$6)</f>
        <v>0</v>
      </c>
      <c r="T120" s="166"/>
      <c r="U120" s="166" cm="1">
        <f t="array" ref="U120">SUMPRODUCT(
  IFERROR(--desp[valor],0)*
  (desp[nucleo]="UP VILA SONIA")*
  (desp[categoria]=U$7)*
  (desp[data.pagamento]&gt;=$A120)*
  (desp[data.pagamento]&lt;EOMONTH($A120,0)+1)
)</f>
        <v>0</v>
      </c>
      <c r="V120" s="166" cm="1">
        <f t="array" ref="V120">SUMPRODUCT(
  IFERROR(--desp[valor],0)*
  (desp[nucleo]="UP VILA SONIA")*
  (desp[categoria]=V$7)*
  (desp[data.pagamento]&gt;=$A120)*
  (desp[data.pagamento]&lt;EOMONTH($A120,0)+1)
)</f>
        <v>0</v>
      </c>
      <c r="W120" s="166" cm="1">
        <f t="array" ref="W120">SUMPRODUCT(
  IFERROR(--desp[valor],0)*
  (desp[nucleo]="UP VILA SONIA")*
  (desp[categoria]=W$7)*
  (desp[data.pagamento]&gt;=$A120)*
  (desp[data.pagamento]&lt;EOMONTH($A120,0)+1)
)</f>
        <v>0</v>
      </c>
      <c r="X120" s="166" cm="1">
        <f t="array" ref="X120">SUMPRODUCT(
  IFERROR(--desp[valor],0)*
  (desp[nucleo]="UP VILA SONIA")*
  (desp[categoria]=X$7)*
  (desp[data.pagamento]&gt;=$A120)*
  (desp[data.pagamento]&lt;EOMONTH($A120,0)+1)
)</f>
        <v>0</v>
      </c>
      <c r="Y120" s="166" cm="1">
        <f t="array" ref="Y120">SUMPRODUCT(
  IFERROR(--desp[valor],0)*
  (desp[nucleo]="UP VILA SONIA")*
  (desp[categoria]=Y$7)*
  (desp[data.pagamento]&gt;=$A120)*
  (desp[data.pagamento]&lt;EOMONTH($A120,0)+1)
)</f>
        <v>0</v>
      </c>
      <c r="Z120" s="177">
        <f>COUNTIFS(
    estq[empresa], Z$6,
    estq[Data da venda / reserva], "&gt;=" &amp; $A120,
    estq[Data da venda / reserva], "&lt;"  &amp; EOMONTH($A120,0) + 1
)</f>
        <v>0</v>
      </c>
      <c r="AA120" s="178">
        <f ca="1">SUMIFS(rec.uni[2030-10-01],
INDIRECT("rec.uni[natureza]"),"pro.soluto",
INDIRECT("rec.uni[empresa]"),AA$6)</f>
        <v>0</v>
      </c>
      <c r="AB120" s="182">
        <f ca="1">SUMIFS(rec.uni[2030-10-01],
INDIRECT("rec.uni[natureza]"),"parcela.fin.total.ik",
INDIRECT("rec.uni[empresa]"),AB$6)</f>
        <v>0</v>
      </c>
      <c r="AC120" s="178">
        <f ca="1">SUMIFS(rec.uni[2030-10-01],
INDIRECT("rec.uni[natureza]"),"taxa.extra",
INDIRECT("rec.uni[empresa]"),AC$6)</f>
        <v>0</v>
      </c>
      <c r="AD120" s="166"/>
      <c r="AE120" s="166" cm="1">
        <f t="array" ref="AE120">SUMPRODUCT(
  IFERROR(--desp[valor],0)*
  (desp[nucleo]="UP CAMPO BELO")*
  (desp[categoria]=AE$7)*
  (desp[data.pagamento]&gt;=$A120)*
  (desp[data.pagamento]&lt;EOMONTH($A120,0)+1)
)</f>
        <v>0</v>
      </c>
      <c r="AF120" s="166" cm="1">
        <f t="array" ref="AF120">SUMPRODUCT(
  IFERROR(--desp[valor],0)*
  (desp[nucleo]="UP CAMPO BELO")*
  (desp[categoria]=AF$7)*
  (desp[data.pagamento]&gt;=$A120)*
  (desp[data.pagamento]&lt;EOMONTH($A120,0)+1)
)</f>
        <v>0</v>
      </c>
      <c r="AG120" s="166" cm="1">
        <f t="array" ref="AG120">SUMPRODUCT(
  IFERROR(--desp[valor],0)*
  (desp[nucleo]="UP CAMPO BELO")*
  (desp[categoria]=AG$7)*
  (desp[data.pagamento]&gt;=$A120)*
  (desp[data.pagamento]&lt;EOMONTH($A120,0)+1)
)</f>
        <v>0</v>
      </c>
      <c r="AH120" s="166" cm="1">
        <f t="array" ref="AH120">SUMPRODUCT(
  IFERROR(--desp[valor],0)*
  (desp[nucleo]="UP CAMPO BELO")*
  (desp[categoria]=AH$7)*
  (desp[data.pagamento]&gt;=$A120)*
  (desp[data.pagamento]&lt;EOMONTH($A120,0)+1)
)</f>
        <v>0</v>
      </c>
      <c r="AI120" s="166" cm="1">
        <f t="array" ref="AI120">SUMPRODUCT(
  IFERROR(--desp[valor],0)*
  (desp[nucleo]="UP CAMPO BELO")*
  (desp[categoria]=AI$7)*
  (desp[data.pagamento]&gt;=$A120)*
  (desp[data.pagamento]&lt;EOMONTH($A120,0)+1)
)</f>
        <v>0</v>
      </c>
      <c r="AJ120" s="177">
        <f>COUNTIFS(
    estq[empresa], AJ$6,
    estq[Data da venda / reserva], "&gt;=" &amp; $A120,
    estq[Data da venda / reserva], "&lt;"  &amp; EOMONTH($A120,0) + 1
)</f>
        <v>0</v>
      </c>
      <c r="AK120" s="178">
        <f ca="1">SUMIFS(rec.uni[2030-10-01],
INDIRECT("rec.uni[natureza]"),"pro.soluto",
INDIRECT("rec.uni[empresa]"),AK$6)</f>
        <v>0</v>
      </c>
      <c r="AL120" s="178">
        <f ca="1">SUMIFS(rec.uni[2030-10-01],
INDIRECT("rec.uni[natureza]"),"repasse.cef.obra",
INDIRECT("rec.uni[empresa]"),AL$6)</f>
        <v>0</v>
      </c>
      <c r="AM120" s="181">
        <f ca="1">SUMIFS(rec.uni[2030-10-01],
INDIRECT("rec.uni[natureza]"),"repasse.cef.terreno",
INDIRECT("rec.uni[empresa]"),AM$6)</f>
        <v>0</v>
      </c>
      <c r="AN120" s="182"/>
      <c r="AO120" s="178">
        <f ca="1">SUMIFS(rec.uni[2030-10-01],
INDIRECT("rec.uni[natureza]"),"taxa.extra",
INDIRECT("rec.uni[empresa]"),AO$6)</f>
        <v>0</v>
      </c>
      <c r="AP120" s="166"/>
      <c r="AQ120" s="166" cm="1">
        <f t="array" ref="AQ120">SUMPRODUCT(
  IFERROR(--desp[valor],0)*
  (desp[nucleo]="UP SELECT VILA SONIA")*
  (desp[categoria]=AQ$7)*
  (desp[data.pagamento]&gt;=$A120)*
  (desp[data.pagamento]&lt;EOMONTH($A120,0)+1)
)</f>
        <v>0</v>
      </c>
      <c r="AR120" s="166" cm="1">
        <f t="array" ref="AR120">SUMPRODUCT(
  IFERROR(--desp[valor],0)*
  (desp[nucleo]="UP SELECT VILA SONIA")*
  (desp[categoria]=AR$7)*
  (desp[data.pagamento]&gt;=$A120)*
  (desp[data.pagamento]&lt;EOMONTH($A120,0)+1)
)</f>
        <v>0</v>
      </c>
      <c r="AS120" s="166" cm="1">
        <f t="array" ref="AS120">SUMPRODUCT(
  IFERROR(--desp[valor],0)*
  (desp[nucleo]="UP SELECT VILA SONIA")*
  (desp[categoria]=AS$7)*
  (desp[data.pagamento]&gt;=$A120)*
  (desp[data.pagamento]&lt;EOMONTH($A120,0)+1)
)</f>
        <v>0</v>
      </c>
      <c r="AT120" s="166" cm="1">
        <f t="array" ref="AT120">SUMPRODUCT(
  IFERROR(--desp[valor],0)*
  (desp[nucleo]="UP SELECT VILA SONIA")*
  (desp[categoria]=AT$7)*
  (desp[data.pagamento]&gt;=$A120)*
  (desp[data.pagamento]&lt;EOMONTH($A120,0)+1)
)</f>
        <v>0</v>
      </c>
      <c r="AU120" s="166" cm="1">
        <f t="array" ref="AU120">SUMPRODUCT(
  IFERROR(--desp[valor],0)*
  (desp[nucleo]="UP SELECT VILA SONIA")*
  (desp[categoria]=AU$7)*
  (desp[data.pagamento]&gt;=$A120)*
  (desp[data.pagamento]&lt;EOMONTH($A120,0)+1)
)</f>
        <v>0</v>
      </c>
      <c r="AV120" s="177">
        <f>COUNTIFS(
    estq[empresa], AV$6,
    estq[Data da venda / reserva], "&gt;=" &amp; $A120,
    estq[Data da venda / reserva], "&lt;"  &amp; EOMONTH($A120,0) + 1
)</f>
        <v>0</v>
      </c>
      <c r="AW120" s="178">
        <f ca="1">SUMIFS(rec.uni[2030-10-01],
INDIRECT("rec.uni[natureza]"),"pro.soluto",
INDIRECT("rec.uni[empresa]"),AW$6)</f>
        <v>0</v>
      </c>
      <c r="AX120" s="178">
        <f ca="1">SUMIFS(rec.uni[2030-10-01],
INDIRECT("rec.uni[natureza]"),"repasse.cef.obra",
INDIRECT("rec.uni[empresa]"),AX$6)</f>
        <v>0</v>
      </c>
      <c r="AY120" s="181">
        <f ca="1">SUMIFS(rec.uni[2030-10-01],
INDIRECT("rec.uni[natureza]"),"repasse.cef.terreno",
INDIRECT("rec.uni[empresa]"),AY$6)</f>
        <v>0</v>
      </c>
      <c r="AZ120" s="182"/>
      <c r="BA120" s="178">
        <f ca="1">SUMIFS(rec.uni[2030-10-01],
INDIRECT("rec.uni[natureza]"),"taxa.extra",
INDIRECT("rec.uni[empresa]"),BA$6)</f>
        <v>0</v>
      </c>
      <c r="BB120" s="166"/>
      <c r="BC120" s="166" cm="1">
        <f t="array" ref="BC120">SUMPRODUCT(
  IFERROR(--desp[valor],0)*
  (desp[nucleo]="UP ESTAÇÃO SÃO LUCAS")*
  (desp[categoria]=BC$7)*
  (desp[data.pagamento]&gt;=$A120)*
  (desp[data.pagamento]&lt;EOMONTH($A120,0)+1)
)</f>
        <v>0</v>
      </c>
      <c r="BD120" s="166" cm="1">
        <f t="array" ref="BD120">SUMPRODUCT(
  IFERROR(--desp[valor],0)*
  (desp[nucleo]="UP ESTAÇÃO SÃO LUCAS")*
  (desp[categoria]=BD$7)*
  (desp[data.pagamento]&gt;=$A120)*
  (desp[data.pagamento]&lt;EOMONTH($A120,0)+1)
)</f>
        <v>0</v>
      </c>
      <c r="BE120" s="166" cm="1">
        <f t="array" ref="BE120">SUMPRODUCT(
  IFERROR(--desp[valor],0)*
  (desp[nucleo]="UP ESTAÇÃO SÃO LUCAS")*
  (desp[categoria]=BE$7)*
  (desp[data.pagamento]&gt;=$A120)*
  (desp[data.pagamento]&lt;EOMONTH($A120,0)+1)
)</f>
        <v>0</v>
      </c>
      <c r="BF120" s="166" cm="1">
        <f t="array" ref="BF120">SUMPRODUCT(
  IFERROR(--desp[valor],0)*
  (desp[nucleo]="UP ESTAÇÃO SÃO LUCAS")*
  (desp[categoria]=BF$7)*
  (desp[data.pagamento]&gt;=$A120)*
  (desp[data.pagamento]&lt;EOMONTH($A120,0)+1)
)</f>
        <v>0</v>
      </c>
      <c r="BG120" s="166" cm="1">
        <f t="array" ref="BG120">SUMPRODUCT(
  IFERROR(--desp[valor],0)*
  (desp[nucleo]="UP ESTAÇÃO SÃO LUCAS")*
  (desp[categoria]=BG$7)*
  (desp[data.pagamento]&gt;=$A120)*
  (desp[data.pagamento]&lt;EOMONTH($A120,0)+1)
)</f>
        <v>0</v>
      </c>
      <c r="BH120" s="177">
        <f>COUNTIFS(
    estq[empresa], BH$6,
    estq[Data da venda / reserva], "&gt;=" &amp; $A120,
    estq[Data da venda / reserva], "&lt;"  &amp; EOMONTH($A120,0) + 1
)</f>
        <v>0</v>
      </c>
      <c r="BI120" s="178">
        <f ca="1">SUMIFS(rec.uni[2030-10-01],
INDIRECT("rec.uni[natureza]"),"pro.soluto",
INDIRECT("rec.uni[empresa]"),BI$6)</f>
        <v>0</v>
      </c>
      <c r="BJ120" s="182">
        <f ca="1">SUMIFS(rec.uni[2030-10-01],
INDIRECT("rec.uni[natureza]"),"parcela.fin.total.ik",
INDIRECT("rec.uni[empresa]"),BJ$6)</f>
        <v>0</v>
      </c>
      <c r="BK120" s="178">
        <f ca="1">SUMIFS(rec.uni[2030-10-01],
INDIRECT("rec.uni[natureza]"),"taxa.extra",
INDIRECT("rec.uni[empresa]"),BK$6)</f>
        <v>0</v>
      </c>
      <c r="BL120" s="166"/>
      <c r="BM120" s="166" cm="1">
        <f t="array" ref="BM120">SUMPRODUCT(
  IFERROR(--desp[valor],0)*
  (desp[nucleo]="UP POMPEIA")*
  (desp[categoria]=BM$7)*
  (desp[data.pagamento]&gt;=$A120)*
  (desp[data.pagamento]&lt;EOMONTH($A120,0)+1)
)</f>
        <v>0</v>
      </c>
      <c r="BN120" s="166" cm="1">
        <f t="array" ref="BN120">SUMPRODUCT(
  IFERROR(--desp[valor],0)*
  (desp[nucleo]="UP POMPEIA")*
  (desp[categoria]=BN$7)*
  (desp[data.pagamento]&gt;=$A120)*
  (desp[data.pagamento]&lt;EOMONTH($A120,0)+1)
)</f>
        <v>0</v>
      </c>
      <c r="BO120" s="166" cm="1">
        <f t="array" ref="BO120">SUMPRODUCT(
  IFERROR(--desp[valor],0)*
  (desp[nucleo]="UP POMPEIA")*
  (desp[categoria]=BO$7)*
  (desp[data.pagamento]&gt;=$A120)*
  (desp[data.pagamento]&lt;EOMONTH($A120,0)+1)
)</f>
        <v>0</v>
      </c>
      <c r="BP120" s="166" cm="1">
        <f t="array" ref="BP120">SUMPRODUCT(
  IFERROR(--desp[valor],0)*
  (desp[nucleo]="UP POMPEIA")*
  (desp[categoria]=BP$7)*
  (desp[data.pagamento]&gt;=$A120)*
  (desp[data.pagamento]&lt;EOMONTH($A120,0)+1)
)</f>
        <v>0</v>
      </c>
      <c r="BQ120" s="166" cm="1">
        <f t="array" ref="BQ120">SUMPRODUCT(
  IFERROR(--desp[valor],0)*
  (desp[nucleo]="UP POMPEIA")*
  (desp[categoria]=BQ$7)*
  (desp[data.pagamento]&gt;=$A120)*
  (desp[data.pagamento]&lt;EOMONTH($A120,0)+1)
)</f>
        <v>0</v>
      </c>
      <c r="BR120" s="177">
        <f>COUNTIFS(
    estq[empresa], BR$6,
    estq[Data da venda / reserva], "&gt;=" &amp; $A120,
    estq[Data da venda / reserva], "&lt;"  &amp; EOMONTH($A120,0) + 1
)</f>
        <v>0</v>
      </c>
      <c r="BS120" s="178">
        <f ca="1">SUMIFS(rec.uni[2030-10-01],
INDIRECT("rec.uni[natureza]"),"pro.soluto",
INDIRECT("rec.uni[empresa]"),BS$6)</f>
        <v>0</v>
      </c>
      <c r="BT120" s="182">
        <f ca="1">SUMIFS(rec.uni[2030-10-01],
INDIRECT("rec.uni[natureza]"),"parcela.fin.total.ik",
INDIRECT("rec.uni[empresa]"),BT$6)</f>
        <v>0</v>
      </c>
      <c r="BU120" s="178">
        <f ca="1">SUMIFS(rec.uni[2030-10-01],
INDIRECT("rec.uni[natureza]"),"taxa.extra",
INDIRECT("rec.uni[empresa]"),BU$6)</f>
        <v>0</v>
      </c>
      <c r="BV120" s="166"/>
      <c r="BW120" s="166" cm="1">
        <f t="array" ref="BW120">SUMPRODUCT(
  IFERROR(--desp[valor],0)*
  (desp[nucleo]="UP SAUDE")*
  (desp[categoria]=BW$7)*
  (desp[data.pagamento]&gt;=$A120)*
  (desp[data.pagamento]&lt;EOMONTH($A120,0)+1)
)</f>
        <v>0</v>
      </c>
      <c r="BX120" s="166" cm="1">
        <f t="array" ref="BX120">SUMPRODUCT(
  IFERROR(--desp[valor],0)*
  (desp[nucleo]="UP SAUDE")*
  (desp[categoria]=BX$7)*
  (desp[data.pagamento]&gt;=$A120)*
  (desp[data.pagamento]&lt;EOMONTH($A120,0)+1)
)</f>
        <v>0</v>
      </c>
      <c r="BY120" s="166" cm="1">
        <f t="array" ref="BY120">SUMPRODUCT(
  IFERROR(--desp[valor],0)*
  (desp[nucleo]="UP SAUDE")*
  (desp[categoria]=BY$7)*
  (desp[data.pagamento]&gt;=$A120)*
  (desp[data.pagamento]&lt;EOMONTH($A120,0)+1)
)</f>
        <v>0</v>
      </c>
      <c r="BZ120" s="166" cm="1">
        <f t="array" ref="BZ120">SUMPRODUCT(
  IFERROR(--desp[valor],0)*
  (desp[nucleo]="UP SAUDE")*
  (desp[categoria]=BZ$7)*
  (desp[data.pagamento]&gt;=$A120)*
  (desp[data.pagamento]&lt;EOMONTH($A120,0)+1)
)</f>
        <v>0</v>
      </c>
      <c r="CA120" s="166" cm="1">
        <f t="array" ref="CA120">SUMPRODUCT(
  IFERROR(--desp[valor],0)*
  (desp[nucleo]="UP SAUDE")*
  (desp[categoria]=CA$7)*
  (desp[data.pagamento]&gt;=$A120)*
  (desp[data.pagamento]&lt;EOMONTH($A120,0)+1)
)</f>
        <v>0</v>
      </c>
      <c r="CB120" s="177">
        <f>COUNTIFS(
    estq[empresa], CB$6,
    estq[Data da venda / reserva], "&gt;=" &amp; $A120,
    estq[Data da venda / reserva], "&lt;"  &amp; EOMONTH($A120,0) + 1
)</f>
        <v>0</v>
      </c>
      <c r="CC120" s="178">
        <f ca="1">SUMIFS(rec.uni[2030-10-01],
INDIRECT("rec.uni[natureza]"),"pro.soluto",
INDIRECT("rec.uni[empresa]"),CC$6)</f>
        <v>0</v>
      </c>
      <c r="CD120" s="178">
        <f ca="1">SUMIFS(rec.uni[2030-10-01],
INDIRECT("rec.uni[natureza]"),"repasse.cef.obra",
INDIRECT("rec.uni[empresa]"),CD$6)</f>
        <v>0</v>
      </c>
      <c r="CE120" s="181">
        <f ca="1">SUMIFS(rec.uni[2030-10-01],
INDIRECT("rec.uni[natureza]"),"repasse.cef.terreno",
INDIRECT("rec.uni[empresa]"),CE$6)</f>
        <v>0</v>
      </c>
      <c r="CF120" s="182"/>
      <c r="CG120" s="178">
        <f ca="1">SUMIFS(rec.uni[2030-10-01],
INDIRECT("rec.uni[natureza]"),"taxa.extra",
INDIRECT("rec.uni[empresa]"),CG$6)</f>
        <v>0</v>
      </c>
      <c r="CH120" s="166"/>
      <c r="CI120" s="166" cm="1">
        <f t="array" ref="CI120">SUMPRODUCT(
  IFERROR(--desp[valor],0)*
  (desp[nucleo]="UP ESTAÇÃO VILA SONIA")*
  (desp[categoria]=CI$7)*
  (desp[data.pagamento]&gt;=$A120)*
  (desp[data.pagamento]&lt;EOMONTH($A120,0)+1)
)</f>
        <v>0</v>
      </c>
      <c r="CJ120" s="166" cm="1">
        <f t="array" ref="CJ120">SUMPRODUCT(
  IFERROR(--desp[valor],0)*
  (desp[nucleo]="UP ESTAÇÃO VILA SONIA")*
  (desp[categoria]=CJ$7)*
  (desp[data.pagamento]&gt;=$A120)*
  (desp[data.pagamento]&lt;EOMONTH($A120,0)+1)
)</f>
        <v>0</v>
      </c>
      <c r="CK120" s="166" cm="1">
        <f t="array" ref="CK120">SUMPRODUCT(
  IFERROR(--desp[valor],0)*
  (desp[nucleo]="UP ESTAÇÃO VILA SONIA")*
  (desp[categoria]=CK$7)*
  (desp[data.pagamento]&gt;=$A120)*
  (desp[data.pagamento]&lt;EOMONTH($A120,0)+1)
)</f>
        <v>0</v>
      </c>
      <c r="CL120" s="166" cm="1">
        <f t="array" ref="CL120">SUMPRODUCT(
  IFERROR(--desp[valor],0)*
  (desp[nucleo]="UP ESTAÇÃO VILA SONIA")*
  (desp[categoria]=CL$7)*
  (desp[data.pagamento]&gt;=$A120)*
  (desp[data.pagamento]&lt;EOMONTH($A120,0)+1)
)</f>
        <v>0</v>
      </c>
      <c r="CM120" s="166" cm="1">
        <f t="array" ref="CM120">SUMPRODUCT(
  IFERROR(--desp[valor],0)*
  (desp[nucleo]="UP ESTAÇÃO VILA SONIA")*
  (desp[categoria]=CM$7)*
  (desp[data.pagamento]&gt;=$A120)*
  (desp[data.pagamento]&lt;EOMONTH($A120,0)+1)
)</f>
        <v>0</v>
      </c>
      <c r="CN120" s="177">
        <f>COUNTIFS(
    estq[empresa], CN$6,
    estq[Data da venda / reserva], "&gt;=" &amp; $A120,
    estq[Data da venda / reserva], "&lt;"  &amp; EOMONTH($A120,0) + 1
)</f>
        <v>0</v>
      </c>
      <c r="CO120" s="178">
        <f ca="1">SUMIFS(rec.uni[2030-10-01],
INDIRECT("rec.uni[natureza]"),"pro.soluto",
INDIRECT("rec.uni[empresa]"),CO$6)</f>
        <v>0</v>
      </c>
      <c r="CP120" s="178">
        <f ca="1">SUMIFS(rec.uni[2030-10-01],
INDIRECT("rec.uni[natureza]"),"repasse.cef.obra",
INDIRECT("rec.uni[empresa]"),CP$6)</f>
        <v>0</v>
      </c>
      <c r="CQ120" s="181">
        <f ca="1">SUMIFS(rec.uni[2030-10-01],
INDIRECT("rec.uni[natureza]"),"repasse.cef.terreno",
INDIRECT("rec.uni[empresa]"),CQ$6)</f>
        <v>0</v>
      </c>
      <c r="CR120" s="182"/>
      <c r="CS120" s="178">
        <f ca="1">SUMIFS(rec.uni[2030-10-01],
INDIRECT("rec.uni[natureza]"),"taxa.extra",
INDIRECT("rec.uni[empresa]"),CS$6)</f>
        <v>0</v>
      </c>
      <c r="CT120" s="166"/>
      <c r="CU120" s="166" cm="1">
        <f t="array" ref="CU120">SUMPRODUCT(
  IFERROR(--desp[valor],0)*
  (desp[nucleo]="UP MOVE VILA SONIA")*
  (desp[categoria]=CU$7)*
  (desp[data.pagamento]&gt;=$A120)*
  (desp[data.pagamento]&lt;EOMONTH($A120,0)+1)
)</f>
        <v>0</v>
      </c>
      <c r="CV120" s="166" cm="1">
        <f t="array" ref="CV120">SUMPRODUCT(
  IFERROR(--desp[valor],0)*
  (desp[nucleo]="UP MOVE VILA SONIA")*
  (desp[categoria]=CV$7)*
  (desp[data.pagamento]&gt;=$A120)*
  (desp[data.pagamento]&lt;EOMONTH($A120,0)+1)
)</f>
        <v>0</v>
      </c>
      <c r="CW120" s="166" cm="1">
        <f t="array" ref="CW120">SUMPRODUCT(
  IFERROR(--desp[valor],0)*
  (desp[nucleo]="UP MOVE VILA SONIA")*
  (desp[categoria]=CW$7)*
  (desp[data.pagamento]&gt;=$A120)*
  (desp[data.pagamento]&lt;EOMONTH($A120,0)+1)
)</f>
        <v>0</v>
      </c>
      <c r="CX120" s="166" cm="1">
        <f t="array" ref="CX120">SUMPRODUCT(
  IFERROR(--desp[valor],0)*
  (desp[nucleo]="UP MOVE VILA SONIA")*
  (desp[categoria]=CX$7)*
  (desp[data.pagamento]&gt;=$A120)*
  (desp[data.pagamento]&lt;EOMONTH($A120,0)+1)
)</f>
        <v>0</v>
      </c>
      <c r="CY120" s="291" cm="1">
        <f t="array" ref="CY120">SUMPRODUCT(
  IFERROR(--desp[valor],0)*
  (desp[nucleo]="UP MOVE VILA SONIA")*
  (desp[categoria]=CY$7)*
  (desp[data.pagamento]&gt;=$A120)*
  (desp[data.pagamento]&lt;EOMONTH($A120,0)+1)
)</f>
        <v>0</v>
      </c>
    </row>
    <row r="121" spans="1:103" x14ac:dyDescent="0.25">
      <c r="A121" s="176">
        <v>47788</v>
      </c>
      <c r="B121" s="177">
        <f>COUNTIFS(
    estq[empresa], B$6,
    estq[Data da venda / reserva], "&gt;=" &amp; $A121,
    estq[Data da venda / reserva], "&lt;"  &amp; EOMONTH($A121,0) + 1
)</f>
        <v>0</v>
      </c>
      <c r="C121" s="178">
        <f ca="1">SUMIFS(rec.uni[2030-11-01],
INDIRECT("rec.uni[natureza]"),"pro.soluto",
INDIRECT("rec.uni[empresa]"),C$6)</f>
        <v>0</v>
      </c>
      <c r="D121" s="178">
        <f ca="1">SUMIFS(rec.uni[2030-11-01],
INDIRECT("rec.uni[natureza]"),"repasse.cef.obra",
INDIRECT("rec.uni[empresa]"),D$6)</f>
        <v>0</v>
      </c>
      <c r="E121" s="178">
        <f ca="1">SUMIFS(rec.uni[2030-11-01],
INDIRECT("rec.uni[natureza]"),"repasse.cef.terreno",
INDIRECT("rec.uni[empresa]"),E$6)</f>
        <v>0</v>
      </c>
      <c r="F121" s="182"/>
      <c r="G121" s="178">
        <f ca="1">SUMIFS(rec.uni[2030-11-01],
INDIRECT("rec.uni[natureza]"),"taxa.extra",
INDIRECT("rec.uni[empresa]"),G$6)</f>
        <v>0</v>
      </c>
      <c r="H121" s="166"/>
      <c r="I121" s="166" cm="1">
        <f t="array" ref="I121">SUMPRODUCT(
  IFERROR(--desp[valor],0)*
  (desp[nucleo]="UP JARDIM PRUDENCIA")*
  (desp[categoria]=I$7)*
  (desp[data.pagamento]&gt;=$A121)*
  (desp[data.pagamento]&lt;EOMONTH($A121,0)+1)
)</f>
        <v>0</v>
      </c>
      <c r="J121" s="166" cm="1">
        <f t="array" ref="J121">SUMPRODUCT(
  IFERROR(--desp[valor],0)*
  (desp[nucleo]="UP JARDIM PRUDENCIA")*
  (desp[categoria]=J$7)*
  (desp[data.pagamento]&gt;=$A121)*
  (desp[data.pagamento]&lt;EOMONTH($A121,0)+1)
)</f>
        <v>0</v>
      </c>
      <c r="K121" s="166" cm="1">
        <f t="array" ref="K121">SUMPRODUCT(
  IFERROR(--desp[valor],0)*
  (desp[nucleo]="UP JARDIM PRUDENCIA")*
  (desp[categoria]=K$7)*
  (desp[data.pagamento]&gt;=$A121)*
  (desp[data.pagamento]&lt;EOMONTH($A121,0)+1)
)</f>
        <v>0</v>
      </c>
      <c r="L121" s="166" cm="1">
        <f t="array" ref="L121">SUMPRODUCT(
  IFERROR(--desp[valor],0)*
  (desp[nucleo]="UP JARDIM PRUDENCIA")*
  (desp[categoria]=L$7)*
  (desp[data.pagamento]&gt;=$A121)*
  (desp[data.pagamento]&lt;EOMONTH($A121,0)+1)
)</f>
        <v>0</v>
      </c>
      <c r="M121" s="166" cm="1">
        <f t="array" ref="M121">SUMPRODUCT(
  IFERROR(--desp[valor],0)*
  (desp[nucleo]="UP JARDIM PRUDENCIA")*
  (desp[categoria]=M$7)*
  (desp[data.pagamento]&gt;=$A121)*
  (desp[data.pagamento]&lt;EOMONTH($A121,0)+1)
)</f>
        <v>0</v>
      </c>
      <c r="N121" s="177">
        <f>COUNTIFS(
    estq[empresa], N$6,
    estq[Data da venda / reserva], "&gt;=" &amp; $A121,
    estq[Data da venda / reserva], "&lt;"  &amp; EOMONTH($A121,0) + 1
)</f>
        <v>0</v>
      </c>
      <c r="O121" s="178">
        <f ca="1">SUMIFS(rec.uni[2030-11-01],
INDIRECT("rec.uni[natureza]"),"pro.soluto",
INDIRECT("rec.uni[empresa]"),O$6)</f>
        <v>0</v>
      </c>
      <c r="P121" s="178">
        <f ca="1">SUMIFS(rec.uni[2030-11-01],
INDIRECT("rec.uni[natureza]"),"repasse.cef.obra",
INDIRECT("rec.uni[empresa]"),P$6)</f>
        <v>0</v>
      </c>
      <c r="Q121" s="178">
        <f ca="1">SUMIFS(rec.uni[2030-11-01],
INDIRECT("rec.uni[natureza]"),"repasse.cef.terreno",
INDIRECT("rec.uni[empresa]"),Q$6)</f>
        <v>0</v>
      </c>
      <c r="R121" s="182"/>
      <c r="S121" s="178">
        <f ca="1">SUMIFS(rec.uni[2030-11-01],
INDIRECT("rec.uni[natureza]"),"taxa.extra",
INDIRECT("rec.uni[empresa]"),S$6)</f>
        <v>0</v>
      </c>
      <c r="T121" s="166"/>
      <c r="U121" s="166" cm="1">
        <f t="array" ref="U121">SUMPRODUCT(
  IFERROR(--desp[valor],0)*
  (desp[nucleo]="UP VILA SONIA")*
  (desp[categoria]=U$7)*
  (desp[data.pagamento]&gt;=$A121)*
  (desp[data.pagamento]&lt;EOMONTH($A121,0)+1)
)</f>
        <v>0</v>
      </c>
      <c r="V121" s="166" cm="1">
        <f t="array" ref="V121">SUMPRODUCT(
  IFERROR(--desp[valor],0)*
  (desp[nucleo]="UP VILA SONIA")*
  (desp[categoria]=V$7)*
  (desp[data.pagamento]&gt;=$A121)*
  (desp[data.pagamento]&lt;EOMONTH($A121,0)+1)
)</f>
        <v>0</v>
      </c>
      <c r="W121" s="166" cm="1">
        <f t="array" ref="W121">SUMPRODUCT(
  IFERROR(--desp[valor],0)*
  (desp[nucleo]="UP VILA SONIA")*
  (desp[categoria]=W$7)*
  (desp[data.pagamento]&gt;=$A121)*
  (desp[data.pagamento]&lt;EOMONTH($A121,0)+1)
)</f>
        <v>0</v>
      </c>
      <c r="X121" s="166" cm="1">
        <f t="array" ref="X121">SUMPRODUCT(
  IFERROR(--desp[valor],0)*
  (desp[nucleo]="UP VILA SONIA")*
  (desp[categoria]=X$7)*
  (desp[data.pagamento]&gt;=$A121)*
  (desp[data.pagamento]&lt;EOMONTH($A121,0)+1)
)</f>
        <v>0</v>
      </c>
      <c r="Y121" s="166" cm="1">
        <f t="array" ref="Y121">SUMPRODUCT(
  IFERROR(--desp[valor],0)*
  (desp[nucleo]="UP VILA SONIA")*
  (desp[categoria]=Y$7)*
  (desp[data.pagamento]&gt;=$A121)*
  (desp[data.pagamento]&lt;EOMONTH($A121,0)+1)
)</f>
        <v>0</v>
      </c>
      <c r="Z121" s="177">
        <f>COUNTIFS(
    estq[empresa], Z$6,
    estq[Data da venda / reserva], "&gt;=" &amp; $A121,
    estq[Data da venda / reserva], "&lt;"  &amp; EOMONTH($A121,0) + 1
)</f>
        <v>0</v>
      </c>
      <c r="AA121" s="178">
        <f ca="1">SUMIFS(rec.uni[2030-11-01],
INDIRECT("rec.uni[natureza]"),"pro.soluto",
INDIRECT("rec.uni[empresa]"),AA$6)</f>
        <v>0</v>
      </c>
      <c r="AB121" s="182">
        <f ca="1">SUMIFS(rec.uni[2030-11-01],
INDIRECT("rec.uni[natureza]"),"parcela.fin.total.ik",
INDIRECT("rec.uni[empresa]"),AB$6)</f>
        <v>0</v>
      </c>
      <c r="AC121" s="178">
        <f ca="1">SUMIFS(rec.uni[2030-11-01],
INDIRECT("rec.uni[natureza]"),"taxa.extra",
INDIRECT("rec.uni[empresa]"),AC$6)</f>
        <v>0</v>
      </c>
      <c r="AD121" s="166"/>
      <c r="AE121" s="166" cm="1">
        <f t="array" ref="AE121">SUMPRODUCT(
  IFERROR(--desp[valor],0)*
  (desp[nucleo]="UP CAMPO BELO")*
  (desp[categoria]=AE$7)*
  (desp[data.pagamento]&gt;=$A121)*
  (desp[data.pagamento]&lt;EOMONTH($A121,0)+1)
)</f>
        <v>0</v>
      </c>
      <c r="AF121" s="166" cm="1">
        <f t="array" ref="AF121">SUMPRODUCT(
  IFERROR(--desp[valor],0)*
  (desp[nucleo]="UP CAMPO BELO")*
  (desp[categoria]=AF$7)*
  (desp[data.pagamento]&gt;=$A121)*
  (desp[data.pagamento]&lt;EOMONTH($A121,0)+1)
)</f>
        <v>0</v>
      </c>
      <c r="AG121" s="166" cm="1">
        <f t="array" ref="AG121">SUMPRODUCT(
  IFERROR(--desp[valor],0)*
  (desp[nucleo]="UP CAMPO BELO")*
  (desp[categoria]=AG$7)*
  (desp[data.pagamento]&gt;=$A121)*
  (desp[data.pagamento]&lt;EOMONTH($A121,0)+1)
)</f>
        <v>0</v>
      </c>
      <c r="AH121" s="166" cm="1">
        <f t="array" ref="AH121">SUMPRODUCT(
  IFERROR(--desp[valor],0)*
  (desp[nucleo]="UP CAMPO BELO")*
  (desp[categoria]=AH$7)*
  (desp[data.pagamento]&gt;=$A121)*
  (desp[data.pagamento]&lt;EOMONTH($A121,0)+1)
)</f>
        <v>0</v>
      </c>
      <c r="AI121" s="166" cm="1">
        <f t="array" ref="AI121">SUMPRODUCT(
  IFERROR(--desp[valor],0)*
  (desp[nucleo]="UP CAMPO BELO")*
  (desp[categoria]=AI$7)*
  (desp[data.pagamento]&gt;=$A121)*
  (desp[data.pagamento]&lt;EOMONTH($A121,0)+1)
)</f>
        <v>0</v>
      </c>
      <c r="AJ121" s="177">
        <f>COUNTIFS(
    estq[empresa], AJ$6,
    estq[Data da venda / reserva], "&gt;=" &amp; $A121,
    estq[Data da venda / reserva], "&lt;"  &amp; EOMONTH($A121,0) + 1
)</f>
        <v>0</v>
      </c>
      <c r="AK121" s="178">
        <f ca="1">SUMIFS(rec.uni[2030-11-01],
INDIRECT("rec.uni[natureza]"),"pro.soluto",
INDIRECT("rec.uni[empresa]"),AK$6)</f>
        <v>0</v>
      </c>
      <c r="AL121" s="178">
        <f ca="1">SUMIFS(rec.uni[2030-11-01],
INDIRECT("rec.uni[natureza]"),"repasse.cef.obra",
INDIRECT("rec.uni[empresa]"),AL$6)</f>
        <v>0</v>
      </c>
      <c r="AM121" s="181">
        <f ca="1">SUMIFS(rec.uni[2030-11-01],
INDIRECT("rec.uni[natureza]"),"repasse.cef.terreno",
INDIRECT("rec.uni[empresa]"),AM$6)</f>
        <v>0</v>
      </c>
      <c r="AN121" s="182"/>
      <c r="AO121" s="178">
        <f ca="1">SUMIFS(rec.uni[2030-11-01],
INDIRECT("rec.uni[natureza]"),"taxa.extra",
INDIRECT("rec.uni[empresa]"),AO$6)</f>
        <v>0</v>
      </c>
      <c r="AP121" s="166"/>
      <c r="AQ121" s="166" cm="1">
        <f t="array" ref="AQ121">SUMPRODUCT(
  IFERROR(--desp[valor],0)*
  (desp[nucleo]="UP SELECT VILA SONIA")*
  (desp[categoria]=AQ$7)*
  (desp[data.pagamento]&gt;=$A121)*
  (desp[data.pagamento]&lt;EOMONTH($A121,0)+1)
)</f>
        <v>0</v>
      </c>
      <c r="AR121" s="166" cm="1">
        <f t="array" ref="AR121">SUMPRODUCT(
  IFERROR(--desp[valor],0)*
  (desp[nucleo]="UP SELECT VILA SONIA")*
  (desp[categoria]=AR$7)*
  (desp[data.pagamento]&gt;=$A121)*
  (desp[data.pagamento]&lt;EOMONTH($A121,0)+1)
)</f>
        <v>0</v>
      </c>
      <c r="AS121" s="166" cm="1">
        <f t="array" ref="AS121">SUMPRODUCT(
  IFERROR(--desp[valor],0)*
  (desp[nucleo]="UP SELECT VILA SONIA")*
  (desp[categoria]=AS$7)*
  (desp[data.pagamento]&gt;=$A121)*
  (desp[data.pagamento]&lt;EOMONTH($A121,0)+1)
)</f>
        <v>0</v>
      </c>
      <c r="AT121" s="166" cm="1">
        <f t="array" ref="AT121">SUMPRODUCT(
  IFERROR(--desp[valor],0)*
  (desp[nucleo]="UP SELECT VILA SONIA")*
  (desp[categoria]=AT$7)*
  (desp[data.pagamento]&gt;=$A121)*
  (desp[data.pagamento]&lt;EOMONTH($A121,0)+1)
)</f>
        <v>0</v>
      </c>
      <c r="AU121" s="166" cm="1">
        <f t="array" ref="AU121">SUMPRODUCT(
  IFERROR(--desp[valor],0)*
  (desp[nucleo]="UP SELECT VILA SONIA")*
  (desp[categoria]=AU$7)*
  (desp[data.pagamento]&gt;=$A121)*
  (desp[data.pagamento]&lt;EOMONTH($A121,0)+1)
)</f>
        <v>0</v>
      </c>
      <c r="AV121" s="177">
        <f>COUNTIFS(
    estq[empresa], AV$6,
    estq[Data da venda / reserva], "&gt;=" &amp; $A121,
    estq[Data da venda / reserva], "&lt;"  &amp; EOMONTH($A121,0) + 1
)</f>
        <v>0</v>
      </c>
      <c r="AW121" s="178">
        <f ca="1">SUMIFS(rec.uni[2030-11-01],
INDIRECT("rec.uni[natureza]"),"pro.soluto",
INDIRECT("rec.uni[empresa]"),AW$6)</f>
        <v>0</v>
      </c>
      <c r="AX121" s="178">
        <f ca="1">SUMIFS(rec.uni[2030-11-01],
INDIRECT("rec.uni[natureza]"),"repasse.cef.obra",
INDIRECT("rec.uni[empresa]"),AX$6)</f>
        <v>0</v>
      </c>
      <c r="AY121" s="181">
        <f ca="1">SUMIFS(rec.uni[2030-11-01],
INDIRECT("rec.uni[natureza]"),"repasse.cef.terreno",
INDIRECT("rec.uni[empresa]"),AY$6)</f>
        <v>0</v>
      </c>
      <c r="AZ121" s="182"/>
      <c r="BA121" s="178">
        <f ca="1">SUMIFS(rec.uni[2030-11-01],
INDIRECT("rec.uni[natureza]"),"taxa.extra",
INDIRECT("rec.uni[empresa]"),BA$6)</f>
        <v>0</v>
      </c>
      <c r="BB121" s="166"/>
      <c r="BC121" s="166" cm="1">
        <f t="array" ref="BC121">SUMPRODUCT(
  IFERROR(--desp[valor],0)*
  (desp[nucleo]="UP ESTAÇÃO SÃO LUCAS")*
  (desp[categoria]=BC$7)*
  (desp[data.pagamento]&gt;=$A121)*
  (desp[data.pagamento]&lt;EOMONTH($A121,0)+1)
)</f>
        <v>0</v>
      </c>
      <c r="BD121" s="166" cm="1">
        <f t="array" ref="BD121">SUMPRODUCT(
  IFERROR(--desp[valor],0)*
  (desp[nucleo]="UP ESTAÇÃO SÃO LUCAS")*
  (desp[categoria]=BD$7)*
  (desp[data.pagamento]&gt;=$A121)*
  (desp[data.pagamento]&lt;EOMONTH($A121,0)+1)
)</f>
        <v>0</v>
      </c>
      <c r="BE121" s="166" cm="1">
        <f t="array" ref="BE121">SUMPRODUCT(
  IFERROR(--desp[valor],0)*
  (desp[nucleo]="UP ESTAÇÃO SÃO LUCAS")*
  (desp[categoria]=BE$7)*
  (desp[data.pagamento]&gt;=$A121)*
  (desp[data.pagamento]&lt;EOMONTH($A121,0)+1)
)</f>
        <v>0</v>
      </c>
      <c r="BF121" s="166" cm="1">
        <f t="array" ref="BF121">SUMPRODUCT(
  IFERROR(--desp[valor],0)*
  (desp[nucleo]="UP ESTAÇÃO SÃO LUCAS")*
  (desp[categoria]=BF$7)*
  (desp[data.pagamento]&gt;=$A121)*
  (desp[data.pagamento]&lt;EOMONTH($A121,0)+1)
)</f>
        <v>0</v>
      </c>
      <c r="BG121" s="166" cm="1">
        <f t="array" ref="BG121">SUMPRODUCT(
  IFERROR(--desp[valor],0)*
  (desp[nucleo]="UP ESTAÇÃO SÃO LUCAS")*
  (desp[categoria]=BG$7)*
  (desp[data.pagamento]&gt;=$A121)*
  (desp[data.pagamento]&lt;EOMONTH($A121,0)+1)
)</f>
        <v>0</v>
      </c>
      <c r="BH121" s="177">
        <f>COUNTIFS(
    estq[empresa], BH$6,
    estq[Data da venda / reserva], "&gt;=" &amp; $A121,
    estq[Data da venda / reserva], "&lt;"  &amp; EOMONTH($A121,0) + 1
)</f>
        <v>0</v>
      </c>
      <c r="BI121" s="178">
        <f ca="1">SUMIFS(rec.uni[2030-11-01],
INDIRECT("rec.uni[natureza]"),"pro.soluto",
INDIRECT("rec.uni[empresa]"),BI$6)</f>
        <v>0</v>
      </c>
      <c r="BJ121" s="182">
        <f ca="1">SUMIFS(rec.uni[2030-11-01],
INDIRECT("rec.uni[natureza]"),"parcela.fin.total.ik",
INDIRECT("rec.uni[empresa]"),BJ$6)</f>
        <v>0</v>
      </c>
      <c r="BK121" s="178">
        <f ca="1">SUMIFS(rec.uni[2030-11-01],
INDIRECT("rec.uni[natureza]"),"taxa.extra",
INDIRECT("rec.uni[empresa]"),BK$6)</f>
        <v>0</v>
      </c>
      <c r="BL121" s="166"/>
      <c r="BM121" s="166" cm="1">
        <f t="array" ref="BM121">SUMPRODUCT(
  IFERROR(--desp[valor],0)*
  (desp[nucleo]="UP POMPEIA")*
  (desp[categoria]=BM$7)*
  (desp[data.pagamento]&gt;=$A121)*
  (desp[data.pagamento]&lt;EOMONTH($A121,0)+1)
)</f>
        <v>0</v>
      </c>
      <c r="BN121" s="166" cm="1">
        <f t="array" ref="BN121">SUMPRODUCT(
  IFERROR(--desp[valor],0)*
  (desp[nucleo]="UP POMPEIA")*
  (desp[categoria]=BN$7)*
  (desp[data.pagamento]&gt;=$A121)*
  (desp[data.pagamento]&lt;EOMONTH($A121,0)+1)
)</f>
        <v>0</v>
      </c>
      <c r="BO121" s="166" cm="1">
        <f t="array" ref="BO121">SUMPRODUCT(
  IFERROR(--desp[valor],0)*
  (desp[nucleo]="UP POMPEIA")*
  (desp[categoria]=BO$7)*
  (desp[data.pagamento]&gt;=$A121)*
  (desp[data.pagamento]&lt;EOMONTH($A121,0)+1)
)</f>
        <v>0</v>
      </c>
      <c r="BP121" s="166" cm="1">
        <f t="array" ref="BP121">SUMPRODUCT(
  IFERROR(--desp[valor],0)*
  (desp[nucleo]="UP POMPEIA")*
  (desp[categoria]=BP$7)*
  (desp[data.pagamento]&gt;=$A121)*
  (desp[data.pagamento]&lt;EOMONTH($A121,0)+1)
)</f>
        <v>0</v>
      </c>
      <c r="BQ121" s="166" cm="1">
        <f t="array" ref="BQ121">SUMPRODUCT(
  IFERROR(--desp[valor],0)*
  (desp[nucleo]="UP POMPEIA")*
  (desp[categoria]=BQ$7)*
  (desp[data.pagamento]&gt;=$A121)*
  (desp[data.pagamento]&lt;EOMONTH($A121,0)+1)
)</f>
        <v>0</v>
      </c>
      <c r="BR121" s="177">
        <f>COUNTIFS(
    estq[empresa], BR$6,
    estq[Data da venda / reserva], "&gt;=" &amp; $A121,
    estq[Data da venda / reserva], "&lt;"  &amp; EOMONTH($A121,0) + 1
)</f>
        <v>0</v>
      </c>
      <c r="BS121" s="178">
        <f ca="1">SUMIFS(rec.uni[2030-11-01],
INDIRECT("rec.uni[natureza]"),"pro.soluto",
INDIRECT("rec.uni[empresa]"),BS$6)</f>
        <v>0</v>
      </c>
      <c r="BT121" s="182">
        <f ca="1">SUMIFS(rec.uni[2030-11-01],
INDIRECT("rec.uni[natureza]"),"parcela.fin.total.ik",
INDIRECT("rec.uni[empresa]"),BT$6)</f>
        <v>0</v>
      </c>
      <c r="BU121" s="178">
        <f ca="1">SUMIFS(rec.uni[2030-11-01],
INDIRECT("rec.uni[natureza]"),"taxa.extra",
INDIRECT("rec.uni[empresa]"),BU$6)</f>
        <v>0</v>
      </c>
      <c r="BV121" s="166"/>
      <c r="BW121" s="166" cm="1">
        <f t="array" ref="BW121">SUMPRODUCT(
  IFERROR(--desp[valor],0)*
  (desp[nucleo]="UP SAUDE")*
  (desp[categoria]=BW$7)*
  (desp[data.pagamento]&gt;=$A121)*
  (desp[data.pagamento]&lt;EOMONTH($A121,0)+1)
)</f>
        <v>0</v>
      </c>
      <c r="BX121" s="166" cm="1">
        <f t="array" ref="BX121">SUMPRODUCT(
  IFERROR(--desp[valor],0)*
  (desp[nucleo]="UP SAUDE")*
  (desp[categoria]=BX$7)*
  (desp[data.pagamento]&gt;=$A121)*
  (desp[data.pagamento]&lt;EOMONTH($A121,0)+1)
)</f>
        <v>0</v>
      </c>
      <c r="BY121" s="166" cm="1">
        <f t="array" ref="BY121">SUMPRODUCT(
  IFERROR(--desp[valor],0)*
  (desp[nucleo]="UP SAUDE")*
  (desp[categoria]=BY$7)*
  (desp[data.pagamento]&gt;=$A121)*
  (desp[data.pagamento]&lt;EOMONTH($A121,0)+1)
)</f>
        <v>0</v>
      </c>
      <c r="BZ121" s="166" cm="1">
        <f t="array" ref="BZ121">SUMPRODUCT(
  IFERROR(--desp[valor],0)*
  (desp[nucleo]="UP SAUDE")*
  (desp[categoria]=BZ$7)*
  (desp[data.pagamento]&gt;=$A121)*
  (desp[data.pagamento]&lt;EOMONTH($A121,0)+1)
)</f>
        <v>0</v>
      </c>
      <c r="CA121" s="166" cm="1">
        <f t="array" ref="CA121">SUMPRODUCT(
  IFERROR(--desp[valor],0)*
  (desp[nucleo]="UP SAUDE")*
  (desp[categoria]=CA$7)*
  (desp[data.pagamento]&gt;=$A121)*
  (desp[data.pagamento]&lt;EOMONTH($A121,0)+1)
)</f>
        <v>0</v>
      </c>
      <c r="CB121" s="177">
        <f>COUNTIFS(
    estq[empresa], CB$6,
    estq[Data da venda / reserva], "&gt;=" &amp; $A121,
    estq[Data da venda / reserva], "&lt;"  &amp; EOMONTH($A121,0) + 1
)</f>
        <v>0</v>
      </c>
      <c r="CC121" s="178">
        <f ca="1">SUMIFS(rec.uni[2030-11-01],
INDIRECT("rec.uni[natureza]"),"pro.soluto",
INDIRECT("rec.uni[empresa]"),CC$6)</f>
        <v>0</v>
      </c>
      <c r="CD121" s="178">
        <f ca="1">SUMIFS(rec.uni[2030-11-01],
INDIRECT("rec.uni[natureza]"),"repasse.cef.obra",
INDIRECT("rec.uni[empresa]"),CD$6)</f>
        <v>0</v>
      </c>
      <c r="CE121" s="181">
        <f ca="1">SUMIFS(rec.uni[2030-11-01],
INDIRECT("rec.uni[natureza]"),"repasse.cef.terreno",
INDIRECT("rec.uni[empresa]"),CE$6)</f>
        <v>0</v>
      </c>
      <c r="CF121" s="182"/>
      <c r="CG121" s="178">
        <f ca="1">SUMIFS(rec.uni[2030-11-01],
INDIRECT("rec.uni[natureza]"),"taxa.extra",
INDIRECT("rec.uni[empresa]"),CG$6)</f>
        <v>0</v>
      </c>
      <c r="CH121" s="166"/>
      <c r="CI121" s="166" cm="1">
        <f t="array" ref="CI121">SUMPRODUCT(
  IFERROR(--desp[valor],0)*
  (desp[nucleo]="UP ESTAÇÃO VILA SONIA")*
  (desp[categoria]=CI$7)*
  (desp[data.pagamento]&gt;=$A121)*
  (desp[data.pagamento]&lt;EOMONTH($A121,0)+1)
)</f>
        <v>0</v>
      </c>
      <c r="CJ121" s="166" cm="1">
        <f t="array" ref="CJ121">SUMPRODUCT(
  IFERROR(--desp[valor],0)*
  (desp[nucleo]="UP ESTAÇÃO VILA SONIA")*
  (desp[categoria]=CJ$7)*
  (desp[data.pagamento]&gt;=$A121)*
  (desp[data.pagamento]&lt;EOMONTH($A121,0)+1)
)</f>
        <v>0</v>
      </c>
      <c r="CK121" s="166" cm="1">
        <f t="array" ref="CK121">SUMPRODUCT(
  IFERROR(--desp[valor],0)*
  (desp[nucleo]="UP ESTAÇÃO VILA SONIA")*
  (desp[categoria]=CK$7)*
  (desp[data.pagamento]&gt;=$A121)*
  (desp[data.pagamento]&lt;EOMONTH($A121,0)+1)
)</f>
        <v>0</v>
      </c>
      <c r="CL121" s="166" cm="1">
        <f t="array" ref="CL121">SUMPRODUCT(
  IFERROR(--desp[valor],0)*
  (desp[nucleo]="UP ESTAÇÃO VILA SONIA")*
  (desp[categoria]=CL$7)*
  (desp[data.pagamento]&gt;=$A121)*
  (desp[data.pagamento]&lt;EOMONTH($A121,0)+1)
)</f>
        <v>0</v>
      </c>
      <c r="CM121" s="166" cm="1">
        <f t="array" ref="CM121">SUMPRODUCT(
  IFERROR(--desp[valor],0)*
  (desp[nucleo]="UP ESTAÇÃO VILA SONIA")*
  (desp[categoria]=CM$7)*
  (desp[data.pagamento]&gt;=$A121)*
  (desp[data.pagamento]&lt;EOMONTH($A121,0)+1)
)</f>
        <v>0</v>
      </c>
      <c r="CN121" s="177">
        <f>COUNTIFS(
    estq[empresa], CN$6,
    estq[Data da venda / reserva], "&gt;=" &amp; $A121,
    estq[Data da venda / reserva], "&lt;"  &amp; EOMONTH($A121,0) + 1
)</f>
        <v>0</v>
      </c>
      <c r="CO121" s="178">
        <f ca="1">SUMIFS(rec.uni[2030-11-01],
INDIRECT("rec.uni[natureza]"),"pro.soluto",
INDIRECT("rec.uni[empresa]"),CO$6)</f>
        <v>0</v>
      </c>
      <c r="CP121" s="178">
        <f ca="1">SUMIFS(rec.uni[2030-11-01],
INDIRECT("rec.uni[natureza]"),"repasse.cef.obra",
INDIRECT("rec.uni[empresa]"),CP$6)</f>
        <v>0</v>
      </c>
      <c r="CQ121" s="181">
        <f ca="1">SUMIFS(rec.uni[2030-11-01],
INDIRECT("rec.uni[natureza]"),"repasse.cef.terreno",
INDIRECT("rec.uni[empresa]"),CQ$6)</f>
        <v>0</v>
      </c>
      <c r="CR121" s="182"/>
      <c r="CS121" s="178">
        <f ca="1">SUMIFS(rec.uni[2030-11-01],
INDIRECT("rec.uni[natureza]"),"taxa.extra",
INDIRECT("rec.uni[empresa]"),CS$6)</f>
        <v>0</v>
      </c>
      <c r="CT121" s="166"/>
      <c r="CU121" s="166" cm="1">
        <f t="array" ref="CU121">SUMPRODUCT(
  IFERROR(--desp[valor],0)*
  (desp[nucleo]="UP MOVE VILA SONIA")*
  (desp[categoria]=CU$7)*
  (desp[data.pagamento]&gt;=$A121)*
  (desp[data.pagamento]&lt;EOMONTH($A121,0)+1)
)</f>
        <v>0</v>
      </c>
      <c r="CV121" s="166" cm="1">
        <f t="array" ref="CV121">SUMPRODUCT(
  IFERROR(--desp[valor],0)*
  (desp[nucleo]="UP MOVE VILA SONIA")*
  (desp[categoria]=CV$7)*
  (desp[data.pagamento]&gt;=$A121)*
  (desp[data.pagamento]&lt;EOMONTH($A121,0)+1)
)</f>
        <v>0</v>
      </c>
      <c r="CW121" s="166" cm="1">
        <f t="array" ref="CW121">SUMPRODUCT(
  IFERROR(--desp[valor],0)*
  (desp[nucleo]="UP MOVE VILA SONIA")*
  (desp[categoria]=CW$7)*
  (desp[data.pagamento]&gt;=$A121)*
  (desp[data.pagamento]&lt;EOMONTH($A121,0)+1)
)</f>
        <v>0</v>
      </c>
      <c r="CX121" s="166" cm="1">
        <f t="array" ref="CX121">SUMPRODUCT(
  IFERROR(--desp[valor],0)*
  (desp[nucleo]="UP MOVE VILA SONIA")*
  (desp[categoria]=CX$7)*
  (desp[data.pagamento]&gt;=$A121)*
  (desp[data.pagamento]&lt;EOMONTH($A121,0)+1)
)</f>
        <v>0</v>
      </c>
      <c r="CY121" s="291" cm="1">
        <f t="array" ref="CY121">SUMPRODUCT(
  IFERROR(--desp[valor],0)*
  (desp[nucleo]="UP MOVE VILA SONIA")*
  (desp[categoria]=CY$7)*
  (desp[data.pagamento]&gt;=$A121)*
  (desp[data.pagamento]&lt;EOMONTH($A121,0)+1)
)</f>
        <v>0</v>
      </c>
    </row>
    <row r="122" spans="1:103" x14ac:dyDescent="0.25">
      <c r="A122" s="176">
        <v>47818</v>
      </c>
      <c r="B122" s="183">
        <f>COUNTIFS(
    estq[empresa], B$6,
    estq[Data da venda / reserva], "&gt;=" &amp; $A122,
    estq[Data da venda / reserva], "&lt;"  &amp; EOMONTH($A122,0) + 1
)</f>
        <v>0</v>
      </c>
      <c r="C122" s="184">
        <f ca="1">SUMIFS(rec.uni[2030-12-01],
INDIRECT("rec.uni[natureza]"),"pro.soluto",
INDIRECT("rec.uni[empresa]"),C$6)</f>
        <v>0</v>
      </c>
      <c r="D122" s="184">
        <f ca="1">SUMIFS(rec.uni[2030-12-01],
INDIRECT("rec.uni[natureza]"),"repasse.cef.obra",
INDIRECT("rec.uni[empresa]"),D$6)</f>
        <v>0</v>
      </c>
      <c r="E122" s="184">
        <f ca="1">SUMIFS(rec.uni[2030-12-01],
INDIRECT("rec.uni[natureza]"),"repasse.cef.terreno",
INDIRECT("rec.uni[empresa]"),E$6)</f>
        <v>0</v>
      </c>
      <c r="F122" s="185"/>
      <c r="G122" s="184">
        <f ca="1">SUMIFS(rec.uni[2030-12-01],
INDIRECT("rec.uni[natureza]"),"taxa.extra",
INDIRECT("rec.uni[empresa]"),G$6)</f>
        <v>0</v>
      </c>
      <c r="H122" s="186"/>
      <c r="I122" s="186" cm="1">
        <f t="array" ref="I122">SUMPRODUCT(
  IFERROR(--desp[valor],0)*
  (desp[nucleo]="UP JARDIM PRUDENCIA")*
  (desp[categoria]=I$7)*
  (desp[data.pagamento]&gt;=$A122)*
  (desp[data.pagamento]&lt;EOMONTH($A122,0)+1)
)</f>
        <v>0</v>
      </c>
      <c r="J122" s="186" cm="1">
        <f t="array" ref="J122">SUMPRODUCT(
  IFERROR(--desp[valor],0)*
  (desp[nucleo]="UP JARDIM PRUDENCIA")*
  (desp[categoria]=J$7)*
  (desp[data.pagamento]&gt;=$A122)*
  (desp[data.pagamento]&lt;EOMONTH($A122,0)+1)
)</f>
        <v>0</v>
      </c>
      <c r="K122" s="186" cm="1">
        <f t="array" ref="K122">SUMPRODUCT(
  IFERROR(--desp[valor],0)*
  (desp[nucleo]="UP JARDIM PRUDENCIA")*
  (desp[categoria]=K$7)*
  (desp[data.pagamento]&gt;=$A122)*
  (desp[data.pagamento]&lt;EOMONTH($A122,0)+1)
)</f>
        <v>0</v>
      </c>
      <c r="L122" s="186" cm="1">
        <f t="array" ref="L122">SUMPRODUCT(
  IFERROR(--desp[valor],0)*
  (desp[nucleo]="UP JARDIM PRUDENCIA")*
  (desp[categoria]=L$7)*
  (desp[data.pagamento]&gt;=$A122)*
  (desp[data.pagamento]&lt;EOMONTH($A122,0)+1)
)</f>
        <v>0</v>
      </c>
      <c r="M122" s="186" cm="1">
        <f t="array" ref="M122">SUMPRODUCT(
  IFERROR(--desp[valor],0)*
  (desp[nucleo]="UP JARDIM PRUDENCIA")*
  (desp[categoria]=M$7)*
  (desp[data.pagamento]&gt;=$A122)*
  (desp[data.pagamento]&lt;EOMONTH($A122,0)+1)
)</f>
        <v>0</v>
      </c>
      <c r="N122" s="183">
        <f>COUNTIFS(
    estq[empresa], N$6,
    estq[Data da venda / reserva], "&gt;=" &amp; $A122,
    estq[Data da venda / reserva], "&lt;"  &amp; EOMONTH($A122,0) + 1
)</f>
        <v>0</v>
      </c>
      <c r="O122" s="184">
        <f ca="1">SUMIFS(rec.uni[2030-12-01],
INDIRECT("rec.uni[natureza]"),"pro.soluto",
INDIRECT("rec.uni[empresa]"),O$6)</f>
        <v>0</v>
      </c>
      <c r="P122" s="184">
        <f ca="1">SUMIFS(rec.uni[2030-12-01],
INDIRECT("rec.uni[natureza]"),"repasse.cef.obra",
INDIRECT("rec.uni[empresa]"),P$6)</f>
        <v>0</v>
      </c>
      <c r="Q122" s="184">
        <f ca="1">SUMIFS(rec.uni[2030-12-01],
INDIRECT("rec.uni[natureza]"),"repasse.cef.terreno",
INDIRECT("rec.uni[empresa]"),Q$6)</f>
        <v>0</v>
      </c>
      <c r="R122" s="185"/>
      <c r="S122" s="184">
        <f ca="1">SUMIFS(rec.uni[2030-12-01],
INDIRECT("rec.uni[natureza]"),"taxa.extra",
INDIRECT("rec.uni[empresa]"),S$6)</f>
        <v>0</v>
      </c>
      <c r="T122" s="186"/>
      <c r="U122" s="186" cm="1">
        <f t="array" ref="U122">SUMPRODUCT(
  IFERROR(--desp[valor],0)*
  (desp[nucleo]="UP VILA SONIA")*
  (desp[categoria]=U$7)*
  (desp[data.pagamento]&gt;=$A122)*
  (desp[data.pagamento]&lt;EOMONTH($A122,0)+1)
)</f>
        <v>0</v>
      </c>
      <c r="V122" s="186" cm="1">
        <f t="array" ref="V122">SUMPRODUCT(
  IFERROR(--desp[valor],0)*
  (desp[nucleo]="UP VILA SONIA")*
  (desp[categoria]=V$7)*
  (desp[data.pagamento]&gt;=$A122)*
  (desp[data.pagamento]&lt;EOMONTH($A122,0)+1)
)</f>
        <v>0</v>
      </c>
      <c r="W122" s="186" cm="1">
        <f t="array" ref="W122">SUMPRODUCT(
  IFERROR(--desp[valor],0)*
  (desp[nucleo]="UP VILA SONIA")*
  (desp[categoria]=W$7)*
  (desp[data.pagamento]&gt;=$A122)*
  (desp[data.pagamento]&lt;EOMONTH($A122,0)+1)
)</f>
        <v>0</v>
      </c>
      <c r="X122" s="186" cm="1">
        <f t="array" ref="X122">SUMPRODUCT(
  IFERROR(--desp[valor],0)*
  (desp[nucleo]="UP VILA SONIA")*
  (desp[categoria]=X$7)*
  (desp[data.pagamento]&gt;=$A122)*
  (desp[data.pagamento]&lt;EOMONTH($A122,0)+1)
)</f>
        <v>0</v>
      </c>
      <c r="Y122" s="186" cm="1">
        <f t="array" ref="Y122">SUMPRODUCT(
  IFERROR(--desp[valor],0)*
  (desp[nucleo]="UP VILA SONIA")*
  (desp[categoria]=Y$7)*
  (desp[data.pagamento]&gt;=$A122)*
  (desp[data.pagamento]&lt;EOMONTH($A122,0)+1)
)</f>
        <v>0</v>
      </c>
      <c r="Z122" s="183">
        <f>COUNTIFS(
    estq[empresa], Z$6,
    estq[Data da venda / reserva], "&gt;=" &amp; $A122,
    estq[Data da venda / reserva], "&lt;"  &amp; EOMONTH($A122,0) + 1
)</f>
        <v>0</v>
      </c>
      <c r="AA122" s="184">
        <f ca="1">SUMIFS(rec.uni[2030-12-01],
INDIRECT("rec.uni[natureza]"),"pro.soluto",
INDIRECT("rec.uni[empresa]"),AA$6)</f>
        <v>0</v>
      </c>
      <c r="AB122" s="185">
        <f ca="1">SUMIFS(rec.uni[2030-12-01],
INDIRECT("rec.uni[natureza]"),"parcela.fin.total.ik",
INDIRECT("rec.uni[empresa]"),AB$6)</f>
        <v>0</v>
      </c>
      <c r="AC122" s="184">
        <f ca="1">SUMIFS(rec.uni[2030-12-01],
INDIRECT("rec.uni[natureza]"),"taxa.extra",
INDIRECT("rec.uni[empresa]"),AC$6)</f>
        <v>0</v>
      </c>
      <c r="AD122" s="186"/>
      <c r="AE122" s="186" cm="1">
        <f t="array" ref="AE122">SUMPRODUCT(
  IFERROR(--desp[valor],0)*
  (desp[nucleo]="UP CAMPO BELO")*
  (desp[categoria]=AE$7)*
  (desp[data.pagamento]&gt;=$A122)*
  (desp[data.pagamento]&lt;EOMONTH($A122,0)+1)
)</f>
        <v>0</v>
      </c>
      <c r="AF122" s="186" cm="1">
        <f t="array" ref="AF122">SUMPRODUCT(
  IFERROR(--desp[valor],0)*
  (desp[nucleo]="UP CAMPO BELO")*
  (desp[categoria]=AF$7)*
  (desp[data.pagamento]&gt;=$A122)*
  (desp[data.pagamento]&lt;EOMONTH($A122,0)+1)
)</f>
        <v>0</v>
      </c>
      <c r="AG122" s="186" cm="1">
        <f t="array" ref="AG122">SUMPRODUCT(
  IFERROR(--desp[valor],0)*
  (desp[nucleo]="UP CAMPO BELO")*
  (desp[categoria]=AG$7)*
  (desp[data.pagamento]&gt;=$A122)*
  (desp[data.pagamento]&lt;EOMONTH($A122,0)+1)
)</f>
        <v>0</v>
      </c>
      <c r="AH122" s="186" cm="1">
        <f t="array" ref="AH122">SUMPRODUCT(
  IFERROR(--desp[valor],0)*
  (desp[nucleo]="UP CAMPO BELO")*
  (desp[categoria]=AH$7)*
  (desp[data.pagamento]&gt;=$A122)*
  (desp[data.pagamento]&lt;EOMONTH($A122,0)+1)
)</f>
        <v>0</v>
      </c>
      <c r="AI122" s="186" cm="1">
        <f t="array" ref="AI122">SUMPRODUCT(
  IFERROR(--desp[valor],0)*
  (desp[nucleo]="UP CAMPO BELO")*
  (desp[categoria]=AI$7)*
  (desp[data.pagamento]&gt;=$A122)*
  (desp[data.pagamento]&lt;EOMONTH($A122,0)+1)
)</f>
        <v>0</v>
      </c>
      <c r="AJ122" s="183">
        <f>COUNTIFS(
    estq[empresa], AJ$6,
    estq[Data da venda / reserva], "&gt;=" &amp; $A122,
    estq[Data da venda / reserva], "&lt;"  &amp; EOMONTH($A122,0) + 1
)</f>
        <v>0</v>
      </c>
      <c r="AK122" s="184">
        <f ca="1">SUMIFS(rec.uni[2030-12-01],
INDIRECT("rec.uni[natureza]"),"pro.soluto",
INDIRECT("rec.uni[empresa]"),AK$6)</f>
        <v>0</v>
      </c>
      <c r="AL122" s="184">
        <f ca="1">SUMIFS(rec.uni[2030-12-01],
INDIRECT("rec.uni[natureza]"),"repasse.cef.obra",
INDIRECT("rec.uni[empresa]"),AL$6)</f>
        <v>0</v>
      </c>
      <c r="AM122" s="187">
        <f ca="1">SUMIFS(rec.uni[2030-12-01],
INDIRECT("rec.uni[natureza]"),"repasse.cef.terreno",
INDIRECT("rec.uni[empresa]"),AM$6)</f>
        <v>0</v>
      </c>
      <c r="AN122" s="185"/>
      <c r="AO122" s="184">
        <f ca="1">SUMIFS(rec.uni[2030-12-01],
INDIRECT("rec.uni[natureza]"),"taxa.extra",
INDIRECT("rec.uni[empresa]"),AO$6)</f>
        <v>0</v>
      </c>
      <c r="AP122" s="186"/>
      <c r="AQ122" s="186" cm="1">
        <f t="array" ref="AQ122">SUMPRODUCT(
  IFERROR(--desp[valor],0)*
  (desp[nucleo]="UP SELECT VILA SONIA")*
  (desp[categoria]=AQ$7)*
  (desp[data.pagamento]&gt;=$A122)*
  (desp[data.pagamento]&lt;EOMONTH($A122,0)+1)
)</f>
        <v>0</v>
      </c>
      <c r="AR122" s="186" cm="1">
        <f t="array" ref="AR122">SUMPRODUCT(
  IFERROR(--desp[valor],0)*
  (desp[nucleo]="UP SELECT VILA SONIA")*
  (desp[categoria]=AR$7)*
  (desp[data.pagamento]&gt;=$A122)*
  (desp[data.pagamento]&lt;EOMONTH($A122,0)+1)
)</f>
        <v>0</v>
      </c>
      <c r="AS122" s="186" cm="1">
        <f t="array" ref="AS122">SUMPRODUCT(
  IFERROR(--desp[valor],0)*
  (desp[nucleo]="UP SELECT VILA SONIA")*
  (desp[categoria]=AS$7)*
  (desp[data.pagamento]&gt;=$A122)*
  (desp[data.pagamento]&lt;EOMONTH($A122,0)+1)
)</f>
        <v>0</v>
      </c>
      <c r="AT122" s="186" cm="1">
        <f t="array" ref="AT122">SUMPRODUCT(
  IFERROR(--desp[valor],0)*
  (desp[nucleo]="UP SELECT VILA SONIA")*
  (desp[categoria]=AT$7)*
  (desp[data.pagamento]&gt;=$A122)*
  (desp[data.pagamento]&lt;EOMONTH($A122,0)+1)
)</f>
        <v>0</v>
      </c>
      <c r="AU122" s="186" cm="1">
        <f t="array" ref="AU122">SUMPRODUCT(
  IFERROR(--desp[valor],0)*
  (desp[nucleo]="UP SELECT VILA SONIA")*
  (desp[categoria]=AU$7)*
  (desp[data.pagamento]&gt;=$A122)*
  (desp[data.pagamento]&lt;EOMONTH($A122,0)+1)
)</f>
        <v>0</v>
      </c>
      <c r="AV122" s="183">
        <f>COUNTIFS(
    estq[empresa], AV$6,
    estq[Data da venda / reserva], "&gt;=" &amp; $A122,
    estq[Data da venda / reserva], "&lt;"  &amp; EOMONTH($A122,0) + 1
)</f>
        <v>0</v>
      </c>
      <c r="AW122" s="184">
        <f ca="1">SUMIFS(rec.uni[2030-12-01],
INDIRECT("rec.uni[natureza]"),"pro.soluto",
INDIRECT("rec.uni[empresa]"),AW$6)</f>
        <v>0</v>
      </c>
      <c r="AX122" s="184">
        <f ca="1">SUMIFS(rec.uni[2030-12-01],
INDIRECT("rec.uni[natureza]"),"repasse.cef.obra",
INDIRECT("rec.uni[empresa]"),AX$6)</f>
        <v>0</v>
      </c>
      <c r="AY122" s="187">
        <f ca="1">SUMIFS(rec.uni[2030-12-01],
INDIRECT("rec.uni[natureza]"),"repasse.cef.terreno",
INDIRECT("rec.uni[empresa]"),AY$6)</f>
        <v>0</v>
      </c>
      <c r="AZ122" s="185"/>
      <c r="BA122" s="184">
        <f ca="1">SUMIFS(rec.uni[2030-12-01],
INDIRECT("rec.uni[natureza]"),"taxa.extra",
INDIRECT("rec.uni[empresa]"),BA$6)</f>
        <v>0</v>
      </c>
      <c r="BB122" s="186"/>
      <c r="BC122" s="186" cm="1">
        <f t="array" ref="BC122">SUMPRODUCT(
  IFERROR(--desp[valor],0)*
  (desp[nucleo]="UP ESTAÇÃO SÃO LUCAS")*
  (desp[categoria]=BC$7)*
  (desp[data.pagamento]&gt;=$A122)*
  (desp[data.pagamento]&lt;EOMONTH($A122,0)+1)
)</f>
        <v>0</v>
      </c>
      <c r="BD122" s="186" cm="1">
        <f t="array" ref="BD122">SUMPRODUCT(
  IFERROR(--desp[valor],0)*
  (desp[nucleo]="UP ESTAÇÃO SÃO LUCAS")*
  (desp[categoria]=BD$7)*
  (desp[data.pagamento]&gt;=$A122)*
  (desp[data.pagamento]&lt;EOMONTH($A122,0)+1)
)</f>
        <v>0</v>
      </c>
      <c r="BE122" s="186" cm="1">
        <f t="array" ref="BE122">SUMPRODUCT(
  IFERROR(--desp[valor],0)*
  (desp[nucleo]="UP ESTAÇÃO SÃO LUCAS")*
  (desp[categoria]=BE$7)*
  (desp[data.pagamento]&gt;=$A122)*
  (desp[data.pagamento]&lt;EOMONTH($A122,0)+1)
)</f>
        <v>0</v>
      </c>
      <c r="BF122" s="186" cm="1">
        <f t="array" ref="BF122">SUMPRODUCT(
  IFERROR(--desp[valor],0)*
  (desp[nucleo]="UP ESTAÇÃO SÃO LUCAS")*
  (desp[categoria]=BF$7)*
  (desp[data.pagamento]&gt;=$A122)*
  (desp[data.pagamento]&lt;EOMONTH($A122,0)+1)
)</f>
        <v>0</v>
      </c>
      <c r="BG122" s="186" cm="1">
        <f t="array" ref="BG122">SUMPRODUCT(
  IFERROR(--desp[valor],0)*
  (desp[nucleo]="UP ESTAÇÃO SÃO LUCAS")*
  (desp[categoria]=BG$7)*
  (desp[data.pagamento]&gt;=$A122)*
  (desp[data.pagamento]&lt;EOMONTH($A122,0)+1)
)</f>
        <v>0</v>
      </c>
      <c r="BH122" s="183">
        <f>COUNTIFS(
    estq[empresa], BH$6,
    estq[Data da venda / reserva], "&gt;=" &amp; $A122,
    estq[Data da venda / reserva], "&lt;"  &amp; EOMONTH($A122,0) + 1
)</f>
        <v>0</v>
      </c>
      <c r="BI122" s="184">
        <f ca="1">SUMIFS(rec.uni[2030-12-01],
INDIRECT("rec.uni[natureza]"),"pro.soluto",
INDIRECT("rec.uni[empresa]"),BI$6)</f>
        <v>0</v>
      </c>
      <c r="BJ122" s="185">
        <f ca="1">SUMIFS(rec.uni[2030-12-01],
INDIRECT("rec.uni[natureza]"),"parcela.fin.total.ik",
INDIRECT("rec.uni[empresa]"),BJ$6)</f>
        <v>0</v>
      </c>
      <c r="BK122" s="184">
        <f ca="1">SUMIFS(rec.uni[2030-12-01],
INDIRECT("rec.uni[natureza]"),"taxa.extra",
INDIRECT("rec.uni[empresa]"),BK$6)</f>
        <v>0</v>
      </c>
      <c r="BL122" s="186"/>
      <c r="BM122" s="186" cm="1">
        <f t="array" ref="BM122">SUMPRODUCT(
  IFERROR(--desp[valor],0)*
  (desp[nucleo]="UP POMPEIA")*
  (desp[categoria]=BM$7)*
  (desp[data.pagamento]&gt;=$A122)*
  (desp[data.pagamento]&lt;EOMONTH($A122,0)+1)
)</f>
        <v>0</v>
      </c>
      <c r="BN122" s="186" cm="1">
        <f t="array" ref="BN122">SUMPRODUCT(
  IFERROR(--desp[valor],0)*
  (desp[nucleo]="UP POMPEIA")*
  (desp[categoria]=BN$7)*
  (desp[data.pagamento]&gt;=$A122)*
  (desp[data.pagamento]&lt;EOMONTH($A122,0)+1)
)</f>
        <v>0</v>
      </c>
      <c r="BO122" s="186" cm="1">
        <f t="array" ref="BO122">SUMPRODUCT(
  IFERROR(--desp[valor],0)*
  (desp[nucleo]="UP POMPEIA")*
  (desp[categoria]=BO$7)*
  (desp[data.pagamento]&gt;=$A122)*
  (desp[data.pagamento]&lt;EOMONTH($A122,0)+1)
)</f>
        <v>0</v>
      </c>
      <c r="BP122" s="186" cm="1">
        <f t="array" ref="BP122">SUMPRODUCT(
  IFERROR(--desp[valor],0)*
  (desp[nucleo]="UP POMPEIA")*
  (desp[categoria]=BP$7)*
  (desp[data.pagamento]&gt;=$A122)*
  (desp[data.pagamento]&lt;EOMONTH($A122,0)+1)
)</f>
        <v>0</v>
      </c>
      <c r="BQ122" s="186" cm="1">
        <f t="array" ref="BQ122">SUMPRODUCT(
  IFERROR(--desp[valor],0)*
  (desp[nucleo]="UP POMPEIA")*
  (desp[categoria]=BQ$7)*
  (desp[data.pagamento]&gt;=$A122)*
  (desp[data.pagamento]&lt;EOMONTH($A122,0)+1)
)</f>
        <v>0</v>
      </c>
      <c r="BR122" s="183">
        <f>COUNTIFS(
    estq[empresa], BR$6,
    estq[Data da venda / reserva], "&gt;=" &amp; $A122,
    estq[Data da venda / reserva], "&lt;"  &amp; EOMONTH($A122,0) + 1
)</f>
        <v>0</v>
      </c>
      <c r="BS122" s="184">
        <f ca="1">SUMIFS(rec.uni[2030-12-01],
INDIRECT("rec.uni[natureza]"),"pro.soluto",
INDIRECT("rec.uni[empresa]"),BS$6)</f>
        <v>0</v>
      </c>
      <c r="BT122" s="185">
        <f ca="1">SUMIFS(rec.uni[2030-12-01],
INDIRECT("rec.uni[natureza]"),"parcela.fin.total.ik",
INDIRECT("rec.uni[empresa]"),BT$6)</f>
        <v>0</v>
      </c>
      <c r="BU122" s="184">
        <f ca="1">SUMIFS(rec.uni[2030-12-01],
INDIRECT("rec.uni[natureza]"),"taxa.extra",
INDIRECT("rec.uni[empresa]"),BU$6)</f>
        <v>0</v>
      </c>
      <c r="BV122" s="186"/>
      <c r="BW122" s="186" cm="1">
        <f t="array" ref="BW122">SUMPRODUCT(
  IFERROR(--desp[valor],0)*
  (desp[nucleo]="UP SAUDE")*
  (desp[categoria]=BW$7)*
  (desp[data.pagamento]&gt;=$A122)*
  (desp[data.pagamento]&lt;EOMONTH($A122,0)+1)
)</f>
        <v>0</v>
      </c>
      <c r="BX122" s="186" cm="1">
        <f t="array" ref="BX122">SUMPRODUCT(
  IFERROR(--desp[valor],0)*
  (desp[nucleo]="UP SAUDE")*
  (desp[categoria]=BX$7)*
  (desp[data.pagamento]&gt;=$A122)*
  (desp[data.pagamento]&lt;EOMONTH($A122,0)+1)
)</f>
        <v>0</v>
      </c>
      <c r="BY122" s="186" cm="1">
        <f t="array" ref="BY122">SUMPRODUCT(
  IFERROR(--desp[valor],0)*
  (desp[nucleo]="UP SAUDE")*
  (desp[categoria]=BY$7)*
  (desp[data.pagamento]&gt;=$A122)*
  (desp[data.pagamento]&lt;EOMONTH($A122,0)+1)
)</f>
        <v>0</v>
      </c>
      <c r="BZ122" s="186" cm="1">
        <f t="array" ref="BZ122">SUMPRODUCT(
  IFERROR(--desp[valor],0)*
  (desp[nucleo]="UP SAUDE")*
  (desp[categoria]=BZ$7)*
  (desp[data.pagamento]&gt;=$A122)*
  (desp[data.pagamento]&lt;EOMONTH($A122,0)+1)
)</f>
        <v>0</v>
      </c>
      <c r="CA122" s="186" cm="1">
        <f t="array" ref="CA122">SUMPRODUCT(
  IFERROR(--desp[valor],0)*
  (desp[nucleo]="UP SAUDE")*
  (desp[categoria]=CA$7)*
  (desp[data.pagamento]&gt;=$A122)*
  (desp[data.pagamento]&lt;EOMONTH($A122,0)+1)
)</f>
        <v>0</v>
      </c>
      <c r="CB122" s="183">
        <f>COUNTIFS(
    estq[empresa], CB$6,
    estq[Data da venda / reserva], "&gt;=" &amp; $A122,
    estq[Data da venda / reserva], "&lt;"  &amp; EOMONTH($A122,0) + 1
)</f>
        <v>0</v>
      </c>
      <c r="CC122" s="184">
        <f ca="1">SUMIFS(rec.uni[2030-12-01],
INDIRECT("rec.uni[natureza]"),"pro.soluto",
INDIRECT("rec.uni[empresa]"),CC$6)</f>
        <v>0</v>
      </c>
      <c r="CD122" s="184">
        <f ca="1">SUMIFS(rec.uni[2030-12-01],
INDIRECT("rec.uni[natureza]"),"repasse.cef.obra",
INDIRECT("rec.uni[empresa]"),CD$6)</f>
        <v>0</v>
      </c>
      <c r="CE122" s="187">
        <f ca="1">SUMIFS(rec.uni[2030-12-01],
INDIRECT("rec.uni[natureza]"),"repasse.cef.terreno",
INDIRECT("rec.uni[empresa]"),CE$6)</f>
        <v>0</v>
      </c>
      <c r="CF122" s="185"/>
      <c r="CG122" s="184">
        <f ca="1">SUMIFS(rec.uni[2030-12-01],
INDIRECT("rec.uni[natureza]"),"taxa.extra",
INDIRECT("rec.uni[empresa]"),CG$6)</f>
        <v>0</v>
      </c>
      <c r="CH122" s="186"/>
      <c r="CI122" s="186" cm="1">
        <f t="array" ref="CI122">SUMPRODUCT(
  IFERROR(--desp[valor],0)*
  (desp[nucleo]="UP ESTAÇÃO VILA SONIA")*
  (desp[categoria]=CI$7)*
  (desp[data.pagamento]&gt;=$A122)*
  (desp[data.pagamento]&lt;EOMONTH($A122,0)+1)
)</f>
        <v>0</v>
      </c>
      <c r="CJ122" s="186" cm="1">
        <f t="array" ref="CJ122">SUMPRODUCT(
  IFERROR(--desp[valor],0)*
  (desp[nucleo]="UP ESTAÇÃO VILA SONIA")*
  (desp[categoria]=CJ$7)*
  (desp[data.pagamento]&gt;=$A122)*
  (desp[data.pagamento]&lt;EOMONTH($A122,0)+1)
)</f>
        <v>0</v>
      </c>
      <c r="CK122" s="186" cm="1">
        <f t="array" ref="CK122">SUMPRODUCT(
  IFERROR(--desp[valor],0)*
  (desp[nucleo]="UP ESTAÇÃO VILA SONIA")*
  (desp[categoria]=CK$7)*
  (desp[data.pagamento]&gt;=$A122)*
  (desp[data.pagamento]&lt;EOMONTH($A122,0)+1)
)</f>
        <v>0</v>
      </c>
      <c r="CL122" s="186" cm="1">
        <f t="array" ref="CL122">SUMPRODUCT(
  IFERROR(--desp[valor],0)*
  (desp[nucleo]="UP ESTAÇÃO VILA SONIA")*
  (desp[categoria]=CL$7)*
  (desp[data.pagamento]&gt;=$A122)*
  (desp[data.pagamento]&lt;EOMONTH($A122,0)+1)
)</f>
        <v>0</v>
      </c>
      <c r="CM122" s="186" cm="1">
        <f t="array" ref="CM122">SUMPRODUCT(
  IFERROR(--desp[valor],0)*
  (desp[nucleo]="UP ESTAÇÃO VILA SONIA")*
  (desp[categoria]=CM$7)*
  (desp[data.pagamento]&gt;=$A122)*
  (desp[data.pagamento]&lt;EOMONTH($A122,0)+1)
)</f>
        <v>0</v>
      </c>
      <c r="CN122" s="183">
        <f>COUNTIFS(
    estq[empresa], CN$6,
    estq[Data da venda / reserva], "&gt;=" &amp; $A122,
    estq[Data da venda / reserva], "&lt;"  &amp; EOMONTH($A122,0) + 1
)</f>
        <v>0</v>
      </c>
      <c r="CO122" s="184">
        <f ca="1">SUMIFS(rec.uni[2030-12-01],
INDIRECT("rec.uni[natureza]"),"pro.soluto",
INDIRECT("rec.uni[empresa]"),CO$6)</f>
        <v>0</v>
      </c>
      <c r="CP122" s="184">
        <f ca="1">SUMIFS(rec.uni[2030-12-01],
INDIRECT("rec.uni[natureza]"),"repasse.cef.obra",
INDIRECT("rec.uni[empresa]"),CP$6)</f>
        <v>0</v>
      </c>
      <c r="CQ122" s="187">
        <f ca="1">SUMIFS(rec.uni[2030-12-01],
INDIRECT("rec.uni[natureza]"),"repasse.cef.terreno",
INDIRECT("rec.uni[empresa]"),CQ$6)</f>
        <v>0</v>
      </c>
      <c r="CR122" s="185"/>
      <c r="CS122" s="184">
        <f ca="1">SUMIFS(rec.uni[2030-12-01],
INDIRECT("rec.uni[natureza]"),"taxa.extra",
INDIRECT("rec.uni[empresa]"),CS$6)</f>
        <v>0</v>
      </c>
      <c r="CT122" s="186"/>
      <c r="CU122" s="186" cm="1">
        <f t="array" ref="CU122">SUMPRODUCT(
  IFERROR(--desp[valor],0)*
  (desp[nucleo]="UP MOVE VILA SONIA")*
  (desp[categoria]=CU$7)*
  (desp[data.pagamento]&gt;=$A122)*
  (desp[data.pagamento]&lt;EOMONTH($A122,0)+1)
)</f>
        <v>0</v>
      </c>
      <c r="CV122" s="186" cm="1">
        <f t="array" ref="CV122">SUMPRODUCT(
  IFERROR(--desp[valor],0)*
  (desp[nucleo]="UP MOVE VILA SONIA")*
  (desp[categoria]=CV$7)*
  (desp[data.pagamento]&gt;=$A122)*
  (desp[data.pagamento]&lt;EOMONTH($A122,0)+1)
)</f>
        <v>0</v>
      </c>
      <c r="CW122" s="186" cm="1">
        <f t="array" ref="CW122">SUMPRODUCT(
  IFERROR(--desp[valor],0)*
  (desp[nucleo]="UP MOVE VILA SONIA")*
  (desp[categoria]=CW$7)*
  (desp[data.pagamento]&gt;=$A122)*
  (desp[data.pagamento]&lt;EOMONTH($A122,0)+1)
)</f>
        <v>0</v>
      </c>
      <c r="CX122" s="186" cm="1">
        <f t="array" ref="CX122">SUMPRODUCT(
  IFERROR(--desp[valor],0)*
  (desp[nucleo]="UP MOVE VILA SONIA")*
  (desp[categoria]=CX$7)*
  (desp[data.pagamento]&gt;=$A122)*
  (desp[data.pagamento]&lt;EOMONTH($A122,0)+1)
)</f>
        <v>0</v>
      </c>
      <c r="CY122" s="292" cm="1">
        <f t="array" ref="CY122">SUMPRODUCT(
  IFERROR(--desp[valor],0)*
  (desp[nucleo]="UP MOVE VILA SONIA")*
  (desp[categoria]=CY$7)*
  (desp[data.pagamento]&gt;=$A122)*
  (desp[data.pagamento]&lt;EOMONTH($A122,0)+1)
)</f>
        <v>0</v>
      </c>
    </row>
  </sheetData>
  <conditionalFormatting sqref="A11:CY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showGridLines="0" workbookViewId="0"/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12">
        <v>2301149</v>
      </c>
      <c r="H2" s="9"/>
      <c r="I2" s="7" t="s">
        <v>7</v>
      </c>
      <c r="J2" s="10"/>
      <c r="K2" s="112">
        <v>1567849</v>
      </c>
      <c r="O2" s="9"/>
      <c r="P2" s="7" t="s">
        <v>7</v>
      </c>
      <c r="Q2" s="10"/>
      <c r="R2" s="112">
        <v>5448793</v>
      </c>
      <c r="V2" s="9"/>
      <c r="W2" s="7" t="s">
        <v>7</v>
      </c>
      <c r="X2" s="10"/>
      <c r="Y2" s="112">
        <v>30073218</v>
      </c>
      <c r="Z2" s="9"/>
      <c r="AA2" s="7" t="s">
        <v>7</v>
      </c>
      <c r="AB2" s="10"/>
      <c r="AC2" s="112">
        <v>420000</v>
      </c>
      <c r="AE2" s="9"/>
      <c r="AF2" s="7" t="s">
        <v>7</v>
      </c>
      <c r="AG2" s="10"/>
      <c r="AH2" s="112">
        <v>2222876</v>
      </c>
      <c r="AL2" s="9"/>
      <c r="AM2" s="7" t="s">
        <v>7</v>
      </c>
      <c r="AN2" s="10"/>
      <c r="AO2" s="112">
        <v>35524021</v>
      </c>
      <c r="AP2" s="9"/>
    </row>
    <row r="3" spans="1:42" ht="15.75" x14ac:dyDescent="0.25">
      <c r="B3" s="11" t="s">
        <v>8</v>
      </c>
      <c r="C3" s="12"/>
      <c r="D3" s="113">
        <v>12</v>
      </c>
      <c r="H3" s="9"/>
      <c r="I3" s="11" t="s">
        <v>8</v>
      </c>
      <c r="J3" s="13"/>
      <c r="K3" s="113">
        <v>6</v>
      </c>
      <c r="O3" s="9"/>
      <c r="P3" s="11" t="s">
        <v>8</v>
      </c>
      <c r="Q3" s="13"/>
      <c r="R3" s="113">
        <v>13</v>
      </c>
      <c r="V3" s="9"/>
      <c r="W3" s="11" t="s">
        <v>8</v>
      </c>
      <c r="X3" s="13"/>
      <c r="Y3" s="113">
        <v>93</v>
      </c>
      <c r="Z3" s="9"/>
      <c r="AA3" s="11" t="s">
        <v>8</v>
      </c>
      <c r="AB3" s="13"/>
      <c r="AC3" s="113">
        <v>1</v>
      </c>
      <c r="AE3" s="9"/>
      <c r="AF3" s="11" t="s">
        <v>8</v>
      </c>
      <c r="AG3" s="13"/>
      <c r="AH3" s="113">
        <v>7</v>
      </c>
      <c r="AL3" s="9"/>
      <c r="AM3" s="11" t="s">
        <v>8</v>
      </c>
      <c r="AN3" s="13"/>
      <c r="AO3" s="113">
        <v>107</v>
      </c>
      <c r="AP3" s="9"/>
    </row>
    <row r="4" spans="1:42" ht="15.75" x14ac:dyDescent="0.25">
      <c r="B4" s="7" t="s">
        <v>9</v>
      </c>
      <c r="C4" s="8"/>
      <c r="D4" s="114"/>
      <c r="H4" s="9"/>
      <c r="I4" s="7" t="s">
        <v>9</v>
      </c>
      <c r="J4" s="10"/>
      <c r="K4" s="114"/>
      <c r="O4" s="9"/>
      <c r="P4" s="7" t="s">
        <v>9</v>
      </c>
      <c r="Q4" s="10"/>
      <c r="R4" s="114"/>
      <c r="V4" s="9"/>
      <c r="W4" s="7" t="s">
        <v>9</v>
      </c>
      <c r="X4" s="10"/>
      <c r="Y4" s="114"/>
      <c r="Z4" s="9"/>
      <c r="AA4" s="14"/>
      <c r="AE4" s="9"/>
      <c r="AF4" s="7" t="s">
        <v>9</v>
      </c>
      <c r="AG4" s="10"/>
      <c r="AH4" s="114"/>
      <c r="AL4" s="9"/>
      <c r="AM4" s="7" t="s">
        <v>9</v>
      </c>
      <c r="AN4" s="10"/>
      <c r="AO4" s="114"/>
      <c r="AP4" s="9"/>
    </row>
    <row r="5" spans="1:42" ht="15.75" x14ac:dyDescent="0.25">
      <c r="B5" s="15" t="s">
        <v>10</v>
      </c>
      <c r="C5" s="16"/>
      <c r="D5" s="115"/>
      <c r="H5" s="17"/>
      <c r="I5" s="15" t="s">
        <v>10</v>
      </c>
      <c r="J5" s="18"/>
      <c r="K5" s="115"/>
      <c r="O5" s="17"/>
      <c r="P5" s="15" t="s">
        <v>10</v>
      </c>
      <c r="Q5" s="18"/>
      <c r="R5" s="115"/>
      <c r="V5" s="17"/>
      <c r="W5" s="15" t="s">
        <v>10</v>
      </c>
      <c r="X5" s="18"/>
      <c r="Y5" s="115"/>
      <c r="Z5" s="17"/>
      <c r="AA5" s="19"/>
      <c r="AB5" s="20"/>
      <c r="AE5" s="17"/>
      <c r="AF5" s="15" t="s">
        <v>10</v>
      </c>
      <c r="AG5" s="18"/>
      <c r="AH5" s="115"/>
      <c r="AL5" s="17"/>
      <c r="AM5" s="15" t="s">
        <v>10</v>
      </c>
      <c r="AN5" s="18"/>
      <c r="AO5" s="115"/>
      <c r="AP5" s="17"/>
    </row>
    <row r="6" spans="1:42" ht="15.75" x14ac:dyDescent="0.25">
      <c r="A6" s="21" t="s">
        <v>11</v>
      </c>
      <c r="B6" s="22" t="s">
        <v>12</v>
      </c>
      <c r="C6" s="23" t="s">
        <v>12</v>
      </c>
      <c r="D6" s="23" t="s">
        <v>12</v>
      </c>
      <c r="E6" s="23" t="s">
        <v>12</v>
      </c>
      <c r="F6" s="24" t="s">
        <v>12</v>
      </c>
      <c r="G6" s="23" t="s">
        <v>12</v>
      </c>
      <c r="H6" s="25" t="s">
        <v>12</v>
      </c>
      <c r="I6" s="22" t="s">
        <v>13</v>
      </c>
      <c r="J6" s="23" t="s">
        <v>13</v>
      </c>
      <c r="K6" s="23" t="s">
        <v>13</v>
      </c>
      <c r="L6" s="23" t="s">
        <v>13</v>
      </c>
      <c r="M6" s="23" t="s">
        <v>13</v>
      </c>
      <c r="N6" s="23" t="s">
        <v>13</v>
      </c>
      <c r="O6" s="25" t="s">
        <v>13</v>
      </c>
      <c r="P6" s="22" t="s">
        <v>14</v>
      </c>
      <c r="Q6" s="23" t="s">
        <v>14</v>
      </c>
      <c r="R6" s="23" t="s">
        <v>14</v>
      </c>
      <c r="S6" s="23" t="s">
        <v>14</v>
      </c>
      <c r="T6" s="23" t="s">
        <v>14</v>
      </c>
      <c r="U6" s="23" t="s">
        <v>14</v>
      </c>
      <c r="V6" s="25" t="s">
        <v>14</v>
      </c>
      <c r="W6" s="22" t="s">
        <v>15</v>
      </c>
      <c r="X6" s="23" t="s">
        <v>15</v>
      </c>
      <c r="Y6" s="23" t="s">
        <v>15</v>
      </c>
      <c r="Z6" s="25" t="s">
        <v>15</v>
      </c>
      <c r="AA6" s="22" t="s">
        <v>16</v>
      </c>
      <c r="AB6" s="23" t="s">
        <v>16</v>
      </c>
      <c r="AC6" s="23" t="s">
        <v>16</v>
      </c>
      <c r="AD6" s="23" t="s">
        <v>16</v>
      </c>
      <c r="AE6" s="25" t="s">
        <v>16</v>
      </c>
      <c r="AF6" s="22" t="s">
        <v>17</v>
      </c>
      <c r="AG6" s="23" t="s">
        <v>17</v>
      </c>
      <c r="AH6" s="23" t="s">
        <v>17</v>
      </c>
      <c r="AI6" s="23" t="s">
        <v>17</v>
      </c>
      <c r="AJ6" s="23" t="s">
        <v>17</v>
      </c>
      <c r="AK6" s="23" t="s">
        <v>17</v>
      </c>
      <c r="AL6" s="25" t="s">
        <v>17</v>
      </c>
      <c r="AM6" s="22" t="s">
        <v>18</v>
      </c>
      <c r="AN6" s="23" t="s">
        <v>18</v>
      </c>
      <c r="AO6" s="23" t="s">
        <v>18</v>
      </c>
      <c r="AP6" s="25" t="s">
        <v>18</v>
      </c>
    </row>
    <row r="7" spans="1:42" ht="30" x14ac:dyDescent="0.25">
      <c r="A7" s="21" t="s">
        <v>19</v>
      </c>
      <c r="B7" s="26" t="s">
        <v>20</v>
      </c>
      <c r="C7" s="27" t="s">
        <v>21</v>
      </c>
      <c r="D7" s="27" t="s">
        <v>22</v>
      </c>
      <c r="E7" s="27" t="s">
        <v>23</v>
      </c>
      <c r="F7" s="28" t="s">
        <v>24</v>
      </c>
      <c r="G7" s="27" t="s">
        <v>25</v>
      </c>
      <c r="H7" s="29" t="s">
        <v>26</v>
      </c>
      <c r="I7" s="26" t="s">
        <v>20</v>
      </c>
      <c r="J7" s="27" t="s">
        <v>21</v>
      </c>
      <c r="K7" s="27" t="s">
        <v>22</v>
      </c>
      <c r="L7" s="27" t="s">
        <v>23</v>
      </c>
      <c r="M7" s="28" t="s">
        <v>24</v>
      </c>
      <c r="N7" s="27" t="s">
        <v>25</v>
      </c>
      <c r="O7" s="29" t="s">
        <v>26</v>
      </c>
      <c r="P7" s="26" t="s">
        <v>20</v>
      </c>
      <c r="Q7" s="27" t="s">
        <v>21</v>
      </c>
      <c r="R7" s="27" t="s">
        <v>22</v>
      </c>
      <c r="S7" s="27" t="s">
        <v>23</v>
      </c>
      <c r="T7" s="28" t="s">
        <v>24</v>
      </c>
      <c r="U7" s="27" t="s">
        <v>25</v>
      </c>
      <c r="V7" s="29" t="s">
        <v>26</v>
      </c>
      <c r="W7" s="26" t="s">
        <v>20</v>
      </c>
      <c r="X7" s="27" t="s">
        <v>21</v>
      </c>
      <c r="Y7" s="27" t="s">
        <v>25</v>
      </c>
      <c r="Z7" s="29" t="s">
        <v>26</v>
      </c>
      <c r="AA7" s="26" t="s">
        <v>20</v>
      </c>
      <c r="AB7" s="27" t="s">
        <v>21</v>
      </c>
      <c r="AC7" s="27" t="s">
        <v>27</v>
      </c>
      <c r="AD7" s="27" t="s">
        <v>25</v>
      </c>
      <c r="AE7" s="29" t="s">
        <v>26</v>
      </c>
      <c r="AF7" s="26" t="s">
        <v>20</v>
      </c>
      <c r="AG7" s="27" t="s">
        <v>21</v>
      </c>
      <c r="AH7" s="27" t="s">
        <v>22</v>
      </c>
      <c r="AI7" s="27" t="s">
        <v>23</v>
      </c>
      <c r="AJ7" s="28" t="s">
        <v>24</v>
      </c>
      <c r="AK7" s="27" t="s">
        <v>25</v>
      </c>
      <c r="AL7" s="29" t="s">
        <v>26</v>
      </c>
      <c r="AM7" s="26" t="s">
        <v>20</v>
      </c>
      <c r="AN7" s="27" t="s">
        <v>21</v>
      </c>
      <c r="AO7" s="27" t="s">
        <v>25</v>
      </c>
      <c r="AP7" s="29" t="s">
        <v>26</v>
      </c>
    </row>
    <row r="8" spans="1:42" ht="15.75" x14ac:dyDescent="0.25">
      <c r="A8" s="30" t="s">
        <v>28</v>
      </c>
      <c r="B8" s="31">
        <f t="shared" ref="B8:AP8" si="0">SUMIF($A$11:$A$122,"&lt;="&amp;$A$1,B$11:B$122)</f>
        <v>84</v>
      </c>
      <c r="C8" s="32">
        <f t="shared" si="0"/>
        <v>5441368</v>
      </c>
      <c r="D8" s="32">
        <f t="shared" si="0"/>
        <v>10969791</v>
      </c>
      <c r="E8" s="32">
        <f t="shared" si="0"/>
        <v>2076560</v>
      </c>
      <c r="F8" s="33">
        <f t="shared" si="0"/>
        <v>0</v>
      </c>
      <c r="G8" s="32">
        <f t="shared" si="0"/>
        <v>0</v>
      </c>
      <c r="H8" s="34">
        <f t="shared" si="0"/>
        <v>0</v>
      </c>
      <c r="I8" s="31">
        <f t="shared" si="0"/>
        <v>151</v>
      </c>
      <c r="J8" s="32">
        <f t="shared" si="0"/>
        <v>17547728</v>
      </c>
      <c r="K8" s="32">
        <f t="shared" si="0"/>
        <v>18611890</v>
      </c>
      <c r="L8" s="32">
        <f t="shared" si="0"/>
        <v>3812440</v>
      </c>
      <c r="M8" s="33">
        <f t="shared" si="0"/>
        <v>0</v>
      </c>
      <c r="N8" s="32">
        <f t="shared" si="0"/>
        <v>0</v>
      </c>
      <c r="O8" s="34">
        <f t="shared" si="0"/>
        <v>0</v>
      </c>
      <c r="P8" s="31">
        <f>SUMIF($A$11:$A$122,"&lt;="&amp;$A$1,P$11:P$122)</f>
        <v>128</v>
      </c>
      <c r="Q8" s="32">
        <f t="shared" si="0"/>
        <v>8224551</v>
      </c>
      <c r="R8" s="32">
        <f t="shared" si="0"/>
        <v>4747377</v>
      </c>
      <c r="S8" s="32">
        <f t="shared" si="0"/>
        <v>4683225</v>
      </c>
      <c r="T8" s="33">
        <f t="shared" si="0"/>
        <v>0</v>
      </c>
      <c r="U8" s="32">
        <f t="shared" si="0"/>
        <v>0</v>
      </c>
      <c r="V8" s="34">
        <f t="shared" si="0"/>
        <v>0</v>
      </c>
      <c r="W8" s="31">
        <f t="shared" ref="W8:AM8" si="1">SUMIF($A$11:$A$122,"&lt;="&amp;$A$1,W$11:W$122)</f>
        <v>121</v>
      </c>
      <c r="X8" s="32">
        <f t="shared" si="0"/>
        <v>1155519</v>
      </c>
      <c r="Y8" s="32">
        <f t="shared" si="0"/>
        <v>0</v>
      </c>
      <c r="Z8" s="34">
        <f t="shared" si="0"/>
        <v>0</v>
      </c>
      <c r="AA8" s="31">
        <f t="shared" si="1"/>
        <v>55</v>
      </c>
      <c r="AB8" s="32">
        <f t="shared" si="0"/>
        <v>8478046</v>
      </c>
      <c r="AC8" s="35" t="s">
        <v>44</v>
      </c>
      <c r="AD8" s="32">
        <f t="shared" si="0"/>
        <v>0</v>
      </c>
      <c r="AE8" s="34">
        <f t="shared" si="0"/>
        <v>0</v>
      </c>
      <c r="AF8" s="31">
        <f t="shared" si="1"/>
        <v>190</v>
      </c>
      <c r="AG8" s="32">
        <f t="shared" si="0"/>
        <v>11982013.73</v>
      </c>
      <c r="AH8" s="32">
        <f t="shared" si="0"/>
        <v>6607255</v>
      </c>
      <c r="AI8" s="32">
        <f t="shared" si="0"/>
        <v>6328879</v>
      </c>
      <c r="AJ8" s="33">
        <f t="shared" si="0"/>
        <v>0</v>
      </c>
      <c r="AK8" s="32">
        <f t="shared" si="0"/>
        <v>0</v>
      </c>
      <c r="AL8" s="34">
        <f t="shared" si="0"/>
        <v>0</v>
      </c>
      <c r="AM8" s="31">
        <f t="shared" si="1"/>
        <v>270</v>
      </c>
      <c r="AN8" s="32">
        <f t="shared" si="0"/>
        <v>4070583</v>
      </c>
      <c r="AO8" s="32">
        <f t="shared" si="0"/>
        <v>0</v>
      </c>
      <c r="AP8" s="34">
        <f t="shared" si="0"/>
        <v>0</v>
      </c>
    </row>
    <row r="9" spans="1:42" ht="15.75" x14ac:dyDescent="0.25">
      <c r="A9" s="30" t="s">
        <v>29</v>
      </c>
      <c r="B9" s="31">
        <f>B$10-B$8</f>
        <v>-84</v>
      </c>
      <c r="C9" s="32">
        <f>SUMIF($A$11:$A$122,"&gt;"&amp;$A$1,C$11:C$122)</f>
        <v>2532963</v>
      </c>
      <c r="D9" s="109">
        <f t="shared" ref="D9:H9" si="2">SUMIF($A$11:$A$122,"&gt;"&amp;$A$1,D$11:D$122)</f>
        <v>2411486</v>
      </c>
      <c r="E9" s="109">
        <f t="shared" si="2"/>
        <v>163842</v>
      </c>
      <c r="F9" s="110">
        <f t="shared" si="2"/>
        <v>0</v>
      </c>
      <c r="G9" s="32">
        <f t="shared" si="2"/>
        <v>0</v>
      </c>
      <c r="H9" s="111">
        <f t="shared" si="2"/>
        <v>0</v>
      </c>
      <c r="I9" s="31">
        <f>I$10-I$8</f>
        <v>-151</v>
      </c>
      <c r="J9" s="32">
        <f t="shared" ref="J9:AP9" si="3">SUMIF($A$11:$A$122,"&gt;"&amp;$A$1,J$11:J$122)</f>
        <v>42900</v>
      </c>
      <c r="K9" s="109">
        <f t="shared" si="3"/>
        <v>0</v>
      </c>
      <c r="L9" s="109">
        <f t="shared" si="3"/>
        <v>0</v>
      </c>
      <c r="M9" s="110">
        <f t="shared" si="3"/>
        <v>0</v>
      </c>
      <c r="N9" s="32">
        <f t="shared" si="3"/>
        <v>0</v>
      </c>
      <c r="O9" s="111">
        <f t="shared" si="3"/>
        <v>0</v>
      </c>
      <c r="P9" s="31">
        <f>P$10-P$8</f>
        <v>-128</v>
      </c>
      <c r="Q9" s="32">
        <f t="shared" si="3"/>
        <v>6883519</v>
      </c>
      <c r="R9" s="109">
        <f t="shared" si="3"/>
        <v>17101428</v>
      </c>
      <c r="S9" s="109">
        <f t="shared" si="3"/>
        <v>148936</v>
      </c>
      <c r="T9" s="110">
        <f t="shared" si="3"/>
        <v>0</v>
      </c>
      <c r="U9" s="32">
        <f t="shared" si="3"/>
        <v>0</v>
      </c>
      <c r="V9" s="111">
        <f t="shared" si="3"/>
        <v>0</v>
      </c>
      <c r="W9" s="31">
        <f>W$10-W$8</f>
        <v>-121</v>
      </c>
      <c r="X9" s="32">
        <f t="shared" si="3"/>
        <v>5494622</v>
      </c>
      <c r="Y9" s="32">
        <f t="shared" si="3"/>
        <v>0</v>
      </c>
      <c r="Z9" s="111">
        <f t="shared" si="3"/>
        <v>0</v>
      </c>
      <c r="AA9" s="31">
        <f>AA$10-AA$8</f>
        <v>-55</v>
      </c>
      <c r="AB9" s="32">
        <f t="shared" si="3"/>
        <v>3542427</v>
      </c>
      <c r="AC9" s="109">
        <f>SUMIF($A$11:$A$122,"&gt;"&amp;$A$1,AC$11:AC$122)</f>
        <v>13476430</v>
      </c>
      <c r="AD9" s="32">
        <f t="shared" si="3"/>
        <v>0</v>
      </c>
      <c r="AE9" s="111">
        <f t="shared" si="3"/>
        <v>0</v>
      </c>
      <c r="AF9" s="31">
        <f>AF$10-AF$8</f>
        <v>-190</v>
      </c>
      <c r="AG9" s="32">
        <f t="shared" si="3"/>
        <v>6927535</v>
      </c>
      <c r="AH9" s="109">
        <f t="shared" si="3"/>
        <v>25947554</v>
      </c>
      <c r="AI9" s="109">
        <f t="shared" si="3"/>
        <v>369231</v>
      </c>
      <c r="AJ9" s="110">
        <f t="shared" si="3"/>
        <v>0</v>
      </c>
      <c r="AK9" s="32">
        <f t="shared" si="3"/>
        <v>0</v>
      </c>
      <c r="AL9" s="111">
        <f t="shared" si="3"/>
        <v>0</v>
      </c>
      <c r="AM9" s="31">
        <f>AM$10-AM$8</f>
        <v>-270</v>
      </c>
      <c r="AN9" s="32">
        <f t="shared" si="3"/>
        <v>14956888</v>
      </c>
      <c r="AO9" s="32">
        <f t="shared" si="3"/>
        <v>0</v>
      </c>
      <c r="AP9" s="111">
        <f t="shared" si="3"/>
        <v>0</v>
      </c>
    </row>
    <row r="10" spans="1:42" ht="15.75" x14ac:dyDescent="0.25">
      <c r="A10" s="36" t="s">
        <v>30</v>
      </c>
      <c r="B10" s="101">
        <f>status.unis!H4</f>
        <v>0</v>
      </c>
      <c r="C10" s="37">
        <f t="shared" ref="C10:H10" si="4">SUM(C8:C9)</f>
        <v>7974331</v>
      </c>
      <c r="D10" s="37">
        <f t="shared" si="4"/>
        <v>13381277</v>
      </c>
      <c r="E10" s="37">
        <f t="shared" si="4"/>
        <v>2240402</v>
      </c>
      <c r="F10" s="38">
        <f t="shared" si="4"/>
        <v>0</v>
      </c>
      <c r="G10" s="37">
        <f t="shared" si="4"/>
        <v>0</v>
      </c>
      <c r="H10" s="39">
        <f t="shared" si="4"/>
        <v>0</v>
      </c>
      <c r="I10" s="101">
        <f>status.unis!H8</f>
        <v>0</v>
      </c>
      <c r="J10" s="37">
        <f t="shared" ref="J10:O10" si="5">SUM(J8:J9)</f>
        <v>17590628</v>
      </c>
      <c r="K10" s="37">
        <f t="shared" si="5"/>
        <v>18611890</v>
      </c>
      <c r="L10" s="37">
        <f t="shared" si="5"/>
        <v>3812440</v>
      </c>
      <c r="M10" s="38">
        <f t="shared" si="5"/>
        <v>0</v>
      </c>
      <c r="N10" s="37">
        <f t="shared" si="5"/>
        <v>0</v>
      </c>
      <c r="O10" s="39">
        <f t="shared" si="5"/>
        <v>0</v>
      </c>
      <c r="P10" s="101">
        <f>status.unis!H16</f>
        <v>0</v>
      </c>
      <c r="Q10" s="37">
        <f t="shared" ref="Q10:V10" si="6">SUM(Q8:Q9)</f>
        <v>15108070</v>
      </c>
      <c r="R10" s="37">
        <f t="shared" si="6"/>
        <v>21848805</v>
      </c>
      <c r="S10" s="37">
        <f t="shared" si="6"/>
        <v>4832161</v>
      </c>
      <c r="T10" s="38">
        <f t="shared" si="6"/>
        <v>0</v>
      </c>
      <c r="U10" s="37">
        <f t="shared" si="6"/>
        <v>0</v>
      </c>
      <c r="V10" s="39">
        <f t="shared" si="6"/>
        <v>0</v>
      </c>
      <c r="W10" s="101">
        <f>status.unis!H20</f>
        <v>0</v>
      </c>
      <c r="X10" s="37">
        <f>SUM(X8:X9)</f>
        <v>6650141</v>
      </c>
      <c r="Y10" s="37">
        <f>SUM(Y8:Y9)</f>
        <v>0</v>
      </c>
      <c r="Z10" s="39">
        <f>SUM(Z8:Z9)</f>
        <v>0</v>
      </c>
      <c r="AA10" s="101">
        <f>status.unis!H24</f>
        <v>0</v>
      </c>
      <c r="AB10" s="37">
        <f>SUM(AB8:AB9)</f>
        <v>12020473</v>
      </c>
      <c r="AC10" s="37">
        <f>SUM(AC8:AC9)</f>
        <v>13476430</v>
      </c>
      <c r="AD10" s="37">
        <f>SUM(AD8:AD9)</f>
        <v>0</v>
      </c>
      <c r="AE10" s="39">
        <f>SUM(AE8:AE9)</f>
        <v>0</v>
      </c>
      <c r="AF10" s="101">
        <f>status.unis!H32</f>
        <v>0</v>
      </c>
      <c r="AG10" s="37">
        <f t="shared" ref="AG10:AL10" si="7">SUM(AG8:AG9)</f>
        <v>18909548.73</v>
      </c>
      <c r="AH10" s="37">
        <f t="shared" si="7"/>
        <v>32554809</v>
      </c>
      <c r="AI10" s="37">
        <f t="shared" si="7"/>
        <v>6698110</v>
      </c>
      <c r="AJ10" s="38">
        <f t="shared" si="7"/>
        <v>0</v>
      </c>
      <c r="AK10" s="37">
        <f t="shared" si="7"/>
        <v>0</v>
      </c>
      <c r="AL10" s="39">
        <f t="shared" si="7"/>
        <v>0</v>
      </c>
      <c r="AM10" s="101">
        <f>status.unis!H36</f>
        <v>0</v>
      </c>
      <c r="AN10" s="37">
        <f>SUM(AN8:AN9)</f>
        <v>19027471</v>
      </c>
      <c r="AO10" s="37">
        <f>SUM(AO8:AO9)</f>
        <v>0</v>
      </c>
      <c r="AP10" s="39">
        <f>SUM(AP8:AP9)</f>
        <v>0</v>
      </c>
    </row>
    <row r="11" spans="1:42" x14ac:dyDescent="0.25">
      <c r="A11" s="40">
        <v>44440</v>
      </c>
      <c r="B11" s="101"/>
      <c r="C11" s="102"/>
      <c r="D11" s="102"/>
      <c r="E11" s="102"/>
      <c r="F11" s="102"/>
      <c r="G11" s="102"/>
      <c r="H11" s="103"/>
      <c r="I11" s="101"/>
      <c r="J11" s="102"/>
      <c r="K11" s="102"/>
      <c r="L11" s="102"/>
      <c r="M11" s="102"/>
      <c r="N11" s="102"/>
      <c r="O11" s="103"/>
      <c r="P11" s="101"/>
      <c r="Q11" s="102"/>
      <c r="R11" s="102"/>
      <c r="S11" s="102"/>
      <c r="T11" s="102"/>
      <c r="U11" s="102"/>
      <c r="V11" s="103"/>
      <c r="W11" s="101"/>
      <c r="X11" s="102"/>
      <c r="Y11" s="102"/>
      <c r="Z11" s="103"/>
      <c r="AA11" s="101"/>
      <c r="AB11" s="102"/>
      <c r="AC11" s="102"/>
      <c r="AD11" s="102"/>
      <c r="AE11" s="103"/>
      <c r="AF11" s="101"/>
      <c r="AG11" s="102"/>
      <c r="AH11" s="102"/>
      <c r="AI11" s="102"/>
      <c r="AJ11" s="102"/>
      <c r="AK11" s="102"/>
      <c r="AL11" s="103"/>
      <c r="AM11" s="101"/>
      <c r="AN11" s="102"/>
      <c r="AO11" s="102"/>
      <c r="AP11" s="103"/>
    </row>
    <row r="12" spans="1:42" x14ac:dyDescent="0.25">
      <c r="A12" s="40">
        <v>44470</v>
      </c>
      <c r="B12" s="101"/>
      <c r="C12" s="102"/>
      <c r="D12" s="102"/>
      <c r="E12" s="102"/>
      <c r="F12" s="102"/>
      <c r="G12" s="102"/>
      <c r="H12" s="103"/>
      <c r="I12" s="101"/>
      <c r="J12" s="102"/>
      <c r="K12" s="102"/>
      <c r="L12" s="102"/>
      <c r="M12" s="102"/>
      <c r="N12" s="102"/>
      <c r="O12" s="103"/>
      <c r="P12" s="101"/>
      <c r="Q12" s="102"/>
      <c r="R12" s="102"/>
      <c r="S12" s="102"/>
      <c r="T12" s="102"/>
      <c r="U12" s="102"/>
      <c r="V12" s="103"/>
      <c r="W12" s="101"/>
      <c r="X12" s="102"/>
      <c r="Y12" s="102"/>
      <c r="Z12" s="103"/>
      <c r="AA12" s="101"/>
      <c r="AB12" s="102"/>
      <c r="AC12" s="102"/>
      <c r="AD12" s="102"/>
      <c r="AE12" s="103"/>
      <c r="AF12" s="101"/>
      <c r="AG12" s="102"/>
      <c r="AH12" s="102"/>
      <c r="AI12" s="102"/>
      <c r="AJ12" s="102"/>
      <c r="AK12" s="102"/>
      <c r="AL12" s="103"/>
      <c r="AM12" s="101"/>
      <c r="AN12" s="102"/>
      <c r="AO12" s="102"/>
      <c r="AP12" s="103"/>
    </row>
    <row r="13" spans="1:42" x14ac:dyDescent="0.25">
      <c r="A13" s="40">
        <v>44501</v>
      </c>
      <c r="B13" s="101"/>
      <c r="C13" s="102"/>
      <c r="D13" s="102"/>
      <c r="E13" s="102"/>
      <c r="F13" s="102"/>
      <c r="G13" s="102"/>
      <c r="H13" s="103"/>
      <c r="I13" s="101"/>
      <c r="J13" s="102"/>
      <c r="K13" s="102"/>
      <c r="L13" s="102"/>
      <c r="M13" s="102"/>
      <c r="N13" s="102"/>
      <c r="O13" s="103"/>
      <c r="P13" s="101"/>
      <c r="Q13" s="102"/>
      <c r="R13" s="102"/>
      <c r="S13" s="102"/>
      <c r="T13" s="102"/>
      <c r="U13" s="102"/>
      <c r="V13" s="103"/>
      <c r="W13" s="101"/>
      <c r="X13" s="102"/>
      <c r="Y13" s="102"/>
      <c r="Z13" s="103"/>
      <c r="AA13" s="101"/>
      <c r="AB13" s="102"/>
      <c r="AC13" s="102"/>
      <c r="AD13" s="102"/>
      <c r="AE13" s="103"/>
      <c r="AF13" s="101"/>
      <c r="AG13" s="102"/>
      <c r="AH13" s="102"/>
      <c r="AI13" s="102"/>
      <c r="AJ13" s="102"/>
      <c r="AK13" s="102"/>
      <c r="AL13" s="103"/>
      <c r="AM13" s="101"/>
      <c r="AN13" s="102"/>
      <c r="AO13" s="102"/>
      <c r="AP13" s="103"/>
    </row>
    <row r="14" spans="1:42" x14ac:dyDescent="0.25">
      <c r="A14" s="40">
        <v>44531</v>
      </c>
      <c r="B14" s="101"/>
      <c r="C14" s="102"/>
      <c r="D14" s="102"/>
      <c r="E14" s="102"/>
      <c r="F14" s="102"/>
      <c r="G14" s="102"/>
      <c r="H14" s="103"/>
      <c r="I14" s="101"/>
      <c r="J14" s="102"/>
      <c r="K14" s="102"/>
      <c r="L14" s="102"/>
      <c r="M14" s="102"/>
      <c r="N14" s="102"/>
      <c r="O14" s="103"/>
      <c r="P14" s="101"/>
      <c r="Q14" s="102"/>
      <c r="R14" s="102"/>
      <c r="S14" s="102"/>
      <c r="T14" s="102"/>
      <c r="U14" s="102"/>
      <c r="V14" s="103"/>
      <c r="W14" s="101"/>
      <c r="X14" s="102"/>
      <c r="Y14" s="102"/>
      <c r="Z14" s="103"/>
      <c r="AA14" s="101"/>
      <c r="AB14" s="102"/>
      <c r="AC14" s="102"/>
      <c r="AD14" s="102"/>
      <c r="AE14" s="103"/>
      <c r="AF14" s="101"/>
      <c r="AG14" s="102"/>
      <c r="AH14" s="102"/>
      <c r="AI14" s="102"/>
      <c r="AJ14" s="102"/>
      <c r="AK14" s="102"/>
      <c r="AL14" s="103"/>
      <c r="AM14" s="101"/>
      <c r="AN14" s="102"/>
      <c r="AO14" s="102"/>
      <c r="AP14" s="103"/>
    </row>
    <row r="15" spans="1:42" x14ac:dyDescent="0.25">
      <c r="A15" s="40">
        <v>44562</v>
      </c>
      <c r="B15" s="101"/>
      <c r="C15" s="102"/>
      <c r="D15" s="102"/>
      <c r="E15" s="102"/>
      <c r="F15" s="102"/>
      <c r="G15" s="102"/>
      <c r="H15" s="103"/>
      <c r="I15" s="101">
        <v>17</v>
      </c>
      <c r="J15" s="102">
        <v>1297500</v>
      </c>
      <c r="K15" s="102"/>
      <c r="L15" s="102"/>
      <c r="M15" s="102"/>
      <c r="N15" s="102"/>
      <c r="O15" s="103"/>
      <c r="P15" s="101"/>
      <c r="Q15" s="102"/>
      <c r="R15" s="102"/>
      <c r="S15" s="102"/>
      <c r="T15" s="102"/>
      <c r="U15" s="102"/>
      <c r="V15" s="103"/>
      <c r="W15" s="101"/>
      <c r="X15" s="102"/>
      <c r="Y15" s="102"/>
      <c r="Z15" s="103"/>
      <c r="AA15" s="101"/>
      <c r="AB15" s="102"/>
      <c r="AC15" s="102"/>
      <c r="AD15" s="102"/>
      <c r="AE15" s="103"/>
      <c r="AF15" s="101"/>
      <c r="AG15" s="102"/>
      <c r="AH15" s="102"/>
      <c r="AI15" s="102"/>
      <c r="AJ15" s="102"/>
      <c r="AK15" s="102"/>
      <c r="AL15" s="103"/>
      <c r="AM15" s="101"/>
      <c r="AN15" s="102"/>
      <c r="AO15" s="102"/>
      <c r="AP15" s="103"/>
    </row>
    <row r="16" spans="1:42" x14ac:dyDescent="0.25">
      <c r="A16" s="40">
        <v>44593</v>
      </c>
      <c r="B16" s="101"/>
      <c r="C16" s="102"/>
      <c r="D16" s="102"/>
      <c r="E16" s="102"/>
      <c r="F16" s="102"/>
      <c r="G16" s="102"/>
      <c r="H16" s="103"/>
      <c r="I16" s="101" t="s">
        <v>45</v>
      </c>
      <c r="J16" s="102">
        <v>547500</v>
      </c>
      <c r="K16" s="102"/>
      <c r="L16" s="102"/>
      <c r="M16" s="102"/>
      <c r="N16" s="102"/>
      <c r="O16" s="103"/>
      <c r="P16" s="101"/>
      <c r="Q16" s="102"/>
      <c r="R16" s="102"/>
      <c r="S16" s="102"/>
      <c r="T16" s="102"/>
      <c r="U16" s="102"/>
      <c r="V16" s="103"/>
      <c r="W16" s="101"/>
      <c r="X16" s="102"/>
      <c r="Y16" s="102"/>
      <c r="Z16" s="103"/>
      <c r="AA16" s="101"/>
      <c r="AB16" s="102"/>
      <c r="AC16" s="102"/>
      <c r="AD16" s="102"/>
      <c r="AE16" s="103"/>
      <c r="AF16" s="101"/>
      <c r="AG16" s="102"/>
      <c r="AH16" s="102"/>
      <c r="AI16" s="102"/>
      <c r="AJ16" s="102"/>
      <c r="AK16" s="102"/>
      <c r="AL16" s="103"/>
      <c r="AM16" s="101"/>
      <c r="AN16" s="102"/>
      <c r="AO16" s="102"/>
      <c r="AP16" s="103"/>
    </row>
    <row r="17" spans="1:42" x14ac:dyDescent="0.25">
      <c r="A17" s="40">
        <v>44621</v>
      </c>
      <c r="B17" s="101"/>
      <c r="C17" s="102"/>
      <c r="D17" s="102"/>
      <c r="E17" s="102"/>
      <c r="F17" s="102"/>
      <c r="G17" s="102"/>
      <c r="H17" s="103"/>
      <c r="I17" s="101">
        <v>34</v>
      </c>
      <c r="J17" s="102">
        <v>445979</v>
      </c>
      <c r="K17" s="102"/>
      <c r="L17" s="102"/>
      <c r="M17" s="102"/>
      <c r="N17" s="102"/>
      <c r="O17" s="103"/>
      <c r="P17" s="101"/>
      <c r="Q17" s="102"/>
      <c r="R17" s="102"/>
      <c r="S17" s="102"/>
      <c r="T17" s="102"/>
      <c r="U17" s="102"/>
      <c r="V17" s="103"/>
      <c r="W17" s="101"/>
      <c r="X17" s="102"/>
      <c r="Y17" s="102"/>
      <c r="Z17" s="103"/>
      <c r="AA17" s="101"/>
      <c r="AB17" s="102"/>
      <c r="AC17" s="102"/>
      <c r="AD17" s="102"/>
      <c r="AE17" s="103"/>
      <c r="AF17" s="101"/>
      <c r="AG17" s="102"/>
      <c r="AH17" s="102"/>
      <c r="AI17" s="102"/>
      <c r="AJ17" s="102"/>
      <c r="AK17" s="102"/>
      <c r="AL17" s="103"/>
      <c r="AM17" s="101"/>
      <c r="AN17" s="102"/>
      <c r="AO17" s="102"/>
      <c r="AP17" s="103"/>
    </row>
    <row r="18" spans="1:42" x14ac:dyDescent="0.25">
      <c r="A18" s="40">
        <v>44652</v>
      </c>
      <c r="B18" s="101"/>
      <c r="C18" s="102"/>
      <c r="D18" s="102"/>
      <c r="E18" s="102"/>
      <c r="F18" s="102"/>
      <c r="G18" s="102"/>
      <c r="H18" s="103"/>
      <c r="I18" s="101">
        <v>17</v>
      </c>
      <c r="J18" s="102">
        <v>1071608</v>
      </c>
      <c r="K18" s="102"/>
      <c r="L18" s="102"/>
      <c r="M18" s="102"/>
      <c r="N18" s="102"/>
      <c r="O18" s="103"/>
      <c r="P18" s="101"/>
      <c r="Q18" s="102"/>
      <c r="R18" s="102"/>
      <c r="S18" s="102"/>
      <c r="T18" s="102"/>
      <c r="U18" s="102"/>
      <c r="V18" s="103"/>
      <c r="W18" s="101"/>
      <c r="X18" s="102"/>
      <c r="Y18" s="102"/>
      <c r="Z18" s="103"/>
      <c r="AA18" s="101"/>
      <c r="AB18" s="102"/>
      <c r="AC18" s="102"/>
      <c r="AD18" s="102"/>
      <c r="AE18" s="103"/>
      <c r="AF18" s="101"/>
      <c r="AG18" s="102"/>
      <c r="AH18" s="102"/>
      <c r="AI18" s="102"/>
      <c r="AJ18" s="102"/>
      <c r="AK18" s="102"/>
      <c r="AL18" s="103"/>
      <c r="AM18" s="101"/>
      <c r="AN18" s="102"/>
      <c r="AO18" s="102"/>
      <c r="AP18" s="103"/>
    </row>
    <row r="19" spans="1:42" x14ac:dyDescent="0.25">
      <c r="A19" s="40">
        <v>44682</v>
      </c>
      <c r="B19" s="101"/>
      <c r="C19" s="102"/>
      <c r="D19" s="102"/>
      <c r="E19" s="102"/>
      <c r="F19" s="102"/>
      <c r="G19" s="102"/>
      <c r="H19" s="103"/>
      <c r="I19" s="101">
        <v>23</v>
      </c>
      <c r="J19" s="102">
        <v>162495</v>
      </c>
      <c r="K19" s="102"/>
      <c r="L19" s="102"/>
      <c r="M19" s="102"/>
      <c r="N19" s="102"/>
      <c r="O19" s="103"/>
      <c r="P19" s="101"/>
      <c r="Q19" s="102"/>
      <c r="R19" s="102"/>
      <c r="S19" s="102"/>
      <c r="T19" s="102"/>
      <c r="U19" s="102"/>
      <c r="V19" s="103"/>
      <c r="W19" s="101"/>
      <c r="X19" s="102"/>
      <c r="Y19" s="102"/>
      <c r="Z19" s="103"/>
      <c r="AA19" s="101"/>
      <c r="AB19" s="102"/>
      <c r="AC19" s="102"/>
      <c r="AD19" s="102"/>
      <c r="AE19" s="103"/>
      <c r="AF19" s="101"/>
      <c r="AG19" s="102"/>
      <c r="AH19" s="102"/>
      <c r="AI19" s="102"/>
      <c r="AJ19" s="102"/>
      <c r="AK19" s="102"/>
      <c r="AL19" s="103"/>
      <c r="AM19" s="101"/>
      <c r="AN19" s="102"/>
      <c r="AO19" s="102"/>
      <c r="AP19" s="103"/>
    </row>
    <row r="20" spans="1:42" x14ac:dyDescent="0.25">
      <c r="A20" s="40">
        <v>44713</v>
      </c>
      <c r="B20" s="101"/>
      <c r="C20" s="102"/>
      <c r="D20" s="102"/>
      <c r="E20" s="102"/>
      <c r="F20" s="102"/>
      <c r="G20" s="102"/>
      <c r="H20" s="103"/>
      <c r="I20" s="101">
        <v>10</v>
      </c>
      <c r="J20" s="102">
        <v>48360</v>
      </c>
      <c r="K20" s="102"/>
      <c r="L20" s="102"/>
      <c r="M20" s="102"/>
      <c r="N20" s="102"/>
      <c r="O20" s="103"/>
      <c r="P20" s="101"/>
      <c r="Q20" s="102"/>
      <c r="R20" s="102"/>
      <c r="S20" s="102"/>
      <c r="T20" s="102"/>
      <c r="U20" s="102"/>
      <c r="V20" s="103"/>
      <c r="W20" s="101"/>
      <c r="X20" s="102"/>
      <c r="Y20" s="102"/>
      <c r="Z20" s="103"/>
      <c r="AA20" s="101"/>
      <c r="AB20" s="102"/>
      <c r="AC20" s="102"/>
      <c r="AD20" s="102"/>
      <c r="AE20" s="103"/>
      <c r="AF20" s="101"/>
      <c r="AG20" s="102"/>
      <c r="AH20" s="102"/>
      <c r="AI20" s="102"/>
      <c r="AJ20" s="102"/>
      <c r="AK20" s="102"/>
      <c r="AL20" s="103"/>
      <c r="AM20" s="101"/>
      <c r="AN20" s="102"/>
      <c r="AO20" s="102"/>
      <c r="AP20" s="103"/>
    </row>
    <row r="21" spans="1:42" x14ac:dyDescent="0.25">
      <c r="A21" s="40">
        <v>44743</v>
      </c>
      <c r="B21" s="101"/>
      <c r="C21" s="102"/>
      <c r="D21" s="102"/>
      <c r="E21" s="102"/>
      <c r="F21" s="102"/>
      <c r="G21" s="102"/>
      <c r="H21" s="103"/>
      <c r="I21" s="101">
        <v>10</v>
      </c>
      <c r="J21" s="102">
        <v>285668</v>
      </c>
      <c r="K21" s="102"/>
      <c r="L21" s="102"/>
      <c r="M21" s="102"/>
      <c r="N21" s="102"/>
      <c r="O21" s="103"/>
      <c r="P21" s="101"/>
      <c r="Q21" s="102"/>
      <c r="R21" s="102"/>
      <c r="S21" s="102"/>
      <c r="T21" s="102"/>
      <c r="U21" s="102"/>
      <c r="V21" s="103"/>
      <c r="W21" s="101"/>
      <c r="X21" s="102"/>
      <c r="Y21" s="102"/>
      <c r="Z21" s="103"/>
      <c r="AA21" s="101"/>
      <c r="AB21" s="102"/>
      <c r="AC21" s="102"/>
      <c r="AD21" s="102"/>
      <c r="AE21" s="103"/>
      <c r="AF21" s="101"/>
      <c r="AG21" s="102"/>
      <c r="AH21" s="102"/>
      <c r="AI21" s="102"/>
      <c r="AJ21" s="102"/>
      <c r="AK21" s="102"/>
      <c r="AL21" s="103"/>
      <c r="AM21" s="101"/>
      <c r="AN21" s="102"/>
      <c r="AO21" s="102"/>
      <c r="AP21" s="103"/>
    </row>
    <row r="22" spans="1:42" x14ac:dyDescent="0.25">
      <c r="A22" s="40">
        <v>44774</v>
      </c>
      <c r="B22" s="101"/>
      <c r="C22" s="102"/>
      <c r="D22" s="102"/>
      <c r="E22" s="102"/>
      <c r="F22" s="102"/>
      <c r="G22" s="102"/>
      <c r="H22" s="103"/>
      <c r="I22" s="101">
        <v>10</v>
      </c>
      <c r="J22" s="102">
        <v>762659</v>
      </c>
      <c r="K22" s="102"/>
      <c r="L22" s="102"/>
      <c r="M22" s="102"/>
      <c r="N22" s="102"/>
      <c r="O22" s="103"/>
      <c r="P22" s="101"/>
      <c r="Q22" s="102"/>
      <c r="R22" s="102"/>
      <c r="S22" s="102"/>
      <c r="T22" s="102"/>
      <c r="U22" s="102"/>
      <c r="V22" s="103"/>
      <c r="W22" s="101"/>
      <c r="X22" s="102"/>
      <c r="Y22" s="102"/>
      <c r="Z22" s="103"/>
      <c r="AA22" s="101"/>
      <c r="AB22" s="102"/>
      <c r="AC22" s="102"/>
      <c r="AD22" s="102"/>
      <c r="AE22" s="103"/>
      <c r="AF22" s="101"/>
      <c r="AG22" s="102"/>
      <c r="AH22" s="102"/>
      <c r="AI22" s="102"/>
      <c r="AJ22" s="102"/>
      <c r="AK22" s="102"/>
      <c r="AL22" s="103"/>
      <c r="AM22" s="101"/>
      <c r="AN22" s="102"/>
      <c r="AO22" s="102"/>
      <c r="AP22" s="103"/>
    </row>
    <row r="23" spans="1:42" x14ac:dyDescent="0.25">
      <c r="A23" s="40">
        <v>44805</v>
      </c>
      <c r="B23" s="101"/>
      <c r="C23" s="102"/>
      <c r="D23" s="102"/>
      <c r="E23" s="102"/>
      <c r="F23" s="102"/>
      <c r="G23" s="102"/>
      <c r="H23" s="103"/>
      <c r="I23" s="101">
        <v>6</v>
      </c>
      <c r="J23" s="102">
        <v>82249</v>
      </c>
      <c r="K23" s="102"/>
      <c r="L23" s="102"/>
      <c r="M23" s="102"/>
      <c r="N23" s="102"/>
      <c r="O23" s="103"/>
      <c r="P23" s="101"/>
      <c r="Q23" s="102"/>
      <c r="R23" s="102"/>
      <c r="S23" s="102"/>
      <c r="T23" s="102"/>
      <c r="U23" s="102"/>
      <c r="V23" s="103"/>
      <c r="W23" s="101"/>
      <c r="X23" s="102"/>
      <c r="Y23" s="102"/>
      <c r="Z23" s="103"/>
      <c r="AA23" s="101"/>
      <c r="AB23" s="102"/>
      <c r="AC23" s="102"/>
      <c r="AD23" s="102"/>
      <c r="AE23" s="103"/>
      <c r="AF23" s="101"/>
      <c r="AG23" s="102"/>
      <c r="AH23" s="102"/>
      <c r="AI23" s="102"/>
      <c r="AJ23" s="102"/>
      <c r="AK23" s="102"/>
      <c r="AL23" s="103"/>
      <c r="AM23" s="101"/>
      <c r="AN23" s="102"/>
      <c r="AO23" s="102"/>
      <c r="AP23" s="103"/>
    </row>
    <row r="24" spans="1:42" x14ac:dyDescent="0.25">
      <c r="A24" s="40">
        <v>44835</v>
      </c>
      <c r="B24" s="101"/>
      <c r="C24" s="102"/>
      <c r="D24" s="102"/>
      <c r="E24" s="102"/>
      <c r="F24" s="102"/>
      <c r="G24" s="102"/>
      <c r="H24" s="103"/>
      <c r="I24" s="101">
        <v>3</v>
      </c>
      <c r="J24" s="102">
        <v>99316</v>
      </c>
      <c r="K24" s="102"/>
      <c r="L24" s="102"/>
      <c r="M24" s="102"/>
      <c r="N24" s="102"/>
      <c r="O24" s="103"/>
      <c r="P24" s="101"/>
      <c r="Q24" s="102"/>
      <c r="R24" s="102"/>
      <c r="S24" s="102"/>
      <c r="T24" s="102"/>
      <c r="U24" s="102"/>
      <c r="V24" s="103"/>
      <c r="W24" s="101"/>
      <c r="X24" s="102"/>
      <c r="Y24" s="102"/>
      <c r="Z24" s="103"/>
      <c r="AA24" s="101"/>
      <c r="AB24" s="102"/>
      <c r="AC24" s="102"/>
      <c r="AD24" s="102"/>
      <c r="AE24" s="103"/>
      <c r="AF24" s="101"/>
      <c r="AG24" s="102"/>
      <c r="AH24" s="102"/>
      <c r="AI24" s="102"/>
      <c r="AJ24" s="102"/>
      <c r="AK24" s="102"/>
      <c r="AL24" s="103"/>
      <c r="AM24" s="101"/>
      <c r="AN24" s="102"/>
      <c r="AO24" s="102"/>
      <c r="AP24" s="103"/>
    </row>
    <row r="25" spans="1:42" x14ac:dyDescent="0.25">
      <c r="A25" s="40">
        <v>44866</v>
      </c>
      <c r="B25" s="101"/>
      <c r="C25" s="102"/>
      <c r="D25" s="102"/>
      <c r="E25" s="102"/>
      <c r="F25" s="102"/>
      <c r="G25" s="102"/>
      <c r="H25" s="103"/>
      <c r="I25" s="101">
        <v>5</v>
      </c>
      <c r="J25" s="102">
        <v>158293</v>
      </c>
      <c r="K25" s="102"/>
      <c r="L25" s="102"/>
      <c r="M25" s="102"/>
      <c r="N25" s="102"/>
      <c r="O25" s="103"/>
      <c r="P25" s="101"/>
      <c r="Q25" s="102"/>
      <c r="R25" s="102"/>
      <c r="S25" s="102"/>
      <c r="T25" s="102"/>
      <c r="U25" s="102"/>
      <c r="V25" s="103"/>
      <c r="W25" s="101"/>
      <c r="X25" s="102"/>
      <c r="Y25" s="102"/>
      <c r="Z25" s="103"/>
      <c r="AA25" s="101"/>
      <c r="AB25" s="102"/>
      <c r="AC25" s="102"/>
      <c r="AD25" s="102"/>
      <c r="AE25" s="103"/>
      <c r="AF25" s="101"/>
      <c r="AG25" s="102"/>
      <c r="AH25" s="102"/>
      <c r="AI25" s="102"/>
      <c r="AJ25" s="102"/>
      <c r="AK25" s="102"/>
      <c r="AL25" s="103"/>
      <c r="AM25" s="101"/>
      <c r="AN25" s="102"/>
      <c r="AO25" s="102"/>
      <c r="AP25" s="103"/>
    </row>
    <row r="26" spans="1:42" x14ac:dyDescent="0.25">
      <c r="A26" s="40">
        <v>44896</v>
      </c>
      <c r="B26" s="101"/>
      <c r="C26" s="102"/>
      <c r="D26" s="102"/>
      <c r="E26" s="102"/>
      <c r="F26" s="102"/>
      <c r="G26" s="102"/>
      <c r="H26" s="103"/>
      <c r="I26" s="101">
        <v>2</v>
      </c>
      <c r="J26" s="102">
        <v>343398</v>
      </c>
      <c r="K26" s="102"/>
      <c r="L26" s="102"/>
      <c r="M26" s="102"/>
      <c r="N26" s="102"/>
      <c r="O26" s="103"/>
      <c r="P26" s="101"/>
      <c r="Q26" s="102"/>
      <c r="R26" s="102"/>
      <c r="S26" s="102"/>
      <c r="T26" s="102"/>
      <c r="U26" s="102"/>
      <c r="V26" s="103"/>
      <c r="W26" s="101"/>
      <c r="X26" s="102"/>
      <c r="Y26" s="102"/>
      <c r="Z26" s="103"/>
      <c r="AA26" s="101"/>
      <c r="AB26" s="102"/>
      <c r="AC26" s="102"/>
      <c r="AD26" s="102"/>
      <c r="AE26" s="103"/>
      <c r="AF26" s="101"/>
      <c r="AG26" s="102"/>
      <c r="AH26" s="102"/>
      <c r="AI26" s="102"/>
      <c r="AJ26" s="102"/>
      <c r="AK26" s="102"/>
      <c r="AL26" s="103"/>
      <c r="AM26" s="101"/>
      <c r="AN26" s="102"/>
      <c r="AO26" s="102"/>
      <c r="AP26" s="103"/>
    </row>
    <row r="27" spans="1:42" x14ac:dyDescent="0.25">
      <c r="A27" s="40">
        <v>44927</v>
      </c>
      <c r="B27" s="101"/>
      <c r="C27" s="102"/>
      <c r="D27" s="102"/>
      <c r="E27" s="102"/>
      <c r="F27" s="102"/>
      <c r="G27" s="102"/>
      <c r="H27" s="103"/>
      <c r="I27" s="101" t="s">
        <v>45</v>
      </c>
      <c r="J27" s="102">
        <v>194374</v>
      </c>
      <c r="K27" s="102"/>
      <c r="L27" s="102">
        <v>2375950</v>
      </c>
      <c r="M27" s="102"/>
      <c r="N27" s="102"/>
      <c r="O27" s="103"/>
      <c r="P27" s="101"/>
      <c r="Q27" s="102"/>
      <c r="R27" s="102"/>
      <c r="S27" s="102"/>
      <c r="T27" s="102"/>
      <c r="U27" s="102"/>
      <c r="V27" s="103"/>
      <c r="W27" s="101"/>
      <c r="X27" s="102"/>
      <c r="Y27" s="102"/>
      <c r="Z27" s="103"/>
      <c r="AA27" s="101"/>
      <c r="AB27" s="102"/>
      <c r="AC27" s="102"/>
      <c r="AD27" s="102"/>
      <c r="AE27" s="103"/>
      <c r="AF27" s="101"/>
      <c r="AG27" s="102"/>
      <c r="AH27" s="102"/>
      <c r="AI27" s="102"/>
      <c r="AJ27" s="102"/>
      <c r="AK27" s="102"/>
      <c r="AL27" s="103"/>
      <c r="AM27" s="101"/>
      <c r="AN27" s="102"/>
      <c r="AO27" s="102"/>
      <c r="AP27" s="103"/>
    </row>
    <row r="28" spans="1:42" x14ac:dyDescent="0.25">
      <c r="A28" s="40">
        <v>44958</v>
      </c>
      <c r="B28" s="101"/>
      <c r="C28" s="102"/>
      <c r="D28" s="102"/>
      <c r="E28" s="102"/>
      <c r="F28" s="102"/>
      <c r="G28" s="102"/>
      <c r="H28" s="103"/>
      <c r="I28" s="101">
        <v>1</v>
      </c>
      <c r="J28" s="102">
        <v>175007</v>
      </c>
      <c r="K28" s="102"/>
      <c r="L28" s="102">
        <v>63903</v>
      </c>
      <c r="M28" s="102"/>
      <c r="N28" s="102"/>
      <c r="O28" s="103"/>
      <c r="P28" s="101"/>
      <c r="Q28" s="102"/>
      <c r="R28" s="102"/>
      <c r="S28" s="102"/>
      <c r="T28" s="102"/>
      <c r="U28" s="102"/>
      <c r="V28" s="103"/>
      <c r="W28" s="101"/>
      <c r="X28" s="102"/>
      <c r="Y28" s="102"/>
      <c r="Z28" s="103"/>
      <c r="AA28" s="101"/>
      <c r="AB28" s="102"/>
      <c r="AC28" s="102"/>
      <c r="AD28" s="102"/>
      <c r="AE28" s="103"/>
      <c r="AF28" s="101"/>
      <c r="AG28" s="102"/>
      <c r="AH28" s="102"/>
      <c r="AI28" s="102"/>
      <c r="AJ28" s="102"/>
      <c r="AK28" s="102"/>
      <c r="AL28" s="103"/>
      <c r="AM28" s="101"/>
      <c r="AN28" s="102"/>
      <c r="AO28" s="102"/>
      <c r="AP28" s="103"/>
    </row>
    <row r="29" spans="1:42" x14ac:dyDescent="0.25">
      <c r="A29" s="40">
        <v>44986</v>
      </c>
      <c r="B29" s="101"/>
      <c r="C29" s="102"/>
      <c r="D29" s="102"/>
      <c r="E29" s="102"/>
      <c r="F29" s="102"/>
      <c r="G29" s="102"/>
      <c r="H29" s="103"/>
      <c r="I29" s="101">
        <v>3</v>
      </c>
      <c r="J29" s="102">
        <v>418097</v>
      </c>
      <c r="K29" s="102">
        <v>966522</v>
      </c>
      <c r="L29" s="102">
        <v>420493</v>
      </c>
      <c r="M29" s="102"/>
      <c r="N29" s="102"/>
      <c r="O29" s="103"/>
      <c r="P29" s="101"/>
      <c r="Q29" s="102"/>
      <c r="R29" s="102"/>
      <c r="S29" s="102"/>
      <c r="T29" s="102"/>
      <c r="U29" s="102"/>
      <c r="V29" s="103"/>
      <c r="W29" s="101"/>
      <c r="X29" s="102"/>
      <c r="Y29" s="102"/>
      <c r="Z29" s="103"/>
      <c r="AA29" s="101"/>
      <c r="AB29" s="102"/>
      <c r="AC29" s="102"/>
      <c r="AD29" s="102"/>
      <c r="AE29" s="103"/>
      <c r="AF29" s="101"/>
      <c r="AG29" s="102"/>
      <c r="AH29" s="102"/>
      <c r="AI29" s="102"/>
      <c r="AJ29" s="102"/>
      <c r="AK29" s="102"/>
      <c r="AL29" s="103"/>
      <c r="AM29" s="101"/>
      <c r="AN29" s="102"/>
      <c r="AO29" s="102"/>
      <c r="AP29" s="103"/>
    </row>
    <row r="30" spans="1:42" x14ac:dyDescent="0.25">
      <c r="A30" s="40">
        <v>45017</v>
      </c>
      <c r="B30" s="101">
        <v>5</v>
      </c>
      <c r="C30" s="102"/>
      <c r="D30" s="102"/>
      <c r="E30" s="102"/>
      <c r="F30" s="102"/>
      <c r="G30" s="102"/>
      <c r="H30" s="103"/>
      <c r="I30" s="101">
        <v>1</v>
      </c>
      <c r="J30" s="102">
        <v>143416</v>
      </c>
      <c r="K30" s="102" t="s">
        <v>45</v>
      </c>
      <c r="L30" s="102" t="s">
        <v>45</v>
      </c>
      <c r="M30" s="102"/>
      <c r="N30" s="102"/>
      <c r="O30" s="103"/>
      <c r="P30" s="101"/>
      <c r="Q30" s="102"/>
      <c r="R30" s="102"/>
      <c r="S30" s="102"/>
      <c r="T30" s="102"/>
      <c r="U30" s="102"/>
      <c r="V30" s="103"/>
      <c r="W30" s="101"/>
      <c r="X30" s="102"/>
      <c r="Y30" s="102"/>
      <c r="Z30" s="103"/>
      <c r="AA30" s="101"/>
      <c r="AB30" s="102"/>
      <c r="AC30" s="102"/>
      <c r="AD30" s="102"/>
      <c r="AE30" s="103"/>
      <c r="AF30" s="101"/>
      <c r="AG30" s="102"/>
      <c r="AH30" s="102"/>
      <c r="AI30" s="102"/>
      <c r="AJ30" s="102"/>
      <c r="AK30" s="102"/>
      <c r="AL30" s="103"/>
      <c r="AM30" s="101"/>
      <c r="AN30" s="102"/>
      <c r="AO30" s="102"/>
      <c r="AP30" s="103"/>
    </row>
    <row r="31" spans="1:42" x14ac:dyDescent="0.25">
      <c r="A31" s="40">
        <v>45047</v>
      </c>
      <c r="B31" s="101">
        <v>4</v>
      </c>
      <c r="C31" s="102"/>
      <c r="D31" s="102"/>
      <c r="E31" s="102"/>
      <c r="F31" s="102"/>
      <c r="G31" s="102"/>
      <c r="H31" s="103"/>
      <c r="I31" s="101">
        <v>2</v>
      </c>
      <c r="J31" s="102">
        <v>125617</v>
      </c>
      <c r="K31" s="102">
        <v>363997</v>
      </c>
      <c r="L31" s="102" t="s">
        <v>45</v>
      </c>
      <c r="M31" s="102"/>
      <c r="N31" s="102"/>
      <c r="O31" s="103"/>
      <c r="P31" s="101"/>
      <c r="Q31" s="102"/>
      <c r="R31" s="102"/>
      <c r="S31" s="102"/>
      <c r="T31" s="102"/>
      <c r="U31" s="102"/>
      <c r="V31" s="103"/>
      <c r="W31" s="101"/>
      <c r="X31" s="102"/>
      <c r="Y31" s="102"/>
      <c r="Z31" s="103"/>
      <c r="AA31" s="101">
        <v>10</v>
      </c>
      <c r="AB31" s="102">
        <v>499400</v>
      </c>
      <c r="AC31" s="102"/>
      <c r="AD31" s="102"/>
      <c r="AE31" s="103"/>
      <c r="AF31" s="101"/>
      <c r="AG31" s="102"/>
      <c r="AH31" s="102"/>
      <c r="AI31" s="102"/>
      <c r="AJ31" s="102"/>
      <c r="AK31" s="102"/>
      <c r="AL31" s="103"/>
      <c r="AM31" s="101"/>
      <c r="AN31" s="102"/>
      <c r="AO31" s="102"/>
      <c r="AP31" s="103"/>
    </row>
    <row r="32" spans="1:42" x14ac:dyDescent="0.25">
      <c r="A32" s="40">
        <v>45078</v>
      </c>
      <c r="B32" s="101">
        <v>6</v>
      </c>
      <c r="C32" s="102"/>
      <c r="D32" s="102"/>
      <c r="E32" s="102"/>
      <c r="F32" s="102"/>
      <c r="G32" s="102"/>
      <c r="H32" s="103"/>
      <c r="I32" s="101" t="s">
        <v>45</v>
      </c>
      <c r="J32" s="102">
        <v>198451</v>
      </c>
      <c r="K32" s="102">
        <v>100651</v>
      </c>
      <c r="L32" s="102" t="s">
        <v>45</v>
      </c>
      <c r="M32" s="102"/>
      <c r="N32" s="102"/>
      <c r="O32" s="103"/>
      <c r="P32" s="101"/>
      <c r="Q32" s="102"/>
      <c r="R32" s="102"/>
      <c r="S32" s="102"/>
      <c r="T32" s="102"/>
      <c r="U32" s="102"/>
      <c r="V32" s="103"/>
      <c r="W32" s="101"/>
      <c r="X32" s="102"/>
      <c r="Y32" s="102"/>
      <c r="Z32" s="103"/>
      <c r="AA32" s="101" t="s">
        <v>45</v>
      </c>
      <c r="AB32" s="102" t="s">
        <v>45</v>
      </c>
      <c r="AC32" s="102"/>
      <c r="AD32" s="102"/>
      <c r="AE32" s="103"/>
      <c r="AF32" s="101"/>
      <c r="AG32" s="102"/>
      <c r="AH32" s="102"/>
      <c r="AI32" s="102"/>
      <c r="AJ32" s="102"/>
      <c r="AK32" s="102"/>
      <c r="AL32" s="103"/>
      <c r="AM32" s="101"/>
      <c r="AN32" s="102"/>
      <c r="AO32" s="102"/>
      <c r="AP32" s="103"/>
    </row>
    <row r="33" spans="1:42" x14ac:dyDescent="0.25">
      <c r="A33" s="40">
        <v>45108</v>
      </c>
      <c r="B33" s="101">
        <v>2</v>
      </c>
      <c r="C33" s="102"/>
      <c r="D33" s="102"/>
      <c r="E33" s="102"/>
      <c r="F33" s="102"/>
      <c r="G33" s="102"/>
      <c r="H33" s="103"/>
      <c r="I33" s="101" t="s">
        <v>45</v>
      </c>
      <c r="J33" s="102">
        <v>145549</v>
      </c>
      <c r="K33" s="102">
        <v>298156</v>
      </c>
      <c r="L33" s="102">
        <v>186371</v>
      </c>
      <c r="M33" s="102"/>
      <c r="N33" s="102"/>
      <c r="O33" s="103"/>
      <c r="P33" s="101"/>
      <c r="Q33" s="102"/>
      <c r="R33" s="102"/>
      <c r="S33" s="102"/>
      <c r="T33" s="102"/>
      <c r="U33" s="102"/>
      <c r="V33" s="103"/>
      <c r="W33" s="101"/>
      <c r="X33" s="102"/>
      <c r="Y33" s="102"/>
      <c r="Z33" s="103"/>
      <c r="AA33" s="101" t="s">
        <v>45</v>
      </c>
      <c r="AB33" s="102">
        <v>5000</v>
      </c>
      <c r="AC33" s="102"/>
      <c r="AD33" s="102"/>
      <c r="AE33" s="103"/>
      <c r="AF33" s="101"/>
      <c r="AG33" s="102"/>
      <c r="AH33" s="102"/>
      <c r="AI33" s="102"/>
      <c r="AJ33" s="102"/>
      <c r="AK33" s="102"/>
      <c r="AL33" s="103"/>
      <c r="AM33" s="101"/>
      <c r="AN33" s="102"/>
      <c r="AO33" s="102"/>
      <c r="AP33" s="103"/>
    </row>
    <row r="34" spans="1:42" x14ac:dyDescent="0.25">
      <c r="A34" s="40">
        <v>45139</v>
      </c>
      <c r="B34" s="101">
        <v>31</v>
      </c>
      <c r="C34" s="102"/>
      <c r="D34" s="102"/>
      <c r="E34" s="102"/>
      <c r="F34" s="102"/>
      <c r="G34" s="102"/>
      <c r="H34" s="103"/>
      <c r="I34" s="101">
        <v>1</v>
      </c>
      <c r="J34" s="102">
        <v>243439</v>
      </c>
      <c r="K34" s="102">
        <v>390493</v>
      </c>
      <c r="L34" s="102" t="s">
        <v>45</v>
      </c>
      <c r="M34" s="102"/>
      <c r="N34" s="102"/>
      <c r="O34" s="103"/>
      <c r="P34" s="101"/>
      <c r="Q34" s="102"/>
      <c r="R34" s="102"/>
      <c r="S34" s="102"/>
      <c r="T34" s="102"/>
      <c r="U34" s="102"/>
      <c r="V34" s="103"/>
      <c r="W34" s="101"/>
      <c r="X34" s="102"/>
      <c r="Y34" s="102"/>
      <c r="Z34" s="103"/>
      <c r="AA34" s="101" t="s">
        <v>45</v>
      </c>
      <c r="AB34" s="102">
        <v>374675</v>
      </c>
      <c r="AC34" s="102"/>
      <c r="AD34" s="102"/>
      <c r="AE34" s="103"/>
      <c r="AF34" s="101"/>
      <c r="AG34" s="102">
        <v>150000</v>
      </c>
      <c r="AH34" s="102"/>
      <c r="AI34" s="102"/>
      <c r="AJ34" s="102"/>
      <c r="AK34" s="102"/>
      <c r="AL34" s="103"/>
      <c r="AM34" s="101"/>
      <c r="AN34" s="102"/>
      <c r="AO34" s="102"/>
      <c r="AP34" s="103"/>
    </row>
    <row r="35" spans="1:42" x14ac:dyDescent="0.25">
      <c r="A35" s="40">
        <v>45170</v>
      </c>
      <c r="B35" s="101">
        <v>2</v>
      </c>
      <c r="C35" s="102"/>
      <c r="D35" s="102"/>
      <c r="E35" s="102"/>
      <c r="F35" s="102"/>
      <c r="G35" s="102"/>
      <c r="H35" s="103"/>
      <c r="I35" s="101">
        <v>1</v>
      </c>
      <c r="J35" s="102">
        <v>184722</v>
      </c>
      <c r="K35" s="102">
        <v>589751</v>
      </c>
      <c r="L35" s="102">
        <v>72032</v>
      </c>
      <c r="M35" s="102"/>
      <c r="N35" s="102"/>
      <c r="O35" s="103"/>
      <c r="P35" s="101"/>
      <c r="Q35" s="102"/>
      <c r="R35" s="102"/>
      <c r="S35" s="102"/>
      <c r="T35" s="102"/>
      <c r="U35" s="102"/>
      <c r="V35" s="103"/>
      <c r="W35" s="101"/>
      <c r="X35" s="102"/>
      <c r="Y35" s="102"/>
      <c r="Z35" s="103"/>
      <c r="AA35" s="101" t="s">
        <v>45</v>
      </c>
      <c r="AB35" s="102">
        <v>1456250</v>
      </c>
      <c r="AC35" s="102"/>
      <c r="AD35" s="102"/>
      <c r="AE35" s="103"/>
      <c r="AF35" s="101"/>
      <c r="AG35" s="102" t="s">
        <v>45</v>
      </c>
      <c r="AH35" s="102"/>
      <c r="AI35" s="102"/>
      <c r="AJ35" s="102"/>
      <c r="AK35" s="102"/>
      <c r="AL35" s="103"/>
      <c r="AM35" s="101"/>
      <c r="AN35" s="102"/>
      <c r="AO35" s="102"/>
      <c r="AP35" s="103"/>
    </row>
    <row r="36" spans="1:42" x14ac:dyDescent="0.25">
      <c r="A36" s="40">
        <v>45200</v>
      </c>
      <c r="B36" s="101" t="s">
        <v>45</v>
      </c>
      <c r="C36" s="102"/>
      <c r="D36" s="102"/>
      <c r="E36" s="102">
        <v>967838</v>
      </c>
      <c r="F36" s="102"/>
      <c r="G36" s="102"/>
      <c r="H36" s="103"/>
      <c r="I36" s="101">
        <v>1</v>
      </c>
      <c r="J36" s="102">
        <v>226050</v>
      </c>
      <c r="K36" s="102">
        <v>837176</v>
      </c>
      <c r="L36" s="102" t="s">
        <v>45</v>
      </c>
      <c r="M36" s="102"/>
      <c r="N36" s="102"/>
      <c r="O36" s="103"/>
      <c r="P36" s="101"/>
      <c r="Q36" s="102"/>
      <c r="R36" s="102"/>
      <c r="S36" s="102"/>
      <c r="T36" s="102"/>
      <c r="U36" s="102"/>
      <c r="V36" s="103"/>
      <c r="W36" s="101"/>
      <c r="X36" s="102"/>
      <c r="Y36" s="102"/>
      <c r="Z36" s="103"/>
      <c r="AA36" s="101" t="s">
        <v>45</v>
      </c>
      <c r="AB36" s="102">
        <v>540500</v>
      </c>
      <c r="AC36" s="102"/>
      <c r="AD36" s="102"/>
      <c r="AE36" s="103"/>
      <c r="AF36" s="101"/>
      <c r="AG36" s="102" t="s">
        <v>45</v>
      </c>
      <c r="AH36" s="102"/>
      <c r="AI36" s="102"/>
      <c r="AJ36" s="102"/>
      <c r="AK36" s="102"/>
      <c r="AL36" s="103"/>
      <c r="AM36" s="101"/>
      <c r="AN36" s="102"/>
      <c r="AO36" s="102"/>
      <c r="AP36" s="103"/>
    </row>
    <row r="37" spans="1:42" x14ac:dyDescent="0.25">
      <c r="A37" s="40">
        <v>45231</v>
      </c>
      <c r="B37" s="101">
        <v>1</v>
      </c>
      <c r="C37" s="102"/>
      <c r="D37" s="102"/>
      <c r="E37" s="102" t="s">
        <v>45</v>
      </c>
      <c r="F37" s="102"/>
      <c r="G37" s="102"/>
      <c r="H37" s="103"/>
      <c r="I37" s="101">
        <v>1</v>
      </c>
      <c r="J37" s="102">
        <v>301352</v>
      </c>
      <c r="K37" s="102">
        <v>1061327</v>
      </c>
      <c r="L37" s="102">
        <v>41248</v>
      </c>
      <c r="M37" s="102"/>
      <c r="N37" s="102"/>
      <c r="O37" s="103"/>
      <c r="P37" s="101"/>
      <c r="Q37" s="102"/>
      <c r="R37" s="102"/>
      <c r="S37" s="102"/>
      <c r="T37" s="102"/>
      <c r="U37" s="102"/>
      <c r="V37" s="103"/>
      <c r="W37" s="101"/>
      <c r="X37" s="102"/>
      <c r="Y37" s="102"/>
      <c r="Z37" s="103"/>
      <c r="AA37" s="101" t="s">
        <v>45</v>
      </c>
      <c r="AB37" s="102">
        <v>1500</v>
      </c>
      <c r="AC37" s="102"/>
      <c r="AD37" s="102"/>
      <c r="AE37" s="103"/>
      <c r="AF37" s="101"/>
      <c r="AG37" s="102" t="s">
        <v>45</v>
      </c>
      <c r="AH37" s="102"/>
      <c r="AI37" s="102"/>
      <c r="AJ37" s="102"/>
      <c r="AK37" s="102"/>
      <c r="AL37" s="103"/>
      <c r="AM37" s="101"/>
      <c r="AN37" s="102"/>
      <c r="AO37" s="102"/>
      <c r="AP37" s="103"/>
    </row>
    <row r="38" spans="1:42" x14ac:dyDescent="0.25">
      <c r="A38" s="40">
        <v>45261</v>
      </c>
      <c r="B38" s="101">
        <v>1</v>
      </c>
      <c r="C38" s="102">
        <v>252528</v>
      </c>
      <c r="D38" s="102"/>
      <c r="E38" s="102" t="s">
        <v>45</v>
      </c>
      <c r="F38" s="102"/>
      <c r="G38" s="102"/>
      <c r="H38" s="103"/>
      <c r="I38" s="101" t="s">
        <v>45</v>
      </c>
      <c r="J38" s="102">
        <v>443264</v>
      </c>
      <c r="K38" s="102" t="s">
        <v>45</v>
      </c>
      <c r="L38" s="102" t="s">
        <v>45</v>
      </c>
      <c r="M38" s="102"/>
      <c r="N38" s="102"/>
      <c r="O38" s="103"/>
      <c r="P38" s="101"/>
      <c r="Q38" s="102"/>
      <c r="R38" s="102"/>
      <c r="S38" s="102"/>
      <c r="T38" s="102"/>
      <c r="U38" s="102"/>
      <c r="V38" s="103"/>
      <c r="W38" s="101"/>
      <c r="X38" s="102"/>
      <c r="Y38" s="102"/>
      <c r="Z38" s="103"/>
      <c r="AA38" s="101" t="s">
        <v>45</v>
      </c>
      <c r="AB38" s="102">
        <v>1500</v>
      </c>
      <c r="AC38" s="102"/>
      <c r="AD38" s="102"/>
      <c r="AE38" s="103"/>
      <c r="AF38" s="101">
        <v>64</v>
      </c>
      <c r="AG38" s="102">
        <v>173815.8</v>
      </c>
      <c r="AH38" s="102"/>
      <c r="AI38" s="102"/>
      <c r="AJ38" s="102"/>
      <c r="AK38" s="102"/>
      <c r="AL38" s="103"/>
      <c r="AM38" s="101"/>
      <c r="AN38" s="102"/>
      <c r="AO38" s="102"/>
      <c r="AP38" s="103"/>
    </row>
    <row r="39" spans="1:42" x14ac:dyDescent="0.25">
      <c r="A39" s="40">
        <v>45292</v>
      </c>
      <c r="B39" s="101">
        <v>4</v>
      </c>
      <c r="C39" s="102">
        <v>4343</v>
      </c>
      <c r="D39" s="102"/>
      <c r="E39" s="102">
        <v>209069</v>
      </c>
      <c r="F39" s="102"/>
      <c r="G39" s="102"/>
      <c r="H39" s="103"/>
      <c r="I39" s="101" t="s">
        <v>45</v>
      </c>
      <c r="J39" s="102">
        <v>1790508</v>
      </c>
      <c r="K39" s="102">
        <v>2095060</v>
      </c>
      <c r="L39" s="102">
        <v>179663</v>
      </c>
      <c r="M39" s="102"/>
      <c r="N39" s="102"/>
      <c r="O39" s="103"/>
      <c r="P39" s="101"/>
      <c r="Q39" s="102"/>
      <c r="R39" s="102"/>
      <c r="S39" s="102"/>
      <c r="T39" s="102"/>
      <c r="U39" s="102"/>
      <c r="V39" s="103"/>
      <c r="W39" s="101"/>
      <c r="X39" s="102"/>
      <c r="Y39" s="102"/>
      <c r="Z39" s="103"/>
      <c r="AA39" s="101" t="s">
        <v>45</v>
      </c>
      <c r="AB39" s="102" t="s">
        <v>45</v>
      </c>
      <c r="AC39" s="102"/>
      <c r="AD39" s="102"/>
      <c r="AE39" s="103"/>
      <c r="AF39" s="101">
        <v>29</v>
      </c>
      <c r="AG39" s="102">
        <v>510112.2</v>
      </c>
      <c r="AH39" s="102"/>
      <c r="AI39" s="102"/>
      <c r="AJ39" s="102"/>
      <c r="AK39" s="102"/>
      <c r="AL39" s="103"/>
      <c r="AM39" s="101"/>
      <c r="AN39" s="102"/>
      <c r="AO39" s="102"/>
      <c r="AP39" s="103"/>
    </row>
    <row r="40" spans="1:42" x14ac:dyDescent="0.25">
      <c r="A40" s="40">
        <v>45323</v>
      </c>
      <c r="B40" s="101" t="s">
        <v>45</v>
      </c>
      <c r="C40" s="102">
        <v>249066</v>
      </c>
      <c r="D40" s="102"/>
      <c r="E40" s="102" t="s">
        <v>45</v>
      </c>
      <c r="F40" s="102"/>
      <c r="G40" s="102"/>
      <c r="H40" s="103"/>
      <c r="I40" s="101" t="s">
        <v>45</v>
      </c>
      <c r="J40" s="102">
        <v>963116</v>
      </c>
      <c r="K40" s="102">
        <v>917624</v>
      </c>
      <c r="L40" s="102" t="s">
        <v>45</v>
      </c>
      <c r="M40" s="102"/>
      <c r="N40" s="102"/>
      <c r="O40" s="103"/>
      <c r="P40" s="101"/>
      <c r="Q40" s="102"/>
      <c r="R40" s="102"/>
      <c r="S40" s="102"/>
      <c r="T40" s="102"/>
      <c r="U40" s="102"/>
      <c r="V40" s="103"/>
      <c r="W40" s="101"/>
      <c r="X40" s="102"/>
      <c r="Y40" s="102"/>
      <c r="Z40" s="103"/>
      <c r="AA40" s="101" t="s">
        <v>45</v>
      </c>
      <c r="AB40" s="102" t="s">
        <v>45</v>
      </c>
      <c r="AC40" s="102"/>
      <c r="AD40" s="102"/>
      <c r="AE40" s="103"/>
      <c r="AF40" s="101">
        <v>18</v>
      </c>
      <c r="AG40" s="102">
        <v>427104.25</v>
      </c>
      <c r="AH40" s="102"/>
      <c r="AI40" s="102"/>
      <c r="AJ40" s="102"/>
      <c r="AK40" s="102"/>
      <c r="AL40" s="103"/>
      <c r="AM40" s="101"/>
      <c r="AN40" s="102"/>
      <c r="AO40" s="102"/>
      <c r="AP40" s="103"/>
    </row>
    <row r="41" spans="1:42" x14ac:dyDescent="0.25">
      <c r="A41" s="40">
        <v>45352</v>
      </c>
      <c r="B41" s="101" t="s">
        <v>45</v>
      </c>
      <c r="C41" s="102">
        <v>54720</v>
      </c>
      <c r="D41" s="102">
        <v>292376</v>
      </c>
      <c r="E41" s="102" t="s">
        <v>45</v>
      </c>
      <c r="F41" s="102"/>
      <c r="G41" s="102"/>
      <c r="H41" s="103"/>
      <c r="I41" s="101" t="s">
        <v>45</v>
      </c>
      <c r="J41" s="102">
        <v>700166</v>
      </c>
      <c r="K41" s="102">
        <v>589902</v>
      </c>
      <c r="L41" s="102" t="s">
        <v>45</v>
      </c>
      <c r="M41" s="102"/>
      <c r="N41" s="102"/>
      <c r="O41" s="103"/>
      <c r="P41" s="101"/>
      <c r="Q41" s="102"/>
      <c r="R41" s="102"/>
      <c r="S41" s="102"/>
      <c r="T41" s="102"/>
      <c r="U41" s="102"/>
      <c r="V41" s="103"/>
      <c r="W41" s="101"/>
      <c r="X41" s="102"/>
      <c r="Y41" s="102"/>
      <c r="Z41" s="103"/>
      <c r="AA41" s="101">
        <v>35</v>
      </c>
      <c r="AB41" s="102">
        <v>550139</v>
      </c>
      <c r="AC41" s="102"/>
      <c r="AD41" s="102"/>
      <c r="AE41" s="103"/>
      <c r="AF41" s="101">
        <v>36</v>
      </c>
      <c r="AG41" s="102">
        <v>623169.46</v>
      </c>
      <c r="AH41" s="102"/>
      <c r="AI41" s="102"/>
      <c r="AJ41" s="102"/>
      <c r="AK41" s="102"/>
      <c r="AL41" s="103"/>
      <c r="AM41" s="101"/>
      <c r="AN41" s="102"/>
      <c r="AO41" s="102"/>
      <c r="AP41" s="103"/>
    </row>
    <row r="42" spans="1:42" x14ac:dyDescent="0.25">
      <c r="A42" s="40">
        <v>45383</v>
      </c>
      <c r="B42" s="101">
        <v>2</v>
      </c>
      <c r="C42" s="102">
        <v>42122</v>
      </c>
      <c r="D42" s="102">
        <v>478730</v>
      </c>
      <c r="E42" s="102">
        <v>185855</v>
      </c>
      <c r="F42" s="102"/>
      <c r="G42" s="102"/>
      <c r="H42" s="103"/>
      <c r="I42" s="101" t="s">
        <v>45</v>
      </c>
      <c r="J42" s="102">
        <v>1274523</v>
      </c>
      <c r="K42" s="102">
        <v>1048323</v>
      </c>
      <c r="L42" s="102">
        <v>71590</v>
      </c>
      <c r="M42" s="102"/>
      <c r="N42" s="102"/>
      <c r="O42" s="103"/>
      <c r="P42" s="101"/>
      <c r="Q42" s="102"/>
      <c r="R42" s="102"/>
      <c r="S42" s="102"/>
      <c r="T42" s="102"/>
      <c r="U42" s="102"/>
      <c r="V42" s="103"/>
      <c r="W42" s="101"/>
      <c r="X42" s="102"/>
      <c r="Y42" s="102"/>
      <c r="Z42" s="103"/>
      <c r="AA42" s="101">
        <v>5</v>
      </c>
      <c r="AB42" s="102">
        <v>1269411</v>
      </c>
      <c r="AC42" s="102"/>
      <c r="AD42" s="102"/>
      <c r="AE42" s="103"/>
      <c r="AF42" s="101">
        <v>2</v>
      </c>
      <c r="AG42" s="102">
        <v>559633.68999999994</v>
      </c>
      <c r="AH42" s="102"/>
      <c r="AI42" s="102"/>
      <c r="AJ42" s="102"/>
      <c r="AK42" s="102"/>
      <c r="AL42" s="103"/>
      <c r="AM42" s="101"/>
      <c r="AN42" s="102"/>
      <c r="AO42" s="102"/>
      <c r="AP42" s="103"/>
    </row>
    <row r="43" spans="1:42" x14ac:dyDescent="0.25">
      <c r="A43" s="40">
        <v>45413</v>
      </c>
      <c r="B43" s="101">
        <v>1</v>
      </c>
      <c r="C43" s="102">
        <v>134549</v>
      </c>
      <c r="D43" s="102">
        <v>440382</v>
      </c>
      <c r="E43" s="102">
        <v>145966</v>
      </c>
      <c r="F43" s="102"/>
      <c r="G43" s="102"/>
      <c r="H43" s="103"/>
      <c r="I43" s="101" t="s">
        <v>45</v>
      </c>
      <c r="J43" s="102">
        <v>722207</v>
      </c>
      <c r="K43" s="102">
        <v>951264</v>
      </c>
      <c r="L43" s="102">
        <v>76601</v>
      </c>
      <c r="M43" s="102"/>
      <c r="N43" s="102"/>
      <c r="O43" s="103"/>
      <c r="P43" s="101"/>
      <c r="Q43" s="102"/>
      <c r="R43" s="102"/>
      <c r="S43" s="102"/>
      <c r="T43" s="102"/>
      <c r="U43" s="102"/>
      <c r="V43" s="103"/>
      <c r="W43" s="101"/>
      <c r="X43" s="102"/>
      <c r="Y43" s="102"/>
      <c r="Z43" s="103"/>
      <c r="AA43" s="101">
        <v>3</v>
      </c>
      <c r="AB43" s="102">
        <v>723043</v>
      </c>
      <c r="AC43" s="102"/>
      <c r="AD43" s="102"/>
      <c r="AE43" s="103"/>
      <c r="AF43" s="101">
        <v>2</v>
      </c>
      <c r="AG43" s="102">
        <v>230958.13</v>
      </c>
      <c r="AH43" s="102"/>
      <c r="AI43" s="102"/>
      <c r="AJ43" s="102"/>
      <c r="AK43" s="102"/>
      <c r="AL43" s="103"/>
      <c r="AM43" s="101"/>
      <c r="AN43" s="102"/>
      <c r="AO43" s="102"/>
      <c r="AP43" s="103"/>
    </row>
    <row r="44" spans="1:42" x14ac:dyDescent="0.25">
      <c r="A44" s="40">
        <v>45444</v>
      </c>
      <c r="B44" s="101">
        <v>1</v>
      </c>
      <c r="C44" s="102">
        <v>90998</v>
      </c>
      <c r="D44" s="102" t="s">
        <v>45</v>
      </c>
      <c r="E44" s="102" t="s">
        <v>45</v>
      </c>
      <c r="F44" s="102"/>
      <c r="G44" s="102"/>
      <c r="H44" s="103"/>
      <c r="I44" s="101" t="s">
        <v>45</v>
      </c>
      <c r="J44" s="102">
        <v>971975</v>
      </c>
      <c r="K44" s="102">
        <v>823434</v>
      </c>
      <c r="L44" s="102" t="s">
        <v>45</v>
      </c>
      <c r="M44" s="102"/>
      <c r="N44" s="102"/>
      <c r="O44" s="103"/>
      <c r="P44" s="101"/>
      <c r="Q44" s="102"/>
      <c r="R44" s="102"/>
      <c r="S44" s="102"/>
      <c r="T44" s="102"/>
      <c r="U44" s="102"/>
      <c r="V44" s="103"/>
      <c r="W44" s="101"/>
      <c r="X44" s="102"/>
      <c r="Y44" s="102"/>
      <c r="Z44" s="103"/>
      <c r="AA44" s="101" t="s">
        <v>45</v>
      </c>
      <c r="AB44" s="102">
        <v>170633</v>
      </c>
      <c r="AC44" s="102"/>
      <c r="AD44" s="102"/>
      <c r="AE44" s="103"/>
      <c r="AF44" s="101">
        <v>6</v>
      </c>
      <c r="AG44" s="102">
        <v>180845.32</v>
      </c>
      <c r="AH44" s="102"/>
      <c r="AI44" s="102"/>
      <c r="AJ44" s="102"/>
      <c r="AK44" s="102"/>
      <c r="AL44" s="103"/>
      <c r="AM44" s="101"/>
      <c r="AN44" s="102"/>
      <c r="AO44" s="102"/>
      <c r="AP44" s="103"/>
    </row>
    <row r="45" spans="1:42" x14ac:dyDescent="0.25">
      <c r="A45" s="40">
        <v>45474</v>
      </c>
      <c r="B45" s="101">
        <v>7</v>
      </c>
      <c r="C45" s="102">
        <v>79132</v>
      </c>
      <c r="D45" s="102">
        <v>355484</v>
      </c>
      <c r="E45" s="102">
        <v>34076</v>
      </c>
      <c r="F45" s="102"/>
      <c r="G45" s="102"/>
      <c r="H45" s="103"/>
      <c r="I45" s="101">
        <v>1</v>
      </c>
      <c r="J45" s="102">
        <v>164960</v>
      </c>
      <c r="K45" s="102">
        <v>834056</v>
      </c>
      <c r="L45" s="102">
        <v>99305</v>
      </c>
      <c r="M45" s="102"/>
      <c r="N45" s="102"/>
      <c r="O45" s="103"/>
      <c r="P45" s="101">
        <v>32</v>
      </c>
      <c r="Q45" s="102">
        <v>580237</v>
      </c>
      <c r="R45" s="102"/>
      <c r="S45" s="102"/>
      <c r="T45" s="102"/>
      <c r="U45" s="102"/>
      <c r="V45" s="103"/>
      <c r="W45" s="101"/>
      <c r="X45" s="102"/>
      <c r="Y45" s="102"/>
      <c r="Z45" s="103"/>
      <c r="AA45" s="101" t="s">
        <v>45</v>
      </c>
      <c r="AB45" s="102">
        <v>248148</v>
      </c>
      <c r="AC45" s="102"/>
      <c r="AD45" s="102"/>
      <c r="AE45" s="103"/>
      <c r="AF45" s="101">
        <v>2</v>
      </c>
      <c r="AG45" s="102">
        <v>190831.38</v>
      </c>
      <c r="AH45" s="102"/>
      <c r="AI45" s="102"/>
      <c r="AJ45" s="102"/>
      <c r="AK45" s="102"/>
      <c r="AL45" s="103"/>
      <c r="AM45" s="101"/>
      <c r="AN45" s="102"/>
      <c r="AO45" s="102"/>
      <c r="AP45" s="103"/>
    </row>
    <row r="46" spans="1:42" x14ac:dyDescent="0.25">
      <c r="A46" s="40">
        <v>45505</v>
      </c>
      <c r="B46" s="101">
        <v>1</v>
      </c>
      <c r="C46" s="102">
        <v>250222</v>
      </c>
      <c r="D46" s="102">
        <v>151586</v>
      </c>
      <c r="E46" s="102">
        <v>116958</v>
      </c>
      <c r="F46" s="102"/>
      <c r="G46" s="102"/>
      <c r="H46" s="103"/>
      <c r="I46" s="101">
        <v>1</v>
      </c>
      <c r="J46" s="102">
        <v>548222</v>
      </c>
      <c r="K46" s="102">
        <v>592696</v>
      </c>
      <c r="L46" s="102" t="s">
        <v>45</v>
      </c>
      <c r="M46" s="102"/>
      <c r="N46" s="102"/>
      <c r="O46" s="103"/>
      <c r="P46" s="101">
        <v>30</v>
      </c>
      <c r="Q46" s="102">
        <v>299399</v>
      </c>
      <c r="R46" s="102"/>
      <c r="S46" s="102"/>
      <c r="T46" s="102"/>
      <c r="U46" s="102"/>
      <c r="V46" s="103"/>
      <c r="W46" s="101"/>
      <c r="X46" s="102"/>
      <c r="Y46" s="102"/>
      <c r="Z46" s="103"/>
      <c r="AA46" s="101" t="s">
        <v>45</v>
      </c>
      <c r="AB46" s="102">
        <v>116356</v>
      </c>
      <c r="AC46" s="102"/>
      <c r="AD46" s="102"/>
      <c r="AE46" s="103"/>
      <c r="AF46" s="101">
        <v>2</v>
      </c>
      <c r="AG46" s="102">
        <v>220373.27</v>
      </c>
      <c r="AH46" s="102"/>
      <c r="AI46" s="102"/>
      <c r="AJ46" s="102"/>
      <c r="AK46" s="102"/>
      <c r="AL46" s="103"/>
      <c r="AM46" s="101"/>
      <c r="AN46" s="102"/>
      <c r="AO46" s="102"/>
      <c r="AP46" s="103"/>
    </row>
    <row r="47" spans="1:42" x14ac:dyDescent="0.25">
      <c r="A47" s="40">
        <v>45536</v>
      </c>
      <c r="B47" s="101">
        <v>3</v>
      </c>
      <c r="C47" s="102">
        <v>288783</v>
      </c>
      <c r="D47" s="102">
        <v>600424</v>
      </c>
      <c r="E47" s="102">
        <v>229817</v>
      </c>
      <c r="F47" s="102"/>
      <c r="G47" s="102"/>
      <c r="H47" s="103"/>
      <c r="I47" s="101">
        <v>1</v>
      </c>
      <c r="J47" s="102">
        <v>201279</v>
      </c>
      <c r="K47" s="102">
        <v>494201</v>
      </c>
      <c r="L47" s="102" t="s">
        <v>45</v>
      </c>
      <c r="M47" s="102"/>
      <c r="N47" s="102"/>
      <c r="O47" s="103"/>
      <c r="P47" s="101">
        <v>22</v>
      </c>
      <c r="Q47" s="102">
        <v>42952</v>
      </c>
      <c r="R47" s="102"/>
      <c r="S47" s="102"/>
      <c r="T47" s="102"/>
      <c r="U47" s="102"/>
      <c r="V47" s="103"/>
      <c r="W47" s="101"/>
      <c r="X47" s="102"/>
      <c r="Y47" s="102"/>
      <c r="Z47" s="103"/>
      <c r="AA47" s="101" t="s">
        <v>45</v>
      </c>
      <c r="AB47" s="102">
        <v>95410</v>
      </c>
      <c r="AC47" s="102"/>
      <c r="AD47" s="102"/>
      <c r="AE47" s="103"/>
      <c r="AF47" s="101">
        <v>2</v>
      </c>
      <c r="AG47" s="102">
        <v>402034.39</v>
      </c>
      <c r="AH47" s="102"/>
      <c r="AI47" s="102"/>
      <c r="AJ47" s="102"/>
      <c r="AK47" s="102"/>
      <c r="AL47" s="103"/>
      <c r="AM47" s="101"/>
      <c r="AN47" s="102"/>
      <c r="AO47" s="102"/>
      <c r="AP47" s="103"/>
    </row>
    <row r="48" spans="1:42" x14ac:dyDescent="0.25">
      <c r="A48" s="40">
        <v>45566</v>
      </c>
      <c r="B48" s="101">
        <v>1</v>
      </c>
      <c r="C48" s="102">
        <v>85079</v>
      </c>
      <c r="D48" s="102">
        <v>1033883</v>
      </c>
      <c r="E48" s="102">
        <v>34374</v>
      </c>
      <c r="F48" s="102"/>
      <c r="G48" s="102"/>
      <c r="H48" s="103"/>
      <c r="I48" s="101" t="s">
        <v>45</v>
      </c>
      <c r="J48" s="102">
        <v>403061</v>
      </c>
      <c r="K48" s="102">
        <v>750025</v>
      </c>
      <c r="L48" s="102">
        <v>36237</v>
      </c>
      <c r="M48" s="102"/>
      <c r="N48" s="102"/>
      <c r="O48" s="103"/>
      <c r="P48" s="101">
        <v>14</v>
      </c>
      <c r="Q48" s="102">
        <v>115273</v>
      </c>
      <c r="R48" s="102"/>
      <c r="S48" s="102"/>
      <c r="T48" s="102"/>
      <c r="U48" s="102"/>
      <c r="V48" s="103"/>
      <c r="W48" s="101"/>
      <c r="X48" s="102"/>
      <c r="Y48" s="102"/>
      <c r="Z48" s="103"/>
      <c r="AA48" s="101" t="s">
        <v>45</v>
      </c>
      <c r="AB48" s="102">
        <v>116427</v>
      </c>
      <c r="AC48" s="102"/>
      <c r="AD48" s="102"/>
      <c r="AE48" s="103"/>
      <c r="AF48" s="101">
        <v>2</v>
      </c>
      <c r="AG48" s="102">
        <v>416087.06</v>
      </c>
      <c r="AH48" s="102"/>
      <c r="AI48" s="102"/>
      <c r="AJ48" s="102"/>
      <c r="AK48" s="102"/>
      <c r="AL48" s="103"/>
      <c r="AM48" s="101"/>
      <c r="AN48" s="102"/>
      <c r="AO48" s="102"/>
      <c r="AP48" s="103"/>
    </row>
    <row r="49" spans="1:42" x14ac:dyDescent="0.25">
      <c r="A49" s="40">
        <v>45597</v>
      </c>
      <c r="B49" s="101" t="s">
        <v>45</v>
      </c>
      <c r="C49" s="102">
        <v>356149</v>
      </c>
      <c r="D49" s="102">
        <v>52708</v>
      </c>
      <c r="E49" s="102">
        <v>29331</v>
      </c>
      <c r="F49" s="102"/>
      <c r="G49" s="102"/>
      <c r="H49" s="103"/>
      <c r="I49" s="101" t="s">
        <v>45</v>
      </c>
      <c r="J49" s="102">
        <v>208700</v>
      </c>
      <c r="K49" s="102">
        <v>1004267</v>
      </c>
      <c r="L49" s="102">
        <v>35599</v>
      </c>
      <c r="M49" s="102"/>
      <c r="N49" s="102"/>
      <c r="O49" s="103"/>
      <c r="P49" s="101">
        <v>10</v>
      </c>
      <c r="Q49" s="102">
        <v>45450</v>
      </c>
      <c r="R49" s="102"/>
      <c r="S49" s="102"/>
      <c r="T49" s="102"/>
      <c r="U49" s="102"/>
      <c r="V49" s="103"/>
      <c r="W49" s="101"/>
      <c r="X49" s="102"/>
      <c r="Y49" s="102"/>
      <c r="Z49" s="103"/>
      <c r="AA49" s="101" t="s">
        <v>45</v>
      </c>
      <c r="AB49" s="102">
        <v>96304</v>
      </c>
      <c r="AC49" s="102"/>
      <c r="AD49" s="102"/>
      <c r="AE49" s="103"/>
      <c r="AF49" s="101">
        <v>1</v>
      </c>
      <c r="AG49" s="102">
        <v>3023371.18</v>
      </c>
      <c r="AH49" s="102"/>
      <c r="AI49" s="102">
        <v>2828889</v>
      </c>
      <c r="AJ49" s="102"/>
      <c r="AK49" s="102"/>
      <c r="AL49" s="103"/>
      <c r="AM49" s="101"/>
      <c r="AN49" s="102"/>
      <c r="AO49" s="102"/>
      <c r="AP49" s="103"/>
    </row>
    <row r="50" spans="1:42" x14ac:dyDescent="0.25">
      <c r="A50" s="40">
        <v>45627</v>
      </c>
      <c r="B50" s="101" t="s">
        <v>45</v>
      </c>
      <c r="C50" s="102">
        <v>594301</v>
      </c>
      <c r="D50" s="102">
        <v>643506</v>
      </c>
      <c r="E50" s="102" t="s">
        <v>45</v>
      </c>
      <c r="F50" s="102"/>
      <c r="G50" s="102"/>
      <c r="H50" s="103"/>
      <c r="I50" s="101" t="s">
        <v>45</v>
      </c>
      <c r="J50" s="102">
        <v>357717</v>
      </c>
      <c r="K50" s="102">
        <v>734496</v>
      </c>
      <c r="L50" s="102">
        <v>41248</v>
      </c>
      <c r="M50" s="102"/>
      <c r="N50" s="102"/>
      <c r="O50" s="103"/>
      <c r="P50" s="101">
        <v>5</v>
      </c>
      <c r="Q50" s="102">
        <v>61032</v>
      </c>
      <c r="R50" s="102"/>
      <c r="S50" s="102"/>
      <c r="T50" s="102"/>
      <c r="U50" s="102"/>
      <c r="V50" s="103"/>
      <c r="W50" s="101">
        <v>37</v>
      </c>
      <c r="X50" s="102">
        <v>262541</v>
      </c>
      <c r="Y50" s="102"/>
      <c r="Z50" s="103"/>
      <c r="AA50" s="101" t="s">
        <v>45</v>
      </c>
      <c r="AB50" s="102">
        <v>294651</v>
      </c>
      <c r="AC50" s="102"/>
      <c r="AD50" s="102"/>
      <c r="AE50" s="103"/>
      <c r="AF50" s="101">
        <v>2</v>
      </c>
      <c r="AG50" s="102">
        <v>1362090.6</v>
      </c>
      <c r="AH50" s="102">
        <v>495939</v>
      </c>
      <c r="AI50" s="102">
        <v>103299</v>
      </c>
      <c r="AJ50" s="102"/>
      <c r="AK50" s="102"/>
      <c r="AL50" s="103"/>
      <c r="AM50" s="101"/>
      <c r="AN50" s="102"/>
      <c r="AO50" s="102"/>
      <c r="AP50" s="103"/>
    </row>
    <row r="51" spans="1:42" x14ac:dyDescent="0.25">
      <c r="A51" s="40">
        <v>45658</v>
      </c>
      <c r="B51" s="101" t="s">
        <v>45</v>
      </c>
      <c r="C51" s="102">
        <v>498417</v>
      </c>
      <c r="D51" s="102">
        <v>1163143</v>
      </c>
      <c r="E51" s="102">
        <v>29331</v>
      </c>
      <c r="F51" s="102"/>
      <c r="G51" s="102"/>
      <c r="H51" s="103"/>
      <c r="I51" s="101" t="s">
        <v>45</v>
      </c>
      <c r="J51" s="102">
        <v>162303</v>
      </c>
      <c r="K51" s="102" t="s">
        <v>45</v>
      </c>
      <c r="L51" s="102" t="s">
        <v>45</v>
      </c>
      <c r="M51" s="102"/>
      <c r="N51" s="102"/>
      <c r="O51" s="103"/>
      <c r="P51" s="101">
        <v>5</v>
      </c>
      <c r="Q51" s="102">
        <v>54250</v>
      </c>
      <c r="R51" s="102"/>
      <c r="S51" s="102"/>
      <c r="T51" s="102"/>
      <c r="U51" s="102"/>
      <c r="V51" s="103"/>
      <c r="W51" s="101">
        <v>15</v>
      </c>
      <c r="X51" s="102">
        <v>155415</v>
      </c>
      <c r="Y51" s="102"/>
      <c r="Z51" s="103"/>
      <c r="AA51" s="101" t="s">
        <v>45</v>
      </c>
      <c r="AB51" s="102">
        <v>172391</v>
      </c>
      <c r="AC51" s="102"/>
      <c r="AD51" s="102"/>
      <c r="AE51" s="103"/>
      <c r="AF51" s="101">
        <v>1</v>
      </c>
      <c r="AG51" s="102">
        <v>463163</v>
      </c>
      <c r="AH51" s="102">
        <v>44304</v>
      </c>
      <c r="AI51" s="102">
        <v>61297</v>
      </c>
      <c r="AJ51" s="102"/>
      <c r="AK51" s="102"/>
      <c r="AL51" s="103"/>
      <c r="AM51" s="101">
        <v>2</v>
      </c>
      <c r="AN51" s="102"/>
      <c r="AO51" s="102"/>
      <c r="AP51" s="103"/>
    </row>
    <row r="52" spans="1:42" x14ac:dyDescent="0.25">
      <c r="A52" s="40">
        <v>45689</v>
      </c>
      <c r="B52" s="101" t="s">
        <v>45</v>
      </c>
      <c r="C52" s="102">
        <v>105008</v>
      </c>
      <c r="D52" s="102" t="s">
        <v>45</v>
      </c>
      <c r="E52" s="102" t="s">
        <v>45</v>
      </c>
      <c r="F52" s="102"/>
      <c r="G52" s="102"/>
      <c r="H52" s="103"/>
      <c r="I52" s="101" t="s">
        <v>45</v>
      </c>
      <c r="J52" s="102">
        <v>617475</v>
      </c>
      <c r="K52" s="102">
        <v>93151</v>
      </c>
      <c r="L52" s="102" t="s">
        <v>45</v>
      </c>
      <c r="M52" s="102"/>
      <c r="N52" s="102"/>
      <c r="O52" s="103"/>
      <c r="P52" s="101">
        <v>5</v>
      </c>
      <c r="Q52" s="102">
        <v>46310</v>
      </c>
      <c r="R52" s="102"/>
      <c r="S52" s="102"/>
      <c r="T52" s="102"/>
      <c r="U52" s="102"/>
      <c r="V52" s="103"/>
      <c r="W52" s="101">
        <v>11</v>
      </c>
      <c r="X52" s="102">
        <v>106136</v>
      </c>
      <c r="Y52" s="102"/>
      <c r="Z52" s="103"/>
      <c r="AA52" s="101" t="s">
        <v>45</v>
      </c>
      <c r="AB52" s="102">
        <v>104494</v>
      </c>
      <c r="AC52" s="102"/>
      <c r="AD52" s="102"/>
      <c r="AE52" s="103"/>
      <c r="AF52" s="101">
        <v>1</v>
      </c>
      <c r="AG52" s="102">
        <v>242545</v>
      </c>
      <c r="AH52" s="102">
        <v>58613</v>
      </c>
      <c r="AI52" s="102">
        <v>318826</v>
      </c>
      <c r="AJ52" s="102"/>
      <c r="AK52" s="102"/>
      <c r="AL52" s="103"/>
      <c r="AM52" s="101" t="s">
        <v>45</v>
      </c>
      <c r="AN52" s="102"/>
      <c r="AO52" s="102"/>
      <c r="AP52" s="103"/>
    </row>
    <row r="53" spans="1:42" x14ac:dyDescent="0.25">
      <c r="A53" s="40">
        <v>45717</v>
      </c>
      <c r="B53" s="101" t="s">
        <v>45</v>
      </c>
      <c r="C53" s="102">
        <v>361694</v>
      </c>
      <c r="D53" s="102">
        <v>867482</v>
      </c>
      <c r="E53" s="102" t="s">
        <v>45</v>
      </c>
      <c r="F53" s="102"/>
      <c r="G53" s="102"/>
      <c r="H53" s="103"/>
      <c r="I53" s="101" t="s">
        <v>45</v>
      </c>
      <c r="J53" s="102">
        <v>65451</v>
      </c>
      <c r="K53" s="102">
        <v>352901</v>
      </c>
      <c r="L53" s="102" t="s">
        <v>45</v>
      </c>
      <c r="M53" s="102"/>
      <c r="N53" s="102"/>
      <c r="O53" s="103"/>
      <c r="P53" s="101">
        <v>5</v>
      </c>
      <c r="Q53" s="102">
        <v>56284</v>
      </c>
      <c r="R53" s="102"/>
      <c r="S53" s="102"/>
      <c r="T53" s="102"/>
      <c r="U53" s="102"/>
      <c r="V53" s="103"/>
      <c r="W53" s="101">
        <v>5</v>
      </c>
      <c r="X53" s="102">
        <v>67242</v>
      </c>
      <c r="Y53" s="102"/>
      <c r="Z53" s="103"/>
      <c r="AA53" s="101" t="s">
        <v>45</v>
      </c>
      <c r="AB53" s="102">
        <v>254718</v>
      </c>
      <c r="AC53" s="102"/>
      <c r="AD53" s="102"/>
      <c r="AE53" s="103"/>
      <c r="AF53" s="101">
        <v>1</v>
      </c>
      <c r="AG53" s="102">
        <v>305213</v>
      </c>
      <c r="AH53" s="102">
        <v>527178</v>
      </c>
      <c r="AI53" s="102">
        <v>1687809</v>
      </c>
      <c r="AJ53" s="102"/>
      <c r="AK53" s="102"/>
      <c r="AL53" s="103"/>
      <c r="AM53" s="101" t="s">
        <v>45</v>
      </c>
      <c r="AN53" s="102"/>
      <c r="AO53" s="102"/>
      <c r="AP53" s="103"/>
    </row>
    <row r="54" spans="1:42" x14ac:dyDescent="0.25">
      <c r="A54" s="40">
        <v>45748</v>
      </c>
      <c r="B54" s="101" t="s">
        <v>45</v>
      </c>
      <c r="C54" s="102">
        <v>184143</v>
      </c>
      <c r="D54" s="102">
        <v>504379</v>
      </c>
      <c r="E54" s="102" t="s">
        <v>45</v>
      </c>
      <c r="F54" s="102"/>
      <c r="G54" s="102"/>
      <c r="H54" s="103"/>
      <c r="I54" s="101" t="s">
        <v>45</v>
      </c>
      <c r="J54" s="102">
        <v>40080</v>
      </c>
      <c r="K54" s="102" t="s">
        <v>45</v>
      </c>
      <c r="L54" s="102" t="s">
        <v>45</v>
      </c>
      <c r="M54" s="102"/>
      <c r="N54" s="102"/>
      <c r="O54" s="103"/>
      <c r="P54" s="101">
        <v>-2</v>
      </c>
      <c r="Q54" s="102">
        <v>63633</v>
      </c>
      <c r="R54" s="102"/>
      <c r="S54" s="102"/>
      <c r="T54" s="102"/>
      <c r="U54" s="102"/>
      <c r="V54" s="103"/>
      <c r="W54" s="101">
        <v>6</v>
      </c>
      <c r="X54" s="102">
        <v>53259</v>
      </c>
      <c r="Y54" s="102"/>
      <c r="Z54" s="103"/>
      <c r="AA54" s="101" t="s">
        <v>45</v>
      </c>
      <c r="AB54" s="102">
        <v>138414</v>
      </c>
      <c r="AC54" s="102"/>
      <c r="AD54" s="102"/>
      <c r="AE54" s="103"/>
      <c r="AF54" s="101">
        <v>1</v>
      </c>
      <c r="AG54" s="102">
        <v>379772</v>
      </c>
      <c r="AH54" s="102">
        <v>381667</v>
      </c>
      <c r="AI54" s="102" t="s">
        <v>45</v>
      </c>
      <c r="AJ54" s="102"/>
      <c r="AK54" s="102"/>
      <c r="AL54" s="103"/>
      <c r="AM54" s="101" t="s">
        <v>45</v>
      </c>
      <c r="AN54" s="102"/>
      <c r="AO54" s="102"/>
      <c r="AP54" s="103"/>
    </row>
    <row r="55" spans="1:42" x14ac:dyDescent="0.25">
      <c r="A55" s="40">
        <v>45778</v>
      </c>
      <c r="B55" s="101">
        <v>8</v>
      </c>
      <c r="C55" s="102">
        <v>393264</v>
      </c>
      <c r="D55" s="102">
        <v>303619</v>
      </c>
      <c r="E55" s="102" t="s">
        <v>45</v>
      </c>
      <c r="F55" s="102"/>
      <c r="G55" s="102"/>
      <c r="H55" s="103"/>
      <c r="I55" s="101" t="s">
        <v>45</v>
      </c>
      <c r="J55" s="102">
        <v>32565</v>
      </c>
      <c r="K55" s="102">
        <v>443100</v>
      </c>
      <c r="L55" s="102">
        <v>76405</v>
      </c>
      <c r="M55" s="102"/>
      <c r="N55" s="102"/>
      <c r="O55" s="103"/>
      <c r="P55" s="101" t="s">
        <v>45</v>
      </c>
      <c r="Q55" s="102">
        <v>157227</v>
      </c>
      <c r="R55" s="102"/>
      <c r="S55" s="102"/>
      <c r="T55" s="102"/>
      <c r="U55" s="102"/>
      <c r="V55" s="103"/>
      <c r="W55" s="101">
        <v>8</v>
      </c>
      <c r="X55" s="102">
        <v>54106</v>
      </c>
      <c r="Y55" s="102"/>
      <c r="Z55" s="103"/>
      <c r="AA55" s="101" t="s">
        <v>45</v>
      </c>
      <c r="AB55" s="102">
        <v>116203</v>
      </c>
      <c r="AC55" s="102"/>
      <c r="AD55" s="102"/>
      <c r="AE55" s="103"/>
      <c r="AF55" s="101">
        <v>1</v>
      </c>
      <c r="AG55" s="102">
        <v>287507</v>
      </c>
      <c r="AH55" s="102">
        <v>84505</v>
      </c>
      <c r="AI55" s="102">
        <v>236330</v>
      </c>
      <c r="AJ55" s="102"/>
      <c r="AK55" s="102"/>
      <c r="AL55" s="103"/>
      <c r="AM55" s="101" t="s">
        <v>45</v>
      </c>
      <c r="AN55" s="102"/>
      <c r="AO55" s="102"/>
      <c r="AP55" s="103"/>
    </row>
    <row r="56" spans="1:42" x14ac:dyDescent="0.25">
      <c r="A56" s="40">
        <v>45809</v>
      </c>
      <c r="B56" s="101">
        <v>1</v>
      </c>
      <c r="C56" s="102">
        <v>322109</v>
      </c>
      <c r="D56" s="102">
        <v>651851</v>
      </c>
      <c r="E56" s="102" t="s">
        <v>45</v>
      </c>
      <c r="F56" s="102"/>
      <c r="G56" s="102"/>
      <c r="H56" s="103"/>
      <c r="I56" s="101" t="s">
        <v>45</v>
      </c>
      <c r="J56" s="102">
        <v>28121</v>
      </c>
      <c r="K56" s="102">
        <v>1160037</v>
      </c>
      <c r="L56" s="102" t="s">
        <v>45</v>
      </c>
      <c r="M56" s="102"/>
      <c r="N56" s="102"/>
      <c r="O56" s="103"/>
      <c r="P56" s="101" t="s">
        <v>45</v>
      </c>
      <c r="Q56" s="102">
        <v>1549051</v>
      </c>
      <c r="R56" s="102"/>
      <c r="S56" s="102">
        <v>1443110</v>
      </c>
      <c r="T56" s="102"/>
      <c r="U56" s="102"/>
      <c r="V56" s="103"/>
      <c r="W56" s="101">
        <v>9</v>
      </c>
      <c r="X56" s="102">
        <v>52368</v>
      </c>
      <c r="Y56" s="102"/>
      <c r="Z56" s="103"/>
      <c r="AA56" s="101" t="s">
        <v>45</v>
      </c>
      <c r="AB56" s="102">
        <v>662741</v>
      </c>
      <c r="AC56" s="102"/>
      <c r="AD56" s="102"/>
      <c r="AE56" s="103"/>
      <c r="AF56" s="101">
        <v>1</v>
      </c>
      <c r="AG56" s="102">
        <v>311613</v>
      </c>
      <c r="AH56" s="102">
        <v>81943</v>
      </c>
      <c r="AI56" s="102">
        <v>235728</v>
      </c>
      <c r="AJ56" s="102"/>
      <c r="AK56" s="102"/>
      <c r="AL56" s="103"/>
      <c r="AM56" s="101" t="s">
        <v>45</v>
      </c>
      <c r="AN56" s="102"/>
      <c r="AO56" s="102"/>
      <c r="AP56" s="103"/>
    </row>
    <row r="57" spans="1:42" x14ac:dyDescent="0.25">
      <c r="A57" s="40">
        <v>45839</v>
      </c>
      <c r="B57" s="101">
        <v>1</v>
      </c>
      <c r="C57" s="102">
        <v>198354</v>
      </c>
      <c r="D57" s="102">
        <v>386649</v>
      </c>
      <c r="E57" s="102" t="s">
        <v>45</v>
      </c>
      <c r="F57" s="102"/>
      <c r="G57" s="102"/>
      <c r="H57" s="103"/>
      <c r="I57" s="101">
        <v>-1</v>
      </c>
      <c r="J57" s="102">
        <v>96843</v>
      </c>
      <c r="K57" s="102" t="s">
        <v>45</v>
      </c>
      <c r="L57" s="102" t="s">
        <v>45</v>
      </c>
      <c r="M57" s="102"/>
      <c r="N57" s="102"/>
      <c r="O57" s="103"/>
      <c r="P57" s="101" t="s">
        <v>45</v>
      </c>
      <c r="Q57" s="102">
        <v>2893764</v>
      </c>
      <c r="R57" s="102">
        <v>837585</v>
      </c>
      <c r="S57" s="102">
        <v>1974732</v>
      </c>
      <c r="T57" s="102"/>
      <c r="U57" s="102"/>
      <c r="V57" s="103"/>
      <c r="W57" s="101">
        <v>7</v>
      </c>
      <c r="X57" s="102">
        <v>116668</v>
      </c>
      <c r="Y57" s="102"/>
      <c r="Z57" s="103"/>
      <c r="AA57" s="101" t="s">
        <v>45</v>
      </c>
      <c r="AB57" s="102">
        <v>111735</v>
      </c>
      <c r="AC57" s="102"/>
      <c r="AD57" s="102"/>
      <c r="AE57" s="103"/>
      <c r="AF57" s="101">
        <v>1</v>
      </c>
      <c r="AG57" s="102">
        <v>336890</v>
      </c>
      <c r="AH57" s="102">
        <v>1698788</v>
      </c>
      <c r="AI57" s="102">
        <v>503380</v>
      </c>
      <c r="AJ57" s="102"/>
      <c r="AK57" s="102"/>
      <c r="AL57" s="103"/>
      <c r="AM57" s="101">
        <v>181</v>
      </c>
      <c r="AN57" s="102">
        <v>1915241</v>
      </c>
      <c r="AO57" s="102"/>
      <c r="AP57" s="103"/>
    </row>
    <row r="58" spans="1:42" x14ac:dyDescent="0.25">
      <c r="A58" s="40">
        <v>45870</v>
      </c>
      <c r="B58" s="101">
        <v>1</v>
      </c>
      <c r="C58" s="102">
        <v>425551</v>
      </c>
      <c r="D58" s="102">
        <v>1166855</v>
      </c>
      <c r="E58" s="102">
        <v>58842</v>
      </c>
      <c r="F58" s="102"/>
      <c r="G58" s="102"/>
      <c r="H58" s="103"/>
      <c r="I58" s="101" t="s">
        <v>45</v>
      </c>
      <c r="J58" s="102">
        <v>64422</v>
      </c>
      <c r="K58" s="102">
        <v>185306</v>
      </c>
      <c r="L58" s="102">
        <v>35795</v>
      </c>
      <c r="M58" s="102"/>
      <c r="N58" s="102"/>
      <c r="O58" s="103"/>
      <c r="P58" s="101">
        <v>1</v>
      </c>
      <c r="Q58" s="102">
        <v>1260483</v>
      </c>
      <c r="R58" s="102">
        <v>995004</v>
      </c>
      <c r="S58" s="102" t="s">
        <v>45</v>
      </c>
      <c r="T58" s="102"/>
      <c r="U58" s="102"/>
      <c r="V58" s="103"/>
      <c r="W58" s="101">
        <v>7</v>
      </c>
      <c r="X58" s="102">
        <v>61363</v>
      </c>
      <c r="Y58" s="102"/>
      <c r="Z58" s="103"/>
      <c r="AA58" s="101">
        <v>2</v>
      </c>
      <c r="AB58" s="102">
        <v>121872</v>
      </c>
      <c r="AC58" s="102"/>
      <c r="AD58" s="102"/>
      <c r="AE58" s="103"/>
      <c r="AF58" s="101" t="s">
        <v>45</v>
      </c>
      <c r="AG58" s="102">
        <v>387302</v>
      </c>
      <c r="AH58" s="102">
        <v>658563</v>
      </c>
      <c r="AI58" s="102">
        <v>92717</v>
      </c>
      <c r="AJ58" s="102"/>
      <c r="AK58" s="102"/>
      <c r="AL58" s="103"/>
      <c r="AM58" s="101">
        <v>19</v>
      </c>
      <c r="AN58" s="102">
        <v>888444</v>
      </c>
      <c r="AO58" s="102"/>
      <c r="AP58" s="103"/>
    </row>
    <row r="59" spans="1:42" x14ac:dyDescent="0.25">
      <c r="A59" s="40">
        <v>45901</v>
      </c>
      <c r="B59" s="101">
        <v>1</v>
      </c>
      <c r="C59" s="102">
        <v>154765</v>
      </c>
      <c r="D59" s="102">
        <v>563535</v>
      </c>
      <c r="E59" s="102">
        <v>35103</v>
      </c>
      <c r="F59" s="102"/>
      <c r="G59" s="102"/>
      <c r="H59" s="103"/>
      <c r="I59" s="101">
        <v>1</v>
      </c>
      <c r="J59" s="102">
        <v>21166</v>
      </c>
      <c r="K59" s="102">
        <v>933974</v>
      </c>
      <c r="L59" s="102" t="s">
        <v>45</v>
      </c>
      <c r="M59" s="102"/>
      <c r="N59" s="102"/>
      <c r="O59" s="103"/>
      <c r="P59" s="101">
        <v>1</v>
      </c>
      <c r="Q59" s="102">
        <v>456912</v>
      </c>
      <c r="R59" s="102">
        <v>973533</v>
      </c>
      <c r="S59" s="102">
        <v>1120860</v>
      </c>
      <c r="T59" s="102"/>
      <c r="U59" s="102"/>
      <c r="V59" s="103"/>
      <c r="W59" s="101">
        <v>8</v>
      </c>
      <c r="X59" s="102">
        <v>86815</v>
      </c>
      <c r="Y59" s="102"/>
      <c r="Z59" s="103"/>
      <c r="AA59" s="101" t="s">
        <v>45</v>
      </c>
      <c r="AB59" s="102">
        <v>107535</v>
      </c>
      <c r="AC59" s="102"/>
      <c r="AD59" s="102"/>
      <c r="AE59" s="103"/>
      <c r="AF59" s="101" t="s">
        <v>45</v>
      </c>
      <c r="AG59" s="102">
        <v>313641</v>
      </c>
      <c r="AH59" s="102">
        <v>946843</v>
      </c>
      <c r="AI59" s="102">
        <v>165441</v>
      </c>
      <c r="AJ59" s="102"/>
      <c r="AK59" s="102"/>
      <c r="AL59" s="103"/>
      <c r="AM59" s="101">
        <v>13</v>
      </c>
      <c r="AN59" s="102">
        <v>419611</v>
      </c>
      <c r="AO59" s="102"/>
      <c r="AP59" s="103"/>
    </row>
    <row r="60" spans="1:42" x14ac:dyDescent="0.25">
      <c r="A60" s="40">
        <v>45931</v>
      </c>
      <c r="B60" s="101" t="s">
        <v>45</v>
      </c>
      <c r="C60" s="102">
        <v>154874</v>
      </c>
      <c r="D60" s="102">
        <v>710328</v>
      </c>
      <c r="E60" s="102" t="s">
        <v>45</v>
      </c>
      <c r="F60" s="102"/>
      <c r="G60" s="102"/>
      <c r="H60" s="103"/>
      <c r="I60" s="101" t="s">
        <v>45</v>
      </c>
      <c r="J60" s="102">
        <v>3382</v>
      </c>
      <c r="K60" s="102" t="s">
        <v>45</v>
      </c>
      <c r="L60" s="102" t="s">
        <v>45</v>
      </c>
      <c r="M60" s="102"/>
      <c r="N60" s="102"/>
      <c r="O60" s="103"/>
      <c r="P60" s="101" t="s">
        <v>45</v>
      </c>
      <c r="Q60" s="102">
        <v>428046</v>
      </c>
      <c r="R60" s="102">
        <v>956562</v>
      </c>
      <c r="S60" s="102">
        <v>144523</v>
      </c>
      <c r="T60" s="102"/>
      <c r="U60" s="102"/>
      <c r="V60" s="103"/>
      <c r="W60" s="101">
        <v>8</v>
      </c>
      <c r="X60" s="102">
        <v>76138</v>
      </c>
      <c r="Y60" s="102"/>
      <c r="Z60" s="103"/>
      <c r="AA60" s="101" t="s">
        <v>45</v>
      </c>
      <c r="AB60" s="102">
        <v>81980</v>
      </c>
      <c r="AC60" s="102"/>
      <c r="AD60" s="102"/>
      <c r="AE60" s="103"/>
      <c r="AF60" s="101">
        <v>15</v>
      </c>
      <c r="AG60" s="102">
        <v>333428</v>
      </c>
      <c r="AH60" s="102">
        <v>547764</v>
      </c>
      <c r="AI60" s="102">
        <v>95163</v>
      </c>
      <c r="AJ60" s="102"/>
      <c r="AK60" s="102"/>
      <c r="AL60" s="103"/>
      <c r="AM60" s="101">
        <v>55</v>
      </c>
      <c r="AN60" s="102">
        <v>727302</v>
      </c>
      <c r="AO60" s="102"/>
      <c r="AP60" s="103"/>
    </row>
    <row r="61" spans="1:42" x14ac:dyDescent="0.25">
      <c r="A61" s="40">
        <v>45962</v>
      </c>
      <c r="B61" s="101"/>
      <c r="C61" s="102">
        <v>161197</v>
      </c>
      <c r="D61" s="102">
        <v>602871</v>
      </c>
      <c r="E61" s="104"/>
      <c r="F61" s="104"/>
      <c r="G61" s="102"/>
      <c r="H61" s="103"/>
      <c r="I61" s="101"/>
      <c r="J61" s="102">
        <v>5123</v>
      </c>
      <c r="K61" s="102"/>
      <c r="L61" s="104"/>
      <c r="M61" s="104"/>
      <c r="N61" s="102"/>
      <c r="O61" s="103"/>
      <c r="P61" s="101"/>
      <c r="Q61" s="102">
        <v>114248</v>
      </c>
      <c r="R61" s="102">
        <v>984693</v>
      </c>
      <c r="S61" s="104"/>
      <c r="T61" s="104"/>
      <c r="U61" s="102"/>
      <c r="V61" s="103"/>
      <c r="W61" s="101"/>
      <c r="X61" s="102">
        <v>63468</v>
      </c>
      <c r="Y61" s="102"/>
      <c r="Z61" s="103"/>
      <c r="AA61" s="101"/>
      <c r="AB61" s="102">
        <v>46616</v>
      </c>
      <c r="AC61" s="104"/>
      <c r="AD61" s="102"/>
      <c r="AE61" s="103"/>
      <c r="AF61" s="101"/>
      <c r="AG61" s="102">
        <v>150513</v>
      </c>
      <c r="AH61" s="102">
        <v>1081148</v>
      </c>
      <c r="AI61" s="104"/>
      <c r="AJ61" s="104"/>
      <c r="AK61" s="102"/>
      <c r="AL61" s="103"/>
      <c r="AM61" s="101"/>
      <c r="AN61" s="102">
        <v>119985</v>
      </c>
      <c r="AO61" s="102"/>
      <c r="AP61" s="103"/>
    </row>
    <row r="62" spans="1:42" x14ac:dyDescent="0.25">
      <c r="A62" s="40">
        <v>45992</v>
      </c>
      <c r="B62" s="101"/>
      <c r="C62" s="102">
        <v>141631</v>
      </c>
      <c r="D62" s="102">
        <v>602871</v>
      </c>
      <c r="E62" s="104"/>
      <c r="F62" s="104"/>
      <c r="G62" s="102"/>
      <c r="H62" s="104"/>
      <c r="I62" s="101"/>
      <c r="J62" s="102">
        <v>9894</v>
      </c>
      <c r="K62" s="102"/>
      <c r="L62" s="104"/>
      <c r="M62" s="104"/>
      <c r="N62" s="102"/>
      <c r="O62" s="104"/>
      <c r="P62" s="101"/>
      <c r="Q62" s="102">
        <v>554354</v>
      </c>
      <c r="R62" s="102">
        <v>984693</v>
      </c>
      <c r="S62" s="104"/>
      <c r="T62" s="104"/>
      <c r="U62" s="102"/>
      <c r="V62" s="104"/>
      <c r="W62" s="101"/>
      <c r="X62" s="102">
        <v>630431</v>
      </c>
      <c r="Y62" s="102"/>
      <c r="Z62" s="104"/>
      <c r="AA62" s="101"/>
      <c r="AB62" s="102">
        <v>400120</v>
      </c>
      <c r="AC62" s="104"/>
      <c r="AD62" s="102"/>
      <c r="AE62" s="104"/>
      <c r="AF62" s="101"/>
      <c r="AG62" s="102">
        <v>1425862</v>
      </c>
      <c r="AH62" s="102">
        <v>1081148</v>
      </c>
      <c r="AI62" s="104"/>
      <c r="AJ62" s="104"/>
      <c r="AK62" s="102"/>
      <c r="AL62" s="104"/>
      <c r="AM62" s="101"/>
      <c r="AN62" s="102">
        <v>536488</v>
      </c>
      <c r="AO62" s="102"/>
      <c r="AP62" s="103"/>
    </row>
    <row r="63" spans="1:42" x14ac:dyDescent="0.25">
      <c r="A63" s="40">
        <v>46023</v>
      </c>
      <c r="B63" s="101"/>
      <c r="C63" s="102">
        <v>134552</v>
      </c>
      <c r="D63" s="102">
        <v>452154</v>
      </c>
      <c r="E63" s="104">
        <v>163842</v>
      </c>
      <c r="F63" s="104"/>
      <c r="G63" s="102"/>
      <c r="H63" s="104"/>
      <c r="I63" s="101"/>
      <c r="J63" s="102">
        <v>1796</v>
      </c>
      <c r="K63" s="102"/>
      <c r="L63" s="104"/>
      <c r="M63" s="104"/>
      <c r="N63" s="102"/>
      <c r="O63" s="104"/>
      <c r="P63" s="101"/>
      <c r="Q63" s="102">
        <v>206072</v>
      </c>
      <c r="R63" s="102">
        <v>984693</v>
      </c>
      <c r="S63" s="104"/>
      <c r="T63" s="104"/>
      <c r="U63" s="102"/>
      <c r="V63" s="104"/>
      <c r="W63" s="101"/>
      <c r="X63" s="102">
        <v>87746</v>
      </c>
      <c r="Y63" s="102"/>
      <c r="Z63" s="104"/>
      <c r="AA63" s="101"/>
      <c r="AB63" s="102">
        <v>146553</v>
      </c>
      <c r="AC63" s="104"/>
      <c r="AD63" s="102"/>
      <c r="AE63" s="104"/>
      <c r="AF63" s="101"/>
      <c r="AG63" s="102">
        <v>415011</v>
      </c>
      <c r="AH63" s="102">
        <v>1081148</v>
      </c>
      <c r="AI63" s="104"/>
      <c r="AJ63" s="104"/>
      <c r="AK63" s="102"/>
      <c r="AL63" s="104"/>
      <c r="AM63" s="101"/>
      <c r="AN63" s="102">
        <v>224803</v>
      </c>
      <c r="AO63" s="102"/>
      <c r="AP63" s="103"/>
    </row>
    <row r="64" spans="1:42" x14ac:dyDescent="0.25">
      <c r="A64" s="40">
        <v>46054</v>
      </c>
      <c r="B64" s="101"/>
      <c r="C64" s="102">
        <v>196652</v>
      </c>
      <c r="D64" s="102">
        <v>371313</v>
      </c>
      <c r="E64" s="104"/>
      <c r="F64" s="104"/>
      <c r="G64" s="102"/>
      <c r="H64" s="104"/>
      <c r="I64" s="101"/>
      <c r="J64" s="102">
        <v>2059</v>
      </c>
      <c r="K64" s="102"/>
      <c r="L64" s="104"/>
      <c r="M64" s="104"/>
      <c r="N64" s="102"/>
      <c r="O64" s="104"/>
      <c r="P64" s="101"/>
      <c r="Q64" s="102">
        <v>189120</v>
      </c>
      <c r="R64" s="102">
        <v>984693</v>
      </c>
      <c r="S64" s="104">
        <v>148936</v>
      </c>
      <c r="T64" s="104"/>
      <c r="U64" s="102"/>
      <c r="V64" s="104"/>
      <c r="W64" s="101"/>
      <c r="X64" s="102">
        <v>88705</v>
      </c>
      <c r="Y64" s="102"/>
      <c r="Z64" s="104"/>
      <c r="AA64" s="101"/>
      <c r="AB64" s="102">
        <v>82751</v>
      </c>
      <c r="AC64" s="104"/>
      <c r="AD64" s="102"/>
      <c r="AE64" s="104"/>
      <c r="AF64" s="101"/>
      <c r="AG64" s="102">
        <v>316791</v>
      </c>
      <c r="AH64" s="102">
        <v>1081148</v>
      </c>
      <c r="AI64" s="104"/>
      <c r="AJ64" s="104"/>
      <c r="AK64" s="102"/>
      <c r="AL64" s="104"/>
      <c r="AM64" s="101"/>
      <c r="AN64" s="102">
        <v>231915</v>
      </c>
      <c r="AO64" s="102"/>
      <c r="AP64" s="103"/>
    </row>
    <row r="65" spans="1:42" x14ac:dyDescent="0.25">
      <c r="A65" s="40">
        <v>46082</v>
      </c>
      <c r="B65" s="101"/>
      <c r="C65" s="102">
        <v>190600</v>
      </c>
      <c r="D65" s="102">
        <v>985148</v>
      </c>
      <c r="E65" s="104"/>
      <c r="F65" s="104"/>
      <c r="G65" s="102"/>
      <c r="H65" s="104"/>
      <c r="I65" s="101"/>
      <c r="J65" s="102">
        <v>2153</v>
      </c>
      <c r="K65" s="102"/>
      <c r="L65" s="104"/>
      <c r="M65" s="104"/>
      <c r="N65" s="102"/>
      <c r="O65" s="104"/>
      <c r="P65" s="101"/>
      <c r="Q65" s="102">
        <v>256209</v>
      </c>
      <c r="R65" s="102">
        <v>729402</v>
      </c>
      <c r="S65" s="104" t="s">
        <v>45</v>
      </c>
      <c r="T65" s="104"/>
      <c r="U65" s="102"/>
      <c r="V65" s="104"/>
      <c r="W65" s="101"/>
      <c r="X65" s="102">
        <v>89085</v>
      </c>
      <c r="Y65" s="102"/>
      <c r="Z65" s="104"/>
      <c r="AA65" s="101"/>
      <c r="AB65" s="102">
        <v>262310</v>
      </c>
      <c r="AC65" s="104"/>
      <c r="AD65" s="102"/>
      <c r="AE65" s="104"/>
      <c r="AF65" s="101"/>
      <c r="AG65" s="102">
        <v>419249</v>
      </c>
      <c r="AH65" s="102">
        <v>1621722</v>
      </c>
      <c r="AI65" s="104">
        <v>205128</v>
      </c>
      <c r="AJ65" s="104"/>
      <c r="AK65" s="102"/>
      <c r="AL65" s="104"/>
      <c r="AM65" s="101"/>
      <c r="AN65" s="102">
        <v>215074</v>
      </c>
      <c r="AO65" s="102"/>
      <c r="AP65" s="103"/>
    </row>
    <row r="66" spans="1:42" x14ac:dyDescent="0.25">
      <c r="A66" s="40">
        <v>46113</v>
      </c>
      <c r="B66" s="101"/>
      <c r="C66" s="102">
        <v>149202</v>
      </c>
      <c r="D66" s="102" t="s">
        <v>45</v>
      </c>
      <c r="E66" s="104"/>
      <c r="F66" s="104"/>
      <c r="G66" s="102"/>
      <c r="H66" s="104"/>
      <c r="I66" s="101"/>
      <c r="J66" s="102">
        <v>1796</v>
      </c>
      <c r="K66" s="102"/>
      <c r="L66" s="104"/>
      <c r="M66" s="104"/>
      <c r="N66" s="102"/>
      <c r="O66" s="104"/>
      <c r="P66" s="101"/>
      <c r="Q66" s="102">
        <v>202833</v>
      </c>
      <c r="R66" s="102">
        <v>729402</v>
      </c>
      <c r="S66" s="104" t="s">
        <v>45</v>
      </c>
      <c r="T66" s="104"/>
      <c r="U66" s="102"/>
      <c r="V66" s="104"/>
      <c r="W66" s="101"/>
      <c r="X66" s="102">
        <v>89761</v>
      </c>
      <c r="Y66" s="102"/>
      <c r="Z66" s="104"/>
      <c r="AA66" s="101"/>
      <c r="AB66" s="102">
        <v>185568</v>
      </c>
      <c r="AC66" s="104"/>
      <c r="AD66" s="102"/>
      <c r="AE66" s="104"/>
      <c r="AF66" s="101"/>
      <c r="AG66" s="102">
        <v>336277</v>
      </c>
      <c r="AH66" s="102">
        <v>1621722</v>
      </c>
      <c r="AI66" s="104">
        <v>164103</v>
      </c>
      <c r="AJ66" s="104"/>
      <c r="AK66" s="102"/>
      <c r="AL66" s="104"/>
      <c r="AM66" s="101"/>
      <c r="AN66" s="102">
        <v>226155</v>
      </c>
      <c r="AO66" s="102"/>
      <c r="AP66" s="103"/>
    </row>
    <row r="67" spans="1:42" x14ac:dyDescent="0.25">
      <c r="A67" s="40">
        <v>46143</v>
      </c>
      <c r="B67" s="101"/>
      <c r="C67" s="102">
        <v>158391</v>
      </c>
      <c r="D67" s="102"/>
      <c r="E67" s="104"/>
      <c r="F67" s="104"/>
      <c r="G67" s="102"/>
      <c r="H67" s="104"/>
      <c r="I67" s="101"/>
      <c r="J67" s="102">
        <v>1796</v>
      </c>
      <c r="K67" s="102"/>
      <c r="L67" s="104"/>
      <c r="M67" s="104"/>
      <c r="N67" s="102"/>
      <c r="O67" s="104"/>
      <c r="P67" s="101"/>
      <c r="Q67" s="102">
        <v>218049</v>
      </c>
      <c r="R67" s="102">
        <v>911753</v>
      </c>
      <c r="S67" s="104"/>
      <c r="T67" s="104"/>
      <c r="U67" s="102"/>
      <c r="V67" s="104"/>
      <c r="W67" s="101"/>
      <c r="X67" s="102">
        <v>91254</v>
      </c>
      <c r="Y67" s="102"/>
      <c r="Z67" s="104"/>
      <c r="AA67" s="101"/>
      <c r="AB67" s="102">
        <v>90787</v>
      </c>
      <c r="AC67" s="104"/>
      <c r="AD67" s="102"/>
      <c r="AE67" s="104"/>
      <c r="AF67" s="101"/>
      <c r="AG67" s="102">
        <v>295161</v>
      </c>
      <c r="AH67" s="102">
        <v>1621722</v>
      </c>
      <c r="AI67" s="104"/>
      <c r="AJ67" s="104"/>
      <c r="AK67" s="102"/>
      <c r="AL67" s="104"/>
      <c r="AM67" s="101"/>
      <c r="AN67" s="102">
        <v>432293</v>
      </c>
      <c r="AO67" s="102"/>
      <c r="AP67" s="103"/>
    </row>
    <row r="68" spans="1:42" x14ac:dyDescent="0.25">
      <c r="A68" s="40">
        <v>46174</v>
      </c>
      <c r="B68" s="101"/>
      <c r="C68" s="102">
        <v>163064</v>
      </c>
      <c r="D68" s="102"/>
      <c r="E68" s="104"/>
      <c r="F68" s="104"/>
      <c r="G68" s="102"/>
      <c r="H68" s="104"/>
      <c r="I68" s="101"/>
      <c r="J68" s="102">
        <v>1796</v>
      </c>
      <c r="K68" s="102"/>
      <c r="L68" s="104"/>
      <c r="M68" s="104"/>
      <c r="N68" s="102"/>
      <c r="O68" s="104"/>
      <c r="P68" s="101"/>
      <c r="Q68" s="102">
        <v>221372</v>
      </c>
      <c r="R68" s="102">
        <v>911753</v>
      </c>
      <c r="S68" s="104"/>
      <c r="T68" s="104"/>
      <c r="U68" s="102"/>
      <c r="V68" s="104"/>
      <c r="W68" s="101"/>
      <c r="X68" s="102">
        <v>111142</v>
      </c>
      <c r="Y68" s="102"/>
      <c r="Z68" s="104"/>
      <c r="AA68" s="101"/>
      <c r="AB68" s="102">
        <v>124863</v>
      </c>
      <c r="AC68" s="104"/>
      <c r="AD68" s="102"/>
      <c r="AE68" s="104"/>
      <c r="AF68" s="101"/>
      <c r="AG68" s="102">
        <v>360216</v>
      </c>
      <c r="AH68" s="102">
        <v>1621722</v>
      </c>
      <c r="AI68" s="104"/>
      <c r="AJ68" s="104"/>
      <c r="AK68" s="102"/>
      <c r="AL68" s="104"/>
      <c r="AM68" s="101"/>
      <c r="AN68" s="102">
        <v>369900</v>
      </c>
      <c r="AO68" s="102"/>
      <c r="AP68" s="103"/>
    </row>
    <row r="69" spans="1:42" x14ac:dyDescent="0.25">
      <c r="A69" s="40">
        <v>46204</v>
      </c>
      <c r="B69" s="101"/>
      <c r="C69" s="102">
        <v>128658</v>
      </c>
      <c r="D69" s="102"/>
      <c r="E69" s="104"/>
      <c r="F69" s="104"/>
      <c r="G69" s="102"/>
      <c r="H69" s="104"/>
      <c r="I69" s="101"/>
      <c r="J69" s="102">
        <v>1796</v>
      </c>
      <c r="K69" s="102"/>
      <c r="L69" s="104"/>
      <c r="M69" s="104"/>
      <c r="N69" s="102"/>
      <c r="O69" s="104"/>
      <c r="P69" s="101"/>
      <c r="Q69" s="102">
        <v>553738</v>
      </c>
      <c r="R69" s="102">
        <v>911753</v>
      </c>
      <c r="S69" s="104"/>
      <c r="T69" s="104"/>
      <c r="U69" s="102"/>
      <c r="V69" s="104"/>
      <c r="W69" s="101"/>
      <c r="X69" s="102">
        <v>95634</v>
      </c>
      <c r="Y69" s="102"/>
      <c r="Z69" s="104"/>
      <c r="AA69" s="101"/>
      <c r="AB69" s="102">
        <v>101893</v>
      </c>
      <c r="AC69" s="104"/>
      <c r="AD69" s="102"/>
      <c r="AE69" s="104"/>
      <c r="AF69" s="101"/>
      <c r="AG69" s="102">
        <v>381626</v>
      </c>
      <c r="AH69" s="102">
        <v>1621722</v>
      </c>
      <c r="AI69" s="104"/>
      <c r="AJ69" s="104"/>
      <c r="AK69" s="102"/>
      <c r="AL69" s="104"/>
      <c r="AM69" s="101"/>
      <c r="AN69" s="102">
        <v>742240</v>
      </c>
      <c r="AO69" s="102"/>
      <c r="AP69" s="103"/>
    </row>
    <row r="70" spans="1:42" x14ac:dyDescent="0.25">
      <c r="A70" s="40">
        <v>46235</v>
      </c>
      <c r="B70" s="101"/>
      <c r="C70" s="102">
        <v>432380</v>
      </c>
      <c r="D70" s="102"/>
      <c r="E70" s="104"/>
      <c r="F70" s="104"/>
      <c r="G70" s="102"/>
      <c r="H70" s="104"/>
      <c r="I70" s="101"/>
      <c r="J70" s="102">
        <v>1796</v>
      </c>
      <c r="K70" s="102"/>
      <c r="L70" s="104"/>
      <c r="M70" s="104"/>
      <c r="N70" s="102"/>
      <c r="O70" s="104"/>
      <c r="P70" s="101"/>
      <c r="Q70" s="102">
        <v>317105</v>
      </c>
      <c r="R70" s="102">
        <v>911753</v>
      </c>
      <c r="S70" s="104"/>
      <c r="T70" s="104"/>
      <c r="U70" s="102"/>
      <c r="V70" s="104"/>
      <c r="W70" s="101"/>
      <c r="X70" s="102">
        <v>97346</v>
      </c>
      <c r="Y70" s="102"/>
      <c r="Z70" s="104"/>
      <c r="AA70" s="101"/>
      <c r="AB70" s="102">
        <v>82751</v>
      </c>
      <c r="AC70" s="104">
        <v>2695286</v>
      </c>
      <c r="AD70" s="102"/>
      <c r="AE70" s="104"/>
      <c r="AF70" s="101"/>
      <c r="AG70" s="102">
        <v>302622</v>
      </c>
      <c r="AH70" s="102">
        <v>1621722</v>
      </c>
      <c r="AI70" s="104"/>
      <c r="AJ70" s="104"/>
      <c r="AK70" s="102"/>
      <c r="AL70" s="104"/>
      <c r="AM70" s="101"/>
      <c r="AN70" s="102">
        <v>254784</v>
      </c>
      <c r="AO70" s="102"/>
      <c r="AP70" s="103"/>
    </row>
    <row r="71" spans="1:42" x14ac:dyDescent="0.25">
      <c r="A71" s="40">
        <v>46266</v>
      </c>
      <c r="B71" s="101"/>
      <c r="C71" s="102">
        <v>459696</v>
      </c>
      <c r="D71" s="102"/>
      <c r="E71" s="104"/>
      <c r="F71" s="104"/>
      <c r="G71" s="102"/>
      <c r="H71" s="104"/>
      <c r="I71" s="101"/>
      <c r="J71" s="102">
        <v>1796</v>
      </c>
      <c r="K71" s="102"/>
      <c r="L71" s="104"/>
      <c r="M71" s="104"/>
      <c r="N71" s="102"/>
      <c r="O71" s="104"/>
      <c r="P71" s="101"/>
      <c r="Q71" s="102">
        <v>202828</v>
      </c>
      <c r="R71" s="102">
        <v>911753</v>
      </c>
      <c r="S71" s="104"/>
      <c r="T71" s="104"/>
      <c r="U71" s="102"/>
      <c r="V71" s="104"/>
      <c r="W71" s="101"/>
      <c r="X71" s="102">
        <v>98315</v>
      </c>
      <c r="Y71" s="102"/>
      <c r="Z71" s="104"/>
      <c r="AA71" s="101"/>
      <c r="AB71" s="102">
        <v>82751</v>
      </c>
      <c r="AC71" s="104">
        <v>2695286</v>
      </c>
      <c r="AD71" s="102"/>
      <c r="AE71" s="104"/>
      <c r="AF71" s="101"/>
      <c r="AG71" s="102">
        <v>276582</v>
      </c>
      <c r="AH71" s="102">
        <v>1621722</v>
      </c>
      <c r="AI71" s="104"/>
      <c r="AJ71" s="104"/>
      <c r="AK71" s="102"/>
      <c r="AL71" s="104"/>
      <c r="AM71" s="101"/>
      <c r="AN71" s="102">
        <v>285230</v>
      </c>
      <c r="AO71" s="102"/>
      <c r="AP71" s="103"/>
    </row>
    <row r="72" spans="1:42" x14ac:dyDescent="0.25">
      <c r="A72" s="40">
        <v>46296</v>
      </c>
      <c r="B72" s="101"/>
      <c r="C72" s="102">
        <v>128929</v>
      </c>
      <c r="D72" s="102"/>
      <c r="E72" s="104"/>
      <c r="F72" s="104"/>
      <c r="G72" s="102"/>
      <c r="H72" s="104"/>
      <c r="I72" s="101"/>
      <c r="J72" s="102">
        <v>1796</v>
      </c>
      <c r="K72" s="102"/>
      <c r="L72" s="104"/>
      <c r="M72" s="104"/>
      <c r="N72" s="102"/>
      <c r="O72" s="104"/>
      <c r="P72" s="101"/>
      <c r="Q72" s="102">
        <v>198013</v>
      </c>
      <c r="R72" s="102">
        <v>911753</v>
      </c>
      <c r="S72" s="104"/>
      <c r="T72" s="104"/>
      <c r="U72" s="102"/>
      <c r="V72" s="104"/>
      <c r="W72" s="101"/>
      <c r="X72" s="102">
        <v>98983</v>
      </c>
      <c r="Y72" s="102"/>
      <c r="Z72" s="104"/>
      <c r="AA72" s="101"/>
      <c r="AB72" s="102">
        <v>82751</v>
      </c>
      <c r="AC72" s="104">
        <v>2695286</v>
      </c>
      <c r="AD72" s="102"/>
      <c r="AE72" s="104"/>
      <c r="AF72" s="101"/>
      <c r="AG72" s="102">
        <v>1404421</v>
      </c>
      <c r="AH72" s="102">
        <v>1621722</v>
      </c>
      <c r="AI72" s="104"/>
      <c r="AJ72" s="104"/>
      <c r="AK72" s="102"/>
      <c r="AL72" s="104"/>
      <c r="AM72" s="101"/>
      <c r="AN72" s="102">
        <v>281965</v>
      </c>
      <c r="AO72" s="102"/>
      <c r="AP72" s="103"/>
    </row>
    <row r="73" spans="1:42" x14ac:dyDescent="0.25">
      <c r="A73" s="40">
        <v>46327</v>
      </c>
      <c r="B73" s="101"/>
      <c r="C73" s="102">
        <v>21390</v>
      </c>
      <c r="D73" s="102"/>
      <c r="E73" s="104"/>
      <c r="F73" s="104"/>
      <c r="G73" s="102"/>
      <c r="H73" s="104"/>
      <c r="I73" s="101"/>
      <c r="J73" s="102">
        <v>1796</v>
      </c>
      <c r="K73" s="102"/>
      <c r="L73" s="104"/>
      <c r="M73" s="104"/>
      <c r="N73" s="102"/>
      <c r="O73" s="104"/>
      <c r="P73" s="101"/>
      <c r="Q73" s="102">
        <v>208674</v>
      </c>
      <c r="R73" s="102">
        <v>911753</v>
      </c>
      <c r="S73" s="104"/>
      <c r="T73" s="104"/>
      <c r="U73" s="102"/>
      <c r="V73" s="104"/>
      <c r="W73" s="101"/>
      <c r="X73" s="102">
        <v>100463</v>
      </c>
      <c r="Y73" s="102"/>
      <c r="Z73" s="104"/>
      <c r="AA73" s="101"/>
      <c r="AB73" s="102">
        <v>80901</v>
      </c>
      <c r="AC73" s="104">
        <v>2695286</v>
      </c>
      <c r="AD73" s="102"/>
      <c r="AE73" s="104"/>
      <c r="AF73" s="101"/>
      <c r="AG73" s="102">
        <v>308532</v>
      </c>
      <c r="AH73" s="102">
        <v>1216292</v>
      </c>
      <c r="AI73" s="104"/>
      <c r="AJ73" s="104"/>
      <c r="AK73" s="102"/>
      <c r="AL73" s="104"/>
      <c r="AM73" s="101"/>
      <c r="AN73" s="102">
        <v>253816</v>
      </c>
      <c r="AO73" s="102"/>
      <c r="AP73" s="103"/>
    </row>
    <row r="74" spans="1:42" x14ac:dyDescent="0.25">
      <c r="A74" s="40">
        <v>46357</v>
      </c>
      <c r="B74" s="101"/>
      <c r="C74" s="102">
        <v>29191</v>
      </c>
      <c r="D74" s="102"/>
      <c r="E74" s="104"/>
      <c r="F74" s="104"/>
      <c r="G74" s="102"/>
      <c r="H74" s="104"/>
      <c r="I74" s="101"/>
      <c r="J74" s="102">
        <v>1909</v>
      </c>
      <c r="K74" s="102"/>
      <c r="L74" s="104"/>
      <c r="M74" s="104"/>
      <c r="N74" s="102"/>
      <c r="O74" s="104"/>
      <c r="P74" s="101"/>
      <c r="Q74" s="102">
        <v>677780</v>
      </c>
      <c r="R74" s="102">
        <v>911753</v>
      </c>
      <c r="S74" s="104"/>
      <c r="T74" s="104"/>
      <c r="U74" s="102"/>
      <c r="V74" s="104"/>
      <c r="W74" s="101"/>
      <c r="X74" s="102">
        <v>769598</v>
      </c>
      <c r="Y74" s="102"/>
      <c r="Z74" s="104"/>
      <c r="AA74" s="101"/>
      <c r="AB74" s="102">
        <v>209858</v>
      </c>
      <c r="AC74" s="104">
        <v>2695286</v>
      </c>
      <c r="AD74" s="102"/>
      <c r="AE74" s="104"/>
      <c r="AF74" s="101"/>
      <c r="AG74" s="102">
        <v>452852</v>
      </c>
      <c r="AH74" s="102">
        <v>1216292</v>
      </c>
      <c r="AI74" s="104"/>
      <c r="AJ74" s="104"/>
      <c r="AK74" s="102"/>
      <c r="AL74" s="104"/>
      <c r="AM74" s="101"/>
      <c r="AN74" s="102">
        <v>813260</v>
      </c>
      <c r="AO74" s="102"/>
      <c r="AP74" s="103"/>
    </row>
    <row r="75" spans="1:42" x14ac:dyDescent="0.25">
      <c r="A75" s="40">
        <v>46388</v>
      </c>
      <c r="B75" s="101"/>
      <c r="C75" s="102">
        <v>9509</v>
      </c>
      <c r="D75" s="102"/>
      <c r="E75" s="104"/>
      <c r="F75" s="104"/>
      <c r="G75" s="102"/>
      <c r="H75" s="104"/>
      <c r="I75" s="101"/>
      <c r="J75" s="102">
        <v>1796</v>
      </c>
      <c r="K75" s="102"/>
      <c r="L75" s="104"/>
      <c r="M75" s="104"/>
      <c r="N75" s="102"/>
      <c r="O75" s="104"/>
      <c r="P75" s="101"/>
      <c r="Q75" s="102">
        <v>212201</v>
      </c>
      <c r="R75" s="102">
        <v>729402</v>
      </c>
      <c r="S75" s="104"/>
      <c r="T75" s="104"/>
      <c r="U75" s="102"/>
      <c r="V75" s="104"/>
      <c r="W75" s="101"/>
      <c r="X75" s="102">
        <v>105699</v>
      </c>
      <c r="Y75" s="102"/>
      <c r="Z75" s="104"/>
      <c r="AA75" s="101"/>
      <c r="AB75" s="102">
        <v>185357</v>
      </c>
      <c r="AC75" s="104"/>
      <c r="AD75" s="102"/>
      <c r="AE75" s="104"/>
      <c r="AF75" s="101"/>
      <c r="AG75" s="102">
        <v>51436</v>
      </c>
      <c r="AH75" s="102">
        <v>1216292</v>
      </c>
      <c r="AI75" s="104"/>
      <c r="AJ75" s="104"/>
      <c r="AK75" s="102"/>
      <c r="AL75" s="104"/>
      <c r="AM75" s="101"/>
      <c r="AN75" s="102">
        <v>292055</v>
      </c>
      <c r="AO75" s="102"/>
      <c r="AP75" s="103"/>
    </row>
    <row r="76" spans="1:42" x14ac:dyDescent="0.25">
      <c r="A76" s="40">
        <v>46419</v>
      </c>
      <c r="B76" s="101"/>
      <c r="C76" s="102">
        <v>11193</v>
      </c>
      <c r="D76" s="102"/>
      <c r="E76" s="104"/>
      <c r="F76" s="104"/>
      <c r="G76" s="102"/>
      <c r="H76" s="104"/>
      <c r="I76" s="101"/>
      <c r="J76" s="102">
        <v>1796</v>
      </c>
      <c r="K76" s="102"/>
      <c r="L76" s="104"/>
      <c r="M76" s="104"/>
      <c r="N76" s="102"/>
      <c r="O76" s="104"/>
      <c r="P76" s="101"/>
      <c r="Q76" s="102">
        <v>198026</v>
      </c>
      <c r="R76" s="102">
        <v>729402</v>
      </c>
      <c r="S76" s="104"/>
      <c r="T76" s="104"/>
      <c r="U76" s="102"/>
      <c r="V76" s="104"/>
      <c r="W76" s="101"/>
      <c r="X76" s="102">
        <v>105206</v>
      </c>
      <c r="Y76" s="102"/>
      <c r="Z76" s="104"/>
      <c r="AA76" s="101"/>
      <c r="AB76" s="102">
        <v>1266146</v>
      </c>
      <c r="AC76" s="104"/>
      <c r="AD76" s="102"/>
      <c r="AE76" s="104"/>
      <c r="AF76" s="101"/>
      <c r="AG76" s="102">
        <v>67827</v>
      </c>
      <c r="AH76" s="102">
        <v>1216292</v>
      </c>
      <c r="AI76" s="104"/>
      <c r="AJ76" s="104"/>
      <c r="AK76" s="102"/>
      <c r="AL76" s="104"/>
      <c r="AM76" s="101"/>
      <c r="AN76" s="102">
        <v>273100</v>
      </c>
      <c r="AO76" s="102"/>
      <c r="AP76" s="103"/>
    </row>
    <row r="77" spans="1:42" x14ac:dyDescent="0.25">
      <c r="A77" s="40">
        <v>46447</v>
      </c>
      <c r="B77" s="101"/>
      <c r="C77" s="102">
        <v>18437</v>
      </c>
      <c r="D77" s="102"/>
      <c r="E77" s="104"/>
      <c r="F77" s="104"/>
      <c r="G77" s="102"/>
      <c r="H77" s="104"/>
      <c r="I77" s="101"/>
      <c r="J77" s="102">
        <v>2210</v>
      </c>
      <c r="K77" s="102"/>
      <c r="L77" s="104"/>
      <c r="M77" s="104"/>
      <c r="N77" s="102"/>
      <c r="O77" s="104"/>
      <c r="P77" s="101"/>
      <c r="Q77" s="102">
        <v>216721</v>
      </c>
      <c r="R77" s="102">
        <v>729402</v>
      </c>
      <c r="S77" s="104"/>
      <c r="T77" s="104"/>
      <c r="U77" s="102"/>
      <c r="V77" s="104"/>
      <c r="W77" s="101"/>
      <c r="X77" s="102">
        <v>107013</v>
      </c>
      <c r="Y77" s="102"/>
      <c r="Z77" s="104"/>
      <c r="AA77" s="101"/>
      <c r="AB77" s="102">
        <v>91177</v>
      </c>
      <c r="AC77" s="104"/>
      <c r="AD77" s="102"/>
      <c r="AE77" s="104"/>
      <c r="AF77" s="101"/>
      <c r="AG77" s="102">
        <v>32553</v>
      </c>
      <c r="AH77" s="102">
        <v>2940616</v>
      </c>
      <c r="AI77" s="104"/>
      <c r="AJ77" s="104"/>
      <c r="AK77" s="102"/>
      <c r="AL77" s="104"/>
      <c r="AM77" s="101"/>
      <c r="AN77" s="102">
        <v>288860</v>
      </c>
      <c r="AO77" s="102"/>
      <c r="AP77" s="103"/>
    </row>
    <row r="78" spans="1:42" x14ac:dyDescent="0.25">
      <c r="A78" s="40">
        <v>46478</v>
      </c>
      <c r="B78" s="101"/>
      <c r="C78" s="102">
        <v>8630</v>
      </c>
      <c r="D78" s="102"/>
      <c r="E78" s="104"/>
      <c r="F78" s="104"/>
      <c r="G78" s="102"/>
      <c r="H78" s="104"/>
      <c r="I78" s="101"/>
      <c r="J78" s="102">
        <v>924</v>
      </c>
      <c r="K78" s="102"/>
      <c r="L78" s="104"/>
      <c r="M78" s="104"/>
      <c r="N78" s="102"/>
      <c r="O78" s="104"/>
      <c r="P78" s="101"/>
      <c r="Q78" s="102">
        <v>201235</v>
      </c>
      <c r="R78" s="102">
        <v>547052</v>
      </c>
      <c r="S78" s="104"/>
      <c r="T78" s="104"/>
      <c r="U78" s="102"/>
      <c r="V78" s="104"/>
      <c r="W78" s="101"/>
      <c r="X78" s="102">
        <v>108470</v>
      </c>
      <c r="Y78" s="102"/>
      <c r="Z78" s="104"/>
      <c r="AA78" s="101"/>
      <c r="AB78" s="102">
        <v>16867</v>
      </c>
      <c r="AC78" s="104"/>
      <c r="AD78" s="102"/>
      <c r="AE78" s="104"/>
      <c r="AF78" s="101"/>
      <c r="AG78" s="102">
        <v>29847</v>
      </c>
      <c r="AH78" s="102">
        <v>1924550</v>
      </c>
      <c r="AI78" s="104"/>
      <c r="AJ78" s="104"/>
      <c r="AK78" s="102"/>
      <c r="AL78" s="104"/>
      <c r="AM78" s="101"/>
      <c r="AN78" s="102">
        <v>288143</v>
      </c>
      <c r="AO78" s="102"/>
      <c r="AP78" s="103"/>
    </row>
    <row r="79" spans="1:42" x14ac:dyDescent="0.25">
      <c r="A79" s="40">
        <v>46508</v>
      </c>
      <c r="B79" s="101"/>
      <c r="C79" s="102">
        <v>9032</v>
      </c>
      <c r="D79" s="102"/>
      <c r="E79" s="104"/>
      <c r="F79" s="104"/>
      <c r="G79" s="102"/>
      <c r="H79" s="104"/>
      <c r="I79" s="101"/>
      <c r="J79" s="102">
        <v>924</v>
      </c>
      <c r="K79" s="102"/>
      <c r="L79" s="104"/>
      <c r="M79" s="104"/>
      <c r="N79" s="102"/>
      <c r="O79" s="104"/>
      <c r="P79" s="101"/>
      <c r="Q79" s="102">
        <v>190188</v>
      </c>
      <c r="R79" s="102">
        <v>1424313</v>
      </c>
      <c r="S79" s="104"/>
      <c r="T79" s="104"/>
      <c r="U79" s="102"/>
      <c r="V79" s="104"/>
      <c r="W79" s="101"/>
      <c r="X79" s="102">
        <v>107983</v>
      </c>
      <c r="Y79" s="102"/>
      <c r="Z79" s="104"/>
      <c r="AA79" s="101"/>
      <c r="AB79" s="102">
        <v>39232</v>
      </c>
      <c r="AC79" s="104"/>
      <c r="AD79" s="102"/>
      <c r="AE79" s="104"/>
      <c r="AF79" s="101"/>
      <c r="AG79" s="102">
        <v>21569</v>
      </c>
      <c r="AH79" s="102" t="s">
        <v>45</v>
      </c>
      <c r="AI79" s="104"/>
      <c r="AJ79" s="104"/>
      <c r="AK79" s="102"/>
      <c r="AL79" s="104"/>
      <c r="AM79" s="101"/>
      <c r="AN79" s="102">
        <v>493906</v>
      </c>
      <c r="AO79" s="102"/>
      <c r="AP79" s="103"/>
    </row>
    <row r="80" spans="1:42" x14ac:dyDescent="0.25">
      <c r="A80" s="40">
        <v>46539</v>
      </c>
      <c r="B80" s="101"/>
      <c r="C80" s="102">
        <v>14257</v>
      </c>
      <c r="D80" s="102"/>
      <c r="E80" s="104"/>
      <c r="F80" s="104"/>
      <c r="G80" s="102"/>
      <c r="H80" s="104"/>
      <c r="I80" s="101"/>
      <c r="J80" s="102">
        <v>924</v>
      </c>
      <c r="K80" s="102"/>
      <c r="L80" s="104"/>
      <c r="M80" s="104"/>
      <c r="N80" s="102"/>
      <c r="O80" s="104"/>
      <c r="P80" s="101"/>
      <c r="Q80" s="102">
        <v>367598</v>
      </c>
      <c r="R80" s="102">
        <v>1234950</v>
      </c>
      <c r="S80" s="104"/>
      <c r="T80" s="104"/>
      <c r="U80" s="102"/>
      <c r="V80" s="104"/>
      <c r="W80" s="101"/>
      <c r="X80" s="102">
        <v>162030</v>
      </c>
      <c r="Y80" s="102"/>
      <c r="Z80" s="104"/>
      <c r="AA80" s="101"/>
      <c r="AB80" s="102">
        <v>4843</v>
      </c>
      <c r="AC80" s="104"/>
      <c r="AD80" s="102"/>
      <c r="AE80" s="104"/>
      <c r="AF80" s="101"/>
      <c r="AG80" s="102">
        <v>19047</v>
      </c>
      <c r="AH80" s="102"/>
      <c r="AI80" s="104"/>
      <c r="AJ80" s="104"/>
      <c r="AK80" s="102"/>
      <c r="AL80" s="104"/>
      <c r="AM80" s="101"/>
      <c r="AN80" s="102">
        <v>360051</v>
      </c>
      <c r="AO80" s="102"/>
      <c r="AP80" s="103"/>
    </row>
    <row r="81" spans="1:42" x14ac:dyDescent="0.25">
      <c r="A81" s="40">
        <v>46569</v>
      </c>
      <c r="B81" s="101"/>
      <c r="C81" s="102">
        <v>5458</v>
      </c>
      <c r="D81" s="102"/>
      <c r="E81" s="104"/>
      <c r="F81" s="104"/>
      <c r="G81" s="102"/>
      <c r="H81" s="104"/>
      <c r="I81" s="101"/>
      <c r="J81" s="102">
        <v>924</v>
      </c>
      <c r="K81" s="102"/>
      <c r="L81" s="104"/>
      <c r="M81" s="104"/>
      <c r="N81" s="102"/>
      <c r="O81" s="104"/>
      <c r="P81" s="101"/>
      <c r="Q81" s="102">
        <v>1291991</v>
      </c>
      <c r="R81" s="102"/>
      <c r="S81" s="104"/>
      <c r="T81" s="104"/>
      <c r="U81" s="102"/>
      <c r="V81" s="104"/>
      <c r="W81" s="101"/>
      <c r="X81" s="102">
        <v>109480</v>
      </c>
      <c r="Y81" s="102"/>
      <c r="Z81" s="104"/>
      <c r="AA81" s="101"/>
      <c r="AB81" s="102">
        <v>4843</v>
      </c>
      <c r="AC81" s="104"/>
      <c r="AD81" s="102"/>
      <c r="AE81" s="104"/>
      <c r="AF81" s="101"/>
      <c r="AG81" s="102">
        <v>5015</v>
      </c>
      <c r="AH81" s="102"/>
      <c r="AI81" s="104"/>
      <c r="AJ81" s="104"/>
      <c r="AK81" s="102"/>
      <c r="AL81" s="104"/>
      <c r="AM81" s="101"/>
      <c r="AN81" s="102">
        <v>821462</v>
      </c>
      <c r="AO81" s="102"/>
      <c r="AP81" s="103"/>
    </row>
    <row r="82" spans="1:42" x14ac:dyDescent="0.25">
      <c r="A82" s="40">
        <v>46600</v>
      </c>
      <c r="B82" s="101"/>
      <c r="C82" s="102">
        <v>5345</v>
      </c>
      <c r="D82" s="102"/>
      <c r="E82" s="104"/>
      <c r="F82" s="104"/>
      <c r="G82" s="102"/>
      <c r="H82" s="104"/>
      <c r="I82" s="101"/>
      <c r="J82" s="102">
        <v>1223</v>
      </c>
      <c r="K82" s="102"/>
      <c r="L82" s="104"/>
      <c r="M82" s="104"/>
      <c r="N82" s="102"/>
      <c r="O82" s="104"/>
      <c r="P82" s="101"/>
      <c r="Q82" s="102">
        <v>82744</v>
      </c>
      <c r="R82" s="102"/>
      <c r="S82" s="104"/>
      <c r="T82" s="104"/>
      <c r="U82" s="102"/>
      <c r="V82" s="104"/>
      <c r="W82" s="101"/>
      <c r="X82" s="102">
        <v>110341</v>
      </c>
      <c r="Y82" s="102"/>
      <c r="Z82" s="104"/>
      <c r="AA82" s="101"/>
      <c r="AB82" s="102" t="s">
        <v>45</v>
      </c>
      <c r="AC82" s="104"/>
      <c r="AD82" s="102"/>
      <c r="AE82" s="104"/>
      <c r="AF82" s="101"/>
      <c r="AG82" s="102">
        <v>1638</v>
      </c>
      <c r="AH82" s="102"/>
      <c r="AI82" s="104"/>
      <c r="AJ82" s="104"/>
      <c r="AK82" s="102"/>
      <c r="AL82" s="104"/>
      <c r="AM82" s="101"/>
      <c r="AN82" s="102">
        <v>285920</v>
      </c>
      <c r="AO82" s="102"/>
      <c r="AP82" s="103"/>
    </row>
    <row r="83" spans="1:42" x14ac:dyDescent="0.25">
      <c r="A83" s="40">
        <v>46631</v>
      </c>
      <c r="B83" s="101"/>
      <c r="C83" s="102">
        <v>5232</v>
      </c>
      <c r="D83" s="102"/>
      <c r="E83" s="104"/>
      <c r="F83" s="104"/>
      <c r="G83" s="102"/>
      <c r="H83" s="104"/>
      <c r="I83" s="101"/>
      <c r="J83" s="102"/>
      <c r="K83" s="102"/>
      <c r="L83" s="104"/>
      <c r="M83" s="104"/>
      <c r="N83" s="102"/>
      <c r="O83" s="104"/>
      <c r="P83" s="101"/>
      <c r="Q83" s="102">
        <v>63451</v>
      </c>
      <c r="R83" s="102"/>
      <c r="S83" s="104"/>
      <c r="T83" s="104"/>
      <c r="U83" s="102"/>
      <c r="V83" s="104"/>
      <c r="W83" s="101"/>
      <c r="X83" s="102">
        <v>110877</v>
      </c>
      <c r="Y83" s="102"/>
      <c r="Z83" s="104"/>
      <c r="AA83" s="101"/>
      <c r="AB83" s="102" t="s">
        <v>45</v>
      </c>
      <c r="AC83" s="104"/>
      <c r="AD83" s="102"/>
      <c r="AE83" s="104"/>
      <c r="AF83" s="101"/>
      <c r="AG83" s="102">
        <v>442</v>
      </c>
      <c r="AH83" s="102"/>
      <c r="AI83" s="104"/>
      <c r="AJ83" s="104"/>
      <c r="AK83" s="102"/>
      <c r="AL83" s="104"/>
      <c r="AM83" s="101"/>
      <c r="AN83" s="102">
        <v>311130</v>
      </c>
      <c r="AO83" s="102"/>
      <c r="AP83" s="103"/>
    </row>
    <row r="84" spans="1:42" x14ac:dyDescent="0.25">
      <c r="A84" s="40">
        <v>46661</v>
      </c>
      <c r="B84" s="101"/>
      <c r="C84" s="102">
        <v>4973</v>
      </c>
      <c r="D84" s="102"/>
      <c r="E84" s="104"/>
      <c r="F84" s="104"/>
      <c r="G84" s="102"/>
      <c r="H84" s="104"/>
      <c r="I84" s="101"/>
      <c r="J84" s="102"/>
      <c r="K84" s="102"/>
      <c r="L84" s="104"/>
      <c r="M84" s="104"/>
      <c r="N84" s="102"/>
      <c r="O84" s="104"/>
      <c r="P84" s="101"/>
      <c r="Q84" s="102">
        <v>41197</v>
      </c>
      <c r="R84" s="102"/>
      <c r="S84" s="104"/>
      <c r="T84" s="104"/>
      <c r="U84" s="102"/>
      <c r="V84" s="104"/>
      <c r="W84" s="101"/>
      <c r="X84" s="102">
        <v>110373</v>
      </c>
      <c r="Y84" s="102"/>
      <c r="Z84" s="104"/>
      <c r="AA84" s="101"/>
      <c r="AB84" s="102" t="s">
        <v>45</v>
      </c>
      <c r="AC84" s="104"/>
      <c r="AD84" s="102"/>
      <c r="AE84" s="104"/>
      <c r="AF84" s="101"/>
      <c r="AG84" s="102">
        <v>213</v>
      </c>
      <c r="AH84" s="102"/>
      <c r="AI84" s="104"/>
      <c r="AJ84" s="104"/>
      <c r="AK84" s="102"/>
      <c r="AL84" s="104"/>
      <c r="AM84" s="101"/>
      <c r="AN84" s="102">
        <v>307951</v>
      </c>
      <c r="AO84" s="102"/>
      <c r="AP84" s="103"/>
    </row>
    <row r="85" spans="1:42" x14ac:dyDescent="0.25">
      <c r="A85" s="40">
        <v>46692</v>
      </c>
      <c r="B85" s="101"/>
      <c r="C85" s="102">
        <v>5110</v>
      </c>
      <c r="D85" s="102"/>
      <c r="E85" s="104"/>
      <c r="F85" s="104"/>
      <c r="G85" s="102"/>
      <c r="H85" s="104"/>
      <c r="I85" s="101"/>
      <c r="J85" s="102"/>
      <c r="K85" s="102"/>
      <c r="L85" s="104"/>
      <c r="M85" s="104"/>
      <c r="N85" s="102"/>
      <c r="O85" s="104"/>
      <c r="P85" s="101"/>
      <c r="Q85" s="102">
        <v>3682</v>
      </c>
      <c r="R85" s="102"/>
      <c r="S85" s="104"/>
      <c r="T85" s="104"/>
      <c r="U85" s="102"/>
      <c r="V85" s="104"/>
      <c r="W85" s="101"/>
      <c r="X85" s="102">
        <v>110353</v>
      </c>
      <c r="Y85" s="102"/>
      <c r="Z85" s="104"/>
      <c r="AA85" s="101"/>
      <c r="AB85" s="102" t="s">
        <v>45</v>
      </c>
      <c r="AC85" s="104"/>
      <c r="AD85" s="102"/>
      <c r="AE85" s="104"/>
      <c r="AF85" s="101"/>
      <c r="AG85" s="102">
        <v>106</v>
      </c>
      <c r="AH85" s="102"/>
      <c r="AI85" s="104"/>
      <c r="AJ85" s="104"/>
      <c r="AK85" s="102"/>
      <c r="AL85" s="104"/>
      <c r="AM85" s="101"/>
      <c r="AN85" s="102">
        <v>278471</v>
      </c>
      <c r="AO85" s="102"/>
      <c r="AP85" s="103"/>
    </row>
    <row r="86" spans="1:42" x14ac:dyDescent="0.25">
      <c r="A86" s="40">
        <v>46722</v>
      </c>
      <c r="B86" s="101"/>
      <c r="C86" s="102">
        <v>4447</v>
      </c>
      <c r="D86" s="102"/>
      <c r="E86" s="104"/>
      <c r="F86" s="104"/>
      <c r="G86" s="102"/>
      <c r="H86" s="104"/>
      <c r="I86" s="101"/>
      <c r="J86" s="102"/>
      <c r="K86" s="102"/>
      <c r="L86" s="104"/>
      <c r="M86" s="104"/>
      <c r="N86" s="102"/>
      <c r="O86" s="104"/>
      <c r="P86" s="101"/>
      <c r="Q86" s="102">
        <v>3371</v>
      </c>
      <c r="R86" s="102"/>
      <c r="S86" s="104"/>
      <c r="T86" s="104"/>
      <c r="U86" s="102"/>
      <c r="V86" s="104"/>
      <c r="W86" s="101"/>
      <c r="X86" s="102">
        <v>772771</v>
      </c>
      <c r="Y86" s="102"/>
      <c r="Z86" s="104"/>
      <c r="AA86" s="101"/>
      <c r="AB86" s="102">
        <v>105</v>
      </c>
      <c r="AC86" s="104"/>
      <c r="AD86" s="102"/>
      <c r="AE86" s="104"/>
      <c r="AF86" s="101"/>
      <c r="AG86" s="102">
        <v>1364</v>
      </c>
      <c r="AH86" s="102"/>
      <c r="AI86" s="104"/>
      <c r="AJ86" s="104"/>
      <c r="AK86" s="102"/>
      <c r="AL86" s="104"/>
      <c r="AM86" s="101"/>
      <c r="AN86" s="102">
        <v>899551</v>
      </c>
      <c r="AO86" s="102"/>
      <c r="AP86" s="103"/>
    </row>
    <row r="87" spans="1:42" x14ac:dyDescent="0.25">
      <c r="A87" s="40">
        <v>46753</v>
      </c>
      <c r="B87" s="101"/>
      <c r="C87" s="102">
        <v>5287</v>
      </c>
      <c r="D87" s="102"/>
      <c r="E87" s="104"/>
      <c r="F87" s="104"/>
      <c r="G87" s="102"/>
      <c r="H87" s="104"/>
      <c r="I87" s="101"/>
      <c r="J87" s="102"/>
      <c r="K87" s="102"/>
      <c r="L87" s="104"/>
      <c r="M87" s="104"/>
      <c r="N87" s="102"/>
      <c r="O87" s="104"/>
      <c r="P87" s="101"/>
      <c r="Q87" s="102">
        <v>2590</v>
      </c>
      <c r="R87" s="102"/>
      <c r="S87" s="104"/>
      <c r="T87" s="104"/>
      <c r="U87" s="102"/>
      <c r="V87" s="104"/>
      <c r="W87" s="101"/>
      <c r="X87" s="102">
        <v>99334</v>
      </c>
      <c r="Y87" s="102"/>
      <c r="Z87" s="104"/>
      <c r="AA87" s="101"/>
      <c r="AB87" s="102"/>
      <c r="AC87" s="104"/>
      <c r="AD87" s="102"/>
      <c r="AE87" s="104"/>
      <c r="AF87" s="101"/>
      <c r="AG87" s="102">
        <v>358</v>
      </c>
      <c r="AH87" s="102"/>
      <c r="AI87" s="104"/>
      <c r="AJ87" s="104"/>
      <c r="AK87" s="102"/>
      <c r="AL87" s="104"/>
      <c r="AM87" s="101"/>
      <c r="AN87" s="102">
        <v>282765</v>
      </c>
      <c r="AO87" s="102"/>
      <c r="AP87" s="103"/>
    </row>
    <row r="88" spans="1:42" x14ac:dyDescent="0.25">
      <c r="A88" s="40">
        <v>46784</v>
      </c>
      <c r="B88" s="101"/>
      <c r="C88" s="102">
        <v>4669</v>
      </c>
      <c r="D88" s="102"/>
      <c r="E88" s="104"/>
      <c r="F88" s="104"/>
      <c r="G88" s="102"/>
      <c r="H88" s="104"/>
      <c r="I88" s="101"/>
      <c r="J88" s="102"/>
      <c r="K88" s="102"/>
      <c r="L88" s="104"/>
      <c r="M88" s="104"/>
      <c r="N88" s="102"/>
      <c r="O88" s="104"/>
      <c r="P88" s="101"/>
      <c r="Q88" s="102">
        <v>589</v>
      </c>
      <c r="R88" s="102"/>
      <c r="S88" s="104"/>
      <c r="T88" s="104"/>
      <c r="U88" s="102"/>
      <c r="V88" s="104"/>
      <c r="W88" s="101"/>
      <c r="X88" s="102">
        <v>97950</v>
      </c>
      <c r="Y88" s="102"/>
      <c r="Z88" s="104"/>
      <c r="AA88" s="101"/>
      <c r="AB88" s="102"/>
      <c r="AC88" s="104"/>
      <c r="AD88" s="102"/>
      <c r="AE88" s="104"/>
      <c r="AF88" s="101"/>
      <c r="AG88" s="102" t="s">
        <v>45</v>
      </c>
      <c r="AH88" s="102"/>
      <c r="AI88" s="104"/>
      <c r="AJ88" s="104"/>
      <c r="AK88" s="102"/>
      <c r="AL88" s="104"/>
      <c r="AM88" s="101"/>
      <c r="AN88" s="102">
        <v>278865</v>
      </c>
      <c r="AO88" s="102"/>
      <c r="AP88" s="103"/>
    </row>
    <row r="89" spans="1:42" x14ac:dyDescent="0.25">
      <c r="A89" s="40">
        <v>46813</v>
      </c>
      <c r="B89" s="101"/>
      <c r="C89" s="102">
        <v>10476</v>
      </c>
      <c r="D89" s="102"/>
      <c r="E89" s="104"/>
      <c r="F89" s="104"/>
      <c r="G89" s="102"/>
      <c r="H89" s="104"/>
      <c r="I89" s="101"/>
      <c r="J89" s="102"/>
      <c r="K89" s="102"/>
      <c r="L89" s="104"/>
      <c r="M89" s="104"/>
      <c r="N89" s="102"/>
      <c r="O89" s="104"/>
      <c r="P89" s="101"/>
      <c r="Q89" s="102">
        <v>217</v>
      </c>
      <c r="R89" s="102"/>
      <c r="S89" s="104"/>
      <c r="T89" s="104"/>
      <c r="U89" s="102"/>
      <c r="V89" s="104"/>
      <c r="W89" s="101"/>
      <c r="X89" s="102">
        <v>188615</v>
      </c>
      <c r="Y89" s="102"/>
      <c r="Z89" s="104"/>
      <c r="AA89" s="101"/>
      <c r="AB89" s="102"/>
      <c r="AC89" s="104"/>
      <c r="AD89" s="102"/>
      <c r="AE89" s="104"/>
      <c r="AF89" s="101"/>
      <c r="AG89" s="102">
        <v>713</v>
      </c>
      <c r="AH89" s="102"/>
      <c r="AI89" s="104"/>
      <c r="AJ89" s="104"/>
      <c r="AK89" s="102"/>
      <c r="AL89" s="104"/>
      <c r="AM89" s="101"/>
      <c r="AN89" s="102">
        <v>294959</v>
      </c>
      <c r="AO89" s="102"/>
      <c r="AP89" s="103"/>
    </row>
    <row r="90" spans="1:42" x14ac:dyDescent="0.25">
      <c r="A90" s="40">
        <v>46844</v>
      </c>
      <c r="B90" s="101"/>
      <c r="C90" s="102">
        <v>4243</v>
      </c>
      <c r="D90" s="102"/>
      <c r="E90" s="104"/>
      <c r="F90" s="104"/>
      <c r="G90" s="102"/>
      <c r="H90" s="104"/>
      <c r="I90" s="101"/>
      <c r="J90" s="102"/>
      <c r="K90" s="102"/>
      <c r="L90" s="104"/>
      <c r="M90" s="104"/>
      <c r="N90" s="102"/>
      <c r="O90" s="104"/>
      <c r="P90" s="101"/>
      <c r="Q90" s="102">
        <v>112</v>
      </c>
      <c r="R90" s="102"/>
      <c r="S90" s="104"/>
      <c r="T90" s="104"/>
      <c r="U90" s="102"/>
      <c r="V90" s="104"/>
      <c r="W90" s="101"/>
      <c r="X90" s="102">
        <v>70356</v>
      </c>
      <c r="Y90" s="102"/>
      <c r="Z90" s="104"/>
      <c r="AA90" s="101"/>
      <c r="AB90" s="102"/>
      <c r="AC90" s="104"/>
      <c r="AD90" s="102"/>
      <c r="AE90" s="104"/>
      <c r="AF90" s="101"/>
      <c r="AG90" s="102" t="s">
        <v>45</v>
      </c>
      <c r="AH90" s="102"/>
      <c r="AI90" s="104"/>
      <c r="AJ90" s="104"/>
      <c r="AK90" s="102"/>
      <c r="AL90" s="104"/>
      <c r="AM90" s="101"/>
      <c r="AN90" s="102">
        <v>280072</v>
      </c>
      <c r="AO90" s="102"/>
      <c r="AP90" s="103"/>
    </row>
    <row r="91" spans="1:42" x14ac:dyDescent="0.25">
      <c r="A91" s="40">
        <v>46874</v>
      </c>
      <c r="B91" s="101"/>
      <c r="C91" s="102">
        <v>4756</v>
      </c>
      <c r="D91" s="102"/>
      <c r="E91" s="104"/>
      <c r="F91" s="104"/>
      <c r="G91" s="102"/>
      <c r="H91" s="104"/>
      <c r="I91" s="101"/>
      <c r="J91" s="102"/>
      <c r="K91" s="102"/>
      <c r="L91" s="104"/>
      <c r="M91" s="104"/>
      <c r="N91" s="102"/>
      <c r="O91" s="104"/>
      <c r="P91" s="101"/>
      <c r="Q91" s="102">
        <v>112</v>
      </c>
      <c r="R91" s="102"/>
      <c r="S91" s="104"/>
      <c r="T91" s="104"/>
      <c r="U91" s="102"/>
      <c r="V91" s="104"/>
      <c r="W91" s="101"/>
      <c r="X91" s="102">
        <v>18285</v>
      </c>
      <c r="Y91" s="102"/>
      <c r="Z91" s="104"/>
      <c r="AA91" s="101"/>
      <c r="AB91" s="102"/>
      <c r="AC91" s="104"/>
      <c r="AD91" s="102"/>
      <c r="AE91" s="104"/>
      <c r="AF91" s="101"/>
      <c r="AG91" s="102">
        <v>205</v>
      </c>
      <c r="AH91" s="102"/>
      <c r="AI91" s="104"/>
      <c r="AJ91" s="104"/>
      <c r="AK91" s="102"/>
      <c r="AL91" s="104"/>
      <c r="AM91" s="101"/>
      <c r="AN91" s="102">
        <v>629366</v>
      </c>
      <c r="AO91" s="102"/>
      <c r="AP91" s="103"/>
    </row>
    <row r="92" spans="1:42" x14ac:dyDescent="0.25">
      <c r="A92" s="40">
        <v>46905</v>
      </c>
      <c r="B92" s="101"/>
      <c r="C92" s="102">
        <v>4003</v>
      </c>
      <c r="D92" s="102"/>
      <c r="E92" s="104"/>
      <c r="F92" s="104"/>
      <c r="G92" s="102"/>
      <c r="H92" s="104"/>
      <c r="I92" s="101"/>
      <c r="J92" s="102"/>
      <c r="K92" s="102"/>
      <c r="L92" s="104"/>
      <c r="M92" s="104"/>
      <c r="N92" s="102"/>
      <c r="O92" s="104"/>
      <c r="P92" s="101"/>
      <c r="Q92" s="102">
        <v>363</v>
      </c>
      <c r="R92" s="102"/>
      <c r="S92" s="104"/>
      <c r="T92" s="104"/>
      <c r="U92" s="102"/>
      <c r="V92" s="104"/>
      <c r="W92" s="101"/>
      <c r="X92" s="102">
        <v>68819</v>
      </c>
      <c r="Y92" s="102"/>
      <c r="Z92" s="104"/>
      <c r="AA92" s="101"/>
      <c r="AB92" s="102"/>
      <c r="AC92" s="104"/>
      <c r="AD92" s="102"/>
      <c r="AE92" s="104"/>
      <c r="AF92" s="101"/>
      <c r="AG92" s="102"/>
      <c r="AH92" s="102"/>
      <c r="AI92" s="104"/>
      <c r="AJ92" s="104"/>
      <c r="AK92" s="102"/>
      <c r="AL92" s="104"/>
      <c r="AM92" s="101"/>
      <c r="AN92" s="102">
        <v>390452</v>
      </c>
      <c r="AO92" s="102"/>
      <c r="AP92" s="103"/>
    </row>
    <row r="93" spans="1:42" x14ac:dyDescent="0.25">
      <c r="A93" s="40">
        <v>46935</v>
      </c>
      <c r="B93" s="101"/>
      <c r="C93" s="102">
        <v>4110</v>
      </c>
      <c r="D93" s="102"/>
      <c r="E93" s="104"/>
      <c r="F93" s="104"/>
      <c r="G93" s="102"/>
      <c r="H93" s="104"/>
      <c r="I93" s="101"/>
      <c r="J93" s="102"/>
      <c r="K93" s="102"/>
      <c r="L93" s="104"/>
      <c r="M93" s="104"/>
      <c r="N93" s="102"/>
      <c r="O93" s="104"/>
      <c r="P93" s="101"/>
      <c r="Q93" s="102">
        <v>205</v>
      </c>
      <c r="R93" s="102"/>
      <c r="S93" s="104"/>
      <c r="T93" s="104"/>
      <c r="U93" s="102"/>
      <c r="V93" s="104"/>
      <c r="W93" s="101"/>
      <c r="X93" s="102">
        <v>135574</v>
      </c>
      <c r="Y93" s="102"/>
      <c r="Z93" s="104"/>
      <c r="AA93" s="101"/>
      <c r="AB93" s="102"/>
      <c r="AC93" s="104"/>
      <c r="AD93" s="102"/>
      <c r="AE93" s="104"/>
      <c r="AF93" s="101"/>
      <c r="AG93" s="102"/>
      <c r="AH93" s="102"/>
      <c r="AI93" s="104"/>
      <c r="AJ93" s="104"/>
      <c r="AK93" s="102"/>
      <c r="AL93" s="104"/>
      <c r="AM93" s="101"/>
      <c r="AN93" s="102">
        <v>808570</v>
      </c>
      <c r="AO93" s="102"/>
      <c r="AP93" s="103"/>
    </row>
    <row r="94" spans="1:42" x14ac:dyDescent="0.25">
      <c r="A94" s="40">
        <v>46966</v>
      </c>
      <c r="B94" s="101"/>
      <c r="C94" s="102">
        <v>4003</v>
      </c>
      <c r="D94" s="102"/>
      <c r="E94" s="104"/>
      <c r="F94" s="104"/>
      <c r="G94" s="102"/>
      <c r="H94" s="104"/>
      <c r="I94" s="101"/>
      <c r="J94" s="102"/>
      <c r="K94" s="102"/>
      <c r="L94" s="104"/>
      <c r="M94" s="104"/>
      <c r="N94" s="102"/>
      <c r="O94" s="104"/>
      <c r="P94" s="101"/>
      <c r="Q94" s="102" t="s">
        <v>45</v>
      </c>
      <c r="R94" s="102"/>
      <c r="S94" s="104"/>
      <c r="T94" s="104"/>
      <c r="U94" s="102"/>
      <c r="V94" s="104"/>
      <c r="W94" s="101"/>
      <c r="X94" s="102">
        <v>12400</v>
      </c>
      <c r="Y94" s="102"/>
      <c r="Z94" s="104"/>
      <c r="AA94" s="101"/>
      <c r="AB94" s="102"/>
      <c r="AC94" s="104"/>
      <c r="AD94" s="102"/>
      <c r="AE94" s="104"/>
      <c r="AF94" s="101"/>
      <c r="AG94" s="102"/>
      <c r="AH94" s="102"/>
      <c r="AI94" s="104"/>
      <c r="AJ94" s="104"/>
      <c r="AK94" s="102"/>
      <c r="AL94" s="104"/>
      <c r="AM94" s="101"/>
      <c r="AN94" s="102">
        <v>275315</v>
      </c>
      <c r="AO94" s="102"/>
      <c r="AP94" s="103"/>
    </row>
    <row r="95" spans="1:42" x14ac:dyDescent="0.25">
      <c r="A95" s="40">
        <v>46997</v>
      </c>
      <c r="B95" s="101"/>
      <c r="C95" s="102">
        <v>4003</v>
      </c>
      <c r="D95" s="102"/>
      <c r="E95" s="104"/>
      <c r="F95" s="104"/>
      <c r="G95" s="102"/>
      <c r="H95" s="104"/>
      <c r="I95" s="101"/>
      <c r="J95" s="102"/>
      <c r="K95" s="102"/>
      <c r="L95" s="104"/>
      <c r="M95" s="104"/>
      <c r="N95" s="102"/>
      <c r="O95" s="104"/>
      <c r="P95" s="101"/>
      <c r="Q95" s="102">
        <v>679</v>
      </c>
      <c r="R95" s="102"/>
      <c r="S95" s="104"/>
      <c r="T95" s="104"/>
      <c r="U95" s="102"/>
      <c r="V95" s="104"/>
      <c r="W95" s="101"/>
      <c r="X95" s="102">
        <v>11535</v>
      </c>
      <c r="Y95" s="102"/>
      <c r="Z95" s="104"/>
      <c r="AA95" s="101"/>
      <c r="AB95" s="102"/>
      <c r="AC95" s="104"/>
      <c r="AD95" s="102"/>
      <c r="AE95" s="104"/>
      <c r="AF95" s="101"/>
      <c r="AG95" s="102"/>
      <c r="AH95" s="102"/>
      <c r="AI95" s="104"/>
      <c r="AJ95" s="104"/>
      <c r="AK95" s="102"/>
      <c r="AL95" s="104"/>
      <c r="AM95" s="101"/>
      <c r="AN95" s="102">
        <v>272519</v>
      </c>
      <c r="AO95" s="102"/>
      <c r="AP95" s="103"/>
    </row>
    <row r="96" spans="1:42" x14ac:dyDescent="0.25">
      <c r="A96" s="40">
        <v>47027</v>
      </c>
      <c r="B96" s="101"/>
      <c r="C96" s="102">
        <v>4003</v>
      </c>
      <c r="D96" s="102"/>
      <c r="E96" s="104"/>
      <c r="F96" s="104"/>
      <c r="G96" s="102"/>
      <c r="H96" s="104"/>
      <c r="I96" s="101"/>
      <c r="J96" s="102"/>
      <c r="K96" s="102"/>
      <c r="L96" s="104"/>
      <c r="M96" s="104"/>
      <c r="N96" s="102"/>
      <c r="O96" s="104"/>
      <c r="P96" s="101"/>
      <c r="Q96" s="102" t="s">
        <v>45</v>
      </c>
      <c r="R96" s="102"/>
      <c r="S96" s="104"/>
      <c r="T96" s="104"/>
      <c r="U96" s="102"/>
      <c r="V96" s="104"/>
      <c r="W96" s="101"/>
      <c r="X96" s="102">
        <v>12655</v>
      </c>
      <c r="Y96" s="102"/>
      <c r="Z96" s="104"/>
      <c r="AA96" s="101"/>
      <c r="AB96" s="102"/>
      <c r="AC96" s="104"/>
      <c r="AD96" s="102"/>
      <c r="AE96" s="104"/>
      <c r="AF96" s="101"/>
      <c r="AG96" s="102"/>
      <c r="AH96" s="102"/>
      <c r="AI96" s="104"/>
      <c r="AJ96" s="104"/>
      <c r="AK96" s="102"/>
      <c r="AL96" s="104"/>
      <c r="AM96" s="101"/>
      <c r="AN96" s="102">
        <v>292761</v>
      </c>
      <c r="AO96" s="102"/>
      <c r="AP96" s="103"/>
    </row>
    <row r="97" spans="1:42" x14ac:dyDescent="0.25">
      <c r="A97" s="40">
        <v>47058</v>
      </c>
      <c r="B97" s="101"/>
      <c r="C97" s="102">
        <v>4108</v>
      </c>
      <c r="D97" s="102"/>
      <c r="E97" s="104"/>
      <c r="F97" s="104"/>
      <c r="G97" s="102"/>
      <c r="H97" s="104"/>
      <c r="I97" s="101"/>
      <c r="J97" s="102"/>
      <c r="K97" s="102"/>
      <c r="L97" s="104"/>
      <c r="M97" s="104"/>
      <c r="N97" s="102"/>
      <c r="O97" s="104"/>
      <c r="P97" s="101"/>
      <c r="Q97" s="102">
        <v>100</v>
      </c>
      <c r="R97" s="102"/>
      <c r="S97" s="104"/>
      <c r="T97" s="104"/>
      <c r="U97" s="102"/>
      <c r="V97" s="104"/>
      <c r="W97" s="101"/>
      <c r="X97" s="102">
        <v>11741</v>
      </c>
      <c r="Y97" s="102"/>
      <c r="Z97" s="104"/>
      <c r="AA97" s="101"/>
      <c r="AB97" s="102"/>
      <c r="AC97" s="104"/>
      <c r="AD97" s="102"/>
      <c r="AE97" s="104"/>
      <c r="AF97" s="101"/>
      <c r="AG97" s="102"/>
      <c r="AH97" s="102"/>
      <c r="AI97" s="104"/>
      <c r="AJ97" s="104"/>
      <c r="AK97" s="102"/>
      <c r="AL97" s="104"/>
      <c r="AM97" s="101"/>
      <c r="AN97" s="102">
        <v>266712</v>
      </c>
      <c r="AO97" s="102"/>
      <c r="AP97" s="103"/>
    </row>
    <row r="98" spans="1:42" x14ac:dyDescent="0.25">
      <c r="A98" s="40">
        <v>47088</v>
      </c>
      <c r="B98" s="101"/>
      <c r="C98" s="102">
        <v>4003</v>
      </c>
      <c r="D98" s="102"/>
      <c r="E98" s="104"/>
      <c r="F98" s="104"/>
      <c r="G98" s="102"/>
      <c r="H98" s="104"/>
      <c r="I98" s="101"/>
      <c r="J98" s="102"/>
      <c r="K98" s="102"/>
      <c r="L98" s="104"/>
      <c r="M98" s="104"/>
      <c r="N98" s="102"/>
      <c r="O98" s="104"/>
      <c r="P98" s="101"/>
      <c r="Q98" s="102"/>
      <c r="R98" s="102"/>
      <c r="S98" s="104"/>
      <c r="T98" s="104"/>
      <c r="U98" s="102"/>
      <c r="V98" s="104"/>
      <c r="W98" s="101"/>
      <c r="X98" s="102">
        <v>64035</v>
      </c>
      <c r="Y98" s="102"/>
      <c r="Z98" s="104"/>
      <c r="AA98" s="101"/>
      <c r="AB98" s="102"/>
      <c r="AC98" s="104"/>
      <c r="AD98" s="102"/>
      <c r="AE98" s="104"/>
      <c r="AF98" s="101"/>
      <c r="AG98" s="102"/>
      <c r="AH98" s="102"/>
      <c r="AI98" s="104"/>
      <c r="AJ98" s="104"/>
      <c r="AK98" s="102"/>
      <c r="AL98" s="104"/>
      <c r="AM98" s="101"/>
      <c r="AN98" s="102">
        <v>989655</v>
      </c>
      <c r="AO98" s="102"/>
      <c r="AP98" s="103"/>
    </row>
    <row r="99" spans="1:42" x14ac:dyDescent="0.25">
      <c r="A99" s="40">
        <v>47119</v>
      </c>
      <c r="B99" s="101"/>
      <c r="C99" s="102">
        <v>4346</v>
      </c>
      <c r="D99" s="102"/>
      <c r="E99" s="104"/>
      <c r="F99" s="104"/>
      <c r="G99" s="102"/>
      <c r="H99" s="104"/>
      <c r="I99" s="101"/>
      <c r="J99" s="102"/>
      <c r="K99" s="102"/>
      <c r="L99" s="104"/>
      <c r="M99" s="104"/>
      <c r="N99" s="102"/>
      <c r="O99" s="104"/>
      <c r="P99" s="101"/>
      <c r="Q99" s="102"/>
      <c r="R99" s="102"/>
      <c r="S99" s="104"/>
      <c r="T99" s="104"/>
      <c r="U99" s="102"/>
      <c r="V99" s="104"/>
      <c r="W99" s="101"/>
      <c r="X99" s="102">
        <v>11135</v>
      </c>
      <c r="Y99" s="102"/>
      <c r="Z99" s="104"/>
      <c r="AA99" s="101"/>
      <c r="AB99" s="102"/>
      <c r="AC99" s="104"/>
      <c r="AD99" s="102"/>
      <c r="AE99" s="104"/>
      <c r="AF99" s="101"/>
      <c r="AG99" s="102"/>
      <c r="AH99" s="102"/>
      <c r="AI99" s="104"/>
      <c r="AJ99" s="104"/>
      <c r="AK99" s="102"/>
      <c r="AL99" s="104"/>
      <c r="AM99" s="101"/>
      <c r="AN99" s="102">
        <v>20170</v>
      </c>
      <c r="AO99" s="102"/>
      <c r="AP99" s="103"/>
    </row>
    <row r="100" spans="1:42" x14ac:dyDescent="0.25">
      <c r="A100" s="40">
        <v>47150</v>
      </c>
      <c r="B100" s="101"/>
      <c r="C100" s="102">
        <v>4003</v>
      </c>
      <c r="D100" s="102"/>
      <c r="E100" s="104"/>
      <c r="F100" s="104"/>
      <c r="G100" s="102"/>
      <c r="H100" s="104"/>
      <c r="I100" s="101"/>
      <c r="J100" s="102"/>
      <c r="K100" s="102"/>
      <c r="L100" s="104"/>
      <c r="M100" s="104"/>
      <c r="N100" s="102"/>
      <c r="O100" s="104"/>
      <c r="P100" s="101"/>
      <c r="Q100" s="102"/>
      <c r="R100" s="102"/>
      <c r="S100" s="104"/>
      <c r="T100" s="104"/>
      <c r="U100" s="102"/>
      <c r="V100" s="104"/>
      <c r="W100" s="101"/>
      <c r="X100" s="102">
        <v>11135</v>
      </c>
      <c r="Y100" s="102"/>
      <c r="Z100" s="104"/>
      <c r="AA100" s="101"/>
      <c r="AB100" s="102"/>
      <c r="AC100" s="104"/>
      <c r="AD100" s="102"/>
      <c r="AE100" s="104"/>
      <c r="AF100" s="101"/>
      <c r="AG100" s="102"/>
      <c r="AH100" s="102"/>
      <c r="AI100" s="104"/>
      <c r="AJ100" s="104"/>
      <c r="AK100" s="102"/>
      <c r="AL100" s="104"/>
      <c r="AM100" s="101"/>
      <c r="AN100" s="102">
        <v>7043</v>
      </c>
      <c r="AO100" s="102"/>
      <c r="AP100" s="103"/>
    </row>
    <row r="101" spans="1:42" x14ac:dyDescent="0.25">
      <c r="A101" s="40">
        <v>47178</v>
      </c>
      <c r="B101" s="101"/>
      <c r="C101" s="102">
        <v>4003</v>
      </c>
      <c r="D101" s="102"/>
      <c r="E101" s="104"/>
      <c r="F101" s="104"/>
      <c r="G101" s="102"/>
      <c r="H101" s="104"/>
      <c r="I101" s="101"/>
      <c r="J101" s="102"/>
      <c r="K101" s="102"/>
      <c r="L101" s="104"/>
      <c r="M101" s="104"/>
      <c r="N101" s="102"/>
      <c r="O101" s="104"/>
      <c r="P101" s="101"/>
      <c r="Q101" s="102"/>
      <c r="R101" s="102"/>
      <c r="S101" s="104"/>
      <c r="T101" s="104"/>
      <c r="U101" s="102"/>
      <c r="V101" s="104"/>
      <c r="W101" s="101"/>
      <c r="X101" s="102">
        <v>11135</v>
      </c>
      <c r="Y101" s="102"/>
      <c r="Z101" s="104"/>
      <c r="AA101" s="101"/>
      <c r="AB101" s="102"/>
      <c r="AC101" s="104"/>
      <c r="AD101" s="102"/>
      <c r="AE101" s="104"/>
      <c r="AF101" s="101"/>
      <c r="AG101" s="102"/>
      <c r="AH101" s="102"/>
      <c r="AI101" s="104"/>
      <c r="AJ101" s="104"/>
      <c r="AK101" s="102"/>
      <c r="AL101" s="104"/>
      <c r="AM101" s="101"/>
      <c r="AN101" s="102">
        <v>6389</v>
      </c>
      <c r="AO101" s="102"/>
      <c r="AP101" s="103"/>
    </row>
    <row r="102" spans="1:42" x14ac:dyDescent="0.25">
      <c r="A102" s="40">
        <v>47209</v>
      </c>
      <c r="B102" s="101"/>
      <c r="C102" s="102">
        <v>4003</v>
      </c>
      <c r="D102" s="102"/>
      <c r="E102" s="104"/>
      <c r="F102" s="104"/>
      <c r="G102" s="102"/>
      <c r="H102" s="104"/>
      <c r="I102" s="101"/>
      <c r="J102" s="102"/>
      <c r="K102" s="102"/>
      <c r="L102" s="104"/>
      <c r="M102" s="104"/>
      <c r="N102" s="102"/>
      <c r="O102" s="104"/>
      <c r="P102" s="101"/>
      <c r="Q102" s="102"/>
      <c r="R102" s="102"/>
      <c r="S102" s="104"/>
      <c r="T102" s="104"/>
      <c r="U102" s="102"/>
      <c r="V102" s="104"/>
      <c r="W102" s="101"/>
      <c r="X102" s="102">
        <v>11135</v>
      </c>
      <c r="Y102" s="102"/>
      <c r="Z102" s="104"/>
      <c r="AA102" s="101"/>
      <c r="AB102" s="102"/>
      <c r="AC102" s="104"/>
      <c r="AD102" s="102"/>
      <c r="AE102" s="104"/>
      <c r="AF102" s="101"/>
      <c r="AG102" s="102"/>
      <c r="AH102" s="102"/>
      <c r="AI102" s="104"/>
      <c r="AJ102" s="104"/>
      <c r="AK102" s="102"/>
      <c r="AL102" s="104"/>
      <c r="AM102" s="101"/>
      <c r="AN102" s="102">
        <v>4942</v>
      </c>
      <c r="AO102" s="102"/>
      <c r="AP102" s="103"/>
    </row>
    <row r="103" spans="1:42" x14ac:dyDescent="0.25">
      <c r="A103" s="40">
        <v>47239</v>
      </c>
      <c r="B103" s="101"/>
      <c r="C103" s="102">
        <v>4003</v>
      </c>
      <c r="D103" s="102"/>
      <c r="E103" s="104"/>
      <c r="F103" s="104"/>
      <c r="G103" s="102"/>
      <c r="H103" s="104"/>
      <c r="I103" s="101"/>
      <c r="J103" s="102"/>
      <c r="K103" s="102"/>
      <c r="L103" s="104"/>
      <c r="M103" s="104"/>
      <c r="N103" s="102"/>
      <c r="O103" s="104"/>
      <c r="P103" s="101"/>
      <c r="Q103" s="102"/>
      <c r="R103" s="102"/>
      <c r="S103" s="104"/>
      <c r="T103" s="104"/>
      <c r="U103" s="102"/>
      <c r="V103" s="104"/>
      <c r="W103" s="101"/>
      <c r="X103" s="102">
        <v>11135</v>
      </c>
      <c r="Y103" s="102"/>
      <c r="Z103" s="104"/>
      <c r="AA103" s="101"/>
      <c r="AB103" s="102"/>
      <c r="AC103" s="104"/>
      <c r="AD103" s="102"/>
      <c r="AE103" s="104"/>
      <c r="AF103" s="101"/>
      <c r="AG103" s="102"/>
      <c r="AH103" s="102"/>
      <c r="AI103" s="104"/>
      <c r="AJ103" s="104"/>
      <c r="AK103" s="102"/>
      <c r="AL103" s="104"/>
      <c r="AM103" s="101"/>
      <c r="AN103" s="102">
        <v>4942</v>
      </c>
      <c r="AO103" s="102"/>
      <c r="AP103" s="103"/>
    </row>
    <row r="104" spans="1:42" x14ac:dyDescent="0.25">
      <c r="A104" s="40">
        <v>47270</v>
      </c>
      <c r="B104" s="101"/>
      <c r="C104" s="102">
        <v>4003</v>
      </c>
      <c r="D104" s="102"/>
      <c r="E104" s="104"/>
      <c r="F104" s="104"/>
      <c r="G104" s="102"/>
      <c r="H104" s="104"/>
      <c r="I104" s="101"/>
      <c r="J104" s="102"/>
      <c r="K104" s="102"/>
      <c r="L104" s="104"/>
      <c r="M104" s="104"/>
      <c r="N104" s="102"/>
      <c r="O104" s="104"/>
      <c r="P104" s="101"/>
      <c r="Q104" s="102"/>
      <c r="R104" s="102"/>
      <c r="S104" s="104"/>
      <c r="T104" s="104"/>
      <c r="U104" s="102"/>
      <c r="V104" s="104"/>
      <c r="W104" s="101"/>
      <c r="X104" s="102">
        <v>11353</v>
      </c>
      <c r="Y104" s="102"/>
      <c r="Z104" s="104"/>
      <c r="AA104" s="101"/>
      <c r="AB104" s="102"/>
      <c r="AC104" s="104"/>
      <c r="AD104" s="102"/>
      <c r="AE104" s="104"/>
      <c r="AF104" s="101"/>
      <c r="AG104" s="102"/>
      <c r="AH104" s="102"/>
      <c r="AI104" s="104"/>
      <c r="AJ104" s="104"/>
      <c r="AK104" s="102"/>
      <c r="AL104" s="104"/>
      <c r="AM104" s="101"/>
      <c r="AN104" s="102">
        <v>4942</v>
      </c>
      <c r="AO104" s="102"/>
      <c r="AP104" s="103"/>
    </row>
    <row r="105" spans="1:42" x14ac:dyDescent="0.25">
      <c r="A105" s="40">
        <v>47300</v>
      </c>
      <c r="B105" s="101"/>
      <c r="C105" s="102">
        <v>3861</v>
      </c>
      <c r="D105" s="102"/>
      <c r="E105" s="104"/>
      <c r="F105" s="104"/>
      <c r="G105" s="102"/>
      <c r="H105" s="104"/>
      <c r="I105" s="101"/>
      <c r="J105" s="102"/>
      <c r="K105" s="102"/>
      <c r="L105" s="104"/>
      <c r="M105" s="104"/>
      <c r="N105" s="102"/>
      <c r="O105" s="104"/>
      <c r="P105" s="101"/>
      <c r="Q105" s="102"/>
      <c r="R105" s="102"/>
      <c r="S105" s="104"/>
      <c r="T105" s="104"/>
      <c r="U105" s="102"/>
      <c r="V105" s="104"/>
      <c r="W105" s="101"/>
      <c r="X105" s="102">
        <v>11502</v>
      </c>
      <c r="Y105" s="102"/>
      <c r="Z105" s="104"/>
      <c r="AA105" s="101"/>
      <c r="AB105" s="102"/>
      <c r="AC105" s="104"/>
      <c r="AD105" s="102"/>
      <c r="AE105" s="104"/>
      <c r="AF105" s="101"/>
      <c r="AG105" s="102"/>
      <c r="AH105" s="102"/>
      <c r="AI105" s="104"/>
      <c r="AJ105" s="104"/>
      <c r="AK105" s="102"/>
      <c r="AL105" s="104"/>
      <c r="AM105" s="101"/>
      <c r="AN105" s="102">
        <v>4942</v>
      </c>
      <c r="AO105" s="102"/>
      <c r="AP105" s="103"/>
    </row>
    <row r="106" spans="1:42" x14ac:dyDescent="0.25">
      <c r="A106" s="40">
        <v>47331</v>
      </c>
      <c r="B106" s="101"/>
      <c r="C106" s="102">
        <v>4003</v>
      </c>
      <c r="D106" s="102"/>
      <c r="E106" s="104"/>
      <c r="F106" s="104"/>
      <c r="G106" s="102"/>
      <c r="H106" s="104"/>
      <c r="I106" s="101"/>
      <c r="J106" s="102"/>
      <c r="K106" s="102"/>
      <c r="L106" s="104"/>
      <c r="M106" s="104"/>
      <c r="N106" s="102"/>
      <c r="O106" s="104"/>
      <c r="P106" s="101"/>
      <c r="Q106" s="102"/>
      <c r="R106" s="102"/>
      <c r="S106" s="104"/>
      <c r="T106" s="104"/>
      <c r="U106" s="102"/>
      <c r="V106" s="104"/>
      <c r="W106" s="101"/>
      <c r="X106" s="102">
        <v>11702</v>
      </c>
      <c r="Y106" s="102"/>
      <c r="Z106" s="104"/>
      <c r="AA106" s="101"/>
      <c r="AB106" s="102"/>
      <c r="AC106" s="104"/>
      <c r="AD106" s="102"/>
      <c r="AE106" s="104"/>
      <c r="AF106" s="101"/>
      <c r="AG106" s="102"/>
      <c r="AH106" s="102"/>
      <c r="AI106" s="104"/>
      <c r="AJ106" s="104"/>
      <c r="AK106" s="102"/>
      <c r="AL106" s="104"/>
      <c r="AM106" s="101"/>
      <c r="AN106" s="102">
        <v>4942</v>
      </c>
      <c r="AO106" s="102"/>
      <c r="AP106" s="103"/>
    </row>
    <row r="107" spans="1:42" x14ac:dyDescent="0.25">
      <c r="A107" s="40">
        <v>47362</v>
      </c>
      <c r="B107" s="101"/>
      <c r="C107" s="102">
        <v>4003</v>
      </c>
      <c r="D107" s="102"/>
      <c r="E107" s="104"/>
      <c r="F107" s="104"/>
      <c r="G107" s="102"/>
      <c r="H107" s="104"/>
      <c r="I107" s="101"/>
      <c r="J107" s="102"/>
      <c r="K107" s="102"/>
      <c r="L107" s="104"/>
      <c r="M107" s="104"/>
      <c r="N107" s="102"/>
      <c r="O107" s="104"/>
      <c r="P107" s="101"/>
      <c r="Q107" s="102"/>
      <c r="R107" s="102"/>
      <c r="S107" s="104"/>
      <c r="T107" s="104"/>
      <c r="U107" s="102"/>
      <c r="V107" s="104"/>
      <c r="W107" s="101"/>
      <c r="X107" s="102">
        <v>11702</v>
      </c>
      <c r="Y107" s="102"/>
      <c r="Z107" s="104"/>
      <c r="AA107" s="101"/>
      <c r="AB107" s="102"/>
      <c r="AC107" s="104"/>
      <c r="AD107" s="102"/>
      <c r="AE107" s="104"/>
      <c r="AF107" s="101"/>
      <c r="AG107" s="102"/>
      <c r="AH107" s="102"/>
      <c r="AI107" s="104"/>
      <c r="AJ107" s="104"/>
      <c r="AK107" s="102"/>
      <c r="AL107" s="104"/>
      <c r="AM107" s="101"/>
      <c r="AN107" s="102">
        <v>4942</v>
      </c>
      <c r="AO107" s="102"/>
      <c r="AP107" s="103"/>
    </row>
    <row r="108" spans="1:42" x14ac:dyDescent="0.25">
      <c r="A108" s="40">
        <v>47392</v>
      </c>
      <c r="B108" s="101"/>
      <c r="C108" s="102">
        <v>991</v>
      </c>
      <c r="D108" s="102"/>
      <c r="E108" s="104"/>
      <c r="F108" s="104"/>
      <c r="G108" s="102"/>
      <c r="H108" s="104"/>
      <c r="I108" s="101"/>
      <c r="J108" s="102"/>
      <c r="K108" s="102"/>
      <c r="L108" s="104"/>
      <c r="M108" s="104"/>
      <c r="N108" s="102"/>
      <c r="O108" s="104"/>
      <c r="P108" s="101"/>
      <c r="Q108" s="102"/>
      <c r="R108" s="102"/>
      <c r="S108" s="104"/>
      <c r="T108" s="104"/>
      <c r="U108" s="102"/>
      <c r="V108" s="104"/>
      <c r="W108" s="101"/>
      <c r="X108" s="102">
        <v>11702</v>
      </c>
      <c r="Y108" s="102"/>
      <c r="Z108" s="104"/>
      <c r="AA108" s="101"/>
      <c r="AB108" s="102"/>
      <c r="AC108" s="104"/>
      <c r="AD108" s="102"/>
      <c r="AE108" s="104"/>
      <c r="AF108" s="101"/>
      <c r="AG108" s="102"/>
      <c r="AH108" s="102"/>
      <c r="AI108" s="104"/>
      <c r="AJ108" s="104"/>
      <c r="AK108" s="102"/>
      <c r="AL108" s="104"/>
      <c r="AM108" s="101"/>
      <c r="AN108" s="102">
        <v>4942</v>
      </c>
      <c r="AO108" s="102"/>
      <c r="AP108" s="103"/>
    </row>
    <row r="109" spans="1:42" x14ac:dyDescent="0.25">
      <c r="A109" s="40">
        <v>47423</v>
      </c>
      <c r="B109" s="101"/>
      <c r="C109" s="102">
        <v>991</v>
      </c>
      <c r="D109" s="102"/>
      <c r="E109" s="104"/>
      <c r="F109" s="104"/>
      <c r="G109" s="102"/>
      <c r="H109" s="104"/>
      <c r="I109" s="101"/>
      <c r="J109" s="102"/>
      <c r="K109" s="102"/>
      <c r="L109" s="104"/>
      <c r="M109" s="104"/>
      <c r="N109" s="102"/>
      <c r="O109" s="104"/>
      <c r="P109" s="101"/>
      <c r="Q109" s="102"/>
      <c r="R109" s="102"/>
      <c r="S109" s="104"/>
      <c r="T109" s="104"/>
      <c r="U109" s="102"/>
      <c r="V109" s="104"/>
      <c r="W109" s="101"/>
      <c r="X109" s="102">
        <v>11702</v>
      </c>
      <c r="Y109" s="102"/>
      <c r="Z109" s="104"/>
      <c r="AA109" s="101"/>
      <c r="AB109" s="102"/>
      <c r="AC109" s="104"/>
      <c r="AD109" s="102"/>
      <c r="AE109" s="104"/>
      <c r="AF109" s="101"/>
      <c r="AG109" s="102"/>
      <c r="AH109" s="102"/>
      <c r="AI109" s="104"/>
      <c r="AJ109" s="104"/>
      <c r="AK109" s="102"/>
      <c r="AL109" s="104"/>
      <c r="AM109" s="101"/>
      <c r="AN109" s="102">
        <v>4942</v>
      </c>
      <c r="AO109" s="102"/>
      <c r="AP109" s="103"/>
    </row>
    <row r="110" spans="1:42" x14ac:dyDescent="0.25">
      <c r="A110" s="40">
        <v>47453</v>
      </c>
      <c r="B110" s="101"/>
      <c r="C110" s="102">
        <v>565</v>
      </c>
      <c r="D110" s="102"/>
      <c r="E110" s="104"/>
      <c r="F110" s="104"/>
      <c r="G110" s="102"/>
      <c r="H110" s="104"/>
      <c r="I110" s="101"/>
      <c r="J110" s="102"/>
      <c r="K110" s="102"/>
      <c r="L110" s="104"/>
      <c r="M110" s="104"/>
      <c r="N110" s="102"/>
      <c r="O110" s="104"/>
      <c r="P110" s="101"/>
      <c r="Q110" s="102"/>
      <c r="R110" s="102"/>
      <c r="S110" s="104"/>
      <c r="T110" s="104"/>
      <c r="U110" s="102"/>
      <c r="V110" s="104"/>
      <c r="W110" s="101"/>
      <c r="X110" s="102">
        <v>11702</v>
      </c>
      <c r="Y110" s="102"/>
      <c r="Z110" s="104"/>
      <c r="AA110" s="101"/>
      <c r="AB110" s="102"/>
      <c r="AC110" s="104"/>
      <c r="AD110" s="102"/>
      <c r="AE110" s="104"/>
      <c r="AF110" s="101"/>
      <c r="AG110" s="102"/>
      <c r="AH110" s="102"/>
      <c r="AI110" s="104"/>
      <c r="AJ110" s="104"/>
      <c r="AK110" s="102"/>
      <c r="AL110" s="104"/>
      <c r="AM110" s="101"/>
      <c r="AN110" s="102">
        <v>4942</v>
      </c>
      <c r="AO110" s="102"/>
      <c r="AP110" s="103"/>
    </row>
    <row r="111" spans="1:42" x14ac:dyDescent="0.25">
      <c r="A111" s="40">
        <v>47484</v>
      </c>
      <c r="B111" s="101"/>
      <c r="C111" s="102">
        <v>565</v>
      </c>
      <c r="D111" s="102"/>
      <c r="E111" s="104"/>
      <c r="F111" s="104"/>
      <c r="G111" s="102"/>
      <c r="H111" s="104"/>
      <c r="I111" s="101"/>
      <c r="J111" s="102"/>
      <c r="K111" s="102"/>
      <c r="L111" s="104"/>
      <c r="M111" s="104"/>
      <c r="N111" s="102"/>
      <c r="O111" s="104"/>
      <c r="P111" s="101"/>
      <c r="Q111" s="102"/>
      <c r="R111" s="102"/>
      <c r="S111" s="104"/>
      <c r="T111" s="104"/>
      <c r="U111" s="102"/>
      <c r="V111" s="104"/>
      <c r="W111" s="101"/>
      <c r="X111" s="102">
        <v>11702</v>
      </c>
      <c r="Y111" s="102"/>
      <c r="Z111" s="104"/>
      <c r="AA111" s="101"/>
      <c r="AB111" s="102"/>
      <c r="AC111" s="104"/>
      <c r="AD111" s="102"/>
      <c r="AE111" s="104"/>
      <c r="AF111" s="101"/>
      <c r="AG111" s="102"/>
      <c r="AH111" s="102"/>
      <c r="AI111" s="104"/>
      <c r="AJ111" s="104"/>
      <c r="AK111" s="102"/>
      <c r="AL111" s="104"/>
      <c r="AM111" s="101"/>
      <c r="AN111" s="102">
        <v>4942</v>
      </c>
      <c r="AO111" s="102"/>
      <c r="AP111" s="103"/>
    </row>
    <row r="112" spans="1:42" x14ac:dyDescent="0.25">
      <c r="A112" s="40">
        <v>47515</v>
      </c>
      <c r="B112" s="101"/>
      <c r="C112" s="102" t="s">
        <v>45</v>
      </c>
      <c r="D112" s="102"/>
      <c r="E112" s="104"/>
      <c r="F112" s="104"/>
      <c r="G112" s="102"/>
      <c r="H112" s="104"/>
      <c r="I112" s="101"/>
      <c r="J112" s="102"/>
      <c r="K112" s="102"/>
      <c r="L112" s="104"/>
      <c r="M112" s="104"/>
      <c r="N112" s="102"/>
      <c r="O112" s="104"/>
      <c r="P112" s="101"/>
      <c r="Q112" s="102"/>
      <c r="R112" s="102"/>
      <c r="S112" s="104"/>
      <c r="T112" s="104"/>
      <c r="U112" s="102"/>
      <c r="V112" s="104"/>
      <c r="W112" s="101"/>
      <c r="X112" s="102">
        <v>11702</v>
      </c>
      <c r="Y112" s="102"/>
      <c r="Z112" s="104"/>
      <c r="AA112" s="101"/>
      <c r="AB112" s="102"/>
      <c r="AC112" s="104"/>
      <c r="AD112" s="102"/>
      <c r="AE112" s="104"/>
      <c r="AF112" s="101"/>
      <c r="AG112" s="102"/>
      <c r="AH112" s="102"/>
      <c r="AI112" s="104"/>
      <c r="AJ112" s="104"/>
      <c r="AK112" s="102"/>
      <c r="AL112" s="104"/>
      <c r="AM112" s="101"/>
      <c r="AN112" s="102">
        <v>4942</v>
      </c>
      <c r="AO112" s="102"/>
      <c r="AP112" s="103"/>
    </row>
    <row r="113" spans="1:42" x14ac:dyDescent="0.25">
      <c r="A113" s="40">
        <v>47543</v>
      </c>
      <c r="B113" s="101"/>
      <c r="C113" s="102" t="s">
        <v>45</v>
      </c>
      <c r="D113" s="102"/>
      <c r="E113" s="104"/>
      <c r="F113" s="104"/>
      <c r="G113" s="102"/>
      <c r="H113" s="104"/>
      <c r="I113" s="101"/>
      <c r="J113" s="102"/>
      <c r="K113" s="102"/>
      <c r="L113" s="104"/>
      <c r="M113" s="104"/>
      <c r="N113" s="102"/>
      <c r="O113" s="104"/>
      <c r="P113" s="101"/>
      <c r="Q113" s="102"/>
      <c r="R113" s="102"/>
      <c r="S113" s="104"/>
      <c r="T113" s="104"/>
      <c r="U113" s="102"/>
      <c r="V113" s="104"/>
      <c r="W113" s="101"/>
      <c r="X113" s="102">
        <v>11702</v>
      </c>
      <c r="Y113" s="102"/>
      <c r="Z113" s="104"/>
      <c r="AA113" s="101"/>
      <c r="AB113" s="102"/>
      <c r="AC113" s="104"/>
      <c r="AD113" s="102"/>
      <c r="AE113" s="104"/>
      <c r="AF113" s="101"/>
      <c r="AG113" s="102"/>
      <c r="AH113" s="102"/>
      <c r="AI113" s="104"/>
      <c r="AJ113" s="104"/>
      <c r="AK113" s="102"/>
      <c r="AL113" s="104"/>
      <c r="AM113" s="101"/>
      <c r="AN113" s="102">
        <v>4942</v>
      </c>
      <c r="AO113" s="102"/>
      <c r="AP113" s="103"/>
    </row>
    <row r="114" spans="1:42" x14ac:dyDescent="0.25">
      <c r="A114" s="40">
        <v>47574</v>
      </c>
      <c r="B114" s="101"/>
      <c r="C114" s="102" t="s">
        <v>45</v>
      </c>
      <c r="D114" s="102"/>
      <c r="E114" s="104"/>
      <c r="F114" s="104"/>
      <c r="G114" s="102"/>
      <c r="H114" s="104"/>
      <c r="I114" s="101"/>
      <c r="J114" s="102"/>
      <c r="K114" s="102"/>
      <c r="L114" s="104"/>
      <c r="M114" s="104"/>
      <c r="N114" s="102"/>
      <c r="O114" s="104"/>
      <c r="P114" s="101"/>
      <c r="Q114" s="102"/>
      <c r="R114" s="102"/>
      <c r="S114" s="104"/>
      <c r="T114" s="104"/>
      <c r="U114" s="102"/>
      <c r="V114" s="104"/>
      <c r="W114" s="101"/>
      <c r="X114" s="102">
        <v>11702</v>
      </c>
      <c r="Y114" s="102"/>
      <c r="Z114" s="104"/>
      <c r="AA114" s="101"/>
      <c r="AB114" s="102"/>
      <c r="AC114" s="104"/>
      <c r="AD114" s="102"/>
      <c r="AE114" s="104"/>
      <c r="AF114" s="101"/>
      <c r="AG114" s="102"/>
      <c r="AH114" s="102"/>
      <c r="AI114" s="104"/>
      <c r="AJ114" s="104"/>
      <c r="AK114" s="102"/>
      <c r="AL114" s="104"/>
      <c r="AM114" s="101"/>
      <c r="AN114" s="102">
        <v>4942</v>
      </c>
      <c r="AO114" s="102"/>
      <c r="AP114" s="103"/>
    </row>
    <row r="115" spans="1:42" x14ac:dyDescent="0.25">
      <c r="A115" s="40">
        <v>47604</v>
      </c>
      <c r="B115" s="101"/>
      <c r="C115" s="102" t="s">
        <v>45</v>
      </c>
      <c r="D115" s="102"/>
      <c r="E115" s="104"/>
      <c r="F115" s="104"/>
      <c r="G115" s="102"/>
      <c r="H115" s="104"/>
      <c r="I115" s="101"/>
      <c r="J115" s="102"/>
      <c r="K115" s="102"/>
      <c r="L115" s="104"/>
      <c r="M115" s="104"/>
      <c r="N115" s="102"/>
      <c r="O115" s="104"/>
      <c r="P115" s="101"/>
      <c r="Q115" s="102"/>
      <c r="R115" s="102"/>
      <c r="S115" s="104"/>
      <c r="T115" s="104"/>
      <c r="U115" s="102"/>
      <c r="V115" s="104"/>
      <c r="W115" s="101"/>
      <c r="X115" s="102">
        <v>11702</v>
      </c>
      <c r="Y115" s="102"/>
      <c r="Z115" s="104"/>
      <c r="AA115" s="101"/>
      <c r="AB115" s="102"/>
      <c r="AC115" s="104"/>
      <c r="AD115" s="102"/>
      <c r="AE115" s="104"/>
      <c r="AF115" s="101"/>
      <c r="AG115" s="102"/>
      <c r="AH115" s="102"/>
      <c r="AI115" s="104"/>
      <c r="AJ115" s="104"/>
      <c r="AK115" s="102"/>
      <c r="AL115" s="104"/>
      <c r="AM115" s="101"/>
      <c r="AN115" s="102">
        <v>4942</v>
      </c>
      <c r="AO115" s="102"/>
      <c r="AP115" s="103"/>
    </row>
    <row r="116" spans="1:42" x14ac:dyDescent="0.25">
      <c r="A116" s="40">
        <v>47635</v>
      </c>
      <c r="B116" s="101"/>
      <c r="C116" s="102" t="s">
        <v>45</v>
      </c>
      <c r="D116" s="102"/>
      <c r="E116" s="104"/>
      <c r="F116" s="104"/>
      <c r="G116" s="102"/>
      <c r="H116" s="104"/>
      <c r="I116" s="101"/>
      <c r="J116" s="102"/>
      <c r="K116" s="102"/>
      <c r="L116" s="104"/>
      <c r="M116" s="104"/>
      <c r="N116" s="102"/>
      <c r="O116" s="104"/>
      <c r="P116" s="101"/>
      <c r="Q116" s="102"/>
      <c r="R116" s="102"/>
      <c r="S116" s="104"/>
      <c r="T116" s="104"/>
      <c r="U116" s="102"/>
      <c r="V116" s="104"/>
      <c r="W116" s="101"/>
      <c r="X116" s="102">
        <v>11702</v>
      </c>
      <c r="Y116" s="102"/>
      <c r="Z116" s="104"/>
      <c r="AA116" s="101"/>
      <c r="AB116" s="102"/>
      <c r="AC116" s="104"/>
      <c r="AD116" s="102"/>
      <c r="AE116" s="104"/>
      <c r="AF116" s="101"/>
      <c r="AG116" s="102"/>
      <c r="AH116" s="102"/>
      <c r="AI116" s="104"/>
      <c r="AJ116" s="104"/>
      <c r="AK116" s="102"/>
      <c r="AL116" s="104"/>
      <c r="AM116" s="101"/>
      <c r="AN116" s="102">
        <v>4942</v>
      </c>
      <c r="AO116" s="102"/>
      <c r="AP116" s="103"/>
    </row>
    <row r="117" spans="1:42" x14ac:dyDescent="0.25">
      <c r="A117" s="40">
        <v>47665</v>
      </c>
      <c r="B117" s="101"/>
      <c r="C117" s="102" t="s">
        <v>45</v>
      </c>
      <c r="D117" s="102"/>
      <c r="E117" s="104"/>
      <c r="F117" s="104"/>
      <c r="G117" s="102"/>
      <c r="H117" s="104"/>
      <c r="I117" s="101"/>
      <c r="J117" s="102"/>
      <c r="K117" s="102"/>
      <c r="L117" s="104"/>
      <c r="M117" s="104"/>
      <c r="N117" s="102"/>
      <c r="O117" s="104"/>
      <c r="P117" s="101"/>
      <c r="Q117" s="102"/>
      <c r="R117" s="102"/>
      <c r="S117" s="104"/>
      <c r="T117" s="104"/>
      <c r="U117" s="102"/>
      <c r="V117" s="104"/>
      <c r="W117" s="101"/>
      <c r="X117" s="102">
        <v>11302</v>
      </c>
      <c r="Y117" s="102"/>
      <c r="Z117" s="104"/>
      <c r="AA117" s="101"/>
      <c r="AB117" s="102"/>
      <c r="AC117" s="104"/>
      <c r="AD117" s="102"/>
      <c r="AE117" s="104"/>
      <c r="AF117" s="101"/>
      <c r="AG117" s="102"/>
      <c r="AH117" s="102"/>
      <c r="AI117" s="104"/>
      <c r="AJ117" s="104"/>
      <c r="AK117" s="102"/>
      <c r="AL117" s="104"/>
      <c r="AM117" s="101"/>
      <c r="AN117" s="102">
        <v>4942</v>
      </c>
      <c r="AO117" s="102"/>
      <c r="AP117" s="103"/>
    </row>
    <row r="118" spans="1:42" x14ac:dyDescent="0.25">
      <c r="A118" s="40">
        <v>47696</v>
      </c>
      <c r="B118" s="101"/>
      <c r="C118" s="102" t="s">
        <v>45</v>
      </c>
      <c r="D118" s="102"/>
      <c r="E118" s="104"/>
      <c r="F118" s="104"/>
      <c r="G118" s="102"/>
      <c r="H118" s="104"/>
      <c r="I118" s="101"/>
      <c r="J118" s="102"/>
      <c r="K118" s="102"/>
      <c r="L118" s="104"/>
      <c r="M118" s="104"/>
      <c r="N118" s="102"/>
      <c r="O118" s="104"/>
      <c r="P118" s="101"/>
      <c r="Q118" s="102"/>
      <c r="R118" s="102"/>
      <c r="S118" s="104"/>
      <c r="T118" s="104"/>
      <c r="U118" s="102"/>
      <c r="V118" s="104"/>
      <c r="W118" s="101"/>
      <c r="X118" s="102">
        <v>8899</v>
      </c>
      <c r="Y118" s="102"/>
      <c r="Z118" s="104"/>
      <c r="AA118" s="101"/>
      <c r="AB118" s="102"/>
      <c r="AC118" s="104"/>
      <c r="AD118" s="102"/>
      <c r="AE118" s="104"/>
      <c r="AF118" s="101"/>
      <c r="AG118" s="102"/>
      <c r="AH118" s="102"/>
      <c r="AI118" s="104"/>
      <c r="AJ118" s="104"/>
      <c r="AK118" s="102"/>
      <c r="AL118" s="104"/>
      <c r="AM118" s="101"/>
      <c r="AN118" s="102">
        <v>4942</v>
      </c>
      <c r="AO118" s="102"/>
      <c r="AP118" s="103"/>
    </row>
    <row r="119" spans="1:42" x14ac:dyDescent="0.25">
      <c r="A119" s="40">
        <v>47727</v>
      </c>
      <c r="B119" s="101"/>
      <c r="C119" s="102" t="s">
        <v>45</v>
      </c>
      <c r="D119" s="102"/>
      <c r="E119" s="104"/>
      <c r="F119" s="104"/>
      <c r="G119" s="102"/>
      <c r="H119" s="104"/>
      <c r="I119" s="101"/>
      <c r="J119" s="102"/>
      <c r="K119" s="102"/>
      <c r="L119" s="104"/>
      <c r="M119" s="104"/>
      <c r="N119" s="102"/>
      <c r="O119" s="104"/>
      <c r="P119" s="101"/>
      <c r="Q119" s="102"/>
      <c r="R119" s="102"/>
      <c r="S119" s="104"/>
      <c r="T119" s="104"/>
      <c r="U119" s="102"/>
      <c r="V119" s="104"/>
      <c r="W119" s="101"/>
      <c r="X119" s="102">
        <v>5351</v>
      </c>
      <c r="Y119" s="102"/>
      <c r="Z119" s="104"/>
      <c r="AA119" s="101"/>
      <c r="AB119" s="102"/>
      <c r="AC119" s="104"/>
      <c r="AD119" s="102"/>
      <c r="AE119" s="104"/>
      <c r="AF119" s="101"/>
      <c r="AG119" s="102"/>
      <c r="AH119" s="102"/>
      <c r="AI119" s="104"/>
      <c r="AJ119" s="104"/>
      <c r="AK119" s="102"/>
      <c r="AL119" s="104"/>
      <c r="AM119" s="101"/>
      <c r="AN119" s="102">
        <v>4942</v>
      </c>
      <c r="AO119" s="102"/>
      <c r="AP119" s="103"/>
    </row>
    <row r="120" spans="1:42" x14ac:dyDescent="0.25">
      <c r="A120" s="40">
        <v>47757</v>
      </c>
      <c r="B120" s="101"/>
      <c r="C120" s="102" t="s">
        <v>45</v>
      </c>
      <c r="D120" s="102"/>
      <c r="E120" s="104"/>
      <c r="F120" s="104"/>
      <c r="G120" s="102"/>
      <c r="H120" s="104"/>
      <c r="I120" s="101"/>
      <c r="J120" s="102"/>
      <c r="K120" s="102"/>
      <c r="L120" s="104"/>
      <c r="M120" s="104"/>
      <c r="N120" s="102"/>
      <c r="O120" s="104"/>
      <c r="P120" s="101"/>
      <c r="Q120" s="102"/>
      <c r="R120" s="102"/>
      <c r="S120" s="104"/>
      <c r="T120" s="104"/>
      <c r="U120" s="102"/>
      <c r="V120" s="104"/>
      <c r="W120" s="101"/>
      <c r="X120" s="102">
        <v>760</v>
      </c>
      <c r="Y120" s="102"/>
      <c r="Z120" s="104"/>
      <c r="AA120" s="101"/>
      <c r="AB120" s="102"/>
      <c r="AC120" s="104"/>
      <c r="AD120" s="102"/>
      <c r="AE120" s="104"/>
      <c r="AF120" s="101"/>
      <c r="AG120" s="102"/>
      <c r="AH120" s="102"/>
      <c r="AI120" s="104"/>
      <c r="AJ120" s="104"/>
      <c r="AK120" s="102"/>
      <c r="AL120" s="104"/>
      <c r="AM120" s="101"/>
      <c r="AN120" s="102">
        <v>2522</v>
      </c>
      <c r="AO120" s="102"/>
      <c r="AP120" s="103"/>
    </row>
    <row r="121" spans="1:42" x14ac:dyDescent="0.25">
      <c r="A121" s="40">
        <v>47788</v>
      </c>
      <c r="B121" s="101"/>
      <c r="C121" s="102" t="s">
        <v>45</v>
      </c>
      <c r="D121" s="102"/>
      <c r="E121" s="104"/>
      <c r="F121" s="104"/>
      <c r="G121" s="102"/>
      <c r="H121" s="104"/>
      <c r="I121" s="101"/>
      <c r="J121" s="102"/>
      <c r="K121" s="102"/>
      <c r="L121" s="104"/>
      <c r="M121" s="104"/>
      <c r="N121" s="102"/>
      <c r="O121" s="104"/>
      <c r="P121" s="101"/>
      <c r="Q121" s="102"/>
      <c r="R121" s="102"/>
      <c r="S121" s="104"/>
      <c r="T121" s="104"/>
      <c r="U121" s="102"/>
      <c r="V121" s="104"/>
      <c r="W121" s="101"/>
      <c r="X121" s="102">
        <v>350</v>
      </c>
      <c r="Y121" s="102"/>
      <c r="Z121" s="104"/>
      <c r="AA121" s="101"/>
      <c r="AB121" s="102"/>
      <c r="AC121" s="104"/>
      <c r="AD121" s="102"/>
      <c r="AE121" s="104"/>
      <c r="AF121" s="101"/>
      <c r="AG121" s="102"/>
      <c r="AH121" s="102"/>
      <c r="AI121" s="104"/>
      <c r="AJ121" s="104"/>
      <c r="AK121" s="102"/>
      <c r="AL121" s="104"/>
      <c r="AM121" s="101"/>
      <c r="AN121" s="102">
        <v>637</v>
      </c>
      <c r="AO121" s="102"/>
      <c r="AP121" s="103"/>
    </row>
    <row r="122" spans="1:42" x14ac:dyDescent="0.25">
      <c r="A122" s="40">
        <v>47818</v>
      </c>
      <c r="B122" s="105"/>
      <c r="C122" s="106" t="s">
        <v>45</v>
      </c>
      <c r="D122" s="106"/>
      <c r="E122" s="107"/>
      <c r="F122" s="107"/>
      <c r="G122" s="106"/>
      <c r="H122" s="107"/>
      <c r="I122" s="105"/>
      <c r="J122" s="106"/>
      <c r="K122" s="106"/>
      <c r="L122" s="107"/>
      <c r="M122" s="107"/>
      <c r="N122" s="106"/>
      <c r="O122" s="107"/>
      <c r="P122" s="105"/>
      <c r="Q122" s="106"/>
      <c r="R122" s="106"/>
      <c r="S122" s="107"/>
      <c r="T122" s="107"/>
      <c r="U122" s="106"/>
      <c r="V122" s="107"/>
      <c r="W122" s="105"/>
      <c r="X122" s="106">
        <v>350</v>
      </c>
      <c r="Y122" s="106"/>
      <c r="Z122" s="107"/>
      <c r="AA122" s="105"/>
      <c r="AB122" s="106"/>
      <c r="AC122" s="107"/>
      <c r="AD122" s="106"/>
      <c r="AE122" s="107"/>
      <c r="AF122" s="105"/>
      <c r="AG122" s="106"/>
      <c r="AH122" s="106"/>
      <c r="AI122" s="107"/>
      <c r="AJ122" s="107"/>
      <c r="AK122" s="106"/>
      <c r="AL122" s="107"/>
      <c r="AM122" s="105"/>
      <c r="AN122" s="106">
        <v>637</v>
      </c>
      <c r="AO122" s="106"/>
      <c r="AP122" s="108"/>
    </row>
  </sheetData>
  <conditionalFormatting sqref="A11:AP122">
    <cfRule type="expression" dxfId="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3"/>
  <sheetViews>
    <sheetView showGridLines="0" workbookViewId="0"/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50" t="str">
        <f>_xlfn.CONCAT("Resumo dos empreendimentos ativos em ", TEXT(inputs!$A$1, "dd/mmm/aaaa"))</f>
        <v>Resumo dos empreendimentos ativos em 31/mar/2026</v>
      </c>
      <c r="B1" s="41"/>
    </row>
    <row r="2" spans="1:13" ht="34.5" x14ac:dyDescent="0.25">
      <c r="A2" s="271"/>
      <c r="B2" s="271"/>
      <c r="C2" s="272" t="s">
        <v>31</v>
      </c>
      <c r="D2" s="272" t="s">
        <v>32</v>
      </c>
      <c r="E2" s="272" t="s">
        <v>31</v>
      </c>
      <c r="F2" s="272" t="s">
        <v>33</v>
      </c>
      <c r="G2" s="272" t="s">
        <v>34</v>
      </c>
      <c r="H2" s="272" t="s">
        <v>34</v>
      </c>
      <c r="I2" s="272" t="s">
        <v>34</v>
      </c>
      <c r="J2" s="272" t="s">
        <v>35</v>
      </c>
      <c r="K2" s="272" t="s">
        <v>35</v>
      </c>
      <c r="L2" s="273" t="s">
        <v>36</v>
      </c>
      <c r="M2" s="272" t="s">
        <v>37</v>
      </c>
    </row>
    <row r="3" spans="1:13" ht="45" x14ac:dyDescent="0.25">
      <c r="A3" s="274" t="s">
        <v>38</v>
      </c>
      <c r="B3" s="274" t="s">
        <v>39</v>
      </c>
      <c r="C3" s="275" t="s">
        <v>67</v>
      </c>
      <c r="D3" s="276" t="s">
        <v>68</v>
      </c>
      <c r="E3" s="275" t="s">
        <v>69</v>
      </c>
      <c r="F3" s="276" t="s">
        <v>70</v>
      </c>
      <c r="G3" s="276" t="s">
        <v>66</v>
      </c>
      <c r="H3" s="275" t="s">
        <v>40</v>
      </c>
      <c r="I3" s="276" t="s">
        <v>41</v>
      </c>
      <c r="J3" s="276" t="s">
        <v>71</v>
      </c>
      <c r="K3" s="277" t="s">
        <v>72</v>
      </c>
      <c r="L3" s="278" t="s">
        <v>73</v>
      </c>
      <c r="M3" s="278" t="s">
        <v>42</v>
      </c>
    </row>
    <row r="4" spans="1:13" x14ac:dyDescent="0.25">
      <c r="A4" s="279" t="s">
        <v>12</v>
      </c>
      <c r="B4" s="280" t="s">
        <v>43</v>
      </c>
      <c r="C4" s="265">
        <f ca="1">inputs!D8</f>
        <v>0</v>
      </c>
      <c r="D4" s="266">
        <f ca="1">inputs!D9</f>
        <v>0</v>
      </c>
      <c r="E4" s="266">
        <f ca="1">inputs!E8</f>
        <v>0</v>
      </c>
      <c r="F4" s="266">
        <f>inputs!E9</f>
        <v>0</v>
      </c>
      <c r="G4" s="266">
        <f ca="1">inputs!D4</f>
        <v>0</v>
      </c>
      <c r="H4" s="266">
        <f ca="1">inputs!C8</f>
        <v>0</v>
      </c>
      <c r="I4" s="266">
        <f ca="1">inputs!C9</f>
        <v>0</v>
      </c>
      <c r="J4" s="267">
        <f>inputs!D3</f>
        <v>0</v>
      </c>
      <c r="K4" s="266">
        <f>inputs!D2</f>
        <v>0</v>
      </c>
      <c r="L4" s="266">
        <f ca="1">SUM(C4:I4,K4)</f>
        <v>0</v>
      </c>
      <c r="M4" s="281">
        <v>25897161</v>
      </c>
    </row>
    <row r="5" spans="1:13" collapsed="1" x14ac:dyDescent="0.25">
      <c r="A5" s="282" t="s">
        <v>13</v>
      </c>
      <c r="B5" s="283" t="s">
        <v>43</v>
      </c>
      <c r="C5" s="268">
        <f ca="1">inputs!P8</f>
        <v>0</v>
      </c>
      <c r="D5" s="269">
        <f>inputs!P9</f>
        <v>0</v>
      </c>
      <c r="E5" s="269">
        <f ca="1">inputs!Q8</f>
        <v>0</v>
      </c>
      <c r="F5" s="269">
        <f>inputs!Q9</f>
        <v>0</v>
      </c>
      <c r="G5" s="269">
        <f ca="1">inputs!P4</f>
        <v>0</v>
      </c>
      <c r="H5" s="269">
        <f ca="1">inputs!O8</f>
        <v>0</v>
      </c>
      <c r="I5" s="269">
        <f ca="1">inputs!O9</f>
        <v>0</v>
      </c>
      <c r="J5" s="270">
        <f>inputs!P3</f>
        <v>0</v>
      </c>
      <c r="K5" s="269">
        <f>inputs!P2</f>
        <v>0</v>
      </c>
      <c r="L5" s="269">
        <f t="shared" ref="L5:L12" ca="1" si="0">SUM(C5:I5,K5)</f>
        <v>0</v>
      </c>
      <c r="M5" s="284">
        <v>41582807</v>
      </c>
    </row>
    <row r="6" spans="1:13" x14ac:dyDescent="0.25">
      <c r="A6" s="282" t="s">
        <v>787</v>
      </c>
      <c r="B6" s="283" t="s">
        <v>43</v>
      </c>
      <c r="C6" s="285" t="s">
        <v>44</v>
      </c>
      <c r="D6" s="286" t="s">
        <v>44</v>
      </c>
      <c r="E6" s="286" t="s">
        <v>44</v>
      </c>
      <c r="F6" s="286" t="s">
        <v>44</v>
      </c>
      <c r="G6" s="286">
        <f ca="1">inputs!AB10</f>
        <v>0</v>
      </c>
      <c r="H6" s="269">
        <f ca="1">inputs!AA8</f>
        <v>0</v>
      </c>
      <c r="I6" s="269">
        <f ca="1">inputs!AA9</f>
        <v>0</v>
      </c>
      <c r="J6" s="270">
        <f>inputs!AB3</f>
        <v>0</v>
      </c>
      <c r="K6" s="269">
        <f>inputs!AB2</f>
        <v>0</v>
      </c>
      <c r="L6" s="269">
        <f t="shared" ref="L6" ca="1" si="1">SUM(C6:I6,K6)</f>
        <v>0</v>
      </c>
      <c r="M6" s="284"/>
    </row>
    <row r="7" spans="1:13" x14ac:dyDescent="0.25">
      <c r="A7" s="282" t="s">
        <v>14</v>
      </c>
      <c r="B7" s="283" t="s">
        <v>43</v>
      </c>
      <c r="C7" s="268">
        <f ca="1">inputs!AL8</f>
        <v>0</v>
      </c>
      <c r="D7" s="269">
        <f ca="1">inputs!AL9</f>
        <v>0</v>
      </c>
      <c r="E7" s="269">
        <f ca="1">inputs!AM8</f>
        <v>0</v>
      </c>
      <c r="F7" s="269">
        <f>inputs!AM9</f>
        <v>0</v>
      </c>
      <c r="G7" s="269">
        <f ca="1">inputs!AL4</f>
        <v>0</v>
      </c>
      <c r="H7" s="269">
        <f ca="1">inputs!AK8</f>
        <v>0</v>
      </c>
      <c r="I7" s="269">
        <f ca="1">inputs!AK9</f>
        <v>0</v>
      </c>
      <c r="J7" s="270">
        <f>inputs!AL3</f>
        <v>0</v>
      </c>
      <c r="K7" s="269">
        <f>inputs!AL2</f>
        <v>0</v>
      </c>
      <c r="L7" s="269">
        <f t="shared" ca="1" si="0"/>
        <v>0</v>
      </c>
      <c r="M7" s="284">
        <v>47237835</v>
      </c>
    </row>
    <row r="8" spans="1:13" collapsed="1" x14ac:dyDescent="0.25">
      <c r="A8" s="282" t="s">
        <v>15</v>
      </c>
      <c r="B8" s="283" t="s">
        <v>43</v>
      </c>
      <c r="C8" s="268">
        <f ca="1">inputs!AX8</f>
        <v>0</v>
      </c>
      <c r="D8" s="269">
        <f ca="1">inputs!AX9</f>
        <v>0</v>
      </c>
      <c r="E8" s="269">
        <f ca="1">inputs!AY8</f>
        <v>0</v>
      </c>
      <c r="F8" s="269">
        <f>inputs!AY9</f>
        <v>0</v>
      </c>
      <c r="G8" s="269">
        <f ca="1">inputs!AX4</f>
        <v>0</v>
      </c>
      <c r="H8" s="269">
        <f ca="1">inputs!AW8</f>
        <v>0</v>
      </c>
      <c r="I8" s="269">
        <f ca="1">inputs!AW9</f>
        <v>0</v>
      </c>
      <c r="J8" s="270">
        <f>inputs!AX3</f>
        <v>0</v>
      </c>
      <c r="K8" s="269">
        <f>inputs!AX2</f>
        <v>0</v>
      </c>
      <c r="L8" s="269">
        <f t="shared" ca="1" si="0"/>
        <v>0</v>
      </c>
      <c r="M8" s="284">
        <v>64482292</v>
      </c>
    </row>
    <row r="9" spans="1:13" x14ac:dyDescent="0.25">
      <c r="A9" s="282" t="s">
        <v>16</v>
      </c>
      <c r="B9" s="283" t="s">
        <v>43</v>
      </c>
      <c r="C9" s="285" t="s">
        <v>44</v>
      </c>
      <c r="D9" s="286" t="s">
        <v>44</v>
      </c>
      <c r="E9" s="286" t="s">
        <v>44</v>
      </c>
      <c r="F9" s="286" t="s">
        <v>44</v>
      </c>
      <c r="G9" s="286">
        <f ca="1">inputs!BJ10</f>
        <v>0</v>
      </c>
      <c r="H9" s="269">
        <f ca="1">inputs!BI8</f>
        <v>0</v>
      </c>
      <c r="I9" s="269">
        <f ca="1">inputs!BI9</f>
        <v>0</v>
      </c>
      <c r="J9" s="270">
        <f>inputs!BJ3</f>
        <v>0</v>
      </c>
      <c r="K9" s="269">
        <f>inputs!BJ2</f>
        <v>0</v>
      </c>
      <c r="L9" s="269">
        <f t="shared" ca="1" si="0"/>
        <v>0</v>
      </c>
      <c r="M9" s="284">
        <v>25916905</v>
      </c>
    </row>
    <row r="10" spans="1:13" x14ac:dyDescent="0.25">
      <c r="A10" s="282" t="s">
        <v>473</v>
      </c>
      <c r="B10" s="283" t="s">
        <v>43</v>
      </c>
      <c r="C10" s="285" t="s">
        <v>44</v>
      </c>
      <c r="D10" s="286" t="s">
        <v>44</v>
      </c>
      <c r="E10" s="286" t="s">
        <v>44</v>
      </c>
      <c r="F10" s="286" t="s">
        <v>44</v>
      </c>
      <c r="G10" s="286">
        <f ca="1">inputs!BT10</f>
        <v>0</v>
      </c>
      <c r="H10" s="269">
        <f ca="1">inputs!BS8</f>
        <v>0</v>
      </c>
      <c r="I10" s="269">
        <f ca="1">inputs!BS9</f>
        <v>0</v>
      </c>
      <c r="J10" s="270">
        <f>inputs!BT3</f>
        <v>0</v>
      </c>
      <c r="K10" s="269">
        <f>inputs!BT2</f>
        <v>0</v>
      </c>
      <c r="L10" s="269">
        <f t="shared" ref="L10" ca="1" si="2">SUM(C10:I10,K10)</f>
        <v>0</v>
      </c>
      <c r="M10" s="284"/>
    </row>
    <row r="11" spans="1:13" collapsed="1" x14ac:dyDescent="0.25">
      <c r="A11" s="282" t="s">
        <v>17</v>
      </c>
      <c r="B11" s="283" t="s">
        <v>43</v>
      </c>
      <c r="C11" s="268">
        <f ca="1">inputs!CD8</f>
        <v>0</v>
      </c>
      <c r="D11" s="269">
        <f ca="1">inputs!CD9</f>
        <v>0</v>
      </c>
      <c r="E11" s="269">
        <f ca="1">inputs!CE8</f>
        <v>0</v>
      </c>
      <c r="F11" s="269">
        <f>inputs!CE9</f>
        <v>0</v>
      </c>
      <c r="G11" s="269">
        <f ca="1">inputs!CD4</f>
        <v>0</v>
      </c>
      <c r="H11" s="269">
        <f ca="1">inputs!CC8</f>
        <v>0</v>
      </c>
      <c r="I11" s="269">
        <f ca="1">inputs!CC9</f>
        <v>0</v>
      </c>
      <c r="J11" s="270">
        <f>inputs!CD3</f>
        <v>0</v>
      </c>
      <c r="K11" s="269">
        <f>inputs!CD2</f>
        <v>0</v>
      </c>
      <c r="L11" s="269">
        <f t="shared" ca="1" si="0"/>
        <v>0</v>
      </c>
      <c r="M11" s="284">
        <v>60385343</v>
      </c>
    </row>
    <row r="12" spans="1:13" x14ac:dyDescent="0.25">
      <c r="A12" s="293" t="s">
        <v>18</v>
      </c>
      <c r="B12" s="294" t="s">
        <v>43</v>
      </c>
      <c r="C12" s="295">
        <v>0</v>
      </c>
      <c r="D12" s="296" t="s">
        <v>44</v>
      </c>
      <c r="E12" s="296">
        <v>0</v>
      </c>
      <c r="F12" s="296" t="s">
        <v>44</v>
      </c>
      <c r="G12" s="297">
        <f ca="1">inputs!CP4</f>
        <v>0</v>
      </c>
      <c r="H12" s="297">
        <f ca="1">inputs!CO8</f>
        <v>0</v>
      </c>
      <c r="I12" s="297">
        <f ca="1">inputs!CO9</f>
        <v>0</v>
      </c>
      <c r="J12" s="298">
        <f>inputs!CP3</f>
        <v>0</v>
      </c>
      <c r="K12" s="297">
        <f>inputs!CP2</f>
        <v>0</v>
      </c>
      <c r="L12" s="297">
        <f t="shared" ca="1" si="0"/>
        <v>0</v>
      </c>
      <c r="M12" s="299">
        <v>106533245</v>
      </c>
    </row>
    <row r="13" spans="1:13" x14ac:dyDescent="0.25">
      <c r="L13" s="300">
        <f ca="1">SUM(L4:L12)</f>
        <v>0</v>
      </c>
      <c r="M13" s="300">
        <f>SUM(M4:M12)</f>
        <v>372035588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Z40"/>
  <sheetViews>
    <sheetView showGridLines="0" workbookViewId="0"/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7" width="5.7109375" style="6" customWidth="1"/>
    <col min="18" max="18" width="9.140625" style="6"/>
    <col min="19" max="25" width="12.7109375" style="6" customWidth="1"/>
    <col min="26" max="16384" width="9.140625" style="6"/>
  </cols>
  <sheetData>
    <row r="1" spans="1:26" ht="26.25" x14ac:dyDescent="0.4">
      <c r="A1" s="50" t="s">
        <v>192</v>
      </c>
      <c r="R1" s="50" t="s">
        <v>35</v>
      </c>
    </row>
    <row r="2" spans="1:26" s="87" customFormat="1" ht="15" customHeight="1" thickBot="1" x14ac:dyDescent="0.3">
      <c r="A2" s="86"/>
      <c r="C2" s="88" t="s">
        <v>53</v>
      </c>
      <c r="D2" s="89"/>
      <c r="E2" s="89"/>
      <c r="F2" s="89"/>
      <c r="I2" s="90" t="s">
        <v>54</v>
      </c>
      <c r="J2" s="91"/>
      <c r="K2" s="91"/>
      <c r="L2" s="91"/>
      <c r="M2" s="92"/>
      <c r="N2" s="92"/>
      <c r="O2" s="92"/>
    </row>
    <row r="3" spans="1:26" ht="30.75" thickTop="1" x14ac:dyDescent="0.25">
      <c r="A3" s="65" t="s">
        <v>38</v>
      </c>
      <c r="B3" s="66" t="s">
        <v>39</v>
      </c>
      <c r="C3" s="82" t="s">
        <v>296</v>
      </c>
      <c r="D3" s="83" t="s">
        <v>297</v>
      </c>
      <c r="E3" s="84" t="s">
        <v>50</v>
      </c>
      <c r="F3" s="85" t="s">
        <v>55</v>
      </c>
      <c r="G3" s="68" t="s">
        <v>56</v>
      </c>
      <c r="H3" s="69" t="s">
        <v>57</v>
      </c>
      <c r="I3" s="70" t="s">
        <v>58</v>
      </c>
      <c r="J3" s="67" t="s">
        <v>59</v>
      </c>
      <c r="K3" s="67" t="s">
        <v>60</v>
      </c>
      <c r="L3" s="71" t="s">
        <v>61</v>
      </c>
      <c r="M3" s="71" t="s">
        <v>62</v>
      </c>
      <c r="N3" s="71" t="s">
        <v>63</v>
      </c>
      <c r="O3" s="72" t="s">
        <v>64</v>
      </c>
      <c r="R3" s="44" t="s">
        <v>38</v>
      </c>
      <c r="S3" s="97" t="s">
        <v>46</v>
      </c>
      <c r="T3" s="47" t="s">
        <v>47</v>
      </c>
      <c r="U3" s="47" t="s">
        <v>49</v>
      </c>
      <c r="V3" s="98" t="s">
        <v>48</v>
      </c>
      <c r="W3" s="98" t="s">
        <v>51</v>
      </c>
      <c r="X3" s="98" t="s">
        <v>50</v>
      </c>
      <c r="Y3" s="48" t="s">
        <v>52</v>
      </c>
      <c r="Z3" s="46" t="s">
        <v>30</v>
      </c>
    </row>
    <row r="4" spans="1:26" x14ac:dyDescent="0.25">
      <c r="A4" s="22" t="s">
        <v>12</v>
      </c>
      <c r="B4" s="23" t="s">
        <v>35</v>
      </c>
      <c r="C4" s="23">
        <f>S4</f>
        <v>0</v>
      </c>
      <c r="D4" s="23">
        <f>T4+U4</f>
        <v>0</v>
      </c>
      <c r="E4" s="23">
        <f>V4+X4+W4</f>
        <v>0</v>
      </c>
      <c r="F4" s="54">
        <f>Y4</f>
        <v>0</v>
      </c>
      <c r="G4" s="74">
        <f>SUM(C4:F4)</f>
        <v>0</v>
      </c>
      <c r="H4" s="75">
        <f>G4-C4</f>
        <v>0</v>
      </c>
      <c r="I4" s="73">
        <f>COUNTIFS(
    unis[empresa], $A4,
    unis[especie],I$3
)</f>
        <v>0</v>
      </c>
      <c r="J4" s="23">
        <f>COUNTIFS(
    unis[empresa], $A4,
    unis[especie],J$3
)</f>
        <v>0</v>
      </c>
      <c r="K4" s="23">
        <f>COUNTIFS(
    unis[empresa], $A4,
    unis[especie],K$3
)</f>
        <v>0</v>
      </c>
      <c r="L4" s="43">
        <f>COUNTIFS(
    estq[empresa], $A4,
    estq[especie], "Garagem",
    estq[Planta], "Vagas Autônomas"
)</f>
        <v>0</v>
      </c>
      <c r="M4" s="23"/>
      <c r="N4" s="23"/>
      <c r="O4" s="25"/>
      <c r="Q4" s="6">
        <v>1</v>
      </c>
      <c r="R4" s="44" t="s">
        <v>12</v>
      </c>
      <c r="S4" s="42">
        <f>COUNTIFS(
    estq[empresa], $R4,
    estq[Status],S$3)</f>
        <v>0</v>
      </c>
      <c r="T4" s="42">
        <f>COUNTIFS(
    estq[empresa], $R4,
    estq[Status],T$3)</f>
        <v>0</v>
      </c>
      <c r="U4" s="42">
        <f>COUNTIFS(
    estq[empresa], $R4,
    estq[Status],U$3)</f>
        <v>0</v>
      </c>
      <c r="V4" s="42">
        <f>COUNTIFS(
    estq[empresa], $R4,
    estq[Status],V$3)</f>
        <v>0</v>
      </c>
      <c r="W4" s="42">
        <f>COUNTIFS(
    estq[empresa], $R4,
    estq[Status],W$3)</f>
        <v>0</v>
      </c>
      <c r="X4" s="42">
        <f>COUNTIFS(
    estq[empresa], $R4,
    estq[Status],X$3)</f>
        <v>0</v>
      </c>
      <c r="Y4" s="42">
        <f>COUNTIFS(
    estq[empresa], $R4,
    estq[Status],Y$3)</f>
        <v>0</v>
      </c>
      <c r="Z4" s="45">
        <f t="shared" ref="Z4:Z5" si="0">SUM(S4:Y4)</f>
        <v>0</v>
      </c>
    </row>
    <row r="5" spans="1:26" x14ac:dyDescent="0.25">
      <c r="A5" s="56" t="s">
        <v>12</v>
      </c>
      <c r="B5" s="57" t="s">
        <v>34</v>
      </c>
      <c r="C5" s="57">
        <f>COUNTIFS(
    unis[empresa], $A7,
    unis[situacao], C$3
)</f>
        <v>0</v>
      </c>
      <c r="D5" s="57">
        <f>COUNTIFS(
    unis[empresa], $A7,
    unis[situacao], D$3
)</f>
        <v>0</v>
      </c>
      <c r="E5" s="57">
        <f>COUNTIFS(
    unis[empresa], $A5,
    unis[situacao], E$3
)
+COUNTIFS(
    unis[empresa], $A5,
    unis[situacao], F$3,
    unis[data], "&gt;" &amp;#REF!
)</f>
        <v>0</v>
      </c>
      <c r="F5" s="55">
        <f>COUNTIFS(
    unis[empresa], $A5,
    unis[situacao], F$3,
    unis[data], "&lt;=" &amp;#REF!
)</f>
        <v>0</v>
      </c>
      <c r="G5" s="76">
        <f t="shared" ref="G5:G11" si="1">SUM(C5:F5)</f>
        <v>0</v>
      </c>
      <c r="H5" s="77">
        <f t="shared" ref="H5:H11" si="2">G5-C5</f>
        <v>0</v>
      </c>
      <c r="I5" s="63">
        <f>COUNTIFS(
    unis[empresa], $A5,
    unis[especie],I$3
)</f>
        <v>0</v>
      </c>
      <c r="J5" s="57">
        <f>COUNTIFS(
    estq[empresa], $A5,
    estq[especie],J$3
)</f>
        <v>0</v>
      </c>
      <c r="K5" s="57">
        <f>COUNTIFS(
    estq[empresa], $A5,
    estq[especie],K$3
)
+COUNTIFS(
    unis[empresa], $A5,
    unis[especie],"Moto"
)</f>
        <v>0</v>
      </c>
      <c r="L5" s="99">
        <f>COUNTIFS(
    unis[empresa], $A4,
    unis[especie], "Garagem",
    unis[obs.situacao], "*venda*"
)</f>
        <v>0</v>
      </c>
      <c r="M5" s="57"/>
      <c r="N5" s="99">
        <f>COUNTIFS(
    unis[empresa], $A5,
    unis[especie], "Moto",
    unis[obs.situacao], "*venda*"
)</f>
        <v>0</v>
      </c>
      <c r="O5" s="100">
        <f>COUNTIFS(
    unis[empresa], $A5,
    unis[especie], "Moto"
)-N$5</f>
        <v>0</v>
      </c>
      <c r="Q5" s="6">
        <v>2</v>
      </c>
      <c r="R5" s="44" t="s">
        <v>13</v>
      </c>
      <c r="S5" s="42">
        <f>COUNTIFS(
    estq[empresa], $R5,
    estq[Status],S$3)</f>
        <v>0</v>
      </c>
      <c r="T5" s="42">
        <f>COUNTIFS(
    estq[empresa], $R5,
    estq[Status],T$3)</f>
        <v>0</v>
      </c>
      <c r="U5" s="42">
        <f>COUNTIFS(
    estq[empresa], $R5,
    estq[Status],U$3)</f>
        <v>0</v>
      </c>
      <c r="V5" s="42">
        <f>COUNTIFS(
    estq[empresa], $R5,
    estq[Status],V$3)</f>
        <v>0</v>
      </c>
      <c r="W5" s="42">
        <f>COUNTIFS(
    estq[empresa], $R5,
    estq[Status],W$3)</f>
        <v>0</v>
      </c>
      <c r="X5" s="42">
        <f>COUNTIFS(
    estq[empresa], $R5,
    estq[Status],X$3)</f>
        <v>0</v>
      </c>
      <c r="Y5" s="42">
        <f>COUNTIFS(
    estq[empresa], $R5,
    estq[Status],Y$3)</f>
        <v>0</v>
      </c>
      <c r="Z5" s="45">
        <f t="shared" si="0"/>
        <v>0</v>
      </c>
    </row>
    <row r="6" spans="1:26" x14ac:dyDescent="0.25">
      <c r="A6" s="56" t="s">
        <v>12</v>
      </c>
      <c r="B6" s="57" t="s">
        <v>37</v>
      </c>
      <c r="C6" s="93">
        <v>10</v>
      </c>
      <c r="D6" s="93">
        <v>6</v>
      </c>
      <c r="E6" s="93">
        <v>6</v>
      </c>
      <c r="F6" s="94">
        <v>84</v>
      </c>
      <c r="G6" s="76">
        <f t="shared" si="1"/>
        <v>106</v>
      </c>
      <c r="H6" s="77">
        <f t="shared" si="2"/>
        <v>96</v>
      </c>
      <c r="I6" s="95"/>
      <c r="J6" s="93"/>
      <c r="K6" s="93"/>
      <c r="L6" s="93"/>
      <c r="M6" s="93"/>
      <c r="N6" s="93"/>
      <c r="O6" s="96"/>
      <c r="Q6" s="6">
        <v>3</v>
      </c>
      <c r="R6" s="44" t="s">
        <v>787</v>
      </c>
      <c r="S6" s="42">
        <f>COUNTIFS(
    estq[empresa], $R6,
    estq[Status],S$3)</f>
        <v>0</v>
      </c>
      <c r="T6" s="42">
        <f>COUNTIFS(
    estq[empresa], $R6,
    estq[Status],T$3)</f>
        <v>0</v>
      </c>
      <c r="U6" s="42">
        <f>COUNTIFS(
    estq[empresa], $R6,
    estq[Status],U$3)</f>
        <v>0</v>
      </c>
      <c r="V6" s="42">
        <f>COUNTIFS(
    estq[empresa], $R6,
    estq[Status],V$3)</f>
        <v>0</v>
      </c>
      <c r="W6" s="42">
        <f>COUNTIFS(
    estq[empresa], $R6,
    estq[Status],W$3)</f>
        <v>0</v>
      </c>
      <c r="X6" s="42">
        <f>COUNTIFS(
    estq[empresa], $R6,
    estq[Status],X$3)</f>
        <v>0</v>
      </c>
      <c r="Y6" s="42">
        <f>COUNTIFS(
    estq[empresa], $R6,
    estq[Status],Y$3)</f>
        <v>0</v>
      </c>
      <c r="Z6" s="45">
        <f t="shared" ref="Z6" si="3">SUM(S6:Y6)</f>
        <v>0</v>
      </c>
    </row>
    <row r="7" spans="1:26" x14ac:dyDescent="0.25">
      <c r="A7" s="58" t="s">
        <v>12</v>
      </c>
      <c r="B7" s="59" t="s">
        <v>65</v>
      </c>
      <c r="C7" s="60"/>
      <c r="D7" s="60"/>
      <c r="E7" s="60"/>
      <c r="F7" s="62"/>
      <c r="G7" s="78">
        <f t="shared" si="1"/>
        <v>0</v>
      </c>
      <c r="H7" s="79">
        <f t="shared" si="2"/>
        <v>0</v>
      </c>
      <c r="I7" s="64"/>
      <c r="J7" s="60"/>
      <c r="K7" s="60"/>
      <c r="L7" s="60"/>
      <c r="M7" s="60"/>
      <c r="N7" s="60"/>
      <c r="O7" s="61"/>
      <c r="Q7" s="6">
        <v>4</v>
      </c>
      <c r="R7" s="44" t="s">
        <v>14</v>
      </c>
      <c r="S7" s="42">
        <f>COUNTIFS(
    estq[empresa], $R7,
    estq[Status],S$3)</f>
        <v>0</v>
      </c>
      <c r="T7" s="42">
        <f>COUNTIFS(
    estq[empresa], $R7,
    estq[Status],T$3)</f>
        <v>0</v>
      </c>
      <c r="U7" s="42">
        <f>COUNTIFS(
    estq[empresa], $R7,
    estq[Status],U$3)</f>
        <v>0</v>
      </c>
      <c r="V7" s="42">
        <f>COUNTIFS(
    estq[empresa], $R7,
    estq[Status],V$3)</f>
        <v>0</v>
      </c>
      <c r="W7" s="42">
        <f>COUNTIFS(
    estq[empresa], $R7,
    estq[Status],W$3)</f>
        <v>0</v>
      </c>
      <c r="X7" s="42">
        <f>COUNTIFS(
    estq[empresa], $R7,
    estq[Status],X$3)</f>
        <v>0</v>
      </c>
      <c r="Y7" s="42">
        <f>COUNTIFS(
    estq[empresa], $R7,
    estq[Status],Y$3)</f>
        <v>0</v>
      </c>
      <c r="Z7" s="45">
        <f>SUM(S7:Y7)</f>
        <v>0</v>
      </c>
    </row>
    <row r="8" spans="1:26" x14ac:dyDescent="0.25">
      <c r="A8" s="22" t="s">
        <v>13</v>
      </c>
      <c r="B8" s="23" t="s">
        <v>35</v>
      </c>
      <c r="C8" s="23">
        <f>S5</f>
        <v>0</v>
      </c>
      <c r="D8" s="23">
        <f>T5+U5</f>
        <v>0</v>
      </c>
      <c r="E8" s="23">
        <f>V5+X5+W5</f>
        <v>0</v>
      </c>
      <c r="F8" s="54">
        <f>Y5</f>
        <v>0</v>
      </c>
      <c r="G8" s="74">
        <f t="shared" si="1"/>
        <v>0</v>
      </c>
      <c r="H8" s="75">
        <f t="shared" si="2"/>
        <v>0</v>
      </c>
      <c r="I8" s="73">
        <f>COUNTIFS(
    unis[empresa], $A8,
    unis[especie],I$3
)</f>
        <v>0</v>
      </c>
      <c r="J8" s="23">
        <f>COUNTIFS(
    unis[empresa], $A8,
    unis[especie],J$3
)</f>
        <v>0</v>
      </c>
      <c r="K8" s="23">
        <f>COUNTIFS(
    unis[empresa], $A8,
    unis[especie],K$3
)</f>
        <v>0</v>
      </c>
      <c r="L8" s="23"/>
      <c r="M8" s="23"/>
      <c r="N8" s="23"/>
      <c r="O8" s="25"/>
      <c r="Q8" s="6">
        <v>5</v>
      </c>
      <c r="R8" s="44" t="s">
        <v>15</v>
      </c>
      <c r="S8" s="42">
        <f>COUNTIFS(
    estq[empresa], $R8,
    estq[Status],S$3)</f>
        <v>0</v>
      </c>
      <c r="T8" s="42">
        <f>COUNTIFS(
    estq[empresa], $R8,
    estq[Status],T$3)</f>
        <v>0</v>
      </c>
      <c r="U8" s="42">
        <f>COUNTIFS(
    estq[empresa], $R8,
    estq[Status],U$3)</f>
        <v>0</v>
      </c>
      <c r="V8" s="42">
        <f>COUNTIFS(
    estq[empresa], $R8,
    estq[Status],V$3)</f>
        <v>0</v>
      </c>
      <c r="W8" s="42">
        <f>COUNTIFS(
    estq[empresa], $R8,
    estq[Status],W$3)</f>
        <v>0</v>
      </c>
      <c r="X8" s="42">
        <f>COUNTIFS(
    estq[empresa], $R8,
    estq[Status],X$3)</f>
        <v>0</v>
      </c>
      <c r="Y8" s="42">
        <f>COUNTIFS(
    estq[empresa], $R8,
    estq[Status],Y$3)</f>
        <v>0</v>
      </c>
      <c r="Z8" s="45">
        <f>SUM(S8:Y8)</f>
        <v>0</v>
      </c>
    </row>
    <row r="9" spans="1:26" x14ac:dyDescent="0.25">
      <c r="A9" s="56" t="s">
        <v>13</v>
      </c>
      <c r="B9" s="57" t="s">
        <v>34</v>
      </c>
      <c r="C9" s="57">
        <f>COUNTIFS(
    unis[empresa], $A11,
    unis[situacao], C$3
)</f>
        <v>0</v>
      </c>
      <c r="D9" s="57">
        <f>COUNTIFS(
    unis[empresa], $A11,
    unis[situacao], D$3
)</f>
        <v>0</v>
      </c>
      <c r="E9" s="57">
        <f>COUNTIFS(
    unis[empresa], $A9,
    unis[situacao], E$3
)
+COUNTIFS(
    unis[empresa], $A9,
    unis[situacao], F$3,
    unis[data], "&gt;" &amp;#REF!
)</f>
        <v>0</v>
      </c>
      <c r="F9" s="55">
        <f>COUNTIFS(
    unis[empresa], $A9,
    unis[situacao], F$3,
    unis[data], "&lt;=" &amp;#REF!
)</f>
        <v>0</v>
      </c>
      <c r="G9" s="76">
        <f t="shared" si="1"/>
        <v>0</v>
      </c>
      <c r="H9" s="77">
        <f t="shared" si="2"/>
        <v>0</v>
      </c>
      <c r="I9" s="63">
        <f>COUNTIFS(
    unis[empresa], $A9,
    unis[especie],I$3
)</f>
        <v>0</v>
      </c>
      <c r="J9" s="57">
        <f>COUNTIFS(
    estq[empresa], $A9,
    estq[especie],J$3
)</f>
        <v>0</v>
      </c>
      <c r="K9" s="57">
        <f>COUNTIFS(
    estq[empresa], $A9,
    estq[especie],K$3
)
+COUNTIFS(
    unis[empresa], $A9,
    unis[especie],"Moto"
)</f>
        <v>0</v>
      </c>
      <c r="L9" s="57"/>
      <c r="M9" s="57"/>
      <c r="N9" s="57"/>
      <c r="O9" s="53"/>
      <c r="Q9" s="6">
        <v>6</v>
      </c>
      <c r="R9" s="44" t="s">
        <v>16</v>
      </c>
      <c r="S9" s="42">
        <f>COUNTIFS(
    estq[empresa], $R9,
    estq[Status],S$3)</f>
        <v>0</v>
      </c>
      <c r="T9" s="42">
        <f>COUNTIFS(
    estq[empresa], $R9,
    estq[Status],T$3)</f>
        <v>0</v>
      </c>
      <c r="U9" s="42">
        <f>COUNTIFS(
    estq[empresa], $R9,
    estq[Status],U$3)</f>
        <v>0</v>
      </c>
      <c r="V9" s="42">
        <f>COUNTIFS(
    estq[empresa], $R9,
    estq[Status],V$3)</f>
        <v>0</v>
      </c>
      <c r="W9" s="42">
        <f>COUNTIFS(
    estq[empresa], $R9,
    estq[Status],W$3)</f>
        <v>0</v>
      </c>
      <c r="X9" s="42">
        <f>COUNTIFS(
    estq[empresa], $R9,
    estq[Status],X$3)</f>
        <v>0</v>
      </c>
      <c r="Y9" s="42">
        <f>COUNTIFS(
    estq[empresa], $R9,
    estq[Status],Y$3)</f>
        <v>0</v>
      </c>
      <c r="Z9" s="45">
        <f>SUM(S9:Y9)</f>
        <v>0</v>
      </c>
    </row>
    <row r="10" spans="1:26" x14ac:dyDescent="0.25">
      <c r="A10" s="56" t="s">
        <v>13</v>
      </c>
      <c r="B10" s="57" t="s">
        <v>37</v>
      </c>
      <c r="C10" s="93">
        <v>23</v>
      </c>
      <c r="D10" s="93">
        <v>5</v>
      </c>
      <c r="E10" s="93">
        <v>1</v>
      </c>
      <c r="F10" s="94">
        <v>151</v>
      </c>
      <c r="G10" s="76">
        <f t="shared" si="1"/>
        <v>180</v>
      </c>
      <c r="H10" s="77">
        <f t="shared" si="2"/>
        <v>157</v>
      </c>
      <c r="I10" s="95"/>
      <c r="J10" s="93"/>
      <c r="K10" s="93"/>
      <c r="L10" s="93"/>
      <c r="M10" s="93"/>
      <c r="N10" s="93"/>
      <c r="O10" s="96"/>
      <c r="Q10" s="6">
        <v>7</v>
      </c>
      <c r="R10" s="44" t="s">
        <v>473</v>
      </c>
      <c r="S10" s="42">
        <f>COUNTIFS(
    estq[empresa], $R10,
    estq[Status],S$3)</f>
        <v>0</v>
      </c>
      <c r="T10" s="42">
        <f>COUNTIFS(
    estq[empresa], $R10,
    estq[Status],T$3)</f>
        <v>0</v>
      </c>
      <c r="U10" s="42">
        <f>COUNTIFS(
    estq[empresa], $R10,
    estq[Status],U$3)</f>
        <v>0</v>
      </c>
      <c r="V10" s="42">
        <f>COUNTIFS(
    estq[empresa], $R10,
    estq[Status],V$3)</f>
        <v>0</v>
      </c>
      <c r="W10" s="42">
        <f>COUNTIFS(
    estq[empresa], $R10,
    estq[Status],W$3)</f>
        <v>0</v>
      </c>
      <c r="X10" s="42">
        <f>COUNTIFS(
    estq[empresa], $R10,
    estq[Status],X$3)</f>
        <v>0</v>
      </c>
      <c r="Y10" s="42">
        <f>COUNTIFS(
    estq[empresa], $R10,
    estq[Status],Y$3)</f>
        <v>0</v>
      </c>
      <c r="Z10" s="45">
        <f t="shared" ref="Z10" si="4">SUM(S10:Y10)</f>
        <v>0</v>
      </c>
    </row>
    <row r="11" spans="1:26" x14ac:dyDescent="0.25">
      <c r="A11" s="58" t="s">
        <v>13</v>
      </c>
      <c r="B11" s="59" t="s">
        <v>65</v>
      </c>
      <c r="C11" s="60"/>
      <c r="D11" s="60"/>
      <c r="E11" s="60"/>
      <c r="F11" s="62"/>
      <c r="G11" s="78">
        <f t="shared" si="1"/>
        <v>0</v>
      </c>
      <c r="H11" s="79">
        <f t="shared" si="2"/>
        <v>0</v>
      </c>
      <c r="I11" s="64"/>
      <c r="J11" s="60"/>
      <c r="K11" s="60"/>
      <c r="L11" s="60"/>
      <c r="M11" s="60"/>
      <c r="N11" s="60"/>
      <c r="O11" s="61"/>
      <c r="Q11" s="6">
        <v>8</v>
      </c>
      <c r="R11" s="44" t="s">
        <v>17</v>
      </c>
      <c r="S11" s="42">
        <f>COUNTIFS(
    estq[empresa], $R11,
    estq[Status],S$3)</f>
        <v>0</v>
      </c>
      <c r="T11" s="42">
        <f>COUNTIFS(
    estq[empresa], $R11,
    estq[Status],T$3)</f>
        <v>0</v>
      </c>
      <c r="U11" s="42">
        <f>COUNTIFS(
    estq[empresa], $R11,
    estq[Status],U$3)</f>
        <v>0</v>
      </c>
      <c r="V11" s="42">
        <f>COUNTIFS(
    estq[empresa], $R11,
    estq[Status],V$3)</f>
        <v>0</v>
      </c>
      <c r="W11" s="42">
        <f>COUNTIFS(
    estq[empresa], $R11,
    estq[Status],W$3)</f>
        <v>0</v>
      </c>
      <c r="X11" s="42">
        <f>COUNTIFS(
    estq[empresa], $R11,
    estq[Status],X$3)</f>
        <v>0</v>
      </c>
      <c r="Y11" s="42">
        <f>COUNTIFS(
    estq[empresa], $R11,
    estq[Status],Y$3)</f>
        <v>0</v>
      </c>
      <c r="Z11" s="45">
        <f>SUM(S11:Y11)</f>
        <v>0</v>
      </c>
    </row>
    <row r="12" spans="1:26" x14ac:dyDescent="0.25">
      <c r="A12" s="22" t="s">
        <v>787</v>
      </c>
      <c r="B12" s="23" t="s">
        <v>35</v>
      </c>
      <c r="C12" s="23">
        <f>S6</f>
        <v>0</v>
      </c>
      <c r="D12" s="23">
        <f>T6+U6</f>
        <v>0</v>
      </c>
      <c r="E12" s="23">
        <f>V6+X6+W6</f>
        <v>0</v>
      </c>
      <c r="F12" s="54">
        <f>Y6</f>
        <v>0</v>
      </c>
      <c r="G12" s="74">
        <f>SUM(C12:F12)</f>
        <v>0</v>
      </c>
      <c r="H12" s="75">
        <f>G12-C12</f>
        <v>0</v>
      </c>
      <c r="I12" s="73">
        <f>COUNTIFS(
    unis[empresa], $A12,
    unis[especie],I$3
)</f>
        <v>0</v>
      </c>
      <c r="J12" s="23">
        <f>COUNTIFS(
    unis[empresa], $A12,
    unis[especie],J$3
)</f>
        <v>0</v>
      </c>
      <c r="K12" s="23">
        <f>COUNTIFS(
    unis[empresa], $A12,
    unis[especie],K$3
)</f>
        <v>0</v>
      </c>
      <c r="L12" s="23"/>
      <c r="M12" s="23"/>
      <c r="N12" s="23"/>
      <c r="O12" s="25"/>
      <c r="Q12" s="6">
        <v>9</v>
      </c>
      <c r="R12" s="44" t="s">
        <v>18</v>
      </c>
      <c r="S12" s="42">
        <f>COUNTIFS(
    estq[empresa], $R12,
    estq[Status],S$3)</f>
        <v>0</v>
      </c>
      <c r="T12" s="42">
        <f>COUNTIFS(
    estq[empresa], $R12,
    estq[Status],T$3)</f>
        <v>0</v>
      </c>
      <c r="U12" s="42">
        <f>COUNTIFS(
    estq[empresa], $R12,
    estq[Status],U$3)</f>
        <v>0</v>
      </c>
      <c r="V12" s="42">
        <f>COUNTIFS(
    estq[empresa], $R12,
    estq[Status],V$3)</f>
        <v>0</v>
      </c>
      <c r="W12" s="42">
        <f>COUNTIFS(
    estq[empresa], $R12,
    estq[Status],W$3)</f>
        <v>0</v>
      </c>
      <c r="X12" s="42">
        <f>COUNTIFS(
    estq[empresa], $R12,
    estq[Status],X$3)</f>
        <v>0</v>
      </c>
      <c r="Y12" s="42">
        <f>COUNTIFS(
    estq[empresa], $R12,
    estq[Status],Y$3)</f>
        <v>0</v>
      </c>
      <c r="Z12" s="45">
        <f>SUM(S12:Y12)</f>
        <v>0</v>
      </c>
    </row>
    <row r="13" spans="1:26" x14ac:dyDescent="0.25">
      <c r="A13" s="56" t="s">
        <v>787</v>
      </c>
      <c r="B13" s="57" t="s">
        <v>34</v>
      </c>
      <c r="C13" s="57">
        <f>COUNTIFS(
    unis[empresa], $A15,
    unis[situacao], C$3
)</f>
        <v>0</v>
      </c>
      <c r="D13" s="57">
        <f>COUNTIFS(
    unis[empresa], $A15,
    unis[situacao], D$3
)</f>
        <v>0</v>
      </c>
      <c r="E13" s="57">
        <f>COUNTIFS(
    unis[empresa], $A13,
    unis[situacao], E$3
)
+COUNTIFS(
    unis[empresa], $A13,
    unis[situacao], F$3,
    unis[data], "&gt;" &amp;#REF!
)</f>
        <v>0</v>
      </c>
      <c r="F13" s="55">
        <f>COUNTIFS(
    unis[empresa], $A13,
    unis[situacao], F$3,
    unis[data], "&lt;=" &amp;#REF!
)</f>
        <v>0</v>
      </c>
      <c r="G13" s="76">
        <f>SUM(C13:F13)</f>
        <v>0</v>
      </c>
      <c r="H13" s="77">
        <f>G13-C13</f>
        <v>0</v>
      </c>
      <c r="I13" s="63">
        <f>COUNTIFS(
    unis[empresa], $A13,
    unis[especie],I$3
)</f>
        <v>0</v>
      </c>
      <c r="J13" s="57">
        <f>COUNTIFS(
    estq[empresa], $A13,
    estq[especie],J$3
)</f>
        <v>0</v>
      </c>
      <c r="K13" s="57">
        <f>COUNTIFS(
    estq[empresa], $A13,
    estq[especie],K$3
)
+COUNTIFS(
    unis[empresa], $A13,
    unis[especie],"Moto"
)</f>
        <v>0</v>
      </c>
      <c r="L13" s="57"/>
      <c r="M13" s="57"/>
      <c r="N13" s="57"/>
      <c r="O13" s="53"/>
      <c r="R13" s="46" t="s">
        <v>30</v>
      </c>
      <c r="S13" s="45">
        <f t="shared" ref="S13:Y13" si="5">SUM(S4:S12)</f>
        <v>0</v>
      </c>
      <c r="T13" s="45">
        <f t="shared" si="5"/>
        <v>0</v>
      </c>
      <c r="U13" s="45">
        <f t="shared" si="5"/>
        <v>0</v>
      </c>
      <c r="V13" s="45">
        <f t="shared" si="5"/>
        <v>0</v>
      </c>
      <c r="W13" s="45">
        <f t="shared" si="5"/>
        <v>0</v>
      </c>
      <c r="X13" s="45">
        <f t="shared" si="5"/>
        <v>0</v>
      </c>
      <c r="Y13" s="45">
        <f t="shared" si="5"/>
        <v>0</v>
      </c>
      <c r="Z13" s="45">
        <f>SUM(S13:Y13)</f>
        <v>0</v>
      </c>
    </row>
    <row r="14" spans="1:26" x14ac:dyDescent="0.25">
      <c r="A14" s="56" t="s">
        <v>787</v>
      </c>
      <c r="B14" s="57" t="s">
        <v>37</v>
      </c>
      <c r="C14" s="93"/>
      <c r="D14" s="93"/>
      <c r="E14" s="93"/>
      <c r="F14" s="94"/>
      <c r="G14" s="76"/>
      <c r="H14" s="77"/>
      <c r="I14" s="95"/>
      <c r="J14" s="93"/>
      <c r="K14" s="93"/>
      <c r="L14" s="93"/>
      <c r="M14" s="93"/>
      <c r="N14" s="93"/>
      <c r="O14" s="96"/>
    </row>
    <row r="15" spans="1:26" x14ac:dyDescent="0.25">
      <c r="A15" s="58" t="s">
        <v>787</v>
      </c>
      <c r="B15" s="59" t="s">
        <v>65</v>
      </c>
      <c r="C15" s="60"/>
      <c r="D15" s="60"/>
      <c r="E15" s="60"/>
      <c r="F15" s="62"/>
      <c r="G15" s="78">
        <f t="shared" ref="G15:G27" si="6">SUM(C15:F15)</f>
        <v>0</v>
      </c>
      <c r="H15" s="79">
        <f t="shared" ref="H15:H27" si="7">G15-C15</f>
        <v>0</v>
      </c>
      <c r="I15" s="64"/>
      <c r="J15" s="60"/>
      <c r="K15" s="60"/>
      <c r="L15" s="60"/>
      <c r="M15" s="60"/>
      <c r="N15" s="60"/>
      <c r="O15" s="61"/>
    </row>
    <row r="16" spans="1:26" x14ac:dyDescent="0.25">
      <c r="A16" s="22" t="s">
        <v>14</v>
      </c>
      <c r="B16" s="23" t="s">
        <v>35</v>
      </c>
      <c r="C16" s="23">
        <f>S7</f>
        <v>0</v>
      </c>
      <c r="D16" s="23">
        <f>T7+U7</f>
        <v>0</v>
      </c>
      <c r="E16" s="23">
        <f>V7+X7+W7</f>
        <v>0</v>
      </c>
      <c r="F16" s="54">
        <f>Y7</f>
        <v>0</v>
      </c>
      <c r="G16" s="74">
        <f t="shared" si="6"/>
        <v>0</v>
      </c>
      <c r="H16" s="75">
        <f t="shared" si="7"/>
        <v>0</v>
      </c>
      <c r="I16" s="73">
        <f>COUNTIFS(
    unis[empresa], $A16,
    unis[especie],I$3
)</f>
        <v>0</v>
      </c>
      <c r="J16" s="23">
        <f>COUNTIFS(
    unis[empresa], $A16,
    unis[especie],J$3
)</f>
        <v>0</v>
      </c>
      <c r="K16" s="23">
        <f>COUNTIFS(
    unis[empresa], $A16,
    unis[especie],K$3
)</f>
        <v>0</v>
      </c>
      <c r="L16" s="23"/>
      <c r="M16" s="23"/>
      <c r="N16" s="23"/>
      <c r="O16" s="25"/>
    </row>
    <row r="17" spans="1:15" x14ac:dyDescent="0.25">
      <c r="A17" s="56" t="s">
        <v>14</v>
      </c>
      <c r="B17" s="57" t="s">
        <v>34</v>
      </c>
      <c r="C17" s="57">
        <f>COUNTIFS(
    unis[empresa], $A19,
    unis[situacao], C$3
)</f>
        <v>0</v>
      </c>
      <c r="D17" s="57">
        <f>COUNTIFS(
    unis[empresa], $A19,
    unis[situacao], D$3
)</f>
        <v>0</v>
      </c>
      <c r="E17" s="57">
        <f>COUNTIFS(
    unis[empresa], $A17,
    unis[situacao], E$3
)
+COUNTIFS(
    unis[empresa], $A17,
    unis[situacao], F$3,
    unis[data], "&gt;" &amp;#REF!
)</f>
        <v>0</v>
      </c>
      <c r="F17" s="55">
        <f>COUNTIFS(
    unis[empresa], $A17,
    unis[situacao], F$3,
    unis[data], "&lt;=" &amp;#REF!
)</f>
        <v>0</v>
      </c>
      <c r="G17" s="76">
        <f t="shared" si="6"/>
        <v>0</v>
      </c>
      <c r="H17" s="77">
        <f t="shared" si="7"/>
        <v>0</v>
      </c>
      <c r="I17" s="63">
        <f>COUNTIFS(
    unis[empresa], $A17,
    unis[especie],I$3
)</f>
        <v>0</v>
      </c>
      <c r="J17" s="57">
        <f>COUNTIFS(
    estq[empresa], $A17,
    estq[especie],J$3
)</f>
        <v>0</v>
      </c>
      <c r="K17" s="57">
        <f>COUNTIFS(
    estq[empresa], $A17,
    estq[especie],K$3
)
+COUNTIFS(
    unis[empresa], $A17,
    unis[especie],"Moto"
)</f>
        <v>0</v>
      </c>
      <c r="L17" s="57"/>
      <c r="M17" s="57"/>
      <c r="N17" s="57"/>
      <c r="O17" s="53"/>
    </row>
    <row r="18" spans="1:15" x14ac:dyDescent="0.25">
      <c r="A18" s="56" t="s">
        <v>14</v>
      </c>
      <c r="B18" s="57" t="s">
        <v>37</v>
      </c>
      <c r="C18" s="93">
        <v>0</v>
      </c>
      <c r="D18" s="93">
        <v>2</v>
      </c>
      <c r="E18" s="93">
        <v>11</v>
      </c>
      <c r="F18" s="94">
        <v>128</v>
      </c>
      <c r="G18" s="76">
        <f t="shared" si="6"/>
        <v>141</v>
      </c>
      <c r="H18" s="77">
        <f t="shared" si="7"/>
        <v>141</v>
      </c>
      <c r="I18" s="95"/>
      <c r="J18" s="93"/>
      <c r="K18" s="93"/>
      <c r="L18" s="93"/>
      <c r="M18" s="93"/>
      <c r="N18" s="93"/>
      <c r="O18" s="96"/>
    </row>
    <row r="19" spans="1:15" x14ac:dyDescent="0.25">
      <c r="A19" s="58" t="s">
        <v>14</v>
      </c>
      <c r="B19" s="59" t="s">
        <v>65</v>
      </c>
      <c r="C19" s="60"/>
      <c r="D19" s="60"/>
      <c r="E19" s="60"/>
      <c r="F19" s="62"/>
      <c r="G19" s="78">
        <f t="shared" si="6"/>
        <v>0</v>
      </c>
      <c r="H19" s="79">
        <f t="shared" si="7"/>
        <v>0</v>
      </c>
      <c r="I19" s="64"/>
      <c r="J19" s="60"/>
      <c r="K19" s="60"/>
      <c r="L19" s="60"/>
      <c r="M19" s="60"/>
      <c r="N19" s="60"/>
      <c r="O19" s="61"/>
    </row>
    <row r="20" spans="1:15" x14ac:dyDescent="0.25">
      <c r="A20" s="22" t="s">
        <v>15</v>
      </c>
      <c r="B20" s="23" t="s">
        <v>35</v>
      </c>
      <c r="C20" s="23">
        <f>S8</f>
        <v>0</v>
      </c>
      <c r="D20" s="23">
        <f>T8+U8</f>
        <v>0</v>
      </c>
      <c r="E20" s="23">
        <f>V8+X8+W8</f>
        <v>0</v>
      </c>
      <c r="F20" s="54">
        <f>Y8</f>
        <v>0</v>
      </c>
      <c r="G20" s="74">
        <f t="shared" si="6"/>
        <v>0</v>
      </c>
      <c r="H20" s="75">
        <f t="shared" si="7"/>
        <v>0</v>
      </c>
      <c r="I20" s="73">
        <f>COUNTIFS(
    unis[empresa], $A20,
    unis[especie],I$3
)</f>
        <v>0</v>
      </c>
      <c r="J20" s="23">
        <f>COUNTIFS(
    unis[empresa], $A20,
    unis[especie],J$3
)</f>
        <v>0</v>
      </c>
      <c r="K20" s="23">
        <f>COUNTIFS(
    unis[empresa], $A20,
    unis[especie],K$3
)</f>
        <v>0</v>
      </c>
      <c r="L20" s="23"/>
      <c r="M20" s="23"/>
      <c r="N20" s="23"/>
      <c r="O20" s="25"/>
    </row>
    <row r="21" spans="1:15" x14ac:dyDescent="0.25">
      <c r="A21" s="56" t="s">
        <v>15</v>
      </c>
      <c r="B21" s="57" t="s">
        <v>34</v>
      </c>
      <c r="C21" s="57">
        <f>COUNTIFS(
    unis[empresa], $A23,
    unis[situacao], C$3
)</f>
        <v>0</v>
      </c>
      <c r="D21" s="57">
        <f>COUNTIFS(
    unis[empresa], $A23,
    unis[situacao], D$3
)</f>
        <v>0</v>
      </c>
      <c r="E21" s="57">
        <f>COUNTIFS(
    unis[empresa], $A21,
    unis[situacao], E$3
)
+COUNTIFS(
    unis[empresa], $A21,
    unis[situacao], F$3,
    unis[data], "&gt;" &amp;#REF!
)</f>
        <v>0</v>
      </c>
      <c r="F21" s="55">
        <f>COUNTIFS(
    unis[empresa], $A21,
    unis[situacao], F$3,
    unis[data], "&lt;=" &amp;#REF!
)</f>
        <v>0</v>
      </c>
      <c r="G21" s="76">
        <f t="shared" si="6"/>
        <v>0</v>
      </c>
      <c r="H21" s="77">
        <f t="shared" si="7"/>
        <v>0</v>
      </c>
      <c r="I21" s="63">
        <f>COUNTIFS(
    unis[empresa], $A21,
    unis[especie],I$3
)</f>
        <v>0</v>
      </c>
      <c r="J21" s="57">
        <f>COUNTIFS(
    estq[empresa], $A21,
    estq[especie],J$3
)</f>
        <v>0</v>
      </c>
      <c r="K21" s="57">
        <f>COUNTIFS(
    estq[empresa], $A21,
    estq[especie],K$3
)
+COUNTIFS(
    unis[empresa], $A21,
    unis[especie],"Moto"
)</f>
        <v>0</v>
      </c>
      <c r="L21" s="57"/>
      <c r="M21" s="57"/>
      <c r="N21" s="57"/>
      <c r="O21" s="53"/>
    </row>
    <row r="22" spans="1:15" x14ac:dyDescent="0.25">
      <c r="A22" s="56" t="s">
        <v>15</v>
      </c>
      <c r="B22" s="57" t="s">
        <v>37</v>
      </c>
      <c r="C22" s="93">
        <v>12</v>
      </c>
      <c r="D22" s="93">
        <v>0</v>
      </c>
      <c r="E22" s="93">
        <v>93</v>
      </c>
      <c r="F22" s="94">
        <v>121</v>
      </c>
      <c r="G22" s="76">
        <f t="shared" si="6"/>
        <v>226</v>
      </c>
      <c r="H22" s="77">
        <f t="shared" si="7"/>
        <v>214</v>
      </c>
      <c r="I22" s="95"/>
      <c r="J22" s="93"/>
      <c r="K22" s="93"/>
      <c r="L22" s="93"/>
      <c r="M22" s="93"/>
      <c r="N22" s="93"/>
      <c r="O22" s="96"/>
    </row>
    <row r="23" spans="1:15" x14ac:dyDescent="0.25">
      <c r="A23" s="58" t="s">
        <v>15</v>
      </c>
      <c r="B23" s="59" t="s">
        <v>65</v>
      </c>
      <c r="C23" s="60"/>
      <c r="D23" s="60"/>
      <c r="E23" s="60"/>
      <c r="F23" s="62"/>
      <c r="G23" s="78">
        <f t="shared" si="6"/>
        <v>0</v>
      </c>
      <c r="H23" s="79">
        <f t="shared" si="7"/>
        <v>0</v>
      </c>
      <c r="I23" s="64"/>
      <c r="J23" s="60"/>
      <c r="K23" s="60"/>
      <c r="L23" s="60"/>
      <c r="M23" s="60"/>
      <c r="N23" s="60"/>
      <c r="O23" s="61"/>
    </row>
    <row r="24" spans="1:15" x14ac:dyDescent="0.25">
      <c r="A24" s="22" t="s">
        <v>16</v>
      </c>
      <c r="B24" s="23" t="s">
        <v>35</v>
      </c>
      <c r="C24" s="23">
        <f>S9</f>
        <v>0</v>
      </c>
      <c r="D24" s="23">
        <f>T9+U9</f>
        <v>0</v>
      </c>
      <c r="E24" s="23">
        <f>V9+X9+W9</f>
        <v>0</v>
      </c>
      <c r="F24" s="54">
        <f>Y9</f>
        <v>0</v>
      </c>
      <c r="G24" s="74">
        <f t="shared" si="6"/>
        <v>0</v>
      </c>
      <c r="H24" s="75">
        <f t="shared" si="7"/>
        <v>0</v>
      </c>
      <c r="I24" s="73">
        <f>COUNTIFS(
    unis[empresa], $A24,
    unis[especie],I$3
)</f>
        <v>0</v>
      </c>
      <c r="J24" s="23">
        <f>COUNTIFS(
    unis[empresa], $A24,
    unis[especie],J$3
)</f>
        <v>0</v>
      </c>
      <c r="K24" s="23">
        <f>COUNTIFS(
    unis[empresa], $A24,
    unis[especie],K$3
)</f>
        <v>0</v>
      </c>
      <c r="L24" s="23"/>
      <c r="M24" s="23"/>
      <c r="N24" s="23"/>
      <c r="O24" s="25"/>
    </row>
    <row r="25" spans="1:15" x14ac:dyDescent="0.25">
      <c r="A25" s="56" t="s">
        <v>16</v>
      </c>
      <c r="B25" s="57" t="s">
        <v>34</v>
      </c>
      <c r="C25" s="57">
        <f>COUNTIFS(
    unis[empresa], $A27,
    unis[situacao], C$3
)</f>
        <v>0</v>
      </c>
      <c r="D25" s="57">
        <f>COUNTIFS(
    unis[empresa], $A27,
    unis[situacao], D$3
)</f>
        <v>0</v>
      </c>
      <c r="E25" s="57">
        <f>COUNTIFS(
    unis[empresa], $A25,
    unis[situacao], E$3
)
+COUNTIFS(
    unis[empresa], $A25,
    unis[situacao], F$3,
    unis[data], "&gt;" &amp;#REF!
)</f>
        <v>0</v>
      </c>
      <c r="F25" s="55">
        <f>COUNTIFS(
    unis[empresa], $A25,
    unis[situacao], F$3,
    unis[data], "&lt;=" &amp;#REF!
)</f>
        <v>0</v>
      </c>
      <c r="G25" s="76">
        <f t="shared" si="6"/>
        <v>0</v>
      </c>
      <c r="H25" s="77">
        <f t="shared" si="7"/>
        <v>0</v>
      </c>
      <c r="I25" s="63">
        <f>COUNTIFS(
    unis[empresa], $A25,
    unis[especie],I$3
)</f>
        <v>0</v>
      </c>
      <c r="J25" s="57">
        <f>COUNTIFS(
    estq[empresa], $A25,
    estq[especie],J$3
)</f>
        <v>0</v>
      </c>
      <c r="K25" s="57">
        <f>COUNTIFS(
    estq[empresa], $A25,
    estq[especie],K$3
)
+COUNTIFS(
    unis[empresa], $A25,
    unis[especie],"Moto"
)</f>
        <v>0</v>
      </c>
      <c r="L25" s="57"/>
      <c r="M25" s="57"/>
      <c r="N25" s="57"/>
      <c r="O25" s="53"/>
    </row>
    <row r="26" spans="1:15" x14ac:dyDescent="0.25">
      <c r="A26" s="56" t="s">
        <v>16</v>
      </c>
      <c r="B26" s="57" t="s">
        <v>37</v>
      </c>
      <c r="C26" s="93">
        <v>16</v>
      </c>
      <c r="D26" s="93">
        <v>1</v>
      </c>
      <c r="E26" s="93">
        <v>0</v>
      </c>
      <c r="F26" s="94">
        <v>55</v>
      </c>
      <c r="G26" s="76">
        <f t="shared" si="6"/>
        <v>72</v>
      </c>
      <c r="H26" s="77">
        <f t="shared" si="7"/>
        <v>56</v>
      </c>
      <c r="I26" s="95"/>
      <c r="J26" s="93"/>
      <c r="K26" s="93"/>
      <c r="L26" s="93"/>
      <c r="M26" s="93"/>
      <c r="N26" s="93"/>
      <c r="O26" s="96"/>
    </row>
    <row r="27" spans="1:15" x14ac:dyDescent="0.25">
      <c r="A27" s="58" t="s">
        <v>16</v>
      </c>
      <c r="B27" s="59" t="s">
        <v>65</v>
      </c>
      <c r="C27" s="60"/>
      <c r="D27" s="60"/>
      <c r="E27" s="60"/>
      <c r="F27" s="62"/>
      <c r="G27" s="78">
        <f t="shared" si="6"/>
        <v>0</v>
      </c>
      <c r="H27" s="79">
        <f t="shared" si="7"/>
        <v>0</v>
      </c>
      <c r="I27" s="64"/>
      <c r="J27" s="60"/>
      <c r="K27" s="60"/>
      <c r="L27" s="60"/>
      <c r="M27" s="60"/>
      <c r="N27" s="60"/>
      <c r="O27" s="61"/>
    </row>
    <row r="28" spans="1:15" x14ac:dyDescent="0.25">
      <c r="A28" s="22" t="s">
        <v>473</v>
      </c>
      <c r="B28" s="23" t="s">
        <v>35</v>
      </c>
      <c r="C28" s="23">
        <f>S10</f>
        <v>0</v>
      </c>
      <c r="D28" s="23">
        <f>T10+U10</f>
        <v>0</v>
      </c>
      <c r="E28" s="23">
        <f>V10+X10+W10</f>
        <v>0</v>
      </c>
      <c r="F28" s="54">
        <f>Y10</f>
        <v>0</v>
      </c>
      <c r="G28" s="74">
        <f t="shared" ref="G28:G31" si="8">SUM(C28:F28)</f>
        <v>0</v>
      </c>
      <c r="H28" s="75">
        <f t="shared" ref="H28:H31" si="9">G28-C28</f>
        <v>0</v>
      </c>
      <c r="I28" s="73">
        <f>COUNTIFS(
    unis[empresa], $A28,
    unis[especie],I$3
)</f>
        <v>0</v>
      </c>
      <c r="J28" s="23">
        <f>COUNTIFS(
    unis[empresa], $A28,
    unis[especie],J$3
)</f>
        <v>0</v>
      </c>
      <c r="K28" s="23">
        <f>COUNTIFS(
    unis[empresa], $A28,
    unis[especie],K$3
)</f>
        <v>0</v>
      </c>
      <c r="L28" s="23"/>
      <c r="M28" s="23"/>
      <c r="N28" s="23"/>
      <c r="O28" s="25"/>
    </row>
    <row r="29" spans="1:15" x14ac:dyDescent="0.25">
      <c r="A29" s="56" t="s">
        <v>473</v>
      </c>
      <c r="B29" s="57" t="s">
        <v>34</v>
      </c>
      <c r="C29" s="57">
        <f>COUNTIFS(
    unis[empresa], $A31,
    unis[situacao], C$3
)</f>
        <v>0</v>
      </c>
      <c r="D29" s="57">
        <f>COUNTIFS(
    unis[empresa], $A31,
    unis[situacao], D$3
)</f>
        <v>0</v>
      </c>
      <c r="E29" s="57">
        <f>COUNTIFS(
    unis[empresa], $A29,
    unis[situacao], E$3
)
+COUNTIFS(
    unis[empresa], $A29,
    unis[situacao], F$3,
    unis[data], "&gt;" &amp;#REF!
)</f>
        <v>0</v>
      </c>
      <c r="F29" s="55">
        <f>COUNTIFS(
    unis[empresa], $A29,
    unis[situacao], F$3,
    unis[data], "&lt;=" &amp;#REF!
)</f>
        <v>0</v>
      </c>
      <c r="G29" s="76">
        <f t="shared" si="8"/>
        <v>0</v>
      </c>
      <c r="H29" s="77">
        <f t="shared" si="9"/>
        <v>0</v>
      </c>
      <c r="I29" s="63">
        <f>COUNTIFS(
    unis[empresa], $A29,
    unis[especie],I$3
)</f>
        <v>0</v>
      </c>
      <c r="J29" s="57">
        <f>COUNTIFS(
    estq[empresa], $A29,
    estq[especie],J$3
)</f>
        <v>0</v>
      </c>
      <c r="K29" s="57">
        <f>COUNTIFS(
    estq[empresa], $A29,
    estq[especie],K$3
)
+COUNTIFS(
    unis[empresa], $A29,
    unis[especie],"Moto"
)</f>
        <v>0</v>
      </c>
      <c r="L29" s="57"/>
      <c r="M29" s="57"/>
      <c r="N29" s="57"/>
      <c r="O29" s="53"/>
    </row>
    <row r="30" spans="1:15" x14ac:dyDescent="0.25">
      <c r="A30" s="56" t="s">
        <v>473</v>
      </c>
      <c r="B30" s="57" t="s">
        <v>37</v>
      </c>
      <c r="C30" s="93"/>
      <c r="D30" s="93"/>
      <c r="E30" s="93"/>
      <c r="F30" s="94"/>
      <c r="G30" s="76"/>
      <c r="H30" s="77"/>
      <c r="I30" s="95"/>
      <c r="J30" s="93"/>
      <c r="K30" s="93"/>
      <c r="L30" s="93"/>
      <c r="M30" s="93"/>
      <c r="N30" s="93"/>
      <c r="O30" s="96"/>
    </row>
    <row r="31" spans="1:15" x14ac:dyDescent="0.25">
      <c r="A31" s="58" t="s">
        <v>473</v>
      </c>
      <c r="B31" s="59" t="s">
        <v>65</v>
      </c>
      <c r="C31" s="60"/>
      <c r="D31" s="60"/>
      <c r="E31" s="60"/>
      <c r="F31" s="62"/>
      <c r="G31" s="78">
        <f t="shared" si="8"/>
        <v>0</v>
      </c>
      <c r="H31" s="79">
        <f t="shared" si="9"/>
        <v>0</v>
      </c>
      <c r="I31" s="64"/>
      <c r="J31" s="60"/>
      <c r="K31" s="60"/>
      <c r="L31" s="60"/>
      <c r="M31" s="60"/>
      <c r="N31" s="60"/>
      <c r="O31" s="61"/>
    </row>
    <row r="32" spans="1:15" x14ac:dyDescent="0.25">
      <c r="A32" s="22" t="s">
        <v>17</v>
      </c>
      <c r="B32" s="23" t="s">
        <v>35</v>
      </c>
      <c r="C32" s="23">
        <f>S11</f>
        <v>0</v>
      </c>
      <c r="D32" s="23">
        <f>T11+U11</f>
        <v>0</v>
      </c>
      <c r="E32" s="23">
        <f>V11+X11+W11</f>
        <v>0</v>
      </c>
      <c r="F32" s="54">
        <f>Y11</f>
        <v>0</v>
      </c>
      <c r="G32" s="74">
        <f t="shared" ref="G32:G39" si="10">SUM(C32:F32)</f>
        <v>0</v>
      </c>
      <c r="H32" s="75">
        <f t="shared" ref="H32:H39" si="11">G32-C32</f>
        <v>0</v>
      </c>
      <c r="I32" s="73">
        <f>COUNTIFS(
    unis[empresa], $A32,
    unis[especie],I$3
)</f>
        <v>0</v>
      </c>
      <c r="J32" s="23">
        <f>COUNTIFS(
    unis[empresa], $A32,
    unis[especie],J$3
)</f>
        <v>0</v>
      </c>
      <c r="K32" s="23">
        <f>COUNTIFS(
    unis[empresa], $A32,
    unis[especie],K$3
)</f>
        <v>0</v>
      </c>
      <c r="L32" s="23"/>
      <c r="M32" s="23"/>
      <c r="N32" s="23"/>
      <c r="O32" s="25"/>
    </row>
    <row r="33" spans="1:15" x14ac:dyDescent="0.25">
      <c r="A33" s="56" t="s">
        <v>17</v>
      </c>
      <c r="B33" s="57" t="s">
        <v>34</v>
      </c>
      <c r="C33" s="57">
        <f>COUNTIFS(
    unis[empresa], $A35,
    unis[situacao], C$3
)</f>
        <v>0</v>
      </c>
      <c r="D33" s="57">
        <f>COUNTIFS(
    unis[empresa], $A35,
    unis[situacao], D$3
)</f>
        <v>0</v>
      </c>
      <c r="E33" s="57">
        <f>COUNTIFS(
    unis[empresa], $A33,
    unis[situacao], E$3
)
+COUNTIFS(
    unis[empresa], $A33,
    unis[situacao], F$3,
    unis[data], "&gt;" &amp;#REF!
)</f>
        <v>0</v>
      </c>
      <c r="F33" s="55">
        <f>COUNTIFS(
    unis[empresa], $A33,
    unis[situacao], F$3,
    unis[data], "&lt;=" &amp;#REF!
)</f>
        <v>0</v>
      </c>
      <c r="G33" s="76">
        <f t="shared" si="10"/>
        <v>0</v>
      </c>
      <c r="H33" s="77">
        <f t="shared" si="11"/>
        <v>0</v>
      </c>
      <c r="I33" s="63">
        <f>COUNTIFS(
    unis[empresa], $A33,
    unis[especie],I$3
)</f>
        <v>0</v>
      </c>
      <c r="J33" s="57">
        <f>COUNTIFS(
    estq[empresa], $A33,
    estq[especie],J$3
)</f>
        <v>0</v>
      </c>
      <c r="K33" s="57">
        <f>COUNTIFS(
    estq[empresa], $A33,
    estq[especie],K$3
)
+COUNTIFS(
    unis[empresa], $A33,
    unis[especie],"Moto"
)</f>
        <v>0</v>
      </c>
      <c r="L33" s="57"/>
      <c r="M33" s="57"/>
      <c r="N33" s="57"/>
      <c r="O33" s="53"/>
    </row>
    <row r="34" spans="1:15" x14ac:dyDescent="0.25">
      <c r="A34" s="56" t="s">
        <v>17</v>
      </c>
      <c r="B34" s="57" t="s">
        <v>37</v>
      </c>
      <c r="C34" s="93">
        <v>37</v>
      </c>
      <c r="D34" s="93">
        <v>2</v>
      </c>
      <c r="E34" s="93">
        <v>5</v>
      </c>
      <c r="F34" s="94">
        <v>190</v>
      </c>
      <c r="G34" s="76">
        <f t="shared" si="10"/>
        <v>234</v>
      </c>
      <c r="H34" s="77">
        <f t="shared" si="11"/>
        <v>197</v>
      </c>
      <c r="I34" s="95"/>
      <c r="J34" s="93"/>
      <c r="K34" s="93"/>
      <c r="L34" s="93"/>
      <c r="M34" s="93"/>
      <c r="N34" s="93"/>
      <c r="O34" s="96"/>
    </row>
    <row r="35" spans="1:15" x14ac:dyDescent="0.25">
      <c r="A35" s="58" t="s">
        <v>17</v>
      </c>
      <c r="B35" s="59" t="s">
        <v>65</v>
      </c>
      <c r="C35" s="60"/>
      <c r="D35" s="60"/>
      <c r="E35" s="60"/>
      <c r="F35" s="62"/>
      <c r="G35" s="78">
        <f t="shared" si="10"/>
        <v>0</v>
      </c>
      <c r="H35" s="79">
        <f t="shared" si="11"/>
        <v>0</v>
      </c>
      <c r="I35" s="64"/>
      <c r="J35" s="60"/>
      <c r="K35" s="60"/>
      <c r="L35" s="60"/>
      <c r="M35" s="60"/>
      <c r="N35" s="60"/>
      <c r="O35" s="61"/>
    </row>
    <row r="36" spans="1:15" x14ac:dyDescent="0.25">
      <c r="A36" s="22" t="s">
        <v>18</v>
      </c>
      <c r="B36" s="23" t="s">
        <v>35</v>
      </c>
      <c r="C36" s="23">
        <f>S12</f>
        <v>0</v>
      </c>
      <c r="D36" s="23">
        <f>T12+U12</f>
        <v>0</v>
      </c>
      <c r="E36" s="23">
        <f>V12+X12+W12</f>
        <v>0</v>
      </c>
      <c r="F36" s="54">
        <f>Y12</f>
        <v>0</v>
      </c>
      <c r="G36" s="74">
        <f t="shared" si="10"/>
        <v>0</v>
      </c>
      <c r="H36" s="75">
        <f t="shared" si="11"/>
        <v>0</v>
      </c>
      <c r="I36" s="73">
        <f>COUNTIFS(
    unis[empresa], $A36,
    unis[especie],I$3
)</f>
        <v>0</v>
      </c>
      <c r="J36" s="23">
        <f>COUNTIFS(
    unis[empresa], $A36,
    unis[especie],J$3
)</f>
        <v>0</v>
      </c>
      <c r="K36" s="23">
        <f>COUNTIFS(
    unis[empresa], $A36,
    unis[especie],K$3
)</f>
        <v>0</v>
      </c>
      <c r="L36" s="23"/>
      <c r="M36" s="23"/>
      <c r="N36" s="23"/>
      <c r="O36" s="25"/>
    </row>
    <row r="37" spans="1:15" x14ac:dyDescent="0.25">
      <c r="A37" s="56" t="s">
        <v>18</v>
      </c>
      <c r="B37" s="57" t="s">
        <v>34</v>
      </c>
      <c r="C37" s="57">
        <f>COUNTIFS(
    unis[empresa], $A39,
    unis[situacao], C$3
)</f>
        <v>0</v>
      </c>
      <c r="D37" s="57">
        <f>COUNTIFS(
    unis[empresa], $A39,
    unis[situacao], D$3
)</f>
        <v>0</v>
      </c>
      <c r="E37" s="57">
        <f>COUNTIFS(
    unis[empresa], $A37,
    unis[situacao], E$3
)
+COUNTIFS(
    unis[empresa], $A37,
    unis[situacao], F$3,
    unis[data], "&gt;" &amp;#REF!
)</f>
        <v>0</v>
      </c>
      <c r="F37" s="55">
        <f>COUNTIFS(
    unis[empresa], $A37,
    unis[situacao], F$3,
    unis[data], "&lt;=" &amp;#REF!
)</f>
        <v>0</v>
      </c>
      <c r="G37" s="76">
        <f t="shared" si="10"/>
        <v>0</v>
      </c>
      <c r="H37" s="77">
        <f t="shared" si="11"/>
        <v>0</v>
      </c>
      <c r="I37" s="63">
        <f>COUNTIFS(
    unis[empresa], $A37,
    unis[especie],I$3
)</f>
        <v>0</v>
      </c>
      <c r="J37" s="57">
        <f>COUNTIFS(
    estq[empresa], $A37,
    estq[especie],J$3
)</f>
        <v>0</v>
      </c>
      <c r="K37" s="57">
        <f>COUNTIFS(
    estq[empresa], $A37,
    estq[especie],K$3
)
+COUNTIFS(
    unis[empresa], $A37,
    unis[especie],"Moto"
)</f>
        <v>0</v>
      </c>
      <c r="L37" s="57"/>
      <c r="M37" s="57"/>
      <c r="N37" s="57"/>
      <c r="O37" s="53"/>
    </row>
    <row r="38" spans="1:15" x14ac:dyDescent="0.25">
      <c r="A38" s="56" t="s">
        <v>18</v>
      </c>
      <c r="B38" s="57" t="s">
        <v>37</v>
      </c>
      <c r="C38" s="93"/>
      <c r="D38" s="93"/>
      <c r="E38" s="93"/>
      <c r="F38" s="94"/>
      <c r="G38" s="76">
        <f t="shared" si="10"/>
        <v>0</v>
      </c>
      <c r="H38" s="77">
        <f t="shared" si="11"/>
        <v>0</v>
      </c>
      <c r="I38" s="95"/>
      <c r="J38" s="93"/>
      <c r="K38" s="93"/>
      <c r="L38" s="93"/>
      <c r="M38" s="93"/>
      <c r="N38" s="93"/>
      <c r="O38" s="96"/>
    </row>
    <row r="39" spans="1:15" ht="15.75" thickBot="1" x14ac:dyDescent="0.3">
      <c r="A39" s="58" t="s">
        <v>18</v>
      </c>
      <c r="B39" s="59" t="s">
        <v>65</v>
      </c>
      <c r="C39" s="60"/>
      <c r="D39" s="60"/>
      <c r="E39" s="60"/>
      <c r="F39" s="62"/>
      <c r="G39" s="80">
        <f t="shared" si="10"/>
        <v>0</v>
      </c>
      <c r="H39" s="81">
        <f t="shared" si="11"/>
        <v>0</v>
      </c>
      <c r="I39" s="64"/>
      <c r="J39" s="60"/>
      <c r="K39" s="60"/>
      <c r="L39" s="60"/>
      <c r="M39" s="60"/>
      <c r="N39" s="60"/>
      <c r="O39" s="61"/>
    </row>
    <row r="40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51" t="s">
        <v>188</v>
      </c>
      <c r="P1" s="52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207</v>
      </c>
      <c r="B1" t="s">
        <v>269</v>
      </c>
      <c r="C1" t="s">
        <v>224</v>
      </c>
      <c r="D1" t="s">
        <v>322</v>
      </c>
      <c r="E1" t="s">
        <v>270</v>
      </c>
      <c r="F1" t="s">
        <v>323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205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324</v>
      </c>
      <c r="AK1" t="s">
        <v>325</v>
      </c>
      <c r="AL1" t="s">
        <v>229</v>
      </c>
      <c r="AM1" t="s">
        <v>326</v>
      </c>
      <c r="AN1" t="s">
        <v>327</v>
      </c>
      <c r="AO1" t="s">
        <v>193</v>
      </c>
      <c r="AP1" t="s">
        <v>328</v>
      </c>
      <c r="AQ1" t="s">
        <v>329</v>
      </c>
      <c r="AR1" t="s">
        <v>330</v>
      </c>
      <c r="AS1" t="s">
        <v>331</v>
      </c>
      <c r="AT1" t="s">
        <v>332</v>
      </c>
      <c r="AU1" t="s">
        <v>243</v>
      </c>
      <c r="AV1" t="s">
        <v>244</v>
      </c>
      <c r="AW1" t="s">
        <v>53</v>
      </c>
      <c r="AX1" t="s">
        <v>245</v>
      </c>
      <c r="AY1" t="s">
        <v>246</v>
      </c>
      <c r="AZ1" t="s">
        <v>333</v>
      </c>
      <c r="BA1" t="s">
        <v>248</v>
      </c>
      <c r="BB1" t="s">
        <v>249</v>
      </c>
      <c r="BC1" t="s">
        <v>250</v>
      </c>
      <c r="BD1" t="s">
        <v>251</v>
      </c>
      <c r="BE1" t="s">
        <v>252</v>
      </c>
      <c r="BF1" t="s">
        <v>253</v>
      </c>
      <c r="BG1" t="s">
        <v>254</v>
      </c>
      <c r="BH1" t="s">
        <v>255</v>
      </c>
      <c r="BI1" t="s">
        <v>256</v>
      </c>
      <c r="BJ1" t="s">
        <v>75</v>
      </c>
      <c r="BK1" t="s">
        <v>257</v>
      </c>
      <c r="BL1" t="s">
        <v>204</v>
      </c>
      <c r="BM1" t="s">
        <v>259</v>
      </c>
      <c r="BN1" t="s">
        <v>260</v>
      </c>
      <c r="BO1" t="s">
        <v>187</v>
      </c>
      <c r="BP1" t="s">
        <v>261</v>
      </c>
      <c r="BQ1" t="s">
        <v>262</v>
      </c>
      <c r="BR1" t="s">
        <v>263</v>
      </c>
      <c r="BS1" t="s">
        <v>264</v>
      </c>
      <c r="BT1" t="s">
        <v>265</v>
      </c>
      <c r="BU1" t="s">
        <v>266</v>
      </c>
      <c r="BV1" t="s">
        <v>267</v>
      </c>
      <c r="BW1" t="s">
        <v>268</v>
      </c>
      <c r="BX1" t="s">
        <v>334</v>
      </c>
      <c r="BY1" t="s">
        <v>335</v>
      </c>
      <c r="BZ1" t="s">
        <v>336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299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49"/>
      <c r="B2" s="49"/>
      <c r="C2" s="49"/>
      <c r="D2" s="49"/>
      <c r="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workbookViewId="0">
      <selection activeCell="E2" sqref="E2"/>
    </sheetView>
  </sheetViews>
  <sheetFormatPr defaultRowHeight="15" x14ac:dyDescent="0.25"/>
  <sheetData>
    <row r="1" spans="1:32" x14ac:dyDescent="0.25">
      <c r="A1" t="s">
        <v>315</v>
      </c>
      <c r="B1" t="s">
        <v>301</v>
      </c>
      <c r="C1" t="s">
        <v>74</v>
      </c>
      <c r="D1" t="s">
        <v>302</v>
      </c>
      <c r="E1" t="s">
        <v>797</v>
      </c>
      <c r="F1" s="49" t="s">
        <v>300</v>
      </c>
      <c r="G1" s="49" t="s">
        <v>303</v>
      </c>
      <c r="H1" s="49" t="s">
        <v>304</v>
      </c>
      <c r="I1" s="49" t="s">
        <v>305</v>
      </c>
      <c r="J1" s="49" t="s">
        <v>212</v>
      </c>
      <c r="K1" s="49" t="s">
        <v>190</v>
      </c>
      <c r="L1" s="49" t="s">
        <v>189</v>
      </c>
      <c r="M1" s="49" t="s">
        <v>298</v>
      </c>
      <c r="N1" s="49" t="s">
        <v>306</v>
      </c>
      <c r="O1" s="49" t="s">
        <v>307</v>
      </c>
      <c r="P1" s="49" t="s">
        <v>308</v>
      </c>
      <c r="Q1" s="49" t="s">
        <v>309</v>
      </c>
      <c r="R1" s="49" t="s">
        <v>310</v>
      </c>
      <c r="S1" s="49" t="s">
        <v>311</v>
      </c>
      <c r="T1" s="49" t="s">
        <v>312</v>
      </c>
      <c r="U1" s="49" t="s">
        <v>313</v>
      </c>
      <c r="V1" s="49" t="s">
        <v>314</v>
      </c>
      <c r="W1" s="49" t="s">
        <v>316</v>
      </c>
      <c r="X1" s="49" t="s">
        <v>317</v>
      </c>
      <c r="Y1" s="49" t="s">
        <v>318</v>
      </c>
      <c r="Z1" s="49" t="s">
        <v>319</v>
      </c>
      <c r="AA1" s="49" t="s">
        <v>320</v>
      </c>
      <c r="AB1" s="49" t="s">
        <v>321</v>
      </c>
      <c r="AC1" s="49" t="s">
        <v>227</v>
      </c>
      <c r="AD1" s="49" t="s">
        <v>229</v>
      </c>
      <c r="AE1" s="49" t="s">
        <v>228</v>
      </c>
      <c r="AF1" s="49" t="s">
        <v>230</v>
      </c>
    </row>
    <row r="2" spans="1:32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49" t="s">
        <v>74</v>
      </c>
      <c r="B1" s="49" t="s">
        <v>233</v>
      </c>
      <c r="C1" s="49" t="s">
        <v>188</v>
      </c>
      <c r="D1" s="49" t="s">
        <v>234</v>
      </c>
      <c r="E1" s="49" t="s">
        <v>235</v>
      </c>
      <c r="F1" s="49" t="s">
        <v>236</v>
      </c>
      <c r="G1" s="49" t="s">
        <v>237</v>
      </c>
      <c r="H1" s="49" t="s">
        <v>238</v>
      </c>
      <c r="I1" s="49" t="s">
        <v>239</v>
      </c>
      <c r="J1" s="49" t="s">
        <v>240</v>
      </c>
      <c r="K1" s="49" t="s">
        <v>241</v>
      </c>
      <c r="L1" s="49" t="s">
        <v>227</v>
      </c>
    </row>
    <row r="2" spans="1:12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Props1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fechamento</vt:lpstr>
      <vt:lpstr>n&amp;cn</vt:lpstr>
      <vt:lpstr>ik-&gt;viab</vt:lpstr>
      <vt:lpstr>fin</vt:lpstr>
      <vt:lpstr>inputs</vt:lpstr>
      <vt:lpstr>viabs</vt:lpstr>
      <vt:lpstr>vgv</vt:lpstr>
      <vt:lpstr>status.unis</vt:lpstr>
      <vt:lpstr>rec.uni</vt:lpstr>
      <vt:lpstr>rec</vt:lpstr>
      <vt:lpstr>unis.cruzado</vt:lpstr>
      <vt:lpstr>contr</vt:lpstr>
      <vt:lpstr>desp</vt:lpstr>
      <vt:lpstr>ecns</vt:lpstr>
      <vt:lpstr>estq</vt:lpstr>
      <vt:lpstr>unis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2026-04-10T16:09:22Z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