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990" documentId="8_{C6C56A3F-2425-44CF-8BE3-ECE51A50A5D5}" xr6:coauthVersionLast="47" xr6:coauthVersionMax="47" xr10:uidLastSave="{692ADAAC-E132-4A5F-9431-6D8CE1A59B18}"/>
  <bookViews>
    <workbookView xWindow="28680" yWindow="-1200" windowWidth="29040" windowHeight="15840" xr2:uid="{64F819E7-7F57-40CB-9E6A-E429C8DACEE8}"/>
  </bookViews>
  <sheets>
    <sheet name="inputs" sheetId="28" r:id="rId1"/>
    <sheet name="ik-&gt;viab" sheetId="27" r:id="rId2"/>
    <sheet name="inputs0" sheetId="2" r:id="rId3"/>
    <sheet name="viabs" sheetId="12" r:id="rId4"/>
    <sheet name="vgv" sheetId="3" r:id="rId5"/>
    <sheet name="status.unis" sheetId="5" r:id="rId6"/>
    <sheet name="rec.uni" sheetId="10" r:id="rId7"/>
    <sheet name="cef" sheetId="21" r:id="rId8"/>
    <sheet name="cef.detalhado" sheetId="22" r:id="rId9"/>
    <sheet name="cef.mensal" sheetId="23" r:id="rId10"/>
    <sheet name="cmfcns.mensal" sheetId="19" r:id="rId11"/>
    <sheet name="cmfcn.xcef" sheetId="24" r:id="rId12"/>
    <sheet name="cmfcn.xcef.mensal" sheetId="25" r:id="rId13"/>
    <sheet name="rec" sheetId="9" r:id="rId14"/>
    <sheet name="unis.cruzado" sheetId="26" r:id="rId15"/>
    <sheet name="xcef.mensal" sheetId="20" r:id="rId16"/>
    <sheet name="car" sheetId="13" r:id="rId17"/>
    <sheet name="cmfcns" sheetId="14" r:id="rId18"/>
    <sheet name="contr" sheetId="15" r:id="rId19"/>
    <sheet name="cr" sheetId="16" r:id="rId20"/>
    <sheet name="desp" sheetId="17" r:id="rId21"/>
    <sheet name="ecns" sheetId="8" r:id="rId22"/>
    <sheet name="estq" sheetId="7" r:id="rId23"/>
    <sheet name="unis" sheetId="11" r:id="rId24"/>
    <sheet name="xcef" sheetId="18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0" i="28" l="1"/>
  <c r="BH10" i="28"/>
  <c r="AX10" i="28"/>
  <c r="AL10" i="28"/>
  <c r="Z10" i="28"/>
  <c r="N10" i="28"/>
  <c r="B10" i="28"/>
  <c r="BT122" i="28"/>
  <c r="BH122" i="28"/>
  <c r="AX122" i="28"/>
  <c r="AL122" i="28"/>
  <c r="Z122" i="28"/>
  <c r="N122" i="28"/>
  <c r="B122" i="28"/>
  <c r="BT121" i="28"/>
  <c r="BH121" i="28"/>
  <c r="AX121" i="28"/>
  <c r="AL121" i="28"/>
  <c r="Z121" i="28"/>
  <c r="N121" i="28"/>
  <c r="B121" i="28"/>
  <c r="BT120" i="28"/>
  <c r="BH120" i="28"/>
  <c r="AX120" i="28"/>
  <c r="AL120" i="28"/>
  <c r="Z120" i="28"/>
  <c r="N120" i="28"/>
  <c r="B120" i="28"/>
  <c r="BT119" i="28"/>
  <c r="BH119" i="28"/>
  <c r="AX119" i="28"/>
  <c r="AL119" i="28"/>
  <c r="Z119" i="28"/>
  <c r="N119" i="28"/>
  <c r="B119" i="28"/>
  <c r="BT118" i="28"/>
  <c r="BH118" i="28"/>
  <c r="AX118" i="28"/>
  <c r="AL118" i="28"/>
  <c r="Z118" i="28"/>
  <c r="N118" i="28"/>
  <c r="B118" i="28"/>
  <c r="BT117" i="28"/>
  <c r="BH117" i="28"/>
  <c r="AX117" i="28"/>
  <c r="AL117" i="28"/>
  <c r="Z117" i="28"/>
  <c r="N117" i="28"/>
  <c r="B117" i="28"/>
  <c r="BT116" i="28"/>
  <c r="BH116" i="28"/>
  <c r="AX116" i="28"/>
  <c r="AL116" i="28"/>
  <c r="Z116" i="28"/>
  <c r="N116" i="28"/>
  <c r="B116" i="28"/>
  <c r="BT115" i="28"/>
  <c r="BH115" i="28"/>
  <c r="AX115" i="28"/>
  <c r="AL115" i="28"/>
  <c r="Z115" i="28"/>
  <c r="N115" i="28"/>
  <c r="B115" i="28"/>
  <c r="BT114" i="28"/>
  <c r="BH114" i="28"/>
  <c r="AX114" i="28"/>
  <c r="AL114" i="28"/>
  <c r="Z114" i="28"/>
  <c r="N114" i="28"/>
  <c r="B114" i="28"/>
  <c r="BT113" i="28"/>
  <c r="BH113" i="28"/>
  <c r="AX113" i="28"/>
  <c r="AL113" i="28"/>
  <c r="Z113" i="28"/>
  <c r="N113" i="28"/>
  <c r="B113" i="28"/>
  <c r="BT112" i="28"/>
  <c r="BH112" i="28"/>
  <c r="AX112" i="28"/>
  <c r="AL112" i="28"/>
  <c r="Z112" i="28"/>
  <c r="N112" i="28"/>
  <c r="B112" i="28"/>
  <c r="BT111" i="28"/>
  <c r="BH111" i="28"/>
  <c r="AX111" i="28"/>
  <c r="AL111" i="28"/>
  <c r="Z111" i="28"/>
  <c r="N111" i="28"/>
  <c r="B111" i="28"/>
  <c r="BT110" i="28"/>
  <c r="BH110" i="28"/>
  <c r="AX110" i="28"/>
  <c r="AL110" i="28"/>
  <c r="Z110" i="28"/>
  <c r="N110" i="28"/>
  <c r="B110" i="28"/>
  <c r="BT109" i="28"/>
  <c r="BH109" i="28"/>
  <c r="AX109" i="28"/>
  <c r="AL109" i="28"/>
  <c r="Z109" i="28"/>
  <c r="N109" i="28"/>
  <c r="B109" i="28"/>
  <c r="BT108" i="28"/>
  <c r="BH108" i="28"/>
  <c r="AX108" i="28"/>
  <c r="AL108" i="28"/>
  <c r="Z108" i="28"/>
  <c r="N108" i="28"/>
  <c r="B108" i="28"/>
  <c r="BT107" i="28"/>
  <c r="BH107" i="28"/>
  <c r="AX107" i="28"/>
  <c r="AL107" i="28"/>
  <c r="Z107" i="28"/>
  <c r="N107" i="28"/>
  <c r="B107" i="28"/>
  <c r="BT106" i="28"/>
  <c r="BH106" i="28"/>
  <c r="AX106" i="28"/>
  <c r="AL106" i="28"/>
  <c r="Z106" i="28"/>
  <c r="N106" i="28"/>
  <c r="B106" i="28"/>
  <c r="BT105" i="28"/>
  <c r="BH105" i="28"/>
  <c r="AX105" i="28"/>
  <c r="AL105" i="28"/>
  <c r="Z105" i="28"/>
  <c r="N105" i="28"/>
  <c r="B105" i="28"/>
  <c r="BT104" i="28"/>
  <c r="BH104" i="28"/>
  <c r="AX104" i="28"/>
  <c r="AL104" i="28"/>
  <c r="Z104" i="28"/>
  <c r="N104" i="28"/>
  <c r="B104" i="28"/>
  <c r="BT103" i="28"/>
  <c r="BH103" i="28"/>
  <c r="AX103" i="28"/>
  <c r="AL103" i="28"/>
  <c r="Z103" i="28"/>
  <c r="N103" i="28"/>
  <c r="B103" i="28"/>
  <c r="BT102" i="28"/>
  <c r="BH102" i="28"/>
  <c r="AX102" i="28"/>
  <c r="AL102" i="28"/>
  <c r="Z102" i="28"/>
  <c r="N102" i="28"/>
  <c r="B102" i="28"/>
  <c r="BT101" i="28"/>
  <c r="BH101" i="28"/>
  <c r="AX101" i="28"/>
  <c r="AL101" i="28"/>
  <c r="Z101" i="28"/>
  <c r="N101" i="28"/>
  <c r="B101" i="28"/>
  <c r="BT100" i="28"/>
  <c r="BH100" i="28"/>
  <c r="AX100" i="28"/>
  <c r="AL100" i="28"/>
  <c r="Z100" i="28"/>
  <c r="N100" i="28"/>
  <c r="B100" i="28"/>
  <c r="BT99" i="28"/>
  <c r="BH99" i="28"/>
  <c r="AX99" i="28"/>
  <c r="AL99" i="28"/>
  <c r="Z99" i="28"/>
  <c r="N99" i="28"/>
  <c r="B99" i="28"/>
  <c r="BT98" i="28"/>
  <c r="BH98" i="28"/>
  <c r="AX98" i="28"/>
  <c r="AL98" i="28"/>
  <c r="Z98" i="28"/>
  <c r="N98" i="28"/>
  <c r="B98" i="28"/>
  <c r="BT97" i="28"/>
  <c r="BH97" i="28"/>
  <c r="AX97" i="28"/>
  <c r="AL97" i="28"/>
  <c r="Z97" i="28"/>
  <c r="N97" i="28"/>
  <c r="B97" i="28"/>
  <c r="BT96" i="28"/>
  <c r="BH96" i="28"/>
  <c r="AX96" i="28"/>
  <c r="AL96" i="28"/>
  <c r="Z96" i="28"/>
  <c r="N96" i="28"/>
  <c r="B96" i="28"/>
  <c r="BT95" i="28"/>
  <c r="BH95" i="28"/>
  <c r="AX95" i="28"/>
  <c r="AL95" i="28"/>
  <c r="Z95" i="28"/>
  <c r="N95" i="28"/>
  <c r="B95" i="28"/>
  <c r="BT94" i="28"/>
  <c r="BH94" i="28"/>
  <c r="AX94" i="28"/>
  <c r="AL94" i="28"/>
  <c r="Z94" i="28"/>
  <c r="N94" i="28"/>
  <c r="B94" i="28"/>
  <c r="BT93" i="28"/>
  <c r="BH93" i="28"/>
  <c r="AX93" i="28"/>
  <c r="AL93" i="28"/>
  <c r="Z93" i="28"/>
  <c r="N93" i="28"/>
  <c r="B93" i="28"/>
  <c r="BT92" i="28"/>
  <c r="BH92" i="28"/>
  <c r="AX92" i="28"/>
  <c r="AL92" i="28"/>
  <c r="Z92" i="28"/>
  <c r="N92" i="28"/>
  <c r="B92" i="28"/>
  <c r="BT91" i="28"/>
  <c r="BH91" i="28"/>
  <c r="AX91" i="28"/>
  <c r="AL91" i="28"/>
  <c r="Z91" i="28"/>
  <c r="N91" i="28"/>
  <c r="B91" i="28"/>
  <c r="BT90" i="28"/>
  <c r="BH90" i="28"/>
  <c r="AX90" i="28"/>
  <c r="AL90" i="28"/>
  <c r="Z90" i="28"/>
  <c r="N90" i="28"/>
  <c r="B90" i="28"/>
  <c r="BT89" i="28"/>
  <c r="BH89" i="28"/>
  <c r="AX89" i="28"/>
  <c r="AL89" i="28"/>
  <c r="Z89" i="28"/>
  <c r="N89" i="28"/>
  <c r="B89" i="28"/>
  <c r="BT88" i="28"/>
  <c r="BH88" i="28"/>
  <c r="AX88" i="28"/>
  <c r="AL88" i="28"/>
  <c r="Z88" i="28"/>
  <c r="N88" i="28"/>
  <c r="B88" i="28"/>
  <c r="BT87" i="28"/>
  <c r="BH87" i="28"/>
  <c r="AX87" i="28"/>
  <c r="AL87" i="28"/>
  <c r="Z87" i="28"/>
  <c r="N87" i="28"/>
  <c r="B87" i="28"/>
  <c r="BT86" i="28"/>
  <c r="BH86" i="28"/>
  <c r="AX86" i="28"/>
  <c r="AL86" i="28"/>
  <c r="Z86" i="28"/>
  <c r="N86" i="28"/>
  <c r="B86" i="28"/>
  <c r="BT85" i="28"/>
  <c r="BH85" i="28"/>
  <c r="AX85" i="28"/>
  <c r="AL85" i="28"/>
  <c r="Z85" i="28"/>
  <c r="N85" i="28"/>
  <c r="B85" i="28"/>
  <c r="BT84" i="28"/>
  <c r="BH84" i="28"/>
  <c r="AX84" i="28"/>
  <c r="AL84" i="28"/>
  <c r="Z84" i="28"/>
  <c r="N84" i="28"/>
  <c r="B84" i="28"/>
  <c r="BT83" i="28"/>
  <c r="BH83" i="28"/>
  <c r="AX83" i="28"/>
  <c r="AL83" i="28"/>
  <c r="Z83" i="28"/>
  <c r="N83" i="28"/>
  <c r="B83" i="28"/>
  <c r="BT82" i="28"/>
  <c r="BH82" i="28"/>
  <c r="AX82" i="28"/>
  <c r="AL82" i="28"/>
  <c r="Z82" i="28"/>
  <c r="N82" i="28"/>
  <c r="B82" i="28"/>
  <c r="BT81" i="28"/>
  <c r="BH81" i="28"/>
  <c r="AX81" i="28"/>
  <c r="AL81" i="28"/>
  <c r="Z81" i="28"/>
  <c r="N81" i="28"/>
  <c r="B81" i="28"/>
  <c r="BT80" i="28"/>
  <c r="BH80" i="28"/>
  <c r="AX80" i="28"/>
  <c r="AL80" i="28"/>
  <c r="Z80" i="28"/>
  <c r="N80" i="28"/>
  <c r="B80" i="28"/>
  <c r="BT79" i="28"/>
  <c r="BH79" i="28"/>
  <c r="AX79" i="28"/>
  <c r="AL79" i="28"/>
  <c r="Z79" i="28"/>
  <c r="N79" i="28"/>
  <c r="B79" i="28"/>
  <c r="BT78" i="28"/>
  <c r="BH78" i="28"/>
  <c r="AX78" i="28"/>
  <c r="AL78" i="28"/>
  <c r="Z78" i="28"/>
  <c r="N78" i="28"/>
  <c r="B78" i="28"/>
  <c r="BT77" i="28"/>
  <c r="BH77" i="28"/>
  <c r="AX77" i="28"/>
  <c r="AL77" i="28"/>
  <c r="Z77" i="28"/>
  <c r="N77" i="28"/>
  <c r="B77" i="28"/>
  <c r="BT76" i="28"/>
  <c r="BH76" i="28"/>
  <c r="AX76" i="28"/>
  <c r="AL76" i="28"/>
  <c r="Z76" i="28"/>
  <c r="N76" i="28"/>
  <c r="B76" i="28"/>
  <c r="BT75" i="28"/>
  <c r="BH75" i="28"/>
  <c r="AX75" i="28"/>
  <c r="AL75" i="28"/>
  <c r="Z75" i="28"/>
  <c r="N75" i="28"/>
  <c r="B75" i="28"/>
  <c r="BT74" i="28"/>
  <c r="BH74" i="28"/>
  <c r="AX74" i="28"/>
  <c r="AL74" i="28"/>
  <c r="Z74" i="28"/>
  <c r="N74" i="28"/>
  <c r="B74" i="28"/>
  <c r="BT73" i="28"/>
  <c r="BH73" i="28"/>
  <c r="AX73" i="28"/>
  <c r="AL73" i="28"/>
  <c r="Z73" i="28"/>
  <c r="N73" i="28"/>
  <c r="B73" i="28"/>
  <c r="BT72" i="28"/>
  <c r="BH72" i="28"/>
  <c r="AX72" i="28"/>
  <c r="AL72" i="28"/>
  <c r="Z72" i="28"/>
  <c r="N72" i="28"/>
  <c r="B72" i="28"/>
  <c r="BT71" i="28"/>
  <c r="BH71" i="28"/>
  <c r="AX71" i="28"/>
  <c r="AL71" i="28"/>
  <c r="Z71" i="28"/>
  <c r="N71" i="28"/>
  <c r="B71" i="28"/>
  <c r="BT70" i="28"/>
  <c r="BH70" i="28"/>
  <c r="AX70" i="28"/>
  <c r="AL70" i="28"/>
  <c r="Z70" i="28"/>
  <c r="N70" i="28"/>
  <c r="B70" i="28"/>
  <c r="BT69" i="28"/>
  <c r="BH69" i="28"/>
  <c r="AX69" i="28"/>
  <c r="AL69" i="28"/>
  <c r="Z69" i="28"/>
  <c r="N69" i="28"/>
  <c r="B69" i="28"/>
  <c r="BT68" i="28"/>
  <c r="BH68" i="28"/>
  <c r="AX68" i="28"/>
  <c r="AL68" i="28"/>
  <c r="Z68" i="28"/>
  <c r="N68" i="28"/>
  <c r="B68" i="28"/>
  <c r="BT67" i="28"/>
  <c r="BH67" i="28"/>
  <c r="AX67" i="28"/>
  <c r="AL67" i="28"/>
  <c r="Z67" i="28"/>
  <c r="N67" i="28"/>
  <c r="B67" i="28"/>
  <c r="BT66" i="28"/>
  <c r="BH66" i="28"/>
  <c r="AX66" i="28"/>
  <c r="AL66" i="28"/>
  <c r="Z66" i="28"/>
  <c r="N66" i="28"/>
  <c r="B66" i="28"/>
  <c r="BT65" i="28"/>
  <c r="BH65" i="28"/>
  <c r="AX65" i="28"/>
  <c r="AL65" i="28"/>
  <c r="Z65" i="28"/>
  <c r="N65" i="28"/>
  <c r="B65" i="28"/>
  <c r="BT64" i="28"/>
  <c r="BH64" i="28"/>
  <c r="AX64" i="28"/>
  <c r="AL64" i="28"/>
  <c r="Z64" i="28"/>
  <c r="N64" i="28"/>
  <c r="B64" i="28"/>
  <c r="CE63" i="28" a="1"/>
  <c r="CE63" i="28" s="1"/>
  <c r="CD63" i="28" a="1"/>
  <c r="CD63" i="28" s="1"/>
  <c r="CC63" i="28" a="1"/>
  <c r="CC63" i="28" s="1"/>
  <c r="CB63" i="28" a="1"/>
  <c r="CB63" i="28" s="1"/>
  <c r="CA63" i="28" a="1"/>
  <c r="CA63" i="28" s="1"/>
  <c r="BT63" i="28"/>
  <c r="BS63" i="28"/>
  <c r="BS63" i="28" a="1"/>
  <c r="BR63" i="28"/>
  <c r="BR63" i="28" a="1"/>
  <c r="BQ63" i="28" a="1"/>
  <c r="BQ63" i="28" s="1"/>
  <c r="BP63" i="28"/>
  <c r="BP63" i="28" a="1"/>
  <c r="BO63" i="28"/>
  <c r="BO63" i="28" a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X63" i="28"/>
  <c r="AW63" i="28" a="1"/>
  <c r="AW63" i="28" s="1"/>
  <c r="AV63" i="28" a="1"/>
  <c r="AV63" i="28" s="1"/>
  <c r="AU63" i="28" a="1"/>
  <c r="AU63" i="28" s="1"/>
  <c r="AT63" i="28" a="1"/>
  <c r="AT63" i="28" s="1"/>
  <c r="AS63" i="28" a="1"/>
  <c r="AS63" i="28" s="1"/>
  <c r="AL63" i="28"/>
  <c r="AK63" i="28"/>
  <c r="AK63" i="28" a="1"/>
  <c r="AJ63" i="28"/>
  <c r="AJ63" i="28" a="1"/>
  <c r="AI63" i="28"/>
  <c r="AI63" i="28" a="1"/>
  <c r="AH63" i="28"/>
  <c r="AH63" i="28" a="1"/>
  <c r="AG63" i="28"/>
  <c r="AG63" i="28" a="1"/>
  <c r="Z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/>
  <c r="M63" i="28" a="1"/>
  <c r="L63" i="28"/>
  <c r="L63" i="28" a="1"/>
  <c r="K63" i="28"/>
  <c r="K63" i="28" a="1"/>
  <c r="J63" i="28"/>
  <c r="J63" i="28" a="1"/>
  <c r="I63" i="28"/>
  <c r="I63" i="28" a="1"/>
  <c r="B63" i="28"/>
  <c r="CE62" i="28" a="1"/>
  <c r="CE62" i="28" s="1"/>
  <c r="CD62" i="28" a="1"/>
  <c r="CD62" i="28" s="1"/>
  <c r="CC62" i="28" a="1"/>
  <c r="CC62" i="28" s="1"/>
  <c r="CB62" i="28" a="1"/>
  <c r="CB62" i="28" s="1"/>
  <c r="CA62" i="28" a="1"/>
  <c r="CA62" i="28" s="1"/>
  <c r="BT62" i="28"/>
  <c r="BS62" i="28"/>
  <c r="BS62" i="28" a="1"/>
  <c r="BR62" i="28"/>
  <c r="BR62" i="28" a="1"/>
  <c r="BQ62" i="28"/>
  <c r="BQ62" i="28" a="1"/>
  <c r="BP62" i="28"/>
  <c r="BP62" i="28" a="1"/>
  <c r="BO62" i="28"/>
  <c r="BO62" i="28" a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X62" i="28"/>
  <c r="AW62" i="28" a="1"/>
  <c r="AW62" i="28" s="1"/>
  <c r="AV62" i="28" a="1"/>
  <c r="AV62" i="28" s="1"/>
  <c r="AU62" i="28" a="1"/>
  <c r="AU62" i="28" s="1"/>
  <c r="AT62" i="28" a="1"/>
  <c r="AT62" i="28" s="1"/>
  <c r="AS62" i="28" a="1"/>
  <c r="AS62" i="28" s="1"/>
  <c r="AL62" i="28"/>
  <c r="AK62" i="28"/>
  <c r="AK62" i="28" a="1"/>
  <c r="AJ62" i="28"/>
  <c r="AJ62" i="28" a="1"/>
  <c r="AI62" i="28"/>
  <c r="AI62" i="28" a="1"/>
  <c r="AH62" i="28"/>
  <c r="AH62" i="28" a="1"/>
  <c r="AG62" i="28"/>
  <c r="AG62" i="28" a="1"/>
  <c r="Z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/>
  <c r="M62" i="28" a="1"/>
  <c r="L62" i="28"/>
  <c r="L62" i="28" a="1"/>
  <c r="K62" i="28"/>
  <c r="K62" i="28" a="1"/>
  <c r="J62" i="28"/>
  <c r="J62" i="28" a="1"/>
  <c r="I62" i="28"/>
  <c r="I62" i="28" a="1"/>
  <c r="B62" i="28"/>
  <c r="CE61" i="28" a="1"/>
  <c r="CE61" i="28" s="1"/>
  <c r="CD61" i="28" a="1"/>
  <c r="CD61" i="28" s="1"/>
  <c r="CC61" i="28" a="1"/>
  <c r="CC61" i="28" s="1"/>
  <c r="CB61" i="28" a="1"/>
  <c r="CB61" i="28" s="1"/>
  <c r="CA61" i="28" a="1"/>
  <c r="CA61" i="28" s="1"/>
  <c r="BT61" i="28"/>
  <c r="BS61" i="28"/>
  <c r="BS61" i="28" a="1"/>
  <c r="BR61" i="28"/>
  <c r="BR61" i="28" a="1"/>
  <c r="BQ61" i="28"/>
  <c r="BQ61" i="28" a="1"/>
  <c r="BP61" i="28"/>
  <c r="BP61" i="28" a="1"/>
  <c r="BO61" i="28" a="1"/>
  <c r="BO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X61" i="28"/>
  <c r="AW61" i="28" a="1"/>
  <c r="AW61" i="28" s="1"/>
  <c r="AV61" i="28" a="1"/>
  <c r="AV61" i="28" s="1"/>
  <c r="AU61" i="28" a="1"/>
  <c r="AU61" i="28" s="1"/>
  <c r="AT61" i="28" a="1"/>
  <c r="AT61" i="28" s="1"/>
  <c r="AS61" i="28" a="1"/>
  <c r="AS61" i="28" s="1"/>
  <c r="AL61" i="28"/>
  <c r="AK61" i="28"/>
  <c r="AK61" i="28" a="1"/>
  <c r="AJ61" i="28"/>
  <c r="AJ61" i="28" a="1"/>
  <c r="AI61" i="28" a="1"/>
  <c r="AI61" i="28" s="1"/>
  <c r="AH61" i="28"/>
  <c r="AH61" i="28" a="1"/>
  <c r="AG61" i="28" a="1"/>
  <c r="AG61" i="28" s="1"/>
  <c r="Z61" i="28"/>
  <c r="Y61" i="28" a="1"/>
  <c r="Y61" i="28" s="1"/>
  <c r="X61" i="28" a="1"/>
  <c r="X61" i="28" s="1"/>
  <c r="W61" i="28" a="1"/>
  <c r="W61" i="28" s="1"/>
  <c r="V61" i="28" a="1"/>
  <c r="V61" i="28" s="1"/>
  <c r="U61" i="28"/>
  <c r="U61" i="28" a="1"/>
  <c r="N61" i="28"/>
  <c r="M61" i="28" a="1"/>
  <c r="M61" i="28" s="1"/>
  <c r="L61" i="28"/>
  <c r="L61" i="28" a="1"/>
  <c r="K61" i="28"/>
  <c r="K61" i="28" a="1"/>
  <c r="J61" i="28" a="1"/>
  <c r="J61" i="28" s="1"/>
  <c r="I61" i="28" a="1"/>
  <c r="I61" i="28" s="1"/>
  <c r="B61" i="28"/>
  <c r="CE60" i="28" a="1"/>
  <c r="CE60" i="28" s="1"/>
  <c r="CD60" i="28" a="1"/>
  <c r="CD60" i="28" s="1"/>
  <c r="CC60" i="28" a="1"/>
  <c r="CC60" i="28" s="1"/>
  <c r="CB60" i="28" a="1"/>
  <c r="CB60" i="28" s="1"/>
  <c r="CA60" i="28" a="1"/>
  <c r="CA60" i="28" s="1"/>
  <c r="BT60" i="28"/>
  <c r="BS60" i="28" a="1"/>
  <c r="BS60" i="28" s="1"/>
  <c r="BR60" i="28"/>
  <c r="BR60" i="28" a="1"/>
  <c r="BQ60" i="28" a="1"/>
  <c r="BQ60" i="28" s="1"/>
  <c r="BP60" i="28"/>
  <c r="BP60" i="28" a="1"/>
  <c r="BO60" i="28" a="1"/>
  <c r="BO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X60" i="28"/>
  <c r="AW60" i="28" a="1"/>
  <c r="AW60" i="28" s="1"/>
  <c r="AV60" i="28" a="1"/>
  <c r="AV60" i="28" s="1"/>
  <c r="AU60" i="28" a="1"/>
  <c r="AU60" i="28" s="1"/>
  <c r="AT60" i="28" a="1"/>
  <c r="AT60" i="28" s="1"/>
  <c r="AS60" i="28" a="1"/>
  <c r="AS60" i="28" s="1"/>
  <c r="AL60" i="28"/>
  <c r="AK60" i="28"/>
  <c r="AK60" i="28" a="1"/>
  <c r="AJ60" i="28"/>
  <c r="AJ60" i="28" a="1"/>
  <c r="AI60" i="28" a="1"/>
  <c r="AI60" i="28" s="1"/>
  <c r="AH60" i="28"/>
  <c r="AH60" i="28" a="1"/>
  <c r="AG60" i="28"/>
  <c r="AG60" i="28" a="1"/>
  <c r="Z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/>
  <c r="M60" i="28" a="1"/>
  <c r="L60" i="28"/>
  <c r="L60" i="28" a="1"/>
  <c r="K60" i="28"/>
  <c r="K60" i="28" a="1"/>
  <c r="J60" i="28" a="1"/>
  <c r="J60" i="28" s="1"/>
  <c r="I60" i="28"/>
  <c r="I60" i="28" a="1"/>
  <c r="B60" i="28"/>
  <c r="CE59" i="28" a="1"/>
  <c r="CE59" i="28" s="1"/>
  <c r="CD59" i="28" a="1"/>
  <c r="CD59" i="28" s="1"/>
  <c r="CC59" i="28" a="1"/>
  <c r="CC59" i="28" s="1"/>
  <c r="CB59" i="28" a="1"/>
  <c r="CB59" i="28" s="1"/>
  <c r="CA59" i="28" a="1"/>
  <c r="CA59" i="28" s="1"/>
  <c r="BT59" i="28"/>
  <c r="BS59" i="28" a="1"/>
  <c r="BS59" i="28" s="1"/>
  <c r="BR59" i="28"/>
  <c r="BR59" i="28" a="1"/>
  <c r="BQ59" i="28"/>
  <c r="BQ59" i="28" a="1"/>
  <c r="BP59" i="28"/>
  <c r="BP59" i="28" a="1"/>
  <c r="BO59" i="28" a="1"/>
  <c r="BO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X59" i="28"/>
  <c r="AW59" i="28" a="1"/>
  <c r="AW59" i="28" s="1"/>
  <c r="AV59" i="28" a="1"/>
  <c r="AV59" i="28" s="1"/>
  <c r="AU59" i="28" a="1"/>
  <c r="AU59" i="28" s="1"/>
  <c r="AT59" i="28" a="1"/>
  <c r="AT59" i="28" s="1"/>
  <c r="AS59" i="28" a="1"/>
  <c r="AS59" i="28" s="1"/>
  <c r="AL59" i="28"/>
  <c r="AK59" i="28"/>
  <c r="AK59" i="28" a="1"/>
  <c r="AJ59" i="28"/>
  <c r="AJ59" i="28" a="1"/>
  <c r="AI59" i="28" a="1"/>
  <c r="AI59" i="28" s="1"/>
  <c r="AH59" i="28"/>
  <c r="AH59" i="28" a="1"/>
  <c r="AG59" i="28"/>
  <c r="AG59" i="28" a="1"/>
  <c r="Z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/>
  <c r="L59" i="28" a="1"/>
  <c r="K59" i="28"/>
  <c r="K59" i="28" a="1"/>
  <c r="J59" i="28" a="1"/>
  <c r="J59" i="28" s="1"/>
  <c r="I59" i="28"/>
  <c r="I59" i="28" a="1"/>
  <c r="B59" i="28"/>
  <c r="CE58" i="28" a="1"/>
  <c r="CE58" i="28" s="1"/>
  <c r="CD58" i="28" a="1"/>
  <c r="CD58" i="28" s="1"/>
  <c r="CC58" i="28" a="1"/>
  <c r="CC58" i="28" s="1"/>
  <c r="CB58" i="28" a="1"/>
  <c r="CB58" i="28" s="1"/>
  <c r="CA58" i="28" a="1"/>
  <c r="CA58" i="28" s="1"/>
  <c r="BT58" i="28"/>
  <c r="BS58" i="28" a="1"/>
  <c r="BS58" i="28" s="1"/>
  <c r="BR58" i="28"/>
  <c r="BR58" i="28" a="1"/>
  <c r="BQ58" i="28"/>
  <c r="BQ58" i="28" a="1"/>
  <c r="BP58" i="28"/>
  <c r="BP58" i="28" a="1"/>
  <c r="BO58" i="28" a="1"/>
  <c r="BO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X58" i="28"/>
  <c r="AW58" i="28" a="1"/>
  <c r="AW58" i="28" s="1"/>
  <c r="AV58" i="28" a="1"/>
  <c r="AV58" i="28" s="1"/>
  <c r="AU58" i="28" a="1"/>
  <c r="AU58" i="28" s="1"/>
  <c r="AT58" i="28" a="1"/>
  <c r="AT58" i="28" s="1"/>
  <c r="AS58" i="28" a="1"/>
  <c r="AS58" i="28" s="1"/>
  <c r="AL58" i="28"/>
  <c r="AK58" i="28"/>
  <c r="AK58" i="28" a="1"/>
  <c r="AJ58" i="28"/>
  <c r="AJ58" i="28" a="1"/>
  <c r="AI58" i="28" a="1"/>
  <c r="AI58" i="28" s="1"/>
  <c r="AH58" i="28"/>
  <c r="AH58" i="28" a="1"/>
  <c r="AG58" i="28"/>
  <c r="AG58" i="28" a="1"/>
  <c r="Z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/>
  <c r="M58" i="28" a="1"/>
  <c r="L58" i="28"/>
  <c r="L58" i="28" a="1"/>
  <c r="K58" i="28"/>
  <c r="K58" i="28" a="1"/>
  <c r="J58" i="28" a="1"/>
  <c r="J58" i="28" s="1"/>
  <c r="I58" i="28"/>
  <c r="I58" i="28" a="1"/>
  <c r="B58" i="28"/>
  <c r="CE57" i="28" a="1"/>
  <c r="CE57" i="28" s="1"/>
  <c r="CD57" i="28" a="1"/>
  <c r="CD57" i="28" s="1"/>
  <c r="CC57" i="28" a="1"/>
  <c r="CC57" i="28" s="1"/>
  <c r="CB57" i="28" a="1"/>
  <c r="CB57" i="28" s="1"/>
  <c r="CA57" i="28" a="1"/>
  <c r="CA57" i="28" s="1"/>
  <c r="BT57" i="28"/>
  <c r="BS57" i="28" a="1"/>
  <c r="BS57" i="28" s="1"/>
  <c r="BR57" i="28"/>
  <c r="BR57" i="28" a="1"/>
  <c r="BQ57" i="28"/>
  <c r="BQ57" i="28" a="1"/>
  <c r="BP57" i="28"/>
  <c r="BP57" i="28" a="1"/>
  <c r="BO57" i="28" a="1"/>
  <c r="BO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X57" i="28"/>
  <c r="AW57" i="28" a="1"/>
  <c r="AW57" i="28" s="1"/>
  <c r="AV57" i="28" a="1"/>
  <c r="AV57" i="28" s="1"/>
  <c r="AU57" i="28" a="1"/>
  <c r="AU57" i="28" s="1"/>
  <c r="AT57" i="28" a="1"/>
  <c r="AT57" i="28" s="1"/>
  <c r="AS57" i="28" a="1"/>
  <c r="AS57" i="28" s="1"/>
  <c r="AL57" i="28"/>
  <c r="AK57" i="28"/>
  <c r="AK57" i="28" a="1"/>
  <c r="AJ57" i="28"/>
  <c r="AJ57" i="28" a="1"/>
  <c r="AI57" i="28" a="1"/>
  <c r="AI57" i="28" s="1"/>
  <c r="AH57" i="28"/>
  <c r="AH57" i="28" a="1"/>
  <c r="AG57" i="28"/>
  <c r="AG57" i="28" a="1"/>
  <c r="Z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/>
  <c r="M57" i="28" a="1"/>
  <c r="L57" i="28"/>
  <c r="L57" i="28" a="1"/>
  <c r="K57" i="28"/>
  <c r="K57" i="28" a="1"/>
  <c r="J57" i="28" a="1"/>
  <c r="J57" i="28" s="1"/>
  <c r="I57" i="28"/>
  <c r="I57" i="28" a="1"/>
  <c r="B57" i="28"/>
  <c r="CE56" i="28" a="1"/>
  <c r="CE56" i="28" s="1"/>
  <c r="CD56" i="28" a="1"/>
  <c r="CD56" i="28" s="1"/>
  <c r="CC56" i="28" a="1"/>
  <c r="CC56" i="28" s="1"/>
  <c r="CB56" i="28" a="1"/>
  <c r="CB56" i="28" s="1"/>
  <c r="CA56" i="28" a="1"/>
  <c r="CA56" i="28" s="1"/>
  <c r="BT56" i="28"/>
  <c r="BS56" i="28" a="1"/>
  <c r="BS56" i="28" s="1"/>
  <c r="BR56" i="28"/>
  <c r="BR56" i="28" a="1"/>
  <c r="BQ56" i="28"/>
  <c r="BQ56" i="28" a="1"/>
  <c r="BP56" i="28"/>
  <c r="BP56" i="28" a="1"/>
  <c r="BO56" i="28" a="1"/>
  <c r="BO56" i="28" s="1"/>
  <c r="BH56" i="28"/>
  <c r="BG56" i="28" a="1"/>
  <c r="BG56" i="28" s="1"/>
  <c r="BF56" i="28"/>
  <c r="BF56" i="28" a="1"/>
  <c r="BE56" i="28" a="1"/>
  <c r="BE56" i="28" s="1"/>
  <c r="BD56" i="28" a="1"/>
  <c r="BD56" i="28" s="1"/>
  <c r="BC56" i="28" a="1"/>
  <c r="BC56" i="28" s="1"/>
  <c r="AX56" i="28"/>
  <c r="AW56" i="28" a="1"/>
  <c r="AW56" i="28" s="1"/>
  <c r="AV56" i="28" a="1"/>
  <c r="AV56" i="28" s="1"/>
  <c r="AU56" i="28" a="1"/>
  <c r="AU56" i="28" s="1"/>
  <c r="AT56" i="28" a="1"/>
  <c r="AT56" i="28" s="1"/>
  <c r="AS56" i="28" a="1"/>
  <c r="AS56" i="28" s="1"/>
  <c r="AL56" i="28"/>
  <c r="AK56" i="28"/>
  <c r="AK56" i="28" a="1"/>
  <c r="AJ56" i="28"/>
  <c r="AJ56" i="28" a="1"/>
  <c r="AI56" i="28" a="1"/>
  <c r="AI56" i="28" s="1"/>
  <c r="AH56" i="28"/>
  <c r="AH56" i="28" a="1"/>
  <c r="AG56" i="28"/>
  <c r="AG56" i="28" a="1"/>
  <c r="Z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/>
  <c r="L56" i="28" a="1"/>
  <c r="K56" i="28"/>
  <c r="K56" i="28" a="1"/>
  <c r="J56" i="28" a="1"/>
  <c r="J56" i="28" s="1"/>
  <c r="I56" i="28"/>
  <c r="I56" i="28" a="1"/>
  <c r="B56" i="28"/>
  <c r="CE55" i="28" a="1"/>
  <c r="CE55" i="28" s="1"/>
  <c r="CD55" i="28" a="1"/>
  <c r="CD55" i="28" s="1"/>
  <c r="CC55" i="28" a="1"/>
  <c r="CC55" i="28" s="1"/>
  <c r="CB55" i="28" a="1"/>
  <c r="CB55" i="28" s="1"/>
  <c r="CA55" i="28" a="1"/>
  <c r="CA55" i="28" s="1"/>
  <c r="BT55" i="28"/>
  <c r="BS55" i="28" a="1"/>
  <c r="BS55" i="28" s="1"/>
  <c r="BR55" i="28"/>
  <c r="BR55" i="28" a="1"/>
  <c r="BQ55" i="28"/>
  <c r="BQ55" i="28" a="1"/>
  <c r="BP55" i="28"/>
  <c r="BP55" i="28" a="1"/>
  <c r="BO55" i="28" a="1"/>
  <c r="BO55" i="28" s="1"/>
  <c r="BH55" i="28"/>
  <c r="BG55" i="28" a="1"/>
  <c r="BG55" i="28" s="1"/>
  <c r="BF55" i="28"/>
  <c r="BF55" i="28" a="1"/>
  <c r="BE55" i="28" a="1"/>
  <c r="BE55" i="28" s="1"/>
  <c r="BD55" i="28" a="1"/>
  <c r="BD55" i="28" s="1"/>
  <c r="BC55" i="28" a="1"/>
  <c r="BC55" i="28" s="1"/>
  <c r="AX55" i="28"/>
  <c r="AW55" i="28" a="1"/>
  <c r="AW55" i="28" s="1"/>
  <c r="AV55" i="28" a="1"/>
  <c r="AV55" i="28" s="1"/>
  <c r="AU55" i="28" a="1"/>
  <c r="AU55" i="28" s="1"/>
  <c r="AT55" i="28" a="1"/>
  <c r="AT55" i="28" s="1"/>
  <c r="AS55" i="28" a="1"/>
  <c r="AS55" i="28" s="1"/>
  <c r="AL55" i="28"/>
  <c r="AK55" i="28"/>
  <c r="AK55" i="28" a="1"/>
  <c r="AJ55" i="28"/>
  <c r="AJ55" i="28" a="1"/>
  <c r="AI55" i="28" a="1"/>
  <c r="AI55" i="28" s="1"/>
  <c r="AH55" i="28"/>
  <c r="AH55" i="28" a="1"/>
  <c r="AG55" i="28"/>
  <c r="AG55" i="28" a="1"/>
  <c r="Z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/>
  <c r="M55" i="28" a="1"/>
  <c r="L55" i="28"/>
  <c r="L55" i="28" a="1"/>
  <c r="K55" i="28"/>
  <c r="K55" i="28" a="1"/>
  <c r="J55" i="28" a="1"/>
  <c r="J55" i="28" s="1"/>
  <c r="I55" i="28"/>
  <c r="I55" i="28" a="1"/>
  <c r="B55" i="28"/>
  <c r="CE54" i="28" a="1"/>
  <c r="CE54" i="28" s="1"/>
  <c r="CD54" i="28" a="1"/>
  <c r="CD54" i="28" s="1"/>
  <c r="CC54" i="28" a="1"/>
  <c r="CC54" i="28" s="1"/>
  <c r="CB54" i="28" a="1"/>
  <c r="CB54" i="28" s="1"/>
  <c r="CA54" i="28" a="1"/>
  <c r="CA54" i="28" s="1"/>
  <c r="BT54" i="28"/>
  <c r="BS54" i="28" a="1"/>
  <c r="BS54" i="28" s="1"/>
  <c r="BR54" i="28"/>
  <c r="BR54" i="28" a="1"/>
  <c r="BQ54" i="28" a="1"/>
  <c r="BQ54" i="28" s="1"/>
  <c r="BP54" i="28"/>
  <c r="BP54" i="28" a="1"/>
  <c r="BO54" i="28" a="1"/>
  <c r="BO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 a="1"/>
  <c r="BC54" i="28" s="1"/>
  <c r="AX54" i="28"/>
  <c r="AW54" i="28" a="1"/>
  <c r="AW54" i="28" s="1"/>
  <c r="AV54" i="28" a="1"/>
  <c r="AV54" i="28" s="1"/>
  <c r="AU54" i="28" a="1"/>
  <c r="AU54" i="28" s="1"/>
  <c r="AT54" i="28" a="1"/>
  <c r="AT54" i="28" s="1"/>
  <c r="AS54" i="28"/>
  <c r="AS54" i="28" a="1"/>
  <c r="AL54" i="28"/>
  <c r="AK54" i="28" a="1"/>
  <c r="AK54" i="28" s="1"/>
  <c r="AJ54" i="28"/>
  <c r="AJ54" i="28" a="1"/>
  <c r="AI54" i="28" a="1"/>
  <c r="AI54" i="28" s="1"/>
  <c r="AH54" i="28"/>
  <c r="AH54" i="28" a="1"/>
  <c r="AG54" i="28" a="1"/>
  <c r="AG54" i="28" s="1"/>
  <c r="Z54" i="28"/>
  <c r="Y54" i="28" a="1"/>
  <c r="Y54" i="28" s="1"/>
  <c r="X54" i="28"/>
  <c r="X54" i="28" a="1"/>
  <c r="W54" i="28" a="1"/>
  <c r="W54" i="28" s="1"/>
  <c r="V54" i="28"/>
  <c r="V54" i="28" a="1"/>
  <c r="U54" i="28" a="1"/>
  <c r="U54" i="28" s="1"/>
  <c r="N54" i="28"/>
  <c r="M54" i="28"/>
  <c r="M54" i="28" a="1"/>
  <c r="L54" i="28" a="1"/>
  <c r="L54" i="28" s="1"/>
  <c r="K54" i="28"/>
  <c r="K54" i="28" a="1"/>
  <c r="J54" i="28"/>
  <c r="J54" i="28" a="1"/>
  <c r="I54" i="28"/>
  <c r="I54" i="28" a="1"/>
  <c r="B54" i="28"/>
  <c r="CE53" i="28"/>
  <c r="CE53" i="28" a="1"/>
  <c r="CD53" i="28" a="1"/>
  <c r="CD53" i="28" s="1"/>
  <c r="CC53" i="28"/>
  <c r="CC53" i="28" a="1"/>
  <c r="CB53" i="28" a="1"/>
  <c r="CB53" i="28" s="1"/>
  <c r="CA53" i="28" a="1"/>
  <c r="CA53" i="28" s="1"/>
  <c r="BT53" i="28"/>
  <c r="BS53" i="28" a="1"/>
  <c r="BS53" i="28" s="1"/>
  <c r="BR53" i="28"/>
  <c r="BR53" i="28" a="1"/>
  <c r="BQ53" i="28"/>
  <c r="BQ53" i="28" a="1"/>
  <c r="BP53" i="28"/>
  <c r="BP53" i="28" a="1"/>
  <c r="BO53" i="28" a="1"/>
  <c r="BO53" i="28" s="1"/>
  <c r="BH53" i="28"/>
  <c r="BG53" i="28" a="1"/>
  <c r="BG53" i="28" s="1"/>
  <c r="BF53" i="28"/>
  <c r="BF53" i="28" a="1"/>
  <c r="BE53" i="28" a="1"/>
  <c r="BE53" i="28" s="1"/>
  <c r="BD53" i="28" a="1"/>
  <c r="BD53" i="28" s="1"/>
  <c r="BC53" i="28" a="1"/>
  <c r="BC53" i="28" s="1"/>
  <c r="AX53" i="28"/>
  <c r="AW53" i="28" a="1"/>
  <c r="AW53" i="28" s="1"/>
  <c r="AV53" i="28" a="1"/>
  <c r="AV53" i="28" s="1"/>
  <c r="AU53" i="28" a="1"/>
  <c r="AU53" i="28" s="1"/>
  <c r="AT53" i="28" a="1"/>
  <c r="AT53" i="28" s="1"/>
  <c r="AS53" i="28" a="1"/>
  <c r="AS53" i="28" s="1"/>
  <c r="AL53" i="28"/>
  <c r="AK53" i="28"/>
  <c r="AK53" i="28" a="1"/>
  <c r="AJ53" i="28"/>
  <c r="AJ53" i="28" a="1"/>
  <c r="AI53" i="28" a="1"/>
  <c r="AI53" i="28" s="1"/>
  <c r="AH53" i="28"/>
  <c r="AH53" i="28" a="1"/>
  <c r="AG53" i="28"/>
  <c r="AG53" i="28" a="1"/>
  <c r="Z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/>
  <c r="L53" i="28" a="1"/>
  <c r="K53" i="28"/>
  <c r="K53" i="28" a="1"/>
  <c r="J53" i="28" a="1"/>
  <c r="J53" i="28" s="1"/>
  <c r="I53" i="28"/>
  <c r="I53" i="28" a="1"/>
  <c r="B53" i="28"/>
  <c r="CE52" i="28" a="1"/>
  <c r="CE52" i="28" s="1"/>
  <c r="CD52" i="28" a="1"/>
  <c r="CD52" i="28" s="1"/>
  <c r="CC52" i="28" a="1"/>
  <c r="CC52" i="28" s="1"/>
  <c r="CB52" i="28" a="1"/>
  <c r="CB52" i="28" s="1"/>
  <c r="CA52" i="28"/>
  <c r="CA52" i="28" a="1"/>
  <c r="BT52" i="28"/>
  <c r="BS52" i="28"/>
  <c r="BS52" i="28" a="1"/>
  <c r="BR52" i="28"/>
  <c r="BR52" i="28" a="1"/>
  <c r="BQ52" i="28" a="1"/>
  <c r="BQ52" i="28" s="1"/>
  <c r="BP52" i="28"/>
  <c r="BP52" i="28" a="1"/>
  <c r="BO52" i="28"/>
  <c r="BO52" i="28" a="1"/>
  <c r="BH52" i="28"/>
  <c r="BG52" i="28" a="1"/>
  <c r="BG52" i="28" s="1"/>
  <c r="BF52" i="28" a="1"/>
  <c r="BF52" i="28" s="1"/>
  <c r="BE52" i="28" a="1"/>
  <c r="BE52" i="28" s="1"/>
  <c r="BD52" i="28"/>
  <c r="BD52" i="28" a="1"/>
  <c r="BC52" i="28" a="1"/>
  <c r="BC52" i="28" s="1"/>
  <c r="AX52" i="28"/>
  <c r="AW52" i="28"/>
  <c r="AW52" i="28" a="1"/>
  <c r="AV52" i="28" a="1"/>
  <c r="AV52" i="28" s="1"/>
  <c r="AU52" i="28"/>
  <c r="AU52" i="28" a="1"/>
  <c r="AT52" i="28" a="1"/>
  <c r="AT52" i="28" s="1"/>
  <c r="AS52" i="28" a="1"/>
  <c r="AS52" i="28" s="1"/>
  <c r="AL52" i="28"/>
  <c r="AK52" i="28" a="1"/>
  <c r="AK52" i="28" s="1"/>
  <c r="AJ52" i="28"/>
  <c r="AJ52" i="28" a="1"/>
  <c r="AI52" i="28"/>
  <c r="AI52" i="28" a="1"/>
  <c r="AH52" i="28"/>
  <c r="AH52" i="28" a="1"/>
  <c r="AG52" i="28" a="1"/>
  <c r="AG52" i="28" s="1"/>
  <c r="Z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/>
  <c r="M52" i="28" a="1"/>
  <c r="L52" i="28" a="1"/>
  <c r="L52" i="28" s="1"/>
  <c r="K52" i="28"/>
  <c r="K52" i="28" a="1"/>
  <c r="J52" i="28" a="1"/>
  <c r="J52" i="28" s="1"/>
  <c r="I52" i="28"/>
  <c r="I52" i="28" a="1"/>
  <c r="B52" i="28"/>
  <c r="CE51" i="28" a="1"/>
  <c r="CE51" i="28" s="1"/>
  <c r="CD51" i="28" a="1"/>
  <c r="CD51" i="28" s="1"/>
  <c r="CC51" i="28" a="1"/>
  <c r="CC51" i="28" s="1"/>
  <c r="CB51" i="28" a="1"/>
  <c r="CB51" i="28" s="1"/>
  <c r="CA51" i="28"/>
  <c r="CA51" i="28" a="1"/>
  <c r="BT51" i="28"/>
  <c r="BS51" i="28" a="1"/>
  <c r="BS51" i="28" s="1"/>
  <c r="BR51" i="28"/>
  <c r="BR51" i="28" a="1"/>
  <c r="BQ51" i="28" a="1"/>
  <c r="BQ51" i="28" s="1"/>
  <c r="BP51" i="28"/>
  <c r="BP51" i="28" a="1"/>
  <c r="BO51" i="28" a="1"/>
  <c r="BO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 a="1"/>
  <c r="BC51" i="28" s="1"/>
  <c r="AX51" i="28"/>
  <c r="AW51" i="28" a="1"/>
  <c r="AW51" i="28" s="1"/>
  <c r="AV51" i="28" a="1"/>
  <c r="AV51" i="28" s="1"/>
  <c r="AU51" i="28"/>
  <c r="AU51" i="28" a="1"/>
  <c r="AT51" i="28" a="1"/>
  <c r="AT51" i="28" s="1"/>
  <c r="AS51" i="28"/>
  <c r="AS51" i="28" a="1"/>
  <c r="AL51" i="28"/>
  <c r="AK51" i="28" a="1"/>
  <c r="AK51" i="28" s="1"/>
  <c r="AJ51" i="28"/>
  <c r="AJ51" i="28" a="1"/>
  <c r="AI51" i="28" a="1"/>
  <c r="AI51" i="28" s="1"/>
  <c r="AH51" i="28"/>
  <c r="AH51" i="28" a="1"/>
  <c r="AG51" i="28" a="1"/>
  <c r="AG51" i="28" s="1"/>
  <c r="Z51" i="28"/>
  <c r="Y51" i="28" a="1"/>
  <c r="Y51" i="28" s="1"/>
  <c r="X51" i="28" a="1"/>
  <c r="X51" i="28" s="1"/>
  <c r="W51" i="28" a="1"/>
  <c r="W51" i="28" s="1"/>
  <c r="V51" i="28" a="1"/>
  <c r="V51" i="28" s="1"/>
  <c r="U51" i="28"/>
  <c r="U51" i="28" a="1"/>
  <c r="N51" i="28"/>
  <c r="M51" i="28" a="1"/>
  <c r="M51" i="28" s="1"/>
  <c r="L51" i="28"/>
  <c r="L51" i="28" a="1"/>
  <c r="K51" i="28"/>
  <c r="K51" i="28" a="1"/>
  <c r="J51" i="28" a="1"/>
  <c r="J51" i="28" s="1"/>
  <c r="I51" i="28" a="1"/>
  <c r="I51" i="28" s="1"/>
  <c r="B51" i="28"/>
  <c r="CE50" i="28" a="1"/>
  <c r="CE50" i="28" s="1"/>
  <c r="CD50" i="28" a="1"/>
  <c r="CD50" i="28" s="1"/>
  <c r="CC50" i="28"/>
  <c r="CC50" i="28" a="1"/>
  <c r="CB50" i="28"/>
  <c r="CB50" i="28" a="1"/>
  <c r="CA50" i="28" a="1"/>
  <c r="CA50" i="28" s="1"/>
  <c r="BT50" i="28"/>
  <c r="BS50" i="28" a="1"/>
  <c r="BS50" i="28" s="1"/>
  <c r="BR50" i="28"/>
  <c r="BR50" i="28" a="1"/>
  <c r="BQ50" i="28" a="1"/>
  <c r="BQ50" i="28" s="1"/>
  <c r="BP50" i="28"/>
  <c r="BP50" i="28" a="1"/>
  <c r="BO50" i="28" a="1"/>
  <c r="BO50" i="28" s="1"/>
  <c r="BH50" i="28"/>
  <c r="BG50" i="28"/>
  <c r="BG50" i="28" a="1"/>
  <c r="BF50" i="28" a="1"/>
  <c r="BF50" i="28" s="1"/>
  <c r="BE50" i="28" a="1"/>
  <c r="BE50" i="28" s="1"/>
  <c r="BD50" i="28"/>
  <c r="BD50" i="28" a="1"/>
  <c r="BC50" i="28"/>
  <c r="BC50" i="28" a="1"/>
  <c r="AX50" i="28"/>
  <c r="AW50" i="28"/>
  <c r="AW50" i="28" a="1"/>
  <c r="AV50" i="28"/>
  <c r="AV50" i="28" a="1"/>
  <c r="AU50" i="28" a="1"/>
  <c r="AU50" i="28" s="1"/>
  <c r="AT50" i="28" a="1"/>
  <c r="AT50" i="28" s="1"/>
  <c r="AS50" i="28"/>
  <c r="AS50" i="28" a="1"/>
  <c r="AL50" i="28"/>
  <c r="AK50" i="28" a="1"/>
  <c r="AK50" i="28" s="1"/>
  <c r="AJ50" i="28"/>
  <c r="AJ50" i="28" a="1"/>
  <c r="AI50" i="28" a="1"/>
  <c r="AI50" i="28" s="1"/>
  <c r="AH50" i="28"/>
  <c r="AH50" i="28" a="1"/>
  <c r="AG50" i="28" a="1"/>
  <c r="AG50" i="28" s="1"/>
  <c r="Z50" i="28"/>
  <c r="Y50" i="28" a="1"/>
  <c r="Y50" i="28" s="1"/>
  <c r="X50" i="28"/>
  <c r="X50" i="28" a="1"/>
  <c r="W50" i="28"/>
  <c r="W50" i="28" a="1"/>
  <c r="V50" i="28" a="1"/>
  <c r="V50" i="28" s="1"/>
  <c r="U50" i="28" a="1"/>
  <c r="U50" i="28" s="1"/>
  <c r="N50" i="28"/>
  <c r="M50" i="28"/>
  <c r="M50" i="28" a="1"/>
  <c r="L50" i="28" a="1"/>
  <c r="L50" i="28" s="1"/>
  <c r="K50" i="28"/>
  <c r="K50" i="28" a="1"/>
  <c r="J50" i="28" a="1"/>
  <c r="J50" i="28" s="1"/>
  <c r="I50" i="28"/>
  <c r="I50" i="28" a="1"/>
  <c r="B50" i="28"/>
  <c r="CE49" i="28" a="1"/>
  <c r="CE49" i="28" s="1"/>
  <c r="CD49" i="28" a="1"/>
  <c r="CD49" i="28" s="1"/>
  <c r="CC49" i="28"/>
  <c r="CC49" i="28" a="1"/>
  <c r="CB49" i="28"/>
  <c r="CB49" i="28" a="1"/>
  <c r="CA49" i="28" a="1"/>
  <c r="CA49" i="28" s="1"/>
  <c r="BT49" i="28"/>
  <c r="BS49" i="28" a="1"/>
  <c r="BS49" i="28" s="1"/>
  <c r="BR49" i="28"/>
  <c r="BR49" i="28" a="1"/>
  <c r="BQ49" i="28" a="1"/>
  <c r="BQ49" i="28" s="1"/>
  <c r="BP49" i="28"/>
  <c r="BP49" i="28" a="1"/>
  <c r="BO49" i="28" a="1"/>
  <c r="BO49" i="28" s="1"/>
  <c r="BH49" i="28"/>
  <c r="BG49" i="28"/>
  <c r="BG49" i="28" a="1"/>
  <c r="BF49" i="28" a="1"/>
  <c r="BF49" i="28" s="1"/>
  <c r="BE49" i="28" a="1"/>
  <c r="BE49" i="28" s="1"/>
  <c r="BD49" i="28"/>
  <c r="BD49" i="28" a="1"/>
  <c r="BC49" i="28"/>
  <c r="BC49" i="28" a="1"/>
  <c r="AX49" i="28"/>
  <c r="AW49" i="28"/>
  <c r="AW49" i="28" a="1"/>
  <c r="AV49" i="28"/>
  <c r="AV49" i="28" a="1"/>
  <c r="AU49" i="28" a="1"/>
  <c r="AU49" i="28" s="1"/>
  <c r="AT49" i="28" a="1"/>
  <c r="AT49" i="28" s="1"/>
  <c r="AS49" i="28"/>
  <c r="AS49" i="28" a="1"/>
  <c r="AL49" i="28"/>
  <c r="AK49" i="28" a="1"/>
  <c r="AK49" i="28" s="1"/>
  <c r="AJ49" i="28"/>
  <c r="AJ49" i="28" a="1"/>
  <c r="AI49" i="28" a="1"/>
  <c r="AI49" i="28" s="1"/>
  <c r="AH49" i="28"/>
  <c r="AH49" i="28" a="1"/>
  <c r="AG49" i="28" a="1"/>
  <c r="AG49" i="28" s="1"/>
  <c r="Z49" i="28"/>
  <c r="Y49" i="28" a="1"/>
  <c r="Y49" i="28" s="1"/>
  <c r="X49" i="28"/>
  <c r="X49" i="28" a="1"/>
  <c r="W49" i="28"/>
  <c r="W49" i="28" a="1"/>
  <c r="V49" i="28" a="1"/>
  <c r="V49" i="28" s="1"/>
  <c r="U49" i="28" a="1"/>
  <c r="U49" i="28" s="1"/>
  <c r="N49" i="28"/>
  <c r="M49" i="28"/>
  <c r="M49" i="28" a="1"/>
  <c r="L49" i="28" a="1"/>
  <c r="L49" i="28" s="1"/>
  <c r="K49" i="28"/>
  <c r="K49" i="28" a="1"/>
  <c r="J49" i="28" a="1"/>
  <c r="J49" i="28" s="1"/>
  <c r="I49" i="28"/>
  <c r="I49" i="28" a="1"/>
  <c r="B49" i="28"/>
  <c r="CE48" i="28" a="1"/>
  <c r="CE48" i="28" s="1"/>
  <c r="CD48" i="28" a="1"/>
  <c r="CD48" i="28" s="1"/>
  <c r="CC48" i="28"/>
  <c r="CC48" i="28" a="1"/>
  <c r="CB48" i="28"/>
  <c r="CB48" i="28" a="1"/>
  <c r="CA48" i="28" a="1"/>
  <c r="CA48" i="28" s="1"/>
  <c r="BT48" i="28"/>
  <c r="BS48" i="28" a="1"/>
  <c r="BS48" i="28" s="1"/>
  <c r="BR48" i="28"/>
  <c r="BR48" i="28" a="1"/>
  <c r="BQ48" i="28" a="1"/>
  <c r="BQ48" i="28" s="1"/>
  <c r="BP48" i="28"/>
  <c r="BP48" i="28" a="1"/>
  <c r="BO48" i="28" a="1"/>
  <c r="BO48" i="28" s="1"/>
  <c r="BH48" i="28"/>
  <c r="BG48" i="28"/>
  <c r="BG48" i="28" a="1"/>
  <c r="BF48" i="28" a="1"/>
  <c r="BF48" i="28" s="1"/>
  <c r="BE48" i="28" a="1"/>
  <c r="BE48" i="28" s="1"/>
  <c r="BD48" i="28"/>
  <c r="BD48" i="28" a="1"/>
  <c r="BC48" i="28" a="1"/>
  <c r="BC48" i="28" s="1"/>
  <c r="AX48" i="28"/>
  <c r="AW48" i="28"/>
  <c r="AW48" i="28" a="1"/>
  <c r="AV48" i="28" a="1"/>
  <c r="AV48" i="28" s="1"/>
  <c r="AU48" i="28" a="1"/>
  <c r="AU48" i="28" s="1"/>
  <c r="AT48" i="28" a="1"/>
  <c r="AT48" i="28" s="1"/>
  <c r="AS48" i="28"/>
  <c r="AS48" i="28" a="1"/>
  <c r="AL48" i="28"/>
  <c r="AK48" i="28" a="1"/>
  <c r="AK48" i="28" s="1"/>
  <c r="AJ48" i="28"/>
  <c r="AJ48" i="28" a="1"/>
  <c r="AI48" i="28" a="1"/>
  <c r="AI48" i="28" s="1"/>
  <c r="AH48" i="28"/>
  <c r="AH48" i="28" a="1"/>
  <c r="AG48" i="28" a="1"/>
  <c r="AG48" i="28" s="1"/>
  <c r="Z48" i="28"/>
  <c r="Y48" i="28" a="1"/>
  <c r="Y48" i="28" s="1"/>
  <c r="X48" i="28"/>
  <c r="X48" i="28" a="1"/>
  <c r="W48" i="28" a="1"/>
  <c r="W48" i="28" s="1"/>
  <c r="V48" i="28" a="1"/>
  <c r="V48" i="28" s="1"/>
  <c r="U48" i="28" a="1"/>
  <c r="U48" i="28" s="1"/>
  <c r="N48" i="28"/>
  <c r="M48" i="28"/>
  <c r="M48" i="28" a="1"/>
  <c r="L48" i="28" a="1"/>
  <c r="L48" i="28" s="1"/>
  <c r="K48" i="28"/>
  <c r="K48" i="28" a="1"/>
  <c r="J48" i="28" a="1"/>
  <c r="J48" i="28" s="1"/>
  <c r="I48" i="28"/>
  <c r="I48" i="28" a="1"/>
  <c r="B48" i="28"/>
  <c r="CE47" i="28" a="1"/>
  <c r="CE47" i="28" s="1"/>
  <c r="CD47" i="28" a="1"/>
  <c r="CD47" i="28" s="1"/>
  <c r="CC47" i="28"/>
  <c r="CC47" i="28" a="1"/>
  <c r="CB47" i="28" a="1"/>
  <c r="CB47" i="28" s="1"/>
  <c r="CA47" i="28" a="1"/>
  <c r="CA47" i="28" s="1"/>
  <c r="BT47" i="28"/>
  <c r="BS47" i="28" a="1"/>
  <c r="BS47" i="28" s="1"/>
  <c r="BR47" i="28"/>
  <c r="BR47" i="28" a="1"/>
  <c r="BQ47" i="28" a="1"/>
  <c r="BQ47" i="28" s="1"/>
  <c r="BP47" i="28"/>
  <c r="BP47" i="28" a="1"/>
  <c r="BO47" i="28" a="1"/>
  <c r="BO47" i="28" s="1"/>
  <c r="BH47" i="28"/>
  <c r="BG47" i="28" a="1"/>
  <c r="BG47" i="28" s="1"/>
  <c r="BF47" i="28" a="1"/>
  <c r="BF47" i="28" s="1"/>
  <c r="BE47" i="28" a="1"/>
  <c r="BE47" i="28" s="1"/>
  <c r="BD47" i="28"/>
  <c r="BD47" i="28" a="1"/>
  <c r="BC47" i="28" a="1"/>
  <c r="BC47" i="28" s="1"/>
  <c r="AX47" i="28"/>
  <c r="AW47" i="28"/>
  <c r="AW47" i="28" a="1"/>
  <c r="AV47" i="28" a="1"/>
  <c r="AV47" i="28" s="1"/>
  <c r="AU47" i="28" a="1"/>
  <c r="AU47" i="28" s="1"/>
  <c r="AT47" i="28" a="1"/>
  <c r="AT47" i="28" s="1"/>
  <c r="AS47" i="28"/>
  <c r="AS47" i="28" a="1"/>
  <c r="AL47" i="28"/>
  <c r="AK47" i="28" a="1"/>
  <c r="AK47" i="28" s="1"/>
  <c r="AJ47" i="28"/>
  <c r="AJ47" i="28" a="1"/>
  <c r="AI47" i="28" a="1"/>
  <c r="AI47" i="28" s="1"/>
  <c r="AH47" i="28"/>
  <c r="AH47" i="28" a="1"/>
  <c r="AG47" i="28" a="1"/>
  <c r="AG47" i="28" s="1"/>
  <c r="Z47" i="28"/>
  <c r="Y47" i="28" a="1"/>
  <c r="Y47" i="28" s="1"/>
  <c r="X47" i="28"/>
  <c r="X47" i="28" a="1"/>
  <c r="W47" i="28" a="1"/>
  <c r="W47" i="28" s="1"/>
  <c r="V47" i="28" a="1"/>
  <c r="V47" i="28" s="1"/>
  <c r="U47" i="28" a="1"/>
  <c r="U47" i="28" s="1"/>
  <c r="N47" i="28"/>
  <c r="M47" i="28"/>
  <c r="M47" i="28" a="1"/>
  <c r="L47" i="28" a="1"/>
  <c r="L47" i="28" s="1"/>
  <c r="K47" i="28"/>
  <c r="K47" i="28" a="1"/>
  <c r="J47" i="28" a="1"/>
  <c r="J47" i="28" s="1"/>
  <c r="I47" i="28"/>
  <c r="I47" i="28" a="1"/>
  <c r="B47" i="28"/>
  <c r="CE46" i="28" a="1"/>
  <c r="CE46" i="28" s="1"/>
  <c r="CD46" i="28" a="1"/>
  <c r="CD46" i="28" s="1"/>
  <c r="CC46" i="28"/>
  <c r="CC46" i="28" a="1"/>
  <c r="CB46" i="28" a="1"/>
  <c r="CB46" i="28" s="1"/>
  <c r="CA46" i="28" a="1"/>
  <c r="CA46" i="28" s="1"/>
  <c r="BT46" i="28"/>
  <c r="BS46" i="28" a="1"/>
  <c r="BS46" i="28" s="1"/>
  <c r="BR46" i="28"/>
  <c r="BR46" i="28" a="1"/>
  <c r="BQ46" i="28" a="1"/>
  <c r="BQ46" i="28" s="1"/>
  <c r="BP46" i="28"/>
  <c r="BP46" i="28" a="1"/>
  <c r="BO46" i="28" a="1"/>
  <c r="BO46" i="28" s="1"/>
  <c r="BH46" i="28"/>
  <c r="BG46" i="28" a="1"/>
  <c r="BG46" i="28" s="1"/>
  <c r="BF46" i="28" a="1"/>
  <c r="BF46" i="28" s="1"/>
  <c r="BE46" i="28" a="1"/>
  <c r="BE46" i="28" s="1"/>
  <c r="BD46" i="28"/>
  <c r="BD46" i="28" a="1"/>
  <c r="BC46" i="28" a="1"/>
  <c r="BC46" i="28" s="1"/>
  <c r="AX46" i="28"/>
  <c r="AW46" i="28"/>
  <c r="AW46" i="28" a="1"/>
  <c r="AV46" i="28" a="1"/>
  <c r="AV46" i="28" s="1"/>
  <c r="AU46" i="28" a="1"/>
  <c r="AU46" i="28" s="1"/>
  <c r="AT46" i="28" a="1"/>
  <c r="AT46" i="28" s="1"/>
  <c r="AS46" i="28" a="1"/>
  <c r="AS46" i="28" s="1"/>
  <c r="AL46" i="28"/>
  <c r="AK46" i="28" a="1"/>
  <c r="AK46" i="28" s="1"/>
  <c r="AJ46" i="28"/>
  <c r="AJ46" i="28" a="1"/>
  <c r="AI46" i="28" a="1"/>
  <c r="AI46" i="28" s="1"/>
  <c r="AH46" i="28"/>
  <c r="AH46" i="28" a="1"/>
  <c r="AG46" i="28" a="1"/>
  <c r="AG46" i="28" s="1"/>
  <c r="Z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/>
  <c r="M46" i="28" a="1"/>
  <c r="L46" i="28"/>
  <c r="L46" i="28" a="1"/>
  <c r="K46" i="28"/>
  <c r="K46" i="28" a="1"/>
  <c r="J46" i="28" a="1"/>
  <c r="J46" i="28" s="1"/>
  <c r="I46" i="28"/>
  <c r="I46" i="28" a="1"/>
  <c r="B46" i="28"/>
  <c r="CE45" i="28" a="1"/>
  <c r="CE45" i="28" s="1"/>
  <c r="CD45" i="28" a="1"/>
  <c r="CD45" i="28" s="1"/>
  <c r="CC45" i="28" a="1"/>
  <c r="CC45" i="28" s="1"/>
  <c r="CB45" i="28" a="1"/>
  <c r="CB45" i="28" s="1"/>
  <c r="CA45" i="28" a="1"/>
  <c r="CA45" i="28" s="1"/>
  <c r="BT45" i="28"/>
  <c r="BS45" i="28" a="1"/>
  <c r="BS45" i="28" s="1"/>
  <c r="BR45" i="28"/>
  <c r="BR45" i="28" a="1"/>
  <c r="BQ45" i="28"/>
  <c r="BQ45" i="28" a="1"/>
  <c r="BP45" i="28"/>
  <c r="BP45" i="28" a="1"/>
  <c r="BO45" i="28" a="1"/>
  <c r="BO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X45" i="28"/>
  <c r="AW45" i="28" a="1"/>
  <c r="AW45" i="28" s="1"/>
  <c r="AV45" i="28" a="1"/>
  <c r="AV45" i="28" s="1"/>
  <c r="AU45" i="28" a="1"/>
  <c r="AU45" i="28" s="1"/>
  <c r="AT45" i="28" a="1"/>
  <c r="AT45" i="28" s="1"/>
  <c r="AS45" i="28" a="1"/>
  <c r="AS45" i="28" s="1"/>
  <c r="AL45" i="28"/>
  <c r="AK45" i="28"/>
  <c r="AK45" i="28" a="1"/>
  <c r="AJ45" i="28"/>
  <c r="AJ45" i="28" a="1"/>
  <c r="AI45" i="28" a="1"/>
  <c r="AI45" i="28" s="1"/>
  <c r="AH45" i="28"/>
  <c r="AH45" i="28" a="1"/>
  <c r="AG45" i="28"/>
  <c r="AG45" i="28" a="1"/>
  <c r="Z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/>
  <c r="M45" i="28" a="1"/>
  <c r="L45" i="28"/>
  <c r="L45" i="28" a="1"/>
  <c r="K45" i="28"/>
  <c r="K45" i="28" a="1"/>
  <c r="J45" i="28" a="1"/>
  <c r="J45" i="28" s="1"/>
  <c r="I45" i="28"/>
  <c r="I45" i="28" a="1"/>
  <c r="B45" i="28"/>
  <c r="CE44" i="28" a="1"/>
  <c r="CE44" i="28" s="1"/>
  <c r="CD44" i="28" a="1"/>
  <c r="CD44" i="28" s="1"/>
  <c r="CC44" i="28" a="1"/>
  <c r="CC44" i="28" s="1"/>
  <c r="CB44" i="28" a="1"/>
  <c r="CB44" i="28" s="1"/>
  <c r="CA44" i="28" a="1"/>
  <c r="CA44" i="28" s="1"/>
  <c r="BT44" i="28"/>
  <c r="BS44" i="28"/>
  <c r="BS44" i="28" a="1"/>
  <c r="BR44" i="28"/>
  <c r="BR44" i="28" a="1"/>
  <c r="BQ44" i="28"/>
  <c r="BQ44" i="28" a="1"/>
  <c r="BP44" i="28"/>
  <c r="BP44" i="28" a="1"/>
  <c r="BO44" i="28" a="1"/>
  <c r="BO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X44" i="28"/>
  <c r="AW44" i="28" a="1"/>
  <c r="AW44" i="28" s="1"/>
  <c r="AV44" i="28" a="1"/>
  <c r="AV44" i="28" s="1"/>
  <c r="AU44" i="28" a="1"/>
  <c r="AU44" i="28" s="1"/>
  <c r="AT44" i="28" a="1"/>
  <c r="AT44" i="28" s="1"/>
  <c r="AS44" i="28" a="1"/>
  <c r="AS44" i="28" s="1"/>
  <c r="AL44" i="28"/>
  <c r="AK44" i="28"/>
  <c r="AK44" i="28" a="1"/>
  <c r="AJ44" i="28"/>
  <c r="AJ44" i="28" a="1"/>
  <c r="AI44" i="28"/>
  <c r="AI44" i="28" a="1"/>
  <c r="AH44" i="28"/>
  <c r="AH44" i="28" a="1"/>
  <c r="AG44" i="28"/>
  <c r="AG44" i="28" a="1"/>
  <c r="Z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/>
  <c r="M44" i="28" a="1"/>
  <c r="L44" i="28"/>
  <c r="L44" i="28" a="1"/>
  <c r="K44" i="28"/>
  <c r="K44" i="28" a="1"/>
  <c r="J44" i="28"/>
  <c r="J44" i="28" a="1"/>
  <c r="I44" i="28"/>
  <c r="I44" i="28" a="1"/>
  <c r="B44" i="28"/>
  <c r="CE43" i="28" a="1"/>
  <c r="CE43" i="28" s="1"/>
  <c r="CD43" i="28" a="1"/>
  <c r="CD43" i="28" s="1"/>
  <c r="CC43" i="28" a="1"/>
  <c r="CC43" i="28" s="1"/>
  <c r="CB43" i="28" a="1"/>
  <c r="CB43" i="28" s="1"/>
  <c r="CA43" i="28" a="1"/>
  <c r="CA43" i="28" s="1"/>
  <c r="BT43" i="28"/>
  <c r="BS43" i="28"/>
  <c r="BS43" i="28" a="1"/>
  <c r="BR43" i="28"/>
  <c r="BR43" i="28" a="1"/>
  <c r="BQ43" i="28"/>
  <c r="BQ43" i="28" a="1"/>
  <c r="BP43" i="28"/>
  <c r="BP43" i="28" a="1"/>
  <c r="BO43" i="28"/>
  <c r="BO43" i="28" a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X43" i="28"/>
  <c r="AW43" i="28" a="1"/>
  <c r="AW43" i="28" s="1"/>
  <c r="AV43" i="28" a="1"/>
  <c r="AV43" i="28" s="1"/>
  <c r="AU43" i="28" a="1"/>
  <c r="AU43" i="28" s="1"/>
  <c r="AT43" i="28" a="1"/>
  <c r="AT43" i="28" s="1"/>
  <c r="AS43" i="28" a="1"/>
  <c r="AS43" i="28" s="1"/>
  <c r="AL43" i="28"/>
  <c r="AK43" i="28"/>
  <c r="AK43" i="28" a="1"/>
  <c r="AJ43" i="28"/>
  <c r="AJ43" i="28" a="1"/>
  <c r="AI43" i="28"/>
  <c r="AI43" i="28" a="1"/>
  <c r="AH43" i="28"/>
  <c r="AH43" i="28" a="1"/>
  <c r="AG43" i="28" a="1"/>
  <c r="AG43" i="28" s="1"/>
  <c r="Z43" i="28"/>
  <c r="Y43" i="28" a="1"/>
  <c r="Y43" i="28" s="1"/>
  <c r="X43" i="28"/>
  <c r="X43" i="28" a="1"/>
  <c r="W43" i="28" a="1"/>
  <c r="W43" i="28" s="1"/>
  <c r="V43" i="28" a="1"/>
  <c r="V43" i="28" s="1"/>
  <c r="U43" i="28" a="1"/>
  <c r="U43" i="28" s="1"/>
  <c r="N43" i="28"/>
  <c r="M43" i="28"/>
  <c r="M43" i="28" a="1"/>
  <c r="L43" i="28" a="1"/>
  <c r="L43" i="28" s="1"/>
  <c r="K43" i="28"/>
  <c r="K43" i="28" a="1"/>
  <c r="J43" i="28"/>
  <c r="J43" i="28" a="1"/>
  <c r="I43" i="28"/>
  <c r="I43" i="28" a="1"/>
  <c r="B43" i="28"/>
  <c r="CE42" i="28" a="1"/>
  <c r="CE42" i="28" s="1"/>
  <c r="CD42" i="28" a="1"/>
  <c r="CD42" i="28" s="1"/>
  <c r="CC42" i="28"/>
  <c r="CC42" i="28" a="1"/>
  <c r="CB42" i="28" a="1"/>
  <c r="CB42" i="28" s="1"/>
  <c r="CA42" i="28" a="1"/>
  <c r="CA42" i="28" s="1"/>
  <c r="BT42" i="28"/>
  <c r="BS42" i="28"/>
  <c r="BS42" i="28" a="1"/>
  <c r="BR42" i="28"/>
  <c r="BR42" i="28" a="1"/>
  <c r="BQ42" i="28"/>
  <c r="BQ42" i="28" a="1"/>
  <c r="BP42" i="28"/>
  <c r="BP42" i="28" a="1"/>
  <c r="BO42" i="28"/>
  <c r="BO42" i="28" a="1"/>
  <c r="BH42" i="28"/>
  <c r="BG42" i="28" a="1"/>
  <c r="BG42" i="28" s="1"/>
  <c r="BF42" i="28" a="1"/>
  <c r="BF42" i="28" s="1"/>
  <c r="BE42" i="28" a="1"/>
  <c r="BE42" i="28" s="1"/>
  <c r="BD42" i="28"/>
  <c r="BD42" i="28" a="1"/>
  <c r="BC42" i="28" a="1"/>
  <c r="BC42" i="28" s="1"/>
  <c r="AX42" i="28"/>
  <c r="AW42" i="28" a="1"/>
  <c r="AW42" i="28" s="1"/>
  <c r="AV42" i="28" a="1"/>
  <c r="AV42" i="28" s="1"/>
  <c r="AU42" i="28" a="1"/>
  <c r="AU42" i="28" s="1"/>
  <c r="AT42" i="28" a="1"/>
  <c r="AT42" i="28" s="1"/>
  <c r="AS42" i="28"/>
  <c r="AS42" i="28" a="1"/>
  <c r="AL42" i="28"/>
  <c r="AK42" i="28"/>
  <c r="AK42" i="28" a="1"/>
  <c r="AJ42" i="28"/>
  <c r="AJ42" i="28" a="1"/>
  <c r="AI42" i="28"/>
  <c r="AI42" i="28" a="1"/>
  <c r="AH42" i="28"/>
  <c r="AH42" i="28" a="1"/>
  <c r="AG42" i="28" a="1"/>
  <c r="AG42" i="28" s="1"/>
  <c r="Z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/>
  <c r="M42" i="28" a="1"/>
  <c r="L42" i="28"/>
  <c r="L42" i="28" a="1"/>
  <c r="K42" i="28"/>
  <c r="K42" i="28" a="1"/>
  <c r="J42" i="28" a="1"/>
  <c r="J42" i="28" s="1"/>
  <c r="I42" i="28"/>
  <c r="I42" i="28" a="1"/>
  <c r="B42" i="28"/>
  <c r="CE41" i="28" a="1"/>
  <c r="CE41" i="28" s="1"/>
  <c r="CD41" i="28" a="1"/>
  <c r="CD41" i="28" s="1"/>
  <c r="CC41" i="28" a="1"/>
  <c r="CC41" i="28" s="1"/>
  <c r="CB41" i="28" a="1"/>
  <c r="CB41" i="28" s="1"/>
  <c r="CA41" i="28" a="1"/>
  <c r="CA41" i="28" s="1"/>
  <c r="BT41" i="28"/>
  <c r="BS41" i="28"/>
  <c r="BS41" i="28" a="1"/>
  <c r="BR41" i="28"/>
  <c r="BR41" i="28" a="1"/>
  <c r="BQ41" i="28" a="1"/>
  <c r="BQ41" i="28" s="1"/>
  <c r="BP41" i="28"/>
  <c r="BP41" i="28" a="1"/>
  <c r="BO41" i="28" a="1"/>
  <c r="BO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X41" i="28"/>
  <c r="AW41" i="28" a="1"/>
  <c r="AW41" i="28" s="1"/>
  <c r="AV41" i="28" a="1"/>
  <c r="AV41" i="28" s="1"/>
  <c r="AU41" i="28" a="1"/>
  <c r="AU41" i="28" s="1"/>
  <c r="AT41" i="28" a="1"/>
  <c r="AT41" i="28" s="1"/>
  <c r="AS41" i="28"/>
  <c r="AS41" i="28" a="1"/>
  <c r="AL41" i="28"/>
  <c r="AK41" i="28" a="1"/>
  <c r="AK41" i="28" s="1"/>
  <c r="AJ41" i="28"/>
  <c r="AJ41" i="28" a="1"/>
  <c r="AI41" i="28" a="1"/>
  <c r="AI41" i="28" s="1"/>
  <c r="AH41" i="28"/>
  <c r="AH41" i="28" a="1"/>
  <c r="AG41" i="28" a="1"/>
  <c r="AG41" i="28" s="1"/>
  <c r="Z41" i="28"/>
  <c r="Y41" i="28" a="1"/>
  <c r="Y41" i="28" s="1"/>
  <c r="X41" i="28" a="1"/>
  <c r="X41" i="28" s="1"/>
  <c r="W41" i="28" a="1"/>
  <c r="W41" i="28" s="1"/>
  <c r="V41" i="28"/>
  <c r="V41" i="28" a="1"/>
  <c r="U41" i="28" a="1"/>
  <c r="U41" i="28" s="1"/>
  <c r="N41" i="28"/>
  <c r="M41" i="28"/>
  <c r="M41" i="28" a="1"/>
  <c r="L41" i="28" a="1"/>
  <c r="L41" i="28" s="1"/>
  <c r="K41" i="28"/>
  <c r="K41" i="28" a="1"/>
  <c r="J41" i="28" a="1"/>
  <c r="J41" i="28" s="1"/>
  <c r="I41" i="28"/>
  <c r="I41" i="28" a="1"/>
  <c r="B41" i="28"/>
  <c r="CE40" i="28" a="1"/>
  <c r="CE40" i="28" s="1"/>
  <c r="CD40" i="28" a="1"/>
  <c r="CD40" i="28" s="1"/>
  <c r="CC40" i="28"/>
  <c r="CC40" i="28" a="1"/>
  <c r="CB40" i="28" a="1"/>
  <c r="CB40" i="28" s="1"/>
  <c r="CA40" i="28"/>
  <c r="CA40" i="28" a="1"/>
  <c r="BT40" i="28"/>
  <c r="BS40" i="28" a="1"/>
  <c r="BS40" i="28" s="1"/>
  <c r="BR40" i="28"/>
  <c r="BR40" i="28" a="1"/>
  <c r="BQ40" i="28" a="1"/>
  <c r="BQ40" i="28" s="1"/>
  <c r="BP40" i="28"/>
  <c r="BP40" i="28" a="1"/>
  <c r="BO40" i="28" a="1"/>
  <c r="BO40" i="28" s="1"/>
  <c r="BH40" i="28"/>
  <c r="BG40" i="28" a="1"/>
  <c r="BG40" i="28" s="1"/>
  <c r="BF40" i="28"/>
  <c r="BF40" i="28" a="1"/>
  <c r="BE40" i="28" a="1"/>
  <c r="BE40" i="28" s="1"/>
  <c r="BD40" i="28"/>
  <c r="BD40" i="28" a="1"/>
  <c r="BC40" i="28" a="1"/>
  <c r="BC40" i="28" s="1"/>
  <c r="AX40" i="28"/>
  <c r="AW40" i="28" a="1"/>
  <c r="AW40" i="28" s="1"/>
  <c r="AV40" i="28" a="1"/>
  <c r="AV40" i="28" s="1"/>
  <c r="AU40" i="28" a="1"/>
  <c r="AU40" i="28" s="1"/>
  <c r="AT40" i="28" a="1"/>
  <c r="AT40" i="28" s="1"/>
  <c r="AS40" i="28"/>
  <c r="AS40" i="28" a="1"/>
  <c r="AL40" i="28"/>
  <c r="AK40" i="28" a="1"/>
  <c r="AK40" i="28" s="1"/>
  <c r="AJ40" i="28"/>
  <c r="AJ40" i="28" a="1"/>
  <c r="AI40" i="28" a="1"/>
  <c r="AI40" i="28" s="1"/>
  <c r="AH40" i="28"/>
  <c r="AH40" i="28" a="1"/>
  <c r="AG40" i="28" a="1"/>
  <c r="AG40" i="28" s="1"/>
  <c r="Z40" i="28"/>
  <c r="Y40" i="28" a="1"/>
  <c r="Y40" i="28" s="1"/>
  <c r="X40" i="28" a="1"/>
  <c r="X40" i="28" s="1"/>
  <c r="W40" i="28" a="1"/>
  <c r="W40" i="28" s="1"/>
  <c r="V40" i="28"/>
  <c r="V40" i="28" a="1"/>
  <c r="U40" i="28" a="1"/>
  <c r="U40" i="28" s="1"/>
  <c r="N40" i="28"/>
  <c r="M40" i="28"/>
  <c r="M40" i="28" a="1"/>
  <c r="L40" i="28" a="1"/>
  <c r="L40" i="28" s="1"/>
  <c r="K40" i="28"/>
  <c r="K40" i="28" a="1"/>
  <c r="J40" i="28" a="1"/>
  <c r="J40" i="28" s="1"/>
  <c r="I40" i="28"/>
  <c r="I40" i="28" a="1"/>
  <c r="B40" i="28"/>
  <c r="CE39" i="28"/>
  <c r="CE39" i="28" a="1"/>
  <c r="CD39" i="28"/>
  <c r="CD39" i="28" a="1"/>
  <c r="CC39" i="28"/>
  <c r="CC39" i="28" a="1"/>
  <c r="CB39" i="28" a="1"/>
  <c r="CB39" i="28" s="1"/>
  <c r="CA39" i="28"/>
  <c r="CA39" i="28" a="1"/>
  <c r="BT39" i="28"/>
  <c r="BS39" i="28" a="1"/>
  <c r="BS39" i="28" s="1"/>
  <c r="BR39" i="28"/>
  <c r="BR39" i="28" a="1"/>
  <c r="BQ39" i="28" a="1"/>
  <c r="BQ39" i="28" s="1"/>
  <c r="BP39" i="28"/>
  <c r="BP39" i="28" a="1"/>
  <c r="BO39" i="28" a="1"/>
  <c r="BO39" i="28" s="1"/>
  <c r="BH39" i="28"/>
  <c r="BG39" i="28" a="1"/>
  <c r="BG39" i="28" s="1"/>
  <c r="BF39" i="28"/>
  <c r="BF39" i="28" a="1"/>
  <c r="BE39" i="28"/>
  <c r="BE39" i="28" a="1"/>
  <c r="BD39" i="28"/>
  <c r="BD39" i="28" a="1"/>
  <c r="BC39" i="28" a="1"/>
  <c r="BC39" i="28" s="1"/>
  <c r="AX39" i="28"/>
  <c r="AW39" i="28"/>
  <c r="AW39" i="28" a="1"/>
  <c r="AV39" i="28" a="1"/>
  <c r="AV39" i="28" s="1"/>
  <c r="AU39" i="28" a="1"/>
  <c r="AU39" i="28" s="1"/>
  <c r="AT39" i="28"/>
  <c r="AT39" i="28" a="1"/>
  <c r="AS39" i="28"/>
  <c r="AS39" i="28" a="1"/>
  <c r="AL39" i="28"/>
  <c r="AK39" i="28" a="1"/>
  <c r="AK39" i="28" s="1"/>
  <c r="AJ39" i="28"/>
  <c r="AJ39" i="28" a="1"/>
  <c r="AI39" i="28" a="1"/>
  <c r="AI39" i="28" s="1"/>
  <c r="AH39" i="28"/>
  <c r="AH39" i="28" a="1"/>
  <c r="AG39" i="28" a="1"/>
  <c r="AG39" i="28" s="1"/>
  <c r="Z39" i="28"/>
  <c r="Y39" i="28"/>
  <c r="Y39" i="28" a="1"/>
  <c r="X39" i="28"/>
  <c r="X39" i="28" a="1"/>
  <c r="W39" i="28" a="1"/>
  <c r="W39" i="28" s="1"/>
  <c r="V39" i="28" a="1"/>
  <c r="V39" i="28" s="1"/>
  <c r="U39" i="28"/>
  <c r="U39" i="28" a="1"/>
  <c r="N39" i="28"/>
  <c r="M39" i="28"/>
  <c r="M39" i="28" a="1"/>
  <c r="L39" i="28" a="1"/>
  <c r="L39" i="28" s="1"/>
  <c r="K39" i="28"/>
  <c r="K39" i="28" a="1"/>
  <c r="J39" i="28" a="1"/>
  <c r="J39" i="28" s="1"/>
  <c r="I39" i="28"/>
  <c r="I39" i="28" a="1"/>
  <c r="B39" i="28"/>
  <c r="CE38" i="28"/>
  <c r="CE38" i="28" a="1"/>
  <c r="CD38" i="28"/>
  <c r="CD38" i="28" a="1"/>
  <c r="CC38" i="28"/>
  <c r="CC38" i="28" a="1"/>
  <c r="CB38" i="28" a="1"/>
  <c r="CB38" i="28" s="1"/>
  <c r="CA38" i="28" a="1"/>
  <c r="CA38" i="28" s="1"/>
  <c r="BT38" i="28"/>
  <c r="BS38" i="28" a="1"/>
  <c r="BS38" i="28" s="1"/>
  <c r="BR38" i="28"/>
  <c r="BR38" i="28" a="1"/>
  <c r="BQ38" i="28" a="1"/>
  <c r="BQ38" i="28" s="1"/>
  <c r="BP38" i="28"/>
  <c r="BP38" i="28" a="1"/>
  <c r="BO38" i="28" a="1"/>
  <c r="BO38" i="28" s="1"/>
  <c r="BH38" i="28"/>
  <c r="BG38" i="28" a="1"/>
  <c r="BG38" i="28" s="1"/>
  <c r="BF38" i="28"/>
  <c r="BF38" i="28" a="1"/>
  <c r="BE38" i="28"/>
  <c r="BE38" i="28" a="1"/>
  <c r="BD38" i="28"/>
  <c r="BD38" i="28" a="1"/>
  <c r="BC38" i="28" a="1"/>
  <c r="BC38" i="28" s="1"/>
  <c r="AX38" i="28"/>
  <c r="AW38" i="28"/>
  <c r="AW38" i="28" a="1"/>
  <c r="AV38" i="28" a="1"/>
  <c r="AV38" i="28" s="1"/>
  <c r="AU38" i="28" a="1"/>
  <c r="AU38" i="28" s="1"/>
  <c r="AT38" i="28" a="1"/>
  <c r="AT38" i="28" s="1"/>
  <c r="AS38" i="28"/>
  <c r="AS38" i="28" a="1"/>
  <c r="AL38" i="28"/>
  <c r="AK38" i="28" a="1"/>
  <c r="AK38" i="28" s="1"/>
  <c r="AJ38" i="28"/>
  <c r="AJ38" i="28" a="1"/>
  <c r="AI38" i="28" a="1"/>
  <c r="AI38" i="28" s="1"/>
  <c r="AH38" i="28"/>
  <c r="AH38" i="28" a="1"/>
  <c r="AG38" i="28" a="1"/>
  <c r="AG38" i="28" s="1"/>
  <c r="Z38" i="28"/>
  <c r="Y38" i="28"/>
  <c r="Y38" i="28" a="1"/>
  <c r="X38" i="28"/>
  <c r="X38" i="28" a="1"/>
  <c r="W38" i="28" a="1"/>
  <c r="W38" i="28" s="1"/>
  <c r="V38" i="28" a="1"/>
  <c r="V38" i="28" s="1"/>
  <c r="U38" i="28" a="1"/>
  <c r="U38" i="28" s="1"/>
  <c r="N38" i="28"/>
  <c r="M38" i="28"/>
  <c r="M38" i="28" a="1"/>
  <c r="L38" i="28" a="1"/>
  <c r="L38" i="28" s="1"/>
  <c r="K38" i="28"/>
  <c r="K38" i="28" a="1"/>
  <c r="J38" i="28" a="1"/>
  <c r="J38" i="28" s="1"/>
  <c r="I38" i="28"/>
  <c r="I38" i="28" a="1"/>
  <c r="B38" i="28"/>
  <c r="CE37" i="28" a="1"/>
  <c r="CE37" i="28" s="1"/>
  <c r="CD37" i="28"/>
  <c r="CD37" i="28" a="1"/>
  <c r="CC37" i="28"/>
  <c r="CC37" i="28" a="1"/>
  <c r="CB37" i="28" a="1"/>
  <c r="CB37" i="28" s="1"/>
  <c r="CA37" i="28" a="1"/>
  <c r="CA37" i="28" s="1"/>
  <c r="BT37" i="28"/>
  <c r="BS37" i="28" a="1"/>
  <c r="BS37" i="28" s="1"/>
  <c r="BR37" i="28"/>
  <c r="BR37" i="28" a="1"/>
  <c r="BQ37" i="28" a="1"/>
  <c r="BQ37" i="28" s="1"/>
  <c r="BP37" i="28"/>
  <c r="BP37" i="28" a="1"/>
  <c r="BO37" i="28" a="1"/>
  <c r="BO37" i="28" s="1"/>
  <c r="BH37" i="28"/>
  <c r="BG37" i="28" a="1"/>
  <c r="BG37" i="28" s="1"/>
  <c r="BF37" i="28" a="1"/>
  <c r="BF37" i="28" s="1"/>
  <c r="BE37" i="28" a="1"/>
  <c r="BE37" i="28" s="1"/>
  <c r="BD37" i="28"/>
  <c r="BD37" i="28" a="1"/>
  <c r="BC37" i="28" a="1"/>
  <c r="BC37" i="28" s="1"/>
  <c r="AX37" i="28"/>
  <c r="AW37" i="28"/>
  <c r="AW37" i="28" a="1"/>
  <c r="AV37" i="28" a="1"/>
  <c r="AV37" i="28" s="1"/>
  <c r="AU37" i="28" a="1"/>
  <c r="AU37" i="28" s="1"/>
  <c r="AT37" i="28" a="1"/>
  <c r="AT37" i="28" s="1"/>
  <c r="AS37" i="28" a="1"/>
  <c r="AS37" i="28" s="1"/>
  <c r="AL37" i="28"/>
  <c r="AK37" i="28" a="1"/>
  <c r="AK37" i="28" s="1"/>
  <c r="AJ37" i="28"/>
  <c r="AJ37" i="28" a="1"/>
  <c r="AI37" i="28" a="1"/>
  <c r="AI37" i="28" s="1"/>
  <c r="AH37" i="28"/>
  <c r="AH37" i="28" a="1"/>
  <c r="AG37" i="28" a="1"/>
  <c r="AG37" i="28" s="1"/>
  <c r="Z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/>
  <c r="M37" i="28" a="1"/>
  <c r="L37" i="28" a="1"/>
  <c r="L37" i="28" s="1"/>
  <c r="K37" i="28"/>
  <c r="K37" i="28" a="1"/>
  <c r="J37" i="28" a="1"/>
  <c r="J37" i="28" s="1"/>
  <c r="I37" i="28"/>
  <c r="I37" i="28" a="1"/>
  <c r="B37" i="28"/>
  <c r="CE36" i="28" a="1"/>
  <c r="CE36" i="28" s="1"/>
  <c r="CD36" i="28" a="1"/>
  <c r="CD36" i="28" s="1"/>
  <c r="CC36" i="28" a="1"/>
  <c r="CC36" i="28" s="1"/>
  <c r="CB36" i="28" a="1"/>
  <c r="CB36" i="28" s="1"/>
  <c r="CA36" i="28" a="1"/>
  <c r="CA36" i="28" s="1"/>
  <c r="BT36" i="28"/>
  <c r="BS36" i="28" a="1"/>
  <c r="BS36" i="28" s="1"/>
  <c r="BR36" i="28"/>
  <c r="BR36" i="28" a="1"/>
  <c r="BQ36" i="28" a="1"/>
  <c r="BQ36" i="28" s="1"/>
  <c r="BP36" i="28"/>
  <c r="BP36" i="28" a="1"/>
  <c r="BO36" i="28" a="1"/>
  <c r="BO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X36" i="28"/>
  <c r="AW36" i="28" a="1"/>
  <c r="AW36" i="28" s="1"/>
  <c r="AV36" i="28" a="1"/>
  <c r="AV36" i="28" s="1"/>
  <c r="AU36" i="28" a="1"/>
  <c r="AU36" i="28" s="1"/>
  <c r="AT36" i="28" a="1"/>
  <c r="AT36" i="28" s="1"/>
  <c r="AS36" i="28" a="1"/>
  <c r="AS36" i="28" s="1"/>
  <c r="AL36" i="28"/>
  <c r="AK36" i="28" a="1"/>
  <c r="AK36" i="28" s="1"/>
  <c r="AJ36" i="28"/>
  <c r="AJ36" i="28" a="1"/>
  <c r="AI36" i="28" a="1"/>
  <c r="AI36" i="28" s="1"/>
  <c r="AH36" i="28"/>
  <c r="AH36" i="28" a="1"/>
  <c r="AG36" i="28" a="1"/>
  <c r="AG36" i="28" s="1"/>
  <c r="Z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/>
  <c r="M36" i="28" a="1"/>
  <c r="L36" i="28" a="1"/>
  <c r="L36" i="28" s="1"/>
  <c r="K36" i="28"/>
  <c r="K36" i="28" a="1"/>
  <c r="J36" i="28" a="1"/>
  <c r="J36" i="28" s="1"/>
  <c r="I36" i="28"/>
  <c r="I36" i="28" a="1"/>
  <c r="B36" i="28"/>
  <c r="CE35" i="28" a="1"/>
  <c r="CE35" i="28" s="1"/>
  <c r="CD35" i="28" a="1"/>
  <c r="CD35" i="28" s="1"/>
  <c r="CC35" i="28" a="1"/>
  <c r="CC35" i="28" s="1"/>
  <c r="CB35" i="28" a="1"/>
  <c r="CB35" i="28" s="1"/>
  <c r="CA35" i="28" a="1"/>
  <c r="CA35" i="28" s="1"/>
  <c r="BT35" i="28"/>
  <c r="BS35" i="28" a="1"/>
  <c r="BS35" i="28" s="1"/>
  <c r="BR35" i="28"/>
  <c r="BR35" i="28" a="1"/>
  <c r="BQ35" i="28" a="1"/>
  <c r="BQ35" i="28" s="1"/>
  <c r="BP35" i="28"/>
  <c r="BP35" i="28" a="1"/>
  <c r="BO35" i="28" a="1"/>
  <c r="BO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X35" i="28"/>
  <c r="AW35" i="28" a="1"/>
  <c r="AW35" i="28" s="1"/>
  <c r="AV35" i="28" a="1"/>
  <c r="AV35" i="28" s="1"/>
  <c r="AU35" i="28" a="1"/>
  <c r="AU35" i="28" s="1"/>
  <c r="AT35" i="28" a="1"/>
  <c r="AT35" i="28" s="1"/>
  <c r="AS35" i="28" a="1"/>
  <c r="AS35" i="28" s="1"/>
  <c r="AL35" i="28"/>
  <c r="AK35" i="28" a="1"/>
  <c r="AK35" i="28" s="1"/>
  <c r="AJ35" i="28"/>
  <c r="AJ35" i="28" a="1"/>
  <c r="AI35" i="28" a="1"/>
  <c r="AI35" i="28" s="1"/>
  <c r="AH35" i="28"/>
  <c r="AH35" i="28" a="1"/>
  <c r="AG35" i="28" a="1"/>
  <c r="AG35" i="28" s="1"/>
  <c r="Z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/>
  <c r="M35" i="28" a="1"/>
  <c r="L35" i="28" a="1"/>
  <c r="L35" i="28" s="1"/>
  <c r="K35" i="28"/>
  <c r="K35" i="28" a="1"/>
  <c r="J35" i="28" a="1"/>
  <c r="J35" i="28" s="1"/>
  <c r="I35" i="28"/>
  <c r="I35" i="28" a="1"/>
  <c r="B35" i="28"/>
  <c r="CE34" i="28" a="1"/>
  <c r="CE34" i="28" s="1"/>
  <c r="CD34" i="28" a="1"/>
  <c r="CD34" i="28" s="1"/>
  <c r="CC34" i="28" a="1"/>
  <c r="CC34" i="28" s="1"/>
  <c r="CB34" i="28" a="1"/>
  <c r="CB34" i="28" s="1"/>
  <c r="CA34" i="28" a="1"/>
  <c r="CA34" i="28" s="1"/>
  <c r="BT34" i="28"/>
  <c r="BS34" i="28" a="1"/>
  <c r="BS34" i="28" s="1"/>
  <c r="BR34" i="28"/>
  <c r="BR34" i="28" a="1"/>
  <c r="BQ34" i="28" a="1"/>
  <c r="BQ34" i="28" s="1"/>
  <c r="BP34" i="28"/>
  <c r="BP34" i="28" a="1"/>
  <c r="BO34" i="28" a="1"/>
  <c r="BO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X34" i="28"/>
  <c r="AW34" i="28" a="1"/>
  <c r="AW34" i="28" s="1"/>
  <c r="AV34" i="28" a="1"/>
  <c r="AV34" i="28" s="1"/>
  <c r="AU34" i="28" a="1"/>
  <c r="AU34" i="28" s="1"/>
  <c r="AT34" i="28" a="1"/>
  <c r="AT34" i="28" s="1"/>
  <c r="AS34" i="28" a="1"/>
  <c r="AS34" i="28" s="1"/>
  <c r="AL34" i="28"/>
  <c r="AK34" i="28" a="1"/>
  <c r="AK34" i="28" s="1"/>
  <c r="AJ34" i="28"/>
  <c r="AJ34" i="28" a="1"/>
  <c r="AI34" i="28" a="1"/>
  <c r="AI34" i="28" s="1"/>
  <c r="AH34" i="28"/>
  <c r="AH34" i="28" a="1"/>
  <c r="AG34" i="28" a="1"/>
  <c r="AG34" i="28" s="1"/>
  <c r="Z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/>
  <c r="K34" i="28" a="1"/>
  <c r="J34" i="28" a="1"/>
  <c r="J34" i="28" s="1"/>
  <c r="I34" i="28"/>
  <c r="I34" i="28" a="1"/>
  <c r="B34" i="28"/>
  <c r="CE33" i="28" a="1"/>
  <c r="CE33" i="28" s="1"/>
  <c r="CD33" i="28" a="1"/>
  <c r="CD33" i="28" s="1"/>
  <c r="CC33" i="28" a="1"/>
  <c r="CC33" i="28" s="1"/>
  <c r="CB33" i="28" a="1"/>
  <c r="CB33" i="28" s="1"/>
  <c r="CA33" i="28" a="1"/>
  <c r="CA33" i="28" s="1"/>
  <c r="BT33" i="28"/>
  <c r="BS33" i="28" a="1"/>
  <c r="BS33" i="28" s="1"/>
  <c r="BR33" i="28"/>
  <c r="BR33" i="28" a="1"/>
  <c r="BQ33" i="28" a="1"/>
  <c r="BQ33" i="28" s="1"/>
  <c r="BP33" i="28"/>
  <c r="BP33" i="28" a="1"/>
  <c r="BO33" i="28" a="1"/>
  <c r="BO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X33" i="28"/>
  <c r="AW33" i="28" a="1"/>
  <c r="AW33" i="28" s="1"/>
  <c r="AV33" i="28" a="1"/>
  <c r="AV33" i="28" s="1"/>
  <c r="AU33" i="28" a="1"/>
  <c r="AU33" i="28" s="1"/>
  <c r="AT33" i="28" a="1"/>
  <c r="AT33" i="28" s="1"/>
  <c r="AS33" i="28" a="1"/>
  <c r="AS33" i="28" s="1"/>
  <c r="AL33" i="28"/>
  <c r="AK33" i="28" a="1"/>
  <c r="AK33" i="28" s="1"/>
  <c r="AJ33" i="28"/>
  <c r="AJ33" i="28" a="1"/>
  <c r="AI33" i="28" a="1"/>
  <c r="AI33" i="28" s="1"/>
  <c r="AH33" i="28"/>
  <c r="AH33" i="28" a="1"/>
  <c r="AG33" i="28" a="1"/>
  <c r="AG33" i="28" s="1"/>
  <c r="Z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/>
  <c r="M33" i="28" a="1"/>
  <c r="L33" i="28" a="1"/>
  <c r="L33" i="28" s="1"/>
  <c r="K33" i="28"/>
  <c r="K33" i="28" a="1"/>
  <c r="J33" i="28" a="1"/>
  <c r="J33" i="28" s="1"/>
  <c r="I33" i="28"/>
  <c r="I33" i="28" a="1"/>
  <c r="B33" i="28"/>
  <c r="CE32" i="28" a="1"/>
  <c r="CE32" i="28" s="1"/>
  <c r="CD32" i="28" a="1"/>
  <c r="CD32" i="28" s="1"/>
  <c r="CC32" i="28" a="1"/>
  <c r="CC32" i="28" s="1"/>
  <c r="CB32" i="28" a="1"/>
  <c r="CB32" i="28" s="1"/>
  <c r="CA32" i="28" a="1"/>
  <c r="CA32" i="28" s="1"/>
  <c r="BT32" i="28"/>
  <c r="BS32" i="28" a="1"/>
  <c r="BS32" i="28" s="1"/>
  <c r="BR32" i="28"/>
  <c r="BR32" i="28" a="1"/>
  <c r="BQ32" i="28" a="1"/>
  <c r="BQ32" i="28" s="1"/>
  <c r="BP32" i="28"/>
  <c r="BP32" i="28" a="1"/>
  <c r="BO32" i="28" a="1"/>
  <c r="BO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X32" i="28"/>
  <c r="AW32" i="28" a="1"/>
  <c r="AW32" i="28" s="1"/>
  <c r="AV32" i="28" a="1"/>
  <c r="AV32" i="28" s="1"/>
  <c r="AU32" i="28" a="1"/>
  <c r="AU32" i="28" s="1"/>
  <c r="AT32" i="28" a="1"/>
  <c r="AT32" i="28" s="1"/>
  <c r="AS32" i="28" a="1"/>
  <c r="AS32" i="28" s="1"/>
  <c r="AL32" i="28"/>
  <c r="AK32" i="28" a="1"/>
  <c r="AK32" i="28" s="1"/>
  <c r="AJ32" i="28"/>
  <c r="AJ32" i="28" a="1"/>
  <c r="AI32" i="28" a="1"/>
  <c r="AI32" i="28" s="1"/>
  <c r="AH32" i="28"/>
  <c r="AH32" i="28" a="1"/>
  <c r="AG32" i="28" a="1"/>
  <c r="AG32" i="28" s="1"/>
  <c r="Z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/>
  <c r="M32" i="28" a="1"/>
  <c r="L32" i="28" a="1"/>
  <c r="L32" i="28" s="1"/>
  <c r="K32" i="28"/>
  <c r="K32" i="28" a="1"/>
  <c r="J32" i="28" a="1"/>
  <c r="J32" i="28" s="1"/>
  <c r="I32" i="28"/>
  <c r="I32" i="28" a="1"/>
  <c r="B32" i="28"/>
  <c r="CE31" i="28" a="1"/>
  <c r="CE31" i="28" s="1"/>
  <c r="CD31" i="28" a="1"/>
  <c r="CD31" i="28" s="1"/>
  <c r="CC31" i="28" a="1"/>
  <c r="CC31" i="28" s="1"/>
  <c r="CB31" i="28" a="1"/>
  <c r="CB31" i="28" s="1"/>
  <c r="CA31" i="28" a="1"/>
  <c r="CA31" i="28" s="1"/>
  <c r="BT31" i="28"/>
  <c r="BS31" i="28" a="1"/>
  <c r="BS31" i="28" s="1"/>
  <c r="BR31" i="28"/>
  <c r="BR31" i="28" a="1"/>
  <c r="BQ31" i="28" a="1"/>
  <c r="BQ31" i="28" s="1"/>
  <c r="BP31" i="28"/>
  <c r="BP31" i="28" a="1"/>
  <c r="BO31" i="28" a="1"/>
  <c r="BO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X31" i="28"/>
  <c r="AW31" i="28" a="1"/>
  <c r="AW31" i="28" s="1"/>
  <c r="AV31" i="28" a="1"/>
  <c r="AV31" i="28" s="1"/>
  <c r="AU31" i="28" a="1"/>
  <c r="AU31" i="28" s="1"/>
  <c r="AT31" i="28" a="1"/>
  <c r="AT31" i="28" s="1"/>
  <c r="AS31" i="28" a="1"/>
  <c r="AS31" i="28" s="1"/>
  <c r="AL31" i="28"/>
  <c r="AK31" i="28" a="1"/>
  <c r="AK31" i="28" s="1"/>
  <c r="AJ31" i="28"/>
  <c r="AJ31" i="28" a="1"/>
  <c r="AI31" i="28" a="1"/>
  <c r="AI31" i="28" s="1"/>
  <c r="AH31" i="28"/>
  <c r="AH31" i="28" a="1"/>
  <c r="AG31" i="28" a="1"/>
  <c r="AG31" i="28" s="1"/>
  <c r="Z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/>
  <c r="M31" i="28" a="1"/>
  <c r="L31" i="28" a="1"/>
  <c r="L31" i="28" s="1"/>
  <c r="K31" i="28"/>
  <c r="K31" i="28" a="1"/>
  <c r="J31" i="28" a="1"/>
  <c r="J31" i="28" s="1"/>
  <c r="I31" i="28"/>
  <c r="I31" i="28" a="1"/>
  <c r="B31" i="28"/>
  <c r="CE30" i="28" a="1"/>
  <c r="CE30" i="28" s="1"/>
  <c r="CD30" i="28" a="1"/>
  <c r="CD30" i="28" s="1"/>
  <c r="CC30" i="28" a="1"/>
  <c r="CC30" i="28" s="1"/>
  <c r="CB30" i="28" a="1"/>
  <c r="CB30" i="28" s="1"/>
  <c r="CA30" i="28" a="1"/>
  <c r="CA30" i="28" s="1"/>
  <c r="BT30" i="28"/>
  <c r="BS30" i="28"/>
  <c r="BS30" i="28" a="1"/>
  <c r="BR30" i="28"/>
  <c r="BR30" i="28" a="1"/>
  <c r="BQ30" i="28" a="1"/>
  <c r="BQ30" i="28" s="1"/>
  <c r="BP30" i="28"/>
  <c r="BP30" i="28" a="1"/>
  <c r="BO30" i="28" a="1"/>
  <c r="BO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X30" i="28"/>
  <c r="AW30" i="28" a="1"/>
  <c r="AW30" i="28" s="1"/>
  <c r="AV30" i="28" a="1"/>
  <c r="AV30" i="28" s="1"/>
  <c r="AU30" i="28" a="1"/>
  <c r="AU30" i="28" s="1"/>
  <c r="AT30" i="28" a="1"/>
  <c r="AT30" i="28" s="1"/>
  <c r="AS30" i="28" a="1"/>
  <c r="AS30" i="28" s="1"/>
  <c r="AL30" i="28"/>
  <c r="AK30" i="28"/>
  <c r="AK30" i="28" a="1"/>
  <c r="AJ30" i="28"/>
  <c r="AJ30" i="28" a="1"/>
  <c r="AI30" i="28"/>
  <c r="AI30" i="28" a="1"/>
  <c r="AH30" i="28"/>
  <c r="AH30" i="28" a="1"/>
  <c r="AG30" i="28" a="1"/>
  <c r="AG30" i="28" s="1"/>
  <c r="Z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/>
  <c r="M30" i="28" a="1"/>
  <c r="L30" i="28"/>
  <c r="L30" i="28" a="1"/>
  <c r="K30" i="28"/>
  <c r="K30" i="28" a="1"/>
  <c r="J30" i="28"/>
  <c r="J30" i="28" a="1"/>
  <c r="I30" i="28"/>
  <c r="I30" i="28" a="1"/>
  <c r="B30" i="28"/>
  <c r="CE29" i="28" a="1"/>
  <c r="CE29" i="28" s="1"/>
  <c r="CD29" i="28" a="1"/>
  <c r="CD29" i="28" s="1"/>
  <c r="CC29" i="28" a="1"/>
  <c r="CC29" i="28" s="1"/>
  <c r="CB29" i="28" a="1"/>
  <c r="CB29" i="28" s="1"/>
  <c r="CA29" i="28" a="1"/>
  <c r="CA29" i="28" s="1"/>
  <c r="BT29" i="28"/>
  <c r="BS29" i="28"/>
  <c r="BS29" i="28" a="1"/>
  <c r="BR29" i="28"/>
  <c r="BR29" i="28" a="1"/>
  <c r="BQ29" i="28" a="1"/>
  <c r="BQ29" i="28" s="1"/>
  <c r="BP29" i="28"/>
  <c r="BP29" i="28" a="1"/>
  <c r="BO29" i="28"/>
  <c r="BO29" i="28" a="1"/>
  <c r="BH29" i="28"/>
  <c r="BG29" i="28" a="1"/>
  <c r="BG29" i="28" s="1"/>
  <c r="BF29" i="28"/>
  <c r="BF29" i="28" a="1"/>
  <c r="BE29" i="28" a="1"/>
  <c r="BE29" i="28" s="1"/>
  <c r="BD29" i="28" a="1"/>
  <c r="BD29" i="28" s="1"/>
  <c r="BC29" i="28" a="1"/>
  <c r="BC29" i="28" s="1"/>
  <c r="AX29" i="28"/>
  <c r="AW29" i="28" a="1"/>
  <c r="AW29" i="28" s="1"/>
  <c r="AV29" i="28" a="1"/>
  <c r="AV29" i="28" s="1"/>
  <c r="AU29" i="28"/>
  <c r="AU29" i="28" a="1"/>
  <c r="AT29" i="28" a="1"/>
  <c r="AT29" i="28" s="1"/>
  <c r="AS29" i="28" a="1"/>
  <c r="AS29" i="28" s="1"/>
  <c r="AL29" i="28"/>
  <c r="AK29" i="28"/>
  <c r="AK29" i="28" a="1"/>
  <c r="AJ29" i="28"/>
  <c r="AJ29" i="28" a="1"/>
  <c r="AI29" i="28" a="1"/>
  <c r="AI29" i="28" s="1"/>
  <c r="AH29" i="28"/>
  <c r="AH29" i="28" a="1"/>
  <c r="AG29" i="28"/>
  <c r="AG29" i="28" a="1"/>
  <c r="Z29" i="28"/>
  <c r="Y29" i="28" a="1"/>
  <c r="Y29" i="28" s="1"/>
  <c r="X29" i="28" a="1"/>
  <c r="X29" i="28" s="1"/>
  <c r="W29" i="28" a="1"/>
  <c r="W29" i="28" s="1"/>
  <c r="V29" i="28"/>
  <c r="V29" i="28" a="1"/>
  <c r="U29" i="28" a="1"/>
  <c r="U29" i="28" s="1"/>
  <c r="N29" i="28"/>
  <c r="M29" i="28"/>
  <c r="M29" i="28" a="1"/>
  <c r="L29" i="28"/>
  <c r="L29" i="28" a="1"/>
  <c r="K29" i="28"/>
  <c r="K29" i="28" a="1"/>
  <c r="J29" i="28" a="1"/>
  <c r="J29" i="28" s="1"/>
  <c r="I29" i="28"/>
  <c r="I29" i="28" a="1"/>
  <c r="B29" i="28"/>
  <c r="CE28" i="28" a="1"/>
  <c r="CE28" i="28" s="1"/>
  <c r="CD28" i="28" a="1"/>
  <c r="CD28" i="28" s="1"/>
  <c r="CC28" i="28" a="1"/>
  <c r="CC28" i="28" s="1"/>
  <c r="CB28" i="28" a="1"/>
  <c r="CB28" i="28" s="1"/>
  <c r="CA28" i="28" a="1"/>
  <c r="CA28" i="28" s="1"/>
  <c r="BT28" i="28"/>
  <c r="BS28" i="28"/>
  <c r="BS28" i="28" a="1"/>
  <c r="BR28" i="28"/>
  <c r="BR28" i="28" a="1"/>
  <c r="BQ28" i="28" a="1"/>
  <c r="BQ28" i="28" s="1"/>
  <c r="BP28" i="28"/>
  <c r="BP28" i="28" a="1"/>
  <c r="BO28" i="28"/>
  <c r="BO28" i="28" a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X28" i="28"/>
  <c r="AW28" i="28" a="1"/>
  <c r="AW28" i="28" s="1"/>
  <c r="AV28" i="28" a="1"/>
  <c r="AV28" i="28" s="1"/>
  <c r="AU28" i="28"/>
  <c r="AU28" i="28" a="1"/>
  <c r="AT28" i="28" a="1"/>
  <c r="AT28" i="28" s="1"/>
  <c r="AS28" i="28" a="1"/>
  <c r="AS28" i="28" s="1"/>
  <c r="AL28" i="28"/>
  <c r="AK28" i="28" a="1"/>
  <c r="AK28" i="28" s="1"/>
  <c r="AJ28" i="28"/>
  <c r="AJ28" i="28" a="1"/>
  <c r="AI28" i="28" a="1"/>
  <c r="AI28" i="28" s="1"/>
  <c r="AH28" i="28"/>
  <c r="AH28" i="28" a="1"/>
  <c r="AG28" i="28" a="1"/>
  <c r="AG28" i="28" s="1"/>
  <c r="Z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/>
  <c r="M28" i="28" a="1"/>
  <c r="L28" i="28" a="1"/>
  <c r="L28" i="28" s="1"/>
  <c r="K28" i="28"/>
  <c r="K28" i="28" a="1"/>
  <c r="J28" i="28" a="1"/>
  <c r="J28" i="28" s="1"/>
  <c r="I28" i="28"/>
  <c r="I28" i="28" a="1"/>
  <c r="B28" i="28"/>
  <c r="CE27" i="28" a="1"/>
  <c r="CE27" i="28" s="1"/>
  <c r="CD27" i="28" a="1"/>
  <c r="CD27" i="28" s="1"/>
  <c r="CC27" i="28" a="1"/>
  <c r="CC27" i="28" s="1"/>
  <c r="CB27" i="28" a="1"/>
  <c r="CB27" i="28" s="1"/>
  <c r="CA27" i="28"/>
  <c r="CA27" i="28" a="1"/>
  <c r="BT27" i="28"/>
  <c r="BS27" i="28" a="1"/>
  <c r="BS27" i="28" s="1"/>
  <c r="BR27" i="28"/>
  <c r="BR27" i="28" a="1"/>
  <c r="BQ27" i="28" a="1"/>
  <c r="BQ27" i="28" s="1"/>
  <c r="BP27" i="28"/>
  <c r="BP27" i="28" a="1"/>
  <c r="BO27" i="28" a="1"/>
  <c r="BO27" i="28" s="1"/>
  <c r="BH27" i="28"/>
  <c r="BG27" i="28" a="1"/>
  <c r="BG27" i="28" s="1"/>
  <c r="BF27" i="28" a="1"/>
  <c r="BF27" i="28" s="1"/>
  <c r="BE27" i="28" a="1"/>
  <c r="BE27" i="28" s="1"/>
  <c r="BD27" i="28"/>
  <c r="BD27" i="28" a="1"/>
  <c r="BC27" i="28" a="1"/>
  <c r="BC27" i="28" s="1"/>
  <c r="AX27" i="28"/>
  <c r="AW27" i="28" a="1"/>
  <c r="AW27" i="28" s="1"/>
  <c r="AV27" i="28" a="1"/>
  <c r="AV27" i="28" s="1"/>
  <c r="AU27" i="28" a="1"/>
  <c r="AU27" i="28" s="1"/>
  <c r="AT27" i="28" a="1"/>
  <c r="AT27" i="28" s="1"/>
  <c r="AS27" i="28"/>
  <c r="AS27" i="28" a="1"/>
  <c r="AL27" i="28"/>
  <c r="AK27" i="28" a="1"/>
  <c r="AK27" i="28" s="1"/>
  <c r="AJ27" i="28"/>
  <c r="AJ27" i="28" a="1"/>
  <c r="AI27" i="28" a="1"/>
  <c r="AI27" i="28" s="1"/>
  <c r="AH27" i="28"/>
  <c r="AH27" i="28" a="1"/>
  <c r="AG27" i="28" a="1"/>
  <c r="AG27" i="28" s="1"/>
  <c r="Z27" i="28"/>
  <c r="Y27" i="28" a="1"/>
  <c r="Y27" i="28" s="1"/>
  <c r="X27" i="28" a="1"/>
  <c r="X27" i="28" s="1"/>
  <c r="W27" i="28" a="1"/>
  <c r="W27" i="28" s="1"/>
  <c r="V27" i="28"/>
  <c r="V27" i="28" a="1"/>
  <c r="U27" i="28" a="1"/>
  <c r="U27" i="28" s="1"/>
  <c r="N27" i="28"/>
  <c r="M27" i="28"/>
  <c r="M27" i="28" a="1"/>
  <c r="L27" i="28" a="1"/>
  <c r="L27" i="28" s="1"/>
  <c r="K27" i="28"/>
  <c r="K27" i="28" a="1"/>
  <c r="J27" i="28" a="1"/>
  <c r="J27" i="28" s="1"/>
  <c r="I27" i="28"/>
  <c r="I27" i="28" a="1"/>
  <c r="B27" i="28"/>
  <c r="CE26" i="28" a="1"/>
  <c r="CE26" i="28" s="1"/>
  <c r="CD26" i="28"/>
  <c r="CD26" i="28" a="1"/>
  <c r="CC26" i="28" a="1"/>
  <c r="CC26" i="28" s="1"/>
  <c r="CB26" i="28" a="1"/>
  <c r="CB26" i="28" s="1"/>
  <c r="CA26" i="28" a="1"/>
  <c r="CA26" i="28" s="1"/>
  <c r="BT26" i="28"/>
  <c r="BS26" i="28"/>
  <c r="BS26" i="28" a="1"/>
  <c r="BR26" i="28" a="1"/>
  <c r="BR26" i="28" s="1"/>
  <c r="BQ26" i="28"/>
  <c r="BQ26" i="28" a="1"/>
  <c r="BP26" i="28"/>
  <c r="BP26" i="28" a="1"/>
  <c r="BO26" i="28"/>
  <c r="BO26" i="28" a="1"/>
  <c r="BH26" i="28"/>
  <c r="BG26" i="28" a="1"/>
  <c r="BG26" i="28" s="1"/>
  <c r="BF26" i="28"/>
  <c r="BF26" i="28" a="1"/>
  <c r="BE26" i="28" a="1"/>
  <c r="BE26" i="28" s="1"/>
  <c r="BD26" i="28"/>
  <c r="BD26" i="28" a="1"/>
  <c r="BC26" i="28" a="1"/>
  <c r="BC26" i="28" s="1"/>
  <c r="AX26" i="28"/>
  <c r="AW26" i="28"/>
  <c r="AW26" i="28" a="1"/>
  <c r="AV26" i="28" a="1"/>
  <c r="AV26" i="28" s="1"/>
  <c r="AU26" i="28" a="1"/>
  <c r="AU26" i="28" s="1"/>
  <c r="AT26" i="28" a="1"/>
  <c r="AT26" i="28" s="1"/>
  <c r="AS26" i="28" a="1"/>
  <c r="AS26" i="28" s="1"/>
  <c r="AL26" i="28"/>
  <c r="AK26" i="28" a="1"/>
  <c r="AK26" i="28" s="1"/>
  <c r="AJ26" i="28"/>
  <c r="AJ26" i="28" a="1"/>
  <c r="AI26" i="28" a="1"/>
  <c r="AI26" i="28" s="1"/>
  <c r="AH26" i="28" a="1"/>
  <c r="AH26" i="28" s="1"/>
  <c r="AG26" i="28" a="1"/>
  <c r="AG26" i="28" s="1"/>
  <c r="Z26" i="28"/>
  <c r="Y26" i="28" a="1"/>
  <c r="Y26" i="28" s="1"/>
  <c r="X26" i="28" a="1"/>
  <c r="X26" i="28" s="1"/>
  <c r="W26" i="28" a="1"/>
  <c r="W26" i="28" s="1"/>
  <c r="V26" i="28"/>
  <c r="V26" i="28" a="1"/>
  <c r="U26" i="28"/>
  <c r="U26" i="28" a="1"/>
  <c r="N26" i="28"/>
  <c r="M26" i="28"/>
  <c r="M26" i="28" a="1"/>
  <c r="L26" i="28"/>
  <c r="L26" i="28" a="1"/>
  <c r="K26" i="28"/>
  <c r="K26" i="28" a="1"/>
  <c r="J26" i="28"/>
  <c r="J26" i="28" a="1"/>
  <c r="I26" i="28"/>
  <c r="I26" i="28" a="1"/>
  <c r="B26" i="28"/>
  <c r="CE25" i="28" a="1"/>
  <c r="CE25" i="28" s="1"/>
  <c r="CD25" i="28"/>
  <c r="CD25" i="28" a="1"/>
  <c r="CC25" i="28"/>
  <c r="CC25" i="28" a="1"/>
  <c r="CB25" i="28" a="1"/>
  <c r="CB25" i="28" s="1"/>
  <c r="CA25" i="28" a="1"/>
  <c r="CA25" i="28" s="1"/>
  <c r="BT25" i="28"/>
  <c r="BS25" i="28"/>
  <c r="BS25" i="28" a="1"/>
  <c r="BR25" i="28" a="1"/>
  <c r="BR25" i="28" s="1"/>
  <c r="BQ25" i="28" a="1"/>
  <c r="BQ25" i="28" s="1"/>
  <c r="BP25" i="28"/>
  <c r="BP25" i="28" a="1"/>
  <c r="BO25" i="28"/>
  <c r="BO25" i="28" a="1"/>
  <c r="BH25" i="28"/>
  <c r="BG25" i="28" a="1"/>
  <c r="BG25" i="28" s="1"/>
  <c r="BF25" i="28"/>
  <c r="BF25" i="28" a="1"/>
  <c r="BE25" i="28" a="1"/>
  <c r="BE25" i="28" s="1"/>
  <c r="BD25" i="28" a="1"/>
  <c r="BD25" i="28" s="1"/>
  <c r="BC25" i="28" a="1"/>
  <c r="BC25" i="28" s="1"/>
  <c r="AX25" i="28"/>
  <c r="AW25" i="28" a="1"/>
  <c r="AW25" i="28" s="1"/>
  <c r="AV25" i="28" a="1"/>
  <c r="AV25" i="28" s="1"/>
  <c r="AU25" i="28"/>
  <c r="AU25" i="28" a="1"/>
  <c r="AT25" i="28"/>
  <c r="AT25" i="28" a="1"/>
  <c r="AS25" i="28" a="1"/>
  <c r="AS25" i="28" s="1"/>
  <c r="AL25" i="28"/>
  <c r="AK25" i="28"/>
  <c r="AK25" i="28" a="1"/>
  <c r="AJ25" i="28"/>
  <c r="AJ25" i="28" a="1"/>
  <c r="AI25" i="28" a="1"/>
  <c r="AI25" i="28" s="1"/>
  <c r="AH25" i="28" a="1"/>
  <c r="AH25" i="28" s="1"/>
  <c r="AG25" i="28"/>
  <c r="AG25" i="28" a="1"/>
  <c r="Z25" i="28"/>
  <c r="Y25" i="28" a="1"/>
  <c r="Y25" i="28" s="1"/>
  <c r="X25" i="28"/>
  <c r="X25" i="28" a="1"/>
  <c r="W25" i="28" a="1"/>
  <c r="W25" i="28" s="1"/>
  <c r="V25" i="28" a="1"/>
  <c r="V25" i="28" s="1"/>
  <c r="U25" i="28"/>
  <c r="U25" i="28" a="1"/>
  <c r="N25" i="28"/>
  <c r="M25" i="28" a="1"/>
  <c r="M25" i="28" s="1"/>
  <c r="L25" i="28"/>
  <c r="L25" i="28" a="1"/>
  <c r="K25" i="28"/>
  <c r="K25" i="28" a="1"/>
  <c r="J25" i="28" a="1"/>
  <c r="J25" i="28" s="1"/>
  <c r="I25" i="28" a="1"/>
  <c r="I25" i="28" s="1"/>
  <c r="B25" i="28"/>
  <c r="CE24" i="28" a="1"/>
  <c r="CE24" i="28" s="1"/>
  <c r="CD24" i="28" a="1"/>
  <c r="CD24" i="28" s="1"/>
  <c r="CC24" i="28"/>
  <c r="CC24" i="28" a="1"/>
  <c r="CB24" i="28" a="1"/>
  <c r="CB24" i="28" s="1"/>
  <c r="CA24" i="28"/>
  <c r="CA24" i="28" a="1"/>
  <c r="BT24" i="28"/>
  <c r="BS24" i="28" a="1"/>
  <c r="BS24" i="28" s="1"/>
  <c r="BR24" i="28" a="1"/>
  <c r="BR24" i="28" s="1"/>
  <c r="BQ24" i="28" a="1"/>
  <c r="BQ24" i="28" s="1"/>
  <c r="BP24" i="28"/>
  <c r="BP24" i="28" a="1"/>
  <c r="BO24" i="28" a="1"/>
  <c r="BO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X24" i="28"/>
  <c r="AW24" i="28"/>
  <c r="AW24" i="28" a="1"/>
  <c r="AV24" i="28" a="1"/>
  <c r="AV24" i="28" s="1"/>
  <c r="AU24" i="28"/>
  <c r="AU24" i="28" a="1"/>
  <c r="AT24" i="28" a="1"/>
  <c r="AT24" i="28" s="1"/>
  <c r="AS24" i="28" a="1"/>
  <c r="AS24" i="28" s="1"/>
  <c r="AL24" i="28"/>
  <c r="AK24" i="28" a="1"/>
  <c r="AK24" i="28" s="1"/>
  <c r="AJ24" i="28"/>
  <c r="AJ24" i="28" a="1"/>
  <c r="AI24" i="28" a="1"/>
  <c r="AI24" i="28" s="1"/>
  <c r="AH24" i="28"/>
  <c r="AH24" i="28" a="1"/>
  <c r="AG24" i="28" a="1"/>
  <c r="AG24" i="28" s="1"/>
  <c r="Z24" i="28"/>
  <c r="Y24" i="28"/>
  <c r="Y24" i="28" a="1"/>
  <c r="X24" i="28"/>
  <c r="X24" i="28" a="1"/>
  <c r="W24" i="28"/>
  <c r="W24" i="28" a="1"/>
  <c r="V24" i="28"/>
  <c r="V24" i="28" a="1"/>
  <c r="U24" i="28"/>
  <c r="U24" i="28" a="1"/>
  <c r="N24" i="28"/>
  <c r="M24" i="28"/>
  <c r="M24" i="28" a="1"/>
  <c r="L24" i="28" a="1"/>
  <c r="L24" i="28" s="1"/>
  <c r="K24" i="28" a="1"/>
  <c r="K24" i="28" s="1"/>
  <c r="J24" i="28" a="1"/>
  <c r="J24" i="28" s="1"/>
  <c r="I24" i="28"/>
  <c r="I24" i="28" a="1"/>
  <c r="B24" i="28"/>
  <c r="CE23" i="28"/>
  <c r="CE23" i="28" a="1"/>
  <c r="CD23" i="28"/>
  <c r="CD23" i="28" a="1"/>
  <c r="CC23" i="28"/>
  <c r="CC23" i="28" a="1"/>
  <c r="CB23" i="28"/>
  <c r="CB23" i="28" a="1"/>
  <c r="CA23" i="28"/>
  <c r="CA23" i="28" a="1"/>
  <c r="BT23" i="28"/>
  <c r="BS23" i="28" a="1"/>
  <c r="BS23" i="28" s="1"/>
  <c r="BR23" i="28"/>
  <c r="BR23" i="28" a="1"/>
  <c r="BQ23" i="28" a="1"/>
  <c r="BQ23" i="28" s="1"/>
  <c r="BP23" i="28" a="1"/>
  <c r="BP23" i="28" s="1"/>
  <c r="BO23" i="28" a="1"/>
  <c r="BO23" i="28" s="1"/>
  <c r="BH23" i="28"/>
  <c r="BG23" i="28"/>
  <c r="BG23" i="28" a="1"/>
  <c r="BF23" i="28"/>
  <c r="BF23" i="28" a="1"/>
  <c r="BE23" i="28"/>
  <c r="BE23" i="28" a="1"/>
  <c r="BD23" i="28"/>
  <c r="BD23" i="28" a="1"/>
  <c r="BC23" i="28"/>
  <c r="BC23" i="28" a="1"/>
  <c r="AX23" i="28"/>
  <c r="AW23" i="28"/>
  <c r="AW23" i="28" a="1"/>
  <c r="AV23" i="28"/>
  <c r="AV23" i="28" a="1"/>
  <c r="AU23" i="28"/>
  <c r="AU23" i="28" a="1"/>
  <c r="AT23" i="28"/>
  <c r="AT23" i="28" a="1"/>
  <c r="AS23" i="28"/>
  <c r="AS23" i="28" a="1"/>
  <c r="AL23" i="28"/>
  <c r="AK23" i="28" a="1"/>
  <c r="AK23" i="28" s="1"/>
  <c r="AJ23" i="28" a="1"/>
  <c r="AJ23" i="28" s="1"/>
  <c r="AI23" i="28" a="1"/>
  <c r="AI23" i="28" s="1"/>
  <c r="AH23" i="28"/>
  <c r="AH23" i="28" a="1"/>
  <c r="AG23" i="28" a="1"/>
  <c r="AG23" i="28" s="1"/>
  <c r="Z23" i="28"/>
  <c r="Y23" i="28"/>
  <c r="Y23" i="28" a="1"/>
  <c r="X23" i="28"/>
  <c r="X23" i="28" a="1"/>
  <c r="W23" i="28"/>
  <c r="W23" i="28" a="1"/>
  <c r="V23" i="28"/>
  <c r="V23" i="28" a="1"/>
  <c r="U23" i="28"/>
  <c r="U23" i="28" a="1"/>
  <c r="N23" i="28"/>
  <c r="M23" i="28"/>
  <c r="M23" i="28" a="1"/>
  <c r="L23" i="28" a="1"/>
  <c r="L23" i="28" s="1"/>
  <c r="K23" i="28" a="1"/>
  <c r="K23" i="28" s="1"/>
  <c r="J23" i="28" a="1"/>
  <c r="J23" i="28" s="1"/>
  <c r="I23" i="28"/>
  <c r="I23" i="28" a="1"/>
  <c r="B23" i="28"/>
  <c r="CE22" i="28"/>
  <c r="CE22" i="28" a="1"/>
  <c r="CD22" i="28"/>
  <c r="CD22" i="28" a="1"/>
  <c r="CC22" i="28"/>
  <c r="CC22" i="28" a="1"/>
  <c r="CB22" i="28"/>
  <c r="CB22" i="28" a="1"/>
  <c r="CA22" i="28"/>
  <c r="CA22" i="28" a="1"/>
  <c r="BT22" i="28"/>
  <c r="BS22" i="28" a="1"/>
  <c r="BS22" i="28" s="1"/>
  <c r="BR22" i="28"/>
  <c r="BR22" i="28" a="1"/>
  <c r="BQ22" i="28" a="1"/>
  <c r="BQ22" i="28" s="1"/>
  <c r="BP22" i="28" a="1"/>
  <c r="BP22" i="28" s="1"/>
  <c r="BO22" i="28" a="1"/>
  <c r="BO22" i="28" s="1"/>
  <c r="BH22" i="28"/>
  <c r="BG22" i="28"/>
  <c r="BG22" i="28" a="1"/>
  <c r="BF22" i="28"/>
  <c r="BF22" i="28" a="1"/>
  <c r="BE22" i="28"/>
  <c r="BE22" i="28" a="1"/>
  <c r="BD22" i="28"/>
  <c r="BD22" i="28" a="1"/>
  <c r="BC22" i="28"/>
  <c r="BC22" i="28" a="1"/>
  <c r="AX22" i="28"/>
  <c r="AW22" i="28"/>
  <c r="AW22" i="28" a="1"/>
  <c r="AV22" i="28" a="1"/>
  <c r="AV22" i="28" s="1"/>
  <c r="AU22" i="28"/>
  <c r="AU22" i="28" a="1"/>
  <c r="AT22" i="28"/>
  <c r="AT22" i="28" a="1"/>
  <c r="AS22" i="28"/>
  <c r="AS22" i="28" a="1"/>
  <c r="AL22" i="28"/>
  <c r="AK22" i="28" a="1"/>
  <c r="AK22" i="28" s="1"/>
  <c r="AJ22" i="28"/>
  <c r="AJ22" i="28" a="1"/>
  <c r="AI22" i="28" a="1"/>
  <c r="AI22" i="28" s="1"/>
  <c r="AH22" i="28"/>
  <c r="AH22" i="28" a="1"/>
  <c r="AG22" i="28" a="1"/>
  <c r="AG22" i="28" s="1"/>
  <c r="Z22" i="28"/>
  <c r="Y22" i="28"/>
  <c r="Y22" i="28" a="1"/>
  <c r="X22" i="28"/>
  <c r="X22" i="28" a="1"/>
  <c r="W22" i="28" a="1"/>
  <c r="W22" i="28" s="1"/>
  <c r="V22" i="28"/>
  <c r="V22" i="28" a="1"/>
  <c r="U22" i="28" a="1"/>
  <c r="U22" i="28" s="1"/>
  <c r="N22" i="28"/>
  <c r="M22" i="28"/>
  <c r="M22" i="28" a="1"/>
  <c r="L22" i="28" a="1"/>
  <c r="L22" i="28" s="1"/>
  <c r="K22" i="28"/>
  <c r="K22" i="28" a="1"/>
  <c r="J22" i="28" a="1"/>
  <c r="J22" i="28" s="1"/>
  <c r="I22" i="28"/>
  <c r="I22" i="28" a="1"/>
  <c r="B22" i="28"/>
  <c r="CE21" i="28"/>
  <c r="CE21" i="28" a="1"/>
  <c r="CD21" i="28"/>
  <c r="CD21" i="28" a="1"/>
  <c r="CC21" i="28"/>
  <c r="CC21" i="28" a="1"/>
  <c r="CB21" i="28" a="1"/>
  <c r="CB21" i="28" s="1"/>
  <c r="CA21" i="28"/>
  <c r="CA21" i="28" a="1"/>
  <c r="BT21" i="28"/>
  <c r="BS21" i="28" a="1"/>
  <c r="BS21" i="28" s="1"/>
  <c r="BR21" i="28"/>
  <c r="BR21" i="28" a="1"/>
  <c r="BQ21" i="28" a="1"/>
  <c r="BQ21" i="28" s="1"/>
  <c r="BP21" i="28"/>
  <c r="BP21" i="28" a="1"/>
  <c r="BO21" i="28" a="1"/>
  <c r="BO21" i="28" s="1"/>
  <c r="BH21" i="28"/>
  <c r="BG21" i="28" a="1"/>
  <c r="BG21" i="28" s="1"/>
  <c r="BF21" i="28"/>
  <c r="BF21" i="28" a="1"/>
  <c r="BE21" i="28"/>
  <c r="BE21" i="28" a="1"/>
  <c r="BD21" i="28"/>
  <c r="BD21" i="28" a="1"/>
  <c r="BC21" i="28" a="1"/>
  <c r="BC21" i="28" s="1"/>
  <c r="AX21" i="28"/>
  <c r="AW21" i="28"/>
  <c r="AW21" i="28" a="1"/>
  <c r="AV21" i="28" a="1"/>
  <c r="AV21" i="28" s="1"/>
  <c r="AU21" i="28" a="1"/>
  <c r="AU21" i="28" s="1"/>
  <c r="AT21" i="28" a="1"/>
  <c r="AT21" i="28" s="1"/>
  <c r="AS21" i="28"/>
  <c r="AS21" i="28" a="1"/>
  <c r="AL21" i="28"/>
  <c r="AK21" i="28" a="1"/>
  <c r="AK21" i="28" s="1"/>
  <c r="AJ21" i="28"/>
  <c r="AJ21" i="28" a="1"/>
  <c r="AI21" i="28" a="1"/>
  <c r="AI21" i="28" s="1"/>
  <c r="AH21" i="28"/>
  <c r="AH21" i="28" a="1"/>
  <c r="AG21" i="28" a="1"/>
  <c r="AG21" i="28" s="1"/>
  <c r="Z21" i="28"/>
  <c r="Y21" i="28" a="1"/>
  <c r="Y21" i="28" s="1"/>
  <c r="X21" i="28"/>
  <c r="X21" i="28" a="1"/>
  <c r="W21" i="28" a="1"/>
  <c r="W21" i="28" s="1"/>
  <c r="V21" i="28" a="1"/>
  <c r="V21" i="28" s="1"/>
  <c r="U21" i="28" a="1"/>
  <c r="U21" i="28" s="1"/>
  <c r="N21" i="28"/>
  <c r="M21" i="28"/>
  <c r="M21" i="28" a="1"/>
  <c r="L21" i="28" a="1"/>
  <c r="L21" i="28" s="1"/>
  <c r="K21" i="28"/>
  <c r="K21" i="28" a="1"/>
  <c r="J21" i="28" a="1"/>
  <c r="J21" i="28" s="1"/>
  <c r="I21" i="28"/>
  <c r="I21" i="28" a="1"/>
  <c r="B21" i="28"/>
  <c r="CE20" i="28" a="1"/>
  <c r="CE20" i="28" s="1"/>
  <c r="CD20" i="28" a="1"/>
  <c r="CD20" i="28" s="1"/>
  <c r="CC20" i="28"/>
  <c r="CC20" i="28" a="1"/>
  <c r="CB20" i="28" a="1"/>
  <c r="CB20" i="28" s="1"/>
  <c r="CA20" i="28" a="1"/>
  <c r="CA20" i="28" s="1"/>
  <c r="BT20" i="28"/>
  <c r="BS20" i="28" a="1"/>
  <c r="BS20" i="28" s="1"/>
  <c r="BR20" i="28"/>
  <c r="BR20" i="28" a="1"/>
  <c r="BQ20" i="28" a="1"/>
  <c r="BQ20" i="28" s="1"/>
  <c r="BP20" i="28"/>
  <c r="BP20" i="28" a="1"/>
  <c r="BO20" i="28" a="1"/>
  <c r="BO20" i="28" s="1"/>
  <c r="BH20" i="28"/>
  <c r="BG20" i="28" a="1"/>
  <c r="BG20" i="28" s="1"/>
  <c r="BF20" i="28" a="1"/>
  <c r="BF20" i="28" s="1"/>
  <c r="BE20" i="28" a="1"/>
  <c r="BE20" i="28" s="1"/>
  <c r="BD20" i="28"/>
  <c r="BD20" i="28" a="1"/>
  <c r="BC20" i="28" a="1"/>
  <c r="BC20" i="28" s="1"/>
  <c r="AX20" i="28"/>
  <c r="AW20" i="28"/>
  <c r="AW20" i="28" a="1"/>
  <c r="AV20" i="28" a="1"/>
  <c r="AV20" i="28" s="1"/>
  <c r="AU20" i="28" a="1"/>
  <c r="AU20" i="28" s="1"/>
  <c r="AT20" i="28" a="1"/>
  <c r="AT20" i="28" s="1"/>
  <c r="AS20" i="28"/>
  <c r="AS20" i="28" a="1"/>
  <c r="AL20" i="28"/>
  <c r="AK20" i="28" a="1"/>
  <c r="AK20" i="28" s="1"/>
  <c r="AJ20" i="28"/>
  <c r="AJ20" i="28" a="1"/>
  <c r="AI20" i="28" a="1"/>
  <c r="AI20" i="28" s="1"/>
  <c r="AH20" i="28"/>
  <c r="AH20" i="28" a="1"/>
  <c r="AG20" i="28" a="1"/>
  <c r="AG20" i="28" s="1"/>
  <c r="Z20" i="28"/>
  <c r="Y20" i="28" a="1"/>
  <c r="Y20" i="28" s="1"/>
  <c r="X20" i="28"/>
  <c r="X20" i="28" a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/>
  <c r="K20" i="28" a="1"/>
  <c r="J20" i="28" a="1"/>
  <c r="J20" i="28" s="1"/>
  <c r="I20" i="28"/>
  <c r="I20" i="28" a="1"/>
  <c r="B20" i="28"/>
  <c r="CE19" i="28" a="1"/>
  <c r="CE19" i="28" s="1"/>
  <c r="CD19" i="28" a="1"/>
  <c r="CD19" i="28" s="1"/>
  <c r="CC19" i="28"/>
  <c r="CC19" i="28" a="1"/>
  <c r="CB19" i="28" a="1"/>
  <c r="CB19" i="28" s="1"/>
  <c r="CA19" i="28" a="1"/>
  <c r="CA19" i="28" s="1"/>
  <c r="BT19" i="28"/>
  <c r="BS19" i="28" a="1"/>
  <c r="BS19" i="28" s="1"/>
  <c r="BR19" i="28"/>
  <c r="BR19" i="28" a="1"/>
  <c r="BQ19" i="28" a="1"/>
  <c r="BQ19" i="28" s="1"/>
  <c r="BP19" i="28"/>
  <c r="BP19" i="28" a="1"/>
  <c r="BO19" i="28" a="1"/>
  <c r="BO19" i="28" s="1"/>
  <c r="BH19" i="28"/>
  <c r="BG19" i="28" a="1"/>
  <c r="BG19" i="28" s="1"/>
  <c r="BF19" i="28" a="1"/>
  <c r="BF19" i="28" s="1"/>
  <c r="BE19" i="28" a="1"/>
  <c r="BE19" i="28" s="1"/>
  <c r="BD19" i="28"/>
  <c r="BD19" i="28" a="1"/>
  <c r="BC19" i="28" a="1"/>
  <c r="BC19" i="28" s="1"/>
  <c r="AX19" i="28"/>
  <c r="AW19" i="28"/>
  <c r="AW19" i="28" a="1"/>
  <c r="AV19" i="28" a="1"/>
  <c r="AV19" i="28" s="1"/>
  <c r="AU19" i="28" a="1"/>
  <c r="AU19" i="28" s="1"/>
  <c r="AT19" i="28" a="1"/>
  <c r="AT19" i="28" s="1"/>
  <c r="AS19" i="28"/>
  <c r="AS19" i="28" a="1"/>
  <c r="AL19" i="28"/>
  <c r="AK19" i="28" a="1"/>
  <c r="AK19" i="28" s="1"/>
  <c r="AJ19" i="28"/>
  <c r="AJ19" i="28" a="1"/>
  <c r="AI19" i="28" a="1"/>
  <c r="AI19" i="28" s="1"/>
  <c r="AH19" i="28"/>
  <c r="AH19" i="28" a="1"/>
  <c r="AG19" i="28" a="1"/>
  <c r="AG19" i="28" s="1"/>
  <c r="Z19" i="28"/>
  <c r="Y19" i="28" a="1"/>
  <c r="Y19" i="28" s="1"/>
  <c r="X19" i="28"/>
  <c r="X19" i="28" a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/>
  <c r="K19" i="28" a="1"/>
  <c r="J19" i="28" a="1"/>
  <c r="J19" i="28" s="1"/>
  <c r="I19" i="28"/>
  <c r="I19" i="28" a="1"/>
  <c r="B19" i="28"/>
  <c r="CE18" i="28" a="1"/>
  <c r="CE18" i="28" s="1"/>
  <c r="CD18" i="28" a="1"/>
  <c r="CD18" i="28" s="1"/>
  <c r="CC18" i="28"/>
  <c r="CC18" i="28" a="1"/>
  <c r="CB18" i="28" a="1"/>
  <c r="CB18" i="28" s="1"/>
  <c r="CA18" i="28" a="1"/>
  <c r="CA18" i="28" s="1"/>
  <c r="BT18" i="28"/>
  <c r="BS18" i="28" a="1"/>
  <c r="BS18" i="28" s="1"/>
  <c r="BR18" i="28"/>
  <c r="BR18" i="28" a="1"/>
  <c r="BQ18" i="28" a="1"/>
  <c r="BQ18" i="28" s="1"/>
  <c r="BP18" i="28"/>
  <c r="BP18" i="28" a="1"/>
  <c r="BO18" i="28" a="1"/>
  <c r="BO18" i="28" s="1"/>
  <c r="BH18" i="28"/>
  <c r="BG18" i="28" a="1"/>
  <c r="BG18" i="28" s="1"/>
  <c r="BF18" i="28" a="1"/>
  <c r="BF18" i="28" s="1"/>
  <c r="BE18" i="28" a="1"/>
  <c r="BE18" i="28" s="1"/>
  <c r="BD18" i="28"/>
  <c r="BD18" i="28" a="1"/>
  <c r="BC18" i="28" a="1"/>
  <c r="BC18" i="28" s="1"/>
  <c r="AX18" i="28"/>
  <c r="AW18" i="28"/>
  <c r="AW18" i="28" a="1"/>
  <c r="AV18" i="28" a="1"/>
  <c r="AV18" i="28" s="1"/>
  <c r="AU18" i="28" a="1"/>
  <c r="AU18" i="28" s="1"/>
  <c r="AT18" i="28" a="1"/>
  <c r="AT18" i="28" s="1"/>
  <c r="AS18" i="28"/>
  <c r="AS18" i="28" a="1"/>
  <c r="AL18" i="28"/>
  <c r="AK18" i="28" a="1"/>
  <c r="AK18" i="28" s="1"/>
  <c r="AJ18" i="28"/>
  <c r="AJ18" i="28" a="1"/>
  <c r="AI18" i="28" a="1"/>
  <c r="AI18" i="28" s="1"/>
  <c r="AH18" i="28"/>
  <c r="AH18" i="28" a="1"/>
  <c r="AG18" i="28" a="1"/>
  <c r="AG18" i="28" s="1"/>
  <c r="Z18" i="28"/>
  <c r="Y18" i="28" a="1"/>
  <c r="Y18" i="28" s="1"/>
  <c r="X18" i="28"/>
  <c r="X18" i="28" a="1"/>
  <c r="W18" i="28" a="1"/>
  <c r="W18" i="28" s="1"/>
  <c r="V18" i="28" a="1"/>
  <c r="V18" i="28" s="1"/>
  <c r="U18" i="28" a="1"/>
  <c r="U18" i="28" s="1"/>
  <c r="N18" i="28"/>
  <c r="M18" i="28"/>
  <c r="M18" i="28" a="1"/>
  <c r="L18" i="28" a="1"/>
  <c r="L18" i="28" s="1"/>
  <c r="K18" i="28"/>
  <c r="K18" i="28" a="1"/>
  <c r="J18" i="28" a="1"/>
  <c r="J18" i="28" s="1"/>
  <c r="I18" i="28"/>
  <c r="I18" i="28" a="1"/>
  <c r="B18" i="28"/>
  <c r="CE17" i="28" a="1"/>
  <c r="CE17" i="28" s="1"/>
  <c r="CD17" i="28" a="1"/>
  <c r="CD17" i="28" s="1"/>
  <c r="CC17" i="28"/>
  <c r="CC17" i="28" a="1"/>
  <c r="CB17" i="28" a="1"/>
  <c r="CB17" i="28" s="1"/>
  <c r="CA17" i="28" a="1"/>
  <c r="CA17" i="28" s="1"/>
  <c r="BT17" i="28"/>
  <c r="BS17" i="28" a="1"/>
  <c r="BS17" i="28" s="1"/>
  <c r="BR17" i="28"/>
  <c r="BR17" i="28" a="1"/>
  <c r="BQ17" i="28" a="1"/>
  <c r="BQ17" i="28" s="1"/>
  <c r="BP17" i="28"/>
  <c r="BP17" i="28" a="1"/>
  <c r="BO17" i="28" a="1"/>
  <c r="BO17" i="28" s="1"/>
  <c r="BH17" i="28"/>
  <c r="BG17" i="28" a="1"/>
  <c r="BG17" i="28" s="1"/>
  <c r="BF17" i="28" a="1"/>
  <c r="BF17" i="28" s="1"/>
  <c r="BE17" i="28" a="1"/>
  <c r="BE17" i="28" s="1"/>
  <c r="BD17" i="28"/>
  <c r="BD17" i="28" a="1"/>
  <c r="BC17" i="28" a="1"/>
  <c r="BC17" i="28" s="1"/>
  <c r="AX17" i="28"/>
  <c r="AW17" i="28"/>
  <c r="AW17" i="28" a="1"/>
  <c r="AV17" i="28" a="1"/>
  <c r="AV17" i="28" s="1"/>
  <c r="AU17" i="28" a="1"/>
  <c r="AU17" i="28" s="1"/>
  <c r="AT17" i="28" a="1"/>
  <c r="AT17" i="28" s="1"/>
  <c r="AS17" i="28" a="1"/>
  <c r="AS17" i="28" s="1"/>
  <c r="AL17" i="28"/>
  <c r="AK17" i="28" a="1"/>
  <c r="AK17" i="28" s="1"/>
  <c r="AJ17" i="28"/>
  <c r="AJ17" i="28" a="1"/>
  <c r="AI17" i="28" a="1"/>
  <c r="AI17" i="28" s="1"/>
  <c r="AH17" i="28"/>
  <c r="AH17" i="28" a="1"/>
  <c r="AG17" i="28" a="1"/>
  <c r="AG17" i="28" s="1"/>
  <c r="Z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/>
  <c r="M17" i="28" a="1"/>
  <c r="L17" i="28" a="1"/>
  <c r="L17" i="28" s="1"/>
  <c r="K17" i="28"/>
  <c r="K17" i="28" a="1"/>
  <c r="J17" i="28" a="1"/>
  <c r="J17" i="28" s="1"/>
  <c r="I17" i="28"/>
  <c r="I17" i="28" a="1"/>
  <c r="B17" i="28"/>
  <c r="CE16" i="28" a="1"/>
  <c r="CE16" i="28" s="1"/>
  <c r="CD16" i="28" a="1"/>
  <c r="CD16" i="28" s="1"/>
  <c r="CC16" i="28" a="1"/>
  <c r="CC16" i="28" s="1"/>
  <c r="CB16" i="28" a="1"/>
  <c r="CB16" i="28" s="1"/>
  <c r="CA16" i="28" a="1"/>
  <c r="CA16" i="28" s="1"/>
  <c r="BT16" i="28"/>
  <c r="BS16" i="28" a="1"/>
  <c r="BS16" i="28" s="1"/>
  <c r="BR16" i="28"/>
  <c r="BR16" i="28" a="1"/>
  <c r="BQ16" i="28" a="1"/>
  <c r="BQ16" i="28" s="1"/>
  <c r="BP16" i="28"/>
  <c r="BP16" i="28" a="1"/>
  <c r="BO16" i="28" a="1"/>
  <c r="BO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X16" i="28"/>
  <c r="AW16" i="28" a="1"/>
  <c r="AW16" i="28" s="1"/>
  <c r="AV16" i="28" a="1"/>
  <c r="AV16" i="28" s="1"/>
  <c r="AU16" i="28"/>
  <c r="AU16" i="28" a="1"/>
  <c r="AT16" i="28" a="1"/>
  <c r="AT16" i="28" s="1"/>
  <c r="AS16" i="28" a="1"/>
  <c r="AS16" i="28" s="1"/>
  <c r="AL16" i="28"/>
  <c r="AK16" i="28" a="1"/>
  <c r="AK16" i="28" s="1"/>
  <c r="AJ16" i="28"/>
  <c r="AJ16" i="28" a="1"/>
  <c r="AI16" i="28" a="1"/>
  <c r="AI16" i="28" s="1"/>
  <c r="AH16" i="28"/>
  <c r="AH16" i="28" a="1"/>
  <c r="AG16" i="28" a="1"/>
  <c r="AG16" i="28" s="1"/>
  <c r="Z16" i="28"/>
  <c r="Y16" i="28" a="1"/>
  <c r="Y16" i="28" s="1"/>
  <c r="X16" i="28"/>
  <c r="X16" i="28" a="1"/>
  <c r="W16" i="28" a="1"/>
  <c r="W16" i="28" s="1"/>
  <c r="V16" i="28" a="1"/>
  <c r="V16" i="28" s="1"/>
  <c r="U16" i="28" a="1"/>
  <c r="U16" i="28" s="1"/>
  <c r="N16" i="28"/>
  <c r="M16" i="28"/>
  <c r="M16" i="28" a="1"/>
  <c r="L16" i="28" a="1"/>
  <c r="L16" i="28" s="1"/>
  <c r="K16" i="28"/>
  <c r="K16" i="28" a="1"/>
  <c r="J16" i="28" a="1"/>
  <c r="J16" i="28" s="1"/>
  <c r="I16" i="28"/>
  <c r="I16" i="28" a="1"/>
  <c r="B16" i="28"/>
  <c r="CE15" i="28" a="1"/>
  <c r="CE15" i="28" s="1"/>
  <c r="CE8" i="28" s="1"/>
  <c r="CE10" i="28" s="1"/>
  <c r="CD15" i="28" a="1"/>
  <c r="CD15" i="28" s="1"/>
  <c r="CC15" i="28" a="1"/>
  <c r="CC15" i="28" s="1"/>
  <c r="CB15" i="28" a="1"/>
  <c r="CB15" i="28" s="1"/>
  <c r="CA15" i="28"/>
  <c r="CA15" i="28" a="1"/>
  <c r="BT15" i="28"/>
  <c r="BS15" i="28" a="1"/>
  <c r="BS15" i="28" s="1"/>
  <c r="BR15" i="28"/>
  <c r="BR15" i="28" a="1"/>
  <c r="BQ15" i="28" a="1"/>
  <c r="BQ15" i="28" s="1"/>
  <c r="BP15" i="28"/>
  <c r="BP15" i="28" a="1"/>
  <c r="BO15" i="28" a="1"/>
  <c r="BO15" i="28" s="1"/>
  <c r="BH15" i="28"/>
  <c r="BG15" i="28" a="1"/>
  <c r="BG15" i="28" s="1"/>
  <c r="BF15" i="28" a="1"/>
  <c r="BF15" i="28" s="1"/>
  <c r="BE15" i="28"/>
  <c r="BE15" i="28" a="1"/>
  <c r="BD15" i="28" a="1"/>
  <c r="BD15" i="28" s="1"/>
  <c r="BC15" i="28" a="1"/>
  <c r="BC15" i="28" s="1"/>
  <c r="AX15" i="28"/>
  <c r="AW15" i="28" a="1"/>
  <c r="AW15" i="28" s="1"/>
  <c r="AV15" i="28" a="1"/>
  <c r="AV15" i="28" s="1"/>
  <c r="AU15" i="28"/>
  <c r="AU15" i="28" a="1"/>
  <c r="AT15" i="28" a="1"/>
  <c r="AT15" i="28" s="1"/>
  <c r="AS15" i="28"/>
  <c r="AS15" i="28" a="1"/>
  <c r="AL15" i="28"/>
  <c r="AK15" i="28" a="1"/>
  <c r="AK15" i="28" s="1"/>
  <c r="AJ15" i="28"/>
  <c r="AJ15" i="28" a="1"/>
  <c r="AI15" i="28" a="1"/>
  <c r="AI15" i="28" s="1"/>
  <c r="AH15" i="28"/>
  <c r="AH15" i="28" a="1"/>
  <c r="AG15" i="28" a="1"/>
  <c r="AG15" i="28" s="1"/>
  <c r="Z15" i="28"/>
  <c r="Y15" i="28"/>
  <c r="Y15" i="28" a="1"/>
  <c r="X15" i="28" a="1"/>
  <c r="X15" i="28" s="1"/>
  <c r="W15" i="28" a="1"/>
  <c r="W15" i="28" s="1"/>
  <c r="V15" i="28" a="1"/>
  <c r="V15" i="28" s="1"/>
  <c r="U15" i="28"/>
  <c r="U15" i="28" a="1"/>
  <c r="N15" i="28"/>
  <c r="M15" i="28" a="1"/>
  <c r="M15" i="28" s="1"/>
  <c r="L15" i="28" a="1"/>
  <c r="L15" i="28" s="1"/>
  <c r="K15" i="28"/>
  <c r="K15" i="28" a="1"/>
  <c r="J15" i="28"/>
  <c r="J15" i="28" a="1"/>
  <c r="I15" i="28" a="1"/>
  <c r="I15" i="28" s="1"/>
  <c r="B15" i="28"/>
  <c r="CE14" i="28"/>
  <c r="CE14" i="28" a="1"/>
  <c r="CD14" i="28" a="1"/>
  <c r="CD14" i="28" s="1"/>
  <c r="CC14" i="28" a="1"/>
  <c r="CC14" i="28" s="1"/>
  <c r="CB14" i="28" a="1"/>
  <c r="CB14" i="28" s="1"/>
  <c r="CA14" i="28" a="1"/>
  <c r="CA14" i="28" s="1"/>
  <c r="BT14" i="28"/>
  <c r="BS14" i="28" a="1"/>
  <c r="BS14" i="28" s="1"/>
  <c r="BR14" i="28"/>
  <c r="BR14" i="28" a="1"/>
  <c r="BQ14" i="28"/>
  <c r="BQ14" i="28" a="1"/>
  <c r="BP14" i="28"/>
  <c r="BP14" i="28" a="1"/>
  <c r="BO14" i="28" a="1"/>
  <c r="BO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X14" i="28"/>
  <c r="AW14" i="28" a="1"/>
  <c r="AW14" i="28" s="1"/>
  <c r="AV14" i="28"/>
  <c r="AV14" i="28" a="1"/>
  <c r="AU14" i="28"/>
  <c r="AU14" i="28" a="1"/>
  <c r="AT14" i="28"/>
  <c r="AT14" i="28" a="1"/>
  <c r="AS14" i="28" a="1"/>
  <c r="AS14" i="28" s="1"/>
  <c r="AL14" i="28"/>
  <c r="AK14" i="28" a="1"/>
  <c r="AK14" i="28" s="1"/>
  <c r="AJ14" i="28" a="1"/>
  <c r="AJ14" i="28" s="1"/>
  <c r="AI14" i="28" a="1"/>
  <c r="AI14" i="28" s="1"/>
  <c r="AH14" i="28"/>
  <c r="AH14" i="28" a="1"/>
  <c r="AG14" i="28" a="1"/>
  <c r="AG14" i="28" s="1"/>
  <c r="Z14" i="28"/>
  <c r="Y14" i="28"/>
  <c r="Y14" i="28" a="1"/>
  <c r="X14" i="28" a="1"/>
  <c r="X14" i="28" s="1"/>
  <c r="W14" i="28"/>
  <c r="W14" i="28" a="1"/>
  <c r="V14" i="28"/>
  <c r="V14" i="28" a="1"/>
  <c r="U14" i="28"/>
  <c r="U14" i="28" a="1"/>
  <c r="N14" i="28"/>
  <c r="M14" i="28"/>
  <c r="M14" i="28" a="1"/>
  <c r="L14" i="28" a="1"/>
  <c r="L14" i="28" s="1"/>
  <c r="K14" i="28" a="1"/>
  <c r="K14" i="28" s="1"/>
  <c r="J14" i="28"/>
  <c r="J14" i="28" a="1"/>
  <c r="I14" i="28" a="1"/>
  <c r="I14" i="28" s="1"/>
  <c r="B14" i="28"/>
  <c r="CE13" i="28"/>
  <c r="CE13" i="28" a="1"/>
  <c r="CD13" i="28"/>
  <c r="CD13" i="28" a="1"/>
  <c r="CC13" i="28" a="1"/>
  <c r="CC13" i="28" s="1"/>
  <c r="CB13" i="28"/>
  <c r="CB13" i="28" a="1"/>
  <c r="CA13" i="28" a="1"/>
  <c r="CA13" i="28" s="1"/>
  <c r="BT13" i="28"/>
  <c r="BS13" i="28"/>
  <c r="BS13" i="28" a="1"/>
  <c r="BR13" i="28" a="1"/>
  <c r="BR13" i="28" s="1"/>
  <c r="BQ13" i="28" a="1"/>
  <c r="BQ13" i="28" s="1"/>
  <c r="BP13" i="28" a="1"/>
  <c r="BP13" i="28" s="1"/>
  <c r="BO13" i="28" a="1"/>
  <c r="BO13" i="28" s="1"/>
  <c r="BH13" i="28"/>
  <c r="BG13" i="28"/>
  <c r="BG13" i="28" a="1"/>
  <c r="BF13" i="28"/>
  <c r="BF13" i="28" a="1"/>
  <c r="BE13" i="28"/>
  <c r="BE13" i="28" a="1"/>
  <c r="BD13" i="28" a="1"/>
  <c r="BD13" i="28" s="1"/>
  <c r="BC13" i="28"/>
  <c r="BC13" i="28" a="1"/>
  <c r="AX13" i="28"/>
  <c r="AW13" i="28" a="1"/>
  <c r="AW13" i="28" s="1"/>
  <c r="AV13" i="28" a="1"/>
  <c r="AV13" i="28" s="1"/>
  <c r="AU13" i="28" a="1"/>
  <c r="AU13" i="28" s="1"/>
  <c r="AT13" i="28" a="1"/>
  <c r="AT13" i="28" s="1"/>
  <c r="AS13" i="28" a="1"/>
  <c r="AS13" i="28" s="1"/>
  <c r="AL13" i="28"/>
  <c r="AK13" i="28" a="1"/>
  <c r="AK13" i="28" s="1"/>
  <c r="AJ13" i="28"/>
  <c r="AJ13" i="28" a="1"/>
  <c r="AI13" i="28" a="1"/>
  <c r="AI13" i="28" s="1"/>
  <c r="AH13" i="28"/>
  <c r="AH13" i="28" a="1"/>
  <c r="AG13" i="28" a="1"/>
  <c r="AG13" i="28" s="1"/>
  <c r="Z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/>
  <c r="M13" i="28" a="1"/>
  <c r="L13" i="28" a="1"/>
  <c r="L13" i="28" s="1"/>
  <c r="K13" i="28"/>
  <c r="K13" i="28" a="1"/>
  <c r="J13" i="28"/>
  <c r="J13" i="28" a="1"/>
  <c r="I13" i="28"/>
  <c r="I13" i="28" a="1"/>
  <c r="B13" i="28"/>
  <c r="CE12" i="28"/>
  <c r="CE12" i="28" a="1"/>
  <c r="CD12" i="28" a="1"/>
  <c r="CD12" i="28" s="1"/>
  <c r="CC12" i="28" a="1"/>
  <c r="CC12" i="28" s="1"/>
  <c r="CB12" i="28"/>
  <c r="CB12" i="28" a="1"/>
  <c r="CA12" i="28" a="1"/>
  <c r="CA12" i="28" s="1"/>
  <c r="CA8" i="28" s="1"/>
  <c r="CA10" i="28" s="1"/>
  <c r="BT12" i="28"/>
  <c r="BS12" i="28"/>
  <c r="BS12" i="28" a="1"/>
  <c r="BR12" i="28"/>
  <c r="BR12" i="28" a="1"/>
  <c r="BQ12" i="28" a="1"/>
  <c r="BQ12" i="28" s="1"/>
  <c r="BP12" i="28"/>
  <c r="BP12" i="28" a="1"/>
  <c r="BO12" i="28" a="1"/>
  <c r="BO12" i="28" s="1"/>
  <c r="BH12" i="28"/>
  <c r="BG12" i="28"/>
  <c r="BG12" i="28" a="1"/>
  <c r="BF12" i="28" a="1"/>
  <c r="BF12" i="28" s="1"/>
  <c r="BE12" i="28" a="1"/>
  <c r="BE12" i="28" s="1"/>
  <c r="BD12" i="28" a="1"/>
  <c r="BD12" i="28" s="1"/>
  <c r="BC12" i="28" a="1"/>
  <c r="BC12" i="28" s="1"/>
  <c r="AX12" i="28"/>
  <c r="AW12" i="28"/>
  <c r="AW12" i="28" a="1"/>
  <c r="AV12" i="28"/>
  <c r="AV12" i="28" a="1"/>
  <c r="AU12" i="28"/>
  <c r="AU12" i="28" a="1"/>
  <c r="AT12" i="28" a="1"/>
  <c r="AT12" i="28" s="1"/>
  <c r="AS12" i="28"/>
  <c r="AS12" i="28" a="1"/>
  <c r="AL12" i="28"/>
  <c r="AK12" i="28" a="1"/>
  <c r="AK12" i="28" s="1"/>
  <c r="AJ12" i="28" a="1"/>
  <c r="AJ12" i="28" s="1"/>
  <c r="AI12" i="28" a="1"/>
  <c r="AI12" i="28" s="1"/>
  <c r="AI8" i="28" s="1"/>
  <c r="AI10" i="28" s="1"/>
  <c r="AH12" i="28" a="1"/>
  <c r="AH12" i="28" s="1"/>
  <c r="AG12" i="28" a="1"/>
  <c r="AG12" i="28" s="1"/>
  <c r="AG8" i="28" s="1"/>
  <c r="Z12" i="28"/>
  <c r="Y12" i="28" a="1"/>
  <c r="Y12" i="28" s="1"/>
  <c r="X12" i="28"/>
  <c r="X12" i="28" a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/>
  <c r="J12" i="28" a="1"/>
  <c r="I12" i="28" a="1"/>
  <c r="I12" i="28" s="1"/>
  <c r="B12" i="28"/>
  <c r="CE11" i="28"/>
  <c r="CE11" i="28" a="1"/>
  <c r="CD11" i="28" a="1"/>
  <c r="CD11" i="28" s="1"/>
  <c r="CD8" i="28" s="1"/>
  <c r="CD10" i="28" s="1"/>
  <c r="CC11" i="28"/>
  <c r="CC8" i="28" s="1"/>
  <c r="CC10" i="28" s="1"/>
  <c r="CC11" i="28" a="1"/>
  <c r="CB11" i="28"/>
  <c r="CB11" i="28" a="1"/>
  <c r="CA11" i="28"/>
  <c r="CA11" i="28" a="1"/>
  <c r="BT11" i="28"/>
  <c r="BS11" i="28"/>
  <c r="BS8" i="28" s="1"/>
  <c r="BS10" i="28" s="1"/>
  <c r="BS11" i="28" a="1"/>
  <c r="BR11" i="28" a="1"/>
  <c r="BR11" i="28" s="1"/>
  <c r="BR8" i="28" s="1"/>
  <c r="BR10" i="28" s="1"/>
  <c r="BQ11" i="28" a="1"/>
  <c r="BQ11" i="28" s="1"/>
  <c r="BQ8" i="28" s="1"/>
  <c r="BP11" i="28" a="1"/>
  <c r="BP11" i="28" s="1"/>
  <c r="BP8" i="28" s="1"/>
  <c r="BO11" i="28" a="1"/>
  <c r="BO11" i="28" s="1"/>
  <c r="BO8" i="28" s="1"/>
  <c r="BO10" i="28" s="1"/>
  <c r="BH11" i="28"/>
  <c r="BG11" i="28"/>
  <c r="BG11" i="28" a="1"/>
  <c r="BF11" i="28"/>
  <c r="BF11" i="28" a="1"/>
  <c r="BE11" i="28" a="1"/>
  <c r="BE11" i="28" s="1"/>
  <c r="BE8" i="28" s="1"/>
  <c r="BE10" i="28" s="1"/>
  <c r="BD11" i="28"/>
  <c r="BD8" i="28" s="1"/>
  <c r="BD10" i="28" s="1"/>
  <c r="BD11" i="28" a="1"/>
  <c r="BC11" i="28" a="1"/>
  <c r="BC11" i="28" s="1"/>
  <c r="AX11" i="28"/>
  <c r="AX8" i="28" s="1"/>
  <c r="AW11" i="28" a="1"/>
  <c r="AW11" i="28" s="1"/>
  <c r="AW8" i="28" s="1"/>
  <c r="AW10" i="28" s="1"/>
  <c r="AV11" i="28" a="1"/>
  <c r="AV11" i="28" s="1"/>
  <c r="AV8" i="28" s="1"/>
  <c r="AV10" i="28" s="1"/>
  <c r="AU11" i="28" a="1"/>
  <c r="AU11" i="28" s="1"/>
  <c r="AU8" i="28" s="1"/>
  <c r="AU10" i="28" s="1"/>
  <c r="AT11" i="28" a="1"/>
  <c r="AT11" i="28" s="1"/>
  <c r="AT8" i="28" s="1"/>
  <c r="AT10" i="28" s="1"/>
  <c r="AS11" i="28" a="1"/>
  <c r="AS11" i="28" s="1"/>
  <c r="AS8" i="28" s="1"/>
  <c r="AS10" i="28" s="1"/>
  <c r="AL11" i="28"/>
  <c r="AK11" i="28"/>
  <c r="AK11" i="28" a="1"/>
  <c r="AJ11" i="28" a="1"/>
  <c r="AJ11" i="28" s="1"/>
  <c r="AJ8" i="28" s="1"/>
  <c r="AJ10" i="28" s="1"/>
  <c r="AI11" i="28"/>
  <c r="AI11" i="28" a="1"/>
  <c r="AH11" i="28" a="1"/>
  <c r="AH11" i="28" s="1"/>
  <c r="AH8" i="28" s="1"/>
  <c r="AH10" i="28" s="1"/>
  <c r="AG11" i="28"/>
  <c r="AG11" i="28" a="1"/>
  <c r="Z11" i="28"/>
  <c r="Y11" i="28" a="1"/>
  <c r="Y11" i="28" s="1"/>
  <c r="Y8" i="28" s="1"/>
  <c r="Y10" i="28" s="1"/>
  <c r="X11" i="28" a="1"/>
  <c r="X11" i="28" s="1"/>
  <c r="X8" i="28" s="1"/>
  <c r="X10" i="28" s="1"/>
  <c r="W11" i="28" a="1"/>
  <c r="W11" i="28" s="1"/>
  <c r="W8" i="28" s="1"/>
  <c r="W10" i="28" s="1"/>
  <c r="V11" i="28" a="1"/>
  <c r="V11" i="28" s="1"/>
  <c r="V8" i="28" s="1"/>
  <c r="V10" i="28" s="1"/>
  <c r="U11" i="28" a="1"/>
  <c r="U11" i="28" s="1"/>
  <c r="U8" i="28" s="1"/>
  <c r="U10" i="28" s="1"/>
  <c r="N11" i="28"/>
  <c r="M11" i="28" a="1"/>
  <c r="M11" i="28" s="1"/>
  <c r="M8" i="28" s="1"/>
  <c r="M10" i="28" s="1"/>
  <c r="L11" i="28"/>
  <c r="L11" i="28" a="1"/>
  <c r="K11" i="28" a="1"/>
  <c r="K11" i="28" s="1"/>
  <c r="K8" i="28" s="1"/>
  <c r="K10" i="28" s="1"/>
  <c r="J11" i="28"/>
  <c r="J8" i="28" s="1"/>
  <c r="J11" i="28" a="1"/>
  <c r="I11" i="28" a="1"/>
  <c r="I11" i="28" s="1"/>
  <c r="I8" i="28" s="1"/>
  <c r="I10" i="28" s="1"/>
  <c r="B11" i="28"/>
  <c r="B8" i="28" s="1"/>
  <c r="BV5" i="28"/>
  <c r="BJ5" i="28"/>
  <c r="AN5" i="28"/>
  <c r="AB5" i="28"/>
  <c r="P5" i="28"/>
  <c r="D5" i="28"/>
  <c r="BV3" i="28"/>
  <c r="BJ3" i="28"/>
  <c r="AZ3" i="28"/>
  <c r="AN3" i="28"/>
  <c r="AB3" i="28"/>
  <c r="P3" i="28"/>
  <c r="D3" i="28"/>
  <c r="BV2" i="28" a="1"/>
  <c r="BV2" i="28" s="1"/>
  <c r="BJ2" i="28" a="1"/>
  <c r="BJ2" i="28" s="1"/>
  <c r="AZ2" i="28"/>
  <c r="AZ2" i="28" a="1"/>
  <c r="AN2" i="28" a="1"/>
  <c r="AN2" i="28" s="1"/>
  <c r="AB2" i="28" a="1"/>
  <c r="AB2" i="28" s="1"/>
  <c r="P2" i="28" a="1"/>
  <c r="P2" i="28" s="1"/>
  <c r="D2" i="28"/>
  <c r="D2" i="28" a="1"/>
  <c r="BN10" i="28"/>
  <c r="BG10" i="28"/>
  <c r="N9" i="28"/>
  <c r="CE9" i="28"/>
  <c r="CD9" i="28"/>
  <c r="CC9" i="28"/>
  <c r="CB9" i="28"/>
  <c r="CA9" i="28"/>
  <c r="BZ9" i="28"/>
  <c r="BZ10" i="28" s="1"/>
  <c r="BX9" i="28"/>
  <c r="BX10" i="28" s="1"/>
  <c r="BS9" i="28"/>
  <c r="BR9" i="28"/>
  <c r="BQ9" i="28"/>
  <c r="BP9" i="28"/>
  <c r="BO9" i="28"/>
  <c r="BN9" i="28"/>
  <c r="BL9" i="28"/>
  <c r="BG9" i="28"/>
  <c r="BF9" i="28"/>
  <c r="BE9" i="28"/>
  <c r="BD9" i="28"/>
  <c r="BC9" i="28"/>
  <c r="BB9" i="28"/>
  <c r="BB10" i="28" s="1"/>
  <c r="AW9" i="28"/>
  <c r="AV9" i="28"/>
  <c r="AU9" i="28"/>
  <c r="AT9" i="28"/>
  <c r="AS9" i="28"/>
  <c r="AR9" i="28"/>
  <c r="AR10" i="28" s="1"/>
  <c r="AP9" i="28"/>
  <c r="AK9" i="28"/>
  <c r="AJ9" i="28"/>
  <c r="AI9" i="28"/>
  <c r="AH9" i="28"/>
  <c r="AG9" i="28"/>
  <c r="AF9" i="28"/>
  <c r="AD9" i="28"/>
  <c r="Y9" i="28"/>
  <c r="X9" i="28"/>
  <c r="W9" i="28"/>
  <c r="V9" i="28"/>
  <c r="U9" i="28"/>
  <c r="T9" i="28"/>
  <c r="T10" i="28" s="1"/>
  <c r="R9" i="28"/>
  <c r="M9" i="28"/>
  <c r="L9" i="28"/>
  <c r="K9" i="28"/>
  <c r="J9" i="28"/>
  <c r="I9" i="28"/>
  <c r="H9" i="28"/>
  <c r="F9" i="28"/>
  <c r="CB8" i="28"/>
  <c r="BZ8" i="28"/>
  <c r="BX8" i="28"/>
  <c r="BT8" i="28"/>
  <c r="BN8" i="28"/>
  <c r="BL8" i="28"/>
  <c r="BL10" i="28" s="1"/>
  <c r="BH8" i="28"/>
  <c r="BG8" i="28"/>
  <c r="BB8" i="28"/>
  <c r="AR8" i="28"/>
  <c r="AP8" i="28"/>
  <c r="AP10" i="28" s="1"/>
  <c r="AL8" i="28"/>
  <c r="AF8" i="28"/>
  <c r="AF10" i="28" s="1"/>
  <c r="AD8" i="28"/>
  <c r="AD10" i="28" s="1"/>
  <c r="Z8" i="28"/>
  <c r="Z9" i="28" s="1"/>
  <c r="T8" i="28"/>
  <c r="R8" i="28"/>
  <c r="R10" i="28" s="1"/>
  <c r="N8" i="28"/>
  <c r="H8" i="28"/>
  <c r="H10" i="28" s="1"/>
  <c r="F8" i="28"/>
  <c r="F10" i="28" s="1"/>
  <c r="E1" i="27" a="1"/>
  <c r="E1" i="27" s="1"/>
  <c r="F10" i="3"/>
  <c r="B10" i="2"/>
  <c r="B9" i="2" s="1"/>
  <c r="W8" i="2"/>
  <c r="B8" i="2"/>
  <c r="AT9" i="2"/>
  <c r="AT8" i="2"/>
  <c r="AT10" i="2" s="1"/>
  <c r="AP122" i="2"/>
  <c r="AP121" i="2"/>
  <c r="AP120" i="2"/>
  <c r="AP119" i="2"/>
  <c r="AP118" i="2"/>
  <c r="AP117" i="2"/>
  <c r="AP116" i="2"/>
  <c r="AP115" i="2"/>
  <c r="AP114" i="2"/>
  <c r="AP113" i="2"/>
  <c r="AP112" i="2"/>
  <c r="AP111" i="2"/>
  <c r="AP110" i="2"/>
  <c r="AP109" i="2"/>
  <c r="AP108" i="2"/>
  <c r="AP107" i="2"/>
  <c r="AP106" i="2"/>
  <c r="AP105" i="2"/>
  <c r="AP104" i="2"/>
  <c r="AP103" i="2"/>
  <c r="AP102" i="2"/>
  <c r="AP101" i="2"/>
  <c r="AP100" i="2"/>
  <c r="AP99" i="2"/>
  <c r="AP98" i="2"/>
  <c r="AP97" i="2"/>
  <c r="AP96" i="2"/>
  <c r="AP95" i="2"/>
  <c r="AP94" i="2"/>
  <c r="AP93" i="2"/>
  <c r="AP92" i="2"/>
  <c r="AP91" i="2"/>
  <c r="AP90" i="2"/>
  <c r="AP89" i="2"/>
  <c r="AP88" i="2"/>
  <c r="AP87" i="2"/>
  <c r="AP86" i="2"/>
  <c r="AP85" i="2"/>
  <c r="AP84" i="2"/>
  <c r="AP83" i="2"/>
  <c r="AP82" i="2"/>
  <c r="AP81" i="2"/>
  <c r="AP80" i="2"/>
  <c r="AP79" i="2"/>
  <c r="AP78" i="2"/>
  <c r="AP77" i="2"/>
  <c r="AP76" i="2"/>
  <c r="AP75" i="2"/>
  <c r="AP74" i="2"/>
  <c r="AP73" i="2"/>
  <c r="AP72" i="2"/>
  <c r="AP71" i="2"/>
  <c r="AP70" i="2"/>
  <c r="AP69" i="2"/>
  <c r="AP68" i="2"/>
  <c r="AP67" i="2"/>
  <c r="AP66" i="2"/>
  <c r="AP65" i="2"/>
  <c r="AP64" i="2"/>
  <c r="AP63" i="2"/>
  <c r="AP62" i="2"/>
  <c r="AP61" i="2"/>
  <c r="AP60" i="2"/>
  <c r="AP59" i="2"/>
  <c r="AP58" i="2"/>
  <c r="AP57" i="2"/>
  <c r="AP56" i="2"/>
  <c r="AP55" i="2"/>
  <c r="AP54" i="2"/>
  <c r="AP53" i="2"/>
  <c r="AP52" i="2"/>
  <c r="AP51" i="2"/>
  <c r="AP50" i="2"/>
  <c r="AP49" i="2"/>
  <c r="AP48" i="2"/>
  <c r="AP47" i="2"/>
  <c r="AP46" i="2"/>
  <c r="AP45" i="2"/>
  <c r="AP44" i="2"/>
  <c r="AP43" i="2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AA9" i="2"/>
  <c r="AA8" i="2"/>
  <c r="K13" i="3"/>
  <c r="J13" i="3"/>
  <c r="I13" i="3"/>
  <c r="H13" i="3"/>
  <c r="G13" i="3"/>
  <c r="M17" i="3"/>
  <c r="M15" i="3"/>
  <c r="M13" i="3"/>
  <c r="M11" i="3"/>
  <c r="M9" i="3"/>
  <c r="M7" i="3"/>
  <c r="M5" i="3"/>
  <c r="K15" i="3"/>
  <c r="J15" i="3"/>
  <c r="I15" i="3"/>
  <c r="H15" i="3"/>
  <c r="G15" i="3"/>
  <c r="F15" i="3"/>
  <c r="E15" i="3"/>
  <c r="D15" i="3"/>
  <c r="C15" i="3"/>
  <c r="K17" i="3"/>
  <c r="J17" i="3"/>
  <c r="I17" i="3"/>
  <c r="H17" i="3"/>
  <c r="G17" i="3"/>
  <c r="K11" i="3"/>
  <c r="J11" i="3"/>
  <c r="I11" i="3"/>
  <c r="H11" i="3"/>
  <c r="G11" i="3"/>
  <c r="K9" i="3"/>
  <c r="J9" i="3"/>
  <c r="I9" i="3"/>
  <c r="H9" i="3"/>
  <c r="G9" i="3"/>
  <c r="F9" i="3"/>
  <c r="E9" i="3"/>
  <c r="D9" i="3"/>
  <c r="C9" i="3"/>
  <c r="K7" i="3"/>
  <c r="J7" i="3"/>
  <c r="I7" i="3"/>
  <c r="H7" i="3"/>
  <c r="G7" i="3"/>
  <c r="F7" i="3"/>
  <c r="E7" i="3"/>
  <c r="D7" i="3"/>
  <c r="C7" i="3"/>
  <c r="K5" i="3"/>
  <c r="J5" i="3"/>
  <c r="I5" i="3"/>
  <c r="H5" i="3"/>
  <c r="G5" i="3"/>
  <c r="F5" i="3"/>
  <c r="E5" i="3"/>
  <c r="D5" i="3"/>
  <c r="C5" i="3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BW94" i="28"/>
  <c r="S103" i="28"/>
  <c r="P110" i="28"/>
  <c r="AC89" i="28"/>
  <c r="AC103" i="28"/>
  <c r="AM115" i="28"/>
  <c r="P98" i="28"/>
  <c r="D110" i="28"/>
  <c r="G107" i="28"/>
  <c r="AB81" i="28"/>
  <c r="S112" i="28"/>
  <c r="AY100" i="28"/>
  <c r="S62" i="28"/>
  <c r="BY90" i="28"/>
  <c r="AB90" i="28"/>
  <c r="AE115" i="28"/>
  <c r="E104" i="28"/>
  <c r="O116" i="28"/>
  <c r="BI89" i="28"/>
  <c r="BU100" i="28"/>
  <c r="BW117" i="28"/>
  <c r="G93" i="28"/>
  <c r="AO112" i="28"/>
  <c r="BJ86" i="28"/>
  <c r="AQ115" i="28"/>
  <c r="P111" i="28"/>
  <c r="BK91" i="28"/>
  <c r="BJ116" i="28"/>
  <c r="AE70" i="28"/>
  <c r="AZ106" i="28"/>
  <c r="AB67" i="28"/>
  <c r="AZ94" i="28"/>
  <c r="AZ98" i="28"/>
  <c r="BU72" i="28"/>
  <c r="BV113" i="28"/>
  <c r="BK85" i="28"/>
  <c r="E107" i="28"/>
  <c r="BK121" i="28"/>
  <c r="BV101" i="28"/>
  <c r="AC96" i="28"/>
  <c r="AZ109" i="28"/>
  <c r="AE107" i="28"/>
  <c r="C115" i="28"/>
  <c r="G81" i="28"/>
  <c r="BM89" i="28"/>
  <c r="BW71" i="28"/>
  <c r="AQ86" i="28"/>
  <c r="E109" i="28"/>
  <c r="BY88" i="28"/>
  <c r="BI94" i="28"/>
  <c r="Q108" i="28"/>
  <c r="BA87" i="28"/>
  <c r="AM100" i="28"/>
  <c r="AM118" i="28"/>
  <c r="D95" i="28"/>
  <c r="C121" i="28"/>
  <c r="BI99" i="28"/>
  <c r="S97" i="28"/>
  <c r="BU108" i="28"/>
  <c r="BU83" i="28"/>
  <c r="BM70" i="28"/>
  <c r="D81" i="28"/>
  <c r="G61" i="28"/>
  <c r="C97" i="28"/>
  <c r="AZ108" i="28"/>
  <c r="O118" i="28"/>
  <c r="AB93" i="28"/>
  <c r="AE110" i="28"/>
  <c r="AZ84" i="28"/>
  <c r="Q105" i="28"/>
  <c r="AM79" i="28"/>
  <c r="AN108" i="28"/>
  <c r="AY104" i="28"/>
  <c r="AB118" i="28"/>
  <c r="P117" i="28"/>
  <c r="D63" i="28"/>
  <c r="C108" i="28"/>
  <c r="BJ88" i="28"/>
  <c r="AN122" i="28"/>
  <c r="E103" i="28"/>
  <c r="AY108" i="28"/>
  <c r="BM122" i="28"/>
  <c r="AQ101" i="28"/>
  <c r="D115" i="28"/>
  <c r="AY96" i="28"/>
  <c r="BU109" i="28"/>
  <c r="BJ105" i="28"/>
  <c r="AY113" i="28"/>
  <c r="BV110" i="28"/>
  <c r="E90" i="28"/>
  <c r="AQ69" i="28"/>
  <c r="AN63" i="28"/>
  <c r="BI66" i="28"/>
  <c r="BU77" i="28"/>
  <c r="AQ108" i="28"/>
  <c r="AZ122" i="28"/>
  <c r="C120" i="28"/>
  <c r="G75" i="28"/>
  <c r="BA75" i="28"/>
  <c r="AA70" i="28"/>
  <c r="BY63" i="28"/>
  <c r="AA61" i="28"/>
  <c r="G80" i="28"/>
  <c r="S60" i="28"/>
  <c r="AO77" i="28"/>
  <c r="E58" i="28"/>
  <c r="C46" i="28"/>
  <c r="BW33" i="28"/>
  <c r="AQ43" i="28"/>
  <c r="BW30" i="28"/>
  <c r="BW100" i="28"/>
  <c r="AQ118" i="28"/>
  <c r="AB101" i="28"/>
  <c r="E55" i="28"/>
  <c r="BJ64" i="28"/>
  <c r="AO111" i="28"/>
  <c r="BY80" i="28"/>
  <c r="BA92" i="28"/>
  <c r="P69" i="28"/>
  <c r="AZ116" i="28"/>
  <c r="E67" i="28"/>
  <c r="C54" i="28"/>
  <c r="C25" i="28"/>
  <c r="G86" i="28"/>
  <c r="O41" i="28"/>
  <c r="G101" i="28"/>
  <c r="G77" i="28"/>
  <c r="BY105" i="28"/>
  <c r="AO118" i="28"/>
  <c r="AA92" i="28"/>
  <c r="AM103" i="28"/>
  <c r="D120" i="28"/>
  <c r="BW95" i="28"/>
  <c r="BU114" i="28"/>
  <c r="AB89" i="28"/>
  <c r="BA117" i="28"/>
  <c r="BK113" i="28"/>
  <c r="BV93" i="28"/>
  <c r="BV90" i="28"/>
  <c r="BJ72" i="28"/>
  <c r="AO116" i="28"/>
  <c r="O70" i="28"/>
  <c r="AO104" i="28"/>
  <c r="BJ120" i="28"/>
  <c r="AE96" i="28"/>
  <c r="BW105" i="28"/>
  <c r="O80" i="28"/>
  <c r="O98" i="28"/>
  <c r="AE72" i="28"/>
  <c r="AY122" i="28"/>
  <c r="E117" i="28"/>
  <c r="BY96" i="28"/>
  <c r="AA93" i="28"/>
  <c r="G106" i="28"/>
  <c r="AM104" i="28"/>
  <c r="BK79" i="28"/>
  <c r="G94" i="28"/>
  <c r="BY76" i="28"/>
  <c r="AC113" i="28"/>
  <c r="BA109" i="28"/>
  <c r="P115" i="28"/>
  <c r="BK95" i="28"/>
  <c r="AC108" i="28"/>
  <c r="AB122" i="28"/>
  <c r="P103" i="28"/>
  <c r="AE117" i="28"/>
  <c r="D113" i="28"/>
  <c r="P120" i="28"/>
  <c r="BI117" i="28"/>
  <c r="BA96" i="28"/>
  <c r="AC76" i="28"/>
  <c r="BK70" i="28"/>
  <c r="BK73" i="28"/>
  <c r="BY67" i="28"/>
  <c r="AN90" i="28"/>
  <c r="AO103" i="28"/>
  <c r="AZ111" i="28"/>
  <c r="C119" i="28"/>
  <c r="BU103" i="28"/>
  <c r="BI111" i="28"/>
  <c r="BW98" i="28"/>
  <c r="C107" i="28"/>
  <c r="BA102" i="28"/>
  <c r="BJ114" i="28"/>
  <c r="BW113" i="28"/>
  <c r="D88" i="28"/>
  <c r="G64" i="28"/>
  <c r="D57" i="28"/>
  <c r="BM90" i="28"/>
  <c r="D83" i="28"/>
  <c r="AM113" i="28"/>
  <c r="BK87" i="28"/>
  <c r="AE98" i="28"/>
  <c r="AZ72" i="28"/>
  <c r="AN120" i="28"/>
  <c r="BU64" i="28"/>
  <c r="BK115" i="28"/>
  <c r="C110" i="28"/>
  <c r="AC90" i="28"/>
  <c r="Q122" i="28"/>
  <c r="BM98" i="28"/>
  <c r="AQ106" i="28"/>
  <c r="BI72" i="28"/>
  <c r="BV96" i="28"/>
  <c r="AC70" i="28"/>
  <c r="AC104" i="28"/>
  <c r="G118" i="28"/>
  <c r="S90" i="28"/>
  <c r="D103" i="28"/>
  <c r="BW118" i="28"/>
  <c r="AO95" i="28"/>
  <c r="AO113" i="28"/>
  <c r="BA120" i="28"/>
  <c r="AQ116" i="28"/>
  <c r="S95" i="28"/>
  <c r="BK92" i="28"/>
  <c r="O104" i="28"/>
  <c r="O79" i="28"/>
  <c r="S59" i="28"/>
  <c r="G76" i="28"/>
  <c r="E57" i="28"/>
  <c r="AC98" i="28"/>
  <c r="G110" i="28"/>
  <c r="BV108" i="28"/>
  <c r="AO62" i="28"/>
  <c r="BJ85" i="28"/>
  <c r="AZ85" i="28"/>
  <c r="D73" i="28"/>
  <c r="E87" i="28"/>
  <c r="AO88" i="28"/>
  <c r="BW76" i="28"/>
  <c r="AN85" i="28"/>
  <c r="AC60" i="28"/>
  <c r="AB43" i="28"/>
  <c r="E30" i="28"/>
  <c r="AZ57" i="28"/>
  <c r="AN41" i="28"/>
  <c r="AO87" i="28"/>
  <c r="AO74" i="28"/>
  <c r="AA99" i="28"/>
  <c r="BV105" i="28"/>
  <c r="AY74" i="28"/>
  <c r="AM99" i="28"/>
  <c r="C63" i="28"/>
  <c r="BV88" i="28"/>
  <c r="BV80" i="28"/>
  <c r="E85" i="28"/>
  <c r="AQ78" i="28"/>
  <c r="AM76" i="28"/>
  <c r="BA34" i="28"/>
  <c r="BY60" i="28"/>
  <c r="BA31" i="28"/>
  <c r="AO121" i="28"/>
  <c r="AB108" i="28"/>
  <c r="E88" i="28"/>
  <c r="BJ98" i="28"/>
  <c r="D108" i="28"/>
  <c r="AO82" i="28"/>
  <c r="AO100" i="28"/>
  <c r="BJ74" i="28"/>
  <c r="G95" i="28"/>
  <c r="BY118" i="28"/>
  <c r="AQ99" i="28"/>
  <c r="P95" i="28"/>
  <c r="BW108" i="28"/>
  <c r="G114" i="28"/>
  <c r="BV81" i="28"/>
  <c r="Q104" i="28"/>
  <c r="AQ79" i="28"/>
  <c r="AQ122" i="28"/>
  <c r="Q101" i="28"/>
  <c r="AM75" i="28"/>
  <c r="S116" i="28"/>
  <c r="C88" i="28"/>
  <c r="BY108" i="28"/>
  <c r="E81" i="28"/>
  <c r="S104" i="28"/>
  <c r="AN98" i="28"/>
  <c r="Q112" i="28"/>
  <c r="BJ109" i="28"/>
  <c r="AC117" i="28"/>
  <c r="AO92" i="28"/>
  <c r="AQ61" i="28"/>
  <c r="BU80" i="28"/>
  <c r="AE89" i="28"/>
  <c r="BY110" i="28"/>
  <c r="AQ91" i="28"/>
  <c r="AA97" i="28"/>
  <c r="AB110" i="28"/>
  <c r="C90" i="28"/>
  <c r="BM102" i="28"/>
  <c r="BM120" i="28"/>
  <c r="AZ97" i="28"/>
  <c r="AO93" i="28"/>
  <c r="AA102" i="28"/>
  <c r="AY99" i="28"/>
  <c r="AM111" i="28"/>
  <c r="AM86" i="28"/>
  <c r="D89" i="28"/>
  <c r="AZ83" i="28"/>
  <c r="AM68" i="28"/>
  <c r="O107" i="28"/>
  <c r="BK114" i="28"/>
  <c r="BI121" i="28"/>
  <c r="BA100" i="28"/>
  <c r="BA114" i="28"/>
  <c r="AY93" i="28"/>
  <c r="BI109" i="28"/>
  <c r="AO122" i="28"/>
  <c r="AB119" i="28"/>
  <c r="Q95" i="28"/>
  <c r="O94" i="28"/>
  <c r="AE68" i="28"/>
  <c r="S73" i="28"/>
  <c r="BJ83" i="28"/>
  <c r="BA70" i="28"/>
  <c r="AB60" i="28"/>
  <c r="BW93" i="28"/>
  <c r="O68" i="28"/>
  <c r="P109" i="28"/>
  <c r="C122" i="28"/>
  <c r="AC102" i="28"/>
  <c r="AA117" i="28"/>
  <c r="P97" i="28"/>
  <c r="BA91" i="28"/>
  <c r="BW104" i="28"/>
  <c r="AM102" i="28"/>
  <c r="AQ110" i="28"/>
  <c r="Q67" i="28"/>
  <c r="P84" i="28"/>
  <c r="BU90" i="28"/>
  <c r="E82" i="28"/>
  <c r="BJ121" i="28"/>
  <c r="AB98" i="28"/>
  <c r="BW106" i="28"/>
  <c r="AQ114" i="28"/>
  <c r="O99" i="28"/>
  <c r="S107" i="28"/>
  <c r="BJ93" i="28"/>
  <c r="AQ102" i="28"/>
  <c r="BY97" i="28"/>
  <c r="BM109" i="28"/>
  <c r="BJ108" i="28"/>
  <c r="Q83" i="28"/>
  <c r="BV86" i="28"/>
  <c r="O65" i="28"/>
  <c r="AQ84" i="28"/>
  <c r="AC59" i="28"/>
  <c r="BU120" i="28"/>
  <c r="D98" i="28"/>
  <c r="BV115" i="28"/>
  <c r="BA90" i="28"/>
  <c r="Q66" i="28"/>
  <c r="AE58" i="28"/>
  <c r="AN81" i="28"/>
  <c r="C57" i="28"/>
  <c r="BI69" i="28"/>
  <c r="BY122" i="28"/>
  <c r="AC67" i="28"/>
  <c r="AA90" i="28"/>
  <c r="BM48" i="28"/>
  <c r="BM73" i="28"/>
  <c r="BM45" i="28"/>
  <c r="C102" i="28"/>
  <c r="G116" i="28"/>
  <c r="BY113" i="28"/>
  <c r="AB76" i="28"/>
  <c r="AM71" i="28"/>
  <c r="AA86" i="28"/>
  <c r="BV79" i="28"/>
  <c r="AQ74" i="28"/>
  <c r="AC68" i="28"/>
  <c r="AA62" i="28"/>
  <c r="BK65" i="28"/>
  <c r="G70" i="28"/>
  <c r="D49" i="28"/>
  <c r="AY36" i="28"/>
  <c r="BU46" i="28"/>
  <c r="AY33" i="28"/>
  <c r="AZ110" i="28"/>
  <c r="BW97" i="28"/>
  <c r="AB103" i="28"/>
  <c r="BM77" i="28"/>
  <c r="AY118" i="28"/>
  <c r="BM62" i="28"/>
  <c r="AQ111" i="28"/>
  <c r="BY82" i="28"/>
  <c r="AY106" i="28"/>
  <c r="E101" i="28"/>
  <c r="AB114" i="28"/>
  <c r="G112" i="28"/>
  <c r="AN119" i="28"/>
  <c r="D102" i="28"/>
  <c r="AQ63" i="28"/>
  <c r="BJ91" i="28"/>
  <c r="AC61" i="28"/>
  <c r="BJ78" i="28"/>
  <c r="C112" i="28"/>
  <c r="BK117" i="28"/>
  <c r="BV97" i="28"/>
  <c r="AN110" i="28"/>
  <c r="E91" i="28"/>
  <c r="BK105" i="28"/>
  <c r="BJ119" i="28"/>
  <c r="AZ115" i="28"/>
  <c r="BK122" i="28"/>
  <c r="AA120" i="28"/>
  <c r="C99" i="28"/>
  <c r="AN78" i="28"/>
  <c r="BV72" i="28"/>
  <c r="BV75" i="28"/>
  <c r="AQ70" i="28"/>
  <c r="E93" i="28"/>
  <c r="BU105" i="28"/>
  <c r="Q114" i="28"/>
  <c r="AC121" i="28"/>
  <c r="AM106" i="28"/>
  <c r="AA114" i="28"/>
  <c r="D101" i="28"/>
  <c r="AC109" i="28"/>
  <c r="C105" i="28"/>
  <c r="G117" i="28"/>
  <c r="D116" i="28"/>
  <c r="AB91" i="28"/>
  <c r="BW66" i="28"/>
  <c r="D59" i="28"/>
  <c r="BW63" i="28"/>
  <c r="BU56" i="28"/>
  <c r="AN117" i="28"/>
  <c r="P96" i="28"/>
  <c r="AY103" i="28"/>
  <c r="BW115" i="28"/>
  <c r="AQ96" i="28"/>
  <c r="O108" i="28"/>
  <c r="AY91" i="28"/>
  <c r="BJ102" i="28"/>
  <c r="BM99" i="28"/>
  <c r="D74" i="28"/>
  <c r="P105" i="28"/>
  <c r="BU107" i="28"/>
  <c r="Q85" i="28"/>
  <c r="BJ97" i="28"/>
  <c r="AE82" i="28"/>
  <c r="AA116" i="28"/>
  <c r="BY104" i="28"/>
  <c r="BI110" i="28"/>
  <c r="AA91" i="28"/>
  <c r="BA103" i="28"/>
  <c r="AZ117" i="28"/>
  <c r="BI98" i="28"/>
  <c r="AM112" i="28"/>
  <c r="G108" i="28"/>
  <c r="BI115" i="28"/>
  <c r="S113" i="28"/>
  <c r="BY91" i="28"/>
  <c r="BA71" i="28"/>
  <c r="AA66" i="28"/>
  <c r="AA69" i="28"/>
  <c r="AA63" i="28"/>
  <c r="Q102" i="28"/>
  <c r="AA110" i="28"/>
  <c r="S117" i="28"/>
  <c r="BY95" i="28"/>
  <c r="BY109" i="28"/>
  <c r="BJ122" i="28"/>
  <c r="S105" i="28"/>
  <c r="AB117" i="28"/>
  <c r="AZ114" i="28"/>
  <c r="BW88" i="28"/>
  <c r="AA119" i="28"/>
  <c r="AZ63" i="28"/>
  <c r="BK68" i="28"/>
  <c r="AN118" i="28"/>
  <c r="BY65" i="28"/>
  <c r="P107" i="28"/>
  <c r="BV103" i="28"/>
  <c r="BV91" i="28"/>
  <c r="P106" i="28"/>
  <c r="BY61" i="28"/>
  <c r="BV74" i="28"/>
  <c r="BY106" i="28"/>
  <c r="BI63" i="28"/>
  <c r="BV122" i="28"/>
  <c r="AM81" i="28"/>
  <c r="AN113" i="28"/>
  <c r="AZ78" i="28"/>
  <c r="C85" i="28"/>
  <c r="AO51" i="28"/>
  <c r="BI73" i="28"/>
  <c r="BJ48" i="28"/>
  <c r="AQ92" i="28"/>
  <c r="AM105" i="28"/>
  <c r="C104" i="28"/>
  <c r="AY86" i="28"/>
  <c r="AQ73" i="28"/>
  <c r="BI67" i="28"/>
  <c r="AY61" i="28"/>
  <c r="BJ58" i="28"/>
  <c r="BJ77" i="28"/>
  <c r="S58" i="28"/>
  <c r="O75" i="28"/>
  <c r="E56" i="28"/>
  <c r="C44" i="28"/>
  <c r="G31" i="28"/>
  <c r="AQ41" i="28"/>
  <c r="AB42" i="28"/>
  <c r="G98" i="28"/>
  <c r="BY115" i="28"/>
  <c r="AC114" i="28"/>
  <c r="BV119" i="28"/>
  <c r="S100" i="28"/>
  <c r="E113" i="28"/>
  <c r="BY92" i="28"/>
  <c r="BV107" i="28"/>
  <c r="G122" i="28"/>
  <c r="Q118" i="28"/>
  <c r="BM94" i="28"/>
  <c r="P122" i="28"/>
  <c r="AC101" i="28"/>
  <c r="AA81" i="28"/>
  <c r="S75" i="28"/>
  <c r="S78" i="28"/>
  <c r="BA72" i="28"/>
  <c r="AQ113" i="28"/>
  <c r="BA93" i="28"/>
  <c r="P99" i="28"/>
  <c r="O113" i="28"/>
  <c r="AC92" i="28"/>
  <c r="AE105" i="28"/>
  <c r="P87" i="28"/>
  <c r="Q100" i="28"/>
  <c r="BU95" i="28"/>
  <c r="P104" i="28"/>
  <c r="BI101" i="28"/>
  <c r="BM113" i="28"/>
  <c r="AZ89" i="28"/>
  <c r="BW56" i="28"/>
  <c r="Q86" i="28"/>
  <c r="AB86" i="28"/>
  <c r="AO109" i="28"/>
  <c r="BV116" i="28"/>
  <c r="AM94" i="28"/>
  <c r="C103" i="28"/>
  <c r="C117" i="28"/>
  <c r="BI95" i="28"/>
  <c r="AA112" i="28"/>
  <c r="C91" i="28"/>
  <c r="O122" i="28"/>
  <c r="AB97" i="28"/>
  <c r="AO96" i="28"/>
  <c r="BJ70" i="28"/>
  <c r="AY75" i="28"/>
  <c r="AQ51" i="28"/>
  <c r="C73" i="28"/>
  <c r="D79" i="28"/>
  <c r="AC99" i="28"/>
  <c r="Q111" i="28"/>
  <c r="AO120" i="28"/>
  <c r="O96" i="28"/>
  <c r="BJ112" i="28"/>
  <c r="C87" i="28"/>
  <c r="AB107" i="28"/>
  <c r="BM81" i="28"/>
  <c r="E111" i="28"/>
  <c r="BI106" i="28"/>
  <c r="O121" i="28"/>
  <c r="Q97" i="28"/>
  <c r="AM65" i="28"/>
  <c r="BY116" i="28"/>
  <c r="BU62" i="28"/>
  <c r="AN106" i="28"/>
  <c r="BW120" i="28"/>
  <c r="AY92" i="28"/>
  <c r="AZ105" i="28"/>
  <c r="D121" i="28"/>
  <c r="BU97" i="28"/>
  <c r="BU115" i="28"/>
  <c r="BW92" i="28"/>
  <c r="BA118" i="28"/>
  <c r="AY97" i="28"/>
  <c r="BV94" i="28"/>
  <c r="AO106" i="28"/>
  <c r="AO81" i="28"/>
  <c r="AN61" i="28"/>
  <c r="BW78" i="28"/>
  <c r="E59" i="28"/>
  <c r="C113" i="28"/>
  <c r="BI91" i="28"/>
  <c r="BV98" i="28"/>
  <c r="BJ110" i="28"/>
  <c r="E92" i="28"/>
  <c r="Q103" i="28"/>
  <c r="AE122" i="28"/>
  <c r="BM97" i="28"/>
  <c r="BU94" i="28"/>
  <c r="AY120" i="28"/>
  <c r="BI100" i="28"/>
  <c r="P118" i="28"/>
  <c r="D80" i="28"/>
  <c r="C109" i="28"/>
  <c r="AM77" i="28"/>
  <c r="BI97" i="28"/>
  <c r="P94" i="28"/>
  <c r="AM117" i="28"/>
  <c r="S96" i="28"/>
  <c r="AO72" i="28"/>
  <c r="BU86" i="28"/>
  <c r="AN97" i="28"/>
  <c r="AE74" i="28"/>
  <c r="BI112" i="28"/>
  <c r="AM91" i="28"/>
  <c r="AQ103" i="28"/>
  <c r="AY87" i="28"/>
  <c r="AN68" i="28"/>
  <c r="BW43" i="28"/>
  <c r="AA87" i="28"/>
  <c r="Q41" i="28"/>
  <c r="BJ115" i="28"/>
  <c r="O93" i="28"/>
  <c r="BV92" i="28"/>
  <c r="S57" i="28"/>
  <c r="AE83" i="28"/>
  <c r="G66" i="28"/>
  <c r="BW70" i="28"/>
  <c r="BM66" i="28"/>
  <c r="BI85" i="28"/>
  <c r="AQ60" i="28"/>
  <c r="AC83" i="28"/>
  <c r="AC58" i="28"/>
  <c r="AZ58" i="28"/>
  <c r="BV111" i="28"/>
  <c r="BA51" i="28"/>
  <c r="AE39" i="28"/>
  <c r="BU84" i="28"/>
  <c r="AQ121" i="28"/>
  <c r="BA115" i="28"/>
  <c r="C96" i="28"/>
  <c r="BK101" i="28"/>
  <c r="AO115" i="28"/>
  <c r="AN94" i="28"/>
  <c r="BJ107" i="28"/>
  <c r="BK89" i="28"/>
  <c r="AB102" i="28"/>
  <c r="AM98" i="28"/>
  <c r="BK106" i="28"/>
  <c r="AA104" i="28"/>
  <c r="AE116" i="28"/>
  <c r="AY62" i="28"/>
  <c r="BJ59" i="28"/>
  <c r="Q89" i="28"/>
  <c r="BJ56" i="28"/>
  <c r="BY94" i="28"/>
  <c r="AM108" i="28"/>
  <c r="AB116" i="28"/>
  <c r="AE93" i="28"/>
  <c r="BM108" i="28"/>
  <c r="P116" i="28"/>
  <c r="AZ103" i="28"/>
  <c r="AN111" i="28"/>
  <c r="AC107" i="28"/>
  <c r="BW119" i="28"/>
  <c r="AZ118" i="28"/>
  <c r="D94" i="28"/>
  <c r="D69" i="28"/>
  <c r="E61" i="28"/>
  <c r="AM66" i="28"/>
  <c r="BU58" i="28"/>
  <c r="E120" i="28"/>
  <c r="BK98" i="28"/>
  <c r="BI105" i="28"/>
  <c r="D118" i="28"/>
  <c r="BA98" i="28"/>
  <c r="AO110" i="28"/>
  <c r="BI93" i="28"/>
  <c r="G105" i="28"/>
  <c r="AE102" i="28"/>
  <c r="AZ76" i="28"/>
  <c r="BK107" i="28"/>
  <c r="BJ117" i="28"/>
  <c r="AZ87" i="28"/>
  <c r="AZ107" i="28"/>
  <c r="BJ84" i="28"/>
  <c r="AZ95" i="28"/>
  <c r="BM115" i="28"/>
  <c r="BW90" i="28"/>
  <c r="BJ100" i="28"/>
  <c r="Q75" i="28"/>
  <c r="Q93" i="28"/>
  <c r="AM67" i="28"/>
  <c r="BV117" i="28"/>
  <c r="AC112" i="28"/>
  <c r="AN92" i="28"/>
  <c r="AY88" i="28"/>
  <c r="AE101" i="28"/>
  <c r="AN115" i="28"/>
  <c r="AA75" i="28"/>
  <c r="AA106" i="28"/>
  <c r="AN72" i="28"/>
  <c r="AC88" i="28"/>
  <c r="O101" i="28"/>
  <c r="D109" i="28"/>
  <c r="BA116" i="28"/>
  <c r="AO101" i="28"/>
  <c r="AY109" i="28"/>
  <c r="G96" i="28"/>
  <c r="BA104" i="28"/>
  <c r="AQ100" i="28"/>
  <c r="AE112" i="28"/>
  <c r="G111" i="28"/>
  <c r="AB85" i="28"/>
  <c r="O91" i="28"/>
  <c r="AZ92" i="28"/>
  <c r="BA86" i="28"/>
  <c r="AO63" i="28"/>
  <c r="BA94" i="28"/>
  <c r="D106" i="28"/>
  <c r="AB115" i="28"/>
  <c r="AO90" i="28"/>
  <c r="BM107" i="28"/>
  <c r="D82" i="28"/>
  <c r="AZ102" i="28"/>
  <c r="BU76" i="28"/>
  <c r="AC106" i="28"/>
  <c r="S102" i="28"/>
  <c r="Q116" i="28"/>
  <c r="S108" i="28"/>
  <c r="G89" i="28"/>
  <c r="E99" i="28"/>
  <c r="AC86" i="28"/>
  <c r="AZ121" i="28"/>
  <c r="BU117" i="28"/>
  <c r="O105" i="28"/>
  <c r="BJ118" i="28"/>
  <c r="G59" i="28"/>
  <c r="G67" i="28"/>
  <c r="AE121" i="28"/>
  <c r="AQ83" i="28"/>
  <c r="E102" i="28"/>
  <c r="BK71" i="28"/>
  <c r="P92" i="28"/>
  <c r="BY68" i="28"/>
  <c r="C60" i="28"/>
  <c r="C27" i="28"/>
  <c r="P53" i="28"/>
  <c r="AQ24" i="28"/>
  <c r="BW103" i="28"/>
  <c r="BW79" i="28"/>
  <c r="BV99" i="28"/>
  <c r="BA89" i="28"/>
  <c r="BJ63" i="28"/>
  <c r="AE56" i="28"/>
  <c r="AC79" i="28"/>
  <c r="C55" i="28"/>
  <c r="AY67" i="28"/>
  <c r="C114" i="28"/>
  <c r="C65" i="28"/>
  <c r="AM83" i="28"/>
  <c r="AM46" i="28"/>
  <c r="AY84" i="28"/>
  <c r="AA55" i="28"/>
  <c r="BA99" i="28"/>
  <c r="BJ113" i="28"/>
  <c r="AM114" i="28"/>
  <c r="AN121" i="28"/>
  <c r="AC91" i="28"/>
  <c r="AA80" i="28"/>
  <c r="BY121" i="28"/>
  <c r="C101" i="28"/>
  <c r="BJ104" i="28"/>
  <c r="BJ90" i="28"/>
  <c r="AE118" i="28"/>
  <c r="AB95" i="28"/>
  <c r="E95" i="28"/>
  <c r="P77" i="28"/>
  <c r="AQ107" i="28"/>
  <c r="Q120" i="28"/>
  <c r="AA118" i="28"/>
  <c r="P68" i="28"/>
  <c r="AA94" i="28"/>
  <c r="AB105" i="28"/>
  <c r="BI122" i="28"/>
  <c r="BY117" i="28"/>
  <c r="AB65" i="28"/>
  <c r="BI114" i="28"/>
  <c r="BU99" i="28"/>
  <c r="AN86" i="28"/>
  <c r="BM100" i="28"/>
  <c r="AN82" i="28"/>
  <c r="BV67" i="28"/>
  <c r="BU48" i="28"/>
  <c r="AZ113" i="28"/>
  <c r="BM71" i="28"/>
  <c r="BY84" i="28"/>
  <c r="AQ38" i="28"/>
  <c r="BK97" i="28"/>
  <c r="BU113" i="28"/>
  <c r="AE90" i="28"/>
  <c r="AB78" i="28"/>
  <c r="C77" i="28"/>
  <c r="S114" i="28"/>
  <c r="S65" i="28"/>
  <c r="E105" i="28"/>
  <c r="E63" i="28"/>
  <c r="S87" i="28"/>
  <c r="AA56" i="28"/>
  <c r="AN74" i="28"/>
  <c r="BK50" i="28"/>
  <c r="AE119" i="28"/>
  <c r="AB96" i="28"/>
  <c r="E96" i="28"/>
  <c r="BK84" i="28"/>
  <c r="AM90" i="28"/>
  <c r="AY81" i="28"/>
  <c r="P75" i="28"/>
  <c r="E70" i="28"/>
  <c r="BK63" i="28"/>
  <c r="BW60" i="28"/>
  <c r="AZ91" i="28"/>
  <c r="BW57" i="28"/>
  <c r="D45" i="28"/>
  <c r="BY30" i="28"/>
  <c r="BM54" i="28"/>
  <c r="O106" i="28"/>
  <c r="BA113" i="28"/>
  <c r="O117" i="28"/>
  <c r="BV65" i="28"/>
  <c r="AN66" i="28"/>
  <c r="O77" i="28"/>
  <c r="O83" i="28"/>
  <c r="AE65" i="28"/>
  <c r="AM70" i="28"/>
  <c r="AM64" i="28"/>
  <c r="AZ67" i="28"/>
  <c r="BU59" i="28"/>
  <c r="S54" i="28"/>
  <c r="E38" i="28"/>
  <c r="Q51" i="28"/>
  <c r="BV35" i="28"/>
  <c r="AN100" i="28"/>
  <c r="BW112" i="28"/>
  <c r="S111" i="28"/>
  <c r="AO79" i="28"/>
  <c r="BU88" i="28"/>
  <c r="G56" i="28"/>
  <c r="AZ75" i="28"/>
  <c r="BI56" i="28"/>
  <c r="BW62" i="28"/>
  <c r="D56" i="28"/>
  <c r="Q88" i="28"/>
  <c r="Q72" i="28"/>
  <c r="O46" i="28"/>
  <c r="E32" i="28"/>
  <c r="O43" i="28"/>
  <c r="BV29" i="28"/>
  <c r="BY86" i="28"/>
  <c r="D66" i="28"/>
  <c r="BI74" i="28"/>
  <c r="BM56" i="28"/>
  <c r="AE44" i="28"/>
  <c r="AY30" i="28"/>
  <c r="BM55" i="28"/>
  <c r="AM32" i="28"/>
  <c r="S52" i="28"/>
  <c r="AZ79" i="28"/>
  <c r="BY43" i="28"/>
  <c r="AC50" i="28"/>
  <c r="G28" i="28"/>
  <c r="G34" i="28"/>
  <c r="Q49" i="28"/>
  <c r="O27" i="28"/>
  <c r="AB120" i="28"/>
  <c r="G90" i="28"/>
  <c r="AY72" i="28"/>
  <c r="AA53" i="28"/>
  <c r="AA54" i="28"/>
  <c r="BK27" i="28"/>
  <c r="AN52" i="28"/>
  <c r="AE41" i="28"/>
  <c r="D50" i="28"/>
  <c r="BJ69" i="28"/>
  <c r="AY41" i="28"/>
  <c r="AC42" i="28"/>
  <c r="S25" i="28"/>
  <c r="AN40" i="28"/>
  <c r="AZ59" i="28"/>
  <c r="BM110" i="28"/>
  <c r="BK118" i="28"/>
  <c r="D122" i="28"/>
  <c r="AO71" i="28"/>
  <c r="S119" i="28"/>
  <c r="AA98" i="28"/>
  <c r="O100" i="28"/>
  <c r="AQ53" i="28"/>
  <c r="AB113" i="28"/>
  <c r="BJ89" i="28"/>
  <c r="AA109" i="28"/>
  <c r="BJ96" i="28"/>
  <c r="AO70" i="28"/>
  <c r="P119" i="28"/>
  <c r="BM104" i="28"/>
  <c r="BJ66" i="28"/>
  <c r="AY119" i="28"/>
  <c r="AY107" i="28"/>
  <c r="P121" i="28"/>
  <c r="AQ68" i="28"/>
  <c r="BM95" i="28"/>
  <c r="P113" i="28"/>
  <c r="AM96" i="28"/>
  <c r="C68" i="28"/>
  <c r="AA100" i="28"/>
  <c r="BY64" i="28"/>
  <c r="BA80" i="28"/>
  <c r="AN34" i="28"/>
  <c r="BJ73" i="28"/>
  <c r="BI113" i="28"/>
  <c r="E76" i="28"/>
  <c r="BY89" i="28"/>
  <c r="AA88" i="28"/>
  <c r="AE71" i="28"/>
  <c r="P70" i="28"/>
  <c r="E89" i="28"/>
  <c r="AO89" i="28"/>
  <c r="BK104" i="28"/>
  <c r="AO76" i="28"/>
  <c r="AC95" i="28"/>
  <c r="BW73" i="28"/>
  <c r="BA66" i="28"/>
  <c r="G46" i="28"/>
  <c r="BW85" i="28"/>
  <c r="AM54" i="28"/>
  <c r="AO108" i="28"/>
  <c r="C116" i="28"/>
  <c r="AO119" i="28"/>
  <c r="S68" i="28"/>
  <c r="E69" i="28"/>
  <c r="BA62" i="28"/>
  <c r="AO85" i="28"/>
  <c r="BW84" i="28"/>
  <c r="BM72" i="28"/>
  <c r="AB82" i="28"/>
  <c r="Q70" i="28"/>
  <c r="D62" i="28"/>
  <c r="BM82" i="28"/>
  <c r="E40" i="28"/>
  <c r="D54" i="28"/>
  <c r="AZ93" i="28"/>
  <c r="BK102" i="28"/>
  <c r="BU104" i="28"/>
  <c r="AQ57" i="28"/>
  <c r="BU75" i="28"/>
  <c r="BV56" i="28"/>
  <c r="G63" i="28"/>
  <c r="Q56" i="28"/>
  <c r="BV78" i="28"/>
  <c r="AQ54" i="28"/>
  <c r="AQ76" i="28"/>
  <c r="AC111" i="28"/>
  <c r="AN46" i="28"/>
  <c r="AB99" i="28"/>
  <c r="AN43" i="28"/>
  <c r="BY101" i="28"/>
  <c r="AY89" i="28"/>
  <c r="AZ100" i="28"/>
  <c r="S118" i="28"/>
  <c r="E100" i="28"/>
  <c r="AB68" i="28"/>
  <c r="AE60" i="28"/>
  <c r="E84" i="28"/>
  <c r="C59" i="28"/>
  <c r="AA72" i="28"/>
  <c r="BW72" i="28"/>
  <c r="AN69" i="28"/>
  <c r="BW96" i="28"/>
  <c r="AZ51" i="28"/>
  <c r="AO114" i="28"/>
  <c r="AZ48" i="28"/>
  <c r="AY117" i="28"/>
  <c r="AO97" i="28"/>
  <c r="BY69" i="28"/>
  <c r="O86" i="28"/>
  <c r="BK42" i="28"/>
  <c r="AM59" i="28"/>
  <c r="BI39" i="28"/>
  <c r="P49" i="28"/>
  <c r="G38" i="28"/>
  <c r="C47" i="28"/>
  <c r="BU89" i="28"/>
  <c r="BV47" i="28"/>
  <c r="BI47" i="28"/>
  <c r="AB16" i="28"/>
  <c r="BM29" i="28"/>
  <c r="AO69" i="28"/>
  <c r="AA18" i="28"/>
  <c r="O95" i="28"/>
  <c r="E68" i="28"/>
  <c r="AB83" i="28"/>
  <c r="AE61" i="28"/>
  <c r="BM53" i="28"/>
  <c r="BI37" i="28"/>
  <c r="P47" i="28"/>
  <c r="BJ35" i="28"/>
  <c r="C45" i="28"/>
  <c r="S80" i="28"/>
  <c r="BV45" i="28"/>
  <c r="AC39" i="28"/>
  <c r="AY15" i="28"/>
  <c r="E27" i="28"/>
  <c r="AO91" i="28"/>
  <c r="AE27" i="28"/>
  <c r="BI116" i="28"/>
  <c r="BW81" i="28"/>
  <c r="AE66" i="28"/>
  <c r="BV46" i="28"/>
  <c r="AY121" i="28"/>
  <c r="P100" i="28"/>
  <c r="AO102" i="28"/>
  <c r="AQ55" i="28"/>
  <c r="BV100" i="28"/>
  <c r="BU112" i="28"/>
  <c r="Q79" i="28"/>
  <c r="AO117" i="28"/>
  <c r="BM93" i="28"/>
  <c r="BM69" i="28"/>
  <c r="BI90" i="28"/>
  <c r="S115" i="28"/>
  <c r="AA113" i="28"/>
  <c r="AA101" i="28"/>
  <c r="AY115" i="28"/>
  <c r="P71" i="28"/>
  <c r="S101" i="28"/>
  <c r="S89" i="28"/>
  <c r="AA103" i="28"/>
  <c r="BM79" i="28"/>
  <c r="AA107" i="28"/>
  <c r="AA95" i="28"/>
  <c r="BY107" i="28"/>
  <c r="AN79" i="28"/>
  <c r="E65" i="28"/>
  <c r="BA76" i="28"/>
  <c r="D91" i="28"/>
  <c r="BY35" i="28"/>
  <c r="C84" i="28"/>
  <c r="BK103" i="28"/>
  <c r="O90" i="28"/>
  <c r="AE113" i="28"/>
  <c r="D111" i="28"/>
  <c r="BA81" i="28"/>
  <c r="O82" i="28"/>
  <c r="O114" i="28"/>
  <c r="AM69" i="28"/>
  <c r="AY94" i="28"/>
  <c r="P85" i="28"/>
  <c r="BM118" i="28"/>
  <c r="E83" i="28"/>
  <c r="BY79" i="28"/>
  <c r="C39" i="28"/>
  <c r="BV68" i="28"/>
  <c r="AQ36" i="28"/>
  <c r="Q96" i="28"/>
  <c r="BV104" i="28"/>
  <c r="AM107" i="28"/>
  <c r="AQ59" i="28"/>
  <c r="AM78" i="28"/>
  <c r="BV58" i="28"/>
  <c r="BJ65" i="28"/>
  <c r="Q58" i="28"/>
  <c r="S81" i="28"/>
  <c r="AQ56" i="28"/>
  <c r="BA78" i="28"/>
  <c r="BU119" i="28"/>
  <c r="AA49" i="28"/>
  <c r="P102" i="28"/>
  <c r="AA46" i="28"/>
  <c r="AE80" i="28"/>
  <c r="AQ85" i="28"/>
  <c r="BW114" i="28"/>
  <c r="BM101" i="28"/>
  <c r="AA84" i="28"/>
  <c r="P59" i="28"/>
  <c r="AQ72" i="28"/>
  <c r="BV95" i="28"/>
  <c r="BJ92" i="28"/>
  <c r="AM122" i="28"/>
  <c r="AN88" i="28"/>
  <c r="P67" i="28"/>
  <c r="AY48" i="28"/>
  <c r="AB84" i="28"/>
  <c r="AY45" i="28"/>
  <c r="AA65" i="28"/>
  <c r="S106" i="28"/>
  <c r="S94" i="28"/>
  <c r="BK108" i="28"/>
  <c r="AY64" i="28"/>
  <c r="S77" i="28"/>
  <c r="AC116" i="28"/>
  <c r="AN65" i="28"/>
  <c r="O103" i="28"/>
  <c r="BM83" i="28"/>
  <c r="BA122" i="28"/>
  <c r="Q81" i="28"/>
  <c r="O67" i="28"/>
  <c r="AY40" i="28"/>
  <c r="BV82" i="28"/>
  <c r="AA51" i="28"/>
  <c r="AB64" i="28"/>
  <c r="BI86" i="28"/>
  <c r="AN83" i="28"/>
  <c r="AC69" i="28"/>
  <c r="AM38" i="28"/>
  <c r="AN48" i="28"/>
  <c r="Q37" i="28"/>
  <c r="AO47" i="28"/>
  <c r="S33" i="28"/>
  <c r="AO44" i="28"/>
  <c r="BV59" i="28"/>
  <c r="AQ31" i="28"/>
  <c r="BK39" i="28"/>
  <c r="C22" i="28"/>
  <c r="D24" i="28"/>
  <c r="AE54" i="28"/>
  <c r="AY19" i="28"/>
  <c r="BV83" i="28"/>
  <c r="AC81" i="28"/>
  <c r="C67" i="28"/>
  <c r="BM32" i="28"/>
  <c r="BA45" i="28"/>
  <c r="Q35" i="28"/>
  <c r="O45" i="28"/>
  <c r="S31" i="28"/>
  <c r="AB66" i="28"/>
  <c r="BU61" i="28"/>
  <c r="AQ29" i="28"/>
  <c r="AY32" i="28"/>
  <c r="BJ28" i="28"/>
  <c r="D22" i="28"/>
  <c r="AE45" i="28"/>
  <c r="O119" i="28"/>
  <c r="Q106" i="28"/>
  <c r="Q121" i="28"/>
  <c r="BM68" i="28"/>
  <c r="BM96" i="28"/>
  <c r="P114" i="28"/>
  <c r="BU98" i="28"/>
  <c r="AC75" i="28"/>
  <c r="BU122" i="28"/>
  <c r="O110" i="28"/>
  <c r="P89" i="28"/>
  <c r="Q65" i="28"/>
  <c r="BK111" i="28"/>
  <c r="BK99" i="28"/>
  <c r="BA112" i="28"/>
  <c r="BY83" i="28"/>
  <c r="AQ98" i="28"/>
  <c r="O120" i="28"/>
  <c r="BM65" i="28"/>
  <c r="AY116" i="28"/>
  <c r="D70" i="28"/>
  <c r="BA107" i="28"/>
  <c r="AC97" i="28"/>
  <c r="AB109" i="28"/>
  <c r="AE114" i="28"/>
  <c r="AZ64" i="28"/>
  <c r="BA57" i="28"/>
  <c r="BV87" i="28"/>
  <c r="BK72" i="28"/>
  <c r="BU78" i="28"/>
  <c r="BW48" i="28"/>
  <c r="BU102" i="28"/>
  <c r="Q99" i="28"/>
  <c r="BU69" i="28"/>
  <c r="AE62" i="28"/>
  <c r="AZ101" i="28"/>
  <c r="E79" i="28"/>
  <c r="BU116" i="28"/>
  <c r="AA67" i="28"/>
  <c r="BJ106" i="28"/>
  <c r="AN64" i="28"/>
  <c r="BI88" i="28"/>
  <c r="BJ41" i="28"/>
  <c r="AO59" i="28"/>
  <c r="AB38" i="28"/>
  <c r="BJ82" i="28"/>
  <c r="BJ87" i="28"/>
  <c r="D117" i="28"/>
  <c r="BW111" i="28"/>
  <c r="P86" i="28"/>
  <c r="S61" i="28"/>
  <c r="BA74" i="28"/>
  <c r="AA105" i="28"/>
  <c r="S63" i="28"/>
  <c r="BA95" i="28"/>
  <c r="AB92" i="28"/>
  <c r="AY76" i="28"/>
  <c r="BY50" i="28"/>
  <c r="AQ65" i="28"/>
  <c r="BY47" i="28"/>
  <c r="BJ101" i="28"/>
  <c r="BV118" i="28"/>
  <c r="BM103" i="28"/>
  <c r="E80" i="28"/>
  <c r="BI65" i="28"/>
  <c r="D105" i="28"/>
  <c r="D84" i="28"/>
  <c r="BW121" i="28"/>
  <c r="AB71" i="28"/>
  <c r="AB111" i="28"/>
  <c r="BJ68" i="28"/>
  <c r="O78" i="28"/>
  <c r="G51" i="28"/>
  <c r="O66" i="28"/>
  <c r="BV48" i="28"/>
  <c r="AB75" i="28"/>
  <c r="BK96" i="28"/>
  <c r="BM119" i="28"/>
  <c r="AY98" i="28"/>
  <c r="BU74" i="28"/>
  <c r="BW89" i="28"/>
  <c r="BA106" i="28"/>
  <c r="BJ76" i="28"/>
  <c r="BV121" i="28"/>
  <c r="D64" i="28"/>
  <c r="AN112" i="28"/>
  <c r="G91" i="28"/>
  <c r="BA77" i="28"/>
  <c r="E45" i="28"/>
  <c r="AY66" i="28"/>
  <c r="AE43" i="28"/>
  <c r="AQ75" i="28"/>
  <c r="BA83" i="28"/>
  <c r="BW122" i="28"/>
  <c r="BW86" i="28"/>
  <c r="BV31" i="28"/>
  <c r="AY50" i="28"/>
  <c r="BW116" i="28"/>
  <c r="BW53" i="28"/>
  <c r="P108" i="28"/>
  <c r="AM50" i="28"/>
  <c r="AE81" i="28"/>
  <c r="AO31" i="28"/>
  <c r="D38" i="28"/>
  <c r="D16" i="28"/>
  <c r="P19" i="28"/>
  <c r="BY40" i="28"/>
  <c r="Q17" i="28"/>
  <c r="AY80" i="28"/>
  <c r="BM112" i="28"/>
  <c r="BM76" i="28"/>
  <c r="Q110" i="28"/>
  <c r="BK47" i="28"/>
  <c r="BA108" i="28"/>
  <c r="AZ50" i="28"/>
  <c r="AE104" i="28"/>
  <c r="AZ47" i="28"/>
  <c r="O62" i="28"/>
  <c r="BW41" i="28"/>
  <c r="BU35" i="28"/>
  <c r="BW83" i="28"/>
  <c r="P17" i="28"/>
  <c r="BJ95" i="28"/>
  <c r="E114" i="28"/>
  <c r="AZ96" i="28"/>
  <c r="BU60" i="28"/>
  <c r="AC105" i="28"/>
  <c r="AC93" i="28"/>
  <c r="G73" i="28"/>
  <c r="AC51" i="28"/>
  <c r="AO98" i="28"/>
  <c r="AE84" i="28"/>
  <c r="BU106" i="28"/>
  <c r="AA115" i="28"/>
  <c r="P83" i="28"/>
  <c r="C94" i="28"/>
  <c r="O72" i="28"/>
  <c r="AB104" i="28"/>
  <c r="AQ112" i="28"/>
  <c r="Q117" i="28"/>
  <c r="BV70" i="28"/>
  <c r="BU110" i="28"/>
  <c r="AC118" i="28"/>
  <c r="BU121" i="28"/>
  <c r="AY70" i="28"/>
  <c r="BM105" i="28"/>
  <c r="BI76" i="28"/>
  <c r="S83" i="28"/>
  <c r="AN37" i="28"/>
  <c r="O111" i="28"/>
  <c r="C98" i="28"/>
  <c r="AQ104" i="28"/>
  <c r="BK64" i="28"/>
  <c r="E112" i="28"/>
  <c r="Q74" i="28"/>
  <c r="AO66" i="28"/>
  <c r="BI83" i="28"/>
  <c r="BK77" i="28"/>
  <c r="BY71" i="28"/>
  <c r="C66" i="28"/>
  <c r="AM72" i="28"/>
  <c r="AY63" i="28"/>
  <c r="BJ60" i="28"/>
  <c r="D47" i="28"/>
  <c r="BK33" i="28"/>
  <c r="BU44" i="28"/>
  <c r="BK30" i="28"/>
  <c r="AM93" i="28"/>
  <c r="AA111" i="28"/>
  <c r="BU93" i="28"/>
  <c r="BA65" i="28"/>
  <c r="AB79" i="28"/>
  <c r="D104" i="28"/>
  <c r="BU66" i="28"/>
  <c r="D119" i="28"/>
  <c r="AA83" i="28"/>
  <c r="O109" i="28"/>
  <c r="AN80" i="28"/>
  <c r="C71" i="28"/>
  <c r="C37" i="28"/>
  <c r="AE69" i="28"/>
  <c r="AQ34" i="28"/>
  <c r="E110" i="28"/>
  <c r="E98" i="28"/>
  <c r="D78" i="28"/>
  <c r="AC55" i="28"/>
  <c r="BV85" i="28"/>
  <c r="BV112" i="28"/>
  <c r="AC74" i="28"/>
  <c r="G97" i="28"/>
  <c r="AQ62" i="28"/>
  <c r="BM85" i="28"/>
  <c r="BM91" i="28"/>
  <c r="AB57" i="28"/>
  <c r="O36" i="28"/>
  <c r="AB54" i="28"/>
  <c r="O33" i="28"/>
  <c r="AO56" i="28"/>
  <c r="AE108" i="28"/>
  <c r="AM95" i="28"/>
  <c r="S109" i="28"/>
  <c r="BK88" i="28"/>
  <c r="AA79" i="28"/>
  <c r="Q119" i="28"/>
  <c r="AQ67" i="28"/>
  <c r="AB69" i="28"/>
  <c r="AY85" i="28"/>
  <c r="AE64" i="28"/>
  <c r="C83" i="28"/>
  <c r="AN60" i="28"/>
  <c r="BA40" i="28"/>
  <c r="AN57" i="28"/>
  <c r="AA37" i="28"/>
  <c r="AM63" i="28"/>
  <c r="BI81" i="28"/>
  <c r="BM88" i="28"/>
  <c r="BK45" i="28"/>
  <c r="AC66" i="28"/>
  <c r="AC36" i="28"/>
  <c r="AY82" i="28"/>
  <c r="S46" i="28"/>
  <c r="BY72" i="28"/>
  <c r="E44" i="28"/>
  <c r="AQ50" i="28"/>
  <c r="G40" i="28"/>
  <c r="BM25" i="28"/>
  <c r="C51" i="28"/>
  <c r="AZ28" i="28"/>
  <c r="BW42" i="28"/>
  <c r="S122" i="28"/>
  <c r="AY79" i="28"/>
  <c r="AE86" i="28"/>
  <c r="BY42" i="28"/>
  <c r="D87" i="28"/>
  <c r="AC34" i="28"/>
  <c r="P73" i="28"/>
  <c r="S44" i="28"/>
  <c r="C64" i="28"/>
  <c r="AO42" i="28"/>
  <c r="AQ48" i="28"/>
  <c r="BJ37" i="28"/>
  <c r="AC23" i="28"/>
  <c r="D75" i="28"/>
  <c r="AM25" i="28"/>
  <c r="AN107" i="28"/>
  <c r="AN95" i="28"/>
  <c r="BW75" i="28"/>
  <c r="AC53" i="28"/>
  <c r="AZ120" i="28"/>
  <c r="BW107" i="28"/>
  <c r="P91" i="28"/>
  <c r="AO105" i="28"/>
  <c r="AB77" i="28"/>
  <c r="AN114" i="28"/>
  <c r="AB94" i="28"/>
  <c r="BY103" i="28"/>
  <c r="C106" i="28"/>
  <c r="BW110" i="28"/>
  <c r="C74" i="28"/>
  <c r="AC115" i="28"/>
  <c r="BY93" i="28"/>
  <c r="AM97" i="28"/>
  <c r="AZ82" i="28"/>
  <c r="BY120" i="28"/>
  <c r="C100" i="28"/>
  <c r="G102" i="28"/>
  <c r="AA82" i="28"/>
  <c r="E97" i="28"/>
  <c r="AE88" i="28"/>
  <c r="BV64" i="28"/>
  <c r="BY38" i="28"/>
  <c r="D100" i="28"/>
  <c r="AQ88" i="28"/>
  <c r="AC94" i="28"/>
  <c r="AA78" i="28"/>
  <c r="BA101" i="28"/>
  <c r="S84" i="28"/>
  <c r="BY70" i="28"/>
  <c r="AY65" i="28"/>
  <c r="S88" i="28"/>
  <c r="BW55" i="28"/>
  <c r="AE75" i="28"/>
  <c r="S56" i="28"/>
  <c r="AB72" i="28"/>
  <c r="AZ81" i="28"/>
  <c r="C42" i="28"/>
  <c r="BJ42" i="28"/>
  <c r="AM60" i="28"/>
  <c r="BV39" i="28"/>
  <c r="BY111" i="28"/>
  <c r="BY99" i="28"/>
  <c r="AZ80" i="28"/>
  <c r="AC57" i="28"/>
  <c r="AM88" i="28"/>
  <c r="AA122" i="28"/>
  <c r="AN76" i="28"/>
  <c r="Q107" i="28"/>
  <c r="BI64" i="28"/>
  <c r="BU96" i="28"/>
  <c r="AC62" i="28"/>
  <c r="O60" i="28"/>
  <c r="AO38" i="28"/>
  <c r="O57" i="28"/>
  <c r="AO35" i="28"/>
  <c r="G65" i="28"/>
  <c r="BY102" i="28"/>
  <c r="O112" i="28"/>
  <c r="BU101" i="28"/>
  <c r="BK67" i="28"/>
  <c r="Q71" i="28"/>
  <c r="E86" i="28"/>
  <c r="BA79" i="28"/>
  <c r="AA74" i="28"/>
  <c r="AA77" i="28"/>
  <c r="AN71" i="28"/>
  <c r="BY55" i="28"/>
  <c r="AZ38" i="28"/>
  <c r="BY52" i="28"/>
  <c r="AZ35" i="28"/>
  <c r="AC120" i="28"/>
  <c r="BY98" i="28"/>
  <c r="AE103" i="28"/>
  <c r="BY66" i="28"/>
  <c r="BW99" i="28"/>
  <c r="P61" i="28"/>
  <c r="C86" i="28"/>
  <c r="C79" i="28"/>
  <c r="E73" i="28"/>
  <c r="S67" i="28"/>
  <c r="S70" i="28"/>
  <c r="BA64" i="28"/>
  <c r="AO53" i="28"/>
  <c r="AM43" i="28"/>
  <c r="BU50" i="28"/>
  <c r="BK38" i="28"/>
  <c r="AQ117" i="28"/>
  <c r="P65" i="28"/>
  <c r="BI71" i="28"/>
  <c r="BM35" i="28"/>
  <c r="AE85" i="28"/>
  <c r="O38" i="28"/>
  <c r="BW80" i="28"/>
  <c r="P30" i="28"/>
  <c r="Q55" i="28"/>
  <c r="C28" i="28"/>
  <c r="AO49" i="28"/>
  <c r="BV34" i="28"/>
  <c r="AO22" i="28"/>
  <c r="BI52" i="28"/>
  <c r="BJ19" i="28"/>
  <c r="BV21" i="28"/>
  <c r="BY114" i="28"/>
  <c r="P63" i="28"/>
  <c r="AY69" i="28"/>
  <c r="AM33" i="28"/>
  <c r="AB59" i="28"/>
  <c r="AB35" i="28"/>
  <c r="AE55" i="28"/>
  <c r="P28" i="28"/>
  <c r="P56" i="28"/>
  <c r="C26" i="28"/>
  <c r="O47" i="28"/>
  <c r="BV32" i="28"/>
  <c r="O20" i="28"/>
  <c r="BM58" i="28"/>
  <c r="BJ16" i="28"/>
  <c r="BV19" i="28"/>
  <c r="E108" i="28"/>
  <c r="BV76" i="28"/>
  <c r="BJ55" i="28"/>
  <c r="AE42" i="28"/>
  <c r="AM101" i="28"/>
  <c r="BV109" i="28"/>
  <c r="BJ103" i="28"/>
  <c r="AQ94" i="28"/>
  <c r="Q98" i="28"/>
  <c r="G92" i="28"/>
  <c r="E51" i="28"/>
  <c r="AM41" i="28"/>
  <c r="S72" i="28"/>
  <c r="BK78" i="28"/>
  <c r="AA32" i="28"/>
  <c r="S121" i="28"/>
  <c r="O115" i="28"/>
  <c r="AM121" i="28"/>
  <c r="BM75" i="28"/>
  <c r="E122" i="28"/>
  <c r="AO64" i="28"/>
  <c r="AC78" i="28"/>
  <c r="AQ32" i="28"/>
  <c r="G121" i="28"/>
  <c r="BA85" i="28"/>
  <c r="AQ71" i="28"/>
  <c r="AQ26" i="28"/>
  <c r="AY53" i="28"/>
  <c r="BY41" i="28"/>
  <c r="AM34" i="28"/>
  <c r="BV41" i="28"/>
  <c r="BM61" i="28"/>
  <c r="BU53" i="28"/>
  <c r="AZ31" i="28"/>
  <c r="BJ75" i="28"/>
  <c r="BV114" i="28"/>
  <c r="BI70" i="28"/>
  <c r="D68" i="28"/>
  <c r="E78" i="28"/>
  <c r="AC32" i="28"/>
  <c r="S64" i="28"/>
  <c r="BV42" i="28"/>
  <c r="BA84" i="28"/>
  <c r="C40" i="28"/>
  <c r="AQ46" i="28"/>
  <c r="BW34" i="28"/>
  <c r="AC21" i="28"/>
  <c r="BA61" i="28"/>
  <c r="AY22" i="28"/>
  <c r="E62" i="28"/>
  <c r="O102" i="28"/>
  <c r="G87" i="28"/>
  <c r="C92" i="28"/>
  <c r="AY42" i="28"/>
  <c r="BU68" i="28"/>
  <c r="AM45" i="28"/>
  <c r="AQ81" i="28"/>
  <c r="BU52" i="28"/>
  <c r="BU81" i="28"/>
  <c r="BA35" i="28"/>
  <c r="AM30" i="28"/>
  <c r="BM52" i="28"/>
  <c r="BI27" i="28"/>
  <c r="AC77" i="28"/>
  <c r="AO99" i="28"/>
  <c r="BJ54" i="28"/>
  <c r="D114" i="28"/>
  <c r="AN54" i="28"/>
  <c r="BK81" i="28"/>
  <c r="BA53" i="28"/>
  <c r="BV71" i="28"/>
  <c r="BK49" i="28"/>
  <c r="AB63" i="28"/>
  <c r="AA33" i="28"/>
  <c r="AN27" i="28"/>
  <c r="AA44" i="28"/>
  <c r="BJ24" i="28"/>
  <c r="AC29" i="28"/>
  <c r="O84" i="28"/>
  <c r="BY85" i="28"/>
  <c r="E72" i="28"/>
  <c r="AE51" i="28"/>
  <c r="AC41" i="28"/>
  <c r="G42" i="28"/>
  <c r="S51" i="28"/>
  <c r="AO40" i="28"/>
  <c r="C49" i="28"/>
  <c r="BU70" i="28"/>
  <c r="BV49" i="28"/>
  <c r="BW46" i="28"/>
  <c r="O17" i="28"/>
  <c r="D33" i="28"/>
  <c r="BI78" i="28"/>
  <c r="BI118" i="28"/>
  <c r="BA54" i="28"/>
  <c r="O50" i="28"/>
  <c r="BU20" i="28"/>
  <c r="C23" i="28"/>
  <c r="D37" i="28"/>
  <c r="BM43" i="28"/>
  <c r="G29" i="28"/>
  <c r="E37" i="28"/>
  <c r="AZ25" i="28"/>
  <c r="E43" i="28"/>
  <c r="S92" i="28"/>
  <c r="BY17" i="28"/>
  <c r="AZ60" i="28"/>
  <c r="BM38" i="28"/>
  <c r="AY27" i="28"/>
  <c r="G36" i="28"/>
  <c r="C93" i="28"/>
  <c r="S36" i="28"/>
  <c r="AB39" i="28"/>
  <c r="P37" i="28"/>
  <c r="E17" i="28"/>
  <c r="O42" i="28"/>
  <c r="AO94" i="28"/>
  <c r="AN33" i="28"/>
  <c r="AM18" i="28"/>
  <c r="AQ109" i="28"/>
  <c r="O37" i="28"/>
  <c r="BI28" i="28"/>
  <c r="BK53" i="28"/>
  <c r="BY73" i="28"/>
  <c r="BA20" i="28"/>
  <c r="AA20" i="28"/>
  <c r="AZ54" i="28"/>
  <c r="BI57" i="28"/>
  <c r="BY49" i="28"/>
  <c r="AN30" i="28"/>
  <c r="G49" i="28"/>
  <c r="AZ71" i="28"/>
  <c r="BI77" i="28"/>
  <c r="BM67" i="28"/>
  <c r="BK86" i="28"/>
  <c r="AO60" i="28"/>
  <c r="AB121" i="28"/>
  <c r="G74" i="28"/>
  <c r="BW45" i="28"/>
  <c r="BV60" i="28"/>
  <c r="AQ58" i="28"/>
  <c r="AM110" i="28"/>
  <c r="AQ105" i="28"/>
  <c r="AO78" i="28"/>
  <c r="P79" i="28"/>
  <c r="BK55" i="28"/>
  <c r="P82" i="28"/>
  <c r="AN67" i="28"/>
  <c r="G55" i="28"/>
  <c r="AB41" i="28"/>
  <c r="BW77" i="28"/>
  <c r="BM74" i="28"/>
  <c r="E60" i="28"/>
  <c r="BJ33" i="28"/>
  <c r="BW74" i="28"/>
  <c r="AM44" i="28"/>
  <c r="AM89" i="28"/>
  <c r="BU17" i="28"/>
  <c r="BM64" i="28"/>
  <c r="AA39" i="28"/>
  <c r="AQ82" i="28"/>
  <c r="BM33" i="28"/>
  <c r="BV102" i="28"/>
  <c r="AC65" i="28"/>
  <c r="AM52" i="28"/>
  <c r="BM86" i="28"/>
  <c r="AO32" i="28"/>
  <c r="AC56" i="28"/>
  <c r="P26" i="28"/>
  <c r="P52" i="28"/>
  <c r="Q43" i="28"/>
  <c r="AB44" i="28"/>
  <c r="BV30" i="28"/>
  <c r="AB17" i="28"/>
  <c r="AA57" i="28"/>
  <c r="D97" i="28"/>
  <c r="AC80" i="28"/>
  <c r="D85" i="28"/>
  <c r="C50" i="28"/>
  <c r="AN73" i="28"/>
  <c r="BI46" i="28"/>
  <c r="AY71" i="28"/>
  <c r="BW47" i="28"/>
  <c r="BI62" i="28"/>
  <c r="BW44" i="28"/>
  <c r="BU49" i="28"/>
  <c r="AY37" i="28"/>
  <c r="Q24" i="28"/>
  <c r="D77" i="28"/>
  <c r="E119" i="28"/>
  <c r="AC64" i="28"/>
  <c r="BU67" i="28"/>
  <c r="BI51" i="28"/>
  <c r="AQ64" i="28"/>
  <c r="BI44" i="28"/>
  <c r="BV62" i="28"/>
  <c r="G45" i="28"/>
  <c r="BU82" i="28"/>
  <c r="AO52" i="28"/>
  <c r="BU47" i="28"/>
  <c r="BK34" i="28"/>
  <c r="Q22" i="28"/>
  <c r="BV66" i="28"/>
  <c r="AZ27" i="28"/>
  <c r="BW39" i="28"/>
  <c r="BK109" i="28"/>
  <c r="BA69" i="28"/>
  <c r="AC85" i="28"/>
  <c r="BA39" i="28"/>
  <c r="O51" i="28"/>
  <c r="Q39" i="28"/>
  <c r="AB50" i="28"/>
  <c r="S35" i="28"/>
  <c r="AB47" i="28"/>
  <c r="BJ57" i="28"/>
  <c r="AQ33" i="28"/>
  <c r="AM36" i="28"/>
  <c r="AY26" i="28"/>
  <c r="D27" i="28"/>
  <c r="AY59" i="28"/>
  <c r="BK83" i="28"/>
  <c r="D44" i="28"/>
  <c r="C32" i="28"/>
  <c r="P42" i="28"/>
  <c r="BJ25" i="28"/>
  <c r="BI17" i="28"/>
  <c r="BU18" i="28"/>
  <c r="Q23" i="28"/>
  <c r="C20" i="28"/>
  <c r="D21" i="28"/>
  <c r="BK17" i="28"/>
  <c r="AE73" i="28"/>
  <c r="D25" i="28"/>
  <c r="AE91" i="28"/>
  <c r="Q30" i="28"/>
  <c r="AQ95" i="28"/>
  <c r="Q92" i="28"/>
  <c r="O56" i="28"/>
  <c r="AN21" i="28"/>
  <c r="BA29" i="28"/>
  <c r="BK29" i="28"/>
  <c r="AC44" i="28"/>
  <c r="BI38" i="28"/>
  <c r="AY46" i="28"/>
  <c r="BI32" i="28"/>
  <c r="AY20" i="28"/>
  <c r="Q109" i="28"/>
  <c r="BA18" i="28"/>
  <c r="BM16" i="28"/>
  <c r="AN77" i="28"/>
  <c r="AE87" i="28"/>
  <c r="E75" i="28"/>
  <c r="E66" i="28"/>
  <c r="BV106" i="28"/>
  <c r="C118" i="28"/>
  <c r="Q113" i="28"/>
  <c r="BV120" i="28"/>
  <c r="AB88" i="28"/>
  <c r="C82" i="28"/>
  <c r="AY58" i="28"/>
  <c r="AE106" i="28"/>
  <c r="AZ86" i="28"/>
  <c r="G71" i="28"/>
  <c r="BV50" i="28"/>
  <c r="AC63" i="28"/>
  <c r="AE109" i="28"/>
  <c r="Q84" i="28"/>
  <c r="BJ67" i="28"/>
  <c r="AZ61" i="28"/>
  <c r="C111" i="28"/>
  <c r="Q59" i="28"/>
  <c r="Q57" i="28"/>
  <c r="G84" i="28"/>
  <c r="AE92" i="28"/>
  <c r="S18" i="28"/>
  <c r="O97" i="28"/>
  <c r="AM74" i="28"/>
  <c r="AQ80" i="28"/>
  <c r="AO29" i="28"/>
  <c r="D40" i="28"/>
  <c r="D112" i="28"/>
  <c r="BM111" i="28"/>
  <c r="E49" i="28"/>
  <c r="BK52" i="28"/>
  <c r="AM35" i="28"/>
  <c r="AB87" i="28"/>
  <c r="AN36" i="28"/>
  <c r="D67" i="28"/>
  <c r="AN99" i="28"/>
  <c r="BM49" i="28"/>
  <c r="BI59" i="28"/>
  <c r="AM20" i="28"/>
  <c r="BA37" i="28"/>
  <c r="BK112" i="28"/>
  <c r="BV61" i="28"/>
  <c r="AZ66" i="28"/>
  <c r="E47" i="28"/>
  <c r="BA68" i="28"/>
  <c r="AC30" i="28"/>
  <c r="BV84" i="28"/>
  <c r="P40" i="28"/>
  <c r="AN75" i="28"/>
  <c r="C38" i="28"/>
  <c r="AQ44" i="28"/>
  <c r="G32" i="28"/>
  <c r="AC19" i="28"/>
  <c r="O85" i="28"/>
  <c r="BI104" i="28"/>
  <c r="AZ74" i="28"/>
  <c r="AY78" i="28"/>
  <c r="C33" i="28"/>
  <c r="O73" i="28"/>
  <c r="AC28" i="28"/>
  <c r="BI75" i="28"/>
  <c r="P38" i="28"/>
  <c r="AQ66" i="28"/>
  <c r="C36" i="28"/>
  <c r="AQ42" i="28"/>
  <c r="BJ29" i="28"/>
  <c r="AC17" i="28"/>
  <c r="Q47" i="28"/>
  <c r="BY16" i="28"/>
  <c r="BU32" i="28"/>
  <c r="AC100" i="28"/>
  <c r="D61" i="28"/>
  <c r="BY100" i="28"/>
  <c r="BV33" i="28"/>
  <c r="BV53" i="28"/>
  <c r="BK119" i="28"/>
  <c r="BA42" i="28"/>
  <c r="AM116" i="28"/>
  <c r="BI53" i="28"/>
  <c r="AO55" i="28"/>
  <c r="AB34" i="28"/>
  <c r="AM40" i="28"/>
  <c r="BW17" i="28"/>
  <c r="P21" i="28"/>
  <c r="AE52" i="28"/>
  <c r="C72" i="28"/>
  <c r="S41" i="28"/>
  <c r="P64" i="28"/>
  <c r="AA29" i="28"/>
  <c r="BY21" i="28"/>
  <c r="BK24" i="28"/>
  <c r="AM15" i="28"/>
  <c r="AC18" i="28"/>
  <c r="Q87" i="28"/>
  <c r="P16" i="28"/>
  <c r="O23" i="28"/>
  <c r="AA34" i="28"/>
  <c r="AB31" i="28"/>
  <c r="BY48" i="28"/>
  <c r="AY18" i="28"/>
  <c r="AY77" i="28"/>
  <c r="AM48" i="28"/>
  <c r="AA45" i="28"/>
  <c r="BM20" i="28"/>
  <c r="C21" i="28"/>
  <c r="BU34" i="28"/>
  <c r="BJ43" i="28"/>
  <c r="D26" i="28"/>
  <c r="AE38" i="28"/>
  <c r="E23" i="28"/>
  <c r="AE22" i="28"/>
  <c r="BV37" i="28"/>
  <c r="P23" i="28"/>
  <c r="C18" i="28"/>
  <c r="AQ97" i="28"/>
  <c r="BU111" i="28"/>
  <c r="AN101" i="28"/>
  <c r="D96" i="28"/>
  <c r="P112" i="28"/>
  <c r="G85" i="28"/>
  <c r="BU92" i="28"/>
  <c r="P90" i="28"/>
  <c r="BK90" i="28"/>
  <c r="G68" i="28"/>
  <c r="C81" i="28"/>
  <c r="BA48" i="28"/>
  <c r="BM121" i="28"/>
  <c r="G88" i="28"/>
  <c r="E74" i="28"/>
  <c r="BM116" i="28"/>
  <c r="S86" i="28"/>
  <c r="D92" i="28"/>
  <c r="AN55" i="28"/>
  <c r="BA110" i="28"/>
  <c r="C78" i="28"/>
  <c r="BW82" i="28"/>
  <c r="C48" i="28"/>
  <c r="AY112" i="28"/>
  <c r="BY57" i="28"/>
  <c r="AA59" i="28"/>
  <c r="BI25" i="28"/>
  <c r="S110" i="28"/>
  <c r="AY55" i="28"/>
  <c r="AO83" i="28"/>
  <c r="BM22" i="28"/>
  <c r="AM28" i="28"/>
  <c r="P66" i="28"/>
  <c r="BI87" i="28"/>
  <c r="BI84" i="28"/>
  <c r="BJ51" i="28"/>
  <c r="G41" i="28"/>
  <c r="Q50" i="28"/>
  <c r="BY37" i="28"/>
  <c r="D48" i="28"/>
  <c r="BY87" i="28"/>
  <c r="AE53" i="28"/>
  <c r="AB49" i="28"/>
  <c r="BJ22" i="28"/>
  <c r="E35" i="28"/>
  <c r="AN105" i="28"/>
  <c r="BK74" i="28"/>
  <c r="Q80" i="28"/>
  <c r="G39" i="28"/>
  <c r="BW68" i="28"/>
  <c r="O30" i="28"/>
  <c r="AC52" i="28"/>
  <c r="BU43" i="28"/>
  <c r="AZ73" i="28"/>
  <c r="O40" i="28"/>
  <c r="O63" i="28"/>
  <c r="BI42" i="28"/>
  <c r="AB26" i="28"/>
  <c r="AY43" i="28"/>
  <c r="BA97" i="28"/>
  <c r="AO61" i="28"/>
  <c r="D60" i="28"/>
  <c r="E36" i="28"/>
  <c r="BA59" i="28"/>
  <c r="AN39" i="28"/>
  <c r="AB74" i="28"/>
  <c r="BI40" i="28"/>
  <c r="AO58" i="28"/>
  <c r="AB37" i="28"/>
  <c r="O53" i="28"/>
  <c r="AC110" i="28"/>
  <c r="AA24" i="28"/>
  <c r="BJ46" i="28"/>
  <c r="BU16" i="28"/>
  <c r="AZ26" i="28"/>
  <c r="AA89" i="28"/>
  <c r="AE76" i="28"/>
  <c r="AB70" i="28"/>
  <c r="S74" i="28"/>
  <c r="BJ45" i="28"/>
  <c r="Q82" i="28"/>
  <c r="BK44" i="28"/>
  <c r="BU71" i="28"/>
  <c r="BK41" i="28"/>
  <c r="AY54" i="28"/>
  <c r="BM36" i="28"/>
  <c r="S20" i="28"/>
  <c r="AB40" i="28"/>
  <c r="O29" i="28"/>
  <c r="AA36" i="28"/>
  <c r="O92" i="28"/>
  <c r="G60" i="28"/>
  <c r="AM56" i="28"/>
  <c r="BK19" i="28"/>
  <c r="AB4" i="28"/>
  <c r="AO21" i="28"/>
  <c r="AQ120" i="28"/>
  <c r="AA25" i="28"/>
  <c r="AQ90" i="28"/>
  <c r="AN22" i="28"/>
  <c r="AQ23" i="28"/>
  <c r="AN45" i="28"/>
  <c r="C19" i="28"/>
  <c r="E33" i="28"/>
  <c r="E26" i="28"/>
  <c r="BW58" i="28"/>
  <c r="BA36" i="28"/>
  <c r="BK93" i="28"/>
  <c r="S47" i="28"/>
  <c r="AN23" i="28"/>
  <c r="AN28" i="28"/>
  <c r="C24" i="28"/>
  <c r="Q21" i="28"/>
  <c r="C16" i="28"/>
  <c r="D19" i="28"/>
  <c r="E16" i="28"/>
  <c r="AZ45" i="28"/>
  <c r="AA76" i="28"/>
  <c r="BK56" i="28"/>
  <c r="BY25" i="28"/>
  <c r="S93" i="28"/>
  <c r="AQ20" i="28"/>
  <c r="E42" i="28"/>
  <c r="AY90" i="28"/>
  <c r="AE50" i="28"/>
  <c r="BK54" i="28"/>
  <c r="BK22" i="28"/>
  <c r="AE111" i="28"/>
  <c r="AC119" i="28"/>
  <c r="G115" i="28"/>
  <c r="AN104" i="28"/>
  <c r="S91" i="28"/>
  <c r="AM92" i="28"/>
  <c r="G109" i="28"/>
  <c r="BI61" i="28"/>
  <c r="S55" i="28"/>
  <c r="Q60" i="28"/>
  <c r="E121" i="28"/>
  <c r="BA111" i="28"/>
  <c r="BJ111" i="28"/>
  <c r="S82" i="28"/>
  <c r="BK58" i="28"/>
  <c r="Q94" i="28"/>
  <c r="S79" i="28"/>
  <c r="G58" i="28"/>
  <c r="AY28" i="28"/>
  <c r="AN89" i="28"/>
  <c r="P72" i="28"/>
  <c r="AZ62" i="28"/>
  <c r="BJ36" i="28"/>
  <c r="P57" i="28"/>
  <c r="AZ40" i="28"/>
  <c r="AY110" i="28"/>
  <c r="Q42" i="28"/>
  <c r="P55" i="28"/>
  <c r="BM37" i="28"/>
  <c r="BM106" i="28"/>
  <c r="O32" i="28"/>
  <c r="BK16" i="28"/>
  <c r="BI82" i="28"/>
  <c r="BW101" i="28"/>
  <c r="BU41" i="28"/>
  <c r="AA43" i="28"/>
  <c r="Q33" i="28"/>
  <c r="AE77" i="28"/>
  <c r="D43" i="28"/>
  <c r="BJ53" i="28"/>
  <c r="AO67" i="28"/>
  <c r="AQ27" i="28"/>
  <c r="BM42" i="28"/>
  <c r="O18" i="28"/>
  <c r="D20" i="28"/>
  <c r="BW109" i="28"/>
  <c r="AY68" i="28"/>
  <c r="AM82" i="28"/>
  <c r="AQ47" i="28"/>
  <c r="AC49" i="28"/>
  <c r="BJ38" i="28"/>
  <c r="Q48" i="28"/>
  <c r="AY35" i="28"/>
  <c r="D46" i="28"/>
  <c r="P78" i="28"/>
  <c r="BW49" i="28"/>
  <c r="BW52" i="28"/>
  <c r="BW19" i="28"/>
  <c r="S30" i="28"/>
  <c r="BJ99" i="28"/>
  <c r="AB80" i="28"/>
  <c r="D65" i="28"/>
  <c r="AB48" i="28"/>
  <c r="AC47" i="28"/>
  <c r="BW35" i="28"/>
  <c r="Q46" i="28"/>
  <c r="BK32" i="28"/>
  <c r="AZ65" i="28"/>
  <c r="S69" i="28"/>
  <c r="G47" i="28"/>
  <c r="BM59" i="28"/>
  <c r="G17" i="28"/>
  <c r="Q40" i="28"/>
  <c r="AZ36" i="28"/>
  <c r="AN91" i="28"/>
  <c r="P81" i="28"/>
  <c r="BM87" i="28"/>
  <c r="AO30" i="28"/>
  <c r="C53" i="28"/>
  <c r="BW40" i="28"/>
  <c r="G62" i="28"/>
  <c r="P32" i="28"/>
  <c r="Q76" i="28"/>
  <c r="C30" i="28"/>
  <c r="BJ52" i="28"/>
  <c r="BV36" i="28"/>
  <c r="BW24" i="28"/>
  <c r="O49" i="28"/>
  <c r="G22" i="28"/>
  <c r="BV23" i="28"/>
  <c r="AB33" i="28"/>
  <c r="P34" i="28"/>
  <c r="BV38" i="28"/>
  <c r="AC73" i="28"/>
  <c r="P48" i="28"/>
  <c r="G27" i="28"/>
  <c r="AA47" i="28"/>
  <c r="BJ18" i="28"/>
  <c r="AM49" i="28"/>
  <c r="AO15" i="28"/>
  <c r="G20" i="28"/>
  <c r="AN42" i="28"/>
  <c r="P29" i="28"/>
  <c r="AZ70" i="28"/>
  <c r="G35" i="28"/>
  <c r="D58" i="28"/>
  <c r="O59" i="28"/>
  <c r="AA50" i="28"/>
  <c r="AO27" i="28"/>
  <c r="D17" i="28"/>
  <c r="O19" i="28"/>
  <c r="S99" i="28"/>
  <c r="BA22" i="28"/>
  <c r="BA67" i="28"/>
  <c r="BA19" i="28"/>
  <c r="AB20" i="28"/>
  <c r="O35" i="28"/>
  <c r="AZ24" i="28"/>
  <c r="BK116" i="28"/>
  <c r="AA96" i="28"/>
  <c r="S120" i="28"/>
  <c r="BM114" i="28"/>
  <c r="AE100" i="28"/>
  <c r="AQ89" i="28"/>
  <c r="AN70" i="28"/>
  <c r="BU87" i="28"/>
  <c r="BI96" i="28"/>
  <c r="AA85" i="28"/>
  <c r="AB61" i="28"/>
  <c r="G104" i="28"/>
  <c r="AA68" i="28"/>
  <c r="O74" i="28"/>
  <c r="D55" i="28"/>
  <c r="BI108" i="28"/>
  <c r="AE94" i="28"/>
  <c r="D99" i="28"/>
  <c r="BU73" i="28"/>
  <c r="AO107" i="28"/>
  <c r="AN96" i="28"/>
  <c r="AY101" i="28"/>
  <c r="P58" i="28"/>
  <c r="AQ77" i="28"/>
  <c r="G72" i="28"/>
  <c r="BK51" i="28"/>
  <c r="BW25" i="28"/>
  <c r="BY74" i="28"/>
  <c r="BM92" i="28"/>
  <c r="BU54" i="28"/>
  <c r="BA23" i="28"/>
  <c r="AZ16" i="28"/>
  <c r="BV63" i="28"/>
  <c r="BM84" i="28"/>
  <c r="G99" i="28"/>
  <c r="BY44" i="28"/>
  <c r="AZ104" i="28"/>
  <c r="BM47" i="28"/>
  <c r="AZ68" i="28"/>
  <c r="BM44" i="28"/>
  <c r="BA58" i="28"/>
  <c r="AN38" i="28"/>
  <c r="AE33" i="28"/>
  <c r="O55" i="28"/>
  <c r="P15" i="28"/>
  <c r="AY114" i="28"/>
  <c r="G79" i="28"/>
  <c r="BU63" i="28"/>
  <c r="BV44" i="28"/>
  <c r="O48" i="28"/>
  <c r="BI33" i="28"/>
  <c r="P43" i="28"/>
  <c r="G30" i="28"/>
  <c r="C41" i="28"/>
  <c r="P62" i="28"/>
  <c r="S42" i="28"/>
  <c r="AM42" i="28"/>
  <c r="D4" i="28"/>
  <c r="E22" i="28"/>
  <c r="E106" i="28"/>
  <c r="BU91" i="28"/>
  <c r="C76" i="28"/>
  <c r="AQ30" i="28"/>
  <c r="AB45" i="28"/>
  <c r="BI31" i="28"/>
  <c r="P41" i="28"/>
  <c r="AO41" i="28"/>
  <c r="AM57" i="28"/>
  <c r="BK82" i="28"/>
  <c r="AQ39" i="28"/>
  <c r="AO33" i="28"/>
  <c r="D41" i="28"/>
  <c r="E20" i="28"/>
  <c r="AM61" i="28"/>
  <c r="BM117" i="28"/>
  <c r="O69" i="28"/>
  <c r="AZ90" i="28"/>
  <c r="E118" i="28"/>
  <c r="BK60" i="28"/>
  <c r="AN31" i="28"/>
  <c r="AM84" i="28"/>
  <c r="AB32" i="28"/>
  <c r="AB62" i="28"/>
  <c r="G119" i="28"/>
  <c r="BA44" i="28"/>
  <c r="C69" i="28"/>
  <c r="BU27" i="28"/>
  <c r="P31" i="28"/>
  <c r="P4" i="28"/>
  <c r="BU19" i="28"/>
  <c r="AB30" i="28"/>
  <c r="S37" i="28"/>
  <c r="BA30" i="28"/>
  <c r="AC37" i="28"/>
  <c r="S45" i="28"/>
  <c r="Q15" i="28"/>
  <c r="AO36" i="28"/>
  <c r="S16" i="28"/>
  <c r="BI41" i="28"/>
  <c r="BY26" i="28"/>
  <c r="AE120" i="28"/>
  <c r="AN47" i="28"/>
  <c r="Q26" i="28"/>
  <c r="AB23" i="28"/>
  <c r="BM15" i="28"/>
  <c r="BU55" i="28"/>
  <c r="AA48" i="28"/>
  <c r="AO39" i="28"/>
  <c r="BK15" i="28"/>
  <c r="S71" i="28"/>
  <c r="BM21" i="28"/>
  <c r="AN58" i="28"/>
  <c r="BY23" i="28"/>
  <c r="AY56" i="28"/>
  <c r="BY20" i="28"/>
  <c r="AO17" i="28"/>
  <c r="G82" i="28"/>
  <c r="AB46" i="28"/>
  <c r="AN109" i="28"/>
  <c r="D93" i="28"/>
  <c r="BM80" i="28"/>
  <c r="BV69" i="28"/>
  <c r="AA73" i="28"/>
  <c r="S66" i="28"/>
  <c r="Q64" i="28"/>
  <c r="AN59" i="28"/>
  <c r="AE95" i="28"/>
  <c r="BK80" i="28"/>
  <c r="D52" i="28"/>
  <c r="AA21" i="28"/>
  <c r="BY27" i="28"/>
  <c r="AN102" i="28"/>
  <c r="BJ34" i="28"/>
  <c r="BI60" i="28"/>
  <c r="BI102" i="28"/>
  <c r="C52" i="28"/>
  <c r="BM28" i="28"/>
  <c r="G69" i="28"/>
  <c r="AY52" i="28"/>
  <c r="BK46" i="28"/>
  <c r="P54" i="28"/>
  <c r="BW27" i="28"/>
  <c r="BJ31" i="28"/>
  <c r="AQ52" i="28"/>
  <c r="BK76" i="28"/>
  <c r="Q62" i="28"/>
  <c r="BJ15" i="28"/>
  <c r="AB58" i="28"/>
  <c r="E21" i="28"/>
  <c r="BI30" i="28"/>
  <c r="S23" i="28"/>
  <c r="D51" i="28"/>
  <c r="AY38" i="28"/>
  <c r="AZ52" i="28"/>
  <c r="BK37" i="28"/>
  <c r="O39" i="28"/>
  <c r="BU118" i="28"/>
  <c r="AM39" i="28"/>
  <c r="G57" i="28"/>
  <c r="AM31" i="28"/>
  <c r="AA16" i="28"/>
  <c r="AN116" i="28"/>
  <c r="AN53" i="28"/>
  <c r="O22" i="28"/>
  <c r="AZ23" i="28"/>
  <c r="P22" i="28"/>
  <c r="Q115" i="28"/>
  <c r="AE48" i="28"/>
  <c r="BY51" i="28"/>
  <c r="BY19" i="28"/>
  <c r="E29" i="28"/>
  <c r="E39" i="28"/>
  <c r="BJ49" i="28"/>
  <c r="D39" i="28"/>
  <c r="BV40" i="28"/>
  <c r="AE36" i="28"/>
  <c r="BA28" i="28"/>
  <c r="BK61" i="28"/>
  <c r="E50" i="28"/>
  <c r="AZ19" i="28"/>
  <c r="AZ46" i="28"/>
  <c r="AM21" i="28"/>
  <c r="BI16" i="28"/>
  <c r="D28" i="28"/>
  <c r="Q63" i="28"/>
  <c r="AQ28" i="28"/>
  <c r="S39" i="28"/>
  <c r="AA38" i="28"/>
  <c r="BI45" i="28"/>
  <c r="BW64" i="28"/>
  <c r="AE16" i="28"/>
  <c r="AC27" i="28"/>
  <c r="AM16" i="28"/>
  <c r="AB36" i="28"/>
  <c r="BM24" i="28"/>
  <c r="BI36" i="28"/>
  <c r="AO18" i="28"/>
  <c r="AE28" i="28"/>
  <c r="AZ18" i="28"/>
  <c r="AB106" i="28"/>
  <c r="BV16" i="28"/>
  <c r="AC35" i="28"/>
  <c r="BY28" i="28"/>
  <c r="AO34" i="28"/>
  <c r="AZ33" i="28"/>
  <c r="O52" i="28"/>
  <c r="O28" i="28"/>
  <c r="AZ77" i="28"/>
  <c r="AA52" i="28"/>
  <c r="G54" i="28"/>
  <c r="AC25" i="28"/>
  <c r="AE34" i="28"/>
  <c r="BY18" i="28"/>
  <c r="BV20" i="28"/>
  <c r="BV51" i="28"/>
  <c r="Q52" i="28"/>
  <c r="BK25" i="28"/>
  <c r="AC71" i="28"/>
  <c r="S27" i="28"/>
  <c r="BU30" i="28"/>
  <c r="D18" i="28"/>
  <c r="G100" i="28"/>
  <c r="AZ112" i="28"/>
  <c r="BA55" i="28"/>
  <c r="C58" i="28"/>
  <c r="S38" i="28"/>
  <c r="AO37" i="28"/>
  <c r="BI15" i="28"/>
  <c r="E28" i="28"/>
  <c r="G15" i="28"/>
  <c r="BK62" i="28"/>
  <c r="BW21" i="28"/>
  <c r="BM78" i="28"/>
  <c r="BW51" i="28"/>
  <c r="BW22" i="28"/>
  <c r="AC87" i="28"/>
  <c r="BU26" i="28"/>
  <c r="O76" i="28"/>
  <c r="AY49" i="28"/>
  <c r="G120" i="28"/>
  <c r="AO80" i="28"/>
  <c r="BM23" i="28"/>
  <c r="AZ20" i="28"/>
  <c r="AE19" i="28"/>
  <c r="BI107" i="28"/>
  <c r="BY33" i="28"/>
  <c r="BI29" i="28"/>
  <c r="E18" i="28"/>
  <c r="Q28" i="28"/>
  <c r="BJ20" i="28"/>
  <c r="P18" i="28"/>
  <c r="AN25" i="28"/>
  <c r="BA17" i="28"/>
  <c r="BI18" i="28"/>
  <c r="AB28" i="28"/>
  <c r="D42" i="28"/>
  <c r="BM31" i="28"/>
  <c r="AE97" i="28"/>
  <c r="Q34" i="28"/>
  <c r="C31" i="28"/>
  <c r="Q45" i="28"/>
  <c r="G18" i="28"/>
  <c r="AY29" i="28"/>
  <c r="AZ42" i="28"/>
  <c r="AA108" i="28"/>
  <c r="BA119" i="28"/>
  <c r="C61" i="28"/>
  <c r="AY95" i="28"/>
  <c r="BI80" i="28"/>
  <c r="BV73" i="28"/>
  <c r="AZ53" i="28"/>
  <c r="G50" i="28"/>
  <c r="Q69" i="28"/>
  <c r="P45" i="28"/>
  <c r="BV43" i="28"/>
  <c r="BK100" i="28"/>
  <c r="BA56" i="28"/>
  <c r="BY59" i="28"/>
  <c r="BU28" i="28"/>
  <c r="BI119" i="28"/>
  <c r="AY60" i="28"/>
  <c r="AZ44" i="28"/>
  <c r="AN15" i="28"/>
  <c r="BM57" i="28"/>
  <c r="S48" i="28"/>
  <c r="AZ43" i="28"/>
  <c r="BI34" i="28"/>
  <c r="AE29" i="28"/>
  <c r="BV26" i="28"/>
  <c r="AQ119" i="28"/>
  <c r="BI58" i="28"/>
  <c r="AA27" i="28"/>
  <c r="BW54" i="28"/>
  <c r="BA26" i="28"/>
  <c r="BU15" i="28"/>
  <c r="P39" i="28"/>
  <c r="BI49" i="28"/>
  <c r="C75" i="28"/>
  <c r="AC72" i="28"/>
  <c r="BJ61" i="28"/>
  <c r="BV17" i="28"/>
  <c r="BW31" i="28"/>
  <c r="BM46" i="28"/>
  <c r="AA42" i="28"/>
  <c r="AC33" i="28"/>
  <c r="BU38" i="28"/>
  <c r="S29" i="28"/>
  <c r="Q78" i="28"/>
  <c r="BW91" i="28"/>
  <c r="O16" i="28"/>
  <c r="E71" i="28"/>
  <c r="Q16" i="28"/>
  <c r="S98" i="28"/>
  <c r="G48" i="28"/>
  <c r="AY44" i="28"/>
  <c r="O34" i="28"/>
  <c r="C15" i="28"/>
  <c r="S26" i="28"/>
  <c r="BU31" i="28"/>
  <c r="S19" i="28"/>
  <c r="BV22" i="28"/>
  <c r="D31" i="28"/>
  <c r="BM17" i="28"/>
  <c r="AO65" i="28"/>
  <c r="BU45" i="28"/>
  <c r="E77" i="28"/>
  <c r="BI43" i="28"/>
  <c r="BI22" i="28"/>
  <c r="AC46" i="28"/>
  <c r="AB18" i="28"/>
  <c r="AY102" i="28"/>
  <c r="BI55" i="28"/>
  <c r="BW59" i="28"/>
  <c r="AC15" i="28"/>
  <c r="AE37" i="28"/>
  <c r="O81" i="28"/>
  <c r="BW37" i="28"/>
  <c r="BW29" i="28"/>
  <c r="BA38" i="28"/>
  <c r="AN16" i="28"/>
  <c r="BY22" i="28"/>
  <c r="G37" i="28"/>
  <c r="BU22" i="28"/>
  <c r="AY34" i="28"/>
  <c r="AZ88" i="28"/>
  <c r="AA17" i="28"/>
  <c r="D15" i="28"/>
  <c r="Q18" i="28"/>
  <c r="BJ81" i="28"/>
  <c r="E31" i="28"/>
  <c r="Q20" i="28"/>
  <c r="E41" i="28"/>
  <c r="G21" i="28"/>
  <c r="P33" i="28"/>
  <c r="BK26" i="28"/>
  <c r="C89" i="28"/>
  <c r="AZ119" i="28"/>
  <c r="AY83" i="28"/>
  <c r="P76" i="28"/>
  <c r="AM87" i="28"/>
  <c r="BU79" i="28"/>
  <c r="BM60" i="28"/>
  <c r="BV52" i="28"/>
  <c r="AO75" i="28"/>
  <c r="BJ50" i="28"/>
  <c r="BY39" i="28"/>
  <c r="AA64" i="28"/>
  <c r="O54" i="28"/>
  <c r="AN50" i="28"/>
  <c r="AN19" i="28"/>
  <c r="BU57" i="28"/>
  <c r="BA50" i="28"/>
  <c r="BU42" i="28"/>
  <c r="AO46" i="28"/>
  <c r="AA60" i="28"/>
  <c r="BM34" i="28"/>
  <c r="AE47" i="28"/>
  <c r="E94" i="28"/>
  <c r="D35" i="28"/>
  <c r="AN44" i="28"/>
  <c r="AE79" i="28"/>
  <c r="E34" i="28"/>
  <c r="BU85" i="28"/>
  <c r="BK48" i="28"/>
  <c r="AE32" i="28"/>
  <c r="AY24" i="28"/>
  <c r="O61" i="28"/>
  <c r="S85" i="28"/>
  <c r="BA105" i="28"/>
  <c r="BK57" i="28"/>
  <c r="S24" i="28"/>
  <c r="C17" i="28"/>
  <c r="AB29" i="28"/>
  <c r="Q36" i="28"/>
  <c r="S21" i="28"/>
  <c r="AA28" i="28"/>
  <c r="E19" i="28"/>
  <c r="BA21" i="28"/>
  <c r="BJ62" i="28"/>
  <c r="BJ44" i="28"/>
  <c r="BY58" i="28"/>
  <c r="BK36" i="28"/>
  <c r="Q38" i="28"/>
  <c r="BI103" i="28"/>
  <c r="BK35" i="28"/>
  <c r="C70" i="28"/>
  <c r="BK31" i="28"/>
  <c r="AM22" i="28"/>
  <c r="AE21" i="28"/>
  <c r="AA22" i="28"/>
  <c r="BJ27" i="28"/>
  <c r="AA26" i="28"/>
  <c r="P24" i="28"/>
  <c r="AO68" i="28"/>
  <c r="AO48" i="28"/>
  <c r="BY31" i="28"/>
  <c r="AB51" i="28"/>
  <c r="BU36" i="28"/>
  <c r="BM40" i="28"/>
  <c r="S17" i="28"/>
  <c r="BJ23" i="28"/>
  <c r="AN103" i="28"/>
  <c r="AM80" i="28"/>
  <c r="Q53" i="28"/>
  <c r="BV18" i="28"/>
  <c r="BY24" i="28"/>
  <c r="BU39" i="28"/>
  <c r="Q44" i="28"/>
  <c r="Q32" i="28"/>
  <c r="BW36" i="28"/>
  <c r="AO28" i="28"/>
  <c r="AQ21" i="28"/>
  <c r="AY21" i="28"/>
  <c r="BA27" i="28"/>
  <c r="O15" i="28"/>
  <c r="D53" i="28"/>
  <c r="S28" i="28"/>
  <c r="AQ45" i="28"/>
  <c r="BU37" i="28"/>
  <c r="BW23" i="28"/>
  <c r="S22" i="28"/>
  <c r="BY34" i="28"/>
  <c r="Q25" i="28"/>
  <c r="P36" i="28"/>
  <c r="O44" i="28"/>
  <c r="D30" i="28"/>
  <c r="BK40" i="28"/>
  <c r="G103" i="28"/>
  <c r="BA88" i="28"/>
  <c r="BY75" i="28"/>
  <c r="BW87" i="28"/>
  <c r="C35" i="28"/>
  <c r="C29" i="28"/>
  <c r="AA121" i="28"/>
  <c r="P101" i="28"/>
  <c r="AQ49" i="28"/>
  <c r="BW32" i="28"/>
  <c r="AC31" i="28"/>
  <c r="E116" i="28"/>
  <c r="AZ32" i="28"/>
  <c r="BJ94" i="28"/>
  <c r="AA30" i="28"/>
  <c r="BV55" i="28"/>
  <c r="AA31" i="28"/>
  <c r="BJ79" i="28"/>
  <c r="AY105" i="28"/>
  <c r="AN84" i="28"/>
  <c r="AC82" i="28"/>
  <c r="D29" i="28"/>
  <c r="AQ87" i="28"/>
  <c r="BV77" i="28"/>
  <c r="AA58" i="28"/>
  <c r="D90" i="28"/>
  <c r="AB100" i="28"/>
  <c r="AQ22" i="28"/>
  <c r="Q29" i="28"/>
  <c r="AA35" i="28"/>
  <c r="AM23" i="28"/>
  <c r="AE59" i="28"/>
  <c r="BU29" i="28"/>
  <c r="BY119" i="28"/>
  <c r="AE40" i="28"/>
  <c r="S49" i="28"/>
  <c r="G25" i="28"/>
  <c r="AE23" i="28"/>
  <c r="AO20" i="28"/>
  <c r="BM30" i="28"/>
  <c r="BI24" i="28"/>
  <c r="Q27" i="28"/>
  <c r="BJ17" i="28"/>
  <c r="AO45" i="28"/>
  <c r="G78" i="28"/>
  <c r="AN35" i="28"/>
  <c r="AC24" i="28"/>
  <c r="AQ19" i="28"/>
  <c r="D86" i="28"/>
  <c r="BY62" i="28"/>
  <c r="BY56" i="28"/>
  <c r="AO19" i="28"/>
  <c r="G19" i="28"/>
  <c r="AQ16" i="28"/>
  <c r="P44" i="28"/>
  <c r="O24" i="28"/>
  <c r="BY45" i="28"/>
  <c r="O21" i="28"/>
  <c r="G26" i="28"/>
  <c r="AM85" i="28"/>
  <c r="AZ17" i="28"/>
  <c r="S34" i="28"/>
  <c r="AB21" i="28"/>
  <c r="AQ15" i="28"/>
  <c r="AM24" i="28"/>
  <c r="E15" i="28"/>
  <c r="D72" i="28"/>
  <c r="AC26" i="28"/>
  <c r="C34" i="28"/>
  <c r="P50" i="28"/>
  <c r="BW28" i="28"/>
  <c r="BI19" i="28"/>
  <c r="BM27" i="28"/>
  <c r="AY25" i="28"/>
  <c r="AN29" i="28"/>
  <c r="D23" i="28"/>
  <c r="AB25" i="28"/>
  <c r="AZ56" i="28"/>
  <c r="D36" i="28"/>
  <c r="AE67" i="28"/>
  <c r="P80" i="28"/>
  <c r="AM55" i="28"/>
  <c r="AE17" i="28"/>
  <c r="AC22" i="28"/>
  <c r="E48" i="28"/>
  <c r="D32" i="28"/>
  <c r="BY112" i="28"/>
  <c r="BA41" i="28"/>
  <c r="BA32" i="28"/>
  <c r="BA82" i="28"/>
  <c r="AN62" i="28"/>
  <c r="C56" i="28"/>
  <c r="BW38" i="28"/>
  <c r="AA41" i="28"/>
  <c r="AE46" i="28"/>
  <c r="AY17" i="28"/>
  <c r="BY36" i="28"/>
  <c r="AM19" i="28"/>
  <c r="G24" i="28"/>
  <c r="Q19" i="28"/>
  <c r="BJ39" i="28"/>
  <c r="BK110" i="28"/>
  <c r="AY39" i="28"/>
  <c r="AQ18" i="28"/>
  <c r="AE26" i="28"/>
  <c r="AO23" i="28"/>
  <c r="AC45" i="28"/>
  <c r="BI23" i="28"/>
  <c r="O89" i="28"/>
  <c r="BY54" i="28"/>
  <c r="AA23" i="28"/>
  <c r="BJ26" i="28"/>
  <c r="BI68" i="28"/>
  <c r="S43" i="28"/>
  <c r="AN4" i="28"/>
  <c r="BY53" i="28"/>
  <c r="O88" i="28"/>
  <c r="AY73" i="28"/>
  <c r="E25" i="28"/>
  <c r="AC20" i="28"/>
  <c r="O26" i="28"/>
  <c r="AQ17" i="28"/>
  <c r="O25" i="28"/>
  <c r="G23" i="28"/>
  <c r="BK28" i="28"/>
  <c r="BY77" i="28"/>
  <c r="Q73" i="28"/>
  <c r="P35" i="28"/>
  <c r="C80" i="28"/>
  <c r="BA46" i="28"/>
  <c r="BI21" i="28"/>
  <c r="AC54" i="28"/>
  <c r="P93" i="28"/>
  <c r="AO84" i="28"/>
  <c r="BU40" i="28"/>
  <c r="BI120" i="28"/>
  <c r="AM120" i="28"/>
  <c r="C95" i="28"/>
  <c r="AM119" i="28"/>
  <c r="AO24" i="28"/>
  <c r="AO50" i="28"/>
  <c r="C43" i="28"/>
  <c r="AE15" i="28"/>
  <c r="BA121" i="28"/>
  <c r="BJ71" i="28"/>
  <c r="AM47" i="28"/>
  <c r="BI92" i="28"/>
  <c r="E53" i="28"/>
  <c r="AY57" i="28"/>
  <c r="BU25" i="28"/>
  <c r="O71" i="28"/>
  <c r="AC38" i="28"/>
  <c r="E46" i="28"/>
  <c r="BV57" i="28"/>
  <c r="AM53" i="28"/>
  <c r="BU24" i="28"/>
  <c r="BK23" i="28"/>
  <c r="AM29" i="28"/>
  <c r="Q68" i="28"/>
  <c r="AM109" i="28"/>
  <c r="BV25" i="28"/>
  <c r="BV15" i="28"/>
  <c r="E54" i="28"/>
  <c r="BJ21" i="28"/>
  <c r="BJ4" i="28"/>
  <c r="AE57" i="28"/>
  <c r="BY46" i="28"/>
  <c r="AB22" i="28"/>
  <c r="AA15" i="28"/>
  <c r="AO25" i="28"/>
  <c r="O87" i="28"/>
  <c r="AN17" i="28"/>
  <c r="AE78" i="28"/>
  <c r="AO26" i="28"/>
  <c r="BA25" i="28"/>
  <c r="G33" i="28"/>
  <c r="AN18" i="28"/>
  <c r="AE30" i="28"/>
  <c r="AM37" i="28"/>
  <c r="AC43" i="28"/>
  <c r="AO54" i="28"/>
  <c r="AY47" i="28"/>
  <c r="AZ39" i="28"/>
  <c r="P25" i="28"/>
  <c r="BA60" i="28"/>
  <c r="BA24" i="28"/>
  <c r="AN56" i="28"/>
  <c r="BY15" i="28"/>
  <c r="P46" i="28"/>
  <c r="AM26" i="28"/>
  <c r="AE24" i="28"/>
  <c r="G83" i="28"/>
  <c r="G16" i="28"/>
  <c r="AN20" i="28"/>
  <c r="AZ30" i="28"/>
  <c r="BW65" i="28"/>
  <c r="AY23" i="28"/>
  <c r="AO73" i="28"/>
  <c r="S76" i="28"/>
  <c r="BK66" i="28"/>
  <c r="AQ40" i="28"/>
  <c r="AZ22" i="28"/>
  <c r="AZ15" i="28"/>
  <c r="AB24" i="28"/>
  <c r="AN32" i="28"/>
  <c r="BV27" i="28"/>
  <c r="AY111" i="28"/>
  <c r="BV24" i="28"/>
  <c r="AZ29" i="28"/>
  <c r="BW16" i="28"/>
  <c r="P27" i="28"/>
  <c r="BA63" i="28"/>
  <c r="AE35" i="28"/>
  <c r="AO43" i="28"/>
  <c r="BK43" i="28"/>
  <c r="S40" i="28"/>
  <c r="BV4" i="28"/>
  <c r="AB19" i="28"/>
  <c r="G113" i="28"/>
  <c r="BV89" i="28"/>
  <c r="Q77" i="28"/>
  <c r="AB53" i="28"/>
  <c r="D107" i="28"/>
  <c r="D76" i="28"/>
  <c r="BW67" i="28"/>
  <c r="AN93" i="28"/>
  <c r="AC122" i="28"/>
  <c r="AB112" i="28"/>
  <c r="BW102" i="28"/>
  <c r="AZ99" i="28"/>
  <c r="BI48" i="28"/>
  <c r="BJ47" i="28"/>
  <c r="AN87" i="28"/>
  <c r="AM62" i="28"/>
  <c r="Q54" i="28"/>
  <c r="AQ25" i="28"/>
  <c r="BI79" i="28"/>
  <c r="BM50" i="28"/>
  <c r="BA47" i="28"/>
  <c r="BV28" i="28"/>
  <c r="BK94" i="28"/>
  <c r="BY32" i="28"/>
  <c r="Q91" i="28"/>
  <c r="AA40" i="28"/>
  <c r="BW61" i="28"/>
  <c r="AE49" i="28"/>
  <c r="AA19" i="28"/>
  <c r="AM51" i="28"/>
  <c r="BM63" i="28"/>
  <c r="AZ49" i="28"/>
  <c r="AB15" i="28"/>
  <c r="D34" i="28"/>
  <c r="BV54" i="28"/>
  <c r="S32" i="28"/>
  <c r="AO86" i="28"/>
  <c r="AB73" i="28"/>
  <c r="BY78" i="28"/>
  <c r="AM17" i="28"/>
  <c r="Q61" i="28"/>
  <c r="AB27" i="28"/>
  <c r="BM51" i="28"/>
  <c r="BK18" i="28"/>
  <c r="AZ55" i="28"/>
  <c r="Q31" i="28"/>
  <c r="AE31" i="28"/>
  <c r="D71" i="28"/>
  <c r="AQ93" i="28"/>
  <c r="BK21" i="28"/>
  <c r="Q90" i="28"/>
  <c r="S50" i="28"/>
  <c r="AZ69" i="28"/>
  <c r="AZ37" i="28"/>
  <c r="AY51" i="28"/>
  <c r="AC40" i="28"/>
  <c r="BU51" i="28"/>
  <c r="BW15" i="28"/>
  <c r="E52" i="28"/>
  <c r="BA15" i="28"/>
  <c r="G44" i="28"/>
  <c r="AO16" i="28"/>
  <c r="AE20" i="28"/>
  <c r="G53" i="28"/>
  <c r="BA49" i="28"/>
  <c r="C62" i="28"/>
  <c r="BI54" i="28"/>
  <c r="AM73" i="28"/>
  <c r="BM41" i="28"/>
  <c r="BA43" i="28"/>
  <c r="BA73" i="28"/>
  <c r="AM58" i="28"/>
  <c r="AQ37" i="28"/>
  <c r="AN26" i="28"/>
  <c r="P88" i="28"/>
  <c r="BW26" i="28"/>
  <c r="BU65" i="28"/>
  <c r="BM18" i="28"/>
  <c r="AO57" i="28"/>
  <c r="BI26" i="28"/>
  <c r="G43" i="28"/>
  <c r="BM26" i="28"/>
  <c r="AE18" i="28"/>
  <c r="AZ21" i="28"/>
  <c r="P20" i="28"/>
  <c r="BW20" i="28"/>
  <c r="BA52" i="28"/>
  <c r="BM39" i="28"/>
  <c r="BU21" i="28"/>
  <c r="BI20" i="28"/>
  <c r="AE99" i="28"/>
  <c r="BY81" i="28"/>
  <c r="BW69" i="28"/>
  <c r="BI50" i="28"/>
  <c r="E64" i="28"/>
  <c r="BI35" i="28"/>
  <c r="AA71" i="28"/>
  <c r="E24" i="28"/>
  <c r="BK75" i="28"/>
  <c r="BA33" i="28"/>
  <c r="P51" i="28"/>
  <c r="E115" i="28"/>
  <c r="AZ41" i="28"/>
  <c r="O64" i="28"/>
  <c r="AZ34" i="28"/>
  <c r="P74" i="28"/>
  <c r="AE63" i="28"/>
  <c r="S53" i="28"/>
  <c r="BM19" i="28"/>
  <c r="AQ35" i="28"/>
  <c r="O58" i="28"/>
  <c r="BU33" i="28"/>
  <c r="AM27" i="28"/>
  <c r="AE25" i="28"/>
  <c r="AC16" i="28"/>
  <c r="AB56" i="28"/>
  <c r="G52" i="28"/>
  <c r="BK120" i="28"/>
  <c r="BK69" i="28"/>
  <c r="BJ30" i="28"/>
  <c r="BW50" i="28"/>
  <c r="BK59" i="28"/>
  <c r="AC48" i="28"/>
  <c r="AN49" i="28"/>
  <c r="BW18" i="28"/>
  <c r="AB52" i="28"/>
  <c r="BA16" i="28"/>
  <c r="AN51" i="28"/>
  <c r="S15" i="28"/>
  <c r="AN24" i="28"/>
  <c r="BY29" i="28"/>
  <c r="BJ32" i="28"/>
  <c r="BJ80" i="28"/>
  <c r="AC84" i="28"/>
  <c r="AY31" i="28"/>
  <c r="O31" i="28"/>
  <c r="AB55" i="28"/>
  <c r="BU23" i="28"/>
  <c r="BJ40" i="28"/>
  <c r="AY16" i="28"/>
  <c r="P60" i="28"/>
  <c r="BK20" i="28"/>
  <c r="AX9" i="28" l="1"/>
  <c r="BF8" i="28"/>
  <c r="BF10" i="28" s="1"/>
  <c r="L8" i="28"/>
  <c r="L10" i="28" s="1"/>
  <c r="BC8" i="28"/>
  <c r="BC10" i="28" s="1"/>
  <c r="J10" i="28"/>
  <c r="BH9" i="28"/>
  <c r="BQ10" i="28"/>
  <c r="BP10" i="28"/>
  <c r="CB10" i="28"/>
  <c r="C9" i="28"/>
  <c r="S9" i="28"/>
  <c r="BI9" i="28"/>
  <c r="BY9" i="28"/>
  <c r="AA9" i="28"/>
  <c r="AQ9" i="28"/>
  <c r="G9" i="28"/>
  <c r="BM9" i="28"/>
  <c r="AY9" i="28"/>
  <c r="O9" i="28"/>
  <c r="AE9" i="28"/>
  <c r="AZ9" i="28"/>
  <c r="AZ10" i="28" s="1"/>
  <c r="BU9" i="28"/>
  <c r="BA9" i="28"/>
  <c r="AM9" i="28"/>
  <c r="G8" i="28"/>
  <c r="BJ8" i="28"/>
  <c r="BW8" i="28"/>
  <c r="AY8" i="28"/>
  <c r="AY10" i="28" s="1"/>
  <c r="BK8" i="28"/>
  <c r="BY8" i="28"/>
  <c r="BY10" i="28" s="1"/>
  <c r="AM8" i="28"/>
  <c r="BM8" i="28"/>
  <c r="AA8" i="28"/>
  <c r="AN8" i="28"/>
  <c r="BA8" i="28"/>
  <c r="O8" i="28"/>
  <c r="O10" i="28" s="1"/>
  <c r="AB8" i="28"/>
  <c r="AO8" i="28"/>
  <c r="C8" i="28"/>
  <c r="C10" i="28" s="1"/>
  <c r="P8" i="28"/>
  <c r="P10" i="28" s="1"/>
  <c r="AC8" i="28"/>
  <c r="AQ8" i="28"/>
  <c r="D8" i="28"/>
  <c r="Q8" i="28"/>
  <c r="Q10" i="28" s="1"/>
  <c r="AE8" i="28"/>
  <c r="AE10" i="28" s="1"/>
  <c r="BU8" i="28"/>
  <c r="E8" i="28"/>
  <c r="S8" i="28"/>
  <c r="S10" i="28" s="1"/>
  <c r="BI8" i="28"/>
  <c r="BI10" i="28" s="1"/>
  <c r="BV8" i="28"/>
  <c r="AG10" i="28"/>
  <c r="AK8" i="28"/>
  <c r="AK10" i="28" s="1"/>
  <c r="B9" i="28"/>
  <c r="AL9" i="28"/>
  <c r="BT9" i="28"/>
  <c r="AA10" i="2"/>
  <c r="AE10" i="12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7" i="5"/>
  <c r="H23" i="5"/>
  <c r="H22" i="5"/>
  <c r="H19" i="5"/>
  <c r="H18" i="5"/>
  <c r="H15" i="5"/>
  <c r="H11" i="5"/>
  <c r="H10" i="5"/>
  <c r="H7" i="5"/>
  <c r="G31" i="5"/>
  <c r="G30" i="5"/>
  <c r="G27" i="5"/>
  <c r="G26" i="5"/>
  <c r="H26" i="5" s="1"/>
  <c r="G23" i="5"/>
  <c r="G22" i="5"/>
  <c r="G19" i="5"/>
  <c r="G18" i="5"/>
  <c r="G15" i="5"/>
  <c r="G14" i="5"/>
  <c r="H14" i="5" s="1"/>
  <c r="G11" i="5"/>
  <c r="G10" i="5"/>
  <c r="G7" i="5"/>
  <c r="G6" i="5"/>
  <c r="H6" i="5" s="1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G17" i="5" s="1"/>
  <c r="H17" i="5" s="1"/>
  <c r="D17" i="5"/>
  <c r="C17" i="5"/>
  <c r="F13" i="5"/>
  <c r="E13" i="5"/>
  <c r="D13" i="5"/>
  <c r="C13" i="5"/>
  <c r="F9" i="5"/>
  <c r="E9" i="5"/>
  <c r="G9" i="5" s="1"/>
  <c r="H9" i="5" s="1"/>
  <c r="D9" i="5"/>
  <c r="C9" i="5"/>
  <c r="E5" i="5"/>
  <c r="F5" i="5"/>
  <c r="D5" i="5"/>
  <c r="C5" i="5"/>
  <c r="AP11" i="2"/>
  <c r="AI11" i="2"/>
  <c r="AD11" i="2"/>
  <c r="W11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I11" i="2"/>
  <c r="AF3" i="2"/>
  <c r="AF2" i="2" a="1"/>
  <c r="AF2" i="2" s="1"/>
  <c r="AR5" i="2"/>
  <c r="AR3" i="2"/>
  <c r="AR2" i="2" a="1"/>
  <c r="AR2" i="2" s="1"/>
  <c r="AK5" i="2"/>
  <c r="AK3" i="2"/>
  <c r="AK2" i="2" a="1"/>
  <c r="AK2" i="2" s="1"/>
  <c r="Y5" i="2"/>
  <c r="Y3" i="2"/>
  <c r="Y2" i="2" a="1"/>
  <c r="Y2" i="2" s="1"/>
  <c r="R5" i="2"/>
  <c r="R3" i="2"/>
  <c r="R2" i="2" a="1"/>
  <c r="R2" i="2" s="1"/>
  <c r="K5" i="2"/>
  <c r="K3" i="2"/>
  <c r="K2" i="2" a="1"/>
  <c r="K2" i="2" s="1"/>
  <c r="M8" i="2"/>
  <c r="O8" i="2"/>
  <c r="M9" i="2"/>
  <c r="O9" i="2"/>
  <c r="BU10" i="28" l="1"/>
  <c r="AA10" i="28"/>
  <c r="G10" i="28"/>
  <c r="BA10" i="28"/>
  <c r="BM10" i="28"/>
  <c r="AM10" i="28"/>
  <c r="AQ10" i="28"/>
  <c r="AB9" i="28"/>
  <c r="AB10" i="28" s="1"/>
  <c r="D9" i="28"/>
  <c r="D10" i="28" s="1"/>
  <c r="AN9" i="28"/>
  <c r="AN10" i="28" s="1"/>
  <c r="BJ9" i="28"/>
  <c r="BJ10" i="28" s="1"/>
  <c r="BV9" i="28"/>
  <c r="BV10" i="28" s="1"/>
  <c r="AC10" i="28"/>
  <c r="E10" i="28"/>
  <c r="AO10" i="28"/>
  <c r="BK10" i="28"/>
  <c r="BW10" i="28"/>
  <c r="G13" i="5"/>
  <c r="H13" i="5" s="1"/>
  <c r="G21" i="5"/>
  <c r="H21" i="5" s="1"/>
  <c r="G29" i="5"/>
  <c r="H29" i="5" s="1"/>
  <c r="I8" i="2"/>
  <c r="G25" i="5"/>
  <c r="H25" i="5" s="1"/>
  <c r="O10" i="2"/>
  <c r="G5" i="5"/>
  <c r="H5" i="5" s="1"/>
  <c r="M10" i="2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AI8" i="2"/>
  <c r="AV9" i="2"/>
  <c r="AO9" i="2"/>
  <c r="AM9" i="2"/>
  <c r="AH9" i="2"/>
  <c r="AC9" i="2"/>
  <c r="V9" i="2"/>
  <c r="T9" i="2"/>
  <c r="H9" i="2"/>
  <c r="F9" i="2"/>
  <c r="AV8" i="2"/>
  <c r="AO8" i="2"/>
  <c r="AM8" i="2"/>
  <c r="AH8" i="2"/>
  <c r="AC8" i="2"/>
  <c r="V8" i="2"/>
  <c r="T8" i="2"/>
  <c r="H8" i="2"/>
  <c r="F8" i="2"/>
  <c r="Z86" i="2"/>
  <c r="AF69" i="2"/>
  <c r="Y51" i="2"/>
  <c r="E117" i="2"/>
  <c r="L89" i="2"/>
  <c r="E44" i="2"/>
  <c r="L21" i="2"/>
  <c r="AK102" i="2"/>
  <c r="AS101" i="2"/>
  <c r="Z83" i="2"/>
  <c r="AK100" i="2"/>
  <c r="L96" i="2"/>
  <c r="AL118" i="2"/>
  <c r="Y91" i="2"/>
  <c r="AK83" i="2"/>
  <c r="E119" i="2"/>
  <c r="K89" i="2"/>
  <c r="AS91" i="2"/>
  <c r="AL70" i="2"/>
  <c r="K100" i="2"/>
  <c r="D104" i="2"/>
  <c r="S80" i="2"/>
  <c r="Y62" i="2"/>
  <c r="AR52" i="2"/>
  <c r="AS92" i="2"/>
  <c r="K121" i="2"/>
  <c r="K17" i="2"/>
  <c r="AS120" i="2"/>
  <c r="AR59" i="2"/>
  <c r="AK92" i="2"/>
  <c r="AK118" i="2"/>
  <c r="D117" i="2"/>
  <c r="Z94" i="2"/>
  <c r="AL61" i="2"/>
  <c r="Y18" i="2"/>
  <c r="AF50" i="2"/>
  <c r="K39" i="2"/>
  <c r="Y22" i="2"/>
  <c r="AR63" i="2"/>
  <c r="AS37" i="2"/>
  <c r="AL54" i="2"/>
  <c r="R22" i="2"/>
  <c r="L91" i="2"/>
  <c r="AK66" i="2"/>
  <c r="S71" i="2"/>
  <c r="S121" i="2"/>
  <c r="E69" i="2"/>
  <c r="S42" i="2"/>
  <c r="R90" i="2"/>
  <c r="S43" i="2"/>
  <c r="S66" i="2"/>
  <c r="K66" i="2"/>
  <c r="Y19" i="2"/>
  <c r="Y81" i="2"/>
  <c r="K78" i="2"/>
  <c r="E21" i="2"/>
  <c r="AR110" i="2"/>
  <c r="AS44" i="2"/>
  <c r="AL113" i="2"/>
  <c r="D75" i="2"/>
  <c r="K122" i="2"/>
  <c r="E106" i="2"/>
  <c r="L50" i="2"/>
  <c r="Z34" i="2"/>
  <c r="L84" i="2"/>
  <c r="L74" i="2"/>
  <c r="AK80" i="2"/>
  <c r="Z40" i="2"/>
  <c r="Z107" i="2"/>
  <c r="AR57" i="2"/>
  <c r="L28" i="2"/>
  <c r="E107" i="2"/>
  <c r="L113" i="2"/>
  <c r="AF91" i="2"/>
  <c r="S94" i="2"/>
  <c r="AK87" i="2"/>
  <c r="AS90" i="2"/>
  <c r="K48" i="2"/>
  <c r="L106" i="2"/>
  <c r="Y93" i="2"/>
  <c r="S99" i="2"/>
  <c r="S44" i="2"/>
  <c r="AL69" i="2"/>
  <c r="K76" i="2"/>
  <c r="L17" i="2"/>
  <c r="AS66" i="2"/>
  <c r="AS15" i="2"/>
  <c r="L82" i="2"/>
  <c r="E94" i="2"/>
  <c r="AF59" i="2"/>
  <c r="AR108" i="2"/>
  <c r="L101" i="2"/>
  <c r="AS64" i="2"/>
  <c r="E118" i="2"/>
  <c r="S35" i="2"/>
  <c r="R47" i="2"/>
  <c r="AK37" i="2"/>
  <c r="AF74" i="2"/>
  <c r="AR76" i="2"/>
  <c r="AF79" i="2"/>
  <c r="AK75" i="2"/>
  <c r="Y36" i="2"/>
  <c r="Z120" i="2"/>
  <c r="R102" i="2"/>
  <c r="K44" i="2"/>
  <c r="R28" i="2"/>
  <c r="S77" i="2"/>
  <c r="AL63" i="2"/>
  <c r="Y46" i="2"/>
  <c r="AR39" i="2"/>
  <c r="D122" i="2"/>
  <c r="AS109" i="2"/>
  <c r="L66" i="2"/>
  <c r="K74" i="2"/>
  <c r="D62" i="2"/>
  <c r="AF76" i="2"/>
  <c r="K69" i="2"/>
  <c r="AS105" i="2"/>
  <c r="S119" i="2"/>
  <c r="AL16" i="2"/>
  <c r="Z74" i="2"/>
  <c r="R34" i="2"/>
  <c r="L25" i="2"/>
  <c r="K109" i="2"/>
  <c r="AK39" i="2"/>
  <c r="AK41" i="2"/>
  <c r="AR97" i="2"/>
  <c r="K63" i="2"/>
  <c r="AR102" i="2"/>
  <c r="AR62" i="2"/>
  <c r="S116" i="2"/>
  <c r="S19" i="2"/>
  <c r="R51" i="2"/>
  <c r="Z113" i="2"/>
  <c r="Y48" i="2"/>
  <c r="AR99" i="2"/>
  <c r="E47" i="2"/>
  <c r="Y52" i="2"/>
  <c r="AS31" i="2"/>
  <c r="D94" i="2"/>
  <c r="AK119" i="2"/>
  <c r="AR107" i="2"/>
  <c r="AF64" i="2"/>
  <c r="L35" i="2"/>
  <c r="D116" i="2"/>
  <c r="Z91" i="2"/>
  <c r="Y80" i="2"/>
  <c r="Z87" i="2"/>
  <c r="Y33" i="2"/>
  <c r="R105" i="2"/>
  <c r="AK52" i="2"/>
  <c r="K72" i="2"/>
  <c r="E39" i="2"/>
  <c r="R43" i="2"/>
  <c r="AS29" i="2"/>
  <c r="Z101" i="2"/>
  <c r="AK28" i="2"/>
  <c r="AF20" i="2"/>
  <c r="AL56" i="2"/>
  <c r="Z15" i="2"/>
  <c r="L85" i="2"/>
  <c r="AL55" i="2"/>
  <c r="AL108" i="2"/>
  <c r="Z20" i="2"/>
  <c r="S84" i="2"/>
  <c r="Z53" i="2"/>
  <c r="R109" i="2"/>
  <c r="D92" i="2"/>
  <c r="L115" i="2"/>
  <c r="K90" i="2"/>
  <c r="K79" i="2"/>
  <c r="K108" i="2"/>
  <c r="AL82" i="2"/>
  <c r="S64" i="2"/>
  <c r="AS116" i="2"/>
  <c r="AS94" i="2"/>
  <c r="E97" i="2"/>
  <c r="AK65" i="2"/>
  <c r="K49" i="2"/>
  <c r="L42" i="2"/>
  <c r="Z72" i="2"/>
  <c r="Y59" i="2"/>
  <c r="S82" i="2"/>
  <c r="S120" i="2"/>
  <c r="E120" i="2"/>
  <c r="S60" i="2"/>
  <c r="E108" i="2"/>
  <c r="AR35" i="2"/>
  <c r="AR121" i="2"/>
  <c r="R113" i="2"/>
  <c r="R115" i="2"/>
  <c r="L61" i="2"/>
  <c r="AF118" i="2"/>
  <c r="AS59" i="2"/>
  <c r="AF96" i="2"/>
  <c r="AS71" i="2"/>
  <c r="AF17" i="2"/>
  <c r="R60" i="2"/>
  <c r="Z39" i="2"/>
  <c r="AR22" i="2"/>
  <c r="E81" i="2"/>
  <c r="S48" i="2"/>
  <c r="AF40" i="2"/>
  <c r="AR84" i="2"/>
  <c r="AF43" i="2"/>
  <c r="AL78" i="2"/>
  <c r="AL57" i="2"/>
  <c r="R53" i="2"/>
  <c r="AF83" i="2"/>
  <c r="Y79" i="2"/>
  <c r="AK21" i="2"/>
  <c r="AS45" i="2"/>
  <c r="S57" i="2"/>
  <c r="L40" i="2"/>
  <c r="AS69" i="2"/>
  <c r="L83" i="2"/>
  <c r="Y75" i="2"/>
  <c r="AS54" i="2"/>
  <c r="L103" i="2"/>
  <c r="L57" i="2"/>
  <c r="E50" i="2"/>
  <c r="AR89" i="2"/>
  <c r="AF28" i="2"/>
  <c r="L69" i="2"/>
  <c r="Y60" i="2"/>
  <c r="K45" i="2"/>
  <c r="E63" i="2"/>
  <c r="S118" i="2"/>
  <c r="AF90" i="2"/>
  <c r="D69" i="2"/>
  <c r="AK15" i="2"/>
  <c r="L81" i="2"/>
  <c r="AK122" i="2"/>
  <c r="R35" i="2"/>
  <c r="AL90" i="2"/>
  <c r="R95" i="2"/>
  <c r="AF54" i="2"/>
  <c r="L16" i="2"/>
  <c r="R50" i="2"/>
  <c r="AS110" i="2"/>
  <c r="L32" i="2"/>
  <c r="AF45" i="2"/>
  <c r="E56" i="2"/>
  <c r="E37" i="2"/>
  <c r="S20" i="2"/>
  <c r="Y76" i="2"/>
  <c r="AF58" i="2"/>
  <c r="AS97" i="2"/>
  <c r="R31" i="2"/>
  <c r="R86" i="2"/>
  <c r="AR24" i="2"/>
  <c r="K22" i="2"/>
  <c r="AR75" i="2"/>
  <c r="Z28" i="2"/>
  <c r="AR111" i="2"/>
  <c r="R119" i="2"/>
  <c r="AS76" i="2"/>
  <c r="S102" i="2"/>
  <c r="AK18" i="2"/>
  <c r="AL64" i="2"/>
  <c r="E55" i="2"/>
  <c r="L77" i="2"/>
  <c r="R68" i="2"/>
  <c r="E53" i="2"/>
  <c r="E109" i="2"/>
  <c r="AR55" i="2"/>
  <c r="AK89" i="2"/>
  <c r="E75" i="2"/>
  <c r="AF109" i="2"/>
  <c r="D105" i="2"/>
  <c r="R65" i="2"/>
  <c r="AS62" i="2"/>
  <c r="S112" i="2"/>
  <c r="K53" i="2"/>
  <c r="S87" i="2"/>
  <c r="E38" i="2"/>
  <c r="AL76" i="2"/>
  <c r="AR19" i="2"/>
  <c r="R116" i="2"/>
  <c r="K117" i="2"/>
  <c r="Y72" i="2"/>
  <c r="R77" i="2"/>
  <c r="AR116" i="2"/>
  <c r="AK98" i="2"/>
  <c r="AR34" i="2"/>
  <c r="S85" i="2"/>
  <c r="AL66" i="2"/>
  <c r="L104" i="2"/>
  <c r="AR117" i="2"/>
  <c r="AR77" i="2"/>
  <c r="AL86" i="2"/>
  <c r="AK105" i="2"/>
  <c r="E24" i="2"/>
  <c r="AR100" i="2"/>
  <c r="S109" i="2"/>
  <c r="AL104" i="2"/>
  <c r="AL34" i="2"/>
  <c r="Z112" i="2"/>
  <c r="AS46" i="2"/>
  <c r="R114" i="2"/>
  <c r="R25" i="2"/>
  <c r="AR37" i="2"/>
  <c r="AS85" i="2"/>
  <c r="AK93" i="2"/>
  <c r="K120" i="2"/>
  <c r="S28" i="2"/>
  <c r="AF60" i="2"/>
  <c r="Z19" i="2"/>
  <c r="AR80" i="2"/>
  <c r="Z95" i="2"/>
  <c r="AL18" i="2"/>
  <c r="Z121" i="2"/>
  <c r="S54" i="2"/>
  <c r="S32" i="2"/>
  <c r="AF87" i="2"/>
  <c r="D77" i="2"/>
  <c r="AS47" i="2"/>
  <c r="K98" i="2"/>
  <c r="R16" i="2"/>
  <c r="AS17" i="2"/>
  <c r="AL17" i="2"/>
  <c r="Z90" i="2"/>
  <c r="L52" i="2"/>
  <c r="Y21" i="2"/>
  <c r="K26" i="2"/>
  <c r="E65" i="2"/>
  <c r="AF95" i="2"/>
  <c r="AR46" i="2"/>
  <c r="S106" i="2"/>
  <c r="AK109" i="2"/>
  <c r="K33" i="2"/>
  <c r="K88" i="2"/>
  <c r="L44" i="2"/>
  <c r="AR79" i="2"/>
  <c r="L59" i="2"/>
  <c r="K94" i="2"/>
  <c r="AS75" i="2"/>
  <c r="AK96" i="2"/>
  <c r="AL67" i="2"/>
  <c r="AS38" i="2"/>
  <c r="AR73" i="2"/>
  <c r="AR53" i="2"/>
  <c r="AS98" i="2"/>
  <c r="E114" i="2"/>
  <c r="Z36" i="2"/>
  <c r="AK72" i="2"/>
  <c r="L45" i="2"/>
  <c r="E102" i="2"/>
  <c r="Y120" i="2"/>
  <c r="K112" i="2"/>
  <c r="AF82" i="2"/>
  <c r="Y70" i="2"/>
  <c r="AK110" i="2"/>
  <c r="AK51" i="2"/>
  <c r="AR65" i="2"/>
  <c r="Z115" i="2"/>
  <c r="S37" i="2"/>
  <c r="R57" i="2"/>
  <c r="R79" i="2"/>
  <c r="AL105" i="2"/>
  <c r="R32" i="2"/>
  <c r="AL33" i="2"/>
  <c r="Y88" i="2"/>
  <c r="AK90" i="2"/>
  <c r="AL102" i="2"/>
  <c r="AR91" i="2"/>
  <c r="AF51" i="2"/>
  <c r="Z43" i="2"/>
  <c r="D102" i="2"/>
  <c r="Z114" i="2"/>
  <c r="AK47" i="2"/>
  <c r="E77" i="2"/>
  <c r="Y40" i="2"/>
  <c r="Y61" i="2"/>
  <c r="AL51" i="2"/>
  <c r="AS25" i="2"/>
  <c r="AL122" i="2"/>
  <c r="K64" i="2"/>
  <c r="AS73" i="2"/>
  <c r="AS56" i="2"/>
  <c r="AS26" i="2"/>
  <c r="S16" i="2"/>
  <c r="E62" i="2"/>
  <c r="R46" i="2"/>
  <c r="S27" i="2"/>
  <c r="AK49" i="2"/>
  <c r="S50" i="2"/>
  <c r="AL114" i="2"/>
  <c r="S108" i="2"/>
  <c r="Z84" i="2"/>
  <c r="Y103" i="2"/>
  <c r="L117" i="2"/>
  <c r="AR96" i="2"/>
  <c r="Z59" i="2"/>
  <c r="AS95" i="2"/>
  <c r="E82" i="2"/>
  <c r="AK22" i="2"/>
  <c r="AR17" i="2"/>
  <c r="S74" i="2"/>
  <c r="AR68" i="2"/>
  <c r="AK115" i="2"/>
  <c r="AK50" i="2"/>
  <c r="AK23" i="2"/>
  <c r="Z16" i="2"/>
  <c r="L20" i="2"/>
  <c r="AL91" i="2"/>
  <c r="D76" i="2"/>
  <c r="Y56" i="2"/>
  <c r="AR122" i="2"/>
  <c r="AF114" i="2"/>
  <c r="AL80" i="2"/>
  <c r="E73" i="2"/>
  <c r="D73" i="2"/>
  <c r="E64" i="2"/>
  <c r="R62" i="2"/>
  <c r="K52" i="2"/>
  <c r="Z68" i="2"/>
  <c r="D101" i="2"/>
  <c r="AS36" i="2"/>
  <c r="AL60" i="2"/>
  <c r="E42" i="2"/>
  <c r="AL23" i="2"/>
  <c r="E20" i="2"/>
  <c r="Y109" i="2"/>
  <c r="R54" i="2"/>
  <c r="E28" i="2"/>
  <c r="AS119" i="2"/>
  <c r="AF71" i="2"/>
  <c r="S59" i="2"/>
  <c r="Z57" i="2"/>
  <c r="R111" i="2"/>
  <c r="Z45" i="2"/>
  <c r="AL75" i="2"/>
  <c r="D109" i="2"/>
  <c r="L49" i="2"/>
  <c r="Z109" i="2"/>
  <c r="Y108" i="2"/>
  <c r="AS115" i="2"/>
  <c r="L90" i="2"/>
  <c r="Y84" i="2"/>
  <c r="L95" i="2"/>
  <c r="Z99" i="2"/>
  <c r="AK58" i="2"/>
  <c r="Y107" i="2"/>
  <c r="S83" i="2"/>
  <c r="E46" i="2"/>
  <c r="AR41" i="2"/>
  <c r="AR48" i="2"/>
  <c r="AL65" i="2"/>
  <c r="Y57" i="2"/>
  <c r="AK20" i="2"/>
  <c r="Y38" i="2"/>
  <c r="L55" i="2"/>
  <c r="AR90" i="2"/>
  <c r="Y99" i="2"/>
  <c r="AS84" i="2"/>
  <c r="AF53" i="2"/>
  <c r="AF27" i="2"/>
  <c r="E35" i="2"/>
  <c r="AF22" i="2"/>
  <c r="AL73" i="2"/>
  <c r="S47" i="2"/>
  <c r="K56" i="2"/>
  <c r="E121" i="2"/>
  <c r="S97" i="2"/>
  <c r="K107" i="2"/>
  <c r="AK70" i="2"/>
  <c r="Y35" i="2"/>
  <c r="E25" i="2"/>
  <c r="S105" i="2"/>
  <c r="Z93" i="2"/>
  <c r="E41" i="2"/>
  <c r="Y54" i="2"/>
  <c r="R73" i="2"/>
  <c r="AR104" i="2"/>
  <c r="AS103" i="2"/>
  <c r="Z97" i="2"/>
  <c r="S69" i="2"/>
  <c r="Z89" i="2"/>
  <c r="Y68" i="2"/>
  <c r="Y28" i="2"/>
  <c r="AL21" i="2"/>
  <c r="E61" i="2"/>
  <c r="S114" i="2"/>
  <c r="AK31" i="2"/>
  <c r="K28" i="2"/>
  <c r="L111" i="2"/>
  <c r="AK79" i="2"/>
  <c r="Y111" i="2"/>
  <c r="AL32" i="2"/>
  <c r="Z79" i="2"/>
  <c r="R20" i="2"/>
  <c r="K57" i="2"/>
  <c r="AK34" i="2"/>
  <c r="Z108" i="2"/>
  <c r="K77" i="2"/>
  <c r="AR95" i="2"/>
  <c r="AK91" i="2"/>
  <c r="AL97" i="2"/>
  <c r="AK42" i="2"/>
  <c r="S104" i="2"/>
  <c r="AL15" i="2"/>
  <c r="AS32" i="2"/>
  <c r="AF46" i="2"/>
  <c r="D74" i="2"/>
  <c r="AK120" i="2"/>
  <c r="L63" i="2"/>
  <c r="AK108" i="2"/>
  <c r="AL46" i="2"/>
  <c r="E101" i="2"/>
  <c r="R99" i="2"/>
  <c r="Z54" i="2"/>
  <c r="R92" i="2"/>
  <c r="AL85" i="2"/>
  <c r="AK45" i="2"/>
  <c r="L102" i="2"/>
  <c r="L116" i="2"/>
  <c r="K75" i="2"/>
  <c r="K58" i="2"/>
  <c r="Z75" i="2"/>
  <c r="AK53" i="2"/>
  <c r="E43" i="2"/>
  <c r="L114" i="2"/>
  <c r="AK84" i="2"/>
  <c r="AL27" i="2"/>
  <c r="S23" i="2"/>
  <c r="R108" i="2"/>
  <c r="L67" i="2"/>
  <c r="S52" i="2"/>
  <c r="K119" i="2"/>
  <c r="E59" i="2"/>
  <c r="AR114" i="2"/>
  <c r="Z119" i="2"/>
  <c r="Z66" i="2"/>
  <c r="AK46" i="2"/>
  <c r="E96" i="2"/>
  <c r="AK19" i="2"/>
  <c r="E84" i="2"/>
  <c r="K99" i="2"/>
  <c r="R49" i="2"/>
  <c r="R72" i="2"/>
  <c r="S79" i="2"/>
  <c r="Z117" i="2"/>
  <c r="K62" i="2"/>
  <c r="Z60" i="2"/>
  <c r="S88" i="2"/>
  <c r="R24" i="2"/>
  <c r="AK26" i="2"/>
  <c r="S78" i="2"/>
  <c r="AL37" i="2"/>
  <c r="AL35" i="2"/>
  <c r="D98" i="2"/>
  <c r="S41" i="2"/>
  <c r="AK59" i="2"/>
  <c r="AR44" i="2"/>
  <c r="Z17" i="2"/>
  <c r="D112" i="2"/>
  <c r="AL52" i="2"/>
  <c r="Z31" i="2"/>
  <c r="AL19" i="2"/>
  <c r="AR18" i="2"/>
  <c r="K68" i="2"/>
  <c r="L94" i="2"/>
  <c r="AL72" i="2"/>
  <c r="S56" i="2"/>
  <c r="K51" i="2"/>
  <c r="Z51" i="2"/>
  <c r="AL95" i="2"/>
  <c r="AF24" i="2"/>
  <c r="AF35" i="2"/>
  <c r="AR21" i="2"/>
  <c r="AS86" i="2"/>
  <c r="Z81" i="2"/>
  <c r="S18" i="2"/>
  <c r="Y112" i="2"/>
  <c r="Y39" i="2"/>
  <c r="K24" i="2"/>
  <c r="R91" i="2"/>
  <c r="AF25" i="2"/>
  <c r="AF47" i="2"/>
  <c r="Y23" i="2"/>
  <c r="AS40" i="2"/>
  <c r="K86" i="2"/>
  <c r="AF57" i="2"/>
  <c r="AS111" i="2"/>
  <c r="E95" i="2"/>
  <c r="AS78" i="2"/>
  <c r="Z35" i="2"/>
  <c r="AL41" i="2"/>
  <c r="R71" i="2"/>
  <c r="L29" i="2"/>
  <c r="S39" i="2"/>
  <c r="R58" i="2"/>
  <c r="AS57" i="2"/>
  <c r="AS24" i="2"/>
  <c r="S65" i="2"/>
  <c r="AF55" i="2"/>
  <c r="AS33" i="2"/>
  <c r="AS34" i="2"/>
  <c r="AF115" i="2"/>
  <c r="Z29" i="2"/>
  <c r="D72" i="2"/>
  <c r="AL59" i="2"/>
  <c r="AR30" i="2"/>
  <c r="D118" i="2"/>
  <c r="L119" i="2"/>
  <c r="AS121" i="2"/>
  <c r="S92" i="2"/>
  <c r="E57" i="2"/>
  <c r="AL111" i="2"/>
  <c r="L46" i="2"/>
  <c r="K25" i="2"/>
  <c r="S61" i="2"/>
  <c r="Y53" i="2"/>
  <c r="E17" i="2"/>
  <c r="R59" i="2"/>
  <c r="AS65" i="2"/>
  <c r="AR105" i="2"/>
  <c r="AR94" i="2"/>
  <c r="S67" i="2"/>
  <c r="L65" i="2"/>
  <c r="L92" i="2"/>
  <c r="AK86" i="2"/>
  <c r="AK60" i="2"/>
  <c r="R94" i="2"/>
  <c r="AK82" i="2"/>
  <c r="R97" i="2"/>
  <c r="AL74" i="2"/>
  <c r="K92" i="2"/>
  <c r="AR49" i="2"/>
  <c r="R122" i="2"/>
  <c r="AS21" i="2"/>
  <c r="AR20" i="2"/>
  <c r="AL81" i="2"/>
  <c r="AS79" i="2"/>
  <c r="L19" i="2"/>
  <c r="D99" i="2"/>
  <c r="AK17" i="2"/>
  <c r="AL24" i="2"/>
  <c r="AF21" i="2"/>
  <c r="R101" i="2"/>
  <c r="S73" i="2"/>
  <c r="Z116" i="2"/>
  <c r="AK35" i="2"/>
  <c r="D66" i="2"/>
  <c r="L98" i="2"/>
  <c r="L62" i="2"/>
  <c r="AS96" i="2"/>
  <c r="AK40" i="2"/>
  <c r="L30" i="2"/>
  <c r="K42" i="2"/>
  <c r="Y115" i="2"/>
  <c r="D93" i="2"/>
  <c r="S95" i="2"/>
  <c r="L34" i="2"/>
  <c r="K47" i="2"/>
  <c r="R76" i="2"/>
  <c r="AF100" i="2"/>
  <c r="AL36" i="2"/>
  <c r="E66" i="2"/>
  <c r="AR28" i="2"/>
  <c r="D67" i="2"/>
  <c r="AL43" i="2"/>
  <c r="Z56" i="2"/>
  <c r="AK25" i="2"/>
  <c r="K60" i="2"/>
  <c r="D96" i="2"/>
  <c r="R104" i="2"/>
  <c r="S115" i="2"/>
  <c r="R42" i="2"/>
  <c r="Y65" i="2"/>
  <c r="AF34" i="2"/>
  <c r="Y15" i="2"/>
  <c r="Z106" i="2"/>
  <c r="AK97" i="2"/>
  <c r="R70" i="2"/>
  <c r="L121" i="2"/>
  <c r="R18" i="2"/>
  <c r="AL38" i="2"/>
  <c r="Z105" i="2"/>
  <c r="AS77" i="2"/>
  <c r="R44" i="2"/>
  <c r="Z118" i="2"/>
  <c r="E92" i="2"/>
  <c r="AL109" i="2"/>
  <c r="AL53" i="2"/>
  <c r="Z70" i="2"/>
  <c r="L87" i="2"/>
  <c r="AS63" i="2"/>
  <c r="Z100" i="2"/>
  <c r="AF42" i="2"/>
  <c r="R41" i="2"/>
  <c r="AL28" i="2"/>
  <c r="AS22" i="2"/>
  <c r="L68" i="2"/>
  <c r="E19" i="2"/>
  <c r="R107" i="2"/>
  <c r="AR27" i="2"/>
  <c r="AS35" i="2"/>
  <c r="L93" i="2"/>
  <c r="R74" i="2"/>
  <c r="L23" i="2"/>
  <c r="E79" i="2"/>
  <c r="Z111" i="2"/>
  <c r="Y16" i="2"/>
  <c r="Y31" i="2"/>
  <c r="AK112" i="2"/>
  <c r="AL110" i="2"/>
  <c r="AL71" i="2"/>
  <c r="R40" i="2"/>
  <c r="S122" i="2"/>
  <c r="S25" i="2"/>
  <c r="K106" i="2"/>
  <c r="AR93" i="2"/>
  <c r="AS113" i="2"/>
  <c r="AR120" i="2"/>
  <c r="AS19" i="2"/>
  <c r="AS118" i="2"/>
  <c r="E51" i="2"/>
  <c r="AS104" i="2"/>
  <c r="AS117" i="2"/>
  <c r="E111" i="2"/>
  <c r="E88" i="2"/>
  <c r="AL79" i="2"/>
  <c r="Y98" i="2"/>
  <c r="AS70" i="2"/>
  <c r="R118" i="2"/>
  <c r="R17" i="2"/>
  <c r="L36" i="2"/>
  <c r="D110" i="2"/>
  <c r="Z69" i="2"/>
  <c r="Y25" i="2"/>
  <c r="Y69" i="2"/>
  <c r="Y100" i="2"/>
  <c r="AK68" i="2"/>
  <c r="Z62" i="2"/>
  <c r="AR15" i="2"/>
  <c r="AK85" i="2"/>
  <c r="AL50" i="2"/>
  <c r="K80" i="2"/>
  <c r="Y45" i="2"/>
  <c r="AF86" i="2"/>
  <c r="D114" i="2"/>
  <c r="D68" i="2"/>
  <c r="AR31" i="2"/>
  <c r="K91" i="2"/>
  <c r="AR25" i="2"/>
  <c r="E98" i="2"/>
  <c r="AF36" i="2"/>
  <c r="AS58" i="2"/>
  <c r="K41" i="2"/>
  <c r="S70" i="2"/>
  <c r="AS51" i="2"/>
  <c r="S49" i="2"/>
  <c r="AF99" i="2"/>
  <c r="AS60" i="2"/>
  <c r="AL88" i="2"/>
  <c r="Z110" i="2"/>
  <c r="AL77" i="2"/>
  <c r="Z26" i="2"/>
  <c r="AF93" i="2"/>
  <c r="S81" i="2"/>
  <c r="AF48" i="2"/>
  <c r="AS106" i="2"/>
  <c r="AF33" i="2"/>
  <c r="K71" i="2"/>
  <c r="E76" i="2"/>
  <c r="R69" i="2"/>
  <c r="E115" i="2"/>
  <c r="S86" i="2"/>
  <c r="AF122" i="2"/>
  <c r="AF117" i="2"/>
  <c r="L58" i="2"/>
  <c r="E45" i="2"/>
  <c r="K36" i="2"/>
  <c r="AL40" i="2"/>
  <c r="AL83" i="2"/>
  <c r="R39" i="2"/>
  <c r="AF66" i="2"/>
  <c r="E40" i="2"/>
  <c r="AF68" i="2"/>
  <c r="S93" i="2"/>
  <c r="E26" i="2"/>
  <c r="AL98" i="2"/>
  <c r="E90" i="2"/>
  <c r="Z65" i="2"/>
  <c r="L15" i="2"/>
  <c r="Y78" i="2"/>
  <c r="S101" i="2"/>
  <c r="AS89" i="2"/>
  <c r="L70" i="2"/>
  <c r="S111" i="2"/>
  <c r="K93" i="2"/>
  <c r="Z24" i="2"/>
  <c r="AK78" i="2"/>
  <c r="Z21" i="2"/>
  <c r="Z80" i="2"/>
  <c r="AR69" i="2"/>
  <c r="Y50" i="2"/>
  <c r="E103" i="2"/>
  <c r="AL44" i="2"/>
  <c r="Y110" i="2"/>
  <c r="AS112" i="2"/>
  <c r="AR33" i="2"/>
  <c r="D78" i="2"/>
  <c r="E52" i="2"/>
  <c r="L53" i="2"/>
  <c r="L37" i="2"/>
  <c r="S29" i="2"/>
  <c r="L99" i="2"/>
  <c r="Y119" i="2"/>
  <c r="AS52" i="2"/>
  <c r="L109" i="2"/>
  <c r="Y92" i="2"/>
  <c r="R64" i="2"/>
  <c r="AS16" i="2"/>
  <c r="AS18" i="2"/>
  <c r="AK36" i="2"/>
  <c r="Z92" i="2"/>
  <c r="AK74" i="2"/>
  <c r="AL94" i="2"/>
  <c r="Y64" i="2"/>
  <c r="K46" i="2"/>
  <c r="L56" i="2"/>
  <c r="AR58" i="2"/>
  <c r="Y44" i="2"/>
  <c r="Z63" i="2"/>
  <c r="Y86" i="2"/>
  <c r="L76" i="2"/>
  <c r="K87" i="2"/>
  <c r="AF18" i="2"/>
  <c r="S96" i="2"/>
  <c r="Z18" i="2"/>
  <c r="K32" i="2"/>
  <c r="Y114" i="2"/>
  <c r="L97" i="2"/>
  <c r="E18" i="2"/>
  <c r="R36" i="2"/>
  <c r="Z71" i="2"/>
  <c r="L88" i="2"/>
  <c r="AF49" i="2"/>
  <c r="AK57" i="2"/>
  <c r="AR118" i="2"/>
  <c r="E68" i="2"/>
  <c r="AF31" i="2"/>
  <c r="Z27" i="2"/>
  <c r="E78" i="2"/>
  <c r="K83" i="2"/>
  <c r="AL106" i="2"/>
  <c r="K103" i="2"/>
  <c r="AL103" i="2"/>
  <c r="AF119" i="2"/>
  <c r="AR87" i="2"/>
  <c r="R48" i="2"/>
  <c r="Z48" i="2"/>
  <c r="AL96" i="2"/>
  <c r="AF106" i="2"/>
  <c r="R56" i="2"/>
  <c r="Z102" i="2"/>
  <c r="K61" i="2"/>
  <c r="AS39" i="2"/>
  <c r="AF116" i="2"/>
  <c r="AF70" i="2"/>
  <c r="AR38" i="2"/>
  <c r="AR98" i="2"/>
  <c r="D71" i="2"/>
  <c r="L78" i="2"/>
  <c r="AR42" i="2"/>
  <c r="L122" i="2"/>
  <c r="R87" i="2"/>
  <c r="D84" i="2"/>
  <c r="E70" i="2"/>
  <c r="AL117" i="2"/>
  <c r="AR51" i="2"/>
  <c r="K20" i="2"/>
  <c r="K110" i="2"/>
  <c r="R38" i="2"/>
  <c r="L79" i="2"/>
  <c r="K97" i="2"/>
  <c r="AK116" i="2"/>
  <c r="E116" i="2"/>
  <c r="AL107" i="2"/>
  <c r="Y94" i="2"/>
  <c r="AR36" i="2"/>
  <c r="R80" i="2"/>
  <c r="Y90" i="2"/>
  <c r="Z76" i="2"/>
  <c r="AK32" i="2"/>
  <c r="E104" i="2"/>
  <c r="AF73" i="2"/>
  <c r="AL120" i="2"/>
  <c r="K113" i="2"/>
  <c r="AL92" i="2"/>
  <c r="AS72" i="2"/>
  <c r="Z103" i="2"/>
  <c r="AK77" i="2"/>
  <c r="Y118" i="2"/>
  <c r="AF15" i="2"/>
  <c r="E72" i="2"/>
  <c r="L47" i="2"/>
  <c r="AS80" i="2"/>
  <c r="L73" i="2"/>
  <c r="Y74" i="2"/>
  <c r="E54" i="2"/>
  <c r="K55" i="2"/>
  <c r="D103" i="2"/>
  <c r="Y24" i="2"/>
  <c r="R19" i="2"/>
  <c r="AS55" i="2"/>
  <c r="K102" i="2"/>
  <c r="AK67" i="2"/>
  <c r="K81" i="2"/>
  <c r="L120" i="2"/>
  <c r="AL48" i="2"/>
  <c r="E85" i="2"/>
  <c r="AR92" i="2"/>
  <c r="K65" i="2"/>
  <c r="AF112" i="2"/>
  <c r="S36" i="2"/>
  <c r="E122" i="2"/>
  <c r="S91" i="2"/>
  <c r="AL100" i="2"/>
  <c r="AR50" i="2"/>
  <c r="R82" i="2"/>
  <c r="AR106" i="2"/>
  <c r="AK88" i="2"/>
  <c r="AL20" i="2"/>
  <c r="L64" i="2"/>
  <c r="Z42" i="2"/>
  <c r="S76" i="2"/>
  <c r="K105" i="2"/>
  <c r="E83" i="2"/>
  <c r="Y89" i="2"/>
  <c r="S15" i="2"/>
  <c r="E110" i="2"/>
  <c r="R100" i="2"/>
  <c r="K59" i="2"/>
  <c r="Y67" i="2"/>
  <c r="Z73" i="2"/>
  <c r="E86" i="2"/>
  <c r="AS67" i="2"/>
  <c r="L24" i="2"/>
  <c r="R55" i="2"/>
  <c r="S100" i="2"/>
  <c r="L31" i="2"/>
  <c r="AR119" i="2"/>
  <c r="Z85" i="2"/>
  <c r="AR60" i="2"/>
  <c r="L51" i="2"/>
  <c r="AR82" i="2"/>
  <c r="AF39" i="2"/>
  <c r="K19" i="2"/>
  <c r="AS88" i="2"/>
  <c r="R66" i="2"/>
  <c r="Y43" i="2"/>
  <c r="E36" i="2"/>
  <c r="AL31" i="2"/>
  <c r="R117" i="2"/>
  <c r="S75" i="2"/>
  <c r="D90" i="2"/>
  <c r="R15" i="2"/>
  <c r="D107" i="2"/>
  <c r="AS82" i="2"/>
  <c r="AK44" i="2"/>
  <c r="AL45" i="2"/>
  <c r="AF105" i="2"/>
  <c r="AR101" i="2"/>
  <c r="S63" i="2"/>
  <c r="AL25" i="2"/>
  <c r="L72" i="2"/>
  <c r="L71" i="2"/>
  <c r="D88" i="2"/>
  <c r="AF101" i="2"/>
  <c r="AL68" i="2"/>
  <c r="AS74" i="2"/>
  <c r="Y117" i="2"/>
  <c r="AF94" i="2"/>
  <c r="E89" i="2"/>
  <c r="R96" i="2"/>
  <c r="E93" i="2"/>
  <c r="AR64" i="2"/>
  <c r="AF72" i="2"/>
  <c r="AR85" i="2"/>
  <c r="E27" i="2"/>
  <c r="AK111" i="2"/>
  <c r="AF89" i="2"/>
  <c r="AF81" i="2"/>
  <c r="Z64" i="2"/>
  <c r="AS50" i="2"/>
  <c r="E48" i="2"/>
  <c r="AS49" i="2"/>
  <c r="AF67" i="2"/>
  <c r="AK54" i="2"/>
  <c r="K50" i="2"/>
  <c r="K34" i="2"/>
  <c r="S38" i="2"/>
  <c r="AK24" i="2"/>
  <c r="AR70" i="2"/>
  <c r="D119" i="2"/>
  <c r="S89" i="2"/>
  <c r="AK76" i="2"/>
  <c r="AL116" i="2"/>
  <c r="L48" i="2"/>
  <c r="K38" i="2"/>
  <c r="R30" i="2"/>
  <c r="AS102" i="2"/>
  <c r="Z104" i="2"/>
  <c r="R88" i="2"/>
  <c r="AR61" i="2"/>
  <c r="S45" i="2"/>
  <c r="AS48" i="2"/>
  <c r="AR115" i="2"/>
  <c r="E23" i="2"/>
  <c r="AK99" i="2"/>
  <c r="D97" i="2"/>
  <c r="Z88" i="2"/>
  <c r="AF23" i="2"/>
  <c r="Z49" i="2"/>
  <c r="AL121" i="2"/>
  <c r="E33" i="2"/>
  <c r="K67" i="2"/>
  <c r="AF108" i="2"/>
  <c r="K85" i="2"/>
  <c r="K111" i="2"/>
  <c r="R45" i="2"/>
  <c r="K18" i="2"/>
  <c r="AK114" i="2"/>
  <c r="AF102" i="2"/>
  <c r="AF104" i="2"/>
  <c r="K31" i="2"/>
  <c r="K101" i="2"/>
  <c r="Z67" i="2"/>
  <c r="D89" i="2"/>
  <c r="Y71" i="2"/>
  <c r="AF85" i="2"/>
  <c r="S22" i="2"/>
  <c r="E91" i="2"/>
  <c r="D113" i="2"/>
  <c r="AR67" i="2"/>
  <c r="AR29" i="2"/>
  <c r="AL99" i="2"/>
  <c r="L22" i="2"/>
  <c r="Y105" i="2"/>
  <c r="Z47" i="2"/>
  <c r="Z98" i="2"/>
  <c r="AS42" i="2"/>
  <c r="AF92" i="2"/>
  <c r="AS122" i="2"/>
  <c r="AL62" i="2"/>
  <c r="AS83" i="2"/>
  <c r="R110" i="2"/>
  <c r="AS93" i="2"/>
  <c r="D100" i="2"/>
  <c r="AR43" i="2"/>
  <c r="AR47" i="2"/>
  <c r="E30" i="2"/>
  <c r="AK33" i="2"/>
  <c r="AK43" i="2"/>
  <c r="S110" i="2"/>
  <c r="AS61" i="2"/>
  <c r="AF62" i="2"/>
  <c r="AK27" i="2"/>
  <c r="AK73" i="2"/>
  <c r="AF56" i="2"/>
  <c r="AL84" i="2"/>
  <c r="R106" i="2"/>
  <c r="AF52" i="2"/>
  <c r="R52" i="2"/>
  <c r="Y82" i="2"/>
  <c r="Z38" i="2"/>
  <c r="R85" i="2"/>
  <c r="R103" i="2"/>
  <c r="AR81" i="2"/>
  <c r="AK81" i="2"/>
  <c r="K116" i="2"/>
  <c r="E60" i="2"/>
  <c r="S58" i="2"/>
  <c r="K29" i="2"/>
  <c r="AL87" i="2"/>
  <c r="AR78" i="2"/>
  <c r="AK101" i="2"/>
  <c r="R120" i="2"/>
  <c r="K54" i="2"/>
  <c r="Y96" i="2"/>
  <c r="Z22" i="2"/>
  <c r="L100" i="2"/>
  <c r="AR103" i="2"/>
  <c r="Y34" i="2"/>
  <c r="K27" i="2"/>
  <c r="R67" i="2"/>
  <c r="K115" i="2"/>
  <c r="L26" i="2"/>
  <c r="Y106" i="2"/>
  <c r="AS68" i="2"/>
  <c r="L86" i="2"/>
  <c r="AF29" i="2"/>
  <c r="Y37" i="2"/>
  <c r="AS99" i="2"/>
  <c r="Z96" i="2"/>
  <c r="AL42" i="2"/>
  <c r="Z61" i="2"/>
  <c r="Y116" i="2"/>
  <c r="Z52" i="2"/>
  <c r="Y122" i="2"/>
  <c r="S90" i="2"/>
  <c r="D115" i="2"/>
  <c r="D82" i="2"/>
  <c r="E31" i="2"/>
  <c r="S40" i="2"/>
  <c r="AR112" i="2"/>
  <c r="AK103" i="2"/>
  <c r="E49" i="2"/>
  <c r="R26" i="2"/>
  <c r="Z37" i="2"/>
  <c r="Y41" i="2"/>
  <c r="S68" i="2"/>
  <c r="AL93" i="2"/>
  <c r="AS43" i="2"/>
  <c r="K21" i="2"/>
  <c r="D64" i="2"/>
  <c r="AL112" i="2"/>
  <c r="AK38" i="2"/>
  <c r="K84" i="2"/>
  <c r="K35" i="2"/>
  <c r="R33" i="2"/>
  <c r="E34" i="2"/>
  <c r="D108" i="2"/>
  <c r="R21" i="2"/>
  <c r="Z46" i="2"/>
  <c r="S33" i="2"/>
  <c r="S17" i="2"/>
  <c r="D121" i="2"/>
  <c r="E100" i="2"/>
  <c r="E80" i="2"/>
  <c r="Y104" i="2"/>
  <c r="AL26" i="2"/>
  <c r="Y58" i="2"/>
  <c r="L33" i="2"/>
  <c r="L108" i="2"/>
  <c r="Y30" i="2"/>
  <c r="S24" i="2"/>
  <c r="E15" i="2"/>
  <c r="AF113" i="2"/>
  <c r="AF44" i="2"/>
  <c r="L38" i="2"/>
  <c r="E32" i="2"/>
  <c r="R89" i="2"/>
  <c r="R84" i="2"/>
  <c r="Y113" i="2"/>
  <c r="AR23" i="2"/>
  <c r="AS87" i="2"/>
  <c r="D81" i="2"/>
  <c r="AF38" i="2"/>
  <c r="AS53" i="2"/>
  <c r="Y55" i="2"/>
  <c r="AK55" i="2"/>
  <c r="Z33" i="2"/>
  <c r="Y87" i="2"/>
  <c r="AS100" i="2"/>
  <c r="AL29" i="2"/>
  <c r="Z78" i="2"/>
  <c r="R78" i="2"/>
  <c r="AK104" i="2"/>
  <c r="L43" i="2"/>
  <c r="K40" i="2"/>
  <c r="Y95" i="2"/>
  <c r="AL39" i="2"/>
  <c r="E58" i="2"/>
  <c r="Y63" i="2"/>
  <c r="Y85" i="2"/>
  <c r="Z30" i="2"/>
  <c r="AR83" i="2"/>
  <c r="K82" i="2"/>
  <c r="K15" i="2"/>
  <c r="K73" i="2"/>
  <c r="AS107" i="2"/>
  <c r="AR26" i="2"/>
  <c r="R29" i="2"/>
  <c r="Y66" i="2"/>
  <c r="Y83" i="2"/>
  <c r="S53" i="2"/>
  <c r="AS23" i="2"/>
  <c r="AS28" i="2"/>
  <c r="K37" i="2"/>
  <c r="AR66" i="2"/>
  <c r="AK63" i="2"/>
  <c r="R81" i="2"/>
  <c r="S103" i="2"/>
  <c r="AK106" i="2"/>
  <c r="AR54" i="2"/>
  <c r="E71" i="2"/>
  <c r="Z23" i="2"/>
  <c r="AF30" i="2"/>
  <c r="D80" i="2"/>
  <c r="D106" i="2"/>
  <c r="Y42" i="2"/>
  <c r="E105" i="2"/>
  <c r="AS114" i="2"/>
  <c r="Y17" i="2"/>
  <c r="AR71" i="2"/>
  <c r="AK117" i="2"/>
  <c r="AR45" i="2"/>
  <c r="AK64" i="2"/>
  <c r="AS27" i="2"/>
  <c r="Y26" i="2"/>
  <c r="AR72" i="2"/>
  <c r="E112" i="2"/>
  <c r="K43" i="2"/>
  <c r="AL30" i="2"/>
  <c r="AF121" i="2"/>
  <c r="AS108" i="2"/>
  <c r="AK121" i="2"/>
  <c r="S51" i="2"/>
  <c r="AF16" i="2"/>
  <c r="E67" i="2"/>
  <c r="L18" i="2"/>
  <c r="AL22" i="2"/>
  <c r="AR113" i="2"/>
  <c r="S72" i="2"/>
  <c r="L54" i="2"/>
  <c r="AF120" i="2"/>
  <c r="AS20" i="2"/>
  <c r="S46" i="2"/>
  <c r="AK113" i="2"/>
  <c r="D111" i="2"/>
  <c r="S26" i="2"/>
  <c r="AF41" i="2"/>
  <c r="AL58" i="2"/>
  <c r="K96" i="2"/>
  <c r="S98" i="2"/>
  <c r="AR56" i="2"/>
  <c r="Z41" i="2"/>
  <c r="AF103" i="2"/>
  <c r="Y32" i="2"/>
  <c r="AR74" i="2"/>
  <c r="L41" i="2"/>
  <c r="Z32" i="2"/>
  <c r="AK107" i="2"/>
  <c r="AF78" i="2"/>
  <c r="K23" i="2"/>
  <c r="AR109" i="2"/>
  <c r="AF97" i="2"/>
  <c r="AK69" i="2"/>
  <c r="AF98" i="2"/>
  <c r="Z55" i="2"/>
  <c r="R63" i="2"/>
  <c r="R83" i="2"/>
  <c r="AK71" i="2"/>
  <c r="S31" i="2"/>
  <c r="R121" i="2"/>
  <c r="D63" i="2"/>
  <c r="AK48" i="2"/>
  <c r="Y102" i="2"/>
  <c r="K16" i="2"/>
  <c r="Y121" i="2"/>
  <c r="AR86" i="2"/>
  <c r="D86" i="2"/>
  <c r="AS41" i="2"/>
  <c r="S62" i="2"/>
  <c r="AL119" i="2"/>
  <c r="Y73" i="2"/>
  <c r="R27" i="2"/>
  <c r="E74" i="2"/>
  <c r="Z58" i="2"/>
  <c r="E99" i="2"/>
  <c r="R37" i="2"/>
  <c r="Z50" i="2"/>
  <c r="K118" i="2"/>
  <c r="Z122" i="2"/>
  <c r="R75" i="2"/>
  <c r="AK56" i="2"/>
  <c r="AK62" i="2"/>
  <c r="AR32" i="2"/>
  <c r="S34" i="2"/>
  <c r="L105" i="2"/>
  <c r="S107" i="2"/>
  <c r="D83" i="2"/>
  <c r="E16" i="2"/>
  <c r="D95" i="2"/>
  <c r="L75" i="2"/>
  <c r="R61" i="2"/>
  <c r="AS81" i="2"/>
  <c r="AR88" i="2"/>
  <c r="S30" i="2"/>
  <c r="L27" i="2"/>
  <c r="R93" i="2"/>
  <c r="D79" i="2"/>
  <c r="E113" i="2"/>
  <c r="AF37" i="2"/>
  <c r="AK16" i="2"/>
  <c r="R112" i="2"/>
  <c r="K95" i="2"/>
  <c r="Y29" i="2"/>
  <c r="K104" i="2"/>
  <c r="AR16" i="2"/>
  <c r="AL89" i="2"/>
  <c r="AK30" i="2"/>
  <c r="L80" i="2"/>
  <c r="AF84" i="2"/>
  <c r="R98" i="2"/>
  <c r="Y20" i="2"/>
  <c r="L39" i="2"/>
  <c r="K30" i="2"/>
  <c r="L110" i="2"/>
  <c r="Z77" i="2"/>
  <c r="AK61" i="2"/>
  <c r="Y77" i="2"/>
  <c r="AF111" i="2"/>
  <c r="D87" i="2"/>
  <c r="AK94" i="2"/>
  <c r="E22" i="2"/>
  <c r="S117" i="2"/>
  <c r="AR40" i="2"/>
  <c r="Y27" i="2"/>
  <c r="L107" i="2"/>
  <c r="AF19" i="2"/>
  <c r="AF110" i="2"/>
  <c r="AF88" i="2"/>
  <c r="AF77" i="2"/>
  <c r="AL115" i="2"/>
  <c r="L118" i="2"/>
  <c r="L112" i="2"/>
  <c r="S113" i="2"/>
  <c r="AS30" i="2"/>
  <c r="Z25" i="2"/>
  <c r="Y49" i="2"/>
  <c r="Z44" i="2"/>
  <c r="AF75" i="2"/>
  <c r="R23" i="2"/>
  <c r="AF32" i="2"/>
  <c r="AF26" i="2"/>
  <c r="D120" i="2"/>
  <c r="AF63" i="2"/>
  <c r="AF80" i="2"/>
  <c r="AL47" i="2"/>
  <c r="L60" i="2"/>
  <c r="Y47" i="2"/>
  <c r="E29" i="2"/>
  <c r="AK29" i="2"/>
  <c r="K70" i="2"/>
  <c r="K114" i="2"/>
  <c r="AL49" i="2"/>
  <c r="AF61" i="2"/>
  <c r="Y101" i="2"/>
  <c r="S55" i="2"/>
  <c r="Z82" i="2"/>
  <c r="D85" i="2"/>
  <c r="D65" i="2"/>
  <c r="Y97" i="2"/>
  <c r="D70" i="2"/>
  <c r="AL101" i="2"/>
  <c r="D91" i="2"/>
  <c r="AF65" i="2"/>
  <c r="S21" i="2"/>
  <c r="AF107" i="2"/>
  <c r="E87" i="2"/>
  <c r="AK95" i="2"/>
  <c r="AR8" i="2" l="1"/>
  <c r="Y8" i="2"/>
  <c r="C10" i="3" s="1"/>
  <c r="Z8" i="2"/>
  <c r="E10" i="3" s="1"/>
  <c r="AS8" i="2"/>
  <c r="AS10" i="2" s="1"/>
  <c r="T10" i="2"/>
  <c r="AM10" i="2"/>
  <c r="AO10" i="2"/>
  <c r="H10" i="2"/>
  <c r="V10" i="2"/>
  <c r="F10" i="2"/>
  <c r="AP8" i="2"/>
  <c r="AD8" i="2"/>
  <c r="P8" i="2"/>
  <c r="AV10" i="2"/>
  <c r="AH10" i="2"/>
  <c r="AC10" i="2"/>
  <c r="AF9" i="2"/>
  <c r="J16" i="3"/>
  <c r="J10" i="3"/>
  <c r="J8" i="3"/>
  <c r="K16" i="3"/>
  <c r="K14" i="3"/>
  <c r="K12" i="3"/>
  <c r="K10" i="3"/>
  <c r="K8" i="3"/>
  <c r="K6" i="3"/>
  <c r="K4" i="3"/>
  <c r="F6" i="3"/>
  <c r="F4" i="3"/>
  <c r="L5" i="3"/>
  <c r="J14" i="3"/>
  <c r="J12" i="3"/>
  <c r="J6" i="3"/>
  <c r="J4" i="3"/>
  <c r="F14" i="3"/>
  <c r="F8" i="3"/>
  <c r="L15" i="3"/>
  <c r="L13" i="3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L9" i="3"/>
  <c r="AR9" i="2" l="1"/>
  <c r="AR10" i="2" s="1"/>
  <c r="Z10" i="2"/>
  <c r="Y9" i="2"/>
  <c r="Y10" i="2" s="1"/>
  <c r="L8" i="2"/>
  <c r="L10" i="2" s="1"/>
  <c r="K8" i="2"/>
  <c r="K10" i="2" s="1"/>
  <c r="L11" i="3"/>
  <c r="L17" i="3"/>
  <c r="G28" i="5"/>
  <c r="H28" i="5" s="1"/>
  <c r="D6" i="3"/>
  <c r="L7" i="3"/>
  <c r="AF10" i="2"/>
  <c r="G12" i="3" s="1"/>
  <c r="D12" i="5"/>
  <c r="Y5" i="5"/>
  <c r="E16" i="5"/>
  <c r="E4" i="5"/>
  <c r="X11" i="5"/>
  <c r="D16" i="5"/>
  <c r="E20" i="5"/>
  <c r="G20" i="5" s="1"/>
  <c r="H20" i="5" s="1"/>
  <c r="Y10" i="5"/>
  <c r="Y9" i="5"/>
  <c r="D8" i="5"/>
  <c r="E12" i="5"/>
  <c r="D4" i="5"/>
  <c r="E8" i="5"/>
  <c r="T11" i="5"/>
  <c r="W11" i="5"/>
  <c r="Y8" i="5"/>
  <c r="D24" i="5"/>
  <c r="E28" i="5"/>
  <c r="C20" i="5"/>
  <c r="V11" i="5"/>
  <c r="E24" i="5"/>
  <c r="F4" i="5"/>
  <c r="C8" i="5"/>
  <c r="Y4" i="5"/>
  <c r="Y6" i="5"/>
  <c r="Y7" i="5"/>
  <c r="R11" i="5"/>
  <c r="S11" i="5"/>
  <c r="U11" i="5"/>
  <c r="AB40" i="2"/>
  <c r="AB45" i="2"/>
  <c r="C96" i="2"/>
  <c r="U36" i="2"/>
  <c r="AG53" i="2"/>
  <c r="X70" i="2"/>
  <c r="AG57" i="2"/>
  <c r="AN54" i="2"/>
  <c r="J82" i="2"/>
  <c r="X94" i="2"/>
  <c r="N105" i="2"/>
  <c r="AE77" i="2"/>
  <c r="AQ109" i="2"/>
  <c r="AB75" i="2"/>
  <c r="Q89" i="2"/>
  <c r="AQ46" i="2"/>
  <c r="C104" i="2"/>
  <c r="AQ89" i="2"/>
  <c r="AJ103" i="2"/>
  <c r="AB61" i="2"/>
  <c r="AB114" i="2"/>
  <c r="AU48" i="2"/>
  <c r="AJ118" i="2"/>
  <c r="AB84" i="2"/>
  <c r="N47" i="2"/>
  <c r="AB82" i="2"/>
  <c r="C117" i="2"/>
  <c r="Q69" i="2"/>
  <c r="N35" i="2"/>
  <c r="AN68" i="2"/>
  <c r="X68" i="2"/>
  <c r="AB27" i="2"/>
  <c r="AE85" i="2"/>
  <c r="AB18" i="2"/>
  <c r="U88" i="2"/>
  <c r="Q57" i="2"/>
  <c r="Q27" i="2"/>
  <c r="AU17" i="2"/>
  <c r="AQ99" i="2"/>
  <c r="AG101" i="2"/>
  <c r="AB106" i="2"/>
  <c r="Q120" i="2"/>
  <c r="AJ64" i="2"/>
  <c r="Q85" i="2"/>
  <c r="AB86" i="2"/>
  <c r="N113" i="2"/>
  <c r="N70" i="2"/>
  <c r="AU18" i="2"/>
  <c r="J52" i="2"/>
  <c r="AE110" i="2"/>
  <c r="U63" i="2"/>
  <c r="AJ86" i="2"/>
  <c r="J61" i="2"/>
  <c r="C54" i="2"/>
  <c r="AB33" i="2"/>
  <c r="C50" i="2"/>
  <c r="AJ28" i="2"/>
  <c r="X92" i="2"/>
  <c r="AB96" i="2"/>
  <c r="AJ120" i="2"/>
  <c r="X56" i="2"/>
  <c r="J78" i="2"/>
  <c r="J37" i="2"/>
  <c r="N122" i="2"/>
  <c r="AE88" i="2"/>
  <c r="C19" i="2"/>
  <c r="AG52" i="2"/>
  <c r="U34" i="2"/>
  <c r="J29" i="2"/>
  <c r="AN71" i="2"/>
  <c r="AN92" i="2"/>
  <c r="J81" i="2"/>
  <c r="AJ92" i="2"/>
  <c r="AU21" i="2"/>
  <c r="AN19" i="2"/>
  <c r="AN81" i="2"/>
  <c r="AQ108" i="2"/>
  <c r="N17" i="2"/>
  <c r="U48" i="2"/>
  <c r="AN64" i="2"/>
  <c r="AB100" i="2"/>
  <c r="AG30" i="2"/>
  <c r="C67" i="2"/>
  <c r="AG48" i="2"/>
  <c r="Q33" i="2"/>
  <c r="C20" i="2"/>
  <c r="AE29" i="2"/>
  <c r="C38" i="2"/>
  <c r="N119" i="2"/>
  <c r="AE78" i="2"/>
  <c r="N56" i="2"/>
  <c r="J34" i="2"/>
  <c r="X28" i="2"/>
  <c r="Q54" i="2"/>
  <c r="C83" i="2"/>
  <c r="U22" i="2"/>
  <c r="N54" i="2"/>
  <c r="AQ118" i="2"/>
  <c r="X120" i="2"/>
  <c r="J83" i="2"/>
  <c r="N60" i="2"/>
  <c r="AJ25" i="2"/>
  <c r="U32" i="2"/>
  <c r="U92" i="2"/>
  <c r="C85" i="2"/>
  <c r="AG34" i="2"/>
  <c r="AJ18" i="2"/>
  <c r="AU60" i="2"/>
  <c r="AB16" i="2"/>
  <c r="U55" i="2"/>
  <c r="AJ77" i="2"/>
  <c r="AU70" i="2"/>
  <c r="AB39" i="2"/>
  <c r="J116" i="2"/>
  <c r="Q51" i="2"/>
  <c r="C16" i="2"/>
  <c r="AJ88" i="2"/>
  <c r="X32" i="2"/>
  <c r="U47" i="2"/>
  <c r="AB94" i="2"/>
  <c r="AQ73" i="2"/>
  <c r="AJ58" i="2"/>
  <c r="AU33" i="2"/>
  <c r="Q86" i="2"/>
  <c r="AU69" i="2"/>
  <c r="Q46" i="2"/>
  <c r="C57" i="2"/>
  <c r="C33" i="2"/>
  <c r="AE114" i="2"/>
  <c r="N52" i="2"/>
  <c r="Q24" i="2"/>
  <c r="AQ15" i="2"/>
  <c r="U116" i="2"/>
  <c r="AJ66" i="2"/>
  <c r="X43" i="2"/>
  <c r="AU107" i="2"/>
  <c r="AJ46" i="2"/>
  <c r="AU88" i="2"/>
  <c r="AG33" i="2"/>
  <c r="AQ77" i="2"/>
  <c r="AJ81" i="2"/>
  <c r="N57" i="2"/>
  <c r="Q115" i="2"/>
  <c r="AG94" i="2"/>
  <c r="Q116" i="2"/>
  <c r="X121" i="2"/>
  <c r="C62" i="2"/>
  <c r="AG104" i="2"/>
  <c r="AN85" i="2"/>
  <c r="X71" i="2"/>
  <c r="AE101" i="2"/>
  <c r="AN82" i="2"/>
  <c r="Q18" i="2"/>
  <c r="AE25" i="2"/>
  <c r="X91" i="2"/>
  <c r="AE22" i="2"/>
  <c r="AB41" i="2"/>
  <c r="AJ68" i="2"/>
  <c r="AE44" i="2"/>
  <c r="AE117" i="2"/>
  <c r="AQ17" i="2"/>
  <c r="AJ98" i="2"/>
  <c r="C101" i="2"/>
  <c r="Q19" i="2"/>
  <c r="AU29" i="2"/>
  <c r="AJ115" i="2"/>
  <c r="AG59" i="2"/>
  <c r="AJ119" i="2"/>
  <c r="AB101" i="2"/>
  <c r="AQ90" i="2"/>
  <c r="N91" i="2"/>
  <c r="AG108" i="2"/>
  <c r="X95" i="2"/>
  <c r="AJ117" i="2"/>
  <c r="N94" i="2"/>
  <c r="AE94" i="2"/>
  <c r="G74" i="2"/>
  <c r="D25" i="2"/>
  <c r="G93" i="2"/>
  <c r="D57" i="2"/>
  <c r="G19" i="2"/>
  <c r="D22" i="2"/>
  <c r="G66" i="2"/>
  <c r="G70" i="2"/>
  <c r="G112" i="2"/>
  <c r="G31" i="2"/>
  <c r="G37" i="2"/>
  <c r="D52" i="2"/>
  <c r="J99" i="2"/>
  <c r="C116" i="2"/>
  <c r="AN22" i="2"/>
  <c r="AJ27" i="2"/>
  <c r="C79" i="2"/>
  <c r="J84" i="2"/>
  <c r="Q122" i="2"/>
  <c r="N101" i="2"/>
  <c r="J64" i="2"/>
  <c r="X37" i="2"/>
  <c r="AN40" i="2"/>
  <c r="AE116" i="2"/>
  <c r="AG65" i="2"/>
  <c r="AJ56" i="2"/>
  <c r="Q23" i="2"/>
  <c r="N83" i="2"/>
  <c r="Q67" i="2"/>
  <c r="U44" i="2"/>
  <c r="J97" i="2"/>
  <c r="AQ38" i="2"/>
  <c r="AB76" i="2"/>
  <c r="AG21" i="2"/>
  <c r="AE24" i="2"/>
  <c r="AQ69" i="2"/>
  <c r="AJ94" i="2"/>
  <c r="AE58" i="2"/>
  <c r="C77" i="2"/>
  <c r="AG44" i="2"/>
  <c r="AN80" i="2"/>
  <c r="N63" i="2"/>
  <c r="N40" i="2"/>
  <c r="Q93" i="2"/>
  <c r="U82" i="2"/>
  <c r="AB44" i="2"/>
  <c r="AN100" i="2"/>
  <c r="AN111" i="2"/>
  <c r="AE73" i="2"/>
  <c r="AU115" i="2"/>
  <c r="X89" i="2"/>
  <c r="Q72" i="2"/>
  <c r="AB17" i="2"/>
  <c r="AG107" i="2"/>
  <c r="AG97" i="2"/>
  <c r="N50" i="2"/>
  <c r="AB105" i="2"/>
  <c r="C42" i="2"/>
  <c r="AJ51" i="2"/>
  <c r="N111" i="2"/>
  <c r="AN31" i="2"/>
  <c r="C18" i="2"/>
  <c r="C43" i="2"/>
  <c r="AU97" i="2"/>
  <c r="N55" i="2"/>
  <c r="AQ103" i="2"/>
  <c r="AJ111" i="2"/>
  <c r="X42" i="2"/>
  <c r="AN93" i="2"/>
  <c r="J70" i="2"/>
  <c r="AE16" i="2"/>
  <c r="AQ92" i="2"/>
  <c r="AN91" i="2"/>
  <c r="AN34" i="2"/>
  <c r="Q112" i="2"/>
  <c r="U60" i="2"/>
  <c r="AJ62" i="2"/>
  <c r="N19" i="2"/>
  <c r="AE20" i="2"/>
  <c r="N104" i="2"/>
  <c r="X50" i="2"/>
  <c r="U106" i="2"/>
  <c r="AN26" i="2"/>
  <c r="C39" i="2"/>
  <c r="Q109" i="2"/>
  <c r="J76" i="2"/>
  <c r="AJ78" i="2"/>
  <c r="AU109" i="2"/>
  <c r="AU65" i="2"/>
  <c r="AN55" i="2"/>
  <c r="X122" i="2"/>
  <c r="Q111" i="2"/>
  <c r="AB68" i="2"/>
  <c r="AQ70" i="2"/>
  <c r="U103" i="2"/>
  <c r="C68" i="2"/>
  <c r="X98" i="2"/>
  <c r="Q106" i="2"/>
  <c r="C70" i="2"/>
  <c r="AN105" i="2"/>
  <c r="Q40" i="2"/>
  <c r="C99" i="2"/>
  <c r="J88" i="2"/>
  <c r="AN38" i="2"/>
  <c r="X78" i="2"/>
  <c r="Q87" i="2"/>
  <c r="AB119" i="2"/>
  <c r="U30" i="2"/>
  <c r="N80" i="2"/>
  <c r="X20" i="2"/>
  <c r="AU19" i="2"/>
  <c r="AN96" i="2"/>
  <c r="AB118" i="2"/>
  <c r="J71" i="2"/>
  <c r="AB103" i="2"/>
  <c r="AJ102" i="2"/>
  <c r="AU40" i="2"/>
  <c r="AN110" i="2"/>
  <c r="AG88" i="2"/>
  <c r="J50" i="2"/>
  <c r="AJ47" i="2"/>
  <c r="AN118" i="2"/>
  <c r="N79" i="2"/>
  <c r="AQ49" i="2"/>
  <c r="AU119" i="2"/>
  <c r="AQ114" i="2"/>
  <c r="AG92" i="2"/>
  <c r="AB30" i="2"/>
  <c r="C95" i="2"/>
  <c r="X113" i="2"/>
  <c r="U71" i="2"/>
  <c r="J56" i="2"/>
  <c r="C109" i="2"/>
  <c r="N49" i="2"/>
  <c r="AG83" i="2"/>
  <c r="C60" i="2"/>
  <c r="N45" i="2"/>
  <c r="AG111" i="2"/>
  <c r="AB112" i="2"/>
  <c r="AB74" i="2"/>
  <c r="N15" i="2"/>
  <c r="Q105" i="2"/>
  <c r="J40" i="2"/>
  <c r="X18" i="2"/>
  <c r="AE65" i="2"/>
  <c r="AG82" i="2"/>
  <c r="Q114" i="2"/>
  <c r="AN27" i="2"/>
  <c r="AU35" i="2"/>
  <c r="X86" i="2"/>
  <c r="U73" i="2"/>
  <c r="AG37" i="2"/>
  <c r="AG122" i="2"/>
  <c r="AE40" i="2"/>
  <c r="AN39" i="2"/>
  <c r="J90" i="2"/>
  <c r="Q88" i="2"/>
  <c r="C84" i="2"/>
  <c r="AG46" i="2"/>
  <c r="AQ72" i="2"/>
  <c r="N71" i="2"/>
  <c r="X93" i="2"/>
  <c r="AE82" i="2"/>
  <c r="U109" i="2"/>
  <c r="J39" i="2"/>
  <c r="Q83" i="2"/>
  <c r="AG25" i="2"/>
  <c r="Q39" i="2"/>
  <c r="J114" i="2"/>
  <c r="U75" i="2"/>
  <c r="U78" i="2"/>
  <c r="AB15" i="2"/>
  <c r="J74" i="2"/>
  <c r="AN112" i="2"/>
  <c r="AR4" i="2"/>
  <c r="AB120" i="2"/>
  <c r="U19" i="2"/>
  <c r="U49" i="2"/>
  <c r="C49" i="2"/>
  <c r="U121" i="2"/>
  <c r="U24" i="2"/>
  <c r="C36" i="2"/>
  <c r="Q41" i="2"/>
  <c r="Q61" i="2"/>
  <c r="AG50" i="2"/>
  <c r="U15" i="2"/>
  <c r="J77" i="2"/>
  <c r="AU104" i="2"/>
  <c r="AN62" i="2"/>
  <c r="D20" i="2"/>
  <c r="G119" i="2"/>
  <c r="G117" i="2"/>
  <c r="D27" i="2"/>
  <c r="G45" i="2"/>
  <c r="D17" i="2"/>
  <c r="G91" i="2"/>
  <c r="G82" i="2"/>
  <c r="G63" i="2"/>
  <c r="D53" i="2"/>
  <c r="G89" i="2"/>
  <c r="D34" i="2"/>
  <c r="D42" i="2"/>
  <c r="G71" i="2"/>
  <c r="G73" i="2"/>
  <c r="G118" i="2"/>
  <c r="G96" i="2"/>
  <c r="D44" i="2"/>
  <c r="D41" i="2"/>
  <c r="G61" i="2"/>
  <c r="G25" i="2"/>
  <c r="D39" i="2"/>
  <c r="G78" i="2"/>
  <c r="G105" i="2"/>
  <c r="D31" i="2"/>
  <c r="G49" i="2"/>
  <c r="G76" i="2"/>
  <c r="G48" i="2"/>
  <c r="G109" i="2"/>
  <c r="D38" i="2"/>
  <c r="D56" i="2"/>
  <c r="G81" i="2"/>
  <c r="G42" i="2"/>
  <c r="G40" i="2"/>
  <c r="D4" i="2"/>
  <c r="G122" i="2"/>
  <c r="U101" i="2"/>
  <c r="G94" i="2"/>
  <c r="G60" i="2"/>
  <c r="D18" i="2"/>
  <c r="G55" i="2"/>
  <c r="G35" i="2"/>
  <c r="D16" i="2"/>
  <c r="D46" i="2"/>
  <c r="D45" i="2"/>
  <c r="D21" i="2"/>
  <c r="G102" i="2"/>
  <c r="G47" i="2"/>
  <c r="G101" i="2"/>
  <c r="G92" i="2"/>
  <c r="X39" i="2"/>
  <c r="N21" i="2"/>
  <c r="AJ42" i="2"/>
  <c r="AU100" i="2"/>
  <c r="AJ41" i="2"/>
  <c r="AE69" i="2"/>
  <c r="AE67" i="2"/>
  <c r="AB23" i="2"/>
  <c r="AJ89" i="2"/>
  <c r="N75" i="2"/>
  <c r="AQ19" i="2"/>
  <c r="Q17" i="2"/>
  <c r="R4" i="2"/>
  <c r="U115" i="2"/>
  <c r="J73" i="2"/>
  <c r="X75" i="2"/>
  <c r="AN66" i="2"/>
  <c r="U56" i="2"/>
  <c r="AU108" i="2"/>
  <c r="AG71" i="2"/>
  <c r="X46" i="2"/>
  <c r="Q74" i="2"/>
  <c r="Q31" i="2"/>
  <c r="Q64" i="2"/>
  <c r="AQ29" i="2"/>
  <c r="AG113" i="2"/>
  <c r="AJ39" i="2"/>
  <c r="J31" i="2"/>
  <c r="AU95" i="2"/>
  <c r="AJ71" i="2"/>
  <c r="AJ16" i="2"/>
  <c r="AQ63" i="2"/>
  <c r="AJ104" i="2"/>
  <c r="N51" i="2"/>
  <c r="N38" i="2"/>
  <c r="AE81" i="2"/>
  <c r="Q58" i="2"/>
  <c r="AQ113" i="2"/>
  <c r="AE54" i="2"/>
  <c r="AN103" i="2"/>
  <c r="J80" i="2"/>
  <c r="X73" i="2"/>
  <c r="N33" i="2"/>
  <c r="N20" i="2"/>
  <c r="AJ37" i="2"/>
  <c r="AQ121" i="2"/>
  <c r="C91" i="2"/>
  <c r="J24" i="2"/>
  <c r="X107" i="2"/>
  <c r="J23" i="2"/>
  <c r="AB108" i="2"/>
  <c r="U84" i="2"/>
  <c r="AU79" i="2"/>
  <c r="AQ37" i="2"/>
  <c r="U74" i="2"/>
  <c r="AQ76" i="2"/>
  <c r="AE19" i="2"/>
  <c r="J60" i="2"/>
  <c r="AJ17" i="2"/>
  <c r="X29" i="2"/>
  <c r="N69" i="2"/>
  <c r="U59" i="2"/>
  <c r="AE64" i="2"/>
  <c r="Q108" i="2"/>
  <c r="C112" i="2"/>
  <c r="AU94" i="2"/>
  <c r="AG47" i="2"/>
  <c r="Q94" i="2"/>
  <c r="AB88" i="2"/>
  <c r="Q37" i="2"/>
  <c r="U39" i="2"/>
  <c r="N78" i="2"/>
  <c r="AU86" i="2"/>
  <c r="X31" i="2"/>
  <c r="U95" i="2"/>
  <c r="X99" i="2"/>
  <c r="AQ27" i="2"/>
  <c r="AG84" i="2"/>
  <c r="AU15" i="2"/>
  <c r="AJ53" i="2"/>
  <c r="AQ22" i="2"/>
  <c r="C102" i="2"/>
  <c r="X59" i="2"/>
  <c r="AB122" i="2"/>
  <c r="U43" i="2"/>
  <c r="AN42" i="2"/>
  <c r="N90" i="2"/>
  <c r="AJ63" i="2"/>
  <c r="AE56" i="2"/>
  <c r="AJ32" i="2"/>
  <c r="U85" i="2"/>
  <c r="N100" i="2"/>
  <c r="AG49" i="2"/>
  <c r="AU45" i="2"/>
  <c r="AE100" i="2"/>
  <c r="N41" i="2"/>
  <c r="AE68" i="2"/>
  <c r="AU51" i="2"/>
  <c r="J118" i="2"/>
  <c r="U76" i="2"/>
  <c r="AB65" i="2"/>
  <c r="AU31" i="2"/>
  <c r="AE119" i="2"/>
  <c r="AU64" i="2"/>
  <c r="U105" i="2"/>
  <c r="AE41" i="2"/>
  <c r="AE105" i="2"/>
  <c r="AU23" i="2"/>
  <c r="AN45" i="2"/>
  <c r="AJ33" i="2"/>
  <c r="AG74" i="2"/>
  <c r="AU87" i="2"/>
  <c r="AQ86" i="2"/>
  <c r="N37" i="2"/>
  <c r="AU101" i="2"/>
  <c r="AB37" i="2"/>
  <c r="AE55" i="2"/>
  <c r="AE31" i="2"/>
  <c r="AG106" i="2"/>
  <c r="N53" i="2"/>
  <c r="AQ53" i="2"/>
  <c r="AE79" i="2"/>
  <c r="AN41" i="2"/>
  <c r="N116" i="2"/>
  <c r="AN77" i="2"/>
  <c r="AE42" i="2"/>
  <c r="J30" i="2"/>
  <c r="U21" i="2"/>
  <c r="AN88" i="2"/>
  <c r="Q62" i="2"/>
  <c r="AE87" i="2"/>
  <c r="AG87" i="2"/>
  <c r="N117" i="2"/>
  <c r="AN87" i="2"/>
  <c r="J120" i="2"/>
  <c r="AG118" i="2"/>
  <c r="AJ91" i="2"/>
  <c r="AE71" i="2"/>
  <c r="X87" i="2"/>
  <c r="AQ45" i="2"/>
  <c r="Q66" i="2"/>
  <c r="AJ20" i="2"/>
  <c r="AJ21" i="2"/>
  <c r="AJ24" i="2"/>
  <c r="J49" i="2"/>
  <c r="X45" i="2"/>
  <c r="C52" i="2"/>
  <c r="AU49" i="2"/>
  <c r="U25" i="2"/>
  <c r="Q100" i="2"/>
  <c r="AQ111" i="2"/>
  <c r="AG78" i="2"/>
  <c r="N99" i="2"/>
  <c r="AG70" i="2"/>
  <c r="AG40" i="2"/>
  <c r="N27" i="2"/>
  <c r="AJ100" i="2"/>
  <c r="AN49" i="2"/>
  <c r="AN115" i="2"/>
  <c r="X102" i="2"/>
  <c r="AQ83" i="2"/>
  <c r="AG26" i="2"/>
  <c r="Q118" i="2"/>
  <c r="J44" i="2"/>
  <c r="AQ88" i="2"/>
  <c r="J89" i="2"/>
  <c r="AQ44" i="2"/>
  <c r="AN17" i="2"/>
  <c r="AG90" i="2"/>
  <c r="C21" i="2"/>
  <c r="U68" i="2"/>
  <c r="X117" i="2"/>
  <c r="AQ36" i="2"/>
  <c r="Q107" i="2"/>
  <c r="U77" i="2"/>
  <c r="N31" i="2"/>
  <c r="U33" i="2"/>
  <c r="X17" i="2"/>
  <c r="Q119" i="2"/>
  <c r="N85" i="2"/>
  <c r="AU46" i="2"/>
  <c r="AE111" i="2"/>
  <c r="AE118" i="2"/>
  <c r="N72" i="2"/>
  <c r="G29" i="2"/>
  <c r="G20" i="2"/>
  <c r="G120" i="2"/>
  <c r="AG31" i="2"/>
  <c r="AG91" i="2"/>
  <c r="AE36" i="2"/>
  <c r="AB34" i="2"/>
  <c r="AU24" i="2"/>
  <c r="AG32" i="2"/>
  <c r="AG76" i="2"/>
  <c r="AN15" i="2"/>
  <c r="AB46" i="2"/>
  <c r="N97" i="2"/>
  <c r="U41" i="2"/>
  <c r="AQ47" i="2"/>
  <c r="X66" i="2"/>
  <c r="AJ109" i="2"/>
  <c r="AU56" i="2"/>
  <c r="AJ65" i="2"/>
  <c r="X60" i="2"/>
  <c r="AG121" i="2"/>
  <c r="AU50" i="2"/>
  <c r="J62" i="2"/>
  <c r="AE86" i="2"/>
  <c r="X119" i="2"/>
  <c r="AG64" i="2"/>
  <c r="AQ87" i="2"/>
  <c r="J45" i="2"/>
  <c r="C113" i="2"/>
  <c r="X110" i="2"/>
  <c r="AB63" i="2"/>
  <c r="U28" i="2"/>
  <c r="AG112" i="2"/>
  <c r="X85" i="2"/>
  <c r="AE23" i="2"/>
  <c r="AN69" i="2"/>
  <c r="AG67" i="2"/>
  <c r="AU71" i="2"/>
  <c r="Q117" i="2"/>
  <c r="AE32" i="2"/>
  <c r="U83" i="2"/>
  <c r="AU32" i="2"/>
  <c r="AN84" i="2"/>
  <c r="AU106" i="2"/>
  <c r="AE97" i="2"/>
  <c r="AN21" i="2"/>
  <c r="AG17" i="2"/>
  <c r="X58" i="2"/>
  <c r="AE99" i="2"/>
  <c r="AE51" i="2"/>
  <c r="J117" i="2"/>
  <c r="AN121" i="2"/>
  <c r="AE112" i="2"/>
  <c r="J18" i="2"/>
  <c r="C107" i="2"/>
  <c r="AG120" i="2"/>
  <c r="J115" i="2"/>
  <c r="N66" i="2"/>
  <c r="AB26" i="2"/>
  <c r="AJ87" i="2"/>
  <c r="AQ122" i="2"/>
  <c r="AN120" i="2"/>
  <c r="AU58" i="2"/>
  <c r="N43" i="2"/>
  <c r="AJ72" i="2"/>
  <c r="N65" i="2"/>
  <c r="AE34" i="2"/>
  <c r="Q53" i="2"/>
  <c r="N121" i="2"/>
  <c r="AE91" i="2"/>
  <c r="N16" i="2"/>
  <c r="X74" i="2"/>
  <c r="AB89" i="2"/>
  <c r="AB25" i="2"/>
  <c r="AQ79" i="2"/>
  <c r="J109" i="2"/>
  <c r="AB42" i="2"/>
  <c r="AQ110" i="2"/>
  <c r="AQ42" i="2"/>
  <c r="AB59" i="2"/>
  <c r="AG66" i="2"/>
  <c r="AN24" i="2"/>
  <c r="J28" i="2"/>
  <c r="AJ83" i="2"/>
  <c r="C26" i="2"/>
  <c r="J92" i="2"/>
  <c r="AJ52" i="2"/>
  <c r="AN101" i="2"/>
  <c r="AQ59" i="2"/>
  <c r="AU61" i="2"/>
  <c r="AQ95" i="2"/>
  <c r="AG105" i="2"/>
  <c r="C32" i="2"/>
  <c r="C29" i="2"/>
  <c r="U61" i="2"/>
  <c r="AJ30" i="2"/>
  <c r="J43" i="2"/>
  <c r="Q113" i="2"/>
  <c r="AG79" i="2"/>
  <c r="C78" i="2"/>
  <c r="AJ43" i="2"/>
  <c r="N42" i="2"/>
  <c r="C88" i="2"/>
  <c r="AQ68" i="2"/>
  <c r="AJ35" i="2"/>
  <c r="J121" i="2"/>
  <c r="AE48" i="2"/>
  <c r="AB49" i="2"/>
  <c r="AE33" i="2"/>
  <c r="Q25" i="2"/>
  <c r="AB107" i="2"/>
  <c r="U26" i="2"/>
  <c r="AU116" i="2"/>
  <c r="C41" i="2"/>
  <c r="X82" i="2"/>
  <c r="AB50" i="2"/>
  <c r="J17" i="2"/>
  <c r="J72" i="2"/>
  <c r="Q81" i="2"/>
  <c r="J16" i="2"/>
  <c r="Q75" i="2"/>
  <c r="U90" i="2"/>
  <c r="Q26" i="2"/>
  <c r="N68" i="2"/>
  <c r="AQ67" i="2"/>
  <c r="AG110" i="2"/>
  <c r="AQ57" i="2"/>
  <c r="J22" i="2"/>
  <c r="X16" i="2"/>
  <c r="C28" i="2"/>
  <c r="J51" i="2"/>
  <c r="U50" i="2"/>
  <c r="AG51" i="2"/>
  <c r="X38" i="2"/>
  <c r="AN44" i="2"/>
  <c r="AJ95" i="2"/>
  <c r="U45" i="2"/>
  <c r="AE28" i="2"/>
  <c r="AN46" i="2"/>
  <c r="N22" i="2"/>
  <c r="Q36" i="2"/>
  <c r="J25" i="2"/>
  <c r="J93" i="2"/>
  <c r="U122" i="2"/>
  <c r="AU44" i="2"/>
  <c r="AU63" i="2"/>
  <c r="AB19" i="2"/>
  <c r="J65" i="2"/>
  <c r="AG22" i="2"/>
  <c r="AE96" i="2"/>
  <c r="AN89" i="2"/>
  <c r="X57" i="2"/>
  <c r="Q82" i="2"/>
  <c r="U31" i="2"/>
  <c r="C45" i="2"/>
  <c r="AB121" i="2"/>
  <c r="AB102" i="2"/>
  <c r="X33" i="2"/>
  <c r="AU66" i="2"/>
  <c r="AQ71" i="2"/>
  <c r="AG16" i="2"/>
  <c r="Q59" i="2"/>
  <c r="AB97" i="2"/>
  <c r="N98" i="2"/>
  <c r="U20" i="2"/>
  <c r="AE83" i="2"/>
  <c r="AB57" i="2"/>
  <c r="AG115" i="2"/>
  <c r="C30" i="2"/>
  <c r="AE75" i="2"/>
  <c r="AQ112" i="2"/>
  <c r="X27" i="2"/>
  <c r="AE18" i="2"/>
  <c r="J47" i="2"/>
  <c r="AU59" i="2"/>
  <c r="AN106" i="2"/>
  <c r="J46" i="2"/>
  <c r="J79" i="2"/>
  <c r="AB99" i="2"/>
  <c r="G97" i="2"/>
  <c r="G100" i="2"/>
  <c r="G111" i="2"/>
  <c r="G52" i="2"/>
  <c r="G113" i="2"/>
  <c r="G79" i="2"/>
  <c r="G75" i="2"/>
  <c r="N73" i="2"/>
  <c r="AB71" i="2"/>
  <c r="J27" i="2"/>
  <c r="AU57" i="2"/>
  <c r="AU25" i="2"/>
  <c r="X51" i="2"/>
  <c r="J96" i="2"/>
  <c r="AE72" i="2"/>
  <c r="AE103" i="2"/>
  <c r="Q91" i="2"/>
  <c r="AE60" i="2"/>
  <c r="J36" i="2"/>
  <c r="AJ50" i="2"/>
  <c r="AB58" i="2"/>
  <c r="AE104" i="2"/>
  <c r="AB38" i="2"/>
  <c r="C27" i="2"/>
  <c r="AJ116" i="2"/>
  <c r="AE59" i="2"/>
  <c r="U110" i="2"/>
  <c r="Q65" i="2"/>
  <c r="AG60" i="2"/>
  <c r="C81" i="2"/>
  <c r="AQ32" i="2"/>
  <c r="AB62" i="2"/>
  <c r="X118" i="2"/>
  <c r="AQ40" i="2"/>
  <c r="AE80" i="2"/>
  <c r="AE95" i="2"/>
  <c r="Q34" i="2"/>
  <c r="AJ101" i="2"/>
  <c r="X88" i="2"/>
  <c r="J107" i="2"/>
  <c r="X35" i="2"/>
  <c r="Q32" i="2"/>
  <c r="AJ121" i="2"/>
  <c r="AU72" i="2"/>
  <c r="AQ119" i="2"/>
  <c r="AN32" i="2"/>
  <c r="C90" i="2"/>
  <c r="J100" i="2"/>
  <c r="X22" i="2"/>
  <c r="AJ36" i="2"/>
  <c r="Q79" i="2"/>
  <c r="Q121" i="2"/>
  <c r="AN43" i="2"/>
  <c r="AN20" i="2"/>
  <c r="AU73" i="2"/>
  <c r="AN36" i="2"/>
  <c r="AK4" i="2"/>
  <c r="AE70" i="2"/>
  <c r="AG62" i="2"/>
  <c r="AJ38" i="2"/>
  <c r="Q38" i="2"/>
  <c r="N30" i="2"/>
  <c r="AE38" i="2"/>
  <c r="AB55" i="2"/>
  <c r="AJ48" i="2"/>
  <c r="U111" i="2"/>
  <c r="X41" i="2"/>
  <c r="J63" i="2"/>
  <c r="AJ107" i="2"/>
  <c r="Q15" i="2"/>
  <c r="U112" i="2"/>
  <c r="U29" i="2"/>
  <c r="AJ112" i="2"/>
  <c r="AU102" i="2"/>
  <c r="AE35" i="2"/>
  <c r="AE84" i="2"/>
  <c r="AG80" i="2"/>
  <c r="AB117" i="2"/>
  <c r="AQ34" i="2"/>
  <c r="N109" i="2"/>
  <c r="C61" i="2"/>
  <c r="J69" i="2"/>
  <c r="J54" i="2"/>
  <c r="C47" i="2"/>
  <c r="AG109" i="2"/>
  <c r="AG43" i="2"/>
  <c r="AN78" i="2"/>
  <c r="AG114" i="2"/>
  <c r="AB95" i="2"/>
  <c r="U57" i="2"/>
  <c r="AJ84" i="2"/>
  <c r="X52" i="2"/>
  <c r="AQ75" i="2"/>
  <c r="AJ59" i="2"/>
  <c r="X44" i="2"/>
  <c r="AG117" i="2"/>
  <c r="AG73" i="2"/>
  <c r="Q42" i="2"/>
  <c r="AG102" i="2"/>
  <c r="AN86" i="2"/>
  <c r="AB104" i="2"/>
  <c r="U72" i="2"/>
  <c r="AN61" i="2"/>
  <c r="Q90" i="2"/>
  <c r="AB32" i="2"/>
  <c r="AN104" i="2"/>
  <c r="AB70" i="2"/>
  <c r="AU96" i="2"/>
  <c r="AQ28" i="2"/>
  <c r="N102" i="2"/>
  <c r="AB60" i="2"/>
  <c r="AE113" i="2"/>
  <c r="AQ55" i="2"/>
  <c r="AU67" i="2"/>
  <c r="X84" i="2"/>
  <c r="N103" i="2"/>
  <c r="AB29" i="2"/>
  <c r="AE43" i="2"/>
  <c r="AJ69" i="2"/>
  <c r="AJ49" i="2"/>
  <c r="AB56" i="2"/>
  <c r="AU122" i="2"/>
  <c r="AJ29" i="2"/>
  <c r="AB77" i="2"/>
  <c r="C119" i="2"/>
  <c r="C75" i="2"/>
  <c r="Q43" i="2"/>
  <c r="AG72" i="2"/>
  <c r="J66" i="2"/>
  <c r="AJ82" i="2"/>
  <c r="U17" i="2"/>
  <c r="U16" i="2"/>
  <c r="AG55" i="2"/>
  <c r="N89" i="2"/>
  <c r="C69" i="2"/>
  <c r="AU91" i="2"/>
  <c r="AQ84" i="2"/>
  <c r="AB73" i="2"/>
  <c r="AG28" i="2"/>
  <c r="J95" i="2"/>
  <c r="AB67" i="2"/>
  <c r="AU89" i="2"/>
  <c r="J91" i="2"/>
  <c r="Q97" i="2"/>
  <c r="C59" i="2"/>
  <c r="AN63" i="2"/>
  <c r="AQ54" i="2"/>
  <c r="AN60" i="2"/>
  <c r="N86" i="2"/>
  <c r="Q84" i="2"/>
  <c r="X63" i="2"/>
  <c r="AG29" i="2"/>
  <c r="U23" i="2"/>
  <c r="AQ50" i="2"/>
  <c r="AE61" i="2"/>
  <c r="AU78" i="2"/>
  <c r="Q80" i="2"/>
  <c r="Q16" i="2"/>
  <c r="AU62" i="2"/>
  <c r="C111" i="2"/>
  <c r="U93" i="2"/>
  <c r="AE30" i="2"/>
  <c r="AJ75" i="2"/>
  <c r="J106" i="2"/>
  <c r="AB85" i="2"/>
  <c r="C25" i="2"/>
  <c r="AJ54" i="2"/>
  <c r="U108" i="2"/>
  <c r="AB51" i="2"/>
  <c r="AU76" i="2"/>
  <c r="AN33" i="2"/>
  <c r="AU20" i="2"/>
  <c r="C23" i="2"/>
  <c r="J58" i="2"/>
  <c r="C115" i="2"/>
  <c r="AQ64" i="2"/>
  <c r="AG96" i="2"/>
  <c r="AQ35" i="2"/>
  <c r="X21" i="2"/>
  <c r="AG23" i="2"/>
  <c r="AG99" i="2"/>
  <c r="AN28" i="2"/>
  <c r="AQ16" i="2"/>
  <c r="D55" i="2"/>
  <c r="G88" i="2"/>
  <c r="G16" i="2"/>
  <c r="G46" i="2"/>
  <c r="G26" i="2"/>
  <c r="G18" i="2"/>
  <c r="D49" i="2"/>
  <c r="G59" i="2"/>
  <c r="G21" i="2"/>
  <c r="G86" i="2"/>
  <c r="G85" i="2"/>
  <c r="G36" i="2"/>
  <c r="D54" i="2"/>
  <c r="G67" i="2"/>
  <c r="G15" i="2"/>
  <c r="G108" i="2"/>
  <c r="D50" i="2"/>
  <c r="G80" i="2"/>
  <c r="D61" i="2"/>
  <c r="G72" i="2"/>
  <c r="AE45" i="2"/>
  <c r="AE98" i="2"/>
  <c r="J119" i="2"/>
  <c r="AE47" i="2"/>
  <c r="AE63" i="2"/>
  <c r="Q71" i="2"/>
  <c r="AG68" i="2"/>
  <c r="AE27" i="2"/>
  <c r="N18" i="2"/>
  <c r="C121" i="2"/>
  <c r="AE106" i="2"/>
  <c r="AB93" i="2"/>
  <c r="AE37" i="2"/>
  <c r="AU117" i="2"/>
  <c r="C44" i="2"/>
  <c r="AN99" i="2"/>
  <c r="AN116" i="2"/>
  <c r="U70" i="2"/>
  <c r="AJ106" i="2"/>
  <c r="AE121" i="2"/>
  <c r="AJ85" i="2"/>
  <c r="C122" i="2"/>
  <c r="U42" i="2"/>
  <c r="N67" i="2"/>
  <c r="U65" i="2"/>
  <c r="AG103" i="2"/>
  <c r="AJ96" i="2"/>
  <c r="AE66" i="2"/>
  <c r="AN108" i="2"/>
  <c r="AQ21" i="2"/>
  <c r="N115" i="2"/>
  <c r="J94" i="2"/>
  <c r="AG41" i="2"/>
  <c r="AG85" i="2"/>
  <c r="AJ45" i="2"/>
  <c r="AU26" i="2"/>
  <c r="AG54" i="2"/>
  <c r="Q30" i="2"/>
  <c r="AQ116" i="2"/>
  <c r="AJ34" i="2"/>
  <c r="AN98" i="2"/>
  <c r="AB72" i="2"/>
  <c r="J101" i="2"/>
  <c r="AQ66" i="2"/>
  <c r="AG69" i="2"/>
  <c r="X108" i="2"/>
  <c r="J20" i="2"/>
  <c r="AU118" i="2"/>
  <c r="X19" i="2"/>
  <c r="U102" i="2"/>
  <c r="U89" i="2"/>
  <c r="AB21" i="2"/>
  <c r="AJ97" i="2"/>
  <c r="AJ108" i="2"/>
  <c r="C51" i="2"/>
  <c r="Q92" i="2"/>
  <c r="X104" i="2"/>
  <c r="N107" i="2"/>
  <c r="AN119" i="2"/>
  <c r="Q29" i="2"/>
  <c r="AE92" i="2"/>
  <c r="AE21" i="2"/>
  <c r="AQ61" i="2"/>
  <c r="U53" i="2"/>
  <c r="J105" i="2"/>
  <c r="AU38" i="2"/>
  <c r="AG95" i="2"/>
  <c r="C71" i="2"/>
  <c r="AN122" i="2"/>
  <c r="N28" i="2"/>
  <c r="AN67" i="2"/>
  <c r="N25" i="2"/>
  <c r="J41" i="2"/>
  <c r="C118" i="2"/>
  <c r="AN52" i="2"/>
  <c r="AU39" i="2"/>
  <c r="AQ115" i="2"/>
  <c r="J21" i="2"/>
  <c r="AU93" i="2"/>
  <c r="C37" i="2"/>
  <c r="AU54" i="2"/>
  <c r="AQ60" i="2"/>
  <c r="AU121" i="2"/>
  <c r="AQ85" i="2"/>
  <c r="AQ18" i="2"/>
  <c r="U51" i="2"/>
  <c r="U35" i="2"/>
  <c r="AG42" i="2"/>
  <c r="AN56" i="2"/>
  <c r="X55" i="2"/>
  <c r="C97" i="2"/>
  <c r="AN75" i="2"/>
  <c r="AE46" i="2"/>
  <c r="AB54" i="2"/>
  <c r="AG75" i="2"/>
  <c r="AE76" i="2"/>
  <c r="AN30" i="2"/>
  <c r="X90" i="2"/>
  <c r="AQ104" i="2"/>
  <c r="C94" i="2"/>
  <c r="C89" i="2"/>
  <c r="X65" i="2"/>
  <c r="J33" i="2"/>
  <c r="AN65" i="2"/>
  <c r="AG61" i="2"/>
  <c r="U107" i="2"/>
  <c r="C40" i="2"/>
  <c r="AE90" i="2"/>
  <c r="AQ48" i="2"/>
  <c r="AE57" i="2"/>
  <c r="AU43" i="2"/>
  <c r="AE89" i="2"/>
  <c r="AU83" i="2"/>
  <c r="U81" i="2"/>
  <c r="AN57" i="2"/>
  <c r="Q45" i="2"/>
  <c r="AU16" i="2"/>
  <c r="J122" i="2"/>
  <c r="AG38" i="2"/>
  <c r="AB31" i="2"/>
  <c r="U86" i="2"/>
  <c r="Q99" i="2"/>
  <c r="AN58" i="2"/>
  <c r="J32" i="2"/>
  <c r="U79" i="2"/>
  <c r="Q49" i="2"/>
  <c r="AJ19" i="2"/>
  <c r="AG39" i="2"/>
  <c r="Q22" i="2"/>
  <c r="AU103" i="2"/>
  <c r="C53" i="2"/>
  <c r="AG24" i="2"/>
  <c r="C103" i="2"/>
  <c r="AU82" i="2"/>
  <c r="C46" i="2"/>
  <c r="J55" i="2"/>
  <c r="AJ99" i="2"/>
  <c r="AU41" i="2"/>
  <c r="AU111" i="2"/>
  <c r="AJ31" i="2"/>
  <c r="AQ74" i="2"/>
  <c r="AB43" i="2"/>
  <c r="AQ52" i="2"/>
  <c r="AQ91" i="2"/>
  <c r="AJ55" i="2"/>
  <c r="AN18" i="2"/>
  <c r="AN50" i="2"/>
  <c r="AU113" i="2"/>
  <c r="AG15" i="2"/>
  <c r="AN83" i="2"/>
  <c r="N84" i="2"/>
  <c r="C106" i="2"/>
  <c r="AQ41" i="2"/>
  <c r="C74" i="2"/>
  <c r="U64" i="2"/>
  <c r="Q70" i="2"/>
  <c r="AG56" i="2"/>
  <c r="J103" i="2"/>
  <c r="U97" i="2"/>
  <c r="N81" i="2"/>
  <c r="AJ23" i="2"/>
  <c r="AG77" i="2"/>
  <c r="AU37" i="2"/>
  <c r="AG36" i="2"/>
  <c r="AG81" i="2"/>
  <c r="C55" i="2"/>
  <c r="J85" i="2"/>
  <c r="AJ61" i="2"/>
  <c r="AJ74" i="2"/>
  <c r="AN53" i="2"/>
  <c r="AB20" i="2"/>
  <c r="AQ23" i="2"/>
  <c r="AU55" i="2"/>
  <c r="AQ98" i="2"/>
  <c r="AU27" i="2"/>
  <c r="AJ57" i="2"/>
  <c r="K4" i="2"/>
  <c r="AB116" i="2"/>
  <c r="AU22" i="2"/>
  <c r="N112" i="2"/>
  <c r="AB36" i="2"/>
  <c r="AQ58" i="2"/>
  <c r="AE109" i="2"/>
  <c r="AJ105" i="2"/>
  <c r="X100" i="2"/>
  <c r="AB91" i="2"/>
  <c r="X112" i="2"/>
  <c r="X81" i="2"/>
  <c r="AG18" i="2"/>
  <c r="AB52" i="2"/>
  <c r="AG93" i="2"/>
  <c r="AE74" i="2"/>
  <c r="U40" i="2"/>
  <c r="C92" i="2"/>
  <c r="Q95" i="2"/>
  <c r="AU36" i="2"/>
  <c r="J67" i="2"/>
  <c r="AB81" i="2"/>
  <c r="AJ67" i="2"/>
  <c r="AG98" i="2"/>
  <c r="AB115" i="2"/>
  <c r="J59" i="2"/>
  <c r="AQ26" i="2"/>
  <c r="AQ94" i="2"/>
  <c r="AE52" i="2"/>
  <c r="J102" i="2"/>
  <c r="AB64" i="2"/>
  <c r="J15" i="2"/>
  <c r="Q20" i="2"/>
  <c r="AB66" i="2"/>
  <c r="Y4" i="2"/>
  <c r="AQ105" i="2"/>
  <c r="AE115" i="2"/>
  <c r="X115" i="2"/>
  <c r="AQ107" i="2"/>
  <c r="N64" i="2"/>
  <c r="Q78" i="2"/>
  <c r="AQ39" i="2"/>
  <c r="Q35" i="2"/>
  <c r="AU98" i="2"/>
  <c r="C72" i="2"/>
  <c r="X114" i="2"/>
  <c r="U18" i="2"/>
  <c r="U69" i="2"/>
  <c r="X96" i="2"/>
  <c r="Q47" i="2"/>
  <c r="Q55" i="2"/>
  <c r="AG119" i="2"/>
  <c r="J19" i="2"/>
  <c r="AQ31" i="2"/>
  <c r="AN117" i="2"/>
  <c r="AQ30" i="2"/>
  <c r="AB78" i="2"/>
  <c r="U98" i="2"/>
  <c r="AB47" i="2"/>
  <c r="G68" i="2"/>
  <c r="D24" i="2"/>
  <c r="G106" i="2"/>
  <c r="G17" i="2"/>
  <c r="G99" i="2"/>
  <c r="D32" i="2"/>
  <c r="G121" i="2"/>
  <c r="D59" i="2"/>
  <c r="G22" i="2"/>
  <c r="G103" i="2"/>
  <c r="G53" i="2"/>
  <c r="G56" i="2"/>
  <c r="G41" i="2"/>
  <c r="G69" i="2"/>
  <c r="G32" i="2"/>
  <c r="G77" i="2"/>
  <c r="G30" i="2"/>
  <c r="G33" i="2"/>
  <c r="D35" i="2"/>
  <c r="AQ80" i="2"/>
  <c r="AG100" i="2"/>
  <c r="AE53" i="2"/>
  <c r="X23" i="2"/>
  <c r="AU80" i="2"/>
  <c r="Q98" i="2"/>
  <c r="Q21" i="2"/>
  <c r="N24" i="2"/>
  <c r="AB79" i="2"/>
  <c r="AJ90" i="2"/>
  <c r="J57" i="2"/>
  <c r="C64" i="2"/>
  <c r="AE39" i="2"/>
  <c r="AQ102" i="2"/>
  <c r="X49" i="2"/>
  <c r="AN47" i="2"/>
  <c r="AQ81" i="2"/>
  <c r="AN23" i="2"/>
  <c r="N61" i="2"/>
  <c r="J53" i="2"/>
  <c r="AJ40" i="2"/>
  <c r="N87" i="2"/>
  <c r="J38" i="2"/>
  <c r="AU120" i="2"/>
  <c r="AU52" i="2"/>
  <c r="AJ15" i="2"/>
  <c r="AU53" i="2"/>
  <c r="AE17" i="2"/>
  <c r="N77" i="2"/>
  <c r="N74" i="2"/>
  <c r="AQ62" i="2"/>
  <c r="Q52" i="2"/>
  <c r="N36" i="2"/>
  <c r="AJ113" i="2"/>
  <c r="AN72" i="2"/>
  <c r="AB92" i="2"/>
  <c r="C98" i="2"/>
  <c r="U67" i="2"/>
  <c r="AE108" i="2"/>
  <c r="AN94" i="2"/>
  <c r="C63" i="2"/>
  <c r="X34" i="2"/>
  <c r="AU77" i="2"/>
  <c r="Q73" i="2"/>
  <c r="Q28" i="2"/>
  <c r="AU110" i="2"/>
  <c r="U114" i="2"/>
  <c r="X106" i="2"/>
  <c r="AB110" i="2"/>
  <c r="AJ79" i="2"/>
  <c r="AB22" i="2"/>
  <c r="J75" i="2"/>
  <c r="J86" i="2"/>
  <c r="AQ43" i="2"/>
  <c r="C76" i="2"/>
  <c r="N26" i="2"/>
  <c r="J113" i="2"/>
  <c r="AJ70" i="2"/>
  <c r="J111" i="2"/>
  <c r="N39" i="2"/>
  <c r="AJ93" i="2"/>
  <c r="AQ97" i="2"/>
  <c r="N44" i="2"/>
  <c r="AN107" i="2"/>
  <c r="U54" i="2"/>
  <c r="C35" i="2"/>
  <c r="AN90" i="2"/>
  <c r="C114" i="2"/>
  <c r="AU74" i="2"/>
  <c r="Q96" i="2"/>
  <c r="C17" i="2"/>
  <c r="AN79" i="2"/>
  <c r="AB48" i="2"/>
  <c r="AE93" i="2"/>
  <c r="X116" i="2"/>
  <c r="AN95" i="2"/>
  <c r="AQ96" i="2"/>
  <c r="C105" i="2"/>
  <c r="AQ20" i="2"/>
  <c r="AB83" i="2"/>
  <c r="AU105" i="2"/>
  <c r="N23" i="2"/>
  <c r="U113" i="2"/>
  <c r="AN25" i="2"/>
  <c r="AN114" i="2"/>
  <c r="AQ82" i="2"/>
  <c r="G44" i="2"/>
  <c r="G87" i="2"/>
  <c r="D37" i="2"/>
  <c r="D23" i="2"/>
  <c r="D29" i="2"/>
  <c r="G95" i="2"/>
  <c r="G57" i="2"/>
  <c r="G107" i="2"/>
  <c r="G84" i="2"/>
  <c r="G51" i="2"/>
  <c r="G104" i="2"/>
  <c r="D26" i="2"/>
  <c r="AN74" i="2"/>
  <c r="U118" i="2"/>
  <c r="X26" i="2"/>
  <c r="N62" i="2"/>
  <c r="D15" i="2"/>
  <c r="U120" i="2"/>
  <c r="AU85" i="2"/>
  <c r="N48" i="2"/>
  <c r="X61" i="2"/>
  <c r="AN113" i="2"/>
  <c r="AQ120" i="2"/>
  <c r="N96" i="2"/>
  <c r="C31" i="2"/>
  <c r="AJ44" i="2"/>
  <c r="J26" i="2"/>
  <c r="AJ114" i="2"/>
  <c r="N59" i="2"/>
  <c r="AE50" i="2"/>
  <c r="X24" i="2"/>
  <c r="X111" i="2"/>
  <c r="U58" i="2"/>
  <c r="J35" i="2"/>
  <c r="N108" i="2"/>
  <c r="C120" i="2"/>
  <c r="AJ76" i="2"/>
  <c r="AQ56" i="2"/>
  <c r="AG35" i="2"/>
  <c r="AJ60" i="2"/>
  <c r="AN51" i="2"/>
  <c r="X97" i="2"/>
  <c r="AU114" i="2"/>
  <c r="AJ26" i="2"/>
  <c r="X40" i="2"/>
  <c r="G43" i="2"/>
  <c r="G39" i="2"/>
  <c r="D43" i="2"/>
  <c r="G116" i="2"/>
  <c r="G98" i="2"/>
  <c r="Q110" i="2"/>
  <c r="X67" i="2"/>
  <c r="U62" i="2"/>
  <c r="X69" i="2"/>
  <c r="AG19" i="2"/>
  <c r="N76" i="2"/>
  <c r="Q63" i="2"/>
  <c r="AB109" i="2"/>
  <c r="C100" i="2"/>
  <c r="C34" i="2"/>
  <c r="N82" i="2"/>
  <c r="C48" i="2"/>
  <c r="AG58" i="2"/>
  <c r="N95" i="2"/>
  <c r="Q68" i="2"/>
  <c r="X54" i="2"/>
  <c r="AN29" i="2"/>
  <c r="Q56" i="2"/>
  <c r="X15" i="2"/>
  <c r="U80" i="2"/>
  <c r="Q104" i="2"/>
  <c r="N120" i="2"/>
  <c r="AN76" i="2"/>
  <c r="AU42" i="2"/>
  <c r="AE26" i="2"/>
  <c r="U119" i="2"/>
  <c r="AU30" i="2"/>
  <c r="AB87" i="2"/>
  <c r="AN35" i="2"/>
  <c r="U104" i="2"/>
  <c r="AU75" i="2"/>
  <c r="AG45" i="2"/>
  <c r="X79" i="2"/>
  <c r="D19" i="2"/>
  <c r="G24" i="2"/>
  <c r="G114" i="2"/>
  <c r="G54" i="2"/>
  <c r="D58" i="2"/>
  <c r="D48" i="2"/>
  <c r="AU47" i="2"/>
  <c r="AQ51" i="2"/>
  <c r="X47" i="2"/>
  <c r="X72" i="2"/>
  <c r="G90" i="2"/>
  <c r="J112" i="2"/>
  <c r="AB28" i="2"/>
  <c r="J110" i="2"/>
  <c r="AU90" i="2"/>
  <c r="X62" i="2"/>
  <c r="AB53" i="2"/>
  <c r="J98" i="2"/>
  <c r="C56" i="2"/>
  <c r="Q44" i="2"/>
  <c r="U27" i="2"/>
  <c r="J104" i="2"/>
  <c r="N88" i="2"/>
  <c r="AE49" i="2"/>
  <c r="AB98" i="2"/>
  <c r="AN16" i="2"/>
  <c r="AG86" i="2"/>
  <c r="AG116" i="2"/>
  <c r="AJ22" i="2"/>
  <c r="N92" i="2"/>
  <c r="U46" i="2"/>
  <c r="N114" i="2"/>
  <c r="N110" i="2"/>
  <c r="C80" i="2"/>
  <c r="C110" i="2"/>
  <c r="AU99" i="2"/>
  <c r="C93" i="2"/>
  <c r="AN102" i="2"/>
  <c r="AE120" i="2"/>
  <c r="D60" i="2"/>
  <c r="D30" i="2"/>
  <c r="N34" i="2"/>
  <c r="U96" i="2"/>
  <c r="J48" i="2"/>
  <c r="D47" i="2"/>
  <c r="X64" i="2"/>
  <c r="AQ25" i="2"/>
  <c r="X53" i="2"/>
  <c r="AQ65" i="2"/>
  <c r="AJ122" i="2"/>
  <c r="AE62" i="2"/>
  <c r="C73" i="2"/>
  <c r="J42" i="2"/>
  <c r="AE15" i="2"/>
  <c r="AU112" i="2"/>
  <c r="Q103" i="2"/>
  <c r="AQ100" i="2"/>
  <c r="X101" i="2"/>
  <c r="AU34" i="2"/>
  <c r="AB35" i="2"/>
  <c r="N32" i="2"/>
  <c r="C65" i="2"/>
  <c r="X80" i="2"/>
  <c r="N106" i="2"/>
  <c r="Q101" i="2"/>
  <c r="AU81" i="2"/>
  <c r="AB90" i="2"/>
  <c r="U38" i="2"/>
  <c r="Q50" i="2"/>
  <c r="J68" i="2"/>
  <c r="AJ80" i="2"/>
  <c r="AE122" i="2"/>
  <c r="N93" i="2"/>
  <c r="D51" i="2"/>
  <c r="D36" i="2"/>
  <c r="G110" i="2"/>
  <c r="G65" i="2"/>
  <c r="G28" i="2"/>
  <c r="U66" i="2"/>
  <c r="Q48" i="2"/>
  <c r="AN73" i="2"/>
  <c r="AQ93" i="2"/>
  <c r="G58" i="2"/>
  <c r="X76" i="2"/>
  <c r="AB69" i="2"/>
  <c r="C66" i="2"/>
  <c r="U37" i="2"/>
  <c r="AJ110" i="2"/>
  <c r="X36" i="2"/>
  <c r="Q60" i="2"/>
  <c r="AN59" i="2"/>
  <c r="C82" i="2"/>
  <c r="J108" i="2"/>
  <c r="X48" i="2"/>
  <c r="X109" i="2"/>
  <c r="AN48" i="2"/>
  <c r="AQ33" i="2"/>
  <c r="N118" i="2"/>
  <c r="C15" i="2"/>
  <c r="AU84" i="2"/>
  <c r="AQ106" i="2"/>
  <c r="U52" i="2"/>
  <c r="X30" i="2"/>
  <c r="X83" i="2"/>
  <c r="AB80" i="2"/>
  <c r="Q102" i="2"/>
  <c r="AG63" i="2"/>
  <c r="U87" i="2"/>
  <c r="AE107" i="2"/>
  <c r="X77" i="2"/>
  <c r="AJ73" i="2"/>
  <c r="C24" i="2"/>
  <c r="D40" i="2"/>
  <c r="G34" i="2"/>
  <c r="G27" i="2"/>
  <c r="D28" i="2"/>
  <c r="G62" i="2"/>
  <c r="G64" i="2"/>
  <c r="AG89" i="2"/>
  <c r="Q76" i="2"/>
  <c r="N58" i="2"/>
  <c r="C108" i="2"/>
  <c r="G50" i="2"/>
  <c r="AQ117" i="2"/>
  <c r="AG20" i="2"/>
  <c r="AE102" i="2"/>
  <c r="AB24" i="2"/>
  <c r="C86" i="2"/>
  <c r="AB113" i="2"/>
  <c r="X105" i="2"/>
  <c r="U94" i="2"/>
  <c r="AG27" i="2"/>
  <c r="X103" i="2"/>
  <c r="U91" i="2"/>
  <c r="AN97" i="2"/>
  <c r="C58" i="2"/>
  <c r="U99" i="2"/>
  <c r="AB111" i="2"/>
  <c r="C22" i="2"/>
  <c r="N46" i="2"/>
  <c r="N29" i="2"/>
  <c r="U100" i="2"/>
  <c r="AN37" i="2"/>
  <c r="Q77" i="2"/>
  <c r="AU92" i="2"/>
  <c r="AQ101" i="2"/>
  <c r="AQ24" i="2"/>
  <c r="C87" i="2"/>
  <c r="AU68" i="2"/>
  <c r="AQ78" i="2"/>
  <c r="AU28" i="2"/>
  <c r="X25" i="2"/>
  <c r="G38" i="2"/>
  <c r="G83" i="2"/>
  <c r="D33" i="2"/>
  <c r="G115" i="2"/>
  <c r="U117" i="2"/>
  <c r="AN70" i="2"/>
  <c r="AN109" i="2"/>
  <c r="J87" i="2"/>
  <c r="G23" i="2"/>
  <c r="D10" i="3" l="1"/>
  <c r="AQ9" i="2"/>
  <c r="I16" i="3" s="1"/>
  <c r="N9" i="2"/>
  <c r="J8" i="2"/>
  <c r="AQ8" i="2"/>
  <c r="H16" i="3" s="1"/>
  <c r="N8" i="2"/>
  <c r="C8" i="2"/>
  <c r="H4" i="3" s="1"/>
  <c r="X8" i="2"/>
  <c r="H10" i="3" s="1"/>
  <c r="AE8" i="2"/>
  <c r="H12" i="3" s="1"/>
  <c r="Q8" i="2"/>
  <c r="H8" i="3" s="1"/>
  <c r="AE9" i="2"/>
  <c r="I12" i="3" s="1"/>
  <c r="AJ8" i="2"/>
  <c r="AJ9" i="2"/>
  <c r="I14" i="3" s="1"/>
  <c r="C9" i="2"/>
  <c r="I4" i="3" s="1"/>
  <c r="X9" i="2"/>
  <c r="Q9" i="2"/>
  <c r="I8" i="3" s="1"/>
  <c r="J9" i="2"/>
  <c r="J10" i="2" s="1"/>
  <c r="N10" i="2"/>
  <c r="G24" i="5"/>
  <c r="H24" i="5" s="1"/>
  <c r="AI10" i="2" s="1"/>
  <c r="AI9" i="2" s="1"/>
  <c r="G16" i="5"/>
  <c r="H16" i="5" s="1"/>
  <c r="W10" i="2" s="1"/>
  <c r="W9" i="2" s="1"/>
  <c r="G8" i="5"/>
  <c r="H8" i="5" s="1"/>
  <c r="I10" i="2" s="1"/>
  <c r="I9" i="2" s="1"/>
  <c r="G12" i="5"/>
  <c r="H12" i="5" s="1"/>
  <c r="P10" i="2" s="1"/>
  <c r="P9" i="2" s="1"/>
  <c r="AP10" i="2"/>
  <c r="AP9" i="2" s="1"/>
  <c r="AG8" i="2"/>
  <c r="G6" i="3"/>
  <c r="AU8" i="2"/>
  <c r="AL8" i="2"/>
  <c r="AK8" i="2"/>
  <c r="C14" i="3" s="1"/>
  <c r="AB9" i="2"/>
  <c r="AN9" i="2"/>
  <c r="G9" i="2"/>
  <c r="G14" i="3"/>
  <c r="R8" i="2"/>
  <c r="C8" i="3" s="1"/>
  <c r="S8" i="2"/>
  <c r="U9" i="2"/>
  <c r="E8" i="2"/>
  <c r="E4" i="3" s="1"/>
  <c r="AG9" i="2"/>
  <c r="U8" i="2"/>
  <c r="AU9" i="2"/>
  <c r="G8" i="3"/>
  <c r="AB8" i="2"/>
  <c r="G16" i="3"/>
  <c r="G8" i="2"/>
  <c r="G10" i="3"/>
  <c r="AN8" i="2"/>
  <c r="D8" i="2"/>
  <c r="C4" i="3" s="1"/>
  <c r="AD10" i="2"/>
  <c r="AD9" i="2" s="1"/>
  <c r="G4" i="5"/>
  <c r="H4" i="5" s="1"/>
  <c r="Y11" i="5"/>
  <c r="H6" i="3"/>
  <c r="H14" i="3"/>
  <c r="E6" i="3"/>
  <c r="AJ10" i="2" l="1"/>
  <c r="C10" i="2"/>
  <c r="AQ10" i="2"/>
  <c r="L12" i="3"/>
  <c r="X10" i="2"/>
  <c r="Q10" i="2"/>
  <c r="I6" i="3"/>
  <c r="AE10" i="2"/>
  <c r="I10" i="3"/>
  <c r="L10" i="3" s="1"/>
  <c r="L16" i="3"/>
  <c r="AK9" i="2"/>
  <c r="AG10" i="2"/>
  <c r="S10" i="2"/>
  <c r="R9" i="2"/>
  <c r="R10" i="2" s="1"/>
  <c r="G10" i="2"/>
  <c r="E10" i="2"/>
  <c r="E8" i="3"/>
  <c r="AN10" i="2"/>
  <c r="U10" i="2"/>
  <c r="D9" i="2"/>
  <c r="D10" i="2" s="1"/>
  <c r="AL10" i="2"/>
  <c r="E14" i="3"/>
  <c r="AB10" i="2"/>
  <c r="AU10" i="2"/>
  <c r="C6" i="3"/>
  <c r="L6" i="3" l="1"/>
  <c r="D8" i="3"/>
  <c r="L8" i="3" s="1"/>
  <c r="AK10" i="2"/>
  <c r="D14" i="3"/>
  <c r="L14" i="3" s="1"/>
  <c r="D4" i="3"/>
  <c r="G4" i="3"/>
  <c r="L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tc={1164DBE1-DE77-4A00-815E-51F8BFD51909}</author>
  </authors>
  <commentList>
    <comment ref="G12" authorId="0" shapeId="0" xr:uid="{1164DBE1-DE77-4A00-815E-51F8BFD519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<sst xmlns="http://schemas.openxmlformats.org/spreadsheetml/2006/main" count="1735" uniqueCount="472">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</sst>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2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</borders>
  <cellStyleXfs count="2">
    <xf numFmtId="0" fontId="0" fillId="0" borderId="0"/>
    <xf numFmtId="0" fontId="4" fillId="0" borderId="0"/>
  </cellStyleXfs>
  <cellXfs count="238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41" fontId="4" fillId="10" borderId="39" xfId="1" applyNumberFormat="1" applyFill="1" applyBorder="1" applyAlignment="1">
      <alignment horizontal="center" vertical="center"/>
    </xf>
    <xf numFmtId="41" fontId="4" fillId="10" borderId="33" xfId="1" applyNumberFormat="1" applyFill="1" applyBorder="1" applyAlignment="1">
      <alignment horizontal="center" vertical="center"/>
    </xf>
    <xf numFmtId="1" fontId="4" fillId="10" borderId="33" xfId="1" applyNumberFormat="1" applyFill="1" applyBorder="1" applyAlignment="1">
      <alignment horizontal="center" vertical="center"/>
    </xf>
    <xf numFmtId="41" fontId="4" fillId="13" borderId="34" xfId="1" applyNumberFormat="1" applyFill="1" applyBorder="1" applyAlignment="1">
      <alignment horizontal="center" vertical="center"/>
    </xf>
    <xf numFmtId="41" fontId="4" fillId="13" borderId="40" xfId="1" applyNumberFormat="1" applyFill="1" applyBorder="1" applyAlignment="1">
      <alignment horizontal="center" vertical="center"/>
    </xf>
    <xf numFmtId="0" fontId="2" fillId="0" borderId="0" xfId="0" applyFont="1"/>
    <xf numFmtId="0" fontId="14" fillId="0" borderId="0" xfId="1" applyFont="1"/>
    <xf numFmtId="0" fontId="15" fillId="14" borderId="45" xfId="0" applyFont="1" applyFill="1" applyBorder="1" applyAlignment="1">
      <alignment horizontal="center" vertical="center"/>
    </xf>
    <xf numFmtId="0" fontId="16" fillId="15" borderId="45" xfId="0" applyFont="1" applyFill="1" applyBorder="1" applyAlignment="1">
      <alignment horizontal="center" vertical="center"/>
    </xf>
    <xf numFmtId="41" fontId="4" fillId="13" borderId="36" xfId="1" applyNumberFormat="1" applyFill="1" applyBorder="1" applyAlignment="1">
      <alignment horizontal="center" vertical="center"/>
    </xf>
    <xf numFmtId="1" fontId="4" fillId="13" borderId="36" xfId="1" applyNumberForma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44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2" borderId="42" xfId="1" applyFill="1" applyBorder="1" applyAlignment="1">
      <alignment horizontal="center" vertical="center"/>
    </xf>
    <xf numFmtId="0" fontId="7" fillId="0" borderId="52" xfId="1" applyFont="1" applyBorder="1" applyAlignment="1">
      <alignment horizontal="center" vertical="center" wrapText="1"/>
    </xf>
    <xf numFmtId="0" fontId="7" fillId="0" borderId="53" xfId="1" applyFont="1" applyBorder="1" applyAlignment="1">
      <alignment horizontal="center" vertical="center" wrapText="1"/>
    </xf>
    <xf numFmtId="0" fontId="7" fillId="18" borderId="53" xfId="1" applyFont="1" applyFill="1" applyBorder="1" applyAlignment="1">
      <alignment horizontal="center" vertical="center" wrapText="1"/>
    </xf>
    <xf numFmtId="0" fontId="7" fillId="0" borderId="55" xfId="1" applyFont="1" applyBorder="1" applyAlignment="1">
      <alignment horizontal="center" vertical="center" wrapText="1"/>
    </xf>
    <xf numFmtId="0" fontId="7" fillId="0" borderId="56" xfId="1" applyFont="1" applyBorder="1" applyAlignment="1">
      <alignment horizontal="center" vertical="center" wrapText="1"/>
    </xf>
    <xf numFmtId="0" fontId="7" fillId="18" borderId="57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7" fillId="17" borderId="58" xfId="1" applyFont="1" applyFill="1" applyBorder="1" applyAlignment="1">
      <alignment horizontal="center" vertical="center" wrapText="1"/>
    </xf>
    <xf numFmtId="0" fontId="4" fillId="0" borderId="47" xfId="1" applyBorder="1" applyAlignment="1">
      <alignment horizontal="center" vertical="center"/>
    </xf>
    <xf numFmtId="0" fontId="4" fillId="0" borderId="59" xfId="1" applyBorder="1" applyAlignment="1">
      <alignment horizontal="center" vertical="center"/>
    </xf>
    <xf numFmtId="0" fontId="4" fillId="0" borderId="6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0" borderId="49" xfId="1" applyBorder="1" applyAlignment="1">
      <alignment horizontal="center" vertical="center"/>
    </xf>
    <xf numFmtId="0" fontId="4" fillId="0" borderId="61" xfId="1" applyBorder="1" applyAlignment="1">
      <alignment horizontal="center" vertical="center"/>
    </xf>
    <xf numFmtId="0" fontId="4" fillId="0" borderId="62" xfId="1" applyBorder="1" applyAlignment="1">
      <alignment horizontal="center" vertical="center"/>
    </xf>
    <xf numFmtId="0" fontId="4" fillId="0" borderId="50" xfId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1" fillId="19" borderId="53" xfId="1" applyFont="1" applyFill="1" applyBorder="1" applyAlignment="1">
      <alignment horizontal="center" vertical="center" wrapText="1"/>
    </xf>
    <xf numFmtId="0" fontId="7" fillId="7" borderId="53" xfId="1" applyFont="1" applyFill="1" applyBorder="1" applyAlignment="1">
      <alignment horizontal="center" vertical="center" wrapText="1"/>
    </xf>
    <xf numFmtId="0" fontId="7" fillId="16" borderId="53" xfId="1" applyFont="1" applyFill="1" applyBorder="1" applyAlignment="1">
      <alignment horizontal="center" vertical="center" wrapText="1"/>
    </xf>
    <xf numFmtId="0" fontId="7" fillId="10" borderId="54" xfId="1" applyFont="1" applyFill="1" applyBorder="1" applyAlignment="1">
      <alignment horizontal="center" vertical="center" wrapText="1"/>
    </xf>
    <xf numFmtId="0" fontId="13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6" xfId="1" applyFont="1" applyFill="1" applyBorder="1" applyAlignment="1">
      <alignment horizontal="centerContinuous" vertical="center"/>
    </xf>
    <xf numFmtId="0" fontId="3" fillId="12" borderId="46" xfId="1" applyFont="1" applyFill="1" applyBorder="1" applyAlignment="1">
      <alignment horizontal="centerContinuous" vertical="center"/>
    </xf>
    <xf numFmtId="0" fontId="1" fillId="2" borderId="46" xfId="1" applyFont="1" applyFill="1" applyBorder="1" applyAlignment="1">
      <alignment horizontal="centerContinuous" vertical="center"/>
    </xf>
    <xf numFmtId="0" fontId="3" fillId="2" borderId="46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41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43" fontId="4" fillId="7" borderId="20" xfId="1" applyNumberFormat="1" applyFill="1" applyBorder="1" applyAlignment="1">
      <alignment horizontal="center" vertical="center"/>
    </xf>
    <xf numFmtId="43" fontId="4" fillId="7" borderId="44" xfId="1" applyNumberFormat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44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0" borderId="36" xfId="1" applyNumberFormat="1" applyBorder="1" applyAlignment="1">
      <alignment horizontal="center" vertical="center"/>
    </xf>
    <xf numFmtId="41" fontId="4" fillId="0" borderId="37" xfId="1" applyNumberFormat="1" applyBorder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8" fillId="20" borderId="0" xfId="0" applyFont="1" applyFill="1" applyAlignment="1">
      <alignment horizontal="center" vertical="center"/>
    </xf>
    <xf numFmtId="0" fontId="18" fillId="21" borderId="0" xfId="0" applyFont="1" applyFill="1" applyAlignment="1">
      <alignment horizontal="center" vertical="center"/>
    </xf>
    <xf numFmtId="0" fontId="18" fillId="15" borderId="0" xfId="0" applyFont="1" applyFill="1" applyAlignment="1">
      <alignment horizontal="center" vertical="center"/>
    </xf>
    <xf numFmtId="0" fontId="5" fillId="22" borderId="1" xfId="1" applyFont="1" applyFill="1" applyBorder="1" applyAlignment="1">
      <alignment horizontal="centerContinuous"/>
    </xf>
    <xf numFmtId="0" fontId="5" fillId="22" borderId="2" xfId="1" applyFont="1" applyFill="1" applyBorder="1" applyAlignment="1">
      <alignment horizontal="centerContinuous"/>
    </xf>
    <xf numFmtId="0" fontId="5" fillId="22" borderId="0" xfId="1" applyFont="1" applyFill="1" applyAlignment="1">
      <alignment horizontal="centerContinuous"/>
    </xf>
    <xf numFmtId="0" fontId="5" fillId="22" borderId="3" xfId="1" applyFont="1" applyFill="1" applyBorder="1" applyAlignment="1">
      <alignment horizontal="centerContinuous"/>
    </xf>
    <xf numFmtId="43" fontId="3" fillId="8" borderId="18" xfId="1" applyNumberFormat="1" applyFont="1" applyFill="1" applyBorder="1" applyAlignment="1">
      <alignment horizontal="center" vertical="center"/>
    </xf>
    <xf numFmtId="43" fontId="3" fillId="8" borderId="20" xfId="1" applyNumberFormat="1" applyFont="1" applyFill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0" fontId="4" fillId="0" borderId="18" xfId="1" applyBorder="1" applyAlignment="1">
      <alignment horizontal="center" vertical="center" wrapText="1"/>
    </xf>
    <xf numFmtId="1" fontId="3" fillId="8" borderId="17" xfId="1" applyNumberFormat="1" applyFont="1" applyFill="1" applyBorder="1" applyAlignment="1">
      <alignment horizontal="center" vertical="center"/>
    </xf>
    <xf numFmtId="43" fontId="4" fillId="11" borderId="20" xfId="1" applyNumberFormat="1" applyFill="1" applyBorder="1" applyAlignment="1">
      <alignment horizontal="center" vertical="center"/>
    </xf>
    <xf numFmtId="0" fontId="19" fillId="0" borderId="0" xfId="0" applyFont="1"/>
    <xf numFmtId="0" fontId="0" fillId="0" borderId="63" xfId="0" applyBorder="1" applyAlignment="1">
      <alignment horizontal="left"/>
    </xf>
    <xf numFmtId="0" fontId="0" fillId="0" borderId="25" xfId="0" applyBorder="1" applyAlignment="1">
      <alignment horizontal="left"/>
    </xf>
    <xf numFmtId="0" fontId="20" fillId="0" borderId="64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20" fillId="0" borderId="27" xfId="0" applyFont="1" applyBorder="1"/>
    <xf numFmtId="0" fontId="20" fillId="0" borderId="19" xfId="0" applyFont="1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6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2" xfId="0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3" borderId="17" xfId="0" applyNumberFormat="1" applyFont="1" applyFill="1" applyBorder="1" applyAlignment="1">
      <alignment horizontal="center" vertical="center" wrapText="1"/>
    </xf>
    <xf numFmtId="14" fontId="4" fillId="23" borderId="18" xfId="0" applyNumberFormat="1" applyFont="1" applyFill="1" applyBorder="1" applyAlignment="1">
      <alignment horizontal="center" vertical="center" wrapText="1"/>
    </xf>
    <xf numFmtId="0" fontId="4" fillId="23" borderId="19" xfId="0" applyFont="1" applyFill="1" applyBorder="1" applyAlignment="1">
      <alignment horizontal="center" vertical="center" wrapText="1"/>
    </xf>
    <xf numFmtId="14" fontId="4" fillId="24" borderId="18" xfId="0" applyNumberFormat="1" applyFont="1" applyFill="1" applyBorder="1" applyAlignment="1">
      <alignment horizontal="center" vertical="center" wrapText="1"/>
    </xf>
    <xf numFmtId="0" fontId="4" fillId="24" borderId="19" xfId="0" applyFont="1" applyFill="1" applyBorder="1" applyAlignment="1">
      <alignment horizontal="center" vertical="center" wrapText="1"/>
    </xf>
    <xf numFmtId="0" fontId="4" fillId="24" borderId="6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7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8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9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7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80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36723359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54551492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36723359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54551492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26</xdr:row>
      <xdr:rowOff>0</xdr:rowOff>
    </xdr:from>
    <xdr:to>
      <xdr:col>50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79">
  <autoFilter ref="A1:C76" xr:uid="{F2C31A30-48D6-4D3D-80E6-ADE1D2C39D89}"/>
  <tableColumns count="3">
    <tableColumn id="1" xr3:uid="{D7E0E5A7-FFDC-45DB-8427-200B1C655ECC}" name="Centros de negócio do Ik" dataDxfId="178"/>
    <tableColumn id="3" xr3:uid="{95650756-BB0B-4093-8A97-AA45406AFC61}" name="Categoria na viabilidade" dataDxfId="177"/>
    <tableColumn id="2" xr3:uid="{24FD4B2C-A596-4FF8-A2FE-E07069551FB8}" name="Subcategoria na viabilidade" dataDxfId="17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175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4" dataDxfId="173">
  <autoFilter ref="A1:AI2" xr:uid="{E04C97D4-C6EC-4BA2-BDB8-ED5F99D32C7B}"/>
  <tableColumns count="35">
    <tableColumn id="1" xr3:uid="{4909997B-2B2B-4D27-A9C9-17AC2B7FCB4A}" name="empreendimento" dataDxfId="172"/>
    <tableColumn id="2" xr3:uid="{CDDCAB66-B52F-4CE4-A1AA-DF1CB827FFD7}" name="empresa" dataDxfId="171"/>
    <tableColumn id="3" xr3:uid="{478B6D54-14CD-4239-8A35-06C05E2C0034}" name="total" dataDxfId="170"/>
    <tableColumn id="4" xr3:uid="{A2035547-2EDD-442D-867D-4D1D0A3FDB66}" name="data.vencimento" dataDxfId="169"/>
    <tableColumn id="5" xr3:uid="{3F0726B1-207E-4E5F-B88E-371390887EBA}" name="data.pagamento" dataDxfId="168"/>
    <tableColumn id="6" xr3:uid="{4E5C736C-C9C7-41C4-BB61-30DE4D353426}" name="cliente" dataDxfId="167"/>
    <tableColumn id="7" xr3:uid="{24BE1C79-3FBD-49EE-9118-020C61F0618F}" name="contrato" dataDxfId="166"/>
    <tableColumn id="8" xr3:uid="{76CABF83-306C-480E-B7F1-BF143245AD0A}" name="contrato.cef" dataDxfId="165"/>
    <tableColumn id="9" xr3:uid="{C36C6D81-914B-40B5-8F47-50F0B75C50BF}" name="repassado" dataDxfId="164"/>
    <tableColumn id="10" xr3:uid="{C31128AD-51F7-4AB6-A7DC-2B3B2F36E3D5}" name="ele" dataDxfId="163"/>
    <tableColumn id="11" xr3:uid="{7C756E32-ED80-4648-A19E-289965D74B62}" name="esp" dataDxfId="162"/>
    <tableColumn id="12" xr3:uid="{B552472A-DC85-4D8B-B38A-95AB14C5FAED}" name="esp.con" dataDxfId="161"/>
    <tableColumn id="13" xr3:uid="{3262CC77-A527-4262-8A03-9578368FB52B}" name="agente" dataDxfId="160"/>
    <tableColumn id="14" xr3:uid="{83DFB1ED-97DB-4D03-93B1-CA64F20BB062}" name="parcela" dataDxfId="159"/>
    <tableColumn id="15" xr3:uid="{310F9CCF-D057-48B5-938A-540F5BA2578D}" name="principal" dataDxfId="158"/>
    <tableColumn id="16" xr3:uid="{36C6D19D-892D-4CD3-9F52-80674518E768}" name="juros" dataDxfId="157"/>
    <tableColumn id="17" xr3:uid="{93F370C0-EA2F-44A1-916B-8E8182F153D9}" name="juros.contrato" dataDxfId="156"/>
    <tableColumn id="18" xr3:uid="{EF7F0BAE-3F57-42A4-8D98-1F1142925920}" name="juros.mora" dataDxfId="155"/>
    <tableColumn id="19" xr3:uid="{9A43C1ED-E1CC-4EA6-8401-EC5B5C9B5BA4}" name="reajuste" dataDxfId="154"/>
    <tableColumn id="20" xr3:uid="{EA813428-C73D-406F-BD01-C5FEF2D8A10E}" name="encargos" dataDxfId="153"/>
    <tableColumn id="21" xr3:uid="{6193CE30-2936-4456-B058-C4CE214BC0DF}" name="multa" dataDxfId="152"/>
    <tableColumn id="22" xr3:uid="{686C1965-8D80-4DB9-9E16-3E2927096A25}" name="seguro" dataDxfId="151"/>
    <tableColumn id="23" xr3:uid="{EB896493-CBAF-41A3-99F4-76A173BE2C0C}" name="desconto" dataDxfId="150"/>
    <tableColumn id="24" xr3:uid="{9EDB2D2C-02D2-4F78-91CB-ED7F75D2D479}" name="cart" dataDxfId="149"/>
    <tableColumn id="25" xr3:uid="{5D604426-9BA8-42CA-9137-8C0DA804C9C9}" name="r.f" dataDxfId="148"/>
    <tableColumn id="26" xr3:uid="{FCB10DC8-A106-4651-A5F5-B6CE5F43A068}" name="edificacao" dataDxfId="147"/>
    <tableColumn id="27" xr3:uid="{76DB6A1D-85DA-402A-9550-AB643C14B763}" name="especie" dataDxfId="146"/>
    <tableColumn id="28" xr3:uid="{21473A4C-57AA-40A5-A691-C041B7B3D6EA}" name="unidade" dataDxfId="145"/>
    <tableColumn id="29" xr3:uid="{6369CAC2-F1A0-4F23-931C-21656B2CFD3D}" name="data.emissao" dataDxfId="144"/>
    <tableColumn id="30" xr3:uid="{BBEB5770-261C-43DC-8867-3DBCB6D7F3FF}" name="disp" dataDxfId="143"/>
    <tableColumn id="31" xr3:uid="{E985D767-AB1F-4F90-A9CE-EF645624F8CC}" name="pavimento" dataDxfId="142"/>
    <tableColumn id="32" xr3:uid="{97282165-EF24-4BFF-AE19-D3AC538768A3}" name="arquivo" dataDxfId="141"/>
    <tableColumn id="33" xr3:uid="{91BD8B32-FBEC-4584-ACA0-5FDDB558C573}" name="arquivo.tipo" dataDxfId="140"/>
    <tableColumn id="34" xr3:uid="{B975FFCC-7F9C-416D-AE5A-B2775A88E1BD}" name="arquivo.tabela.tipo" dataDxfId="139"/>
    <tableColumn id="35" xr3:uid="{34754CAB-7AEB-4E90-9639-FB836D583D59}" name="arquivo.fonte" dataDxfId="138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7" dataDxfId="136">
  <autoFilter ref="A1:P2" xr:uid="{E04C97D4-C6EC-4BA2-BDB8-ED5F99D32C7B}"/>
  <tableColumns count="16">
    <tableColumn id="1" xr3:uid="{4172D8DD-652A-486F-8850-D0F514E13987}" name="empresa" dataDxfId="135"/>
    <tableColumn id="2" xr3:uid="{C3E1CD73-1178-4A22-8DF7-A1103D01F4F6}" name="contrato" dataDxfId="134"/>
    <tableColumn id="3" xr3:uid="{00D80AC0-D4F3-479A-A2DF-3BD21F07D30A}" name="data.lancamento" dataDxfId="133"/>
    <tableColumn id="4" xr3:uid="{3A43D1CB-20B2-4507-A2CF-75D492709ED5}" name="data.movimento" dataDxfId="132"/>
    <tableColumn id="5" xr3:uid="{03FD7560-148C-4D09-AA67-5C62BEB1D7D4}" name="lancamentos" dataDxfId="131"/>
    <tableColumn id="6" xr3:uid="{555A99DA-6BE7-484C-892D-74EBB47CCF6E}" name="np" dataDxfId="130"/>
    <tableColumn id="7" xr3:uid="{F639F25F-AB6F-4547-A37F-18043BA04664}" name="conta.sidec/nsgd" dataDxfId="129"/>
    <tableColumn id="8" xr3:uid="{2FF4A02D-F9C5-4042-9BA7-16C4D4C6B2A0}" name="valor" dataDxfId="128"/>
    <tableColumn id="9" xr3:uid="{4B4BC1A3-9E68-43E3-A674-3F91378C8C01}" name="situacao" dataDxfId="127"/>
    <tableColumn id="10" xr3:uid="{624AF4C8-868A-4C89-91E1-AFA6F7E94F70}" name="mot" dataDxfId="126"/>
    <tableColumn id="11" xr3:uid="{B5D34D0A-D5BF-4097-BAE1-1007790BD9E9}" name="contrato.6" dataDxfId="125"/>
    <tableColumn id="12" xr3:uid="{6443C3FB-FB50-4940-A7CB-7BE6987DBFAF}" name="natureza" dataDxfId="124"/>
    <tableColumn id="13" xr3:uid="{646F3D89-068B-4E36-A0EA-7DC009066312}" name="arquivo" dataDxfId="123"/>
    <tableColumn id="14" xr3:uid="{6D3275CE-212B-48E9-95E5-69B03DDB5DE7}" name="arquivo.tipo" dataDxfId="122"/>
    <tableColumn id="15" xr3:uid="{4D16F173-A3E1-4747-BAB3-E8FBBB1269D5}" name="arquivo.tabela.tipo" dataDxfId="121"/>
    <tableColumn id="16" xr3:uid="{E8B89BC8-13B6-4CE3-862A-9A0D5D1EFBE8}" name="arquivo.fonte" dataDxfId="120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19" dataDxfId="118">
  <autoFilter ref="A1:E2" xr:uid="{E04C97D4-C6EC-4BA2-BDB8-ED5F99D32C7B}"/>
  <tableColumns count="5">
    <tableColumn id="1" xr3:uid="{F8991AC9-B496-4071-88D0-965AA7E56347}" name="id.contr" dataDxfId="117"/>
    <tableColumn id="2" xr3:uid="{848121DC-6D2B-4A17-AB11-1C54A6302ADF}" name="empresa" dataDxfId="116"/>
    <tableColumn id="3" xr3:uid="{996BCA97-A76D-4FF6-9F2B-C2FD653CD03C}" name="contrato" dataDxfId="115"/>
    <tableColumn id="4" xr3:uid="{0BD26A3E-381C-43D9-88DA-1591A2D9509E}" name="contrato.cef" dataDxfId="114"/>
    <tableColumn id="5" xr3:uid="{C3B3C125-1D2F-4D6D-B9A4-2B2A5043EC4D}" name="repassado" dataDxfId="113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2" dataDxfId="111">
  <autoFilter ref="A1:AI2" xr:uid="{E04C97D4-C6EC-4BA2-BDB8-ED5F99D32C7B}"/>
  <tableColumns count="35">
    <tableColumn id="1" xr3:uid="{440B0FCC-48BC-4A20-8D62-29D670ECD1C9}" name="empreendimento" dataDxfId="110"/>
    <tableColumn id="2" xr3:uid="{C4C9E047-46CD-4AFC-9FF5-5203CB7360AF}" name="empresa" dataDxfId="109"/>
    <tableColumn id="3" xr3:uid="{501C34BC-6BA6-4281-9132-43392569CBEE}" name="total" dataDxfId="108"/>
    <tableColumn id="4" xr3:uid="{A838AC47-467F-4E9D-9F94-A1394090D05B}" name="data.vencimento" dataDxfId="107"/>
    <tableColumn id="5" xr3:uid="{C70A3A55-B10E-43B3-AA98-82D38FCB332A}" name="data.pagamento" dataDxfId="106"/>
    <tableColumn id="6" xr3:uid="{FE773079-73DE-4706-841B-CDA7C988A739}" name="cliente" dataDxfId="105"/>
    <tableColumn id="7" xr3:uid="{5E710180-3A09-4950-9046-A417817BEEB2}" name="contrato" dataDxfId="104"/>
    <tableColumn id="8" xr3:uid="{08CD3258-1FB8-4322-976F-447FDA2C11A5}" name="contrato.cef" dataDxfId="103"/>
    <tableColumn id="9" xr3:uid="{F132141F-0E22-4446-A08A-A339E69305BB}" name="repassado" dataDxfId="102"/>
    <tableColumn id="10" xr3:uid="{B2DC5E90-57FC-465B-9241-C6E02D54C932}" name="ele" dataDxfId="101"/>
    <tableColumn id="11" xr3:uid="{3BAE7148-7786-4CC3-A1ED-E2F4E356A31C}" name="esp" dataDxfId="100"/>
    <tableColumn id="12" xr3:uid="{E8C648F2-C4D1-4B71-BB5B-67C6822F651E}" name="esp.con" dataDxfId="99"/>
    <tableColumn id="13" xr3:uid="{F2AC8E18-7DF4-4E50-AE58-67D4A87720E3}" name="agente" dataDxfId="98"/>
    <tableColumn id="14" xr3:uid="{292DCC56-D05C-4CAC-9B47-33DF6961E235}" name="parcela" dataDxfId="97"/>
    <tableColumn id="15" xr3:uid="{D28109D0-605F-49B9-8F22-8D653BFC0CDC}" name="principal" dataDxfId="96"/>
    <tableColumn id="16" xr3:uid="{52C4AB26-8C44-4203-A468-F2EA98122F69}" name="juros" dataDxfId="95"/>
    <tableColumn id="17" xr3:uid="{D4B1234D-BCBB-4A99-9D57-68454B0846CA}" name="juros.contrato" dataDxfId="94"/>
    <tableColumn id="18" xr3:uid="{89090CD6-79F4-4CEC-9FAC-EB04946BB4F2}" name="juros.mora" dataDxfId="93"/>
    <tableColumn id="19" xr3:uid="{9C6A8D08-5299-48EA-83CE-C4238DDBC7FE}" name="reajuste" dataDxfId="92"/>
    <tableColumn id="20" xr3:uid="{44FAEF10-5B85-4ABB-960F-A48BD5686E7B}" name="encargos" dataDxfId="91"/>
    <tableColumn id="21" xr3:uid="{7BF8EC05-0D70-4A61-842E-1612E21CCB59}" name="multa" dataDxfId="90"/>
    <tableColumn id="22" xr3:uid="{299A2E45-7670-47D0-8628-654C154FDB62}" name="seguro" dataDxfId="89"/>
    <tableColumn id="23" xr3:uid="{14086FCE-9BC8-4718-9590-FC63802E3C1D}" name="desconto" dataDxfId="88"/>
    <tableColumn id="24" xr3:uid="{06FE7AE8-8861-47B9-B133-7CB71DE335F3}" name="cart" dataDxfId="87"/>
    <tableColumn id="25" xr3:uid="{28493125-0867-480D-9B4A-53E567936A7D}" name="r.f" dataDxfId="86"/>
    <tableColumn id="26" xr3:uid="{5A2AD706-329A-4381-8F39-ED5E8D9B1927}" name="edificacao" dataDxfId="85"/>
    <tableColumn id="27" xr3:uid="{0AEB20CC-6745-4FFE-9570-C675ED06E8C5}" name="especie" dataDxfId="84"/>
    <tableColumn id="28" xr3:uid="{9B937B69-72C2-48D1-87E6-FE61EC303BD3}" name="unidade" dataDxfId="83"/>
    <tableColumn id="29" xr3:uid="{4175B748-09C4-4D25-BB08-7951F4F93E29}" name="data.emissao" dataDxfId="82"/>
    <tableColumn id="30" xr3:uid="{83375F18-967D-4549-BE36-79D7DE239F44}" name="disp" dataDxfId="81"/>
    <tableColumn id="31" xr3:uid="{DE734EC2-AACD-400F-99DD-D85DEB6F0823}" name="pavimento" dataDxfId="80"/>
    <tableColumn id="32" xr3:uid="{3C92D6FA-F73F-48EA-A351-B3654A31F7FA}" name="arquivo" dataDxfId="79"/>
    <tableColumn id="33" xr3:uid="{8F933408-16A2-40AA-823E-51ADD96D66FD}" name="arquivo.tipo" dataDxfId="78"/>
    <tableColumn id="34" xr3:uid="{11AB353A-112C-4504-A4CB-FF6E41B10CC8}" name="arquivo.tabela.tipo" dataDxfId="77"/>
    <tableColumn id="35" xr3:uid="{3CC8E619-73CA-4718-AC18-0FB6AD2F3F3C}" name="arquivo.fonte" dataDxfId="76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5" dataDxfId="74">
  <autoFilter ref="A1:AE2" xr:uid="{E04C97D4-C6EC-4BA2-BDB8-ED5F99D32C7B}"/>
  <tableColumns count="31">
    <tableColumn id="1" xr3:uid="{7591C1E4-333E-46EC-B95F-BF5541B357A4}" name="n.siban" dataDxfId="73"/>
    <tableColumn id="2" xr3:uid="{96E89845-4235-4A02-B7CE-0DF0B7B694DB}" name="nucleo.num" dataDxfId="72"/>
    <tableColumn id="3" xr3:uid="{0F46A9C7-7C83-42D1-A309-7325397F5236}" name="empresa" dataDxfId="71"/>
    <tableColumn id="4" xr3:uid="{F721C566-B42C-4B2C-9946-7DA03969DC90}" name="centro.negocio" dataDxfId="70"/>
    <tableColumn id="5" xr3:uid="{8D9D4173-C28C-4992-A064-F483ADDB0E23}" name="origem" dataDxfId="69"/>
    <tableColumn id="6" xr3:uid="{81048B38-F467-4E84-8A20-F585D954E066}" name="tipo.entrada" dataDxfId="68"/>
    <tableColumn id="7" xr3:uid="{6CBBA08B-DF25-4369-A82D-8FA8F29EFA80}" name="documento" dataDxfId="67"/>
    <tableColumn id="8" xr3:uid="{7ABB27F8-B8CB-470A-8419-30B67BC51AD4}" name="parcela" dataDxfId="66"/>
    <tableColumn id="9" xr3:uid="{69DFD527-31D6-4991-B07E-927ACDC7CCA5}" name="data.vencimento" dataDxfId="65"/>
    <tableColumn id="10" xr3:uid="{A011B5AE-D821-47F3-A9A6-F73395565959}" name="data.pagamento" dataDxfId="64"/>
    <tableColumn id="11" xr3:uid="{C3536954-73DF-43E9-B074-638C86E811AA}" name="valor" dataDxfId="63"/>
    <tableColumn id="12" xr3:uid="{F3716B11-9C97-4DB0-8371-CE9B5B6B2835}" name="a/c" dataDxfId="62"/>
    <tableColumn id="13" xr3:uid="{22491C3C-25CC-446A-9E63-A4864D1C0FC9}" name="documento.pagto" dataDxfId="61"/>
    <tableColumn id="14" xr3:uid="{9F6A6033-77D1-4985-A84E-8552AC4C5382}" name="credor" dataDxfId="60"/>
    <tableColumn id="15" xr3:uid="{E076FDFD-C917-4899-BB40-F4499FF592BE}" name="classe" dataDxfId="59"/>
    <tableColumn id="16" xr3:uid="{75ABA4F4-48E3-4C5F-8173-5ED4DBFA82D8}" name="assunto.titulo" dataDxfId="58"/>
    <tableColumn id="17" xr3:uid="{8CA2E840-C63A-4531-93C8-123AFA79FB8C}" name="grupo.titulo" dataDxfId="57"/>
    <tableColumn id="18" xr3:uid="{5752141F-D6C3-4E1A-B10F-5C08983DA09A}" name="subgrupo.titulo" dataDxfId="56"/>
    <tableColumn id="19" xr3:uid="{4F627380-75D5-43C0-9A09-E48059974E95}" name="classificacao" dataDxfId="55"/>
    <tableColumn id="20" xr3:uid="{58602D9F-504C-4459-831A-2C342BEDC48D}" name="d/c" dataDxfId="54"/>
    <tableColumn id="21" xr3:uid="{327A2116-6BB3-4610-A671-1A4C96BFEC0F}" name="nucleo" dataDxfId="53"/>
    <tableColumn id="22" xr3:uid="{983BAABF-26E4-4519-AA67-4856AFC95801}" name="cod.grupo.nuc" dataDxfId="52"/>
    <tableColumn id="23" xr3:uid="{80C8F68F-ECB3-49D4-A74E-D629239E9C92}" name="grupo.nucleo" dataDxfId="51"/>
    <tableColumn id="24" xr3:uid="{D442FD0E-1287-4A06-98FC-6B0AEAD7BEC9}" name="cod.grupo.cen" dataDxfId="50"/>
    <tableColumn id="25" xr3:uid="{6DFAC642-E786-4831-B43F-F44A89E2D703}" name="grupo.centro" dataDxfId="49"/>
    <tableColumn id="26" xr3:uid="{C2FECD4D-2685-40F5-8A02-E4AF08AA3A80}" name="cod.classe.cen" dataDxfId="48"/>
    <tableColumn id="27" xr3:uid="{C9A23853-8F7E-4588-B7FD-8D6378266F1E}" name="classe.centro" dataDxfId="47"/>
    <tableColumn id="28" xr3:uid="{F2EB607E-C2EE-4A67-B514-8C0634DDFE5B}" name="arquivo" dataDxfId="46"/>
    <tableColumn id="29" xr3:uid="{F25F60B2-DE2C-4070-9B2E-8992D19A74E5}" name="arquivo.tabela.tipo" dataDxfId="45"/>
    <tableColumn id="30" xr3:uid="{BD1F13BE-7F96-454A-BF6E-E5CC7E3E33C5}" name="arquivo.tipo" dataDxfId="44"/>
    <tableColumn id="31" xr3:uid="{EABBC6B5-0899-4C37-87FE-DAB7CEAB1319}" name="arquivo.fonte" dataDxfId="43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2" dataDxfId="41">
  <autoFilter ref="A1:L2" xr:uid="{E04C97D4-C6EC-4BA2-BDB8-ED5F99D32C7B}"/>
  <tableColumns count="12">
    <tableColumn id="1" xr3:uid="{B5DFC91C-E081-4C3D-92BC-96E63DBDA06E}" name="empresa" dataDxfId="40"/>
    <tableColumn id="2" xr3:uid="{FA8F031D-9B1D-4B80-B82B-8AD3A6BAC081}" name="contrato.cef.5" dataDxfId="39"/>
    <tableColumn id="3" xr3:uid="{AA23661F-0E86-454B-B6FA-A33BA6F0CD1B}" name="repasse.cef.total" dataDxfId="38"/>
    <tableColumn id="4" xr3:uid="{EE24BE11-7DE0-4865-9425-57AA4E53C3E7}" name="repasse.cef.incorrido" dataDxfId="37"/>
    <tableColumn id="5" xr3:uid="{0F4302C0-1CDD-4B4D-A83B-6214CFBCD2EA}" name="repasse.cef.a.incorrer" dataDxfId="36"/>
    <tableColumn id="6" xr3:uid="{9D6ADF16-5B0C-4F1A-AEEF-585B9E5F5755}" name="repasse.cef.fin" dataDxfId="35"/>
    <tableColumn id="7" xr3:uid="{37A1F46E-AFA9-4CD2-A308-F4D6219EF875}" name="repasse.cef.desc.subs" dataDxfId="34"/>
    <tableColumn id="8" xr3:uid="{E6BABD7C-7C5B-4C88-A5BF-AF4E450F389B}" name="repasse.cef.fgts" dataDxfId="33"/>
    <tableColumn id="9" xr3:uid="{A2FE521F-3077-4FE2-BEC6-79AE0FCEB217}" name="repasse.cef.rec.prop" dataDxfId="32"/>
    <tableColumn id="10" xr3:uid="{68CE88C2-EF45-4F98-8368-487AAE13F73A}" name="repasse.cef.terreno.acum" dataDxfId="31"/>
    <tableColumn id="11" xr3:uid="{6013DC4F-C554-47DC-9D7B-BF1FFA36C501}" name="repasse.cef.obra.acum" dataDxfId="30"/>
    <tableColumn id="12" xr3:uid="{2706354C-F402-4E95-A801-2AA598F4077D}" name="arquivo" dataDxfId="29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28">
  <autoFilter ref="A1:Y2" xr:uid="{E04C97D4-C6EC-4BA2-BDB8-ED5F99D32C7B}"/>
  <tableColumns count="25">
    <tableColumn id="1" xr3:uid="{0C22C526-E0A4-4F19-9BFE-30A9404472CD}" name="data.lancamento" dataDxfId="27"/>
    <tableColumn id="2" xr3:uid="{77A03ED4-07AB-4294-89B2-72F5A8531326}" name="data.movimentacao" dataDxfId="26"/>
    <tableColumn id="3" xr3:uid="{8E7D4A26-597A-4986-9AF0-612B794EA45B}" name="documento" dataDxfId="25"/>
    <tableColumn id="4" xr3:uid="{06FCC6D4-D79B-41F2-9126-2E69213661EB}" name="descricao" dataDxfId="24"/>
    <tableColumn id="5" xr3:uid="{107A43C0-34F7-4408-922D-AAADC6BF37F3}" name="valor" dataDxfId="23"/>
    <tableColumn id="6" xr3:uid="{09FE998E-342D-4736-9BB8-8FF3C2A6765F}" name="saldo" dataDxfId="22"/>
    <tableColumn id="7" xr3:uid="{31B83EA8-E994-4C22-8F63-DB4DE7347A72}" name="natureza" dataDxfId="21"/>
    <tableColumn id="8" xr3:uid="{9FF89394-DB6C-472E-B8CF-32A54F20916F}" name="conta.interno" dataDxfId="20"/>
    <tableColumn id="9" xr3:uid="{D16991DF-006C-47C6-A7DC-8A6D45AE7F93}" name="conta" dataDxfId="19"/>
    <tableColumn id="10" xr3:uid="{46FE67B9-DDA4-4981-9ADD-336B51199073}" name="agencia" dataDxfId="18"/>
    <tableColumn id="11" xr3:uid="{106409A4-5784-4CE9-B47D-4651D0D2B24F}" name="produto" dataDxfId="17"/>
    <tableColumn id="12" xr3:uid="{294E05C9-8719-4B5F-9739-460DCC8837BC}" name="cnpj" dataDxfId="16"/>
    <tableColumn id="13" xr3:uid="{BDABB899-332A-4C59-8F5E-EBFC6B9693CB}" name="empresa" dataDxfId="15"/>
    <tableColumn id="14" xr3:uid="{C32649AC-F44D-4ECB-B27F-39D6B2234A5A}" name="periodo.inicio" dataDxfId="14"/>
    <tableColumn id="15" xr3:uid="{042272D5-5081-4172-90C7-797A3A0FC47C}" name="periodo.fim" dataDxfId="13"/>
    <tableColumn id="16" xr3:uid="{AAC2D316-D99D-4D45-A5D7-86ED7FD79233}" name="data.consulta" dataDxfId="12"/>
    <tableColumn id="17" xr3:uid="{4F43FE29-AE51-4748-BB1C-03776FDB54A0}" name="contrato.6" dataDxfId="11"/>
    <tableColumn id="18" xr3:uid="{BA7C8B05-EC97-4DD1-ADAB-499A0C3F8884}" name="contrato.5" dataDxfId="10"/>
    <tableColumn id="19" xr3:uid="{5B94869F-C19E-4CBA-8E80-EB7ABD65C157}" name="arquivo" dataDxfId="9"/>
    <tableColumn id="20" xr3:uid="{79DA71AA-04CA-4142-9A14-2BE319F88A71}" name="arquivo.subtipo" dataDxfId="8"/>
    <tableColumn id="21" xr3:uid="{1FC43668-A538-4BF0-82FF-91F3B3E7A6F8}" name="arquivo.tabela.tipo" dataDxfId="7"/>
    <tableColumn id="22" xr3:uid="{266A2BD1-7B58-4A0F-9676-569158F177E3}" name="arquivo.tipo" dataDxfId="6"/>
    <tableColumn id="23" xr3:uid="{D0812C23-470A-4BD9-BAB8-15E89CF0394E}" name="arquivo.fonte" dataDxfId="5"/>
    <tableColumn id="24" xr3:uid="{E59DF5AE-465D-4001-B538-D96ECFCFDAAA}" name="cpf.cnpj" dataDxfId="4"/>
    <tableColumn id="25" xr3:uid="{551B28B2-E69A-4957-8C64-BA60F29F2BF3}" name="nome.razao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5-12-18T19:02:02.16" personId="{42E265A3-45EC-48D4-9B29-0671EDA53BA5}" id="{1164DBE1-DE77-4A00-815E-51F8BFD51909}">
    <text>Valor total do financiamento do ABC (incorrido + a incorrer)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E122"/>
  <sheetViews>
    <sheetView showGridLines="0" tabSelected="1" zoomScale="80" zoomScaleNormal="8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B10" sqref="B10"/>
    </sheetView>
  </sheetViews>
  <sheetFormatPr defaultColWidth="11.42578125" defaultRowHeight="15" x14ac:dyDescent="0.25"/>
  <cols>
    <col min="1" max="1" width="18.28515625" customWidth="1"/>
    <col min="2" max="83" width="14.7109375" customWidth="1"/>
  </cols>
  <sheetData>
    <row r="1" spans="1:83" ht="18.75" customHeight="1" x14ac:dyDescent="0.3">
      <c r="A1" s="177">
        <v>46053</v>
      </c>
      <c r="B1" s="178" t="s">
        <v>0</v>
      </c>
      <c r="C1" s="179"/>
      <c r="D1" s="179"/>
      <c r="E1" s="179"/>
      <c r="F1" s="180"/>
      <c r="G1" s="179"/>
      <c r="H1" s="179"/>
      <c r="I1" s="179"/>
      <c r="J1" s="179"/>
      <c r="K1" s="179"/>
      <c r="L1" s="179"/>
      <c r="M1" s="179"/>
      <c r="N1" s="178" t="s">
        <v>1</v>
      </c>
      <c r="O1" s="179"/>
      <c r="P1" s="179"/>
      <c r="Q1" s="179"/>
      <c r="R1" s="180"/>
      <c r="S1" s="179"/>
      <c r="T1" s="179"/>
      <c r="U1" s="179"/>
      <c r="V1" s="179"/>
      <c r="W1" s="179"/>
      <c r="X1" s="179"/>
      <c r="Y1" s="179"/>
      <c r="Z1" s="178" t="s">
        <v>2</v>
      </c>
      <c r="AA1" s="179"/>
      <c r="AB1" s="179"/>
      <c r="AC1" s="179"/>
      <c r="AD1" s="180"/>
      <c r="AE1" s="179"/>
      <c r="AF1" s="179"/>
      <c r="AG1" s="179"/>
      <c r="AH1" s="179"/>
      <c r="AI1" s="179"/>
      <c r="AJ1" s="179"/>
      <c r="AK1" s="179"/>
      <c r="AL1" s="178" t="s">
        <v>3</v>
      </c>
      <c r="AM1" s="179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8" t="s">
        <v>4</v>
      </c>
      <c r="AY1" s="179"/>
      <c r="AZ1" s="179"/>
      <c r="BA1" s="179"/>
      <c r="BB1" s="179"/>
      <c r="BC1" s="179"/>
      <c r="BD1" s="179"/>
      <c r="BE1" s="179"/>
      <c r="BF1" s="179"/>
      <c r="BG1" s="179"/>
      <c r="BH1" s="178" t="s">
        <v>5</v>
      </c>
      <c r="BI1" s="179"/>
      <c r="BJ1" s="179"/>
      <c r="BK1" s="179"/>
      <c r="BL1" s="180"/>
      <c r="BM1" s="179"/>
      <c r="BN1" s="179"/>
      <c r="BO1" s="179"/>
      <c r="BP1" s="179"/>
      <c r="BQ1" s="179"/>
      <c r="BR1" s="179"/>
      <c r="BS1" s="179"/>
      <c r="BT1" s="178" t="s">
        <v>6</v>
      </c>
      <c r="BU1" s="179"/>
      <c r="BV1" s="179"/>
      <c r="BW1" s="179"/>
      <c r="BX1" s="179"/>
      <c r="BY1" s="179"/>
      <c r="BZ1" s="179"/>
      <c r="CA1" s="179"/>
      <c r="CB1" s="179"/>
      <c r="CC1" s="179"/>
      <c r="CD1" s="179"/>
      <c r="CE1" s="181"/>
    </row>
    <row r="2" spans="1:83" ht="15.75" customHeight="1" x14ac:dyDescent="0.25">
      <c r="B2" s="182" t="s">
        <v>7</v>
      </c>
      <c r="C2" s="183"/>
      <c r="D2" s="184">
        <f t="array" ref="D2">SUMPRODUCT(
   estq[Preço Tab.] *
   (estq[empresa]=D$6) *
   ((estq[Status]="Disponível") + (estq[Status]="Reservada") + (estq[Status]="Em negociação"))
)</f>
        <v>0</v>
      </c>
      <c r="M2" s="185"/>
      <c r="N2" s="182" t="s">
        <v>7</v>
      </c>
      <c r="O2" s="183"/>
      <c r="P2" s="184">
        <f t="array" ref="P2">SUMPRODUCT(
   estq[Preço Tab.] *
   (estq[empresa]=P$6) *
   ((estq[Status]="Disponível") + (estq[Status]="Reservada") + (estq[Status]="Em negociação"))
)</f>
        <v>0</v>
      </c>
      <c r="Y2" s="185"/>
      <c r="Z2" s="182" t="s">
        <v>7</v>
      </c>
      <c r="AA2" s="186"/>
      <c r="AB2" s="184">
        <f t="array" ref="AB2">SUMPRODUCT(
   estq[Preço Tab.] *
   (estq[empresa]=AB$6) *
   ((estq[Status]="Disponível") + (estq[Status]="Reservada") + (estq[Status]="Em negociação"))
)</f>
        <v>0</v>
      </c>
      <c r="AK2" s="185"/>
      <c r="AL2" s="182" t="s">
        <v>7</v>
      </c>
      <c r="AM2" s="186"/>
      <c r="AN2" s="184">
        <f t="array" ref="AN2">SUMPRODUCT(
   estq[Preço Tab.] *
   (estq[empresa]=AQ$6) *
   ((estq[Status]="Disponível") + (estq[Status]="Reservada") + (estq[Status]="Em negociação"))
)</f>
        <v>0</v>
      </c>
      <c r="AW2" s="185"/>
      <c r="AX2" s="182" t="s">
        <v>7</v>
      </c>
      <c r="AY2" s="186"/>
      <c r="AZ2" s="184">
        <f t="array" ref="AZ2">SUMPRODUCT(
   estq[Preço Tab.] *
   (estq[empresa]=AZ$6) *
   ((estq[Status]="Disponível") + (estq[Status]="Reservada") + (estq[Status]="Em negociação"))
)</f>
        <v>0</v>
      </c>
      <c r="BG2" s="185"/>
      <c r="BH2" s="182" t="s">
        <v>7</v>
      </c>
      <c r="BI2" s="186"/>
      <c r="BJ2" s="184">
        <f t="array" ref="BJ2">SUMPRODUCT(
   estq[Preço Tab.] *
   (estq[empresa]=BJ$6) *
   ((estq[Status]="Disponível") + (estq[Status]="Reservada") + (estq[Status]="Em negociação"))
)</f>
        <v>0</v>
      </c>
      <c r="BS2" s="185"/>
      <c r="BT2" s="182" t="s">
        <v>7</v>
      </c>
      <c r="BU2" s="186"/>
      <c r="BV2" s="184">
        <f t="array" ref="BV2">SUMPRODUCT(
   estq[Preço Tab.] *
   (estq[empresa]=BY$6) *
   ((estq[Status]="Disponível") + (estq[Status]="Reservada") + (estq[Status]="Em negociação"))
)</f>
        <v>0</v>
      </c>
      <c r="CE2" s="187"/>
    </row>
    <row r="3" spans="1:83" ht="15.75" customHeight="1" x14ac:dyDescent="0.25">
      <c r="B3" s="188" t="s">
        <v>8</v>
      </c>
      <c r="C3" s="189"/>
      <c r="D3" s="190">
        <f>COUNTIFS(estq[empresa], D$6, estq[Status], "Disponível")
+
COUNTIFS(estq[empresa], D$6, estq[Status], "Reservada")
+
COUNTIFS(estq[empresa], D$6, estq[Status], "Em negociação")</f>
        <v>0</v>
      </c>
      <c r="M3" s="185"/>
      <c r="N3" s="188" t="s">
        <v>8</v>
      </c>
      <c r="O3" s="189"/>
      <c r="P3" s="190">
        <f>COUNTIFS(estq[empresa], P$6, estq[Status], "Disponível")
+
COUNTIFS(estq[empresa], P$6, estq[Status], "Reservada")
+
COUNTIFS(estq[empresa], P$6, estq[Status], "Em negociação")</f>
        <v>0</v>
      </c>
      <c r="Y3" s="185"/>
      <c r="Z3" s="188" t="s">
        <v>8</v>
      </c>
      <c r="AA3" s="191"/>
      <c r="AB3" s="190">
        <f>COUNTIFS(estq[empresa], AB$6, estq[Status], "Disponível")
+
COUNTIFS(estq[empresa], AB$6, estq[Status], "Reservada")
+
COUNTIFS(estq[empresa], AB$6, estq[Status], "Em negociação")</f>
        <v>0</v>
      </c>
      <c r="AK3" s="185"/>
      <c r="AL3" s="188" t="s">
        <v>8</v>
      </c>
      <c r="AM3" s="191"/>
      <c r="AN3" s="190">
        <f>COUNTIFS(estq[empresa], AQ$6, estq[Status], "Disponível")
+
COUNTIFS(estq[empresa], AQ$6, estq[Status], "Reservada")
+
COUNTIFS(estq[empresa], AQ$6, estq[Status], "Em negociação")</f>
        <v>0</v>
      </c>
      <c r="AW3" s="185"/>
      <c r="AX3" s="188" t="s">
        <v>8</v>
      </c>
      <c r="AY3" s="191"/>
      <c r="AZ3" s="190">
        <f>COUNTIFS(estq[empresa], AZ$6, estq[Status], "Disponível")
+
COUNTIFS(estq[empresa], AZ$6, estq[Status], "Reservada")
+
COUNTIFS(estq[empresa], AZ$6, estq[Status], "Em negociação")</f>
        <v>0</v>
      </c>
      <c r="BG3" s="185"/>
      <c r="BH3" s="188" t="s">
        <v>8</v>
      </c>
      <c r="BI3" s="191"/>
      <c r="BJ3" s="190">
        <f>COUNTIFS(estq[empresa], BJ$6, estq[Status], "Disponível")
+
COUNTIFS(estq[empresa], BJ$6, estq[Status], "Reservada")
+
COUNTIFS(estq[empresa], BJ$6, estq[Status], "Em negociação")</f>
        <v>0</v>
      </c>
      <c r="BS3" s="185"/>
      <c r="BT3" s="188" t="s">
        <v>8</v>
      </c>
      <c r="BU3" s="191"/>
      <c r="BV3" s="190">
        <f>COUNTIFS(estq[empresa], BY$6, estq[Status], "Disponível")
+
COUNTIFS(estq[empresa], BY$6, estq[Status], "Reservada")
+
COUNTIFS(estq[empresa], BY$6, estq[Status], "Em negociação")</f>
        <v>0</v>
      </c>
      <c r="CE3" s="187"/>
    </row>
    <row r="4" spans="1:83" ht="15.75" customHeight="1" x14ac:dyDescent="0.25">
      <c r="B4" s="182" t="s">
        <v>9</v>
      </c>
      <c r="C4" s="183"/>
      <c r="D4" s="184">
        <f ca="1">SUMIFS(rec.uni[soma.meses],
INDIRECT("rec.uni[natureza]"),"parcela.cef.assinar",
INDIRECT("rec.uni[empresa]"),D$6)</f>
        <v>0</v>
      </c>
      <c r="M4" s="185"/>
      <c r="N4" s="182" t="s">
        <v>9</v>
      </c>
      <c r="O4" s="183"/>
      <c r="P4" s="184">
        <f ca="1">SUMIFS(rec.uni[soma.meses],
INDIRECT("rec.uni[natureza]"),"parcela.cef.assinar",
INDIRECT("rec.uni[empresa]"),P$6)</f>
        <v>0</v>
      </c>
      <c r="Y4" s="185"/>
      <c r="Z4" s="182" t="s">
        <v>9</v>
      </c>
      <c r="AA4" s="186"/>
      <c r="AB4" s="184">
        <f ca="1">SUMIFS(rec.uni[soma.meses],
INDIRECT("rec.uni[natureza]"),"parcela.cef.assinar",
INDIRECT("rec.uni[empresa]"),AB$6)</f>
        <v>0</v>
      </c>
      <c r="AK4" s="185"/>
      <c r="AL4" s="182" t="s">
        <v>9</v>
      </c>
      <c r="AM4" s="186"/>
      <c r="AN4" s="184">
        <f ca="1">SUMIFS(rec.uni[soma.meses],
INDIRECT("rec.uni[natureza]"),"parcela.cef.assinar",
INDIRECT("rec.uni[empresa]"),AQ$6)</f>
        <v>0</v>
      </c>
      <c r="AW4" s="185"/>
      <c r="AX4" s="192"/>
      <c r="BG4" s="185"/>
      <c r="BH4" s="182" t="s">
        <v>9</v>
      </c>
      <c r="BI4" s="186"/>
      <c r="BJ4" s="184">
        <f ca="1">SUMIFS(rec.uni[soma.meses],
INDIRECT("rec.uni[natureza]"),"parcela.cef.assinar",
INDIRECT("rec.uni[empresa]"),BJ$6)</f>
        <v>0</v>
      </c>
      <c r="BS4" s="185"/>
      <c r="BT4" s="182" t="s">
        <v>9</v>
      </c>
      <c r="BU4" s="186"/>
      <c r="BV4" s="184">
        <f ca="1">SUMIFS(rec.uni[soma.meses],
INDIRECT("rec.uni[natureza]"),"parcela.cef.assinar",
INDIRECT("rec.uni[empresa]"),BY$6)</f>
        <v>0</v>
      </c>
      <c r="CE4" s="187"/>
    </row>
    <row r="5" spans="1:83" ht="15.75" customHeight="1" x14ac:dyDescent="0.25">
      <c r="B5" s="193" t="s">
        <v>10</v>
      </c>
      <c r="C5" s="194"/>
      <c r="D5" s="195">
        <f>COUNTIFS(
   rec.uni[empresa],D$6,
   rec.uni[natureza],"parcela.cef.assinar"
)</f>
        <v>0</v>
      </c>
      <c r="M5" s="196"/>
      <c r="N5" s="193" t="s">
        <v>10</v>
      </c>
      <c r="O5" s="194"/>
      <c r="P5" s="195">
        <f>COUNTIFS(
   rec.uni[empresa],P$6,
   rec.uni[natureza],"parcela.cef.assinar"
)</f>
        <v>0</v>
      </c>
      <c r="Y5" s="196"/>
      <c r="Z5" s="193" t="s">
        <v>10</v>
      </c>
      <c r="AA5" s="197"/>
      <c r="AB5" s="195">
        <f>COUNTIFS(
   rec.uni[empresa],AB$6,
   rec.uni[natureza],"parcela.cef.assinar"
)</f>
        <v>0</v>
      </c>
      <c r="AK5" s="196"/>
      <c r="AL5" s="193" t="s">
        <v>10</v>
      </c>
      <c r="AM5" s="197"/>
      <c r="AN5" s="195">
        <f>COUNTIFS(
   rec.uni[empresa],AQ$6,
   rec.uni[natureza],"parcela.cef.assinar"
)</f>
        <v>0</v>
      </c>
      <c r="AW5" s="196"/>
      <c r="AX5" s="198"/>
      <c r="AY5" s="199"/>
      <c r="BG5" s="196"/>
      <c r="BH5" s="193" t="s">
        <v>10</v>
      </c>
      <c r="BI5" s="197"/>
      <c r="BJ5" s="195">
        <f>COUNTIFS(
   rec.uni[empresa],BJ$6,
   rec.uni[natureza],"parcela.cef.assinar"
)</f>
        <v>0</v>
      </c>
      <c r="BS5" s="196"/>
      <c r="BT5" s="193" t="s">
        <v>10</v>
      </c>
      <c r="BU5" s="197"/>
      <c r="BV5" s="195">
        <f>COUNTIFS(
   rec.uni[empresa],BY$6,
   rec.uni[natureza],"parcela.cef.assinar"
)</f>
        <v>0</v>
      </c>
      <c r="CE5" s="200"/>
    </row>
    <row r="6" spans="1:83" ht="15.75" customHeight="1" x14ac:dyDescent="0.25">
      <c r="A6" s="201" t="s">
        <v>11</v>
      </c>
      <c r="B6" s="202" t="s">
        <v>12</v>
      </c>
      <c r="C6" s="203" t="s">
        <v>12</v>
      </c>
      <c r="D6" s="203" t="s">
        <v>12</v>
      </c>
      <c r="E6" s="203" t="s">
        <v>12</v>
      </c>
      <c r="F6" s="203" t="s">
        <v>12</v>
      </c>
      <c r="G6" s="203" t="s">
        <v>12</v>
      </c>
      <c r="H6" s="203" t="s">
        <v>12</v>
      </c>
      <c r="I6" s="203" t="s">
        <v>12</v>
      </c>
      <c r="J6" s="203" t="s">
        <v>12</v>
      </c>
      <c r="K6" s="203" t="s">
        <v>12</v>
      </c>
      <c r="L6" s="203" t="s">
        <v>12</v>
      </c>
      <c r="M6" s="204" t="s">
        <v>12</v>
      </c>
      <c r="N6" s="202" t="s">
        <v>13</v>
      </c>
      <c r="O6" s="203" t="s">
        <v>13</v>
      </c>
      <c r="P6" s="203" t="s">
        <v>13</v>
      </c>
      <c r="Q6" s="203" t="s">
        <v>13</v>
      </c>
      <c r="R6" s="205" t="s">
        <v>13</v>
      </c>
      <c r="S6" s="203" t="s">
        <v>13</v>
      </c>
      <c r="T6" s="203" t="s">
        <v>13</v>
      </c>
      <c r="U6" s="203" t="s">
        <v>13</v>
      </c>
      <c r="V6" s="203" t="s">
        <v>13</v>
      </c>
      <c r="W6" s="203" t="s">
        <v>13</v>
      </c>
      <c r="X6" s="203" t="s">
        <v>13</v>
      </c>
      <c r="Y6" s="204" t="s">
        <v>13</v>
      </c>
      <c r="Z6" s="202" t="s">
        <v>14</v>
      </c>
      <c r="AA6" s="203" t="s">
        <v>14</v>
      </c>
      <c r="AB6" s="203" t="s">
        <v>14</v>
      </c>
      <c r="AC6" s="203" t="s">
        <v>14</v>
      </c>
      <c r="AD6" s="203" t="s">
        <v>14</v>
      </c>
      <c r="AE6" s="203" t="s">
        <v>14</v>
      </c>
      <c r="AF6" s="203" t="s">
        <v>14</v>
      </c>
      <c r="AG6" s="203" t="s">
        <v>14</v>
      </c>
      <c r="AH6" s="203" t="s">
        <v>14</v>
      </c>
      <c r="AI6" s="203" t="s">
        <v>14</v>
      </c>
      <c r="AJ6" s="203" t="s">
        <v>14</v>
      </c>
      <c r="AK6" s="204" t="s">
        <v>14</v>
      </c>
      <c r="AL6" s="202" t="s">
        <v>15</v>
      </c>
      <c r="AM6" s="203" t="s">
        <v>15</v>
      </c>
      <c r="AN6" s="203" t="s">
        <v>15</v>
      </c>
      <c r="AO6" s="203" t="s">
        <v>15</v>
      </c>
      <c r="AP6" s="203" t="s">
        <v>15</v>
      </c>
      <c r="AQ6" s="203" t="s">
        <v>15</v>
      </c>
      <c r="AR6" s="203" t="s">
        <v>15</v>
      </c>
      <c r="AS6" s="203" t="s">
        <v>15</v>
      </c>
      <c r="AT6" s="203" t="s">
        <v>15</v>
      </c>
      <c r="AU6" s="203" t="s">
        <v>15</v>
      </c>
      <c r="AV6" s="203" t="s">
        <v>15</v>
      </c>
      <c r="AW6" s="204" t="s">
        <v>15</v>
      </c>
      <c r="AX6" s="202" t="s">
        <v>16</v>
      </c>
      <c r="AY6" s="203" t="s">
        <v>16</v>
      </c>
      <c r="AZ6" s="203" t="s">
        <v>16</v>
      </c>
      <c r="BA6" s="203" t="s">
        <v>16</v>
      </c>
      <c r="BB6" s="203" t="s">
        <v>16</v>
      </c>
      <c r="BC6" s="203" t="s">
        <v>16</v>
      </c>
      <c r="BD6" s="203" t="s">
        <v>16</v>
      </c>
      <c r="BE6" s="203" t="s">
        <v>16</v>
      </c>
      <c r="BF6" s="203" t="s">
        <v>16</v>
      </c>
      <c r="BG6" s="204" t="s">
        <v>16</v>
      </c>
      <c r="BH6" s="202" t="s">
        <v>17</v>
      </c>
      <c r="BI6" s="203" t="s">
        <v>17</v>
      </c>
      <c r="BJ6" s="203" t="s">
        <v>17</v>
      </c>
      <c r="BK6" s="203" t="s">
        <v>17</v>
      </c>
      <c r="BL6" s="203" t="s">
        <v>17</v>
      </c>
      <c r="BM6" s="203" t="s">
        <v>17</v>
      </c>
      <c r="BN6" s="203" t="s">
        <v>17</v>
      </c>
      <c r="BO6" s="203" t="s">
        <v>17</v>
      </c>
      <c r="BP6" s="203" t="s">
        <v>17</v>
      </c>
      <c r="BQ6" s="203" t="s">
        <v>17</v>
      </c>
      <c r="BR6" s="203" t="s">
        <v>17</v>
      </c>
      <c r="BS6" s="204" t="s">
        <v>17</v>
      </c>
      <c r="BT6" s="202" t="s">
        <v>18</v>
      </c>
      <c r="BU6" s="203" t="s">
        <v>18</v>
      </c>
      <c r="BV6" s="203" t="s">
        <v>18</v>
      </c>
      <c r="BW6" s="203" t="s">
        <v>18</v>
      </c>
      <c r="BX6" s="203" t="s">
        <v>18</v>
      </c>
      <c r="BY6" s="203" t="s">
        <v>18</v>
      </c>
      <c r="BZ6" s="203" t="s">
        <v>18</v>
      </c>
      <c r="CA6" s="203" t="s">
        <v>18</v>
      </c>
      <c r="CB6" s="203" t="s">
        <v>18</v>
      </c>
      <c r="CC6" s="203" t="s">
        <v>18</v>
      </c>
      <c r="CD6" s="203" t="s">
        <v>18</v>
      </c>
      <c r="CE6" s="204" t="s">
        <v>18</v>
      </c>
    </row>
    <row r="7" spans="1:83" ht="30" customHeight="1" x14ac:dyDescent="0.25">
      <c r="A7" s="201" t="s">
        <v>19</v>
      </c>
      <c r="B7" s="206" t="s">
        <v>20</v>
      </c>
      <c r="C7" s="207" t="s">
        <v>21</v>
      </c>
      <c r="D7" s="207" t="s">
        <v>22</v>
      </c>
      <c r="E7" s="207" t="s">
        <v>23</v>
      </c>
      <c r="F7" s="208" t="s">
        <v>24</v>
      </c>
      <c r="G7" s="207" t="s">
        <v>25</v>
      </c>
      <c r="H7" s="207" t="s">
        <v>26</v>
      </c>
      <c r="I7" s="209" t="s">
        <v>471</v>
      </c>
      <c r="J7" s="209" t="s">
        <v>401</v>
      </c>
      <c r="K7" s="209" t="s">
        <v>393</v>
      </c>
      <c r="L7" s="209" t="s">
        <v>20</v>
      </c>
      <c r="M7" s="210" t="s">
        <v>431</v>
      </c>
      <c r="N7" s="206" t="s">
        <v>20</v>
      </c>
      <c r="O7" s="207" t="s">
        <v>21</v>
      </c>
      <c r="P7" s="207" t="s">
        <v>22</v>
      </c>
      <c r="Q7" s="207" t="s">
        <v>23</v>
      </c>
      <c r="R7" s="208" t="s">
        <v>24</v>
      </c>
      <c r="S7" s="207" t="s">
        <v>25</v>
      </c>
      <c r="T7" s="207" t="s">
        <v>26</v>
      </c>
      <c r="U7" s="209" t="s">
        <v>471</v>
      </c>
      <c r="V7" s="209" t="s">
        <v>401</v>
      </c>
      <c r="W7" s="209" t="s">
        <v>393</v>
      </c>
      <c r="X7" s="209" t="s">
        <v>20</v>
      </c>
      <c r="Y7" s="210" t="s">
        <v>431</v>
      </c>
      <c r="Z7" s="206" t="s">
        <v>20</v>
      </c>
      <c r="AA7" s="207" t="s">
        <v>21</v>
      </c>
      <c r="AB7" s="207" t="s">
        <v>22</v>
      </c>
      <c r="AC7" s="207" t="s">
        <v>23</v>
      </c>
      <c r="AD7" s="208" t="s">
        <v>24</v>
      </c>
      <c r="AE7" s="207" t="s">
        <v>25</v>
      </c>
      <c r="AF7" s="207" t="s">
        <v>26</v>
      </c>
      <c r="AG7" s="209" t="s">
        <v>471</v>
      </c>
      <c r="AH7" s="209" t="s">
        <v>401</v>
      </c>
      <c r="AI7" s="209" t="s">
        <v>393</v>
      </c>
      <c r="AJ7" s="209" t="s">
        <v>20</v>
      </c>
      <c r="AK7" s="210" t="s">
        <v>431</v>
      </c>
      <c r="AL7" s="206" t="s">
        <v>20</v>
      </c>
      <c r="AM7" s="207" t="s">
        <v>21</v>
      </c>
      <c r="AN7" s="207" t="s">
        <v>22</v>
      </c>
      <c r="AO7" s="207" t="s">
        <v>23</v>
      </c>
      <c r="AP7" s="208" t="s">
        <v>24</v>
      </c>
      <c r="AQ7" s="207" t="s">
        <v>25</v>
      </c>
      <c r="AR7" s="207" t="s">
        <v>26</v>
      </c>
      <c r="AS7" s="209" t="s">
        <v>471</v>
      </c>
      <c r="AT7" s="209" t="s">
        <v>401</v>
      </c>
      <c r="AU7" s="209" t="s">
        <v>393</v>
      </c>
      <c r="AV7" s="209" t="s">
        <v>20</v>
      </c>
      <c r="AW7" s="210" t="s">
        <v>431</v>
      </c>
      <c r="AX7" s="206" t="s">
        <v>20</v>
      </c>
      <c r="AY7" s="207" t="s">
        <v>21</v>
      </c>
      <c r="AZ7" s="207" t="s">
        <v>27</v>
      </c>
      <c r="BA7" s="207" t="s">
        <v>25</v>
      </c>
      <c r="BB7" s="207" t="s">
        <v>26</v>
      </c>
      <c r="BC7" s="209" t="s">
        <v>471</v>
      </c>
      <c r="BD7" s="209" t="s">
        <v>401</v>
      </c>
      <c r="BE7" s="209" t="s">
        <v>393</v>
      </c>
      <c r="BF7" s="209" t="s">
        <v>20</v>
      </c>
      <c r="BG7" s="210" t="s">
        <v>431</v>
      </c>
      <c r="BH7" s="206" t="s">
        <v>20</v>
      </c>
      <c r="BI7" s="207" t="s">
        <v>21</v>
      </c>
      <c r="BJ7" s="207" t="s">
        <v>22</v>
      </c>
      <c r="BK7" s="207" t="s">
        <v>23</v>
      </c>
      <c r="BL7" s="208" t="s">
        <v>24</v>
      </c>
      <c r="BM7" s="207" t="s">
        <v>25</v>
      </c>
      <c r="BN7" s="207" t="s">
        <v>26</v>
      </c>
      <c r="BO7" s="209" t="s">
        <v>471</v>
      </c>
      <c r="BP7" s="209" t="s">
        <v>401</v>
      </c>
      <c r="BQ7" s="209" t="s">
        <v>393</v>
      </c>
      <c r="BR7" s="209" t="s">
        <v>20</v>
      </c>
      <c r="BS7" s="210" t="s">
        <v>431</v>
      </c>
      <c r="BT7" s="206" t="s">
        <v>20</v>
      </c>
      <c r="BU7" s="207" t="s">
        <v>21</v>
      </c>
      <c r="BV7" s="207" t="s">
        <v>22</v>
      </c>
      <c r="BW7" s="207" t="s">
        <v>23</v>
      </c>
      <c r="BX7" s="208" t="s">
        <v>24</v>
      </c>
      <c r="BY7" s="207" t="s">
        <v>25</v>
      </c>
      <c r="BZ7" s="207" t="s">
        <v>26</v>
      </c>
      <c r="CA7" s="209" t="s">
        <v>471</v>
      </c>
      <c r="CB7" s="209" t="s">
        <v>401</v>
      </c>
      <c r="CC7" s="209" t="s">
        <v>393</v>
      </c>
      <c r="CD7" s="209" t="s">
        <v>20</v>
      </c>
      <c r="CE7" s="211" t="s">
        <v>431</v>
      </c>
    </row>
    <row r="8" spans="1:83" ht="15.75" customHeight="1" x14ac:dyDescent="0.25">
      <c r="A8" s="212" t="s">
        <v>28</v>
      </c>
      <c r="B8" s="213">
        <f t="shared" ref="B8:Y8" si="0">SUMIF($A$11:$A$122,"&lt;="&amp;$A$1,B$11:B$122)</f>
        <v>0</v>
      </c>
      <c r="C8" s="214">
        <f t="shared" ca="1" si="0"/>
        <v>0</v>
      </c>
      <c r="D8" s="214">
        <f t="shared" ca="1" si="0"/>
        <v>0</v>
      </c>
      <c r="E8" s="214">
        <f t="shared" ca="1" si="0"/>
        <v>0</v>
      </c>
      <c r="F8" s="215">
        <f t="shared" si="0"/>
        <v>5094987.09</v>
      </c>
      <c r="G8" s="214">
        <f t="shared" ca="1" si="0"/>
        <v>0</v>
      </c>
      <c r="H8" s="214">
        <f>SUMIF($A$11:$A$122,"&lt;="&amp;$A$1,H$11:H$122)</f>
        <v>0</v>
      </c>
      <c r="I8" s="214">
        <f t="shared" si="0"/>
        <v>0</v>
      </c>
      <c r="J8" s="214">
        <f t="shared" si="0"/>
        <v>0</v>
      </c>
      <c r="K8" s="214">
        <f t="shared" si="0"/>
        <v>0</v>
      </c>
      <c r="L8" s="214">
        <f t="shared" si="0"/>
        <v>0</v>
      </c>
      <c r="M8" s="215">
        <f t="shared" si="0"/>
        <v>0</v>
      </c>
      <c r="N8" s="213">
        <f t="shared" si="0"/>
        <v>0</v>
      </c>
      <c r="O8" s="214">
        <f t="shared" ca="1" si="0"/>
        <v>0</v>
      </c>
      <c r="P8" s="214">
        <f t="shared" ca="1" si="0"/>
        <v>0</v>
      </c>
      <c r="Q8" s="214">
        <f t="shared" ca="1" si="0"/>
        <v>0</v>
      </c>
      <c r="R8" s="215">
        <f t="shared" si="0"/>
        <v>5133141.9800000004</v>
      </c>
      <c r="S8" s="214">
        <f t="shared" ca="1" si="0"/>
        <v>0</v>
      </c>
      <c r="T8" s="214">
        <f>SUMIF($A$11:$A$122,"&lt;="&amp;$A$1,T$11:T$122)</f>
        <v>0</v>
      </c>
      <c r="U8" s="214">
        <f t="shared" si="0"/>
        <v>0</v>
      </c>
      <c r="V8" s="214">
        <f t="shared" si="0"/>
        <v>0</v>
      </c>
      <c r="W8" s="214">
        <f t="shared" si="0"/>
        <v>0</v>
      </c>
      <c r="X8" s="214">
        <f t="shared" si="0"/>
        <v>0</v>
      </c>
      <c r="Y8" s="215">
        <f t="shared" si="0"/>
        <v>0</v>
      </c>
      <c r="Z8" s="213">
        <f>SUMIF($A$11:$A$122,"&lt;="&amp;$A$1,Z$11:Z$122)</f>
        <v>0</v>
      </c>
      <c r="AA8" s="214">
        <f ca="1">SUMIF($A$11:$A$122,"&lt;="&amp;$A$1,AA$11:AA$122)</f>
        <v>0</v>
      </c>
      <c r="AB8" s="214">
        <f ca="1">SUMIF($A$11:$A$122,"&lt;="&amp;$A$1,AB$11:AB$122)</f>
        <v>0</v>
      </c>
      <c r="AC8" s="214">
        <f ca="1">SUMIF($A$11:$A$122,"&lt;="&amp;$A$1,AC$11:AC$122)</f>
        <v>0</v>
      </c>
      <c r="AD8" s="215">
        <f t="shared" ref="AD8:CE8" si="1">SUMIF($A$11:$A$122,"&lt;="&amp;$A$1,AD$11:AD$122)</f>
        <v>2560331.5299999998</v>
      </c>
      <c r="AE8" s="214">
        <f t="shared" ca="1" si="1"/>
        <v>0</v>
      </c>
      <c r="AF8" s="214">
        <f t="shared" si="1"/>
        <v>0</v>
      </c>
      <c r="AG8" s="214">
        <f t="shared" si="1"/>
        <v>0</v>
      </c>
      <c r="AH8" s="214">
        <f t="shared" si="1"/>
        <v>0</v>
      </c>
      <c r="AI8" s="214">
        <f t="shared" si="1"/>
        <v>0</v>
      </c>
      <c r="AJ8" s="214">
        <f t="shared" si="1"/>
        <v>0</v>
      </c>
      <c r="AK8" s="215">
        <f t="shared" si="1"/>
        <v>0</v>
      </c>
      <c r="AL8" s="213">
        <f t="shared" si="1"/>
        <v>0</v>
      </c>
      <c r="AM8" s="214">
        <f t="shared" ca="1" si="1"/>
        <v>0</v>
      </c>
      <c r="AN8" s="214">
        <f ca="1">SUMIF($A$11:$A$122,"&lt;="&amp;$A$1,AN$11:AN$122)</f>
        <v>0</v>
      </c>
      <c r="AO8" s="214">
        <f ca="1">SUMIF($A$11:$A$122,"&lt;="&amp;$A$1,AO$11:AO$122)</f>
        <v>0</v>
      </c>
      <c r="AP8" s="215">
        <f t="shared" si="1"/>
        <v>513271.28</v>
      </c>
      <c r="AQ8" s="214">
        <f ca="1">SUMIF($A$11:$A$122,"&lt;="&amp;$A$1,AQ$11:AQ$122)</f>
        <v>0</v>
      </c>
      <c r="AR8" s="214">
        <f t="shared" si="1"/>
        <v>0</v>
      </c>
      <c r="AS8" s="214">
        <f t="shared" si="1"/>
        <v>0</v>
      </c>
      <c r="AT8" s="214">
        <f t="shared" si="1"/>
        <v>0</v>
      </c>
      <c r="AU8" s="214">
        <f t="shared" si="1"/>
        <v>0</v>
      </c>
      <c r="AV8" s="214">
        <f t="shared" si="1"/>
        <v>0</v>
      </c>
      <c r="AW8" s="215">
        <f t="shared" si="1"/>
        <v>0</v>
      </c>
      <c r="AX8" s="213">
        <f t="shared" si="1"/>
        <v>0</v>
      </c>
      <c r="AY8" s="214">
        <f t="shared" ca="1" si="1"/>
        <v>0</v>
      </c>
      <c r="AZ8" s="216" t="s">
        <v>44</v>
      </c>
      <c r="BA8" s="214">
        <f t="shared" ca="1" si="1"/>
        <v>0</v>
      </c>
      <c r="BB8" s="214">
        <f t="shared" si="1"/>
        <v>0</v>
      </c>
      <c r="BC8" s="214">
        <f t="shared" si="1"/>
        <v>0</v>
      </c>
      <c r="BD8" s="214">
        <f t="shared" si="1"/>
        <v>0</v>
      </c>
      <c r="BE8" s="214">
        <f t="shared" si="1"/>
        <v>0</v>
      </c>
      <c r="BF8" s="214">
        <f t="shared" si="1"/>
        <v>0</v>
      </c>
      <c r="BG8" s="215">
        <f t="shared" si="1"/>
        <v>0</v>
      </c>
      <c r="BH8" s="213">
        <f t="shared" si="1"/>
        <v>0</v>
      </c>
      <c r="BI8" s="214">
        <f t="shared" ca="1" si="1"/>
        <v>0</v>
      </c>
      <c r="BJ8" s="214">
        <f t="shared" ca="1" si="1"/>
        <v>0</v>
      </c>
      <c r="BK8" s="214">
        <f t="shared" ca="1" si="1"/>
        <v>0</v>
      </c>
      <c r="BL8" s="215">
        <f t="shared" si="1"/>
        <v>3185887.12</v>
      </c>
      <c r="BM8" s="214">
        <f t="shared" ca="1" si="1"/>
        <v>0</v>
      </c>
      <c r="BN8" s="214">
        <f t="shared" si="1"/>
        <v>0</v>
      </c>
      <c r="BO8" s="214">
        <f t="shared" si="1"/>
        <v>0</v>
      </c>
      <c r="BP8" s="214">
        <f t="shared" si="1"/>
        <v>0</v>
      </c>
      <c r="BQ8" s="214">
        <f t="shared" si="1"/>
        <v>0</v>
      </c>
      <c r="BR8" s="214">
        <f t="shared" si="1"/>
        <v>0</v>
      </c>
      <c r="BS8" s="215">
        <f t="shared" si="1"/>
        <v>0</v>
      </c>
      <c r="BT8" s="213">
        <f t="shared" si="1"/>
        <v>0</v>
      </c>
      <c r="BU8" s="214">
        <f t="shared" ca="1" si="1"/>
        <v>0</v>
      </c>
      <c r="BV8" s="214">
        <f ca="1">SUMIF($A$11:$A$122,"&lt;="&amp;$A$1,BV$11:BV$122)</f>
        <v>0</v>
      </c>
      <c r="BW8" s="214">
        <f t="shared" ca="1" si="1"/>
        <v>0</v>
      </c>
      <c r="BX8" s="215">
        <f t="shared" si="1"/>
        <v>0</v>
      </c>
      <c r="BY8" s="214">
        <f ca="1">SUMIF($A$11:$A$122,"&lt;="&amp;$A$1,BY$11:BY$122)</f>
        <v>0</v>
      </c>
      <c r="BZ8" s="214">
        <f t="shared" si="1"/>
        <v>0</v>
      </c>
      <c r="CA8" s="214">
        <f t="shared" si="1"/>
        <v>0</v>
      </c>
      <c r="CB8" s="214">
        <f t="shared" si="1"/>
        <v>0</v>
      </c>
      <c r="CC8" s="214">
        <f t="shared" si="1"/>
        <v>0</v>
      </c>
      <c r="CD8" s="214">
        <f t="shared" si="1"/>
        <v>0</v>
      </c>
      <c r="CE8" s="217">
        <f t="shared" si="1"/>
        <v>0</v>
      </c>
    </row>
    <row r="9" spans="1:83" ht="15.75" customHeight="1" x14ac:dyDescent="0.25">
      <c r="A9" s="212" t="s">
        <v>29</v>
      </c>
      <c r="B9" s="218">
        <f>B$10-B$8</f>
        <v>0</v>
      </c>
      <c r="C9" s="214">
        <f ca="1">SUMIF($A$11:$A$122,"&gt;"&amp;$A$1,C$11:C$122)</f>
        <v>0</v>
      </c>
      <c r="D9" s="219">
        <f ca="1">IFERROR(SUMIF(ecns[empresa], D$6,ecns[repasse.cef.total])
-E$8
-E$9
-D$8,0)</f>
        <v>0</v>
      </c>
      <c r="E9" s="219">
        <v>0</v>
      </c>
      <c r="F9" s="220">
        <f>SUMIF($A$11:$A$122,"&gt;"&amp;$A$1,F$11:F$122)</f>
        <v>0</v>
      </c>
      <c r="G9" s="214">
        <f ca="1">SUMIF($A$11:$A$122,"&gt;"&amp;$A$1,G$11:G$122)</f>
        <v>0</v>
      </c>
      <c r="H9" s="216">
        <f>SUMIF($A$11:$A$122,"&gt;"&amp;$A$1,H$11:H$122)</f>
        <v>0</v>
      </c>
      <c r="I9" s="216">
        <f>SUMIF($A$11:$A$122,"&gt;"&amp;$A$1,I$11:I$122)</f>
        <v>0</v>
      </c>
      <c r="J9" s="216">
        <f>SUMIF($A$11:$A$122,"&gt;"&amp;$A$1,J$11:J$122)</f>
        <v>0</v>
      </c>
      <c r="K9" s="216">
        <f t="shared" ref="K9:M9" si="2">SUMIF($A$11:$A$122,"&gt;"&amp;$A$1,K$11:K$122)</f>
        <v>0</v>
      </c>
      <c r="L9" s="216">
        <f t="shared" si="2"/>
        <v>0</v>
      </c>
      <c r="M9" s="220">
        <f t="shared" si="2"/>
        <v>0</v>
      </c>
      <c r="N9" s="218">
        <f>N$10-N$8</f>
        <v>0</v>
      </c>
      <c r="O9" s="214">
        <f ca="1">SUMIF($A$11:$A$122,"&gt;"&amp;$A$1,O$11:O$122)</f>
        <v>0</v>
      </c>
      <c r="P9" s="219">
        <v>0</v>
      </c>
      <c r="Q9" s="219">
        <v>0</v>
      </c>
      <c r="R9" s="220">
        <f>SUMIF($A$11:$A$122,"&gt;"&amp;$A$1,R$11:R$122)</f>
        <v>0</v>
      </c>
      <c r="S9" s="214">
        <f ca="1">SUMIF($A$11:$A$122,"&gt;"&amp;$A$1,S$11:S$122)</f>
        <v>0</v>
      </c>
      <c r="T9" s="216">
        <f>SUMIF($A$11:$A$122,"&gt;"&amp;$A$1,T$11:T$122)</f>
        <v>0</v>
      </c>
      <c r="U9" s="216">
        <f>SUMIF($A$11:$A$122,"&gt;"&amp;$A$1,U$11:U$122)</f>
        <v>0</v>
      </c>
      <c r="V9" s="216">
        <f>SUMIF($A$11:$A$122,"&gt;"&amp;$A$1,V$11:V$122)</f>
        <v>0</v>
      </c>
      <c r="W9" s="216">
        <f t="shared" ref="W9:Y9" si="3">SUMIF($A$11:$A$122,"&gt;"&amp;$A$1,W$11:W$122)</f>
        <v>0</v>
      </c>
      <c r="X9" s="216">
        <f t="shared" si="3"/>
        <v>0</v>
      </c>
      <c r="Y9" s="220">
        <f t="shared" si="3"/>
        <v>0</v>
      </c>
      <c r="Z9" s="218">
        <f>Z$10-Z$8</f>
        <v>0</v>
      </c>
      <c r="AA9" s="214">
        <f ca="1">SUMIF($A$11:$A$122,"&gt;"&amp;$A$1,AA$11:AA$122)</f>
        <v>0</v>
      </c>
      <c r="AB9" s="219">
        <f ca="1">IFERROR(SUMIF(ecns[empresa], AB$6,ecns[repasse.cef.total])
-AC$8
-AC$9
-AB$8,0)</f>
        <v>0</v>
      </c>
      <c r="AC9" s="219">
        <v>0</v>
      </c>
      <c r="AD9" s="220">
        <f>SUMIF($A$11:$A$122,"&gt;"&amp;$A$1,AD$11:AD$122)</f>
        <v>0</v>
      </c>
      <c r="AE9" s="214">
        <f ca="1">SUMIF($A$11:$A$122,"&gt;"&amp;$A$1,AE$11:AE$122)</f>
        <v>0</v>
      </c>
      <c r="AF9" s="216">
        <f>SUMIF($A$11:$A$122,"&gt;"&amp;$A$1,AF$11:AF$122)</f>
        <v>0</v>
      </c>
      <c r="AG9" s="216">
        <f>SUMIF($A$11:$A$122,"&gt;"&amp;$A$1,AG$11:AG$122)</f>
        <v>0</v>
      </c>
      <c r="AH9" s="216">
        <f>SUMIF($A$11:$A$122,"&gt;"&amp;$A$1,AH$11:AH$122)</f>
        <v>0</v>
      </c>
      <c r="AI9" s="216">
        <f t="shared" ref="AI9:AK9" si="4">SUMIF($A$11:$A$122,"&gt;"&amp;$A$1,AI$11:AI$122)</f>
        <v>0</v>
      </c>
      <c r="AJ9" s="216">
        <f t="shared" si="4"/>
        <v>0</v>
      </c>
      <c r="AK9" s="220">
        <f t="shared" si="4"/>
        <v>0</v>
      </c>
      <c r="AL9" s="218">
        <f>AL$10-AL$8</f>
        <v>0</v>
      </c>
      <c r="AM9" s="214">
        <f ca="1">SUMIF($A$11:$A$122,"&gt;"&amp;$A$1,AM$11:AM$122)</f>
        <v>0</v>
      </c>
      <c r="AN9" s="219">
        <f ca="1">IFERROR(SUMIF(ecns[empresa], AN$6,ecns[repasse.cef.total])
-AO$8
-AO$9
-AN$8,0)</f>
        <v>0</v>
      </c>
      <c r="AO9" s="219">
        <v>0</v>
      </c>
      <c r="AP9" s="220">
        <f>SUMIF($A$11:$A$122,"&gt;"&amp;$A$1,AP$11:AP$122)</f>
        <v>0</v>
      </c>
      <c r="AQ9" s="214">
        <f ca="1">SUMIF($A$11:$A$122,"&gt;"&amp;$A$1,AQ$11:AQ$122)</f>
        <v>0</v>
      </c>
      <c r="AR9" s="216">
        <f>SUMIF($A$11:$A$122,"&gt;"&amp;$A$1,AR$11:AR$122)</f>
        <v>0</v>
      </c>
      <c r="AS9" s="216">
        <f>SUMIF($A$11:$A$122,"&gt;"&amp;$A$1,AS$11:AS$122)</f>
        <v>0</v>
      </c>
      <c r="AT9" s="216">
        <f>SUMIF($A$11:$A$122,"&gt;"&amp;$A$1,AT$11:AT$122)</f>
        <v>0</v>
      </c>
      <c r="AU9" s="216">
        <f t="shared" ref="AU9:AW9" si="5">SUMIF($A$11:$A$122,"&gt;"&amp;$A$1,AU$11:AU$122)</f>
        <v>0</v>
      </c>
      <c r="AV9" s="216">
        <f t="shared" si="5"/>
        <v>0</v>
      </c>
      <c r="AW9" s="220">
        <f t="shared" si="5"/>
        <v>0</v>
      </c>
      <c r="AX9" s="218">
        <f>AX$10-AX$8</f>
        <v>0</v>
      </c>
      <c r="AY9" s="214">
        <f t="shared" ref="AY9:BG9" ca="1" si="6">SUMIF($A$11:$A$122,"&gt;"&amp;$A$1,AY$11:AY$122)</f>
        <v>0</v>
      </c>
      <c r="AZ9" s="219">
        <f t="shared" ca="1" si="6"/>
        <v>0</v>
      </c>
      <c r="BA9" s="214">
        <f t="shared" ca="1" si="6"/>
        <v>0</v>
      </c>
      <c r="BB9" s="216">
        <f t="shared" si="6"/>
        <v>0</v>
      </c>
      <c r="BC9" s="216">
        <f t="shared" si="6"/>
        <v>0</v>
      </c>
      <c r="BD9" s="216">
        <f t="shared" si="6"/>
        <v>0</v>
      </c>
      <c r="BE9" s="216">
        <f t="shared" si="6"/>
        <v>0</v>
      </c>
      <c r="BF9" s="216">
        <f t="shared" si="6"/>
        <v>0</v>
      </c>
      <c r="BG9" s="220">
        <f t="shared" si="6"/>
        <v>0</v>
      </c>
      <c r="BH9" s="218">
        <f>BH$10-BH$8</f>
        <v>0</v>
      </c>
      <c r="BI9" s="214">
        <f ca="1">SUMIF($A$11:$A$122,"&gt;"&amp;$A$1,BI$11:BI$122)</f>
        <v>0</v>
      </c>
      <c r="BJ9" s="219">
        <f ca="1">IFERROR(SUMIF(ecns[empresa], BJ$6,ecns[repasse.cef.total])
-BK$8
-BK$9
-BJ$8,0)</f>
        <v>0</v>
      </c>
      <c r="BK9" s="219">
        <v>0</v>
      </c>
      <c r="BL9" s="220">
        <f>SUMIF($A$11:$A$122,"&gt;"&amp;$A$1,BL$11:BL$122)</f>
        <v>0</v>
      </c>
      <c r="BM9" s="214">
        <f ca="1">SUMIF($A$11:$A$122,"&gt;"&amp;$A$1,BM$11:BM$122)</f>
        <v>0</v>
      </c>
      <c r="BN9" s="216">
        <f>SUMIF($A$11:$A$122,"&gt;"&amp;$A$1,BN$11:BN$122)</f>
        <v>0</v>
      </c>
      <c r="BO9" s="216">
        <f>SUMIF($A$11:$A$122,"&gt;"&amp;$A$1,BO$11:BO$122)</f>
        <v>0</v>
      </c>
      <c r="BP9" s="216">
        <f>SUMIF($A$11:$A$122,"&gt;"&amp;$A$1,BP$11:BP$122)</f>
        <v>0</v>
      </c>
      <c r="BQ9" s="216">
        <f t="shared" ref="BQ9:BS9" si="7">SUMIF($A$11:$A$122,"&gt;"&amp;$A$1,BQ$11:BQ$122)</f>
        <v>0</v>
      </c>
      <c r="BR9" s="216">
        <f t="shared" si="7"/>
        <v>0</v>
      </c>
      <c r="BS9" s="220">
        <f t="shared" si="7"/>
        <v>0</v>
      </c>
      <c r="BT9" s="218">
        <f>BT$10-BT$8</f>
        <v>0</v>
      </c>
      <c r="BU9" s="214">
        <f ca="1">SUMIF($A$11:$A$122,"&gt;"&amp;$A$1,BU$11:BU$122)</f>
        <v>0</v>
      </c>
      <c r="BV9" s="219">
        <f ca="1">IFERROR(SUMIF(ecns[empresa], BV$6,ecns[repasse.cef.total])
-BW$8
-BW$9
-BV$8,0)</f>
        <v>0</v>
      </c>
      <c r="BW9" s="219">
        <v>0</v>
      </c>
      <c r="BX9" s="220">
        <f>SUMIF($A$11:$A$122,"&gt;"&amp;$A$1,BX$11:BX$122)</f>
        <v>0</v>
      </c>
      <c r="BY9" s="214">
        <f ca="1">SUMIF($A$11:$A$122,"&gt;"&amp;$A$1,BY$11:BY$122)</f>
        <v>0</v>
      </c>
      <c r="BZ9" s="216">
        <f>SUMIF($A$11:$A$122,"&gt;"&amp;$A$1,BZ$11:BZ$122)</f>
        <v>0</v>
      </c>
      <c r="CA9" s="216">
        <f>SUMIF($A$11:$A$122,"&gt;"&amp;$A$1,CA$11:CA$122)</f>
        <v>0</v>
      </c>
      <c r="CB9" s="216">
        <f>SUMIF($A$11:$A$122,"&gt;"&amp;$A$1,CB$11:CB$122)</f>
        <v>0</v>
      </c>
      <c r="CC9" s="216">
        <f t="shared" ref="CC9:CE9" si="8">SUMIF($A$11:$A$122,"&gt;"&amp;$A$1,CC$11:CC$122)</f>
        <v>0</v>
      </c>
      <c r="CD9" s="216">
        <f t="shared" si="8"/>
        <v>0</v>
      </c>
      <c r="CE9" s="221">
        <f t="shared" si="8"/>
        <v>0</v>
      </c>
    </row>
    <row r="10" spans="1:83" ht="15.75" customHeight="1" x14ac:dyDescent="0.25">
      <c r="A10" s="222" t="s">
        <v>30</v>
      </c>
      <c r="B10" s="218">
        <f>status.unis!H4</f>
        <v>0</v>
      </c>
      <c r="C10" s="223">
        <f t="shared" ref="C10:I10" ca="1" si="9">SUM(C8:C9)</f>
        <v>0</v>
      </c>
      <c r="D10" s="223">
        <f t="shared" ca="1" si="9"/>
        <v>0</v>
      </c>
      <c r="E10" s="223">
        <f t="shared" ca="1" si="9"/>
        <v>0</v>
      </c>
      <c r="F10" s="224">
        <f t="shared" si="9"/>
        <v>5094987.09</v>
      </c>
      <c r="G10" s="223">
        <f t="shared" ca="1" si="9"/>
        <v>0</v>
      </c>
      <c r="H10" s="223">
        <f t="shared" si="9"/>
        <v>0</v>
      </c>
      <c r="I10" s="223">
        <f t="shared" si="9"/>
        <v>0</v>
      </c>
      <c r="J10" s="223">
        <f t="shared" ref="J10:M10" si="10">SUM(J8:J9)</f>
        <v>0</v>
      </c>
      <c r="K10" s="223">
        <f t="shared" si="10"/>
        <v>0</v>
      </c>
      <c r="L10" s="223">
        <f t="shared" si="10"/>
        <v>0</v>
      </c>
      <c r="M10" s="224">
        <f t="shared" si="10"/>
        <v>0</v>
      </c>
      <c r="N10" s="218">
        <f>status.unis!H8</f>
        <v>0</v>
      </c>
      <c r="O10" s="223">
        <f t="shared" ref="O10:Y10" ca="1" si="11">SUM(O8:O9)</f>
        <v>0</v>
      </c>
      <c r="P10" s="223">
        <f t="shared" ca="1" si="11"/>
        <v>0</v>
      </c>
      <c r="Q10" s="223">
        <f t="shared" ca="1" si="11"/>
        <v>0</v>
      </c>
      <c r="R10" s="224">
        <f t="shared" si="11"/>
        <v>5133141.9800000004</v>
      </c>
      <c r="S10" s="223">
        <f t="shared" ca="1" si="11"/>
        <v>0</v>
      </c>
      <c r="T10" s="223">
        <f t="shared" si="11"/>
        <v>0</v>
      </c>
      <c r="U10" s="223">
        <f t="shared" si="11"/>
        <v>0</v>
      </c>
      <c r="V10" s="223">
        <f t="shared" si="11"/>
        <v>0</v>
      </c>
      <c r="W10" s="223">
        <f t="shared" si="11"/>
        <v>0</v>
      </c>
      <c r="X10" s="223">
        <f t="shared" si="11"/>
        <v>0</v>
      </c>
      <c r="Y10" s="224">
        <f t="shared" si="11"/>
        <v>0</v>
      </c>
      <c r="Z10" s="218">
        <f>status.unis!H12</f>
        <v>0</v>
      </c>
      <c r="AA10" s="223">
        <f t="shared" ref="AA10:AK10" ca="1" si="12">SUM(AA8:AA9)</f>
        <v>0</v>
      </c>
      <c r="AB10" s="223">
        <f t="shared" ca="1" si="12"/>
        <v>0</v>
      </c>
      <c r="AC10" s="223">
        <f t="shared" ca="1" si="12"/>
        <v>0</v>
      </c>
      <c r="AD10" s="224">
        <f t="shared" si="12"/>
        <v>2560331.5299999998</v>
      </c>
      <c r="AE10" s="223">
        <f t="shared" ca="1" si="12"/>
        <v>0</v>
      </c>
      <c r="AF10" s="223">
        <f t="shared" si="12"/>
        <v>0</v>
      </c>
      <c r="AG10" s="223">
        <f t="shared" si="12"/>
        <v>0</v>
      </c>
      <c r="AH10" s="223">
        <f t="shared" si="12"/>
        <v>0</v>
      </c>
      <c r="AI10" s="223">
        <f t="shared" si="12"/>
        <v>0</v>
      </c>
      <c r="AJ10" s="223">
        <f t="shared" si="12"/>
        <v>0</v>
      </c>
      <c r="AK10" s="224">
        <f t="shared" si="12"/>
        <v>0</v>
      </c>
      <c r="AL10" s="218">
        <f>status.unis!H16</f>
        <v>0</v>
      </c>
      <c r="AM10" s="223">
        <f ca="1">SUM(AM8:AM9)</f>
        <v>0</v>
      </c>
      <c r="AN10" s="223">
        <f t="shared" ref="AN10:AP10" ca="1" si="13">SUM(AN8:AN9)</f>
        <v>0</v>
      </c>
      <c r="AO10" s="223">
        <f t="shared" ca="1" si="13"/>
        <v>0</v>
      </c>
      <c r="AP10" s="224">
        <f t="shared" si="13"/>
        <v>513271.28</v>
      </c>
      <c r="AQ10" s="223">
        <f ca="1">SUM(AQ8:AQ9)</f>
        <v>0</v>
      </c>
      <c r="AR10" s="223">
        <f>SUM(AR8:AR9)</f>
        <v>0</v>
      </c>
      <c r="AS10" s="223">
        <f t="shared" ref="AS10:AW10" si="14">SUM(AS8:AS9)</f>
        <v>0</v>
      </c>
      <c r="AT10" s="223">
        <f t="shared" si="14"/>
        <v>0</v>
      </c>
      <c r="AU10" s="223">
        <f t="shared" si="14"/>
        <v>0</v>
      </c>
      <c r="AV10" s="223">
        <f t="shared" si="14"/>
        <v>0</v>
      </c>
      <c r="AW10" s="224">
        <f t="shared" si="14"/>
        <v>0</v>
      </c>
      <c r="AX10" s="218">
        <f>status.unis!H20</f>
        <v>0</v>
      </c>
      <c r="AY10" s="223">
        <f ca="1">SUM(AY8:AY9)</f>
        <v>0</v>
      </c>
      <c r="AZ10" s="223">
        <f ca="1">SUM(AZ8:AZ9)</f>
        <v>0</v>
      </c>
      <c r="BA10" s="223">
        <f ca="1">SUM(BA8:BA9)</f>
        <v>0</v>
      </c>
      <c r="BB10" s="223">
        <f>SUM(BB8:BB9)</f>
        <v>0</v>
      </c>
      <c r="BC10" s="223">
        <f t="shared" ref="BC10:BG10" si="15">SUM(BC8:BC9)</f>
        <v>0</v>
      </c>
      <c r="BD10" s="223">
        <f t="shared" si="15"/>
        <v>0</v>
      </c>
      <c r="BE10" s="223">
        <f t="shared" si="15"/>
        <v>0</v>
      </c>
      <c r="BF10" s="223">
        <f t="shared" si="15"/>
        <v>0</v>
      </c>
      <c r="BG10" s="224">
        <f t="shared" si="15"/>
        <v>0</v>
      </c>
      <c r="BH10" s="218">
        <f>status.unis!H24</f>
        <v>0</v>
      </c>
      <c r="BI10" s="223">
        <f t="shared" ref="BI10:BS10" ca="1" si="16">SUM(BI8:BI9)</f>
        <v>0</v>
      </c>
      <c r="BJ10" s="223">
        <f t="shared" ca="1" si="16"/>
        <v>0</v>
      </c>
      <c r="BK10" s="223">
        <f t="shared" ca="1" si="16"/>
        <v>0</v>
      </c>
      <c r="BL10" s="224">
        <f t="shared" si="16"/>
        <v>3185887.12</v>
      </c>
      <c r="BM10" s="223">
        <f t="shared" ca="1" si="16"/>
        <v>0</v>
      </c>
      <c r="BN10" s="223">
        <f t="shared" si="16"/>
        <v>0</v>
      </c>
      <c r="BO10" s="223">
        <f t="shared" si="16"/>
        <v>0</v>
      </c>
      <c r="BP10" s="223">
        <f t="shared" si="16"/>
        <v>0</v>
      </c>
      <c r="BQ10" s="223">
        <f t="shared" si="16"/>
        <v>0</v>
      </c>
      <c r="BR10" s="223">
        <f t="shared" si="16"/>
        <v>0</v>
      </c>
      <c r="BS10" s="224">
        <f t="shared" si="16"/>
        <v>0</v>
      </c>
      <c r="BT10" s="218">
        <f>status.unis!H28</f>
        <v>0</v>
      </c>
      <c r="BU10" s="223">
        <f ca="1">SUM(BU8:BU9)</f>
        <v>0</v>
      </c>
      <c r="BV10" s="223">
        <f t="shared" ref="BV10:BX10" ca="1" si="17">SUM(BV8:BV9)</f>
        <v>0</v>
      </c>
      <c r="BW10" s="223">
        <f t="shared" ca="1" si="17"/>
        <v>0</v>
      </c>
      <c r="BX10" s="224">
        <f t="shared" si="17"/>
        <v>0</v>
      </c>
      <c r="BY10" s="223">
        <f ca="1">SUM(BY8:BY9)</f>
        <v>0</v>
      </c>
      <c r="BZ10" s="223">
        <f>SUM(BZ8:BZ9)</f>
        <v>0</v>
      </c>
      <c r="CA10" s="223">
        <f t="shared" ref="CA10:CE10" si="18">SUM(CA8:CA9)</f>
        <v>0</v>
      </c>
      <c r="CB10" s="223">
        <f t="shared" si="18"/>
        <v>0</v>
      </c>
      <c r="CC10" s="223">
        <f t="shared" si="18"/>
        <v>0</v>
      </c>
      <c r="CD10" s="223">
        <f t="shared" si="18"/>
        <v>0</v>
      </c>
      <c r="CE10" s="225">
        <f t="shared" si="18"/>
        <v>0</v>
      </c>
    </row>
    <row r="11" spans="1:83" x14ac:dyDescent="0.25">
      <c r="A11" s="226">
        <v>44440</v>
      </c>
      <c r="B11" s="227">
        <f>COUNTIFS(
    estq[empresa], B$6,
    estq[Data da venda / reserva], "&gt;=" &amp; $A11,
    estq[Data da venda / reserva], "&lt;"  &amp; EOMONTH($A11,0) + 1
)</f>
        <v>0</v>
      </c>
      <c r="C11" s="228">
        <v>0</v>
      </c>
      <c r="D11" s="228">
        <v>0</v>
      </c>
      <c r="E11" s="228">
        <v>0</v>
      </c>
      <c r="F11" s="228">
        <v>0</v>
      </c>
      <c r="G11" s="228">
        <v>0</v>
      </c>
      <c r="H11" s="216"/>
      <c r="I11" s="228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228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228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228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229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227">
        <f>COUNTIFS(
    estq[empresa], N$6,
    estq[Data da venda / reserva], "&gt;=" &amp; $A11,
    estq[Data da venda / reserva], "&lt;"  &amp; EOMONTH($A11,0) + 1
)</f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16"/>
      <c r="U11" s="228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228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228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228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229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227">
        <f>COUNTIFS(
    estq[empresa], Z$6,
    estq[Data da venda / reserva], "&gt;=" &amp; $A11,
    estq[Data da venda / reserva], "&lt;"  &amp; EOMONTH($A11,0) + 1
)</f>
        <v>0</v>
      </c>
      <c r="AA11" s="228">
        <v>0</v>
      </c>
      <c r="AB11" s="228">
        <v>0</v>
      </c>
      <c r="AC11" s="228">
        <v>0</v>
      </c>
      <c r="AD11" s="228">
        <v>0</v>
      </c>
      <c r="AE11" s="228">
        <v>0</v>
      </c>
      <c r="AF11" s="216"/>
      <c r="AG11" s="228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H11" s="228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I11" s="228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J11" s="228" cm="1">
        <f t="array" ref="AJ1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K11" s="229" cm="1">
        <f t="array" ref="AK1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L11" s="227">
        <f>COUNTIFS(
    estq[empresa], AL$6,
    estq[Data da venda / reserva], "&gt;=" &amp; $A11,
    estq[Data da venda / reserva], "&lt;"  &amp; EOMONTH($A11,0) + 1
)</f>
        <v>0</v>
      </c>
      <c r="AM11" s="228">
        <v>0</v>
      </c>
      <c r="AN11" s="228">
        <v>0</v>
      </c>
      <c r="AO11" s="228">
        <v>0</v>
      </c>
      <c r="AP11" s="228">
        <v>0</v>
      </c>
      <c r="AQ11" s="228">
        <v>0</v>
      </c>
      <c r="AR11" s="216"/>
      <c r="AS11" s="228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T11" s="228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U11" s="228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V11" s="228" cm="1">
        <f t="array" ref="AV1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W11" s="229" cm="1">
        <f t="array" ref="AW1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X11" s="227">
        <f>COUNTIFS(
    estq[empresa], AX$6,
    estq[Data da venda / reserva], "&gt;=" &amp; $A11,
    estq[Data da venda / reserva], "&lt;"  &amp; EOMONTH($A11,0) + 1
)</f>
        <v>0</v>
      </c>
      <c r="AY11" s="228">
        <v>0</v>
      </c>
      <c r="AZ11" s="216">
        <v>0</v>
      </c>
      <c r="BA11" s="228">
        <v>0</v>
      </c>
      <c r="BB11" s="216"/>
      <c r="BC11" s="228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D11" s="228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E11" s="228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F11" s="228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G11" s="229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H11" s="227">
        <f>COUNTIFS(
    estq[empresa], BH$6,
    estq[Data da venda / reserva], "&gt;=" &amp; $A11,
    estq[Data da venda / reserva], "&lt;"  &amp; EOMONTH($A11,0) + 1
)</f>
        <v>0</v>
      </c>
      <c r="BI11" s="228">
        <v>0</v>
      </c>
      <c r="BJ11" s="228">
        <v>0</v>
      </c>
      <c r="BK11" s="228">
        <v>0</v>
      </c>
      <c r="BL11" s="228">
        <v>0</v>
      </c>
      <c r="BM11" s="228">
        <v>0</v>
      </c>
      <c r="BN11" s="216"/>
      <c r="BO11" s="228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P11" s="228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Q11" s="228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R11" s="228" cm="1">
        <f t="array" ref="BR1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S11" s="229" cm="1">
        <f t="array" ref="BS1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T11" s="227">
        <f>COUNTIFS(
    estq[empresa], BT$6,
    estq[Data da venda / reserva], "&gt;=" &amp; $A11,
    estq[Data da venda / reserva], "&lt;"  &amp; EOMONTH($A11,0) + 1
)</f>
        <v>0</v>
      </c>
      <c r="BU11" s="228">
        <v>0</v>
      </c>
      <c r="BV11" s="228">
        <v>0</v>
      </c>
      <c r="BW11" s="228">
        <v>0</v>
      </c>
      <c r="BX11" s="228">
        <v>0</v>
      </c>
      <c r="BY11" s="228">
        <v>0</v>
      </c>
      <c r="BZ11" s="216"/>
      <c r="CA11" s="228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B11" s="228" cm="1">
        <f t="array" ref="CB1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C11" s="228" cm="1">
        <f t="array" ref="CC1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D11" s="228" cm="1">
        <f t="array" ref="CD1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E11" s="230" cm="1">
        <f t="array" ref="CE1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83" x14ac:dyDescent="0.25">
      <c r="A12" s="226">
        <v>44470</v>
      </c>
      <c r="B12" s="227">
        <f>COUNTIFS(
    estq[empresa], B$6,
    estq[Data da venda / reserva], "&gt;=" &amp; $A12,
    estq[Data da venda / reserva], "&lt;"  &amp; EOMONTH($A12,0) + 1
)</f>
        <v>0</v>
      </c>
      <c r="C12" s="228">
        <v>0</v>
      </c>
      <c r="D12" s="228">
        <v>0</v>
      </c>
      <c r="E12" s="228">
        <v>0</v>
      </c>
      <c r="F12" s="228">
        <v>0</v>
      </c>
      <c r="G12" s="228">
        <v>0</v>
      </c>
      <c r="H12" s="216"/>
      <c r="I12" s="228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228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228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228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229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227">
        <f>COUNTIFS(
    estq[empresa], N$6,
    estq[Data da venda / reserva], "&gt;=" &amp; $A12,
    estq[Data da venda / reserva], "&lt;"  &amp; EOMONTH($A12,0) + 1
)</f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16"/>
      <c r="U12" s="228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228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228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228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229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227">
        <f>COUNTIFS(
    estq[empresa], Z$6,
    estq[Data da venda / reserva], "&gt;=" &amp; $A12,
    estq[Data da venda / reserva], "&lt;"  &amp; EOMONTH($A12,0) + 1
)</f>
        <v>0</v>
      </c>
      <c r="AA12" s="228">
        <v>0</v>
      </c>
      <c r="AB12" s="228">
        <v>0</v>
      </c>
      <c r="AC12" s="228">
        <v>0</v>
      </c>
      <c r="AD12" s="228">
        <v>0</v>
      </c>
      <c r="AE12" s="228">
        <v>0</v>
      </c>
      <c r="AF12" s="216"/>
      <c r="AG12" s="228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H12" s="228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I12" s="228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J12" s="228" cm="1">
        <f t="array" ref="AJ1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K12" s="229" cm="1">
        <f t="array" ref="AK1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L12" s="227">
        <f>COUNTIFS(
    estq[empresa], AL$6,
    estq[Data da venda / reserva], "&gt;=" &amp; $A12,
    estq[Data da venda / reserva], "&lt;"  &amp; EOMONTH($A12,0) + 1
)</f>
        <v>0</v>
      </c>
      <c r="AM12" s="228">
        <v>0</v>
      </c>
      <c r="AN12" s="228">
        <v>0</v>
      </c>
      <c r="AO12" s="228">
        <v>0</v>
      </c>
      <c r="AP12" s="228">
        <v>0</v>
      </c>
      <c r="AQ12" s="228">
        <v>0</v>
      </c>
      <c r="AR12" s="216"/>
      <c r="AS12" s="228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T12" s="228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U12" s="228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V12" s="228" cm="1">
        <f t="array" ref="AV1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W12" s="229" cm="1">
        <f t="array" ref="AW1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X12" s="227">
        <f>COUNTIFS(
    estq[empresa], AX$6,
    estq[Data da venda / reserva], "&gt;=" &amp; $A12,
    estq[Data da venda / reserva], "&lt;"  &amp; EOMONTH($A12,0) + 1
)</f>
        <v>0</v>
      </c>
      <c r="AY12" s="228">
        <v>0</v>
      </c>
      <c r="AZ12" s="216">
        <v>0</v>
      </c>
      <c r="BA12" s="228">
        <v>0</v>
      </c>
      <c r="BB12" s="216"/>
      <c r="BC12" s="228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D12" s="228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E12" s="228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F12" s="228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G12" s="229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H12" s="227">
        <f>COUNTIFS(
    estq[empresa], BH$6,
    estq[Data da venda / reserva], "&gt;=" &amp; $A12,
    estq[Data da venda / reserva], "&lt;"  &amp; EOMONTH($A12,0) + 1
)</f>
        <v>0</v>
      </c>
      <c r="BI12" s="228">
        <v>0</v>
      </c>
      <c r="BJ12" s="228">
        <v>0</v>
      </c>
      <c r="BK12" s="228">
        <v>0</v>
      </c>
      <c r="BL12" s="228">
        <v>0</v>
      </c>
      <c r="BM12" s="228">
        <v>0</v>
      </c>
      <c r="BN12" s="216"/>
      <c r="BO12" s="228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P12" s="228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Q12" s="228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R12" s="228" cm="1">
        <f t="array" ref="BR1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S12" s="229" cm="1">
        <f t="array" ref="BS1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T12" s="227">
        <f>COUNTIFS(
    estq[empresa], BT$6,
    estq[Data da venda / reserva], "&gt;=" &amp; $A12,
    estq[Data da venda / reserva], "&lt;"  &amp; EOMONTH($A12,0) + 1
)</f>
        <v>0</v>
      </c>
      <c r="BU12" s="228">
        <v>0</v>
      </c>
      <c r="BV12" s="228">
        <v>0</v>
      </c>
      <c r="BW12" s="228">
        <v>0</v>
      </c>
      <c r="BX12" s="228">
        <v>0</v>
      </c>
      <c r="BY12" s="228">
        <v>0</v>
      </c>
      <c r="BZ12" s="216"/>
      <c r="CA12" s="228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B12" s="228" cm="1">
        <f t="array" ref="CB1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C12" s="228" cm="1">
        <f t="array" ref="CC1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D12" s="228" cm="1">
        <f t="array" ref="CD1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E12" s="230" cm="1">
        <f t="array" ref="CE1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83" x14ac:dyDescent="0.25">
      <c r="A13" s="226">
        <v>44501</v>
      </c>
      <c r="B13" s="227">
        <f>COUNTIFS(
    estq[empresa], B$6,
    estq[Data da venda / reserva], "&gt;=" &amp; $A13,
    estq[Data da venda / reserva], "&lt;"  &amp; EOMONTH($A13,0) + 1
)</f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16"/>
      <c r="I13" s="228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228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228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228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229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227">
        <f>COUNTIFS(
    estq[empresa], N$6,
    estq[Data da venda / reserva], "&gt;=" &amp; $A13,
    estq[Data da venda / reserva], "&lt;"  &amp; EOMONTH($A13,0) + 1
)</f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16"/>
      <c r="U13" s="228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228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228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228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229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227">
        <f>COUNTIFS(
    estq[empresa], Z$6,
    estq[Data da venda / reserva], "&gt;=" &amp; $A13,
    estq[Data da venda / reserva], "&lt;"  &amp; EOMONTH($A13,0) + 1
)</f>
        <v>0</v>
      </c>
      <c r="AA13" s="228">
        <v>0</v>
      </c>
      <c r="AB13" s="228">
        <v>0</v>
      </c>
      <c r="AC13" s="228">
        <v>0</v>
      </c>
      <c r="AD13" s="228">
        <v>0</v>
      </c>
      <c r="AE13" s="228">
        <v>0</v>
      </c>
      <c r="AF13" s="216"/>
      <c r="AG13" s="228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H13" s="228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I13" s="228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J13" s="228" cm="1">
        <f t="array" ref="AJ1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K13" s="229" cm="1">
        <f t="array" ref="AK1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L13" s="227">
        <f>COUNTIFS(
    estq[empresa], AL$6,
    estq[Data da venda / reserva], "&gt;=" &amp; $A13,
    estq[Data da venda / reserva], "&lt;"  &amp; EOMONTH($A13,0) + 1
)</f>
        <v>0</v>
      </c>
      <c r="AM13" s="228">
        <v>0</v>
      </c>
      <c r="AN13" s="228">
        <v>0</v>
      </c>
      <c r="AO13" s="228">
        <v>0</v>
      </c>
      <c r="AP13" s="228">
        <v>0</v>
      </c>
      <c r="AQ13" s="228">
        <v>0</v>
      </c>
      <c r="AR13" s="216"/>
      <c r="AS13" s="228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T13" s="228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U13" s="228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V13" s="228" cm="1">
        <f t="array" ref="AV1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W13" s="229" cm="1">
        <f t="array" ref="AW1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X13" s="227">
        <f>COUNTIFS(
    estq[empresa], AX$6,
    estq[Data da venda / reserva], "&gt;=" &amp; $A13,
    estq[Data da venda / reserva], "&lt;"  &amp; EOMONTH($A13,0) + 1
)</f>
        <v>0</v>
      </c>
      <c r="AY13" s="228">
        <v>0</v>
      </c>
      <c r="AZ13" s="216">
        <v>0</v>
      </c>
      <c r="BA13" s="228">
        <v>0</v>
      </c>
      <c r="BB13" s="216"/>
      <c r="BC13" s="228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D13" s="228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E13" s="228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F13" s="228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G13" s="229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H13" s="227">
        <f>COUNTIFS(
    estq[empresa], BH$6,
    estq[Data da venda / reserva], "&gt;=" &amp; $A13,
    estq[Data da venda / reserva], "&lt;"  &amp; EOMONTH($A13,0) + 1
)</f>
        <v>0</v>
      </c>
      <c r="BI13" s="228">
        <v>0</v>
      </c>
      <c r="BJ13" s="228">
        <v>0</v>
      </c>
      <c r="BK13" s="228">
        <v>0</v>
      </c>
      <c r="BL13" s="228">
        <v>0</v>
      </c>
      <c r="BM13" s="228">
        <v>0</v>
      </c>
      <c r="BN13" s="216"/>
      <c r="BO13" s="228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P13" s="228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Q13" s="228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R13" s="228" cm="1">
        <f t="array" ref="BR1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S13" s="229" cm="1">
        <f t="array" ref="BS1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T13" s="227">
        <f>COUNTIFS(
    estq[empresa], BT$6,
    estq[Data da venda / reserva], "&gt;=" &amp; $A13,
    estq[Data da venda / reserva], "&lt;"  &amp; EOMONTH($A13,0) + 1
)</f>
        <v>0</v>
      </c>
      <c r="BU13" s="228">
        <v>0</v>
      </c>
      <c r="BV13" s="228">
        <v>0</v>
      </c>
      <c r="BW13" s="228">
        <v>0</v>
      </c>
      <c r="BX13" s="228">
        <v>0</v>
      </c>
      <c r="BY13" s="228">
        <v>0</v>
      </c>
      <c r="BZ13" s="216"/>
      <c r="CA13" s="228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B13" s="228" cm="1">
        <f t="array" ref="CB1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C13" s="228" cm="1">
        <f t="array" ref="CC1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D13" s="228" cm="1">
        <f t="array" ref="CD1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E13" s="230" cm="1">
        <f t="array" ref="CE1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83" x14ac:dyDescent="0.25">
      <c r="A14" s="226">
        <v>44531</v>
      </c>
      <c r="B14" s="227">
        <f>COUNTIFS(
    estq[empresa], B$6,
    estq[Data da venda / reserva], "&gt;=" &amp; $A14,
    estq[Data da venda / reserva], "&lt;"  &amp; EOMONTH($A14,0) + 1
)</f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16"/>
      <c r="I14" s="228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228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228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228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229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227">
        <f>COUNTIFS(
    estq[empresa], N$6,
    estq[Data da venda / reserva], "&gt;=" &amp; $A14,
    estq[Data da venda / reserva], "&lt;"  &amp; EOMONTH($A14,0) + 1
)</f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16"/>
      <c r="U14" s="228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228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228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228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229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227">
        <f>COUNTIFS(
    estq[empresa], Z$6,
    estq[Data da venda / reserva], "&gt;=" &amp; $A14,
    estq[Data da venda / reserva], "&lt;"  &amp; EOMONTH($A14,0) + 1
)</f>
        <v>0</v>
      </c>
      <c r="AA14" s="228">
        <v>0</v>
      </c>
      <c r="AB14" s="228">
        <v>0</v>
      </c>
      <c r="AC14" s="228">
        <v>0</v>
      </c>
      <c r="AD14" s="228">
        <v>0</v>
      </c>
      <c r="AE14" s="228">
        <v>0</v>
      </c>
      <c r="AF14" s="216"/>
      <c r="AG14" s="228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H14" s="228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I14" s="228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J14" s="228" cm="1">
        <f t="array" ref="AJ1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K14" s="229" cm="1">
        <f t="array" ref="AK1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L14" s="227">
        <f>COUNTIFS(
    estq[empresa], AL$6,
    estq[Data da venda / reserva], "&gt;=" &amp; $A14,
    estq[Data da venda / reserva], "&lt;"  &amp; EOMONTH($A14,0) + 1
)</f>
        <v>0</v>
      </c>
      <c r="AM14" s="228">
        <v>0</v>
      </c>
      <c r="AN14" s="228">
        <v>0</v>
      </c>
      <c r="AO14" s="228">
        <v>0</v>
      </c>
      <c r="AP14" s="228">
        <v>0</v>
      </c>
      <c r="AQ14" s="228">
        <v>0</v>
      </c>
      <c r="AR14" s="216"/>
      <c r="AS14" s="228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T14" s="228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U14" s="228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V14" s="228" cm="1">
        <f t="array" ref="AV1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W14" s="229" cm="1">
        <f t="array" ref="AW1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X14" s="227">
        <f>COUNTIFS(
    estq[empresa], AX$6,
    estq[Data da venda / reserva], "&gt;=" &amp; $A14,
    estq[Data da venda / reserva], "&lt;"  &amp; EOMONTH($A14,0) + 1
)</f>
        <v>0</v>
      </c>
      <c r="AY14" s="228">
        <v>0</v>
      </c>
      <c r="AZ14" s="216">
        <v>0</v>
      </c>
      <c r="BA14" s="228">
        <v>0</v>
      </c>
      <c r="BB14" s="216"/>
      <c r="BC14" s="228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D14" s="228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E14" s="228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F14" s="228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G14" s="229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H14" s="227">
        <f>COUNTIFS(
    estq[empresa], BH$6,
    estq[Data da venda / reserva], "&gt;=" &amp; $A14,
    estq[Data da venda / reserva], "&lt;"  &amp; EOMONTH($A14,0) + 1
)</f>
        <v>0</v>
      </c>
      <c r="BI14" s="228">
        <v>0</v>
      </c>
      <c r="BJ14" s="228">
        <v>0</v>
      </c>
      <c r="BK14" s="228">
        <v>0</v>
      </c>
      <c r="BL14" s="228">
        <v>0</v>
      </c>
      <c r="BM14" s="228">
        <v>0</v>
      </c>
      <c r="BN14" s="216"/>
      <c r="BO14" s="228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P14" s="228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Q14" s="228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R14" s="228" cm="1">
        <f t="array" ref="BR1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S14" s="229" cm="1">
        <f t="array" ref="BS1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T14" s="227">
        <f>COUNTIFS(
    estq[empresa], BT$6,
    estq[Data da venda / reserva], "&gt;=" &amp; $A14,
    estq[Data da venda / reserva], "&lt;"  &amp; EOMONTH($A14,0) + 1
)</f>
        <v>0</v>
      </c>
      <c r="BU14" s="228">
        <v>0</v>
      </c>
      <c r="BV14" s="228">
        <v>0</v>
      </c>
      <c r="BW14" s="228">
        <v>0</v>
      </c>
      <c r="BX14" s="228">
        <v>0</v>
      </c>
      <c r="BY14" s="228">
        <v>0</v>
      </c>
      <c r="BZ14" s="216"/>
      <c r="CA14" s="228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B14" s="228" cm="1">
        <f t="array" ref="CB1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C14" s="228" cm="1">
        <f t="array" ref="CC1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D14" s="228" cm="1">
        <f t="array" ref="CD1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E14" s="230" cm="1">
        <f t="array" ref="CE1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83" x14ac:dyDescent="0.25">
      <c r="A15" s="226">
        <v>44562</v>
      </c>
      <c r="B15" s="227">
        <f>COUNTIFS(
    estq[empresa], B$6,
    estq[Data da venda / reserva], "&gt;=" &amp; $A15,
    estq[Data da venda / reserva], "&lt;"  &amp; EOMONTH($A15,0) + 1
)</f>
        <v>0</v>
      </c>
      <c r="C15" s="228">
        <f ca="1">SUMIFS(rec.uni[2022-01-01],
INDIRECT("rec.uni[natureza]"),"pro.soluto",
INDIRECT("rec.uni[empresa]"),C$6)</f>
        <v>0</v>
      </c>
      <c r="D15" s="228">
        <f ca="1">SUMIFS(rec.uni[2022-01-01],
INDIRECT("rec.uni[natureza]"),"repasse.cef.obra",
INDIRECT("rec.uni[empresa]"),D$6)</f>
        <v>0</v>
      </c>
      <c r="E15" s="228">
        <f ca="1">SUMIFS(rec.uni[2022-01-01],
INDIRECT("rec.uni[natureza]"),"repasse.cef.terreno",
INDIRECT("rec.uni[empresa]"),E$6)</f>
        <v>0</v>
      </c>
      <c r="F15" s="228">
        <v>0</v>
      </c>
      <c r="G15" s="228">
        <f ca="1">SUMIFS(rec.uni[2022-01-01],
INDIRECT("rec.uni[natureza]"),"taxa.extra",
INDIRECT("rec.uni[empresa]"),G$6)</f>
        <v>0</v>
      </c>
      <c r="H15" s="216"/>
      <c r="I15" s="228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228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228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228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229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227">
        <f>COUNTIFS(
    estq[empresa], N$6,
    estq[Data da venda / reserva], "&gt;=" &amp; $A15,
    estq[Data da venda / reserva], "&lt;"  &amp; EOMONTH($A15,0) + 1
)</f>
        <v>0</v>
      </c>
      <c r="O15" s="228">
        <f ca="1">SUMIFS(rec.uni[2022-01-01],
INDIRECT("rec.uni[natureza]"),"pro.soluto",
INDIRECT("rec.uni[empresa]"),O$6)</f>
        <v>0</v>
      </c>
      <c r="P15" s="228">
        <f ca="1">SUMIFS(rec.uni[2022-01-01],
INDIRECT("rec.uni[natureza]"),"repasse.cef.obra",
INDIRECT("rec.uni[empresa]"),P$6)</f>
        <v>0</v>
      </c>
      <c r="Q15" s="228">
        <f ca="1">SUMIFS(rec.uni[2022-01-01],
INDIRECT("rec.uni[natureza]"),"repasse.cef.terreno",
INDIRECT("rec.uni[empresa]"),Q$6)</f>
        <v>0</v>
      </c>
      <c r="R15" s="228">
        <v>0</v>
      </c>
      <c r="S15" s="228">
        <f ca="1">SUMIFS(rec.uni[2022-01-01],
INDIRECT("rec.uni[natureza]"),"taxa.extra",
INDIRECT("rec.uni[empresa]"),S$6)</f>
        <v>0</v>
      </c>
      <c r="T15" s="216"/>
      <c r="U15" s="228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228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228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228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229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227">
        <f>COUNTIFS(
    estq[empresa], Z$6,
    estq[Data da venda / reserva], "&gt;=" &amp; $A15,
    estq[Data da venda / reserva], "&lt;"  &amp; EOMONTH($A15,0) + 1
)</f>
        <v>0</v>
      </c>
      <c r="AA15" s="228">
        <f ca="1">SUMIFS(rec.uni[2022-01-01],
INDIRECT("rec.uni[natureza]"),"pro.soluto",
INDIRECT("rec.uni[empresa]"),AA$6)</f>
        <v>0</v>
      </c>
      <c r="AB15" s="228">
        <f ca="1">SUMIFS(rec.uni[2022-01-01],
INDIRECT("rec.uni[natureza]"),"repasse.cef.obra",
INDIRECT("rec.uni[empresa]"),AB$6)</f>
        <v>0</v>
      </c>
      <c r="AC15" s="228">
        <f ca="1">SUMIFS(rec.uni[2022-01-01],
INDIRECT("rec.uni[natureza]"),"repasse.cef.terreno",
INDIRECT("rec.uni[empresa]"),AC$6)</f>
        <v>0</v>
      </c>
      <c r="AD15" s="228">
        <v>0</v>
      </c>
      <c r="AE15" s="228">
        <f ca="1">SUMIFS(rec.uni[2022-01-01],
INDIRECT("rec.uni[natureza]"),"taxa.extra",
INDIRECT("rec.uni[empresa]"),AE$6)</f>
        <v>0</v>
      </c>
      <c r="AF15" s="216"/>
      <c r="AG15" s="228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H15" s="228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I15" s="228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J15" s="228" cm="1">
        <f t="array" ref="AJ1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K15" s="229" cm="1">
        <f t="array" ref="AK1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L15" s="227">
        <f>COUNTIFS(
    estq[empresa], AL$6,
    estq[Data da venda / reserva], "&gt;=" &amp; $A15,
    estq[Data da venda / reserva], "&lt;"  &amp; EOMONTH($A15,0) + 1
)</f>
        <v>0</v>
      </c>
      <c r="AM15" s="228">
        <f ca="1">SUMIFS(rec.uni[2022-01-01],
INDIRECT("rec.uni[natureza]"),"pro.soluto",
INDIRECT("rec.uni[empresa]"),AM$6)</f>
        <v>0</v>
      </c>
      <c r="AN15" s="228">
        <f ca="1">SUMIFS(rec.uni[2022-01-01],
INDIRECT("rec.uni[natureza]"),"repasse.cef.obra",
INDIRECT("rec.uni[empresa]"),AN$6)</f>
        <v>0</v>
      </c>
      <c r="AO15" s="228">
        <f ca="1">SUMIFS(rec.uni[2022-01-01],
INDIRECT("rec.uni[natureza]"),"repasse.cef.terreno",
INDIRECT("rec.uni[empresa]"),AO$6)</f>
        <v>0</v>
      </c>
      <c r="AP15" s="228">
        <v>0</v>
      </c>
      <c r="AQ15" s="228">
        <f ca="1">SUMIFS(rec.uni[2022-01-01],
INDIRECT("rec.uni[natureza]"),"taxa.extra",
INDIRECT("rec.uni[empresa]"),AQ$6)</f>
        <v>0</v>
      </c>
      <c r="AR15" s="216"/>
      <c r="AS15" s="228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T15" s="228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U15" s="228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V15" s="228" cm="1">
        <f t="array" ref="AV1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W15" s="229" cm="1">
        <f t="array" ref="AW1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X15" s="227">
        <f>COUNTIFS(
    estq[empresa], AX$6,
    estq[Data da venda / reserva], "&gt;=" &amp; $A15,
    estq[Data da venda / reserva], "&lt;"  &amp; EOMONTH($A15,0) + 1
)</f>
        <v>0</v>
      </c>
      <c r="AY15" s="228">
        <f ca="1">SUMIFS(rec.uni[2022-01-01],
INDIRECT("rec.uni[natureza]"),"pro.soluto",
INDIRECT("rec.uni[empresa]"),AY$6)</f>
        <v>0</v>
      </c>
      <c r="AZ15" s="216">
        <f ca="1">SUMIFS(rec.uni[2022-01-01],
INDIRECT("rec.uni[natureza]"),"parcela.fin.total.ik",
INDIRECT("rec.uni[empresa]"),AZ$6)</f>
        <v>0</v>
      </c>
      <c r="BA15" s="228">
        <f ca="1">SUMIFS(rec.uni[2022-01-01],
INDIRECT("rec.uni[natureza]"),"taxa.extra",
INDIRECT("rec.uni[empresa]"),BA$6)</f>
        <v>0</v>
      </c>
      <c r="BB15" s="216"/>
      <c r="BC15" s="228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D15" s="228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E15" s="228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F15" s="228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G15" s="229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H15" s="227">
        <f>COUNTIFS(
    estq[empresa], BH$6,
    estq[Data da venda / reserva], "&gt;=" &amp; $A15,
    estq[Data da venda / reserva], "&lt;"  &amp; EOMONTH($A15,0) + 1
)</f>
        <v>0</v>
      </c>
      <c r="BI15" s="228">
        <f ca="1">SUMIFS(rec.uni[2022-01-01],
INDIRECT("rec.uni[natureza]"),"pro.soluto",
INDIRECT("rec.uni[empresa]"),BI$6)</f>
        <v>0</v>
      </c>
      <c r="BJ15" s="228">
        <f ca="1">SUMIFS(rec.uni[2022-01-01],
INDIRECT("rec.uni[natureza]"),"repasse.cef.obra",
INDIRECT("rec.uni[empresa]"),BJ$6)</f>
        <v>0</v>
      </c>
      <c r="BK15" s="228">
        <f ca="1">SUMIFS(rec.uni[2022-01-01],
INDIRECT("rec.uni[natureza]"),"repasse.cef.terreno",
INDIRECT("rec.uni[empresa]"),BK$6)</f>
        <v>0</v>
      </c>
      <c r="BL15" s="228">
        <v>0</v>
      </c>
      <c r="BM15" s="228">
        <f ca="1">SUMIFS(rec.uni[2022-01-01],
INDIRECT("rec.uni[natureza]"),"taxa.extra",
INDIRECT("rec.uni[empresa]"),BM$6)</f>
        <v>0</v>
      </c>
      <c r="BN15" s="216"/>
      <c r="BO15" s="228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P15" s="228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Q15" s="228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R15" s="228" cm="1">
        <f t="array" ref="BR1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S15" s="229" cm="1">
        <f t="array" ref="BS1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T15" s="227">
        <f>COUNTIFS(
    estq[empresa], BT$6,
    estq[Data da venda / reserva], "&gt;=" &amp; $A15,
    estq[Data da venda / reserva], "&lt;"  &amp; EOMONTH($A15,0) + 1
)</f>
        <v>0</v>
      </c>
      <c r="BU15" s="228">
        <f ca="1">SUMIFS(rec.uni[2022-01-01],
INDIRECT("rec.uni[natureza]"),"pro.soluto",
INDIRECT("rec.uni[empresa]"),BU$6)</f>
        <v>0</v>
      </c>
      <c r="BV15" s="228">
        <f ca="1">SUMIFS(rec.uni[2022-01-01],
INDIRECT("rec.uni[natureza]"),"repasse.cef.obra",
INDIRECT("rec.uni[empresa]"),BV$6)</f>
        <v>0</v>
      </c>
      <c r="BW15" s="228">
        <f ca="1">SUMIFS(rec.uni[2022-01-01],
INDIRECT("rec.uni[natureza]"),"repasse.cef.terreno",
INDIRECT("rec.uni[empresa]"),BW$6)</f>
        <v>0</v>
      </c>
      <c r="BX15" s="228">
        <v>0</v>
      </c>
      <c r="BY15" s="228">
        <f ca="1">SUMIFS(rec.uni[2022-01-01],
INDIRECT("rec.uni[natureza]"),"taxa.extra",
INDIRECT("rec.uni[empresa]"),BY$6)</f>
        <v>0</v>
      </c>
      <c r="BZ15" s="216"/>
      <c r="CA15" s="228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B15" s="228" cm="1">
        <f t="array" ref="CB1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C15" s="228" cm="1">
        <f t="array" ref="CC1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D15" s="228" cm="1">
        <f t="array" ref="CD1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E15" s="230" cm="1">
        <f t="array" ref="CE1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83" x14ac:dyDescent="0.25">
      <c r="A16" s="226">
        <v>44593</v>
      </c>
      <c r="B16" s="227">
        <f>COUNTIFS(
    estq[empresa], B$6,
    estq[Data da venda / reserva], "&gt;=" &amp; $A16,
    estq[Data da venda / reserva], "&lt;"  &amp; EOMONTH($A16,0) + 1
)</f>
        <v>0</v>
      </c>
      <c r="C16" s="228">
        <f ca="1">SUMIFS(rec.uni[2022-02-01],
INDIRECT("rec.uni[natureza]"),"pro.soluto",
INDIRECT("rec.uni[empresa]"),C$6)</f>
        <v>0</v>
      </c>
      <c r="D16" s="228">
        <f ca="1">SUMIFS(rec.uni[2022-02-01],
INDIRECT("rec.uni[natureza]"),"repasse.cef.obra",
INDIRECT("rec.uni[empresa]"),D$6)</f>
        <v>0</v>
      </c>
      <c r="E16" s="228">
        <f ca="1">SUMIFS(rec.uni[2022-02-01],
INDIRECT("rec.uni[natureza]"),"repasse.cef.terreno",
INDIRECT("rec.uni[empresa]"),E$6)</f>
        <v>0</v>
      </c>
      <c r="F16" s="228">
        <v>0</v>
      </c>
      <c r="G16" s="228">
        <f ca="1">SUMIFS(rec.uni[2022-02-01],
INDIRECT("rec.uni[natureza]"),"taxa.extra",
INDIRECT("rec.uni[empresa]"),G$6)</f>
        <v>0</v>
      </c>
      <c r="H16" s="216"/>
      <c r="I16" s="228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228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228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228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229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227">
        <f>COUNTIFS(
    estq[empresa], N$6,
    estq[Data da venda / reserva], "&gt;=" &amp; $A16,
    estq[Data da venda / reserva], "&lt;"  &amp; EOMONTH($A16,0) + 1
)</f>
        <v>0</v>
      </c>
      <c r="O16" s="228">
        <f ca="1">SUMIFS(rec.uni[2022-02-01],
INDIRECT("rec.uni[natureza]"),"pro.soluto",
INDIRECT("rec.uni[empresa]"),O$6)</f>
        <v>0</v>
      </c>
      <c r="P16" s="228">
        <f ca="1">SUMIFS(rec.uni[2022-02-01],
INDIRECT("rec.uni[natureza]"),"repasse.cef.obra",
INDIRECT("rec.uni[empresa]"),P$6)</f>
        <v>0</v>
      </c>
      <c r="Q16" s="228">
        <f ca="1">SUMIFS(rec.uni[2022-02-01],
INDIRECT("rec.uni[natureza]"),"repasse.cef.terreno",
INDIRECT("rec.uni[empresa]"),Q$6)</f>
        <v>0</v>
      </c>
      <c r="R16" s="228">
        <v>0</v>
      </c>
      <c r="S16" s="228">
        <f ca="1">SUMIFS(rec.uni[2022-02-01],
INDIRECT("rec.uni[natureza]"),"taxa.extra",
INDIRECT("rec.uni[empresa]"),S$6)</f>
        <v>0</v>
      </c>
      <c r="T16" s="216"/>
      <c r="U16" s="228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228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228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228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229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227">
        <f>COUNTIFS(
    estq[empresa], Z$6,
    estq[Data da venda / reserva], "&gt;=" &amp; $A16,
    estq[Data da venda / reserva], "&lt;"  &amp; EOMONTH($A16,0) + 1
)</f>
        <v>0</v>
      </c>
      <c r="AA16" s="228">
        <f ca="1">SUMIFS(rec.uni[2022-02-01],
INDIRECT("rec.uni[natureza]"),"pro.soluto",
INDIRECT("rec.uni[empresa]"),AA$6)</f>
        <v>0</v>
      </c>
      <c r="AB16" s="228">
        <f ca="1">SUMIFS(rec.uni[2022-02-01],
INDIRECT("rec.uni[natureza]"),"repasse.cef.obra",
INDIRECT("rec.uni[empresa]"),AB$6)</f>
        <v>0</v>
      </c>
      <c r="AC16" s="228">
        <f ca="1">SUMIFS(rec.uni[2022-02-01],
INDIRECT("rec.uni[natureza]"),"repasse.cef.terreno",
INDIRECT("rec.uni[empresa]"),AC$6)</f>
        <v>0</v>
      </c>
      <c r="AD16" s="228">
        <v>0</v>
      </c>
      <c r="AE16" s="228">
        <f ca="1">SUMIFS(rec.uni[2022-02-01],
INDIRECT("rec.uni[natureza]"),"taxa.extra",
INDIRECT("rec.uni[empresa]"),AE$6)</f>
        <v>0</v>
      </c>
      <c r="AF16" s="216"/>
      <c r="AG16" s="228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H16" s="228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I16" s="228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J16" s="228" cm="1">
        <f t="array" ref="AJ1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K16" s="229" cm="1">
        <f t="array" ref="AK1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L16" s="227">
        <f>COUNTIFS(
    estq[empresa], AL$6,
    estq[Data da venda / reserva], "&gt;=" &amp; $A16,
    estq[Data da venda / reserva], "&lt;"  &amp; EOMONTH($A16,0) + 1
)</f>
        <v>0</v>
      </c>
      <c r="AM16" s="228">
        <f ca="1">SUMIFS(rec.uni[2022-02-01],
INDIRECT("rec.uni[natureza]"),"pro.soluto",
INDIRECT("rec.uni[empresa]"),AM$6)</f>
        <v>0</v>
      </c>
      <c r="AN16" s="228">
        <f ca="1">SUMIFS(rec.uni[2022-02-01],
INDIRECT("rec.uni[natureza]"),"repasse.cef.obra",
INDIRECT("rec.uni[empresa]"),AN$6)</f>
        <v>0</v>
      </c>
      <c r="AO16" s="228">
        <f ca="1">SUMIFS(rec.uni[2022-02-01],
INDIRECT("rec.uni[natureza]"),"repasse.cef.terreno",
INDIRECT("rec.uni[empresa]"),AO$6)</f>
        <v>0</v>
      </c>
      <c r="AP16" s="228">
        <v>0</v>
      </c>
      <c r="AQ16" s="228">
        <f ca="1">SUMIFS(rec.uni[2022-02-01],
INDIRECT("rec.uni[natureza]"),"taxa.extra",
INDIRECT("rec.uni[empresa]"),AQ$6)</f>
        <v>0</v>
      </c>
      <c r="AR16" s="216"/>
      <c r="AS16" s="228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T16" s="228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U16" s="228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V16" s="228" cm="1">
        <f t="array" ref="AV1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W16" s="229" cm="1">
        <f t="array" ref="AW1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X16" s="227">
        <f>COUNTIFS(
    estq[empresa], AX$6,
    estq[Data da venda / reserva], "&gt;=" &amp; $A16,
    estq[Data da venda / reserva], "&lt;"  &amp; EOMONTH($A16,0) + 1
)</f>
        <v>0</v>
      </c>
      <c r="AY16" s="228">
        <f ca="1">SUMIFS(rec.uni[2022-02-01],
INDIRECT("rec.uni[natureza]"),"pro.soluto",
INDIRECT("rec.uni[empresa]"),AY$6)</f>
        <v>0</v>
      </c>
      <c r="AZ16" s="216">
        <f ca="1">SUMIFS(rec.uni[2022-02-01],
INDIRECT("rec.uni[natureza]"),"parcela.fin.total.ik",
INDIRECT("rec.uni[empresa]"),AZ$6)</f>
        <v>0</v>
      </c>
      <c r="BA16" s="228">
        <f ca="1">SUMIFS(rec.uni[2022-02-01],
INDIRECT("rec.uni[natureza]"),"taxa.extra",
INDIRECT("rec.uni[empresa]"),BA$6)</f>
        <v>0</v>
      </c>
      <c r="BB16" s="216"/>
      <c r="BC16" s="228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D16" s="228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E16" s="228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F16" s="228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G16" s="229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H16" s="227">
        <f>COUNTIFS(
    estq[empresa], BH$6,
    estq[Data da venda / reserva], "&gt;=" &amp; $A16,
    estq[Data da venda / reserva], "&lt;"  &amp; EOMONTH($A16,0) + 1
)</f>
        <v>0</v>
      </c>
      <c r="BI16" s="228">
        <f ca="1">SUMIFS(rec.uni[2022-02-01],
INDIRECT("rec.uni[natureza]"),"pro.soluto",
INDIRECT("rec.uni[empresa]"),BI$6)</f>
        <v>0</v>
      </c>
      <c r="BJ16" s="228">
        <f ca="1">SUMIFS(rec.uni[2022-02-01],
INDIRECT("rec.uni[natureza]"),"repasse.cef.obra",
INDIRECT("rec.uni[empresa]"),BJ$6)</f>
        <v>0</v>
      </c>
      <c r="BK16" s="228">
        <f ca="1">SUMIFS(rec.uni[2022-02-01],
INDIRECT("rec.uni[natureza]"),"repasse.cef.terreno",
INDIRECT("rec.uni[empresa]"),BK$6)</f>
        <v>0</v>
      </c>
      <c r="BL16" s="228">
        <v>0</v>
      </c>
      <c r="BM16" s="228">
        <f ca="1">SUMIFS(rec.uni[2022-02-01],
INDIRECT("rec.uni[natureza]"),"taxa.extra",
INDIRECT("rec.uni[empresa]"),BM$6)</f>
        <v>0</v>
      </c>
      <c r="BN16" s="216"/>
      <c r="BO16" s="228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P16" s="228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Q16" s="228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R16" s="228" cm="1">
        <f t="array" ref="BR1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S16" s="229" cm="1">
        <f t="array" ref="BS1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T16" s="227">
        <f>COUNTIFS(
    estq[empresa], BT$6,
    estq[Data da venda / reserva], "&gt;=" &amp; $A16,
    estq[Data da venda / reserva], "&lt;"  &amp; EOMONTH($A16,0) + 1
)</f>
        <v>0</v>
      </c>
      <c r="BU16" s="228">
        <f ca="1">SUMIFS(rec.uni[2022-02-01],
INDIRECT("rec.uni[natureza]"),"pro.soluto",
INDIRECT("rec.uni[empresa]"),BU$6)</f>
        <v>0</v>
      </c>
      <c r="BV16" s="228">
        <f ca="1">SUMIFS(rec.uni[2022-02-01],
INDIRECT("rec.uni[natureza]"),"repasse.cef.obra",
INDIRECT("rec.uni[empresa]"),BV$6)</f>
        <v>0</v>
      </c>
      <c r="BW16" s="228">
        <f ca="1">SUMIFS(rec.uni[2022-02-01],
INDIRECT("rec.uni[natureza]"),"repasse.cef.terreno",
INDIRECT("rec.uni[empresa]"),BW$6)</f>
        <v>0</v>
      </c>
      <c r="BX16" s="228">
        <v>0</v>
      </c>
      <c r="BY16" s="228">
        <f ca="1">SUMIFS(rec.uni[2022-02-01],
INDIRECT("rec.uni[natureza]"),"taxa.extra",
INDIRECT("rec.uni[empresa]"),BY$6)</f>
        <v>0</v>
      </c>
      <c r="BZ16" s="216"/>
      <c r="CA16" s="228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B16" s="228" cm="1">
        <f t="array" ref="CB1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C16" s="228" cm="1">
        <f t="array" ref="CC1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D16" s="228" cm="1">
        <f t="array" ref="CD1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E16" s="230" cm="1">
        <f t="array" ref="CE1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83" x14ac:dyDescent="0.25">
      <c r="A17" s="226">
        <v>44621</v>
      </c>
      <c r="B17" s="227">
        <f>COUNTIFS(
    estq[empresa], B$6,
    estq[Data da venda / reserva], "&gt;=" &amp; $A17,
    estq[Data da venda / reserva], "&lt;"  &amp; EOMONTH($A17,0) + 1
)</f>
        <v>0</v>
      </c>
      <c r="C17" s="228">
        <f ca="1">SUMIFS(rec.uni[2022-03-01],
INDIRECT("rec.uni[natureza]"),"pro.soluto",
INDIRECT("rec.uni[empresa]"),C$6)</f>
        <v>0</v>
      </c>
      <c r="D17" s="228">
        <f ca="1">SUMIFS(rec.uni[2022-03-01],
INDIRECT("rec.uni[natureza]"),"repasse.cef.obra",
INDIRECT("rec.uni[empresa]"),D$6)</f>
        <v>0</v>
      </c>
      <c r="E17" s="228">
        <f ca="1">SUMIFS(rec.uni[2022-03-01],
INDIRECT("rec.uni[natureza]"),"repasse.cef.terreno",
INDIRECT("rec.uni[empresa]"),E$6)</f>
        <v>0</v>
      </c>
      <c r="F17" s="228">
        <v>0</v>
      </c>
      <c r="G17" s="228">
        <f ca="1">SUMIFS(rec.uni[2022-03-01],
INDIRECT("rec.uni[natureza]"),"taxa.extra",
INDIRECT("rec.uni[empresa]"),G$6)</f>
        <v>0</v>
      </c>
      <c r="H17" s="216"/>
      <c r="I17" s="228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228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228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228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229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227">
        <f>COUNTIFS(
    estq[empresa], N$6,
    estq[Data da venda / reserva], "&gt;=" &amp; $A17,
    estq[Data da venda / reserva], "&lt;"  &amp; EOMONTH($A17,0) + 1
)</f>
        <v>0</v>
      </c>
      <c r="O17" s="228">
        <f ca="1">SUMIFS(rec.uni[2022-03-01],
INDIRECT("rec.uni[natureza]"),"pro.soluto",
INDIRECT("rec.uni[empresa]"),O$6)</f>
        <v>0</v>
      </c>
      <c r="P17" s="228">
        <f ca="1">SUMIFS(rec.uni[2022-03-01],
INDIRECT("rec.uni[natureza]"),"repasse.cef.obra",
INDIRECT("rec.uni[empresa]"),P$6)</f>
        <v>0</v>
      </c>
      <c r="Q17" s="228">
        <f ca="1">SUMIFS(rec.uni[2022-03-01],
INDIRECT("rec.uni[natureza]"),"repasse.cef.terreno",
INDIRECT("rec.uni[empresa]"),Q$6)</f>
        <v>0</v>
      </c>
      <c r="R17" s="228">
        <v>0</v>
      </c>
      <c r="S17" s="228">
        <f ca="1">SUMIFS(rec.uni[2022-03-01],
INDIRECT("rec.uni[natureza]"),"taxa.extra",
INDIRECT("rec.uni[empresa]"),S$6)</f>
        <v>0</v>
      </c>
      <c r="T17" s="216"/>
      <c r="U17" s="228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228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228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228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229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227">
        <f>COUNTIFS(
    estq[empresa], Z$6,
    estq[Data da venda / reserva], "&gt;=" &amp; $A17,
    estq[Data da venda / reserva], "&lt;"  &amp; EOMONTH($A17,0) + 1
)</f>
        <v>0</v>
      </c>
      <c r="AA17" s="228">
        <f ca="1">SUMIFS(rec.uni[2022-03-01],
INDIRECT("rec.uni[natureza]"),"pro.soluto",
INDIRECT("rec.uni[empresa]"),AA$6)</f>
        <v>0</v>
      </c>
      <c r="AB17" s="228">
        <f ca="1">SUMIFS(rec.uni[2022-03-01],
INDIRECT("rec.uni[natureza]"),"repasse.cef.obra",
INDIRECT("rec.uni[empresa]"),AB$6)</f>
        <v>0</v>
      </c>
      <c r="AC17" s="228">
        <f ca="1">SUMIFS(rec.uni[2022-03-01],
INDIRECT("rec.uni[natureza]"),"repasse.cef.terreno",
INDIRECT("rec.uni[empresa]"),AC$6)</f>
        <v>0</v>
      </c>
      <c r="AD17" s="228">
        <v>0</v>
      </c>
      <c r="AE17" s="228">
        <f ca="1">SUMIFS(rec.uni[2022-03-01],
INDIRECT("rec.uni[natureza]"),"taxa.extra",
INDIRECT("rec.uni[empresa]"),AE$6)</f>
        <v>0</v>
      </c>
      <c r="AF17" s="216"/>
      <c r="AG17" s="228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H17" s="228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I17" s="228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J17" s="228" cm="1">
        <f t="array" ref="AJ1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K17" s="229" cm="1">
        <f t="array" ref="AK1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L17" s="227">
        <f>COUNTIFS(
    estq[empresa], AL$6,
    estq[Data da venda / reserva], "&gt;=" &amp; $A17,
    estq[Data da venda / reserva], "&lt;"  &amp; EOMONTH($A17,0) + 1
)</f>
        <v>0</v>
      </c>
      <c r="AM17" s="228">
        <f ca="1">SUMIFS(rec.uni[2022-03-01],
INDIRECT("rec.uni[natureza]"),"pro.soluto",
INDIRECT("rec.uni[empresa]"),AM$6)</f>
        <v>0</v>
      </c>
      <c r="AN17" s="228">
        <f ca="1">SUMIFS(rec.uni[2022-03-01],
INDIRECT("rec.uni[natureza]"),"repasse.cef.obra",
INDIRECT("rec.uni[empresa]"),AN$6)</f>
        <v>0</v>
      </c>
      <c r="AO17" s="228">
        <f ca="1">SUMIFS(rec.uni[2022-03-01],
INDIRECT("rec.uni[natureza]"),"repasse.cef.terreno",
INDIRECT("rec.uni[empresa]"),AO$6)</f>
        <v>0</v>
      </c>
      <c r="AP17" s="228">
        <v>0</v>
      </c>
      <c r="AQ17" s="228">
        <f ca="1">SUMIFS(rec.uni[2022-03-01],
INDIRECT("rec.uni[natureza]"),"taxa.extra",
INDIRECT("rec.uni[empresa]"),AQ$6)</f>
        <v>0</v>
      </c>
      <c r="AR17" s="216"/>
      <c r="AS17" s="228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T17" s="228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U17" s="228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V17" s="228" cm="1">
        <f t="array" ref="AV1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W17" s="229" cm="1">
        <f t="array" ref="AW1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X17" s="227">
        <f>COUNTIFS(
    estq[empresa], AX$6,
    estq[Data da venda / reserva], "&gt;=" &amp; $A17,
    estq[Data da venda / reserva], "&lt;"  &amp; EOMONTH($A17,0) + 1
)</f>
        <v>0</v>
      </c>
      <c r="AY17" s="228">
        <f ca="1">SUMIFS(rec.uni[2022-03-01],
INDIRECT("rec.uni[natureza]"),"pro.soluto",
INDIRECT("rec.uni[empresa]"),AY$6)</f>
        <v>0</v>
      </c>
      <c r="AZ17" s="216">
        <f ca="1">SUMIFS(rec.uni[2022-03-01],
INDIRECT("rec.uni[natureza]"),"parcela.fin.total.ik",
INDIRECT("rec.uni[empresa]"),AZ$6)</f>
        <v>0</v>
      </c>
      <c r="BA17" s="228">
        <f ca="1">SUMIFS(rec.uni[2022-03-01],
INDIRECT("rec.uni[natureza]"),"taxa.extra",
INDIRECT("rec.uni[empresa]"),BA$6)</f>
        <v>0</v>
      </c>
      <c r="BB17" s="216"/>
      <c r="BC17" s="228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D17" s="228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E17" s="228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F17" s="228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G17" s="229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H17" s="227">
        <f>COUNTIFS(
    estq[empresa], BH$6,
    estq[Data da venda / reserva], "&gt;=" &amp; $A17,
    estq[Data da venda / reserva], "&lt;"  &amp; EOMONTH($A17,0) + 1
)</f>
        <v>0</v>
      </c>
      <c r="BI17" s="228">
        <f ca="1">SUMIFS(rec.uni[2022-03-01],
INDIRECT("rec.uni[natureza]"),"pro.soluto",
INDIRECT("rec.uni[empresa]"),BI$6)</f>
        <v>0</v>
      </c>
      <c r="BJ17" s="228">
        <f ca="1">SUMIFS(rec.uni[2022-03-01],
INDIRECT("rec.uni[natureza]"),"repasse.cef.obra",
INDIRECT("rec.uni[empresa]"),BJ$6)</f>
        <v>0</v>
      </c>
      <c r="BK17" s="228">
        <f ca="1">SUMIFS(rec.uni[2022-03-01],
INDIRECT("rec.uni[natureza]"),"repasse.cef.terreno",
INDIRECT("rec.uni[empresa]"),BK$6)</f>
        <v>0</v>
      </c>
      <c r="BL17" s="228">
        <v>0</v>
      </c>
      <c r="BM17" s="228">
        <f ca="1">SUMIFS(rec.uni[2022-03-01],
INDIRECT("rec.uni[natureza]"),"taxa.extra",
INDIRECT("rec.uni[empresa]"),BM$6)</f>
        <v>0</v>
      </c>
      <c r="BN17" s="216"/>
      <c r="BO17" s="228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P17" s="228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Q17" s="228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R17" s="228" cm="1">
        <f t="array" ref="BR1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S17" s="229" cm="1">
        <f t="array" ref="BS1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T17" s="227">
        <f>COUNTIFS(
    estq[empresa], BT$6,
    estq[Data da venda / reserva], "&gt;=" &amp; $A17,
    estq[Data da venda / reserva], "&lt;"  &amp; EOMONTH($A17,0) + 1
)</f>
        <v>0</v>
      </c>
      <c r="BU17" s="228">
        <f ca="1">SUMIFS(rec.uni[2022-03-01],
INDIRECT("rec.uni[natureza]"),"pro.soluto",
INDIRECT("rec.uni[empresa]"),BU$6)</f>
        <v>0</v>
      </c>
      <c r="BV17" s="228">
        <f ca="1">SUMIFS(rec.uni[2022-03-01],
INDIRECT("rec.uni[natureza]"),"repasse.cef.obra",
INDIRECT("rec.uni[empresa]"),BV$6)</f>
        <v>0</v>
      </c>
      <c r="BW17" s="228">
        <f ca="1">SUMIFS(rec.uni[2022-03-01],
INDIRECT("rec.uni[natureza]"),"repasse.cef.terreno",
INDIRECT("rec.uni[empresa]"),BW$6)</f>
        <v>0</v>
      </c>
      <c r="BX17" s="228">
        <v>0</v>
      </c>
      <c r="BY17" s="228">
        <f ca="1">SUMIFS(rec.uni[2022-03-01],
INDIRECT("rec.uni[natureza]"),"taxa.extra",
INDIRECT("rec.uni[empresa]"),BY$6)</f>
        <v>0</v>
      </c>
      <c r="BZ17" s="216"/>
      <c r="CA17" s="228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B17" s="228" cm="1">
        <f t="array" ref="CB1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C17" s="228" cm="1">
        <f t="array" ref="CC1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D17" s="228" cm="1">
        <f t="array" ref="CD1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E17" s="230" cm="1">
        <f t="array" ref="CE1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83" x14ac:dyDescent="0.25">
      <c r="A18" s="226">
        <v>44652</v>
      </c>
      <c r="B18" s="227">
        <f>COUNTIFS(
    estq[empresa], B$6,
    estq[Data da venda / reserva], "&gt;=" &amp; $A18,
    estq[Data da venda / reserva], "&lt;"  &amp; EOMONTH($A18,0) + 1
)</f>
        <v>0</v>
      </c>
      <c r="C18" s="228">
        <f ca="1">SUMIFS(rec.uni[2022-04-01],
INDIRECT("rec.uni[natureza]"),"pro.soluto",
INDIRECT("rec.uni[empresa]"),C$6)</f>
        <v>0</v>
      </c>
      <c r="D18" s="228">
        <f ca="1">SUMIFS(rec.uni[2022-04-01],
INDIRECT("rec.uni[natureza]"),"repasse.cef.obra",
INDIRECT("rec.uni[empresa]"),D$6)</f>
        <v>0</v>
      </c>
      <c r="E18" s="228">
        <f ca="1">SUMIFS(rec.uni[2022-04-01],
INDIRECT("rec.uni[natureza]"),"repasse.cef.terreno",
INDIRECT("rec.uni[empresa]"),E$6)</f>
        <v>0</v>
      </c>
      <c r="F18" s="228">
        <v>0</v>
      </c>
      <c r="G18" s="228">
        <f ca="1">SUMIFS(rec.uni[2022-04-01],
INDIRECT("rec.uni[natureza]"),"taxa.extra",
INDIRECT("rec.uni[empresa]"),G$6)</f>
        <v>0</v>
      </c>
      <c r="H18" s="216"/>
      <c r="I18" s="228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228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228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228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229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227">
        <f>COUNTIFS(
    estq[empresa], N$6,
    estq[Data da venda / reserva], "&gt;=" &amp; $A18,
    estq[Data da venda / reserva], "&lt;"  &amp; EOMONTH($A18,0) + 1
)</f>
        <v>0</v>
      </c>
      <c r="O18" s="228">
        <f ca="1">SUMIFS(rec.uni[2022-04-01],
INDIRECT("rec.uni[natureza]"),"pro.soluto",
INDIRECT("rec.uni[empresa]"),O$6)</f>
        <v>0</v>
      </c>
      <c r="P18" s="228">
        <f ca="1">SUMIFS(rec.uni[2022-04-01],
INDIRECT("rec.uni[natureza]"),"repasse.cef.obra",
INDIRECT("rec.uni[empresa]"),P$6)</f>
        <v>0</v>
      </c>
      <c r="Q18" s="228">
        <f ca="1">SUMIFS(rec.uni[2022-04-01],
INDIRECT("rec.uni[natureza]"),"repasse.cef.terreno",
INDIRECT("rec.uni[empresa]"),Q$6)</f>
        <v>0</v>
      </c>
      <c r="R18" s="228">
        <v>0</v>
      </c>
      <c r="S18" s="228">
        <f ca="1">SUMIFS(rec.uni[2022-04-01],
INDIRECT("rec.uni[natureza]"),"taxa.extra",
INDIRECT("rec.uni[empresa]"),S$6)</f>
        <v>0</v>
      </c>
      <c r="T18" s="216"/>
      <c r="U18" s="228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228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228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228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229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227">
        <f>COUNTIFS(
    estq[empresa], Z$6,
    estq[Data da venda / reserva], "&gt;=" &amp; $A18,
    estq[Data da venda / reserva], "&lt;"  &amp; EOMONTH($A18,0) + 1
)</f>
        <v>0</v>
      </c>
      <c r="AA18" s="228">
        <f ca="1">SUMIFS(rec.uni[2022-04-01],
INDIRECT("rec.uni[natureza]"),"pro.soluto",
INDIRECT("rec.uni[empresa]"),AA$6)</f>
        <v>0</v>
      </c>
      <c r="AB18" s="228">
        <f ca="1">SUMIFS(rec.uni[2022-04-01],
INDIRECT("rec.uni[natureza]"),"repasse.cef.obra",
INDIRECT("rec.uni[empresa]"),AB$6)</f>
        <v>0</v>
      </c>
      <c r="AC18" s="228">
        <f ca="1">SUMIFS(rec.uni[2022-04-01],
INDIRECT("rec.uni[natureza]"),"repasse.cef.terreno",
INDIRECT("rec.uni[empresa]"),AC$6)</f>
        <v>0</v>
      </c>
      <c r="AD18" s="228">
        <v>0</v>
      </c>
      <c r="AE18" s="228">
        <f ca="1">SUMIFS(rec.uni[2022-04-01],
INDIRECT("rec.uni[natureza]"),"taxa.extra",
INDIRECT("rec.uni[empresa]"),AE$6)</f>
        <v>0</v>
      </c>
      <c r="AF18" s="216"/>
      <c r="AG18" s="228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H18" s="228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I18" s="228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J18" s="228" cm="1">
        <f t="array" ref="AJ1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K18" s="229" cm="1">
        <f t="array" ref="AK1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L18" s="227">
        <f>COUNTIFS(
    estq[empresa], AL$6,
    estq[Data da venda / reserva], "&gt;=" &amp; $A18,
    estq[Data da venda / reserva], "&lt;"  &amp; EOMONTH($A18,0) + 1
)</f>
        <v>0</v>
      </c>
      <c r="AM18" s="228">
        <f ca="1">SUMIFS(rec.uni[2022-04-01],
INDIRECT("rec.uni[natureza]"),"pro.soluto",
INDIRECT("rec.uni[empresa]"),AM$6)</f>
        <v>0</v>
      </c>
      <c r="AN18" s="228">
        <f ca="1">SUMIFS(rec.uni[2022-04-01],
INDIRECT("rec.uni[natureza]"),"repasse.cef.obra",
INDIRECT("rec.uni[empresa]"),AN$6)</f>
        <v>0</v>
      </c>
      <c r="AO18" s="228">
        <f ca="1">SUMIFS(rec.uni[2022-04-01],
INDIRECT("rec.uni[natureza]"),"repasse.cef.terreno",
INDIRECT("rec.uni[empresa]"),AO$6)</f>
        <v>0</v>
      </c>
      <c r="AP18" s="228">
        <v>0</v>
      </c>
      <c r="AQ18" s="228">
        <f ca="1">SUMIFS(rec.uni[2022-04-01],
INDIRECT("rec.uni[natureza]"),"taxa.extra",
INDIRECT("rec.uni[empresa]"),AQ$6)</f>
        <v>0</v>
      </c>
      <c r="AR18" s="216"/>
      <c r="AS18" s="228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T18" s="228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U18" s="228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V18" s="228" cm="1">
        <f t="array" ref="AV1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W18" s="229" cm="1">
        <f t="array" ref="AW1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X18" s="227">
        <f>COUNTIFS(
    estq[empresa], AX$6,
    estq[Data da venda / reserva], "&gt;=" &amp; $A18,
    estq[Data da venda / reserva], "&lt;"  &amp; EOMONTH($A18,0) + 1
)</f>
        <v>0</v>
      </c>
      <c r="AY18" s="228">
        <f ca="1">SUMIFS(rec.uni[2022-04-01],
INDIRECT("rec.uni[natureza]"),"pro.soluto",
INDIRECT("rec.uni[empresa]"),AY$6)</f>
        <v>0</v>
      </c>
      <c r="AZ18" s="216">
        <f ca="1">SUMIFS(rec.uni[2022-04-01],
INDIRECT("rec.uni[natureza]"),"parcela.fin.total.ik",
INDIRECT("rec.uni[empresa]"),AZ$6)</f>
        <v>0</v>
      </c>
      <c r="BA18" s="228">
        <f ca="1">SUMIFS(rec.uni[2022-04-01],
INDIRECT("rec.uni[natureza]"),"taxa.extra",
INDIRECT("rec.uni[empresa]"),BA$6)</f>
        <v>0</v>
      </c>
      <c r="BB18" s="216"/>
      <c r="BC18" s="228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D18" s="228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E18" s="228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F18" s="228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G18" s="229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H18" s="227">
        <f>COUNTIFS(
    estq[empresa], BH$6,
    estq[Data da venda / reserva], "&gt;=" &amp; $A18,
    estq[Data da venda / reserva], "&lt;"  &amp; EOMONTH($A18,0) + 1
)</f>
        <v>0</v>
      </c>
      <c r="BI18" s="228">
        <f ca="1">SUMIFS(rec.uni[2022-04-01],
INDIRECT("rec.uni[natureza]"),"pro.soluto",
INDIRECT("rec.uni[empresa]"),BI$6)</f>
        <v>0</v>
      </c>
      <c r="BJ18" s="228">
        <f ca="1">SUMIFS(rec.uni[2022-04-01],
INDIRECT("rec.uni[natureza]"),"repasse.cef.obra",
INDIRECT("rec.uni[empresa]"),BJ$6)</f>
        <v>0</v>
      </c>
      <c r="BK18" s="228">
        <f ca="1">SUMIFS(rec.uni[2022-04-01],
INDIRECT("rec.uni[natureza]"),"repasse.cef.terreno",
INDIRECT("rec.uni[empresa]"),BK$6)</f>
        <v>0</v>
      </c>
      <c r="BL18" s="228">
        <v>0</v>
      </c>
      <c r="BM18" s="228">
        <f ca="1">SUMIFS(rec.uni[2022-04-01],
INDIRECT("rec.uni[natureza]"),"taxa.extra",
INDIRECT("rec.uni[empresa]"),BM$6)</f>
        <v>0</v>
      </c>
      <c r="BN18" s="216"/>
      <c r="BO18" s="228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P18" s="228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Q18" s="228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R18" s="228" cm="1">
        <f t="array" ref="BR1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S18" s="229" cm="1">
        <f t="array" ref="BS1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T18" s="227">
        <f>COUNTIFS(
    estq[empresa], BT$6,
    estq[Data da venda / reserva], "&gt;=" &amp; $A18,
    estq[Data da venda / reserva], "&lt;"  &amp; EOMONTH($A18,0) + 1
)</f>
        <v>0</v>
      </c>
      <c r="BU18" s="228">
        <f ca="1">SUMIFS(rec.uni[2022-04-01],
INDIRECT("rec.uni[natureza]"),"pro.soluto",
INDIRECT("rec.uni[empresa]"),BU$6)</f>
        <v>0</v>
      </c>
      <c r="BV18" s="228">
        <f ca="1">SUMIFS(rec.uni[2022-04-01],
INDIRECT("rec.uni[natureza]"),"repasse.cef.obra",
INDIRECT("rec.uni[empresa]"),BV$6)</f>
        <v>0</v>
      </c>
      <c r="BW18" s="228">
        <f ca="1">SUMIFS(rec.uni[2022-04-01],
INDIRECT("rec.uni[natureza]"),"repasse.cef.terreno",
INDIRECT("rec.uni[empresa]"),BW$6)</f>
        <v>0</v>
      </c>
      <c r="BX18" s="228">
        <v>0</v>
      </c>
      <c r="BY18" s="228">
        <f ca="1">SUMIFS(rec.uni[2022-04-01],
INDIRECT("rec.uni[natureza]"),"taxa.extra",
INDIRECT("rec.uni[empresa]"),BY$6)</f>
        <v>0</v>
      </c>
      <c r="BZ18" s="216"/>
      <c r="CA18" s="228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B18" s="228" cm="1">
        <f t="array" ref="CB1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C18" s="228" cm="1">
        <f t="array" ref="CC1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D18" s="228" cm="1">
        <f t="array" ref="CD1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E18" s="230" cm="1">
        <f t="array" ref="CE1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83" x14ac:dyDescent="0.25">
      <c r="A19" s="226">
        <v>44682</v>
      </c>
      <c r="B19" s="227">
        <f>COUNTIFS(
    estq[empresa], B$6,
    estq[Data da venda / reserva], "&gt;=" &amp; $A19,
    estq[Data da venda / reserva], "&lt;"  &amp; EOMONTH($A19,0) + 1
)</f>
        <v>0</v>
      </c>
      <c r="C19" s="228">
        <f ca="1">SUMIFS(rec.uni[2022-05-01],
INDIRECT("rec.uni[natureza]"),"pro.soluto",
INDIRECT("rec.uni[empresa]"),C$6)</f>
        <v>0</v>
      </c>
      <c r="D19" s="228">
        <f ca="1">SUMIFS(rec.uni[2022-05-01],
INDIRECT("rec.uni[natureza]"),"repasse.cef.obra",
INDIRECT("rec.uni[empresa]"),D$6)</f>
        <v>0</v>
      </c>
      <c r="E19" s="228">
        <f ca="1">SUMIFS(rec.uni[2022-05-01],
INDIRECT("rec.uni[natureza]"),"repasse.cef.terreno",
INDIRECT("rec.uni[empresa]"),E$6)</f>
        <v>0</v>
      </c>
      <c r="F19" s="228">
        <v>0</v>
      </c>
      <c r="G19" s="228">
        <f ca="1">SUMIFS(rec.uni[2022-05-01],
INDIRECT("rec.uni[natureza]"),"taxa.extra",
INDIRECT("rec.uni[empresa]"),G$6)</f>
        <v>0</v>
      </c>
      <c r="H19" s="216"/>
      <c r="I19" s="228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228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228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228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229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227">
        <f>COUNTIFS(
    estq[empresa], N$6,
    estq[Data da venda / reserva], "&gt;=" &amp; $A19,
    estq[Data da venda / reserva], "&lt;"  &amp; EOMONTH($A19,0) + 1
)</f>
        <v>0</v>
      </c>
      <c r="O19" s="228">
        <f ca="1">SUMIFS(rec.uni[2022-05-01],
INDIRECT("rec.uni[natureza]"),"pro.soluto",
INDIRECT("rec.uni[empresa]"),O$6)</f>
        <v>0</v>
      </c>
      <c r="P19" s="228">
        <f ca="1">SUMIFS(rec.uni[2022-05-01],
INDIRECT("rec.uni[natureza]"),"repasse.cef.obra",
INDIRECT("rec.uni[empresa]"),P$6)</f>
        <v>0</v>
      </c>
      <c r="Q19" s="228">
        <f ca="1">SUMIFS(rec.uni[2022-05-01],
INDIRECT("rec.uni[natureza]"),"repasse.cef.terreno",
INDIRECT("rec.uni[empresa]"),Q$6)</f>
        <v>0</v>
      </c>
      <c r="R19" s="228">
        <v>0</v>
      </c>
      <c r="S19" s="228">
        <f ca="1">SUMIFS(rec.uni[2022-05-01],
INDIRECT("rec.uni[natureza]"),"taxa.extra",
INDIRECT("rec.uni[empresa]"),S$6)</f>
        <v>0</v>
      </c>
      <c r="T19" s="216"/>
      <c r="U19" s="228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228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228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228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229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227">
        <f>COUNTIFS(
    estq[empresa], Z$6,
    estq[Data da venda / reserva], "&gt;=" &amp; $A19,
    estq[Data da venda / reserva], "&lt;"  &amp; EOMONTH($A19,0) + 1
)</f>
        <v>0</v>
      </c>
      <c r="AA19" s="228">
        <f ca="1">SUMIFS(rec.uni[2022-05-01],
INDIRECT("rec.uni[natureza]"),"pro.soluto",
INDIRECT("rec.uni[empresa]"),AA$6)</f>
        <v>0</v>
      </c>
      <c r="AB19" s="228">
        <f ca="1">SUMIFS(rec.uni[2022-05-01],
INDIRECT("rec.uni[natureza]"),"repasse.cef.obra",
INDIRECT("rec.uni[empresa]"),AB$6)</f>
        <v>0</v>
      </c>
      <c r="AC19" s="228">
        <f ca="1">SUMIFS(rec.uni[2022-05-01],
INDIRECT("rec.uni[natureza]"),"repasse.cef.terreno",
INDIRECT("rec.uni[empresa]"),AC$6)</f>
        <v>0</v>
      </c>
      <c r="AD19" s="228">
        <v>0</v>
      </c>
      <c r="AE19" s="228">
        <f ca="1">SUMIFS(rec.uni[2022-05-01],
INDIRECT("rec.uni[natureza]"),"taxa.extra",
INDIRECT("rec.uni[empresa]"),AE$6)</f>
        <v>0</v>
      </c>
      <c r="AF19" s="216"/>
      <c r="AG19" s="228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H19" s="228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I19" s="228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J19" s="228" cm="1">
        <f t="array" ref="AJ1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K19" s="229" cm="1">
        <f t="array" ref="AK1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L19" s="227">
        <f>COUNTIFS(
    estq[empresa], AL$6,
    estq[Data da venda / reserva], "&gt;=" &amp; $A19,
    estq[Data da venda / reserva], "&lt;"  &amp; EOMONTH($A19,0) + 1
)</f>
        <v>0</v>
      </c>
      <c r="AM19" s="228">
        <f ca="1">SUMIFS(rec.uni[2022-05-01],
INDIRECT("rec.uni[natureza]"),"pro.soluto",
INDIRECT("rec.uni[empresa]"),AM$6)</f>
        <v>0</v>
      </c>
      <c r="AN19" s="228">
        <f ca="1">SUMIFS(rec.uni[2022-05-01],
INDIRECT("rec.uni[natureza]"),"repasse.cef.obra",
INDIRECT("rec.uni[empresa]"),AN$6)</f>
        <v>0</v>
      </c>
      <c r="AO19" s="228">
        <f ca="1">SUMIFS(rec.uni[2022-05-01],
INDIRECT("rec.uni[natureza]"),"repasse.cef.terreno",
INDIRECT("rec.uni[empresa]"),AO$6)</f>
        <v>0</v>
      </c>
      <c r="AP19" s="228">
        <v>0</v>
      </c>
      <c r="AQ19" s="228">
        <f ca="1">SUMIFS(rec.uni[2022-05-01],
INDIRECT("rec.uni[natureza]"),"taxa.extra",
INDIRECT("rec.uni[empresa]"),AQ$6)</f>
        <v>0</v>
      </c>
      <c r="AR19" s="216"/>
      <c r="AS19" s="228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T19" s="228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U19" s="228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V19" s="228" cm="1">
        <f t="array" ref="AV1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W19" s="229" cm="1">
        <f t="array" ref="AW1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X19" s="227">
        <f>COUNTIFS(
    estq[empresa], AX$6,
    estq[Data da venda / reserva], "&gt;=" &amp; $A19,
    estq[Data da venda / reserva], "&lt;"  &amp; EOMONTH($A19,0) + 1
)</f>
        <v>0</v>
      </c>
      <c r="AY19" s="228">
        <f ca="1">SUMIFS(rec.uni[2022-05-01],
INDIRECT("rec.uni[natureza]"),"pro.soluto",
INDIRECT("rec.uni[empresa]"),AY$6)</f>
        <v>0</v>
      </c>
      <c r="AZ19" s="216">
        <f ca="1">SUMIFS(rec.uni[2022-05-01],
INDIRECT("rec.uni[natureza]"),"parcela.fin.total.ik",
INDIRECT("rec.uni[empresa]"),AZ$6)</f>
        <v>0</v>
      </c>
      <c r="BA19" s="228">
        <f ca="1">SUMIFS(rec.uni[2022-05-01],
INDIRECT("rec.uni[natureza]"),"taxa.extra",
INDIRECT("rec.uni[empresa]"),BA$6)</f>
        <v>0</v>
      </c>
      <c r="BB19" s="216"/>
      <c r="BC19" s="228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D19" s="228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E19" s="228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F19" s="228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G19" s="229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H19" s="227">
        <f>COUNTIFS(
    estq[empresa], BH$6,
    estq[Data da venda / reserva], "&gt;=" &amp; $A19,
    estq[Data da venda / reserva], "&lt;"  &amp; EOMONTH($A19,0) + 1
)</f>
        <v>0</v>
      </c>
      <c r="BI19" s="228">
        <f ca="1">SUMIFS(rec.uni[2022-05-01],
INDIRECT("rec.uni[natureza]"),"pro.soluto",
INDIRECT("rec.uni[empresa]"),BI$6)</f>
        <v>0</v>
      </c>
      <c r="BJ19" s="228">
        <f ca="1">SUMIFS(rec.uni[2022-05-01],
INDIRECT("rec.uni[natureza]"),"repasse.cef.obra",
INDIRECT("rec.uni[empresa]"),BJ$6)</f>
        <v>0</v>
      </c>
      <c r="BK19" s="228">
        <f ca="1">SUMIFS(rec.uni[2022-05-01],
INDIRECT("rec.uni[natureza]"),"repasse.cef.terreno",
INDIRECT("rec.uni[empresa]"),BK$6)</f>
        <v>0</v>
      </c>
      <c r="BL19" s="228">
        <v>0</v>
      </c>
      <c r="BM19" s="228">
        <f ca="1">SUMIFS(rec.uni[2022-05-01],
INDIRECT("rec.uni[natureza]"),"taxa.extra",
INDIRECT("rec.uni[empresa]"),BM$6)</f>
        <v>0</v>
      </c>
      <c r="BN19" s="216"/>
      <c r="BO19" s="228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P19" s="228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Q19" s="228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R19" s="228" cm="1">
        <f t="array" ref="BR1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S19" s="229" cm="1">
        <f t="array" ref="BS1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T19" s="227">
        <f>COUNTIFS(
    estq[empresa], BT$6,
    estq[Data da venda / reserva], "&gt;=" &amp; $A19,
    estq[Data da venda / reserva], "&lt;"  &amp; EOMONTH($A19,0) + 1
)</f>
        <v>0</v>
      </c>
      <c r="BU19" s="228">
        <f ca="1">SUMIFS(rec.uni[2022-05-01],
INDIRECT("rec.uni[natureza]"),"pro.soluto",
INDIRECT("rec.uni[empresa]"),BU$6)</f>
        <v>0</v>
      </c>
      <c r="BV19" s="228">
        <f ca="1">SUMIFS(rec.uni[2022-05-01],
INDIRECT("rec.uni[natureza]"),"repasse.cef.obra",
INDIRECT("rec.uni[empresa]"),BV$6)</f>
        <v>0</v>
      </c>
      <c r="BW19" s="228">
        <f ca="1">SUMIFS(rec.uni[2022-05-01],
INDIRECT("rec.uni[natureza]"),"repasse.cef.terreno",
INDIRECT("rec.uni[empresa]"),BW$6)</f>
        <v>0</v>
      </c>
      <c r="BX19" s="228">
        <v>0</v>
      </c>
      <c r="BY19" s="228">
        <f ca="1">SUMIFS(rec.uni[2022-05-01],
INDIRECT("rec.uni[natureza]"),"taxa.extra",
INDIRECT("rec.uni[empresa]"),BY$6)</f>
        <v>0</v>
      </c>
      <c r="BZ19" s="216"/>
      <c r="CA19" s="228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B19" s="228" cm="1">
        <f t="array" ref="CB1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C19" s="228" cm="1">
        <f t="array" ref="CC1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D19" s="228" cm="1">
        <f t="array" ref="CD1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E19" s="230" cm="1">
        <f t="array" ref="CE1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83" x14ac:dyDescent="0.25">
      <c r="A20" s="226">
        <v>44713</v>
      </c>
      <c r="B20" s="227">
        <f>COUNTIFS(
    estq[empresa], B$6,
    estq[Data da venda / reserva], "&gt;=" &amp; $A20,
    estq[Data da venda / reserva], "&lt;"  &amp; EOMONTH($A20,0) + 1
)</f>
        <v>0</v>
      </c>
      <c r="C20" s="228">
        <f ca="1">SUMIFS(rec.uni[2022-06-01],
INDIRECT("rec.uni[natureza]"),"pro.soluto",
INDIRECT("rec.uni[empresa]"),C$6)</f>
        <v>0</v>
      </c>
      <c r="D20" s="228">
        <f ca="1">SUMIFS(rec.uni[2022-06-01],
INDIRECT("rec.uni[natureza]"),"repasse.cef.obra",
INDIRECT("rec.uni[empresa]"),D$6)</f>
        <v>0</v>
      </c>
      <c r="E20" s="228">
        <f ca="1">SUMIFS(rec.uni[2022-06-01],
INDIRECT("rec.uni[natureza]"),"repasse.cef.terreno",
INDIRECT("rec.uni[empresa]"),E$6)</f>
        <v>0</v>
      </c>
      <c r="F20" s="228">
        <v>0</v>
      </c>
      <c r="G20" s="228">
        <f ca="1">SUMIFS(rec.uni[2022-06-01],
INDIRECT("rec.uni[natureza]"),"taxa.extra",
INDIRECT("rec.uni[empresa]"),G$6)</f>
        <v>0</v>
      </c>
      <c r="H20" s="216"/>
      <c r="I20" s="228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228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228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228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229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227">
        <f>COUNTIFS(
    estq[empresa], N$6,
    estq[Data da venda / reserva], "&gt;=" &amp; $A20,
    estq[Data da venda / reserva], "&lt;"  &amp; EOMONTH($A20,0) + 1
)</f>
        <v>0</v>
      </c>
      <c r="O20" s="228">
        <f ca="1">SUMIFS(rec.uni[2022-06-01],
INDIRECT("rec.uni[natureza]"),"pro.soluto",
INDIRECT("rec.uni[empresa]"),O$6)</f>
        <v>0</v>
      </c>
      <c r="P20" s="228">
        <f ca="1">SUMIFS(rec.uni[2022-06-01],
INDIRECT("rec.uni[natureza]"),"repasse.cef.obra",
INDIRECT("rec.uni[empresa]"),P$6)</f>
        <v>0</v>
      </c>
      <c r="Q20" s="228">
        <f ca="1">SUMIFS(rec.uni[2022-06-01],
INDIRECT("rec.uni[natureza]"),"repasse.cef.terreno",
INDIRECT("rec.uni[empresa]"),Q$6)</f>
        <v>0</v>
      </c>
      <c r="R20" s="228">
        <v>0</v>
      </c>
      <c r="S20" s="228">
        <f ca="1">SUMIFS(rec.uni[2022-06-01],
INDIRECT("rec.uni[natureza]"),"taxa.extra",
INDIRECT("rec.uni[empresa]"),S$6)</f>
        <v>0</v>
      </c>
      <c r="T20" s="216"/>
      <c r="U20" s="228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228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228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228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229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227">
        <f>COUNTIFS(
    estq[empresa], Z$6,
    estq[Data da venda / reserva], "&gt;=" &amp; $A20,
    estq[Data da venda / reserva], "&lt;"  &amp; EOMONTH($A20,0) + 1
)</f>
        <v>0</v>
      </c>
      <c r="AA20" s="228">
        <f ca="1">SUMIFS(rec.uni[2022-06-01],
INDIRECT("rec.uni[natureza]"),"pro.soluto",
INDIRECT("rec.uni[empresa]"),AA$6)</f>
        <v>0</v>
      </c>
      <c r="AB20" s="228">
        <f ca="1">SUMIFS(rec.uni[2022-06-01],
INDIRECT("rec.uni[natureza]"),"repasse.cef.obra",
INDIRECT("rec.uni[empresa]"),AB$6)</f>
        <v>0</v>
      </c>
      <c r="AC20" s="228">
        <f ca="1">SUMIFS(rec.uni[2022-06-01],
INDIRECT("rec.uni[natureza]"),"repasse.cef.terreno",
INDIRECT("rec.uni[empresa]"),AC$6)</f>
        <v>0</v>
      </c>
      <c r="AD20" s="228">
        <v>0</v>
      </c>
      <c r="AE20" s="228">
        <f ca="1">SUMIFS(rec.uni[2022-06-01],
INDIRECT("rec.uni[natureza]"),"taxa.extra",
INDIRECT("rec.uni[empresa]"),AE$6)</f>
        <v>0</v>
      </c>
      <c r="AF20" s="216"/>
      <c r="AG20" s="228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H20" s="228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I20" s="228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J20" s="228" cm="1">
        <f t="array" ref="AJ2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K20" s="229" cm="1">
        <f t="array" ref="AK2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L20" s="227">
        <f>COUNTIFS(
    estq[empresa], AL$6,
    estq[Data da venda / reserva], "&gt;=" &amp; $A20,
    estq[Data da venda / reserva], "&lt;"  &amp; EOMONTH($A20,0) + 1
)</f>
        <v>0</v>
      </c>
      <c r="AM20" s="228">
        <f ca="1">SUMIFS(rec.uni[2022-06-01],
INDIRECT("rec.uni[natureza]"),"pro.soluto",
INDIRECT("rec.uni[empresa]"),AM$6)</f>
        <v>0</v>
      </c>
      <c r="AN20" s="228">
        <f ca="1">SUMIFS(rec.uni[2022-06-01],
INDIRECT("rec.uni[natureza]"),"repasse.cef.obra",
INDIRECT("rec.uni[empresa]"),AN$6)</f>
        <v>0</v>
      </c>
      <c r="AO20" s="228">
        <f ca="1">SUMIFS(rec.uni[2022-06-01],
INDIRECT("rec.uni[natureza]"),"repasse.cef.terreno",
INDIRECT("rec.uni[empresa]"),AO$6)</f>
        <v>0</v>
      </c>
      <c r="AP20" s="228">
        <v>0</v>
      </c>
      <c r="AQ20" s="228">
        <f ca="1">SUMIFS(rec.uni[2022-06-01],
INDIRECT("rec.uni[natureza]"),"taxa.extra",
INDIRECT("rec.uni[empresa]"),AQ$6)</f>
        <v>0</v>
      </c>
      <c r="AR20" s="216"/>
      <c r="AS20" s="228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T20" s="228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U20" s="228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V20" s="228" cm="1">
        <f t="array" ref="AV2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W20" s="229" cm="1">
        <f t="array" ref="AW2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X20" s="227">
        <f>COUNTIFS(
    estq[empresa], AX$6,
    estq[Data da venda / reserva], "&gt;=" &amp; $A20,
    estq[Data da venda / reserva], "&lt;"  &amp; EOMONTH($A20,0) + 1
)</f>
        <v>0</v>
      </c>
      <c r="AY20" s="228">
        <f ca="1">SUMIFS(rec.uni[2022-06-01],
INDIRECT("rec.uni[natureza]"),"pro.soluto",
INDIRECT("rec.uni[empresa]"),AY$6)</f>
        <v>0</v>
      </c>
      <c r="AZ20" s="216">
        <f ca="1">SUMIFS(rec.uni[2022-06-01],
INDIRECT("rec.uni[natureza]"),"parcela.fin.total.ik",
INDIRECT("rec.uni[empresa]"),AZ$6)</f>
        <v>0</v>
      </c>
      <c r="BA20" s="228">
        <f ca="1">SUMIFS(rec.uni[2022-06-01],
INDIRECT("rec.uni[natureza]"),"taxa.extra",
INDIRECT("rec.uni[empresa]"),BA$6)</f>
        <v>0</v>
      </c>
      <c r="BB20" s="216"/>
      <c r="BC20" s="228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D20" s="228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E20" s="228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F20" s="228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G20" s="229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H20" s="227">
        <f>COUNTIFS(
    estq[empresa], BH$6,
    estq[Data da venda / reserva], "&gt;=" &amp; $A20,
    estq[Data da venda / reserva], "&lt;"  &amp; EOMONTH($A20,0) + 1
)</f>
        <v>0</v>
      </c>
      <c r="BI20" s="228">
        <f ca="1">SUMIFS(rec.uni[2022-06-01],
INDIRECT("rec.uni[natureza]"),"pro.soluto",
INDIRECT("rec.uni[empresa]"),BI$6)</f>
        <v>0</v>
      </c>
      <c r="BJ20" s="228">
        <f ca="1">SUMIFS(rec.uni[2022-06-01],
INDIRECT("rec.uni[natureza]"),"repasse.cef.obra",
INDIRECT("rec.uni[empresa]"),BJ$6)</f>
        <v>0</v>
      </c>
      <c r="BK20" s="228">
        <f ca="1">SUMIFS(rec.uni[2022-06-01],
INDIRECT("rec.uni[natureza]"),"repasse.cef.terreno",
INDIRECT("rec.uni[empresa]"),BK$6)</f>
        <v>0</v>
      </c>
      <c r="BL20" s="228">
        <v>0</v>
      </c>
      <c r="BM20" s="228">
        <f ca="1">SUMIFS(rec.uni[2022-06-01],
INDIRECT("rec.uni[natureza]"),"taxa.extra",
INDIRECT("rec.uni[empresa]"),BM$6)</f>
        <v>0</v>
      </c>
      <c r="BN20" s="216"/>
      <c r="BO20" s="228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P20" s="228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Q20" s="228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R20" s="228" cm="1">
        <f t="array" ref="BR2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S20" s="229" cm="1">
        <f t="array" ref="BS2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T20" s="227">
        <f>COUNTIFS(
    estq[empresa], BT$6,
    estq[Data da venda / reserva], "&gt;=" &amp; $A20,
    estq[Data da venda / reserva], "&lt;"  &amp; EOMONTH($A20,0) + 1
)</f>
        <v>0</v>
      </c>
      <c r="BU20" s="228">
        <f ca="1">SUMIFS(rec.uni[2022-06-01],
INDIRECT("rec.uni[natureza]"),"pro.soluto",
INDIRECT("rec.uni[empresa]"),BU$6)</f>
        <v>0</v>
      </c>
      <c r="BV20" s="228">
        <f ca="1">SUMIFS(rec.uni[2022-06-01],
INDIRECT("rec.uni[natureza]"),"repasse.cef.obra",
INDIRECT("rec.uni[empresa]"),BV$6)</f>
        <v>0</v>
      </c>
      <c r="BW20" s="228">
        <f ca="1">SUMIFS(rec.uni[2022-06-01],
INDIRECT("rec.uni[natureza]"),"repasse.cef.terreno",
INDIRECT("rec.uni[empresa]"),BW$6)</f>
        <v>0</v>
      </c>
      <c r="BX20" s="228">
        <v>0</v>
      </c>
      <c r="BY20" s="228">
        <f ca="1">SUMIFS(rec.uni[2022-06-01],
INDIRECT("rec.uni[natureza]"),"taxa.extra",
INDIRECT("rec.uni[empresa]"),BY$6)</f>
        <v>0</v>
      </c>
      <c r="BZ20" s="216"/>
      <c r="CA20" s="228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B20" s="228" cm="1">
        <f t="array" ref="CB2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C20" s="228" cm="1">
        <f t="array" ref="CC2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D20" s="228" cm="1">
        <f t="array" ref="CD2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E20" s="230" cm="1">
        <f t="array" ref="CE2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83" x14ac:dyDescent="0.25">
      <c r="A21" s="226">
        <v>44743</v>
      </c>
      <c r="B21" s="227">
        <f>COUNTIFS(
    estq[empresa], B$6,
    estq[Data da venda / reserva], "&gt;=" &amp; $A21,
    estq[Data da venda / reserva], "&lt;"  &amp; EOMONTH($A21,0) + 1
)</f>
        <v>0</v>
      </c>
      <c r="C21" s="228">
        <f ca="1">SUMIFS(rec.uni[2022-07-01],
INDIRECT("rec.uni[natureza]"),"pro.soluto",
INDIRECT("rec.uni[empresa]"),C$6)</f>
        <v>0</v>
      </c>
      <c r="D21" s="228">
        <f ca="1">SUMIFS(rec.uni[2022-07-01],
INDIRECT("rec.uni[natureza]"),"repasse.cef.obra",
INDIRECT("rec.uni[empresa]"),D$6)</f>
        <v>0</v>
      </c>
      <c r="E21" s="228">
        <f ca="1">SUMIFS(rec.uni[2022-07-01],
INDIRECT("rec.uni[natureza]"),"repasse.cef.terreno",
INDIRECT("rec.uni[empresa]"),E$6)</f>
        <v>0</v>
      </c>
      <c r="F21" s="228">
        <v>0</v>
      </c>
      <c r="G21" s="228">
        <f ca="1">SUMIFS(rec.uni[2022-07-01],
INDIRECT("rec.uni[natureza]"),"taxa.extra",
INDIRECT("rec.uni[empresa]"),G$6)</f>
        <v>0</v>
      </c>
      <c r="H21" s="216"/>
      <c r="I21" s="228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228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228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228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229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227">
        <f>COUNTIFS(
    estq[empresa], N$6,
    estq[Data da venda / reserva], "&gt;=" &amp; $A21,
    estq[Data da venda / reserva], "&lt;"  &amp; EOMONTH($A21,0) + 1
)</f>
        <v>0</v>
      </c>
      <c r="O21" s="228">
        <f ca="1">SUMIFS(rec.uni[2022-07-01],
INDIRECT("rec.uni[natureza]"),"pro.soluto",
INDIRECT("rec.uni[empresa]"),O$6)</f>
        <v>0</v>
      </c>
      <c r="P21" s="228">
        <f ca="1">SUMIFS(rec.uni[2022-07-01],
INDIRECT("rec.uni[natureza]"),"repasse.cef.obra",
INDIRECT("rec.uni[empresa]"),P$6)</f>
        <v>0</v>
      </c>
      <c r="Q21" s="228">
        <f ca="1">SUMIFS(rec.uni[2022-07-01],
INDIRECT("rec.uni[natureza]"),"repasse.cef.terreno",
INDIRECT("rec.uni[empresa]"),Q$6)</f>
        <v>0</v>
      </c>
      <c r="R21" s="228">
        <v>0</v>
      </c>
      <c r="S21" s="228">
        <f ca="1">SUMIFS(rec.uni[2022-07-01],
INDIRECT("rec.uni[natureza]"),"taxa.extra",
INDIRECT("rec.uni[empresa]"),S$6)</f>
        <v>0</v>
      </c>
      <c r="T21" s="216"/>
      <c r="U21" s="228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228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228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228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229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227">
        <f>COUNTIFS(
    estq[empresa], Z$6,
    estq[Data da venda / reserva], "&gt;=" &amp; $A21,
    estq[Data da venda / reserva], "&lt;"  &amp; EOMONTH($A21,0) + 1
)</f>
        <v>0</v>
      </c>
      <c r="AA21" s="228">
        <f ca="1">SUMIFS(rec.uni[2022-07-01],
INDIRECT("rec.uni[natureza]"),"pro.soluto",
INDIRECT("rec.uni[empresa]"),AA$6)</f>
        <v>0</v>
      </c>
      <c r="AB21" s="228">
        <f ca="1">SUMIFS(rec.uni[2022-07-01],
INDIRECT("rec.uni[natureza]"),"repasse.cef.obra",
INDIRECT("rec.uni[empresa]"),AB$6)</f>
        <v>0</v>
      </c>
      <c r="AC21" s="228">
        <f ca="1">SUMIFS(rec.uni[2022-07-01],
INDIRECT("rec.uni[natureza]"),"repasse.cef.terreno",
INDIRECT("rec.uni[empresa]"),AC$6)</f>
        <v>0</v>
      </c>
      <c r="AD21" s="228">
        <v>0</v>
      </c>
      <c r="AE21" s="228">
        <f ca="1">SUMIFS(rec.uni[2022-07-01],
INDIRECT("rec.uni[natureza]"),"taxa.extra",
INDIRECT("rec.uni[empresa]"),AE$6)</f>
        <v>0</v>
      </c>
      <c r="AF21" s="216"/>
      <c r="AG21" s="228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H21" s="228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I21" s="228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J21" s="228" cm="1">
        <f t="array" ref="AJ2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K21" s="229" cm="1">
        <f t="array" ref="AK2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L21" s="227">
        <f>COUNTIFS(
    estq[empresa], AL$6,
    estq[Data da venda / reserva], "&gt;=" &amp; $A21,
    estq[Data da venda / reserva], "&lt;"  &amp; EOMONTH($A21,0) + 1
)</f>
        <v>0</v>
      </c>
      <c r="AM21" s="228">
        <f ca="1">SUMIFS(rec.uni[2022-07-01],
INDIRECT("rec.uni[natureza]"),"pro.soluto",
INDIRECT("rec.uni[empresa]"),AM$6)</f>
        <v>0</v>
      </c>
      <c r="AN21" s="228">
        <f ca="1">SUMIFS(rec.uni[2022-07-01],
INDIRECT("rec.uni[natureza]"),"repasse.cef.obra",
INDIRECT("rec.uni[empresa]"),AN$6)</f>
        <v>0</v>
      </c>
      <c r="AO21" s="228">
        <f ca="1">SUMIFS(rec.uni[2022-07-01],
INDIRECT("rec.uni[natureza]"),"repasse.cef.terreno",
INDIRECT("rec.uni[empresa]"),AO$6)</f>
        <v>0</v>
      </c>
      <c r="AP21" s="228">
        <v>0</v>
      </c>
      <c r="AQ21" s="228">
        <f ca="1">SUMIFS(rec.uni[2022-07-01],
INDIRECT("rec.uni[natureza]"),"taxa.extra",
INDIRECT("rec.uni[empresa]"),AQ$6)</f>
        <v>0</v>
      </c>
      <c r="AR21" s="216"/>
      <c r="AS21" s="228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T21" s="228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U21" s="228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V21" s="228" cm="1">
        <f t="array" ref="AV2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W21" s="229" cm="1">
        <f t="array" ref="AW2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X21" s="227">
        <f>COUNTIFS(
    estq[empresa], AX$6,
    estq[Data da venda / reserva], "&gt;=" &amp; $A21,
    estq[Data da venda / reserva], "&lt;"  &amp; EOMONTH($A21,0) + 1
)</f>
        <v>0</v>
      </c>
      <c r="AY21" s="228">
        <f ca="1">SUMIFS(rec.uni[2022-07-01],
INDIRECT("rec.uni[natureza]"),"pro.soluto",
INDIRECT("rec.uni[empresa]"),AY$6)</f>
        <v>0</v>
      </c>
      <c r="AZ21" s="216">
        <f ca="1">SUMIFS(rec.uni[2022-07-01],
INDIRECT("rec.uni[natureza]"),"parcela.fin.total.ik",
INDIRECT("rec.uni[empresa]"),AZ$6)</f>
        <v>0</v>
      </c>
      <c r="BA21" s="228">
        <f ca="1">SUMIFS(rec.uni[2022-07-01],
INDIRECT("rec.uni[natureza]"),"taxa.extra",
INDIRECT("rec.uni[empresa]"),BA$6)</f>
        <v>0</v>
      </c>
      <c r="BB21" s="216"/>
      <c r="BC21" s="228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D21" s="228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E21" s="228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F21" s="228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G21" s="229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H21" s="227">
        <f>COUNTIFS(
    estq[empresa], BH$6,
    estq[Data da venda / reserva], "&gt;=" &amp; $A21,
    estq[Data da venda / reserva], "&lt;"  &amp; EOMONTH($A21,0) + 1
)</f>
        <v>0</v>
      </c>
      <c r="BI21" s="228">
        <f ca="1">SUMIFS(rec.uni[2022-07-01],
INDIRECT("rec.uni[natureza]"),"pro.soluto",
INDIRECT("rec.uni[empresa]"),BI$6)</f>
        <v>0</v>
      </c>
      <c r="BJ21" s="228">
        <f ca="1">SUMIFS(rec.uni[2022-07-01],
INDIRECT("rec.uni[natureza]"),"repasse.cef.obra",
INDIRECT("rec.uni[empresa]"),BJ$6)</f>
        <v>0</v>
      </c>
      <c r="BK21" s="228">
        <f ca="1">SUMIFS(rec.uni[2022-07-01],
INDIRECT("rec.uni[natureza]"),"repasse.cef.terreno",
INDIRECT("rec.uni[empresa]"),BK$6)</f>
        <v>0</v>
      </c>
      <c r="BL21" s="228">
        <v>0</v>
      </c>
      <c r="BM21" s="228">
        <f ca="1">SUMIFS(rec.uni[2022-07-01],
INDIRECT("rec.uni[natureza]"),"taxa.extra",
INDIRECT("rec.uni[empresa]"),BM$6)</f>
        <v>0</v>
      </c>
      <c r="BN21" s="216"/>
      <c r="BO21" s="228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P21" s="228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Q21" s="228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R21" s="228" cm="1">
        <f t="array" ref="BR2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S21" s="229" cm="1">
        <f t="array" ref="BS2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T21" s="227">
        <f>COUNTIFS(
    estq[empresa], BT$6,
    estq[Data da venda / reserva], "&gt;=" &amp; $A21,
    estq[Data da venda / reserva], "&lt;"  &amp; EOMONTH($A21,0) + 1
)</f>
        <v>0</v>
      </c>
      <c r="BU21" s="228">
        <f ca="1">SUMIFS(rec.uni[2022-07-01],
INDIRECT("rec.uni[natureza]"),"pro.soluto",
INDIRECT("rec.uni[empresa]"),BU$6)</f>
        <v>0</v>
      </c>
      <c r="BV21" s="228">
        <f ca="1">SUMIFS(rec.uni[2022-07-01],
INDIRECT("rec.uni[natureza]"),"repasse.cef.obra",
INDIRECT("rec.uni[empresa]"),BV$6)</f>
        <v>0</v>
      </c>
      <c r="BW21" s="228">
        <f ca="1">SUMIFS(rec.uni[2022-07-01],
INDIRECT("rec.uni[natureza]"),"repasse.cef.terreno",
INDIRECT("rec.uni[empresa]"),BW$6)</f>
        <v>0</v>
      </c>
      <c r="BX21" s="228">
        <v>0</v>
      </c>
      <c r="BY21" s="228">
        <f ca="1">SUMIFS(rec.uni[2022-07-01],
INDIRECT("rec.uni[natureza]"),"taxa.extra",
INDIRECT("rec.uni[empresa]"),BY$6)</f>
        <v>0</v>
      </c>
      <c r="BZ21" s="216"/>
      <c r="CA21" s="228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B21" s="228" cm="1">
        <f t="array" ref="CB2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C21" s="228" cm="1">
        <f t="array" ref="CC2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D21" s="228" cm="1">
        <f t="array" ref="CD2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E21" s="230" cm="1">
        <f t="array" ref="CE2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83" x14ac:dyDescent="0.25">
      <c r="A22" s="226">
        <v>44774</v>
      </c>
      <c r="B22" s="227">
        <f>COUNTIFS(
    estq[empresa], B$6,
    estq[Data da venda / reserva], "&gt;=" &amp; $A22,
    estq[Data da venda / reserva], "&lt;"  &amp; EOMONTH($A22,0) + 1
)</f>
        <v>0</v>
      </c>
      <c r="C22" s="228">
        <f ca="1">SUMIFS(rec.uni[2022-08-01],
INDIRECT("rec.uni[natureza]"),"pro.soluto",
INDIRECT("rec.uni[empresa]"),C$6)</f>
        <v>0</v>
      </c>
      <c r="D22" s="228">
        <f ca="1">SUMIFS(rec.uni[2022-08-01],
INDIRECT("rec.uni[natureza]"),"repasse.cef.obra",
INDIRECT("rec.uni[empresa]"),D$6)</f>
        <v>0</v>
      </c>
      <c r="E22" s="228">
        <f ca="1">SUMIFS(rec.uni[2022-08-01],
INDIRECT("rec.uni[natureza]"),"repasse.cef.terreno",
INDIRECT("rec.uni[empresa]"),E$6)</f>
        <v>0</v>
      </c>
      <c r="F22" s="228">
        <v>0</v>
      </c>
      <c r="G22" s="228">
        <f ca="1">SUMIFS(rec.uni[2022-08-01],
INDIRECT("rec.uni[natureza]"),"taxa.extra",
INDIRECT("rec.uni[empresa]"),G$6)</f>
        <v>0</v>
      </c>
      <c r="H22" s="216"/>
      <c r="I22" s="228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228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228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228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229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227">
        <f>COUNTIFS(
    estq[empresa], N$6,
    estq[Data da venda / reserva], "&gt;=" &amp; $A22,
    estq[Data da venda / reserva], "&lt;"  &amp; EOMONTH($A22,0) + 1
)</f>
        <v>0</v>
      </c>
      <c r="O22" s="228">
        <f ca="1">SUMIFS(rec.uni[2022-08-01],
INDIRECT("rec.uni[natureza]"),"pro.soluto",
INDIRECT("rec.uni[empresa]"),O$6)</f>
        <v>0</v>
      </c>
      <c r="P22" s="228">
        <f ca="1">SUMIFS(rec.uni[2022-08-01],
INDIRECT("rec.uni[natureza]"),"repasse.cef.obra",
INDIRECT("rec.uni[empresa]"),P$6)</f>
        <v>0</v>
      </c>
      <c r="Q22" s="228">
        <f ca="1">SUMIFS(rec.uni[2022-08-01],
INDIRECT("rec.uni[natureza]"),"repasse.cef.terreno",
INDIRECT("rec.uni[empresa]"),Q$6)</f>
        <v>0</v>
      </c>
      <c r="R22" s="228">
        <v>0</v>
      </c>
      <c r="S22" s="228">
        <f ca="1">SUMIFS(rec.uni[2022-08-01],
INDIRECT("rec.uni[natureza]"),"taxa.extra",
INDIRECT("rec.uni[empresa]"),S$6)</f>
        <v>0</v>
      </c>
      <c r="T22" s="216"/>
      <c r="U22" s="228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228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228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228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229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227">
        <f>COUNTIFS(
    estq[empresa], Z$6,
    estq[Data da venda / reserva], "&gt;=" &amp; $A22,
    estq[Data da venda / reserva], "&lt;"  &amp; EOMONTH($A22,0) + 1
)</f>
        <v>0</v>
      </c>
      <c r="AA22" s="228">
        <f ca="1">SUMIFS(rec.uni[2022-08-01],
INDIRECT("rec.uni[natureza]"),"pro.soluto",
INDIRECT("rec.uni[empresa]"),AA$6)</f>
        <v>0</v>
      </c>
      <c r="AB22" s="228">
        <f ca="1">SUMIFS(rec.uni[2022-08-01],
INDIRECT("rec.uni[natureza]"),"repasse.cef.obra",
INDIRECT("rec.uni[empresa]"),AB$6)</f>
        <v>0</v>
      </c>
      <c r="AC22" s="228">
        <f ca="1">SUMIFS(rec.uni[2022-08-01],
INDIRECT("rec.uni[natureza]"),"repasse.cef.terreno",
INDIRECT("rec.uni[empresa]"),AC$6)</f>
        <v>0</v>
      </c>
      <c r="AD22" s="228">
        <v>0</v>
      </c>
      <c r="AE22" s="228">
        <f ca="1">SUMIFS(rec.uni[2022-08-01],
INDIRECT("rec.uni[natureza]"),"taxa.extra",
INDIRECT("rec.uni[empresa]"),AE$6)</f>
        <v>0</v>
      </c>
      <c r="AF22" s="216"/>
      <c r="AG22" s="228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H22" s="228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I22" s="228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J22" s="228" cm="1">
        <f t="array" ref="AJ2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K22" s="229" cm="1">
        <f t="array" ref="AK2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L22" s="227">
        <f>COUNTIFS(
    estq[empresa], AL$6,
    estq[Data da venda / reserva], "&gt;=" &amp; $A22,
    estq[Data da venda / reserva], "&lt;"  &amp; EOMONTH($A22,0) + 1
)</f>
        <v>0</v>
      </c>
      <c r="AM22" s="228">
        <f ca="1">SUMIFS(rec.uni[2022-08-01],
INDIRECT("rec.uni[natureza]"),"pro.soluto",
INDIRECT("rec.uni[empresa]"),AM$6)</f>
        <v>0</v>
      </c>
      <c r="AN22" s="228">
        <f ca="1">SUMIFS(rec.uni[2022-08-01],
INDIRECT("rec.uni[natureza]"),"repasse.cef.obra",
INDIRECT("rec.uni[empresa]"),AN$6)</f>
        <v>0</v>
      </c>
      <c r="AO22" s="228">
        <f ca="1">SUMIFS(rec.uni[2022-08-01],
INDIRECT("rec.uni[natureza]"),"repasse.cef.terreno",
INDIRECT("rec.uni[empresa]"),AO$6)</f>
        <v>0</v>
      </c>
      <c r="AP22" s="228">
        <v>0</v>
      </c>
      <c r="AQ22" s="228">
        <f ca="1">SUMIFS(rec.uni[2022-08-01],
INDIRECT("rec.uni[natureza]"),"taxa.extra",
INDIRECT("rec.uni[empresa]"),AQ$6)</f>
        <v>0</v>
      </c>
      <c r="AR22" s="216"/>
      <c r="AS22" s="228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T22" s="228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U22" s="228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V22" s="228" cm="1">
        <f t="array" ref="AV2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W22" s="229" cm="1">
        <f t="array" ref="AW2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X22" s="227">
        <f>COUNTIFS(
    estq[empresa], AX$6,
    estq[Data da venda / reserva], "&gt;=" &amp; $A22,
    estq[Data da venda / reserva], "&lt;"  &amp; EOMONTH($A22,0) + 1
)</f>
        <v>0</v>
      </c>
      <c r="AY22" s="228">
        <f ca="1">SUMIFS(rec.uni[2022-08-01],
INDIRECT("rec.uni[natureza]"),"pro.soluto",
INDIRECT("rec.uni[empresa]"),AY$6)</f>
        <v>0</v>
      </c>
      <c r="AZ22" s="216">
        <f ca="1">SUMIFS(rec.uni[2022-08-01],
INDIRECT("rec.uni[natureza]"),"parcela.fin.total.ik",
INDIRECT("rec.uni[empresa]"),AZ$6)</f>
        <v>0</v>
      </c>
      <c r="BA22" s="228">
        <f ca="1">SUMIFS(rec.uni[2022-08-01],
INDIRECT("rec.uni[natureza]"),"taxa.extra",
INDIRECT("rec.uni[empresa]"),BA$6)</f>
        <v>0</v>
      </c>
      <c r="BB22" s="216"/>
      <c r="BC22" s="228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D22" s="228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E22" s="228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F22" s="228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G22" s="229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H22" s="227">
        <f>COUNTIFS(
    estq[empresa], BH$6,
    estq[Data da venda / reserva], "&gt;=" &amp; $A22,
    estq[Data da venda / reserva], "&lt;"  &amp; EOMONTH($A22,0) + 1
)</f>
        <v>0</v>
      </c>
      <c r="BI22" s="228">
        <f ca="1">SUMIFS(rec.uni[2022-08-01],
INDIRECT("rec.uni[natureza]"),"pro.soluto",
INDIRECT("rec.uni[empresa]"),BI$6)</f>
        <v>0</v>
      </c>
      <c r="BJ22" s="228">
        <f ca="1">SUMIFS(rec.uni[2022-08-01],
INDIRECT("rec.uni[natureza]"),"repasse.cef.obra",
INDIRECT("rec.uni[empresa]"),BJ$6)</f>
        <v>0</v>
      </c>
      <c r="BK22" s="228">
        <f ca="1">SUMIFS(rec.uni[2022-08-01],
INDIRECT("rec.uni[natureza]"),"repasse.cef.terreno",
INDIRECT("rec.uni[empresa]"),BK$6)</f>
        <v>0</v>
      </c>
      <c r="BL22" s="228">
        <v>0</v>
      </c>
      <c r="BM22" s="228">
        <f ca="1">SUMIFS(rec.uni[2022-08-01],
INDIRECT("rec.uni[natureza]"),"taxa.extra",
INDIRECT("rec.uni[empresa]"),BM$6)</f>
        <v>0</v>
      </c>
      <c r="BN22" s="216"/>
      <c r="BO22" s="228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P22" s="228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Q22" s="228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R22" s="228" cm="1">
        <f t="array" ref="BR2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S22" s="229" cm="1">
        <f t="array" ref="BS2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T22" s="227">
        <f>COUNTIFS(
    estq[empresa], BT$6,
    estq[Data da venda / reserva], "&gt;=" &amp; $A22,
    estq[Data da venda / reserva], "&lt;"  &amp; EOMONTH($A22,0) + 1
)</f>
        <v>0</v>
      </c>
      <c r="BU22" s="228">
        <f ca="1">SUMIFS(rec.uni[2022-08-01],
INDIRECT("rec.uni[natureza]"),"pro.soluto",
INDIRECT("rec.uni[empresa]"),BU$6)</f>
        <v>0</v>
      </c>
      <c r="BV22" s="228">
        <f ca="1">SUMIFS(rec.uni[2022-08-01],
INDIRECT("rec.uni[natureza]"),"repasse.cef.obra",
INDIRECT("rec.uni[empresa]"),BV$6)</f>
        <v>0</v>
      </c>
      <c r="BW22" s="228">
        <f ca="1">SUMIFS(rec.uni[2022-08-01],
INDIRECT("rec.uni[natureza]"),"repasse.cef.terreno",
INDIRECT("rec.uni[empresa]"),BW$6)</f>
        <v>0</v>
      </c>
      <c r="BX22" s="228">
        <v>0</v>
      </c>
      <c r="BY22" s="228">
        <f ca="1">SUMIFS(rec.uni[2022-08-01],
INDIRECT("rec.uni[natureza]"),"taxa.extra",
INDIRECT("rec.uni[empresa]"),BY$6)</f>
        <v>0</v>
      </c>
      <c r="BZ22" s="216"/>
      <c r="CA22" s="228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B22" s="228" cm="1">
        <f t="array" ref="CB2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C22" s="228" cm="1">
        <f t="array" ref="CC2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D22" s="228" cm="1">
        <f t="array" ref="CD2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E22" s="230" cm="1">
        <f t="array" ref="CE2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83" x14ac:dyDescent="0.25">
      <c r="A23" s="226">
        <v>44805</v>
      </c>
      <c r="B23" s="227">
        <f>COUNTIFS(
    estq[empresa], B$6,
    estq[Data da venda / reserva], "&gt;=" &amp; $A23,
    estq[Data da venda / reserva], "&lt;"  &amp; EOMONTH($A23,0) + 1
)</f>
        <v>0</v>
      </c>
      <c r="C23" s="228">
        <f ca="1">SUMIFS(rec.uni[2022-09-01],
INDIRECT("rec.uni[natureza]"),"pro.soluto",
INDIRECT("rec.uni[empresa]"),C$6)</f>
        <v>0</v>
      </c>
      <c r="D23" s="228">
        <f ca="1">SUMIFS(rec.uni[2022-09-01],
INDIRECT("rec.uni[natureza]"),"repasse.cef.obra",
INDIRECT("rec.uni[empresa]"),D$6)</f>
        <v>0</v>
      </c>
      <c r="E23" s="228">
        <f ca="1">SUMIFS(rec.uni[2022-09-01],
INDIRECT("rec.uni[natureza]"),"repasse.cef.terreno",
INDIRECT("rec.uni[empresa]"),E$6)</f>
        <v>0</v>
      </c>
      <c r="F23" s="228">
        <v>0</v>
      </c>
      <c r="G23" s="228">
        <f ca="1">SUMIFS(rec.uni[2022-09-01],
INDIRECT("rec.uni[natureza]"),"taxa.extra",
INDIRECT("rec.uni[empresa]"),G$6)</f>
        <v>0</v>
      </c>
      <c r="H23" s="216"/>
      <c r="I23" s="228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228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228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228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229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227">
        <f>COUNTIFS(
    estq[empresa], N$6,
    estq[Data da venda / reserva], "&gt;=" &amp; $A23,
    estq[Data da venda / reserva], "&lt;"  &amp; EOMONTH($A23,0) + 1
)</f>
        <v>0</v>
      </c>
      <c r="O23" s="228">
        <f ca="1">SUMIFS(rec.uni[2022-09-01],
INDIRECT("rec.uni[natureza]"),"pro.soluto",
INDIRECT("rec.uni[empresa]"),O$6)</f>
        <v>0</v>
      </c>
      <c r="P23" s="228">
        <f ca="1">SUMIFS(rec.uni[2022-09-01],
INDIRECT("rec.uni[natureza]"),"repasse.cef.obra",
INDIRECT("rec.uni[empresa]"),P$6)</f>
        <v>0</v>
      </c>
      <c r="Q23" s="228">
        <f ca="1">SUMIFS(rec.uni[2022-09-01],
INDIRECT("rec.uni[natureza]"),"repasse.cef.terreno",
INDIRECT("rec.uni[empresa]"),Q$6)</f>
        <v>0</v>
      </c>
      <c r="R23" s="228">
        <v>0</v>
      </c>
      <c r="S23" s="228">
        <f ca="1">SUMIFS(rec.uni[2022-09-01],
INDIRECT("rec.uni[natureza]"),"taxa.extra",
INDIRECT("rec.uni[empresa]"),S$6)</f>
        <v>0</v>
      </c>
      <c r="T23" s="216"/>
      <c r="U23" s="228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228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228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228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229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227">
        <f>COUNTIFS(
    estq[empresa], Z$6,
    estq[Data da venda / reserva], "&gt;=" &amp; $A23,
    estq[Data da venda / reserva], "&lt;"  &amp; EOMONTH($A23,0) + 1
)</f>
        <v>0</v>
      </c>
      <c r="AA23" s="228">
        <f ca="1">SUMIFS(rec.uni[2022-09-01],
INDIRECT("rec.uni[natureza]"),"pro.soluto",
INDIRECT("rec.uni[empresa]"),AA$6)</f>
        <v>0</v>
      </c>
      <c r="AB23" s="228">
        <f ca="1">SUMIFS(rec.uni[2022-09-01],
INDIRECT("rec.uni[natureza]"),"repasse.cef.obra",
INDIRECT("rec.uni[empresa]"),AB$6)</f>
        <v>0</v>
      </c>
      <c r="AC23" s="228">
        <f ca="1">SUMIFS(rec.uni[2022-09-01],
INDIRECT("rec.uni[natureza]"),"repasse.cef.terreno",
INDIRECT("rec.uni[empresa]"),AC$6)</f>
        <v>0</v>
      </c>
      <c r="AD23" s="228">
        <v>0</v>
      </c>
      <c r="AE23" s="228">
        <f ca="1">SUMIFS(rec.uni[2022-09-01],
INDIRECT("rec.uni[natureza]"),"taxa.extra",
INDIRECT("rec.uni[empresa]"),AE$6)</f>
        <v>0</v>
      </c>
      <c r="AF23" s="216"/>
      <c r="AG23" s="228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H23" s="228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I23" s="228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J23" s="228" cm="1">
        <f t="array" ref="AJ2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K23" s="229" cm="1">
        <f t="array" ref="AK2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L23" s="227">
        <f>COUNTIFS(
    estq[empresa], AL$6,
    estq[Data da venda / reserva], "&gt;=" &amp; $A23,
    estq[Data da venda / reserva], "&lt;"  &amp; EOMONTH($A23,0) + 1
)</f>
        <v>0</v>
      </c>
      <c r="AM23" s="228">
        <f ca="1">SUMIFS(rec.uni[2022-09-01],
INDIRECT("rec.uni[natureza]"),"pro.soluto",
INDIRECT("rec.uni[empresa]"),AM$6)</f>
        <v>0</v>
      </c>
      <c r="AN23" s="228">
        <f ca="1">SUMIFS(rec.uni[2022-09-01],
INDIRECT("rec.uni[natureza]"),"repasse.cef.obra",
INDIRECT("rec.uni[empresa]"),AN$6)</f>
        <v>0</v>
      </c>
      <c r="AO23" s="228">
        <f ca="1">SUMIFS(rec.uni[2022-09-01],
INDIRECT("rec.uni[natureza]"),"repasse.cef.terreno",
INDIRECT("rec.uni[empresa]"),AO$6)</f>
        <v>0</v>
      </c>
      <c r="AP23" s="228">
        <v>0</v>
      </c>
      <c r="AQ23" s="228">
        <f ca="1">SUMIFS(rec.uni[2022-09-01],
INDIRECT("rec.uni[natureza]"),"taxa.extra",
INDIRECT("rec.uni[empresa]"),AQ$6)</f>
        <v>0</v>
      </c>
      <c r="AR23" s="216"/>
      <c r="AS23" s="228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T23" s="228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U23" s="228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V23" s="228" cm="1">
        <f t="array" ref="AV2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W23" s="229" cm="1">
        <f t="array" ref="AW2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X23" s="227">
        <f>COUNTIFS(
    estq[empresa], AX$6,
    estq[Data da venda / reserva], "&gt;=" &amp; $A23,
    estq[Data da venda / reserva], "&lt;"  &amp; EOMONTH($A23,0) + 1
)</f>
        <v>0</v>
      </c>
      <c r="AY23" s="228">
        <f ca="1">SUMIFS(rec.uni[2022-09-01],
INDIRECT("rec.uni[natureza]"),"pro.soluto",
INDIRECT("rec.uni[empresa]"),AY$6)</f>
        <v>0</v>
      </c>
      <c r="AZ23" s="216">
        <f ca="1">SUMIFS(rec.uni[2022-09-01],
INDIRECT("rec.uni[natureza]"),"parcela.fin.total.ik",
INDIRECT("rec.uni[empresa]"),AZ$6)</f>
        <v>0</v>
      </c>
      <c r="BA23" s="228">
        <f ca="1">SUMIFS(rec.uni[2022-09-01],
INDIRECT("rec.uni[natureza]"),"taxa.extra",
INDIRECT("rec.uni[empresa]"),BA$6)</f>
        <v>0</v>
      </c>
      <c r="BB23" s="216"/>
      <c r="BC23" s="228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D23" s="228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E23" s="228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F23" s="228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G23" s="229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H23" s="227">
        <f>COUNTIFS(
    estq[empresa], BH$6,
    estq[Data da venda / reserva], "&gt;=" &amp; $A23,
    estq[Data da venda / reserva], "&lt;"  &amp; EOMONTH($A23,0) + 1
)</f>
        <v>0</v>
      </c>
      <c r="BI23" s="228">
        <f ca="1">SUMIFS(rec.uni[2022-09-01],
INDIRECT("rec.uni[natureza]"),"pro.soluto",
INDIRECT("rec.uni[empresa]"),BI$6)</f>
        <v>0</v>
      </c>
      <c r="BJ23" s="228">
        <f ca="1">SUMIFS(rec.uni[2022-09-01],
INDIRECT("rec.uni[natureza]"),"repasse.cef.obra",
INDIRECT("rec.uni[empresa]"),BJ$6)</f>
        <v>0</v>
      </c>
      <c r="BK23" s="228">
        <f ca="1">SUMIFS(rec.uni[2022-09-01],
INDIRECT("rec.uni[natureza]"),"repasse.cef.terreno",
INDIRECT("rec.uni[empresa]"),BK$6)</f>
        <v>0</v>
      </c>
      <c r="BL23" s="228">
        <v>0</v>
      </c>
      <c r="BM23" s="228">
        <f ca="1">SUMIFS(rec.uni[2022-09-01],
INDIRECT("rec.uni[natureza]"),"taxa.extra",
INDIRECT("rec.uni[empresa]"),BM$6)</f>
        <v>0</v>
      </c>
      <c r="BN23" s="216"/>
      <c r="BO23" s="228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P23" s="228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Q23" s="228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R23" s="228" cm="1">
        <f t="array" ref="BR2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S23" s="229" cm="1">
        <f t="array" ref="BS2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T23" s="227">
        <f>COUNTIFS(
    estq[empresa], BT$6,
    estq[Data da venda / reserva], "&gt;=" &amp; $A23,
    estq[Data da venda / reserva], "&lt;"  &amp; EOMONTH($A23,0) + 1
)</f>
        <v>0</v>
      </c>
      <c r="BU23" s="228">
        <f ca="1">SUMIFS(rec.uni[2022-09-01],
INDIRECT("rec.uni[natureza]"),"pro.soluto",
INDIRECT("rec.uni[empresa]"),BU$6)</f>
        <v>0</v>
      </c>
      <c r="BV23" s="228">
        <f ca="1">SUMIFS(rec.uni[2022-09-01],
INDIRECT("rec.uni[natureza]"),"repasse.cef.obra",
INDIRECT("rec.uni[empresa]"),BV$6)</f>
        <v>0</v>
      </c>
      <c r="BW23" s="228">
        <f ca="1">SUMIFS(rec.uni[2022-09-01],
INDIRECT("rec.uni[natureza]"),"repasse.cef.terreno",
INDIRECT("rec.uni[empresa]"),BW$6)</f>
        <v>0</v>
      </c>
      <c r="BX23" s="228">
        <v>0</v>
      </c>
      <c r="BY23" s="228">
        <f ca="1">SUMIFS(rec.uni[2022-09-01],
INDIRECT("rec.uni[natureza]"),"taxa.extra",
INDIRECT("rec.uni[empresa]"),BY$6)</f>
        <v>0</v>
      </c>
      <c r="BZ23" s="216"/>
      <c r="CA23" s="228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B23" s="228" cm="1">
        <f t="array" ref="CB2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C23" s="228" cm="1">
        <f t="array" ref="CC2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D23" s="228" cm="1">
        <f t="array" ref="CD2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E23" s="230" cm="1">
        <f t="array" ref="CE2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83" x14ac:dyDescent="0.25">
      <c r="A24" s="226">
        <v>44835</v>
      </c>
      <c r="B24" s="227">
        <f>COUNTIFS(
    estq[empresa], B$6,
    estq[Data da venda / reserva], "&gt;=" &amp; $A24,
    estq[Data da venda / reserva], "&lt;"  &amp; EOMONTH($A24,0) + 1
)</f>
        <v>0</v>
      </c>
      <c r="C24" s="228">
        <f ca="1">SUMIFS(rec.uni[2022-10-01],
INDIRECT("rec.uni[natureza]"),"pro.soluto",
INDIRECT("rec.uni[empresa]"),C$6)</f>
        <v>0</v>
      </c>
      <c r="D24" s="228">
        <f ca="1">SUMIFS(rec.uni[2022-10-01],
INDIRECT("rec.uni[natureza]"),"repasse.cef.obra",
INDIRECT("rec.uni[empresa]"),D$6)</f>
        <v>0</v>
      </c>
      <c r="E24" s="228">
        <f ca="1">SUMIFS(rec.uni[2022-10-01],
INDIRECT("rec.uni[natureza]"),"repasse.cef.terreno",
INDIRECT("rec.uni[empresa]"),E$6)</f>
        <v>0</v>
      </c>
      <c r="F24" s="228">
        <v>0</v>
      </c>
      <c r="G24" s="228">
        <f ca="1">SUMIFS(rec.uni[2022-10-01],
INDIRECT("rec.uni[natureza]"),"taxa.extra",
INDIRECT("rec.uni[empresa]"),G$6)</f>
        <v>0</v>
      </c>
      <c r="H24" s="216"/>
      <c r="I24" s="228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228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228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228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229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227">
        <f>COUNTIFS(
    estq[empresa], N$6,
    estq[Data da venda / reserva], "&gt;=" &amp; $A24,
    estq[Data da venda / reserva], "&lt;"  &amp; EOMONTH($A24,0) + 1
)</f>
        <v>0</v>
      </c>
      <c r="O24" s="228">
        <f ca="1">SUMIFS(rec.uni[2022-10-01],
INDIRECT("rec.uni[natureza]"),"pro.soluto",
INDIRECT("rec.uni[empresa]"),O$6)</f>
        <v>0</v>
      </c>
      <c r="P24" s="228">
        <f ca="1">SUMIFS(rec.uni[2022-10-01],
INDIRECT("rec.uni[natureza]"),"repasse.cef.obra",
INDIRECT("rec.uni[empresa]"),P$6)</f>
        <v>0</v>
      </c>
      <c r="Q24" s="228">
        <f ca="1">SUMIFS(rec.uni[2022-10-01],
INDIRECT("rec.uni[natureza]"),"repasse.cef.terreno",
INDIRECT("rec.uni[empresa]"),Q$6)</f>
        <v>0</v>
      </c>
      <c r="R24" s="228">
        <v>0</v>
      </c>
      <c r="S24" s="228">
        <f ca="1">SUMIFS(rec.uni[2022-10-01],
INDIRECT("rec.uni[natureza]"),"taxa.extra",
INDIRECT("rec.uni[empresa]"),S$6)</f>
        <v>0</v>
      </c>
      <c r="T24" s="216"/>
      <c r="U24" s="228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228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228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228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229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227">
        <f>COUNTIFS(
    estq[empresa], Z$6,
    estq[Data da venda / reserva], "&gt;=" &amp; $A24,
    estq[Data da venda / reserva], "&lt;"  &amp; EOMONTH($A24,0) + 1
)</f>
        <v>0</v>
      </c>
      <c r="AA24" s="228">
        <f ca="1">SUMIFS(rec.uni[2022-10-01],
INDIRECT("rec.uni[natureza]"),"pro.soluto",
INDIRECT("rec.uni[empresa]"),AA$6)</f>
        <v>0</v>
      </c>
      <c r="AB24" s="228">
        <f ca="1">SUMIFS(rec.uni[2022-10-01],
INDIRECT("rec.uni[natureza]"),"repasse.cef.obra",
INDIRECT("rec.uni[empresa]"),AB$6)</f>
        <v>0</v>
      </c>
      <c r="AC24" s="228">
        <f ca="1">SUMIFS(rec.uni[2022-10-01],
INDIRECT("rec.uni[natureza]"),"repasse.cef.terreno",
INDIRECT("rec.uni[empresa]"),AC$6)</f>
        <v>0</v>
      </c>
      <c r="AD24" s="228">
        <v>0</v>
      </c>
      <c r="AE24" s="228">
        <f ca="1">SUMIFS(rec.uni[2022-10-01],
INDIRECT("rec.uni[natureza]"),"taxa.extra",
INDIRECT("rec.uni[empresa]"),AE$6)</f>
        <v>0</v>
      </c>
      <c r="AF24" s="216"/>
      <c r="AG24" s="228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H24" s="228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I24" s="228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J24" s="228" cm="1">
        <f t="array" ref="AJ2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K24" s="229" cm="1">
        <f t="array" ref="AK2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L24" s="227">
        <f>COUNTIFS(
    estq[empresa], AL$6,
    estq[Data da venda / reserva], "&gt;=" &amp; $A24,
    estq[Data da venda / reserva], "&lt;"  &amp; EOMONTH($A24,0) + 1
)</f>
        <v>0</v>
      </c>
      <c r="AM24" s="228">
        <f ca="1">SUMIFS(rec.uni[2022-10-01],
INDIRECT("rec.uni[natureza]"),"pro.soluto",
INDIRECT("rec.uni[empresa]"),AM$6)</f>
        <v>0</v>
      </c>
      <c r="AN24" s="228">
        <f ca="1">SUMIFS(rec.uni[2022-10-01],
INDIRECT("rec.uni[natureza]"),"repasse.cef.obra",
INDIRECT("rec.uni[empresa]"),AN$6)</f>
        <v>0</v>
      </c>
      <c r="AO24" s="228">
        <f ca="1">SUMIFS(rec.uni[2022-10-01],
INDIRECT("rec.uni[natureza]"),"repasse.cef.terreno",
INDIRECT("rec.uni[empresa]"),AO$6)</f>
        <v>0</v>
      </c>
      <c r="AP24" s="228">
        <v>0</v>
      </c>
      <c r="AQ24" s="228">
        <f ca="1">SUMIFS(rec.uni[2022-10-01],
INDIRECT("rec.uni[natureza]"),"taxa.extra",
INDIRECT("rec.uni[empresa]"),AQ$6)</f>
        <v>0</v>
      </c>
      <c r="AR24" s="216"/>
      <c r="AS24" s="228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T24" s="228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U24" s="228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V24" s="228" cm="1">
        <f t="array" ref="AV2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W24" s="229" cm="1">
        <f t="array" ref="AW2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X24" s="227">
        <f>COUNTIFS(
    estq[empresa], AX$6,
    estq[Data da venda / reserva], "&gt;=" &amp; $A24,
    estq[Data da venda / reserva], "&lt;"  &amp; EOMONTH($A24,0) + 1
)</f>
        <v>0</v>
      </c>
      <c r="AY24" s="228">
        <f ca="1">SUMIFS(rec.uni[2022-10-01],
INDIRECT("rec.uni[natureza]"),"pro.soluto",
INDIRECT("rec.uni[empresa]"),AY$6)</f>
        <v>0</v>
      </c>
      <c r="AZ24" s="216">
        <f ca="1">SUMIFS(rec.uni[2022-10-01],
INDIRECT("rec.uni[natureza]"),"parcela.fin.total.ik",
INDIRECT("rec.uni[empresa]"),AZ$6)</f>
        <v>0</v>
      </c>
      <c r="BA24" s="228">
        <f ca="1">SUMIFS(rec.uni[2022-10-01],
INDIRECT("rec.uni[natureza]"),"taxa.extra",
INDIRECT("rec.uni[empresa]"),BA$6)</f>
        <v>0</v>
      </c>
      <c r="BB24" s="216"/>
      <c r="BC24" s="228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D24" s="228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E24" s="228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F24" s="228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G24" s="229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H24" s="227">
        <f>COUNTIFS(
    estq[empresa], BH$6,
    estq[Data da venda / reserva], "&gt;=" &amp; $A24,
    estq[Data da venda / reserva], "&lt;"  &amp; EOMONTH($A24,0) + 1
)</f>
        <v>0</v>
      </c>
      <c r="BI24" s="228">
        <f ca="1">SUMIFS(rec.uni[2022-10-01],
INDIRECT("rec.uni[natureza]"),"pro.soluto",
INDIRECT("rec.uni[empresa]"),BI$6)</f>
        <v>0</v>
      </c>
      <c r="BJ24" s="228">
        <f ca="1">SUMIFS(rec.uni[2022-10-01],
INDIRECT("rec.uni[natureza]"),"repasse.cef.obra",
INDIRECT("rec.uni[empresa]"),BJ$6)</f>
        <v>0</v>
      </c>
      <c r="BK24" s="228">
        <f ca="1">SUMIFS(rec.uni[2022-10-01],
INDIRECT("rec.uni[natureza]"),"repasse.cef.terreno",
INDIRECT("rec.uni[empresa]"),BK$6)</f>
        <v>0</v>
      </c>
      <c r="BL24" s="228">
        <v>0</v>
      </c>
      <c r="BM24" s="228">
        <f ca="1">SUMIFS(rec.uni[2022-10-01],
INDIRECT("rec.uni[natureza]"),"taxa.extra",
INDIRECT("rec.uni[empresa]"),BM$6)</f>
        <v>0</v>
      </c>
      <c r="BN24" s="216"/>
      <c r="BO24" s="228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P24" s="228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Q24" s="228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R24" s="228" cm="1">
        <f t="array" ref="BR2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S24" s="229" cm="1">
        <f t="array" ref="BS2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T24" s="227">
        <f>COUNTIFS(
    estq[empresa], BT$6,
    estq[Data da venda / reserva], "&gt;=" &amp; $A24,
    estq[Data da venda / reserva], "&lt;"  &amp; EOMONTH($A24,0) + 1
)</f>
        <v>0</v>
      </c>
      <c r="BU24" s="228">
        <f ca="1">SUMIFS(rec.uni[2022-10-01],
INDIRECT("rec.uni[natureza]"),"pro.soluto",
INDIRECT("rec.uni[empresa]"),BU$6)</f>
        <v>0</v>
      </c>
      <c r="BV24" s="228">
        <f ca="1">SUMIFS(rec.uni[2022-10-01],
INDIRECT("rec.uni[natureza]"),"repasse.cef.obra",
INDIRECT("rec.uni[empresa]"),BV$6)</f>
        <v>0</v>
      </c>
      <c r="BW24" s="228">
        <f ca="1">SUMIFS(rec.uni[2022-10-01],
INDIRECT("rec.uni[natureza]"),"repasse.cef.terreno",
INDIRECT("rec.uni[empresa]"),BW$6)</f>
        <v>0</v>
      </c>
      <c r="BX24" s="228">
        <v>0</v>
      </c>
      <c r="BY24" s="228">
        <f ca="1">SUMIFS(rec.uni[2022-10-01],
INDIRECT("rec.uni[natureza]"),"taxa.extra",
INDIRECT("rec.uni[empresa]"),BY$6)</f>
        <v>0</v>
      </c>
      <c r="BZ24" s="216"/>
      <c r="CA24" s="228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B24" s="228" cm="1">
        <f t="array" ref="CB2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C24" s="228" cm="1">
        <f t="array" ref="CC2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D24" s="228" cm="1">
        <f t="array" ref="CD2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E24" s="230" cm="1">
        <f t="array" ref="CE2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83" x14ac:dyDescent="0.25">
      <c r="A25" s="226">
        <v>44866</v>
      </c>
      <c r="B25" s="227">
        <f>COUNTIFS(
    estq[empresa], B$6,
    estq[Data da venda / reserva], "&gt;=" &amp; $A25,
    estq[Data da venda / reserva], "&lt;"  &amp; EOMONTH($A25,0) + 1
)</f>
        <v>0</v>
      </c>
      <c r="C25" s="228">
        <f ca="1">SUMIFS(rec.uni[2022-11-01],
INDIRECT("rec.uni[natureza]"),"pro.soluto",
INDIRECT("rec.uni[empresa]"),C$6)</f>
        <v>0</v>
      </c>
      <c r="D25" s="228">
        <f ca="1">SUMIFS(rec.uni[2022-11-01],
INDIRECT("rec.uni[natureza]"),"repasse.cef.obra",
INDIRECT("rec.uni[empresa]"),D$6)</f>
        <v>0</v>
      </c>
      <c r="E25" s="228">
        <f ca="1">SUMIFS(rec.uni[2022-11-01],
INDIRECT("rec.uni[natureza]"),"repasse.cef.terreno",
INDIRECT("rec.uni[empresa]"),E$6)</f>
        <v>0</v>
      </c>
      <c r="F25" s="228">
        <v>0</v>
      </c>
      <c r="G25" s="228">
        <f ca="1">SUMIFS(rec.uni[2022-11-01],
INDIRECT("rec.uni[natureza]"),"taxa.extra",
INDIRECT("rec.uni[empresa]"),G$6)</f>
        <v>0</v>
      </c>
      <c r="H25" s="216"/>
      <c r="I25" s="228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228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228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228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229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227">
        <f>COUNTIFS(
    estq[empresa], N$6,
    estq[Data da venda / reserva], "&gt;=" &amp; $A25,
    estq[Data da venda / reserva], "&lt;"  &amp; EOMONTH($A25,0) + 1
)</f>
        <v>0</v>
      </c>
      <c r="O25" s="228">
        <f ca="1">SUMIFS(rec.uni[2022-11-01],
INDIRECT("rec.uni[natureza]"),"pro.soluto",
INDIRECT("rec.uni[empresa]"),O$6)</f>
        <v>0</v>
      </c>
      <c r="P25" s="228">
        <f ca="1">SUMIFS(rec.uni[2022-11-01],
INDIRECT("rec.uni[natureza]"),"repasse.cef.obra",
INDIRECT("rec.uni[empresa]"),P$6)</f>
        <v>0</v>
      </c>
      <c r="Q25" s="228">
        <f ca="1">SUMIFS(rec.uni[2022-11-01],
INDIRECT("rec.uni[natureza]"),"repasse.cef.terreno",
INDIRECT("rec.uni[empresa]"),Q$6)</f>
        <v>0</v>
      </c>
      <c r="R25" s="228">
        <v>0</v>
      </c>
      <c r="S25" s="228">
        <f ca="1">SUMIFS(rec.uni[2022-11-01],
INDIRECT("rec.uni[natureza]"),"taxa.extra",
INDIRECT("rec.uni[empresa]"),S$6)</f>
        <v>0</v>
      </c>
      <c r="T25" s="216"/>
      <c r="U25" s="228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228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228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228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229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227">
        <f>COUNTIFS(
    estq[empresa], Z$6,
    estq[Data da venda / reserva], "&gt;=" &amp; $A25,
    estq[Data da venda / reserva], "&lt;"  &amp; EOMONTH($A25,0) + 1
)</f>
        <v>0</v>
      </c>
      <c r="AA25" s="228">
        <f ca="1">SUMIFS(rec.uni[2022-11-01],
INDIRECT("rec.uni[natureza]"),"pro.soluto",
INDIRECT("rec.uni[empresa]"),AA$6)</f>
        <v>0</v>
      </c>
      <c r="AB25" s="228">
        <f ca="1">SUMIFS(rec.uni[2022-11-01],
INDIRECT("rec.uni[natureza]"),"repasse.cef.obra",
INDIRECT("rec.uni[empresa]"),AB$6)</f>
        <v>0</v>
      </c>
      <c r="AC25" s="228">
        <f ca="1">SUMIFS(rec.uni[2022-11-01],
INDIRECT("rec.uni[natureza]"),"repasse.cef.terreno",
INDIRECT("rec.uni[empresa]"),AC$6)</f>
        <v>0</v>
      </c>
      <c r="AD25" s="228">
        <v>0</v>
      </c>
      <c r="AE25" s="228">
        <f ca="1">SUMIFS(rec.uni[2022-11-01],
INDIRECT("rec.uni[natureza]"),"taxa.extra",
INDIRECT("rec.uni[empresa]"),AE$6)</f>
        <v>0</v>
      </c>
      <c r="AF25" s="216"/>
      <c r="AG25" s="228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H25" s="228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I25" s="228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J25" s="228" cm="1">
        <f t="array" ref="AJ2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K25" s="229" cm="1">
        <f t="array" ref="AK2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L25" s="227">
        <f>COUNTIFS(
    estq[empresa], AL$6,
    estq[Data da venda / reserva], "&gt;=" &amp; $A25,
    estq[Data da venda / reserva], "&lt;"  &amp; EOMONTH($A25,0) + 1
)</f>
        <v>0</v>
      </c>
      <c r="AM25" s="228">
        <f ca="1">SUMIFS(rec.uni[2022-11-01],
INDIRECT("rec.uni[natureza]"),"pro.soluto",
INDIRECT("rec.uni[empresa]"),AM$6)</f>
        <v>0</v>
      </c>
      <c r="AN25" s="228">
        <f ca="1">SUMIFS(rec.uni[2022-11-01],
INDIRECT("rec.uni[natureza]"),"repasse.cef.obra",
INDIRECT("rec.uni[empresa]"),AN$6)</f>
        <v>0</v>
      </c>
      <c r="AO25" s="228">
        <f ca="1">SUMIFS(rec.uni[2022-11-01],
INDIRECT("rec.uni[natureza]"),"repasse.cef.terreno",
INDIRECT("rec.uni[empresa]"),AO$6)</f>
        <v>0</v>
      </c>
      <c r="AP25" s="228">
        <v>0</v>
      </c>
      <c r="AQ25" s="228">
        <f ca="1">SUMIFS(rec.uni[2022-11-01],
INDIRECT("rec.uni[natureza]"),"taxa.extra",
INDIRECT("rec.uni[empresa]"),AQ$6)</f>
        <v>0</v>
      </c>
      <c r="AR25" s="216"/>
      <c r="AS25" s="228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T25" s="228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U25" s="228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V25" s="228" cm="1">
        <f t="array" ref="AV2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W25" s="229" cm="1">
        <f t="array" ref="AW2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X25" s="227">
        <f>COUNTIFS(
    estq[empresa], AX$6,
    estq[Data da venda / reserva], "&gt;=" &amp; $A25,
    estq[Data da venda / reserva], "&lt;"  &amp; EOMONTH($A25,0) + 1
)</f>
        <v>0</v>
      </c>
      <c r="AY25" s="228">
        <f ca="1">SUMIFS(rec.uni[2022-11-01],
INDIRECT("rec.uni[natureza]"),"pro.soluto",
INDIRECT("rec.uni[empresa]"),AY$6)</f>
        <v>0</v>
      </c>
      <c r="AZ25" s="216">
        <f ca="1">SUMIFS(rec.uni[2022-11-01],
INDIRECT("rec.uni[natureza]"),"parcela.fin.total.ik",
INDIRECT("rec.uni[empresa]"),AZ$6)</f>
        <v>0</v>
      </c>
      <c r="BA25" s="228">
        <f ca="1">SUMIFS(rec.uni[2022-11-01],
INDIRECT("rec.uni[natureza]"),"taxa.extra",
INDIRECT("rec.uni[empresa]"),BA$6)</f>
        <v>0</v>
      </c>
      <c r="BB25" s="216"/>
      <c r="BC25" s="228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D25" s="228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E25" s="228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F25" s="228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G25" s="229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H25" s="227">
        <f>COUNTIFS(
    estq[empresa], BH$6,
    estq[Data da venda / reserva], "&gt;=" &amp; $A25,
    estq[Data da venda / reserva], "&lt;"  &amp; EOMONTH($A25,0) + 1
)</f>
        <v>0</v>
      </c>
      <c r="BI25" s="228">
        <f ca="1">SUMIFS(rec.uni[2022-11-01],
INDIRECT("rec.uni[natureza]"),"pro.soluto",
INDIRECT("rec.uni[empresa]"),BI$6)</f>
        <v>0</v>
      </c>
      <c r="BJ25" s="228">
        <f ca="1">SUMIFS(rec.uni[2022-11-01],
INDIRECT("rec.uni[natureza]"),"repasse.cef.obra",
INDIRECT("rec.uni[empresa]"),BJ$6)</f>
        <v>0</v>
      </c>
      <c r="BK25" s="228">
        <f ca="1">SUMIFS(rec.uni[2022-11-01],
INDIRECT("rec.uni[natureza]"),"repasse.cef.terreno",
INDIRECT("rec.uni[empresa]"),BK$6)</f>
        <v>0</v>
      </c>
      <c r="BL25" s="228">
        <v>0</v>
      </c>
      <c r="BM25" s="228">
        <f ca="1">SUMIFS(rec.uni[2022-11-01],
INDIRECT("rec.uni[natureza]"),"taxa.extra",
INDIRECT("rec.uni[empresa]"),BM$6)</f>
        <v>0</v>
      </c>
      <c r="BN25" s="216"/>
      <c r="BO25" s="228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P25" s="228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Q25" s="228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R25" s="228" cm="1">
        <f t="array" ref="BR2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S25" s="229" cm="1">
        <f t="array" ref="BS2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T25" s="227">
        <f>COUNTIFS(
    estq[empresa], BT$6,
    estq[Data da venda / reserva], "&gt;=" &amp; $A25,
    estq[Data da venda / reserva], "&lt;"  &amp; EOMONTH($A25,0) + 1
)</f>
        <v>0</v>
      </c>
      <c r="BU25" s="228">
        <f ca="1">SUMIFS(rec.uni[2022-11-01],
INDIRECT("rec.uni[natureza]"),"pro.soluto",
INDIRECT("rec.uni[empresa]"),BU$6)</f>
        <v>0</v>
      </c>
      <c r="BV25" s="228">
        <f ca="1">SUMIFS(rec.uni[2022-11-01],
INDIRECT("rec.uni[natureza]"),"repasse.cef.obra",
INDIRECT("rec.uni[empresa]"),BV$6)</f>
        <v>0</v>
      </c>
      <c r="BW25" s="228">
        <f ca="1">SUMIFS(rec.uni[2022-11-01],
INDIRECT("rec.uni[natureza]"),"repasse.cef.terreno",
INDIRECT("rec.uni[empresa]"),BW$6)</f>
        <v>0</v>
      </c>
      <c r="BX25" s="228">
        <v>0</v>
      </c>
      <c r="BY25" s="228">
        <f ca="1">SUMIFS(rec.uni[2022-11-01],
INDIRECT("rec.uni[natureza]"),"taxa.extra",
INDIRECT("rec.uni[empresa]"),BY$6)</f>
        <v>0</v>
      </c>
      <c r="BZ25" s="216"/>
      <c r="CA25" s="228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B25" s="228" cm="1">
        <f t="array" ref="CB2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C25" s="228" cm="1">
        <f t="array" ref="CC2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D25" s="228" cm="1">
        <f t="array" ref="CD2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E25" s="230" cm="1">
        <f t="array" ref="CE2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83" x14ac:dyDescent="0.25">
      <c r="A26" s="226">
        <v>44896</v>
      </c>
      <c r="B26" s="227">
        <f>COUNTIFS(
    estq[empresa], B$6,
    estq[Data da venda / reserva], "&gt;=" &amp; $A26,
    estq[Data da venda / reserva], "&lt;"  &amp; EOMONTH($A26,0) + 1
)</f>
        <v>0</v>
      </c>
      <c r="C26" s="228">
        <f ca="1">SUMIFS(rec.uni[2022-12-01],
INDIRECT("rec.uni[natureza]"),"pro.soluto",
INDIRECT("rec.uni[empresa]"),C$6)</f>
        <v>0</v>
      </c>
      <c r="D26" s="228">
        <f ca="1">SUMIFS(rec.uni[2022-12-01],
INDIRECT("rec.uni[natureza]"),"repasse.cef.obra",
INDIRECT("rec.uni[empresa]"),D$6)</f>
        <v>0</v>
      </c>
      <c r="E26" s="228">
        <f ca="1">SUMIFS(rec.uni[2022-12-01],
INDIRECT("rec.uni[natureza]"),"repasse.cef.terreno",
INDIRECT("rec.uni[empresa]"),E$6)</f>
        <v>0</v>
      </c>
      <c r="F26" s="228">
        <v>0</v>
      </c>
      <c r="G26" s="228">
        <f ca="1">SUMIFS(rec.uni[2022-12-01],
INDIRECT("rec.uni[natureza]"),"taxa.extra",
INDIRECT("rec.uni[empresa]"),G$6)</f>
        <v>0</v>
      </c>
      <c r="H26" s="216"/>
      <c r="I26" s="228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228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228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228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229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227">
        <f>COUNTIFS(
    estq[empresa], N$6,
    estq[Data da venda / reserva], "&gt;=" &amp; $A26,
    estq[Data da venda / reserva], "&lt;"  &amp; EOMONTH($A26,0) + 1
)</f>
        <v>0</v>
      </c>
      <c r="O26" s="228">
        <f ca="1">SUMIFS(rec.uni[2022-12-01],
INDIRECT("rec.uni[natureza]"),"pro.soluto",
INDIRECT("rec.uni[empresa]"),O$6)</f>
        <v>0</v>
      </c>
      <c r="P26" s="228">
        <f ca="1">SUMIFS(rec.uni[2022-12-01],
INDIRECT("rec.uni[natureza]"),"repasse.cef.obra",
INDIRECT("rec.uni[empresa]"),P$6)</f>
        <v>0</v>
      </c>
      <c r="Q26" s="228">
        <f ca="1">SUMIFS(rec.uni[2022-12-01],
INDIRECT("rec.uni[natureza]"),"repasse.cef.terreno",
INDIRECT("rec.uni[empresa]"),Q$6)</f>
        <v>0</v>
      </c>
      <c r="R26" s="228">
        <v>0</v>
      </c>
      <c r="S26" s="228">
        <f ca="1">SUMIFS(rec.uni[2022-12-01],
INDIRECT("rec.uni[natureza]"),"taxa.extra",
INDIRECT("rec.uni[empresa]"),S$6)</f>
        <v>0</v>
      </c>
      <c r="T26" s="216"/>
      <c r="U26" s="228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228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228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228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229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227">
        <f>COUNTIFS(
    estq[empresa], Z$6,
    estq[Data da venda / reserva], "&gt;=" &amp; $A26,
    estq[Data da venda / reserva], "&lt;"  &amp; EOMONTH($A26,0) + 1
)</f>
        <v>0</v>
      </c>
      <c r="AA26" s="228">
        <f ca="1">SUMIFS(rec.uni[2022-12-01],
INDIRECT("rec.uni[natureza]"),"pro.soluto",
INDIRECT("rec.uni[empresa]"),AA$6)</f>
        <v>0</v>
      </c>
      <c r="AB26" s="228">
        <f ca="1">SUMIFS(rec.uni[2022-12-01],
INDIRECT("rec.uni[natureza]"),"repasse.cef.obra",
INDIRECT("rec.uni[empresa]"),AB$6)</f>
        <v>0</v>
      </c>
      <c r="AC26" s="228">
        <f ca="1">SUMIFS(rec.uni[2022-12-01],
INDIRECT("rec.uni[natureza]"),"repasse.cef.terreno",
INDIRECT("rec.uni[empresa]"),AC$6)</f>
        <v>0</v>
      </c>
      <c r="AD26" s="228">
        <v>0</v>
      </c>
      <c r="AE26" s="228">
        <f ca="1">SUMIFS(rec.uni[2022-12-01],
INDIRECT("rec.uni[natureza]"),"taxa.extra",
INDIRECT("rec.uni[empresa]"),AE$6)</f>
        <v>0</v>
      </c>
      <c r="AF26" s="216"/>
      <c r="AG26" s="228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H26" s="228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I26" s="228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J26" s="228" cm="1">
        <f t="array" ref="AJ2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K26" s="229" cm="1">
        <f t="array" ref="AK2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L26" s="227">
        <f>COUNTIFS(
    estq[empresa], AL$6,
    estq[Data da venda / reserva], "&gt;=" &amp; $A26,
    estq[Data da venda / reserva], "&lt;"  &amp; EOMONTH($A26,0) + 1
)</f>
        <v>0</v>
      </c>
      <c r="AM26" s="228">
        <f ca="1">SUMIFS(rec.uni[2022-12-01],
INDIRECT("rec.uni[natureza]"),"pro.soluto",
INDIRECT("rec.uni[empresa]"),AM$6)</f>
        <v>0</v>
      </c>
      <c r="AN26" s="228">
        <f ca="1">SUMIFS(rec.uni[2022-12-01],
INDIRECT("rec.uni[natureza]"),"repasse.cef.obra",
INDIRECT("rec.uni[empresa]"),AN$6)</f>
        <v>0</v>
      </c>
      <c r="AO26" s="228">
        <f ca="1">SUMIFS(rec.uni[2022-12-01],
INDIRECT("rec.uni[natureza]"),"repasse.cef.terreno",
INDIRECT("rec.uni[empresa]"),AO$6)</f>
        <v>0</v>
      </c>
      <c r="AP26" s="228">
        <v>0</v>
      </c>
      <c r="AQ26" s="228">
        <f ca="1">SUMIFS(rec.uni[2022-12-01],
INDIRECT("rec.uni[natureza]"),"taxa.extra",
INDIRECT("rec.uni[empresa]"),AQ$6)</f>
        <v>0</v>
      </c>
      <c r="AR26" s="216"/>
      <c r="AS26" s="228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T26" s="228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U26" s="228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V26" s="228" cm="1">
        <f t="array" ref="AV2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W26" s="229" cm="1">
        <f t="array" ref="AW2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X26" s="227">
        <f>COUNTIFS(
    estq[empresa], AX$6,
    estq[Data da venda / reserva], "&gt;=" &amp; $A26,
    estq[Data da venda / reserva], "&lt;"  &amp; EOMONTH($A26,0) + 1
)</f>
        <v>0</v>
      </c>
      <c r="AY26" s="228">
        <f ca="1">SUMIFS(rec.uni[2022-12-01],
INDIRECT("rec.uni[natureza]"),"pro.soluto",
INDIRECT("rec.uni[empresa]"),AY$6)</f>
        <v>0</v>
      </c>
      <c r="AZ26" s="216">
        <f ca="1">SUMIFS(rec.uni[2022-12-01],
INDIRECT("rec.uni[natureza]"),"parcela.fin.total.ik",
INDIRECT("rec.uni[empresa]"),AZ$6)</f>
        <v>0</v>
      </c>
      <c r="BA26" s="228">
        <f ca="1">SUMIFS(rec.uni[2022-12-01],
INDIRECT("rec.uni[natureza]"),"taxa.extra",
INDIRECT("rec.uni[empresa]"),BA$6)</f>
        <v>0</v>
      </c>
      <c r="BB26" s="216"/>
      <c r="BC26" s="228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D26" s="228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E26" s="228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F26" s="228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G26" s="229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H26" s="227">
        <f>COUNTIFS(
    estq[empresa], BH$6,
    estq[Data da venda / reserva], "&gt;=" &amp; $A26,
    estq[Data da venda / reserva], "&lt;"  &amp; EOMONTH($A26,0) + 1
)</f>
        <v>0</v>
      </c>
      <c r="BI26" s="228">
        <f ca="1">SUMIFS(rec.uni[2022-12-01],
INDIRECT("rec.uni[natureza]"),"pro.soluto",
INDIRECT("rec.uni[empresa]"),BI$6)</f>
        <v>0</v>
      </c>
      <c r="BJ26" s="228">
        <f ca="1">SUMIFS(rec.uni[2022-12-01],
INDIRECT("rec.uni[natureza]"),"repasse.cef.obra",
INDIRECT("rec.uni[empresa]"),BJ$6)</f>
        <v>0</v>
      </c>
      <c r="BK26" s="228">
        <f ca="1">SUMIFS(rec.uni[2022-12-01],
INDIRECT("rec.uni[natureza]"),"repasse.cef.terreno",
INDIRECT("rec.uni[empresa]"),BK$6)</f>
        <v>0</v>
      </c>
      <c r="BL26" s="228">
        <v>0</v>
      </c>
      <c r="BM26" s="228">
        <f ca="1">SUMIFS(rec.uni[2022-12-01],
INDIRECT("rec.uni[natureza]"),"taxa.extra",
INDIRECT("rec.uni[empresa]"),BM$6)</f>
        <v>0</v>
      </c>
      <c r="BN26" s="216"/>
      <c r="BO26" s="228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P26" s="228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Q26" s="228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R26" s="228" cm="1">
        <f t="array" ref="BR2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S26" s="229" cm="1">
        <f t="array" ref="BS2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T26" s="227">
        <f>COUNTIFS(
    estq[empresa], BT$6,
    estq[Data da venda / reserva], "&gt;=" &amp; $A26,
    estq[Data da venda / reserva], "&lt;"  &amp; EOMONTH($A26,0) + 1
)</f>
        <v>0</v>
      </c>
      <c r="BU26" s="228">
        <f ca="1">SUMIFS(rec.uni[2022-12-01],
INDIRECT("rec.uni[natureza]"),"pro.soluto",
INDIRECT("rec.uni[empresa]"),BU$6)</f>
        <v>0</v>
      </c>
      <c r="BV26" s="228">
        <f ca="1">SUMIFS(rec.uni[2022-12-01],
INDIRECT("rec.uni[natureza]"),"repasse.cef.obra",
INDIRECT("rec.uni[empresa]"),BV$6)</f>
        <v>0</v>
      </c>
      <c r="BW26" s="228">
        <f ca="1">SUMIFS(rec.uni[2022-12-01],
INDIRECT("rec.uni[natureza]"),"repasse.cef.terreno",
INDIRECT("rec.uni[empresa]"),BW$6)</f>
        <v>0</v>
      </c>
      <c r="BX26" s="228">
        <v>0</v>
      </c>
      <c r="BY26" s="228">
        <f ca="1">SUMIFS(rec.uni[2022-12-01],
INDIRECT("rec.uni[natureza]"),"taxa.extra",
INDIRECT("rec.uni[empresa]"),BY$6)</f>
        <v>0</v>
      </c>
      <c r="BZ26" s="216"/>
      <c r="CA26" s="228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B26" s="228" cm="1">
        <f t="array" ref="CB2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C26" s="228" cm="1">
        <f t="array" ref="CC2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D26" s="228" cm="1">
        <f t="array" ref="CD2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E26" s="230" cm="1">
        <f t="array" ref="CE2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83" x14ac:dyDescent="0.25">
      <c r="A27" s="226">
        <v>44927</v>
      </c>
      <c r="B27" s="227">
        <f>COUNTIFS(
    estq[empresa], B$6,
    estq[Data da venda / reserva], "&gt;=" &amp; $A27,
    estq[Data da venda / reserva], "&lt;"  &amp; EOMONTH($A27,0) + 1
)</f>
        <v>0</v>
      </c>
      <c r="C27" s="228">
        <f ca="1">SUMIFS(rec.uni[2023-01-01],
INDIRECT("rec.uni[natureza]"),"pro.soluto",
INDIRECT("rec.uni[empresa]"),C$6)</f>
        <v>0</v>
      </c>
      <c r="D27" s="228">
        <f ca="1">SUMIFS(rec.uni[2023-01-01],
INDIRECT("rec.uni[natureza]"),"repasse.cef.obra",
INDIRECT("rec.uni[empresa]"),D$6)</f>
        <v>0</v>
      </c>
      <c r="E27" s="228">
        <f ca="1">SUMIFS(rec.uni[2023-01-01],
INDIRECT("rec.uni[natureza]"),"repasse.cef.terreno",
INDIRECT("rec.uni[empresa]"),E$6)</f>
        <v>0</v>
      </c>
      <c r="F27" s="228">
        <v>0</v>
      </c>
      <c r="G27" s="228">
        <f ca="1">SUMIFS(rec.uni[2023-01-01],
INDIRECT("rec.uni[natureza]"),"taxa.extra",
INDIRECT("rec.uni[empresa]"),G$6)</f>
        <v>0</v>
      </c>
      <c r="H27" s="216"/>
      <c r="I27" s="228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228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228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228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229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227">
        <f>COUNTIFS(
    estq[empresa], N$6,
    estq[Data da venda / reserva], "&gt;=" &amp; $A27,
    estq[Data da venda / reserva], "&lt;"  &amp; EOMONTH($A27,0) + 1
)</f>
        <v>0</v>
      </c>
      <c r="O27" s="228">
        <f ca="1">SUMIFS(rec.uni[2023-01-01],
INDIRECT("rec.uni[natureza]"),"pro.soluto",
INDIRECT("rec.uni[empresa]"),O$6)</f>
        <v>0</v>
      </c>
      <c r="P27" s="228">
        <f ca="1">SUMIFS(rec.uni[2023-01-01],
INDIRECT("rec.uni[natureza]"),"repasse.cef.obra",
INDIRECT("rec.uni[empresa]"),P$6)</f>
        <v>0</v>
      </c>
      <c r="Q27" s="228">
        <f ca="1">SUMIFS(rec.uni[2023-01-01],
INDIRECT("rec.uni[natureza]"),"repasse.cef.terreno",
INDIRECT("rec.uni[empresa]"),Q$6)</f>
        <v>0</v>
      </c>
      <c r="R27" s="228">
        <v>0</v>
      </c>
      <c r="S27" s="228">
        <f ca="1">SUMIFS(rec.uni[2023-01-01],
INDIRECT("rec.uni[natureza]"),"taxa.extra",
INDIRECT("rec.uni[empresa]"),S$6)</f>
        <v>0</v>
      </c>
      <c r="T27" s="216"/>
      <c r="U27" s="228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228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228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228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229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227">
        <f>COUNTIFS(
    estq[empresa], Z$6,
    estq[Data da venda / reserva], "&gt;=" &amp; $A27,
    estq[Data da venda / reserva], "&lt;"  &amp; EOMONTH($A27,0) + 1
)</f>
        <v>0</v>
      </c>
      <c r="AA27" s="228">
        <f ca="1">SUMIFS(rec.uni[2023-01-01],
INDIRECT("rec.uni[natureza]"),"pro.soluto",
INDIRECT("rec.uni[empresa]"),AA$6)</f>
        <v>0</v>
      </c>
      <c r="AB27" s="228">
        <f ca="1">SUMIFS(rec.uni[2023-01-01],
INDIRECT("rec.uni[natureza]"),"repasse.cef.obra",
INDIRECT("rec.uni[empresa]"),AB$6)</f>
        <v>0</v>
      </c>
      <c r="AC27" s="228">
        <f ca="1">SUMIFS(rec.uni[2023-01-01],
INDIRECT("rec.uni[natureza]"),"repasse.cef.terreno",
INDIRECT("rec.uni[empresa]"),AC$6)</f>
        <v>0</v>
      </c>
      <c r="AD27" s="228">
        <v>0</v>
      </c>
      <c r="AE27" s="228">
        <f ca="1">SUMIFS(rec.uni[2023-01-01],
INDIRECT("rec.uni[natureza]"),"taxa.extra",
INDIRECT("rec.uni[empresa]"),AE$6)</f>
        <v>0</v>
      </c>
      <c r="AF27" s="216"/>
      <c r="AG27" s="228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H27" s="228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I27" s="228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J27" s="228" cm="1">
        <f t="array" ref="AJ2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K27" s="229" cm="1">
        <f t="array" ref="AK2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L27" s="227">
        <f>COUNTIFS(
    estq[empresa], AL$6,
    estq[Data da venda / reserva], "&gt;=" &amp; $A27,
    estq[Data da venda / reserva], "&lt;"  &amp; EOMONTH($A27,0) + 1
)</f>
        <v>0</v>
      </c>
      <c r="AM27" s="228">
        <f ca="1">SUMIFS(rec.uni[2023-01-01],
INDIRECT("rec.uni[natureza]"),"pro.soluto",
INDIRECT("rec.uni[empresa]"),AM$6)</f>
        <v>0</v>
      </c>
      <c r="AN27" s="228">
        <f ca="1">SUMIFS(rec.uni[2023-01-01],
INDIRECT("rec.uni[natureza]"),"repasse.cef.obra",
INDIRECT("rec.uni[empresa]"),AN$6)</f>
        <v>0</v>
      </c>
      <c r="AO27" s="228">
        <f ca="1">SUMIFS(rec.uni[2023-01-01],
INDIRECT("rec.uni[natureza]"),"repasse.cef.terreno",
INDIRECT("rec.uni[empresa]"),AO$6)</f>
        <v>0</v>
      </c>
      <c r="AP27" s="228">
        <v>0</v>
      </c>
      <c r="AQ27" s="228">
        <f ca="1">SUMIFS(rec.uni[2023-01-01],
INDIRECT("rec.uni[natureza]"),"taxa.extra",
INDIRECT("rec.uni[empresa]"),AQ$6)</f>
        <v>0</v>
      </c>
      <c r="AR27" s="216"/>
      <c r="AS27" s="228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T27" s="228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U27" s="228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V27" s="228" cm="1">
        <f t="array" ref="AV2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W27" s="229" cm="1">
        <f t="array" ref="AW2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X27" s="227">
        <f>COUNTIFS(
    estq[empresa], AX$6,
    estq[Data da venda / reserva], "&gt;=" &amp; $A27,
    estq[Data da venda / reserva], "&lt;"  &amp; EOMONTH($A27,0) + 1
)</f>
        <v>0</v>
      </c>
      <c r="AY27" s="228">
        <f ca="1">SUMIFS(rec.uni[2023-01-01],
INDIRECT("rec.uni[natureza]"),"pro.soluto",
INDIRECT("rec.uni[empresa]"),AY$6)</f>
        <v>0</v>
      </c>
      <c r="AZ27" s="216">
        <f ca="1">SUMIFS(rec.uni[2023-01-01],
INDIRECT("rec.uni[natureza]"),"parcela.fin.total.ik",
INDIRECT("rec.uni[empresa]"),AZ$6)</f>
        <v>0</v>
      </c>
      <c r="BA27" s="228">
        <f ca="1">SUMIFS(rec.uni[2023-01-01],
INDIRECT("rec.uni[natureza]"),"taxa.extra",
INDIRECT("rec.uni[empresa]"),BA$6)</f>
        <v>0</v>
      </c>
      <c r="BB27" s="216"/>
      <c r="BC27" s="228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D27" s="228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E27" s="228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F27" s="228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G27" s="229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H27" s="227">
        <f>COUNTIFS(
    estq[empresa], BH$6,
    estq[Data da venda / reserva], "&gt;=" &amp; $A27,
    estq[Data da venda / reserva], "&lt;"  &amp; EOMONTH($A27,0) + 1
)</f>
        <v>0</v>
      </c>
      <c r="BI27" s="228">
        <f ca="1">SUMIFS(rec.uni[2023-01-01],
INDIRECT("rec.uni[natureza]"),"pro.soluto",
INDIRECT("rec.uni[empresa]"),BI$6)</f>
        <v>0</v>
      </c>
      <c r="BJ27" s="228">
        <f ca="1">SUMIFS(rec.uni[2023-01-01],
INDIRECT("rec.uni[natureza]"),"repasse.cef.obra",
INDIRECT("rec.uni[empresa]"),BJ$6)</f>
        <v>0</v>
      </c>
      <c r="BK27" s="228">
        <f ca="1">SUMIFS(rec.uni[2023-01-01],
INDIRECT("rec.uni[natureza]"),"repasse.cef.terreno",
INDIRECT("rec.uni[empresa]"),BK$6)</f>
        <v>0</v>
      </c>
      <c r="BL27" s="228">
        <v>0</v>
      </c>
      <c r="BM27" s="228">
        <f ca="1">SUMIFS(rec.uni[2023-01-01],
INDIRECT("rec.uni[natureza]"),"taxa.extra",
INDIRECT("rec.uni[empresa]"),BM$6)</f>
        <v>0</v>
      </c>
      <c r="BN27" s="216"/>
      <c r="BO27" s="228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P27" s="228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Q27" s="228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R27" s="228" cm="1">
        <f t="array" ref="BR2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S27" s="229" cm="1">
        <f t="array" ref="BS2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T27" s="227">
        <f>COUNTIFS(
    estq[empresa], BT$6,
    estq[Data da venda / reserva], "&gt;=" &amp; $A27,
    estq[Data da venda / reserva], "&lt;"  &amp; EOMONTH($A27,0) + 1
)</f>
        <v>0</v>
      </c>
      <c r="BU27" s="228">
        <f ca="1">SUMIFS(rec.uni[2023-01-01],
INDIRECT("rec.uni[natureza]"),"pro.soluto",
INDIRECT("rec.uni[empresa]"),BU$6)</f>
        <v>0</v>
      </c>
      <c r="BV27" s="228">
        <f ca="1">SUMIFS(rec.uni[2023-01-01],
INDIRECT("rec.uni[natureza]"),"repasse.cef.obra",
INDIRECT("rec.uni[empresa]"),BV$6)</f>
        <v>0</v>
      </c>
      <c r="BW27" s="228">
        <f ca="1">SUMIFS(rec.uni[2023-01-01],
INDIRECT("rec.uni[natureza]"),"repasse.cef.terreno",
INDIRECT("rec.uni[empresa]"),BW$6)</f>
        <v>0</v>
      </c>
      <c r="BX27" s="228">
        <v>0</v>
      </c>
      <c r="BY27" s="228">
        <f ca="1">SUMIFS(rec.uni[2023-01-01],
INDIRECT("rec.uni[natureza]"),"taxa.extra",
INDIRECT("rec.uni[empresa]"),BY$6)</f>
        <v>0</v>
      </c>
      <c r="BZ27" s="216"/>
      <c r="CA27" s="228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B27" s="228" cm="1">
        <f t="array" ref="CB2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C27" s="228" cm="1">
        <f t="array" ref="CC2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D27" s="228" cm="1">
        <f t="array" ref="CD2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E27" s="230" cm="1">
        <f t="array" ref="CE2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83" x14ac:dyDescent="0.25">
      <c r="A28" s="226">
        <v>44958</v>
      </c>
      <c r="B28" s="227">
        <f>COUNTIFS(
    estq[empresa], B$6,
    estq[Data da venda / reserva], "&gt;=" &amp; $A28,
    estq[Data da venda / reserva], "&lt;"  &amp; EOMONTH($A28,0) + 1
)</f>
        <v>0</v>
      </c>
      <c r="C28" s="228">
        <f ca="1">SUMIFS(rec.uni[2023-02-01],
INDIRECT("rec.uni[natureza]"),"pro.soluto",
INDIRECT("rec.uni[empresa]"),C$6)</f>
        <v>0</v>
      </c>
      <c r="D28" s="228">
        <f ca="1">SUMIFS(rec.uni[2023-02-01],
INDIRECT("rec.uni[natureza]"),"repasse.cef.obra",
INDIRECT("rec.uni[empresa]"),D$6)</f>
        <v>0</v>
      </c>
      <c r="E28" s="228">
        <f ca="1">SUMIFS(rec.uni[2023-02-01],
INDIRECT("rec.uni[natureza]"),"repasse.cef.terreno",
INDIRECT("rec.uni[empresa]"),E$6)</f>
        <v>0</v>
      </c>
      <c r="F28" s="228">
        <v>0</v>
      </c>
      <c r="G28" s="228">
        <f ca="1">SUMIFS(rec.uni[2023-02-01],
INDIRECT("rec.uni[natureza]"),"taxa.extra",
INDIRECT("rec.uni[empresa]"),G$6)</f>
        <v>0</v>
      </c>
      <c r="H28" s="216"/>
      <c r="I28" s="228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228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228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228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229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227">
        <f>COUNTIFS(
    estq[empresa], N$6,
    estq[Data da venda / reserva], "&gt;=" &amp; $A28,
    estq[Data da venda / reserva], "&lt;"  &amp; EOMONTH($A28,0) + 1
)</f>
        <v>0</v>
      </c>
      <c r="O28" s="228">
        <f ca="1">SUMIFS(rec.uni[2023-02-01],
INDIRECT("rec.uni[natureza]"),"pro.soluto",
INDIRECT("rec.uni[empresa]"),O$6)</f>
        <v>0</v>
      </c>
      <c r="P28" s="228">
        <f ca="1">SUMIFS(rec.uni[2023-02-01],
INDIRECT("rec.uni[natureza]"),"repasse.cef.obra",
INDIRECT("rec.uni[empresa]"),P$6)</f>
        <v>0</v>
      </c>
      <c r="Q28" s="228">
        <f ca="1">SUMIFS(rec.uni[2023-02-01],
INDIRECT("rec.uni[natureza]"),"repasse.cef.terreno",
INDIRECT("rec.uni[empresa]"),Q$6)</f>
        <v>0</v>
      </c>
      <c r="R28" s="228">
        <v>0</v>
      </c>
      <c r="S28" s="228">
        <f ca="1">SUMIFS(rec.uni[2023-02-01],
INDIRECT("rec.uni[natureza]"),"taxa.extra",
INDIRECT("rec.uni[empresa]"),S$6)</f>
        <v>0</v>
      </c>
      <c r="T28" s="216"/>
      <c r="U28" s="228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228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228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228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229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227">
        <f>COUNTIFS(
    estq[empresa], Z$6,
    estq[Data da venda / reserva], "&gt;=" &amp; $A28,
    estq[Data da venda / reserva], "&lt;"  &amp; EOMONTH($A28,0) + 1
)</f>
        <v>0</v>
      </c>
      <c r="AA28" s="228">
        <f ca="1">SUMIFS(rec.uni[2023-02-01],
INDIRECT("rec.uni[natureza]"),"pro.soluto",
INDIRECT("rec.uni[empresa]"),AA$6)</f>
        <v>0</v>
      </c>
      <c r="AB28" s="228">
        <f ca="1">SUMIFS(rec.uni[2023-02-01],
INDIRECT("rec.uni[natureza]"),"repasse.cef.obra",
INDIRECT("rec.uni[empresa]"),AB$6)</f>
        <v>0</v>
      </c>
      <c r="AC28" s="228">
        <f ca="1">SUMIFS(rec.uni[2023-02-01],
INDIRECT("rec.uni[natureza]"),"repasse.cef.terreno",
INDIRECT("rec.uni[empresa]"),AC$6)</f>
        <v>0</v>
      </c>
      <c r="AD28" s="228">
        <v>0</v>
      </c>
      <c r="AE28" s="228">
        <f ca="1">SUMIFS(rec.uni[2023-02-01],
INDIRECT("rec.uni[natureza]"),"taxa.extra",
INDIRECT("rec.uni[empresa]"),AE$6)</f>
        <v>0</v>
      </c>
      <c r="AF28" s="216"/>
      <c r="AG28" s="228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H28" s="228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I28" s="228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J28" s="228" cm="1">
        <f t="array" ref="AJ2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K28" s="229" cm="1">
        <f t="array" ref="AK2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L28" s="227">
        <f>COUNTIFS(
    estq[empresa], AL$6,
    estq[Data da venda / reserva], "&gt;=" &amp; $A28,
    estq[Data da venda / reserva], "&lt;"  &amp; EOMONTH($A28,0) + 1
)</f>
        <v>0</v>
      </c>
      <c r="AM28" s="228">
        <f ca="1">SUMIFS(rec.uni[2023-02-01],
INDIRECT("rec.uni[natureza]"),"pro.soluto",
INDIRECT("rec.uni[empresa]"),AM$6)</f>
        <v>0</v>
      </c>
      <c r="AN28" s="228">
        <f ca="1">SUMIFS(rec.uni[2023-02-01],
INDIRECT("rec.uni[natureza]"),"repasse.cef.obra",
INDIRECT("rec.uni[empresa]"),AN$6)</f>
        <v>0</v>
      </c>
      <c r="AO28" s="228">
        <f ca="1">SUMIFS(rec.uni[2023-02-01],
INDIRECT("rec.uni[natureza]"),"repasse.cef.terreno",
INDIRECT("rec.uni[empresa]"),AO$6)</f>
        <v>0</v>
      </c>
      <c r="AP28" s="228">
        <v>0</v>
      </c>
      <c r="AQ28" s="228">
        <f ca="1">SUMIFS(rec.uni[2023-02-01],
INDIRECT("rec.uni[natureza]"),"taxa.extra",
INDIRECT("rec.uni[empresa]"),AQ$6)</f>
        <v>0</v>
      </c>
      <c r="AR28" s="216"/>
      <c r="AS28" s="228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T28" s="228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U28" s="228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V28" s="228" cm="1">
        <f t="array" ref="AV2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W28" s="229" cm="1">
        <f t="array" ref="AW2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X28" s="227">
        <f>COUNTIFS(
    estq[empresa], AX$6,
    estq[Data da venda / reserva], "&gt;=" &amp; $A28,
    estq[Data da venda / reserva], "&lt;"  &amp; EOMONTH($A28,0) + 1
)</f>
        <v>0</v>
      </c>
      <c r="AY28" s="228">
        <f ca="1">SUMIFS(rec.uni[2023-02-01],
INDIRECT("rec.uni[natureza]"),"pro.soluto",
INDIRECT("rec.uni[empresa]"),AY$6)</f>
        <v>0</v>
      </c>
      <c r="AZ28" s="216">
        <f ca="1">SUMIFS(rec.uni[2023-02-01],
INDIRECT("rec.uni[natureza]"),"parcela.fin.total.ik",
INDIRECT("rec.uni[empresa]"),AZ$6)</f>
        <v>0</v>
      </c>
      <c r="BA28" s="228">
        <f ca="1">SUMIFS(rec.uni[2023-02-01],
INDIRECT("rec.uni[natureza]"),"taxa.extra",
INDIRECT("rec.uni[empresa]"),BA$6)</f>
        <v>0</v>
      </c>
      <c r="BB28" s="216"/>
      <c r="BC28" s="228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D28" s="228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E28" s="228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F28" s="228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G28" s="229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H28" s="227">
        <f>COUNTIFS(
    estq[empresa], BH$6,
    estq[Data da venda / reserva], "&gt;=" &amp; $A28,
    estq[Data da venda / reserva], "&lt;"  &amp; EOMONTH($A28,0) + 1
)</f>
        <v>0</v>
      </c>
      <c r="BI28" s="228">
        <f ca="1">SUMIFS(rec.uni[2023-02-01],
INDIRECT("rec.uni[natureza]"),"pro.soluto",
INDIRECT("rec.uni[empresa]"),BI$6)</f>
        <v>0</v>
      </c>
      <c r="BJ28" s="228">
        <f ca="1">SUMIFS(rec.uni[2023-02-01],
INDIRECT("rec.uni[natureza]"),"repasse.cef.obra",
INDIRECT("rec.uni[empresa]"),BJ$6)</f>
        <v>0</v>
      </c>
      <c r="BK28" s="228">
        <f ca="1">SUMIFS(rec.uni[2023-02-01],
INDIRECT("rec.uni[natureza]"),"repasse.cef.terreno",
INDIRECT("rec.uni[empresa]"),BK$6)</f>
        <v>0</v>
      </c>
      <c r="BL28" s="228">
        <v>0</v>
      </c>
      <c r="BM28" s="228">
        <f ca="1">SUMIFS(rec.uni[2023-02-01],
INDIRECT("rec.uni[natureza]"),"taxa.extra",
INDIRECT("rec.uni[empresa]"),BM$6)</f>
        <v>0</v>
      </c>
      <c r="BN28" s="216"/>
      <c r="BO28" s="228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P28" s="228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Q28" s="228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R28" s="228" cm="1">
        <f t="array" ref="BR2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S28" s="229" cm="1">
        <f t="array" ref="BS2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T28" s="227">
        <f>COUNTIFS(
    estq[empresa], BT$6,
    estq[Data da venda / reserva], "&gt;=" &amp; $A28,
    estq[Data da venda / reserva], "&lt;"  &amp; EOMONTH($A28,0) + 1
)</f>
        <v>0</v>
      </c>
      <c r="BU28" s="228">
        <f ca="1">SUMIFS(rec.uni[2023-02-01],
INDIRECT("rec.uni[natureza]"),"pro.soluto",
INDIRECT("rec.uni[empresa]"),BU$6)</f>
        <v>0</v>
      </c>
      <c r="BV28" s="228">
        <f ca="1">SUMIFS(rec.uni[2023-02-01],
INDIRECT("rec.uni[natureza]"),"repasse.cef.obra",
INDIRECT("rec.uni[empresa]"),BV$6)</f>
        <v>0</v>
      </c>
      <c r="BW28" s="228">
        <f ca="1">SUMIFS(rec.uni[2023-02-01],
INDIRECT("rec.uni[natureza]"),"repasse.cef.terreno",
INDIRECT("rec.uni[empresa]"),BW$6)</f>
        <v>0</v>
      </c>
      <c r="BX28" s="228">
        <v>0</v>
      </c>
      <c r="BY28" s="228">
        <f ca="1">SUMIFS(rec.uni[2023-02-01],
INDIRECT("rec.uni[natureza]"),"taxa.extra",
INDIRECT("rec.uni[empresa]"),BY$6)</f>
        <v>0</v>
      </c>
      <c r="BZ28" s="216"/>
      <c r="CA28" s="228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B28" s="228" cm="1">
        <f t="array" ref="CB2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C28" s="228" cm="1">
        <f t="array" ref="CC2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D28" s="228" cm="1">
        <f t="array" ref="CD2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E28" s="230" cm="1">
        <f t="array" ref="CE2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83" x14ac:dyDescent="0.25">
      <c r="A29" s="226">
        <v>44986</v>
      </c>
      <c r="B29" s="227">
        <f>COUNTIFS(
    estq[empresa], B$6,
    estq[Data da venda / reserva], "&gt;=" &amp; $A29,
    estq[Data da venda / reserva], "&lt;"  &amp; EOMONTH($A29,0) + 1
)</f>
        <v>0</v>
      </c>
      <c r="C29" s="228">
        <f ca="1">SUMIFS(rec.uni[2023-03-01],
INDIRECT("rec.uni[natureza]"),"pro.soluto",
INDIRECT("rec.uni[empresa]"),C$6)</f>
        <v>0</v>
      </c>
      <c r="D29" s="228">
        <f ca="1">SUMIFS(rec.uni[2023-03-01],
INDIRECT("rec.uni[natureza]"),"repasse.cef.obra",
INDIRECT("rec.uni[empresa]"),D$6)</f>
        <v>0</v>
      </c>
      <c r="E29" s="228">
        <f ca="1">SUMIFS(rec.uni[2023-03-01],
INDIRECT("rec.uni[natureza]"),"repasse.cef.terreno",
INDIRECT("rec.uni[empresa]"),E$6)</f>
        <v>0</v>
      </c>
      <c r="F29" s="228">
        <v>0</v>
      </c>
      <c r="G29" s="228">
        <f ca="1">SUMIFS(rec.uni[2023-03-01],
INDIRECT("rec.uni[natureza]"),"taxa.extra",
INDIRECT("rec.uni[empresa]"),G$6)</f>
        <v>0</v>
      </c>
      <c r="H29" s="216"/>
      <c r="I29" s="228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228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228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228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229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227">
        <f>COUNTIFS(
    estq[empresa], N$6,
    estq[Data da venda / reserva], "&gt;=" &amp; $A29,
    estq[Data da venda / reserva], "&lt;"  &amp; EOMONTH($A29,0) + 1
)</f>
        <v>0</v>
      </c>
      <c r="O29" s="228">
        <f ca="1">SUMIFS(rec.uni[2023-03-01],
INDIRECT("rec.uni[natureza]"),"pro.soluto",
INDIRECT("rec.uni[empresa]"),O$6)</f>
        <v>0</v>
      </c>
      <c r="P29" s="228">
        <f ca="1">SUMIFS(rec.uni[2023-03-01],
INDIRECT("rec.uni[natureza]"),"repasse.cef.obra",
INDIRECT("rec.uni[empresa]"),P$6)</f>
        <v>0</v>
      </c>
      <c r="Q29" s="228">
        <f ca="1">SUMIFS(rec.uni[2023-03-01],
INDIRECT("rec.uni[natureza]"),"repasse.cef.terreno",
INDIRECT("rec.uni[empresa]"),Q$6)</f>
        <v>0</v>
      </c>
      <c r="R29" s="228">
        <v>0</v>
      </c>
      <c r="S29" s="228">
        <f ca="1">SUMIFS(rec.uni[2023-03-01],
INDIRECT("rec.uni[natureza]"),"taxa.extra",
INDIRECT("rec.uni[empresa]"),S$6)</f>
        <v>0</v>
      </c>
      <c r="T29" s="216"/>
      <c r="U29" s="228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228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228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228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229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227">
        <f>COUNTIFS(
    estq[empresa], Z$6,
    estq[Data da venda / reserva], "&gt;=" &amp; $A29,
    estq[Data da venda / reserva], "&lt;"  &amp; EOMONTH($A29,0) + 1
)</f>
        <v>0</v>
      </c>
      <c r="AA29" s="228">
        <f ca="1">SUMIFS(rec.uni[2023-03-01],
INDIRECT("rec.uni[natureza]"),"pro.soluto",
INDIRECT("rec.uni[empresa]"),AA$6)</f>
        <v>0</v>
      </c>
      <c r="AB29" s="228">
        <f ca="1">SUMIFS(rec.uni[2023-03-01],
INDIRECT("rec.uni[natureza]"),"repasse.cef.obra",
INDIRECT("rec.uni[empresa]"),AB$6)</f>
        <v>0</v>
      </c>
      <c r="AC29" s="228">
        <f ca="1">SUMIFS(rec.uni[2023-03-01],
INDIRECT("rec.uni[natureza]"),"repasse.cef.terreno",
INDIRECT("rec.uni[empresa]"),AC$6)</f>
        <v>0</v>
      </c>
      <c r="AD29" s="228">
        <v>0</v>
      </c>
      <c r="AE29" s="228">
        <f ca="1">SUMIFS(rec.uni[2023-03-01],
INDIRECT("rec.uni[natureza]"),"taxa.extra",
INDIRECT("rec.uni[empresa]"),AE$6)</f>
        <v>0</v>
      </c>
      <c r="AF29" s="216"/>
      <c r="AG29" s="228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H29" s="228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I29" s="228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J29" s="228" cm="1">
        <f t="array" ref="AJ2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K29" s="229" cm="1">
        <f t="array" ref="AK2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L29" s="227">
        <f>COUNTIFS(
    estq[empresa], AL$6,
    estq[Data da venda / reserva], "&gt;=" &amp; $A29,
    estq[Data da venda / reserva], "&lt;"  &amp; EOMONTH($A29,0) + 1
)</f>
        <v>0</v>
      </c>
      <c r="AM29" s="228">
        <f ca="1">SUMIFS(rec.uni[2023-03-01],
INDIRECT("rec.uni[natureza]"),"pro.soluto",
INDIRECT("rec.uni[empresa]"),AM$6)</f>
        <v>0</v>
      </c>
      <c r="AN29" s="228">
        <f ca="1">SUMIFS(rec.uni[2023-03-01],
INDIRECT("rec.uni[natureza]"),"repasse.cef.obra",
INDIRECT("rec.uni[empresa]"),AN$6)</f>
        <v>0</v>
      </c>
      <c r="AO29" s="228">
        <f ca="1">SUMIFS(rec.uni[2023-03-01],
INDIRECT("rec.uni[natureza]"),"repasse.cef.terreno",
INDIRECT("rec.uni[empresa]"),AO$6)</f>
        <v>0</v>
      </c>
      <c r="AP29" s="228">
        <v>0</v>
      </c>
      <c r="AQ29" s="228">
        <f ca="1">SUMIFS(rec.uni[2023-03-01],
INDIRECT("rec.uni[natureza]"),"taxa.extra",
INDIRECT("rec.uni[empresa]"),AQ$6)</f>
        <v>0</v>
      </c>
      <c r="AR29" s="216"/>
      <c r="AS29" s="228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T29" s="228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U29" s="228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V29" s="228" cm="1">
        <f t="array" ref="AV2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W29" s="229" cm="1">
        <f t="array" ref="AW2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X29" s="227">
        <f>COUNTIFS(
    estq[empresa], AX$6,
    estq[Data da venda / reserva], "&gt;=" &amp; $A29,
    estq[Data da venda / reserva], "&lt;"  &amp; EOMONTH($A29,0) + 1
)</f>
        <v>0</v>
      </c>
      <c r="AY29" s="228">
        <f ca="1">SUMIFS(rec.uni[2023-03-01],
INDIRECT("rec.uni[natureza]"),"pro.soluto",
INDIRECT("rec.uni[empresa]"),AY$6)</f>
        <v>0</v>
      </c>
      <c r="AZ29" s="216">
        <f ca="1">SUMIFS(rec.uni[2023-03-01],
INDIRECT("rec.uni[natureza]"),"parcela.fin.total.ik",
INDIRECT("rec.uni[empresa]"),AZ$6)</f>
        <v>0</v>
      </c>
      <c r="BA29" s="228">
        <f ca="1">SUMIFS(rec.uni[2023-03-01],
INDIRECT("rec.uni[natureza]"),"taxa.extra",
INDIRECT("rec.uni[empresa]"),BA$6)</f>
        <v>0</v>
      </c>
      <c r="BB29" s="216"/>
      <c r="BC29" s="228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D29" s="228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E29" s="228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F29" s="228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G29" s="229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H29" s="227">
        <f>COUNTIFS(
    estq[empresa], BH$6,
    estq[Data da venda / reserva], "&gt;=" &amp; $A29,
    estq[Data da venda / reserva], "&lt;"  &amp; EOMONTH($A29,0) + 1
)</f>
        <v>0</v>
      </c>
      <c r="BI29" s="228">
        <f ca="1">SUMIFS(rec.uni[2023-03-01],
INDIRECT("rec.uni[natureza]"),"pro.soluto",
INDIRECT("rec.uni[empresa]"),BI$6)</f>
        <v>0</v>
      </c>
      <c r="BJ29" s="228">
        <f ca="1">SUMIFS(rec.uni[2023-03-01],
INDIRECT("rec.uni[natureza]"),"repasse.cef.obra",
INDIRECT("rec.uni[empresa]"),BJ$6)</f>
        <v>0</v>
      </c>
      <c r="BK29" s="228">
        <f ca="1">SUMIFS(rec.uni[2023-03-01],
INDIRECT("rec.uni[natureza]"),"repasse.cef.terreno",
INDIRECT("rec.uni[empresa]"),BK$6)</f>
        <v>0</v>
      </c>
      <c r="BL29" s="228">
        <v>0</v>
      </c>
      <c r="BM29" s="228">
        <f ca="1">SUMIFS(rec.uni[2023-03-01],
INDIRECT("rec.uni[natureza]"),"taxa.extra",
INDIRECT("rec.uni[empresa]"),BM$6)</f>
        <v>0</v>
      </c>
      <c r="BN29" s="216"/>
      <c r="BO29" s="228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P29" s="228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Q29" s="228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R29" s="228" cm="1">
        <f t="array" ref="BR2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S29" s="229" cm="1">
        <f t="array" ref="BS2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T29" s="227">
        <f>COUNTIFS(
    estq[empresa], BT$6,
    estq[Data da venda / reserva], "&gt;=" &amp; $A29,
    estq[Data da venda / reserva], "&lt;"  &amp; EOMONTH($A29,0) + 1
)</f>
        <v>0</v>
      </c>
      <c r="BU29" s="228">
        <f ca="1">SUMIFS(rec.uni[2023-03-01],
INDIRECT("rec.uni[natureza]"),"pro.soluto",
INDIRECT("rec.uni[empresa]"),BU$6)</f>
        <v>0</v>
      </c>
      <c r="BV29" s="228">
        <f ca="1">SUMIFS(rec.uni[2023-03-01],
INDIRECT("rec.uni[natureza]"),"repasse.cef.obra",
INDIRECT("rec.uni[empresa]"),BV$6)</f>
        <v>0</v>
      </c>
      <c r="BW29" s="228">
        <f ca="1">SUMIFS(rec.uni[2023-03-01],
INDIRECT("rec.uni[natureza]"),"repasse.cef.terreno",
INDIRECT("rec.uni[empresa]"),BW$6)</f>
        <v>0</v>
      </c>
      <c r="BX29" s="228">
        <v>0</v>
      </c>
      <c r="BY29" s="228">
        <f ca="1">SUMIFS(rec.uni[2023-03-01],
INDIRECT("rec.uni[natureza]"),"taxa.extra",
INDIRECT("rec.uni[empresa]"),BY$6)</f>
        <v>0</v>
      </c>
      <c r="BZ29" s="216"/>
      <c r="CA29" s="228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B29" s="228" cm="1">
        <f t="array" ref="CB2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C29" s="228" cm="1">
        <f t="array" ref="CC2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D29" s="228" cm="1">
        <f t="array" ref="CD2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E29" s="230" cm="1">
        <f t="array" ref="CE2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83" x14ac:dyDescent="0.25">
      <c r="A30" s="226">
        <v>45017</v>
      </c>
      <c r="B30" s="227">
        <f>COUNTIFS(
    estq[empresa], B$6,
    estq[Data da venda / reserva], "&gt;=" &amp; $A30,
    estq[Data da venda / reserva], "&lt;"  &amp; EOMONTH($A30,0) + 1
)</f>
        <v>0</v>
      </c>
      <c r="C30" s="228">
        <f ca="1">SUMIFS(rec.uni[2023-04-01],
INDIRECT("rec.uni[natureza]"),"pro.soluto",
INDIRECT("rec.uni[empresa]"),C$6)</f>
        <v>0</v>
      </c>
      <c r="D30" s="228">
        <f ca="1">SUMIFS(rec.uni[2023-04-01],
INDIRECT("rec.uni[natureza]"),"repasse.cef.obra",
INDIRECT("rec.uni[empresa]"),D$6)</f>
        <v>0</v>
      </c>
      <c r="E30" s="228">
        <f ca="1">SUMIFS(rec.uni[2023-04-01],
INDIRECT("rec.uni[natureza]"),"repasse.cef.terreno",
INDIRECT("rec.uni[empresa]"),E$6)</f>
        <v>0</v>
      </c>
      <c r="F30" s="228">
        <v>0</v>
      </c>
      <c r="G30" s="228">
        <f ca="1">SUMIFS(rec.uni[2023-04-01],
INDIRECT("rec.uni[natureza]"),"taxa.extra",
INDIRECT("rec.uni[empresa]"),G$6)</f>
        <v>0</v>
      </c>
      <c r="H30" s="216"/>
      <c r="I30" s="228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228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228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228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229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227">
        <f>COUNTIFS(
    estq[empresa], N$6,
    estq[Data da venda / reserva], "&gt;=" &amp; $A30,
    estq[Data da venda / reserva], "&lt;"  &amp; EOMONTH($A30,0) + 1
)</f>
        <v>0</v>
      </c>
      <c r="O30" s="228">
        <f ca="1">SUMIFS(rec.uni[2023-04-01],
INDIRECT("rec.uni[natureza]"),"pro.soluto",
INDIRECT("rec.uni[empresa]"),O$6)</f>
        <v>0</v>
      </c>
      <c r="P30" s="228">
        <f ca="1">SUMIFS(rec.uni[2023-04-01],
INDIRECT("rec.uni[natureza]"),"repasse.cef.obra",
INDIRECT("rec.uni[empresa]"),P$6)</f>
        <v>0</v>
      </c>
      <c r="Q30" s="228">
        <f ca="1">SUMIFS(rec.uni[2023-04-01],
INDIRECT("rec.uni[natureza]"),"repasse.cef.terreno",
INDIRECT("rec.uni[empresa]"),Q$6)</f>
        <v>0</v>
      </c>
      <c r="R30" s="228">
        <v>0</v>
      </c>
      <c r="S30" s="228">
        <f ca="1">SUMIFS(rec.uni[2023-04-01],
INDIRECT("rec.uni[natureza]"),"taxa.extra",
INDIRECT("rec.uni[empresa]"),S$6)</f>
        <v>0</v>
      </c>
      <c r="T30" s="216"/>
      <c r="U30" s="228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228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228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228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229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227">
        <f>COUNTIFS(
    estq[empresa], Z$6,
    estq[Data da venda / reserva], "&gt;=" &amp; $A30,
    estq[Data da venda / reserva], "&lt;"  &amp; EOMONTH($A30,0) + 1
)</f>
        <v>0</v>
      </c>
      <c r="AA30" s="228">
        <f ca="1">SUMIFS(rec.uni[2023-04-01],
INDIRECT("rec.uni[natureza]"),"pro.soluto",
INDIRECT("rec.uni[empresa]"),AA$6)</f>
        <v>0</v>
      </c>
      <c r="AB30" s="228">
        <f ca="1">SUMIFS(rec.uni[2023-04-01],
INDIRECT("rec.uni[natureza]"),"repasse.cef.obra",
INDIRECT("rec.uni[empresa]"),AB$6)</f>
        <v>0</v>
      </c>
      <c r="AC30" s="228">
        <f ca="1">SUMIFS(rec.uni[2023-04-01],
INDIRECT("rec.uni[natureza]"),"repasse.cef.terreno",
INDIRECT("rec.uni[empresa]"),AC$6)</f>
        <v>0</v>
      </c>
      <c r="AD30" s="228">
        <v>0</v>
      </c>
      <c r="AE30" s="228">
        <f ca="1">SUMIFS(rec.uni[2023-04-01],
INDIRECT("rec.uni[natureza]"),"taxa.extra",
INDIRECT("rec.uni[empresa]"),AE$6)</f>
        <v>0</v>
      </c>
      <c r="AF30" s="216"/>
      <c r="AG30" s="228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H30" s="228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I30" s="228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J30" s="228" cm="1">
        <f t="array" ref="AJ3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K30" s="229" cm="1">
        <f t="array" ref="AK3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L30" s="227">
        <f>COUNTIFS(
    estq[empresa], AL$6,
    estq[Data da venda / reserva], "&gt;=" &amp; $A30,
    estq[Data da venda / reserva], "&lt;"  &amp; EOMONTH($A30,0) + 1
)</f>
        <v>0</v>
      </c>
      <c r="AM30" s="228">
        <f ca="1">SUMIFS(rec.uni[2023-04-01],
INDIRECT("rec.uni[natureza]"),"pro.soluto",
INDIRECT("rec.uni[empresa]"),AM$6)</f>
        <v>0</v>
      </c>
      <c r="AN30" s="228">
        <f ca="1">SUMIFS(rec.uni[2023-04-01],
INDIRECT("rec.uni[natureza]"),"repasse.cef.obra",
INDIRECT("rec.uni[empresa]"),AN$6)</f>
        <v>0</v>
      </c>
      <c r="AO30" s="228">
        <f ca="1">SUMIFS(rec.uni[2023-04-01],
INDIRECT("rec.uni[natureza]"),"repasse.cef.terreno",
INDIRECT("rec.uni[empresa]"),AO$6)</f>
        <v>0</v>
      </c>
      <c r="AP30" s="228">
        <v>0</v>
      </c>
      <c r="AQ30" s="228">
        <f ca="1">SUMIFS(rec.uni[2023-04-01],
INDIRECT("rec.uni[natureza]"),"taxa.extra",
INDIRECT("rec.uni[empresa]"),AQ$6)</f>
        <v>0</v>
      </c>
      <c r="AR30" s="216"/>
      <c r="AS30" s="228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T30" s="228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U30" s="228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V30" s="228" cm="1">
        <f t="array" ref="AV3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W30" s="229" cm="1">
        <f t="array" ref="AW3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X30" s="227">
        <f>COUNTIFS(
    estq[empresa], AX$6,
    estq[Data da venda / reserva], "&gt;=" &amp; $A30,
    estq[Data da venda / reserva], "&lt;"  &amp; EOMONTH($A30,0) + 1
)</f>
        <v>0</v>
      </c>
      <c r="AY30" s="228">
        <f ca="1">SUMIFS(rec.uni[2023-04-01],
INDIRECT("rec.uni[natureza]"),"pro.soluto",
INDIRECT("rec.uni[empresa]"),AY$6)</f>
        <v>0</v>
      </c>
      <c r="AZ30" s="216">
        <f ca="1">SUMIFS(rec.uni[2023-04-01],
INDIRECT("rec.uni[natureza]"),"parcela.fin.total.ik",
INDIRECT("rec.uni[empresa]"),AZ$6)</f>
        <v>0</v>
      </c>
      <c r="BA30" s="228">
        <f ca="1">SUMIFS(rec.uni[2023-04-01],
INDIRECT("rec.uni[natureza]"),"taxa.extra",
INDIRECT("rec.uni[empresa]"),BA$6)</f>
        <v>0</v>
      </c>
      <c r="BB30" s="216"/>
      <c r="BC30" s="228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D30" s="228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E30" s="228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F30" s="228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G30" s="229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H30" s="227">
        <f>COUNTIFS(
    estq[empresa], BH$6,
    estq[Data da venda / reserva], "&gt;=" &amp; $A30,
    estq[Data da venda / reserva], "&lt;"  &amp; EOMONTH($A30,0) + 1
)</f>
        <v>0</v>
      </c>
      <c r="BI30" s="228">
        <f ca="1">SUMIFS(rec.uni[2023-04-01],
INDIRECT("rec.uni[natureza]"),"pro.soluto",
INDIRECT("rec.uni[empresa]"),BI$6)</f>
        <v>0</v>
      </c>
      <c r="BJ30" s="228">
        <f ca="1">SUMIFS(rec.uni[2023-04-01],
INDIRECT("rec.uni[natureza]"),"repasse.cef.obra",
INDIRECT("rec.uni[empresa]"),BJ$6)</f>
        <v>0</v>
      </c>
      <c r="BK30" s="228">
        <f ca="1">SUMIFS(rec.uni[2023-04-01],
INDIRECT("rec.uni[natureza]"),"repasse.cef.terreno",
INDIRECT("rec.uni[empresa]"),BK$6)</f>
        <v>0</v>
      </c>
      <c r="BL30" s="228">
        <v>0</v>
      </c>
      <c r="BM30" s="228">
        <f ca="1">SUMIFS(rec.uni[2023-04-01],
INDIRECT("rec.uni[natureza]"),"taxa.extra",
INDIRECT("rec.uni[empresa]"),BM$6)</f>
        <v>0</v>
      </c>
      <c r="BN30" s="216"/>
      <c r="BO30" s="228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P30" s="228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Q30" s="228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R30" s="228" cm="1">
        <f t="array" ref="BR3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S30" s="229" cm="1">
        <f t="array" ref="BS3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T30" s="227">
        <f>COUNTIFS(
    estq[empresa], BT$6,
    estq[Data da venda / reserva], "&gt;=" &amp; $A30,
    estq[Data da venda / reserva], "&lt;"  &amp; EOMONTH($A30,0) + 1
)</f>
        <v>0</v>
      </c>
      <c r="BU30" s="228">
        <f ca="1">SUMIFS(rec.uni[2023-04-01],
INDIRECT("rec.uni[natureza]"),"pro.soluto",
INDIRECT("rec.uni[empresa]"),BU$6)</f>
        <v>0</v>
      </c>
      <c r="BV30" s="228">
        <f ca="1">SUMIFS(rec.uni[2023-04-01],
INDIRECT("rec.uni[natureza]"),"repasse.cef.obra",
INDIRECT("rec.uni[empresa]"),BV$6)</f>
        <v>0</v>
      </c>
      <c r="BW30" s="228">
        <f ca="1">SUMIFS(rec.uni[2023-04-01],
INDIRECT("rec.uni[natureza]"),"repasse.cef.terreno",
INDIRECT("rec.uni[empresa]"),BW$6)</f>
        <v>0</v>
      </c>
      <c r="BX30" s="228">
        <v>0</v>
      </c>
      <c r="BY30" s="228">
        <f ca="1">SUMIFS(rec.uni[2023-04-01],
INDIRECT("rec.uni[natureza]"),"taxa.extra",
INDIRECT("rec.uni[empresa]"),BY$6)</f>
        <v>0</v>
      </c>
      <c r="BZ30" s="216"/>
      <c r="CA30" s="228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B30" s="228" cm="1">
        <f t="array" ref="CB3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C30" s="228" cm="1">
        <f t="array" ref="CC3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D30" s="228" cm="1">
        <f t="array" ref="CD3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E30" s="230" cm="1">
        <f t="array" ref="CE3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83" x14ac:dyDescent="0.25">
      <c r="A31" s="226">
        <v>45047</v>
      </c>
      <c r="B31" s="227">
        <f>COUNTIFS(
    estq[empresa], B$6,
    estq[Data da venda / reserva], "&gt;=" &amp; $A31,
    estq[Data da venda / reserva], "&lt;"  &amp; EOMONTH($A31,0) + 1
)</f>
        <v>0</v>
      </c>
      <c r="C31" s="228">
        <f ca="1">SUMIFS(rec.uni[2023-05-01],
INDIRECT("rec.uni[natureza]"),"pro.soluto",
INDIRECT("rec.uni[empresa]"),C$6)</f>
        <v>0</v>
      </c>
      <c r="D31" s="228">
        <f ca="1">SUMIFS(rec.uni[2023-05-01],
INDIRECT("rec.uni[natureza]"),"repasse.cef.obra",
INDIRECT("rec.uni[empresa]"),D$6)</f>
        <v>0</v>
      </c>
      <c r="E31" s="228">
        <f ca="1">SUMIFS(rec.uni[2023-05-01],
INDIRECT("rec.uni[natureza]"),"repasse.cef.terreno",
INDIRECT("rec.uni[empresa]"),E$6)</f>
        <v>0</v>
      </c>
      <c r="F31" s="228">
        <v>0</v>
      </c>
      <c r="G31" s="228">
        <f ca="1">SUMIFS(rec.uni[2023-05-01],
INDIRECT("rec.uni[natureza]"),"taxa.extra",
INDIRECT("rec.uni[empresa]"),G$6)</f>
        <v>0</v>
      </c>
      <c r="H31" s="216"/>
      <c r="I31" s="228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228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228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228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229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227">
        <f>COUNTIFS(
    estq[empresa], N$6,
    estq[Data da venda / reserva], "&gt;=" &amp; $A31,
    estq[Data da venda / reserva], "&lt;"  &amp; EOMONTH($A31,0) + 1
)</f>
        <v>0</v>
      </c>
      <c r="O31" s="228">
        <f ca="1">SUMIFS(rec.uni[2023-05-01],
INDIRECT("rec.uni[natureza]"),"pro.soluto",
INDIRECT("rec.uni[empresa]"),O$6)</f>
        <v>0</v>
      </c>
      <c r="P31" s="228">
        <f ca="1">SUMIFS(rec.uni[2023-05-01],
INDIRECT("rec.uni[natureza]"),"repasse.cef.obra",
INDIRECT("rec.uni[empresa]"),P$6)</f>
        <v>0</v>
      </c>
      <c r="Q31" s="228">
        <f ca="1">SUMIFS(rec.uni[2023-05-01],
INDIRECT("rec.uni[natureza]"),"repasse.cef.terreno",
INDIRECT("rec.uni[empresa]"),Q$6)</f>
        <v>0</v>
      </c>
      <c r="R31" s="228">
        <v>0</v>
      </c>
      <c r="S31" s="228">
        <f ca="1">SUMIFS(rec.uni[2023-05-01],
INDIRECT("rec.uni[natureza]"),"taxa.extra",
INDIRECT("rec.uni[empresa]"),S$6)</f>
        <v>0</v>
      </c>
      <c r="T31" s="216"/>
      <c r="U31" s="228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228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228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228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229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227">
        <f>COUNTIFS(
    estq[empresa], Z$6,
    estq[Data da venda / reserva], "&gt;=" &amp; $A31,
    estq[Data da venda / reserva], "&lt;"  &amp; EOMONTH($A31,0) + 1
)</f>
        <v>0</v>
      </c>
      <c r="AA31" s="228">
        <f ca="1">SUMIFS(rec.uni[2023-05-01],
INDIRECT("rec.uni[natureza]"),"pro.soluto",
INDIRECT("rec.uni[empresa]"),AA$6)</f>
        <v>0</v>
      </c>
      <c r="AB31" s="228">
        <f ca="1">SUMIFS(rec.uni[2023-05-01],
INDIRECT("rec.uni[natureza]"),"repasse.cef.obra",
INDIRECT("rec.uni[empresa]"),AB$6)</f>
        <v>0</v>
      </c>
      <c r="AC31" s="228">
        <f ca="1">SUMIFS(rec.uni[2023-05-01],
INDIRECT("rec.uni[natureza]"),"repasse.cef.terreno",
INDIRECT("rec.uni[empresa]"),AC$6)</f>
        <v>0</v>
      </c>
      <c r="AD31" s="228">
        <v>0</v>
      </c>
      <c r="AE31" s="228">
        <f ca="1">SUMIFS(rec.uni[2023-05-01],
INDIRECT("rec.uni[natureza]"),"taxa.extra",
INDIRECT("rec.uni[empresa]"),AE$6)</f>
        <v>0</v>
      </c>
      <c r="AF31" s="216"/>
      <c r="AG31" s="228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H31" s="228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I31" s="228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J31" s="228" cm="1">
        <f t="array" ref="AJ3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K31" s="229" cm="1">
        <f t="array" ref="AK3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L31" s="227">
        <f>COUNTIFS(
    estq[empresa], AL$6,
    estq[Data da venda / reserva], "&gt;=" &amp; $A31,
    estq[Data da venda / reserva], "&lt;"  &amp; EOMONTH($A31,0) + 1
)</f>
        <v>0</v>
      </c>
      <c r="AM31" s="228">
        <f ca="1">SUMIFS(rec.uni[2023-05-01],
INDIRECT("rec.uni[natureza]"),"pro.soluto",
INDIRECT("rec.uni[empresa]"),AM$6)</f>
        <v>0</v>
      </c>
      <c r="AN31" s="228">
        <f ca="1">SUMIFS(rec.uni[2023-05-01],
INDIRECT("rec.uni[natureza]"),"repasse.cef.obra",
INDIRECT("rec.uni[empresa]"),AN$6)</f>
        <v>0</v>
      </c>
      <c r="AO31" s="228">
        <f ca="1">SUMIFS(rec.uni[2023-05-01],
INDIRECT("rec.uni[natureza]"),"repasse.cef.terreno",
INDIRECT("rec.uni[empresa]"),AO$6)</f>
        <v>0</v>
      </c>
      <c r="AP31" s="228">
        <v>0</v>
      </c>
      <c r="AQ31" s="228">
        <f ca="1">SUMIFS(rec.uni[2023-05-01],
INDIRECT("rec.uni[natureza]"),"taxa.extra",
INDIRECT("rec.uni[empresa]"),AQ$6)</f>
        <v>0</v>
      </c>
      <c r="AR31" s="216"/>
      <c r="AS31" s="228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T31" s="228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U31" s="228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V31" s="228" cm="1">
        <f t="array" ref="AV3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W31" s="229" cm="1">
        <f t="array" ref="AW3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X31" s="227">
        <f>COUNTIFS(
    estq[empresa], AX$6,
    estq[Data da venda / reserva], "&gt;=" &amp; $A31,
    estq[Data da venda / reserva], "&lt;"  &amp; EOMONTH($A31,0) + 1
)</f>
        <v>0</v>
      </c>
      <c r="AY31" s="228">
        <f ca="1">SUMIFS(rec.uni[2023-05-01],
INDIRECT("rec.uni[natureza]"),"pro.soluto",
INDIRECT("rec.uni[empresa]"),AY$6)</f>
        <v>0</v>
      </c>
      <c r="AZ31" s="216">
        <f ca="1">SUMIFS(rec.uni[2023-05-01],
INDIRECT("rec.uni[natureza]"),"parcela.fin.total.ik",
INDIRECT("rec.uni[empresa]"),AZ$6)</f>
        <v>0</v>
      </c>
      <c r="BA31" s="228">
        <f ca="1">SUMIFS(rec.uni[2023-05-01],
INDIRECT("rec.uni[natureza]"),"taxa.extra",
INDIRECT("rec.uni[empresa]"),BA$6)</f>
        <v>0</v>
      </c>
      <c r="BB31" s="216"/>
      <c r="BC31" s="228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D31" s="228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E31" s="228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F31" s="228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G31" s="229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H31" s="227">
        <f>COUNTIFS(
    estq[empresa], BH$6,
    estq[Data da venda / reserva], "&gt;=" &amp; $A31,
    estq[Data da venda / reserva], "&lt;"  &amp; EOMONTH($A31,0) + 1
)</f>
        <v>0</v>
      </c>
      <c r="BI31" s="228">
        <f ca="1">SUMIFS(rec.uni[2023-05-01],
INDIRECT("rec.uni[natureza]"),"pro.soluto",
INDIRECT("rec.uni[empresa]"),BI$6)</f>
        <v>0</v>
      </c>
      <c r="BJ31" s="228">
        <f ca="1">SUMIFS(rec.uni[2023-05-01],
INDIRECT("rec.uni[natureza]"),"repasse.cef.obra",
INDIRECT("rec.uni[empresa]"),BJ$6)</f>
        <v>0</v>
      </c>
      <c r="BK31" s="228">
        <f ca="1">SUMIFS(rec.uni[2023-05-01],
INDIRECT("rec.uni[natureza]"),"repasse.cef.terreno",
INDIRECT("rec.uni[empresa]"),BK$6)</f>
        <v>0</v>
      </c>
      <c r="BL31" s="228">
        <v>0</v>
      </c>
      <c r="BM31" s="228">
        <f ca="1">SUMIFS(rec.uni[2023-05-01],
INDIRECT("rec.uni[natureza]"),"taxa.extra",
INDIRECT("rec.uni[empresa]"),BM$6)</f>
        <v>0</v>
      </c>
      <c r="BN31" s="216"/>
      <c r="BO31" s="228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P31" s="228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Q31" s="228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R31" s="228" cm="1">
        <f t="array" ref="BR3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S31" s="229" cm="1">
        <f t="array" ref="BS3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T31" s="227">
        <f>COUNTIFS(
    estq[empresa], BT$6,
    estq[Data da venda / reserva], "&gt;=" &amp; $A31,
    estq[Data da venda / reserva], "&lt;"  &amp; EOMONTH($A31,0) + 1
)</f>
        <v>0</v>
      </c>
      <c r="BU31" s="228">
        <f ca="1">SUMIFS(rec.uni[2023-05-01],
INDIRECT("rec.uni[natureza]"),"pro.soluto",
INDIRECT("rec.uni[empresa]"),BU$6)</f>
        <v>0</v>
      </c>
      <c r="BV31" s="228">
        <f ca="1">SUMIFS(rec.uni[2023-05-01],
INDIRECT("rec.uni[natureza]"),"repasse.cef.obra",
INDIRECT("rec.uni[empresa]"),BV$6)</f>
        <v>0</v>
      </c>
      <c r="BW31" s="228">
        <f ca="1">SUMIFS(rec.uni[2023-05-01],
INDIRECT("rec.uni[natureza]"),"repasse.cef.terreno",
INDIRECT("rec.uni[empresa]"),BW$6)</f>
        <v>0</v>
      </c>
      <c r="BX31" s="228">
        <v>0</v>
      </c>
      <c r="BY31" s="228">
        <f ca="1">SUMIFS(rec.uni[2023-05-01],
INDIRECT("rec.uni[natureza]"),"taxa.extra",
INDIRECT("rec.uni[empresa]"),BY$6)</f>
        <v>0</v>
      </c>
      <c r="BZ31" s="216"/>
      <c r="CA31" s="228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B31" s="228" cm="1">
        <f t="array" ref="CB3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C31" s="228" cm="1">
        <f t="array" ref="CC3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D31" s="228" cm="1">
        <f t="array" ref="CD3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E31" s="230" cm="1">
        <f t="array" ref="CE3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83" x14ac:dyDescent="0.25">
      <c r="A32" s="226">
        <v>45078</v>
      </c>
      <c r="B32" s="227">
        <f>COUNTIFS(
    estq[empresa], B$6,
    estq[Data da venda / reserva], "&gt;=" &amp; $A32,
    estq[Data da venda / reserva], "&lt;"  &amp; EOMONTH($A32,0) + 1
)</f>
        <v>0</v>
      </c>
      <c r="C32" s="228">
        <f ca="1">SUMIFS(rec.uni[2023-06-01],
INDIRECT("rec.uni[natureza]"),"pro.soluto",
INDIRECT("rec.uni[empresa]"),C$6)</f>
        <v>0</v>
      </c>
      <c r="D32" s="228">
        <f ca="1">SUMIFS(rec.uni[2023-06-01],
INDIRECT("rec.uni[natureza]"),"repasse.cef.obra",
INDIRECT("rec.uni[empresa]"),D$6)</f>
        <v>0</v>
      </c>
      <c r="E32" s="228">
        <f ca="1">SUMIFS(rec.uni[2023-06-01],
INDIRECT("rec.uni[natureza]"),"repasse.cef.terreno",
INDIRECT("rec.uni[empresa]"),E$6)</f>
        <v>0</v>
      </c>
      <c r="F32" s="228">
        <v>0</v>
      </c>
      <c r="G32" s="228">
        <f ca="1">SUMIFS(rec.uni[2023-06-01],
INDIRECT("rec.uni[natureza]"),"taxa.extra",
INDIRECT("rec.uni[empresa]"),G$6)</f>
        <v>0</v>
      </c>
      <c r="H32" s="216"/>
      <c r="I32" s="228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228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228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228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229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227">
        <f>COUNTIFS(
    estq[empresa], N$6,
    estq[Data da venda / reserva], "&gt;=" &amp; $A32,
    estq[Data da venda / reserva], "&lt;"  &amp; EOMONTH($A32,0) + 1
)</f>
        <v>0</v>
      </c>
      <c r="O32" s="228">
        <f ca="1">SUMIFS(rec.uni[2023-06-01],
INDIRECT("rec.uni[natureza]"),"pro.soluto",
INDIRECT("rec.uni[empresa]"),O$6)</f>
        <v>0</v>
      </c>
      <c r="P32" s="228">
        <f ca="1">SUMIFS(rec.uni[2023-06-01],
INDIRECT("rec.uni[natureza]"),"repasse.cef.obra",
INDIRECT("rec.uni[empresa]"),P$6)</f>
        <v>0</v>
      </c>
      <c r="Q32" s="228">
        <f ca="1">SUMIFS(rec.uni[2023-06-01],
INDIRECT("rec.uni[natureza]"),"repasse.cef.terreno",
INDIRECT("rec.uni[empresa]"),Q$6)</f>
        <v>0</v>
      </c>
      <c r="R32" s="228">
        <v>0</v>
      </c>
      <c r="S32" s="228">
        <f ca="1">SUMIFS(rec.uni[2023-06-01],
INDIRECT("rec.uni[natureza]"),"taxa.extra",
INDIRECT("rec.uni[empresa]"),S$6)</f>
        <v>0</v>
      </c>
      <c r="T32" s="216"/>
      <c r="U32" s="228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228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228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228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229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227">
        <f>COUNTIFS(
    estq[empresa], Z$6,
    estq[Data da venda / reserva], "&gt;=" &amp; $A32,
    estq[Data da venda / reserva], "&lt;"  &amp; EOMONTH($A32,0) + 1
)</f>
        <v>0</v>
      </c>
      <c r="AA32" s="228">
        <f ca="1">SUMIFS(rec.uni[2023-06-01],
INDIRECT("rec.uni[natureza]"),"pro.soluto",
INDIRECT("rec.uni[empresa]"),AA$6)</f>
        <v>0</v>
      </c>
      <c r="AB32" s="228">
        <f ca="1">SUMIFS(rec.uni[2023-06-01],
INDIRECT("rec.uni[natureza]"),"repasse.cef.obra",
INDIRECT("rec.uni[empresa]"),AB$6)</f>
        <v>0</v>
      </c>
      <c r="AC32" s="228">
        <f ca="1">SUMIFS(rec.uni[2023-06-01],
INDIRECT("rec.uni[natureza]"),"repasse.cef.terreno",
INDIRECT("rec.uni[empresa]"),AC$6)</f>
        <v>0</v>
      </c>
      <c r="AD32" s="228">
        <v>0</v>
      </c>
      <c r="AE32" s="228">
        <f ca="1">SUMIFS(rec.uni[2023-06-01],
INDIRECT("rec.uni[natureza]"),"taxa.extra",
INDIRECT("rec.uni[empresa]"),AE$6)</f>
        <v>0</v>
      </c>
      <c r="AF32" s="216"/>
      <c r="AG32" s="228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H32" s="228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I32" s="228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J32" s="228" cm="1">
        <f t="array" ref="AJ3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K32" s="229" cm="1">
        <f t="array" ref="AK3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L32" s="227">
        <f>COUNTIFS(
    estq[empresa], AL$6,
    estq[Data da venda / reserva], "&gt;=" &amp; $A32,
    estq[Data da venda / reserva], "&lt;"  &amp; EOMONTH($A32,0) + 1
)</f>
        <v>0</v>
      </c>
      <c r="AM32" s="228">
        <f ca="1">SUMIFS(rec.uni[2023-06-01],
INDIRECT("rec.uni[natureza]"),"pro.soluto",
INDIRECT("rec.uni[empresa]"),AM$6)</f>
        <v>0</v>
      </c>
      <c r="AN32" s="228">
        <f ca="1">SUMIFS(rec.uni[2023-06-01],
INDIRECT("rec.uni[natureza]"),"repasse.cef.obra",
INDIRECT("rec.uni[empresa]"),AN$6)</f>
        <v>0</v>
      </c>
      <c r="AO32" s="228">
        <f ca="1">SUMIFS(rec.uni[2023-06-01],
INDIRECT("rec.uni[natureza]"),"repasse.cef.terreno",
INDIRECT("rec.uni[empresa]"),AO$6)</f>
        <v>0</v>
      </c>
      <c r="AP32" s="228">
        <v>0</v>
      </c>
      <c r="AQ32" s="228">
        <f ca="1">SUMIFS(rec.uni[2023-06-01],
INDIRECT("rec.uni[natureza]"),"taxa.extra",
INDIRECT("rec.uni[empresa]"),AQ$6)</f>
        <v>0</v>
      </c>
      <c r="AR32" s="216"/>
      <c r="AS32" s="228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T32" s="228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U32" s="228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V32" s="228" cm="1">
        <f t="array" ref="AV3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W32" s="229" cm="1">
        <f t="array" ref="AW3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X32" s="227">
        <f>COUNTIFS(
    estq[empresa], AX$6,
    estq[Data da venda / reserva], "&gt;=" &amp; $A32,
    estq[Data da venda / reserva], "&lt;"  &amp; EOMONTH($A32,0) + 1
)</f>
        <v>0</v>
      </c>
      <c r="AY32" s="228">
        <f ca="1">SUMIFS(rec.uni[2023-06-01],
INDIRECT("rec.uni[natureza]"),"pro.soluto",
INDIRECT("rec.uni[empresa]"),AY$6)</f>
        <v>0</v>
      </c>
      <c r="AZ32" s="216">
        <f ca="1">SUMIFS(rec.uni[2023-06-01],
INDIRECT("rec.uni[natureza]"),"parcela.fin.total.ik",
INDIRECT("rec.uni[empresa]"),AZ$6)</f>
        <v>0</v>
      </c>
      <c r="BA32" s="228">
        <f ca="1">SUMIFS(rec.uni[2023-06-01],
INDIRECT("rec.uni[natureza]"),"taxa.extra",
INDIRECT("rec.uni[empresa]"),BA$6)</f>
        <v>0</v>
      </c>
      <c r="BB32" s="216"/>
      <c r="BC32" s="228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D32" s="228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E32" s="228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F32" s="228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G32" s="229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H32" s="227">
        <f>COUNTIFS(
    estq[empresa], BH$6,
    estq[Data da venda / reserva], "&gt;=" &amp; $A32,
    estq[Data da venda / reserva], "&lt;"  &amp; EOMONTH($A32,0) + 1
)</f>
        <v>0</v>
      </c>
      <c r="BI32" s="228">
        <f ca="1">SUMIFS(rec.uni[2023-06-01],
INDIRECT("rec.uni[natureza]"),"pro.soluto",
INDIRECT("rec.uni[empresa]"),BI$6)</f>
        <v>0</v>
      </c>
      <c r="BJ32" s="228">
        <f ca="1">SUMIFS(rec.uni[2023-06-01],
INDIRECT("rec.uni[natureza]"),"repasse.cef.obra",
INDIRECT("rec.uni[empresa]"),BJ$6)</f>
        <v>0</v>
      </c>
      <c r="BK32" s="228">
        <f ca="1">SUMIFS(rec.uni[2023-06-01],
INDIRECT("rec.uni[natureza]"),"repasse.cef.terreno",
INDIRECT("rec.uni[empresa]"),BK$6)</f>
        <v>0</v>
      </c>
      <c r="BL32" s="228">
        <v>0</v>
      </c>
      <c r="BM32" s="228">
        <f ca="1">SUMIFS(rec.uni[2023-06-01],
INDIRECT("rec.uni[natureza]"),"taxa.extra",
INDIRECT("rec.uni[empresa]"),BM$6)</f>
        <v>0</v>
      </c>
      <c r="BN32" s="216"/>
      <c r="BO32" s="228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P32" s="228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Q32" s="228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R32" s="228" cm="1">
        <f t="array" ref="BR3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S32" s="229" cm="1">
        <f t="array" ref="BS3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T32" s="227">
        <f>COUNTIFS(
    estq[empresa], BT$6,
    estq[Data da venda / reserva], "&gt;=" &amp; $A32,
    estq[Data da venda / reserva], "&lt;"  &amp; EOMONTH($A32,0) + 1
)</f>
        <v>0</v>
      </c>
      <c r="BU32" s="228">
        <f ca="1">SUMIFS(rec.uni[2023-06-01],
INDIRECT("rec.uni[natureza]"),"pro.soluto",
INDIRECT("rec.uni[empresa]"),BU$6)</f>
        <v>0</v>
      </c>
      <c r="BV32" s="228">
        <f ca="1">SUMIFS(rec.uni[2023-06-01],
INDIRECT("rec.uni[natureza]"),"repasse.cef.obra",
INDIRECT("rec.uni[empresa]"),BV$6)</f>
        <v>0</v>
      </c>
      <c r="BW32" s="228">
        <f ca="1">SUMIFS(rec.uni[2023-06-01],
INDIRECT("rec.uni[natureza]"),"repasse.cef.terreno",
INDIRECT("rec.uni[empresa]"),BW$6)</f>
        <v>0</v>
      </c>
      <c r="BX32" s="228">
        <v>0</v>
      </c>
      <c r="BY32" s="228">
        <f ca="1">SUMIFS(rec.uni[2023-06-01],
INDIRECT("rec.uni[natureza]"),"taxa.extra",
INDIRECT("rec.uni[empresa]"),BY$6)</f>
        <v>0</v>
      </c>
      <c r="BZ32" s="216"/>
      <c r="CA32" s="228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B32" s="228" cm="1">
        <f t="array" ref="CB3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C32" s="228" cm="1">
        <f t="array" ref="CC3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D32" s="228" cm="1">
        <f t="array" ref="CD3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E32" s="230" cm="1">
        <f t="array" ref="CE3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83" x14ac:dyDescent="0.25">
      <c r="A33" s="226">
        <v>45108</v>
      </c>
      <c r="B33" s="227">
        <f>COUNTIFS(
    estq[empresa], B$6,
    estq[Data da venda / reserva], "&gt;=" &amp; $A33,
    estq[Data da venda / reserva], "&lt;"  &amp; EOMONTH($A33,0) + 1
)</f>
        <v>0</v>
      </c>
      <c r="C33" s="228">
        <f ca="1">SUMIFS(rec.uni[2023-07-01],
INDIRECT("rec.uni[natureza]"),"pro.soluto",
INDIRECT("rec.uni[empresa]"),C$6)</f>
        <v>0</v>
      </c>
      <c r="D33" s="228">
        <f ca="1">SUMIFS(rec.uni[2023-07-01],
INDIRECT("rec.uni[natureza]"),"repasse.cef.obra",
INDIRECT("rec.uni[empresa]"),D$6)</f>
        <v>0</v>
      </c>
      <c r="E33" s="228">
        <f ca="1">SUMIFS(rec.uni[2023-07-01],
INDIRECT("rec.uni[natureza]"),"repasse.cef.terreno",
INDIRECT("rec.uni[empresa]"),E$6)</f>
        <v>0</v>
      </c>
      <c r="F33" s="228">
        <v>0</v>
      </c>
      <c r="G33" s="228">
        <f ca="1">SUMIFS(rec.uni[2023-07-01],
INDIRECT("rec.uni[natureza]"),"taxa.extra",
INDIRECT("rec.uni[empresa]"),G$6)</f>
        <v>0</v>
      </c>
      <c r="H33" s="216"/>
      <c r="I33" s="228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228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228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228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229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227">
        <f>COUNTIFS(
    estq[empresa], N$6,
    estq[Data da venda / reserva], "&gt;=" &amp; $A33,
    estq[Data da venda / reserva], "&lt;"  &amp; EOMONTH($A33,0) + 1
)</f>
        <v>0</v>
      </c>
      <c r="O33" s="228">
        <f ca="1">SUMIFS(rec.uni[2023-07-01],
INDIRECT("rec.uni[natureza]"),"pro.soluto",
INDIRECT("rec.uni[empresa]"),O$6)</f>
        <v>0</v>
      </c>
      <c r="P33" s="228">
        <f ca="1">SUMIFS(rec.uni[2023-07-01],
INDIRECT("rec.uni[natureza]"),"repasse.cef.obra",
INDIRECT("rec.uni[empresa]"),P$6)</f>
        <v>0</v>
      </c>
      <c r="Q33" s="228">
        <f ca="1">SUMIFS(rec.uni[2023-07-01],
INDIRECT("rec.uni[natureza]"),"repasse.cef.terreno",
INDIRECT("rec.uni[empresa]"),Q$6)</f>
        <v>0</v>
      </c>
      <c r="R33" s="228">
        <v>0</v>
      </c>
      <c r="S33" s="228">
        <f ca="1">SUMIFS(rec.uni[2023-07-01],
INDIRECT("rec.uni[natureza]"),"taxa.extra",
INDIRECT("rec.uni[empresa]"),S$6)</f>
        <v>0</v>
      </c>
      <c r="T33" s="216"/>
      <c r="U33" s="228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228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228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228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229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227">
        <f>COUNTIFS(
    estq[empresa], Z$6,
    estq[Data da venda / reserva], "&gt;=" &amp; $A33,
    estq[Data da venda / reserva], "&lt;"  &amp; EOMONTH($A33,0) + 1
)</f>
        <v>0</v>
      </c>
      <c r="AA33" s="228">
        <f ca="1">SUMIFS(rec.uni[2023-07-01],
INDIRECT("rec.uni[natureza]"),"pro.soluto",
INDIRECT("rec.uni[empresa]"),AA$6)</f>
        <v>0</v>
      </c>
      <c r="AB33" s="228">
        <f ca="1">SUMIFS(rec.uni[2023-07-01],
INDIRECT("rec.uni[natureza]"),"repasse.cef.obra",
INDIRECT("rec.uni[empresa]"),AB$6)</f>
        <v>0</v>
      </c>
      <c r="AC33" s="228">
        <f ca="1">SUMIFS(rec.uni[2023-07-01],
INDIRECT("rec.uni[natureza]"),"repasse.cef.terreno",
INDIRECT("rec.uni[empresa]"),AC$6)</f>
        <v>0</v>
      </c>
      <c r="AD33" s="228">
        <v>0</v>
      </c>
      <c r="AE33" s="228">
        <f ca="1">SUMIFS(rec.uni[2023-07-01],
INDIRECT("rec.uni[natureza]"),"taxa.extra",
INDIRECT("rec.uni[empresa]"),AE$6)</f>
        <v>0</v>
      </c>
      <c r="AF33" s="216"/>
      <c r="AG33" s="228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H33" s="228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I33" s="228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J33" s="228" cm="1">
        <f t="array" ref="AJ3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K33" s="229" cm="1">
        <f t="array" ref="AK3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L33" s="227">
        <f>COUNTIFS(
    estq[empresa], AL$6,
    estq[Data da venda / reserva], "&gt;=" &amp; $A33,
    estq[Data da venda / reserva], "&lt;"  &amp; EOMONTH($A33,0) + 1
)</f>
        <v>0</v>
      </c>
      <c r="AM33" s="228">
        <f ca="1">SUMIFS(rec.uni[2023-07-01],
INDIRECT("rec.uni[natureza]"),"pro.soluto",
INDIRECT("rec.uni[empresa]"),AM$6)</f>
        <v>0</v>
      </c>
      <c r="AN33" s="228">
        <f ca="1">SUMIFS(rec.uni[2023-07-01],
INDIRECT("rec.uni[natureza]"),"repasse.cef.obra",
INDIRECT("rec.uni[empresa]"),AN$6)</f>
        <v>0</v>
      </c>
      <c r="AO33" s="228">
        <f ca="1">SUMIFS(rec.uni[2023-07-01],
INDIRECT("rec.uni[natureza]"),"repasse.cef.terreno",
INDIRECT("rec.uni[empresa]"),AO$6)</f>
        <v>0</v>
      </c>
      <c r="AP33" s="228">
        <v>0</v>
      </c>
      <c r="AQ33" s="228">
        <f ca="1">SUMIFS(rec.uni[2023-07-01],
INDIRECT("rec.uni[natureza]"),"taxa.extra",
INDIRECT("rec.uni[empresa]"),AQ$6)</f>
        <v>0</v>
      </c>
      <c r="AR33" s="216"/>
      <c r="AS33" s="228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T33" s="228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U33" s="228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V33" s="228" cm="1">
        <f t="array" ref="AV3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W33" s="229" cm="1">
        <f t="array" ref="AW3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X33" s="227">
        <f>COUNTIFS(
    estq[empresa], AX$6,
    estq[Data da venda / reserva], "&gt;=" &amp; $A33,
    estq[Data da venda / reserva], "&lt;"  &amp; EOMONTH($A33,0) + 1
)</f>
        <v>0</v>
      </c>
      <c r="AY33" s="228">
        <f ca="1">SUMIFS(rec.uni[2023-07-01],
INDIRECT("rec.uni[natureza]"),"pro.soluto",
INDIRECT("rec.uni[empresa]"),AY$6)</f>
        <v>0</v>
      </c>
      <c r="AZ33" s="216">
        <f ca="1">SUMIFS(rec.uni[2023-07-01],
INDIRECT("rec.uni[natureza]"),"parcela.fin.total.ik",
INDIRECT("rec.uni[empresa]"),AZ$6)</f>
        <v>0</v>
      </c>
      <c r="BA33" s="228">
        <f ca="1">SUMIFS(rec.uni[2023-07-01],
INDIRECT("rec.uni[natureza]"),"taxa.extra",
INDIRECT("rec.uni[empresa]"),BA$6)</f>
        <v>0</v>
      </c>
      <c r="BB33" s="216"/>
      <c r="BC33" s="228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D33" s="228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E33" s="228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F33" s="228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G33" s="229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H33" s="227">
        <f>COUNTIFS(
    estq[empresa], BH$6,
    estq[Data da venda / reserva], "&gt;=" &amp; $A33,
    estq[Data da venda / reserva], "&lt;"  &amp; EOMONTH($A33,0) + 1
)</f>
        <v>0</v>
      </c>
      <c r="BI33" s="228">
        <f ca="1">SUMIFS(rec.uni[2023-07-01],
INDIRECT("rec.uni[natureza]"),"pro.soluto",
INDIRECT("rec.uni[empresa]"),BI$6)</f>
        <v>0</v>
      </c>
      <c r="BJ33" s="228">
        <f ca="1">SUMIFS(rec.uni[2023-07-01],
INDIRECT("rec.uni[natureza]"),"repasse.cef.obra",
INDIRECT("rec.uni[empresa]"),BJ$6)</f>
        <v>0</v>
      </c>
      <c r="BK33" s="228">
        <f ca="1">SUMIFS(rec.uni[2023-07-01],
INDIRECT("rec.uni[natureza]"),"repasse.cef.terreno",
INDIRECT("rec.uni[empresa]"),BK$6)</f>
        <v>0</v>
      </c>
      <c r="BL33" s="228">
        <v>0</v>
      </c>
      <c r="BM33" s="228">
        <f ca="1">SUMIFS(rec.uni[2023-07-01],
INDIRECT("rec.uni[natureza]"),"taxa.extra",
INDIRECT("rec.uni[empresa]"),BM$6)</f>
        <v>0</v>
      </c>
      <c r="BN33" s="216"/>
      <c r="BO33" s="228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P33" s="228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Q33" s="228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R33" s="228" cm="1">
        <f t="array" ref="BR3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S33" s="229" cm="1">
        <f t="array" ref="BS3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T33" s="227">
        <f>COUNTIFS(
    estq[empresa], BT$6,
    estq[Data da venda / reserva], "&gt;=" &amp; $A33,
    estq[Data da venda / reserva], "&lt;"  &amp; EOMONTH($A33,0) + 1
)</f>
        <v>0</v>
      </c>
      <c r="BU33" s="228">
        <f ca="1">SUMIFS(rec.uni[2023-07-01],
INDIRECT("rec.uni[natureza]"),"pro.soluto",
INDIRECT("rec.uni[empresa]"),BU$6)</f>
        <v>0</v>
      </c>
      <c r="BV33" s="228">
        <f ca="1">SUMIFS(rec.uni[2023-07-01],
INDIRECT("rec.uni[natureza]"),"repasse.cef.obra",
INDIRECT("rec.uni[empresa]"),BV$6)</f>
        <v>0</v>
      </c>
      <c r="BW33" s="228">
        <f ca="1">SUMIFS(rec.uni[2023-07-01],
INDIRECT("rec.uni[natureza]"),"repasse.cef.terreno",
INDIRECT("rec.uni[empresa]"),BW$6)</f>
        <v>0</v>
      </c>
      <c r="BX33" s="228">
        <v>0</v>
      </c>
      <c r="BY33" s="228">
        <f ca="1">SUMIFS(rec.uni[2023-07-01],
INDIRECT("rec.uni[natureza]"),"taxa.extra",
INDIRECT("rec.uni[empresa]"),BY$6)</f>
        <v>0</v>
      </c>
      <c r="BZ33" s="216"/>
      <c r="CA33" s="228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B33" s="228" cm="1">
        <f t="array" ref="CB3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C33" s="228" cm="1">
        <f t="array" ref="CC3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D33" s="228" cm="1">
        <f t="array" ref="CD3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E33" s="230" cm="1">
        <f t="array" ref="CE3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83" x14ac:dyDescent="0.25">
      <c r="A34" s="226">
        <v>45139</v>
      </c>
      <c r="B34" s="227">
        <f>COUNTIFS(
    estq[empresa], B$6,
    estq[Data da venda / reserva], "&gt;=" &amp; $A34,
    estq[Data da venda / reserva], "&lt;"  &amp; EOMONTH($A34,0) + 1
)</f>
        <v>0</v>
      </c>
      <c r="C34" s="228">
        <f ca="1">SUMIFS(rec.uni[2023-08-01],
INDIRECT("rec.uni[natureza]"),"pro.soluto",
INDIRECT("rec.uni[empresa]"),C$6)</f>
        <v>0</v>
      </c>
      <c r="D34" s="228">
        <f ca="1">SUMIFS(rec.uni[2023-08-01],
INDIRECT("rec.uni[natureza]"),"repasse.cef.obra",
INDIRECT("rec.uni[empresa]"),D$6)</f>
        <v>0</v>
      </c>
      <c r="E34" s="228">
        <f ca="1">SUMIFS(rec.uni[2023-08-01],
INDIRECT("rec.uni[natureza]"),"repasse.cef.terreno",
INDIRECT("rec.uni[empresa]"),E$6)</f>
        <v>0</v>
      </c>
      <c r="F34" s="228">
        <v>0</v>
      </c>
      <c r="G34" s="228">
        <f ca="1">SUMIFS(rec.uni[2023-08-01],
INDIRECT("rec.uni[natureza]"),"taxa.extra",
INDIRECT("rec.uni[empresa]"),G$6)</f>
        <v>0</v>
      </c>
      <c r="H34" s="216"/>
      <c r="I34" s="228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228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228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228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229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227">
        <f>COUNTIFS(
    estq[empresa], N$6,
    estq[Data da venda / reserva], "&gt;=" &amp; $A34,
    estq[Data da venda / reserva], "&lt;"  &amp; EOMONTH($A34,0) + 1
)</f>
        <v>0</v>
      </c>
      <c r="O34" s="228">
        <f ca="1">SUMIFS(rec.uni[2023-08-01],
INDIRECT("rec.uni[natureza]"),"pro.soluto",
INDIRECT("rec.uni[empresa]"),O$6)</f>
        <v>0</v>
      </c>
      <c r="P34" s="228">
        <f ca="1">SUMIFS(rec.uni[2023-08-01],
INDIRECT("rec.uni[natureza]"),"repasse.cef.obra",
INDIRECT("rec.uni[empresa]"),P$6)</f>
        <v>0</v>
      </c>
      <c r="Q34" s="228">
        <f ca="1">SUMIFS(rec.uni[2023-08-01],
INDIRECT("rec.uni[natureza]"),"repasse.cef.terreno",
INDIRECT("rec.uni[empresa]"),Q$6)</f>
        <v>0</v>
      </c>
      <c r="R34" s="228">
        <v>327575.88</v>
      </c>
      <c r="S34" s="228">
        <f ca="1">SUMIFS(rec.uni[2023-08-01],
INDIRECT("rec.uni[natureza]"),"taxa.extra",
INDIRECT("rec.uni[empresa]"),S$6)</f>
        <v>0</v>
      </c>
      <c r="T34" s="216"/>
      <c r="U34" s="228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228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228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228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229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227">
        <f>COUNTIFS(
    estq[empresa], Z$6,
    estq[Data da venda / reserva], "&gt;=" &amp; $A34,
    estq[Data da venda / reserva], "&lt;"  &amp; EOMONTH($A34,0) + 1
)</f>
        <v>0</v>
      </c>
      <c r="AA34" s="228">
        <f ca="1">SUMIFS(rec.uni[2023-08-01],
INDIRECT("rec.uni[natureza]"),"pro.soluto",
INDIRECT("rec.uni[empresa]"),AA$6)</f>
        <v>0</v>
      </c>
      <c r="AB34" s="228">
        <f ca="1">SUMIFS(rec.uni[2023-08-01],
INDIRECT("rec.uni[natureza]"),"repasse.cef.obra",
INDIRECT("rec.uni[empresa]"),AB$6)</f>
        <v>0</v>
      </c>
      <c r="AC34" s="228">
        <f ca="1">SUMIFS(rec.uni[2023-08-01],
INDIRECT("rec.uni[natureza]"),"repasse.cef.terreno",
INDIRECT("rec.uni[empresa]"),AC$6)</f>
        <v>0</v>
      </c>
      <c r="AD34" s="228">
        <v>0</v>
      </c>
      <c r="AE34" s="228">
        <f ca="1">SUMIFS(rec.uni[2023-08-01],
INDIRECT("rec.uni[natureza]"),"taxa.extra",
INDIRECT("rec.uni[empresa]"),AE$6)</f>
        <v>0</v>
      </c>
      <c r="AF34" s="216"/>
      <c r="AG34" s="228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H34" s="228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I34" s="228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J34" s="228" cm="1">
        <f t="array" ref="AJ3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K34" s="229" cm="1">
        <f t="array" ref="AK3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L34" s="227">
        <f>COUNTIFS(
    estq[empresa], AL$6,
    estq[Data da venda / reserva], "&gt;=" &amp; $A34,
    estq[Data da venda / reserva], "&lt;"  &amp; EOMONTH($A34,0) + 1
)</f>
        <v>0</v>
      </c>
      <c r="AM34" s="228">
        <f ca="1">SUMIFS(rec.uni[2023-08-01],
INDIRECT("rec.uni[natureza]"),"pro.soluto",
INDIRECT("rec.uni[empresa]"),AM$6)</f>
        <v>0</v>
      </c>
      <c r="AN34" s="228">
        <f ca="1">SUMIFS(rec.uni[2023-08-01],
INDIRECT("rec.uni[natureza]"),"repasse.cef.obra",
INDIRECT("rec.uni[empresa]"),AN$6)</f>
        <v>0</v>
      </c>
      <c r="AO34" s="228">
        <f ca="1">SUMIFS(rec.uni[2023-08-01],
INDIRECT("rec.uni[natureza]"),"repasse.cef.terreno",
INDIRECT("rec.uni[empresa]"),AO$6)</f>
        <v>0</v>
      </c>
      <c r="AP34" s="228">
        <v>0</v>
      </c>
      <c r="AQ34" s="228">
        <f ca="1">SUMIFS(rec.uni[2023-08-01],
INDIRECT("rec.uni[natureza]"),"taxa.extra",
INDIRECT("rec.uni[empresa]"),AQ$6)</f>
        <v>0</v>
      </c>
      <c r="AR34" s="216"/>
      <c r="AS34" s="228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T34" s="228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U34" s="228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V34" s="228" cm="1">
        <f t="array" ref="AV3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W34" s="229" cm="1">
        <f t="array" ref="AW3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X34" s="227">
        <f>COUNTIFS(
    estq[empresa], AX$6,
    estq[Data da venda / reserva], "&gt;=" &amp; $A34,
    estq[Data da venda / reserva], "&lt;"  &amp; EOMONTH($A34,0) + 1
)</f>
        <v>0</v>
      </c>
      <c r="AY34" s="228">
        <f ca="1">SUMIFS(rec.uni[2023-08-01],
INDIRECT("rec.uni[natureza]"),"pro.soluto",
INDIRECT("rec.uni[empresa]"),AY$6)</f>
        <v>0</v>
      </c>
      <c r="AZ34" s="216">
        <f ca="1">SUMIFS(rec.uni[2023-08-01],
INDIRECT("rec.uni[natureza]"),"parcela.fin.total.ik",
INDIRECT("rec.uni[empresa]"),AZ$6)</f>
        <v>0</v>
      </c>
      <c r="BA34" s="228">
        <f ca="1">SUMIFS(rec.uni[2023-08-01],
INDIRECT("rec.uni[natureza]"),"taxa.extra",
INDIRECT("rec.uni[empresa]"),BA$6)</f>
        <v>0</v>
      </c>
      <c r="BB34" s="216"/>
      <c r="BC34" s="228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D34" s="228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E34" s="228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F34" s="228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G34" s="229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H34" s="227">
        <f>COUNTIFS(
    estq[empresa], BH$6,
    estq[Data da venda / reserva], "&gt;=" &amp; $A34,
    estq[Data da venda / reserva], "&lt;"  &amp; EOMONTH($A34,0) + 1
)</f>
        <v>0</v>
      </c>
      <c r="BI34" s="228">
        <f ca="1">SUMIFS(rec.uni[2023-08-01],
INDIRECT("rec.uni[natureza]"),"pro.soluto",
INDIRECT("rec.uni[empresa]"),BI$6)</f>
        <v>0</v>
      </c>
      <c r="BJ34" s="228">
        <f ca="1">SUMIFS(rec.uni[2023-08-01],
INDIRECT("rec.uni[natureza]"),"repasse.cef.obra",
INDIRECT("rec.uni[empresa]"),BJ$6)</f>
        <v>0</v>
      </c>
      <c r="BK34" s="228">
        <f ca="1">SUMIFS(rec.uni[2023-08-01],
INDIRECT("rec.uni[natureza]"),"repasse.cef.terreno",
INDIRECT("rec.uni[empresa]"),BK$6)</f>
        <v>0</v>
      </c>
      <c r="BL34" s="228">
        <v>0</v>
      </c>
      <c r="BM34" s="228">
        <f ca="1">SUMIFS(rec.uni[2023-08-01],
INDIRECT("rec.uni[natureza]"),"taxa.extra",
INDIRECT("rec.uni[empresa]"),BM$6)</f>
        <v>0</v>
      </c>
      <c r="BN34" s="216"/>
      <c r="BO34" s="228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P34" s="228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Q34" s="228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R34" s="228" cm="1">
        <f t="array" ref="BR3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S34" s="229" cm="1">
        <f t="array" ref="BS3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T34" s="227">
        <f>COUNTIFS(
    estq[empresa], BT$6,
    estq[Data da venda / reserva], "&gt;=" &amp; $A34,
    estq[Data da venda / reserva], "&lt;"  &amp; EOMONTH($A34,0) + 1
)</f>
        <v>0</v>
      </c>
      <c r="BU34" s="228">
        <f ca="1">SUMIFS(rec.uni[2023-08-01],
INDIRECT("rec.uni[natureza]"),"pro.soluto",
INDIRECT("rec.uni[empresa]"),BU$6)</f>
        <v>0</v>
      </c>
      <c r="BV34" s="228">
        <f ca="1">SUMIFS(rec.uni[2023-08-01],
INDIRECT("rec.uni[natureza]"),"repasse.cef.obra",
INDIRECT("rec.uni[empresa]"),BV$6)</f>
        <v>0</v>
      </c>
      <c r="BW34" s="228">
        <f ca="1">SUMIFS(rec.uni[2023-08-01],
INDIRECT("rec.uni[natureza]"),"repasse.cef.terreno",
INDIRECT("rec.uni[empresa]"),BW$6)</f>
        <v>0</v>
      </c>
      <c r="BX34" s="228">
        <v>0</v>
      </c>
      <c r="BY34" s="228">
        <f ca="1">SUMIFS(rec.uni[2023-08-01],
INDIRECT("rec.uni[natureza]"),"taxa.extra",
INDIRECT("rec.uni[empresa]"),BY$6)</f>
        <v>0</v>
      </c>
      <c r="BZ34" s="216"/>
      <c r="CA34" s="228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B34" s="228" cm="1">
        <f t="array" ref="CB3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C34" s="228" cm="1">
        <f t="array" ref="CC3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D34" s="228" cm="1">
        <f t="array" ref="CD3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E34" s="230" cm="1">
        <f t="array" ref="CE3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83" x14ac:dyDescent="0.25">
      <c r="A35" s="226">
        <v>45170</v>
      </c>
      <c r="B35" s="227">
        <f>COUNTIFS(
    estq[empresa], B$6,
    estq[Data da venda / reserva], "&gt;=" &amp; $A35,
    estq[Data da venda / reserva], "&lt;"  &amp; EOMONTH($A35,0) + 1
)</f>
        <v>0</v>
      </c>
      <c r="C35" s="228">
        <f ca="1">SUMIFS(rec.uni[2023-09-01],
INDIRECT("rec.uni[natureza]"),"pro.soluto",
INDIRECT("rec.uni[empresa]"),C$6)</f>
        <v>0</v>
      </c>
      <c r="D35" s="228">
        <f ca="1">SUMIFS(rec.uni[2023-09-01],
INDIRECT("rec.uni[natureza]"),"repasse.cef.obra",
INDIRECT("rec.uni[empresa]"),D$6)</f>
        <v>0</v>
      </c>
      <c r="E35" s="228">
        <f ca="1">SUMIFS(rec.uni[2023-09-01],
INDIRECT("rec.uni[natureza]"),"repasse.cef.terreno",
INDIRECT("rec.uni[empresa]"),E$6)</f>
        <v>0</v>
      </c>
      <c r="F35" s="228">
        <v>0</v>
      </c>
      <c r="G35" s="228">
        <f ca="1">SUMIFS(rec.uni[2023-09-01],
INDIRECT("rec.uni[natureza]"),"taxa.extra",
INDIRECT("rec.uni[empresa]"),G$6)</f>
        <v>0</v>
      </c>
      <c r="H35" s="216"/>
      <c r="I35" s="228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228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228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228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229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227">
        <f>COUNTIFS(
    estq[empresa], N$6,
    estq[Data da venda / reserva], "&gt;=" &amp; $A35,
    estq[Data da venda / reserva], "&lt;"  &amp; EOMONTH($A35,0) + 1
)</f>
        <v>0</v>
      </c>
      <c r="O35" s="228">
        <f ca="1">SUMIFS(rec.uni[2023-09-01],
INDIRECT("rec.uni[natureza]"),"pro.soluto",
INDIRECT("rec.uni[empresa]"),O$6)</f>
        <v>0</v>
      </c>
      <c r="P35" s="228">
        <f ca="1">SUMIFS(rec.uni[2023-09-01],
INDIRECT("rec.uni[natureza]"),"repasse.cef.obra",
INDIRECT("rec.uni[empresa]"),P$6)</f>
        <v>0</v>
      </c>
      <c r="Q35" s="228">
        <f ca="1">SUMIFS(rec.uni[2023-09-01],
INDIRECT("rec.uni[natureza]"),"repasse.cef.terreno",
INDIRECT("rec.uni[empresa]"),Q$6)</f>
        <v>0</v>
      </c>
      <c r="R35" s="228">
        <v>445799.01</v>
      </c>
      <c r="S35" s="228">
        <f ca="1">SUMIFS(rec.uni[2023-09-01],
INDIRECT("rec.uni[natureza]"),"taxa.extra",
INDIRECT("rec.uni[empresa]"),S$6)</f>
        <v>0</v>
      </c>
      <c r="T35" s="216"/>
      <c r="U35" s="228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228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228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228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229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227">
        <f>COUNTIFS(
    estq[empresa], Z$6,
    estq[Data da venda / reserva], "&gt;=" &amp; $A35,
    estq[Data da venda / reserva], "&lt;"  &amp; EOMONTH($A35,0) + 1
)</f>
        <v>0</v>
      </c>
      <c r="AA35" s="228">
        <f ca="1">SUMIFS(rec.uni[2023-09-01],
INDIRECT("rec.uni[natureza]"),"pro.soluto",
INDIRECT("rec.uni[empresa]"),AA$6)</f>
        <v>0</v>
      </c>
      <c r="AB35" s="228">
        <f ca="1">SUMIFS(rec.uni[2023-09-01],
INDIRECT("rec.uni[natureza]"),"repasse.cef.obra",
INDIRECT("rec.uni[empresa]"),AB$6)</f>
        <v>0</v>
      </c>
      <c r="AC35" s="228">
        <f ca="1">SUMIFS(rec.uni[2023-09-01],
INDIRECT("rec.uni[natureza]"),"repasse.cef.terreno",
INDIRECT("rec.uni[empresa]"),AC$6)</f>
        <v>0</v>
      </c>
      <c r="AD35" s="228">
        <v>0</v>
      </c>
      <c r="AE35" s="228">
        <f ca="1">SUMIFS(rec.uni[2023-09-01],
INDIRECT("rec.uni[natureza]"),"taxa.extra",
INDIRECT("rec.uni[empresa]"),AE$6)</f>
        <v>0</v>
      </c>
      <c r="AF35" s="216"/>
      <c r="AG35" s="228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H35" s="228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I35" s="228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J35" s="228" cm="1">
        <f t="array" ref="AJ3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K35" s="229" cm="1">
        <f t="array" ref="AK3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L35" s="227">
        <f>COUNTIFS(
    estq[empresa], AL$6,
    estq[Data da venda / reserva], "&gt;=" &amp; $A35,
    estq[Data da venda / reserva], "&lt;"  &amp; EOMONTH($A35,0) + 1
)</f>
        <v>0</v>
      </c>
      <c r="AM35" s="228">
        <f ca="1">SUMIFS(rec.uni[2023-09-01],
INDIRECT("rec.uni[natureza]"),"pro.soluto",
INDIRECT("rec.uni[empresa]"),AM$6)</f>
        <v>0</v>
      </c>
      <c r="AN35" s="228">
        <f ca="1">SUMIFS(rec.uni[2023-09-01],
INDIRECT("rec.uni[natureza]"),"repasse.cef.obra",
INDIRECT("rec.uni[empresa]"),AN$6)</f>
        <v>0</v>
      </c>
      <c r="AO35" s="228">
        <f ca="1">SUMIFS(rec.uni[2023-09-01],
INDIRECT("rec.uni[natureza]"),"repasse.cef.terreno",
INDIRECT("rec.uni[empresa]"),AO$6)</f>
        <v>0</v>
      </c>
      <c r="AP35" s="228">
        <v>0</v>
      </c>
      <c r="AQ35" s="228">
        <f ca="1">SUMIFS(rec.uni[2023-09-01],
INDIRECT("rec.uni[natureza]"),"taxa.extra",
INDIRECT("rec.uni[empresa]"),AQ$6)</f>
        <v>0</v>
      </c>
      <c r="AR35" s="216"/>
      <c r="AS35" s="228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T35" s="228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U35" s="228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V35" s="228" cm="1">
        <f t="array" ref="AV3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W35" s="229" cm="1">
        <f t="array" ref="AW3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X35" s="227">
        <f>COUNTIFS(
    estq[empresa], AX$6,
    estq[Data da venda / reserva], "&gt;=" &amp; $A35,
    estq[Data da venda / reserva], "&lt;"  &amp; EOMONTH($A35,0) + 1
)</f>
        <v>0</v>
      </c>
      <c r="AY35" s="228">
        <f ca="1">SUMIFS(rec.uni[2023-09-01],
INDIRECT("rec.uni[natureza]"),"pro.soluto",
INDIRECT("rec.uni[empresa]"),AY$6)</f>
        <v>0</v>
      </c>
      <c r="AZ35" s="216">
        <f ca="1">SUMIFS(rec.uni[2023-09-01],
INDIRECT("rec.uni[natureza]"),"parcela.fin.total.ik",
INDIRECT("rec.uni[empresa]"),AZ$6)</f>
        <v>0</v>
      </c>
      <c r="BA35" s="228">
        <f ca="1">SUMIFS(rec.uni[2023-09-01],
INDIRECT("rec.uni[natureza]"),"taxa.extra",
INDIRECT("rec.uni[empresa]"),BA$6)</f>
        <v>0</v>
      </c>
      <c r="BB35" s="216"/>
      <c r="BC35" s="228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D35" s="228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E35" s="228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F35" s="228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G35" s="229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H35" s="227">
        <f>COUNTIFS(
    estq[empresa], BH$6,
    estq[Data da venda / reserva], "&gt;=" &amp; $A35,
    estq[Data da venda / reserva], "&lt;"  &amp; EOMONTH($A35,0) + 1
)</f>
        <v>0</v>
      </c>
      <c r="BI35" s="228">
        <f ca="1">SUMIFS(rec.uni[2023-09-01],
INDIRECT("rec.uni[natureza]"),"pro.soluto",
INDIRECT("rec.uni[empresa]"),BI$6)</f>
        <v>0</v>
      </c>
      <c r="BJ35" s="228">
        <f ca="1">SUMIFS(rec.uni[2023-09-01],
INDIRECT("rec.uni[natureza]"),"repasse.cef.obra",
INDIRECT("rec.uni[empresa]"),BJ$6)</f>
        <v>0</v>
      </c>
      <c r="BK35" s="228">
        <f ca="1">SUMIFS(rec.uni[2023-09-01],
INDIRECT("rec.uni[natureza]"),"repasse.cef.terreno",
INDIRECT("rec.uni[empresa]"),BK$6)</f>
        <v>0</v>
      </c>
      <c r="BL35" s="228">
        <v>0</v>
      </c>
      <c r="BM35" s="228">
        <f ca="1">SUMIFS(rec.uni[2023-09-01],
INDIRECT("rec.uni[natureza]"),"taxa.extra",
INDIRECT("rec.uni[empresa]"),BM$6)</f>
        <v>0</v>
      </c>
      <c r="BN35" s="216"/>
      <c r="BO35" s="228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P35" s="228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Q35" s="228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R35" s="228" cm="1">
        <f t="array" ref="BR3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S35" s="229" cm="1">
        <f t="array" ref="BS3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T35" s="227">
        <f>COUNTIFS(
    estq[empresa], BT$6,
    estq[Data da venda / reserva], "&gt;=" &amp; $A35,
    estq[Data da venda / reserva], "&lt;"  &amp; EOMONTH($A35,0) + 1
)</f>
        <v>0</v>
      </c>
      <c r="BU35" s="228">
        <f ca="1">SUMIFS(rec.uni[2023-09-01],
INDIRECT("rec.uni[natureza]"),"pro.soluto",
INDIRECT("rec.uni[empresa]"),BU$6)</f>
        <v>0</v>
      </c>
      <c r="BV35" s="228">
        <f ca="1">SUMIFS(rec.uni[2023-09-01],
INDIRECT("rec.uni[natureza]"),"repasse.cef.obra",
INDIRECT("rec.uni[empresa]"),BV$6)</f>
        <v>0</v>
      </c>
      <c r="BW35" s="228">
        <f ca="1">SUMIFS(rec.uni[2023-09-01],
INDIRECT("rec.uni[natureza]"),"repasse.cef.terreno",
INDIRECT("rec.uni[empresa]"),BW$6)</f>
        <v>0</v>
      </c>
      <c r="BX35" s="228">
        <v>0</v>
      </c>
      <c r="BY35" s="228">
        <f ca="1">SUMIFS(rec.uni[2023-09-01],
INDIRECT("rec.uni[natureza]"),"taxa.extra",
INDIRECT("rec.uni[empresa]"),BY$6)</f>
        <v>0</v>
      </c>
      <c r="BZ35" s="216"/>
      <c r="CA35" s="228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B35" s="228" cm="1">
        <f t="array" ref="CB3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C35" s="228" cm="1">
        <f t="array" ref="CC3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D35" s="228" cm="1">
        <f t="array" ref="CD3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E35" s="230" cm="1">
        <f t="array" ref="CE3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83" x14ac:dyDescent="0.25">
      <c r="A36" s="226">
        <v>45200</v>
      </c>
      <c r="B36" s="227">
        <f>COUNTIFS(
    estq[empresa], B$6,
    estq[Data da venda / reserva], "&gt;=" &amp; $A36,
    estq[Data da venda / reserva], "&lt;"  &amp; EOMONTH($A36,0) + 1
)</f>
        <v>0</v>
      </c>
      <c r="C36" s="228">
        <f ca="1">SUMIFS(rec.uni[2023-10-01],
INDIRECT("rec.uni[natureza]"),"pro.soluto",
INDIRECT("rec.uni[empresa]"),C$6)</f>
        <v>0</v>
      </c>
      <c r="D36" s="228">
        <f ca="1">SUMIFS(rec.uni[2023-10-01],
INDIRECT("rec.uni[natureza]"),"repasse.cef.obra",
INDIRECT("rec.uni[empresa]"),D$6)</f>
        <v>0</v>
      </c>
      <c r="E36" s="228">
        <f ca="1">SUMIFS(rec.uni[2023-10-01],
INDIRECT("rec.uni[natureza]"),"repasse.cef.terreno",
INDIRECT("rec.uni[empresa]"),E$6)</f>
        <v>0</v>
      </c>
      <c r="F36" s="228">
        <v>0</v>
      </c>
      <c r="G36" s="228">
        <f ca="1">SUMIFS(rec.uni[2023-10-01],
INDIRECT("rec.uni[natureza]"),"taxa.extra",
INDIRECT("rec.uni[empresa]"),G$6)</f>
        <v>0</v>
      </c>
      <c r="H36" s="216"/>
      <c r="I36" s="228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228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228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228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229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227">
        <f>COUNTIFS(
    estq[empresa], N$6,
    estq[Data da venda / reserva], "&gt;=" &amp; $A36,
    estq[Data da venda / reserva], "&lt;"  &amp; EOMONTH($A36,0) + 1
)</f>
        <v>0</v>
      </c>
      <c r="O36" s="228">
        <f ca="1">SUMIFS(rec.uni[2023-10-01],
INDIRECT("rec.uni[natureza]"),"pro.soluto",
INDIRECT("rec.uni[empresa]"),O$6)</f>
        <v>0</v>
      </c>
      <c r="P36" s="228">
        <f ca="1">SUMIFS(rec.uni[2023-10-01],
INDIRECT("rec.uni[natureza]"),"repasse.cef.obra",
INDIRECT("rec.uni[empresa]"),P$6)</f>
        <v>0</v>
      </c>
      <c r="Q36" s="228">
        <f ca="1">SUMIFS(rec.uni[2023-10-01],
INDIRECT("rec.uni[natureza]"),"repasse.cef.terreno",
INDIRECT("rec.uni[empresa]"),Q$6)</f>
        <v>0</v>
      </c>
      <c r="R36" s="228">
        <v>0</v>
      </c>
      <c r="S36" s="228">
        <f ca="1">SUMIFS(rec.uni[2023-10-01],
INDIRECT("rec.uni[natureza]"),"taxa.extra",
INDIRECT("rec.uni[empresa]"),S$6)</f>
        <v>0</v>
      </c>
      <c r="T36" s="216"/>
      <c r="U36" s="228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228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228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228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229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227">
        <f>COUNTIFS(
    estq[empresa], Z$6,
    estq[Data da venda / reserva], "&gt;=" &amp; $A36,
    estq[Data da venda / reserva], "&lt;"  &amp; EOMONTH($A36,0) + 1
)</f>
        <v>0</v>
      </c>
      <c r="AA36" s="228">
        <f ca="1">SUMIFS(rec.uni[2023-10-01],
INDIRECT("rec.uni[natureza]"),"pro.soluto",
INDIRECT("rec.uni[empresa]"),AA$6)</f>
        <v>0</v>
      </c>
      <c r="AB36" s="228">
        <f ca="1">SUMIFS(rec.uni[2023-10-01],
INDIRECT("rec.uni[natureza]"),"repasse.cef.obra",
INDIRECT("rec.uni[empresa]"),AB$6)</f>
        <v>0</v>
      </c>
      <c r="AC36" s="228">
        <f ca="1">SUMIFS(rec.uni[2023-10-01],
INDIRECT("rec.uni[natureza]"),"repasse.cef.terreno",
INDIRECT("rec.uni[empresa]"),AC$6)</f>
        <v>0</v>
      </c>
      <c r="AD36" s="228">
        <v>0</v>
      </c>
      <c r="AE36" s="228">
        <f ca="1">SUMIFS(rec.uni[2023-10-01],
INDIRECT("rec.uni[natureza]"),"taxa.extra",
INDIRECT("rec.uni[empresa]"),AE$6)</f>
        <v>0</v>
      </c>
      <c r="AF36" s="216"/>
      <c r="AG36" s="228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H36" s="228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I36" s="228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J36" s="228" cm="1">
        <f t="array" ref="AJ3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K36" s="229" cm="1">
        <f t="array" ref="AK3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L36" s="227">
        <f>COUNTIFS(
    estq[empresa], AL$6,
    estq[Data da venda / reserva], "&gt;=" &amp; $A36,
    estq[Data da venda / reserva], "&lt;"  &amp; EOMONTH($A36,0) + 1
)</f>
        <v>0</v>
      </c>
      <c r="AM36" s="228">
        <f ca="1">SUMIFS(rec.uni[2023-10-01],
INDIRECT("rec.uni[natureza]"),"pro.soluto",
INDIRECT("rec.uni[empresa]"),AM$6)</f>
        <v>0</v>
      </c>
      <c r="AN36" s="228">
        <f ca="1">SUMIFS(rec.uni[2023-10-01],
INDIRECT("rec.uni[natureza]"),"repasse.cef.obra",
INDIRECT("rec.uni[empresa]"),AN$6)</f>
        <v>0</v>
      </c>
      <c r="AO36" s="228">
        <f ca="1">SUMIFS(rec.uni[2023-10-01],
INDIRECT("rec.uni[natureza]"),"repasse.cef.terreno",
INDIRECT("rec.uni[empresa]"),AO$6)</f>
        <v>0</v>
      </c>
      <c r="AP36" s="228">
        <v>0</v>
      </c>
      <c r="AQ36" s="228">
        <f ca="1">SUMIFS(rec.uni[2023-10-01],
INDIRECT("rec.uni[natureza]"),"taxa.extra",
INDIRECT("rec.uni[empresa]"),AQ$6)</f>
        <v>0</v>
      </c>
      <c r="AR36" s="216"/>
      <c r="AS36" s="228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T36" s="228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U36" s="228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V36" s="228" cm="1">
        <f t="array" ref="AV3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W36" s="229" cm="1">
        <f t="array" ref="AW3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X36" s="227">
        <f>COUNTIFS(
    estq[empresa], AX$6,
    estq[Data da venda / reserva], "&gt;=" &amp; $A36,
    estq[Data da venda / reserva], "&lt;"  &amp; EOMONTH($A36,0) + 1
)</f>
        <v>0</v>
      </c>
      <c r="AY36" s="228">
        <f ca="1">SUMIFS(rec.uni[2023-10-01],
INDIRECT("rec.uni[natureza]"),"pro.soluto",
INDIRECT("rec.uni[empresa]"),AY$6)</f>
        <v>0</v>
      </c>
      <c r="AZ36" s="216">
        <f ca="1">SUMIFS(rec.uni[2023-10-01],
INDIRECT("rec.uni[natureza]"),"parcela.fin.total.ik",
INDIRECT("rec.uni[empresa]"),AZ$6)</f>
        <v>0</v>
      </c>
      <c r="BA36" s="228">
        <f ca="1">SUMIFS(rec.uni[2023-10-01],
INDIRECT("rec.uni[natureza]"),"taxa.extra",
INDIRECT("rec.uni[empresa]"),BA$6)</f>
        <v>0</v>
      </c>
      <c r="BB36" s="216"/>
      <c r="BC36" s="228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D36" s="228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E36" s="228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F36" s="228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G36" s="229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H36" s="227">
        <f>COUNTIFS(
    estq[empresa], BH$6,
    estq[Data da venda / reserva], "&gt;=" &amp; $A36,
    estq[Data da venda / reserva], "&lt;"  &amp; EOMONTH($A36,0) + 1
)</f>
        <v>0</v>
      </c>
      <c r="BI36" s="228">
        <f ca="1">SUMIFS(rec.uni[2023-10-01],
INDIRECT("rec.uni[natureza]"),"pro.soluto",
INDIRECT("rec.uni[empresa]"),BI$6)</f>
        <v>0</v>
      </c>
      <c r="BJ36" s="228">
        <f ca="1">SUMIFS(rec.uni[2023-10-01],
INDIRECT("rec.uni[natureza]"),"repasse.cef.obra",
INDIRECT("rec.uni[empresa]"),BJ$6)</f>
        <v>0</v>
      </c>
      <c r="BK36" s="228">
        <f ca="1">SUMIFS(rec.uni[2023-10-01],
INDIRECT("rec.uni[natureza]"),"repasse.cef.terreno",
INDIRECT("rec.uni[empresa]"),BK$6)</f>
        <v>0</v>
      </c>
      <c r="BL36" s="228">
        <v>0</v>
      </c>
      <c r="BM36" s="228">
        <f ca="1">SUMIFS(rec.uni[2023-10-01],
INDIRECT("rec.uni[natureza]"),"taxa.extra",
INDIRECT("rec.uni[empresa]"),BM$6)</f>
        <v>0</v>
      </c>
      <c r="BN36" s="216"/>
      <c r="BO36" s="228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P36" s="228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Q36" s="228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R36" s="228" cm="1">
        <f t="array" ref="BR3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S36" s="229" cm="1">
        <f t="array" ref="BS3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T36" s="227">
        <f>COUNTIFS(
    estq[empresa], BT$6,
    estq[Data da venda / reserva], "&gt;=" &amp; $A36,
    estq[Data da venda / reserva], "&lt;"  &amp; EOMONTH($A36,0) + 1
)</f>
        <v>0</v>
      </c>
      <c r="BU36" s="228">
        <f ca="1">SUMIFS(rec.uni[2023-10-01],
INDIRECT("rec.uni[natureza]"),"pro.soluto",
INDIRECT("rec.uni[empresa]"),BU$6)</f>
        <v>0</v>
      </c>
      <c r="BV36" s="228">
        <f ca="1">SUMIFS(rec.uni[2023-10-01],
INDIRECT("rec.uni[natureza]"),"repasse.cef.obra",
INDIRECT("rec.uni[empresa]"),BV$6)</f>
        <v>0</v>
      </c>
      <c r="BW36" s="228">
        <f ca="1">SUMIFS(rec.uni[2023-10-01],
INDIRECT("rec.uni[natureza]"),"repasse.cef.terreno",
INDIRECT("rec.uni[empresa]"),BW$6)</f>
        <v>0</v>
      </c>
      <c r="BX36" s="228">
        <v>0</v>
      </c>
      <c r="BY36" s="228">
        <f ca="1">SUMIFS(rec.uni[2023-10-01],
INDIRECT("rec.uni[natureza]"),"taxa.extra",
INDIRECT("rec.uni[empresa]"),BY$6)</f>
        <v>0</v>
      </c>
      <c r="BZ36" s="216"/>
      <c r="CA36" s="228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B36" s="228" cm="1">
        <f t="array" ref="CB3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C36" s="228" cm="1">
        <f t="array" ref="CC3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D36" s="228" cm="1">
        <f t="array" ref="CD3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E36" s="230" cm="1">
        <f t="array" ref="CE3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83" x14ac:dyDescent="0.25">
      <c r="A37" s="226">
        <v>45231</v>
      </c>
      <c r="B37" s="227">
        <f>COUNTIFS(
    estq[empresa], B$6,
    estq[Data da venda / reserva], "&gt;=" &amp; $A37,
    estq[Data da venda / reserva], "&lt;"  &amp; EOMONTH($A37,0) + 1
)</f>
        <v>0</v>
      </c>
      <c r="C37" s="228">
        <f ca="1">SUMIFS(rec.uni[2023-11-01],
INDIRECT("rec.uni[natureza]"),"pro.soluto",
INDIRECT("rec.uni[empresa]"),C$6)</f>
        <v>0</v>
      </c>
      <c r="D37" s="228">
        <f ca="1">SUMIFS(rec.uni[2023-11-01],
INDIRECT("rec.uni[natureza]"),"repasse.cef.obra",
INDIRECT("rec.uni[empresa]"),D$6)</f>
        <v>0</v>
      </c>
      <c r="E37" s="228">
        <f ca="1">SUMIFS(rec.uni[2023-11-01],
INDIRECT("rec.uni[natureza]"),"repasse.cef.terreno",
INDIRECT("rec.uni[empresa]"),E$6)</f>
        <v>0</v>
      </c>
      <c r="F37" s="228">
        <v>0</v>
      </c>
      <c r="G37" s="228">
        <f ca="1">SUMIFS(rec.uni[2023-11-01],
INDIRECT("rec.uni[natureza]"),"taxa.extra",
INDIRECT("rec.uni[empresa]"),G$6)</f>
        <v>0</v>
      </c>
      <c r="H37" s="216"/>
      <c r="I37" s="228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228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228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228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229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227">
        <f>COUNTIFS(
    estq[empresa], N$6,
    estq[Data da venda / reserva], "&gt;=" &amp; $A37,
    estq[Data da venda / reserva], "&lt;"  &amp; EOMONTH($A37,0) + 1
)</f>
        <v>0</v>
      </c>
      <c r="O37" s="228">
        <f ca="1">SUMIFS(rec.uni[2023-11-01],
INDIRECT("rec.uni[natureza]"),"pro.soluto",
INDIRECT("rec.uni[empresa]"),O$6)</f>
        <v>0</v>
      </c>
      <c r="P37" s="228">
        <f ca="1">SUMIFS(rec.uni[2023-11-01],
INDIRECT("rec.uni[natureza]"),"repasse.cef.obra",
INDIRECT("rec.uni[empresa]"),P$6)</f>
        <v>0</v>
      </c>
      <c r="Q37" s="228">
        <f ca="1">SUMIFS(rec.uni[2023-11-01],
INDIRECT("rec.uni[natureza]"),"repasse.cef.terreno",
INDIRECT("rec.uni[empresa]"),Q$6)</f>
        <v>0</v>
      </c>
      <c r="R37" s="228">
        <v>1455283.7599999998</v>
      </c>
      <c r="S37" s="228">
        <f ca="1">SUMIFS(rec.uni[2023-11-01],
INDIRECT("rec.uni[natureza]"),"taxa.extra",
INDIRECT("rec.uni[empresa]"),S$6)</f>
        <v>0</v>
      </c>
      <c r="T37" s="216"/>
      <c r="U37" s="228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228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228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228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229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227">
        <f>COUNTIFS(
    estq[empresa], Z$6,
    estq[Data da venda / reserva], "&gt;=" &amp; $A37,
    estq[Data da venda / reserva], "&lt;"  &amp; EOMONTH($A37,0) + 1
)</f>
        <v>0</v>
      </c>
      <c r="AA37" s="228">
        <f ca="1">SUMIFS(rec.uni[2023-11-01],
INDIRECT("rec.uni[natureza]"),"pro.soluto",
INDIRECT("rec.uni[empresa]"),AA$6)</f>
        <v>0</v>
      </c>
      <c r="AB37" s="228">
        <f ca="1">SUMIFS(rec.uni[2023-11-01],
INDIRECT("rec.uni[natureza]"),"repasse.cef.obra",
INDIRECT("rec.uni[empresa]"),AB$6)</f>
        <v>0</v>
      </c>
      <c r="AC37" s="228">
        <f ca="1">SUMIFS(rec.uni[2023-11-01],
INDIRECT("rec.uni[natureza]"),"repasse.cef.terreno",
INDIRECT("rec.uni[empresa]"),AC$6)</f>
        <v>0</v>
      </c>
      <c r="AD37" s="228">
        <v>0</v>
      </c>
      <c r="AE37" s="228">
        <f ca="1">SUMIFS(rec.uni[2023-11-01],
INDIRECT("rec.uni[natureza]"),"taxa.extra",
INDIRECT("rec.uni[empresa]"),AE$6)</f>
        <v>0</v>
      </c>
      <c r="AF37" s="216"/>
      <c r="AG37" s="228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H37" s="228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I37" s="228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J37" s="228" cm="1">
        <f t="array" ref="AJ3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K37" s="229" cm="1">
        <f t="array" ref="AK3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L37" s="227">
        <f>COUNTIFS(
    estq[empresa], AL$6,
    estq[Data da venda / reserva], "&gt;=" &amp; $A37,
    estq[Data da venda / reserva], "&lt;"  &amp; EOMONTH($A37,0) + 1
)</f>
        <v>0</v>
      </c>
      <c r="AM37" s="228">
        <f ca="1">SUMIFS(rec.uni[2023-11-01],
INDIRECT("rec.uni[natureza]"),"pro.soluto",
INDIRECT("rec.uni[empresa]"),AM$6)</f>
        <v>0</v>
      </c>
      <c r="AN37" s="228">
        <f ca="1">SUMIFS(rec.uni[2023-11-01],
INDIRECT("rec.uni[natureza]"),"repasse.cef.obra",
INDIRECT("rec.uni[empresa]"),AN$6)</f>
        <v>0</v>
      </c>
      <c r="AO37" s="228">
        <f ca="1">SUMIFS(rec.uni[2023-11-01],
INDIRECT("rec.uni[natureza]"),"repasse.cef.terreno",
INDIRECT("rec.uni[empresa]"),AO$6)</f>
        <v>0</v>
      </c>
      <c r="AP37" s="228">
        <v>0</v>
      </c>
      <c r="AQ37" s="228">
        <f ca="1">SUMIFS(rec.uni[2023-11-01],
INDIRECT("rec.uni[natureza]"),"taxa.extra",
INDIRECT("rec.uni[empresa]"),AQ$6)</f>
        <v>0</v>
      </c>
      <c r="AR37" s="216"/>
      <c r="AS37" s="228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T37" s="228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U37" s="228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V37" s="228" cm="1">
        <f t="array" ref="AV3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W37" s="229" cm="1">
        <f t="array" ref="AW3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X37" s="227">
        <f>COUNTIFS(
    estq[empresa], AX$6,
    estq[Data da venda / reserva], "&gt;=" &amp; $A37,
    estq[Data da venda / reserva], "&lt;"  &amp; EOMONTH($A37,0) + 1
)</f>
        <v>0</v>
      </c>
      <c r="AY37" s="228">
        <f ca="1">SUMIFS(rec.uni[2023-11-01],
INDIRECT("rec.uni[natureza]"),"pro.soluto",
INDIRECT("rec.uni[empresa]"),AY$6)</f>
        <v>0</v>
      </c>
      <c r="AZ37" s="216">
        <f ca="1">SUMIFS(rec.uni[2023-11-01],
INDIRECT("rec.uni[natureza]"),"parcela.fin.total.ik",
INDIRECT("rec.uni[empresa]"),AZ$6)</f>
        <v>0</v>
      </c>
      <c r="BA37" s="228">
        <f ca="1">SUMIFS(rec.uni[2023-11-01],
INDIRECT("rec.uni[natureza]"),"taxa.extra",
INDIRECT("rec.uni[empresa]"),BA$6)</f>
        <v>0</v>
      </c>
      <c r="BB37" s="216"/>
      <c r="BC37" s="228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D37" s="228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E37" s="228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F37" s="228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G37" s="229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H37" s="227">
        <f>COUNTIFS(
    estq[empresa], BH$6,
    estq[Data da venda / reserva], "&gt;=" &amp; $A37,
    estq[Data da venda / reserva], "&lt;"  &amp; EOMONTH($A37,0) + 1
)</f>
        <v>0</v>
      </c>
      <c r="BI37" s="228">
        <f ca="1">SUMIFS(rec.uni[2023-11-01],
INDIRECT("rec.uni[natureza]"),"pro.soluto",
INDIRECT("rec.uni[empresa]"),BI$6)</f>
        <v>0</v>
      </c>
      <c r="BJ37" s="228">
        <f ca="1">SUMIFS(rec.uni[2023-11-01],
INDIRECT("rec.uni[natureza]"),"repasse.cef.obra",
INDIRECT("rec.uni[empresa]"),BJ$6)</f>
        <v>0</v>
      </c>
      <c r="BK37" s="228">
        <f ca="1">SUMIFS(rec.uni[2023-11-01],
INDIRECT("rec.uni[natureza]"),"repasse.cef.terreno",
INDIRECT("rec.uni[empresa]"),BK$6)</f>
        <v>0</v>
      </c>
      <c r="BL37" s="228">
        <v>0</v>
      </c>
      <c r="BM37" s="228">
        <f ca="1">SUMIFS(rec.uni[2023-11-01],
INDIRECT("rec.uni[natureza]"),"taxa.extra",
INDIRECT("rec.uni[empresa]"),BM$6)</f>
        <v>0</v>
      </c>
      <c r="BN37" s="216"/>
      <c r="BO37" s="228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P37" s="228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Q37" s="228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R37" s="228" cm="1">
        <f t="array" ref="BR3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S37" s="229" cm="1">
        <f t="array" ref="BS3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T37" s="227">
        <f>COUNTIFS(
    estq[empresa], BT$6,
    estq[Data da venda / reserva], "&gt;=" &amp; $A37,
    estq[Data da venda / reserva], "&lt;"  &amp; EOMONTH($A37,0) + 1
)</f>
        <v>0</v>
      </c>
      <c r="BU37" s="228">
        <f ca="1">SUMIFS(rec.uni[2023-11-01],
INDIRECT("rec.uni[natureza]"),"pro.soluto",
INDIRECT("rec.uni[empresa]"),BU$6)</f>
        <v>0</v>
      </c>
      <c r="BV37" s="228">
        <f ca="1">SUMIFS(rec.uni[2023-11-01],
INDIRECT("rec.uni[natureza]"),"repasse.cef.obra",
INDIRECT("rec.uni[empresa]"),BV$6)</f>
        <v>0</v>
      </c>
      <c r="BW37" s="228">
        <f ca="1">SUMIFS(rec.uni[2023-11-01],
INDIRECT("rec.uni[natureza]"),"repasse.cef.terreno",
INDIRECT("rec.uni[empresa]"),BW$6)</f>
        <v>0</v>
      </c>
      <c r="BX37" s="228">
        <v>0</v>
      </c>
      <c r="BY37" s="228">
        <f ca="1">SUMIFS(rec.uni[2023-11-01],
INDIRECT("rec.uni[natureza]"),"taxa.extra",
INDIRECT("rec.uni[empresa]"),BY$6)</f>
        <v>0</v>
      </c>
      <c r="BZ37" s="216"/>
      <c r="CA37" s="228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B37" s="228" cm="1">
        <f t="array" ref="CB3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C37" s="228" cm="1">
        <f t="array" ref="CC3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D37" s="228" cm="1">
        <f t="array" ref="CD3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E37" s="230" cm="1">
        <f t="array" ref="CE3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83" x14ac:dyDescent="0.25">
      <c r="A38" s="226">
        <v>45261</v>
      </c>
      <c r="B38" s="227">
        <f>COUNTIFS(
    estq[empresa], B$6,
    estq[Data da venda / reserva], "&gt;=" &amp; $A38,
    estq[Data da venda / reserva], "&lt;"  &amp; EOMONTH($A38,0) + 1
)</f>
        <v>0</v>
      </c>
      <c r="C38" s="228">
        <f ca="1">SUMIFS(rec.uni[2023-12-01],
INDIRECT("rec.uni[natureza]"),"pro.soluto",
INDIRECT("rec.uni[empresa]"),C$6)</f>
        <v>0</v>
      </c>
      <c r="D38" s="228">
        <f ca="1">SUMIFS(rec.uni[2023-12-01],
INDIRECT("rec.uni[natureza]"),"repasse.cef.obra",
INDIRECT("rec.uni[empresa]"),D$6)</f>
        <v>0</v>
      </c>
      <c r="E38" s="228">
        <f ca="1">SUMIFS(rec.uni[2023-12-01],
INDIRECT("rec.uni[natureza]"),"repasse.cef.terreno",
INDIRECT("rec.uni[empresa]"),E$6)</f>
        <v>0</v>
      </c>
      <c r="F38" s="228">
        <v>0</v>
      </c>
      <c r="G38" s="228">
        <f ca="1">SUMIFS(rec.uni[2023-12-01],
INDIRECT("rec.uni[natureza]"),"taxa.extra",
INDIRECT("rec.uni[empresa]"),G$6)</f>
        <v>0</v>
      </c>
      <c r="H38" s="216"/>
      <c r="I38" s="228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228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228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228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229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227">
        <f>COUNTIFS(
    estq[empresa], N$6,
    estq[Data da venda / reserva], "&gt;=" &amp; $A38,
    estq[Data da venda / reserva], "&lt;"  &amp; EOMONTH($A38,0) + 1
)</f>
        <v>0</v>
      </c>
      <c r="O38" s="228">
        <f ca="1">SUMIFS(rec.uni[2023-12-01],
INDIRECT("rec.uni[natureza]"),"pro.soluto",
INDIRECT("rec.uni[empresa]"),O$6)</f>
        <v>0</v>
      </c>
      <c r="P38" s="228">
        <f ca="1">SUMIFS(rec.uni[2023-12-01],
INDIRECT("rec.uni[natureza]"),"repasse.cef.obra",
INDIRECT("rec.uni[empresa]"),P$6)</f>
        <v>0</v>
      </c>
      <c r="Q38" s="228">
        <f ca="1">SUMIFS(rec.uni[2023-12-01],
INDIRECT("rec.uni[natureza]"),"repasse.cef.terreno",
INDIRECT("rec.uni[empresa]"),Q$6)</f>
        <v>0</v>
      </c>
      <c r="R38" s="228">
        <v>0</v>
      </c>
      <c r="S38" s="228">
        <f ca="1">SUMIFS(rec.uni[2023-12-01],
INDIRECT("rec.uni[natureza]"),"taxa.extra",
INDIRECT("rec.uni[empresa]"),S$6)</f>
        <v>0</v>
      </c>
      <c r="T38" s="216"/>
      <c r="U38" s="228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228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228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228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229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227">
        <f>COUNTIFS(
    estq[empresa], Z$6,
    estq[Data da venda / reserva], "&gt;=" &amp; $A38,
    estq[Data da venda / reserva], "&lt;"  &amp; EOMONTH($A38,0) + 1
)</f>
        <v>0</v>
      </c>
      <c r="AA38" s="228">
        <f ca="1">SUMIFS(rec.uni[2023-12-01],
INDIRECT("rec.uni[natureza]"),"pro.soluto",
INDIRECT("rec.uni[empresa]"),AA$6)</f>
        <v>0</v>
      </c>
      <c r="AB38" s="228">
        <f ca="1">SUMIFS(rec.uni[2023-12-01],
INDIRECT("rec.uni[natureza]"),"repasse.cef.obra",
INDIRECT("rec.uni[empresa]"),AB$6)</f>
        <v>0</v>
      </c>
      <c r="AC38" s="228">
        <f ca="1">SUMIFS(rec.uni[2023-12-01],
INDIRECT("rec.uni[natureza]"),"repasse.cef.terreno",
INDIRECT("rec.uni[empresa]"),AC$6)</f>
        <v>0</v>
      </c>
      <c r="AD38" s="228">
        <v>0</v>
      </c>
      <c r="AE38" s="228">
        <f ca="1">SUMIFS(rec.uni[2023-12-01],
INDIRECT("rec.uni[natureza]"),"taxa.extra",
INDIRECT("rec.uni[empresa]"),AE$6)</f>
        <v>0</v>
      </c>
      <c r="AF38" s="216"/>
      <c r="AG38" s="228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H38" s="228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I38" s="228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J38" s="228" cm="1">
        <f t="array" ref="AJ3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K38" s="229" cm="1">
        <f t="array" ref="AK3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L38" s="227">
        <f>COUNTIFS(
    estq[empresa], AL$6,
    estq[Data da venda / reserva], "&gt;=" &amp; $A38,
    estq[Data da venda / reserva], "&lt;"  &amp; EOMONTH($A38,0) + 1
)</f>
        <v>0</v>
      </c>
      <c r="AM38" s="228">
        <f ca="1">SUMIFS(rec.uni[2023-12-01],
INDIRECT("rec.uni[natureza]"),"pro.soluto",
INDIRECT("rec.uni[empresa]"),AM$6)</f>
        <v>0</v>
      </c>
      <c r="AN38" s="228">
        <f ca="1">SUMIFS(rec.uni[2023-12-01],
INDIRECT("rec.uni[natureza]"),"repasse.cef.obra",
INDIRECT("rec.uni[empresa]"),AN$6)</f>
        <v>0</v>
      </c>
      <c r="AO38" s="228">
        <f ca="1">SUMIFS(rec.uni[2023-12-01],
INDIRECT("rec.uni[natureza]"),"repasse.cef.terreno",
INDIRECT("rec.uni[empresa]"),AO$6)</f>
        <v>0</v>
      </c>
      <c r="AP38" s="228">
        <v>0</v>
      </c>
      <c r="AQ38" s="228">
        <f ca="1">SUMIFS(rec.uni[2023-12-01],
INDIRECT("rec.uni[natureza]"),"taxa.extra",
INDIRECT("rec.uni[empresa]"),AQ$6)</f>
        <v>0</v>
      </c>
      <c r="AR38" s="216"/>
      <c r="AS38" s="228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T38" s="228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U38" s="228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V38" s="228" cm="1">
        <f t="array" ref="AV3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W38" s="229" cm="1">
        <f t="array" ref="AW3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X38" s="227">
        <f>COUNTIFS(
    estq[empresa], AX$6,
    estq[Data da venda / reserva], "&gt;=" &amp; $A38,
    estq[Data da venda / reserva], "&lt;"  &amp; EOMONTH($A38,0) + 1
)</f>
        <v>0</v>
      </c>
      <c r="AY38" s="228">
        <f ca="1">SUMIFS(rec.uni[2023-12-01],
INDIRECT("rec.uni[natureza]"),"pro.soluto",
INDIRECT("rec.uni[empresa]"),AY$6)</f>
        <v>0</v>
      </c>
      <c r="AZ38" s="216">
        <f ca="1">SUMIFS(rec.uni[2023-12-01],
INDIRECT("rec.uni[natureza]"),"parcela.fin.total.ik",
INDIRECT("rec.uni[empresa]"),AZ$6)</f>
        <v>0</v>
      </c>
      <c r="BA38" s="228">
        <f ca="1">SUMIFS(rec.uni[2023-12-01],
INDIRECT("rec.uni[natureza]"),"taxa.extra",
INDIRECT("rec.uni[empresa]"),BA$6)</f>
        <v>0</v>
      </c>
      <c r="BB38" s="216"/>
      <c r="BC38" s="228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D38" s="228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E38" s="228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F38" s="228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G38" s="229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H38" s="227">
        <f>COUNTIFS(
    estq[empresa], BH$6,
    estq[Data da venda / reserva], "&gt;=" &amp; $A38,
    estq[Data da venda / reserva], "&lt;"  &amp; EOMONTH($A38,0) + 1
)</f>
        <v>0</v>
      </c>
      <c r="BI38" s="228">
        <f ca="1">SUMIFS(rec.uni[2023-12-01],
INDIRECT("rec.uni[natureza]"),"pro.soluto",
INDIRECT("rec.uni[empresa]"),BI$6)</f>
        <v>0</v>
      </c>
      <c r="BJ38" s="228">
        <f ca="1">SUMIFS(rec.uni[2023-12-01],
INDIRECT("rec.uni[natureza]"),"repasse.cef.obra",
INDIRECT("rec.uni[empresa]"),BJ$6)</f>
        <v>0</v>
      </c>
      <c r="BK38" s="228">
        <f ca="1">SUMIFS(rec.uni[2023-12-01],
INDIRECT("rec.uni[natureza]"),"repasse.cef.terreno",
INDIRECT("rec.uni[empresa]"),BK$6)</f>
        <v>0</v>
      </c>
      <c r="BL38" s="228">
        <v>0</v>
      </c>
      <c r="BM38" s="228">
        <f ca="1">SUMIFS(rec.uni[2023-12-01],
INDIRECT("rec.uni[natureza]"),"taxa.extra",
INDIRECT("rec.uni[empresa]"),BM$6)</f>
        <v>0</v>
      </c>
      <c r="BN38" s="216"/>
      <c r="BO38" s="228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P38" s="228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Q38" s="228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R38" s="228" cm="1">
        <f t="array" ref="BR3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S38" s="229" cm="1">
        <f t="array" ref="BS3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T38" s="227">
        <f>COUNTIFS(
    estq[empresa], BT$6,
    estq[Data da venda / reserva], "&gt;=" &amp; $A38,
    estq[Data da venda / reserva], "&lt;"  &amp; EOMONTH($A38,0) + 1
)</f>
        <v>0</v>
      </c>
      <c r="BU38" s="228">
        <f ca="1">SUMIFS(rec.uni[2023-12-01],
INDIRECT("rec.uni[natureza]"),"pro.soluto",
INDIRECT("rec.uni[empresa]"),BU$6)</f>
        <v>0</v>
      </c>
      <c r="BV38" s="228">
        <f ca="1">SUMIFS(rec.uni[2023-12-01],
INDIRECT("rec.uni[natureza]"),"repasse.cef.obra",
INDIRECT("rec.uni[empresa]"),BV$6)</f>
        <v>0</v>
      </c>
      <c r="BW38" s="228">
        <f ca="1">SUMIFS(rec.uni[2023-12-01],
INDIRECT("rec.uni[natureza]"),"repasse.cef.terreno",
INDIRECT("rec.uni[empresa]"),BW$6)</f>
        <v>0</v>
      </c>
      <c r="BX38" s="228">
        <v>0</v>
      </c>
      <c r="BY38" s="228">
        <f ca="1">SUMIFS(rec.uni[2023-12-01],
INDIRECT("rec.uni[natureza]"),"taxa.extra",
INDIRECT("rec.uni[empresa]"),BY$6)</f>
        <v>0</v>
      </c>
      <c r="BZ38" s="216"/>
      <c r="CA38" s="228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B38" s="228" cm="1">
        <f t="array" ref="CB3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C38" s="228" cm="1">
        <f t="array" ref="CC3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D38" s="228" cm="1">
        <f t="array" ref="CD3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E38" s="230" cm="1">
        <f t="array" ref="CE3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83" x14ac:dyDescent="0.25">
      <c r="A39" s="226">
        <v>45292</v>
      </c>
      <c r="B39" s="227">
        <f>COUNTIFS(
    estq[empresa], B$6,
    estq[Data da venda / reserva], "&gt;=" &amp; $A39,
    estq[Data da venda / reserva], "&lt;"  &amp; EOMONTH($A39,0) + 1
)</f>
        <v>0</v>
      </c>
      <c r="C39" s="228">
        <f ca="1">SUMIFS(rec.uni[2024-01-01],
INDIRECT("rec.uni[natureza]"),"pro.soluto",
INDIRECT("rec.uni[empresa]"),C$6)</f>
        <v>0</v>
      </c>
      <c r="D39" s="228">
        <f ca="1">SUMIFS(rec.uni[2024-01-01],
INDIRECT("rec.uni[natureza]"),"repasse.cef.obra",
INDIRECT("rec.uni[empresa]"),D$6)</f>
        <v>0</v>
      </c>
      <c r="E39" s="228">
        <f ca="1">SUMIFS(rec.uni[2024-01-01],
INDIRECT("rec.uni[natureza]"),"repasse.cef.terreno",
INDIRECT("rec.uni[empresa]"),E$6)</f>
        <v>0</v>
      </c>
      <c r="F39" s="228">
        <v>0</v>
      </c>
      <c r="G39" s="228">
        <f ca="1">SUMIFS(rec.uni[2024-01-01],
INDIRECT("rec.uni[natureza]"),"taxa.extra",
INDIRECT("rec.uni[empresa]"),G$6)</f>
        <v>0</v>
      </c>
      <c r="H39" s="216"/>
      <c r="I39" s="228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228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228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228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229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227">
        <f>COUNTIFS(
    estq[empresa], N$6,
    estq[Data da venda / reserva], "&gt;=" &amp; $A39,
    estq[Data da venda / reserva], "&lt;"  &amp; EOMONTH($A39,0) + 1
)</f>
        <v>0</v>
      </c>
      <c r="O39" s="228">
        <f ca="1">SUMIFS(rec.uni[2024-01-01],
INDIRECT("rec.uni[natureza]"),"pro.soluto",
INDIRECT("rec.uni[empresa]"),O$6)</f>
        <v>0</v>
      </c>
      <c r="P39" s="228">
        <f ca="1">SUMIFS(rec.uni[2024-01-01],
INDIRECT("rec.uni[natureza]"),"repasse.cef.obra",
INDIRECT("rec.uni[empresa]"),P$6)</f>
        <v>0</v>
      </c>
      <c r="Q39" s="228">
        <f ca="1">SUMIFS(rec.uni[2024-01-01],
INDIRECT("rec.uni[natureza]"),"repasse.cef.terreno",
INDIRECT("rec.uni[empresa]"),Q$6)</f>
        <v>0</v>
      </c>
      <c r="R39" s="228">
        <v>1292869.73</v>
      </c>
      <c r="S39" s="228">
        <f ca="1">SUMIFS(rec.uni[2024-01-01],
INDIRECT("rec.uni[natureza]"),"taxa.extra",
INDIRECT("rec.uni[empresa]"),S$6)</f>
        <v>0</v>
      </c>
      <c r="T39" s="216"/>
      <c r="U39" s="228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228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228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228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229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227">
        <f>COUNTIFS(
    estq[empresa], Z$6,
    estq[Data da venda / reserva], "&gt;=" &amp; $A39,
    estq[Data da venda / reserva], "&lt;"  &amp; EOMONTH($A39,0) + 1
)</f>
        <v>0</v>
      </c>
      <c r="AA39" s="228">
        <f ca="1">SUMIFS(rec.uni[2024-01-01],
INDIRECT("rec.uni[natureza]"),"pro.soluto",
INDIRECT("rec.uni[empresa]"),AA$6)</f>
        <v>0</v>
      </c>
      <c r="AB39" s="228">
        <f ca="1">SUMIFS(rec.uni[2024-01-01],
INDIRECT("rec.uni[natureza]"),"repasse.cef.obra",
INDIRECT("rec.uni[empresa]"),AB$6)</f>
        <v>0</v>
      </c>
      <c r="AC39" s="228">
        <f ca="1">SUMIFS(rec.uni[2024-01-01],
INDIRECT("rec.uni[natureza]"),"repasse.cef.terreno",
INDIRECT("rec.uni[empresa]"),AC$6)</f>
        <v>0</v>
      </c>
      <c r="AD39" s="228">
        <v>0</v>
      </c>
      <c r="AE39" s="228">
        <f ca="1">SUMIFS(rec.uni[2024-01-01],
INDIRECT("rec.uni[natureza]"),"taxa.extra",
INDIRECT("rec.uni[empresa]"),AE$6)</f>
        <v>0</v>
      </c>
      <c r="AF39" s="216"/>
      <c r="AG39" s="228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H39" s="228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I39" s="228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J39" s="228" cm="1">
        <f t="array" ref="AJ3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K39" s="229" cm="1">
        <f t="array" ref="AK3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L39" s="227">
        <f>COUNTIFS(
    estq[empresa], AL$6,
    estq[Data da venda / reserva], "&gt;=" &amp; $A39,
    estq[Data da venda / reserva], "&lt;"  &amp; EOMONTH($A39,0) + 1
)</f>
        <v>0</v>
      </c>
      <c r="AM39" s="228">
        <f ca="1">SUMIFS(rec.uni[2024-01-01],
INDIRECT("rec.uni[natureza]"),"pro.soluto",
INDIRECT("rec.uni[empresa]"),AM$6)</f>
        <v>0</v>
      </c>
      <c r="AN39" s="228">
        <f ca="1">SUMIFS(rec.uni[2024-01-01],
INDIRECT("rec.uni[natureza]"),"repasse.cef.obra",
INDIRECT("rec.uni[empresa]"),AN$6)</f>
        <v>0</v>
      </c>
      <c r="AO39" s="228">
        <f ca="1">SUMIFS(rec.uni[2024-01-01],
INDIRECT("rec.uni[natureza]"),"repasse.cef.terreno",
INDIRECT("rec.uni[empresa]"),AO$6)</f>
        <v>0</v>
      </c>
      <c r="AP39" s="228">
        <v>0</v>
      </c>
      <c r="AQ39" s="228">
        <f ca="1">SUMIFS(rec.uni[2024-01-01],
INDIRECT("rec.uni[natureza]"),"taxa.extra",
INDIRECT("rec.uni[empresa]"),AQ$6)</f>
        <v>0</v>
      </c>
      <c r="AR39" s="216"/>
      <c r="AS39" s="228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T39" s="228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U39" s="228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V39" s="228" cm="1">
        <f t="array" ref="AV3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W39" s="229" cm="1">
        <f t="array" ref="AW3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X39" s="227">
        <f>COUNTIFS(
    estq[empresa], AX$6,
    estq[Data da venda / reserva], "&gt;=" &amp; $A39,
    estq[Data da venda / reserva], "&lt;"  &amp; EOMONTH($A39,0) + 1
)</f>
        <v>0</v>
      </c>
      <c r="AY39" s="228">
        <f ca="1">SUMIFS(rec.uni[2024-01-01],
INDIRECT("rec.uni[natureza]"),"pro.soluto",
INDIRECT("rec.uni[empresa]"),AY$6)</f>
        <v>0</v>
      </c>
      <c r="AZ39" s="216">
        <f ca="1">SUMIFS(rec.uni[2024-01-01],
INDIRECT("rec.uni[natureza]"),"parcela.fin.total.ik",
INDIRECT("rec.uni[empresa]"),AZ$6)</f>
        <v>0</v>
      </c>
      <c r="BA39" s="228">
        <f ca="1">SUMIFS(rec.uni[2024-01-01],
INDIRECT("rec.uni[natureza]"),"taxa.extra",
INDIRECT("rec.uni[empresa]"),BA$6)</f>
        <v>0</v>
      </c>
      <c r="BB39" s="216"/>
      <c r="BC39" s="228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D39" s="228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E39" s="228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F39" s="228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G39" s="229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H39" s="227">
        <f>COUNTIFS(
    estq[empresa], BH$6,
    estq[Data da venda / reserva], "&gt;=" &amp; $A39,
    estq[Data da venda / reserva], "&lt;"  &amp; EOMONTH($A39,0) + 1
)</f>
        <v>0</v>
      </c>
      <c r="BI39" s="228">
        <f ca="1">SUMIFS(rec.uni[2024-01-01],
INDIRECT("rec.uni[natureza]"),"pro.soluto",
INDIRECT("rec.uni[empresa]"),BI$6)</f>
        <v>0</v>
      </c>
      <c r="BJ39" s="228">
        <f ca="1">SUMIFS(rec.uni[2024-01-01],
INDIRECT("rec.uni[natureza]"),"repasse.cef.obra",
INDIRECT("rec.uni[empresa]"),BJ$6)</f>
        <v>0</v>
      </c>
      <c r="BK39" s="228">
        <f ca="1">SUMIFS(rec.uni[2024-01-01],
INDIRECT("rec.uni[natureza]"),"repasse.cef.terreno",
INDIRECT("rec.uni[empresa]"),BK$6)</f>
        <v>0</v>
      </c>
      <c r="BL39" s="228">
        <v>0</v>
      </c>
      <c r="BM39" s="228">
        <f ca="1">SUMIFS(rec.uni[2024-01-01],
INDIRECT("rec.uni[natureza]"),"taxa.extra",
INDIRECT("rec.uni[empresa]"),BM$6)</f>
        <v>0</v>
      </c>
      <c r="BN39" s="216"/>
      <c r="BO39" s="228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P39" s="228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Q39" s="228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R39" s="228" cm="1">
        <f t="array" ref="BR3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S39" s="229" cm="1">
        <f t="array" ref="BS3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T39" s="227">
        <f>COUNTIFS(
    estq[empresa], BT$6,
    estq[Data da venda / reserva], "&gt;=" &amp; $A39,
    estq[Data da venda / reserva], "&lt;"  &amp; EOMONTH($A39,0) + 1
)</f>
        <v>0</v>
      </c>
      <c r="BU39" s="228">
        <f ca="1">SUMIFS(rec.uni[2024-01-01],
INDIRECT("rec.uni[natureza]"),"pro.soluto",
INDIRECT("rec.uni[empresa]"),BU$6)</f>
        <v>0</v>
      </c>
      <c r="BV39" s="228">
        <f ca="1">SUMIFS(rec.uni[2024-01-01],
INDIRECT("rec.uni[natureza]"),"repasse.cef.obra",
INDIRECT("rec.uni[empresa]"),BV$6)</f>
        <v>0</v>
      </c>
      <c r="BW39" s="228">
        <f ca="1">SUMIFS(rec.uni[2024-01-01],
INDIRECT("rec.uni[natureza]"),"repasse.cef.terreno",
INDIRECT("rec.uni[empresa]"),BW$6)</f>
        <v>0</v>
      </c>
      <c r="BX39" s="228">
        <v>0</v>
      </c>
      <c r="BY39" s="228">
        <f ca="1">SUMIFS(rec.uni[2024-01-01],
INDIRECT("rec.uni[natureza]"),"taxa.extra",
INDIRECT("rec.uni[empresa]"),BY$6)</f>
        <v>0</v>
      </c>
      <c r="BZ39" s="216"/>
      <c r="CA39" s="228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B39" s="228" cm="1">
        <f t="array" ref="CB3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C39" s="228" cm="1">
        <f t="array" ref="CC3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D39" s="228" cm="1">
        <f t="array" ref="CD3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E39" s="230" cm="1">
        <f t="array" ref="CE3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83" x14ac:dyDescent="0.25">
      <c r="A40" s="226">
        <v>45323</v>
      </c>
      <c r="B40" s="227">
        <f>COUNTIFS(
    estq[empresa], B$6,
    estq[Data da venda / reserva], "&gt;=" &amp; $A40,
    estq[Data da venda / reserva], "&lt;"  &amp; EOMONTH($A40,0) + 1
)</f>
        <v>0</v>
      </c>
      <c r="C40" s="228">
        <f ca="1">SUMIFS(rec.uni[2024-02-01],
INDIRECT("rec.uni[natureza]"),"pro.soluto",
INDIRECT("rec.uni[empresa]"),C$6)</f>
        <v>0</v>
      </c>
      <c r="D40" s="228">
        <f ca="1">SUMIFS(rec.uni[2024-02-01],
INDIRECT("rec.uni[natureza]"),"repasse.cef.obra",
INDIRECT("rec.uni[empresa]"),D$6)</f>
        <v>0</v>
      </c>
      <c r="E40" s="228">
        <f ca="1">SUMIFS(rec.uni[2024-02-01],
INDIRECT("rec.uni[natureza]"),"repasse.cef.terreno",
INDIRECT("rec.uni[empresa]"),E$6)</f>
        <v>0</v>
      </c>
      <c r="F40" s="228">
        <v>0</v>
      </c>
      <c r="G40" s="228">
        <f ca="1">SUMIFS(rec.uni[2024-02-01],
INDIRECT("rec.uni[natureza]"),"taxa.extra",
INDIRECT("rec.uni[empresa]"),G$6)</f>
        <v>0</v>
      </c>
      <c r="H40" s="216"/>
      <c r="I40" s="228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228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228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228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229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227">
        <f>COUNTIFS(
    estq[empresa], N$6,
    estq[Data da venda / reserva], "&gt;=" &amp; $A40,
    estq[Data da venda / reserva], "&lt;"  &amp; EOMONTH($A40,0) + 1
)</f>
        <v>0</v>
      </c>
      <c r="O40" s="228">
        <f ca="1">SUMIFS(rec.uni[2024-02-01],
INDIRECT("rec.uni[natureza]"),"pro.soluto",
INDIRECT("rec.uni[empresa]"),O$6)</f>
        <v>0</v>
      </c>
      <c r="P40" s="228">
        <f ca="1">SUMIFS(rec.uni[2024-02-01],
INDIRECT("rec.uni[natureza]"),"repasse.cef.obra",
INDIRECT("rec.uni[empresa]"),P$6)</f>
        <v>0</v>
      </c>
      <c r="Q40" s="228">
        <f ca="1">SUMIFS(rec.uni[2024-02-01],
INDIRECT("rec.uni[natureza]"),"repasse.cef.terreno",
INDIRECT("rec.uni[empresa]"),Q$6)</f>
        <v>0</v>
      </c>
      <c r="R40" s="228">
        <v>641961.35</v>
      </c>
      <c r="S40" s="228">
        <f ca="1">SUMIFS(rec.uni[2024-02-01],
INDIRECT("rec.uni[natureza]"),"taxa.extra",
INDIRECT("rec.uni[empresa]"),S$6)</f>
        <v>0</v>
      </c>
      <c r="T40" s="216"/>
      <c r="U40" s="228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228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228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228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229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227">
        <f>COUNTIFS(
    estq[empresa], Z$6,
    estq[Data da venda / reserva], "&gt;=" &amp; $A40,
    estq[Data da venda / reserva], "&lt;"  &amp; EOMONTH($A40,0) + 1
)</f>
        <v>0</v>
      </c>
      <c r="AA40" s="228">
        <f ca="1">SUMIFS(rec.uni[2024-02-01],
INDIRECT("rec.uni[natureza]"),"pro.soluto",
INDIRECT("rec.uni[empresa]"),AA$6)</f>
        <v>0</v>
      </c>
      <c r="AB40" s="228">
        <f ca="1">SUMIFS(rec.uni[2024-02-01],
INDIRECT("rec.uni[natureza]"),"repasse.cef.obra",
INDIRECT("rec.uni[empresa]"),AB$6)</f>
        <v>0</v>
      </c>
      <c r="AC40" s="228">
        <f ca="1">SUMIFS(rec.uni[2024-02-01],
INDIRECT("rec.uni[natureza]"),"repasse.cef.terreno",
INDIRECT("rec.uni[empresa]"),AC$6)</f>
        <v>0</v>
      </c>
      <c r="AD40" s="228">
        <v>0</v>
      </c>
      <c r="AE40" s="228">
        <f ca="1">SUMIFS(rec.uni[2024-02-01],
INDIRECT("rec.uni[natureza]"),"taxa.extra",
INDIRECT("rec.uni[empresa]"),AE$6)</f>
        <v>0</v>
      </c>
      <c r="AF40" s="216"/>
      <c r="AG40" s="228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H40" s="228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I40" s="228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J40" s="228" cm="1">
        <f t="array" ref="AJ4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K40" s="229" cm="1">
        <f t="array" ref="AK4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L40" s="227">
        <f>COUNTIFS(
    estq[empresa], AL$6,
    estq[Data da venda / reserva], "&gt;=" &amp; $A40,
    estq[Data da venda / reserva], "&lt;"  &amp; EOMONTH($A40,0) + 1
)</f>
        <v>0</v>
      </c>
      <c r="AM40" s="228">
        <f ca="1">SUMIFS(rec.uni[2024-02-01],
INDIRECT("rec.uni[natureza]"),"pro.soluto",
INDIRECT("rec.uni[empresa]"),AM$6)</f>
        <v>0</v>
      </c>
      <c r="AN40" s="228">
        <f ca="1">SUMIFS(rec.uni[2024-02-01],
INDIRECT("rec.uni[natureza]"),"repasse.cef.obra",
INDIRECT("rec.uni[empresa]"),AN$6)</f>
        <v>0</v>
      </c>
      <c r="AO40" s="228">
        <f ca="1">SUMIFS(rec.uni[2024-02-01],
INDIRECT("rec.uni[natureza]"),"repasse.cef.terreno",
INDIRECT("rec.uni[empresa]"),AO$6)</f>
        <v>0</v>
      </c>
      <c r="AP40" s="228">
        <v>0</v>
      </c>
      <c r="AQ40" s="228">
        <f ca="1">SUMIFS(rec.uni[2024-02-01],
INDIRECT("rec.uni[natureza]"),"taxa.extra",
INDIRECT("rec.uni[empresa]"),AQ$6)</f>
        <v>0</v>
      </c>
      <c r="AR40" s="216"/>
      <c r="AS40" s="228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T40" s="228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U40" s="228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V40" s="228" cm="1">
        <f t="array" ref="AV4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W40" s="229" cm="1">
        <f t="array" ref="AW4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X40" s="227">
        <f>COUNTIFS(
    estq[empresa], AX$6,
    estq[Data da venda / reserva], "&gt;=" &amp; $A40,
    estq[Data da venda / reserva], "&lt;"  &amp; EOMONTH($A40,0) + 1
)</f>
        <v>0</v>
      </c>
      <c r="AY40" s="228">
        <f ca="1">SUMIFS(rec.uni[2024-02-01],
INDIRECT("rec.uni[natureza]"),"pro.soluto",
INDIRECT("rec.uni[empresa]"),AY$6)</f>
        <v>0</v>
      </c>
      <c r="AZ40" s="216">
        <f ca="1">SUMIFS(rec.uni[2024-02-01],
INDIRECT("rec.uni[natureza]"),"parcela.fin.total.ik",
INDIRECT("rec.uni[empresa]"),AZ$6)</f>
        <v>0</v>
      </c>
      <c r="BA40" s="228">
        <f ca="1">SUMIFS(rec.uni[2024-02-01],
INDIRECT("rec.uni[natureza]"),"taxa.extra",
INDIRECT("rec.uni[empresa]"),BA$6)</f>
        <v>0</v>
      </c>
      <c r="BB40" s="216"/>
      <c r="BC40" s="228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D40" s="228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E40" s="228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F40" s="228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G40" s="229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H40" s="227">
        <f>COUNTIFS(
    estq[empresa], BH$6,
    estq[Data da venda / reserva], "&gt;=" &amp; $A40,
    estq[Data da venda / reserva], "&lt;"  &amp; EOMONTH($A40,0) + 1
)</f>
        <v>0</v>
      </c>
      <c r="BI40" s="228">
        <f ca="1">SUMIFS(rec.uni[2024-02-01],
INDIRECT("rec.uni[natureza]"),"pro.soluto",
INDIRECT("rec.uni[empresa]"),BI$6)</f>
        <v>0</v>
      </c>
      <c r="BJ40" s="228">
        <f ca="1">SUMIFS(rec.uni[2024-02-01],
INDIRECT("rec.uni[natureza]"),"repasse.cef.obra",
INDIRECT("rec.uni[empresa]"),BJ$6)</f>
        <v>0</v>
      </c>
      <c r="BK40" s="228">
        <f ca="1">SUMIFS(rec.uni[2024-02-01],
INDIRECT("rec.uni[natureza]"),"repasse.cef.terreno",
INDIRECT("rec.uni[empresa]"),BK$6)</f>
        <v>0</v>
      </c>
      <c r="BL40" s="228">
        <v>0</v>
      </c>
      <c r="BM40" s="228">
        <f ca="1">SUMIFS(rec.uni[2024-02-01],
INDIRECT("rec.uni[natureza]"),"taxa.extra",
INDIRECT("rec.uni[empresa]"),BM$6)</f>
        <v>0</v>
      </c>
      <c r="BN40" s="216"/>
      <c r="BO40" s="228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P40" s="228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Q40" s="228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R40" s="228" cm="1">
        <f t="array" ref="BR4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S40" s="229" cm="1">
        <f t="array" ref="BS4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T40" s="227">
        <f>COUNTIFS(
    estq[empresa], BT$6,
    estq[Data da venda / reserva], "&gt;=" &amp; $A40,
    estq[Data da venda / reserva], "&lt;"  &amp; EOMONTH($A40,0) + 1
)</f>
        <v>0</v>
      </c>
      <c r="BU40" s="228">
        <f ca="1">SUMIFS(rec.uni[2024-02-01],
INDIRECT("rec.uni[natureza]"),"pro.soluto",
INDIRECT("rec.uni[empresa]"),BU$6)</f>
        <v>0</v>
      </c>
      <c r="BV40" s="228">
        <f ca="1">SUMIFS(rec.uni[2024-02-01],
INDIRECT("rec.uni[natureza]"),"repasse.cef.obra",
INDIRECT("rec.uni[empresa]"),BV$6)</f>
        <v>0</v>
      </c>
      <c r="BW40" s="228">
        <f ca="1">SUMIFS(rec.uni[2024-02-01],
INDIRECT("rec.uni[natureza]"),"repasse.cef.terreno",
INDIRECT("rec.uni[empresa]"),BW$6)</f>
        <v>0</v>
      </c>
      <c r="BX40" s="228">
        <v>0</v>
      </c>
      <c r="BY40" s="228">
        <f ca="1">SUMIFS(rec.uni[2024-02-01],
INDIRECT("rec.uni[natureza]"),"taxa.extra",
INDIRECT("rec.uni[empresa]"),BY$6)</f>
        <v>0</v>
      </c>
      <c r="BZ40" s="216"/>
      <c r="CA40" s="228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B40" s="228" cm="1">
        <f t="array" ref="CB4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C40" s="228" cm="1">
        <f t="array" ref="CC4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D40" s="228" cm="1">
        <f t="array" ref="CD4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E40" s="230" cm="1">
        <f t="array" ref="CE4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83" x14ac:dyDescent="0.25">
      <c r="A41" s="226">
        <v>45352</v>
      </c>
      <c r="B41" s="227">
        <f>COUNTIFS(
    estq[empresa], B$6,
    estq[Data da venda / reserva], "&gt;=" &amp; $A41,
    estq[Data da venda / reserva], "&lt;"  &amp; EOMONTH($A41,0) + 1
)</f>
        <v>0</v>
      </c>
      <c r="C41" s="228">
        <f ca="1">SUMIFS(rec.uni[2024-03-01],
INDIRECT("rec.uni[natureza]"),"pro.soluto",
INDIRECT("rec.uni[empresa]"),C$6)</f>
        <v>0</v>
      </c>
      <c r="D41" s="228">
        <f ca="1">SUMIFS(rec.uni[2024-03-01],
INDIRECT("rec.uni[natureza]"),"repasse.cef.obra",
INDIRECT("rec.uni[empresa]"),D$6)</f>
        <v>0</v>
      </c>
      <c r="E41" s="228">
        <f ca="1">SUMIFS(rec.uni[2024-03-01],
INDIRECT("rec.uni[natureza]"),"repasse.cef.terreno",
INDIRECT("rec.uni[empresa]"),E$6)</f>
        <v>0</v>
      </c>
      <c r="F41" s="228">
        <v>403051.79</v>
      </c>
      <c r="G41" s="228">
        <f ca="1">SUMIFS(rec.uni[2024-03-01],
INDIRECT("rec.uni[natureza]"),"taxa.extra",
INDIRECT("rec.uni[empresa]"),G$6)</f>
        <v>0</v>
      </c>
      <c r="H41" s="216"/>
      <c r="I41" s="228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228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228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228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229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227">
        <f>COUNTIFS(
    estq[empresa], N$6,
    estq[Data da venda / reserva], "&gt;=" &amp; $A41,
    estq[Data da venda / reserva], "&lt;"  &amp; EOMONTH($A41,0) + 1
)</f>
        <v>0</v>
      </c>
      <c r="O41" s="228">
        <f ca="1">SUMIFS(rec.uni[2024-03-01],
INDIRECT("rec.uni[natureza]"),"pro.soluto",
INDIRECT("rec.uni[empresa]"),O$6)</f>
        <v>0</v>
      </c>
      <c r="P41" s="228">
        <f ca="1">SUMIFS(rec.uni[2024-03-01],
INDIRECT("rec.uni[natureza]"),"repasse.cef.obra",
INDIRECT("rec.uni[empresa]"),P$6)</f>
        <v>0</v>
      </c>
      <c r="Q41" s="228">
        <f ca="1">SUMIFS(rec.uni[2024-03-01],
INDIRECT("rec.uni[natureza]"),"repasse.cef.terreno",
INDIRECT("rec.uni[empresa]"),Q$6)</f>
        <v>0</v>
      </c>
      <c r="R41" s="228">
        <v>412689.22</v>
      </c>
      <c r="S41" s="228">
        <f ca="1">SUMIFS(rec.uni[2024-03-01],
INDIRECT("rec.uni[natureza]"),"taxa.extra",
INDIRECT("rec.uni[empresa]"),S$6)</f>
        <v>0</v>
      </c>
      <c r="T41" s="216"/>
      <c r="U41" s="228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228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228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228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229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227">
        <f>COUNTIFS(
    estq[empresa], Z$6,
    estq[Data da venda / reserva], "&gt;=" &amp; $A41,
    estq[Data da venda / reserva], "&lt;"  &amp; EOMONTH($A41,0) + 1
)</f>
        <v>0</v>
      </c>
      <c r="AA41" s="228">
        <f ca="1">SUMIFS(rec.uni[2024-03-01],
INDIRECT("rec.uni[natureza]"),"pro.soluto",
INDIRECT("rec.uni[empresa]"),AA$6)</f>
        <v>0</v>
      </c>
      <c r="AB41" s="228">
        <f ca="1">SUMIFS(rec.uni[2024-03-01],
INDIRECT("rec.uni[natureza]"),"repasse.cef.obra",
INDIRECT("rec.uni[empresa]"),AB$6)</f>
        <v>0</v>
      </c>
      <c r="AC41" s="228">
        <f ca="1">SUMIFS(rec.uni[2024-03-01],
INDIRECT("rec.uni[natureza]"),"repasse.cef.terreno",
INDIRECT("rec.uni[empresa]"),AC$6)</f>
        <v>0</v>
      </c>
      <c r="AD41" s="228">
        <v>0</v>
      </c>
      <c r="AE41" s="228">
        <f ca="1">SUMIFS(rec.uni[2024-03-01],
INDIRECT("rec.uni[natureza]"),"taxa.extra",
INDIRECT("rec.uni[empresa]"),AE$6)</f>
        <v>0</v>
      </c>
      <c r="AF41" s="216"/>
      <c r="AG41" s="228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H41" s="228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I41" s="228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J41" s="228" cm="1">
        <f t="array" ref="AJ4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K41" s="229" cm="1">
        <f t="array" ref="AK4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L41" s="227">
        <f>COUNTIFS(
    estq[empresa], AL$6,
    estq[Data da venda / reserva], "&gt;=" &amp; $A41,
    estq[Data da venda / reserva], "&lt;"  &amp; EOMONTH($A41,0) + 1
)</f>
        <v>0</v>
      </c>
      <c r="AM41" s="228">
        <f ca="1">SUMIFS(rec.uni[2024-03-01],
INDIRECT("rec.uni[natureza]"),"pro.soluto",
INDIRECT("rec.uni[empresa]"),AM$6)</f>
        <v>0</v>
      </c>
      <c r="AN41" s="228">
        <f ca="1">SUMIFS(rec.uni[2024-03-01],
INDIRECT("rec.uni[natureza]"),"repasse.cef.obra",
INDIRECT("rec.uni[empresa]"),AN$6)</f>
        <v>0</v>
      </c>
      <c r="AO41" s="228">
        <f ca="1">SUMIFS(rec.uni[2024-03-01],
INDIRECT("rec.uni[natureza]"),"repasse.cef.terreno",
INDIRECT("rec.uni[empresa]"),AO$6)</f>
        <v>0</v>
      </c>
      <c r="AP41" s="228">
        <v>0</v>
      </c>
      <c r="AQ41" s="228">
        <f ca="1">SUMIFS(rec.uni[2024-03-01],
INDIRECT("rec.uni[natureza]"),"taxa.extra",
INDIRECT("rec.uni[empresa]"),AQ$6)</f>
        <v>0</v>
      </c>
      <c r="AR41" s="216"/>
      <c r="AS41" s="228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T41" s="228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U41" s="228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V41" s="228" cm="1">
        <f t="array" ref="AV4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W41" s="229" cm="1">
        <f t="array" ref="AW4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X41" s="227">
        <f>COUNTIFS(
    estq[empresa], AX$6,
    estq[Data da venda / reserva], "&gt;=" &amp; $A41,
    estq[Data da venda / reserva], "&lt;"  &amp; EOMONTH($A41,0) + 1
)</f>
        <v>0</v>
      </c>
      <c r="AY41" s="228">
        <f ca="1">SUMIFS(rec.uni[2024-03-01],
INDIRECT("rec.uni[natureza]"),"pro.soluto",
INDIRECT("rec.uni[empresa]"),AY$6)</f>
        <v>0</v>
      </c>
      <c r="AZ41" s="216">
        <f ca="1">SUMIFS(rec.uni[2024-03-01],
INDIRECT("rec.uni[natureza]"),"parcela.fin.total.ik",
INDIRECT("rec.uni[empresa]"),AZ$6)</f>
        <v>0</v>
      </c>
      <c r="BA41" s="228">
        <f ca="1">SUMIFS(rec.uni[2024-03-01],
INDIRECT("rec.uni[natureza]"),"taxa.extra",
INDIRECT("rec.uni[empresa]"),BA$6)</f>
        <v>0</v>
      </c>
      <c r="BB41" s="216"/>
      <c r="BC41" s="228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D41" s="228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E41" s="228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F41" s="228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G41" s="229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H41" s="227">
        <f>COUNTIFS(
    estq[empresa], BH$6,
    estq[Data da venda / reserva], "&gt;=" &amp; $A41,
    estq[Data da venda / reserva], "&lt;"  &amp; EOMONTH($A41,0) + 1
)</f>
        <v>0</v>
      </c>
      <c r="BI41" s="228">
        <f ca="1">SUMIFS(rec.uni[2024-03-01],
INDIRECT("rec.uni[natureza]"),"pro.soluto",
INDIRECT("rec.uni[empresa]"),BI$6)</f>
        <v>0</v>
      </c>
      <c r="BJ41" s="228">
        <f ca="1">SUMIFS(rec.uni[2024-03-01],
INDIRECT("rec.uni[natureza]"),"repasse.cef.obra",
INDIRECT("rec.uni[empresa]"),BJ$6)</f>
        <v>0</v>
      </c>
      <c r="BK41" s="228">
        <f ca="1">SUMIFS(rec.uni[2024-03-01],
INDIRECT("rec.uni[natureza]"),"repasse.cef.terreno",
INDIRECT("rec.uni[empresa]"),BK$6)</f>
        <v>0</v>
      </c>
      <c r="BL41" s="228">
        <v>0</v>
      </c>
      <c r="BM41" s="228">
        <f ca="1">SUMIFS(rec.uni[2024-03-01],
INDIRECT("rec.uni[natureza]"),"taxa.extra",
INDIRECT("rec.uni[empresa]"),BM$6)</f>
        <v>0</v>
      </c>
      <c r="BN41" s="216"/>
      <c r="BO41" s="228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P41" s="228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Q41" s="228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R41" s="228" cm="1">
        <f t="array" ref="BR4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S41" s="229" cm="1">
        <f t="array" ref="BS4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T41" s="227">
        <f>COUNTIFS(
    estq[empresa], BT$6,
    estq[Data da venda / reserva], "&gt;=" &amp; $A41,
    estq[Data da venda / reserva], "&lt;"  &amp; EOMONTH($A41,0) + 1
)</f>
        <v>0</v>
      </c>
      <c r="BU41" s="228">
        <f ca="1">SUMIFS(rec.uni[2024-03-01],
INDIRECT("rec.uni[natureza]"),"pro.soluto",
INDIRECT("rec.uni[empresa]"),BU$6)</f>
        <v>0</v>
      </c>
      <c r="BV41" s="228">
        <f ca="1">SUMIFS(rec.uni[2024-03-01],
INDIRECT("rec.uni[natureza]"),"repasse.cef.obra",
INDIRECT("rec.uni[empresa]"),BV$6)</f>
        <v>0</v>
      </c>
      <c r="BW41" s="228">
        <f ca="1">SUMIFS(rec.uni[2024-03-01],
INDIRECT("rec.uni[natureza]"),"repasse.cef.terreno",
INDIRECT("rec.uni[empresa]"),BW$6)</f>
        <v>0</v>
      </c>
      <c r="BX41" s="228">
        <v>0</v>
      </c>
      <c r="BY41" s="228">
        <f ca="1">SUMIFS(rec.uni[2024-03-01],
INDIRECT("rec.uni[natureza]"),"taxa.extra",
INDIRECT("rec.uni[empresa]"),BY$6)</f>
        <v>0</v>
      </c>
      <c r="BZ41" s="216"/>
      <c r="CA41" s="228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B41" s="228" cm="1">
        <f t="array" ref="CB4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C41" s="228" cm="1">
        <f t="array" ref="CC4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D41" s="228" cm="1">
        <f t="array" ref="CD4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E41" s="230" cm="1">
        <f t="array" ref="CE4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83" x14ac:dyDescent="0.25">
      <c r="A42" s="226">
        <v>45383</v>
      </c>
      <c r="B42" s="227">
        <f>COUNTIFS(
    estq[empresa], B$6,
    estq[Data da venda / reserva], "&gt;=" &amp; $A42,
    estq[Data da venda / reserva], "&lt;"  &amp; EOMONTH($A42,0) + 1
)</f>
        <v>0</v>
      </c>
      <c r="C42" s="228">
        <f ca="1">SUMIFS(rec.uni[2024-04-01],
INDIRECT("rec.uni[natureza]"),"pro.soluto",
INDIRECT("rec.uni[empresa]"),C$6)</f>
        <v>0</v>
      </c>
      <c r="D42" s="228">
        <f ca="1">SUMIFS(rec.uni[2024-04-01],
INDIRECT("rec.uni[natureza]"),"repasse.cef.obra",
INDIRECT("rec.uni[empresa]"),D$6)</f>
        <v>0</v>
      </c>
      <c r="E42" s="228">
        <f ca="1">SUMIFS(rec.uni[2024-04-01],
INDIRECT("rec.uni[natureza]"),"repasse.cef.terreno",
INDIRECT("rec.uni[empresa]"),E$6)</f>
        <v>0</v>
      </c>
      <c r="F42" s="228">
        <v>516683.36</v>
      </c>
      <c r="G42" s="228">
        <f ca="1">SUMIFS(rec.uni[2024-04-01],
INDIRECT("rec.uni[natureza]"),"taxa.extra",
INDIRECT("rec.uni[empresa]"),G$6)</f>
        <v>0</v>
      </c>
      <c r="H42" s="216"/>
      <c r="I42" s="228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228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228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228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229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227">
        <f>COUNTIFS(
    estq[empresa], N$6,
    estq[Data da venda / reserva], "&gt;=" &amp; $A42,
    estq[Data da venda / reserva], "&lt;"  &amp; EOMONTH($A42,0) + 1
)</f>
        <v>0</v>
      </c>
      <c r="O42" s="228">
        <f ca="1">SUMIFS(rec.uni[2024-04-01],
INDIRECT("rec.uni[natureza]"),"pro.soluto",
INDIRECT("rec.uni[empresa]"),O$6)</f>
        <v>0</v>
      </c>
      <c r="P42" s="228">
        <f ca="1">SUMIFS(rec.uni[2024-04-01],
INDIRECT("rec.uni[natureza]"),"repasse.cef.obra",
INDIRECT("rec.uni[empresa]"),P$6)</f>
        <v>0</v>
      </c>
      <c r="Q42" s="228">
        <f ca="1">SUMIFS(rec.uni[2024-04-01],
INDIRECT("rec.uni[natureza]"),"repasse.cef.terreno",
INDIRECT("rec.uni[empresa]"),Q$6)</f>
        <v>0</v>
      </c>
      <c r="R42" s="228">
        <v>556963.03</v>
      </c>
      <c r="S42" s="228">
        <f ca="1">SUMIFS(rec.uni[2024-04-01],
INDIRECT("rec.uni[natureza]"),"taxa.extra",
INDIRECT("rec.uni[empresa]"),S$6)</f>
        <v>0</v>
      </c>
      <c r="T42" s="216"/>
      <c r="U42" s="228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228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228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228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229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227">
        <f>COUNTIFS(
    estq[empresa], Z$6,
    estq[Data da venda / reserva], "&gt;=" &amp; $A42,
    estq[Data da venda / reserva], "&lt;"  &amp; EOMONTH($A42,0) + 1
)</f>
        <v>0</v>
      </c>
      <c r="AA42" s="228">
        <f ca="1">SUMIFS(rec.uni[2024-04-01],
INDIRECT("rec.uni[natureza]"),"pro.soluto",
INDIRECT("rec.uni[empresa]"),AA$6)</f>
        <v>0</v>
      </c>
      <c r="AB42" s="228">
        <f ca="1">SUMIFS(rec.uni[2024-04-01],
INDIRECT("rec.uni[natureza]"),"repasse.cef.obra",
INDIRECT("rec.uni[empresa]"),AB$6)</f>
        <v>0</v>
      </c>
      <c r="AC42" s="228">
        <f ca="1">SUMIFS(rec.uni[2024-04-01],
INDIRECT("rec.uni[natureza]"),"repasse.cef.terreno",
INDIRECT("rec.uni[empresa]"),AC$6)</f>
        <v>0</v>
      </c>
      <c r="AD42" s="228">
        <v>0</v>
      </c>
      <c r="AE42" s="228">
        <f ca="1">SUMIFS(rec.uni[2024-04-01],
INDIRECT("rec.uni[natureza]"),"taxa.extra",
INDIRECT("rec.uni[empresa]"),AE$6)</f>
        <v>0</v>
      </c>
      <c r="AF42" s="216"/>
      <c r="AG42" s="228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H42" s="228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I42" s="228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J42" s="228" cm="1">
        <f t="array" ref="AJ4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K42" s="229" cm="1">
        <f t="array" ref="AK4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L42" s="227">
        <f>COUNTIFS(
    estq[empresa], AL$6,
    estq[Data da venda / reserva], "&gt;=" &amp; $A42,
    estq[Data da venda / reserva], "&lt;"  &amp; EOMONTH($A42,0) + 1
)</f>
        <v>0</v>
      </c>
      <c r="AM42" s="228">
        <f ca="1">SUMIFS(rec.uni[2024-04-01],
INDIRECT("rec.uni[natureza]"),"pro.soluto",
INDIRECT("rec.uni[empresa]"),AM$6)</f>
        <v>0</v>
      </c>
      <c r="AN42" s="228">
        <f ca="1">SUMIFS(rec.uni[2024-04-01],
INDIRECT("rec.uni[natureza]"),"repasse.cef.obra",
INDIRECT("rec.uni[empresa]"),AN$6)</f>
        <v>0</v>
      </c>
      <c r="AO42" s="228">
        <f ca="1">SUMIFS(rec.uni[2024-04-01],
INDIRECT("rec.uni[natureza]"),"repasse.cef.terreno",
INDIRECT("rec.uni[empresa]"),AO$6)</f>
        <v>0</v>
      </c>
      <c r="AP42" s="228">
        <v>0</v>
      </c>
      <c r="AQ42" s="228">
        <f ca="1">SUMIFS(rec.uni[2024-04-01],
INDIRECT("rec.uni[natureza]"),"taxa.extra",
INDIRECT("rec.uni[empresa]"),AQ$6)</f>
        <v>0</v>
      </c>
      <c r="AR42" s="216"/>
      <c r="AS42" s="228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T42" s="228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U42" s="228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V42" s="228" cm="1">
        <f t="array" ref="AV4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W42" s="229" cm="1">
        <f t="array" ref="AW4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X42" s="227">
        <f>COUNTIFS(
    estq[empresa], AX$6,
    estq[Data da venda / reserva], "&gt;=" &amp; $A42,
    estq[Data da venda / reserva], "&lt;"  &amp; EOMONTH($A42,0) + 1
)</f>
        <v>0</v>
      </c>
      <c r="AY42" s="228">
        <f ca="1">SUMIFS(rec.uni[2024-04-01],
INDIRECT("rec.uni[natureza]"),"pro.soluto",
INDIRECT("rec.uni[empresa]"),AY$6)</f>
        <v>0</v>
      </c>
      <c r="AZ42" s="216">
        <f ca="1">SUMIFS(rec.uni[2024-04-01],
INDIRECT("rec.uni[natureza]"),"parcela.fin.total.ik",
INDIRECT("rec.uni[empresa]"),AZ$6)</f>
        <v>0</v>
      </c>
      <c r="BA42" s="228">
        <f ca="1">SUMIFS(rec.uni[2024-04-01],
INDIRECT("rec.uni[natureza]"),"taxa.extra",
INDIRECT("rec.uni[empresa]"),BA$6)</f>
        <v>0</v>
      </c>
      <c r="BB42" s="216"/>
      <c r="BC42" s="228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D42" s="228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E42" s="228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F42" s="228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G42" s="229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H42" s="227">
        <f>COUNTIFS(
    estq[empresa], BH$6,
    estq[Data da venda / reserva], "&gt;=" &amp; $A42,
    estq[Data da venda / reserva], "&lt;"  &amp; EOMONTH($A42,0) + 1
)</f>
        <v>0</v>
      </c>
      <c r="BI42" s="228">
        <f ca="1">SUMIFS(rec.uni[2024-04-01],
INDIRECT("rec.uni[natureza]"),"pro.soluto",
INDIRECT("rec.uni[empresa]"),BI$6)</f>
        <v>0</v>
      </c>
      <c r="BJ42" s="228">
        <f ca="1">SUMIFS(rec.uni[2024-04-01],
INDIRECT("rec.uni[natureza]"),"repasse.cef.obra",
INDIRECT("rec.uni[empresa]"),BJ$6)</f>
        <v>0</v>
      </c>
      <c r="BK42" s="228">
        <f ca="1">SUMIFS(rec.uni[2024-04-01],
INDIRECT("rec.uni[natureza]"),"repasse.cef.terreno",
INDIRECT("rec.uni[empresa]"),BK$6)</f>
        <v>0</v>
      </c>
      <c r="BL42" s="228">
        <v>0</v>
      </c>
      <c r="BM42" s="228">
        <f ca="1">SUMIFS(rec.uni[2024-04-01],
INDIRECT("rec.uni[natureza]"),"taxa.extra",
INDIRECT("rec.uni[empresa]"),BM$6)</f>
        <v>0</v>
      </c>
      <c r="BN42" s="216"/>
      <c r="BO42" s="228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P42" s="228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Q42" s="228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R42" s="228" cm="1">
        <f t="array" ref="BR4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S42" s="229" cm="1">
        <f t="array" ref="BS4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T42" s="227">
        <f>COUNTIFS(
    estq[empresa], BT$6,
    estq[Data da venda / reserva], "&gt;=" &amp; $A42,
    estq[Data da venda / reserva], "&lt;"  &amp; EOMONTH($A42,0) + 1
)</f>
        <v>0</v>
      </c>
      <c r="BU42" s="228">
        <f ca="1">SUMIFS(rec.uni[2024-04-01],
INDIRECT("rec.uni[natureza]"),"pro.soluto",
INDIRECT("rec.uni[empresa]"),BU$6)</f>
        <v>0</v>
      </c>
      <c r="BV42" s="228">
        <f ca="1">SUMIFS(rec.uni[2024-04-01],
INDIRECT("rec.uni[natureza]"),"repasse.cef.obra",
INDIRECT("rec.uni[empresa]"),BV$6)</f>
        <v>0</v>
      </c>
      <c r="BW42" s="228">
        <f ca="1">SUMIFS(rec.uni[2024-04-01],
INDIRECT("rec.uni[natureza]"),"repasse.cef.terreno",
INDIRECT("rec.uni[empresa]"),BW$6)</f>
        <v>0</v>
      </c>
      <c r="BX42" s="228">
        <v>0</v>
      </c>
      <c r="BY42" s="228">
        <f ca="1">SUMIFS(rec.uni[2024-04-01],
INDIRECT("rec.uni[natureza]"),"taxa.extra",
INDIRECT("rec.uni[empresa]"),BY$6)</f>
        <v>0</v>
      </c>
      <c r="BZ42" s="216"/>
      <c r="CA42" s="228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B42" s="228" cm="1">
        <f t="array" ref="CB4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C42" s="228" cm="1">
        <f t="array" ref="CC4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D42" s="228" cm="1">
        <f t="array" ref="CD4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E42" s="230" cm="1">
        <f t="array" ref="CE4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83" x14ac:dyDescent="0.25">
      <c r="A43" s="226">
        <v>45413</v>
      </c>
      <c r="B43" s="227">
        <f>COUNTIFS(
    estq[empresa], B$6,
    estq[Data da venda / reserva], "&gt;=" &amp; $A43,
    estq[Data da venda / reserva], "&lt;"  &amp; EOMONTH($A43,0) + 1
)</f>
        <v>0</v>
      </c>
      <c r="C43" s="228">
        <f ca="1">SUMIFS(rec.uni[2024-05-01],
INDIRECT("rec.uni[natureza]"),"pro.soluto",
INDIRECT("rec.uni[empresa]"),C$6)</f>
        <v>0</v>
      </c>
      <c r="D43" s="228">
        <f ca="1">SUMIFS(rec.uni[2024-05-01],
INDIRECT("rec.uni[natureza]"),"repasse.cef.obra",
INDIRECT("rec.uni[empresa]"),D$6)</f>
        <v>0</v>
      </c>
      <c r="E43" s="228">
        <f ca="1">SUMIFS(rec.uni[2024-05-01],
INDIRECT("rec.uni[natureza]"),"repasse.cef.terreno",
INDIRECT("rec.uni[empresa]"),E$6)</f>
        <v>0</v>
      </c>
      <c r="F43" s="228">
        <v>0</v>
      </c>
      <c r="G43" s="228">
        <f ca="1">SUMIFS(rec.uni[2024-05-01],
INDIRECT("rec.uni[natureza]"),"taxa.extra",
INDIRECT("rec.uni[empresa]"),G$6)</f>
        <v>0</v>
      </c>
      <c r="H43" s="216"/>
      <c r="I43" s="228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228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228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228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229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227">
        <f>COUNTIFS(
    estq[empresa], N$6,
    estq[Data da venda / reserva], "&gt;=" &amp; $A43,
    estq[Data da venda / reserva], "&lt;"  &amp; EOMONTH($A43,0) + 1
)</f>
        <v>0</v>
      </c>
      <c r="O43" s="228">
        <f ca="1">SUMIFS(rec.uni[2024-05-01],
INDIRECT("rec.uni[natureza]"),"pro.soluto",
INDIRECT("rec.uni[empresa]"),O$6)</f>
        <v>0</v>
      </c>
      <c r="P43" s="228">
        <f ca="1">SUMIFS(rec.uni[2024-05-01],
INDIRECT("rec.uni[natureza]"),"repasse.cef.obra",
INDIRECT("rec.uni[empresa]"),P$6)</f>
        <v>0</v>
      </c>
      <c r="Q43" s="228">
        <f ca="1">SUMIFS(rec.uni[2024-05-01],
INDIRECT("rec.uni[natureza]"),"repasse.cef.terreno",
INDIRECT("rec.uni[empresa]"),Q$6)</f>
        <v>0</v>
      </c>
      <c r="R43" s="228">
        <v>0</v>
      </c>
      <c r="S43" s="228">
        <f ca="1">SUMIFS(rec.uni[2024-05-01],
INDIRECT("rec.uni[natureza]"),"taxa.extra",
INDIRECT("rec.uni[empresa]"),S$6)</f>
        <v>0</v>
      </c>
      <c r="T43" s="216"/>
      <c r="U43" s="228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228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228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228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229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227">
        <f>COUNTIFS(
    estq[empresa], Z$6,
    estq[Data da venda / reserva], "&gt;=" &amp; $A43,
    estq[Data da venda / reserva], "&lt;"  &amp; EOMONTH($A43,0) + 1
)</f>
        <v>0</v>
      </c>
      <c r="AA43" s="228">
        <f ca="1">SUMIFS(rec.uni[2024-05-01],
INDIRECT("rec.uni[natureza]"),"pro.soluto",
INDIRECT("rec.uni[empresa]"),AA$6)</f>
        <v>0</v>
      </c>
      <c r="AB43" s="228">
        <f ca="1">SUMIFS(rec.uni[2024-05-01],
INDIRECT("rec.uni[natureza]"),"repasse.cef.obra",
INDIRECT("rec.uni[empresa]"),AB$6)</f>
        <v>0</v>
      </c>
      <c r="AC43" s="228">
        <f ca="1">SUMIFS(rec.uni[2024-05-01],
INDIRECT("rec.uni[natureza]"),"repasse.cef.terreno",
INDIRECT("rec.uni[empresa]"),AC$6)</f>
        <v>0</v>
      </c>
      <c r="AD43" s="228">
        <v>0</v>
      </c>
      <c r="AE43" s="228">
        <f ca="1">SUMIFS(rec.uni[2024-05-01],
INDIRECT("rec.uni[natureza]"),"taxa.extra",
INDIRECT("rec.uni[empresa]"),AE$6)</f>
        <v>0</v>
      </c>
      <c r="AF43" s="216"/>
      <c r="AG43" s="228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H43" s="228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I43" s="228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J43" s="228" cm="1">
        <f t="array" ref="AJ4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K43" s="229" cm="1">
        <f t="array" ref="AK4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L43" s="227">
        <f>COUNTIFS(
    estq[empresa], AL$6,
    estq[Data da venda / reserva], "&gt;=" &amp; $A43,
    estq[Data da venda / reserva], "&lt;"  &amp; EOMONTH($A43,0) + 1
)</f>
        <v>0</v>
      </c>
      <c r="AM43" s="228">
        <f ca="1">SUMIFS(rec.uni[2024-05-01],
INDIRECT("rec.uni[natureza]"),"pro.soluto",
INDIRECT("rec.uni[empresa]"),AM$6)</f>
        <v>0</v>
      </c>
      <c r="AN43" s="228">
        <f ca="1">SUMIFS(rec.uni[2024-05-01],
INDIRECT("rec.uni[natureza]"),"repasse.cef.obra",
INDIRECT("rec.uni[empresa]"),AN$6)</f>
        <v>0</v>
      </c>
      <c r="AO43" s="228">
        <f ca="1">SUMIFS(rec.uni[2024-05-01],
INDIRECT("rec.uni[natureza]"),"repasse.cef.terreno",
INDIRECT("rec.uni[empresa]"),AO$6)</f>
        <v>0</v>
      </c>
      <c r="AP43" s="228">
        <v>0</v>
      </c>
      <c r="AQ43" s="228">
        <f ca="1">SUMIFS(rec.uni[2024-05-01],
INDIRECT("rec.uni[natureza]"),"taxa.extra",
INDIRECT("rec.uni[empresa]"),AQ$6)</f>
        <v>0</v>
      </c>
      <c r="AR43" s="216"/>
      <c r="AS43" s="228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T43" s="228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U43" s="228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V43" s="228" cm="1">
        <f t="array" ref="AV4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W43" s="229" cm="1">
        <f t="array" ref="AW4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X43" s="227">
        <f>COUNTIFS(
    estq[empresa], AX$6,
    estq[Data da venda / reserva], "&gt;=" &amp; $A43,
    estq[Data da venda / reserva], "&lt;"  &amp; EOMONTH($A43,0) + 1
)</f>
        <v>0</v>
      </c>
      <c r="AY43" s="228">
        <f ca="1">SUMIFS(rec.uni[2024-05-01],
INDIRECT("rec.uni[natureza]"),"pro.soluto",
INDIRECT("rec.uni[empresa]"),AY$6)</f>
        <v>0</v>
      </c>
      <c r="AZ43" s="216">
        <f ca="1">SUMIFS(rec.uni[2024-05-01],
INDIRECT("rec.uni[natureza]"),"parcela.fin.total.ik",
INDIRECT("rec.uni[empresa]"),AZ$6)</f>
        <v>0</v>
      </c>
      <c r="BA43" s="228">
        <f ca="1">SUMIFS(rec.uni[2024-05-01],
INDIRECT("rec.uni[natureza]"),"taxa.extra",
INDIRECT("rec.uni[empresa]"),BA$6)</f>
        <v>0</v>
      </c>
      <c r="BB43" s="216"/>
      <c r="BC43" s="228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D43" s="228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E43" s="228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F43" s="228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G43" s="229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H43" s="227">
        <f>COUNTIFS(
    estq[empresa], BH$6,
    estq[Data da venda / reserva], "&gt;=" &amp; $A43,
    estq[Data da venda / reserva], "&lt;"  &amp; EOMONTH($A43,0) + 1
)</f>
        <v>0</v>
      </c>
      <c r="BI43" s="228">
        <f ca="1">SUMIFS(rec.uni[2024-05-01],
INDIRECT("rec.uni[natureza]"),"pro.soluto",
INDIRECT("rec.uni[empresa]"),BI$6)</f>
        <v>0</v>
      </c>
      <c r="BJ43" s="228">
        <f ca="1">SUMIFS(rec.uni[2024-05-01],
INDIRECT("rec.uni[natureza]"),"repasse.cef.obra",
INDIRECT("rec.uni[empresa]"),BJ$6)</f>
        <v>0</v>
      </c>
      <c r="BK43" s="228">
        <f ca="1">SUMIFS(rec.uni[2024-05-01],
INDIRECT("rec.uni[natureza]"),"repasse.cef.terreno",
INDIRECT("rec.uni[empresa]"),BK$6)</f>
        <v>0</v>
      </c>
      <c r="BL43" s="228">
        <v>0</v>
      </c>
      <c r="BM43" s="228">
        <f ca="1">SUMIFS(rec.uni[2024-05-01],
INDIRECT("rec.uni[natureza]"),"taxa.extra",
INDIRECT("rec.uni[empresa]"),BM$6)</f>
        <v>0</v>
      </c>
      <c r="BN43" s="216"/>
      <c r="BO43" s="228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P43" s="228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Q43" s="228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R43" s="228" cm="1">
        <f t="array" ref="BR4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S43" s="229" cm="1">
        <f t="array" ref="BS4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T43" s="227">
        <f>COUNTIFS(
    estq[empresa], BT$6,
    estq[Data da venda / reserva], "&gt;=" &amp; $A43,
    estq[Data da venda / reserva], "&lt;"  &amp; EOMONTH($A43,0) + 1
)</f>
        <v>0</v>
      </c>
      <c r="BU43" s="228">
        <f ca="1">SUMIFS(rec.uni[2024-05-01],
INDIRECT("rec.uni[natureza]"),"pro.soluto",
INDIRECT("rec.uni[empresa]"),BU$6)</f>
        <v>0</v>
      </c>
      <c r="BV43" s="228">
        <f ca="1">SUMIFS(rec.uni[2024-05-01],
INDIRECT("rec.uni[natureza]"),"repasse.cef.obra",
INDIRECT("rec.uni[empresa]"),BV$6)</f>
        <v>0</v>
      </c>
      <c r="BW43" s="228">
        <f ca="1">SUMIFS(rec.uni[2024-05-01],
INDIRECT("rec.uni[natureza]"),"repasse.cef.terreno",
INDIRECT("rec.uni[empresa]"),BW$6)</f>
        <v>0</v>
      </c>
      <c r="BX43" s="228">
        <v>0</v>
      </c>
      <c r="BY43" s="228">
        <f ca="1">SUMIFS(rec.uni[2024-05-01],
INDIRECT("rec.uni[natureza]"),"taxa.extra",
INDIRECT("rec.uni[empresa]"),BY$6)</f>
        <v>0</v>
      </c>
      <c r="BZ43" s="216"/>
      <c r="CA43" s="228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B43" s="228" cm="1">
        <f t="array" ref="CB4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C43" s="228" cm="1">
        <f t="array" ref="CC4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D43" s="228" cm="1">
        <f t="array" ref="CD4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E43" s="230" cm="1">
        <f t="array" ref="CE4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83" x14ac:dyDescent="0.25">
      <c r="A44" s="226">
        <v>45444</v>
      </c>
      <c r="B44" s="227">
        <f>COUNTIFS(
    estq[empresa], B$6,
    estq[Data da venda / reserva], "&gt;=" &amp; $A44,
    estq[Data da venda / reserva], "&lt;"  &amp; EOMONTH($A44,0) + 1
)</f>
        <v>0</v>
      </c>
      <c r="C44" s="228">
        <f ca="1">SUMIFS(rec.uni[2024-06-01],
INDIRECT("rec.uni[natureza]"),"pro.soluto",
INDIRECT("rec.uni[empresa]"),C$6)</f>
        <v>0</v>
      </c>
      <c r="D44" s="228">
        <f ca="1">SUMIFS(rec.uni[2024-06-01],
INDIRECT("rec.uni[natureza]"),"repasse.cef.obra",
INDIRECT("rec.uni[empresa]"),D$6)</f>
        <v>0</v>
      </c>
      <c r="E44" s="228">
        <f ca="1">SUMIFS(rec.uni[2024-06-01],
INDIRECT("rec.uni[natureza]"),"repasse.cef.terreno",
INDIRECT("rec.uni[empresa]"),E$6)</f>
        <v>0</v>
      </c>
      <c r="F44" s="228">
        <v>0</v>
      </c>
      <c r="G44" s="228">
        <f ca="1">SUMIFS(rec.uni[2024-06-01],
INDIRECT("rec.uni[natureza]"),"taxa.extra",
INDIRECT("rec.uni[empresa]"),G$6)</f>
        <v>0</v>
      </c>
      <c r="H44" s="216"/>
      <c r="I44" s="228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228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228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228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229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227">
        <f>COUNTIFS(
    estq[empresa], N$6,
    estq[Data da venda / reserva], "&gt;=" &amp; $A44,
    estq[Data da venda / reserva], "&lt;"  &amp; EOMONTH($A44,0) + 1
)</f>
        <v>0</v>
      </c>
      <c r="O44" s="228">
        <f ca="1">SUMIFS(rec.uni[2024-06-01],
INDIRECT("rec.uni[natureza]"),"pro.soluto",
INDIRECT("rec.uni[empresa]"),O$6)</f>
        <v>0</v>
      </c>
      <c r="P44" s="228">
        <f ca="1">SUMIFS(rec.uni[2024-06-01],
INDIRECT("rec.uni[natureza]"),"repasse.cef.obra",
INDIRECT("rec.uni[empresa]"),P$6)</f>
        <v>0</v>
      </c>
      <c r="Q44" s="228">
        <f ca="1">SUMIFS(rec.uni[2024-06-01],
INDIRECT("rec.uni[natureza]"),"repasse.cef.terreno",
INDIRECT("rec.uni[empresa]"),Q$6)</f>
        <v>0</v>
      </c>
      <c r="R44" s="228">
        <v>0</v>
      </c>
      <c r="S44" s="228">
        <f ca="1">SUMIFS(rec.uni[2024-06-01],
INDIRECT("rec.uni[natureza]"),"taxa.extra",
INDIRECT("rec.uni[empresa]"),S$6)</f>
        <v>0</v>
      </c>
      <c r="T44" s="216"/>
      <c r="U44" s="228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228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228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228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229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227">
        <f>COUNTIFS(
    estq[empresa], Z$6,
    estq[Data da venda / reserva], "&gt;=" &amp; $A44,
    estq[Data da venda / reserva], "&lt;"  &amp; EOMONTH($A44,0) + 1
)</f>
        <v>0</v>
      </c>
      <c r="AA44" s="228">
        <f ca="1">SUMIFS(rec.uni[2024-06-01],
INDIRECT("rec.uni[natureza]"),"pro.soluto",
INDIRECT("rec.uni[empresa]"),AA$6)</f>
        <v>0</v>
      </c>
      <c r="AB44" s="228">
        <f ca="1">SUMIFS(rec.uni[2024-06-01],
INDIRECT("rec.uni[natureza]"),"repasse.cef.obra",
INDIRECT("rec.uni[empresa]"),AB$6)</f>
        <v>0</v>
      </c>
      <c r="AC44" s="228">
        <f ca="1">SUMIFS(rec.uni[2024-06-01],
INDIRECT("rec.uni[natureza]"),"repasse.cef.terreno",
INDIRECT("rec.uni[empresa]"),AC$6)</f>
        <v>0</v>
      </c>
      <c r="AD44" s="228">
        <v>0</v>
      </c>
      <c r="AE44" s="228">
        <f ca="1">SUMIFS(rec.uni[2024-06-01],
INDIRECT("rec.uni[natureza]"),"taxa.extra",
INDIRECT("rec.uni[empresa]"),AE$6)</f>
        <v>0</v>
      </c>
      <c r="AF44" s="216"/>
      <c r="AG44" s="228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H44" s="228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I44" s="228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J44" s="228" cm="1">
        <f t="array" ref="AJ4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K44" s="229" cm="1">
        <f t="array" ref="AK4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L44" s="227">
        <f>COUNTIFS(
    estq[empresa], AL$6,
    estq[Data da venda / reserva], "&gt;=" &amp; $A44,
    estq[Data da venda / reserva], "&lt;"  &amp; EOMONTH($A44,0) + 1
)</f>
        <v>0</v>
      </c>
      <c r="AM44" s="228">
        <f ca="1">SUMIFS(rec.uni[2024-06-01],
INDIRECT("rec.uni[natureza]"),"pro.soluto",
INDIRECT("rec.uni[empresa]"),AM$6)</f>
        <v>0</v>
      </c>
      <c r="AN44" s="228">
        <f ca="1">SUMIFS(rec.uni[2024-06-01],
INDIRECT("rec.uni[natureza]"),"repasse.cef.obra",
INDIRECT("rec.uni[empresa]"),AN$6)</f>
        <v>0</v>
      </c>
      <c r="AO44" s="228">
        <f ca="1">SUMIFS(rec.uni[2024-06-01],
INDIRECT("rec.uni[natureza]"),"repasse.cef.terreno",
INDIRECT("rec.uni[empresa]"),AO$6)</f>
        <v>0</v>
      </c>
      <c r="AP44" s="228">
        <v>0</v>
      </c>
      <c r="AQ44" s="228">
        <f ca="1">SUMIFS(rec.uni[2024-06-01],
INDIRECT("rec.uni[natureza]"),"taxa.extra",
INDIRECT("rec.uni[empresa]"),AQ$6)</f>
        <v>0</v>
      </c>
      <c r="AR44" s="216"/>
      <c r="AS44" s="228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T44" s="228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U44" s="228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V44" s="228" cm="1">
        <f t="array" ref="AV4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W44" s="229" cm="1">
        <f t="array" ref="AW4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X44" s="227">
        <f>COUNTIFS(
    estq[empresa], AX$6,
    estq[Data da venda / reserva], "&gt;=" &amp; $A44,
    estq[Data da venda / reserva], "&lt;"  &amp; EOMONTH($A44,0) + 1
)</f>
        <v>0</v>
      </c>
      <c r="AY44" s="228">
        <f ca="1">SUMIFS(rec.uni[2024-06-01],
INDIRECT("rec.uni[natureza]"),"pro.soluto",
INDIRECT("rec.uni[empresa]"),AY$6)</f>
        <v>0</v>
      </c>
      <c r="AZ44" s="216">
        <f ca="1">SUMIFS(rec.uni[2024-06-01],
INDIRECT("rec.uni[natureza]"),"parcela.fin.total.ik",
INDIRECT("rec.uni[empresa]"),AZ$6)</f>
        <v>0</v>
      </c>
      <c r="BA44" s="228">
        <f ca="1">SUMIFS(rec.uni[2024-06-01],
INDIRECT("rec.uni[natureza]"),"taxa.extra",
INDIRECT("rec.uni[empresa]"),BA$6)</f>
        <v>0</v>
      </c>
      <c r="BB44" s="216"/>
      <c r="BC44" s="228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D44" s="228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E44" s="228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F44" s="228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G44" s="229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H44" s="227">
        <f>COUNTIFS(
    estq[empresa], BH$6,
    estq[Data da venda / reserva], "&gt;=" &amp; $A44,
    estq[Data da venda / reserva], "&lt;"  &amp; EOMONTH($A44,0) + 1
)</f>
        <v>0</v>
      </c>
      <c r="BI44" s="228">
        <f ca="1">SUMIFS(rec.uni[2024-06-01],
INDIRECT("rec.uni[natureza]"),"pro.soluto",
INDIRECT("rec.uni[empresa]"),BI$6)</f>
        <v>0</v>
      </c>
      <c r="BJ44" s="228">
        <f ca="1">SUMIFS(rec.uni[2024-06-01],
INDIRECT("rec.uni[natureza]"),"repasse.cef.obra",
INDIRECT("rec.uni[empresa]"),BJ$6)</f>
        <v>0</v>
      </c>
      <c r="BK44" s="228">
        <f ca="1">SUMIFS(rec.uni[2024-06-01],
INDIRECT("rec.uni[natureza]"),"repasse.cef.terreno",
INDIRECT("rec.uni[empresa]"),BK$6)</f>
        <v>0</v>
      </c>
      <c r="BL44" s="228">
        <v>0</v>
      </c>
      <c r="BM44" s="228">
        <f ca="1">SUMIFS(rec.uni[2024-06-01],
INDIRECT("rec.uni[natureza]"),"taxa.extra",
INDIRECT("rec.uni[empresa]"),BM$6)</f>
        <v>0</v>
      </c>
      <c r="BN44" s="216"/>
      <c r="BO44" s="228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P44" s="228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Q44" s="228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R44" s="228" cm="1">
        <f t="array" ref="BR4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S44" s="229" cm="1">
        <f t="array" ref="BS4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T44" s="227">
        <f>COUNTIFS(
    estq[empresa], BT$6,
    estq[Data da venda / reserva], "&gt;=" &amp; $A44,
    estq[Data da venda / reserva], "&lt;"  &amp; EOMONTH($A44,0) + 1
)</f>
        <v>0</v>
      </c>
      <c r="BU44" s="228">
        <f ca="1">SUMIFS(rec.uni[2024-06-01],
INDIRECT("rec.uni[natureza]"),"pro.soluto",
INDIRECT("rec.uni[empresa]"),BU$6)</f>
        <v>0</v>
      </c>
      <c r="BV44" s="228">
        <f ca="1">SUMIFS(rec.uni[2024-06-01],
INDIRECT("rec.uni[natureza]"),"repasse.cef.obra",
INDIRECT("rec.uni[empresa]"),BV$6)</f>
        <v>0</v>
      </c>
      <c r="BW44" s="228">
        <f ca="1">SUMIFS(rec.uni[2024-06-01],
INDIRECT("rec.uni[natureza]"),"repasse.cef.terreno",
INDIRECT("rec.uni[empresa]"),BW$6)</f>
        <v>0</v>
      </c>
      <c r="BX44" s="228">
        <v>0</v>
      </c>
      <c r="BY44" s="228">
        <f ca="1">SUMIFS(rec.uni[2024-06-01],
INDIRECT("rec.uni[natureza]"),"taxa.extra",
INDIRECT("rec.uni[empresa]"),BY$6)</f>
        <v>0</v>
      </c>
      <c r="BZ44" s="216"/>
      <c r="CA44" s="228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B44" s="228" cm="1">
        <f t="array" ref="CB4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C44" s="228" cm="1">
        <f t="array" ref="CC4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D44" s="228" cm="1">
        <f t="array" ref="CD4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E44" s="230" cm="1">
        <f t="array" ref="CE4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83" x14ac:dyDescent="0.25">
      <c r="A45" s="226">
        <v>45474</v>
      </c>
      <c r="B45" s="227">
        <f>COUNTIFS(
    estq[empresa], B$6,
    estq[Data da venda / reserva], "&gt;=" &amp; $A45,
    estq[Data da venda / reserva], "&lt;"  &amp; EOMONTH($A45,0) + 1
)</f>
        <v>0</v>
      </c>
      <c r="C45" s="228">
        <f ca="1">SUMIFS(rec.uni[2024-07-01],
INDIRECT("rec.uni[natureza]"),"pro.soluto",
INDIRECT("rec.uni[empresa]"),C$6)</f>
        <v>0</v>
      </c>
      <c r="D45" s="228">
        <f ca="1">SUMIFS(rec.uni[2024-07-01],
INDIRECT("rec.uni[natureza]"),"repasse.cef.obra",
INDIRECT("rec.uni[empresa]"),D$6)</f>
        <v>0</v>
      </c>
      <c r="E45" s="228">
        <f ca="1">SUMIFS(rec.uni[2024-07-01],
INDIRECT("rec.uni[natureza]"),"repasse.cef.terreno",
INDIRECT("rec.uni[empresa]"),E$6)</f>
        <v>0</v>
      </c>
      <c r="F45" s="228">
        <v>0</v>
      </c>
      <c r="G45" s="228">
        <f ca="1">SUMIFS(rec.uni[2024-07-01],
INDIRECT("rec.uni[natureza]"),"taxa.extra",
INDIRECT("rec.uni[empresa]"),G$6)</f>
        <v>0</v>
      </c>
      <c r="H45" s="216"/>
      <c r="I45" s="228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228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228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228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229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227">
        <f>COUNTIFS(
    estq[empresa], N$6,
    estq[Data da venda / reserva], "&gt;=" &amp; $A45,
    estq[Data da venda / reserva], "&lt;"  &amp; EOMONTH($A45,0) + 1
)</f>
        <v>0</v>
      </c>
      <c r="O45" s="228">
        <f ca="1">SUMIFS(rec.uni[2024-07-01],
INDIRECT("rec.uni[natureza]"),"pro.soluto",
INDIRECT("rec.uni[empresa]"),O$6)</f>
        <v>0</v>
      </c>
      <c r="P45" s="228">
        <f ca="1">SUMIFS(rec.uni[2024-07-01],
INDIRECT("rec.uni[natureza]"),"repasse.cef.obra",
INDIRECT("rec.uni[empresa]"),P$6)</f>
        <v>0</v>
      </c>
      <c r="Q45" s="228">
        <f ca="1">SUMIFS(rec.uni[2024-07-01],
INDIRECT("rec.uni[natureza]"),"repasse.cef.terreno",
INDIRECT("rec.uni[empresa]"),Q$6)</f>
        <v>0</v>
      </c>
      <c r="R45" s="228">
        <v>0</v>
      </c>
      <c r="S45" s="228">
        <f ca="1">SUMIFS(rec.uni[2024-07-01],
INDIRECT("rec.uni[natureza]"),"taxa.extra",
INDIRECT("rec.uni[empresa]"),S$6)</f>
        <v>0</v>
      </c>
      <c r="T45" s="216"/>
      <c r="U45" s="228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228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228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228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229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227">
        <f>COUNTIFS(
    estq[empresa], Z$6,
    estq[Data da venda / reserva], "&gt;=" &amp; $A45,
    estq[Data da venda / reserva], "&lt;"  &amp; EOMONTH($A45,0) + 1
)</f>
        <v>0</v>
      </c>
      <c r="AA45" s="228">
        <f ca="1">SUMIFS(rec.uni[2024-07-01],
INDIRECT("rec.uni[natureza]"),"pro.soluto",
INDIRECT("rec.uni[empresa]"),AA$6)</f>
        <v>0</v>
      </c>
      <c r="AB45" s="228">
        <f ca="1">SUMIFS(rec.uni[2024-07-01],
INDIRECT("rec.uni[natureza]"),"repasse.cef.obra",
INDIRECT("rec.uni[empresa]"),AB$6)</f>
        <v>0</v>
      </c>
      <c r="AC45" s="228">
        <f ca="1">SUMIFS(rec.uni[2024-07-01],
INDIRECT("rec.uni[natureza]"),"repasse.cef.terreno",
INDIRECT("rec.uni[empresa]"),AC$6)</f>
        <v>0</v>
      </c>
      <c r="AD45" s="228">
        <v>0</v>
      </c>
      <c r="AE45" s="228">
        <f ca="1">SUMIFS(rec.uni[2024-07-01],
INDIRECT("rec.uni[natureza]"),"taxa.extra",
INDIRECT("rec.uni[empresa]"),AE$6)</f>
        <v>0</v>
      </c>
      <c r="AF45" s="216"/>
      <c r="AG45" s="228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H45" s="228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I45" s="228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J45" s="228" cm="1">
        <f t="array" ref="AJ4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K45" s="229" cm="1">
        <f t="array" ref="AK4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L45" s="227">
        <f>COUNTIFS(
    estq[empresa], AL$6,
    estq[Data da venda / reserva], "&gt;=" &amp; $A45,
    estq[Data da venda / reserva], "&lt;"  &amp; EOMONTH($A45,0) + 1
)</f>
        <v>0</v>
      </c>
      <c r="AM45" s="228">
        <f ca="1">SUMIFS(rec.uni[2024-07-01],
INDIRECT("rec.uni[natureza]"),"pro.soluto",
INDIRECT("rec.uni[empresa]"),AM$6)</f>
        <v>0</v>
      </c>
      <c r="AN45" s="228">
        <f ca="1">SUMIFS(rec.uni[2024-07-01],
INDIRECT("rec.uni[natureza]"),"repasse.cef.obra",
INDIRECT("rec.uni[empresa]"),AN$6)</f>
        <v>0</v>
      </c>
      <c r="AO45" s="228">
        <f ca="1">SUMIFS(rec.uni[2024-07-01],
INDIRECT("rec.uni[natureza]"),"repasse.cef.terreno",
INDIRECT("rec.uni[empresa]"),AO$6)</f>
        <v>0</v>
      </c>
      <c r="AP45" s="228">
        <v>0</v>
      </c>
      <c r="AQ45" s="228">
        <f ca="1">SUMIFS(rec.uni[2024-07-01],
INDIRECT("rec.uni[natureza]"),"taxa.extra",
INDIRECT("rec.uni[empresa]"),AQ$6)</f>
        <v>0</v>
      </c>
      <c r="AR45" s="216"/>
      <c r="AS45" s="228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T45" s="228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U45" s="228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V45" s="228" cm="1">
        <f t="array" ref="AV4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W45" s="229" cm="1">
        <f t="array" ref="AW4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X45" s="227">
        <f>COUNTIFS(
    estq[empresa], AX$6,
    estq[Data da venda / reserva], "&gt;=" &amp; $A45,
    estq[Data da venda / reserva], "&lt;"  &amp; EOMONTH($A45,0) + 1
)</f>
        <v>0</v>
      </c>
      <c r="AY45" s="228">
        <f ca="1">SUMIFS(rec.uni[2024-07-01],
INDIRECT("rec.uni[natureza]"),"pro.soluto",
INDIRECT("rec.uni[empresa]"),AY$6)</f>
        <v>0</v>
      </c>
      <c r="AZ45" s="216">
        <f ca="1">SUMIFS(rec.uni[2024-07-01],
INDIRECT("rec.uni[natureza]"),"parcela.fin.total.ik",
INDIRECT("rec.uni[empresa]"),AZ$6)</f>
        <v>0</v>
      </c>
      <c r="BA45" s="228">
        <f ca="1">SUMIFS(rec.uni[2024-07-01],
INDIRECT("rec.uni[natureza]"),"taxa.extra",
INDIRECT("rec.uni[empresa]"),BA$6)</f>
        <v>0</v>
      </c>
      <c r="BB45" s="216"/>
      <c r="BC45" s="228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D45" s="228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E45" s="228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F45" s="228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G45" s="229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H45" s="227">
        <f>COUNTIFS(
    estq[empresa], BH$6,
    estq[Data da venda / reserva], "&gt;=" &amp; $A45,
    estq[Data da venda / reserva], "&lt;"  &amp; EOMONTH($A45,0) + 1
)</f>
        <v>0</v>
      </c>
      <c r="BI45" s="228">
        <f ca="1">SUMIFS(rec.uni[2024-07-01],
INDIRECT("rec.uni[natureza]"),"pro.soluto",
INDIRECT("rec.uni[empresa]"),BI$6)</f>
        <v>0</v>
      </c>
      <c r="BJ45" s="228">
        <f ca="1">SUMIFS(rec.uni[2024-07-01],
INDIRECT("rec.uni[natureza]"),"repasse.cef.obra",
INDIRECT("rec.uni[empresa]"),BJ$6)</f>
        <v>0</v>
      </c>
      <c r="BK45" s="228">
        <f ca="1">SUMIFS(rec.uni[2024-07-01],
INDIRECT("rec.uni[natureza]"),"repasse.cef.terreno",
INDIRECT("rec.uni[empresa]"),BK$6)</f>
        <v>0</v>
      </c>
      <c r="BL45" s="228">
        <v>0</v>
      </c>
      <c r="BM45" s="228">
        <f ca="1">SUMIFS(rec.uni[2024-07-01],
INDIRECT("rec.uni[natureza]"),"taxa.extra",
INDIRECT("rec.uni[empresa]"),BM$6)</f>
        <v>0</v>
      </c>
      <c r="BN45" s="216"/>
      <c r="BO45" s="228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P45" s="228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Q45" s="228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R45" s="228" cm="1">
        <f t="array" ref="BR4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S45" s="229" cm="1">
        <f t="array" ref="BS4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T45" s="227">
        <f>COUNTIFS(
    estq[empresa], BT$6,
    estq[Data da venda / reserva], "&gt;=" &amp; $A45,
    estq[Data da venda / reserva], "&lt;"  &amp; EOMONTH($A45,0) + 1
)</f>
        <v>0</v>
      </c>
      <c r="BU45" s="228">
        <f ca="1">SUMIFS(rec.uni[2024-07-01],
INDIRECT("rec.uni[natureza]"),"pro.soluto",
INDIRECT("rec.uni[empresa]"),BU$6)</f>
        <v>0</v>
      </c>
      <c r="BV45" s="228">
        <f ca="1">SUMIFS(rec.uni[2024-07-01],
INDIRECT("rec.uni[natureza]"),"repasse.cef.obra",
INDIRECT("rec.uni[empresa]"),BV$6)</f>
        <v>0</v>
      </c>
      <c r="BW45" s="228">
        <f ca="1">SUMIFS(rec.uni[2024-07-01],
INDIRECT("rec.uni[natureza]"),"repasse.cef.terreno",
INDIRECT("rec.uni[empresa]"),BW$6)</f>
        <v>0</v>
      </c>
      <c r="BX45" s="228">
        <v>0</v>
      </c>
      <c r="BY45" s="228">
        <f ca="1">SUMIFS(rec.uni[2024-07-01],
INDIRECT("rec.uni[natureza]"),"taxa.extra",
INDIRECT("rec.uni[empresa]"),BY$6)</f>
        <v>0</v>
      </c>
      <c r="BZ45" s="216"/>
      <c r="CA45" s="228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B45" s="228" cm="1">
        <f t="array" ref="CB4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C45" s="228" cm="1">
        <f t="array" ref="CC4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D45" s="228" cm="1">
        <f t="array" ref="CD4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E45" s="230" cm="1">
        <f t="array" ref="CE4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83" x14ac:dyDescent="0.25">
      <c r="A46" s="226">
        <v>45505</v>
      </c>
      <c r="B46" s="227">
        <f>COUNTIFS(
    estq[empresa], B$6,
    estq[Data da venda / reserva], "&gt;=" &amp; $A46,
    estq[Data da venda / reserva], "&lt;"  &amp; EOMONTH($A46,0) + 1
)</f>
        <v>0</v>
      </c>
      <c r="C46" s="228">
        <f ca="1">SUMIFS(rec.uni[2024-08-01],
INDIRECT("rec.uni[natureza]"),"pro.soluto",
INDIRECT("rec.uni[empresa]"),C$6)</f>
        <v>0</v>
      </c>
      <c r="D46" s="228">
        <f ca="1">SUMIFS(rec.uni[2024-08-01],
INDIRECT("rec.uni[natureza]"),"repasse.cef.obra",
INDIRECT("rec.uni[empresa]"),D$6)</f>
        <v>0</v>
      </c>
      <c r="E46" s="228">
        <f ca="1">SUMIFS(rec.uni[2024-08-01],
INDIRECT("rec.uni[natureza]"),"repasse.cef.terreno",
INDIRECT("rec.uni[empresa]"),E$6)</f>
        <v>0</v>
      </c>
      <c r="F46" s="228">
        <v>0</v>
      </c>
      <c r="G46" s="228">
        <f ca="1">SUMIFS(rec.uni[2024-08-01],
INDIRECT("rec.uni[natureza]"),"taxa.extra",
INDIRECT("rec.uni[empresa]"),G$6)</f>
        <v>0</v>
      </c>
      <c r="H46" s="216"/>
      <c r="I46" s="228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228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228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228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229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227">
        <f>COUNTIFS(
    estq[empresa], N$6,
    estq[Data da venda / reserva], "&gt;=" &amp; $A46,
    estq[Data da venda / reserva], "&lt;"  &amp; EOMONTH($A46,0) + 1
)</f>
        <v>0</v>
      </c>
      <c r="O46" s="228">
        <f ca="1">SUMIFS(rec.uni[2024-08-01],
INDIRECT("rec.uni[natureza]"),"pro.soluto",
INDIRECT("rec.uni[empresa]"),O$6)</f>
        <v>0</v>
      </c>
      <c r="P46" s="228">
        <f ca="1">SUMIFS(rec.uni[2024-08-01],
INDIRECT("rec.uni[natureza]"),"repasse.cef.obra",
INDIRECT("rec.uni[empresa]"),P$6)</f>
        <v>0</v>
      </c>
      <c r="Q46" s="228">
        <f ca="1">SUMIFS(rec.uni[2024-08-01],
INDIRECT("rec.uni[natureza]"),"repasse.cef.terreno",
INDIRECT("rec.uni[empresa]"),Q$6)</f>
        <v>0</v>
      </c>
      <c r="R46" s="228">
        <v>0</v>
      </c>
      <c r="S46" s="228">
        <f ca="1">SUMIFS(rec.uni[2024-08-01],
INDIRECT("rec.uni[natureza]"),"taxa.extra",
INDIRECT("rec.uni[empresa]"),S$6)</f>
        <v>0</v>
      </c>
      <c r="T46" s="216"/>
      <c r="U46" s="228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228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228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228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229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227">
        <f>COUNTIFS(
    estq[empresa], Z$6,
    estq[Data da venda / reserva], "&gt;=" &amp; $A46,
    estq[Data da venda / reserva], "&lt;"  &amp; EOMONTH($A46,0) + 1
)</f>
        <v>0</v>
      </c>
      <c r="AA46" s="228">
        <f ca="1">SUMIFS(rec.uni[2024-08-01],
INDIRECT("rec.uni[natureza]"),"pro.soluto",
INDIRECT("rec.uni[empresa]"),AA$6)</f>
        <v>0</v>
      </c>
      <c r="AB46" s="228">
        <f ca="1">SUMIFS(rec.uni[2024-08-01],
INDIRECT("rec.uni[natureza]"),"repasse.cef.obra",
INDIRECT("rec.uni[empresa]"),AB$6)</f>
        <v>0</v>
      </c>
      <c r="AC46" s="228">
        <f ca="1">SUMIFS(rec.uni[2024-08-01],
INDIRECT("rec.uni[natureza]"),"repasse.cef.terreno",
INDIRECT("rec.uni[empresa]"),AC$6)</f>
        <v>0</v>
      </c>
      <c r="AD46" s="228">
        <v>0</v>
      </c>
      <c r="AE46" s="228">
        <f ca="1">SUMIFS(rec.uni[2024-08-01],
INDIRECT("rec.uni[natureza]"),"taxa.extra",
INDIRECT("rec.uni[empresa]"),AE$6)</f>
        <v>0</v>
      </c>
      <c r="AF46" s="216"/>
      <c r="AG46" s="228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H46" s="228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I46" s="228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J46" s="228" cm="1">
        <f t="array" ref="AJ4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K46" s="229" cm="1">
        <f t="array" ref="AK4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L46" s="227">
        <f>COUNTIFS(
    estq[empresa], AL$6,
    estq[Data da venda / reserva], "&gt;=" &amp; $A46,
    estq[Data da venda / reserva], "&lt;"  &amp; EOMONTH($A46,0) + 1
)</f>
        <v>0</v>
      </c>
      <c r="AM46" s="228">
        <f ca="1">SUMIFS(rec.uni[2024-08-01],
INDIRECT("rec.uni[natureza]"),"pro.soluto",
INDIRECT("rec.uni[empresa]"),AM$6)</f>
        <v>0</v>
      </c>
      <c r="AN46" s="228">
        <f ca="1">SUMIFS(rec.uni[2024-08-01],
INDIRECT("rec.uni[natureza]"),"repasse.cef.obra",
INDIRECT("rec.uni[empresa]"),AN$6)</f>
        <v>0</v>
      </c>
      <c r="AO46" s="228">
        <f ca="1">SUMIFS(rec.uni[2024-08-01],
INDIRECT("rec.uni[natureza]"),"repasse.cef.terreno",
INDIRECT("rec.uni[empresa]"),AO$6)</f>
        <v>0</v>
      </c>
      <c r="AP46" s="228">
        <v>0</v>
      </c>
      <c r="AQ46" s="228">
        <f ca="1">SUMIFS(rec.uni[2024-08-01],
INDIRECT("rec.uni[natureza]"),"taxa.extra",
INDIRECT("rec.uni[empresa]"),AQ$6)</f>
        <v>0</v>
      </c>
      <c r="AR46" s="216"/>
      <c r="AS46" s="228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T46" s="228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U46" s="228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V46" s="228" cm="1">
        <f t="array" ref="AV4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W46" s="229" cm="1">
        <f t="array" ref="AW4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X46" s="227">
        <f>COUNTIFS(
    estq[empresa], AX$6,
    estq[Data da venda / reserva], "&gt;=" &amp; $A46,
    estq[Data da venda / reserva], "&lt;"  &amp; EOMONTH($A46,0) + 1
)</f>
        <v>0</v>
      </c>
      <c r="AY46" s="228">
        <f ca="1">SUMIFS(rec.uni[2024-08-01],
INDIRECT("rec.uni[natureza]"),"pro.soluto",
INDIRECT("rec.uni[empresa]"),AY$6)</f>
        <v>0</v>
      </c>
      <c r="AZ46" s="216">
        <f ca="1">SUMIFS(rec.uni[2024-08-01],
INDIRECT("rec.uni[natureza]"),"parcela.fin.total.ik",
INDIRECT("rec.uni[empresa]"),AZ$6)</f>
        <v>0</v>
      </c>
      <c r="BA46" s="228">
        <f ca="1">SUMIFS(rec.uni[2024-08-01],
INDIRECT("rec.uni[natureza]"),"taxa.extra",
INDIRECT("rec.uni[empresa]"),BA$6)</f>
        <v>0</v>
      </c>
      <c r="BB46" s="216"/>
      <c r="BC46" s="228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D46" s="228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E46" s="228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F46" s="228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G46" s="229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H46" s="227">
        <f>COUNTIFS(
    estq[empresa], BH$6,
    estq[Data da venda / reserva], "&gt;=" &amp; $A46,
    estq[Data da venda / reserva], "&lt;"  &amp; EOMONTH($A46,0) + 1
)</f>
        <v>0</v>
      </c>
      <c r="BI46" s="228">
        <f ca="1">SUMIFS(rec.uni[2024-08-01],
INDIRECT("rec.uni[natureza]"),"pro.soluto",
INDIRECT("rec.uni[empresa]"),BI$6)</f>
        <v>0</v>
      </c>
      <c r="BJ46" s="228">
        <f ca="1">SUMIFS(rec.uni[2024-08-01],
INDIRECT("rec.uni[natureza]"),"repasse.cef.obra",
INDIRECT("rec.uni[empresa]"),BJ$6)</f>
        <v>0</v>
      </c>
      <c r="BK46" s="228">
        <f ca="1">SUMIFS(rec.uni[2024-08-01],
INDIRECT("rec.uni[natureza]"),"repasse.cef.terreno",
INDIRECT("rec.uni[empresa]"),BK$6)</f>
        <v>0</v>
      </c>
      <c r="BL46" s="228">
        <v>0</v>
      </c>
      <c r="BM46" s="228">
        <f ca="1">SUMIFS(rec.uni[2024-08-01],
INDIRECT("rec.uni[natureza]"),"taxa.extra",
INDIRECT("rec.uni[empresa]"),BM$6)</f>
        <v>0</v>
      </c>
      <c r="BN46" s="216"/>
      <c r="BO46" s="228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P46" s="228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Q46" s="228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R46" s="228" cm="1">
        <f t="array" ref="BR4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S46" s="229" cm="1">
        <f t="array" ref="BS4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T46" s="227">
        <f>COUNTIFS(
    estq[empresa], BT$6,
    estq[Data da venda / reserva], "&gt;=" &amp; $A46,
    estq[Data da venda / reserva], "&lt;"  &amp; EOMONTH($A46,0) + 1
)</f>
        <v>0</v>
      </c>
      <c r="BU46" s="228">
        <f ca="1">SUMIFS(rec.uni[2024-08-01],
INDIRECT("rec.uni[natureza]"),"pro.soluto",
INDIRECT("rec.uni[empresa]"),BU$6)</f>
        <v>0</v>
      </c>
      <c r="BV46" s="228">
        <f ca="1">SUMIFS(rec.uni[2024-08-01],
INDIRECT("rec.uni[natureza]"),"repasse.cef.obra",
INDIRECT("rec.uni[empresa]"),BV$6)</f>
        <v>0</v>
      </c>
      <c r="BW46" s="228">
        <f ca="1">SUMIFS(rec.uni[2024-08-01],
INDIRECT("rec.uni[natureza]"),"repasse.cef.terreno",
INDIRECT("rec.uni[empresa]"),BW$6)</f>
        <v>0</v>
      </c>
      <c r="BX46" s="228">
        <v>0</v>
      </c>
      <c r="BY46" s="228">
        <f ca="1">SUMIFS(rec.uni[2024-08-01],
INDIRECT("rec.uni[natureza]"),"taxa.extra",
INDIRECT("rec.uni[empresa]"),BY$6)</f>
        <v>0</v>
      </c>
      <c r="BZ46" s="216"/>
      <c r="CA46" s="228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B46" s="228" cm="1">
        <f t="array" ref="CB4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C46" s="228" cm="1">
        <f t="array" ref="CC4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D46" s="228" cm="1">
        <f t="array" ref="CD4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E46" s="230" cm="1">
        <f t="array" ref="CE4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83" x14ac:dyDescent="0.25">
      <c r="A47" s="226">
        <v>45536</v>
      </c>
      <c r="B47" s="227">
        <f>COUNTIFS(
    estq[empresa], B$6,
    estq[Data da venda / reserva], "&gt;=" &amp; $A47,
    estq[Data da venda / reserva], "&lt;"  &amp; EOMONTH($A47,0) + 1
)</f>
        <v>0</v>
      </c>
      <c r="C47" s="228">
        <f ca="1">SUMIFS(rec.uni[2024-09-01],
INDIRECT("rec.uni[natureza]"),"pro.soluto",
INDIRECT("rec.uni[empresa]"),C$6)</f>
        <v>0</v>
      </c>
      <c r="D47" s="228">
        <f ca="1">SUMIFS(rec.uni[2024-09-01],
INDIRECT("rec.uni[natureza]"),"repasse.cef.obra",
INDIRECT("rec.uni[empresa]"),D$6)</f>
        <v>0</v>
      </c>
      <c r="E47" s="228">
        <f ca="1">SUMIFS(rec.uni[2024-09-01],
INDIRECT("rec.uni[natureza]"),"repasse.cef.terreno",
INDIRECT("rec.uni[empresa]"),E$6)</f>
        <v>0</v>
      </c>
      <c r="F47" s="228">
        <v>198297.96</v>
      </c>
      <c r="G47" s="228">
        <f ca="1">SUMIFS(rec.uni[2024-09-01],
INDIRECT("rec.uni[natureza]"),"taxa.extra",
INDIRECT("rec.uni[empresa]"),G$6)</f>
        <v>0</v>
      </c>
      <c r="H47" s="216"/>
      <c r="I47" s="228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228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228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228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229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227">
        <f>COUNTIFS(
    estq[empresa], N$6,
    estq[Data da venda / reserva], "&gt;=" &amp; $A47,
    estq[Data da venda / reserva], "&lt;"  &amp; EOMONTH($A47,0) + 1
)</f>
        <v>0</v>
      </c>
      <c r="O47" s="228">
        <f ca="1">SUMIFS(rec.uni[2024-09-01],
INDIRECT("rec.uni[natureza]"),"pro.soluto",
INDIRECT("rec.uni[empresa]"),O$6)</f>
        <v>0</v>
      </c>
      <c r="P47" s="228">
        <f ca="1">SUMIFS(rec.uni[2024-09-01],
INDIRECT("rec.uni[natureza]"),"repasse.cef.obra",
INDIRECT("rec.uni[empresa]"),P$6)</f>
        <v>0</v>
      </c>
      <c r="Q47" s="228">
        <f ca="1">SUMIFS(rec.uni[2024-09-01],
INDIRECT("rec.uni[natureza]"),"repasse.cef.terreno",
INDIRECT("rec.uni[empresa]"),Q$6)</f>
        <v>0</v>
      </c>
      <c r="R47" s="228">
        <v>0</v>
      </c>
      <c r="S47" s="228">
        <f ca="1">SUMIFS(rec.uni[2024-09-01],
INDIRECT("rec.uni[natureza]"),"taxa.extra",
INDIRECT("rec.uni[empresa]"),S$6)</f>
        <v>0</v>
      </c>
      <c r="T47" s="216"/>
      <c r="U47" s="228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228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228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228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229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227">
        <f>COUNTIFS(
    estq[empresa], Z$6,
    estq[Data da venda / reserva], "&gt;=" &amp; $A47,
    estq[Data da venda / reserva], "&lt;"  &amp; EOMONTH($A47,0) + 1
)</f>
        <v>0</v>
      </c>
      <c r="AA47" s="228">
        <f ca="1">SUMIFS(rec.uni[2024-09-01],
INDIRECT("rec.uni[natureza]"),"pro.soluto",
INDIRECT("rec.uni[empresa]"),AA$6)</f>
        <v>0</v>
      </c>
      <c r="AB47" s="228">
        <f ca="1">SUMIFS(rec.uni[2024-09-01],
INDIRECT("rec.uni[natureza]"),"repasse.cef.obra",
INDIRECT("rec.uni[empresa]"),AB$6)</f>
        <v>0</v>
      </c>
      <c r="AC47" s="228">
        <f ca="1">SUMIFS(rec.uni[2024-09-01],
INDIRECT("rec.uni[natureza]"),"repasse.cef.terreno",
INDIRECT("rec.uni[empresa]"),AC$6)</f>
        <v>0</v>
      </c>
      <c r="AD47" s="228">
        <v>0</v>
      </c>
      <c r="AE47" s="228">
        <f ca="1">SUMIFS(rec.uni[2024-09-01],
INDIRECT("rec.uni[natureza]"),"taxa.extra",
INDIRECT("rec.uni[empresa]"),AE$6)</f>
        <v>0</v>
      </c>
      <c r="AF47" s="216"/>
      <c r="AG47" s="228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H47" s="228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I47" s="228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J47" s="228" cm="1">
        <f t="array" ref="AJ4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K47" s="229" cm="1">
        <f t="array" ref="AK4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L47" s="227">
        <f>COUNTIFS(
    estq[empresa], AL$6,
    estq[Data da venda / reserva], "&gt;=" &amp; $A47,
    estq[Data da venda / reserva], "&lt;"  &amp; EOMONTH($A47,0) + 1
)</f>
        <v>0</v>
      </c>
      <c r="AM47" s="228">
        <f ca="1">SUMIFS(rec.uni[2024-09-01],
INDIRECT("rec.uni[natureza]"),"pro.soluto",
INDIRECT("rec.uni[empresa]"),AM$6)</f>
        <v>0</v>
      </c>
      <c r="AN47" s="228">
        <f ca="1">SUMIFS(rec.uni[2024-09-01],
INDIRECT("rec.uni[natureza]"),"repasse.cef.obra",
INDIRECT("rec.uni[empresa]"),AN$6)</f>
        <v>0</v>
      </c>
      <c r="AO47" s="228">
        <f ca="1">SUMIFS(rec.uni[2024-09-01],
INDIRECT("rec.uni[natureza]"),"repasse.cef.terreno",
INDIRECT("rec.uni[empresa]"),AO$6)</f>
        <v>0</v>
      </c>
      <c r="AP47" s="228">
        <v>0</v>
      </c>
      <c r="AQ47" s="228">
        <f ca="1">SUMIFS(rec.uni[2024-09-01],
INDIRECT("rec.uni[natureza]"),"taxa.extra",
INDIRECT("rec.uni[empresa]"),AQ$6)</f>
        <v>0</v>
      </c>
      <c r="AR47" s="216"/>
      <c r="AS47" s="228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T47" s="228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U47" s="228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V47" s="228" cm="1">
        <f t="array" ref="AV4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W47" s="229" cm="1">
        <f t="array" ref="AW4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X47" s="227">
        <f>COUNTIFS(
    estq[empresa], AX$6,
    estq[Data da venda / reserva], "&gt;=" &amp; $A47,
    estq[Data da venda / reserva], "&lt;"  &amp; EOMONTH($A47,0) + 1
)</f>
        <v>0</v>
      </c>
      <c r="AY47" s="228">
        <f ca="1">SUMIFS(rec.uni[2024-09-01],
INDIRECT("rec.uni[natureza]"),"pro.soluto",
INDIRECT("rec.uni[empresa]"),AY$6)</f>
        <v>0</v>
      </c>
      <c r="AZ47" s="216">
        <f ca="1">SUMIFS(rec.uni[2024-09-01],
INDIRECT("rec.uni[natureza]"),"parcela.fin.total.ik",
INDIRECT("rec.uni[empresa]"),AZ$6)</f>
        <v>0</v>
      </c>
      <c r="BA47" s="228">
        <f ca="1">SUMIFS(rec.uni[2024-09-01],
INDIRECT("rec.uni[natureza]"),"taxa.extra",
INDIRECT("rec.uni[empresa]"),BA$6)</f>
        <v>0</v>
      </c>
      <c r="BB47" s="216"/>
      <c r="BC47" s="228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D47" s="228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E47" s="228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F47" s="228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G47" s="229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H47" s="227">
        <f>COUNTIFS(
    estq[empresa], BH$6,
    estq[Data da venda / reserva], "&gt;=" &amp; $A47,
    estq[Data da venda / reserva], "&lt;"  &amp; EOMONTH($A47,0) + 1
)</f>
        <v>0</v>
      </c>
      <c r="BI47" s="228">
        <f ca="1">SUMIFS(rec.uni[2024-09-01],
INDIRECT("rec.uni[natureza]"),"pro.soluto",
INDIRECT("rec.uni[empresa]"),BI$6)</f>
        <v>0</v>
      </c>
      <c r="BJ47" s="228">
        <f ca="1">SUMIFS(rec.uni[2024-09-01],
INDIRECT("rec.uni[natureza]"),"repasse.cef.obra",
INDIRECT("rec.uni[empresa]"),BJ$6)</f>
        <v>0</v>
      </c>
      <c r="BK47" s="228">
        <f ca="1">SUMIFS(rec.uni[2024-09-01],
INDIRECT("rec.uni[natureza]"),"repasse.cef.terreno",
INDIRECT("rec.uni[empresa]"),BK$6)</f>
        <v>0</v>
      </c>
      <c r="BL47" s="228">
        <v>0</v>
      </c>
      <c r="BM47" s="228">
        <f ca="1">SUMIFS(rec.uni[2024-09-01],
INDIRECT("rec.uni[natureza]"),"taxa.extra",
INDIRECT("rec.uni[empresa]"),BM$6)</f>
        <v>0</v>
      </c>
      <c r="BN47" s="216"/>
      <c r="BO47" s="228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P47" s="228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Q47" s="228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R47" s="228" cm="1">
        <f t="array" ref="BR4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S47" s="229" cm="1">
        <f t="array" ref="BS4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T47" s="227">
        <f>COUNTIFS(
    estq[empresa], BT$6,
    estq[Data da venda / reserva], "&gt;=" &amp; $A47,
    estq[Data da venda / reserva], "&lt;"  &amp; EOMONTH($A47,0) + 1
)</f>
        <v>0</v>
      </c>
      <c r="BU47" s="228">
        <f ca="1">SUMIFS(rec.uni[2024-09-01],
INDIRECT("rec.uni[natureza]"),"pro.soluto",
INDIRECT("rec.uni[empresa]"),BU$6)</f>
        <v>0</v>
      </c>
      <c r="BV47" s="228">
        <f ca="1">SUMIFS(rec.uni[2024-09-01],
INDIRECT("rec.uni[natureza]"),"repasse.cef.obra",
INDIRECT("rec.uni[empresa]"),BV$6)</f>
        <v>0</v>
      </c>
      <c r="BW47" s="228">
        <f ca="1">SUMIFS(rec.uni[2024-09-01],
INDIRECT("rec.uni[natureza]"),"repasse.cef.terreno",
INDIRECT("rec.uni[empresa]"),BW$6)</f>
        <v>0</v>
      </c>
      <c r="BX47" s="228">
        <v>0</v>
      </c>
      <c r="BY47" s="228">
        <f ca="1">SUMIFS(rec.uni[2024-09-01],
INDIRECT("rec.uni[natureza]"),"taxa.extra",
INDIRECT("rec.uni[empresa]"),BY$6)</f>
        <v>0</v>
      </c>
      <c r="BZ47" s="216"/>
      <c r="CA47" s="228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B47" s="228" cm="1">
        <f t="array" ref="CB4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C47" s="228" cm="1">
        <f t="array" ref="CC4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D47" s="228" cm="1">
        <f t="array" ref="CD4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E47" s="230" cm="1">
        <f t="array" ref="CE4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83" x14ac:dyDescent="0.25">
      <c r="A48" s="226">
        <v>45566</v>
      </c>
      <c r="B48" s="227">
        <f>COUNTIFS(
    estq[empresa], B$6,
    estq[Data da venda / reserva], "&gt;=" &amp; $A48,
    estq[Data da venda / reserva], "&lt;"  &amp; EOMONTH($A48,0) + 1
)</f>
        <v>0</v>
      </c>
      <c r="C48" s="228">
        <f ca="1">SUMIFS(rec.uni[2024-10-01],
INDIRECT("rec.uni[natureza]"),"pro.soluto",
INDIRECT("rec.uni[empresa]"),C$6)</f>
        <v>0</v>
      </c>
      <c r="D48" s="228">
        <f ca="1">SUMIFS(rec.uni[2024-10-01],
INDIRECT("rec.uni[natureza]"),"repasse.cef.obra",
INDIRECT("rec.uni[empresa]"),D$6)</f>
        <v>0</v>
      </c>
      <c r="E48" s="228">
        <f ca="1">SUMIFS(rec.uni[2024-10-01],
INDIRECT("rec.uni[natureza]"),"repasse.cef.terreno",
INDIRECT("rec.uni[empresa]"),E$6)</f>
        <v>0</v>
      </c>
      <c r="F48" s="228">
        <v>473587.72</v>
      </c>
      <c r="G48" s="228">
        <f ca="1">SUMIFS(rec.uni[2024-10-01],
INDIRECT("rec.uni[natureza]"),"taxa.extra",
INDIRECT("rec.uni[empresa]"),G$6)</f>
        <v>0</v>
      </c>
      <c r="H48" s="216"/>
      <c r="I48" s="228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228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228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228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229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227">
        <f>COUNTIFS(
    estq[empresa], N$6,
    estq[Data da venda / reserva], "&gt;=" &amp; $A48,
    estq[Data da venda / reserva], "&lt;"  &amp; EOMONTH($A48,0) + 1
)</f>
        <v>0</v>
      </c>
      <c r="O48" s="228">
        <f ca="1">SUMIFS(rec.uni[2024-10-01],
INDIRECT("rec.uni[natureza]"),"pro.soluto",
INDIRECT("rec.uni[empresa]"),O$6)</f>
        <v>0</v>
      </c>
      <c r="P48" s="228">
        <f ca="1">SUMIFS(rec.uni[2024-10-01],
INDIRECT("rec.uni[natureza]"),"repasse.cef.obra",
INDIRECT("rec.uni[empresa]"),P$6)</f>
        <v>0</v>
      </c>
      <c r="Q48" s="228">
        <f ca="1">SUMIFS(rec.uni[2024-10-01],
INDIRECT("rec.uni[natureza]"),"repasse.cef.terreno",
INDIRECT("rec.uni[empresa]"),Q$6)</f>
        <v>0</v>
      </c>
      <c r="R48" s="228">
        <v>0</v>
      </c>
      <c r="S48" s="228">
        <f ca="1">SUMIFS(rec.uni[2024-10-01],
INDIRECT("rec.uni[natureza]"),"taxa.extra",
INDIRECT("rec.uni[empresa]"),S$6)</f>
        <v>0</v>
      </c>
      <c r="T48" s="216"/>
      <c r="U48" s="228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228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228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228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229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227">
        <f>COUNTIFS(
    estq[empresa], Z$6,
    estq[Data da venda / reserva], "&gt;=" &amp; $A48,
    estq[Data da venda / reserva], "&lt;"  &amp; EOMONTH($A48,0) + 1
)</f>
        <v>0</v>
      </c>
      <c r="AA48" s="228">
        <f ca="1">SUMIFS(rec.uni[2024-10-01],
INDIRECT("rec.uni[natureza]"),"pro.soluto",
INDIRECT("rec.uni[empresa]"),AA$6)</f>
        <v>0</v>
      </c>
      <c r="AB48" s="228">
        <f ca="1">SUMIFS(rec.uni[2024-10-01],
INDIRECT("rec.uni[natureza]"),"repasse.cef.obra",
INDIRECT("rec.uni[empresa]"),AB$6)</f>
        <v>0</v>
      </c>
      <c r="AC48" s="228">
        <f ca="1">SUMIFS(rec.uni[2024-10-01],
INDIRECT("rec.uni[natureza]"),"repasse.cef.terreno",
INDIRECT("rec.uni[empresa]"),AC$6)</f>
        <v>0</v>
      </c>
      <c r="AD48" s="228">
        <v>0</v>
      </c>
      <c r="AE48" s="228">
        <f ca="1">SUMIFS(rec.uni[2024-10-01],
INDIRECT("rec.uni[natureza]"),"taxa.extra",
INDIRECT("rec.uni[empresa]"),AE$6)</f>
        <v>0</v>
      </c>
      <c r="AF48" s="216"/>
      <c r="AG48" s="228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H48" s="228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I48" s="228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J48" s="228" cm="1">
        <f t="array" ref="AJ4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K48" s="229" cm="1">
        <f t="array" ref="AK4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L48" s="227">
        <f>COUNTIFS(
    estq[empresa], AL$6,
    estq[Data da venda / reserva], "&gt;=" &amp; $A48,
    estq[Data da venda / reserva], "&lt;"  &amp; EOMONTH($A48,0) + 1
)</f>
        <v>0</v>
      </c>
      <c r="AM48" s="228">
        <f ca="1">SUMIFS(rec.uni[2024-10-01],
INDIRECT("rec.uni[natureza]"),"pro.soluto",
INDIRECT("rec.uni[empresa]"),AM$6)</f>
        <v>0</v>
      </c>
      <c r="AN48" s="228">
        <f ca="1">SUMIFS(rec.uni[2024-10-01],
INDIRECT("rec.uni[natureza]"),"repasse.cef.obra",
INDIRECT("rec.uni[empresa]"),AN$6)</f>
        <v>0</v>
      </c>
      <c r="AO48" s="228">
        <f ca="1">SUMIFS(rec.uni[2024-10-01],
INDIRECT("rec.uni[natureza]"),"repasse.cef.terreno",
INDIRECT("rec.uni[empresa]"),AO$6)</f>
        <v>0</v>
      </c>
      <c r="AP48" s="228">
        <v>0</v>
      </c>
      <c r="AQ48" s="228">
        <f ca="1">SUMIFS(rec.uni[2024-10-01],
INDIRECT("rec.uni[natureza]"),"taxa.extra",
INDIRECT("rec.uni[empresa]"),AQ$6)</f>
        <v>0</v>
      </c>
      <c r="AR48" s="216"/>
      <c r="AS48" s="228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T48" s="228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U48" s="228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V48" s="228" cm="1">
        <f t="array" ref="AV4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W48" s="229" cm="1">
        <f t="array" ref="AW4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X48" s="227">
        <f>COUNTIFS(
    estq[empresa], AX$6,
    estq[Data da venda / reserva], "&gt;=" &amp; $A48,
    estq[Data da venda / reserva], "&lt;"  &amp; EOMONTH($A48,0) + 1
)</f>
        <v>0</v>
      </c>
      <c r="AY48" s="228">
        <f ca="1">SUMIFS(rec.uni[2024-10-01],
INDIRECT("rec.uni[natureza]"),"pro.soluto",
INDIRECT("rec.uni[empresa]"),AY$6)</f>
        <v>0</v>
      </c>
      <c r="AZ48" s="216">
        <f ca="1">SUMIFS(rec.uni[2024-10-01],
INDIRECT("rec.uni[natureza]"),"parcela.fin.total.ik",
INDIRECT("rec.uni[empresa]"),AZ$6)</f>
        <v>0</v>
      </c>
      <c r="BA48" s="228">
        <f ca="1">SUMIFS(rec.uni[2024-10-01],
INDIRECT("rec.uni[natureza]"),"taxa.extra",
INDIRECT("rec.uni[empresa]"),BA$6)</f>
        <v>0</v>
      </c>
      <c r="BB48" s="216"/>
      <c r="BC48" s="228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D48" s="228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E48" s="228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F48" s="228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G48" s="229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H48" s="227">
        <f>COUNTIFS(
    estq[empresa], BH$6,
    estq[Data da venda / reserva], "&gt;=" &amp; $A48,
    estq[Data da venda / reserva], "&lt;"  &amp; EOMONTH($A48,0) + 1
)</f>
        <v>0</v>
      </c>
      <c r="BI48" s="228">
        <f ca="1">SUMIFS(rec.uni[2024-10-01],
INDIRECT("rec.uni[natureza]"),"pro.soluto",
INDIRECT("rec.uni[empresa]"),BI$6)</f>
        <v>0</v>
      </c>
      <c r="BJ48" s="228">
        <f ca="1">SUMIFS(rec.uni[2024-10-01],
INDIRECT("rec.uni[natureza]"),"repasse.cef.obra",
INDIRECT("rec.uni[empresa]"),BJ$6)</f>
        <v>0</v>
      </c>
      <c r="BK48" s="228">
        <f ca="1">SUMIFS(rec.uni[2024-10-01],
INDIRECT("rec.uni[natureza]"),"repasse.cef.terreno",
INDIRECT("rec.uni[empresa]"),BK$6)</f>
        <v>0</v>
      </c>
      <c r="BL48" s="228">
        <v>0</v>
      </c>
      <c r="BM48" s="228">
        <f ca="1">SUMIFS(rec.uni[2024-10-01],
INDIRECT("rec.uni[natureza]"),"taxa.extra",
INDIRECT("rec.uni[empresa]"),BM$6)</f>
        <v>0</v>
      </c>
      <c r="BN48" s="216"/>
      <c r="BO48" s="228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P48" s="228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Q48" s="228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R48" s="228" cm="1">
        <f t="array" ref="BR4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S48" s="229" cm="1">
        <f t="array" ref="BS4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T48" s="227">
        <f>COUNTIFS(
    estq[empresa], BT$6,
    estq[Data da venda / reserva], "&gt;=" &amp; $A48,
    estq[Data da venda / reserva], "&lt;"  &amp; EOMONTH($A48,0) + 1
)</f>
        <v>0</v>
      </c>
      <c r="BU48" s="228">
        <f ca="1">SUMIFS(rec.uni[2024-10-01],
INDIRECT("rec.uni[natureza]"),"pro.soluto",
INDIRECT("rec.uni[empresa]"),BU$6)</f>
        <v>0</v>
      </c>
      <c r="BV48" s="228">
        <f ca="1">SUMIFS(rec.uni[2024-10-01],
INDIRECT("rec.uni[natureza]"),"repasse.cef.obra",
INDIRECT("rec.uni[empresa]"),BV$6)</f>
        <v>0</v>
      </c>
      <c r="BW48" s="228">
        <f ca="1">SUMIFS(rec.uni[2024-10-01],
INDIRECT("rec.uni[natureza]"),"repasse.cef.terreno",
INDIRECT("rec.uni[empresa]"),BW$6)</f>
        <v>0</v>
      </c>
      <c r="BX48" s="228">
        <v>0</v>
      </c>
      <c r="BY48" s="228">
        <f ca="1">SUMIFS(rec.uni[2024-10-01],
INDIRECT("rec.uni[natureza]"),"taxa.extra",
INDIRECT("rec.uni[empresa]"),BY$6)</f>
        <v>0</v>
      </c>
      <c r="BZ48" s="216"/>
      <c r="CA48" s="228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B48" s="228" cm="1">
        <f t="array" ref="CB4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C48" s="228" cm="1">
        <f t="array" ref="CC4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D48" s="228" cm="1">
        <f t="array" ref="CD4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E48" s="230" cm="1">
        <f t="array" ref="CE4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83" x14ac:dyDescent="0.25">
      <c r="A49" s="226">
        <v>45597</v>
      </c>
      <c r="B49" s="227">
        <f>COUNTIFS(
    estq[empresa], B$6,
    estq[Data da venda / reserva], "&gt;=" &amp; $A49,
    estq[Data da venda / reserva], "&lt;"  &amp; EOMONTH($A49,0) + 1
)</f>
        <v>0</v>
      </c>
      <c r="C49" s="228">
        <f ca="1">SUMIFS(rec.uni[2024-11-01],
INDIRECT("rec.uni[natureza]"),"pro.soluto",
INDIRECT("rec.uni[empresa]"),C$6)</f>
        <v>0</v>
      </c>
      <c r="D49" s="228">
        <f ca="1">SUMIFS(rec.uni[2024-11-01],
INDIRECT("rec.uni[natureza]"),"repasse.cef.obra",
INDIRECT("rec.uni[empresa]"),D$6)</f>
        <v>0</v>
      </c>
      <c r="E49" s="228">
        <f ca="1">SUMIFS(rec.uni[2024-11-01],
INDIRECT("rec.uni[natureza]"),"repasse.cef.terreno",
INDIRECT("rec.uni[empresa]"),E$6)</f>
        <v>0</v>
      </c>
      <c r="F49" s="228">
        <v>0</v>
      </c>
      <c r="G49" s="228">
        <f ca="1">SUMIFS(rec.uni[2024-11-01],
INDIRECT("rec.uni[natureza]"),"taxa.extra",
INDIRECT("rec.uni[empresa]"),G$6)</f>
        <v>0</v>
      </c>
      <c r="H49" s="216"/>
      <c r="I49" s="228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228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228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228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229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227">
        <f>COUNTIFS(
    estq[empresa], N$6,
    estq[Data da venda / reserva], "&gt;=" &amp; $A49,
    estq[Data da venda / reserva], "&lt;"  &amp; EOMONTH($A49,0) + 1
)</f>
        <v>0</v>
      </c>
      <c r="O49" s="228">
        <f ca="1">SUMIFS(rec.uni[2024-11-01],
INDIRECT("rec.uni[natureza]"),"pro.soluto",
INDIRECT("rec.uni[empresa]"),O$6)</f>
        <v>0</v>
      </c>
      <c r="P49" s="228">
        <f ca="1">SUMIFS(rec.uni[2024-11-01],
INDIRECT("rec.uni[natureza]"),"repasse.cef.obra",
INDIRECT("rec.uni[empresa]"),P$6)</f>
        <v>0</v>
      </c>
      <c r="Q49" s="228">
        <f ca="1">SUMIFS(rec.uni[2024-11-01],
INDIRECT("rec.uni[natureza]"),"repasse.cef.terreno",
INDIRECT("rec.uni[empresa]"),Q$6)</f>
        <v>0</v>
      </c>
      <c r="R49" s="228">
        <v>0</v>
      </c>
      <c r="S49" s="228">
        <f ca="1">SUMIFS(rec.uni[2024-11-01],
INDIRECT("rec.uni[natureza]"),"taxa.extra",
INDIRECT("rec.uni[empresa]"),S$6)</f>
        <v>0</v>
      </c>
      <c r="T49" s="216"/>
      <c r="U49" s="228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228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228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228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229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227">
        <f>COUNTIFS(
    estq[empresa], Z$6,
    estq[Data da venda / reserva], "&gt;=" &amp; $A49,
    estq[Data da venda / reserva], "&lt;"  &amp; EOMONTH($A49,0) + 1
)</f>
        <v>0</v>
      </c>
      <c r="AA49" s="228">
        <f ca="1">SUMIFS(rec.uni[2024-11-01],
INDIRECT("rec.uni[natureza]"),"pro.soluto",
INDIRECT("rec.uni[empresa]"),AA$6)</f>
        <v>0</v>
      </c>
      <c r="AB49" s="228">
        <f ca="1">SUMIFS(rec.uni[2024-11-01],
INDIRECT("rec.uni[natureza]"),"repasse.cef.obra",
INDIRECT("rec.uni[empresa]"),AB$6)</f>
        <v>0</v>
      </c>
      <c r="AC49" s="228">
        <f ca="1">SUMIFS(rec.uni[2024-11-01],
INDIRECT("rec.uni[natureza]"),"repasse.cef.terreno",
INDIRECT("rec.uni[empresa]"),AC$6)</f>
        <v>0</v>
      </c>
      <c r="AD49" s="228">
        <v>0</v>
      </c>
      <c r="AE49" s="228">
        <f ca="1">SUMIFS(rec.uni[2024-11-01],
INDIRECT("rec.uni[natureza]"),"taxa.extra",
INDIRECT("rec.uni[empresa]"),AE$6)</f>
        <v>0</v>
      </c>
      <c r="AF49" s="216"/>
      <c r="AG49" s="228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H49" s="228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I49" s="228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J49" s="228" cm="1">
        <f t="array" ref="AJ4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K49" s="229" cm="1">
        <f t="array" ref="AK4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L49" s="227">
        <f>COUNTIFS(
    estq[empresa], AL$6,
    estq[Data da venda / reserva], "&gt;=" &amp; $A49,
    estq[Data da venda / reserva], "&lt;"  &amp; EOMONTH($A49,0) + 1
)</f>
        <v>0</v>
      </c>
      <c r="AM49" s="228">
        <f ca="1">SUMIFS(rec.uni[2024-11-01],
INDIRECT("rec.uni[natureza]"),"pro.soluto",
INDIRECT("rec.uni[empresa]"),AM$6)</f>
        <v>0</v>
      </c>
      <c r="AN49" s="228">
        <f ca="1">SUMIFS(rec.uni[2024-11-01],
INDIRECT("rec.uni[natureza]"),"repasse.cef.obra",
INDIRECT("rec.uni[empresa]"),AN$6)</f>
        <v>0</v>
      </c>
      <c r="AO49" s="228">
        <f ca="1">SUMIFS(rec.uni[2024-11-01],
INDIRECT("rec.uni[natureza]"),"repasse.cef.terreno",
INDIRECT("rec.uni[empresa]"),AO$6)</f>
        <v>0</v>
      </c>
      <c r="AP49" s="228">
        <v>0</v>
      </c>
      <c r="AQ49" s="228">
        <f ca="1">SUMIFS(rec.uni[2024-11-01],
INDIRECT("rec.uni[natureza]"),"taxa.extra",
INDIRECT("rec.uni[empresa]"),AQ$6)</f>
        <v>0</v>
      </c>
      <c r="AR49" s="216"/>
      <c r="AS49" s="228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T49" s="228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U49" s="228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V49" s="228" cm="1">
        <f t="array" ref="AV4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W49" s="229" cm="1">
        <f t="array" ref="AW4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X49" s="227">
        <f>COUNTIFS(
    estq[empresa], AX$6,
    estq[Data da venda / reserva], "&gt;=" &amp; $A49,
    estq[Data da venda / reserva], "&lt;"  &amp; EOMONTH($A49,0) + 1
)</f>
        <v>0</v>
      </c>
      <c r="AY49" s="228">
        <f ca="1">SUMIFS(rec.uni[2024-11-01],
INDIRECT("rec.uni[natureza]"),"pro.soluto",
INDIRECT("rec.uni[empresa]"),AY$6)</f>
        <v>0</v>
      </c>
      <c r="AZ49" s="216">
        <f ca="1">SUMIFS(rec.uni[2024-11-01],
INDIRECT("rec.uni[natureza]"),"parcela.fin.total.ik",
INDIRECT("rec.uni[empresa]"),AZ$6)</f>
        <v>0</v>
      </c>
      <c r="BA49" s="228">
        <f ca="1">SUMIFS(rec.uni[2024-11-01],
INDIRECT("rec.uni[natureza]"),"taxa.extra",
INDIRECT("rec.uni[empresa]"),BA$6)</f>
        <v>0</v>
      </c>
      <c r="BB49" s="216"/>
      <c r="BC49" s="228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D49" s="228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E49" s="228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F49" s="228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G49" s="229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H49" s="227">
        <f>COUNTIFS(
    estq[empresa], BH$6,
    estq[Data da venda / reserva], "&gt;=" &amp; $A49,
    estq[Data da venda / reserva], "&lt;"  &amp; EOMONTH($A49,0) + 1
)</f>
        <v>0</v>
      </c>
      <c r="BI49" s="228">
        <f ca="1">SUMIFS(rec.uni[2024-11-01],
INDIRECT("rec.uni[natureza]"),"pro.soluto",
INDIRECT("rec.uni[empresa]"),BI$6)</f>
        <v>0</v>
      </c>
      <c r="BJ49" s="228">
        <f ca="1">SUMIFS(rec.uni[2024-11-01],
INDIRECT("rec.uni[natureza]"),"repasse.cef.obra",
INDIRECT("rec.uni[empresa]"),BJ$6)</f>
        <v>0</v>
      </c>
      <c r="BK49" s="228">
        <f ca="1">SUMIFS(rec.uni[2024-11-01],
INDIRECT("rec.uni[natureza]"),"repasse.cef.terreno",
INDIRECT("rec.uni[empresa]"),BK$6)</f>
        <v>0</v>
      </c>
      <c r="BL49" s="228">
        <v>0</v>
      </c>
      <c r="BM49" s="228">
        <f ca="1">SUMIFS(rec.uni[2024-11-01],
INDIRECT("rec.uni[natureza]"),"taxa.extra",
INDIRECT("rec.uni[empresa]"),BM$6)</f>
        <v>0</v>
      </c>
      <c r="BN49" s="216"/>
      <c r="BO49" s="228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P49" s="228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Q49" s="228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R49" s="228" cm="1">
        <f t="array" ref="BR4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S49" s="229" cm="1">
        <f t="array" ref="BS4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T49" s="227">
        <f>COUNTIFS(
    estq[empresa], BT$6,
    estq[Data da venda / reserva], "&gt;=" &amp; $A49,
    estq[Data da venda / reserva], "&lt;"  &amp; EOMONTH($A49,0) + 1
)</f>
        <v>0</v>
      </c>
      <c r="BU49" s="228">
        <f ca="1">SUMIFS(rec.uni[2024-11-01],
INDIRECT("rec.uni[natureza]"),"pro.soluto",
INDIRECT("rec.uni[empresa]"),BU$6)</f>
        <v>0</v>
      </c>
      <c r="BV49" s="228">
        <f ca="1">SUMIFS(rec.uni[2024-11-01],
INDIRECT("rec.uni[natureza]"),"repasse.cef.obra",
INDIRECT("rec.uni[empresa]"),BV$6)</f>
        <v>0</v>
      </c>
      <c r="BW49" s="228">
        <f ca="1">SUMIFS(rec.uni[2024-11-01],
INDIRECT("rec.uni[natureza]"),"repasse.cef.terreno",
INDIRECT("rec.uni[empresa]"),BW$6)</f>
        <v>0</v>
      </c>
      <c r="BX49" s="228">
        <v>0</v>
      </c>
      <c r="BY49" s="228">
        <f ca="1">SUMIFS(rec.uni[2024-11-01],
INDIRECT("rec.uni[natureza]"),"taxa.extra",
INDIRECT("rec.uni[empresa]"),BY$6)</f>
        <v>0</v>
      </c>
      <c r="BZ49" s="216"/>
      <c r="CA49" s="228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B49" s="228" cm="1">
        <f t="array" ref="CB4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C49" s="228" cm="1">
        <f t="array" ref="CC4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D49" s="228" cm="1">
        <f t="array" ref="CD4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E49" s="230" cm="1">
        <f t="array" ref="CE4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83" x14ac:dyDescent="0.25">
      <c r="A50" s="226">
        <v>45627</v>
      </c>
      <c r="B50" s="227">
        <f>COUNTIFS(
    estq[empresa], B$6,
    estq[Data da venda / reserva], "&gt;=" &amp; $A50,
    estq[Data da venda / reserva], "&lt;"  &amp; EOMONTH($A50,0) + 1
)</f>
        <v>0</v>
      </c>
      <c r="C50" s="228">
        <f ca="1">SUMIFS(rec.uni[2024-12-01],
INDIRECT("rec.uni[natureza]"),"pro.soluto",
INDIRECT("rec.uni[empresa]"),C$6)</f>
        <v>0</v>
      </c>
      <c r="D50" s="228">
        <f ca="1">SUMIFS(rec.uni[2024-12-01],
INDIRECT("rec.uni[natureza]"),"repasse.cef.obra",
INDIRECT("rec.uni[empresa]"),D$6)</f>
        <v>0</v>
      </c>
      <c r="E50" s="228">
        <f ca="1">SUMIFS(rec.uni[2024-12-01],
INDIRECT("rec.uni[natureza]"),"repasse.cef.terreno",
INDIRECT("rec.uni[empresa]"),E$6)</f>
        <v>0</v>
      </c>
      <c r="F50" s="228">
        <v>293595.69</v>
      </c>
      <c r="G50" s="228">
        <f ca="1">SUMIFS(rec.uni[2024-12-01],
INDIRECT("rec.uni[natureza]"),"taxa.extra",
INDIRECT("rec.uni[empresa]"),G$6)</f>
        <v>0</v>
      </c>
      <c r="H50" s="216"/>
      <c r="I50" s="228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228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228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228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229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227">
        <f>COUNTIFS(
    estq[empresa], N$6,
    estq[Data da venda / reserva], "&gt;=" &amp; $A50,
    estq[Data da venda / reserva], "&lt;"  &amp; EOMONTH($A50,0) + 1
)</f>
        <v>0</v>
      </c>
      <c r="O50" s="228">
        <f ca="1">SUMIFS(rec.uni[2024-12-01],
INDIRECT("rec.uni[natureza]"),"pro.soluto",
INDIRECT("rec.uni[empresa]"),O$6)</f>
        <v>0</v>
      </c>
      <c r="P50" s="228">
        <f ca="1">SUMIFS(rec.uni[2024-12-01],
INDIRECT("rec.uni[natureza]"),"repasse.cef.obra",
INDIRECT("rec.uni[empresa]"),P$6)</f>
        <v>0</v>
      </c>
      <c r="Q50" s="228">
        <f ca="1">SUMIFS(rec.uni[2024-12-01],
INDIRECT("rec.uni[natureza]"),"repasse.cef.terreno",
INDIRECT("rec.uni[empresa]"),Q$6)</f>
        <v>0</v>
      </c>
      <c r="R50" s="228">
        <v>0</v>
      </c>
      <c r="S50" s="228">
        <f ca="1">SUMIFS(rec.uni[2024-12-01],
INDIRECT("rec.uni[natureza]"),"taxa.extra",
INDIRECT("rec.uni[empresa]"),S$6)</f>
        <v>0</v>
      </c>
      <c r="T50" s="216"/>
      <c r="U50" s="228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228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228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228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229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227">
        <f>COUNTIFS(
    estq[empresa], Z$6,
    estq[Data da venda / reserva], "&gt;=" &amp; $A50,
    estq[Data da venda / reserva], "&lt;"  &amp; EOMONTH($A50,0) + 1
)</f>
        <v>0</v>
      </c>
      <c r="AA50" s="228">
        <f ca="1">SUMIFS(rec.uni[2024-12-01],
INDIRECT("rec.uni[natureza]"),"pro.soluto",
INDIRECT("rec.uni[empresa]"),AA$6)</f>
        <v>0</v>
      </c>
      <c r="AB50" s="228">
        <f ca="1">SUMIFS(rec.uni[2024-12-01],
INDIRECT("rec.uni[natureza]"),"repasse.cef.obra",
INDIRECT("rec.uni[empresa]"),AB$6)</f>
        <v>0</v>
      </c>
      <c r="AC50" s="228">
        <f ca="1">SUMIFS(rec.uni[2024-12-01],
INDIRECT("rec.uni[natureza]"),"repasse.cef.terreno",
INDIRECT("rec.uni[empresa]"),AC$6)</f>
        <v>0</v>
      </c>
      <c r="AD50" s="228">
        <v>0</v>
      </c>
      <c r="AE50" s="228">
        <f ca="1">SUMIFS(rec.uni[2024-12-01],
INDIRECT("rec.uni[natureza]"),"taxa.extra",
INDIRECT("rec.uni[empresa]"),AE$6)</f>
        <v>0</v>
      </c>
      <c r="AF50" s="216"/>
      <c r="AG50" s="228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H50" s="228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I50" s="228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J50" s="228" cm="1">
        <f t="array" ref="AJ5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K50" s="229" cm="1">
        <f t="array" ref="AK5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L50" s="227">
        <f>COUNTIFS(
    estq[empresa], AL$6,
    estq[Data da venda / reserva], "&gt;=" &amp; $A50,
    estq[Data da venda / reserva], "&lt;"  &amp; EOMONTH($A50,0) + 1
)</f>
        <v>0</v>
      </c>
      <c r="AM50" s="228">
        <f ca="1">SUMIFS(rec.uni[2024-12-01],
INDIRECT("rec.uni[natureza]"),"pro.soluto",
INDIRECT("rec.uni[empresa]"),AM$6)</f>
        <v>0</v>
      </c>
      <c r="AN50" s="228">
        <f ca="1">SUMIFS(rec.uni[2024-12-01],
INDIRECT("rec.uni[natureza]"),"repasse.cef.obra",
INDIRECT("rec.uni[empresa]"),AN$6)</f>
        <v>0</v>
      </c>
      <c r="AO50" s="228">
        <f ca="1">SUMIFS(rec.uni[2024-12-01],
INDIRECT("rec.uni[natureza]"),"repasse.cef.terreno",
INDIRECT("rec.uni[empresa]"),AO$6)</f>
        <v>0</v>
      </c>
      <c r="AP50" s="228">
        <v>0</v>
      </c>
      <c r="AQ50" s="228">
        <f ca="1">SUMIFS(rec.uni[2024-12-01],
INDIRECT("rec.uni[natureza]"),"taxa.extra",
INDIRECT("rec.uni[empresa]"),AQ$6)</f>
        <v>0</v>
      </c>
      <c r="AR50" s="216"/>
      <c r="AS50" s="228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T50" s="228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U50" s="228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V50" s="228" cm="1">
        <f t="array" ref="AV5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W50" s="229" cm="1">
        <f t="array" ref="AW5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X50" s="227">
        <f>COUNTIFS(
    estq[empresa], AX$6,
    estq[Data da venda / reserva], "&gt;=" &amp; $A50,
    estq[Data da venda / reserva], "&lt;"  &amp; EOMONTH($A50,0) + 1
)</f>
        <v>0</v>
      </c>
      <c r="AY50" s="228">
        <f ca="1">SUMIFS(rec.uni[2024-12-01],
INDIRECT("rec.uni[natureza]"),"pro.soluto",
INDIRECT("rec.uni[empresa]"),AY$6)</f>
        <v>0</v>
      </c>
      <c r="AZ50" s="216">
        <f ca="1">SUMIFS(rec.uni[2024-12-01],
INDIRECT("rec.uni[natureza]"),"parcela.fin.total.ik",
INDIRECT("rec.uni[empresa]"),AZ$6)</f>
        <v>0</v>
      </c>
      <c r="BA50" s="228">
        <f ca="1">SUMIFS(rec.uni[2024-12-01],
INDIRECT("rec.uni[natureza]"),"taxa.extra",
INDIRECT("rec.uni[empresa]"),BA$6)</f>
        <v>0</v>
      </c>
      <c r="BB50" s="216"/>
      <c r="BC50" s="228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D50" s="228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E50" s="228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F50" s="228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G50" s="229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H50" s="227">
        <f>COUNTIFS(
    estq[empresa], BH$6,
    estq[Data da venda / reserva], "&gt;=" &amp; $A50,
    estq[Data da venda / reserva], "&lt;"  &amp; EOMONTH($A50,0) + 1
)</f>
        <v>0</v>
      </c>
      <c r="BI50" s="228">
        <f ca="1">SUMIFS(rec.uni[2024-12-01],
INDIRECT("rec.uni[natureza]"),"pro.soluto",
INDIRECT("rec.uni[empresa]"),BI$6)</f>
        <v>0</v>
      </c>
      <c r="BJ50" s="228">
        <f ca="1">SUMIFS(rec.uni[2024-12-01],
INDIRECT("rec.uni[natureza]"),"repasse.cef.obra",
INDIRECT("rec.uni[empresa]"),BJ$6)</f>
        <v>0</v>
      </c>
      <c r="BK50" s="228">
        <f ca="1">SUMIFS(rec.uni[2024-12-01],
INDIRECT("rec.uni[natureza]"),"repasse.cef.terreno",
INDIRECT("rec.uni[empresa]"),BK$6)</f>
        <v>0</v>
      </c>
      <c r="BL50" s="228">
        <v>928463.72</v>
      </c>
      <c r="BM50" s="228">
        <f ca="1">SUMIFS(rec.uni[2024-12-01],
INDIRECT("rec.uni[natureza]"),"taxa.extra",
INDIRECT("rec.uni[empresa]"),BM$6)</f>
        <v>0</v>
      </c>
      <c r="BN50" s="216"/>
      <c r="BO50" s="228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P50" s="228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Q50" s="228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R50" s="228" cm="1">
        <f t="array" ref="BR5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S50" s="229" cm="1">
        <f t="array" ref="BS5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T50" s="227">
        <f>COUNTIFS(
    estq[empresa], BT$6,
    estq[Data da venda / reserva], "&gt;=" &amp; $A50,
    estq[Data da venda / reserva], "&lt;"  &amp; EOMONTH($A50,0) + 1
)</f>
        <v>0</v>
      </c>
      <c r="BU50" s="228">
        <f ca="1">SUMIFS(rec.uni[2024-12-01],
INDIRECT("rec.uni[natureza]"),"pro.soluto",
INDIRECT("rec.uni[empresa]"),BU$6)</f>
        <v>0</v>
      </c>
      <c r="BV50" s="228">
        <f ca="1">SUMIFS(rec.uni[2024-12-01],
INDIRECT("rec.uni[natureza]"),"repasse.cef.obra",
INDIRECT("rec.uni[empresa]"),BV$6)</f>
        <v>0</v>
      </c>
      <c r="BW50" s="228">
        <f ca="1">SUMIFS(rec.uni[2024-12-01],
INDIRECT("rec.uni[natureza]"),"repasse.cef.terreno",
INDIRECT("rec.uni[empresa]"),BW$6)</f>
        <v>0</v>
      </c>
      <c r="BX50" s="228">
        <v>0</v>
      </c>
      <c r="BY50" s="228">
        <f ca="1">SUMIFS(rec.uni[2024-12-01],
INDIRECT("rec.uni[natureza]"),"taxa.extra",
INDIRECT("rec.uni[empresa]"),BY$6)</f>
        <v>0</v>
      </c>
      <c r="BZ50" s="216"/>
      <c r="CA50" s="228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B50" s="228" cm="1">
        <f t="array" ref="CB5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C50" s="228" cm="1">
        <f t="array" ref="CC5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D50" s="228" cm="1">
        <f t="array" ref="CD5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E50" s="230" cm="1">
        <f t="array" ref="CE5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83" x14ac:dyDescent="0.25">
      <c r="A51" s="226">
        <v>45658</v>
      </c>
      <c r="B51" s="227">
        <f>COUNTIFS(
    estq[empresa], B$6,
    estq[Data da venda / reserva], "&gt;=" &amp; $A51,
    estq[Data da venda / reserva], "&lt;"  &amp; EOMONTH($A51,0) + 1
)</f>
        <v>0</v>
      </c>
      <c r="C51" s="228">
        <f ca="1">SUMIFS(rec.uni[2025-01-01],
INDIRECT("rec.uni[natureza]"),"pro.soluto",
INDIRECT("rec.uni[empresa]"),C$6)</f>
        <v>0</v>
      </c>
      <c r="D51" s="228">
        <f ca="1">SUMIFS(rec.uni[2025-01-01],
INDIRECT("rec.uni[natureza]"),"repasse.cef.obra",
INDIRECT("rec.uni[empresa]"),D$6)</f>
        <v>0</v>
      </c>
      <c r="E51" s="228">
        <f ca="1">SUMIFS(rec.uni[2025-01-01],
INDIRECT("rec.uni[natureza]"),"repasse.cef.terreno",
INDIRECT("rec.uni[empresa]"),E$6)</f>
        <v>0</v>
      </c>
      <c r="F51" s="228">
        <v>489068.85</v>
      </c>
      <c r="G51" s="228">
        <f ca="1">SUMIFS(rec.uni[2025-01-01],
INDIRECT("rec.uni[natureza]"),"taxa.extra",
INDIRECT("rec.uni[empresa]"),G$6)</f>
        <v>0</v>
      </c>
      <c r="H51" s="216"/>
      <c r="I51" s="228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228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228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228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229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227">
        <f>COUNTIFS(
    estq[empresa], N$6,
    estq[Data da venda / reserva], "&gt;=" &amp; $A51,
    estq[Data da venda / reserva], "&lt;"  &amp; EOMONTH($A51,0) + 1
)</f>
        <v>0</v>
      </c>
      <c r="O51" s="228">
        <f ca="1">SUMIFS(rec.uni[2025-01-01],
INDIRECT("rec.uni[natureza]"),"pro.soluto",
INDIRECT("rec.uni[empresa]"),O$6)</f>
        <v>0</v>
      </c>
      <c r="P51" s="228">
        <f ca="1">SUMIFS(rec.uni[2025-01-01],
INDIRECT("rec.uni[natureza]"),"repasse.cef.obra",
INDIRECT("rec.uni[empresa]"),P$6)</f>
        <v>0</v>
      </c>
      <c r="Q51" s="228">
        <f ca="1">SUMIFS(rec.uni[2025-01-01],
INDIRECT("rec.uni[natureza]"),"repasse.cef.terreno",
INDIRECT("rec.uni[empresa]"),Q$6)</f>
        <v>0</v>
      </c>
      <c r="R51" s="228">
        <v>0</v>
      </c>
      <c r="S51" s="228">
        <f ca="1">SUMIFS(rec.uni[2025-01-01],
INDIRECT("rec.uni[natureza]"),"taxa.extra",
INDIRECT("rec.uni[empresa]"),S$6)</f>
        <v>0</v>
      </c>
      <c r="T51" s="216"/>
      <c r="U51" s="228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228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228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228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229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227">
        <f>COUNTIFS(
    estq[empresa], Z$6,
    estq[Data da venda / reserva], "&gt;=" &amp; $A51,
    estq[Data da venda / reserva], "&lt;"  &amp; EOMONTH($A51,0) + 1
)</f>
        <v>0</v>
      </c>
      <c r="AA51" s="228">
        <f ca="1">SUMIFS(rec.uni[2025-01-01],
INDIRECT("rec.uni[natureza]"),"pro.soluto",
INDIRECT("rec.uni[empresa]"),AA$6)</f>
        <v>0</v>
      </c>
      <c r="AB51" s="228">
        <f ca="1">SUMIFS(rec.uni[2025-01-01],
INDIRECT("rec.uni[natureza]"),"repasse.cef.obra",
INDIRECT("rec.uni[empresa]"),AB$6)</f>
        <v>0</v>
      </c>
      <c r="AC51" s="228">
        <f ca="1">SUMIFS(rec.uni[2025-01-01],
INDIRECT("rec.uni[natureza]"),"repasse.cef.terreno",
INDIRECT("rec.uni[empresa]"),AC$6)</f>
        <v>0</v>
      </c>
      <c r="AD51" s="228">
        <v>0</v>
      </c>
      <c r="AE51" s="228">
        <f ca="1">SUMIFS(rec.uni[2025-01-01],
INDIRECT("rec.uni[natureza]"),"taxa.extra",
INDIRECT("rec.uni[empresa]"),AE$6)</f>
        <v>0</v>
      </c>
      <c r="AF51" s="216"/>
      <c r="AG51" s="228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H51" s="228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I51" s="228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J51" s="228" cm="1">
        <f t="array" ref="AJ5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K51" s="229" cm="1">
        <f t="array" ref="AK5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L51" s="227">
        <f>COUNTIFS(
    estq[empresa], AL$6,
    estq[Data da venda / reserva], "&gt;=" &amp; $A51,
    estq[Data da venda / reserva], "&lt;"  &amp; EOMONTH($A51,0) + 1
)</f>
        <v>0</v>
      </c>
      <c r="AM51" s="228">
        <f ca="1">SUMIFS(rec.uni[2025-01-01],
INDIRECT("rec.uni[natureza]"),"pro.soluto",
INDIRECT("rec.uni[empresa]"),AM$6)</f>
        <v>0</v>
      </c>
      <c r="AN51" s="228">
        <f ca="1">SUMIFS(rec.uni[2025-01-01],
INDIRECT("rec.uni[natureza]"),"repasse.cef.obra",
INDIRECT("rec.uni[empresa]"),AN$6)</f>
        <v>0</v>
      </c>
      <c r="AO51" s="228">
        <f ca="1">SUMIFS(rec.uni[2025-01-01],
INDIRECT("rec.uni[natureza]"),"repasse.cef.terreno",
INDIRECT("rec.uni[empresa]"),AO$6)</f>
        <v>0</v>
      </c>
      <c r="AP51" s="228">
        <v>0</v>
      </c>
      <c r="AQ51" s="228">
        <f ca="1">SUMIFS(rec.uni[2025-01-01],
INDIRECT("rec.uni[natureza]"),"taxa.extra",
INDIRECT("rec.uni[empresa]"),AQ$6)</f>
        <v>0</v>
      </c>
      <c r="AR51" s="216"/>
      <c r="AS51" s="228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T51" s="228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U51" s="228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V51" s="228" cm="1">
        <f t="array" ref="AV5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W51" s="229" cm="1">
        <f t="array" ref="AW5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X51" s="227">
        <f>COUNTIFS(
    estq[empresa], AX$6,
    estq[Data da venda / reserva], "&gt;=" &amp; $A51,
    estq[Data da venda / reserva], "&lt;"  &amp; EOMONTH($A51,0) + 1
)</f>
        <v>0</v>
      </c>
      <c r="AY51" s="228">
        <f ca="1">SUMIFS(rec.uni[2025-01-01],
INDIRECT("rec.uni[natureza]"),"pro.soluto",
INDIRECT("rec.uni[empresa]"),AY$6)</f>
        <v>0</v>
      </c>
      <c r="AZ51" s="216">
        <f ca="1">SUMIFS(rec.uni[2025-01-01],
INDIRECT("rec.uni[natureza]"),"parcela.fin.total.ik",
INDIRECT("rec.uni[empresa]"),AZ$6)</f>
        <v>0</v>
      </c>
      <c r="BA51" s="228">
        <f ca="1">SUMIFS(rec.uni[2025-01-01],
INDIRECT("rec.uni[natureza]"),"taxa.extra",
INDIRECT("rec.uni[empresa]"),BA$6)</f>
        <v>0</v>
      </c>
      <c r="BB51" s="216"/>
      <c r="BC51" s="228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D51" s="228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E51" s="228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F51" s="228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G51" s="229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H51" s="227">
        <f>COUNTIFS(
    estq[empresa], BH$6,
    estq[Data da venda / reserva], "&gt;=" &amp; $A51,
    estq[Data da venda / reserva], "&lt;"  &amp; EOMONTH($A51,0) + 1
)</f>
        <v>0</v>
      </c>
      <c r="BI51" s="228">
        <f ca="1">SUMIFS(rec.uni[2025-01-01],
INDIRECT("rec.uni[natureza]"),"pro.soluto",
INDIRECT("rec.uni[empresa]"),BI$6)</f>
        <v>0</v>
      </c>
      <c r="BJ51" s="228">
        <f ca="1">SUMIFS(rec.uni[2025-01-01],
INDIRECT("rec.uni[natureza]"),"repasse.cef.obra",
INDIRECT("rec.uni[empresa]"),BJ$6)</f>
        <v>0</v>
      </c>
      <c r="BK51" s="228">
        <f ca="1">SUMIFS(rec.uni[2025-01-01],
INDIRECT("rec.uni[natureza]"),"repasse.cef.terreno",
INDIRECT("rec.uni[empresa]"),BK$6)</f>
        <v>0</v>
      </c>
      <c r="BL51" s="228">
        <v>0</v>
      </c>
      <c r="BM51" s="228">
        <f ca="1">SUMIFS(rec.uni[2025-01-01],
INDIRECT("rec.uni[natureza]"),"taxa.extra",
INDIRECT("rec.uni[empresa]"),BM$6)</f>
        <v>0</v>
      </c>
      <c r="BN51" s="216"/>
      <c r="BO51" s="228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P51" s="228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Q51" s="228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R51" s="228" cm="1">
        <f t="array" ref="BR5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S51" s="229" cm="1">
        <f t="array" ref="BS5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T51" s="227">
        <f>COUNTIFS(
    estq[empresa], BT$6,
    estq[Data da venda / reserva], "&gt;=" &amp; $A51,
    estq[Data da venda / reserva], "&lt;"  &amp; EOMONTH($A51,0) + 1
)</f>
        <v>0</v>
      </c>
      <c r="BU51" s="228">
        <f ca="1">SUMIFS(rec.uni[2025-01-01],
INDIRECT("rec.uni[natureza]"),"pro.soluto",
INDIRECT("rec.uni[empresa]"),BU$6)</f>
        <v>0</v>
      </c>
      <c r="BV51" s="228">
        <f ca="1">SUMIFS(rec.uni[2025-01-01],
INDIRECT("rec.uni[natureza]"),"repasse.cef.obra",
INDIRECT("rec.uni[empresa]"),BV$6)</f>
        <v>0</v>
      </c>
      <c r="BW51" s="228">
        <f ca="1">SUMIFS(rec.uni[2025-01-01],
INDIRECT("rec.uni[natureza]"),"repasse.cef.terreno",
INDIRECT("rec.uni[empresa]"),BW$6)</f>
        <v>0</v>
      </c>
      <c r="BX51" s="228">
        <v>0</v>
      </c>
      <c r="BY51" s="228">
        <f ca="1">SUMIFS(rec.uni[2025-01-01],
INDIRECT("rec.uni[natureza]"),"taxa.extra",
INDIRECT("rec.uni[empresa]"),BY$6)</f>
        <v>0</v>
      </c>
      <c r="BZ51" s="216"/>
      <c r="CA51" s="228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B51" s="228" cm="1">
        <f t="array" ref="CB5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C51" s="228" cm="1">
        <f t="array" ref="CC5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D51" s="228" cm="1">
        <f t="array" ref="CD5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E51" s="230" cm="1">
        <f t="array" ref="CE5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83" x14ac:dyDescent="0.25">
      <c r="A52" s="226">
        <v>45689</v>
      </c>
      <c r="B52" s="227">
        <f>COUNTIFS(
    estq[empresa], B$6,
    estq[Data da venda / reserva], "&gt;=" &amp; $A52,
    estq[Data da venda / reserva], "&lt;"  &amp; EOMONTH($A52,0) + 1
)</f>
        <v>0</v>
      </c>
      <c r="C52" s="228">
        <f ca="1">SUMIFS(rec.uni[2025-02-01],
INDIRECT("rec.uni[natureza]"),"pro.soluto",
INDIRECT("rec.uni[empresa]"),C$6)</f>
        <v>0</v>
      </c>
      <c r="D52" s="228">
        <f ca="1">SUMIFS(rec.uni[2025-02-01],
INDIRECT("rec.uni[natureza]"),"repasse.cef.obra",
INDIRECT("rec.uni[empresa]"),D$6)</f>
        <v>0</v>
      </c>
      <c r="E52" s="228">
        <f ca="1">SUMIFS(rec.uni[2025-02-01],
INDIRECT("rec.uni[natureza]"),"repasse.cef.terreno",
INDIRECT("rec.uni[empresa]"),E$6)</f>
        <v>0</v>
      </c>
      <c r="F52" s="228">
        <v>0</v>
      </c>
      <c r="G52" s="228">
        <f ca="1">SUMIFS(rec.uni[2025-02-01],
INDIRECT("rec.uni[natureza]"),"taxa.extra",
INDIRECT("rec.uni[empresa]"),G$6)</f>
        <v>0</v>
      </c>
      <c r="H52" s="216"/>
      <c r="I52" s="228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228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228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228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229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227">
        <f>COUNTIFS(
    estq[empresa], N$6,
    estq[Data da venda / reserva], "&gt;=" &amp; $A52,
    estq[Data da venda / reserva], "&lt;"  &amp; EOMONTH($A52,0) + 1
)</f>
        <v>0</v>
      </c>
      <c r="O52" s="228">
        <f ca="1">SUMIFS(rec.uni[2025-02-01],
INDIRECT("rec.uni[natureza]"),"pro.soluto",
INDIRECT("rec.uni[empresa]"),O$6)</f>
        <v>0</v>
      </c>
      <c r="P52" s="228">
        <f ca="1">SUMIFS(rec.uni[2025-02-01],
INDIRECT("rec.uni[natureza]"),"repasse.cef.obra",
INDIRECT("rec.uni[empresa]"),P$6)</f>
        <v>0</v>
      </c>
      <c r="Q52" s="228">
        <f ca="1">SUMIFS(rec.uni[2025-02-01],
INDIRECT("rec.uni[natureza]"),"repasse.cef.terreno",
INDIRECT("rec.uni[empresa]"),Q$6)</f>
        <v>0</v>
      </c>
      <c r="R52" s="228">
        <v>0</v>
      </c>
      <c r="S52" s="228">
        <f ca="1">SUMIFS(rec.uni[2025-02-01],
INDIRECT("rec.uni[natureza]"),"taxa.extra",
INDIRECT("rec.uni[empresa]"),S$6)</f>
        <v>0</v>
      </c>
      <c r="T52" s="216"/>
      <c r="U52" s="228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228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228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228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229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227">
        <f>COUNTIFS(
    estq[empresa], Z$6,
    estq[Data da venda / reserva], "&gt;=" &amp; $A52,
    estq[Data da venda / reserva], "&lt;"  &amp; EOMONTH($A52,0) + 1
)</f>
        <v>0</v>
      </c>
      <c r="AA52" s="228">
        <f ca="1">SUMIFS(rec.uni[2025-02-01],
INDIRECT("rec.uni[natureza]"),"pro.soluto",
INDIRECT("rec.uni[empresa]"),AA$6)</f>
        <v>0</v>
      </c>
      <c r="AB52" s="228">
        <f ca="1">SUMIFS(rec.uni[2025-02-01],
INDIRECT("rec.uni[natureza]"),"repasse.cef.obra",
INDIRECT("rec.uni[empresa]"),AB$6)</f>
        <v>0</v>
      </c>
      <c r="AC52" s="228">
        <f ca="1">SUMIFS(rec.uni[2025-02-01],
INDIRECT("rec.uni[natureza]"),"repasse.cef.terreno",
INDIRECT("rec.uni[empresa]"),AC$6)</f>
        <v>0</v>
      </c>
      <c r="AD52" s="228">
        <v>0</v>
      </c>
      <c r="AE52" s="228">
        <f ca="1">SUMIFS(rec.uni[2025-02-01],
INDIRECT("rec.uni[natureza]"),"taxa.extra",
INDIRECT("rec.uni[empresa]"),AE$6)</f>
        <v>0</v>
      </c>
      <c r="AF52" s="216"/>
      <c r="AG52" s="228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H52" s="228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I52" s="228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J52" s="228" cm="1">
        <f t="array" ref="AJ5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K52" s="229" cm="1">
        <f t="array" ref="AK5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L52" s="227">
        <f>COUNTIFS(
    estq[empresa], AL$6,
    estq[Data da venda / reserva], "&gt;=" &amp; $A52,
    estq[Data da venda / reserva], "&lt;"  &amp; EOMONTH($A52,0) + 1
)</f>
        <v>0</v>
      </c>
      <c r="AM52" s="228">
        <f ca="1">SUMIFS(rec.uni[2025-02-01],
INDIRECT("rec.uni[natureza]"),"pro.soluto",
INDIRECT("rec.uni[empresa]"),AM$6)</f>
        <v>0</v>
      </c>
      <c r="AN52" s="228">
        <f ca="1">SUMIFS(rec.uni[2025-02-01],
INDIRECT("rec.uni[natureza]"),"repasse.cef.obra",
INDIRECT("rec.uni[empresa]"),AN$6)</f>
        <v>0</v>
      </c>
      <c r="AO52" s="228">
        <f ca="1">SUMIFS(rec.uni[2025-02-01],
INDIRECT("rec.uni[natureza]"),"repasse.cef.terreno",
INDIRECT("rec.uni[empresa]"),AO$6)</f>
        <v>0</v>
      </c>
      <c r="AP52" s="228">
        <v>0</v>
      </c>
      <c r="AQ52" s="228">
        <f ca="1">SUMIFS(rec.uni[2025-02-01],
INDIRECT("rec.uni[natureza]"),"taxa.extra",
INDIRECT("rec.uni[empresa]"),AQ$6)</f>
        <v>0</v>
      </c>
      <c r="AR52" s="216"/>
      <c r="AS52" s="228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T52" s="228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U52" s="228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V52" s="228" cm="1">
        <f t="array" ref="AV5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W52" s="229" cm="1">
        <f t="array" ref="AW5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X52" s="227">
        <f>COUNTIFS(
    estq[empresa], AX$6,
    estq[Data da venda / reserva], "&gt;=" &amp; $A52,
    estq[Data da venda / reserva], "&lt;"  &amp; EOMONTH($A52,0) + 1
)</f>
        <v>0</v>
      </c>
      <c r="AY52" s="228">
        <f ca="1">SUMIFS(rec.uni[2025-02-01],
INDIRECT("rec.uni[natureza]"),"pro.soluto",
INDIRECT("rec.uni[empresa]"),AY$6)</f>
        <v>0</v>
      </c>
      <c r="AZ52" s="216">
        <f ca="1">SUMIFS(rec.uni[2025-02-01],
INDIRECT("rec.uni[natureza]"),"parcela.fin.total.ik",
INDIRECT("rec.uni[empresa]"),AZ$6)</f>
        <v>0</v>
      </c>
      <c r="BA52" s="228">
        <f ca="1">SUMIFS(rec.uni[2025-02-01],
INDIRECT("rec.uni[natureza]"),"taxa.extra",
INDIRECT("rec.uni[empresa]"),BA$6)</f>
        <v>0</v>
      </c>
      <c r="BB52" s="216"/>
      <c r="BC52" s="228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D52" s="228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E52" s="228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F52" s="228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G52" s="229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H52" s="227">
        <f>COUNTIFS(
    estq[empresa], BH$6,
    estq[Data da venda / reserva], "&gt;=" &amp; $A52,
    estq[Data da venda / reserva], "&lt;"  &amp; EOMONTH($A52,0) + 1
)</f>
        <v>0</v>
      </c>
      <c r="BI52" s="228">
        <f ca="1">SUMIFS(rec.uni[2025-02-01],
INDIRECT("rec.uni[natureza]"),"pro.soluto",
INDIRECT("rec.uni[empresa]"),BI$6)</f>
        <v>0</v>
      </c>
      <c r="BJ52" s="228">
        <f ca="1">SUMIFS(rec.uni[2025-02-01],
INDIRECT("rec.uni[natureza]"),"repasse.cef.obra",
INDIRECT("rec.uni[empresa]"),BJ$6)</f>
        <v>0</v>
      </c>
      <c r="BK52" s="228">
        <f ca="1">SUMIFS(rec.uni[2025-02-01],
INDIRECT("rec.uni[natureza]"),"repasse.cef.terreno",
INDIRECT("rec.uni[empresa]"),BK$6)</f>
        <v>0</v>
      </c>
      <c r="BL52" s="228">
        <v>0</v>
      </c>
      <c r="BM52" s="228">
        <f ca="1">SUMIFS(rec.uni[2025-02-01],
INDIRECT("rec.uni[natureza]"),"taxa.extra",
INDIRECT("rec.uni[empresa]"),BM$6)</f>
        <v>0</v>
      </c>
      <c r="BN52" s="216"/>
      <c r="BO52" s="228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P52" s="228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Q52" s="228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R52" s="228" cm="1">
        <f t="array" ref="BR5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S52" s="229" cm="1">
        <f t="array" ref="BS5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T52" s="227">
        <f>COUNTIFS(
    estq[empresa], BT$6,
    estq[Data da venda / reserva], "&gt;=" &amp; $A52,
    estq[Data da venda / reserva], "&lt;"  &amp; EOMONTH($A52,0) + 1
)</f>
        <v>0</v>
      </c>
      <c r="BU52" s="228">
        <f ca="1">SUMIFS(rec.uni[2025-02-01],
INDIRECT("rec.uni[natureza]"),"pro.soluto",
INDIRECT("rec.uni[empresa]"),BU$6)</f>
        <v>0</v>
      </c>
      <c r="BV52" s="228">
        <f ca="1">SUMIFS(rec.uni[2025-02-01],
INDIRECT("rec.uni[natureza]"),"repasse.cef.obra",
INDIRECT("rec.uni[empresa]"),BV$6)</f>
        <v>0</v>
      </c>
      <c r="BW52" s="228">
        <f ca="1">SUMIFS(rec.uni[2025-02-01],
INDIRECT("rec.uni[natureza]"),"repasse.cef.terreno",
INDIRECT("rec.uni[empresa]"),BW$6)</f>
        <v>0</v>
      </c>
      <c r="BX52" s="228">
        <v>0</v>
      </c>
      <c r="BY52" s="228">
        <f ca="1">SUMIFS(rec.uni[2025-02-01],
INDIRECT("rec.uni[natureza]"),"taxa.extra",
INDIRECT("rec.uni[empresa]"),BY$6)</f>
        <v>0</v>
      </c>
      <c r="BZ52" s="216"/>
      <c r="CA52" s="228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B52" s="228" cm="1">
        <f t="array" ref="CB5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C52" s="228" cm="1">
        <f t="array" ref="CC5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D52" s="228" cm="1">
        <f t="array" ref="CD5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E52" s="230" cm="1">
        <f t="array" ref="CE5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83" x14ac:dyDescent="0.25">
      <c r="A53" s="226">
        <v>45717</v>
      </c>
      <c r="B53" s="227">
        <f>COUNTIFS(
    estq[empresa], B$6,
    estq[Data da venda / reserva], "&gt;=" &amp; $A53,
    estq[Data da venda / reserva], "&lt;"  &amp; EOMONTH($A53,0) + 1
)</f>
        <v>0</v>
      </c>
      <c r="C53" s="228">
        <f ca="1">SUMIFS(rec.uni[2025-03-01],
INDIRECT("rec.uni[natureza]"),"pro.soluto",
INDIRECT("rec.uni[empresa]"),C$6)</f>
        <v>0</v>
      </c>
      <c r="D53" s="228">
        <f ca="1">SUMIFS(rec.uni[2025-03-01],
INDIRECT("rec.uni[natureza]"),"repasse.cef.obra",
INDIRECT("rec.uni[empresa]"),D$6)</f>
        <v>0</v>
      </c>
      <c r="E53" s="228">
        <f ca="1">SUMIFS(rec.uni[2025-03-01],
INDIRECT("rec.uni[natureza]"),"repasse.cef.terreno",
INDIRECT("rec.uni[empresa]"),E$6)</f>
        <v>0</v>
      </c>
      <c r="F53" s="228">
        <v>385006.39</v>
      </c>
      <c r="G53" s="228">
        <f ca="1">SUMIFS(rec.uni[2025-03-01],
INDIRECT("rec.uni[natureza]"),"taxa.extra",
INDIRECT("rec.uni[empresa]"),G$6)</f>
        <v>0</v>
      </c>
      <c r="H53" s="216"/>
      <c r="I53" s="228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228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228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228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229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227">
        <f>COUNTIFS(
    estq[empresa], N$6,
    estq[Data da venda / reserva], "&gt;=" &amp; $A53,
    estq[Data da venda / reserva], "&lt;"  &amp; EOMONTH($A53,0) + 1
)</f>
        <v>0</v>
      </c>
      <c r="O53" s="228">
        <f ca="1">SUMIFS(rec.uni[2025-03-01],
INDIRECT("rec.uni[natureza]"),"pro.soluto",
INDIRECT("rec.uni[empresa]"),O$6)</f>
        <v>0</v>
      </c>
      <c r="P53" s="228">
        <f ca="1">SUMIFS(rec.uni[2025-03-01],
INDIRECT("rec.uni[natureza]"),"repasse.cef.obra",
INDIRECT("rec.uni[empresa]"),P$6)</f>
        <v>0</v>
      </c>
      <c r="Q53" s="228">
        <f ca="1">SUMIFS(rec.uni[2025-03-01],
INDIRECT("rec.uni[natureza]"),"repasse.cef.terreno",
INDIRECT("rec.uni[empresa]"),Q$6)</f>
        <v>0</v>
      </c>
      <c r="R53" s="228">
        <v>0</v>
      </c>
      <c r="S53" s="228">
        <f ca="1">SUMIFS(rec.uni[2025-03-01],
INDIRECT("rec.uni[natureza]"),"taxa.extra",
INDIRECT("rec.uni[empresa]"),S$6)</f>
        <v>0</v>
      </c>
      <c r="T53" s="216"/>
      <c r="U53" s="228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228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228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228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229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227">
        <f>COUNTIFS(
    estq[empresa], Z$6,
    estq[Data da venda / reserva], "&gt;=" &amp; $A53,
    estq[Data da venda / reserva], "&lt;"  &amp; EOMONTH($A53,0) + 1
)</f>
        <v>0</v>
      </c>
      <c r="AA53" s="228">
        <f ca="1">SUMIFS(rec.uni[2025-03-01],
INDIRECT("rec.uni[natureza]"),"pro.soluto",
INDIRECT("rec.uni[empresa]"),AA$6)</f>
        <v>0</v>
      </c>
      <c r="AB53" s="228">
        <f ca="1">SUMIFS(rec.uni[2025-03-01],
INDIRECT("rec.uni[natureza]"),"repasse.cef.obra",
INDIRECT("rec.uni[empresa]"),AB$6)</f>
        <v>0</v>
      </c>
      <c r="AC53" s="228">
        <f ca="1">SUMIFS(rec.uni[2025-03-01],
INDIRECT("rec.uni[natureza]"),"repasse.cef.terreno",
INDIRECT("rec.uni[empresa]"),AC$6)</f>
        <v>0</v>
      </c>
      <c r="AD53" s="228">
        <v>0</v>
      </c>
      <c r="AE53" s="228">
        <f ca="1">SUMIFS(rec.uni[2025-03-01],
INDIRECT("rec.uni[natureza]"),"taxa.extra",
INDIRECT("rec.uni[empresa]"),AE$6)</f>
        <v>0</v>
      </c>
      <c r="AF53" s="216"/>
      <c r="AG53" s="228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H53" s="228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I53" s="228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J53" s="228" cm="1">
        <f t="array" ref="AJ5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K53" s="229" cm="1">
        <f t="array" ref="AK5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L53" s="227">
        <f>COUNTIFS(
    estq[empresa], AL$6,
    estq[Data da venda / reserva], "&gt;=" &amp; $A53,
    estq[Data da venda / reserva], "&lt;"  &amp; EOMONTH($A53,0) + 1
)</f>
        <v>0</v>
      </c>
      <c r="AM53" s="228">
        <f ca="1">SUMIFS(rec.uni[2025-03-01],
INDIRECT("rec.uni[natureza]"),"pro.soluto",
INDIRECT("rec.uni[empresa]"),AM$6)</f>
        <v>0</v>
      </c>
      <c r="AN53" s="228">
        <f ca="1">SUMIFS(rec.uni[2025-03-01],
INDIRECT("rec.uni[natureza]"),"repasse.cef.obra",
INDIRECT("rec.uni[empresa]"),AN$6)</f>
        <v>0</v>
      </c>
      <c r="AO53" s="228">
        <f ca="1">SUMIFS(rec.uni[2025-03-01],
INDIRECT("rec.uni[natureza]"),"repasse.cef.terreno",
INDIRECT("rec.uni[empresa]"),AO$6)</f>
        <v>0</v>
      </c>
      <c r="AP53" s="228">
        <v>0</v>
      </c>
      <c r="AQ53" s="228">
        <f ca="1">SUMIFS(rec.uni[2025-03-01],
INDIRECT("rec.uni[natureza]"),"taxa.extra",
INDIRECT("rec.uni[empresa]"),AQ$6)</f>
        <v>0</v>
      </c>
      <c r="AR53" s="216"/>
      <c r="AS53" s="228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T53" s="228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U53" s="228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V53" s="228" cm="1">
        <f t="array" ref="AV5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W53" s="229" cm="1">
        <f t="array" ref="AW5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X53" s="227">
        <f>COUNTIFS(
    estq[empresa], AX$6,
    estq[Data da venda / reserva], "&gt;=" &amp; $A53,
    estq[Data da venda / reserva], "&lt;"  &amp; EOMONTH($A53,0) + 1
)</f>
        <v>0</v>
      </c>
      <c r="AY53" s="228">
        <f ca="1">SUMIFS(rec.uni[2025-03-01],
INDIRECT("rec.uni[natureza]"),"pro.soluto",
INDIRECT("rec.uni[empresa]"),AY$6)</f>
        <v>0</v>
      </c>
      <c r="AZ53" s="216">
        <f ca="1">SUMIFS(rec.uni[2025-03-01],
INDIRECT("rec.uni[natureza]"),"parcela.fin.total.ik",
INDIRECT("rec.uni[empresa]"),AZ$6)</f>
        <v>0</v>
      </c>
      <c r="BA53" s="228">
        <f ca="1">SUMIFS(rec.uni[2025-03-01],
INDIRECT("rec.uni[natureza]"),"taxa.extra",
INDIRECT("rec.uni[empresa]"),BA$6)</f>
        <v>0</v>
      </c>
      <c r="BB53" s="216"/>
      <c r="BC53" s="228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D53" s="228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E53" s="228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F53" s="228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G53" s="229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H53" s="227">
        <f>COUNTIFS(
    estq[empresa], BH$6,
    estq[Data da venda / reserva], "&gt;=" &amp; $A53,
    estq[Data da venda / reserva], "&lt;"  &amp; EOMONTH($A53,0) + 1
)</f>
        <v>0</v>
      </c>
      <c r="BI53" s="228">
        <f ca="1">SUMIFS(rec.uni[2025-03-01],
INDIRECT("rec.uni[natureza]"),"pro.soluto",
INDIRECT("rec.uni[empresa]"),BI$6)</f>
        <v>0</v>
      </c>
      <c r="BJ53" s="228">
        <f ca="1">SUMIFS(rec.uni[2025-03-01],
INDIRECT("rec.uni[natureza]"),"repasse.cef.obra",
INDIRECT("rec.uni[empresa]"),BJ$6)</f>
        <v>0</v>
      </c>
      <c r="BK53" s="228">
        <f ca="1">SUMIFS(rec.uni[2025-03-01],
INDIRECT("rec.uni[natureza]"),"repasse.cef.terreno",
INDIRECT("rec.uni[empresa]"),BK$6)</f>
        <v>0</v>
      </c>
      <c r="BL53" s="228">
        <v>236708.67</v>
      </c>
      <c r="BM53" s="228">
        <f ca="1">SUMIFS(rec.uni[2025-03-01],
INDIRECT("rec.uni[natureza]"),"taxa.extra",
INDIRECT("rec.uni[empresa]"),BM$6)</f>
        <v>0</v>
      </c>
      <c r="BN53" s="216"/>
      <c r="BO53" s="228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P53" s="228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Q53" s="228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R53" s="228" cm="1">
        <f t="array" ref="BR5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S53" s="229" cm="1">
        <f t="array" ref="BS5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T53" s="227">
        <f>COUNTIFS(
    estq[empresa], BT$6,
    estq[Data da venda / reserva], "&gt;=" &amp; $A53,
    estq[Data da venda / reserva], "&lt;"  &amp; EOMONTH($A53,0) + 1
)</f>
        <v>0</v>
      </c>
      <c r="BU53" s="228">
        <f ca="1">SUMIFS(rec.uni[2025-03-01],
INDIRECT("rec.uni[natureza]"),"pro.soluto",
INDIRECT("rec.uni[empresa]"),BU$6)</f>
        <v>0</v>
      </c>
      <c r="BV53" s="228">
        <f ca="1">SUMIFS(rec.uni[2025-03-01],
INDIRECT("rec.uni[natureza]"),"repasse.cef.obra",
INDIRECT("rec.uni[empresa]"),BV$6)</f>
        <v>0</v>
      </c>
      <c r="BW53" s="228">
        <f ca="1">SUMIFS(rec.uni[2025-03-01],
INDIRECT("rec.uni[natureza]"),"repasse.cef.terreno",
INDIRECT("rec.uni[empresa]"),BW$6)</f>
        <v>0</v>
      </c>
      <c r="BX53" s="228">
        <v>0</v>
      </c>
      <c r="BY53" s="228">
        <f ca="1">SUMIFS(rec.uni[2025-03-01],
INDIRECT("rec.uni[natureza]"),"taxa.extra",
INDIRECT("rec.uni[empresa]"),BY$6)</f>
        <v>0</v>
      </c>
      <c r="BZ53" s="216"/>
      <c r="CA53" s="228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B53" s="228" cm="1">
        <f t="array" ref="CB5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C53" s="228" cm="1">
        <f t="array" ref="CC5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D53" s="228" cm="1">
        <f t="array" ref="CD5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E53" s="230" cm="1">
        <f t="array" ref="CE5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83" x14ac:dyDescent="0.25">
      <c r="A54" s="226">
        <v>45748</v>
      </c>
      <c r="B54" s="227">
        <f>COUNTIFS(
    estq[empresa], B$6,
    estq[Data da venda / reserva], "&gt;=" &amp; $A54,
    estq[Data da venda / reserva], "&lt;"  &amp; EOMONTH($A54,0) + 1
)</f>
        <v>0</v>
      </c>
      <c r="C54" s="228">
        <f ca="1">SUMIFS(rec.uni[2025-04-01],
INDIRECT("rec.uni[natureza]"),"pro.soluto",
INDIRECT("rec.uni[empresa]"),C$6)</f>
        <v>0</v>
      </c>
      <c r="D54" s="228">
        <f ca="1">SUMIFS(rec.uni[2025-04-01],
INDIRECT("rec.uni[natureza]"),"repasse.cef.obra",
INDIRECT("rec.uni[empresa]"),D$6)</f>
        <v>0</v>
      </c>
      <c r="E54" s="228">
        <f ca="1">SUMIFS(rec.uni[2025-04-01],
INDIRECT("rec.uni[natureza]"),"repasse.cef.terreno",
INDIRECT("rec.uni[empresa]"),E$6)</f>
        <v>0</v>
      </c>
      <c r="F54" s="228">
        <v>223853.73</v>
      </c>
      <c r="G54" s="228">
        <f ca="1">SUMIFS(rec.uni[2025-04-01],
INDIRECT("rec.uni[natureza]"),"taxa.extra",
INDIRECT("rec.uni[empresa]"),G$6)</f>
        <v>0</v>
      </c>
      <c r="H54" s="216"/>
      <c r="I54" s="228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228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228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228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229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227">
        <f>COUNTIFS(
    estq[empresa], N$6,
    estq[Data da venda / reserva], "&gt;=" &amp; $A54,
    estq[Data da venda / reserva], "&lt;"  &amp; EOMONTH($A54,0) + 1
)</f>
        <v>0</v>
      </c>
      <c r="O54" s="228">
        <f ca="1">SUMIFS(rec.uni[2025-04-01],
INDIRECT("rec.uni[natureza]"),"pro.soluto",
INDIRECT("rec.uni[empresa]"),O$6)</f>
        <v>0</v>
      </c>
      <c r="P54" s="228">
        <f ca="1">SUMIFS(rec.uni[2025-04-01],
INDIRECT("rec.uni[natureza]"),"repasse.cef.obra",
INDIRECT("rec.uni[empresa]"),P$6)</f>
        <v>0</v>
      </c>
      <c r="Q54" s="228">
        <f ca="1">SUMIFS(rec.uni[2025-04-01],
INDIRECT("rec.uni[natureza]"),"repasse.cef.terreno",
INDIRECT("rec.uni[empresa]"),Q$6)</f>
        <v>0</v>
      </c>
      <c r="R54" s="228">
        <v>0</v>
      </c>
      <c r="S54" s="228">
        <f ca="1">SUMIFS(rec.uni[2025-04-01],
INDIRECT("rec.uni[natureza]"),"taxa.extra",
INDIRECT("rec.uni[empresa]"),S$6)</f>
        <v>0</v>
      </c>
      <c r="T54" s="216"/>
      <c r="U54" s="228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228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228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228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229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227">
        <f>COUNTIFS(
    estq[empresa], Z$6,
    estq[Data da venda / reserva], "&gt;=" &amp; $A54,
    estq[Data da venda / reserva], "&lt;"  &amp; EOMONTH($A54,0) + 1
)</f>
        <v>0</v>
      </c>
      <c r="AA54" s="228">
        <f ca="1">SUMIFS(rec.uni[2025-04-01],
INDIRECT("rec.uni[natureza]"),"pro.soluto",
INDIRECT("rec.uni[empresa]"),AA$6)</f>
        <v>0</v>
      </c>
      <c r="AB54" s="228">
        <f ca="1">SUMIFS(rec.uni[2025-04-01],
INDIRECT("rec.uni[natureza]"),"repasse.cef.obra",
INDIRECT("rec.uni[empresa]"),AB$6)</f>
        <v>0</v>
      </c>
      <c r="AC54" s="228">
        <f ca="1">SUMIFS(rec.uni[2025-04-01],
INDIRECT("rec.uni[natureza]"),"repasse.cef.terreno",
INDIRECT("rec.uni[empresa]"),AC$6)</f>
        <v>0</v>
      </c>
      <c r="AD54" s="228">
        <v>0</v>
      </c>
      <c r="AE54" s="228">
        <f ca="1">SUMIFS(rec.uni[2025-04-01],
INDIRECT("rec.uni[natureza]"),"taxa.extra",
INDIRECT("rec.uni[empresa]"),AE$6)</f>
        <v>0</v>
      </c>
      <c r="AF54" s="216"/>
      <c r="AG54" s="228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H54" s="228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I54" s="228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J54" s="228" cm="1">
        <f t="array" ref="AJ5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K54" s="229" cm="1">
        <f t="array" ref="AK5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L54" s="227">
        <f>COUNTIFS(
    estq[empresa], AL$6,
    estq[Data da venda / reserva], "&gt;=" &amp; $A54,
    estq[Data da venda / reserva], "&lt;"  &amp; EOMONTH($A54,0) + 1
)</f>
        <v>0</v>
      </c>
      <c r="AM54" s="228">
        <f ca="1">SUMIFS(rec.uni[2025-04-01],
INDIRECT("rec.uni[natureza]"),"pro.soluto",
INDIRECT("rec.uni[empresa]"),AM$6)</f>
        <v>0</v>
      </c>
      <c r="AN54" s="228">
        <f ca="1">SUMIFS(rec.uni[2025-04-01],
INDIRECT("rec.uni[natureza]"),"repasse.cef.obra",
INDIRECT("rec.uni[empresa]"),AN$6)</f>
        <v>0</v>
      </c>
      <c r="AO54" s="228">
        <f ca="1">SUMIFS(rec.uni[2025-04-01],
INDIRECT("rec.uni[natureza]"),"repasse.cef.terreno",
INDIRECT("rec.uni[empresa]"),AO$6)</f>
        <v>0</v>
      </c>
      <c r="AP54" s="228">
        <v>0</v>
      </c>
      <c r="AQ54" s="228">
        <f ca="1">SUMIFS(rec.uni[2025-04-01],
INDIRECT("rec.uni[natureza]"),"taxa.extra",
INDIRECT("rec.uni[empresa]"),AQ$6)</f>
        <v>0</v>
      </c>
      <c r="AR54" s="216"/>
      <c r="AS54" s="228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T54" s="228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U54" s="228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V54" s="228" cm="1">
        <f t="array" ref="AV5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W54" s="229" cm="1">
        <f t="array" ref="AW5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X54" s="227">
        <f>COUNTIFS(
    estq[empresa], AX$6,
    estq[Data da venda / reserva], "&gt;=" &amp; $A54,
    estq[Data da venda / reserva], "&lt;"  &amp; EOMONTH($A54,0) + 1
)</f>
        <v>0</v>
      </c>
      <c r="AY54" s="228">
        <f ca="1">SUMIFS(rec.uni[2025-04-01],
INDIRECT("rec.uni[natureza]"),"pro.soluto",
INDIRECT("rec.uni[empresa]"),AY$6)</f>
        <v>0</v>
      </c>
      <c r="AZ54" s="216">
        <f ca="1">SUMIFS(rec.uni[2025-04-01],
INDIRECT("rec.uni[natureza]"),"parcela.fin.total.ik",
INDIRECT("rec.uni[empresa]"),AZ$6)</f>
        <v>0</v>
      </c>
      <c r="BA54" s="228">
        <f ca="1">SUMIFS(rec.uni[2025-04-01],
INDIRECT("rec.uni[natureza]"),"taxa.extra",
INDIRECT("rec.uni[empresa]"),BA$6)</f>
        <v>0</v>
      </c>
      <c r="BB54" s="216"/>
      <c r="BC54" s="228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D54" s="228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E54" s="228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F54" s="228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G54" s="229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H54" s="227">
        <f>COUNTIFS(
    estq[empresa], BH$6,
    estq[Data da venda / reserva], "&gt;=" &amp; $A54,
    estq[Data da venda / reserva], "&lt;"  &amp; EOMONTH($A54,0) + 1
)</f>
        <v>0</v>
      </c>
      <c r="BI54" s="228">
        <f ca="1">SUMIFS(rec.uni[2025-04-01],
INDIRECT("rec.uni[natureza]"),"pro.soluto",
INDIRECT("rec.uni[empresa]"),BI$6)</f>
        <v>0</v>
      </c>
      <c r="BJ54" s="228">
        <f ca="1">SUMIFS(rec.uni[2025-04-01],
INDIRECT("rec.uni[natureza]"),"repasse.cef.obra",
INDIRECT("rec.uni[empresa]"),BJ$6)</f>
        <v>0</v>
      </c>
      <c r="BK54" s="228">
        <f ca="1">SUMIFS(rec.uni[2025-04-01],
INDIRECT("rec.uni[natureza]"),"repasse.cef.terreno",
INDIRECT("rec.uni[empresa]"),BK$6)</f>
        <v>0</v>
      </c>
      <c r="BL54" s="228">
        <v>273233.02</v>
      </c>
      <c r="BM54" s="228">
        <f ca="1">SUMIFS(rec.uni[2025-04-01],
INDIRECT("rec.uni[natureza]"),"taxa.extra",
INDIRECT("rec.uni[empresa]"),BM$6)</f>
        <v>0</v>
      </c>
      <c r="BN54" s="216"/>
      <c r="BO54" s="228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P54" s="228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Q54" s="228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R54" s="228" cm="1">
        <f t="array" ref="BR5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S54" s="229" cm="1">
        <f t="array" ref="BS5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T54" s="227">
        <f>COUNTIFS(
    estq[empresa], BT$6,
    estq[Data da venda / reserva], "&gt;=" &amp; $A54,
    estq[Data da venda / reserva], "&lt;"  &amp; EOMONTH($A54,0) + 1
)</f>
        <v>0</v>
      </c>
      <c r="BU54" s="228">
        <f ca="1">SUMIFS(rec.uni[2025-04-01],
INDIRECT("rec.uni[natureza]"),"pro.soluto",
INDIRECT("rec.uni[empresa]"),BU$6)</f>
        <v>0</v>
      </c>
      <c r="BV54" s="228">
        <f ca="1">SUMIFS(rec.uni[2025-04-01],
INDIRECT("rec.uni[natureza]"),"repasse.cef.obra",
INDIRECT("rec.uni[empresa]"),BV$6)</f>
        <v>0</v>
      </c>
      <c r="BW54" s="228">
        <f ca="1">SUMIFS(rec.uni[2025-04-01],
INDIRECT("rec.uni[natureza]"),"repasse.cef.terreno",
INDIRECT("rec.uni[empresa]"),BW$6)</f>
        <v>0</v>
      </c>
      <c r="BX54" s="228">
        <v>0</v>
      </c>
      <c r="BY54" s="228">
        <f ca="1">SUMIFS(rec.uni[2025-04-01],
INDIRECT("rec.uni[natureza]"),"taxa.extra",
INDIRECT("rec.uni[empresa]"),BY$6)</f>
        <v>0</v>
      </c>
      <c r="BZ54" s="216"/>
      <c r="CA54" s="228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B54" s="228" cm="1">
        <f t="array" ref="CB5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C54" s="228" cm="1">
        <f t="array" ref="CC5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D54" s="228" cm="1">
        <f t="array" ref="CD5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E54" s="230" cm="1">
        <f t="array" ref="CE5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83" x14ac:dyDescent="0.25">
      <c r="A55" s="226">
        <v>45778</v>
      </c>
      <c r="B55" s="227">
        <f>COUNTIFS(
    estq[empresa], B$6,
    estq[Data da venda / reserva], "&gt;=" &amp; $A55,
    estq[Data da venda / reserva], "&lt;"  &amp; EOMONTH($A55,0) + 1
)</f>
        <v>0</v>
      </c>
      <c r="C55" s="228">
        <f ca="1">SUMIFS(rec.uni[2025-05-01],
INDIRECT("rec.uni[natureza]"),"pro.soluto",
INDIRECT("rec.uni[empresa]"),C$6)</f>
        <v>0</v>
      </c>
      <c r="D55" s="228">
        <f ca="1">SUMIFS(rec.uni[2025-05-01],
INDIRECT("rec.uni[natureza]"),"repasse.cef.obra",
INDIRECT("rec.uni[empresa]"),D$6)</f>
        <v>0</v>
      </c>
      <c r="E55" s="228">
        <f ca="1">SUMIFS(rec.uni[2025-05-01],
INDIRECT("rec.uni[natureza]"),"repasse.cef.terreno",
INDIRECT("rec.uni[empresa]"),E$6)</f>
        <v>0</v>
      </c>
      <c r="F55" s="228">
        <v>134752.4</v>
      </c>
      <c r="G55" s="228">
        <f ca="1">SUMIFS(rec.uni[2025-05-01],
INDIRECT("rec.uni[natureza]"),"taxa.extra",
INDIRECT("rec.uni[empresa]"),G$6)</f>
        <v>0</v>
      </c>
      <c r="H55" s="216"/>
      <c r="I55" s="228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228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228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228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229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227">
        <f>COUNTIFS(
    estq[empresa], N$6,
    estq[Data da venda / reserva], "&gt;=" &amp; $A55,
    estq[Data da venda / reserva], "&lt;"  &amp; EOMONTH($A55,0) + 1
)</f>
        <v>0</v>
      </c>
      <c r="O55" s="228">
        <f ca="1">SUMIFS(rec.uni[2025-05-01],
INDIRECT("rec.uni[natureza]"),"pro.soluto",
INDIRECT("rec.uni[empresa]"),O$6)</f>
        <v>0</v>
      </c>
      <c r="P55" s="228">
        <f ca="1">SUMIFS(rec.uni[2025-05-01],
INDIRECT("rec.uni[natureza]"),"repasse.cef.obra",
INDIRECT("rec.uni[empresa]"),P$6)</f>
        <v>0</v>
      </c>
      <c r="Q55" s="228">
        <f ca="1">SUMIFS(rec.uni[2025-05-01],
INDIRECT("rec.uni[natureza]"),"repasse.cef.terreno",
INDIRECT("rec.uni[empresa]"),Q$6)</f>
        <v>0</v>
      </c>
      <c r="R55" s="228">
        <v>0</v>
      </c>
      <c r="S55" s="228">
        <f ca="1">SUMIFS(rec.uni[2025-05-01],
INDIRECT("rec.uni[natureza]"),"taxa.extra",
INDIRECT("rec.uni[empresa]"),S$6)</f>
        <v>0</v>
      </c>
      <c r="T55" s="216"/>
      <c r="U55" s="228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228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228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228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229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227">
        <f>COUNTIFS(
    estq[empresa], Z$6,
    estq[Data da venda / reserva], "&gt;=" &amp; $A55,
    estq[Data da venda / reserva], "&lt;"  &amp; EOMONTH($A55,0) + 1
)</f>
        <v>0</v>
      </c>
      <c r="AA55" s="228">
        <f ca="1">SUMIFS(rec.uni[2025-05-01],
INDIRECT("rec.uni[natureza]"),"pro.soluto",
INDIRECT("rec.uni[empresa]"),AA$6)</f>
        <v>0</v>
      </c>
      <c r="AB55" s="228">
        <f ca="1">SUMIFS(rec.uni[2025-05-01],
INDIRECT("rec.uni[natureza]"),"repasse.cef.obra",
INDIRECT("rec.uni[empresa]"),AB$6)</f>
        <v>0</v>
      </c>
      <c r="AC55" s="228">
        <f ca="1">SUMIFS(rec.uni[2025-05-01],
INDIRECT("rec.uni[natureza]"),"repasse.cef.terreno",
INDIRECT("rec.uni[empresa]"),AC$6)</f>
        <v>0</v>
      </c>
      <c r="AD55" s="228">
        <v>0</v>
      </c>
      <c r="AE55" s="228">
        <f ca="1">SUMIFS(rec.uni[2025-05-01],
INDIRECT("rec.uni[natureza]"),"taxa.extra",
INDIRECT("rec.uni[empresa]"),AE$6)</f>
        <v>0</v>
      </c>
      <c r="AF55" s="216"/>
      <c r="AG55" s="228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H55" s="228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I55" s="228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J55" s="228" cm="1">
        <f t="array" ref="AJ5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K55" s="229" cm="1">
        <f t="array" ref="AK5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L55" s="227">
        <f>COUNTIFS(
    estq[empresa], AL$6,
    estq[Data da venda / reserva], "&gt;=" &amp; $A55,
    estq[Data da venda / reserva], "&lt;"  &amp; EOMONTH($A55,0) + 1
)</f>
        <v>0</v>
      </c>
      <c r="AM55" s="228">
        <f ca="1">SUMIFS(rec.uni[2025-05-01],
INDIRECT("rec.uni[natureza]"),"pro.soluto",
INDIRECT("rec.uni[empresa]"),AM$6)</f>
        <v>0</v>
      </c>
      <c r="AN55" s="228">
        <f ca="1">SUMIFS(rec.uni[2025-05-01],
INDIRECT("rec.uni[natureza]"),"repasse.cef.obra",
INDIRECT("rec.uni[empresa]"),AN$6)</f>
        <v>0</v>
      </c>
      <c r="AO55" s="228">
        <f ca="1">SUMIFS(rec.uni[2025-05-01],
INDIRECT("rec.uni[natureza]"),"repasse.cef.terreno",
INDIRECT("rec.uni[empresa]"),AO$6)</f>
        <v>0</v>
      </c>
      <c r="AP55" s="228">
        <v>0</v>
      </c>
      <c r="AQ55" s="228">
        <f ca="1">SUMIFS(rec.uni[2025-05-01],
INDIRECT("rec.uni[natureza]"),"taxa.extra",
INDIRECT("rec.uni[empresa]"),AQ$6)</f>
        <v>0</v>
      </c>
      <c r="AR55" s="216"/>
      <c r="AS55" s="228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T55" s="228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U55" s="228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V55" s="228" cm="1">
        <f t="array" ref="AV5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W55" s="229" cm="1">
        <f t="array" ref="AW5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X55" s="227">
        <f>COUNTIFS(
    estq[empresa], AX$6,
    estq[Data da venda / reserva], "&gt;=" &amp; $A55,
    estq[Data da venda / reserva], "&lt;"  &amp; EOMONTH($A55,0) + 1
)</f>
        <v>0</v>
      </c>
      <c r="AY55" s="228">
        <f ca="1">SUMIFS(rec.uni[2025-05-01],
INDIRECT("rec.uni[natureza]"),"pro.soluto",
INDIRECT("rec.uni[empresa]"),AY$6)</f>
        <v>0</v>
      </c>
      <c r="AZ55" s="216">
        <f ca="1">SUMIFS(rec.uni[2025-05-01],
INDIRECT("rec.uni[natureza]"),"parcela.fin.total.ik",
INDIRECT("rec.uni[empresa]"),AZ$6)</f>
        <v>0</v>
      </c>
      <c r="BA55" s="228">
        <f ca="1">SUMIFS(rec.uni[2025-05-01],
INDIRECT("rec.uni[natureza]"),"taxa.extra",
INDIRECT("rec.uni[empresa]"),BA$6)</f>
        <v>0</v>
      </c>
      <c r="BB55" s="216"/>
      <c r="BC55" s="228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D55" s="228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E55" s="228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F55" s="228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G55" s="229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H55" s="227">
        <f>COUNTIFS(
    estq[empresa], BH$6,
    estq[Data da venda / reserva], "&gt;=" &amp; $A55,
    estq[Data da venda / reserva], "&lt;"  &amp; EOMONTH($A55,0) + 1
)</f>
        <v>0</v>
      </c>
      <c r="BI55" s="228">
        <f ca="1">SUMIFS(rec.uni[2025-05-01],
INDIRECT("rec.uni[natureza]"),"pro.soluto",
INDIRECT("rec.uni[empresa]"),BI$6)</f>
        <v>0</v>
      </c>
      <c r="BJ55" s="228">
        <f ca="1">SUMIFS(rec.uni[2025-05-01],
INDIRECT("rec.uni[natureza]"),"repasse.cef.obra",
INDIRECT("rec.uni[empresa]"),BJ$6)</f>
        <v>0</v>
      </c>
      <c r="BK55" s="228">
        <f ca="1">SUMIFS(rec.uni[2025-05-01],
INDIRECT("rec.uni[natureza]"),"repasse.cef.terreno",
INDIRECT("rec.uni[empresa]"),BK$6)</f>
        <v>0</v>
      </c>
      <c r="BL55" s="228">
        <v>0</v>
      </c>
      <c r="BM55" s="228">
        <f ca="1">SUMIFS(rec.uni[2025-05-01],
INDIRECT("rec.uni[natureza]"),"taxa.extra",
INDIRECT("rec.uni[empresa]"),BM$6)</f>
        <v>0</v>
      </c>
      <c r="BN55" s="216"/>
      <c r="BO55" s="228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P55" s="228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Q55" s="228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R55" s="228" cm="1">
        <f t="array" ref="BR5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S55" s="229" cm="1">
        <f t="array" ref="BS5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T55" s="227">
        <f>COUNTIFS(
    estq[empresa], BT$6,
    estq[Data da venda / reserva], "&gt;=" &amp; $A55,
    estq[Data da venda / reserva], "&lt;"  &amp; EOMONTH($A55,0) + 1
)</f>
        <v>0</v>
      </c>
      <c r="BU55" s="228">
        <f ca="1">SUMIFS(rec.uni[2025-05-01],
INDIRECT("rec.uni[natureza]"),"pro.soluto",
INDIRECT("rec.uni[empresa]"),BU$6)</f>
        <v>0</v>
      </c>
      <c r="BV55" s="228">
        <f ca="1">SUMIFS(rec.uni[2025-05-01],
INDIRECT("rec.uni[natureza]"),"repasse.cef.obra",
INDIRECT("rec.uni[empresa]"),BV$6)</f>
        <v>0</v>
      </c>
      <c r="BW55" s="228">
        <f ca="1">SUMIFS(rec.uni[2025-05-01],
INDIRECT("rec.uni[natureza]"),"repasse.cef.terreno",
INDIRECT("rec.uni[empresa]"),BW$6)</f>
        <v>0</v>
      </c>
      <c r="BX55" s="228">
        <v>0</v>
      </c>
      <c r="BY55" s="228">
        <f ca="1">SUMIFS(rec.uni[2025-05-01],
INDIRECT("rec.uni[natureza]"),"taxa.extra",
INDIRECT("rec.uni[empresa]"),BY$6)</f>
        <v>0</v>
      </c>
      <c r="BZ55" s="216"/>
      <c r="CA55" s="228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B55" s="228" cm="1">
        <f t="array" ref="CB5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C55" s="228" cm="1">
        <f t="array" ref="CC5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D55" s="228" cm="1">
        <f t="array" ref="CD5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E55" s="230" cm="1">
        <f t="array" ref="CE5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83" x14ac:dyDescent="0.25">
      <c r="A56" s="226">
        <v>45809</v>
      </c>
      <c r="B56" s="227">
        <f>COUNTIFS(
    estq[empresa], B$6,
    estq[Data da venda / reserva], "&gt;=" &amp; $A56,
    estq[Data da venda / reserva], "&lt;"  &amp; EOMONTH($A56,0) + 1
)</f>
        <v>0</v>
      </c>
      <c r="C56" s="228">
        <f ca="1">SUMIFS(rec.uni[2025-06-01],
INDIRECT("rec.uni[natureza]"),"pro.soluto",
INDIRECT("rec.uni[empresa]"),C$6)</f>
        <v>0</v>
      </c>
      <c r="D56" s="228">
        <f ca="1">SUMIFS(rec.uni[2025-06-01],
INDIRECT("rec.uni[natureza]"),"repasse.cef.obra",
INDIRECT("rec.uni[empresa]"),D$6)</f>
        <v>0</v>
      </c>
      <c r="E56" s="228">
        <f ca="1">SUMIFS(rec.uni[2025-06-01],
INDIRECT("rec.uni[natureza]"),"repasse.cef.terreno",
INDIRECT("rec.uni[empresa]"),E$6)</f>
        <v>0</v>
      </c>
      <c r="F56" s="228">
        <v>289304.8</v>
      </c>
      <c r="G56" s="228">
        <f ca="1">SUMIFS(rec.uni[2025-06-01],
INDIRECT("rec.uni[natureza]"),"taxa.extra",
INDIRECT("rec.uni[empresa]"),G$6)</f>
        <v>0</v>
      </c>
      <c r="H56" s="216"/>
      <c r="I56" s="228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228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228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228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229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227">
        <f>COUNTIFS(
    estq[empresa], N$6,
    estq[Data da venda / reserva], "&gt;=" &amp; $A56,
    estq[Data da venda / reserva], "&lt;"  &amp; EOMONTH($A56,0) + 1
)</f>
        <v>0</v>
      </c>
      <c r="O56" s="228">
        <f ca="1">SUMIFS(rec.uni[2025-06-01],
INDIRECT("rec.uni[natureza]"),"pro.soluto",
INDIRECT("rec.uni[empresa]"),O$6)</f>
        <v>0</v>
      </c>
      <c r="P56" s="228">
        <f ca="1">SUMIFS(rec.uni[2025-06-01],
INDIRECT("rec.uni[natureza]"),"repasse.cef.obra",
INDIRECT("rec.uni[empresa]"),P$6)</f>
        <v>0</v>
      </c>
      <c r="Q56" s="228">
        <f ca="1">SUMIFS(rec.uni[2025-06-01],
INDIRECT("rec.uni[natureza]"),"repasse.cef.terreno",
INDIRECT("rec.uni[empresa]"),Q$6)</f>
        <v>0</v>
      </c>
      <c r="R56" s="228">
        <v>0</v>
      </c>
      <c r="S56" s="228">
        <f ca="1">SUMIFS(rec.uni[2025-06-01],
INDIRECT("rec.uni[natureza]"),"taxa.extra",
INDIRECT("rec.uni[empresa]"),S$6)</f>
        <v>0</v>
      </c>
      <c r="T56" s="216"/>
      <c r="U56" s="228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228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228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228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229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227">
        <f>COUNTIFS(
    estq[empresa], Z$6,
    estq[Data da venda / reserva], "&gt;=" &amp; $A56,
    estq[Data da venda / reserva], "&lt;"  &amp; EOMONTH($A56,0) + 1
)</f>
        <v>0</v>
      </c>
      <c r="AA56" s="228">
        <f ca="1">SUMIFS(rec.uni[2025-06-01],
INDIRECT("rec.uni[natureza]"),"pro.soluto",
INDIRECT("rec.uni[empresa]"),AA$6)</f>
        <v>0</v>
      </c>
      <c r="AB56" s="228">
        <f ca="1">SUMIFS(rec.uni[2025-06-01],
INDIRECT("rec.uni[natureza]"),"repasse.cef.obra",
INDIRECT("rec.uni[empresa]"),AB$6)</f>
        <v>0</v>
      </c>
      <c r="AC56" s="228">
        <f ca="1">SUMIFS(rec.uni[2025-06-01],
INDIRECT("rec.uni[natureza]"),"repasse.cef.terreno",
INDIRECT("rec.uni[empresa]"),AC$6)</f>
        <v>0</v>
      </c>
      <c r="AD56" s="228">
        <v>0</v>
      </c>
      <c r="AE56" s="228">
        <f ca="1">SUMIFS(rec.uni[2025-06-01],
INDIRECT("rec.uni[natureza]"),"taxa.extra",
INDIRECT("rec.uni[empresa]"),AE$6)</f>
        <v>0</v>
      </c>
      <c r="AF56" s="216"/>
      <c r="AG56" s="228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H56" s="228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I56" s="228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J56" s="228" cm="1">
        <f t="array" ref="AJ5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K56" s="229" cm="1">
        <f t="array" ref="AK5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L56" s="227">
        <f>COUNTIFS(
    estq[empresa], AL$6,
    estq[Data da venda / reserva], "&gt;=" &amp; $A56,
    estq[Data da venda / reserva], "&lt;"  &amp; EOMONTH($A56,0) + 1
)</f>
        <v>0</v>
      </c>
      <c r="AM56" s="228">
        <f ca="1">SUMIFS(rec.uni[2025-06-01],
INDIRECT("rec.uni[natureza]"),"pro.soluto",
INDIRECT("rec.uni[empresa]"),AM$6)</f>
        <v>0</v>
      </c>
      <c r="AN56" s="228">
        <f ca="1">SUMIFS(rec.uni[2025-06-01],
INDIRECT("rec.uni[natureza]"),"repasse.cef.obra",
INDIRECT("rec.uni[empresa]"),AN$6)</f>
        <v>0</v>
      </c>
      <c r="AO56" s="228">
        <f ca="1">SUMIFS(rec.uni[2025-06-01],
INDIRECT("rec.uni[natureza]"),"repasse.cef.terreno",
INDIRECT("rec.uni[empresa]"),AO$6)</f>
        <v>0</v>
      </c>
      <c r="AP56" s="228">
        <v>0</v>
      </c>
      <c r="AQ56" s="228">
        <f ca="1">SUMIFS(rec.uni[2025-06-01],
INDIRECT("rec.uni[natureza]"),"taxa.extra",
INDIRECT("rec.uni[empresa]"),AQ$6)</f>
        <v>0</v>
      </c>
      <c r="AR56" s="216"/>
      <c r="AS56" s="228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T56" s="228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U56" s="228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V56" s="228" cm="1">
        <f t="array" ref="AV5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W56" s="229" cm="1">
        <f t="array" ref="AW5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X56" s="227">
        <f>COUNTIFS(
    estq[empresa], AX$6,
    estq[Data da venda / reserva], "&gt;=" &amp; $A56,
    estq[Data da venda / reserva], "&lt;"  &amp; EOMONTH($A56,0) + 1
)</f>
        <v>0</v>
      </c>
      <c r="AY56" s="228">
        <f ca="1">SUMIFS(rec.uni[2025-06-01],
INDIRECT("rec.uni[natureza]"),"pro.soluto",
INDIRECT("rec.uni[empresa]"),AY$6)</f>
        <v>0</v>
      </c>
      <c r="AZ56" s="216">
        <f ca="1">SUMIFS(rec.uni[2025-06-01],
INDIRECT("rec.uni[natureza]"),"parcela.fin.total.ik",
INDIRECT("rec.uni[empresa]"),AZ$6)</f>
        <v>0</v>
      </c>
      <c r="BA56" s="228">
        <f ca="1">SUMIFS(rec.uni[2025-06-01],
INDIRECT("rec.uni[natureza]"),"taxa.extra",
INDIRECT("rec.uni[empresa]"),BA$6)</f>
        <v>0</v>
      </c>
      <c r="BB56" s="216"/>
      <c r="BC56" s="228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D56" s="228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E56" s="228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F56" s="228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G56" s="229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H56" s="227">
        <f>COUNTIFS(
    estq[empresa], BH$6,
    estq[Data da venda / reserva], "&gt;=" &amp; $A56,
    estq[Data da venda / reserva], "&lt;"  &amp; EOMONTH($A56,0) + 1
)</f>
        <v>0</v>
      </c>
      <c r="BI56" s="228">
        <f ca="1">SUMIFS(rec.uni[2025-06-01],
INDIRECT("rec.uni[natureza]"),"pro.soluto",
INDIRECT("rec.uni[empresa]"),BI$6)</f>
        <v>0</v>
      </c>
      <c r="BJ56" s="228">
        <f ca="1">SUMIFS(rec.uni[2025-06-01],
INDIRECT("rec.uni[natureza]"),"repasse.cef.obra",
INDIRECT("rec.uni[empresa]"),BJ$6)</f>
        <v>0</v>
      </c>
      <c r="BK56" s="228">
        <f ca="1">SUMIFS(rec.uni[2025-06-01],
INDIRECT("rec.uni[natureza]"),"repasse.cef.terreno",
INDIRECT("rec.uni[empresa]"),BK$6)</f>
        <v>0</v>
      </c>
      <c r="BL56" s="228">
        <v>0</v>
      </c>
      <c r="BM56" s="228">
        <f ca="1">SUMIFS(rec.uni[2025-06-01],
INDIRECT("rec.uni[natureza]"),"taxa.extra",
INDIRECT("rec.uni[empresa]"),BM$6)</f>
        <v>0</v>
      </c>
      <c r="BN56" s="216"/>
      <c r="BO56" s="228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P56" s="228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Q56" s="228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R56" s="228" cm="1">
        <f t="array" ref="BR5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S56" s="229" cm="1">
        <f t="array" ref="BS5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T56" s="227">
        <f>COUNTIFS(
    estq[empresa], BT$6,
    estq[Data da venda / reserva], "&gt;=" &amp; $A56,
    estq[Data da venda / reserva], "&lt;"  &amp; EOMONTH($A56,0) + 1
)</f>
        <v>0</v>
      </c>
      <c r="BU56" s="228">
        <f ca="1">SUMIFS(rec.uni[2025-06-01],
INDIRECT("rec.uni[natureza]"),"pro.soluto",
INDIRECT("rec.uni[empresa]"),BU$6)</f>
        <v>0</v>
      </c>
      <c r="BV56" s="228">
        <f ca="1">SUMIFS(rec.uni[2025-06-01],
INDIRECT("rec.uni[natureza]"),"repasse.cef.obra",
INDIRECT("rec.uni[empresa]"),BV$6)</f>
        <v>0</v>
      </c>
      <c r="BW56" s="228">
        <f ca="1">SUMIFS(rec.uni[2025-06-01],
INDIRECT("rec.uni[natureza]"),"repasse.cef.terreno",
INDIRECT("rec.uni[empresa]"),BW$6)</f>
        <v>0</v>
      </c>
      <c r="BX56" s="228">
        <v>0</v>
      </c>
      <c r="BY56" s="228">
        <f ca="1">SUMIFS(rec.uni[2025-06-01],
INDIRECT("rec.uni[natureza]"),"taxa.extra",
INDIRECT("rec.uni[empresa]"),BY$6)</f>
        <v>0</v>
      </c>
      <c r="BZ56" s="216"/>
      <c r="CA56" s="228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B56" s="228" cm="1">
        <f t="array" ref="CB5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C56" s="228" cm="1">
        <f t="array" ref="CC5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D56" s="228" cm="1">
        <f t="array" ref="CD5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E56" s="230" cm="1">
        <f t="array" ref="CE5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83" x14ac:dyDescent="0.25">
      <c r="A57" s="226">
        <v>45839</v>
      </c>
      <c r="B57" s="227">
        <f>COUNTIFS(
    estq[empresa], B$6,
    estq[Data da venda / reserva], "&gt;=" &amp; $A57,
    estq[Data da venda / reserva], "&lt;"  &amp; EOMONTH($A57,0) + 1
)</f>
        <v>0</v>
      </c>
      <c r="C57" s="228">
        <f ca="1">SUMIFS(rec.uni[2025-07-01],
INDIRECT("rec.uni[natureza]"),"pro.soluto",
INDIRECT("rec.uni[empresa]"),C$6)</f>
        <v>0</v>
      </c>
      <c r="D57" s="228">
        <f ca="1">SUMIFS(rec.uni[2025-07-01],
INDIRECT("rec.uni[natureza]"),"repasse.cef.obra",
INDIRECT("rec.uni[empresa]"),D$6)</f>
        <v>0</v>
      </c>
      <c r="E57" s="228">
        <f ca="1">SUMIFS(rec.uni[2025-07-01],
INDIRECT("rec.uni[natureza]"),"repasse.cef.terreno",
INDIRECT("rec.uni[empresa]"),E$6)</f>
        <v>0</v>
      </c>
      <c r="F57" s="228">
        <v>171602.91</v>
      </c>
      <c r="G57" s="228">
        <f ca="1">SUMIFS(rec.uni[2025-07-01],
INDIRECT("rec.uni[natureza]"),"taxa.extra",
INDIRECT("rec.uni[empresa]"),G$6)</f>
        <v>0</v>
      </c>
      <c r="H57" s="216"/>
      <c r="I57" s="228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228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228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228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229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227">
        <f>COUNTIFS(
    estq[empresa], N$6,
    estq[Data da venda / reserva], "&gt;=" &amp; $A57,
    estq[Data da venda / reserva], "&lt;"  &amp; EOMONTH($A57,0) + 1
)</f>
        <v>0</v>
      </c>
      <c r="O57" s="228">
        <f ca="1">SUMIFS(rec.uni[2025-07-01],
INDIRECT("rec.uni[natureza]"),"pro.soluto",
INDIRECT("rec.uni[empresa]"),O$6)</f>
        <v>0</v>
      </c>
      <c r="P57" s="228">
        <f ca="1">SUMIFS(rec.uni[2025-07-01],
INDIRECT("rec.uni[natureza]"),"repasse.cef.obra",
INDIRECT("rec.uni[empresa]"),P$6)</f>
        <v>0</v>
      </c>
      <c r="Q57" s="228">
        <f ca="1">SUMIFS(rec.uni[2025-07-01],
INDIRECT("rec.uni[natureza]"),"repasse.cef.terreno",
INDIRECT("rec.uni[empresa]"),Q$6)</f>
        <v>0</v>
      </c>
      <c r="R57" s="228">
        <v>0</v>
      </c>
      <c r="S57" s="228">
        <f ca="1">SUMIFS(rec.uni[2025-07-01],
INDIRECT("rec.uni[natureza]"),"taxa.extra",
INDIRECT("rec.uni[empresa]"),S$6)</f>
        <v>0</v>
      </c>
      <c r="T57" s="216"/>
      <c r="U57" s="228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228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228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228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229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227">
        <f>COUNTIFS(
    estq[empresa], Z$6,
    estq[Data da venda / reserva], "&gt;=" &amp; $A57,
    estq[Data da venda / reserva], "&lt;"  &amp; EOMONTH($A57,0) + 1
)</f>
        <v>0</v>
      </c>
      <c r="AA57" s="228">
        <f ca="1">SUMIFS(rec.uni[2025-07-01],
INDIRECT("rec.uni[natureza]"),"pro.soluto",
INDIRECT("rec.uni[empresa]"),AA$6)</f>
        <v>0</v>
      </c>
      <c r="AB57" s="228">
        <f ca="1">SUMIFS(rec.uni[2025-07-01],
INDIRECT("rec.uni[natureza]"),"repasse.cef.obra",
INDIRECT("rec.uni[empresa]"),AB$6)</f>
        <v>0</v>
      </c>
      <c r="AC57" s="228">
        <f ca="1">SUMIFS(rec.uni[2025-07-01],
INDIRECT("rec.uni[natureza]"),"repasse.cef.terreno",
INDIRECT("rec.uni[empresa]"),AC$6)</f>
        <v>0</v>
      </c>
      <c r="AD57" s="228">
        <v>493410.63</v>
      </c>
      <c r="AE57" s="228">
        <f ca="1">SUMIFS(rec.uni[2025-07-01],
INDIRECT("rec.uni[natureza]"),"taxa.extra",
INDIRECT("rec.uni[empresa]"),AE$6)</f>
        <v>0</v>
      </c>
      <c r="AF57" s="216"/>
      <c r="AG57" s="228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H57" s="228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I57" s="228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J57" s="228" cm="1">
        <f t="array" ref="AJ5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K57" s="229" cm="1">
        <f t="array" ref="AK5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L57" s="227">
        <f>COUNTIFS(
    estq[empresa], AL$6,
    estq[Data da venda / reserva], "&gt;=" &amp; $A57,
    estq[Data da venda / reserva], "&lt;"  &amp; EOMONTH($A57,0) + 1
)</f>
        <v>0</v>
      </c>
      <c r="AM57" s="228">
        <f ca="1">SUMIFS(rec.uni[2025-07-01],
INDIRECT("rec.uni[natureza]"),"pro.soluto",
INDIRECT("rec.uni[empresa]"),AM$6)</f>
        <v>0</v>
      </c>
      <c r="AN57" s="228">
        <f ca="1">SUMIFS(rec.uni[2025-07-01],
INDIRECT("rec.uni[natureza]"),"repasse.cef.obra",
INDIRECT("rec.uni[empresa]"),AN$6)</f>
        <v>0</v>
      </c>
      <c r="AO57" s="228">
        <f ca="1">SUMIFS(rec.uni[2025-07-01],
INDIRECT("rec.uni[natureza]"),"repasse.cef.terreno",
INDIRECT("rec.uni[empresa]"),AO$6)</f>
        <v>0</v>
      </c>
      <c r="AP57" s="228">
        <v>0</v>
      </c>
      <c r="AQ57" s="228">
        <f ca="1">SUMIFS(rec.uni[2025-07-01],
INDIRECT("rec.uni[natureza]"),"taxa.extra",
INDIRECT("rec.uni[empresa]"),AQ$6)</f>
        <v>0</v>
      </c>
      <c r="AR57" s="216"/>
      <c r="AS57" s="228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T57" s="228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U57" s="228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V57" s="228" cm="1">
        <f t="array" ref="AV5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W57" s="229" cm="1">
        <f t="array" ref="AW5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X57" s="227">
        <f>COUNTIFS(
    estq[empresa], AX$6,
    estq[Data da venda / reserva], "&gt;=" &amp; $A57,
    estq[Data da venda / reserva], "&lt;"  &amp; EOMONTH($A57,0) + 1
)</f>
        <v>0</v>
      </c>
      <c r="AY57" s="228">
        <f ca="1">SUMIFS(rec.uni[2025-07-01],
INDIRECT("rec.uni[natureza]"),"pro.soluto",
INDIRECT("rec.uni[empresa]"),AY$6)</f>
        <v>0</v>
      </c>
      <c r="AZ57" s="216">
        <f ca="1">SUMIFS(rec.uni[2025-07-01],
INDIRECT("rec.uni[natureza]"),"parcela.fin.total.ik",
INDIRECT("rec.uni[empresa]"),AZ$6)</f>
        <v>0</v>
      </c>
      <c r="BA57" s="228">
        <f ca="1">SUMIFS(rec.uni[2025-07-01],
INDIRECT("rec.uni[natureza]"),"taxa.extra",
INDIRECT("rec.uni[empresa]"),BA$6)</f>
        <v>0</v>
      </c>
      <c r="BB57" s="216"/>
      <c r="BC57" s="228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D57" s="228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E57" s="228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F57" s="228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G57" s="229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H57" s="227">
        <f>COUNTIFS(
    estq[empresa], BH$6,
    estq[Data da venda / reserva], "&gt;=" &amp; $A57,
    estq[Data da venda / reserva], "&lt;"  &amp; EOMONTH($A57,0) + 1
)</f>
        <v>0</v>
      </c>
      <c r="BI57" s="228">
        <f ca="1">SUMIFS(rec.uni[2025-07-01],
INDIRECT("rec.uni[natureza]"),"pro.soluto",
INDIRECT("rec.uni[empresa]"),BI$6)</f>
        <v>0</v>
      </c>
      <c r="BJ57" s="228">
        <f ca="1">SUMIFS(rec.uni[2025-07-01],
INDIRECT("rec.uni[natureza]"),"repasse.cef.obra",
INDIRECT("rec.uni[empresa]"),BJ$6)</f>
        <v>0</v>
      </c>
      <c r="BK57" s="228">
        <f ca="1">SUMIFS(rec.uni[2025-07-01],
INDIRECT("rec.uni[natureza]"),"repasse.cef.terreno",
INDIRECT("rec.uni[empresa]"),BK$6)</f>
        <v>0</v>
      </c>
      <c r="BL57" s="228">
        <v>504350.63</v>
      </c>
      <c r="BM57" s="228">
        <f ca="1">SUMIFS(rec.uni[2025-07-01],
INDIRECT("rec.uni[natureza]"),"taxa.extra",
INDIRECT("rec.uni[empresa]"),BM$6)</f>
        <v>0</v>
      </c>
      <c r="BN57" s="216"/>
      <c r="BO57" s="228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P57" s="228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Q57" s="228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R57" s="228" cm="1">
        <f t="array" ref="BR5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S57" s="229" cm="1">
        <f t="array" ref="BS5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T57" s="227">
        <f>COUNTIFS(
    estq[empresa], BT$6,
    estq[Data da venda / reserva], "&gt;=" &amp; $A57,
    estq[Data da venda / reserva], "&lt;"  &amp; EOMONTH($A57,0) + 1
)</f>
        <v>0</v>
      </c>
      <c r="BU57" s="228">
        <f ca="1">SUMIFS(rec.uni[2025-07-01],
INDIRECT("rec.uni[natureza]"),"pro.soluto",
INDIRECT("rec.uni[empresa]"),BU$6)</f>
        <v>0</v>
      </c>
      <c r="BV57" s="228">
        <f ca="1">SUMIFS(rec.uni[2025-07-01],
INDIRECT("rec.uni[natureza]"),"repasse.cef.obra",
INDIRECT("rec.uni[empresa]"),BV$6)</f>
        <v>0</v>
      </c>
      <c r="BW57" s="228">
        <f ca="1">SUMIFS(rec.uni[2025-07-01],
INDIRECT("rec.uni[natureza]"),"repasse.cef.terreno",
INDIRECT("rec.uni[empresa]"),BW$6)</f>
        <v>0</v>
      </c>
      <c r="BX57" s="228">
        <v>0</v>
      </c>
      <c r="BY57" s="228">
        <f ca="1">SUMIFS(rec.uni[2025-07-01],
INDIRECT("rec.uni[natureza]"),"taxa.extra",
INDIRECT("rec.uni[empresa]"),BY$6)</f>
        <v>0</v>
      </c>
      <c r="BZ57" s="216"/>
      <c r="CA57" s="228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B57" s="228" cm="1">
        <f t="array" ref="CB5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C57" s="228" cm="1">
        <f t="array" ref="CC5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D57" s="228" cm="1">
        <f t="array" ref="CD5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E57" s="230" cm="1">
        <f t="array" ref="CE5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83" x14ac:dyDescent="0.25">
      <c r="A58" s="226">
        <v>45870</v>
      </c>
      <c r="B58" s="227">
        <f>COUNTIFS(
    estq[empresa], B$6,
    estq[Data da venda / reserva], "&gt;=" &amp; $A58,
    estq[Data da venda / reserva], "&lt;"  &amp; EOMONTH($A58,0) + 1
)</f>
        <v>0</v>
      </c>
      <c r="C58" s="228">
        <f ca="1">SUMIFS(rec.uni[2025-08-01],
INDIRECT("rec.uni[natureza]"),"pro.soluto",
INDIRECT("rec.uni[empresa]"),C$6)</f>
        <v>0</v>
      </c>
      <c r="D58" s="228">
        <f ca="1">SUMIFS(rec.uni[2025-08-01],
INDIRECT("rec.uni[natureza]"),"repasse.cef.obra",
INDIRECT("rec.uni[empresa]"),D$6)</f>
        <v>0</v>
      </c>
      <c r="E58" s="228">
        <f ca="1">SUMIFS(rec.uni[2025-08-01],
INDIRECT("rec.uni[natureza]"),"repasse.cef.terreno",
INDIRECT("rec.uni[empresa]"),E$6)</f>
        <v>0</v>
      </c>
      <c r="F58" s="228">
        <v>366306.04</v>
      </c>
      <c r="G58" s="228">
        <f ca="1">SUMIFS(rec.uni[2025-08-01],
INDIRECT("rec.uni[natureza]"),"taxa.extra",
INDIRECT("rec.uni[empresa]"),G$6)</f>
        <v>0</v>
      </c>
      <c r="H58" s="216"/>
      <c r="I58" s="228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228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228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228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229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227">
        <f>COUNTIFS(
    estq[empresa], N$6,
    estq[Data da venda / reserva], "&gt;=" &amp; $A58,
    estq[Data da venda / reserva], "&lt;"  &amp; EOMONTH($A58,0) + 1
)</f>
        <v>0</v>
      </c>
      <c r="O58" s="228">
        <f ca="1">SUMIFS(rec.uni[2025-08-01],
INDIRECT("rec.uni[natureza]"),"pro.soluto",
INDIRECT("rec.uni[empresa]"),O$6)</f>
        <v>0</v>
      </c>
      <c r="P58" s="228">
        <f ca="1">SUMIFS(rec.uni[2025-08-01],
INDIRECT("rec.uni[natureza]"),"repasse.cef.obra",
INDIRECT("rec.uni[empresa]"),P$6)</f>
        <v>0</v>
      </c>
      <c r="Q58" s="228">
        <f ca="1">SUMIFS(rec.uni[2025-08-01],
INDIRECT("rec.uni[natureza]"),"repasse.cef.terreno",
INDIRECT("rec.uni[empresa]"),Q$6)</f>
        <v>0</v>
      </c>
      <c r="R58" s="228">
        <v>0</v>
      </c>
      <c r="S58" s="228">
        <f ca="1">SUMIFS(rec.uni[2025-08-01],
INDIRECT("rec.uni[natureza]"),"taxa.extra",
INDIRECT("rec.uni[empresa]"),S$6)</f>
        <v>0</v>
      </c>
      <c r="T58" s="216"/>
      <c r="U58" s="228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228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228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228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229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227">
        <f>COUNTIFS(
    estq[empresa], Z$6,
    estq[Data da venda / reserva], "&gt;=" &amp; $A58,
    estq[Data da venda / reserva], "&lt;"  &amp; EOMONTH($A58,0) + 1
)</f>
        <v>0</v>
      </c>
      <c r="AA58" s="228">
        <f ca="1">SUMIFS(rec.uni[2025-08-01],
INDIRECT("rec.uni[natureza]"),"pro.soluto",
INDIRECT("rec.uni[empresa]"),AA$6)</f>
        <v>0</v>
      </c>
      <c r="AB58" s="228">
        <f ca="1">SUMIFS(rec.uni[2025-08-01],
INDIRECT("rec.uni[natureza]"),"repasse.cef.obra",
INDIRECT("rec.uni[empresa]"),AB$6)</f>
        <v>0</v>
      </c>
      <c r="AC58" s="228">
        <f ca="1">SUMIFS(rec.uni[2025-08-01],
INDIRECT("rec.uni[natureza]"),"repasse.cef.terreno",
INDIRECT("rec.uni[empresa]"),AC$6)</f>
        <v>0</v>
      </c>
      <c r="AD58" s="228">
        <v>831222.47</v>
      </c>
      <c r="AE58" s="228">
        <f ca="1">SUMIFS(rec.uni[2025-08-01],
INDIRECT("rec.uni[natureza]"),"taxa.extra",
INDIRECT("rec.uni[empresa]"),AE$6)</f>
        <v>0</v>
      </c>
      <c r="AF58" s="216"/>
      <c r="AG58" s="228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H58" s="228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I58" s="228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J58" s="228" cm="1">
        <f t="array" ref="AJ5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K58" s="229" cm="1">
        <f t="array" ref="AK5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L58" s="227">
        <f>COUNTIFS(
    estq[empresa], AL$6,
    estq[Data da venda / reserva], "&gt;=" &amp; $A58,
    estq[Data da venda / reserva], "&lt;"  &amp; EOMONTH($A58,0) + 1
)</f>
        <v>0</v>
      </c>
      <c r="AM58" s="228">
        <f ca="1">SUMIFS(rec.uni[2025-08-01],
INDIRECT("rec.uni[natureza]"),"pro.soluto",
INDIRECT("rec.uni[empresa]"),AM$6)</f>
        <v>0</v>
      </c>
      <c r="AN58" s="228">
        <f ca="1">SUMIFS(rec.uni[2025-08-01],
INDIRECT("rec.uni[natureza]"),"repasse.cef.obra",
INDIRECT("rec.uni[empresa]"),AN$6)</f>
        <v>0</v>
      </c>
      <c r="AO58" s="228">
        <f ca="1">SUMIFS(rec.uni[2025-08-01],
INDIRECT("rec.uni[natureza]"),"repasse.cef.terreno",
INDIRECT("rec.uni[empresa]"),AO$6)</f>
        <v>0</v>
      </c>
      <c r="AP58" s="228">
        <v>0</v>
      </c>
      <c r="AQ58" s="228">
        <f ca="1">SUMIFS(rec.uni[2025-08-01],
INDIRECT("rec.uni[natureza]"),"taxa.extra",
INDIRECT("rec.uni[empresa]"),AQ$6)</f>
        <v>0</v>
      </c>
      <c r="AR58" s="216"/>
      <c r="AS58" s="228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T58" s="228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U58" s="228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V58" s="228" cm="1">
        <f t="array" ref="AV5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W58" s="229" cm="1">
        <f t="array" ref="AW5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X58" s="227">
        <f>COUNTIFS(
    estq[empresa], AX$6,
    estq[Data da venda / reserva], "&gt;=" &amp; $A58,
    estq[Data da venda / reserva], "&lt;"  &amp; EOMONTH($A58,0) + 1
)</f>
        <v>0</v>
      </c>
      <c r="AY58" s="228">
        <f ca="1">SUMIFS(rec.uni[2025-08-01],
INDIRECT("rec.uni[natureza]"),"pro.soluto",
INDIRECT("rec.uni[empresa]"),AY$6)</f>
        <v>0</v>
      </c>
      <c r="AZ58" s="216">
        <f ca="1">SUMIFS(rec.uni[2025-08-01],
INDIRECT("rec.uni[natureza]"),"parcela.fin.total.ik",
INDIRECT("rec.uni[empresa]"),AZ$6)</f>
        <v>0</v>
      </c>
      <c r="BA58" s="228">
        <f ca="1">SUMIFS(rec.uni[2025-08-01],
INDIRECT("rec.uni[natureza]"),"taxa.extra",
INDIRECT("rec.uni[empresa]"),BA$6)</f>
        <v>0</v>
      </c>
      <c r="BB58" s="216"/>
      <c r="BC58" s="228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D58" s="228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E58" s="228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F58" s="228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G58" s="229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H58" s="227">
        <f>COUNTIFS(
    estq[empresa], BH$6,
    estq[Data da venda / reserva], "&gt;=" &amp; $A58,
    estq[Data da venda / reserva], "&lt;"  &amp; EOMONTH($A58,0) + 1
)</f>
        <v>0</v>
      </c>
      <c r="BI58" s="228">
        <f ca="1">SUMIFS(rec.uni[2025-08-01],
INDIRECT("rec.uni[natureza]"),"pro.soluto",
INDIRECT("rec.uni[empresa]"),BI$6)</f>
        <v>0</v>
      </c>
      <c r="BJ58" s="228">
        <f ca="1">SUMIFS(rec.uni[2025-08-01],
INDIRECT("rec.uni[natureza]"),"repasse.cef.obra",
INDIRECT("rec.uni[empresa]"),BJ$6)</f>
        <v>0</v>
      </c>
      <c r="BK58" s="228">
        <f ca="1">SUMIFS(rec.uni[2025-08-01],
INDIRECT("rec.uni[natureza]"),"repasse.cef.terreno",
INDIRECT("rec.uni[empresa]"),BK$6)</f>
        <v>0</v>
      </c>
      <c r="BL58" s="228">
        <v>249520.85</v>
      </c>
      <c r="BM58" s="228">
        <f ca="1">SUMIFS(rec.uni[2025-08-01],
INDIRECT("rec.uni[natureza]"),"taxa.extra",
INDIRECT("rec.uni[empresa]"),BM$6)</f>
        <v>0</v>
      </c>
      <c r="BN58" s="216"/>
      <c r="BO58" s="228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P58" s="228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Q58" s="228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R58" s="228" cm="1">
        <f t="array" ref="BR5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S58" s="229" cm="1">
        <f t="array" ref="BS5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T58" s="227">
        <f>COUNTIFS(
    estq[empresa], BT$6,
    estq[Data da venda / reserva], "&gt;=" &amp; $A58,
    estq[Data da venda / reserva], "&lt;"  &amp; EOMONTH($A58,0) + 1
)</f>
        <v>0</v>
      </c>
      <c r="BU58" s="228">
        <f ca="1">SUMIFS(rec.uni[2025-08-01],
INDIRECT("rec.uni[natureza]"),"pro.soluto",
INDIRECT("rec.uni[empresa]"),BU$6)</f>
        <v>0</v>
      </c>
      <c r="BV58" s="228">
        <f ca="1">SUMIFS(rec.uni[2025-08-01],
INDIRECT("rec.uni[natureza]"),"repasse.cef.obra",
INDIRECT("rec.uni[empresa]"),BV$6)</f>
        <v>0</v>
      </c>
      <c r="BW58" s="228">
        <f ca="1">SUMIFS(rec.uni[2025-08-01],
INDIRECT("rec.uni[natureza]"),"repasse.cef.terreno",
INDIRECT("rec.uni[empresa]"),BW$6)</f>
        <v>0</v>
      </c>
      <c r="BX58" s="228">
        <v>0</v>
      </c>
      <c r="BY58" s="228">
        <f ca="1">SUMIFS(rec.uni[2025-08-01],
INDIRECT("rec.uni[natureza]"),"taxa.extra",
INDIRECT("rec.uni[empresa]"),BY$6)</f>
        <v>0</v>
      </c>
      <c r="BZ58" s="216"/>
      <c r="CA58" s="228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B58" s="228" cm="1">
        <f t="array" ref="CB5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C58" s="228" cm="1">
        <f t="array" ref="CC5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D58" s="228" cm="1">
        <f t="array" ref="CD5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E58" s="230" cm="1">
        <f t="array" ref="CE5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83" x14ac:dyDescent="0.25">
      <c r="A59" s="226">
        <v>45901</v>
      </c>
      <c r="B59" s="227">
        <f>COUNTIFS(
    estq[empresa], B$6,
    estq[Data da venda / reserva], "&gt;=" &amp; $A59,
    estq[Data da venda / reserva], "&lt;"  &amp; EOMONTH($A59,0) + 1
)</f>
        <v>0</v>
      </c>
      <c r="C59" s="228">
        <f ca="1">SUMIFS(rec.uni[2025-09-01],
INDIRECT("rec.uni[natureza]"),"pro.soluto",
INDIRECT("rec.uni[empresa]"),C$6)</f>
        <v>0</v>
      </c>
      <c r="D59" s="228">
        <f ca="1">SUMIFS(rec.uni[2025-09-01],
INDIRECT("rec.uni[natureza]"),"repasse.cef.obra",
INDIRECT("rec.uni[empresa]"),D$6)</f>
        <v>0</v>
      </c>
      <c r="E59" s="228">
        <f ca="1">SUMIFS(rec.uni[2025-09-01],
INDIRECT("rec.uni[natureza]"),"repasse.cef.terreno",
INDIRECT("rec.uni[empresa]"),E$6)</f>
        <v>0</v>
      </c>
      <c r="F59" s="228">
        <v>181081.21</v>
      </c>
      <c r="G59" s="228">
        <f ca="1">SUMIFS(rec.uni[2025-09-01],
INDIRECT("rec.uni[natureza]"),"taxa.extra",
INDIRECT("rec.uni[empresa]"),G$6)</f>
        <v>0</v>
      </c>
      <c r="H59" s="216"/>
      <c r="I59" s="228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228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228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228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229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227">
        <f>COUNTIFS(
    estq[empresa], N$6,
    estq[Data da venda / reserva], "&gt;=" &amp; $A59,
    estq[Data da venda / reserva], "&lt;"  &amp; EOMONTH($A59,0) + 1
)</f>
        <v>0</v>
      </c>
      <c r="O59" s="228">
        <f ca="1">SUMIFS(rec.uni[2025-09-01],
INDIRECT("rec.uni[natureza]"),"pro.soluto",
INDIRECT("rec.uni[empresa]"),O$6)</f>
        <v>0</v>
      </c>
      <c r="P59" s="228">
        <f ca="1">SUMIFS(rec.uni[2025-09-01],
INDIRECT("rec.uni[natureza]"),"repasse.cef.obra",
INDIRECT("rec.uni[empresa]"),P$6)</f>
        <v>0</v>
      </c>
      <c r="Q59" s="228">
        <f ca="1">SUMIFS(rec.uni[2025-09-01],
INDIRECT("rec.uni[natureza]"),"repasse.cef.terreno",
INDIRECT("rec.uni[empresa]"),Q$6)</f>
        <v>0</v>
      </c>
      <c r="R59" s="228">
        <v>0</v>
      </c>
      <c r="S59" s="228">
        <f ca="1">SUMIFS(rec.uni[2025-09-01],
INDIRECT("rec.uni[natureza]"),"taxa.extra",
INDIRECT("rec.uni[empresa]"),S$6)</f>
        <v>0</v>
      </c>
      <c r="T59" s="216"/>
      <c r="U59" s="228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228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228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228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229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227">
        <f>COUNTIFS(
    estq[empresa], Z$6,
    estq[Data da venda / reserva], "&gt;=" &amp; $A59,
    estq[Data da venda / reserva], "&lt;"  &amp; EOMONTH($A59,0) + 1
)</f>
        <v>0</v>
      </c>
      <c r="AA59" s="228">
        <f ca="1">SUMIFS(rec.uni[2025-09-01],
INDIRECT("rec.uni[natureza]"),"pro.soluto",
INDIRECT("rec.uni[empresa]"),AA$6)</f>
        <v>0</v>
      </c>
      <c r="AB59" s="228">
        <f ca="1">SUMIFS(rec.uni[2025-09-01],
INDIRECT("rec.uni[natureza]"),"repasse.cef.obra",
INDIRECT("rec.uni[empresa]"),AB$6)</f>
        <v>0</v>
      </c>
      <c r="AC59" s="228">
        <f ca="1">SUMIFS(rec.uni[2025-09-01],
INDIRECT("rec.uni[natureza]"),"repasse.cef.terreno",
INDIRECT("rec.uni[empresa]"),AC$6)</f>
        <v>0</v>
      </c>
      <c r="AD59" s="228">
        <v>229516.7</v>
      </c>
      <c r="AE59" s="228">
        <f ca="1">SUMIFS(rec.uni[2025-09-01],
INDIRECT("rec.uni[natureza]"),"taxa.extra",
INDIRECT("rec.uni[empresa]"),AE$6)</f>
        <v>0</v>
      </c>
      <c r="AF59" s="216"/>
      <c r="AG59" s="228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H59" s="228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I59" s="228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J59" s="228" cm="1">
        <f t="array" ref="AJ5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K59" s="229" cm="1">
        <f t="array" ref="AK5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L59" s="227">
        <f>COUNTIFS(
    estq[empresa], AL$6,
    estq[Data da venda / reserva], "&gt;=" &amp; $A59,
    estq[Data da venda / reserva], "&lt;"  &amp; EOMONTH($A59,0) + 1
)</f>
        <v>0</v>
      </c>
      <c r="AM59" s="228">
        <f ca="1">SUMIFS(rec.uni[2025-09-01],
INDIRECT("rec.uni[natureza]"),"pro.soluto",
INDIRECT("rec.uni[empresa]"),AM$6)</f>
        <v>0</v>
      </c>
      <c r="AN59" s="228">
        <f ca="1">SUMIFS(rec.uni[2025-09-01],
INDIRECT("rec.uni[natureza]"),"repasse.cef.obra",
INDIRECT("rec.uni[empresa]"),AN$6)</f>
        <v>0</v>
      </c>
      <c r="AO59" s="228">
        <f ca="1">SUMIFS(rec.uni[2025-09-01],
INDIRECT("rec.uni[natureza]"),"repasse.cef.terreno",
INDIRECT("rec.uni[empresa]"),AO$6)</f>
        <v>0</v>
      </c>
      <c r="AP59" s="228">
        <v>0</v>
      </c>
      <c r="AQ59" s="228">
        <f ca="1">SUMIFS(rec.uni[2025-09-01],
INDIRECT("rec.uni[natureza]"),"taxa.extra",
INDIRECT("rec.uni[empresa]"),AQ$6)</f>
        <v>0</v>
      </c>
      <c r="AR59" s="216"/>
      <c r="AS59" s="228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T59" s="228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U59" s="228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V59" s="228" cm="1">
        <f t="array" ref="AV5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W59" s="229" cm="1">
        <f t="array" ref="AW5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X59" s="227">
        <f>COUNTIFS(
    estq[empresa], AX$6,
    estq[Data da venda / reserva], "&gt;=" &amp; $A59,
    estq[Data da venda / reserva], "&lt;"  &amp; EOMONTH($A59,0) + 1
)</f>
        <v>0</v>
      </c>
      <c r="AY59" s="228">
        <f ca="1">SUMIFS(rec.uni[2025-09-01],
INDIRECT("rec.uni[natureza]"),"pro.soluto",
INDIRECT("rec.uni[empresa]"),AY$6)</f>
        <v>0</v>
      </c>
      <c r="AZ59" s="216">
        <f ca="1">SUMIFS(rec.uni[2025-09-01],
INDIRECT("rec.uni[natureza]"),"parcela.fin.total.ik",
INDIRECT("rec.uni[empresa]"),AZ$6)</f>
        <v>0</v>
      </c>
      <c r="BA59" s="228">
        <f ca="1">SUMIFS(rec.uni[2025-09-01],
INDIRECT("rec.uni[natureza]"),"taxa.extra",
INDIRECT("rec.uni[empresa]"),BA$6)</f>
        <v>0</v>
      </c>
      <c r="BB59" s="216"/>
      <c r="BC59" s="228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D59" s="228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E59" s="228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F59" s="228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G59" s="229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H59" s="227">
        <f>COUNTIFS(
    estq[empresa], BH$6,
    estq[Data da venda / reserva], "&gt;=" &amp; $A59,
    estq[Data da venda / reserva], "&lt;"  &amp; EOMONTH($A59,0) + 1
)</f>
        <v>0</v>
      </c>
      <c r="BI59" s="228">
        <f ca="1">SUMIFS(rec.uni[2025-09-01],
INDIRECT("rec.uni[natureza]"),"pro.soluto",
INDIRECT("rec.uni[empresa]"),BI$6)</f>
        <v>0</v>
      </c>
      <c r="BJ59" s="228">
        <f ca="1">SUMIFS(rec.uni[2025-09-01],
INDIRECT("rec.uni[natureza]"),"repasse.cef.obra",
INDIRECT("rec.uni[empresa]"),BJ$6)</f>
        <v>0</v>
      </c>
      <c r="BK59" s="228">
        <f ca="1">SUMIFS(rec.uni[2025-09-01],
INDIRECT("rec.uni[natureza]"),"repasse.cef.terreno",
INDIRECT("rec.uni[empresa]"),BK$6)</f>
        <v>0</v>
      </c>
      <c r="BL59" s="228">
        <v>315799.90000000002</v>
      </c>
      <c r="BM59" s="228">
        <f ca="1">SUMIFS(rec.uni[2025-09-01],
INDIRECT("rec.uni[natureza]"),"taxa.extra",
INDIRECT("rec.uni[empresa]"),BM$6)</f>
        <v>0</v>
      </c>
      <c r="BN59" s="216"/>
      <c r="BO59" s="228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P59" s="228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Q59" s="228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R59" s="228" cm="1">
        <f t="array" ref="BR5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S59" s="229" cm="1">
        <f t="array" ref="BS5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T59" s="227">
        <f>COUNTIFS(
    estq[empresa], BT$6,
    estq[Data da venda / reserva], "&gt;=" &amp; $A59,
    estq[Data da venda / reserva], "&lt;"  &amp; EOMONTH($A59,0) + 1
)</f>
        <v>0</v>
      </c>
      <c r="BU59" s="228">
        <f ca="1">SUMIFS(rec.uni[2025-09-01],
INDIRECT("rec.uni[natureza]"),"pro.soluto",
INDIRECT("rec.uni[empresa]"),BU$6)</f>
        <v>0</v>
      </c>
      <c r="BV59" s="228">
        <f ca="1">SUMIFS(rec.uni[2025-09-01],
INDIRECT("rec.uni[natureza]"),"repasse.cef.obra",
INDIRECT("rec.uni[empresa]"),BV$6)</f>
        <v>0</v>
      </c>
      <c r="BW59" s="228">
        <f ca="1">SUMIFS(rec.uni[2025-09-01],
INDIRECT("rec.uni[natureza]"),"repasse.cef.terreno",
INDIRECT("rec.uni[empresa]"),BW$6)</f>
        <v>0</v>
      </c>
      <c r="BX59" s="228">
        <v>0</v>
      </c>
      <c r="BY59" s="228">
        <f ca="1">SUMIFS(rec.uni[2025-09-01],
INDIRECT("rec.uni[natureza]"),"taxa.extra",
INDIRECT("rec.uni[empresa]"),BY$6)</f>
        <v>0</v>
      </c>
      <c r="BZ59" s="216"/>
      <c r="CA59" s="228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B59" s="228" cm="1">
        <f t="array" ref="CB5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C59" s="228" cm="1">
        <f t="array" ref="CC5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D59" s="228" cm="1">
        <f t="array" ref="CD5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E59" s="230" cm="1">
        <f t="array" ref="CE5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83" x14ac:dyDescent="0.25">
      <c r="A60" s="226">
        <v>45931</v>
      </c>
      <c r="B60" s="227">
        <f>COUNTIFS(
    estq[empresa], B$6,
    estq[Data da venda / reserva], "&gt;=" &amp; $A60,
    estq[Data da venda / reserva], "&lt;"  &amp; EOMONTH($A60,0) + 1
)</f>
        <v>0</v>
      </c>
      <c r="C60" s="228">
        <f ca="1">SUMIFS(rec.uni[2025-10-01],
INDIRECT("rec.uni[natureza]"),"pro.soluto",
INDIRECT("rec.uni[empresa]"),C$6)</f>
        <v>0</v>
      </c>
      <c r="D60" s="228">
        <f ca="1">SUMIFS(rec.uni[2025-10-01],
INDIRECT("rec.uni[natureza]"),"repasse.cef.obra",
INDIRECT("rec.uni[empresa]"),D$6)</f>
        <v>0</v>
      </c>
      <c r="E60" s="228">
        <f ca="1">SUMIFS(rec.uni[2025-10-01],
INDIRECT("rec.uni[natureza]"),"repasse.cef.terreno",
INDIRECT("rec.uni[empresa]"),E$6)</f>
        <v>0</v>
      </c>
      <c r="F60" s="228">
        <v>266613.7</v>
      </c>
      <c r="G60" s="228">
        <f ca="1">SUMIFS(rec.uni[2025-10-01],
INDIRECT("rec.uni[natureza]"),"taxa.extra",
INDIRECT("rec.uni[empresa]"),G$6)</f>
        <v>0</v>
      </c>
      <c r="H60" s="216"/>
      <c r="I60" s="228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228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228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228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229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227">
        <f>COUNTIFS(
    estq[empresa], N$6,
    estq[Data da venda / reserva], "&gt;=" &amp; $A60,
    estq[Data da venda / reserva], "&lt;"  &amp; EOMONTH($A60,0) + 1
)</f>
        <v>0</v>
      </c>
      <c r="O60" s="228">
        <f ca="1">SUMIFS(rec.uni[2025-10-01],
INDIRECT("rec.uni[natureza]"),"pro.soluto",
INDIRECT("rec.uni[empresa]"),O$6)</f>
        <v>0</v>
      </c>
      <c r="P60" s="228">
        <f ca="1">SUMIFS(rec.uni[2025-10-01],
INDIRECT("rec.uni[natureza]"),"repasse.cef.obra",
INDIRECT("rec.uni[empresa]"),P$6)</f>
        <v>0</v>
      </c>
      <c r="Q60" s="228">
        <f ca="1">SUMIFS(rec.uni[2025-10-01],
INDIRECT("rec.uni[natureza]"),"repasse.cef.terreno",
INDIRECT("rec.uni[empresa]"),Q$6)</f>
        <v>0</v>
      </c>
      <c r="R60" s="228">
        <v>0</v>
      </c>
      <c r="S60" s="228">
        <f ca="1">SUMIFS(rec.uni[2025-10-01],
INDIRECT("rec.uni[natureza]"),"taxa.extra",
INDIRECT("rec.uni[empresa]"),S$6)</f>
        <v>0</v>
      </c>
      <c r="T60" s="216"/>
      <c r="U60" s="228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228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228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228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229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227">
        <f>COUNTIFS(
    estq[empresa], Z$6,
    estq[Data da venda / reserva], "&gt;=" &amp; $A60,
    estq[Data da venda / reserva], "&lt;"  &amp; EOMONTH($A60,0) + 1
)</f>
        <v>0</v>
      </c>
      <c r="AA60" s="228">
        <f ca="1">SUMIFS(rec.uni[2025-10-01],
INDIRECT("rec.uni[natureza]"),"pro.soluto",
INDIRECT("rec.uni[empresa]"),AA$6)</f>
        <v>0</v>
      </c>
      <c r="AB60" s="228">
        <f ca="1">SUMIFS(rec.uni[2025-10-01],
INDIRECT("rec.uni[natureza]"),"repasse.cef.obra",
INDIRECT("rec.uni[empresa]"),AB$6)</f>
        <v>0</v>
      </c>
      <c r="AC60" s="228">
        <f ca="1">SUMIFS(rec.uni[2025-10-01],
INDIRECT("rec.uni[natureza]"),"repasse.cef.terreno",
INDIRECT("rec.uni[empresa]"),AC$6)</f>
        <v>0</v>
      </c>
      <c r="AD60" s="228">
        <v>314892.83</v>
      </c>
      <c r="AE60" s="228">
        <f ca="1">SUMIFS(rec.uni[2025-10-01],
INDIRECT("rec.uni[natureza]"),"taxa.extra",
INDIRECT("rec.uni[empresa]"),AE$6)</f>
        <v>0</v>
      </c>
      <c r="AF60" s="216"/>
      <c r="AG60" s="228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H60" s="228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I60" s="228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J60" s="228" cm="1">
        <f t="array" ref="AJ6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K60" s="229" cm="1">
        <f t="array" ref="AK6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L60" s="227">
        <f>COUNTIFS(
    estq[empresa], AL$6,
    estq[Data da venda / reserva], "&gt;=" &amp; $A60,
    estq[Data da venda / reserva], "&lt;"  &amp; EOMONTH($A60,0) + 1
)</f>
        <v>0</v>
      </c>
      <c r="AM60" s="228">
        <f ca="1">SUMIFS(rec.uni[2025-10-01],
INDIRECT("rec.uni[natureza]"),"pro.soluto",
INDIRECT("rec.uni[empresa]"),AM$6)</f>
        <v>0</v>
      </c>
      <c r="AN60" s="228">
        <f ca="1">SUMIFS(rec.uni[2025-10-01],
INDIRECT("rec.uni[natureza]"),"repasse.cef.obra",
INDIRECT("rec.uni[empresa]"),AN$6)</f>
        <v>0</v>
      </c>
      <c r="AO60" s="228">
        <f ca="1">SUMIFS(rec.uni[2025-10-01],
INDIRECT("rec.uni[natureza]"),"repasse.cef.terreno",
INDIRECT("rec.uni[empresa]"),AO$6)</f>
        <v>0</v>
      </c>
      <c r="AP60" s="228">
        <v>0</v>
      </c>
      <c r="AQ60" s="228">
        <f ca="1">SUMIFS(rec.uni[2025-10-01],
INDIRECT("rec.uni[natureza]"),"taxa.extra",
INDIRECT("rec.uni[empresa]"),AQ$6)</f>
        <v>0</v>
      </c>
      <c r="AR60" s="216"/>
      <c r="AS60" s="228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T60" s="228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U60" s="228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V60" s="228" cm="1">
        <f t="array" ref="AV6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W60" s="229" cm="1">
        <f t="array" ref="AW6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X60" s="227">
        <f>COUNTIFS(
    estq[empresa], AX$6,
    estq[Data da venda / reserva], "&gt;=" &amp; $A60,
    estq[Data da venda / reserva], "&lt;"  &amp; EOMONTH($A60,0) + 1
)</f>
        <v>0</v>
      </c>
      <c r="AY60" s="228">
        <f ca="1">SUMIFS(rec.uni[2025-10-01],
INDIRECT("rec.uni[natureza]"),"pro.soluto",
INDIRECT("rec.uni[empresa]"),AY$6)</f>
        <v>0</v>
      </c>
      <c r="AZ60" s="216">
        <f ca="1">SUMIFS(rec.uni[2025-10-01],
INDIRECT("rec.uni[natureza]"),"parcela.fin.total.ik",
INDIRECT("rec.uni[empresa]"),AZ$6)</f>
        <v>0</v>
      </c>
      <c r="BA60" s="228">
        <f ca="1">SUMIFS(rec.uni[2025-10-01],
INDIRECT("rec.uni[natureza]"),"taxa.extra",
INDIRECT("rec.uni[empresa]"),BA$6)</f>
        <v>0</v>
      </c>
      <c r="BB60" s="216"/>
      <c r="BC60" s="228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D60" s="228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E60" s="228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F60" s="228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G60" s="229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H60" s="227">
        <f>COUNTIFS(
    estq[empresa], BH$6,
    estq[Data da venda / reserva], "&gt;=" &amp; $A60,
    estq[Data da venda / reserva], "&lt;"  &amp; EOMONTH($A60,0) + 1
)</f>
        <v>0</v>
      </c>
      <c r="BI60" s="228">
        <f ca="1">SUMIFS(rec.uni[2025-10-01],
INDIRECT("rec.uni[natureza]"),"pro.soluto",
INDIRECT("rec.uni[empresa]"),BI$6)</f>
        <v>0</v>
      </c>
      <c r="BJ60" s="228">
        <f ca="1">SUMIFS(rec.uni[2025-10-01],
INDIRECT("rec.uni[natureza]"),"repasse.cef.obra",
INDIRECT("rec.uni[empresa]"),BJ$6)</f>
        <v>0</v>
      </c>
      <c r="BK60" s="228">
        <f ca="1">SUMIFS(rec.uni[2025-10-01],
INDIRECT("rec.uni[natureza]"),"repasse.cef.terreno",
INDIRECT("rec.uni[empresa]"),BK$6)</f>
        <v>0</v>
      </c>
      <c r="BL60" s="228">
        <v>165252.20000000001</v>
      </c>
      <c r="BM60" s="228">
        <f ca="1">SUMIFS(rec.uni[2025-10-01],
INDIRECT("rec.uni[natureza]"),"taxa.extra",
INDIRECT("rec.uni[empresa]"),BM$6)</f>
        <v>0</v>
      </c>
      <c r="BN60" s="216"/>
      <c r="BO60" s="228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P60" s="228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Q60" s="228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R60" s="228" cm="1">
        <f t="array" ref="BR6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S60" s="229" cm="1">
        <f t="array" ref="BS6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T60" s="227">
        <f>COUNTIFS(
    estq[empresa], BT$6,
    estq[Data da venda / reserva], "&gt;=" &amp; $A60,
    estq[Data da venda / reserva], "&lt;"  &amp; EOMONTH($A60,0) + 1
)</f>
        <v>0</v>
      </c>
      <c r="BU60" s="228">
        <f ca="1">SUMIFS(rec.uni[2025-10-01],
INDIRECT("rec.uni[natureza]"),"pro.soluto",
INDIRECT("rec.uni[empresa]"),BU$6)</f>
        <v>0</v>
      </c>
      <c r="BV60" s="228">
        <f ca="1">SUMIFS(rec.uni[2025-10-01],
INDIRECT("rec.uni[natureza]"),"repasse.cef.obra",
INDIRECT("rec.uni[empresa]"),BV$6)</f>
        <v>0</v>
      </c>
      <c r="BW60" s="228">
        <f ca="1">SUMIFS(rec.uni[2025-10-01],
INDIRECT("rec.uni[natureza]"),"repasse.cef.terreno",
INDIRECT("rec.uni[empresa]"),BW$6)</f>
        <v>0</v>
      </c>
      <c r="BX60" s="228">
        <v>0</v>
      </c>
      <c r="BY60" s="228">
        <f ca="1">SUMIFS(rec.uni[2025-10-01],
INDIRECT("rec.uni[natureza]"),"taxa.extra",
INDIRECT("rec.uni[empresa]"),BY$6)</f>
        <v>0</v>
      </c>
      <c r="BZ60" s="216"/>
      <c r="CA60" s="228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B60" s="228" cm="1">
        <f t="array" ref="CB6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C60" s="228" cm="1">
        <f t="array" ref="CC6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D60" s="228" cm="1">
        <f t="array" ref="CD6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E60" s="230" cm="1">
        <f t="array" ref="CE6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83" x14ac:dyDescent="0.25">
      <c r="A61" s="226">
        <v>45962</v>
      </c>
      <c r="B61" s="227">
        <f>COUNTIFS(
    estq[empresa], B$6,
    estq[Data da venda / reserva], "&gt;=" &amp; $A61,
    estq[Data da venda / reserva], "&lt;"  &amp; EOMONTH($A61,0) + 1
)</f>
        <v>0</v>
      </c>
      <c r="C61" s="228">
        <f ca="1">SUMIFS(rec.uni[2025-11-01],
INDIRECT("rec.uni[natureza]"),"pro.soluto",
INDIRECT("rec.uni[empresa]"),C$6)</f>
        <v>0</v>
      </c>
      <c r="D61" s="228">
        <f ca="1">SUMIFS(rec.uni[2025-11-01],
INDIRECT("rec.uni[natureza]"),"repasse.cef.obra",
INDIRECT("rec.uni[empresa]"),D$6)</f>
        <v>0</v>
      </c>
      <c r="E61" s="228">
        <f ca="1">SUMIFS(rec.uni[2025-11-01],
INDIRECT("rec.uni[natureza]"),"repasse.cef.terreno",
INDIRECT("rec.uni[empresa]"),E$6)</f>
        <v>0</v>
      </c>
      <c r="F61" s="231">
        <v>230479.34</v>
      </c>
      <c r="G61" s="228">
        <f ca="1">SUMIFS(rec.uni[2025-11-01],
INDIRECT("rec.uni[natureza]"),"taxa.extra",
INDIRECT("rec.uni[empresa]"),G$6)</f>
        <v>0</v>
      </c>
      <c r="H61" s="216"/>
      <c r="I61" s="228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228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228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228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229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227">
        <f>COUNTIFS(
    estq[empresa], N$6,
    estq[Data da venda / reserva], "&gt;=" &amp; $A61,
    estq[Data da venda / reserva], "&lt;"  &amp; EOMONTH($A61,0) + 1
)</f>
        <v>0</v>
      </c>
      <c r="O61" s="228">
        <f ca="1">SUMIFS(rec.uni[2025-11-01],
INDIRECT("rec.uni[natureza]"),"pro.soluto",
INDIRECT("rec.uni[empresa]"),O$6)</f>
        <v>0</v>
      </c>
      <c r="P61" s="228">
        <f ca="1">SUMIFS(rec.uni[2025-11-01],
INDIRECT("rec.uni[natureza]"),"repasse.cef.obra",
INDIRECT("rec.uni[empresa]"),P$6)</f>
        <v>0</v>
      </c>
      <c r="Q61" s="228">
        <f ca="1">SUMIFS(rec.uni[2025-11-01],
INDIRECT("rec.uni[natureza]"),"repasse.cef.terreno",
INDIRECT("rec.uni[empresa]"),Q$6)</f>
        <v>0</v>
      </c>
      <c r="R61" s="231">
        <v>0</v>
      </c>
      <c r="S61" s="228">
        <f ca="1">SUMIFS(rec.uni[2025-11-01],
INDIRECT("rec.uni[natureza]"),"taxa.extra",
INDIRECT("rec.uni[empresa]"),S$6)</f>
        <v>0</v>
      </c>
      <c r="T61" s="216"/>
      <c r="U61" s="228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228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228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228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229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227">
        <f>COUNTIFS(
    estq[empresa], Z$6,
    estq[Data da venda / reserva], "&gt;=" &amp; $A61,
    estq[Data da venda / reserva], "&lt;"  &amp; EOMONTH($A61,0) + 1
)</f>
        <v>0</v>
      </c>
      <c r="AA61" s="228">
        <f ca="1">SUMIFS(rec.uni[2025-11-01],
INDIRECT("rec.uni[natureza]"),"pro.soluto",
INDIRECT("rec.uni[empresa]"),AA$6)</f>
        <v>0</v>
      </c>
      <c r="AB61" s="228">
        <f ca="1">SUMIFS(rec.uni[2025-11-01],
INDIRECT("rec.uni[natureza]"),"repasse.cef.obra",
INDIRECT("rec.uni[empresa]"),AB$6)</f>
        <v>0</v>
      </c>
      <c r="AC61" s="231">
        <f ca="1">SUMIFS(rec.uni[2025-11-01],
INDIRECT("rec.uni[natureza]"),"repasse.cef.terreno",
INDIRECT("rec.uni[empresa]"),AC$6)</f>
        <v>0</v>
      </c>
      <c r="AD61" s="231">
        <v>378061.31</v>
      </c>
      <c r="AE61" s="228">
        <f ca="1">SUMIFS(rec.uni[2025-11-01],
INDIRECT("rec.uni[natureza]"),"taxa.extra",
INDIRECT("rec.uni[empresa]"),AE$6)</f>
        <v>0</v>
      </c>
      <c r="AF61" s="216"/>
      <c r="AG61" s="228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H61" s="228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I61" s="228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J61" s="228" cm="1">
        <f t="array" ref="AJ6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K61" s="229" cm="1">
        <f t="array" ref="AK6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L61" s="227">
        <f>COUNTIFS(
    estq[empresa], AL$6,
    estq[Data da venda / reserva], "&gt;=" &amp; $A61,
    estq[Data da venda / reserva], "&lt;"  &amp; EOMONTH($A61,0) + 1
)</f>
        <v>0</v>
      </c>
      <c r="AM61" s="228">
        <f ca="1">SUMIFS(rec.uni[2025-11-01],
INDIRECT("rec.uni[natureza]"),"pro.soluto",
INDIRECT("rec.uni[empresa]"),AM$6)</f>
        <v>0</v>
      </c>
      <c r="AN61" s="228">
        <f ca="1">SUMIFS(rec.uni[2025-11-01],
INDIRECT("rec.uni[natureza]"),"repasse.cef.obra",
INDIRECT("rec.uni[empresa]"),AN$6)</f>
        <v>0</v>
      </c>
      <c r="AO61" s="231">
        <f ca="1">SUMIFS(rec.uni[2025-11-01],
INDIRECT("rec.uni[natureza]"),"repasse.cef.terreno",
INDIRECT("rec.uni[empresa]"),AO$6)</f>
        <v>0</v>
      </c>
      <c r="AP61" s="231">
        <v>0</v>
      </c>
      <c r="AQ61" s="228">
        <f ca="1">SUMIFS(rec.uni[2025-11-01],
INDIRECT("rec.uni[natureza]"),"taxa.extra",
INDIRECT("rec.uni[empresa]"),AQ$6)</f>
        <v>0</v>
      </c>
      <c r="AR61" s="216"/>
      <c r="AS61" s="228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T61" s="228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U61" s="228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V61" s="228" cm="1">
        <f t="array" ref="AV6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W61" s="229" cm="1">
        <f t="array" ref="AW6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X61" s="227">
        <f>COUNTIFS(
    estq[empresa], AX$6,
    estq[Data da venda / reserva], "&gt;=" &amp; $A61,
    estq[Data da venda / reserva], "&lt;"  &amp; EOMONTH($A61,0) + 1
)</f>
        <v>0</v>
      </c>
      <c r="AY61" s="228">
        <f ca="1">SUMIFS(rec.uni[2025-11-01],
INDIRECT("rec.uni[natureza]"),"pro.soluto",
INDIRECT("rec.uni[empresa]"),AY$6)</f>
        <v>0</v>
      </c>
      <c r="AZ61" s="232">
        <f ca="1">SUMIFS(rec.uni[2025-11-01],
INDIRECT("rec.uni[natureza]"),"parcela.fin.total.ik",
INDIRECT("rec.uni[empresa]"),AZ$6)</f>
        <v>0</v>
      </c>
      <c r="BA61" s="228">
        <f ca="1">SUMIFS(rec.uni[2025-11-01],
INDIRECT("rec.uni[natureza]"),"taxa.extra",
INDIRECT("rec.uni[empresa]"),BA$6)</f>
        <v>0</v>
      </c>
      <c r="BB61" s="216"/>
      <c r="BC61" s="228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D61" s="228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E61" s="228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F61" s="228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G61" s="229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H61" s="227">
        <f>COUNTIFS(
    estq[empresa], BH$6,
    estq[Data da venda / reserva], "&gt;=" &amp; $A61,
    estq[Data da venda / reserva], "&lt;"  &amp; EOMONTH($A61,0) + 1
)</f>
        <v>0</v>
      </c>
      <c r="BI61" s="228">
        <f ca="1">SUMIFS(rec.uni[2025-11-01],
INDIRECT("rec.uni[natureza]"),"pro.soluto",
INDIRECT("rec.uni[empresa]"),BI$6)</f>
        <v>0</v>
      </c>
      <c r="BJ61" s="228">
        <f ca="1">SUMIFS(rec.uni[2025-11-01],
INDIRECT("rec.uni[natureza]"),"repasse.cef.obra",
INDIRECT("rec.uni[empresa]"),BJ$6)</f>
        <v>0</v>
      </c>
      <c r="BK61" s="231">
        <f ca="1">SUMIFS(rec.uni[2025-11-01],
INDIRECT("rec.uni[natureza]"),"repasse.cef.terreno",
INDIRECT("rec.uni[empresa]"),BK$6)</f>
        <v>0</v>
      </c>
      <c r="BL61" s="231">
        <v>200573.37</v>
      </c>
      <c r="BM61" s="228">
        <f ca="1">SUMIFS(rec.uni[2025-11-01],
INDIRECT("rec.uni[natureza]"),"taxa.extra",
INDIRECT("rec.uni[empresa]"),BM$6)</f>
        <v>0</v>
      </c>
      <c r="BN61" s="216"/>
      <c r="BO61" s="228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P61" s="228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Q61" s="228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R61" s="228" cm="1">
        <f t="array" ref="BR6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S61" s="229" cm="1">
        <f t="array" ref="BS6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T61" s="227">
        <f>COUNTIFS(
    estq[empresa], BT$6,
    estq[Data da venda / reserva], "&gt;=" &amp; $A61,
    estq[Data da venda / reserva], "&lt;"  &amp; EOMONTH($A61,0) + 1
)</f>
        <v>0</v>
      </c>
      <c r="BU61" s="228">
        <f ca="1">SUMIFS(rec.uni[2025-11-01],
INDIRECT("rec.uni[natureza]"),"pro.soluto",
INDIRECT("rec.uni[empresa]"),BU$6)</f>
        <v>0</v>
      </c>
      <c r="BV61" s="228">
        <f ca="1">SUMIFS(rec.uni[2025-11-01],
INDIRECT("rec.uni[natureza]"),"repasse.cef.obra",
INDIRECT("rec.uni[empresa]"),BV$6)</f>
        <v>0</v>
      </c>
      <c r="BW61" s="231">
        <f ca="1">SUMIFS(rec.uni[2025-11-01],
INDIRECT("rec.uni[natureza]"),"repasse.cef.terreno",
INDIRECT("rec.uni[empresa]"),BW$6)</f>
        <v>0</v>
      </c>
      <c r="BX61" s="231">
        <v>0</v>
      </c>
      <c r="BY61" s="228">
        <f ca="1">SUMIFS(rec.uni[2025-11-01],
INDIRECT("rec.uni[natureza]"),"taxa.extra",
INDIRECT("rec.uni[empresa]"),BY$6)</f>
        <v>0</v>
      </c>
      <c r="BZ61" s="216"/>
      <c r="CA61" s="228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B61" s="228" cm="1">
        <f t="array" ref="CB6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C61" s="228" cm="1">
        <f t="array" ref="CC6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D61" s="228" cm="1">
        <f t="array" ref="CD6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E61" s="230" cm="1">
        <f t="array" ref="CE6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83" x14ac:dyDescent="0.25">
      <c r="A62" s="226">
        <v>45992</v>
      </c>
      <c r="B62" s="227">
        <f>COUNTIFS(
    estq[empresa], B$6,
    estq[Data da venda / reserva], "&gt;=" &amp; $A62,
    estq[Data da venda / reserva], "&lt;"  &amp; EOMONTH($A62,0) + 1
)</f>
        <v>0</v>
      </c>
      <c r="C62" s="228">
        <f ca="1">SUMIFS(rec.uni[2025-12-01],
INDIRECT("rec.uni[natureza]"),"pro.soluto",
INDIRECT("rec.uni[empresa]"),C$6)</f>
        <v>0</v>
      </c>
      <c r="D62" s="228">
        <f ca="1">SUMIFS(rec.uni[2025-12-01],
INDIRECT("rec.uni[natureza]"),"repasse.cef.obra",
INDIRECT("rec.uni[empresa]"),D$6)</f>
        <v>0</v>
      </c>
      <c r="E62" s="228">
        <f ca="1">SUMIFS(rec.uni[2025-12-01],
INDIRECT("rec.uni[natureza]"),"repasse.cef.terreno",
INDIRECT("rec.uni[empresa]"),E$6)</f>
        <v>0</v>
      </c>
      <c r="F62" s="231">
        <v>471701.2</v>
      </c>
      <c r="G62" s="228">
        <f ca="1">SUMIFS(rec.uni[2025-12-01],
INDIRECT("rec.uni[natureza]"),"taxa.extra",
INDIRECT("rec.uni[empresa]"),G$6)</f>
        <v>0</v>
      </c>
      <c r="H62" s="216"/>
      <c r="I62" s="228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228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228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228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229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227">
        <f>COUNTIFS(
    estq[empresa], N$6,
    estq[Data da venda / reserva], "&gt;=" &amp; $A62,
    estq[Data da venda / reserva], "&lt;"  &amp; EOMONTH($A62,0) + 1
)</f>
        <v>0</v>
      </c>
      <c r="O62" s="228">
        <f ca="1">SUMIFS(rec.uni[2025-12-01],
INDIRECT("rec.uni[natureza]"),"pro.soluto",
INDIRECT("rec.uni[empresa]"),O$6)</f>
        <v>0</v>
      </c>
      <c r="P62" s="228">
        <f ca="1">SUMIFS(rec.uni[2025-12-01],
INDIRECT("rec.uni[natureza]"),"repasse.cef.obra",
INDIRECT("rec.uni[empresa]"),P$6)</f>
        <v>0</v>
      </c>
      <c r="Q62" s="228">
        <f ca="1">SUMIFS(rec.uni[2025-12-01],
INDIRECT("rec.uni[natureza]"),"repasse.cef.terreno",
INDIRECT("rec.uni[empresa]"),Q$6)</f>
        <v>0</v>
      </c>
      <c r="R62" s="231">
        <v>0</v>
      </c>
      <c r="S62" s="228">
        <f ca="1">SUMIFS(rec.uni[2025-12-01],
INDIRECT("rec.uni[natureza]"),"taxa.extra",
INDIRECT("rec.uni[empresa]"),S$6)</f>
        <v>0</v>
      </c>
      <c r="T62" s="216"/>
      <c r="U62" s="228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228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228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228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229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227">
        <f>COUNTIFS(
    estq[empresa], Z$6,
    estq[Data da venda / reserva], "&gt;=" &amp; $A62,
    estq[Data da venda / reserva], "&lt;"  &amp; EOMONTH($A62,0) + 1
)</f>
        <v>0</v>
      </c>
      <c r="AA62" s="228">
        <f ca="1">SUMIFS(rec.uni[2025-12-01],
INDIRECT("rec.uni[natureza]"),"pro.soluto",
INDIRECT("rec.uni[empresa]"),AA$6)</f>
        <v>0</v>
      </c>
      <c r="AB62" s="228">
        <f ca="1">SUMIFS(rec.uni[2025-12-01],
INDIRECT("rec.uni[natureza]"),"repasse.cef.obra",
INDIRECT("rec.uni[empresa]"),AB$6)</f>
        <v>0</v>
      </c>
      <c r="AC62" s="231">
        <f ca="1">SUMIFS(rec.uni[2025-12-01],
INDIRECT("rec.uni[natureza]"),"repasse.cef.terreno",
INDIRECT("rec.uni[empresa]"),AC$6)</f>
        <v>0</v>
      </c>
      <c r="AD62" s="231">
        <v>0</v>
      </c>
      <c r="AE62" s="228">
        <f ca="1">SUMIFS(rec.uni[2025-12-01],
INDIRECT("rec.uni[natureza]"),"taxa.extra",
INDIRECT("rec.uni[empresa]"),AE$6)</f>
        <v>0</v>
      </c>
      <c r="AF62" s="216"/>
      <c r="AG62" s="228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H62" s="228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I62" s="228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J62" s="228" cm="1">
        <f t="array" ref="AJ6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K62" s="229" cm="1">
        <f t="array" ref="AK6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L62" s="227">
        <f>COUNTIFS(
    estq[empresa], AL$6,
    estq[Data da venda / reserva], "&gt;=" &amp; $A62,
    estq[Data da venda / reserva], "&lt;"  &amp; EOMONTH($A62,0) + 1
)</f>
        <v>0</v>
      </c>
      <c r="AM62" s="228">
        <f ca="1">SUMIFS(rec.uni[2025-12-01],
INDIRECT("rec.uni[natureza]"),"pro.soluto",
INDIRECT("rec.uni[empresa]"),AM$6)</f>
        <v>0</v>
      </c>
      <c r="AN62" s="228">
        <f ca="1">SUMIFS(rec.uni[2025-12-01],
INDIRECT("rec.uni[natureza]"),"repasse.cef.obra",
INDIRECT("rec.uni[empresa]"),AN$6)</f>
        <v>0</v>
      </c>
      <c r="AO62" s="231">
        <f ca="1">SUMIFS(rec.uni[2025-12-01],
INDIRECT("rec.uni[natureza]"),"repasse.cef.terreno",
INDIRECT("rec.uni[empresa]"),AO$6)</f>
        <v>0</v>
      </c>
      <c r="AP62" s="231">
        <v>0</v>
      </c>
      <c r="AQ62" s="228">
        <f ca="1">SUMIFS(rec.uni[2025-12-01],
INDIRECT("rec.uni[natureza]"),"taxa.extra",
INDIRECT("rec.uni[empresa]"),AQ$6)</f>
        <v>0</v>
      </c>
      <c r="AR62" s="216"/>
      <c r="AS62" s="228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T62" s="228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U62" s="228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V62" s="228" cm="1">
        <f t="array" ref="AV6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W62" s="229" cm="1">
        <f t="array" ref="AW6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X62" s="227">
        <f>COUNTIFS(
    estq[empresa], AX$6,
    estq[Data da venda / reserva], "&gt;=" &amp; $A62,
    estq[Data da venda / reserva], "&lt;"  &amp; EOMONTH($A62,0) + 1
)</f>
        <v>0</v>
      </c>
      <c r="AY62" s="228">
        <f ca="1">SUMIFS(rec.uni[2025-12-01],
INDIRECT("rec.uni[natureza]"),"pro.soluto",
INDIRECT("rec.uni[empresa]"),AY$6)</f>
        <v>0</v>
      </c>
      <c r="AZ62" s="232">
        <f ca="1">SUMIFS(rec.uni[2025-12-01],
INDIRECT("rec.uni[natureza]"),"parcela.fin.total.ik",
INDIRECT("rec.uni[empresa]"),AZ$6)</f>
        <v>0</v>
      </c>
      <c r="BA62" s="228">
        <f ca="1">SUMIFS(rec.uni[2025-12-01],
INDIRECT("rec.uni[natureza]"),"taxa.extra",
INDIRECT("rec.uni[empresa]"),BA$6)</f>
        <v>0</v>
      </c>
      <c r="BB62" s="216"/>
      <c r="BC62" s="228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D62" s="228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E62" s="228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F62" s="228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G62" s="229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H62" s="227">
        <f>COUNTIFS(
    estq[empresa], BH$6,
    estq[Data da venda / reserva], "&gt;=" &amp; $A62,
    estq[Data da venda / reserva], "&lt;"  &amp; EOMONTH($A62,0) + 1
)</f>
        <v>0</v>
      </c>
      <c r="BI62" s="228">
        <f ca="1">SUMIFS(rec.uni[2025-12-01],
INDIRECT("rec.uni[natureza]"),"pro.soluto",
INDIRECT("rec.uni[empresa]"),BI$6)</f>
        <v>0</v>
      </c>
      <c r="BJ62" s="228">
        <f ca="1">SUMIFS(rec.uni[2025-12-01],
INDIRECT("rec.uni[natureza]"),"repasse.cef.obra",
INDIRECT("rec.uni[empresa]"),BJ$6)</f>
        <v>0</v>
      </c>
      <c r="BK62" s="231">
        <f ca="1">SUMIFS(rec.uni[2025-12-01],
INDIRECT("rec.uni[natureza]"),"repasse.cef.terreno",
INDIRECT("rec.uni[empresa]"),BK$6)</f>
        <v>0</v>
      </c>
      <c r="BL62" s="231">
        <v>0</v>
      </c>
      <c r="BM62" s="228">
        <f ca="1">SUMIFS(rec.uni[2025-12-01],
INDIRECT("rec.uni[natureza]"),"taxa.extra",
INDIRECT("rec.uni[empresa]"),BM$6)</f>
        <v>0</v>
      </c>
      <c r="BN62" s="216"/>
      <c r="BO62" s="228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P62" s="228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Q62" s="228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R62" s="228" cm="1">
        <f t="array" ref="BR6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S62" s="229" cm="1">
        <f t="array" ref="BS6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T62" s="227">
        <f>COUNTIFS(
    estq[empresa], BT$6,
    estq[Data da venda / reserva], "&gt;=" &amp; $A62,
    estq[Data da venda / reserva], "&lt;"  &amp; EOMONTH($A62,0) + 1
)</f>
        <v>0</v>
      </c>
      <c r="BU62" s="228">
        <f ca="1">SUMIFS(rec.uni[2025-12-01],
INDIRECT("rec.uni[natureza]"),"pro.soluto",
INDIRECT("rec.uni[empresa]"),BU$6)</f>
        <v>0</v>
      </c>
      <c r="BV62" s="228">
        <f ca="1">SUMIFS(rec.uni[2025-12-01],
INDIRECT("rec.uni[natureza]"),"repasse.cef.obra",
INDIRECT("rec.uni[empresa]"),BV$6)</f>
        <v>0</v>
      </c>
      <c r="BW62" s="231">
        <f ca="1">SUMIFS(rec.uni[2025-12-01],
INDIRECT("rec.uni[natureza]"),"repasse.cef.terreno",
INDIRECT("rec.uni[empresa]"),BW$6)</f>
        <v>0</v>
      </c>
      <c r="BX62" s="231">
        <v>0</v>
      </c>
      <c r="BY62" s="228">
        <f ca="1">SUMIFS(rec.uni[2025-12-01],
INDIRECT("rec.uni[natureza]"),"taxa.extra",
INDIRECT("rec.uni[empresa]"),BY$6)</f>
        <v>0</v>
      </c>
      <c r="BZ62" s="216"/>
      <c r="CA62" s="228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B62" s="228" cm="1">
        <f t="array" ref="CB6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C62" s="228" cm="1">
        <f t="array" ref="CC6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D62" s="228" cm="1">
        <f t="array" ref="CD6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E62" s="230" cm="1">
        <f t="array" ref="CE6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83" x14ac:dyDescent="0.25">
      <c r="A63" s="226">
        <v>46023</v>
      </c>
      <c r="B63" s="227">
        <f>COUNTIFS(
    estq[empresa], B$6,
    estq[Data da venda / reserva], "&gt;=" &amp; $A63,
    estq[Data da venda / reserva], "&lt;"  &amp; EOMONTH($A63,0) + 1
)</f>
        <v>0</v>
      </c>
      <c r="C63" s="228">
        <f ca="1">SUMIFS(rec.uni[2026-01-01],
INDIRECT("rec.uni[natureza]"),"pro.soluto",
INDIRECT("rec.uni[empresa]"),C$6)</f>
        <v>0</v>
      </c>
      <c r="D63" s="228">
        <f ca="1">SUMIFS(rec.uni[2026-01-01],
INDIRECT("rec.uni[natureza]"),"repasse.cef.obra",
INDIRECT("rec.uni[empresa]"),D$6)</f>
        <v>0</v>
      </c>
      <c r="E63" s="228">
        <f ca="1">SUMIFS(rec.uni[2026-01-01],
INDIRECT("rec.uni[natureza]"),"repasse.cef.terreno",
INDIRECT("rec.uni[empresa]"),E$6)</f>
        <v>0</v>
      </c>
      <c r="F63" s="231">
        <v>0</v>
      </c>
      <c r="G63" s="228">
        <f ca="1">SUMIFS(rec.uni[2026-01-01],
INDIRECT("rec.uni[natureza]"),"taxa.extra",
INDIRECT("rec.uni[empresa]"),G$6)</f>
        <v>0</v>
      </c>
      <c r="H63" s="216"/>
      <c r="I63" s="228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228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228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228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229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227">
        <f>COUNTIFS(
    estq[empresa], N$6,
    estq[Data da venda / reserva], "&gt;=" &amp; $A63,
    estq[Data da venda / reserva], "&lt;"  &amp; EOMONTH($A63,0) + 1
)</f>
        <v>0</v>
      </c>
      <c r="O63" s="228">
        <f ca="1">SUMIFS(rec.uni[2026-01-01],
INDIRECT("rec.uni[natureza]"),"pro.soluto",
INDIRECT("rec.uni[empresa]"),O$6)</f>
        <v>0</v>
      </c>
      <c r="P63" s="228">
        <f ca="1">SUMIFS(rec.uni[2026-01-01],
INDIRECT("rec.uni[natureza]"),"repasse.cef.obra",
INDIRECT("rec.uni[empresa]"),P$6)</f>
        <v>0</v>
      </c>
      <c r="Q63" s="228">
        <f ca="1">SUMIFS(rec.uni[2026-01-01],
INDIRECT("rec.uni[natureza]"),"repasse.cef.terreno",
INDIRECT("rec.uni[empresa]"),Q$6)</f>
        <v>0</v>
      </c>
      <c r="R63" s="231">
        <v>0</v>
      </c>
      <c r="S63" s="228">
        <f ca="1">SUMIFS(rec.uni[2026-01-01],
INDIRECT("rec.uni[natureza]"),"taxa.extra",
INDIRECT("rec.uni[empresa]"),S$6)</f>
        <v>0</v>
      </c>
      <c r="T63" s="216"/>
      <c r="U63" s="228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228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228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228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229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227">
        <f>COUNTIFS(
    estq[empresa], Z$6,
    estq[Data da venda / reserva], "&gt;=" &amp; $A63,
    estq[Data da venda / reserva], "&lt;"  &amp; EOMONTH($A63,0) + 1
)</f>
        <v>0</v>
      </c>
      <c r="AA63" s="228">
        <f ca="1">SUMIFS(rec.uni[2026-01-01],
INDIRECT("rec.uni[natureza]"),"pro.soluto",
INDIRECT("rec.uni[empresa]"),AA$6)</f>
        <v>0</v>
      </c>
      <c r="AB63" s="228">
        <f ca="1">SUMIFS(rec.uni[2026-01-01],
INDIRECT("rec.uni[natureza]"),"repasse.cef.obra",
INDIRECT("rec.uni[empresa]"),AB$6)</f>
        <v>0</v>
      </c>
      <c r="AC63" s="231">
        <f ca="1">SUMIFS(rec.uni[2026-01-01],
INDIRECT("rec.uni[natureza]"),"repasse.cef.terreno",
INDIRECT("rec.uni[empresa]"),AC$6)</f>
        <v>0</v>
      </c>
      <c r="AD63" s="232">
        <v>313227.59000000003</v>
      </c>
      <c r="AE63" s="228">
        <f ca="1">SUMIFS(rec.uni[2026-01-01],
INDIRECT("rec.uni[natureza]"),"taxa.extra",
INDIRECT("rec.uni[empresa]"),AE$6)</f>
        <v>0</v>
      </c>
      <c r="AF63" s="216"/>
      <c r="AG63" s="228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H63" s="228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I63" s="228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J63" s="228" cm="1">
        <f t="array" ref="AJ6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K63" s="229" cm="1">
        <f t="array" ref="AK6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L63" s="227">
        <f>COUNTIFS(
    estq[empresa], AL$6,
    estq[Data da venda / reserva], "&gt;=" &amp; $A63,
    estq[Data da venda / reserva], "&lt;"  &amp; EOMONTH($A63,0) + 1
)</f>
        <v>0</v>
      </c>
      <c r="AM63" s="228">
        <f ca="1">SUMIFS(rec.uni[2026-01-01],
INDIRECT("rec.uni[natureza]"),"pro.soluto",
INDIRECT("rec.uni[empresa]"),AM$6)</f>
        <v>0</v>
      </c>
      <c r="AN63" s="228">
        <f ca="1">SUMIFS(rec.uni[2026-01-01],
INDIRECT("rec.uni[natureza]"),"repasse.cef.obra",
INDIRECT("rec.uni[empresa]"),AN$6)</f>
        <v>0</v>
      </c>
      <c r="AO63" s="231">
        <f ca="1">SUMIFS(rec.uni[2026-01-01],
INDIRECT("rec.uni[natureza]"),"repasse.cef.terreno",
INDIRECT("rec.uni[empresa]"),AO$6)</f>
        <v>0</v>
      </c>
      <c r="AP63" s="232">
        <v>513271.28</v>
      </c>
      <c r="AQ63" s="228">
        <f ca="1">SUMIFS(rec.uni[2026-01-01],
INDIRECT("rec.uni[natureza]"),"taxa.extra",
INDIRECT("rec.uni[empresa]"),AQ$6)</f>
        <v>0</v>
      </c>
      <c r="AR63" s="216"/>
      <c r="AS63" s="228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T63" s="228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U63" s="228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V63" s="228" cm="1">
        <f t="array" ref="AV6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W63" s="229" cm="1">
        <f t="array" ref="AW6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X63" s="227">
        <f>COUNTIFS(
    estq[empresa], AX$6,
    estq[Data da venda / reserva], "&gt;=" &amp; $A63,
    estq[Data da venda / reserva], "&lt;"  &amp; EOMONTH($A63,0) + 1
)</f>
        <v>0</v>
      </c>
      <c r="AY63" s="228">
        <f ca="1">SUMIFS(rec.uni[2026-01-01],
INDIRECT("rec.uni[natureza]"),"pro.soluto",
INDIRECT("rec.uni[empresa]"),AY$6)</f>
        <v>0</v>
      </c>
      <c r="AZ63" s="232">
        <f ca="1">SUMIFS(rec.uni[2026-01-01],
INDIRECT("rec.uni[natureza]"),"parcela.fin.total.ik",
INDIRECT("rec.uni[empresa]"),AZ$6)</f>
        <v>0</v>
      </c>
      <c r="BA63" s="228">
        <f ca="1">SUMIFS(rec.uni[2026-01-01],
INDIRECT("rec.uni[natureza]"),"taxa.extra",
INDIRECT("rec.uni[empresa]"),BA$6)</f>
        <v>0</v>
      </c>
      <c r="BB63" s="216"/>
      <c r="BC63" s="228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D63" s="228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E63" s="228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F63" s="228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G63" s="229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H63" s="227">
        <f>COUNTIFS(
    estq[empresa], BH$6,
    estq[Data da venda / reserva], "&gt;=" &amp; $A63,
    estq[Data da venda / reserva], "&lt;"  &amp; EOMONTH($A63,0) + 1
)</f>
        <v>0</v>
      </c>
      <c r="BI63" s="228">
        <f ca="1">SUMIFS(rec.uni[2026-01-01],
INDIRECT("rec.uni[natureza]"),"pro.soluto",
INDIRECT("rec.uni[empresa]"),BI$6)</f>
        <v>0</v>
      </c>
      <c r="BJ63" s="228">
        <f ca="1">SUMIFS(rec.uni[2026-01-01],
INDIRECT("rec.uni[natureza]"),"repasse.cef.obra",
INDIRECT("rec.uni[empresa]"),BJ$6)</f>
        <v>0</v>
      </c>
      <c r="BK63" s="231">
        <f ca="1">SUMIFS(rec.uni[2026-01-01],
INDIRECT("rec.uni[natureza]"),"repasse.cef.terreno",
INDIRECT("rec.uni[empresa]"),BK$6)</f>
        <v>0</v>
      </c>
      <c r="BL63" s="232">
        <v>311984.76</v>
      </c>
      <c r="BM63" s="228">
        <f ca="1">SUMIFS(rec.uni[2026-01-01],
INDIRECT("rec.uni[natureza]"),"taxa.extra",
INDIRECT("rec.uni[empresa]"),BM$6)</f>
        <v>0</v>
      </c>
      <c r="BN63" s="216"/>
      <c r="BO63" s="228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P63" s="228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Q63" s="228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R63" s="228" cm="1">
        <f t="array" ref="BR6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S63" s="229" cm="1">
        <f t="array" ref="BS6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T63" s="227">
        <f>COUNTIFS(
    estq[empresa], BT$6,
    estq[Data da venda / reserva], "&gt;=" &amp; $A63,
    estq[Data da venda / reserva], "&lt;"  &amp; EOMONTH($A63,0) + 1
)</f>
        <v>0</v>
      </c>
      <c r="BU63" s="228">
        <f ca="1">SUMIFS(rec.uni[2026-01-01],
INDIRECT("rec.uni[natureza]"),"pro.soluto",
INDIRECT("rec.uni[empresa]"),BU$6)</f>
        <v>0</v>
      </c>
      <c r="BV63" s="228">
        <f ca="1">SUMIFS(rec.uni[2026-01-01],
INDIRECT("rec.uni[natureza]"),"repasse.cef.obra",
INDIRECT("rec.uni[empresa]"),BV$6)</f>
        <v>0</v>
      </c>
      <c r="BW63" s="231">
        <f ca="1">SUMIFS(rec.uni[2026-01-01],
INDIRECT("rec.uni[natureza]"),"repasse.cef.terreno",
INDIRECT("rec.uni[empresa]"),BW$6)</f>
        <v>0</v>
      </c>
      <c r="BX63" s="231">
        <v>0</v>
      </c>
      <c r="BY63" s="228">
        <f ca="1">SUMIFS(rec.uni[2026-01-01],
INDIRECT("rec.uni[natureza]"),"taxa.extra",
INDIRECT("rec.uni[empresa]"),BY$6)</f>
        <v>0</v>
      </c>
      <c r="BZ63" s="216"/>
      <c r="CA63" s="228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B63" s="228" cm="1">
        <f t="array" ref="CB6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C63" s="228" cm="1">
        <f t="array" ref="CC6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D63" s="228" cm="1">
        <f t="array" ref="CD6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E63" s="230" cm="1">
        <f t="array" ref="CE6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83" x14ac:dyDescent="0.25">
      <c r="A64" s="226">
        <v>46054</v>
      </c>
      <c r="B64" s="227">
        <f>COUNTIFS(
    estq[empresa], B$6,
    estq[Data da venda / reserva], "&gt;=" &amp; $A64,
    estq[Data da venda / reserva], "&lt;"  &amp; EOMONTH($A64,0) + 1
)</f>
        <v>0</v>
      </c>
      <c r="C64" s="228">
        <f ca="1">SUMIFS(rec.uni[2026-02-01],
INDIRECT("rec.uni[natureza]"),"pro.soluto",
INDIRECT("rec.uni[empresa]"),C$6)</f>
        <v>0</v>
      </c>
      <c r="D64" s="228">
        <f ca="1">SUMIFS(rec.uni[2026-02-01],
INDIRECT("rec.uni[natureza]"),"repasse.cef.obra",
INDIRECT("rec.uni[empresa]"),D$6)</f>
        <v>0</v>
      </c>
      <c r="E64" s="228">
        <f ca="1">SUMIFS(rec.uni[2026-02-01],
INDIRECT("rec.uni[natureza]"),"repasse.cef.terreno",
INDIRECT("rec.uni[empresa]"),E$6)</f>
        <v>0</v>
      </c>
      <c r="F64" s="232"/>
      <c r="G64" s="228">
        <f ca="1">SUMIFS(rec.uni[2026-02-01],
INDIRECT("rec.uni[natureza]"),"taxa.extra",
INDIRECT("rec.uni[empresa]"),G$6)</f>
        <v>0</v>
      </c>
      <c r="H64" s="216"/>
      <c r="I64" s="216"/>
      <c r="J64" s="216"/>
      <c r="K64" s="216"/>
      <c r="L64" s="216"/>
      <c r="M64" s="216"/>
      <c r="N64" s="227">
        <f>COUNTIFS(
    estq[empresa], N$6,
    estq[Data da venda / reserva], "&gt;=" &amp; $A64,
    estq[Data da venda / reserva], "&lt;"  &amp; EOMONTH($A64,0) + 1
)</f>
        <v>0</v>
      </c>
      <c r="O64" s="228">
        <f ca="1">SUMIFS(rec.uni[2026-02-01],
INDIRECT("rec.uni[natureza]"),"pro.soluto",
INDIRECT("rec.uni[empresa]"),O$6)</f>
        <v>0</v>
      </c>
      <c r="P64" s="228">
        <f ca="1">SUMIFS(rec.uni[2026-02-01],
INDIRECT("rec.uni[natureza]"),"repasse.cef.obra",
INDIRECT("rec.uni[empresa]"),P$6)</f>
        <v>0</v>
      </c>
      <c r="Q64" s="228">
        <f ca="1">SUMIFS(rec.uni[2026-02-01],
INDIRECT("rec.uni[natureza]"),"repasse.cef.terreno",
INDIRECT("rec.uni[empresa]"),Q$6)</f>
        <v>0</v>
      </c>
      <c r="R64" s="232"/>
      <c r="S64" s="228">
        <f ca="1">SUMIFS(rec.uni[2026-02-01],
INDIRECT("rec.uni[natureza]"),"taxa.extra",
INDIRECT("rec.uni[empresa]"),S$6)</f>
        <v>0</v>
      </c>
      <c r="T64" s="216"/>
      <c r="U64" s="216"/>
      <c r="V64" s="216"/>
      <c r="W64" s="216"/>
      <c r="X64" s="216"/>
      <c r="Y64" s="216"/>
      <c r="Z64" s="227">
        <f>COUNTIFS(
    estq[empresa], Z$6,
    estq[Data da venda / reserva], "&gt;=" &amp; $A64,
    estq[Data da venda / reserva], "&lt;"  &amp; EOMONTH($A64,0) + 1
)</f>
        <v>0</v>
      </c>
      <c r="AA64" s="228">
        <f ca="1">SUMIFS(rec.uni[2026-02-01],
INDIRECT("rec.uni[natureza]"),"pro.soluto",
INDIRECT("rec.uni[empresa]"),AA$6)</f>
        <v>0</v>
      </c>
      <c r="AB64" s="228">
        <f ca="1">SUMIFS(rec.uni[2026-02-01],
INDIRECT("rec.uni[natureza]"),"repasse.cef.obra",
INDIRECT("rec.uni[empresa]"),AB$6)</f>
        <v>0</v>
      </c>
      <c r="AC64" s="231">
        <f ca="1">SUMIFS(rec.uni[2026-02-01],
INDIRECT("rec.uni[natureza]"),"repasse.cef.terreno",
INDIRECT("rec.uni[empresa]"),AC$6)</f>
        <v>0</v>
      </c>
      <c r="AD64" s="232"/>
      <c r="AE64" s="228">
        <f ca="1">SUMIFS(rec.uni[2026-02-01],
INDIRECT("rec.uni[natureza]"),"taxa.extra",
INDIRECT("rec.uni[empresa]"),AE$6)</f>
        <v>0</v>
      </c>
      <c r="AF64" s="216"/>
      <c r="AG64" s="216"/>
      <c r="AH64" s="216"/>
      <c r="AI64" s="216"/>
      <c r="AJ64" s="216"/>
      <c r="AK64" s="216"/>
      <c r="AL64" s="227">
        <f>COUNTIFS(
    estq[empresa], AL$6,
    estq[Data da venda / reserva], "&gt;=" &amp; $A64,
    estq[Data da venda / reserva], "&lt;"  &amp; EOMONTH($A64,0) + 1
)</f>
        <v>0</v>
      </c>
      <c r="AM64" s="228">
        <f ca="1">SUMIFS(rec.uni[2026-02-01],
INDIRECT("rec.uni[natureza]"),"pro.soluto",
INDIRECT("rec.uni[empresa]"),AM$6)</f>
        <v>0</v>
      </c>
      <c r="AN64" s="228">
        <f ca="1">SUMIFS(rec.uni[2026-02-01],
INDIRECT("rec.uni[natureza]"),"repasse.cef.obra",
INDIRECT("rec.uni[empresa]"),AN$6)</f>
        <v>0</v>
      </c>
      <c r="AO64" s="231">
        <f ca="1">SUMIFS(rec.uni[2026-02-01],
INDIRECT("rec.uni[natureza]"),"repasse.cef.terreno",
INDIRECT("rec.uni[empresa]"),AO$6)</f>
        <v>0</v>
      </c>
      <c r="AP64" s="232"/>
      <c r="AQ64" s="228">
        <f ca="1">SUMIFS(rec.uni[2026-02-01],
INDIRECT("rec.uni[natureza]"),"taxa.extra",
INDIRECT("rec.uni[empresa]"),AQ$6)</f>
        <v>0</v>
      </c>
      <c r="AR64" s="216"/>
      <c r="AS64" s="216"/>
      <c r="AT64" s="216"/>
      <c r="AU64" s="216"/>
      <c r="AV64" s="216"/>
      <c r="AW64" s="216"/>
      <c r="AX64" s="227">
        <f>COUNTIFS(
    estq[empresa], AX$6,
    estq[Data da venda / reserva], "&gt;=" &amp; $A64,
    estq[Data da venda / reserva], "&lt;"  &amp; EOMONTH($A64,0) + 1
)</f>
        <v>0</v>
      </c>
      <c r="AY64" s="228">
        <f ca="1">SUMIFS(rec.uni[2026-02-01],
INDIRECT("rec.uni[natureza]"),"pro.soluto",
INDIRECT("rec.uni[empresa]"),AY$6)</f>
        <v>0</v>
      </c>
      <c r="AZ64" s="232">
        <f ca="1">SUMIFS(rec.uni[2026-02-01],
INDIRECT("rec.uni[natureza]"),"parcela.fin.total.ik",
INDIRECT("rec.uni[empresa]"),AZ$6)</f>
        <v>0</v>
      </c>
      <c r="BA64" s="228">
        <f ca="1">SUMIFS(rec.uni[2026-02-01],
INDIRECT("rec.uni[natureza]"),"taxa.extra",
INDIRECT("rec.uni[empresa]"),BA$6)</f>
        <v>0</v>
      </c>
      <c r="BB64" s="216"/>
      <c r="BC64" s="216"/>
      <c r="BD64" s="216"/>
      <c r="BE64" s="216"/>
      <c r="BF64" s="216"/>
      <c r="BG64" s="216"/>
      <c r="BH64" s="227">
        <f>COUNTIFS(
    estq[empresa], BH$6,
    estq[Data da venda / reserva], "&gt;=" &amp; $A64,
    estq[Data da venda / reserva], "&lt;"  &amp; EOMONTH($A64,0) + 1
)</f>
        <v>0</v>
      </c>
      <c r="BI64" s="228">
        <f ca="1">SUMIFS(rec.uni[2026-02-01],
INDIRECT("rec.uni[natureza]"),"pro.soluto",
INDIRECT("rec.uni[empresa]"),BI$6)</f>
        <v>0</v>
      </c>
      <c r="BJ64" s="228">
        <f ca="1">SUMIFS(rec.uni[2026-02-01],
INDIRECT("rec.uni[natureza]"),"repasse.cef.obra",
INDIRECT("rec.uni[empresa]"),BJ$6)</f>
        <v>0</v>
      </c>
      <c r="BK64" s="231">
        <f ca="1">SUMIFS(rec.uni[2026-02-01],
INDIRECT("rec.uni[natureza]"),"repasse.cef.terreno",
INDIRECT("rec.uni[empresa]"),BK$6)</f>
        <v>0</v>
      </c>
      <c r="BL64" s="232"/>
      <c r="BM64" s="228">
        <f ca="1">SUMIFS(rec.uni[2026-02-01],
INDIRECT("rec.uni[natureza]"),"taxa.extra",
INDIRECT("rec.uni[empresa]"),BM$6)</f>
        <v>0</v>
      </c>
      <c r="BN64" s="216"/>
      <c r="BO64" s="216"/>
      <c r="BP64" s="216"/>
      <c r="BQ64" s="216"/>
      <c r="BR64" s="216"/>
      <c r="BS64" s="216"/>
      <c r="BT64" s="227">
        <f>COUNTIFS(
    estq[empresa], BT$6,
    estq[Data da venda / reserva], "&gt;=" &amp; $A64,
    estq[Data da venda / reserva], "&lt;"  &amp; EOMONTH($A64,0) + 1
)</f>
        <v>0</v>
      </c>
      <c r="BU64" s="228">
        <f ca="1">SUMIFS(rec.uni[2026-02-01],
INDIRECT("rec.uni[natureza]"),"pro.soluto",
INDIRECT("rec.uni[empresa]"),BU$6)</f>
        <v>0</v>
      </c>
      <c r="BV64" s="228">
        <f ca="1">SUMIFS(rec.uni[2026-02-01],
INDIRECT("rec.uni[natureza]"),"repasse.cef.obra",
INDIRECT("rec.uni[empresa]"),BV$6)</f>
        <v>0</v>
      </c>
      <c r="BW64" s="231">
        <f ca="1">SUMIFS(rec.uni[2026-02-01],
INDIRECT("rec.uni[natureza]"),"repasse.cef.terreno",
INDIRECT("rec.uni[empresa]"),BW$6)</f>
        <v>0</v>
      </c>
      <c r="BX64" s="232"/>
      <c r="BY64" s="228">
        <f ca="1">SUMIFS(rec.uni[2026-02-01],
INDIRECT("rec.uni[natureza]"),"taxa.extra",
INDIRECT("rec.uni[empresa]"),BY$6)</f>
        <v>0</v>
      </c>
      <c r="BZ64" s="216"/>
      <c r="CA64" s="216"/>
      <c r="CB64" s="216"/>
      <c r="CC64" s="216"/>
      <c r="CD64" s="216"/>
      <c r="CE64" s="216"/>
    </row>
    <row r="65" spans="1:83" x14ac:dyDescent="0.25">
      <c r="A65" s="226">
        <v>46082</v>
      </c>
      <c r="B65" s="227">
        <f>COUNTIFS(
    estq[empresa], B$6,
    estq[Data da venda / reserva], "&gt;=" &amp; $A65,
    estq[Data da venda / reserva], "&lt;"  &amp; EOMONTH($A65,0) + 1
)</f>
        <v>0</v>
      </c>
      <c r="C65" s="228">
        <f ca="1">SUMIFS(rec.uni[2026-03-01],
INDIRECT("rec.uni[natureza]"),"pro.soluto",
INDIRECT("rec.uni[empresa]"),C$6)</f>
        <v>0</v>
      </c>
      <c r="D65" s="228">
        <f ca="1">SUMIFS(rec.uni[2026-03-01],
INDIRECT("rec.uni[natureza]"),"repasse.cef.obra",
INDIRECT("rec.uni[empresa]"),D$6)</f>
        <v>0</v>
      </c>
      <c r="E65" s="228">
        <f ca="1">SUMIFS(rec.uni[2026-03-01],
INDIRECT("rec.uni[natureza]"),"repasse.cef.terreno",
INDIRECT("rec.uni[empresa]"),E$6)</f>
        <v>0</v>
      </c>
      <c r="F65" s="232"/>
      <c r="G65" s="228">
        <f ca="1">SUMIFS(rec.uni[2026-03-01],
INDIRECT("rec.uni[natureza]"),"taxa.extra",
INDIRECT("rec.uni[empresa]"),G$6)</f>
        <v>0</v>
      </c>
      <c r="H65" s="216"/>
      <c r="I65" s="216"/>
      <c r="J65" s="216"/>
      <c r="K65" s="216"/>
      <c r="L65" s="216"/>
      <c r="M65" s="216"/>
      <c r="N65" s="227">
        <f>COUNTIFS(
    estq[empresa], N$6,
    estq[Data da venda / reserva], "&gt;=" &amp; $A65,
    estq[Data da venda / reserva], "&lt;"  &amp; EOMONTH($A65,0) + 1
)</f>
        <v>0</v>
      </c>
      <c r="O65" s="228">
        <f ca="1">SUMIFS(rec.uni[2026-03-01],
INDIRECT("rec.uni[natureza]"),"pro.soluto",
INDIRECT("rec.uni[empresa]"),O$6)</f>
        <v>0</v>
      </c>
      <c r="P65" s="228">
        <f ca="1">SUMIFS(rec.uni[2026-03-01],
INDIRECT("rec.uni[natureza]"),"repasse.cef.obra",
INDIRECT("rec.uni[empresa]"),P$6)</f>
        <v>0</v>
      </c>
      <c r="Q65" s="228">
        <f ca="1">SUMIFS(rec.uni[2026-03-01],
INDIRECT("rec.uni[natureza]"),"repasse.cef.terreno",
INDIRECT("rec.uni[empresa]"),Q$6)</f>
        <v>0</v>
      </c>
      <c r="R65" s="232"/>
      <c r="S65" s="228">
        <f ca="1">SUMIFS(rec.uni[2026-03-01],
INDIRECT("rec.uni[natureza]"),"taxa.extra",
INDIRECT("rec.uni[empresa]"),S$6)</f>
        <v>0</v>
      </c>
      <c r="T65" s="216"/>
      <c r="U65" s="216"/>
      <c r="V65" s="216"/>
      <c r="W65" s="216"/>
      <c r="X65" s="216"/>
      <c r="Y65" s="216"/>
      <c r="Z65" s="227">
        <f>COUNTIFS(
    estq[empresa], Z$6,
    estq[Data da venda / reserva], "&gt;=" &amp; $A65,
    estq[Data da venda / reserva], "&lt;"  &amp; EOMONTH($A65,0) + 1
)</f>
        <v>0</v>
      </c>
      <c r="AA65" s="228">
        <f ca="1">SUMIFS(rec.uni[2026-03-01],
INDIRECT("rec.uni[natureza]"),"pro.soluto",
INDIRECT("rec.uni[empresa]"),AA$6)</f>
        <v>0</v>
      </c>
      <c r="AB65" s="228">
        <f ca="1">SUMIFS(rec.uni[2026-03-01],
INDIRECT("rec.uni[natureza]"),"repasse.cef.obra",
INDIRECT("rec.uni[empresa]"),AB$6)</f>
        <v>0</v>
      </c>
      <c r="AC65" s="231">
        <f ca="1">SUMIFS(rec.uni[2026-03-01],
INDIRECT("rec.uni[natureza]"),"repasse.cef.terreno",
INDIRECT("rec.uni[empresa]"),AC$6)</f>
        <v>0</v>
      </c>
      <c r="AD65" s="232"/>
      <c r="AE65" s="228">
        <f ca="1">SUMIFS(rec.uni[2026-03-01],
INDIRECT("rec.uni[natureza]"),"taxa.extra",
INDIRECT("rec.uni[empresa]"),AE$6)</f>
        <v>0</v>
      </c>
      <c r="AF65" s="216"/>
      <c r="AG65" s="216"/>
      <c r="AH65" s="216"/>
      <c r="AI65" s="216"/>
      <c r="AJ65" s="216"/>
      <c r="AK65" s="216"/>
      <c r="AL65" s="227">
        <f>COUNTIFS(
    estq[empresa], AL$6,
    estq[Data da venda / reserva], "&gt;=" &amp; $A65,
    estq[Data da venda / reserva], "&lt;"  &amp; EOMONTH($A65,0) + 1
)</f>
        <v>0</v>
      </c>
      <c r="AM65" s="228">
        <f ca="1">SUMIFS(rec.uni[2026-03-01],
INDIRECT("rec.uni[natureza]"),"pro.soluto",
INDIRECT("rec.uni[empresa]"),AM$6)</f>
        <v>0</v>
      </c>
      <c r="AN65" s="228">
        <f ca="1">SUMIFS(rec.uni[2026-03-01],
INDIRECT("rec.uni[natureza]"),"repasse.cef.obra",
INDIRECT("rec.uni[empresa]"),AN$6)</f>
        <v>0</v>
      </c>
      <c r="AO65" s="231">
        <f ca="1">SUMIFS(rec.uni[2026-03-01],
INDIRECT("rec.uni[natureza]"),"repasse.cef.terreno",
INDIRECT("rec.uni[empresa]"),AO$6)</f>
        <v>0</v>
      </c>
      <c r="AP65" s="232"/>
      <c r="AQ65" s="228">
        <f ca="1">SUMIFS(rec.uni[2026-03-01],
INDIRECT("rec.uni[natureza]"),"taxa.extra",
INDIRECT("rec.uni[empresa]"),AQ$6)</f>
        <v>0</v>
      </c>
      <c r="AR65" s="216"/>
      <c r="AS65" s="216"/>
      <c r="AT65" s="216"/>
      <c r="AU65" s="216"/>
      <c r="AV65" s="216"/>
      <c r="AW65" s="216"/>
      <c r="AX65" s="227">
        <f>COUNTIFS(
    estq[empresa], AX$6,
    estq[Data da venda / reserva], "&gt;=" &amp; $A65,
    estq[Data da venda / reserva], "&lt;"  &amp; EOMONTH($A65,0) + 1
)</f>
        <v>0</v>
      </c>
      <c r="AY65" s="228">
        <f ca="1">SUMIFS(rec.uni[2026-03-01],
INDIRECT("rec.uni[natureza]"),"pro.soluto",
INDIRECT("rec.uni[empresa]"),AY$6)</f>
        <v>0</v>
      </c>
      <c r="AZ65" s="232">
        <f ca="1">SUMIFS(rec.uni[2026-03-01],
INDIRECT("rec.uni[natureza]"),"parcela.fin.total.ik",
INDIRECT("rec.uni[empresa]"),AZ$6)</f>
        <v>0</v>
      </c>
      <c r="BA65" s="228">
        <f ca="1">SUMIFS(rec.uni[2026-03-01],
INDIRECT("rec.uni[natureza]"),"taxa.extra",
INDIRECT("rec.uni[empresa]"),BA$6)</f>
        <v>0</v>
      </c>
      <c r="BB65" s="216"/>
      <c r="BC65" s="216"/>
      <c r="BD65" s="216"/>
      <c r="BE65" s="216"/>
      <c r="BF65" s="216"/>
      <c r="BG65" s="216"/>
      <c r="BH65" s="227">
        <f>COUNTIFS(
    estq[empresa], BH$6,
    estq[Data da venda / reserva], "&gt;=" &amp; $A65,
    estq[Data da venda / reserva], "&lt;"  &amp; EOMONTH($A65,0) + 1
)</f>
        <v>0</v>
      </c>
      <c r="BI65" s="228">
        <f ca="1">SUMIFS(rec.uni[2026-03-01],
INDIRECT("rec.uni[natureza]"),"pro.soluto",
INDIRECT("rec.uni[empresa]"),BI$6)</f>
        <v>0</v>
      </c>
      <c r="BJ65" s="228">
        <f ca="1">SUMIFS(rec.uni[2026-03-01],
INDIRECT("rec.uni[natureza]"),"repasse.cef.obra",
INDIRECT("rec.uni[empresa]"),BJ$6)</f>
        <v>0</v>
      </c>
      <c r="BK65" s="231">
        <f ca="1">SUMIFS(rec.uni[2026-03-01],
INDIRECT("rec.uni[natureza]"),"repasse.cef.terreno",
INDIRECT("rec.uni[empresa]"),BK$6)</f>
        <v>0</v>
      </c>
      <c r="BL65" s="232"/>
      <c r="BM65" s="228">
        <f ca="1">SUMIFS(rec.uni[2026-03-01],
INDIRECT("rec.uni[natureza]"),"taxa.extra",
INDIRECT("rec.uni[empresa]"),BM$6)</f>
        <v>0</v>
      </c>
      <c r="BN65" s="216"/>
      <c r="BO65" s="216"/>
      <c r="BP65" s="216"/>
      <c r="BQ65" s="216"/>
      <c r="BR65" s="216"/>
      <c r="BS65" s="216"/>
      <c r="BT65" s="227">
        <f>COUNTIFS(
    estq[empresa], BT$6,
    estq[Data da venda / reserva], "&gt;=" &amp; $A65,
    estq[Data da venda / reserva], "&lt;"  &amp; EOMONTH($A65,0) + 1
)</f>
        <v>0</v>
      </c>
      <c r="BU65" s="228">
        <f ca="1">SUMIFS(rec.uni[2026-03-01],
INDIRECT("rec.uni[natureza]"),"pro.soluto",
INDIRECT("rec.uni[empresa]"),BU$6)</f>
        <v>0</v>
      </c>
      <c r="BV65" s="228">
        <f ca="1">SUMIFS(rec.uni[2026-03-01],
INDIRECT("rec.uni[natureza]"),"repasse.cef.obra",
INDIRECT("rec.uni[empresa]"),BV$6)</f>
        <v>0</v>
      </c>
      <c r="BW65" s="231">
        <f ca="1">SUMIFS(rec.uni[2026-03-01],
INDIRECT("rec.uni[natureza]"),"repasse.cef.terreno",
INDIRECT("rec.uni[empresa]"),BW$6)</f>
        <v>0</v>
      </c>
      <c r="BX65" s="232"/>
      <c r="BY65" s="228">
        <f ca="1">SUMIFS(rec.uni[2026-03-01],
INDIRECT("rec.uni[natureza]"),"taxa.extra",
INDIRECT("rec.uni[empresa]"),BY$6)</f>
        <v>0</v>
      </c>
      <c r="BZ65" s="216"/>
      <c r="CA65" s="216"/>
      <c r="CB65" s="216"/>
      <c r="CC65" s="216"/>
      <c r="CD65" s="216"/>
      <c r="CE65" s="216"/>
    </row>
    <row r="66" spans="1:83" x14ac:dyDescent="0.25">
      <c r="A66" s="226">
        <v>46113</v>
      </c>
      <c r="B66" s="227">
        <f>COUNTIFS(
    estq[empresa], B$6,
    estq[Data da venda / reserva], "&gt;=" &amp; $A66,
    estq[Data da venda / reserva], "&lt;"  &amp; EOMONTH($A66,0) + 1
)</f>
        <v>0</v>
      </c>
      <c r="C66" s="228">
        <f ca="1">SUMIFS(rec.uni[2026-04-01],
INDIRECT("rec.uni[natureza]"),"pro.soluto",
INDIRECT("rec.uni[empresa]"),C$6)</f>
        <v>0</v>
      </c>
      <c r="D66" s="228">
        <f ca="1">SUMIFS(rec.uni[2026-04-01],
INDIRECT("rec.uni[natureza]"),"repasse.cef.obra",
INDIRECT("rec.uni[empresa]"),D$6)</f>
        <v>0</v>
      </c>
      <c r="E66" s="228">
        <f ca="1">SUMIFS(rec.uni[2026-04-01],
INDIRECT("rec.uni[natureza]"),"repasse.cef.terreno",
INDIRECT("rec.uni[empresa]"),E$6)</f>
        <v>0</v>
      </c>
      <c r="F66" s="232"/>
      <c r="G66" s="228">
        <f ca="1">SUMIFS(rec.uni[2026-04-01],
INDIRECT("rec.uni[natureza]"),"taxa.extra",
INDIRECT("rec.uni[empresa]"),G$6)</f>
        <v>0</v>
      </c>
      <c r="H66" s="216"/>
      <c r="I66" s="216"/>
      <c r="J66" s="216"/>
      <c r="K66" s="216"/>
      <c r="L66" s="216"/>
      <c r="M66" s="216"/>
      <c r="N66" s="227">
        <f>COUNTIFS(
    estq[empresa], N$6,
    estq[Data da venda / reserva], "&gt;=" &amp; $A66,
    estq[Data da venda / reserva], "&lt;"  &amp; EOMONTH($A66,0) + 1
)</f>
        <v>0</v>
      </c>
      <c r="O66" s="228">
        <f ca="1">SUMIFS(rec.uni[2026-04-01],
INDIRECT("rec.uni[natureza]"),"pro.soluto",
INDIRECT("rec.uni[empresa]"),O$6)</f>
        <v>0</v>
      </c>
      <c r="P66" s="228">
        <f ca="1">SUMIFS(rec.uni[2026-04-01],
INDIRECT("rec.uni[natureza]"),"repasse.cef.obra",
INDIRECT("rec.uni[empresa]"),P$6)</f>
        <v>0</v>
      </c>
      <c r="Q66" s="228">
        <f ca="1">SUMIFS(rec.uni[2026-04-01],
INDIRECT("rec.uni[natureza]"),"repasse.cef.terreno",
INDIRECT("rec.uni[empresa]"),Q$6)</f>
        <v>0</v>
      </c>
      <c r="R66" s="232"/>
      <c r="S66" s="228">
        <f ca="1">SUMIFS(rec.uni[2026-04-01],
INDIRECT("rec.uni[natureza]"),"taxa.extra",
INDIRECT("rec.uni[empresa]"),S$6)</f>
        <v>0</v>
      </c>
      <c r="T66" s="216"/>
      <c r="U66" s="216"/>
      <c r="V66" s="216"/>
      <c r="W66" s="216"/>
      <c r="X66" s="216"/>
      <c r="Y66" s="216"/>
      <c r="Z66" s="227">
        <f>COUNTIFS(
    estq[empresa], Z$6,
    estq[Data da venda / reserva], "&gt;=" &amp; $A66,
    estq[Data da venda / reserva], "&lt;"  &amp; EOMONTH($A66,0) + 1
)</f>
        <v>0</v>
      </c>
      <c r="AA66" s="228">
        <f ca="1">SUMIFS(rec.uni[2026-04-01],
INDIRECT("rec.uni[natureza]"),"pro.soluto",
INDIRECT("rec.uni[empresa]"),AA$6)</f>
        <v>0</v>
      </c>
      <c r="AB66" s="228">
        <f ca="1">SUMIFS(rec.uni[2026-04-01],
INDIRECT("rec.uni[natureza]"),"repasse.cef.obra",
INDIRECT("rec.uni[empresa]"),AB$6)</f>
        <v>0</v>
      </c>
      <c r="AC66" s="231">
        <f ca="1">SUMIFS(rec.uni[2026-04-01],
INDIRECT("rec.uni[natureza]"),"repasse.cef.terreno",
INDIRECT("rec.uni[empresa]"),AC$6)</f>
        <v>0</v>
      </c>
      <c r="AD66" s="232"/>
      <c r="AE66" s="228">
        <f ca="1">SUMIFS(rec.uni[2026-04-01],
INDIRECT("rec.uni[natureza]"),"taxa.extra",
INDIRECT("rec.uni[empresa]"),AE$6)</f>
        <v>0</v>
      </c>
      <c r="AF66" s="216"/>
      <c r="AG66" s="216"/>
      <c r="AH66" s="216"/>
      <c r="AI66" s="216"/>
      <c r="AJ66" s="216"/>
      <c r="AK66" s="216"/>
      <c r="AL66" s="227">
        <f>COUNTIFS(
    estq[empresa], AL$6,
    estq[Data da venda / reserva], "&gt;=" &amp; $A66,
    estq[Data da venda / reserva], "&lt;"  &amp; EOMONTH($A66,0) + 1
)</f>
        <v>0</v>
      </c>
      <c r="AM66" s="228">
        <f ca="1">SUMIFS(rec.uni[2026-04-01],
INDIRECT("rec.uni[natureza]"),"pro.soluto",
INDIRECT("rec.uni[empresa]"),AM$6)</f>
        <v>0</v>
      </c>
      <c r="AN66" s="228">
        <f ca="1">SUMIFS(rec.uni[2026-04-01],
INDIRECT("rec.uni[natureza]"),"repasse.cef.obra",
INDIRECT("rec.uni[empresa]"),AN$6)</f>
        <v>0</v>
      </c>
      <c r="AO66" s="231">
        <f ca="1">SUMIFS(rec.uni[2026-04-01],
INDIRECT("rec.uni[natureza]"),"repasse.cef.terreno",
INDIRECT("rec.uni[empresa]"),AO$6)</f>
        <v>0</v>
      </c>
      <c r="AP66" s="232"/>
      <c r="AQ66" s="228">
        <f ca="1">SUMIFS(rec.uni[2026-04-01],
INDIRECT("rec.uni[natureza]"),"taxa.extra",
INDIRECT("rec.uni[empresa]"),AQ$6)</f>
        <v>0</v>
      </c>
      <c r="AR66" s="216"/>
      <c r="AS66" s="216"/>
      <c r="AT66" s="216"/>
      <c r="AU66" s="216"/>
      <c r="AV66" s="216"/>
      <c r="AW66" s="216"/>
      <c r="AX66" s="227">
        <f>COUNTIFS(
    estq[empresa], AX$6,
    estq[Data da venda / reserva], "&gt;=" &amp; $A66,
    estq[Data da venda / reserva], "&lt;"  &amp; EOMONTH($A66,0) + 1
)</f>
        <v>0</v>
      </c>
      <c r="AY66" s="228">
        <f ca="1">SUMIFS(rec.uni[2026-04-01],
INDIRECT("rec.uni[natureza]"),"pro.soluto",
INDIRECT("rec.uni[empresa]"),AY$6)</f>
        <v>0</v>
      </c>
      <c r="AZ66" s="232">
        <f ca="1">SUMIFS(rec.uni[2026-04-01],
INDIRECT("rec.uni[natureza]"),"parcela.fin.total.ik",
INDIRECT("rec.uni[empresa]"),AZ$6)</f>
        <v>0</v>
      </c>
      <c r="BA66" s="228">
        <f ca="1">SUMIFS(rec.uni[2026-04-01],
INDIRECT("rec.uni[natureza]"),"taxa.extra",
INDIRECT("rec.uni[empresa]"),BA$6)</f>
        <v>0</v>
      </c>
      <c r="BB66" s="216"/>
      <c r="BC66" s="216"/>
      <c r="BD66" s="216"/>
      <c r="BE66" s="216"/>
      <c r="BF66" s="216"/>
      <c r="BG66" s="216"/>
      <c r="BH66" s="227">
        <f>COUNTIFS(
    estq[empresa], BH$6,
    estq[Data da venda / reserva], "&gt;=" &amp; $A66,
    estq[Data da venda / reserva], "&lt;"  &amp; EOMONTH($A66,0) + 1
)</f>
        <v>0</v>
      </c>
      <c r="BI66" s="228">
        <f ca="1">SUMIFS(rec.uni[2026-04-01],
INDIRECT("rec.uni[natureza]"),"pro.soluto",
INDIRECT("rec.uni[empresa]"),BI$6)</f>
        <v>0</v>
      </c>
      <c r="BJ66" s="228">
        <f ca="1">SUMIFS(rec.uni[2026-04-01],
INDIRECT("rec.uni[natureza]"),"repasse.cef.obra",
INDIRECT("rec.uni[empresa]"),BJ$6)</f>
        <v>0</v>
      </c>
      <c r="BK66" s="231">
        <f ca="1">SUMIFS(rec.uni[2026-04-01],
INDIRECT("rec.uni[natureza]"),"repasse.cef.terreno",
INDIRECT("rec.uni[empresa]"),BK$6)</f>
        <v>0</v>
      </c>
      <c r="BL66" s="232"/>
      <c r="BM66" s="228">
        <f ca="1">SUMIFS(rec.uni[2026-04-01],
INDIRECT("rec.uni[natureza]"),"taxa.extra",
INDIRECT("rec.uni[empresa]"),BM$6)</f>
        <v>0</v>
      </c>
      <c r="BN66" s="216"/>
      <c r="BO66" s="216"/>
      <c r="BP66" s="216"/>
      <c r="BQ66" s="216"/>
      <c r="BR66" s="216"/>
      <c r="BS66" s="216"/>
      <c r="BT66" s="227">
        <f>COUNTIFS(
    estq[empresa], BT$6,
    estq[Data da venda / reserva], "&gt;=" &amp; $A66,
    estq[Data da venda / reserva], "&lt;"  &amp; EOMONTH($A66,0) + 1
)</f>
        <v>0</v>
      </c>
      <c r="BU66" s="228">
        <f ca="1">SUMIFS(rec.uni[2026-04-01],
INDIRECT("rec.uni[natureza]"),"pro.soluto",
INDIRECT("rec.uni[empresa]"),BU$6)</f>
        <v>0</v>
      </c>
      <c r="BV66" s="228">
        <f ca="1">SUMIFS(rec.uni[2026-04-01],
INDIRECT("rec.uni[natureza]"),"repasse.cef.obra",
INDIRECT("rec.uni[empresa]"),BV$6)</f>
        <v>0</v>
      </c>
      <c r="BW66" s="231">
        <f ca="1">SUMIFS(rec.uni[2026-04-01],
INDIRECT("rec.uni[natureza]"),"repasse.cef.terreno",
INDIRECT("rec.uni[empresa]"),BW$6)</f>
        <v>0</v>
      </c>
      <c r="BX66" s="232"/>
      <c r="BY66" s="228">
        <f ca="1">SUMIFS(rec.uni[2026-04-01],
INDIRECT("rec.uni[natureza]"),"taxa.extra",
INDIRECT("rec.uni[empresa]"),BY$6)</f>
        <v>0</v>
      </c>
      <c r="BZ66" s="216"/>
      <c r="CA66" s="216"/>
      <c r="CB66" s="216"/>
      <c r="CC66" s="216"/>
      <c r="CD66" s="216"/>
      <c r="CE66" s="216"/>
    </row>
    <row r="67" spans="1:83" x14ac:dyDescent="0.25">
      <c r="A67" s="226">
        <v>46143</v>
      </c>
      <c r="B67" s="227">
        <f>COUNTIFS(
    estq[empresa], B$6,
    estq[Data da venda / reserva], "&gt;=" &amp; $A67,
    estq[Data da venda / reserva], "&lt;"  &amp; EOMONTH($A67,0) + 1
)</f>
        <v>0</v>
      </c>
      <c r="C67" s="228">
        <f ca="1">SUMIFS(rec.uni[2026-05-01],
INDIRECT("rec.uni[natureza]"),"pro.soluto",
INDIRECT("rec.uni[empresa]"),C$6)</f>
        <v>0</v>
      </c>
      <c r="D67" s="228">
        <f ca="1">SUMIFS(rec.uni[2026-05-01],
INDIRECT("rec.uni[natureza]"),"repasse.cef.obra",
INDIRECT("rec.uni[empresa]"),D$6)</f>
        <v>0</v>
      </c>
      <c r="E67" s="228">
        <f ca="1">SUMIFS(rec.uni[2026-05-01],
INDIRECT("rec.uni[natureza]"),"repasse.cef.terreno",
INDIRECT("rec.uni[empresa]"),E$6)</f>
        <v>0</v>
      </c>
      <c r="F67" s="232"/>
      <c r="G67" s="228">
        <f ca="1">SUMIFS(rec.uni[2026-05-01],
INDIRECT("rec.uni[natureza]"),"taxa.extra",
INDIRECT("rec.uni[empresa]"),G$6)</f>
        <v>0</v>
      </c>
      <c r="H67" s="216"/>
      <c r="I67" s="216"/>
      <c r="J67" s="216"/>
      <c r="K67" s="216"/>
      <c r="L67" s="216"/>
      <c r="M67" s="216"/>
      <c r="N67" s="227">
        <f>COUNTIFS(
    estq[empresa], N$6,
    estq[Data da venda / reserva], "&gt;=" &amp; $A67,
    estq[Data da venda / reserva], "&lt;"  &amp; EOMONTH($A67,0) + 1
)</f>
        <v>0</v>
      </c>
      <c r="O67" s="228">
        <f ca="1">SUMIFS(rec.uni[2026-05-01],
INDIRECT("rec.uni[natureza]"),"pro.soluto",
INDIRECT("rec.uni[empresa]"),O$6)</f>
        <v>0</v>
      </c>
      <c r="P67" s="228">
        <f ca="1">SUMIFS(rec.uni[2026-05-01],
INDIRECT("rec.uni[natureza]"),"repasse.cef.obra",
INDIRECT("rec.uni[empresa]"),P$6)</f>
        <v>0</v>
      </c>
      <c r="Q67" s="228">
        <f ca="1">SUMIFS(rec.uni[2026-05-01],
INDIRECT("rec.uni[natureza]"),"repasse.cef.terreno",
INDIRECT("rec.uni[empresa]"),Q$6)</f>
        <v>0</v>
      </c>
      <c r="R67" s="232"/>
      <c r="S67" s="228">
        <f ca="1">SUMIFS(rec.uni[2026-05-01],
INDIRECT("rec.uni[natureza]"),"taxa.extra",
INDIRECT("rec.uni[empresa]"),S$6)</f>
        <v>0</v>
      </c>
      <c r="T67" s="216"/>
      <c r="U67" s="216"/>
      <c r="V67" s="216"/>
      <c r="W67" s="216"/>
      <c r="X67" s="216"/>
      <c r="Y67" s="216"/>
      <c r="Z67" s="227">
        <f>COUNTIFS(
    estq[empresa], Z$6,
    estq[Data da venda / reserva], "&gt;=" &amp; $A67,
    estq[Data da venda / reserva], "&lt;"  &amp; EOMONTH($A67,0) + 1
)</f>
        <v>0</v>
      </c>
      <c r="AA67" s="228">
        <f ca="1">SUMIFS(rec.uni[2026-05-01],
INDIRECT("rec.uni[natureza]"),"pro.soluto",
INDIRECT("rec.uni[empresa]"),AA$6)</f>
        <v>0</v>
      </c>
      <c r="AB67" s="228">
        <f ca="1">SUMIFS(rec.uni[2026-05-01],
INDIRECT("rec.uni[natureza]"),"repasse.cef.obra",
INDIRECT("rec.uni[empresa]"),AB$6)</f>
        <v>0</v>
      </c>
      <c r="AC67" s="231">
        <f ca="1">SUMIFS(rec.uni[2026-05-01],
INDIRECT("rec.uni[natureza]"),"repasse.cef.terreno",
INDIRECT("rec.uni[empresa]"),AC$6)</f>
        <v>0</v>
      </c>
      <c r="AD67" s="232"/>
      <c r="AE67" s="228">
        <f ca="1">SUMIFS(rec.uni[2026-05-01],
INDIRECT("rec.uni[natureza]"),"taxa.extra",
INDIRECT("rec.uni[empresa]"),AE$6)</f>
        <v>0</v>
      </c>
      <c r="AF67" s="216"/>
      <c r="AG67" s="216"/>
      <c r="AH67" s="216"/>
      <c r="AI67" s="216"/>
      <c r="AJ67" s="216"/>
      <c r="AK67" s="216"/>
      <c r="AL67" s="227">
        <f>COUNTIFS(
    estq[empresa], AL$6,
    estq[Data da venda / reserva], "&gt;=" &amp; $A67,
    estq[Data da venda / reserva], "&lt;"  &amp; EOMONTH($A67,0) + 1
)</f>
        <v>0</v>
      </c>
      <c r="AM67" s="228">
        <f ca="1">SUMIFS(rec.uni[2026-05-01],
INDIRECT("rec.uni[natureza]"),"pro.soluto",
INDIRECT("rec.uni[empresa]"),AM$6)</f>
        <v>0</v>
      </c>
      <c r="AN67" s="228">
        <f ca="1">SUMIFS(rec.uni[2026-05-01],
INDIRECT("rec.uni[natureza]"),"repasse.cef.obra",
INDIRECT("rec.uni[empresa]"),AN$6)</f>
        <v>0</v>
      </c>
      <c r="AO67" s="231">
        <f ca="1">SUMIFS(rec.uni[2026-05-01],
INDIRECT("rec.uni[natureza]"),"repasse.cef.terreno",
INDIRECT("rec.uni[empresa]"),AO$6)</f>
        <v>0</v>
      </c>
      <c r="AP67" s="232"/>
      <c r="AQ67" s="228">
        <f ca="1">SUMIFS(rec.uni[2026-05-01],
INDIRECT("rec.uni[natureza]"),"taxa.extra",
INDIRECT("rec.uni[empresa]"),AQ$6)</f>
        <v>0</v>
      </c>
      <c r="AR67" s="216"/>
      <c r="AS67" s="216"/>
      <c r="AT67" s="216"/>
      <c r="AU67" s="216"/>
      <c r="AV67" s="216"/>
      <c r="AW67" s="216"/>
      <c r="AX67" s="227">
        <f>COUNTIFS(
    estq[empresa], AX$6,
    estq[Data da venda / reserva], "&gt;=" &amp; $A67,
    estq[Data da venda / reserva], "&lt;"  &amp; EOMONTH($A67,0) + 1
)</f>
        <v>0</v>
      </c>
      <c r="AY67" s="228">
        <f ca="1">SUMIFS(rec.uni[2026-05-01],
INDIRECT("rec.uni[natureza]"),"pro.soluto",
INDIRECT("rec.uni[empresa]"),AY$6)</f>
        <v>0</v>
      </c>
      <c r="AZ67" s="232">
        <f ca="1">SUMIFS(rec.uni[2026-05-01],
INDIRECT("rec.uni[natureza]"),"parcela.fin.total.ik",
INDIRECT("rec.uni[empresa]"),AZ$6)</f>
        <v>0</v>
      </c>
      <c r="BA67" s="228">
        <f ca="1">SUMIFS(rec.uni[2026-05-01],
INDIRECT("rec.uni[natureza]"),"taxa.extra",
INDIRECT("rec.uni[empresa]"),BA$6)</f>
        <v>0</v>
      </c>
      <c r="BB67" s="216"/>
      <c r="BC67" s="216"/>
      <c r="BD67" s="216"/>
      <c r="BE67" s="216"/>
      <c r="BF67" s="216"/>
      <c r="BG67" s="216"/>
      <c r="BH67" s="227">
        <f>COUNTIFS(
    estq[empresa], BH$6,
    estq[Data da venda / reserva], "&gt;=" &amp; $A67,
    estq[Data da venda / reserva], "&lt;"  &amp; EOMONTH($A67,0) + 1
)</f>
        <v>0</v>
      </c>
      <c r="BI67" s="228">
        <f ca="1">SUMIFS(rec.uni[2026-05-01],
INDIRECT("rec.uni[natureza]"),"pro.soluto",
INDIRECT("rec.uni[empresa]"),BI$6)</f>
        <v>0</v>
      </c>
      <c r="BJ67" s="228">
        <f ca="1">SUMIFS(rec.uni[2026-05-01],
INDIRECT("rec.uni[natureza]"),"repasse.cef.obra",
INDIRECT("rec.uni[empresa]"),BJ$6)</f>
        <v>0</v>
      </c>
      <c r="BK67" s="231">
        <f ca="1">SUMIFS(rec.uni[2026-05-01],
INDIRECT("rec.uni[natureza]"),"repasse.cef.terreno",
INDIRECT("rec.uni[empresa]"),BK$6)</f>
        <v>0</v>
      </c>
      <c r="BL67" s="232"/>
      <c r="BM67" s="228">
        <f ca="1">SUMIFS(rec.uni[2026-05-01],
INDIRECT("rec.uni[natureza]"),"taxa.extra",
INDIRECT("rec.uni[empresa]"),BM$6)</f>
        <v>0</v>
      </c>
      <c r="BN67" s="216"/>
      <c r="BO67" s="216"/>
      <c r="BP67" s="216"/>
      <c r="BQ67" s="216"/>
      <c r="BR67" s="216"/>
      <c r="BS67" s="216"/>
      <c r="BT67" s="227">
        <f>COUNTIFS(
    estq[empresa], BT$6,
    estq[Data da venda / reserva], "&gt;=" &amp; $A67,
    estq[Data da venda / reserva], "&lt;"  &amp; EOMONTH($A67,0) + 1
)</f>
        <v>0</v>
      </c>
      <c r="BU67" s="228">
        <f ca="1">SUMIFS(rec.uni[2026-05-01],
INDIRECT("rec.uni[natureza]"),"pro.soluto",
INDIRECT("rec.uni[empresa]"),BU$6)</f>
        <v>0</v>
      </c>
      <c r="BV67" s="228">
        <f ca="1">SUMIFS(rec.uni[2026-05-01],
INDIRECT("rec.uni[natureza]"),"repasse.cef.obra",
INDIRECT("rec.uni[empresa]"),BV$6)</f>
        <v>0</v>
      </c>
      <c r="BW67" s="231">
        <f ca="1">SUMIFS(rec.uni[2026-05-01],
INDIRECT("rec.uni[natureza]"),"repasse.cef.terreno",
INDIRECT("rec.uni[empresa]"),BW$6)</f>
        <v>0</v>
      </c>
      <c r="BX67" s="232"/>
      <c r="BY67" s="228">
        <f ca="1">SUMIFS(rec.uni[2026-05-01],
INDIRECT("rec.uni[natureza]"),"taxa.extra",
INDIRECT("rec.uni[empresa]"),BY$6)</f>
        <v>0</v>
      </c>
      <c r="BZ67" s="216"/>
      <c r="CA67" s="216"/>
      <c r="CB67" s="216"/>
      <c r="CC67" s="216"/>
      <c r="CD67" s="216"/>
      <c r="CE67" s="216"/>
    </row>
    <row r="68" spans="1:83" x14ac:dyDescent="0.25">
      <c r="A68" s="226">
        <v>46174</v>
      </c>
      <c r="B68" s="227">
        <f>COUNTIFS(
    estq[empresa], B$6,
    estq[Data da venda / reserva], "&gt;=" &amp; $A68,
    estq[Data da venda / reserva], "&lt;"  &amp; EOMONTH($A68,0) + 1
)</f>
        <v>0</v>
      </c>
      <c r="C68" s="228">
        <f ca="1">SUMIFS(rec.uni[2026-06-01],
INDIRECT("rec.uni[natureza]"),"pro.soluto",
INDIRECT("rec.uni[empresa]"),C$6)</f>
        <v>0</v>
      </c>
      <c r="D68" s="228">
        <f ca="1">SUMIFS(rec.uni[2026-06-01],
INDIRECT("rec.uni[natureza]"),"repasse.cef.obra",
INDIRECT("rec.uni[empresa]"),D$6)</f>
        <v>0</v>
      </c>
      <c r="E68" s="228">
        <f ca="1">SUMIFS(rec.uni[2026-06-01],
INDIRECT("rec.uni[natureza]"),"repasse.cef.terreno",
INDIRECT("rec.uni[empresa]"),E$6)</f>
        <v>0</v>
      </c>
      <c r="F68" s="232"/>
      <c r="G68" s="228">
        <f ca="1">SUMIFS(rec.uni[2026-06-01],
INDIRECT("rec.uni[natureza]"),"taxa.extra",
INDIRECT("rec.uni[empresa]"),G$6)</f>
        <v>0</v>
      </c>
      <c r="H68" s="216"/>
      <c r="I68" s="216"/>
      <c r="J68" s="216"/>
      <c r="K68" s="216"/>
      <c r="L68" s="216"/>
      <c r="M68" s="216"/>
      <c r="N68" s="227">
        <f>COUNTIFS(
    estq[empresa], N$6,
    estq[Data da venda / reserva], "&gt;=" &amp; $A68,
    estq[Data da venda / reserva], "&lt;"  &amp; EOMONTH($A68,0) + 1
)</f>
        <v>0</v>
      </c>
      <c r="O68" s="228">
        <f ca="1">SUMIFS(rec.uni[2026-06-01],
INDIRECT("rec.uni[natureza]"),"pro.soluto",
INDIRECT("rec.uni[empresa]"),O$6)</f>
        <v>0</v>
      </c>
      <c r="P68" s="228">
        <f ca="1">SUMIFS(rec.uni[2026-06-01],
INDIRECT("rec.uni[natureza]"),"repasse.cef.obra",
INDIRECT("rec.uni[empresa]"),P$6)</f>
        <v>0</v>
      </c>
      <c r="Q68" s="228">
        <f ca="1">SUMIFS(rec.uni[2026-06-01],
INDIRECT("rec.uni[natureza]"),"repasse.cef.terreno",
INDIRECT("rec.uni[empresa]"),Q$6)</f>
        <v>0</v>
      </c>
      <c r="R68" s="232"/>
      <c r="S68" s="228">
        <f ca="1">SUMIFS(rec.uni[2026-06-01],
INDIRECT("rec.uni[natureza]"),"taxa.extra",
INDIRECT("rec.uni[empresa]"),S$6)</f>
        <v>0</v>
      </c>
      <c r="T68" s="216"/>
      <c r="U68" s="216"/>
      <c r="V68" s="216"/>
      <c r="W68" s="216"/>
      <c r="X68" s="216"/>
      <c r="Y68" s="216"/>
      <c r="Z68" s="227">
        <f>COUNTIFS(
    estq[empresa], Z$6,
    estq[Data da venda / reserva], "&gt;=" &amp; $A68,
    estq[Data da venda / reserva], "&lt;"  &amp; EOMONTH($A68,0) + 1
)</f>
        <v>0</v>
      </c>
      <c r="AA68" s="228">
        <f ca="1">SUMIFS(rec.uni[2026-06-01],
INDIRECT("rec.uni[natureza]"),"pro.soluto",
INDIRECT("rec.uni[empresa]"),AA$6)</f>
        <v>0</v>
      </c>
      <c r="AB68" s="228">
        <f ca="1">SUMIFS(rec.uni[2026-06-01],
INDIRECT("rec.uni[natureza]"),"repasse.cef.obra",
INDIRECT("rec.uni[empresa]"),AB$6)</f>
        <v>0</v>
      </c>
      <c r="AC68" s="231">
        <f ca="1">SUMIFS(rec.uni[2026-06-01],
INDIRECT("rec.uni[natureza]"),"repasse.cef.terreno",
INDIRECT("rec.uni[empresa]"),AC$6)</f>
        <v>0</v>
      </c>
      <c r="AD68" s="232"/>
      <c r="AE68" s="228">
        <f ca="1">SUMIFS(rec.uni[2026-06-01],
INDIRECT("rec.uni[natureza]"),"taxa.extra",
INDIRECT("rec.uni[empresa]"),AE$6)</f>
        <v>0</v>
      </c>
      <c r="AF68" s="216"/>
      <c r="AG68" s="216"/>
      <c r="AH68" s="216"/>
      <c r="AI68" s="216"/>
      <c r="AJ68" s="216"/>
      <c r="AK68" s="216"/>
      <c r="AL68" s="227">
        <f>COUNTIFS(
    estq[empresa], AL$6,
    estq[Data da venda / reserva], "&gt;=" &amp; $A68,
    estq[Data da venda / reserva], "&lt;"  &amp; EOMONTH($A68,0) + 1
)</f>
        <v>0</v>
      </c>
      <c r="AM68" s="228">
        <f ca="1">SUMIFS(rec.uni[2026-06-01],
INDIRECT("rec.uni[natureza]"),"pro.soluto",
INDIRECT("rec.uni[empresa]"),AM$6)</f>
        <v>0</v>
      </c>
      <c r="AN68" s="228">
        <f ca="1">SUMIFS(rec.uni[2026-06-01],
INDIRECT("rec.uni[natureza]"),"repasse.cef.obra",
INDIRECT("rec.uni[empresa]"),AN$6)</f>
        <v>0</v>
      </c>
      <c r="AO68" s="231">
        <f ca="1">SUMIFS(rec.uni[2026-06-01],
INDIRECT("rec.uni[natureza]"),"repasse.cef.terreno",
INDIRECT("rec.uni[empresa]"),AO$6)</f>
        <v>0</v>
      </c>
      <c r="AP68" s="232"/>
      <c r="AQ68" s="228">
        <f ca="1">SUMIFS(rec.uni[2026-06-01],
INDIRECT("rec.uni[natureza]"),"taxa.extra",
INDIRECT("rec.uni[empresa]"),AQ$6)</f>
        <v>0</v>
      </c>
      <c r="AR68" s="216"/>
      <c r="AS68" s="216"/>
      <c r="AT68" s="216"/>
      <c r="AU68" s="216"/>
      <c r="AV68" s="216"/>
      <c r="AW68" s="216"/>
      <c r="AX68" s="227">
        <f>COUNTIFS(
    estq[empresa], AX$6,
    estq[Data da venda / reserva], "&gt;=" &amp; $A68,
    estq[Data da venda / reserva], "&lt;"  &amp; EOMONTH($A68,0) + 1
)</f>
        <v>0</v>
      </c>
      <c r="AY68" s="228">
        <f ca="1">SUMIFS(rec.uni[2026-06-01],
INDIRECT("rec.uni[natureza]"),"pro.soluto",
INDIRECT("rec.uni[empresa]"),AY$6)</f>
        <v>0</v>
      </c>
      <c r="AZ68" s="232">
        <f ca="1">SUMIFS(rec.uni[2026-06-01],
INDIRECT("rec.uni[natureza]"),"parcela.fin.total.ik",
INDIRECT("rec.uni[empresa]"),AZ$6)</f>
        <v>0</v>
      </c>
      <c r="BA68" s="228">
        <f ca="1">SUMIFS(rec.uni[2026-06-01],
INDIRECT("rec.uni[natureza]"),"taxa.extra",
INDIRECT("rec.uni[empresa]"),BA$6)</f>
        <v>0</v>
      </c>
      <c r="BB68" s="216"/>
      <c r="BC68" s="216"/>
      <c r="BD68" s="216"/>
      <c r="BE68" s="216"/>
      <c r="BF68" s="216"/>
      <c r="BG68" s="216"/>
      <c r="BH68" s="227">
        <f>COUNTIFS(
    estq[empresa], BH$6,
    estq[Data da venda / reserva], "&gt;=" &amp; $A68,
    estq[Data da venda / reserva], "&lt;"  &amp; EOMONTH($A68,0) + 1
)</f>
        <v>0</v>
      </c>
      <c r="BI68" s="228">
        <f ca="1">SUMIFS(rec.uni[2026-06-01],
INDIRECT("rec.uni[natureza]"),"pro.soluto",
INDIRECT("rec.uni[empresa]"),BI$6)</f>
        <v>0</v>
      </c>
      <c r="BJ68" s="228">
        <f ca="1">SUMIFS(rec.uni[2026-06-01],
INDIRECT("rec.uni[natureza]"),"repasse.cef.obra",
INDIRECT("rec.uni[empresa]"),BJ$6)</f>
        <v>0</v>
      </c>
      <c r="BK68" s="231">
        <f ca="1">SUMIFS(rec.uni[2026-06-01],
INDIRECT("rec.uni[natureza]"),"repasse.cef.terreno",
INDIRECT("rec.uni[empresa]"),BK$6)</f>
        <v>0</v>
      </c>
      <c r="BL68" s="232"/>
      <c r="BM68" s="228">
        <f ca="1">SUMIFS(rec.uni[2026-06-01],
INDIRECT("rec.uni[natureza]"),"taxa.extra",
INDIRECT("rec.uni[empresa]"),BM$6)</f>
        <v>0</v>
      </c>
      <c r="BN68" s="216"/>
      <c r="BO68" s="216"/>
      <c r="BP68" s="216"/>
      <c r="BQ68" s="216"/>
      <c r="BR68" s="216"/>
      <c r="BS68" s="216"/>
      <c r="BT68" s="227">
        <f>COUNTIFS(
    estq[empresa], BT$6,
    estq[Data da venda / reserva], "&gt;=" &amp; $A68,
    estq[Data da venda / reserva], "&lt;"  &amp; EOMONTH($A68,0) + 1
)</f>
        <v>0</v>
      </c>
      <c r="BU68" s="228">
        <f ca="1">SUMIFS(rec.uni[2026-06-01],
INDIRECT("rec.uni[natureza]"),"pro.soluto",
INDIRECT("rec.uni[empresa]"),BU$6)</f>
        <v>0</v>
      </c>
      <c r="BV68" s="228">
        <f ca="1">SUMIFS(rec.uni[2026-06-01],
INDIRECT("rec.uni[natureza]"),"repasse.cef.obra",
INDIRECT("rec.uni[empresa]"),BV$6)</f>
        <v>0</v>
      </c>
      <c r="BW68" s="231">
        <f ca="1">SUMIFS(rec.uni[2026-06-01],
INDIRECT("rec.uni[natureza]"),"repasse.cef.terreno",
INDIRECT("rec.uni[empresa]"),BW$6)</f>
        <v>0</v>
      </c>
      <c r="BX68" s="232"/>
      <c r="BY68" s="228">
        <f ca="1">SUMIFS(rec.uni[2026-06-01],
INDIRECT("rec.uni[natureza]"),"taxa.extra",
INDIRECT("rec.uni[empresa]"),BY$6)</f>
        <v>0</v>
      </c>
      <c r="BZ68" s="216"/>
      <c r="CA68" s="216"/>
      <c r="CB68" s="216"/>
      <c r="CC68" s="216"/>
      <c r="CD68" s="216"/>
      <c r="CE68" s="216"/>
    </row>
    <row r="69" spans="1:83" x14ac:dyDescent="0.25">
      <c r="A69" s="226">
        <v>46204</v>
      </c>
      <c r="B69" s="227">
        <f>COUNTIFS(
    estq[empresa], B$6,
    estq[Data da venda / reserva], "&gt;=" &amp; $A69,
    estq[Data da venda / reserva], "&lt;"  &amp; EOMONTH($A69,0) + 1
)</f>
        <v>0</v>
      </c>
      <c r="C69" s="228">
        <f ca="1">SUMIFS(rec.uni[2026-07-01],
INDIRECT("rec.uni[natureza]"),"pro.soluto",
INDIRECT("rec.uni[empresa]"),C$6)</f>
        <v>0</v>
      </c>
      <c r="D69" s="228">
        <f ca="1">SUMIFS(rec.uni[2026-07-01],
INDIRECT("rec.uni[natureza]"),"repasse.cef.obra",
INDIRECT("rec.uni[empresa]"),D$6)</f>
        <v>0</v>
      </c>
      <c r="E69" s="228">
        <f ca="1">SUMIFS(rec.uni[2026-07-01],
INDIRECT("rec.uni[natureza]"),"repasse.cef.terreno",
INDIRECT("rec.uni[empresa]"),E$6)</f>
        <v>0</v>
      </c>
      <c r="F69" s="232"/>
      <c r="G69" s="228">
        <f ca="1">SUMIFS(rec.uni[2026-07-01],
INDIRECT("rec.uni[natureza]"),"taxa.extra",
INDIRECT("rec.uni[empresa]"),G$6)</f>
        <v>0</v>
      </c>
      <c r="H69" s="216"/>
      <c r="I69" s="216"/>
      <c r="J69" s="216"/>
      <c r="K69" s="216"/>
      <c r="L69" s="216"/>
      <c r="M69" s="216"/>
      <c r="N69" s="227">
        <f>COUNTIFS(
    estq[empresa], N$6,
    estq[Data da venda / reserva], "&gt;=" &amp; $A69,
    estq[Data da venda / reserva], "&lt;"  &amp; EOMONTH($A69,0) + 1
)</f>
        <v>0</v>
      </c>
      <c r="O69" s="228">
        <f ca="1">SUMIFS(rec.uni[2026-07-01],
INDIRECT("rec.uni[natureza]"),"pro.soluto",
INDIRECT("rec.uni[empresa]"),O$6)</f>
        <v>0</v>
      </c>
      <c r="P69" s="228">
        <f ca="1">SUMIFS(rec.uni[2026-07-01],
INDIRECT("rec.uni[natureza]"),"repasse.cef.obra",
INDIRECT("rec.uni[empresa]"),P$6)</f>
        <v>0</v>
      </c>
      <c r="Q69" s="228">
        <f ca="1">SUMIFS(rec.uni[2026-07-01],
INDIRECT("rec.uni[natureza]"),"repasse.cef.terreno",
INDIRECT("rec.uni[empresa]"),Q$6)</f>
        <v>0</v>
      </c>
      <c r="R69" s="232"/>
      <c r="S69" s="228">
        <f ca="1">SUMIFS(rec.uni[2026-07-01],
INDIRECT("rec.uni[natureza]"),"taxa.extra",
INDIRECT("rec.uni[empresa]"),S$6)</f>
        <v>0</v>
      </c>
      <c r="T69" s="216"/>
      <c r="U69" s="216"/>
      <c r="V69" s="216"/>
      <c r="W69" s="216"/>
      <c r="X69" s="216"/>
      <c r="Y69" s="216"/>
      <c r="Z69" s="227">
        <f>COUNTIFS(
    estq[empresa], Z$6,
    estq[Data da venda / reserva], "&gt;=" &amp; $A69,
    estq[Data da venda / reserva], "&lt;"  &amp; EOMONTH($A69,0) + 1
)</f>
        <v>0</v>
      </c>
      <c r="AA69" s="228">
        <f ca="1">SUMIFS(rec.uni[2026-07-01],
INDIRECT("rec.uni[natureza]"),"pro.soluto",
INDIRECT("rec.uni[empresa]"),AA$6)</f>
        <v>0</v>
      </c>
      <c r="AB69" s="228">
        <f ca="1">SUMIFS(rec.uni[2026-07-01],
INDIRECT("rec.uni[natureza]"),"repasse.cef.obra",
INDIRECT("rec.uni[empresa]"),AB$6)</f>
        <v>0</v>
      </c>
      <c r="AC69" s="231">
        <f ca="1">SUMIFS(rec.uni[2026-07-01],
INDIRECT("rec.uni[natureza]"),"repasse.cef.terreno",
INDIRECT("rec.uni[empresa]"),AC$6)</f>
        <v>0</v>
      </c>
      <c r="AD69" s="232"/>
      <c r="AE69" s="228">
        <f ca="1">SUMIFS(rec.uni[2026-07-01],
INDIRECT("rec.uni[natureza]"),"taxa.extra",
INDIRECT("rec.uni[empresa]"),AE$6)</f>
        <v>0</v>
      </c>
      <c r="AF69" s="216"/>
      <c r="AG69" s="216"/>
      <c r="AH69" s="216"/>
      <c r="AI69" s="216"/>
      <c r="AJ69" s="216"/>
      <c r="AK69" s="216"/>
      <c r="AL69" s="227">
        <f>COUNTIFS(
    estq[empresa], AL$6,
    estq[Data da venda / reserva], "&gt;=" &amp; $A69,
    estq[Data da venda / reserva], "&lt;"  &amp; EOMONTH($A69,0) + 1
)</f>
        <v>0</v>
      </c>
      <c r="AM69" s="228">
        <f ca="1">SUMIFS(rec.uni[2026-07-01],
INDIRECT("rec.uni[natureza]"),"pro.soluto",
INDIRECT("rec.uni[empresa]"),AM$6)</f>
        <v>0</v>
      </c>
      <c r="AN69" s="228">
        <f ca="1">SUMIFS(rec.uni[2026-07-01],
INDIRECT("rec.uni[natureza]"),"repasse.cef.obra",
INDIRECT("rec.uni[empresa]"),AN$6)</f>
        <v>0</v>
      </c>
      <c r="AO69" s="231">
        <f ca="1">SUMIFS(rec.uni[2026-07-01],
INDIRECT("rec.uni[natureza]"),"repasse.cef.terreno",
INDIRECT("rec.uni[empresa]"),AO$6)</f>
        <v>0</v>
      </c>
      <c r="AP69" s="232"/>
      <c r="AQ69" s="228">
        <f ca="1">SUMIFS(rec.uni[2026-07-01],
INDIRECT("rec.uni[natureza]"),"taxa.extra",
INDIRECT("rec.uni[empresa]"),AQ$6)</f>
        <v>0</v>
      </c>
      <c r="AR69" s="216"/>
      <c r="AS69" s="216"/>
      <c r="AT69" s="216"/>
      <c r="AU69" s="216"/>
      <c r="AV69" s="216"/>
      <c r="AW69" s="216"/>
      <c r="AX69" s="227">
        <f>COUNTIFS(
    estq[empresa], AX$6,
    estq[Data da venda / reserva], "&gt;=" &amp; $A69,
    estq[Data da venda / reserva], "&lt;"  &amp; EOMONTH($A69,0) + 1
)</f>
        <v>0</v>
      </c>
      <c r="AY69" s="228">
        <f ca="1">SUMIFS(rec.uni[2026-07-01],
INDIRECT("rec.uni[natureza]"),"pro.soluto",
INDIRECT("rec.uni[empresa]"),AY$6)</f>
        <v>0</v>
      </c>
      <c r="AZ69" s="232">
        <f ca="1">SUMIFS(rec.uni[2026-07-01],
INDIRECT("rec.uni[natureza]"),"parcela.fin.total.ik",
INDIRECT("rec.uni[empresa]"),AZ$6)</f>
        <v>0</v>
      </c>
      <c r="BA69" s="228">
        <f ca="1">SUMIFS(rec.uni[2026-07-01],
INDIRECT("rec.uni[natureza]"),"taxa.extra",
INDIRECT("rec.uni[empresa]"),BA$6)</f>
        <v>0</v>
      </c>
      <c r="BB69" s="216"/>
      <c r="BC69" s="216"/>
      <c r="BD69" s="216"/>
      <c r="BE69" s="216"/>
      <c r="BF69" s="216"/>
      <c r="BG69" s="216"/>
      <c r="BH69" s="227">
        <f>COUNTIFS(
    estq[empresa], BH$6,
    estq[Data da venda / reserva], "&gt;=" &amp; $A69,
    estq[Data da venda / reserva], "&lt;"  &amp; EOMONTH($A69,0) + 1
)</f>
        <v>0</v>
      </c>
      <c r="BI69" s="228">
        <f ca="1">SUMIFS(rec.uni[2026-07-01],
INDIRECT("rec.uni[natureza]"),"pro.soluto",
INDIRECT("rec.uni[empresa]"),BI$6)</f>
        <v>0</v>
      </c>
      <c r="BJ69" s="228">
        <f ca="1">SUMIFS(rec.uni[2026-07-01],
INDIRECT("rec.uni[natureza]"),"repasse.cef.obra",
INDIRECT("rec.uni[empresa]"),BJ$6)</f>
        <v>0</v>
      </c>
      <c r="BK69" s="231">
        <f ca="1">SUMIFS(rec.uni[2026-07-01],
INDIRECT("rec.uni[natureza]"),"repasse.cef.terreno",
INDIRECT("rec.uni[empresa]"),BK$6)</f>
        <v>0</v>
      </c>
      <c r="BL69" s="232"/>
      <c r="BM69" s="228">
        <f ca="1">SUMIFS(rec.uni[2026-07-01],
INDIRECT("rec.uni[natureza]"),"taxa.extra",
INDIRECT("rec.uni[empresa]"),BM$6)</f>
        <v>0</v>
      </c>
      <c r="BN69" s="216"/>
      <c r="BO69" s="216"/>
      <c r="BP69" s="216"/>
      <c r="BQ69" s="216"/>
      <c r="BR69" s="216"/>
      <c r="BS69" s="216"/>
      <c r="BT69" s="227">
        <f>COUNTIFS(
    estq[empresa], BT$6,
    estq[Data da venda / reserva], "&gt;=" &amp; $A69,
    estq[Data da venda / reserva], "&lt;"  &amp; EOMONTH($A69,0) + 1
)</f>
        <v>0</v>
      </c>
      <c r="BU69" s="228">
        <f ca="1">SUMIFS(rec.uni[2026-07-01],
INDIRECT("rec.uni[natureza]"),"pro.soluto",
INDIRECT("rec.uni[empresa]"),BU$6)</f>
        <v>0</v>
      </c>
      <c r="BV69" s="228">
        <f ca="1">SUMIFS(rec.uni[2026-07-01],
INDIRECT("rec.uni[natureza]"),"repasse.cef.obra",
INDIRECT("rec.uni[empresa]"),BV$6)</f>
        <v>0</v>
      </c>
      <c r="BW69" s="231">
        <f ca="1">SUMIFS(rec.uni[2026-07-01],
INDIRECT("rec.uni[natureza]"),"repasse.cef.terreno",
INDIRECT("rec.uni[empresa]"),BW$6)</f>
        <v>0</v>
      </c>
      <c r="BX69" s="232"/>
      <c r="BY69" s="228">
        <f ca="1">SUMIFS(rec.uni[2026-07-01],
INDIRECT("rec.uni[natureza]"),"taxa.extra",
INDIRECT("rec.uni[empresa]"),BY$6)</f>
        <v>0</v>
      </c>
      <c r="BZ69" s="216"/>
      <c r="CA69" s="216"/>
      <c r="CB69" s="216"/>
      <c r="CC69" s="216"/>
      <c r="CD69" s="216"/>
      <c r="CE69" s="216"/>
    </row>
    <row r="70" spans="1:83" x14ac:dyDescent="0.25">
      <c r="A70" s="226">
        <v>46235</v>
      </c>
      <c r="B70" s="227">
        <f>COUNTIFS(
    estq[empresa], B$6,
    estq[Data da venda / reserva], "&gt;=" &amp; $A70,
    estq[Data da venda / reserva], "&lt;"  &amp; EOMONTH($A70,0) + 1
)</f>
        <v>0</v>
      </c>
      <c r="C70" s="228">
        <f ca="1">SUMIFS(rec.uni[2026-08-01],
INDIRECT("rec.uni[natureza]"),"pro.soluto",
INDIRECT("rec.uni[empresa]"),C$6)</f>
        <v>0</v>
      </c>
      <c r="D70" s="228">
        <f ca="1">SUMIFS(rec.uni[2026-08-01],
INDIRECT("rec.uni[natureza]"),"repasse.cef.obra",
INDIRECT("rec.uni[empresa]"),D$6)</f>
        <v>0</v>
      </c>
      <c r="E70" s="228">
        <f ca="1">SUMIFS(rec.uni[2026-08-01],
INDIRECT("rec.uni[natureza]"),"repasse.cef.terreno",
INDIRECT("rec.uni[empresa]"),E$6)</f>
        <v>0</v>
      </c>
      <c r="F70" s="232"/>
      <c r="G70" s="228">
        <f ca="1">SUMIFS(rec.uni[2026-08-01],
INDIRECT("rec.uni[natureza]"),"taxa.extra",
INDIRECT("rec.uni[empresa]"),G$6)</f>
        <v>0</v>
      </c>
      <c r="H70" s="216"/>
      <c r="I70" s="216"/>
      <c r="J70" s="216"/>
      <c r="K70" s="216"/>
      <c r="L70" s="216"/>
      <c r="M70" s="216"/>
      <c r="N70" s="227">
        <f>COUNTIFS(
    estq[empresa], N$6,
    estq[Data da venda / reserva], "&gt;=" &amp; $A70,
    estq[Data da venda / reserva], "&lt;"  &amp; EOMONTH($A70,0) + 1
)</f>
        <v>0</v>
      </c>
      <c r="O70" s="228">
        <f ca="1">SUMIFS(rec.uni[2026-08-01],
INDIRECT("rec.uni[natureza]"),"pro.soluto",
INDIRECT("rec.uni[empresa]"),O$6)</f>
        <v>0</v>
      </c>
      <c r="P70" s="228">
        <f ca="1">SUMIFS(rec.uni[2026-08-01],
INDIRECT("rec.uni[natureza]"),"repasse.cef.obra",
INDIRECT("rec.uni[empresa]"),P$6)</f>
        <v>0</v>
      </c>
      <c r="Q70" s="228">
        <f ca="1">SUMIFS(rec.uni[2026-08-01],
INDIRECT("rec.uni[natureza]"),"repasse.cef.terreno",
INDIRECT("rec.uni[empresa]"),Q$6)</f>
        <v>0</v>
      </c>
      <c r="R70" s="232"/>
      <c r="S70" s="228">
        <f ca="1">SUMIFS(rec.uni[2026-08-01],
INDIRECT("rec.uni[natureza]"),"taxa.extra",
INDIRECT("rec.uni[empresa]"),S$6)</f>
        <v>0</v>
      </c>
      <c r="T70" s="216"/>
      <c r="U70" s="216"/>
      <c r="V70" s="216"/>
      <c r="W70" s="216"/>
      <c r="X70" s="216"/>
      <c r="Y70" s="216"/>
      <c r="Z70" s="227">
        <f>COUNTIFS(
    estq[empresa], Z$6,
    estq[Data da venda / reserva], "&gt;=" &amp; $A70,
    estq[Data da venda / reserva], "&lt;"  &amp; EOMONTH($A70,0) + 1
)</f>
        <v>0</v>
      </c>
      <c r="AA70" s="228">
        <f ca="1">SUMIFS(rec.uni[2026-08-01],
INDIRECT("rec.uni[natureza]"),"pro.soluto",
INDIRECT("rec.uni[empresa]"),AA$6)</f>
        <v>0</v>
      </c>
      <c r="AB70" s="228">
        <f ca="1">SUMIFS(rec.uni[2026-08-01],
INDIRECT("rec.uni[natureza]"),"repasse.cef.obra",
INDIRECT("rec.uni[empresa]"),AB$6)</f>
        <v>0</v>
      </c>
      <c r="AC70" s="231">
        <f ca="1">SUMIFS(rec.uni[2026-08-01],
INDIRECT("rec.uni[natureza]"),"repasse.cef.terreno",
INDIRECT("rec.uni[empresa]"),AC$6)</f>
        <v>0</v>
      </c>
      <c r="AD70" s="232"/>
      <c r="AE70" s="228">
        <f ca="1">SUMIFS(rec.uni[2026-08-01],
INDIRECT("rec.uni[natureza]"),"taxa.extra",
INDIRECT("rec.uni[empresa]"),AE$6)</f>
        <v>0</v>
      </c>
      <c r="AF70" s="216"/>
      <c r="AG70" s="216"/>
      <c r="AH70" s="216"/>
      <c r="AI70" s="216"/>
      <c r="AJ70" s="216"/>
      <c r="AK70" s="216"/>
      <c r="AL70" s="227">
        <f>COUNTIFS(
    estq[empresa], AL$6,
    estq[Data da venda / reserva], "&gt;=" &amp; $A70,
    estq[Data da venda / reserva], "&lt;"  &amp; EOMONTH($A70,0) + 1
)</f>
        <v>0</v>
      </c>
      <c r="AM70" s="228">
        <f ca="1">SUMIFS(rec.uni[2026-08-01],
INDIRECT("rec.uni[natureza]"),"pro.soluto",
INDIRECT("rec.uni[empresa]"),AM$6)</f>
        <v>0</v>
      </c>
      <c r="AN70" s="228">
        <f ca="1">SUMIFS(rec.uni[2026-08-01],
INDIRECT("rec.uni[natureza]"),"repasse.cef.obra",
INDIRECT("rec.uni[empresa]"),AN$6)</f>
        <v>0</v>
      </c>
      <c r="AO70" s="231">
        <f ca="1">SUMIFS(rec.uni[2026-08-01],
INDIRECT("rec.uni[natureza]"),"repasse.cef.terreno",
INDIRECT("rec.uni[empresa]"),AO$6)</f>
        <v>0</v>
      </c>
      <c r="AP70" s="232"/>
      <c r="AQ70" s="228">
        <f ca="1">SUMIFS(rec.uni[2026-08-01],
INDIRECT("rec.uni[natureza]"),"taxa.extra",
INDIRECT("rec.uni[empresa]"),AQ$6)</f>
        <v>0</v>
      </c>
      <c r="AR70" s="216"/>
      <c r="AS70" s="216"/>
      <c r="AT70" s="216"/>
      <c r="AU70" s="216"/>
      <c r="AV70" s="216"/>
      <c r="AW70" s="216"/>
      <c r="AX70" s="227">
        <f>COUNTIFS(
    estq[empresa], AX$6,
    estq[Data da venda / reserva], "&gt;=" &amp; $A70,
    estq[Data da venda / reserva], "&lt;"  &amp; EOMONTH($A70,0) + 1
)</f>
        <v>0</v>
      </c>
      <c r="AY70" s="228">
        <f ca="1">SUMIFS(rec.uni[2026-08-01],
INDIRECT("rec.uni[natureza]"),"pro.soluto",
INDIRECT("rec.uni[empresa]"),AY$6)</f>
        <v>0</v>
      </c>
      <c r="AZ70" s="232">
        <f ca="1">SUMIFS(rec.uni[2026-08-01],
INDIRECT("rec.uni[natureza]"),"parcela.fin.total.ik",
INDIRECT("rec.uni[empresa]"),AZ$6)</f>
        <v>0</v>
      </c>
      <c r="BA70" s="228">
        <f ca="1">SUMIFS(rec.uni[2026-08-01],
INDIRECT("rec.uni[natureza]"),"taxa.extra",
INDIRECT("rec.uni[empresa]"),BA$6)</f>
        <v>0</v>
      </c>
      <c r="BB70" s="216"/>
      <c r="BC70" s="216"/>
      <c r="BD70" s="216"/>
      <c r="BE70" s="216"/>
      <c r="BF70" s="216"/>
      <c r="BG70" s="216"/>
      <c r="BH70" s="227">
        <f>COUNTIFS(
    estq[empresa], BH$6,
    estq[Data da venda / reserva], "&gt;=" &amp; $A70,
    estq[Data da venda / reserva], "&lt;"  &amp; EOMONTH($A70,0) + 1
)</f>
        <v>0</v>
      </c>
      <c r="BI70" s="228">
        <f ca="1">SUMIFS(rec.uni[2026-08-01],
INDIRECT("rec.uni[natureza]"),"pro.soluto",
INDIRECT("rec.uni[empresa]"),BI$6)</f>
        <v>0</v>
      </c>
      <c r="BJ70" s="228">
        <f ca="1">SUMIFS(rec.uni[2026-08-01],
INDIRECT("rec.uni[natureza]"),"repasse.cef.obra",
INDIRECT("rec.uni[empresa]"),BJ$6)</f>
        <v>0</v>
      </c>
      <c r="BK70" s="231">
        <f ca="1">SUMIFS(rec.uni[2026-08-01],
INDIRECT("rec.uni[natureza]"),"repasse.cef.terreno",
INDIRECT("rec.uni[empresa]"),BK$6)</f>
        <v>0</v>
      </c>
      <c r="BL70" s="232"/>
      <c r="BM70" s="228">
        <f ca="1">SUMIFS(rec.uni[2026-08-01],
INDIRECT("rec.uni[natureza]"),"taxa.extra",
INDIRECT("rec.uni[empresa]"),BM$6)</f>
        <v>0</v>
      </c>
      <c r="BN70" s="216"/>
      <c r="BO70" s="216"/>
      <c r="BP70" s="216"/>
      <c r="BQ70" s="216"/>
      <c r="BR70" s="216"/>
      <c r="BS70" s="216"/>
      <c r="BT70" s="227">
        <f>COUNTIFS(
    estq[empresa], BT$6,
    estq[Data da venda / reserva], "&gt;=" &amp; $A70,
    estq[Data da venda / reserva], "&lt;"  &amp; EOMONTH($A70,0) + 1
)</f>
        <v>0</v>
      </c>
      <c r="BU70" s="228">
        <f ca="1">SUMIFS(rec.uni[2026-08-01],
INDIRECT("rec.uni[natureza]"),"pro.soluto",
INDIRECT("rec.uni[empresa]"),BU$6)</f>
        <v>0</v>
      </c>
      <c r="BV70" s="228">
        <f ca="1">SUMIFS(rec.uni[2026-08-01],
INDIRECT("rec.uni[natureza]"),"repasse.cef.obra",
INDIRECT("rec.uni[empresa]"),BV$6)</f>
        <v>0</v>
      </c>
      <c r="BW70" s="231">
        <f ca="1">SUMIFS(rec.uni[2026-08-01],
INDIRECT("rec.uni[natureza]"),"repasse.cef.terreno",
INDIRECT("rec.uni[empresa]"),BW$6)</f>
        <v>0</v>
      </c>
      <c r="BX70" s="232"/>
      <c r="BY70" s="228">
        <f ca="1">SUMIFS(rec.uni[2026-08-01],
INDIRECT("rec.uni[natureza]"),"taxa.extra",
INDIRECT("rec.uni[empresa]"),BY$6)</f>
        <v>0</v>
      </c>
      <c r="BZ70" s="216"/>
      <c r="CA70" s="216"/>
      <c r="CB70" s="216"/>
      <c r="CC70" s="216"/>
      <c r="CD70" s="216"/>
      <c r="CE70" s="216"/>
    </row>
    <row r="71" spans="1:83" x14ac:dyDescent="0.25">
      <c r="A71" s="226">
        <v>46266</v>
      </c>
      <c r="B71" s="227">
        <f>COUNTIFS(
    estq[empresa], B$6,
    estq[Data da venda / reserva], "&gt;=" &amp; $A71,
    estq[Data da venda / reserva], "&lt;"  &amp; EOMONTH($A71,0) + 1
)</f>
        <v>0</v>
      </c>
      <c r="C71" s="228">
        <f ca="1">SUMIFS(rec.uni[2026-09-01],
INDIRECT("rec.uni[natureza]"),"pro.soluto",
INDIRECT("rec.uni[empresa]"),C$6)</f>
        <v>0</v>
      </c>
      <c r="D71" s="228">
        <f ca="1">SUMIFS(rec.uni[2026-09-01],
INDIRECT("rec.uni[natureza]"),"repasse.cef.obra",
INDIRECT("rec.uni[empresa]"),D$6)</f>
        <v>0</v>
      </c>
      <c r="E71" s="228">
        <f ca="1">SUMIFS(rec.uni[2026-09-01],
INDIRECT("rec.uni[natureza]"),"repasse.cef.terreno",
INDIRECT("rec.uni[empresa]"),E$6)</f>
        <v>0</v>
      </c>
      <c r="F71" s="232"/>
      <c r="G71" s="228">
        <f ca="1">SUMIFS(rec.uni[2026-09-01],
INDIRECT("rec.uni[natureza]"),"taxa.extra",
INDIRECT("rec.uni[empresa]"),G$6)</f>
        <v>0</v>
      </c>
      <c r="H71" s="216"/>
      <c r="I71" s="216"/>
      <c r="J71" s="216"/>
      <c r="K71" s="216"/>
      <c r="L71" s="216"/>
      <c r="M71" s="216"/>
      <c r="N71" s="227">
        <f>COUNTIFS(
    estq[empresa], N$6,
    estq[Data da venda / reserva], "&gt;=" &amp; $A71,
    estq[Data da venda / reserva], "&lt;"  &amp; EOMONTH($A71,0) + 1
)</f>
        <v>0</v>
      </c>
      <c r="O71" s="228">
        <f ca="1">SUMIFS(rec.uni[2026-09-01],
INDIRECT("rec.uni[natureza]"),"pro.soluto",
INDIRECT("rec.uni[empresa]"),O$6)</f>
        <v>0</v>
      </c>
      <c r="P71" s="228">
        <f ca="1">SUMIFS(rec.uni[2026-09-01],
INDIRECT("rec.uni[natureza]"),"repasse.cef.obra",
INDIRECT("rec.uni[empresa]"),P$6)</f>
        <v>0</v>
      </c>
      <c r="Q71" s="228">
        <f ca="1">SUMIFS(rec.uni[2026-09-01],
INDIRECT("rec.uni[natureza]"),"repasse.cef.terreno",
INDIRECT("rec.uni[empresa]"),Q$6)</f>
        <v>0</v>
      </c>
      <c r="R71" s="232"/>
      <c r="S71" s="228">
        <f ca="1">SUMIFS(rec.uni[2026-09-01],
INDIRECT("rec.uni[natureza]"),"taxa.extra",
INDIRECT("rec.uni[empresa]"),S$6)</f>
        <v>0</v>
      </c>
      <c r="T71" s="216"/>
      <c r="U71" s="216"/>
      <c r="V71" s="216"/>
      <c r="W71" s="216"/>
      <c r="X71" s="216"/>
      <c r="Y71" s="216"/>
      <c r="Z71" s="227">
        <f>COUNTIFS(
    estq[empresa], Z$6,
    estq[Data da venda / reserva], "&gt;=" &amp; $A71,
    estq[Data da venda / reserva], "&lt;"  &amp; EOMONTH($A71,0) + 1
)</f>
        <v>0</v>
      </c>
      <c r="AA71" s="228">
        <f ca="1">SUMIFS(rec.uni[2026-09-01],
INDIRECT("rec.uni[natureza]"),"pro.soluto",
INDIRECT("rec.uni[empresa]"),AA$6)</f>
        <v>0</v>
      </c>
      <c r="AB71" s="228">
        <f ca="1">SUMIFS(rec.uni[2026-09-01],
INDIRECT("rec.uni[natureza]"),"repasse.cef.obra",
INDIRECT("rec.uni[empresa]"),AB$6)</f>
        <v>0</v>
      </c>
      <c r="AC71" s="231">
        <f ca="1">SUMIFS(rec.uni[2026-09-01],
INDIRECT("rec.uni[natureza]"),"repasse.cef.terreno",
INDIRECT("rec.uni[empresa]"),AC$6)</f>
        <v>0</v>
      </c>
      <c r="AD71" s="232"/>
      <c r="AE71" s="228">
        <f ca="1">SUMIFS(rec.uni[2026-09-01],
INDIRECT("rec.uni[natureza]"),"taxa.extra",
INDIRECT("rec.uni[empresa]"),AE$6)</f>
        <v>0</v>
      </c>
      <c r="AF71" s="216"/>
      <c r="AG71" s="216"/>
      <c r="AH71" s="216"/>
      <c r="AI71" s="216"/>
      <c r="AJ71" s="216"/>
      <c r="AK71" s="216"/>
      <c r="AL71" s="227">
        <f>COUNTIFS(
    estq[empresa], AL$6,
    estq[Data da venda / reserva], "&gt;=" &amp; $A71,
    estq[Data da venda / reserva], "&lt;"  &amp; EOMONTH($A71,0) + 1
)</f>
        <v>0</v>
      </c>
      <c r="AM71" s="228">
        <f ca="1">SUMIFS(rec.uni[2026-09-01],
INDIRECT("rec.uni[natureza]"),"pro.soluto",
INDIRECT("rec.uni[empresa]"),AM$6)</f>
        <v>0</v>
      </c>
      <c r="AN71" s="228">
        <f ca="1">SUMIFS(rec.uni[2026-09-01],
INDIRECT("rec.uni[natureza]"),"repasse.cef.obra",
INDIRECT("rec.uni[empresa]"),AN$6)</f>
        <v>0</v>
      </c>
      <c r="AO71" s="231">
        <f ca="1">SUMIFS(rec.uni[2026-09-01],
INDIRECT("rec.uni[natureza]"),"repasse.cef.terreno",
INDIRECT("rec.uni[empresa]"),AO$6)</f>
        <v>0</v>
      </c>
      <c r="AP71" s="232"/>
      <c r="AQ71" s="228">
        <f ca="1">SUMIFS(rec.uni[2026-09-01],
INDIRECT("rec.uni[natureza]"),"taxa.extra",
INDIRECT("rec.uni[empresa]"),AQ$6)</f>
        <v>0</v>
      </c>
      <c r="AR71" s="216"/>
      <c r="AS71" s="216"/>
      <c r="AT71" s="216"/>
      <c r="AU71" s="216"/>
      <c r="AV71" s="216"/>
      <c r="AW71" s="216"/>
      <c r="AX71" s="227">
        <f>COUNTIFS(
    estq[empresa], AX$6,
    estq[Data da venda / reserva], "&gt;=" &amp; $A71,
    estq[Data da venda / reserva], "&lt;"  &amp; EOMONTH($A71,0) + 1
)</f>
        <v>0</v>
      </c>
      <c r="AY71" s="228">
        <f ca="1">SUMIFS(rec.uni[2026-09-01],
INDIRECT("rec.uni[natureza]"),"pro.soluto",
INDIRECT("rec.uni[empresa]"),AY$6)</f>
        <v>0</v>
      </c>
      <c r="AZ71" s="232">
        <f ca="1">SUMIFS(rec.uni[2026-09-01],
INDIRECT("rec.uni[natureza]"),"parcela.fin.total.ik",
INDIRECT("rec.uni[empresa]"),AZ$6)</f>
        <v>0</v>
      </c>
      <c r="BA71" s="228">
        <f ca="1">SUMIFS(rec.uni[2026-09-01],
INDIRECT("rec.uni[natureza]"),"taxa.extra",
INDIRECT("rec.uni[empresa]"),BA$6)</f>
        <v>0</v>
      </c>
      <c r="BB71" s="216"/>
      <c r="BC71" s="216"/>
      <c r="BD71" s="216"/>
      <c r="BE71" s="216"/>
      <c r="BF71" s="216"/>
      <c r="BG71" s="216"/>
      <c r="BH71" s="227">
        <f>COUNTIFS(
    estq[empresa], BH$6,
    estq[Data da venda / reserva], "&gt;=" &amp; $A71,
    estq[Data da venda / reserva], "&lt;"  &amp; EOMONTH($A71,0) + 1
)</f>
        <v>0</v>
      </c>
      <c r="BI71" s="228">
        <f ca="1">SUMIFS(rec.uni[2026-09-01],
INDIRECT("rec.uni[natureza]"),"pro.soluto",
INDIRECT("rec.uni[empresa]"),BI$6)</f>
        <v>0</v>
      </c>
      <c r="BJ71" s="228">
        <f ca="1">SUMIFS(rec.uni[2026-09-01],
INDIRECT("rec.uni[natureza]"),"repasse.cef.obra",
INDIRECT("rec.uni[empresa]"),BJ$6)</f>
        <v>0</v>
      </c>
      <c r="BK71" s="231">
        <f ca="1">SUMIFS(rec.uni[2026-09-01],
INDIRECT("rec.uni[natureza]"),"repasse.cef.terreno",
INDIRECT("rec.uni[empresa]"),BK$6)</f>
        <v>0</v>
      </c>
      <c r="BL71" s="232"/>
      <c r="BM71" s="228">
        <f ca="1">SUMIFS(rec.uni[2026-09-01],
INDIRECT("rec.uni[natureza]"),"taxa.extra",
INDIRECT("rec.uni[empresa]"),BM$6)</f>
        <v>0</v>
      </c>
      <c r="BN71" s="216"/>
      <c r="BO71" s="216"/>
      <c r="BP71" s="216"/>
      <c r="BQ71" s="216"/>
      <c r="BR71" s="216"/>
      <c r="BS71" s="216"/>
      <c r="BT71" s="227">
        <f>COUNTIFS(
    estq[empresa], BT$6,
    estq[Data da venda / reserva], "&gt;=" &amp; $A71,
    estq[Data da venda / reserva], "&lt;"  &amp; EOMONTH($A71,0) + 1
)</f>
        <v>0</v>
      </c>
      <c r="BU71" s="228">
        <f ca="1">SUMIFS(rec.uni[2026-09-01],
INDIRECT("rec.uni[natureza]"),"pro.soluto",
INDIRECT("rec.uni[empresa]"),BU$6)</f>
        <v>0</v>
      </c>
      <c r="BV71" s="228">
        <f ca="1">SUMIFS(rec.uni[2026-09-01],
INDIRECT("rec.uni[natureza]"),"repasse.cef.obra",
INDIRECT("rec.uni[empresa]"),BV$6)</f>
        <v>0</v>
      </c>
      <c r="BW71" s="231">
        <f ca="1">SUMIFS(rec.uni[2026-09-01],
INDIRECT("rec.uni[natureza]"),"repasse.cef.terreno",
INDIRECT("rec.uni[empresa]"),BW$6)</f>
        <v>0</v>
      </c>
      <c r="BX71" s="232"/>
      <c r="BY71" s="228">
        <f ca="1">SUMIFS(rec.uni[2026-09-01],
INDIRECT("rec.uni[natureza]"),"taxa.extra",
INDIRECT("rec.uni[empresa]"),BY$6)</f>
        <v>0</v>
      </c>
      <c r="BZ71" s="216"/>
      <c r="CA71" s="216"/>
      <c r="CB71" s="216"/>
      <c r="CC71" s="216"/>
      <c r="CD71" s="216"/>
      <c r="CE71" s="216"/>
    </row>
    <row r="72" spans="1:83" x14ac:dyDescent="0.25">
      <c r="A72" s="226">
        <v>46296</v>
      </c>
      <c r="B72" s="227">
        <f>COUNTIFS(
    estq[empresa], B$6,
    estq[Data da venda / reserva], "&gt;=" &amp; $A72,
    estq[Data da venda / reserva], "&lt;"  &amp; EOMONTH($A72,0) + 1
)</f>
        <v>0</v>
      </c>
      <c r="C72" s="228">
        <f ca="1">SUMIFS(rec.uni[2026-10-01],
INDIRECT("rec.uni[natureza]"),"pro.soluto",
INDIRECT("rec.uni[empresa]"),C$6)</f>
        <v>0</v>
      </c>
      <c r="D72" s="228">
        <f ca="1">SUMIFS(rec.uni[2026-10-01],
INDIRECT("rec.uni[natureza]"),"repasse.cef.obra",
INDIRECT("rec.uni[empresa]"),D$6)</f>
        <v>0</v>
      </c>
      <c r="E72" s="228">
        <f ca="1">SUMIFS(rec.uni[2026-10-01],
INDIRECT("rec.uni[natureza]"),"repasse.cef.terreno",
INDIRECT("rec.uni[empresa]"),E$6)</f>
        <v>0</v>
      </c>
      <c r="F72" s="232"/>
      <c r="G72" s="228">
        <f ca="1">SUMIFS(rec.uni[2026-10-01],
INDIRECT("rec.uni[natureza]"),"taxa.extra",
INDIRECT("rec.uni[empresa]"),G$6)</f>
        <v>0</v>
      </c>
      <c r="H72" s="216"/>
      <c r="I72" s="216"/>
      <c r="J72" s="216"/>
      <c r="K72" s="216"/>
      <c r="L72" s="216"/>
      <c r="M72" s="216"/>
      <c r="N72" s="227">
        <f>COUNTIFS(
    estq[empresa], N$6,
    estq[Data da venda / reserva], "&gt;=" &amp; $A72,
    estq[Data da venda / reserva], "&lt;"  &amp; EOMONTH($A72,0) + 1
)</f>
        <v>0</v>
      </c>
      <c r="O72" s="228">
        <f ca="1">SUMIFS(rec.uni[2026-10-01],
INDIRECT("rec.uni[natureza]"),"pro.soluto",
INDIRECT("rec.uni[empresa]"),O$6)</f>
        <v>0</v>
      </c>
      <c r="P72" s="228">
        <f ca="1">SUMIFS(rec.uni[2026-10-01],
INDIRECT("rec.uni[natureza]"),"repasse.cef.obra",
INDIRECT("rec.uni[empresa]"),P$6)</f>
        <v>0</v>
      </c>
      <c r="Q72" s="228">
        <f ca="1">SUMIFS(rec.uni[2026-10-01],
INDIRECT("rec.uni[natureza]"),"repasse.cef.terreno",
INDIRECT("rec.uni[empresa]"),Q$6)</f>
        <v>0</v>
      </c>
      <c r="R72" s="232"/>
      <c r="S72" s="228">
        <f ca="1">SUMIFS(rec.uni[2026-10-01],
INDIRECT("rec.uni[natureza]"),"taxa.extra",
INDIRECT("rec.uni[empresa]"),S$6)</f>
        <v>0</v>
      </c>
      <c r="T72" s="216"/>
      <c r="U72" s="216"/>
      <c r="V72" s="216"/>
      <c r="W72" s="216"/>
      <c r="X72" s="216"/>
      <c r="Y72" s="216"/>
      <c r="Z72" s="227">
        <f>COUNTIFS(
    estq[empresa], Z$6,
    estq[Data da venda / reserva], "&gt;=" &amp; $A72,
    estq[Data da venda / reserva], "&lt;"  &amp; EOMONTH($A72,0) + 1
)</f>
        <v>0</v>
      </c>
      <c r="AA72" s="228">
        <f ca="1">SUMIFS(rec.uni[2026-10-01],
INDIRECT("rec.uni[natureza]"),"pro.soluto",
INDIRECT("rec.uni[empresa]"),AA$6)</f>
        <v>0</v>
      </c>
      <c r="AB72" s="228">
        <f ca="1">SUMIFS(rec.uni[2026-10-01],
INDIRECT("rec.uni[natureza]"),"repasse.cef.obra",
INDIRECT("rec.uni[empresa]"),AB$6)</f>
        <v>0</v>
      </c>
      <c r="AC72" s="231">
        <f ca="1">SUMIFS(rec.uni[2026-10-01],
INDIRECT("rec.uni[natureza]"),"repasse.cef.terreno",
INDIRECT("rec.uni[empresa]"),AC$6)</f>
        <v>0</v>
      </c>
      <c r="AD72" s="232"/>
      <c r="AE72" s="228">
        <f ca="1">SUMIFS(rec.uni[2026-10-01],
INDIRECT("rec.uni[natureza]"),"taxa.extra",
INDIRECT("rec.uni[empresa]"),AE$6)</f>
        <v>0</v>
      </c>
      <c r="AF72" s="216"/>
      <c r="AG72" s="216"/>
      <c r="AH72" s="216"/>
      <c r="AI72" s="216"/>
      <c r="AJ72" s="216"/>
      <c r="AK72" s="216"/>
      <c r="AL72" s="227">
        <f>COUNTIFS(
    estq[empresa], AL$6,
    estq[Data da venda / reserva], "&gt;=" &amp; $A72,
    estq[Data da venda / reserva], "&lt;"  &amp; EOMONTH($A72,0) + 1
)</f>
        <v>0</v>
      </c>
      <c r="AM72" s="228">
        <f ca="1">SUMIFS(rec.uni[2026-10-01],
INDIRECT("rec.uni[natureza]"),"pro.soluto",
INDIRECT("rec.uni[empresa]"),AM$6)</f>
        <v>0</v>
      </c>
      <c r="AN72" s="228">
        <f ca="1">SUMIFS(rec.uni[2026-10-01],
INDIRECT("rec.uni[natureza]"),"repasse.cef.obra",
INDIRECT("rec.uni[empresa]"),AN$6)</f>
        <v>0</v>
      </c>
      <c r="AO72" s="231">
        <f ca="1">SUMIFS(rec.uni[2026-10-01],
INDIRECT("rec.uni[natureza]"),"repasse.cef.terreno",
INDIRECT("rec.uni[empresa]"),AO$6)</f>
        <v>0</v>
      </c>
      <c r="AP72" s="232"/>
      <c r="AQ72" s="228">
        <f ca="1">SUMIFS(rec.uni[2026-10-01],
INDIRECT("rec.uni[natureza]"),"taxa.extra",
INDIRECT("rec.uni[empresa]"),AQ$6)</f>
        <v>0</v>
      </c>
      <c r="AR72" s="216"/>
      <c r="AS72" s="216"/>
      <c r="AT72" s="216"/>
      <c r="AU72" s="216"/>
      <c r="AV72" s="216"/>
      <c r="AW72" s="216"/>
      <c r="AX72" s="227">
        <f>COUNTIFS(
    estq[empresa], AX$6,
    estq[Data da venda / reserva], "&gt;=" &amp; $A72,
    estq[Data da venda / reserva], "&lt;"  &amp; EOMONTH($A72,0) + 1
)</f>
        <v>0</v>
      </c>
      <c r="AY72" s="228">
        <f ca="1">SUMIFS(rec.uni[2026-10-01],
INDIRECT("rec.uni[natureza]"),"pro.soluto",
INDIRECT("rec.uni[empresa]"),AY$6)</f>
        <v>0</v>
      </c>
      <c r="AZ72" s="232">
        <f ca="1">SUMIFS(rec.uni[2026-10-01],
INDIRECT("rec.uni[natureza]"),"parcela.fin.total.ik",
INDIRECT("rec.uni[empresa]"),AZ$6)</f>
        <v>0</v>
      </c>
      <c r="BA72" s="228">
        <f ca="1">SUMIFS(rec.uni[2026-10-01],
INDIRECT("rec.uni[natureza]"),"taxa.extra",
INDIRECT("rec.uni[empresa]"),BA$6)</f>
        <v>0</v>
      </c>
      <c r="BB72" s="216"/>
      <c r="BC72" s="216"/>
      <c r="BD72" s="216"/>
      <c r="BE72" s="216"/>
      <c r="BF72" s="216"/>
      <c r="BG72" s="216"/>
      <c r="BH72" s="227">
        <f>COUNTIFS(
    estq[empresa], BH$6,
    estq[Data da venda / reserva], "&gt;=" &amp; $A72,
    estq[Data da venda / reserva], "&lt;"  &amp; EOMONTH($A72,0) + 1
)</f>
        <v>0</v>
      </c>
      <c r="BI72" s="228">
        <f ca="1">SUMIFS(rec.uni[2026-10-01],
INDIRECT("rec.uni[natureza]"),"pro.soluto",
INDIRECT("rec.uni[empresa]"),BI$6)</f>
        <v>0</v>
      </c>
      <c r="BJ72" s="228">
        <f ca="1">SUMIFS(rec.uni[2026-10-01],
INDIRECT("rec.uni[natureza]"),"repasse.cef.obra",
INDIRECT("rec.uni[empresa]"),BJ$6)</f>
        <v>0</v>
      </c>
      <c r="BK72" s="231">
        <f ca="1">SUMIFS(rec.uni[2026-10-01],
INDIRECT("rec.uni[natureza]"),"repasse.cef.terreno",
INDIRECT("rec.uni[empresa]"),BK$6)</f>
        <v>0</v>
      </c>
      <c r="BL72" s="232"/>
      <c r="BM72" s="228">
        <f ca="1">SUMIFS(rec.uni[2026-10-01],
INDIRECT("rec.uni[natureza]"),"taxa.extra",
INDIRECT("rec.uni[empresa]"),BM$6)</f>
        <v>0</v>
      </c>
      <c r="BN72" s="216"/>
      <c r="BO72" s="216"/>
      <c r="BP72" s="216"/>
      <c r="BQ72" s="216"/>
      <c r="BR72" s="216"/>
      <c r="BS72" s="216"/>
      <c r="BT72" s="227">
        <f>COUNTIFS(
    estq[empresa], BT$6,
    estq[Data da venda / reserva], "&gt;=" &amp; $A72,
    estq[Data da venda / reserva], "&lt;"  &amp; EOMONTH($A72,0) + 1
)</f>
        <v>0</v>
      </c>
      <c r="BU72" s="228">
        <f ca="1">SUMIFS(rec.uni[2026-10-01],
INDIRECT("rec.uni[natureza]"),"pro.soluto",
INDIRECT("rec.uni[empresa]"),BU$6)</f>
        <v>0</v>
      </c>
      <c r="BV72" s="228">
        <f ca="1">SUMIFS(rec.uni[2026-10-01],
INDIRECT("rec.uni[natureza]"),"repasse.cef.obra",
INDIRECT("rec.uni[empresa]"),BV$6)</f>
        <v>0</v>
      </c>
      <c r="BW72" s="231">
        <f ca="1">SUMIFS(rec.uni[2026-10-01],
INDIRECT("rec.uni[natureza]"),"repasse.cef.terreno",
INDIRECT("rec.uni[empresa]"),BW$6)</f>
        <v>0</v>
      </c>
      <c r="BX72" s="232"/>
      <c r="BY72" s="228">
        <f ca="1">SUMIFS(rec.uni[2026-10-01],
INDIRECT("rec.uni[natureza]"),"taxa.extra",
INDIRECT("rec.uni[empresa]"),BY$6)</f>
        <v>0</v>
      </c>
      <c r="BZ72" s="216"/>
      <c r="CA72" s="216"/>
      <c r="CB72" s="216"/>
      <c r="CC72" s="216"/>
      <c r="CD72" s="216"/>
      <c r="CE72" s="216"/>
    </row>
    <row r="73" spans="1:83" x14ac:dyDescent="0.25">
      <c r="A73" s="226">
        <v>46327</v>
      </c>
      <c r="B73" s="227">
        <f>COUNTIFS(
    estq[empresa], B$6,
    estq[Data da venda / reserva], "&gt;=" &amp; $A73,
    estq[Data da venda / reserva], "&lt;"  &amp; EOMONTH($A73,0) + 1
)</f>
        <v>0</v>
      </c>
      <c r="C73" s="228">
        <f ca="1">SUMIFS(rec.uni[2026-11-01],
INDIRECT("rec.uni[natureza]"),"pro.soluto",
INDIRECT("rec.uni[empresa]"),C$6)</f>
        <v>0</v>
      </c>
      <c r="D73" s="228">
        <f ca="1">SUMIFS(rec.uni[2026-11-01],
INDIRECT("rec.uni[natureza]"),"repasse.cef.obra",
INDIRECT("rec.uni[empresa]"),D$6)</f>
        <v>0</v>
      </c>
      <c r="E73" s="228">
        <f ca="1">SUMIFS(rec.uni[2026-11-01],
INDIRECT("rec.uni[natureza]"),"repasse.cef.terreno",
INDIRECT("rec.uni[empresa]"),E$6)</f>
        <v>0</v>
      </c>
      <c r="F73" s="232"/>
      <c r="G73" s="228">
        <f ca="1">SUMIFS(rec.uni[2026-11-01],
INDIRECT("rec.uni[natureza]"),"taxa.extra",
INDIRECT("rec.uni[empresa]"),G$6)</f>
        <v>0</v>
      </c>
      <c r="H73" s="216"/>
      <c r="I73" s="216"/>
      <c r="J73" s="216"/>
      <c r="K73" s="216"/>
      <c r="L73" s="216"/>
      <c r="M73" s="216"/>
      <c r="N73" s="227">
        <f>COUNTIFS(
    estq[empresa], N$6,
    estq[Data da venda / reserva], "&gt;=" &amp; $A73,
    estq[Data da venda / reserva], "&lt;"  &amp; EOMONTH($A73,0) + 1
)</f>
        <v>0</v>
      </c>
      <c r="O73" s="228">
        <f ca="1">SUMIFS(rec.uni[2026-11-01],
INDIRECT("rec.uni[natureza]"),"pro.soluto",
INDIRECT("rec.uni[empresa]"),O$6)</f>
        <v>0</v>
      </c>
      <c r="P73" s="228">
        <f ca="1">SUMIFS(rec.uni[2026-11-01],
INDIRECT("rec.uni[natureza]"),"repasse.cef.obra",
INDIRECT("rec.uni[empresa]"),P$6)</f>
        <v>0</v>
      </c>
      <c r="Q73" s="228">
        <f ca="1">SUMIFS(rec.uni[2026-11-01],
INDIRECT("rec.uni[natureza]"),"repasse.cef.terreno",
INDIRECT("rec.uni[empresa]"),Q$6)</f>
        <v>0</v>
      </c>
      <c r="R73" s="232"/>
      <c r="S73" s="228">
        <f ca="1">SUMIFS(rec.uni[2026-11-01],
INDIRECT("rec.uni[natureza]"),"taxa.extra",
INDIRECT("rec.uni[empresa]"),S$6)</f>
        <v>0</v>
      </c>
      <c r="T73" s="216"/>
      <c r="U73" s="216"/>
      <c r="V73" s="216"/>
      <c r="W73" s="216"/>
      <c r="X73" s="216"/>
      <c r="Y73" s="216"/>
      <c r="Z73" s="227">
        <f>COUNTIFS(
    estq[empresa], Z$6,
    estq[Data da venda / reserva], "&gt;=" &amp; $A73,
    estq[Data da venda / reserva], "&lt;"  &amp; EOMONTH($A73,0) + 1
)</f>
        <v>0</v>
      </c>
      <c r="AA73" s="228">
        <f ca="1">SUMIFS(rec.uni[2026-11-01],
INDIRECT("rec.uni[natureza]"),"pro.soluto",
INDIRECT("rec.uni[empresa]"),AA$6)</f>
        <v>0</v>
      </c>
      <c r="AB73" s="228">
        <f ca="1">SUMIFS(rec.uni[2026-11-01],
INDIRECT("rec.uni[natureza]"),"repasse.cef.obra",
INDIRECT("rec.uni[empresa]"),AB$6)</f>
        <v>0</v>
      </c>
      <c r="AC73" s="231">
        <f ca="1">SUMIFS(rec.uni[2026-11-01],
INDIRECT("rec.uni[natureza]"),"repasse.cef.terreno",
INDIRECT("rec.uni[empresa]"),AC$6)</f>
        <v>0</v>
      </c>
      <c r="AD73" s="232"/>
      <c r="AE73" s="228">
        <f ca="1">SUMIFS(rec.uni[2026-11-01],
INDIRECT("rec.uni[natureza]"),"taxa.extra",
INDIRECT("rec.uni[empresa]"),AE$6)</f>
        <v>0</v>
      </c>
      <c r="AF73" s="216"/>
      <c r="AG73" s="216"/>
      <c r="AH73" s="216"/>
      <c r="AI73" s="216"/>
      <c r="AJ73" s="216"/>
      <c r="AK73" s="216"/>
      <c r="AL73" s="227">
        <f>COUNTIFS(
    estq[empresa], AL$6,
    estq[Data da venda / reserva], "&gt;=" &amp; $A73,
    estq[Data da venda / reserva], "&lt;"  &amp; EOMONTH($A73,0) + 1
)</f>
        <v>0</v>
      </c>
      <c r="AM73" s="228">
        <f ca="1">SUMIFS(rec.uni[2026-11-01],
INDIRECT("rec.uni[natureza]"),"pro.soluto",
INDIRECT("rec.uni[empresa]"),AM$6)</f>
        <v>0</v>
      </c>
      <c r="AN73" s="228">
        <f ca="1">SUMIFS(rec.uni[2026-11-01],
INDIRECT("rec.uni[natureza]"),"repasse.cef.obra",
INDIRECT("rec.uni[empresa]"),AN$6)</f>
        <v>0</v>
      </c>
      <c r="AO73" s="231">
        <f ca="1">SUMIFS(rec.uni[2026-11-01],
INDIRECT("rec.uni[natureza]"),"repasse.cef.terreno",
INDIRECT("rec.uni[empresa]"),AO$6)</f>
        <v>0</v>
      </c>
      <c r="AP73" s="232"/>
      <c r="AQ73" s="228">
        <f ca="1">SUMIFS(rec.uni[2026-11-01],
INDIRECT("rec.uni[natureza]"),"taxa.extra",
INDIRECT("rec.uni[empresa]"),AQ$6)</f>
        <v>0</v>
      </c>
      <c r="AR73" s="216"/>
      <c r="AS73" s="216"/>
      <c r="AT73" s="216"/>
      <c r="AU73" s="216"/>
      <c r="AV73" s="216"/>
      <c r="AW73" s="216"/>
      <c r="AX73" s="227">
        <f>COUNTIFS(
    estq[empresa], AX$6,
    estq[Data da venda / reserva], "&gt;=" &amp; $A73,
    estq[Data da venda / reserva], "&lt;"  &amp; EOMONTH($A73,0) + 1
)</f>
        <v>0</v>
      </c>
      <c r="AY73" s="228">
        <f ca="1">SUMIFS(rec.uni[2026-11-01],
INDIRECT("rec.uni[natureza]"),"pro.soluto",
INDIRECT("rec.uni[empresa]"),AY$6)</f>
        <v>0</v>
      </c>
      <c r="AZ73" s="232">
        <f ca="1">SUMIFS(rec.uni[2026-11-01],
INDIRECT("rec.uni[natureza]"),"parcela.fin.total.ik",
INDIRECT("rec.uni[empresa]"),AZ$6)</f>
        <v>0</v>
      </c>
      <c r="BA73" s="228">
        <f ca="1">SUMIFS(rec.uni[2026-11-01],
INDIRECT("rec.uni[natureza]"),"taxa.extra",
INDIRECT("rec.uni[empresa]"),BA$6)</f>
        <v>0</v>
      </c>
      <c r="BB73" s="216"/>
      <c r="BC73" s="216"/>
      <c r="BD73" s="216"/>
      <c r="BE73" s="216"/>
      <c r="BF73" s="216"/>
      <c r="BG73" s="216"/>
      <c r="BH73" s="227">
        <f>COUNTIFS(
    estq[empresa], BH$6,
    estq[Data da venda / reserva], "&gt;=" &amp; $A73,
    estq[Data da venda / reserva], "&lt;"  &amp; EOMONTH($A73,0) + 1
)</f>
        <v>0</v>
      </c>
      <c r="BI73" s="228">
        <f ca="1">SUMIFS(rec.uni[2026-11-01],
INDIRECT("rec.uni[natureza]"),"pro.soluto",
INDIRECT("rec.uni[empresa]"),BI$6)</f>
        <v>0</v>
      </c>
      <c r="BJ73" s="228">
        <f ca="1">SUMIFS(rec.uni[2026-11-01],
INDIRECT("rec.uni[natureza]"),"repasse.cef.obra",
INDIRECT("rec.uni[empresa]"),BJ$6)</f>
        <v>0</v>
      </c>
      <c r="BK73" s="231">
        <f ca="1">SUMIFS(rec.uni[2026-11-01],
INDIRECT("rec.uni[natureza]"),"repasse.cef.terreno",
INDIRECT("rec.uni[empresa]"),BK$6)</f>
        <v>0</v>
      </c>
      <c r="BL73" s="232"/>
      <c r="BM73" s="228">
        <f ca="1">SUMIFS(rec.uni[2026-11-01],
INDIRECT("rec.uni[natureza]"),"taxa.extra",
INDIRECT("rec.uni[empresa]"),BM$6)</f>
        <v>0</v>
      </c>
      <c r="BN73" s="216"/>
      <c r="BO73" s="216"/>
      <c r="BP73" s="216"/>
      <c r="BQ73" s="216"/>
      <c r="BR73" s="216"/>
      <c r="BS73" s="216"/>
      <c r="BT73" s="227">
        <f>COUNTIFS(
    estq[empresa], BT$6,
    estq[Data da venda / reserva], "&gt;=" &amp; $A73,
    estq[Data da venda / reserva], "&lt;"  &amp; EOMONTH($A73,0) + 1
)</f>
        <v>0</v>
      </c>
      <c r="BU73" s="228">
        <f ca="1">SUMIFS(rec.uni[2026-11-01],
INDIRECT("rec.uni[natureza]"),"pro.soluto",
INDIRECT("rec.uni[empresa]"),BU$6)</f>
        <v>0</v>
      </c>
      <c r="BV73" s="228">
        <f ca="1">SUMIFS(rec.uni[2026-11-01],
INDIRECT("rec.uni[natureza]"),"repasse.cef.obra",
INDIRECT("rec.uni[empresa]"),BV$6)</f>
        <v>0</v>
      </c>
      <c r="BW73" s="231">
        <f ca="1">SUMIFS(rec.uni[2026-11-01],
INDIRECT("rec.uni[natureza]"),"repasse.cef.terreno",
INDIRECT("rec.uni[empresa]"),BW$6)</f>
        <v>0</v>
      </c>
      <c r="BX73" s="232"/>
      <c r="BY73" s="228">
        <f ca="1">SUMIFS(rec.uni[2026-11-01],
INDIRECT("rec.uni[natureza]"),"taxa.extra",
INDIRECT("rec.uni[empresa]"),BY$6)</f>
        <v>0</v>
      </c>
      <c r="BZ73" s="216"/>
      <c r="CA73" s="216"/>
      <c r="CB73" s="216"/>
      <c r="CC73" s="216"/>
      <c r="CD73" s="216"/>
      <c r="CE73" s="216"/>
    </row>
    <row r="74" spans="1:83" x14ac:dyDescent="0.25">
      <c r="A74" s="226">
        <v>46357</v>
      </c>
      <c r="B74" s="227">
        <f>COUNTIFS(
    estq[empresa], B$6,
    estq[Data da venda / reserva], "&gt;=" &amp; $A74,
    estq[Data da venda / reserva], "&lt;"  &amp; EOMONTH($A74,0) + 1
)</f>
        <v>0</v>
      </c>
      <c r="C74" s="228">
        <f ca="1">SUMIFS(rec.uni[2026-12-01],
INDIRECT("rec.uni[natureza]"),"pro.soluto",
INDIRECT("rec.uni[empresa]"),C$6)</f>
        <v>0</v>
      </c>
      <c r="D74" s="228">
        <f ca="1">SUMIFS(rec.uni[2026-12-01],
INDIRECT("rec.uni[natureza]"),"repasse.cef.obra",
INDIRECT("rec.uni[empresa]"),D$6)</f>
        <v>0</v>
      </c>
      <c r="E74" s="228">
        <f ca="1">SUMIFS(rec.uni[2026-12-01],
INDIRECT("rec.uni[natureza]"),"repasse.cef.terreno",
INDIRECT("rec.uni[empresa]"),E$6)</f>
        <v>0</v>
      </c>
      <c r="F74" s="232"/>
      <c r="G74" s="228">
        <f ca="1">SUMIFS(rec.uni[2026-12-01],
INDIRECT("rec.uni[natureza]"),"taxa.extra",
INDIRECT("rec.uni[empresa]"),G$6)</f>
        <v>0</v>
      </c>
      <c r="H74" s="216"/>
      <c r="I74" s="216"/>
      <c r="J74" s="216"/>
      <c r="K74" s="216"/>
      <c r="L74" s="216"/>
      <c r="M74" s="216"/>
      <c r="N74" s="227">
        <f>COUNTIFS(
    estq[empresa], N$6,
    estq[Data da venda / reserva], "&gt;=" &amp; $A74,
    estq[Data da venda / reserva], "&lt;"  &amp; EOMONTH($A74,0) + 1
)</f>
        <v>0</v>
      </c>
      <c r="O74" s="228">
        <f ca="1">SUMIFS(rec.uni[2026-12-01],
INDIRECT("rec.uni[natureza]"),"pro.soluto",
INDIRECT("rec.uni[empresa]"),O$6)</f>
        <v>0</v>
      </c>
      <c r="P74" s="228">
        <f ca="1">SUMIFS(rec.uni[2026-12-01],
INDIRECT("rec.uni[natureza]"),"repasse.cef.obra",
INDIRECT("rec.uni[empresa]"),P$6)</f>
        <v>0</v>
      </c>
      <c r="Q74" s="228">
        <f ca="1">SUMIFS(rec.uni[2026-12-01],
INDIRECT("rec.uni[natureza]"),"repasse.cef.terreno",
INDIRECT("rec.uni[empresa]"),Q$6)</f>
        <v>0</v>
      </c>
      <c r="R74" s="232"/>
      <c r="S74" s="228">
        <f ca="1">SUMIFS(rec.uni[2026-12-01],
INDIRECT("rec.uni[natureza]"),"taxa.extra",
INDIRECT("rec.uni[empresa]"),S$6)</f>
        <v>0</v>
      </c>
      <c r="T74" s="216"/>
      <c r="U74" s="216"/>
      <c r="V74" s="216"/>
      <c r="W74" s="216"/>
      <c r="X74" s="216"/>
      <c r="Y74" s="216"/>
      <c r="Z74" s="227">
        <f>COUNTIFS(
    estq[empresa], Z$6,
    estq[Data da venda / reserva], "&gt;=" &amp; $A74,
    estq[Data da venda / reserva], "&lt;"  &amp; EOMONTH($A74,0) + 1
)</f>
        <v>0</v>
      </c>
      <c r="AA74" s="228">
        <f ca="1">SUMIFS(rec.uni[2026-12-01],
INDIRECT("rec.uni[natureza]"),"pro.soluto",
INDIRECT("rec.uni[empresa]"),AA$6)</f>
        <v>0</v>
      </c>
      <c r="AB74" s="228">
        <f ca="1">SUMIFS(rec.uni[2026-12-01],
INDIRECT("rec.uni[natureza]"),"repasse.cef.obra",
INDIRECT("rec.uni[empresa]"),AB$6)</f>
        <v>0</v>
      </c>
      <c r="AC74" s="231">
        <f ca="1">SUMIFS(rec.uni[2026-12-01],
INDIRECT("rec.uni[natureza]"),"repasse.cef.terreno",
INDIRECT("rec.uni[empresa]"),AC$6)</f>
        <v>0</v>
      </c>
      <c r="AD74" s="232"/>
      <c r="AE74" s="228">
        <f ca="1">SUMIFS(rec.uni[2026-12-01],
INDIRECT("rec.uni[natureza]"),"taxa.extra",
INDIRECT("rec.uni[empresa]"),AE$6)</f>
        <v>0</v>
      </c>
      <c r="AF74" s="216"/>
      <c r="AG74" s="216"/>
      <c r="AH74" s="216"/>
      <c r="AI74" s="216"/>
      <c r="AJ74" s="216"/>
      <c r="AK74" s="216"/>
      <c r="AL74" s="227">
        <f>COUNTIFS(
    estq[empresa], AL$6,
    estq[Data da venda / reserva], "&gt;=" &amp; $A74,
    estq[Data da venda / reserva], "&lt;"  &amp; EOMONTH($A74,0) + 1
)</f>
        <v>0</v>
      </c>
      <c r="AM74" s="228">
        <f ca="1">SUMIFS(rec.uni[2026-12-01],
INDIRECT("rec.uni[natureza]"),"pro.soluto",
INDIRECT("rec.uni[empresa]"),AM$6)</f>
        <v>0</v>
      </c>
      <c r="AN74" s="228">
        <f ca="1">SUMIFS(rec.uni[2026-12-01],
INDIRECT("rec.uni[natureza]"),"repasse.cef.obra",
INDIRECT("rec.uni[empresa]"),AN$6)</f>
        <v>0</v>
      </c>
      <c r="AO74" s="231">
        <f ca="1">SUMIFS(rec.uni[2026-12-01],
INDIRECT("rec.uni[natureza]"),"repasse.cef.terreno",
INDIRECT("rec.uni[empresa]"),AO$6)</f>
        <v>0</v>
      </c>
      <c r="AP74" s="232"/>
      <c r="AQ74" s="228">
        <f ca="1">SUMIFS(rec.uni[2026-12-01],
INDIRECT("rec.uni[natureza]"),"taxa.extra",
INDIRECT("rec.uni[empresa]"),AQ$6)</f>
        <v>0</v>
      </c>
      <c r="AR74" s="216"/>
      <c r="AS74" s="216"/>
      <c r="AT74" s="216"/>
      <c r="AU74" s="216"/>
      <c r="AV74" s="216"/>
      <c r="AW74" s="216"/>
      <c r="AX74" s="227">
        <f>COUNTIFS(
    estq[empresa], AX$6,
    estq[Data da venda / reserva], "&gt;=" &amp; $A74,
    estq[Data da venda / reserva], "&lt;"  &amp; EOMONTH($A74,0) + 1
)</f>
        <v>0</v>
      </c>
      <c r="AY74" s="228">
        <f ca="1">SUMIFS(rec.uni[2026-12-01],
INDIRECT("rec.uni[natureza]"),"pro.soluto",
INDIRECT("rec.uni[empresa]"),AY$6)</f>
        <v>0</v>
      </c>
      <c r="AZ74" s="232">
        <f ca="1">SUMIFS(rec.uni[2026-12-01],
INDIRECT("rec.uni[natureza]"),"parcela.fin.total.ik",
INDIRECT("rec.uni[empresa]"),AZ$6)</f>
        <v>0</v>
      </c>
      <c r="BA74" s="228">
        <f ca="1">SUMIFS(rec.uni[2026-12-01],
INDIRECT("rec.uni[natureza]"),"taxa.extra",
INDIRECT("rec.uni[empresa]"),BA$6)</f>
        <v>0</v>
      </c>
      <c r="BB74" s="216"/>
      <c r="BC74" s="216"/>
      <c r="BD74" s="216"/>
      <c r="BE74" s="216"/>
      <c r="BF74" s="216"/>
      <c r="BG74" s="216"/>
      <c r="BH74" s="227">
        <f>COUNTIFS(
    estq[empresa], BH$6,
    estq[Data da venda / reserva], "&gt;=" &amp; $A74,
    estq[Data da venda / reserva], "&lt;"  &amp; EOMONTH($A74,0) + 1
)</f>
        <v>0</v>
      </c>
      <c r="BI74" s="228">
        <f ca="1">SUMIFS(rec.uni[2026-12-01],
INDIRECT("rec.uni[natureza]"),"pro.soluto",
INDIRECT("rec.uni[empresa]"),BI$6)</f>
        <v>0</v>
      </c>
      <c r="BJ74" s="228">
        <f ca="1">SUMIFS(rec.uni[2026-12-01],
INDIRECT("rec.uni[natureza]"),"repasse.cef.obra",
INDIRECT("rec.uni[empresa]"),BJ$6)</f>
        <v>0</v>
      </c>
      <c r="BK74" s="231">
        <f ca="1">SUMIFS(rec.uni[2026-12-01],
INDIRECT("rec.uni[natureza]"),"repasse.cef.terreno",
INDIRECT("rec.uni[empresa]"),BK$6)</f>
        <v>0</v>
      </c>
      <c r="BL74" s="232"/>
      <c r="BM74" s="228">
        <f ca="1">SUMIFS(rec.uni[2026-12-01],
INDIRECT("rec.uni[natureza]"),"taxa.extra",
INDIRECT("rec.uni[empresa]"),BM$6)</f>
        <v>0</v>
      </c>
      <c r="BN74" s="216"/>
      <c r="BO74" s="216"/>
      <c r="BP74" s="216"/>
      <c r="BQ74" s="216"/>
      <c r="BR74" s="216"/>
      <c r="BS74" s="216"/>
      <c r="BT74" s="227">
        <f>COUNTIFS(
    estq[empresa], BT$6,
    estq[Data da venda / reserva], "&gt;=" &amp; $A74,
    estq[Data da venda / reserva], "&lt;"  &amp; EOMONTH($A74,0) + 1
)</f>
        <v>0</v>
      </c>
      <c r="BU74" s="228">
        <f ca="1">SUMIFS(rec.uni[2026-12-01],
INDIRECT("rec.uni[natureza]"),"pro.soluto",
INDIRECT("rec.uni[empresa]"),BU$6)</f>
        <v>0</v>
      </c>
      <c r="BV74" s="228">
        <f ca="1">SUMIFS(rec.uni[2026-12-01],
INDIRECT("rec.uni[natureza]"),"repasse.cef.obra",
INDIRECT("rec.uni[empresa]"),BV$6)</f>
        <v>0</v>
      </c>
      <c r="BW74" s="231">
        <f ca="1">SUMIFS(rec.uni[2026-12-01],
INDIRECT("rec.uni[natureza]"),"repasse.cef.terreno",
INDIRECT("rec.uni[empresa]"),BW$6)</f>
        <v>0</v>
      </c>
      <c r="BX74" s="232"/>
      <c r="BY74" s="228">
        <f ca="1">SUMIFS(rec.uni[2026-12-01],
INDIRECT("rec.uni[natureza]"),"taxa.extra",
INDIRECT("rec.uni[empresa]"),BY$6)</f>
        <v>0</v>
      </c>
      <c r="BZ74" s="216"/>
      <c r="CA74" s="216"/>
      <c r="CB74" s="216"/>
      <c r="CC74" s="216"/>
      <c r="CD74" s="216"/>
      <c r="CE74" s="216"/>
    </row>
    <row r="75" spans="1:83" x14ac:dyDescent="0.25">
      <c r="A75" s="226">
        <v>46388</v>
      </c>
      <c r="B75" s="227">
        <f>COUNTIFS(
    estq[empresa], B$6,
    estq[Data da venda / reserva], "&gt;=" &amp; $A75,
    estq[Data da venda / reserva], "&lt;"  &amp; EOMONTH($A75,0) + 1
)</f>
        <v>0</v>
      </c>
      <c r="C75" s="228">
        <f ca="1">SUMIFS(rec.uni[2027-01-01],
INDIRECT("rec.uni[natureza]"),"pro.soluto",
INDIRECT("rec.uni[empresa]"),C$6)</f>
        <v>0</v>
      </c>
      <c r="D75" s="228">
        <f ca="1">SUMIFS(rec.uni[2027-01-01],
INDIRECT("rec.uni[natureza]"),"repasse.cef.obra",
INDIRECT("rec.uni[empresa]"),D$6)</f>
        <v>0</v>
      </c>
      <c r="E75" s="228">
        <f ca="1">SUMIFS(rec.uni[2027-01-01],
INDIRECT("rec.uni[natureza]"),"repasse.cef.terreno",
INDIRECT("rec.uni[empresa]"),E$6)</f>
        <v>0</v>
      </c>
      <c r="F75" s="232"/>
      <c r="G75" s="228">
        <f ca="1">SUMIFS(rec.uni[2027-01-01],
INDIRECT("rec.uni[natureza]"),"taxa.extra",
INDIRECT("rec.uni[empresa]"),G$6)</f>
        <v>0</v>
      </c>
      <c r="H75" s="216"/>
      <c r="I75" s="216"/>
      <c r="J75" s="216"/>
      <c r="K75" s="216"/>
      <c r="L75" s="216"/>
      <c r="M75" s="216"/>
      <c r="N75" s="227">
        <f>COUNTIFS(
    estq[empresa], N$6,
    estq[Data da venda / reserva], "&gt;=" &amp; $A75,
    estq[Data da venda / reserva], "&lt;"  &amp; EOMONTH($A75,0) + 1
)</f>
        <v>0</v>
      </c>
      <c r="O75" s="228">
        <f ca="1">SUMIFS(rec.uni[2027-01-01],
INDIRECT("rec.uni[natureza]"),"pro.soluto",
INDIRECT("rec.uni[empresa]"),O$6)</f>
        <v>0</v>
      </c>
      <c r="P75" s="228">
        <f ca="1">SUMIFS(rec.uni[2027-01-01],
INDIRECT("rec.uni[natureza]"),"repasse.cef.obra",
INDIRECT("rec.uni[empresa]"),P$6)</f>
        <v>0</v>
      </c>
      <c r="Q75" s="228">
        <f ca="1">SUMIFS(rec.uni[2027-01-01],
INDIRECT("rec.uni[natureza]"),"repasse.cef.terreno",
INDIRECT("rec.uni[empresa]"),Q$6)</f>
        <v>0</v>
      </c>
      <c r="R75" s="232"/>
      <c r="S75" s="228">
        <f ca="1">SUMIFS(rec.uni[2027-01-01],
INDIRECT("rec.uni[natureza]"),"taxa.extra",
INDIRECT("rec.uni[empresa]"),S$6)</f>
        <v>0</v>
      </c>
      <c r="T75" s="216"/>
      <c r="U75" s="216"/>
      <c r="V75" s="216"/>
      <c r="W75" s="216"/>
      <c r="X75" s="216"/>
      <c r="Y75" s="216"/>
      <c r="Z75" s="227">
        <f>COUNTIFS(
    estq[empresa], Z$6,
    estq[Data da venda / reserva], "&gt;=" &amp; $A75,
    estq[Data da venda / reserva], "&lt;"  &amp; EOMONTH($A75,0) + 1
)</f>
        <v>0</v>
      </c>
      <c r="AA75" s="228">
        <f ca="1">SUMIFS(rec.uni[2027-01-01],
INDIRECT("rec.uni[natureza]"),"pro.soluto",
INDIRECT("rec.uni[empresa]"),AA$6)</f>
        <v>0</v>
      </c>
      <c r="AB75" s="228">
        <f ca="1">SUMIFS(rec.uni[2027-01-01],
INDIRECT("rec.uni[natureza]"),"repasse.cef.obra",
INDIRECT("rec.uni[empresa]"),AB$6)</f>
        <v>0</v>
      </c>
      <c r="AC75" s="231">
        <f ca="1">SUMIFS(rec.uni[2027-01-01],
INDIRECT("rec.uni[natureza]"),"repasse.cef.terreno",
INDIRECT("rec.uni[empresa]"),AC$6)</f>
        <v>0</v>
      </c>
      <c r="AD75" s="232"/>
      <c r="AE75" s="228">
        <f ca="1">SUMIFS(rec.uni[2027-01-01],
INDIRECT("rec.uni[natureza]"),"taxa.extra",
INDIRECT("rec.uni[empresa]"),AE$6)</f>
        <v>0</v>
      </c>
      <c r="AF75" s="216"/>
      <c r="AG75" s="216"/>
      <c r="AH75" s="216"/>
      <c r="AI75" s="216"/>
      <c r="AJ75" s="216"/>
      <c r="AK75" s="216"/>
      <c r="AL75" s="227">
        <f>COUNTIFS(
    estq[empresa], AL$6,
    estq[Data da venda / reserva], "&gt;=" &amp; $A75,
    estq[Data da venda / reserva], "&lt;"  &amp; EOMONTH($A75,0) + 1
)</f>
        <v>0</v>
      </c>
      <c r="AM75" s="228">
        <f ca="1">SUMIFS(rec.uni[2027-01-01],
INDIRECT("rec.uni[natureza]"),"pro.soluto",
INDIRECT("rec.uni[empresa]"),AM$6)</f>
        <v>0</v>
      </c>
      <c r="AN75" s="228">
        <f ca="1">SUMIFS(rec.uni[2027-01-01],
INDIRECT("rec.uni[natureza]"),"repasse.cef.obra",
INDIRECT("rec.uni[empresa]"),AN$6)</f>
        <v>0</v>
      </c>
      <c r="AO75" s="231">
        <f ca="1">SUMIFS(rec.uni[2027-01-01],
INDIRECT("rec.uni[natureza]"),"repasse.cef.terreno",
INDIRECT("rec.uni[empresa]"),AO$6)</f>
        <v>0</v>
      </c>
      <c r="AP75" s="232"/>
      <c r="AQ75" s="228">
        <f ca="1">SUMIFS(rec.uni[2027-01-01],
INDIRECT("rec.uni[natureza]"),"taxa.extra",
INDIRECT("rec.uni[empresa]"),AQ$6)</f>
        <v>0</v>
      </c>
      <c r="AR75" s="216"/>
      <c r="AS75" s="216"/>
      <c r="AT75" s="216"/>
      <c r="AU75" s="216"/>
      <c r="AV75" s="216"/>
      <c r="AW75" s="216"/>
      <c r="AX75" s="227">
        <f>COUNTIFS(
    estq[empresa], AX$6,
    estq[Data da venda / reserva], "&gt;=" &amp; $A75,
    estq[Data da venda / reserva], "&lt;"  &amp; EOMONTH($A75,0) + 1
)</f>
        <v>0</v>
      </c>
      <c r="AY75" s="228">
        <f ca="1">SUMIFS(rec.uni[2027-01-01],
INDIRECT("rec.uni[natureza]"),"pro.soluto",
INDIRECT("rec.uni[empresa]"),AY$6)</f>
        <v>0</v>
      </c>
      <c r="AZ75" s="232">
        <f ca="1">SUMIFS(rec.uni[2027-01-01],
INDIRECT("rec.uni[natureza]"),"parcela.fin.total.ik",
INDIRECT("rec.uni[empresa]"),AZ$6)</f>
        <v>0</v>
      </c>
      <c r="BA75" s="228">
        <f ca="1">SUMIFS(rec.uni[2027-01-01],
INDIRECT("rec.uni[natureza]"),"taxa.extra",
INDIRECT("rec.uni[empresa]"),BA$6)</f>
        <v>0</v>
      </c>
      <c r="BB75" s="216"/>
      <c r="BC75" s="216"/>
      <c r="BD75" s="216"/>
      <c r="BE75" s="216"/>
      <c r="BF75" s="216"/>
      <c r="BG75" s="216"/>
      <c r="BH75" s="227">
        <f>COUNTIFS(
    estq[empresa], BH$6,
    estq[Data da venda / reserva], "&gt;=" &amp; $A75,
    estq[Data da venda / reserva], "&lt;"  &amp; EOMONTH($A75,0) + 1
)</f>
        <v>0</v>
      </c>
      <c r="BI75" s="228">
        <f ca="1">SUMIFS(rec.uni[2027-01-01],
INDIRECT("rec.uni[natureza]"),"pro.soluto",
INDIRECT("rec.uni[empresa]"),BI$6)</f>
        <v>0</v>
      </c>
      <c r="BJ75" s="228">
        <f ca="1">SUMIFS(rec.uni[2027-01-01],
INDIRECT("rec.uni[natureza]"),"repasse.cef.obra",
INDIRECT("rec.uni[empresa]"),BJ$6)</f>
        <v>0</v>
      </c>
      <c r="BK75" s="231">
        <f ca="1">SUMIFS(rec.uni[2027-01-01],
INDIRECT("rec.uni[natureza]"),"repasse.cef.terreno",
INDIRECT("rec.uni[empresa]"),BK$6)</f>
        <v>0</v>
      </c>
      <c r="BL75" s="232"/>
      <c r="BM75" s="228">
        <f ca="1">SUMIFS(rec.uni[2027-01-01],
INDIRECT("rec.uni[natureza]"),"taxa.extra",
INDIRECT("rec.uni[empresa]"),BM$6)</f>
        <v>0</v>
      </c>
      <c r="BN75" s="216"/>
      <c r="BO75" s="216"/>
      <c r="BP75" s="216"/>
      <c r="BQ75" s="216"/>
      <c r="BR75" s="216"/>
      <c r="BS75" s="216"/>
      <c r="BT75" s="227">
        <f>COUNTIFS(
    estq[empresa], BT$6,
    estq[Data da venda / reserva], "&gt;=" &amp; $A75,
    estq[Data da venda / reserva], "&lt;"  &amp; EOMONTH($A75,0) + 1
)</f>
        <v>0</v>
      </c>
      <c r="BU75" s="228">
        <f ca="1">SUMIFS(rec.uni[2027-01-01],
INDIRECT("rec.uni[natureza]"),"pro.soluto",
INDIRECT("rec.uni[empresa]"),BU$6)</f>
        <v>0</v>
      </c>
      <c r="BV75" s="228">
        <f ca="1">SUMIFS(rec.uni[2027-01-01],
INDIRECT("rec.uni[natureza]"),"repasse.cef.obra",
INDIRECT("rec.uni[empresa]"),BV$6)</f>
        <v>0</v>
      </c>
      <c r="BW75" s="231">
        <f ca="1">SUMIFS(rec.uni[2027-01-01],
INDIRECT("rec.uni[natureza]"),"repasse.cef.terreno",
INDIRECT("rec.uni[empresa]"),BW$6)</f>
        <v>0</v>
      </c>
      <c r="BX75" s="232"/>
      <c r="BY75" s="228">
        <f ca="1">SUMIFS(rec.uni[2027-01-01],
INDIRECT("rec.uni[natureza]"),"taxa.extra",
INDIRECT("rec.uni[empresa]"),BY$6)</f>
        <v>0</v>
      </c>
      <c r="BZ75" s="216"/>
      <c r="CA75" s="216"/>
      <c r="CB75" s="216"/>
      <c r="CC75" s="216"/>
      <c r="CD75" s="216"/>
      <c r="CE75" s="216"/>
    </row>
    <row r="76" spans="1:83" x14ac:dyDescent="0.25">
      <c r="A76" s="226">
        <v>46419</v>
      </c>
      <c r="B76" s="227">
        <f>COUNTIFS(
    estq[empresa], B$6,
    estq[Data da venda / reserva], "&gt;=" &amp; $A76,
    estq[Data da venda / reserva], "&lt;"  &amp; EOMONTH($A76,0) + 1
)</f>
        <v>0</v>
      </c>
      <c r="C76" s="228">
        <f ca="1">SUMIFS(rec.uni[2027-02-01],
INDIRECT("rec.uni[natureza]"),"pro.soluto",
INDIRECT("rec.uni[empresa]"),C$6)</f>
        <v>0</v>
      </c>
      <c r="D76" s="228">
        <f ca="1">SUMIFS(rec.uni[2027-02-01],
INDIRECT("rec.uni[natureza]"),"repasse.cef.obra",
INDIRECT("rec.uni[empresa]"),D$6)</f>
        <v>0</v>
      </c>
      <c r="E76" s="228">
        <f ca="1">SUMIFS(rec.uni[2027-02-01],
INDIRECT("rec.uni[natureza]"),"repasse.cef.terreno",
INDIRECT("rec.uni[empresa]"),E$6)</f>
        <v>0</v>
      </c>
      <c r="F76" s="232"/>
      <c r="G76" s="228">
        <f ca="1">SUMIFS(rec.uni[2027-02-01],
INDIRECT("rec.uni[natureza]"),"taxa.extra",
INDIRECT("rec.uni[empresa]"),G$6)</f>
        <v>0</v>
      </c>
      <c r="H76" s="216"/>
      <c r="I76" s="216"/>
      <c r="J76" s="216"/>
      <c r="K76" s="216"/>
      <c r="L76" s="216"/>
      <c r="M76" s="216"/>
      <c r="N76" s="227">
        <f>COUNTIFS(
    estq[empresa], N$6,
    estq[Data da venda / reserva], "&gt;=" &amp; $A76,
    estq[Data da venda / reserva], "&lt;"  &amp; EOMONTH($A76,0) + 1
)</f>
        <v>0</v>
      </c>
      <c r="O76" s="228">
        <f ca="1">SUMIFS(rec.uni[2027-02-01],
INDIRECT("rec.uni[natureza]"),"pro.soluto",
INDIRECT("rec.uni[empresa]"),O$6)</f>
        <v>0</v>
      </c>
      <c r="P76" s="228">
        <f ca="1">SUMIFS(rec.uni[2027-02-01],
INDIRECT("rec.uni[natureza]"),"repasse.cef.obra",
INDIRECT("rec.uni[empresa]"),P$6)</f>
        <v>0</v>
      </c>
      <c r="Q76" s="228">
        <f ca="1">SUMIFS(rec.uni[2027-02-01],
INDIRECT("rec.uni[natureza]"),"repasse.cef.terreno",
INDIRECT("rec.uni[empresa]"),Q$6)</f>
        <v>0</v>
      </c>
      <c r="R76" s="232"/>
      <c r="S76" s="228">
        <f ca="1">SUMIFS(rec.uni[2027-02-01],
INDIRECT("rec.uni[natureza]"),"taxa.extra",
INDIRECT("rec.uni[empresa]"),S$6)</f>
        <v>0</v>
      </c>
      <c r="T76" s="216"/>
      <c r="U76" s="216"/>
      <c r="V76" s="216"/>
      <c r="W76" s="216"/>
      <c r="X76" s="216"/>
      <c r="Y76" s="216"/>
      <c r="Z76" s="227">
        <f>COUNTIFS(
    estq[empresa], Z$6,
    estq[Data da venda / reserva], "&gt;=" &amp; $A76,
    estq[Data da venda / reserva], "&lt;"  &amp; EOMONTH($A76,0) + 1
)</f>
        <v>0</v>
      </c>
      <c r="AA76" s="228">
        <f ca="1">SUMIFS(rec.uni[2027-02-01],
INDIRECT("rec.uni[natureza]"),"pro.soluto",
INDIRECT("rec.uni[empresa]"),AA$6)</f>
        <v>0</v>
      </c>
      <c r="AB76" s="228">
        <f ca="1">SUMIFS(rec.uni[2027-02-01],
INDIRECT("rec.uni[natureza]"),"repasse.cef.obra",
INDIRECT("rec.uni[empresa]"),AB$6)</f>
        <v>0</v>
      </c>
      <c r="AC76" s="231">
        <f ca="1">SUMIFS(rec.uni[2027-02-01],
INDIRECT("rec.uni[natureza]"),"repasse.cef.terreno",
INDIRECT("rec.uni[empresa]"),AC$6)</f>
        <v>0</v>
      </c>
      <c r="AD76" s="232"/>
      <c r="AE76" s="228">
        <f ca="1">SUMIFS(rec.uni[2027-02-01],
INDIRECT("rec.uni[natureza]"),"taxa.extra",
INDIRECT("rec.uni[empresa]"),AE$6)</f>
        <v>0</v>
      </c>
      <c r="AF76" s="216"/>
      <c r="AG76" s="216"/>
      <c r="AH76" s="216"/>
      <c r="AI76" s="216"/>
      <c r="AJ76" s="216"/>
      <c r="AK76" s="216"/>
      <c r="AL76" s="227">
        <f>COUNTIFS(
    estq[empresa], AL$6,
    estq[Data da venda / reserva], "&gt;=" &amp; $A76,
    estq[Data da venda / reserva], "&lt;"  &amp; EOMONTH($A76,0) + 1
)</f>
        <v>0</v>
      </c>
      <c r="AM76" s="228">
        <f ca="1">SUMIFS(rec.uni[2027-02-01],
INDIRECT("rec.uni[natureza]"),"pro.soluto",
INDIRECT("rec.uni[empresa]"),AM$6)</f>
        <v>0</v>
      </c>
      <c r="AN76" s="228">
        <f ca="1">SUMIFS(rec.uni[2027-02-01],
INDIRECT("rec.uni[natureza]"),"repasse.cef.obra",
INDIRECT("rec.uni[empresa]"),AN$6)</f>
        <v>0</v>
      </c>
      <c r="AO76" s="231">
        <f ca="1">SUMIFS(rec.uni[2027-02-01],
INDIRECT("rec.uni[natureza]"),"repasse.cef.terreno",
INDIRECT("rec.uni[empresa]"),AO$6)</f>
        <v>0</v>
      </c>
      <c r="AP76" s="232"/>
      <c r="AQ76" s="228">
        <f ca="1">SUMIFS(rec.uni[2027-02-01],
INDIRECT("rec.uni[natureza]"),"taxa.extra",
INDIRECT("rec.uni[empresa]"),AQ$6)</f>
        <v>0</v>
      </c>
      <c r="AR76" s="216"/>
      <c r="AS76" s="216"/>
      <c r="AT76" s="216"/>
      <c r="AU76" s="216"/>
      <c r="AV76" s="216"/>
      <c r="AW76" s="216"/>
      <c r="AX76" s="227">
        <f>COUNTIFS(
    estq[empresa], AX$6,
    estq[Data da venda / reserva], "&gt;=" &amp; $A76,
    estq[Data da venda / reserva], "&lt;"  &amp; EOMONTH($A76,0) + 1
)</f>
        <v>0</v>
      </c>
      <c r="AY76" s="228">
        <f ca="1">SUMIFS(rec.uni[2027-02-01],
INDIRECT("rec.uni[natureza]"),"pro.soluto",
INDIRECT("rec.uni[empresa]"),AY$6)</f>
        <v>0</v>
      </c>
      <c r="AZ76" s="232">
        <f ca="1">SUMIFS(rec.uni[2027-02-01],
INDIRECT("rec.uni[natureza]"),"parcela.fin.total.ik",
INDIRECT("rec.uni[empresa]"),AZ$6)</f>
        <v>0</v>
      </c>
      <c r="BA76" s="228">
        <f ca="1">SUMIFS(rec.uni[2027-02-01],
INDIRECT("rec.uni[natureza]"),"taxa.extra",
INDIRECT("rec.uni[empresa]"),BA$6)</f>
        <v>0</v>
      </c>
      <c r="BB76" s="216"/>
      <c r="BC76" s="216"/>
      <c r="BD76" s="216"/>
      <c r="BE76" s="216"/>
      <c r="BF76" s="216"/>
      <c r="BG76" s="216"/>
      <c r="BH76" s="227">
        <f>COUNTIFS(
    estq[empresa], BH$6,
    estq[Data da venda / reserva], "&gt;=" &amp; $A76,
    estq[Data da venda / reserva], "&lt;"  &amp; EOMONTH($A76,0) + 1
)</f>
        <v>0</v>
      </c>
      <c r="BI76" s="228">
        <f ca="1">SUMIFS(rec.uni[2027-02-01],
INDIRECT("rec.uni[natureza]"),"pro.soluto",
INDIRECT("rec.uni[empresa]"),BI$6)</f>
        <v>0</v>
      </c>
      <c r="BJ76" s="228">
        <f ca="1">SUMIFS(rec.uni[2027-02-01],
INDIRECT("rec.uni[natureza]"),"repasse.cef.obra",
INDIRECT("rec.uni[empresa]"),BJ$6)</f>
        <v>0</v>
      </c>
      <c r="BK76" s="231">
        <f ca="1">SUMIFS(rec.uni[2027-02-01],
INDIRECT("rec.uni[natureza]"),"repasse.cef.terreno",
INDIRECT("rec.uni[empresa]"),BK$6)</f>
        <v>0</v>
      </c>
      <c r="BL76" s="232"/>
      <c r="BM76" s="228">
        <f ca="1">SUMIFS(rec.uni[2027-02-01],
INDIRECT("rec.uni[natureza]"),"taxa.extra",
INDIRECT("rec.uni[empresa]"),BM$6)</f>
        <v>0</v>
      </c>
      <c r="BN76" s="216"/>
      <c r="BO76" s="216"/>
      <c r="BP76" s="216"/>
      <c r="BQ76" s="216"/>
      <c r="BR76" s="216"/>
      <c r="BS76" s="216"/>
      <c r="BT76" s="227">
        <f>COUNTIFS(
    estq[empresa], BT$6,
    estq[Data da venda / reserva], "&gt;=" &amp; $A76,
    estq[Data da venda / reserva], "&lt;"  &amp; EOMONTH($A76,0) + 1
)</f>
        <v>0</v>
      </c>
      <c r="BU76" s="228">
        <f ca="1">SUMIFS(rec.uni[2027-02-01],
INDIRECT("rec.uni[natureza]"),"pro.soluto",
INDIRECT("rec.uni[empresa]"),BU$6)</f>
        <v>0</v>
      </c>
      <c r="BV76" s="228">
        <f ca="1">SUMIFS(rec.uni[2027-02-01],
INDIRECT("rec.uni[natureza]"),"repasse.cef.obra",
INDIRECT("rec.uni[empresa]"),BV$6)</f>
        <v>0</v>
      </c>
      <c r="BW76" s="231">
        <f ca="1">SUMIFS(rec.uni[2027-02-01],
INDIRECT("rec.uni[natureza]"),"repasse.cef.terreno",
INDIRECT("rec.uni[empresa]"),BW$6)</f>
        <v>0</v>
      </c>
      <c r="BX76" s="232"/>
      <c r="BY76" s="228">
        <f ca="1">SUMIFS(rec.uni[2027-02-01],
INDIRECT("rec.uni[natureza]"),"taxa.extra",
INDIRECT("rec.uni[empresa]"),BY$6)</f>
        <v>0</v>
      </c>
      <c r="BZ76" s="216"/>
      <c r="CA76" s="216"/>
      <c r="CB76" s="216"/>
      <c r="CC76" s="216"/>
      <c r="CD76" s="216"/>
      <c r="CE76" s="216"/>
    </row>
    <row r="77" spans="1:83" x14ac:dyDescent="0.25">
      <c r="A77" s="226">
        <v>46447</v>
      </c>
      <c r="B77" s="227">
        <f>COUNTIFS(
    estq[empresa], B$6,
    estq[Data da venda / reserva], "&gt;=" &amp; $A77,
    estq[Data da venda / reserva], "&lt;"  &amp; EOMONTH($A77,0) + 1
)</f>
        <v>0</v>
      </c>
      <c r="C77" s="228">
        <f ca="1">SUMIFS(rec.uni[2027-03-01],
INDIRECT("rec.uni[natureza]"),"pro.soluto",
INDIRECT("rec.uni[empresa]"),C$6)</f>
        <v>0</v>
      </c>
      <c r="D77" s="228">
        <f ca="1">SUMIFS(rec.uni[2027-03-01],
INDIRECT("rec.uni[natureza]"),"repasse.cef.obra",
INDIRECT("rec.uni[empresa]"),D$6)</f>
        <v>0</v>
      </c>
      <c r="E77" s="228">
        <f ca="1">SUMIFS(rec.uni[2027-03-01],
INDIRECT("rec.uni[natureza]"),"repasse.cef.terreno",
INDIRECT("rec.uni[empresa]"),E$6)</f>
        <v>0</v>
      </c>
      <c r="F77" s="232"/>
      <c r="G77" s="228">
        <f ca="1">SUMIFS(rec.uni[2027-03-01],
INDIRECT("rec.uni[natureza]"),"taxa.extra",
INDIRECT("rec.uni[empresa]"),G$6)</f>
        <v>0</v>
      </c>
      <c r="H77" s="216"/>
      <c r="I77" s="216"/>
      <c r="J77" s="216"/>
      <c r="K77" s="216"/>
      <c r="L77" s="216"/>
      <c r="M77" s="216"/>
      <c r="N77" s="227">
        <f>COUNTIFS(
    estq[empresa], N$6,
    estq[Data da venda / reserva], "&gt;=" &amp; $A77,
    estq[Data da venda / reserva], "&lt;"  &amp; EOMONTH($A77,0) + 1
)</f>
        <v>0</v>
      </c>
      <c r="O77" s="228">
        <f ca="1">SUMIFS(rec.uni[2027-03-01],
INDIRECT("rec.uni[natureza]"),"pro.soluto",
INDIRECT("rec.uni[empresa]"),O$6)</f>
        <v>0</v>
      </c>
      <c r="P77" s="228">
        <f ca="1">SUMIFS(rec.uni[2027-03-01],
INDIRECT("rec.uni[natureza]"),"repasse.cef.obra",
INDIRECT("rec.uni[empresa]"),P$6)</f>
        <v>0</v>
      </c>
      <c r="Q77" s="228">
        <f ca="1">SUMIFS(rec.uni[2027-03-01],
INDIRECT("rec.uni[natureza]"),"repasse.cef.terreno",
INDIRECT("rec.uni[empresa]"),Q$6)</f>
        <v>0</v>
      </c>
      <c r="R77" s="232"/>
      <c r="S77" s="228">
        <f ca="1">SUMIFS(rec.uni[2027-03-01],
INDIRECT("rec.uni[natureza]"),"taxa.extra",
INDIRECT("rec.uni[empresa]"),S$6)</f>
        <v>0</v>
      </c>
      <c r="T77" s="216"/>
      <c r="U77" s="216"/>
      <c r="V77" s="216"/>
      <c r="W77" s="216"/>
      <c r="X77" s="216"/>
      <c r="Y77" s="216"/>
      <c r="Z77" s="227">
        <f>COUNTIFS(
    estq[empresa], Z$6,
    estq[Data da venda / reserva], "&gt;=" &amp; $A77,
    estq[Data da venda / reserva], "&lt;"  &amp; EOMONTH($A77,0) + 1
)</f>
        <v>0</v>
      </c>
      <c r="AA77" s="228">
        <f ca="1">SUMIFS(rec.uni[2027-03-01],
INDIRECT("rec.uni[natureza]"),"pro.soluto",
INDIRECT("rec.uni[empresa]"),AA$6)</f>
        <v>0</v>
      </c>
      <c r="AB77" s="228">
        <f ca="1">SUMIFS(rec.uni[2027-03-01],
INDIRECT("rec.uni[natureza]"),"repasse.cef.obra",
INDIRECT("rec.uni[empresa]"),AB$6)</f>
        <v>0</v>
      </c>
      <c r="AC77" s="231">
        <f ca="1">SUMIFS(rec.uni[2027-03-01],
INDIRECT("rec.uni[natureza]"),"repasse.cef.terreno",
INDIRECT("rec.uni[empresa]"),AC$6)</f>
        <v>0</v>
      </c>
      <c r="AD77" s="232"/>
      <c r="AE77" s="228">
        <f ca="1">SUMIFS(rec.uni[2027-03-01],
INDIRECT("rec.uni[natureza]"),"taxa.extra",
INDIRECT("rec.uni[empresa]"),AE$6)</f>
        <v>0</v>
      </c>
      <c r="AF77" s="216"/>
      <c r="AG77" s="216"/>
      <c r="AH77" s="216"/>
      <c r="AI77" s="216"/>
      <c r="AJ77" s="216"/>
      <c r="AK77" s="216"/>
      <c r="AL77" s="227">
        <f>COUNTIFS(
    estq[empresa], AL$6,
    estq[Data da venda / reserva], "&gt;=" &amp; $A77,
    estq[Data da venda / reserva], "&lt;"  &amp; EOMONTH($A77,0) + 1
)</f>
        <v>0</v>
      </c>
      <c r="AM77" s="228">
        <f ca="1">SUMIFS(rec.uni[2027-03-01],
INDIRECT("rec.uni[natureza]"),"pro.soluto",
INDIRECT("rec.uni[empresa]"),AM$6)</f>
        <v>0</v>
      </c>
      <c r="AN77" s="228">
        <f ca="1">SUMIFS(rec.uni[2027-03-01],
INDIRECT("rec.uni[natureza]"),"repasse.cef.obra",
INDIRECT("rec.uni[empresa]"),AN$6)</f>
        <v>0</v>
      </c>
      <c r="AO77" s="231">
        <f ca="1">SUMIFS(rec.uni[2027-03-01],
INDIRECT("rec.uni[natureza]"),"repasse.cef.terreno",
INDIRECT("rec.uni[empresa]"),AO$6)</f>
        <v>0</v>
      </c>
      <c r="AP77" s="232"/>
      <c r="AQ77" s="228">
        <f ca="1">SUMIFS(rec.uni[2027-03-01],
INDIRECT("rec.uni[natureza]"),"taxa.extra",
INDIRECT("rec.uni[empresa]"),AQ$6)</f>
        <v>0</v>
      </c>
      <c r="AR77" s="216"/>
      <c r="AS77" s="216"/>
      <c r="AT77" s="216"/>
      <c r="AU77" s="216"/>
      <c r="AV77" s="216"/>
      <c r="AW77" s="216"/>
      <c r="AX77" s="227">
        <f>COUNTIFS(
    estq[empresa], AX$6,
    estq[Data da venda / reserva], "&gt;=" &amp; $A77,
    estq[Data da venda / reserva], "&lt;"  &amp; EOMONTH($A77,0) + 1
)</f>
        <v>0</v>
      </c>
      <c r="AY77" s="228">
        <f ca="1">SUMIFS(rec.uni[2027-03-01],
INDIRECT("rec.uni[natureza]"),"pro.soluto",
INDIRECT("rec.uni[empresa]"),AY$6)</f>
        <v>0</v>
      </c>
      <c r="AZ77" s="232">
        <f ca="1">SUMIFS(rec.uni[2027-03-01],
INDIRECT("rec.uni[natureza]"),"parcela.fin.total.ik",
INDIRECT("rec.uni[empresa]"),AZ$6)</f>
        <v>0</v>
      </c>
      <c r="BA77" s="228">
        <f ca="1">SUMIFS(rec.uni[2027-03-01],
INDIRECT("rec.uni[natureza]"),"taxa.extra",
INDIRECT("rec.uni[empresa]"),BA$6)</f>
        <v>0</v>
      </c>
      <c r="BB77" s="216"/>
      <c r="BC77" s="216"/>
      <c r="BD77" s="216"/>
      <c r="BE77" s="216"/>
      <c r="BF77" s="216"/>
      <c r="BG77" s="216"/>
      <c r="BH77" s="227">
        <f>COUNTIFS(
    estq[empresa], BH$6,
    estq[Data da venda / reserva], "&gt;=" &amp; $A77,
    estq[Data da venda / reserva], "&lt;"  &amp; EOMONTH($A77,0) + 1
)</f>
        <v>0</v>
      </c>
      <c r="BI77" s="228">
        <f ca="1">SUMIFS(rec.uni[2027-03-01],
INDIRECT("rec.uni[natureza]"),"pro.soluto",
INDIRECT("rec.uni[empresa]"),BI$6)</f>
        <v>0</v>
      </c>
      <c r="BJ77" s="228">
        <f ca="1">SUMIFS(rec.uni[2027-03-01],
INDIRECT("rec.uni[natureza]"),"repasse.cef.obra",
INDIRECT("rec.uni[empresa]"),BJ$6)</f>
        <v>0</v>
      </c>
      <c r="BK77" s="231">
        <f ca="1">SUMIFS(rec.uni[2027-03-01],
INDIRECT("rec.uni[natureza]"),"repasse.cef.terreno",
INDIRECT("rec.uni[empresa]"),BK$6)</f>
        <v>0</v>
      </c>
      <c r="BL77" s="232"/>
      <c r="BM77" s="228">
        <f ca="1">SUMIFS(rec.uni[2027-03-01],
INDIRECT("rec.uni[natureza]"),"taxa.extra",
INDIRECT("rec.uni[empresa]"),BM$6)</f>
        <v>0</v>
      </c>
      <c r="BN77" s="216"/>
      <c r="BO77" s="216"/>
      <c r="BP77" s="216"/>
      <c r="BQ77" s="216"/>
      <c r="BR77" s="216"/>
      <c r="BS77" s="216"/>
      <c r="BT77" s="227">
        <f>COUNTIFS(
    estq[empresa], BT$6,
    estq[Data da venda / reserva], "&gt;=" &amp; $A77,
    estq[Data da venda / reserva], "&lt;"  &amp; EOMONTH($A77,0) + 1
)</f>
        <v>0</v>
      </c>
      <c r="BU77" s="228">
        <f ca="1">SUMIFS(rec.uni[2027-03-01],
INDIRECT("rec.uni[natureza]"),"pro.soluto",
INDIRECT("rec.uni[empresa]"),BU$6)</f>
        <v>0</v>
      </c>
      <c r="BV77" s="228">
        <f ca="1">SUMIFS(rec.uni[2027-03-01],
INDIRECT("rec.uni[natureza]"),"repasse.cef.obra",
INDIRECT("rec.uni[empresa]"),BV$6)</f>
        <v>0</v>
      </c>
      <c r="BW77" s="231">
        <f ca="1">SUMIFS(rec.uni[2027-03-01],
INDIRECT("rec.uni[natureza]"),"repasse.cef.terreno",
INDIRECT("rec.uni[empresa]"),BW$6)</f>
        <v>0</v>
      </c>
      <c r="BX77" s="232"/>
      <c r="BY77" s="228">
        <f ca="1">SUMIFS(rec.uni[2027-03-01],
INDIRECT("rec.uni[natureza]"),"taxa.extra",
INDIRECT("rec.uni[empresa]"),BY$6)</f>
        <v>0</v>
      </c>
      <c r="BZ77" s="216"/>
      <c r="CA77" s="216"/>
      <c r="CB77" s="216"/>
      <c r="CC77" s="216"/>
      <c r="CD77" s="216"/>
      <c r="CE77" s="216"/>
    </row>
    <row r="78" spans="1:83" x14ac:dyDescent="0.25">
      <c r="A78" s="226">
        <v>46478</v>
      </c>
      <c r="B78" s="227">
        <f>COUNTIFS(
    estq[empresa], B$6,
    estq[Data da venda / reserva], "&gt;=" &amp; $A78,
    estq[Data da venda / reserva], "&lt;"  &amp; EOMONTH($A78,0) + 1
)</f>
        <v>0</v>
      </c>
      <c r="C78" s="228">
        <f ca="1">SUMIFS(rec.uni[2027-04-01],
INDIRECT("rec.uni[natureza]"),"pro.soluto",
INDIRECT("rec.uni[empresa]"),C$6)</f>
        <v>0</v>
      </c>
      <c r="D78" s="228">
        <f ca="1">SUMIFS(rec.uni[2027-04-01],
INDIRECT("rec.uni[natureza]"),"repasse.cef.obra",
INDIRECT("rec.uni[empresa]"),D$6)</f>
        <v>0</v>
      </c>
      <c r="E78" s="228">
        <f ca="1">SUMIFS(rec.uni[2027-04-01],
INDIRECT("rec.uni[natureza]"),"repasse.cef.terreno",
INDIRECT("rec.uni[empresa]"),E$6)</f>
        <v>0</v>
      </c>
      <c r="F78" s="232"/>
      <c r="G78" s="228">
        <f ca="1">SUMIFS(rec.uni[2027-04-01],
INDIRECT("rec.uni[natureza]"),"taxa.extra",
INDIRECT("rec.uni[empresa]"),G$6)</f>
        <v>0</v>
      </c>
      <c r="H78" s="216"/>
      <c r="I78" s="216"/>
      <c r="J78" s="216"/>
      <c r="K78" s="216"/>
      <c r="L78" s="216"/>
      <c r="M78" s="216"/>
      <c r="N78" s="227">
        <f>COUNTIFS(
    estq[empresa], N$6,
    estq[Data da venda / reserva], "&gt;=" &amp; $A78,
    estq[Data da venda / reserva], "&lt;"  &amp; EOMONTH($A78,0) + 1
)</f>
        <v>0</v>
      </c>
      <c r="O78" s="228">
        <f ca="1">SUMIFS(rec.uni[2027-04-01],
INDIRECT("rec.uni[natureza]"),"pro.soluto",
INDIRECT("rec.uni[empresa]"),O$6)</f>
        <v>0</v>
      </c>
      <c r="P78" s="228">
        <f ca="1">SUMIFS(rec.uni[2027-04-01],
INDIRECT("rec.uni[natureza]"),"repasse.cef.obra",
INDIRECT("rec.uni[empresa]"),P$6)</f>
        <v>0</v>
      </c>
      <c r="Q78" s="228">
        <f ca="1">SUMIFS(rec.uni[2027-04-01],
INDIRECT("rec.uni[natureza]"),"repasse.cef.terreno",
INDIRECT("rec.uni[empresa]"),Q$6)</f>
        <v>0</v>
      </c>
      <c r="R78" s="232"/>
      <c r="S78" s="228">
        <f ca="1">SUMIFS(rec.uni[2027-04-01],
INDIRECT("rec.uni[natureza]"),"taxa.extra",
INDIRECT("rec.uni[empresa]"),S$6)</f>
        <v>0</v>
      </c>
      <c r="T78" s="216"/>
      <c r="U78" s="216"/>
      <c r="V78" s="216"/>
      <c r="W78" s="216"/>
      <c r="X78" s="216"/>
      <c r="Y78" s="216"/>
      <c r="Z78" s="227">
        <f>COUNTIFS(
    estq[empresa], Z$6,
    estq[Data da venda / reserva], "&gt;=" &amp; $A78,
    estq[Data da venda / reserva], "&lt;"  &amp; EOMONTH($A78,0) + 1
)</f>
        <v>0</v>
      </c>
      <c r="AA78" s="228">
        <f ca="1">SUMIFS(rec.uni[2027-04-01],
INDIRECT("rec.uni[natureza]"),"pro.soluto",
INDIRECT("rec.uni[empresa]"),AA$6)</f>
        <v>0</v>
      </c>
      <c r="AB78" s="228">
        <f ca="1">SUMIFS(rec.uni[2027-04-01],
INDIRECT("rec.uni[natureza]"),"repasse.cef.obra",
INDIRECT("rec.uni[empresa]"),AB$6)</f>
        <v>0</v>
      </c>
      <c r="AC78" s="231">
        <f ca="1">SUMIFS(rec.uni[2027-04-01],
INDIRECT("rec.uni[natureza]"),"repasse.cef.terreno",
INDIRECT("rec.uni[empresa]"),AC$6)</f>
        <v>0</v>
      </c>
      <c r="AD78" s="232"/>
      <c r="AE78" s="228">
        <f ca="1">SUMIFS(rec.uni[2027-04-01],
INDIRECT("rec.uni[natureza]"),"taxa.extra",
INDIRECT("rec.uni[empresa]"),AE$6)</f>
        <v>0</v>
      </c>
      <c r="AF78" s="216"/>
      <c r="AG78" s="216"/>
      <c r="AH78" s="216"/>
      <c r="AI78" s="216"/>
      <c r="AJ78" s="216"/>
      <c r="AK78" s="216"/>
      <c r="AL78" s="227">
        <f>COUNTIFS(
    estq[empresa], AL$6,
    estq[Data da venda / reserva], "&gt;=" &amp; $A78,
    estq[Data da venda / reserva], "&lt;"  &amp; EOMONTH($A78,0) + 1
)</f>
        <v>0</v>
      </c>
      <c r="AM78" s="228">
        <f ca="1">SUMIFS(rec.uni[2027-04-01],
INDIRECT("rec.uni[natureza]"),"pro.soluto",
INDIRECT("rec.uni[empresa]"),AM$6)</f>
        <v>0</v>
      </c>
      <c r="AN78" s="228">
        <f ca="1">SUMIFS(rec.uni[2027-04-01],
INDIRECT("rec.uni[natureza]"),"repasse.cef.obra",
INDIRECT("rec.uni[empresa]"),AN$6)</f>
        <v>0</v>
      </c>
      <c r="AO78" s="231">
        <f ca="1">SUMIFS(rec.uni[2027-04-01],
INDIRECT("rec.uni[natureza]"),"repasse.cef.terreno",
INDIRECT("rec.uni[empresa]"),AO$6)</f>
        <v>0</v>
      </c>
      <c r="AP78" s="232"/>
      <c r="AQ78" s="228">
        <f ca="1">SUMIFS(rec.uni[2027-04-01],
INDIRECT("rec.uni[natureza]"),"taxa.extra",
INDIRECT("rec.uni[empresa]"),AQ$6)</f>
        <v>0</v>
      </c>
      <c r="AR78" s="216"/>
      <c r="AS78" s="216"/>
      <c r="AT78" s="216"/>
      <c r="AU78" s="216"/>
      <c r="AV78" s="216"/>
      <c r="AW78" s="216"/>
      <c r="AX78" s="227">
        <f>COUNTIFS(
    estq[empresa], AX$6,
    estq[Data da venda / reserva], "&gt;=" &amp; $A78,
    estq[Data da venda / reserva], "&lt;"  &amp; EOMONTH($A78,0) + 1
)</f>
        <v>0</v>
      </c>
      <c r="AY78" s="228">
        <f ca="1">SUMIFS(rec.uni[2027-04-01],
INDIRECT("rec.uni[natureza]"),"pro.soluto",
INDIRECT("rec.uni[empresa]"),AY$6)</f>
        <v>0</v>
      </c>
      <c r="AZ78" s="232">
        <f ca="1">SUMIFS(rec.uni[2027-04-01],
INDIRECT("rec.uni[natureza]"),"parcela.fin.total.ik",
INDIRECT("rec.uni[empresa]"),AZ$6)</f>
        <v>0</v>
      </c>
      <c r="BA78" s="228">
        <f ca="1">SUMIFS(rec.uni[2027-04-01],
INDIRECT("rec.uni[natureza]"),"taxa.extra",
INDIRECT("rec.uni[empresa]"),BA$6)</f>
        <v>0</v>
      </c>
      <c r="BB78" s="216"/>
      <c r="BC78" s="216"/>
      <c r="BD78" s="216"/>
      <c r="BE78" s="216"/>
      <c r="BF78" s="216"/>
      <c r="BG78" s="216"/>
      <c r="BH78" s="227">
        <f>COUNTIFS(
    estq[empresa], BH$6,
    estq[Data da venda / reserva], "&gt;=" &amp; $A78,
    estq[Data da venda / reserva], "&lt;"  &amp; EOMONTH($A78,0) + 1
)</f>
        <v>0</v>
      </c>
      <c r="BI78" s="228">
        <f ca="1">SUMIFS(rec.uni[2027-04-01],
INDIRECT("rec.uni[natureza]"),"pro.soluto",
INDIRECT("rec.uni[empresa]"),BI$6)</f>
        <v>0</v>
      </c>
      <c r="BJ78" s="228">
        <f ca="1">SUMIFS(rec.uni[2027-04-01],
INDIRECT("rec.uni[natureza]"),"repasse.cef.obra",
INDIRECT("rec.uni[empresa]"),BJ$6)</f>
        <v>0</v>
      </c>
      <c r="BK78" s="231">
        <f ca="1">SUMIFS(rec.uni[2027-04-01],
INDIRECT("rec.uni[natureza]"),"repasse.cef.terreno",
INDIRECT("rec.uni[empresa]"),BK$6)</f>
        <v>0</v>
      </c>
      <c r="BL78" s="232"/>
      <c r="BM78" s="228">
        <f ca="1">SUMIFS(rec.uni[2027-04-01],
INDIRECT("rec.uni[natureza]"),"taxa.extra",
INDIRECT("rec.uni[empresa]"),BM$6)</f>
        <v>0</v>
      </c>
      <c r="BN78" s="216"/>
      <c r="BO78" s="216"/>
      <c r="BP78" s="216"/>
      <c r="BQ78" s="216"/>
      <c r="BR78" s="216"/>
      <c r="BS78" s="216"/>
      <c r="BT78" s="227">
        <f>COUNTIFS(
    estq[empresa], BT$6,
    estq[Data da venda / reserva], "&gt;=" &amp; $A78,
    estq[Data da venda / reserva], "&lt;"  &amp; EOMONTH($A78,0) + 1
)</f>
        <v>0</v>
      </c>
      <c r="BU78" s="228">
        <f ca="1">SUMIFS(rec.uni[2027-04-01],
INDIRECT("rec.uni[natureza]"),"pro.soluto",
INDIRECT("rec.uni[empresa]"),BU$6)</f>
        <v>0</v>
      </c>
      <c r="BV78" s="228">
        <f ca="1">SUMIFS(rec.uni[2027-04-01],
INDIRECT("rec.uni[natureza]"),"repasse.cef.obra",
INDIRECT("rec.uni[empresa]"),BV$6)</f>
        <v>0</v>
      </c>
      <c r="BW78" s="231">
        <f ca="1">SUMIFS(rec.uni[2027-04-01],
INDIRECT("rec.uni[natureza]"),"repasse.cef.terreno",
INDIRECT("rec.uni[empresa]"),BW$6)</f>
        <v>0</v>
      </c>
      <c r="BX78" s="232"/>
      <c r="BY78" s="228">
        <f ca="1">SUMIFS(rec.uni[2027-04-01],
INDIRECT("rec.uni[natureza]"),"taxa.extra",
INDIRECT("rec.uni[empresa]"),BY$6)</f>
        <v>0</v>
      </c>
      <c r="BZ78" s="216"/>
      <c r="CA78" s="216"/>
      <c r="CB78" s="216"/>
      <c r="CC78" s="216"/>
      <c r="CD78" s="216"/>
      <c r="CE78" s="216"/>
    </row>
    <row r="79" spans="1:83" x14ac:dyDescent="0.25">
      <c r="A79" s="226">
        <v>46508</v>
      </c>
      <c r="B79" s="227">
        <f>COUNTIFS(
    estq[empresa], B$6,
    estq[Data da venda / reserva], "&gt;=" &amp; $A79,
    estq[Data da venda / reserva], "&lt;"  &amp; EOMONTH($A79,0) + 1
)</f>
        <v>0</v>
      </c>
      <c r="C79" s="228">
        <f ca="1">SUMIFS(rec.uni[2027-05-01],
INDIRECT("rec.uni[natureza]"),"pro.soluto",
INDIRECT("rec.uni[empresa]"),C$6)</f>
        <v>0</v>
      </c>
      <c r="D79" s="228">
        <f ca="1">SUMIFS(rec.uni[2027-05-01],
INDIRECT("rec.uni[natureza]"),"repasse.cef.obra",
INDIRECT("rec.uni[empresa]"),D$6)</f>
        <v>0</v>
      </c>
      <c r="E79" s="228">
        <f ca="1">SUMIFS(rec.uni[2027-05-01],
INDIRECT("rec.uni[natureza]"),"repasse.cef.terreno",
INDIRECT("rec.uni[empresa]"),E$6)</f>
        <v>0</v>
      </c>
      <c r="F79" s="232"/>
      <c r="G79" s="228">
        <f ca="1">SUMIFS(rec.uni[2027-05-01],
INDIRECT("rec.uni[natureza]"),"taxa.extra",
INDIRECT("rec.uni[empresa]"),G$6)</f>
        <v>0</v>
      </c>
      <c r="H79" s="216"/>
      <c r="I79" s="216"/>
      <c r="J79" s="216"/>
      <c r="K79" s="216"/>
      <c r="L79" s="216"/>
      <c r="M79" s="216"/>
      <c r="N79" s="227">
        <f>COUNTIFS(
    estq[empresa], N$6,
    estq[Data da venda / reserva], "&gt;=" &amp; $A79,
    estq[Data da venda / reserva], "&lt;"  &amp; EOMONTH($A79,0) + 1
)</f>
        <v>0</v>
      </c>
      <c r="O79" s="228">
        <f ca="1">SUMIFS(rec.uni[2027-05-01],
INDIRECT("rec.uni[natureza]"),"pro.soluto",
INDIRECT("rec.uni[empresa]"),O$6)</f>
        <v>0</v>
      </c>
      <c r="P79" s="228">
        <f ca="1">SUMIFS(rec.uni[2027-05-01],
INDIRECT("rec.uni[natureza]"),"repasse.cef.obra",
INDIRECT("rec.uni[empresa]"),P$6)</f>
        <v>0</v>
      </c>
      <c r="Q79" s="228">
        <f ca="1">SUMIFS(rec.uni[2027-05-01],
INDIRECT("rec.uni[natureza]"),"repasse.cef.terreno",
INDIRECT("rec.uni[empresa]"),Q$6)</f>
        <v>0</v>
      </c>
      <c r="R79" s="232"/>
      <c r="S79" s="228">
        <f ca="1">SUMIFS(rec.uni[2027-05-01],
INDIRECT("rec.uni[natureza]"),"taxa.extra",
INDIRECT("rec.uni[empresa]"),S$6)</f>
        <v>0</v>
      </c>
      <c r="T79" s="216"/>
      <c r="U79" s="216"/>
      <c r="V79" s="216"/>
      <c r="W79" s="216"/>
      <c r="X79" s="216"/>
      <c r="Y79" s="216"/>
      <c r="Z79" s="227">
        <f>COUNTIFS(
    estq[empresa], Z$6,
    estq[Data da venda / reserva], "&gt;=" &amp; $A79,
    estq[Data da venda / reserva], "&lt;"  &amp; EOMONTH($A79,0) + 1
)</f>
        <v>0</v>
      </c>
      <c r="AA79" s="228">
        <f ca="1">SUMIFS(rec.uni[2027-05-01],
INDIRECT("rec.uni[natureza]"),"pro.soluto",
INDIRECT("rec.uni[empresa]"),AA$6)</f>
        <v>0</v>
      </c>
      <c r="AB79" s="228">
        <f ca="1">SUMIFS(rec.uni[2027-05-01],
INDIRECT("rec.uni[natureza]"),"repasse.cef.obra",
INDIRECT("rec.uni[empresa]"),AB$6)</f>
        <v>0</v>
      </c>
      <c r="AC79" s="231">
        <f ca="1">SUMIFS(rec.uni[2027-05-01],
INDIRECT("rec.uni[natureza]"),"repasse.cef.terreno",
INDIRECT("rec.uni[empresa]"),AC$6)</f>
        <v>0</v>
      </c>
      <c r="AD79" s="232"/>
      <c r="AE79" s="228">
        <f ca="1">SUMIFS(rec.uni[2027-05-01],
INDIRECT("rec.uni[natureza]"),"taxa.extra",
INDIRECT("rec.uni[empresa]"),AE$6)</f>
        <v>0</v>
      </c>
      <c r="AF79" s="216"/>
      <c r="AG79" s="216"/>
      <c r="AH79" s="216"/>
      <c r="AI79" s="216"/>
      <c r="AJ79" s="216"/>
      <c r="AK79" s="216"/>
      <c r="AL79" s="227">
        <f>COUNTIFS(
    estq[empresa], AL$6,
    estq[Data da venda / reserva], "&gt;=" &amp; $A79,
    estq[Data da venda / reserva], "&lt;"  &amp; EOMONTH($A79,0) + 1
)</f>
        <v>0</v>
      </c>
      <c r="AM79" s="228">
        <f ca="1">SUMIFS(rec.uni[2027-05-01],
INDIRECT("rec.uni[natureza]"),"pro.soluto",
INDIRECT("rec.uni[empresa]"),AM$6)</f>
        <v>0</v>
      </c>
      <c r="AN79" s="228">
        <f ca="1">SUMIFS(rec.uni[2027-05-01],
INDIRECT("rec.uni[natureza]"),"repasse.cef.obra",
INDIRECT("rec.uni[empresa]"),AN$6)</f>
        <v>0</v>
      </c>
      <c r="AO79" s="231">
        <f ca="1">SUMIFS(rec.uni[2027-05-01],
INDIRECT("rec.uni[natureza]"),"repasse.cef.terreno",
INDIRECT("rec.uni[empresa]"),AO$6)</f>
        <v>0</v>
      </c>
      <c r="AP79" s="232"/>
      <c r="AQ79" s="228">
        <f ca="1">SUMIFS(rec.uni[2027-05-01],
INDIRECT("rec.uni[natureza]"),"taxa.extra",
INDIRECT("rec.uni[empresa]"),AQ$6)</f>
        <v>0</v>
      </c>
      <c r="AR79" s="216"/>
      <c r="AS79" s="216"/>
      <c r="AT79" s="216"/>
      <c r="AU79" s="216"/>
      <c r="AV79" s="216"/>
      <c r="AW79" s="216"/>
      <c r="AX79" s="227">
        <f>COUNTIFS(
    estq[empresa], AX$6,
    estq[Data da venda / reserva], "&gt;=" &amp; $A79,
    estq[Data da venda / reserva], "&lt;"  &amp; EOMONTH($A79,0) + 1
)</f>
        <v>0</v>
      </c>
      <c r="AY79" s="228">
        <f ca="1">SUMIFS(rec.uni[2027-05-01],
INDIRECT("rec.uni[natureza]"),"pro.soluto",
INDIRECT("rec.uni[empresa]"),AY$6)</f>
        <v>0</v>
      </c>
      <c r="AZ79" s="232">
        <f ca="1">SUMIFS(rec.uni[2027-05-01],
INDIRECT("rec.uni[natureza]"),"parcela.fin.total.ik",
INDIRECT("rec.uni[empresa]"),AZ$6)</f>
        <v>0</v>
      </c>
      <c r="BA79" s="228">
        <f ca="1">SUMIFS(rec.uni[2027-05-01],
INDIRECT("rec.uni[natureza]"),"taxa.extra",
INDIRECT("rec.uni[empresa]"),BA$6)</f>
        <v>0</v>
      </c>
      <c r="BB79" s="216"/>
      <c r="BC79" s="216"/>
      <c r="BD79" s="216"/>
      <c r="BE79" s="216"/>
      <c r="BF79" s="216"/>
      <c r="BG79" s="216"/>
      <c r="BH79" s="227">
        <f>COUNTIFS(
    estq[empresa], BH$6,
    estq[Data da venda / reserva], "&gt;=" &amp; $A79,
    estq[Data da venda / reserva], "&lt;"  &amp; EOMONTH($A79,0) + 1
)</f>
        <v>0</v>
      </c>
      <c r="BI79" s="228">
        <f ca="1">SUMIFS(rec.uni[2027-05-01],
INDIRECT("rec.uni[natureza]"),"pro.soluto",
INDIRECT("rec.uni[empresa]"),BI$6)</f>
        <v>0</v>
      </c>
      <c r="BJ79" s="228">
        <f ca="1">SUMIFS(rec.uni[2027-05-01],
INDIRECT("rec.uni[natureza]"),"repasse.cef.obra",
INDIRECT("rec.uni[empresa]"),BJ$6)</f>
        <v>0</v>
      </c>
      <c r="BK79" s="231">
        <f ca="1">SUMIFS(rec.uni[2027-05-01],
INDIRECT("rec.uni[natureza]"),"repasse.cef.terreno",
INDIRECT("rec.uni[empresa]"),BK$6)</f>
        <v>0</v>
      </c>
      <c r="BL79" s="232"/>
      <c r="BM79" s="228">
        <f ca="1">SUMIFS(rec.uni[2027-05-01],
INDIRECT("rec.uni[natureza]"),"taxa.extra",
INDIRECT("rec.uni[empresa]"),BM$6)</f>
        <v>0</v>
      </c>
      <c r="BN79" s="216"/>
      <c r="BO79" s="216"/>
      <c r="BP79" s="216"/>
      <c r="BQ79" s="216"/>
      <c r="BR79" s="216"/>
      <c r="BS79" s="216"/>
      <c r="BT79" s="227">
        <f>COUNTIFS(
    estq[empresa], BT$6,
    estq[Data da venda / reserva], "&gt;=" &amp; $A79,
    estq[Data da venda / reserva], "&lt;"  &amp; EOMONTH($A79,0) + 1
)</f>
        <v>0</v>
      </c>
      <c r="BU79" s="228">
        <f ca="1">SUMIFS(rec.uni[2027-05-01],
INDIRECT("rec.uni[natureza]"),"pro.soluto",
INDIRECT("rec.uni[empresa]"),BU$6)</f>
        <v>0</v>
      </c>
      <c r="BV79" s="228">
        <f ca="1">SUMIFS(rec.uni[2027-05-01],
INDIRECT("rec.uni[natureza]"),"repasse.cef.obra",
INDIRECT("rec.uni[empresa]"),BV$6)</f>
        <v>0</v>
      </c>
      <c r="BW79" s="231">
        <f ca="1">SUMIFS(rec.uni[2027-05-01],
INDIRECT("rec.uni[natureza]"),"repasse.cef.terreno",
INDIRECT("rec.uni[empresa]"),BW$6)</f>
        <v>0</v>
      </c>
      <c r="BX79" s="232"/>
      <c r="BY79" s="228">
        <f ca="1">SUMIFS(rec.uni[2027-05-01],
INDIRECT("rec.uni[natureza]"),"taxa.extra",
INDIRECT("rec.uni[empresa]"),BY$6)</f>
        <v>0</v>
      </c>
      <c r="BZ79" s="216"/>
      <c r="CA79" s="216"/>
      <c r="CB79" s="216"/>
      <c r="CC79" s="216"/>
      <c r="CD79" s="216"/>
      <c r="CE79" s="216"/>
    </row>
    <row r="80" spans="1:83" x14ac:dyDescent="0.25">
      <c r="A80" s="226">
        <v>46539</v>
      </c>
      <c r="B80" s="227">
        <f>COUNTIFS(
    estq[empresa], B$6,
    estq[Data da venda / reserva], "&gt;=" &amp; $A80,
    estq[Data da venda / reserva], "&lt;"  &amp; EOMONTH($A80,0) + 1
)</f>
        <v>0</v>
      </c>
      <c r="C80" s="228">
        <f ca="1">SUMIFS(rec.uni[2027-06-01],
INDIRECT("rec.uni[natureza]"),"pro.soluto",
INDIRECT("rec.uni[empresa]"),C$6)</f>
        <v>0</v>
      </c>
      <c r="D80" s="228">
        <f ca="1">SUMIFS(rec.uni[2027-06-01],
INDIRECT("rec.uni[natureza]"),"repasse.cef.obra",
INDIRECT("rec.uni[empresa]"),D$6)</f>
        <v>0</v>
      </c>
      <c r="E80" s="228">
        <f ca="1">SUMIFS(rec.uni[2027-06-01],
INDIRECT("rec.uni[natureza]"),"repasse.cef.terreno",
INDIRECT("rec.uni[empresa]"),E$6)</f>
        <v>0</v>
      </c>
      <c r="F80" s="232"/>
      <c r="G80" s="228">
        <f ca="1">SUMIFS(rec.uni[2027-06-01],
INDIRECT("rec.uni[natureza]"),"taxa.extra",
INDIRECT("rec.uni[empresa]"),G$6)</f>
        <v>0</v>
      </c>
      <c r="H80" s="216"/>
      <c r="I80" s="216"/>
      <c r="J80" s="216"/>
      <c r="K80" s="216"/>
      <c r="L80" s="216"/>
      <c r="M80" s="216"/>
      <c r="N80" s="227">
        <f>COUNTIFS(
    estq[empresa], N$6,
    estq[Data da venda / reserva], "&gt;=" &amp; $A80,
    estq[Data da venda / reserva], "&lt;"  &amp; EOMONTH($A80,0) + 1
)</f>
        <v>0</v>
      </c>
      <c r="O80" s="228">
        <f ca="1">SUMIFS(rec.uni[2027-06-01],
INDIRECT("rec.uni[natureza]"),"pro.soluto",
INDIRECT("rec.uni[empresa]"),O$6)</f>
        <v>0</v>
      </c>
      <c r="P80" s="228">
        <f ca="1">SUMIFS(rec.uni[2027-06-01],
INDIRECT("rec.uni[natureza]"),"repasse.cef.obra",
INDIRECT("rec.uni[empresa]"),P$6)</f>
        <v>0</v>
      </c>
      <c r="Q80" s="228">
        <f ca="1">SUMIFS(rec.uni[2027-06-01],
INDIRECT("rec.uni[natureza]"),"repasse.cef.terreno",
INDIRECT("rec.uni[empresa]"),Q$6)</f>
        <v>0</v>
      </c>
      <c r="R80" s="232"/>
      <c r="S80" s="228">
        <f ca="1">SUMIFS(rec.uni[2027-06-01],
INDIRECT("rec.uni[natureza]"),"taxa.extra",
INDIRECT("rec.uni[empresa]"),S$6)</f>
        <v>0</v>
      </c>
      <c r="T80" s="216"/>
      <c r="U80" s="216"/>
      <c r="V80" s="216"/>
      <c r="W80" s="216"/>
      <c r="X80" s="216"/>
      <c r="Y80" s="216"/>
      <c r="Z80" s="227">
        <f>COUNTIFS(
    estq[empresa], Z$6,
    estq[Data da venda / reserva], "&gt;=" &amp; $A80,
    estq[Data da venda / reserva], "&lt;"  &amp; EOMONTH($A80,0) + 1
)</f>
        <v>0</v>
      </c>
      <c r="AA80" s="228">
        <f ca="1">SUMIFS(rec.uni[2027-06-01],
INDIRECT("rec.uni[natureza]"),"pro.soluto",
INDIRECT("rec.uni[empresa]"),AA$6)</f>
        <v>0</v>
      </c>
      <c r="AB80" s="228">
        <f ca="1">SUMIFS(rec.uni[2027-06-01],
INDIRECT("rec.uni[natureza]"),"repasse.cef.obra",
INDIRECT("rec.uni[empresa]"),AB$6)</f>
        <v>0</v>
      </c>
      <c r="AC80" s="231">
        <f ca="1">SUMIFS(rec.uni[2027-06-01],
INDIRECT("rec.uni[natureza]"),"repasse.cef.terreno",
INDIRECT("rec.uni[empresa]"),AC$6)</f>
        <v>0</v>
      </c>
      <c r="AD80" s="232"/>
      <c r="AE80" s="228">
        <f ca="1">SUMIFS(rec.uni[2027-06-01],
INDIRECT("rec.uni[natureza]"),"taxa.extra",
INDIRECT("rec.uni[empresa]"),AE$6)</f>
        <v>0</v>
      </c>
      <c r="AF80" s="216"/>
      <c r="AG80" s="216"/>
      <c r="AH80" s="216"/>
      <c r="AI80" s="216"/>
      <c r="AJ80" s="216"/>
      <c r="AK80" s="216"/>
      <c r="AL80" s="227">
        <f>COUNTIFS(
    estq[empresa], AL$6,
    estq[Data da venda / reserva], "&gt;=" &amp; $A80,
    estq[Data da venda / reserva], "&lt;"  &amp; EOMONTH($A80,0) + 1
)</f>
        <v>0</v>
      </c>
      <c r="AM80" s="228">
        <f ca="1">SUMIFS(rec.uni[2027-06-01],
INDIRECT("rec.uni[natureza]"),"pro.soluto",
INDIRECT("rec.uni[empresa]"),AM$6)</f>
        <v>0</v>
      </c>
      <c r="AN80" s="228">
        <f ca="1">SUMIFS(rec.uni[2027-06-01],
INDIRECT("rec.uni[natureza]"),"repasse.cef.obra",
INDIRECT("rec.uni[empresa]"),AN$6)</f>
        <v>0</v>
      </c>
      <c r="AO80" s="231">
        <f ca="1">SUMIFS(rec.uni[2027-06-01],
INDIRECT("rec.uni[natureza]"),"repasse.cef.terreno",
INDIRECT("rec.uni[empresa]"),AO$6)</f>
        <v>0</v>
      </c>
      <c r="AP80" s="232"/>
      <c r="AQ80" s="228">
        <f ca="1">SUMIFS(rec.uni[2027-06-01],
INDIRECT("rec.uni[natureza]"),"taxa.extra",
INDIRECT("rec.uni[empresa]"),AQ$6)</f>
        <v>0</v>
      </c>
      <c r="AR80" s="216"/>
      <c r="AS80" s="216"/>
      <c r="AT80" s="216"/>
      <c r="AU80" s="216"/>
      <c r="AV80" s="216"/>
      <c r="AW80" s="216"/>
      <c r="AX80" s="227">
        <f>COUNTIFS(
    estq[empresa], AX$6,
    estq[Data da venda / reserva], "&gt;=" &amp; $A80,
    estq[Data da venda / reserva], "&lt;"  &amp; EOMONTH($A80,0) + 1
)</f>
        <v>0</v>
      </c>
      <c r="AY80" s="228">
        <f ca="1">SUMIFS(rec.uni[2027-06-01],
INDIRECT("rec.uni[natureza]"),"pro.soluto",
INDIRECT("rec.uni[empresa]"),AY$6)</f>
        <v>0</v>
      </c>
      <c r="AZ80" s="232">
        <f ca="1">SUMIFS(rec.uni[2027-06-01],
INDIRECT("rec.uni[natureza]"),"parcela.fin.total.ik",
INDIRECT("rec.uni[empresa]"),AZ$6)</f>
        <v>0</v>
      </c>
      <c r="BA80" s="228">
        <f ca="1">SUMIFS(rec.uni[2027-06-01],
INDIRECT("rec.uni[natureza]"),"taxa.extra",
INDIRECT("rec.uni[empresa]"),BA$6)</f>
        <v>0</v>
      </c>
      <c r="BB80" s="216"/>
      <c r="BC80" s="216"/>
      <c r="BD80" s="216"/>
      <c r="BE80" s="216"/>
      <c r="BF80" s="216"/>
      <c r="BG80" s="216"/>
      <c r="BH80" s="227">
        <f>COUNTIFS(
    estq[empresa], BH$6,
    estq[Data da venda / reserva], "&gt;=" &amp; $A80,
    estq[Data da venda / reserva], "&lt;"  &amp; EOMONTH($A80,0) + 1
)</f>
        <v>0</v>
      </c>
      <c r="BI80" s="228">
        <f ca="1">SUMIFS(rec.uni[2027-06-01],
INDIRECT("rec.uni[natureza]"),"pro.soluto",
INDIRECT("rec.uni[empresa]"),BI$6)</f>
        <v>0</v>
      </c>
      <c r="BJ80" s="228">
        <f ca="1">SUMIFS(rec.uni[2027-06-01],
INDIRECT("rec.uni[natureza]"),"repasse.cef.obra",
INDIRECT("rec.uni[empresa]"),BJ$6)</f>
        <v>0</v>
      </c>
      <c r="BK80" s="231">
        <f ca="1">SUMIFS(rec.uni[2027-06-01],
INDIRECT("rec.uni[natureza]"),"repasse.cef.terreno",
INDIRECT("rec.uni[empresa]"),BK$6)</f>
        <v>0</v>
      </c>
      <c r="BL80" s="232"/>
      <c r="BM80" s="228">
        <f ca="1">SUMIFS(rec.uni[2027-06-01],
INDIRECT("rec.uni[natureza]"),"taxa.extra",
INDIRECT("rec.uni[empresa]"),BM$6)</f>
        <v>0</v>
      </c>
      <c r="BN80" s="216"/>
      <c r="BO80" s="216"/>
      <c r="BP80" s="216"/>
      <c r="BQ80" s="216"/>
      <c r="BR80" s="216"/>
      <c r="BS80" s="216"/>
      <c r="BT80" s="227">
        <f>COUNTIFS(
    estq[empresa], BT$6,
    estq[Data da venda / reserva], "&gt;=" &amp; $A80,
    estq[Data da venda / reserva], "&lt;"  &amp; EOMONTH($A80,0) + 1
)</f>
        <v>0</v>
      </c>
      <c r="BU80" s="228">
        <f ca="1">SUMIFS(rec.uni[2027-06-01],
INDIRECT("rec.uni[natureza]"),"pro.soluto",
INDIRECT("rec.uni[empresa]"),BU$6)</f>
        <v>0</v>
      </c>
      <c r="BV80" s="228">
        <f ca="1">SUMIFS(rec.uni[2027-06-01],
INDIRECT("rec.uni[natureza]"),"repasse.cef.obra",
INDIRECT("rec.uni[empresa]"),BV$6)</f>
        <v>0</v>
      </c>
      <c r="BW80" s="231">
        <f ca="1">SUMIFS(rec.uni[2027-06-01],
INDIRECT("rec.uni[natureza]"),"repasse.cef.terreno",
INDIRECT("rec.uni[empresa]"),BW$6)</f>
        <v>0</v>
      </c>
      <c r="BX80" s="232"/>
      <c r="BY80" s="228">
        <f ca="1">SUMIFS(rec.uni[2027-06-01],
INDIRECT("rec.uni[natureza]"),"taxa.extra",
INDIRECT("rec.uni[empresa]"),BY$6)</f>
        <v>0</v>
      </c>
      <c r="BZ80" s="216"/>
      <c r="CA80" s="216"/>
      <c r="CB80" s="216"/>
      <c r="CC80" s="216"/>
      <c r="CD80" s="216"/>
      <c r="CE80" s="216"/>
    </row>
    <row r="81" spans="1:83" x14ac:dyDescent="0.25">
      <c r="A81" s="226">
        <v>46569</v>
      </c>
      <c r="B81" s="227">
        <f>COUNTIFS(
    estq[empresa], B$6,
    estq[Data da venda / reserva], "&gt;=" &amp; $A81,
    estq[Data da venda / reserva], "&lt;"  &amp; EOMONTH($A81,0) + 1
)</f>
        <v>0</v>
      </c>
      <c r="C81" s="228">
        <f ca="1">SUMIFS(rec.uni[2027-07-01],
INDIRECT("rec.uni[natureza]"),"pro.soluto",
INDIRECT("rec.uni[empresa]"),C$6)</f>
        <v>0</v>
      </c>
      <c r="D81" s="228">
        <f ca="1">SUMIFS(rec.uni[2027-07-01],
INDIRECT("rec.uni[natureza]"),"repasse.cef.obra",
INDIRECT("rec.uni[empresa]"),D$6)</f>
        <v>0</v>
      </c>
      <c r="E81" s="228">
        <f ca="1">SUMIFS(rec.uni[2027-07-01],
INDIRECT("rec.uni[natureza]"),"repasse.cef.terreno",
INDIRECT("rec.uni[empresa]"),E$6)</f>
        <v>0</v>
      </c>
      <c r="F81" s="232"/>
      <c r="G81" s="228">
        <f ca="1">SUMIFS(rec.uni[2027-07-01],
INDIRECT("rec.uni[natureza]"),"taxa.extra",
INDIRECT("rec.uni[empresa]"),G$6)</f>
        <v>0</v>
      </c>
      <c r="H81" s="216"/>
      <c r="I81" s="216"/>
      <c r="J81" s="216"/>
      <c r="K81" s="216"/>
      <c r="L81" s="216"/>
      <c r="M81" s="216"/>
      <c r="N81" s="227">
        <f>COUNTIFS(
    estq[empresa], N$6,
    estq[Data da venda / reserva], "&gt;=" &amp; $A81,
    estq[Data da venda / reserva], "&lt;"  &amp; EOMONTH($A81,0) + 1
)</f>
        <v>0</v>
      </c>
      <c r="O81" s="228">
        <f ca="1">SUMIFS(rec.uni[2027-07-01],
INDIRECT("rec.uni[natureza]"),"pro.soluto",
INDIRECT("rec.uni[empresa]"),O$6)</f>
        <v>0</v>
      </c>
      <c r="P81" s="228">
        <f ca="1">SUMIFS(rec.uni[2027-07-01],
INDIRECT("rec.uni[natureza]"),"repasse.cef.obra",
INDIRECT("rec.uni[empresa]"),P$6)</f>
        <v>0</v>
      </c>
      <c r="Q81" s="228">
        <f ca="1">SUMIFS(rec.uni[2027-07-01],
INDIRECT("rec.uni[natureza]"),"repasse.cef.terreno",
INDIRECT("rec.uni[empresa]"),Q$6)</f>
        <v>0</v>
      </c>
      <c r="R81" s="232"/>
      <c r="S81" s="228">
        <f ca="1">SUMIFS(rec.uni[2027-07-01],
INDIRECT("rec.uni[natureza]"),"taxa.extra",
INDIRECT("rec.uni[empresa]"),S$6)</f>
        <v>0</v>
      </c>
      <c r="T81" s="216"/>
      <c r="U81" s="216"/>
      <c r="V81" s="216"/>
      <c r="W81" s="216"/>
      <c r="X81" s="216"/>
      <c r="Y81" s="216"/>
      <c r="Z81" s="227">
        <f>COUNTIFS(
    estq[empresa], Z$6,
    estq[Data da venda / reserva], "&gt;=" &amp; $A81,
    estq[Data da venda / reserva], "&lt;"  &amp; EOMONTH($A81,0) + 1
)</f>
        <v>0</v>
      </c>
      <c r="AA81" s="228">
        <f ca="1">SUMIFS(rec.uni[2027-07-01],
INDIRECT("rec.uni[natureza]"),"pro.soluto",
INDIRECT("rec.uni[empresa]"),AA$6)</f>
        <v>0</v>
      </c>
      <c r="AB81" s="228">
        <f ca="1">SUMIFS(rec.uni[2027-07-01],
INDIRECT("rec.uni[natureza]"),"repasse.cef.obra",
INDIRECT("rec.uni[empresa]"),AB$6)</f>
        <v>0</v>
      </c>
      <c r="AC81" s="231">
        <f ca="1">SUMIFS(rec.uni[2027-07-01],
INDIRECT("rec.uni[natureza]"),"repasse.cef.terreno",
INDIRECT("rec.uni[empresa]"),AC$6)</f>
        <v>0</v>
      </c>
      <c r="AD81" s="232"/>
      <c r="AE81" s="228">
        <f ca="1">SUMIFS(rec.uni[2027-07-01],
INDIRECT("rec.uni[natureza]"),"taxa.extra",
INDIRECT("rec.uni[empresa]"),AE$6)</f>
        <v>0</v>
      </c>
      <c r="AF81" s="216"/>
      <c r="AG81" s="216"/>
      <c r="AH81" s="216"/>
      <c r="AI81" s="216"/>
      <c r="AJ81" s="216"/>
      <c r="AK81" s="216"/>
      <c r="AL81" s="227">
        <f>COUNTIFS(
    estq[empresa], AL$6,
    estq[Data da venda / reserva], "&gt;=" &amp; $A81,
    estq[Data da venda / reserva], "&lt;"  &amp; EOMONTH($A81,0) + 1
)</f>
        <v>0</v>
      </c>
      <c r="AM81" s="228">
        <f ca="1">SUMIFS(rec.uni[2027-07-01],
INDIRECT("rec.uni[natureza]"),"pro.soluto",
INDIRECT("rec.uni[empresa]"),AM$6)</f>
        <v>0</v>
      </c>
      <c r="AN81" s="228">
        <f ca="1">SUMIFS(rec.uni[2027-07-01],
INDIRECT("rec.uni[natureza]"),"repasse.cef.obra",
INDIRECT("rec.uni[empresa]"),AN$6)</f>
        <v>0</v>
      </c>
      <c r="AO81" s="231">
        <f ca="1">SUMIFS(rec.uni[2027-07-01],
INDIRECT("rec.uni[natureza]"),"repasse.cef.terreno",
INDIRECT("rec.uni[empresa]"),AO$6)</f>
        <v>0</v>
      </c>
      <c r="AP81" s="232"/>
      <c r="AQ81" s="228">
        <f ca="1">SUMIFS(rec.uni[2027-07-01],
INDIRECT("rec.uni[natureza]"),"taxa.extra",
INDIRECT("rec.uni[empresa]"),AQ$6)</f>
        <v>0</v>
      </c>
      <c r="AR81" s="216"/>
      <c r="AS81" s="216"/>
      <c r="AT81" s="216"/>
      <c r="AU81" s="216"/>
      <c r="AV81" s="216"/>
      <c r="AW81" s="216"/>
      <c r="AX81" s="227">
        <f>COUNTIFS(
    estq[empresa], AX$6,
    estq[Data da venda / reserva], "&gt;=" &amp; $A81,
    estq[Data da venda / reserva], "&lt;"  &amp; EOMONTH($A81,0) + 1
)</f>
        <v>0</v>
      </c>
      <c r="AY81" s="228">
        <f ca="1">SUMIFS(rec.uni[2027-07-01],
INDIRECT("rec.uni[natureza]"),"pro.soluto",
INDIRECT("rec.uni[empresa]"),AY$6)</f>
        <v>0</v>
      </c>
      <c r="AZ81" s="232">
        <f ca="1">SUMIFS(rec.uni[2027-07-01],
INDIRECT("rec.uni[natureza]"),"parcela.fin.total.ik",
INDIRECT("rec.uni[empresa]"),AZ$6)</f>
        <v>0</v>
      </c>
      <c r="BA81" s="228">
        <f ca="1">SUMIFS(rec.uni[2027-07-01],
INDIRECT("rec.uni[natureza]"),"taxa.extra",
INDIRECT("rec.uni[empresa]"),BA$6)</f>
        <v>0</v>
      </c>
      <c r="BB81" s="216"/>
      <c r="BC81" s="216"/>
      <c r="BD81" s="216"/>
      <c r="BE81" s="216"/>
      <c r="BF81" s="216"/>
      <c r="BG81" s="216"/>
      <c r="BH81" s="227">
        <f>COUNTIFS(
    estq[empresa], BH$6,
    estq[Data da venda / reserva], "&gt;=" &amp; $A81,
    estq[Data da venda / reserva], "&lt;"  &amp; EOMONTH($A81,0) + 1
)</f>
        <v>0</v>
      </c>
      <c r="BI81" s="228">
        <f ca="1">SUMIFS(rec.uni[2027-07-01],
INDIRECT("rec.uni[natureza]"),"pro.soluto",
INDIRECT("rec.uni[empresa]"),BI$6)</f>
        <v>0</v>
      </c>
      <c r="BJ81" s="228">
        <f ca="1">SUMIFS(rec.uni[2027-07-01],
INDIRECT("rec.uni[natureza]"),"repasse.cef.obra",
INDIRECT("rec.uni[empresa]"),BJ$6)</f>
        <v>0</v>
      </c>
      <c r="BK81" s="231">
        <f ca="1">SUMIFS(rec.uni[2027-07-01],
INDIRECT("rec.uni[natureza]"),"repasse.cef.terreno",
INDIRECT("rec.uni[empresa]"),BK$6)</f>
        <v>0</v>
      </c>
      <c r="BL81" s="232"/>
      <c r="BM81" s="228">
        <f ca="1">SUMIFS(rec.uni[2027-07-01],
INDIRECT("rec.uni[natureza]"),"taxa.extra",
INDIRECT("rec.uni[empresa]"),BM$6)</f>
        <v>0</v>
      </c>
      <c r="BN81" s="216"/>
      <c r="BO81" s="216"/>
      <c r="BP81" s="216"/>
      <c r="BQ81" s="216"/>
      <c r="BR81" s="216"/>
      <c r="BS81" s="216"/>
      <c r="BT81" s="227">
        <f>COUNTIFS(
    estq[empresa], BT$6,
    estq[Data da venda / reserva], "&gt;=" &amp; $A81,
    estq[Data da venda / reserva], "&lt;"  &amp; EOMONTH($A81,0) + 1
)</f>
        <v>0</v>
      </c>
      <c r="BU81" s="228">
        <f ca="1">SUMIFS(rec.uni[2027-07-01],
INDIRECT("rec.uni[natureza]"),"pro.soluto",
INDIRECT("rec.uni[empresa]"),BU$6)</f>
        <v>0</v>
      </c>
      <c r="BV81" s="228">
        <f ca="1">SUMIFS(rec.uni[2027-07-01],
INDIRECT("rec.uni[natureza]"),"repasse.cef.obra",
INDIRECT("rec.uni[empresa]"),BV$6)</f>
        <v>0</v>
      </c>
      <c r="BW81" s="231">
        <f ca="1">SUMIFS(rec.uni[2027-07-01],
INDIRECT("rec.uni[natureza]"),"repasse.cef.terreno",
INDIRECT("rec.uni[empresa]"),BW$6)</f>
        <v>0</v>
      </c>
      <c r="BX81" s="232"/>
      <c r="BY81" s="228">
        <f ca="1">SUMIFS(rec.uni[2027-07-01],
INDIRECT("rec.uni[natureza]"),"taxa.extra",
INDIRECT("rec.uni[empresa]"),BY$6)</f>
        <v>0</v>
      </c>
      <c r="BZ81" s="216"/>
      <c r="CA81" s="216"/>
      <c r="CB81" s="216"/>
      <c r="CC81" s="216"/>
      <c r="CD81" s="216"/>
      <c r="CE81" s="216"/>
    </row>
    <row r="82" spans="1:83" x14ac:dyDescent="0.25">
      <c r="A82" s="226">
        <v>46600</v>
      </c>
      <c r="B82" s="227">
        <f>COUNTIFS(
    estq[empresa], B$6,
    estq[Data da venda / reserva], "&gt;=" &amp; $A82,
    estq[Data da venda / reserva], "&lt;"  &amp; EOMONTH($A82,0) + 1
)</f>
        <v>0</v>
      </c>
      <c r="C82" s="228">
        <f ca="1">SUMIFS(rec.uni[2027-08-01],
INDIRECT("rec.uni[natureza]"),"pro.soluto",
INDIRECT("rec.uni[empresa]"),C$6)</f>
        <v>0</v>
      </c>
      <c r="D82" s="228">
        <f ca="1">SUMIFS(rec.uni[2027-08-01],
INDIRECT("rec.uni[natureza]"),"repasse.cef.obra",
INDIRECT("rec.uni[empresa]"),D$6)</f>
        <v>0</v>
      </c>
      <c r="E82" s="228">
        <f ca="1">SUMIFS(rec.uni[2027-08-01],
INDIRECT("rec.uni[natureza]"),"repasse.cef.terreno",
INDIRECT("rec.uni[empresa]"),E$6)</f>
        <v>0</v>
      </c>
      <c r="F82" s="232"/>
      <c r="G82" s="228">
        <f ca="1">SUMIFS(rec.uni[2027-08-01],
INDIRECT("rec.uni[natureza]"),"taxa.extra",
INDIRECT("rec.uni[empresa]"),G$6)</f>
        <v>0</v>
      </c>
      <c r="H82" s="216"/>
      <c r="I82" s="216"/>
      <c r="J82" s="216"/>
      <c r="K82" s="216"/>
      <c r="L82" s="216"/>
      <c r="M82" s="216"/>
      <c r="N82" s="227">
        <f>COUNTIFS(
    estq[empresa], N$6,
    estq[Data da venda / reserva], "&gt;=" &amp; $A82,
    estq[Data da venda / reserva], "&lt;"  &amp; EOMONTH($A82,0) + 1
)</f>
        <v>0</v>
      </c>
      <c r="O82" s="228">
        <f ca="1">SUMIFS(rec.uni[2027-08-01],
INDIRECT("rec.uni[natureza]"),"pro.soluto",
INDIRECT("rec.uni[empresa]"),O$6)</f>
        <v>0</v>
      </c>
      <c r="P82" s="228">
        <f ca="1">SUMIFS(rec.uni[2027-08-01],
INDIRECT("rec.uni[natureza]"),"repasse.cef.obra",
INDIRECT("rec.uni[empresa]"),P$6)</f>
        <v>0</v>
      </c>
      <c r="Q82" s="228">
        <f ca="1">SUMIFS(rec.uni[2027-08-01],
INDIRECT("rec.uni[natureza]"),"repasse.cef.terreno",
INDIRECT("rec.uni[empresa]"),Q$6)</f>
        <v>0</v>
      </c>
      <c r="R82" s="232"/>
      <c r="S82" s="228">
        <f ca="1">SUMIFS(rec.uni[2027-08-01],
INDIRECT("rec.uni[natureza]"),"taxa.extra",
INDIRECT("rec.uni[empresa]"),S$6)</f>
        <v>0</v>
      </c>
      <c r="T82" s="216"/>
      <c r="U82" s="216"/>
      <c r="V82" s="216"/>
      <c r="W82" s="216"/>
      <c r="X82" s="216"/>
      <c r="Y82" s="216"/>
      <c r="Z82" s="227">
        <f>COUNTIFS(
    estq[empresa], Z$6,
    estq[Data da venda / reserva], "&gt;=" &amp; $A82,
    estq[Data da venda / reserva], "&lt;"  &amp; EOMONTH($A82,0) + 1
)</f>
        <v>0</v>
      </c>
      <c r="AA82" s="228">
        <f ca="1">SUMIFS(rec.uni[2027-08-01],
INDIRECT("rec.uni[natureza]"),"pro.soluto",
INDIRECT("rec.uni[empresa]"),AA$6)</f>
        <v>0</v>
      </c>
      <c r="AB82" s="228">
        <f ca="1">SUMIFS(rec.uni[2027-08-01],
INDIRECT("rec.uni[natureza]"),"repasse.cef.obra",
INDIRECT("rec.uni[empresa]"),AB$6)</f>
        <v>0</v>
      </c>
      <c r="AC82" s="231">
        <f ca="1">SUMIFS(rec.uni[2027-08-01],
INDIRECT("rec.uni[natureza]"),"repasse.cef.terreno",
INDIRECT("rec.uni[empresa]"),AC$6)</f>
        <v>0</v>
      </c>
      <c r="AD82" s="232"/>
      <c r="AE82" s="228">
        <f ca="1">SUMIFS(rec.uni[2027-08-01],
INDIRECT("rec.uni[natureza]"),"taxa.extra",
INDIRECT("rec.uni[empresa]"),AE$6)</f>
        <v>0</v>
      </c>
      <c r="AF82" s="216"/>
      <c r="AG82" s="216"/>
      <c r="AH82" s="216"/>
      <c r="AI82" s="216"/>
      <c r="AJ82" s="216"/>
      <c r="AK82" s="216"/>
      <c r="AL82" s="227">
        <f>COUNTIFS(
    estq[empresa], AL$6,
    estq[Data da venda / reserva], "&gt;=" &amp; $A82,
    estq[Data da venda / reserva], "&lt;"  &amp; EOMONTH($A82,0) + 1
)</f>
        <v>0</v>
      </c>
      <c r="AM82" s="228">
        <f ca="1">SUMIFS(rec.uni[2027-08-01],
INDIRECT("rec.uni[natureza]"),"pro.soluto",
INDIRECT("rec.uni[empresa]"),AM$6)</f>
        <v>0</v>
      </c>
      <c r="AN82" s="228">
        <f ca="1">SUMIFS(rec.uni[2027-08-01],
INDIRECT("rec.uni[natureza]"),"repasse.cef.obra",
INDIRECT("rec.uni[empresa]"),AN$6)</f>
        <v>0</v>
      </c>
      <c r="AO82" s="231">
        <f ca="1">SUMIFS(rec.uni[2027-08-01],
INDIRECT("rec.uni[natureza]"),"repasse.cef.terreno",
INDIRECT("rec.uni[empresa]"),AO$6)</f>
        <v>0</v>
      </c>
      <c r="AP82" s="232"/>
      <c r="AQ82" s="228">
        <f ca="1">SUMIFS(rec.uni[2027-08-01],
INDIRECT("rec.uni[natureza]"),"taxa.extra",
INDIRECT("rec.uni[empresa]"),AQ$6)</f>
        <v>0</v>
      </c>
      <c r="AR82" s="216"/>
      <c r="AS82" s="216"/>
      <c r="AT82" s="216"/>
      <c r="AU82" s="216"/>
      <c r="AV82" s="216"/>
      <c r="AW82" s="216"/>
      <c r="AX82" s="227">
        <f>COUNTIFS(
    estq[empresa], AX$6,
    estq[Data da venda / reserva], "&gt;=" &amp; $A82,
    estq[Data da venda / reserva], "&lt;"  &amp; EOMONTH($A82,0) + 1
)</f>
        <v>0</v>
      </c>
      <c r="AY82" s="228">
        <f ca="1">SUMIFS(rec.uni[2027-08-01],
INDIRECT("rec.uni[natureza]"),"pro.soluto",
INDIRECT("rec.uni[empresa]"),AY$6)</f>
        <v>0</v>
      </c>
      <c r="AZ82" s="232">
        <f ca="1">SUMIFS(rec.uni[2027-08-01],
INDIRECT("rec.uni[natureza]"),"parcela.fin.total.ik",
INDIRECT("rec.uni[empresa]"),AZ$6)</f>
        <v>0</v>
      </c>
      <c r="BA82" s="228">
        <f ca="1">SUMIFS(rec.uni[2027-08-01],
INDIRECT("rec.uni[natureza]"),"taxa.extra",
INDIRECT("rec.uni[empresa]"),BA$6)</f>
        <v>0</v>
      </c>
      <c r="BB82" s="216"/>
      <c r="BC82" s="216"/>
      <c r="BD82" s="216"/>
      <c r="BE82" s="216"/>
      <c r="BF82" s="216"/>
      <c r="BG82" s="216"/>
      <c r="BH82" s="227">
        <f>COUNTIFS(
    estq[empresa], BH$6,
    estq[Data da venda / reserva], "&gt;=" &amp; $A82,
    estq[Data da venda / reserva], "&lt;"  &amp; EOMONTH($A82,0) + 1
)</f>
        <v>0</v>
      </c>
      <c r="BI82" s="228">
        <f ca="1">SUMIFS(rec.uni[2027-08-01],
INDIRECT("rec.uni[natureza]"),"pro.soluto",
INDIRECT("rec.uni[empresa]"),BI$6)</f>
        <v>0</v>
      </c>
      <c r="BJ82" s="228">
        <f ca="1">SUMIFS(rec.uni[2027-08-01],
INDIRECT("rec.uni[natureza]"),"repasse.cef.obra",
INDIRECT("rec.uni[empresa]"),BJ$6)</f>
        <v>0</v>
      </c>
      <c r="BK82" s="231">
        <f ca="1">SUMIFS(rec.uni[2027-08-01],
INDIRECT("rec.uni[natureza]"),"repasse.cef.terreno",
INDIRECT("rec.uni[empresa]"),BK$6)</f>
        <v>0</v>
      </c>
      <c r="BL82" s="232"/>
      <c r="BM82" s="228">
        <f ca="1">SUMIFS(rec.uni[2027-08-01],
INDIRECT("rec.uni[natureza]"),"taxa.extra",
INDIRECT("rec.uni[empresa]"),BM$6)</f>
        <v>0</v>
      </c>
      <c r="BN82" s="216"/>
      <c r="BO82" s="216"/>
      <c r="BP82" s="216"/>
      <c r="BQ82" s="216"/>
      <c r="BR82" s="216"/>
      <c r="BS82" s="216"/>
      <c r="BT82" s="227">
        <f>COUNTIFS(
    estq[empresa], BT$6,
    estq[Data da venda / reserva], "&gt;=" &amp; $A82,
    estq[Data da venda / reserva], "&lt;"  &amp; EOMONTH($A82,0) + 1
)</f>
        <v>0</v>
      </c>
      <c r="BU82" s="228">
        <f ca="1">SUMIFS(rec.uni[2027-08-01],
INDIRECT("rec.uni[natureza]"),"pro.soluto",
INDIRECT("rec.uni[empresa]"),BU$6)</f>
        <v>0</v>
      </c>
      <c r="BV82" s="228">
        <f ca="1">SUMIFS(rec.uni[2027-08-01],
INDIRECT("rec.uni[natureza]"),"repasse.cef.obra",
INDIRECT("rec.uni[empresa]"),BV$6)</f>
        <v>0</v>
      </c>
      <c r="BW82" s="231">
        <f ca="1">SUMIFS(rec.uni[2027-08-01],
INDIRECT("rec.uni[natureza]"),"repasse.cef.terreno",
INDIRECT("rec.uni[empresa]"),BW$6)</f>
        <v>0</v>
      </c>
      <c r="BX82" s="232"/>
      <c r="BY82" s="228">
        <f ca="1">SUMIFS(rec.uni[2027-08-01],
INDIRECT("rec.uni[natureza]"),"taxa.extra",
INDIRECT("rec.uni[empresa]"),BY$6)</f>
        <v>0</v>
      </c>
      <c r="BZ82" s="216"/>
      <c r="CA82" s="216"/>
      <c r="CB82" s="216"/>
      <c r="CC82" s="216"/>
      <c r="CD82" s="216"/>
      <c r="CE82" s="216"/>
    </row>
    <row r="83" spans="1:83" x14ac:dyDescent="0.25">
      <c r="A83" s="226">
        <v>46631</v>
      </c>
      <c r="B83" s="227">
        <f>COUNTIFS(
    estq[empresa], B$6,
    estq[Data da venda / reserva], "&gt;=" &amp; $A83,
    estq[Data da venda / reserva], "&lt;"  &amp; EOMONTH($A83,0) + 1
)</f>
        <v>0</v>
      </c>
      <c r="C83" s="228">
        <f ca="1">SUMIFS(rec.uni[2027-09-01],
INDIRECT("rec.uni[natureza]"),"pro.soluto",
INDIRECT("rec.uni[empresa]"),C$6)</f>
        <v>0</v>
      </c>
      <c r="D83" s="228">
        <f ca="1">SUMIFS(rec.uni[2027-09-01],
INDIRECT("rec.uni[natureza]"),"repasse.cef.obra",
INDIRECT("rec.uni[empresa]"),D$6)</f>
        <v>0</v>
      </c>
      <c r="E83" s="228">
        <f ca="1">SUMIFS(rec.uni[2027-09-01],
INDIRECT("rec.uni[natureza]"),"repasse.cef.terreno",
INDIRECT("rec.uni[empresa]"),E$6)</f>
        <v>0</v>
      </c>
      <c r="F83" s="232"/>
      <c r="G83" s="228">
        <f ca="1">SUMIFS(rec.uni[2027-09-01],
INDIRECT("rec.uni[natureza]"),"taxa.extra",
INDIRECT("rec.uni[empresa]"),G$6)</f>
        <v>0</v>
      </c>
      <c r="H83" s="216"/>
      <c r="I83" s="216"/>
      <c r="J83" s="216"/>
      <c r="K83" s="216"/>
      <c r="L83" s="216"/>
      <c r="M83" s="216"/>
      <c r="N83" s="227">
        <f>COUNTIFS(
    estq[empresa], N$6,
    estq[Data da venda / reserva], "&gt;=" &amp; $A83,
    estq[Data da venda / reserva], "&lt;"  &amp; EOMONTH($A83,0) + 1
)</f>
        <v>0</v>
      </c>
      <c r="O83" s="228">
        <f ca="1">SUMIFS(rec.uni[2027-09-01],
INDIRECT("rec.uni[natureza]"),"pro.soluto",
INDIRECT("rec.uni[empresa]"),O$6)</f>
        <v>0</v>
      </c>
      <c r="P83" s="228">
        <f ca="1">SUMIFS(rec.uni[2027-09-01],
INDIRECT("rec.uni[natureza]"),"repasse.cef.obra",
INDIRECT("rec.uni[empresa]"),P$6)</f>
        <v>0</v>
      </c>
      <c r="Q83" s="228">
        <f ca="1">SUMIFS(rec.uni[2027-09-01],
INDIRECT("rec.uni[natureza]"),"repasse.cef.terreno",
INDIRECT("rec.uni[empresa]"),Q$6)</f>
        <v>0</v>
      </c>
      <c r="R83" s="232"/>
      <c r="S83" s="228">
        <f ca="1">SUMIFS(rec.uni[2027-09-01],
INDIRECT("rec.uni[natureza]"),"taxa.extra",
INDIRECT("rec.uni[empresa]"),S$6)</f>
        <v>0</v>
      </c>
      <c r="T83" s="216"/>
      <c r="U83" s="216"/>
      <c r="V83" s="216"/>
      <c r="W83" s="216"/>
      <c r="X83" s="216"/>
      <c r="Y83" s="216"/>
      <c r="Z83" s="227">
        <f>COUNTIFS(
    estq[empresa], Z$6,
    estq[Data da venda / reserva], "&gt;=" &amp; $A83,
    estq[Data da venda / reserva], "&lt;"  &amp; EOMONTH($A83,0) + 1
)</f>
        <v>0</v>
      </c>
      <c r="AA83" s="228">
        <f ca="1">SUMIFS(rec.uni[2027-09-01],
INDIRECT("rec.uni[natureza]"),"pro.soluto",
INDIRECT("rec.uni[empresa]"),AA$6)</f>
        <v>0</v>
      </c>
      <c r="AB83" s="228">
        <f ca="1">SUMIFS(rec.uni[2027-09-01],
INDIRECT("rec.uni[natureza]"),"repasse.cef.obra",
INDIRECT("rec.uni[empresa]"),AB$6)</f>
        <v>0</v>
      </c>
      <c r="AC83" s="231">
        <f ca="1">SUMIFS(rec.uni[2027-09-01],
INDIRECT("rec.uni[natureza]"),"repasse.cef.terreno",
INDIRECT("rec.uni[empresa]"),AC$6)</f>
        <v>0</v>
      </c>
      <c r="AD83" s="232"/>
      <c r="AE83" s="228">
        <f ca="1">SUMIFS(rec.uni[2027-09-01],
INDIRECT("rec.uni[natureza]"),"taxa.extra",
INDIRECT("rec.uni[empresa]"),AE$6)</f>
        <v>0</v>
      </c>
      <c r="AF83" s="216"/>
      <c r="AG83" s="216"/>
      <c r="AH83" s="216"/>
      <c r="AI83" s="216"/>
      <c r="AJ83" s="216"/>
      <c r="AK83" s="216"/>
      <c r="AL83" s="227">
        <f>COUNTIFS(
    estq[empresa], AL$6,
    estq[Data da venda / reserva], "&gt;=" &amp; $A83,
    estq[Data da venda / reserva], "&lt;"  &amp; EOMONTH($A83,0) + 1
)</f>
        <v>0</v>
      </c>
      <c r="AM83" s="228">
        <f ca="1">SUMIFS(rec.uni[2027-09-01],
INDIRECT("rec.uni[natureza]"),"pro.soluto",
INDIRECT("rec.uni[empresa]"),AM$6)</f>
        <v>0</v>
      </c>
      <c r="AN83" s="228">
        <f ca="1">SUMIFS(rec.uni[2027-09-01],
INDIRECT("rec.uni[natureza]"),"repasse.cef.obra",
INDIRECT("rec.uni[empresa]"),AN$6)</f>
        <v>0</v>
      </c>
      <c r="AO83" s="231">
        <f ca="1">SUMIFS(rec.uni[2027-09-01],
INDIRECT("rec.uni[natureza]"),"repasse.cef.terreno",
INDIRECT("rec.uni[empresa]"),AO$6)</f>
        <v>0</v>
      </c>
      <c r="AP83" s="232"/>
      <c r="AQ83" s="228">
        <f ca="1">SUMIFS(rec.uni[2027-09-01],
INDIRECT("rec.uni[natureza]"),"taxa.extra",
INDIRECT("rec.uni[empresa]"),AQ$6)</f>
        <v>0</v>
      </c>
      <c r="AR83" s="216"/>
      <c r="AS83" s="216"/>
      <c r="AT83" s="216"/>
      <c r="AU83" s="216"/>
      <c r="AV83" s="216"/>
      <c r="AW83" s="216"/>
      <c r="AX83" s="227">
        <f>COUNTIFS(
    estq[empresa], AX$6,
    estq[Data da venda / reserva], "&gt;=" &amp; $A83,
    estq[Data da venda / reserva], "&lt;"  &amp; EOMONTH($A83,0) + 1
)</f>
        <v>0</v>
      </c>
      <c r="AY83" s="228">
        <f ca="1">SUMIFS(rec.uni[2027-09-01],
INDIRECT("rec.uni[natureza]"),"pro.soluto",
INDIRECT("rec.uni[empresa]"),AY$6)</f>
        <v>0</v>
      </c>
      <c r="AZ83" s="232">
        <f ca="1">SUMIFS(rec.uni[2027-09-01],
INDIRECT("rec.uni[natureza]"),"parcela.fin.total.ik",
INDIRECT("rec.uni[empresa]"),AZ$6)</f>
        <v>0</v>
      </c>
      <c r="BA83" s="228">
        <f ca="1">SUMIFS(rec.uni[2027-09-01],
INDIRECT("rec.uni[natureza]"),"taxa.extra",
INDIRECT("rec.uni[empresa]"),BA$6)</f>
        <v>0</v>
      </c>
      <c r="BB83" s="216"/>
      <c r="BC83" s="216"/>
      <c r="BD83" s="216"/>
      <c r="BE83" s="216"/>
      <c r="BF83" s="216"/>
      <c r="BG83" s="216"/>
      <c r="BH83" s="227">
        <f>COUNTIFS(
    estq[empresa], BH$6,
    estq[Data da venda / reserva], "&gt;=" &amp; $A83,
    estq[Data da venda / reserva], "&lt;"  &amp; EOMONTH($A83,0) + 1
)</f>
        <v>0</v>
      </c>
      <c r="BI83" s="228">
        <f ca="1">SUMIFS(rec.uni[2027-09-01],
INDIRECT("rec.uni[natureza]"),"pro.soluto",
INDIRECT("rec.uni[empresa]"),BI$6)</f>
        <v>0</v>
      </c>
      <c r="BJ83" s="228">
        <f ca="1">SUMIFS(rec.uni[2027-09-01],
INDIRECT("rec.uni[natureza]"),"repasse.cef.obra",
INDIRECT("rec.uni[empresa]"),BJ$6)</f>
        <v>0</v>
      </c>
      <c r="BK83" s="231">
        <f ca="1">SUMIFS(rec.uni[2027-09-01],
INDIRECT("rec.uni[natureza]"),"repasse.cef.terreno",
INDIRECT("rec.uni[empresa]"),BK$6)</f>
        <v>0</v>
      </c>
      <c r="BL83" s="232"/>
      <c r="BM83" s="228">
        <f ca="1">SUMIFS(rec.uni[2027-09-01],
INDIRECT("rec.uni[natureza]"),"taxa.extra",
INDIRECT("rec.uni[empresa]"),BM$6)</f>
        <v>0</v>
      </c>
      <c r="BN83" s="216"/>
      <c r="BO83" s="216"/>
      <c r="BP83" s="216"/>
      <c r="BQ83" s="216"/>
      <c r="BR83" s="216"/>
      <c r="BS83" s="216"/>
      <c r="BT83" s="227">
        <f>COUNTIFS(
    estq[empresa], BT$6,
    estq[Data da venda / reserva], "&gt;=" &amp; $A83,
    estq[Data da venda / reserva], "&lt;"  &amp; EOMONTH($A83,0) + 1
)</f>
        <v>0</v>
      </c>
      <c r="BU83" s="228">
        <f ca="1">SUMIFS(rec.uni[2027-09-01],
INDIRECT("rec.uni[natureza]"),"pro.soluto",
INDIRECT("rec.uni[empresa]"),BU$6)</f>
        <v>0</v>
      </c>
      <c r="BV83" s="228">
        <f ca="1">SUMIFS(rec.uni[2027-09-01],
INDIRECT("rec.uni[natureza]"),"repasse.cef.obra",
INDIRECT("rec.uni[empresa]"),BV$6)</f>
        <v>0</v>
      </c>
      <c r="BW83" s="231">
        <f ca="1">SUMIFS(rec.uni[2027-09-01],
INDIRECT("rec.uni[natureza]"),"repasse.cef.terreno",
INDIRECT("rec.uni[empresa]"),BW$6)</f>
        <v>0</v>
      </c>
      <c r="BX83" s="232"/>
      <c r="BY83" s="228">
        <f ca="1">SUMIFS(rec.uni[2027-09-01],
INDIRECT("rec.uni[natureza]"),"taxa.extra",
INDIRECT("rec.uni[empresa]"),BY$6)</f>
        <v>0</v>
      </c>
      <c r="BZ83" s="216"/>
      <c r="CA83" s="216"/>
      <c r="CB83" s="216"/>
      <c r="CC83" s="216"/>
      <c r="CD83" s="216"/>
      <c r="CE83" s="216"/>
    </row>
    <row r="84" spans="1:83" x14ac:dyDescent="0.25">
      <c r="A84" s="226">
        <v>46661</v>
      </c>
      <c r="B84" s="227">
        <f>COUNTIFS(
    estq[empresa], B$6,
    estq[Data da venda / reserva], "&gt;=" &amp; $A84,
    estq[Data da venda / reserva], "&lt;"  &amp; EOMONTH($A84,0) + 1
)</f>
        <v>0</v>
      </c>
      <c r="C84" s="228">
        <f ca="1">SUMIFS(rec.uni[2027-10-01],
INDIRECT("rec.uni[natureza]"),"pro.soluto",
INDIRECT("rec.uni[empresa]"),C$6)</f>
        <v>0</v>
      </c>
      <c r="D84" s="228">
        <f ca="1">SUMIFS(rec.uni[2027-10-01],
INDIRECT("rec.uni[natureza]"),"repasse.cef.obra",
INDIRECT("rec.uni[empresa]"),D$6)</f>
        <v>0</v>
      </c>
      <c r="E84" s="228">
        <f ca="1">SUMIFS(rec.uni[2027-10-01],
INDIRECT("rec.uni[natureza]"),"repasse.cef.terreno",
INDIRECT("rec.uni[empresa]"),E$6)</f>
        <v>0</v>
      </c>
      <c r="F84" s="232"/>
      <c r="G84" s="228">
        <f ca="1">SUMIFS(rec.uni[2027-10-01],
INDIRECT("rec.uni[natureza]"),"taxa.extra",
INDIRECT("rec.uni[empresa]"),G$6)</f>
        <v>0</v>
      </c>
      <c r="H84" s="216"/>
      <c r="I84" s="216"/>
      <c r="J84" s="216"/>
      <c r="K84" s="216"/>
      <c r="L84" s="216"/>
      <c r="M84" s="216"/>
      <c r="N84" s="227">
        <f>COUNTIFS(
    estq[empresa], N$6,
    estq[Data da venda / reserva], "&gt;=" &amp; $A84,
    estq[Data da venda / reserva], "&lt;"  &amp; EOMONTH($A84,0) + 1
)</f>
        <v>0</v>
      </c>
      <c r="O84" s="228">
        <f ca="1">SUMIFS(rec.uni[2027-10-01],
INDIRECT("rec.uni[natureza]"),"pro.soluto",
INDIRECT("rec.uni[empresa]"),O$6)</f>
        <v>0</v>
      </c>
      <c r="P84" s="228">
        <f ca="1">SUMIFS(rec.uni[2027-10-01],
INDIRECT("rec.uni[natureza]"),"repasse.cef.obra",
INDIRECT("rec.uni[empresa]"),P$6)</f>
        <v>0</v>
      </c>
      <c r="Q84" s="228">
        <f ca="1">SUMIFS(rec.uni[2027-10-01],
INDIRECT("rec.uni[natureza]"),"repasse.cef.terreno",
INDIRECT("rec.uni[empresa]"),Q$6)</f>
        <v>0</v>
      </c>
      <c r="R84" s="232"/>
      <c r="S84" s="228">
        <f ca="1">SUMIFS(rec.uni[2027-10-01],
INDIRECT("rec.uni[natureza]"),"taxa.extra",
INDIRECT("rec.uni[empresa]"),S$6)</f>
        <v>0</v>
      </c>
      <c r="T84" s="216"/>
      <c r="U84" s="216"/>
      <c r="V84" s="216"/>
      <c r="W84" s="216"/>
      <c r="X84" s="216"/>
      <c r="Y84" s="216"/>
      <c r="Z84" s="227">
        <f>COUNTIFS(
    estq[empresa], Z$6,
    estq[Data da venda / reserva], "&gt;=" &amp; $A84,
    estq[Data da venda / reserva], "&lt;"  &amp; EOMONTH($A84,0) + 1
)</f>
        <v>0</v>
      </c>
      <c r="AA84" s="228">
        <f ca="1">SUMIFS(rec.uni[2027-10-01],
INDIRECT("rec.uni[natureza]"),"pro.soluto",
INDIRECT("rec.uni[empresa]"),AA$6)</f>
        <v>0</v>
      </c>
      <c r="AB84" s="228">
        <f ca="1">SUMIFS(rec.uni[2027-10-01],
INDIRECT("rec.uni[natureza]"),"repasse.cef.obra",
INDIRECT("rec.uni[empresa]"),AB$6)</f>
        <v>0</v>
      </c>
      <c r="AC84" s="231">
        <f ca="1">SUMIFS(rec.uni[2027-10-01],
INDIRECT("rec.uni[natureza]"),"repasse.cef.terreno",
INDIRECT("rec.uni[empresa]"),AC$6)</f>
        <v>0</v>
      </c>
      <c r="AD84" s="232"/>
      <c r="AE84" s="228">
        <f ca="1">SUMIFS(rec.uni[2027-10-01],
INDIRECT("rec.uni[natureza]"),"taxa.extra",
INDIRECT("rec.uni[empresa]"),AE$6)</f>
        <v>0</v>
      </c>
      <c r="AF84" s="216"/>
      <c r="AG84" s="216"/>
      <c r="AH84" s="216"/>
      <c r="AI84" s="216"/>
      <c r="AJ84" s="216"/>
      <c r="AK84" s="216"/>
      <c r="AL84" s="227">
        <f>COUNTIFS(
    estq[empresa], AL$6,
    estq[Data da venda / reserva], "&gt;=" &amp; $A84,
    estq[Data da venda / reserva], "&lt;"  &amp; EOMONTH($A84,0) + 1
)</f>
        <v>0</v>
      </c>
      <c r="AM84" s="228">
        <f ca="1">SUMIFS(rec.uni[2027-10-01],
INDIRECT("rec.uni[natureza]"),"pro.soluto",
INDIRECT("rec.uni[empresa]"),AM$6)</f>
        <v>0</v>
      </c>
      <c r="AN84" s="228">
        <f ca="1">SUMIFS(rec.uni[2027-10-01],
INDIRECT("rec.uni[natureza]"),"repasse.cef.obra",
INDIRECT("rec.uni[empresa]"),AN$6)</f>
        <v>0</v>
      </c>
      <c r="AO84" s="231">
        <f ca="1">SUMIFS(rec.uni[2027-10-01],
INDIRECT("rec.uni[natureza]"),"repasse.cef.terreno",
INDIRECT("rec.uni[empresa]"),AO$6)</f>
        <v>0</v>
      </c>
      <c r="AP84" s="232"/>
      <c r="AQ84" s="228">
        <f ca="1">SUMIFS(rec.uni[2027-10-01],
INDIRECT("rec.uni[natureza]"),"taxa.extra",
INDIRECT("rec.uni[empresa]"),AQ$6)</f>
        <v>0</v>
      </c>
      <c r="AR84" s="216"/>
      <c r="AS84" s="216"/>
      <c r="AT84" s="216"/>
      <c r="AU84" s="216"/>
      <c r="AV84" s="216"/>
      <c r="AW84" s="216"/>
      <c r="AX84" s="227">
        <f>COUNTIFS(
    estq[empresa], AX$6,
    estq[Data da venda / reserva], "&gt;=" &amp; $A84,
    estq[Data da venda / reserva], "&lt;"  &amp; EOMONTH($A84,0) + 1
)</f>
        <v>0</v>
      </c>
      <c r="AY84" s="228">
        <f ca="1">SUMIFS(rec.uni[2027-10-01],
INDIRECT("rec.uni[natureza]"),"pro.soluto",
INDIRECT("rec.uni[empresa]"),AY$6)</f>
        <v>0</v>
      </c>
      <c r="AZ84" s="232">
        <f ca="1">SUMIFS(rec.uni[2027-10-01],
INDIRECT("rec.uni[natureza]"),"parcela.fin.total.ik",
INDIRECT("rec.uni[empresa]"),AZ$6)</f>
        <v>0</v>
      </c>
      <c r="BA84" s="228">
        <f ca="1">SUMIFS(rec.uni[2027-10-01],
INDIRECT("rec.uni[natureza]"),"taxa.extra",
INDIRECT("rec.uni[empresa]"),BA$6)</f>
        <v>0</v>
      </c>
      <c r="BB84" s="216"/>
      <c r="BC84" s="216"/>
      <c r="BD84" s="216"/>
      <c r="BE84" s="216"/>
      <c r="BF84" s="216"/>
      <c r="BG84" s="216"/>
      <c r="BH84" s="227">
        <f>COUNTIFS(
    estq[empresa], BH$6,
    estq[Data da venda / reserva], "&gt;=" &amp; $A84,
    estq[Data da venda / reserva], "&lt;"  &amp; EOMONTH($A84,0) + 1
)</f>
        <v>0</v>
      </c>
      <c r="BI84" s="228">
        <f ca="1">SUMIFS(rec.uni[2027-10-01],
INDIRECT("rec.uni[natureza]"),"pro.soluto",
INDIRECT("rec.uni[empresa]"),BI$6)</f>
        <v>0</v>
      </c>
      <c r="BJ84" s="228">
        <f ca="1">SUMIFS(rec.uni[2027-10-01],
INDIRECT("rec.uni[natureza]"),"repasse.cef.obra",
INDIRECT("rec.uni[empresa]"),BJ$6)</f>
        <v>0</v>
      </c>
      <c r="BK84" s="231">
        <f ca="1">SUMIFS(rec.uni[2027-10-01],
INDIRECT("rec.uni[natureza]"),"repasse.cef.terreno",
INDIRECT("rec.uni[empresa]"),BK$6)</f>
        <v>0</v>
      </c>
      <c r="BL84" s="232"/>
      <c r="BM84" s="228">
        <f ca="1">SUMIFS(rec.uni[2027-10-01],
INDIRECT("rec.uni[natureza]"),"taxa.extra",
INDIRECT("rec.uni[empresa]"),BM$6)</f>
        <v>0</v>
      </c>
      <c r="BN84" s="216"/>
      <c r="BO84" s="216"/>
      <c r="BP84" s="216"/>
      <c r="BQ84" s="216"/>
      <c r="BR84" s="216"/>
      <c r="BS84" s="216"/>
      <c r="BT84" s="227">
        <f>COUNTIFS(
    estq[empresa], BT$6,
    estq[Data da venda / reserva], "&gt;=" &amp; $A84,
    estq[Data da venda / reserva], "&lt;"  &amp; EOMONTH($A84,0) + 1
)</f>
        <v>0</v>
      </c>
      <c r="BU84" s="228">
        <f ca="1">SUMIFS(rec.uni[2027-10-01],
INDIRECT("rec.uni[natureza]"),"pro.soluto",
INDIRECT("rec.uni[empresa]"),BU$6)</f>
        <v>0</v>
      </c>
      <c r="BV84" s="228">
        <f ca="1">SUMIFS(rec.uni[2027-10-01],
INDIRECT("rec.uni[natureza]"),"repasse.cef.obra",
INDIRECT("rec.uni[empresa]"),BV$6)</f>
        <v>0</v>
      </c>
      <c r="BW84" s="231">
        <f ca="1">SUMIFS(rec.uni[2027-10-01],
INDIRECT("rec.uni[natureza]"),"repasse.cef.terreno",
INDIRECT("rec.uni[empresa]"),BW$6)</f>
        <v>0</v>
      </c>
      <c r="BX84" s="232"/>
      <c r="BY84" s="228">
        <f ca="1">SUMIFS(rec.uni[2027-10-01],
INDIRECT("rec.uni[natureza]"),"taxa.extra",
INDIRECT("rec.uni[empresa]"),BY$6)</f>
        <v>0</v>
      </c>
      <c r="BZ84" s="216"/>
      <c r="CA84" s="216"/>
      <c r="CB84" s="216"/>
      <c r="CC84" s="216"/>
      <c r="CD84" s="216"/>
      <c r="CE84" s="216"/>
    </row>
    <row r="85" spans="1:83" x14ac:dyDescent="0.25">
      <c r="A85" s="226">
        <v>46692</v>
      </c>
      <c r="B85" s="227">
        <f>COUNTIFS(
    estq[empresa], B$6,
    estq[Data da venda / reserva], "&gt;=" &amp; $A85,
    estq[Data da venda / reserva], "&lt;"  &amp; EOMONTH($A85,0) + 1
)</f>
        <v>0</v>
      </c>
      <c r="C85" s="228">
        <f ca="1">SUMIFS(rec.uni[2027-11-01],
INDIRECT("rec.uni[natureza]"),"pro.soluto",
INDIRECT("rec.uni[empresa]"),C$6)</f>
        <v>0</v>
      </c>
      <c r="D85" s="228">
        <f ca="1">SUMIFS(rec.uni[2027-11-01],
INDIRECT("rec.uni[natureza]"),"repasse.cef.obra",
INDIRECT("rec.uni[empresa]"),D$6)</f>
        <v>0</v>
      </c>
      <c r="E85" s="228">
        <f ca="1">SUMIFS(rec.uni[2027-11-01],
INDIRECT("rec.uni[natureza]"),"repasse.cef.terreno",
INDIRECT("rec.uni[empresa]"),E$6)</f>
        <v>0</v>
      </c>
      <c r="F85" s="232"/>
      <c r="G85" s="228">
        <f ca="1">SUMIFS(rec.uni[2027-11-01],
INDIRECT("rec.uni[natureza]"),"taxa.extra",
INDIRECT("rec.uni[empresa]"),G$6)</f>
        <v>0</v>
      </c>
      <c r="H85" s="216"/>
      <c r="I85" s="216"/>
      <c r="J85" s="216"/>
      <c r="K85" s="216"/>
      <c r="L85" s="216"/>
      <c r="M85" s="216"/>
      <c r="N85" s="227">
        <f>COUNTIFS(
    estq[empresa], N$6,
    estq[Data da venda / reserva], "&gt;=" &amp; $A85,
    estq[Data da venda / reserva], "&lt;"  &amp; EOMONTH($A85,0) + 1
)</f>
        <v>0</v>
      </c>
      <c r="O85" s="228">
        <f ca="1">SUMIFS(rec.uni[2027-11-01],
INDIRECT("rec.uni[natureza]"),"pro.soluto",
INDIRECT("rec.uni[empresa]"),O$6)</f>
        <v>0</v>
      </c>
      <c r="P85" s="228">
        <f ca="1">SUMIFS(rec.uni[2027-11-01],
INDIRECT("rec.uni[natureza]"),"repasse.cef.obra",
INDIRECT("rec.uni[empresa]"),P$6)</f>
        <v>0</v>
      </c>
      <c r="Q85" s="228">
        <f ca="1">SUMIFS(rec.uni[2027-11-01],
INDIRECT("rec.uni[natureza]"),"repasse.cef.terreno",
INDIRECT("rec.uni[empresa]"),Q$6)</f>
        <v>0</v>
      </c>
      <c r="R85" s="232"/>
      <c r="S85" s="228">
        <f ca="1">SUMIFS(rec.uni[2027-11-01],
INDIRECT("rec.uni[natureza]"),"taxa.extra",
INDIRECT("rec.uni[empresa]"),S$6)</f>
        <v>0</v>
      </c>
      <c r="T85" s="216"/>
      <c r="U85" s="216"/>
      <c r="V85" s="216"/>
      <c r="W85" s="216"/>
      <c r="X85" s="216"/>
      <c r="Y85" s="216"/>
      <c r="Z85" s="227">
        <f>COUNTIFS(
    estq[empresa], Z$6,
    estq[Data da venda / reserva], "&gt;=" &amp; $A85,
    estq[Data da venda / reserva], "&lt;"  &amp; EOMONTH($A85,0) + 1
)</f>
        <v>0</v>
      </c>
      <c r="AA85" s="228">
        <f ca="1">SUMIFS(rec.uni[2027-11-01],
INDIRECT("rec.uni[natureza]"),"pro.soluto",
INDIRECT("rec.uni[empresa]"),AA$6)</f>
        <v>0</v>
      </c>
      <c r="AB85" s="228">
        <f ca="1">SUMIFS(rec.uni[2027-11-01],
INDIRECT("rec.uni[natureza]"),"repasse.cef.obra",
INDIRECT("rec.uni[empresa]"),AB$6)</f>
        <v>0</v>
      </c>
      <c r="AC85" s="231">
        <f ca="1">SUMIFS(rec.uni[2027-11-01],
INDIRECT("rec.uni[natureza]"),"repasse.cef.terreno",
INDIRECT("rec.uni[empresa]"),AC$6)</f>
        <v>0</v>
      </c>
      <c r="AD85" s="232"/>
      <c r="AE85" s="228">
        <f ca="1">SUMIFS(rec.uni[2027-11-01],
INDIRECT("rec.uni[natureza]"),"taxa.extra",
INDIRECT("rec.uni[empresa]"),AE$6)</f>
        <v>0</v>
      </c>
      <c r="AF85" s="216"/>
      <c r="AG85" s="216"/>
      <c r="AH85" s="216"/>
      <c r="AI85" s="216"/>
      <c r="AJ85" s="216"/>
      <c r="AK85" s="216"/>
      <c r="AL85" s="227">
        <f>COUNTIFS(
    estq[empresa], AL$6,
    estq[Data da venda / reserva], "&gt;=" &amp; $A85,
    estq[Data da venda / reserva], "&lt;"  &amp; EOMONTH($A85,0) + 1
)</f>
        <v>0</v>
      </c>
      <c r="AM85" s="228">
        <f ca="1">SUMIFS(rec.uni[2027-11-01],
INDIRECT("rec.uni[natureza]"),"pro.soluto",
INDIRECT("rec.uni[empresa]"),AM$6)</f>
        <v>0</v>
      </c>
      <c r="AN85" s="228">
        <f ca="1">SUMIFS(rec.uni[2027-11-01],
INDIRECT("rec.uni[natureza]"),"repasse.cef.obra",
INDIRECT("rec.uni[empresa]"),AN$6)</f>
        <v>0</v>
      </c>
      <c r="AO85" s="231">
        <f ca="1">SUMIFS(rec.uni[2027-11-01],
INDIRECT("rec.uni[natureza]"),"repasse.cef.terreno",
INDIRECT("rec.uni[empresa]"),AO$6)</f>
        <v>0</v>
      </c>
      <c r="AP85" s="232"/>
      <c r="AQ85" s="228">
        <f ca="1">SUMIFS(rec.uni[2027-11-01],
INDIRECT("rec.uni[natureza]"),"taxa.extra",
INDIRECT("rec.uni[empresa]"),AQ$6)</f>
        <v>0</v>
      </c>
      <c r="AR85" s="216"/>
      <c r="AS85" s="216"/>
      <c r="AT85" s="216"/>
      <c r="AU85" s="216"/>
      <c r="AV85" s="216"/>
      <c r="AW85" s="216"/>
      <c r="AX85" s="227">
        <f>COUNTIFS(
    estq[empresa], AX$6,
    estq[Data da venda / reserva], "&gt;=" &amp; $A85,
    estq[Data da venda / reserva], "&lt;"  &amp; EOMONTH($A85,0) + 1
)</f>
        <v>0</v>
      </c>
      <c r="AY85" s="228">
        <f ca="1">SUMIFS(rec.uni[2027-11-01],
INDIRECT("rec.uni[natureza]"),"pro.soluto",
INDIRECT("rec.uni[empresa]"),AY$6)</f>
        <v>0</v>
      </c>
      <c r="AZ85" s="232">
        <f ca="1">SUMIFS(rec.uni[2027-11-01],
INDIRECT("rec.uni[natureza]"),"parcela.fin.total.ik",
INDIRECT("rec.uni[empresa]"),AZ$6)</f>
        <v>0</v>
      </c>
      <c r="BA85" s="228">
        <f ca="1">SUMIFS(rec.uni[2027-11-01],
INDIRECT("rec.uni[natureza]"),"taxa.extra",
INDIRECT("rec.uni[empresa]"),BA$6)</f>
        <v>0</v>
      </c>
      <c r="BB85" s="216"/>
      <c r="BC85" s="216"/>
      <c r="BD85" s="216"/>
      <c r="BE85" s="216"/>
      <c r="BF85" s="216"/>
      <c r="BG85" s="216"/>
      <c r="BH85" s="227">
        <f>COUNTIFS(
    estq[empresa], BH$6,
    estq[Data da venda / reserva], "&gt;=" &amp; $A85,
    estq[Data da venda / reserva], "&lt;"  &amp; EOMONTH($A85,0) + 1
)</f>
        <v>0</v>
      </c>
      <c r="BI85" s="228">
        <f ca="1">SUMIFS(rec.uni[2027-11-01],
INDIRECT("rec.uni[natureza]"),"pro.soluto",
INDIRECT("rec.uni[empresa]"),BI$6)</f>
        <v>0</v>
      </c>
      <c r="BJ85" s="228">
        <f ca="1">SUMIFS(rec.uni[2027-11-01],
INDIRECT("rec.uni[natureza]"),"repasse.cef.obra",
INDIRECT("rec.uni[empresa]"),BJ$6)</f>
        <v>0</v>
      </c>
      <c r="BK85" s="231">
        <f ca="1">SUMIFS(rec.uni[2027-11-01],
INDIRECT("rec.uni[natureza]"),"repasse.cef.terreno",
INDIRECT("rec.uni[empresa]"),BK$6)</f>
        <v>0</v>
      </c>
      <c r="BL85" s="232"/>
      <c r="BM85" s="228">
        <f ca="1">SUMIFS(rec.uni[2027-11-01],
INDIRECT("rec.uni[natureza]"),"taxa.extra",
INDIRECT("rec.uni[empresa]"),BM$6)</f>
        <v>0</v>
      </c>
      <c r="BN85" s="216"/>
      <c r="BO85" s="216"/>
      <c r="BP85" s="216"/>
      <c r="BQ85" s="216"/>
      <c r="BR85" s="216"/>
      <c r="BS85" s="216"/>
      <c r="BT85" s="227">
        <f>COUNTIFS(
    estq[empresa], BT$6,
    estq[Data da venda / reserva], "&gt;=" &amp; $A85,
    estq[Data da venda / reserva], "&lt;"  &amp; EOMONTH($A85,0) + 1
)</f>
        <v>0</v>
      </c>
      <c r="BU85" s="228">
        <f ca="1">SUMIFS(rec.uni[2027-11-01],
INDIRECT("rec.uni[natureza]"),"pro.soluto",
INDIRECT("rec.uni[empresa]"),BU$6)</f>
        <v>0</v>
      </c>
      <c r="BV85" s="228">
        <f ca="1">SUMIFS(rec.uni[2027-11-01],
INDIRECT("rec.uni[natureza]"),"repasse.cef.obra",
INDIRECT("rec.uni[empresa]"),BV$6)</f>
        <v>0</v>
      </c>
      <c r="BW85" s="231">
        <f ca="1">SUMIFS(rec.uni[2027-11-01],
INDIRECT("rec.uni[natureza]"),"repasse.cef.terreno",
INDIRECT("rec.uni[empresa]"),BW$6)</f>
        <v>0</v>
      </c>
      <c r="BX85" s="232"/>
      <c r="BY85" s="228">
        <f ca="1">SUMIFS(rec.uni[2027-11-01],
INDIRECT("rec.uni[natureza]"),"taxa.extra",
INDIRECT("rec.uni[empresa]"),BY$6)</f>
        <v>0</v>
      </c>
      <c r="BZ85" s="216"/>
      <c r="CA85" s="216"/>
      <c r="CB85" s="216"/>
      <c r="CC85" s="216"/>
      <c r="CD85" s="216"/>
      <c r="CE85" s="216"/>
    </row>
    <row r="86" spans="1:83" x14ac:dyDescent="0.25">
      <c r="A86" s="226">
        <v>46722</v>
      </c>
      <c r="B86" s="227">
        <f>COUNTIFS(
    estq[empresa], B$6,
    estq[Data da venda / reserva], "&gt;=" &amp; $A86,
    estq[Data da venda / reserva], "&lt;"  &amp; EOMONTH($A86,0) + 1
)</f>
        <v>0</v>
      </c>
      <c r="C86" s="228">
        <f ca="1">SUMIFS(rec.uni[2027-12-01],
INDIRECT("rec.uni[natureza]"),"pro.soluto",
INDIRECT("rec.uni[empresa]"),C$6)</f>
        <v>0</v>
      </c>
      <c r="D86" s="228">
        <f ca="1">SUMIFS(rec.uni[2027-12-01],
INDIRECT("rec.uni[natureza]"),"repasse.cef.obra",
INDIRECT("rec.uni[empresa]"),D$6)</f>
        <v>0</v>
      </c>
      <c r="E86" s="228">
        <f ca="1">SUMIFS(rec.uni[2027-12-01],
INDIRECT("rec.uni[natureza]"),"repasse.cef.terreno",
INDIRECT("rec.uni[empresa]"),E$6)</f>
        <v>0</v>
      </c>
      <c r="F86" s="232"/>
      <c r="G86" s="228">
        <f ca="1">SUMIFS(rec.uni[2027-12-01],
INDIRECT("rec.uni[natureza]"),"taxa.extra",
INDIRECT("rec.uni[empresa]"),G$6)</f>
        <v>0</v>
      </c>
      <c r="H86" s="216"/>
      <c r="I86" s="216"/>
      <c r="J86" s="216"/>
      <c r="K86" s="216"/>
      <c r="L86" s="216"/>
      <c r="M86" s="216"/>
      <c r="N86" s="227">
        <f>COUNTIFS(
    estq[empresa], N$6,
    estq[Data da venda / reserva], "&gt;=" &amp; $A86,
    estq[Data da venda / reserva], "&lt;"  &amp; EOMONTH($A86,0) + 1
)</f>
        <v>0</v>
      </c>
      <c r="O86" s="228">
        <f ca="1">SUMIFS(rec.uni[2027-12-01],
INDIRECT("rec.uni[natureza]"),"pro.soluto",
INDIRECT("rec.uni[empresa]"),O$6)</f>
        <v>0</v>
      </c>
      <c r="P86" s="228">
        <f ca="1">SUMIFS(rec.uni[2027-12-01],
INDIRECT("rec.uni[natureza]"),"repasse.cef.obra",
INDIRECT("rec.uni[empresa]"),P$6)</f>
        <v>0</v>
      </c>
      <c r="Q86" s="228">
        <f ca="1">SUMIFS(rec.uni[2027-12-01],
INDIRECT("rec.uni[natureza]"),"repasse.cef.terreno",
INDIRECT("rec.uni[empresa]"),Q$6)</f>
        <v>0</v>
      </c>
      <c r="R86" s="232"/>
      <c r="S86" s="228">
        <f ca="1">SUMIFS(rec.uni[2027-12-01],
INDIRECT("rec.uni[natureza]"),"taxa.extra",
INDIRECT("rec.uni[empresa]"),S$6)</f>
        <v>0</v>
      </c>
      <c r="T86" s="216"/>
      <c r="U86" s="216"/>
      <c r="V86" s="216"/>
      <c r="W86" s="216"/>
      <c r="X86" s="216"/>
      <c r="Y86" s="216"/>
      <c r="Z86" s="227">
        <f>COUNTIFS(
    estq[empresa], Z$6,
    estq[Data da venda / reserva], "&gt;=" &amp; $A86,
    estq[Data da venda / reserva], "&lt;"  &amp; EOMONTH($A86,0) + 1
)</f>
        <v>0</v>
      </c>
      <c r="AA86" s="228">
        <f ca="1">SUMIFS(rec.uni[2027-12-01],
INDIRECT("rec.uni[natureza]"),"pro.soluto",
INDIRECT("rec.uni[empresa]"),AA$6)</f>
        <v>0</v>
      </c>
      <c r="AB86" s="228">
        <f ca="1">SUMIFS(rec.uni[2027-12-01],
INDIRECT("rec.uni[natureza]"),"repasse.cef.obra",
INDIRECT("rec.uni[empresa]"),AB$6)</f>
        <v>0</v>
      </c>
      <c r="AC86" s="231">
        <f ca="1">SUMIFS(rec.uni[2027-12-01],
INDIRECT("rec.uni[natureza]"),"repasse.cef.terreno",
INDIRECT("rec.uni[empresa]"),AC$6)</f>
        <v>0</v>
      </c>
      <c r="AD86" s="232"/>
      <c r="AE86" s="228">
        <f ca="1">SUMIFS(rec.uni[2027-12-01],
INDIRECT("rec.uni[natureza]"),"taxa.extra",
INDIRECT("rec.uni[empresa]"),AE$6)</f>
        <v>0</v>
      </c>
      <c r="AF86" s="216"/>
      <c r="AG86" s="216"/>
      <c r="AH86" s="216"/>
      <c r="AI86" s="216"/>
      <c r="AJ86" s="216"/>
      <c r="AK86" s="216"/>
      <c r="AL86" s="227">
        <f>COUNTIFS(
    estq[empresa], AL$6,
    estq[Data da venda / reserva], "&gt;=" &amp; $A86,
    estq[Data da venda / reserva], "&lt;"  &amp; EOMONTH($A86,0) + 1
)</f>
        <v>0</v>
      </c>
      <c r="AM86" s="228">
        <f ca="1">SUMIFS(rec.uni[2027-12-01],
INDIRECT("rec.uni[natureza]"),"pro.soluto",
INDIRECT("rec.uni[empresa]"),AM$6)</f>
        <v>0</v>
      </c>
      <c r="AN86" s="228">
        <f ca="1">SUMIFS(rec.uni[2027-12-01],
INDIRECT("rec.uni[natureza]"),"repasse.cef.obra",
INDIRECT("rec.uni[empresa]"),AN$6)</f>
        <v>0</v>
      </c>
      <c r="AO86" s="231">
        <f ca="1">SUMIFS(rec.uni[2027-12-01],
INDIRECT("rec.uni[natureza]"),"repasse.cef.terreno",
INDIRECT("rec.uni[empresa]"),AO$6)</f>
        <v>0</v>
      </c>
      <c r="AP86" s="232"/>
      <c r="AQ86" s="228">
        <f ca="1">SUMIFS(rec.uni[2027-12-01],
INDIRECT("rec.uni[natureza]"),"taxa.extra",
INDIRECT("rec.uni[empresa]"),AQ$6)</f>
        <v>0</v>
      </c>
      <c r="AR86" s="216"/>
      <c r="AS86" s="216"/>
      <c r="AT86" s="216"/>
      <c r="AU86" s="216"/>
      <c r="AV86" s="216"/>
      <c r="AW86" s="216"/>
      <c r="AX86" s="227">
        <f>COUNTIFS(
    estq[empresa], AX$6,
    estq[Data da venda / reserva], "&gt;=" &amp; $A86,
    estq[Data da venda / reserva], "&lt;"  &amp; EOMONTH($A86,0) + 1
)</f>
        <v>0</v>
      </c>
      <c r="AY86" s="228">
        <f ca="1">SUMIFS(rec.uni[2027-12-01],
INDIRECT("rec.uni[natureza]"),"pro.soluto",
INDIRECT("rec.uni[empresa]"),AY$6)</f>
        <v>0</v>
      </c>
      <c r="AZ86" s="232">
        <f ca="1">SUMIFS(rec.uni[2027-12-01],
INDIRECT("rec.uni[natureza]"),"parcela.fin.total.ik",
INDIRECT("rec.uni[empresa]"),AZ$6)</f>
        <v>0</v>
      </c>
      <c r="BA86" s="228">
        <f ca="1">SUMIFS(rec.uni[2027-12-01],
INDIRECT("rec.uni[natureza]"),"taxa.extra",
INDIRECT("rec.uni[empresa]"),BA$6)</f>
        <v>0</v>
      </c>
      <c r="BB86" s="216"/>
      <c r="BC86" s="216"/>
      <c r="BD86" s="216"/>
      <c r="BE86" s="216"/>
      <c r="BF86" s="216"/>
      <c r="BG86" s="216"/>
      <c r="BH86" s="227">
        <f>COUNTIFS(
    estq[empresa], BH$6,
    estq[Data da venda / reserva], "&gt;=" &amp; $A86,
    estq[Data da venda / reserva], "&lt;"  &amp; EOMONTH($A86,0) + 1
)</f>
        <v>0</v>
      </c>
      <c r="BI86" s="228">
        <f ca="1">SUMIFS(rec.uni[2027-12-01],
INDIRECT("rec.uni[natureza]"),"pro.soluto",
INDIRECT("rec.uni[empresa]"),BI$6)</f>
        <v>0</v>
      </c>
      <c r="BJ86" s="228">
        <f ca="1">SUMIFS(rec.uni[2027-12-01],
INDIRECT("rec.uni[natureza]"),"repasse.cef.obra",
INDIRECT("rec.uni[empresa]"),BJ$6)</f>
        <v>0</v>
      </c>
      <c r="BK86" s="231">
        <f ca="1">SUMIFS(rec.uni[2027-12-01],
INDIRECT("rec.uni[natureza]"),"repasse.cef.terreno",
INDIRECT("rec.uni[empresa]"),BK$6)</f>
        <v>0</v>
      </c>
      <c r="BL86" s="232"/>
      <c r="BM86" s="228">
        <f ca="1">SUMIFS(rec.uni[2027-12-01],
INDIRECT("rec.uni[natureza]"),"taxa.extra",
INDIRECT("rec.uni[empresa]"),BM$6)</f>
        <v>0</v>
      </c>
      <c r="BN86" s="216"/>
      <c r="BO86" s="216"/>
      <c r="BP86" s="216"/>
      <c r="BQ86" s="216"/>
      <c r="BR86" s="216"/>
      <c r="BS86" s="216"/>
      <c r="BT86" s="227">
        <f>COUNTIFS(
    estq[empresa], BT$6,
    estq[Data da venda / reserva], "&gt;=" &amp; $A86,
    estq[Data da venda / reserva], "&lt;"  &amp; EOMONTH($A86,0) + 1
)</f>
        <v>0</v>
      </c>
      <c r="BU86" s="228">
        <f ca="1">SUMIFS(rec.uni[2027-12-01],
INDIRECT("rec.uni[natureza]"),"pro.soluto",
INDIRECT("rec.uni[empresa]"),BU$6)</f>
        <v>0</v>
      </c>
      <c r="BV86" s="228">
        <f ca="1">SUMIFS(rec.uni[2027-12-01],
INDIRECT("rec.uni[natureza]"),"repasse.cef.obra",
INDIRECT("rec.uni[empresa]"),BV$6)</f>
        <v>0</v>
      </c>
      <c r="BW86" s="231">
        <f ca="1">SUMIFS(rec.uni[2027-12-01],
INDIRECT("rec.uni[natureza]"),"repasse.cef.terreno",
INDIRECT("rec.uni[empresa]"),BW$6)</f>
        <v>0</v>
      </c>
      <c r="BX86" s="232"/>
      <c r="BY86" s="228">
        <f ca="1">SUMIFS(rec.uni[2027-12-01],
INDIRECT("rec.uni[natureza]"),"taxa.extra",
INDIRECT("rec.uni[empresa]"),BY$6)</f>
        <v>0</v>
      </c>
      <c r="BZ86" s="216"/>
      <c r="CA86" s="216"/>
      <c r="CB86" s="216"/>
      <c r="CC86" s="216"/>
      <c r="CD86" s="216"/>
      <c r="CE86" s="216"/>
    </row>
    <row r="87" spans="1:83" x14ac:dyDescent="0.25">
      <c r="A87" s="226">
        <v>46753</v>
      </c>
      <c r="B87" s="227">
        <f>COUNTIFS(
    estq[empresa], B$6,
    estq[Data da venda / reserva], "&gt;=" &amp; $A87,
    estq[Data da venda / reserva], "&lt;"  &amp; EOMONTH($A87,0) + 1
)</f>
        <v>0</v>
      </c>
      <c r="C87" s="228">
        <f ca="1">SUMIFS(rec.uni[2028-01-01],
INDIRECT("rec.uni[natureza]"),"pro.soluto",
INDIRECT("rec.uni[empresa]"),C$6)</f>
        <v>0</v>
      </c>
      <c r="D87" s="228">
        <f ca="1">SUMIFS(rec.uni[2028-01-01],
INDIRECT("rec.uni[natureza]"),"repasse.cef.obra",
INDIRECT("rec.uni[empresa]"),D$6)</f>
        <v>0</v>
      </c>
      <c r="E87" s="228">
        <f ca="1">SUMIFS(rec.uni[2028-01-01],
INDIRECT("rec.uni[natureza]"),"repasse.cef.terreno",
INDIRECT("rec.uni[empresa]"),E$6)</f>
        <v>0</v>
      </c>
      <c r="F87" s="232"/>
      <c r="G87" s="228">
        <f ca="1">SUMIFS(rec.uni[2028-01-01],
INDIRECT("rec.uni[natureza]"),"taxa.extra",
INDIRECT("rec.uni[empresa]"),G$6)</f>
        <v>0</v>
      </c>
      <c r="H87" s="216"/>
      <c r="I87" s="216"/>
      <c r="J87" s="216"/>
      <c r="K87" s="216"/>
      <c r="L87" s="216"/>
      <c r="M87" s="216"/>
      <c r="N87" s="227">
        <f>COUNTIFS(
    estq[empresa], N$6,
    estq[Data da venda / reserva], "&gt;=" &amp; $A87,
    estq[Data da venda / reserva], "&lt;"  &amp; EOMONTH($A87,0) + 1
)</f>
        <v>0</v>
      </c>
      <c r="O87" s="228">
        <f ca="1">SUMIFS(rec.uni[2028-01-01],
INDIRECT("rec.uni[natureza]"),"pro.soluto",
INDIRECT("rec.uni[empresa]"),O$6)</f>
        <v>0</v>
      </c>
      <c r="P87" s="228">
        <f ca="1">SUMIFS(rec.uni[2028-01-01],
INDIRECT("rec.uni[natureza]"),"repasse.cef.obra",
INDIRECT("rec.uni[empresa]"),P$6)</f>
        <v>0</v>
      </c>
      <c r="Q87" s="228">
        <f ca="1">SUMIFS(rec.uni[2028-01-01],
INDIRECT("rec.uni[natureza]"),"repasse.cef.terreno",
INDIRECT("rec.uni[empresa]"),Q$6)</f>
        <v>0</v>
      </c>
      <c r="R87" s="232"/>
      <c r="S87" s="228">
        <f ca="1">SUMIFS(rec.uni[2028-01-01],
INDIRECT("rec.uni[natureza]"),"taxa.extra",
INDIRECT("rec.uni[empresa]"),S$6)</f>
        <v>0</v>
      </c>
      <c r="T87" s="216"/>
      <c r="U87" s="216"/>
      <c r="V87" s="216"/>
      <c r="W87" s="216"/>
      <c r="X87" s="216"/>
      <c r="Y87" s="216"/>
      <c r="Z87" s="227">
        <f>COUNTIFS(
    estq[empresa], Z$6,
    estq[Data da venda / reserva], "&gt;=" &amp; $A87,
    estq[Data da venda / reserva], "&lt;"  &amp; EOMONTH($A87,0) + 1
)</f>
        <v>0</v>
      </c>
      <c r="AA87" s="228">
        <f ca="1">SUMIFS(rec.uni[2028-01-01],
INDIRECT("rec.uni[natureza]"),"pro.soluto",
INDIRECT("rec.uni[empresa]"),AA$6)</f>
        <v>0</v>
      </c>
      <c r="AB87" s="228">
        <f ca="1">SUMIFS(rec.uni[2028-01-01],
INDIRECT("rec.uni[natureza]"),"repasse.cef.obra",
INDIRECT("rec.uni[empresa]"),AB$6)</f>
        <v>0</v>
      </c>
      <c r="AC87" s="231">
        <f ca="1">SUMIFS(rec.uni[2028-01-01],
INDIRECT("rec.uni[natureza]"),"repasse.cef.terreno",
INDIRECT("rec.uni[empresa]"),AC$6)</f>
        <v>0</v>
      </c>
      <c r="AD87" s="232"/>
      <c r="AE87" s="228">
        <f ca="1">SUMIFS(rec.uni[2028-01-01],
INDIRECT("rec.uni[natureza]"),"taxa.extra",
INDIRECT("rec.uni[empresa]"),AE$6)</f>
        <v>0</v>
      </c>
      <c r="AF87" s="216"/>
      <c r="AG87" s="216"/>
      <c r="AH87" s="216"/>
      <c r="AI87" s="216"/>
      <c r="AJ87" s="216"/>
      <c r="AK87" s="216"/>
      <c r="AL87" s="227">
        <f>COUNTIFS(
    estq[empresa], AL$6,
    estq[Data da venda / reserva], "&gt;=" &amp; $A87,
    estq[Data da venda / reserva], "&lt;"  &amp; EOMONTH($A87,0) + 1
)</f>
        <v>0</v>
      </c>
      <c r="AM87" s="228">
        <f ca="1">SUMIFS(rec.uni[2028-01-01],
INDIRECT("rec.uni[natureza]"),"pro.soluto",
INDIRECT("rec.uni[empresa]"),AM$6)</f>
        <v>0</v>
      </c>
      <c r="AN87" s="228">
        <f ca="1">SUMIFS(rec.uni[2028-01-01],
INDIRECT("rec.uni[natureza]"),"repasse.cef.obra",
INDIRECT("rec.uni[empresa]"),AN$6)</f>
        <v>0</v>
      </c>
      <c r="AO87" s="231">
        <f ca="1">SUMIFS(rec.uni[2028-01-01],
INDIRECT("rec.uni[natureza]"),"repasse.cef.terreno",
INDIRECT("rec.uni[empresa]"),AO$6)</f>
        <v>0</v>
      </c>
      <c r="AP87" s="232"/>
      <c r="AQ87" s="228">
        <f ca="1">SUMIFS(rec.uni[2028-01-01],
INDIRECT("rec.uni[natureza]"),"taxa.extra",
INDIRECT("rec.uni[empresa]"),AQ$6)</f>
        <v>0</v>
      </c>
      <c r="AR87" s="216"/>
      <c r="AS87" s="216"/>
      <c r="AT87" s="216"/>
      <c r="AU87" s="216"/>
      <c r="AV87" s="216"/>
      <c r="AW87" s="216"/>
      <c r="AX87" s="227">
        <f>COUNTIFS(
    estq[empresa], AX$6,
    estq[Data da venda / reserva], "&gt;=" &amp; $A87,
    estq[Data da venda / reserva], "&lt;"  &amp; EOMONTH($A87,0) + 1
)</f>
        <v>0</v>
      </c>
      <c r="AY87" s="228">
        <f ca="1">SUMIFS(rec.uni[2028-01-01],
INDIRECT("rec.uni[natureza]"),"pro.soluto",
INDIRECT("rec.uni[empresa]"),AY$6)</f>
        <v>0</v>
      </c>
      <c r="AZ87" s="232">
        <f ca="1">SUMIFS(rec.uni[2028-01-01],
INDIRECT("rec.uni[natureza]"),"parcela.fin.total.ik",
INDIRECT("rec.uni[empresa]"),AZ$6)</f>
        <v>0</v>
      </c>
      <c r="BA87" s="228">
        <f ca="1">SUMIFS(rec.uni[2028-01-01],
INDIRECT("rec.uni[natureza]"),"taxa.extra",
INDIRECT("rec.uni[empresa]"),BA$6)</f>
        <v>0</v>
      </c>
      <c r="BB87" s="216"/>
      <c r="BC87" s="216"/>
      <c r="BD87" s="216"/>
      <c r="BE87" s="216"/>
      <c r="BF87" s="216"/>
      <c r="BG87" s="216"/>
      <c r="BH87" s="227">
        <f>COUNTIFS(
    estq[empresa], BH$6,
    estq[Data da venda / reserva], "&gt;=" &amp; $A87,
    estq[Data da venda / reserva], "&lt;"  &amp; EOMONTH($A87,0) + 1
)</f>
        <v>0</v>
      </c>
      <c r="BI87" s="228">
        <f ca="1">SUMIFS(rec.uni[2028-01-01],
INDIRECT("rec.uni[natureza]"),"pro.soluto",
INDIRECT("rec.uni[empresa]"),BI$6)</f>
        <v>0</v>
      </c>
      <c r="BJ87" s="228">
        <f ca="1">SUMIFS(rec.uni[2028-01-01],
INDIRECT("rec.uni[natureza]"),"repasse.cef.obra",
INDIRECT("rec.uni[empresa]"),BJ$6)</f>
        <v>0</v>
      </c>
      <c r="BK87" s="231">
        <f ca="1">SUMIFS(rec.uni[2028-01-01],
INDIRECT("rec.uni[natureza]"),"repasse.cef.terreno",
INDIRECT("rec.uni[empresa]"),BK$6)</f>
        <v>0</v>
      </c>
      <c r="BL87" s="232"/>
      <c r="BM87" s="228">
        <f ca="1">SUMIFS(rec.uni[2028-01-01],
INDIRECT("rec.uni[natureza]"),"taxa.extra",
INDIRECT("rec.uni[empresa]"),BM$6)</f>
        <v>0</v>
      </c>
      <c r="BN87" s="216"/>
      <c r="BO87" s="216"/>
      <c r="BP87" s="216"/>
      <c r="BQ87" s="216"/>
      <c r="BR87" s="216"/>
      <c r="BS87" s="216"/>
      <c r="BT87" s="227">
        <f>COUNTIFS(
    estq[empresa], BT$6,
    estq[Data da venda / reserva], "&gt;=" &amp; $A87,
    estq[Data da venda / reserva], "&lt;"  &amp; EOMONTH($A87,0) + 1
)</f>
        <v>0</v>
      </c>
      <c r="BU87" s="228">
        <f ca="1">SUMIFS(rec.uni[2028-01-01],
INDIRECT("rec.uni[natureza]"),"pro.soluto",
INDIRECT("rec.uni[empresa]"),BU$6)</f>
        <v>0</v>
      </c>
      <c r="BV87" s="228">
        <f ca="1">SUMIFS(rec.uni[2028-01-01],
INDIRECT("rec.uni[natureza]"),"repasse.cef.obra",
INDIRECT("rec.uni[empresa]"),BV$6)</f>
        <v>0</v>
      </c>
      <c r="BW87" s="231">
        <f ca="1">SUMIFS(rec.uni[2028-01-01],
INDIRECT("rec.uni[natureza]"),"repasse.cef.terreno",
INDIRECT("rec.uni[empresa]"),BW$6)</f>
        <v>0</v>
      </c>
      <c r="BX87" s="232"/>
      <c r="BY87" s="228">
        <f ca="1">SUMIFS(rec.uni[2028-01-01],
INDIRECT("rec.uni[natureza]"),"taxa.extra",
INDIRECT("rec.uni[empresa]"),BY$6)</f>
        <v>0</v>
      </c>
      <c r="BZ87" s="216"/>
      <c r="CA87" s="216"/>
      <c r="CB87" s="216"/>
      <c r="CC87" s="216"/>
      <c r="CD87" s="216"/>
      <c r="CE87" s="216"/>
    </row>
    <row r="88" spans="1:83" x14ac:dyDescent="0.25">
      <c r="A88" s="226">
        <v>46784</v>
      </c>
      <c r="B88" s="227">
        <f>COUNTIFS(
    estq[empresa], B$6,
    estq[Data da venda / reserva], "&gt;=" &amp; $A88,
    estq[Data da venda / reserva], "&lt;"  &amp; EOMONTH($A88,0) + 1
)</f>
        <v>0</v>
      </c>
      <c r="C88" s="228">
        <f ca="1">SUMIFS(rec.uni[2028-02-01],
INDIRECT("rec.uni[natureza]"),"pro.soluto",
INDIRECT("rec.uni[empresa]"),C$6)</f>
        <v>0</v>
      </c>
      <c r="D88" s="228">
        <f ca="1">SUMIFS(rec.uni[2028-02-01],
INDIRECT("rec.uni[natureza]"),"repasse.cef.obra",
INDIRECT("rec.uni[empresa]"),D$6)</f>
        <v>0</v>
      </c>
      <c r="E88" s="228">
        <f ca="1">SUMIFS(rec.uni[2028-02-01],
INDIRECT("rec.uni[natureza]"),"repasse.cef.terreno",
INDIRECT("rec.uni[empresa]"),E$6)</f>
        <v>0</v>
      </c>
      <c r="F88" s="232"/>
      <c r="G88" s="228">
        <f ca="1">SUMIFS(rec.uni[2028-02-01],
INDIRECT("rec.uni[natureza]"),"taxa.extra",
INDIRECT("rec.uni[empresa]"),G$6)</f>
        <v>0</v>
      </c>
      <c r="H88" s="216"/>
      <c r="I88" s="216"/>
      <c r="J88" s="216"/>
      <c r="K88" s="216"/>
      <c r="L88" s="216"/>
      <c r="M88" s="216"/>
      <c r="N88" s="227">
        <f>COUNTIFS(
    estq[empresa], N$6,
    estq[Data da venda / reserva], "&gt;=" &amp; $A88,
    estq[Data da venda / reserva], "&lt;"  &amp; EOMONTH($A88,0) + 1
)</f>
        <v>0</v>
      </c>
      <c r="O88" s="228">
        <f ca="1">SUMIFS(rec.uni[2028-02-01],
INDIRECT("rec.uni[natureza]"),"pro.soluto",
INDIRECT("rec.uni[empresa]"),O$6)</f>
        <v>0</v>
      </c>
      <c r="P88" s="228">
        <f ca="1">SUMIFS(rec.uni[2028-02-01],
INDIRECT("rec.uni[natureza]"),"repasse.cef.obra",
INDIRECT("rec.uni[empresa]"),P$6)</f>
        <v>0</v>
      </c>
      <c r="Q88" s="228">
        <f ca="1">SUMIFS(rec.uni[2028-02-01],
INDIRECT("rec.uni[natureza]"),"repasse.cef.terreno",
INDIRECT("rec.uni[empresa]"),Q$6)</f>
        <v>0</v>
      </c>
      <c r="R88" s="232"/>
      <c r="S88" s="228">
        <f ca="1">SUMIFS(rec.uni[2028-02-01],
INDIRECT("rec.uni[natureza]"),"taxa.extra",
INDIRECT("rec.uni[empresa]"),S$6)</f>
        <v>0</v>
      </c>
      <c r="T88" s="216"/>
      <c r="U88" s="216"/>
      <c r="V88" s="216"/>
      <c r="W88" s="216"/>
      <c r="X88" s="216"/>
      <c r="Y88" s="216"/>
      <c r="Z88" s="227">
        <f>COUNTIFS(
    estq[empresa], Z$6,
    estq[Data da venda / reserva], "&gt;=" &amp; $A88,
    estq[Data da venda / reserva], "&lt;"  &amp; EOMONTH($A88,0) + 1
)</f>
        <v>0</v>
      </c>
      <c r="AA88" s="228">
        <f ca="1">SUMIFS(rec.uni[2028-02-01],
INDIRECT("rec.uni[natureza]"),"pro.soluto",
INDIRECT("rec.uni[empresa]"),AA$6)</f>
        <v>0</v>
      </c>
      <c r="AB88" s="228">
        <f ca="1">SUMIFS(rec.uni[2028-02-01],
INDIRECT("rec.uni[natureza]"),"repasse.cef.obra",
INDIRECT("rec.uni[empresa]"),AB$6)</f>
        <v>0</v>
      </c>
      <c r="AC88" s="231">
        <f ca="1">SUMIFS(rec.uni[2028-02-01],
INDIRECT("rec.uni[natureza]"),"repasse.cef.terreno",
INDIRECT("rec.uni[empresa]"),AC$6)</f>
        <v>0</v>
      </c>
      <c r="AD88" s="232"/>
      <c r="AE88" s="228">
        <f ca="1">SUMIFS(rec.uni[2028-02-01],
INDIRECT("rec.uni[natureza]"),"taxa.extra",
INDIRECT("rec.uni[empresa]"),AE$6)</f>
        <v>0</v>
      </c>
      <c r="AF88" s="216"/>
      <c r="AG88" s="216"/>
      <c r="AH88" s="216"/>
      <c r="AI88" s="216"/>
      <c r="AJ88" s="216"/>
      <c r="AK88" s="216"/>
      <c r="AL88" s="227">
        <f>COUNTIFS(
    estq[empresa], AL$6,
    estq[Data da venda / reserva], "&gt;=" &amp; $A88,
    estq[Data da venda / reserva], "&lt;"  &amp; EOMONTH($A88,0) + 1
)</f>
        <v>0</v>
      </c>
      <c r="AM88" s="228">
        <f ca="1">SUMIFS(rec.uni[2028-02-01],
INDIRECT("rec.uni[natureza]"),"pro.soluto",
INDIRECT("rec.uni[empresa]"),AM$6)</f>
        <v>0</v>
      </c>
      <c r="AN88" s="228">
        <f ca="1">SUMIFS(rec.uni[2028-02-01],
INDIRECT("rec.uni[natureza]"),"repasse.cef.obra",
INDIRECT("rec.uni[empresa]"),AN$6)</f>
        <v>0</v>
      </c>
      <c r="AO88" s="231">
        <f ca="1">SUMIFS(rec.uni[2028-02-01],
INDIRECT("rec.uni[natureza]"),"repasse.cef.terreno",
INDIRECT("rec.uni[empresa]"),AO$6)</f>
        <v>0</v>
      </c>
      <c r="AP88" s="232"/>
      <c r="AQ88" s="228">
        <f ca="1">SUMIFS(rec.uni[2028-02-01],
INDIRECT("rec.uni[natureza]"),"taxa.extra",
INDIRECT("rec.uni[empresa]"),AQ$6)</f>
        <v>0</v>
      </c>
      <c r="AR88" s="216"/>
      <c r="AS88" s="216"/>
      <c r="AT88" s="216"/>
      <c r="AU88" s="216"/>
      <c r="AV88" s="216"/>
      <c r="AW88" s="216"/>
      <c r="AX88" s="227">
        <f>COUNTIFS(
    estq[empresa], AX$6,
    estq[Data da venda / reserva], "&gt;=" &amp; $A88,
    estq[Data da venda / reserva], "&lt;"  &amp; EOMONTH($A88,0) + 1
)</f>
        <v>0</v>
      </c>
      <c r="AY88" s="228">
        <f ca="1">SUMIFS(rec.uni[2028-02-01],
INDIRECT("rec.uni[natureza]"),"pro.soluto",
INDIRECT("rec.uni[empresa]"),AY$6)</f>
        <v>0</v>
      </c>
      <c r="AZ88" s="232">
        <f ca="1">SUMIFS(rec.uni[2028-02-01],
INDIRECT("rec.uni[natureza]"),"parcela.fin.total.ik",
INDIRECT("rec.uni[empresa]"),AZ$6)</f>
        <v>0</v>
      </c>
      <c r="BA88" s="228">
        <f ca="1">SUMIFS(rec.uni[2028-02-01],
INDIRECT("rec.uni[natureza]"),"taxa.extra",
INDIRECT("rec.uni[empresa]"),BA$6)</f>
        <v>0</v>
      </c>
      <c r="BB88" s="216"/>
      <c r="BC88" s="216"/>
      <c r="BD88" s="216"/>
      <c r="BE88" s="216"/>
      <c r="BF88" s="216"/>
      <c r="BG88" s="216"/>
      <c r="BH88" s="227">
        <f>COUNTIFS(
    estq[empresa], BH$6,
    estq[Data da venda / reserva], "&gt;=" &amp; $A88,
    estq[Data da venda / reserva], "&lt;"  &amp; EOMONTH($A88,0) + 1
)</f>
        <v>0</v>
      </c>
      <c r="BI88" s="228">
        <f ca="1">SUMIFS(rec.uni[2028-02-01],
INDIRECT("rec.uni[natureza]"),"pro.soluto",
INDIRECT("rec.uni[empresa]"),BI$6)</f>
        <v>0</v>
      </c>
      <c r="BJ88" s="228">
        <f ca="1">SUMIFS(rec.uni[2028-02-01],
INDIRECT("rec.uni[natureza]"),"repasse.cef.obra",
INDIRECT("rec.uni[empresa]"),BJ$6)</f>
        <v>0</v>
      </c>
      <c r="BK88" s="231">
        <f ca="1">SUMIFS(rec.uni[2028-02-01],
INDIRECT("rec.uni[natureza]"),"repasse.cef.terreno",
INDIRECT("rec.uni[empresa]"),BK$6)</f>
        <v>0</v>
      </c>
      <c r="BL88" s="232"/>
      <c r="BM88" s="228">
        <f ca="1">SUMIFS(rec.uni[2028-02-01],
INDIRECT("rec.uni[natureza]"),"taxa.extra",
INDIRECT("rec.uni[empresa]"),BM$6)</f>
        <v>0</v>
      </c>
      <c r="BN88" s="216"/>
      <c r="BO88" s="216"/>
      <c r="BP88" s="216"/>
      <c r="BQ88" s="216"/>
      <c r="BR88" s="216"/>
      <c r="BS88" s="216"/>
      <c r="BT88" s="227">
        <f>COUNTIFS(
    estq[empresa], BT$6,
    estq[Data da venda / reserva], "&gt;=" &amp; $A88,
    estq[Data da venda / reserva], "&lt;"  &amp; EOMONTH($A88,0) + 1
)</f>
        <v>0</v>
      </c>
      <c r="BU88" s="228">
        <f ca="1">SUMIFS(rec.uni[2028-02-01],
INDIRECT("rec.uni[natureza]"),"pro.soluto",
INDIRECT("rec.uni[empresa]"),BU$6)</f>
        <v>0</v>
      </c>
      <c r="BV88" s="228">
        <f ca="1">SUMIFS(rec.uni[2028-02-01],
INDIRECT("rec.uni[natureza]"),"repasse.cef.obra",
INDIRECT("rec.uni[empresa]"),BV$6)</f>
        <v>0</v>
      </c>
      <c r="BW88" s="231">
        <f ca="1">SUMIFS(rec.uni[2028-02-01],
INDIRECT("rec.uni[natureza]"),"repasse.cef.terreno",
INDIRECT("rec.uni[empresa]"),BW$6)</f>
        <v>0</v>
      </c>
      <c r="BX88" s="232"/>
      <c r="BY88" s="228">
        <f ca="1">SUMIFS(rec.uni[2028-02-01],
INDIRECT("rec.uni[natureza]"),"taxa.extra",
INDIRECT("rec.uni[empresa]"),BY$6)</f>
        <v>0</v>
      </c>
      <c r="BZ88" s="216"/>
      <c r="CA88" s="216"/>
      <c r="CB88" s="216"/>
      <c r="CC88" s="216"/>
      <c r="CD88" s="216"/>
      <c r="CE88" s="216"/>
    </row>
    <row r="89" spans="1:83" x14ac:dyDescent="0.25">
      <c r="A89" s="226">
        <v>46813</v>
      </c>
      <c r="B89" s="227">
        <f>COUNTIFS(
    estq[empresa], B$6,
    estq[Data da venda / reserva], "&gt;=" &amp; $A89,
    estq[Data da venda / reserva], "&lt;"  &amp; EOMONTH($A89,0) + 1
)</f>
        <v>0</v>
      </c>
      <c r="C89" s="228">
        <f ca="1">SUMIFS(rec.uni[2028-03-01],
INDIRECT("rec.uni[natureza]"),"pro.soluto",
INDIRECT("rec.uni[empresa]"),C$6)</f>
        <v>0</v>
      </c>
      <c r="D89" s="228">
        <f ca="1">SUMIFS(rec.uni[2028-03-01],
INDIRECT("rec.uni[natureza]"),"repasse.cef.obra",
INDIRECT("rec.uni[empresa]"),D$6)</f>
        <v>0</v>
      </c>
      <c r="E89" s="228">
        <f ca="1">SUMIFS(rec.uni[2028-03-01],
INDIRECT("rec.uni[natureza]"),"repasse.cef.terreno",
INDIRECT("rec.uni[empresa]"),E$6)</f>
        <v>0</v>
      </c>
      <c r="F89" s="232"/>
      <c r="G89" s="228">
        <f ca="1">SUMIFS(rec.uni[2028-03-01],
INDIRECT("rec.uni[natureza]"),"taxa.extra",
INDIRECT("rec.uni[empresa]"),G$6)</f>
        <v>0</v>
      </c>
      <c r="H89" s="216"/>
      <c r="I89" s="216"/>
      <c r="J89" s="216"/>
      <c r="K89" s="216"/>
      <c r="L89" s="216"/>
      <c r="M89" s="216"/>
      <c r="N89" s="227">
        <f>COUNTIFS(
    estq[empresa], N$6,
    estq[Data da venda / reserva], "&gt;=" &amp; $A89,
    estq[Data da venda / reserva], "&lt;"  &amp; EOMONTH($A89,0) + 1
)</f>
        <v>0</v>
      </c>
      <c r="O89" s="228">
        <f ca="1">SUMIFS(rec.uni[2028-03-01],
INDIRECT("rec.uni[natureza]"),"pro.soluto",
INDIRECT("rec.uni[empresa]"),O$6)</f>
        <v>0</v>
      </c>
      <c r="P89" s="228">
        <f ca="1">SUMIFS(rec.uni[2028-03-01],
INDIRECT("rec.uni[natureza]"),"repasse.cef.obra",
INDIRECT("rec.uni[empresa]"),P$6)</f>
        <v>0</v>
      </c>
      <c r="Q89" s="228">
        <f ca="1">SUMIFS(rec.uni[2028-03-01],
INDIRECT("rec.uni[natureza]"),"repasse.cef.terreno",
INDIRECT("rec.uni[empresa]"),Q$6)</f>
        <v>0</v>
      </c>
      <c r="R89" s="232"/>
      <c r="S89" s="228">
        <f ca="1">SUMIFS(rec.uni[2028-03-01],
INDIRECT("rec.uni[natureza]"),"taxa.extra",
INDIRECT("rec.uni[empresa]"),S$6)</f>
        <v>0</v>
      </c>
      <c r="T89" s="216"/>
      <c r="U89" s="216"/>
      <c r="V89" s="216"/>
      <c r="W89" s="216"/>
      <c r="X89" s="216"/>
      <c r="Y89" s="216"/>
      <c r="Z89" s="227">
        <f>COUNTIFS(
    estq[empresa], Z$6,
    estq[Data da venda / reserva], "&gt;=" &amp; $A89,
    estq[Data da venda / reserva], "&lt;"  &amp; EOMONTH($A89,0) + 1
)</f>
        <v>0</v>
      </c>
      <c r="AA89" s="228">
        <f ca="1">SUMIFS(rec.uni[2028-03-01],
INDIRECT("rec.uni[natureza]"),"pro.soluto",
INDIRECT("rec.uni[empresa]"),AA$6)</f>
        <v>0</v>
      </c>
      <c r="AB89" s="228">
        <f ca="1">SUMIFS(rec.uni[2028-03-01],
INDIRECT("rec.uni[natureza]"),"repasse.cef.obra",
INDIRECT("rec.uni[empresa]"),AB$6)</f>
        <v>0</v>
      </c>
      <c r="AC89" s="231">
        <f ca="1">SUMIFS(rec.uni[2028-03-01],
INDIRECT("rec.uni[natureza]"),"repasse.cef.terreno",
INDIRECT("rec.uni[empresa]"),AC$6)</f>
        <v>0</v>
      </c>
      <c r="AD89" s="232"/>
      <c r="AE89" s="228">
        <f ca="1">SUMIFS(rec.uni[2028-03-01],
INDIRECT("rec.uni[natureza]"),"taxa.extra",
INDIRECT("rec.uni[empresa]"),AE$6)</f>
        <v>0</v>
      </c>
      <c r="AF89" s="216"/>
      <c r="AG89" s="216"/>
      <c r="AH89" s="216"/>
      <c r="AI89" s="216"/>
      <c r="AJ89" s="216"/>
      <c r="AK89" s="216"/>
      <c r="AL89" s="227">
        <f>COUNTIFS(
    estq[empresa], AL$6,
    estq[Data da venda / reserva], "&gt;=" &amp; $A89,
    estq[Data da venda / reserva], "&lt;"  &amp; EOMONTH($A89,0) + 1
)</f>
        <v>0</v>
      </c>
      <c r="AM89" s="228">
        <f ca="1">SUMIFS(rec.uni[2028-03-01],
INDIRECT("rec.uni[natureza]"),"pro.soluto",
INDIRECT("rec.uni[empresa]"),AM$6)</f>
        <v>0</v>
      </c>
      <c r="AN89" s="228">
        <f ca="1">SUMIFS(rec.uni[2028-03-01],
INDIRECT("rec.uni[natureza]"),"repasse.cef.obra",
INDIRECT("rec.uni[empresa]"),AN$6)</f>
        <v>0</v>
      </c>
      <c r="AO89" s="231">
        <f ca="1">SUMIFS(rec.uni[2028-03-01],
INDIRECT("rec.uni[natureza]"),"repasse.cef.terreno",
INDIRECT("rec.uni[empresa]"),AO$6)</f>
        <v>0</v>
      </c>
      <c r="AP89" s="232"/>
      <c r="AQ89" s="228">
        <f ca="1">SUMIFS(rec.uni[2028-03-01],
INDIRECT("rec.uni[natureza]"),"taxa.extra",
INDIRECT("rec.uni[empresa]"),AQ$6)</f>
        <v>0</v>
      </c>
      <c r="AR89" s="216"/>
      <c r="AS89" s="216"/>
      <c r="AT89" s="216"/>
      <c r="AU89" s="216"/>
      <c r="AV89" s="216"/>
      <c r="AW89" s="216"/>
      <c r="AX89" s="227">
        <f>COUNTIFS(
    estq[empresa], AX$6,
    estq[Data da venda / reserva], "&gt;=" &amp; $A89,
    estq[Data da venda / reserva], "&lt;"  &amp; EOMONTH($A89,0) + 1
)</f>
        <v>0</v>
      </c>
      <c r="AY89" s="228">
        <f ca="1">SUMIFS(rec.uni[2028-03-01],
INDIRECT("rec.uni[natureza]"),"pro.soluto",
INDIRECT("rec.uni[empresa]"),AY$6)</f>
        <v>0</v>
      </c>
      <c r="AZ89" s="232">
        <f ca="1">SUMIFS(rec.uni[2028-03-01],
INDIRECT("rec.uni[natureza]"),"parcela.fin.total.ik",
INDIRECT("rec.uni[empresa]"),AZ$6)</f>
        <v>0</v>
      </c>
      <c r="BA89" s="228">
        <f ca="1">SUMIFS(rec.uni[2028-03-01],
INDIRECT("rec.uni[natureza]"),"taxa.extra",
INDIRECT("rec.uni[empresa]"),BA$6)</f>
        <v>0</v>
      </c>
      <c r="BB89" s="216"/>
      <c r="BC89" s="216"/>
      <c r="BD89" s="216"/>
      <c r="BE89" s="216"/>
      <c r="BF89" s="216"/>
      <c r="BG89" s="216"/>
      <c r="BH89" s="227">
        <f>COUNTIFS(
    estq[empresa], BH$6,
    estq[Data da venda / reserva], "&gt;=" &amp; $A89,
    estq[Data da venda / reserva], "&lt;"  &amp; EOMONTH($A89,0) + 1
)</f>
        <v>0</v>
      </c>
      <c r="BI89" s="228">
        <f ca="1">SUMIFS(rec.uni[2028-03-01],
INDIRECT("rec.uni[natureza]"),"pro.soluto",
INDIRECT("rec.uni[empresa]"),BI$6)</f>
        <v>0</v>
      </c>
      <c r="BJ89" s="228">
        <f ca="1">SUMIFS(rec.uni[2028-03-01],
INDIRECT("rec.uni[natureza]"),"repasse.cef.obra",
INDIRECT("rec.uni[empresa]"),BJ$6)</f>
        <v>0</v>
      </c>
      <c r="BK89" s="231">
        <f ca="1">SUMIFS(rec.uni[2028-03-01],
INDIRECT("rec.uni[natureza]"),"repasse.cef.terreno",
INDIRECT("rec.uni[empresa]"),BK$6)</f>
        <v>0</v>
      </c>
      <c r="BL89" s="232"/>
      <c r="BM89" s="228">
        <f ca="1">SUMIFS(rec.uni[2028-03-01],
INDIRECT("rec.uni[natureza]"),"taxa.extra",
INDIRECT("rec.uni[empresa]"),BM$6)</f>
        <v>0</v>
      </c>
      <c r="BN89" s="216"/>
      <c r="BO89" s="216"/>
      <c r="BP89" s="216"/>
      <c r="BQ89" s="216"/>
      <c r="BR89" s="216"/>
      <c r="BS89" s="216"/>
      <c r="BT89" s="227">
        <f>COUNTIFS(
    estq[empresa], BT$6,
    estq[Data da venda / reserva], "&gt;=" &amp; $A89,
    estq[Data da venda / reserva], "&lt;"  &amp; EOMONTH($A89,0) + 1
)</f>
        <v>0</v>
      </c>
      <c r="BU89" s="228">
        <f ca="1">SUMIFS(rec.uni[2028-03-01],
INDIRECT("rec.uni[natureza]"),"pro.soluto",
INDIRECT("rec.uni[empresa]"),BU$6)</f>
        <v>0</v>
      </c>
      <c r="BV89" s="228">
        <f ca="1">SUMIFS(rec.uni[2028-03-01],
INDIRECT("rec.uni[natureza]"),"repasse.cef.obra",
INDIRECT("rec.uni[empresa]"),BV$6)</f>
        <v>0</v>
      </c>
      <c r="BW89" s="231">
        <f ca="1">SUMIFS(rec.uni[2028-03-01],
INDIRECT("rec.uni[natureza]"),"repasse.cef.terreno",
INDIRECT("rec.uni[empresa]"),BW$6)</f>
        <v>0</v>
      </c>
      <c r="BX89" s="232"/>
      <c r="BY89" s="228">
        <f ca="1">SUMIFS(rec.uni[2028-03-01],
INDIRECT("rec.uni[natureza]"),"taxa.extra",
INDIRECT("rec.uni[empresa]"),BY$6)</f>
        <v>0</v>
      </c>
      <c r="BZ89" s="216"/>
      <c r="CA89" s="216"/>
      <c r="CB89" s="216"/>
      <c r="CC89" s="216"/>
      <c r="CD89" s="216"/>
      <c r="CE89" s="216"/>
    </row>
    <row r="90" spans="1:83" x14ac:dyDescent="0.25">
      <c r="A90" s="226">
        <v>46844</v>
      </c>
      <c r="B90" s="227">
        <f>COUNTIFS(
    estq[empresa], B$6,
    estq[Data da venda / reserva], "&gt;=" &amp; $A90,
    estq[Data da venda / reserva], "&lt;"  &amp; EOMONTH($A90,0) + 1
)</f>
        <v>0</v>
      </c>
      <c r="C90" s="228">
        <f ca="1">SUMIFS(rec.uni[2028-04-01],
INDIRECT("rec.uni[natureza]"),"pro.soluto",
INDIRECT("rec.uni[empresa]"),C$6)</f>
        <v>0</v>
      </c>
      <c r="D90" s="228">
        <f ca="1">SUMIFS(rec.uni[2028-04-01],
INDIRECT("rec.uni[natureza]"),"repasse.cef.obra",
INDIRECT("rec.uni[empresa]"),D$6)</f>
        <v>0</v>
      </c>
      <c r="E90" s="228">
        <f ca="1">SUMIFS(rec.uni[2028-04-01],
INDIRECT("rec.uni[natureza]"),"repasse.cef.terreno",
INDIRECT("rec.uni[empresa]"),E$6)</f>
        <v>0</v>
      </c>
      <c r="F90" s="232"/>
      <c r="G90" s="228">
        <f ca="1">SUMIFS(rec.uni[2028-04-01],
INDIRECT("rec.uni[natureza]"),"taxa.extra",
INDIRECT("rec.uni[empresa]"),G$6)</f>
        <v>0</v>
      </c>
      <c r="H90" s="216"/>
      <c r="I90" s="216"/>
      <c r="J90" s="216"/>
      <c r="K90" s="216"/>
      <c r="L90" s="216"/>
      <c r="M90" s="216"/>
      <c r="N90" s="227">
        <f>COUNTIFS(
    estq[empresa], N$6,
    estq[Data da venda / reserva], "&gt;=" &amp; $A90,
    estq[Data da venda / reserva], "&lt;"  &amp; EOMONTH($A90,0) + 1
)</f>
        <v>0</v>
      </c>
      <c r="O90" s="228">
        <f ca="1">SUMIFS(rec.uni[2028-04-01],
INDIRECT("rec.uni[natureza]"),"pro.soluto",
INDIRECT("rec.uni[empresa]"),O$6)</f>
        <v>0</v>
      </c>
      <c r="P90" s="228">
        <f ca="1">SUMIFS(rec.uni[2028-04-01],
INDIRECT("rec.uni[natureza]"),"repasse.cef.obra",
INDIRECT("rec.uni[empresa]"),P$6)</f>
        <v>0</v>
      </c>
      <c r="Q90" s="228">
        <f ca="1">SUMIFS(rec.uni[2028-04-01],
INDIRECT("rec.uni[natureza]"),"repasse.cef.terreno",
INDIRECT("rec.uni[empresa]"),Q$6)</f>
        <v>0</v>
      </c>
      <c r="R90" s="232"/>
      <c r="S90" s="228">
        <f ca="1">SUMIFS(rec.uni[2028-04-01],
INDIRECT("rec.uni[natureza]"),"taxa.extra",
INDIRECT("rec.uni[empresa]"),S$6)</f>
        <v>0</v>
      </c>
      <c r="T90" s="216"/>
      <c r="U90" s="216"/>
      <c r="V90" s="216"/>
      <c r="W90" s="216"/>
      <c r="X90" s="216"/>
      <c r="Y90" s="216"/>
      <c r="Z90" s="227">
        <f>COUNTIFS(
    estq[empresa], Z$6,
    estq[Data da venda / reserva], "&gt;=" &amp; $A90,
    estq[Data da venda / reserva], "&lt;"  &amp; EOMONTH($A90,0) + 1
)</f>
        <v>0</v>
      </c>
      <c r="AA90" s="228">
        <f ca="1">SUMIFS(rec.uni[2028-04-01],
INDIRECT("rec.uni[natureza]"),"pro.soluto",
INDIRECT("rec.uni[empresa]"),AA$6)</f>
        <v>0</v>
      </c>
      <c r="AB90" s="228">
        <f ca="1">SUMIFS(rec.uni[2028-04-01],
INDIRECT("rec.uni[natureza]"),"repasse.cef.obra",
INDIRECT("rec.uni[empresa]"),AB$6)</f>
        <v>0</v>
      </c>
      <c r="AC90" s="231">
        <f ca="1">SUMIFS(rec.uni[2028-04-01],
INDIRECT("rec.uni[natureza]"),"repasse.cef.terreno",
INDIRECT("rec.uni[empresa]"),AC$6)</f>
        <v>0</v>
      </c>
      <c r="AD90" s="232"/>
      <c r="AE90" s="228">
        <f ca="1">SUMIFS(rec.uni[2028-04-01],
INDIRECT("rec.uni[natureza]"),"taxa.extra",
INDIRECT("rec.uni[empresa]"),AE$6)</f>
        <v>0</v>
      </c>
      <c r="AF90" s="216"/>
      <c r="AG90" s="216"/>
      <c r="AH90" s="216"/>
      <c r="AI90" s="216"/>
      <c r="AJ90" s="216"/>
      <c r="AK90" s="216"/>
      <c r="AL90" s="227">
        <f>COUNTIFS(
    estq[empresa], AL$6,
    estq[Data da venda / reserva], "&gt;=" &amp; $A90,
    estq[Data da venda / reserva], "&lt;"  &amp; EOMONTH($A90,0) + 1
)</f>
        <v>0</v>
      </c>
      <c r="AM90" s="228">
        <f ca="1">SUMIFS(rec.uni[2028-04-01],
INDIRECT("rec.uni[natureza]"),"pro.soluto",
INDIRECT("rec.uni[empresa]"),AM$6)</f>
        <v>0</v>
      </c>
      <c r="AN90" s="228">
        <f ca="1">SUMIFS(rec.uni[2028-04-01],
INDIRECT("rec.uni[natureza]"),"repasse.cef.obra",
INDIRECT("rec.uni[empresa]"),AN$6)</f>
        <v>0</v>
      </c>
      <c r="AO90" s="231">
        <f ca="1">SUMIFS(rec.uni[2028-04-01],
INDIRECT("rec.uni[natureza]"),"repasse.cef.terreno",
INDIRECT("rec.uni[empresa]"),AO$6)</f>
        <v>0</v>
      </c>
      <c r="AP90" s="232"/>
      <c r="AQ90" s="228">
        <f ca="1">SUMIFS(rec.uni[2028-04-01],
INDIRECT("rec.uni[natureza]"),"taxa.extra",
INDIRECT("rec.uni[empresa]"),AQ$6)</f>
        <v>0</v>
      </c>
      <c r="AR90" s="216"/>
      <c r="AS90" s="216"/>
      <c r="AT90" s="216"/>
      <c r="AU90" s="216"/>
      <c r="AV90" s="216"/>
      <c r="AW90" s="216"/>
      <c r="AX90" s="227">
        <f>COUNTIFS(
    estq[empresa], AX$6,
    estq[Data da venda / reserva], "&gt;=" &amp; $A90,
    estq[Data da venda / reserva], "&lt;"  &amp; EOMONTH($A90,0) + 1
)</f>
        <v>0</v>
      </c>
      <c r="AY90" s="228">
        <f ca="1">SUMIFS(rec.uni[2028-04-01],
INDIRECT("rec.uni[natureza]"),"pro.soluto",
INDIRECT("rec.uni[empresa]"),AY$6)</f>
        <v>0</v>
      </c>
      <c r="AZ90" s="232">
        <f ca="1">SUMIFS(rec.uni[2028-04-01],
INDIRECT("rec.uni[natureza]"),"parcela.fin.total.ik",
INDIRECT("rec.uni[empresa]"),AZ$6)</f>
        <v>0</v>
      </c>
      <c r="BA90" s="228">
        <f ca="1">SUMIFS(rec.uni[2028-04-01],
INDIRECT("rec.uni[natureza]"),"taxa.extra",
INDIRECT("rec.uni[empresa]"),BA$6)</f>
        <v>0</v>
      </c>
      <c r="BB90" s="216"/>
      <c r="BC90" s="216"/>
      <c r="BD90" s="216"/>
      <c r="BE90" s="216"/>
      <c r="BF90" s="216"/>
      <c r="BG90" s="216"/>
      <c r="BH90" s="227">
        <f>COUNTIFS(
    estq[empresa], BH$6,
    estq[Data da venda / reserva], "&gt;=" &amp; $A90,
    estq[Data da venda / reserva], "&lt;"  &amp; EOMONTH($A90,0) + 1
)</f>
        <v>0</v>
      </c>
      <c r="BI90" s="228">
        <f ca="1">SUMIFS(rec.uni[2028-04-01],
INDIRECT("rec.uni[natureza]"),"pro.soluto",
INDIRECT("rec.uni[empresa]"),BI$6)</f>
        <v>0</v>
      </c>
      <c r="BJ90" s="228">
        <f ca="1">SUMIFS(rec.uni[2028-04-01],
INDIRECT("rec.uni[natureza]"),"repasse.cef.obra",
INDIRECT("rec.uni[empresa]"),BJ$6)</f>
        <v>0</v>
      </c>
      <c r="BK90" s="231">
        <f ca="1">SUMIFS(rec.uni[2028-04-01],
INDIRECT("rec.uni[natureza]"),"repasse.cef.terreno",
INDIRECT("rec.uni[empresa]"),BK$6)</f>
        <v>0</v>
      </c>
      <c r="BL90" s="232"/>
      <c r="BM90" s="228">
        <f ca="1">SUMIFS(rec.uni[2028-04-01],
INDIRECT("rec.uni[natureza]"),"taxa.extra",
INDIRECT("rec.uni[empresa]"),BM$6)</f>
        <v>0</v>
      </c>
      <c r="BN90" s="216"/>
      <c r="BO90" s="216"/>
      <c r="BP90" s="216"/>
      <c r="BQ90" s="216"/>
      <c r="BR90" s="216"/>
      <c r="BS90" s="216"/>
      <c r="BT90" s="227">
        <f>COUNTIFS(
    estq[empresa], BT$6,
    estq[Data da venda / reserva], "&gt;=" &amp; $A90,
    estq[Data da venda / reserva], "&lt;"  &amp; EOMONTH($A90,0) + 1
)</f>
        <v>0</v>
      </c>
      <c r="BU90" s="228">
        <f ca="1">SUMIFS(rec.uni[2028-04-01],
INDIRECT("rec.uni[natureza]"),"pro.soluto",
INDIRECT("rec.uni[empresa]"),BU$6)</f>
        <v>0</v>
      </c>
      <c r="BV90" s="228">
        <f ca="1">SUMIFS(rec.uni[2028-04-01],
INDIRECT("rec.uni[natureza]"),"repasse.cef.obra",
INDIRECT("rec.uni[empresa]"),BV$6)</f>
        <v>0</v>
      </c>
      <c r="BW90" s="231">
        <f ca="1">SUMIFS(rec.uni[2028-04-01],
INDIRECT("rec.uni[natureza]"),"repasse.cef.terreno",
INDIRECT("rec.uni[empresa]"),BW$6)</f>
        <v>0</v>
      </c>
      <c r="BX90" s="232"/>
      <c r="BY90" s="228">
        <f ca="1">SUMIFS(rec.uni[2028-04-01],
INDIRECT("rec.uni[natureza]"),"taxa.extra",
INDIRECT("rec.uni[empresa]"),BY$6)</f>
        <v>0</v>
      </c>
      <c r="BZ90" s="216"/>
      <c r="CA90" s="216"/>
      <c r="CB90" s="216"/>
      <c r="CC90" s="216"/>
      <c r="CD90" s="216"/>
      <c r="CE90" s="216"/>
    </row>
    <row r="91" spans="1:83" x14ac:dyDescent="0.25">
      <c r="A91" s="226">
        <v>46874</v>
      </c>
      <c r="B91" s="227">
        <f>COUNTIFS(
    estq[empresa], B$6,
    estq[Data da venda / reserva], "&gt;=" &amp; $A91,
    estq[Data da venda / reserva], "&lt;"  &amp; EOMONTH($A91,0) + 1
)</f>
        <v>0</v>
      </c>
      <c r="C91" s="228">
        <f ca="1">SUMIFS(rec.uni[2028-05-01],
INDIRECT("rec.uni[natureza]"),"pro.soluto",
INDIRECT("rec.uni[empresa]"),C$6)</f>
        <v>0</v>
      </c>
      <c r="D91" s="228">
        <f ca="1">SUMIFS(rec.uni[2028-05-01],
INDIRECT("rec.uni[natureza]"),"repasse.cef.obra",
INDIRECT("rec.uni[empresa]"),D$6)</f>
        <v>0</v>
      </c>
      <c r="E91" s="228">
        <f ca="1">SUMIFS(rec.uni[2028-05-01],
INDIRECT("rec.uni[natureza]"),"repasse.cef.terreno",
INDIRECT("rec.uni[empresa]"),E$6)</f>
        <v>0</v>
      </c>
      <c r="F91" s="232"/>
      <c r="G91" s="228">
        <f ca="1">SUMIFS(rec.uni[2028-05-01],
INDIRECT("rec.uni[natureza]"),"taxa.extra",
INDIRECT("rec.uni[empresa]"),G$6)</f>
        <v>0</v>
      </c>
      <c r="H91" s="216"/>
      <c r="I91" s="216"/>
      <c r="J91" s="216"/>
      <c r="K91" s="216"/>
      <c r="L91" s="216"/>
      <c r="M91" s="216"/>
      <c r="N91" s="227">
        <f>COUNTIFS(
    estq[empresa], N$6,
    estq[Data da venda / reserva], "&gt;=" &amp; $A91,
    estq[Data da venda / reserva], "&lt;"  &amp; EOMONTH($A91,0) + 1
)</f>
        <v>0</v>
      </c>
      <c r="O91" s="228">
        <f ca="1">SUMIFS(rec.uni[2028-05-01],
INDIRECT("rec.uni[natureza]"),"pro.soluto",
INDIRECT("rec.uni[empresa]"),O$6)</f>
        <v>0</v>
      </c>
      <c r="P91" s="228">
        <f ca="1">SUMIFS(rec.uni[2028-05-01],
INDIRECT("rec.uni[natureza]"),"repasse.cef.obra",
INDIRECT("rec.uni[empresa]"),P$6)</f>
        <v>0</v>
      </c>
      <c r="Q91" s="228">
        <f ca="1">SUMIFS(rec.uni[2028-05-01],
INDIRECT("rec.uni[natureza]"),"repasse.cef.terreno",
INDIRECT("rec.uni[empresa]"),Q$6)</f>
        <v>0</v>
      </c>
      <c r="R91" s="232"/>
      <c r="S91" s="228">
        <f ca="1">SUMIFS(rec.uni[2028-05-01],
INDIRECT("rec.uni[natureza]"),"taxa.extra",
INDIRECT("rec.uni[empresa]"),S$6)</f>
        <v>0</v>
      </c>
      <c r="T91" s="216"/>
      <c r="U91" s="216"/>
      <c r="V91" s="216"/>
      <c r="W91" s="216"/>
      <c r="X91" s="216"/>
      <c r="Y91" s="216"/>
      <c r="Z91" s="227">
        <f>COUNTIFS(
    estq[empresa], Z$6,
    estq[Data da venda / reserva], "&gt;=" &amp; $A91,
    estq[Data da venda / reserva], "&lt;"  &amp; EOMONTH($A91,0) + 1
)</f>
        <v>0</v>
      </c>
      <c r="AA91" s="228">
        <f ca="1">SUMIFS(rec.uni[2028-05-01],
INDIRECT("rec.uni[natureza]"),"pro.soluto",
INDIRECT("rec.uni[empresa]"),AA$6)</f>
        <v>0</v>
      </c>
      <c r="AB91" s="228">
        <f ca="1">SUMIFS(rec.uni[2028-05-01],
INDIRECT("rec.uni[natureza]"),"repasse.cef.obra",
INDIRECT("rec.uni[empresa]"),AB$6)</f>
        <v>0</v>
      </c>
      <c r="AC91" s="231">
        <f ca="1">SUMIFS(rec.uni[2028-05-01],
INDIRECT("rec.uni[natureza]"),"repasse.cef.terreno",
INDIRECT("rec.uni[empresa]"),AC$6)</f>
        <v>0</v>
      </c>
      <c r="AD91" s="232"/>
      <c r="AE91" s="228">
        <f ca="1">SUMIFS(rec.uni[2028-05-01],
INDIRECT("rec.uni[natureza]"),"taxa.extra",
INDIRECT("rec.uni[empresa]"),AE$6)</f>
        <v>0</v>
      </c>
      <c r="AF91" s="216"/>
      <c r="AG91" s="216"/>
      <c r="AH91" s="216"/>
      <c r="AI91" s="216"/>
      <c r="AJ91" s="216"/>
      <c r="AK91" s="216"/>
      <c r="AL91" s="227">
        <f>COUNTIFS(
    estq[empresa], AL$6,
    estq[Data da venda / reserva], "&gt;=" &amp; $A91,
    estq[Data da venda / reserva], "&lt;"  &amp; EOMONTH($A91,0) + 1
)</f>
        <v>0</v>
      </c>
      <c r="AM91" s="228">
        <f ca="1">SUMIFS(rec.uni[2028-05-01],
INDIRECT("rec.uni[natureza]"),"pro.soluto",
INDIRECT("rec.uni[empresa]"),AM$6)</f>
        <v>0</v>
      </c>
      <c r="AN91" s="228">
        <f ca="1">SUMIFS(rec.uni[2028-05-01],
INDIRECT("rec.uni[natureza]"),"repasse.cef.obra",
INDIRECT("rec.uni[empresa]"),AN$6)</f>
        <v>0</v>
      </c>
      <c r="AO91" s="231">
        <f ca="1">SUMIFS(rec.uni[2028-05-01],
INDIRECT("rec.uni[natureza]"),"repasse.cef.terreno",
INDIRECT("rec.uni[empresa]"),AO$6)</f>
        <v>0</v>
      </c>
      <c r="AP91" s="232"/>
      <c r="AQ91" s="228">
        <f ca="1">SUMIFS(rec.uni[2028-05-01],
INDIRECT("rec.uni[natureza]"),"taxa.extra",
INDIRECT("rec.uni[empresa]"),AQ$6)</f>
        <v>0</v>
      </c>
      <c r="AR91" s="216"/>
      <c r="AS91" s="216"/>
      <c r="AT91" s="216"/>
      <c r="AU91" s="216"/>
      <c r="AV91" s="216"/>
      <c r="AW91" s="216"/>
      <c r="AX91" s="227">
        <f>COUNTIFS(
    estq[empresa], AX$6,
    estq[Data da venda / reserva], "&gt;=" &amp; $A91,
    estq[Data da venda / reserva], "&lt;"  &amp; EOMONTH($A91,0) + 1
)</f>
        <v>0</v>
      </c>
      <c r="AY91" s="228">
        <f ca="1">SUMIFS(rec.uni[2028-05-01],
INDIRECT("rec.uni[natureza]"),"pro.soluto",
INDIRECT("rec.uni[empresa]"),AY$6)</f>
        <v>0</v>
      </c>
      <c r="AZ91" s="232">
        <f ca="1">SUMIFS(rec.uni[2028-05-01],
INDIRECT("rec.uni[natureza]"),"parcela.fin.total.ik",
INDIRECT("rec.uni[empresa]"),AZ$6)</f>
        <v>0</v>
      </c>
      <c r="BA91" s="228">
        <f ca="1">SUMIFS(rec.uni[2028-05-01],
INDIRECT("rec.uni[natureza]"),"taxa.extra",
INDIRECT("rec.uni[empresa]"),BA$6)</f>
        <v>0</v>
      </c>
      <c r="BB91" s="216"/>
      <c r="BC91" s="216"/>
      <c r="BD91" s="216"/>
      <c r="BE91" s="216"/>
      <c r="BF91" s="216"/>
      <c r="BG91" s="216"/>
      <c r="BH91" s="227">
        <f>COUNTIFS(
    estq[empresa], BH$6,
    estq[Data da venda / reserva], "&gt;=" &amp; $A91,
    estq[Data da venda / reserva], "&lt;"  &amp; EOMONTH($A91,0) + 1
)</f>
        <v>0</v>
      </c>
      <c r="BI91" s="228">
        <f ca="1">SUMIFS(rec.uni[2028-05-01],
INDIRECT("rec.uni[natureza]"),"pro.soluto",
INDIRECT("rec.uni[empresa]"),BI$6)</f>
        <v>0</v>
      </c>
      <c r="BJ91" s="228">
        <f ca="1">SUMIFS(rec.uni[2028-05-01],
INDIRECT("rec.uni[natureza]"),"repasse.cef.obra",
INDIRECT("rec.uni[empresa]"),BJ$6)</f>
        <v>0</v>
      </c>
      <c r="BK91" s="231">
        <f ca="1">SUMIFS(rec.uni[2028-05-01],
INDIRECT("rec.uni[natureza]"),"repasse.cef.terreno",
INDIRECT("rec.uni[empresa]"),BK$6)</f>
        <v>0</v>
      </c>
      <c r="BL91" s="232"/>
      <c r="BM91" s="228">
        <f ca="1">SUMIFS(rec.uni[2028-05-01],
INDIRECT("rec.uni[natureza]"),"taxa.extra",
INDIRECT("rec.uni[empresa]"),BM$6)</f>
        <v>0</v>
      </c>
      <c r="BN91" s="216"/>
      <c r="BO91" s="216"/>
      <c r="BP91" s="216"/>
      <c r="BQ91" s="216"/>
      <c r="BR91" s="216"/>
      <c r="BS91" s="216"/>
      <c r="BT91" s="227">
        <f>COUNTIFS(
    estq[empresa], BT$6,
    estq[Data da venda / reserva], "&gt;=" &amp; $A91,
    estq[Data da venda / reserva], "&lt;"  &amp; EOMONTH($A91,0) + 1
)</f>
        <v>0</v>
      </c>
      <c r="BU91" s="228">
        <f ca="1">SUMIFS(rec.uni[2028-05-01],
INDIRECT("rec.uni[natureza]"),"pro.soluto",
INDIRECT("rec.uni[empresa]"),BU$6)</f>
        <v>0</v>
      </c>
      <c r="BV91" s="228">
        <f ca="1">SUMIFS(rec.uni[2028-05-01],
INDIRECT("rec.uni[natureza]"),"repasse.cef.obra",
INDIRECT("rec.uni[empresa]"),BV$6)</f>
        <v>0</v>
      </c>
      <c r="BW91" s="231">
        <f ca="1">SUMIFS(rec.uni[2028-05-01],
INDIRECT("rec.uni[natureza]"),"repasse.cef.terreno",
INDIRECT("rec.uni[empresa]"),BW$6)</f>
        <v>0</v>
      </c>
      <c r="BX91" s="232"/>
      <c r="BY91" s="228">
        <f ca="1">SUMIFS(rec.uni[2028-05-01],
INDIRECT("rec.uni[natureza]"),"taxa.extra",
INDIRECT("rec.uni[empresa]"),BY$6)</f>
        <v>0</v>
      </c>
      <c r="BZ91" s="216"/>
      <c r="CA91" s="216"/>
      <c r="CB91" s="216"/>
      <c r="CC91" s="216"/>
      <c r="CD91" s="216"/>
      <c r="CE91" s="216"/>
    </row>
    <row r="92" spans="1:83" x14ac:dyDescent="0.25">
      <c r="A92" s="226">
        <v>46905</v>
      </c>
      <c r="B92" s="227">
        <f>COUNTIFS(
    estq[empresa], B$6,
    estq[Data da venda / reserva], "&gt;=" &amp; $A92,
    estq[Data da venda / reserva], "&lt;"  &amp; EOMONTH($A92,0) + 1
)</f>
        <v>0</v>
      </c>
      <c r="C92" s="228">
        <f ca="1">SUMIFS(rec.uni[2028-06-01],
INDIRECT("rec.uni[natureza]"),"pro.soluto",
INDIRECT("rec.uni[empresa]"),C$6)</f>
        <v>0</v>
      </c>
      <c r="D92" s="228">
        <f ca="1">SUMIFS(rec.uni[2028-06-01],
INDIRECT("rec.uni[natureza]"),"repasse.cef.obra",
INDIRECT("rec.uni[empresa]"),D$6)</f>
        <v>0</v>
      </c>
      <c r="E92" s="228">
        <f ca="1">SUMIFS(rec.uni[2028-06-01],
INDIRECT("rec.uni[natureza]"),"repasse.cef.terreno",
INDIRECT("rec.uni[empresa]"),E$6)</f>
        <v>0</v>
      </c>
      <c r="F92" s="232"/>
      <c r="G92" s="228">
        <f ca="1">SUMIFS(rec.uni[2028-06-01],
INDIRECT("rec.uni[natureza]"),"taxa.extra",
INDIRECT("rec.uni[empresa]"),G$6)</f>
        <v>0</v>
      </c>
      <c r="H92" s="216"/>
      <c r="I92" s="216"/>
      <c r="J92" s="216"/>
      <c r="K92" s="216"/>
      <c r="L92" s="216"/>
      <c r="M92" s="216"/>
      <c r="N92" s="227">
        <f>COUNTIFS(
    estq[empresa], N$6,
    estq[Data da venda / reserva], "&gt;=" &amp; $A92,
    estq[Data da venda / reserva], "&lt;"  &amp; EOMONTH($A92,0) + 1
)</f>
        <v>0</v>
      </c>
      <c r="O92" s="228">
        <f ca="1">SUMIFS(rec.uni[2028-06-01],
INDIRECT("rec.uni[natureza]"),"pro.soluto",
INDIRECT("rec.uni[empresa]"),O$6)</f>
        <v>0</v>
      </c>
      <c r="P92" s="228">
        <f ca="1">SUMIFS(rec.uni[2028-06-01],
INDIRECT("rec.uni[natureza]"),"repasse.cef.obra",
INDIRECT("rec.uni[empresa]"),P$6)</f>
        <v>0</v>
      </c>
      <c r="Q92" s="228">
        <f ca="1">SUMIFS(rec.uni[2028-06-01],
INDIRECT("rec.uni[natureza]"),"repasse.cef.terreno",
INDIRECT("rec.uni[empresa]"),Q$6)</f>
        <v>0</v>
      </c>
      <c r="R92" s="232"/>
      <c r="S92" s="228">
        <f ca="1">SUMIFS(rec.uni[2028-06-01],
INDIRECT("rec.uni[natureza]"),"taxa.extra",
INDIRECT("rec.uni[empresa]"),S$6)</f>
        <v>0</v>
      </c>
      <c r="T92" s="216"/>
      <c r="U92" s="216"/>
      <c r="V92" s="216"/>
      <c r="W92" s="216"/>
      <c r="X92" s="216"/>
      <c r="Y92" s="216"/>
      <c r="Z92" s="227">
        <f>COUNTIFS(
    estq[empresa], Z$6,
    estq[Data da venda / reserva], "&gt;=" &amp; $A92,
    estq[Data da venda / reserva], "&lt;"  &amp; EOMONTH($A92,0) + 1
)</f>
        <v>0</v>
      </c>
      <c r="AA92" s="228">
        <f ca="1">SUMIFS(rec.uni[2028-06-01],
INDIRECT("rec.uni[natureza]"),"pro.soluto",
INDIRECT("rec.uni[empresa]"),AA$6)</f>
        <v>0</v>
      </c>
      <c r="AB92" s="228">
        <f ca="1">SUMIFS(rec.uni[2028-06-01],
INDIRECT("rec.uni[natureza]"),"repasse.cef.obra",
INDIRECT("rec.uni[empresa]"),AB$6)</f>
        <v>0</v>
      </c>
      <c r="AC92" s="231">
        <f ca="1">SUMIFS(rec.uni[2028-06-01],
INDIRECT("rec.uni[natureza]"),"repasse.cef.terreno",
INDIRECT("rec.uni[empresa]"),AC$6)</f>
        <v>0</v>
      </c>
      <c r="AD92" s="232"/>
      <c r="AE92" s="228">
        <f ca="1">SUMIFS(rec.uni[2028-06-01],
INDIRECT("rec.uni[natureza]"),"taxa.extra",
INDIRECT("rec.uni[empresa]"),AE$6)</f>
        <v>0</v>
      </c>
      <c r="AF92" s="216"/>
      <c r="AG92" s="216"/>
      <c r="AH92" s="216"/>
      <c r="AI92" s="216"/>
      <c r="AJ92" s="216"/>
      <c r="AK92" s="216"/>
      <c r="AL92" s="227">
        <f>COUNTIFS(
    estq[empresa], AL$6,
    estq[Data da venda / reserva], "&gt;=" &amp; $A92,
    estq[Data da venda / reserva], "&lt;"  &amp; EOMONTH($A92,0) + 1
)</f>
        <v>0</v>
      </c>
      <c r="AM92" s="228">
        <f ca="1">SUMIFS(rec.uni[2028-06-01],
INDIRECT("rec.uni[natureza]"),"pro.soluto",
INDIRECT("rec.uni[empresa]"),AM$6)</f>
        <v>0</v>
      </c>
      <c r="AN92" s="228">
        <f ca="1">SUMIFS(rec.uni[2028-06-01],
INDIRECT("rec.uni[natureza]"),"repasse.cef.obra",
INDIRECT("rec.uni[empresa]"),AN$6)</f>
        <v>0</v>
      </c>
      <c r="AO92" s="231">
        <f ca="1">SUMIFS(rec.uni[2028-06-01],
INDIRECT("rec.uni[natureza]"),"repasse.cef.terreno",
INDIRECT("rec.uni[empresa]"),AO$6)</f>
        <v>0</v>
      </c>
      <c r="AP92" s="232"/>
      <c r="AQ92" s="228">
        <f ca="1">SUMIFS(rec.uni[2028-06-01],
INDIRECT("rec.uni[natureza]"),"taxa.extra",
INDIRECT("rec.uni[empresa]"),AQ$6)</f>
        <v>0</v>
      </c>
      <c r="AR92" s="216"/>
      <c r="AS92" s="216"/>
      <c r="AT92" s="216"/>
      <c r="AU92" s="216"/>
      <c r="AV92" s="216"/>
      <c r="AW92" s="216"/>
      <c r="AX92" s="227">
        <f>COUNTIFS(
    estq[empresa], AX$6,
    estq[Data da venda / reserva], "&gt;=" &amp; $A92,
    estq[Data da venda / reserva], "&lt;"  &amp; EOMONTH($A92,0) + 1
)</f>
        <v>0</v>
      </c>
      <c r="AY92" s="228">
        <f ca="1">SUMIFS(rec.uni[2028-06-01],
INDIRECT("rec.uni[natureza]"),"pro.soluto",
INDIRECT("rec.uni[empresa]"),AY$6)</f>
        <v>0</v>
      </c>
      <c r="AZ92" s="232">
        <f ca="1">SUMIFS(rec.uni[2028-06-01],
INDIRECT("rec.uni[natureza]"),"parcela.fin.total.ik",
INDIRECT("rec.uni[empresa]"),AZ$6)</f>
        <v>0</v>
      </c>
      <c r="BA92" s="228">
        <f ca="1">SUMIFS(rec.uni[2028-06-01],
INDIRECT("rec.uni[natureza]"),"taxa.extra",
INDIRECT("rec.uni[empresa]"),BA$6)</f>
        <v>0</v>
      </c>
      <c r="BB92" s="216"/>
      <c r="BC92" s="216"/>
      <c r="BD92" s="216"/>
      <c r="BE92" s="216"/>
      <c r="BF92" s="216"/>
      <c r="BG92" s="216"/>
      <c r="BH92" s="227">
        <f>COUNTIFS(
    estq[empresa], BH$6,
    estq[Data da venda / reserva], "&gt;=" &amp; $A92,
    estq[Data da venda / reserva], "&lt;"  &amp; EOMONTH($A92,0) + 1
)</f>
        <v>0</v>
      </c>
      <c r="BI92" s="228">
        <f ca="1">SUMIFS(rec.uni[2028-06-01],
INDIRECT("rec.uni[natureza]"),"pro.soluto",
INDIRECT("rec.uni[empresa]"),BI$6)</f>
        <v>0</v>
      </c>
      <c r="BJ92" s="228">
        <f ca="1">SUMIFS(rec.uni[2028-06-01],
INDIRECT("rec.uni[natureza]"),"repasse.cef.obra",
INDIRECT("rec.uni[empresa]"),BJ$6)</f>
        <v>0</v>
      </c>
      <c r="BK92" s="231">
        <f ca="1">SUMIFS(rec.uni[2028-06-01],
INDIRECT("rec.uni[natureza]"),"repasse.cef.terreno",
INDIRECT("rec.uni[empresa]"),BK$6)</f>
        <v>0</v>
      </c>
      <c r="BL92" s="232"/>
      <c r="BM92" s="228">
        <f ca="1">SUMIFS(rec.uni[2028-06-01],
INDIRECT("rec.uni[natureza]"),"taxa.extra",
INDIRECT("rec.uni[empresa]"),BM$6)</f>
        <v>0</v>
      </c>
      <c r="BN92" s="216"/>
      <c r="BO92" s="216"/>
      <c r="BP92" s="216"/>
      <c r="BQ92" s="216"/>
      <c r="BR92" s="216"/>
      <c r="BS92" s="216"/>
      <c r="BT92" s="227">
        <f>COUNTIFS(
    estq[empresa], BT$6,
    estq[Data da venda / reserva], "&gt;=" &amp; $A92,
    estq[Data da venda / reserva], "&lt;"  &amp; EOMONTH($A92,0) + 1
)</f>
        <v>0</v>
      </c>
      <c r="BU92" s="228">
        <f ca="1">SUMIFS(rec.uni[2028-06-01],
INDIRECT("rec.uni[natureza]"),"pro.soluto",
INDIRECT("rec.uni[empresa]"),BU$6)</f>
        <v>0</v>
      </c>
      <c r="BV92" s="228">
        <f ca="1">SUMIFS(rec.uni[2028-06-01],
INDIRECT("rec.uni[natureza]"),"repasse.cef.obra",
INDIRECT("rec.uni[empresa]"),BV$6)</f>
        <v>0</v>
      </c>
      <c r="BW92" s="231">
        <f ca="1">SUMIFS(rec.uni[2028-06-01],
INDIRECT("rec.uni[natureza]"),"repasse.cef.terreno",
INDIRECT("rec.uni[empresa]"),BW$6)</f>
        <v>0</v>
      </c>
      <c r="BX92" s="232"/>
      <c r="BY92" s="228">
        <f ca="1">SUMIFS(rec.uni[2028-06-01],
INDIRECT("rec.uni[natureza]"),"taxa.extra",
INDIRECT("rec.uni[empresa]"),BY$6)</f>
        <v>0</v>
      </c>
      <c r="BZ92" s="216"/>
      <c r="CA92" s="216"/>
      <c r="CB92" s="216"/>
      <c r="CC92" s="216"/>
      <c r="CD92" s="216"/>
      <c r="CE92" s="216"/>
    </row>
    <row r="93" spans="1:83" x14ac:dyDescent="0.25">
      <c r="A93" s="226">
        <v>46935</v>
      </c>
      <c r="B93" s="227">
        <f>COUNTIFS(
    estq[empresa], B$6,
    estq[Data da venda / reserva], "&gt;=" &amp; $A93,
    estq[Data da venda / reserva], "&lt;"  &amp; EOMONTH($A93,0) + 1
)</f>
        <v>0</v>
      </c>
      <c r="C93" s="228">
        <f ca="1">SUMIFS(rec.uni[2028-07-01],
INDIRECT("rec.uni[natureza]"),"pro.soluto",
INDIRECT("rec.uni[empresa]"),C$6)</f>
        <v>0</v>
      </c>
      <c r="D93" s="228">
        <f ca="1">SUMIFS(rec.uni[2028-07-01],
INDIRECT("rec.uni[natureza]"),"repasse.cef.obra",
INDIRECT("rec.uni[empresa]"),D$6)</f>
        <v>0</v>
      </c>
      <c r="E93" s="228">
        <f ca="1">SUMIFS(rec.uni[2028-07-01],
INDIRECT("rec.uni[natureza]"),"repasse.cef.terreno",
INDIRECT("rec.uni[empresa]"),E$6)</f>
        <v>0</v>
      </c>
      <c r="F93" s="232"/>
      <c r="G93" s="228">
        <f ca="1">SUMIFS(rec.uni[2028-07-01],
INDIRECT("rec.uni[natureza]"),"taxa.extra",
INDIRECT("rec.uni[empresa]"),G$6)</f>
        <v>0</v>
      </c>
      <c r="H93" s="216"/>
      <c r="I93" s="216"/>
      <c r="J93" s="216"/>
      <c r="K93" s="216"/>
      <c r="L93" s="216"/>
      <c r="M93" s="216"/>
      <c r="N93" s="227">
        <f>COUNTIFS(
    estq[empresa], N$6,
    estq[Data da venda / reserva], "&gt;=" &amp; $A93,
    estq[Data da venda / reserva], "&lt;"  &amp; EOMONTH($A93,0) + 1
)</f>
        <v>0</v>
      </c>
      <c r="O93" s="228">
        <f ca="1">SUMIFS(rec.uni[2028-07-01],
INDIRECT("rec.uni[natureza]"),"pro.soluto",
INDIRECT("rec.uni[empresa]"),O$6)</f>
        <v>0</v>
      </c>
      <c r="P93" s="228">
        <f ca="1">SUMIFS(rec.uni[2028-07-01],
INDIRECT("rec.uni[natureza]"),"repasse.cef.obra",
INDIRECT("rec.uni[empresa]"),P$6)</f>
        <v>0</v>
      </c>
      <c r="Q93" s="228">
        <f ca="1">SUMIFS(rec.uni[2028-07-01],
INDIRECT("rec.uni[natureza]"),"repasse.cef.terreno",
INDIRECT("rec.uni[empresa]"),Q$6)</f>
        <v>0</v>
      </c>
      <c r="R93" s="232"/>
      <c r="S93" s="228">
        <f ca="1">SUMIFS(rec.uni[2028-07-01],
INDIRECT("rec.uni[natureza]"),"taxa.extra",
INDIRECT("rec.uni[empresa]"),S$6)</f>
        <v>0</v>
      </c>
      <c r="T93" s="216"/>
      <c r="U93" s="216"/>
      <c r="V93" s="216"/>
      <c r="W93" s="216"/>
      <c r="X93" s="216"/>
      <c r="Y93" s="216"/>
      <c r="Z93" s="227">
        <f>COUNTIFS(
    estq[empresa], Z$6,
    estq[Data da venda / reserva], "&gt;=" &amp; $A93,
    estq[Data da venda / reserva], "&lt;"  &amp; EOMONTH($A93,0) + 1
)</f>
        <v>0</v>
      </c>
      <c r="AA93" s="228">
        <f ca="1">SUMIFS(rec.uni[2028-07-01],
INDIRECT("rec.uni[natureza]"),"pro.soluto",
INDIRECT("rec.uni[empresa]"),AA$6)</f>
        <v>0</v>
      </c>
      <c r="AB93" s="228">
        <f ca="1">SUMIFS(rec.uni[2028-07-01],
INDIRECT("rec.uni[natureza]"),"repasse.cef.obra",
INDIRECT("rec.uni[empresa]"),AB$6)</f>
        <v>0</v>
      </c>
      <c r="AC93" s="231">
        <f ca="1">SUMIFS(rec.uni[2028-07-01],
INDIRECT("rec.uni[natureza]"),"repasse.cef.terreno",
INDIRECT("rec.uni[empresa]"),AC$6)</f>
        <v>0</v>
      </c>
      <c r="AD93" s="232"/>
      <c r="AE93" s="228">
        <f ca="1">SUMIFS(rec.uni[2028-07-01],
INDIRECT("rec.uni[natureza]"),"taxa.extra",
INDIRECT("rec.uni[empresa]"),AE$6)</f>
        <v>0</v>
      </c>
      <c r="AF93" s="216"/>
      <c r="AG93" s="216"/>
      <c r="AH93" s="216"/>
      <c r="AI93" s="216"/>
      <c r="AJ93" s="216"/>
      <c r="AK93" s="216"/>
      <c r="AL93" s="227">
        <f>COUNTIFS(
    estq[empresa], AL$6,
    estq[Data da venda / reserva], "&gt;=" &amp; $A93,
    estq[Data da venda / reserva], "&lt;"  &amp; EOMONTH($A93,0) + 1
)</f>
        <v>0</v>
      </c>
      <c r="AM93" s="228">
        <f ca="1">SUMIFS(rec.uni[2028-07-01],
INDIRECT("rec.uni[natureza]"),"pro.soluto",
INDIRECT("rec.uni[empresa]"),AM$6)</f>
        <v>0</v>
      </c>
      <c r="AN93" s="228">
        <f ca="1">SUMIFS(rec.uni[2028-07-01],
INDIRECT("rec.uni[natureza]"),"repasse.cef.obra",
INDIRECT("rec.uni[empresa]"),AN$6)</f>
        <v>0</v>
      </c>
      <c r="AO93" s="231">
        <f ca="1">SUMIFS(rec.uni[2028-07-01],
INDIRECT("rec.uni[natureza]"),"repasse.cef.terreno",
INDIRECT("rec.uni[empresa]"),AO$6)</f>
        <v>0</v>
      </c>
      <c r="AP93" s="232"/>
      <c r="AQ93" s="228">
        <f ca="1">SUMIFS(rec.uni[2028-07-01],
INDIRECT("rec.uni[natureza]"),"taxa.extra",
INDIRECT("rec.uni[empresa]"),AQ$6)</f>
        <v>0</v>
      </c>
      <c r="AR93" s="216"/>
      <c r="AS93" s="216"/>
      <c r="AT93" s="216"/>
      <c r="AU93" s="216"/>
      <c r="AV93" s="216"/>
      <c r="AW93" s="216"/>
      <c r="AX93" s="227">
        <f>COUNTIFS(
    estq[empresa], AX$6,
    estq[Data da venda / reserva], "&gt;=" &amp; $A93,
    estq[Data da venda / reserva], "&lt;"  &amp; EOMONTH($A93,0) + 1
)</f>
        <v>0</v>
      </c>
      <c r="AY93" s="228">
        <f ca="1">SUMIFS(rec.uni[2028-07-01],
INDIRECT("rec.uni[natureza]"),"pro.soluto",
INDIRECT("rec.uni[empresa]"),AY$6)</f>
        <v>0</v>
      </c>
      <c r="AZ93" s="232">
        <f ca="1">SUMIFS(rec.uni[2028-07-01],
INDIRECT("rec.uni[natureza]"),"parcela.fin.total.ik",
INDIRECT("rec.uni[empresa]"),AZ$6)</f>
        <v>0</v>
      </c>
      <c r="BA93" s="228">
        <f ca="1">SUMIFS(rec.uni[2028-07-01],
INDIRECT("rec.uni[natureza]"),"taxa.extra",
INDIRECT("rec.uni[empresa]"),BA$6)</f>
        <v>0</v>
      </c>
      <c r="BB93" s="216"/>
      <c r="BC93" s="216"/>
      <c r="BD93" s="216"/>
      <c r="BE93" s="216"/>
      <c r="BF93" s="216"/>
      <c r="BG93" s="216"/>
      <c r="BH93" s="227">
        <f>COUNTIFS(
    estq[empresa], BH$6,
    estq[Data da venda / reserva], "&gt;=" &amp; $A93,
    estq[Data da venda / reserva], "&lt;"  &amp; EOMONTH($A93,0) + 1
)</f>
        <v>0</v>
      </c>
      <c r="BI93" s="228">
        <f ca="1">SUMIFS(rec.uni[2028-07-01],
INDIRECT("rec.uni[natureza]"),"pro.soluto",
INDIRECT("rec.uni[empresa]"),BI$6)</f>
        <v>0</v>
      </c>
      <c r="BJ93" s="228">
        <f ca="1">SUMIFS(rec.uni[2028-07-01],
INDIRECT("rec.uni[natureza]"),"repasse.cef.obra",
INDIRECT("rec.uni[empresa]"),BJ$6)</f>
        <v>0</v>
      </c>
      <c r="BK93" s="231">
        <f ca="1">SUMIFS(rec.uni[2028-07-01],
INDIRECT("rec.uni[natureza]"),"repasse.cef.terreno",
INDIRECT("rec.uni[empresa]"),BK$6)</f>
        <v>0</v>
      </c>
      <c r="BL93" s="232"/>
      <c r="BM93" s="228">
        <f ca="1">SUMIFS(rec.uni[2028-07-01],
INDIRECT("rec.uni[natureza]"),"taxa.extra",
INDIRECT("rec.uni[empresa]"),BM$6)</f>
        <v>0</v>
      </c>
      <c r="BN93" s="216"/>
      <c r="BO93" s="216"/>
      <c r="BP93" s="216"/>
      <c r="BQ93" s="216"/>
      <c r="BR93" s="216"/>
      <c r="BS93" s="216"/>
      <c r="BT93" s="227">
        <f>COUNTIFS(
    estq[empresa], BT$6,
    estq[Data da venda / reserva], "&gt;=" &amp; $A93,
    estq[Data da venda / reserva], "&lt;"  &amp; EOMONTH($A93,0) + 1
)</f>
        <v>0</v>
      </c>
      <c r="BU93" s="228">
        <f ca="1">SUMIFS(rec.uni[2028-07-01],
INDIRECT("rec.uni[natureza]"),"pro.soluto",
INDIRECT("rec.uni[empresa]"),BU$6)</f>
        <v>0</v>
      </c>
      <c r="BV93" s="228">
        <f ca="1">SUMIFS(rec.uni[2028-07-01],
INDIRECT("rec.uni[natureza]"),"repasse.cef.obra",
INDIRECT("rec.uni[empresa]"),BV$6)</f>
        <v>0</v>
      </c>
      <c r="BW93" s="231">
        <f ca="1">SUMIFS(rec.uni[2028-07-01],
INDIRECT("rec.uni[natureza]"),"repasse.cef.terreno",
INDIRECT("rec.uni[empresa]"),BW$6)</f>
        <v>0</v>
      </c>
      <c r="BX93" s="232"/>
      <c r="BY93" s="228">
        <f ca="1">SUMIFS(rec.uni[2028-07-01],
INDIRECT("rec.uni[natureza]"),"taxa.extra",
INDIRECT("rec.uni[empresa]"),BY$6)</f>
        <v>0</v>
      </c>
      <c r="BZ93" s="216"/>
      <c r="CA93" s="216"/>
      <c r="CB93" s="216"/>
      <c r="CC93" s="216"/>
      <c r="CD93" s="216"/>
      <c r="CE93" s="216"/>
    </row>
    <row r="94" spans="1:83" x14ac:dyDescent="0.25">
      <c r="A94" s="226">
        <v>46966</v>
      </c>
      <c r="B94" s="227">
        <f>COUNTIFS(
    estq[empresa], B$6,
    estq[Data da venda / reserva], "&gt;=" &amp; $A94,
    estq[Data da venda / reserva], "&lt;"  &amp; EOMONTH($A94,0) + 1
)</f>
        <v>0</v>
      </c>
      <c r="C94" s="228">
        <f ca="1">SUMIFS(rec.uni[2028-08-01],
INDIRECT("rec.uni[natureza]"),"pro.soluto",
INDIRECT("rec.uni[empresa]"),C$6)</f>
        <v>0</v>
      </c>
      <c r="D94" s="228">
        <f ca="1">SUMIFS(rec.uni[2028-08-01],
INDIRECT("rec.uni[natureza]"),"repasse.cef.obra",
INDIRECT("rec.uni[empresa]"),D$6)</f>
        <v>0</v>
      </c>
      <c r="E94" s="228">
        <f ca="1">SUMIFS(rec.uni[2028-08-01],
INDIRECT("rec.uni[natureza]"),"repasse.cef.terreno",
INDIRECT("rec.uni[empresa]"),E$6)</f>
        <v>0</v>
      </c>
      <c r="F94" s="232"/>
      <c r="G94" s="228">
        <f ca="1">SUMIFS(rec.uni[2028-08-01],
INDIRECT("rec.uni[natureza]"),"taxa.extra",
INDIRECT("rec.uni[empresa]"),G$6)</f>
        <v>0</v>
      </c>
      <c r="H94" s="216"/>
      <c r="I94" s="216"/>
      <c r="J94" s="216"/>
      <c r="K94" s="216"/>
      <c r="L94" s="216"/>
      <c r="M94" s="216"/>
      <c r="N94" s="227">
        <f>COUNTIFS(
    estq[empresa], N$6,
    estq[Data da venda / reserva], "&gt;=" &amp; $A94,
    estq[Data da venda / reserva], "&lt;"  &amp; EOMONTH($A94,0) + 1
)</f>
        <v>0</v>
      </c>
      <c r="O94" s="228">
        <f ca="1">SUMIFS(rec.uni[2028-08-01],
INDIRECT("rec.uni[natureza]"),"pro.soluto",
INDIRECT("rec.uni[empresa]"),O$6)</f>
        <v>0</v>
      </c>
      <c r="P94" s="228">
        <f ca="1">SUMIFS(rec.uni[2028-08-01],
INDIRECT("rec.uni[natureza]"),"repasse.cef.obra",
INDIRECT("rec.uni[empresa]"),P$6)</f>
        <v>0</v>
      </c>
      <c r="Q94" s="228">
        <f ca="1">SUMIFS(rec.uni[2028-08-01],
INDIRECT("rec.uni[natureza]"),"repasse.cef.terreno",
INDIRECT("rec.uni[empresa]"),Q$6)</f>
        <v>0</v>
      </c>
      <c r="R94" s="232"/>
      <c r="S94" s="228">
        <f ca="1">SUMIFS(rec.uni[2028-08-01],
INDIRECT("rec.uni[natureza]"),"taxa.extra",
INDIRECT("rec.uni[empresa]"),S$6)</f>
        <v>0</v>
      </c>
      <c r="T94" s="216"/>
      <c r="U94" s="216"/>
      <c r="V94" s="216"/>
      <c r="W94" s="216"/>
      <c r="X94" s="216"/>
      <c r="Y94" s="216"/>
      <c r="Z94" s="227">
        <f>COUNTIFS(
    estq[empresa], Z$6,
    estq[Data da venda / reserva], "&gt;=" &amp; $A94,
    estq[Data da venda / reserva], "&lt;"  &amp; EOMONTH($A94,0) + 1
)</f>
        <v>0</v>
      </c>
      <c r="AA94" s="228">
        <f ca="1">SUMIFS(rec.uni[2028-08-01],
INDIRECT("rec.uni[natureza]"),"pro.soluto",
INDIRECT("rec.uni[empresa]"),AA$6)</f>
        <v>0</v>
      </c>
      <c r="AB94" s="228">
        <f ca="1">SUMIFS(rec.uni[2028-08-01],
INDIRECT("rec.uni[natureza]"),"repasse.cef.obra",
INDIRECT("rec.uni[empresa]"),AB$6)</f>
        <v>0</v>
      </c>
      <c r="AC94" s="231">
        <f ca="1">SUMIFS(rec.uni[2028-08-01],
INDIRECT("rec.uni[natureza]"),"repasse.cef.terreno",
INDIRECT("rec.uni[empresa]"),AC$6)</f>
        <v>0</v>
      </c>
      <c r="AD94" s="232"/>
      <c r="AE94" s="228">
        <f ca="1">SUMIFS(rec.uni[2028-08-01],
INDIRECT("rec.uni[natureza]"),"taxa.extra",
INDIRECT("rec.uni[empresa]"),AE$6)</f>
        <v>0</v>
      </c>
      <c r="AF94" s="216"/>
      <c r="AG94" s="216"/>
      <c r="AH94" s="216"/>
      <c r="AI94" s="216"/>
      <c r="AJ94" s="216"/>
      <c r="AK94" s="216"/>
      <c r="AL94" s="227">
        <f>COUNTIFS(
    estq[empresa], AL$6,
    estq[Data da venda / reserva], "&gt;=" &amp; $A94,
    estq[Data da venda / reserva], "&lt;"  &amp; EOMONTH($A94,0) + 1
)</f>
        <v>0</v>
      </c>
      <c r="AM94" s="228">
        <f ca="1">SUMIFS(rec.uni[2028-08-01],
INDIRECT("rec.uni[natureza]"),"pro.soluto",
INDIRECT("rec.uni[empresa]"),AM$6)</f>
        <v>0</v>
      </c>
      <c r="AN94" s="228">
        <f ca="1">SUMIFS(rec.uni[2028-08-01],
INDIRECT("rec.uni[natureza]"),"repasse.cef.obra",
INDIRECT("rec.uni[empresa]"),AN$6)</f>
        <v>0</v>
      </c>
      <c r="AO94" s="231">
        <f ca="1">SUMIFS(rec.uni[2028-08-01],
INDIRECT("rec.uni[natureza]"),"repasse.cef.terreno",
INDIRECT("rec.uni[empresa]"),AO$6)</f>
        <v>0</v>
      </c>
      <c r="AP94" s="232"/>
      <c r="AQ94" s="228">
        <f ca="1">SUMIFS(rec.uni[2028-08-01],
INDIRECT("rec.uni[natureza]"),"taxa.extra",
INDIRECT("rec.uni[empresa]"),AQ$6)</f>
        <v>0</v>
      </c>
      <c r="AR94" s="216"/>
      <c r="AS94" s="216"/>
      <c r="AT94" s="216"/>
      <c r="AU94" s="216"/>
      <c r="AV94" s="216"/>
      <c r="AW94" s="216"/>
      <c r="AX94" s="227">
        <f>COUNTIFS(
    estq[empresa], AX$6,
    estq[Data da venda / reserva], "&gt;=" &amp; $A94,
    estq[Data da venda / reserva], "&lt;"  &amp; EOMONTH($A94,0) + 1
)</f>
        <v>0</v>
      </c>
      <c r="AY94" s="228">
        <f ca="1">SUMIFS(rec.uni[2028-08-01],
INDIRECT("rec.uni[natureza]"),"pro.soluto",
INDIRECT("rec.uni[empresa]"),AY$6)</f>
        <v>0</v>
      </c>
      <c r="AZ94" s="232">
        <f ca="1">SUMIFS(rec.uni[2028-08-01],
INDIRECT("rec.uni[natureza]"),"parcela.fin.total.ik",
INDIRECT("rec.uni[empresa]"),AZ$6)</f>
        <v>0</v>
      </c>
      <c r="BA94" s="228">
        <f ca="1">SUMIFS(rec.uni[2028-08-01],
INDIRECT("rec.uni[natureza]"),"taxa.extra",
INDIRECT("rec.uni[empresa]"),BA$6)</f>
        <v>0</v>
      </c>
      <c r="BB94" s="216"/>
      <c r="BC94" s="216"/>
      <c r="BD94" s="216"/>
      <c r="BE94" s="216"/>
      <c r="BF94" s="216"/>
      <c r="BG94" s="216"/>
      <c r="BH94" s="227">
        <f>COUNTIFS(
    estq[empresa], BH$6,
    estq[Data da venda / reserva], "&gt;=" &amp; $A94,
    estq[Data da venda / reserva], "&lt;"  &amp; EOMONTH($A94,0) + 1
)</f>
        <v>0</v>
      </c>
      <c r="BI94" s="228">
        <f ca="1">SUMIFS(rec.uni[2028-08-01],
INDIRECT("rec.uni[natureza]"),"pro.soluto",
INDIRECT("rec.uni[empresa]"),BI$6)</f>
        <v>0</v>
      </c>
      <c r="BJ94" s="228">
        <f ca="1">SUMIFS(rec.uni[2028-08-01],
INDIRECT("rec.uni[natureza]"),"repasse.cef.obra",
INDIRECT("rec.uni[empresa]"),BJ$6)</f>
        <v>0</v>
      </c>
      <c r="BK94" s="231">
        <f ca="1">SUMIFS(rec.uni[2028-08-01],
INDIRECT("rec.uni[natureza]"),"repasse.cef.terreno",
INDIRECT("rec.uni[empresa]"),BK$6)</f>
        <v>0</v>
      </c>
      <c r="BL94" s="232"/>
      <c r="BM94" s="228">
        <f ca="1">SUMIFS(rec.uni[2028-08-01],
INDIRECT("rec.uni[natureza]"),"taxa.extra",
INDIRECT("rec.uni[empresa]"),BM$6)</f>
        <v>0</v>
      </c>
      <c r="BN94" s="216"/>
      <c r="BO94" s="216"/>
      <c r="BP94" s="216"/>
      <c r="BQ94" s="216"/>
      <c r="BR94" s="216"/>
      <c r="BS94" s="216"/>
      <c r="BT94" s="227">
        <f>COUNTIFS(
    estq[empresa], BT$6,
    estq[Data da venda / reserva], "&gt;=" &amp; $A94,
    estq[Data da venda / reserva], "&lt;"  &amp; EOMONTH($A94,0) + 1
)</f>
        <v>0</v>
      </c>
      <c r="BU94" s="228">
        <f ca="1">SUMIFS(rec.uni[2028-08-01],
INDIRECT("rec.uni[natureza]"),"pro.soluto",
INDIRECT("rec.uni[empresa]"),BU$6)</f>
        <v>0</v>
      </c>
      <c r="BV94" s="228">
        <f ca="1">SUMIFS(rec.uni[2028-08-01],
INDIRECT("rec.uni[natureza]"),"repasse.cef.obra",
INDIRECT("rec.uni[empresa]"),BV$6)</f>
        <v>0</v>
      </c>
      <c r="BW94" s="231">
        <f ca="1">SUMIFS(rec.uni[2028-08-01],
INDIRECT("rec.uni[natureza]"),"repasse.cef.terreno",
INDIRECT("rec.uni[empresa]"),BW$6)</f>
        <v>0</v>
      </c>
      <c r="BX94" s="232"/>
      <c r="BY94" s="228">
        <f ca="1">SUMIFS(rec.uni[2028-08-01],
INDIRECT("rec.uni[natureza]"),"taxa.extra",
INDIRECT("rec.uni[empresa]"),BY$6)</f>
        <v>0</v>
      </c>
      <c r="BZ94" s="216"/>
      <c r="CA94" s="216"/>
      <c r="CB94" s="216"/>
      <c r="CC94" s="216"/>
      <c r="CD94" s="216"/>
      <c r="CE94" s="216"/>
    </row>
    <row r="95" spans="1:83" x14ac:dyDescent="0.25">
      <c r="A95" s="226">
        <v>46997</v>
      </c>
      <c r="B95" s="227">
        <f>COUNTIFS(
    estq[empresa], B$6,
    estq[Data da venda / reserva], "&gt;=" &amp; $A95,
    estq[Data da venda / reserva], "&lt;"  &amp; EOMONTH($A95,0) + 1
)</f>
        <v>0</v>
      </c>
      <c r="C95" s="228">
        <f ca="1">SUMIFS(rec.uni[2028-09-01],
INDIRECT("rec.uni[natureza]"),"pro.soluto",
INDIRECT("rec.uni[empresa]"),C$6)</f>
        <v>0</v>
      </c>
      <c r="D95" s="228">
        <f ca="1">SUMIFS(rec.uni[2028-09-01],
INDIRECT("rec.uni[natureza]"),"repasse.cef.obra",
INDIRECT("rec.uni[empresa]"),D$6)</f>
        <v>0</v>
      </c>
      <c r="E95" s="228">
        <f ca="1">SUMIFS(rec.uni[2028-09-01],
INDIRECT("rec.uni[natureza]"),"repasse.cef.terreno",
INDIRECT("rec.uni[empresa]"),E$6)</f>
        <v>0</v>
      </c>
      <c r="F95" s="232"/>
      <c r="G95" s="228">
        <f ca="1">SUMIFS(rec.uni[2028-09-01],
INDIRECT("rec.uni[natureza]"),"taxa.extra",
INDIRECT("rec.uni[empresa]"),G$6)</f>
        <v>0</v>
      </c>
      <c r="H95" s="216"/>
      <c r="I95" s="216"/>
      <c r="J95" s="216"/>
      <c r="K95" s="216"/>
      <c r="L95" s="216"/>
      <c r="M95" s="216"/>
      <c r="N95" s="227">
        <f>COUNTIFS(
    estq[empresa], N$6,
    estq[Data da venda / reserva], "&gt;=" &amp; $A95,
    estq[Data da venda / reserva], "&lt;"  &amp; EOMONTH($A95,0) + 1
)</f>
        <v>0</v>
      </c>
      <c r="O95" s="228">
        <f ca="1">SUMIFS(rec.uni[2028-09-01],
INDIRECT("rec.uni[natureza]"),"pro.soluto",
INDIRECT("rec.uni[empresa]"),O$6)</f>
        <v>0</v>
      </c>
      <c r="P95" s="228">
        <f ca="1">SUMIFS(rec.uni[2028-09-01],
INDIRECT("rec.uni[natureza]"),"repasse.cef.obra",
INDIRECT("rec.uni[empresa]"),P$6)</f>
        <v>0</v>
      </c>
      <c r="Q95" s="228">
        <f ca="1">SUMIFS(rec.uni[2028-09-01],
INDIRECT("rec.uni[natureza]"),"repasse.cef.terreno",
INDIRECT("rec.uni[empresa]"),Q$6)</f>
        <v>0</v>
      </c>
      <c r="R95" s="232"/>
      <c r="S95" s="228">
        <f ca="1">SUMIFS(rec.uni[2028-09-01],
INDIRECT("rec.uni[natureza]"),"taxa.extra",
INDIRECT("rec.uni[empresa]"),S$6)</f>
        <v>0</v>
      </c>
      <c r="T95" s="216"/>
      <c r="U95" s="216"/>
      <c r="V95" s="216"/>
      <c r="W95" s="216"/>
      <c r="X95" s="216"/>
      <c r="Y95" s="216"/>
      <c r="Z95" s="227">
        <f>COUNTIFS(
    estq[empresa], Z$6,
    estq[Data da venda / reserva], "&gt;=" &amp; $A95,
    estq[Data da venda / reserva], "&lt;"  &amp; EOMONTH($A95,0) + 1
)</f>
        <v>0</v>
      </c>
      <c r="AA95" s="228">
        <f ca="1">SUMIFS(rec.uni[2028-09-01],
INDIRECT("rec.uni[natureza]"),"pro.soluto",
INDIRECT("rec.uni[empresa]"),AA$6)</f>
        <v>0</v>
      </c>
      <c r="AB95" s="228">
        <f ca="1">SUMIFS(rec.uni[2028-09-01],
INDIRECT("rec.uni[natureza]"),"repasse.cef.obra",
INDIRECT("rec.uni[empresa]"),AB$6)</f>
        <v>0</v>
      </c>
      <c r="AC95" s="231">
        <f ca="1">SUMIFS(rec.uni[2028-09-01],
INDIRECT("rec.uni[natureza]"),"repasse.cef.terreno",
INDIRECT("rec.uni[empresa]"),AC$6)</f>
        <v>0</v>
      </c>
      <c r="AD95" s="232"/>
      <c r="AE95" s="228">
        <f ca="1">SUMIFS(rec.uni[2028-09-01],
INDIRECT("rec.uni[natureza]"),"taxa.extra",
INDIRECT("rec.uni[empresa]"),AE$6)</f>
        <v>0</v>
      </c>
      <c r="AF95" s="216"/>
      <c r="AG95" s="216"/>
      <c r="AH95" s="216"/>
      <c r="AI95" s="216"/>
      <c r="AJ95" s="216"/>
      <c r="AK95" s="216"/>
      <c r="AL95" s="227">
        <f>COUNTIFS(
    estq[empresa], AL$6,
    estq[Data da venda / reserva], "&gt;=" &amp; $A95,
    estq[Data da venda / reserva], "&lt;"  &amp; EOMONTH($A95,0) + 1
)</f>
        <v>0</v>
      </c>
      <c r="AM95" s="228">
        <f ca="1">SUMIFS(rec.uni[2028-09-01],
INDIRECT("rec.uni[natureza]"),"pro.soluto",
INDIRECT("rec.uni[empresa]"),AM$6)</f>
        <v>0</v>
      </c>
      <c r="AN95" s="228">
        <f ca="1">SUMIFS(rec.uni[2028-09-01],
INDIRECT("rec.uni[natureza]"),"repasse.cef.obra",
INDIRECT("rec.uni[empresa]"),AN$6)</f>
        <v>0</v>
      </c>
      <c r="AO95" s="231">
        <f ca="1">SUMIFS(rec.uni[2028-09-01],
INDIRECT("rec.uni[natureza]"),"repasse.cef.terreno",
INDIRECT("rec.uni[empresa]"),AO$6)</f>
        <v>0</v>
      </c>
      <c r="AP95" s="232"/>
      <c r="AQ95" s="228">
        <f ca="1">SUMIFS(rec.uni[2028-09-01],
INDIRECT("rec.uni[natureza]"),"taxa.extra",
INDIRECT("rec.uni[empresa]"),AQ$6)</f>
        <v>0</v>
      </c>
      <c r="AR95" s="216"/>
      <c r="AS95" s="216"/>
      <c r="AT95" s="216"/>
      <c r="AU95" s="216"/>
      <c r="AV95" s="216"/>
      <c r="AW95" s="216"/>
      <c r="AX95" s="227">
        <f>COUNTIFS(
    estq[empresa], AX$6,
    estq[Data da venda / reserva], "&gt;=" &amp; $A95,
    estq[Data da venda / reserva], "&lt;"  &amp; EOMONTH($A95,0) + 1
)</f>
        <v>0</v>
      </c>
      <c r="AY95" s="228">
        <f ca="1">SUMIFS(rec.uni[2028-09-01],
INDIRECT("rec.uni[natureza]"),"pro.soluto",
INDIRECT("rec.uni[empresa]"),AY$6)</f>
        <v>0</v>
      </c>
      <c r="AZ95" s="232">
        <f ca="1">SUMIFS(rec.uni[2028-09-01],
INDIRECT("rec.uni[natureza]"),"parcela.fin.total.ik",
INDIRECT("rec.uni[empresa]"),AZ$6)</f>
        <v>0</v>
      </c>
      <c r="BA95" s="228">
        <f ca="1">SUMIFS(rec.uni[2028-09-01],
INDIRECT("rec.uni[natureza]"),"taxa.extra",
INDIRECT("rec.uni[empresa]"),BA$6)</f>
        <v>0</v>
      </c>
      <c r="BB95" s="216"/>
      <c r="BC95" s="216"/>
      <c r="BD95" s="216"/>
      <c r="BE95" s="216"/>
      <c r="BF95" s="216"/>
      <c r="BG95" s="216"/>
      <c r="BH95" s="227">
        <f>COUNTIFS(
    estq[empresa], BH$6,
    estq[Data da venda / reserva], "&gt;=" &amp; $A95,
    estq[Data da venda / reserva], "&lt;"  &amp; EOMONTH($A95,0) + 1
)</f>
        <v>0</v>
      </c>
      <c r="BI95" s="228">
        <f ca="1">SUMIFS(rec.uni[2028-09-01],
INDIRECT("rec.uni[natureza]"),"pro.soluto",
INDIRECT("rec.uni[empresa]"),BI$6)</f>
        <v>0</v>
      </c>
      <c r="BJ95" s="228">
        <f ca="1">SUMIFS(rec.uni[2028-09-01],
INDIRECT("rec.uni[natureza]"),"repasse.cef.obra",
INDIRECT("rec.uni[empresa]"),BJ$6)</f>
        <v>0</v>
      </c>
      <c r="BK95" s="231">
        <f ca="1">SUMIFS(rec.uni[2028-09-01],
INDIRECT("rec.uni[natureza]"),"repasse.cef.terreno",
INDIRECT("rec.uni[empresa]"),BK$6)</f>
        <v>0</v>
      </c>
      <c r="BL95" s="232"/>
      <c r="BM95" s="228">
        <f ca="1">SUMIFS(rec.uni[2028-09-01],
INDIRECT("rec.uni[natureza]"),"taxa.extra",
INDIRECT("rec.uni[empresa]"),BM$6)</f>
        <v>0</v>
      </c>
      <c r="BN95" s="216"/>
      <c r="BO95" s="216"/>
      <c r="BP95" s="216"/>
      <c r="BQ95" s="216"/>
      <c r="BR95" s="216"/>
      <c r="BS95" s="216"/>
      <c r="BT95" s="227">
        <f>COUNTIFS(
    estq[empresa], BT$6,
    estq[Data da venda / reserva], "&gt;=" &amp; $A95,
    estq[Data da venda / reserva], "&lt;"  &amp; EOMONTH($A95,0) + 1
)</f>
        <v>0</v>
      </c>
      <c r="BU95" s="228">
        <f ca="1">SUMIFS(rec.uni[2028-09-01],
INDIRECT("rec.uni[natureza]"),"pro.soluto",
INDIRECT("rec.uni[empresa]"),BU$6)</f>
        <v>0</v>
      </c>
      <c r="BV95" s="228">
        <f ca="1">SUMIFS(rec.uni[2028-09-01],
INDIRECT("rec.uni[natureza]"),"repasse.cef.obra",
INDIRECT("rec.uni[empresa]"),BV$6)</f>
        <v>0</v>
      </c>
      <c r="BW95" s="231">
        <f ca="1">SUMIFS(rec.uni[2028-09-01],
INDIRECT("rec.uni[natureza]"),"repasse.cef.terreno",
INDIRECT("rec.uni[empresa]"),BW$6)</f>
        <v>0</v>
      </c>
      <c r="BX95" s="232"/>
      <c r="BY95" s="228">
        <f ca="1">SUMIFS(rec.uni[2028-09-01],
INDIRECT("rec.uni[natureza]"),"taxa.extra",
INDIRECT("rec.uni[empresa]"),BY$6)</f>
        <v>0</v>
      </c>
      <c r="BZ95" s="216"/>
      <c r="CA95" s="216"/>
      <c r="CB95" s="216"/>
      <c r="CC95" s="216"/>
      <c r="CD95" s="216"/>
      <c r="CE95" s="216"/>
    </row>
    <row r="96" spans="1:83" x14ac:dyDescent="0.25">
      <c r="A96" s="226">
        <v>47027</v>
      </c>
      <c r="B96" s="227">
        <f>COUNTIFS(
    estq[empresa], B$6,
    estq[Data da venda / reserva], "&gt;=" &amp; $A96,
    estq[Data da venda / reserva], "&lt;"  &amp; EOMONTH($A96,0) + 1
)</f>
        <v>0</v>
      </c>
      <c r="C96" s="228">
        <f ca="1">SUMIFS(rec.uni[2028-10-01],
INDIRECT("rec.uni[natureza]"),"pro.soluto",
INDIRECT("rec.uni[empresa]"),C$6)</f>
        <v>0</v>
      </c>
      <c r="D96" s="228">
        <f ca="1">SUMIFS(rec.uni[2028-10-01],
INDIRECT("rec.uni[natureza]"),"repasse.cef.obra",
INDIRECT("rec.uni[empresa]"),D$6)</f>
        <v>0</v>
      </c>
      <c r="E96" s="228">
        <f ca="1">SUMIFS(rec.uni[2028-10-01],
INDIRECT("rec.uni[natureza]"),"repasse.cef.terreno",
INDIRECT("rec.uni[empresa]"),E$6)</f>
        <v>0</v>
      </c>
      <c r="F96" s="232"/>
      <c r="G96" s="228">
        <f ca="1">SUMIFS(rec.uni[2028-10-01],
INDIRECT("rec.uni[natureza]"),"taxa.extra",
INDIRECT("rec.uni[empresa]"),G$6)</f>
        <v>0</v>
      </c>
      <c r="H96" s="216"/>
      <c r="I96" s="216"/>
      <c r="J96" s="216"/>
      <c r="K96" s="216"/>
      <c r="L96" s="216"/>
      <c r="M96" s="216"/>
      <c r="N96" s="227">
        <f>COUNTIFS(
    estq[empresa], N$6,
    estq[Data da venda / reserva], "&gt;=" &amp; $A96,
    estq[Data da venda / reserva], "&lt;"  &amp; EOMONTH($A96,0) + 1
)</f>
        <v>0</v>
      </c>
      <c r="O96" s="228">
        <f ca="1">SUMIFS(rec.uni[2028-10-01],
INDIRECT("rec.uni[natureza]"),"pro.soluto",
INDIRECT("rec.uni[empresa]"),O$6)</f>
        <v>0</v>
      </c>
      <c r="P96" s="228">
        <f ca="1">SUMIFS(rec.uni[2028-10-01],
INDIRECT("rec.uni[natureza]"),"repasse.cef.obra",
INDIRECT("rec.uni[empresa]"),P$6)</f>
        <v>0</v>
      </c>
      <c r="Q96" s="228">
        <f ca="1">SUMIFS(rec.uni[2028-10-01],
INDIRECT("rec.uni[natureza]"),"repasse.cef.terreno",
INDIRECT("rec.uni[empresa]"),Q$6)</f>
        <v>0</v>
      </c>
      <c r="R96" s="232"/>
      <c r="S96" s="228">
        <f ca="1">SUMIFS(rec.uni[2028-10-01],
INDIRECT("rec.uni[natureza]"),"taxa.extra",
INDIRECT("rec.uni[empresa]"),S$6)</f>
        <v>0</v>
      </c>
      <c r="T96" s="216"/>
      <c r="U96" s="216"/>
      <c r="V96" s="216"/>
      <c r="W96" s="216"/>
      <c r="X96" s="216"/>
      <c r="Y96" s="216"/>
      <c r="Z96" s="227">
        <f>COUNTIFS(
    estq[empresa], Z$6,
    estq[Data da venda / reserva], "&gt;=" &amp; $A96,
    estq[Data da venda / reserva], "&lt;"  &amp; EOMONTH($A96,0) + 1
)</f>
        <v>0</v>
      </c>
      <c r="AA96" s="228">
        <f ca="1">SUMIFS(rec.uni[2028-10-01],
INDIRECT("rec.uni[natureza]"),"pro.soluto",
INDIRECT("rec.uni[empresa]"),AA$6)</f>
        <v>0</v>
      </c>
      <c r="AB96" s="228">
        <f ca="1">SUMIFS(rec.uni[2028-10-01],
INDIRECT("rec.uni[natureza]"),"repasse.cef.obra",
INDIRECT("rec.uni[empresa]"),AB$6)</f>
        <v>0</v>
      </c>
      <c r="AC96" s="231">
        <f ca="1">SUMIFS(rec.uni[2028-10-01],
INDIRECT("rec.uni[natureza]"),"repasse.cef.terreno",
INDIRECT("rec.uni[empresa]"),AC$6)</f>
        <v>0</v>
      </c>
      <c r="AD96" s="232"/>
      <c r="AE96" s="228">
        <f ca="1">SUMIFS(rec.uni[2028-10-01],
INDIRECT("rec.uni[natureza]"),"taxa.extra",
INDIRECT("rec.uni[empresa]"),AE$6)</f>
        <v>0</v>
      </c>
      <c r="AF96" s="216"/>
      <c r="AG96" s="216"/>
      <c r="AH96" s="216"/>
      <c r="AI96" s="216"/>
      <c r="AJ96" s="216"/>
      <c r="AK96" s="216"/>
      <c r="AL96" s="227">
        <f>COUNTIFS(
    estq[empresa], AL$6,
    estq[Data da venda / reserva], "&gt;=" &amp; $A96,
    estq[Data da venda / reserva], "&lt;"  &amp; EOMONTH($A96,0) + 1
)</f>
        <v>0</v>
      </c>
      <c r="AM96" s="228">
        <f ca="1">SUMIFS(rec.uni[2028-10-01],
INDIRECT("rec.uni[natureza]"),"pro.soluto",
INDIRECT("rec.uni[empresa]"),AM$6)</f>
        <v>0</v>
      </c>
      <c r="AN96" s="228">
        <f ca="1">SUMIFS(rec.uni[2028-10-01],
INDIRECT("rec.uni[natureza]"),"repasse.cef.obra",
INDIRECT("rec.uni[empresa]"),AN$6)</f>
        <v>0</v>
      </c>
      <c r="AO96" s="231">
        <f ca="1">SUMIFS(rec.uni[2028-10-01],
INDIRECT("rec.uni[natureza]"),"repasse.cef.terreno",
INDIRECT("rec.uni[empresa]"),AO$6)</f>
        <v>0</v>
      </c>
      <c r="AP96" s="232"/>
      <c r="AQ96" s="228">
        <f ca="1">SUMIFS(rec.uni[2028-10-01],
INDIRECT("rec.uni[natureza]"),"taxa.extra",
INDIRECT("rec.uni[empresa]"),AQ$6)</f>
        <v>0</v>
      </c>
      <c r="AR96" s="216"/>
      <c r="AS96" s="216"/>
      <c r="AT96" s="216"/>
      <c r="AU96" s="216"/>
      <c r="AV96" s="216"/>
      <c r="AW96" s="216"/>
      <c r="AX96" s="227">
        <f>COUNTIFS(
    estq[empresa], AX$6,
    estq[Data da venda / reserva], "&gt;=" &amp; $A96,
    estq[Data da venda / reserva], "&lt;"  &amp; EOMONTH($A96,0) + 1
)</f>
        <v>0</v>
      </c>
      <c r="AY96" s="228">
        <f ca="1">SUMIFS(rec.uni[2028-10-01],
INDIRECT("rec.uni[natureza]"),"pro.soluto",
INDIRECT("rec.uni[empresa]"),AY$6)</f>
        <v>0</v>
      </c>
      <c r="AZ96" s="232">
        <f ca="1">SUMIFS(rec.uni[2028-10-01],
INDIRECT("rec.uni[natureza]"),"parcela.fin.total.ik",
INDIRECT("rec.uni[empresa]"),AZ$6)</f>
        <v>0</v>
      </c>
      <c r="BA96" s="228">
        <f ca="1">SUMIFS(rec.uni[2028-10-01],
INDIRECT("rec.uni[natureza]"),"taxa.extra",
INDIRECT("rec.uni[empresa]"),BA$6)</f>
        <v>0</v>
      </c>
      <c r="BB96" s="216"/>
      <c r="BC96" s="216"/>
      <c r="BD96" s="216"/>
      <c r="BE96" s="216"/>
      <c r="BF96" s="216"/>
      <c r="BG96" s="216"/>
      <c r="BH96" s="227">
        <f>COUNTIFS(
    estq[empresa], BH$6,
    estq[Data da venda / reserva], "&gt;=" &amp; $A96,
    estq[Data da venda / reserva], "&lt;"  &amp; EOMONTH($A96,0) + 1
)</f>
        <v>0</v>
      </c>
      <c r="BI96" s="228">
        <f ca="1">SUMIFS(rec.uni[2028-10-01],
INDIRECT("rec.uni[natureza]"),"pro.soluto",
INDIRECT("rec.uni[empresa]"),BI$6)</f>
        <v>0</v>
      </c>
      <c r="BJ96" s="228">
        <f ca="1">SUMIFS(rec.uni[2028-10-01],
INDIRECT("rec.uni[natureza]"),"repasse.cef.obra",
INDIRECT("rec.uni[empresa]"),BJ$6)</f>
        <v>0</v>
      </c>
      <c r="BK96" s="231">
        <f ca="1">SUMIFS(rec.uni[2028-10-01],
INDIRECT("rec.uni[natureza]"),"repasse.cef.terreno",
INDIRECT("rec.uni[empresa]"),BK$6)</f>
        <v>0</v>
      </c>
      <c r="BL96" s="232"/>
      <c r="BM96" s="228">
        <f ca="1">SUMIFS(rec.uni[2028-10-01],
INDIRECT("rec.uni[natureza]"),"taxa.extra",
INDIRECT("rec.uni[empresa]"),BM$6)</f>
        <v>0</v>
      </c>
      <c r="BN96" s="216"/>
      <c r="BO96" s="216"/>
      <c r="BP96" s="216"/>
      <c r="BQ96" s="216"/>
      <c r="BR96" s="216"/>
      <c r="BS96" s="216"/>
      <c r="BT96" s="227">
        <f>COUNTIFS(
    estq[empresa], BT$6,
    estq[Data da venda / reserva], "&gt;=" &amp; $A96,
    estq[Data da venda / reserva], "&lt;"  &amp; EOMONTH($A96,0) + 1
)</f>
        <v>0</v>
      </c>
      <c r="BU96" s="228">
        <f ca="1">SUMIFS(rec.uni[2028-10-01],
INDIRECT("rec.uni[natureza]"),"pro.soluto",
INDIRECT("rec.uni[empresa]"),BU$6)</f>
        <v>0</v>
      </c>
      <c r="BV96" s="228">
        <f ca="1">SUMIFS(rec.uni[2028-10-01],
INDIRECT("rec.uni[natureza]"),"repasse.cef.obra",
INDIRECT("rec.uni[empresa]"),BV$6)</f>
        <v>0</v>
      </c>
      <c r="BW96" s="231">
        <f ca="1">SUMIFS(rec.uni[2028-10-01],
INDIRECT("rec.uni[natureza]"),"repasse.cef.terreno",
INDIRECT("rec.uni[empresa]"),BW$6)</f>
        <v>0</v>
      </c>
      <c r="BX96" s="232"/>
      <c r="BY96" s="228">
        <f ca="1">SUMIFS(rec.uni[2028-10-01],
INDIRECT("rec.uni[natureza]"),"taxa.extra",
INDIRECT("rec.uni[empresa]"),BY$6)</f>
        <v>0</v>
      </c>
      <c r="BZ96" s="216"/>
      <c r="CA96" s="216"/>
      <c r="CB96" s="216"/>
      <c r="CC96" s="216"/>
      <c r="CD96" s="216"/>
      <c r="CE96" s="216"/>
    </row>
    <row r="97" spans="1:83" x14ac:dyDescent="0.25">
      <c r="A97" s="226">
        <v>47058</v>
      </c>
      <c r="B97" s="227">
        <f>COUNTIFS(
    estq[empresa], B$6,
    estq[Data da venda / reserva], "&gt;=" &amp; $A97,
    estq[Data da venda / reserva], "&lt;"  &amp; EOMONTH($A97,0) + 1
)</f>
        <v>0</v>
      </c>
      <c r="C97" s="228">
        <f ca="1">SUMIFS(rec.uni[2028-11-01],
INDIRECT("rec.uni[natureza]"),"pro.soluto",
INDIRECT("rec.uni[empresa]"),C$6)</f>
        <v>0</v>
      </c>
      <c r="D97" s="228">
        <f ca="1">SUMIFS(rec.uni[2028-11-01],
INDIRECT("rec.uni[natureza]"),"repasse.cef.obra",
INDIRECT("rec.uni[empresa]"),D$6)</f>
        <v>0</v>
      </c>
      <c r="E97" s="228">
        <f ca="1">SUMIFS(rec.uni[2028-11-01],
INDIRECT("rec.uni[natureza]"),"repasse.cef.terreno",
INDIRECT("rec.uni[empresa]"),E$6)</f>
        <v>0</v>
      </c>
      <c r="F97" s="232"/>
      <c r="G97" s="228">
        <f ca="1">SUMIFS(rec.uni[2028-11-01],
INDIRECT("rec.uni[natureza]"),"taxa.extra",
INDIRECT("rec.uni[empresa]"),G$6)</f>
        <v>0</v>
      </c>
      <c r="H97" s="216"/>
      <c r="I97" s="216"/>
      <c r="J97" s="216"/>
      <c r="K97" s="216"/>
      <c r="L97" s="216"/>
      <c r="M97" s="216"/>
      <c r="N97" s="227">
        <f>COUNTIFS(
    estq[empresa], N$6,
    estq[Data da venda / reserva], "&gt;=" &amp; $A97,
    estq[Data da venda / reserva], "&lt;"  &amp; EOMONTH($A97,0) + 1
)</f>
        <v>0</v>
      </c>
      <c r="O97" s="228">
        <f ca="1">SUMIFS(rec.uni[2028-11-01],
INDIRECT("rec.uni[natureza]"),"pro.soluto",
INDIRECT("rec.uni[empresa]"),O$6)</f>
        <v>0</v>
      </c>
      <c r="P97" s="228">
        <f ca="1">SUMIFS(rec.uni[2028-11-01],
INDIRECT("rec.uni[natureza]"),"repasse.cef.obra",
INDIRECT("rec.uni[empresa]"),P$6)</f>
        <v>0</v>
      </c>
      <c r="Q97" s="228">
        <f ca="1">SUMIFS(rec.uni[2028-11-01],
INDIRECT("rec.uni[natureza]"),"repasse.cef.terreno",
INDIRECT("rec.uni[empresa]"),Q$6)</f>
        <v>0</v>
      </c>
      <c r="R97" s="232"/>
      <c r="S97" s="228">
        <f ca="1">SUMIFS(rec.uni[2028-11-01],
INDIRECT("rec.uni[natureza]"),"taxa.extra",
INDIRECT("rec.uni[empresa]"),S$6)</f>
        <v>0</v>
      </c>
      <c r="T97" s="216"/>
      <c r="U97" s="216"/>
      <c r="V97" s="216"/>
      <c r="W97" s="216"/>
      <c r="X97" s="216"/>
      <c r="Y97" s="216"/>
      <c r="Z97" s="227">
        <f>COUNTIFS(
    estq[empresa], Z$6,
    estq[Data da venda / reserva], "&gt;=" &amp; $A97,
    estq[Data da venda / reserva], "&lt;"  &amp; EOMONTH($A97,0) + 1
)</f>
        <v>0</v>
      </c>
      <c r="AA97" s="228">
        <f ca="1">SUMIFS(rec.uni[2028-11-01],
INDIRECT("rec.uni[natureza]"),"pro.soluto",
INDIRECT("rec.uni[empresa]"),AA$6)</f>
        <v>0</v>
      </c>
      <c r="AB97" s="228">
        <f ca="1">SUMIFS(rec.uni[2028-11-01],
INDIRECT("rec.uni[natureza]"),"repasse.cef.obra",
INDIRECT("rec.uni[empresa]"),AB$6)</f>
        <v>0</v>
      </c>
      <c r="AC97" s="231">
        <f ca="1">SUMIFS(rec.uni[2028-11-01],
INDIRECT("rec.uni[natureza]"),"repasse.cef.terreno",
INDIRECT("rec.uni[empresa]"),AC$6)</f>
        <v>0</v>
      </c>
      <c r="AD97" s="232"/>
      <c r="AE97" s="228">
        <f ca="1">SUMIFS(rec.uni[2028-11-01],
INDIRECT("rec.uni[natureza]"),"taxa.extra",
INDIRECT("rec.uni[empresa]"),AE$6)</f>
        <v>0</v>
      </c>
      <c r="AF97" s="216"/>
      <c r="AG97" s="216"/>
      <c r="AH97" s="216"/>
      <c r="AI97" s="216"/>
      <c r="AJ97" s="216"/>
      <c r="AK97" s="216"/>
      <c r="AL97" s="227">
        <f>COUNTIFS(
    estq[empresa], AL$6,
    estq[Data da venda / reserva], "&gt;=" &amp; $A97,
    estq[Data da venda / reserva], "&lt;"  &amp; EOMONTH($A97,0) + 1
)</f>
        <v>0</v>
      </c>
      <c r="AM97" s="228">
        <f ca="1">SUMIFS(rec.uni[2028-11-01],
INDIRECT("rec.uni[natureza]"),"pro.soluto",
INDIRECT("rec.uni[empresa]"),AM$6)</f>
        <v>0</v>
      </c>
      <c r="AN97" s="228">
        <f ca="1">SUMIFS(rec.uni[2028-11-01],
INDIRECT("rec.uni[natureza]"),"repasse.cef.obra",
INDIRECT("rec.uni[empresa]"),AN$6)</f>
        <v>0</v>
      </c>
      <c r="AO97" s="231">
        <f ca="1">SUMIFS(rec.uni[2028-11-01],
INDIRECT("rec.uni[natureza]"),"repasse.cef.terreno",
INDIRECT("rec.uni[empresa]"),AO$6)</f>
        <v>0</v>
      </c>
      <c r="AP97" s="232"/>
      <c r="AQ97" s="228">
        <f ca="1">SUMIFS(rec.uni[2028-11-01],
INDIRECT("rec.uni[natureza]"),"taxa.extra",
INDIRECT("rec.uni[empresa]"),AQ$6)</f>
        <v>0</v>
      </c>
      <c r="AR97" s="216"/>
      <c r="AS97" s="216"/>
      <c r="AT97" s="216"/>
      <c r="AU97" s="216"/>
      <c r="AV97" s="216"/>
      <c r="AW97" s="216"/>
      <c r="AX97" s="227">
        <f>COUNTIFS(
    estq[empresa], AX$6,
    estq[Data da venda / reserva], "&gt;=" &amp; $A97,
    estq[Data da venda / reserva], "&lt;"  &amp; EOMONTH($A97,0) + 1
)</f>
        <v>0</v>
      </c>
      <c r="AY97" s="228">
        <f ca="1">SUMIFS(rec.uni[2028-11-01],
INDIRECT("rec.uni[natureza]"),"pro.soluto",
INDIRECT("rec.uni[empresa]"),AY$6)</f>
        <v>0</v>
      </c>
      <c r="AZ97" s="232">
        <f ca="1">SUMIFS(rec.uni[2028-11-01],
INDIRECT("rec.uni[natureza]"),"parcela.fin.total.ik",
INDIRECT("rec.uni[empresa]"),AZ$6)</f>
        <v>0</v>
      </c>
      <c r="BA97" s="228">
        <f ca="1">SUMIFS(rec.uni[2028-11-01],
INDIRECT("rec.uni[natureza]"),"taxa.extra",
INDIRECT("rec.uni[empresa]"),BA$6)</f>
        <v>0</v>
      </c>
      <c r="BB97" s="216"/>
      <c r="BC97" s="216"/>
      <c r="BD97" s="216"/>
      <c r="BE97" s="216"/>
      <c r="BF97" s="216"/>
      <c r="BG97" s="216"/>
      <c r="BH97" s="227">
        <f>COUNTIFS(
    estq[empresa], BH$6,
    estq[Data da venda / reserva], "&gt;=" &amp; $A97,
    estq[Data da venda / reserva], "&lt;"  &amp; EOMONTH($A97,0) + 1
)</f>
        <v>0</v>
      </c>
      <c r="BI97" s="228">
        <f ca="1">SUMIFS(rec.uni[2028-11-01],
INDIRECT("rec.uni[natureza]"),"pro.soluto",
INDIRECT("rec.uni[empresa]"),BI$6)</f>
        <v>0</v>
      </c>
      <c r="BJ97" s="228">
        <f ca="1">SUMIFS(rec.uni[2028-11-01],
INDIRECT("rec.uni[natureza]"),"repasse.cef.obra",
INDIRECT("rec.uni[empresa]"),BJ$6)</f>
        <v>0</v>
      </c>
      <c r="BK97" s="231">
        <f ca="1">SUMIFS(rec.uni[2028-11-01],
INDIRECT("rec.uni[natureza]"),"repasse.cef.terreno",
INDIRECT("rec.uni[empresa]"),BK$6)</f>
        <v>0</v>
      </c>
      <c r="BL97" s="232"/>
      <c r="BM97" s="228">
        <f ca="1">SUMIFS(rec.uni[2028-11-01],
INDIRECT("rec.uni[natureza]"),"taxa.extra",
INDIRECT("rec.uni[empresa]"),BM$6)</f>
        <v>0</v>
      </c>
      <c r="BN97" s="216"/>
      <c r="BO97" s="216"/>
      <c r="BP97" s="216"/>
      <c r="BQ97" s="216"/>
      <c r="BR97" s="216"/>
      <c r="BS97" s="216"/>
      <c r="BT97" s="227">
        <f>COUNTIFS(
    estq[empresa], BT$6,
    estq[Data da venda / reserva], "&gt;=" &amp; $A97,
    estq[Data da venda / reserva], "&lt;"  &amp; EOMONTH($A97,0) + 1
)</f>
        <v>0</v>
      </c>
      <c r="BU97" s="228">
        <f ca="1">SUMIFS(rec.uni[2028-11-01],
INDIRECT("rec.uni[natureza]"),"pro.soluto",
INDIRECT("rec.uni[empresa]"),BU$6)</f>
        <v>0</v>
      </c>
      <c r="BV97" s="228">
        <f ca="1">SUMIFS(rec.uni[2028-11-01],
INDIRECT("rec.uni[natureza]"),"repasse.cef.obra",
INDIRECT("rec.uni[empresa]"),BV$6)</f>
        <v>0</v>
      </c>
      <c r="BW97" s="231">
        <f ca="1">SUMIFS(rec.uni[2028-11-01],
INDIRECT("rec.uni[natureza]"),"repasse.cef.terreno",
INDIRECT("rec.uni[empresa]"),BW$6)</f>
        <v>0</v>
      </c>
      <c r="BX97" s="232"/>
      <c r="BY97" s="228">
        <f ca="1">SUMIFS(rec.uni[2028-11-01],
INDIRECT("rec.uni[natureza]"),"taxa.extra",
INDIRECT("rec.uni[empresa]"),BY$6)</f>
        <v>0</v>
      </c>
      <c r="BZ97" s="216"/>
      <c r="CA97" s="216"/>
      <c r="CB97" s="216"/>
      <c r="CC97" s="216"/>
      <c r="CD97" s="216"/>
      <c r="CE97" s="216"/>
    </row>
    <row r="98" spans="1:83" x14ac:dyDescent="0.25">
      <c r="A98" s="226">
        <v>47088</v>
      </c>
      <c r="B98" s="227">
        <f>COUNTIFS(
    estq[empresa], B$6,
    estq[Data da venda / reserva], "&gt;=" &amp; $A98,
    estq[Data da venda / reserva], "&lt;"  &amp; EOMONTH($A98,0) + 1
)</f>
        <v>0</v>
      </c>
      <c r="C98" s="228">
        <f ca="1">SUMIFS(rec.uni[2028-12-01],
INDIRECT("rec.uni[natureza]"),"pro.soluto",
INDIRECT("rec.uni[empresa]"),C$6)</f>
        <v>0</v>
      </c>
      <c r="D98" s="228">
        <f ca="1">SUMIFS(rec.uni[2028-12-01],
INDIRECT("rec.uni[natureza]"),"repasse.cef.obra",
INDIRECT("rec.uni[empresa]"),D$6)</f>
        <v>0</v>
      </c>
      <c r="E98" s="228">
        <f ca="1">SUMIFS(rec.uni[2028-12-01],
INDIRECT("rec.uni[natureza]"),"repasse.cef.terreno",
INDIRECT("rec.uni[empresa]"),E$6)</f>
        <v>0</v>
      </c>
      <c r="F98" s="232"/>
      <c r="G98" s="228">
        <f ca="1">SUMIFS(rec.uni[2028-12-01],
INDIRECT("rec.uni[natureza]"),"taxa.extra",
INDIRECT("rec.uni[empresa]"),G$6)</f>
        <v>0</v>
      </c>
      <c r="H98" s="216"/>
      <c r="I98" s="216"/>
      <c r="J98" s="216"/>
      <c r="K98" s="216"/>
      <c r="L98" s="216"/>
      <c r="M98" s="216"/>
      <c r="N98" s="227">
        <f>COUNTIFS(
    estq[empresa], N$6,
    estq[Data da venda / reserva], "&gt;=" &amp; $A98,
    estq[Data da venda / reserva], "&lt;"  &amp; EOMONTH($A98,0) + 1
)</f>
        <v>0</v>
      </c>
      <c r="O98" s="228">
        <f ca="1">SUMIFS(rec.uni[2028-12-01],
INDIRECT("rec.uni[natureza]"),"pro.soluto",
INDIRECT("rec.uni[empresa]"),O$6)</f>
        <v>0</v>
      </c>
      <c r="P98" s="228">
        <f ca="1">SUMIFS(rec.uni[2028-12-01],
INDIRECT("rec.uni[natureza]"),"repasse.cef.obra",
INDIRECT("rec.uni[empresa]"),P$6)</f>
        <v>0</v>
      </c>
      <c r="Q98" s="228">
        <f ca="1">SUMIFS(rec.uni[2028-12-01],
INDIRECT("rec.uni[natureza]"),"repasse.cef.terreno",
INDIRECT("rec.uni[empresa]"),Q$6)</f>
        <v>0</v>
      </c>
      <c r="R98" s="232"/>
      <c r="S98" s="228">
        <f ca="1">SUMIFS(rec.uni[2028-12-01],
INDIRECT("rec.uni[natureza]"),"taxa.extra",
INDIRECT("rec.uni[empresa]"),S$6)</f>
        <v>0</v>
      </c>
      <c r="T98" s="216"/>
      <c r="U98" s="216"/>
      <c r="V98" s="216"/>
      <c r="W98" s="216"/>
      <c r="X98" s="216"/>
      <c r="Y98" s="216"/>
      <c r="Z98" s="227">
        <f>COUNTIFS(
    estq[empresa], Z$6,
    estq[Data da venda / reserva], "&gt;=" &amp; $A98,
    estq[Data da venda / reserva], "&lt;"  &amp; EOMONTH($A98,0) + 1
)</f>
        <v>0</v>
      </c>
      <c r="AA98" s="228">
        <f ca="1">SUMIFS(rec.uni[2028-12-01],
INDIRECT("rec.uni[natureza]"),"pro.soluto",
INDIRECT("rec.uni[empresa]"),AA$6)</f>
        <v>0</v>
      </c>
      <c r="AB98" s="228">
        <f ca="1">SUMIFS(rec.uni[2028-12-01],
INDIRECT("rec.uni[natureza]"),"repasse.cef.obra",
INDIRECT("rec.uni[empresa]"),AB$6)</f>
        <v>0</v>
      </c>
      <c r="AC98" s="231">
        <f ca="1">SUMIFS(rec.uni[2028-12-01],
INDIRECT("rec.uni[natureza]"),"repasse.cef.terreno",
INDIRECT("rec.uni[empresa]"),AC$6)</f>
        <v>0</v>
      </c>
      <c r="AD98" s="232"/>
      <c r="AE98" s="228">
        <f ca="1">SUMIFS(rec.uni[2028-12-01],
INDIRECT("rec.uni[natureza]"),"taxa.extra",
INDIRECT("rec.uni[empresa]"),AE$6)</f>
        <v>0</v>
      </c>
      <c r="AF98" s="216"/>
      <c r="AG98" s="216"/>
      <c r="AH98" s="216"/>
      <c r="AI98" s="216"/>
      <c r="AJ98" s="216"/>
      <c r="AK98" s="216"/>
      <c r="AL98" s="227">
        <f>COUNTIFS(
    estq[empresa], AL$6,
    estq[Data da venda / reserva], "&gt;=" &amp; $A98,
    estq[Data da venda / reserva], "&lt;"  &amp; EOMONTH($A98,0) + 1
)</f>
        <v>0</v>
      </c>
      <c r="AM98" s="228">
        <f ca="1">SUMIFS(rec.uni[2028-12-01],
INDIRECT("rec.uni[natureza]"),"pro.soluto",
INDIRECT("rec.uni[empresa]"),AM$6)</f>
        <v>0</v>
      </c>
      <c r="AN98" s="228">
        <f ca="1">SUMIFS(rec.uni[2028-12-01],
INDIRECT("rec.uni[natureza]"),"repasse.cef.obra",
INDIRECT("rec.uni[empresa]"),AN$6)</f>
        <v>0</v>
      </c>
      <c r="AO98" s="231">
        <f ca="1">SUMIFS(rec.uni[2028-12-01],
INDIRECT("rec.uni[natureza]"),"repasse.cef.terreno",
INDIRECT("rec.uni[empresa]"),AO$6)</f>
        <v>0</v>
      </c>
      <c r="AP98" s="232"/>
      <c r="AQ98" s="228">
        <f ca="1">SUMIFS(rec.uni[2028-12-01],
INDIRECT("rec.uni[natureza]"),"taxa.extra",
INDIRECT("rec.uni[empresa]"),AQ$6)</f>
        <v>0</v>
      </c>
      <c r="AR98" s="216"/>
      <c r="AS98" s="216"/>
      <c r="AT98" s="216"/>
      <c r="AU98" s="216"/>
      <c r="AV98" s="216"/>
      <c r="AW98" s="216"/>
      <c r="AX98" s="227">
        <f>COUNTIFS(
    estq[empresa], AX$6,
    estq[Data da venda / reserva], "&gt;=" &amp; $A98,
    estq[Data da venda / reserva], "&lt;"  &amp; EOMONTH($A98,0) + 1
)</f>
        <v>0</v>
      </c>
      <c r="AY98" s="228">
        <f ca="1">SUMIFS(rec.uni[2028-12-01],
INDIRECT("rec.uni[natureza]"),"pro.soluto",
INDIRECT("rec.uni[empresa]"),AY$6)</f>
        <v>0</v>
      </c>
      <c r="AZ98" s="232">
        <f ca="1">SUMIFS(rec.uni[2028-12-01],
INDIRECT("rec.uni[natureza]"),"parcela.fin.total.ik",
INDIRECT("rec.uni[empresa]"),AZ$6)</f>
        <v>0</v>
      </c>
      <c r="BA98" s="228">
        <f ca="1">SUMIFS(rec.uni[2028-12-01],
INDIRECT("rec.uni[natureza]"),"taxa.extra",
INDIRECT("rec.uni[empresa]"),BA$6)</f>
        <v>0</v>
      </c>
      <c r="BB98" s="216"/>
      <c r="BC98" s="216"/>
      <c r="BD98" s="216"/>
      <c r="BE98" s="216"/>
      <c r="BF98" s="216"/>
      <c r="BG98" s="216"/>
      <c r="BH98" s="227">
        <f>COUNTIFS(
    estq[empresa], BH$6,
    estq[Data da venda / reserva], "&gt;=" &amp; $A98,
    estq[Data da venda / reserva], "&lt;"  &amp; EOMONTH($A98,0) + 1
)</f>
        <v>0</v>
      </c>
      <c r="BI98" s="228">
        <f ca="1">SUMIFS(rec.uni[2028-12-01],
INDIRECT("rec.uni[natureza]"),"pro.soluto",
INDIRECT("rec.uni[empresa]"),BI$6)</f>
        <v>0</v>
      </c>
      <c r="BJ98" s="228">
        <f ca="1">SUMIFS(rec.uni[2028-12-01],
INDIRECT("rec.uni[natureza]"),"repasse.cef.obra",
INDIRECT("rec.uni[empresa]"),BJ$6)</f>
        <v>0</v>
      </c>
      <c r="BK98" s="231">
        <f ca="1">SUMIFS(rec.uni[2028-12-01],
INDIRECT("rec.uni[natureza]"),"repasse.cef.terreno",
INDIRECT("rec.uni[empresa]"),BK$6)</f>
        <v>0</v>
      </c>
      <c r="BL98" s="232"/>
      <c r="BM98" s="228">
        <f ca="1">SUMIFS(rec.uni[2028-12-01],
INDIRECT("rec.uni[natureza]"),"taxa.extra",
INDIRECT("rec.uni[empresa]"),BM$6)</f>
        <v>0</v>
      </c>
      <c r="BN98" s="216"/>
      <c r="BO98" s="216"/>
      <c r="BP98" s="216"/>
      <c r="BQ98" s="216"/>
      <c r="BR98" s="216"/>
      <c r="BS98" s="216"/>
      <c r="BT98" s="227">
        <f>COUNTIFS(
    estq[empresa], BT$6,
    estq[Data da venda / reserva], "&gt;=" &amp; $A98,
    estq[Data da venda / reserva], "&lt;"  &amp; EOMONTH($A98,0) + 1
)</f>
        <v>0</v>
      </c>
      <c r="BU98" s="228">
        <f ca="1">SUMIFS(rec.uni[2028-12-01],
INDIRECT("rec.uni[natureza]"),"pro.soluto",
INDIRECT("rec.uni[empresa]"),BU$6)</f>
        <v>0</v>
      </c>
      <c r="BV98" s="228">
        <f ca="1">SUMIFS(rec.uni[2028-12-01],
INDIRECT("rec.uni[natureza]"),"repasse.cef.obra",
INDIRECT("rec.uni[empresa]"),BV$6)</f>
        <v>0</v>
      </c>
      <c r="BW98" s="231">
        <f ca="1">SUMIFS(rec.uni[2028-12-01],
INDIRECT("rec.uni[natureza]"),"repasse.cef.terreno",
INDIRECT("rec.uni[empresa]"),BW$6)</f>
        <v>0</v>
      </c>
      <c r="BX98" s="232"/>
      <c r="BY98" s="228">
        <f ca="1">SUMIFS(rec.uni[2028-12-01],
INDIRECT("rec.uni[natureza]"),"taxa.extra",
INDIRECT("rec.uni[empresa]"),BY$6)</f>
        <v>0</v>
      </c>
      <c r="BZ98" s="216"/>
      <c r="CA98" s="216"/>
      <c r="CB98" s="216"/>
      <c r="CC98" s="216"/>
      <c r="CD98" s="216"/>
      <c r="CE98" s="216"/>
    </row>
    <row r="99" spans="1:83" x14ac:dyDescent="0.25">
      <c r="A99" s="226">
        <v>47119</v>
      </c>
      <c r="B99" s="227">
        <f>COUNTIFS(
    estq[empresa], B$6,
    estq[Data da venda / reserva], "&gt;=" &amp; $A99,
    estq[Data da venda / reserva], "&lt;"  &amp; EOMONTH($A99,0) + 1
)</f>
        <v>0</v>
      </c>
      <c r="C99" s="228">
        <f ca="1">SUMIFS(rec.uni[2029-01-01],
INDIRECT("rec.uni[natureza]"),"pro.soluto",
INDIRECT("rec.uni[empresa]"),C$6)</f>
        <v>0</v>
      </c>
      <c r="D99" s="228">
        <f ca="1">SUMIFS(rec.uni[2029-01-01],
INDIRECT("rec.uni[natureza]"),"repasse.cef.obra",
INDIRECT("rec.uni[empresa]"),D$6)</f>
        <v>0</v>
      </c>
      <c r="E99" s="228">
        <f ca="1">SUMIFS(rec.uni[2029-01-01],
INDIRECT("rec.uni[natureza]"),"repasse.cef.terreno",
INDIRECT("rec.uni[empresa]"),E$6)</f>
        <v>0</v>
      </c>
      <c r="F99" s="232"/>
      <c r="G99" s="228">
        <f ca="1">SUMIFS(rec.uni[2029-01-01],
INDIRECT("rec.uni[natureza]"),"taxa.extra",
INDIRECT("rec.uni[empresa]"),G$6)</f>
        <v>0</v>
      </c>
      <c r="H99" s="216"/>
      <c r="I99" s="216"/>
      <c r="J99" s="216"/>
      <c r="K99" s="216"/>
      <c r="L99" s="216"/>
      <c r="M99" s="216"/>
      <c r="N99" s="227">
        <f>COUNTIFS(
    estq[empresa], N$6,
    estq[Data da venda / reserva], "&gt;=" &amp; $A99,
    estq[Data da venda / reserva], "&lt;"  &amp; EOMONTH($A99,0) + 1
)</f>
        <v>0</v>
      </c>
      <c r="O99" s="228">
        <f ca="1">SUMIFS(rec.uni[2029-01-01],
INDIRECT("rec.uni[natureza]"),"pro.soluto",
INDIRECT("rec.uni[empresa]"),O$6)</f>
        <v>0</v>
      </c>
      <c r="P99" s="228">
        <f ca="1">SUMIFS(rec.uni[2029-01-01],
INDIRECT("rec.uni[natureza]"),"repasse.cef.obra",
INDIRECT("rec.uni[empresa]"),P$6)</f>
        <v>0</v>
      </c>
      <c r="Q99" s="228">
        <f ca="1">SUMIFS(rec.uni[2029-01-01],
INDIRECT("rec.uni[natureza]"),"repasse.cef.terreno",
INDIRECT("rec.uni[empresa]"),Q$6)</f>
        <v>0</v>
      </c>
      <c r="R99" s="232"/>
      <c r="S99" s="228">
        <f ca="1">SUMIFS(rec.uni[2029-01-01],
INDIRECT("rec.uni[natureza]"),"taxa.extra",
INDIRECT("rec.uni[empresa]"),S$6)</f>
        <v>0</v>
      </c>
      <c r="T99" s="216"/>
      <c r="U99" s="216"/>
      <c r="V99" s="216"/>
      <c r="W99" s="216"/>
      <c r="X99" s="216"/>
      <c r="Y99" s="216"/>
      <c r="Z99" s="227">
        <f>COUNTIFS(
    estq[empresa], Z$6,
    estq[Data da venda / reserva], "&gt;=" &amp; $A99,
    estq[Data da venda / reserva], "&lt;"  &amp; EOMONTH($A99,0) + 1
)</f>
        <v>0</v>
      </c>
      <c r="AA99" s="228">
        <f ca="1">SUMIFS(rec.uni[2029-01-01],
INDIRECT("rec.uni[natureza]"),"pro.soluto",
INDIRECT("rec.uni[empresa]"),AA$6)</f>
        <v>0</v>
      </c>
      <c r="AB99" s="228">
        <f ca="1">SUMIFS(rec.uni[2029-01-01],
INDIRECT("rec.uni[natureza]"),"repasse.cef.obra",
INDIRECT("rec.uni[empresa]"),AB$6)</f>
        <v>0</v>
      </c>
      <c r="AC99" s="231">
        <f ca="1">SUMIFS(rec.uni[2029-01-01],
INDIRECT("rec.uni[natureza]"),"repasse.cef.terreno",
INDIRECT("rec.uni[empresa]"),AC$6)</f>
        <v>0</v>
      </c>
      <c r="AD99" s="232"/>
      <c r="AE99" s="228">
        <f ca="1">SUMIFS(rec.uni[2029-01-01],
INDIRECT("rec.uni[natureza]"),"taxa.extra",
INDIRECT("rec.uni[empresa]"),AE$6)</f>
        <v>0</v>
      </c>
      <c r="AF99" s="216"/>
      <c r="AG99" s="216"/>
      <c r="AH99" s="216"/>
      <c r="AI99" s="216"/>
      <c r="AJ99" s="216"/>
      <c r="AK99" s="216"/>
      <c r="AL99" s="227">
        <f>COUNTIFS(
    estq[empresa], AL$6,
    estq[Data da venda / reserva], "&gt;=" &amp; $A99,
    estq[Data da venda / reserva], "&lt;"  &amp; EOMONTH($A99,0) + 1
)</f>
        <v>0</v>
      </c>
      <c r="AM99" s="228">
        <f ca="1">SUMIFS(rec.uni[2029-01-01],
INDIRECT("rec.uni[natureza]"),"pro.soluto",
INDIRECT("rec.uni[empresa]"),AM$6)</f>
        <v>0</v>
      </c>
      <c r="AN99" s="228">
        <f ca="1">SUMIFS(rec.uni[2029-01-01],
INDIRECT("rec.uni[natureza]"),"repasse.cef.obra",
INDIRECT("rec.uni[empresa]"),AN$6)</f>
        <v>0</v>
      </c>
      <c r="AO99" s="231">
        <f ca="1">SUMIFS(rec.uni[2029-01-01],
INDIRECT("rec.uni[natureza]"),"repasse.cef.terreno",
INDIRECT("rec.uni[empresa]"),AO$6)</f>
        <v>0</v>
      </c>
      <c r="AP99" s="232"/>
      <c r="AQ99" s="228">
        <f ca="1">SUMIFS(rec.uni[2029-01-01],
INDIRECT("rec.uni[natureza]"),"taxa.extra",
INDIRECT("rec.uni[empresa]"),AQ$6)</f>
        <v>0</v>
      </c>
      <c r="AR99" s="216"/>
      <c r="AS99" s="216"/>
      <c r="AT99" s="216"/>
      <c r="AU99" s="216"/>
      <c r="AV99" s="216"/>
      <c r="AW99" s="216"/>
      <c r="AX99" s="227">
        <f>COUNTIFS(
    estq[empresa], AX$6,
    estq[Data da venda / reserva], "&gt;=" &amp; $A99,
    estq[Data da venda / reserva], "&lt;"  &amp; EOMONTH($A99,0) + 1
)</f>
        <v>0</v>
      </c>
      <c r="AY99" s="228">
        <f ca="1">SUMIFS(rec.uni[2029-01-01],
INDIRECT("rec.uni[natureza]"),"pro.soluto",
INDIRECT("rec.uni[empresa]"),AY$6)</f>
        <v>0</v>
      </c>
      <c r="AZ99" s="232">
        <f ca="1">SUMIFS(rec.uni[2029-01-01],
INDIRECT("rec.uni[natureza]"),"parcela.fin.total.ik",
INDIRECT("rec.uni[empresa]"),AZ$6)</f>
        <v>0</v>
      </c>
      <c r="BA99" s="228">
        <f ca="1">SUMIFS(rec.uni[2029-01-01],
INDIRECT("rec.uni[natureza]"),"taxa.extra",
INDIRECT("rec.uni[empresa]"),BA$6)</f>
        <v>0</v>
      </c>
      <c r="BB99" s="216"/>
      <c r="BC99" s="216"/>
      <c r="BD99" s="216"/>
      <c r="BE99" s="216"/>
      <c r="BF99" s="216"/>
      <c r="BG99" s="216"/>
      <c r="BH99" s="227">
        <f>COUNTIFS(
    estq[empresa], BH$6,
    estq[Data da venda / reserva], "&gt;=" &amp; $A99,
    estq[Data da venda / reserva], "&lt;"  &amp; EOMONTH($A99,0) + 1
)</f>
        <v>0</v>
      </c>
      <c r="BI99" s="228">
        <f ca="1">SUMIFS(rec.uni[2029-01-01],
INDIRECT("rec.uni[natureza]"),"pro.soluto",
INDIRECT("rec.uni[empresa]"),BI$6)</f>
        <v>0</v>
      </c>
      <c r="BJ99" s="228">
        <f ca="1">SUMIFS(rec.uni[2029-01-01],
INDIRECT("rec.uni[natureza]"),"repasse.cef.obra",
INDIRECT("rec.uni[empresa]"),BJ$6)</f>
        <v>0</v>
      </c>
      <c r="BK99" s="231">
        <f ca="1">SUMIFS(rec.uni[2029-01-01],
INDIRECT("rec.uni[natureza]"),"repasse.cef.terreno",
INDIRECT("rec.uni[empresa]"),BK$6)</f>
        <v>0</v>
      </c>
      <c r="BL99" s="232"/>
      <c r="BM99" s="228">
        <f ca="1">SUMIFS(rec.uni[2029-01-01],
INDIRECT("rec.uni[natureza]"),"taxa.extra",
INDIRECT("rec.uni[empresa]"),BM$6)</f>
        <v>0</v>
      </c>
      <c r="BN99" s="216"/>
      <c r="BO99" s="216"/>
      <c r="BP99" s="216"/>
      <c r="BQ99" s="216"/>
      <c r="BR99" s="216"/>
      <c r="BS99" s="216"/>
      <c r="BT99" s="227">
        <f>COUNTIFS(
    estq[empresa], BT$6,
    estq[Data da venda / reserva], "&gt;=" &amp; $A99,
    estq[Data da venda / reserva], "&lt;"  &amp; EOMONTH($A99,0) + 1
)</f>
        <v>0</v>
      </c>
      <c r="BU99" s="228">
        <f ca="1">SUMIFS(rec.uni[2029-01-01],
INDIRECT("rec.uni[natureza]"),"pro.soluto",
INDIRECT("rec.uni[empresa]"),BU$6)</f>
        <v>0</v>
      </c>
      <c r="BV99" s="228">
        <f ca="1">SUMIFS(rec.uni[2029-01-01],
INDIRECT("rec.uni[natureza]"),"repasse.cef.obra",
INDIRECT("rec.uni[empresa]"),BV$6)</f>
        <v>0</v>
      </c>
      <c r="BW99" s="231">
        <f ca="1">SUMIFS(rec.uni[2029-01-01],
INDIRECT("rec.uni[natureza]"),"repasse.cef.terreno",
INDIRECT("rec.uni[empresa]"),BW$6)</f>
        <v>0</v>
      </c>
      <c r="BX99" s="232"/>
      <c r="BY99" s="228">
        <f ca="1">SUMIFS(rec.uni[2029-01-01],
INDIRECT("rec.uni[natureza]"),"taxa.extra",
INDIRECT("rec.uni[empresa]"),BY$6)</f>
        <v>0</v>
      </c>
      <c r="BZ99" s="216"/>
      <c r="CA99" s="216"/>
      <c r="CB99" s="216"/>
      <c r="CC99" s="216"/>
      <c r="CD99" s="216"/>
      <c r="CE99" s="216"/>
    </row>
    <row r="100" spans="1:83" x14ac:dyDescent="0.25">
      <c r="A100" s="226">
        <v>47150</v>
      </c>
      <c r="B100" s="227">
        <f>COUNTIFS(
    estq[empresa], B$6,
    estq[Data da venda / reserva], "&gt;=" &amp; $A100,
    estq[Data da venda / reserva], "&lt;"  &amp; EOMONTH($A100,0) + 1
)</f>
        <v>0</v>
      </c>
      <c r="C100" s="228">
        <f ca="1">SUMIFS(rec.uni[2029-02-01],
INDIRECT("rec.uni[natureza]"),"pro.soluto",
INDIRECT("rec.uni[empresa]"),C$6)</f>
        <v>0</v>
      </c>
      <c r="D100" s="228">
        <f ca="1">SUMIFS(rec.uni[2029-02-01],
INDIRECT("rec.uni[natureza]"),"repasse.cef.obra",
INDIRECT("rec.uni[empresa]"),D$6)</f>
        <v>0</v>
      </c>
      <c r="E100" s="228">
        <f ca="1">SUMIFS(rec.uni[2029-02-01],
INDIRECT("rec.uni[natureza]"),"repasse.cef.terreno",
INDIRECT("rec.uni[empresa]"),E$6)</f>
        <v>0</v>
      </c>
      <c r="F100" s="232"/>
      <c r="G100" s="228">
        <f ca="1">SUMIFS(rec.uni[2029-02-01],
INDIRECT("rec.uni[natureza]"),"taxa.extra",
INDIRECT("rec.uni[empresa]"),G$6)</f>
        <v>0</v>
      </c>
      <c r="H100" s="216"/>
      <c r="I100" s="216"/>
      <c r="J100" s="216"/>
      <c r="K100" s="216"/>
      <c r="L100" s="216"/>
      <c r="M100" s="216"/>
      <c r="N100" s="227">
        <f>COUNTIFS(
    estq[empresa], N$6,
    estq[Data da venda / reserva], "&gt;=" &amp; $A100,
    estq[Data da venda / reserva], "&lt;"  &amp; EOMONTH($A100,0) + 1
)</f>
        <v>0</v>
      </c>
      <c r="O100" s="228">
        <f ca="1">SUMIFS(rec.uni[2029-02-01],
INDIRECT("rec.uni[natureza]"),"pro.soluto",
INDIRECT("rec.uni[empresa]"),O$6)</f>
        <v>0</v>
      </c>
      <c r="P100" s="228">
        <f ca="1">SUMIFS(rec.uni[2029-02-01],
INDIRECT("rec.uni[natureza]"),"repasse.cef.obra",
INDIRECT("rec.uni[empresa]"),P$6)</f>
        <v>0</v>
      </c>
      <c r="Q100" s="228">
        <f ca="1">SUMIFS(rec.uni[2029-02-01],
INDIRECT("rec.uni[natureza]"),"repasse.cef.terreno",
INDIRECT("rec.uni[empresa]"),Q$6)</f>
        <v>0</v>
      </c>
      <c r="R100" s="232"/>
      <c r="S100" s="228">
        <f ca="1">SUMIFS(rec.uni[2029-02-01],
INDIRECT("rec.uni[natureza]"),"taxa.extra",
INDIRECT("rec.uni[empresa]"),S$6)</f>
        <v>0</v>
      </c>
      <c r="T100" s="216"/>
      <c r="U100" s="216"/>
      <c r="V100" s="216"/>
      <c r="W100" s="216"/>
      <c r="X100" s="216"/>
      <c r="Y100" s="216"/>
      <c r="Z100" s="227">
        <f>COUNTIFS(
    estq[empresa], Z$6,
    estq[Data da venda / reserva], "&gt;=" &amp; $A100,
    estq[Data da venda / reserva], "&lt;"  &amp; EOMONTH($A100,0) + 1
)</f>
        <v>0</v>
      </c>
      <c r="AA100" s="228">
        <f ca="1">SUMIFS(rec.uni[2029-02-01],
INDIRECT("rec.uni[natureza]"),"pro.soluto",
INDIRECT("rec.uni[empresa]"),AA$6)</f>
        <v>0</v>
      </c>
      <c r="AB100" s="228">
        <f ca="1">SUMIFS(rec.uni[2029-02-01],
INDIRECT("rec.uni[natureza]"),"repasse.cef.obra",
INDIRECT("rec.uni[empresa]"),AB$6)</f>
        <v>0</v>
      </c>
      <c r="AC100" s="231">
        <f ca="1">SUMIFS(rec.uni[2029-02-01],
INDIRECT("rec.uni[natureza]"),"repasse.cef.terreno",
INDIRECT("rec.uni[empresa]"),AC$6)</f>
        <v>0</v>
      </c>
      <c r="AD100" s="232"/>
      <c r="AE100" s="228">
        <f ca="1">SUMIFS(rec.uni[2029-02-01],
INDIRECT("rec.uni[natureza]"),"taxa.extra",
INDIRECT("rec.uni[empresa]"),AE$6)</f>
        <v>0</v>
      </c>
      <c r="AF100" s="216"/>
      <c r="AG100" s="216"/>
      <c r="AH100" s="216"/>
      <c r="AI100" s="216"/>
      <c r="AJ100" s="216"/>
      <c r="AK100" s="216"/>
      <c r="AL100" s="227">
        <f>COUNTIFS(
    estq[empresa], AL$6,
    estq[Data da venda / reserva], "&gt;=" &amp; $A100,
    estq[Data da venda / reserva], "&lt;"  &amp; EOMONTH($A100,0) + 1
)</f>
        <v>0</v>
      </c>
      <c r="AM100" s="228">
        <f ca="1">SUMIFS(rec.uni[2029-02-01],
INDIRECT("rec.uni[natureza]"),"pro.soluto",
INDIRECT("rec.uni[empresa]"),AM$6)</f>
        <v>0</v>
      </c>
      <c r="AN100" s="228">
        <f ca="1">SUMIFS(rec.uni[2029-02-01],
INDIRECT("rec.uni[natureza]"),"repasse.cef.obra",
INDIRECT("rec.uni[empresa]"),AN$6)</f>
        <v>0</v>
      </c>
      <c r="AO100" s="231">
        <f ca="1">SUMIFS(rec.uni[2029-02-01],
INDIRECT("rec.uni[natureza]"),"repasse.cef.terreno",
INDIRECT("rec.uni[empresa]"),AO$6)</f>
        <v>0</v>
      </c>
      <c r="AP100" s="232"/>
      <c r="AQ100" s="228">
        <f ca="1">SUMIFS(rec.uni[2029-02-01],
INDIRECT("rec.uni[natureza]"),"taxa.extra",
INDIRECT("rec.uni[empresa]"),AQ$6)</f>
        <v>0</v>
      </c>
      <c r="AR100" s="216"/>
      <c r="AS100" s="216"/>
      <c r="AT100" s="216"/>
      <c r="AU100" s="216"/>
      <c r="AV100" s="216"/>
      <c r="AW100" s="216"/>
      <c r="AX100" s="227">
        <f>COUNTIFS(
    estq[empresa], AX$6,
    estq[Data da venda / reserva], "&gt;=" &amp; $A100,
    estq[Data da venda / reserva], "&lt;"  &amp; EOMONTH($A100,0) + 1
)</f>
        <v>0</v>
      </c>
      <c r="AY100" s="228">
        <f ca="1">SUMIFS(rec.uni[2029-02-01],
INDIRECT("rec.uni[natureza]"),"pro.soluto",
INDIRECT("rec.uni[empresa]"),AY$6)</f>
        <v>0</v>
      </c>
      <c r="AZ100" s="232">
        <f ca="1">SUMIFS(rec.uni[2029-02-01],
INDIRECT("rec.uni[natureza]"),"parcela.fin.total.ik",
INDIRECT("rec.uni[empresa]"),AZ$6)</f>
        <v>0</v>
      </c>
      <c r="BA100" s="228">
        <f ca="1">SUMIFS(rec.uni[2029-02-01],
INDIRECT("rec.uni[natureza]"),"taxa.extra",
INDIRECT("rec.uni[empresa]"),BA$6)</f>
        <v>0</v>
      </c>
      <c r="BB100" s="216"/>
      <c r="BC100" s="216"/>
      <c r="BD100" s="216"/>
      <c r="BE100" s="216"/>
      <c r="BF100" s="216"/>
      <c r="BG100" s="216"/>
      <c r="BH100" s="227">
        <f>COUNTIFS(
    estq[empresa], BH$6,
    estq[Data da venda / reserva], "&gt;=" &amp; $A100,
    estq[Data da venda / reserva], "&lt;"  &amp; EOMONTH($A100,0) + 1
)</f>
        <v>0</v>
      </c>
      <c r="BI100" s="228">
        <f ca="1">SUMIFS(rec.uni[2029-02-01],
INDIRECT("rec.uni[natureza]"),"pro.soluto",
INDIRECT("rec.uni[empresa]"),BI$6)</f>
        <v>0</v>
      </c>
      <c r="BJ100" s="228">
        <f ca="1">SUMIFS(rec.uni[2029-02-01],
INDIRECT("rec.uni[natureza]"),"repasse.cef.obra",
INDIRECT("rec.uni[empresa]"),BJ$6)</f>
        <v>0</v>
      </c>
      <c r="BK100" s="231">
        <f ca="1">SUMIFS(rec.uni[2029-02-01],
INDIRECT("rec.uni[natureza]"),"repasse.cef.terreno",
INDIRECT("rec.uni[empresa]"),BK$6)</f>
        <v>0</v>
      </c>
      <c r="BL100" s="232"/>
      <c r="BM100" s="228">
        <f ca="1">SUMIFS(rec.uni[2029-02-01],
INDIRECT("rec.uni[natureza]"),"taxa.extra",
INDIRECT("rec.uni[empresa]"),BM$6)</f>
        <v>0</v>
      </c>
      <c r="BN100" s="216"/>
      <c r="BO100" s="216"/>
      <c r="BP100" s="216"/>
      <c r="BQ100" s="216"/>
      <c r="BR100" s="216"/>
      <c r="BS100" s="216"/>
      <c r="BT100" s="227">
        <f>COUNTIFS(
    estq[empresa], BT$6,
    estq[Data da venda / reserva], "&gt;=" &amp; $A100,
    estq[Data da venda / reserva], "&lt;"  &amp; EOMONTH($A100,0) + 1
)</f>
        <v>0</v>
      </c>
      <c r="BU100" s="228">
        <f ca="1">SUMIFS(rec.uni[2029-02-01],
INDIRECT("rec.uni[natureza]"),"pro.soluto",
INDIRECT("rec.uni[empresa]"),BU$6)</f>
        <v>0</v>
      </c>
      <c r="BV100" s="228">
        <f ca="1">SUMIFS(rec.uni[2029-02-01],
INDIRECT("rec.uni[natureza]"),"repasse.cef.obra",
INDIRECT("rec.uni[empresa]"),BV$6)</f>
        <v>0</v>
      </c>
      <c r="BW100" s="231">
        <f ca="1">SUMIFS(rec.uni[2029-02-01],
INDIRECT("rec.uni[natureza]"),"repasse.cef.terreno",
INDIRECT("rec.uni[empresa]"),BW$6)</f>
        <v>0</v>
      </c>
      <c r="BX100" s="232"/>
      <c r="BY100" s="228">
        <f ca="1">SUMIFS(rec.uni[2029-02-01],
INDIRECT("rec.uni[natureza]"),"taxa.extra",
INDIRECT("rec.uni[empresa]"),BY$6)</f>
        <v>0</v>
      </c>
      <c r="BZ100" s="216"/>
      <c r="CA100" s="216"/>
      <c r="CB100" s="216"/>
      <c r="CC100" s="216"/>
      <c r="CD100" s="216"/>
      <c r="CE100" s="216"/>
    </row>
    <row r="101" spans="1:83" x14ac:dyDescent="0.25">
      <c r="A101" s="226">
        <v>47178</v>
      </c>
      <c r="B101" s="227">
        <f>COUNTIFS(
    estq[empresa], B$6,
    estq[Data da venda / reserva], "&gt;=" &amp; $A101,
    estq[Data da venda / reserva], "&lt;"  &amp; EOMONTH($A101,0) + 1
)</f>
        <v>0</v>
      </c>
      <c r="C101" s="228">
        <f ca="1">SUMIFS(rec.uni[2029-03-01],
INDIRECT("rec.uni[natureza]"),"pro.soluto",
INDIRECT("rec.uni[empresa]"),C$6)</f>
        <v>0</v>
      </c>
      <c r="D101" s="228">
        <f ca="1">SUMIFS(rec.uni[2029-03-01],
INDIRECT("rec.uni[natureza]"),"repasse.cef.obra",
INDIRECT("rec.uni[empresa]"),D$6)</f>
        <v>0</v>
      </c>
      <c r="E101" s="228">
        <f ca="1">SUMIFS(rec.uni[2029-03-01],
INDIRECT("rec.uni[natureza]"),"repasse.cef.terreno",
INDIRECT("rec.uni[empresa]"),E$6)</f>
        <v>0</v>
      </c>
      <c r="F101" s="232"/>
      <c r="G101" s="228">
        <f ca="1">SUMIFS(rec.uni[2029-03-01],
INDIRECT("rec.uni[natureza]"),"taxa.extra",
INDIRECT("rec.uni[empresa]"),G$6)</f>
        <v>0</v>
      </c>
      <c r="H101" s="216"/>
      <c r="I101" s="216"/>
      <c r="J101" s="216"/>
      <c r="K101" s="216"/>
      <c r="L101" s="216"/>
      <c r="M101" s="216"/>
      <c r="N101" s="227">
        <f>COUNTIFS(
    estq[empresa], N$6,
    estq[Data da venda / reserva], "&gt;=" &amp; $A101,
    estq[Data da venda / reserva], "&lt;"  &amp; EOMONTH($A101,0) + 1
)</f>
        <v>0</v>
      </c>
      <c r="O101" s="228">
        <f ca="1">SUMIFS(rec.uni[2029-03-01],
INDIRECT("rec.uni[natureza]"),"pro.soluto",
INDIRECT("rec.uni[empresa]"),O$6)</f>
        <v>0</v>
      </c>
      <c r="P101" s="228">
        <f ca="1">SUMIFS(rec.uni[2029-03-01],
INDIRECT("rec.uni[natureza]"),"repasse.cef.obra",
INDIRECT("rec.uni[empresa]"),P$6)</f>
        <v>0</v>
      </c>
      <c r="Q101" s="228">
        <f ca="1">SUMIFS(rec.uni[2029-03-01],
INDIRECT("rec.uni[natureza]"),"repasse.cef.terreno",
INDIRECT("rec.uni[empresa]"),Q$6)</f>
        <v>0</v>
      </c>
      <c r="R101" s="232"/>
      <c r="S101" s="228">
        <f ca="1">SUMIFS(rec.uni[2029-03-01],
INDIRECT("rec.uni[natureza]"),"taxa.extra",
INDIRECT("rec.uni[empresa]"),S$6)</f>
        <v>0</v>
      </c>
      <c r="T101" s="216"/>
      <c r="U101" s="216"/>
      <c r="V101" s="216"/>
      <c r="W101" s="216"/>
      <c r="X101" s="216"/>
      <c r="Y101" s="216"/>
      <c r="Z101" s="227">
        <f>COUNTIFS(
    estq[empresa], Z$6,
    estq[Data da venda / reserva], "&gt;=" &amp; $A101,
    estq[Data da venda / reserva], "&lt;"  &amp; EOMONTH($A101,0) + 1
)</f>
        <v>0</v>
      </c>
      <c r="AA101" s="228">
        <f ca="1">SUMIFS(rec.uni[2029-03-01],
INDIRECT("rec.uni[natureza]"),"pro.soluto",
INDIRECT("rec.uni[empresa]"),AA$6)</f>
        <v>0</v>
      </c>
      <c r="AB101" s="228">
        <f ca="1">SUMIFS(rec.uni[2029-03-01],
INDIRECT("rec.uni[natureza]"),"repasse.cef.obra",
INDIRECT("rec.uni[empresa]"),AB$6)</f>
        <v>0</v>
      </c>
      <c r="AC101" s="231">
        <f ca="1">SUMIFS(rec.uni[2029-03-01],
INDIRECT("rec.uni[natureza]"),"repasse.cef.terreno",
INDIRECT("rec.uni[empresa]"),AC$6)</f>
        <v>0</v>
      </c>
      <c r="AD101" s="232"/>
      <c r="AE101" s="228">
        <f ca="1">SUMIFS(rec.uni[2029-03-01],
INDIRECT("rec.uni[natureza]"),"taxa.extra",
INDIRECT("rec.uni[empresa]"),AE$6)</f>
        <v>0</v>
      </c>
      <c r="AF101" s="216"/>
      <c r="AG101" s="216"/>
      <c r="AH101" s="216"/>
      <c r="AI101" s="216"/>
      <c r="AJ101" s="216"/>
      <c r="AK101" s="216"/>
      <c r="AL101" s="227">
        <f>COUNTIFS(
    estq[empresa], AL$6,
    estq[Data da venda / reserva], "&gt;=" &amp; $A101,
    estq[Data da venda / reserva], "&lt;"  &amp; EOMONTH($A101,0) + 1
)</f>
        <v>0</v>
      </c>
      <c r="AM101" s="228">
        <f ca="1">SUMIFS(rec.uni[2029-03-01],
INDIRECT("rec.uni[natureza]"),"pro.soluto",
INDIRECT("rec.uni[empresa]"),AM$6)</f>
        <v>0</v>
      </c>
      <c r="AN101" s="228">
        <f ca="1">SUMIFS(rec.uni[2029-03-01],
INDIRECT("rec.uni[natureza]"),"repasse.cef.obra",
INDIRECT("rec.uni[empresa]"),AN$6)</f>
        <v>0</v>
      </c>
      <c r="AO101" s="231">
        <f ca="1">SUMIFS(rec.uni[2029-03-01],
INDIRECT("rec.uni[natureza]"),"repasse.cef.terreno",
INDIRECT("rec.uni[empresa]"),AO$6)</f>
        <v>0</v>
      </c>
      <c r="AP101" s="232"/>
      <c r="AQ101" s="228">
        <f ca="1">SUMIFS(rec.uni[2029-03-01],
INDIRECT("rec.uni[natureza]"),"taxa.extra",
INDIRECT("rec.uni[empresa]"),AQ$6)</f>
        <v>0</v>
      </c>
      <c r="AR101" s="216"/>
      <c r="AS101" s="216"/>
      <c r="AT101" s="216"/>
      <c r="AU101" s="216"/>
      <c r="AV101" s="216"/>
      <c r="AW101" s="216"/>
      <c r="AX101" s="227">
        <f>COUNTIFS(
    estq[empresa], AX$6,
    estq[Data da venda / reserva], "&gt;=" &amp; $A101,
    estq[Data da venda / reserva], "&lt;"  &amp; EOMONTH($A101,0) + 1
)</f>
        <v>0</v>
      </c>
      <c r="AY101" s="228">
        <f ca="1">SUMIFS(rec.uni[2029-03-01],
INDIRECT("rec.uni[natureza]"),"pro.soluto",
INDIRECT("rec.uni[empresa]"),AY$6)</f>
        <v>0</v>
      </c>
      <c r="AZ101" s="232">
        <f ca="1">SUMIFS(rec.uni[2029-03-01],
INDIRECT("rec.uni[natureza]"),"parcela.fin.total.ik",
INDIRECT("rec.uni[empresa]"),AZ$6)</f>
        <v>0</v>
      </c>
      <c r="BA101" s="228">
        <f ca="1">SUMIFS(rec.uni[2029-03-01],
INDIRECT("rec.uni[natureza]"),"taxa.extra",
INDIRECT("rec.uni[empresa]"),BA$6)</f>
        <v>0</v>
      </c>
      <c r="BB101" s="216"/>
      <c r="BC101" s="216"/>
      <c r="BD101" s="216"/>
      <c r="BE101" s="216"/>
      <c r="BF101" s="216"/>
      <c r="BG101" s="216"/>
      <c r="BH101" s="227">
        <f>COUNTIFS(
    estq[empresa], BH$6,
    estq[Data da venda / reserva], "&gt;=" &amp; $A101,
    estq[Data da venda / reserva], "&lt;"  &amp; EOMONTH($A101,0) + 1
)</f>
        <v>0</v>
      </c>
      <c r="BI101" s="228">
        <f ca="1">SUMIFS(rec.uni[2029-03-01],
INDIRECT("rec.uni[natureza]"),"pro.soluto",
INDIRECT("rec.uni[empresa]"),BI$6)</f>
        <v>0</v>
      </c>
      <c r="BJ101" s="228">
        <f ca="1">SUMIFS(rec.uni[2029-03-01],
INDIRECT("rec.uni[natureza]"),"repasse.cef.obra",
INDIRECT("rec.uni[empresa]"),BJ$6)</f>
        <v>0</v>
      </c>
      <c r="BK101" s="231">
        <f ca="1">SUMIFS(rec.uni[2029-03-01],
INDIRECT("rec.uni[natureza]"),"repasse.cef.terreno",
INDIRECT("rec.uni[empresa]"),BK$6)</f>
        <v>0</v>
      </c>
      <c r="BL101" s="232"/>
      <c r="BM101" s="228">
        <f ca="1">SUMIFS(rec.uni[2029-03-01],
INDIRECT("rec.uni[natureza]"),"taxa.extra",
INDIRECT("rec.uni[empresa]"),BM$6)</f>
        <v>0</v>
      </c>
      <c r="BN101" s="216"/>
      <c r="BO101" s="216"/>
      <c r="BP101" s="216"/>
      <c r="BQ101" s="216"/>
      <c r="BR101" s="216"/>
      <c r="BS101" s="216"/>
      <c r="BT101" s="227">
        <f>COUNTIFS(
    estq[empresa], BT$6,
    estq[Data da venda / reserva], "&gt;=" &amp; $A101,
    estq[Data da venda / reserva], "&lt;"  &amp; EOMONTH($A101,0) + 1
)</f>
        <v>0</v>
      </c>
      <c r="BU101" s="228">
        <f ca="1">SUMIFS(rec.uni[2029-03-01],
INDIRECT("rec.uni[natureza]"),"pro.soluto",
INDIRECT("rec.uni[empresa]"),BU$6)</f>
        <v>0</v>
      </c>
      <c r="BV101" s="228">
        <f ca="1">SUMIFS(rec.uni[2029-03-01],
INDIRECT("rec.uni[natureza]"),"repasse.cef.obra",
INDIRECT("rec.uni[empresa]"),BV$6)</f>
        <v>0</v>
      </c>
      <c r="BW101" s="231">
        <f ca="1">SUMIFS(rec.uni[2029-03-01],
INDIRECT("rec.uni[natureza]"),"repasse.cef.terreno",
INDIRECT("rec.uni[empresa]"),BW$6)</f>
        <v>0</v>
      </c>
      <c r="BX101" s="232"/>
      <c r="BY101" s="228">
        <f ca="1">SUMIFS(rec.uni[2029-03-01],
INDIRECT("rec.uni[natureza]"),"taxa.extra",
INDIRECT("rec.uni[empresa]"),BY$6)</f>
        <v>0</v>
      </c>
      <c r="BZ101" s="216"/>
      <c r="CA101" s="216"/>
      <c r="CB101" s="216"/>
      <c r="CC101" s="216"/>
      <c r="CD101" s="216"/>
      <c r="CE101" s="216"/>
    </row>
    <row r="102" spans="1:83" x14ac:dyDescent="0.25">
      <c r="A102" s="226">
        <v>47209</v>
      </c>
      <c r="B102" s="227">
        <f>COUNTIFS(
    estq[empresa], B$6,
    estq[Data da venda / reserva], "&gt;=" &amp; $A102,
    estq[Data da venda / reserva], "&lt;"  &amp; EOMONTH($A102,0) + 1
)</f>
        <v>0</v>
      </c>
      <c r="C102" s="228">
        <f ca="1">SUMIFS(rec.uni[2029-04-01],
INDIRECT("rec.uni[natureza]"),"pro.soluto",
INDIRECT("rec.uni[empresa]"),C$6)</f>
        <v>0</v>
      </c>
      <c r="D102" s="228">
        <f ca="1">SUMIFS(rec.uni[2029-04-01],
INDIRECT("rec.uni[natureza]"),"repasse.cef.obra",
INDIRECT("rec.uni[empresa]"),D$6)</f>
        <v>0</v>
      </c>
      <c r="E102" s="228">
        <f ca="1">SUMIFS(rec.uni[2029-04-01],
INDIRECT("rec.uni[natureza]"),"repasse.cef.terreno",
INDIRECT("rec.uni[empresa]"),E$6)</f>
        <v>0</v>
      </c>
      <c r="F102" s="232"/>
      <c r="G102" s="228">
        <f ca="1">SUMIFS(rec.uni[2029-04-01],
INDIRECT("rec.uni[natureza]"),"taxa.extra",
INDIRECT("rec.uni[empresa]"),G$6)</f>
        <v>0</v>
      </c>
      <c r="H102" s="216"/>
      <c r="I102" s="216"/>
      <c r="J102" s="216"/>
      <c r="K102" s="216"/>
      <c r="L102" s="216"/>
      <c r="M102" s="216"/>
      <c r="N102" s="227">
        <f>COUNTIFS(
    estq[empresa], N$6,
    estq[Data da venda / reserva], "&gt;=" &amp; $A102,
    estq[Data da venda / reserva], "&lt;"  &amp; EOMONTH($A102,0) + 1
)</f>
        <v>0</v>
      </c>
      <c r="O102" s="228">
        <f ca="1">SUMIFS(rec.uni[2029-04-01],
INDIRECT("rec.uni[natureza]"),"pro.soluto",
INDIRECT("rec.uni[empresa]"),O$6)</f>
        <v>0</v>
      </c>
      <c r="P102" s="228">
        <f ca="1">SUMIFS(rec.uni[2029-04-01],
INDIRECT("rec.uni[natureza]"),"repasse.cef.obra",
INDIRECT("rec.uni[empresa]"),P$6)</f>
        <v>0</v>
      </c>
      <c r="Q102" s="228">
        <f ca="1">SUMIFS(rec.uni[2029-04-01],
INDIRECT("rec.uni[natureza]"),"repasse.cef.terreno",
INDIRECT("rec.uni[empresa]"),Q$6)</f>
        <v>0</v>
      </c>
      <c r="R102" s="232"/>
      <c r="S102" s="228">
        <f ca="1">SUMIFS(rec.uni[2029-04-01],
INDIRECT("rec.uni[natureza]"),"taxa.extra",
INDIRECT("rec.uni[empresa]"),S$6)</f>
        <v>0</v>
      </c>
      <c r="T102" s="216"/>
      <c r="U102" s="216"/>
      <c r="V102" s="216"/>
      <c r="W102" s="216"/>
      <c r="X102" s="216"/>
      <c r="Y102" s="216"/>
      <c r="Z102" s="227">
        <f>COUNTIFS(
    estq[empresa], Z$6,
    estq[Data da venda / reserva], "&gt;=" &amp; $A102,
    estq[Data da venda / reserva], "&lt;"  &amp; EOMONTH($A102,0) + 1
)</f>
        <v>0</v>
      </c>
      <c r="AA102" s="228">
        <f ca="1">SUMIFS(rec.uni[2029-04-01],
INDIRECT("rec.uni[natureza]"),"pro.soluto",
INDIRECT("rec.uni[empresa]"),AA$6)</f>
        <v>0</v>
      </c>
      <c r="AB102" s="228">
        <f ca="1">SUMIFS(rec.uni[2029-04-01],
INDIRECT("rec.uni[natureza]"),"repasse.cef.obra",
INDIRECT("rec.uni[empresa]"),AB$6)</f>
        <v>0</v>
      </c>
      <c r="AC102" s="231">
        <f ca="1">SUMIFS(rec.uni[2029-04-01],
INDIRECT("rec.uni[natureza]"),"repasse.cef.terreno",
INDIRECT("rec.uni[empresa]"),AC$6)</f>
        <v>0</v>
      </c>
      <c r="AD102" s="232"/>
      <c r="AE102" s="228">
        <f ca="1">SUMIFS(rec.uni[2029-04-01],
INDIRECT("rec.uni[natureza]"),"taxa.extra",
INDIRECT("rec.uni[empresa]"),AE$6)</f>
        <v>0</v>
      </c>
      <c r="AF102" s="216"/>
      <c r="AG102" s="216"/>
      <c r="AH102" s="216"/>
      <c r="AI102" s="216"/>
      <c r="AJ102" s="216"/>
      <c r="AK102" s="216"/>
      <c r="AL102" s="227">
        <f>COUNTIFS(
    estq[empresa], AL$6,
    estq[Data da venda / reserva], "&gt;=" &amp; $A102,
    estq[Data da venda / reserva], "&lt;"  &amp; EOMONTH($A102,0) + 1
)</f>
        <v>0</v>
      </c>
      <c r="AM102" s="228">
        <f ca="1">SUMIFS(rec.uni[2029-04-01],
INDIRECT("rec.uni[natureza]"),"pro.soluto",
INDIRECT("rec.uni[empresa]"),AM$6)</f>
        <v>0</v>
      </c>
      <c r="AN102" s="228">
        <f ca="1">SUMIFS(rec.uni[2029-04-01],
INDIRECT("rec.uni[natureza]"),"repasse.cef.obra",
INDIRECT("rec.uni[empresa]"),AN$6)</f>
        <v>0</v>
      </c>
      <c r="AO102" s="231">
        <f ca="1">SUMIFS(rec.uni[2029-04-01],
INDIRECT("rec.uni[natureza]"),"repasse.cef.terreno",
INDIRECT("rec.uni[empresa]"),AO$6)</f>
        <v>0</v>
      </c>
      <c r="AP102" s="232"/>
      <c r="AQ102" s="228">
        <f ca="1">SUMIFS(rec.uni[2029-04-01],
INDIRECT("rec.uni[natureza]"),"taxa.extra",
INDIRECT("rec.uni[empresa]"),AQ$6)</f>
        <v>0</v>
      </c>
      <c r="AR102" s="216"/>
      <c r="AS102" s="216"/>
      <c r="AT102" s="216"/>
      <c r="AU102" s="216"/>
      <c r="AV102" s="216"/>
      <c r="AW102" s="216"/>
      <c r="AX102" s="227">
        <f>COUNTIFS(
    estq[empresa], AX$6,
    estq[Data da venda / reserva], "&gt;=" &amp; $A102,
    estq[Data da venda / reserva], "&lt;"  &amp; EOMONTH($A102,0) + 1
)</f>
        <v>0</v>
      </c>
      <c r="AY102" s="228">
        <f ca="1">SUMIFS(rec.uni[2029-04-01],
INDIRECT("rec.uni[natureza]"),"pro.soluto",
INDIRECT("rec.uni[empresa]"),AY$6)</f>
        <v>0</v>
      </c>
      <c r="AZ102" s="232">
        <f ca="1">SUMIFS(rec.uni[2029-04-01],
INDIRECT("rec.uni[natureza]"),"parcela.fin.total.ik",
INDIRECT("rec.uni[empresa]"),AZ$6)</f>
        <v>0</v>
      </c>
      <c r="BA102" s="228">
        <f ca="1">SUMIFS(rec.uni[2029-04-01],
INDIRECT("rec.uni[natureza]"),"taxa.extra",
INDIRECT("rec.uni[empresa]"),BA$6)</f>
        <v>0</v>
      </c>
      <c r="BB102" s="216"/>
      <c r="BC102" s="216"/>
      <c r="BD102" s="216"/>
      <c r="BE102" s="216"/>
      <c r="BF102" s="216"/>
      <c r="BG102" s="216"/>
      <c r="BH102" s="227">
        <f>COUNTIFS(
    estq[empresa], BH$6,
    estq[Data da venda / reserva], "&gt;=" &amp; $A102,
    estq[Data da venda / reserva], "&lt;"  &amp; EOMONTH($A102,0) + 1
)</f>
        <v>0</v>
      </c>
      <c r="BI102" s="228">
        <f ca="1">SUMIFS(rec.uni[2029-04-01],
INDIRECT("rec.uni[natureza]"),"pro.soluto",
INDIRECT("rec.uni[empresa]"),BI$6)</f>
        <v>0</v>
      </c>
      <c r="BJ102" s="228">
        <f ca="1">SUMIFS(rec.uni[2029-04-01],
INDIRECT("rec.uni[natureza]"),"repasse.cef.obra",
INDIRECT("rec.uni[empresa]"),BJ$6)</f>
        <v>0</v>
      </c>
      <c r="BK102" s="231">
        <f ca="1">SUMIFS(rec.uni[2029-04-01],
INDIRECT("rec.uni[natureza]"),"repasse.cef.terreno",
INDIRECT("rec.uni[empresa]"),BK$6)</f>
        <v>0</v>
      </c>
      <c r="BL102" s="232"/>
      <c r="BM102" s="228">
        <f ca="1">SUMIFS(rec.uni[2029-04-01],
INDIRECT("rec.uni[natureza]"),"taxa.extra",
INDIRECT("rec.uni[empresa]"),BM$6)</f>
        <v>0</v>
      </c>
      <c r="BN102" s="216"/>
      <c r="BO102" s="216"/>
      <c r="BP102" s="216"/>
      <c r="BQ102" s="216"/>
      <c r="BR102" s="216"/>
      <c r="BS102" s="216"/>
      <c r="BT102" s="227">
        <f>COUNTIFS(
    estq[empresa], BT$6,
    estq[Data da venda / reserva], "&gt;=" &amp; $A102,
    estq[Data da venda / reserva], "&lt;"  &amp; EOMONTH($A102,0) + 1
)</f>
        <v>0</v>
      </c>
      <c r="BU102" s="228">
        <f ca="1">SUMIFS(rec.uni[2029-04-01],
INDIRECT("rec.uni[natureza]"),"pro.soluto",
INDIRECT("rec.uni[empresa]"),BU$6)</f>
        <v>0</v>
      </c>
      <c r="BV102" s="228">
        <f ca="1">SUMIFS(rec.uni[2029-04-01],
INDIRECT("rec.uni[natureza]"),"repasse.cef.obra",
INDIRECT("rec.uni[empresa]"),BV$6)</f>
        <v>0</v>
      </c>
      <c r="BW102" s="231">
        <f ca="1">SUMIFS(rec.uni[2029-04-01],
INDIRECT("rec.uni[natureza]"),"repasse.cef.terreno",
INDIRECT("rec.uni[empresa]"),BW$6)</f>
        <v>0</v>
      </c>
      <c r="BX102" s="232"/>
      <c r="BY102" s="228">
        <f ca="1">SUMIFS(rec.uni[2029-04-01],
INDIRECT("rec.uni[natureza]"),"taxa.extra",
INDIRECT("rec.uni[empresa]"),BY$6)</f>
        <v>0</v>
      </c>
      <c r="BZ102" s="216"/>
      <c r="CA102" s="216"/>
      <c r="CB102" s="216"/>
      <c r="CC102" s="216"/>
      <c r="CD102" s="216"/>
      <c r="CE102" s="216"/>
    </row>
    <row r="103" spans="1:83" x14ac:dyDescent="0.25">
      <c r="A103" s="226">
        <v>47239</v>
      </c>
      <c r="B103" s="227">
        <f>COUNTIFS(
    estq[empresa], B$6,
    estq[Data da venda / reserva], "&gt;=" &amp; $A103,
    estq[Data da venda / reserva], "&lt;"  &amp; EOMONTH($A103,0) + 1
)</f>
        <v>0</v>
      </c>
      <c r="C103" s="228">
        <f ca="1">SUMIFS(rec.uni[2029-05-01],
INDIRECT("rec.uni[natureza]"),"pro.soluto",
INDIRECT("rec.uni[empresa]"),C$6)</f>
        <v>0</v>
      </c>
      <c r="D103" s="228">
        <f ca="1">SUMIFS(rec.uni[2029-05-01],
INDIRECT("rec.uni[natureza]"),"repasse.cef.obra",
INDIRECT("rec.uni[empresa]"),D$6)</f>
        <v>0</v>
      </c>
      <c r="E103" s="228">
        <f ca="1">SUMIFS(rec.uni[2029-05-01],
INDIRECT("rec.uni[natureza]"),"repasse.cef.terreno",
INDIRECT("rec.uni[empresa]"),E$6)</f>
        <v>0</v>
      </c>
      <c r="F103" s="232"/>
      <c r="G103" s="228">
        <f ca="1">SUMIFS(rec.uni[2029-05-01],
INDIRECT("rec.uni[natureza]"),"taxa.extra",
INDIRECT("rec.uni[empresa]"),G$6)</f>
        <v>0</v>
      </c>
      <c r="H103" s="216"/>
      <c r="I103" s="216"/>
      <c r="J103" s="216"/>
      <c r="K103" s="216"/>
      <c r="L103" s="216"/>
      <c r="M103" s="216"/>
      <c r="N103" s="227">
        <f>COUNTIFS(
    estq[empresa], N$6,
    estq[Data da venda / reserva], "&gt;=" &amp; $A103,
    estq[Data da venda / reserva], "&lt;"  &amp; EOMONTH($A103,0) + 1
)</f>
        <v>0</v>
      </c>
      <c r="O103" s="228">
        <f ca="1">SUMIFS(rec.uni[2029-05-01],
INDIRECT("rec.uni[natureza]"),"pro.soluto",
INDIRECT("rec.uni[empresa]"),O$6)</f>
        <v>0</v>
      </c>
      <c r="P103" s="228">
        <f ca="1">SUMIFS(rec.uni[2029-05-01],
INDIRECT("rec.uni[natureza]"),"repasse.cef.obra",
INDIRECT("rec.uni[empresa]"),P$6)</f>
        <v>0</v>
      </c>
      <c r="Q103" s="228">
        <f ca="1">SUMIFS(rec.uni[2029-05-01],
INDIRECT("rec.uni[natureza]"),"repasse.cef.terreno",
INDIRECT("rec.uni[empresa]"),Q$6)</f>
        <v>0</v>
      </c>
      <c r="R103" s="232"/>
      <c r="S103" s="228">
        <f ca="1">SUMIFS(rec.uni[2029-05-01],
INDIRECT("rec.uni[natureza]"),"taxa.extra",
INDIRECT("rec.uni[empresa]"),S$6)</f>
        <v>0</v>
      </c>
      <c r="T103" s="216"/>
      <c r="U103" s="216"/>
      <c r="V103" s="216"/>
      <c r="W103" s="216"/>
      <c r="X103" s="216"/>
      <c r="Y103" s="216"/>
      <c r="Z103" s="227">
        <f>COUNTIFS(
    estq[empresa], Z$6,
    estq[Data da venda / reserva], "&gt;=" &amp; $A103,
    estq[Data da venda / reserva], "&lt;"  &amp; EOMONTH($A103,0) + 1
)</f>
        <v>0</v>
      </c>
      <c r="AA103" s="228">
        <f ca="1">SUMIFS(rec.uni[2029-05-01],
INDIRECT("rec.uni[natureza]"),"pro.soluto",
INDIRECT("rec.uni[empresa]"),AA$6)</f>
        <v>0</v>
      </c>
      <c r="AB103" s="228">
        <f ca="1">SUMIFS(rec.uni[2029-05-01],
INDIRECT("rec.uni[natureza]"),"repasse.cef.obra",
INDIRECT("rec.uni[empresa]"),AB$6)</f>
        <v>0</v>
      </c>
      <c r="AC103" s="231">
        <f ca="1">SUMIFS(rec.uni[2029-05-01],
INDIRECT("rec.uni[natureza]"),"repasse.cef.terreno",
INDIRECT("rec.uni[empresa]"),AC$6)</f>
        <v>0</v>
      </c>
      <c r="AD103" s="232"/>
      <c r="AE103" s="228">
        <f ca="1">SUMIFS(rec.uni[2029-05-01],
INDIRECT("rec.uni[natureza]"),"taxa.extra",
INDIRECT("rec.uni[empresa]"),AE$6)</f>
        <v>0</v>
      </c>
      <c r="AF103" s="216"/>
      <c r="AG103" s="216"/>
      <c r="AH103" s="216"/>
      <c r="AI103" s="216"/>
      <c r="AJ103" s="216"/>
      <c r="AK103" s="216"/>
      <c r="AL103" s="227">
        <f>COUNTIFS(
    estq[empresa], AL$6,
    estq[Data da venda / reserva], "&gt;=" &amp; $A103,
    estq[Data da venda / reserva], "&lt;"  &amp; EOMONTH($A103,0) + 1
)</f>
        <v>0</v>
      </c>
      <c r="AM103" s="228">
        <f ca="1">SUMIFS(rec.uni[2029-05-01],
INDIRECT("rec.uni[natureza]"),"pro.soluto",
INDIRECT("rec.uni[empresa]"),AM$6)</f>
        <v>0</v>
      </c>
      <c r="AN103" s="228">
        <f ca="1">SUMIFS(rec.uni[2029-05-01],
INDIRECT("rec.uni[natureza]"),"repasse.cef.obra",
INDIRECT("rec.uni[empresa]"),AN$6)</f>
        <v>0</v>
      </c>
      <c r="AO103" s="231">
        <f ca="1">SUMIFS(rec.uni[2029-05-01],
INDIRECT("rec.uni[natureza]"),"repasse.cef.terreno",
INDIRECT("rec.uni[empresa]"),AO$6)</f>
        <v>0</v>
      </c>
      <c r="AP103" s="232"/>
      <c r="AQ103" s="228">
        <f ca="1">SUMIFS(rec.uni[2029-05-01],
INDIRECT("rec.uni[natureza]"),"taxa.extra",
INDIRECT("rec.uni[empresa]"),AQ$6)</f>
        <v>0</v>
      </c>
      <c r="AR103" s="216"/>
      <c r="AS103" s="216"/>
      <c r="AT103" s="216"/>
      <c r="AU103" s="216"/>
      <c r="AV103" s="216"/>
      <c r="AW103" s="216"/>
      <c r="AX103" s="227">
        <f>COUNTIFS(
    estq[empresa], AX$6,
    estq[Data da venda / reserva], "&gt;=" &amp; $A103,
    estq[Data da venda / reserva], "&lt;"  &amp; EOMONTH($A103,0) + 1
)</f>
        <v>0</v>
      </c>
      <c r="AY103" s="228">
        <f ca="1">SUMIFS(rec.uni[2029-05-01],
INDIRECT("rec.uni[natureza]"),"pro.soluto",
INDIRECT("rec.uni[empresa]"),AY$6)</f>
        <v>0</v>
      </c>
      <c r="AZ103" s="232">
        <f ca="1">SUMIFS(rec.uni[2029-05-01],
INDIRECT("rec.uni[natureza]"),"parcela.fin.total.ik",
INDIRECT("rec.uni[empresa]"),AZ$6)</f>
        <v>0</v>
      </c>
      <c r="BA103" s="228">
        <f ca="1">SUMIFS(rec.uni[2029-05-01],
INDIRECT("rec.uni[natureza]"),"taxa.extra",
INDIRECT("rec.uni[empresa]"),BA$6)</f>
        <v>0</v>
      </c>
      <c r="BB103" s="216"/>
      <c r="BC103" s="216"/>
      <c r="BD103" s="216"/>
      <c r="BE103" s="216"/>
      <c r="BF103" s="216"/>
      <c r="BG103" s="216"/>
      <c r="BH103" s="227">
        <f>COUNTIFS(
    estq[empresa], BH$6,
    estq[Data da venda / reserva], "&gt;=" &amp; $A103,
    estq[Data da venda / reserva], "&lt;"  &amp; EOMONTH($A103,0) + 1
)</f>
        <v>0</v>
      </c>
      <c r="BI103" s="228">
        <f ca="1">SUMIFS(rec.uni[2029-05-01],
INDIRECT("rec.uni[natureza]"),"pro.soluto",
INDIRECT("rec.uni[empresa]"),BI$6)</f>
        <v>0</v>
      </c>
      <c r="BJ103" s="228">
        <f ca="1">SUMIFS(rec.uni[2029-05-01],
INDIRECT("rec.uni[natureza]"),"repasse.cef.obra",
INDIRECT("rec.uni[empresa]"),BJ$6)</f>
        <v>0</v>
      </c>
      <c r="BK103" s="231">
        <f ca="1">SUMIFS(rec.uni[2029-05-01],
INDIRECT("rec.uni[natureza]"),"repasse.cef.terreno",
INDIRECT("rec.uni[empresa]"),BK$6)</f>
        <v>0</v>
      </c>
      <c r="BL103" s="232"/>
      <c r="BM103" s="228">
        <f ca="1">SUMIFS(rec.uni[2029-05-01],
INDIRECT("rec.uni[natureza]"),"taxa.extra",
INDIRECT("rec.uni[empresa]"),BM$6)</f>
        <v>0</v>
      </c>
      <c r="BN103" s="216"/>
      <c r="BO103" s="216"/>
      <c r="BP103" s="216"/>
      <c r="BQ103" s="216"/>
      <c r="BR103" s="216"/>
      <c r="BS103" s="216"/>
      <c r="BT103" s="227">
        <f>COUNTIFS(
    estq[empresa], BT$6,
    estq[Data da venda / reserva], "&gt;=" &amp; $A103,
    estq[Data da venda / reserva], "&lt;"  &amp; EOMONTH($A103,0) + 1
)</f>
        <v>0</v>
      </c>
      <c r="BU103" s="228">
        <f ca="1">SUMIFS(rec.uni[2029-05-01],
INDIRECT("rec.uni[natureza]"),"pro.soluto",
INDIRECT("rec.uni[empresa]"),BU$6)</f>
        <v>0</v>
      </c>
      <c r="BV103" s="228">
        <f ca="1">SUMIFS(rec.uni[2029-05-01],
INDIRECT("rec.uni[natureza]"),"repasse.cef.obra",
INDIRECT("rec.uni[empresa]"),BV$6)</f>
        <v>0</v>
      </c>
      <c r="BW103" s="231">
        <f ca="1">SUMIFS(rec.uni[2029-05-01],
INDIRECT("rec.uni[natureza]"),"repasse.cef.terreno",
INDIRECT("rec.uni[empresa]"),BW$6)</f>
        <v>0</v>
      </c>
      <c r="BX103" s="232"/>
      <c r="BY103" s="228">
        <f ca="1">SUMIFS(rec.uni[2029-05-01],
INDIRECT("rec.uni[natureza]"),"taxa.extra",
INDIRECT("rec.uni[empresa]"),BY$6)</f>
        <v>0</v>
      </c>
      <c r="BZ103" s="216"/>
      <c r="CA103" s="216"/>
      <c r="CB103" s="216"/>
      <c r="CC103" s="216"/>
      <c r="CD103" s="216"/>
      <c r="CE103" s="216"/>
    </row>
    <row r="104" spans="1:83" x14ac:dyDescent="0.25">
      <c r="A104" s="226">
        <v>47270</v>
      </c>
      <c r="B104" s="227">
        <f>COUNTIFS(
    estq[empresa], B$6,
    estq[Data da venda / reserva], "&gt;=" &amp; $A104,
    estq[Data da venda / reserva], "&lt;"  &amp; EOMONTH($A104,0) + 1
)</f>
        <v>0</v>
      </c>
      <c r="C104" s="228">
        <f ca="1">SUMIFS(rec.uni[2029-06-01],
INDIRECT("rec.uni[natureza]"),"pro.soluto",
INDIRECT("rec.uni[empresa]"),C$6)</f>
        <v>0</v>
      </c>
      <c r="D104" s="228">
        <f ca="1">SUMIFS(rec.uni[2029-06-01],
INDIRECT("rec.uni[natureza]"),"repasse.cef.obra",
INDIRECT("rec.uni[empresa]"),D$6)</f>
        <v>0</v>
      </c>
      <c r="E104" s="228">
        <f ca="1">SUMIFS(rec.uni[2029-06-01],
INDIRECT("rec.uni[natureza]"),"repasse.cef.terreno",
INDIRECT("rec.uni[empresa]"),E$6)</f>
        <v>0</v>
      </c>
      <c r="F104" s="232"/>
      <c r="G104" s="228">
        <f ca="1">SUMIFS(rec.uni[2029-06-01],
INDIRECT("rec.uni[natureza]"),"taxa.extra",
INDIRECT("rec.uni[empresa]"),G$6)</f>
        <v>0</v>
      </c>
      <c r="H104" s="216"/>
      <c r="I104" s="216"/>
      <c r="J104" s="216"/>
      <c r="K104" s="216"/>
      <c r="L104" s="216"/>
      <c r="M104" s="216"/>
      <c r="N104" s="227">
        <f>COUNTIFS(
    estq[empresa], N$6,
    estq[Data da venda / reserva], "&gt;=" &amp; $A104,
    estq[Data da venda / reserva], "&lt;"  &amp; EOMONTH($A104,0) + 1
)</f>
        <v>0</v>
      </c>
      <c r="O104" s="228">
        <f ca="1">SUMIFS(rec.uni[2029-06-01],
INDIRECT("rec.uni[natureza]"),"pro.soluto",
INDIRECT("rec.uni[empresa]"),O$6)</f>
        <v>0</v>
      </c>
      <c r="P104" s="228">
        <f ca="1">SUMIFS(rec.uni[2029-06-01],
INDIRECT("rec.uni[natureza]"),"repasse.cef.obra",
INDIRECT("rec.uni[empresa]"),P$6)</f>
        <v>0</v>
      </c>
      <c r="Q104" s="228">
        <f ca="1">SUMIFS(rec.uni[2029-06-01],
INDIRECT("rec.uni[natureza]"),"repasse.cef.terreno",
INDIRECT("rec.uni[empresa]"),Q$6)</f>
        <v>0</v>
      </c>
      <c r="R104" s="232"/>
      <c r="S104" s="228">
        <f ca="1">SUMIFS(rec.uni[2029-06-01],
INDIRECT("rec.uni[natureza]"),"taxa.extra",
INDIRECT("rec.uni[empresa]"),S$6)</f>
        <v>0</v>
      </c>
      <c r="T104" s="216"/>
      <c r="U104" s="216"/>
      <c r="V104" s="216"/>
      <c r="W104" s="216"/>
      <c r="X104" s="216"/>
      <c r="Y104" s="216"/>
      <c r="Z104" s="227">
        <f>COUNTIFS(
    estq[empresa], Z$6,
    estq[Data da venda / reserva], "&gt;=" &amp; $A104,
    estq[Data da venda / reserva], "&lt;"  &amp; EOMONTH($A104,0) + 1
)</f>
        <v>0</v>
      </c>
      <c r="AA104" s="228">
        <f ca="1">SUMIFS(rec.uni[2029-06-01],
INDIRECT("rec.uni[natureza]"),"pro.soluto",
INDIRECT("rec.uni[empresa]"),AA$6)</f>
        <v>0</v>
      </c>
      <c r="AB104" s="228">
        <f ca="1">SUMIFS(rec.uni[2029-06-01],
INDIRECT("rec.uni[natureza]"),"repasse.cef.obra",
INDIRECT("rec.uni[empresa]"),AB$6)</f>
        <v>0</v>
      </c>
      <c r="AC104" s="231">
        <f ca="1">SUMIFS(rec.uni[2029-06-01],
INDIRECT("rec.uni[natureza]"),"repasse.cef.terreno",
INDIRECT("rec.uni[empresa]"),AC$6)</f>
        <v>0</v>
      </c>
      <c r="AD104" s="232"/>
      <c r="AE104" s="228">
        <f ca="1">SUMIFS(rec.uni[2029-06-01],
INDIRECT("rec.uni[natureza]"),"taxa.extra",
INDIRECT("rec.uni[empresa]"),AE$6)</f>
        <v>0</v>
      </c>
      <c r="AF104" s="216"/>
      <c r="AG104" s="216"/>
      <c r="AH104" s="216"/>
      <c r="AI104" s="216"/>
      <c r="AJ104" s="216"/>
      <c r="AK104" s="216"/>
      <c r="AL104" s="227">
        <f>COUNTIFS(
    estq[empresa], AL$6,
    estq[Data da venda / reserva], "&gt;=" &amp; $A104,
    estq[Data da venda / reserva], "&lt;"  &amp; EOMONTH($A104,0) + 1
)</f>
        <v>0</v>
      </c>
      <c r="AM104" s="228">
        <f ca="1">SUMIFS(rec.uni[2029-06-01],
INDIRECT("rec.uni[natureza]"),"pro.soluto",
INDIRECT("rec.uni[empresa]"),AM$6)</f>
        <v>0</v>
      </c>
      <c r="AN104" s="228">
        <f ca="1">SUMIFS(rec.uni[2029-06-01],
INDIRECT("rec.uni[natureza]"),"repasse.cef.obra",
INDIRECT("rec.uni[empresa]"),AN$6)</f>
        <v>0</v>
      </c>
      <c r="AO104" s="231">
        <f ca="1">SUMIFS(rec.uni[2029-06-01],
INDIRECT("rec.uni[natureza]"),"repasse.cef.terreno",
INDIRECT("rec.uni[empresa]"),AO$6)</f>
        <v>0</v>
      </c>
      <c r="AP104" s="232"/>
      <c r="AQ104" s="228">
        <f ca="1">SUMIFS(rec.uni[2029-06-01],
INDIRECT("rec.uni[natureza]"),"taxa.extra",
INDIRECT("rec.uni[empresa]"),AQ$6)</f>
        <v>0</v>
      </c>
      <c r="AR104" s="216"/>
      <c r="AS104" s="216"/>
      <c r="AT104" s="216"/>
      <c r="AU104" s="216"/>
      <c r="AV104" s="216"/>
      <c r="AW104" s="216"/>
      <c r="AX104" s="227">
        <f>COUNTIFS(
    estq[empresa], AX$6,
    estq[Data da venda / reserva], "&gt;=" &amp; $A104,
    estq[Data da venda / reserva], "&lt;"  &amp; EOMONTH($A104,0) + 1
)</f>
        <v>0</v>
      </c>
      <c r="AY104" s="228">
        <f ca="1">SUMIFS(rec.uni[2029-06-01],
INDIRECT("rec.uni[natureza]"),"pro.soluto",
INDIRECT("rec.uni[empresa]"),AY$6)</f>
        <v>0</v>
      </c>
      <c r="AZ104" s="232">
        <f ca="1">SUMIFS(rec.uni[2029-06-01],
INDIRECT("rec.uni[natureza]"),"parcela.fin.total.ik",
INDIRECT("rec.uni[empresa]"),AZ$6)</f>
        <v>0</v>
      </c>
      <c r="BA104" s="228">
        <f ca="1">SUMIFS(rec.uni[2029-06-01],
INDIRECT("rec.uni[natureza]"),"taxa.extra",
INDIRECT("rec.uni[empresa]"),BA$6)</f>
        <v>0</v>
      </c>
      <c r="BB104" s="216"/>
      <c r="BC104" s="216"/>
      <c r="BD104" s="216"/>
      <c r="BE104" s="216"/>
      <c r="BF104" s="216"/>
      <c r="BG104" s="216"/>
      <c r="BH104" s="227">
        <f>COUNTIFS(
    estq[empresa], BH$6,
    estq[Data da venda / reserva], "&gt;=" &amp; $A104,
    estq[Data da venda / reserva], "&lt;"  &amp; EOMONTH($A104,0) + 1
)</f>
        <v>0</v>
      </c>
      <c r="BI104" s="228">
        <f ca="1">SUMIFS(rec.uni[2029-06-01],
INDIRECT("rec.uni[natureza]"),"pro.soluto",
INDIRECT("rec.uni[empresa]"),BI$6)</f>
        <v>0</v>
      </c>
      <c r="BJ104" s="228">
        <f ca="1">SUMIFS(rec.uni[2029-06-01],
INDIRECT("rec.uni[natureza]"),"repasse.cef.obra",
INDIRECT("rec.uni[empresa]"),BJ$6)</f>
        <v>0</v>
      </c>
      <c r="BK104" s="231">
        <f ca="1">SUMIFS(rec.uni[2029-06-01],
INDIRECT("rec.uni[natureza]"),"repasse.cef.terreno",
INDIRECT("rec.uni[empresa]"),BK$6)</f>
        <v>0</v>
      </c>
      <c r="BL104" s="232"/>
      <c r="BM104" s="228">
        <f ca="1">SUMIFS(rec.uni[2029-06-01],
INDIRECT("rec.uni[natureza]"),"taxa.extra",
INDIRECT("rec.uni[empresa]"),BM$6)</f>
        <v>0</v>
      </c>
      <c r="BN104" s="216"/>
      <c r="BO104" s="216"/>
      <c r="BP104" s="216"/>
      <c r="BQ104" s="216"/>
      <c r="BR104" s="216"/>
      <c r="BS104" s="216"/>
      <c r="BT104" s="227">
        <f>COUNTIFS(
    estq[empresa], BT$6,
    estq[Data da venda / reserva], "&gt;=" &amp; $A104,
    estq[Data da venda / reserva], "&lt;"  &amp; EOMONTH($A104,0) + 1
)</f>
        <v>0</v>
      </c>
      <c r="BU104" s="228">
        <f ca="1">SUMIFS(rec.uni[2029-06-01],
INDIRECT("rec.uni[natureza]"),"pro.soluto",
INDIRECT("rec.uni[empresa]"),BU$6)</f>
        <v>0</v>
      </c>
      <c r="BV104" s="228">
        <f ca="1">SUMIFS(rec.uni[2029-06-01],
INDIRECT("rec.uni[natureza]"),"repasse.cef.obra",
INDIRECT("rec.uni[empresa]"),BV$6)</f>
        <v>0</v>
      </c>
      <c r="BW104" s="231">
        <f ca="1">SUMIFS(rec.uni[2029-06-01],
INDIRECT("rec.uni[natureza]"),"repasse.cef.terreno",
INDIRECT("rec.uni[empresa]"),BW$6)</f>
        <v>0</v>
      </c>
      <c r="BX104" s="232"/>
      <c r="BY104" s="228">
        <f ca="1">SUMIFS(rec.uni[2029-06-01],
INDIRECT("rec.uni[natureza]"),"taxa.extra",
INDIRECT("rec.uni[empresa]"),BY$6)</f>
        <v>0</v>
      </c>
      <c r="BZ104" s="216"/>
      <c r="CA104" s="216"/>
      <c r="CB104" s="216"/>
      <c r="CC104" s="216"/>
      <c r="CD104" s="216"/>
      <c r="CE104" s="216"/>
    </row>
    <row r="105" spans="1:83" x14ac:dyDescent="0.25">
      <c r="A105" s="226">
        <v>47300</v>
      </c>
      <c r="B105" s="227">
        <f>COUNTIFS(
    estq[empresa], B$6,
    estq[Data da venda / reserva], "&gt;=" &amp; $A105,
    estq[Data da venda / reserva], "&lt;"  &amp; EOMONTH($A105,0) + 1
)</f>
        <v>0</v>
      </c>
      <c r="C105" s="228">
        <f ca="1">SUMIFS(rec.uni[2029-07-01],
INDIRECT("rec.uni[natureza]"),"pro.soluto",
INDIRECT("rec.uni[empresa]"),C$6)</f>
        <v>0</v>
      </c>
      <c r="D105" s="228">
        <f ca="1">SUMIFS(rec.uni[2029-07-01],
INDIRECT("rec.uni[natureza]"),"repasse.cef.obra",
INDIRECT("rec.uni[empresa]"),D$6)</f>
        <v>0</v>
      </c>
      <c r="E105" s="228">
        <f ca="1">SUMIFS(rec.uni[2029-07-01],
INDIRECT("rec.uni[natureza]"),"repasse.cef.terreno",
INDIRECT("rec.uni[empresa]"),E$6)</f>
        <v>0</v>
      </c>
      <c r="F105" s="232"/>
      <c r="G105" s="228">
        <f ca="1">SUMIFS(rec.uni[2029-07-01],
INDIRECT("rec.uni[natureza]"),"taxa.extra",
INDIRECT("rec.uni[empresa]"),G$6)</f>
        <v>0</v>
      </c>
      <c r="H105" s="216"/>
      <c r="I105" s="216"/>
      <c r="J105" s="216"/>
      <c r="K105" s="216"/>
      <c r="L105" s="216"/>
      <c r="M105" s="216"/>
      <c r="N105" s="227">
        <f>COUNTIFS(
    estq[empresa], N$6,
    estq[Data da venda / reserva], "&gt;=" &amp; $A105,
    estq[Data da venda / reserva], "&lt;"  &amp; EOMONTH($A105,0) + 1
)</f>
        <v>0</v>
      </c>
      <c r="O105" s="228">
        <f ca="1">SUMIFS(rec.uni[2029-07-01],
INDIRECT("rec.uni[natureza]"),"pro.soluto",
INDIRECT("rec.uni[empresa]"),O$6)</f>
        <v>0</v>
      </c>
      <c r="P105" s="228">
        <f ca="1">SUMIFS(rec.uni[2029-07-01],
INDIRECT("rec.uni[natureza]"),"repasse.cef.obra",
INDIRECT("rec.uni[empresa]"),P$6)</f>
        <v>0</v>
      </c>
      <c r="Q105" s="228">
        <f ca="1">SUMIFS(rec.uni[2029-07-01],
INDIRECT("rec.uni[natureza]"),"repasse.cef.terreno",
INDIRECT("rec.uni[empresa]"),Q$6)</f>
        <v>0</v>
      </c>
      <c r="R105" s="232"/>
      <c r="S105" s="228">
        <f ca="1">SUMIFS(rec.uni[2029-07-01],
INDIRECT("rec.uni[natureza]"),"taxa.extra",
INDIRECT("rec.uni[empresa]"),S$6)</f>
        <v>0</v>
      </c>
      <c r="T105" s="216"/>
      <c r="U105" s="216"/>
      <c r="V105" s="216"/>
      <c r="W105" s="216"/>
      <c r="X105" s="216"/>
      <c r="Y105" s="216"/>
      <c r="Z105" s="227">
        <f>COUNTIFS(
    estq[empresa], Z$6,
    estq[Data da venda / reserva], "&gt;=" &amp; $A105,
    estq[Data da venda / reserva], "&lt;"  &amp; EOMONTH($A105,0) + 1
)</f>
        <v>0</v>
      </c>
      <c r="AA105" s="228">
        <f ca="1">SUMIFS(rec.uni[2029-07-01],
INDIRECT("rec.uni[natureza]"),"pro.soluto",
INDIRECT("rec.uni[empresa]"),AA$6)</f>
        <v>0</v>
      </c>
      <c r="AB105" s="228">
        <f ca="1">SUMIFS(rec.uni[2029-07-01],
INDIRECT("rec.uni[natureza]"),"repasse.cef.obra",
INDIRECT("rec.uni[empresa]"),AB$6)</f>
        <v>0</v>
      </c>
      <c r="AC105" s="231">
        <f ca="1">SUMIFS(rec.uni[2029-07-01],
INDIRECT("rec.uni[natureza]"),"repasse.cef.terreno",
INDIRECT("rec.uni[empresa]"),AC$6)</f>
        <v>0</v>
      </c>
      <c r="AD105" s="232"/>
      <c r="AE105" s="228">
        <f ca="1">SUMIFS(rec.uni[2029-07-01],
INDIRECT("rec.uni[natureza]"),"taxa.extra",
INDIRECT("rec.uni[empresa]"),AE$6)</f>
        <v>0</v>
      </c>
      <c r="AF105" s="216"/>
      <c r="AG105" s="216"/>
      <c r="AH105" s="216"/>
      <c r="AI105" s="216"/>
      <c r="AJ105" s="216"/>
      <c r="AK105" s="216"/>
      <c r="AL105" s="227">
        <f>COUNTIFS(
    estq[empresa], AL$6,
    estq[Data da venda / reserva], "&gt;=" &amp; $A105,
    estq[Data da venda / reserva], "&lt;"  &amp; EOMONTH($A105,0) + 1
)</f>
        <v>0</v>
      </c>
      <c r="AM105" s="228">
        <f ca="1">SUMIFS(rec.uni[2029-07-01],
INDIRECT("rec.uni[natureza]"),"pro.soluto",
INDIRECT("rec.uni[empresa]"),AM$6)</f>
        <v>0</v>
      </c>
      <c r="AN105" s="228">
        <f ca="1">SUMIFS(rec.uni[2029-07-01],
INDIRECT("rec.uni[natureza]"),"repasse.cef.obra",
INDIRECT("rec.uni[empresa]"),AN$6)</f>
        <v>0</v>
      </c>
      <c r="AO105" s="231">
        <f ca="1">SUMIFS(rec.uni[2029-07-01],
INDIRECT("rec.uni[natureza]"),"repasse.cef.terreno",
INDIRECT("rec.uni[empresa]"),AO$6)</f>
        <v>0</v>
      </c>
      <c r="AP105" s="232"/>
      <c r="AQ105" s="228">
        <f ca="1">SUMIFS(rec.uni[2029-07-01],
INDIRECT("rec.uni[natureza]"),"taxa.extra",
INDIRECT("rec.uni[empresa]"),AQ$6)</f>
        <v>0</v>
      </c>
      <c r="AR105" s="216"/>
      <c r="AS105" s="216"/>
      <c r="AT105" s="216"/>
      <c r="AU105" s="216"/>
      <c r="AV105" s="216"/>
      <c r="AW105" s="216"/>
      <c r="AX105" s="227">
        <f>COUNTIFS(
    estq[empresa], AX$6,
    estq[Data da venda / reserva], "&gt;=" &amp; $A105,
    estq[Data da venda / reserva], "&lt;"  &amp; EOMONTH($A105,0) + 1
)</f>
        <v>0</v>
      </c>
      <c r="AY105" s="228">
        <f ca="1">SUMIFS(rec.uni[2029-07-01],
INDIRECT("rec.uni[natureza]"),"pro.soluto",
INDIRECT("rec.uni[empresa]"),AY$6)</f>
        <v>0</v>
      </c>
      <c r="AZ105" s="232">
        <f ca="1">SUMIFS(rec.uni[2029-07-01],
INDIRECT("rec.uni[natureza]"),"parcela.fin.total.ik",
INDIRECT("rec.uni[empresa]"),AZ$6)</f>
        <v>0</v>
      </c>
      <c r="BA105" s="228">
        <f ca="1">SUMIFS(rec.uni[2029-07-01],
INDIRECT("rec.uni[natureza]"),"taxa.extra",
INDIRECT("rec.uni[empresa]"),BA$6)</f>
        <v>0</v>
      </c>
      <c r="BB105" s="216"/>
      <c r="BC105" s="216"/>
      <c r="BD105" s="216"/>
      <c r="BE105" s="216"/>
      <c r="BF105" s="216"/>
      <c r="BG105" s="216"/>
      <c r="BH105" s="227">
        <f>COUNTIFS(
    estq[empresa], BH$6,
    estq[Data da venda / reserva], "&gt;=" &amp; $A105,
    estq[Data da venda / reserva], "&lt;"  &amp; EOMONTH($A105,0) + 1
)</f>
        <v>0</v>
      </c>
      <c r="BI105" s="228">
        <f ca="1">SUMIFS(rec.uni[2029-07-01],
INDIRECT("rec.uni[natureza]"),"pro.soluto",
INDIRECT("rec.uni[empresa]"),BI$6)</f>
        <v>0</v>
      </c>
      <c r="BJ105" s="228">
        <f ca="1">SUMIFS(rec.uni[2029-07-01],
INDIRECT("rec.uni[natureza]"),"repasse.cef.obra",
INDIRECT("rec.uni[empresa]"),BJ$6)</f>
        <v>0</v>
      </c>
      <c r="BK105" s="231">
        <f ca="1">SUMIFS(rec.uni[2029-07-01],
INDIRECT("rec.uni[natureza]"),"repasse.cef.terreno",
INDIRECT("rec.uni[empresa]"),BK$6)</f>
        <v>0</v>
      </c>
      <c r="BL105" s="232"/>
      <c r="BM105" s="228">
        <f ca="1">SUMIFS(rec.uni[2029-07-01],
INDIRECT("rec.uni[natureza]"),"taxa.extra",
INDIRECT("rec.uni[empresa]"),BM$6)</f>
        <v>0</v>
      </c>
      <c r="BN105" s="216"/>
      <c r="BO105" s="216"/>
      <c r="BP105" s="216"/>
      <c r="BQ105" s="216"/>
      <c r="BR105" s="216"/>
      <c r="BS105" s="216"/>
      <c r="BT105" s="227">
        <f>COUNTIFS(
    estq[empresa], BT$6,
    estq[Data da venda / reserva], "&gt;=" &amp; $A105,
    estq[Data da venda / reserva], "&lt;"  &amp; EOMONTH($A105,0) + 1
)</f>
        <v>0</v>
      </c>
      <c r="BU105" s="228">
        <f ca="1">SUMIFS(rec.uni[2029-07-01],
INDIRECT("rec.uni[natureza]"),"pro.soluto",
INDIRECT("rec.uni[empresa]"),BU$6)</f>
        <v>0</v>
      </c>
      <c r="BV105" s="228">
        <f ca="1">SUMIFS(rec.uni[2029-07-01],
INDIRECT("rec.uni[natureza]"),"repasse.cef.obra",
INDIRECT("rec.uni[empresa]"),BV$6)</f>
        <v>0</v>
      </c>
      <c r="BW105" s="231">
        <f ca="1">SUMIFS(rec.uni[2029-07-01],
INDIRECT("rec.uni[natureza]"),"repasse.cef.terreno",
INDIRECT("rec.uni[empresa]"),BW$6)</f>
        <v>0</v>
      </c>
      <c r="BX105" s="232"/>
      <c r="BY105" s="228">
        <f ca="1">SUMIFS(rec.uni[2029-07-01],
INDIRECT("rec.uni[natureza]"),"taxa.extra",
INDIRECT("rec.uni[empresa]"),BY$6)</f>
        <v>0</v>
      </c>
      <c r="BZ105" s="216"/>
      <c r="CA105" s="216"/>
      <c r="CB105" s="216"/>
      <c r="CC105" s="216"/>
      <c r="CD105" s="216"/>
      <c r="CE105" s="216"/>
    </row>
    <row r="106" spans="1:83" x14ac:dyDescent="0.25">
      <c r="A106" s="226">
        <v>47331</v>
      </c>
      <c r="B106" s="227">
        <f>COUNTIFS(
    estq[empresa], B$6,
    estq[Data da venda / reserva], "&gt;=" &amp; $A106,
    estq[Data da venda / reserva], "&lt;"  &amp; EOMONTH($A106,0) + 1
)</f>
        <v>0</v>
      </c>
      <c r="C106" s="228">
        <f ca="1">SUMIFS(rec.uni[2029-08-01],
INDIRECT("rec.uni[natureza]"),"pro.soluto",
INDIRECT("rec.uni[empresa]"),C$6)</f>
        <v>0</v>
      </c>
      <c r="D106" s="228">
        <f ca="1">SUMIFS(rec.uni[2029-08-01],
INDIRECT("rec.uni[natureza]"),"repasse.cef.obra",
INDIRECT("rec.uni[empresa]"),D$6)</f>
        <v>0</v>
      </c>
      <c r="E106" s="228">
        <f ca="1">SUMIFS(rec.uni[2029-08-01],
INDIRECT("rec.uni[natureza]"),"repasse.cef.terreno",
INDIRECT("rec.uni[empresa]"),E$6)</f>
        <v>0</v>
      </c>
      <c r="F106" s="232"/>
      <c r="G106" s="228">
        <f ca="1">SUMIFS(rec.uni[2029-08-01],
INDIRECT("rec.uni[natureza]"),"taxa.extra",
INDIRECT("rec.uni[empresa]"),G$6)</f>
        <v>0</v>
      </c>
      <c r="H106" s="216"/>
      <c r="I106" s="216"/>
      <c r="J106" s="216"/>
      <c r="K106" s="216"/>
      <c r="L106" s="216"/>
      <c r="M106" s="216"/>
      <c r="N106" s="227">
        <f>COUNTIFS(
    estq[empresa], N$6,
    estq[Data da venda / reserva], "&gt;=" &amp; $A106,
    estq[Data da venda / reserva], "&lt;"  &amp; EOMONTH($A106,0) + 1
)</f>
        <v>0</v>
      </c>
      <c r="O106" s="228">
        <f ca="1">SUMIFS(rec.uni[2029-08-01],
INDIRECT("rec.uni[natureza]"),"pro.soluto",
INDIRECT("rec.uni[empresa]"),O$6)</f>
        <v>0</v>
      </c>
      <c r="P106" s="228">
        <f ca="1">SUMIFS(rec.uni[2029-08-01],
INDIRECT("rec.uni[natureza]"),"repasse.cef.obra",
INDIRECT("rec.uni[empresa]"),P$6)</f>
        <v>0</v>
      </c>
      <c r="Q106" s="228">
        <f ca="1">SUMIFS(rec.uni[2029-08-01],
INDIRECT("rec.uni[natureza]"),"repasse.cef.terreno",
INDIRECT("rec.uni[empresa]"),Q$6)</f>
        <v>0</v>
      </c>
      <c r="R106" s="232"/>
      <c r="S106" s="228">
        <f ca="1">SUMIFS(rec.uni[2029-08-01],
INDIRECT("rec.uni[natureza]"),"taxa.extra",
INDIRECT("rec.uni[empresa]"),S$6)</f>
        <v>0</v>
      </c>
      <c r="T106" s="216"/>
      <c r="U106" s="216"/>
      <c r="V106" s="216"/>
      <c r="W106" s="216"/>
      <c r="X106" s="216"/>
      <c r="Y106" s="216"/>
      <c r="Z106" s="227">
        <f>COUNTIFS(
    estq[empresa], Z$6,
    estq[Data da venda / reserva], "&gt;=" &amp; $A106,
    estq[Data da venda / reserva], "&lt;"  &amp; EOMONTH($A106,0) + 1
)</f>
        <v>0</v>
      </c>
      <c r="AA106" s="228">
        <f ca="1">SUMIFS(rec.uni[2029-08-01],
INDIRECT("rec.uni[natureza]"),"pro.soluto",
INDIRECT("rec.uni[empresa]"),AA$6)</f>
        <v>0</v>
      </c>
      <c r="AB106" s="228">
        <f ca="1">SUMIFS(rec.uni[2029-08-01],
INDIRECT("rec.uni[natureza]"),"repasse.cef.obra",
INDIRECT("rec.uni[empresa]"),AB$6)</f>
        <v>0</v>
      </c>
      <c r="AC106" s="231">
        <f ca="1">SUMIFS(rec.uni[2029-08-01],
INDIRECT("rec.uni[natureza]"),"repasse.cef.terreno",
INDIRECT("rec.uni[empresa]"),AC$6)</f>
        <v>0</v>
      </c>
      <c r="AD106" s="232"/>
      <c r="AE106" s="228">
        <f ca="1">SUMIFS(rec.uni[2029-08-01],
INDIRECT("rec.uni[natureza]"),"taxa.extra",
INDIRECT("rec.uni[empresa]"),AE$6)</f>
        <v>0</v>
      </c>
      <c r="AF106" s="216"/>
      <c r="AG106" s="216"/>
      <c r="AH106" s="216"/>
      <c r="AI106" s="216"/>
      <c r="AJ106" s="216"/>
      <c r="AK106" s="216"/>
      <c r="AL106" s="227">
        <f>COUNTIFS(
    estq[empresa], AL$6,
    estq[Data da venda / reserva], "&gt;=" &amp; $A106,
    estq[Data da venda / reserva], "&lt;"  &amp; EOMONTH($A106,0) + 1
)</f>
        <v>0</v>
      </c>
      <c r="AM106" s="228">
        <f ca="1">SUMIFS(rec.uni[2029-08-01],
INDIRECT("rec.uni[natureza]"),"pro.soluto",
INDIRECT("rec.uni[empresa]"),AM$6)</f>
        <v>0</v>
      </c>
      <c r="AN106" s="228">
        <f ca="1">SUMIFS(rec.uni[2029-08-01],
INDIRECT("rec.uni[natureza]"),"repasse.cef.obra",
INDIRECT("rec.uni[empresa]"),AN$6)</f>
        <v>0</v>
      </c>
      <c r="AO106" s="231">
        <f ca="1">SUMIFS(rec.uni[2029-08-01],
INDIRECT("rec.uni[natureza]"),"repasse.cef.terreno",
INDIRECT("rec.uni[empresa]"),AO$6)</f>
        <v>0</v>
      </c>
      <c r="AP106" s="232"/>
      <c r="AQ106" s="228">
        <f ca="1">SUMIFS(rec.uni[2029-08-01],
INDIRECT("rec.uni[natureza]"),"taxa.extra",
INDIRECT("rec.uni[empresa]"),AQ$6)</f>
        <v>0</v>
      </c>
      <c r="AR106" s="216"/>
      <c r="AS106" s="216"/>
      <c r="AT106" s="216"/>
      <c r="AU106" s="216"/>
      <c r="AV106" s="216"/>
      <c r="AW106" s="216"/>
      <c r="AX106" s="227">
        <f>COUNTIFS(
    estq[empresa], AX$6,
    estq[Data da venda / reserva], "&gt;=" &amp; $A106,
    estq[Data da venda / reserva], "&lt;"  &amp; EOMONTH($A106,0) + 1
)</f>
        <v>0</v>
      </c>
      <c r="AY106" s="228">
        <f ca="1">SUMIFS(rec.uni[2029-08-01],
INDIRECT("rec.uni[natureza]"),"pro.soluto",
INDIRECT("rec.uni[empresa]"),AY$6)</f>
        <v>0</v>
      </c>
      <c r="AZ106" s="232">
        <f ca="1">SUMIFS(rec.uni[2029-08-01],
INDIRECT("rec.uni[natureza]"),"parcela.fin.total.ik",
INDIRECT("rec.uni[empresa]"),AZ$6)</f>
        <v>0</v>
      </c>
      <c r="BA106" s="228">
        <f ca="1">SUMIFS(rec.uni[2029-08-01],
INDIRECT("rec.uni[natureza]"),"taxa.extra",
INDIRECT("rec.uni[empresa]"),BA$6)</f>
        <v>0</v>
      </c>
      <c r="BB106" s="216"/>
      <c r="BC106" s="216"/>
      <c r="BD106" s="216"/>
      <c r="BE106" s="216"/>
      <c r="BF106" s="216"/>
      <c r="BG106" s="216"/>
      <c r="BH106" s="227">
        <f>COUNTIFS(
    estq[empresa], BH$6,
    estq[Data da venda / reserva], "&gt;=" &amp; $A106,
    estq[Data da venda / reserva], "&lt;"  &amp; EOMONTH($A106,0) + 1
)</f>
        <v>0</v>
      </c>
      <c r="BI106" s="228">
        <f ca="1">SUMIFS(rec.uni[2029-08-01],
INDIRECT("rec.uni[natureza]"),"pro.soluto",
INDIRECT("rec.uni[empresa]"),BI$6)</f>
        <v>0</v>
      </c>
      <c r="BJ106" s="228">
        <f ca="1">SUMIFS(rec.uni[2029-08-01],
INDIRECT("rec.uni[natureza]"),"repasse.cef.obra",
INDIRECT("rec.uni[empresa]"),BJ$6)</f>
        <v>0</v>
      </c>
      <c r="BK106" s="231">
        <f ca="1">SUMIFS(rec.uni[2029-08-01],
INDIRECT("rec.uni[natureza]"),"repasse.cef.terreno",
INDIRECT("rec.uni[empresa]"),BK$6)</f>
        <v>0</v>
      </c>
      <c r="BL106" s="232"/>
      <c r="BM106" s="228">
        <f ca="1">SUMIFS(rec.uni[2029-08-01],
INDIRECT("rec.uni[natureza]"),"taxa.extra",
INDIRECT("rec.uni[empresa]"),BM$6)</f>
        <v>0</v>
      </c>
      <c r="BN106" s="216"/>
      <c r="BO106" s="216"/>
      <c r="BP106" s="216"/>
      <c r="BQ106" s="216"/>
      <c r="BR106" s="216"/>
      <c r="BS106" s="216"/>
      <c r="BT106" s="227">
        <f>COUNTIFS(
    estq[empresa], BT$6,
    estq[Data da venda / reserva], "&gt;=" &amp; $A106,
    estq[Data da venda / reserva], "&lt;"  &amp; EOMONTH($A106,0) + 1
)</f>
        <v>0</v>
      </c>
      <c r="BU106" s="228">
        <f ca="1">SUMIFS(rec.uni[2029-08-01],
INDIRECT("rec.uni[natureza]"),"pro.soluto",
INDIRECT("rec.uni[empresa]"),BU$6)</f>
        <v>0</v>
      </c>
      <c r="BV106" s="228">
        <f ca="1">SUMIFS(rec.uni[2029-08-01],
INDIRECT("rec.uni[natureza]"),"repasse.cef.obra",
INDIRECT("rec.uni[empresa]"),BV$6)</f>
        <v>0</v>
      </c>
      <c r="BW106" s="231">
        <f ca="1">SUMIFS(rec.uni[2029-08-01],
INDIRECT("rec.uni[natureza]"),"repasse.cef.terreno",
INDIRECT("rec.uni[empresa]"),BW$6)</f>
        <v>0</v>
      </c>
      <c r="BX106" s="232"/>
      <c r="BY106" s="228">
        <f ca="1">SUMIFS(rec.uni[2029-08-01],
INDIRECT("rec.uni[natureza]"),"taxa.extra",
INDIRECT("rec.uni[empresa]"),BY$6)</f>
        <v>0</v>
      </c>
      <c r="BZ106" s="216"/>
      <c r="CA106" s="216"/>
      <c r="CB106" s="216"/>
      <c r="CC106" s="216"/>
      <c r="CD106" s="216"/>
      <c r="CE106" s="216"/>
    </row>
    <row r="107" spans="1:83" x14ac:dyDescent="0.25">
      <c r="A107" s="226">
        <v>47362</v>
      </c>
      <c r="B107" s="227">
        <f>COUNTIFS(
    estq[empresa], B$6,
    estq[Data da venda / reserva], "&gt;=" &amp; $A107,
    estq[Data da venda / reserva], "&lt;"  &amp; EOMONTH($A107,0) + 1
)</f>
        <v>0</v>
      </c>
      <c r="C107" s="228">
        <f ca="1">SUMIFS(rec.uni[2029-09-01],
INDIRECT("rec.uni[natureza]"),"pro.soluto",
INDIRECT("rec.uni[empresa]"),C$6)</f>
        <v>0</v>
      </c>
      <c r="D107" s="228">
        <f ca="1">SUMIFS(rec.uni[2029-09-01],
INDIRECT("rec.uni[natureza]"),"repasse.cef.obra",
INDIRECT("rec.uni[empresa]"),D$6)</f>
        <v>0</v>
      </c>
      <c r="E107" s="228">
        <f ca="1">SUMIFS(rec.uni[2029-09-01],
INDIRECT("rec.uni[natureza]"),"repasse.cef.terreno",
INDIRECT("rec.uni[empresa]"),E$6)</f>
        <v>0</v>
      </c>
      <c r="F107" s="232"/>
      <c r="G107" s="228">
        <f ca="1">SUMIFS(rec.uni[2029-09-01],
INDIRECT("rec.uni[natureza]"),"taxa.extra",
INDIRECT("rec.uni[empresa]"),G$6)</f>
        <v>0</v>
      </c>
      <c r="H107" s="216"/>
      <c r="I107" s="216"/>
      <c r="J107" s="216"/>
      <c r="K107" s="216"/>
      <c r="L107" s="216"/>
      <c r="M107" s="216"/>
      <c r="N107" s="227">
        <f>COUNTIFS(
    estq[empresa], N$6,
    estq[Data da venda / reserva], "&gt;=" &amp; $A107,
    estq[Data da venda / reserva], "&lt;"  &amp; EOMONTH($A107,0) + 1
)</f>
        <v>0</v>
      </c>
      <c r="O107" s="228">
        <f ca="1">SUMIFS(rec.uni[2029-09-01],
INDIRECT("rec.uni[natureza]"),"pro.soluto",
INDIRECT("rec.uni[empresa]"),O$6)</f>
        <v>0</v>
      </c>
      <c r="P107" s="228">
        <f ca="1">SUMIFS(rec.uni[2029-09-01],
INDIRECT("rec.uni[natureza]"),"repasse.cef.obra",
INDIRECT("rec.uni[empresa]"),P$6)</f>
        <v>0</v>
      </c>
      <c r="Q107" s="228">
        <f ca="1">SUMIFS(rec.uni[2029-09-01],
INDIRECT("rec.uni[natureza]"),"repasse.cef.terreno",
INDIRECT("rec.uni[empresa]"),Q$6)</f>
        <v>0</v>
      </c>
      <c r="R107" s="232"/>
      <c r="S107" s="228">
        <f ca="1">SUMIFS(rec.uni[2029-09-01],
INDIRECT("rec.uni[natureza]"),"taxa.extra",
INDIRECT("rec.uni[empresa]"),S$6)</f>
        <v>0</v>
      </c>
      <c r="T107" s="216"/>
      <c r="U107" s="216"/>
      <c r="V107" s="216"/>
      <c r="W107" s="216"/>
      <c r="X107" s="216"/>
      <c r="Y107" s="216"/>
      <c r="Z107" s="227">
        <f>COUNTIFS(
    estq[empresa], Z$6,
    estq[Data da venda / reserva], "&gt;=" &amp; $A107,
    estq[Data da venda / reserva], "&lt;"  &amp; EOMONTH($A107,0) + 1
)</f>
        <v>0</v>
      </c>
      <c r="AA107" s="228">
        <f ca="1">SUMIFS(rec.uni[2029-09-01],
INDIRECT("rec.uni[natureza]"),"pro.soluto",
INDIRECT("rec.uni[empresa]"),AA$6)</f>
        <v>0</v>
      </c>
      <c r="AB107" s="228">
        <f ca="1">SUMIFS(rec.uni[2029-09-01],
INDIRECT("rec.uni[natureza]"),"repasse.cef.obra",
INDIRECT("rec.uni[empresa]"),AB$6)</f>
        <v>0</v>
      </c>
      <c r="AC107" s="231">
        <f ca="1">SUMIFS(rec.uni[2029-09-01],
INDIRECT("rec.uni[natureza]"),"repasse.cef.terreno",
INDIRECT("rec.uni[empresa]"),AC$6)</f>
        <v>0</v>
      </c>
      <c r="AD107" s="232"/>
      <c r="AE107" s="228">
        <f ca="1">SUMIFS(rec.uni[2029-09-01],
INDIRECT("rec.uni[natureza]"),"taxa.extra",
INDIRECT("rec.uni[empresa]"),AE$6)</f>
        <v>0</v>
      </c>
      <c r="AF107" s="216"/>
      <c r="AG107" s="216"/>
      <c r="AH107" s="216"/>
      <c r="AI107" s="216"/>
      <c r="AJ107" s="216"/>
      <c r="AK107" s="216"/>
      <c r="AL107" s="227">
        <f>COUNTIFS(
    estq[empresa], AL$6,
    estq[Data da venda / reserva], "&gt;=" &amp; $A107,
    estq[Data da venda / reserva], "&lt;"  &amp; EOMONTH($A107,0) + 1
)</f>
        <v>0</v>
      </c>
      <c r="AM107" s="228">
        <f ca="1">SUMIFS(rec.uni[2029-09-01],
INDIRECT("rec.uni[natureza]"),"pro.soluto",
INDIRECT("rec.uni[empresa]"),AM$6)</f>
        <v>0</v>
      </c>
      <c r="AN107" s="228">
        <f ca="1">SUMIFS(rec.uni[2029-09-01],
INDIRECT("rec.uni[natureza]"),"repasse.cef.obra",
INDIRECT("rec.uni[empresa]"),AN$6)</f>
        <v>0</v>
      </c>
      <c r="AO107" s="231">
        <f ca="1">SUMIFS(rec.uni[2029-09-01],
INDIRECT("rec.uni[natureza]"),"repasse.cef.terreno",
INDIRECT("rec.uni[empresa]"),AO$6)</f>
        <v>0</v>
      </c>
      <c r="AP107" s="232"/>
      <c r="AQ107" s="228">
        <f ca="1">SUMIFS(rec.uni[2029-09-01],
INDIRECT("rec.uni[natureza]"),"taxa.extra",
INDIRECT("rec.uni[empresa]"),AQ$6)</f>
        <v>0</v>
      </c>
      <c r="AR107" s="216"/>
      <c r="AS107" s="216"/>
      <c r="AT107" s="216"/>
      <c r="AU107" s="216"/>
      <c r="AV107" s="216"/>
      <c r="AW107" s="216"/>
      <c r="AX107" s="227">
        <f>COUNTIFS(
    estq[empresa], AX$6,
    estq[Data da venda / reserva], "&gt;=" &amp; $A107,
    estq[Data da venda / reserva], "&lt;"  &amp; EOMONTH($A107,0) + 1
)</f>
        <v>0</v>
      </c>
      <c r="AY107" s="228">
        <f ca="1">SUMIFS(rec.uni[2029-09-01],
INDIRECT("rec.uni[natureza]"),"pro.soluto",
INDIRECT("rec.uni[empresa]"),AY$6)</f>
        <v>0</v>
      </c>
      <c r="AZ107" s="232">
        <f ca="1">SUMIFS(rec.uni[2029-09-01],
INDIRECT("rec.uni[natureza]"),"parcela.fin.total.ik",
INDIRECT("rec.uni[empresa]"),AZ$6)</f>
        <v>0</v>
      </c>
      <c r="BA107" s="228">
        <f ca="1">SUMIFS(rec.uni[2029-09-01],
INDIRECT("rec.uni[natureza]"),"taxa.extra",
INDIRECT("rec.uni[empresa]"),BA$6)</f>
        <v>0</v>
      </c>
      <c r="BB107" s="216"/>
      <c r="BC107" s="216"/>
      <c r="BD107" s="216"/>
      <c r="BE107" s="216"/>
      <c r="BF107" s="216"/>
      <c r="BG107" s="216"/>
      <c r="BH107" s="227">
        <f>COUNTIFS(
    estq[empresa], BH$6,
    estq[Data da venda / reserva], "&gt;=" &amp; $A107,
    estq[Data da venda / reserva], "&lt;"  &amp; EOMONTH($A107,0) + 1
)</f>
        <v>0</v>
      </c>
      <c r="BI107" s="228">
        <f ca="1">SUMIFS(rec.uni[2029-09-01],
INDIRECT("rec.uni[natureza]"),"pro.soluto",
INDIRECT("rec.uni[empresa]"),BI$6)</f>
        <v>0</v>
      </c>
      <c r="BJ107" s="228">
        <f ca="1">SUMIFS(rec.uni[2029-09-01],
INDIRECT("rec.uni[natureza]"),"repasse.cef.obra",
INDIRECT("rec.uni[empresa]"),BJ$6)</f>
        <v>0</v>
      </c>
      <c r="BK107" s="231">
        <f ca="1">SUMIFS(rec.uni[2029-09-01],
INDIRECT("rec.uni[natureza]"),"repasse.cef.terreno",
INDIRECT("rec.uni[empresa]"),BK$6)</f>
        <v>0</v>
      </c>
      <c r="BL107" s="232"/>
      <c r="BM107" s="228">
        <f ca="1">SUMIFS(rec.uni[2029-09-01],
INDIRECT("rec.uni[natureza]"),"taxa.extra",
INDIRECT("rec.uni[empresa]"),BM$6)</f>
        <v>0</v>
      </c>
      <c r="BN107" s="216"/>
      <c r="BO107" s="216"/>
      <c r="BP107" s="216"/>
      <c r="BQ107" s="216"/>
      <c r="BR107" s="216"/>
      <c r="BS107" s="216"/>
      <c r="BT107" s="227">
        <f>COUNTIFS(
    estq[empresa], BT$6,
    estq[Data da venda / reserva], "&gt;=" &amp; $A107,
    estq[Data da venda / reserva], "&lt;"  &amp; EOMONTH($A107,0) + 1
)</f>
        <v>0</v>
      </c>
      <c r="BU107" s="228">
        <f ca="1">SUMIFS(rec.uni[2029-09-01],
INDIRECT("rec.uni[natureza]"),"pro.soluto",
INDIRECT("rec.uni[empresa]"),BU$6)</f>
        <v>0</v>
      </c>
      <c r="BV107" s="228">
        <f ca="1">SUMIFS(rec.uni[2029-09-01],
INDIRECT("rec.uni[natureza]"),"repasse.cef.obra",
INDIRECT("rec.uni[empresa]"),BV$6)</f>
        <v>0</v>
      </c>
      <c r="BW107" s="231">
        <f ca="1">SUMIFS(rec.uni[2029-09-01],
INDIRECT("rec.uni[natureza]"),"repasse.cef.terreno",
INDIRECT("rec.uni[empresa]"),BW$6)</f>
        <v>0</v>
      </c>
      <c r="BX107" s="232"/>
      <c r="BY107" s="228">
        <f ca="1">SUMIFS(rec.uni[2029-09-01],
INDIRECT("rec.uni[natureza]"),"taxa.extra",
INDIRECT("rec.uni[empresa]"),BY$6)</f>
        <v>0</v>
      </c>
      <c r="BZ107" s="216"/>
      <c r="CA107" s="216"/>
      <c r="CB107" s="216"/>
      <c r="CC107" s="216"/>
      <c r="CD107" s="216"/>
      <c r="CE107" s="216"/>
    </row>
    <row r="108" spans="1:83" x14ac:dyDescent="0.25">
      <c r="A108" s="226">
        <v>47392</v>
      </c>
      <c r="B108" s="227">
        <f>COUNTIFS(
    estq[empresa], B$6,
    estq[Data da venda / reserva], "&gt;=" &amp; $A108,
    estq[Data da venda / reserva], "&lt;"  &amp; EOMONTH($A108,0) + 1
)</f>
        <v>0</v>
      </c>
      <c r="C108" s="228">
        <f ca="1">SUMIFS(rec.uni[2029-10-01],
INDIRECT("rec.uni[natureza]"),"pro.soluto",
INDIRECT("rec.uni[empresa]"),C$6)</f>
        <v>0</v>
      </c>
      <c r="D108" s="228">
        <f ca="1">SUMIFS(rec.uni[2029-10-01],
INDIRECT("rec.uni[natureza]"),"repasse.cef.obra",
INDIRECT("rec.uni[empresa]"),D$6)</f>
        <v>0</v>
      </c>
      <c r="E108" s="228">
        <f ca="1">SUMIFS(rec.uni[2029-10-01],
INDIRECT("rec.uni[natureza]"),"repasse.cef.terreno",
INDIRECT("rec.uni[empresa]"),E$6)</f>
        <v>0</v>
      </c>
      <c r="F108" s="232"/>
      <c r="G108" s="228">
        <f ca="1">SUMIFS(rec.uni[2029-10-01],
INDIRECT("rec.uni[natureza]"),"taxa.extra",
INDIRECT("rec.uni[empresa]"),G$6)</f>
        <v>0</v>
      </c>
      <c r="H108" s="216"/>
      <c r="I108" s="216"/>
      <c r="J108" s="216"/>
      <c r="K108" s="216"/>
      <c r="L108" s="216"/>
      <c r="M108" s="216"/>
      <c r="N108" s="227">
        <f>COUNTIFS(
    estq[empresa], N$6,
    estq[Data da venda / reserva], "&gt;=" &amp; $A108,
    estq[Data da venda / reserva], "&lt;"  &amp; EOMONTH($A108,0) + 1
)</f>
        <v>0</v>
      </c>
      <c r="O108" s="228">
        <f ca="1">SUMIFS(rec.uni[2029-10-01],
INDIRECT("rec.uni[natureza]"),"pro.soluto",
INDIRECT("rec.uni[empresa]"),O$6)</f>
        <v>0</v>
      </c>
      <c r="P108" s="228">
        <f ca="1">SUMIFS(rec.uni[2029-10-01],
INDIRECT("rec.uni[natureza]"),"repasse.cef.obra",
INDIRECT("rec.uni[empresa]"),P$6)</f>
        <v>0</v>
      </c>
      <c r="Q108" s="228">
        <f ca="1">SUMIFS(rec.uni[2029-10-01],
INDIRECT("rec.uni[natureza]"),"repasse.cef.terreno",
INDIRECT("rec.uni[empresa]"),Q$6)</f>
        <v>0</v>
      </c>
      <c r="R108" s="232"/>
      <c r="S108" s="228">
        <f ca="1">SUMIFS(rec.uni[2029-10-01],
INDIRECT("rec.uni[natureza]"),"taxa.extra",
INDIRECT("rec.uni[empresa]"),S$6)</f>
        <v>0</v>
      </c>
      <c r="T108" s="216"/>
      <c r="U108" s="216"/>
      <c r="V108" s="216"/>
      <c r="W108" s="216"/>
      <c r="X108" s="216"/>
      <c r="Y108" s="216"/>
      <c r="Z108" s="227">
        <f>COUNTIFS(
    estq[empresa], Z$6,
    estq[Data da venda / reserva], "&gt;=" &amp; $A108,
    estq[Data da venda / reserva], "&lt;"  &amp; EOMONTH($A108,0) + 1
)</f>
        <v>0</v>
      </c>
      <c r="AA108" s="228">
        <f ca="1">SUMIFS(rec.uni[2029-10-01],
INDIRECT("rec.uni[natureza]"),"pro.soluto",
INDIRECT("rec.uni[empresa]"),AA$6)</f>
        <v>0</v>
      </c>
      <c r="AB108" s="228">
        <f ca="1">SUMIFS(rec.uni[2029-10-01],
INDIRECT("rec.uni[natureza]"),"repasse.cef.obra",
INDIRECT("rec.uni[empresa]"),AB$6)</f>
        <v>0</v>
      </c>
      <c r="AC108" s="231">
        <f ca="1">SUMIFS(rec.uni[2029-10-01],
INDIRECT("rec.uni[natureza]"),"repasse.cef.terreno",
INDIRECT("rec.uni[empresa]"),AC$6)</f>
        <v>0</v>
      </c>
      <c r="AD108" s="232"/>
      <c r="AE108" s="228">
        <f ca="1">SUMIFS(rec.uni[2029-10-01],
INDIRECT("rec.uni[natureza]"),"taxa.extra",
INDIRECT("rec.uni[empresa]"),AE$6)</f>
        <v>0</v>
      </c>
      <c r="AF108" s="216"/>
      <c r="AG108" s="216"/>
      <c r="AH108" s="216"/>
      <c r="AI108" s="216"/>
      <c r="AJ108" s="216"/>
      <c r="AK108" s="216"/>
      <c r="AL108" s="227">
        <f>COUNTIFS(
    estq[empresa], AL$6,
    estq[Data da venda / reserva], "&gt;=" &amp; $A108,
    estq[Data da venda / reserva], "&lt;"  &amp; EOMONTH($A108,0) + 1
)</f>
        <v>0</v>
      </c>
      <c r="AM108" s="228">
        <f ca="1">SUMIFS(rec.uni[2029-10-01],
INDIRECT("rec.uni[natureza]"),"pro.soluto",
INDIRECT("rec.uni[empresa]"),AM$6)</f>
        <v>0</v>
      </c>
      <c r="AN108" s="228">
        <f ca="1">SUMIFS(rec.uni[2029-10-01],
INDIRECT("rec.uni[natureza]"),"repasse.cef.obra",
INDIRECT("rec.uni[empresa]"),AN$6)</f>
        <v>0</v>
      </c>
      <c r="AO108" s="231">
        <f ca="1">SUMIFS(rec.uni[2029-10-01],
INDIRECT("rec.uni[natureza]"),"repasse.cef.terreno",
INDIRECT("rec.uni[empresa]"),AO$6)</f>
        <v>0</v>
      </c>
      <c r="AP108" s="232"/>
      <c r="AQ108" s="228">
        <f ca="1">SUMIFS(rec.uni[2029-10-01],
INDIRECT("rec.uni[natureza]"),"taxa.extra",
INDIRECT("rec.uni[empresa]"),AQ$6)</f>
        <v>0</v>
      </c>
      <c r="AR108" s="216"/>
      <c r="AS108" s="216"/>
      <c r="AT108" s="216"/>
      <c r="AU108" s="216"/>
      <c r="AV108" s="216"/>
      <c r="AW108" s="216"/>
      <c r="AX108" s="227">
        <f>COUNTIFS(
    estq[empresa], AX$6,
    estq[Data da venda / reserva], "&gt;=" &amp; $A108,
    estq[Data da venda / reserva], "&lt;"  &amp; EOMONTH($A108,0) + 1
)</f>
        <v>0</v>
      </c>
      <c r="AY108" s="228">
        <f ca="1">SUMIFS(rec.uni[2029-10-01],
INDIRECT("rec.uni[natureza]"),"pro.soluto",
INDIRECT("rec.uni[empresa]"),AY$6)</f>
        <v>0</v>
      </c>
      <c r="AZ108" s="232">
        <f ca="1">SUMIFS(rec.uni[2029-10-01],
INDIRECT("rec.uni[natureza]"),"parcela.fin.total.ik",
INDIRECT("rec.uni[empresa]"),AZ$6)</f>
        <v>0</v>
      </c>
      <c r="BA108" s="228">
        <f ca="1">SUMIFS(rec.uni[2029-10-01],
INDIRECT("rec.uni[natureza]"),"taxa.extra",
INDIRECT("rec.uni[empresa]"),BA$6)</f>
        <v>0</v>
      </c>
      <c r="BB108" s="216"/>
      <c r="BC108" s="216"/>
      <c r="BD108" s="216"/>
      <c r="BE108" s="216"/>
      <c r="BF108" s="216"/>
      <c r="BG108" s="216"/>
      <c r="BH108" s="227">
        <f>COUNTIFS(
    estq[empresa], BH$6,
    estq[Data da venda / reserva], "&gt;=" &amp; $A108,
    estq[Data da venda / reserva], "&lt;"  &amp; EOMONTH($A108,0) + 1
)</f>
        <v>0</v>
      </c>
      <c r="BI108" s="228">
        <f ca="1">SUMIFS(rec.uni[2029-10-01],
INDIRECT("rec.uni[natureza]"),"pro.soluto",
INDIRECT("rec.uni[empresa]"),BI$6)</f>
        <v>0</v>
      </c>
      <c r="BJ108" s="228">
        <f ca="1">SUMIFS(rec.uni[2029-10-01],
INDIRECT("rec.uni[natureza]"),"repasse.cef.obra",
INDIRECT("rec.uni[empresa]"),BJ$6)</f>
        <v>0</v>
      </c>
      <c r="BK108" s="231">
        <f ca="1">SUMIFS(rec.uni[2029-10-01],
INDIRECT("rec.uni[natureza]"),"repasse.cef.terreno",
INDIRECT("rec.uni[empresa]"),BK$6)</f>
        <v>0</v>
      </c>
      <c r="BL108" s="232"/>
      <c r="BM108" s="228">
        <f ca="1">SUMIFS(rec.uni[2029-10-01],
INDIRECT("rec.uni[natureza]"),"taxa.extra",
INDIRECT("rec.uni[empresa]"),BM$6)</f>
        <v>0</v>
      </c>
      <c r="BN108" s="216"/>
      <c r="BO108" s="216"/>
      <c r="BP108" s="216"/>
      <c r="BQ108" s="216"/>
      <c r="BR108" s="216"/>
      <c r="BS108" s="216"/>
      <c r="BT108" s="227">
        <f>COUNTIFS(
    estq[empresa], BT$6,
    estq[Data da venda / reserva], "&gt;=" &amp; $A108,
    estq[Data da venda / reserva], "&lt;"  &amp; EOMONTH($A108,0) + 1
)</f>
        <v>0</v>
      </c>
      <c r="BU108" s="228">
        <f ca="1">SUMIFS(rec.uni[2029-10-01],
INDIRECT("rec.uni[natureza]"),"pro.soluto",
INDIRECT("rec.uni[empresa]"),BU$6)</f>
        <v>0</v>
      </c>
      <c r="BV108" s="228">
        <f ca="1">SUMIFS(rec.uni[2029-10-01],
INDIRECT("rec.uni[natureza]"),"repasse.cef.obra",
INDIRECT("rec.uni[empresa]"),BV$6)</f>
        <v>0</v>
      </c>
      <c r="BW108" s="231">
        <f ca="1">SUMIFS(rec.uni[2029-10-01],
INDIRECT("rec.uni[natureza]"),"repasse.cef.terreno",
INDIRECT("rec.uni[empresa]"),BW$6)</f>
        <v>0</v>
      </c>
      <c r="BX108" s="232"/>
      <c r="BY108" s="228">
        <f ca="1">SUMIFS(rec.uni[2029-10-01],
INDIRECT("rec.uni[natureza]"),"taxa.extra",
INDIRECT("rec.uni[empresa]"),BY$6)</f>
        <v>0</v>
      </c>
      <c r="BZ108" s="216"/>
      <c r="CA108" s="216"/>
      <c r="CB108" s="216"/>
      <c r="CC108" s="216"/>
      <c r="CD108" s="216"/>
      <c r="CE108" s="216"/>
    </row>
    <row r="109" spans="1:83" x14ac:dyDescent="0.25">
      <c r="A109" s="226">
        <v>47423</v>
      </c>
      <c r="B109" s="227">
        <f>COUNTIFS(
    estq[empresa], B$6,
    estq[Data da venda / reserva], "&gt;=" &amp; $A109,
    estq[Data da venda / reserva], "&lt;"  &amp; EOMONTH($A109,0) + 1
)</f>
        <v>0</v>
      </c>
      <c r="C109" s="228">
        <f ca="1">SUMIFS(rec.uni[2029-11-01],
INDIRECT("rec.uni[natureza]"),"pro.soluto",
INDIRECT("rec.uni[empresa]"),C$6)</f>
        <v>0</v>
      </c>
      <c r="D109" s="228">
        <f ca="1">SUMIFS(rec.uni[2029-11-01],
INDIRECT("rec.uni[natureza]"),"repasse.cef.obra",
INDIRECT("rec.uni[empresa]"),D$6)</f>
        <v>0</v>
      </c>
      <c r="E109" s="228">
        <f ca="1">SUMIFS(rec.uni[2029-11-01],
INDIRECT("rec.uni[natureza]"),"repasse.cef.terreno",
INDIRECT("rec.uni[empresa]"),E$6)</f>
        <v>0</v>
      </c>
      <c r="F109" s="232"/>
      <c r="G109" s="228">
        <f ca="1">SUMIFS(rec.uni[2029-11-01],
INDIRECT("rec.uni[natureza]"),"taxa.extra",
INDIRECT("rec.uni[empresa]"),G$6)</f>
        <v>0</v>
      </c>
      <c r="H109" s="216"/>
      <c r="I109" s="216"/>
      <c r="J109" s="216"/>
      <c r="K109" s="216"/>
      <c r="L109" s="216"/>
      <c r="M109" s="216"/>
      <c r="N109" s="227">
        <f>COUNTIFS(
    estq[empresa], N$6,
    estq[Data da venda / reserva], "&gt;=" &amp; $A109,
    estq[Data da venda / reserva], "&lt;"  &amp; EOMONTH($A109,0) + 1
)</f>
        <v>0</v>
      </c>
      <c r="O109" s="228">
        <f ca="1">SUMIFS(rec.uni[2029-11-01],
INDIRECT("rec.uni[natureza]"),"pro.soluto",
INDIRECT("rec.uni[empresa]"),O$6)</f>
        <v>0</v>
      </c>
      <c r="P109" s="228">
        <f ca="1">SUMIFS(rec.uni[2029-11-01],
INDIRECT("rec.uni[natureza]"),"repasse.cef.obra",
INDIRECT("rec.uni[empresa]"),P$6)</f>
        <v>0</v>
      </c>
      <c r="Q109" s="228">
        <f ca="1">SUMIFS(rec.uni[2029-11-01],
INDIRECT("rec.uni[natureza]"),"repasse.cef.terreno",
INDIRECT("rec.uni[empresa]"),Q$6)</f>
        <v>0</v>
      </c>
      <c r="R109" s="232"/>
      <c r="S109" s="228">
        <f ca="1">SUMIFS(rec.uni[2029-11-01],
INDIRECT("rec.uni[natureza]"),"taxa.extra",
INDIRECT("rec.uni[empresa]"),S$6)</f>
        <v>0</v>
      </c>
      <c r="T109" s="216"/>
      <c r="U109" s="216"/>
      <c r="V109" s="216"/>
      <c r="W109" s="216"/>
      <c r="X109" s="216"/>
      <c r="Y109" s="216"/>
      <c r="Z109" s="227">
        <f>COUNTIFS(
    estq[empresa], Z$6,
    estq[Data da venda / reserva], "&gt;=" &amp; $A109,
    estq[Data da venda / reserva], "&lt;"  &amp; EOMONTH($A109,0) + 1
)</f>
        <v>0</v>
      </c>
      <c r="AA109" s="228">
        <f ca="1">SUMIFS(rec.uni[2029-11-01],
INDIRECT("rec.uni[natureza]"),"pro.soluto",
INDIRECT("rec.uni[empresa]"),AA$6)</f>
        <v>0</v>
      </c>
      <c r="AB109" s="228">
        <f ca="1">SUMIFS(rec.uni[2029-11-01],
INDIRECT("rec.uni[natureza]"),"repasse.cef.obra",
INDIRECT("rec.uni[empresa]"),AB$6)</f>
        <v>0</v>
      </c>
      <c r="AC109" s="231">
        <f ca="1">SUMIFS(rec.uni[2029-11-01],
INDIRECT("rec.uni[natureza]"),"repasse.cef.terreno",
INDIRECT("rec.uni[empresa]"),AC$6)</f>
        <v>0</v>
      </c>
      <c r="AD109" s="232"/>
      <c r="AE109" s="228">
        <f ca="1">SUMIFS(rec.uni[2029-11-01],
INDIRECT("rec.uni[natureza]"),"taxa.extra",
INDIRECT("rec.uni[empresa]"),AE$6)</f>
        <v>0</v>
      </c>
      <c r="AF109" s="216"/>
      <c r="AG109" s="216"/>
      <c r="AH109" s="216"/>
      <c r="AI109" s="216"/>
      <c r="AJ109" s="216"/>
      <c r="AK109" s="216"/>
      <c r="AL109" s="227">
        <f>COUNTIFS(
    estq[empresa], AL$6,
    estq[Data da venda / reserva], "&gt;=" &amp; $A109,
    estq[Data da venda / reserva], "&lt;"  &amp; EOMONTH($A109,0) + 1
)</f>
        <v>0</v>
      </c>
      <c r="AM109" s="228">
        <f ca="1">SUMIFS(rec.uni[2029-11-01],
INDIRECT("rec.uni[natureza]"),"pro.soluto",
INDIRECT("rec.uni[empresa]"),AM$6)</f>
        <v>0</v>
      </c>
      <c r="AN109" s="228">
        <f ca="1">SUMIFS(rec.uni[2029-11-01],
INDIRECT("rec.uni[natureza]"),"repasse.cef.obra",
INDIRECT("rec.uni[empresa]"),AN$6)</f>
        <v>0</v>
      </c>
      <c r="AO109" s="231">
        <f ca="1">SUMIFS(rec.uni[2029-11-01],
INDIRECT("rec.uni[natureza]"),"repasse.cef.terreno",
INDIRECT("rec.uni[empresa]"),AO$6)</f>
        <v>0</v>
      </c>
      <c r="AP109" s="232"/>
      <c r="AQ109" s="228">
        <f ca="1">SUMIFS(rec.uni[2029-11-01],
INDIRECT("rec.uni[natureza]"),"taxa.extra",
INDIRECT("rec.uni[empresa]"),AQ$6)</f>
        <v>0</v>
      </c>
      <c r="AR109" s="216"/>
      <c r="AS109" s="216"/>
      <c r="AT109" s="216"/>
      <c r="AU109" s="216"/>
      <c r="AV109" s="216"/>
      <c r="AW109" s="216"/>
      <c r="AX109" s="227">
        <f>COUNTIFS(
    estq[empresa], AX$6,
    estq[Data da venda / reserva], "&gt;=" &amp; $A109,
    estq[Data da venda / reserva], "&lt;"  &amp; EOMONTH($A109,0) + 1
)</f>
        <v>0</v>
      </c>
      <c r="AY109" s="228">
        <f ca="1">SUMIFS(rec.uni[2029-11-01],
INDIRECT("rec.uni[natureza]"),"pro.soluto",
INDIRECT("rec.uni[empresa]"),AY$6)</f>
        <v>0</v>
      </c>
      <c r="AZ109" s="232">
        <f ca="1">SUMIFS(rec.uni[2029-11-01],
INDIRECT("rec.uni[natureza]"),"parcela.fin.total.ik",
INDIRECT("rec.uni[empresa]"),AZ$6)</f>
        <v>0</v>
      </c>
      <c r="BA109" s="228">
        <f ca="1">SUMIFS(rec.uni[2029-11-01],
INDIRECT("rec.uni[natureza]"),"taxa.extra",
INDIRECT("rec.uni[empresa]"),BA$6)</f>
        <v>0</v>
      </c>
      <c r="BB109" s="216"/>
      <c r="BC109" s="216"/>
      <c r="BD109" s="216"/>
      <c r="BE109" s="216"/>
      <c r="BF109" s="216"/>
      <c r="BG109" s="216"/>
      <c r="BH109" s="227">
        <f>COUNTIFS(
    estq[empresa], BH$6,
    estq[Data da venda / reserva], "&gt;=" &amp; $A109,
    estq[Data da venda / reserva], "&lt;"  &amp; EOMONTH($A109,0) + 1
)</f>
        <v>0</v>
      </c>
      <c r="BI109" s="228">
        <f ca="1">SUMIFS(rec.uni[2029-11-01],
INDIRECT("rec.uni[natureza]"),"pro.soluto",
INDIRECT("rec.uni[empresa]"),BI$6)</f>
        <v>0</v>
      </c>
      <c r="BJ109" s="228">
        <f ca="1">SUMIFS(rec.uni[2029-11-01],
INDIRECT("rec.uni[natureza]"),"repasse.cef.obra",
INDIRECT("rec.uni[empresa]"),BJ$6)</f>
        <v>0</v>
      </c>
      <c r="BK109" s="231">
        <f ca="1">SUMIFS(rec.uni[2029-11-01],
INDIRECT("rec.uni[natureza]"),"repasse.cef.terreno",
INDIRECT("rec.uni[empresa]"),BK$6)</f>
        <v>0</v>
      </c>
      <c r="BL109" s="232"/>
      <c r="BM109" s="228">
        <f ca="1">SUMIFS(rec.uni[2029-11-01],
INDIRECT("rec.uni[natureza]"),"taxa.extra",
INDIRECT("rec.uni[empresa]"),BM$6)</f>
        <v>0</v>
      </c>
      <c r="BN109" s="216"/>
      <c r="BO109" s="216"/>
      <c r="BP109" s="216"/>
      <c r="BQ109" s="216"/>
      <c r="BR109" s="216"/>
      <c r="BS109" s="216"/>
      <c r="BT109" s="227">
        <f>COUNTIFS(
    estq[empresa], BT$6,
    estq[Data da venda / reserva], "&gt;=" &amp; $A109,
    estq[Data da venda / reserva], "&lt;"  &amp; EOMONTH($A109,0) + 1
)</f>
        <v>0</v>
      </c>
      <c r="BU109" s="228">
        <f ca="1">SUMIFS(rec.uni[2029-11-01],
INDIRECT("rec.uni[natureza]"),"pro.soluto",
INDIRECT("rec.uni[empresa]"),BU$6)</f>
        <v>0</v>
      </c>
      <c r="BV109" s="228">
        <f ca="1">SUMIFS(rec.uni[2029-11-01],
INDIRECT("rec.uni[natureza]"),"repasse.cef.obra",
INDIRECT("rec.uni[empresa]"),BV$6)</f>
        <v>0</v>
      </c>
      <c r="BW109" s="231">
        <f ca="1">SUMIFS(rec.uni[2029-11-01],
INDIRECT("rec.uni[natureza]"),"repasse.cef.terreno",
INDIRECT("rec.uni[empresa]"),BW$6)</f>
        <v>0</v>
      </c>
      <c r="BX109" s="232"/>
      <c r="BY109" s="228">
        <f ca="1">SUMIFS(rec.uni[2029-11-01],
INDIRECT("rec.uni[natureza]"),"taxa.extra",
INDIRECT("rec.uni[empresa]"),BY$6)</f>
        <v>0</v>
      </c>
      <c r="BZ109" s="216"/>
      <c r="CA109" s="216"/>
      <c r="CB109" s="216"/>
      <c r="CC109" s="216"/>
      <c r="CD109" s="216"/>
      <c r="CE109" s="216"/>
    </row>
    <row r="110" spans="1:83" x14ac:dyDescent="0.25">
      <c r="A110" s="226">
        <v>47453</v>
      </c>
      <c r="B110" s="227">
        <f>COUNTIFS(
    estq[empresa], B$6,
    estq[Data da venda / reserva], "&gt;=" &amp; $A110,
    estq[Data da venda / reserva], "&lt;"  &amp; EOMONTH($A110,0) + 1
)</f>
        <v>0</v>
      </c>
      <c r="C110" s="228">
        <f ca="1">SUMIFS(rec.uni[2029-12-01],
INDIRECT("rec.uni[natureza]"),"pro.soluto",
INDIRECT("rec.uni[empresa]"),C$6)</f>
        <v>0</v>
      </c>
      <c r="D110" s="228">
        <f ca="1">SUMIFS(rec.uni[2029-12-01],
INDIRECT("rec.uni[natureza]"),"repasse.cef.obra",
INDIRECT("rec.uni[empresa]"),D$6)</f>
        <v>0</v>
      </c>
      <c r="E110" s="228">
        <f ca="1">SUMIFS(rec.uni[2029-12-01],
INDIRECT("rec.uni[natureza]"),"repasse.cef.terreno",
INDIRECT("rec.uni[empresa]"),E$6)</f>
        <v>0</v>
      </c>
      <c r="F110" s="232"/>
      <c r="G110" s="228">
        <f ca="1">SUMIFS(rec.uni[2029-12-01],
INDIRECT("rec.uni[natureza]"),"taxa.extra",
INDIRECT("rec.uni[empresa]"),G$6)</f>
        <v>0</v>
      </c>
      <c r="H110" s="216"/>
      <c r="I110" s="216"/>
      <c r="J110" s="216"/>
      <c r="K110" s="216"/>
      <c r="L110" s="216"/>
      <c r="M110" s="216"/>
      <c r="N110" s="227">
        <f>COUNTIFS(
    estq[empresa], N$6,
    estq[Data da venda / reserva], "&gt;=" &amp; $A110,
    estq[Data da venda / reserva], "&lt;"  &amp; EOMONTH($A110,0) + 1
)</f>
        <v>0</v>
      </c>
      <c r="O110" s="228">
        <f ca="1">SUMIFS(rec.uni[2029-12-01],
INDIRECT("rec.uni[natureza]"),"pro.soluto",
INDIRECT("rec.uni[empresa]"),O$6)</f>
        <v>0</v>
      </c>
      <c r="P110" s="228">
        <f ca="1">SUMIFS(rec.uni[2029-12-01],
INDIRECT("rec.uni[natureza]"),"repasse.cef.obra",
INDIRECT("rec.uni[empresa]"),P$6)</f>
        <v>0</v>
      </c>
      <c r="Q110" s="228">
        <f ca="1">SUMIFS(rec.uni[2029-12-01],
INDIRECT("rec.uni[natureza]"),"repasse.cef.terreno",
INDIRECT("rec.uni[empresa]"),Q$6)</f>
        <v>0</v>
      </c>
      <c r="R110" s="232"/>
      <c r="S110" s="228">
        <f ca="1">SUMIFS(rec.uni[2029-12-01],
INDIRECT("rec.uni[natureza]"),"taxa.extra",
INDIRECT("rec.uni[empresa]"),S$6)</f>
        <v>0</v>
      </c>
      <c r="T110" s="216"/>
      <c r="U110" s="216"/>
      <c r="V110" s="216"/>
      <c r="W110" s="216"/>
      <c r="X110" s="216"/>
      <c r="Y110" s="216"/>
      <c r="Z110" s="227">
        <f>COUNTIFS(
    estq[empresa], Z$6,
    estq[Data da venda / reserva], "&gt;=" &amp; $A110,
    estq[Data da venda / reserva], "&lt;"  &amp; EOMONTH($A110,0) + 1
)</f>
        <v>0</v>
      </c>
      <c r="AA110" s="228">
        <f ca="1">SUMIFS(rec.uni[2029-12-01],
INDIRECT("rec.uni[natureza]"),"pro.soluto",
INDIRECT("rec.uni[empresa]"),AA$6)</f>
        <v>0</v>
      </c>
      <c r="AB110" s="228">
        <f ca="1">SUMIFS(rec.uni[2029-12-01],
INDIRECT("rec.uni[natureza]"),"repasse.cef.obra",
INDIRECT("rec.uni[empresa]"),AB$6)</f>
        <v>0</v>
      </c>
      <c r="AC110" s="231">
        <f ca="1">SUMIFS(rec.uni[2029-12-01],
INDIRECT("rec.uni[natureza]"),"repasse.cef.terreno",
INDIRECT("rec.uni[empresa]"),AC$6)</f>
        <v>0</v>
      </c>
      <c r="AD110" s="232"/>
      <c r="AE110" s="228">
        <f ca="1">SUMIFS(rec.uni[2029-12-01],
INDIRECT("rec.uni[natureza]"),"taxa.extra",
INDIRECT("rec.uni[empresa]"),AE$6)</f>
        <v>0</v>
      </c>
      <c r="AF110" s="216"/>
      <c r="AG110" s="216"/>
      <c r="AH110" s="216"/>
      <c r="AI110" s="216"/>
      <c r="AJ110" s="216"/>
      <c r="AK110" s="216"/>
      <c r="AL110" s="227">
        <f>COUNTIFS(
    estq[empresa], AL$6,
    estq[Data da venda / reserva], "&gt;=" &amp; $A110,
    estq[Data da venda / reserva], "&lt;"  &amp; EOMONTH($A110,0) + 1
)</f>
        <v>0</v>
      </c>
      <c r="AM110" s="228">
        <f ca="1">SUMIFS(rec.uni[2029-12-01],
INDIRECT("rec.uni[natureza]"),"pro.soluto",
INDIRECT("rec.uni[empresa]"),AM$6)</f>
        <v>0</v>
      </c>
      <c r="AN110" s="228">
        <f ca="1">SUMIFS(rec.uni[2029-12-01],
INDIRECT("rec.uni[natureza]"),"repasse.cef.obra",
INDIRECT("rec.uni[empresa]"),AN$6)</f>
        <v>0</v>
      </c>
      <c r="AO110" s="231">
        <f ca="1">SUMIFS(rec.uni[2029-12-01],
INDIRECT("rec.uni[natureza]"),"repasse.cef.terreno",
INDIRECT("rec.uni[empresa]"),AO$6)</f>
        <v>0</v>
      </c>
      <c r="AP110" s="232"/>
      <c r="AQ110" s="228">
        <f ca="1">SUMIFS(rec.uni[2029-12-01],
INDIRECT("rec.uni[natureza]"),"taxa.extra",
INDIRECT("rec.uni[empresa]"),AQ$6)</f>
        <v>0</v>
      </c>
      <c r="AR110" s="216"/>
      <c r="AS110" s="216"/>
      <c r="AT110" s="216"/>
      <c r="AU110" s="216"/>
      <c r="AV110" s="216"/>
      <c r="AW110" s="216"/>
      <c r="AX110" s="227">
        <f>COUNTIFS(
    estq[empresa], AX$6,
    estq[Data da venda / reserva], "&gt;=" &amp; $A110,
    estq[Data da venda / reserva], "&lt;"  &amp; EOMONTH($A110,0) + 1
)</f>
        <v>0</v>
      </c>
      <c r="AY110" s="228">
        <f ca="1">SUMIFS(rec.uni[2029-12-01],
INDIRECT("rec.uni[natureza]"),"pro.soluto",
INDIRECT("rec.uni[empresa]"),AY$6)</f>
        <v>0</v>
      </c>
      <c r="AZ110" s="232">
        <f ca="1">SUMIFS(rec.uni[2029-12-01],
INDIRECT("rec.uni[natureza]"),"parcela.fin.total.ik",
INDIRECT("rec.uni[empresa]"),AZ$6)</f>
        <v>0</v>
      </c>
      <c r="BA110" s="228">
        <f ca="1">SUMIFS(rec.uni[2029-12-01],
INDIRECT("rec.uni[natureza]"),"taxa.extra",
INDIRECT("rec.uni[empresa]"),BA$6)</f>
        <v>0</v>
      </c>
      <c r="BB110" s="216"/>
      <c r="BC110" s="216"/>
      <c r="BD110" s="216"/>
      <c r="BE110" s="216"/>
      <c r="BF110" s="216"/>
      <c r="BG110" s="216"/>
      <c r="BH110" s="227">
        <f>COUNTIFS(
    estq[empresa], BH$6,
    estq[Data da venda / reserva], "&gt;=" &amp; $A110,
    estq[Data da venda / reserva], "&lt;"  &amp; EOMONTH($A110,0) + 1
)</f>
        <v>0</v>
      </c>
      <c r="BI110" s="228">
        <f ca="1">SUMIFS(rec.uni[2029-12-01],
INDIRECT("rec.uni[natureza]"),"pro.soluto",
INDIRECT("rec.uni[empresa]"),BI$6)</f>
        <v>0</v>
      </c>
      <c r="BJ110" s="228">
        <f ca="1">SUMIFS(rec.uni[2029-12-01],
INDIRECT("rec.uni[natureza]"),"repasse.cef.obra",
INDIRECT("rec.uni[empresa]"),BJ$6)</f>
        <v>0</v>
      </c>
      <c r="BK110" s="231">
        <f ca="1">SUMIFS(rec.uni[2029-12-01],
INDIRECT("rec.uni[natureza]"),"repasse.cef.terreno",
INDIRECT("rec.uni[empresa]"),BK$6)</f>
        <v>0</v>
      </c>
      <c r="BL110" s="232"/>
      <c r="BM110" s="228">
        <f ca="1">SUMIFS(rec.uni[2029-12-01],
INDIRECT("rec.uni[natureza]"),"taxa.extra",
INDIRECT("rec.uni[empresa]"),BM$6)</f>
        <v>0</v>
      </c>
      <c r="BN110" s="216"/>
      <c r="BO110" s="216"/>
      <c r="BP110" s="216"/>
      <c r="BQ110" s="216"/>
      <c r="BR110" s="216"/>
      <c r="BS110" s="216"/>
      <c r="BT110" s="227">
        <f>COUNTIFS(
    estq[empresa], BT$6,
    estq[Data da venda / reserva], "&gt;=" &amp; $A110,
    estq[Data da venda / reserva], "&lt;"  &amp; EOMONTH($A110,0) + 1
)</f>
        <v>0</v>
      </c>
      <c r="BU110" s="228">
        <f ca="1">SUMIFS(rec.uni[2029-12-01],
INDIRECT("rec.uni[natureza]"),"pro.soluto",
INDIRECT("rec.uni[empresa]"),BU$6)</f>
        <v>0</v>
      </c>
      <c r="BV110" s="228">
        <f ca="1">SUMIFS(rec.uni[2029-12-01],
INDIRECT("rec.uni[natureza]"),"repasse.cef.obra",
INDIRECT("rec.uni[empresa]"),BV$6)</f>
        <v>0</v>
      </c>
      <c r="BW110" s="231">
        <f ca="1">SUMIFS(rec.uni[2029-12-01],
INDIRECT("rec.uni[natureza]"),"repasse.cef.terreno",
INDIRECT("rec.uni[empresa]"),BW$6)</f>
        <v>0</v>
      </c>
      <c r="BX110" s="232"/>
      <c r="BY110" s="228">
        <f ca="1">SUMIFS(rec.uni[2029-12-01],
INDIRECT("rec.uni[natureza]"),"taxa.extra",
INDIRECT("rec.uni[empresa]"),BY$6)</f>
        <v>0</v>
      </c>
      <c r="BZ110" s="216"/>
      <c r="CA110" s="216"/>
      <c r="CB110" s="216"/>
      <c r="CC110" s="216"/>
      <c r="CD110" s="216"/>
      <c r="CE110" s="216"/>
    </row>
    <row r="111" spans="1:83" x14ac:dyDescent="0.25">
      <c r="A111" s="226">
        <v>47484</v>
      </c>
      <c r="B111" s="227">
        <f>COUNTIFS(
    estq[empresa], B$6,
    estq[Data da venda / reserva], "&gt;=" &amp; $A111,
    estq[Data da venda / reserva], "&lt;"  &amp; EOMONTH($A111,0) + 1
)</f>
        <v>0</v>
      </c>
      <c r="C111" s="228">
        <f ca="1">SUMIFS(rec.uni[2030-01-01],
INDIRECT("rec.uni[natureza]"),"pro.soluto",
INDIRECT("rec.uni[empresa]"),C$6)</f>
        <v>0</v>
      </c>
      <c r="D111" s="228">
        <f ca="1">SUMIFS(rec.uni[2030-01-01],
INDIRECT("rec.uni[natureza]"),"repasse.cef.obra",
INDIRECT("rec.uni[empresa]"),D$6)</f>
        <v>0</v>
      </c>
      <c r="E111" s="228">
        <f ca="1">SUMIFS(rec.uni[2030-01-01],
INDIRECT("rec.uni[natureza]"),"repasse.cef.terreno",
INDIRECT("rec.uni[empresa]"),E$6)</f>
        <v>0</v>
      </c>
      <c r="F111" s="232"/>
      <c r="G111" s="228">
        <f ca="1">SUMIFS(rec.uni[2030-01-01],
INDIRECT("rec.uni[natureza]"),"taxa.extra",
INDIRECT("rec.uni[empresa]"),G$6)</f>
        <v>0</v>
      </c>
      <c r="H111" s="216"/>
      <c r="I111" s="216"/>
      <c r="J111" s="216"/>
      <c r="K111" s="216"/>
      <c r="L111" s="216"/>
      <c r="M111" s="216"/>
      <c r="N111" s="227">
        <f>COUNTIFS(
    estq[empresa], N$6,
    estq[Data da venda / reserva], "&gt;=" &amp; $A111,
    estq[Data da venda / reserva], "&lt;"  &amp; EOMONTH($A111,0) + 1
)</f>
        <v>0</v>
      </c>
      <c r="O111" s="228">
        <f ca="1">SUMIFS(rec.uni[2030-01-01],
INDIRECT("rec.uni[natureza]"),"pro.soluto",
INDIRECT("rec.uni[empresa]"),O$6)</f>
        <v>0</v>
      </c>
      <c r="P111" s="228">
        <f ca="1">SUMIFS(rec.uni[2030-01-01],
INDIRECT("rec.uni[natureza]"),"repasse.cef.obra",
INDIRECT("rec.uni[empresa]"),P$6)</f>
        <v>0</v>
      </c>
      <c r="Q111" s="228">
        <f ca="1">SUMIFS(rec.uni[2030-01-01],
INDIRECT("rec.uni[natureza]"),"repasse.cef.terreno",
INDIRECT("rec.uni[empresa]"),Q$6)</f>
        <v>0</v>
      </c>
      <c r="R111" s="232"/>
      <c r="S111" s="228">
        <f ca="1">SUMIFS(rec.uni[2030-01-01],
INDIRECT("rec.uni[natureza]"),"taxa.extra",
INDIRECT("rec.uni[empresa]"),S$6)</f>
        <v>0</v>
      </c>
      <c r="T111" s="216"/>
      <c r="U111" s="216"/>
      <c r="V111" s="216"/>
      <c r="W111" s="216"/>
      <c r="X111" s="216"/>
      <c r="Y111" s="216"/>
      <c r="Z111" s="227">
        <f>COUNTIFS(
    estq[empresa], Z$6,
    estq[Data da venda / reserva], "&gt;=" &amp; $A111,
    estq[Data da venda / reserva], "&lt;"  &amp; EOMONTH($A111,0) + 1
)</f>
        <v>0</v>
      </c>
      <c r="AA111" s="228">
        <f ca="1">SUMIFS(rec.uni[2030-01-01],
INDIRECT("rec.uni[natureza]"),"pro.soluto",
INDIRECT("rec.uni[empresa]"),AA$6)</f>
        <v>0</v>
      </c>
      <c r="AB111" s="228">
        <f ca="1">SUMIFS(rec.uni[2030-01-01],
INDIRECT("rec.uni[natureza]"),"repasse.cef.obra",
INDIRECT("rec.uni[empresa]"),AB$6)</f>
        <v>0</v>
      </c>
      <c r="AC111" s="231">
        <f ca="1">SUMIFS(rec.uni[2030-01-01],
INDIRECT("rec.uni[natureza]"),"repasse.cef.terreno",
INDIRECT("rec.uni[empresa]"),AC$6)</f>
        <v>0</v>
      </c>
      <c r="AD111" s="232"/>
      <c r="AE111" s="228">
        <f ca="1">SUMIFS(rec.uni[2030-01-01],
INDIRECT("rec.uni[natureza]"),"taxa.extra",
INDIRECT("rec.uni[empresa]"),AE$6)</f>
        <v>0</v>
      </c>
      <c r="AF111" s="216"/>
      <c r="AG111" s="216"/>
      <c r="AH111" s="216"/>
      <c r="AI111" s="216"/>
      <c r="AJ111" s="216"/>
      <c r="AK111" s="216"/>
      <c r="AL111" s="227">
        <f>COUNTIFS(
    estq[empresa], AL$6,
    estq[Data da venda / reserva], "&gt;=" &amp; $A111,
    estq[Data da venda / reserva], "&lt;"  &amp; EOMONTH($A111,0) + 1
)</f>
        <v>0</v>
      </c>
      <c r="AM111" s="228">
        <f ca="1">SUMIFS(rec.uni[2030-01-01],
INDIRECT("rec.uni[natureza]"),"pro.soluto",
INDIRECT("rec.uni[empresa]"),AM$6)</f>
        <v>0</v>
      </c>
      <c r="AN111" s="228">
        <f ca="1">SUMIFS(rec.uni[2030-01-01],
INDIRECT("rec.uni[natureza]"),"repasse.cef.obra",
INDIRECT("rec.uni[empresa]"),AN$6)</f>
        <v>0</v>
      </c>
      <c r="AO111" s="231">
        <f ca="1">SUMIFS(rec.uni[2030-01-01],
INDIRECT("rec.uni[natureza]"),"repasse.cef.terreno",
INDIRECT("rec.uni[empresa]"),AO$6)</f>
        <v>0</v>
      </c>
      <c r="AP111" s="232"/>
      <c r="AQ111" s="228">
        <f ca="1">SUMIFS(rec.uni[2030-01-01],
INDIRECT("rec.uni[natureza]"),"taxa.extra",
INDIRECT("rec.uni[empresa]"),AQ$6)</f>
        <v>0</v>
      </c>
      <c r="AR111" s="216"/>
      <c r="AS111" s="216"/>
      <c r="AT111" s="216"/>
      <c r="AU111" s="216"/>
      <c r="AV111" s="216"/>
      <c r="AW111" s="216"/>
      <c r="AX111" s="227">
        <f>COUNTIFS(
    estq[empresa], AX$6,
    estq[Data da venda / reserva], "&gt;=" &amp; $A111,
    estq[Data da venda / reserva], "&lt;"  &amp; EOMONTH($A111,0) + 1
)</f>
        <v>0</v>
      </c>
      <c r="AY111" s="228">
        <f ca="1">SUMIFS(rec.uni[2030-01-01],
INDIRECT("rec.uni[natureza]"),"pro.soluto",
INDIRECT("rec.uni[empresa]"),AY$6)</f>
        <v>0</v>
      </c>
      <c r="AZ111" s="232">
        <f ca="1">SUMIFS(rec.uni[2030-01-01],
INDIRECT("rec.uni[natureza]"),"parcela.fin.total.ik",
INDIRECT("rec.uni[empresa]"),AZ$6)</f>
        <v>0</v>
      </c>
      <c r="BA111" s="228">
        <f ca="1">SUMIFS(rec.uni[2030-01-01],
INDIRECT("rec.uni[natureza]"),"taxa.extra",
INDIRECT("rec.uni[empresa]"),BA$6)</f>
        <v>0</v>
      </c>
      <c r="BB111" s="216"/>
      <c r="BC111" s="216"/>
      <c r="BD111" s="216"/>
      <c r="BE111" s="216"/>
      <c r="BF111" s="216"/>
      <c r="BG111" s="216"/>
      <c r="BH111" s="227">
        <f>COUNTIFS(
    estq[empresa], BH$6,
    estq[Data da venda / reserva], "&gt;=" &amp; $A111,
    estq[Data da venda / reserva], "&lt;"  &amp; EOMONTH($A111,0) + 1
)</f>
        <v>0</v>
      </c>
      <c r="BI111" s="228">
        <f ca="1">SUMIFS(rec.uni[2030-01-01],
INDIRECT("rec.uni[natureza]"),"pro.soluto",
INDIRECT("rec.uni[empresa]"),BI$6)</f>
        <v>0</v>
      </c>
      <c r="BJ111" s="228">
        <f ca="1">SUMIFS(rec.uni[2030-01-01],
INDIRECT("rec.uni[natureza]"),"repasse.cef.obra",
INDIRECT("rec.uni[empresa]"),BJ$6)</f>
        <v>0</v>
      </c>
      <c r="BK111" s="231">
        <f ca="1">SUMIFS(rec.uni[2030-01-01],
INDIRECT("rec.uni[natureza]"),"repasse.cef.terreno",
INDIRECT("rec.uni[empresa]"),BK$6)</f>
        <v>0</v>
      </c>
      <c r="BL111" s="232"/>
      <c r="BM111" s="228">
        <f ca="1">SUMIFS(rec.uni[2030-01-01],
INDIRECT("rec.uni[natureza]"),"taxa.extra",
INDIRECT("rec.uni[empresa]"),BM$6)</f>
        <v>0</v>
      </c>
      <c r="BN111" s="216"/>
      <c r="BO111" s="216"/>
      <c r="BP111" s="216"/>
      <c r="BQ111" s="216"/>
      <c r="BR111" s="216"/>
      <c r="BS111" s="216"/>
      <c r="BT111" s="227">
        <f>COUNTIFS(
    estq[empresa], BT$6,
    estq[Data da venda / reserva], "&gt;=" &amp; $A111,
    estq[Data da venda / reserva], "&lt;"  &amp; EOMONTH($A111,0) + 1
)</f>
        <v>0</v>
      </c>
      <c r="BU111" s="228">
        <f ca="1">SUMIFS(rec.uni[2030-01-01],
INDIRECT("rec.uni[natureza]"),"pro.soluto",
INDIRECT("rec.uni[empresa]"),BU$6)</f>
        <v>0</v>
      </c>
      <c r="BV111" s="228">
        <f ca="1">SUMIFS(rec.uni[2030-01-01],
INDIRECT("rec.uni[natureza]"),"repasse.cef.obra",
INDIRECT("rec.uni[empresa]"),BV$6)</f>
        <v>0</v>
      </c>
      <c r="BW111" s="231">
        <f ca="1">SUMIFS(rec.uni[2030-01-01],
INDIRECT("rec.uni[natureza]"),"repasse.cef.terreno",
INDIRECT("rec.uni[empresa]"),BW$6)</f>
        <v>0</v>
      </c>
      <c r="BX111" s="232"/>
      <c r="BY111" s="228">
        <f ca="1">SUMIFS(rec.uni[2030-01-01],
INDIRECT("rec.uni[natureza]"),"taxa.extra",
INDIRECT("rec.uni[empresa]"),BY$6)</f>
        <v>0</v>
      </c>
      <c r="BZ111" s="216"/>
      <c r="CA111" s="216"/>
      <c r="CB111" s="216"/>
      <c r="CC111" s="216"/>
      <c r="CD111" s="216"/>
      <c r="CE111" s="216"/>
    </row>
    <row r="112" spans="1:83" x14ac:dyDescent="0.25">
      <c r="A112" s="226">
        <v>47515</v>
      </c>
      <c r="B112" s="227">
        <f>COUNTIFS(
    estq[empresa], B$6,
    estq[Data da venda / reserva], "&gt;=" &amp; $A112,
    estq[Data da venda / reserva], "&lt;"  &amp; EOMONTH($A112,0) + 1
)</f>
        <v>0</v>
      </c>
      <c r="C112" s="228">
        <f ca="1">SUMIFS(rec.uni[2030-02-01],
INDIRECT("rec.uni[natureza]"),"pro.soluto",
INDIRECT("rec.uni[empresa]"),C$6)</f>
        <v>0</v>
      </c>
      <c r="D112" s="228">
        <f ca="1">SUMIFS(rec.uni[2030-02-01],
INDIRECT("rec.uni[natureza]"),"repasse.cef.obra",
INDIRECT("rec.uni[empresa]"),D$6)</f>
        <v>0</v>
      </c>
      <c r="E112" s="228">
        <f ca="1">SUMIFS(rec.uni[2030-02-01],
INDIRECT("rec.uni[natureza]"),"repasse.cef.terreno",
INDIRECT("rec.uni[empresa]"),E$6)</f>
        <v>0</v>
      </c>
      <c r="F112" s="232"/>
      <c r="G112" s="228">
        <f ca="1">SUMIFS(rec.uni[2030-02-01],
INDIRECT("rec.uni[natureza]"),"taxa.extra",
INDIRECT("rec.uni[empresa]"),G$6)</f>
        <v>0</v>
      </c>
      <c r="H112" s="216"/>
      <c r="I112" s="216"/>
      <c r="J112" s="216"/>
      <c r="K112" s="216"/>
      <c r="L112" s="216"/>
      <c r="M112" s="216"/>
      <c r="N112" s="227">
        <f>COUNTIFS(
    estq[empresa], N$6,
    estq[Data da venda / reserva], "&gt;=" &amp; $A112,
    estq[Data da venda / reserva], "&lt;"  &amp; EOMONTH($A112,0) + 1
)</f>
        <v>0</v>
      </c>
      <c r="O112" s="228">
        <f ca="1">SUMIFS(rec.uni[2030-02-01],
INDIRECT("rec.uni[natureza]"),"pro.soluto",
INDIRECT("rec.uni[empresa]"),O$6)</f>
        <v>0</v>
      </c>
      <c r="P112" s="228">
        <f ca="1">SUMIFS(rec.uni[2030-02-01],
INDIRECT("rec.uni[natureza]"),"repasse.cef.obra",
INDIRECT("rec.uni[empresa]"),P$6)</f>
        <v>0</v>
      </c>
      <c r="Q112" s="228">
        <f ca="1">SUMIFS(rec.uni[2030-02-01],
INDIRECT("rec.uni[natureza]"),"repasse.cef.terreno",
INDIRECT("rec.uni[empresa]"),Q$6)</f>
        <v>0</v>
      </c>
      <c r="R112" s="232"/>
      <c r="S112" s="228">
        <f ca="1">SUMIFS(rec.uni[2030-02-01],
INDIRECT("rec.uni[natureza]"),"taxa.extra",
INDIRECT("rec.uni[empresa]"),S$6)</f>
        <v>0</v>
      </c>
      <c r="T112" s="216"/>
      <c r="U112" s="216"/>
      <c r="V112" s="216"/>
      <c r="W112" s="216"/>
      <c r="X112" s="216"/>
      <c r="Y112" s="216"/>
      <c r="Z112" s="227">
        <f>COUNTIFS(
    estq[empresa], Z$6,
    estq[Data da venda / reserva], "&gt;=" &amp; $A112,
    estq[Data da venda / reserva], "&lt;"  &amp; EOMONTH($A112,0) + 1
)</f>
        <v>0</v>
      </c>
      <c r="AA112" s="228">
        <f ca="1">SUMIFS(rec.uni[2030-02-01],
INDIRECT("rec.uni[natureza]"),"pro.soluto",
INDIRECT("rec.uni[empresa]"),AA$6)</f>
        <v>0</v>
      </c>
      <c r="AB112" s="228">
        <f ca="1">SUMIFS(rec.uni[2030-02-01],
INDIRECT("rec.uni[natureza]"),"repasse.cef.obra",
INDIRECT("rec.uni[empresa]"),AB$6)</f>
        <v>0</v>
      </c>
      <c r="AC112" s="231">
        <f ca="1">SUMIFS(rec.uni[2030-02-01],
INDIRECT("rec.uni[natureza]"),"repasse.cef.terreno",
INDIRECT("rec.uni[empresa]"),AC$6)</f>
        <v>0</v>
      </c>
      <c r="AD112" s="232"/>
      <c r="AE112" s="228">
        <f ca="1">SUMIFS(rec.uni[2030-02-01],
INDIRECT("rec.uni[natureza]"),"taxa.extra",
INDIRECT("rec.uni[empresa]"),AE$6)</f>
        <v>0</v>
      </c>
      <c r="AF112" s="216"/>
      <c r="AG112" s="216"/>
      <c r="AH112" s="216"/>
      <c r="AI112" s="216"/>
      <c r="AJ112" s="216"/>
      <c r="AK112" s="216"/>
      <c r="AL112" s="227">
        <f>COUNTIFS(
    estq[empresa], AL$6,
    estq[Data da venda / reserva], "&gt;=" &amp; $A112,
    estq[Data da venda / reserva], "&lt;"  &amp; EOMONTH($A112,0) + 1
)</f>
        <v>0</v>
      </c>
      <c r="AM112" s="228">
        <f ca="1">SUMIFS(rec.uni[2030-02-01],
INDIRECT("rec.uni[natureza]"),"pro.soluto",
INDIRECT("rec.uni[empresa]"),AM$6)</f>
        <v>0</v>
      </c>
      <c r="AN112" s="228">
        <f ca="1">SUMIFS(rec.uni[2030-02-01],
INDIRECT("rec.uni[natureza]"),"repasse.cef.obra",
INDIRECT("rec.uni[empresa]"),AN$6)</f>
        <v>0</v>
      </c>
      <c r="AO112" s="231">
        <f ca="1">SUMIFS(rec.uni[2030-02-01],
INDIRECT("rec.uni[natureza]"),"repasse.cef.terreno",
INDIRECT("rec.uni[empresa]"),AO$6)</f>
        <v>0</v>
      </c>
      <c r="AP112" s="232"/>
      <c r="AQ112" s="228">
        <f ca="1">SUMIFS(rec.uni[2030-02-01],
INDIRECT("rec.uni[natureza]"),"taxa.extra",
INDIRECT("rec.uni[empresa]"),AQ$6)</f>
        <v>0</v>
      </c>
      <c r="AR112" s="216"/>
      <c r="AS112" s="216"/>
      <c r="AT112" s="216"/>
      <c r="AU112" s="216"/>
      <c r="AV112" s="216"/>
      <c r="AW112" s="216"/>
      <c r="AX112" s="227">
        <f>COUNTIFS(
    estq[empresa], AX$6,
    estq[Data da venda / reserva], "&gt;=" &amp; $A112,
    estq[Data da venda / reserva], "&lt;"  &amp; EOMONTH($A112,0) + 1
)</f>
        <v>0</v>
      </c>
      <c r="AY112" s="228">
        <f ca="1">SUMIFS(rec.uni[2030-02-01],
INDIRECT("rec.uni[natureza]"),"pro.soluto",
INDIRECT("rec.uni[empresa]"),AY$6)</f>
        <v>0</v>
      </c>
      <c r="AZ112" s="232">
        <f ca="1">SUMIFS(rec.uni[2030-02-01],
INDIRECT("rec.uni[natureza]"),"parcela.fin.total.ik",
INDIRECT("rec.uni[empresa]"),AZ$6)</f>
        <v>0</v>
      </c>
      <c r="BA112" s="228">
        <f ca="1">SUMIFS(rec.uni[2030-02-01],
INDIRECT("rec.uni[natureza]"),"taxa.extra",
INDIRECT("rec.uni[empresa]"),BA$6)</f>
        <v>0</v>
      </c>
      <c r="BB112" s="216"/>
      <c r="BC112" s="216"/>
      <c r="BD112" s="216"/>
      <c r="BE112" s="216"/>
      <c r="BF112" s="216"/>
      <c r="BG112" s="216"/>
      <c r="BH112" s="227">
        <f>COUNTIFS(
    estq[empresa], BH$6,
    estq[Data da venda / reserva], "&gt;=" &amp; $A112,
    estq[Data da venda / reserva], "&lt;"  &amp; EOMONTH($A112,0) + 1
)</f>
        <v>0</v>
      </c>
      <c r="BI112" s="228">
        <f ca="1">SUMIFS(rec.uni[2030-02-01],
INDIRECT("rec.uni[natureza]"),"pro.soluto",
INDIRECT("rec.uni[empresa]"),BI$6)</f>
        <v>0</v>
      </c>
      <c r="BJ112" s="228">
        <f ca="1">SUMIFS(rec.uni[2030-02-01],
INDIRECT("rec.uni[natureza]"),"repasse.cef.obra",
INDIRECT("rec.uni[empresa]"),BJ$6)</f>
        <v>0</v>
      </c>
      <c r="BK112" s="231">
        <f ca="1">SUMIFS(rec.uni[2030-02-01],
INDIRECT("rec.uni[natureza]"),"repasse.cef.terreno",
INDIRECT("rec.uni[empresa]"),BK$6)</f>
        <v>0</v>
      </c>
      <c r="BL112" s="232"/>
      <c r="BM112" s="228">
        <f ca="1">SUMIFS(rec.uni[2030-02-01],
INDIRECT("rec.uni[natureza]"),"taxa.extra",
INDIRECT("rec.uni[empresa]"),BM$6)</f>
        <v>0</v>
      </c>
      <c r="BN112" s="216"/>
      <c r="BO112" s="216"/>
      <c r="BP112" s="216"/>
      <c r="BQ112" s="216"/>
      <c r="BR112" s="216"/>
      <c r="BS112" s="216"/>
      <c r="BT112" s="227">
        <f>COUNTIFS(
    estq[empresa], BT$6,
    estq[Data da venda / reserva], "&gt;=" &amp; $A112,
    estq[Data da venda / reserva], "&lt;"  &amp; EOMONTH($A112,0) + 1
)</f>
        <v>0</v>
      </c>
      <c r="BU112" s="228">
        <f ca="1">SUMIFS(rec.uni[2030-02-01],
INDIRECT("rec.uni[natureza]"),"pro.soluto",
INDIRECT("rec.uni[empresa]"),BU$6)</f>
        <v>0</v>
      </c>
      <c r="BV112" s="228">
        <f ca="1">SUMIFS(rec.uni[2030-02-01],
INDIRECT("rec.uni[natureza]"),"repasse.cef.obra",
INDIRECT("rec.uni[empresa]"),BV$6)</f>
        <v>0</v>
      </c>
      <c r="BW112" s="231">
        <f ca="1">SUMIFS(rec.uni[2030-02-01],
INDIRECT("rec.uni[natureza]"),"repasse.cef.terreno",
INDIRECT("rec.uni[empresa]"),BW$6)</f>
        <v>0</v>
      </c>
      <c r="BX112" s="232"/>
      <c r="BY112" s="228">
        <f ca="1">SUMIFS(rec.uni[2030-02-01],
INDIRECT("rec.uni[natureza]"),"taxa.extra",
INDIRECT("rec.uni[empresa]"),BY$6)</f>
        <v>0</v>
      </c>
      <c r="BZ112" s="216"/>
      <c r="CA112" s="216"/>
      <c r="CB112" s="216"/>
      <c r="CC112" s="216"/>
      <c r="CD112" s="216"/>
      <c r="CE112" s="216"/>
    </row>
    <row r="113" spans="1:83" x14ac:dyDescent="0.25">
      <c r="A113" s="226">
        <v>47543</v>
      </c>
      <c r="B113" s="227">
        <f>COUNTIFS(
    estq[empresa], B$6,
    estq[Data da venda / reserva], "&gt;=" &amp; $A113,
    estq[Data da venda / reserva], "&lt;"  &amp; EOMONTH($A113,0) + 1
)</f>
        <v>0</v>
      </c>
      <c r="C113" s="228">
        <f ca="1">SUMIFS(rec.uni[2030-03-01],
INDIRECT("rec.uni[natureza]"),"pro.soluto",
INDIRECT("rec.uni[empresa]"),C$6)</f>
        <v>0</v>
      </c>
      <c r="D113" s="228">
        <f ca="1">SUMIFS(rec.uni[2030-03-01],
INDIRECT("rec.uni[natureza]"),"repasse.cef.obra",
INDIRECT("rec.uni[empresa]"),D$6)</f>
        <v>0</v>
      </c>
      <c r="E113" s="228">
        <f ca="1">SUMIFS(rec.uni[2030-03-01],
INDIRECT("rec.uni[natureza]"),"repasse.cef.terreno",
INDIRECT("rec.uni[empresa]"),E$6)</f>
        <v>0</v>
      </c>
      <c r="F113" s="232"/>
      <c r="G113" s="228">
        <f ca="1">SUMIFS(rec.uni[2030-03-01],
INDIRECT("rec.uni[natureza]"),"taxa.extra",
INDIRECT("rec.uni[empresa]"),G$6)</f>
        <v>0</v>
      </c>
      <c r="H113" s="216"/>
      <c r="I113" s="216"/>
      <c r="J113" s="216"/>
      <c r="K113" s="216"/>
      <c r="L113" s="216"/>
      <c r="M113" s="216"/>
      <c r="N113" s="227">
        <f>COUNTIFS(
    estq[empresa], N$6,
    estq[Data da venda / reserva], "&gt;=" &amp; $A113,
    estq[Data da venda / reserva], "&lt;"  &amp; EOMONTH($A113,0) + 1
)</f>
        <v>0</v>
      </c>
      <c r="O113" s="228">
        <f ca="1">SUMIFS(rec.uni[2030-03-01],
INDIRECT("rec.uni[natureza]"),"pro.soluto",
INDIRECT("rec.uni[empresa]"),O$6)</f>
        <v>0</v>
      </c>
      <c r="P113" s="228">
        <f ca="1">SUMIFS(rec.uni[2030-03-01],
INDIRECT("rec.uni[natureza]"),"repasse.cef.obra",
INDIRECT("rec.uni[empresa]"),P$6)</f>
        <v>0</v>
      </c>
      <c r="Q113" s="228">
        <f ca="1">SUMIFS(rec.uni[2030-03-01],
INDIRECT("rec.uni[natureza]"),"repasse.cef.terreno",
INDIRECT("rec.uni[empresa]"),Q$6)</f>
        <v>0</v>
      </c>
      <c r="R113" s="232"/>
      <c r="S113" s="228">
        <f ca="1">SUMIFS(rec.uni[2030-03-01],
INDIRECT("rec.uni[natureza]"),"taxa.extra",
INDIRECT("rec.uni[empresa]"),S$6)</f>
        <v>0</v>
      </c>
      <c r="T113" s="216"/>
      <c r="U113" s="216"/>
      <c r="V113" s="216"/>
      <c r="W113" s="216"/>
      <c r="X113" s="216"/>
      <c r="Y113" s="216"/>
      <c r="Z113" s="227">
        <f>COUNTIFS(
    estq[empresa], Z$6,
    estq[Data da venda / reserva], "&gt;=" &amp; $A113,
    estq[Data da venda / reserva], "&lt;"  &amp; EOMONTH($A113,0) + 1
)</f>
        <v>0</v>
      </c>
      <c r="AA113" s="228">
        <f ca="1">SUMIFS(rec.uni[2030-03-01],
INDIRECT("rec.uni[natureza]"),"pro.soluto",
INDIRECT("rec.uni[empresa]"),AA$6)</f>
        <v>0</v>
      </c>
      <c r="AB113" s="228">
        <f ca="1">SUMIFS(rec.uni[2030-03-01],
INDIRECT("rec.uni[natureza]"),"repasse.cef.obra",
INDIRECT("rec.uni[empresa]"),AB$6)</f>
        <v>0</v>
      </c>
      <c r="AC113" s="231">
        <f ca="1">SUMIFS(rec.uni[2030-03-01],
INDIRECT("rec.uni[natureza]"),"repasse.cef.terreno",
INDIRECT("rec.uni[empresa]"),AC$6)</f>
        <v>0</v>
      </c>
      <c r="AD113" s="232"/>
      <c r="AE113" s="228">
        <f ca="1">SUMIFS(rec.uni[2030-03-01],
INDIRECT("rec.uni[natureza]"),"taxa.extra",
INDIRECT("rec.uni[empresa]"),AE$6)</f>
        <v>0</v>
      </c>
      <c r="AF113" s="216"/>
      <c r="AG113" s="216"/>
      <c r="AH113" s="216"/>
      <c r="AI113" s="216"/>
      <c r="AJ113" s="216"/>
      <c r="AK113" s="216"/>
      <c r="AL113" s="227">
        <f>COUNTIFS(
    estq[empresa], AL$6,
    estq[Data da venda / reserva], "&gt;=" &amp; $A113,
    estq[Data da venda / reserva], "&lt;"  &amp; EOMONTH($A113,0) + 1
)</f>
        <v>0</v>
      </c>
      <c r="AM113" s="228">
        <f ca="1">SUMIFS(rec.uni[2030-03-01],
INDIRECT("rec.uni[natureza]"),"pro.soluto",
INDIRECT("rec.uni[empresa]"),AM$6)</f>
        <v>0</v>
      </c>
      <c r="AN113" s="228">
        <f ca="1">SUMIFS(rec.uni[2030-03-01],
INDIRECT("rec.uni[natureza]"),"repasse.cef.obra",
INDIRECT("rec.uni[empresa]"),AN$6)</f>
        <v>0</v>
      </c>
      <c r="AO113" s="231">
        <f ca="1">SUMIFS(rec.uni[2030-03-01],
INDIRECT("rec.uni[natureza]"),"repasse.cef.terreno",
INDIRECT("rec.uni[empresa]"),AO$6)</f>
        <v>0</v>
      </c>
      <c r="AP113" s="232"/>
      <c r="AQ113" s="228">
        <f ca="1">SUMIFS(rec.uni[2030-03-01],
INDIRECT("rec.uni[natureza]"),"taxa.extra",
INDIRECT("rec.uni[empresa]"),AQ$6)</f>
        <v>0</v>
      </c>
      <c r="AR113" s="216"/>
      <c r="AS113" s="216"/>
      <c r="AT113" s="216"/>
      <c r="AU113" s="216"/>
      <c r="AV113" s="216"/>
      <c r="AW113" s="216"/>
      <c r="AX113" s="227">
        <f>COUNTIFS(
    estq[empresa], AX$6,
    estq[Data da venda / reserva], "&gt;=" &amp; $A113,
    estq[Data da venda / reserva], "&lt;"  &amp; EOMONTH($A113,0) + 1
)</f>
        <v>0</v>
      </c>
      <c r="AY113" s="228">
        <f ca="1">SUMIFS(rec.uni[2030-03-01],
INDIRECT("rec.uni[natureza]"),"pro.soluto",
INDIRECT("rec.uni[empresa]"),AY$6)</f>
        <v>0</v>
      </c>
      <c r="AZ113" s="232">
        <f ca="1">SUMIFS(rec.uni[2030-03-01],
INDIRECT("rec.uni[natureza]"),"parcela.fin.total.ik",
INDIRECT("rec.uni[empresa]"),AZ$6)</f>
        <v>0</v>
      </c>
      <c r="BA113" s="228">
        <f ca="1">SUMIFS(rec.uni[2030-03-01],
INDIRECT("rec.uni[natureza]"),"taxa.extra",
INDIRECT("rec.uni[empresa]"),BA$6)</f>
        <v>0</v>
      </c>
      <c r="BB113" s="216"/>
      <c r="BC113" s="216"/>
      <c r="BD113" s="216"/>
      <c r="BE113" s="216"/>
      <c r="BF113" s="216"/>
      <c r="BG113" s="216"/>
      <c r="BH113" s="227">
        <f>COUNTIFS(
    estq[empresa], BH$6,
    estq[Data da venda / reserva], "&gt;=" &amp; $A113,
    estq[Data da venda / reserva], "&lt;"  &amp; EOMONTH($A113,0) + 1
)</f>
        <v>0</v>
      </c>
      <c r="BI113" s="228">
        <f ca="1">SUMIFS(rec.uni[2030-03-01],
INDIRECT("rec.uni[natureza]"),"pro.soluto",
INDIRECT("rec.uni[empresa]"),BI$6)</f>
        <v>0</v>
      </c>
      <c r="BJ113" s="228">
        <f ca="1">SUMIFS(rec.uni[2030-03-01],
INDIRECT("rec.uni[natureza]"),"repasse.cef.obra",
INDIRECT("rec.uni[empresa]"),BJ$6)</f>
        <v>0</v>
      </c>
      <c r="BK113" s="231">
        <f ca="1">SUMIFS(rec.uni[2030-03-01],
INDIRECT("rec.uni[natureza]"),"repasse.cef.terreno",
INDIRECT("rec.uni[empresa]"),BK$6)</f>
        <v>0</v>
      </c>
      <c r="BL113" s="232"/>
      <c r="BM113" s="228">
        <f ca="1">SUMIFS(rec.uni[2030-03-01],
INDIRECT("rec.uni[natureza]"),"taxa.extra",
INDIRECT("rec.uni[empresa]"),BM$6)</f>
        <v>0</v>
      </c>
      <c r="BN113" s="216"/>
      <c r="BO113" s="216"/>
      <c r="BP113" s="216"/>
      <c r="BQ113" s="216"/>
      <c r="BR113" s="216"/>
      <c r="BS113" s="216"/>
      <c r="BT113" s="227">
        <f>COUNTIFS(
    estq[empresa], BT$6,
    estq[Data da venda / reserva], "&gt;=" &amp; $A113,
    estq[Data da venda / reserva], "&lt;"  &amp; EOMONTH($A113,0) + 1
)</f>
        <v>0</v>
      </c>
      <c r="BU113" s="228">
        <f ca="1">SUMIFS(rec.uni[2030-03-01],
INDIRECT("rec.uni[natureza]"),"pro.soluto",
INDIRECT("rec.uni[empresa]"),BU$6)</f>
        <v>0</v>
      </c>
      <c r="BV113" s="228">
        <f ca="1">SUMIFS(rec.uni[2030-03-01],
INDIRECT("rec.uni[natureza]"),"repasse.cef.obra",
INDIRECT("rec.uni[empresa]"),BV$6)</f>
        <v>0</v>
      </c>
      <c r="BW113" s="231">
        <f ca="1">SUMIFS(rec.uni[2030-03-01],
INDIRECT("rec.uni[natureza]"),"repasse.cef.terreno",
INDIRECT("rec.uni[empresa]"),BW$6)</f>
        <v>0</v>
      </c>
      <c r="BX113" s="232"/>
      <c r="BY113" s="228">
        <f ca="1">SUMIFS(rec.uni[2030-03-01],
INDIRECT("rec.uni[natureza]"),"taxa.extra",
INDIRECT("rec.uni[empresa]"),BY$6)</f>
        <v>0</v>
      </c>
      <c r="BZ113" s="216"/>
      <c r="CA113" s="216"/>
      <c r="CB113" s="216"/>
      <c r="CC113" s="216"/>
      <c r="CD113" s="216"/>
      <c r="CE113" s="216"/>
    </row>
    <row r="114" spans="1:83" x14ac:dyDescent="0.25">
      <c r="A114" s="226">
        <v>47574</v>
      </c>
      <c r="B114" s="227">
        <f>COUNTIFS(
    estq[empresa], B$6,
    estq[Data da venda / reserva], "&gt;=" &amp; $A114,
    estq[Data da venda / reserva], "&lt;"  &amp; EOMONTH($A114,0) + 1
)</f>
        <v>0</v>
      </c>
      <c r="C114" s="228">
        <f ca="1">SUMIFS(rec.uni[2030-04-01],
INDIRECT("rec.uni[natureza]"),"pro.soluto",
INDIRECT("rec.uni[empresa]"),C$6)</f>
        <v>0</v>
      </c>
      <c r="D114" s="228">
        <f ca="1">SUMIFS(rec.uni[2030-04-01],
INDIRECT("rec.uni[natureza]"),"repasse.cef.obra",
INDIRECT("rec.uni[empresa]"),D$6)</f>
        <v>0</v>
      </c>
      <c r="E114" s="228">
        <f ca="1">SUMIFS(rec.uni[2030-04-01],
INDIRECT("rec.uni[natureza]"),"repasse.cef.terreno",
INDIRECT("rec.uni[empresa]"),E$6)</f>
        <v>0</v>
      </c>
      <c r="F114" s="232"/>
      <c r="G114" s="228">
        <f ca="1">SUMIFS(rec.uni[2030-04-01],
INDIRECT("rec.uni[natureza]"),"taxa.extra",
INDIRECT("rec.uni[empresa]"),G$6)</f>
        <v>0</v>
      </c>
      <c r="H114" s="216"/>
      <c r="I114" s="216"/>
      <c r="J114" s="216"/>
      <c r="K114" s="216"/>
      <c r="L114" s="216"/>
      <c r="M114" s="216"/>
      <c r="N114" s="227">
        <f>COUNTIFS(
    estq[empresa], N$6,
    estq[Data da venda / reserva], "&gt;=" &amp; $A114,
    estq[Data da venda / reserva], "&lt;"  &amp; EOMONTH($A114,0) + 1
)</f>
        <v>0</v>
      </c>
      <c r="O114" s="228">
        <f ca="1">SUMIFS(rec.uni[2030-04-01],
INDIRECT("rec.uni[natureza]"),"pro.soluto",
INDIRECT("rec.uni[empresa]"),O$6)</f>
        <v>0</v>
      </c>
      <c r="P114" s="228">
        <f ca="1">SUMIFS(rec.uni[2030-04-01],
INDIRECT("rec.uni[natureza]"),"repasse.cef.obra",
INDIRECT("rec.uni[empresa]"),P$6)</f>
        <v>0</v>
      </c>
      <c r="Q114" s="228">
        <f ca="1">SUMIFS(rec.uni[2030-04-01],
INDIRECT("rec.uni[natureza]"),"repasse.cef.terreno",
INDIRECT("rec.uni[empresa]"),Q$6)</f>
        <v>0</v>
      </c>
      <c r="R114" s="232"/>
      <c r="S114" s="228">
        <f ca="1">SUMIFS(rec.uni[2030-04-01],
INDIRECT("rec.uni[natureza]"),"taxa.extra",
INDIRECT("rec.uni[empresa]"),S$6)</f>
        <v>0</v>
      </c>
      <c r="T114" s="216"/>
      <c r="U114" s="216"/>
      <c r="V114" s="216"/>
      <c r="W114" s="216"/>
      <c r="X114" s="216"/>
      <c r="Y114" s="216"/>
      <c r="Z114" s="227">
        <f>COUNTIFS(
    estq[empresa], Z$6,
    estq[Data da venda / reserva], "&gt;=" &amp; $A114,
    estq[Data da venda / reserva], "&lt;"  &amp; EOMONTH($A114,0) + 1
)</f>
        <v>0</v>
      </c>
      <c r="AA114" s="228">
        <f ca="1">SUMIFS(rec.uni[2030-04-01],
INDIRECT("rec.uni[natureza]"),"pro.soluto",
INDIRECT("rec.uni[empresa]"),AA$6)</f>
        <v>0</v>
      </c>
      <c r="AB114" s="228">
        <f ca="1">SUMIFS(rec.uni[2030-04-01],
INDIRECT("rec.uni[natureza]"),"repasse.cef.obra",
INDIRECT("rec.uni[empresa]"),AB$6)</f>
        <v>0</v>
      </c>
      <c r="AC114" s="231">
        <f ca="1">SUMIFS(rec.uni[2030-04-01],
INDIRECT("rec.uni[natureza]"),"repasse.cef.terreno",
INDIRECT("rec.uni[empresa]"),AC$6)</f>
        <v>0</v>
      </c>
      <c r="AD114" s="232"/>
      <c r="AE114" s="228">
        <f ca="1">SUMIFS(rec.uni[2030-04-01],
INDIRECT("rec.uni[natureza]"),"taxa.extra",
INDIRECT("rec.uni[empresa]"),AE$6)</f>
        <v>0</v>
      </c>
      <c r="AF114" s="216"/>
      <c r="AG114" s="216"/>
      <c r="AH114" s="216"/>
      <c r="AI114" s="216"/>
      <c r="AJ114" s="216"/>
      <c r="AK114" s="216"/>
      <c r="AL114" s="227">
        <f>COUNTIFS(
    estq[empresa], AL$6,
    estq[Data da venda / reserva], "&gt;=" &amp; $A114,
    estq[Data da venda / reserva], "&lt;"  &amp; EOMONTH($A114,0) + 1
)</f>
        <v>0</v>
      </c>
      <c r="AM114" s="228">
        <f ca="1">SUMIFS(rec.uni[2030-04-01],
INDIRECT("rec.uni[natureza]"),"pro.soluto",
INDIRECT("rec.uni[empresa]"),AM$6)</f>
        <v>0</v>
      </c>
      <c r="AN114" s="228">
        <f ca="1">SUMIFS(rec.uni[2030-04-01],
INDIRECT("rec.uni[natureza]"),"repasse.cef.obra",
INDIRECT("rec.uni[empresa]"),AN$6)</f>
        <v>0</v>
      </c>
      <c r="AO114" s="231">
        <f ca="1">SUMIFS(rec.uni[2030-04-01],
INDIRECT("rec.uni[natureza]"),"repasse.cef.terreno",
INDIRECT("rec.uni[empresa]"),AO$6)</f>
        <v>0</v>
      </c>
      <c r="AP114" s="232"/>
      <c r="AQ114" s="228">
        <f ca="1">SUMIFS(rec.uni[2030-04-01],
INDIRECT("rec.uni[natureza]"),"taxa.extra",
INDIRECT("rec.uni[empresa]"),AQ$6)</f>
        <v>0</v>
      </c>
      <c r="AR114" s="216"/>
      <c r="AS114" s="216"/>
      <c r="AT114" s="216"/>
      <c r="AU114" s="216"/>
      <c r="AV114" s="216"/>
      <c r="AW114" s="216"/>
      <c r="AX114" s="227">
        <f>COUNTIFS(
    estq[empresa], AX$6,
    estq[Data da venda / reserva], "&gt;=" &amp; $A114,
    estq[Data da venda / reserva], "&lt;"  &amp; EOMONTH($A114,0) + 1
)</f>
        <v>0</v>
      </c>
      <c r="AY114" s="228">
        <f ca="1">SUMIFS(rec.uni[2030-04-01],
INDIRECT("rec.uni[natureza]"),"pro.soluto",
INDIRECT("rec.uni[empresa]"),AY$6)</f>
        <v>0</v>
      </c>
      <c r="AZ114" s="232">
        <f ca="1">SUMIFS(rec.uni[2030-04-01],
INDIRECT("rec.uni[natureza]"),"parcela.fin.total.ik",
INDIRECT("rec.uni[empresa]"),AZ$6)</f>
        <v>0</v>
      </c>
      <c r="BA114" s="228">
        <f ca="1">SUMIFS(rec.uni[2030-04-01],
INDIRECT("rec.uni[natureza]"),"taxa.extra",
INDIRECT("rec.uni[empresa]"),BA$6)</f>
        <v>0</v>
      </c>
      <c r="BB114" s="216"/>
      <c r="BC114" s="216"/>
      <c r="BD114" s="216"/>
      <c r="BE114" s="216"/>
      <c r="BF114" s="216"/>
      <c r="BG114" s="216"/>
      <c r="BH114" s="227">
        <f>COUNTIFS(
    estq[empresa], BH$6,
    estq[Data da venda / reserva], "&gt;=" &amp; $A114,
    estq[Data da venda / reserva], "&lt;"  &amp; EOMONTH($A114,0) + 1
)</f>
        <v>0</v>
      </c>
      <c r="BI114" s="228">
        <f ca="1">SUMIFS(rec.uni[2030-04-01],
INDIRECT("rec.uni[natureza]"),"pro.soluto",
INDIRECT("rec.uni[empresa]"),BI$6)</f>
        <v>0</v>
      </c>
      <c r="BJ114" s="228">
        <f ca="1">SUMIFS(rec.uni[2030-04-01],
INDIRECT("rec.uni[natureza]"),"repasse.cef.obra",
INDIRECT("rec.uni[empresa]"),BJ$6)</f>
        <v>0</v>
      </c>
      <c r="BK114" s="231">
        <f ca="1">SUMIFS(rec.uni[2030-04-01],
INDIRECT("rec.uni[natureza]"),"repasse.cef.terreno",
INDIRECT("rec.uni[empresa]"),BK$6)</f>
        <v>0</v>
      </c>
      <c r="BL114" s="232"/>
      <c r="BM114" s="228">
        <f ca="1">SUMIFS(rec.uni[2030-04-01],
INDIRECT("rec.uni[natureza]"),"taxa.extra",
INDIRECT("rec.uni[empresa]"),BM$6)</f>
        <v>0</v>
      </c>
      <c r="BN114" s="216"/>
      <c r="BO114" s="216"/>
      <c r="BP114" s="216"/>
      <c r="BQ114" s="216"/>
      <c r="BR114" s="216"/>
      <c r="BS114" s="216"/>
      <c r="BT114" s="227">
        <f>COUNTIFS(
    estq[empresa], BT$6,
    estq[Data da venda / reserva], "&gt;=" &amp; $A114,
    estq[Data da venda / reserva], "&lt;"  &amp; EOMONTH($A114,0) + 1
)</f>
        <v>0</v>
      </c>
      <c r="BU114" s="228">
        <f ca="1">SUMIFS(rec.uni[2030-04-01],
INDIRECT("rec.uni[natureza]"),"pro.soluto",
INDIRECT("rec.uni[empresa]"),BU$6)</f>
        <v>0</v>
      </c>
      <c r="BV114" s="228">
        <f ca="1">SUMIFS(rec.uni[2030-04-01],
INDIRECT("rec.uni[natureza]"),"repasse.cef.obra",
INDIRECT("rec.uni[empresa]"),BV$6)</f>
        <v>0</v>
      </c>
      <c r="BW114" s="231">
        <f ca="1">SUMIFS(rec.uni[2030-04-01],
INDIRECT("rec.uni[natureza]"),"repasse.cef.terreno",
INDIRECT("rec.uni[empresa]"),BW$6)</f>
        <v>0</v>
      </c>
      <c r="BX114" s="232"/>
      <c r="BY114" s="228">
        <f ca="1">SUMIFS(rec.uni[2030-04-01],
INDIRECT("rec.uni[natureza]"),"taxa.extra",
INDIRECT("rec.uni[empresa]"),BY$6)</f>
        <v>0</v>
      </c>
      <c r="BZ114" s="216"/>
      <c r="CA114" s="216"/>
      <c r="CB114" s="216"/>
      <c r="CC114" s="216"/>
      <c r="CD114" s="216"/>
      <c r="CE114" s="216"/>
    </row>
    <row r="115" spans="1:83" x14ac:dyDescent="0.25">
      <c r="A115" s="226">
        <v>47604</v>
      </c>
      <c r="B115" s="227">
        <f>COUNTIFS(
    estq[empresa], B$6,
    estq[Data da venda / reserva], "&gt;=" &amp; $A115,
    estq[Data da venda / reserva], "&lt;"  &amp; EOMONTH($A115,0) + 1
)</f>
        <v>0</v>
      </c>
      <c r="C115" s="228">
        <f ca="1">SUMIFS(rec.uni[2030-05-01],
INDIRECT("rec.uni[natureza]"),"pro.soluto",
INDIRECT("rec.uni[empresa]"),C$6)</f>
        <v>0</v>
      </c>
      <c r="D115" s="228">
        <f ca="1">SUMIFS(rec.uni[2030-05-01],
INDIRECT("rec.uni[natureza]"),"repasse.cef.obra",
INDIRECT("rec.uni[empresa]"),D$6)</f>
        <v>0</v>
      </c>
      <c r="E115" s="228">
        <f ca="1">SUMIFS(rec.uni[2030-05-01],
INDIRECT("rec.uni[natureza]"),"repasse.cef.terreno",
INDIRECT("rec.uni[empresa]"),E$6)</f>
        <v>0</v>
      </c>
      <c r="F115" s="232"/>
      <c r="G115" s="228">
        <f ca="1">SUMIFS(rec.uni[2030-05-01],
INDIRECT("rec.uni[natureza]"),"taxa.extra",
INDIRECT("rec.uni[empresa]"),G$6)</f>
        <v>0</v>
      </c>
      <c r="H115" s="216"/>
      <c r="I115" s="216"/>
      <c r="J115" s="216"/>
      <c r="K115" s="216"/>
      <c r="L115" s="216"/>
      <c r="M115" s="216"/>
      <c r="N115" s="227">
        <f>COUNTIFS(
    estq[empresa], N$6,
    estq[Data da venda / reserva], "&gt;=" &amp; $A115,
    estq[Data da venda / reserva], "&lt;"  &amp; EOMONTH($A115,0) + 1
)</f>
        <v>0</v>
      </c>
      <c r="O115" s="228">
        <f ca="1">SUMIFS(rec.uni[2030-05-01],
INDIRECT("rec.uni[natureza]"),"pro.soluto",
INDIRECT("rec.uni[empresa]"),O$6)</f>
        <v>0</v>
      </c>
      <c r="P115" s="228">
        <f ca="1">SUMIFS(rec.uni[2030-05-01],
INDIRECT("rec.uni[natureza]"),"repasse.cef.obra",
INDIRECT("rec.uni[empresa]"),P$6)</f>
        <v>0</v>
      </c>
      <c r="Q115" s="228">
        <f ca="1">SUMIFS(rec.uni[2030-05-01],
INDIRECT("rec.uni[natureza]"),"repasse.cef.terreno",
INDIRECT("rec.uni[empresa]"),Q$6)</f>
        <v>0</v>
      </c>
      <c r="R115" s="232"/>
      <c r="S115" s="228">
        <f ca="1">SUMIFS(rec.uni[2030-05-01],
INDIRECT("rec.uni[natureza]"),"taxa.extra",
INDIRECT("rec.uni[empresa]"),S$6)</f>
        <v>0</v>
      </c>
      <c r="T115" s="216"/>
      <c r="U115" s="216"/>
      <c r="V115" s="216"/>
      <c r="W115" s="216"/>
      <c r="X115" s="216"/>
      <c r="Y115" s="216"/>
      <c r="Z115" s="227">
        <f>COUNTIFS(
    estq[empresa], Z$6,
    estq[Data da venda / reserva], "&gt;=" &amp; $A115,
    estq[Data da venda / reserva], "&lt;"  &amp; EOMONTH($A115,0) + 1
)</f>
        <v>0</v>
      </c>
      <c r="AA115" s="228">
        <f ca="1">SUMIFS(rec.uni[2030-05-01],
INDIRECT("rec.uni[natureza]"),"pro.soluto",
INDIRECT("rec.uni[empresa]"),AA$6)</f>
        <v>0</v>
      </c>
      <c r="AB115" s="228">
        <f ca="1">SUMIFS(rec.uni[2030-05-01],
INDIRECT("rec.uni[natureza]"),"repasse.cef.obra",
INDIRECT("rec.uni[empresa]"),AB$6)</f>
        <v>0</v>
      </c>
      <c r="AC115" s="231">
        <f ca="1">SUMIFS(rec.uni[2030-05-01],
INDIRECT("rec.uni[natureza]"),"repasse.cef.terreno",
INDIRECT("rec.uni[empresa]"),AC$6)</f>
        <v>0</v>
      </c>
      <c r="AD115" s="232"/>
      <c r="AE115" s="228">
        <f ca="1">SUMIFS(rec.uni[2030-05-01],
INDIRECT("rec.uni[natureza]"),"taxa.extra",
INDIRECT("rec.uni[empresa]"),AE$6)</f>
        <v>0</v>
      </c>
      <c r="AF115" s="216"/>
      <c r="AG115" s="216"/>
      <c r="AH115" s="216"/>
      <c r="AI115" s="216"/>
      <c r="AJ115" s="216"/>
      <c r="AK115" s="216"/>
      <c r="AL115" s="227">
        <f>COUNTIFS(
    estq[empresa], AL$6,
    estq[Data da venda / reserva], "&gt;=" &amp; $A115,
    estq[Data da venda / reserva], "&lt;"  &amp; EOMONTH($A115,0) + 1
)</f>
        <v>0</v>
      </c>
      <c r="AM115" s="228">
        <f ca="1">SUMIFS(rec.uni[2030-05-01],
INDIRECT("rec.uni[natureza]"),"pro.soluto",
INDIRECT("rec.uni[empresa]"),AM$6)</f>
        <v>0</v>
      </c>
      <c r="AN115" s="228">
        <f ca="1">SUMIFS(rec.uni[2030-05-01],
INDIRECT("rec.uni[natureza]"),"repasse.cef.obra",
INDIRECT("rec.uni[empresa]"),AN$6)</f>
        <v>0</v>
      </c>
      <c r="AO115" s="231">
        <f ca="1">SUMIFS(rec.uni[2030-05-01],
INDIRECT("rec.uni[natureza]"),"repasse.cef.terreno",
INDIRECT("rec.uni[empresa]"),AO$6)</f>
        <v>0</v>
      </c>
      <c r="AP115" s="232"/>
      <c r="AQ115" s="228">
        <f ca="1">SUMIFS(rec.uni[2030-05-01],
INDIRECT("rec.uni[natureza]"),"taxa.extra",
INDIRECT("rec.uni[empresa]"),AQ$6)</f>
        <v>0</v>
      </c>
      <c r="AR115" s="216"/>
      <c r="AS115" s="216"/>
      <c r="AT115" s="216"/>
      <c r="AU115" s="216"/>
      <c r="AV115" s="216"/>
      <c r="AW115" s="216"/>
      <c r="AX115" s="227">
        <f>COUNTIFS(
    estq[empresa], AX$6,
    estq[Data da venda / reserva], "&gt;=" &amp; $A115,
    estq[Data da venda / reserva], "&lt;"  &amp; EOMONTH($A115,0) + 1
)</f>
        <v>0</v>
      </c>
      <c r="AY115" s="228">
        <f ca="1">SUMIFS(rec.uni[2030-05-01],
INDIRECT("rec.uni[natureza]"),"pro.soluto",
INDIRECT("rec.uni[empresa]"),AY$6)</f>
        <v>0</v>
      </c>
      <c r="AZ115" s="232">
        <f ca="1">SUMIFS(rec.uni[2030-05-01],
INDIRECT("rec.uni[natureza]"),"parcela.fin.total.ik",
INDIRECT("rec.uni[empresa]"),AZ$6)</f>
        <v>0</v>
      </c>
      <c r="BA115" s="228">
        <f ca="1">SUMIFS(rec.uni[2030-05-01],
INDIRECT("rec.uni[natureza]"),"taxa.extra",
INDIRECT("rec.uni[empresa]"),BA$6)</f>
        <v>0</v>
      </c>
      <c r="BB115" s="216"/>
      <c r="BC115" s="216"/>
      <c r="BD115" s="216"/>
      <c r="BE115" s="216"/>
      <c r="BF115" s="216"/>
      <c r="BG115" s="216"/>
      <c r="BH115" s="227">
        <f>COUNTIFS(
    estq[empresa], BH$6,
    estq[Data da venda / reserva], "&gt;=" &amp; $A115,
    estq[Data da venda / reserva], "&lt;"  &amp; EOMONTH($A115,0) + 1
)</f>
        <v>0</v>
      </c>
      <c r="BI115" s="228">
        <f ca="1">SUMIFS(rec.uni[2030-05-01],
INDIRECT("rec.uni[natureza]"),"pro.soluto",
INDIRECT("rec.uni[empresa]"),BI$6)</f>
        <v>0</v>
      </c>
      <c r="BJ115" s="228">
        <f ca="1">SUMIFS(rec.uni[2030-05-01],
INDIRECT("rec.uni[natureza]"),"repasse.cef.obra",
INDIRECT("rec.uni[empresa]"),BJ$6)</f>
        <v>0</v>
      </c>
      <c r="BK115" s="231">
        <f ca="1">SUMIFS(rec.uni[2030-05-01],
INDIRECT("rec.uni[natureza]"),"repasse.cef.terreno",
INDIRECT("rec.uni[empresa]"),BK$6)</f>
        <v>0</v>
      </c>
      <c r="BL115" s="232"/>
      <c r="BM115" s="228">
        <f ca="1">SUMIFS(rec.uni[2030-05-01],
INDIRECT("rec.uni[natureza]"),"taxa.extra",
INDIRECT("rec.uni[empresa]"),BM$6)</f>
        <v>0</v>
      </c>
      <c r="BN115" s="216"/>
      <c r="BO115" s="216"/>
      <c r="BP115" s="216"/>
      <c r="BQ115" s="216"/>
      <c r="BR115" s="216"/>
      <c r="BS115" s="216"/>
      <c r="BT115" s="227">
        <f>COUNTIFS(
    estq[empresa], BT$6,
    estq[Data da venda / reserva], "&gt;=" &amp; $A115,
    estq[Data da venda / reserva], "&lt;"  &amp; EOMONTH($A115,0) + 1
)</f>
        <v>0</v>
      </c>
      <c r="BU115" s="228">
        <f ca="1">SUMIFS(rec.uni[2030-05-01],
INDIRECT("rec.uni[natureza]"),"pro.soluto",
INDIRECT("rec.uni[empresa]"),BU$6)</f>
        <v>0</v>
      </c>
      <c r="BV115" s="228">
        <f ca="1">SUMIFS(rec.uni[2030-05-01],
INDIRECT("rec.uni[natureza]"),"repasse.cef.obra",
INDIRECT("rec.uni[empresa]"),BV$6)</f>
        <v>0</v>
      </c>
      <c r="BW115" s="231">
        <f ca="1">SUMIFS(rec.uni[2030-05-01],
INDIRECT("rec.uni[natureza]"),"repasse.cef.terreno",
INDIRECT("rec.uni[empresa]"),BW$6)</f>
        <v>0</v>
      </c>
      <c r="BX115" s="232"/>
      <c r="BY115" s="228">
        <f ca="1">SUMIFS(rec.uni[2030-05-01],
INDIRECT("rec.uni[natureza]"),"taxa.extra",
INDIRECT("rec.uni[empresa]"),BY$6)</f>
        <v>0</v>
      </c>
      <c r="BZ115" s="216"/>
      <c r="CA115" s="216"/>
      <c r="CB115" s="216"/>
      <c r="CC115" s="216"/>
      <c r="CD115" s="216"/>
      <c r="CE115" s="216"/>
    </row>
    <row r="116" spans="1:83" x14ac:dyDescent="0.25">
      <c r="A116" s="226">
        <v>47635</v>
      </c>
      <c r="B116" s="227">
        <f>COUNTIFS(
    estq[empresa], B$6,
    estq[Data da venda / reserva], "&gt;=" &amp; $A116,
    estq[Data da venda / reserva], "&lt;"  &amp; EOMONTH($A116,0) + 1
)</f>
        <v>0</v>
      </c>
      <c r="C116" s="228">
        <f ca="1">SUMIFS(rec.uni[2030-06-01],
INDIRECT("rec.uni[natureza]"),"pro.soluto",
INDIRECT("rec.uni[empresa]"),C$6)</f>
        <v>0</v>
      </c>
      <c r="D116" s="228">
        <f ca="1">SUMIFS(rec.uni[2030-06-01],
INDIRECT("rec.uni[natureza]"),"repasse.cef.obra",
INDIRECT("rec.uni[empresa]"),D$6)</f>
        <v>0</v>
      </c>
      <c r="E116" s="228">
        <f ca="1">SUMIFS(rec.uni[2030-06-01],
INDIRECT("rec.uni[natureza]"),"repasse.cef.terreno",
INDIRECT("rec.uni[empresa]"),E$6)</f>
        <v>0</v>
      </c>
      <c r="F116" s="232"/>
      <c r="G116" s="228">
        <f ca="1">SUMIFS(rec.uni[2030-06-01],
INDIRECT("rec.uni[natureza]"),"taxa.extra",
INDIRECT("rec.uni[empresa]"),G$6)</f>
        <v>0</v>
      </c>
      <c r="H116" s="216"/>
      <c r="I116" s="216"/>
      <c r="J116" s="216"/>
      <c r="K116" s="216"/>
      <c r="L116" s="216"/>
      <c r="M116" s="216"/>
      <c r="N116" s="227">
        <f>COUNTIFS(
    estq[empresa], N$6,
    estq[Data da venda / reserva], "&gt;=" &amp; $A116,
    estq[Data da venda / reserva], "&lt;"  &amp; EOMONTH($A116,0) + 1
)</f>
        <v>0</v>
      </c>
      <c r="O116" s="228">
        <f ca="1">SUMIFS(rec.uni[2030-06-01],
INDIRECT("rec.uni[natureza]"),"pro.soluto",
INDIRECT("rec.uni[empresa]"),O$6)</f>
        <v>0</v>
      </c>
      <c r="P116" s="228">
        <f ca="1">SUMIFS(rec.uni[2030-06-01],
INDIRECT("rec.uni[natureza]"),"repasse.cef.obra",
INDIRECT("rec.uni[empresa]"),P$6)</f>
        <v>0</v>
      </c>
      <c r="Q116" s="228">
        <f ca="1">SUMIFS(rec.uni[2030-06-01],
INDIRECT("rec.uni[natureza]"),"repasse.cef.terreno",
INDIRECT("rec.uni[empresa]"),Q$6)</f>
        <v>0</v>
      </c>
      <c r="R116" s="232"/>
      <c r="S116" s="228">
        <f ca="1">SUMIFS(rec.uni[2030-06-01],
INDIRECT("rec.uni[natureza]"),"taxa.extra",
INDIRECT("rec.uni[empresa]"),S$6)</f>
        <v>0</v>
      </c>
      <c r="T116" s="216"/>
      <c r="U116" s="216"/>
      <c r="V116" s="216"/>
      <c r="W116" s="216"/>
      <c r="X116" s="216"/>
      <c r="Y116" s="216"/>
      <c r="Z116" s="227">
        <f>COUNTIFS(
    estq[empresa], Z$6,
    estq[Data da venda / reserva], "&gt;=" &amp; $A116,
    estq[Data da venda / reserva], "&lt;"  &amp; EOMONTH($A116,0) + 1
)</f>
        <v>0</v>
      </c>
      <c r="AA116" s="228">
        <f ca="1">SUMIFS(rec.uni[2030-06-01],
INDIRECT("rec.uni[natureza]"),"pro.soluto",
INDIRECT("rec.uni[empresa]"),AA$6)</f>
        <v>0</v>
      </c>
      <c r="AB116" s="228">
        <f ca="1">SUMIFS(rec.uni[2030-06-01],
INDIRECT("rec.uni[natureza]"),"repasse.cef.obra",
INDIRECT("rec.uni[empresa]"),AB$6)</f>
        <v>0</v>
      </c>
      <c r="AC116" s="231">
        <f ca="1">SUMIFS(rec.uni[2030-06-01],
INDIRECT("rec.uni[natureza]"),"repasse.cef.terreno",
INDIRECT("rec.uni[empresa]"),AC$6)</f>
        <v>0</v>
      </c>
      <c r="AD116" s="232"/>
      <c r="AE116" s="228">
        <f ca="1">SUMIFS(rec.uni[2030-06-01],
INDIRECT("rec.uni[natureza]"),"taxa.extra",
INDIRECT("rec.uni[empresa]"),AE$6)</f>
        <v>0</v>
      </c>
      <c r="AF116" s="216"/>
      <c r="AG116" s="216"/>
      <c r="AH116" s="216"/>
      <c r="AI116" s="216"/>
      <c r="AJ116" s="216"/>
      <c r="AK116" s="216"/>
      <c r="AL116" s="227">
        <f>COUNTIFS(
    estq[empresa], AL$6,
    estq[Data da venda / reserva], "&gt;=" &amp; $A116,
    estq[Data da venda / reserva], "&lt;"  &amp; EOMONTH($A116,0) + 1
)</f>
        <v>0</v>
      </c>
      <c r="AM116" s="228">
        <f ca="1">SUMIFS(rec.uni[2030-06-01],
INDIRECT("rec.uni[natureza]"),"pro.soluto",
INDIRECT("rec.uni[empresa]"),AM$6)</f>
        <v>0</v>
      </c>
      <c r="AN116" s="228">
        <f ca="1">SUMIFS(rec.uni[2030-06-01],
INDIRECT("rec.uni[natureza]"),"repasse.cef.obra",
INDIRECT("rec.uni[empresa]"),AN$6)</f>
        <v>0</v>
      </c>
      <c r="AO116" s="231">
        <f ca="1">SUMIFS(rec.uni[2030-06-01],
INDIRECT("rec.uni[natureza]"),"repasse.cef.terreno",
INDIRECT("rec.uni[empresa]"),AO$6)</f>
        <v>0</v>
      </c>
      <c r="AP116" s="232"/>
      <c r="AQ116" s="228">
        <f ca="1">SUMIFS(rec.uni[2030-06-01],
INDIRECT("rec.uni[natureza]"),"taxa.extra",
INDIRECT("rec.uni[empresa]"),AQ$6)</f>
        <v>0</v>
      </c>
      <c r="AR116" s="216"/>
      <c r="AS116" s="216"/>
      <c r="AT116" s="216"/>
      <c r="AU116" s="216"/>
      <c r="AV116" s="216"/>
      <c r="AW116" s="216"/>
      <c r="AX116" s="227">
        <f>COUNTIFS(
    estq[empresa], AX$6,
    estq[Data da venda / reserva], "&gt;=" &amp; $A116,
    estq[Data da venda / reserva], "&lt;"  &amp; EOMONTH($A116,0) + 1
)</f>
        <v>0</v>
      </c>
      <c r="AY116" s="228">
        <f ca="1">SUMIFS(rec.uni[2030-06-01],
INDIRECT("rec.uni[natureza]"),"pro.soluto",
INDIRECT("rec.uni[empresa]"),AY$6)</f>
        <v>0</v>
      </c>
      <c r="AZ116" s="232">
        <f ca="1">SUMIFS(rec.uni[2030-06-01],
INDIRECT("rec.uni[natureza]"),"parcela.fin.total.ik",
INDIRECT("rec.uni[empresa]"),AZ$6)</f>
        <v>0</v>
      </c>
      <c r="BA116" s="228">
        <f ca="1">SUMIFS(rec.uni[2030-06-01],
INDIRECT("rec.uni[natureza]"),"taxa.extra",
INDIRECT("rec.uni[empresa]"),BA$6)</f>
        <v>0</v>
      </c>
      <c r="BB116" s="216"/>
      <c r="BC116" s="216"/>
      <c r="BD116" s="216"/>
      <c r="BE116" s="216"/>
      <c r="BF116" s="216"/>
      <c r="BG116" s="216"/>
      <c r="BH116" s="227">
        <f>COUNTIFS(
    estq[empresa], BH$6,
    estq[Data da venda / reserva], "&gt;=" &amp; $A116,
    estq[Data da venda / reserva], "&lt;"  &amp; EOMONTH($A116,0) + 1
)</f>
        <v>0</v>
      </c>
      <c r="BI116" s="228">
        <f ca="1">SUMIFS(rec.uni[2030-06-01],
INDIRECT("rec.uni[natureza]"),"pro.soluto",
INDIRECT("rec.uni[empresa]"),BI$6)</f>
        <v>0</v>
      </c>
      <c r="BJ116" s="228">
        <f ca="1">SUMIFS(rec.uni[2030-06-01],
INDIRECT("rec.uni[natureza]"),"repasse.cef.obra",
INDIRECT("rec.uni[empresa]"),BJ$6)</f>
        <v>0</v>
      </c>
      <c r="BK116" s="231">
        <f ca="1">SUMIFS(rec.uni[2030-06-01],
INDIRECT("rec.uni[natureza]"),"repasse.cef.terreno",
INDIRECT("rec.uni[empresa]"),BK$6)</f>
        <v>0</v>
      </c>
      <c r="BL116" s="232"/>
      <c r="BM116" s="228">
        <f ca="1">SUMIFS(rec.uni[2030-06-01],
INDIRECT("rec.uni[natureza]"),"taxa.extra",
INDIRECT("rec.uni[empresa]"),BM$6)</f>
        <v>0</v>
      </c>
      <c r="BN116" s="216"/>
      <c r="BO116" s="216"/>
      <c r="BP116" s="216"/>
      <c r="BQ116" s="216"/>
      <c r="BR116" s="216"/>
      <c r="BS116" s="216"/>
      <c r="BT116" s="227">
        <f>COUNTIFS(
    estq[empresa], BT$6,
    estq[Data da venda / reserva], "&gt;=" &amp; $A116,
    estq[Data da venda / reserva], "&lt;"  &amp; EOMONTH($A116,0) + 1
)</f>
        <v>0</v>
      </c>
      <c r="BU116" s="228">
        <f ca="1">SUMIFS(rec.uni[2030-06-01],
INDIRECT("rec.uni[natureza]"),"pro.soluto",
INDIRECT("rec.uni[empresa]"),BU$6)</f>
        <v>0</v>
      </c>
      <c r="BV116" s="228">
        <f ca="1">SUMIFS(rec.uni[2030-06-01],
INDIRECT("rec.uni[natureza]"),"repasse.cef.obra",
INDIRECT("rec.uni[empresa]"),BV$6)</f>
        <v>0</v>
      </c>
      <c r="BW116" s="231">
        <f ca="1">SUMIFS(rec.uni[2030-06-01],
INDIRECT("rec.uni[natureza]"),"repasse.cef.terreno",
INDIRECT("rec.uni[empresa]"),BW$6)</f>
        <v>0</v>
      </c>
      <c r="BX116" s="232"/>
      <c r="BY116" s="228">
        <f ca="1">SUMIFS(rec.uni[2030-06-01],
INDIRECT("rec.uni[natureza]"),"taxa.extra",
INDIRECT("rec.uni[empresa]"),BY$6)</f>
        <v>0</v>
      </c>
      <c r="BZ116" s="216"/>
      <c r="CA116" s="216"/>
      <c r="CB116" s="216"/>
      <c r="CC116" s="216"/>
      <c r="CD116" s="216"/>
      <c r="CE116" s="216"/>
    </row>
    <row r="117" spans="1:83" x14ac:dyDescent="0.25">
      <c r="A117" s="226">
        <v>47665</v>
      </c>
      <c r="B117" s="227">
        <f>COUNTIFS(
    estq[empresa], B$6,
    estq[Data da venda / reserva], "&gt;=" &amp; $A117,
    estq[Data da venda / reserva], "&lt;"  &amp; EOMONTH($A117,0) + 1
)</f>
        <v>0</v>
      </c>
      <c r="C117" s="228">
        <f ca="1">SUMIFS(rec.uni[2030-07-01],
INDIRECT("rec.uni[natureza]"),"pro.soluto",
INDIRECT("rec.uni[empresa]"),C$6)</f>
        <v>0</v>
      </c>
      <c r="D117" s="228">
        <f ca="1">SUMIFS(rec.uni[2030-07-01],
INDIRECT("rec.uni[natureza]"),"repasse.cef.obra",
INDIRECT("rec.uni[empresa]"),D$6)</f>
        <v>0</v>
      </c>
      <c r="E117" s="228">
        <f ca="1">SUMIFS(rec.uni[2030-07-01],
INDIRECT("rec.uni[natureza]"),"repasse.cef.terreno",
INDIRECT("rec.uni[empresa]"),E$6)</f>
        <v>0</v>
      </c>
      <c r="F117" s="232"/>
      <c r="G117" s="228">
        <f ca="1">SUMIFS(rec.uni[2030-07-01],
INDIRECT("rec.uni[natureza]"),"taxa.extra",
INDIRECT("rec.uni[empresa]"),G$6)</f>
        <v>0</v>
      </c>
      <c r="H117" s="216"/>
      <c r="I117" s="216"/>
      <c r="J117" s="216"/>
      <c r="K117" s="216"/>
      <c r="L117" s="216"/>
      <c r="M117" s="216"/>
      <c r="N117" s="227">
        <f>COUNTIFS(
    estq[empresa], N$6,
    estq[Data da venda / reserva], "&gt;=" &amp; $A117,
    estq[Data da venda / reserva], "&lt;"  &amp; EOMONTH($A117,0) + 1
)</f>
        <v>0</v>
      </c>
      <c r="O117" s="228">
        <f ca="1">SUMIFS(rec.uni[2030-07-01],
INDIRECT("rec.uni[natureza]"),"pro.soluto",
INDIRECT("rec.uni[empresa]"),O$6)</f>
        <v>0</v>
      </c>
      <c r="P117" s="228">
        <f ca="1">SUMIFS(rec.uni[2030-07-01],
INDIRECT("rec.uni[natureza]"),"repasse.cef.obra",
INDIRECT("rec.uni[empresa]"),P$6)</f>
        <v>0</v>
      </c>
      <c r="Q117" s="228">
        <f ca="1">SUMIFS(rec.uni[2030-07-01],
INDIRECT("rec.uni[natureza]"),"repasse.cef.terreno",
INDIRECT("rec.uni[empresa]"),Q$6)</f>
        <v>0</v>
      </c>
      <c r="R117" s="232"/>
      <c r="S117" s="228">
        <f ca="1">SUMIFS(rec.uni[2030-07-01],
INDIRECT("rec.uni[natureza]"),"taxa.extra",
INDIRECT("rec.uni[empresa]"),S$6)</f>
        <v>0</v>
      </c>
      <c r="T117" s="216"/>
      <c r="U117" s="216"/>
      <c r="V117" s="216"/>
      <c r="W117" s="216"/>
      <c r="X117" s="216"/>
      <c r="Y117" s="216"/>
      <c r="Z117" s="227">
        <f>COUNTIFS(
    estq[empresa], Z$6,
    estq[Data da venda / reserva], "&gt;=" &amp; $A117,
    estq[Data da venda / reserva], "&lt;"  &amp; EOMONTH($A117,0) + 1
)</f>
        <v>0</v>
      </c>
      <c r="AA117" s="228">
        <f ca="1">SUMIFS(rec.uni[2030-07-01],
INDIRECT("rec.uni[natureza]"),"pro.soluto",
INDIRECT("rec.uni[empresa]"),AA$6)</f>
        <v>0</v>
      </c>
      <c r="AB117" s="228">
        <f ca="1">SUMIFS(rec.uni[2030-07-01],
INDIRECT("rec.uni[natureza]"),"repasse.cef.obra",
INDIRECT("rec.uni[empresa]"),AB$6)</f>
        <v>0</v>
      </c>
      <c r="AC117" s="231">
        <f ca="1">SUMIFS(rec.uni[2030-07-01],
INDIRECT("rec.uni[natureza]"),"repasse.cef.terreno",
INDIRECT("rec.uni[empresa]"),AC$6)</f>
        <v>0</v>
      </c>
      <c r="AD117" s="232"/>
      <c r="AE117" s="228">
        <f ca="1">SUMIFS(rec.uni[2030-07-01],
INDIRECT("rec.uni[natureza]"),"taxa.extra",
INDIRECT("rec.uni[empresa]"),AE$6)</f>
        <v>0</v>
      </c>
      <c r="AF117" s="216"/>
      <c r="AG117" s="216"/>
      <c r="AH117" s="216"/>
      <c r="AI117" s="216"/>
      <c r="AJ117" s="216"/>
      <c r="AK117" s="216"/>
      <c r="AL117" s="227">
        <f>COUNTIFS(
    estq[empresa], AL$6,
    estq[Data da venda / reserva], "&gt;=" &amp; $A117,
    estq[Data da venda / reserva], "&lt;"  &amp; EOMONTH($A117,0) + 1
)</f>
        <v>0</v>
      </c>
      <c r="AM117" s="228">
        <f ca="1">SUMIFS(rec.uni[2030-07-01],
INDIRECT("rec.uni[natureza]"),"pro.soluto",
INDIRECT("rec.uni[empresa]"),AM$6)</f>
        <v>0</v>
      </c>
      <c r="AN117" s="228">
        <f ca="1">SUMIFS(rec.uni[2030-07-01],
INDIRECT("rec.uni[natureza]"),"repasse.cef.obra",
INDIRECT("rec.uni[empresa]"),AN$6)</f>
        <v>0</v>
      </c>
      <c r="AO117" s="231">
        <f ca="1">SUMIFS(rec.uni[2030-07-01],
INDIRECT("rec.uni[natureza]"),"repasse.cef.terreno",
INDIRECT("rec.uni[empresa]"),AO$6)</f>
        <v>0</v>
      </c>
      <c r="AP117" s="232"/>
      <c r="AQ117" s="228">
        <f ca="1">SUMIFS(rec.uni[2030-07-01],
INDIRECT("rec.uni[natureza]"),"taxa.extra",
INDIRECT("rec.uni[empresa]"),AQ$6)</f>
        <v>0</v>
      </c>
      <c r="AR117" s="216"/>
      <c r="AS117" s="216"/>
      <c r="AT117" s="216"/>
      <c r="AU117" s="216"/>
      <c r="AV117" s="216"/>
      <c r="AW117" s="216"/>
      <c r="AX117" s="227">
        <f>COUNTIFS(
    estq[empresa], AX$6,
    estq[Data da venda / reserva], "&gt;=" &amp; $A117,
    estq[Data da venda / reserva], "&lt;"  &amp; EOMONTH($A117,0) + 1
)</f>
        <v>0</v>
      </c>
      <c r="AY117" s="228">
        <f ca="1">SUMIFS(rec.uni[2030-07-01],
INDIRECT("rec.uni[natureza]"),"pro.soluto",
INDIRECT("rec.uni[empresa]"),AY$6)</f>
        <v>0</v>
      </c>
      <c r="AZ117" s="232">
        <f ca="1">SUMIFS(rec.uni[2030-07-01],
INDIRECT("rec.uni[natureza]"),"parcela.fin.total.ik",
INDIRECT("rec.uni[empresa]"),AZ$6)</f>
        <v>0</v>
      </c>
      <c r="BA117" s="228">
        <f ca="1">SUMIFS(rec.uni[2030-07-01],
INDIRECT("rec.uni[natureza]"),"taxa.extra",
INDIRECT("rec.uni[empresa]"),BA$6)</f>
        <v>0</v>
      </c>
      <c r="BB117" s="216"/>
      <c r="BC117" s="216"/>
      <c r="BD117" s="216"/>
      <c r="BE117" s="216"/>
      <c r="BF117" s="216"/>
      <c r="BG117" s="216"/>
      <c r="BH117" s="227">
        <f>COUNTIFS(
    estq[empresa], BH$6,
    estq[Data da venda / reserva], "&gt;=" &amp; $A117,
    estq[Data da venda / reserva], "&lt;"  &amp; EOMONTH($A117,0) + 1
)</f>
        <v>0</v>
      </c>
      <c r="BI117" s="228">
        <f ca="1">SUMIFS(rec.uni[2030-07-01],
INDIRECT("rec.uni[natureza]"),"pro.soluto",
INDIRECT("rec.uni[empresa]"),BI$6)</f>
        <v>0</v>
      </c>
      <c r="BJ117" s="228">
        <f ca="1">SUMIFS(rec.uni[2030-07-01],
INDIRECT("rec.uni[natureza]"),"repasse.cef.obra",
INDIRECT("rec.uni[empresa]"),BJ$6)</f>
        <v>0</v>
      </c>
      <c r="BK117" s="231">
        <f ca="1">SUMIFS(rec.uni[2030-07-01],
INDIRECT("rec.uni[natureza]"),"repasse.cef.terreno",
INDIRECT("rec.uni[empresa]"),BK$6)</f>
        <v>0</v>
      </c>
      <c r="BL117" s="232"/>
      <c r="BM117" s="228">
        <f ca="1">SUMIFS(rec.uni[2030-07-01],
INDIRECT("rec.uni[natureza]"),"taxa.extra",
INDIRECT("rec.uni[empresa]"),BM$6)</f>
        <v>0</v>
      </c>
      <c r="BN117" s="216"/>
      <c r="BO117" s="216"/>
      <c r="BP117" s="216"/>
      <c r="BQ117" s="216"/>
      <c r="BR117" s="216"/>
      <c r="BS117" s="216"/>
      <c r="BT117" s="227">
        <f>COUNTIFS(
    estq[empresa], BT$6,
    estq[Data da venda / reserva], "&gt;=" &amp; $A117,
    estq[Data da venda / reserva], "&lt;"  &amp; EOMONTH($A117,0) + 1
)</f>
        <v>0</v>
      </c>
      <c r="BU117" s="228">
        <f ca="1">SUMIFS(rec.uni[2030-07-01],
INDIRECT("rec.uni[natureza]"),"pro.soluto",
INDIRECT("rec.uni[empresa]"),BU$6)</f>
        <v>0</v>
      </c>
      <c r="BV117" s="228">
        <f ca="1">SUMIFS(rec.uni[2030-07-01],
INDIRECT("rec.uni[natureza]"),"repasse.cef.obra",
INDIRECT("rec.uni[empresa]"),BV$6)</f>
        <v>0</v>
      </c>
      <c r="BW117" s="231">
        <f ca="1">SUMIFS(rec.uni[2030-07-01],
INDIRECT("rec.uni[natureza]"),"repasse.cef.terreno",
INDIRECT("rec.uni[empresa]"),BW$6)</f>
        <v>0</v>
      </c>
      <c r="BX117" s="232"/>
      <c r="BY117" s="228">
        <f ca="1">SUMIFS(rec.uni[2030-07-01],
INDIRECT("rec.uni[natureza]"),"taxa.extra",
INDIRECT("rec.uni[empresa]"),BY$6)</f>
        <v>0</v>
      </c>
      <c r="BZ117" s="216"/>
      <c r="CA117" s="216"/>
      <c r="CB117" s="216"/>
      <c r="CC117" s="216"/>
      <c r="CD117" s="216"/>
      <c r="CE117" s="216"/>
    </row>
    <row r="118" spans="1:83" x14ac:dyDescent="0.25">
      <c r="A118" s="226">
        <v>47696</v>
      </c>
      <c r="B118" s="227">
        <f>COUNTIFS(
    estq[empresa], B$6,
    estq[Data da venda / reserva], "&gt;=" &amp; $A118,
    estq[Data da venda / reserva], "&lt;"  &amp; EOMONTH($A118,0) + 1
)</f>
        <v>0</v>
      </c>
      <c r="C118" s="228">
        <f ca="1">SUMIFS(rec.uni[2030-08-01],
INDIRECT("rec.uni[natureza]"),"pro.soluto",
INDIRECT("rec.uni[empresa]"),C$6)</f>
        <v>0</v>
      </c>
      <c r="D118" s="228">
        <f ca="1">SUMIFS(rec.uni[2030-08-01],
INDIRECT("rec.uni[natureza]"),"repasse.cef.obra",
INDIRECT("rec.uni[empresa]"),D$6)</f>
        <v>0</v>
      </c>
      <c r="E118" s="228">
        <f ca="1">SUMIFS(rec.uni[2030-08-01],
INDIRECT("rec.uni[natureza]"),"repasse.cef.terreno",
INDIRECT("rec.uni[empresa]"),E$6)</f>
        <v>0</v>
      </c>
      <c r="F118" s="232"/>
      <c r="G118" s="228">
        <f ca="1">SUMIFS(rec.uni[2030-08-01],
INDIRECT("rec.uni[natureza]"),"taxa.extra",
INDIRECT("rec.uni[empresa]"),G$6)</f>
        <v>0</v>
      </c>
      <c r="H118" s="216"/>
      <c r="I118" s="216"/>
      <c r="J118" s="216"/>
      <c r="K118" s="216"/>
      <c r="L118" s="216"/>
      <c r="M118" s="216"/>
      <c r="N118" s="227">
        <f>COUNTIFS(
    estq[empresa], N$6,
    estq[Data da venda / reserva], "&gt;=" &amp; $A118,
    estq[Data da venda / reserva], "&lt;"  &amp; EOMONTH($A118,0) + 1
)</f>
        <v>0</v>
      </c>
      <c r="O118" s="228">
        <f ca="1">SUMIFS(rec.uni[2030-08-01],
INDIRECT("rec.uni[natureza]"),"pro.soluto",
INDIRECT("rec.uni[empresa]"),O$6)</f>
        <v>0</v>
      </c>
      <c r="P118" s="228">
        <f ca="1">SUMIFS(rec.uni[2030-08-01],
INDIRECT("rec.uni[natureza]"),"repasse.cef.obra",
INDIRECT("rec.uni[empresa]"),P$6)</f>
        <v>0</v>
      </c>
      <c r="Q118" s="228">
        <f ca="1">SUMIFS(rec.uni[2030-08-01],
INDIRECT("rec.uni[natureza]"),"repasse.cef.terreno",
INDIRECT("rec.uni[empresa]"),Q$6)</f>
        <v>0</v>
      </c>
      <c r="R118" s="232"/>
      <c r="S118" s="228">
        <f ca="1">SUMIFS(rec.uni[2030-08-01],
INDIRECT("rec.uni[natureza]"),"taxa.extra",
INDIRECT("rec.uni[empresa]"),S$6)</f>
        <v>0</v>
      </c>
      <c r="T118" s="216"/>
      <c r="U118" s="216"/>
      <c r="V118" s="216"/>
      <c r="W118" s="216"/>
      <c r="X118" s="216"/>
      <c r="Y118" s="216"/>
      <c r="Z118" s="227">
        <f>COUNTIFS(
    estq[empresa], Z$6,
    estq[Data da venda / reserva], "&gt;=" &amp; $A118,
    estq[Data da venda / reserva], "&lt;"  &amp; EOMONTH($A118,0) + 1
)</f>
        <v>0</v>
      </c>
      <c r="AA118" s="228">
        <f ca="1">SUMIFS(rec.uni[2030-08-01],
INDIRECT("rec.uni[natureza]"),"pro.soluto",
INDIRECT("rec.uni[empresa]"),AA$6)</f>
        <v>0</v>
      </c>
      <c r="AB118" s="228">
        <f ca="1">SUMIFS(rec.uni[2030-08-01],
INDIRECT("rec.uni[natureza]"),"repasse.cef.obra",
INDIRECT("rec.uni[empresa]"),AB$6)</f>
        <v>0</v>
      </c>
      <c r="AC118" s="231">
        <f ca="1">SUMIFS(rec.uni[2030-08-01],
INDIRECT("rec.uni[natureza]"),"repasse.cef.terreno",
INDIRECT("rec.uni[empresa]"),AC$6)</f>
        <v>0</v>
      </c>
      <c r="AD118" s="232"/>
      <c r="AE118" s="228">
        <f ca="1">SUMIFS(rec.uni[2030-08-01],
INDIRECT("rec.uni[natureza]"),"taxa.extra",
INDIRECT("rec.uni[empresa]"),AE$6)</f>
        <v>0</v>
      </c>
      <c r="AF118" s="216"/>
      <c r="AG118" s="216"/>
      <c r="AH118" s="216"/>
      <c r="AI118" s="216"/>
      <c r="AJ118" s="216"/>
      <c r="AK118" s="216"/>
      <c r="AL118" s="227">
        <f>COUNTIFS(
    estq[empresa], AL$6,
    estq[Data da venda / reserva], "&gt;=" &amp; $A118,
    estq[Data da venda / reserva], "&lt;"  &amp; EOMONTH($A118,0) + 1
)</f>
        <v>0</v>
      </c>
      <c r="AM118" s="228">
        <f ca="1">SUMIFS(rec.uni[2030-08-01],
INDIRECT("rec.uni[natureza]"),"pro.soluto",
INDIRECT("rec.uni[empresa]"),AM$6)</f>
        <v>0</v>
      </c>
      <c r="AN118" s="228">
        <f ca="1">SUMIFS(rec.uni[2030-08-01],
INDIRECT("rec.uni[natureza]"),"repasse.cef.obra",
INDIRECT("rec.uni[empresa]"),AN$6)</f>
        <v>0</v>
      </c>
      <c r="AO118" s="231">
        <f ca="1">SUMIFS(rec.uni[2030-08-01],
INDIRECT("rec.uni[natureza]"),"repasse.cef.terreno",
INDIRECT("rec.uni[empresa]"),AO$6)</f>
        <v>0</v>
      </c>
      <c r="AP118" s="232"/>
      <c r="AQ118" s="228">
        <f ca="1">SUMIFS(rec.uni[2030-08-01],
INDIRECT("rec.uni[natureza]"),"taxa.extra",
INDIRECT("rec.uni[empresa]"),AQ$6)</f>
        <v>0</v>
      </c>
      <c r="AR118" s="216"/>
      <c r="AS118" s="216"/>
      <c r="AT118" s="216"/>
      <c r="AU118" s="216"/>
      <c r="AV118" s="216"/>
      <c r="AW118" s="216"/>
      <c r="AX118" s="227">
        <f>COUNTIFS(
    estq[empresa], AX$6,
    estq[Data da venda / reserva], "&gt;=" &amp; $A118,
    estq[Data da venda / reserva], "&lt;"  &amp; EOMONTH($A118,0) + 1
)</f>
        <v>0</v>
      </c>
      <c r="AY118" s="228">
        <f ca="1">SUMIFS(rec.uni[2030-08-01],
INDIRECT("rec.uni[natureza]"),"pro.soluto",
INDIRECT("rec.uni[empresa]"),AY$6)</f>
        <v>0</v>
      </c>
      <c r="AZ118" s="232">
        <f ca="1">SUMIFS(rec.uni[2030-08-01],
INDIRECT("rec.uni[natureza]"),"parcela.fin.total.ik",
INDIRECT("rec.uni[empresa]"),AZ$6)</f>
        <v>0</v>
      </c>
      <c r="BA118" s="228">
        <f ca="1">SUMIFS(rec.uni[2030-08-01],
INDIRECT("rec.uni[natureza]"),"taxa.extra",
INDIRECT("rec.uni[empresa]"),BA$6)</f>
        <v>0</v>
      </c>
      <c r="BB118" s="216"/>
      <c r="BC118" s="216"/>
      <c r="BD118" s="216"/>
      <c r="BE118" s="216"/>
      <c r="BF118" s="216"/>
      <c r="BG118" s="216"/>
      <c r="BH118" s="227">
        <f>COUNTIFS(
    estq[empresa], BH$6,
    estq[Data da venda / reserva], "&gt;=" &amp; $A118,
    estq[Data da venda / reserva], "&lt;"  &amp; EOMONTH($A118,0) + 1
)</f>
        <v>0</v>
      </c>
      <c r="BI118" s="228">
        <f ca="1">SUMIFS(rec.uni[2030-08-01],
INDIRECT("rec.uni[natureza]"),"pro.soluto",
INDIRECT("rec.uni[empresa]"),BI$6)</f>
        <v>0</v>
      </c>
      <c r="BJ118" s="228">
        <f ca="1">SUMIFS(rec.uni[2030-08-01],
INDIRECT("rec.uni[natureza]"),"repasse.cef.obra",
INDIRECT("rec.uni[empresa]"),BJ$6)</f>
        <v>0</v>
      </c>
      <c r="BK118" s="231">
        <f ca="1">SUMIFS(rec.uni[2030-08-01],
INDIRECT("rec.uni[natureza]"),"repasse.cef.terreno",
INDIRECT("rec.uni[empresa]"),BK$6)</f>
        <v>0</v>
      </c>
      <c r="BL118" s="232"/>
      <c r="BM118" s="228">
        <f ca="1">SUMIFS(rec.uni[2030-08-01],
INDIRECT("rec.uni[natureza]"),"taxa.extra",
INDIRECT("rec.uni[empresa]"),BM$6)</f>
        <v>0</v>
      </c>
      <c r="BN118" s="216"/>
      <c r="BO118" s="216"/>
      <c r="BP118" s="216"/>
      <c r="BQ118" s="216"/>
      <c r="BR118" s="216"/>
      <c r="BS118" s="216"/>
      <c r="BT118" s="227">
        <f>COUNTIFS(
    estq[empresa], BT$6,
    estq[Data da venda / reserva], "&gt;=" &amp; $A118,
    estq[Data da venda / reserva], "&lt;"  &amp; EOMONTH($A118,0) + 1
)</f>
        <v>0</v>
      </c>
      <c r="BU118" s="228">
        <f ca="1">SUMIFS(rec.uni[2030-08-01],
INDIRECT("rec.uni[natureza]"),"pro.soluto",
INDIRECT("rec.uni[empresa]"),BU$6)</f>
        <v>0</v>
      </c>
      <c r="BV118" s="228">
        <f ca="1">SUMIFS(rec.uni[2030-08-01],
INDIRECT("rec.uni[natureza]"),"repasse.cef.obra",
INDIRECT("rec.uni[empresa]"),BV$6)</f>
        <v>0</v>
      </c>
      <c r="BW118" s="231">
        <f ca="1">SUMIFS(rec.uni[2030-08-01],
INDIRECT("rec.uni[natureza]"),"repasse.cef.terreno",
INDIRECT("rec.uni[empresa]"),BW$6)</f>
        <v>0</v>
      </c>
      <c r="BX118" s="232"/>
      <c r="BY118" s="228">
        <f ca="1">SUMIFS(rec.uni[2030-08-01],
INDIRECT("rec.uni[natureza]"),"taxa.extra",
INDIRECT("rec.uni[empresa]"),BY$6)</f>
        <v>0</v>
      </c>
      <c r="BZ118" s="216"/>
      <c r="CA118" s="216"/>
      <c r="CB118" s="216"/>
      <c r="CC118" s="216"/>
      <c r="CD118" s="216"/>
      <c r="CE118" s="216"/>
    </row>
    <row r="119" spans="1:83" x14ac:dyDescent="0.25">
      <c r="A119" s="226">
        <v>47727</v>
      </c>
      <c r="B119" s="227">
        <f>COUNTIFS(
    estq[empresa], B$6,
    estq[Data da venda / reserva], "&gt;=" &amp; $A119,
    estq[Data da venda / reserva], "&lt;"  &amp; EOMONTH($A119,0) + 1
)</f>
        <v>0</v>
      </c>
      <c r="C119" s="228">
        <f ca="1">SUMIFS(rec.uni[2030-09-01],
INDIRECT("rec.uni[natureza]"),"pro.soluto",
INDIRECT("rec.uni[empresa]"),C$6)</f>
        <v>0</v>
      </c>
      <c r="D119" s="228">
        <f ca="1">SUMIFS(rec.uni[2030-09-01],
INDIRECT("rec.uni[natureza]"),"repasse.cef.obra",
INDIRECT("rec.uni[empresa]"),D$6)</f>
        <v>0</v>
      </c>
      <c r="E119" s="228">
        <f ca="1">SUMIFS(rec.uni[2030-09-01],
INDIRECT("rec.uni[natureza]"),"repasse.cef.terreno",
INDIRECT("rec.uni[empresa]"),E$6)</f>
        <v>0</v>
      </c>
      <c r="F119" s="232"/>
      <c r="G119" s="228">
        <f ca="1">SUMIFS(rec.uni[2030-09-01],
INDIRECT("rec.uni[natureza]"),"taxa.extra",
INDIRECT("rec.uni[empresa]"),G$6)</f>
        <v>0</v>
      </c>
      <c r="H119" s="216"/>
      <c r="I119" s="216"/>
      <c r="J119" s="216"/>
      <c r="K119" s="216"/>
      <c r="L119" s="216"/>
      <c r="M119" s="216"/>
      <c r="N119" s="227">
        <f>COUNTIFS(
    estq[empresa], N$6,
    estq[Data da venda / reserva], "&gt;=" &amp; $A119,
    estq[Data da venda / reserva], "&lt;"  &amp; EOMONTH($A119,0) + 1
)</f>
        <v>0</v>
      </c>
      <c r="O119" s="228">
        <f ca="1">SUMIFS(rec.uni[2030-09-01],
INDIRECT("rec.uni[natureza]"),"pro.soluto",
INDIRECT("rec.uni[empresa]"),O$6)</f>
        <v>0</v>
      </c>
      <c r="P119" s="228">
        <f ca="1">SUMIFS(rec.uni[2030-09-01],
INDIRECT("rec.uni[natureza]"),"repasse.cef.obra",
INDIRECT("rec.uni[empresa]"),P$6)</f>
        <v>0</v>
      </c>
      <c r="Q119" s="228">
        <f ca="1">SUMIFS(rec.uni[2030-09-01],
INDIRECT("rec.uni[natureza]"),"repasse.cef.terreno",
INDIRECT("rec.uni[empresa]"),Q$6)</f>
        <v>0</v>
      </c>
      <c r="R119" s="232"/>
      <c r="S119" s="228">
        <f ca="1">SUMIFS(rec.uni[2030-09-01],
INDIRECT("rec.uni[natureza]"),"taxa.extra",
INDIRECT("rec.uni[empresa]"),S$6)</f>
        <v>0</v>
      </c>
      <c r="T119" s="216"/>
      <c r="U119" s="216"/>
      <c r="V119" s="216"/>
      <c r="W119" s="216"/>
      <c r="X119" s="216"/>
      <c r="Y119" s="216"/>
      <c r="Z119" s="227">
        <f>COUNTIFS(
    estq[empresa], Z$6,
    estq[Data da venda / reserva], "&gt;=" &amp; $A119,
    estq[Data da venda / reserva], "&lt;"  &amp; EOMONTH($A119,0) + 1
)</f>
        <v>0</v>
      </c>
      <c r="AA119" s="228">
        <f ca="1">SUMIFS(rec.uni[2030-09-01],
INDIRECT("rec.uni[natureza]"),"pro.soluto",
INDIRECT("rec.uni[empresa]"),AA$6)</f>
        <v>0</v>
      </c>
      <c r="AB119" s="228">
        <f ca="1">SUMIFS(rec.uni[2030-09-01],
INDIRECT("rec.uni[natureza]"),"repasse.cef.obra",
INDIRECT("rec.uni[empresa]"),AB$6)</f>
        <v>0</v>
      </c>
      <c r="AC119" s="231">
        <f ca="1">SUMIFS(rec.uni[2030-09-01],
INDIRECT("rec.uni[natureza]"),"repasse.cef.terreno",
INDIRECT("rec.uni[empresa]"),AC$6)</f>
        <v>0</v>
      </c>
      <c r="AD119" s="232"/>
      <c r="AE119" s="228">
        <f ca="1">SUMIFS(rec.uni[2030-09-01],
INDIRECT("rec.uni[natureza]"),"taxa.extra",
INDIRECT("rec.uni[empresa]"),AE$6)</f>
        <v>0</v>
      </c>
      <c r="AF119" s="216"/>
      <c r="AG119" s="216"/>
      <c r="AH119" s="216"/>
      <c r="AI119" s="216"/>
      <c r="AJ119" s="216"/>
      <c r="AK119" s="216"/>
      <c r="AL119" s="227">
        <f>COUNTIFS(
    estq[empresa], AL$6,
    estq[Data da venda / reserva], "&gt;=" &amp; $A119,
    estq[Data da venda / reserva], "&lt;"  &amp; EOMONTH($A119,0) + 1
)</f>
        <v>0</v>
      </c>
      <c r="AM119" s="228">
        <f ca="1">SUMIFS(rec.uni[2030-09-01],
INDIRECT("rec.uni[natureza]"),"pro.soluto",
INDIRECT("rec.uni[empresa]"),AM$6)</f>
        <v>0</v>
      </c>
      <c r="AN119" s="228">
        <f ca="1">SUMIFS(rec.uni[2030-09-01],
INDIRECT("rec.uni[natureza]"),"repasse.cef.obra",
INDIRECT("rec.uni[empresa]"),AN$6)</f>
        <v>0</v>
      </c>
      <c r="AO119" s="231">
        <f ca="1">SUMIFS(rec.uni[2030-09-01],
INDIRECT("rec.uni[natureza]"),"repasse.cef.terreno",
INDIRECT("rec.uni[empresa]"),AO$6)</f>
        <v>0</v>
      </c>
      <c r="AP119" s="232"/>
      <c r="AQ119" s="228">
        <f ca="1">SUMIFS(rec.uni[2030-09-01],
INDIRECT("rec.uni[natureza]"),"taxa.extra",
INDIRECT("rec.uni[empresa]"),AQ$6)</f>
        <v>0</v>
      </c>
      <c r="AR119" s="216"/>
      <c r="AS119" s="216"/>
      <c r="AT119" s="216"/>
      <c r="AU119" s="216"/>
      <c r="AV119" s="216"/>
      <c r="AW119" s="216"/>
      <c r="AX119" s="227">
        <f>COUNTIFS(
    estq[empresa], AX$6,
    estq[Data da venda / reserva], "&gt;=" &amp; $A119,
    estq[Data da venda / reserva], "&lt;"  &amp; EOMONTH($A119,0) + 1
)</f>
        <v>0</v>
      </c>
      <c r="AY119" s="228">
        <f ca="1">SUMIFS(rec.uni[2030-09-01],
INDIRECT("rec.uni[natureza]"),"pro.soluto",
INDIRECT("rec.uni[empresa]"),AY$6)</f>
        <v>0</v>
      </c>
      <c r="AZ119" s="232">
        <f ca="1">SUMIFS(rec.uni[2030-09-01],
INDIRECT("rec.uni[natureza]"),"parcela.fin.total.ik",
INDIRECT("rec.uni[empresa]"),AZ$6)</f>
        <v>0</v>
      </c>
      <c r="BA119" s="228">
        <f ca="1">SUMIFS(rec.uni[2030-09-01],
INDIRECT("rec.uni[natureza]"),"taxa.extra",
INDIRECT("rec.uni[empresa]"),BA$6)</f>
        <v>0</v>
      </c>
      <c r="BB119" s="216"/>
      <c r="BC119" s="216"/>
      <c r="BD119" s="216"/>
      <c r="BE119" s="216"/>
      <c r="BF119" s="216"/>
      <c r="BG119" s="216"/>
      <c r="BH119" s="227">
        <f>COUNTIFS(
    estq[empresa], BH$6,
    estq[Data da venda / reserva], "&gt;=" &amp; $A119,
    estq[Data da venda / reserva], "&lt;"  &amp; EOMONTH($A119,0) + 1
)</f>
        <v>0</v>
      </c>
      <c r="BI119" s="228">
        <f ca="1">SUMIFS(rec.uni[2030-09-01],
INDIRECT("rec.uni[natureza]"),"pro.soluto",
INDIRECT("rec.uni[empresa]"),BI$6)</f>
        <v>0</v>
      </c>
      <c r="BJ119" s="228">
        <f ca="1">SUMIFS(rec.uni[2030-09-01],
INDIRECT("rec.uni[natureza]"),"repasse.cef.obra",
INDIRECT("rec.uni[empresa]"),BJ$6)</f>
        <v>0</v>
      </c>
      <c r="BK119" s="231">
        <f ca="1">SUMIFS(rec.uni[2030-09-01],
INDIRECT("rec.uni[natureza]"),"repasse.cef.terreno",
INDIRECT("rec.uni[empresa]"),BK$6)</f>
        <v>0</v>
      </c>
      <c r="BL119" s="232"/>
      <c r="BM119" s="228">
        <f ca="1">SUMIFS(rec.uni[2030-09-01],
INDIRECT("rec.uni[natureza]"),"taxa.extra",
INDIRECT("rec.uni[empresa]"),BM$6)</f>
        <v>0</v>
      </c>
      <c r="BN119" s="216"/>
      <c r="BO119" s="216"/>
      <c r="BP119" s="216"/>
      <c r="BQ119" s="216"/>
      <c r="BR119" s="216"/>
      <c r="BS119" s="216"/>
      <c r="BT119" s="227">
        <f>COUNTIFS(
    estq[empresa], BT$6,
    estq[Data da venda / reserva], "&gt;=" &amp; $A119,
    estq[Data da venda / reserva], "&lt;"  &amp; EOMONTH($A119,0) + 1
)</f>
        <v>0</v>
      </c>
      <c r="BU119" s="228">
        <f ca="1">SUMIFS(rec.uni[2030-09-01],
INDIRECT("rec.uni[natureza]"),"pro.soluto",
INDIRECT("rec.uni[empresa]"),BU$6)</f>
        <v>0</v>
      </c>
      <c r="BV119" s="228">
        <f ca="1">SUMIFS(rec.uni[2030-09-01],
INDIRECT("rec.uni[natureza]"),"repasse.cef.obra",
INDIRECT("rec.uni[empresa]"),BV$6)</f>
        <v>0</v>
      </c>
      <c r="BW119" s="231">
        <f ca="1">SUMIFS(rec.uni[2030-09-01],
INDIRECT("rec.uni[natureza]"),"repasse.cef.terreno",
INDIRECT("rec.uni[empresa]"),BW$6)</f>
        <v>0</v>
      </c>
      <c r="BX119" s="232"/>
      <c r="BY119" s="228">
        <f ca="1">SUMIFS(rec.uni[2030-09-01],
INDIRECT("rec.uni[natureza]"),"taxa.extra",
INDIRECT("rec.uni[empresa]"),BY$6)</f>
        <v>0</v>
      </c>
      <c r="BZ119" s="216"/>
      <c r="CA119" s="216"/>
      <c r="CB119" s="216"/>
      <c r="CC119" s="216"/>
      <c r="CD119" s="216"/>
      <c r="CE119" s="216"/>
    </row>
    <row r="120" spans="1:83" x14ac:dyDescent="0.25">
      <c r="A120" s="226">
        <v>47757</v>
      </c>
      <c r="B120" s="227">
        <f>COUNTIFS(
    estq[empresa], B$6,
    estq[Data da venda / reserva], "&gt;=" &amp; $A120,
    estq[Data da venda / reserva], "&lt;"  &amp; EOMONTH($A120,0) + 1
)</f>
        <v>0</v>
      </c>
      <c r="C120" s="228">
        <f ca="1">SUMIFS(rec.uni[2030-10-01],
INDIRECT("rec.uni[natureza]"),"pro.soluto",
INDIRECT("rec.uni[empresa]"),C$6)</f>
        <v>0</v>
      </c>
      <c r="D120" s="228">
        <f ca="1">SUMIFS(rec.uni[2030-10-01],
INDIRECT("rec.uni[natureza]"),"repasse.cef.obra",
INDIRECT("rec.uni[empresa]"),D$6)</f>
        <v>0</v>
      </c>
      <c r="E120" s="228">
        <f ca="1">SUMIFS(rec.uni[2030-10-01],
INDIRECT("rec.uni[natureza]"),"repasse.cef.terreno",
INDIRECT("rec.uni[empresa]"),E$6)</f>
        <v>0</v>
      </c>
      <c r="F120" s="232"/>
      <c r="G120" s="228">
        <f ca="1">SUMIFS(rec.uni[2030-10-01],
INDIRECT("rec.uni[natureza]"),"taxa.extra",
INDIRECT("rec.uni[empresa]"),G$6)</f>
        <v>0</v>
      </c>
      <c r="H120" s="216"/>
      <c r="I120" s="216"/>
      <c r="J120" s="216"/>
      <c r="K120" s="216"/>
      <c r="L120" s="216"/>
      <c r="M120" s="216"/>
      <c r="N120" s="227">
        <f>COUNTIFS(
    estq[empresa], N$6,
    estq[Data da venda / reserva], "&gt;=" &amp; $A120,
    estq[Data da venda / reserva], "&lt;"  &amp; EOMONTH($A120,0) + 1
)</f>
        <v>0</v>
      </c>
      <c r="O120" s="228">
        <f ca="1">SUMIFS(rec.uni[2030-10-01],
INDIRECT("rec.uni[natureza]"),"pro.soluto",
INDIRECT("rec.uni[empresa]"),O$6)</f>
        <v>0</v>
      </c>
      <c r="P120" s="228">
        <f ca="1">SUMIFS(rec.uni[2030-10-01],
INDIRECT("rec.uni[natureza]"),"repasse.cef.obra",
INDIRECT("rec.uni[empresa]"),P$6)</f>
        <v>0</v>
      </c>
      <c r="Q120" s="228">
        <f ca="1">SUMIFS(rec.uni[2030-10-01],
INDIRECT("rec.uni[natureza]"),"repasse.cef.terreno",
INDIRECT("rec.uni[empresa]"),Q$6)</f>
        <v>0</v>
      </c>
      <c r="R120" s="232"/>
      <c r="S120" s="228">
        <f ca="1">SUMIFS(rec.uni[2030-10-01],
INDIRECT("rec.uni[natureza]"),"taxa.extra",
INDIRECT("rec.uni[empresa]"),S$6)</f>
        <v>0</v>
      </c>
      <c r="T120" s="216"/>
      <c r="U120" s="216"/>
      <c r="V120" s="216"/>
      <c r="W120" s="216"/>
      <c r="X120" s="216"/>
      <c r="Y120" s="216"/>
      <c r="Z120" s="227">
        <f>COUNTIFS(
    estq[empresa], Z$6,
    estq[Data da venda / reserva], "&gt;=" &amp; $A120,
    estq[Data da venda / reserva], "&lt;"  &amp; EOMONTH($A120,0) + 1
)</f>
        <v>0</v>
      </c>
      <c r="AA120" s="228">
        <f ca="1">SUMIFS(rec.uni[2030-10-01],
INDIRECT("rec.uni[natureza]"),"pro.soluto",
INDIRECT("rec.uni[empresa]"),AA$6)</f>
        <v>0</v>
      </c>
      <c r="AB120" s="228">
        <f ca="1">SUMIFS(rec.uni[2030-10-01],
INDIRECT("rec.uni[natureza]"),"repasse.cef.obra",
INDIRECT("rec.uni[empresa]"),AB$6)</f>
        <v>0</v>
      </c>
      <c r="AC120" s="231">
        <f ca="1">SUMIFS(rec.uni[2030-10-01],
INDIRECT("rec.uni[natureza]"),"repasse.cef.terreno",
INDIRECT("rec.uni[empresa]"),AC$6)</f>
        <v>0</v>
      </c>
      <c r="AD120" s="232"/>
      <c r="AE120" s="228">
        <f ca="1">SUMIFS(rec.uni[2030-10-01],
INDIRECT("rec.uni[natureza]"),"taxa.extra",
INDIRECT("rec.uni[empresa]"),AE$6)</f>
        <v>0</v>
      </c>
      <c r="AF120" s="216"/>
      <c r="AG120" s="216"/>
      <c r="AH120" s="216"/>
      <c r="AI120" s="216"/>
      <c r="AJ120" s="216"/>
      <c r="AK120" s="216"/>
      <c r="AL120" s="227">
        <f>COUNTIFS(
    estq[empresa], AL$6,
    estq[Data da venda / reserva], "&gt;=" &amp; $A120,
    estq[Data da venda / reserva], "&lt;"  &amp; EOMONTH($A120,0) + 1
)</f>
        <v>0</v>
      </c>
      <c r="AM120" s="228">
        <f ca="1">SUMIFS(rec.uni[2030-10-01],
INDIRECT("rec.uni[natureza]"),"pro.soluto",
INDIRECT("rec.uni[empresa]"),AM$6)</f>
        <v>0</v>
      </c>
      <c r="AN120" s="228">
        <f ca="1">SUMIFS(rec.uni[2030-10-01],
INDIRECT("rec.uni[natureza]"),"repasse.cef.obra",
INDIRECT("rec.uni[empresa]"),AN$6)</f>
        <v>0</v>
      </c>
      <c r="AO120" s="231">
        <f ca="1">SUMIFS(rec.uni[2030-10-01],
INDIRECT("rec.uni[natureza]"),"repasse.cef.terreno",
INDIRECT("rec.uni[empresa]"),AO$6)</f>
        <v>0</v>
      </c>
      <c r="AP120" s="232"/>
      <c r="AQ120" s="228">
        <f ca="1">SUMIFS(rec.uni[2030-10-01],
INDIRECT("rec.uni[natureza]"),"taxa.extra",
INDIRECT("rec.uni[empresa]"),AQ$6)</f>
        <v>0</v>
      </c>
      <c r="AR120" s="216"/>
      <c r="AS120" s="216"/>
      <c r="AT120" s="216"/>
      <c r="AU120" s="216"/>
      <c r="AV120" s="216"/>
      <c r="AW120" s="216"/>
      <c r="AX120" s="227">
        <f>COUNTIFS(
    estq[empresa], AX$6,
    estq[Data da venda / reserva], "&gt;=" &amp; $A120,
    estq[Data da venda / reserva], "&lt;"  &amp; EOMONTH($A120,0) + 1
)</f>
        <v>0</v>
      </c>
      <c r="AY120" s="228">
        <f ca="1">SUMIFS(rec.uni[2030-10-01],
INDIRECT("rec.uni[natureza]"),"pro.soluto",
INDIRECT("rec.uni[empresa]"),AY$6)</f>
        <v>0</v>
      </c>
      <c r="AZ120" s="232">
        <f ca="1">SUMIFS(rec.uni[2030-10-01],
INDIRECT("rec.uni[natureza]"),"parcela.fin.total.ik",
INDIRECT("rec.uni[empresa]"),AZ$6)</f>
        <v>0</v>
      </c>
      <c r="BA120" s="228">
        <f ca="1">SUMIFS(rec.uni[2030-10-01],
INDIRECT("rec.uni[natureza]"),"taxa.extra",
INDIRECT("rec.uni[empresa]"),BA$6)</f>
        <v>0</v>
      </c>
      <c r="BB120" s="216"/>
      <c r="BC120" s="216"/>
      <c r="BD120" s="216"/>
      <c r="BE120" s="216"/>
      <c r="BF120" s="216"/>
      <c r="BG120" s="216"/>
      <c r="BH120" s="227">
        <f>COUNTIFS(
    estq[empresa], BH$6,
    estq[Data da venda / reserva], "&gt;=" &amp; $A120,
    estq[Data da venda / reserva], "&lt;"  &amp; EOMONTH($A120,0) + 1
)</f>
        <v>0</v>
      </c>
      <c r="BI120" s="228">
        <f ca="1">SUMIFS(rec.uni[2030-10-01],
INDIRECT("rec.uni[natureza]"),"pro.soluto",
INDIRECT("rec.uni[empresa]"),BI$6)</f>
        <v>0</v>
      </c>
      <c r="BJ120" s="228">
        <f ca="1">SUMIFS(rec.uni[2030-10-01],
INDIRECT("rec.uni[natureza]"),"repasse.cef.obra",
INDIRECT("rec.uni[empresa]"),BJ$6)</f>
        <v>0</v>
      </c>
      <c r="BK120" s="231">
        <f ca="1">SUMIFS(rec.uni[2030-10-01],
INDIRECT("rec.uni[natureza]"),"repasse.cef.terreno",
INDIRECT("rec.uni[empresa]"),BK$6)</f>
        <v>0</v>
      </c>
      <c r="BL120" s="232"/>
      <c r="BM120" s="228">
        <f ca="1">SUMIFS(rec.uni[2030-10-01],
INDIRECT("rec.uni[natureza]"),"taxa.extra",
INDIRECT("rec.uni[empresa]"),BM$6)</f>
        <v>0</v>
      </c>
      <c r="BN120" s="216"/>
      <c r="BO120" s="216"/>
      <c r="BP120" s="216"/>
      <c r="BQ120" s="216"/>
      <c r="BR120" s="216"/>
      <c r="BS120" s="216"/>
      <c r="BT120" s="227">
        <f>COUNTIFS(
    estq[empresa], BT$6,
    estq[Data da venda / reserva], "&gt;=" &amp; $A120,
    estq[Data da venda / reserva], "&lt;"  &amp; EOMONTH($A120,0) + 1
)</f>
        <v>0</v>
      </c>
      <c r="BU120" s="228">
        <f ca="1">SUMIFS(rec.uni[2030-10-01],
INDIRECT("rec.uni[natureza]"),"pro.soluto",
INDIRECT("rec.uni[empresa]"),BU$6)</f>
        <v>0</v>
      </c>
      <c r="BV120" s="228">
        <f ca="1">SUMIFS(rec.uni[2030-10-01],
INDIRECT("rec.uni[natureza]"),"repasse.cef.obra",
INDIRECT("rec.uni[empresa]"),BV$6)</f>
        <v>0</v>
      </c>
      <c r="BW120" s="231">
        <f ca="1">SUMIFS(rec.uni[2030-10-01],
INDIRECT("rec.uni[natureza]"),"repasse.cef.terreno",
INDIRECT("rec.uni[empresa]"),BW$6)</f>
        <v>0</v>
      </c>
      <c r="BX120" s="232"/>
      <c r="BY120" s="228">
        <f ca="1">SUMIFS(rec.uni[2030-10-01],
INDIRECT("rec.uni[natureza]"),"taxa.extra",
INDIRECT("rec.uni[empresa]"),BY$6)</f>
        <v>0</v>
      </c>
      <c r="BZ120" s="216"/>
      <c r="CA120" s="216"/>
      <c r="CB120" s="216"/>
      <c r="CC120" s="216"/>
      <c r="CD120" s="216"/>
      <c r="CE120" s="216"/>
    </row>
    <row r="121" spans="1:83" x14ac:dyDescent="0.25">
      <c r="A121" s="226">
        <v>47788</v>
      </c>
      <c r="B121" s="227">
        <f>COUNTIFS(
    estq[empresa], B$6,
    estq[Data da venda / reserva], "&gt;=" &amp; $A121,
    estq[Data da venda / reserva], "&lt;"  &amp; EOMONTH($A121,0) + 1
)</f>
        <v>0</v>
      </c>
      <c r="C121" s="228">
        <f ca="1">SUMIFS(rec.uni[2030-11-01],
INDIRECT("rec.uni[natureza]"),"pro.soluto",
INDIRECT("rec.uni[empresa]"),C$6)</f>
        <v>0</v>
      </c>
      <c r="D121" s="228">
        <f ca="1">SUMIFS(rec.uni[2030-11-01],
INDIRECT("rec.uni[natureza]"),"repasse.cef.obra",
INDIRECT("rec.uni[empresa]"),D$6)</f>
        <v>0</v>
      </c>
      <c r="E121" s="228">
        <f ca="1">SUMIFS(rec.uni[2030-11-01],
INDIRECT("rec.uni[natureza]"),"repasse.cef.terreno",
INDIRECT("rec.uni[empresa]"),E$6)</f>
        <v>0</v>
      </c>
      <c r="F121" s="232"/>
      <c r="G121" s="228">
        <f ca="1">SUMIFS(rec.uni[2030-11-01],
INDIRECT("rec.uni[natureza]"),"taxa.extra",
INDIRECT("rec.uni[empresa]"),G$6)</f>
        <v>0</v>
      </c>
      <c r="H121" s="216"/>
      <c r="I121" s="216"/>
      <c r="J121" s="216"/>
      <c r="K121" s="216"/>
      <c r="L121" s="216"/>
      <c r="M121" s="216"/>
      <c r="N121" s="227">
        <f>COUNTIFS(
    estq[empresa], N$6,
    estq[Data da venda / reserva], "&gt;=" &amp; $A121,
    estq[Data da venda / reserva], "&lt;"  &amp; EOMONTH($A121,0) + 1
)</f>
        <v>0</v>
      </c>
      <c r="O121" s="228">
        <f ca="1">SUMIFS(rec.uni[2030-11-01],
INDIRECT("rec.uni[natureza]"),"pro.soluto",
INDIRECT("rec.uni[empresa]"),O$6)</f>
        <v>0</v>
      </c>
      <c r="P121" s="228">
        <f ca="1">SUMIFS(rec.uni[2030-11-01],
INDIRECT("rec.uni[natureza]"),"repasse.cef.obra",
INDIRECT("rec.uni[empresa]"),P$6)</f>
        <v>0</v>
      </c>
      <c r="Q121" s="228">
        <f ca="1">SUMIFS(rec.uni[2030-11-01],
INDIRECT("rec.uni[natureza]"),"repasse.cef.terreno",
INDIRECT("rec.uni[empresa]"),Q$6)</f>
        <v>0</v>
      </c>
      <c r="R121" s="232"/>
      <c r="S121" s="228">
        <f ca="1">SUMIFS(rec.uni[2030-11-01],
INDIRECT("rec.uni[natureza]"),"taxa.extra",
INDIRECT("rec.uni[empresa]"),S$6)</f>
        <v>0</v>
      </c>
      <c r="T121" s="216"/>
      <c r="U121" s="216"/>
      <c r="V121" s="216"/>
      <c r="W121" s="216"/>
      <c r="X121" s="216"/>
      <c r="Y121" s="216"/>
      <c r="Z121" s="227">
        <f>COUNTIFS(
    estq[empresa], Z$6,
    estq[Data da venda / reserva], "&gt;=" &amp; $A121,
    estq[Data da venda / reserva], "&lt;"  &amp; EOMONTH($A121,0) + 1
)</f>
        <v>0</v>
      </c>
      <c r="AA121" s="228">
        <f ca="1">SUMIFS(rec.uni[2030-11-01],
INDIRECT("rec.uni[natureza]"),"pro.soluto",
INDIRECT("rec.uni[empresa]"),AA$6)</f>
        <v>0</v>
      </c>
      <c r="AB121" s="228">
        <f ca="1">SUMIFS(rec.uni[2030-11-01],
INDIRECT("rec.uni[natureza]"),"repasse.cef.obra",
INDIRECT("rec.uni[empresa]"),AB$6)</f>
        <v>0</v>
      </c>
      <c r="AC121" s="231">
        <f ca="1">SUMIFS(rec.uni[2030-11-01],
INDIRECT("rec.uni[natureza]"),"repasse.cef.terreno",
INDIRECT("rec.uni[empresa]"),AC$6)</f>
        <v>0</v>
      </c>
      <c r="AD121" s="232"/>
      <c r="AE121" s="228">
        <f ca="1">SUMIFS(rec.uni[2030-11-01],
INDIRECT("rec.uni[natureza]"),"taxa.extra",
INDIRECT("rec.uni[empresa]"),AE$6)</f>
        <v>0</v>
      </c>
      <c r="AF121" s="216"/>
      <c r="AG121" s="216"/>
      <c r="AH121" s="216"/>
      <c r="AI121" s="216"/>
      <c r="AJ121" s="216"/>
      <c r="AK121" s="216"/>
      <c r="AL121" s="227">
        <f>COUNTIFS(
    estq[empresa], AL$6,
    estq[Data da venda / reserva], "&gt;=" &amp; $A121,
    estq[Data da venda / reserva], "&lt;"  &amp; EOMONTH($A121,0) + 1
)</f>
        <v>0</v>
      </c>
      <c r="AM121" s="228">
        <f ca="1">SUMIFS(rec.uni[2030-11-01],
INDIRECT("rec.uni[natureza]"),"pro.soluto",
INDIRECT("rec.uni[empresa]"),AM$6)</f>
        <v>0</v>
      </c>
      <c r="AN121" s="228">
        <f ca="1">SUMIFS(rec.uni[2030-11-01],
INDIRECT("rec.uni[natureza]"),"repasse.cef.obra",
INDIRECT("rec.uni[empresa]"),AN$6)</f>
        <v>0</v>
      </c>
      <c r="AO121" s="231">
        <f ca="1">SUMIFS(rec.uni[2030-11-01],
INDIRECT("rec.uni[natureza]"),"repasse.cef.terreno",
INDIRECT("rec.uni[empresa]"),AO$6)</f>
        <v>0</v>
      </c>
      <c r="AP121" s="232"/>
      <c r="AQ121" s="228">
        <f ca="1">SUMIFS(rec.uni[2030-11-01],
INDIRECT("rec.uni[natureza]"),"taxa.extra",
INDIRECT("rec.uni[empresa]"),AQ$6)</f>
        <v>0</v>
      </c>
      <c r="AR121" s="216"/>
      <c r="AS121" s="216"/>
      <c r="AT121" s="216"/>
      <c r="AU121" s="216"/>
      <c r="AV121" s="216"/>
      <c r="AW121" s="216"/>
      <c r="AX121" s="227">
        <f>COUNTIFS(
    estq[empresa], AX$6,
    estq[Data da venda / reserva], "&gt;=" &amp; $A121,
    estq[Data da venda / reserva], "&lt;"  &amp; EOMONTH($A121,0) + 1
)</f>
        <v>0</v>
      </c>
      <c r="AY121" s="228">
        <f ca="1">SUMIFS(rec.uni[2030-11-01],
INDIRECT("rec.uni[natureza]"),"pro.soluto",
INDIRECT("rec.uni[empresa]"),AY$6)</f>
        <v>0</v>
      </c>
      <c r="AZ121" s="232">
        <f ca="1">SUMIFS(rec.uni[2030-11-01],
INDIRECT("rec.uni[natureza]"),"parcela.fin.total.ik",
INDIRECT("rec.uni[empresa]"),AZ$6)</f>
        <v>0</v>
      </c>
      <c r="BA121" s="228">
        <f ca="1">SUMIFS(rec.uni[2030-11-01],
INDIRECT("rec.uni[natureza]"),"taxa.extra",
INDIRECT("rec.uni[empresa]"),BA$6)</f>
        <v>0</v>
      </c>
      <c r="BB121" s="216"/>
      <c r="BC121" s="216"/>
      <c r="BD121" s="216"/>
      <c r="BE121" s="216"/>
      <c r="BF121" s="216"/>
      <c r="BG121" s="216"/>
      <c r="BH121" s="227">
        <f>COUNTIFS(
    estq[empresa], BH$6,
    estq[Data da venda / reserva], "&gt;=" &amp; $A121,
    estq[Data da venda / reserva], "&lt;"  &amp; EOMONTH($A121,0) + 1
)</f>
        <v>0</v>
      </c>
      <c r="BI121" s="228">
        <f ca="1">SUMIFS(rec.uni[2030-11-01],
INDIRECT("rec.uni[natureza]"),"pro.soluto",
INDIRECT("rec.uni[empresa]"),BI$6)</f>
        <v>0</v>
      </c>
      <c r="BJ121" s="228">
        <f ca="1">SUMIFS(rec.uni[2030-11-01],
INDIRECT("rec.uni[natureza]"),"repasse.cef.obra",
INDIRECT("rec.uni[empresa]"),BJ$6)</f>
        <v>0</v>
      </c>
      <c r="BK121" s="231">
        <f ca="1">SUMIFS(rec.uni[2030-11-01],
INDIRECT("rec.uni[natureza]"),"repasse.cef.terreno",
INDIRECT("rec.uni[empresa]"),BK$6)</f>
        <v>0</v>
      </c>
      <c r="BL121" s="232"/>
      <c r="BM121" s="228">
        <f ca="1">SUMIFS(rec.uni[2030-11-01],
INDIRECT("rec.uni[natureza]"),"taxa.extra",
INDIRECT("rec.uni[empresa]"),BM$6)</f>
        <v>0</v>
      </c>
      <c r="BN121" s="216"/>
      <c r="BO121" s="216"/>
      <c r="BP121" s="216"/>
      <c r="BQ121" s="216"/>
      <c r="BR121" s="216"/>
      <c r="BS121" s="216"/>
      <c r="BT121" s="227">
        <f>COUNTIFS(
    estq[empresa], BT$6,
    estq[Data da venda / reserva], "&gt;=" &amp; $A121,
    estq[Data da venda / reserva], "&lt;"  &amp; EOMONTH($A121,0) + 1
)</f>
        <v>0</v>
      </c>
      <c r="BU121" s="228">
        <f ca="1">SUMIFS(rec.uni[2030-11-01],
INDIRECT("rec.uni[natureza]"),"pro.soluto",
INDIRECT("rec.uni[empresa]"),BU$6)</f>
        <v>0</v>
      </c>
      <c r="BV121" s="228">
        <f ca="1">SUMIFS(rec.uni[2030-11-01],
INDIRECT("rec.uni[natureza]"),"repasse.cef.obra",
INDIRECT("rec.uni[empresa]"),BV$6)</f>
        <v>0</v>
      </c>
      <c r="BW121" s="231">
        <f ca="1">SUMIFS(rec.uni[2030-11-01],
INDIRECT("rec.uni[natureza]"),"repasse.cef.terreno",
INDIRECT("rec.uni[empresa]"),BW$6)</f>
        <v>0</v>
      </c>
      <c r="BX121" s="232"/>
      <c r="BY121" s="228">
        <f ca="1">SUMIFS(rec.uni[2030-11-01],
INDIRECT("rec.uni[natureza]"),"taxa.extra",
INDIRECT("rec.uni[empresa]"),BY$6)</f>
        <v>0</v>
      </c>
      <c r="BZ121" s="216"/>
      <c r="CA121" s="216"/>
      <c r="CB121" s="216"/>
      <c r="CC121" s="216"/>
      <c r="CD121" s="216"/>
      <c r="CE121" s="216"/>
    </row>
    <row r="122" spans="1:83" x14ac:dyDescent="0.25">
      <c r="A122" s="226">
        <v>47818</v>
      </c>
      <c r="B122" s="233">
        <f>COUNTIFS(
    estq[empresa], B$6,
    estq[Data da venda / reserva], "&gt;=" &amp; $A122,
    estq[Data da venda / reserva], "&lt;"  &amp; EOMONTH($A122,0) + 1
)</f>
        <v>0</v>
      </c>
      <c r="C122" s="234">
        <f ca="1">SUMIFS(rec.uni[2030-12-01],
INDIRECT("rec.uni[natureza]"),"pro.soluto",
INDIRECT("rec.uni[empresa]"),C$6)</f>
        <v>0</v>
      </c>
      <c r="D122" s="234">
        <f ca="1">SUMIFS(rec.uni[2030-12-01],
INDIRECT("rec.uni[natureza]"),"repasse.cef.obra",
INDIRECT("rec.uni[empresa]"),D$6)</f>
        <v>0</v>
      </c>
      <c r="E122" s="234">
        <f ca="1">SUMIFS(rec.uni[2030-12-01],
INDIRECT("rec.uni[natureza]"),"repasse.cef.terreno",
INDIRECT("rec.uni[empresa]"),E$6)</f>
        <v>0</v>
      </c>
      <c r="F122" s="235"/>
      <c r="G122" s="234">
        <f ca="1">SUMIFS(rec.uni[2030-12-01],
INDIRECT("rec.uni[natureza]"),"taxa.extra",
INDIRECT("rec.uni[empresa]"),G$6)</f>
        <v>0</v>
      </c>
      <c r="H122" s="236"/>
      <c r="I122" s="236"/>
      <c r="J122" s="236"/>
      <c r="K122" s="236"/>
      <c r="L122" s="236"/>
      <c r="M122" s="236"/>
      <c r="N122" s="233">
        <f>COUNTIFS(
    estq[empresa], N$6,
    estq[Data da venda / reserva], "&gt;=" &amp; $A122,
    estq[Data da venda / reserva], "&lt;"  &amp; EOMONTH($A122,0) + 1
)</f>
        <v>0</v>
      </c>
      <c r="O122" s="234">
        <f ca="1">SUMIFS(rec.uni[2030-12-01],
INDIRECT("rec.uni[natureza]"),"pro.soluto",
INDIRECT("rec.uni[empresa]"),O$6)</f>
        <v>0</v>
      </c>
      <c r="P122" s="234">
        <f ca="1">SUMIFS(rec.uni[2030-12-01],
INDIRECT("rec.uni[natureza]"),"repasse.cef.obra",
INDIRECT("rec.uni[empresa]"),P$6)</f>
        <v>0</v>
      </c>
      <c r="Q122" s="234">
        <f ca="1">SUMIFS(rec.uni[2030-12-01],
INDIRECT("rec.uni[natureza]"),"repasse.cef.terreno",
INDIRECT("rec.uni[empresa]"),Q$6)</f>
        <v>0</v>
      </c>
      <c r="R122" s="235"/>
      <c r="S122" s="234">
        <f ca="1">SUMIFS(rec.uni[2030-12-01],
INDIRECT("rec.uni[natureza]"),"taxa.extra",
INDIRECT("rec.uni[empresa]"),S$6)</f>
        <v>0</v>
      </c>
      <c r="T122" s="236"/>
      <c r="U122" s="236"/>
      <c r="V122" s="236"/>
      <c r="W122" s="236"/>
      <c r="X122" s="236"/>
      <c r="Y122" s="236"/>
      <c r="Z122" s="233">
        <f>COUNTIFS(
    estq[empresa], Z$6,
    estq[Data da venda / reserva], "&gt;=" &amp; $A122,
    estq[Data da venda / reserva], "&lt;"  &amp; EOMONTH($A122,0) + 1
)</f>
        <v>0</v>
      </c>
      <c r="AA122" s="234">
        <f ca="1">SUMIFS(rec.uni[2030-12-01],
INDIRECT("rec.uni[natureza]"),"pro.soluto",
INDIRECT("rec.uni[empresa]"),AA$6)</f>
        <v>0</v>
      </c>
      <c r="AB122" s="234">
        <f ca="1">SUMIFS(rec.uni[2030-12-01],
INDIRECT("rec.uni[natureza]"),"repasse.cef.obra",
INDIRECT("rec.uni[empresa]"),AB$6)</f>
        <v>0</v>
      </c>
      <c r="AC122" s="237">
        <f ca="1">SUMIFS(rec.uni[2030-12-01],
INDIRECT("rec.uni[natureza]"),"repasse.cef.terreno",
INDIRECT("rec.uni[empresa]"),AC$6)</f>
        <v>0</v>
      </c>
      <c r="AD122" s="235"/>
      <c r="AE122" s="234">
        <f ca="1">SUMIFS(rec.uni[2030-12-01],
INDIRECT("rec.uni[natureza]"),"taxa.extra",
INDIRECT("rec.uni[empresa]"),AE$6)</f>
        <v>0</v>
      </c>
      <c r="AF122" s="236"/>
      <c r="AG122" s="236"/>
      <c r="AH122" s="236"/>
      <c r="AI122" s="236"/>
      <c r="AJ122" s="236"/>
      <c r="AK122" s="236"/>
      <c r="AL122" s="233">
        <f>COUNTIFS(
    estq[empresa], AL$6,
    estq[Data da venda / reserva], "&gt;=" &amp; $A122,
    estq[Data da venda / reserva], "&lt;"  &amp; EOMONTH($A122,0) + 1
)</f>
        <v>0</v>
      </c>
      <c r="AM122" s="234">
        <f ca="1">SUMIFS(rec.uni[2030-12-01],
INDIRECT("rec.uni[natureza]"),"pro.soluto",
INDIRECT("rec.uni[empresa]"),AM$6)</f>
        <v>0</v>
      </c>
      <c r="AN122" s="234">
        <f ca="1">SUMIFS(rec.uni[2030-12-01],
INDIRECT("rec.uni[natureza]"),"repasse.cef.obra",
INDIRECT("rec.uni[empresa]"),AN$6)</f>
        <v>0</v>
      </c>
      <c r="AO122" s="237">
        <f ca="1">SUMIFS(rec.uni[2030-12-01],
INDIRECT("rec.uni[natureza]"),"repasse.cef.terreno",
INDIRECT("rec.uni[empresa]"),AO$6)</f>
        <v>0</v>
      </c>
      <c r="AP122" s="235"/>
      <c r="AQ122" s="234">
        <f ca="1">SUMIFS(rec.uni[2030-12-01],
INDIRECT("rec.uni[natureza]"),"taxa.extra",
INDIRECT("rec.uni[empresa]"),AQ$6)</f>
        <v>0</v>
      </c>
      <c r="AR122" s="236"/>
      <c r="AS122" s="236"/>
      <c r="AT122" s="236"/>
      <c r="AU122" s="236"/>
      <c r="AV122" s="236"/>
      <c r="AW122" s="236"/>
      <c r="AX122" s="233">
        <f>COUNTIFS(
    estq[empresa], AX$6,
    estq[Data da venda / reserva], "&gt;=" &amp; $A122,
    estq[Data da venda / reserva], "&lt;"  &amp; EOMONTH($A122,0) + 1
)</f>
        <v>0</v>
      </c>
      <c r="AY122" s="234">
        <f ca="1">SUMIFS(rec.uni[2030-12-01],
INDIRECT("rec.uni[natureza]"),"pro.soluto",
INDIRECT("rec.uni[empresa]"),AY$6)</f>
        <v>0</v>
      </c>
      <c r="AZ122" s="235">
        <f ca="1">SUMIFS(rec.uni[2030-12-01],
INDIRECT("rec.uni[natureza]"),"parcela.fin.total.ik",
INDIRECT("rec.uni[empresa]"),AZ$6)</f>
        <v>0</v>
      </c>
      <c r="BA122" s="234">
        <f ca="1">SUMIFS(rec.uni[2030-12-01],
INDIRECT("rec.uni[natureza]"),"taxa.extra",
INDIRECT("rec.uni[empresa]"),BA$6)</f>
        <v>0</v>
      </c>
      <c r="BB122" s="236"/>
      <c r="BC122" s="236"/>
      <c r="BD122" s="236"/>
      <c r="BE122" s="236"/>
      <c r="BF122" s="236"/>
      <c r="BG122" s="236"/>
      <c r="BH122" s="233">
        <f>COUNTIFS(
    estq[empresa], BH$6,
    estq[Data da venda / reserva], "&gt;=" &amp; $A122,
    estq[Data da venda / reserva], "&lt;"  &amp; EOMONTH($A122,0) + 1
)</f>
        <v>0</v>
      </c>
      <c r="BI122" s="234">
        <f ca="1">SUMIFS(rec.uni[2030-12-01],
INDIRECT("rec.uni[natureza]"),"pro.soluto",
INDIRECT("rec.uni[empresa]"),BI$6)</f>
        <v>0</v>
      </c>
      <c r="BJ122" s="234">
        <f ca="1">SUMIFS(rec.uni[2030-12-01],
INDIRECT("rec.uni[natureza]"),"repasse.cef.obra",
INDIRECT("rec.uni[empresa]"),BJ$6)</f>
        <v>0</v>
      </c>
      <c r="BK122" s="237">
        <f ca="1">SUMIFS(rec.uni[2030-12-01],
INDIRECT("rec.uni[natureza]"),"repasse.cef.terreno",
INDIRECT("rec.uni[empresa]"),BK$6)</f>
        <v>0</v>
      </c>
      <c r="BL122" s="235"/>
      <c r="BM122" s="234">
        <f ca="1">SUMIFS(rec.uni[2030-12-01],
INDIRECT("rec.uni[natureza]"),"taxa.extra",
INDIRECT("rec.uni[empresa]"),BM$6)</f>
        <v>0</v>
      </c>
      <c r="BN122" s="236"/>
      <c r="BO122" s="236"/>
      <c r="BP122" s="236"/>
      <c r="BQ122" s="236"/>
      <c r="BR122" s="236"/>
      <c r="BS122" s="236"/>
      <c r="BT122" s="233">
        <f>COUNTIFS(
    estq[empresa], BT$6,
    estq[Data da venda / reserva], "&gt;=" &amp; $A122,
    estq[Data da venda / reserva], "&lt;"  &amp; EOMONTH($A122,0) + 1
)</f>
        <v>0</v>
      </c>
      <c r="BU122" s="234">
        <f ca="1">SUMIFS(rec.uni[2030-12-01],
INDIRECT("rec.uni[natureza]"),"pro.soluto",
INDIRECT("rec.uni[empresa]"),BU$6)</f>
        <v>0</v>
      </c>
      <c r="BV122" s="234">
        <f ca="1">SUMIFS(rec.uni[2030-12-01],
INDIRECT("rec.uni[natureza]"),"repasse.cef.obra",
INDIRECT("rec.uni[empresa]"),BV$6)</f>
        <v>0</v>
      </c>
      <c r="BW122" s="237">
        <f ca="1">SUMIFS(rec.uni[2030-12-01],
INDIRECT("rec.uni[natureza]"),"repasse.cef.terreno",
INDIRECT("rec.uni[empresa]"),BW$6)</f>
        <v>0</v>
      </c>
      <c r="BX122" s="235"/>
      <c r="BY122" s="234">
        <f ca="1">SUMIFS(rec.uni[2030-12-01],
INDIRECT("rec.uni[natureza]"),"taxa.extra",
INDIRECT("rec.uni[empresa]"),BY$6)</f>
        <v>0</v>
      </c>
      <c r="BZ122" s="236"/>
      <c r="CA122" s="236"/>
      <c r="CB122" s="236"/>
      <c r="CC122" s="236"/>
      <c r="CD122" s="236"/>
      <c r="CE122" s="236"/>
    </row>
  </sheetData>
  <conditionalFormatting sqref="A11:CE122">
    <cfRule type="expression" dxfId="2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>
      <selection activeCell="I12" sqref="I12"/>
    </sheetView>
  </sheetViews>
  <sheetFormatPr defaultRowHeight="15" x14ac:dyDescent="0.25"/>
  <cols>
    <col min="1" max="3" width="45.7109375" customWidth="1"/>
  </cols>
  <sheetData>
    <row r="1" spans="1:5" ht="18.75" x14ac:dyDescent="0.3">
      <c r="A1" s="165" t="s">
        <v>371</v>
      </c>
      <c r="B1" s="165" t="s">
        <v>372</v>
      </c>
      <c r="C1" s="165" t="s">
        <v>373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66" t="s">
        <v>374</v>
      </c>
      <c r="B2" s="167" t="s">
        <v>375</v>
      </c>
      <c r="C2" s="168" t="s">
        <v>376</v>
      </c>
      <c r="E2" t="str">
        <v>Dep. Pessoal - Up Estação Vila Sonia</v>
      </c>
    </row>
    <row r="3" spans="1:5" x14ac:dyDescent="0.25">
      <c r="A3" s="169" t="s">
        <v>377</v>
      </c>
      <c r="B3" s="170" t="s">
        <v>375</v>
      </c>
      <c r="C3" s="171" t="s">
        <v>375</v>
      </c>
      <c r="E3" t="str">
        <v>Dep. Pessoal - Up Jardim Prudencia</v>
      </c>
    </row>
    <row r="4" spans="1:5" x14ac:dyDescent="0.25">
      <c r="A4" s="169" t="s">
        <v>378</v>
      </c>
      <c r="B4" s="170" t="s">
        <v>375</v>
      </c>
      <c r="C4" s="171" t="s">
        <v>375</v>
      </c>
      <c r="E4" t="str">
        <v>Dep. Pessoal - Up Pompeia</v>
      </c>
    </row>
    <row r="5" spans="1:5" x14ac:dyDescent="0.25">
      <c r="A5" s="169" t="s">
        <v>379</v>
      </c>
      <c r="B5" s="170" t="s">
        <v>375</v>
      </c>
      <c r="C5" s="171" t="s">
        <v>375</v>
      </c>
      <c r="E5" t="str">
        <v>Dep. Pessoal - Up Select Vila Sonia</v>
      </c>
    </row>
    <row r="6" spans="1:5" x14ac:dyDescent="0.25">
      <c r="A6" s="169" t="s">
        <v>380</v>
      </c>
      <c r="B6" s="170" t="s">
        <v>375</v>
      </c>
      <c r="C6" s="171" t="s">
        <v>375</v>
      </c>
      <c r="E6" t="str">
        <v>Dep. Pessoal - Up Vila Sonia</v>
      </c>
    </row>
    <row r="7" spans="1:5" ht="15.75" x14ac:dyDescent="0.25">
      <c r="A7" s="169" t="s">
        <v>381</v>
      </c>
      <c r="B7" s="170" t="s">
        <v>375</v>
      </c>
      <c r="C7" s="172"/>
      <c r="E7" t="str">
        <v>Pós Obra/reparos</v>
      </c>
    </row>
    <row r="8" spans="1:5" ht="15.75" x14ac:dyDescent="0.25">
      <c r="A8" s="169" t="s">
        <v>382</v>
      </c>
      <c r="B8" s="173" t="s">
        <v>375</v>
      </c>
      <c r="C8" s="172" t="s">
        <v>375</v>
      </c>
      <c r="E8" t="str">
        <v>Reparos</v>
      </c>
    </row>
    <row r="9" spans="1:5" ht="15.75" x14ac:dyDescent="0.25">
      <c r="A9" s="169" t="s">
        <v>383</v>
      </c>
      <c r="B9" s="170" t="s">
        <v>375</v>
      </c>
      <c r="C9" s="172" t="s">
        <v>384</v>
      </c>
    </row>
    <row r="10" spans="1:5" ht="15.75" x14ac:dyDescent="0.25">
      <c r="A10" s="169" t="s">
        <v>385</v>
      </c>
      <c r="B10" s="170" t="s">
        <v>375</v>
      </c>
      <c r="C10" s="172" t="s">
        <v>384</v>
      </c>
    </row>
    <row r="11" spans="1:5" x14ac:dyDescent="0.25">
      <c r="A11" s="169" t="s">
        <v>386</v>
      </c>
      <c r="B11" s="170" t="s">
        <v>375</v>
      </c>
      <c r="C11" s="171" t="s">
        <v>375</v>
      </c>
    </row>
    <row r="12" spans="1:5" ht="15.75" x14ac:dyDescent="0.25">
      <c r="A12" s="169" t="s">
        <v>387</v>
      </c>
      <c r="B12" s="170" t="s">
        <v>375</v>
      </c>
      <c r="C12" s="172" t="s">
        <v>376</v>
      </c>
    </row>
    <row r="13" spans="1:5" ht="15.75" x14ac:dyDescent="0.25">
      <c r="A13" s="169" t="s">
        <v>388</v>
      </c>
      <c r="B13" s="170" t="s">
        <v>389</v>
      </c>
      <c r="C13" s="172"/>
    </row>
    <row r="14" spans="1:5" ht="15.75" x14ac:dyDescent="0.25">
      <c r="A14" s="169" t="s">
        <v>390</v>
      </c>
      <c r="B14" s="170" t="s">
        <v>20</v>
      </c>
      <c r="C14" s="172" t="s">
        <v>391</v>
      </c>
    </row>
    <row r="15" spans="1:5" ht="15.75" x14ac:dyDescent="0.25">
      <c r="A15" s="169" t="s">
        <v>392</v>
      </c>
      <c r="B15" s="170" t="s">
        <v>393</v>
      </c>
      <c r="C15" s="172" t="s">
        <v>376</v>
      </c>
    </row>
    <row r="16" spans="1:5" ht="15.75" x14ac:dyDescent="0.25">
      <c r="A16" s="169" t="s">
        <v>394</v>
      </c>
      <c r="B16" s="170" t="s">
        <v>375</v>
      </c>
      <c r="C16" s="172" t="s">
        <v>376</v>
      </c>
    </row>
    <row r="17" spans="1:3" ht="15.75" x14ac:dyDescent="0.25">
      <c r="A17" s="169" t="s">
        <v>395</v>
      </c>
      <c r="B17" s="170" t="s">
        <v>375</v>
      </c>
      <c r="C17" s="172" t="s">
        <v>376</v>
      </c>
    </row>
    <row r="18" spans="1:3" ht="15.75" x14ac:dyDescent="0.25">
      <c r="A18" s="169" t="s">
        <v>396</v>
      </c>
      <c r="B18" s="170" t="s">
        <v>375</v>
      </c>
      <c r="C18" s="172" t="s">
        <v>376</v>
      </c>
    </row>
    <row r="19" spans="1:3" ht="15.75" x14ac:dyDescent="0.25">
      <c r="A19" s="169" t="s">
        <v>397</v>
      </c>
      <c r="B19" s="170" t="s">
        <v>375</v>
      </c>
      <c r="C19" s="172"/>
    </row>
    <row r="20" spans="1:3" ht="15.75" x14ac:dyDescent="0.25">
      <c r="A20" s="169" t="s">
        <v>398</v>
      </c>
      <c r="B20" s="170" t="s">
        <v>389</v>
      </c>
      <c r="C20" s="172"/>
    </row>
    <row r="21" spans="1:3" ht="15.75" x14ac:dyDescent="0.25">
      <c r="A21" s="169" t="s">
        <v>399</v>
      </c>
      <c r="B21" s="170" t="s">
        <v>375</v>
      </c>
      <c r="C21" s="172" t="s">
        <v>384</v>
      </c>
    </row>
    <row r="22" spans="1:3" ht="15.75" x14ac:dyDescent="0.25">
      <c r="A22" s="169" t="s">
        <v>400</v>
      </c>
      <c r="B22" s="170" t="s">
        <v>401</v>
      </c>
      <c r="C22" s="172" t="s">
        <v>402</v>
      </c>
    </row>
    <row r="23" spans="1:3" ht="15.75" x14ac:dyDescent="0.25">
      <c r="A23" s="169" t="s">
        <v>403</v>
      </c>
      <c r="B23" s="170" t="s">
        <v>375</v>
      </c>
      <c r="C23" s="172" t="s">
        <v>375</v>
      </c>
    </row>
    <row r="24" spans="1:3" ht="15.75" x14ac:dyDescent="0.25">
      <c r="A24" s="169" t="s">
        <v>404</v>
      </c>
      <c r="B24" s="170" t="s">
        <v>375</v>
      </c>
      <c r="C24" s="172" t="s">
        <v>375</v>
      </c>
    </row>
    <row r="25" spans="1:3" ht="15.75" x14ac:dyDescent="0.25">
      <c r="A25" s="169" t="s">
        <v>405</v>
      </c>
      <c r="B25" s="170" t="s">
        <v>375</v>
      </c>
      <c r="C25" s="172" t="s">
        <v>375</v>
      </c>
    </row>
    <row r="26" spans="1:3" ht="15.75" x14ac:dyDescent="0.25">
      <c r="A26" s="169" t="s">
        <v>406</v>
      </c>
      <c r="B26" s="170" t="s">
        <v>375</v>
      </c>
      <c r="C26" s="172" t="s">
        <v>375</v>
      </c>
    </row>
    <row r="27" spans="1:3" ht="15.75" x14ac:dyDescent="0.25">
      <c r="A27" s="169" t="s">
        <v>407</v>
      </c>
      <c r="B27" s="170" t="s">
        <v>375</v>
      </c>
      <c r="C27" s="172" t="s">
        <v>375</v>
      </c>
    </row>
    <row r="28" spans="1:3" ht="15.75" x14ac:dyDescent="0.25">
      <c r="A28" s="169" t="s">
        <v>408</v>
      </c>
      <c r="B28" s="170" t="s">
        <v>393</v>
      </c>
      <c r="C28" s="172" t="s">
        <v>376</v>
      </c>
    </row>
    <row r="29" spans="1:3" ht="15.75" x14ac:dyDescent="0.25">
      <c r="A29" s="169" t="s">
        <v>409</v>
      </c>
      <c r="B29" s="170" t="s">
        <v>393</v>
      </c>
      <c r="C29" s="172" t="s">
        <v>376</v>
      </c>
    </row>
    <row r="30" spans="1:3" ht="15.75" x14ac:dyDescent="0.25">
      <c r="A30" s="169" t="s">
        <v>410</v>
      </c>
      <c r="B30" s="170" t="s">
        <v>393</v>
      </c>
      <c r="C30" s="172" t="s">
        <v>376</v>
      </c>
    </row>
    <row r="31" spans="1:3" ht="15.75" x14ac:dyDescent="0.25">
      <c r="A31" s="169" t="s">
        <v>411</v>
      </c>
      <c r="B31" s="170" t="s">
        <v>393</v>
      </c>
      <c r="C31" s="172" t="s">
        <v>376</v>
      </c>
    </row>
    <row r="32" spans="1:3" ht="15.75" x14ac:dyDescent="0.25">
      <c r="A32" s="169" t="s">
        <v>412</v>
      </c>
      <c r="B32" s="170" t="s">
        <v>393</v>
      </c>
      <c r="C32" s="172" t="s">
        <v>376</v>
      </c>
    </row>
    <row r="33" spans="1:3" ht="15.75" x14ac:dyDescent="0.25">
      <c r="A33" s="169" t="s">
        <v>413</v>
      </c>
      <c r="B33" s="171" t="s">
        <v>375</v>
      </c>
      <c r="C33" s="172" t="s">
        <v>375</v>
      </c>
    </row>
    <row r="34" spans="1:3" ht="15.75" x14ac:dyDescent="0.25">
      <c r="A34" s="169" t="s">
        <v>414</v>
      </c>
      <c r="B34" s="171" t="s">
        <v>375</v>
      </c>
      <c r="C34" s="172" t="s">
        <v>375</v>
      </c>
    </row>
    <row r="35" spans="1:3" ht="15.75" x14ac:dyDescent="0.25">
      <c r="A35" s="169" t="s">
        <v>415</v>
      </c>
      <c r="B35" s="170" t="s">
        <v>401</v>
      </c>
      <c r="C35" s="172"/>
    </row>
    <row r="36" spans="1:3" ht="15.75" x14ac:dyDescent="0.25">
      <c r="A36" s="169" t="s">
        <v>416</v>
      </c>
      <c r="B36" s="170" t="s">
        <v>375</v>
      </c>
      <c r="C36" s="172" t="s">
        <v>384</v>
      </c>
    </row>
    <row r="37" spans="1:3" ht="15.75" x14ac:dyDescent="0.25">
      <c r="A37" s="169" t="s">
        <v>417</v>
      </c>
      <c r="B37" s="170" t="s">
        <v>375</v>
      </c>
      <c r="C37" s="172" t="s">
        <v>384</v>
      </c>
    </row>
    <row r="38" spans="1:3" ht="15.75" x14ac:dyDescent="0.25">
      <c r="A38" s="169" t="s">
        <v>418</v>
      </c>
      <c r="B38" s="170" t="s">
        <v>375</v>
      </c>
      <c r="C38" s="172" t="s">
        <v>384</v>
      </c>
    </row>
    <row r="39" spans="1:3" ht="15.75" x14ac:dyDescent="0.25">
      <c r="A39" s="169" t="s">
        <v>419</v>
      </c>
      <c r="B39" s="170" t="s">
        <v>375</v>
      </c>
      <c r="C39" s="172" t="s">
        <v>420</v>
      </c>
    </row>
    <row r="40" spans="1:3" ht="15.75" x14ac:dyDescent="0.25">
      <c r="A40" s="169" t="s">
        <v>421</v>
      </c>
      <c r="B40" s="170" t="s">
        <v>375</v>
      </c>
      <c r="C40" s="172"/>
    </row>
    <row r="41" spans="1:3" ht="15.75" x14ac:dyDescent="0.25">
      <c r="A41" s="169" t="s">
        <v>422</v>
      </c>
      <c r="B41" s="170" t="s">
        <v>375</v>
      </c>
      <c r="C41" s="172"/>
    </row>
    <row r="42" spans="1:3" ht="15.75" x14ac:dyDescent="0.25">
      <c r="A42" s="169" t="s">
        <v>423</v>
      </c>
      <c r="B42" s="170" t="s">
        <v>375</v>
      </c>
      <c r="C42" s="172" t="s">
        <v>384</v>
      </c>
    </row>
    <row r="43" spans="1:3" ht="15.75" x14ac:dyDescent="0.25">
      <c r="A43" s="169" t="s">
        <v>424</v>
      </c>
      <c r="B43" s="170" t="s">
        <v>401</v>
      </c>
      <c r="C43" s="172" t="s">
        <v>425</v>
      </c>
    </row>
    <row r="44" spans="1:3" ht="15.75" x14ac:dyDescent="0.25">
      <c r="A44" s="169" t="s">
        <v>426</v>
      </c>
      <c r="B44" s="170" t="s">
        <v>375</v>
      </c>
      <c r="C44" s="172" t="s">
        <v>375</v>
      </c>
    </row>
    <row r="45" spans="1:3" ht="15.75" x14ac:dyDescent="0.25">
      <c r="A45" s="169" t="s">
        <v>427</v>
      </c>
      <c r="B45" s="170" t="s">
        <v>20</v>
      </c>
      <c r="C45" s="172" t="s">
        <v>427</v>
      </c>
    </row>
    <row r="46" spans="1:3" ht="15.75" x14ac:dyDescent="0.25">
      <c r="A46" s="169" t="s">
        <v>428</v>
      </c>
      <c r="B46" s="170" t="s">
        <v>20</v>
      </c>
      <c r="C46" s="172" t="s">
        <v>427</v>
      </c>
    </row>
    <row r="47" spans="1:3" ht="15.75" x14ac:dyDescent="0.25">
      <c r="A47" s="169" t="s">
        <v>429</v>
      </c>
      <c r="B47" s="170"/>
      <c r="C47" s="172"/>
    </row>
    <row r="48" spans="1:3" ht="15.75" x14ac:dyDescent="0.25">
      <c r="A48" s="169" t="s">
        <v>430</v>
      </c>
      <c r="B48" s="170" t="s">
        <v>431</v>
      </c>
      <c r="C48" s="172" t="s">
        <v>431</v>
      </c>
    </row>
    <row r="49" spans="1:3" ht="15.75" x14ac:dyDescent="0.25">
      <c r="A49" s="169" t="s">
        <v>432</v>
      </c>
      <c r="B49" s="170" t="s">
        <v>20</v>
      </c>
      <c r="C49" s="172" t="s">
        <v>433</v>
      </c>
    </row>
    <row r="50" spans="1:3" ht="15.75" x14ac:dyDescent="0.25">
      <c r="A50" s="169" t="s">
        <v>434</v>
      </c>
      <c r="B50" s="170" t="s">
        <v>20</v>
      </c>
      <c r="C50" s="172" t="s">
        <v>427</v>
      </c>
    </row>
    <row r="51" spans="1:3" ht="15.75" x14ac:dyDescent="0.25">
      <c r="A51" s="169" t="s">
        <v>435</v>
      </c>
      <c r="B51" s="170" t="s">
        <v>393</v>
      </c>
      <c r="C51" s="172" t="s">
        <v>436</v>
      </c>
    </row>
    <row r="52" spans="1:3" ht="15.75" x14ac:dyDescent="0.25">
      <c r="A52" s="169" t="s">
        <v>437</v>
      </c>
      <c r="B52" s="170" t="s">
        <v>401</v>
      </c>
      <c r="C52" s="172" t="s">
        <v>437</v>
      </c>
    </row>
    <row r="53" spans="1:3" ht="15.75" x14ac:dyDescent="0.25">
      <c r="A53" s="169" t="s">
        <v>438</v>
      </c>
      <c r="B53" s="170" t="s">
        <v>393</v>
      </c>
      <c r="C53" s="172" t="s">
        <v>436</v>
      </c>
    </row>
    <row r="54" spans="1:3" ht="15.75" x14ac:dyDescent="0.25">
      <c r="A54" s="169" t="s">
        <v>439</v>
      </c>
      <c r="B54" s="170" t="s">
        <v>375</v>
      </c>
      <c r="C54" s="172"/>
    </row>
    <row r="55" spans="1:3" ht="15.75" x14ac:dyDescent="0.25">
      <c r="A55" s="169" t="s">
        <v>440</v>
      </c>
      <c r="B55" s="170" t="s">
        <v>375</v>
      </c>
      <c r="C55" s="172"/>
    </row>
    <row r="56" spans="1:3" ht="15.75" x14ac:dyDescent="0.25">
      <c r="A56" s="169" t="s">
        <v>441</v>
      </c>
      <c r="B56" s="170" t="s">
        <v>389</v>
      </c>
      <c r="C56" s="172" t="s">
        <v>442</v>
      </c>
    </row>
    <row r="57" spans="1:3" ht="15.75" x14ac:dyDescent="0.25">
      <c r="A57" s="169" t="s">
        <v>443</v>
      </c>
      <c r="B57" s="170" t="s">
        <v>389</v>
      </c>
      <c r="C57" s="172" t="s">
        <v>444</v>
      </c>
    </row>
    <row r="58" spans="1:3" ht="15.75" x14ac:dyDescent="0.25">
      <c r="A58" s="169" t="s">
        <v>445</v>
      </c>
      <c r="B58" s="170" t="s">
        <v>389</v>
      </c>
      <c r="C58" s="172" t="s">
        <v>446</v>
      </c>
    </row>
    <row r="59" spans="1:3" ht="15.75" x14ac:dyDescent="0.25">
      <c r="A59" s="169" t="s">
        <v>447</v>
      </c>
      <c r="B59" s="170" t="s">
        <v>375</v>
      </c>
      <c r="C59" s="172"/>
    </row>
    <row r="60" spans="1:3" ht="15.75" x14ac:dyDescent="0.25">
      <c r="A60" s="169" t="s">
        <v>3</v>
      </c>
      <c r="B60" s="170" t="s">
        <v>375</v>
      </c>
      <c r="C60" s="172"/>
    </row>
    <row r="61" spans="1:3" ht="15.75" x14ac:dyDescent="0.25">
      <c r="A61" s="169" t="s">
        <v>448</v>
      </c>
      <c r="B61" s="170" t="s">
        <v>375</v>
      </c>
      <c r="C61" s="172"/>
    </row>
    <row r="62" spans="1:3" ht="15.75" x14ac:dyDescent="0.25">
      <c r="A62" s="169" t="s">
        <v>449</v>
      </c>
      <c r="B62" s="170" t="s">
        <v>375</v>
      </c>
      <c r="C62" s="172"/>
    </row>
    <row r="63" spans="1:3" ht="15.75" x14ac:dyDescent="0.25">
      <c r="A63" s="169" t="s">
        <v>450</v>
      </c>
      <c r="B63" s="170" t="s">
        <v>375</v>
      </c>
      <c r="C63" s="172"/>
    </row>
    <row r="64" spans="1:3" ht="15.75" x14ac:dyDescent="0.25">
      <c r="A64" s="169" t="s">
        <v>451</v>
      </c>
      <c r="B64" s="170" t="s">
        <v>375</v>
      </c>
      <c r="C64" s="172"/>
    </row>
    <row r="65" spans="1:3" ht="15.75" x14ac:dyDescent="0.25">
      <c r="A65" s="169" t="s">
        <v>452</v>
      </c>
      <c r="B65" s="170" t="s">
        <v>375</v>
      </c>
      <c r="C65" s="172"/>
    </row>
    <row r="66" spans="1:3" ht="15.75" x14ac:dyDescent="0.25">
      <c r="A66" s="169" t="s">
        <v>453</v>
      </c>
      <c r="B66" s="170" t="s">
        <v>375</v>
      </c>
      <c r="C66" s="172"/>
    </row>
    <row r="67" spans="1:3" ht="15.75" x14ac:dyDescent="0.25">
      <c r="A67" s="169" t="s">
        <v>454</v>
      </c>
      <c r="B67" s="170" t="s">
        <v>375</v>
      </c>
      <c r="C67" s="172"/>
    </row>
    <row r="68" spans="1:3" ht="15.75" x14ac:dyDescent="0.25">
      <c r="A68" s="169" t="s">
        <v>4</v>
      </c>
      <c r="B68" s="170" t="s">
        <v>375</v>
      </c>
      <c r="C68" s="172"/>
    </row>
    <row r="69" spans="1:3" ht="15.75" x14ac:dyDescent="0.25">
      <c r="A69" s="169" t="s">
        <v>455</v>
      </c>
      <c r="B69" s="170" t="s">
        <v>375</v>
      </c>
      <c r="C69" s="172"/>
    </row>
    <row r="70" spans="1:3" ht="15.75" x14ac:dyDescent="0.25">
      <c r="A70" s="169" t="s">
        <v>456</v>
      </c>
      <c r="B70" s="170" t="s">
        <v>375</v>
      </c>
      <c r="C70" s="172"/>
    </row>
    <row r="71" spans="1:3" ht="15.75" x14ac:dyDescent="0.25">
      <c r="A71" s="169" t="s">
        <v>457</v>
      </c>
      <c r="B71" s="170" t="s">
        <v>375</v>
      </c>
      <c r="C71" s="172"/>
    </row>
    <row r="72" spans="1:3" ht="15.75" x14ac:dyDescent="0.25">
      <c r="A72" s="169" t="s">
        <v>458</v>
      </c>
      <c r="B72" s="170" t="s">
        <v>375</v>
      </c>
      <c r="C72" s="172"/>
    </row>
    <row r="73" spans="1:3" ht="15.75" x14ac:dyDescent="0.25">
      <c r="A73" s="169" t="s">
        <v>459</v>
      </c>
      <c r="B73" s="170" t="s">
        <v>375</v>
      </c>
      <c r="C73" s="172"/>
    </row>
    <row r="74" spans="1:3" ht="15.75" x14ac:dyDescent="0.25">
      <c r="A74" s="169" t="s">
        <v>460</v>
      </c>
      <c r="B74" s="170" t="s">
        <v>375</v>
      </c>
      <c r="C74" s="172"/>
    </row>
    <row r="75" spans="1:3" ht="15.75" x14ac:dyDescent="0.25">
      <c r="A75" s="169" t="s">
        <v>461</v>
      </c>
      <c r="B75" s="170" t="s">
        <v>375</v>
      </c>
      <c r="C75" s="172"/>
    </row>
    <row r="76" spans="1:3" x14ac:dyDescent="0.25">
      <c r="A76" s="174" t="s">
        <v>462</v>
      </c>
      <c r="B76" s="175" t="s">
        <v>375</v>
      </c>
      <c r="C76" s="176"/>
    </row>
    <row r="78" spans="1:3" ht="18.75" x14ac:dyDescent="0.3">
      <c r="A78" s="165" t="s">
        <v>372</v>
      </c>
      <c r="B78" s="165" t="s">
        <v>373</v>
      </c>
    </row>
    <row r="79" spans="1:3" x14ac:dyDescent="0.25">
      <c r="A79" t="s">
        <v>375</v>
      </c>
      <c r="B79" t="s">
        <v>375</v>
      </c>
    </row>
    <row r="80" spans="1:3" x14ac:dyDescent="0.25">
      <c r="A80" t="s">
        <v>389</v>
      </c>
      <c r="B80" t="s">
        <v>463</v>
      </c>
    </row>
    <row r="81" spans="1:2" x14ac:dyDescent="0.25">
      <c r="A81" t="s">
        <v>389</v>
      </c>
      <c r="B81" t="s">
        <v>464</v>
      </c>
    </row>
    <row r="82" spans="1:2" x14ac:dyDescent="0.25">
      <c r="A82" t="s">
        <v>389</v>
      </c>
      <c r="B82" t="s">
        <v>391</v>
      </c>
    </row>
    <row r="83" spans="1:2" x14ac:dyDescent="0.25">
      <c r="A83" t="s">
        <v>389</v>
      </c>
      <c r="B83" t="s">
        <v>442</v>
      </c>
    </row>
    <row r="84" spans="1:2" x14ac:dyDescent="0.25">
      <c r="A84" t="s">
        <v>389</v>
      </c>
      <c r="B84" t="s">
        <v>444</v>
      </c>
    </row>
    <row r="85" spans="1:2" x14ac:dyDescent="0.25">
      <c r="A85" t="s">
        <v>389</v>
      </c>
      <c r="B85" t="s">
        <v>446</v>
      </c>
    </row>
    <row r="86" spans="1:2" x14ac:dyDescent="0.25">
      <c r="A86" t="s">
        <v>389</v>
      </c>
      <c r="B86" t="s">
        <v>465</v>
      </c>
    </row>
    <row r="87" spans="1:2" x14ac:dyDescent="0.25">
      <c r="A87" t="s">
        <v>389</v>
      </c>
      <c r="B87" t="s">
        <v>466</v>
      </c>
    </row>
    <row r="88" spans="1:2" x14ac:dyDescent="0.25">
      <c r="A88" t="s">
        <v>401</v>
      </c>
      <c r="B88" t="s">
        <v>437</v>
      </c>
    </row>
    <row r="89" spans="1:2" x14ac:dyDescent="0.25">
      <c r="A89" t="s">
        <v>401</v>
      </c>
      <c r="B89" t="s">
        <v>402</v>
      </c>
    </row>
    <row r="90" spans="1:2" x14ac:dyDescent="0.25">
      <c r="A90" t="s">
        <v>401</v>
      </c>
      <c r="B90" t="s">
        <v>467</v>
      </c>
    </row>
    <row r="91" spans="1:2" x14ac:dyDescent="0.25">
      <c r="A91" t="s">
        <v>401</v>
      </c>
      <c r="B91" t="s">
        <v>425</v>
      </c>
    </row>
    <row r="92" spans="1:2" x14ac:dyDescent="0.25">
      <c r="A92" t="s">
        <v>401</v>
      </c>
      <c r="B92" t="s">
        <v>468</v>
      </c>
    </row>
    <row r="93" spans="1:2" x14ac:dyDescent="0.25">
      <c r="A93" t="s">
        <v>401</v>
      </c>
      <c r="B93" t="s">
        <v>384</v>
      </c>
    </row>
    <row r="94" spans="1:2" x14ac:dyDescent="0.25">
      <c r="A94" t="s">
        <v>401</v>
      </c>
      <c r="B94" t="s">
        <v>420</v>
      </c>
    </row>
    <row r="95" spans="1:2" x14ac:dyDescent="0.25">
      <c r="A95" t="s">
        <v>393</v>
      </c>
      <c r="B95" t="s">
        <v>376</v>
      </c>
    </row>
    <row r="96" spans="1:2" x14ac:dyDescent="0.25">
      <c r="A96" t="s">
        <v>393</v>
      </c>
      <c r="B96" t="s">
        <v>436</v>
      </c>
    </row>
    <row r="97" spans="1:2" x14ac:dyDescent="0.25">
      <c r="A97" t="s">
        <v>393</v>
      </c>
      <c r="B97" t="s">
        <v>469</v>
      </c>
    </row>
    <row r="98" spans="1:2" x14ac:dyDescent="0.25">
      <c r="A98" t="s">
        <v>20</v>
      </c>
      <c r="B98" t="s">
        <v>391</v>
      </c>
    </row>
    <row r="99" spans="1:2" x14ac:dyDescent="0.25">
      <c r="A99" t="s">
        <v>20</v>
      </c>
      <c r="B99" t="s">
        <v>470</v>
      </c>
    </row>
    <row r="100" spans="1:2" x14ac:dyDescent="0.25">
      <c r="A100" t="s">
        <v>20</v>
      </c>
      <c r="B100" t="s">
        <v>433</v>
      </c>
    </row>
    <row r="101" spans="1:2" x14ac:dyDescent="0.25">
      <c r="A101" t="s">
        <v>20</v>
      </c>
      <c r="B101" t="s">
        <v>427</v>
      </c>
    </row>
    <row r="102" spans="1:2" x14ac:dyDescent="0.25">
      <c r="A102" t="s">
        <v>431</v>
      </c>
      <c r="B102" t="s">
        <v>431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V122"/>
  <sheetViews>
    <sheetView showGridLines="0" zoomScale="80" zoomScaleNormal="80" workbookViewId="0">
      <pane xSplit="1" ySplit="10" topLeftCell="AD42" activePane="bottomRight" state="frozen"/>
      <selection pane="topRight" activeCell="B1" sqref="B1"/>
      <selection pane="bottomLeft" activeCell="A11" sqref="A11"/>
      <selection pane="bottomRight" activeCell="J50" sqref="J50"/>
    </sheetView>
  </sheetViews>
  <sheetFormatPr defaultRowHeight="15" x14ac:dyDescent="0.25"/>
  <cols>
    <col min="1" max="1" width="18.28515625" style="6" bestFit="1" customWidth="1"/>
    <col min="2" max="48" width="14.7109375" style="6" customWidth="1"/>
    <col min="49" max="16384" width="9.140625" style="6"/>
  </cols>
  <sheetData>
    <row r="1" spans="1:48" ht="18.75" x14ac:dyDescent="0.3">
      <c r="A1" s="1">
        <v>46053</v>
      </c>
      <c r="B1" s="155" t="s">
        <v>0</v>
      </c>
      <c r="C1" s="156"/>
      <c r="D1" s="156"/>
      <c r="E1" s="156"/>
      <c r="F1" s="157"/>
      <c r="G1" s="156"/>
      <c r="H1" s="158"/>
      <c r="I1" s="155" t="s">
        <v>1</v>
      </c>
      <c r="J1" s="156"/>
      <c r="K1" s="156"/>
      <c r="L1" s="156"/>
      <c r="M1" s="157"/>
      <c r="N1" s="156"/>
      <c r="O1" s="158"/>
      <c r="P1" s="155" t="s">
        <v>2</v>
      </c>
      <c r="Q1" s="156"/>
      <c r="R1" s="156"/>
      <c r="S1" s="156"/>
      <c r="T1" s="157"/>
      <c r="U1" s="156"/>
      <c r="V1" s="158"/>
      <c r="W1" s="155" t="s">
        <v>3</v>
      </c>
      <c r="X1" s="156"/>
      <c r="Y1" s="156"/>
      <c r="Z1" s="156"/>
      <c r="AA1" s="156"/>
      <c r="AB1" s="156"/>
      <c r="AC1" s="158"/>
      <c r="AD1" s="155" t="s">
        <v>4</v>
      </c>
      <c r="AE1" s="156"/>
      <c r="AF1" s="156"/>
      <c r="AG1" s="156"/>
      <c r="AH1" s="158"/>
      <c r="AI1" s="155" t="s">
        <v>5</v>
      </c>
      <c r="AJ1" s="156"/>
      <c r="AK1" s="156"/>
      <c r="AL1" s="156"/>
      <c r="AM1" s="157"/>
      <c r="AN1" s="156"/>
      <c r="AO1" s="158"/>
      <c r="AP1" s="155" t="s">
        <v>6</v>
      </c>
      <c r="AQ1" s="156"/>
      <c r="AR1" s="156"/>
      <c r="AS1" s="156"/>
      <c r="AT1" s="156"/>
      <c r="AU1" s="156"/>
      <c r="AV1" s="158"/>
    </row>
    <row r="2" spans="1:48" ht="15.75" x14ac:dyDescent="0.25">
      <c r="B2" s="7" t="s">
        <v>7</v>
      </c>
      <c r="C2" s="8"/>
      <c r="D2" s="9" cm="1">
        <f t="array" ref="D2">SUMPRODUCT(
   estq[Preço Tab.] *
   (estq[empresa]=D$6) *
   ((estq[Status]="Disponível") + (estq[Status]="Reservada") + (estq[Status]="Em negociação"))
)</f>
        <v>0</v>
      </c>
      <c r="H2" s="10"/>
      <c r="I2" s="7" t="s">
        <v>7</v>
      </c>
      <c r="J2" s="11"/>
      <c r="K2" s="9" cm="1">
        <f t="array" ref="K2">SUMPRODUCT(
   estq[Preço Tab.] *
   (estq[empresa]=K$6) *
   ((estq[Status]="Disponível") + (estq[Status]="Reservada") + (estq[Status]="Em negociação"))
)</f>
        <v>0</v>
      </c>
      <c r="O2" s="10"/>
      <c r="P2" s="7" t="s">
        <v>7</v>
      </c>
      <c r="Q2" s="11"/>
      <c r="R2" s="9" cm="1">
        <f t="array" ref="R2">SUMPRODUCT(
   estq[Preço Tab.] *
   (estq[empresa]=R$6) *
   ((estq[Status]="Disponível") + (estq[Status]="Reservada") + (estq[Status]="Em negociação"))
)</f>
        <v>0</v>
      </c>
      <c r="V2" s="10"/>
      <c r="W2" s="7" t="s">
        <v>7</v>
      </c>
      <c r="X2" s="11"/>
      <c r="Y2" s="9" cm="1">
        <f t="array" ref="Y2">SUMPRODUCT(
   estq[Preço Tab.] *
   (estq[empresa]=AB$6) *
   ((estq[Status]="Disponível") + (estq[Status]="Reservada") + (estq[Status]="Em negociação"))
)</f>
        <v>0</v>
      </c>
      <c r="AC2" s="10"/>
      <c r="AD2" s="7" t="s">
        <v>7</v>
      </c>
      <c r="AE2" s="11"/>
      <c r="AF2" s="9" cm="1">
        <f t="array" ref="AF2">SUMPRODUCT(
   estq[Preço Tab.] *
   (estq[empresa]=AF$6) *
   ((estq[Status]="Disponível") + (estq[Status]="Reservada") + (estq[Status]="Em negociação"))
)</f>
        <v>0</v>
      </c>
      <c r="AH2" s="10"/>
      <c r="AI2" s="7" t="s">
        <v>7</v>
      </c>
      <c r="AJ2" s="11"/>
      <c r="AK2" s="9" cm="1">
        <f t="array" ref="AK2">SUMPRODUCT(
   estq[Preço Tab.] *
   (estq[empresa]=AK$6) *
   ((estq[Status]="Disponível") + (estq[Status]="Reservada") + (estq[Status]="Em negociação"))
)</f>
        <v>0</v>
      </c>
      <c r="AO2" s="10"/>
      <c r="AP2" s="7" t="s">
        <v>7</v>
      </c>
      <c r="AQ2" s="11"/>
      <c r="AR2" s="9" cm="1">
        <f t="array" ref="AR2">SUMPRODUCT(
   estq[Preço Tab.] *
   (estq[empresa]=AU$6) *
   ((estq[Status]="Disponível") + (estq[Status]="Reservada") + (estq[Status]="Em negociação"))
)</f>
        <v>0</v>
      </c>
      <c r="AV2" s="10"/>
    </row>
    <row r="3" spans="1:48" ht="15.75" x14ac:dyDescent="0.25">
      <c r="B3" s="12" t="s">
        <v>8</v>
      </c>
      <c r="C3" s="13"/>
      <c r="D3" s="14">
        <f>COUNTIFS(estq[empresa], D$6, estq[Status], "Disponível")
+
COUNTIFS(estq[empresa], D$6, estq[Status], "Reservada")
+
COUNTIFS(estq[empresa], D$6, estq[Status], "Em negociação")</f>
        <v>0</v>
      </c>
      <c r="H3" s="10"/>
      <c r="I3" s="12" t="s">
        <v>8</v>
      </c>
      <c r="J3" s="15"/>
      <c r="K3" s="14">
        <f>COUNTIFS(estq[empresa], K$6, estq[Status], "Disponível")
+
COUNTIFS(estq[empresa], K$6, estq[Status], "Reservada")
+
COUNTIFS(estq[empresa], K$6, estq[Status], "Em negociação")</f>
        <v>0</v>
      </c>
      <c r="O3" s="10"/>
      <c r="P3" s="12" t="s">
        <v>8</v>
      </c>
      <c r="Q3" s="15"/>
      <c r="R3" s="14">
        <f>COUNTIFS(estq[empresa], R$6, estq[Status], "Disponível")
+
COUNTIFS(estq[empresa], R$6, estq[Status], "Reservada")
+
COUNTIFS(estq[empresa], R$6, estq[Status], "Em negociação")</f>
        <v>0</v>
      </c>
      <c r="V3" s="10"/>
      <c r="W3" s="12" t="s">
        <v>8</v>
      </c>
      <c r="X3" s="15"/>
      <c r="Y3" s="14">
        <f>COUNTIFS(estq[empresa], AB$6, estq[Status], "Disponível")
+
COUNTIFS(estq[empresa], AB$6, estq[Status], "Reservada")
+
COUNTIFS(estq[empresa], AB$6, estq[Status], "Em negociação")</f>
        <v>0</v>
      </c>
      <c r="AC3" s="10"/>
      <c r="AD3" s="12" t="s">
        <v>8</v>
      </c>
      <c r="AE3" s="15"/>
      <c r="AF3" s="14">
        <f>COUNTIFS(estq[empresa], AF$6, estq[Status], "Disponível")
+
COUNTIFS(estq[empresa], AF$6, estq[Status], "Reservada")
+
COUNTIFS(estq[empresa], AF$6, estq[Status], "Em negociação")</f>
        <v>0</v>
      </c>
      <c r="AH3" s="10"/>
      <c r="AI3" s="12" t="s">
        <v>8</v>
      </c>
      <c r="AJ3" s="15"/>
      <c r="AK3" s="14">
        <f>COUNTIFS(estq[empresa], AK$6, estq[Status], "Disponível")
+
COUNTIFS(estq[empresa], AK$6, estq[Status], "Reservada")
+
COUNTIFS(estq[empresa], AK$6, estq[Status], "Em negociação")</f>
        <v>0</v>
      </c>
      <c r="AO3" s="10"/>
      <c r="AP3" s="12" t="s">
        <v>8</v>
      </c>
      <c r="AQ3" s="15"/>
      <c r="AR3" s="14">
        <f>COUNTIFS(estq[empresa], AU$6, estq[Status], "Disponível")
+
COUNTIFS(estq[empresa], AU$6, estq[Status], "Reservada")
+
COUNTIFS(estq[empresa], AU$6, estq[Status], "Em negociação")</f>
        <v>0</v>
      </c>
      <c r="AV3" s="10"/>
    </row>
    <row r="4" spans="1:48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INDIRECT("rec.uni[empresa]"),AB$6)</f>
        <v>0</v>
      </c>
      <c r="AC4" s="10"/>
      <c r="AD4" s="16"/>
      <c r="AH4" s="10"/>
      <c r="AI4" s="7" t="s">
        <v>9</v>
      </c>
      <c r="AJ4" s="11"/>
      <c r="AK4" s="9">
        <f ca="1">SUMIFS(rec.uni[soma.meses],
INDIRECT("rec.uni[natureza]"),"parcela.cef.assinar",
INDIRECT("rec.uni[empresa]"),AK$6)</f>
        <v>0</v>
      </c>
      <c r="AO4" s="10"/>
      <c r="AP4" s="7" t="s">
        <v>9</v>
      </c>
      <c r="AQ4" s="11"/>
      <c r="AR4" s="9">
        <f ca="1">SUMIFS(rec.uni[soma.meses],
INDIRECT("rec.uni[natureza]"),"parcela.cef.assinar",
INDIRECT("rec.uni[empresa]"),AU$6)</f>
        <v>0</v>
      </c>
      <c r="AV4" s="10"/>
    </row>
    <row r="5" spans="1:48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rec.uni[empresa],AB$6,
   rec.uni[natureza],"parcela.cef.assinar"
)</f>
        <v>0</v>
      </c>
      <c r="AC5" s="20"/>
      <c r="AD5" s="22"/>
      <c r="AE5" s="23"/>
      <c r="AH5" s="20"/>
      <c r="AI5" s="17" t="s">
        <v>10</v>
      </c>
      <c r="AJ5" s="21"/>
      <c r="AK5" s="19">
        <f>COUNTIFS(
   rec.uni[empresa],AK$6,
   rec.uni[natureza],"parcela.cef.assinar"
)</f>
        <v>0</v>
      </c>
      <c r="AO5" s="20"/>
      <c r="AP5" s="17" t="s">
        <v>10</v>
      </c>
      <c r="AQ5" s="21"/>
      <c r="AR5" s="19">
        <f>COUNTIFS(
   rec.uni[empresa],AU$6,
   rec.uni[natureza],"parcela.cef.assinar"
)</f>
        <v>0</v>
      </c>
      <c r="AV5" s="20"/>
    </row>
    <row r="6" spans="1:48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6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6" t="s">
        <v>15</v>
      </c>
      <c r="AA6" s="26" t="s">
        <v>15</v>
      </c>
      <c r="AB6" s="26" t="s">
        <v>15</v>
      </c>
      <c r="AC6" s="28" t="s">
        <v>15</v>
      </c>
      <c r="AD6" s="25" t="s">
        <v>16</v>
      </c>
      <c r="AE6" s="26" t="s">
        <v>16</v>
      </c>
      <c r="AF6" s="26" t="s">
        <v>16</v>
      </c>
      <c r="AG6" s="26" t="s">
        <v>16</v>
      </c>
      <c r="AH6" s="28" t="s">
        <v>16</v>
      </c>
      <c r="AI6" s="25" t="s">
        <v>17</v>
      </c>
      <c r="AJ6" s="26" t="s">
        <v>17</v>
      </c>
      <c r="AK6" s="26" t="s">
        <v>17</v>
      </c>
      <c r="AL6" s="26" t="s">
        <v>17</v>
      </c>
      <c r="AM6" s="26" t="s">
        <v>17</v>
      </c>
      <c r="AN6" s="26" t="s">
        <v>17</v>
      </c>
      <c r="AO6" s="28" t="s">
        <v>17</v>
      </c>
      <c r="AP6" s="25" t="s">
        <v>18</v>
      </c>
      <c r="AQ6" s="26" t="s">
        <v>18</v>
      </c>
      <c r="AR6" s="26" t="s">
        <v>18</v>
      </c>
      <c r="AS6" s="26" t="s">
        <v>18</v>
      </c>
      <c r="AT6" s="26" t="s">
        <v>18</v>
      </c>
      <c r="AU6" s="26" t="s">
        <v>18</v>
      </c>
      <c r="AV6" s="28" t="s">
        <v>18</v>
      </c>
    </row>
    <row r="7" spans="1:48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162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162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162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22</v>
      </c>
      <c r="Z7" s="30" t="s">
        <v>23</v>
      </c>
      <c r="AA7" s="162" t="s">
        <v>24</v>
      </c>
      <c r="AB7" s="30" t="s">
        <v>25</v>
      </c>
      <c r="AC7" s="32" t="s">
        <v>26</v>
      </c>
      <c r="AD7" s="29" t="s">
        <v>20</v>
      </c>
      <c r="AE7" s="30" t="s">
        <v>21</v>
      </c>
      <c r="AF7" s="30" t="s">
        <v>27</v>
      </c>
      <c r="AG7" s="30" t="s">
        <v>25</v>
      </c>
      <c r="AH7" s="32" t="s">
        <v>26</v>
      </c>
      <c r="AI7" s="29" t="s">
        <v>20</v>
      </c>
      <c r="AJ7" s="30" t="s">
        <v>21</v>
      </c>
      <c r="AK7" s="30" t="s">
        <v>22</v>
      </c>
      <c r="AL7" s="30" t="s">
        <v>23</v>
      </c>
      <c r="AM7" s="162" t="s">
        <v>24</v>
      </c>
      <c r="AN7" s="30" t="s">
        <v>25</v>
      </c>
      <c r="AO7" s="32" t="s">
        <v>26</v>
      </c>
      <c r="AP7" s="29" t="s">
        <v>20</v>
      </c>
      <c r="AQ7" s="30" t="s">
        <v>21</v>
      </c>
      <c r="AR7" s="30" t="s">
        <v>22</v>
      </c>
      <c r="AS7" s="30" t="s">
        <v>23</v>
      </c>
      <c r="AT7" s="162" t="s">
        <v>24</v>
      </c>
      <c r="AU7" s="30" t="s">
        <v>25</v>
      </c>
      <c r="AV7" s="32" t="s">
        <v>26</v>
      </c>
    </row>
    <row r="8" spans="1:48" ht="15.75" x14ac:dyDescent="0.25">
      <c r="A8" s="33" t="s">
        <v>28</v>
      </c>
      <c r="B8" s="34">
        <f>SUMIF($A$11:$A$122,"&lt;="&amp;$A$1,B$11:B$122)</f>
        <v>0</v>
      </c>
      <c r="C8" s="35">
        <f t="shared" ref="C8:N8" ca="1" si="0">SUMIF($A$11:$A$122,"&lt;="&amp;$A$1,C$11:C$122)</f>
        <v>0</v>
      </c>
      <c r="D8" s="35">
        <f t="shared" ca="1" si="0"/>
        <v>0</v>
      </c>
      <c r="E8" s="35">
        <f t="shared" ca="1" si="0"/>
        <v>0</v>
      </c>
      <c r="F8" s="35">
        <f t="shared" si="0"/>
        <v>5094987.09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5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5">
        <f t="shared" ref="T8:AV8" si="1">SUMIF($A$11:$A$122,"&lt;="&amp;$A$1,T$11:T$122)</f>
        <v>2560331.5299999998</v>
      </c>
      <c r="U8" s="35">
        <f t="shared" ca="1" si="1"/>
        <v>0</v>
      </c>
      <c r="V8" s="37">
        <f t="shared" si="1"/>
        <v>0</v>
      </c>
      <c r="W8" s="34">
        <f>SUMIF($A$11:$A$122,"&lt;="&amp;$A$1,W$11:W$122)</f>
        <v>0</v>
      </c>
      <c r="X8" s="35">
        <f t="shared" ca="1" si="1"/>
        <v>0</v>
      </c>
      <c r="Y8" s="35">
        <f ca="1">SUMIF($A$11:$A$122,"&lt;="&amp;$A$1,Y$11:Y$122)</f>
        <v>0</v>
      </c>
      <c r="Z8" s="35">
        <f ca="1">SUMIF($A$11:$A$122,"&lt;="&amp;$A$1,Z$11:Z$122)</f>
        <v>0</v>
      </c>
      <c r="AA8" s="35">
        <f t="shared" si="1"/>
        <v>513271.28</v>
      </c>
      <c r="AB8" s="35">
        <f ca="1">SUMIF($A$11:$A$122,"&lt;="&amp;$A$1,AB$11:AB$122)</f>
        <v>0</v>
      </c>
      <c r="AC8" s="37">
        <f t="shared" si="1"/>
        <v>0</v>
      </c>
      <c r="AD8" s="34">
        <f t="shared" si="1"/>
        <v>0</v>
      </c>
      <c r="AE8" s="35">
        <f t="shared" ca="1" si="1"/>
        <v>0</v>
      </c>
      <c r="AF8" s="38" t="s">
        <v>44</v>
      </c>
      <c r="AG8" s="35">
        <f t="shared" ca="1" si="1"/>
        <v>0</v>
      </c>
      <c r="AH8" s="37">
        <f t="shared" si="1"/>
        <v>0</v>
      </c>
      <c r="AI8" s="34">
        <f t="shared" si="1"/>
        <v>0</v>
      </c>
      <c r="AJ8" s="35">
        <f t="shared" ca="1" si="1"/>
        <v>0</v>
      </c>
      <c r="AK8" s="35">
        <f t="shared" ca="1" si="1"/>
        <v>0</v>
      </c>
      <c r="AL8" s="35">
        <f t="shared" ca="1" si="1"/>
        <v>0</v>
      </c>
      <c r="AM8" s="35">
        <f t="shared" si="1"/>
        <v>3185887.12</v>
      </c>
      <c r="AN8" s="35">
        <f t="shared" ca="1" si="1"/>
        <v>0</v>
      </c>
      <c r="AO8" s="37">
        <f t="shared" si="1"/>
        <v>0</v>
      </c>
      <c r="AP8" s="34">
        <f t="shared" si="1"/>
        <v>0</v>
      </c>
      <c r="AQ8" s="35">
        <f t="shared" ca="1" si="1"/>
        <v>0</v>
      </c>
      <c r="AR8" s="35">
        <f ca="1">SUMIF($A$11:$A$122,"&lt;="&amp;$A$1,AR$11:AR$122)</f>
        <v>0</v>
      </c>
      <c r="AS8" s="35">
        <f t="shared" ca="1" si="1"/>
        <v>0</v>
      </c>
      <c r="AT8" s="35">
        <f t="shared" si="1"/>
        <v>0</v>
      </c>
      <c r="AU8" s="35">
        <f ca="1">SUMIF($A$11:$A$122,"&lt;="&amp;$A$1,AU$11:AU$122)</f>
        <v>0</v>
      </c>
      <c r="AV8" s="37">
        <f t="shared" si="1"/>
        <v>0</v>
      </c>
    </row>
    <row r="9" spans="1:48" ht="15.75" x14ac:dyDescent="0.25">
      <c r="A9" s="33" t="s">
        <v>29</v>
      </c>
      <c r="B9" s="34">
        <f>B$10-B$8</f>
        <v>0</v>
      </c>
      <c r="C9" s="35">
        <f ca="1">SUMIF($A$11:$A$122,"&gt;"&amp;$A$1,C$11:C$122)</f>
        <v>0</v>
      </c>
      <c r="D9" s="38">
        <f ca="1">IFERROR(SUMIF(ecns[empresa], D$6,ecns[repasse.cef.total])
-E$8
-E$9
-D$8,0)</f>
        <v>0</v>
      </c>
      <c r="E9" s="38">
        <v>0</v>
      </c>
      <c r="F9" s="38">
        <f>SUMIF($A$11:$A$122,"&gt;"&amp;$A$1,F$11:F$122)</f>
        <v>0</v>
      </c>
      <c r="G9" s="35">
        <f ca="1">SUMIF($A$11:$A$122,"&gt;"&amp;$A$1,G$11:G$122)</f>
        <v>0</v>
      </c>
      <c r="H9" s="164">
        <f>SUMIF($A$11:$A$122,"&gt;"&amp;$A$1,H$11:H$122)</f>
        <v>0</v>
      </c>
      <c r="I9" s="34">
        <f>I$10-I$8</f>
        <v>0</v>
      </c>
      <c r="J9" s="35">
        <f ca="1">SUMIF($A$11:$A$122,"&gt;"&amp;$A$1,J$11:J$122)</f>
        <v>0</v>
      </c>
      <c r="K9" s="38">
        <v>0</v>
      </c>
      <c r="L9" s="38">
        <v>0</v>
      </c>
      <c r="M9" s="38">
        <f>SUMIF($A$11:$A$122,"&gt;"&amp;$A$1,M$11:M$122)</f>
        <v>0</v>
      </c>
      <c r="N9" s="35">
        <f ca="1">SUMIF($A$11:$A$122,"&gt;"&amp;$A$1,N$11:N$122)</f>
        <v>0</v>
      </c>
      <c r="O9" s="164">
        <f>SUMIF($A$11:$A$122,"&gt;"&amp;$A$1,O$11:O$122)</f>
        <v>0</v>
      </c>
      <c r="P9" s="34">
        <f>P$10-P$8</f>
        <v>0</v>
      </c>
      <c r="Q9" s="35">
        <f ca="1">SUMIF($A$11:$A$122,"&gt;"&amp;$A$1,Q$11:Q$122)</f>
        <v>0</v>
      </c>
      <c r="R9" s="38">
        <f ca="1">IFERROR(SUMIF(ecns[empresa], R$6,ecns[repasse.cef.total])
-S$8
-S$9
-R$8,0)</f>
        <v>0</v>
      </c>
      <c r="S9" s="38">
        <v>0</v>
      </c>
      <c r="T9" s="38">
        <f>SUMIF($A$11:$A$122,"&gt;"&amp;$A$1,T$11:T$122)</f>
        <v>0</v>
      </c>
      <c r="U9" s="35">
        <f ca="1">SUMIF($A$11:$A$122,"&gt;"&amp;$A$1,U$11:U$122)</f>
        <v>0</v>
      </c>
      <c r="V9" s="164">
        <f>SUMIF($A$11:$A$122,"&gt;"&amp;$A$1,V$11:V$122)</f>
        <v>0</v>
      </c>
      <c r="W9" s="34">
        <f>W$10-W$8</f>
        <v>0</v>
      </c>
      <c r="X9" s="35">
        <f ca="1">SUMIF($A$11:$A$122,"&gt;"&amp;$A$1,X$11:X$122)</f>
        <v>0</v>
      </c>
      <c r="Y9" s="38">
        <f ca="1">IFERROR(SUMIF(ecns[empresa], Y$6,ecns[repasse.cef.total])
-Z$8
-Z$9
-Y$8,0)</f>
        <v>0</v>
      </c>
      <c r="Z9" s="38">
        <v>0</v>
      </c>
      <c r="AA9" s="38">
        <f>SUMIF($A$11:$A$122,"&gt;"&amp;$A$1,AA$11:AA$122)</f>
        <v>0</v>
      </c>
      <c r="AB9" s="35">
        <f ca="1">SUMIF($A$11:$A$122,"&gt;"&amp;$A$1,AB$11:AB$122)</f>
        <v>0</v>
      </c>
      <c r="AC9" s="164">
        <f>SUMIF($A$11:$A$122,"&gt;"&amp;$A$1,AC$11:AC$122)</f>
        <v>0</v>
      </c>
      <c r="AD9" s="34">
        <f>AD$10-AD$8</f>
        <v>0</v>
      </c>
      <c r="AE9" s="35">
        <f ca="1">SUMIF($A$11:$A$122,"&gt;"&amp;$A$1,AE$11:AE$122)</f>
        <v>0</v>
      </c>
      <c r="AF9" s="38">
        <f ca="1">SUMIF($A$11:$A$122,"&gt;"&amp;$A$1,AF$11:AF$122)</f>
        <v>0</v>
      </c>
      <c r="AG9" s="35">
        <f ca="1">SUMIF($A$11:$A$122,"&gt;"&amp;$A$1,AG$11:AG$122)</f>
        <v>0</v>
      </c>
      <c r="AH9" s="164">
        <f>SUMIF($A$11:$A$122,"&gt;"&amp;$A$1,AH$11:AH$122)</f>
        <v>0</v>
      </c>
      <c r="AI9" s="34">
        <f>AI$10-AI$8</f>
        <v>0</v>
      </c>
      <c r="AJ9" s="35">
        <f ca="1">SUMIF($A$11:$A$122,"&gt;"&amp;$A$1,AJ$11:AJ$122)</f>
        <v>0</v>
      </c>
      <c r="AK9" s="38">
        <f ca="1">IFERROR(SUMIF(ecns[empresa], AK$6,ecns[repasse.cef.total])
-AL$8
-AL$9
-AK$8,0)</f>
        <v>0</v>
      </c>
      <c r="AL9" s="38">
        <v>0</v>
      </c>
      <c r="AM9" s="35">
        <f>SUMIF($A$11:$A$122,"&gt;"&amp;$A$1,AM$11:AM$122)</f>
        <v>0</v>
      </c>
      <c r="AN9" s="35">
        <f ca="1">SUMIF($A$11:$A$122,"&gt;"&amp;$A$1,AN$11:AN$122)</f>
        <v>0</v>
      </c>
      <c r="AO9" s="164">
        <f>SUMIF($A$11:$A$122,"&gt;"&amp;$A$1,AO$11:AO$122)</f>
        <v>0</v>
      </c>
      <c r="AP9" s="34">
        <f>AP$10-AP$8</f>
        <v>0</v>
      </c>
      <c r="AQ9" s="35">
        <f ca="1">SUMIF($A$11:$A$122,"&gt;"&amp;$A$1,AQ$11:AQ$122)</f>
        <v>0</v>
      </c>
      <c r="AR9" s="38">
        <f ca="1">IFERROR(SUMIF(ecns[empresa], AR$6,ecns[repasse.cef.total])
-AS$8
-AS$9
-AR$8,0)</f>
        <v>0</v>
      </c>
      <c r="AS9" s="38">
        <v>0</v>
      </c>
      <c r="AT9" s="38">
        <f>SUMIF($A$11:$A$122,"&gt;"&amp;$A$1,AT$11:AT$122)</f>
        <v>0</v>
      </c>
      <c r="AU9" s="35">
        <f ca="1">SUMIF($A$11:$A$122,"&gt;"&amp;$A$1,AU$11:AU$122)</f>
        <v>0</v>
      </c>
      <c r="AV9" s="164">
        <f>SUMIF($A$11:$A$122,"&gt;"&amp;$A$1,AV$11:AV$122)</f>
        <v>0</v>
      </c>
    </row>
    <row r="10" spans="1:48" ht="15.75" x14ac:dyDescent="0.25">
      <c r="A10" s="39" t="s">
        <v>30</v>
      </c>
      <c r="B10" s="163">
        <f>status.unis!H4</f>
        <v>0</v>
      </c>
      <c r="C10" s="159">
        <f t="shared" ref="C10:H10" ca="1" si="2">SUM(C8:C9)</f>
        <v>0</v>
      </c>
      <c r="D10" s="159">
        <f t="shared" ca="1" si="2"/>
        <v>0</v>
      </c>
      <c r="E10" s="159">
        <f t="shared" ca="1" si="2"/>
        <v>0</v>
      </c>
      <c r="F10" s="159">
        <f t="shared" si="2"/>
        <v>5094987.09</v>
      </c>
      <c r="G10" s="159">
        <f t="shared" ca="1" si="2"/>
        <v>0</v>
      </c>
      <c r="H10" s="160">
        <f t="shared" si="2"/>
        <v>0</v>
      </c>
      <c r="I10" s="163">
        <f>status.unis!H8</f>
        <v>0</v>
      </c>
      <c r="J10" s="159">
        <f t="shared" ref="J10:O10" ca="1" si="3">SUM(J8:J9)</f>
        <v>0</v>
      </c>
      <c r="K10" s="159">
        <f t="shared" ca="1" si="3"/>
        <v>0</v>
      </c>
      <c r="L10" s="159">
        <f t="shared" ca="1" si="3"/>
        <v>0</v>
      </c>
      <c r="M10" s="159">
        <f t="shared" si="3"/>
        <v>5133141.9800000004</v>
      </c>
      <c r="N10" s="159">
        <f t="shared" ca="1" si="3"/>
        <v>0</v>
      </c>
      <c r="O10" s="160">
        <f t="shared" si="3"/>
        <v>0</v>
      </c>
      <c r="P10" s="163">
        <f>status.unis!H12</f>
        <v>0</v>
      </c>
      <c r="Q10" s="159">
        <f t="shared" ref="Q10:V10" ca="1" si="4">SUM(Q8:Q9)</f>
        <v>0</v>
      </c>
      <c r="R10" s="159">
        <f t="shared" ca="1" si="4"/>
        <v>0</v>
      </c>
      <c r="S10" s="159">
        <f t="shared" ca="1" si="4"/>
        <v>0</v>
      </c>
      <c r="T10" s="159">
        <f t="shared" si="4"/>
        <v>2560331.5299999998</v>
      </c>
      <c r="U10" s="159">
        <f t="shared" ca="1" si="4"/>
        <v>0</v>
      </c>
      <c r="V10" s="160">
        <f t="shared" si="4"/>
        <v>0</v>
      </c>
      <c r="W10" s="163">
        <f>status.unis!H16</f>
        <v>0</v>
      </c>
      <c r="X10" s="159">
        <f ca="1">SUM(X8:X9)</f>
        <v>0</v>
      </c>
      <c r="Y10" s="159">
        <f t="shared" ref="Y10:AA10" ca="1" si="5">SUM(Y8:Y9)</f>
        <v>0</v>
      </c>
      <c r="Z10" s="159">
        <f t="shared" ca="1" si="5"/>
        <v>0</v>
      </c>
      <c r="AA10" s="159">
        <f t="shared" si="5"/>
        <v>513271.28</v>
      </c>
      <c r="AB10" s="159">
        <f ca="1">SUM(AB8:AB9)</f>
        <v>0</v>
      </c>
      <c r="AC10" s="160">
        <f>SUM(AC8:AC9)</f>
        <v>0</v>
      </c>
      <c r="AD10" s="163">
        <f>status.unis!H20</f>
        <v>0</v>
      </c>
      <c r="AE10" s="159">
        <f ca="1">SUM(AE8:AE9)</f>
        <v>0</v>
      </c>
      <c r="AF10" s="159">
        <f ca="1">SUM(AF8:AF9)</f>
        <v>0</v>
      </c>
      <c r="AG10" s="159">
        <f ca="1">SUM(AG8:AG9)</f>
        <v>0</v>
      </c>
      <c r="AH10" s="160">
        <f>SUM(AH8:AH9)</f>
        <v>0</v>
      </c>
      <c r="AI10" s="163">
        <f>status.unis!H24</f>
        <v>0</v>
      </c>
      <c r="AJ10" s="159">
        <f t="shared" ref="AJ10:AO10" ca="1" si="6">SUM(AJ8:AJ9)</f>
        <v>0</v>
      </c>
      <c r="AK10" s="159">
        <f t="shared" ca="1" si="6"/>
        <v>0</v>
      </c>
      <c r="AL10" s="159">
        <f t="shared" ca="1" si="6"/>
        <v>0</v>
      </c>
      <c r="AM10" s="159">
        <f t="shared" si="6"/>
        <v>3185887.12</v>
      </c>
      <c r="AN10" s="159">
        <f t="shared" ca="1" si="6"/>
        <v>0</v>
      </c>
      <c r="AO10" s="160">
        <f t="shared" si="6"/>
        <v>0</v>
      </c>
      <c r="AP10" s="163">
        <f>status.unis!H28</f>
        <v>0</v>
      </c>
      <c r="AQ10" s="159">
        <f ca="1">SUM(AQ8:AQ9)</f>
        <v>0</v>
      </c>
      <c r="AR10" s="159">
        <f t="shared" ref="AR10:AT10" ca="1" si="7">SUM(AR8:AR9)</f>
        <v>0</v>
      </c>
      <c r="AS10" s="159">
        <f t="shared" ca="1" si="7"/>
        <v>0</v>
      </c>
      <c r="AT10" s="159">
        <f t="shared" si="7"/>
        <v>0</v>
      </c>
      <c r="AU10" s="159">
        <f ca="1">SUM(AU8:AU9)</f>
        <v>0</v>
      </c>
      <c r="AV10" s="160">
        <f>SUM(AV8:AV9)</f>
        <v>0</v>
      </c>
    </row>
    <row r="11" spans="1:48" x14ac:dyDescent="0.25">
      <c r="A11" s="43">
        <v>44440</v>
      </c>
      <c r="B11" s="44">
        <f>COUNTIFS(
    estq[empresa], B$6,
    estq[Data da venda / reserva], "&gt;=" &amp; $A11,
    estq[Data da venda / reserva], "&lt;"  &amp; EOMONTH($A11,0) + 1
)</f>
        <v>0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  <c r="H11" s="131"/>
      <c r="I11" s="44">
        <f>COUNTIFS(
    estq[empresa], I$6,
    estq[Data da venda / reserva], "&gt;=" &amp; $A11,
    estq[Data da venda / reserva], "&lt;"  &amp; EOMONTH($A11,0) + 1
)</f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131"/>
      <c r="P11" s="44">
        <f>COUNTIFS(
    estq[empresa], P$6,
    estq[Data da venda / reserva], "&gt;=" &amp; $A11,
    estq[Data da venda / reserva], "&lt;"  &amp; EOMONTH($A11,0) + 1
)</f>
        <v>0</v>
      </c>
      <c r="Q11" s="45">
        <v>0</v>
      </c>
      <c r="R11" s="45">
        <v>0</v>
      </c>
      <c r="S11" s="45">
        <v>0</v>
      </c>
      <c r="T11" s="45">
        <v>0</v>
      </c>
      <c r="U11" s="45">
        <v>0</v>
      </c>
      <c r="V11" s="131"/>
      <c r="W11" s="44">
        <f>COUNTIFS(
    estq[empresa], W$6,
    estq[Data da venda / reserva], "&gt;=" &amp; $A11,
    estq[Data da venda / reserva], "&lt;"  &amp; EOMONTH($A11,0) + 1
)</f>
        <v>0</v>
      </c>
      <c r="X11" s="45">
        <v>0</v>
      </c>
      <c r="Y11" s="45">
        <v>0</v>
      </c>
      <c r="Z11" s="45">
        <v>0</v>
      </c>
      <c r="AA11" s="45">
        <v>0</v>
      </c>
      <c r="AB11" s="45">
        <v>0</v>
      </c>
      <c r="AC11" s="131"/>
      <c r="AD11" s="44">
        <f>COUNTIFS(
    estq[empresa], AD$6,
    estq[Data da venda / reserva], "&gt;=" &amp; $A11,
    estq[Data da venda / reserva], "&lt;"  &amp; EOMONTH($A11,0) + 1
)</f>
        <v>0</v>
      </c>
      <c r="AE11" s="45">
        <v>0</v>
      </c>
      <c r="AF11" s="38">
        <v>0</v>
      </c>
      <c r="AG11" s="45">
        <v>0</v>
      </c>
      <c r="AH11" s="131"/>
      <c r="AI11" s="44">
        <f>COUNTIFS(
    estq[empresa], AI$6,
    estq[Data da venda / reserva], "&gt;=" &amp; $A11,
    estq[Data da venda / reserva], "&lt;"  &amp; EOMONTH($A11,0) + 1
)</f>
        <v>0</v>
      </c>
      <c r="AJ11" s="45">
        <v>0</v>
      </c>
      <c r="AK11" s="45">
        <v>0</v>
      </c>
      <c r="AL11" s="45">
        <v>0</v>
      </c>
      <c r="AM11" s="45">
        <v>0</v>
      </c>
      <c r="AN11" s="45">
        <v>0</v>
      </c>
      <c r="AO11" s="131"/>
      <c r="AP11" s="44">
        <f>COUNTIFS(
    estq[empresa], AP$6,
    estq[Data da venda / reserva], "&gt;=" &amp; $A11,
    estq[Data da venda / reserva], "&lt;"  &amp; EOMONTH($A11,0) + 1
)</f>
        <v>0</v>
      </c>
      <c r="AQ11" s="45">
        <v>0</v>
      </c>
      <c r="AR11" s="45">
        <v>0</v>
      </c>
      <c r="AS11" s="45">
        <v>0</v>
      </c>
      <c r="AT11" s="45">
        <v>0</v>
      </c>
      <c r="AU11" s="45">
        <v>0</v>
      </c>
      <c r="AV11" s="131"/>
    </row>
    <row r="12" spans="1:48" x14ac:dyDescent="0.25">
      <c r="A12" s="43">
        <v>44470</v>
      </c>
      <c r="B12" s="44">
        <f>COUNTIFS(
    estq[empresa], B$6,
    estq[Data da venda / reserva], "&gt;=" &amp; $A12,
    estq[Data da venda / reserva], "&lt;"  &amp; EOMONTH($A12,0) + 1
)</f>
        <v>0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131"/>
      <c r="I12" s="44">
        <f>COUNTIFS(
    estq[empresa], I$6,
    estq[Data da venda / reserva], "&gt;=" &amp; $A12,
    estq[Data da venda / reserva], "&lt;"  &amp; EOMONTH($A12,0) + 1
)</f>
        <v>0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131"/>
      <c r="P12" s="44">
        <f>COUNTIFS(
    estq[empresa], P$6,
    estq[Data da venda / reserva], "&gt;=" &amp; $A12,
    estq[Data da venda / reserva], "&lt;"  &amp; EOMONTH($A12,0) + 1
)</f>
        <v>0</v>
      </c>
      <c r="Q12" s="45">
        <v>0</v>
      </c>
      <c r="R12" s="45">
        <v>0</v>
      </c>
      <c r="S12" s="45">
        <v>0</v>
      </c>
      <c r="T12" s="45">
        <v>0</v>
      </c>
      <c r="U12" s="45">
        <v>0</v>
      </c>
      <c r="V12" s="131"/>
      <c r="W12" s="44">
        <f>COUNTIFS(
    estq[empresa], W$6,
    estq[Data da venda / reserva], "&gt;=" &amp; $A12,
    estq[Data da venda / reserva], "&lt;"  &amp; EOMONTH($A12,0) + 1
)</f>
        <v>0</v>
      </c>
      <c r="X12" s="45">
        <v>0</v>
      </c>
      <c r="Y12" s="45">
        <v>0</v>
      </c>
      <c r="Z12" s="45">
        <v>0</v>
      </c>
      <c r="AA12" s="45">
        <v>0</v>
      </c>
      <c r="AB12" s="45">
        <v>0</v>
      </c>
      <c r="AC12" s="131"/>
      <c r="AD12" s="44">
        <f>COUNTIFS(
    estq[empresa], AD$6,
    estq[Data da venda / reserva], "&gt;=" &amp; $A12,
    estq[Data da venda / reserva], "&lt;"  &amp; EOMONTH($A12,0) + 1
)</f>
        <v>0</v>
      </c>
      <c r="AE12" s="45">
        <v>0</v>
      </c>
      <c r="AF12" s="38">
        <v>0</v>
      </c>
      <c r="AG12" s="45">
        <v>0</v>
      </c>
      <c r="AH12" s="131"/>
      <c r="AI12" s="44">
        <f>COUNTIFS(
    estq[empresa], AI$6,
    estq[Data da venda / reserva], "&gt;=" &amp; $A12,
    estq[Data da venda / reserva], "&lt;"  &amp; EOMONTH($A12,0) + 1
)</f>
        <v>0</v>
      </c>
      <c r="AJ12" s="45">
        <v>0</v>
      </c>
      <c r="AK12" s="45">
        <v>0</v>
      </c>
      <c r="AL12" s="45">
        <v>0</v>
      </c>
      <c r="AM12" s="45">
        <v>0</v>
      </c>
      <c r="AN12" s="45">
        <v>0</v>
      </c>
      <c r="AO12" s="131"/>
      <c r="AP12" s="44">
        <f>COUNTIFS(
    estq[empresa], AP$6,
    estq[Data da venda / reserva], "&gt;=" &amp; $A12,
    estq[Data da venda / reserva], "&lt;"  &amp; EOMONTH($A12,0) + 1
)</f>
        <v>0</v>
      </c>
      <c r="AQ12" s="45">
        <v>0</v>
      </c>
      <c r="AR12" s="45">
        <v>0</v>
      </c>
      <c r="AS12" s="45">
        <v>0</v>
      </c>
      <c r="AT12" s="45">
        <v>0</v>
      </c>
      <c r="AU12" s="45">
        <v>0</v>
      </c>
      <c r="AV12" s="131"/>
    </row>
    <row r="13" spans="1:48" x14ac:dyDescent="0.25">
      <c r="A13" s="43">
        <v>44501</v>
      </c>
      <c r="B13" s="44">
        <f>COUNTIFS(
    estq[empresa], B$6,
    estq[Data da venda / reserva], "&gt;=" &amp; $A13,
    estq[Data da venda / reserva], "&lt;"  &amp; EOMONTH($A13,0) + 1
)</f>
        <v>0</v>
      </c>
      <c r="C13" s="45">
        <v>0</v>
      </c>
      <c r="D13" s="45">
        <v>0</v>
      </c>
      <c r="E13" s="45">
        <v>0</v>
      </c>
      <c r="F13" s="45">
        <v>0</v>
      </c>
      <c r="G13" s="45">
        <v>0</v>
      </c>
      <c r="H13" s="131"/>
      <c r="I13" s="44">
        <f>COUNTIFS(
    estq[empresa], I$6,
    estq[Data da venda / reserva], "&gt;=" &amp; $A13,
    estq[Data da venda / reserva], "&lt;"  &amp; EOMONTH($A13,0) + 1
)</f>
        <v>0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131"/>
      <c r="P13" s="44">
        <f>COUNTIFS(
    estq[empresa], P$6,
    estq[Data da venda / reserva], "&gt;=" &amp; $A13,
    estq[Data da venda / reserva], "&lt;"  &amp; EOMONTH($A13,0) + 1
)</f>
        <v>0</v>
      </c>
      <c r="Q13" s="45">
        <v>0</v>
      </c>
      <c r="R13" s="45">
        <v>0</v>
      </c>
      <c r="S13" s="45">
        <v>0</v>
      </c>
      <c r="T13" s="45">
        <v>0</v>
      </c>
      <c r="U13" s="45">
        <v>0</v>
      </c>
      <c r="V13" s="131"/>
      <c r="W13" s="44">
        <f>COUNTIFS(
    estq[empresa], W$6,
    estq[Data da venda / reserva], "&gt;=" &amp; $A13,
    estq[Data da venda / reserva], "&lt;"  &amp; EOMONTH($A13,0) + 1
)</f>
        <v>0</v>
      </c>
      <c r="X13" s="45">
        <v>0</v>
      </c>
      <c r="Y13" s="45">
        <v>0</v>
      </c>
      <c r="Z13" s="45">
        <v>0</v>
      </c>
      <c r="AA13" s="45">
        <v>0</v>
      </c>
      <c r="AB13" s="45">
        <v>0</v>
      </c>
      <c r="AC13" s="131"/>
      <c r="AD13" s="44">
        <f>COUNTIFS(
    estq[empresa], AD$6,
    estq[Data da venda / reserva], "&gt;=" &amp; $A13,
    estq[Data da venda / reserva], "&lt;"  &amp; EOMONTH($A13,0) + 1
)</f>
        <v>0</v>
      </c>
      <c r="AE13" s="45">
        <v>0</v>
      </c>
      <c r="AF13" s="38">
        <v>0</v>
      </c>
      <c r="AG13" s="45">
        <v>0</v>
      </c>
      <c r="AH13" s="131"/>
      <c r="AI13" s="44">
        <f>COUNTIFS(
    estq[empresa], AI$6,
    estq[Data da venda / reserva], "&gt;=" &amp; $A13,
    estq[Data da venda / reserva], "&lt;"  &amp; EOMONTH($A13,0) + 1
)</f>
        <v>0</v>
      </c>
      <c r="AJ13" s="45">
        <v>0</v>
      </c>
      <c r="AK13" s="45">
        <v>0</v>
      </c>
      <c r="AL13" s="45">
        <v>0</v>
      </c>
      <c r="AM13" s="45">
        <v>0</v>
      </c>
      <c r="AN13" s="45">
        <v>0</v>
      </c>
      <c r="AO13" s="131"/>
      <c r="AP13" s="44">
        <f>COUNTIFS(
    estq[empresa], AP$6,
    estq[Data da venda / reserva], "&gt;=" &amp; $A13,
    estq[Data da venda / reserva], "&lt;"  &amp; EOMONTH($A13,0) + 1
)</f>
        <v>0</v>
      </c>
      <c r="AQ13" s="45">
        <v>0</v>
      </c>
      <c r="AR13" s="45">
        <v>0</v>
      </c>
      <c r="AS13" s="45">
        <v>0</v>
      </c>
      <c r="AT13" s="45">
        <v>0</v>
      </c>
      <c r="AU13" s="45">
        <v>0</v>
      </c>
      <c r="AV13" s="131"/>
    </row>
    <row r="14" spans="1:48" x14ac:dyDescent="0.25">
      <c r="A14" s="43">
        <v>44531</v>
      </c>
      <c r="B14" s="44">
        <f>COUNTIFS(
    estq[empresa], B$6,
    estq[Data da venda / reserva], "&gt;=" &amp; $A14,
    estq[Data da venda / reserva], "&lt;"  &amp; EOMONTH($A14,0) + 1
)</f>
        <v>0</v>
      </c>
      <c r="C14" s="45">
        <v>0</v>
      </c>
      <c r="D14" s="45">
        <v>0</v>
      </c>
      <c r="E14" s="45">
        <v>0</v>
      </c>
      <c r="F14" s="45">
        <v>0</v>
      </c>
      <c r="G14" s="45">
        <v>0</v>
      </c>
      <c r="H14" s="131"/>
      <c r="I14" s="44">
        <f>COUNTIFS(
    estq[empresa], I$6,
    estq[Data da venda / reserva], "&gt;=" &amp; $A14,
    estq[Data da venda / reserva], "&lt;"  &amp; EOMONTH($A14,0) + 1
)</f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131"/>
      <c r="P14" s="44">
        <f>COUNTIFS(
    estq[empresa], P$6,
    estq[Data da venda / reserva], "&gt;=" &amp; $A14,
    estq[Data da venda / reserva], "&lt;"  &amp; EOMONTH($A14,0) + 1
)</f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131"/>
      <c r="W14" s="44">
        <f>COUNTIFS(
    estq[empresa], W$6,
    estq[Data da venda / reserva], "&gt;=" &amp; $A14,
    estq[Data da venda / reserva], "&lt;"  &amp; EOMONTH($A14,0) + 1
)</f>
        <v>0</v>
      </c>
      <c r="X14" s="45">
        <v>0</v>
      </c>
      <c r="Y14" s="45">
        <v>0</v>
      </c>
      <c r="Z14" s="45">
        <v>0</v>
      </c>
      <c r="AA14" s="45">
        <v>0</v>
      </c>
      <c r="AB14" s="45">
        <v>0</v>
      </c>
      <c r="AC14" s="131"/>
      <c r="AD14" s="44">
        <f>COUNTIFS(
    estq[empresa], AD$6,
    estq[Data da venda / reserva], "&gt;=" &amp; $A14,
    estq[Data da venda / reserva], "&lt;"  &amp; EOMONTH($A14,0) + 1
)</f>
        <v>0</v>
      </c>
      <c r="AE14" s="45">
        <v>0</v>
      </c>
      <c r="AF14" s="38">
        <v>0</v>
      </c>
      <c r="AG14" s="45">
        <v>0</v>
      </c>
      <c r="AH14" s="131"/>
      <c r="AI14" s="44">
        <f>COUNTIFS(
    estq[empresa], AI$6,
    estq[Data da venda / reserva], "&gt;=" &amp; $A14,
    estq[Data da venda / reserva], "&lt;"  &amp; EOMONTH($A14,0) + 1
)</f>
        <v>0</v>
      </c>
      <c r="AJ14" s="45">
        <v>0</v>
      </c>
      <c r="AK14" s="45">
        <v>0</v>
      </c>
      <c r="AL14" s="45">
        <v>0</v>
      </c>
      <c r="AM14" s="45">
        <v>0</v>
      </c>
      <c r="AN14" s="45">
        <v>0</v>
      </c>
      <c r="AO14" s="131"/>
      <c r="AP14" s="44">
        <f>COUNTIFS(
    estq[empresa], AP$6,
    estq[Data da venda / reserva], "&gt;=" &amp; $A14,
    estq[Data da venda / reserva], "&lt;"  &amp; EOMONTH($A14,0) + 1
)</f>
        <v>0</v>
      </c>
      <c r="AQ14" s="45">
        <v>0</v>
      </c>
      <c r="AR14" s="45">
        <v>0</v>
      </c>
      <c r="AS14" s="45">
        <v>0</v>
      </c>
      <c r="AT14" s="45">
        <v>0</v>
      </c>
      <c r="AU14" s="45">
        <v>0</v>
      </c>
      <c r="AV14" s="131"/>
    </row>
    <row r="15" spans="1:48" x14ac:dyDescent="0.25">
      <c r="A15" s="43">
        <v>44562</v>
      </c>
      <c r="B15" s="44">
        <f>COUNTIFS(
    estq[empresa], B$6,
    estq[Data da venda / reserva], "&gt;=" &amp; $A15,
    estq[Data da venda / reserva], "&lt;"  &amp; EOMONTH($A15,0) + 1
)</f>
        <v>0</v>
      </c>
      <c r="C15" s="45">
        <f ca="1">SUMIFS(rec.uni[2022-01-01],
INDIRECT("rec.uni[natureza]"),"pro.soluto",
INDIRECT("rec.uni[empresa]"),C$6)</f>
        <v>0</v>
      </c>
      <c r="D15" s="45">
        <f ca="1">SUMIFS(rec.uni[2022-01-01],
INDIRECT("rec.uni[natureza]"),"repasse.cef.obra",
INDIRECT("rec.uni[empresa]"),D$6)</f>
        <v>0</v>
      </c>
      <c r="E15" s="45">
        <f ca="1">SUMIFS(rec.uni[2022-01-01],
INDIRECT("rec.uni[natureza]"),"repasse.cef.terreno",
INDIRECT("rec.uni[empresa]"),E$6)</f>
        <v>0</v>
      </c>
      <c r="F15" s="45">
        <v>0</v>
      </c>
      <c r="G15" s="45">
        <f ca="1">SUMIFS(rec.uni[2022-01-01],
INDIRECT("rec.uni[natureza]"),"taxa.extra",
INDIRECT("rec.uni[empresa]"),G$6)</f>
        <v>0</v>
      </c>
      <c r="H15" s="131"/>
      <c r="I15" s="44">
        <f>COUNTIFS(
    estq[empresa], I$6,
    estq[Data da venda / reserva], "&gt;=" &amp; $A15,
    estq[Data da venda / reserva], "&lt;"  &amp; EOMONTH($A15,0) + 1
)</f>
        <v>0</v>
      </c>
      <c r="J15" s="45">
        <f ca="1">SUMIFS(rec.uni[2022-01-01],
INDIRECT("rec.uni[natureza]"),"pro.soluto",
INDIRECT("rec.uni[empresa]"),J$6)</f>
        <v>0</v>
      </c>
      <c r="K15" s="45">
        <f ca="1">SUMIFS(rec.uni[2022-01-01],
INDIRECT("rec.uni[natureza]"),"repasse.cef.obra",
INDIRECT("rec.uni[empresa]"),K$6)</f>
        <v>0</v>
      </c>
      <c r="L15" s="45">
        <f ca="1">SUMIFS(rec.uni[2022-01-01],
INDIRECT("rec.uni[natureza]"),"repasse.cef.terreno",
INDIRECT("rec.uni[empresa]"),L$6)</f>
        <v>0</v>
      </c>
      <c r="M15" s="45">
        <v>0</v>
      </c>
      <c r="N15" s="45">
        <f ca="1">SUMIFS(rec.uni[2022-01-01],
INDIRECT("rec.uni[natureza]"),"taxa.extra",
INDIRECT("rec.uni[empresa]"),N$6)</f>
        <v>0</v>
      </c>
      <c r="O15" s="131"/>
      <c r="P15" s="44">
        <f>COUNTIFS(
    estq[empresa], P$6,
    estq[Data da venda / reserva], "&gt;=" &amp; $A15,
    estq[Data da venda / reserva], "&lt;"  &amp; EOMONTH($A15,0) + 1
)</f>
        <v>0</v>
      </c>
      <c r="Q15" s="45">
        <f ca="1">SUMIFS(rec.uni[2022-01-01],
INDIRECT("rec.uni[natureza]"),"pro.soluto",
INDIRECT("rec.uni[empresa]"),Q$6)</f>
        <v>0</v>
      </c>
      <c r="R15" s="45">
        <f ca="1">SUMIFS(rec.uni[2022-01-01],
INDIRECT("rec.uni[natureza]"),"repasse.cef.obra",
INDIRECT("rec.uni[empresa]"),R$6)</f>
        <v>0</v>
      </c>
      <c r="S15" s="45">
        <f ca="1">SUMIFS(rec.uni[2022-01-01],
INDIRECT("rec.uni[natureza]"),"repasse.cef.terreno",
INDIRECT("rec.uni[empresa]"),S$6)</f>
        <v>0</v>
      </c>
      <c r="T15" s="45">
        <v>0</v>
      </c>
      <c r="U15" s="45">
        <f ca="1">SUMIFS(rec.uni[2022-01-01],
INDIRECT("rec.uni[natureza]"),"taxa.extra",
INDIRECT("rec.uni[empresa]"),U$6)</f>
        <v>0</v>
      </c>
      <c r="V15" s="131"/>
      <c r="W15" s="44">
        <f>COUNTIFS(
    estq[empresa], W$6,
    estq[Data da venda / reserva], "&gt;=" &amp; $A15,
    estq[Data da venda / reserva], "&lt;"  &amp; EOMONTH($A15,0) + 1
)</f>
        <v>0</v>
      </c>
      <c r="X15" s="45">
        <f ca="1">SUMIFS(rec.uni[2022-01-01],
INDIRECT("rec.uni[natureza]"),"pro.soluto",
INDIRECT("rec.uni[empresa]"),X$6)</f>
        <v>0</v>
      </c>
      <c r="Y15" s="45">
        <f ca="1">SUMIFS(rec.uni[2022-01-01],
INDIRECT("rec.uni[natureza]"),"repasse.cef.obra",
INDIRECT("rec.uni[empresa]"),Y$6)</f>
        <v>0</v>
      </c>
      <c r="Z15" s="45">
        <f ca="1">SUMIFS(rec.uni[2022-01-01],
INDIRECT("rec.uni[natureza]"),"repasse.cef.terreno",
INDIRECT("rec.uni[empresa]"),Z$6)</f>
        <v>0</v>
      </c>
      <c r="AA15" s="45">
        <v>0</v>
      </c>
      <c r="AB15" s="45">
        <f ca="1">SUMIFS(rec.uni[2022-01-01],
INDIRECT("rec.uni[natureza]"),"taxa.extra",
INDIRECT("rec.uni[empresa]"),AB$6)</f>
        <v>0</v>
      </c>
      <c r="AC15" s="131"/>
      <c r="AD15" s="44">
        <f>COUNTIFS(
    estq[empresa], AD$6,
    estq[Data da venda / reserva], "&gt;=" &amp; $A15,
    estq[Data da venda / reserva], "&lt;"  &amp; EOMONTH($A15,0) + 1
)</f>
        <v>0</v>
      </c>
      <c r="AE15" s="45">
        <f ca="1">SUMIFS(rec.uni[2022-01-01],
INDIRECT("rec.uni[natureza]"),"pro.soluto",
INDIRECT("rec.uni[empresa]"),AE$6)</f>
        <v>0</v>
      </c>
      <c r="AF15" s="38">
        <f ca="1">SUMIFS(rec.uni[2022-01-01],
INDIRECT("rec.uni[natureza]"),"parcela.fin.total.ik",
INDIRECT("rec.uni[empresa]"),AF$6)</f>
        <v>0</v>
      </c>
      <c r="AG15" s="45">
        <f ca="1">SUMIFS(rec.uni[2022-01-01],
INDIRECT("rec.uni[natureza]"),"taxa.extra",
INDIRECT("rec.uni[empresa]"),AG$6)</f>
        <v>0</v>
      </c>
      <c r="AH15" s="131"/>
      <c r="AI15" s="44">
        <f>COUNTIFS(
    estq[empresa], AI$6,
    estq[Data da venda / reserva], "&gt;=" &amp; $A15,
    estq[Data da venda / reserva], "&lt;"  &amp; EOMONTH($A15,0) + 1
)</f>
        <v>0</v>
      </c>
      <c r="AJ15" s="45">
        <f ca="1">SUMIFS(rec.uni[2022-01-01],
INDIRECT("rec.uni[natureza]"),"pro.soluto",
INDIRECT("rec.uni[empresa]"),AJ$6)</f>
        <v>0</v>
      </c>
      <c r="AK15" s="45">
        <f ca="1">SUMIFS(rec.uni[2022-01-01],
INDIRECT("rec.uni[natureza]"),"repasse.cef.obra",
INDIRECT("rec.uni[empresa]"),AK$6)</f>
        <v>0</v>
      </c>
      <c r="AL15" s="45">
        <f ca="1">SUMIFS(rec.uni[2022-01-01],
INDIRECT("rec.uni[natureza]"),"repasse.cef.terreno",
INDIRECT("rec.uni[empresa]"),AL$6)</f>
        <v>0</v>
      </c>
      <c r="AM15" s="45">
        <v>0</v>
      </c>
      <c r="AN15" s="45">
        <f ca="1">SUMIFS(rec.uni[2022-01-01],
INDIRECT("rec.uni[natureza]"),"taxa.extra",
INDIRECT("rec.uni[empresa]"),AN$6)</f>
        <v>0</v>
      </c>
      <c r="AO15" s="131"/>
      <c r="AP15" s="44">
        <f>COUNTIFS(
    estq[empresa], AP$6,
    estq[Data da venda / reserva], "&gt;=" &amp; $A15,
    estq[Data da venda / reserva], "&lt;"  &amp; EOMONTH($A15,0) + 1
)</f>
        <v>0</v>
      </c>
      <c r="AQ15" s="45">
        <f ca="1">SUMIFS(rec.uni[2022-01-01],
INDIRECT("rec.uni[natureza]"),"pro.soluto",
INDIRECT("rec.uni[empresa]"),AQ$6)</f>
        <v>0</v>
      </c>
      <c r="AR15" s="45">
        <f ca="1">SUMIFS(rec.uni[2022-01-01],
INDIRECT("rec.uni[natureza]"),"repasse.cef.obra",
INDIRECT("rec.uni[empresa]"),AR$6)</f>
        <v>0</v>
      </c>
      <c r="AS15" s="45">
        <f ca="1">SUMIFS(rec.uni[2022-01-01],
INDIRECT("rec.uni[natureza]"),"repasse.cef.terreno",
INDIRECT("rec.uni[empresa]"),AS$6)</f>
        <v>0</v>
      </c>
      <c r="AT15" s="45">
        <v>0</v>
      </c>
      <c r="AU15" s="45">
        <f ca="1">SUMIFS(rec.uni[2022-01-01],
INDIRECT("rec.uni[natureza]"),"taxa.extra",
INDIRECT("rec.uni[empresa]"),AU$6)</f>
        <v>0</v>
      </c>
      <c r="AV15" s="131"/>
    </row>
    <row r="16" spans="1:48" x14ac:dyDescent="0.25">
      <c r="A16" s="43">
        <v>44593</v>
      </c>
      <c r="B16" s="44">
        <f>COUNTIFS(
    estq[empresa], B$6,
    estq[Data da venda / reserva], "&gt;=" &amp; $A16,
    estq[Data da venda / reserva], "&lt;"  &amp; EOMONTH($A16,0) + 1
)</f>
        <v>0</v>
      </c>
      <c r="C16" s="45">
        <f ca="1">SUMIFS(rec.uni[2022-02-01],
INDIRECT("rec.uni[natureza]"),"pro.soluto",
INDIRECT("rec.uni[empresa]"),C$6)</f>
        <v>0</v>
      </c>
      <c r="D16" s="45">
        <f ca="1">SUMIFS(rec.uni[2022-02-01],
INDIRECT("rec.uni[natureza]"),"repasse.cef.obra",
INDIRECT("rec.uni[empresa]"),D$6)</f>
        <v>0</v>
      </c>
      <c r="E16" s="45">
        <f ca="1">SUMIFS(rec.uni[2022-02-01],
INDIRECT("rec.uni[natureza]"),"repasse.cef.terreno",
INDIRECT("rec.uni[empresa]"),E$6)</f>
        <v>0</v>
      </c>
      <c r="F16" s="45">
        <v>0</v>
      </c>
      <c r="G16" s="45">
        <f ca="1">SUMIFS(rec.uni[2022-02-01],
INDIRECT("rec.uni[natureza]"),"taxa.extra",
INDIRECT("rec.uni[empresa]"),G$6)</f>
        <v>0</v>
      </c>
      <c r="H16" s="131"/>
      <c r="I16" s="44">
        <f>COUNTIFS(
    estq[empresa], I$6,
    estq[Data da venda / reserva], "&gt;=" &amp; $A16,
    estq[Data da venda / reserva], "&lt;"  &amp; EOMONTH($A16,0) + 1
)</f>
        <v>0</v>
      </c>
      <c r="J16" s="45">
        <f ca="1">SUMIFS(rec.uni[2022-02-01],
INDIRECT("rec.uni[natureza]"),"pro.soluto",
INDIRECT("rec.uni[empresa]"),J$6)</f>
        <v>0</v>
      </c>
      <c r="K16" s="45">
        <f ca="1">SUMIFS(rec.uni[2022-02-01],
INDIRECT("rec.uni[natureza]"),"repasse.cef.obra",
INDIRECT("rec.uni[empresa]"),K$6)</f>
        <v>0</v>
      </c>
      <c r="L16" s="45">
        <f ca="1">SUMIFS(rec.uni[2022-02-01],
INDIRECT("rec.uni[natureza]"),"repasse.cef.terreno",
INDIRECT("rec.uni[empresa]"),L$6)</f>
        <v>0</v>
      </c>
      <c r="M16" s="45">
        <v>0</v>
      </c>
      <c r="N16" s="45">
        <f ca="1">SUMIFS(rec.uni[2022-02-01],
INDIRECT("rec.uni[natureza]"),"taxa.extra",
INDIRECT("rec.uni[empresa]"),N$6)</f>
        <v>0</v>
      </c>
      <c r="O16" s="131"/>
      <c r="P16" s="44">
        <f>COUNTIFS(
    estq[empresa], P$6,
    estq[Data da venda / reserva], "&gt;=" &amp; $A16,
    estq[Data da venda / reserva], "&lt;"  &amp; EOMONTH($A16,0) + 1
)</f>
        <v>0</v>
      </c>
      <c r="Q16" s="45">
        <f ca="1">SUMIFS(rec.uni[2022-02-01],
INDIRECT("rec.uni[natureza]"),"pro.soluto",
INDIRECT("rec.uni[empresa]"),Q$6)</f>
        <v>0</v>
      </c>
      <c r="R16" s="45">
        <f ca="1">SUMIFS(rec.uni[2022-02-01],
INDIRECT("rec.uni[natureza]"),"repasse.cef.obra",
INDIRECT("rec.uni[empresa]"),R$6)</f>
        <v>0</v>
      </c>
      <c r="S16" s="45">
        <f ca="1">SUMIFS(rec.uni[2022-02-01],
INDIRECT("rec.uni[natureza]"),"repasse.cef.terreno",
INDIRECT("rec.uni[empresa]"),S$6)</f>
        <v>0</v>
      </c>
      <c r="T16" s="45">
        <v>0</v>
      </c>
      <c r="U16" s="45">
        <f ca="1">SUMIFS(rec.uni[2022-02-01],
INDIRECT("rec.uni[natureza]"),"taxa.extra",
INDIRECT("rec.uni[empresa]"),U$6)</f>
        <v>0</v>
      </c>
      <c r="V16" s="131"/>
      <c r="W16" s="44">
        <f>COUNTIFS(
    estq[empresa], W$6,
    estq[Data da venda / reserva], "&gt;=" &amp; $A16,
    estq[Data da venda / reserva], "&lt;"  &amp; EOMONTH($A16,0) + 1
)</f>
        <v>0</v>
      </c>
      <c r="X16" s="45">
        <f ca="1">SUMIFS(rec.uni[2022-02-01],
INDIRECT("rec.uni[natureza]"),"pro.soluto",
INDIRECT("rec.uni[empresa]"),X$6)</f>
        <v>0</v>
      </c>
      <c r="Y16" s="45">
        <f ca="1">SUMIFS(rec.uni[2022-02-01],
INDIRECT("rec.uni[natureza]"),"repasse.cef.obra",
INDIRECT("rec.uni[empresa]"),Y$6)</f>
        <v>0</v>
      </c>
      <c r="Z16" s="45">
        <f ca="1">SUMIFS(rec.uni[2022-02-01],
INDIRECT("rec.uni[natureza]"),"repasse.cef.terreno",
INDIRECT("rec.uni[empresa]"),Z$6)</f>
        <v>0</v>
      </c>
      <c r="AA16" s="45">
        <v>0</v>
      </c>
      <c r="AB16" s="45">
        <f ca="1">SUMIFS(rec.uni[2022-02-01],
INDIRECT("rec.uni[natureza]"),"taxa.extra",
INDIRECT("rec.uni[empresa]"),AB$6)</f>
        <v>0</v>
      </c>
      <c r="AC16" s="131"/>
      <c r="AD16" s="44">
        <f>COUNTIFS(
    estq[empresa], AD$6,
    estq[Data da venda / reserva], "&gt;=" &amp; $A16,
    estq[Data da venda / reserva], "&lt;"  &amp; EOMONTH($A16,0) + 1
)</f>
        <v>0</v>
      </c>
      <c r="AE16" s="45">
        <f ca="1">SUMIFS(rec.uni[2022-02-01],
INDIRECT("rec.uni[natureza]"),"pro.soluto",
INDIRECT("rec.uni[empresa]"),AE$6)</f>
        <v>0</v>
      </c>
      <c r="AF16" s="38">
        <f ca="1">SUMIFS(rec.uni[2022-02-01],
INDIRECT("rec.uni[natureza]"),"parcela.fin.total.ik",
INDIRECT("rec.uni[empresa]"),AF$6)</f>
        <v>0</v>
      </c>
      <c r="AG16" s="45">
        <f ca="1">SUMIFS(rec.uni[2022-02-01],
INDIRECT("rec.uni[natureza]"),"taxa.extra",
INDIRECT("rec.uni[empresa]"),AG$6)</f>
        <v>0</v>
      </c>
      <c r="AH16" s="131"/>
      <c r="AI16" s="44">
        <f>COUNTIFS(
    estq[empresa], AI$6,
    estq[Data da venda / reserva], "&gt;=" &amp; $A16,
    estq[Data da venda / reserva], "&lt;"  &amp; EOMONTH($A16,0) + 1
)</f>
        <v>0</v>
      </c>
      <c r="AJ16" s="45">
        <f ca="1">SUMIFS(rec.uni[2022-02-01],
INDIRECT("rec.uni[natureza]"),"pro.soluto",
INDIRECT("rec.uni[empresa]"),AJ$6)</f>
        <v>0</v>
      </c>
      <c r="AK16" s="45">
        <f ca="1">SUMIFS(rec.uni[2022-02-01],
INDIRECT("rec.uni[natureza]"),"repasse.cef.obra",
INDIRECT("rec.uni[empresa]"),AK$6)</f>
        <v>0</v>
      </c>
      <c r="AL16" s="45">
        <f ca="1">SUMIFS(rec.uni[2022-02-01],
INDIRECT("rec.uni[natureza]"),"repasse.cef.terreno",
INDIRECT("rec.uni[empresa]"),AL$6)</f>
        <v>0</v>
      </c>
      <c r="AM16" s="45">
        <v>0</v>
      </c>
      <c r="AN16" s="45">
        <f ca="1">SUMIFS(rec.uni[2022-02-01],
INDIRECT("rec.uni[natureza]"),"taxa.extra",
INDIRECT("rec.uni[empresa]"),AN$6)</f>
        <v>0</v>
      </c>
      <c r="AO16" s="131"/>
      <c r="AP16" s="44">
        <f>COUNTIFS(
    estq[empresa], AP$6,
    estq[Data da venda / reserva], "&gt;=" &amp; $A16,
    estq[Data da venda / reserva], "&lt;"  &amp; EOMONTH($A16,0) + 1
)</f>
        <v>0</v>
      </c>
      <c r="AQ16" s="45">
        <f ca="1">SUMIFS(rec.uni[2022-02-01],
INDIRECT("rec.uni[natureza]"),"pro.soluto",
INDIRECT("rec.uni[empresa]"),AQ$6)</f>
        <v>0</v>
      </c>
      <c r="AR16" s="45">
        <f ca="1">SUMIFS(rec.uni[2022-02-01],
INDIRECT("rec.uni[natureza]"),"repasse.cef.obra",
INDIRECT("rec.uni[empresa]"),AR$6)</f>
        <v>0</v>
      </c>
      <c r="AS16" s="45">
        <f ca="1">SUMIFS(rec.uni[2022-02-01],
INDIRECT("rec.uni[natureza]"),"repasse.cef.terreno",
INDIRECT("rec.uni[empresa]"),AS$6)</f>
        <v>0</v>
      </c>
      <c r="AT16" s="45">
        <v>0</v>
      </c>
      <c r="AU16" s="45">
        <f ca="1">SUMIFS(rec.uni[2022-02-01],
INDIRECT("rec.uni[natureza]"),"taxa.extra",
INDIRECT("rec.uni[empresa]"),AU$6)</f>
        <v>0</v>
      </c>
      <c r="AV16" s="131"/>
    </row>
    <row r="17" spans="1:48" x14ac:dyDescent="0.25">
      <c r="A17" s="43">
        <v>44621</v>
      </c>
      <c r="B17" s="44">
        <f>COUNTIFS(
    estq[empresa], B$6,
    estq[Data da venda / reserva], "&gt;=" &amp; $A17,
    estq[Data da venda / reserva], "&lt;"  &amp; EOMONTH($A17,0) + 1
)</f>
        <v>0</v>
      </c>
      <c r="C17" s="45">
        <f ca="1">SUMIFS(rec.uni[2022-03-01],
INDIRECT("rec.uni[natureza]"),"pro.soluto",
INDIRECT("rec.uni[empresa]"),C$6)</f>
        <v>0</v>
      </c>
      <c r="D17" s="45">
        <f ca="1">SUMIFS(rec.uni[2022-03-01],
INDIRECT("rec.uni[natureza]"),"repasse.cef.obra",
INDIRECT("rec.uni[empresa]"),D$6)</f>
        <v>0</v>
      </c>
      <c r="E17" s="45">
        <f ca="1">SUMIFS(rec.uni[2022-03-01],
INDIRECT("rec.uni[natureza]"),"repasse.cef.terreno",
INDIRECT("rec.uni[empresa]"),E$6)</f>
        <v>0</v>
      </c>
      <c r="F17" s="45">
        <v>0</v>
      </c>
      <c r="G17" s="45">
        <f ca="1">SUMIFS(rec.uni[2022-03-01],
INDIRECT("rec.uni[natureza]"),"taxa.extra",
INDIRECT("rec.uni[empresa]"),G$6)</f>
        <v>0</v>
      </c>
      <c r="H17" s="131"/>
      <c r="I17" s="44">
        <f>COUNTIFS(
    estq[empresa], I$6,
    estq[Data da venda / reserva], "&gt;=" &amp; $A17,
    estq[Data da venda / reserva], "&lt;"  &amp; EOMONTH($A17,0) + 1
)</f>
        <v>0</v>
      </c>
      <c r="J17" s="45">
        <f ca="1">SUMIFS(rec.uni[2022-03-01],
INDIRECT("rec.uni[natureza]"),"pro.soluto",
INDIRECT("rec.uni[empresa]"),J$6)</f>
        <v>0</v>
      </c>
      <c r="K17" s="45">
        <f ca="1">SUMIFS(rec.uni[2022-03-01],
INDIRECT("rec.uni[natureza]"),"repasse.cef.obra",
INDIRECT("rec.uni[empresa]"),K$6)</f>
        <v>0</v>
      </c>
      <c r="L17" s="45">
        <f ca="1">SUMIFS(rec.uni[2022-03-01],
INDIRECT("rec.uni[natureza]"),"repasse.cef.terreno",
INDIRECT("rec.uni[empresa]"),L$6)</f>
        <v>0</v>
      </c>
      <c r="M17" s="45">
        <v>0</v>
      </c>
      <c r="N17" s="45">
        <f ca="1">SUMIFS(rec.uni[2022-03-01],
INDIRECT("rec.uni[natureza]"),"taxa.extra",
INDIRECT("rec.uni[empresa]"),N$6)</f>
        <v>0</v>
      </c>
      <c r="O17" s="131"/>
      <c r="P17" s="44">
        <f>COUNTIFS(
    estq[empresa], P$6,
    estq[Data da venda / reserva], "&gt;=" &amp; $A17,
    estq[Data da venda / reserva], "&lt;"  &amp; EOMONTH($A17,0) + 1
)</f>
        <v>0</v>
      </c>
      <c r="Q17" s="45">
        <f ca="1">SUMIFS(rec.uni[2022-03-01],
INDIRECT("rec.uni[natureza]"),"pro.soluto",
INDIRECT("rec.uni[empresa]"),Q$6)</f>
        <v>0</v>
      </c>
      <c r="R17" s="45">
        <f ca="1">SUMIFS(rec.uni[2022-03-01],
INDIRECT("rec.uni[natureza]"),"repasse.cef.obra",
INDIRECT("rec.uni[empresa]"),R$6)</f>
        <v>0</v>
      </c>
      <c r="S17" s="45">
        <f ca="1">SUMIFS(rec.uni[2022-03-01],
INDIRECT("rec.uni[natureza]"),"repasse.cef.terreno",
INDIRECT("rec.uni[empresa]"),S$6)</f>
        <v>0</v>
      </c>
      <c r="T17" s="45">
        <v>0</v>
      </c>
      <c r="U17" s="45">
        <f ca="1">SUMIFS(rec.uni[2022-03-01],
INDIRECT("rec.uni[natureza]"),"taxa.extra",
INDIRECT("rec.uni[empresa]"),U$6)</f>
        <v>0</v>
      </c>
      <c r="V17" s="131"/>
      <c r="W17" s="44">
        <f>COUNTIFS(
    estq[empresa], W$6,
    estq[Data da venda / reserva], "&gt;=" &amp; $A17,
    estq[Data da venda / reserva], "&lt;"  &amp; EOMONTH($A17,0) + 1
)</f>
        <v>0</v>
      </c>
      <c r="X17" s="45">
        <f ca="1">SUMIFS(rec.uni[2022-03-01],
INDIRECT("rec.uni[natureza]"),"pro.soluto",
INDIRECT("rec.uni[empresa]"),X$6)</f>
        <v>0</v>
      </c>
      <c r="Y17" s="45">
        <f ca="1">SUMIFS(rec.uni[2022-03-01],
INDIRECT("rec.uni[natureza]"),"repasse.cef.obra",
INDIRECT("rec.uni[empresa]"),Y$6)</f>
        <v>0</v>
      </c>
      <c r="Z17" s="45">
        <f ca="1">SUMIFS(rec.uni[2022-03-01],
INDIRECT("rec.uni[natureza]"),"repasse.cef.terreno",
INDIRECT("rec.uni[empresa]"),Z$6)</f>
        <v>0</v>
      </c>
      <c r="AA17" s="45">
        <v>0</v>
      </c>
      <c r="AB17" s="45">
        <f ca="1">SUMIFS(rec.uni[2022-03-01],
INDIRECT("rec.uni[natureza]"),"taxa.extra",
INDIRECT("rec.uni[empresa]"),AB$6)</f>
        <v>0</v>
      </c>
      <c r="AC17" s="131"/>
      <c r="AD17" s="44">
        <f>COUNTIFS(
    estq[empresa], AD$6,
    estq[Data da venda / reserva], "&gt;=" &amp; $A17,
    estq[Data da venda / reserva], "&lt;"  &amp; EOMONTH($A17,0) + 1
)</f>
        <v>0</v>
      </c>
      <c r="AE17" s="45">
        <f ca="1">SUMIFS(rec.uni[2022-03-01],
INDIRECT("rec.uni[natureza]"),"pro.soluto",
INDIRECT("rec.uni[empresa]"),AE$6)</f>
        <v>0</v>
      </c>
      <c r="AF17" s="38">
        <f ca="1">SUMIFS(rec.uni[2022-03-01],
INDIRECT("rec.uni[natureza]"),"parcela.fin.total.ik",
INDIRECT("rec.uni[empresa]"),AF$6)</f>
        <v>0</v>
      </c>
      <c r="AG17" s="45">
        <f ca="1">SUMIFS(rec.uni[2022-03-01],
INDIRECT("rec.uni[natureza]"),"taxa.extra",
INDIRECT("rec.uni[empresa]"),AG$6)</f>
        <v>0</v>
      </c>
      <c r="AH17" s="131"/>
      <c r="AI17" s="44">
        <f>COUNTIFS(
    estq[empresa], AI$6,
    estq[Data da venda / reserva], "&gt;=" &amp; $A17,
    estq[Data da venda / reserva], "&lt;"  &amp; EOMONTH($A17,0) + 1
)</f>
        <v>0</v>
      </c>
      <c r="AJ17" s="45">
        <f ca="1">SUMIFS(rec.uni[2022-03-01],
INDIRECT("rec.uni[natureza]"),"pro.soluto",
INDIRECT("rec.uni[empresa]"),AJ$6)</f>
        <v>0</v>
      </c>
      <c r="AK17" s="45">
        <f ca="1">SUMIFS(rec.uni[2022-03-01],
INDIRECT("rec.uni[natureza]"),"repasse.cef.obra",
INDIRECT("rec.uni[empresa]"),AK$6)</f>
        <v>0</v>
      </c>
      <c r="AL17" s="45">
        <f ca="1">SUMIFS(rec.uni[2022-03-01],
INDIRECT("rec.uni[natureza]"),"repasse.cef.terreno",
INDIRECT("rec.uni[empresa]"),AL$6)</f>
        <v>0</v>
      </c>
      <c r="AM17" s="45">
        <v>0</v>
      </c>
      <c r="AN17" s="45">
        <f ca="1">SUMIFS(rec.uni[2022-03-01],
INDIRECT("rec.uni[natureza]"),"taxa.extra",
INDIRECT("rec.uni[empresa]"),AN$6)</f>
        <v>0</v>
      </c>
      <c r="AO17" s="131"/>
      <c r="AP17" s="44">
        <f>COUNTIFS(
    estq[empresa], AP$6,
    estq[Data da venda / reserva], "&gt;=" &amp; $A17,
    estq[Data da venda / reserva], "&lt;"  &amp; EOMONTH($A17,0) + 1
)</f>
        <v>0</v>
      </c>
      <c r="AQ17" s="45">
        <f ca="1">SUMIFS(rec.uni[2022-03-01],
INDIRECT("rec.uni[natureza]"),"pro.soluto",
INDIRECT("rec.uni[empresa]"),AQ$6)</f>
        <v>0</v>
      </c>
      <c r="AR17" s="45">
        <f ca="1">SUMIFS(rec.uni[2022-03-01],
INDIRECT("rec.uni[natureza]"),"repasse.cef.obra",
INDIRECT("rec.uni[empresa]"),AR$6)</f>
        <v>0</v>
      </c>
      <c r="AS17" s="45">
        <f ca="1">SUMIFS(rec.uni[2022-03-01],
INDIRECT("rec.uni[natureza]"),"repasse.cef.terreno",
INDIRECT("rec.uni[empresa]"),AS$6)</f>
        <v>0</v>
      </c>
      <c r="AT17" s="45">
        <v>0</v>
      </c>
      <c r="AU17" s="45">
        <f ca="1">SUMIFS(rec.uni[2022-03-01],
INDIRECT("rec.uni[natureza]"),"taxa.extra",
INDIRECT("rec.uni[empresa]"),AU$6)</f>
        <v>0</v>
      </c>
      <c r="AV17" s="131"/>
    </row>
    <row r="18" spans="1:48" x14ac:dyDescent="0.25">
      <c r="A18" s="43">
        <v>44652</v>
      </c>
      <c r="B18" s="44">
        <f>COUNTIFS(
    estq[empresa], B$6,
    estq[Data da venda / reserva], "&gt;=" &amp; $A18,
    estq[Data da venda / reserva], "&lt;"  &amp; EOMONTH($A18,0) + 1
)</f>
        <v>0</v>
      </c>
      <c r="C18" s="45">
        <f ca="1">SUMIFS(rec.uni[2022-04-01],
INDIRECT("rec.uni[natureza]"),"pro.soluto",
INDIRECT("rec.uni[empresa]"),C$6)</f>
        <v>0</v>
      </c>
      <c r="D18" s="45">
        <f ca="1">SUMIFS(rec.uni[2022-04-01],
INDIRECT("rec.uni[natureza]"),"repasse.cef.obra",
INDIRECT("rec.uni[empresa]"),D$6)</f>
        <v>0</v>
      </c>
      <c r="E18" s="45">
        <f ca="1">SUMIFS(rec.uni[2022-04-01],
INDIRECT("rec.uni[natureza]"),"repasse.cef.terreno",
INDIRECT("rec.uni[empresa]"),E$6)</f>
        <v>0</v>
      </c>
      <c r="F18" s="45">
        <v>0</v>
      </c>
      <c r="G18" s="45">
        <f ca="1">SUMIFS(rec.uni[2022-04-01],
INDIRECT("rec.uni[natureza]"),"taxa.extra",
INDIRECT("rec.uni[empresa]"),G$6)</f>
        <v>0</v>
      </c>
      <c r="H18" s="131"/>
      <c r="I18" s="44">
        <f>COUNTIFS(
    estq[empresa], I$6,
    estq[Data da venda / reserva], "&gt;=" &amp; $A18,
    estq[Data da venda / reserva], "&lt;"  &amp; EOMONTH($A18,0) + 1
)</f>
        <v>0</v>
      </c>
      <c r="J18" s="45">
        <f ca="1">SUMIFS(rec.uni[2022-04-01],
INDIRECT("rec.uni[natureza]"),"pro.soluto",
INDIRECT("rec.uni[empresa]"),J$6)</f>
        <v>0</v>
      </c>
      <c r="K18" s="45">
        <f ca="1">SUMIFS(rec.uni[2022-04-01],
INDIRECT("rec.uni[natureza]"),"repasse.cef.obra",
INDIRECT("rec.uni[empresa]"),K$6)</f>
        <v>0</v>
      </c>
      <c r="L18" s="45">
        <f ca="1">SUMIFS(rec.uni[2022-04-01],
INDIRECT("rec.uni[natureza]"),"repasse.cef.terreno",
INDIRECT("rec.uni[empresa]"),L$6)</f>
        <v>0</v>
      </c>
      <c r="M18" s="45">
        <v>0</v>
      </c>
      <c r="N18" s="45">
        <f ca="1">SUMIFS(rec.uni[2022-04-01],
INDIRECT("rec.uni[natureza]"),"taxa.extra",
INDIRECT("rec.uni[empresa]"),N$6)</f>
        <v>0</v>
      </c>
      <c r="O18" s="131"/>
      <c r="P18" s="44">
        <f>COUNTIFS(
    estq[empresa], P$6,
    estq[Data da venda / reserva], "&gt;=" &amp; $A18,
    estq[Data da venda / reserva], "&lt;"  &amp; EOMONTH($A18,0) + 1
)</f>
        <v>0</v>
      </c>
      <c r="Q18" s="45">
        <f ca="1">SUMIFS(rec.uni[2022-04-01],
INDIRECT("rec.uni[natureza]"),"pro.soluto",
INDIRECT("rec.uni[empresa]"),Q$6)</f>
        <v>0</v>
      </c>
      <c r="R18" s="45">
        <f ca="1">SUMIFS(rec.uni[2022-04-01],
INDIRECT("rec.uni[natureza]"),"repasse.cef.obra",
INDIRECT("rec.uni[empresa]"),R$6)</f>
        <v>0</v>
      </c>
      <c r="S18" s="45">
        <f ca="1">SUMIFS(rec.uni[2022-04-01],
INDIRECT("rec.uni[natureza]"),"repasse.cef.terreno",
INDIRECT("rec.uni[empresa]"),S$6)</f>
        <v>0</v>
      </c>
      <c r="T18" s="45">
        <v>0</v>
      </c>
      <c r="U18" s="45">
        <f ca="1">SUMIFS(rec.uni[2022-04-01],
INDIRECT("rec.uni[natureza]"),"taxa.extra",
INDIRECT("rec.uni[empresa]"),U$6)</f>
        <v>0</v>
      </c>
      <c r="V18" s="131"/>
      <c r="W18" s="44">
        <f>COUNTIFS(
    estq[empresa], W$6,
    estq[Data da venda / reserva], "&gt;=" &amp; $A18,
    estq[Data da venda / reserva], "&lt;"  &amp; EOMONTH($A18,0) + 1
)</f>
        <v>0</v>
      </c>
      <c r="X18" s="45">
        <f ca="1">SUMIFS(rec.uni[2022-04-01],
INDIRECT("rec.uni[natureza]"),"pro.soluto",
INDIRECT("rec.uni[empresa]"),X$6)</f>
        <v>0</v>
      </c>
      <c r="Y18" s="45">
        <f ca="1">SUMIFS(rec.uni[2022-04-01],
INDIRECT("rec.uni[natureza]"),"repasse.cef.obra",
INDIRECT("rec.uni[empresa]"),Y$6)</f>
        <v>0</v>
      </c>
      <c r="Z18" s="45">
        <f ca="1">SUMIFS(rec.uni[2022-04-01],
INDIRECT("rec.uni[natureza]"),"repasse.cef.terreno",
INDIRECT("rec.uni[empresa]"),Z$6)</f>
        <v>0</v>
      </c>
      <c r="AA18" s="45">
        <v>0</v>
      </c>
      <c r="AB18" s="45">
        <f ca="1">SUMIFS(rec.uni[2022-04-01],
INDIRECT("rec.uni[natureza]"),"taxa.extra",
INDIRECT("rec.uni[empresa]"),AB$6)</f>
        <v>0</v>
      </c>
      <c r="AC18" s="131"/>
      <c r="AD18" s="44">
        <f>COUNTIFS(
    estq[empresa], AD$6,
    estq[Data da venda / reserva], "&gt;=" &amp; $A18,
    estq[Data da venda / reserva], "&lt;"  &amp; EOMONTH($A18,0) + 1
)</f>
        <v>0</v>
      </c>
      <c r="AE18" s="45">
        <f ca="1">SUMIFS(rec.uni[2022-04-01],
INDIRECT("rec.uni[natureza]"),"pro.soluto",
INDIRECT("rec.uni[empresa]"),AE$6)</f>
        <v>0</v>
      </c>
      <c r="AF18" s="38">
        <f ca="1">SUMIFS(rec.uni[2022-04-01],
INDIRECT("rec.uni[natureza]"),"parcela.fin.total.ik",
INDIRECT("rec.uni[empresa]"),AF$6)</f>
        <v>0</v>
      </c>
      <c r="AG18" s="45">
        <f ca="1">SUMIFS(rec.uni[2022-04-01],
INDIRECT("rec.uni[natureza]"),"taxa.extra",
INDIRECT("rec.uni[empresa]"),AG$6)</f>
        <v>0</v>
      </c>
      <c r="AH18" s="131"/>
      <c r="AI18" s="44">
        <f>COUNTIFS(
    estq[empresa], AI$6,
    estq[Data da venda / reserva], "&gt;=" &amp; $A18,
    estq[Data da venda / reserva], "&lt;"  &amp; EOMONTH($A18,0) + 1
)</f>
        <v>0</v>
      </c>
      <c r="AJ18" s="45">
        <f ca="1">SUMIFS(rec.uni[2022-04-01],
INDIRECT("rec.uni[natureza]"),"pro.soluto",
INDIRECT("rec.uni[empresa]"),AJ$6)</f>
        <v>0</v>
      </c>
      <c r="AK18" s="45">
        <f ca="1">SUMIFS(rec.uni[2022-04-01],
INDIRECT("rec.uni[natureza]"),"repasse.cef.obra",
INDIRECT("rec.uni[empresa]"),AK$6)</f>
        <v>0</v>
      </c>
      <c r="AL18" s="45">
        <f ca="1">SUMIFS(rec.uni[2022-04-01],
INDIRECT("rec.uni[natureza]"),"repasse.cef.terreno",
INDIRECT("rec.uni[empresa]"),AL$6)</f>
        <v>0</v>
      </c>
      <c r="AM18" s="45">
        <v>0</v>
      </c>
      <c r="AN18" s="45">
        <f ca="1">SUMIFS(rec.uni[2022-04-01],
INDIRECT("rec.uni[natureza]"),"taxa.extra",
INDIRECT("rec.uni[empresa]"),AN$6)</f>
        <v>0</v>
      </c>
      <c r="AO18" s="131"/>
      <c r="AP18" s="44">
        <f>COUNTIFS(
    estq[empresa], AP$6,
    estq[Data da venda / reserva], "&gt;=" &amp; $A18,
    estq[Data da venda / reserva], "&lt;"  &amp; EOMONTH($A18,0) + 1
)</f>
        <v>0</v>
      </c>
      <c r="AQ18" s="45">
        <f ca="1">SUMIFS(rec.uni[2022-04-01],
INDIRECT("rec.uni[natureza]"),"pro.soluto",
INDIRECT("rec.uni[empresa]"),AQ$6)</f>
        <v>0</v>
      </c>
      <c r="AR18" s="45">
        <f ca="1">SUMIFS(rec.uni[2022-04-01],
INDIRECT("rec.uni[natureza]"),"repasse.cef.obra",
INDIRECT("rec.uni[empresa]"),AR$6)</f>
        <v>0</v>
      </c>
      <c r="AS18" s="45">
        <f ca="1">SUMIFS(rec.uni[2022-04-01],
INDIRECT("rec.uni[natureza]"),"repasse.cef.terreno",
INDIRECT("rec.uni[empresa]"),AS$6)</f>
        <v>0</v>
      </c>
      <c r="AT18" s="45">
        <v>0</v>
      </c>
      <c r="AU18" s="45">
        <f ca="1">SUMIFS(rec.uni[2022-04-01],
INDIRECT("rec.uni[natureza]"),"taxa.extra",
INDIRECT("rec.uni[empresa]"),AU$6)</f>
        <v>0</v>
      </c>
      <c r="AV18" s="131"/>
    </row>
    <row r="19" spans="1:48" x14ac:dyDescent="0.25">
      <c r="A19" s="43">
        <v>44682</v>
      </c>
      <c r="B19" s="44">
        <f>COUNTIFS(
    estq[empresa], B$6,
    estq[Data da venda / reserva], "&gt;=" &amp; $A19,
    estq[Data da venda / reserva], "&lt;"  &amp; EOMONTH($A19,0) + 1
)</f>
        <v>0</v>
      </c>
      <c r="C19" s="45">
        <f ca="1">SUMIFS(rec.uni[2022-05-01],
INDIRECT("rec.uni[natureza]"),"pro.soluto",
INDIRECT("rec.uni[empresa]"),C$6)</f>
        <v>0</v>
      </c>
      <c r="D19" s="45">
        <f ca="1">SUMIFS(rec.uni[2022-05-01],
INDIRECT("rec.uni[natureza]"),"repasse.cef.obra",
INDIRECT("rec.uni[empresa]"),D$6)</f>
        <v>0</v>
      </c>
      <c r="E19" s="45">
        <f ca="1">SUMIFS(rec.uni[2022-05-01],
INDIRECT("rec.uni[natureza]"),"repasse.cef.terreno",
INDIRECT("rec.uni[empresa]"),E$6)</f>
        <v>0</v>
      </c>
      <c r="F19" s="45">
        <v>0</v>
      </c>
      <c r="G19" s="45">
        <f ca="1">SUMIFS(rec.uni[2022-05-01],
INDIRECT("rec.uni[natureza]"),"taxa.extra",
INDIRECT("rec.uni[empresa]"),G$6)</f>
        <v>0</v>
      </c>
      <c r="H19" s="131"/>
      <c r="I19" s="44">
        <f>COUNTIFS(
    estq[empresa], I$6,
    estq[Data da venda / reserva], "&gt;=" &amp; $A19,
    estq[Data da venda / reserva], "&lt;"  &amp; EOMONTH($A19,0) + 1
)</f>
        <v>0</v>
      </c>
      <c r="J19" s="45">
        <f ca="1">SUMIFS(rec.uni[2022-05-01],
INDIRECT("rec.uni[natureza]"),"pro.soluto",
INDIRECT("rec.uni[empresa]"),J$6)</f>
        <v>0</v>
      </c>
      <c r="K19" s="45">
        <f ca="1">SUMIFS(rec.uni[2022-05-01],
INDIRECT("rec.uni[natureza]"),"repasse.cef.obra",
INDIRECT("rec.uni[empresa]"),K$6)</f>
        <v>0</v>
      </c>
      <c r="L19" s="45">
        <f ca="1">SUMIFS(rec.uni[2022-05-01],
INDIRECT("rec.uni[natureza]"),"repasse.cef.terreno",
INDIRECT("rec.uni[empresa]"),L$6)</f>
        <v>0</v>
      </c>
      <c r="M19" s="45">
        <v>0</v>
      </c>
      <c r="N19" s="45">
        <f ca="1">SUMIFS(rec.uni[2022-05-01],
INDIRECT("rec.uni[natureza]"),"taxa.extra",
INDIRECT("rec.uni[empresa]"),N$6)</f>
        <v>0</v>
      </c>
      <c r="O19" s="131"/>
      <c r="P19" s="44">
        <f>COUNTIFS(
    estq[empresa], P$6,
    estq[Data da venda / reserva], "&gt;=" &amp; $A19,
    estq[Data da venda / reserva], "&lt;"  &amp; EOMONTH($A19,0) + 1
)</f>
        <v>0</v>
      </c>
      <c r="Q19" s="45">
        <f ca="1">SUMIFS(rec.uni[2022-05-01],
INDIRECT("rec.uni[natureza]"),"pro.soluto",
INDIRECT("rec.uni[empresa]"),Q$6)</f>
        <v>0</v>
      </c>
      <c r="R19" s="45">
        <f ca="1">SUMIFS(rec.uni[2022-05-01],
INDIRECT("rec.uni[natureza]"),"repasse.cef.obra",
INDIRECT("rec.uni[empresa]"),R$6)</f>
        <v>0</v>
      </c>
      <c r="S19" s="45">
        <f ca="1">SUMIFS(rec.uni[2022-05-01],
INDIRECT("rec.uni[natureza]"),"repasse.cef.terreno",
INDIRECT("rec.uni[empresa]"),S$6)</f>
        <v>0</v>
      </c>
      <c r="T19" s="45">
        <v>0</v>
      </c>
      <c r="U19" s="45">
        <f ca="1">SUMIFS(rec.uni[2022-05-01],
INDIRECT("rec.uni[natureza]"),"taxa.extra",
INDIRECT("rec.uni[empresa]"),U$6)</f>
        <v>0</v>
      </c>
      <c r="V19" s="131"/>
      <c r="W19" s="44">
        <f>COUNTIFS(
    estq[empresa], W$6,
    estq[Data da venda / reserva], "&gt;=" &amp; $A19,
    estq[Data da venda / reserva], "&lt;"  &amp; EOMONTH($A19,0) + 1
)</f>
        <v>0</v>
      </c>
      <c r="X19" s="45">
        <f ca="1">SUMIFS(rec.uni[2022-05-01],
INDIRECT("rec.uni[natureza]"),"pro.soluto",
INDIRECT("rec.uni[empresa]"),X$6)</f>
        <v>0</v>
      </c>
      <c r="Y19" s="45">
        <f ca="1">SUMIFS(rec.uni[2022-05-01],
INDIRECT("rec.uni[natureza]"),"repasse.cef.obra",
INDIRECT("rec.uni[empresa]"),Y$6)</f>
        <v>0</v>
      </c>
      <c r="Z19" s="45">
        <f ca="1">SUMIFS(rec.uni[2022-05-01],
INDIRECT("rec.uni[natureza]"),"repasse.cef.terreno",
INDIRECT("rec.uni[empresa]"),Z$6)</f>
        <v>0</v>
      </c>
      <c r="AA19" s="45">
        <v>0</v>
      </c>
      <c r="AB19" s="45">
        <f ca="1">SUMIFS(rec.uni[2022-05-01],
INDIRECT("rec.uni[natureza]"),"taxa.extra",
INDIRECT("rec.uni[empresa]"),AB$6)</f>
        <v>0</v>
      </c>
      <c r="AC19" s="131"/>
      <c r="AD19" s="44">
        <f>COUNTIFS(
    estq[empresa], AD$6,
    estq[Data da venda / reserva], "&gt;=" &amp; $A19,
    estq[Data da venda / reserva], "&lt;"  &amp; EOMONTH($A19,0) + 1
)</f>
        <v>0</v>
      </c>
      <c r="AE19" s="45">
        <f ca="1">SUMIFS(rec.uni[2022-05-01],
INDIRECT("rec.uni[natureza]"),"pro.soluto",
INDIRECT("rec.uni[empresa]"),AE$6)</f>
        <v>0</v>
      </c>
      <c r="AF19" s="38">
        <f ca="1">SUMIFS(rec.uni[2022-05-01],
INDIRECT("rec.uni[natureza]"),"parcela.fin.total.ik",
INDIRECT("rec.uni[empresa]"),AF$6)</f>
        <v>0</v>
      </c>
      <c r="AG19" s="45">
        <f ca="1">SUMIFS(rec.uni[2022-05-01],
INDIRECT("rec.uni[natureza]"),"taxa.extra",
INDIRECT("rec.uni[empresa]"),AG$6)</f>
        <v>0</v>
      </c>
      <c r="AH19" s="131"/>
      <c r="AI19" s="44">
        <f>COUNTIFS(
    estq[empresa], AI$6,
    estq[Data da venda / reserva], "&gt;=" &amp; $A19,
    estq[Data da venda / reserva], "&lt;"  &amp; EOMONTH($A19,0) + 1
)</f>
        <v>0</v>
      </c>
      <c r="AJ19" s="45">
        <f ca="1">SUMIFS(rec.uni[2022-05-01],
INDIRECT("rec.uni[natureza]"),"pro.soluto",
INDIRECT("rec.uni[empresa]"),AJ$6)</f>
        <v>0</v>
      </c>
      <c r="AK19" s="45">
        <f ca="1">SUMIFS(rec.uni[2022-05-01],
INDIRECT("rec.uni[natureza]"),"repasse.cef.obra",
INDIRECT("rec.uni[empresa]"),AK$6)</f>
        <v>0</v>
      </c>
      <c r="AL19" s="45">
        <f ca="1">SUMIFS(rec.uni[2022-05-01],
INDIRECT("rec.uni[natureza]"),"repasse.cef.terreno",
INDIRECT("rec.uni[empresa]"),AL$6)</f>
        <v>0</v>
      </c>
      <c r="AM19" s="45">
        <v>0</v>
      </c>
      <c r="AN19" s="45">
        <f ca="1">SUMIFS(rec.uni[2022-05-01],
INDIRECT("rec.uni[natureza]"),"taxa.extra",
INDIRECT("rec.uni[empresa]"),AN$6)</f>
        <v>0</v>
      </c>
      <c r="AO19" s="131"/>
      <c r="AP19" s="44">
        <f>COUNTIFS(
    estq[empresa], AP$6,
    estq[Data da venda / reserva], "&gt;=" &amp; $A19,
    estq[Data da venda / reserva], "&lt;"  &amp; EOMONTH($A19,0) + 1
)</f>
        <v>0</v>
      </c>
      <c r="AQ19" s="45">
        <f ca="1">SUMIFS(rec.uni[2022-05-01],
INDIRECT("rec.uni[natureza]"),"pro.soluto",
INDIRECT("rec.uni[empresa]"),AQ$6)</f>
        <v>0</v>
      </c>
      <c r="AR19" s="45">
        <f ca="1">SUMIFS(rec.uni[2022-05-01],
INDIRECT("rec.uni[natureza]"),"repasse.cef.obra",
INDIRECT("rec.uni[empresa]"),AR$6)</f>
        <v>0</v>
      </c>
      <c r="AS19" s="45">
        <f ca="1">SUMIFS(rec.uni[2022-05-01],
INDIRECT("rec.uni[natureza]"),"repasse.cef.terreno",
INDIRECT("rec.uni[empresa]"),AS$6)</f>
        <v>0</v>
      </c>
      <c r="AT19" s="45">
        <v>0</v>
      </c>
      <c r="AU19" s="45">
        <f ca="1">SUMIFS(rec.uni[2022-05-01],
INDIRECT("rec.uni[natureza]"),"taxa.extra",
INDIRECT("rec.uni[empresa]"),AU$6)</f>
        <v>0</v>
      </c>
      <c r="AV19" s="131"/>
    </row>
    <row r="20" spans="1:48" x14ac:dyDescent="0.25">
      <c r="A20" s="43">
        <v>44713</v>
      </c>
      <c r="B20" s="44">
        <f>COUNTIFS(
    estq[empresa], B$6,
    estq[Data da venda / reserva], "&gt;=" &amp; $A20,
    estq[Data da venda / reserva], "&lt;"  &amp; EOMONTH($A20,0) + 1
)</f>
        <v>0</v>
      </c>
      <c r="C20" s="45">
        <f ca="1">SUMIFS(rec.uni[2022-06-01],
INDIRECT("rec.uni[natureza]"),"pro.soluto",
INDIRECT("rec.uni[empresa]"),C$6)</f>
        <v>0</v>
      </c>
      <c r="D20" s="45">
        <f ca="1">SUMIFS(rec.uni[2022-06-01],
INDIRECT("rec.uni[natureza]"),"repasse.cef.obra",
INDIRECT("rec.uni[empresa]"),D$6)</f>
        <v>0</v>
      </c>
      <c r="E20" s="45">
        <f ca="1">SUMIFS(rec.uni[2022-06-01],
INDIRECT("rec.uni[natureza]"),"repasse.cef.terreno",
INDIRECT("rec.uni[empresa]"),E$6)</f>
        <v>0</v>
      </c>
      <c r="F20" s="45">
        <v>0</v>
      </c>
      <c r="G20" s="45">
        <f ca="1">SUMIFS(rec.uni[2022-06-01],
INDIRECT("rec.uni[natureza]"),"taxa.extra",
INDIRECT("rec.uni[empresa]"),G$6)</f>
        <v>0</v>
      </c>
      <c r="H20" s="131"/>
      <c r="I20" s="44">
        <f>COUNTIFS(
    estq[empresa], I$6,
    estq[Data da venda / reserva], "&gt;=" &amp; $A20,
    estq[Data da venda / reserva], "&lt;"  &amp; EOMONTH($A20,0) + 1
)</f>
        <v>0</v>
      </c>
      <c r="J20" s="45">
        <f ca="1">SUMIFS(rec.uni[2022-06-01],
INDIRECT("rec.uni[natureza]"),"pro.soluto",
INDIRECT("rec.uni[empresa]"),J$6)</f>
        <v>0</v>
      </c>
      <c r="K20" s="45">
        <f ca="1">SUMIFS(rec.uni[2022-06-01],
INDIRECT("rec.uni[natureza]"),"repasse.cef.obra",
INDIRECT("rec.uni[empresa]"),K$6)</f>
        <v>0</v>
      </c>
      <c r="L20" s="45">
        <f ca="1">SUMIFS(rec.uni[2022-06-01],
INDIRECT("rec.uni[natureza]"),"repasse.cef.terreno",
INDIRECT("rec.uni[empresa]"),L$6)</f>
        <v>0</v>
      </c>
      <c r="M20" s="45">
        <v>0</v>
      </c>
      <c r="N20" s="45">
        <f ca="1">SUMIFS(rec.uni[2022-06-01],
INDIRECT("rec.uni[natureza]"),"taxa.extra",
INDIRECT("rec.uni[empresa]"),N$6)</f>
        <v>0</v>
      </c>
      <c r="O20" s="131"/>
      <c r="P20" s="44">
        <f>COUNTIFS(
    estq[empresa], P$6,
    estq[Data da venda / reserva], "&gt;=" &amp; $A20,
    estq[Data da venda / reserva], "&lt;"  &amp; EOMONTH($A20,0) + 1
)</f>
        <v>0</v>
      </c>
      <c r="Q20" s="45">
        <f ca="1">SUMIFS(rec.uni[2022-06-01],
INDIRECT("rec.uni[natureza]"),"pro.soluto",
INDIRECT("rec.uni[empresa]"),Q$6)</f>
        <v>0</v>
      </c>
      <c r="R20" s="45">
        <f ca="1">SUMIFS(rec.uni[2022-06-01],
INDIRECT("rec.uni[natureza]"),"repasse.cef.obra",
INDIRECT("rec.uni[empresa]"),R$6)</f>
        <v>0</v>
      </c>
      <c r="S20" s="45">
        <f ca="1">SUMIFS(rec.uni[2022-06-01],
INDIRECT("rec.uni[natureza]"),"repasse.cef.terreno",
INDIRECT("rec.uni[empresa]"),S$6)</f>
        <v>0</v>
      </c>
      <c r="T20" s="45">
        <v>0</v>
      </c>
      <c r="U20" s="45">
        <f ca="1">SUMIFS(rec.uni[2022-06-01],
INDIRECT("rec.uni[natureza]"),"taxa.extra",
INDIRECT("rec.uni[empresa]"),U$6)</f>
        <v>0</v>
      </c>
      <c r="V20" s="131"/>
      <c r="W20" s="44">
        <f>COUNTIFS(
    estq[empresa], W$6,
    estq[Data da venda / reserva], "&gt;=" &amp; $A20,
    estq[Data da venda / reserva], "&lt;"  &amp; EOMONTH($A20,0) + 1
)</f>
        <v>0</v>
      </c>
      <c r="X20" s="45">
        <f ca="1">SUMIFS(rec.uni[2022-06-01],
INDIRECT("rec.uni[natureza]"),"pro.soluto",
INDIRECT("rec.uni[empresa]"),X$6)</f>
        <v>0</v>
      </c>
      <c r="Y20" s="45">
        <f ca="1">SUMIFS(rec.uni[2022-06-01],
INDIRECT("rec.uni[natureza]"),"repasse.cef.obra",
INDIRECT("rec.uni[empresa]"),Y$6)</f>
        <v>0</v>
      </c>
      <c r="Z20" s="45">
        <f ca="1">SUMIFS(rec.uni[2022-06-01],
INDIRECT("rec.uni[natureza]"),"repasse.cef.terreno",
INDIRECT("rec.uni[empresa]"),Z$6)</f>
        <v>0</v>
      </c>
      <c r="AA20" s="45">
        <v>0</v>
      </c>
      <c r="AB20" s="45">
        <f ca="1">SUMIFS(rec.uni[2022-06-01],
INDIRECT("rec.uni[natureza]"),"taxa.extra",
INDIRECT("rec.uni[empresa]"),AB$6)</f>
        <v>0</v>
      </c>
      <c r="AC20" s="131"/>
      <c r="AD20" s="44">
        <f>COUNTIFS(
    estq[empresa], AD$6,
    estq[Data da venda / reserva], "&gt;=" &amp; $A20,
    estq[Data da venda / reserva], "&lt;"  &amp; EOMONTH($A20,0) + 1
)</f>
        <v>0</v>
      </c>
      <c r="AE20" s="45">
        <f ca="1">SUMIFS(rec.uni[2022-06-01],
INDIRECT("rec.uni[natureza]"),"pro.soluto",
INDIRECT("rec.uni[empresa]"),AE$6)</f>
        <v>0</v>
      </c>
      <c r="AF20" s="38">
        <f ca="1">SUMIFS(rec.uni[2022-06-01],
INDIRECT("rec.uni[natureza]"),"parcela.fin.total.ik",
INDIRECT("rec.uni[empresa]"),AF$6)</f>
        <v>0</v>
      </c>
      <c r="AG20" s="45">
        <f ca="1">SUMIFS(rec.uni[2022-06-01],
INDIRECT("rec.uni[natureza]"),"taxa.extra",
INDIRECT("rec.uni[empresa]"),AG$6)</f>
        <v>0</v>
      </c>
      <c r="AH20" s="131"/>
      <c r="AI20" s="44">
        <f>COUNTIFS(
    estq[empresa], AI$6,
    estq[Data da venda / reserva], "&gt;=" &amp; $A20,
    estq[Data da venda / reserva], "&lt;"  &amp; EOMONTH($A20,0) + 1
)</f>
        <v>0</v>
      </c>
      <c r="AJ20" s="45">
        <f ca="1">SUMIFS(rec.uni[2022-06-01],
INDIRECT("rec.uni[natureza]"),"pro.soluto",
INDIRECT("rec.uni[empresa]"),AJ$6)</f>
        <v>0</v>
      </c>
      <c r="AK20" s="45">
        <f ca="1">SUMIFS(rec.uni[2022-06-01],
INDIRECT("rec.uni[natureza]"),"repasse.cef.obra",
INDIRECT("rec.uni[empresa]"),AK$6)</f>
        <v>0</v>
      </c>
      <c r="AL20" s="45">
        <f ca="1">SUMIFS(rec.uni[2022-06-01],
INDIRECT("rec.uni[natureza]"),"repasse.cef.terreno",
INDIRECT("rec.uni[empresa]"),AL$6)</f>
        <v>0</v>
      </c>
      <c r="AM20" s="45">
        <v>0</v>
      </c>
      <c r="AN20" s="45">
        <f ca="1">SUMIFS(rec.uni[2022-06-01],
INDIRECT("rec.uni[natureza]"),"taxa.extra",
INDIRECT("rec.uni[empresa]"),AN$6)</f>
        <v>0</v>
      </c>
      <c r="AO20" s="131"/>
      <c r="AP20" s="44">
        <f>COUNTIFS(
    estq[empresa], AP$6,
    estq[Data da venda / reserva], "&gt;=" &amp; $A20,
    estq[Data da venda / reserva], "&lt;"  &amp; EOMONTH($A20,0) + 1
)</f>
        <v>0</v>
      </c>
      <c r="AQ20" s="45">
        <f ca="1">SUMIFS(rec.uni[2022-06-01],
INDIRECT("rec.uni[natureza]"),"pro.soluto",
INDIRECT("rec.uni[empresa]"),AQ$6)</f>
        <v>0</v>
      </c>
      <c r="AR20" s="45">
        <f ca="1">SUMIFS(rec.uni[2022-06-01],
INDIRECT("rec.uni[natureza]"),"repasse.cef.obra",
INDIRECT("rec.uni[empresa]"),AR$6)</f>
        <v>0</v>
      </c>
      <c r="AS20" s="45">
        <f ca="1">SUMIFS(rec.uni[2022-06-01],
INDIRECT("rec.uni[natureza]"),"repasse.cef.terreno",
INDIRECT("rec.uni[empresa]"),AS$6)</f>
        <v>0</v>
      </c>
      <c r="AT20" s="45">
        <v>0</v>
      </c>
      <c r="AU20" s="45">
        <f ca="1">SUMIFS(rec.uni[2022-06-01],
INDIRECT("rec.uni[natureza]"),"taxa.extra",
INDIRECT("rec.uni[empresa]"),AU$6)</f>
        <v>0</v>
      </c>
      <c r="AV20" s="131"/>
    </row>
    <row r="21" spans="1:48" x14ac:dyDescent="0.25">
      <c r="A21" s="43">
        <v>44743</v>
      </c>
      <c r="B21" s="44">
        <f>COUNTIFS(
    estq[empresa], B$6,
    estq[Data da venda / reserva], "&gt;=" &amp; $A21,
    estq[Data da venda / reserva], "&lt;"  &amp; EOMONTH($A21,0) + 1
)</f>
        <v>0</v>
      </c>
      <c r="C21" s="45">
        <f ca="1">SUMIFS(rec.uni[2022-07-01],
INDIRECT("rec.uni[natureza]"),"pro.soluto",
INDIRECT("rec.uni[empresa]"),C$6)</f>
        <v>0</v>
      </c>
      <c r="D21" s="45">
        <f ca="1">SUMIFS(rec.uni[2022-07-01],
INDIRECT("rec.uni[natureza]"),"repasse.cef.obra",
INDIRECT("rec.uni[empresa]"),D$6)</f>
        <v>0</v>
      </c>
      <c r="E21" s="45">
        <f ca="1">SUMIFS(rec.uni[2022-07-01],
INDIRECT("rec.uni[natureza]"),"repasse.cef.terreno",
INDIRECT("rec.uni[empresa]"),E$6)</f>
        <v>0</v>
      </c>
      <c r="F21" s="45">
        <v>0</v>
      </c>
      <c r="G21" s="45">
        <f ca="1">SUMIFS(rec.uni[2022-07-01],
INDIRECT("rec.uni[natureza]"),"taxa.extra",
INDIRECT("rec.uni[empresa]"),G$6)</f>
        <v>0</v>
      </c>
      <c r="H21" s="131"/>
      <c r="I21" s="44">
        <f>COUNTIFS(
    estq[empresa], I$6,
    estq[Data da venda / reserva], "&gt;=" &amp; $A21,
    estq[Data da venda / reserva], "&lt;"  &amp; EOMONTH($A21,0) + 1
)</f>
        <v>0</v>
      </c>
      <c r="J21" s="45">
        <f ca="1">SUMIFS(rec.uni[2022-07-01],
INDIRECT("rec.uni[natureza]"),"pro.soluto",
INDIRECT("rec.uni[empresa]"),J$6)</f>
        <v>0</v>
      </c>
      <c r="K21" s="45">
        <f ca="1">SUMIFS(rec.uni[2022-07-01],
INDIRECT("rec.uni[natureza]"),"repasse.cef.obra",
INDIRECT("rec.uni[empresa]"),K$6)</f>
        <v>0</v>
      </c>
      <c r="L21" s="45">
        <f ca="1">SUMIFS(rec.uni[2022-07-01],
INDIRECT("rec.uni[natureza]"),"repasse.cef.terreno",
INDIRECT("rec.uni[empresa]"),L$6)</f>
        <v>0</v>
      </c>
      <c r="M21" s="45">
        <v>0</v>
      </c>
      <c r="N21" s="45">
        <f ca="1">SUMIFS(rec.uni[2022-07-01],
INDIRECT("rec.uni[natureza]"),"taxa.extra",
INDIRECT("rec.uni[empresa]"),N$6)</f>
        <v>0</v>
      </c>
      <c r="O21" s="131"/>
      <c r="P21" s="44">
        <f>COUNTIFS(
    estq[empresa], P$6,
    estq[Data da venda / reserva], "&gt;=" &amp; $A21,
    estq[Data da venda / reserva], "&lt;"  &amp; EOMONTH($A21,0) + 1
)</f>
        <v>0</v>
      </c>
      <c r="Q21" s="45">
        <f ca="1">SUMIFS(rec.uni[2022-07-01],
INDIRECT("rec.uni[natureza]"),"pro.soluto",
INDIRECT("rec.uni[empresa]"),Q$6)</f>
        <v>0</v>
      </c>
      <c r="R21" s="45">
        <f ca="1">SUMIFS(rec.uni[2022-07-01],
INDIRECT("rec.uni[natureza]"),"repasse.cef.obra",
INDIRECT("rec.uni[empresa]"),R$6)</f>
        <v>0</v>
      </c>
      <c r="S21" s="45">
        <f ca="1">SUMIFS(rec.uni[2022-07-01],
INDIRECT("rec.uni[natureza]"),"repasse.cef.terreno",
INDIRECT("rec.uni[empresa]"),S$6)</f>
        <v>0</v>
      </c>
      <c r="T21" s="45">
        <v>0</v>
      </c>
      <c r="U21" s="45">
        <f ca="1">SUMIFS(rec.uni[2022-07-01],
INDIRECT("rec.uni[natureza]"),"taxa.extra",
INDIRECT("rec.uni[empresa]"),U$6)</f>
        <v>0</v>
      </c>
      <c r="V21" s="131"/>
      <c r="W21" s="44">
        <f>COUNTIFS(
    estq[empresa], W$6,
    estq[Data da venda / reserva], "&gt;=" &amp; $A21,
    estq[Data da venda / reserva], "&lt;"  &amp; EOMONTH($A21,0) + 1
)</f>
        <v>0</v>
      </c>
      <c r="X21" s="45">
        <f ca="1">SUMIFS(rec.uni[2022-07-01],
INDIRECT("rec.uni[natureza]"),"pro.soluto",
INDIRECT("rec.uni[empresa]"),X$6)</f>
        <v>0</v>
      </c>
      <c r="Y21" s="45">
        <f ca="1">SUMIFS(rec.uni[2022-07-01],
INDIRECT("rec.uni[natureza]"),"repasse.cef.obra",
INDIRECT("rec.uni[empresa]"),Y$6)</f>
        <v>0</v>
      </c>
      <c r="Z21" s="45">
        <f ca="1">SUMIFS(rec.uni[2022-07-01],
INDIRECT("rec.uni[natureza]"),"repasse.cef.terreno",
INDIRECT("rec.uni[empresa]"),Z$6)</f>
        <v>0</v>
      </c>
      <c r="AA21" s="45">
        <v>0</v>
      </c>
      <c r="AB21" s="45">
        <f ca="1">SUMIFS(rec.uni[2022-07-01],
INDIRECT("rec.uni[natureza]"),"taxa.extra",
INDIRECT("rec.uni[empresa]"),AB$6)</f>
        <v>0</v>
      </c>
      <c r="AC21" s="131"/>
      <c r="AD21" s="44">
        <f>COUNTIFS(
    estq[empresa], AD$6,
    estq[Data da venda / reserva], "&gt;=" &amp; $A21,
    estq[Data da venda / reserva], "&lt;"  &amp; EOMONTH($A21,0) + 1
)</f>
        <v>0</v>
      </c>
      <c r="AE21" s="45">
        <f ca="1">SUMIFS(rec.uni[2022-07-01],
INDIRECT("rec.uni[natureza]"),"pro.soluto",
INDIRECT("rec.uni[empresa]"),AE$6)</f>
        <v>0</v>
      </c>
      <c r="AF21" s="38">
        <f ca="1">SUMIFS(rec.uni[2022-07-01],
INDIRECT("rec.uni[natureza]"),"parcela.fin.total.ik",
INDIRECT("rec.uni[empresa]"),AF$6)</f>
        <v>0</v>
      </c>
      <c r="AG21" s="45">
        <f ca="1">SUMIFS(rec.uni[2022-07-01],
INDIRECT("rec.uni[natureza]"),"taxa.extra",
INDIRECT("rec.uni[empresa]"),AG$6)</f>
        <v>0</v>
      </c>
      <c r="AH21" s="131"/>
      <c r="AI21" s="44">
        <f>COUNTIFS(
    estq[empresa], AI$6,
    estq[Data da venda / reserva], "&gt;=" &amp; $A21,
    estq[Data da venda / reserva], "&lt;"  &amp; EOMONTH($A21,0) + 1
)</f>
        <v>0</v>
      </c>
      <c r="AJ21" s="45">
        <f ca="1">SUMIFS(rec.uni[2022-07-01],
INDIRECT("rec.uni[natureza]"),"pro.soluto",
INDIRECT("rec.uni[empresa]"),AJ$6)</f>
        <v>0</v>
      </c>
      <c r="AK21" s="45">
        <f ca="1">SUMIFS(rec.uni[2022-07-01],
INDIRECT("rec.uni[natureza]"),"repasse.cef.obra",
INDIRECT("rec.uni[empresa]"),AK$6)</f>
        <v>0</v>
      </c>
      <c r="AL21" s="45">
        <f ca="1">SUMIFS(rec.uni[2022-07-01],
INDIRECT("rec.uni[natureza]"),"repasse.cef.terreno",
INDIRECT("rec.uni[empresa]"),AL$6)</f>
        <v>0</v>
      </c>
      <c r="AM21" s="45">
        <v>0</v>
      </c>
      <c r="AN21" s="45">
        <f ca="1">SUMIFS(rec.uni[2022-07-01],
INDIRECT("rec.uni[natureza]"),"taxa.extra",
INDIRECT("rec.uni[empresa]"),AN$6)</f>
        <v>0</v>
      </c>
      <c r="AO21" s="131"/>
      <c r="AP21" s="44">
        <f>COUNTIFS(
    estq[empresa], AP$6,
    estq[Data da venda / reserva], "&gt;=" &amp; $A21,
    estq[Data da venda / reserva], "&lt;"  &amp; EOMONTH($A21,0) + 1
)</f>
        <v>0</v>
      </c>
      <c r="AQ21" s="45">
        <f ca="1">SUMIFS(rec.uni[2022-07-01],
INDIRECT("rec.uni[natureza]"),"pro.soluto",
INDIRECT("rec.uni[empresa]"),AQ$6)</f>
        <v>0</v>
      </c>
      <c r="AR21" s="45">
        <f ca="1">SUMIFS(rec.uni[2022-07-01],
INDIRECT("rec.uni[natureza]"),"repasse.cef.obra",
INDIRECT("rec.uni[empresa]"),AR$6)</f>
        <v>0</v>
      </c>
      <c r="AS21" s="45">
        <f ca="1">SUMIFS(rec.uni[2022-07-01],
INDIRECT("rec.uni[natureza]"),"repasse.cef.terreno",
INDIRECT("rec.uni[empresa]"),AS$6)</f>
        <v>0</v>
      </c>
      <c r="AT21" s="45">
        <v>0</v>
      </c>
      <c r="AU21" s="45">
        <f ca="1">SUMIFS(rec.uni[2022-07-01],
INDIRECT("rec.uni[natureza]"),"taxa.extra",
INDIRECT("rec.uni[empresa]"),AU$6)</f>
        <v>0</v>
      </c>
      <c r="AV21" s="131"/>
    </row>
    <row r="22" spans="1:48" x14ac:dyDescent="0.25">
      <c r="A22" s="43">
        <v>44774</v>
      </c>
      <c r="B22" s="44">
        <f>COUNTIFS(
    estq[empresa], B$6,
    estq[Data da venda / reserva], "&gt;=" &amp; $A22,
    estq[Data da venda / reserva], "&lt;"  &amp; EOMONTH($A22,0) + 1
)</f>
        <v>0</v>
      </c>
      <c r="C22" s="45">
        <f ca="1">SUMIFS(rec.uni[2022-08-01],
INDIRECT("rec.uni[natureza]"),"pro.soluto",
INDIRECT("rec.uni[empresa]"),C$6)</f>
        <v>0</v>
      </c>
      <c r="D22" s="45">
        <f ca="1">SUMIFS(rec.uni[2022-08-01],
INDIRECT("rec.uni[natureza]"),"repasse.cef.obra",
INDIRECT("rec.uni[empresa]"),D$6)</f>
        <v>0</v>
      </c>
      <c r="E22" s="45">
        <f ca="1">SUMIFS(rec.uni[2022-08-01],
INDIRECT("rec.uni[natureza]"),"repasse.cef.terreno",
INDIRECT("rec.uni[empresa]"),E$6)</f>
        <v>0</v>
      </c>
      <c r="F22" s="45">
        <v>0</v>
      </c>
      <c r="G22" s="45">
        <f ca="1">SUMIFS(rec.uni[2022-08-01],
INDIRECT("rec.uni[natureza]"),"taxa.extra",
INDIRECT("rec.uni[empresa]"),G$6)</f>
        <v>0</v>
      </c>
      <c r="H22" s="131"/>
      <c r="I22" s="44">
        <f>COUNTIFS(
    estq[empresa], I$6,
    estq[Data da venda / reserva], "&gt;=" &amp; $A22,
    estq[Data da venda / reserva], "&lt;"  &amp; EOMONTH($A22,0) + 1
)</f>
        <v>0</v>
      </c>
      <c r="J22" s="45">
        <f ca="1">SUMIFS(rec.uni[2022-08-01],
INDIRECT("rec.uni[natureza]"),"pro.soluto",
INDIRECT("rec.uni[empresa]"),J$6)</f>
        <v>0</v>
      </c>
      <c r="K22" s="45">
        <f ca="1">SUMIFS(rec.uni[2022-08-01],
INDIRECT("rec.uni[natureza]"),"repasse.cef.obra",
INDIRECT("rec.uni[empresa]"),K$6)</f>
        <v>0</v>
      </c>
      <c r="L22" s="45">
        <f ca="1">SUMIFS(rec.uni[2022-08-01],
INDIRECT("rec.uni[natureza]"),"repasse.cef.terreno",
INDIRECT("rec.uni[empresa]"),L$6)</f>
        <v>0</v>
      </c>
      <c r="M22" s="45">
        <v>0</v>
      </c>
      <c r="N22" s="45">
        <f ca="1">SUMIFS(rec.uni[2022-08-01],
INDIRECT("rec.uni[natureza]"),"taxa.extra",
INDIRECT("rec.uni[empresa]"),N$6)</f>
        <v>0</v>
      </c>
      <c r="O22" s="131"/>
      <c r="P22" s="44">
        <f>COUNTIFS(
    estq[empresa], P$6,
    estq[Data da venda / reserva], "&gt;=" &amp; $A22,
    estq[Data da venda / reserva], "&lt;"  &amp; EOMONTH($A22,0) + 1
)</f>
        <v>0</v>
      </c>
      <c r="Q22" s="45">
        <f ca="1">SUMIFS(rec.uni[2022-08-01],
INDIRECT("rec.uni[natureza]"),"pro.soluto",
INDIRECT("rec.uni[empresa]"),Q$6)</f>
        <v>0</v>
      </c>
      <c r="R22" s="45">
        <f ca="1">SUMIFS(rec.uni[2022-08-01],
INDIRECT("rec.uni[natureza]"),"repasse.cef.obra",
INDIRECT("rec.uni[empresa]"),R$6)</f>
        <v>0</v>
      </c>
      <c r="S22" s="45">
        <f ca="1">SUMIFS(rec.uni[2022-08-01],
INDIRECT("rec.uni[natureza]"),"repasse.cef.terreno",
INDIRECT("rec.uni[empresa]"),S$6)</f>
        <v>0</v>
      </c>
      <c r="T22" s="45">
        <v>0</v>
      </c>
      <c r="U22" s="45">
        <f ca="1">SUMIFS(rec.uni[2022-08-01],
INDIRECT("rec.uni[natureza]"),"taxa.extra",
INDIRECT("rec.uni[empresa]"),U$6)</f>
        <v>0</v>
      </c>
      <c r="V22" s="131"/>
      <c r="W22" s="44">
        <f>COUNTIFS(
    estq[empresa], W$6,
    estq[Data da venda / reserva], "&gt;=" &amp; $A22,
    estq[Data da venda / reserva], "&lt;"  &amp; EOMONTH($A22,0) + 1
)</f>
        <v>0</v>
      </c>
      <c r="X22" s="45">
        <f ca="1">SUMIFS(rec.uni[2022-08-01],
INDIRECT("rec.uni[natureza]"),"pro.soluto",
INDIRECT("rec.uni[empresa]"),X$6)</f>
        <v>0</v>
      </c>
      <c r="Y22" s="45">
        <f ca="1">SUMIFS(rec.uni[2022-08-01],
INDIRECT("rec.uni[natureza]"),"repasse.cef.obra",
INDIRECT("rec.uni[empresa]"),Y$6)</f>
        <v>0</v>
      </c>
      <c r="Z22" s="45">
        <f ca="1">SUMIFS(rec.uni[2022-08-01],
INDIRECT("rec.uni[natureza]"),"repasse.cef.terreno",
INDIRECT("rec.uni[empresa]"),Z$6)</f>
        <v>0</v>
      </c>
      <c r="AA22" s="45">
        <v>0</v>
      </c>
      <c r="AB22" s="45">
        <f ca="1">SUMIFS(rec.uni[2022-08-01],
INDIRECT("rec.uni[natureza]"),"taxa.extra",
INDIRECT("rec.uni[empresa]"),AB$6)</f>
        <v>0</v>
      </c>
      <c r="AC22" s="131"/>
      <c r="AD22" s="44">
        <f>COUNTIFS(
    estq[empresa], AD$6,
    estq[Data da venda / reserva], "&gt;=" &amp; $A22,
    estq[Data da venda / reserva], "&lt;"  &amp; EOMONTH($A22,0) + 1
)</f>
        <v>0</v>
      </c>
      <c r="AE22" s="45">
        <f ca="1">SUMIFS(rec.uni[2022-08-01],
INDIRECT("rec.uni[natureza]"),"pro.soluto",
INDIRECT("rec.uni[empresa]"),AE$6)</f>
        <v>0</v>
      </c>
      <c r="AF22" s="38">
        <f ca="1">SUMIFS(rec.uni[2022-08-01],
INDIRECT("rec.uni[natureza]"),"parcela.fin.total.ik",
INDIRECT("rec.uni[empresa]"),AF$6)</f>
        <v>0</v>
      </c>
      <c r="AG22" s="45">
        <f ca="1">SUMIFS(rec.uni[2022-08-01],
INDIRECT("rec.uni[natureza]"),"taxa.extra",
INDIRECT("rec.uni[empresa]"),AG$6)</f>
        <v>0</v>
      </c>
      <c r="AH22" s="131"/>
      <c r="AI22" s="44">
        <f>COUNTIFS(
    estq[empresa], AI$6,
    estq[Data da venda / reserva], "&gt;=" &amp; $A22,
    estq[Data da venda / reserva], "&lt;"  &amp; EOMONTH($A22,0) + 1
)</f>
        <v>0</v>
      </c>
      <c r="AJ22" s="45">
        <f ca="1">SUMIFS(rec.uni[2022-08-01],
INDIRECT("rec.uni[natureza]"),"pro.soluto",
INDIRECT("rec.uni[empresa]"),AJ$6)</f>
        <v>0</v>
      </c>
      <c r="AK22" s="45">
        <f ca="1">SUMIFS(rec.uni[2022-08-01],
INDIRECT("rec.uni[natureza]"),"repasse.cef.obra",
INDIRECT("rec.uni[empresa]"),AK$6)</f>
        <v>0</v>
      </c>
      <c r="AL22" s="45">
        <f ca="1">SUMIFS(rec.uni[2022-08-01],
INDIRECT("rec.uni[natureza]"),"repasse.cef.terreno",
INDIRECT("rec.uni[empresa]"),AL$6)</f>
        <v>0</v>
      </c>
      <c r="AM22" s="45">
        <v>0</v>
      </c>
      <c r="AN22" s="45">
        <f ca="1">SUMIFS(rec.uni[2022-08-01],
INDIRECT("rec.uni[natureza]"),"taxa.extra",
INDIRECT("rec.uni[empresa]"),AN$6)</f>
        <v>0</v>
      </c>
      <c r="AO22" s="131"/>
      <c r="AP22" s="44">
        <f>COUNTIFS(
    estq[empresa], AP$6,
    estq[Data da venda / reserva], "&gt;=" &amp; $A22,
    estq[Data da venda / reserva], "&lt;"  &amp; EOMONTH($A22,0) + 1
)</f>
        <v>0</v>
      </c>
      <c r="AQ22" s="45">
        <f ca="1">SUMIFS(rec.uni[2022-08-01],
INDIRECT("rec.uni[natureza]"),"pro.soluto",
INDIRECT("rec.uni[empresa]"),AQ$6)</f>
        <v>0</v>
      </c>
      <c r="AR22" s="45">
        <f ca="1">SUMIFS(rec.uni[2022-08-01],
INDIRECT("rec.uni[natureza]"),"repasse.cef.obra",
INDIRECT("rec.uni[empresa]"),AR$6)</f>
        <v>0</v>
      </c>
      <c r="AS22" s="45">
        <f ca="1">SUMIFS(rec.uni[2022-08-01],
INDIRECT("rec.uni[natureza]"),"repasse.cef.terreno",
INDIRECT("rec.uni[empresa]"),AS$6)</f>
        <v>0</v>
      </c>
      <c r="AT22" s="45">
        <v>0</v>
      </c>
      <c r="AU22" s="45">
        <f ca="1">SUMIFS(rec.uni[2022-08-01],
INDIRECT("rec.uni[natureza]"),"taxa.extra",
INDIRECT("rec.uni[empresa]"),AU$6)</f>
        <v>0</v>
      </c>
      <c r="AV22" s="131"/>
    </row>
    <row r="23" spans="1:48" x14ac:dyDescent="0.25">
      <c r="A23" s="43">
        <v>44805</v>
      </c>
      <c r="B23" s="44">
        <f>COUNTIFS(
    estq[empresa], B$6,
    estq[Data da venda / reserva], "&gt;=" &amp; $A23,
    estq[Data da venda / reserva], "&lt;"  &amp; EOMONTH($A23,0) + 1
)</f>
        <v>0</v>
      </c>
      <c r="C23" s="45">
        <f ca="1">SUMIFS(rec.uni[2022-09-01],
INDIRECT("rec.uni[natureza]"),"pro.soluto",
INDIRECT("rec.uni[empresa]"),C$6)</f>
        <v>0</v>
      </c>
      <c r="D23" s="45">
        <f ca="1">SUMIFS(rec.uni[2022-09-01],
INDIRECT("rec.uni[natureza]"),"repasse.cef.obra",
INDIRECT("rec.uni[empresa]"),D$6)</f>
        <v>0</v>
      </c>
      <c r="E23" s="45">
        <f ca="1">SUMIFS(rec.uni[2022-09-01],
INDIRECT("rec.uni[natureza]"),"repasse.cef.terreno",
INDIRECT("rec.uni[empresa]"),E$6)</f>
        <v>0</v>
      </c>
      <c r="F23" s="45">
        <v>0</v>
      </c>
      <c r="G23" s="45">
        <f ca="1">SUMIFS(rec.uni[2022-09-01],
INDIRECT("rec.uni[natureza]"),"taxa.extra",
INDIRECT("rec.uni[empresa]"),G$6)</f>
        <v>0</v>
      </c>
      <c r="H23" s="131"/>
      <c r="I23" s="44">
        <f>COUNTIFS(
    estq[empresa], I$6,
    estq[Data da venda / reserva], "&gt;=" &amp; $A23,
    estq[Data da venda / reserva], "&lt;"  &amp; EOMONTH($A23,0) + 1
)</f>
        <v>0</v>
      </c>
      <c r="J23" s="45">
        <f ca="1">SUMIFS(rec.uni[2022-09-01],
INDIRECT("rec.uni[natureza]"),"pro.soluto",
INDIRECT("rec.uni[empresa]"),J$6)</f>
        <v>0</v>
      </c>
      <c r="K23" s="45">
        <f ca="1">SUMIFS(rec.uni[2022-09-01],
INDIRECT("rec.uni[natureza]"),"repasse.cef.obra",
INDIRECT("rec.uni[empresa]"),K$6)</f>
        <v>0</v>
      </c>
      <c r="L23" s="45">
        <f ca="1">SUMIFS(rec.uni[2022-09-01],
INDIRECT("rec.uni[natureza]"),"repasse.cef.terreno",
INDIRECT("rec.uni[empresa]"),L$6)</f>
        <v>0</v>
      </c>
      <c r="M23" s="45">
        <v>0</v>
      </c>
      <c r="N23" s="45">
        <f ca="1">SUMIFS(rec.uni[2022-09-01],
INDIRECT("rec.uni[natureza]"),"taxa.extra",
INDIRECT("rec.uni[empresa]"),N$6)</f>
        <v>0</v>
      </c>
      <c r="O23" s="131"/>
      <c r="P23" s="44">
        <f>COUNTIFS(
    estq[empresa], P$6,
    estq[Data da venda / reserva], "&gt;=" &amp; $A23,
    estq[Data da venda / reserva], "&lt;"  &amp; EOMONTH($A23,0) + 1
)</f>
        <v>0</v>
      </c>
      <c r="Q23" s="45">
        <f ca="1">SUMIFS(rec.uni[2022-09-01],
INDIRECT("rec.uni[natureza]"),"pro.soluto",
INDIRECT("rec.uni[empresa]"),Q$6)</f>
        <v>0</v>
      </c>
      <c r="R23" s="45">
        <f ca="1">SUMIFS(rec.uni[2022-09-01],
INDIRECT("rec.uni[natureza]"),"repasse.cef.obra",
INDIRECT("rec.uni[empresa]"),R$6)</f>
        <v>0</v>
      </c>
      <c r="S23" s="45">
        <f ca="1">SUMIFS(rec.uni[2022-09-01],
INDIRECT("rec.uni[natureza]"),"repasse.cef.terreno",
INDIRECT("rec.uni[empresa]"),S$6)</f>
        <v>0</v>
      </c>
      <c r="T23" s="45">
        <v>0</v>
      </c>
      <c r="U23" s="45">
        <f ca="1">SUMIFS(rec.uni[2022-09-01],
INDIRECT("rec.uni[natureza]"),"taxa.extra",
INDIRECT("rec.uni[empresa]"),U$6)</f>
        <v>0</v>
      </c>
      <c r="V23" s="131"/>
      <c r="W23" s="44">
        <f>COUNTIFS(
    estq[empresa], W$6,
    estq[Data da venda / reserva], "&gt;=" &amp; $A23,
    estq[Data da venda / reserva], "&lt;"  &amp; EOMONTH($A23,0) + 1
)</f>
        <v>0</v>
      </c>
      <c r="X23" s="45">
        <f ca="1">SUMIFS(rec.uni[2022-09-01],
INDIRECT("rec.uni[natureza]"),"pro.soluto",
INDIRECT("rec.uni[empresa]"),X$6)</f>
        <v>0</v>
      </c>
      <c r="Y23" s="45">
        <f ca="1">SUMIFS(rec.uni[2022-09-01],
INDIRECT("rec.uni[natureza]"),"repasse.cef.obra",
INDIRECT("rec.uni[empresa]"),Y$6)</f>
        <v>0</v>
      </c>
      <c r="Z23" s="45">
        <f ca="1">SUMIFS(rec.uni[2022-09-01],
INDIRECT("rec.uni[natureza]"),"repasse.cef.terreno",
INDIRECT("rec.uni[empresa]"),Z$6)</f>
        <v>0</v>
      </c>
      <c r="AA23" s="45">
        <v>0</v>
      </c>
      <c r="AB23" s="45">
        <f ca="1">SUMIFS(rec.uni[2022-09-01],
INDIRECT("rec.uni[natureza]"),"taxa.extra",
INDIRECT("rec.uni[empresa]"),AB$6)</f>
        <v>0</v>
      </c>
      <c r="AC23" s="131"/>
      <c r="AD23" s="44">
        <f>COUNTIFS(
    estq[empresa], AD$6,
    estq[Data da venda / reserva], "&gt;=" &amp; $A23,
    estq[Data da venda / reserva], "&lt;"  &amp; EOMONTH($A23,0) + 1
)</f>
        <v>0</v>
      </c>
      <c r="AE23" s="45">
        <f ca="1">SUMIFS(rec.uni[2022-09-01],
INDIRECT("rec.uni[natureza]"),"pro.soluto",
INDIRECT("rec.uni[empresa]"),AE$6)</f>
        <v>0</v>
      </c>
      <c r="AF23" s="38">
        <f ca="1">SUMIFS(rec.uni[2022-09-01],
INDIRECT("rec.uni[natureza]"),"parcela.fin.total.ik",
INDIRECT("rec.uni[empresa]"),AF$6)</f>
        <v>0</v>
      </c>
      <c r="AG23" s="45">
        <f ca="1">SUMIFS(rec.uni[2022-09-01],
INDIRECT("rec.uni[natureza]"),"taxa.extra",
INDIRECT("rec.uni[empresa]"),AG$6)</f>
        <v>0</v>
      </c>
      <c r="AH23" s="131"/>
      <c r="AI23" s="44">
        <f>COUNTIFS(
    estq[empresa], AI$6,
    estq[Data da venda / reserva], "&gt;=" &amp; $A23,
    estq[Data da venda / reserva], "&lt;"  &amp; EOMONTH($A23,0) + 1
)</f>
        <v>0</v>
      </c>
      <c r="AJ23" s="45">
        <f ca="1">SUMIFS(rec.uni[2022-09-01],
INDIRECT("rec.uni[natureza]"),"pro.soluto",
INDIRECT("rec.uni[empresa]"),AJ$6)</f>
        <v>0</v>
      </c>
      <c r="AK23" s="45">
        <f ca="1">SUMIFS(rec.uni[2022-09-01],
INDIRECT("rec.uni[natureza]"),"repasse.cef.obra",
INDIRECT("rec.uni[empresa]"),AK$6)</f>
        <v>0</v>
      </c>
      <c r="AL23" s="45">
        <f ca="1">SUMIFS(rec.uni[2022-09-01],
INDIRECT("rec.uni[natureza]"),"repasse.cef.terreno",
INDIRECT("rec.uni[empresa]"),AL$6)</f>
        <v>0</v>
      </c>
      <c r="AM23" s="45">
        <v>0</v>
      </c>
      <c r="AN23" s="45">
        <f ca="1">SUMIFS(rec.uni[2022-09-01],
INDIRECT("rec.uni[natureza]"),"taxa.extra",
INDIRECT("rec.uni[empresa]"),AN$6)</f>
        <v>0</v>
      </c>
      <c r="AO23" s="131"/>
      <c r="AP23" s="44">
        <f>COUNTIFS(
    estq[empresa], AP$6,
    estq[Data da venda / reserva], "&gt;=" &amp; $A23,
    estq[Data da venda / reserva], "&lt;"  &amp; EOMONTH($A23,0) + 1
)</f>
        <v>0</v>
      </c>
      <c r="AQ23" s="45">
        <f ca="1">SUMIFS(rec.uni[2022-09-01],
INDIRECT("rec.uni[natureza]"),"pro.soluto",
INDIRECT("rec.uni[empresa]"),AQ$6)</f>
        <v>0</v>
      </c>
      <c r="AR23" s="45">
        <f ca="1">SUMIFS(rec.uni[2022-09-01],
INDIRECT("rec.uni[natureza]"),"repasse.cef.obra",
INDIRECT("rec.uni[empresa]"),AR$6)</f>
        <v>0</v>
      </c>
      <c r="AS23" s="45">
        <f ca="1">SUMIFS(rec.uni[2022-09-01],
INDIRECT("rec.uni[natureza]"),"repasse.cef.terreno",
INDIRECT("rec.uni[empresa]"),AS$6)</f>
        <v>0</v>
      </c>
      <c r="AT23" s="45">
        <v>0</v>
      </c>
      <c r="AU23" s="45">
        <f ca="1">SUMIFS(rec.uni[2022-09-01],
INDIRECT("rec.uni[natureza]"),"taxa.extra",
INDIRECT("rec.uni[empresa]"),AU$6)</f>
        <v>0</v>
      </c>
      <c r="AV23" s="131"/>
    </row>
    <row r="24" spans="1:48" x14ac:dyDescent="0.25">
      <c r="A24" s="43">
        <v>44835</v>
      </c>
      <c r="B24" s="44">
        <f>COUNTIFS(
    estq[empresa], B$6,
    estq[Data da venda / reserva], "&gt;=" &amp; $A24,
    estq[Data da venda / reserva], "&lt;"  &amp; EOMONTH($A24,0) + 1
)</f>
        <v>0</v>
      </c>
      <c r="C24" s="45">
        <f ca="1">SUMIFS(rec.uni[2022-10-01],
INDIRECT("rec.uni[natureza]"),"pro.soluto",
INDIRECT("rec.uni[empresa]"),C$6)</f>
        <v>0</v>
      </c>
      <c r="D24" s="45">
        <f ca="1">SUMIFS(rec.uni[2022-10-01],
INDIRECT("rec.uni[natureza]"),"repasse.cef.obra",
INDIRECT("rec.uni[empresa]"),D$6)</f>
        <v>0</v>
      </c>
      <c r="E24" s="45">
        <f ca="1">SUMIFS(rec.uni[2022-10-01],
INDIRECT("rec.uni[natureza]"),"repasse.cef.terreno",
INDIRECT("rec.uni[empresa]"),E$6)</f>
        <v>0</v>
      </c>
      <c r="F24" s="45">
        <v>0</v>
      </c>
      <c r="G24" s="45">
        <f ca="1">SUMIFS(rec.uni[2022-10-01],
INDIRECT("rec.uni[natureza]"),"taxa.extra",
INDIRECT("rec.uni[empresa]"),G$6)</f>
        <v>0</v>
      </c>
      <c r="H24" s="131"/>
      <c r="I24" s="44">
        <f>COUNTIFS(
    estq[empresa], I$6,
    estq[Data da venda / reserva], "&gt;=" &amp; $A24,
    estq[Data da venda / reserva], "&lt;"  &amp; EOMONTH($A24,0) + 1
)</f>
        <v>0</v>
      </c>
      <c r="J24" s="45">
        <f ca="1">SUMIFS(rec.uni[2022-10-01],
INDIRECT("rec.uni[natureza]"),"pro.soluto",
INDIRECT("rec.uni[empresa]"),J$6)</f>
        <v>0</v>
      </c>
      <c r="K24" s="45">
        <f ca="1">SUMIFS(rec.uni[2022-10-01],
INDIRECT("rec.uni[natureza]"),"repasse.cef.obra",
INDIRECT("rec.uni[empresa]"),K$6)</f>
        <v>0</v>
      </c>
      <c r="L24" s="45">
        <f ca="1">SUMIFS(rec.uni[2022-10-01],
INDIRECT("rec.uni[natureza]"),"repasse.cef.terreno",
INDIRECT("rec.uni[empresa]"),L$6)</f>
        <v>0</v>
      </c>
      <c r="M24" s="45">
        <v>0</v>
      </c>
      <c r="N24" s="45">
        <f ca="1">SUMIFS(rec.uni[2022-10-01],
INDIRECT("rec.uni[natureza]"),"taxa.extra",
INDIRECT("rec.uni[empresa]"),N$6)</f>
        <v>0</v>
      </c>
      <c r="O24" s="131"/>
      <c r="P24" s="44">
        <f>COUNTIFS(
    estq[empresa], P$6,
    estq[Data da venda / reserva], "&gt;=" &amp; $A24,
    estq[Data da venda / reserva], "&lt;"  &amp; EOMONTH($A24,0) + 1
)</f>
        <v>0</v>
      </c>
      <c r="Q24" s="45">
        <f ca="1">SUMIFS(rec.uni[2022-10-01],
INDIRECT("rec.uni[natureza]"),"pro.soluto",
INDIRECT("rec.uni[empresa]"),Q$6)</f>
        <v>0</v>
      </c>
      <c r="R24" s="45">
        <f ca="1">SUMIFS(rec.uni[2022-10-01],
INDIRECT("rec.uni[natureza]"),"repasse.cef.obra",
INDIRECT("rec.uni[empresa]"),R$6)</f>
        <v>0</v>
      </c>
      <c r="S24" s="45">
        <f ca="1">SUMIFS(rec.uni[2022-10-01],
INDIRECT("rec.uni[natureza]"),"repasse.cef.terreno",
INDIRECT("rec.uni[empresa]"),S$6)</f>
        <v>0</v>
      </c>
      <c r="T24" s="45">
        <v>0</v>
      </c>
      <c r="U24" s="45">
        <f ca="1">SUMIFS(rec.uni[2022-10-01],
INDIRECT("rec.uni[natureza]"),"taxa.extra",
INDIRECT("rec.uni[empresa]"),U$6)</f>
        <v>0</v>
      </c>
      <c r="V24" s="131"/>
      <c r="W24" s="44">
        <f>COUNTIFS(
    estq[empresa], W$6,
    estq[Data da venda / reserva], "&gt;=" &amp; $A24,
    estq[Data da venda / reserva], "&lt;"  &amp; EOMONTH($A24,0) + 1
)</f>
        <v>0</v>
      </c>
      <c r="X24" s="45">
        <f ca="1">SUMIFS(rec.uni[2022-10-01],
INDIRECT("rec.uni[natureza]"),"pro.soluto",
INDIRECT("rec.uni[empresa]"),X$6)</f>
        <v>0</v>
      </c>
      <c r="Y24" s="45">
        <f ca="1">SUMIFS(rec.uni[2022-10-01],
INDIRECT("rec.uni[natureza]"),"repasse.cef.obra",
INDIRECT("rec.uni[empresa]"),Y$6)</f>
        <v>0</v>
      </c>
      <c r="Z24" s="45">
        <f ca="1">SUMIFS(rec.uni[2022-10-01],
INDIRECT("rec.uni[natureza]"),"repasse.cef.terreno",
INDIRECT("rec.uni[empresa]"),Z$6)</f>
        <v>0</v>
      </c>
      <c r="AA24" s="45">
        <v>0</v>
      </c>
      <c r="AB24" s="45">
        <f ca="1">SUMIFS(rec.uni[2022-10-01],
INDIRECT("rec.uni[natureza]"),"taxa.extra",
INDIRECT("rec.uni[empresa]"),AB$6)</f>
        <v>0</v>
      </c>
      <c r="AC24" s="131"/>
      <c r="AD24" s="44">
        <f>COUNTIFS(
    estq[empresa], AD$6,
    estq[Data da venda / reserva], "&gt;=" &amp; $A24,
    estq[Data da venda / reserva], "&lt;"  &amp; EOMONTH($A24,0) + 1
)</f>
        <v>0</v>
      </c>
      <c r="AE24" s="45">
        <f ca="1">SUMIFS(rec.uni[2022-10-01],
INDIRECT("rec.uni[natureza]"),"pro.soluto",
INDIRECT("rec.uni[empresa]"),AE$6)</f>
        <v>0</v>
      </c>
      <c r="AF24" s="38">
        <f ca="1">SUMIFS(rec.uni[2022-10-01],
INDIRECT("rec.uni[natureza]"),"parcela.fin.total.ik",
INDIRECT("rec.uni[empresa]"),AF$6)</f>
        <v>0</v>
      </c>
      <c r="AG24" s="45">
        <f ca="1">SUMIFS(rec.uni[2022-10-01],
INDIRECT("rec.uni[natureza]"),"taxa.extra",
INDIRECT("rec.uni[empresa]"),AG$6)</f>
        <v>0</v>
      </c>
      <c r="AH24" s="131"/>
      <c r="AI24" s="44">
        <f>COUNTIFS(
    estq[empresa], AI$6,
    estq[Data da venda / reserva], "&gt;=" &amp; $A24,
    estq[Data da venda / reserva], "&lt;"  &amp; EOMONTH($A24,0) + 1
)</f>
        <v>0</v>
      </c>
      <c r="AJ24" s="45">
        <f ca="1">SUMIFS(rec.uni[2022-10-01],
INDIRECT("rec.uni[natureza]"),"pro.soluto",
INDIRECT("rec.uni[empresa]"),AJ$6)</f>
        <v>0</v>
      </c>
      <c r="AK24" s="45">
        <f ca="1">SUMIFS(rec.uni[2022-10-01],
INDIRECT("rec.uni[natureza]"),"repasse.cef.obra",
INDIRECT("rec.uni[empresa]"),AK$6)</f>
        <v>0</v>
      </c>
      <c r="AL24" s="45">
        <f ca="1">SUMIFS(rec.uni[2022-10-01],
INDIRECT("rec.uni[natureza]"),"repasse.cef.terreno",
INDIRECT("rec.uni[empresa]"),AL$6)</f>
        <v>0</v>
      </c>
      <c r="AM24" s="45">
        <v>0</v>
      </c>
      <c r="AN24" s="45">
        <f ca="1">SUMIFS(rec.uni[2022-10-01],
INDIRECT("rec.uni[natureza]"),"taxa.extra",
INDIRECT("rec.uni[empresa]"),AN$6)</f>
        <v>0</v>
      </c>
      <c r="AO24" s="131"/>
      <c r="AP24" s="44">
        <f>COUNTIFS(
    estq[empresa], AP$6,
    estq[Data da venda / reserva], "&gt;=" &amp; $A24,
    estq[Data da venda / reserva], "&lt;"  &amp; EOMONTH($A24,0) + 1
)</f>
        <v>0</v>
      </c>
      <c r="AQ24" s="45">
        <f ca="1">SUMIFS(rec.uni[2022-10-01],
INDIRECT("rec.uni[natureza]"),"pro.soluto",
INDIRECT("rec.uni[empresa]"),AQ$6)</f>
        <v>0</v>
      </c>
      <c r="AR24" s="45">
        <f ca="1">SUMIFS(rec.uni[2022-10-01],
INDIRECT("rec.uni[natureza]"),"repasse.cef.obra",
INDIRECT("rec.uni[empresa]"),AR$6)</f>
        <v>0</v>
      </c>
      <c r="AS24" s="45">
        <f ca="1">SUMIFS(rec.uni[2022-10-01],
INDIRECT("rec.uni[natureza]"),"repasse.cef.terreno",
INDIRECT("rec.uni[empresa]"),AS$6)</f>
        <v>0</v>
      </c>
      <c r="AT24" s="45">
        <v>0</v>
      </c>
      <c r="AU24" s="45">
        <f ca="1">SUMIFS(rec.uni[2022-10-01],
INDIRECT("rec.uni[natureza]"),"taxa.extra",
INDIRECT("rec.uni[empresa]"),AU$6)</f>
        <v>0</v>
      </c>
      <c r="AV24" s="131"/>
    </row>
    <row r="25" spans="1:48" x14ac:dyDescent="0.25">
      <c r="A25" s="43">
        <v>44866</v>
      </c>
      <c r="B25" s="44">
        <f>COUNTIFS(
    estq[empresa], B$6,
    estq[Data da venda / reserva], "&gt;=" &amp; $A25,
    estq[Data da venda / reserva], "&lt;"  &amp; EOMONTH($A25,0) + 1
)</f>
        <v>0</v>
      </c>
      <c r="C25" s="45">
        <f ca="1">SUMIFS(rec.uni[2022-11-01],
INDIRECT("rec.uni[natureza]"),"pro.soluto",
INDIRECT("rec.uni[empresa]"),C$6)</f>
        <v>0</v>
      </c>
      <c r="D25" s="45">
        <f ca="1">SUMIFS(rec.uni[2022-11-01],
INDIRECT("rec.uni[natureza]"),"repasse.cef.obra",
INDIRECT("rec.uni[empresa]"),D$6)</f>
        <v>0</v>
      </c>
      <c r="E25" s="45">
        <f ca="1">SUMIFS(rec.uni[2022-11-01],
INDIRECT("rec.uni[natureza]"),"repasse.cef.terreno",
INDIRECT("rec.uni[empresa]"),E$6)</f>
        <v>0</v>
      </c>
      <c r="F25" s="45">
        <v>0</v>
      </c>
      <c r="G25" s="45">
        <f ca="1">SUMIFS(rec.uni[2022-11-01],
INDIRECT("rec.uni[natureza]"),"taxa.extra",
INDIRECT("rec.uni[empresa]"),G$6)</f>
        <v>0</v>
      </c>
      <c r="H25" s="131"/>
      <c r="I25" s="44">
        <f>COUNTIFS(
    estq[empresa], I$6,
    estq[Data da venda / reserva], "&gt;=" &amp; $A25,
    estq[Data da venda / reserva], "&lt;"  &amp; EOMONTH($A25,0) + 1
)</f>
        <v>0</v>
      </c>
      <c r="J25" s="45">
        <f ca="1">SUMIFS(rec.uni[2022-11-01],
INDIRECT("rec.uni[natureza]"),"pro.soluto",
INDIRECT("rec.uni[empresa]"),J$6)</f>
        <v>0</v>
      </c>
      <c r="K25" s="45">
        <f ca="1">SUMIFS(rec.uni[2022-11-01],
INDIRECT("rec.uni[natureza]"),"repasse.cef.obra",
INDIRECT("rec.uni[empresa]"),K$6)</f>
        <v>0</v>
      </c>
      <c r="L25" s="45">
        <f ca="1">SUMIFS(rec.uni[2022-11-01],
INDIRECT("rec.uni[natureza]"),"repasse.cef.terreno",
INDIRECT("rec.uni[empresa]"),L$6)</f>
        <v>0</v>
      </c>
      <c r="M25" s="45">
        <v>0</v>
      </c>
      <c r="N25" s="45">
        <f ca="1">SUMIFS(rec.uni[2022-11-01],
INDIRECT("rec.uni[natureza]"),"taxa.extra",
INDIRECT("rec.uni[empresa]"),N$6)</f>
        <v>0</v>
      </c>
      <c r="O25" s="131"/>
      <c r="P25" s="44">
        <f>COUNTIFS(
    estq[empresa], P$6,
    estq[Data da venda / reserva], "&gt;=" &amp; $A25,
    estq[Data da venda / reserva], "&lt;"  &amp; EOMONTH($A25,0) + 1
)</f>
        <v>0</v>
      </c>
      <c r="Q25" s="45">
        <f ca="1">SUMIFS(rec.uni[2022-11-01],
INDIRECT("rec.uni[natureza]"),"pro.soluto",
INDIRECT("rec.uni[empresa]"),Q$6)</f>
        <v>0</v>
      </c>
      <c r="R25" s="45">
        <f ca="1">SUMIFS(rec.uni[2022-11-01],
INDIRECT("rec.uni[natureza]"),"repasse.cef.obra",
INDIRECT("rec.uni[empresa]"),R$6)</f>
        <v>0</v>
      </c>
      <c r="S25" s="45">
        <f ca="1">SUMIFS(rec.uni[2022-11-01],
INDIRECT("rec.uni[natureza]"),"repasse.cef.terreno",
INDIRECT("rec.uni[empresa]"),S$6)</f>
        <v>0</v>
      </c>
      <c r="T25" s="45">
        <v>0</v>
      </c>
      <c r="U25" s="45">
        <f ca="1">SUMIFS(rec.uni[2022-11-01],
INDIRECT("rec.uni[natureza]"),"taxa.extra",
INDIRECT("rec.uni[empresa]"),U$6)</f>
        <v>0</v>
      </c>
      <c r="V25" s="131"/>
      <c r="W25" s="44">
        <f>COUNTIFS(
    estq[empresa], W$6,
    estq[Data da venda / reserva], "&gt;=" &amp; $A25,
    estq[Data da venda / reserva], "&lt;"  &amp; EOMONTH($A25,0) + 1
)</f>
        <v>0</v>
      </c>
      <c r="X25" s="45">
        <f ca="1">SUMIFS(rec.uni[2022-11-01],
INDIRECT("rec.uni[natureza]"),"pro.soluto",
INDIRECT("rec.uni[empresa]"),X$6)</f>
        <v>0</v>
      </c>
      <c r="Y25" s="45">
        <f ca="1">SUMIFS(rec.uni[2022-11-01],
INDIRECT("rec.uni[natureza]"),"repasse.cef.obra",
INDIRECT("rec.uni[empresa]"),Y$6)</f>
        <v>0</v>
      </c>
      <c r="Z25" s="45">
        <f ca="1">SUMIFS(rec.uni[2022-11-01],
INDIRECT("rec.uni[natureza]"),"repasse.cef.terreno",
INDIRECT("rec.uni[empresa]"),Z$6)</f>
        <v>0</v>
      </c>
      <c r="AA25" s="45">
        <v>0</v>
      </c>
      <c r="AB25" s="45">
        <f ca="1">SUMIFS(rec.uni[2022-11-01],
INDIRECT("rec.uni[natureza]"),"taxa.extra",
INDIRECT("rec.uni[empresa]"),AB$6)</f>
        <v>0</v>
      </c>
      <c r="AC25" s="131"/>
      <c r="AD25" s="44">
        <f>COUNTIFS(
    estq[empresa], AD$6,
    estq[Data da venda / reserva], "&gt;=" &amp; $A25,
    estq[Data da venda / reserva], "&lt;"  &amp; EOMONTH($A25,0) + 1
)</f>
        <v>0</v>
      </c>
      <c r="AE25" s="45">
        <f ca="1">SUMIFS(rec.uni[2022-11-01],
INDIRECT("rec.uni[natureza]"),"pro.soluto",
INDIRECT("rec.uni[empresa]"),AE$6)</f>
        <v>0</v>
      </c>
      <c r="AF25" s="38">
        <f ca="1">SUMIFS(rec.uni[2022-11-01],
INDIRECT("rec.uni[natureza]"),"parcela.fin.total.ik",
INDIRECT("rec.uni[empresa]"),AF$6)</f>
        <v>0</v>
      </c>
      <c r="AG25" s="45">
        <f ca="1">SUMIFS(rec.uni[2022-11-01],
INDIRECT("rec.uni[natureza]"),"taxa.extra",
INDIRECT("rec.uni[empresa]"),AG$6)</f>
        <v>0</v>
      </c>
      <c r="AH25" s="131"/>
      <c r="AI25" s="44">
        <f>COUNTIFS(
    estq[empresa], AI$6,
    estq[Data da venda / reserva], "&gt;=" &amp; $A25,
    estq[Data da venda / reserva], "&lt;"  &amp; EOMONTH($A25,0) + 1
)</f>
        <v>0</v>
      </c>
      <c r="AJ25" s="45">
        <f ca="1">SUMIFS(rec.uni[2022-11-01],
INDIRECT("rec.uni[natureza]"),"pro.soluto",
INDIRECT("rec.uni[empresa]"),AJ$6)</f>
        <v>0</v>
      </c>
      <c r="AK25" s="45">
        <f ca="1">SUMIFS(rec.uni[2022-11-01],
INDIRECT("rec.uni[natureza]"),"repasse.cef.obra",
INDIRECT("rec.uni[empresa]"),AK$6)</f>
        <v>0</v>
      </c>
      <c r="AL25" s="45">
        <f ca="1">SUMIFS(rec.uni[2022-11-01],
INDIRECT("rec.uni[natureza]"),"repasse.cef.terreno",
INDIRECT("rec.uni[empresa]"),AL$6)</f>
        <v>0</v>
      </c>
      <c r="AM25" s="45">
        <v>0</v>
      </c>
      <c r="AN25" s="45">
        <f ca="1">SUMIFS(rec.uni[2022-11-01],
INDIRECT("rec.uni[natureza]"),"taxa.extra",
INDIRECT("rec.uni[empresa]"),AN$6)</f>
        <v>0</v>
      </c>
      <c r="AO25" s="131"/>
      <c r="AP25" s="44">
        <f>COUNTIFS(
    estq[empresa], AP$6,
    estq[Data da venda / reserva], "&gt;=" &amp; $A25,
    estq[Data da venda / reserva], "&lt;"  &amp; EOMONTH($A25,0) + 1
)</f>
        <v>0</v>
      </c>
      <c r="AQ25" s="45">
        <f ca="1">SUMIFS(rec.uni[2022-11-01],
INDIRECT("rec.uni[natureza]"),"pro.soluto",
INDIRECT("rec.uni[empresa]"),AQ$6)</f>
        <v>0</v>
      </c>
      <c r="AR25" s="45">
        <f ca="1">SUMIFS(rec.uni[2022-11-01],
INDIRECT("rec.uni[natureza]"),"repasse.cef.obra",
INDIRECT("rec.uni[empresa]"),AR$6)</f>
        <v>0</v>
      </c>
      <c r="AS25" s="45">
        <f ca="1">SUMIFS(rec.uni[2022-11-01],
INDIRECT("rec.uni[natureza]"),"repasse.cef.terreno",
INDIRECT("rec.uni[empresa]"),AS$6)</f>
        <v>0</v>
      </c>
      <c r="AT25" s="45">
        <v>0</v>
      </c>
      <c r="AU25" s="45">
        <f ca="1">SUMIFS(rec.uni[2022-11-01],
INDIRECT("rec.uni[natureza]"),"taxa.extra",
INDIRECT("rec.uni[empresa]"),AU$6)</f>
        <v>0</v>
      </c>
      <c r="AV25" s="131"/>
    </row>
    <row r="26" spans="1:48" x14ac:dyDescent="0.25">
      <c r="A26" s="43">
        <v>44896</v>
      </c>
      <c r="B26" s="44">
        <f>COUNTIFS(
    estq[empresa], B$6,
    estq[Data da venda / reserva], "&gt;=" &amp; $A26,
    estq[Data da venda / reserva], "&lt;"  &amp; EOMONTH($A26,0) + 1
)</f>
        <v>0</v>
      </c>
      <c r="C26" s="45">
        <f ca="1">SUMIFS(rec.uni[2022-12-01],
INDIRECT("rec.uni[natureza]"),"pro.soluto",
INDIRECT("rec.uni[empresa]"),C$6)</f>
        <v>0</v>
      </c>
      <c r="D26" s="45">
        <f ca="1">SUMIFS(rec.uni[2022-12-01],
INDIRECT("rec.uni[natureza]"),"repasse.cef.obra",
INDIRECT("rec.uni[empresa]"),D$6)</f>
        <v>0</v>
      </c>
      <c r="E26" s="45">
        <f ca="1">SUMIFS(rec.uni[2022-12-01],
INDIRECT("rec.uni[natureza]"),"repasse.cef.terreno",
INDIRECT("rec.uni[empresa]"),E$6)</f>
        <v>0</v>
      </c>
      <c r="F26" s="45">
        <v>0</v>
      </c>
      <c r="G26" s="45">
        <f ca="1">SUMIFS(rec.uni[2022-12-01],
INDIRECT("rec.uni[natureza]"),"taxa.extra",
INDIRECT("rec.uni[empresa]"),G$6)</f>
        <v>0</v>
      </c>
      <c r="H26" s="131"/>
      <c r="I26" s="44">
        <f>COUNTIFS(
    estq[empresa], I$6,
    estq[Data da venda / reserva], "&gt;=" &amp; $A26,
    estq[Data da venda / reserva], "&lt;"  &amp; EOMONTH($A26,0) + 1
)</f>
        <v>0</v>
      </c>
      <c r="J26" s="45">
        <f ca="1">SUMIFS(rec.uni[2022-12-01],
INDIRECT("rec.uni[natureza]"),"pro.soluto",
INDIRECT("rec.uni[empresa]"),J$6)</f>
        <v>0</v>
      </c>
      <c r="K26" s="45">
        <f ca="1">SUMIFS(rec.uni[2022-12-01],
INDIRECT("rec.uni[natureza]"),"repasse.cef.obra",
INDIRECT("rec.uni[empresa]"),K$6)</f>
        <v>0</v>
      </c>
      <c r="L26" s="45">
        <f ca="1">SUMIFS(rec.uni[2022-12-01],
INDIRECT("rec.uni[natureza]"),"repasse.cef.terreno",
INDIRECT("rec.uni[empresa]"),L$6)</f>
        <v>0</v>
      </c>
      <c r="M26" s="45">
        <v>0</v>
      </c>
      <c r="N26" s="45">
        <f ca="1">SUMIFS(rec.uni[2022-12-01],
INDIRECT("rec.uni[natureza]"),"taxa.extra",
INDIRECT("rec.uni[empresa]"),N$6)</f>
        <v>0</v>
      </c>
      <c r="O26" s="131"/>
      <c r="P26" s="44">
        <f>COUNTIFS(
    estq[empresa], P$6,
    estq[Data da venda / reserva], "&gt;=" &amp; $A26,
    estq[Data da venda / reserva], "&lt;"  &amp; EOMONTH($A26,0) + 1
)</f>
        <v>0</v>
      </c>
      <c r="Q26" s="45">
        <f ca="1">SUMIFS(rec.uni[2022-12-01],
INDIRECT("rec.uni[natureza]"),"pro.soluto",
INDIRECT("rec.uni[empresa]"),Q$6)</f>
        <v>0</v>
      </c>
      <c r="R26" s="45">
        <f ca="1">SUMIFS(rec.uni[2022-12-01],
INDIRECT("rec.uni[natureza]"),"repasse.cef.obra",
INDIRECT("rec.uni[empresa]"),R$6)</f>
        <v>0</v>
      </c>
      <c r="S26" s="45">
        <f ca="1">SUMIFS(rec.uni[2022-12-01],
INDIRECT("rec.uni[natureza]"),"repasse.cef.terreno",
INDIRECT("rec.uni[empresa]"),S$6)</f>
        <v>0</v>
      </c>
      <c r="T26" s="45">
        <v>0</v>
      </c>
      <c r="U26" s="45">
        <f ca="1">SUMIFS(rec.uni[2022-12-01],
INDIRECT("rec.uni[natureza]"),"taxa.extra",
INDIRECT("rec.uni[empresa]"),U$6)</f>
        <v>0</v>
      </c>
      <c r="V26" s="131"/>
      <c r="W26" s="44">
        <f>COUNTIFS(
    estq[empresa], W$6,
    estq[Data da venda / reserva], "&gt;=" &amp; $A26,
    estq[Data da venda / reserva], "&lt;"  &amp; EOMONTH($A26,0) + 1
)</f>
        <v>0</v>
      </c>
      <c r="X26" s="45">
        <f ca="1">SUMIFS(rec.uni[2022-12-01],
INDIRECT("rec.uni[natureza]"),"pro.soluto",
INDIRECT("rec.uni[empresa]"),X$6)</f>
        <v>0</v>
      </c>
      <c r="Y26" s="45">
        <f ca="1">SUMIFS(rec.uni[2022-12-01],
INDIRECT("rec.uni[natureza]"),"repasse.cef.obra",
INDIRECT("rec.uni[empresa]"),Y$6)</f>
        <v>0</v>
      </c>
      <c r="Z26" s="45">
        <f ca="1">SUMIFS(rec.uni[2022-12-01],
INDIRECT("rec.uni[natureza]"),"repasse.cef.terreno",
INDIRECT("rec.uni[empresa]"),Z$6)</f>
        <v>0</v>
      </c>
      <c r="AA26" s="45">
        <v>0</v>
      </c>
      <c r="AB26" s="45">
        <f ca="1">SUMIFS(rec.uni[2022-12-01],
INDIRECT("rec.uni[natureza]"),"taxa.extra",
INDIRECT("rec.uni[empresa]"),AB$6)</f>
        <v>0</v>
      </c>
      <c r="AC26" s="131"/>
      <c r="AD26" s="44">
        <f>COUNTIFS(
    estq[empresa], AD$6,
    estq[Data da venda / reserva], "&gt;=" &amp; $A26,
    estq[Data da venda / reserva], "&lt;"  &amp; EOMONTH($A26,0) + 1
)</f>
        <v>0</v>
      </c>
      <c r="AE26" s="45">
        <f ca="1">SUMIFS(rec.uni[2022-12-01],
INDIRECT("rec.uni[natureza]"),"pro.soluto",
INDIRECT("rec.uni[empresa]"),AE$6)</f>
        <v>0</v>
      </c>
      <c r="AF26" s="38">
        <f ca="1">SUMIFS(rec.uni[2022-12-01],
INDIRECT("rec.uni[natureza]"),"parcela.fin.total.ik",
INDIRECT("rec.uni[empresa]"),AF$6)</f>
        <v>0</v>
      </c>
      <c r="AG26" s="45">
        <f ca="1">SUMIFS(rec.uni[2022-12-01],
INDIRECT("rec.uni[natureza]"),"taxa.extra",
INDIRECT("rec.uni[empresa]"),AG$6)</f>
        <v>0</v>
      </c>
      <c r="AH26" s="131"/>
      <c r="AI26" s="44">
        <f>COUNTIFS(
    estq[empresa], AI$6,
    estq[Data da venda / reserva], "&gt;=" &amp; $A26,
    estq[Data da venda / reserva], "&lt;"  &amp; EOMONTH($A26,0) + 1
)</f>
        <v>0</v>
      </c>
      <c r="AJ26" s="45">
        <f ca="1">SUMIFS(rec.uni[2022-12-01],
INDIRECT("rec.uni[natureza]"),"pro.soluto",
INDIRECT("rec.uni[empresa]"),AJ$6)</f>
        <v>0</v>
      </c>
      <c r="AK26" s="45">
        <f ca="1">SUMIFS(rec.uni[2022-12-01],
INDIRECT("rec.uni[natureza]"),"repasse.cef.obra",
INDIRECT("rec.uni[empresa]"),AK$6)</f>
        <v>0</v>
      </c>
      <c r="AL26" s="45">
        <f ca="1">SUMIFS(rec.uni[2022-12-01],
INDIRECT("rec.uni[natureza]"),"repasse.cef.terreno",
INDIRECT("rec.uni[empresa]"),AL$6)</f>
        <v>0</v>
      </c>
      <c r="AM26" s="45">
        <v>0</v>
      </c>
      <c r="AN26" s="45">
        <f ca="1">SUMIFS(rec.uni[2022-12-01],
INDIRECT("rec.uni[natureza]"),"taxa.extra",
INDIRECT("rec.uni[empresa]"),AN$6)</f>
        <v>0</v>
      </c>
      <c r="AO26" s="131"/>
      <c r="AP26" s="44">
        <f>COUNTIFS(
    estq[empresa], AP$6,
    estq[Data da venda / reserva], "&gt;=" &amp; $A26,
    estq[Data da venda / reserva], "&lt;"  &amp; EOMONTH($A26,0) + 1
)</f>
        <v>0</v>
      </c>
      <c r="AQ26" s="45">
        <f ca="1">SUMIFS(rec.uni[2022-12-01],
INDIRECT("rec.uni[natureza]"),"pro.soluto",
INDIRECT("rec.uni[empresa]"),AQ$6)</f>
        <v>0</v>
      </c>
      <c r="AR26" s="45">
        <f ca="1">SUMIFS(rec.uni[2022-12-01],
INDIRECT("rec.uni[natureza]"),"repasse.cef.obra",
INDIRECT("rec.uni[empresa]"),AR$6)</f>
        <v>0</v>
      </c>
      <c r="AS26" s="45">
        <f ca="1">SUMIFS(rec.uni[2022-12-01],
INDIRECT("rec.uni[natureza]"),"repasse.cef.terreno",
INDIRECT("rec.uni[empresa]"),AS$6)</f>
        <v>0</v>
      </c>
      <c r="AT26" s="45">
        <v>0</v>
      </c>
      <c r="AU26" s="45">
        <f ca="1">SUMIFS(rec.uni[2022-12-01],
INDIRECT("rec.uni[natureza]"),"taxa.extra",
INDIRECT("rec.uni[empresa]"),AU$6)</f>
        <v>0</v>
      </c>
      <c r="AV26" s="131"/>
    </row>
    <row r="27" spans="1:48" x14ac:dyDescent="0.25">
      <c r="A27" s="43">
        <v>44927</v>
      </c>
      <c r="B27" s="44">
        <f>COUNTIFS(
    estq[empresa], B$6,
    estq[Data da venda / reserva], "&gt;=" &amp; $A27,
    estq[Data da venda / reserva], "&lt;"  &amp; EOMONTH($A27,0) + 1
)</f>
        <v>0</v>
      </c>
      <c r="C27" s="45">
        <f ca="1">SUMIFS(rec.uni[2023-01-01],
INDIRECT("rec.uni[natureza]"),"pro.soluto",
INDIRECT("rec.uni[empresa]"),C$6)</f>
        <v>0</v>
      </c>
      <c r="D27" s="45">
        <f ca="1">SUMIFS(rec.uni[2023-01-01],
INDIRECT("rec.uni[natureza]"),"repasse.cef.obra",
INDIRECT("rec.uni[empresa]"),D$6)</f>
        <v>0</v>
      </c>
      <c r="E27" s="45">
        <f ca="1">SUMIFS(rec.uni[2023-01-01],
INDIRECT("rec.uni[natureza]"),"repasse.cef.terreno",
INDIRECT("rec.uni[empresa]"),E$6)</f>
        <v>0</v>
      </c>
      <c r="F27" s="45">
        <v>0</v>
      </c>
      <c r="G27" s="45">
        <f ca="1">SUMIFS(rec.uni[2023-01-01],
INDIRECT("rec.uni[natureza]"),"taxa.extra",
INDIRECT("rec.uni[empresa]"),G$6)</f>
        <v>0</v>
      </c>
      <c r="H27" s="131"/>
      <c r="I27" s="44">
        <f>COUNTIFS(
    estq[empresa], I$6,
    estq[Data da venda / reserva], "&gt;=" &amp; $A27,
    estq[Data da venda / reserva], "&lt;"  &amp; EOMONTH($A27,0) + 1
)</f>
        <v>0</v>
      </c>
      <c r="J27" s="45">
        <f ca="1">SUMIFS(rec.uni[2023-01-01],
INDIRECT("rec.uni[natureza]"),"pro.soluto",
INDIRECT("rec.uni[empresa]"),J$6)</f>
        <v>0</v>
      </c>
      <c r="K27" s="45">
        <f ca="1">SUMIFS(rec.uni[2023-01-01],
INDIRECT("rec.uni[natureza]"),"repasse.cef.obra",
INDIRECT("rec.uni[empresa]"),K$6)</f>
        <v>0</v>
      </c>
      <c r="L27" s="45">
        <f ca="1">SUMIFS(rec.uni[2023-01-01],
INDIRECT("rec.uni[natureza]"),"repasse.cef.terreno",
INDIRECT("rec.uni[empresa]"),L$6)</f>
        <v>0</v>
      </c>
      <c r="M27" s="45">
        <v>0</v>
      </c>
      <c r="N27" s="45">
        <f ca="1">SUMIFS(rec.uni[2023-01-01],
INDIRECT("rec.uni[natureza]"),"taxa.extra",
INDIRECT("rec.uni[empresa]"),N$6)</f>
        <v>0</v>
      </c>
      <c r="O27" s="131"/>
      <c r="P27" s="44">
        <f>COUNTIFS(
    estq[empresa], P$6,
    estq[Data da venda / reserva], "&gt;=" &amp; $A27,
    estq[Data da venda / reserva], "&lt;"  &amp; EOMONTH($A27,0) + 1
)</f>
        <v>0</v>
      </c>
      <c r="Q27" s="45">
        <f ca="1">SUMIFS(rec.uni[2023-01-01],
INDIRECT("rec.uni[natureza]"),"pro.soluto",
INDIRECT("rec.uni[empresa]"),Q$6)</f>
        <v>0</v>
      </c>
      <c r="R27" s="45">
        <f ca="1">SUMIFS(rec.uni[2023-01-01],
INDIRECT("rec.uni[natureza]"),"repasse.cef.obra",
INDIRECT("rec.uni[empresa]"),R$6)</f>
        <v>0</v>
      </c>
      <c r="S27" s="45">
        <f ca="1">SUMIFS(rec.uni[2023-01-01],
INDIRECT("rec.uni[natureza]"),"repasse.cef.terreno",
INDIRECT("rec.uni[empresa]"),S$6)</f>
        <v>0</v>
      </c>
      <c r="T27" s="45">
        <v>0</v>
      </c>
      <c r="U27" s="45">
        <f ca="1">SUMIFS(rec.uni[2023-01-01],
INDIRECT("rec.uni[natureza]"),"taxa.extra",
INDIRECT("rec.uni[empresa]"),U$6)</f>
        <v>0</v>
      </c>
      <c r="V27" s="131"/>
      <c r="W27" s="44">
        <f>COUNTIFS(
    estq[empresa], W$6,
    estq[Data da venda / reserva], "&gt;=" &amp; $A27,
    estq[Data da venda / reserva], "&lt;"  &amp; EOMONTH($A27,0) + 1
)</f>
        <v>0</v>
      </c>
      <c r="X27" s="45">
        <f ca="1">SUMIFS(rec.uni[2023-01-01],
INDIRECT("rec.uni[natureza]"),"pro.soluto",
INDIRECT("rec.uni[empresa]"),X$6)</f>
        <v>0</v>
      </c>
      <c r="Y27" s="45">
        <f ca="1">SUMIFS(rec.uni[2023-01-01],
INDIRECT("rec.uni[natureza]"),"repasse.cef.obra",
INDIRECT("rec.uni[empresa]"),Y$6)</f>
        <v>0</v>
      </c>
      <c r="Z27" s="45">
        <f ca="1">SUMIFS(rec.uni[2023-01-01],
INDIRECT("rec.uni[natureza]"),"repasse.cef.terreno",
INDIRECT("rec.uni[empresa]"),Z$6)</f>
        <v>0</v>
      </c>
      <c r="AA27" s="45">
        <v>0</v>
      </c>
      <c r="AB27" s="45">
        <f ca="1">SUMIFS(rec.uni[2023-01-01],
INDIRECT("rec.uni[natureza]"),"taxa.extra",
INDIRECT("rec.uni[empresa]"),AB$6)</f>
        <v>0</v>
      </c>
      <c r="AC27" s="131"/>
      <c r="AD27" s="44">
        <f>COUNTIFS(
    estq[empresa], AD$6,
    estq[Data da venda / reserva], "&gt;=" &amp; $A27,
    estq[Data da venda / reserva], "&lt;"  &amp; EOMONTH($A27,0) + 1
)</f>
        <v>0</v>
      </c>
      <c r="AE27" s="45">
        <f ca="1">SUMIFS(rec.uni[2023-01-01],
INDIRECT("rec.uni[natureza]"),"pro.soluto",
INDIRECT("rec.uni[empresa]"),AE$6)</f>
        <v>0</v>
      </c>
      <c r="AF27" s="38">
        <f ca="1">SUMIFS(rec.uni[2023-01-01],
INDIRECT("rec.uni[natureza]"),"parcela.fin.total.ik",
INDIRECT("rec.uni[empresa]"),AF$6)</f>
        <v>0</v>
      </c>
      <c r="AG27" s="45">
        <f ca="1">SUMIFS(rec.uni[2023-01-01],
INDIRECT("rec.uni[natureza]"),"taxa.extra",
INDIRECT("rec.uni[empresa]"),AG$6)</f>
        <v>0</v>
      </c>
      <c r="AH27" s="131"/>
      <c r="AI27" s="44">
        <f>COUNTIFS(
    estq[empresa], AI$6,
    estq[Data da venda / reserva], "&gt;=" &amp; $A27,
    estq[Data da venda / reserva], "&lt;"  &amp; EOMONTH($A27,0) + 1
)</f>
        <v>0</v>
      </c>
      <c r="AJ27" s="45">
        <f ca="1">SUMIFS(rec.uni[2023-01-01],
INDIRECT("rec.uni[natureza]"),"pro.soluto",
INDIRECT("rec.uni[empresa]"),AJ$6)</f>
        <v>0</v>
      </c>
      <c r="AK27" s="45">
        <f ca="1">SUMIFS(rec.uni[2023-01-01],
INDIRECT("rec.uni[natureza]"),"repasse.cef.obra",
INDIRECT("rec.uni[empresa]"),AK$6)</f>
        <v>0</v>
      </c>
      <c r="AL27" s="45">
        <f ca="1">SUMIFS(rec.uni[2023-01-01],
INDIRECT("rec.uni[natureza]"),"repasse.cef.terreno",
INDIRECT("rec.uni[empresa]"),AL$6)</f>
        <v>0</v>
      </c>
      <c r="AM27" s="45">
        <v>0</v>
      </c>
      <c r="AN27" s="45">
        <f ca="1">SUMIFS(rec.uni[2023-01-01],
INDIRECT("rec.uni[natureza]"),"taxa.extra",
INDIRECT("rec.uni[empresa]"),AN$6)</f>
        <v>0</v>
      </c>
      <c r="AO27" s="131"/>
      <c r="AP27" s="44">
        <f>COUNTIFS(
    estq[empresa], AP$6,
    estq[Data da venda / reserva], "&gt;=" &amp; $A27,
    estq[Data da venda / reserva], "&lt;"  &amp; EOMONTH($A27,0) + 1
)</f>
        <v>0</v>
      </c>
      <c r="AQ27" s="45">
        <f ca="1">SUMIFS(rec.uni[2023-01-01],
INDIRECT("rec.uni[natureza]"),"pro.soluto",
INDIRECT("rec.uni[empresa]"),AQ$6)</f>
        <v>0</v>
      </c>
      <c r="AR27" s="45">
        <f ca="1">SUMIFS(rec.uni[2023-01-01],
INDIRECT("rec.uni[natureza]"),"repasse.cef.obra",
INDIRECT("rec.uni[empresa]"),AR$6)</f>
        <v>0</v>
      </c>
      <c r="AS27" s="45">
        <f ca="1">SUMIFS(rec.uni[2023-01-01],
INDIRECT("rec.uni[natureza]"),"repasse.cef.terreno",
INDIRECT("rec.uni[empresa]"),AS$6)</f>
        <v>0</v>
      </c>
      <c r="AT27" s="45">
        <v>0</v>
      </c>
      <c r="AU27" s="45">
        <f ca="1">SUMIFS(rec.uni[2023-01-01],
INDIRECT("rec.uni[natureza]"),"taxa.extra",
INDIRECT("rec.uni[empresa]"),AU$6)</f>
        <v>0</v>
      </c>
      <c r="AV27" s="131"/>
    </row>
    <row r="28" spans="1:48" x14ac:dyDescent="0.25">
      <c r="A28" s="43">
        <v>44958</v>
      </c>
      <c r="B28" s="44">
        <f>COUNTIFS(
    estq[empresa], B$6,
    estq[Data da venda / reserva], "&gt;=" &amp; $A28,
    estq[Data da venda / reserva], "&lt;"  &amp; EOMONTH($A28,0) + 1
)</f>
        <v>0</v>
      </c>
      <c r="C28" s="45">
        <f ca="1">SUMIFS(rec.uni[2023-02-01],
INDIRECT("rec.uni[natureza]"),"pro.soluto",
INDIRECT("rec.uni[empresa]"),C$6)</f>
        <v>0</v>
      </c>
      <c r="D28" s="45">
        <f ca="1">SUMIFS(rec.uni[2023-02-01],
INDIRECT("rec.uni[natureza]"),"repasse.cef.obra",
INDIRECT("rec.uni[empresa]"),D$6)</f>
        <v>0</v>
      </c>
      <c r="E28" s="45">
        <f ca="1">SUMIFS(rec.uni[2023-02-01],
INDIRECT("rec.uni[natureza]"),"repasse.cef.terreno",
INDIRECT("rec.uni[empresa]"),E$6)</f>
        <v>0</v>
      </c>
      <c r="F28" s="45">
        <v>0</v>
      </c>
      <c r="G28" s="45">
        <f ca="1">SUMIFS(rec.uni[2023-02-01],
INDIRECT("rec.uni[natureza]"),"taxa.extra",
INDIRECT("rec.uni[empresa]"),G$6)</f>
        <v>0</v>
      </c>
      <c r="H28" s="131"/>
      <c r="I28" s="44">
        <f>COUNTIFS(
    estq[empresa], I$6,
    estq[Data da venda / reserva], "&gt;=" &amp; $A28,
    estq[Data da venda / reserva], "&lt;"  &amp; EOMONTH($A28,0) + 1
)</f>
        <v>0</v>
      </c>
      <c r="J28" s="45">
        <f ca="1">SUMIFS(rec.uni[2023-02-01],
INDIRECT("rec.uni[natureza]"),"pro.soluto",
INDIRECT("rec.uni[empresa]"),J$6)</f>
        <v>0</v>
      </c>
      <c r="K28" s="45">
        <f ca="1">SUMIFS(rec.uni[2023-02-01],
INDIRECT("rec.uni[natureza]"),"repasse.cef.obra",
INDIRECT("rec.uni[empresa]"),K$6)</f>
        <v>0</v>
      </c>
      <c r="L28" s="45">
        <f ca="1">SUMIFS(rec.uni[2023-02-01],
INDIRECT("rec.uni[natureza]"),"repasse.cef.terreno",
INDIRECT("rec.uni[empresa]"),L$6)</f>
        <v>0</v>
      </c>
      <c r="M28" s="45">
        <v>0</v>
      </c>
      <c r="N28" s="45">
        <f ca="1">SUMIFS(rec.uni[2023-02-01],
INDIRECT("rec.uni[natureza]"),"taxa.extra",
INDIRECT("rec.uni[empresa]"),N$6)</f>
        <v>0</v>
      </c>
      <c r="O28" s="131"/>
      <c r="P28" s="44">
        <f>COUNTIFS(
    estq[empresa], P$6,
    estq[Data da venda / reserva], "&gt;=" &amp; $A28,
    estq[Data da venda / reserva], "&lt;"  &amp; EOMONTH($A28,0) + 1
)</f>
        <v>0</v>
      </c>
      <c r="Q28" s="45">
        <f ca="1">SUMIFS(rec.uni[2023-02-01],
INDIRECT("rec.uni[natureza]"),"pro.soluto",
INDIRECT("rec.uni[empresa]"),Q$6)</f>
        <v>0</v>
      </c>
      <c r="R28" s="45">
        <f ca="1">SUMIFS(rec.uni[2023-02-01],
INDIRECT("rec.uni[natureza]"),"repasse.cef.obra",
INDIRECT("rec.uni[empresa]"),R$6)</f>
        <v>0</v>
      </c>
      <c r="S28" s="45">
        <f ca="1">SUMIFS(rec.uni[2023-02-01],
INDIRECT("rec.uni[natureza]"),"repasse.cef.terreno",
INDIRECT("rec.uni[empresa]"),S$6)</f>
        <v>0</v>
      </c>
      <c r="T28" s="45">
        <v>0</v>
      </c>
      <c r="U28" s="45">
        <f ca="1">SUMIFS(rec.uni[2023-02-01],
INDIRECT("rec.uni[natureza]"),"taxa.extra",
INDIRECT("rec.uni[empresa]"),U$6)</f>
        <v>0</v>
      </c>
      <c r="V28" s="131"/>
      <c r="W28" s="44">
        <f>COUNTIFS(
    estq[empresa], W$6,
    estq[Data da venda / reserva], "&gt;=" &amp; $A28,
    estq[Data da venda / reserva], "&lt;"  &amp; EOMONTH($A28,0) + 1
)</f>
        <v>0</v>
      </c>
      <c r="X28" s="45">
        <f ca="1">SUMIFS(rec.uni[2023-02-01],
INDIRECT("rec.uni[natureza]"),"pro.soluto",
INDIRECT("rec.uni[empresa]"),X$6)</f>
        <v>0</v>
      </c>
      <c r="Y28" s="45">
        <f ca="1">SUMIFS(rec.uni[2023-02-01],
INDIRECT("rec.uni[natureza]"),"repasse.cef.obra",
INDIRECT("rec.uni[empresa]"),Y$6)</f>
        <v>0</v>
      </c>
      <c r="Z28" s="45">
        <f ca="1">SUMIFS(rec.uni[2023-02-01],
INDIRECT("rec.uni[natureza]"),"repasse.cef.terreno",
INDIRECT("rec.uni[empresa]"),Z$6)</f>
        <v>0</v>
      </c>
      <c r="AA28" s="45">
        <v>0</v>
      </c>
      <c r="AB28" s="45">
        <f ca="1">SUMIFS(rec.uni[2023-02-01],
INDIRECT("rec.uni[natureza]"),"taxa.extra",
INDIRECT("rec.uni[empresa]"),AB$6)</f>
        <v>0</v>
      </c>
      <c r="AC28" s="131"/>
      <c r="AD28" s="44">
        <f>COUNTIFS(
    estq[empresa], AD$6,
    estq[Data da venda / reserva], "&gt;=" &amp; $A28,
    estq[Data da venda / reserva], "&lt;"  &amp; EOMONTH($A28,0) + 1
)</f>
        <v>0</v>
      </c>
      <c r="AE28" s="45">
        <f ca="1">SUMIFS(rec.uni[2023-02-01],
INDIRECT("rec.uni[natureza]"),"pro.soluto",
INDIRECT("rec.uni[empresa]"),AE$6)</f>
        <v>0</v>
      </c>
      <c r="AF28" s="38">
        <f ca="1">SUMIFS(rec.uni[2023-02-01],
INDIRECT("rec.uni[natureza]"),"parcela.fin.total.ik",
INDIRECT("rec.uni[empresa]"),AF$6)</f>
        <v>0</v>
      </c>
      <c r="AG28" s="45">
        <f ca="1">SUMIFS(rec.uni[2023-02-01],
INDIRECT("rec.uni[natureza]"),"taxa.extra",
INDIRECT("rec.uni[empresa]"),AG$6)</f>
        <v>0</v>
      </c>
      <c r="AH28" s="131"/>
      <c r="AI28" s="44">
        <f>COUNTIFS(
    estq[empresa], AI$6,
    estq[Data da venda / reserva], "&gt;=" &amp; $A28,
    estq[Data da venda / reserva], "&lt;"  &amp; EOMONTH($A28,0) + 1
)</f>
        <v>0</v>
      </c>
      <c r="AJ28" s="45">
        <f ca="1">SUMIFS(rec.uni[2023-02-01],
INDIRECT("rec.uni[natureza]"),"pro.soluto",
INDIRECT("rec.uni[empresa]"),AJ$6)</f>
        <v>0</v>
      </c>
      <c r="AK28" s="45">
        <f ca="1">SUMIFS(rec.uni[2023-02-01],
INDIRECT("rec.uni[natureza]"),"repasse.cef.obra",
INDIRECT("rec.uni[empresa]"),AK$6)</f>
        <v>0</v>
      </c>
      <c r="AL28" s="45">
        <f ca="1">SUMIFS(rec.uni[2023-02-01],
INDIRECT("rec.uni[natureza]"),"repasse.cef.terreno",
INDIRECT("rec.uni[empresa]"),AL$6)</f>
        <v>0</v>
      </c>
      <c r="AM28" s="45">
        <v>0</v>
      </c>
      <c r="AN28" s="45">
        <f ca="1">SUMIFS(rec.uni[2023-02-01],
INDIRECT("rec.uni[natureza]"),"taxa.extra",
INDIRECT("rec.uni[empresa]"),AN$6)</f>
        <v>0</v>
      </c>
      <c r="AO28" s="131"/>
      <c r="AP28" s="44">
        <f>COUNTIFS(
    estq[empresa], AP$6,
    estq[Data da venda / reserva], "&gt;=" &amp; $A28,
    estq[Data da venda / reserva], "&lt;"  &amp; EOMONTH($A28,0) + 1
)</f>
        <v>0</v>
      </c>
      <c r="AQ28" s="45">
        <f ca="1">SUMIFS(rec.uni[2023-02-01],
INDIRECT("rec.uni[natureza]"),"pro.soluto",
INDIRECT("rec.uni[empresa]"),AQ$6)</f>
        <v>0</v>
      </c>
      <c r="AR28" s="45">
        <f ca="1">SUMIFS(rec.uni[2023-02-01],
INDIRECT("rec.uni[natureza]"),"repasse.cef.obra",
INDIRECT("rec.uni[empresa]"),AR$6)</f>
        <v>0</v>
      </c>
      <c r="AS28" s="45">
        <f ca="1">SUMIFS(rec.uni[2023-02-01],
INDIRECT("rec.uni[natureza]"),"repasse.cef.terreno",
INDIRECT("rec.uni[empresa]"),AS$6)</f>
        <v>0</v>
      </c>
      <c r="AT28" s="45">
        <v>0</v>
      </c>
      <c r="AU28" s="45">
        <f ca="1">SUMIFS(rec.uni[2023-02-01],
INDIRECT("rec.uni[natureza]"),"taxa.extra",
INDIRECT("rec.uni[empresa]"),AU$6)</f>
        <v>0</v>
      </c>
      <c r="AV28" s="131"/>
    </row>
    <row r="29" spans="1:48" x14ac:dyDescent="0.25">
      <c r="A29" s="43">
        <v>44986</v>
      </c>
      <c r="B29" s="44">
        <f>COUNTIFS(
    estq[empresa], B$6,
    estq[Data da venda / reserva], "&gt;=" &amp; $A29,
    estq[Data da venda / reserva], "&lt;"  &amp; EOMONTH($A29,0) + 1
)</f>
        <v>0</v>
      </c>
      <c r="C29" s="45">
        <f ca="1">SUMIFS(rec.uni[2023-03-01],
INDIRECT("rec.uni[natureza]"),"pro.soluto",
INDIRECT("rec.uni[empresa]"),C$6)</f>
        <v>0</v>
      </c>
      <c r="D29" s="45">
        <f ca="1">SUMIFS(rec.uni[2023-03-01],
INDIRECT("rec.uni[natureza]"),"repasse.cef.obra",
INDIRECT("rec.uni[empresa]"),D$6)</f>
        <v>0</v>
      </c>
      <c r="E29" s="45">
        <f ca="1">SUMIFS(rec.uni[2023-03-01],
INDIRECT("rec.uni[natureza]"),"repasse.cef.terreno",
INDIRECT("rec.uni[empresa]"),E$6)</f>
        <v>0</v>
      </c>
      <c r="F29" s="45">
        <v>0</v>
      </c>
      <c r="G29" s="45">
        <f ca="1">SUMIFS(rec.uni[2023-03-01],
INDIRECT("rec.uni[natureza]"),"taxa.extra",
INDIRECT("rec.uni[empresa]"),G$6)</f>
        <v>0</v>
      </c>
      <c r="H29" s="131"/>
      <c r="I29" s="44">
        <f>COUNTIFS(
    estq[empresa], I$6,
    estq[Data da venda / reserva], "&gt;=" &amp; $A29,
    estq[Data da venda / reserva], "&lt;"  &amp; EOMONTH($A29,0) + 1
)</f>
        <v>0</v>
      </c>
      <c r="J29" s="45">
        <f ca="1">SUMIFS(rec.uni[2023-03-01],
INDIRECT("rec.uni[natureza]"),"pro.soluto",
INDIRECT("rec.uni[empresa]"),J$6)</f>
        <v>0</v>
      </c>
      <c r="K29" s="45">
        <f ca="1">SUMIFS(rec.uni[2023-03-01],
INDIRECT("rec.uni[natureza]"),"repasse.cef.obra",
INDIRECT("rec.uni[empresa]"),K$6)</f>
        <v>0</v>
      </c>
      <c r="L29" s="45">
        <f ca="1">SUMIFS(rec.uni[2023-03-01],
INDIRECT("rec.uni[natureza]"),"repasse.cef.terreno",
INDIRECT("rec.uni[empresa]"),L$6)</f>
        <v>0</v>
      </c>
      <c r="M29" s="45">
        <v>0</v>
      </c>
      <c r="N29" s="45">
        <f ca="1">SUMIFS(rec.uni[2023-03-01],
INDIRECT("rec.uni[natureza]"),"taxa.extra",
INDIRECT("rec.uni[empresa]"),N$6)</f>
        <v>0</v>
      </c>
      <c r="O29" s="131"/>
      <c r="P29" s="44">
        <f>COUNTIFS(
    estq[empresa], P$6,
    estq[Data da venda / reserva], "&gt;=" &amp; $A29,
    estq[Data da venda / reserva], "&lt;"  &amp; EOMONTH($A29,0) + 1
)</f>
        <v>0</v>
      </c>
      <c r="Q29" s="45">
        <f ca="1">SUMIFS(rec.uni[2023-03-01],
INDIRECT("rec.uni[natureza]"),"pro.soluto",
INDIRECT("rec.uni[empresa]"),Q$6)</f>
        <v>0</v>
      </c>
      <c r="R29" s="45">
        <f ca="1">SUMIFS(rec.uni[2023-03-01],
INDIRECT("rec.uni[natureza]"),"repasse.cef.obra",
INDIRECT("rec.uni[empresa]"),R$6)</f>
        <v>0</v>
      </c>
      <c r="S29" s="45">
        <f ca="1">SUMIFS(rec.uni[2023-03-01],
INDIRECT("rec.uni[natureza]"),"repasse.cef.terreno",
INDIRECT("rec.uni[empresa]"),S$6)</f>
        <v>0</v>
      </c>
      <c r="T29" s="45">
        <v>0</v>
      </c>
      <c r="U29" s="45">
        <f ca="1">SUMIFS(rec.uni[2023-03-01],
INDIRECT("rec.uni[natureza]"),"taxa.extra",
INDIRECT("rec.uni[empresa]"),U$6)</f>
        <v>0</v>
      </c>
      <c r="V29" s="131"/>
      <c r="W29" s="44">
        <f>COUNTIFS(
    estq[empresa], W$6,
    estq[Data da venda / reserva], "&gt;=" &amp; $A29,
    estq[Data da venda / reserva], "&lt;"  &amp; EOMONTH($A29,0) + 1
)</f>
        <v>0</v>
      </c>
      <c r="X29" s="45">
        <f ca="1">SUMIFS(rec.uni[2023-03-01],
INDIRECT("rec.uni[natureza]"),"pro.soluto",
INDIRECT("rec.uni[empresa]"),X$6)</f>
        <v>0</v>
      </c>
      <c r="Y29" s="45">
        <f ca="1">SUMIFS(rec.uni[2023-03-01],
INDIRECT("rec.uni[natureza]"),"repasse.cef.obra",
INDIRECT("rec.uni[empresa]"),Y$6)</f>
        <v>0</v>
      </c>
      <c r="Z29" s="45">
        <f ca="1">SUMIFS(rec.uni[2023-03-01],
INDIRECT("rec.uni[natureza]"),"repasse.cef.terreno",
INDIRECT("rec.uni[empresa]"),Z$6)</f>
        <v>0</v>
      </c>
      <c r="AA29" s="45">
        <v>0</v>
      </c>
      <c r="AB29" s="45">
        <f ca="1">SUMIFS(rec.uni[2023-03-01],
INDIRECT("rec.uni[natureza]"),"taxa.extra",
INDIRECT("rec.uni[empresa]"),AB$6)</f>
        <v>0</v>
      </c>
      <c r="AC29" s="131"/>
      <c r="AD29" s="44">
        <f>COUNTIFS(
    estq[empresa], AD$6,
    estq[Data da venda / reserva], "&gt;=" &amp; $A29,
    estq[Data da venda / reserva], "&lt;"  &amp; EOMONTH($A29,0) + 1
)</f>
        <v>0</v>
      </c>
      <c r="AE29" s="45">
        <f ca="1">SUMIFS(rec.uni[2023-03-01],
INDIRECT("rec.uni[natureza]"),"pro.soluto",
INDIRECT("rec.uni[empresa]"),AE$6)</f>
        <v>0</v>
      </c>
      <c r="AF29" s="38">
        <f ca="1">SUMIFS(rec.uni[2023-03-01],
INDIRECT("rec.uni[natureza]"),"parcela.fin.total.ik",
INDIRECT("rec.uni[empresa]"),AF$6)</f>
        <v>0</v>
      </c>
      <c r="AG29" s="45">
        <f ca="1">SUMIFS(rec.uni[2023-03-01],
INDIRECT("rec.uni[natureza]"),"taxa.extra",
INDIRECT("rec.uni[empresa]"),AG$6)</f>
        <v>0</v>
      </c>
      <c r="AH29" s="131"/>
      <c r="AI29" s="44">
        <f>COUNTIFS(
    estq[empresa], AI$6,
    estq[Data da venda / reserva], "&gt;=" &amp; $A29,
    estq[Data da venda / reserva], "&lt;"  &amp; EOMONTH($A29,0) + 1
)</f>
        <v>0</v>
      </c>
      <c r="AJ29" s="45">
        <f ca="1">SUMIFS(rec.uni[2023-03-01],
INDIRECT("rec.uni[natureza]"),"pro.soluto",
INDIRECT("rec.uni[empresa]"),AJ$6)</f>
        <v>0</v>
      </c>
      <c r="AK29" s="45">
        <f ca="1">SUMIFS(rec.uni[2023-03-01],
INDIRECT("rec.uni[natureza]"),"repasse.cef.obra",
INDIRECT("rec.uni[empresa]"),AK$6)</f>
        <v>0</v>
      </c>
      <c r="AL29" s="45">
        <f ca="1">SUMIFS(rec.uni[2023-03-01],
INDIRECT("rec.uni[natureza]"),"repasse.cef.terreno",
INDIRECT("rec.uni[empresa]"),AL$6)</f>
        <v>0</v>
      </c>
      <c r="AM29" s="45">
        <v>0</v>
      </c>
      <c r="AN29" s="45">
        <f ca="1">SUMIFS(rec.uni[2023-03-01],
INDIRECT("rec.uni[natureza]"),"taxa.extra",
INDIRECT("rec.uni[empresa]"),AN$6)</f>
        <v>0</v>
      </c>
      <c r="AO29" s="131"/>
      <c r="AP29" s="44">
        <f>COUNTIFS(
    estq[empresa], AP$6,
    estq[Data da venda / reserva], "&gt;=" &amp; $A29,
    estq[Data da venda / reserva], "&lt;"  &amp; EOMONTH($A29,0) + 1
)</f>
        <v>0</v>
      </c>
      <c r="AQ29" s="45">
        <f ca="1">SUMIFS(rec.uni[2023-03-01],
INDIRECT("rec.uni[natureza]"),"pro.soluto",
INDIRECT("rec.uni[empresa]"),AQ$6)</f>
        <v>0</v>
      </c>
      <c r="AR29" s="45">
        <f ca="1">SUMIFS(rec.uni[2023-03-01],
INDIRECT("rec.uni[natureza]"),"repasse.cef.obra",
INDIRECT("rec.uni[empresa]"),AR$6)</f>
        <v>0</v>
      </c>
      <c r="AS29" s="45">
        <f ca="1">SUMIFS(rec.uni[2023-03-01],
INDIRECT("rec.uni[natureza]"),"repasse.cef.terreno",
INDIRECT("rec.uni[empresa]"),AS$6)</f>
        <v>0</v>
      </c>
      <c r="AT29" s="45">
        <v>0</v>
      </c>
      <c r="AU29" s="45">
        <f ca="1">SUMIFS(rec.uni[2023-03-01],
INDIRECT("rec.uni[natureza]"),"taxa.extra",
INDIRECT("rec.uni[empresa]"),AU$6)</f>
        <v>0</v>
      </c>
      <c r="AV29" s="131"/>
    </row>
    <row r="30" spans="1:48" x14ac:dyDescent="0.25">
      <c r="A30" s="43">
        <v>45017</v>
      </c>
      <c r="B30" s="44">
        <f>COUNTIFS(
    estq[empresa], B$6,
    estq[Data da venda / reserva], "&gt;=" &amp; $A30,
    estq[Data da venda / reserva], "&lt;"  &amp; EOMONTH($A30,0) + 1
)</f>
        <v>0</v>
      </c>
      <c r="C30" s="45">
        <f ca="1">SUMIFS(rec.uni[2023-04-01],
INDIRECT("rec.uni[natureza]"),"pro.soluto",
INDIRECT("rec.uni[empresa]"),C$6)</f>
        <v>0</v>
      </c>
      <c r="D30" s="45">
        <f ca="1">SUMIFS(rec.uni[2023-04-01],
INDIRECT("rec.uni[natureza]"),"repasse.cef.obra",
INDIRECT("rec.uni[empresa]"),D$6)</f>
        <v>0</v>
      </c>
      <c r="E30" s="45">
        <f ca="1">SUMIFS(rec.uni[2023-04-01],
INDIRECT("rec.uni[natureza]"),"repasse.cef.terreno",
INDIRECT("rec.uni[empresa]"),E$6)</f>
        <v>0</v>
      </c>
      <c r="F30" s="45">
        <v>0</v>
      </c>
      <c r="G30" s="45">
        <f ca="1">SUMIFS(rec.uni[2023-04-01],
INDIRECT("rec.uni[natureza]"),"taxa.extra",
INDIRECT("rec.uni[empresa]"),G$6)</f>
        <v>0</v>
      </c>
      <c r="H30" s="131"/>
      <c r="I30" s="44">
        <f>COUNTIFS(
    estq[empresa], I$6,
    estq[Data da venda / reserva], "&gt;=" &amp; $A30,
    estq[Data da venda / reserva], "&lt;"  &amp; EOMONTH($A30,0) + 1
)</f>
        <v>0</v>
      </c>
      <c r="J30" s="45">
        <f ca="1">SUMIFS(rec.uni[2023-04-01],
INDIRECT("rec.uni[natureza]"),"pro.soluto",
INDIRECT("rec.uni[empresa]"),J$6)</f>
        <v>0</v>
      </c>
      <c r="K30" s="45">
        <f ca="1">SUMIFS(rec.uni[2023-04-01],
INDIRECT("rec.uni[natureza]"),"repasse.cef.obra",
INDIRECT("rec.uni[empresa]"),K$6)</f>
        <v>0</v>
      </c>
      <c r="L30" s="45">
        <f ca="1">SUMIFS(rec.uni[2023-04-01],
INDIRECT("rec.uni[natureza]"),"repasse.cef.terreno",
INDIRECT("rec.uni[empresa]"),L$6)</f>
        <v>0</v>
      </c>
      <c r="M30" s="45">
        <v>0</v>
      </c>
      <c r="N30" s="45">
        <f ca="1">SUMIFS(rec.uni[2023-04-01],
INDIRECT("rec.uni[natureza]"),"taxa.extra",
INDIRECT("rec.uni[empresa]"),N$6)</f>
        <v>0</v>
      </c>
      <c r="O30" s="131"/>
      <c r="P30" s="44">
        <f>COUNTIFS(
    estq[empresa], P$6,
    estq[Data da venda / reserva], "&gt;=" &amp; $A30,
    estq[Data da venda / reserva], "&lt;"  &amp; EOMONTH($A30,0) + 1
)</f>
        <v>0</v>
      </c>
      <c r="Q30" s="45">
        <f ca="1">SUMIFS(rec.uni[2023-04-01],
INDIRECT("rec.uni[natureza]"),"pro.soluto",
INDIRECT("rec.uni[empresa]"),Q$6)</f>
        <v>0</v>
      </c>
      <c r="R30" s="45">
        <f ca="1">SUMIFS(rec.uni[2023-04-01],
INDIRECT("rec.uni[natureza]"),"repasse.cef.obra",
INDIRECT("rec.uni[empresa]"),R$6)</f>
        <v>0</v>
      </c>
      <c r="S30" s="45">
        <f ca="1">SUMIFS(rec.uni[2023-04-01],
INDIRECT("rec.uni[natureza]"),"repasse.cef.terreno",
INDIRECT("rec.uni[empresa]"),S$6)</f>
        <v>0</v>
      </c>
      <c r="T30" s="45">
        <v>0</v>
      </c>
      <c r="U30" s="45">
        <f ca="1">SUMIFS(rec.uni[2023-04-01],
INDIRECT("rec.uni[natureza]"),"taxa.extra",
INDIRECT("rec.uni[empresa]"),U$6)</f>
        <v>0</v>
      </c>
      <c r="V30" s="131"/>
      <c r="W30" s="44">
        <f>COUNTIFS(
    estq[empresa], W$6,
    estq[Data da venda / reserva], "&gt;=" &amp; $A30,
    estq[Data da venda / reserva], "&lt;"  &amp; EOMONTH($A30,0) + 1
)</f>
        <v>0</v>
      </c>
      <c r="X30" s="45">
        <f ca="1">SUMIFS(rec.uni[2023-04-01],
INDIRECT("rec.uni[natureza]"),"pro.soluto",
INDIRECT("rec.uni[empresa]"),X$6)</f>
        <v>0</v>
      </c>
      <c r="Y30" s="45">
        <f ca="1">SUMIFS(rec.uni[2023-04-01],
INDIRECT("rec.uni[natureza]"),"repasse.cef.obra",
INDIRECT("rec.uni[empresa]"),Y$6)</f>
        <v>0</v>
      </c>
      <c r="Z30" s="45">
        <f ca="1">SUMIFS(rec.uni[2023-04-01],
INDIRECT("rec.uni[natureza]"),"repasse.cef.terreno",
INDIRECT("rec.uni[empresa]"),Z$6)</f>
        <v>0</v>
      </c>
      <c r="AA30" s="45">
        <v>0</v>
      </c>
      <c r="AB30" s="45">
        <f ca="1">SUMIFS(rec.uni[2023-04-01],
INDIRECT("rec.uni[natureza]"),"taxa.extra",
INDIRECT("rec.uni[empresa]"),AB$6)</f>
        <v>0</v>
      </c>
      <c r="AC30" s="131"/>
      <c r="AD30" s="44">
        <f>COUNTIFS(
    estq[empresa], AD$6,
    estq[Data da venda / reserva], "&gt;=" &amp; $A30,
    estq[Data da venda / reserva], "&lt;"  &amp; EOMONTH($A30,0) + 1
)</f>
        <v>0</v>
      </c>
      <c r="AE30" s="45">
        <f ca="1">SUMIFS(rec.uni[2023-04-01],
INDIRECT("rec.uni[natureza]"),"pro.soluto",
INDIRECT("rec.uni[empresa]"),AE$6)</f>
        <v>0</v>
      </c>
      <c r="AF30" s="38">
        <f ca="1">SUMIFS(rec.uni[2023-04-01],
INDIRECT("rec.uni[natureza]"),"parcela.fin.total.ik",
INDIRECT("rec.uni[empresa]"),AF$6)</f>
        <v>0</v>
      </c>
      <c r="AG30" s="45">
        <f ca="1">SUMIFS(rec.uni[2023-04-01],
INDIRECT("rec.uni[natureza]"),"taxa.extra",
INDIRECT("rec.uni[empresa]"),AG$6)</f>
        <v>0</v>
      </c>
      <c r="AH30" s="131"/>
      <c r="AI30" s="44">
        <f>COUNTIFS(
    estq[empresa], AI$6,
    estq[Data da venda / reserva], "&gt;=" &amp; $A30,
    estq[Data da venda / reserva], "&lt;"  &amp; EOMONTH($A30,0) + 1
)</f>
        <v>0</v>
      </c>
      <c r="AJ30" s="45">
        <f ca="1">SUMIFS(rec.uni[2023-04-01],
INDIRECT("rec.uni[natureza]"),"pro.soluto",
INDIRECT("rec.uni[empresa]"),AJ$6)</f>
        <v>0</v>
      </c>
      <c r="AK30" s="45">
        <f ca="1">SUMIFS(rec.uni[2023-04-01],
INDIRECT("rec.uni[natureza]"),"repasse.cef.obra",
INDIRECT("rec.uni[empresa]"),AK$6)</f>
        <v>0</v>
      </c>
      <c r="AL30" s="45">
        <f ca="1">SUMIFS(rec.uni[2023-04-01],
INDIRECT("rec.uni[natureza]"),"repasse.cef.terreno",
INDIRECT("rec.uni[empresa]"),AL$6)</f>
        <v>0</v>
      </c>
      <c r="AM30" s="45">
        <v>0</v>
      </c>
      <c r="AN30" s="45">
        <f ca="1">SUMIFS(rec.uni[2023-04-01],
INDIRECT("rec.uni[natureza]"),"taxa.extra",
INDIRECT("rec.uni[empresa]"),AN$6)</f>
        <v>0</v>
      </c>
      <c r="AO30" s="131"/>
      <c r="AP30" s="44">
        <f>COUNTIFS(
    estq[empresa], AP$6,
    estq[Data da venda / reserva], "&gt;=" &amp; $A30,
    estq[Data da venda / reserva], "&lt;"  &amp; EOMONTH($A30,0) + 1
)</f>
        <v>0</v>
      </c>
      <c r="AQ30" s="45">
        <f ca="1">SUMIFS(rec.uni[2023-04-01],
INDIRECT("rec.uni[natureza]"),"pro.soluto",
INDIRECT("rec.uni[empresa]"),AQ$6)</f>
        <v>0</v>
      </c>
      <c r="AR30" s="45">
        <f ca="1">SUMIFS(rec.uni[2023-04-01],
INDIRECT("rec.uni[natureza]"),"repasse.cef.obra",
INDIRECT("rec.uni[empresa]"),AR$6)</f>
        <v>0</v>
      </c>
      <c r="AS30" s="45">
        <f ca="1">SUMIFS(rec.uni[2023-04-01],
INDIRECT("rec.uni[natureza]"),"repasse.cef.terreno",
INDIRECT("rec.uni[empresa]"),AS$6)</f>
        <v>0</v>
      </c>
      <c r="AT30" s="45">
        <v>0</v>
      </c>
      <c r="AU30" s="45">
        <f ca="1">SUMIFS(rec.uni[2023-04-01],
INDIRECT("rec.uni[natureza]"),"taxa.extra",
INDIRECT("rec.uni[empresa]"),AU$6)</f>
        <v>0</v>
      </c>
      <c r="AV30" s="131"/>
    </row>
    <row r="31" spans="1:48" x14ac:dyDescent="0.25">
      <c r="A31" s="43">
        <v>45047</v>
      </c>
      <c r="B31" s="44">
        <f>COUNTIFS(
    estq[empresa], B$6,
    estq[Data da venda / reserva], "&gt;=" &amp; $A31,
    estq[Data da venda / reserva], "&lt;"  &amp; EOMONTH($A31,0) + 1
)</f>
        <v>0</v>
      </c>
      <c r="C31" s="45">
        <f ca="1">SUMIFS(rec.uni[2023-05-01],
INDIRECT("rec.uni[natureza]"),"pro.soluto",
INDIRECT("rec.uni[empresa]"),C$6)</f>
        <v>0</v>
      </c>
      <c r="D31" s="45">
        <f ca="1">SUMIFS(rec.uni[2023-05-01],
INDIRECT("rec.uni[natureza]"),"repasse.cef.obra",
INDIRECT("rec.uni[empresa]"),D$6)</f>
        <v>0</v>
      </c>
      <c r="E31" s="45">
        <f ca="1">SUMIFS(rec.uni[2023-05-01],
INDIRECT("rec.uni[natureza]"),"repasse.cef.terreno",
INDIRECT("rec.uni[empresa]"),E$6)</f>
        <v>0</v>
      </c>
      <c r="F31" s="45">
        <v>0</v>
      </c>
      <c r="G31" s="45">
        <f ca="1">SUMIFS(rec.uni[2023-05-01],
INDIRECT("rec.uni[natureza]"),"taxa.extra",
INDIRECT("rec.uni[empresa]"),G$6)</f>
        <v>0</v>
      </c>
      <c r="H31" s="131"/>
      <c r="I31" s="44">
        <f>COUNTIFS(
    estq[empresa], I$6,
    estq[Data da venda / reserva], "&gt;=" &amp; $A31,
    estq[Data da venda / reserva], "&lt;"  &amp; EOMONTH($A31,0) + 1
)</f>
        <v>0</v>
      </c>
      <c r="J31" s="45">
        <f ca="1">SUMIFS(rec.uni[2023-05-01],
INDIRECT("rec.uni[natureza]"),"pro.soluto",
INDIRECT("rec.uni[empresa]"),J$6)</f>
        <v>0</v>
      </c>
      <c r="K31" s="45">
        <f ca="1">SUMIFS(rec.uni[2023-05-01],
INDIRECT("rec.uni[natureza]"),"repasse.cef.obra",
INDIRECT("rec.uni[empresa]"),K$6)</f>
        <v>0</v>
      </c>
      <c r="L31" s="45">
        <f ca="1">SUMIFS(rec.uni[2023-05-01],
INDIRECT("rec.uni[natureza]"),"repasse.cef.terreno",
INDIRECT("rec.uni[empresa]"),L$6)</f>
        <v>0</v>
      </c>
      <c r="M31" s="45">
        <v>0</v>
      </c>
      <c r="N31" s="45">
        <f ca="1">SUMIFS(rec.uni[2023-05-01],
INDIRECT("rec.uni[natureza]"),"taxa.extra",
INDIRECT("rec.uni[empresa]"),N$6)</f>
        <v>0</v>
      </c>
      <c r="O31" s="131"/>
      <c r="P31" s="44">
        <f>COUNTIFS(
    estq[empresa], P$6,
    estq[Data da venda / reserva], "&gt;=" &amp; $A31,
    estq[Data da venda / reserva], "&lt;"  &amp; EOMONTH($A31,0) + 1
)</f>
        <v>0</v>
      </c>
      <c r="Q31" s="45">
        <f ca="1">SUMIFS(rec.uni[2023-05-01],
INDIRECT("rec.uni[natureza]"),"pro.soluto",
INDIRECT("rec.uni[empresa]"),Q$6)</f>
        <v>0</v>
      </c>
      <c r="R31" s="45">
        <f ca="1">SUMIFS(rec.uni[2023-05-01],
INDIRECT("rec.uni[natureza]"),"repasse.cef.obra",
INDIRECT("rec.uni[empresa]"),R$6)</f>
        <v>0</v>
      </c>
      <c r="S31" s="45">
        <f ca="1">SUMIFS(rec.uni[2023-05-01],
INDIRECT("rec.uni[natureza]"),"repasse.cef.terreno",
INDIRECT("rec.uni[empresa]"),S$6)</f>
        <v>0</v>
      </c>
      <c r="T31" s="45">
        <v>0</v>
      </c>
      <c r="U31" s="45">
        <f ca="1">SUMIFS(rec.uni[2023-05-01],
INDIRECT("rec.uni[natureza]"),"taxa.extra",
INDIRECT("rec.uni[empresa]"),U$6)</f>
        <v>0</v>
      </c>
      <c r="V31" s="131"/>
      <c r="W31" s="44">
        <f>COUNTIFS(
    estq[empresa], W$6,
    estq[Data da venda / reserva], "&gt;=" &amp; $A31,
    estq[Data da venda / reserva], "&lt;"  &amp; EOMONTH($A31,0) + 1
)</f>
        <v>0</v>
      </c>
      <c r="X31" s="45">
        <f ca="1">SUMIFS(rec.uni[2023-05-01],
INDIRECT("rec.uni[natureza]"),"pro.soluto",
INDIRECT("rec.uni[empresa]"),X$6)</f>
        <v>0</v>
      </c>
      <c r="Y31" s="45">
        <f ca="1">SUMIFS(rec.uni[2023-05-01],
INDIRECT("rec.uni[natureza]"),"repasse.cef.obra",
INDIRECT("rec.uni[empresa]"),Y$6)</f>
        <v>0</v>
      </c>
      <c r="Z31" s="45">
        <f ca="1">SUMIFS(rec.uni[2023-05-01],
INDIRECT("rec.uni[natureza]"),"repasse.cef.terreno",
INDIRECT("rec.uni[empresa]"),Z$6)</f>
        <v>0</v>
      </c>
      <c r="AA31" s="45">
        <v>0</v>
      </c>
      <c r="AB31" s="45">
        <f ca="1">SUMIFS(rec.uni[2023-05-01],
INDIRECT("rec.uni[natureza]"),"taxa.extra",
INDIRECT("rec.uni[empresa]"),AB$6)</f>
        <v>0</v>
      </c>
      <c r="AC31" s="131"/>
      <c r="AD31" s="44">
        <f>COUNTIFS(
    estq[empresa], AD$6,
    estq[Data da venda / reserva], "&gt;=" &amp; $A31,
    estq[Data da venda / reserva], "&lt;"  &amp; EOMONTH($A31,0) + 1
)</f>
        <v>0</v>
      </c>
      <c r="AE31" s="45">
        <f ca="1">SUMIFS(rec.uni[2023-05-01],
INDIRECT("rec.uni[natureza]"),"pro.soluto",
INDIRECT("rec.uni[empresa]"),AE$6)</f>
        <v>0</v>
      </c>
      <c r="AF31" s="38">
        <f ca="1">SUMIFS(rec.uni[2023-05-01],
INDIRECT("rec.uni[natureza]"),"parcela.fin.total.ik",
INDIRECT("rec.uni[empresa]"),AF$6)</f>
        <v>0</v>
      </c>
      <c r="AG31" s="45">
        <f ca="1">SUMIFS(rec.uni[2023-05-01],
INDIRECT("rec.uni[natureza]"),"taxa.extra",
INDIRECT("rec.uni[empresa]"),AG$6)</f>
        <v>0</v>
      </c>
      <c r="AH31" s="131"/>
      <c r="AI31" s="44">
        <f>COUNTIFS(
    estq[empresa], AI$6,
    estq[Data da venda / reserva], "&gt;=" &amp; $A31,
    estq[Data da venda / reserva], "&lt;"  &amp; EOMONTH($A31,0) + 1
)</f>
        <v>0</v>
      </c>
      <c r="AJ31" s="45">
        <f ca="1">SUMIFS(rec.uni[2023-05-01],
INDIRECT("rec.uni[natureza]"),"pro.soluto",
INDIRECT("rec.uni[empresa]"),AJ$6)</f>
        <v>0</v>
      </c>
      <c r="AK31" s="45">
        <f ca="1">SUMIFS(rec.uni[2023-05-01],
INDIRECT("rec.uni[natureza]"),"repasse.cef.obra",
INDIRECT("rec.uni[empresa]"),AK$6)</f>
        <v>0</v>
      </c>
      <c r="AL31" s="45">
        <f ca="1">SUMIFS(rec.uni[2023-05-01],
INDIRECT("rec.uni[natureza]"),"repasse.cef.terreno",
INDIRECT("rec.uni[empresa]"),AL$6)</f>
        <v>0</v>
      </c>
      <c r="AM31" s="45">
        <v>0</v>
      </c>
      <c r="AN31" s="45">
        <f ca="1">SUMIFS(rec.uni[2023-05-01],
INDIRECT("rec.uni[natureza]"),"taxa.extra",
INDIRECT("rec.uni[empresa]"),AN$6)</f>
        <v>0</v>
      </c>
      <c r="AO31" s="131"/>
      <c r="AP31" s="44">
        <f>COUNTIFS(
    estq[empresa], AP$6,
    estq[Data da venda / reserva], "&gt;=" &amp; $A31,
    estq[Data da venda / reserva], "&lt;"  &amp; EOMONTH($A31,0) + 1
)</f>
        <v>0</v>
      </c>
      <c r="AQ31" s="45">
        <f ca="1">SUMIFS(rec.uni[2023-05-01],
INDIRECT("rec.uni[natureza]"),"pro.soluto",
INDIRECT("rec.uni[empresa]"),AQ$6)</f>
        <v>0</v>
      </c>
      <c r="AR31" s="45">
        <f ca="1">SUMIFS(rec.uni[2023-05-01],
INDIRECT("rec.uni[natureza]"),"repasse.cef.obra",
INDIRECT("rec.uni[empresa]"),AR$6)</f>
        <v>0</v>
      </c>
      <c r="AS31" s="45">
        <f ca="1">SUMIFS(rec.uni[2023-05-01],
INDIRECT("rec.uni[natureza]"),"repasse.cef.terreno",
INDIRECT("rec.uni[empresa]"),AS$6)</f>
        <v>0</v>
      </c>
      <c r="AT31" s="45">
        <v>0</v>
      </c>
      <c r="AU31" s="45">
        <f ca="1">SUMIFS(rec.uni[2023-05-01],
INDIRECT("rec.uni[natureza]"),"taxa.extra",
INDIRECT("rec.uni[empresa]"),AU$6)</f>
        <v>0</v>
      </c>
      <c r="AV31" s="131"/>
    </row>
    <row r="32" spans="1:48" x14ac:dyDescent="0.25">
      <c r="A32" s="43">
        <v>45078</v>
      </c>
      <c r="B32" s="44">
        <f>COUNTIFS(
    estq[empresa], B$6,
    estq[Data da venda / reserva], "&gt;=" &amp; $A32,
    estq[Data da venda / reserva], "&lt;"  &amp; EOMONTH($A32,0) + 1
)</f>
        <v>0</v>
      </c>
      <c r="C32" s="45">
        <f ca="1">SUMIFS(rec.uni[2023-06-01],
INDIRECT("rec.uni[natureza]"),"pro.soluto",
INDIRECT("rec.uni[empresa]"),C$6)</f>
        <v>0</v>
      </c>
      <c r="D32" s="45">
        <f ca="1">SUMIFS(rec.uni[2023-06-01],
INDIRECT("rec.uni[natureza]"),"repasse.cef.obra",
INDIRECT("rec.uni[empresa]"),D$6)</f>
        <v>0</v>
      </c>
      <c r="E32" s="45">
        <f ca="1">SUMIFS(rec.uni[2023-06-01],
INDIRECT("rec.uni[natureza]"),"repasse.cef.terreno",
INDIRECT("rec.uni[empresa]"),E$6)</f>
        <v>0</v>
      </c>
      <c r="F32" s="45">
        <v>0</v>
      </c>
      <c r="G32" s="45">
        <f ca="1">SUMIFS(rec.uni[2023-06-01],
INDIRECT("rec.uni[natureza]"),"taxa.extra",
INDIRECT("rec.uni[empresa]"),G$6)</f>
        <v>0</v>
      </c>
      <c r="H32" s="131"/>
      <c r="I32" s="44">
        <f>COUNTIFS(
    estq[empresa], I$6,
    estq[Data da venda / reserva], "&gt;=" &amp; $A32,
    estq[Data da venda / reserva], "&lt;"  &amp; EOMONTH($A32,0) + 1
)</f>
        <v>0</v>
      </c>
      <c r="J32" s="45">
        <f ca="1">SUMIFS(rec.uni[2023-06-01],
INDIRECT("rec.uni[natureza]"),"pro.soluto",
INDIRECT("rec.uni[empresa]"),J$6)</f>
        <v>0</v>
      </c>
      <c r="K32" s="45">
        <f ca="1">SUMIFS(rec.uni[2023-06-01],
INDIRECT("rec.uni[natureza]"),"repasse.cef.obra",
INDIRECT("rec.uni[empresa]"),K$6)</f>
        <v>0</v>
      </c>
      <c r="L32" s="45">
        <f ca="1">SUMIFS(rec.uni[2023-06-01],
INDIRECT("rec.uni[natureza]"),"repasse.cef.terreno",
INDIRECT("rec.uni[empresa]"),L$6)</f>
        <v>0</v>
      </c>
      <c r="M32" s="45">
        <v>0</v>
      </c>
      <c r="N32" s="45">
        <f ca="1">SUMIFS(rec.uni[2023-06-01],
INDIRECT("rec.uni[natureza]"),"taxa.extra",
INDIRECT("rec.uni[empresa]"),N$6)</f>
        <v>0</v>
      </c>
      <c r="O32" s="131"/>
      <c r="P32" s="44">
        <f>COUNTIFS(
    estq[empresa], P$6,
    estq[Data da venda / reserva], "&gt;=" &amp; $A32,
    estq[Data da venda / reserva], "&lt;"  &amp; EOMONTH($A32,0) + 1
)</f>
        <v>0</v>
      </c>
      <c r="Q32" s="45">
        <f ca="1">SUMIFS(rec.uni[2023-06-01],
INDIRECT("rec.uni[natureza]"),"pro.soluto",
INDIRECT("rec.uni[empresa]"),Q$6)</f>
        <v>0</v>
      </c>
      <c r="R32" s="45">
        <f ca="1">SUMIFS(rec.uni[2023-06-01],
INDIRECT("rec.uni[natureza]"),"repasse.cef.obra",
INDIRECT("rec.uni[empresa]"),R$6)</f>
        <v>0</v>
      </c>
      <c r="S32" s="45">
        <f ca="1">SUMIFS(rec.uni[2023-06-01],
INDIRECT("rec.uni[natureza]"),"repasse.cef.terreno",
INDIRECT("rec.uni[empresa]"),S$6)</f>
        <v>0</v>
      </c>
      <c r="T32" s="45">
        <v>0</v>
      </c>
      <c r="U32" s="45">
        <f ca="1">SUMIFS(rec.uni[2023-06-01],
INDIRECT("rec.uni[natureza]"),"taxa.extra",
INDIRECT("rec.uni[empresa]"),U$6)</f>
        <v>0</v>
      </c>
      <c r="V32" s="131"/>
      <c r="W32" s="44">
        <f>COUNTIFS(
    estq[empresa], W$6,
    estq[Data da venda / reserva], "&gt;=" &amp; $A32,
    estq[Data da venda / reserva], "&lt;"  &amp; EOMONTH($A32,0) + 1
)</f>
        <v>0</v>
      </c>
      <c r="X32" s="45">
        <f ca="1">SUMIFS(rec.uni[2023-06-01],
INDIRECT("rec.uni[natureza]"),"pro.soluto",
INDIRECT("rec.uni[empresa]"),X$6)</f>
        <v>0</v>
      </c>
      <c r="Y32" s="45">
        <f ca="1">SUMIFS(rec.uni[2023-06-01],
INDIRECT("rec.uni[natureza]"),"repasse.cef.obra",
INDIRECT("rec.uni[empresa]"),Y$6)</f>
        <v>0</v>
      </c>
      <c r="Z32" s="45">
        <f ca="1">SUMIFS(rec.uni[2023-06-01],
INDIRECT("rec.uni[natureza]"),"repasse.cef.terreno",
INDIRECT("rec.uni[empresa]"),Z$6)</f>
        <v>0</v>
      </c>
      <c r="AA32" s="45">
        <v>0</v>
      </c>
      <c r="AB32" s="45">
        <f ca="1">SUMIFS(rec.uni[2023-06-01],
INDIRECT("rec.uni[natureza]"),"taxa.extra",
INDIRECT("rec.uni[empresa]"),AB$6)</f>
        <v>0</v>
      </c>
      <c r="AC32" s="131"/>
      <c r="AD32" s="44">
        <f>COUNTIFS(
    estq[empresa], AD$6,
    estq[Data da venda / reserva], "&gt;=" &amp; $A32,
    estq[Data da venda / reserva], "&lt;"  &amp; EOMONTH($A32,0) + 1
)</f>
        <v>0</v>
      </c>
      <c r="AE32" s="45">
        <f ca="1">SUMIFS(rec.uni[2023-06-01],
INDIRECT("rec.uni[natureza]"),"pro.soluto",
INDIRECT("rec.uni[empresa]"),AE$6)</f>
        <v>0</v>
      </c>
      <c r="AF32" s="38">
        <f ca="1">SUMIFS(rec.uni[2023-06-01],
INDIRECT("rec.uni[natureza]"),"parcela.fin.total.ik",
INDIRECT("rec.uni[empresa]"),AF$6)</f>
        <v>0</v>
      </c>
      <c r="AG32" s="45">
        <f ca="1">SUMIFS(rec.uni[2023-06-01],
INDIRECT("rec.uni[natureza]"),"taxa.extra",
INDIRECT("rec.uni[empresa]"),AG$6)</f>
        <v>0</v>
      </c>
      <c r="AH32" s="131"/>
      <c r="AI32" s="44">
        <f>COUNTIFS(
    estq[empresa], AI$6,
    estq[Data da venda / reserva], "&gt;=" &amp; $A32,
    estq[Data da venda / reserva], "&lt;"  &amp; EOMONTH($A32,0) + 1
)</f>
        <v>0</v>
      </c>
      <c r="AJ32" s="45">
        <f ca="1">SUMIFS(rec.uni[2023-06-01],
INDIRECT("rec.uni[natureza]"),"pro.soluto",
INDIRECT("rec.uni[empresa]"),AJ$6)</f>
        <v>0</v>
      </c>
      <c r="AK32" s="45">
        <f ca="1">SUMIFS(rec.uni[2023-06-01],
INDIRECT("rec.uni[natureza]"),"repasse.cef.obra",
INDIRECT("rec.uni[empresa]"),AK$6)</f>
        <v>0</v>
      </c>
      <c r="AL32" s="45">
        <f ca="1">SUMIFS(rec.uni[2023-06-01],
INDIRECT("rec.uni[natureza]"),"repasse.cef.terreno",
INDIRECT("rec.uni[empresa]"),AL$6)</f>
        <v>0</v>
      </c>
      <c r="AM32" s="45">
        <v>0</v>
      </c>
      <c r="AN32" s="45">
        <f ca="1">SUMIFS(rec.uni[2023-06-01],
INDIRECT("rec.uni[natureza]"),"taxa.extra",
INDIRECT("rec.uni[empresa]"),AN$6)</f>
        <v>0</v>
      </c>
      <c r="AO32" s="131"/>
      <c r="AP32" s="44">
        <f>COUNTIFS(
    estq[empresa], AP$6,
    estq[Data da venda / reserva], "&gt;=" &amp; $A32,
    estq[Data da venda / reserva], "&lt;"  &amp; EOMONTH($A32,0) + 1
)</f>
        <v>0</v>
      </c>
      <c r="AQ32" s="45">
        <f ca="1">SUMIFS(rec.uni[2023-06-01],
INDIRECT("rec.uni[natureza]"),"pro.soluto",
INDIRECT("rec.uni[empresa]"),AQ$6)</f>
        <v>0</v>
      </c>
      <c r="AR32" s="45">
        <f ca="1">SUMIFS(rec.uni[2023-06-01],
INDIRECT("rec.uni[natureza]"),"repasse.cef.obra",
INDIRECT("rec.uni[empresa]"),AR$6)</f>
        <v>0</v>
      </c>
      <c r="AS32" s="45">
        <f ca="1">SUMIFS(rec.uni[2023-06-01],
INDIRECT("rec.uni[natureza]"),"repasse.cef.terreno",
INDIRECT("rec.uni[empresa]"),AS$6)</f>
        <v>0</v>
      </c>
      <c r="AT32" s="45">
        <v>0</v>
      </c>
      <c r="AU32" s="45">
        <f ca="1">SUMIFS(rec.uni[2023-06-01],
INDIRECT("rec.uni[natureza]"),"taxa.extra",
INDIRECT("rec.uni[empresa]"),AU$6)</f>
        <v>0</v>
      </c>
      <c r="AV32" s="131"/>
    </row>
    <row r="33" spans="1:48" x14ac:dyDescent="0.25">
      <c r="A33" s="43">
        <v>45108</v>
      </c>
      <c r="B33" s="44">
        <f>COUNTIFS(
    estq[empresa], B$6,
    estq[Data da venda / reserva], "&gt;=" &amp; $A33,
    estq[Data da venda / reserva], "&lt;"  &amp; EOMONTH($A33,0) + 1
)</f>
        <v>0</v>
      </c>
      <c r="C33" s="45">
        <f ca="1">SUMIFS(rec.uni[2023-07-01],
INDIRECT("rec.uni[natureza]"),"pro.soluto",
INDIRECT("rec.uni[empresa]"),C$6)</f>
        <v>0</v>
      </c>
      <c r="D33" s="45">
        <f ca="1">SUMIFS(rec.uni[2023-07-01],
INDIRECT("rec.uni[natureza]"),"repasse.cef.obra",
INDIRECT("rec.uni[empresa]"),D$6)</f>
        <v>0</v>
      </c>
      <c r="E33" s="45">
        <f ca="1">SUMIFS(rec.uni[2023-07-01],
INDIRECT("rec.uni[natureza]"),"repasse.cef.terreno",
INDIRECT("rec.uni[empresa]"),E$6)</f>
        <v>0</v>
      </c>
      <c r="F33" s="45">
        <v>0</v>
      </c>
      <c r="G33" s="45">
        <f ca="1">SUMIFS(rec.uni[2023-07-01],
INDIRECT("rec.uni[natureza]"),"taxa.extra",
INDIRECT("rec.uni[empresa]"),G$6)</f>
        <v>0</v>
      </c>
      <c r="H33" s="131"/>
      <c r="I33" s="44">
        <f>COUNTIFS(
    estq[empresa], I$6,
    estq[Data da venda / reserva], "&gt;=" &amp; $A33,
    estq[Data da venda / reserva], "&lt;"  &amp; EOMONTH($A33,0) + 1
)</f>
        <v>0</v>
      </c>
      <c r="J33" s="45">
        <f ca="1">SUMIFS(rec.uni[2023-07-01],
INDIRECT("rec.uni[natureza]"),"pro.soluto",
INDIRECT("rec.uni[empresa]"),J$6)</f>
        <v>0</v>
      </c>
      <c r="K33" s="45">
        <f ca="1">SUMIFS(rec.uni[2023-07-01],
INDIRECT("rec.uni[natureza]"),"repasse.cef.obra",
INDIRECT("rec.uni[empresa]"),K$6)</f>
        <v>0</v>
      </c>
      <c r="L33" s="45">
        <f ca="1">SUMIFS(rec.uni[2023-07-01],
INDIRECT("rec.uni[natureza]"),"repasse.cef.terreno",
INDIRECT("rec.uni[empresa]"),L$6)</f>
        <v>0</v>
      </c>
      <c r="M33" s="45">
        <v>0</v>
      </c>
      <c r="N33" s="45">
        <f ca="1">SUMIFS(rec.uni[2023-07-01],
INDIRECT("rec.uni[natureza]"),"taxa.extra",
INDIRECT("rec.uni[empresa]"),N$6)</f>
        <v>0</v>
      </c>
      <c r="O33" s="131"/>
      <c r="P33" s="44">
        <f>COUNTIFS(
    estq[empresa], P$6,
    estq[Data da venda / reserva], "&gt;=" &amp; $A33,
    estq[Data da venda / reserva], "&lt;"  &amp; EOMONTH($A33,0) + 1
)</f>
        <v>0</v>
      </c>
      <c r="Q33" s="45">
        <f ca="1">SUMIFS(rec.uni[2023-07-01],
INDIRECT("rec.uni[natureza]"),"pro.soluto",
INDIRECT("rec.uni[empresa]"),Q$6)</f>
        <v>0</v>
      </c>
      <c r="R33" s="45">
        <f ca="1">SUMIFS(rec.uni[2023-07-01],
INDIRECT("rec.uni[natureza]"),"repasse.cef.obra",
INDIRECT("rec.uni[empresa]"),R$6)</f>
        <v>0</v>
      </c>
      <c r="S33" s="45">
        <f ca="1">SUMIFS(rec.uni[2023-07-01],
INDIRECT("rec.uni[natureza]"),"repasse.cef.terreno",
INDIRECT("rec.uni[empresa]"),S$6)</f>
        <v>0</v>
      </c>
      <c r="T33" s="45">
        <v>0</v>
      </c>
      <c r="U33" s="45">
        <f ca="1">SUMIFS(rec.uni[2023-07-01],
INDIRECT("rec.uni[natureza]"),"taxa.extra",
INDIRECT("rec.uni[empresa]"),U$6)</f>
        <v>0</v>
      </c>
      <c r="V33" s="131"/>
      <c r="W33" s="44">
        <f>COUNTIFS(
    estq[empresa], W$6,
    estq[Data da venda / reserva], "&gt;=" &amp; $A33,
    estq[Data da venda / reserva], "&lt;"  &amp; EOMONTH($A33,0) + 1
)</f>
        <v>0</v>
      </c>
      <c r="X33" s="45">
        <f ca="1">SUMIFS(rec.uni[2023-07-01],
INDIRECT("rec.uni[natureza]"),"pro.soluto",
INDIRECT("rec.uni[empresa]"),X$6)</f>
        <v>0</v>
      </c>
      <c r="Y33" s="45">
        <f ca="1">SUMIFS(rec.uni[2023-07-01],
INDIRECT("rec.uni[natureza]"),"repasse.cef.obra",
INDIRECT("rec.uni[empresa]"),Y$6)</f>
        <v>0</v>
      </c>
      <c r="Z33" s="45">
        <f ca="1">SUMIFS(rec.uni[2023-07-01],
INDIRECT("rec.uni[natureza]"),"repasse.cef.terreno",
INDIRECT("rec.uni[empresa]"),Z$6)</f>
        <v>0</v>
      </c>
      <c r="AA33" s="45">
        <v>0</v>
      </c>
      <c r="AB33" s="45">
        <f ca="1">SUMIFS(rec.uni[2023-07-01],
INDIRECT("rec.uni[natureza]"),"taxa.extra",
INDIRECT("rec.uni[empresa]"),AB$6)</f>
        <v>0</v>
      </c>
      <c r="AC33" s="131"/>
      <c r="AD33" s="44">
        <f>COUNTIFS(
    estq[empresa], AD$6,
    estq[Data da venda / reserva], "&gt;=" &amp; $A33,
    estq[Data da venda / reserva], "&lt;"  &amp; EOMONTH($A33,0) + 1
)</f>
        <v>0</v>
      </c>
      <c r="AE33" s="45">
        <f ca="1">SUMIFS(rec.uni[2023-07-01],
INDIRECT("rec.uni[natureza]"),"pro.soluto",
INDIRECT("rec.uni[empresa]"),AE$6)</f>
        <v>0</v>
      </c>
      <c r="AF33" s="38">
        <f ca="1">SUMIFS(rec.uni[2023-07-01],
INDIRECT("rec.uni[natureza]"),"parcela.fin.total.ik",
INDIRECT("rec.uni[empresa]"),AF$6)</f>
        <v>0</v>
      </c>
      <c r="AG33" s="45">
        <f ca="1">SUMIFS(rec.uni[2023-07-01],
INDIRECT("rec.uni[natureza]"),"taxa.extra",
INDIRECT("rec.uni[empresa]"),AG$6)</f>
        <v>0</v>
      </c>
      <c r="AH33" s="131"/>
      <c r="AI33" s="44">
        <f>COUNTIFS(
    estq[empresa], AI$6,
    estq[Data da venda / reserva], "&gt;=" &amp; $A33,
    estq[Data da venda / reserva], "&lt;"  &amp; EOMONTH($A33,0) + 1
)</f>
        <v>0</v>
      </c>
      <c r="AJ33" s="45">
        <f ca="1">SUMIFS(rec.uni[2023-07-01],
INDIRECT("rec.uni[natureza]"),"pro.soluto",
INDIRECT("rec.uni[empresa]"),AJ$6)</f>
        <v>0</v>
      </c>
      <c r="AK33" s="45">
        <f ca="1">SUMIFS(rec.uni[2023-07-01],
INDIRECT("rec.uni[natureza]"),"repasse.cef.obra",
INDIRECT("rec.uni[empresa]"),AK$6)</f>
        <v>0</v>
      </c>
      <c r="AL33" s="45">
        <f ca="1">SUMIFS(rec.uni[2023-07-01],
INDIRECT("rec.uni[natureza]"),"repasse.cef.terreno",
INDIRECT("rec.uni[empresa]"),AL$6)</f>
        <v>0</v>
      </c>
      <c r="AM33" s="45">
        <v>0</v>
      </c>
      <c r="AN33" s="45">
        <f ca="1">SUMIFS(rec.uni[2023-07-01],
INDIRECT("rec.uni[natureza]"),"taxa.extra",
INDIRECT("rec.uni[empresa]"),AN$6)</f>
        <v>0</v>
      </c>
      <c r="AO33" s="131"/>
      <c r="AP33" s="44">
        <f>COUNTIFS(
    estq[empresa], AP$6,
    estq[Data da venda / reserva], "&gt;=" &amp; $A33,
    estq[Data da venda / reserva], "&lt;"  &amp; EOMONTH($A33,0) + 1
)</f>
        <v>0</v>
      </c>
      <c r="AQ33" s="45">
        <f ca="1">SUMIFS(rec.uni[2023-07-01],
INDIRECT("rec.uni[natureza]"),"pro.soluto",
INDIRECT("rec.uni[empresa]"),AQ$6)</f>
        <v>0</v>
      </c>
      <c r="AR33" s="45">
        <f ca="1">SUMIFS(rec.uni[2023-07-01],
INDIRECT("rec.uni[natureza]"),"repasse.cef.obra",
INDIRECT("rec.uni[empresa]"),AR$6)</f>
        <v>0</v>
      </c>
      <c r="AS33" s="45">
        <f ca="1">SUMIFS(rec.uni[2023-07-01],
INDIRECT("rec.uni[natureza]"),"repasse.cef.terreno",
INDIRECT("rec.uni[empresa]"),AS$6)</f>
        <v>0</v>
      </c>
      <c r="AT33" s="45">
        <v>0</v>
      </c>
      <c r="AU33" s="45">
        <f ca="1">SUMIFS(rec.uni[2023-07-01],
INDIRECT("rec.uni[natureza]"),"taxa.extra",
INDIRECT("rec.uni[empresa]"),AU$6)</f>
        <v>0</v>
      </c>
      <c r="AV33" s="131"/>
    </row>
    <row r="34" spans="1:48" x14ac:dyDescent="0.25">
      <c r="A34" s="43">
        <v>45139</v>
      </c>
      <c r="B34" s="44">
        <f>COUNTIFS(
    estq[empresa], B$6,
    estq[Data da venda / reserva], "&gt;=" &amp; $A34,
    estq[Data da venda / reserva], "&lt;"  &amp; EOMONTH($A34,0) + 1
)</f>
        <v>0</v>
      </c>
      <c r="C34" s="45">
        <f ca="1">SUMIFS(rec.uni[2023-08-01],
INDIRECT("rec.uni[natureza]"),"pro.soluto",
INDIRECT("rec.uni[empresa]"),C$6)</f>
        <v>0</v>
      </c>
      <c r="D34" s="45">
        <f ca="1">SUMIFS(rec.uni[2023-08-01],
INDIRECT("rec.uni[natureza]"),"repasse.cef.obra",
INDIRECT("rec.uni[empresa]"),D$6)</f>
        <v>0</v>
      </c>
      <c r="E34" s="45">
        <f ca="1">SUMIFS(rec.uni[2023-08-01],
INDIRECT("rec.uni[natureza]"),"repasse.cef.terreno",
INDIRECT("rec.uni[empresa]"),E$6)</f>
        <v>0</v>
      </c>
      <c r="F34" s="45">
        <v>0</v>
      </c>
      <c r="G34" s="45">
        <f ca="1">SUMIFS(rec.uni[2023-08-01],
INDIRECT("rec.uni[natureza]"),"taxa.extra",
INDIRECT("rec.uni[empresa]"),G$6)</f>
        <v>0</v>
      </c>
      <c r="H34" s="131"/>
      <c r="I34" s="44">
        <f>COUNTIFS(
    estq[empresa], I$6,
    estq[Data da venda / reserva], "&gt;=" &amp; $A34,
    estq[Data da venda / reserva], "&lt;"  &amp; EOMONTH($A34,0) + 1
)</f>
        <v>0</v>
      </c>
      <c r="J34" s="45">
        <f ca="1">SUMIFS(rec.uni[2023-08-01],
INDIRECT("rec.uni[natureza]"),"pro.soluto",
INDIRECT("rec.uni[empresa]"),J$6)</f>
        <v>0</v>
      </c>
      <c r="K34" s="45">
        <f ca="1">SUMIFS(rec.uni[2023-08-01],
INDIRECT("rec.uni[natureza]"),"repasse.cef.obra",
INDIRECT("rec.uni[empresa]"),K$6)</f>
        <v>0</v>
      </c>
      <c r="L34" s="45">
        <f ca="1">SUMIFS(rec.uni[2023-08-01],
INDIRECT("rec.uni[natureza]"),"repasse.cef.terreno",
INDIRECT("rec.uni[empresa]"),L$6)</f>
        <v>0</v>
      </c>
      <c r="M34" s="45">
        <v>327575.88</v>
      </c>
      <c r="N34" s="45">
        <f ca="1">SUMIFS(rec.uni[2023-08-01],
INDIRECT("rec.uni[natureza]"),"taxa.extra",
INDIRECT("rec.uni[empresa]"),N$6)</f>
        <v>0</v>
      </c>
      <c r="O34" s="131"/>
      <c r="P34" s="44">
        <f>COUNTIFS(
    estq[empresa], P$6,
    estq[Data da venda / reserva], "&gt;=" &amp; $A34,
    estq[Data da venda / reserva], "&lt;"  &amp; EOMONTH($A34,0) + 1
)</f>
        <v>0</v>
      </c>
      <c r="Q34" s="45">
        <f ca="1">SUMIFS(rec.uni[2023-08-01],
INDIRECT("rec.uni[natureza]"),"pro.soluto",
INDIRECT("rec.uni[empresa]"),Q$6)</f>
        <v>0</v>
      </c>
      <c r="R34" s="45">
        <f ca="1">SUMIFS(rec.uni[2023-08-01],
INDIRECT("rec.uni[natureza]"),"repasse.cef.obra",
INDIRECT("rec.uni[empresa]"),R$6)</f>
        <v>0</v>
      </c>
      <c r="S34" s="45">
        <f ca="1">SUMIFS(rec.uni[2023-08-01],
INDIRECT("rec.uni[natureza]"),"repasse.cef.terreno",
INDIRECT("rec.uni[empresa]"),S$6)</f>
        <v>0</v>
      </c>
      <c r="T34" s="45">
        <v>0</v>
      </c>
      <c r="U34" s="45">
        <f ca="1">SUMIFS(rec.uni[2023-08-01],
INDIRECT("rec.uni[natureza]"),"taxa.extra",
INDIRECT("rec.uni[empresa]"),U$6)</f>
        <v>0</v>
      </c>
      <c r="V34" s="131"/>
      <c r="W34" s="44">
        <f>COUNTIFS(
    estq[empresa], W$6,
    estq[Data da venda / reserva], "&gt;=" &amp; $A34,
    estq[Data da venda / reserva], "&lt;"  &amp; EOMONTH($A34,0) + 1
)</f>
        <v>0</v>
      </c>
      <c r="X34" s="45">
        <f ca="1">SUMIFS(rec.uni[2023-08-01],
INDIRECT("rec.uni[natureza]"),"pro.soluto",
INDIRECT("rec.uni[empresa]"),X$6)</f>
        <v>0</v>
      </c>
      <c r="Y34" s="45">
        <f ca="1">SUMIFS(rec.uni[2023-08-01],
INDIRECT("rec.uni[natureza]"),"repasse.cef.obra",
INDIRECT("rec.uni[empresa]"),Y$6)</f>
        <v>0</v>
      </c>
      <c r="Z34" s="45">
        <f ca="1">SUMIFS(rec.uni[2023-08-01],
INDIRECT("rec.uni[natureza]"),"repasse.cef.terreno",
INDIRECT("rec.uni[empresa]"),Z$6)</f>
        <v>0</v>
      </c>
      <c r="AA34" s="45">
        <v>0</v>
      </c>
      <c r="AB34" s="45">
        <f ca="1">SUMIFS(rec.uni[2023-08-01],
INDIRECT("rec.uni[natureza]"),"taxa.extra",
INDIRECT("rec.uni[empresa]"),AB$6)</f>
        <v>0</v>
      </c>
      <c r="AC34" s="131"/>
      <c r="AD34" s="44">
        <f>COUNTIFS(
    estq[empresa], AD$6,
    estq[Data da venda / reserva], "&gt;=" &amp; $A34,
    estq[Data da venda / reserva], "&lt;"  &amp; EOMONTH($A34,0) + 1
)</f>
        <v>0</v>
      </c>
      <c r="AE34" s="45">
        <f ca="1">SUMIFS(rec.uni[2023-08-01],
INDIRECT("rec.uni[natureza]"),"pro.soluto",
INDIRECT("rec.uni[empresa]"),AE$6)</f>
        <v>0</v>
      </c>
      <c r="AF34" s="38">
        <f ca="1">SUMIFS(rec.uni[2023-08-01],
INDIRECT("rec.uni[natureza]"),"parcela.fin.total.ik",
INDIRECT("rec.uni[empresa]"),AF$6)</f>
        <v>0</v>
      </c>
      <c r="AG34" s="45">
        <f ca="1">SUMIFS(rec.uni[2023-08-01],
INDIRECT("rec.uni[natureza]"),"taxa.extra",
INDIRECT("rec.uni[empresa]"),AG$6)</f>
        <v>0</v>
      </c>
      <c r="AH34" s="131"/>
      <c r="AI34" s="44">
        <f>COUNTIFS(
    estq[empresa], AI$6,
    estq[Data da venda / reserva], "&gt;=" &amp; $A34,
    estq[Data da venda / reserva], "&lt;"  &amp; EOMONTH($A34,0) + 1
)</f>
        <v>0</v>
      </c>
      <c r="AJ34" s="45">
        <f ca="1">SUMIFS(rec.uni[2023-08-01],
INDIRECT("rec.uni[natureza]"),"pro.soluto",
INDIRECT("rec.uni[empresa]"),AJ$6)</f>
        <v>0</v>
      </c>
      <c r="AK34" s="45">
        <f ca="1">SUMIFS(rec.uni[2023-08-01],
INDIRECT("rec.uni[natureza]"),"repasse.cef.obra",
INDIRECT("rec.uni[empresa]"),AK$6)</f>
        <v>0</v>
      </c>
      <c r="AL34" s="45">
        <f ca="1">SUMIFS(rec.uni[2023-08-01],
INDIRECT("rec.uni[natureza]"),"repasse.cef.terreno",
INDIRECT("rec.uni[empresa]"),AL$6)</f>
        <v>0</v>
      </c>
      <c r="AM34" s="45">
        <v>0</v>
      </c>
      <c r="AN34" s="45">
        <f ca="1">SUMIFS(rec.uni[2023-08-01],
INDIRECT("rec.uni[natureza]"),"taxa.extra",
INDIRECT("rec.uni[empresa]"),AN$6)</f>
        <v>0</v>
      </c>
      <c r="AO34" s="131"/>
      <c r="AP34" s="44">
        <f>COUNTIFS(
    estq[empresa], AP$6,
    estq[Data da venda / reserva], "&gt;=" &amp; $A34,
    estq[Data da venda / reserva], "&lt;"  &amp; EOMONTH($A34,0) + 1
)</f>
        <v>0</v>
      </c>
      <c r="AQ34" s="45">
        <f ca="1">SUMIFS(rec.uni[2023-08-01],
INDIRECT("rec.uni[natureza]"),"pro.soluto",
INDIRECT("rec.uni[empresa]"),AQ$6)</f>
        <v>0</v>
      </c>
      <c r="AR34" s="45">
        <f ca="1">SUMIFS(rec.uni[2023-08-01],
INDIRECT("rec.uni[natureza]"),"repasse.cef.obra",
INDIRECT("rec.uni[empresa]"),AR$6)</f>
        <v>0</v>
      </c>
      <c r="AS34" s="45">
        <f ca="1">SUMIFS(rec.uni[2023-08-01],
INDIRECT("rec.uni[natureza]"),"repasse.cef.terreno",
INDIRECT("rec.uni[empresa]"),AS$6)</f>
        <v>0</v>
      </c>
      <c r="AT34" s="45">
        <v>0</v>
      </c>
      <c r="AU34" s="45">
        <f ca="1">SUMIFS(rec.uni[2023-08-01],
INDIRECT("rec.uni[natureza]"),"taxa.extra",
INDIRECT("rec.uni[empresa]"),AU$6)</f>
        <v>0</v>
      </c>
      <c r="AV34" s="131"/>
    </row>
    <row r="35" spans="1:48" x14ac:dyDescent="0.25">
      <c r="A35" s="43">
        <v>45170</v>
      </c>
      <c r="B35" s="44">
        <f>COUNTIFS(
    estq[empresa], B$6,
    estq[Data da venda / reserva], "&gt;=" &amp; $A35,
    estq[Data da venda / reserva], "&lt;"  &amp; EOMONTH($A35,0) + 1
)</f>
        <v>0</v>
      </c>
      <c r="C35" s="45">
        <f ca="1">SUMIFS(rec.uni[2023-09-01],
INDIRECT("rec.uni[natureza]"),"pro.soluto",
INDIRECT("rec.uni[empresa]"),C$6)</f>
        <v>0</v>
      </c>
      <c r="D35" s="45">
        <f ca="1">SUMIFS(rec.uni[2023-09-01],
INDIRECT("rec.uni[natureza]"),"repasse.cef.obra",
INDIRECT("rec.uni[empresa]"),D$6)</f>
        <v>0</v>
      </c>
      <c r="E35" s="45">
        <f ca="1">SUMIFS(rec.uni[2023-09-01],
INDIRECT("rec.uni[natureza]"),"repasse.cef.terreno",
INDIRECT("rec.uni[empresa]"),E$6)</f>
        <v>0</v>
      </c>
      <c r="F35" s="45">
        <v>0</v>
      </c>
      <c r="G35" s="45">
        <f ca="1">SUMIFS(rec.uni[2023-09-01],
INDIRECT("rec.uni[natureza]"),"taxa.extra",
INDIRECT("rec.uni[empresa]"),G$6)</f>
        <v>0</v>
      </c>
      <c r="H35" s="131"/>
      <c r="I35" s="44">
        <f>COUNTIFS(
    estq[empresa], I$6,
    estq[Data da venda / reserva], "&gt;=" &amp; $A35,
    estq[Data da venda / reserva], "&lt;"  &amp; EOMONTH($A35,0) + 1
)</f>
        <v>0</v>
      </c>
      <c r="J35" s="45">
        <f ca="1">SUMIFS(rec.uni[2023-09-01],
INDIRECT("rec.uni[natureza]"),"pro.soluto",
INDIRECT("rec.uni[empresa]"),J$6)</f>
        <v>0</v>
      </c>
      <c r="K35" s="45">
        <f ca="1">SUMIFS(rec.uni[2023-09-01],
INDIRECT("rec.uni[natureza]"),"repasse.cef.obra",
INDIRECT("rec.uni[empresa]"),K$6)</f>
        <v>0</v>
      </c>
      <c r="L35" s="45">
        <f ca="1">SUMIFS(rec.uni[2023-09-01],
INDIRECT("rec.uni[natureza]"),"repasse.cef.terreno",
INDIRECT("rec.uni[empresa]"),L$6)</f>
        <v>0</v>
      </c>
      <c r="M35" s="45">
        <v>445799.01</v>
      </c>
      <c r="N35" s="45">
        <f ca="1">SUMIFS(rec.uni[2023-09-01],
INDIRECT("rec.uni[natureza]"),"taxa.extra",
INDIRECT("rec.uni[empresa]"),N$6)</f>
        <v>0</v>
      </c>
      <c r="O35" s="131"/>
      <c r="P35" s="44">
        <f>COUNTIFS(
    estq[empresa], P$6,
    estq[Data da venda / reserva], "&gt;=" &amp; $A35,
    estq[Data da venda / reserva], "&lt;"  &amp; EOMONTH($A35,0) + 1
)</f>
        <v>0</v>
      </c>
      <c r="Q35" s="45">
        <f ca="1">SUMIFS(rec.uni[2023-09-01],
INDIRECT("rec.uni[natureza]"),"pro.soluto",
INDIRECT("rec.uni[empresa]"),Q$6)</f>
        <v>0</v>
      </c>
      <c r="R35" s="45">
        <f ca="1">SUMIFS(rec.uni[2023-09-01],
INDIRECT("rec.uni[natureza]"),"repasse.cef.obra",
INDIRECT("rec.uni[empresa]"),R$6)</f>
        <v>0</v>
      </c>
      <c r="S35" s="45">
        <f ca="1">SUMIFS(rec.uni[2023-09-01],
INDIRECT("rec.uni[natureza]"),"repasse.cef.terreno",
INDIRECT("rec.uni[empresa]"),S$6)</f>
        <v>0</v>
      </c>
      <c r="T35" s="45">
        <v>0</v>
      </c>
      <c r="U35" s="45">
        <f ca="1">SUMIFS(rec.uni[2023-09-01],
INDIRECT("rec.uni[natureza]"),"taxa.extra",
INDIRECT("rec.uni[empresa]"),U$6)</f>
        <v>0</v>
      </c>
      <c r="V35" s="131"/>
      <c r="W35" s="44">
        <f>COUNTIFS(
    estq[empresa], W$6,
    estq[Data da venda / reserva], "&gt;=" &amp; $A35,
    estq[Data da venda / reserva], "&lt;"  &amp; EOMONTH($A35,0) + 1
)</f>
        <v>0</v>
      </c>
      <c r="X35" s="45">
        <f ca="1">SUMIFS(rec.uni[2023-09-01],
INDIRECT("rec.uni[natureza]"),"pro.soluto",
INDIRECT("rec.uni[empresa]"),X$6)</f>
        <v>0</v>
      </c>
      <c r="Y35" s="45">
        <f ca="1">SUMIFS(rec.uni[2023-09-01],
INDIRECT("rec.uni[natureza]"),"repasse.cef.obra",
INDIRECT("rec.uni[empresa]"),Y$6)</f>
        <v>0</v>
      </c>
      <c r="Z35" s="45">
        <f ca="1">SUMIFS(rec.uni[2023-09-01],
INDIRECT("rec.uni[natureza]"),"repasse.cef.terreno",
INDIRECT("rec.uni[empresa]"),Z$6)</f>
        <v>0</v>
      </c>
      <c r="AA35" s="45">
        <v>0</v>
      </c>
      <c r="AB35" s="45">
        <f ca="1">SUMIFS(rec.uni[2023-09-01],
INDIRECT("rec.uni[natureza]"),"taxa.extra",
INDIRECT("rec.uni[empresa]"),AB$6)</f>
        <v>0</v>
      </c>
      <c r="AC35" s="131"/>
      <c r="AD35" s="44">
        <f>COUNTIFS(
    estq[empresa], AD$6,
    estq[Data da venda / reserva], "&gt;=" &amp; $A35,
    estq[Data da venda / reserva], "&lt;"  &amp; EOMONTH($A35,0) + 1
)</f>
        <v>0</v>
      </c>
      <c r="AE35" s="45">
        <f ca="1">SUMIFS(rec.uni[2023-09-01],
INDIRECT("rec.uni[natureza]"),"pro.soluto",
INDIRECT("rec.uni[empresa]"),AE$6)</f>
        <v>0</v>
      </c>
      <c r="AF35" s="38">
        <f ca="1">SUMIFS(rec.uni[2023-09-01],
INDIRECT("rec.uni[natureza]"),"parcela.fin.total.ik",
INDIRECT("rec.uni[empresa]"),AF$6)</f>
        <v>0</v>
      </c>
      <c r="AG35" s="45">
        <f ca="1">SUMIFS(rec.uni[2023-09-01],
INDIRECT("rec.uni[natureza]"),"taxa.extra",
INDIRECT("rec.uni[empresa]"),AG$6)</f>
        <v>0</v>
      </c>
      <c r="AH35" s="131"/>
      <c r="AI35" s="44">
        <f>COUNTIFS(
    estq[empresa], AI$6,
    estq[Data da venda / reserva], "&gt;=" &amp; $A35,
    estq[Data da venda / reserva], "&lt;"  &amp; EOMONTH($A35,0) + 1
)</f>
        <v>0</v>
      </c>
      <c r="AJ35" s="45">
        <f ca="1">SUMIFS(rec.uni[2023-09-01],
INDIRECT("rec.uni[natureza]"),"pro.soluto",
INDIRECT("rec.uni[empresa]"),AJ$6)</f>
        <v>0</v>
      </c>
      <c r="AK35" s="45">
        <f ca="1">SUMIFS(rec.uni[2023-09-01],
INDIRECT("rec.uni[natureza]"),"repasse.cef.obra",
INDIRECT("rec.uni[empresa]"),AK$6)</f>
        <v>0</v>
      </c>
      <c r="AL35" s="45">
        <f ca="1">SUMIFS(rec.uni[2023-09-01],
INDIRECT("rec.uni[natureza]"),"repasse.cef.terreno",
INDIRECT("rec.uni[empresa]"),AL$6)</f>
        <v>0</v>
      </c>
      <c r="AM35" s="45">
        <v>0</v>
      </c>
      <c r="AN35" s="45">
        <f ca="1">SUMIFS(rec.uni[2023-09-01],
INDIRECT("rec.uni[natureza]"),"taxa.extra",
INDIRECT("rec.uni[empresa]"),AN$6)</f>
        <v>0</v>
      </c>
      <c r="AO35" s="131"/>
      <c r="AP35" s="44">
        <f>COUNTIFS(
    estq[empresa], AP$6,
    estq[Data da venda / reserva], "&gt;=" &amp; $A35,
    estq[Data da venda / reserva], "&lt;"  &amp; EOMONTH($A35,0) + 1
)</f>
        <v>0</v>
      </c>
      <c r="AQ35" s="45">
        <f ca="1">SUMIFS(rec.uni[2023-09-01],
INDIRECT("rec.uni[natureza]"),"pro.soluto",
INDIRECT("rec.uni[empresa]"),AQ$6)</f>
        <v>0</v>
      </c>
      <c r="AR35" s="45">
        <f ca="1">SUMIFS(rec.uni[2023-09-01],
INDIRECT("rec.uni[natureza]"),"repasse.cef.obra",
INDIRECT("rec.uni[empresa]"),AR$6)</f>
        <v>0</v>
      </c>
      <c r="AS35" s="45">
        <f ca="1">SUMIFS(rec.uni[2023-09-01],
INDIRECT("rec.uni[natureza]"),"repasse.cef.terreno",
INDIRECT("rec.uni[empresa]"),AS$6)</f>
        <v>0</v>
      </c>
      <c r="AT35" s="45">
        <v>0</v>
      </c>
      <c r="AU35" s="45">
        <f ca="1">SUMIFS(rec.uni[2023-09-01],
INDIRECT("rec.uni[natureza]"),"taxa.extra",
INDIRECT("rec.uni[empresa]"),AU$6)</f>
        <v>0</v>
      </c>
      <c r="AV35" s="131"/>
    </row>
    <row r="36" spans="1:48" x14ac:dyDescent="0.25">
      <c r="A36" s="43">
        <v>45200</v>
      </c>
      <c r="B36" s="44">
        <f>COUNTIFS(
    estq[empresa], B$6,
    estq[Data da venda / reserva], "&gt;=" &amp; $A36,
    estq[Data da venda / reserva], "&lt;"  &amp; EOMONTH($A36,0) + 1
)</f>
        <v>0</v>
      </c>
      <c r="C36" s="45">
        <f ca="1">SUMIFS(rec.uni[2023-10-01],
INDIRECT("rec.uni[natureza]"),"pro.soluto",
INDIRECT("rec.uni[empresa]"),C$6)</f>
        <v>0</v>
      </c>
      <c r="D36" s="45">
        <f ca="1">SUMIFS(rec.uni[2023-10-01],
INDIRECT("rec.uni[natureza]"),"repasse.cef.obra",
INDIRECT("rec.uni[empresa]"),D$6)</f>
        <v>0</v>
      </c>
      <c r="E36" s="45">
        <f ca="1">SUMIFS(rec.uni[2023-10-01],
INDIRECT("rec.uni[natureza]"),"repasse.cef.terreno",
INDIRECT("rec.uni[empresa]"),E$6)</f>
        <v>0</v>
      </c>
      <c r="F36" s="45">
        <v>0</v>
      </c>
      <c r="G36" s="45">
        <f ca="1">SUMIFS(rec.uni[2023-10-01],
INDIRECT("rec.uni[natureza]"),"taxa.extra",
INDIRECT("rec.uni[empresa]"),G$6)</f>
        <v>0</v>
      </c>
      <c r="H36" s="131"/>
      <c r="I36" s="44">
        <f>COUNTIFS(
    estq[empresa], I$6,
    estq[Data da venda / reserva], "&gt;=" &amp; $A36,
    estq[Data da venda / reserva], "&lt;"  &amp; EOMONTH($A36,0) + 1
)</f>
        <v>0</v>
      </c>
      <c r="J36" s="45">
        <f ca="1">SUMIFS(rec.uni[2023-10-01],
INDIRECT("rec.uni[natureza]"),"pro.soluto",
INDIRECT("rec.uni[empresa]"),J$6)</f>
        <v>0</v>
      </c>
      <c r="K36" s="45">
        <f ca="1">SUMIFS(rec.uni[2023-10-01],
INDIRECT("rec.uni[natureza]"),"repasse.cef.obra",
INDIRECT("rec.uni[empresa]"),K$6)</f>
        <v>0</v>
      </c>
      <c r="L36" s="45">
        <f ca="1">SUMIFS(rec.uni[2023-10-01],
INDIRECT("rec.uni[natureza]"),"repasse.cef.terreno",
INDIRECT("rec.uni[empresa]"),L$6)</f>
        <v>0</v>
      </c>
      <c r="M36" s="45">
        <v>0</v>
      </c>
      <c r="N36" s="45">
        <f ca="1">SUMIFS(rec.uni[2023-10-01],
INDIRECT("rec.uni[natureza]"),"taxa.extra",
INDIRECT("rec.uni[empresa]"),N$6)</f>
        <v>0</v>
      </c>
      <c r="O36" s="131"/>
      <c r="P36" s="44">
        <f>COUNTIFS(
    estq[empresa], P$6,
    estq[Data da venda / reserva], "&gt;=" &amp; $A36,
    estq[Data da venda / reserva], "&lt;"  &amp; EOMONTH($A36,0) + 1
)</f>
        <v>0</v>
      </c>
      <c r="Q36" s="45">
        <f ca="1">SUMIFS(rec.uni[2023-10-01],
INDIRECT("rec.uni[natureza]"),"pro.soluto",
INDIRECT("rec.uni[empresa]"),Q$6)</f>
        <v>0</v>
      </c>
      <c r="R36" s="45">
        <f ca="1">SUMIFS(rec.uni[2023-10-01],
INDIRECT("rec.uni[natureza]"),"repasse.cef.obra",
INDIRECT("rec.uni[empresa]"),R$6)</f>
        <v>0</v>
      </c>
      <c r="S36" s="45">
        <f ca="1">SUMIFS(rec.uni[2023-10-01],
INDIRECT("rec.uni[natureza]"),"repasse.cef.terreno",
INDIRECT("rec.uni[empresa]"),S$6)</f>
        <v>0</v>
      </c>
      <c r="T36" s="45">
        <v>0</v>
      </c>
      <c r="U36" s="45">
        <f ca="1">SUMIFS(rec.uni[2023-10-01],
INDIRECT("rec.uni[natureza]"),"taxa.extra",
INDIRECT("rec.uni[empresa]"),U$6)</f>
        <v>0</v>
      </c>
      <c r="V36" s="131"/>
      <c r="W36" s="44">
        <f>COUNTIFS(
    estq[empresa], W$6,
    estq[Data da venda / reserva], "&gt;=" &amp; $A36,
    estq[Data da venda / reserva], "&lt;"  &amp; EOMONTH($A36,0) + 1
)</f>
        <v>0</v>
      </c>
      <c r="X36" s="45">
        <f ca="1">SUMIFS(rec.uni[2023-10-01],
INDIRECT("rec.uni[natureza]"),"pro.soluto",
INDIRECT("rec.uni[empresa]"),X$6)</f>
        <v>0</v>
      </c>
      <c r="Y36" s="45">
        <f ca="1">SUMIFS(rec.uni[2023-10-01],
INDIRECT("rec.uni[natureza]"),"repasse.cef.obra",
INDIRECT("rec.uni[empresa]"),Y$6)</f>
        <v>0</v>
      </c>
      <c r="Z36" s="45">
        <f ca="1">SUMIFS(rec.uni[2023-10-01],
INDIRECT("rec.uni[natureza]"),"repasse.cef.terreno",
INDIRECT("rec.uni[empresa]"),Z$6)</f>
        <v>0</v>
      </c>
      <c r="AA36" s="45">
        <v>0</v>
      </c>
      <c r="AB36" s="45">
        <f ca="1">SUMIFS(rec.uni[2023-10-01],
INDIRECT("rec.uni[natureza]"),"taxa.extra",
INDIRECT("rec.uni[empresa]"),AB$6)</f>
        <v>0</v>
      </c>
      <c r="AC36" s="131"/>
      <c r="AD36" s="44">
        <f>COUNTIFS(
    estq[empresa], AD$6,
    estq[Data da venda / reserva], "&gt;=" &amp; $A36,
    estq[Data da venda / reserva], "&lt;"  &amp; EOMONTH($A36,0) + 1
)</f>
        <v>0</v>
      </c>
      <c r="AE36" s="45">
        <f ca="1">SUMIFS(rec.uni[2023-10-01],
INDIRECT("rec.uni[natureza]"),"pro.soluto",
INDIRECT("rec.uni[empresa]"),AE$6)</f>
        <v>0</v>
      </c>
      <c r="AF36" s="38">
        <f ca="1">SUMIFS(rec.uni[2023-10-01],
INDIRECT("rec.uni[natureza]"),"parcela.fin.total.ik",
INDIRECT("rec.uni[empresa]"),AF$6)</f>
        <v>0</v>
      </c>
      <c r="AG36" s="45">
        <f ca="1">SUMIFS(rec.uni[2023-10-01],
INDIRECT("rec.uni[natureza]"),"taxa.extra",
INDIRECT("rec.uni[empresa]"),AG$6)</f>
        <v>0</v>
      </c>
      <c r="AH36" s="131"/>
      <c r="AI36" s="44">
        <f>COUNTIFS(
    estq[empresa], AI$6,
    estq[Data da venda / reserva], "&gt;=" &amp; $A36,
    estq[Data da venda / reserva], "&lt;"  &amp; EOMONTH($A36,0) + 1
)</f>
        <v>0</v>
      </c>
      <c r="AJ36" s="45">
        <f ca="1">SUMIFS(rec.uni[2023-10-01],
INDIRECT("rec.uni[natureza]"),"pro.soluto",
INDIRECT("rec.uni[empresa]"),AJ$6)</f>
        <v>0</v>
      </c>
      <c r="AK36" s="45">
        <f ca="1">SUMIFS(rec.uni[2023-10-01],
INDIRECT("rec.uni[natureza]"),"repasse.cef.obra",
INDIRECT("rec.uni[empresa]"),AK$6)</f>
        <v>0</v>
      </c>
      <c r="AL36" s="45">
        <f ca="1">SUMIFS(rec.uni[2023-10-01],
INDIRECT("rec.uni[natureza]"),"repasse.cef.terreno",
INDIRECT("rec.uni[empresa]"),AL$6)</f>
        <v>0</v>
      </c>
      <c r="AM36" s="45">
        <v>0</v>
      </c>
      <c r="AN36" s="45">
        <f ca="1">SUMIFS(rec.uni[2023-10-01],
INDIRECT("rec.uni[natureza]"),"taxa.extra",
INDIRECT("rec.uni[empresa]"),AN$6)</f>
        <v>0</v>
      </c>
      <c r="AO36" s="131"/>
      <c r="AP36" s="44">
        <f>COUNTIFS(
    estq[empresa], AP$6,
    estq[Data da venda / reserva], "&gt;=" &amp; $A36,
    estq[Data da venda / reserva], "&lt;"  &amp; EOMONTH($A36,0) + 1
)</f>
        <v>0</v>
      </c>
      <c r="AQ36" s="45">
        <f ca="1">SUMIFS(rec.uni[2023-10-01],
INDIRECT("rec.uni[natureza]"),"pro.soluto",
INDIRECT("rec.uni[empresa]"),AQ$6)</f>
        <v>0</v>
      </c>
      <c r="AR36" s="45">
        <f ca="1">SUMIFS(rec.uni[2023-10-01],
INDIRECT("rec.uni[natureza]"),"repasse.cef.obra",
INDIRECT("rec.uni[empresa]"),AR$6)</f>
        <v>0</v>
      </c>
      <c r="AS36" s="45">
        <f ca="1">SUMIFS(rec.uni[2023-10-01],
INDIRECT("rec.uni[natureza]"),"repasse.cef.terreno",
INDIRECT("rec.uni[empresa]"),AS$6)</f>
        <v>0</v>
      </c>
      <c r="AT36" s="45">
        <v>0</v>
      </c>
      <c r="AU36" s="45">
        <f ca="1">SUMIFS(rec.uni[2023-10-01],
INDIRECT("rec.uni[natureza]"),"taxa.extra",
INDIRECT("rec.uni[empresa]"),AU$6)</f>
        <v>0</v>
      </c>
      <c r="AV36" s="131"/>
    </row>
    <row r="37" spans="1:48" x14ac:dyDescent="0.25">
      <c r="A37" s="43">
        <v>45231</v>
      </c>
      <c r="B37" s="44">
        <f>COUNTIFS(
    estq[empresa], B$6,
    estq[Data da venda / reserva], "&gt;=" &amp; $A37,
    estq[Data da venda / reserva], "&lt;"  &amp; EOMONTH($A37,0) + 1
)</f>
        <v>0</v>
      </c>
      <c r="C37" s="45">
        <f ca="1">SUMIFS(rec.uni[2023-11-01],
INDIRECT("rec.uni[natureza]"),"pro.soluto",
INDIRECT("rec.uni[empresa]"),C$6)</f>
        <v>0</v>
      </c>
      <c r="D37" s="45">
        <f ca="1">SUMIFS(rec.uni[2023-11-01],
INDIRECT("rec.uni[natureza]"),"repasse.cef.obra",
INDIRECT("rec.uni[empresa]"),D$6)</f>
        <v>0</v>
      </c>
      <c r="E37" s="45">
        <f ca="1">SUMIFS(rec.uni[2023-11-01],
INDIRECT("rec.uni[natureza]"),"repasse.cef.terreno",
INDIRECT("rec.uni[empresa]"),E$6)</f>
        <v>0</v>
      </c>
      <c r="F37" s="45">
        <v>0</v>
      </c>
      <c r="G37" s="45">
        <f ca="1">SUMIFS(rec.uni[2023-11-01],
INDIRECT("rec.uni[natureza]"),"taxa.extra",
INDIRECT("rec.uni[empresa]"),G$6)</f>
        <v>0</v>
      </c>
      <c r="H37" s="131"/>
      <c r="I37" s="44">
        <f>COUNTIFS(
    estq[empresa], I$6,
    estq[Data da venda / reserva], "&gt;=" &amp; $A37,
    estq[Data da venda / reserva], "&lt;"  &amp; EOMONTH($A37,0) + 1
)</f>
        <v>0</v>
      </c>
      <c r="J37" s="45">
        <f ca="1">SUMIFS(rec.uni[2023-11-01],
INDIRECT("rec.uni[natureza]"),"pro.soluto",
INDIRECT("rec.uni[empresa]"),J$6)</f>
        <v>0</v>
      </c>
      <c r="K37" s="45">
        <f ca="1">SUMIFS(rec.uni[2023-11-01],
INDIRECT("rec.uni[natureza]"),"repasse.cef.obra",
INDIRECT("rec.uni[empresa]"),K$6)</f>
        <v>0</v>
      </c>
      <c r="L37" s="45">
        <f ca="1">SUMIFS(rec.uni[2023-11-01],
INDIRECT("rec.uni[natureza]"),"repasse.cef.terreno",
INDIRECT("rec.uni[empresa]"),L$6)</f>
        <v>0</v>
      </c>
      <c r="M37" s="45">
        <v>1455283.7599999998</v>
      </c>
      <c r="N37" s="45">
        <f ca="1">SUMIFS(rec.uni[2023-11-01],
INDIRECT("rec.uni[natureza]"),"taxa.extra",
INDIRECT("rec.uni[empresa]"),N$6)</f>
        <v>0</v>
      </c>
      <c r="O37" s="131"/>
      <c r="P37" s="44">
        <f>COUNTIFS(
    estq[empresa], P$6,
    estq[Data da venda / reserva], "&gt;=" &amp; $A37,
    estq[Data da venda / reserva], "&lt;"  &amp; EOMONTH($A37,0) + 1
)</f>
        <v>0</v>
      </c>
      <c r="Q37" s="45">
        <f ca="1">SUMIFS(rec.uni[2023-11-01],
INDIRECT("rec.uni[natureza]"),"pro.soluto",
INDIRECT("rec.uni[empresa]"),Q$6)</f>
        <v>0</v>
      </c>
      <c r="R37" s="45">
        <f ca="1">SUMIFS(rec.uni[2023-11-01],
INDIRECT("rec.uni[natureza]"),"repasse.cef.obra",
INDIRECT("rec.uni[empresa]"),R$6)</f>
        <v>0</v>
      </c>
      <c r="S37" s="45">
        <f ca="1">SUMIFS(rec.uni[2023-11-01],
INDIRECT("rec.uni[natureza]"),"repasse.cef.terreno",
INDIRECT("rec.uni[empresa]"),S$6)</f>
        <v>0</v>
      </c>
      <c r="T37" s="45">
        <v>0</v>
      </c>
      <c r="U37" s="45">
        <f ca="1">SUMIFS(rec.uni[2023-11-01],
INDIRECT("rec.uni[natureza]"),"taxa.extra",
INDIRECT("rec.uni[empresa]"),U$6)</f>
        <v>0</v>
      </c>
      <c r="V37" s="131"/>
      <c r="W37" s="44">
        <f>COUNTIFS(
    estq[empresa], W$6,
    estq[Data da venda / reserva], "&gt;=" &amp; $A37,
    estq[Data da venda / reserva], "&lt;"  &amp; EOMONTH($A37,0) + 1
)</f>
        <v>0</v>
      </c>
      <c r="X37" s="45">
        <f ca="1">SUMIFS(rec.uni[2023-11-01],
INDIRECT("rec.uni[natureza]"),"pro.soluto",
INDIRECT("rec.uni[empresa]"),X$6)</f>
        <v>0</v>
      </c>
      <c r="Y37" s="45">
        <f ca="1">SUMIFS(rec.uni[2023-11-01],
INDIRECT("rec.uni[natureza]"),"repasse.cef.obra",
INDIRECT("rec.uni[empresa]"),Y$6)</f>
        <v>0</v>
      </c>
      <c r="Z37" s="45">
        <f ca="1">SUMIFS(rec.uni[2023-11-01],
INDIRECT("rec.uni[natureza]"),"repasse.cef.terreno",
INDIRECT("rec.uni[empresa]"),Z$6)</f>
        <v>0</v>
      </c>
      <c r="AA37" s="45">
        <v>0</v>
      </c>
      <c r="AB37" s="45">
        <f ca="1">SUMIFS(rec.uni[2023-11-01],
INDIRECT("rec.uni[natureza]"),"taxa.extra",
INDIRECT("rec.uni[empresa]"),AB$6)</f>
        <v>0</v>
      </c>
      <c r="AC37" s="131"/>
      <c r="AD37" s="44">
        <f>COUNTIFS(
    estq[empresa], AD$6,
    estq[Data da venda / reserva], "&gt;=" &amp; $A37,
    estq[Data da venda / reserva], "&lt;"  &amp; EOMONTH($A37,0) + 1
)</f>
        <v>0</v>
      </c>
      <c r="AE37" s="45">
        <f ca="1">SUMIFS(rec.uni[2023-11-01],
INDIRECT("rec.uni[natureza]"),"pro.soluto",
INDIRECT("rec.uni[empresa]"),AE$6)</f>
        <v>0</v>
      </c>
      <c r="AF37" s="38">
        <f ca="1">SUMIFS(rec.uni[2023-11-01],
INDIRECT("rec.uni[natureza]"),"parcela.fin.total.ik",
INDIRECT("rec.uni[empresa]"),AF$6)</f>
        <v>0</v>
      </c>
      <c r="AG37" s="45">
        <f ca="1">SUMIFS(rec.uni[2023-11-01],
INDIRECT("rec.uni[natureza]"),"taxa.extra",
INDIRECT("rec.uni[empresa]"),AG$6)</f>
        <v>0</v>
      </c>
      <c r="AH37" s="131"/>
      <c r="AI37" s="44">
        <f>COUNTIFS(
    estq[empresa], AI$6,
    estq[Data da venda / reserva], "&gt;=" &amp; $A37,
    estq[Data da venda / reserva], "&lt;"  &amp; EOMONTH($A37,0) + 1
)</f>
        <v>0</v>
      </c>
      <c r="AJ37" s="45">
        <f ca="1">SUMIFS(rec.uni[2023-11-01],
INDIRECT("rec.uni[natureza]"),"pro.soluto",
INDIRECT("rec.uni[empresa]"),AJ$6)</f>
        <v>0</v>
      </c>
      <c r="AK37" s="45">
        <f ca="1">SUMIFS(rec.uni[2023-11-01],
INDIRECT("rec.uni[natureza]"),"repasse.cef.obra",
INDIRECT("rec.uni[empresa]"),AK$6)</f>
        <v>0</v>
      </c>
      <c r="AL37" s="45">
        <f ca="1">SUMIFS(rec.uni[2023-11-01],
INDIRECT("rec.uni[natureza]"),"repasse.cef.terreno",
INDIRECT("rec.uni[empresa]"),AL$6)</f>
        <v>0</v>
      </c>
      <c r="AM37" s="45">
        <v>0</v>
      </c>
      <c r="AN37" s="45">
        <f ca="1">SUMIFS(rec.uni[2023-11-01],
INDIRECT("rec.uni[natureza]"),"taxa.extra",
INDIRECT("rec.uni[empresa]"),AN$6)</f>
        <v>0</v>
      </c>
      <c r="AO37" s="131"/>
      <c r="AP37" s="44">
        <f>COUNTIFS(
    estq[empresa], AP$6,
    estq[Data da venda / reserva], "&gt;=" &amp; $A37,
    estq[Data da venda / reserva], "&lt;"  &amp; EOMONTH($A37,0) + 1
)</f>
        <v>0</v>
      </c>
      <c r="AQ37" s="45">
        <f ca="1">SUMIFS(rec.uni[2023-11-01],
INDIRECT("rec.uni[natureza]"),"pro.soluto",
INDIRECT("rec.uni[empresa]"),AQ$6)</f>
        <v>0</v>
      </c>
      <c r="AR37" s="45">
        <f ca="1">SUMIFS(rec.uni[2023-11-01],
INDIRECT("rec.uni[natureza]"),"repasse.cef.obra",
INDIRECT("rec.uni[empresa]"),AR$6)</f>
        <v>0</v>
      </c>
      <c r="AS37" s="45">
        <f ca="1">SUMIFS(rec.uni[2023-11-01],
INDIRECT("rec.uni[natureza]"),"repasse.cef.terreno",
INDIRECT("rec.uni[empresa]"),AS$6)</f>
        <v>0</v>
      </c>
      <c r="AT37" s="45">
        <v>0</v>
      </c>
      <c r="AU37" s="45">
        <f ca="1">SUMIFS(rec.uni[2023-11-01],
INDIRECT("rec.uni[natureza]"),"taxa.extra",
INDIRECT("rec.uni[empresa]"),AU$6)</f>
        <v>0</v>
      </c>
      <c r="AV37" s="131"/>
    </row>
    <row r="38" spans="1:48" x14ac:dyDescent="0.25">
      <c r="A38" s="43">
        <v>45261</v>
      </c>
      <c r="B38" s="44">
        <f>COUNTIFS(
    estq[empresa], B$6,
    estq[Data da venda / reserva], "&gt;=" &amp; $A38,
    estq[Data da venda / reserva], "&lt;"  &amp; EOMONTH($A38,0) + 1
)</f>
        <v>0</v>
      </c>
      <c r="C38" s="45">
        <f ca="1">SUMIFS(rec.uni[2023-12-01],
INDIRECT("rec.uni[natureza]"),"pro.soluto",
INDIRECT("rec.uni[empresa]"),C$6)</f>
        <v>0</v>
      </c>
      <c r="D38" s="45">
        <f ca="1">SUMIFS(rec.uni[2023-12-01],
INDIRECT("rec.uni[natureza]"),"repasse.cef.obra",
INDIRECT("rec.uni[empresa]"),D$6)</f>
        <v>0</v>
      </c>
      <c r="E38" s="45">
        <f ca="1">SUMIFS(rec.uni[2023-12-01],
INDIRECT("rec.uni[natureza]"),"repasse.cef.terreno",
INDIRECT("rec.uni[empresa]"),E$6)</f>
        <v>0</v>
      </c>
      <c r="F38" s="45">
        <v>0</v>
      </c>
      <c r="G38" s="45">
        <f ca="1">SUMIFS(rec.uni[2023-12-01],
INDIRECT("rec.uni[natureza]"),"taxa.extra",
INDIRECT("rec.uni[empresa]"),G$6)</f>
        <v>0</v>
      </c>
      <c r="H38" s="131"/>
      <c r="I38" s="44">
        <f>COUNTIFS(
    estq[empresa], I$6,
    estq[Data da venda / reserva], "&gt;=" &amp; $A38,
    estq[Data da venda / reserva], "&lt;"  &amp; EOMONTH($A38,0) + 1
)</f>
        <v>0</v>
      </c>
      <c r="J38" s="45">
        <f ca="1">SUMIFS(rec.uni[2023-12-01],
INDIRECT("rec.uni[natureza]"),"pro.soluto",
INDIRECT("rec.uni[empresa]"),J$6)</f>
        <v>0</v>
      </c>
      <c r="K38" s="45">
        <f ca="1">SUMIFS(rec.uni[2023-12-01],
INDIRECT("rec.uni[natureza]"),"repasse.cef.obra",
INDIRECT("rec.uni[empresa]"),K$6)</f>
        <v>0</v>
      </c>
      <c r="L38" s="45">
        <f ca="1">SUMIFS(rec.uni[2023-12-01],
INDIRECT("rec.uni[natureza]"),"repasse.cef.terreno",
INDIRECT("rec.uni[empresa]"),L$6)</f>
        <v>0</v>
      </c>
      <c r="M38" s="45">
        <v>0</v>
      </c>
      <c r="N38" s="45">
        <f ca="1">SUMIFS(rec.uni[2023-12-01],
INDIRECT("rec.uni[natureza]"),"taxa.extra",
INDIRECT("rec.uni[empresa]"),N$6)</f>
        <v>0</v>
      </c>
      <c r="O38" s="131"/>
      <c r="P38" s="44">
        <f>COUNTIFS(
    estq[empresa], P$6,
    estq[Data da venda / reserva], "&gt;=" &amp; $A38,
    estq[Data da venda / reserva], "&lt;"  &amp; EOMONTH($A38,0) + 1
)</f>
        <v>0</v>
      </c>
      <c r="Q38" s="45">
        <f ca="1">SUMIFS(rec.uni[2023-12-01],
INDIRECT("rec.uni[natureza]"),"pro.soluto",
INDIRECT("rec.uni[empresa]"),Q$6)</f>
        <v>0</v>
      </c>
      <c r="R38" s="45">
        <f ca="1">SUMIFS(rec.uni[2023-12-01],
INDIRECT("rec.uni[natureza]"),"repasse.cef.obra",
INDIRECT("rec.uni[empresa]"),R$6)</f>
        <v>0</v>
      </c>
      <c r="S38" s="45">
        <f ca="1">SUMIFS(rec.uni[2023-12-01],
INDIRECT("rec.uni[natureza]"),"repasse.cef.terreno",
INDIRECT("rec.uni[empresa]"),S$6)</f>
        <v>0</v>
      </c>
      <c r="T38" s="45">
        <v>0</v>
      </c>
      <c r="U38" s="45">
        <f ca="1">SUMIFS(rec.uni[2023-12-01],
INDIRECT("rec.uni[natureza]"),"taxa.extra",
INDIRECT("rec.uni[empresa]"),U$6)</f>
        <v>0</v>
      </c>
      <c r="V38" s="131"/>
      <c r="W38" s="44">
        <f>COUNTIFS(
    estq[empresa], W$6,
    estq[Data da venda / reserva], "&gt;=" &amp; $A38,
    estq[Data da venda / reserva], "&lt;"  &amp; EOMONTH($A38,0) + 1
)</f>
        <v>0</v>
      </c>
      <c r="X38" s="45">
        <f ca="1">SUMIFS(rec.uni[2023-12-01],
INDIRECT("rec.uni[natureza]"),"pro.soluto",
INDIRECT("rec.uni[empresa]"),X$6)</f>
        <v>0</v>
      </c>
      <c r="Y38" s="45">
        <f ca="1">SUMIFS(rec.uni[2023-12-01],
INDIRECT("rec.uni[natureza]"),"repasse.cef.obra",
INDIRECT("rec.uni[empresa]"),Y$6)</f>
        <v>0</v>
      </c>
      <c r="Z38" s="45">
        <f ca="1">SUMIFS(rec.uni[2023-12-01],
INDIRECT("rec.uni[natureza]"),"repasse.cef.terreno",
INDIRECT("rec.uni[empresa]"),Z$6)</f>
        <v>0</v>
      </c>
      <c r="AA38" s="45">
        <v>0</v>
      </c>
      <c r="AB38" s="45">
        <f ca="1">SUMIFS(rec.uni[2023-12-01],
INDIRECT("rec.uni[natureza]"),"taxa.extra",
INDIRECT("rec.uni[empresa]"),AB$6)</f>
        <v>0</v>
      </c>
      <c r="AC38" s="131"/>
      <c r="AD38" s="44">
        <f>COUNTIFS(
    estq[empresa], AD$6,
    estq[Data da venda / reserva], "&gt;=" &amp; $A38,
    estq[Data da venda / reserva], "&lt;"  &amp; EOMONTH($A38,0) + 1
)</f>
        <v>0</v>
      </c>
      <c r="AE38" s="45">
        <f ca="1">SUMIFS(rec.uni[2023-12-01],
INDIRECT("rec.uni[natureza]"),"pro.soluto",
INDIRECT("rec.uni[empresa]"),AE$6)</f>
        <v>0</v>
      </c>
      <c r="AF38" s="38">
        <f ca="1">SUMIFS(rec.uni[2023-12-01],
INDIRECT("rec.uni[natureza]"),"parcela.fin.total.ik",
INDIRECT("rec.uni[empresa]"),AF$6)</f>
        <v>0</v>
      </c>
      <c r="AG38" s="45">
        <f ca="1">SUMIFS(rec.uni[2023-12-01],
INDIRECT("rec.uni[natureza]"),"taxa.extra",
INDIRECT("rec.uni[empresa]"),AG$6)</f>
        <v>0</v>
      </c>
      <c r="AH38" s="131"/>
      <c r="AI38" s="44">
        <f>COUNTIFS(
    estq[empresa], AI$6,
    estq[Data da venda / reserva], "&gt;=" &amp; $A38,
    estq[Data da venda / reserva], "&lt;"  &amp; EOMONTH($A38,0) + 1
)</f>
        <v>0</v>
      </c>
      <c r="AJ38" s="45">
        <f ca="1">SUMIFS(rec.uni[2023-12-01],
INDIRECT("rec.uni[natureza]"),"pro.soluto",
INDIRECT("rec.uni[empresa]"),AJ$6)</f>
        <v>0</v>
      </c>
      <c r="AK38" s="45">
        <f ca="1">SUMIFS(rec.uni[2023-12-01],
INDIRECT("rec.uni[natureza]"),"repasse.cef.obra",
INDIRECT("rec.uni[empresa]"),AK$6)</f>
        <v>0</v>
      </c>
      <c r="AL38" s="45">
        <f ca="1">SUMIFS(rec.uni[2023-12-01],
INDIRECT("rec.uni[natureza]"),"repasse.cef.terreno",
INDIRECT("rec.uni[empresa]"),AL$6)</f>
        <v>0</v>
      </c>
      <c r="AM38" s="45">
        <v>0</v>
      </c>
      <c r="AN38" s="45">
        <f ca="1">SUMIFS(rec.uni[2023-12-01],
INDIRECT("rec.uni[natureza]"),"taxa.extra",
INDIRECT("rec.uni[empresa]"),AN$6)</f>
        <v>0</v>
      </c>
      <c r="AO38" s="131"/>
      <c r="AP38" s="44">
        <f>COUNTIFS(
    estq[empresa], AP$6,
    estq[Data da venda / reserva], "&gt;=" &amp; $A38,
    estq[Data da venda / reserva], "&lt;"  &amp; EOMONTH($A38,0) + 1
)</f>
        <v>0</v>
      </c>
      <c r="AQ38" s="45">
        <f ca="1">SUMIFS(rec.uni[2023-12-01],
INDIRECT("rec.uni[natureza]"),"pro.soluto",
INDIRECT("rec.uni[empresa]"),AQ$6)</f>
        <v>0</v>
      </c>
      <c r="AR38" s="45">
        <f ca="1">SUMIFS(rec.uni[2023-12-01],
INDIRECT("rec.uni[natureza]"),"repasse.cef.obra",
INDIRECT("rec.uni[empresa]"),AR$6)</f>
        <v>0</v>
      </c>
      <c r="AS38" s="45">
        <f ca="1">SUMIFS(rec.uni[2023-12-01],
INDIRECT("rec.uni[natureza]"),"repasse.cef.terreno",
INDIRECT("rec.uni[empresa]"),AS$6)</f>
        <v>0</v>
      </c>
      <c r="AT38" s="45">
        <v>0</v>
      </c>
      <c r="AU38" s="45">
        <f ca="1">SUMIFS(rec.uni[2023-12-01],
INDIRECT("rec.uni[natureza]"),"taxa.extra",
INDIRECT("rec.uni[empresa]"),AU$6)</f>
        <v>0</v>
      </c>
      <c r="AV38" s="131"/>
    </row>
    <row r="39" spans="1:48" x14ac:dyDescent="0.25">
      <c r="A39" s="43">
        <v>45292</v>
      </c>
      <c r="B39" s="44">
        <f>COUNTIFS(
    estq[empresa], B$6,
    estq[Data da venda / reserva], "&gt;=" &amp; $A39,
    estq[Data da venda / reserva], "&lt;"  &amp; EOMONTH($A39,0) + 1
)</f>
        <v>0</v>
      </c>
      <c r="C39" s="45">
        <f ca="1">SUMIFS(rec.uni[2024-01-01],
INDIRECT("rec.uni[natureza]"),"pro.soluto",
INDIRECT("rec.uni[empresa]"),C$6)</f>
        <v>0</v>
      </c>
      <c r="D39" s="45">
        <f ca="1">SUMIFS(rec.uni[2024-01-01],
INDIRECT("rec.uni[natureza]"),"repasse.cef.obra",
INDIRECT("rec.uni[empresa]"),D$6)</f>
        <v>0</v>
      </c>
      <c r="E39" s="45">
        <f ca="1">SUMIFS(rec.uni[2024-01-01],
INDIRECT("rec.uni[natureza]"),"repasse.cef.terreno",
INDIRECT("rec.uni[empresa]"),E$6)</f>
        <v>0</v>
      </c>
      <c r="F39" s="45">
        <v>0</v>
      </c>
      <c r="G39" s="45">
        <f ca="1">SUMIFS(rec.uni[2024-01-01],
INDIRECT("rec.uni[natureza]"),"taxa.extra",
INDIRECT("rec.uni[empresa]"),G$6)</f>
        <v>0</v>
      </c>
      <c r="H39" s="131"/>
      <c r="I39" s="44">
        <f>COUNTIFS(
    estq[empresa], I$6,
    estq[Data da venda / reserva], "&gt;=" &amp; $A39,
    estq[Data da venda / reserva], "&lt;"  &amp; EOMONTH($A39,0) + 1
)</f>
        <v>0</v>
      </c>
      <c r="J39" s="45">
        <f ca="1">SUMIFS(rec.uni[2024-01-01],
INDIRECT("rec.uni[natureza]"),"pro.soluto",
INDIRECT("rec.uni[empresa]"),J$6)</f>
        <v>0</v>
      </c>
      <c r="K39" s="45">
        <f ca="1">SUMIFS(rec.uni[2024-01-01],
INDIRECT("rec.uni[natureza]"),"repasse.cef.obra",
INDIRECT("rec.uni[empresa]"),K$6)</f>
        <v>0</v>
      </c>
      <c r="L39" s="45">
        <f ca="1">SUMIFS(rec.uni[2024-01-01],
INDIRECT("rec.uni[natureza]"),"repasse.cef.terreno",
INDIRECT("rec.uni[empresa]"),L$6)</f>
        <v>0</v>
      </c>
      <c r="M39" s="45">
        <v>1292869.73</v>
      </c>
      <c r="N39" s="45">
        <f ca="1">SUMIFS(rec.uni[2024-01-01],
INDIRECT("rec.uni[natureza]"),"taxa.extra",
INDIRECT("rec.uni[empresa]"),N$6)</f>
        <v>0</v>
      </c>
      <c r="O39" s="131"/>
      <c r="P39" s="44">
        <f>COUNTIFS(
    estq[empresa], P$6,
    estq[Data da venda / reserva], "&gt;=" &amp; $A39,
    estq[Data da venda / reserva], "&lt;"  &amp; EOMONTH($A39,0) + 1
)</f>
        <v>0</v>
      </c>
      <c r="Q39" s="45">
        <f ca="1">SUMIFS(rec.uni[2024-01-01],
INDIRECT("rec.uni[natureza]"),"pro.soluto",
INDIRECT("rec.uni[empresa]"),Q$6)</f>
        <v>0</v>
      </c>
      <c r="R39" s="45">
        <f ca="1">SUMIFS(rec.uni[2024-01-01],
INDIRECT("rec.uni[natureza]"),"repasse.cef.obra",
INDIRECT("rec.uni[empresa]"),R$6)</f>
        <v>0</v>
      </c>
      <c r="S39" s="45">
        <f ca="1">SUMIFS(rec.uni[2024-01-01],
INDIRECT("rec.uni[natureza]"),"repasse.cef.terreno",
INDIRECT("rec.uni[empresa]"),S$6)</f>
        <v>0</v>
      </c>
      <c r="T39" s="45">
        <v>0</v>
      </c>
      <c r="U39" s="45">
        <f ca="1">SUMIFS(rec.uni[2024-01-01],
INDIRECT("rec.uni[natureza]"),"taxa.extra",
INDIRECT("rec.uni[empresa]"),U$6)</f>
        <v>0</v>
      </c>
      <c r="V39" s="131"/>
      <c r="W39" s="44">
        <f>COUNTIFS(
    estq[empresa], W$6,
    estq[Data da venda / reserva], "&gt;=" &amp; $A39,
    estq[Data da venda / reserva], "&lt;"  &amp; EOMONTH($A39,0) + 1
)</f>
        <v>0</v>
      </c>
      <c r="X39" s="45">
        <f ca="1">SUMIFS(rec.uni[2024-01-01],
INDIRECT("rec.uni[natureza]"),"pro.soluto",
INDIRECT("rec.uni[empresa]"),X$6)</f>
        <v>0</v>
      </c>
      <c r="Y39" s="45">
        <f ca="1">SUMIFS(rec.uni[2024-01-01],
INDIRECT("rec.uni[natureza]"),"repasse.cef.obra",
INDIRECT("rec.uni[empresa]"),Y$6)</f>
        <v>0</v>
      </c>
      <c r="Z39" s="45">
        <f ca="1">SUMIFS(rec.uni[2024-01-01],
INDIRECT("rec.uni[natureza]"),"repasse.cef.terreno",
INDIRECT("rec.uni[empresa]"),Z$6)</f>
        <v>0</v>
      </c>
      <c r="AA39" s="45">
        <v>0</v>
      </c>
      <c r="AB39" s="45">
        <f ca="1">SUMIFS(rec.uni[2024-01-01],
INDIRECT("rec.uni[natureza]"),"taxa.extra",
INDIRECT("rec.uni[empresa]"),AB$6)</f>
        <v>0</v>
      </c>
      <c r="AC39" s="131"/>
      <c r="AD39" s="44">
        <f>COUNTIFS(
    estq[empresa], AD$6,
    estq[Data da venda / reserva], "&gt;=" &amp; $A39,
    estq[Data da venda / reserva], "&lt;"  &amp; EOMONTH($A39,0) + 1
)</f>
        <v>0</v>
      </c>
      <c r="AE39" s="45">
        <f ca="1">SUMIFS(rec.uni[2024-01-01],
INDIRECT("rec.uni[natureza]"),"pro.soluto",
INDIRECT("rec.uni[empresa]"),AE$6)</f>
        <v>0</v>
      </c>
      <c r="AF39" s="38">
        <f ca="1">SUMIFS(rec.uni[2024-01-01],
INDIRECT("rec.uni[natureza]"),"parcela.fin.total.ik",
INDIRECT("rec.uni[empresa]"),AF$6)</f>
        <v>0</v>
      </c>
      <c r="AG39" s="45">
        <f ca="1">SUMIFS(rec.uni[2024-01-01],
INDIRECT("rec.uni[natureza]"),"taxa.extra",
INDIRECT("rec.uni[empresa]"),AG$6)</f>
        <v>0</v>
      </c>
      <c r="AH39" s="131"/>
      <c r="AI39" s="44">
        <f>COUNTIFS(
    estq[empresa], AI$6,
    estq[Data da venda / reserva], "&gt;=" &amp; $A39,
    estq[Data da venda / reserva], "&lt;"  &amp; EOMONTH($A39,0) + 1
)</f>
        <v>0</v>
      </c>
      <c r="AJ39" s="45">
        <f ca="1">SUMIFS(rec.uni[2024-01-01],
INDIRECT("rec.uni[natureza]"),"pro.soluto",
INDIRECT("rec.uni[empresa]"),AJ$6)</f>
        <v>0</v>
      </c>
      <c r="AK39" s="45">
        <f ca="1">SUMIFS(rec.uni[2024-01-01],
INDIRECT("rec.uni[natureza]"),"repasse.cef.obra",
INDIRECT("rec.uni[empresa]"),AK$6)</f>
        <v>0</v>
      </c>
      <c r="AL39" s="45">
        <f ca="1">SUMIFS(rec.uni[2024-01-01],
INDIRECT("rec.uni[natureza]"),"repasse.cef.terreno",
INDIRECT("rec.uni[empresa]"),AL$6)</f>
        <v>0</v>
      </c>
      <c r="AM39" s="45">
        <v>0</v>
      </c>
      <c r="AN39" s="45">
        <f ca="1">SUMIFS(rec.uni[2024-01-01],
INDIRECT("rec.uni[natureza]"),"taxa.extra",
INDIRECT("rec.uni[empresa]"),AN$6)</f>
        <v>0</v>
      </c>
      <c r="AO39" s="131"/>
      <c r="AP39" s="44">
        <f>COUNTIFS(
    estq[empresa], AP$6,
    estq[Data da venda / reserva], "&gt;=" &amp; $A39,
    estq[Data da venda / reserva], "&lt;"  &amp; EOMONTH($A39,0) + 1
)</f>
        <v>0</v>
      </c>
      <c r="AQ39" s="45">
        <f ca="1">SUMIFS(rec.uni[2024-01-01],
INDIRECT("rec.uni[natureza]"),"pro.soluto",
INDIRECT("rec.uni[empresa]"),AQ$6)</f>
        <v>0</v>
      </c>
      <c r="AR39" s="45">
        <f ca="1">SUMIFS(rec.uni[2024-01-01],
INDIRECT("rec.uni[natureza]"),"repasse.cef.obra",
INDIRECT("rec.uni[empresa]"),AR$6)</f>
        <v>0</v>
      </c>
      <c r="AS39" s="45">
        <f ca="1">SUMIFS(rec.uni[2024-01-01],
INDIRECT("rec.uni[natureza]"),"repasse.cef.terreno",
INDIRECT("rec.uni[empresa]"),AS$6)</f>
        <v>0</v>
      </c>
      <c r="AT39" s="45">
        <v>0</v>
      </c>
      <c r="AU39" s="45">
        <f ca="1">SUMIFS(rec.uni[2024-01-01],
INDIRECT("rec.uni[natureza]"),"taxa.extra",
INDIRECT("rec.uni[empresa]"),AU$6)</f>
        <v>0</v>
      </c>
      <c r="AV39" s="131"/>
    </row>
    <row r="40" spans="1:48" x14ac:dyDescent="0.25">
      <c r="A40" s="43">
        <v>45323</v>
      </c>
      <c r="B40" s="44">
        <f>COUNTIFS(
    estq[empresa], B$6,
    estq[Data da venda / reserva], "&gt;=" &amp; $A40,
    estq[Data da venda / reserva], "&lt;"  &amp; EOMONTH($A40,0) + 1
)</f>
        <v>0</v>
      </c>
      <c r="C40" s="45">
        <f ca="1">SUMIFS(rec.uni[2024-02-01],
INDIRECT("rec.uni[natureza]"),"pro.soluto",
INDIRECT("rec.uni[empresa]"),C$6)</f>
        <v>0</v>
      </c>
      <c r="D40" s="45">
        <f ca="1">SUMIFS(rec.uni[2024-02-01],
INDIRECT("rec.uni[natureza]"),"repasse.cef.obra",
INDIRECT("rec.uni[empresa]"),D$6)</f>
        <v>0</v>
      </c>
      <c r="E40" s="45">
        <f ca="1">SUMIFS(rec.uni[2024-02-01],
INDIRECT("rec.uni[natureza]"),"repasse.cef.terreno",
INDIRECT("rec.uni[empresa]"),E$6)</f>
        <v>0</v>
      </c>
      <c r="F40" s="45">
        <v>0</v>
      </c>
      <c r="G40" s="45">
        <f ca="1">SUMIFS(rec.uni[2024-02-01],
INDIRECT("rec.uni[natureza]"),"taxa.extra",
INDIRECT("rec.uni[empresa]"),G$6)</f>
        <v>0</v>
      </c>
      <c r="H40" s="131"/>
      <c r="I40" s="44">
        <f>COUNTIFS(
    estq[empresa], I$6,
    estq[Data da venda / reserva], "&gt;=" &amp; $A40,
    estq[Data da venda / reserva], "&lt;"  &amp; EOMONTH($A40,0) + 1
)</f>
        <v>0</v>
      </c>
      <c r="J40" s="45">
        <f ca="1">SUMIFS(rec.uni[2024-02-01],
INDIRECT("rec.uni[natureza]"),"pro.soluto",
INDIRECT("rec.uni[empresa]"),J$6)</f>
        <v>0</v>
      </c>
      <c r="K40" s="45">
        <f ca="1">SUMIFS(rec.uni[2024-02-01],
INDIRECT("rec.uni[natureza]"),"repasse.cef.obra",
INDIRECT("rec.uni[empresa]"),K$6)</f>
        <v>0</v>
      </c>
      <c r="L40" s="45">
        <f ca="1">SUMIFS(rec.uni[2024-02-01],
INDIRECT("rec.uni[natureza]"),"repasse.cef.terreno",
INDIRECT("rec.uni[empresa]"),L$6)</f>
        <v>0</v>
      </c>
      <c r="M40" s="45">
        <v>641961.35</v>
      </c>
      <c r="N40" s="45">
        <f ca="1">SUMIFS(rec.uni[2024-02-01],
INDIRECT("rec.uni[natureza]"),"taxa.extra",
INDIRECT("rec.uni[empresa]"),N$6)</f>
        <v>0</v>
      </c>
      <c r="O40" s="131"/>
      <c r="P40" s="44">
        <f>COUNTIFS(
    estq[empresa], P$6,
    estq[Data da venda / reserva], "&gt;=" &amp; $A40,
    estq[Data da venda / reserva], "&lt;"  &amp; EOMONTH($A40,0) + 1
)</f>
        <v>0</v>
      </c>
      <c r="Q40" s="45">
        <f ca="1">SUMIFS(rec.uni[2024-02-01],
INDIRECT("rec.uni[natureza]"),"pro.soluto",
INDIRECT("rec.uni[empresa]"),Q$6)</f>
        <v>0</v>
      </c>
      <c r="R40" s="45">
        <f ca="1">SUMIFS(rec.uni[2024-02-01],
INDIRECT("rec.uni[natureza]"),"repasse.cef.obra",
INDIRECT("rec.uni[empresa]"),R$6)</f>
        <v>0</v>
      </c>
      <c r="S40" s="45">
        <f ca="1">SUMIFS(rec.uni[2024-02-01],
INDIRECT("rec.uni[natureza]"),"repasse.cef.terreno",
INDIRECT("rec.uni[empresa]"),S$6)</f>
        <v>0</v>
      </c>
      <c r="T40" s="45">
        <v>0</v>
      </c>
      <c r="U40" s="45">
        <f ca="1">SUMIFS(rec.uni[2024-02-01],
INDIRECT("rec.uni[natureza]"),"taxa.extra",
INDIRECT("rec.uni[empresa]"),U$6)</f>
        <v>0</v>
      </c>
      <c r="V40" s="131"/>
      <c r="W40" s="44">
        <f>COUNTIFS(
    estq[empresa], W$6,
    estq[Data da venda / reserva], "&gt;=" &amp; $A40,
    estq[Data da venda / reserva], "&lt;"  &amp; EOMONTH($A40,0) + 1
)</f>
        <v>0</v>
      </c>
      <c r="X40" s="45">
        <f ca="1">SUMIFS(rec.uni[2024-02-01],
INDIRECT("rec.uni[natureza]"),"pro.soluto",
INDIRECT("rec.uni[empresa]"),X$6)</f>
        <v>0</v>
      </c>
      <c r="Y40" s="45">
        <f ca="1">SUMIFS(rec.uni[2024-02-01],
INDIRECT("rec.uni[natureza]"),"repasse.cef.obra",
INDIRECT("rec.uni[empresa]"),Y$6)</f>
        <v>0</v>
      </c>
      <c r="Z40" s="45">
        <f ca="1">SUMIFS(rec.uni[2024-02-01],
INDIRECT("rec.uni[natureza]"),"repasse.cef.terreno",
INDIRECT("rec.uni[empresa]"),Z$6)</f>
        <v>0</v>
      </c>
      <c r="AA40" s="45">
        <v>0</v>
      </c>
      <c r="AB40" s="45">
        <f ca="1">SUMIFS(rec.uni[2024-02-01],
INDIRECT("rec.uni[natureza]"),"taxa.extra",
INDIRECT("rec.uni[empresa]"),AB$6)</f>
        <v>0</v>
      </c>
      <c r="AC40" s="131"/>
      <c r="AD40" s="44">
        <f>COUNTIFS(
    estq[empresa], AD$6,
    estq[Data da venda / reserva], "&gt;=" &amp; $A40,
    estq[Data da venda / reserva], "&lt;"  &amp; EOMONTH($A40,0) + 1
)</f>
        <v>0</v>
      </c>
      <c r="AE40" s="45">
        <f ca="1">SUMIFS(rec.uni[2024-02-01],
INDIRECT("rec.uni[natureza]"),"pro.soluto",
INDIRECT("rec.uni[empresa]"),AE$6)</f>
        <v>0</v>
      </c>
      <c r="AF40" s="38">
        <f ca="1">SUMIFS(rec.uni[2024-02-01],
INDIRECT("rec.uni[natureza]"),"parcela.fin.total.ik",
INDIRECT("rec.uni[empresa]"),AF$6)</f>
        <v>0</v>
      </c>
      <c r="AG40" s="45">
        <f ca="1">SUMIFS(rec.uni[2024-02-01],
INDIRECT("rec.uni[natureza]"),"taxa.extra",
INDIRECT("rec.uni[empresa]"),AG$6)</f>
        <v>0</v>
      </c>
      <c r="AH40" s="131"/>
      <c r="AI40" s="44">
        <f>COUNTIFS(
    estq[empresa], AI$6,
    estq[Data da venda / reserva], "&gt;=" &amp; $A40,
    estq[Data da venda / reserva], "&lt;"  &amp; EOMONTH($A40,0) + 1
)</f>
        <v>0</v>
      </c>
      <c r="AJ40" s="45">
        <f ca="1">SUMIFS(rec.uni[2024-02-01],
INDIRECT("rec.uni[natureza]"),"pro.soluto",
INDIRECT("rec.uni[empresa]"),AJ$6)</f>
        <v>0</v>
      </c>
      <c r="AK40" s="45">
        <f ca="1">SUMIFS(rec.uni[2024-02-01],
INDIRECT("rec.uni[natureza]"),"repasse.cef.obra",
INDIRECT("rec.uni[empresa]"),AK$6)</f>
        <v>0</v>
      </c>
      <c r="AL40" s="45">
        <f ca="1">SUMIFS(rec.uni[2024-02-01],
INDIRECT("rec.uni[natureza]"),"repasse.cef.terreno",
INDIRECT("rec.uni[empresa]"),AL$6)</f>
        <v>0</v>
      </c>
      <c r="AM40" s="45">
        <v>0</v>
      </c>
      <c r="AN40" s="45">
        <f ca="1">SUMIFS(rec.uni[2024-02-01],
INDIRECT("rec.uni[natureza]"),"taxa.extra",
INDIRECT("rec.uni[empresa]"),AN$6)</f>
        <v>0</v>
      </c>
      <c r="AO40" s="131"/>
      <c r="AP40" s="44">
        <f>COUNTIFS(
    estq[empresa], AP$6,
    estq[Data da venda / reserva], "&gt;=" &amp; $A40,
    estq[Data da venda / reserva], "&lt;"  &amp; EOMONTH($A40,0) + 1
)</f>
        <v>0</v>
      </c>
      <c r="AQ40" s="45">
        <f ca="1">SUMIFS(rec.uni[2024-02-01],
INDIRECT("rec.uni[natureza]"),"pro.soluto",
INDIRECT("rec.uni[empresa]"),AQ$6)</f>
        <v>0</v>
      </c>
      <c r="AR40" s="45">
        <f ca="1">SUMIFS(rec.uni[2024-02-01],
INDIRECT("rec.uni[natureza]"),"repasse.cef.obra",
INDIRECT("rec.uni[empresa]"),AR$6)</f>
        <v>0</v>
      </c>
      <c r="AS40" s="45">
        <f ca="1">SUMIFS(rec.uni[2024-02-01],
INDIRECT("rec.uni[natureza]"),"repasse.cef.terreno",
INDIRECT("rec.uni[empresa]"),AS$6)</f>
        <v>0</v>
      </c>
      <c r="AT40" s="45">
        <v>0</v>
      </c>
      <c r="AU40" s="45">
        <f ca="1">SUMIFS(rec.uni[2024-02-01],
INDIRECT("rec.uni[natureza]"),"taxa.extra",
INDIRECT("rec.uni[empresa]"),AU$6)</f>
        <v>0</v>
      </c>
      <c r="AV40" s="131"/>
    </row>
    <row r="41" spans="1:48" x14ac:dyDescent="0.25">
      <c r="A41" s="43">
        <v>45352</v>
      </c>
      <c r="B41" s="44">
        <f>COUNTIFS(
    estq[empresa], B$6,
    estq[Data da venda / reserva], "&gt;=" &amp; $A41,
    estq[Data da venda / reserva], "&lt;"  &amp; EOMONTH($A41,0) + 1
)</f>
        <v>0</v>
      </c>
      <c r="C41" s="45">
        <f ca="1">SUMIFS(rec.uni[2024-03-01],
INDIRECT("rec.uni[natureza]"),"pro.soluto",
INDIRECT("rec.uni[empresa]"),C$6)</f>
        <v>0</v>
      </c>
      <c r="D41" s="45">
        <f ca="1">SUMIFS(rec.uni[2024-03-01],
INDIRECT("rec.uni[natureza]"),"repasse.cef.obra",
INDIRECT("rec.uni[empresa]"),D$6)</f>
        <v>0</v>
      </c>
      <c r="E41" s="45">
        <f ca="1">SUMIFS(rec.uni[2024-03-01],
INDIRECT("rec.uni[natureza]"),"repasse.cef.terreno",
INDIRECT("rec.uni[empresa]"),E$6)</f>
        <v>0</v>
      </c>
      <c r="F41" s="45">
        <v>403051.79</v>
      </c>
      <c r="G41" s="45">
        <f ca="1">SUMIFS(rec.uni[2024-03-01],
INDIRECT("rec.uni[natureza]"),"taxa.extra",
INDIRECT("rec.uni[empresa]"),G$6)</f>
        <v>0</v>
      </c>
      <c r="H41" s="131"/>
      <c r="I41" s="44">
        <f>COUNTIFS(
    estq[empresa], I$6,
    estq[Data da venda / reserva], "&gt;=" &amp; $A41,
    estq[Data da venda / reserva], "&lt;"  &amp; EOMONTH($A41,0) + 1
)</f>
        <v>0</v>
      </c>
      <c r="J41" s="45">
        <f ca="1">SUMIFS(rec.uni[2024-03-01],
INDIRECT("rec.uni[natureza]"),"pro.soluto",
INDIRECT("rec.uni[empresa]"),J$6)</f>
        <v>0</v>
      </c>
      <c r="K41" s="45">
        <f ca="1">SUMIFS(rec.uni[2024-03-01],
INDIRECT("rec.uni[natureza]"),"repasse.cef.obra",
INDIRECT("rec.uni[empresa]"),K$6)</f>
        <v>0</v>
      </c>
      <c r="L41" s="45">
        <f ca="1">SUMIFS(rec.uni[2024-03-01],
INDIRECT("rec.uni[natureza]"),"repasse.cef.terreno",
INDIRECT("rec.uni[empresa]"),L$6)</f>
        <v>0</v>
      </c>
      <c r="M41" s="45">
        <v>412689.22</v>
      </c>
      <c r="N41" s="45">
        <f ca="1">SUMIFS(rec.uni[2024-03-01],
INDIRECT("rec.uni[natureza]"),"taxa.extra",
INDIRECT("rec.uni[empresa]"),N$6)</f>
        <v>0</v>
      </c>
      <c r="O41" s="131"/>
      <c r="P41" s="44">
        <f>COUNTIFS(
    estq[empresa], P$6,
    estq[Data da venda / reserva], "&gt;=" &amp; $A41,
    estq[Data da venda / reserva], "&lt;"  &amp; EOMONTH($A41,0) + 1
)</f>
        <v>0</v>
      </c>
      <c r="Q41" s="45">
        <f ca="1">SUMIFS(rec.uni[2024-03-01],
INDIRECT("rec.uni[natureza]"),"pro.soluto",
INDIRECT("rec.uni[empresa]"),Q$6)</f>
        <v>0</v>
      </c>
      <c r="R41" s="45">
        <f ca="1">SUMIFS(rec.uni[2024-03-01],
INDIRECT("rec.uni[natureza]"),"repasse.cef.obra",
INDIRECT("rec.uni[empresa]"),R$6)</f>
        <v>0</v>
      </c>
      <c r="S41" s="45">
        <f ca="1">SUMIFS(rec.uni[2024-03-01],
INDIRECT("rec.uni[natureza]"),"repasse.cef.terreno",
INDIRECT("rec.uni[empresa]"),S$6)</f>
        <v>0</v>
      </c>
      <c r="T41" s="45">
        <v>0</v>
      </c>
      <c r="U41" s="45">
        <f ca="1">SUMIFS(rec.uni[2024-03-01],
INDIRECT("rec.uni[natureza]"),"taxa.extra",
INDIRECT("rec.uni[empresa]"),U$6)</f>
        <v>0</v>
      </c>
      <c r="V41" s="131"/>
      <c r="W41" s="44">
        <f>COUNTIFS(
    estq[empresa], W$6,
    estq[Data da venda / reserva], "&gt;=" &amp; $A41,
    estq[Data da venda / reserva], "&lt;"  &amp; EOMONTH($A41,0) + 1
)</f>
        <v>0</v>
      </c>
      <c r="X41" s="45">
        <f ca="1">SUMIFS(rec.uni[2024-03-01],
INDIRECT("rec.uni[natureza]"),"pro.soluto",
INDIRECT("rec.uni[empresa]"),X$6)</f>
        <v>0</v>
      </c>
      <c r="Y41" s="45">
        <f ca="1">SUMIFS(rec.uni[2024-03-01],
INDIRECT("rec.uni[natureza]"),"repasse.cef.obra",
INDIRECT("rec.uni[empresa]"),Y$6)</f>
        <v>0</v>
      </c>
      <c r="Z41" s="45">
        <f ca="1">SUMIFS(rec.uni[2024-03-01],
INDIRECT("rec.uni[natureza]"),"repasse.cef.terreno",
INDIRECT("rec.uni[empresa]"),Z$6)</f>
        <v>0</v>
      </c>
      <c r="AA41" s="45">
        <v>0</v>
      </c>
      <c r="AB41" s="45">
        <f ca="1">SUMIFS(rec.uni[2024-03-01],
INDIRECT("rec.uni[natureza]"),"taxa.extra",
INDIRECT("rec.uni[empresa]"),AB$6)</f>
        <v>0</v>
      </c>
      <c r="AC41" s="131"/>
      <c r="AD41" s="44">
        <f>COUNTIFS(
    estq[empresa], AD$6,
    estq[Data da venda / reserva], "&gt;=" &amp; $A41,
    estq[Data da venda / reserva], "&lt;"  &amp; EOMONTH($A41,0) + 1
)</f>
        <v>0</v>
      </c>
      <c r="AE41" s="45">
        <f ca="1">SUMIFS(rec.uni[2024-03-01],
INDIRECT("rec.uni[natureza]"),"pro.soluto",
INDIRECT("rec.uni[empresa]"),AE$6)</f>
        <v>0</v>
      </c>
      <c r="AF41" s="38">
        <f ca="1">SUMIFS(rec.uni[2024-03-01],
INDIRECT("rec.uni[natureza]"),"parcela.fin.total.ik",
INDIRECT("rec.uni[empresa]"),AF$6)</f>
        <v>0</v>
      </c>
      <c r="AG41" s="45">
        <f ca="1">SUMIFS(rec.uni[2024-03-01],
INDIRECT("rec.uni[natureza]"),"taxa.extra",
INDIRECT("rec.uni[empresa]"),AG$6)</f>
        <v>0</v>
      </c>
      <c r="AH41" s="131"/>
      <c r="AI41" s="44">
        <f>COUNTIFS(
    estq[empresa], AI$6,
    estq[Data da venda / reserva], "&gt;=" &amp; $A41,
    estq[Data da venda / reserva], "&lt;"  &amp; EOMONTH($A41,0) + 1
)</f>
        <v>0</v>
      </c>
      <c r="AJ41" s="45">
        <f ca="1">SUMIFS(rec.uni[2024-03-01],
INDIRECT("rec.uni[natureza]"),"pro.soluto",
INDIRECT("rec.uni[empresa]"),AJ$6)</f>
        <v>0</v>
      </c>
      <c r="AK41" s="45">
        <f ca="1">SUMIFS(rec.uni[2024-03-01],
INDIRECT("rec.uni[natureza]"),"repasse.cef.obra",
INDIRECT("rec.uni[empresa]"),AK$6)</f>
        <v>0</v>
      </c>
      <c r="AL41" s="45">
        <f ca="1">SUMIFS(rec.uni[2024-03-01],
INDIRECT("rec.uni[natureza]"),"repasse.cef.terreno",
INDIRECT("rec.uni[empresa]"),AL$6)</f>
        <v>0</v>
      </c>
      <c r="AM41" s="45">
        <v>0</v>
      </c>
      <c r="AN41" s="45">
        <f ca="1">SUMIFS(rec.uni[2024-03-01],
INDIRECT("rec.uni[natureza]"),"taxa.extra",
INDIRECT("rec.uni[empresa]"),AN$6)</f>
        <v>0</v>
      </c>
      <c r="AO41" s="131"/>
      <c r="AP41" s="44">
        <f>COUNTIFS(
    estq[empresa], AP$6,
    estq[Data da venda / reserva], "&gt;=" &amp; $A41,
    estq[Data da venda / reserva], "&lt;"  &amp; EOMONTH($A41,0) + 1
)</f>
        <v>0</v>
      </c>
      <c r="AQ41" s="45">
        <f ca="1">SUMIFS(rec.uni[2024-03-01],
INDIRECT("rec.uni[natureza]"),"pro.soluto",
INDIRECT("rec.uni[empresa]"),AQ$6)</f>
        <v>0</v>
      </c>
      <c r="AR41" s="45">
        <f ca="1">SUMIFS(rec.uni[2024-03-01],
INDIRECT("rec.uni[natureza]"),"repasse.cef.obra",
INDIRECT("rec.uni[empresa]"),AR$6)</f>
        <v>0</v>
      </c>
      <c r="AS41" s="45">
        <f ca="1">SUMIFS(rec.uni[2024-03-01],
INDIRECT("rec.uni[natureza]"),"repasse.cef.terreno",
INDIRECT("rec.uni[empresa]"),AS$6)</f>
        <v>0</v>
      </c>
      <c r="AT41" s="45">
        <v>0</v>
      </c>
      <c r="AU41" s="45">
        <f ca="1">SUMIFS(rec.uni[2024-03-01],
INDIRECT("rec.uni[natureza]"),"taxa.extra",
INDIRECT("rec.uni[empresa]"),AU$6)</f>
        <v>0</v>
      </c>
      <c r="AV41" s="131"/>
    </row>
    <row r="42" spans="1:48" x14ac:dyDescent="0.25">
      <c r="A42" s="43">
        <v>45383</v>
      </c>
      <c r="B42" s="44">
        <f>COUNTIFS(
    estq[empresa], B$6,
    estq[Data da venda / reserva], "&gt;=" &amp; $A42,
    estq[Data da venda / reserva], "&lt;"  &amp; EOMONTH($A42,0) + 1
)</f>
        <v>0</v>
      </c>
      <c r="C42" s="45">
        <f ca="1">SUMIFS(rec.uni[2024-04-01],
INDIRECT("rec.uni[natureza]"),"pro.soluto",
INDIRECT("rec.uni[empresa]"),C$6)</f>
        <v>0</v>
      </c>
      <c r="D42" s="45">
        <f ca="1">SUMIFS(rec.uni[2024-04-01],
INDIRECT("rec.uni[natureza]"),"repasse.cef.obra",
INDIRECT("rec.uni[empresa]"),D$6)</f>
        <v>0</v>
      </c>
      <c r="E42" s="45">
        <f ca="1">SUMIFS(rec.uni[2024-04-01],
INDIRECT("rec.uni[natureza]"),"repasse.cef.terreno",
INDIRECT("rec.uni[empresa]"),E$6)</f>
        <v>0</v>
      </c>
      <c r="F42" s="45">
        <v>516683.36</v>
      </c>
      <c r="G42" s="45">
        <f ca="1">SUMIFS(rec.uni[2024-04-01],
INDIRECT("rec.uni[natureza]"),"taxa.extra",
INDIRECT("rec.uni[empresa]"),G$6)</f>
        <v>0</v>
      </c>
      <c r="H42" s="131"/>
      <c r="I42" s="44">
        <f>COUNTIFS(
    estq[empresa], I$6,
    estq[Data da venda / reserva], "&gt;=" &amp; $A42,
    estq[Data da venda / reserva], "&lt;"  &amp; EOMONTH($A42,0) + 1
)</f>
        <v>0</v>
      </c>
      <c r="J42" s="45">
        <f ca="1">SUMIFS(rec.uni[2024-04-01],
INDIRECT("rec.uni[natureza]"),"pro.soluto",
INDIRECT("rec.uni[empresa]"),J$6)</f>
        <v>0</v>
      </c>
      <c r="K42" s="45">
        <f ca="1">SUMIFS(rec.uni[2024-04-01],
INDIRECT("rec.uni[natureza]"),"repasse.cef.obra",
INDIRECT("rec.uni[empresa]"),K$6)</f>
        <v>0</v>
      </c>
      <c r="L42" s="45">
        <f ca="1">SUMIFS(rec.uni[2024-04-01],
INDIRECT("rec.uni[natureza]"),"repasse.cef.terreno",
INDIRECT("rec.uni[empresa]"),L$6)</f>
        <v>0</v>
      </c>
      <c r="M42" s="45">
        <v>556963.03</v>
      </c>
      <c r="N42" s="45">
        <f ca="1">SUMIFS(rec.uni[2024-04-01],
INDIRECT("rec.uni[natureza]"),"taxa.extra",
INDIRECT("rec.uni[empresa]"),N$6)</f>
        <v>0</v>
      </c>
      <c r="O42" s="131"/>
      <c r="P42" s="44">
        <f>COUNTIFS(
    estq[empresa], P$6,
    estq[Data da venda / reserva], "&gt;=" &amp; $A42,
    estq[Data da venda / reserva], "&lt;"  &amp; EOMONTH($A42,0) + 1
)</f>
        <v>0</v>
      </c>
      <c r="Q42" s="45">
        <f ca="1">SUMIFS(rec.uni[2024-04-01],
INDIRECT("rec.uni[natureza]"),"pro.soluto",
INDIRECT("rec.uni[empresa]"),Q$6)</f>
        <v>0</v>
      </c>
      <c r="R42" s="45">
        <f ca="1">SUMIFS(rec.uni[2024-04-01],
INDIRECT("rec.uni[natureza]"),"repasse.cef.obra",
INDIRECT("rec.uni[empresa]"),R$6)</f>
        <v>0</v>
      </c>
      <c r="S42" s="45">
        <f ca="1">SUMIFS(rec.uni[2024-04-01],
INDIRECT("rec.uni[natureza]"),"repasse.cef.terreno",
INDIRECT("rec.uni[empresa]"),S$6)</f>
        <v>0</v>
      </c>
      <c r="T42" s="45">
        <v>0</v>
      </c>
      <c r="U42" s="45">
        <f ca="1">SUMIFS(rec.uni[2024-04-01],
INDIRECT("rec.uni[natureza]"),"taxa.extra",
INDIRECT("rec.uni[empresa]"),U$6)</f>
        <v>0</v>
      </c>
      <c r="V42" s="131"/>
      <c r="W42" s="44">
        <f>COUNTIFS(
    estq[empresa], W$6,
    estq[Data da venda / reserva], "&gt;=" &amp; $A42,
    estq[Data da venda / reserva], "&lt;"  &amp; EOMONTH($A42,0) + 1
)</f>
        <v>0</v>
      </c>
      <c r="X42" s="45">
        <f ca="1">SUMIFS(rec.uni[2024-04-01],
INDIRECT("rec.uni[natureza]"),"pro.soluto",
INDIRECT("rec.uni[empresa]"),X$6)</f>
        <v>0</v>
      </c>
      <c r="Y42" s="45">
        <f ca="1">SUMIFS(rec.uni[2024-04-01],
INDIRECT("rec.uni[natureza]"),"repasse.cef.obra",
INDIRECT("rec.uni[empresa]"),Y$6)</f>
        <v>0</v>
      </c>
      <c r="Z42" s="45">
        <f ca="1">SUMIFS(rec.uni[2024-04-01],
INDIRECT("rec.uni[natureza]"),"repasse.cef.terreno",
INDIRECT("rec.uni[empresa]"),Z$6)</f>
        <v>0</v>
      </c>
      <c r="AA42" s="45">
        <v>0</v>
      </c>
      <c r="AB42" s="45">
        <f ca="1">SUMIFS(rec.uni[2024-04-01],
INDIRECT("rec.uni[natureza]"),"taxa.extra",
INDIRECT("rec.uni[empresa]"),AB$6)</f>
        <v>0</v>
      </c>
      <c r="AC42" s="131"/>
      <c r="AD42" s="44">
        <f>COUNTIFS(
    estq[empresa], AD$6,
    estq[Data da venda / reserva], "&gt;=" &amp; $A42,
    estq[Data da venda / reserva], "&lt;"  &amp; EOMONTH($A42,0) + 1
)</f>
        <v>0</v>
      </c>
      <c r="AE42" s="45">
        <f ca="1">SUMIFS(rec.uni[2024-04-01],
INDIRECT("rec.uni[natureza]"),"pro.soluto",
INDIRECT("rec.uni[empresa]"),AE$6)</f>
        <v>0</v>
      </c>
      <c r="AF42" s="38">
        <f ca="1">SUMIFS(rec.uni[2024-04-01],
INDIRECT("rec.uni[natureza]"),"parcela.fin.total.ik",
INDIRECT("rec.uni[empresa]"),AF$6)</f>
        <v>0</v>
      </c>
      <c r="AG42" s="45">
        <f ca="1">SUMIFS(rec.uni[2024-04-01],
INDIRECT("rec.uni[natureza]"),"taxa.extra",
INDIRECT("rec.uni[empresa]"),AG$6)</f>
        <v>0</v>
      </c>
      <c r="AH42" s="131"/>
      <c r="AI42" s="44">
        <f>COUNTIFS(
    estq[empresa], AI$6,
    estq[Data da venda / reserva], "&gt;=" &amp; $A42,
    estq[Data da venda / reserva], "&lt;"  &amp; EOMONTH($A42,0) + 1
)</f>
        <v>0</v>
      </c>
      <c r="AJ42" s="45">
        <f ca="1">SUMIFS(rec.uni[2024-04-01],
INDIRECT("rec.uni[natureza]"),"pro.soluto",
INDIRECT("rec.uni[empresa]"),AJ$6)</f>
        <v>0</v>
      </c>
      <c r="AK42" s="45">
        <f ca="1">SUMIFS(rec.uni[2024-04-01],
INDIRECT("rec.uni[natureza]"),"repasse.cef.obra",
INDIRECT("rec.uni[empresa]"),AK$6)</f>
        <v>0</v>
      </c>
      <c r="AL42" s="45">
        <f ca="1">SUMIFS(rec.uni[2024-04-01],
INDIRECT("rec.uni[natureza]"),"repasse.cef.terreno",
INDIRECT("rec.uni[empresa]"),AL$6)</f>
        <v>0</v>
      </c>
      <c r="AM42" s="45">
        <v>0</v>
      </c>
      <c r="AN42" s="45">
        <f ca="1">SUMIFS(rec.uni[2024-04-01],
INDIRECT("rec.uni[natureza]"),"taxa.extra",
INDIRECT("rec.uni[empresa]"),AN$6)</f>
        <v>0</v>
      </c>
      <c r="AO42" s="131"/>
      <c r="AP42" s="44">
        <f>COUNTIFS(
    estq[empresa], AP$6,
    estq[Data da venda / reserva], "&gt;=" &amp; $A42,
    estq[Data da venda / reserva], "&lt;"  &amp; EOMONTH($A42,0) + 1
)</f>
        <v>0</v>
      </c>
      <c r="AQ42" s="45">
        <f ca="1">SUMIFS(rec.uni[2024-04-01],
INDIRECT("rec.uni[natureza]"),"pro.soluto",
INDIRECT("rec.uni[empresa]"),AQ$6)</f>
        <v>0</v>
      </c>
      <c r="AR42" s="45">
        <f ca="1">SUMIFS(rec.uni[2024-04-01],
INDIRECT("rec.uni[natureza]"),"repasse.cef.obra",
INDIRECT("rec.uni[empresa]"),AR$6)</f>
        <v>0</v>
      </c>
      <c r="AS42" s="45">
        <f ca="1">SUMIFS(rec.uni[2024-04-01],
INDIRECT("rec.uni[natureza]"),"repasse.cef.terreno",
INDIRECT("rec.uni[empresa]"),AS$6)</f>
        <v>0</v>
      </c>
      <c r="AT42" s="45">
        <v>0</v>
      </c>
      <c r="AU42" s="45">
        <f ca="1">SUMIFS(rec.uni[2024-04-01],
INDIRECT("rec.uni[natureza]"),"taxa.extra",
INDIRECT("rec.uni[empresa]"),AU$6)</f>
        <v>0</v>
      </c>
      <c r="AV42" s="131"/>
    </row>
    <row r="43" spans="1:48" x14ac:dyDescent="0.25">
      <c r="A43" s="43">
        <v>45413</v>
      </c>
      <c r="B43" s="44">
        <f>COUNTIFS(
    estq[empresa], B$6,
    estq[Data da venda / reserva], "&gt;=" &amp; $A43,
    estq[Data da venda / reserva], "&lt;"  &amp; EOMONTH($A43,0) + 1
)</f>
        <v>0</v>
      </c>
      <c r="C43" s="45">
        <f ca="1">SUMIFS(rec.uni[2024-05-01],
INDIRECT("rec.uni[natureza]"),"pro.soluto",
INDIRECT("rec.uni[empresa]"),C$6)</f>
        <v>0</v>
      </c>
      <c r="D43" s="45">
        <f ca="1">SUMIFS(rec.uni[2024-05-01],
INDIRECT("rec.uni[natureza]"),"repasse.cef.obra",
INDIRECT("rec.uni[empresa]"),D$6)</f>
        <v>0</v>
      </c>
      <c r="E43" s="45">
        <f ca="1">SUMIFS(rec.uni[2024-05-01],
INDIRECT("rec.uni[natureza]"),"repasse.cef.terreno",
INDIRECT("rec.uni[empresa]"),E$6)</f>
        <v>0</v>
      </c>
      <c r="F43" s="45">
        <v>0</v>
      </c>
      <c r="G43" s="45">
        <f ca="1">SUMIFS(rec.uni[2024-05-01],
INDIRECT("rec.uni[natureza]"),"taxa.extra",
INDIRECT("rec.uni[empresa]"),G$6)</f>
        <v>0</v>
      </c>
      <c r="H43" s="131"/>
      <c r="I43" s="44">
        <f>COUNTIFS(
    estq[empresa], I$6,
    estq[Data da venda / reserva], "&gt;=" &amp; $A43,
    estq[Data da venda / reserva], "&lt;"  &amp; EOMONTH($A43,0) + 1
)</f>
        <v>0</v>
      </c>
      <c r="J43" s="45">
        <f ca="1">SUMIFS(rec.uni[2024-05-01],
INDIRECT("rec.uni[natureza]"),"pro.soluto",
INDIRECT("rec.uni[empresa]"),J$6)</f>
        <v>0</v>
      </c>
      <c r="K43" s="45">
        <f ca="1">SUMIFS(rec.uni[2024-05-01],
INDIRECT("rec.uni[natureza]"),"repasse.cef.obra",
INDIRECT("rec.uni[empresa]"),K$6)</f>
        <v>0</v>
      </c>
      <c r="L43" s="45">
        <f ca="1">SUMIFS(rec.uni[2024-05-01],
INDIRECT("rec.uni[natureza]"),"repasse.cef.terreno",
INDIRECT("rec.uni[empresa]"),L$6)</f>
        <v>0</v>
      </c>
      <c r="M43" s="45">
        <v>0</v>
      </c>
      <c r="N43" s="45">
        <f ca="1">SUMIFS(rec.uni[2024-05-01],
INDIRECT("rec.uni[natureza]"),"taxa.extra",
INDIRECT("rec.uni[empresa]"),N$6)</f>
        <v>0</v>
      </c>
      <c r="O43" s="131"/>
      <c r="P43" s="44">
        <f>COUNTIFS(
    estq[empresa], P$6,
    estq[Data da venda / reserva], "&gt;=" &amp; $A43,
    estq[Data da venda / reserva], "&lt;"  &amp; EOMONTH($A43,0) + 1
)</f>
        <v>0</v>
      </c>
      <c r="Q43" s="45">
        <f ca="1">SUMIFS(rec.uni[2024-05-01],
INDIRECT("rec.uni[natureza]"),"pro.soluto",
INDIRECT("rec.uni[empresa]"),Q$6)</f>
        <v>0</v>
      </c>
      <c r="R43" s="45">
        <f ca="1">SUMIFS(rec.uni[2024-05-01],
INDIRECT("rec.uni[natureza]"),"repasse.cef.obra",
INDIRECT("rec.uni[empresa]"),R$6)</f>
        <v>0</v>
      </c>
      <c r="S43" s="45">
        <f ca="1">SUMIFS(rec.uni[2024-05-01],
INDIRECT("rec.uni[natureza]"),"repasse.cef.terreno",
INDIRECT("rec.uni[empresa]"),S$6)</f>
        <v>0</v>
      </c>
      <c r="T43" s="45">
        <v>0</v>
      </c>
      <c r="U43" s="45">
        <f ca="1">SUMIFS(rec.uni[2024-05-01],
INDIRECT("rec.uni[natureza]"),"taxa.extra",
INDIRECT("rec.uni[empresa]"),U$6)</f>
        <v>0</v>
      </c>
      <c r="V43" s="131"/>
      <c r="W43" s="44">
        <f>COUNTIFS(
    estq[empresa], W$6,
    estq[Data da venda / reserva], "&gt;=" &amp; $A43,
    estq[Data da venda / reserva], "&lt;"  &amp; EOMONTH($A43,0) + 1
)</f>
        <v>0</v>
      </c>
      <c r="X43" s="45">
        <f ca="1">SUMIFS(rec.uni[2024-05-01],
INDIRECT("rec.uni[natureza]"),"pro.soluto",
INDIRECT("rec.uni[empresa]"),X$6)</f>
        <v>0</v>
      </c>
      <c r="Y43" s="45">
        <f ca="1">SUMIFS(rec.uni[2024-05-01],
INDIRECT("rec.uni[natureza]"),"repasse.cef.obra",
INDIRECT("rec.uni[empresa]"),Y$6)</f>
        <v>0</v>
      </c>
      <c r="Z43" s="45">
        <f ca="1">SUMIFS(rec.uni[2024-05-01],
INDIRECT("rec.uni[natureza]"),"repasse.cef.terreno",
INDIRECT("rec.uni[empresa]"),Z$6)</f>
        <v>0</v>
      </c>
      <c r="AA43" s="45">
        <v>0</v>
      </c>
      <c r="AB43" s="45">
        <f ca="1">SUMIFS(rec.uni[2024-05-01],
INDIRECT("rec.uni[natureza]"),"taxa.extra",
INDIRECT("rec.uni[empresa]"),AB$6)</f>
        <v>0</v>
      </c>
      <c r="AC43" s="131"/>
      <c r="AD43" s="44">
        <f>COUNTIFS(
    estq[empresa], AD$6,
    estq[Data da venda / reserva], "&gt;=" &amp; $A43,
    estq[Data da venda / reserva], "&lt;"  &amp; EOMONTH($A43,0) + 1
)</f>
        <v>0</v>
      </c>
      <c r="AE43" s="45">
        <f ca="1">SUMIFS(rec.uni[2024-05-01],
INDIRECT("rec.uni[natureza]"),"pro.soluto",
INDIRECT("rec.uni[empresa]"),AE$6)</f>
        <v>0</v>
      </c>
      <c r="AF43" s="38">
        <f ca="1">SUMIFS(rec.uni[2024-05-01],
INDIRECT("rec.uni[natureza]"),"parcela.fin.total.ik",
INDIRECT("rec.uni[empresa]"),AF$6)</f>
        <v>0</v>
      </c>
      <c r="AG43" s="45">
        <f ca="1">SUMIFS(rec.uni[2024-05-01],
INDIRECT("rec.uni[natureza]"),"taxa.extra",
INDIRECT("rec.uni[empresa]"),AG$6)</f>
        <v>0</v>
      </c>
      <c r="AH43" s="131"/>
      <c r="AI43" s="44">
        <f>COUNTIFS(
    estq[empresa], AI$6,
    estq[Data da venda / reserva], "&gt;=" &amp; $A43,
    estq[Data da venda / reserva], "&lt;"  &amp; EOMONTH($A43,0) + 1
)</f>
        <v>0</v>
      </c>
      <c r="AJ43" s="45">
        <f ca="1">SUMIFS(rec.uni[2024-05-01],
INDIRECT("rec.uni[natureza]"),"pro.soluto",
INDIRECT("rec.uni[empresa]"),AJ$6)</f>
        <v>0</v>
      </c>
      <c r="AK43" s="45">
        <f ca="1">SUMIFS(rec.uni[2024-05-01],
INDIRECT("rec.uni[natureza]"),"repasse.cef.obra",
INDIRECT("rec.uni[empresa]"),AK$6)</f>
        <v>0</v>
      </c>
      <c r="AL43" s="45">
        <f ca="1">SUMIFS(rec.uni[2024-05-01],
INDIRECT("rec.uni[natureza]"),"repasse.cef.terreno",
INDIRECT("rec.uni[empresa]"),AL$6)</f>
        <v>0</v>
      </c>
      <c r="AM43" s="45">
        <v>0</v>
      </c>
      <c r="AN43" s="45">
        <f ca="1">SUMIFS(rec.uni[2024-05-01],
INDIRECT("rec.uni[natureza]"),"taxa.extra",
INDIRECT("rec.uni[empresa]"),AN$6)</f>
        <v>0</v>
      </c>
      <c r="AO43" s="131"/>
      <c r="AP43" s="44">
        <f>COUNTIFS(
    estq[empresa], AP$6,
    estq[Data da venda / reserva], "&gt;=" &amp; $A43,
    estq[Data da venda / reserva], "&lt;"  &amp; EOMONTH($A43,0) + 1
)</f>
        <v>0</v>
      </c>
      <c r="AQ43" s="45">
        <f ca="1">SUMIFS(rec.uni[2024-05-01],
INDIRECT("rec.uni[natureza]"),"pro.soluto",
INDIRECT("rec.uni[empresa]"),AQ$6)</f>
        <v>0</v>
      </c>
      <c r="AR43" s="45">
        <f ca="1">SUMIFS(rec.uni[2024-05-01],
INDIRECT("rec.uni[natureza]"),"repasse.cef.obra",
INDIRECT("rec.uni[empresa]"),AR$6)</f>
        <v>0</v>
      </c>
      <c r="AS43" s="45">
        <f ca="1">SUMIFS(rec.uni[2024-05-01],
INDIRECT("rec.uni[natureza]"),"repasse.cef.terreno",
INDIRECT("rec.uni[empresa]"),AS$6)</f>
        <v>0</v>
      </c>
      <c r="AT43" s="45">
        <v>0</v>
      </c>
      <c r="AU43" s="45">
        <f ca="1">SUMIFS(rec.uni[2024-05-01],
INDIRECT("rec.uni[natureza]"),"taxa.extra",
INDIRECT("rec.uni[empresa]"),AU$6)</f>
        <v>0</v>
      </c>
      <c r="AV43" s="131"/>
    </row>
    <row r="44" spans="1:48" x14ac:dyDescent="0.25">
      <c r="A44" s="43">
        <v>45444</v>
      </c>
      <c r="B44" s="44">
        <f>COUNTIFS(
    estq[empresa], B$6,
    estq[Data da venda / reserva], "&gt;=" &amp; $A44,
    estq[Data da venda / reserva], "&lt;"  &amp; EOMONTH($A44,0) + 1
)</f>
        <v>0</v>
      </c>
      <c r="C44" s="45">
        <f ca="1">SUMIFS(rec.uni[2024-06-01],
INDIRECT("rec.uni[natureza]"),"pro.soluto",
INDIRECT("rec.uni[empresa]"),C$6)</f>
        <v>0</v>
      </c>
      <c r="D44" s="45">
        <f ca="1">SUMIFS(rec.uni[2024-06-01],
INDIRECT("rec.uni[natureza]"),"repasse.cef.obra",
INDIRECT("rec.uni[empresa]"),D$6)</f>
        <v>0</v>
      </c>
      <c r="E44" s="45">
        <f ca="1">SUMIFS(rec.uni[2024-06-01],
INDIRECT("rec.uni[natureza]"),"repasse.cef.terreno",
INDIRECT("rec.uni[empresa]"),E$6)</f>
        <v>0</v>
      </c>
      <c r="F44" s="45">
        <v>0</v>
      </c>
      <c r="G44" s="45">
        <f ca="1">SUMIFS(rec.uni[2024-06-01],
INDIRECT("rec.uni[natureza]"),"taxa.extra",
INDIRECT("rec.uni[empresa]"),G$6)</f>
        <v>0</v>
      </c>
      <c r="H44" s="131"/>
      <c r="I44" s="44">
        <f>COUNTIFS(
    estq[empresa], I$6,
    estq[Data da venda / reserva], "&gt;=" &amp; $A44,
    estq[Data da venda / reserva], "&lt;"  &amp; EOMONTH($A44,0) + 1
)</f>
        <v>0</v>
      </c>
      <c r="J44" s="45">
        <f ca="1">SUMIFS(rec.uni[2024-06-01],
INDIRECT("rec.uni[natureza]"),"pro.soluto",
INDIRECT("rec.uni[empresa]"),J$6)</f>
        <v>0</v>
      </c>
      <c r="K44" s="45">
        <f ca="1">SUMIFS(rec.uni[2024-06-01],
INDIRECT("rec.uni[natureza]"),"repasse.cef.obra",
INDIRECT("rec.uni[empresa]"),K$6)</f>
        <v>0</v>
      </c>
      <c r="L44" s="45">
        <f ca="1">SUMIFS(rec.uni[2024-06-01],
INDIRECT("rec.uni[natureza]"),"repasse.cef.terreno",
INDIRECT("rec.uni[empresa]"),L$6)</f>
        <v>0</v>
      </c>
      <c r="M44" s="45">
        <v>0</v>
      </c>
      <c r="N44" s="45">
        <f ca="1">SUMIFS(rec.uni[2024-06-01],
INDIRECT("rec.uni[natureza]"),"taxa.extra",
INDIRECT("rec.uni[empresa]"),N$6)</f>
        <v>0</v>
      </c>
      <c r="O44" s="131"/>
      <c r="P44" s="44">
        <f>COUNTIFS(
    estq[empresa], P$6,
    estq[Data da venda / reserva], "&gt;=" &amp; $A44,
    estq[Data da venda / reserva], "&lt;"  &amp; EOMONTH($A44,0) + 1
)</f>
        <v>0</v>
      </c>
      <c r="Q44" s="45">
        <f ca="1">SUMIFS(rec.uni[2024-06-01],
INDIRECT("rec.uni[natureza]"),"pro.soluto",
INDIRECT("rec.uni[empresa]"),Q$6)</f>
        <v>0</v>
      </c>
      <c r="R44" s="45">
        <f ca="1">SUMIFS(rec.uni[2024-06-01],
INDIRECT("rec.uni[natureza]"),"repasse.cef.obra",
INDIRECT("rec.uni[empresa]"),R$6)</f>
        <v>0</v>
      </c>
      <c r="S44" s="45">
        <f ca="1">SUMIFS(rec.uni[2024-06-01],
INDIRECT("rec.uni[natureza]"),"repasse.cef.terreno",
INDIRECT("rec.uni[empresa]"),S$6)</f>
        <v>0</v>
      </c>
      <c r="T44" s="45">
        <v>0</v>
      </c>
      <c r="U44" s="45">
        <f ca="1">SUMIFS(rec.uni[2024-06-01],
INDIRECT("rec.uni[natureza]"),"taxa.extra",
INDIRECT("rec.uni[empresa]"),U$6)</f>
        <v>0</v>
      </c>
      <c r="V44" s="131"/>
      <c r="W44" s="44">
        <f>COUNTIFS(
    estq[empresa], W$6,
    estq[Data da venda / reserva], "&gt;=" &amp; $A44,
    estq[Data da venda / reserva], "&lt;"  &amp; EOMONTH($A44,0) + 1
)</f>
        <v>0</v>
      </c>
      <c r="X44" s="45">
        <f ca="1">SUMIFS(rec.uni[2024-06-01],
INDIRECT("rec.uni[natureza]"),"pro.soluto",
INDIRECT("rec.uni[empresa]"),X$6)</f>
        <v>0</v>
      </c>
      <c r="Y44" s="45">
        <f ca="1">SUMIFS(rec.uni[2024-06-01],
INDIRECT("rec.uni[natureza]"),"repasse.cef.obra",
INDIRECT("rec.uni[empresa]"),Y$6)</f>
        <v>0</v>
      </c>
      <c r="Z44" s="45">
        <f ca="1">SUMIFS(rec.uni[2024-06-01],
INDIRECT("rec.uni[natureza]"),"repasse.cef.terreno",
INDIRECT("rec.uni[empresa]"),Z$6)</f>
        <v>0</v>
      </c>
      <c r="AA44" s="45">
        <v>0</v>
      </c>
      <c r="AB44" s="45">
        <f ca="1">SUMIFS(rec.uni[2024-06-01],
INDIRECT("rec.uni[natureza]"),"taxa.extra",
INDIRECT("rec.uni[empresa]"),AB$6)</f>
        <v>0</v>
      </c>
      <c r="AC44" s="131"/>
      <c r="AD44" s="44">
        <f>COUNTIFS(
    estq[empresa], AD$6,
    estq[Data da venda / reserva], "&gt;=" &amp; $A44,
    estq[Data da venda / reserva], "&lt;"  &amp; EOMONTH($A44,0) + 1
)</f>
        <v>0</v>
      </c>
      <c r="AE44" s="45">
        <f ca="1">SUMIFS(rec.uni[2024-06-01],
INDIRECT("rec.uni[natureza]"),"pro.soluto",
INDIRECT("rec.uni[empresa]"),AE$6)</f>
        <v>0</v>
      </c>
      <c r="AF44" s="38">
        <f ca="1">SUMIFS(rec.uni[2024-06-01],
INDIRECT("rec.uni[natureza]"),"parcela.fin.total.ik",
INDIRECT("rec.uni[empresa]"),AF$6)</f>
        <v>0</v>
      </c>
      <c r="AG44" s="45">
        <f ca="1">SUMIFS(rec.uni[2024-06-01],
INDIRECT("rec.uni[natureza]"),"taxa.extra",
INDIRECT("rec.uni[empresa]"),AG$6)</f>
        <v>0</v>
      </c>
      <c r="AH44" s="131"/>
      <c r="AI44" s="44">
        <f>COUNTIFS(
    estq[empresa], AI$6,
    estq[Data da venda / reserva], "&gt;=" &amp; $A44,
    estq[Data da venda / reserva], "&lt;"  &amp; EOMONTH($A44,0) + 1
)</f>
        <v>0</v>
      </c>
      <c r="AJ44" s="45">
        <f ca="1">SUMIFS(rec.uni[2024-06-01],
INDIRECT("rec.uni[natureza]"),"pro.soluto",
INDIRECT("rec.uni[empresa]"),AJ$6)</f>
        <v>0</v>
      </c>
      <c r="AK44" s="45">
        <f ca="1">SUMIFS(rec.uni[2024-06-01],
INDIRECT("rec.uni[natureza]"),"repasse.cef.obra",
INDIRECT("rec.uni[empresa]"),AK$6)</f>
        <v>0</v>
      </c>
      <c r="AL44" s="45">
        <f ca="1">SUMIFS(rec.uni[2024-06-01],
INDIRECT("rec.uni[natureza]"),"repasse.cef.terreno",
INDIRECT("rec.uni[empresa]"),AL$6)</f>
        <v>0</v>
      </c>
      <c r="AM44" s="45">
        <v>0</v>
      </c>
      <c r="AN44" s="45">
        <f ca="1">SUMIFS(rec.uni[2024-06-01],
INDIRECT("rec.uni[natureza]"),"taxa.extra",
INDIRECT("rec.uni[empresa]"),AN$6)</f>
        <v>0</v>
      </c>
      <c r="AO44" s="131"/>
      <c r="AP44" s="44">
        <f>COUNTIFS(
    estq[empresa], AP$6,
    estq[Data da venda / reserva], "&gt;=" &amp; $A44,
    estq[Data da venda / reserva], "&lt;"  &amp; EOMONTH($A44,0) + 1
)</f>
        <v>0</v>
      </c>
      <c r="AQ44" s="45">
        <f ca="1">SUMIFS(rec.uni[2024-06-01],
INDIRECT("rec.uni[natureza]"),"pro.soluto",
INDIRECT("rec.uni[empresa]"),AQ$6)</f>
        <v>0</v>
      </c>
      <c r="AR44" s="45">
        <f ca="1">SUMIFS(rec.uni[2024-06-01],
INDIRECT("rec.uni[natureza]"),"repasse.cef.obra",
INDIRECT("rec.uni[empresa]"),AR$6)</f>
        <v>0</v>
      </c>
      <c r="AS44" s="45">
        <f ca="1">SUMIFS(rec.uni[2024-06-01],
INDIRECT("rec.uni[natureza]"),"repasse.cef.terreno",
INDIRECT("rec.uni[empresa]"),AS$6)</f>
        <v>0</v>
      </c>
      <c r="AT44" s="45">
        <v>0</v>
      </c>
      <c r="AU44" s="45">
        <f ca="1">SUMIFS(rec.uni[2024-06-01],
INDIRECT("rec.uni[natureza]"),"taxa.extra",
INDIRECT("rec.uni[empresa]"),AU$6)</f>
        <v>0</v>
      </c>
      <c r="AV44" s="131"/>
    </row>
    <row r="45" spans="1:48" x14ac:dyDescent="0.25">
      <c r="A45" s="43">
        <v>45474</v>
      </c>
      <c r="B45" s="44">
        <f>COUNTIFS(
    estq[empresa], B$6,
    estq[Data da venda / reserva], "&gt;=" &amp; $A45,
    estq[Data da venda / reserva], "&lt;"  &amp; EOMONTH($A45,0) + 1
)</f>
        <v>0</v>
      </c>
      <c r="C45" s="45">
        <f ca="1">SUMIFS(rec.uni[2024-07-01],
INDIRECT("rec.uni[natureza]"),"pro.soluto",
INDIRECT("rec.uni[empresa]"),C$6)</f>
        <v>0</v>
      </c>
      <c r="D45" s="45">
        <f ca="1">SUMIFS(rec.uni[2024-07-01],
INDIRECT("rec.uni[natureza]"),"repasse.cef.obra",
INDIRECT("rec.uni[empresa]"),D$6)</f>
        <v>0</v>
      </c>
      <c r="E45" s="45">
        <f ca="1">SUMIFS(rec.uni[2024-07-01],
INDIRECT("rec.uni[natureza]"),"repasse.cef.terreno",
INDIRECT("rec.uni[empresa]"),E$6)</f>
        <v>0</v>
      </c>
      <c r="F45" s="45">
        <v>0</v>
      </c>
      <c r="G45" s="45">
        <f ca="1">SUMIFS(rec.uni[2024-07-01],
INDIRECT("rec.uni[natureza]"),"taxa.extra",
INDIRECT("rec.uni[empresa]"),G$6)</f>
        <v>0</v>
      </c>
      <c r="H45" s="131"/>
      <c r="I45" s="44">
        <f>COUNTIFS(
    estq[empresa], I$6,
    estq[Data da venda / reserva], "&gt;=" &amp; $A45,
    estq[Data da venda / reserva], "&lt;"  &amp; EOMONTH($A45,0) + 1
)</f>
        <v>0</v>
      </c>
      <c r="J45" s="45">
        <f ca="1">SUMIFS(rec.uni[2024-07-01],
INDIRECT("rec.uni[natureza]"),"pro.soluto",
INDIRECT("rec.uni[empresa]"),J$6)</f>
        <v>0</v>
      </c>
      <c r="K45" s="45">
        <f ca="1">SUMIFS(rec.uni[2024-07-01],
INDIRECT("rec.uni[natureza]"),"repasse.cef.obra",
INDIRECT("rec.uni[empresa]"),K$6)</f>
        <v>0</v>
      </c>
      <c r="L45" s="45">
        <f ca="1">SUMIFS(rec.uni[2024-07-01],
INDIRECT("rec.uni[natureza]"),"repasse.cef.terreno",
INDIRECT("rec.uni[empresa]"),L$6)</f>
        <v>0</v>
      </c>
      <c r="M45" s="45">
        <v>0</v>
      </c>
      <c r="N45" s="45">
        <f ca="1">SUMIFS(rec.uni[2024-07-01],
INDIRECT("rec.uni[natureza]"),"taxa.extra",
INDIRECT("rec.uni[empresa]"),N$6)</f>
        <v>0</v>
      </c>
      <c r="O45" s="131"/>
      <c r="P45" s="44">
        <f>COUNTIFS(
    estq[empresa], P$6,
    estq[Data da venda / reserva], "&gt;=" &amp; $A45,
    estq[Data da venda / reserva], "&lt;"  &amp; EOMONTH($A45,0) + 1
)</f>
        <v>0</v>
      </c>
      <c r="Q45" s="45">
        <f ca="1">SUMIFS(rec.uni[2024-07-01],
INDIRECT("rec.uni[natureza]"),"pro.soluto",
INDIRECT("rec.uni[empresa]"),Q$6)</f>
        <v>0</v>
      </c>
      <c r="R45" s="45">
        <f ca="1">SUMIFS(rec.uni[2024-07-01],
INDIRECT("rec.uni[natureza]"),"repasse.cef.obra",
INDIRECT("rec.uni[empresa]"),R$6)</f>
        <v>0</v>
      </c>
      <c r="S45" s="45">
        <f ca="1">SUMIFS(rec.uni[2024-07-01],
INDIRECT("rec.uni[natureza]"),"repasse.cef.terreno",
INDIRECT("rec.uni[empresa]"),S$6)</f>
        <v>0</v>
      </c>
      <c r="T45" s="45">
        <v>0</v>
      </c>
      <c r="U45" s="45">
        <f ca="1">SUMIFS(rec.uni[2024-07-01],
INDIRECT("rec.uni[natureza]"),"taxa.extra",
INDIRECT("rec.uni[empresa]"),U$6)</f>
        <v>0</v>
      </c>
      <c r="V45" s="131"/>
      <c r="W45" s="44">
        <f>COUNTIFS(
    estq[empresa], W$6,
    estq[Data da venda / reserva], "&gt;=" &amp; $A45,
    estq[Data da venda / reserva], "&lt;"  &amp; EOMONTH($A45,0) + 1
)</f>
        <v>0</v>
      </c>
      <c r="X45" s="45">
        <f ca="1">SUMIFS(rec.uni[2024-07-01],
INDIRECT("rec.uni[natureza]"),"pro.soluto",
INDIRECT("rec.uni[empresa]"),X$6)</f>
        <v>0</v>
      </c>
      <c r="Y45" s="45">
        <f ca="1">SUMIFS(rec.uni[2024-07-01],
INDIRECT("rec.uni[natureza]"),"repasse.cef.obra",
INDIRECT("rec.uni[empresa]"),Y$6)</f>
        <v>0</v>
      </c>
      <c r="Z45" s="45">
        <f ca="1">SUMIFS(rec.uni[2024-07-01],
INDIRECT("rec.uni[natureza]"),"repasse.cef.terreno",
INDIRECT("rec.uni[empresa]"),Z$6)</f>
        <v>0</v>
      </c>
      <c r="AA45" s="45">
        <v>0</v>
      </c>
      <c r="AB45" s="45">
        <f ca="1">SUMIFS(rec.uni[2024-07-01],
INDIRECT("rec.uni[natureza]"),"taxa.extra",
INDIRECT("rec.uni[empresa]"),AB$6)</f>
        <v>0</v>
      </c>
      <c r="AC45" s="131"/>
      <c r="AD45" s="44">
        <f>COUNTIFS(
    estq[empresa], AD$6,
    estq[Data da venda / reserva], "&gt;=" &amp; $A45,
    estq[Data da venda / reserva], "&lt;"  &amp; EOMONTH($A45,0) + 1
)</f>
        <v>0</v>
      </c>
      <c r="AE45" s="45">
        <f ca="1">SUMIFS(rec.uni[2024-07-01],
INDIRECT("rec.uni[natureza]"),"pro.soluto",
INDIRECT("rec.uni[empresa]"),AE$6)</f>
        <v>0</v>
      </c>
      <c r="AF45" s="38">
        <f ca="1">SUMIFS(rec.uni[2024-07-01],
INDIRECT("rec.uni[natureza]"),"parcela.fin.total.ik",
INDIRECT("rec.uni[empresa]"),AF$6)</f>
        <v>0</v>
      </c>
      <c r="AG45" s="45">
        <f ca="1">SUMIFS(rec.uni[2024-07-01],
INDIRECT("rec.uni[natureza]"),"taxa.extra",
INDIRECT("rec.uni[empresa]"),AG$6)</f>
        <v>0</v>
      </c>
      <c r="AH45" s="131"/>
      <c r="AI45" s="44">
        <f>COUNTIFS(
    estq[empresa], AI$6,
    estq[Data da venda / reserva], "&gt;=" &amp; $A45,
    estq[Data da venda / reserva], "&lt;"  &amp; EOMONTH($A45,0) + 1
)</f>
        <v>0</v>
      </c>
      <c r="AJ45" s="45">
        <f ca="1">SUMIFS(rec.uni[2024-07-01],
INDIRECT("rec.uni[natureza]"),"pro.soluto",
INDIRECT("rec.uni[empresa]"),AJ$6)</f>
        <v>0</v>
      </c>
      <c r="AK45" s="45">
        <f ca="1">SUMIFS(rec.uni[2024-07-01],
INDIRECT("rec.uni[natureza]"),"repasse.cef.obra",
INDIRECT("rec.uni[empresa]"),AK$6)</f>
        <v>0</v>
      </c>
      <c r="AL45" s="45">
        <f ca="1">SUMIFS(rec.uni[2024-07-01],
INDIRECT("rec.uni[natureza]"),"repasse.cef.terreno",
INDIRECT("rec.uni[empresa]"),AL$6)</f>
        <v>0</v>
      </c>
      <c r="AM45" s="45">
        <v>0</v>
      </c>
      <c r="AN45" s="45">
        <f ca="1">SUMIFS(rec.uni[2024-07-01],
INDIRECT("rec.uni[natureza]"),"taxa.extra",
INDIRECT("rec.uni[empresa]"),AN$6)</f>
        <v>0</v>
      </c>
      <c r="AO45" s="131"/>
      <c r="AP45" s="44">
        <f>COUNTIFS(
    estq[empresa], AP$6,
    estq[Data da venda / reserva], "&gt;=" &amp; $A45,
    estq[Data da venda / reserva], "&lt;"  &amp; EOMONTH($A45,0) + 1
)</f>
        <v>0</v>
      </c>
      <c r="AQ45" s="45">
        <f ca="1">SUMIFS(rec.uni[2024-07-01],
INDIRECT("rec.uni[natureza]"),"pro.soluto",
INDIRECT("rec.uni[empresa]"),AQ$6)</f>
        <v>0</v>
      </c>
      <c r="AR45" s="45">
        <f ca="1">SUMIFS(rec.uni[2024-07-01],
INDIRECT("rec.uni[natureza]"),"repasse.cef.obra",
INDIRECT("rec.uni[empresa]"),AR$6)</f>
        <v>0</v>
      </c>
      <c r="AS45" s="45">
        <f ca="1">SUMIFS(rec.uni[2024-07-01],
INDIRECT("rec.uni[natureza]"),"repasse.cef.terreno",
INDIRECT("rec.uni[empresa]"),AS$6)</f>
        <v>0</v>
      </c>
      <c r="AT45" s="45">
        <v>0</v>
      </c>
      <c r="AU45" s="45">
        <f ca="1">SUMIFS(rec.uni[2024-07-01],
INDIRECT("rec.uni[natureza]"),"taxa.extra",
INDIRECT("rec.uni[empresa]"),AU$6)</f>
        <v>0</v>
      </c>
      <c r="AV45" s="131"/>
    </row>
    <row r="46" spans="1:48" x14ac:dyDescent="0.25">
      <c r="A46" s="43">
        <v>45505</v>
      </c>
      <c r="B46" s="44">
        <f>COUNTIFS(
    estq[empresa], B$6,
    estq[Data da venda / reserva], "&gt;=" &amp; $A46,
    estq[Data da venda / reserva], "&lt;"  &amp; EOMONTH($A46,0) + 1
)</f>
        <v>0</v>
      </c>
      <c r="C46" s="45">
        <f ca="1">SUMIFS(rec.uni[2024-08-01],
INDIRECT("rec.uni[natureza]"),"pro.soluto",
INDIRECT("rec.uni[empresa]"),C$6)</f>
        <v>0</v>
      </c>
      <c r="D46" s="45">
        <f ca="1">SUMIFS(rec.uni[2024-08-01],
INDIRECT("rec.uni[natureza]"),"repasse.cef.obra",
INDIRECT("rec.uni[empresa]"),D$6)</f>
        <v>0</v>
      </c>
      <c r="E46" s="45">
        <f ca="1">SUMIFS(rec.uni[2024-08-01],
INDIRECT("rec.uni[natureza]"),"repasse.cef.terreno",
INDIRECT("rec.uni[empresa]"),E$6)</f>
        <v>0</v>
      </c>
      <c r="F46" s="45">
        <v>0</v>
      </c>
      <c r="G46" s="45">
        <f ca="1">SUMIFS(rec.uni[2024-08-01],
INDIRECT("rec.uni[natureza]"),"taxa.extra",
INDIRECT("rec.uni[empresa]"),G$6)</f>
        <v>0</v>
      </c>
      <c r="H46" s="131"/>
      <c r="I46" s="44">
        <f>COUNTIFS(
    estq[empresa], I$6,
    estq[Data da venda / reserva], "&gt;=" &amp; $A46,
    estq[Data da venda / reserva], "&lt;"  &amp; EOMONTH($A46,0) + 1
)</f>
        <v>0</v>
      </c>
      <c r="J46" s="45">
        <f ca="1">SUMIFS(rec.uni[2024-08-01],
INDIRECT("rec.uni[natureza]"),"pro.soluto",
INDIRECT("rec.uni[empresa]"),J$6)</f>
        <v>0</v>
      </c>
      <c r="K46" s="45">
        <f ca="1">SUMIFS(rec.uni[2024-08-01],
INDIRECT("rec.uni[natureza]"),"repasse.cef.obra",
INDIRECT("rec.uni[empresa]"),K$6)</f>
        <v>0</v>
      </c>
      <c r="L46" s="45">
        <f ca="1">SUMIFS(rec.uni[2024-08-01],
INDIRECT("rec.uni[natureza]"),"repasse.cef.terreno",
INDIRECT("rec.uni[empresa]"),L$6)</f>
        <v>0</v>
      </c>
      <c r="M46" s="45">
        <v>0</v>
      </c>
      <c r="N46" s="45">
        <f ca="1">SUMIFS(rec.uni[2024-08-01],
INDIRECT("rec.uni[natureza]"),"taxa.extra",
INDIRECT("rec.uni[empresa]"),N$6)</f>
        <v>0</v>
      </c>
      <c r="O46" s="131"/>
      <c r="P46" s="44">
        <f>COUNTIFS(
    estq[empresa], P$6,
    estq[Data da venda / reserva], "&gt;=" &amp; $A46,
    estq[Data da venda / reserva], "&lt;"  &amp; EOMONTH($A46,0) + 1
)</f>
        <v>0</v>
      </c>
      <c r="Q46" s="45">
        <f ca="1">SUMIFS(rec.uni[2024-08-01],
INDIRECT("rec.uni[natureza]"),"pro.soluto",
INDIRECT("rec.uni[empresa]"),Q$6)</f>
        <v>0</v>
      </c>
      <c r="R46" s="45">
        <f ca="1">SUMIFS(rec.uni[2024-08-01],
INDIRECT("rec.uni[natureza]"),"repasse.cef.obra",
INDIRECT("rec.uni[empresa]"),R$6)</f>
        <v>0</v>
      </c>
      <c r="S46" s="45">
        <f ca="1">SUMIFS(rec.uni[2024-08-01],
INDIRECT("rec.uni[natureza]"),"repasse.cef.terreno",
INDIRECT("rec.uni[empresa]"),S$6)</f>
        <v>0</v>
      </c>
      <c r="T46" s="45">
        <v>0</v>
      </c>
      <c r="U46" s="45">
        <f ca="1">SUMIFS(rec.uni[2024-08-01],
INDIRECT("rec.uni[natureza]"),"taxa.extra",
INDIRECT("rec.uni[empresa]"),U$6)</f>
        <v>0</v>
      </c>
      <c r="V46" s="131"/>
      <c r="W46" s="44">
        <f>COUNTIFS(
    estq[empresa], W$6,
    estq[Data da venda / reserva], "&gt;=" &amp; $A46,
    estq[Data da venda / reserva], "&lt;"  &amp; EOMONTH($A46,0) + 1
)</f>
        <v>0</v>
      </c>
      <c r="X46" s="45">
        <f ca="1">SUMIFS(rec.uni[2024-08-01],
INDIRECT("rec.uni[natureza]"),"pro.soluto",
INDIRECT("rec.uni[empresa]"),X$6)</f>
        <v>0</v>
      </c>
      <c r="Y46" s="45">
        <f ca="1">SUMIFS(rec.uni[2024-08-01],
INDIRECT("rec.uni[natureza]"),"repasse.cef.obra",
INDIRECT("rec.uni[empresa]"),Y$6)</f>
        <v>0</v>
      </c>
      <c r="Z46" s="45">
        <f ca="1">SUMIFS(rec.uni[2024-08-01],
INDIRECT("rec.uni[natureza]"),"repasse.cef.terreno",
INDIRECT("rec.uni[empresa]"),Z$6)</f>
        <v>0</v>
      </c>
      <c r="AA46" s="45">
        <v>0</v>
      </c>
      <c r="AB46" s="45">
        <f ca="1">SUMIFS(rec.uni[2024-08-01],
INDIRECT("rec.uni[natureza]"),"taxa.extra",
INDIRECT("rec.uni[empresa]"),AB$6)</f>
        <v>0</v>
      </c>
      <c r="AC46" s="131"/>
      <c r="AD46" s="44">
        <f>COUNTIFS(
    estq[empresa], AD$6,
    estq[Data da venda / reserva], "&gt;=" &amp; $A46,
    estq[Data da venda / reserva], "&lt;"  &amp; EOMONTH($A46,0) + 1
)</f>
        <v>0</v>
      </c>
      <c r="AE46" s="45">
        <f ca="1">SUMIFS(rec.uni[2024-08-01],
INDIRECT("rec.uni[natureza]"),"pro.soluto",
INDIRECT("rec.uni[empresa]"),AE$6)</f>
        <v>0</v>
      </c>
      <c r="AF46" s="38">
        <f ca="1">SUMIFS(rec.uni[2024-08-01],
INDIRECT("rec.uni[natureza]"),"parcela.fin.total.ik",
INDIRECT("rec.uni[empresa]"),AF$6)</f>
        <v>0</v>
      </c>
      <c r="AG46" s="45">
        <f ca="1">SUMIFS(rec.uni[2024-08-01],
INDIRECT("rec.uni[natureza]"),"taxa.extra",
INDIRECT("rec.uni[empresa]"),AG$6)</f>
        <v>0</v>
      </c>
      <c r="AH46" s="131"/>
      <c r="AI46" s="44">
        <f>COUNTIFS(
    estq[empresa], AI$6,
    estq[Data da venda / reserva], "&gt;=" &amp; $A46,
    estq[Data da venda / reserva], "&lt;"  &amp; EOMONTH($A46,0) + 1
)</f>
        <v>0</v>
      </c>
      <c r="AJ46" s="45">
        <f ca="1">SUMIFS(rec.uni[2024-08-01],
INDIRECT("rec.uni[natureza]"),"pro.soluto",
INDIRECT("rec.uni[empresa]"),AJ$6)</f>
        <v>0</v>
      </c>
      <c r="AK46" s="45">
        <f ca="1">SUMIFS(rec.uni[2024-08-01],
INDIRECT("rec.uni[natureza]"),"repasse.cef.obra",
INDIRECT("rec.uni[empresa]"),AK$6)</f>
        <v>0</v>
      </c>
      <c r="AL46" s="45">
        <f ca="1">SUMIFS(rec.uni[2024-08-01],
INDIRECT("rec.uni[natureza]"),"repasse.cef.terreno",
INDIRECT("rec.uni[empresa]"),AL$6)</f>
        <v>0</v>
      </c>
      <c r="AM46" s="45">
        <v>0</v>
      </c>
      <c r="AN46" s="45">
        <f ca="1">SUMIFS(rec.uni[2024-08-01],
INDIRECT("rec.uni[natureza]"),"taxa.extra",
INDIRECT("rec.uni[empresa]"),AN$6)</f>
        <v>0</v>
      </c>
      <c r="AO46" s="131"/>
      <c r="AP46" s="44">
        <f>COUNTIFS(
    estq[empresa], AP$6,
    estq[Data da venda / reserva], "&gt;=" &amp; $A46,
    estq[Data da venda / reserva], "&lt;"  &amp; EOMONTH($A46,0) + 1
)</f>
        <v>0</v>
      </c>
      <c r="AQ46" s="45">
        <f ca="1">SUMIFS(rec.uni[2024-08-01],
INDIRECT("rec.uni[natureza]"),"pro.soluto",
INDIRECT("rec.uni[empresa]"),AQ$6)</f>
        <v>0</v>
      </c>
      <c r="AR46" s="45">
        <f ca="1">SUMIFS(rec.uni[2024-08-01],
INDIRECT("rec.uni[natureza]"),"repasse.cef.obra",
INDIRECT("rec.uni[empresa]"),AR$6)</f>
        <v>0</v>
      </c>
      <c r="AS46" s="45">
        <f ca="1">SUMIFS(rec.uni[2024-08-01],
INDIRECT("rec.uni[natureza]"),"repasse.cef.terreno",
INDIRECT("rec.uni[empresa]"),AS$6)</f>
        <v>0</v>
      </c>
      <c r="AT46" s="45">
        <v>0</v>
      </c>
      <c r="AU46" s="45">
        <f ca="1">SUMIFS(rec.uni[2024-08-01],
INDIRECT("rec.uni[natureza]"),"taxa.extra",
INDIRECT("rec.uni[empresa]"),AU$6)</f>
        <v>0</v>
      </c>
      <c r="AV46" s="131"/>
    </row>
    <row r="47" spans="1:48" x14ac:dyDescent="0.25">
      <c r="A47" s="43">
        <v>45536</v>
      </c>
      <c r="B47" s="44">
        <f>COUNTIFS(
    estq[empresa], B$6,
    estq[Data da venda / reserva], "&gt;=" &amp; $A47,
    estq[Data da venda / reserva], "&lt;"  &amp; EOMONTH($A47,0) + 1
)</f>
        <v>0</v>
      </c>
      <c r="C47" s="45">
        <f ca="1">SUMIFS(rec.uni[2024-09-01],
INDIRECT("rec.uni[natureza]"),"pro.soluto",
INDIRECT("rec.uni[empresa]"),C$6)</f>
        <v>0</v>
      </c>
      <c r="D47" s="45">
        <f ca="1">SUMIFS(rec.uni[2024-09-01],
INDIRECT("rec.uni[natureza]"),"repasse.cef.obra",
INDIRECT("rec.uni[empresa]"),D$6)</f>
        <v>0</v>
      </c>
      <c r="E47" s="45">
        <f ca="1">SUMIFS(rec.uni[2024-09-01],
INDIRECT("rec.uni[natureza]"),"repasse.cef.terreno",
INDIRECT("rec.uni[empresa]"),E$6)</f>
        <v>0</v>
      </c>
      <c r="F47" s="45">
        <v>198297.96</v>
      </c>
      <c r="G47" s="45">
        <f ca="1">SUMIFS(rec.uni[2024-09-01],
INDIRECT("rec.uni[natureza]"),"taxa.extra",
INDIRECT("rec.uni[empresa]"),G$6)</f>
        <v>0</v>
      </c>
      <c r="H47" s="131"/>
      <c r="I47" s="44">
        <f>COUNTIFS(
    estq[empresa], I$6,
    estq[Data da venda / reserva], "&gt;=" &amp; $A47,
    estq[Data da venda / reserva], "&lt;"  &amp; EOMONTH($A47,0) + 1
)</f>
        <v>0</v>
      </c>
      <c r="J47" s="45">
        <f ca="1">SUMIFS(rec.uni[2024-09-01],
INDIRECT("rec.uni[natureza]"),"pro.soluto",
INDIRECT("rec.uni[empresa]"),J$6)</f>
        <v>0</v>
      </c>
      <c r="K47" s="45">
        <f ca="1">SUMIFS(rec.uni[2024-09-01],
INDIRECT("rec.uni[natureza]"),"repasse.cef.obra",
INDIRECT("rec.uni[empresa]"),K$6)</f>
        <v>0</v>
      </c>
      <c r="L47" s="45">
        <f ca="1">SUMIFS(rec.uni[2024-09-01],
INDIRECT("rec.uni[natureza]"),"repasse.cef.terreno",
INDIRECT("rec.uni[empresa]"),L$6)</f>
        <v>0</v>
      </c>
      <c r="M47" s="45">
        <v>0</v>
      </c>
      <c r="N47" s="45">
        <f ca="1">SUMIFS(rec.uni[2024-09-01],
INDIRECT("rec.uni[natureza]"),"taxa.extra",
INDIRECT("rec.uni[empresa]"),N$6)</f>
        <v>0</v>
      </c>
      <c r="O47" s="131"/>
      <c r="P47" s="44">
        <f>COUNTIFS(
    estq[empresa], P$6,
    estq[Data da venda / reserva], "&gt;=" &amp; $A47,
    estq[Data da venda / reserva], "&lt;"  &amp; EOMONTH($A47,0) + 1
)</f>
        <v>0</v>
      </c>
      <c r="Q47" s="45">
        <f ca="1">SUMIFS(rec.uni[2024-09-01],
INDIRECT("rec.uni[natureza]"),"pro.soluto",
INDIRECT("rec.uni[empresa]"),Q$6)</f>
        <v>0</v>
      </c>
      <c r="R47" s="45">
        <f ca="1">SUMIFS(rec.uni[2024-09-01],
INDIRECT("rec.uni[natureza]"),"repasse.cef.obra",
INDIRECT("rec.uni[empresa]"),R$6)</f>
        <v>0</v>
      </c>
      <c r="S47" s="45">
        <f ca="1">SUMIFS(rec.uni[2024-09-01],
INDIRECT("rec.uni[natureza]"),"repasse.cef.terreno",
INDIRECT("rec.uni[empresa]"),S$6)</f>
        <v>0</v>
      </c>
      <c r="T47" s="45">
        <v>0</v>
      </c>
      <c r="U47" s="45">
        <f ca="1">SUMIFS(rec.uni[2024-09-01],
INDIRECT("rec.uni[natureza]"),"taxa.extra",
INDIRECT("rec.uni[empresa]"),U$6)</f>
        <v>0</v>
      </c>
      <c r="V47" s="131"/>
      <c r="W47" s="44">
        <f>COUNTIFS(
    estq[empresa], W$6,
    estq[Data da venda / reserva], "&gt;=" &amp; $A47,
    estq[Data da venda / reserva], "&lt;"  &amp; EOMONTH($A47,0) + 1
)</f>
        <v>0</v>
      </c>
      <c r="X47" s="45">
        <f ca="1">SUMIFS(rec.uni[2024-09-01],
INDIRECT("rec.uni[natureza]"),"pro.soluto",
INDIRECT("rec.uni[empresa]"),X$6)</f>
        <v>0</v>
      </c>
      <c r="Y47" s="45">
        <f ca="1">SUMIFS(rec.uni[2024-09-01],
INDIRECT("rec.uni[natureza]"),"repasse.cef.obra",
INDIRECT("rec.uni[empresa]"),Y$6)</f>
        <v>0</v>
      </c>
      <c r="Z47" s="45">
        <f ca="1">SUMIFS(rec.uni[2024-09-01],
INDIRECT("rec.uni[natureza]"),"repasse.cef.terreno",
INDIRECT("rec.uni[empresa]"),Z$6)</f>
        <v>0</v>
      </c>
      <c r="AA47" s="45">
        <v>0</v>
      </c>
      <c r="AB47" s="45">
        <f ca="1">SUMIFS(rec.uni[2024-09-01],
INDIRECT("rec.uni[natureza]"),"taxa.extra",
INDIRECT("rec.uni[empresa]"),AB$6)</f>
        <v>0</v>
      </c>
      <c r="AC47" s="131"/>
      <c r="AD47" s="44">
        <f>COUNTIFS(
    estq[empresa], AD$6,
    estq[Data da venda / reserva], "&gt;=" &amp; $A47,
    estq[Data da venda / reserva], "&lt;"  &amp; EOMONTH($A47,0) + 1
)</f>
        <v>0</v>
      </c>
      <c r="AE47" s="45">
        <f ca="1">SUMIFS(rec.uni[2024-09-01],
INDIRECT("rec.uni[natureza]"),"pro.soluto",
INDIRECT("rec.uni[empresa]"),AE$6)</f>
        <v>0</v>
      </c>
      <c r="AF47" s="38">
        <f ca="1">SUMIFS(rec.uni[2024-09-01],
INDIRECT("rec.uni[natureza]"),"parcela.fin.total.ik",
INDIRECT("rec.uni[empresa]"),AF$6)</f>
        <v>0</v>
      </c>
      <c r="AG47" s="45">
        <f ca="1">SUMIFS(rec.uni[2024-09-01],
INDIRECT("rec.uni[natureza]"),"taxa.extra",
INDIRECT("rec.uni[empresa]"),AG$6)</f>
        <v>0</v>
      </c>
      <c r="AH47" s="131"/>
      <c r="AI47" s="44">
        <f>COUNTIFS(
    estq[empresa], AI$6,
    estq[Data da venda / reserva], "&gt;=" &amp; $A47,
    estq[Data da venda / reserva], "&lt;"  &amp; EOMONTH($A47,0) + 1
)</f>
        <v>0</v>
      </c>
      <c r="AJ47" s="45">
        <f ca="1">SUMIFS(rec.uni[2024-09-01],
INDIRECT("rec.uni[natureza]"),"pro.soluto",
INDIRECT("rec.uni[empresa]"),AJ$6)</f>
        <v>0</v>
      </c>
      <c r="AK47" s="45">
        <f ca="1">SUMIFS(rec.uni[2024-09-01],
INDIRECT("rec.uni[natureza]"),"repasse.cef.obra",
INDIRECT("rec.uni[empresa]"),AK$6)</f>
        <v>0</v>
      </c>
      <c r="AL47" s="45">
        <f ca="1">SUMIFS(rec.uni[2024-09-01],
INDIRECT("rec.uni[natureza]"),"repasse.cef.terreno",
INDIRECT("rec.uni[empresa]"),AL$6)</f>
        <v>0</v>
      </c>
      <c r="AM47" s="45">
        <v>0</v>
      </c>
      <c r="AN47" s="45">
        <f ca="1">SUMIFS(rec.uni[2024-09-01],
INDIRECT("rec.uni[natureza]"),"taxa.extra",
INDIRECT("rec.uni[empresa]"),AN$6)</f>
        <v>0</v>
      </c>
      <c r="AO47" s="131"/>
      <c r="AP47" s="44">
        <f>COUNTIFS(
    estq[empresa], AP$6,
    estq[Data da venda / reserva], "&gt;=" &amp; $A47,
    estq[Data da venda / reserva], "&lt;"  &amp; EOMONTH($A47,0) + 1
)</f>
        <v>0</v>
      </c>
      <c r="AQ47" s="45">
        <f ca="1">SUMIFS(rec.uni[2024-09-01],
INDIRECT("rec.uni[natureza]"),"pro.soluto",
INDIRECT("rec.uni[empresa]"),AQ$6)</f>
        <v>0</v>
      </c>
      <c r="AR47" s="45">
        <f ca="1">SUMIFS(rec.uni[2024-09-01],
INDIRECT("rec.uni[natureza]"),"repasse.cef.obra",
INDIRECT("rec.uni[empresa]"),AR$6)</f>
        <v>0</v>
      </c>
      <c r="AS47" s="45">
        <f ca="1">SUMIFS(rec.uni[2024-09-01],
INDIRECT("rec.uni[natureza]"),"repasse.cef.terreno",
INDIRECT("rec.uni[empresa]"),AS$6)</f>
        <v>0</v>
      </c>
      <c r="AT47" s="45">
        <v>0</v>
      </c>
      <c r="AU47" s="45">
        <f ca="1">SUMIFS(rec.uni[2024-09-01],
INDIRECT("rec.uni[natureza]"),"taxa.extra",
INDIRECT("rec.uni[empresa]"),AU$6)</f>
        <v>0</v>
      </c>
      <c r="AV47" s="131"/>
    </row>
    <row r="48" spans="1:48" x14ac:dyDescent="0.25">
      <c r="A48" s="43">
        <v>45566</v>
      </c>
      <c r="B48" s="44">
        <f>COUNTIFS(
    estq[empresa], B$6,
    estq[Data da venda / reserva], "&gt;=" &amp; $A48,
    estq[Data da venda / reserva], "&lt;"  &amp; EOMONTH($A48,0) + 1
)</f>
        <v>0</v>
      </c>
      <c r="C48" s="45">
        <f ca="1">SUMIFS(rec.uni[2024-10-01],
INDIRECT("rec.uni[natureza]"),"pro.soluto",
INDIRECT("rec.uni[empresa]"),C$6)</f>
        <v>0</v>
      </c>
      <c r="D48" s="45">
        <f ca="1">SUMIFS(rec.uni[2024-10-01],
INDIRECT("rec.uni[natureza]"),"repasse.cef.obra",
INDIRECT("rec.uni[empresa]"),D$6)</f>
        <v>0</v>
      </c>
      <c r="E48" s="45">
        <f ca="1">SUMIFS(rec.uni[2024-10-01],
INDIRECT("rec.uni[natureza]"),"repasse.cef.terreno",
INDIRECT("rec.uni[empresa]"),E$6)</f>
        <v>0</v>
      </c>
      <c r="F48" s="45">
        <v>473587.72</v>
      </c>
      <c r="G48" s="45">
        <f ca="1">SUMIFS(rec.uni[2024-10-01],
INDIRECT("rec.uni[natureza]"),"taxa.extra",
INDIRECT("rec.uni[empresa]"),G$6)</f>
        <v>0</v>
      </c>
      <c r="H48" s="131"/>
      <c r="I48" s="44">
        <f>COUNTIFS(
    estq[empresa], I$6,
    estq[Data da venda / reserva], "&gt;=" &amp; $A48,
    estq[Data da venda / reserva], "&lt;"  &amp; EOMONTH($A48,0) + 1
)</f>
        <v>0</v>
      </c>
      <c r="J48" s="45">
        <f ca="1">SUMIFS(rec.uni[2024-10-01],
INDIRECT("rec.uni[natureza]"),"pro.soluto",
INDIRECT("rec.uni[empresa]"),J$6)</f>
        <v>0</v>
      </c>
      <c r="K48" s="45">
        <f ca="1">SUMIFS(rec.uni[2024-10-01],
INDIRECT("rec.uni[natureza]"),"repasse.cef.obra",
INDIRECT("rec.uni[empresa]"),K$6)</f>
        <v>0</v>
      </c>
      <c r="L48" s="45">
        <f ca="1">SUMIFS(rec.uni[2024-10-01],
INDIRECT("rec.uni[natureza]"),"repasse.cef.terreno",
INDIRECT("rec.uni[empresa]"),L$6)</f>
        <v>0</v>
      </c>
      <c r="M48" s="45">
        <v>0</v>
      </c>
      <c r="N48" s="45">
        <f ca="1">SUMIFS(rec.uni[2024-10-01],
INDIRECT("rec.uni[natureza]"),"taxa.extra",
INDIRECT("rec.uni[empresa]"),N$6)</f>
        <v>0</v>
      </c>
      <c r="O48" s="131"/>
      <c r="P48" s="44">
        <f>COUNTIFS(
    estq[empresa], P$6,
    estq[Data da venda / reserva], "&gt;=" &amp; $A48,
    estq[Data da venda / reserva], "&lt;"  &amp; EOMONTH($A48,0) + 1
)</f>
        <v>0</v>
      </c>
      <c r="Q48" s="45">
        <f ca="1">SUMIFS(rec.uni[2024-10-01],
INDIRECT("rec.uni[natureza]"),"pro.soluto",
INDIRECT("rec.uni[empresa]"),Q$6)</f>
        <v>0</v>
      </c>
      <c r="R48" s="45">
        <f ca="1">SUMIFS(rec.uni[2024-10-01],
INDIRECT("rec.uni[natureza]"),"repasse.cef.obra",
INDIRECT("rec.uni[empresa]"),R$6)</f>
        <v>0</v>
      </c>
      <c r="S48" s="45">
        <f ca="1">SUMIFS(rec.uni[2024-10-01],
INDIRECT("rec.uni[natureza]"),"repasse.cef.terreno",
INDIRECT("rec.uni[empresa]"),S$6)</f>
        <v>0</v>
      </c>
      <c r="T48" s="45">
        <v>0</v>
      </c>
      <c r="U48" s="45">
        <f ca="1">SUMIFS(rec.uni[2024-10-01],
INDIRECT("rec.uni[natureza]"),"taxa.extra",
INDIRECT("rec.uni[empresa]"),U$6)</f>
        <v>0</v>
      </c>
      <c r="V48" s="131"/>
      <c r="W48" s="44">
        <f>COUNTIFS(
    estq[empresa], W$6,
    estq[Data da venda / reserva], "&gt;=" &amp; $A48,
    estq[Data da venda / reserva], "&lt;"  &amp; EOMONTH($A48,0) + 1
)</f>
        <v>0</v>
      </c>
      <c r="X48" s="45">
        <f ca="1">SUMIFS(rec.uni[2024-10-01],
INDIRECT("rec.uni[natureza]"),"pro.soluto",
INDIRECT("rec.uni[empresa]"),X$6)</f>
        <v>0</v>
      </c>
      <c r="Y48" s="45">
        <f ca="1">SUMIFS(rec.uni[2024-10-01],
INDIRECT("rec.uni[natureza]"),"repasse.cef.obra",
INDIRECT("rec.uni[empresa]"),Y$6)</f>
        <v>0</v>
      </c>
      <c r="Z48" s="45">
        <f ca="1">SUMIFS(rec.uni[2024-10-01],
INDIRECT("rec.uni[natureza]"),"repasse.cef.terreno",
INDIRECT("rec.uni[empresa]"),Z$6)</f>
        <v>0</v>
      </c>
      <c r="AA48" s="45">
        <v>0</v>
      </c>
      <c r="AB48" s="45">
        <f ca="1">SUMIFS(rec.uni[2024-10-01],
INDIRECT("rec.uni[natureza]"),"taxa.extra",
INDIRECT("rec.uni[empresa]"),AB$6)</f>
        <v>0</v>
      </c>
      <c r="AC48" s="131"/>
      <c r="AD48" s="44">
        <f>COUNTIFS(
    estq[empresa], AD$6,
    estq[Data da venda / reserva], "&gt;=" &amp; $A48,
    estq[Data da venda / reserva], "&lt;"  &amp; EOMONTH($A48,0) + 1
)</f>
        <v>0</v>
      </c>
      <c r="AE48" s="45">
        <f ca="1">SUMIFS(rec.uni[2024-10-01],
INDIRECT("rec.uni[natureza]"),"pro.soluto",
INDIRECT("rec.uni[empresa]"),AE$6)</f>
        <v>0</v>
      </c>
      <c r="AF48" s="38">
        <f ca="1">SUMIFS(rec.uni[2024-10-01],
INDIRECT("rec.uni[natureza]"),"parcela.fin.total.ik",
INDIRECT("rec.uni[empresa]"),AF$6)</f>
        <v>0</v>
      </c>
      <c r="AG48" s="45">
        <f ca="1">SUMIFS(rec.uni[2024-10-01],
INDIRECT("rec.uni[natureza]"),"taxa.extra",
INDIRECT("rec.uni[empresa]"),AG$6)</f>
        <v>0</v>
      </c>
      <c r="AH48" s="131"/>
      <c r="AI48" s="44">
        <f>COUNTIFS(
    estq[empresa], AI$6,
    estq[Data da venda / reserva], "&gt;=" &amp; $A48,
    estq[Data da venda / reserva], "&lt;"  &amp; EOMONTH($A48,0) + 1
)</f>
        <v>0</v>
      </c>
      <c r="AJ48" s="45">
        <f ca="1">SUMIFS(rec.uni[2024-10-01],
INDIRECT("rec.uni[natureza]"),"pro.soluto",
INDIRECT("rec.uni[empresa]"),AJ$6)</f>
        <v>0</v>
      </c>
      <c r="AK48" s="45">
        <f ca="1">SUMIFS(rec.uni[2024-10-01],
INDIRECT("rec.uni[natureza]"),"repasse.cef.obra",
INDIRECT("rec.uni[empresa]"),AK$6)</f>
        <v>0</v>
      </c>
      <c r="AL48" s="45">
        <f ca="1">SUMIFS(rec.uni[2024-10-01],
INDIRECT("rec.uni[natureza]"),"repasse.cef.terreno",
INDIRECT("rec.uni[empresa]"),AL$6)</f>
        <v>0</v>
      </c>
      <c r="AM48" s="45">
        <v>0</v>
      </c>
      <c r="AN48" s="45">
        <f ca="1">SUMIFS(rec.uni[2024-10-01],
INDIRECT("rec.uni[natureza]"),"taxa.extra",
INDIRECT("rec.uni[empresa]"),AN$6)</f>
        <v>0</v>
      </c>
      <c r="AO48" s="131"/>
      <c r="AP48" s="44">
        <f>COUNTIFS(
    estq[empresa], AP$6,
    estq[Data da venda / reserva], "&gt;=" &amp; $A48,
    estq[Data da venda / reserva], "&lt;"  &amp; EOMONTH($A48,0) + 1
)</f>
        <v>0</v>
      </c>
      <c r="AQ48" s="45">
        <f ca="1">SUMIFS(rec.uni[2024-10-01],
INDIRECT("rec.uni[natureza]"),"pro.soluto",
INDIRECT("rec.uni[empresa]"),AQ$6)</f>
        <v>0</v>
      </c>
      <c r="AR48" s="45">
        <f ca="1">SUMIFS(rec.uni[2024-10-01],
INDIRECT("rec.uni[natureza]"),"repasse.cef.obra",
INDIRECT("rec.uni[empresa]"),AR$6)</f>
        <v>0</v>
      </c>
      <c r="AS48" s="45">
        <f ca="1">SUMIFS(rec.uni[2024-10-01],
INDIRECT("rec.uni[natureza]"),"repasse.cef.terreno",
INDIRECT("rec.uni[empresa]"),AS$6)</f>
        <v>0</v>
      </c>
      <c r="AT48" s="45">
        <v>0</v>
      </c>
      <c r="AU48" s="45">
        <f ca="1">SUMIFS(rec.uni[2024-10-01],
INDIRECT("rec.uni[natureza]"),"taxa.extra",
INDIRECT("rec.uni[empresa]"),AU$6)</f>
        <v>0</v>
      </c>
      <c r="AV48" s="131"/>
    </row>
    <row r="49" spans="1:48" x14ac:dyDescent="0.25">
      <c r="A49" s="43">
        <v>45597</v>
      </c>
      <c r="B49" s="44">
        <f>COUNTIFS(
    estq[empresa], B$6,
    estq[Data da venda / reserva], "&gt;=" &amp; $A49,
    estq[Data da venda / reserva], "&lt;"  &amp; EOMONTH($A49,0) + 1
)</f>
        <v>0</v>
      </c>
      <c r="C49" s="45">
        <f ca="1">SUMIFS(rec.uni[2024-11-01],
INDIRECT("rec.uni[natureza]"),"pro.soluto",
INDIRECT("rec.uni[empresa]"),C$6)</f>
        <v>0</v>
      </c>
      <c r="D49" s="45">
        <f ca="1">SUMIFS(rec.uni[2024-11-01],
INDIRECT("rec.uni[natureza]"),"repasse.cef.obra",
INDIRECT("rec.uni[empresa]"),D$6)</f>
        <v>0</v>
      </c>
      <c r="E49" s="45">
        <f ca="1">SUMIFS(rec.uni[2024-11-01],
INDIRECT("rec.uni[natureza]"),"repasse.cef.terreno",
INDIRECT("rec.uni[empresa]"),E$6)</f>
        <v>0</v>
      </c>
      <c r="F49" s="45">
        <v>0</v>
      </c>
      <c r="G49" s="45">
        <f ca="1">SUMIFS(rec.uni[2024-11-01],
INDIRECT("rec.uni[natureza]"),"taxa.extra",
INDIRECT("rec.uni[empresa]"),G$6)</f>
        <v>0</v>
      </c>
      <c r="H49" s="131"/>
      <c r="I49" s="44">
        <f>COUNTIFS(
    estq[empresa], I$6,
    estq[Data da venda / reserva], "&gt;=" &amp; $A49,
    estq[Data da venda / reserva], "&lt;"  &amp; EOMONTH($A49,0) + 1
)</f>
        <v>0</v>
      </c>
      <c r="J49" s="45">
        <f ca="1">SUMIFS(rec.uni[2024-11-01],
INDIRECT("rec.uni[natureza]"),"pro.soluto",
INDIRECT("rec.uni[empresa]"),J$6)</f>
        <v>0</v>
      </c>
      <c r="K49" s="45">
        <f ca="1">SUMIFS(rec.uni[2024-11-01],
INDIRECT("rec.uni[natureza]"),"repasse.cef.obra",
INDIRECT("rec.uni[empresa]"),K$6)</f>
        <v>0</v>
      </c>
      <c r="L49" s="45">
        <f ca="1">SUMIFS(rec.uni[2024-11-01],
INDIRECT("rec.uni[natureza]"),"repasse.cef.terreno",
INDIRECT("rec.uni[empresa]"),L$6)</f>
        <v>0</v>
      </c>
      <c r="M49" s="45">
        <v>0</v>
      </c>
      <c r="N49" s="45">
        <f ca="1">SUMIFS(rec.uni[2024-11-01],
INDIRECT("rec.uni[natureza]"),"taxa.extra",
INDIRECT("rec.uni[empresa]"),N$6)</f>
        <v>0</v>
      </c>
      <c r="O49" s="131"/>
      <c r="P49" s="44">
        <f>COUNTIFS(
    estq[empresa], P$6,
    estq[Data da venda / reserva], "&gt;=" &amp; $A49,
    estq[Data da venda / reserva], "&lt;"  &amp; EOMONTH($A49,0) + 1
)</f>
        <v>0</v>
      </c>
      <c r="Q49" s="45">
        <f ca="1">SUMIFS(rec.uni[2024-11-01],
INDIRECT("rec.uni[natureza]"),"pro.soluto",
INDIRECT("rec.uni[empresa]"),Q$6)</f>
        <v>0</v>
      </c>
      <c r="R49" s="45">
        <f ca="1">SUMIFS(rec.uni[2024-11-01],
INDIRECT("rec.uni[natureza]"),"repasse.cef.obra",
INDIRECT("rec.uni[empresa]"),R$6)</f>
        <v>0</v>
      </c>
      <c r="S49" s="45">
        <f ca="1">SUMIFS(rec.uni[2024-11-01],
INDIRECT("rec.uni[natureza]"),"repasse.cef.terreno",
INDIRECT("rec.uni[empresa]"),S$6)</f>
        <v>0</v>
      </c>
      <c r="T49" s="45">
        <v>0</v>
      </c>
      <c r="U49" s="45">
        <f ca="1">SUMIFS(rec.uni[2024-11-01],
INDIRECT("rec.uni[natureza]"),"taxa.extra",
INDIRECT("rec.uni[empresa]"),U$6)</f>
        <v>0</v>
      </c>
      <c r="V49" s="131"/>
      <c r="W49" s="44">
        <f>COUNTIFS(
    estq[empresa], W$6,
    estq[Data da venda / reserva], "&gt;=" &amp; $A49,
    estq[Data da venda / reserva], "&lt;"  &amp; EOMONTH($A49,0) + 1
)</f>
        <v>0</v>
      </c>
      <c r="X49" s="45">
        <f ca="1">SUMIFS(rec.uni[2024-11-01],
INDIRECT("rec.uni[natureza]"),"pro.soluto",
INDIRECT("rec.uni[empresa]"),X$6)</f>
        <v>0</v>
      </c>
      <c r="Y49" s="45">
        <f ca="1">SUMIFS(rec.uni[2024-11-01],
INDIRECT("rec.uni[natureza]"),"repasse.cef.obra",
INDIRECT("rec.uni[empresa]"),Y$6)</f>
        <v>0</v>
      </c>
      <c r="Z49" s="45">
        <f ca="1">SUMIFS(rec.uni[2024-11-01],
INDIRECT("rec.uni[natureza]"),"repasse.cef.terreno",
INDIRECT("rec.uni[empresa]"),Z$6)</f>
        <v>0</v>
      </c>
      <c r="AA49" s="45">
        <v>0</v>
      </c>
      <c r="AB49" s="45">
        <f ca="1">SUMIFS(rec.uni[2024-11-01],
INDIRECT("rec.uni[natureza]"),"taxa.extra",
INDIRECT("rec.uni[empresa]"),AB$6)</f>
        <v>0</v>
      </c>
      <c r="AC49" s="131"/>
      <c r="AD49" s="44">
        <f>COUNTIFS(
    estq[empresa], AD$6,
    estq[Data da venda / reserva], "&gt;=" &amp; $A49,
    estq[Data da venda / reserva], "&lt;"  &amp; EOMONTH($A49,0) + 1
)</f>
        <v>0</v>
      </c>
      <c r="AE49" s="45">
        <f ca="1">SUMIFS(rec.uni[2024-11-01],
INDIRECT("rec.uni[natureza]"),"pro.soluto",
INDIRECT("rec.uni[empresa]"),AE$6)</f>
        <v>0</v>
      </c>
      <c r="AF49" s="38">
        <f ca="1">SUMIFS(rec.uni[2024-11-01],
INDIRECT("rec.uni[natureza]"),"parcela.fin.total.ik",
INDIRECT("rec.uni[empresa]"),AF$6)</f>
        <v>0</v>
      </c>
      <c r="AG49" s="45">
        <f ca="1">SUMIFS(rec.uni[2024-11-01],
INDIRECT("rec.uni[natureza]"),"taxa.extra",
INDIRECT("rec.uni[empresa]"),AG$6)</f>
        <v>0</v>
      </c>
      <c r="AH49" s="131"/>
      <c r="AI49" s="44">
        <f>COUNTIFS(
    estq[empresa], AI$6,
    estq[Data da venda / reserva], "&gt;=" &amp; $A49,
    estq[Data da venda / reserva], "&lt;"  &amp; EOMONTH($A49,0) + 1
)</f>
        <v>0</v>
      </c>
      <c r="AJ49" s="45">
        <f ca="1">SUMIFS(rec.uni[2024-11-01],
INDIRECT("rec.uni[natureza]"),"pro.soluto",
INDIRECT("rec.uni[empresa]"),AJ$6)</f>
        <v>0</v>
      </c>
      <c r="AK49" s="45">
        <f ca="1">SUMIFS(rec.uni[2024-11-01],
INDIRECT("rec.uni[natureza]"),"repasse.cef.obra",
INDIRECT("rec.uni[empresa]"),AK$6)</f>
        <v>0</v>
      </c>
      <c r="AL49" s="45">
        <f ca="1">SUMIFS(rec.uni[2024-11-01],
INDIRECT("rec.uni[natureza]"),"repasse.cef.terreno",
INDIRECT("rec.uni[empresa]"),AL$6)</f>
        <v>0</v>
      </c>
      <c r="AM49" s="45">
        <v>0</v>
      </c>
      <c r="AN49" s="45">
        <f ca="1">SUMIFS(rec.uni[2024-11-01],
INDIRECT("rec.uni[natureza]"),"taxa.extra",
INDIRECT("rec.uni[empresa]"),AN$6)</f>
        <v>0</v>
      </c>
      <c r="AO49" s="131"/>
      <c r="AP49" s="44">
        <f>COUNTIFS(
    estq[empresa], AP$6,
    estq[Data da venda / reserva], "&gt;=" &amp; $A49,
    estq[Data da venda / reserva], "&lt;"  &amp; EOMONTH($A49,0) + 1
)</f>
        <v>0</v>
      </c>
      <c r="AQ49" s="45">
        <f ca="1">SUMIFS(rec.uni[2024-11-01],
INDIRECT("rec.uni[natureza]"),"pro.soluto",
INDIRECT("rec.uni[empresa]"),AQ$6)</f>
        <v>0</v>
      </c>
      <c r="AR49" s="45">
        <f ca="1">SUMIFS(rec.uni[2024-11-01],
INDIRECT("rec.uni[natureza]"),"repasse.cef.obra",
INDIRECT("rec.uni[empresa]"),AR$6)</f>
        <v>0</v>
      </c>
      <c r="AS49" s="45">
        <f ca="1">SUMIFS(rec.uni[2024-11-01],
INDIRECT("rec.uni[natureza]"),"repasse.cef.terreno",
INDIRECT("rec.uni[empresa]"),AS$6)</f>
        <v>0</v>
      </c>
      <c r="AT49" s="45">
        <v>0</v>
      </c>
      <c r="AU49" s="45">
        <f ca="1">SUMIFS(rec.uni[2024-11-01],
INDIRECT("rec.uni[natureza]"),"taxa.extra",
INDIRECT("rec.uni[empresa]"),AU$6)</f>
        <v>0</v>
      </c>
      <c r="AV49" s="131"/>
    </row>
    <row r="50" spans="1:48" x14ac:dyDescent="0.25">
      <c r="A50" s="43">
        <v>45627</v>
      </c>
      <c r="B50" s="44">
        <f>COUNTIFS(
    estq[empresa], B$6,
    estq[Data da venda / reserva], "&gt;=" &amp; $A50,
    estq[Data da venda / reserva], "&lt;"  &amp; EOMONTH($A50,0) + 1
)</f>
        <v>0</v>
      </c>
      <c r="C50" s="45">
        <f ca="1">SUMIFS(rec.uni[2024-12-01],
INDIRECT("rec.uni[natureza]"),"pro.soluto",
INDIRECT("rec.uni[empresa]"),C$6)</f>
        <v>0</v>
      </c>
      <c r="D50" s="45">
        <f ca="1">SUMIFS(rec.uni[2024-12-01],
INDIRECT("rec.uni[natureza]"),"repasse.cef.obra",
INDIRECT("rec.uni[empresa]"),D$6)</f>
        <v>0</v>
      </c>
      <c r="E50" s="45">
        <f ca="1">SUMIFS(rec.uni[2024-12-01],
INDIRECT("rec.uni[natureza]"),"repasse.cef.terreno",
INDIRECT("rec.uni[empresa]"),E$6)</f>
        <v>0</v>
      </c>
      <c r="F50" s="45">
        <v>293595.69</v>
      </c>
      <c r="G50" s="45">
        <f ca="1">SUMIFS(rec.uni[2024-12-01],
INDIRECT("rec.uni[natureza]"),"taxa.extra",
INDIRECT("rec.uni[empresa]"),G$6)</f>
        <v>0</v>
      </c>
      <c r="H50" s="131"/>
      <c r="I50" s="44">
        <f>COUNTIFS(
    estq[empresa], I$6,
    estq[Data da venda / reserva], "&gt;=" &amp; $A50,
    estq[Data da venda / reserva], "&lt;"  &amp; EOMONTH($A50,0) + 1
)</f>
        <v>0</v>
      </c>
      <c r="J50" s="45">
        <f ca="1">SUMIFS(rec.uni[2024-12-01],
INDIRECT("rec.uni[natureza]"),"pro.soluto",
INDIRECT("rec.uni[empresa]"),J$6)</f>
        <v>0</v>
      </c>
      <c r="K50" s="45">
        <f ca="1">SUMIFS(rec.uni[2024-12-01],
INDIRECT("rec.uni[natureza]"),"repasse.cef.obra",
INDIRECT("rec.uni[empresa]"),K$6)</f>
        <v>0</v>
      </c>
      <c r="L50" s="45">
        <f ca="1">SUMIFS(rec.uni[2024-12-01],
INDIRECT("rec.uni[natureza]"),"repasse.cef.terreno",
INDIRECT("rec.uni[empresa]"),L$6)</f>
        <v>0</v>
      </c>
      <c r="M50" s="45">
        <v>0</v>
      </c>
      <c r="N50" s="45">
        <f ca="1">SUMIFS(rec.uni[2024-12-01],
INDIRECT("rec.uni[natureza]"),"taxa.extra",
INDIRECT("rec.uni[empresa]"),N$6)</f>
        <v>0</v>
      </c>
      <c r="O50" s="131"/>
      <c r="P50" s="44">
        <f>COUNTIFS(
    estq[empresa], P$6,
    estq[Data da venda / reserva], "&gt;=" &amp; $A50,
    estq[Data da venda / reserva], "&lt;"  &amp; EOMONTH($A50,0) + 1
)</f>
        <v>0</v>
      </c>
      <c r="Q50" s="45">
        <f ca="1">SUMIFS(rec.uni[2024-12-01],
INDIRECT("rec.uni[natureza]"),"pro.soluto",
INDIRECT("rec.uni[empresa]"),Q$6)</f>
        <v>0</v>
      </c>
      <c r="R50" s="45">
        <f ca="1">SUMIFS(rec.uni[2024-12-01],
INDIRECT("rec.uni[natureza]"),"repasse.cef.obra",
INDIRECT("rec.uni[empresa]"),R$6)</f>
        <v>0</v>
      </c>
      <c r="S50" s="45">
        <f ca="1">SUMIFS(rec.uni[2024-12-01],
INDIRECT("rec.uni[natureza]"),"repasse.cef.terreno",
INDIRECT("rec.uni[empresa]"),S$6)</f>
        <v>0</v>
      </c>
      <c r="T50" s="45">
        <v>0</v>
      </c>
      <c r="U50" s="45">
        <f ca="1">SUMIFS(rec.uni[2024-12-01],
INDIRECT("rec.uni[natureza]"),"taxa.extra",
INDIRECT("rec.uni[empresa]"),U$6)</f>
        <v>0</v>
      </c>
      <c r="V50" s="131"/>
      <c r="W50" s="44">
        <f>COUNTIFS(
    estq[empresa], W$6,
    estq[Data da venda / reserva], "&gt;=" &amp; $A50,
    estq[Data da venda / reserva], "&lt;"  &amp; EOMONTH($A50,0) + 1
)</f>
        <v>0</v>
      </c>
      <c r="X50" s="45">
        <f ca="1">SUMIFS(rec.uni[2024-12-01],
INDIRECT("rec.uni[natureza]"),"pro.soluto",
INDIRECT("rec.uni[empresa]"),X$6)</f>
        <v>0</v>
      </c>
      <c r="Y50" s="45">
        <f ca="1">SUMIFS(rec.uni[2024-12-01],
INDIRECT("rec.uni[natureza]"),"repasse.cef.obra",
INDIRECT("rec.uni[empresa]"),Y$6)</f>
        <v>0</v>
      </c>
      <c r="Z50" s="45">
        <f ca="1">SUMIFS(rec.uni[2024-12-01],
INDIRECT("rec.uni[natureza]"),"repasse.cef.terreno",
INDIRECT("rec.uni[empresa]"),Z$6)</f>
        <v>0</v>
      </c>
      <c r="AA50" s="45">
        <v>0</v>
      </c>
      <c r="AB50" s="45">
        <f ca="1">SUMIFS(rec.uni[2024-12-01],
INDIRECT("rec.uni[natureza]"),"taxa.extra",
INDIRECT("rec.uni[empresa]"),AB$6)</f>
        <v>0</v>
      </c>
      <c r="AC50" s="131"/>
      <c r="AD50" s="44">
        <f>COUNTIFS(
    estq[empresa], AD$6,
    estq[Data da venda / reserva], "&gt;=" &amp; $A50,
    estq[Data da venda / reserva], "&lt;"  &amp; EOMONTH($A50,0) + 1
)</f>
        <v>0</v>
      </c>
      <c r="AE50" s="45">
        <f ca="1">SUMIFS(rec.uni[2024-12-01],
INDIRECT("rec.uni[natureza]"),"pro.soluto",
INDIRECT("rec.uni[empresa]"),AE$6)</f>
        <v>0</v>
      </c>
      <c r="AF50" s="38">
        <f ca="1">SUMIFS(rec.uni[2024-12-01],
INDIRECT("rec.uni[natureza]"),"parcela.fin.total.ik",
INDIRECT("rec.uni[empresa]"),AF$6)</f>
        <v>0</v>
      </c>
      <c r="AG50" s="45">
        <f ca="1">SUMIFS(rec.uni[2024-12-01],
INDIRECT("rec.uni[natureza]"),"taxa.extra",
INDIRECT("rec.uni[empresa]"),AG$6)</f>
        <v>0</v>
      </c>
      <c r="AH50" s="131"/>
      <c r="AI50" s="44">
        <f>COUNTIFS(
    estq[empresa], AI$6,
    estq[Data da venda / reserva], "&gt;=" &amp; $A50,
    estq[Data da venda / reserva], "&lt;"  &amp; EOMONTH($A50,0) + 1
)</f>
        <v>0</v>
      </c>
      <c r="AJ50" s="45">
        <f ca="1">SUMIFS(rec.uni[2024-12-01],
INDIRECT("rec.uni[natureza]"),"pro.soluto",
INDIRECT("rec.uni[empresa]"),AJ$6)</f>
        <v>0</v>
      </c>
      <c r="AK50" s="45">
        <f ca="1">SUMIFS(rec.uni[2024-12-01],
INDIRECT("rec.uni[natureza]"),"repasse.cef.obra",
INDIRECT("rec.uni[empresa]"),AK$6)</f>
        <v>0</v>
      </c>
      <c r="AL50" s="45">
        <f ca="1">SUMIFS(rec.uni[2024-12-01],
INDIRECT("rec.uni[natureza]"),"repasse.cef.terreno",
INDIRECT("rec.uni[empresa]"),AL$6)</f>
        <v>0</v>
      </c>
      <c r="AM50" s="45">
        <v>928463.72</v>
      </c>
      <c r="AN50" s="45">
        <f ca="1">SUMIFS(rec.uni[2024-12-01],
INDIRECT("rec.uni[natureza]"),"taxa.extra",
INDIRECT("rec.uni[empresa]"),AN$6)</f>
        <v>0</v>
      </c>
      <c r="AO50" s="131"/>
      <c r="AP50" s="44">
        <f>COUNTIFS(
    estq[empresa], AP$6,
    estq[Data da venda / reserva], "&gt;=" &amp; $A50,
    estq[Data da venda / reserva], "&lt;"  &amp; EOMONTH($A50,0) + 1
)</f>
        <v>0</v>
      </c>
      <c r="AQ50" s="45">
        <f ca="1">SUMIFS(rec.uni[2024-12-01],
INDIRECT("rec.uni[natureza]"),"pro.soluto",
INDIRECT("rec.uni[empresa]"),AQ$6)</f>
        <v>0</v>
      </c>
      <c r="AR50" s="45">
        <f ca="1">SUMIFS(rec.uni[2024-12-01],
INDIRECT("rec.uni[natureza]"),"repasse.cef.obra",
INDIRECT("rec.uni[empresa]"),AR$6)</f>
        <v>0</v>
      </c>
      <c r="AS50" s="45">
        <f ca="1">SUMIFS(rec.uni[2024-12-01],
INDIRECT("rec.uni[natureza]"),"repasse.cef.terreno",
INDIRECT("rec.uni[empresa]"),AS$6)</f>
        <v>0</v>
      </c>
      <c r="AT50" s="45">
        <v>0</v>
      </c>
      <c r="AU50" s="45">
        <f ca="1">SUMIFS(rec.uni[2024-12-01],
INDIRECT("rec.uni[natureza]"),"taxa.extra",
INDIRECT("rec.uni[empresa]"),AU$6)</f>
        <v>0</v>
      </c>
      <c r="AV50" s="131"/>
    </row>
    <row r="51" spans="1:48" x14ac:dyDescent="0.25">
      <c r="A51" s="43">
        <v>45658</v>
      </c>
      <c r="B51" s="44">
        <f>COUNTIFS(
    estq[empresa], B$6,
    estq[Data da venda / reserva], "&gt;=" &amp; $A51,
    estq[Data da venda / reserva], "&lt;"  &amp; EOMONTH($A51,0) + 1
)</f>
        <v>0</v>
      </c>
      <c r="C51" s="45">
        <f ca="1">SUMIFS(rec.uni[2025-01-01],
INDIRECT("rec.uni[natureza]"),"pro.soluto",
INDIRECT("rec.uni[empresa]"),C$6)</f>
        <v>0</v>
      </c>
      <c r="D51" s="45">
        <f ca="1">SUMIFS(rec.uni[2025-01-01],
INDIRECT("rec.uni[natureza]"),"repasse.cef.obra",
INDIRECT("rec.uni[empresa]"),D$6)</f>
        <v>0</v>
      </c>
      <c r="E51" s="45">
        <f ca="1">SUMIFS(rec.uni[2025-01-01],
INDIRECT("rec.uni[natureza]"),"repasse.cef.terreno",
INDIRECT("rec.uni[empresa]"),E$6)</f>
        <v>0</v>
      </c>
      <c r="F51" s="45">
        <v>489068.85</v>
      </c>
      <c r="G51" s="45">
        <f ca="1">SUMIFS(rec.uni[2025-01-01],
INDIRECT("rec.uni[natureza]"),"taxa.extra",
INDIRECT("rec.uni[empresa]"),G$6)</f>
        <v>0</v>
      </c>
      <c r="H51" s="131"/>
      <c r="I51" s="44">
        <f>COUNTIFS(
    estq[empresa], I$6,
    estq[Data da venda / reserva], "&gt;=" &amp; $A51,
    estq[Data da venda / reserva], "&lt;"  &amp; EOMONTH($A51,0) + 1
)</f>
        <v>0</v>
      </c>
      <c r="J51" s="45">
        <f ca="1">SUMIFS(rec.uni[2025-01-01],
INDIRECT("rec.uni[natureza]"),"pro.soluto",
INDIRECT("rec.uni[empresa]"),J$6)</f>
        <v>0</v>
      </c>
      <c r="K51" s="45">
        <f ca="1">SUMIFS(rec.uni[2025-01-01],
INDIRECT("rec.uni[natureza]"),"repasse.cef.obra",
INDIRECT("rec.uni[empresa]"),K$6)</f>
        <v>0</v>
      </c>
      <c r="L51" s="45">
        <f ca="1">SUMIFS(rec.uni[2025-01-01],
INDIRECT("rec.uni[natureza]"),"repasse.cef.terreno",
INDIRECT("rec.uni[empresa]"),L$6)</f>
        <v>0</v>
      </c>
      <c r="M51" s="45">
        <v>0</v>
      </c>
      <c r="N51" s="45">
        <f ca="1">SUMIFS(rec.uni[2025-01-01],
INDIRECT("rec.uni[natureza]"),"taxa.extra",
INDIRECT("rec.uni[empresa]"),N$6)</f>
        <v>0</v>
      </c>
      <c r="O51" s="131"/>
      <c r="P51" s="44">
        <f>COUNTIFS(
    estq[empresa], P$6,
    estq[Data da venda / reserva], "&gt;=" &amp; $A51,
    estq[Data da venda / reserva], "&lt;"  &amp; EOMONTH($A51,0) + 1
)</f>
        <v>0</v>
      </c>
      <c r="Q51" s="45">
        <f ca="1">SUMIFS(rec.uni[2025-01-01],
INDIRECT("rec.uni[natureza]"),"pro.soluto",
INDIRECT("rec.uni[empresa]"),Q$6)</f>
        <v>0</v>
      </c>
      <c r="R51" s="45">
        <f ca="1">SUMIFS(rec.uni[2025-01-01],
INDIRECT("rec.uni[natureza]"),"repasse.cef.obra",
INDIRECT("rec.uni[empresa]"),R$6)</f>
        <v>0</v>
      </c>
      <c r="S51" s="45">
        <f ca="1">SUMIFS(rec.uni[2025-01-01],
INDIRECT("rec.uni[natureza]"),"repasse.cef.terreno",
INDIRECT("rec.uni[empresa]"),S$6)</f>
        <v>0</v>
      </c>
      <c r="T51" s="45">
        <v>0</v>
      </c>
      <c r="U51" s="45">
        <f ca="1">SUMIFS(rec.uni[2025-01-01],
INDIRECT("rec.uni[natureza]"),"taxa.extra",
INDIRECT("rec.uni[empresa]"),U$6)</f>
        <v>0</v>
      </c>
      <c r="V51" s="131"/>
      <c r="W51" s="44">
        <f>COUNTIFS(
    estq[empresa], W$6,
    estq[Data da venda / reserva], "&gt;=" &amp; $A51,
    estq[Data da venda / reserva], "&lt;"  &amp; EOMONTH($A51,0) + 1
)</f>
        <v>0</v>
      </c>
      <c r="X51" s="45">
        <f ca="1">SUMIFS(rec.uni[2025-01-01],
INDIRECT("rec.uni[natureza]"),"pro.soluto",
INDIRECT("rec.uni[empresa]"),X$6)</f>
        <v>0</v>
      </c>
      <c r="Y51" s="45">
        <f ca="1">SUMIFS(rec.uni[2025-01-01],
INDIRECT("rec.uni[natureza]"),"repasse.cef.obra",
INDIRECT("rec.uni[empresa]"),Y$6)</f>
        <v>0</v>
      </c>
      <c r="Z51" s="45">
        <f ca="1">SUMIFS(rec.uni[2025-01-01],
INDIRECT("rec.uni[natureza]"),"repasse.cef.terreno",
INDIRECT("rec.uni[empresa]"),Z$6)</f>
        <v>0</v>
      </c>
      <c r="AA51" s="45">
        <v>0</v>
      </c>
      <c r="AB51" s="45">
        <f ca="1">SUMIFS(rec.uni[2025-01-01],
INDIRECT("rec.uni[natureza]"),"taxa.extra",
INDIRECT("rec.uni[empresa]"),AB$6)</f>
        <v>0</v>
      </c>
      <c r="AC51" s="131"/>
      <c r="AD51" s="44">
        <f>COUNTIFS(
    estq[empresa], AD$6,
    estq[Data da venda / reserva], "&gt;=" &amp; $A51,
    estq[Data da venda / reserva], "&lt;"  &amp; EOMONTH($A51,0) + 1
)</f>
        <v>0</v>
      </c>
      <c r="AE51" s="45">
        <f ca="1">SUMIFS(rec.uni[2025-01-01],
INDIRECT("rec.uni[natureza]"),"pro.soluto",
INDIRECT("rec.uni[empresa]"),AE$6)</f>
        <v>0</v>
      </c>
      <c r="AF51" s="38">
        <f ca="1">SUMIFS(rec.uni[2025-01-01],
INDIRECT("rec.uni[natureza]"),"parcela.fin.total.ik",
INDIRECT("rec.uni[empresa]"),AF$6)</f>
        <v>0</v>
      </c>
      <c r="AG51" s="45">
        <f ca="1">SUMIFS(rec.uni[2025-01-01],
INDIRECT("rec.uni[natureza]"),"taxa.extra",
INDIRECT("rec.uni[empresa]"),AG$6)</f>
        <v>0</v>
      </c>
      <c r="AH51" s="131"/>
      <c r="AI51" s="44">
        <f>COUNTIFS(
    estq[empresa], AI$6,
    estq[Data da venda / reserva], "&gt;=" &amp; $A51,
    estq[Data da venda / reserva], "&lt;"  &amp; EOMONTH($A51,0) + 1
)</f>
        <v>0</v>
      </c>
      <c r="AJ51" s="45">
        <f ca="1">SUMIFS(rec.uni[2025-01-01],
INDIRECT("rec.uni[natureza]"),"pro.soluto",
INDIRECT("rec.uni[empresa]"),AJ$6)</f>
        <v>0</v>
      </c>
      <c r="AK51" s="45">
        <f ca="1">SUMIFS(rec.uni[2025-01-01],
INDIRECT("rec.uni[natureza]"),"repasse.cef.obra",
INDIRECT("rec.uni[empresa]"),AK$6)</f>
        <v>0</v>
      </c>
      <c r="AL51" s="45">
        <f ca="1">SUMIFS(rec.uni[2025-01-01],
INDIRECT("rec.uni[natureza]"),"repasse.cef.terreno",
INDIRECT("rec.uni[empresa]"),AL$6)</f>
        <v>0</v>
      </c>
      <c r="AM51" s="45">
        <v>0</v>
      </c>
      <c r="AN51" s="45">
        <f ca="1">SUMIFS(rec.uni[2025-01-01],
INDIRECT("rec.uni[natureza]"),"taxa.extra",
INDIRECT("rec.uni[empresa]"),AN$6)</f>
        <v>0</v>
      </c>
      <c r="AO51" s="131"/>
      <c r="AP51" s="44">
        <f>COUNTIFS(
    estq[empresa], AP$6,
    estq[Data da venda / reserva], "&gt;=" &amp; $A51,
    estq[Data da venda / reserva], "&lt;"  &amp; EOMONTH($A51,0) + 1
)</f>
        <v>0</v>
      </c>
      <c r="AQ51" s="45">
        <f ca="1">SUMIFS(rec.uni[2025-01-01],
INDIRECT("rec.uni[natureza]"),"pro.soluto",
INDIRECT("rec.uni[empresa]"),AQ$6)</f>
        <v>0</v>
      </c>
      <c r="AR51" s="45">
        <f ca="1">SUMIFS(rec.uni[2025-01-01],
INDIRECT("rec.uni[natureza]"),"repasse.cef.obra",
INDIRECT("rec.uni[empresa]"),AR$6)</f>
        <v>0</v>
      </c>
      <c r="AS51" s="45">
        <f ca="1">SUMIFS(rec.uni[2025-01-01],
INDIRECT("rec.uni[natureza]"),"repasse.cef.terreno",
INDIRECT("rec.uni[empresa]"),AS$6)</f>
        <v>0</v>
      </c>
      <c r="AT51" s="45">
        <v>0</v>
      </c>
      <c r="AU51" s="45">
        <f ca="1">SUMIFS(rec.uni[2025-01-01],
INDIRECT("rec.uni[natureza]"),"taxa.extra",
INDIRECT("rec.uni[empresa]"),AU$6)</f>
        <v>0</v>
      </c>
      <c r="AV51" s="131"/>
    </row>
    <row r="52" spans="1:48" x14ac:dyDescent="0.25">
      <c r="A52" s="43">
        <v>45689</v>
      </c>
      <c r="B52" s="44">
        <f>COUNTIFS(
    estq[empresa], B$6,
    estq[Data da venda / reserva], "&gt;=" &amp; $A52,
    estq[Data da venda / reserva], "&lt;"  &amp; EOMONTH($A52,0) + 1
)</f>
        <v>0</v>
      </c>
      <c r="C52" s="45">
        <f ca="1">SUMIFS(rec.uni[2025-02-01],
INDIRECT("rec.uni[natureza]"),"pro.soluto",
INDIRECT("rec.uni[empresa]"),C$6)</f>
        <v>0</v>
      </c>
      <c r="D52" s="45">
        <f ca="1">SUMIFS(rec.uni[2025-02-01],
INDIRECT("rec.uni[natureza]"),"repasse.cef.obra",
INDIRECT("rec.uni[empresa]"),D$6)</f>
        <v>0</v>
      </c>
      <c r="E52" s="45">
        <f ca="1">SUMIFS(rec.uni[2025-02-01],
INDIRECT("rec.uni[natureza]"),"repasse.cef.terreno",
INDIRECT("rec.uni[empresa]"),E$6)</f>
        <v>0</v>
      </c>
      <c r="F52" s="45">
        <v>0</v>
      </c>
      <c r="G52" s="45">
        <f ca="1">SUMIFS(rec.uni[2025-02-01],
INDIRECT("rec.uni[natureza]"),"taxa.extra",
INDIRECT("rec.uni[empresa]"),G$6)</f>
        <v>0</v>
      </c>
      <c r="H52" s="131"/>
      <c r="I52" s="44">
        <f>COUNTIFS(
    estq[empresa], I$6,
    estq[Data da venda / reserva], "&gt;=" &amp; $A52,
    estq[Data da venda / reserva], "&lt;"  &amp; EOMONTH($A52,0) + 1
)</f>
        <v>0</v>
      </c>
      <c r="J52" s="45">
        <f ca="1">SUMIFS(rec.uni[2025-02-01],
INDIRECT("rec.uni[natureza]"),"pro.soluto",
INDIRECT("rec.uni[empresa]"),J$6)</f>
        <v>0</v>
      </c>
      <c r="K52" s="45">
        <f ca="1">SUMIFS(rec.uni[2025-02-01],
INDIRECT("rec.uni[natureza]"),"repasse.cef.obra",
INDIRECT("rec.uni[empresa]"),K$6)</f>
        <v>0</v>
      </c>
      <c r="L52" s="45">
        <f ca="1">SUMIFS(rec.uni[2025-02-01],
INDIRECT("rec.uni[natureza]"),"repasse.cef.terreno",
INDIRECT("rec.uni[empresa]"),L$6)</f>
        <v>0</v>
      </c>
      <c r="M52" s="45">
        <v>0</v>
      </c>
      <c r="N52" s="45">
        <f ca="1">SUMIFS(rec.uni[2025-02-01],
INDIRECT("rec.uni[natureza]"),"taxa.extra",
INDIRECT("rec.uni[empresa]"),N$6)</f>
        <v>0</v>
      </c>
      <c r="O52" s="131"/>
      <c r="P52" s="44">
        <f>COUNTIFS(
    estq[empresa], P$6,
    estq[Data da venda / reserva], "&gt;=" &amp; $A52,
    estq[Data da venda / reserva], "&lt;"  &amp; EOMONTH($A52,0) + 1
)</f>
        <v>0</v>
      </c>
      <c r="Q52" s="45">
        <f ca="1">SUMIFS(rec.uni[2025-02-01],
INDIRECT("rec.uni[natureza]"),"pro.soluto",
INDIRECT("rec.uni[empresa]"),Q$6)</f>
        <v>0</v>
      </c>
      <c r="R52" s="45">
        <f ca="1">SUMIFS(rec.uni[2025-02-01],
INDIRECT("rec.uni[natureza]"),"repasse.cef.obra",
INDIRECT("rec.uni[empresa]"),R$6)</f>
        <v>0</v>
      </c>
      <c r="S52" s="45">
        <f ca="1">SUMIFS(rec.uni[2025-02-01],
INDIRECT("rec.uni[natureza]"),"repasse.cef.terreno",
INDIRECT("rec.uni[empresa]"),S$6)</f>
        <v>0</v>
      </c>
      <c r="T52" s="45">
        <v>0</v>
      </c>
      <c r="U52" s="45">
        <f ca="1">SUMIFS(rec.uni[2025-02-01],
INDIRECT("rec.uni[natureza]"),"taxa.extra",
INDIRECT("rec.uni[empresa]"),U$6)</f>
        <v>0</v>
      </c>
      <c r="V52" s="131"/>
      <c r="W52" s="44">
        <f>COUNTIFS(
    estq[empresa], W$6,
    estq[Data da venda / reserva], "&gt;=" &amp; $A52,
    estq[Data da venda / reserva], "&lt;"  &amp; EOMONTH($A52,0) + 1
)</f>
        <v>0</v>
      </c>
      <c r="X52" s="45">
        <f ca="1">SUMIFS(rec.uni[2025-02-01],
INDIRECT("rec.uni[natureza]"),"pro.soluto",
INDIRECT("rec.uni[empresa]"),X$6)</f>
        <v>0</v>
      </c>
      <c r="Y52" s="45">
        <f ca="1">SUMIFS(rec.uni[2025-02-01],
INDIRECT("rec.uni[natureza]"),"repasse.cef.obra",
INDIRECT("rec.uni[empresa]"),Y$6)</f>
        <v>0</v>
      </c>
      <c r="Z52" s="45">
        <f ca="1">SUMIFS(rec.uni[2025-02-01],
INDIRECT("rec.uni[natureza]"),"repasse.cef.terreno",
INDIRECT("rec.uni[empresa]"),Z$6)</f>
        <v>0</v>
      </c>
      <c r="AA52" s="45">
        <v>0</v>
      </c>
      <c r="AB52" s="45">
        <f ca="1">SUMIFS(rec.uni[2025-02-01],
INDIRECT("rec.uni[natureza]"),"taxa.extra",
INDIRECT("rec.uni[empresa]"),AB$6)</f>
        <v>0</v>
      </c>
      <c r="AC52" s="131"/>
      <c r="AD52" s="44">
        <f>COUNTIFS(
    estq[empresa], AD$6,
    estq[Data da venda / reserva], "&gt;=" &amp; $A52,
    estq[Data da venda / reserva], "&lt;"  &amp; EOMONTH($A52,0) + 1
)</f>
        <v>0</v>
      </c>
      <c r="AE52" s="45">
        <f ca="1">SUMIFS(rec.uni[2025-02-01],
INDIRECT("rec.uni[natureza]"),"pro.soluto",
INDIRECT("rec.uni[empresa]"),AE$6)</f>
        <v>0</v>
      </c>
      <c r="AF52" s="38">
        <f ca="1">SUMIFS(rec.uni[2025-02-01],
INDIRECT("rec.uni[natureza]"),"parcela.fin.total.ik",
INDIRECT("rec.uni[empresa]"),AF$6)</f>
        <v>0</v>
      </c>
      <c r="AG52" s="45">
        <f ca="1">SUMIFS(rec.uni[2025-02-01],
INDIRECT("rec.uni[natureza]"),"taxa.extra",
INDIRECT("rec.uni[empresa]"),AG$6)</f>
        <v>0</v>
      </c>
      <c r="AH52" s="131"/>
      <c r="AI52" s="44">
        <f>COUNTIFS(
    estq[empresa], AI$6,
    estq[Data da venda / reserva], "&gt;=" &amp; $A52,
    estq[Data da venda / reserva], "&lt;"  &amp; EOMONTH($A52,0) + 1
)</f>
        <v>0</v>
      </c>
      <c r="AJ52" s="45">
        <f ca="1">SUMIFS(rec.uni[2025-02-01],
INDIRECT("rec.uni[natureza]"),"pro.soluto",
INDIRECT("rec.uni[empresa]"),AJ$6)</f>
        <v>0</v>
      </c>
      <c r="AK52" s="45">
        <f ca="1">SUMIFS(rec.uni[2025-02-01],
INDIRECT("rec.uni[natureza]"),"repasse.cef.obra",
INDIRECT("rec.uni[empresa]"),AK$6)</f>
        <v>0</v>
      </c>
      <c r="AL52" s="45">
        <f ca="1">SUMIFS(rec.uni[2025-02-01],
INDIRECT("rec.uni[natureza]"),"repasse.cef.terreno",
INDIRECT("rec.uni[empresa]"),AL$6)</f>
        <v>0</v>
      </c>
      <c r="AM52" s="45">
        <v>0</v>
      </c>
      <c r="AN52" s="45">
        <f ca="1">SUMIFS(rec.uni[2025-02-01],
INDIRECT("rec.uni[natureza]"),"taxa.extra",
INDIRECT("rec.uni[empresa]"),AN$6)</f>
        <v>0</v>
      </c>
      <c r="AO52" s="131"/>
      <c r="AP52" s="44">
        <f>COUNTIFS(
    estq[empresa], AP$6,
    estq[Data da venda / reserva], "&gt;=" &amp; $A52,
    estq[Data da venda / reserva], "&lt;"  &amp; EOMONTH($A52,0) + 1
)</f>
        <v>0</v>
      </c>
      <c r="AQ52" s="45">
        <f ca="1">SUMIFS(rec.uni[2025-02-01],
INDIRECT("rec.uni[natureza]"),"pro.soluto",
INDIRECT("rec.uni[empresa]"),AQ$6)</f>
        <v>0</v>
      </c>
      <c r="AR52" s="45">
        <f ca="1">SUMIFS(rec.uni[2025-02-01],
INDIRECT("rec.uni[natureza]"),"repasse.cef.obra",
INDIRECT("rec.uni[empresa]"),AR$6)</f>
        <v>0</v>
      </c>
      <c r="AS52" s="45">
        <f ca="1">SUMIFS(rec.uni[2025-02-01],
INDIRECT("rec.uni[natureza]"),"repasse.cef.terreno",
INDIRECT("rec.uni[empresa]"),AS$6)</f>
        <v>0</v>
      </c>
      <c r="AT52" s="45">
        <v>0</v>
      </c>
      <c r="AU52" s="45">
        <f ca="1">SUMIFS(rec.uni[2025-02-01],
INDIRECT("rec.uni[natureza]"),"taxa.extra",
INDIRECT("rec.uni[empresa]"),AU$6)</f>
        <v>0</v>
      </c>
      <c r="AV52" s="131"/>
    </row>
    <row r="53" spans="1:48" x14ac:dyDescent="0.25">
      <c r="A53" s="43">
        <v>45717</v>
      </c>
      <c r="B53" s="44">
        <f>COUNTIFS(
    estq[empresa], B$6,
    estq[Data da venda / reserva], "&gt;=" &amp; $A53,
    estq[Data da venda / reserva], "&lt;"  &amp; EOMONTH($A53,0) + 1
)</f>
        <v>0</v>
      </c>
      <c r="C53" s="45">
        <f ca="1">SUMIFS(rec.uni[2025-03-01],
INDIRECT("rec.uni[natureza]"),"pro.soluto",
INDIRECT("rec.uni[empresa]"),C$6)</f>
        <v>0</v>
      </c>
      <c r="D53" s="45">
        <f ca="1">SUMIFS(rec.uni[2025-03-01],
INDIRECT("rec.uni[natureza]"),"repasse.cef.obra",
INDIRECT("rec.uni[empresa]"),D$6)</f>
        <v>0</v>
      </c>
      <c r="E53" s="45">
        <f ca="1">SUMIFS(rec.uni[2025-03-01],
INDIRECT("rec.uni[natureza]"),"repasse.cef.terreno",
INDIRECT("rec.uni[empresa]"),E$6)</f>
        <v>0</v>
      </c>
      <c r="F53" s="45">
        <v>385006.39</v>
      </c>
      <c r="G53" s="45">
        <f ca="1">SUMIFS(rec.uni[2025-03-01],
INDIRECT("rec.uni[natureza]"),"taxa.extra",
INDIRECT("rec.uni[empresa]"),G$6)</f>
        <v>0</v>
      </c>
      <c r="H53" s="131"/>
      <c r="I53" s="44">
        <f>COUNTIFS(
    estq[empresa], I$6,
    estq[Data da venda / reserva], "&gt;=" &amp; $A53,
    estq[Data da venda / reserva], "&lt;"  &amp; EOMONTH($A53,0) + 1
)</f>
        <v>0</v>
      </c>
      <c r="J53" s="45">
        <f ca="1">SUMIFS(rec.uni[2025-03-01],
INDIRECT("rec.uni[natureza]"),"pro.soluto",
INDIRECT("rec.uni[empresa]"),J$6)</f>
        <v>0</v>
      </c>
      <c r="K53" s="45">
        <f ca="1">SUMIFS(rec.uni[2025-03-01],
INDIRECT("rec.uni[natureza]"),"repasse.cef.obra",
INDIRECT("rec.uni[empresa]"),K$6)</f>
        <v>0</v>
      </c>
      <c r="L53" s="45">
        <f ca="1">SUMIFS(rec.uni[2025-03-01],
INDIRECT("rec.uni[natureza]"),"repasse.cef.terreno",
INDIRECT("rec.uni[empresa]"),L$6)</f>
        <v>0</v>
      </c>
      <c r="M53" s="45">
        <v>0</v>
      </c>
      <c r="N53" s="45">
        <f ca="1">SUMIFS(rec.uni[2025-03-01],
INDIRECT("rec.uni[natureza]"),"taxa.extra",
INDIRECT("rec.uni[empresa]"),N$6)</f>
        <v>0</v>
      </c>
      <c r="O53" s="131"/>
      <c r="P53" s="44">
        <f>COUNTIFS(
    estq[empresa], P$6,
    estq[Data da venda / reserva], "&gt;=" &amp; $A53,
    estq[Data da venda / reserva], "&lt;"  &amp; EOMONTH($A53,0) + 1
)</f>
        <v>0</v>
      </c>
      <c r="Q53" s="45">
        <f ca="1">SUMIFS(rec.uni[2025-03-01],
INDIRECT("rec.uni[natureza]"),"pro.soluto",
INDIRECT("rec.uni[empresa]"),Q$6)</f>
        <v>0</v>
      </c>
      <c r="R53" s="45">
        <f ca="1">SUMIFS(rec.uni[2025-03-01],
INDIRECT("rec.uni[natureza]"),"repasse.cef.obra",
INDIRECT("rec.uni[empresa]"),R$6)</f>
        <v>0</v>
      </c>
      <c r="S53" s="45">
        <f ca="1">SUMIFS(rec.uni[2025-03-01],
INDIRECT("rec.uni[natureza]"),"repasse.cef.terreno",
INDIRECT("rec.uni[empresa]"),S$6)</f>
        <v>0</v>
      </c>
      <c r="T53" s="45">
        <v>0</v>
      </c>
      <c r="U53" s="45">
        <f ca="1">SUMIFS(rec.uni[2025-03-01],
INDIRECT("rec.uni[natureza]"),"taxa.extra",
INDIRECT("rec.uni[empresa]"),U$6)</f>
        <v>0</v>
      </c>
      <c r="V53" s="131"/>
      <c r="W53" s="44">
        <f>COUNTIFS(
    estq[empresa], W$6,
    estq[Data da venda / reserva], "&gt;=" &amp; $A53,
    estq[Data da venda / reserva], "&lt;"  &amp; EOMONTH($A53,0) + 1
)</f>
        <v>0</v>
      </c>
      <c r="X53" s="45">
        <f ca="1">SUMIFS(rec.uni[2025-03-01],
INDIRECT("rec.uni[natureza]"),"pro.soluto",
INDIRECT("rec.uni[empresa]"),X$6)</f>
        <v>0</v>
      </c>
      <c r="Y53" s="45">
        <f ca="1">SUMIFS(rec.uni[2025-03-01],
INDIRECT("rec.uni[natureza]"),"repasse.cef.obra",
INDIRECT("rec.uni[empresa]"),Y$6)</f>
        <v>0</v>
      </c>
      <c r="Z53" s="45">
        <f ca="1">SUMIFS(rec.uni[2025-03-01],
INDIRECT("rec.uni[natureza]"),"repasse.cef.terreno",
INDIRECT("rec.uni[empresa]"),Z$6)</f>
        <v>0</v>
      </c>
      <c r="AA53" s="45">
        <v>0</v>
      </c>
      <c r="AB53" s="45">
        <f ca="1">SUMIFS(rec.uni[2025-03-01],
INDIRECT("rec.uni[natureza]"),"taxa.extra",
INDIRECT("rec.uni[empresa]"),AB$6)</f>
        <v>0</v>
      </c>
      <c r="AC53" s="131"/>
      <c r="AD53" s="44">
        <f>COUNTIFS(
    estq[empresa], AD$6,
    estq[Data da venda / reserva], "&gt;=" &amp; $A53,
    estq[Data da venda / reserva], "&lt;"  &amp; EOMONTH($A53,0) + 1
)</f>
        <v>0</v>
      </c>
      <c r="AE53" s="45">
        <f ca="1">SUMIFS(rec.uni[2025-03-01],
INDIRECT("rec.uni[natureza]"),"pro.soluto",
INDIRECT("rec.uni[empresa]"),AE$6)</f>
        <v>0</v>
      </c>
      <c r="AF53" s="38">
        <f ca="1">SUMIFS(rec.uni[2025-03-01],
INDIRECT("rec.uni[natureza]"),"parcela.fin.total.ik",
INDIRECT("rec.uni[empresa]"),AF$6)</f>
        <v>0</v>
      </c>
      <c r="AG53" s="45">
        <f ca="1">SUMIFS(rec.uni[2025-03-01],
INDIRECT("rec.uni[natureza]"),"taxa.extra",
INDIRECT("rec.uni[empresa]"),AG$6)</f>
        <v>0</v>
      </c>
      <c r="AH53" s="131"/>
      <c r="AI53" s="44">
        <f>COUNTIFS(
    estq[empresa], AI$6,
    estq[Data da venda / reserva], "&gt;=" &amp; $A53,
    estq[Data da venda / reserva], "&lt;"  &amp; EOMONTH($A53,0) + 1
)</f>
        <v>0</v>
      </c>
      <c r="AJ53" s="45">
        <f ca="1">SUMIFS(rec.uni[2025-03-01],
INDIRECT("rec.uni[natureza]"),"pro.soluto",
INDIRECT("rec.uni[empresa]"),AJ$6)</f>
        <v>0</v>
      </c>
      <c r="AK53" s="45">
        <f ca="1">SUMIFS(rec.uni[2025-03-01],
INDIRECT("rec.uni[natureza]"),"repasse.cef.obra",
INDIRECT("rec.uni[empresa]"),AK$6)</f>
        <v>0</v>
      </c>
      <c r="AL53" s="45">
        <f ca="1">SUMIFS(rec.uni[2025-03-01],
INDIRECT("rec.uni[natureza]"),"repasse.cef.terreno",
INDIRECT("rec.uni[empresa]"),AL$6)</f>
        <v>0</v>
      </c>
      <c r="AM53" s="45">
        <v>236708.67</v>
      </c>
      <c r="AN53" s="45">
        <f ca="1">SUMIFS(rec.uni[2025-03-01],
INDIRECT("rec.uni[natureza]"),"taxa.extra",
INDIRECT("rec.uni[empresa]"),AN$6)</f>
        <v>0</v>
      </c>
      <c r="AO53" s="131"/>
      <c r="AP53" s="44">
        <f>COUNTIFS(
    estq[empresa], AP$6,
    estq[Data da venda / reserva], "&gt;=" &amp; $A53,
    estq[Data da venda / reserva], "&lt;"  &amp; EOMONTH($A53,0) + 1
)</f>
        <v>0</v>
      </c>
      <c r="AQ53" s="45">
        <f ca="1">SUMIFS(rec.uni[2025-03-01],
INDIRECT("rec.uni[natureza]"),"pro.soluto",
INDIRECT("rec.uni[empresa]"),AQ$6)</f>
        <v>0</v>
      </c>
      <c r="AR53" s="45">
        <f ca="1">SUMIFS(rec.uni[2025-03-01],
INDIRECT("rec.uni[natureza]"),"repasse.cef.obra",
INDIRECT("rec.uni[empresa]"),AR$6)</f>
        <v>0</v>
      </c>
      <c r="AS53" s="45">
        <f ca="1">SUMIFS(rec.uni[2025-03-01],
INDIRECT("rec.uni[natureza]"),"repasse.cef.terreno",
INDIRECT("rec.uni[empresa]"),AS$6)</f>
        <v>0</v>
      </c>
      <c r="AT53" s="45">
        <v>0</v>
      </c>
      <c r="AU53" s="45">
        <f ca="1">SUMIFS(rec.uni[2025-03-01],
INDIRECT("rec.uni[natureza]"),"taxa.extra",
INDIRECT("rec.uni[empresa]"),AU$6)</f>
        <v>0</v>
      </c>
      <c r="AV53" s="131"/>
    </row>
    <row r="54" spans="1:48" x14ac:dyDescent="0.25">
      <c r="A54" s="43">
        <v>45748</v>
      </c>
      <c r="B54" s="44">
        <f>COUNTIFS(
    estq[empresa], B$6,
    estq[Data da venda / reserva], "&gt;=" &amp; $A54,
    estq[Data da venda / reserva], "&lt;"  &amp; EOMONTH($A54,0) + 1
)</f>
        <v>0</v>
      </c>
      <c r="C54" s="45">
        <f ca="1">SUMIFS(rec.uni[2025-04-01],
INDIRECT("rec.uni[natureza]"),"pro.soluto",
INDIRECT("rec.uni[empresa]"),C$6)</f>
        <v>0</v>
      </c>
      <c r="D54" s="45">
        <f ca="1">SUMIFS(rec.uni[2025-04-01],
INDIRECT("rec.uni[natureza]"),"repasse.cef.obra",
INDIRECT("rec.uni[empresa]"),D$6)</f>
        <v>0</v>
      </c>
      <c r="E54" s="45">
        <f ca="1">SUMIFS(rec.uni[2025-04-01],
INDIRECT("rec.uni[natureza]"),"repasse.cef.terreno",
INDIRECT("rec.uni[empresa]"),E$6)</f>
        <v>0</v>
      </c>
      <c r="F54" s="45">
        <v>223853.73</v>
      </c>
      <c r="G54" s="45">
        <f ca="1">SUMIFS(rec.uni[2025-04-01],
INDIRECT("rec.uni[natureza]"),"taxa.extra",
INDIRECT("rec.uni[empresa]"),G$6)</f>
        <v>0</v>
      </c>
      <c r="H54" s="131"/>
      <c r="I54" s="44">
        <f>COUNTIFS(
    estq[empresa], I$6,
    estq[Data da venda / reserva], "&gt;=" &amp; $A54,
    estq[Data da venda / reserva], "&lt;"  &amp; EOMONTH($A54,0) + 1
)</f>
        <v>0</v>
      </c>
      <c r="J54" s="45">
        <f ca="1">SUMIFS(rec.uni[2025-04-01],
INDIRECT("rec.uni[natureza]"),"pro.soluto",
INDIRECT("rec.uni[empresa]"),J$6)</f>
        <v>0</v>
      </c>
      <c r="K54" s="45">
        <f ca="1">SUMIFS(rec.uni[2025-04-01],
INDIRECT("rec.uni[natureza]"),"repasse.cef.obra",
INDIRECT("rec.uni[empresa]"),K$6)</f>
        <v>0</v>
      </c>
      <c r="L54" s="45">
        <f ca="1">SUMIFS(rec.uni[2025-04-01],
INDIRECT("rec.uni[natureza]"),"repasse.cef.terreno",
INDIRECT("rec.uni[empresa]"),L$6)</f>
        <v>0</v>
      </c>
      <c r="M54" s="45">
        <v>0</v>
      </c>
      <c r="N54" s="45">
        <f ca="1">SUMIFS(rec.uni[2025-04-01],
INDIRECT("rec.uni[natureza]"),"taxa.extra",
INDIRECT("rec.uni[empresa]"),N$6)</f>
        <v>0</v>
      </c>
      <c r="O54" s="131"/>
      <c r="P54" s="44">
        <f>COUNTIFS(
    estq[empresa], P$6,
    estq[Data da venda / reserva], "&gt;=" &amp; $A54,
    estq[Data da venda / reserva], "&lt;"  &amp; EOMONTH($A54,0) + 1
)</f>
        <v>0</v>
      </c>
      <c r="Q54" s="45">
        <f ca="1">SUMIFS(rec.uni[2025-04-01],
INDIRECT("rec.uni[natureza]"),"pro.soluto",
INDIRECT("rec.uni[empresa]"),Q$6)</f>
        <v>0</v>
      </c>
      <c r="R54" s="45">
        <f ca="1">SUMIFS(rec.uni[2025-04-01],
INDIRECT("rec.uni[natureza]"),"repasse.cef.obra",
INDIRECT("rec.uni[empresa]"),R$6)</f>
        <v>0</v>
      </c>
      <c r="S54" s="45">
        <f ca="1">SUMIFS(rec.uni[2025-04-01],
INDIRECT("rec.uni[natureza]"),"repasse.cef.terreno",
INDIRECT("rec.uni[empresa]"),S$6)</f>
        <v>0</v>
      </c>
      <c r="T54" s="45">
        <v>0</v>
      </c>
      <c r="U54" s="45">
        <f ca="1">SUMIFS(rec.uni[2025-04-01],
INDIRECT("rec.uni[natureza]"),"taxa.extra",
INDIRECT("rec.uni[empresa]"),U$6)</f>
        <v>0</v>
      </c>
      <c r="V54" s="131"/>
      <c r="W54" s="44">
        <f>COUNTIFS(
    estq[empresa], W$6,
    estq[Data da venda / reserva], "&gt;=" &amp; $A54,
    estq[Data da venda / reserva], "&lt;"  &amp; EOMONTH($A54,0) + 1
)</f>
        <v>0</v>
      </c>
      <c r="X54" s="45">
        <f ca="1">SUMIFS(rec.uni[2025-04-01],
INDIRECT("rec.uni[natureza]"),"pro.soluto",
INDIRECT("rec.uni[empresa]"),X$6)</f>
        <v>0</v>
      </c>
      <c r="Y54" s="45">
        <f ca="1">SUMIFS(rec.uni[2025-04-01],
INDIRECT("rec.uni[natureza]"),"repasse.cef.obra",
INDIRECT("rec.uni[empresa]"),Y$6)</f>
        <v>0</v>
      </c>
      <c r="Z54" s="45">
        <f ca="1">SUMIFS(rec.uni[2025-04-01],
INDIRECT("rec.uni[natureza]"),"repasse.cef.terreno",
INDIRECT("rec.uni[empresa]"),Z$6)</f>
        <v>0</v>
      </c>
      <c r="AA54" s="45">
        <v>0</v>
      </c>
      <c r="AB54" s="45">
        <f ca="1">SUMIFS(rec.uni[2025-04-01],
INDIRECT("rec.uni[natureza]"),"taxa.extra",
INDIRECT("rec.uni[empresa]"),AB$6)</f>
        <v>0</v>
      </c>
      <c r="AC54" s="131"/>
      <c r="AD54" s="44">
        <f>COUNTIFS(
    estq[empresa], AD$6,
    estq[Data da venda / reserva], "&gt;=" &amp; $A54,
    estq[Data da venda / reserva], "&lt;"  &amp; EOMONTH($A54,0) + 1
)</f>
        <v>0</v>
      </c>
      <c r="AE54" s="45">
        <f ca="1">SUMIFS(rec.uni[2025-04-01],
INDIRECT("rec.uni[natureza]"),"pro.soluto",
INDIRECT("rec.uni[empresa]"),AE$6)</f>
        <v>0</v>
      </c>
      <c r="AF54" s="38">
        <f ca="1">SUMIFS(rec.uni[2025-04-01],
INDIRECT("rec.uni[natureza]"),"parcela.fin.total.ik",
INDIRECT("rec.uni[empresa]"),AF$6)</f>
        <v>0</v>
      </c>
      <c r="AG54" s="45">
        <f ca="1">SUMIFS(rec.uni[2025-04-01],
INDIRECT("rec.uni[natureza]"),"taxa.extra",
INDIRECT("rec.uni[empresa]"),AG$6)</f>
        <v>0</v>
      </c>
      <c r="AH54" s="131"/>
      <c r="AI54" s="44">
        <f>COUNTIFS(
    estq[empresa], AI$6,
    estq[Data da venda / reserva], "&gt;=" &amp; $A54,
    estq[Data da venda / reserva], "&lt;"  &amp; EOMONTH($A54,0) + 1
)</f>
        <v>0</v>
      </c>
      <c r="AJ54" s="45">
        <f ca="1">SUMIFS(rec.uni[2025-04-01],
INDIRECT("rec.uni[natureza]"),"pro.soluto",
INDIRECT("rec.uni[empresa]"),AJ$6)</f>
        <v>0</v>
      </c>
      <c r="AK54" s="45">
        <f ca="1">SUMIFS(rec.uni[2025-04-01],
INDIRECT("rec.uni[natureza]"),"repasse.cef.obra",
INDIRECT("rec.uni[empresa]"),AK$6)</f>
        <v>0</v>
      </c>
      <c r="AL54" s="45">
        <f ca="1">SUMIFS(rec.uni[2025-04-01],
INDIRECT("rec.uni[natureza]"),"repasse.cef.terreno",
INDIRECT("rec.uni[empresa]"),AL$6)</f>
        <v>0</v>
      </c>
      <c r="AM54" s="45">
        <v>273233.02</v>
      </c>
      <c r="AN54" s="45">
        <f ca="1">SUMIFS(rec.uni[2025-04-01],
INDIRECT("rec.uni[natureza]"),"taxa.extra",
INDIRECT("rec.uni[empresa]"),AN$6)</f>
        <v>0</v>
      </c>
      <c r="AO54" s="131"/>
      <c r="AP54" s="44">
        <f>COUNTIFS(
    estq[empresa], AP$6,
    estq[Data da venda / reserva], "&gt;=" &amp; $A54,
    estq[Data da venda / reserva], "&lt;"  &amp; EOMONTH($A54,0) + 1
)</f>
        <v>0</v>
      </c>
      <c r="AQ54" s="45">
        <f ca="1">SUMIFS(rec.uni[2025-04-01],
INDIRECT("rec.uni[natureza]"),"pro.soluto",
INDIRECT("rec.uni[empresa]"),AQ$6)</f>
        <v>0</v>
      </c>
      <c r="AR54" s="45">
        <f ca="1">SUMIFS(rec.uni[2025-04-01],
INDIRECT("rec.uni[natureza]"),"repasse.cef.obra",
INDIRECT("rec.uni[empresa]"),AR$6)</f>
        <v>0</v>
      </c>
      <c r="AS54" s="45">
        <f ca="1">SUMIFS(rec.uni[2025-04-01],
INDIRECT("rec.uni[natureza]"),"repasse.cef.terreno",
INDIRECT("rec.uni[empresa]"),AS$6)</f>
        <v>0</v>
      </c>
      <c r="AT54" s="45">
        <v>0</v>
      </c>
      <c r="AU54" s="45">
        <f ca="1">SUMIFS(rec.uni[2025-04-01],
INDIRECT("rec.uni[natureza]"),"taxa.extra",
INDIRECT("rec.uni[empresa]"),AU$6)</f>
        <v>0</v>
      </c>
      <c r="AV54" s="131"/>
    </row>
    <row r="55" spans="1:48" x14ac:dyDescent="0.25">
      <c r="A55" s="43">
        <v>45778</v>
      </c>
      <c r="B55" s="44">
        <f>COUNTIFS(
    estq[empresa], B$6,
    estq[Data da venda / reserva], "&gt;=" &amp; $A55,
    estq[Data da venda / reserva], "&lt;"  &amp; EOMONTH($A55,0) + 1
)</f>
        <v>0</v>
      </c>
      <c r="C55" s="45">
        <f ca="1">SUMIFS(rec.uni[2025-05-01],
INDIRECT("rec.uni[natureza]"),"pro.soluto",
INDIRECT("rec.uni[empresa]"),C$6)</f>
        <v>0</v>
      </c>
      <c r="D55" s="45">
        <f ca="1">SUMIFS(rec.uni[2025-05-01],
INDIRECT("rec.uni[natureza]"),"repasse.cef.obra",
INDIRECT("rec.uni[empresa]"),D$6)</f>
        <v>0</v>
      </c>
      <c r="E55" s="45">
        <f ca="1">SUMIFS(rec.uni[2025-05-01],
INDIRECT("rec.uni[natureza]"),"repasse.cef.terreno",
INDIRECT("rec.uni[empresa]"),E$6)</f>
        <v>0</v>
      </c>
      <c r="F55" s="45">
        <v>134752.4</v>
      </c>
      <c r="G55" s="45">
        <f ca="1">SUMIFS(rec.uni[2025-05-01],
INDIRECT("rec.uni[natureza]"),"taxa.extra",
INDIRECT("rec.uni[empresa]"),G$6)</f>
        <v>0</v>
      </c>
      <c r="H55" s="131"/>
      <c r="I55" s="44">
        <f>COUNTIFS(
    estq[empresa], I$6,
    estq[Data da venda / reserva], "&gt;=" &amp; $A55,
    estq[Data da venda / reserva], "&lt;"  &amp; EOMONTH($A55,0) + 1
)</f>
        <v>0</v>
      </c>
      <c r="J55" s="45">
        <f ca="1">SUMIFS(rec.uni[2025-05-01],
INDIRECT("rec.uni[natureza]"),"pro.soluto",
INDIRECT("rec.uni[empresa]"),J$6)</f>
        <v>0</v>
      </c>
      <c r="K55" s="45">
        <f ca="1">SUMIFS(rec.uni[2025-05-01],
INDIRECT("rec.uni[natureza]"),"repasse.cef.obra",
INDIRECT("rec.uni[empresa]"),K$6)</f>
        <v>0</v>
      </c>
      <c r="L55" s="45">
        <f ca="1">SUMIFS(rec.uni[2025-05-01],
INDIRECT("rec.uni[natureza]"),"repasse.cef.terreno",
INDIRECT("rec.uni[empresa]"),L$6)</f>
        <v>0</v>
      </c>
      <c r="M55" s="45">
        <v>0</v>
      </c>
      <c r="N55" s="45">
        <f ca="1">SUMIFS(rec.uni[2025-05-01],
INDIRECT("rec.uni[natureza]"),"taxa.extra",
INDIRECT("rec.uni[empresa]"),N$6)</f>
        <v>0</v>
      </c>
      <c r="O55" s="131"/>
      <c r="P55" s="44">
        <f>COUNTIFS(
    estq[empresa], P$6,
    estq[Data da venda / reserva], "&gt;=" &amp; $A55,
    estq[Data da venda / reserva], "&lt;"  &amp; EOMONTH($A55,0) + 1
)</f>
        <v>0</v>
      </c>
      <c r="Q55" s="45">
        <f ca="1">SUMIFS(rec.uni[2025-05-01],
INDIRECT("rec.uni[natureza]"),"pro.soluto",
INDIRECT("rec.uni[empresa]"),Q$6)</f>
        <v>0</v>
      </c>
      <c r="R55" s="45">
        <f ca="1">SUMIFS(rec.uni[2025-05-01],
INDIRECT("rec.uni[natureza]"),"repasse.cef.obra",
INDIRECT("rec.uni[empresa]"),R$6)</f>
        <v>0</v>
      </c>
      <c r="S55" s="45">
        <f ca="1">SUMIFS(rec.uni[2025-05-01],
INDIRECT("rec.uni[natureza]"),"repasse.cef.terreno",
INDIRECT("rec.uni[empresa]"),S$6)</f>
        <v>0</v>
      </c>
      <c r="T55" s="45">
        <v>0</v>
      </c>
      <c r="U55" s="45">
        <f ca="1">SUMIFS(rec.uni[2025-05-01],
INDIRECT("rec.uni[natureza]"),"taxa.extra",
INDIRECT("rec.uni[empresa]"),U$6)</f>
        <v>0</v>
      </c>
      <c r="V55" s="131"/>
      <c r="W55" s="44">
        <f>COUNTIFS(
    estq[empresa], W$6,
    estq[Data da venda / reserva], "&gt;=" &amp; $A55,
    estq[Data da venda / reserva], "&lt;"  &amp; EOMONTH($A55,0) + 1
)</f>
        <v>0</v>
      </c>
      <c r="X55" s="45">
        <f ca="1">SUMIFS(rec.uni[2025-05-01],
INDIRECT("rec.uni[natureza]"),"pro.soluto",
INDIRECT("rec.uni[empresa]"),X$6)</f>
        <v>0</v>
      </c>
      <c r="Y55" s="45">
        <f ca="1">SUMIFS(rec.uni[2025-05-01],
INDIRECT("rec.uni[natureza]"),"repasse.cef.obra",
INDIRECT("rec.uni[empresa]"),Y$6)</f>
        <v>0</v>
      </c>
      <c r="Z55" s="45">
        <f ca="1">SUMIFS(rec.uni[2025-05-01],
INDIRECT("rec.uni[natureza]"),"repasse.cef.terreno",
INDIRECT("rec.uni[empresa]"),Z$6)</f>
        <v>0</v>
      </c>
      <c r="AA55" s="45">
        <v>0</v>
      </c>
      <c r="AB55" s="45">
        <f ca="1">SUMIFS(rec.uni[2025-05-01],
INDIRECT("rec.uni[natureza]"),"taxa.extra",
INDIRECT("rec.uni[empresa]"),AB$6)</f>
        <v>0</v>
      </c>
      <c r="AC55" s="131"/>
      <c r="AD55" s="44">
        <f>COUNTIFS(
    estq[empresa], AD$6,
    estq[Data da venda / reserva], "&gt;=" &amp; $A55,
    estq[Data da venda / reserva], "&lt;"  &amp; EOMONTH($A55,0) + 1
)</f>
        <v>0</v>
      </c>
      <c r="AE55" s="45">
        <f ca="1">SUMIFS(rec.uni[2025-05-01],
INDIRECT("rec.uni[natureza]"),"pro.soluto",
INDIRECT("rec.uni[empresa]"),AE$6)</f>
        <v>0</v>
      </c>
      <c r="AF55" s="38">
        <f ca="1">SUMIFS(rec.uni[2025-05-01],
INDIRECT("rec.uni[natureza]"),"parcela.fin.total.ik",
INDIRECT("rec.uni[empresa]"),AF$6)</f>
        <v>0</v>
      </c>
      <c r="AG55" s="45">
        <f ca="1">SUMIFS(rec.uni[2025-05-01],
INDIRECT("rec.uni[natureza]"),"taxa.extra",
INDIRECT("rec.uni[empresa]"),AG$6)</f>
        <v>0</v>
      </c>
      <c r="AH55" s="131"/>
      <c r="AI55" s="44">
        <f>COUNTIFS(
    estq[empresa], AI$6,
    estq[Data da venda / reserva], "&gt;=" &amp; $A55,
    estq[Data da venda / reserva], "&lt;"  &amp; EOMONTH($A55,0) + 1
)</f>
        <v>0</v>
      </c>
      <c r="AJ55" s="45">
        <f ca="1">SUMIFS(rec.uni[2025-05-01],
INDIRECT("rec.uni[natureza]"),"pro.soluto",
INDIRECT("rec.uni[empresa]"),AJ$6)</f>
        <v>0</v>
      </c>
      <c r="AK55" s="45">
        <f ca="1">SUMIFS(rec.uni[2025-05-01],
INDIRECT("rec.uni[natureza]"),"repasse.cef.obra",
INDIRECT("rec.uni[empresa]"),AK$6)</f>
        <v>0</v>
      </c>
      <c r="AL55" s="45">
        <f ca="1">SUMIFS(rec.uni[2025-05-01],
INDIRECT("rec.uni[natureza]"),"repasse.cef.terreno",
INDIRECT("rec.uni[empresa]"),AL$6)</f>
        <v>0</v>
      </c>
      <c r="AM55" s="45">
        <v>0</v>
      </c>
      <c r="AN55" s="45">
        <f ca="1">SUMIFS(rec.uni[2025-05-01],
INDIRECT("rec.uni[natureza]"),"taxa.extra",
INDIRECT("rec.uni[empresa]"),AN$6)</f>
        <v>0</v>
      </c>
      <c r="AO55" s="131"/>
      <c r="AP55" s="44">
        <f>COUNTIFS(
    estq[empresa], AP$6,
    estq[Data da venda / reserva], "&gt;=" &amp; $A55,
    estq[Data da venda / reserva], "&lt;"  &amp; EOMONTH($A55,0) + 1
)</f>
        <v>0</v>
      </c>
      <c r="AQ55" s="45">
        <f ca="1">SUMIFS(rec.uni[2025-05-01],
INDIRECT("rec.uni[natureza]"),"pro.soluto",
INDIRECT("rec.uni[empresa]"),AQ$6)</f>
        <v>0</v>
      </c>
      <c r="AR55" s="45">
        <f ca="1">SUMIFS(rec.uni[2025-05-01],
INDIRECT("rec.uni[natureza]"),"repasse.cef.obra",
INDIRECT("rec.uni[empresa]"),AR$6)</f>
        <v>0</v>
      </c>
      <c r="AS55" s="45">
        <f ca="1">SUMIFS(rec.uni[2025-05-01],
INDIRECT("rec.uni[natureza]"),"repasse.cef.terreno",
INDIRECT("rec.uni[empresa]"),AS$6)</f>
        <v>0</v>
      </c>
      <c r="AT55" s="45">
        <v>0</v>
      </c>
      <c r="AU55" s="45">
        <f ca="1">SUMIFS(rec.uni[2025-05-01],
INDIRECT("rec.uni[natureza]"),"taxa.extra",
INDIRECT("rec.uni[empresa]"),AU$6)</f>
        <v>0</v>
      </c>
      <c r="AV55" s="131"/>
    </row>
    <row r="56" spans="1:48" x14ac:dyDescent="0.25">
      <c r="A56" s="43">
        <v>45809</v>
      </c>
      <c r="B56" s="44">
        <f>COUNTIFS(
    estq[empresa], B$6,
    estq[Data da venda / reserva], "&gt;=" &amp; $A56,
    estq[Data da venda / reserva], "&lt;"  &amp; EOMONTH($A56,0) + 1
)</f>
        <v>0</v>
      </c>
      <c r="C56" s="45">
        <f ca="1">SUMIFS(rec.uni[2025-06-01],
INDIRECT("rec.uni[natureza]"),"pro.soluto",
INDIRECT("rec.uni[empresa]"),C$6)</f>
        <v>0</v>
      </c>
      <c r="D56" s="45">
        <f ca="1">SUMIFS(rec.uni[2025-06-01],
INDIRECT("rec.uni[natureza]"),"repasse.cef.obra",
INDIRECT("rec.uni[empresa]"),D$6)</f>
        <v>0</v>
      </c>
      <c r="E56" s="45">
        <f ca="1">SUMIFS(rec.uni[2025-06-01],
INDIRECT("rec.uni[natureza]"),"repasse.cef.terreno",
INDIRECT("rec.uni[empresa]"),E$6)</f>
        <v>0</v>
      </c>
      <c r="F56" s="45">
        <v>289304.8</v>
      </c>
      <c r="G56" s="45">
        <f ca="1">SUMIFS(rec.uni[2025-06-01],
INDIRECT("rec.uni[natureza]"),"taxa.extra",
INDIRECT("rec.uni[empresa]"),G$6)</f>
        <v>0</v>
      </c>
      <c r="H56" s="131"/>
      <c r="I56" s="44">
        <f>COUNTIFS(
    estq[empresa], I$6,
    estq[Data da venda / reserva], "&gt;=" &amp; $A56,
    estq[Data da venda / reserva], "&lt;"  &amp; EOMONTH($A56,0) + 1
)</f>
        <v>0</v>
      </c>
      <c r="J56" s="45">
        <f ca="1">SUMIFS(rec.uni[2025-06-01],
INDIRECT("rec.uni[natureza]"),"pro.soluto",
INDIRECT("rec.uni[empresa]"),J$6)</f>
        <v>0</v>
      </c>
      <c r="K56" s="45">
        <f ca="1">SUMIFS(rec.uni[2025-06-01],
INDIRECT("rec.uni[natureza]"),"repasse.cef.obra",
INDIRECT("rec.uni[empresa]"),K$6)</f>
        <v>0</v>
      </c>
      <c r="L56" s="45">
        <f ca="1">SUMIFS(rec.uni[2025-06-01],
INDIRECT("rec.uni[natureza]"),"repasse.cef.terreno",
INDIRECT("rec.uni[empresa]"),L$6)</f>
        <v>0</v>
      </c>
      <c r="M56" s="45">
        <v>0</v>
      </c>
      <c r="N56" s="45">
        <f ca="1">SUMIFS(rec.uni[2025-06-01],
INDIRECT("rec.uni[natureza]"),"taxa.extra",
INDIRECT("rec.uni[empresa]"),N$6)</f>
        <v>0</v>
      </c>
      <c r="O56" s="131"/>
      <c r="P56" s="44">
        <f>COUNTIFS(
    estq[empresa], P$6,
    estq[Data da venda / reserva], "&gt;=" &amp; $A56,
    estq[Data da venda / reserva], "&lt;"  &amp; EOMONTH($A56,0) + 1
)</f>
        <v>0</v>
      </c>
      <c r="Q56" s="45">
        <f ca="1">SUMIFS(rec.uni[2025-06-01],
INDIRECT("rec.uni[natureza]"),"pro.soluto",
INDIRECT("rec.uni[empresa]"),Q$6)</f>
        <v>0</v>
      </c>
      <c r="R56" s="45">
        <f ca="1">SUMIFS(rec.uni[2025-06-01],
INDIRECT("rec.uni[natureza]"),"repasse.cef.obra",
INDIRECT("rec.uni[empresa]"),R$6)</f>
        <v>0</v>
      </c>
      <c r="S56" s="45">
        <f ca="1">SUMIFS(rec.uni[2025-06-01],
INDIRECT("rec.uni[natureza]"),"repasse.cef.terreno",
INDIRECT("rec.uni[empresa]"),S$6)</f>
        <v>0</v>
      </c>
      <c r="T56" s="45">
        <v>0</v>
      </c>
      <c r="U56" s="45">
        <f ca="1">SUMIFS(rec.uni[2025-06-01],
INDIRECT("rec.uni[natureza]"),"taxa.extra",
INDIRECT("rec.uni[empresa]"),U$6)</f>
        <v>0</v>
      </c>
      <c r="V56" s="131"/>
      <c r="W56" s="44">
        <f>COUNTIFS(
    estq[empresa], W$6,
    estq[Data da venda / reserva], "&gt;=" &amp; $A56,
    estq[Data da venda / reserva], "&lt;"  &amp; EOMONTH($A56,0) + 1
)</f>
        <v>0</v>
      </c>
      <c r="X56" s="45">
        <f ca="1">SUMIFS(rec.uni[2025-06-01],
INDIRECT("rec.uni[natureza]"),"pro.soluto",
INDIRECT("rec.uni[empresa]"),X$6)</f>
        <v>0</v>
      </c>
      <c r="Y56" s="45">
        <f ca="1">SUMIFS(rec.uni[2025-06-01],
INDIRECT("rec.uni[natureza]"),"repasse.cef.obra",
INDIRECT("rec.uni[empresa]"),Y$6)</f>
        <v>0</v>
      </c>
      <c r="Z56" s="45">
        <f ca="1">SUMIFS(rec.uni[2025-06-01],
INDIRECT("rec.uni[natureza]"),"repasse.cef.terreno",
INDIRECT("rec.uni[empresa]"),Z$6)</f>
        <v>0</v>
      </c>
      <c r="AA56" s="45">
        <v>0</v>
      </c>
      <c r="AB56" s="45">
        <f ca="1">SUMIFS(rec.uni[2025-06-01],
INDIRECT("rec.uni[natureza]"),"taxa.extra",
INDIRECT("rec.uni[empresa]"),AB$6)</f>
        <v>0</v>
      </c>
      <c r="AC56" s="131"/>
      <c r="AD56" s="44">
        <f>COUNTIFS(
    estq[empresa], AD$6,
    estq[Data da venda / reserva], "&gt;=" &amp; $A56,
    estq[Data da venda / reserva], "&lt;"  &amp; EOMONTH($A56,0) + 1
)</f>
        <v>0</v>
      </c>
      <c r="AE56" s="45">
        <f ca="1">SUMIFS(rec.uni[2025-06-01],
INDIRECT("rec.uni[natureza]"),"pro.soluto",
INDIRECT("rec.uni[empresa]"),AE$6)</f>
        <v>0</v>
      </c>
      <c r="AF56" s="38">
        <f ca="1">SUMIFS(rec.uni[2025-06-01],
INDIRECT("rec.uni[natureza]"),"parcela.fin.total.ik",
INDIRECT("rec.uni[empresa]"),AF$6)</f>
        <v>0</v>
      </c>
      <c r="AG56" s="45">
        <f ca="1">SUMIFS(rec.uni[2025-06-01],
INDIRECT("rec.uni[natureza]"),"taxa.extra",
INDIRECT("rec.uni[empresa]"),AG$6)</f>
        <v>0</v>
      </c>
      <c r="AH56" s="131"/>
      <c r="AI56" s="44">
        <f>COUNTIFS(
    estq[empresa], AI$6,
    estq[Data da venda / reserva], "&gt;=" &amp; $A56,
    estq[Data da venda / reserva], "&lt;"  &amp; EOMONTH($A56,0) + 1
)</f>
        <v>0</v>
      </c>
      <c r="AJ56" s="45">
        <f ca="1">SUMIFS(rec.uni[2025-06-01],
INDIRECT("rec.uni[natureza]"),"pro.soluto",
INDIRECT("rec.uni[empresa]"),AJ$6)</f>
        <v>0</v>
      </c>
      <c r="AK56" s="45">
        <f ca="1">SUMIFS(rec.uni[2025-06-01],
INDIRECT("rec.uni[natureza]"),"repasse.cef.obra",
INDIRECT("rec.uni[empresa]"),AK$6)</f>
        <v>0</v>
      </c>
      <c r="AL56" s="45">
        <f ca="1">SUMIFS(rec.uni[2025-06-01],
INDIRECT("rec.uni[natureza]"),"repasse.cef.terreno",
INDIRECT("rec.uni[empresa]"),AL$6)</f>
        <v>0</v>
      </c>
      <c r="AM56" s="45">
        <v>0</v>
      </c>
      <c r="AN56" s="45">
        <f ca="1">SUMIFS(rec.uni[2025-06-01],
INDIRECT("rec.uni[natureza]"),"taxa.extra",
INDIRECT("rec.uni[empresa]"),AN$6)</f>
        <v>0</v>
      </c>
      <c r="AO56" s="131"/>
      <c r="AP56" s="44">
        <f>COUNTIFS(
    estq[empresa], AP$6,
    estq[Data da venda / reserva], "&gt;=" &amp; $A56,
    estq[Data da venda / reserva], "&lt;"  &amp; EOMONTH($A56,0) + 1
)</f>
        <v>0</v>
      </c>
      <c r="AQ56" s="45">
        <f ca="1">SUMIFS(rec.uni[2025-06-01],
INDIRECT("rec.uni[natureza]"),"pro.soluto",
INDIRECT("rec.uni[empresa]"),AQ$6)</f>
        <v>0</v>
      </c>
      <c r="AR56" s="45">
        <f ca="1">SUMIFS(rec.uni[2025-06-01],
INDIRECT("rec.uni[natureza]"),"repasse.cef.obra",
INDIRECT("rec.uni[empresa]"),AR$6)</f>
        <v>0</v>
      </c>
      <c r="AS56" s="45">
        <f ca="1">SUMIFS(rec.uni[2025-06-01],
INDIRECT("rec.uni[natureza]"),"repasse.cef.terreno",
INDIRECT("rec.uni[empresa]"),AS$6)</f>
        <v>0</v>
      </c>
      <c r="AT56" s="45">
        <v>0</v>
      </c>
      <c r="AU56" s="45">
        <f ca="1">SUMIFS(rec.uni[2025-06-01],
INDIRECT("rec.uni[natureza]"),"taxa.extra",
INDIRECT("rec.uni[empresa]"),AU$6)</f>
        <v>0</v>
      </c>
      <c r="AV56" s="131"/>
    </row>
    <row r="57" spans="1:48" x14ac:dyDescent="0.25">
      <c r="A57" s="43">
        <v>45839</v>
      </c>
      <c r="B57" s="44">
        <f>COUNTIFS(
    estq[empresa], B$6,
    estq[Data da venda / reserva], "&gt;=" &amp; $A57,
    estq[Data da venda / reserva], "&lt;"  &amp; EOMONTH($A57,0) + 1
)</f>
        <v>0</v>
      </c>
      <c r="C57" s="45">
        <f ca="1">SUMIFS(rec.uni[2025-07-01],
INDIRECT("rec.uni[natureza]"),"pro.soluto",
INDIRECT("rec.uni[empresa]"),C$6)</f>
        <v>0</v>
      </c>
      <c r="D57" s="45">
        <f ca="1">SUMIFS(rec.uni[2025-07-01],
INDIRECT("rec.uni[natureza]"),"repasse.cef.obra",
INDIRECT("rec.uni[empresa]"),D$6)</f>
        <v>0</v>
      </c>
      <c r="E57" s="45">
        <f ca="1">SUMIFS(rec.uni[2025-07-01],
INDIRECT("rec.uni[natureza]"),"repasse.cef.terreno",
INDIRECT("rec.uni[empresa]"),E$6)</f>
        <v>0</v>
      </c>
      <c r="F57" s="45">
        <v>171602.91</v>
      </c>
      <c r="G57" s="45">
        <f ca="1">SUMIFS(rec.uni[2025-07-01],
INDIRECT("rec.uni[natureza]"),"taxa.extra",
INDIRECT("rec.uni[empresa]"),G$6)</f>
        <v>0</v>
      </c>
      <c r="H57" s="131"/>
      <c r="I57" s="44">
        <f>COUNTIFS(
    estq[empresa], I$6,
    estq[Data da venda / reserva], "&gt;=" &amp; $A57,
    estq[Data da venda / reserva], "&lt;"  &amp; EOMONTH($A57,0) + 1
)</f>
        <v>0</v>
      </c>
      <c r="J57" s="45">
        <f ca="1">SUMIFS(rec.uni[2025-07-01],
INDIRECT("rec.uni[natureza]"),"pro.soluto",
INDIRECT("rec.uni[empresa]"),J$6)</f>
        <v>0</v>
      </c>
      <c r="K57" s="45">
        <f ca="1">SUMIFS(rec.uni[2025-07-01],
INDIRECT("rec.uni[natureza]"),"repasse.cef.obra",
INDIRECT("rec.uni[empresa]"),K$6)</f>
        <v>0</v>
      </c>
      <c r="L57" s="45">
        <f ca="1">SUMIFS(rec.uni[2025-07-01],
INDIRECT("rec.uni[natureza]"),"repasse.cef.terreno",
INDIRECT("rec.uni[empresa]"),L$6)</f>
        <v>0</v>
      </c>
      <c r="M57" s="45">
        <v>0</v>
      </c>
      <c r="N57" s="45">
        <f ca="1">SUMIFS(rec.uni[2025-07-01],
INDIRECT("rec.uni[natureza]"),"taxa.extra",
INDIRECT("rec.uni[empresa]"),N$6)</f>
        <v>0</v>
      </c>
      <c r="O57" s="131"/>
      <c r="P57" s="44">
        <f>COUNTIFS(
    estq[empresa], P$6,
    estq[Data da venda / reserva], "&gt;=" &amp; $A57,
    estq[Data da venda / reserva], "&lt;"  &amp; EOMONTH($A57,0) + 1
)</f>
        <v>0</v>
      </c>
      <c r="Q57" s="45">
        <f ca="1">SUMIFS(rec.uni[2025-07-01],
INDIRECT("rec.uni[natureza]"),"pro.soluto",
INDIRECT("rec.uni[empresa]"),Q$6)</f>
        <v>0</v>
      </c>
      <c r="R57" s="45">
        <f ca="1">SUMIFS(rec.uni[2025-07-01],
INDIRECT("rec.uni[natureza]"),"repasse.cef.obra",
INDIRECT("rec.uni[empresa]"),R$6)</f>
        <v>0</v>
      </c>
      <c r="S57" s="45">
        <f ca="1">SUMIFS(rec.uni[2025-07-01],
INDIRECT("rec.uni[natureza]"),"repasse.cef.terreno",
INDIRECT("rec.uni[empresa]"),S$6)</f>
        <v>0</v>
      </c>
      <c r="T57" s="45">
        <v>493410.63</v>
      </c>
      <c r="U57" s="45">
        <f ca="1">SUMIFS(rec.uni[2025-07-01],
INDIRECT("rec.uni[natureza]"),"taxa.extra",
INDIRECT("rec.uni[empresa]"),U$6)</f>
        <v>0</v>
      </c>
      <c r="V57" s="131"/>
      <c r="W57" s="44">
        <f>COUNTIFS(
    estq[empresa], W$6,
    estq[Data da venda / reserva], "&gt;=" &amp; $A57,
    estq[Data da venda / reserva], "&lt;"  &amp; EOMONTH($A57,0) + 1
)</f>
        <v>0</v>
      </c>
      <c r="X57" s="45">
        <f ca="1">SUMIFS(rec.uni[2025-07-01],
INDIRECT("rec.uni[natureza]"),"pro.soluto",
INDIRECT("rec.uni[empresa]"),X$6)</f>
        <v>0</v>
      </c>
      <c r="Y57" s="45">
        <f ca="1">SUMIFS(rec.uni[2025-07-01],
INDIRECT("rec.uni[natureza]"),"repasse.cef.obra",
INDIRECT("rec.uni[empresa]"),Y$6)</f>
        <v>0</v>
      </c>
      <c r="Z57" s="45">
        <f ca="1">SUMIFS(rec.uni[2025-07-01],
INDIRECT("rec.uni[natureza]"),"repasse.cef.terreno",
INDIRECT("rec.uni[empresa]"),Z$6)</f>
        <v>0</v>
      </c>
      <c r="AA57" s="45">
        <v>0</v>
      </c>
      <c r="AB57" s="45">
        <f ca="1">SUMIFS(rec.uni[2025-07-01],
INDIRECT("rec.uni[natureza]"),"taxa.extra",
INDIRECT("rec.uni[empresa]"),AB$6)</f>
        <v>0</v>
      </c>
      <c r="AC57" s="131"/>
      <c r="AD57" s="44">
        <f>COUNTIFS(
    estq[empresa], AD$6,
    estq[Data da venda / reserva], "&gt;=" &amp; $A57,
    estq[Data da venda / reserva], "&lt;"  &amp; EOMONTH($A57,0) + 1
)</f>
        <v>0</v>
      </c>
      <c r="AE57" s="45">
        <f ca="1">SUMIFS(rec.uni[2025-07-01],
INDIRECT("rec.uni[natureza]"),"pro.soluto",
INDIRECT("rec.uni[empresa]"),AE$6)</f>
        <v>0</v>
      </c>
      <c r="AF57" s="38">
        <f ca="1">SUMIFS(rec.uni[2025-07-01],
INDIRECT("rec.uni[natureza]"),"parcela.fin.total.ik",
INDIRECT("rec.uni[empresa]"),AF$6)</f>
        <v>0</v>
      </c>
      <c r="AG57" s="45">
        <f ca="1">SUMIFS(rec.uni[2025-07-01],
INDIRECT("rec.uni[natureza]"),"taxa.extra",
INDIRECT("rec.uni[empresa]"),AG$6)</f>
        <v>0</v>
      </c>
      <c r="AH57" s="131"/>
      <c r="AI57" s="44">
        <f>COUNTIFS(
    estq[empresa], AI$6,
    estq[Data da venda / reserva], "&gt;=" &amp; $A57,
    estq[Data da venda / reserva], "&lt;"  &amp; EOMONTH($A57,0) + 1
)</f>
        <v>0</v>
      </c>
      <c r="AJ57" s="45">
        <f ca="1">SUMIFS(rec.uni[2025-07-01],
INDIRECT("rec.uni[natureza]"),"pro.soluto",
INDIRECT("rec.uni[empresa]"),AJ$6)</f>
        <v>0</v>
      </c>
      <c r="AK57" s="45">
        <f ca="1">SUMIFS(rec.uni[2025-07-01],
INDIRECT("rec.uni[natureza]"),"repasse.cef.obra",
INDIRECT("rec.uni[empresa]"),AK$6)</f>
        <v>0</v>
      </c>
      <c r="AL57" s="45">
        <f ca="1">SUMIFS(rec.uni[2025-07-01],
INDIRECT("rec.uni[natureza]"),"repasse.cef.terreno",
INDIRECT("rec.uni[empresa]"),AL$6)</f>
        <v>0</v>
      </c>
      <c r="AM57" s="45">
        <v>504350.63</v>
      </c>
      <c r="AN57" s="45">
        <f ca="1">SUMIFS(rec.uni[2025-07-01],
INDIRECT("rec.uni[natureza]"),"taxa.extra",
INDIRECT("rec.uni[empresa]"),AN$6)</f>
        <v>0</v>
      </c>
      <c r="AO57" s="131"/>
      <c r="AP57" s="44">
        <f>COUNTIFS(
    estq[empresa], AP$6,
    estq[Data da venda / reserva], "&gt;=" &amp; $A57,
    estq[Data da venda / reserva], "&lt;"  &amp; EOMONTH($A57,0) + 1
)</f>
        <v>0</v>
      </c>
      <c r="AQ57" s="45">
        <f ca="1">SUMIFS(rec.uni[2025-07-01],
INDIRECT("rec.uni[natureza]"),"pro.soluto",
INDIRECT("rec.uni[empresa]"),AQ$6)</f>
        <v>0</v>
      </c>
      <c r="AR57" s="45">
        <f ca="1">SUMIFS(rec.uni[2025-07-01],
INDIRECT("rec.uni[natureza]"),"repasse.cef.obra",
INDIRECT("rec.uni[empresa]"),AR$6)</f>
        <v>0</v>
      </c>
      <c r="AS57" s="45">
        <f ca="1">SUMIFS(rec.uni[2025-07-01],
INDIRECT("rec.uni[natureza]"),"repasse.cef.terreno",
INDIRECT("rec.uni[empresa]"),AS$6)</f>
        <v>0</v>
      </c>
      <c r="AT57" s="45">
        <v>0</v>
      </c>
      <c r="AU57" s="45">
        <f ca="1">SUMIFS(rec.uni[2025-07-01],
INDIRECT("rec.uni[natureza]"),"taxa.extra",
INDIRECT("rec.uni[empresa]"),AU$6)</f>
        <v>0</v>
      </c>
      <c r="AV57" s="131"/>
    </row>
    <row r="58" spans="1:48" x14ac:dyDescent="0.25">
      <c r="A58" s="43">
        <v>45870</v>
      </c>
      <c r="B58" s="44">
        <f>COUNTIFS(
    estq[empresa], B$6,
    estq[Data da venda / reserva], "&gt;=" &amp; $A58,
    estq[Data da venda / reserva], "&lt;"  &amp; EOMONTH($A58,0) + 1
)</f>
        <v>0</v>
      </c>
      <c r="C58" s="45">
        <f ca="1">SUMIFS(rec.uni[2025-08-01],
INDIRECT("rec.uni[natureza]"),"pro.soluto",
INDIRECT("rec.uni[empresa]"),C$6)</f>
        <v>0</v>
      </c>
      <c r="D58" s="45">
        <f ca="1">SUMIFS(rec.uni[2025-08-01],
INDIRECT("rec.uni[natureza]"),"repasse.cef.obra",
INDIRECT("rec.uni[empresa]"),D$6)</f>
        <v>0</v>
      </c>
      <c r="E58" s="45">
        <f ca="1">SUMIFS(rec.uni[2025-08-01],
INDIRECT("rec.uni[natureza]"),"repasse.cef.terreno",
INDIRECT("rec.uni[empresa]"),E$6)</f>
        <v>0</v>
      </c>
      <c r="F58" s="45">
        <v>366306.04</v>
      </c>
      <c r="G58" s="45">
        <f ca="1">SUMIFS(rec.uni[2025-08-01],
INDIRECT("rec.uni[natureza]"),"taxa.extra",
INDIRECT("rec.uni[empresa]"),G$6)</f>
        <v>0</v>
      </c>
      <c r="H58" s="131"/>
      <c r="I58" s="44">
        <f>COUNTIFS(
    estq[empresa], I$6,
    estq[Data da venda / reserva], "&gt;=" &amp; $A58,
    estq[Data da venda / reserva], "&lt;"  &amp; EOMONTH($A58,0) + 1
)</f>
        <v>0</v>
      </c>
      <c r="J58" s="45">
        <f ca="1">SUMIFS(rec.uni[2025-08-01],
INDIRECT("rec.uni[natureza]"),"pro.soluto",
INDIRECT("rec.uni[empresa]"),J$6)</f>
        <v>0</v>
      </c>
      <c r="K58" s="45">
        <f ca="1">SUMIFS(rec.uni[2025-08-01],
INDIRECT("rec.uni[natureza]"),"repasse.cef.obra",
INDIRECT("rec.uni[empresa]"),K$6)</f>
        <v>0</v>
      </c>
      <c r="L58" s="45">
        <f ca="1">SUMIFS(rec.uni[2025-08-01],
INDIRECT("rec.uni[natureza]"),"repasse.cef.terreno",
INDIRECT("rec.uni[empresa]"),L$6)</f>
        <v>0</v>
      </c>
      <c r="M58" s="45">
        <v>0</v>
      </c>
      <c r="N58" s="45">
        <f ca="1">SUMIFS(rec.uni[2025-08-01],
INDIRECT("rec.uni[natureza]"),"taxa.extra",
INDIRECT("rec.uni[empresa]"),N$6)</f>
        <v>0</v>
      </c>
      <c r="O58" s="131"/>
      <c r="P58" s="44">
        <f>COUNTIFS(
    estq[empresa], P$6,
    estq[Data da venda / reserva], "&gt;=" &amp; $A58,
    estq[Data da venda / reserva], "&lt;"  &amp; EOMONTH($A58,0) + 1
)</f>
        <v>0</v>
      </c>
      <c r="Q58" s="45">
        <f ca="1">SUMIFS(rec.uni[2025-08-01],
INDIRECT("rec.uni[natureza]"),"pro.soluto",
INDIRECT("rec.uni[empresa]"),Q$6)</f>
        <v>0</v>
      </c>
      <c r="R58" s="45">
        <f ca="1">SUMIFS(rec.uni[2025-08-01],
INDIRECT("rec.uni[natureza]"),"repasse.cef.obra",
INDIRECT("rec.uni[empresa]"),R$6)</f>
        <v>0</v>
      </c>
      <c r="S58" s="45">
        <f ca="1">SUMIFS(rec.uni[2025-08-01],
INDIRECT("rec.uni[natureza]"),"repasse.cef.terreno",
INDIRECT("rec.uni[empresa]"),S$6)</f>
        <v>0</v>
      </c>
      <c r="T58" s="45">
        <v>831222.47</v>
      </c>
      <c r="U58" s="45">
        <f ca="1">SUMIFS(rec.uni[2025-08-01],
INDIRECT("rec.uni[natureza]"),"taxa.extra",
INDIRECT("rec.uni[empresa]"),U$6)</f>
        <v>0</v>
      </c>
      <c r="V58" s="131"/>
      <c r="W58" s="44">
        <f>COUNTIFS(
    estq[empresa], W$6,
    estq[Data da venda / reserva], "&gt;=" &amp; $A58,
    estq[Data da venda / reserva], "&lt;"  &amp; EOMONTH($A58,0) + 1
)</f>
        <v>0</v>
      </c>
      <c r="X58" s="45">
        <f ca="1">SUMIFS(rec.uni[2025-08-01],
INDIRECT("rec.uni[natureza]"),"pro.soluto",
INDIRECT("rec.uni[empresa]"),X$6)</f>
        <v>0</v>
      </c>
      <c r="Y58" s="45">
        <f ca="1">SUMIFS(rec.uni[2025-08-01],
INDIRECT("rec.uni[natureza]"),"repasse.cef.obra",
INDIRECT("rec.uni[empresa]"),Y$6)</f>
        <v>0</v>
      </c>
      <c r="Z58" s="45">
        <f ca="1">SUMIFS(rec.uni[2025-08-01],
INDIRECT("rec.uni[natureza]"),"repasse.cef.terreno",
INDIRECT("rec.uni[empresa]"),Z$6)</f>
        <v>0</v>
      </c>
      <c r="AA58" s="45">
        <v>0</v>
      </c>
      <c r="AB58" s="45">
        <f ca="1">SUMIFS(rec.uni[2025-08-01],
INDIRECT("rec.uni[natureza]"),"taxa.extra",
INDIRECT("rec.uni[empresa]"),AB$6)</f>
        <v>0</v>
      </c>
      <c r="AC58" s="131"/>
      <c r="AD58" s="44">
        <f>COUNTIFS(
    estq[empresa], AD$6,
    estq[Data da venda / reserva], "&gt;=" &amp; $A58,
    estq[Data da venda / reserva], "&lt;"  &amp; EOMONTH($A58,0) + 1
)</f>
        <v>0</v>
      </c>
      <c r="AE58" s="45">
        <f ca="1">SUMIFS(rec.uni[2025-08-01],
INDIRECT("rec.uni[natureza]"),"pro.soluto",
INDIRECT("rec.uni[empresa]"),AE$6)</f>
        <v>0</v>
      </c>
      <c r="AF58" s="38">
        <f ca="1">SUMIFS(rec.uni[2025-08-01],
INDIRECT("rec.uni[natureza]"),"parcela.fin.total.ik",
INDIRECT("rec.uni[empresa]"),AF$6)</f>
        <v>0</v>
      </c>
      <c r="AG58" s="45">
        <f ca="1">SUMIFS(rec.uni[2025-08-01],
INDIRECT("rec.uni[natureza]"),"taxa.extra",
INDIRECT("rec.uni[empresa]"),AG$6)</f>
        <v>0</v>
      </c>
      <c r="AH58" s="131"/>
      <c r="AI58" s="44">
        <f>COUNTIFS(
    estq[empresa], AI$6,
    estq[Data da venda / reserva], "&gt;=" &amp; $A58,
    estq[Data da venda / reserva], "&lt;"  &amp; EOMONTH($A58,0) + 1
)</f>
        <v>0</v>
      </c>
      <c r="AJ58" s="45">
        <f ca="1">SUMIFS(rec.uni[2025-08-01],
INDIRECT("rec.uni[natureza]"),"pro.soluto",
INDIRECT("rec.uni[empresa]"),AJ$6)</f>
        <v>0</v>
      </c>
      <c r="AK58" s="45">
        <f ca="1">SUMIFS(rec.uni[2025-08-01],
INDIRECT("rec.uni[natureza]"),"repasse.cef.obra",
INDIRECT("rec.uni[empresa]"),AK$6)</f>
        <v>0</v>
      </c>
      <c r="AL58" s="45">
        <f ca="1">SUMIFS(rec.uni[2025-08-01],
INDIRECT("rec.uni[natureza]"),"repasse.cef.terreno",
INDIRECT("rec.uni[empresa]"),AL$6)</f>
        <v>0</v>
      </c>
      <c r="AM58" s="45">
        <v>249520.85</v>
      </c>
      <c r="AN58" s="45">
        <f ca="1">SUMIFS(rec.uni[2025-08-01],
INDIRECT("rec.uni[natureza]"),"taxa.extra",
INDIRECT("rec.uni[empresa]"),AN$6)</f>
        <v>0</v>
      </c>
      <c r="AO58" s="131"/>
      <c r="AP58" s="44">
        <f>COUNTIFS(
    estq[empresa], AP$6,
    estq[Data da venda / reserva], "&gt;=" &amp; $A58,
    estq[Data da venda / reserva], "&lt;"  &amp; EOMONTH($A58,0) + 1
)</f>
        <v>0</v>
      </c>
      <c r="AQ58" s="45">
        <f ca="1">SUMIFS(rec.uni[2025-08-01],
INDIRECT("rec.uni[natureza]"),"pro.soluto",
INDIRECT("rec.uni[empresa]"),AQ$6)</f>
        <v>0</v>
      </c>
      <c r="AR58" s="45">
        <f ca="1">SUMIFS(rec.uni[2025-08-01],
INDIRECT("rec.uni[natureza]"),"repasse.cef.obra",
INDIRECT("rec.uni[empresa]"),AR$6)</f>
        <v>0</v>
      </c>
      <c r="AS58" s="45">
        <f ca="1">SUMIFS(rec.uni[2025-08-01],
INDIRECT("rec.uni[natureza]"),"repasse.cef.terreno",
INDIRECT("rec.uni[empresa]"),AS$6)</f>
        <v>0</v>
      </c>
      <c r="AT58" s="45">
        <v>0</v>
      </c>
      <c r="AU58" s="45">
        <f ca="1">SUMIFS(rec.uni[2025-08-01],
INDIRECT("rec.uni[natureza]"),"taxa.extra",
INDIRECT("rec.uni[empresa]"),AU$6)</f>
        <v>0</v>
      </c>
      <c r="AV58" s="131"/>
    </row>
    <row r="59" spans="1:48" x14ac:dyDescent="0.25">
      <c r="A59" s="43">
        <v>45901</v>
      </c>
      <c r="B59" s="44">
        <f>COUNTIFS(
    estq[empresa], B$6,
    estq[Data da venda / reserva], "&gt;=" &amp; $A59,
    estq[Data da venda / reserva], "&lt;"  &amp; EOMONTH($A59,0) + 1
)</f>
        <v>0</v>
      </c>
      <c r="C59" s="45">
        <f ca="1">SUMIFS(rec.uni[2025-09-01],
INDIRECT("rec.uni[natureza]"),"pro.soluto",
INDIRECT("rec.uni[empresa]"),C$6)</f>
        <v>0</v>
      </c>
      <c r="D59" s="45">
        <f ca="1">SUMIFS(rec.uni[2025-09-01],
INDIRECT("rec.uni[natureza]"),"repasse.cef.obra",
INDIRECT("rec.uni[empresa]"),D$6)</f>
        <v>0</v>
      </c>
      <c r="E59" s="45">
        <f ca="1">SUMIFS(rec.uni[2025-09-01],
INDIRECT("rec.uni[natureza]"),"repasse.cef.terreno",
INDIRECT("rec.uni[empresa]"),E$6)</f>
        <v>0</v>
      </c>
      <c r="F59" s="45">
        <v>181081.21</v>
      </c>
      <c r="G59" s="45">
        <f ca="1">SUMIFS(rec.uni[2025-09-01],
INDIRECT("rec.uni[natureza]"),"taxa.extra",
INDIRECT("rec.uni[empresa]"),G$6)</f>
        <v>0</v>
      </c>
      <c r="H59" s="131"/>
      <c r="I59" s="44">
        <f>COUNTIFS(
    estq[empresa], I$6,
    estq[Data da venda / reserva], "&gt;=" &amp; $A59,
    estq[Data da venda / reserva], "&lt;"  &amp; EOMONTH($A59,0) + 1
)</f>
        <v>0</v>
      </c>
      <c r="J59" s="45">
        <f ca="1">SUMIFS(rec.uni[2025-09-01],
INDIRECT("rec.uni[natureza]"),"pro.soluto",
INDIRECT("rec.uni[empresa]"),J$6)</f>
        <v>0</v>
      </c>
      <c r="K59" s="45">
        <f ca="1">SUMIFS(rec.uni[2025-09-01],
INDIRECT("rec.uni[natureza]"),"repasse.cef.obra",
INDIRECT("rec.uni[empresa]"),K$6)</f>
        <v>0</v>
      </c>
      <c r="L59" s="45">
        <f ca="1">SUMIFS(rec.uni[2025-09-01],
INDIRECT("rec.uni[natureza]"),"repasse.cef.terreno",
INDIRECT("rec.uni[empresa]"),L$6)</f>
        <v>0</v>
      </c>
      <c r="M59" s="45">
        <v>0</v>
      </c>
      <c r="N59" s="45">
        <f ca="1">SUMIFS(rec.uni[2025-09-01],
INDIRECT("rec.uni[natureza]"),"taxa.extra",
INDIRECT("rec.uni[empresa]"),N$6)</f>
        <v>0</v>
      </c>
      <c r="O59" s="131"/>
      <c r="P59" s="44">
        <f>COUNTIFS(
    estq[empresa], P$6,
    estq[Data da venda / reserva], "&gt;=" &amp; $A59,
    estq[Data da venda / reserva], "&lt;"  &amp; EOMONTH($A59,0) + 1
)</f>
        <v>0</v>
      </c>
      <c r="Q59" s="45">
        <f ca="1">SUMIFS(rec.uni[2025-09-01],
INDIRECT("rec.uni[natureza]"),"pro.soluto",
INDIRECT("rec.uni[empresa]"),Q$6)</f>
        <v>0</v>
      </c>
      <c r="R59" s="45">
        <f ca="1">SUMIFS(rec.uni[2025-09-01],
INDIRECT("rec.uni[natureza]"),"repasse.cef.obra",
INDIRECT("rec.uni[empresa]"),R$6)</f>
        <v>0</v>
      </c>
      <c r="S59" s="45">
        <f ca="1">SUMIFS(rec.uni[2025-09-01],
INDIRECT("rec.uni[natureza]"),"repasse.cef.terreno",
INDIRECT("rec.uni[empresa]"),S$6)</f>
        <v>0</v>
      </c>
      <c r="T59" s="45">
        <v>229516.7</v>
      </c>
      <c r="U59" s="45">
        <f ca="1">SUMIFS(rec.uni[2025-09-01],
INDIRECT("rec.uni[natureza]"),"taxa.extra",
INDIRECT("rec.uni[empresa]"),U$6)</f>
        <v>0</v>
      </c>
      <c r="V59" s="131"/>
      <c r="W59" s="44">
        <f>COUNTIFS(
    estq[empresa], W$6,
    estq[Data da venda / reserva], "&gt;=" &amp; $A59,
    estq[Data da venda / reserva], "&lt;"  &amp; EOMONTH($A59,0) + 1
)</f>
        <v>0</v>
      </c>
      <c r="X59" s="45">
        <f ca="1">SUMIFS(rec.uni[2025-09-01],
INDIRECT("rec.uni[natureza]"),"pro.soluto",
INDIRECT("rec.uni[empresa]"),X$6)</f>
        <v>0</v>
      </c>
      <c r="Y59" s="45">
        <f ca="1">SUMIFS(rec.uni[2025-09-01],
INDIRECT("rec.uni[natureza]"),"repasse.cef.obra",
INDIRECT("rec.uni[empresa]"),Y$6)</f>
        <v>0</v>
      </c>
      <c r="Z59" s="45">
        <f ca="1">SUMIFS(rec.uni[2025-09-01],
INDIRECT("rec.uni[natureza]"),"repasse.cef.terreno",
INDIRECT("rec.uni[empresa]"),Z$6)</f>
        <v>0</v>
      </c>
      <c r="AA59" s="45">
        <v>0</v>
      </c>
      <c r="AB59" s="45">
        <f ca="1">SUMIFS(rec.uni[2025-09-01],
INDIRECT("rec.uni[natureza]"),"taxa.extra",
INDIRECT("rec.uni[empresa]"),AB$6)</f>
        <v>0</v>
      </c>
      <c r="AC59" s="131"/>
      <c r="AD59" s="44">
        <f>COUNTIFS(
    estq[empresa], AD$6,
    estq[Data da venda / reserva], "&gt;=" &amp; $A59,
    estq[Data da venda / reserva], "&lt;"  &amp; EOMONTH($A59,0) + 1
)</f>
        <v>0</v>
      </c>
      <c r="AE59" s="45">
        <f ca="1">SUMIFS(rec.uni[2025-09-01],
INDIRECT("rec.uni[natureza]"),"pro.soluto",
INDIRECT("rec.uni[empresa]"),AE$6)</f>
        <v>0</v>
      </c>
      <c r="AF59" s="38">
        <f ca="1">SUMIFS(rec.uni[2025-09-01],
INDIRECT("rec.uni[natureza]"),"parcela.fin.total.ik",
INDIRECT("rec.uni[empresa]"),AF$6)</f>
        <v>0</v>
      </c>
      <c r="AG59" s="45">
        <f ca="1">SUMIFS(rec.uni[2025-09-01],
INDIRECT("rec.uni[natureza]"),"taxa.extra",
INDIRECT("rec.uni[empresa]"),AG$6)</f>
        <v>0</v>
      </c>
      <c r="AH59" s="131"/>
      <c r="AI59" s="44">
        <f>COUNTIFS(
    estq[empresa], AI$6,
    estq[Data da venda / reserva], "&gt;=" &amp; $A59,
    estq[Data da venda / reserva], "&lt;"  &amp; EOMONTH($A59,0) + 1
)</f>
        <v>0</v>
      </c>
      <c r="AJ59" s="45">
        <f ca="1">SUMIFS(rec.uni[2025-09-01],
INDIRECT("rec.uni[natureza]"),"pro.soluto",
INDIRECT("rec.uni[empresa]"),AJ$6)</f>
        <v>0</v>
      </c>
      <c r="AK59" s="45">
        <f ca="1">SUMIFS(rec.uni[2025-09-01],
INDIRECT("rec.uni[natureza]"),"repasse.cef.obra",
INDIRECT("rec.uni[empresa]"),AK$6)</f>
        <v>0</v>
      </c>
      <c r="AL59" s="45">
        <f ca="1">SUMIFS(rec.uni[2025-09-01],
INDIRECT("rec.uni[natureza]"),"repasse.cef.terreno",
INDIRECT("rec.uni[empresa]"),AL$6)</f>
        <v>0</v>
      </c>
      <c r="AM59" s="45">
        <v>315799.90000000002</v>
      </c>
      <c r="AN59" s="45">
        <f ca="1">SUMIFS(rec.uni[2025-09-01],
INDIRECT("rec.uni[natureza]"),"taxa.extra",
INDIRECT("rec.uni[empresa]"),AN$6)</f>
        <v>0</v>
      </c>
      <c r="AO59" s="131"/>
      <c r="AP59" s="44">
        <f>COUNTIFS(
    estq[empresa], AP$6,
    estq[Data da venda / reserva], "&gt;=" &amp; $A59,
    estq[Data da venda / reserva], "&lt;"  &amp; EOMONTH($A59,0) + 1
)</f>
        <v>0</v>
      </c>
      <c r="AQ59" s="45">
        <f ca="1">SUMIFS(rec.uni[2025-09-01],
INDIRECT("rec.uni[natureza]"),"pro.soluto",
INDIRECT("rec.uni[empresa]"),AQ$6)</f>
        <v>0</v>
      </c>
      <c r="AR59" s="45">
        <f ca="1">SUMIFS(rec.uni[2025-09-01],
INDIRECT("rec.uni[natureza]"),"repasse.cef.obra",
INDIRECT("rec.uni[empresa]"),AR$6)</f>
        <v>0</v>
      </c>
      <c r="AS59" s="45">
        <f ca="1">SUMIFS(rec.uni[2025-09-01],
INDIRECT("rec.uni[natureza]"),"repasse.cef.terreno",
INDIRECT("rec.uni[empresa]"),AS$6)</f>
        <v>0</v>
      </c>
      <c r="AT59" s="45">
        <v>0</v>
      </c>
      <c r="AU59" s="45">
        <f ca="1">SUMIFS(rec.uni[2025-09-01],
INDIRECT("rec.uni[natureza]"),"taxa.extra",
INDIRECT("rec.uni[empresa]"),AU$6)</f>
        <v>0</v>
      </c>
      <c r="AV59" s="131"/>
    </row>
    <row r="60" spans="1:48" x14ac:dyDescent="0.25">
      <c r="A60" s="43">
        <v>45931</v>
      </c>
      <c r="B60" s="44">
        <f>COUNTIFS(
    estq[empresa], B$6,
    estq[Data da venda / reserva], "&gt;=" &amp; $A60,
    estq[Data da venda / reserva], "&lt;"  &amp; EOMONTH($A60,0) + 1
)</f>
        <v>0</v>
      </c>
      <c r="C60" s="45">
        <f ca="1">SUMIFS(rec.uni[2025-10-01],
INDIRECT("rec.uni[natureza]"),"pro.soluto",
INDIRECT("rec.uni[empresa]"),C$6)</f>
        <v>0</v>
      </c>
      <c r="D60" s="45">
        <f ca="1">SUMIFS(rec.uni[2025-10-01],
INDIRECT("rec.uni[natureza]"),"repasse.cef.obra",
INDIRECT("rec.uni[empresa]"),D$6)</f>
        <v>0</v>
      </c>
      <c r="E60" s="45">
        <f ca="1">SUMIFS(rec.uni[2025-10-01],
INDIRECT("rec.uni[natureza]"),"repasse.cef.terreno",
INDIRECT("rec.uni[empresa]"),E$6)</f>
        <v>0</v>
      </c>
      <c r="F60" s="45">
        <v>266613.7</v>
      </c>
      <c r="G60" s="45">
        <f ca="1">SUMIFS(rec.uni[2025-10-01],
INDIRECT("rec.uni[natureza]"),"taxa.extra",
INDIRECT("rec.uni[empresa]"),G$6)</f>
        <v>0</v>
      </c>
      <c r="H60" s="131"/>
      <c r="I60" s="44">
        <f>COUNTIFS(
    estq[empresa], I$6,
    estq[Data da venda / reserva], "&gt;=" &amp; $A60,
    estq[Data da venda / reserva], "&lt;"  &amp; EOMONTH($A60,0) + 1
)</f>
        <v>0</v>
      </c>
      <c r="J60" s="45">
        <f ca="1">SUMIFS(rec.uni[2025-10-01],
INDIRECT("rec.uni[natureza]"),"pro.soluto",
INDIRECT("rec.uni[empresa]"),J$6)</f>
        <v>0</v>
      </c>
      <c r="K60" s="45">
        <f ca="1">SUMIFS(rec.uni[2025-10-01],
INDIRECT("rec.uni[natureza]"),"repasse.cef.obra",
INDIRECT("rec.uni[empresa]"),K$6)</f>
        <v>0</v>
      </c>
      <c r="L60" s="45">
        <f ca="1">SUMIFS(rec.uni[2025-10-01],
INDIRECT("rec.uni[natureza]"),"repasse.cef.terreno",
INDIRECT("rec.uni[empresa]"),L$6)</f>
        <v>0</v>
      </c>
      <c r="M60" s="45">
        <v>0</v>
      </c>
      <c r="N60" s="45">
        <f ca="1">SUMIFS(rec.uni[2025-10-01],
INDIRECT("rec.uni[natureza]"),"taxa.extra",
INDIRECT("rec.uni[empresa]"),N$6)</f>
        <v>0</v>
      </c>
      <c r="O60" s="131"/>
      <c r="P60" s="44">
        <f>COUNTIFS(
    estq[empresa], P$6,
    estq[Data da venda / reserva], "&gt;=" &amp; $A60,
    estq[Data da venda / reserva], "&lt;"  &amp; EOMONTH($A60,0) + 1
)</f>
        <v>0</v>
      </c>
      <c r="Q60" s="45">
        <f ca="1">SUMIFS(rec.uni[2025-10-01],
INDIRECT("rec.uni[natureza]"),"pro.soluto",
INDIRECT("rec.uni[empresa]"),Q$6)</f>
        <v>0</v>
      </c>
      <c r="R60" s="45">
        <f ca="1">SUMIFS(rec.uni[2025-10-01],
INDIRECT("rec.uni[natureza]"),"repasse.cef.obra",
INDIRECT("rec.uni[empresa]"),R$6)</f>
        <v>0</v>
      </c>
      <c r="S60" s="45">
        <f ca="1">SUMIFS(rec.uni[2025-10-01],
INDIRECT("rec.uni[natureza]"),"repasse.cef.terreno",
INDIRECT("rec.uni[empresa]"),S$6)</f>
        <v>0</v>
      </c>
      <c r="T60" s="45">
        <v>314892.83</v>
      </c>
      <c r="U60" s="45">
        <f ca="1">SUMIFS(rec.uni[2025-10-01],
INDIRECT("rec.uni[natureza]"),"taxa.extra",
INDIRECT("rec.uni[empresa]"),U$6)</f>
        <v>0</v>
      </c>
      <c r="V60" s="131"/>
      <c r="W60" s="44">
        <f>COUNTIFS(
    estq[empresa], W$6,
    estq[Data da venda / reserva], "&gt;=" &amp; $A60,
    estq[Data da venda / reserva], "&lt;"  &amp; EOMONTH($A60,0) + 1
)</f>
        <v>0</v>
      </c>
      <c r="X60" s="45">
        <f ca="1">SUMIFS(rec.uni[2025-10-01],
INDIRECT("rec.uni[natureza]"),"pro.soluto",
INDIRECT("rec.uni[empresa]"),X$6)</f>
        <v>0</v>
      </c>
      <c r="Y60" s="45">
        <f ca="1">SUMIFS(rec.uni[2025-10-01],
INDIRECT("rec.uni[natureza]"),"repasse.cef.obra",
INDIRECT("rec.uni[empresa]"),Y$6)</f>
        <v>0</v>
      </c>
      <c r="Z60" s="45">
        <f ca="1">SUMIFS(rec.uni[2025-10-01],
INDIRECT("rec.uni[natureza]"),"repasse.cef.terreno",
INDIRECT("rec.uni[empresa]"),Z$6)</f>
        <v>0</v>
      </c>
      <c r="AA60" s="45">
        <v>0</v>
      </c>
      <c r="AB60" s="45">
        <f ca="1">SUMIFS(rec.uni[2025-10-01],
INDIRECT("rec.uni[natureza]"),"taxa.extra",
INDIRECT("rec.uni[empresa]"),AB$6)</f>
        <v>0</v>
      </c>
      <c r="AC60" s="131"/>
      <c r="AD60" s="44">
        <f>COUNTIFS(
    estq[empresa], AD$6,
    estq[Data da venda / reserva], "&gt;=" &amp; $A60,
    estq[Data da venda / reserva], "&lt;"  &amp; EOMONTH($A60,0) + 1
)</f>
        <v>0</v>
      </c>
      <c r="AE60" s="45">
        <f ca="1">SUMIFS(rec.uni[2025-10-01],
INDIRECT("rec.uni[natureza]"),"pro.soluto",
INDIRECT("rec.uni[empresa]"),AE$6)</f>
        <v>0</v>
      </c>
      <c r="AF60" s="38">
        <f ca="1">SUMIFS(rec.uni[2025-10-01],
INDIRECT("rec.uni[natureza]"),"parcela.fin.total.ik",
INDIRECT("rec.uni[empresa]"),AF$6)</f>
        <v>0</v>
      </c>
      <c r="AG60" s="45">
        <f ca="1">SUMIFS(rec.uni[2025-10-01],
INDIRECT("rec.uni[natureza]"),"taxa.extra",
INDIRECT("rec.uni[empresa]"),AG$6)</f>
        <v>0</v>
      </c>
      <c r="AH60" s="131"/>
      <c r="AI60" s="44">
        <f>COUNTIFS(
    estq[empresa], AI$6,
    estq[Data da venda / reserva], "&gt;=" &amp; $A60,
    estq[Data da venda / reserva], "&lt;"  &amp; EOMONTH($A60,0) + 1
)</f>
        <v>0</v>
      </c>
      <c r="AJ60" s="45">
        <f ca="1">SUMIFS(rec.uni[2025-10-01],
INDIRECT("rec.uni[natureza]"),"pro.soluto",
INDIRECT("rec.uni[empresa]"),AJ$6)</f>
        <v>0</v>
      </c>
      <c r="AK60" s="45">
        <f ca="1">SUMIFS(rec.uni[2025-10-01],
INDIRECT("rec.uni[natureza]"),"repasse.cef.obra",
INDIRECT("rec.uni[empresa]"),AK$6)</f>
        <v>0</v>
      </c>
      <c r="AL60" s="45">
        <f ca="1">SUMIFS(rec.uni[2025-10-01],
INDIRECT("rec.uni[natureza]"),"repasse.cef.terreno",
INDIRECT("rec.uni[empresa]"),AL$6)</f>
        <v>0</v>
      </c>
      <c r="AM60" s="45">
        <v>165252.20000000001</v>
      </c>
      <c r="AN60" s="45">
        <f ca="1">SUMIFS(rec.uni[2025-10-01],
INDIRECT("rec.uni[natureza]"),"taxa.extra",
INDIRECT("rec.uni[empresa]"),AN$6)</f>
        <v>0</v>
      </c>
      <c r="AO60" s="131"/>
      <c r="AP60" s="44">
        <f>COUNTIFS(
    estq[empresa], AP$6,
    estq[Data da venda / reserva], "&gt;=" &amp; $A60,
    estq[Data da venda / reserva], "&lt;"  &amp; EOMONTH($A60,0) + 1
)</f>
        <v>0</v>
      </c>
      <c r="AQ60" s="45">
        <f ca="1">SUMIFS(rec.uni[2025-10-01],
INDIRECT("rec.uni[natureza]"),"pro.soluto",
INDIRECT("rec.uni[empresa]"),AQ$6)</f>
        <v>0</v>
      </c>
      <c r="AR60" s="45">
        <f ca="1">SUMIFS(rec.uni[2025-10-01],
INDIRECT("rec.uni[natureza]"),"repasse.cef.obra",
INDIRECT("rec.uni[empresa]"),AR$6)</f>
        <v>0</v>
      </c>
      <c r="AS60" s="45">
        <f ca="1">SUMIFS(rec.uni[2025-10-01],
INDIRECT("rec.uni[natureza]"),"repasse.cef.terreno",
INDIRECT("rec.uni[empresa]"),AS$6)</f>
        <v>0</v>
      </c>
      <c r="AT60" s="45">
        <v>0</v>
      </c>
      <c r="AU60" s="45">
        <f ca="1">SUMIFS(rec.uni[2025-10-01],
INDIRECT("rec.uni[natureza]"),"taxa.extra",
INDIRECT("rec.uni[empresa]"),AU$6)</f>
        <v>0</v>
      </c>
      <c r="AV60" s="131"/>
    </row>
    <row r="61" spans="1:48" x14ac:dyDescent="0.25">
      <c r="A61" s="43">
        <v>45962</v>
      </c>
      <c r="B61" s="44">
        <f>COUNTIFS(
    estq[empresa], B$6,
    estq[Data da venda / reserva], "&gt;=" &amp; $A61,
    estq[Data da venda / reserva], "&lt;"  &amp; EOMONTH($A61,0) + 1
)</f>
        <v>0</v>
      </c>
      <c r="C61" s="45">
        <f ca="1">SUMIFS(rec.uni[2025-11-01],
INDIRECT("rec.uni[natureza]"),"pro.soluto",
INDIRECT("rec.uni[empresa]"),C$6)</f>
        <v>0</v>
      </c>
      <c r="D61" s="45">
        <f ca="1">SUMIFS(rec.uni[2025-11-01],
INDIRECT("rec.uni[natureza]"),"repasse.cef.obra",
INDIRECT("rec.uni[empresa]"),D$6)</f>
        <v>0</v>
      </c>
      <c r="E61" s="45">
        <f ca="1">SUMIFS(rec.uni[2025-11-01],
INDIRECT("rec.uni[natureza]"),"repasse.cef.terreno",
INDIRECT("rec.uni[empresa]"),E$6)</f>
        <v>0</v>
      </c>
      <c r="F61" s="45">
        <v>230479.34</v>
      </c>
      <c r="G61" s="45">
        <f ca="1">SUMIFS(rec.uni[2025-11-01],
INDIRECT("rec.uni[natureza]"),"taxa.extra",
INDIRECT("rec.uni[empresa]"),G$6)</f>
        <v>0</v>
      </c>
      <c r="H61" s="131"/>
      <c r="I61" s="44">
        <f>COUNTIFS(
    estq[empresa], I$6,
    estq[Data da venda / reserva], "&gt;=" &amp; $A61,
    estq[Data da venda / reserva], "&lt;"  &amp; EOMONTH($A61,0) + 1
)</f>
        <v>0</v>
      </c>
      <c r="J61" s="45">
        <f ca="1">SUMIFS(rec.uni[2025-11-01],
INDIRECT("rec.uni[natureza]"),"pro.soluto",
INDIRECT("rec.uni[empresa]"),J$6)</f>
        <v>0</v>
      </c>
      <c r="K61" s="45">
        <f ca="1">SUMIFS(rec.uni[2025-11-01],
INDIRECT("rec.uni[natureza]"),"repasse.cef.obra",
INDIRECT("rec.uni[empresa]"),K$6)</f>
        <v>0</v>
      </c>
      <c r="L61" s="45">
        <f ca="1">SUMIFS(rec.uni[2025-11-01],
INDIRECT("rec.uni[natureza]"),"repasse.cef.terreno",
INDIRECT("rec.uni[empresa]"),L$6)</f>
        <v>0</v>
      </c>
      <c r="M61" s="45">
        <v>0</v>
      </c>
      <c r="N61" s="45">
        <f ca="1">SUMIFS(rec.uni[2025-11-01],
INDIRECT("rec.uni[natureza]"),"taxa.extra",
INDIRECT("rec.uni[empresa]"),N$6)</f>
        <v>0</v>
      </c>
      <c r="O61" s="131"/>
      <c r="P61" s="44">
        <f>COUNTIFS(
    estq[empresa], P$6,
    estq[Data da venda / reserva], "&gt;=" &amp; $A61,
    estq[Data da venda / reserva], "&lt;"  &amp; EOMONTH($A61,0) + 1
)</f>
        <v>0</v>
      </c>
      <c r="Q61" s="45">
        <f ca="1">SUMIFS(rec.uni[2025-11-01],
INDIRECT("rec.uni[natureza]"),"pro.soluto",
INDIRECT("rec.uni[empresa]"),Q$6)</f>
        <v>0</v>
      </c>
      <c r="R61" s="45">
        <f ca="1">SUMIFS(rec.uni[2025-11-01],
INDIRECT("rec.uni[natureza]"),"repasse.cef.obra",
INDIRECT("rec.uni[empresa]"),R$6)</f>
        <v>0</v>
      </c>
      <c r="S61" s="45">
        <f ca="1">SUMIFS(rec.uni[2025-11-01],
INDIRECT("rec.uni[natureza]"),"repasse.cef.terreno",
INDIRECT("rec.uni[empresa]"),S$6)</f>
        <v>0</v>
      </c>
      <c r="T61" s="45">
        <v>378061.31</v>
      </c>
      <c r="U61" s="45">
        <f ca="1">SUMIFS(rec.uni[2025-11-01],
INDIRECT("rec.uni[natureza]"),"taxa.extra",
INDIRECT("rec.uni[empresa]"),U$6)</f>
        <v>0</v>
      </c>
      <c r="V61" s="131"/>
      <c r="W61" s="44">
        <f>COUNTIFS(
    estq[empresa], W$6,
    estq[Data da venda / reserva], "&gt;=" &amp; $A61,
    estq[Data da venda / reserva], "&lt;"  &amp; EOMONTH($A61,0) + 1
)</f>
        <v>0</v>
      </c>
      <c r="X61" s="45">
        <f ca="1">SUMIFS(rec.uni[2025-11-01],
INDIRECT("rec.uni[natureza]"),"pro.soluto",
INDIRECT("rec.uni[empresa]"),X$6)</f>
        <v>0</v>
      </c>
      <c r="Y61" s="45">
        <f ca="1">SUMIFS(rec.uni[2025-11-01],
INDIRECT("rec.uni[natureza]"),"repasse.cef.obra",
INDIRECT("rec.uni[empresa]"),Y$6)</f>
        <v>0</v>
      </c>
      <c r="Z61" s="45">
        <f ca="1">SUMIFS(rec.uni[2025-11-01],
INDIRECT("rec.uni[natureza]"),"repasse.cef.terreno",
INDIRECT("rec.uni[empresa]"),Z$6)</f>
        <v>0</v>
      </c>
      <c r="AA61" s="45">
        <v>0</v>
      </c>
      <c r="AB61" s="45">
        <f ca="1">SUMIFS(rec.uni[2025-11-01],
INDIRECT("rec.uni[natureza]"),"taxa.extra",
INDIRECT("rec.uni[empresa]"),AB$6)</f>
        <v>0</v>
      </c>
      <c r="AC61" s="131"/>
      <c r="AD61" s="44">
        <f>COUNTIFS(
    estq[empresa], AD$6,
    estq[Data da venda / reserva], "&gt;=" &amp; $A61,
    estq[Data da venda / reserva], "&lt;"  &amp; EOMONTH($A61,0) + 1
)</f>
        <v>0</v>
      </c>
      <c r="AE61" s="45">
        <f ca="1">SUMIFS(rec.uni[2025-11-01],
INDIRECT("rec.uni[natureza]"),"pro.soluto",
INDIRECT("rec.uni[empresa]"),AE$6)</f>
        <v>0</v>
      </c>
      <c r="AF61" s="38">
        <f ca="1">SUMIFS(rec.uni[2025-11-01],
INDIRECT("rec.uni[natureza]"),"parcela.fin.total.ik",
INDIRECT("rec.uni[empresa]"),AF$6)</f>
        <v>0</v>
      </c>
      <c r="AG61" s="45">
        <f ca="1">SUMIFS(rec.uni[2025-11-01],
INDIRECT("rec.uni[natureza]"),"taxa.extra",
INDIRECT("rec.uni[empresa]"),AG$6)</f>
        <v>0</v>
      </c>
      <c r="AH61" s="131"/>
      <c r="AI61" s="44">
        <f>COUNTIFS(
    estq[empresa], AI$6,
    estq[Data da venda / reserva], "&gt;=" &amp; $A61,
    estq[Data da venda / reserva], "&lt;"  &amp; EOMONTH($A61,0) + 1
)</f>
        <v>0</v>
      </c>
      <c r="AJ61" s="45">
        <f ca="1">SUMIFS(rec.uni[2025-11-01],
INDIRECT("rec.uni[natureza]"),"pro.soluto",
INDIRECT("rec.uni[empresa]"),AJ$6)</f>
        <v>0</v>
      </c>
      <c r="AK61" s="45">
        <f ca="1">SUMIFS(rec.uni[2025-11-01],
INDIRECT("rec.uni[natureza]"),"repasse.cef.obra",
INDIRECT("rec.uni[empresa]"),AK$6)</f>
        <v>0</v>
      </c>
      <c r="AL61" s="45">
        <f ca="1">SUMIFS(rec.uni[2025-11-01],
INDIRECT("rec.uni[natureza]"),"repasse.cef.terreno",
INDIRECT("rec.uni[empresa]"),AL$6)</f>
        <v>0</v>
      </c>
      <c r="AM61" s="45">
        <v>200573.37</v>
      </c>
      <c r="AN61" s="45">
        <f ca="1">SUMIFS(rec.uni[2025-11-01],
INDIRECT("rec.uni[natureza]"),"taxa.extra",
INDIRECT("rec.uni[empresa]"),AN$6)</f>
        <v>0</v>
      </c>
      <c r="AO61" s="131"/>
      <c r="AP61" s="44">
        <f>COUNTIFS(
    estq[empresa], AP$6,
    estq[Data da venda / reserva], "&gt;=" &amp; $A61,
    estq[Data da venda / reserva], "&lt;"  &amp; EOMONTH($A61,0) + 1
)</f>
        <v>0</v>
      </c>
      <c r="AQ61" s="45">
        <f ca="1">SUMIFS(rec.uni[2025-11-01],
INDIRECT("rec.uni[natureza]"),"pro.soluto",
INDIRECT("rec.uni[empresa]"),AQ$6)</f>
        <v>0</v>
      </c>
      <c r="AR61" s="45">
        <f ca="1">SUMIFS(rec.uni[2025-11-01],
INDIRECT("rec.uni[natureza]"),"repasse.cef.obra",
INDIRECT("rec.uni[empresa]"),AR$6)</f>
        <v>0</v>
      </c>
      <c r="AS61" s="45">
        <f ca="1">SUMIFS(rec.uni[2025-11-01],
INDIRECT("rec.uni[natureza]"),"repasse.cef.terreno",
INDIRECT("rec.uni[empresa]"),AS$6)</f>
        <v>0</v>
      </c>
      <c r="AT61" s="45">
        <v>0</v>
      </c>
      <c r="AU61" s="45">
        <f ca="1">SUMIFS(rec.uni[2025-11-01],
INDIRECT("rec.uni[natureza]"),"taxa.extra",
INDIRECT("rec.uni[empresa]"),AU$6)</f>
        <v>0</v>
      </c>
      <c r="AV61" s="131"/>
    </row>
    <row r="62" spans="1:48" x14ac:dyDescent="0.25">
      <c r="A62" s="43">
        <v>45992</v>
      </c>
      <c r="B62" s="44">
        <f>COUNTIFS(
    estq[empresa], B$6,
    estq[Data da venda / reserva], "&gt;=" &amp; $A62,
    estq[Data da venda / reserva], "&lt;"  &amp; EOMONTH($A62,0) + 1
)</f>
        <v>0</v>
      </c>
      <c r="C62" s="45">
        <f ca="1">SUMIFS(rec.uni[2025-12-01],
INDIRECT("rec.uni[natureza]"),"pro.soluto",
INDIRECT("rec.uni[empresa]"),C$6)</f>
        <v>0</v>
      </c>
      <c r="D62" s="45">
        <f ca="1">SUMIFS(rec.uni[2025-12-01],
INDIRECT("rec.uni[natureza]"),"repasse.cef.obra",
INDIRECT("rec.uni[empresa]"),D$6)</f>
        <v>0</v>
      </c>
      <c r="E62" s="45">
        <f ca="1">SUMIFS(rec.uni[2025-12-01],
INDIRECT("rec.uni[natureza]"),"repasse.cef.terreno",
INDIRECT("rec.uni[empresa]"),E$6)</f>
        <v>0</v>
      </c>
      <c r="F62" s="45">
        <v>471701.2</v>
      </c>
      <c r="G62" s="45">
        <f ca="1">SUMIFS(rec.uni[2025-12-01],
INDIRECT("rec.uni[natureza]"),"taxa.extra",
INDIRECT("rec.uni[empresa]"),G$6)</f>
        <v>0</v>
      </c>
      <c r="H62" s="131"/>
      <c r="I62" s="44">
        <f>COUNTIFS(
    estq[empresa], I$6,
    estq[Data da venda / reserva], "&gt;=" &amp; $A62,
    estq[Data da venda / reserva], "&lt;"  &amp; EOMONTH($A62,0) + 1
)</f>
        <v>0</v>
      </c>
      <c r="J62" s="45">
        <f ca="1">SUMIFS(rec.uni[2025-12-01],
INDIRECT("rec.uni[natureza]"),"pro.soluto",
INDIRECT("rec.uni[empresa]"),J$6)</f>
        <v>0</v>
      </c>
      <c r="K62" s="45">
        <f ca="1">SUMIFS(rec.uni[2025-12-01],
INDIRECT("rec.uni[natureza]"),"repasse.cef.obra",
INDIRECT("rec.uni[empresa]"),K$6)</f>
        <v>0</v>
      </c>
      <c r="L62" s="45">
        <f ca="1">SUMIFS(rec.uni[2025-12-01],
INDIRECT("rec.uni[natureza]"),"repasse.cef.terreno",
INDIRECT("rec.uni[empresa]"),L$6)</f>
        <v>0</v>
      </c>
      <c r="M62" s="45">
        <v>0</v>
      </c>
      <c r="N62" s="45">
        <f ca="1">SUMIFS(rec.uni[2025-12-01],
INDIRECT("rec.uni[natureza]"),"taxa.extra",
INDIRECT("rec.uni[empresa]"),N$6)</f>
        <v>0</v>
      </c>
      <c r="O62" s="131"/>
      <c r="P62" s="44">
        <f>COUNTIFS(
    estq[empresa], P$6,
    estq[Data da venda / reserva], "&gt;=" &amp; $A62,
    estq[Data da venda / reserva], "&lt;"  &amp; EOMONTH($A62,0) + 1
)</f>
        <v>0</v>
      </c>
      <c r="Q62" s="45">
        <f ca="1">SUMIFS(rec.uni[2025-12-01],
INDIRECT("rec.uni[natureza]"),"pro.soluto",
INDIRECT("rec.uni[empresa]"),Q$6)</f>
        <v>0</v>
      </c>
      <c r="R62" s="45">
        <f ca="1">SUMIFS(rec.uni[2025-12-01],
INDIRECT("rec.uni[natureza]"),"repasse.cef.obra",
INDIRECT("rec.uni[empresa]"),R$6)</f>
        <v>0</v>
      </c>
      <c r="S62" s="45">
        <f ca="1">SUMIFS(rec.uni[2025-12-01],
INDIRECT("rec.uni[natureza]"),"repasse.cef.terreno",
INDIRECT("rec.uni[empresa]"),S$6)</f>
        <v>0</v>
      </c>
      <c r="T62" s="45">
        <v>0</v>
      </c>
      <c r="U62" s="45">
        <f ca="1">SUMIFS(rec.uni[2025-12-01],
INDIRECT("rec.uni[natureza]"),"taxa.extra",
INDIRECT("rec.uni[empresa]"),U$6)</f>
        <v>0</v>
      </c>
      <c r="V62" s="131"/>
      <c r="W62" s="44">
        <f>COUNTIFS(
    estq[empresa], W$6,
    estq[Data da venda / reserva], "&gt;=" &amp; $A62,
    estq[Data da venda / reserva], "&lt;"  &amp; EOMONTH($A62,0) + 1
)</f>
        <v>0</v>
      </c>
      <c r="X62" s="45">
        <f ca="1">SUMIFS(rec.uni[2025-12-01],
INDIRECT("rec.uni[natureza]"),"pro.soluto",
INDIRECT("rec.uni[empresa]"),X$6)</f>
        <v>0</v>
      </c>
      <c r="Y62" s="45">
        <f ca="1">SUMIFS(rec.uni[2025-12-01],
INDIRECT("rec.uni[natureza]"),"repasse.cef.obra",
INDIRECT("rec.uni[empresa]"),Y$6)</f>
        <v>0</v>
      </c>
      <c r="Z62" s="45">
        <f ca="1">SUMIFS(rec.uni[2025-12-01],
INDIRECT("rec.uni[natureza]"),"repasse.cef.terreno",
INDIRECT("rec.uni[empresa]"),Z$6)</f>
        <v>0</v>
      </c>
      <c r="AA62" s="45">
        <v>0</v>
      </c>
      <c r="AB62" s="45">
        <f ca="1">SUMIFS(rec.uni[2025-12-01],
INDIRECT("rec.uni[natureza]"),"taxa.extra",
INDIRECT("rec.uni[empresa]"),AB$6)</f>
        <v>0</v>
      </c>
      <c r="AC62" s="131"/>
      <c r="AD62" s="44">
        <f>COUNTIFS(
    estq[empresa], AD$6,
    estq[Data da venda / reserva], "&gt;=" &amp; $A62,
    estq[Data da venda / reserva], "&lt;"  &amp; EOMONTH($A62,0) + 1
)</f>
        <v>0</v>
      </c>
      <c r="AE62" s="45">
        <f ca="1">SUMIFS(rec.uni[2025-12-01],
INDIRECT("rec.uni[natureza]"),"pro.soluto",
INDIRECT("rec.uni[empresa]"),AE$6)</f>
        <v>0</v>
      </c>
      <c r="AF62" s="38">
        <f ca="1">SUMIFS(rec.uni[2025-12-01],
INDIRECT("rec.uni[natureza]"),"parcela.fin.total.ik",
INDIRECT("rec.uni[empresa]"),AF$6)</f>
        <v>0</v>
      </c>
      <c r="AG62" s="45">
        <f ca="1">SUMIFS(rec.uni[2025-12-01],
INDIRECT("rec.uni[natureza]"),"taxa.extra",
INDIRECT("rec.uni[empresa]"),AG$6)</f>
        <v>0</v>
      </c>
      <c r="AH62" s="131"/>
      <c r="AI62" s="44">
        <f>COUNTIFS(
    estq[empresa], AI$6,
    estq[Data da venda / reserva], "&gt;=" &amp; $A62,
    estq[Data da venda / reserva], "&lt;"  &amp; EOMONTH($A62,0) + 1
)</f>
        <v>0</v>
      </c>
      <c r="AJ62" s="45">
        <f ca="1">SUMIFS(rec.uni[2025-12-01],
INDIRECT("rec.uni[natureza]"),"pro.soluto",
INDIRECT("rec.uni[empresa]"),AJ$6)</f>
        <v>0</v>
      </c>
      <c r="AK62" s="45">
        <f ca="1">SUMIFS(rec.uni[2025-12-01],
INDIRECT("rec.uni[natureza]"),"repasse.cef.obra",
INDIRECT("rec.uni[empresa]"),AK$6)</f>
        <v>0</v>
      </c>
      <c r="AL62" s="45">
        <f ca="1">SUMIFS(rec.uni[2025-12-01],
INDIRECT("rec.uni[natureza]"),"repasse.cef.terreno",
INDIRECT("rec.uni[empresa]"),AL$6)</f>
        <v>0</v>
      </c>
      <c r="AM62" s="45">
        <v>0</v>
      </c>
      <c r="AN62" s="45">
        <f ca="1">SUMIFS(rec.uni[2025-12-01],
INDIRECT("rec.uni[natureza]"),"taxa.extra",
INDIRECT("rec.uni[empresa]"),AN$6)</f>
        <v>0</v>
      </c>
      <c r="AO62" s="131"/>
      <c r="AP62" s="44">
        <f>COUNTIFS(
    estq[empresa], AP$6,
    estq[Data da venda / reserva], "&gt;=" &amp; $A62,
    estq[Data da venda / reserva], "&lt;"  &amp; EOMONTH($A62,0) + 1
)</f>
        <v>0</v>
      </c>
      <c r="AQ62" s="45">
        <f ca="1">SUMIFS(rec.uni[2025-12-01],
INDIRECT("rec.uni[natureza]"),"pro.soluto",
INDIRECT("rec.uni[empresa]"),AQ$6)</f>
        <v>0</v>
      </c>
      <c r="AR62" s="45">
        <f ca="1">SUMIFS(rec.uni[2025-12-01],
INDIRECT("rec.uni[natureza]"),"repasse.cef.obra",
INDIRECT("rec.uni[empresa]"),AR$6)</f>
        <v>0</v>
      </c>
      <c r="AS62" s="45">
        <f ca="1">SUMIFS(rec.uni[2025-12-01],
INDIRECT("rec.uni[natureza]"),"repasse.cef.terreno",
INDIRECT("rec.uni[empresa]"),AS$6)</f>
        <v>0</v>
      </c>
      <c r="AT62" s="45">
        <v>0</v>
      </c>
      <c r="AU62" s="45">
        <f ca="1">SUMIFS(rec.uni[2025-12-01],
INDIRECT("rec.uni[natureza]"),"taxa.extra",
INDIRECT("rec.uni[empresa]"),AU$6)</f>
        <v>0</v>
      </c>
      <c r="AV62" s="131"/>
    </row>
    <row r="63" spans="1:48" x14ac:dyDescent="0.25">
      <c r="A63" s="43">
        <v>46023</v>
      </c>
      <c r="B63" s="44">
        <f>COUNTIFS(
    estq[empresa], B$6,
    estq[Data da venda / reserva], "&gt;=" &amp; $A63,
    estq[Data da venda / reserva], "&lt;"  &amp; EOMONTH($A63,0) + 1
)</f>
        <v>0</v>
      </c>
      <c r="C63" s="45">
        <f ca="1">SUMIFS(rec.uni[2026-01-01],
INDIRECT("rec.uni[natureza]"),"pro.soluto",
INDIRECT("rec.uni[empresa]"),C$6)</f>
        <v>0</v>
      </c>
      <c r="D63" s="45">
        <f ca="1">SUMIFS(rec.uni[2026-01-01],
INDIRECT("rec.uni[natureza]"),"repasse.cef.obra",
INDIRECT("rec.uni[empresa]"),D$6)</f>
        <v>0</v>
      </c>
      <c r="E63" s="45">
        <f ca="1">SUMIFS(rec.uni[2026-01-01],
INDIRECT("rec.uni[natureza]"),"repasse.cef.terreno",
INDIRECT("rec.uni[empresa]"),E$6)</f>
        <v>0</v>
      </c>
      <c r="F63" s="45">
        <v>0</v>
      </c>
      <c r="G63" s="45">
        <f ca="1">SUMIFS(rec.uni[2026-01-01],
INDIRECT("rec.uni[natureza]"),"taxa.extra",
INDIRECT("rec.uni[empresa]"),G$6)</f>
        <v>0</v>
      </c>
      <c r="H63" s="131"/>
      <c r="I63" s="44">
        <f>COUNTIFS(
    estq[empresa], I$6,
    estq[Data da venda / reserva], "&gt;=" &amp; $A63,
    estq[Data da venda / reserva], "&lt;"  &amp; EOMONTH($A63,0) + 1
)</f>
        <v>0</v>
      </c>
      <c r="J63" s="45">
        <f ca="1">SUMIFS(rec.uni[2026-01-01],
INDIRECT("rec.uni[natureza]"),"pro.soluto",
INDIRECT("rec.uni[empresa]"),J$6)</f>
        <v>0</v>
      </c>
      <c r="K63" s="45">
        <f ca="1">SUMIFS(rec.uni[2026-01-01],
INDIRECT("rec.uni[natureza]"),"repasse.cef.obra",
INDIRECT("rec.uni[empresa]"),K$6)</f>
        <v>0</v>
      </c>
      <c r="L63" s="45">
        <f ca="1">SUMIFS(rec.uni[2026-01-01],
INDIRECT("rec.uni[natureza]"),"repasse.cef.terreno",
INDIRECT("rec.uni[empresa]"),L$6)</f>
        <v>0</v>
      </c>
      <c r="M63" s="45">
        <v>0</v>
      </c>
      <c r="N63" s="45">
        <f ca="1">SUMIFS(rec.uni[2026-01-01],
INDIRECT("rec.uni[natureza]"),"taxa.extra",
INDIRECT("rec.uni[empresa]"),N$6)</f>
        <v>0</v>
      </c>
      <c r="O63" s="131"/>
      <c r="P63" s="44">
        <f>COUNTIFS(
    estq[empresa], P$6,
    estq[Data da venda / reserva], "&gt;=" &amp; $A63,
    estq[Data da venda / reserva], "&lt;"  &amp; EOMONTH($A63,0) + 1
)</f>
        <v>0</v>
      </c>
      <c r="Q63" s="45">
        <f ca="1">SUMIFS(rec.uni[2026-01-01],
INDIRECT("rec.uni[natureza]"),"pro.soluto",
INDIRECT("rec.uni[empresa]"),Q$6)</f>
        <v>0</v>
      </c>
      <c r="R63" s="45">
        <f ca="1">SUMIFS(rec.uni[2026-01-01],
INDIRECT("rec.uni[natureza]"),"repasse.cef.obra",
INDIRECT("rec.uni[empresa]"),R$6)</f>
        <v>0</v>
      </c>
      <c r="S63" s="45">
        <f ca="1">SUMIFS(rec.uni[2026-01-01],
INDIRECT("rec.uni[natureza]"),"repasse.cef.terreno",
INDIRECT("rec.uni[empresa]"),S$6)</f>
        <v>0</v>
      </c>
      <c r="T63" s="38">
        <v>313227.59000000003</v>
      </c>
      <c r="U63" s="45">
        <f ca="1">SUMIFS(rec.uni[2026-01-01],
INDIRECT("rec.uni[natureza]"),"taxa.extra",
INDIRECT("rec.uni[empresa]"),U$6)</f>
        <v>0</v>
      </c>
      <c r="V63" s="131"/>
      <c r="W63" s="44">
        <f>COUNTIFS(
    estq[empresa], W$6,
    estq[Data da venda / reserva], "&gt;=" &amp; $A63,
    estq[Data da venda / reserva], "&lt;"  &amp; EOMONTH($A63,0) + 1
)</f>
        <v>0</v>
      </c>
      <c r="X63" s="45">
        <f ca="1">SUMIFS(rec.uni[2026-01-01],
INDIRECT("rec.uni[natureza]"),"pro.soluto",
INDIRECT("rec.uni[empresa]"),X$6)</f>
        <v>0</v>
      </c>
      <c r="Y63" s="45">
        <f ca="1">SUMIFS(rec.uni[2026-01-01],
INDIRECT("rec.uni[natureza]"),"repasse.cef.obra",
INDIRECT("rec.uni[empresa]"),Y$6)</f>
        <v>0</v>
      </c>
      <c r="Z63" s="45">
        <f ca="1">SUMIFS(rec.uni[2026-01-01],
INDIRECT("rec.uni[natureza]"),"repasse.cef.terreno",
INDIRECT("rec.uni[empresa]"),Z$6)</f>
        <v>0</v>
      </c>
      <c r="AA63" s="38">
        <v>513271.28</v>
      </c>
      <c r="AB63" s="45">
        <f ca="1">SUMIFS(rec.uni[2026-01-01],
INDIRECT("rec.uni[natureza]"),"taxa.extra",
INDIRECT("rec.uni[empresa]"),AB$6)</f>
        <v>0</v>
      </c>
      <c r="AC63" s="131"/>
      <c r="AD63" s="44">
        <f>COUNTIFS(
    estq[empresa], AD$6,
    estq[Data da venda / reserva], "&gt;=" &amp; $A63,
    estq[Data da venda / reserva], "&lt;"  &amp; EOMONTH($A63,0) + 1
)</f>
        <v>0</v>
      </c>
      <c r="AE63" s="45">
        <f ca="1">SUMIFS(rec.uni[2026-01-01],
INDIRECT("rec.uni[natureza]"),"pro.soluto",
INDIRECT("rec.uni[empresa]"),AE$6)</f>
        <v>0</v>
      </c>
      <c r="AF63" s="38">
        <f ca="1">SUMIFS(rec.uni[2026-01-01],
INDIRECT("rec.uni[natureza]"),"parcela.fin.total.ik",
INDIRECT("rec.uni[empresa]"),AF$6)</f>
        <v>0</v>
      </c>
      <c r="AG63" s="45">
        <f ca="1">SUMIFS(rec.uni[2026-01-01],
INDIRECT("rec.uni[natureza]"),"taxa.extra",
INDIRECT("rec.uni[empresa]"),AG$6)</f>
        <v>0</v>
      </c>
      <c r="AH63" s="131"/>
      <c r="AI63" s="44">
        <f>COUNTIFS(
    estq[empresa], AI$6,
    estq[Data da venda / reserva], "&gt;=" &amp; $A63,
    estq[Data da venda / reserva], "&lt;"  &amp; EOMONTH($A63,0) + 1
)</f>
        <v>0</v>
      </c>
      <c r="AJ63" s="45">
        <f ca="1">SUMIFS(rec.uni[2026-01-01],
INDIRECT("rec.uni[natureza]"),"pro.soluto",
INDIRECT("rec.uni[empresa]"),AJ$6)</f>
        <v>0</v>
      </c>
      <c r="AK63" s="45">
        <f ca="1">SUMIFS(rec.uni[2026-01-01],
INDIRECT("rec.uni[natureza]"),"repasse.cef.obra",
INDIRECT("rec.uni[empresa]"),AK$6)</f>
        <v>0</v>
      </c>
      <c r="AL63" s="45">
        <f ca="1">SUMIFS(rec.uni[2026-01-01],
INDIRECT("rec.uni[natureza]"),"repasse.cef.terreno",
INDIRECT("rec.uni[empresa]"),AL$6)</f>
        <v>0</v>
      </c>
      <c r="AM63" s="38">
        <v>311984.76</v>
      </c>
      <c r="AN63" s="45">
        <f ca="1">SUMIFS(rec.uni[2026-01-01],
INDIRECT("rec.uni[natureza]"),"taxa.extra",
INDIRECT("rec.uni[empresa]"),AN$6)</f>
        <v>0</v>
      </c>
      <c r="AO63" s="131"/>
      <c r="AP63" s="44">
        <f>COUNTIFS(
    estq[empresa], AP$6,
    estq[Data da venda / reserva], "&gt;=" &amp; $A63,
    estq[Data da venda / reserva], "&lt;"  &amp; EOMONTH($A63,0) + 1
)</f>
        <v>0</v>
      </c>
      <c r="AQ63" s="45">
        <f ca="1">SUMIFS(rec.uni[2026-01-01],
INDIRECT("rec.uni[natureza]"),"pro.soluto",
INDIRECT("rec.uni[empresa]"),AQ$6)</f>
        <v>0</v>
      </c>
      <c r="AR63" s="45">
        <f ca="1">SUMIFS(rec.uni[2026-01-01],
INDIRECT("rec.uni[natureza]"),"repasse.cef.obra",
INDIRECT("rec.uni[empresa]"),AR$6)</f>
        <v>0</v>
      </c>
      <c r="AS63" s="45">
        <f ca="1">SUMIFS(rec.uni[2026-01-01],
INDIRECT("rec.uni[natureza]"),"repasse.cef.terreno",
INDIRECT("rec.uni[empresa]"),AS$6)</f>
        <v>0</v>
      </c>
      <c r="AT63" s="45">
        <v>0</v>
      </c>
      <c r="AU63" s="45">
        <f ca="1">SUMIFS(rec.uni[2026-01-01],
INDIRECT("rec.uni[natureza]"),"taxa.extra",
INDIRECT("rec.uni[empresa]"),AU$6)</f>
        <v>0</v>
      </c>
      <c r="AV63" s="131"/>
    </row>
    <row r="64" spans="1:48" x14ac:dyDescent="0.25">
      <c r="A64" s="43">
        <v>46054</v>
      </c>
      <c r="B64" s="44">
        <f>COUNTIFS(
    estq[empresa], B$6,
    estq[Data da venda / reserva], "&gt;=" &amp; $A64,
    estq[Data da venda / reserva], "&lt;"  &amp; EOMONTH($A64,0) + 1
)</f>
        <v>0</v>
      </c>
      <c r="C64" s="45">
        <f ca="1">SUMIFS(rec.uni[2026-02-01],
INDIRECT("rec.uni[natureza]"),"pro.soluto",
INDIRECT("rec.uni[empresa]"),C$6)</f>
        <v>0</v>
      </c>
      <c r="D64" s="45">
        <f ca="1">SUMIFS(rec.uni[2026-02-01],
INDIRECT("rec.uni[natureza]"),"repasse.cef.obra",
INDIRECT("rec.uni[empresa]"),D$6)</f>
        <v>0</v>
      </c>
      <c r="E64" s="45">
        <f ca="1">SUMIFS(rec.uni[2026-02-01],
INDIRECT("rec.uni[natureza]"),"repasse.cef.terreno",
INDIRECT("rec.uni[empresa]"),E$6)</f>
        <v>0</v>
      </c>
      <c r="F64" s="38"/>
      <c r="G64" s="45">
        <f ca="1">SUMIFS(rec.uni[2026-02-01],
INDIRECT("rec.uni[natureza]"),"taxa.extra",
INDIRECT("rec.uni[empresa]"),G$6)</f>
        <v>0</v>
      </c>
      <c r="H64" s="131"/>
      <c r="I64" s="44">
        <f>COUNTIFS(
    estq[empresa], I$6,
    estq[Data da venda / reserva], "&gt;=" &amp; $A64,
    estq[Data da venda / reserva], "&lt;"  &amp; EOMONTH($A64,0) + 1
)</f>
        <v>0</v>
      </c>
      <c r="J64" s="45">
        <f ca="1">SUMIFS(rec.uni[2026-02-01],
INDIRECT("rec.uni[natureza]"),"pro.soluto",
INDIRECT("rec.uni[empresa]"),J$6)</f>
        <v>0</v>
      </c>
      <c r="K64" s="45">
        <f ca="1">SUMIFS(rec.uni[2026-02-01],
INDIRECT("rec.uni[natureza]"),"repasse.cef.obra",
INDIRECT("rec.uni[empresa]"),K$6)</f>
        <v>0</v>
      </c>
      <c r="L64" s="45">
        <f ca="1">SUMIFS(rec.uni[2026-02-01],
INDIRECT("rec.uni[natureza]"),"repasse.cef.terreno",
INDIRECT("rec.uni[empresa]"),L$6)</f>
        <v>0</v>
      </c>
      <c r="M64" s="38"/>
      <c r="N64" s="45">
        <f ca="1">SUMIFS(rec.uni[2026-02-01],
INDIRECT("rec.uni[natureza]"),"taxa.extra",
INDIRECT("rec.uni[empresa]"),N$6)</f>
        <v>0</v>
      </c>
      <c r="O64" s="131"/>
      <c r="P64" s="44">
        <f>COUNTIFS(
    estq[empresa], P$6,
    estq[Data da venda / reserva], "&gt;=" &amp; $A64,
    estq[Data da venda / reserva], "&lt;"  &amp; EOMONTH($A64,0) + 1
)</f>
        <v>0</v>
      </c>
      <c r="Q64" s="45">
        <f ca="1">SUMIFS(rec.uni[2026-02-01],
INDIRECT("rec.uni[natureza]"),"pro.soluto",
INDIRECT("rec.uni[empresa]"),Q$6)</f>
        <v>0</v>
      </c>
      <c r="R64" s="45">
        <f ca="1">SUMIFS(rec.uni[2026-02-01],
INDIRECT("rec.uni[natureza]"),"repasse.cef.obra",
INDIRECT("rec.uni[empresa]"),R$6)</f>
        <v>0</v>
      </c>
      <c r="S64" s="45">
        <f ca="1">SUMIFS(rec.uni[2026-02-01],
INDIRECT("rec.uni[natureza]"),"repasse.cef.terreno",
INDIRECT("rec.uni[empresa]"),S$6)</f>
        <v>0</v>
      </c>
      <c r="T64" s="38"/>
      <c r="U64" s="45">
        <f ca="1">SUMIFS(rec.uni[2026-02-01],
INDIRECT("rec.uni[natureza]"),"taxa.extra",
INDIRECT("rec.uni[empresa]"),U$6)</f>
        <v>0</v>
      </c>
      <c r="V64" s="131"/>
      <c r="W64" s="44">
        <f>COUNTIFS(
    estq[empresa], W$6,
    estq[Data da venda / reserva], "&gt;=" &amp; $A64,
    estq[Data da venda / reserva], "&lt;"  &amp; EOMONTH($A64,0) + 1
)</f>
        <v>0</v>
      </c>
      <c r="X64" s="45">
        <f ca="1">SUMIFS(rec.uni[2026-02-01],
INDIRECT("rec.uni[natureza]"),"pro.soluto",
INDIRECT("rec.uni[empresa]"),X$6)</f>
        <v>0</v>
      </c>
      <c r="Y64" s="45">
        <f ca="1">SUMIFS(rec.uni[2026-02-01],
INDIRECT("rec.uni[natureza]"),"repasse.cef.obra",
INDIRECT("rec.uni[empresa]"),Y$6)</f>
        <v>0</v>
      </c>
      <c r="Z64" s="45">
        <f ca="1">SUMIFS(rec.uni[2026-02-01],
INDIRECT("rec.uni[natureza]"),"repasse.cef.terreno",
INDIRECT("rec.uni[empresa]"),Z$6)</f>
        <v>0</v>
      </c>
      <c r="AA64" s="38"/>
      <c r="AB64" s="45">
        <f ca="1">SUMIFS(rec.uni[2026-02-01],
INDIRECT("rec.uni[natureza]"),"taxa.extra",
INDIRECT("rec.uni[empresa]"),AB$6)</f>
        <v>0</v>
      </c>
      <c r="AC64" s="131"/>
      <c r="AD64" s="44">
        <f>COUNTIFS(
    estq[empresa], AD$6,
    estq[Data da venda / reserva], "&gt;=" &amp; $A64,
    estq[Data da venda / reserva], "&lt;"  &amp; EOMONTH($A64,0) + 1
)</f>
        <v>0</v>
      </c>
      <c r="AE64" s="45">
        <f ca="1">SUMIFS(rec.uni[2026-02-01],
INDIRECT("rec.uni[natureza]"),"pro.soluto",
INDIRECT("rec.uni[empresa]"),AE$6)</f>
        <v>0</v>
      </c>
      <c r="AF64" s="38">
        <f ca="1">SUMIFS(rec.uni[2026-02-01],
INDIRECT("rec.uni[natureza]"),"parcela.fin.total.ik",
INDIRECT("rec.uni[empresa]"),AF$6)</f>
        <v>0</v>
      </c>
      <c r="AG64" s="45">
        <f ca="1">SUMIFS(rec.uni[2026-02-01],
INDIRECT("rec.uni[natureza]"),"taxa.extra",
INDIRECT("rec.uni[empresa]"),AG$6)</f>
        <v>0</v>
      </c>
      <c r="AH64" s="131"/>
      <c r="AI64" s="44">
        <f>COUNTIFS(
    estq[empresa], AI$6,
    estq[Data da venda / reserva], "&gt;=" &amp; $A64,
    estq[Data da venda / reserva], "&lt;"  &amp; EOMONTH($A64,0) + 1
)</f>
        <v>0</v>
      </c>
      <c r="AJ64" s="45">
        <f ca="1">SUMIFS(rec.uni[2026-02-01],
INDIRECT("rec.uni[natureza]"),"pro.soluto",
INDIRECT("rec.uni[empresa]"),AJ$6)</f>
        <v>0</v>
      </c>
      <c r="AK64" s="45">
        <f ca="1">SUMIFS(rec.uni[2026-02-01],
INDIRECT("rec.uni[natureza]"),"repasse.cef.obra",
INDIRECT("rec.uni[empresa]"),AK$6)</f>
        <v>0</v>
      </c>
      <c r="AL64" s="45">
        <f ca="1">SUMIFS(rec.uni[2026-02-01],
INDIRECT("rec.uni[natureza]"),"repasse.cef.terreno",
INDIRECT("rec.uni[empresa]"),AL$6)</f>
        <v>0</v>
      </c>
      <c r="AM64" s="38"/>
      <c r="AN64" s="45">
        <f ca="1">SUMIFS(rec.uni[2026-02-01],
INDIRECT("rec.uni[natureza]"),"taxa.extra",
INDIRECT("rec.uni[empresa]"),AN$6)</f>
        <v>0</v>
      </c>
      <c r="AO64" s="131"/>
      <c r="AP64" s="44">
        <f>COUNTIFS(
    estq[empresa], AP$6,
    estq[Data da venda / reserva], "&gt;=" &amp; $A64,
    estq[Data da venda / reserva], "&lt;"  &amp; EOMONTH($A64,0) + 1
)</f>
        <v>0</v>
      </c>
      <c r="AQ64" s="45">
        <f ca="1">SUMIFS(rec.uni[2026-02-01],
INDIRECT("rec.uni[natureza]"),"pro.soluto",
INDIRECT("rec.uni[empresa]"),AQ$6)</f>
        <v>0</v>
      </c>
      <c r="AR64" s="45">
        <f ca="1">SUMIFS(rec.uni[2026-02-01],
INDIRECT("rec.uni[natureza]"),"repasse.cef.obra",
INDIRECT("rec.uni[empresa]"),AR$6)</f>
        <v>0</v>
      </c>
      <c r="AS64" s="45">
        <f ca="1">SUMIFS(rec.uni[2026-02-01],
INDIRECT("rec.uni[natureza]"),"repasse.cef.terreno",
INDIRECT("rec.uni[empresa]"),AS$6)</f>
        <v>0</v>
      </c>
      <c r="AT64" s="38"/>
      <c r="AU64" s="45">
        <f ca="1">SUMIFS(rec.uni[2026-02-01],
INDIRECT("rec.uni[natureza]"),"taxa.extra",
INDIRECT("rec.uni[empresa]"),AU$6)</f>
        <v>0</v>
      </c>
      <c r="AV64" s="131"/>
    </row>
    <row r="65" spans="1:48" x14ac:dyDescent="0.25">
      <c r="A65" s="43">
        <v>46082</v>
      </c>
      <c r="B65" s="44">
        <f>COUNTIFS(
    estq[empresa], B$6,
    estq[Data da venda / reserva], "&gt;=" &amp; $A65,
    estq[Data da venda / reserva], "&lt;"  &amp; EOMONTH($A65,0) + 1
)</f>
        <v>0</v>
      </c>
      <c r="C65" s="45">
        <f ca="1">SUMIFS(rec.uni[2026-03-01],
INDIRECT("rec.uni[natureza]"),"pro.soluto",
INDIRECT("rec.uni[empresa]"),C$6)</f>
        <v>0</v>
      </c>
      <c r="D65" s="45">
        <f ca="1">SUMIFS(rec.uni[2026-03-01],
INDIRECT("rec.uni[natureza]"),"repasse.cef.obra",
INDIRECT("rec.uni[empresa]"),D$6)</f>
        <v>0</v>
      </c>
      <c r="E65" s="45">
        <f ca="1">SUMIFS(rec.uni[2026-03-01],
INDIRECT("rec.uni[natureza]"),"repasse.cef.terreno",
INDIRECT("rec.uni[empresa]"),E$6)</f>
        <v>0</v>
      </c>
      <c r="F65" s="38"/>
      <c r="G65" s="45">
        <f ca="1">SUMIFS(rec.uni[2026-03-01],
INDIRECT("rec.uni[natureza]"),"taxa.extra",
INDIRECT("rec.uni[empresa]"),G$6)</f>
        <v>0</v>
      </c>
      <c r="H65" s="131"/>
      <c r="I65" s="44">
        <f>COUNTIFS(
    estq[empresa], I$6,
    estq[Data da venda / reserva], "&gt;=" &amp; $A65,
    estq[Data da venda / reserva], "&lt;"  &amp; EOMONTH($A65,0) + 1
)</f>
        <v>0</v>
      </c>
      <c r="J65" s="45">
        <f ca="1">SUMIFS(rec.uni[2026-03-01],
INDIRECT("rec.uni[natureza]"),"pro.soluto",
INDIRECT("rec.uni[empresa]"),J$6)</f>
        <v>0</v>
      </c>
      <c r="K65" s="45">
        <f ca="1">SUMIFS(rec.uni[2026-03-01],
INDIRECT("rec.uni[natureza]"),"repasse.cef.obra",
INDIRECT("rec.uni[empresa]"),K$6)</f>
        <v>0</v>
      </c>
      <c r="L65" s="45">
        <f ca="1">SUMIFS(rec.uni[2026-03-01],
INDIRECT("rec.uni[natureza]"),"repasse.cef.terreno",
INDIRECT("rec.uni[empresa]"),L$6)</f>
        <v>0</v>
      </c>
      <c r="M65" s="38"/>
      <c r="N65" s="45">
        <f ca="1">SUMIFS(rec.uni[2026-03-01],
INDIRECT("rec.uni[natureza]"),"taxa.extra",
INDIRECT("rec.uni[empresa]"),N$6)</f>
        <v>0</v>
      </c>
      <c r="O65" s="131"/>
      <c r="P65" s="44">
        <f>COUNTIFS(
    estq[empresa], P$6,
    estq[Data da venda / reserva], "&gt;=" &amp; $A65,
    estq[Data da venda / reserva], "&lt;"  &amp; EOMONTH($A65,0) + 1
)</f>
        <v>0</v>
      </c>
      <c r="Q65" s="45">
        <f ca="1">SUMIFS(rec.uni[2026-03-01],
INDIRECT("rec.uni[natureza]"),"pro.soluto",
INDIRECT("rec.uni[empresa]"),Q$6)</f>
        <v>0</v>
      </c>
      <c r="R65" s="45">
        <f ca="1">SUMIFS(rec.uni[2026-03-01],
INDIRECT("rec.uni[natureza]"),"repasse.cef.obra",
INDIRECT("rec.uni[empresa]"),R$6)</f>
        <v>0</v>
      </c>
      <c r="S65" s="45">
        <f ca="1">SUMIFS(rec.uni[2026-03-01],
INDIRECT("rec.uni[natureza]"),"repasse.cef.terreno",
INDIRECT("rec.uni[empresa]"),S$6)</f>
        <v>0</v>
      </c>
      <c r="T65" s="38"/>
      <c r="U65" s="45">
        <f ca="1">SUMIFS(rec.uni[2026-03-01],
INDIRECT("rec.uni[natureza]"),"taxa.extra",
INDIRECT("rec.uni[empresa]"),U$6)</f>
        <v>0</v>
      </c>
      <c r="V65" s="131"/>
      <c r="W65" s="44">
        <f>COUNTIFS(
    estq[empresa], W$6,
    estq[Data da venda / reserva], "&gt;=" &amp; $A65,
    estq[Data da venda / reserva], "&lt;"  &amp; EOMONTH($A65,0) + 1
)</f>
        <v>0</v>
      </c>
      <c r="X65" s="45">
        <f ca="1">SUMIFS(rec.uni[2026-03-01],
INDIRECT("rec.uni[natureza]"),"pro.soluto",
INDIRECT("rec.uni[empresa]"),X$6)</f>
        <v>0</v>
      </c>
      <c r="Y65" s="45">
        <f ca="1">SUMIFS(rec.uni[2026-03-01],
INDIRECT("rec.uni[natureza]"),"repasse.cef.obra",
INDIRECT("rec.uni[empresa]"),Y$6)</f>
        <v>0</v>
      </c>
      <c r="Z65" s="45">
        <f ca="1">SUMIFS(rec.uni[2026-03-01],
INDIRECT("rec.uni[natureza]"),"repasse.cef.terreno",
INDIRECT("rec.uni[empresa]"),Z$6)</f>
        <v>0</v>
      </c>
      <c r="AA65" s="38"/>
      <c r="AB65" s="45">
        <f ca="1">SUMIFS(rec.uni[2026-03-01],
INDIRECT("rec.uni[natureza]"),"taxa.extra",
INDIRECT("rec.uni[empresa]"),AB$6)</f>
        <v>0</v>
      </c>
      <c r="AC65" s="131"/>
      <c r="AD65" s="44">
        <f>COUNTIFS(
    estq[empresa], AD$6,
    estq[Data da venda / reserva], "&gt;=" &amp; $A65,
    estq[Data da venda / reserva], "&lt;"  &amp; EOMONTH($A65,0) + 1
)</f>
        <v>0</v>
      </c>
      <c r="AE65" s="45">
        <f ca="1">SUMIFS(rec.uni[2026-03-01],
INDIRECT("rec.uni[natureza]"),"pro.soluto",
INDIRECT("rec.uni[empresa]"),AE$6)</f>
        <v>0</v>
      </c>
      <c r="AF65" s="38">
        <f ca="1">SUMIFS(rec.uni[2026-03-01],
INDIRECT("rec.uni[natureza]"),"parcela.fin.total.ik",
INDIRECT("rec.uni[empresa]"),AF$6)</f>
        <v>0</v>
      </c>
      <c r="AG65" s="45">
        <f ca="1">SUMIFS(rec.uni[2026-03-01],
INDIRECT("rec.uni[natureza]"),"taxa.extra",
INDIRECT("rec.uni[empresa]"),AG$6)</f>
        <v>0</v>
      </c>
      <c r="AH65" s="131"/>
      <c r="AI65" s="44">
        <f>COUNTIFS(
    estq[empresa], AI$6,
    estq[Data da venda / reserva], "&gt;=" &amp; $A65,
    estq[Data da venda / reserva], "&lt;"  &amp; EOMONTH($A65,0) + 1
)</f>
        <v>0</v>
      </c>
      <c r="AJ65" s="45">
        <f ca="1">SUMIFS(rec.uni[2026-03-01],
INDIRECT("rec.uni[natureza]"),"pro.soluto",
INDIRECT("rec.uni[empresa]"),AJ$6)</f>
        <v>0</v>
      </c>
      <c r="AK65" s="45">
        <f ca="1">SUMIFS(rec.uni[2026-03-01],
INDIRECT("rec.uni[natureza]"),"repasse.cef.obra",
INDIRECT("rec.uni[empresa]"),AK$6)</f>
        <v>0</v>
      </c>
      <c r="AL65" s="45">
        <f ca="1">SUMIFS(rec.uni[2026-03-01],
INDIRECT("rec.uni[natureza]"),"repasse.cef.terreno",
INDIRECT("rec.uni[empresa]"),AL$6)</f>
        <v>0</v>
      </c>
      <c r="AM65" s="38"/>
      <c r="AN65" s="45">
        <f ca="1">SUMIFS(rec.uni[2026-03-01],
INDIRECT("rec.uni[natureza]"),"taxa.extra",
INDIRECT("rec.uni[empresa]"),AN$6)</f>
        <v>0</v>
      </c>
      <c r="AO65" s="131"/>
      <c r="AP65" s="44">
        <f>COUNTIFS(
    estq[empresa], AP$6,
    estq[Data da venda / reserva], "&gt;=" &amp; $A65,
    estq[Data da venda / reserva], "&lt;"  &amp; EOMONTH($A65,0) + 1
)</f>
        <v>0</v>
      </c>
      <c r="AQ65" s="45">
        <f ca="1">SUMIFS(rec.uni[2026-03-01],
INDIRECT("rec.uni[natureza]"),"pro.soluto",
INDIRECT("rec.uni[empresa]"),AQ$6)</f>
        <v>0</v>
      </c>
      <c r="AR65" s="45">
        <f ca="1">SUMIFS(rec.uni[2026-03-01],
INDIRECT("rec.uni[natureza]"),"repasse.cef.obra",
INDIRECT("rec.uni[empresa]"),AR$6)</f>
        <v>0</v>
      </c>
      <c r="AS65" s="45">
        <f ca="1">SUMIFS(rec.uni[2026-03-01],
INDIRECT("rec.uni[natureza]"),"repasse.cef.terreno",
INDIRECT("rec.uni[empresa]"),AS$6)</f>
        <v>0</v>
      </c>
      <c r="AT65" s="38"/>
      <c r="AU65" s="45">
        <f ca="1">SUMIFS(rec.uni[2026-03-01],
INDIRECT("rec.uni[natureza]"),"taxa.extra",
INDIRECT("rec.uni[empresa]"),AU$6)</f>
        <v>0</v>
      </c>
      <c r="AV65" s="131"/>
    </row>
    <row r="66" spans="1:48" x14ac:dyDescent="0.25">
      <c r="A66" s="43">
        <v>46113</v>
      </c>
      <c r="B66" s="44">
        <f>COUNTIFS(
    estq[empresa], B$6,
    estq[Data da venda / reserva], "&gt;=" &amp; $A66,
    estq[Data da venda / reserva], "&lt;"  &amp; EOMONTH($A66,0) + 1
)</f>
        <v>0</v>
      </c>
      <c r="C66" s="45">
        <f ca="1">SUMIFS(rec.uni[2026-04-01],
INDIRECT("rec.uni[natureza]"),"pro.soluto",
INDIRECT("rec.uni[empresa]"),C$6)</f>
        <v>0</v>
      </c>
      <c r="D66" s="45">
        <f ca="1">SUMIFS(rec.uni[2026-04-01],
INDIRECT("rec.uni[natureza]"),"repasse.cef.obra",
INDIRECT("rec.uni[empresa]"),D$6)</f>
        <v>0</v>
      </c>
      <c r="E66" s="45">
        <f ca="1">SUMIFS(rec.uni[2026-04-01],
INDIRECT("rec.uni[natureza]"),"repasse.cef.terreno",
INDIRECT("rec.uni[empresa]"),E$6)</f>
        <v>0</v>
      </c>
      <c r="F66" s="38"/>
      <c r="G66" s="45">
        <f ca="1">SUMIFS(rec.uni[2026-04-01],
INDIRECT("rec.uni[natureza]"),"taxa.extra",
INDIRECT("rec.uni[empresa]"),G$6)</f>
        <v>0</v>
      </c>
      <c r="H66" s="131"/>
      <c r="I66" s="44">
        <f>COUNTIFS(
    estq[empresa], I$6,
    estq[Data da venda / reserva], "&gt;=" &amp; $A66,
    estq[Data da venda / reserva], "&lt;"  &amp; EOMONTH($A66,0) + 1
)</f>
        <v>0</v>
      </c>
      <c r="J66" s="45">
        <f ca="1">SUMIFS(rec.uni[2026-04-01],
INDIRECT("rec.uni[natureza]"),"pro.soluto",
INDIRECT("rec.uni[empresa]"),J$6)</f>
        <v>0</v>
      </c>
      <c r="K66" s="45">
        <f ca="1">SUMIFS(rec.uni[2026-04-01],
INDIRECT("rec.uni[natureza]"),"repasse.cef.obra",
INDIRECT("rec.uni[empresa]"),K$6)</f>
        <v>0</v>
      </c>
      <c r="L66" s="45">
        <f ca="1">SUMIFS(rec.uni[2026-04-01],
INDIRECT("rec.uni[natureza]"),"repasse.cef.terreno",
INDIRECT("rec.uni[empresa]"),L$6)</f>
        <v>0</v>
      </c>
      <c r="M66" s="38"/>
      <c r="N66" s="45">
        <f ca="1">SUMIFS(rec.uni[2026-04-01],
INDIRECT("rec.uni[natureza]"),"taxa.extra",
INDIRECT("rec.uni[empresa]"),N$6)</f>
        <v>0</v>
      </c>
      <c r="O66" s="131"/>
      <c r="P66" s="44">
        <f>COUNTIFS(
    estq[empresa], P$6,
    estq[Data da venda / reserva], "&gt;=" &amp; $A66,
    estq[Data da venda / reserva], "&lt;"  &amp; EOMONTH($A66,0) + 1
)</f>
        <v>0</v>
      </c>
      <c r="Q66" s="45">
        <f ca="1">SUMIFS(rec.uni[2026-04-01],
INDIRECT("rec.uni[natureza]"),"pro.soluto",
INDIRECT("rec.uni[empresa]"),Q$6)</f>
        <v>0</v>
      </c>
      <c r="R66" s="45">
        <f ca="1">SUMIFS(rec.uni[2026-04-01],
INDIRECT("rec.uni[natureza]"),"repasse.cef.obra",
INDIRECT("rec.uni[empresa]"),R$6)</f>
        <v>0</v>
      </c>
      <c r="S66" s="45">
        <f ca="1">SUMIFS(rec.uni[2026-04-01],
INDIRECT("rec.uni[natureza]"),"repasse.cef.terreno",
INDIRECT("rec.uni[empresa]"),S$6)</f>
        <v>0</v>
      </c>
      <c r="T66" s="38"/>
      <c r="U66" s="45">
        <f ca="1">SUMIFS(rec.uni[2026-04-01],
INDIRECT("rec.uni[natureza]"),"taxa.extra",
INDIRECT("rec.uni[empresa]"),U$6)</f>
        <v>0</v>
      </c>
      <c r="V66" s="131"/>
      <c r="W66" s="44">
        <f>COUNTIFS(
    estq[empresa], W$6,
    estq[Data da venda / reserva], "&gt;=" &amp; $A66,
    estq[Data da venda / reserva], "&lt;"  &amp; EOMONTH($A66,0) + 1
)</f>
        <v>0</v>
      </c>
      <c r="X66" s="45">
        <f ca="1">SUMIFS(rec.uni[2026-04-01],
INDIRECT("rec.uni[natureza]"),"pro.soluto",
INDIRECT("rec.uni[empresa]"),X$6)</f>
        <v>0</v>
      </c>
      <c r="Y66" s="45">
        <f ca="1">SUMIFS(rec.uni[2026-04-01],
INDIRECT("rec.uni[natureza]"),"repasse.cef.obra",
INDIRECT("rec.uni[empresa]"),Y$6)</f>
        <v>0</v>
      </c>
      <c r="Z66" s="45">
        <f ca="1">SUMIFS(rec.uni[2026-04-01],
INDIRECT("rec.uni[natureza]"),"repasse.cef.terreno",
INDIRECT("rec.uni[empresa]"),Z$6)</f>
        <v>0</v>
      </c>
      <c r="AA66" s="38"/>
      <c r="AB66" s="45">
        <f ca="1">SUMIFS(rec.uni[2026-04-01],
INDIRECT("rec.uni[natureza]"),"taxa.extra",
INDIRECT("rec.uni[empresa]"),AB$6)</f>
        <v>0</v>
      </c>
      <c r="AC66" s="131"/>
      <c r="AD66" s="44">
        <f>COUNTIFS(
    estq[empresa], AD$6,
    estq[Data da venda / reserva], "&gt;=" &amp; $A66,
    estq[Data da venda / reserva], "&lt;"  &amp; EOMONTH($A66,0) + 1
)</f>
        <v>0</v>
      </c>
      <c r="AE66" s="45">
        <f ca="1">SUMIFS(rec.uni[2026-04-01],
INDIRECT("rec.uni[natureza]"),"pro.soluto",
INDIRECT("rec.uni[empresa]"),AE$6)</f>
        <v>0</v>
      </c>
      <c r="AF66" s="38">
        <f ca="1">SUMIFS(rec.uni[2026-04-01],
INDIRECT("rec.uni[natureza]"),"parcela.fin.total.ik",
INDIRECT("rec.uni[empresa]"),AF$6)</f>
        <v>0</v>
      </c>
      <c r="AG66" s="45">
        <f ca="1">SUMIFS(rec.uni[2026-04-01],
INDIRECT("rec.uni[natureza]"),"taxa.extra",
INDIRECT("rec.uni[empresa]"),AG$6)</f>
        <v>0</v>
      </c>
      <c r="AH66" s="131"/>
      <c r="AI66" s="44">
        <f>COUNTIFS(
    estq[empresa], AI$6,
    estq[Data da venda / reserva], "&gt;=" &amp; $A66,
    estq[Data da venda / reserva], "&lt;"  &amp; EOMONTH($A66,0) + 1
)</f>
        <v>0</v>
      </c>
      <c r="AJ66" s="45">
        <f ca="1">SUMIFS(rec.uni[2026-04-01],
INDIRECT("rec.uni[natureza]"),"pro.soluto",
INDIRECT("rec.uni[empresa]"),AJ$6)</f>
        <v>0</v>
      </c>
      <c r="AK66" s="45">
        <f ca="1">SUMIFS(rec.uni[2026-04-01],
INDIRECT("rec.uni[natureza]"),"repasse.cef.obra",
INDIRECT("rec.uni[empresa]"),AK$6)</f>
        <v>0</v>
      </c>
      <c r="AL66" s="45">
        <f ca="1">SUMIFS(rec.uni[2026-04-01],
INDIRECT("rec.uni[natureza]"),"repasse.cef.terreno",
INDIRECT("rec.uni[empresa]"),AL$6)</f>
        <v>0</v>
      </c>
      <c r="AM66" s="38"/>
      <c r="AN66" s="45">
        <f ca="1">SUMIFS(rec.uni[2026-04-01],
INDIRECT("rec.uni[natureza]"),"taxa.extra",
INDIRECT("rec.uni[empresa]"),AN$6)</f>
        <v>0</v>
      </c>
      <c r="AO66" s="131"/>
      <c r="AP66" s="44">
        <f>COUNTIFS(
    estq[empresa], AP$6,
    estq[Data da venda / reserva], "&gt;=" &amp; $A66,
    estq[Data da venda / reserva], "&lt;"  &amp; EOMONTH($A66,0) + 1
)</f>
        <v>0</v>
      </c>
      <c r="AQ66" s="45">
        <f ca="1">SUMIFS(rec.uni[2026-04-01],
INDIRECT("rec.uni[natureza]"),"pro.soluto",
INDIRECT("rec.uni[empresa]"),AQ$6)</f>
        <v>0</v>
      </c>
      <c r="AR66" s="45">
        <f ca="1">SUMIFS(rec.uni[2026-04-01],
INDIRECT("rec.uni[natureza]"),"repasse.cef.obra",
INDIRECT("rec.uni[empresa]"),AR$6)</f>
        <v>0</v>
      </c>
      <c r="AS66" s="45">
        <f ca="1">SUMIFS(rec.uni[2026-04-01],
INDIRECT("rec.uni[natureza]"),"repasse.cef.terreno",
INDIRECT("rec.uni[empresa]"),AS$6)</f>
        <v>0</v>
      </c>
      <c r="AT66" s="38"/>
      <c r="AU66" s="45">
        <f ca="1">SUMIFS(rec.uni[2026-04-01],
INDIRECT("rec.uni[natureza]"),"taxa.extra",
INDIRECT("rec.uni[empresa]"),AU$6)</f>
        <v>0</v>
      </c>
      <c r="AV66" s="131"/>
    </row>
    <row r="67" spans="1:48" x14ac:dyDescent="0.25">
      <c r="A67" s="43">
        <v>46143</v>
      </c>
      <c r="B67" s="44">
        <f>COUNTIFS(
    estq[empresa], B$6,
    estq[Data da venda / reserva], "&gt;=" &amp; $A67,
    estq[Data da venda / reserva], "&lt;"  &amp; EOMONTH($A67,0) + 1
)</f>
        <v>0</v>
      </c>
      <c r="C67" s="45">
        <f ca="1">SUMIFS(rec.uni[2026-05-01],
INDIRECT("rec.uni[natureza]"),"pro.soluto",
INDIRECT("rec.uni[empresa]"),C$6)</f>
        <v>0</v>
      </c>
      <c r="D67" s="45">
        <f ca="1">SUMIFS(rec.uni[2026-05-01],
INDIRECT("rec.uni[natureza]"),"repasse.cef.obra",
INDIRECT("rec.uni[empresa]"),D$6)</f>
        <v>0</v>
      </c>
      <c r="E67" s="45">
        <f ca="1">SUMIFS(rec.uni[2026-05-01],
INDIRECT("rec.uni[natureza]"),"repasse.cef.terreno",
INDIRECT("rec.uni[empresa]"),E$6)</f>
        <v>0</v>
      </c>
      <c r="F67" s="38"/>
      <c r="G67" s="45">
        <f ca="1">SUMIFS(rec.uni[2026-05-01],
INDIRECT("rec.uni[natureza]"),"taxa.extra",
INDIRECT("rec.uni[empresa]"),G$6)</f>
        <v>0</v>
      </c>
      <c r="H67" s="131"/>
      <c r="I67" s="44">
        <f>COUNTIFS(
    estq[empresa], I$6,
    estq[Data da venda / reserva], "&gt;=" &amp; $A67,
    estq[Data da venda / reserva], "&lt;"  &amp; EOMONTH($A67,0) + 1
)</f>
        <v>0</v>
      </c>
      <c r="J67" s="45">
        <f ca="1">SUMIFS(rec.uni[2026-05-01],
INDIRECT("rec.uni[natureza]"),"pro.soluto",
INDIRECT("rec.uni[empresa]"),J$6)</f>
        <v>0</v>
      </c>
      <c r="K67" s="45">
        <f ca="1">SUMIFS(rec.uni[2026-05-01],
INDIRECT("rec.uni[natureza]"),"repasse.cef.obra",
INDIRECT("rec.uni[empresa]"),K$6)</f>
        <v>0</v>
      </c>
      <c r="L67" s="45">
        <f ca="1">SUMIFS(rec.uni[2026-05-01],
INDIRECT("rec.uni[natureza]"),"repasse.cef.terreno",
INDIRECT("rec.uni[empresa]"),L$6)</f>
        <v>0</v>
      </c>
      <c r="M67" s="38"/>
      <c r="N67" s="45">
        <f ca="1">SUMIFS(rec.uni[2026-05-01],
INDIRECT("rec.uni[natureza]"),"taxa.extra",
INDIRECT("rec.uni[empresa]"),N$6)</f>
        <v>0</v>
      </c>
      <c r="O67" s="131"/>
      <c r="P67" s="44">
        <f>COUNTIFS(
    estq[empresa], P$6,
    estq[Data da venda / reserva], "&gt;=" &amp; $A67,
    estq[Data da venda / reserva], "&lt;"  &amp; EOMONTH($A67,0) + 1
)</f>
        <v>0</v>
      </c>
      <c r="Q67" s="45">
        <f ca="1">SUMIFS(rec.uni[2026-05-01],
INDIRECT("rec.uni[natureza]"),"pro.soluto",
INDIRECT("rec.uni[empresa]"),Q$6)</f>
        <v>0</v>
      </c>
      <c r="R67" s="45">
        <f ca="1">SUMIFS(rec.uni[2026-05-01],
INDIRECT("rec.uni[natureza]"),"repasse.cef.obra",
INDIRECT("rec.uni[empresa]"),R$6)</f>
        <v>0</v>
      </c>
      <c r="S67" s="45">
        <f ca="1">SUMIFS(rec.uni[2026-05-01],
INDIRECT("rec.uni[natureza]"),"repasse.cef.terreno",
INDIRECT("rec.uni[empresa]"),S$6)</f>
        <v>0</v>
      </c>
      <c r="T67" s="38"/>
      <c r="U67" s="45">
        <f ca="1">SUMIFS(rec.uni[2026-05-01],
INDIRECT("rec.uni[natureza]"),"taxa.extra",
INDIRECT("rec.uni[empresa]"),U$6)</f>
        <v>0</v>
      </c>
      <c r="V67" s="131"/>
      <c r="W67" s="44">
        <f>COUNTIFS(
    estq[empresa], W$6,
    estq[Data da venda / reserva], "&gt;=" &amp; $A67,
    estq[Data da venda / reserva], "&lt;"  &amp; EOMONTH($A67,0) + 1
)</f>
        <v>0</v>
      </c>
      <c r="X67" s="45">
        <f ca="1">SUMIFS(rec.uni[2026-05-01],
INDIRECT("rec.uni[natureza]"),"pro.soluto",
INDIRECT("rec.uni[empresa]"),X$6)</f>
        <v>0</v>
      </c>
      <c r="Y67" s="45">
        <f ca="1">SUMIFS(rec.uni[2026-05-01],
INDIRECT("rec.uni[natureza]"),"repasse.cef.obra",
INDIRECT("rec.uni[empresa]"),Y$6)</f>
        <v>0</v>
      </c>
      <c r="Z67" s="45">
        <f ca="1">SUMIFS(rec.uni[2026-05-01],
INDIRECT("rec.uni[natureza]"),"repasse.cef.terreno",
INDIRECT("rec.uni[empresa]"),Z$6)</f>
        <v>0</v>
      </c>
      <c r="AA67" s="38"/>
      <c r="AB67" s="45">
        <f ca="1">SUMIFS(rec.uni[2026-05-01],
INDIRECT("rec.uni[natureza]"),"taxa.extra",
INDIRECT("rec.uni[empresa]"),AB$6)</f>
        <v>0</v>
      </c>
      <c r="AC67" s="131"/>
      <c r="AD67" s="44">
        <f>COUNTIFS(
    estq[empresa], AD$6,
    estq[Data da venda / reserva], "&gt;=" &amp; $A67,
    estq[Data da venda / reserva], "&lt;"  &amp; EOMONTH($A67,0) + 1
)</f>
        <v>0</v>
      </c>
      <c r="AE67" s="45">
        <f ca="1">SUMIFS(rec.uni[2026-05-01],
INDIRECT("rec.uni[natureza]"),"pro.soluto",
INDIRECT("rec.uni[empresa]"),AE$6)</f>
        <v>0</v>
      </c>
      <c r="AF67" s="38">
        <f ca="1">SUMIFS(rec.uni[2026-05-01],
INDIRECT("rec.uni[natureza]"),"parcela.fin.total.ik",
INDIRECT("rec.uni[empresa]"),AF$6)</f>
        <v>0</v>
      </c>
      <c r="AG67" s="45">
        <f ca="1">SUMIFS(rec.uni[2026-05-01],
INDIRECT("rec.uni[natureza]"),"taxa.extra",
INDIRECT("rec.uni[empresa]"),AG$6)</f>
        <v>0</v>
      </c>
      <c r="AH67" s="131"/>
      <c r="AI67" s="44">
        <f>COUNTIFS(
    estq[empresa], AI$6,
    estq[Data da venda / reserva], "&gt;=" &amp; $A67,
    estq[Data da venda / reserva], "&lt;"  &amp; EOMONTH($A67,0) + 1
)</f>
        <v>0</v>
      </c>
      <c r="AJ67" s="45">
        <f ca="1">SUMIFS(rec.uni[2026-05-01],
INDIRECT("rec.uni[natureza]"),"pro.soluto",
INDIRECT("rec.uni[empresa]"),AJ$6)</f>
        <v>0</v>
      </c>
      <c r="AK67" s="45">
        <f ca="1">SUMIFS(rec.uni[2026-05-01],
INDIRECT("rec.uni[natureza]"),"repasse.cef.obra",
INDIRECT("rec.uni[empresa]"),AK$6)</f>
        <v>0</v>
      </c>
      <c r="AL67" s="45">
        <f ca="1">SUMIFS(rec.uni[2026-05-01],
INDIRECT("rec.uni[natureza]"),"repasse.cef.terreno",
INDIRECT("rec.uni[empresa]"),AL$6)</f>
        <v>0</v>
      </c>
      <c r="AM67" s="38"/>
      <c r="AN67" s="45">
        <f ca="1">SUMIFS(rec.uni[2026-05-01],
INDIRECT("rec.uni[natureza]"),"taxa.extra",
INDIRECT("rec.uni[empresa]"),AN$6)</f>
        <v>0</v>
      </c>
      <c r="AO67" s="131"/>
      <c r="AP67" s="44">
        <f>COUNTIFS(
    estq[empresa], AP$6,
    estq[Data da venda / reserva], "&gt;=" &amp; $A67,
    estq[Data da venda / reserva], "&lt;"  &amp; EOMONTH($A67,0) + 1
)</f>
        <v>0</v>
      </c>
      <c r="AQ67" s="45">
        <f ca="1">SUMIFS(rec.uni[2026-05-01],
INDIRECT("rec.uni[natureza]"),"pro.soluto",
INDIRECT("rec.uni[empresa]"),AQ$6)</f>
        <v>0</v>
      </c>
      <c r="AR67" s="45">
        <f ca="1">SUMIFS(rec.uni[2026-05-01],
INDIRECT("rec.uni[natureza]"),"repasse.cef.obra",
INDIRECT("rec.uni[empresa]"),AR$6)</f>
        <v>0</v>
      </c>
      <c r="AS67" s="45">
        <f ca="1">SUMIFS(rec.uni[2026-05-01],
INDIRECT("rec.uni[natureza]"),"repasse.cef.terreno",
INDIRECT("rec.uni[empresa]"),AS$6)</f>
        <v>0</v>
      </c>
      <c r="AT67" s="38"/>
      <c r="AU67" s="45">
        <f ca="1">SUMIFS(rec.uni[2026-05-01],
INDIRECT("rec.uni[natureza]"),"taxa.extra",
INDIRECT("rec.uni[empresa]"),AU$6)</f>
        <v>0</v>
      </c>
      <c r="AV67" s="131"/>
    </row>
    <row r="68" spans="1:48" x14ac:dyDescent="0.25">
      <c r="A68" s="43">
        <v>46174</v>
      </c>
      <c r="B68" s="44">
        <f>COUNTIFS(
    estq[empresa], B$6,
    estq[Data da venda / reserva], "&gt;=" &amp; $A68,
    estq[Data da venda / reserva], "&lt;"  &amp; EOMONTH($A68,0) + 1
)</f>
        <v>0</v>
      </c>
      <c r="C68" s="45">
        <f ca="1">SUMIFS(rec.uni[2026-06-01],
INDIRECT("rec.uni[natureza]"),"pro.soluto",
INDIRECT("rec.uni[empresa]"),C$6)</f>
        <v>0</v>
      </c>
      <c r="D68" s="45">
        <f ca="1">SUMIFS(rec.uni[2026-06-01],
INDIRECT("rec.uni[natureza]"),"repasse.cef.obra",
INDIRECT("rec.uni[empresa]"),D$6)</f>
        <v>0</v>
      </c>
      <c r="E68" s="45">
        <f ca="1">SUMIFS(rec.uni[2026-06-01],
INDIRECT("rec.uni[natureza]"),"repasse.cef.terreno",
INDIRECT("rec.uni[empresa]"),E$6)</f>
        <v>0</v>
      </c>
      <c r="F68" s="38"/>
      <c r="G68" s="45">
        <f ca="1">SUMIFS(rec.uni[2026-06-01],
INDIRECT("rec.uni[natureza]"),"taxa.extra",
INDIRECT("rec.uni[empresa]"),G$6)</f>
        <v>0</v>
      </c>
      <c r="H68" s="131"/>
      <c r="I68" s="44">
        <f>COUNTIFS(
    estq[empresa], I$6,
    estq[Data da venda / reserva], "&gt;=" &amp; $A68,
    estq[Data da venda / reserva], "&lt;"  &amp; EOMONTH($A68,0) + 1
)</f>
        <v>0</v>
      </c>
      <c r="J68" s="45">
        <f ca="1">SUMIFS(rec.uni[2026-06-01],
INDIRECT("rec.uni[natureza]"),"pro.soluto",
INDIRECT("rec.uni[empresa]"),J$6)</f>
        <v>0</v>
      </c>
      <c r="K68" s="45">
        <f ca="1">SUMIFS(rec.uni[2026-06-01],
INDIRECT("rec.uni[natureza]"),"repasse.cef.obra",
INDIRECT("rec.uni[empresa]"),K$6)</f>
        <v>0</v>
      </c>
      <c r="L68" s="45">
        <f ca="1">SUMIFS(rec.uni[2026-06-01],
INDIRECT("rec.uni[natureza]"),"repasse.cef.terreno",
INDIRECT("rec.uni[empresa]"),L$6)</f>
        <v>0</v>
      </c>
      <c r="M68" s="38"/>
      <c r="N68" s="45">
        <f ca="1">SUMIFS(rec.uni[2026-06-01],
INDIRECT("rec.uni[natureza]"),"taxa.extra",
INDIRECT("rec.uni[empresa]"),N$6)</f>
        <v>0</v>
      </c>
      <c r="O68" s="131"/>
      <c r="P68" s="44">
        <f>COUNTIFS(
    estq[empresa], P$6,
    estq[Data da venda / reserva], "&gt;=" &amp; $A68,
    estq[Data da venda / reserva], "&lt;"  &amp; EOMONTH($A68,0) + 1
)</f>
        <v>0</v>
      </c>
      <c r="Q68" s="45">
        <f ca="1">SUMIFS(rec.uni[2026-06-01],
INDIRECT("rec.uni[natureza]"),"pro.soluto",
INDIRECT("rec.uni[empresa]"),Q$6)</f>
        <v>0</v>
      </c>
      <c r="R68" s="45">
        <f ca="1">SUMIFS(rec.uni[2026-06-01],
INDIRECT("rec.uni[natureza]"),"repasse.cef.obra",
INDIRECT("rec.uni[empresa]"),R$6)</f>
        <v>0</v>
      </c>
      <c r="S68" s="45">
        <f ca="1">SUMIFS(rec.uni[2026-06-01],
INDIRECT("rec.uni[natureza]"),"repasse.cef.terreno",
INDIRECT("rec.uni[empresa]"),S$6)</f>
        <v>0</v>
      </c>
      <c r="T68" s="38"/>
      <c r="U68" s="45">
        <f ca="1">SUMIFS(rec.uni[2026-06-01],
INDIRECT("rec.uni[natureza]"),"taxa.extra",
INDIRECT("rec.uni[empresa]"),U$6)</f>
        <v>0</v>
      </c>
      <c r="V68" s="131"/>
      <c r="W68" s="44">
        <f>COUNTIFS(
    estq[empresa], W$6,
    estq[Data da venda / reserva], "&gt;=" &amp; $A68,
    estq[Data da venda / reserva], "&lt;"  &amp; EOMONTH($A68,0) + 1
)</f>
        <v>0</v>
      </c>
      <c r="X68" s="45">
        <f ca="1">SUMIFS(rec.uni[2026-06-01],
INDIRECT("rec.uni[natureza]"),"pro.soluto",
INDIRECT("rec.uni[empresa]"),X$6)</f>
        <v>0</v>
      </c>
      <c r="Y68" s="45">
        <f ca="1">SUMIFS(rec.uni[2026-06-01],
INDIRECT("rec.uni[natureza]"),"repasse.cef.obra",
INDIRECT("rec.uni[empresa]"),Y$6)</f>
        <v>0</v>
      </c>
      <c r="Z68" s="45">
        <f ca="1">SUMIFS(rec.uni[2026-06-01],
INDIRECT("rec.uni[natureza]"),"repasse.cef.terreno",
INDIRECT("rec.uni[empresa]"),Z$6)</f>
        <v>0</v>
      </c>
      <c r="AA68" s="38"/>
      <c r="AB68" s="45">
        <f ca="1">SUMIFS(rec.uni[2026-06-01],
INDIRECT("rec.uni[natureza]"),"taxa.extra",
INDIRECT("rec.uni[empresa]"),AB$6)</f>
        <v>0</v>
      </c>
      <c r="AC68" s="131"/>
      <c r="AD68" s="44">
        <f>COUNTIFS(
    estq[empresa], AD$6,
    estq[Data da venda / reserva], "&gt;=" &amp; $A68,
    estq[Data da venda / reserva], "&lt;"  &amp; EOMONTH($A68,0) + 1
)</f>
        <v>0</v>
      </c>
      <c r="AE68" s="45">
        <f ca="1">SUMIFS(rec.uni[2026-06-01],
INDIRECT("rec.uni[natureza]"),"pro.soluto",
INDIRECT("rec.uni[empresa]"),AE$6)</f>
        <v>0</v>
      </c>
      <c r="AF68" s="38">
        <f ca="1">SUMIFS(rec.uni[2026-06-01],
INDIRECT("rec.uni[natureza]"),"parcela.fin.total.ik",
INDIRECT("rec.uni[empresa]"),AF$6)</f>
        <v>0</v>
      </c>
      <c r="AG68" s="45">
        <f ca="1">SUMIFS(rec.uni[2026-06-01],
INDIRECT("rec.uni[natureza]"),"taxa.extra",
INDIRECT("rec.uni[empresa]"),AG$6)</f>
        <v>0</v>
      </c>
      <c r="AH68" s="131"/>
      <c r="AI68" s="44">
        <f>COUNTIFS(
    estq[empresa], AI$6,
    estq[Data da venda / reserva], "&gt;=" &amp; $A68,
    estq[Data da venda / reserva], "&lt;"  &amp; EOMONTH($A68,0) + 1
)</f>
        <v>0</v>
      </c>
      <c r="AJ68" s="45">
        <f ca="1">SUMIFS(rec.uni[2026-06-01],
INDIRECT("rec.uni[natureza]"),"pro.soluto",
INDIRECT("rec.uni[empresa]"),AJ$6)</f>
        <v>0</v>
      </c>
      <c r="AK68" s="45">
        <f ca="1">SUMIFS(rec.uni[2026-06-01],
INDIRECT("rec.uni[natureza]"),"repasse.cef.obra",
INDIRECT("rec.uni[empresa]"),AK$6)</f>
        <v>0</v>
      </c>
      <c r="AL68" s="45">
        <f ca="1">SUMIFS(rec.uni[2026-06-01],
INDIRECT("rec.uni[natureza]"),"repasse.cef.terreno",
INDIRECT("rec.uni[empresa]"),AL$6)</f>
        <v>0</v>
      </c>
      <c r="AM68" s="38"/>
      <c r="AN68" s="45">
        <f ca="1">SUMIFS(rec.uni[2026-06-01],
INDIRECT("rec.uni[natureza]"),"taxa.extra",
INDIRECT("rec.uni[empresa]"),AN$6)</f>
        <v>0</v>
      </c>
      <c r="AO68" s="131"/>
      <c r="AP68" s="44">
        <f>COUNTIFS(
    estq[empresa], AP$6,
    estq[Data da venda / reserva], "&gt;=" &amp; $A68,
    estq[Data da venda / reserva], "&lt;"  &amp; EOMONTH($A68,0) + 1
)</f>
        <v>0</v>
      </c>
      <c r="AQ68" s="45">
        <f ca="1">SUMIFS(rec.uni[2026-06-01],
INDIRECT("rec.uni[natureza]"),"pro.soluto",
INDIRECT("rec.uni[empresa]"),AQ$6)</f>
        <v>0</v>
      </c>
      <c r="AR68" s="45">
        <f ca="1">SUMIFS(rec.uni[2026-06-01],
INDIRECT("rec.uni[natureza]"),"repasse.cef.obra",
INDIRECT("rec.uni[empresa]"),AR$6)</f>
        <v>0</v>
      </c>
      <c r="AS68" s="45">
        <f ca="1">SUMIFS(rec.uni[2026-06-01],
INDIRECT("rec.uni[natureza]"),"repasse.cef.terreno",
INDIRECT("rec.uni[empresa]"),AS$6)</f>
        <v>0</v>
      </c>
      <c r="AT68" s="38"/>
      <c r="AU68" s="45">
        <f ca="1">SUMIFS(rec.uni[2026-06-01],
INDIRECT("rec.uni[natureza]"),"taxa.extra",
INDIRECT("rec.uni[empresa]"),AU$6)</f>
        <v>0</v>
      </c>
      <c r="AV68" s="131"/>
    </row>
    <row r="69" spans="1:48" x14ac:dyDescent="0.25">
      <c r="A69" s="43">
        <v>46204</v>
      </c>
      <c r="B69" s="44">
        <f>COUNTIFS(
    estq[empresa], B$6,
    estq[Data da venda / reserva], "&gt;=" &amp; $A69,
    estq[Data da venda / reserva], "&lt;"  &amp; EOMONTH($A69,0) + 1
)</f>
        <v>0</v>
      </c>
      <c r="C69" s="45">
        <f ca="1">SUMIFS(rec.uni[2026-07-01],
INDIRECT("rec.uni[natureza]"),"pro.soluto",
INDIRECT("rec.uni[empresa]"),C$6)</f>
        <v>0</v>
      </c>
      <c r="D69" s="45">
        <f ca="1">SUMIFS(rec.uni[2026-07-01],
INDIRECT("rec.uni[natureza]"),"repasse.cef.obra",
INDIRECT("rec.uni[empresa]"),D$6)</f>
        <v>0</v>
      </c>
      <c r="E69" s="45">
        <f ca="1">SUMIFS(rec.uni[2026-07-01],
INDIRECT("rec.uni[natureza]"),"repasse.cef.terreno",
INDIRECT("rec.uni[empresa]"),E$6)</f>
        <v>0</v>
      </c>
      <c r="F69" s="38"/>
      <c r="G69" s="45">
        <f ca="1">SUMIFS(rec.uni[2026-07-01],
INDIRECT("rec.uni[natureza]"),"taxa.extra",
INDIRECT("rec.uni[empresa]"),G$6)</f>
        <v>0</v>
      </c>
      <c r="H69" s="131"/>
      <c r="I69" s="44">
        <f>COUNTIFS(
    estq[empresa], I$6,
    estq[Data da venda / reserva], "&gt;=" &amp; $A69,
    estq[Data da venda / reserva], "&lt;"  &amp; EOMONTH($A69,0) + 1
)</f>
        <v>0</v>
      </c>
      <c r="J69" s="45">
        <f ca="1">SUMIFS(rec.uni[2026-07-01],
INDIRECT("rec.uni[natureza]"),"pro.soluto",
INDIRECT("rec.uni[empresa]"),J$6)</f>
        <v>0</v>
      </c>
      <c r="K69" s="45">
        <f ca="1">SUMIFS(rec.uni[2026-07-01],
INDIRECT("rec.uni[natureza]"),"repasse.cef.obra",
INDIRECT("rec.uni[empresa]"),K$6)</f>
        <v>0</v>
      </c>
      <c r="L69" s="45">
        <f ca="1">SUMIFS(rec.uni[2026-07-01],
INDIRECT("rec.uni[natureza]"),"repasse.cef.terreno",
INDIRECT("rec.uni[empresa]"),L$6)</f>
        <v>0</v>
      </c>
      <c r="M69" s="38"/>
      <c r="N69" s="45">
        <f ca="1">SUMIFS(rec.uni[2026-07-01],
INDIRECT("rec.uni[natureza]"),"taxa.extra",
INDIRECT("rec.uni[empresa]"),N$6)</f>
        <v>0</v>
      </c>
      <c r="O69" s="131"/>
      <c r="P69" s="44">
        <f>COUNTIFS(
    estq[empresa], P$6,
    estq[Data da venda / reserva], "&gt;=" &amp; $A69,
    estq[Data da venda / reserva], "&lt;"  &amp; EOMONTH($A69,0) + 1
)</f>
        <v>0</v>
      </c>
      <c r="Q69" s="45">
        <f ca="1">SUMIFS(rec.uni[2026-07-01],
INDIRECT("rec.uni[natureza]"),"pro.soluto",
INDIRECT("rec.uni[empresa]"),Q$6)</f>
        <v>0</v>
      </c>
      <c r="R69" s="45">
        <f ca="1">SUMIFS(rec.uni[2026-07-01],
INDIRECT("rec.uni[natureza]"),"repasse.cef.obra",
INDIRECT("rec.uni[empresa]"),R$6)</f>
        <v>0</v>
      </c>
      <c r="S69" s="45">
        <f ca="1">SUMIFS(rec.uni[2026-07-01],
INDIRECT("rec.uni[natureza]"),"repasse.cef.terreno",
INDIRECT("rec.uni[empresa]"),S$6)</f>
        <v>0</v>
      </c>
      <c r="T69" s="38"/>
      <c r="U69" s="45">
        <f ca="1">SUMIFS(rec.uni[2026-07-01],
INDIRECT("rec.uni[natureza]"),"taxa.extra",
INDIRECT("rec.uni[empresa]"),U$6)</f>
        <v>0</v>
      </c>
      <c r="V69" s="131"/>
      <c r="W69" s="44">
        <f>COUNTIFS(
    estq[empresa], W$6,
    estq[Data da venda / reserva], "&gt;=" &amp; $A69,
    estq[Data da venda / reserva], "&lt;"  &amp; EOMONTH($A69,0) + 1
)</f>
        <v>0</v>
      </c>
      <c r="X69" s="45">
        <f ca="1">SUMIFS(rec.uni[2026-07-01],
INDIRECT("rec.uni[natureza]"),"pro.soluto",
INDIRECT("rec.uni[empresa]"),X$6)</f>
        <v>0</v>
      </c>
      <c r="Y69" s="45">
        <f ca="1">SUMIFS(rec.uni[2026-07-01],
INDIRECT("rec.uni[natureza]"),"repasse.cef.obra",
INDIRECT("rec.uni[empresa]"),Y$6)</f>
        <v>0</v>
      </c>
      <c r="Z69" s="45">
        <f ca="1">SUMIFS(rec.uni[2026-07-01],
INDIRECT("rec.uni[natureza]"),"repasse.cef.terreno",
INDIRECT("rec.uni[empresa]"),Z$6)</f>
        <v>0</v>
      </c>
      <c r="AA69" s="38"/>
      <c r="AB69" s="45">
        <f ca="1">SUMIFS(rec.uni[2026-07-01],
INDIRECT("rec.uni[natureza]"),"taxa.extra",
INDIRECT("rec.uni[empresa]"),AB$6)</f>
        <v>0</v>
      </c>
      <c r="AC69" s="131"/>
      <c r="AD69" s="44">
        <f>COUNTIFS(
    estq[empresa], AD$6,
    estq[Data da venda / reserva], "&gt;=" &amp; $A69,
    estq[Data da venda / reserva], "&lt;"  &amp; EOMONTH($A69,0) + 1
)</f>
        <v>0</v>
      </c>
      <c r="AE69" s="45">
        <f ca="1">SUMIFS(rec.uni[2026-07-01],
INDIRECT("rec.uni[natureza]"),"pro.soluto",
INDIRECT("rec.uni[empresa]"),AE$6)</f>
        <v>0</v>
      </c>
      <c r="AF69" s="38">
        <f ca="1">SUMIFS(rec.uni[2026-07-01],
INDIRECT("rec.uni[natureza]"),"parcela.fin.total.ik",
INDIRECT("rec.uni[empresa]"),AF$6)</f>
        <v>0</v>
      </c>
      <c r="AG69" s="45">
        <f ca="1">SUMIFS(rec.uni[2026-07-01],
INDIRECT("rec.uni[natureza]"),"taxa.extra",
INDIRECT("rec.uni[empresa]"),AG$6)</f>
        <v>0</v>
      </c>
      <c r="AH69" s="131"/>
      <c r="AI69" s="44">
        <f>COUNTIFS(
    estq[empresa], AI$6,
    estq[Data da venda / reserva], "&gt;=" &amp; $A69,
    estq[Data da venda / reserva], "&lt;"  &amp; EOMONTH($A69,0) + 1
)</f>
        <v>0</v>
      </c>
      <c r="AJ69" s="45">
        <f ca="1">SUMIFS(rec.uni[2026-07-01],
INDIRECT("rec.uni[natureza]"),"pro.soluto",
INDIRECT("rec.uni[empresa]"),AJ$6)</f>
        <v>0</v>
      </c>
      <c r="AK69" s="45">
        <f ca="1">SUMIFS(rec.uni[2026-07-01],
INDIRECT("rec.uni[natureza]"),"repasse.cef.obra",
INDIRECT("rec.uni[empresa]"),AK$6)</f>
        <v>0</v>
      </c>
      <c r="AL69" s="45">
        <f ca="1">SUMIFS(rec.uni[2026-07-01],
INDIRECT("rec.uni[natureza]"),"repasse.cef.terreno",
INDIRECT("rec.uni[empresa]"),AL$6)</f>
        <v>0</v>
      </c>
      <c r="AM69" s="38"/>
      <c r="AN69" s="45">
        <f ca="1">SUMIFS(rec.uni[2026-07-01],
INDIRECT("rec.uni[natureza]"),"taxa.extra",
INDIRECT("rec.uni[empresa]"),AN$6)</f>
        <v>0</v>
      </c>
      <c r="AO69" s="131"/>
      <c r="AP69" s="44">
        <f>COUNTIFS(
    estq[empresa], AP$6,
    estq[Data da venda / reserva], "&gt;=" &amp; $A69,
    estq[Data da venda / reserva], "&lt;"  &amp; EOMONTH($A69,0) + 1
)</f>
        <v>0</v>
      </c>
      <c r="AQ69" s="45">
        <f ca="1">SUMIFS(rec.uni[2026-07-01],
INDIRECT("rec.uni[natureza]"),"pro.soluto",
INDIRECT("rec.uni[empresa]"),AQ$6)</f>
        <v>0</v>
      </c>
      <c r="AR69" s="45">
        <f ca="1">SUMIFS(rec.uni[2026-07-01],
INDIRECT("rec.uni[natureza]"),"repasse.cef.obra",
INDIRECT("rec.uni[empresa]"),AR$6)</f>
        <v>0</v>
      </c>
      <c r="AS69" s="45">
        <f ca="1">SUMIFS(rec.uni[2026-07-01],
INDIRECT("rec.uni[natureza]"),"repasse.cef.terreno",
INDIRECT("rec.uni[empresa]"),AS$6)</f>
        <v>0</v>
      </c>
      <c r="AT69" s="38"/>
      <c r="AU69" s="45">
        <f ca="1">SUMIFS(rec.uni[2026-07-01],
INDIRECT("rec.uni[natureza]"),"taxa.extra",
INDIRECT("rec.uni[empresa]"),AU$6)</f>
        <v>0</v>
      </c>
      <c r="AV69" s="131"/>
    </row>
    <row r="70" spans="1:48" x14ac:dyDescent="0.25">
      <c r="A70" s="43">
        <v>46235</v>
      </c>
      <c r="B70" s="44">
        <f>COUNTIFS(
    estq[empresa], B$6,
    estq[Data da venda / reserva], "&gt;=" &amp; $A70,
    estq[Data da venda / reserva], "&lt;"  &amp; EOMONTH($A70,0) + 1
)</f>
        <v>0</v>
      </c>
      <c r="C70" s="45">
        <f ca="1">SUMIFS(rec.uni[2026-08-01],
INDIRECT("rec.uni[natureza]"),"pro.soluto",
INDIRECT("rec.uni[empresa]"),C$6)</f>
        <v>0</v>
      </c>
      <c r="D70" s="45">
        <f ca="1">SUMIFS(rec.uni[2026-08-01],
INDIRECT("rec.uni[natureza]"),"repasse.cef.obra",
INDIRECT("rec.uni[empresa]"),D$6)</f>
        <v>0</v>
      </c>
      <c r="E70" s="45">
        <f ca="1">SUMIFS(rec.uni[2026-08-01],
INDIRECT("rec.uni[natureza]"),"repasse.cef.terreno",
INDIRECT("rec.uni[empresa]"),E$6)</f>
        <v>0</v>
      </c>
      <c r="F70" s="38"/>
      <c r="G70" s="45">
        <f ca="1">SUMIFS(rec.uni[2026-08-01],
INDIRECT("rec.uni[natureza]"),"taxa.extra",
INDIRECT("rec.uni[empresa]"),G$6)</f>
        <v>0</v>
      </c>
      <c r="H70" s="131"/>
      <c r="I70" s="44">
        <f>COUNTIFS(
    estq[empresa], I$6,
    estq[Data da venda / reserva], "&gt;=" &amp; $A70,
    estq[Data da venda / reserva], "&lt;"  &amp; EOMONTH($A70,0) + 1
)</f>
        <v>0</v>
      </c>
      <c r="J70" s="45">
        <f ca="1">SUMIFS(rec.uni[2026-08-01],
INDIRECT("rec.uni[natureza]"),"pro.soluto",
INDIRECT("rec.uni[empresa]"),J$6)</f>
        <v>0</v>
      </c>
      <c r="K70" s="45">
        <f ca="1">SUMIFS(rec.uni[2026-08-01],
INDIRECT("rec.uni[natureza]"),"repasse.cef.obra",
INDIRECT("rec.uni[empresa]"),K$6)</f>
        <v>0</v>
      </c>
      <c r="L70" s="45">
        <f ca="1">SUMIFS(rec.uni[2026-08-01],
INDIRECT("rec.uni[natureza]"),"repasse.cef.terreno",
INDIRECT("rec.uni[empresa]"),L$6)</f>
        <v>0</v>
      </c>
      <c r="M70" s="38"/>
      <c r="N70" s="45">
        <f ca="1">SUMIFS(rec.uni[2026-08-01],
INDIRECT("rec.uni[natureza]"),"taxa.extra",
INDIRECT("rec.uni[empresa]"),N$6)</f>
        <v>0</v>
      </c>
      <c r="O70" s="131"/>
      <c r="P70" s="44">
        <f>COUNTIFS(
    estq[empresa], P$6,
    estq[Data da venda / reserva], "&gt;=" &amp; $A70,
    estq[Data da venda / reserva], "&lt;"  &amp; EOMONTH($A70,0) + 1
)</f>
        <v>0</v>
      </c>
      <c r="Q70" s="45">
        <f ca="1">SUMIFS(rec.uni[2026-08-01],
INDIRECT("rec.uni[natureza]"),"pro.soluto",
INDIRECT("rec.uni[empresa]"),Q$6)</f>
        <v>0</v>
      </c>
      <c r="R70" s="45">
        <f ca="1">SUMIFS(rec.uni[2026-08-01],
INDIRECT("rec.uni[natureza]"),"repasse.cef.obra",
INDIRECT("rec.uni[empresa]"),R$6)</f>
        <v>0</v>
      </c>
      <c r="S70" s="45">
        <f ca="1">SUMIFS(rec.uni[2026-08-01],
INDIRECT("rec.uni[natureza]"),"repasse.cef.terreno",
INDIRECT("rec.uni[empresa]"),S$6)</f>
        <v>0</v>
      </c>
      <c r="T70" s="38"/>
      <c r="U70" s="45">
        <f ca="1">SUMIFS(rec.uni[2026-08-01],
INDIRECT("rec.uni[natureza]"),"taxa.extra",
INDIRECT("rec.uni[empresa]"),U$6)</f>
        <v>0</v>
      </c>
      <c r="V70" s="131"/>
      <c r="W70" s="44">
        <f>COUNTIFS(
    estq[empresa], W$6,
    estq[Data da venda / reserva], "&gt;=" &amp; $A70,
    estq[Data da venda / reserva], "&lt;"  &amp; EOMONTH($A70,0) + 1
)</f>
        <v>0</v>
      </c>
      <c r="X70" s="45">
        <f ca="1">SUMIFS(rec.uni[2026-08-01],
INDIRECT("rec.uni[natureza]"),"pro.soluto",
INDIRECT("rec.uni[empresa]"),X$6)</f>
        <v>0</v>
      </c>
      <c r="Y70" s="45">
        <f ca="1">SUMIFS(rec.uni[2026-08-01],
INDIRECT("rec.uni[natureza]"),"repasse.cef.obra",
INDIRECT("rec.uni[empresa]"),Y$6)</f>
        <v>0</v>
      </c>
      <c r="Z70" s="45">
        <f ca="1">SUMIFS(rec.uni[2026-08-01],
INDIRECT("rec.uni[natureza]"),"repasse.cef.terreno",
INDIRECT("rec.uni[empresa]"),Z$6)</f>
        <v>0</v>
      </c>
      <c r="AA70" s="38"/>
      <c r="AB70" s="45">
        <f ca="1">SUMIFS(rec.uni[2026-08-01],
INDIRECT("rec.uni[natureza]"),"taxa.extra",
INDIRECT("rec.uni[empresa]"),AB$6)</f>
        <v>0</v>
      </c>
      <c r="AC70" s="131"/>
      <c r="AD70" s="44">
        <f>COUNTIFS(
    estq[empresa], AD$6,
    estq[Data da venda / reserva], "&gt;=" &amp; $A70,
    estq[Data da venda / reserva], "&lt;"  &amp; EOMONTH($A70,0) + 1
)</f>
        <v>0</v>
      </c>
      <c r="AE70" s="45">
        <f ca="1">SUMIFS(rec.uni[2026-08-01],
INDIRECT("rec.uni[natureza]"),"pro.soluto",
INDIRECT("rec.uni[empresa]"),AE$6)</f>
        <v>0</v>
      </c>
      <c r="AF70" s="38">
        <f ca="1">SUMIFS(rec.uni[2026-08-01],
INDIRECT("rec.uni[natureza]"),"parcela.fin.total.ik",
INDIRECT("rec.uni[empresa]"),AF$6)</f>
        <v>0</v>
      </c>
      <c r="AG70" s="45">
        <f ca="1">SUMIFS(rec.uni[2026-08-01],
INDIRECT("rec.uni[natureza]"),"taxa.extra",
INDIRECT("rec.uni[empresa]"),AG$6)</f>
        <v>0</v>
      </c>
      <c r="AH70" s="131"/>
      <c r="AI70" s="44">
        <f>COUNTIFS(
    estq[empresa], AI$6,
    estq[Data da venda / reserva], "&gt;=" &amp; $A70,
    estq[Data da venda / reserva], "&lt;"  &amp; EOMONTH($A70,0) + 1
)</f>
        <v>0</v>
      </c>
      <c r="AJ70" s="45">
        <f ca="1">SUMIFS(rec.uni[2026-08-01],
INDIRECT("rec.uni[natureza]"),"pro.soluto",
INDIRECT("rec.uni[empresa]"),AJ$6)</f>
        <v>0</v>
      </c>
      <c r="AK70" s="45">
        <f ca="1">SUMIFS(rec.uni[2026-08-01],
INDIRECT("rec.uni[natureza]"),"repasse.cef.obra",
INDIRECT("rec.uni[empresa]"),AK$6)</f>
        <v>0</v>
      </c>
      <c r="AL70" s="45">
        <f ca="1">SUMIFS(rec.uni[2026-08-01],
INDIRECT("rec.uni[natureza]"),"repasse.cef.terreno",
INDIRECT("rec.uni[empresa]"),AL$6)</f>
        <v>0</v>
      </c>
      <c r="AM70" s="38"/>
      <c r="AN70" s="45">
        <f ca="1">SUMIFS(rec.uni[2026-08-01],
INDIRECT("rec.uni[natureza]"),"taxa.extra",
INDIRECT("rec.uni[empresa]"),AN$6)</f>
        <v>0</v>
      </c>
      <c r="AO70" s="131"/>
      <c r="AP70" s="44">
        <f>COUNTIFS(
    estq[empresa], AP$6,
    estq[Data da venda / reserva], "&gt;=" &amp; $A70,
    estq[Data da venda / reserva], "&lt;"  &amp; EOMONTH($A70,0) + 1
)</f>
        <v>0</v>
      </c>
      <c r="AQ70" s="45">
        <f ca="1">SUMIFS(rec.uni[2026-08-01],
INDIRECT("rec.uni[natureza]"),"pro.soluto",
INDIRECT("rec.uni[empresa]"),AQ$6)</f>
        <v>0</v>
      </c>
      <c r="AR70" s="45">
        <f ca="1">SUMIFS(rec.uni[2026-08-01],
INDIRECT("rec.uni[natureza]"),"repasse.cef.obra",
INDIRECT("rec.uni[empresa]"),AR$6)</f>
        <v>0</v>
      </c>
      <c r="AS70" s="45">
        <f ca="1">SUMIFS(rec.uni[2026-08-01],
INDIRECT("rec.uni[natureza]"),"repasse.cef.terreno",
INDIRECT("rec.uni[empresa]"),AS$6)</f>
        <v>0</v>
      </c>
      <c r="AT70" s="38"/>
      <c r="AU70" s="45">
        <f ca="1">SUMIFS(rec.uni[2026-08-01],
INDIRECT("rec.uni[natureza]"),"taxa.extra",
INDIRECT("rec.uni[empresa]"),AU$6)</f>
        <v>0</v>
      </c>
      <c r="AV70" s="131"/>
    </row>
    <row r="71" spans="1:48" x14ac:dyDescent="0.25">
      <c r="A71" s="43">
        <v>46266</v>
      </c>
      <c r="B71" s="44">
        <f>COUNTIFS(
    estq[empresa], B$6,
    estq[Data da venda / reserva], "&gt;=" &amp; $A71,
    estq[Data da venda / reserva], "&lt;"  &amp; EOMONTH($A71,0) + 1
)</f>
        <v>0</v>
      </c>
      <c r="C71" s="45">
        <f ca="1">SUMIFS(rec.uni[2026-09-01],
INDIRECT("rec.uni[natureza]"),"pro.soluto",
INDIRECT("rec.uni[empresa]"),C$6)</f>
        <v>0</v>
      </c>
      <c r="D71" s="45">
        <f ca="1">SUMIFS(rec.uni[2026-09-01],
INDIRECT("rec.uni[natureza]"),"repasse.cef.obra",
INDIRECT("rec.uni[empresa]"),D$6)</f>
        <v>0</v>
      </c>
      <c r="E71" s="45">
        <f ca="1">SUMIFS(rec.uni[2026-09-01],
INDIRECT("rec.uni[natureza]"),"repasse.cef.terreno",
INDIRECT("rec.uni[empresa]"),E$6)</f>
        <v>0</v>
      </c>
      <c r="F71" s="38"/>
      <c r="G71" s="45">
        <f ca="1">SUMIFS(rec.uni[2026-09-01],
INDIRECT("rec.uni[natureza]"),"taxa.extra",
INDIRECT("rec.uni[empresa]"),G$6)</f>
        <v>0</v>
      </c>
      <c r="H71" s="131"/>
      <c r="I71" s="44">
        <f>COUNTIFS(
    estq[empresa], I$6,
    estq[Data da venda / reserva], "&gt;=" &amp; $A71,
    estq[Data da venda / reserva], "&lt;"  &amp; EOMONTH($A71,0) + 1
)</f>
        <v>0</v>
      </c>
      <c r="J71" s="45">
        <f ca="1">SUMIFS(rec.uni[2026-09-01],
INDIRECT("rec.uni[natureza]"),"pro.soluto",
INDIRECT("rec.uni[empresa]"),J$6)</f>
        <v>0</v>
      </c>
      <c r="K71" s="45">
        <f ca="1">SUMIFS(rec.uni[2026-09-01],
INDIRECT("rec.uni[natureza]"),"repasse.cef.obra",
INDIRECT("rec.uni[empresa]"),K$6)</f>
        <v>0</v>
      </c>
      <c r="L71" s="45">
        <f ca="1">SUMIFS(rec.uni[2026-09-01],
INDIRECT("rec.uni[natureza]"),"repasse.cef.terreno",
INDIRECT("rec.uni[empresa]"),L$6)</f>
        <v>0</v>
      </c>
      <c r="M71" s="38"/>
      <c r="N71" s="45">
        <f ca="1">SUMIFS(rec.uni[2026-09-01],
INDIRECT("rec.uni[natureza]"),"taxa.extra",
INDIRECT("rec.uni[empresa]"),N$6)</f>
        <v>0</v>
      </c>
      <c r="O71" s="131"/>
      <c r="P71" s="44">
        <f>COUNTIFS(
    estq[empresa], P$6,
    estq[Data da venda / reserva], "&gt;=" &amp; $A71,
    estq[Data da venda / reserva], "&lt;"  &amp; EOMONTH($A71,0) + 1
)</f>
        <v>0</v>
      </c>
      <c r="Q71" s="45">
        <f ca="1">SUMIFS(rec.uni[2026-09-01],
INDIRECT("rec.uni[natureza]"),"pro.soluto",
INDIRECT("rec.uni[empresa]"),Q$6)</f>
        <v>0</v>
      </c>
      <c r="R71" s="45">
        <f ca="1">SUMIFS(rec.uni[2026-09-01],
INDIRECT("rec.uni[natureza]"),"repasse.cef.obra",
INDIRECT("rec.uni[empresa]"),R$6)</f>
        <v>0</v>
      </c>
      <c r="S71" s="45">
        <f ca="1">SUMIFS(rec.uni[2026-09-01],
INDIRECT("rec.uni[natureza]"),"repasse.cef.terreno",
INDIRECT("rec.uni[empresa]"),S$6)</f>
        <v>0</v>
      </c>
      <c r="T71" s="38"/>
      <c r="U71" s="45">
        <f ca="1">SUMIFS(rec.uni[2026-09-01],
INDIRECT("rec.uni[natureza]"),"taxa.extra",
INDIRECT("rec.uni[empresa]"),U$6)</f>
        <v>0</v>
      </c>
      <c r="V71" s="131"/>
      <c r="W71" s="44">
        <f>COUNTIFS(
    estq[empresa], W$6,
    estq[Data da venda / reserva], "&gt;=" &amp; $A71,
    estq[Data da venda / reserva], "&lt;"  &amp; EOMONTH($A71,0) + 1
)</f>
        <v>0</v>
      </c>
      <c r="X71" s="45">
        <f ca="1">SUMIFS(rec.uni[2026-09-01],
INDIRECT("rec.uni[natureza]"),"pro.soluto",
INDIRECT("rec.uni[empresa]"),X$6)</f>
        <v>0</v>
      </c>
      <c r="Y71" s="45">
        <f ca="1">SUMIFS(rec.uni[2026-09-01],
INDIRECT("rec.uni[natureza]"),"repasse.cef.obra",
INDIRECT("rec.uni[empresa]"),Y$6)</f>
        <v>0</v>
      </c>
      <c r="Z71" s="45">
        <f ca="1">SUMIFS(rec.uni[2026-09-01],
INDIRECT("rec.uni[natureza]"),"repasse.cef.terreno",
INDIRECT("rec.uni[empresa]"),Z$6)</f>
        <v>0</v>
      </c>
      <c r="AA71" s="38"/>
      <c r="AB71" s="45">
        <f ca="1">SUMIFS(rec.uni[2026-09-01],
INDIRECT("rec.uni[natureza]"),"taxa.extra",
INDIRECT("rec.uni[empresa]"),AB$6)</f>
        <v>0</v>
      </c>
      <c r="AC71" s="131"/>
      <c r="AD71" s="44">
        <f>COUNTIFS(
    estq[empresa], AD$6,
    estq[Data da venda / reserva], "&gt;=" &amp; $A71,
    estq[Data da venda / reserva], "&lt;"  &amp; EOMONTH($A71,0) + 1
)</f>
        <v>0</v>
      </c>
      <c r="AE71" s="45">
        <f ca="1">SUMIFS(rec.uni[2026-09-01],
INDIRECT("rec.uni[natureza]"),"pro.soluto",
INDIRECT("rec.uni[empresa]"),AE$6)</f>
        <v>0</v>
      </c>
      <c r="AF71" s="38">
        <f ca="1">SUMIFS(rec.uni[2026-09-01],
INDIRECT("rec.uni[natureza]"),"parcela.fin.total.ik",
INDIRECT("rec.uni[empresa]"),AF$6)</f>
        <v>0</v>
      </c>
      <c r="AG71" s="45">
        <f ca="1">SUMIFS(rec.uni[2026-09-01],
INDIRECT("rec.uni[natureza]"),"taxa.extra",
INDIRECT("rec.uni[empresa]"),AG$6)</f>
        <v>0</v>
      </c>
      <c r="AH71" s="131"/>
      <c r="AI71" s="44">
        <f>COUNTIFS(
    estq[empresa], AI$6,
    estq[Data da venda / reserva], "&gt;=" &amp; $A71,
    estq[Data da venda / reserva], "&lt;"  &amp; EOMONTH($A71,0) + 1
)</f>
        <v>0</v>
      </c>
      <c r="AJ71" s="45">
        <f ca="1">SUMIFS(rec.uni[2026-09-01],
INDIRECT("rec.uni[natureza]"),"pro.soluto",
INDIRECT("rec.uni[empresa]"),AJ$6)</f>
        <v>0</v>
      </c>
      <c r="AK71" s="45">
        <f ca="1">SUMIFS(rec.uni[2026-09-01],
INDIRECT("rec.uni[natureza]"),"repasse.cef.obra",
INDIRECT("rec.uni[empresa]"),AK$6)</f>
        <v>0</v>
      </c>
      <c r="AL71" s="45">
        <f ca="1">SUMIFS(rec.uni[2026-09-01],
INDIRECT("rec.uni[natureza]"),"repasse.cef.terreno",
INDIRECT("rec.uni[empresa]"),AL$6)</f>
        <v>0</v>
      </c>
      <c r="AM71" s="38"/>
      <c r="AN71" s="45">
        <f ca="1">SUMIFS(rec.uni[2026-09-01],
INDIRECT("rec.uni[natureza]"),"taxa.extra",
INDIRECT("rec.uni[empresa]"),AN$6)</f>
        <v>0</v>
      </c>
      <c r="AO71" s="131"/>
      <c r="AP71" s="44">
        <f>COUNTIFS(
    estq[empresa], AP$6,
    estq[Data da venda / reserva], "&gt;=" &amp; $A71,
    estq[Data da venda / reserva], "&lt;"  &amp; EOMONTH($A71,0) + 1
)</f>
        <v>0</v>
      </c>
      <c r="AQ71" s="45">
        <f ca="1">SUMIFS(rec.uni[2026-09-01],
INDIRECT("rec.uni[natureza]"),"pro.soluto",
INDIRECT("rec.uni[empresa]"),AQ$6)</f>
        <v>0</v>
      </c>
      <c r="AR71" s="45">
        <f ca="1">SUMIFS(rec.uni[2026-09-01],
INDIRECT("rec.uni[natureza]"),"repasse.cef.obra",
INDIRECT("rec.uni[empresa]"),AR$6)</f>
        <v>0</v>
      </c>
      <c r="AS71" s="45">
        <f ca="1">SUMIFS(rec.uni[2026-09-01],
INDIRECT("rec.uni[natureza]"),"repasse.cef.terreno",
INDIRECT("rec.uni[empresa]"),AS$6)</f>
        <v>0</v>
      </c>
      <c r="AT71" s="38"/>
      <c r="AU71" s="45">
        <f ca="1">SUMIFS(rec.uni[2026-09-01],
INDIRECT("rec.uni[natureza]"),"taxa.extra",
INDIRECT("rec.uni[empresa]"),AU$6)</f>
        <v>0</v>
      </c>
      <c r="AV71" s="131"/>
    </row>
    <row r="72" spans="1:48" x14ac:dyDescent="0.25">
      <c r="A72" s="43">
        <v>46296</v>
      </c>
      <c r="B72" s="44">
        <f>COUNTIFS(
    estq[empresa], B$6,
    estq[Data da venda / reserva], "&gt;=" &amp; $A72,
    estq[Data da venda / reserva], "&lt;"  &amp; EOMONTH($A72,0) + 1
)</f>
        <v>0</v>
      </c>
      <c r="C72" s="45">
        <f ca="1">SUMIFS(rec.uni[2026-10-01],
INDIRECT("rec.uni[natureza]"),"pro.soluto",
INDIRECT("rec.uni[empresa]"),C$6)</f>
        <v>0</v>
      </c>
      <c r="D72" s="45">
        <f ca="1">SUMIFS(rec.uni[2026-10-01],
INDIRECT("rec.uni[natureza]"),"repasse.cef.obra",
INDIRECT("rec.uni[empresa]"),D$6)</f>
        <v>0</v>
      </c>
      <c r="E72" s="45">
        <f ca="1">SUMIFS(rec.uni[2026-10-01],
INDIRECT("rec.uni[natureza]"),"repasse.cef.terreno",
INDIRECT("rec.uni[empresa]"),E$6)</f>
        <v>0</v>
      </c>
      <c r="F72" s="38"/>
      <c r="G72" s="45">
        <f ca="1">SUMIFS(rec.uni[2026-10-01],
INDIRECT("rec.uni[natureza]"),"taxa.extra",
INDIRECT("rec.uni[empresa]"),G$6)</f>
        <v>0</v>
      </c>
      <c r="H72" s="131"/>
      <c r="I72" s="44">
        <f>COUNTIFS(
    estq[empresa], I$6,
    estq[Data da venda / reserva], "&gt;=" &amp; $A72,
    estq[Data da venda / reserva], "&lt;"  &amp; EOMONTH($A72,0) + 1
)</f>
        <v>0</v>
      </c>
      <c r="J72" s="45">
        <f ca="1">SUMIFS(rec.uni[2026-10-01],
INDIRECT("rec.uni[natureza]"),"pro.soluto",
INDIRECT("rec.uni[empresa]"),J$6)</f>
        <v>0</v>
      </c>
      <c r="K72" s="45">
        <f ca="1">SUMIFS(rec.uni[2026-10-01],
INDIRECT("rec.uni[natureza]"),"repasse.cef.obra",
INDIRECT("rec.uni[empresa]"),K$6)</f>
        <v>0</v>
      </c>
      <c r="L72" s="45">
        <f ca="1">SUMIFS(rec.uni[2026-10-01],
INDIRECT("rec.uni[natureza]"),"repasse.cef.terreno",
INDIRECT("rec.uni[empresa]"),L$6)</f>
        <v>0</v>
      </c>
      <c r="M72" s="38"/>
      <c r="N72" s="45">
        <f ca="1">SUMIFS(rec.uni[2026-10-01],
INDIRECT("rec.uni[natureza]"),"taxa.extra",
INDIRECT("rec.uni[empresa]"),N$6)</f>
        <v>0</v>
      </c>
      <c r="O72" s="131"/>
      <c r="P72" s="44">
        <f>COUNTIFS(
    estq[empresa], P$6,
    estq[Data da venda / reserva], "&gt;=" &amp; $A72,
    estq[Data da venda / reserva], "&lt;"  &amp; EOMONTH($A72,0) + 1
)</f>
        <v>0</v>
      </c>
      <c r="Q72" s="45">
        <f ca="1">SUMIFS(rec.uni[2026-10-01],
INDIRECT("rec.uni[natureza]"),"pro.soluto",
INDIRECT("rec.uni[empresa]"),Q$6)</f>
        <v>0</v>
      </c>
      <c r="R72" s="45">
        <f ca="1">SUMIFS(rec.uni[2026-10-01],
INDIRECT("rec.uni[natureza]"),"repasse.cef.obra",
INDIRECT("rec.uni[empresa]"),R$6)</f>
        <v>0</v>
      </c>
      <c r="S72" s="45">
        <f ca="1">SUMIFS(rec.uni[2026-10-01],
INDIRECT("rec.uni[natureza]"),"repasse.cef.terreno",
INDIRECT("rec.uni[empresa]"),S$6)</f>
        <v>0</v>
      </c>
      <c r="T72" s="38"/>
      <c r="U72" s="45">
        <f ca="1">SUMIFS(rec.uni[2026-10-01],
INDIRECT("rec.uni[natureza]"),"taxa.extra",
INDIRECT("rec.uni[empresa]"),U$6)</f>
        <v>0</v>
      </c>
      <c r="V72" s="131"/>
      <c r="W72" s="44">
        <f>COUNTIFS(
    estq[empresa], W$6,
    estq[Data da venda / reserva], "&gt;=" &amp; $A72,
    estq[Data da venda / reserva], "&lt;"  &amp; EOMONTH($A72,0) + 1
)</f>
        <v>0</v>
      </c>
      <c r="X72" s="45">
        <f ca="1">SUMIFS(rec.uni[2026-10-01],
INDIRECT("rec.uni[natureza]"),"pro.soluto",
INDIRECT("rec.uni[empresa]"),X$6)</f>
        <v>0</v>
      </c>
      <c r="Y72" s="45">
        <f ca="1">SUMIFS(rec.uni[2026-10-01],
INDIRECT("rec.uni[natureza]"),"repasse.cef.obra",
INDIRECT("rec.uni[empresa]"),Y$6)</f>
        <v>0</v>
      </c>
      <c r="Z72" s="45">
        <f ca="1">SUMIFS(rec.uni[2026-10-01],
INDIRECT("rec.uni[natureza]"),"repasse.cef.terreno",
INDIRECT("rec.uni[empresa]"),Z$6)</f>
        <v>0</v>
      </c>
      <c r="AA72" s="38"/>
      <c r="AB72" s="45">
        <f ca="1">SUMIFS(rec.uni[2026-10-01],
INDIRECT("rec.uni[natureza]"),"taxa.extra",
INDIRECT("rec.uni[empresa]"),AB$6)</f>
        <v>0</v>
      </c>
      <c r="AC72" s="131"/>
      <c r="AD72" s="44">
        <f>COUNTIFS(
    estq[empresa], AD$6,
    estq[Data da venda / reserva], "&gt;=" &amp; $A72,
    estq[Data da venda / reserva], "&lt;"  &amp; EOMONTH($A72,0) + 1
)</f>
        <v>0</v>
      </c>
      <c r="AE72" s="45">
        <f ca="1">SUMIFS(rec.uni[2026-10-01],
INDIRECT("rec.uni[natureza]"),"pro.soluto",
INDIRECT("rec.uni[empresa]"),AE$6)</f>
        <v>0</v>
      </c>
      <c r="AF72" s="38">
        <f ca="1">SUMIFS(rec.uni[2026-10-01],
INDIRECT("rec.uni[natureza]"),"parcela.fin.total.ik",
INDIRECT("rec.uni[empresa]"),AF$6)</f>
        <v>0</v>
      </c>
      <c r="AG72" s="45">
        <f ca="1">SUMIFS(rec.uni[2026-10-01],
INDIRECT("rec.uni[natureza]"),"taxa.extra",
INDIRECT("rec.uni[empresa]"),AG$6)</f>
        <v>0</v>
      </c>
      <c r="AH72" s="131"/>
      <c r="AI72" s="44">
        <f>COUNTIFS(
    estq[empresa], AI$6,
    estq[Data da venda / reserva], "&gt;=" &amp; $A72,
    estq[Data da venda / reserva], "&lt;"  &amp; EOMONTH($A72,0) + 1
)</f>
        <v>0</v>
      </c>
      <c r="AJ72" s="45">
        <f ca="1">SUMIFS(rec.uni[2026-10-01],
INDIRECT("rec.uni[natureza]"),"pro.soluto",
INDIRECT("rec.uni[empresa]"),AJ$6)</f>
        <v>0</v>
      </c>
      <c r="AK72" s="45">
        <f ca="1">SUMIFS(rec.uni[2026-10-01],
INDIRECT("rec.uni[natureza]"),"repasse.cef.obra",
INDIRECT("rec.uni[empresa]"),AK$6)</f>
        <v>0</v>
      </c>
      <c r="AL72" s="45">
        <f ca="1">SUMIFS(rec.uni[2026-10-01],
INDIRECT("rec.uni[natureza]"),"repasse.cef.terreno",
INDIRECT("rec.uni[empresa]"),AL$6)</f>
        <v>0</v>
      </c>
      <c r="AM72" s="38"/>
      <c r="AN72" s="45">
        <f ca="1">SUMIFS(rec.uni[2026-10-01],
INDIRECT("rec.uni[natureza]"),"taxa.extra",
INDIRECT("rec.uni[empresa]"),AN$6)</f>
        <v>0</v>
      </c>
      <c r="AO72" s="131"/>
      <c r="AP72" s="44">
        <f>COUNTIFS(
    estq[empresa], AP$6,
    estq[Data da venda / reserva], "&gt;=" &amp; $A72,
    estq[Data da venda / reserva], "&lt;"  &amp; EOMONTH($A72,0) + 1
)</f>
        <v>0</v>
      </c>
      <c r="AQ72" s="45">
        <f ca="1">SUMIFS(rec.uni[2026-10-01],
INDIRECT("rec.uni[natureza]"),"pro.soluto",
INDIRECT("rec.uni[empresa]"),AQ$6)</f>
        <v>0</v>
      </c>
      <c r="AR72" s="45">
        <f ca="1">SUMIFS(rec.uni[2026-10-01],
INDIRECT("rec.uni[natureza]"),"repasse.cef.obra",
INDIRECT("rec.uni[empresa]"),AR$6)</f>
        <v>0</v>
      </c>
      <c r="AS72" s="45">
        <f ca="1">SUMIFS(rec.uni[2026-10-01],
INDIRECT("rec.uni[natureza]"),"repasse.cef.terreno",
INDIRECT("rec.uni[empresa]"),AS$6)</f>
        <v>0</v>
      </c>
      <c r="AT72" s="38"/>
      <c r="AU72" s="45">
        <f ca="1">SUMIFS(rec.uni[2026-10-01],
INDIRECT("rec.uni[natureza]"),"taxa.extra",
INDIRECT("rec.uni[empresa]"),AU$6)</f>
        <v>0</v>
      </c>
      <c r="AV72" s="131"/>
    </row>
    <row r="73" spans="1:48" x14ac:dyDescent="0.25">
      <c r="A73" s="43">
        <v>46327</v>
      </c>
      <c r="B73" s="44">
        <f>COUNTIFS(
    estq[empresa], B$6,
    estq[Data da venda / reserva], "&gt;=" &amp; $A73,
    estq[Data da venda / reserva], "&lt;"  &amp; EOMONTH($A73,0) + 1
)</f>
        <v>0</v>
      </c>
      <c r="C73" s="45">
        <f ca="1">SUMIFS(rec.uni[2026-11-01],
INDIRECT("rec.uni[natureza]"),"pro.soluto",
INDIRECT("rec.uni[empresa]"),C$6)</f>
        <v>0</v>
      </c>
      <c r="D73" s="45">
        <f ca="1">SUMIFS(rec.uni[2026-11-01],
INDIRECT("rec.uni[natureza]"),"repasse.cef.obra",
INDIRECT("rec.uni[empresa]"),D$6)</f>
        <v>0</v>
      </c>
      <c r="E73" s="45">
        <f ca="1">SUMIFS(rec.uni[2026-11-01],
INDIRECT("rec.uni[natureza]"),"repasse.cef.terreno",
INDIRECT("rec.uni[empresa]"),E$6)</f>
        <v>0</v>
      </c>
      <c r="F73" s="38"/>
      <c r="G73" s="45">
        <f ca="1">SUMIFS(rec.uni[2026-11-01],
INDIRECT("rec.uni[natureza]"),"taxa.extra",
INDIRECT("rec.uni[empresa]"),G$6)</f>
        <v>0</v>
      </c>
      <c r="H73" s="131"/>
      <c r="I73" s="44">
        <f>COUNTIFS(
    estq[empresa], I$6,
    estq[Data da venda / reserva], "&gt;=" &amp; $A73,
    estq[Data da venda / reserva], "&lt;"  &amp; EOMONTH($A73,0) + 1
)</f>
        <v>0</v>
      </c>
      <c r="J73" s="45">
        <f ca="1">SUMIFS(rec.uni[2026-11-01],
INDIRECT("rec.uni[natureza]"),"pro.soluto",
INDIRECT("rec.uni[empresa]"),J$6)</f>
        <v>0</v>
      </c>
      <c r="K73" s="45">
        <f ca="1">SUMIFS(rec.uni[2026-11-01],
INDIRECT("rec.uni[natureza]"),"repasse.cef.obra",
INDIRECT("rec.uni[empresa]"),K$6)</f>
        <v>0</v>
      </c>
      <c r="L73" s="45">
        <f ca="1">SUMIFS(rec.uni[2026-11-01],
INDIRECT("rec.uni[natureza]"),"repasse.cef.terreno",
INDIRECT("rec.uni[empresa]"),L$6)</f>
        <v>0</v>
      </c>
      <c r="M73" s="38"/>
      <c r="N73" s="45">
        <f ca="1">SUMIFS(rec.uni[2026-11-01],
INDIRECT("rec.uni[natureza]"),"taxa.extra",
INDIRECT("rec.uni[empresa]"),N$6)</f>
        <v>0</v>
      </c>
      <c r="O73" s="131"/>
      <c r="P73" s="44">
        <f>COUNTIFS(
    estq[empresa], P$6,
    estq[Data da venda / reserva], "&gt;=" &amp; $A73,
    estq[Data da venda / reserva], "&lt;"  &amp; EOMONTH($A73,0) + 1
)</f>
        <v>0</v>
      </c>
      <c r="Q73" s="45">
        <f ca="1">SUMIFS(rec.uni[2026-11-01],
INDIRECT("rec.uni[natureza]"),"pro.soluto",
INDIRECT("rec.uni[empresa]"),Q$6)</f>
        <v>0</v>
      </c>
      <c r="R73" s="45">
        <f ca="1">SUMIFS(rec.uni[2026-11-01],
INDIRECT("rec.uni[natureza]"),"repasse.cef.obra",
INDIRECT("rec.uni[empresa]"),R$6)</f>
        <v>0</v>
      </c>
      <c r="S73" s="45">
        <f ca="1">SUMIFS(rec.uni[2026-11-01],
INDIRECT("rec.uni[natureza]"),"repasse.cef.terreno",
INDIRECT("rec.uni[empresa]"),S$6)</f>
        <v>0</v>
      </c>
      <c r="T73" s="38"/>
      <c r="U73" s="45">
        <f ca="1">SUMIFS(rec.uni[2026-11-01],
INDIRECT("rec.uni[natureza]"),"taxa.extra",
INDIRECT("rec.uni[empresa]"),U$6)</f>
        <v>0</v>
      </c>
      <c r="V73" s="131"/>
      <c r="W73" s="44">
        <f>COUNTIFS(
    estq[empresa], W$6,
    estq[Data da venda / reserva], "&gt;=" &amp; $A73,
    estq[Data da venda / reserva], "&lt;"  &amp; EOMONTH($A73,0) + 1
)</f>
        <v>0</v>
      </c>
      <c r="X73" s="45">
        <f ca="1">SUMIFS(rec.uni[2026-11-01],
INDIRECT("rec.uni[natureza]"),"pro.soluto",
INDIRECT("rec.uni[empresa]"),X$6)</f>
        <v>0</v>
      </c>
      <c r="Y73" s="45">
        <f ca="1">SUMIFS(rec.uni[2026-11-01],
INDIRECT("rec.uni[natureza]"),"repasse.cef.obra",
INDIRECT("rec.uni[empresa]"),Y$6)</f>
        <v>0</v>
      </c>
      <c r="Z73" s="45">
        <f ca="1">SUMIFS(rec.uni[2026-11-01],
INDIRECT("rec.uni[natureza]"),"repasse.cef.terreno",
INDIRECT("rec.uni[empresa]"),Z$6)</f>
        <v>0</v>
      </c>
      <c r="AA73" s="38"/>
      <c r="AB73" s="45">
        <f ca="1">SUMIFS(rec.uni[2026-11-01],
INDIRECT("rec.uni[natureza]"),"taxa.extra",
INDIRECT("rec.uni[empresa]"),AB$6)</f>
        <v>0</v>
      </c>
      <c r="AC73" s="131"/>
      <c r="AD73" s="44">
        <f>COUNTIFS(
    estq[empresa], AD$6,
    estq[Data da venda / reserva], "&gt;=" &amp; $A73,
    estq[Data da venda / reserva], "&lt;"  &amp; EOMONTH($A73,0) + 1
)</f>
        <v>0</v>
      </c>
      <c r="AE73" s="45">
        <f ca="1">SUMIFS(rec.uni[2026-11-01],
INDIRECT("rec.uni[natureza]"),"pro.soluto",
INDIRECT("rec.uni[empresa]"),AE$6)</f>
        <v>0</v>
      </c>
      <c r="AF73" s="38">
        <f ca="1">SUMIFS(rec.uni[2026-11-01],
INDIRECT("rec.uni[natureza]"),"parcela.fin.total.ik",
INDIRECT("rec.uni[empresa]"),AF$6)</f>
        <v>0</v>
      </c>
      <c r="AG73" s="45">
        <f ca="1">SUMIFS(rec.uni[2026-11-01],
INDIRECT("rec.uni[natureza]"),"taxa.extra",
INDIRECT("rec.uni[empresa]"),AG$6)</f>
        <v>0</v>
      </c>
      <c r="AH73" s="131"/>
      <c r="AI73" s="44">
        <f>COUNTIFS(
    estq[empresa], AI$6,
    estq[Data da venda / reserva], "&gt;=" &amp; $A73,
    estq[Data da venda / reserva], "&lt;"  &amp; EOMONTH($A73,0) + 1
)</f>
        <v>0</v>
      </c>
      <c r="AJ73" s="45">
        <f ca="1">SUMIFS(rec.uni[2026-11-01],
INDIRECT("rec.uni[natureza]"),"pro.soluto",
INDIRECT("rec.uni[empresa]"),AJ$6)</f>
        <v>0</v>
      </c>
      <c r="AK73" s="45">
        <f ca="1">SUMIFS(rec.uni[2026-11-01],
INDIRECT("rec.uni[natureza]"),"repasse.cef.obra",
INDIRECT("rec.uni[empresa]"),AK$6)</f>
        <v>0</v>
      </c>
      <c r="AL73" s="45">
        <f ca="1">SUMIFS(rec.uni[2026-11-01],
INDIRECT("rec.uni[natureza]"),"repasse.cef.terreno",
INDIRECT("rec.uni[empresa]"),AL$6)</f>
        <v>0</v>
      </c>
      <c r="AM73" s="38"/>
      <c r="AN73" s="45">
        <f ca="1">SUMIFS(rec.uni[2026-11-01],
INDIRECT("rec.uni[natureza]"),"taxa.extra",
INDIRECT("rec.uni[empresa]"),AN$6)</f>
        <v>0</v>
      </c>
      <c r="AO73" s="131"/>
      <c r="AP73" s="44">
        <f>COUNTIFS(
    estq[empresa], AP$6,
    estq[Data da venda / reserva], "&gt;=" &amp; $A73,
    estq[Data da venda / reserva], "&lt;"  &amp; EOMONTH($A73,0) + 1
)</f>
        <v>0</v>
      </c>
      <c r="AQ73" s="45">
        <f ca="1">SUMIFS(rec.uni[2026-11-01],
INDIRECT("rec.uni[natureza]"),"pro.soluto",
INDIRECT("rec.uni[empresa]"),AQ$6)</f>
        <v>0</v>
      </c>
      <c r="AR73" s="45">
        <f ca="1">SUMIFS(rec.uni[2026-11-01],
INDIRECT("rec.uni[natureza]"),"repasse.cef.obra",
INDIRECT("rec.uni[empresa]"),AR$6)</f>
        <v>0</v>
      </c>
      <c r="AS73" s="45">
        <f ca="1">SUMIFS(rec.uni[2026-11-01],
INDIRECT("rec.uni[natureza]"),"repasse.cef.terreno",
INDIRECT("rec.uni[empresa]"),AS$6)</f>
        <v>0</v>
      </c>
      <c r="AT73" s="38"/>
      <c r="AU73" s="45">
        <f ca="1">SUMIFS(rec.uni[2026-11-01],
INDIRECT("rec.uni[natureza]"),"taxa.extra",
INDIRECT("rec.uni[empresa]"),AU$6)</f>
        <v>0</v>
      </c>
      <c r="AV73" s="131"/>
    </row>
    <row r="74" spans="1:48" x14ac:dyDescent="0.25">
      <c r="A74" s="43">
        <v>46357</v>
      </c>
      <c r="B74" s="44">
        <f>COUNTIFS(
    estq[empresa], B$6,
    estq[Data da venda / reserva], "&gt;=" &amp; $A74,
    estq[Data da venda / reserva], "&lt;"  &amp; EOMONTH($A74,0) + 1
)</f>
        <v>0</v>
      </c>
      <c r="C74" s="45">
        <f ca="1">SUMIFS(rec.uni[2026-12-01],
INDIRECT("rec.uni[natureza]"),"pro.soluto",
INDIRECT("rec.uni[empresa]"),C$6)</f>
        <v>0</v>
      </c>
      <c r="D74" s="45">
        <f ca="1">SUMIFS(rec.uni[2026-12-01],
INDIRECT("rec.uni[natureza]"),"repasse.cef.obra",
INDIRECT("rec.uni[empresa]"),D$6)</f>
        <v>0</v>
      </c>
      <c r="E74" s="45">
        <f ca="1">SUMIFS(rec.uni[2026-12-01],
INDIRECT("rec.uni[natureza]"),"repasse.cef.terreno",
INDIRECT("rec.uni[empresa]"),E$6)</f>
        <v>0</v>
      </c>
      <c r="F74" s="38"/>
      <c r="G74" s="45">
        <f ca="1">SUMIFS(rec.uni[2026-12-01],
INDIRECT("rec.uni[natureza]"),"taxa.extra",
INDIRECT("rec.uni[empresa]"),G$6)</f>
        <v>0</v>
      </c>
      <c r="H74" s="131"/>
      <c r="I74" s="44">
        <f>COUNTIFS(
    estq[empresa], I$6,
    estq[Data da venda / reserva], "&gt;=" &amp; $A74,
    estq[Data da venda / reserva], "&lt;"  &amp; EOMONTH($A74,0) + 1
)</f>
        <v>0</v>
      </c>
      <c r="J74" s="45">
        <f ca="1">SUMIFS(rec.uni[2026-12-01],
INDIRECT("rec.uni[natureza]"),"pro.soluto",
INDIRECT("rec.uni[empresa]"),J$6)</f>
        <v>0</v>
      </c>
      <c r="K74" s="45">
        <f ca="1">SUMIFS(rec.uni[2026-12-01],
INDIRECT("rec.uni[natureza]"),"repasse.cef.obra",
INDIRECT("rec.uni[empresa]"),K$6)</f>
        <v>0</v>
      </c>
      <c r="L74" s="45">
        <f ca="1">SUMIFS(rec.uni[2026-12-01],
INDIRECT("rec.uni[natureza]"),"repasse.cef.terreno",
INDIRECT("rec.uni[empresa]"),L$6)</f>
        <v>0</v>
      </c>
      <c r="M74" s="38"/>
      <c r="N74" s="45">
        <f ca="1">SUMIFS(rec.uni[2026-12-01],
INDIRECT("rec.uni[natureza]"),"taxa.extra",
INDIRECT("rec.uni[empresa]"),N$6)</f>
        <v>0</v>
      </c>
      <c r="O74" s="131"/>
      <c r="P74" s="44">
        <f>COUNTIFS(
    estq[empresa], P$6,
    estq[Data da venda / reserva], "&gt;=" &amp; $A74,
    estq[Data da venda / reserva], "&lt;"  &amp; EOMONTH($A74,0) + 1
)</f>
        <v>0</v>
      </c>
      <c r="Q74" s="45">
        <f ca="1">SUMIFS(rec.uni[2026-12-01],
INDIRECT("rec.uni[natureza]"),"pro.soluto",
INDIRECT("rec.uni[empresa]"),Q$6)</f>
        <v>0</v>
      </c>
      <c r="R74" s="45">
        <f ca="1">SUMIFS(rec.uni[2026-12-01],
INDIRECT("rec.uni[natureza]"),"repasse.cef.obra",
INDIRECT("rec.uni[empresa]"),R$6)</f>
        <v>0</v>
      </c>
      <c r="S74" s="45">
        <f ca="1">SUMIFS(rec.uni[2026-12-01],
INDIRECT("rec.uni[natureza]"),"repasse.cef.terreno",
INDIRECT("rec.uni[empresa]"),S$6)</f>
        <v>0</v>
      </c>
      <c r="T74" s="38"/>
      <c r="U74" s="45">
        <f ca="1">SUMIFS(rec.uni[2026-12-01],
INDIRECT("rec.uni[natureza]"),"taxa.extra",
INDIRECT("rec.uni[empresa]"),U$6)</f>
        <v>0</v>
      </c>
      <c r="V74" s="131"/>
      <c r="W74" s="44">
        <f>COUNTIFS(
    estq[empresa], W$6,
    estq[Data da venda / reserva], "&gt;=" &amp; $A74,
    estq[Data da venda / reserva], "&lt;"  &amp; EOMONTH($A74,0) + 1
)</f>
        <v>0</v>
      </c>
      <c r="X74" s="45">
        <f ca="1">SUMIFS(rec.uni[2026-12-01],
INDIRECT("rec.uni[natureza]"),"pro.soluto",
INDIRECT("rec.uni[empresa]"),X$6)</f>
        <v>0</v>
      </c>
      <c r="Y74" s="45">
        <f ca="1">SUMIFS(rec.uni[2026-12-01],
INDIRECT("rec.uni[natureza]"),"repasse.cef.obra",
INDIRECT("rec.uni[empresa]"),Y$6)</f>
        <v>0</v>
      </c>
      <c r="Z74" s="45">
        <f ca="1">SUMIFS(rec.uni[2026-12-01],
INDIRECT("rec.uni[natureza]"),"repasse.cef.terreno",
INDIRECT("rec.uni[empresa]"),Z$6)</f>
        <v>0</v>
      </c>
      <c r="AA74" s="38"/>
      <c r="AB74" s="45">
        <f ca="1">SUMIFS(rec.uni[2026-12-01],
INDIRECT("rec.uni[natureza]"),"taxa.extra",
INDIRECT("rec.uni[empresa]"),AB$6)</f>
        <v>0</v>
      </c>
      <c r="AC74" s="131"/>
      <c r="AD74" s="44">
        <f>COUNTIFS(
    estq[empresa], AD$6,
    estq[Data da venda / reserva], "&gt;=" &amp; $A74,
    estq[Data da venda / reserva], "&lt;"  &amp; EOMONTH($A74,0) + 1
)</f>
        <v>0</v>
      </c>
      <c r="AE74" s="45">
        <f ca="1">SUMIFS(rec.uni[2026-12-01],
INDIRECT("rec.uni[natureza]"),"pro.soluto",
INDIRECT("rec.uni[empresa]"),AE$6)</f>
        <v>0</v>
      </c>
      <c r="AF74" s="38">
        <f ca="1">SUMIFS(rec.uni[2026-12-01],
INDIRECT("rec.uni[natureza]"),"parcela.fin.total.ik",
INDIRECT("rec.uni[empresa]"),AF$6)</f>
        <v>0</v>
      </c>
      <c r="AG74" s="45">
        <f ca="1">SUMIFS(rec.uni[2026-12-01],
INDIRECT("rec.uni[natureza]"),"taxa.extra",
INDIRECT("rec.uni[empresa]"),AG$6)</f>
        <v>0</v>
      </c>
      <c r="AH74" s="131"/>
      <c r="AI74" s="44">
        <f>COUNTIFS(
    estq[empresa], AI$6,
    estq[Data da venda / reserva], "&gt;=" &amp; $A74,
    estq[Data da venda / reserva], "&lt;"  &amp; EOMONTH($A74,0) + 1
)</f>
        <v>0</v>
      </c>
      <c r="AJ74" s="45">
        <f ca="1">SUMIFS(rec.uni[2026-12-01],
INDIRECT("rec.uni[natureza]"),"pro.soluto",
INDIRECT("rec.uni[empresa]"),AJ$6)</f>
        <v>0</v>
      </c>
      <c r="AK74" s="45">
        <f ca="1">SUMIFS(rec.uni[2026-12-01],
INDIRECT("rec.uni[natureza]"),"repasse.cef.obra",
INDIRECT("rec.uni[empresa]"),AK$6)</f>
        <v>0</v>
      </c>
      <c r="AL74" s="45">
        <f ca="1">SUMIFS(rec.uni[2026-12-01],
INDIRECT("rec.uni[natureza]"),"repasse.cef.terreno",
INDIRECT("rec.uni[empresa]"),AL$6)</f>
        <v>0</v>
      </c>
      <c r="AM74" s="38"/>
      <c r="AN74" s="45">
        <f ca="1">SUMIFS(rec.uni[2026-12-01],
INDIRECT("rec.uni[natureza]"),"taxa.extra",
INDIRECT("rec.uni[empresa]"),AN$6)</f>
        <v>0</v>
      </c>
      <c r="AO74" s="131"/>
      <c r="AP74" s="44">
        <f>COUNTIFS(
    estq[empresa], AP$6,
    estq[Data da venda / reserva], "&gt;=" &amp; $A74,
    estq[Data da venda / reserva], "&lt;"  &amp; EOMONTH($A74,0) + 1
)</f>
        <v>0</v>
      </c>
      <c r="AQ74" s="45">
        <f ca="1">SUMIFS(rec.uni[2026-12-01],
INDIRECT("rec.uni[natureza]"),"pro.soluto",
INDIRECT("rec.uni[empresa]"),AQ$6)</f>
        <v>0</v>
      </c>
      <c r="AR74" s="45">
        <f ca="1">SUMIFS(rec.uni[2026-12-01],
INDIRECT("rec.uni[natureza]"),"repasse.cef.obra",
INDIRECT("rec.uni[empresa]"),AR$6)</f>
        <v>0</v>
      </c>
      <c r="AS74" s="45">
        <f ca="1">SUMIFS(rec.uni[2026-12-01],
INDIRECT("rec.uni[natureza]"),"repasse.cef.terreno",
INDIRECT("rec.uni[empresa]"),AS$6)</f>
        <v>0</v>
      </c>
      <c r="AT74" s="38"/>
      <c r="AU74" s="45">
        <f ca="1">SUMIFS(rec.uni[2026-12-01],
INDIRECT("rec.uni[natureza]"),"taxa.extra",
INDIRECT("rec.uni[empresa]"),AU$6)</f>
        <v>0</v>
      </c>
      <c r="AV74" s="131"/>
    </row>
    <row r="75" spans="1:48" x14ac:dyDescent="0.25">
      <c r="A75" s="43">
        <v>46388</v>
      </c>
      <c r="B75" s="44">
        <f>COUNTIFS(
    estq[empresa], B$6,
    estq[Data da venda / reserva], "&gt;=" &amp; $A75,
    estq[Data da venda / reserva], "&lt;"  &amp; EOMONTH($A75,0) + 1
)</f>
        <v>0</v>
      </c>
      <c r="C75" s="45">
        <f ca="1">SUMIFS(rec.uni[2027-01-01],
INDIRECT("rec.uni[natureza]"),"pro.soluto",
INDIRECT("rec.uni[empresa]"),C$6)</f>
        <v>0</v>
      </c>
      <c r="D75" s="45">
        <f ca="1">SUMIFS(rec.uni[2027-01-01],
INDIRECT("rec.uni[natureza]"),"repasse.cef.obra",
INDIRECT("rec.uni[empresa]"),D$6)</f>
        <v>0</v>
      </c>
      <c r="E75" s="45">
        <f ca="1">SUMIFS(rec.uni[2027-01-01],
INDIRECT("rec.uni[natureza]"),"repasse.cef.terreno",
INDIRECT("rec.uni[empresa]"),E$6)</f>
        <v>0</v>
      </c>
      <c r="F75" s="38"/>
      <c r="G75" s="45">
        <f ca="1">SUMIFS(rec.uni[2027-01-01],
INDIRECT("rec.uni[natureza]"),"taxa.extra",
INDIRECT("rec.uni[empresa]"),G$6)</f>
        <v>0</v>
      </c>
      <c r="H75" s="131"/>
      <c r="I75" s="44">
        <f>COUNTIFS(
    estq[empresa], I$6,
    estq[Data da venda / reserva], "&gt;=" &amp; $A75,
    estq[Data da venda / reserva], "&lt;"  &amp; EOMONTH($A75,0) + 1
)</f>
        <v>0</v>
      </c>
      <c r="J75" s="45">
        <f ca="1">SUMIFS(rec.uni[2027-01-01],
INDIRECT("rec.uni[natureza]"),"pro.soluto",
INDIRECT("rec.uni[empresa]"),J$6)</f>
        <v>0</v>
      </c>
      <c r="K75" s="45">
        <f ca="1">SUMIFS(rec.uni[2027-01-01],
INDIRECT("rec.uni[natureza]"),"repasse.cef.obra",
INDIRECT("rec.uni[empresa]"),K$6)</f>
        <v>0</v>
      </c>
      <c r="L75" s="45">
        <f ca="1">SUMIFS(rec.uni[2027-01-01],
INDIRECT("rec.uni[natureza]"),"repasse.cef.terreno",
INDIRECT("rec.uni[empresa]"),L$6)</f>
        <v>0</v>
      </c>
      <c r="M75" s="38"/>
      <c r="N75" s="45">
        <f ca="1">SUMIFS(rec.uni[2027-01-01],
INDIRECT("rec.uni[natureza]"),"taxa.extra",
INDIRECT("rec.uni[empresa]"),N$6)</f>
        <v>0</v>
      </c>
      <c r="O75" s="131"/>
      <c r="P75" s="44">
        <f>COUNTIFS(
    estq[empresa], P$6,
    estq[Data da venda / reserva], "&gt;=" &amp; $A75,
    estq[Data da venda / reserva], "&lt;"  &amp; EOMONTH($A75,0) + 1
)</f>
        <v>0</v>
      </c>
      <c r="Q75" s="45">
        <f ca="1">SUMIFS(rec.uni[2027-01-01],
INDIRECT("rec.uni[natureza]"),"pro.soluto",
INDIRECT("rec.uni[empresa]"),Q$6)</f>
        <v>0</v>
      </c>
      <c r="R75" s="45">
        <f ca="1">SUMIFS(rec.uni[2027-01-01],
INDIRECT("rec.uni[natureza]"),"repasse.cef.obra",
INDIRECT("rec.uni[empresa]"),R$6)</f>
        <v>0</v>
      </c>
      <c r="S75" s="45">
        <f ca="1">SUMIFS(rec.uni[2027-01-01],
INDIRECT("rec.uni[natureza]"),"repasse.cef.terreno",
INDIRECT("rec.uni[empresa]"),S$6)</f>
        <v>0</v>
      </c>
      <c r="T75" s="38"/>
      <c r="U75" s="45">
        <f ca="1">SUMIFS(rec.uni[2027-01-01],
INDIRECT("rec.uni[natureza]"),"taxa.extra",
INDIRECT("rec.uni[empresa]"),U$6)</f>
        <v>0</v>
      </c>
      <c r="V75" s="131"/>
      <c r="W75" s="44">
        <f>COUNTIFS(
    estq[empresa], W$6,
    estq[Data da venda / reserva], "&gt;=" &amp; $A75,
    estq[Data da venda / reserva], "&lt;"  &amp; EOMONTH($A75,0) + 1
)</f>
        <v>0</v>
      </c>
      <c r="X75" s="45">
        <f ca="1">SUMIFS(rec.uni[2027-01-01],
INDIRECT("rec.uni[natureza]"),"pro.soluto",
INDIRECT("rec.uni[empresa]"),X$6)</f>
        <v>0</v>
      </c>
      <c r="Y75" s="45">
        <f ca="1">SUMIFS(rec.uni[2027-01-01],
INDIRECT("rec.uni[natureza]"),"repasse.cef.obra",
INDIRECT("rec.uni[empresa]"),Y$6)</f>
        <v>0</v>
      </c>
      <c r="Z75" s="45">
        <f ca="1">SUMIFS(rec.uni[2027-01-01],
INDIRECT("rec.uni[natureza]"),"repasse.cef.terreno",
INDIRECT("rec.uni[empresa]"),Z$6)</f>
        <v>0</v>
      </c>
      <c r="AA75" s="38"/>
      <c r="AB75" s="45">
        <f ca="1">SUMIFS(rec.uni[2027-01-01],
INDIRECT("rec.uni[natureza]"),"taxa.extra",
INDIRECT("rec.uni[empresa]"),AB$6)</f>
        <v>0</v>
      </c>
      <c r="AC75" s="131"/>
      <c r="AD75" s="44">
        <f>COUNTIFS(
    estq[empresa], AD$6,
    estq[Data da venda / reserva], "&gt;=" &amp; $A75,
    estq[Data da venda / reserva], "&lt;"  &amp; EOMONTH($A75,0) + 1
)</f>
        <v>0</v>
      </c>
      <c r="AE75" s="45">
        <f ca="1">SUMIFS(rec.uni[2027-01-01],
INDIRECT("rec.uni[natureza]"),"pro.soluto",
INDIRECT("rec.uni[empresa]"),AE$6)</f>
        <v>0</v>
      </c>
      <c r="AF75" s="38">
        <f ca="1">SUMIFS(rec.uni[2027-01-01],
INDIRECT("rec.uni[natureza]"),"parcela.fin.total.ik",
INDIRECT("rec.uni[empresa]"),AF$6)</f>
        <v>0</v>
      </c>
      <c r="AG75" s="45">
        <f ca="1">SUMIFS(rec.uni[2027-01-01],
INDIRECT("rec.uni[natureza]"),"taxa.extra",
INDIRECT("rec.uni[empresa]"),AG$6)</f>
        <v>0</v>
      </c>
      <c r="AH75" s="131"/>
      <c r="AI75" s="44">
        <f>COUNTIFS(
    estq[empresa], AI$6,
    estq[Data da venda / reserva], "&gt;=" &amp; $A75,
    estq[Data da venda / reserva], "&lt;"  &amp; EOMONTH($A75,0) + 1
)</f>
        <v>0</v>
      </c>
      <c r="AJ75" s="45">
        <f ca="1">SUMIFS(rec.uni[2027-01-01],
INDIRECT("rec.uni[natureza]"),"pro.soluto",
INDIRECT("rec.uni[empresa]"),AJ$6)</f>
        <v>0</v>
      </c>
      <c r="AK75" s="45">
        <f ca="1">SUMIFS(rec.uni[2027-01-01],
INDIRECT("rec.uni[natureza]"),"repasse.cef.obra",
INDIRECT("rec.uni[empresa]"),AK$6)</f>
        <v>0</v>
      </c>
      <c r="AL75" s="45">
        <f ca="1">SUMIFS(rec.uni[2027-01-01],
INDIRECT("rec.uni[natureza]"),"repasse.cef.terreno",
INDIRECT("rec.uni[empresa]"),AL$6)</f>
        <v>0</v>
      </c>
      <c r="AM75" s="38"/>
      <c r="AN75" s="45">
        <f ca="1">SUMIFS(rec.uni[2027-01-01],
INDIRECT("rec.uni[natureza]"),"taxa.extra",
INDIRECT("rec.uni[empresa]"),AN$6)</f>
        <v>0</v>
      </c>
      <c r="AO75" s="131"/>
      <c r="AP75" s="44">
        <f>COUNTIFS(
    estq[empresa], AP$6,
    estq[Data da venda / reserva], "&gt;=" &amp; $A75,
    estq[Data da venda / reserva], "&lt;"  &amp; EOMONTH($A75,0) + 1
)</f>
        <v>0</v>
      </c>
      <c r="AQ75" s="45">
        <f ca="1">SUMIFS(rec.uni[2027-01-01],
INDIRECT("rec.uni[natureza]"),"pro.soluto",
INDIRECT("rec.uni[empresa]"),AQ$6)</f>
        <v>0</v>
      </c>
      <c r="AR75" s="45">
        <f ca="1">SUMIFS(rec.uni[2027-01-01],
INDIRECT("rec.uni[natureza]"),"repasse.cef.obra",
INDIRECT("rec.uni[empresa]"),AR$6)</f>
        <v>0</v>
      </c>
      <c r="AS75" s="45">
        <f ca="1">SUMIFS(rec.uni[2027-01-01],
INDIRECT("rec.uni[natureza]"),"repasse.cef.terreno",
INDIRECT("rec.uni[empresa]"),AS$6)</f>
        <v>0</v>
      </c>
      <c r="AT75" s="38"/>
      <c r="AU75" s="45">
        <f ca="1">SUMIFS(rec.uni[2027-01-01],
INDIRECT("rec.uni[natureza]"),"taxa.extra",
INDIRECT("rec.uni[empresa]"),AU$6)</f>
        <v>0</v>
      </c>
      <c r="AV75" s="131"/>
    </row>
    <row r="76" spans="1:48" x14ac:dyDescent="0.25">
      <c r="A76" s="43">
        <v>46419</v>
      </c>
      <c r="B76" s="44">
        <f>COUNTIFS(
    estq[empresa], B$6,
    estq[Data da venda / reserva], "&gt;=" &amp; $A76,
    estq[Data da venda / reserva], "&lt;"  &amp; EOMONTH($A76,0) + 1
)</f>
        <v>0</v>
      </c>
      <c r="C76" s="45">
        <f ca="1">SUMIFS(rec.uni[2027-02-01],
INDIRECT("rec.uni[natureza]"),"pro.soluto",
INDIRECT("rec.uni[empresa]"),C$6)</f>
        <v>0</v>
      </c>
      <c r="D76" s="45">
        <f ca="1">SUMIFS(rec.uni[2027-02-01],
INDIRECT("rec.uni[natureza]"),"repasse.cef.obra",
INDIRECT("rec.uni[empresa]"),D$6)</f>
        <v>0</v>
      </c>
      <c r="E76" s="45">
        <f ca="1">SUMIFS(rec.uni[2027-02-01],
INDIRECT("rec.uni[natureza]"),"repasse.cef.terreno",
INDIRECT("rec.uni[empresa]"),E$6)</f>
        <v>0</v>
      </c>
      <c r="F76" s="38"/>
      <c r="G76" s="45">
        <f ca="1">SUMIFS(rec.uni[2027-02-01],
INDIRECT("rec.uni[natureza]"),"taxa.extra",
INDIRECT("rec.uni[empresa]"),G$6)</f>
        <v>0</v>
      </c>
      <c r="H76" s="131"/>
      <c r="I76" s="44">
        <f>COUNTIFS(
    estq[empresa], I$6,
    estq[Data da venda / reserva], "&gt;=" &amp; $A76,
    estq[Data da venda / reserva], "&lt;"  &amp; EOMONTH($A76,0) + 1
)</f>
        <v>0</v>
      </c>
      <c r="J76" s="45">
        <f ca="1">SUMIFS(rec.uni[2027-02-01],
INDIRECT("rec.uni[natureza]"),"pro.soluto",
INDIRECT("rec.uni[empresa]"),J$6)</f>
        <v>0</v>
      </c>
      <c r="K76" s="45">
        <f ca="1">SUMIFS(rec.uni[2027-02-01],
INDIRECT("rec.uni[natureza]"),"repasse.cef.obra",
INDIRECT("rec.uni[empresa]"),K$6)</f>
        <v>0</v>
      </c>
      <c r="L76" s="45">
        <f ca="1">SUMIFS(rec.uni[2027-02-01],
INDIRECT("rec.uni[natureza]"),"repasse.cef.terreno",
INDIRECT("rec.uni[empresa]"),L$6)</f>
        <v>0</v>
      </c>
      <c r="M76" s="38"/>
      <c r="N76" s="45">
        <f ca="1">SUMIFS(rec.uni[2027-02-01],
INDIRECT("rec.uni[natureza]"),"taxa.extra",
INDIRECT("rec.uni[empresa]"),N$6)</f>
        <v>0</v>
      </c>
      <c r="O76" s="131"/>
      <c r="P76" s="44">
        <f>COUNTIFS(
    estq[empresa], P$6,
    estq[Data da venda / reserva], "&gt;=" &amp; $A76,
    estq[Data da venda / reserva], "&lt;"  &amp; EOMONTH($A76,0) + 1
)</f>
        <v>0</v>
      </c>
      <c r="Q76" s="45">
        <f ca="1">SUMIFS(rec.uni[2027-02-01],
INDIRECT("rec.uni[natureza]"),"pro.soluto",
INDIRECT("rec.uni[empresa]"),Q$6)</f>
        <v>0</v>
      </c>
      <c r="R76" s="45">
        <f ca="1">SUMIFS(rec.uni[2027-02-01],
INDIRECT("rec.uni[natureza]"),"repasse.cef.obra",
INDIRECT("rec.uni[empresa]"),R$6)</f>
        <v>0</v>
      </c>
      <c r="S76" s="45">
        <f ca="1">SUMIFS(rec.uni[2027-02-01],
INDIRECT("rec.uni[natureza]"),"repasse.cef.terreno",
INDIRECT("rec.uni[empresa]"),S$6)</f>
        <v>0</v>
      </c>
      <c r="T76" s="38"/>
      <c r="U76" s="45">
        <f ca="1">SUMIFS(rec.uni[2027-02-01],
INDIRECT("rec.uni[natureza]"),"taxa.extra",
INDIRECT("rec.uni[empresa]"),U$6)</f>
        <v>0</v>
      </c>
      <c r="V76" s="131"/>
      <c r="W76" s="44">
        <f>COUNTIFS(
    estq[empresa], W$6,
    estq[Data da venda / reserva], "&gt;=" &amp; $A76,
    estq[Data da venda / reserva], "&lt;"  &amp; EOMONTH($A76,0) + 1
)</f>
        <v>0</v>
      </c>
      <c r="X76" s="45">
        <f ca="1">SUMIFS(rec.uni[2027-02-01],
INDIRECT("rec.uni[natureza]"),"pro.soluto",
INDIRECT("rec.uni[empresa]"),X$6)</f>
        <v>0</v>
      </c>
      <c r="Y76" s="45">
        <f ca="1">SUMIFS(rec.uni[2027-02-01],
INDIRECT("rec.uni[natureza]"),"repasse.cef.obra",
INDIRECT("rec.uni[empresa]"),Y$6)</f>
        <v>0</v>
      </c>
      <c r="Z76" s="45">
        <f ca="1">SUMIFS(rec.uni[2027-02-01],
INDIRECT("rec.uni[natureza]"),"repasse.cef.terreno",
INDIRECT("rec.uni[empresa]"),Z$6)</f>
        <v>0</v>
      </c>
      <c r="AA76" s="38"/>
      <c r="AB76" s="45">
        <f ca="1">SUMIFS(rec.uni[2027-02-01],
INDIRECT("rec.uni[natureza]"),"taxa.extra",
INDIRECT("rec.uni[empresa]"),AB$6)</f>
        <v>0</v>
      </c>
      <c r="AC76" s="131"/>
      <c r="AD76" s="44">
        <f>COUNTIFS(
    estq[empresa], AD$6,
    estq[Data da venda / reserva], "&gt;=" &amp; $A76,
    estq[Data da venda / reserva], "&lt;"  &amp; EOMONTH($A76,0) + 1
)</f>
        <v>0</v>
      </c>
      <c r="AE76" s="45">
        <f ca="1">SUMIFS(rec.uni[2027-02-01],
INDIRECT("rec.uni[natureza]"),"pro.soluto",
INDIRECT("rec.uni[empresa]"),AE$6)</f>
        <v>0</v>
      </c>
      <c r="AF76" s="38">
        <f ca="1">SUMIFS(rec.uni[2027-02-01],
INDIRECT("rec.uni[natureza]"),"parcela.fin.total.ik",
INDIRECT("rec.uni[empresa]"),AF$6)</f>
        <v>0</v>
      </c>
      <c r="AG76" s="45">
        <f ca="1">SUMIFS(rec.uni[2027-02-01],
INDIRECT("rec.uni[natureza]"),"taxa.extra",
INDIRECT("rec.uni[empresa]"),AG$6)</f>
        <v>0</v>
      </c>
      <c r="AH76" s="131"/>
      <c r="AI76" s="44">
        <f>COUNTIFS(
    estq[empresa], AI$6,
    estq[Data da venda / reserva], "&gt;=" &amp; $A76,
    estq[Data da venda / reserva], "&lt;"  &amp; EOMONTH($A76,0) + 1
)</f>
        <v>0</v>
      </c>
      <c r="AJ76" s="45">
        <f ca="1">SUMIFS(rec.uni[2027-02-01],
INDIRECT("rec.uni[natureza]"),"pro.soluto",
INDIRECT("rec.uni[empresa]"),AJ$6)</f>
        <v>0</v>
      </c>
      <c r="AK76" s="45">
        <f ca="1">SUMIFS(rec.uni[2027-02-01],
INDIRECT("rec.uni[natureza]"),"repasse.cef.obra",
INDIRECT("rec.uni[empresa]"),AK$6)</f>
        <v>0</v>
      </c>
      <c r="AL76" s="45">
        <f ca="1">SUMIFS(rec.uni[2027-02-01],
INDIRECT("rec.uni[natureza]"),"repasse.cef.terreno",
INDIRECT("rec.uni[empresa]"),AL$6)</f>
        <v>0</v>
      </c>
      <c r="AM76" s="38"/>
      <c r="AN76" s="45">
        <f ca="1">SUMIFS(rec.uni[2027-02-01],
INDIRECT("rec.uni[natureza]"),"taxa.extra",
INDIRECT("rec.uni[empresa]"),AN$6)</f>
        <v>0</v>
      </c>
      <c r="AO76" s="131"/>
      <c r="AP76" s="44">
        <f>COUNTIFS(
    estq[empresa], AP$6,
    estq[Data da venda / reserva], "&gt;=" &amp; $A76,
    estq[Data da venda / reserva], "&lt;"  &amp; EOMONTH($A76,0) + 1
)</f>
        <v>0</v>
      </c>
      <c r="AQ76" s="45">
        <f ca="1">SUMIFS(rec.uni[2027-02-01],
INDIRECT("rec.uni[natureza]"),"pro.soluto",
INDIRECT("rec.uni[empresa]"),AQ$6)</f>
        <v>0</v>
      </c>
      <c r="AR76" s="45">
        <f ca="1">SUMIFS(rec.uni[2027-02-01],
INDIRECT("rec.uni[natureza]"),"repasse.cef.obra",
INDIRECT("rec.uni[empresa]"),AR$6)</f>
        <v>0</v>
      </c>
      <c r="AS76" s="45">
        <f ca="1">SUMIFS(rec.uni[2027-02-01],
INDIRECT("rec.uni[natureza]"),"repasse.cef.terreno",
INDIRECT("rec.uni[empresa]"),AS$6)</f>
        <v>0</v>
      </c>
      <c r="AT76" s="38"/>
      <c r="AU76" s="45">
        <f ca="1">SUMIFS(rec.uni[2027-02-01],
INDIRECT("rec.uni[natureza]"),"taxa.extra",
INDIRECT("rec.uni[empresa]"),AU$6)</f>
        <v>0</v>
      </c>
      <c r="AV76" s="131"/>
    </row>
    <row r="77" spans="1:48" x14ac:dyDescent="0.25">
      <c r="A77" s="43">
        <v>46447</v>
      </c>
      <c r="B77" s="44">
        <f>COUNTIFS(
    estq[empresa], B$6,
    estq[Data da venda / reserva], "&gt;=" &amp; $A77,
    estq[Data da venda / reserva], "&lt;"  &amp; EOMONTH($A77,0) + 1
)</f>
        <v>0</v>
      </c>
      <c r="C77" s="45">
        <f ca="1">SUMIFS(rec.uni[2027-03-01],
INDIRECT("rec.uni[natureza]"),"pro.soluto",
INDIRECT("rec.uni[empresa]"),C$6)</f>
        <v>0</v>
      </c>
      <c r="D77" s="45">
        <f ca="1">SUMIFS(rec.uni[2027-03-01],
INDIRECT("rec.uni[natureza]"),"repasse.cef.obra",
INDIRECT("rec.uni[empresa]"),D$6)</f>
        <v>0</v>
      </c>
      <c r="E77" s="45">
        <f ca="1">SUMIFS(rec.uni[2027-03-01],
INDIRECT("rec.uni[natureza]"),"repasse.cef.terreno",
INDIRECT("rec.uni[empresa]"),E$6)</f>
        <v>0</v>
      </c>
      <c r="F77" s="38"/>
      <c r="G77" s="45">
        <f ca="1">SUMIFS(rec.uni[2027-03-01],
INDIRECT("rec.uni[natureza]"),"taxa.extra",
INDIRECT("rec.uni[empresa]"),G$6)</f>
        <v>0</v>
      </c>
      <c r="H77" s="131"/>
      <c r="I77" s="44">
        <f>COUNTIFS(
    estq[empresa], I$6,
    estq[Data da venda / reserva], "&gt;=" &amp; $A77,
    estq[Data da venda / reserva], "&lt;"  &amp; EOMONTH($A77,0) + 1
)</f>
        <v>0</v>
      </c>
      <c r="J77" s="45">
        <f ca="1">SUMIFS(rec.uni[2027-03-01],
INDIRECT("rec.uni[natureza]"),"pro.soluto",
INDIRECT("rec.uni[empresa]"),J$6)</f>
        <v>0</v>
      </c>
      <c r="K77" s="45">
        <f ca="1">SUMIFS(rec.uni[2027-03-01],
INDIRECT("rec.uni[natureza]"),"repasse.cef.obra",
INDIRECT("rec.uni[empresa]"),K$6)</f>
        <v>0</v>
      </c>
      <c r="L77" s="45">
        <f ca="1">SUMIFS(rec.uni[2027-03-01],
INDIRECT("rec.uni[natureza]"),"repasse.cef.terreno",
INDIRECT("rec.uni[empresa]"),L$6)</f>
        <v>0</v>
      </c>
      <c r="M77" s="38"/>
      <c r="N77" s="45">
        <f ca="1">SUMIFS(rec.uni[2027-03-01],
INDIRECT("rec.uni[natureza]"),"taxa.extra",
INDIRECT("rec.uni[empresa]"),N$6)</f>
        <v>0</v>
      </c>
      <c r="O77" s="131"/>
      <c r="P77" s="44">
        <f>COUNTIFS(
    estq[empresa], P$6,
    estq[Data da venda / reserva], "&gt;=" &amp; $A77,
    estq[Data da venda / reserva], "&lt;"  &amp; EOMONTH($A77,0) + 1
)</f>
        <v>0</v>
      </c>
      <c r="Q77" s="45">
        <f ca="1">SUMIFS(rec.uni[2027-03-01],
INDIRECT("rec.uni[natureza]"),"pro.soluto",
INDIRECT("rec.uni[empresa]"),Q$6)</f>
        <v>0</v>
      </c>
      <c r="R77" s="45">
        <f ca="1">SUMIFS(rec.uni[2027-03-01],
INDIRECT("rec.uni[natureza]"),"repasse.cef.obra",
INDIRECT("rec.uni[empresa]"),R$6)</f>
        <v>0</v>
      </c>
      <c r="S77" s="45">
        <f ca="1">SUMIFS(rec.uni[2027-03-01],
INDIRECT("rec.uni[natureza]"),"repasse.cef.terreno",
INDIRECT("rec.uni[empresa]"),S$6)</f>
        <v>0</v>
      </c>
      <c r="T77" s="38"/>
      <c r="U77" s="45">
        <f ca="1">SUMIFS(rec.uni[2027-03-01],
INDIRECT("rec.uni[natureza]"),"taxa.extra",
INDIRECT("rec.uni[empresa]"),U$6)</f>
        <v>0</v>
      </c>
      <c r="V77" s="131"/>
      <c r="W77" s="44">
        <f>COUNTIFS(
    estq[empresa], W$6,
    estq[Data da venda / reserva], "&gt;=" &amp; $A77,
    estq[Data da venda / reserva], "&lt;"  &amp; EOMONTH($A77,0) + 1
)</f>
        <v>0</v>
      </c>
      <c r="X77" s="45">
        <f ca="1">SUMIFS(rec.uni[2027-03-01],
INDIRECT("rec.uni[natureza]"),"pro.soluto",
INDIRECT("rec.uni[empresa]"),X$6)</f>
        <v>0</v>
      </c>
      <c r="Y77" s="45">
        <f ca="1">SUMIFS(rec.uni[2027-03-01],
INDIRECT("rec.uni[natureza]"),"repasse.cef.obra",
INDIRECT("rec.uni[empresa]"),Y$6)</f>
        <v>0</v>
      </c>
      <c r="Z77" s="45">
        <f ca="1">SUMIFS(rec.uni[2027-03-01],
INDIRECT("rec.uni[natureza]"),"repasse.cef.terreno",
INDIRECT("rec.uni[empresa]"),Z$6)</f>
        <v>0</v>
      </c>
      <c r="AA77" s="38"/>
      <c r="AB77" s="45">
        <f ca="1">SUMIFS(rec.uni[2027-03-01],
INDIRECT("rec.uni[natureza]"),"taxa.extra",
INDIRECT("rec.uni[empresa]"),AB$6)</f>
        <v>0</v>
      </c>
      <c r="AC77" s="131"/>
      <c r="AD77" s="44">
        <f>COUNTIFS(
    estq[empresa], AD$6,
    estq[Data da venda / reserva], "&gt;=" &amp; $A77,
    estq[Data da venda / reserva], "&lt;"  &amp; EOMONTH($A77,0) + 1
)</f>
        <v>0</v>
      </c>
      <c r="AE77" s="45">
        <f ca="1">SUMIFS(rec.uni[2027-03-01],
INDIRECT("rec.uni[natureza]"),"pro.soluto",
INDIRECT("rec.uni[empresa]"),AE$6)</f>
        <v>0</v>
      </c>
      <c r="AF77" s="38">
        <f ca="1">SUMIFS(rec.uni[2027-03-01],
INDIRECT("rec.uni[natureza]"),"parcela.fin.total.ik",
INDIRECT("rec.uni[empresa]"),AF$6)</f>
        <v>0</v>
      </c>
      <c r="AG77" s="45">
        <f ca="1">SUMIFS(rec.uni[2027-03-01],
INDIRECT("rec.uni[natureza]"),"taxa.extra",
INDIRECT("rec.uni[empresa]"),AG$6)</f>
        <v>0</v>
      </c>
      <c r="AH77" s="131"/>
      <c r="AI77" s="44">
        <f>COUNTIFS(
    estq[empresa], AI$6,
    estq[Data da venda / reserva], "&gt;=" &amp; $A77,
    estq[Data da venda / reserva], "&lt;"  &amp; EOMONTH($A77,0) + 1
)</f>
        <v>0</v>
      </c>
      <c r="AJ77" s="45">
        <f ca="1">SUMIFS(rec.uni[2027-03-01],
INDIRECT("rec.uni[natureza]"),"pro.soluto",
INDIRECT("rec.uni[empresa]"),AJ$6)</f>
        <v>0</v>
      </c>
      <c r="AK77" s="45">
        <f ca="1">SUMIFS(rec.uni[2027-03-01],
INDIRECT("rec.uni[natureza]"),"repasse.cef.obra",
INDIRECT("rec.uni[empresa]"),AK$6)</f>
        <v>0</v>
      </c>
      <c r="AL77" s="45">
        <f ca="1">SUMIFS(rec.uni[2027-03-01],
INDIRECT("rec.uni[natureza]"),"repasse.cef.terreno",
INDIRECT("rec.uni[empresa]"),AL$6)</f>
        <v>0</v>
      </c>
      <c r="AM77" s="38"/>
      <c r="AN77" s="45">
        <f ca="1">SUMIFS(rec.uni[2027-03-01],
INDIRECT("rec.uni[natureza]"),"taxa.extra",
INDIRECT("rec.uni[empresa]"),AN$6)</f>
        <v>0</v>
      </c>
      <c r="AO77" s="131"/>
      <c r="AP77" s="44">
        <f>COUNTIFS(
    estq[empresa], AP$6,
    estq[Data da venda / reserva], "&gt;=" &amp; $A77,
    estq[Data da venda / reserva], "&lt;"  &amp; EOMONTH($A77,0) + 1
)</f>
        <v>0</v>
      </c>
      <c r="AQ77" s="45">
        <f ca="1">SUMIFS(rec.uni[2027-03-01],
INDIRECT("rec.uni[natureza]"),"pro.soluto",
INDIRECT("rec.uni[empresa]"),AQ$6)</f>
        <v>0</v>
      </c>
      <c r="AR77" s="45">
        <f ca="1">SUMIFS(rec.uni[2027-03-01],
INDIRECT("rec.uni[natureza]"),"repasse.cef.obra",
INDIRECT("rec.uni[empresa]"),AR$6)</f>
        <v>0</v>
      </c>
      <c r="AS77" s="45">
        <f ca="1">SUMIFS(rec.uni[2027-03-01],
INDIRECT("rec.uni[natureza]"),"repasse.cef.terreno",
INDIRECT("rec.uni[empresa]"),AS$6)</f>
        <v>0</v>
      </c>
      <c r="AT77" s="38"/>
      <c r="AU77" s="45">
        <f ca="1">SUMIFS(rec.uni[2027-03-01],
INDIRECT("rec.uni[natureza]"),"taxa.extra",
INDIRECT("rec.uni[empresa]"),AU$6)</f>
        <v>0</v>
      </c>
      <c r="AV77" s="131"/>
    </row>
    <row r="78" spans="1:48" x14ac:dyDescent="0.25">
      <c r="A78" s="43">
        <v>46478</v>
      </c>
      <c r="B78" s="44">
        <f>COUNTIFS(
    estq[empresa], B$6,
    estq[Data da venda / reserva], "&gt;=" &amp; $A78,
    estq[Data da venda / reserva], "&lt;"  &amp; EOMONTH($A78,0) + 1
)</f>
        <v>0</v>
      </c>
      <c r="C78" s="45">
        <f ca="1">SUMIFS(rec.uni[2027-04-01],
INDIRECT("rec.uni[natureza]"),"pro.soluto",
INDIRECT("rec.uni[empresa]"),C$6)</f>
        <v>0</v>
      </c>
      <c r="D78" s="45">
        <f ca="1">SUMIFS(rec.uni[2027-04-01],
INDIRECT("rec.uni[natureza]"),"repasse.cef.obra",
INDIRECT("rec.uni[empresa]"),D$6)</f>
        <v>0</v>
      </c>
      <c r="E78" s="45">
        <f ca="1">SUMIFS(rec.uni[2027-04-01],
INDIRECT("rec.uni[natureza]"),"repasse.cef.terreno",
INDIRECT("rec.uni[empresa]"),E$6)</f>
        <v>0</v>
      </c>
      <c r="F78" s="38"/>
      <c r="G78" s="45">
        <f ca="1">SUMIFS(rec.uni[2027-04-01],
INDIRECT("rec.uni[natureza]"),"taxa.extra",
INDIRECT("rec.uni[empresa]"),G$6)</f>
        <v>0</v>
      </c>
      <c r="H78" s="131"/>
      <c r="I78" s="44">
        <f>COUNTIFS(
    estq[empresa], I$6,
    estq[Data da venda / reserva], "&gt;=" &amp; $A78,
    estq[Data da venda / reserva], "&lt;"  &amp; EOMONTH($A78,0) + 1
)</f>
        <v>0</v>
      </c>
      <c r="J78" s="45">
        <f ca="1">SUMIFS(rec.uni[2027-04-01],
INDIRECT("rec.uni[natureza]"),"pro.soluto",
INDIRECT("rec.uni[empresa]"),J$6)</f>
        <v>0</v>
      </c>
      <c r="K78" s="45">
        <f ca="1">SUMIFS(rec.uni[2027-04-01],
INDIRECT("rec.uni[natureza]"),"repasse.cef.obra",
INDIRECT("rec.uni[empresa]"),K$6)</f>
        <v>0</v>
      </c>
      <c r="L78" s="45">
        <f ca="1">SUMIFS(rec.uni[2027-04-01],
INDIRECT("rec.uni[natureza]"),"repasse.cef.terreno",
INDIRECT("rec.uni[empresa]"),L$6)</f>
        <v>0</v>
      </c>
      <c r="M78" s="38"/>
      <c r="N78" s="45">
        <f ca="1">SUMIFS(rec.uni[2027-04-01],
INDIRECT("rec.uni[natureza]"),"taxa.extra",
INDIRECT("rec.uni[empresa]"),N$6)</f>
        <v>0</v>
      </c>
      <c r="O78" s="131"/>
      <c r="P78" s="44">
        <f>COUNTIFS(
    estq[empresa], P$6,
    estq[Data da venda / reserva], "&gt;=" &amp; $A78,
    estq[Data da venda / reserva], "&lt;"  &amp; EOMONTH($A78,0) + 1
)</f>
        <v>0</v>
      </c>
      <c r="Q78" s="45">
        <f ca="1">SUMIFS(rec.uni[2027-04-01],
INDIRECT("rec.uni[natureza]"),"pro.soluto",
INDIRECT("rec.uni[empresa]"),Q$6)</f>
        <v>0</v>
      </c>
      <c r="R78" s="45">
        <f ca="1">SUMIFS(rec.uni[2027-04-01],
INDIRECT("rec.uni[natureza]"),"repasse.cef.obra",
INDIRECT("rec.uni[empresa]"),R$6)</f>
        <v>0</v>
      </c>
      <c r="S78" s="45">
        <f ca="1">SUMIFS(rec.uni[2027-04-01],
INDIRECT("rec.uni[natureza]"),"repasse.cef.terreno",
INDIRECT("rec.uni[empresa]"),S$6)</f>
        <v>0</v>
      </c>
      <c r="T78" s="38"/>
      <c r="U78" s="45">
        <f ca="1">SUMIFS(rec.uni[2027-04-01],
INDIRECT("rec.uni[natureza]"),"taxa.extra",
INDIRECT("rec.uni[empresa]"),U$6)</f>
        <v>0</v>
      </c>
      <c r="V78" s="131"/>
      <c r="W78" s="44">
        <f>COUNTIFS(
    estq[empresa], W$6,
    estq[Data da venda / reserva], "&gt;=" &amp; $A78,
    estq[Data da venda / reserva], "&lt;"  &amp; EOMONTH($A78,0) + 1
)</f>
        <v>0</v>
      </c>
      <c r="X78" s="45">
        <f ca="1">SUMIFS(rec.uni[2027-04-01],
INDIRECT("rec.uni[natureza]"),"pro.soluto",
INDIRECT("rec.uni[empresa]"),X$6)</f>
        <v>0</v>
      </c>
      <c r="Y78" s="45">
        <f ca="1">SUMIFS(rec.uni[2027-04-01],
INDIRECT("rec.uni[natureza]"),"repasse.cef.obra",
INDIRECT("rec.uni[empresa]"),Y$6)</f>
        <v>0</v>
      </c>
      <c r="Z78" s="45">
        <f ca="1">SUMIFS(rec.uni[2027-04-01],
INDIRECT("rec.uni[natureza]"),"repasse.cef.terreno",
INDIRECT("rec.uni[empresa]"),Z$6)</f>
        <v>0</v>
      </c>
      <c r="AA78" s="38"/>
      <c r="AB78" s="45">
        <f ca="1">SUMIFS(rec.uni[2027-04-01],
INDIRECT("rec.uni[natureza]"),"taxa.extra",
INDIRECT("rec.uni[empresa]"),AB$6)</f>
        <v>0</v>
      </c>
      <c r="AC78" s="131"/>
      <c r="AD78" s="44">
        <f>COUNTIFS(
    estq[empresa], AD$6,
    estq[Data da venda / reserva], "&gt;=" &amp; $A78,
    estq[Data da venda / reserva], "&lt;"  &amp; EOMONTH($A78,0) + 1
)</f>
        <v>0</v>
      </c>
      <c r="AE78" s="45">
        <f ca="1">SUMIFS(rec.uni[2027-04-01],
INDIRECT("rec.uni[natureza]"),"pro.soluto",
INDIRECT("rec.uni[empresa]"),AE$6)</f>
        <v>0</v>
      </c>
      <c r="AF78" s="38">
        <f ca="1">SUMIFS(rec.uni[2027-04-01],
INDIRECT("rec.uni[natureza]"),"parcela.fin.total.ik",
INDIRECT("rec.uni[empresa]"),AF$6)</f>
        <v>0</v>
      </c>
      <c r="AG78" s="45">
        <f ca="1">SUMIFS(rec.uni[2027-04-01],
INDIRECT("rec.uni[natureza]"),"taxa.extra",
INDIRECT("rec.uni[empresa]"),AG$6)</f>
        <v>0</v>
      </c>
      <c r="AH78" s="131"/>
      <c r="AI78" s="44">
        <f>COUNTIFS(
    estq[empresa], AI$6,
    estq[Data da venda / reserva], "&gt;=" &amp; $A78,
    estq[Data da venda / reserva], "&lt;"  &amp; EOMONTH($A78,0) + 1
)</f>
        <v>0</v>
      </c>
      <c r="AJ78" s="45">
        <f ca="1">SUMIFS(rec.uni[2027-04-01],
INDIRECT("rec.uni[natureza]"),"pro.soluto",
INDIRECT("rec.uni[empresa]"),AJ$6)</f>
        <v>0</v>
      </c>
      <c r="AK78" s="45">
        <f ca="1">SUMIFS(rec.uni[2027-04-01],
INDIRECT("rec.uni[natureza]"),"repasse.cef.obra",
INDIRECT("rec.uni[empresa]"),AK$6)</f>
        <v>0</v>
      </c>
      <c r="AL78" s="45">
        <f ca="1">SUMIFS(rec.uni[2027-04-01],
INDIRECT("rec.uni[natureza]"),"repasse.cef.terreno",
INDIRECT("rec.uni[empresa]"),AL$6)</f>
        <v>0</v>
      </c>
      <c r="AM78" s="38"/>
      <c r="AN78" s="45">
        <f ca="1">SUMIFS(rec.uni[2027-04-01],
INDIRECT("rec.uni[natureza]"),"taxa.extra",
INDIRECT("rec.uni[empresa]"),AN$6)</f>
        <v>0</v>
      </c>
      <c r="AO78" s="131"/>
      <c r="AP78" s="44">
        <f>COUNTIFS(
    estq[empresa], AP$6,
    estq[Data da venda / reserva], "&gt;=" &amp; $A78,
    estq[Data da venda / reserva], "&lt;"  &amp; EOMONTH($A78,0) + 1
)</f>
        <v>0</v>
      </c>
      <c r="AQ78" s="45">
        <f ca="1">SUMIFS(rec.uni[2027-04-01],
INDIRECT("rec.uni[natureza]"),"pro.soluto",
INDIRECT("rec.uni[empresa]"),AQ$6)</f>
        <v>0</v>
      </c>
      <c r="AR78" s="45">
        <f ca="1">SUMIFS(rec.uni[2027-04-01],
INDIRECT("rec.uni[natureza]"),"repasse.cef.obra",
INDIRECT("rec.uni[empresa]"),AR$6)</f>
        <v>0</v>
      </c>
      <c r="AS78" s="45">
        <f ca="1">SUMIFS(rec.uni[2027-04-01],
INDIRECT("rec.uni[natureza]"),"repasse.cef.terreno",
INDIRECT("rec.uni[empresa]"),AS$6)</f>
        <v>0</v>
      </c>
      <c r="AT78" s="38"/>
      <c r="AU78" s="45">
        <f ca="1">SUMIFS(rec.uni[2027-04-01],
INDIRECT("rec.uni[natureza]"),"taxa.extra",
INDIRECT("rec.uni[empresa]"),AU$6)</f>
        <v>0</v>
      </c>
      <c r="AV78" s="131"/>
    </row>
    <row r="79" spans="1:48" x14ac:dyDescent="0.25">
      <c r="A79" s="43">
        <v>46508</v>
      </c>
      <c r="B79" s="44">
        <f>COUNTIFS(
    estq[empresa], B$6,
    estq[Data da venda / reserva], "&gt;=" &amp; $A79,
    estq[Data da venda / reserva], "&lt;"  &amp; EOMONTH($A79,0) + 1
)</f>
        <v>0</v>
      </c>
      <c r="C79" s="45">
        <f ca="1">SUMIFS(rec.uni[2027-05-01],
INDIRECT("rec.uni[natureza]"),"pro.soluto",
INDIRECT("rec.uni[empresa]"),C$6)</f>
        <v>0</v>
      </c>
      <c r="D79" s="45">
        <f ca="1">SUMIFS(rec.uni[2027-05-01],
INDIRECT("rec.uni[natureza]"),"repasse.cef.obra",
INDIRECT("rec.uni[empresa]"),D$6)</f>
        <v>0</v>
      </c>
      <c r="E79" s="45">
        <f ca="1">SUMIFS(rec.uni[2027-05-01],
INDIRECT("rec.uni[natureza]"),"repasse.cef.terreno",
INDIRECT("rec.uni[empresa]"),E$6)</f>
        <v>0</v>
      </c>
      <c r="F79" s="38"/>
      <c r="G79" s="45">
        <f ca="1">SUMIFS(rec.uni[2027-05-01],
INDIRECT("rec.uni[natureza]"),"taxa.extra",
INDIRECT("rec.uni[empresa]"),G$6)</f>
        <v>0</v>
      </c>
      <c r="H79" s="131"/>
      <c r="I79" s="44">
        <f>COUNTIFS(
    estq[empresa], I$6,
    estq[Data da venda / reserva], "&gt;=" &amp; $A79,
    estq[Data da venda / reserva], "&lt;"  &amp; EOMONTH($A79,0) + 1
)</f>
        <v>0</v>
      </c>
      <c r="J79" s="45">
        <f ca="1">SUMIFS(rec.uni[2027-05-01],
INDIRECT("rec.uni[natureza]"),"pro.soluto",
INDIRECT("rec.uni[empresa]"),J$6)</f>
        <v>0</v>
      </c>
      <c r="K79" s="45">
        <f ca="1">SUMIFS(rec.uni[2027-05-01],
INDIRECT("rec.uni[natureza]"),"repasse.cef.obra",
INDIRECT("rec.uni[empresa]"),K$6)</f>
        <v>0</v>
      </c>
      <c r="L79" s="45">
        <f ca="1">SUMIFS(rec.uni[2027-05-01],
INDIRECT("rec.uni[natureza]"),"repasse.cef.terreno",
INDIRECT("rec.uni[empresa]"),L$6)</f>
        <v>0</v>
      </c>
      <c r="M79" s="38"/>
      <c r="N79" s="45">
        <f ca="1">SUMIFS(rec.uni[2027-05-01],
INDIRECT("rec.uni[natureza]"),"taxa.extra",
INDIRECT("rec.uni[empresa]"),N$6)</f>
        <v>0</v>
      </c>
      <c r="O79" s="131"/>
      <c r="P79" s="44">
        <f>COUNTIFS(
    estq[empresa], P$6,
    estq[Data da venda / reserva], "&gt;=" &amp; $A79,
    estq[Data da venda / reserva], "&lt;"  &amp; EOMONTH($A79,0) + 1
)</f>
        <v>0</v>
      </c>
      <c r="Q79" s="45">
        <f ca="1">SUMIFS(rec.uni[2027-05-01],
INDIRECT("rec.uni[natureza]"),"pro.soluto",
INDIRECT("rec.uni[empresa]"),Q$6)</f>
        <v>0</v>
      </c>
      <c r="R79" s="45">
        <f ca="1">SUMIFS(rec.uni[2027-05-01],
INDIRECT("rec.uni[natureza]"),"repasse.cef.obra",
INDIRECT("rec.uni[empresa]"),R$6)</f>
        <v>0</v>
      </c>
      <c r="S79" s="45">
        <f ca="1">SUMIFS(rec.uni[2027-05-01],
INDIRECT("rec.uni[natureza]"),"repasse.cef.terreno",
INDIRECT("rec.uni[empresa]"),S$6)</f>
        <v>0</v>
      </c>
      <c r="T79" s="38"/>
      <c r="U79" s="45">
        <f ca="1">SUMIFS(rec.uni[2027-05-01],
INDIRECT("rec.uni[natureza]"),"taxa.extra",
INDIRECT("rec.uni[empresa]"),U$6)</f>
        <v>0</v>
      </c>
      <c r="V79" s="131"/>
      <c r="W79" s="44">
        <f>COUNTIFS(
    estq[empresa], W$6,
    estq[Data da venda / reserva], "&gt;=" &amp; $A79,
    estq[Data da venda / reserva], "&lt;"  &amp; EOMONTH($A79,0) + 1
)</f>
        <v>0</v>
      </c>
      <c r="X79" s="45">
        <f ca="1">SUMIFS(rec.uni[2027-05-01],
INDIRECT("rec.uni[natureza]"),"pro.soluto",
INDIRECT("rec.uni[empresa]"),X$6)</f>
        <v>0</v>
      </c>
      <c r="Y79" s="45">
        <f ca="1">SUMIFS(rec.uni[2027-05-01],
INDIRECT("rec.uni[natureza]"),"repasse.cef.obra",
INDIRECT("rec.uni[empresa]"),Y$6)</f>
        <v>0</v>
      </c>
      <c r="Z79" s="45">
        <f ca="1">SUMIFS(rec.uni[2027-05-01],
INDIRECT("rec.uni[natureza]"),"repasse.cef.terreno",
INDIRECT("rec.uni[empresa]"),Z$6)</f>
        <v>0</v>
      </c>
      <c r="AA79" s="38"/>
      <c r="AB79" s="45">
        <f ca="1">SUMIFS(rec.uni[2027-05-01],
INDIRECT("rec.uni[natureza]"),"taxa.extra",
INDIRECT("rec.uni[empresa]"),AB$6)</f>
        <v>0</v>
      </c>
      <c r="AC79" s="131"/>
      <c r="AD79" s="44">
        <f>COUNTIFS(
    estq[empresa], AD$6,
    estq[Data da venda / reserva], "&gt;=" &amp; $A79,
    estq[Data da venda / reserva], "&lt;"  &amp; EOMONTH($A79,0) + 1
)</f>
        <v>0</v>
      </c>
      <c r="AE79" s="45">
        <f ca="1">SUMIFS(rec.uni[2027-05-01],
INDIRECT("rec.uni[natureza]"),"pro.soluto",
INDIRECT("rec.uni[empresa]"),AE$6)</f>
        <v>0</v>
      </c>
      <c r="AF79" s="38">
        <f ca="1">SUMIFS(rec.uni[2027-05-01],
INDIRECT("rec.uni[natureza]"),"parcela.fin.total.ik",
INDIRECT("rec.uni[empresa]"),AF$6)</f>
        <v>0</v>
      </c>
      <c r="AG79" s="45">
        <f ca="1">SUMIFS(rec.uni[2027-05-01],
INDIRECT("rec.uni[natureza]"),"taxa.extra",
INDIRECT("rec.uni[empresa]"),AG$6)</f>
        <v>0</v>
      </c>
      <c r="AH79" s="131"/>
      <c r="AI79" s="44">
        <f>COUNTIFS(
    estq[empresa], AI$6,
    estq[Data da venda / reserva], "&gt;=" &amp; $A79,
    estq[Data da venda / reserva], "&lt;"  &amp; EOMONTH($A79,0) + 1
)</f>
        <v>0</v>
      </c>
      <c r="AJ79" s="45">
        <f ca="1">SUMIFS(rec.uni[2027-05-01],
INDIRECT("rec.uni[natureza]"),"pro.soluto",
INDIRECT("rec.uni[empresa]"),AJ$6)</f>
        <v>0</v>
      </c>
      <c r="AK79" s="45">
        <f ca="1">SUMIFS(rec.uni[2027-05-01],
INDIRECT("rec.uni[natureza]"),"repasse.cef.obra",
INDIRECT("rec.uni[empresa]"),AK$6)</f>
        <v>0</v>
      </c>
      <c r="AL79" s="45">
        <f ca="1">SUMIFS(rec.uni[2027-05-01],
INDIRECT("rec.uni[natureza]"),"repasse.cef.terreno",
INDIRECT("rec.uni[empresa]"),AL$6)</f>
        <v>0</v>
      </c>
      <c r="AM79" s="38"/>
      <c r="AN79" s="45">
        <f ca="1">SUMIFS(rec.uni[2027-05-01],
INDIRECT("rec.uni[natureza]"),"taxa.extra",
INDIRECT("rec.uni[empresa]"),AN$6)</f>
        <v>0</v>
      </c>
      <c r="AO79" s="131"/>
      <c r="AP79" s="44">
        <f>COUNTIFS(
    estq[empresa], AP$6,
    estq[Data da venda / reserva], "&gt;=" &amp; $A79,
    estq[Data da venda / reserva], "&lt;"  &amp; EOMONTH($A79,0) + 1
)</f>
        <v>0</v>
      </c>
      <c r="AQ79" s="45">
        <f ca="1">SUMIFS(rec.uni[2027-05-01],
INDIRECT("rec.uni[natureza]"),"pro.soluto",
INDIRECT("rec.uni[empresa]"),AQ$6)</f>
        <v>0</v>
      </c>
      <c r="AR79" s="45">
        <f ca="1">SUMIFS(rec.uni[2027-05-01],
INDIRECT("rec.uni[natureza]"),"repasse.cef.obra",
INDIRECT("rec.uni[empresa]"),AR$6)</f>
        <v>0</v>
      </c>
      <c r="AS79" s="45">
        <f ca="1">SUMIFS(rec.uni[2027-05-01],
INDIRECT("rec.uni[natureza]"),"repasse.cef.terreno",
INDIRECT("rec.uni[empresa]"),AS$6)</f>
        <v>0</v>
      </c>
      <c r="AT79" s="38"/>
      <c r="AU79" s="45">
        <f ca="1">SUMIFS(rec.uni[2027-05-01],
INDIRECT("rec.uni[natureza]"),"taxa.extra",
INDIRECT("rec.uni[empresa]"),AU$6)</f>
        <v>0</v>
      </c>
      <c r="AV79" s="131"/>
    </row>
    <row r="80" spans="1:48" x14ac:dyDescent="0.25">
      <c r="A80" s="43">
        <v>46539</v>
      </c>
      <c r="B80" s="44">
        <f>COUNTIFS(
    estq[empresa], B$6,
    estq[Data da venda / reserva], "&gt;=" &amp; $A80,
    estq[Data da venda / reserva], "&lt;"  &amp; EOMONTH($A80,0) + 1
)</f>
        <v>0</v>
      </c>
      <c r="C80" s="45">
        <f ca="1">SUMIFS(rec.uni[2027-06-01],
INDIRECT("rec.uni[natureza]"),"pro.soluto",
INDIRECT("rec.uni[empresa]"),C$6)</f>
        <v>0</v>
      </c>
      <c r="D80" s="45">
        <f ca="1">SUMIFS(rec.uni[2027-06-01],
INDIRECT("rec.uni[natureza]"),"repasse.cef.obra",
INDIRECT("rec.uni[empresa]"),D$6)</f>
        <v>0</v>
      </c>
      <c r="E80" s="45">
        <f ca="1">SUMIFS(rec.uni[2027-06-01],
INDIRECT("rec.uni[natureza]"),"repasse.cef.terreno",
INDIRECT("rec.uni[empresa]"),E$6)</f>
        <v>0</v>
      </c>
      <c r="F80" s="38"/>
      <c r="G80" s="45">
        <f ca="1">SUMIFS(rec.uni[2027-06-01],
INDIRECT("rec.uni[natureza]"),"taxa.extra",
INDIRECT("rec.uni[empresa]"),G$6)</f>
        <v>0</v>
      </c>
      <c r="H80" s="131"/>
      <c r="I80" s="44">
        <f>COUNTIFS(
    estq[empresa], I$6,
    estq[Data da venda / reserva], "&gt;=" &amp; $A80,
    estq[Data da venda / reserva], "&lt;"  &amp; EOMONTH($A80,0) + 1
)</f>
        <v>0</v>
      </c>
      <c r="J80" s="45">
        <f ca="1">SUMIFS(rec.uni[2027-06-01],
INDIRECT("rec.uni[natureza]"),"pro.soluto",
INDIRECT("rec.uni[empresa]"),J$6)</f>
        <v>0</v>
      </c>
      <c r="K80" s="45">
        <f ca="1">SUMIFS(rec.uni[2027-06-01],
INDIRECT("rec.uni[natureza]"),"repasse.cef.obra",
INDIRECT("rec.uni[empresa]"),K$6)</f>
        <v>0</v>
      </c>
      <c r="L80" s="45">
        <f ca="1">SUMIFS(rec.uni[2027-06-01],
INDIRECT("rec.uni[natureza]"),"repasse.cef.terreno",
INDIRECT("rec.uni[empresa]"),L$6)</f>
        <v>0</v>
      </c>
      <c r="M80" s="38"/>
      <c r="N80" s="45">
        <f ca="1">SUMIFS(rec.uni[2027-06-01],
INDIRECT("rec.uni[natureza]"),"taxa.extra",
INDIRECT("rec.uni[empresa]"),N$6)</f>
        <v>0</v>
      </c>
      <c r="O80" s="131"/>
      <c r="P80" s="44">
        <f>COUNTIFS(
    estq[empresa], P$6,
    estq[Data da venda / reserva], "&gt;=" &amp; $A80,
    estq[Data da venda / reserva], "&lt;"  &amp; EOMONTH($A80,0) + 1
)</f>
        <v>0</v>
      </c>
      <c r="Q80" s="45">
        <f ca="1">SUMIFS(rec.uni[2027-06-01],
INDIRECT("rec.uni[natureza]"),"pro.soluto",
INDIRECT("rec.uni[empresa]"),Q$6)</f>
        <v>0</v>
      </c>
      <c r="R80" s="45">
        <f ca="1">SUMIFS(rec.uni[2027-06-01],
INDIRECT("rec.uni[natureza]"),"repasse.cef.obra",
INDIRECT("rec.uni[empresa]"),R$6)</f>
        <v>0</v>
      </c>
      <c r="S80" s="45">
        <f ca="1">SUMIFS(rec.uni[2027-06-01],
INDIRECT("rec.uni[natureza]"),"repasse.cef.terreno",
INDIRECT("rec.uni[empresa]"),S$6)</f>
        <v>0</v>
      </c>
      <c r="T80" s="38"/>
      <c r="U80" s="45">
        <f ca="1">SUMIFS(rec.uni[2027-06-01],
INDIRECT("rec.uni[natureza]"),"taxa.extra",
INDIRECT("rec.uni[empresa]"),U$6)</f>
        <v>0</v>
      </c>
      <c r="V80" s="131"/>
      <c r="W80" s="44">
        <f>COUNTIFS(
    estq[empresa], W$6,
    estq[Data da venda / reserva], "&gt;=" &amp; $A80,
    estq[Data da venda / reserva], "&lt;"  &amp; EOMONTH($A80,0) + 1
)</f>
        <v>0</v>
      </c>
      <c r="X80" s="45">
        <f ca="1">SUMIFS(rec.uni[2027-06-01],
INDIRECT("rec.uni[natureza]"),"pro.soluto",
INDIRECT("rec.uni[empresa]"),X$6)</f>
        <v>0</v>
      </c>
      <c r="Y80" s="45">
        <f ca="1">SUMIFS(rec.uni[2027-06-01],
INDIRECT("rec.uni[natureza]"),"repasse.cef.obra",
INDIRECT("rec.uni[empresa]"),Y$6)</f>
        <v>0</v>
      </c>
      <c r="Z80" s="45">
        <f ca="1">SUMIFS(rec.uni[2027-06-01],
INDIRECT("rec.uni[natureza]"),"repasse.cef.terreno",
INDIRECT("rec.uni[empresa]"),Z$6)</f>
        <v>0</v>
      </c>
      <c r="AA80" s="38"/>
      <c r="AB80" s="45">
        <f ca="1">SUMIFS(rec.uni[2027-06-01],
INDIRECT("rec.uni[natureza]"),"taxa.extra",
INDIRECT("rec.uni[empresa]"),AB$6)</f>
        <v>0</v>
      </c>
      <c r="AC80" s="131"/>
      <c r="AD80" s="44">
        <f>COUNTIFS(
    estq[empresa], AD$6,
    estq[Data da venda / reserva], "&gt;=" &amp; $A80,
    estq[Data da venda / reserva], "&lt;"  &amp; EOMONTH($A80,0) + 1
)</f>
        <v>0</v>
      </c>
      <c r="AE80" s="45">
        <f ca="1">SUMIFS(rec.uni[2027-06-01],
INDIRECT("rec.uni[natureza]"),"pro.soluto",
INDIRECT("rec.uni[empresa]"),AE$6)</f>
        <v>0</v>
      </c>
      <c r="AF80" s="38">
        <f ca="1">SUMIFS(rec.uni[2027-06-01],
INDIRECT("rec.uni[natureza]"),"parcela.fin.total.ik",
INDIRECT("rec.uni[empresa]"),AF$6)</f>
        <v>0</v>
      </c>
      <c r="AG80" s="45">
        <f ca="1">SUMIFS(rec.uni[2027-06-01],
INDIRECT("rec.uni[natureza]"),"taxa.extra",
INDIRECT("rec.uni[empresa]"),AG$6)</f>
        <v>0</v>
      </c>
      <c r="AH80" s="131"/>
      <c r="AI80" s="44">
        <f>COUNTIFS(
    estq[empresa], AI$6,
    estq[Data da venda / reserva], "&gt;=" &amp; $A80,
    estq[Data da venda / reserva], "&lt;"  &amp; EOMONTH($A80,0) + 1
)</f>
        <v>0</v>
      </c>
      <c r="AJ80" s="45">
        <f ca="1">SUMIFS(rec.uni[2027-06-01],
INDIRECT("rec.uni[natureza]"),"pro.soluto",
INDIRECT("rec.uni[empresa]"),AJ$6)</f>
        <v>0</v>
      </c>
      <c r="AK80" s="45">
        <f ca="1">SUMIFS(rec.uni[2027-06-01],
INDIRECT("rec.uni[natureza]"),"repasse.cef.obra",
INDIRECT("rec.uni[empresa]"),AK$6)</f>
        <v>0</v>
      </c>
      <c r="AL80" s="45">
        <f ca="1">SUMIFS(rec.uni[2027-06-01],
INDIRECT("rec.uni[natureza]"),"repasse.cef.terreno",
INDIRECT("rec.uni[empresa]"),AL$6)</f>
        <v>0</v>
      </c>
      <c r="AM80" s="38"/>
      <c r="AN80" s="45">
        <f ca="1">SUMIFS(rec.uni[2027-06-01],
INDIRECT("rec.uni[natureza]"),"taxa.extra",
INDIRECT("rec.uni[empresa]"),AN$6)</f>
        <v>0</v>
      </c>
      <c r="AO80" s="131"/>
      <c r="AP80" s="44">
        <f>COUNTIFS(
    estq[empresa], AP$6,
    estq[Data da venda / reserva], "&gt;=" &amp; $A80,
    estq[Data da venda / reserva], "&lt;"  &amp; EOMONTH($A80,0) + 1
)</f>
        <v>0</v>
      </c>
      <c r="AQ80" s="45">
        <f ca="1">SUMIFS(rec.uni[2027-06-01],
INDIRECT("rec.uni[natureza]"),"pro.soluto",
INDIRECT("rec.uni[empresa]"),AQ$6)</f>
        <v>0</v>
      </c>
      <c r="AR80" s="45">
        <f ca="1">SUMIFS(rec.uni[2027-06-01],
INDIRECT("rec.uni[natureza]"),"repasse.cef.obra",
INDIRECT("rec.uni[empresa]"),AR$6)</f>
        <v>0</v>
      </c>
      <c r="AS80" s="45">
        <f ca="1">SUMIFS(rec.uni[2027-06-01],
INDIRECT("rec.uni[natureza]"),"repasse.cef.terreno",
INDIRECT("rec.uni[empresa]"),AS$6)</f>
        <v>0</v>
      </c>
      <c r="AT80" s="38"/>
      <c r="AU80" s="45">
        <f ca="1">SUMIFS(rec.uni[2027-06-01],
INDIRECT("rec.uni[natureza]"),"taxa.extra",
INDIRECT("rec.uni[empresa]"),AU$6)</f>
        <v>0</v>
      </c>
      <c r="AV80" s="131"/>
    </row>
    <row r="81" spans="1:48" x14ac:dyDescent="0.25">
      <c r="A81" s="43">
        <v>46569</v>
      </c>
      <c r="B81" s="44">
        <f>COUNTIFS(
    estq[empresa], B$6,
    estq[Data da venda / reserva], "&gt;=" &amp; $A81,
    estq[Data da venda / reserva], "&lt;"  &amp; EOMONTH($A81,0) + 1
)</f>
        <v>0</v>
      </c>
      <c r="C81" s="45">
        <f ca="1">SUMIFS(rec.uni[2027-07-01],
INDIRECT("rec.uni[natureza]"),"pro.soluto",
INDIRECT("rec.uni[empresa]"),C$6)</f>
        <v>0</v>
      </c>
      <c r="D81" s="45">
        <f ca="1">SUMIFS(rec.uni[2027-07-01],
INDIRECT("rec.uni[natureza]"),"repasse.cef.obra",
INDIRECT("rec.uni[empresa]"),D$6)</f>
        <v>0</v>
      </c>
      <c r="E81" s="45">
        <f ca="1">SUMIFS(rec.uni[2027-07-01],
INDIRECT("rec.uni[natureza]"),"repasse.cef.terreno",
INDIRECT("rec.uni[empresa]"),E$6)</f>
        <v>0</v>
      </c>
      <c r="F81" s="38"/>
      <c r="G81" s="45">
        <f ca="1">SUMIFS(rec.uni[2027-07-01],
INDIRECT("rec.uni[natureza]"),"taxa.extra",
INDIRECT("rec.uni[empresa]"),G$6)</f>
        <v>0</v>
      </c>
      <c r="H81" s="131"/>
      <c r="I81" s="44">
        <f>COUNTIFS(
    estq[empresa], I$6,
    estq[Data da venda / reserva], "&gt;=" &amp; $A81,
    estq[Data da venda / reserva], "&lt;"  &amp; EOMONTH($A81,0) + 1
)</f>
        <v>0</v>
      </c>
      <c r="J81" s="45">
        <f ca="1">SUMIFS(rec.uni[2027-07-01],
INDIRECT("rec.uni[natureza]"),"pro.soluto",
INDIRECT("rec.uni[empresa]"),J$6)</f>
        <v>0</v>
      </c>
      <c r="K81" s="45">
        <f ca="1">SUMIFS(rec.uni[2027-07-01],
INDIRECT("rec.uni[natureza]"),"repasse.cef.obra",
INDIRECT("rec.uni[empresa]"),K$6)</f>
        <v>0</v>
      </c>
      <c r="L81" s="45">
        <f ca="1">SUMIFS(rec.uni[2027-07-01],
INDIRECT("rec.uni[natureza]"),"repasse.cef.terreno",
INDIRECT("rec.uni[empresa]"),L$6)</f>
        <v>0</v>
      </c>
      <c r="M81" s="38"/>
      <c r="N81" s="45">
        <f ca="1">SUMIFS(rec.uni[2027-07-01],
INDIRECT("rec.uni[natureza]"),"taxa.extra",
INDIRECT("rec.uni[empresa]"),N$6)</f>
        <v>0</v>
      </c>
      <c r="O81" s="131"/>
      <c r="P81" s="44">
        <f>COUNTIFS(
    estq[empresa], P$6,
    estq[Data da venda / reserva], "&gt;=" &amp; $A81,
    estq[Data da venda / reserva], "&lt;"  &amp; EOMONTH($A81,0) + 1
)</f>
        <v>0</v>
      </c>
      <c r="Q81" s="45">
        <f ca="1">SUMIFS(rec.uni[2027-07-01],
INDIRECT("rec.uni[natureza]"),"pro.soluto",
INDIRECT("rec.uni[empresa]"),Q$6)</f>
        <v>0</v>
      </c>
      <c r="R81" s="45">
        <f ca="1">SUMIFS(rec.uni[2027-07-01],
INDIRECT("rec.uni[natureza]"),"repasse.cef.obra",
INDIRECT("rec.uni[empresa]"),R$6)</f>
        <v>0</v>
      </c>
      <c r="S81" s="45">
        <f ca="1">SUMIFS(rec.uni[2027-07-01],
INDIRECT("rec.uni[natureza]"),"repasse.cef.terreno",
INDIRECT("rec.uni[empresa]"),S$6)</f>
        <v>0</v>
      </c>
      <c r="T81" s="38"/>
      <c r="U81" s="45">
        <f ca="1">SUMIFS(rec.uni[2027-07-01],
INDIRECT("rec.uni[natureza]"),"taxa.extra",
INDIRECT("rec.uni[empresa]"),U$6)</f>
        <v>0</v>
      </c>
      <c r="V81" s="131"/>
      <c r="W81" s="44">
        <f>COUNTIFS(
    estq[empresa], W$6,
    estq[Data da venda / reserva], "&gt;=" &amp; $A81,
    estq[Data da venda / reserva], "&lt;"  &amp; EOMONTH($A81,0) + 1
)</f>
        <v>0</v>
      </c>
      <c r="X81" s="45">
        <f ca="1">SUMIFS(rec.uni[2027-07-01],
INDIRECT("rec.uni[natureza]"),"pro.soluto",
INDIRECT("rec.uni[empresa]"),X$6)</f>
        <v>0</v>
      </c>
      <c r="Y81" s="45">
        <f ca="1">SUMIFS(rec.uni[2027-07-01],
INDIRECT("rec.uni[natureza]"),"repasse.cef.obra",
INDIRECT("rec.uni[empresa]"),Y$6)</f>
        <v>0</v>
      </c>
      <c r="Z81" s="45">
        <f ca="1">SUMIFS(rec.uni[2027-07-01],
INDIRECT("rec.uni[natureza]"),"repasse.cef.terreno",
INDIRECT("rec.uni[empresa]"),Z$6)</f>
        <v>0</v>
      </c>
      <c r="AA81" s="38"/>
      <c r="AB81" s="45">
        <f ca="1">SUMIFS(rec.uni[2027-07-01],
INDIRECT("rec.uni[natureza]"),"taxa.extra",
INDIRECT("rec.uni[empresa]"),AB$6)</f>
        <v>0</v>
      </c>
      <c r="AC81" s="131"/>
      <c r="AD81" s="44">
        <f>COUNTIFS(
    estq[empresa], AD$6,
    estq[Data da venda / reserva], "&gt;=" &amp; $A81,
    estq[Data da venda / reserva], "&lt;"  &amp; EOMONTH($A81,0) + 1
)</f>
        <v>0</v>
      </c>
      <c r="AE81" s="45">
        <f ca="1">SUMIFS(rec.uni[2027-07-01],
INDIRECT("rec.uni[natureza]"),"pro.soluto",
INDIRECT("rec.uni[empresa]"),AE$6)</f>
        <v>0</v>
      </c>
      <c r="AF81" s="38">
        <f ca="1">SUMIFS(rec.uni[2027-07-01],
INDIRECT("rec.uni[natureza]"),"parcela.fin.total.ik",
INDIRECT("rec.uni[empresa]"),AF$6)</f>
        <v>0</v>
      </c>
      <c r="AG81" s="45">
        <f ca="1">SUMIFS(rec.uni[2027-07-01],
INDIRECT("rec.uni[natureza]"),"taxa.extra",
INDIRECT("rec.uni[empresa]"),AG$6)</f>
        <v>0</v>
      </c>
      <c r="AH81" s="131"/>
      <c r="AI81" s="44">
        <f>COUNTIFS(
    estq[empresa], AI$6,
    estq[Data da venda / reserva], "&gt;=" &amp; $A81,
    estq[Data da venda / reserva], "&lt;"  &amp; EOMONTH($A81,0) + 1
)</f>
        <v>0</v>
      </c>
      <c r="AJ81" s="45">
        <f ca="1">SUMIFS(rec.uni[2027-07-01],
INDIRECT("rec.uni[natureza]"),"pro.soluto",
INDIRECT("rec.uni[empresa]"),AJ$6)</f>
        <v>0</v>
      </c>
      <c r="AK81" s="45">
        <f ca="1">SUMIFS(rec.uni[2027-07-01],
INDIRECT("rec.uni[natureza]"),"repasse.cef.obra",
INDIRECT("rec.uni[empresa]"),AK$6)</f>
        <v>0</v>
      </c>
      <c r="AL81" s="45">
        <f ca="1">SUMIFS(rec.uni[2027-07-01],
INDIRECT("rec.uni[natureza]"),"repasse.cef.terreno",
INDIRECT("rec.uni[empresa]"),AL$6)</f>
        <v>0</v>
      </c>
      <c r="AM81" s="38"/>
      <c r="AN81" s="45">
        <f ca="1">SUMIFS(rec.uni[2027-07-01],
INDIRECT("rec.uni[natureza]"),"taxa.extra",
INDIRECT("rec.uni[empresa]"),AN$6)</f>
        <v>0</v>
      </c>
      <c r="AO81" s="131"/>
      <c r="AP81" s="44">
        <f>COUNTIFS(
    estq[empresa], AP$6,
    estq[Data da venda / reserva], "&gt;=" &amp; $A81,
    estq[Data da venda / reserva], "&lt;"  &amp; EOMONTH($A81,0) + 1
)</f>
        <v>0</v>
      </c>
      <c r="AQ81" s="45">
        <f ca="1">SUMIFS(rec.uni[2027-07-01],
INDIRECT("rec.uni[natureza]"),"pro.soluto",
INDIRECT("rec.uni[empresa]"),AQ$6)</f>
        <v>0</v>
      </c>
      <c r="AR81" s="45">
        <f ca="1">SUMIFS(rec.uni[2027-07-01],
INDIRECT("rec.uni[natureza]"),"repasse.cef.obra",
INDIRECT("rec.uni[empresa]"),AR$6)</f>
        <v>0</v>
      </c>
      <c r="AS81" s="45">
        <f ca="1">SUMIFS(rec.uni[2027-07-01],
INDIRECT("rec.uni[natureza]"),"repasse.cef.terreno",
INDIRECT("rec.uni[empresa]"),AS$6)</f>
        <v>0</v>
      </c>
      <c r="AT81" s="38"/>
      <c r="AU81" s="45">
        <f ca="1">SUMIFS(rec.uni[2027-07-01],
INDIRECT("rec.uni[natureza]"),"taxa.extra",
INDIRECT("rec.uni[empresa]"),AU$6)</f>
        <v>0</v>
      </c>
      <c r="AV81" s="131"/>
    </row>
    <row r="82" spans="1:48" x14ac:dyDescent="0.25">
      <c r="A82" s="43">
        <v>46600</v>
      </c>
      <c r="B82" s="44">
        <f>COUNTIFS(
    estq[empresa], B$6,
    estq[Data da venda / reserva], "&gt;=" &amp; $A82,
    estq[Data da venda / reserva], "&lt;"  &amp; EOMONTH($A82,0) + 1
)</f>
        <v>0</v>
      </c>
      <c r="C82" s="45">
        <f ca="1">SUMIFS(rec.uni[2027-08-01],
INDIRECT("rec.uni[natureza]"),"pro.soluto",
INDIRECT("rec.uni[empresa]"),C$6)</f>
        <v>0</v>
      </c>
      <c r="D82" s="45">
        <f ca="1">SUMIFS(rec.uni[2027-08-01],
INDIRECT("rec.uni[natureza]"),"repasse.cef.obra",
INDIRECT("rec.uni[empresa]"),D$6)</f>
        <v>0</v>
      </c>
      <c r="E82" s="45">
        <f ca="1">SUMIFS(rec.uni[2027-08-01],
INDIRECT("rec.uni[natureza]"),"repasse.cef.terreno",
INDIRECT("rec.uni[empresa]"),E$6)</f>
        <v>0</v>
      </c>
      <c r="F82" s="38"/>
      <c r="G82" s="45">
        <f ca="1">SUMIFS(rec.uni[2027-08-01],
INDIRECT("rec.uni[natureza]"),"taxa.extra",
INDIRECT("rec.uni[empresa]"),G$6)</f>
        <v>0</v>
      </c>
      <c r="H82" s="131"/>
      <c r="I82" s="44">
        <f>COUNTIFS(
    estq[empresa], I$6,
    estq[Data da venda / reserva], "&gt;=" &amp; $A82,
    estq[Data da venda / reserva], "&lt;"  &amp; EOMONTH($A82,0) + 1
)</f>
        <v>0</v>
      </c>
      <c r="J82" s="45">
        <f ca="1">SUMIFS(rec.uni[2027-08-01],
INDIRECT("rec.uni[natureza]"),"pro.soluto",
INDIRECT("rec.uni[empresa]"),J$6)</f>
        <v>0</v>
      </c>
      <c r="K82" s="45">
        <f ca="1">SUMIFS(rec.uni[2027-08-01],
INDIRECT("rec.uni[natureza]"),"repasse.cef.obra",
INDIRECT("rec.uni[empresa]"),K$6)</f>
        <v>0</v>
      </c>
      <c r="L82" s="45">
        <f ca="1">SUMIFS(rec.uni[2027-08-01],
INDIRECT("rec.uni[natureza]"),"repasse.cef.terreno",
INDIRECT("rec.uni[empresa]"),L$6)</f>
        <v>0</v>
      </c>
      <c r="M82" s="38"/>
      <c r="N82" s="45">
        <f ca="1">SUMIFS(rec.uni[2027-08-01],
INDIRECT("rec.uni[natureza]"),"taxa.extra",
INDIRECT("rec.uni[empresa]"),N$6)</f>
        <v>0</v>
      </c>
      <c r="O82" s="131"/>
      <c r="P82" s="44">
        <f>COUNTIFS(
    estq[empresa], P$6,
    estq[Data da venda / reserva], "&gt;=" &amp; $A82,
    estq[Data da venda / reserva], "&lt;"  &amp; EOMONTH($A82,0) + 1
)</f>
        <v>0</v>
      </c>
      <c r="Q82" s="45">
        <f ca="1">SUMIFS(rec.uni[2027-08-01],
INDIRECT("rec.uni[natureza]"),"pro.soluto",
INDIRECT("rec.uni[empresa]"),Q$6)</f>
        <v>0</v>
      </c>
      <c r="R82" s="45">
        <f ca="1">SUMIFS(rec.uni[2027-08-01],
INDIRECT("rec.uni[natureza]"),"repasse.cef.obra",
INDIRECT("rec.uni[empresa]"),R$6)</f>
        <v>0</v>
      </c>
      <c r="S82" s="45">
        <f ca="1">SUMIFS(rec.uni[2027-08-01],
INDIRECT("rec.uni[natureza]"),"repasse.cef.terreno",
INDIRECT("rec.uni[empresa]"),S$6)</f>
        <v>0</v>
      </c>
      <c r="T82" s="38"/>
      <c r="U82" s="45">
        <f ca="1">SUMIFS(rec.uni[2027-08-01],
INDIRECT("rec.uni[natureza]"),"taxa.extra",
INDIRECT("rec.uni[empresa]"),U$6)</f>
        <v>0</v>
      </c>
      <c r="V82" s="131"/>
      <c r="W82" s="44">
        <f>COUNTIFS(
    estq[empresa], W$6,
    estq[Data da venda / reserva], "&gt;=" &amp; $A82,
    estq[Data da venda / reserva], "&lt;"  &amp; EOMONTH($A82,0) + 1
)</f>
        <v>0</v>
      </c>
      <c r="X82" s="45">
        <f ca="1">SUMIFS(rec.uni[2027-08-01],
INDIRECT("rec.uni[natureza]"),"pro.soluto",
INDIRECT("rec.uni[empresa]"),X$6)</f>
        <v>0</v>
      </c>
      <c r="Y82" s="45">
        <f ca="1">SUMIFS(rec.uni[2027-08-01],
INDIRECT("rec.uni[natureza]"),"repasse.cef.obra",
INDIRECT("rec.uni[empresa]"),Y$6)</f>
        <v>0</v>
      </c>
      <c r="Z82" s="45">
        <f ca="1">SUMIFS(rec.uni[2027-08-01],
INDIRECT("rec.uni[natureza]"),"repasse.cef.terreno",
INDIRECT("rec.uni[empresa]"),Z$6)</f>
        <v>0</v>
      </c>
      <c r="AA82" s="38"/>
      <c r="AB82" s="45">
        <f ca="1">SUMIFS(rec.uni[2027-08-01],
INDIRECT("rec.uni[natureza]"),"taxa.extra",
INDIRECT("rec.uni[empresa]"),AB$6)</f>
        <v>0</v>
      </c>
      <c r="AC82" s="131"/>
      <c r="AD82" s="44">
        <f>COUNTIFS(
    estq[empresa], AD$6,
    estq[Data da venda / reserva], "&gt;=" &amp; $A82,
    estq[Data da venda / reserva], "&lt;"  &amp; EOMONTH($A82,0) + 1
)</f>
        <v>0</v>
      </c>
      <c r="AE82" s="45">
        <f ca="1">SUMIFS(rec.uni[2027-08-01],
INDIRECT("rec.uni[natureza]"),"pro.soluto",
INDIRECT("rec.uni[empresa]"),AE$6)</f>
        <v>0</v>
      </c>
      <c r="AF82" s="38">
        <f ca="1">SUMIFS(rec.uni[2027-08-01],
INDIRECT("rec.uni[natureza]"),"parcela.fin.total.ik",
INDIRECT("rec.uni[empresa]"),AF$6)</f>
        <v>0</v>
      </c>
      <c r="AG82" s="45">
        <f ca="1">SUMIFS(rec.uni[2027-08-01],
INDIRECT("rec.uni[natureza]"),"taxa.extra",
INDIRECT("rec.uni[empresa]"),AG$6)</f>
        <v>0</v>
      </c>
      <c r="AH82" s="131"/>
      <c r="AI82" s="44">
        <f>COUNTIFS(
    estq[empresa], AI$6,
    estq[Data da venda / reserva], "&gt;=" &amp; $A82,
    estq[Data da venda / reserva], "&lt;"  &amp; EOMONTH($A82,0) + 1
)</f>
        <v>0</v>
      </c>
      <c r="AJ82" s="45">
        <f ca="1">SUMIFS(rec.uni[2027-08-01],
INDIRECT("rec.uni[natureza]"),"pro.soluto",
INDIRECT("rec.uni[empresa]"),AJ$6)</f>
        <v>0</v>
      </c>
      <c r="AK82" s="45">
        <f ca="1">SUMIFS(rec.uni[2027-08-01],
INDIRECT("rec.uni[natureza]"),"repasse.cef.obra",
INDIRECT("rec.uni[empresa]"),AK$6)</f>
        <v>0</v>
      </c>
      <c r="AL82" s="45">
        <f ca="1">SUMIFS(rec.uni[2027-08-01],
INDIRECT("rec.uni[natureza]"),"repasse.cef.terreno",
INDIRECT("rec.uni[empresa]"),AL$6)</f>
        <v>0</v>
      </c>
      <c r="AM82" s="38"/>
      <c r="AN82" s="45">
        <f ca="1">SUMIFS(rec.uni[2027-08-01],
INDIRECT("rec.uni[natureza]"),"taxa.extra",
INDIRECT("rec.uni[empresa]"),AN$6)</f>
        <v>0</v>
      </c>
      <c r="AO82" s="131"/>
      <c r="AP82" s="44">
        <f>COUNTIFS(
    estq[empresa], AP$6,
    estq[Data da venda / reserva], "&gt;=" &amp; $A82,
    estq[Data da venda / reserva], "&lt;"  &amp; EOMONTH($A82,0) + 1
)</f>
        <v>0</v>
      </c>
      <c r="AQ82" s="45">
        <f ca="1">SUMIFS(rec.uni[2027-08-01],
INDIRECT("rec.uni[natureza]"),"pro.soluto",
INDIRECT("rec.uni[empresa]"),AQ$6)</f>
        <v>0</v>
      </c>
      <c r="AR82" s="45">
        <f ca="1">SUMIFS(rec.uni[2027-08-01],
INDIRECT("rec.uni[natureza]"),"repasse.cef.obra",
INDIRECT("rec.uni[empresa]"),AR$6)</f>
        <v>0</v>
      </c>
      <c r="AS82" s="45">
        <f ca="1">SUMIFS(rec.uni[2027-08-01],
INDIRECT("rec.uni[natureza]"),"repasse.cef.terreno",
INDIRECT("rec.uni[empresa]"),AS$6)</f>
        <v>0</v>
      </c>
      <c r="AT82" s="38"/>
      <c r="AU82" s="45">
        <f ca="1">SUMIFS(rec.uni[2027-08-01],
INDIRECT("rec.uni[natureza]"),"taxa.extra",
INDIRECT("rec.uni[empresa]"),AU$6)</f>
        <v>0</v>
      </c>
      <c r="AV82" s="131"/>
    </row>
    <row r="83" spans="1:48" x14ac:dyDescent="0.25">
      <c r="A83" s="43">
        <v>46631</v>
      </c>
      <c r="B83" s="44">
        <f>COUNTIFS(
    estq[empresa], B$6,
    estq[Data da venda / reserva], "&gt;=" &amp; $A83,
    estq[Data da venda / reserva], "&lt;"  &amp; EOMONTH($A83,0) + 1
)</f>
        <v>0</v>
      </c>
      <c r="C83" s="45">
        <f ca="1">SUMIFS(rec.uni[2027-09-01],
INDIRECT("rec.uni[natureza]"),"pro.soluto",
INDIRECT("rec.uni[empresa]"),C$6)</f>
        <v>0</v>
      </c>
      <c r="D83" s="45">
        <f ca="1">SUMIFS(rec.uni[2027-09-01],
INDIRECT("rec.uni[natureza]"),"repasse.cef.obra",
INDIRECT("rec.uni[empresa]"),D$6)</f>
        <v>0</v>
      </c>
      <c r="E83" s="45">
        <f ca="1">SUMIFS(rec.uni[2027-09-01],
INDIRECT("rec.uni[natureza]"),"repasse.cef.terreno",
INDIRECT("rec.uni[empresa]"),E$6)</f>
        <v>0</v>
      </c>
      <c r="F83" s="38"/>
      <c r="G83" s="45">
        <f ca="1">SUMIFS(rec.uni[2027-09-01],
INDIRECT("rec.uni[natureza]"),"taxa.extra",
INDIRECT("rec.uni[empresa]"),G$6)</f>
        <v>0</v>
      </c>
      <c r="H83" s="131"/>
      <c r="I83" s="44">
        <f>COUNTIFS(
    estq[empresa], I$6,
    estq[Data da venda / reserva], "&gt;=" &amp; $A83,
    estq[Data da venda / reserva], "&lt;"  &amp; EOMONTH($A83,0) + 1
)</f>
        <v>0</v>
      </c>
      <c r="J83" s="45">
        <f ca="1">SUMIFS(rec.uni[2027-09-01],
INDIRECT("rec.uni[natureza]"),"pro.soluto",
INDIRECT("rec.uni[empresa]"),J$6)</f>
        <v>0</v>
      </c>
      <c r="K83" s="45">
        <f ca="1">SUMIFS(rec.uni[2027-09-01],
INDIRECT("rec.uni[natureza]"),"repasse.cef.obra",
INDIRECT("rec.uni[empresa]"),K$6)</f>
        <v>0</v>
      </c>
      <c r="L83" s="45">
        <f ca="1">SUMIFS(rec.uni[2027-09-01],
INDIRECT("rec.uni[natureza]"),"repasse.cef.terreno",
INDIRECT("rec.uni[empresa]"),L$6)</f>
        <v>0</v>
      </c>
      <c r="M83" s="38"/>
      <c r="N83" s="45">
        <f ca="1">SUMIFS(rec.uni[2027-09-01],
INDIRECT("rec.uni[natureza]"),"taxa.extra",
INDIRECT("rec.uni[empresa]"),N$6)</f>
        <v>0</v>
      </c>
      <c r="O83" s="131"/>
      <c r="P83" s="44">
        <f>COUNTIFS(
    estq[empresa], P$6,
    estq[Data da venda / reserva], "&gt;=" &amp; $A83,
    estq[Data da venda / reserva], "&lt;"  &amp; EOMONTH($A83,0) + 1
)</f>
        <v>0</v>
      </c>
      <c r="Q83" s="45">
        <f ca="1">SUMIFS(rec.uni[2027-09-01],
INDIRECT("rec.uni[natureza]"),"pro.soluto",
INDIRECT("rec.uni[empresa]"),Q$6)</f>
        <v>0</v>
      </c>
      <c r="R83" s="45">
        <f ca="1">SUMIFS(rec.uni[2027-09-01],
INDIRECT("rec.uni[natureza]"),"repasse.cef.obra",
INDIRECT("rec.uni[empresa]"),R$6)</f>
        <v>0</v>
      </c>
      <c r="S83" s="45">
        <f ca="1">SUMIFS(rec.uni[2027-09-01],
INDIRECT("rec.uni[natureza]"),"repasse.cef.terreno",
INDIRECT("rec.uni[empresa]"),S$6)</f>
        <v>0</v>
      </c>
      <c r="T83" s="38"/>
      <c r="U83" s="45">
        <f ca="1">SUMIFS(rec.uni[2027-09-01],
INDIRECT("rec.uni[natureza]"),"taxa.extra",
INDIRECT("rec.uni[empresa]"),U$6)</f>
        <v>0</v>
      </c>
      <c r="V83" s="131"/>
      <c r="W83" s="44">
        <f>COUNTIFS(
    estq[empresa], W$6,
    estq[Data da venda / reserva], "&gt;=" &amp; $A83,
    estq[Data da venda / reserva], "&lt;"  &amp; EOMONTH($A83,0) + 1
)</f>
        <v>0</v>
      </c>
      <c r="X83" s="45">
        <f ca="1">SUMIFS(rec.uni[2027-09-01],
INDIRECT("rec.uni[natureza]"),"pro.soluto",
INDIRECT("rec.uni[empresa]"),X$6)</f>
        <v>0</v>
      </c>
      <c r="Y83" s="45">
        <f ca="1">SUMIFS(rec.uni[2027-09-01],
INDIRECT("rec.uni[natureza]"),"repasse.cef.obra",
INDIRECT("rec.uni[empresa]"),Y$6)</f>
        <v>0</v>
      </c>
      <c r="Z83" s="45">
        <f ca="1">SUMIFS(rec.uni[2027-09-01],
INDIRECT("rec.uni[natureza]"),"repasse.cef.terreno",
INDIRECT("rec.uni[empresa]"),Z$6)</f>
        <v>0</v>
      </c>
      <c r="AA83" s="38"/>
      <c r="AB83" s="45">
        <f ca="1">SUMIFS(rec.uni[2027-09-01],
INDIRECT("rec.uni[natureza]"),"taxa.extra",
INDIRECT("rec.uni[empresa]"),AB$6)</f>
        <v>0</v>
      </c>
      <c r="AC83" s="131"/>
      <c r="AD83" s="44">
        <f>COUNTIFS(
    estq[empresa], AD$6,
    estq[Data da venda / reserva], "&gt;=" &amp; $A83,
    estq[Data da venda / reserva], "&lt;"  &amp; EOMONTH($A83,0) + 1
)</f>
        <v>0</v>
      </c>
      <c r="AE83" s="45">
        <f ca="1">SUMIFS(rec.uni[2027-09-01],
INDIRECT("rec.uni[natureza]"),"pro.soluto",
INDIRECT("rec.uni[empresa]"),AE$6)</f>
        <v>0</v>
      </c>
      <c r="AF83" s="38">
        <f ca="1">SUMIFS(rec.uni[2027-09-01],
INDIRECT("rec.uni[natureza]"),"parcela.fin.total.ik",
INDIRECT("rec.uni[empresa]"),AF$6)</f>
        <v>0</v>
      </c>
      <c r="AG83" s="45">
        <f ca="1">SUMIFS(rec.uni[2027-09-01],
INDIRECT("rec.uni[natureza]"),"taxa.extra",
INDIRECT("rec.uni[empresa]"),AG$6)</f>
        <v>0</v>
      </c>
      <c r="AH83" s="131"/>
      <c r="AI83" s="44">
        <f>COUNTIFS(
    estq[empresa], AI$6,
    estq[Data da venda / reserva], "&gt;=" &amp; $A83,
    estq[Data da venda / reserva], "&lt;"  &amp; EOMONTH($A83,0) + 1
)</f>
        <v>0</v>
      </c>
      <c r="AJ83" s="45">
        <f ca="1">SUMIFS(rec.uni[2027-09-01],
INDIRECT("rec.uni[natureza]"),"pro.soluto",
INDIRECT("rec.uni[empresa]"),AJ$6)</f>
        <v>0</v>
      </c>
      <c r="AK83" s="45">
        <f ca="1">SUMIFS(rec.uni[2027-09-01],
INDIRECT("rec.uni[natureza]"),"repasse.cef.obra",
INDIRECT("rec.uni[empresa]"),AK$6)</f>
        <v>0</v>
      </c>
      <c r="AL83" s="45">
        <f ca="1">SUMIFS(rec.uni[2027-09-01],
INDIRECT("rec.uni[natureza]"),"repasse.cef.terreno",
INDIRECT("rec.uni[empresa]"),AL$6)</f>
        <v>0</v>
      </c>
      <c r="AM83" s="38"/>
      <c r="AN83" s="45">
        <f ca="1">SUMIFS(rec.uni[2027-09-01],
INDIRECT("rec.uni[natureza]"),"taxa.extra",
INDIRECT("rec.uni[empresa]"),AN$6)</f>
        <v>0</v>
      </c>
      <c r="AO83" s="131"/>
      <c r="AP83" s="44">
        <f>COUNTIFS(
    estq[empresa], AP$6,
    estq[Data da venda / reserva], "&gt;=" &amp; $A83,
    estq[Data da venda / reserva], "&lt;"  &amp; EOMONTH($A83,0) + 1
)</f>
        <v>0</v>
      </c>
      <c r="AQ83" s="45">
        <f ca="1">SUMIFS(rec.uni[2027-09-01],
INDIRECT("rec.uni[natureza]"),"pro.soluto",
INDIRECT("rec.uni[empresa]"),AQ$6)</f>
        <v>0</v>
      </c>
      <c r="AR83" s="45">
        <f ca="1">SUMIFS(rec.uni[2027-09-01],
INDIRECT("rec.uni[natureza]"),"repasse.cef.obra",
INDIRECT("rec.uni[empresa]"),AR$6)</f>
        <v>0</v>
      </c>
      <c r="AS83" s="45">
        <f ca="1">SUMIFS(rec.uni[2027-09-01],
INDIRECT("rec.uni[natureza]"),"repasse.cef.terreno",
INDIRECT("rec.uni[empresa]"),AS$6)</f>
        <v>0</v>
      </c>
      <c r="AT83" s="38"/>
      <c r="AU83" s="45">
        <f ca="1">SUMIFS(rec.uni[2027-09-01],
INDIRECT("rec.uni[natureza]"),"taxa.extra",
INDIRECT("rec.uni[empresa]"),AU$6)</f>
        <v>0</v>
      </c>
      <c r="AV83" s="131"/>
    </row>
    <row r="84" spans="1:48" x14ac:dyDescent="0.25">
      <c r="A84" s="43">
        <v>46661</v>
      </c>
      <c r="B84" s="44">
        <f>COUNTIFS(
    estq[empresa], B$6,
    estq[Data da venda / reserva], "&gt;=" &amp; $A84,
    estq[Data da venda / reserva], "&lt;"  &amp; EOMONTH($A84,0) + 1
)</f>
        <v>0</v>
      </c>
      <c r="C84" s="45">
        <f ca="1">SUMIFS(rec.uni[2027-10-01],
INDIRECT("rec.uni[natureza]"),"pro.soluto",
INDIRECT("rec.uni[empresa]"),C$6)</f>
        <v>0</v>
      </c>
      <c r="D84" s="45">
        <f ca="1">SUMIFS(rec.uni[2027-10-01],
INDIRECT("rec.uni[natureza]"),"repasse.cef.obra",
INDIRECT("rec.uni[empresa]"),D$6)</f>
        <v>0</v>
      </c>
      <c r="E84" s="45">
        <f ca="1">SUMIFS(rec.uni[2027-10-01],
INDIRECT("rec.uni[natureza]"),"repasse.cef.terreno",
INDIRECT("rec.uni[empresa]"),E$6)</f>
        <v>0</v>
      </c>
      <c r="F84" s="38"/>
      <c r="G84" s="45">
        <f ca="1">SUMIFS(rec.uni[2027-10-01],
INDIRECT("rec.uni[natureza]"),"taxa.extra",
INDIRECT("rec.uni[empresa]"),G$6)</f>
        <v>0</v>
      </c>
      <c r="H84" s="131"/>
      <c r="I84" s="44">
        <f>COUNTIFS(
    estq[empresa], I$6,
    estq[Data da venda / reserva], "&gt;=" &amp; $A84,
    estq[Data da venda / reserva], "&lt;"  &amp; EOMONTH($A84,0) + 1
)</f>
        <v>0</v>
      </c>
      <c r="J84" s="45">
        <f ca="1">SUMIFS(rec.uni[2027-10-01],
INDIRECT("rec.uni[natureza]"),"pro.soluto",
INDIRECT("rec.uni[empresa]"),J$6)</f>
        <v>0</v>
      </c>
      <c r="K84" s="45">
        <f ca="1">SUMIFS(rec.uni[2027-10-01],
INDIRECT("rec.uni[natureza]"),"repasse.cef.obra",
INDIRECT("rec.uni[empresa]"),K$6)</f>
        <v>0</v>
      </c>
      <c r="L84" s="45">
        <f ca="1">SUMIFS(rec.uni[2027-10-01],
INDIRECT("rec.uni[natureza]"),"repasse.cef.terreno",
INDIRECT("rec.uni[empresa]"),L$6)</f>
        <v>0</v>
      </c>
      <c r="M84" s="38"/>
      <c r="N84" s="45">
        <f ca="1">SUMIFS(rec.uni[2027-10-01],
INDIRECT("rec.uni[natureza]"),"taxa.extra",
INDIRECT("rec.uni[empresa]"),N$6)</f>
        <v>0</v>
      </c>
      <c r="O84" s="131"/>
      <c r="P84" s="44">
        <f>COUNTIFS(
    estq[empresa], P$6,
    estq[Data da venda / reserva], "&gt;=" &amp; $A84,
    estq[Data da venda / reserva], "&lt;"  &amp; EOMONTH($A84,0) + 1
)</f>
        <v>0</v>
      </c>
      <c r="Q84" s="45">
        <f ca="1">SUMIFS(rec.uni[2027-10-01],
INDIRECT("rec.uni[natureza]"),"pro.soluto",
INDIRECT("rec.uni[empresa]"),Q$6)</f>
        <v>0</v>
      </c>
      <c r="R84" s="45">
        <f ca="1">SUMIFS(rec.uni[2027-10-01],
INDIRECT("rec.uni[natureza]"),"repasse.cef.obra",
INDIRECT("rec.uni[empresa]"),R$6)</f>
        <v>0</v>
      </c>
      <c r="S84" s="45">
        <f ca="1">SUMIFS(rec.uni[2027-10-01],
INDIRECT("rec.uni[natureza]"),"repasse.cef.terreno",
INDIRECT("rec.uni[empresa]"),S$6)</f>
        <v>0</v>
      </c>
      <c r="T84" s="38"/>
      <c r="U84" s="45">
        <f ca="1">SUMIFS(rec.uni[2027-10-01],
INDIRECT("rec.uni[natureza]"),"taxa.extra",
INDIRECT("rec.uni[empresa]"),U$6)</f>
        <v>0</v>
      </c>
      <c r="V84" s="131"/>
      <c r="W84" s="44">
        <f>COUNTIFS(
    estq[empresa], W$6,
    estq[Data da venda / reserva], "&gt;=" &amp; $A84,
    estq[Data da venda / reserva], "&lt;"  &amp; EOMONTH($A84,0) + 1
)</f>
        <v>0</v>
      </c>
      <c r="X84" s="45">
        <f ca="1">SUMIFS(rec.uni[2027-10-01],
INDIRECT("rec.uni[natureza]"),"pro.soluto",
INDIRECT("rec.uni[empresa]"),X$6)</f>
        <v>0</v>
      </c>
      <c r="Y84" s="45">
        <f ca="1">SUMIFS(rec.uni[2027-10-01],
INDIRECT("rec.uni[natureza]"),"repasse.cef.obra",
INDIRECT("rec.uni[empresa]"),Y$6)</f>
        <v>0</v>
      </c>
      <c r="Z84" s="45">
        <f ca="1">SUMIFS(rec.uni[2027-10-01],
INDIRECT("rec.uni[natureza]"),"repasse.cef.terreno",
INDIRECT("rec.uni[empresa]"),Z$6)</f>
        <v>0</v>
      </c>
      <c r="AA84" s="38"/>
      <c r="AB84" s="45">
        <f ca="1">SUMIFS(rec.uni[2027-10-01],
INDIRECT("rec.uni[natureza]"),"taxa.extra",
INDIRECT("rec.uni[empresa]"),AB$6)</f>
        <v>0</v>
      </c>
      <c r="AC84" s="131"/>
      <c r="AD84" s="44">
        <f>COUNTIFS(
    estq[empresa], AD$6,
    estq[Data da venda / reserva], "&gt;=" &amp; $A84,
    estq[Data da venda / reserva], "&lt;"  &amp; EOMONTH($A84,0) + 1
)</f>
        <v>0</v>
      </c>
      <c r="AE84" s="45">
        <f ca="1">SUMIFS(rec.uni[2027-10-01],
INDIRECT("rec.uni[natureza]"),"pro.soluto",
INDIRECT("rec.uni[empresa]"),AE$6)</f>
        <v>0</v>
      </c>
      <c r="AF84" s="38">
        <f ca="1">SUMIFS(rec.uni[2027-10-01],
INDIRECT("rec.uni[natureza]"),"parcela.fin.total.ik",
INDIRECT("rec.uni[empresa]"),AF$6)</f>
        <v>0</v>
      </c>
      <c r="AG84" s="45">
        <f ca="1">SUMIFS(rec.uni[2027-10-01],
INDIRECT("rec.uni[natureza]"),"taxa.extra",
INDIRECT("rec.uni[empresa]"),AG$6)</f>
        <v>0</v>
      </c>
      <c r="AH84" s="131"/>
      <c r="AI84" s="44">
        <f>COUNTIFS(
    estq[empresa], AI$6,
    estq[Data da venda / reserva], "&gt;=" &amp; $A84,
    estq[Data da venda / reserva], "&lt;"  &amp; EOMONTH($A84,0) + 1
)</f>
        <v>0</v>
      </c>
      <c r="AJ84" s="45">
        <f ca="1">SUMIFS(rec.uni[2027-10-01],
INDIRECT("rec.uni[natureza]"),"pro.soluto",
INDIRECT("rec.uni[empresa]"),AJ$6)</f>
        <v>0</v>
      </c>
      <c r="AK84" s="45">
        <f ca="1">SUMIFS(rec.uni[2027-10-01],
INDIRECT("rec.uni[natureza]"),"repasse.cef.obra",
INDIRECT("rec.uni[empresa]"),AK$6)</f>
        <v>0</v>
      </c>
      <c r="AL84" s="45">
        <f ca="1">SUMIFS(rec.uni[2027-10-01],
INDIRECT("rec.uni[natureza]"),"repasse.cef.terreno",
INDIRECT("rec.uni[empresa]"),AL$6)</f>
        <v>0</v>
      </c>
      <c r="AM84" s="38"/>
      <c r="AN84" s="45">
        <f ca="1">SUMIFS(rec.uni[2027-10-01],
INDIRECT("rec.uni[natureza]"),"taxa.extra",
INDIRECT("rec.uni[empresa]"),AN$6)</f>
        <v>0</v>
      </c>
      <c r="AO84" s="131"/>
      <c r="AP84" s="44">
        <f>COUNTIFS(
    estq[empresa], AP$6,
    estq[Data da venda / reserva], "&gt;=" &amp; $A84,
    estq[Data da venda / reserva], "&lt;"  &amp; EOMONTH($A84,0) + 1
)</f>
        <v>0</v>
      </c>
      <c r="AQ84" s="45">
        <f ca="1">SUMIFS(rec.uni[2027-10-01],
INDIRECT("rec.uni[natureza]"),"pro.soluto",
INDIRECT("rec.uni[empresa]"),AQ$6)</f>
        <v>0</v>
      </c>
      <c r="AR84" s="45">
        <f ca="1">SUMIFS(rec.uni[2027-10-01],
INDIRECT("rec.uni[natureza]"),"repasse.cef.obra",
INDIRECT("rec.uni[empresa]"),AR$6)</f>
        <v>0</v>
      </c>
      <c r="AS84" s="45">
        <f ca="1">SUMIFS(rec.uni[2027-10-01],
INDIRECT("rec.uni[natureza]"),"repasse.cef.terreno",
INDIRECT("rec.uni[empresa]"),AS$6)</f>
        <v>0</v>
      </c>
      <c r="AT84" s="38"/>
      <c r="AU84" s="45">
        <f ca="1">SUMIFS(rec.uni[2027-10-01],
INDIRECT("rec.uni[natureza]"),"taxa.extra",
INDIRECT("rec.uni[empresa]"),AU$6)</f>
        <v>0</v>
      </c>
      <c r="AV84" s="131"/>
    </row>
    <row r="85" spans="1:48" x14ac:dyDescent="0.25">
      <c r="A85" s="43">
        <v>46692</v>
      </c>
      <c r="B85" s="44">
        <f>COUNTIFS(
    estq[empresa], B$6,
    estq[Data da venda / reserva], "&gt;=" &amp; $A85,
    estq[Data da venda / reserva], "&lt;"  &amp; EOMONTH($A85,0) + 1
)</f>
        <v>0</v>
      </c>
      <c r="C85" s="45">
        <f ca="1">SUMIFS(rec.uni[2027-11-01],
INDIRECT("rec.uni[natureza]"),"pro.soluto",
INDIRECT("rec.uni[empresa]"),C$6)</f>
        <v>0</v>
      </c>
      <c r="D85" s="45">
        <f ca="1">SUMIFS(rec.uni[2027-11-01],
INDIRECT("rec.uni[natureza]"),"repasse.cef.obra",
INDIRECT("rec.uni[empresa]"),D$6)</f>
        <v>0</v>
      </c>
      <c r="E85" s="45">
        <f ca="1">SUMIFS(rec.uni[2027-11-01],
INDIRECT("rec.uni[natureza]"),"repasse.cef.terreno",
INDIRECT("rec.uni[empresa]"),E$6)</f>
        <v>0</v>
      </c>
      <c r="F85" s="38"/>
      <c r="G85" s="45">
        <f ca="1">SUMIFS(rec.uni[2027-11-01],
INDIRECT("rec.uni[natureza]"),"taxa.extra",
INDIRECT("rec.uni[empresa]"),G$6)</f>
        <v>0</v>
      </c>
      <c r="H85" s="131"/>
      <c r="I85" s="44">
        <f>COUNTIFS(
    estq[empresa], I$6,
    estq[Data da venda / reserva], "&gt;=" &amp; $A85,
    estq[Data da venda / reserva], "&lt;"  &amp; EOMONTH($A85,0) + 1
)</f>
        <v>0</v>
      </c>
      <c r="J85" s="45">
        <f ca="1">SUMIFS(rec.uni[2027-11-01],
INDIRECT("rec.uni[natureza]"),"pro.soluto",
INDIRECT("rec.uni[empresa]"),J$6)</f>
        <v>0</v>
      </c>
      <c r="K85" s="45">
        <f ca="1">SUMIFS(rec.uni[2027-11-01],
INDIRECT("rec.uni[natureza]"),"repasse.cef.obra",
INDIRECT("rec.uni[empresa]"),K$6)</f>
        <v>0</v>
      </c>
      <c r="L85" s="45">
        <f ca="1">SUMIFS(rec.uni[2027-11-01],
INDIRECT("rec.uni[natureza]"),"repasse.cef.terreno",
INDIRECT("rec.uni[empresa]"),L$6)</f>
        <v>0</v>
      </c>
      <c r="M85" s="38"/>
      <c r="N85" s="45">
        <f ca="1">SUMIFS(rec.uni[2027-11-01],
INDIRECT("rec.uni[natureza]"),"taxa.extra",
INDIRECT("rec.uni[empresa]"),N$6)</f>
        <v>0</v>
      </c>
      <c r="O85" s="131"/>
      <c r="P85" s="44">
        <f>COUNTIFS(
    estq[empresa], P$6,
    estq[Data da venda / reserva], "&gt;=" &amp; $A85,
    estq[Data da venda / reserva], "&lt;"  &amp; EOMONTH($A85,0) + 1
)</f>
        <v>0</v>
      </c>
      <c r="Q85" s="45">
        <f ca="1">SUMIFS(rec.uni[2027-11-01],
INDIRECT("rec.uni[natureza]"),"pro.soluto",
INDIRECT("rec.uni[empresa]"),Q$6)</f>
        <v>0</v>
      </c>
      <c r="R85" s="45">
        <f ca="1">SUMIFS(rec.uni[2027-11-01],
INDIRECT("rec.uni[natureza]"),"repasse.cef.obra",
INDIRECT("rec.uni[empresa]"),R$6)</f>
        <v>0</v>
      </c>
      <c r="S85" s="45">
        <f ca="1">SUMIFS(rec.uni[2027-11-01],
INDIRECT("rec.uni[natureza]"),"repasse.cef.terreno",
INDIRECT("rec.uni[empresa]"),S$6)</f>
        <v>0</v>
      </c>
      <c r="T85" s="38"/>
      <c r="U85" s="45">
        <f ca="1">SUMIFS(rec.uni[2027-11-01],
INDIRECT("rec.uni[natureza]"),"taxa.extra",
INDIRECT("rec.uni[empresa]"),U$6)</f>
        <v>0</v>
      </c>
      <c r="V85" s="131"/>
      <c r="W85" s="44">
        <f>COUNTIFS(
    estq[empresa], W$6,
    estq[Data da venda / reserva], "&gt;=" &amp; $A85,
    estq[Data da venda / reserva], "&lt;"  &amp; EOMONTH($A85,0) + 1
)</f>
        <v>0</v>
      </c>
      <c r="X85" s="45">
        <f ca="1">SUMIFS(rec.uni[2027-11-01],
INDIRECT("rec.uni[natureza]"),"pro.soluto",
INDIRECT("rec.uni[empresa]"),X$6)</f>
        <v>0</v>
      </c>
      <c r="Y85" s="45">
        <f ca="1">SUMIFS(rec.uni[2027-11-01],
INDIRECT("rec.uni[natureza]"),"repasse.cef.obra",
INDIRECT("rec.uni[empresa]"),Y$6)</f>
        <v>0</v>
      </c>
      <c r="Z85" s="45">
        <f ca="1">SUMIFS(rec.uni[2027-11-01],
INDIRECT("rec.uni[natureza]"),"repasse.cef.terreno",
INDIRECT("rec.uni[empresa]"),Z$6)</f>
        <v>0</v>
      </c>
      <c r="AA85" s="38"/>
      <c r="AB85" s="45">
        <f ca="1">SUMIFS(rec.uni[2027-11-01],
INDIRECT("rec.uni[natureza]"),"taxa.extra",
INDIRECT("rec.uni[empresa]"),AB$6)</f>
        <v>0</v>
      </c>
      <c r="AC85" s="131"/>
      <c r="AD85" s="44">
        <f>COUNTIFS(
    estq[empresa], AD$6,
    estq[Data da venda / reserva], "&gt;=" &amp; $A85,
    estq[Data da venda / reserva], "&lt;"  &amp; EOMONTH($A85,0) + 1
)</f>
        <v>0</v>
      </c>
      <c r="AE85" s="45">
        <f ca="1">SUMIFS(rec.uni[2027-11-01],
INDIRECT("rec.uni[natureza]"),"pro.soluto",
INDIRECT("rec.uni[empresa]"),AE$6)</f>
        <v>0</v>
      </c>
      <c r="AF85" s="38">
        <f ca="1">SUMIFS(rec.uni[2027-11-01],
INDIRECT("rec.uni[natureza]"),"parcela.fin.total.ik",
INDIRECT("rec.uni[empresa]"),AF$6)</f>
        <v>0</v>
      </c>
      <c r="AG85" s="45">
        <f ca="1">SUMIFS(rec.uni[2027-11-01],
INDIRECT("rec.uni[natureza]"),"taxa.extra",
INDIRECT("rec.uni[empresa]"),AG$6)</f>
        <v>0</v>
      </c>
      <c r="AH85" s="131"/>
      <c r="AI85" s="44">
        <f>COUNTIFS(
    estq[empresa], AI$6,
    estq[Data da venda / reserva], "&gt;=" &amp; $A85,
    estq[Data da venda / reserva], "&lt;"  &amp; EOMONTH($A85,0) + 1
)</f>
        <v>0</v>
      </c>
      <c r="AJ85" s="45">
        <f ca="1">SUMIFS(rec.uni[2027-11-01],
INDIRECT("rec.uni[natureza]"),"pro.soluto",
INDIRECT("rec.uni[empresa]"),AJ$6)</f>
        <v>0</v>
      </c>
      <c r="AK85" s="45">
        <f ca="1">SUMIFS(rec.uni[2027-11-01],
INDIRECT("rec.uni[natureza]"),"repasse.cef.obra",
INDIRECT("rec.uni[empresa]"),AK$6)</f>
        <v>0</v>
      </c>
      <c r="AL85" s="45">
        <f ca="1">SUMIFS(rec.uni[2027-11-01],
INDIRECT("rec.uni[natureza]"),"repasse.cef.terreno",
INDIRECT("rec.uni[empresa]"),AL$6)</f>
        <v>0</v>
      </c>
      <c r="AM85" s="38"/>
      <c r="AN85" s="45">
        <f ca="1">SUMIFS(rec.uni[2027-11-01],
INDIRECT("rec.uni[natureza]"),"taxa.extra",
INDIRECT("rec.uni[empresa]"),AN$6)</f>
        <v>0</v>
      </c>
      <c r="AO85" s="131"/>
      <c r="AP85" s="44">
        <f>COUNTIFS(
    estq[empresa], AP$6,
    estq[Data da venda / reserva], "&gt;=" &amp; $A85,
    estq[Data da venda / reserva], "&lt;"  &amp; EOMONTH($A85,0) + 1
)</f>
        <v>0</v>
      </c>
      <c r="AQ85" s="45">
        <f ca="1">SUMIFS(rec.uni[2027-11-01],
INDIRECT("rec.uni[natureza]"),"pro.soluto",
INDIRECT("rec.uni[empresa]"),AQ$6)</f>
        <v>0</v>
      </c>
      <c r="AR85" s="45">
        <f ca="1">SUMIFS(rec.uni[2027-11-01],
INDIRECT("rec.uni[natureza]"),"repasse.cef.obra",
INDIRECT("rec.uni[empresa]"),AR$6)</f>
        <v>0</v>
      </c>
      <c r="AS85" s="45">
        <f ca="1">SUMIFS(rec.uni[2027-11-01],
INDIRECT("rec.uni[natureza]"),"repasse.cef.terreno",
INDIRECT("rec.uni[empresa]"),AS$6)</f>
        <v>0</v>
      </c>
      <c r="AT85" s="38"/>
      <c r="AU85" s="45">
        <f ca="1">SUMIFS(rec.uni[2027-11-01],
INDIRECT("rec.uni[natureza]"),"taxa.extra",
INDIRECT("rec.uni[empresa]"),AU$6)</f>
        <v>0</v>
      </c>
      <c r="AV85" s="131"/>
    </row>
    <row r="86" spans="1:48" x14ac:dyDescent="0.25">
      <c r="A86" s="43">
        <v>46722</v>
      </c>
      <c r="B86" s="44">
        <f>COUNTIFS(
    estq[empresa], B$6,
    estq[Data da venda / reserva], "&gt;=" &amp; $A86,
    estq[Data da venda / reserva], "&lt;"  &amp; EOMONTH($A86,0) + 1
)</f>
        <v>0</v>
      </c>
      <c r="C86" s="45">
        <f ca="1">SUMIFS(rec.uni[2027-12-01],
INDIRECT("rec.uni[natureza]"),"pro.soluto",
INDIRECT("rec.uni[empresa]"),C$6)</f>
        <v>0</v>
      </c>
      <c r="D86" s="45">
        <f ca="1">SUMIFS(rec.uni[2027-12-01],
INDIRECT("rec.uni[natureza]"),"repasse.cef.obra",
INDIRECT("rec.uni[empresa]"),D$6)</f>
        <v>0</v>
      </c>
      <c r="E86" s="45">
        <f ca="1">SUMIFS(rec.uni[2027-12-01],
INDIRECT("rec.uni[natureza]"),"repasse.cef.terreno",
INDIRECT("rec.uni[empresa]"),E$6)</f>
        <v>0</v>
      </c>
      <c r="F86" s="38"/>
      <c r="G86" s="45">
        <f ca="1">SUMIFS(rec.uni[2027-12-01],
INDIRECT("rec.uni[natureza]"),"taxa.extra",
INDIRECT("rec.uni[empresa]"),G$6)</f>
        <v>0</v>
      </c>
      <c r="H86" s="131"/>
      <c r="I86" s="44">
        <f>COUNTIFS(
    estq[empresa], I$6,
    estq[Data da venda / reserva], "&gt;=" &amp; $A86,
    estq[Data da venda / reserva], "&lt;"  &amp; EOMONTH($A86,0) + 1
)</f>
        <v>0</v>
      </c>
      <c r="J86" s="45">
        <f ca="1">SUMIFS(rec.uni[2027-12-01],
INDIRECT("rec.uni[natureza]"),"pro.soluto",
INDIRECT("rec.uni[empresa]"),J$6)</f>
        <v>0</v>
      </c>
      <c r="K86" s="45">
        <f ca="1">SUMIFS(rec.uni[2027-12-01],
INDIRECT("rec.uni[natureza]"),"repasse.cef.obra",
INDIRECT("rec.uni[empresa]"),K$6)</f>
        <v>0</v>
      </c>
      <c r="L86" s="45">
        <f ca="1">SUMIFS(rec.uni[2027-12-01],
INDIRECT("rec.uni[natureza]"),"repasse.cef.terreno",
INDIRECT("rec.uni[empresa]"),L$6)</f>
        <v>0</v>
      </c>
      <c r="M86" s="38"/>
      <c r="N86" s="45">
        <f ca="1">SUMIFS(rec.uni[2027-12-01],
INDIRECT("rec.uni[natureza]"),"taxa.extra",
INDIRECT("rec.uni[empresa]"),N$6)</f>
        <v>0</v>
      </c>
      <c r="O86" s="131"/>
      <c r="P86" s="44">
        <f>COUNTIFS(
    estq[empresa], P$6,
    estq[Data da venda / reserva], "&gt;=" &amp; $A86,
    estq[Data da venda / reserva], "&lt;"  &amp; EOMONTH($A86,0) + 1
)</f>
        <v>0</v>
      </c>
      <c r="Q86" s="45">
        <f ca="1">SUMIFS(rec.uni[2027-12-01],
INDIRECT("rec.uni[natureza]"),"pro.soluto",
INDIRECT("rec.uni[empresa]"),Q$6)</f>
        <v>0</v>
      </c>
      <c r="R86" s="45">
        <f ca="1">SUMIFS(rec.uni[2027-12-01],
INDIRECT("rec.uni[natureza]"),"repasse.cef.obra",
INDIRECT("rec.uni[empresa]"),R$6)</f>
        <v>0</v>
      </c>
      <c r="S86" s="45">
        <f ca="1">SUMIFS(rec.uni[2027-12-01],
INDIRECT("rec.uni[natureza]"),"repasse.cef.terreno",
INDIRECT("rec.uni[empresa]"),S$6)</f>
        <v>0</v>
      </c>
      <c r="T86" s="38"/>
      <c r="U86" s="45">
        <f ca="1">SUMIFS(rec.uni[2027-12-01],
INDIRECT("rec.uni[natureza]"),"taxa.extra",
INDIRECT("rec.uni[empresa]"),U$6)</f>
        <v>0</v>
      </c>
      <c r="V86" s="131"/>
      <c r="W86" s="44">
        <f>COUNTIFS(
    estq[empresa], W$6,
    estq[Data da venda / reserva], "&gt;=" &amp; $A86,
    estq[Data da venda / reserva], "&lt;"  &amp; EOMONTH($A86,0) + 1
)</f>
        <v>0</v>
      </c>
      <c r="X86" s="45">
        <f ca="1">SUMIFS(rec.uni[2027-12-01],
INDIRECT("rec.uni[natureza]"),"pro.soluto",
INDIRECT("rec.uni[empresa]"),X$6)</f>
        <v>0</v>
      </c>
      <c r="Y86" s="45">
        <f ca="1">SUMIFS(rec.uni[2027-12-01],
INDIRECT("rec.uni[natureza]"),"repasse.cef.obra",
INDIRECT("rec.uni[empresa]"),Y$6)</f>
        <v>0</v>
      </c>
      <c r="Z86" s="45">
        <f ca="1">SUMIFS(rec.uni[2027-12-01],
INDIRECT("rec.uni[natureza]"),"repasse.cef.terreno",
INDIRECT("rec.uni[empresa]"),Z$6)</f>
        <v>0</v>
      </c>
      <c r="AA86" s="38"/>
      <c r="AB86" s="45">
        <f ca="1">SUMIFS(rec.uni[2027-12-01],
INDIRECT("rec.uni[natureza]"),"taxa.extra",
INDIRECT("rec.uni[empresa]"),AB$6)</f>
        <v>0</v>
      </c>
      <c r="AC86" s="131"/>
      <c r="AD86" s="44">
        <f>COUNTIFS(
    estq[empresa], AD$6,
    estq[Data da venda / reserva], "&gt;=" &amp; $A86,
    estq[Data da venda / reserva], "&lt;"  &amp; EOMONTH($A86,0) + 1
)</f>
        <v>0</v>
      </c>
      <c r="AE86" s="45">
        <f ca="1">SUMIFS(rec.uni[2027-12-01],
INDIRECT("rec.uni[natureza]"),"pro.soluto",
INDIRECT("rec.uni[empresa]"),AE$6)</f>
        <v>0</v>
      </c>
      <c r="AF86" s="38">
        <f ca="1">SUMIFS(rec.uni[2027-12-01],
INDIRECT("rec.uni[natureza]"),"parcela.fin.total.ik",
INDIRECT("rec.uni[empresa]"),AF$6)</f>
        <v>0</v>
      </c>
      <c r="AG86" s="45">
        <f ca="1">SUMIFS(rec.uni[2027-12-01],
INDIRECT("rec.uni[natureza]"),"taxa.extra",
INDIRECT("rec.uni[empresa]"),AG$6)</f>
        <v>0</v>
      </c>
      <c r="AH86" s="131"/>
      <c r="AI86" s="44">
        <f>COUNTIFS(
    estq[empresa], AI$6,
    estq[Data da venda / reserva], "&gt;=" &amp; $A86,
    estq[Data da venda / reserva], "&lt;"  &amp; EOMONTH($A86,0) + 1
)</f>
        <v>0</v>
      </c>
      <c r="AJ86" s="45">
        <f ca="1">SUMIFS(rec.uni[2027-12-01],
INDIRECT("rec.uni[natureza]"),"pro.soluto",
INDIRECT("rec.uni[empresa]"),AJ$6)</f>
        <v>0</v>
      </c>
      <c r="AK86" s="45">
        <f ca="1">SUMIFS(rec.uni[2027-12-01],
INDIRECT("rec.uni[natureza]"),"repasse.cef.obra",
INDIRECT("rec.uni[empresa]"),AK$6)</f>
        <v>0</v>
      </c>
      <c r="AL86" s="45">
        <f ca="1">SUMIFS(rec.uni[2027-12-01],
INDIRECT("rec.uni[natureza]"),"repasse.cef.terreno",
INDIRECT("rec.uni[empresa]"),AL$6)</f>
        <v>0</v>
      </c>
      <c r="AM86" s="38"/>
      <c r="AN86" s="45">
        <f ca="1">SUMIFS(rec.uni[2027-12-01],
INDIRECT("rec.uni[natureza]"),"taxa.extra",
INDIRECT("rec.uni[empresa]"),AN$6)</f>
        <v>0</v>
      </c>
      <c r="AO86" s="131"/>
      <c r="AP86" s="44">
        <f>COUNTIFS(
    estq[empresa], AP$6,
    estq[Data da venda / reserva], "&gt;=" &amp; $A86,
    estq[Data da venda / reserva], "&lt;"  &amp; EOMONTH($A86,0) + 1
)</f>
        <v>0</v>
      </c>
      <c r="AQ86" s="45">
        <f ca="1">SUMIFS(rec.uni[2027-12-01],
INDIRECT("rec.uni[natureza]"),"pro.soluto",
INDIRECT("rec.uni[empresa]"),AQ$6)</f>
        <v>0</v>
      </c>
      <c r="AR86" s="45">
        <f ca="1">SUMIFS(rec.uni[2027-12-01],
INDIRECT("rec.uni[natureza]"),"repasse.cef.obra",
INDIRECT("rec.uni[empresa]"),AR$6)</f>
        <v>0</v>
      </c>
      <c r="AS86" s="45">
        <f ca="1">SUMIFS(rec.uni[2027-12-01],
INDIRECT("rec.uni[natureza]"),"repasse.cef.terreno",
INDIRECT("rec.uni[empresa]"),AS$6)</f>
        <v>0</v>
      </c>
      <c r="AT86" s="38"/>
      <c r="AU86" s="45">
        <f ca="1">SUMIFS(rec.uni[2027-12-01],
INDIRECT("rec.uni[natureza]"),"taxa.extra",
INDIRECT("rec.uni[empresa]"),AU$6)</f>
        <v>0</v>
      </c>
      <c r="AV86" s="131"/>
    </row>
    <row r="87" spans="1:48" x14ac:dyDescent="0.25">
      <c r="A87" s="43">
        <v>46753</v>
      </c>
      <c r="B87" s="44">
        <f>COUNTIFS(
    estq[empresa], B$6,
    estq[Data da venda / reserva], "&gt;=" &amp; $A87,
    estq[Data da venda / reserva], "&lt;"  &amp; EOMONTH($A87,0) + 1
)</f>
        <v>0</v>
      </c>
      <c r="C87" s="45">
        <f ca="1">SUMIFS(rec.uni[2028-01-01],
INDIRECT("rec.uni[natureza]"),"pro.soluto",
INDIRECT("rec.uni[empresa]"),C$6)</f>
        <v>0</v>
      </c>
      <c r="D87" s="45">
        <f ca="1">SUMIFS(rec.uni[2028-01-01],
INDIRECT("rec.uni[natureza]"),"repasse.cef.obra",
INDIRECT("rec.uni[empresa]"),D$6)</f>
        <v>0</v>
      </c>
      <c r="E87" s="45">
        <f ca="1">SUMIFS(rec.uni[2028-01-01],
INDIRECT("rec.uni[natureza]"),"repasse.cef.terreno",
INDIRECT("rec.uni[empresa]"),E$6)</f>
        <v>0</v>
      </c>
      <c r="F87" s="38"/>
      <c r="G87" s="45">
        <f ca="1">SUMIFS(rec.uni[2028-01-01],
INDIRECT("rec.uni[natureza]"),"taxa.extra",
INDIRECT("rec.uni[empresa]"),G$6)</f>
        <v>0</v>
      </c>
      <c r="H87" s="131"/>
      <c r="I87" s="44">
        <f>COUNTIFS(
    estq[empresa], I$6,
    estq[Data da venda / reserva], "&gt;=" &amp; $A87,
    estq[Data da venda / reserva], "&lt;"  &amp; EOMONTH($A87,0) + 1
)</f>
        <v>0</v>
      </c>
      <c r="J87" s="45">
        <f ca="1">SUMIFS(rec.uni[2028-01-01],
INDIRECT("rec.uni[natureza]"),"pro.soluto",
INDIRECT("rec.uni[empresa]"),J$6)</f>
        <v>0</v>
      </c>
      <c r="K87" s="45">
        <f ca="1">SUMIFS(rec.uni[2028-01-01],
INDIRECT("rec.uni[natureza]"),"repasse.cef.obra",
INDIRECT("rec.uni[empresa]"),K$6)</f>
        <v>0</v>
      </c>
      <c r="L87" s="45">
        <f ca="1">SUMIFS(rec.uni[2028-01-01],
INDIRECT("rec.uni[natureza]"),"repasse.cef.terreno",
INDIRECT("rec.uni[empresa]"),L$6)</f>
        <v>0</v>
      </c>
      <c r="M87" s="38"/>
      <c r="N87" s="45">
        <f ca="1">SUMIFS(rec.uni[2028-01-01],
INDIRECT("rec.uni[natureza]"),"taxa.extra",
INDIRECT("rec.uni[empresa]"),N$6)</f>
        <v>0</v>
      </c>
      <c r="O87" s="131"/>
      <c r="P87" s="44">
        <f>COUNTIFS(
    estq[empresa], P$6,
    estq[Data da venda / reserva], "&gt;=" &amp; $A87,
    estq[Data da venda / reserva], "&lt;"  &amp; EOMONTH($A87,0) + 1
)</f>
        <v>0</v>
      </c>
      <c r="Q87" s="45">
        <f ca="1">SUMIFS(rec.uni[2028-01-01],
INDIRECT("rec.uni[natureza]"),"pro.soluto",
INDIRECT("rec.uni[empresa]"),Q$6)</f>
        <v>0</v>
      </c>
      <c r="R87" s="45">
        <f ca="1">SUMIFS(rec.uni[2028-01-01],
INDIRECT("rec.uni[natureza]"),"repasse.cef.obra",
INDIRECT("rec.uni[empresa]"),R$6)</f>
        <v>0</v>
      </c>
      <c r="S87" s="45">
        <f ca="1">SUMIFS(rec.uni[2028-01-01],
INDIRECT("rec.uni[natureza]"),"repasse.cef.terreno",
INDIRECT("rec.uni[empresa]"),S$6)</f>
        <v>0</v>
      </c>
      <c r="T87" s="38"/>
      <c r="U87" s="45">
        <f ca="1">SUMIFS(rec.uni[2028-01-01],
INDIRECT("rec.uni[natureza]"),"taxa.extra",
INDIRECT("rec.uni[empresa]"),U$6)</f>
        <v>0</v>
      </c>
      <c r="V87" s="131"/>
      <c r="W87" s="44">
        <f>COUNTIFS(
    estq[empresa], W$6,
    estq[Data da venda / reserva], "&gt;=" &amp; $A87,
    estq[Data da venda / reserva], "&lt;"  &amp; EOMONTH($A87,0) + 1
)</f>
        <v>0</v>
      </c>
      <c r="X87" s="45">
        <f ca="1">SUMIFS(rec.uni[2028-01-01],
INDIRECT("rec.uni[natureza]"),"pro.soluto",
INDIRECT("rec.uni[empresa]"),X$6)</f>
        <v>0</v>
      </c>
      <c r="Y87" s="45">
        <f ca="1">SUMIFS(rec.uni[2028-01-01],
INDIRECT("rec.uni[natureza]"),"repasse.cef.obra",
INDIRECT("rec.uni[empresa]"),Y$6)</f>
        <v>0</v>
      </c>
      <c r="Z87" s="45">
        <f ca="1">SUMIFS(rec.uni[2028-01-01],
INDIRECT("rec.uni[natureza]"),"repasse.cef.terreno",
INDIRECT("rec.uni[empresa]"),Z$6)</f>
        <v>0</v>
      </c>
      <c r="AA87" s="38"/>
      <c r="AB87" s="45">
        <f ca="1">SUMIFS(rec.uni[2028-01-01],
INDIRECT("rec.uni[natureza]"),"taxa.extra",
INDIRECT("rec.uni[empresa]"),AB$6)</f>
        <v>0</v>
      </c>
      <c r="AC87" s="131"/>
      <c r="AD87" s="44">
        <f>COUNTIFS(
    estq[empresa], AD$6,
    estq[Data da venda / reserva], "&gt;=" &amp; $A87,
    estq[Data da venda / reserva], "&lt;"  &amp; EOMONTH($A87,0) + 1
)</f>
        <v>0</v>
      </c>
      <c r="AE87" s="45">
        <f ca="1">SUMIFS(rec.uni[2028-01-01],
INDIRECT("rec.uni[natureza]"),"pro.soluto",
INDIRECT("rec.uni[empresa]"),AE$6)</f>
        <v>0</v>
      </c>
      <c r="AF87" s="38">
        <f ca="1">SUMIFS(rec.uni[2028-01-01],
INDIRECT("rec.uni[natureza]"),"parcela.fin.total.ik",
INDIRECT("rec.uni[empresa]"),AF$6)</f>
        <v>0</v>
      </c>
      <c r="AG87" s="45">
        <f ca="1">SUMIFS(rec.uni[2028-01-01],
INDIRECT("rec.uni[natureza]"),"taxa.extra",
INDIRECT("rec.uni[empresa]"),AG$6)</f>
        <v>0</v>
      </c>
      <c r="AH87" s="131"/>
      <c r="AI87" s="44">
        <f>COUNTIFS(
    estq[empresa], AI$6,
    estq[Data da venda / reserva], "&gt;=" &amp; $A87,
    estq[Data da venda / reserva], "&lt;"  &amp; EOMONTH($A87,0) + 1
)</f>
        <v>0</v>
      </c>
      <c r="AJ87" s="45">
        <f ca="1">SUMIFS(rec.uni[2028-01-01],
INDIRECT("rec.uni[natureza]"),"pro.soluto",
INDIRECT("rec.uni[empresa]"),AJ$6)</f>
        <v>0</v>
      </c>
      <c r="AK87" s="45">
        <f ca="1">SUMIFS(rec.uni[2028-01-01],
INDIRECT("rec.uni[natureza]"),"repasse.cef.obra",
INDIRECT("rec.uni[empresa]"),AK$6)</f>
        <v>0</v>
      </c>
      <c r="AL87" s="45">
        <f ca="1">SUMIFS(rec.uni[2028-01-01],
INDIRECT("rec.uni[natureza]"),"repasse.cef.terreno",
INDIRECT("rec.uni[empresa]"),AL$6)</f>
        <v>0</v>
      </c>
      <c r="AM87" s="38"/>
      <c r="AN87" s="45">
        <f ca="1">SUMIFS(rec.uni[2028-01-01],
INDIRECT("rec.uni[natureza]"),"taxa.extra",
INDIRECT("rec.uni[empresa]"),AN$6)</f>
        <v>0</v>
      </c>
      <c r="AO87" s="131"/>
      <c r="AP87" s="44">
        <f>COUNTIFS(
    estq[empresa], AP$6,
    estq[Data da venda / reserva], "&gt;=" &amp; $A87,
    estq[Data da venda / reserva], "&lt;"  &amp; EOMONTH($A87,0) + 1
)</f>
        <v>0</v>
      </c>
      <c r="AQ87" s="45">
        <f ca="1">SUMIFS(rec.uni[2028-01-01],
INDIRECT("rec.uni[natureza]"),"pro.soluto",
INDIRECT("rec.uni[empresa]"),AQ$6)</f>
        <v>0</v>
      </c>
      <c r="AR87" s="45">
        <f ca="1">SUMIFS(rec.uni[2028-01-01],
INDIRECT("rec.uni[natureza]"),"repasse.cef.obra",
INDIRECT("rec.uni[empresa]"),AR$6)</f>
        <v>0</v>
      </c>
      <c r="AS87" s="45">
        <f ca="1">SUMIFS(rec.uni[2028-01-01],
INDIRECT("rec.uni[natureza]"),"repasse.cef.terreno",
INDIRECT("rec.uni[empresa]"),AS$6)</f>
        <v>0</v>
      </c>
      <c r="AT87" s="38"/>
      <c r="AU87" s="45">
        <f ca="1">SUMIFS(rec.uni[2028-01-01],
INDIRECT("rec.uni[natureza]"),"taxa.extra",
INDIRECT("rec.uni[empresa]"),AU$6)</f>
        <v>0</v>
      </c>
      <c r="AV87" s="131"/>
    </row>
    <row r="88" spans="1:48" x14ac:dyDescent="0.25">
      <c r="A88" s="43">
        <v>46784</v>
      </c>
      <c r="B88" s="44">
        <f>COUNTIFS(
    estq[empresa], B$6,
    estq[Data da venda / reserva], "&gt;=" &amp; $A88,
    estq[Data da venda / reserva], "&lt;"  &amp; EOMONTH($A88,0) + 1
)</f>
        <v>0</v>
      </c>
      <c r="C88" s="45">
        <f ca="1">SUMIFS(rec.uni[2028-02-01],
INDIRECT("rec.uni[natureza]"),"pro.soluto",
INDIRECT("rec.uni[empresa]"),C$6)</f>
        <v>0</v>
      </c>
      <c r="D88" s="45">
        <f ca="1">SUMIFS(rec.uni[2028-02-01],
INDIRECT("rec.uni[natureza]"),"repasse.cef.obra",
INDIRECT("rec.uni[empresa]"),D$6)</f>
        <v>0</v>
      </c>
      <c r="E88" s="45">
        <f ca="1">SUMIFS(rec.uni[2028-02-01],
INDIRECT("rec.uni[natureza]"),"repasse.cef.terreno",
INDIRECT("rec.uni[empresa]"),E$6)</f>
        <v>0</v>
      </c>
      <c r="F88" s="38"/>
      <c r="G88" s="45">
        <f ca="1">SUMIFS(rec.uni[2028-02-01],
INDIRECT("rec.uni[natureza]"),"taxa.extra",
INDIRECT("rec.uni[empresa]"),G$6)</f>
        <v>0</v>
      </c>
      <c r="H88" s="131"/>
      <c r="I88" s="44">
        <f>COUNTIFS(
    estq[empresa], I$6,
    estq[Data da venda / reserva], "&gt;=" &amp; $A88,
    estq[Data da venda / reserva], "&lt;"  &amp; EOMONTH($A88,0) + 1
)</f>
        <v>0</v>
      </c>
      <c r="J88" s="45">
        <f ca="1">SUMIFS(rec.uni[2028-02-01],
INDIRECT("rec.uni[natureza]"),"pro.soluto",
INDIRECT("rec.uni[empresa]"),J$6)</f>
        <v>0</v>
      </c>
      <c r="K88" s="45">
        <f ca="1">SUMIFS(rec.uni[2028-02-01],
INDIRECT("rec.uni[natureza]"),"repasse.cef.obra",
INDIRECT("rec.uni[empresa]"),K$6)</f>
        <v>0</v>
      </c>
      <c r="L88" s="45">
        <f ca="1">SUMIFS(rec.uni[2028-02-01],
INDIRECT("rec.uni[natureza]"),"repasse.cef.terreno",
INDIRECT("rec.uni[empresa]"),L$6)</f>
        <v>0</v>
      </c>
      <c r="M88" s="38"/>
      <c r="N88" s="45">
        <f ca="1">SUMIFS(rec.uni[2028-02-01],
INDIRECT("rec.uni[natureza]"),"taxa.extra",
INDIRECT("rec.uni[empresa]"),N$6)</f>
        <v>0</v>
      </c>
      <c r="O88" s="131"/>
      <c r="P88" s="44">
        <f>COUNTIFS(
    estq[empresa], P$6,
    estq[Data da venda / reserva], "&gt;=" &amp; $A88,
    estq[Data da venda / reserva], "&lt;"  &amp; EOMONTH($A88,0) + 1
)</f>
        <v>0</v>
      </c>
      <c r="Q88" s="45">
        <f ca="1">SUMIFS(rec.uni[2028-02-01],
INDIRECT("rec.uni[natureza]"),"pro.soluto",
INDIRECT("rec.uni[empresa]"),Q$6)</f>
        <v>0</v>
      </c>
      <c r="R88" s="45">
        <f ca="1">SUMIFS(rec.uni[2028-02-01],
INDIRECT("rec.uni[natureza]"),"repasse.cef.obra",
INDIRECT("rec.uni[empresa]"),R$6)</f>
        <v>0</v>
      </c>
      <c r="S88" s="45">
        <f ca="1">SUMIFS(rec.uni[2028-02-01],
INDIRECT("rec.uni[natureza]"),"repasse.cef.terreno",
INDIRECT("rec.uni[empresa]"),S$6)</f>
        <v>0</v>
      </c>
      <c r="T88" s="38"/>
      <c r="U88" s="45">
        <f ca="1">SUMIFS(rec.uni[2028-02-01],
INDIRECT("rec.uni[natureza]"),"taxa.extra",
INDIRECT("rec.uni[empresa]"),U$6)</f>
        <v>0</v>
      </c>
      <c r="V88" s="131"/>
      <c r="W88" s="44">
        <f>COUNTIFS(
    estq[empresa], W$6,
    estq[Data da venda / reserva], "&gt;=" &amp; $A88,
    estq[Data da venda / reserva], "&lt;"  &amp; EOMONTH($A88,0) + 1
)</f>
        <v>0</v>
      </c>
      <c r="X88" s="45">
        <f ca="1">SUMIFS(rec.uni[2028-02-01],
INDIRECT("rec.uni[natureza]"),"pro.soluto",
INDIRECT("rec.uni[empresa]"),X$6)</f>
        <v>0</v>
      </c>
      <c r="Y88" s="45">
        <f ca="1">SUMIFS(rec.uni[2028-02-01],
INDIRECT("rec.uni[natureza]"),"repasse.cef.obra",
INDIRECT("rec.uni[empresa]"),Y$6)</f>
        <v>0</v>
      </c>
      <c r="Z88" s="45">
        <f ca="1">SUMIFS(rec.uni[2028-02-01],
INDIRECT("rec.uni[natureza]"),"repasse.cef.terreno",
INDIRECT("rec.uni[empresa]"),Z$6)</f>
        <v>0</v>
      </c>
      <c r="AA88" s="38"/>
      <c r="AB88" s="45">
        <f ca="1">SUMIFS(rec.uni[2028-02-01],
INDIRECT("rec.uni[natureza]"),"taxa.extra",
INDIRECT("rec.uni[empresa]"),AB$6)</f>
        <v>0</v>
      </c>
      <c r="AC88" s="131"/>
      <c r="AD88" s="44">
        <f>COUNTIFS(
    estq[empresa], AD$6,
    estq[Data da venda / reserva], "&gt;=" &amp; $A88,
    estq[Data da venda / reserva], "&lt;"  &amp; EOMONTH($A88,0) + 1
)</f>
        <v>0</v>
      </c>
      <c r="AE88" s="45">
        <f ca="1">SUMIFS(rec.uni[2028-02-01],
INDIRECT("rec.uni[natureza]"),"pro.soluto",
INDIRECT("rec.uni[empresa]"),AE$6)</f>
        <v>0</v>
      </c>
      <c r="AF88" s="38">
        <f ca="1">SUMIFS(rec.uni[2028-02-01],
INDIRECT("rec.uni[natureza]"),"parcela.fin.total.ik",
INDIRECT("rec.uni[empresa]"),AF$6)</f>
        <v>0</v>
      </c>
      <c r="AG88" s="45">
        <f ca="1">SUMIFS(rec.uni[2028-02-01],
INDIRECT("rec.uni[natureza]"),"taxa.extra",
INDIRECT("rec.uni[empresa]"),AG$6)</f>
        <v>0</v>
      </c>
      <c r="AH88" s="131"/>
      <c r="AI88" s="44">
        <f>COUNTIFS(
    estq[empresa], AI$6,
    estq[Data da venda / reserva], "&gt;=" &amp; $A88,
    estq[Data da venda / reserva], "&lt;"  &amp; EOMONTH($A88,0) + 1
)</f>
        <v>0</v>
      </c>
      <c r="AJ88" s="45">
        <f ca="1">SUMIFS(rec.uni[2028-02-01],
INDIRECT("rec.uni[natureza]"),"pro.soluto",
INDIRECT("rec.uni[empresa]"),AJ$6)</f>
        <v>0</v>
      </c>
      <c r="AK88" s="45">
        <f ca="1">SUMIFS(rec.uni[2028-02-01],
INDIRECT("rec.uni[natureza]"),"repasse.cef.obra",
INDIRECT("rec.uni[empresa]"),AK$6)</f>
        <v>0</v>
      </c>
      <c r="AL88" s="45">
        <f ca="1">SUMIFS(rec.uni[2028-02-01],
INDIRECT("rec.uni[natureza]"),"repasse.cef.terreno",
INDIRECT("rec.uni[empresa]"),AL$6)</f>
        <v>0</v>
      </c>
      <c r="AM88" s="38"/>
      <c r="AN88" s="45">
        <f ca="1">SUMIFS(rec.uni[2028-02-01],
INDIRECT("rec.uni[natureza]"),"taxa.extra",
INDIRECT("rec.uni[empresa]"),AN$6)</f>
        <v>0</v>
      </c>
      <c r="AO88" s="131"/>
      <c r="AP88" s="44">
        <f>COUNTIFS(
    estq[empresa], AP$6,
    estq[Data da venda / reserva], "&gt;=" &amp; $A88,
    estq[Data da venda / reserva], "&lt;"  &amp; EOMONTH($A88,0) + 1
)</f>
        <v>0</v>
      </c>
      <c r="AQ88" s="45">
        <f ca="1">SUMIFS(rec.uni[2028-02-01],
INDIRECT("rec.uni[natureza]"),"pro.soluto",
INDIRECT("rec.uni[empresa]"),AQ$6)</f>
        <v>0</v>
      </c>
      <c r="AR88" s="45">
        <f ca="1">SUMIFS(rec.uni[2028-02-01],
INDIRECT("rec.uni[natureza]"),"repasse.cef.obra",
INDIRECT("rec.uni[empresa]"),AR$6)</f>
        <v>0</v>
      </c>
      <c r="AS88" s="45">
        <f ca="1">SUMIFS(rec.uni[2028-02-01],
INDIRECT("rec.uni[natureza]"),"repasse.cef.terreno",
INDIRECT("rec.uni[empresa]"),AS$6)</f>
        <v>0</v>
      </c>
      <c r="AT88" s="38"/>
      <c r="AU88" s="45">
        <f ca="1">SUMIFS(rec.uni[2028-02-01],
INDIRECT("rec.uni[natureza]"),"taxa.extra",
INDIRECT("rec.uni[empresa]"),AU$6)</f>
        <v>0</v>
      </c>
      <c r="AV88" s="131"/>
    </row>
    <row r="89" spans="1:48" x14ac:dyDescent="0.25">
      <c r="A89" s="43">
        <v>46813</v>
      </c>
      <c r="B89" s="44">
        <f>COUNTIFS(
    estq[empresa], B$6,
    estq[Data da venda / reserva], "&gt;=" &amp; $A89,
    estq[Data da venda / reserva], "&lt;"  &amp; EOMONTH($A89,0) + 1
)</f>
        <v>0</v>
      </c>
      <c r="C89" s="45">
        <f ca="1">SUMIFS(rec.uni[2028-03-01],
INDIRECT("rec.uni[natureza]"),"pro.soluto",
INDIRECT("rec.uni[empresa]"),C$6)</f>
        <v>0</v>
      </c>
      <c r="D89" s="45">
        <f ca="1">SUMIFS(rec.uni[2028-03-01],
INDIRECT("rec.uni[natureza]"),"repasse.cef.obra",
INDIRECT("rec.uni[empresa]"),D$6)</f>
        <v>0</v>
      </c>
      <c r="E89" s="45">
        <f ca="1">SUMIFS(rec.uni[2028-03-01],
INDIRECT("rec.uni[natureza]"),"repasse.cef.terreno",
INDIRECT("rec.uni[empresa]"),E$6)</f>
        <v>0</v>
      </c>
      <c r="F89" s="38"/>
      <c r="G89" s="45">
        <f ca="1">SUMIFS(rec.uni[2028-03-01],
INDIRECT("rec.uni[natureza]"),"taxa.extra",
INDIRECT("rec.uni[empresa]"),G$6)</f>
        <v>0</v>
      </c>
      <c r="H89" s="131"/>
      <c r="I89" s="44">
        <f>COUNTIFS(
    estq[empresa], I$6,
    estq[Data da venda / reserva], "&gt;=" &amp; $A89,
    estq[Data da venda / reserva], "&lt;"  &amp; EOMONTH($A89,0) + 1
)</f>
        <v>0</v>
      </c>
      <c r="J89" s="45">
        <f ca="1">SUMIFS(rec.uni[2028-03-01],
INDIRECT("rec.uni[natureza]"),"pro.soluto",
INDIRECT("rec.uni[empresa]"),J$6)</f>
        <v>0</v>
      </c>
      <c r="K89" s="45">
        <f ca="1">SUMIFS(rec.uni[2028-03-01],
INDIRECT("rec.uni[natureza]"),"repasse.cef.obra",
INDIRECT("rec.uni[empresa]"),K$6)</f>
        <v>0</v>
      </c>
      <c r="L89" s="45">
        <f ca="1">SUMIFS(rec.uni[2028-03-01],
INDIRECT("rec.uni[natureza]"),"repasse.cef.terreno",
INDIRECT("rec.uni[empresa]"),L$6)</f>
        <v>0</v>
      </c>
      <c r="M89" s="38"/>
      <c r="N89" s="45">
        <f ca="1">SUMIFS(rec.uni[2028-03-01],
INDIRECT("rec.uni[natureza]"),"taxa.extra",
INDIRECT("rec.uni[empresa]"),N$6)</f>
        <v>0</v>
      </c>
      <c r="O89" s="131"/>
      <c r="P89" s="44">
        <f>COUNTIFS(
    estq[empresa], P$6,
    estq[Data da venda / reserva], "&gt;=" &amp; $A89,
    estq[Data da venda / reserva], "&lt;"  &amp; EOMONTH($A89,0) + 1
)</f>
        <v>0</v>
      </c>
      <c r="Q89" s="45">
        <f ca="1">SUMIFS(rec.uni[2028-03-01],
INDIRECT("rec.uni[natureza]"),"pro.soluto",
INDIRECT("rec.uni[empresa]"),Q$6)</f>
        <v>0</v>
      </c>
      <c r="R89" s="45">
        <f ca="1">SUMIFS(rec.uni[2028-03-01],
INDIRECT("rec.uni[natureza]"),"repasse.cef.obra",
INDIRECT("rec.uni[empresa]"),R$6)</f>
        <v>0</v>
      </c>
      <c r="S89" s="45">
        <f ca="1">SUMIFS(rec.uni[2028-03-01],
INDIRECT("rec.uni[natureza]"),"repasse.cef.terreno",
INDIRECT("rec.uni[empresa]"),S$6)</f>
        <v>0</v>
      </c>
      <c r="T89" s="38"/>
      <c r="U89" s="45">
        <f ca="1">SUMIFS(rec.uni[2028-03-01],
INDIRECT("rec.uni[natureza]"),"taxa.extra",
INDIRECT("rec.uni[empresa]"),U$6)</f>
        <v>0</v>
      </c>
      <c r="V89" s="131"/>
      <c r="W89" s="44">
        <f>COUNTIFS(
    estq[empresa], W$6,
    estq[Data da venda / reserva], "&gt;=" &amp; $A89,
    estq[Data da venda / reserva], "&lt;"  &amp; EOMONTH($A89,0) + 1
)</f>
        <v>0</v>
      </c>
      <c r="X89" s="45">
        <f ca="1">SUMIFS(rec.uni[2028-03-01],
INDIRECT("rec.uni[natureza]"),"pro.soluto",
INDIRECT("rec.uni[empresa]"),X$6)</f>
        <v>0</v>
      </c>
      <c r="Y89" s="45">
        <f ca="1">SUMIFS(rec.uni[2028-03-01],
INDIRECT("rec.uni[natureza]"),"repasse.cef.obra",
INDIRECT("rec.uni[empresa]"),Y$6)</f>
        <v>0</v>
      </c>
      <c r="Z89" s="45">
        <f ca="1">SUMIFS(rec.uni[2028-03-01],
INDIRECT("rec.uni[natureza]"),"repasse.cef.terreno",
INDIRECT("rec.uni[empresa]"),Z$6)</f>
        <v>0</v>
      </c>
      <c r="AA89" s="38"/>
      <c r="AB89" s="45">
        <f ca="1">SUMIFS(rec.uni[2028-03-01],
INDIRECT("rec.uni[natureza]"),"taxa.extra",
INDIRECT("rec.uni[empresa]"),AB$6)</f>
        <v>0</v>
      </c>
      <c r="AC89" s="131"/>
      <c r="AD89" s="44">
        <f>COUNTIFS(
    estq[empresa], AD$6,
    estq[Data da venda / reserva], "&gt;=" &amp; $A89,
    estq[Data da venda / reserva], "&lt;"  &amp; EOMONTH($A89,0) + 1
)</f>
        <v>0</v>
      </c>
      <c r="AE89" s="45">
        <f ca="1">SUMIFS(rec.uni[2028-03-01],
INDIRECT("rec.uni[natureza]"),"pro.soluto",
INDIRECT("rec.uni[empresa]"),AE$6)</f>
        <v>0</v>
      </c>
      <c r="AF89" s="38">
        <f ca="1">SUMIFS(rec.uni[2028-03-01],
INDIRECT("rec.uni[natureza]"),"parcela.fin.total.ik",
INDIRECT("rec.uni[empresa]"),AF$6)</f>
        <v>0</v>
      </c>
      <c r="AG89" s="45">
        <f ca="1">SUMIFS(rec.uni[2028-03-01],
INDIRECT("rec.uni[natureza]"),"taxa.extra",
INDIRECT("rec.uni[empresa]"),AG$6)</f>
        <v>0</v>
      </c>
      <c r="AH89" s="131"/>
      <c r="AI89" s="44">
        <f>COUNTIFS(
    estq[empresa], AI$6,
    estq[Data da venda / reserva], "&gt;=" &amp; $A89,
    estq[Data da venda / reserva], "&lt;"  &amp; EOMONTH($A89,0) + 1
)</f>
        <v>0</v>
      </c>
      <c r="AJ89" s="45">
        <f ca="1">SUMIFS(rec.uni[2028-03-01],
INDIRECT("rec.uni[natureza]"),"pro.soluto",
INDIRECT("rec.uni[empresa]"),AJ$6)</f>
        <v>0</v>
      </c>
      <c r="AK89" s="45">
        <f ca="1">SUMIFS(rec.uni[2028-03-01],
INDIRECT("rec.uni[natureza]"),"repasse.cef.obra",
INDIRECT("rec.uni[empresa]"),AK$6)</f>
        <v>0</v>
      </c>
      <c r="AL89" s="45">
        <f ca="1">SUMIFS(rec.uni[2028-03-01],
INDIRECT("rec.uni[natureza]"),"repasse.cef.terreno",
INDIRECT("rec.uni[empresa]"),AL$6)</f>
        <v>0</v>
      </c>
      <c r="AM89" s="38"/>
      <c r="AN89" s="45">
        <f ca="1">SUMIFS(rec.uni[2028-03-01],
INDIRECT("rec.uni[natureza]"),"taxa.extra",
INDIRECT("rec.uni[empresa]"),AN$6)</f>
        <v>0</v>
      </c>
      <c r="AO89" s="131"/>
      <c r="AP89" s="44">
        <f>COUNTIFS(
    estq[empresa], AP$6,
    estq[Data da venda / reserva], "&gt;=" &amp; $A89,
    estq[Data da venda / reserva], "&lt;"  &amp; EOMONTH($A89,0) + 1
)</f>
        <v>0</v>
      </c>
      <c r="AQ89" s="45">
        <f ca="1">SUMIFS(rec.uni[2028-03-01],
INDIRECT("rec.uni[natureza]"),"pro.soluto",
INDIRECT("rec.uni[empresa]"),AQ$6)</f>
        <v>0</v>
      </c>
      <c r="AR89" s="45">
        <f ca="1">SUMIFS(rec.uni[2028-03-01],
INDIRECT("rec.uni[natureza]"),"repasse.cef.obra",
INDIRECT("rec.uni[empresa]"),AR$6)</f>
        <v>0</v>
      </c>
      <c r="AS89" s="45">
        <f ca="1">SUMIFS(rec.uni[2028-03-01],
INDIRECT("rec.uni[natureza]"),"repasse.cef.terreno",
INDIRECT("rec.uni[empresa]"),AS$6)</f>
        <v>0</v>
      </c>
      <c r="AT89" s="38"/>
      <c r="AU89" s="45">
        <f ca="1">SUMIFS(rec.uni[2028-03-01],
INDIRECT("rec.uni[natureza]"),"taxa.extra",
INDIRECT("rec.uni[empresa]"),AU$6)</f>
        <v>0</v>
      </c>
      <c r="AV89" s="131"/>
    </row>
    <row r="90" spans="1:48" x14ac:dyDescent="0.25">
      <c r="A90" s="43">
        <v>46844</v>
      </c>
      <c r="B90" s="44">
        <f>COUNTIFS(
    estq[empresa], B$6,
    estq[Data da venda / reserva], "&gt;=" &amp; $A90,
    estq[Data da venda / reserva], "&lt;"  &amp; EOMONTH($A90,0) + 1
)</f>
        <v>0</v>
      </c>
      <c r="C90" s="45">
        <f ca="1">SUMIFS(rec.uni[2028-04-01],
INDIRECT("rec.uni[natureza]"),"pro.soluto",
INDIRECT("rec.uni[empresa]"),C$6)</f>
        <v>0</v>
      </c>
      <c r="D90" s="45">
        <f ca="1">SUMIFS(rec.uni[2028-04-01],
INDIRECT("rec.uni[natureza]"),"repasse.cef.obra",
INDIRECT("rec.uni[empresa]"),D$6)</f>
        <v>0</v>
      </c>
      <c r="E90" s="45">
        <f ca="1">SUMIFS(rec.uni[2028-04-01],
INDIRECT("rec.uni[natureza]"),"repasse.cef.terreno",
INDIRECT("rec.uni[empresa]"),E$6)</f>
        <v>0</v>
      </c>
      <c r="F90" s="38"/>
      <c r="G90" s="45">
        <f ca="1">SUMIFS(rec.uni[2028-04-01],
INDIRECT("rec.uni[natureza]"),"taxa.extra",
INDIRECT("rec.uni[empresa]"),G$6)</f>
        <v>0</v>
      </c>
      <c r="H90" s="131"/>
      <c r="I90" s="44">
        <f>COUNTIFS(
    estq[empresa], I$6,
    estq[Data da venda / reserva], "&gt;=" &amp; $A90,
    estq[Data da venda / reserva], "&lt;"  &amp; EOMONTH($A90,0) + 1
)</f>
        <v>0</v>
      </c>
      <c r="J90" s="45">
        <f ca="1">SUMIFS(rec.uni[2028-04-01],
INDIRECT("rec.uni[natureza]"),"pro.soluto",
INDIRECT("rec.uni[empresa]"),J$6)</f>
        <v>0</v>
      </c>
      <c r="K90" s="45">
        <f ca="1">SUMIFS(rec.uni[2028-04-01],
INDIRECT("rec.uni[natureza]"),"repasse.cef.obra",
INDIRECT("rec.uni[empresa]"),K$6)</f>
        <v>0</v>
      </c>
      <c r="L90" s="45">
        <f ca="1">SUMIFS(rec.uni[2028-04-01],
INDIRECT("rec.uni[natureza]"),"repasse.cef.terreno",
INDIRECT("rec.uni[empresa]"),L$6)</f>
        <v>0</v>
      </c>
      <c r="M90" s="38"/>
      <c r="N90" s="45">
        <f ca="1">SUMIFS(rec.uni[2028-04-01],
INDIRECT("rec.uni[natureza]"),"taxa.extra",
INDIRECT("rec.uni[empresa]"),N$6)</f>
        <v>0</v>
      </c>
      <c r="O90" s="131"/>
      <c r="P90" s="44">
        <f>COUNTIFS(
    estq[empresa], P$6,
    estq[Data da venda / reserva], "&gt;=" &amp; $A90,
    estq[Data da venda / reserva], "&lt;"  &amp; EOMONTH($A90,0) + 1
)</f>
        <v>0</v>
      </c>
      <c r="Q90" s="45">
        <f ca="1">SUMIFS(rec.uni[2028-04-01],
INDIRECT("rec.uni[natureza]"),"pro.soluto",
INDIRECT("rec.uni[empresa]"),Q$6)</f>
        <v>0</v>
      </c>
      <c r="R90" s="45">
        <f ca="1">SUMIFS(rec.uni[2028-04-01],
INDIRECT("rec.uni[natureza]"),"repasse.cef.obra",
INDIRECT("rec.uni[empresa]"),R$6)</f>
        <v>0</v>
      </c>
      <c r="S90" s="45">
        <f ca="1">SUMIFS(rec.uni[2028-04-01],
INDIRECT("rec.uni[natureza]"),"repasse.cef.terreno",
INDIRECT("rec.uni[empresa]"),S$6)</f>
        <v>0</v>
      </c>
      <c r="T90" s="38"/>
      <c r="U90" s="45">
        <f ca="1">SUMIFS(rec.uni[2028-04-01],
INDIRECT("rec.uni[natureza]"),"taxa.extra",
INDIRECT("rec.uni[empresa]"),U$6)</f>
        <v>0</v>
      </c>
      <c r="V90" s="131"/>
      <c r="W90" s="44">
        <f>COUNTIFS(
    estq[empresa], W$6,
    estq[Data da venda / reserva], "&gt;=" &amp; $A90,
    estq[Data da venda / reserva], "&lt;"  &amp; EOMONTH($A90,0) + 1
)</f>
        <v>0</v>
      </c>
      <c r="X90" s="45">
        <f ca="1">SUMIFS(rec.uni[2028-04-01],
INDIRECT("rec.uni[natureza]"),"pro.soluto",
INDIRECT("rec.uni[empresa]"),X$6)</f>
        <v>0</v>
      </c>
      <c r="Y90" s="45">
        <f ca="1">SUMIFS(rec.uni[2028-04-01],
INDIRECT("rec.uni[natureza]"),"repasse.cef.obra",
INDIRECT("rec.uni[empresa]"),Y$6)</f>
        <v>0</v>
      </c>
      <c r="Z90" s="45">
        <f ca="1">SUMIFS(rec.uni[2028-04-01],
INDIRECT("rec.uni[natureza]"),"repasse.cef.terreno",
INDIRECT("rec.uni[empresa]"),Z$6)</f>
        <v>0</v>
      </c>
      <c r="AA90" s="38"/>
      <c r="AB90" s="45">
        <f ca="1">SUMIFS(rec.uni[2028-04-01],
INDIRECT("rec.uni[natureza]"),"taxa.extra",
INDIRECT("rec.uni[empresa]"),AB$6)</f>
        <v>0</v>
      </c>
      <c r="AC90" s="131"/>
      <c r="AD90" s="44">
        <f>COUNTIFS(
    estq[empresa], AD$6,
    estq[Data da venda / reserva], "&gt;=" &amp; $A90,
    estq[Data da venda / reserva], "&lt;"  &amp; EOMONTH($A90,0) + 1
)</f>
        <v>0</v>
      </c>
      <c r="AE90" s="45">
        <f ca="1">SUMIFS(rec.uni[2028-04-01],
INDIRECT("rec.uni[natureza]"),"pro.soluto",
INDIRECT("rec.uni[empresa]"),AE$6)</f>
        <v>0</v>
      </c>
      <c r="AF90" s="38">
        <f ca="1">SUMIFS(rec.uni[2028-04-01],
INDIRECT("rec.uni[natureza]"),"parcela.fin.total.ik",
INDIRECT("rec.uni[empresa]"),AF$6)</f>
        <v>0</v>
      </c>
      <c r="AG90" s="45">
        <f ca="1">SUMIFS(rec.uni[2028-04-01],
INDIRECT("rec.uni[natureza]"),"taxa.extra",
INDIRECT("rec.uni[empresa]"),AG$6)</f>
        <v>0</v>
      </c>
      <c r="AH90" s="131"/>
      <c r="AI90" s="44">
        <f>COUNTIFS(
    estq[empresa], AI$6,
    estq[Data da venda / reserva], "&gt;=" &amp; $A90,
    estq[Data da venda / reserva], "&lt;"  &amp; EOMONTH($A90,0) + 1
)</f>
        <v>0</v>
      </c>
      <c r="AJ90" s="45">
        <f ca="1">SUMIFS(rec.uni[2028-04-01],
INDIRECT("rec.uni[natureza]"),"pro.soluto",
INDIRECT("rec.uni[empresa]"),AJ$6)</f>
        <v>0</v>
      </c>
      <c r="AK90" s="45">
        <f ca="1">SUMIFS(rec.uni[2028-04-01],
INDIRECT("rec.uni[natureza]"),"repasse.cef.obra",
INDIRECT("rec.uni[empresa]"),AK$6)</f>
        <v>0</v>
      </c>
      <c r="AL90" s="45">
        <f ca="1">SUMIFS(rec.uni[2028-04-01],
INDIRECT("rec.uni[natureza]"),"repasse.cef.terreno",
INDIRECT("rec.uni[empresa]"),AL$6)</f>
        <v>0</v>
      </c>
      <c r="AM90" s="38"/>
      <c r="AN90" s="45">
        <f ca="1">SUMIFS(rec.uni[2028-04-01],
INDIRECT("rec.uni[natureza]"),"taxa.extra",
INDIRECT("rec.uni[empresa]"),AN$6)</f>
        <v>0</v>
      </c>
      <c r="AO90" s="131"/>
      <c r="AP90" s="44">
        <f>COUNTIFS(
    estq[empresa], AP$6,
    estq[Data da venda / reserva], "&gt;=" &amp; $A90,
    estq[Data da venda / reserva], "&lt;"  &amp; EOMONTH($A90,0) + 1
)</f>
        <v>0</v>
      </c>
      <c r="AQ90" s="45">
        <f ca="1">SUMIFS(rec.uni[2028-04-01],
INDIRECT("rec.uni[natureza]"),"pro.soluto",
INDIRECT("rec.uni[empresa]"),AQ$6)</f>
        <v>0</v>
      </c>
      <c r="AR90" s="45">
        <f ca="1">SUMIFS(rec.uni[2028-04-01],
INDIRECT("rec.uni[natureza]"),"repasse.cef.obra",
INDIRECT("rec.uni[empresa]"),AR$6)</f>
        <v>0</v>
      </c>
      <c r="AS90" s="45">
        <f ca="1">SUMIFS(rec.uni[2028-04-01],
INDIRECT("rec.uni[natureza]"),"repasse.cef.terreno",
INDIRECT("rec.uni[empresa]"),AS$6)</f>
        <v>0</v>
      </c>
      <c r="AT90" s="38"/>
      <c r="AU90" s="45">
        <f ca="1">SUMIFS(rec.uni[2028-04-01],
INDIRECT("rec.uni[natureza]"),"taxa.extra",
INDIRECT("rec.uni[empresa]"),AU$6)</f>
        <v>0</v>
      </c>
      <c r="AV90" s="131"/>
    </row>
    <row r="91" spans="1:48" x14ac:dyDescent="0.25">
      <c r="A91" s="43">
        <v>46874</v>
      </c>
      <c r="B91" s="44">
        <f>COUNTIFS(
    estq[empresa], B$6,
    estq[Data da venda / reserva], "&gt;=" &amp; $A91,
    estq[Data da venda / reserva], "&lt;"  &amp; EOMONTH($A91,0) + 1
)</f>
        <v>0</v>
      </c>
      <c r="C91" s="45">
        <f ca="1">SUMIFS(rec.uni[2028-05-01],
INDIRECT("rec.uni[natureza]"),"pro.soluto",
INDIRECT("rec.uni[empresa]"),C$6)</f>
        <v>0</v>
      </c>
      <c r="D91" s="45">
        <f ca="1">SUMIFS(rec.uni[2028-05-01],
INDIRECT("rec.uni[natureza]"),"repasse.cef.obra",
INDIRECT("rec.uni[empresa]"),D$6)</f>
        <v>0</v>
      </c>
      <c r="E91" s="45">
        <f ca="1">SUMIFS(rec.uni[2028-05-01],
INDIRECT("rec.uni[natureza]"),"repasse.cef.terreno",
INDIRECT("rec.uni[empresa]"),E$6)</f>
        <v>0</v>
      </c>
      <c r="F91" s="38"/>
      <c r="G91" s="45">
        <f ca="1">SUMIFS(rec.uni[2028-05-01],
INDIRECT("rec.uni[natureza]"),"taxa.extra",
INDIRECT("rec.uni[empresa]"),G$6)</f>
        <v>0</v>
      </c>
      <c r="H91" s="131"/>
      <c r="I91" s="44">
        <f>COUNTIFS(
    estq[empresa], I$6,
    estq[Data da venda / reserva], "&gt;=" &amp; $A91,
    estq[Data da venda / reserva], "&lt;"  &amp; EOMONTH($A91,0) + 1
)</f>
        <v>0</v>
      </c>
      <c r="J91" s="45">
        <f ca="1">SUMIFS(rec.uni[2028-05-01],
INDIRECT("rec.uni[natureza]"),"pro.soluto",
INDIRECT("rec.uni[empresa]"),J$6)</f>
        <v>0</v>
      </c>
      <c r="K91" s="45">
        <f ca="1">SUMIFS(rec.uni[2028-05-01],
INDIRECT("rec.uni[natureza]"),"repasse.cef.obra",
INDIRECT("rec.uni[empresa]"),K$6)</f>
        <v>0</v>
      </c>
      <c r="L91" s="45">
        <f ca="1">SUMIFS(rec.uni[2028-05-01],
INDIRECT("rec.uni[natureza]"),"repasse.cef.terreno",
INDIRECT("rec.uni[empresa]"),L$6)</f>
        <v>0</v>
      </c>
      <c r="M91" s="38"/>
      <c r="N91" s="45">
        <f ca="1">SUMIFS(rec.uni[2028-05-01],
INDIRECT("rec.uni[natureza]"),"taxa.extra",
INDIRECT("rec.uni[empresa]"),N$6)</f>
        <v>0</v>
      </c>
      <c r="O91" s="131"/>
      <c r="P91" s="44">
        <f>COUNTIFS(
    estq[empresa], P$6,
    estq[Data da venda / reserva], "&gt;=" &amp; $A91,
    estq[Data da venda / reserva], "&lt;"  &amp; EOMONTH($A91,0) + 1
)</f>
        <v>0</v>
      </c>
      <c r="Q91" s="45">
        <f ca="1">SUMIFS(rec.uni[2028-05-01],
INDIRECT("rec.uni[natureza]"),"pro.soluto",
INDIRECT("rec.uni[empresa]"),Q$6)</f>
        <v>0</v>
      </c>
      <c r="R91" s="45">
        <f ca="1">SUMIFS(rec.uni[2028-05-01],
INDIRECT("rec.uni[natureza]"),"repasse.cef.obra",
INDIRECT("rec.uni[empresa]"),R$6)</f>
        <v>0</v>
      </c>
      <c r="S91" s="45">
        <f ca="1">SUMIFS(rec.uni[2028-05-01],
INDIRECT("rec.uni[natureza]"),"repasse.cef.terreno",
INDIRECT("rec.uni[empresa]"),S$6)</f>
        <v>0</v>
      </c>
      <c r="T91" s="38"/>
      <c r="U91" s="45">
        <f ca="1">SUMIFS(rec.uni[2028-05-01],
INDIRECT("rec.uni[natureza]"),"taxa.extra",
INDIRECT("rec.uni[empresa]"),U$6)</f>
        <v>0</v>
      </c>
      <c r="V91" s="131"/>
      <c r="W91" s="44">
        <f>COUNTIFS(
    estq[empresa], W$6,
    estq[Data da venda / reserva], "&gt;=" &amp; $A91,
    estq[Data da venda / reserva], "&lt;"  &amp; EOMONTH($A91,0) + 1
)</f>
        <v>0</v>
      </c>
      <c r="X91" s="45">
        <f ca="1">SUMIFS(rec.uni[2028-05-01],
INDIRECT("rec.uni[natureza]"),"pro.soluto",
INDIRECT("rec.uni[empresa]"),X$6)</f>
        <v>0</v>
      </c>
      <c r="Y91" s="45">
        <f ca="1">SUMIFS(rec.uni[2028-05-01],
INDIRECT("rec.uni[natureza]"),"repasse.cef.obra",
INDIRECT("rec.uni[empresa]"),Y$6)</f>
        <v>0</v>
      </c>
      <c r="Z91" s="45">
        <f ca="1">SUMIFS(rec.uni[2028-05-01],
INDIRECT("rec.uni[natureza]"),"repasse.cef.terreno",
INDIRECT("rec.uni[empresa]"),Z$6)</f>
        <v>0</v>
      </c>
      <c r="AA91" s="38"/>
      <c r="AB91" s="45">
        <f ca="1">SUMIFS(rec.uni[2028-05-01],
INDIRECT("rec.uni[natureza]"),"taxa.extra",
INDIRECT("rec.uni[empresa]"),AB$6)</f>
        <v>0</v>
      </c>
      <c r="AC91" s="131"/>
      <c r="AD91" s="44">
        <f>COUNTIFS(
    estq[empresa], AD$6,
    estq[Data da venda / reserva], "&gt;=" &amp; $A91,
    estq[Data da venda / reserva], "&lt;"  &amp; EOMONTH($A91,0) + 1
)</f>
        <v>0</v>
      </c>
      <c r="AE91" s="45">
        <f ca="1">SUMIFS(rec.uni[2028-05-01],
INDIRECT("rec.uni[natureza]"),"pro.soluto",
INDIRECT("rec.uni[empresa]"),AE$6)</f>
        <v>0</v>
      </c>
      <c r="AF91" s="38">
        <f ca="1">SUMIFS(rec.uni[2028-05-01],
INDIRECT("rec.uni[natureza]"),"parcela.fin.total.ik",
INDIRECT("rec.uni[empresa]"),AF$6)</f>
        <v>0</v>
      </c>
      <c r="AG91" s="45">
        <f ca="1">SUMIFS(rec.uni[2028-05-01],
INDIRECT("rec.uni[natureza]"),"taxa.extra",
INDIRECT("rec.uni[empresa]"),AG$6)</f>
        <v>0</v>
      </c>
      <c r="AH91" s="131"/>
      <c r="AI91" s="44">
        <f>COUNTIFS(
    estq[empresa], AI$6,
    estq[Data da venda / reserva], "&gt;=" &amp; $A91,
    estq[Data da venda / reserva], "&lt;"  &amp; EOMONTH($A91,0) + 1
)</f>
        <v>0</v>
      </c>
      <c r="AJ91" s="45">
        <f ca="1">SUMIFS(rec.uni[2028-05-01],
INDIRECT("rec.uni[natureza]"),"pro.soluto",
INDIRECT("rec.uni[empresa]"),AJ$6)</f>
        <v>0</v>
      </c>
      <c r="AK91" s="45">
        <f ca="1">SUMIFS(rec.uni[2028-05-01],
INDIRECT("rec.uni[natureza]"),"repasse.cef.obra",
INDIRECT("rec.uni[empresa]"),AK$6)</f>
        <v>0</v>
      </c>
      <c r="AL91" s="45">
        <f ca="1">SUMIFS(rec.uni[2028-05-01],
INDIRECT("rec.uni[natureza]"),"repasse.cef.terreno",
INDIRECT("rec.uni[empresa]"),AL$6)</f>
        <v>0</v>
      </c>
      <c r="AM91" s="38"/>
      <c r="AN91" s="45">
        <f ca="1">SUMIFS(rec.uni[2028-05-01],
INDIRECT("rec.uni[natureza]"),"taxa.extra",
INDIRECT("rec.uni[empresa]"),AN$6)</f>
        <v>0</v>
      </c>
      <c r="AO91" s="131"/>
      <c r="AP91" s="44">
        <f>COUNTIFS(
    estq[empresa], AP$6,
    estq[Data da venda / reserva], "&gt;=" &amp; $A91,
    estq[Data da venda / reserva], "&lt;"  &amp; EOMONTH($A91,0) + 1
)</f>
        <v>0</v>
      </c>
      <c r="AQ91" s="45">
        <f ca="1">SUMIFS(rec.uni[2028-05-01],
INDIRECT("rec.uni[natureza]"),"pro.soluto",
INDIRECT("rec.uni[empresa]"),AQ$6)</f>
        <v>0</v>
      </c>
      <c r="AR91" s="45">
        <f ca="1">SUMIFS(rec.uni[2028-05-01],
INDIRECT("rec.uni[natureza]"),"repasse.cef.obra",
INDIRECT("rec.uni[empresa]"),AR$6)</f>
        <v>0</v>
      </c>
      <c r="AS91" s="45">
        <f ca="1">SUMIFS(rec.uni[2028-05-01],
INDIRECT("rec.uni[natureza]"),"repasse.cef.terreno",
INDIRECT("rec.uni[empresa]"),AS$6)</f>
        <v>0</v>
      </c>
      <c r="AT91" s="38"/>
      <c r="AU91" s="45">
        <f ca="1">SUMIFS(rec.uni[2028-05-01],
INDIRECT("rec.uni[natureza]"),"taxa.extra",
INDIRECT("rec.uni[empresa]"),AU$6)</f>
        <v>0</v>
      </c>
      <c r="AV91" s="131"/>
    </row>
    <row r="92" spans="1:48" x14ac:dyDescent="0.25">
      <c r="A92" s="43">
        <v>46905</v>
      </c>
      <c r="B92" s="44">
        <f>COUNTIFS(
    estq[empresa], B$6,
    estq[Data da venda / reserva], "&gt;=" &amp; $A92,
    estq[Data da venda / reserva], "&lt;"  &amp; EOMONTH($A92,0) + 1
)</f>
        <v>0</v>
      </c>
      <c r="C92" s="45">
        <f ca="1">SUMIFS(rec.uni[2028-06-01],
INDIRECT("rec.uni[natureza]"),"pro.soluto",
INDIRECT("rec.uni[empresa]"),C$6)</f>
        <v>0</v>
      </c>
      <c r="D92" s="45">
        <f ca="1">SUMIFS(rec.uni[2028-06-01],
INDIRECT("rec.uni[natureza]"),"repasse.cef.obra",
INDIRECT("rec.uni[empresa]"),D$6)</f>
        <v>0</v>
      </c>
      <c r="E92" s="45">
        <f ca="1">SUMIFS(rec.uni[2028-06-01],
INDIRECT("rec.uni[natureza]"),"repasse.cef.terreno",
INDIRECT("rec.uni[empresa]"),E$6)</f>
        <v>0</v>
      </c>
      <c r="F92" s="38"/>
      <c r="G92" s="45">
        <f ca="1">SUMIFS(rec.uni[2028-06-01],
INDIRECT("rec.uni[natureza]"),"taxa.extra",
INDIRECT("rec.uni[empresa]"),G$6)</f>
        <v>0</v>
      </c>
      <c r="H92" s="131"/>
      <c r="I92" s="44">
        <f>COUNTIFS(
    estq[empresa], I$6,
    estq[Data da venda / reserva], "&gt;=" &amp; $A92,
    estq[Data da venda / reserva], "&lt;"  &amp; EOMONTH($A92,0) + 1
)</f>
        <v>0</v>
      </c>
      <c r="J92" s="45">
        <f ca="1">SUMIFS(rec.uni[2028-06-01],
INDIRECT("rec.uni[natureza]"),"pro.soluto",
INDIRECT("rec.uni[empresa]"),J$6)</f>
        <v>0</v>
      </c>
      <c r="K92" s="45">
        <f ca="1">SUMIFS(rec.uni[2028-06-01],
INDIRECT("rec.uni[natureza]"),"repasse.cef.obra",
INDIRECT("rec.uni[empresa]"),K$6)</f>
        <v>0</v>
      </c>
      <c r="L92" s="45">
        <f ca="1">SUMIFS(rec.uni[2028-06-01],
INDIRECT("rec.uni[natureza]"),"repasse.cef.terreno",
INDIRECT("rec.uni[empresa]"),L$6)</f>
        <v>0</v>
      </c>
      <c r="M92" s="38"/>
      <c r="N92" s="45">
        <f ca="1">SUMIFS(rec.uni[2028-06-01],
INDIRECT("rec.uni[natureza]"),"taxa.extra",
INDIRECT("rec.uni[empresa]"),N$6)</f>
        <v>0</v>
      </c>
      <c r="O92" s="131"/>
      <c r="P92" s="44">
        <f>COUNTIFS(
    estq[empresa], P$6,
    estq[Data da venda / reserva], "&gt;=" &amp; $A92,
    estq[Data da venda / reserva], "&lt;"  &amp; EOMONTH($A92,0) + 1
)</f>
        <v>0</v>
      </c>
      <c r="Q92" s="45">
        <f ca="1">SUMIFS(rec.uni[2028-06-01],
INDIRECT("rec.uni[natureza]"),"pro.soluto",
INDIRECT("rec.uni[empresa]"),Q$6)</f>
        <v>0</v>
      </c>
      <c r="R92" s="45">
        <f ca="1">SUMIFS(rec.uni[2028-06-01],
INDIRECT("rec.uni[natureza]"),"repasse.cef.obra",
INDIRECT("rec.uni[empresa]"),R$6)</f>
        <v>0</v>
      </c>
      <c r="S92" s="45">
        <f ca="1">SUMIFS(rec.uni[2028-06-01],
INDIRECT("rec.uni[natureza]"),"repasse.cef.terreno",
INDIRECT("rec.uni[empresa]"),S$6)</f>
        <v>0</v>
      </c>
      <c r="T92" s="38"/>
      <c r="U92" s="45">
        <f ca="1">SUMIFS(rec.uni[2028-06-01],
INDIRECT("rec.uni[natureza]"),"taxa.extra",
INDIRECT("rec.uni[empresa]"),U$6)</f>
        <v>0</v>
      </c>
      <c r="V92" s="131"/>
      <c r="W92" s="44">
        <f>COUNTIFS(
    estq[empresa], W$6,
    estq[Data da venda / reserva], "&gt;=" &amp; $A92,
    estq[Data da venda / reserva], "&lt;"  &amp; EOMONTH($A92,0) + 1
)</f>
        <v>0</v>
      </c>
      <c r="X92" s="45">
        <f ca="1">SUMIFS(rec.uni[2028-06-01],
INDIRECT("rec.uni[natureza]"),"pro.soluto",
INDIRECT("rec.uni[empresa]"),X$6)</f>
        <v>0</v>
      </c>
      <c r="Y92" s="45">
        <f ca="1">SUMIFS(rec.uni[2028-06-01],
INDIRECT("rec.uni[natureza]"),"repasse.cef.obra",
INDIRECT("rec.uni[empresa]"),Y$6)</f>
        <v>0</v>
      </c>
      <c r="Z92" s="45">
        <f ca="1">SUMIFS(rec.uni[2028-06-01],
INDIRECT("rec.uni[natureza]"),"repasse.cef.terreno",
INDIRECT("rec.uni[empresa]"),Z$6)</f>
        <v>0</v>
      </c>
      <c r="AA92" s="38"/>
      <c r="AB92" s="45">
        <f ca="1">SUMIFS(rec.uni[2028-06-01],
INDIRECT("rec.uni[natureza]"),"taxa.extra",
INDIRECT("rec.uni[empresa]"),AB$6)</f>
        <v>0</v>
      </c>
      <c r="AC92" s="131"/>
      <c r="AD92" s="44">
        <f>COUNTIFS(
    estq[empresa], AD$6,
    estq[Data da venda / reserva], "&gt;=" &amp; $A92,
    estq[Data da venda / reserva], "&lt;"  &amp; EOMONTH($A92,0) + 1
)</f>
        <v>0</v>
      </c>
      <c r="AE92" s="45">
        <f ca="1">SUMIFS(rec.uni[2028-06-01],
INDIRECT("rec.uni[natureza]"),"pro.soluto",
INDIRECT("rec.uni[empresa]"),AE$6)</f>
        <v>0</v>
      </c>
      <c r="AF92" s="38">
        <f ca="1">SUMIFS(rec.uni[2028-06-01],
INDIRECT("rec.uni[natureza]"),"parcela.fin.total.ik",
INDIRECT("rec.uni[empresa]"),AF$6)</f>
        <v>0</v>
      </c>
      <c r="AG92" s="45">
        <f ca="1">SUMIFS(rec.uni[2028-06-01],
INDIRECT("rec.uni[natureza]"),"taxa.extra",
INDIRECT("rec.uni[empresa]"),AG$6)</f>
        <v>0</v>
      </c>
      <c r="AH92" s="131"/>
      <c r="AI92" s="44">
        <f>COUNTIFS(
    estq[empresa], AI$6,
    estq[Data da venda / reserva], "&gt;=" &amp; $A92,
    estq[Data da venda / reserva], "&lt;"  &amp; EOMONTH($A92,0) + 1
)</f>
        <v>0</v>
      </c>
      <c r="AJ92" s="45">
        <f ca="1">SUMIFS(rec.uni[2028-06-01],
INDIRECT("rec.uni[natureza]"),"pro.soluto",
INDIRECT("rec.uni[empresa]"),AJ$6)</f>
        <v>0</v>
      </c>
      <c r="AK92" s="45">
        <f ca="1">SUMIFS(rec.uni[2028-06-01],
INDIRECT("rec.uni[natureza]"),"repasse.cef.obra",
INDIRECT("rec.uni[empresa]"),AK$6)</f>
        <v>0</v>
      </c>
      <c r="AL92" s="45">
        <f ca="1">SUMIFS(rec.uni[2028-06-01],
INDIRECT("rec.uni[natureza]"),"repasse.cef.terreno",
INDIRECT("rec.uni[empresa]"),AL$6)</f>
        <v>0</v>
      </c>
      <c r="AM92" s="38"/>
      <c r="AN92" s="45">
        <f ca="1">SUMIFS(rec.uni[2028-06-01],
INDIRECT("rec.uni[natureza]"),"taxa.extra",
INDIRECT("rec.uni[empresa]"),AN$6)</f>
        <v>0</v>
      </c>
      <c r="AO92" s="131"/>
      <c r="AP92" s="44">
        <f>COUNTIFS(
    estq[empresa], AP$6,
    estq[Data da venda / reserva], "&gt;=" &amp; $A92,
    estq[Data da venda / reserva], "&lt;"  &amp; EOMONTH($A92,0) + 1
)</f>
        <v>0</v>
      </c>
      <c r="AQ92" s="45">
        <f ca="1">SUMIFS(rec.uni[2028-06-01],
INDIRECT("rec.uni[natureza]"),"pro.soluto",
INDIRECT("rec.uni[empresa]"),AQ$6)</f>
        <v>0</v>
      </c>
      <c r="AR92" s="45">
        <f ca="1">SUMIFS(rec.uni[2028-06-01],
INDIRECT("rec.uni[natureza]"),"repasse.cef.obra",
INDIRECT("rec.uni[empresa]"),AR$6)</f>
        <v>0</v>
      </c>
      <c r="AS92" s="45">
        <f ca="1">SUMIFS(rec.uni[2028-06-01],
INDIRECT("rec.uni[natureza]"),"repasse.cef.terreno",
INDIRECT("rec.uni[empresa]"),AS$6)</f>
        <v>0</v>
      </c>
      <c r="AT92" s="38"/>
      <c r="AU92" s="45">
        <f ca="1">SUMIFS(rec.uni[2028-06-01],
INDIRECT("rec.uni[natureza]"),"taxa.extra",
INDIRECT("rec.uni[empresa]"),AU$6)</f>
        <v>0</v>
      </c>
      <c r="AV92" s="131"/>
    </row>
    <row r="93" spans="1:48" x14ac:dyDescent="0.25">
      <c r="A93" s="43">
        <v>46935</v>
      </c>
      <c r="B93" s="44">
        <f>COUNTIFS(
    estq[empresa], B$6,
    estq[Data da venda / reserva], "&gt;=" &amp; $A93,
    estq[Data da venda / reserva], "&lt;"  &amp; EOMONTH($A93,0) + 1
)</f>
        <v>0</v>
      </c>
      <c r="C93" s="45">
        <f ca="1">SUMIFS(rec.uni[2028-07-01],
INDIRECT("rec.uni[natureza]"),"pro.soluto",
INDIRECT("rec.uni[empresa]"),C$6)</f>
        <v>0</v>
      </c>
      <c r="D93" s="45">
        <f ca="1">SUMIFS(rec.uni[2028-07-01],
INDIRECT("rec.uni[natureza]"),"repasse.cef.obra",
INDIRECT("rec.uni[empresa]"),D$6)</f>
        <v>0</v>
      </c>
      <c r="E93" s="45">
        <f ca="1">SUMIFS(rec.uni[2028-07-01],
INDIRECT("rec.uni[natureza]"),"repasse.cef.terreno",
INDIRECT("rec.uni[empresa]"),E$6)</f>
        <v>0</v>
      </c>
      <c r="F93" s="38"/>
      <c r="G93" s="45">
        <f ca="1">SUMIFS(rec.uni[2028-07-01],
INDIRECT("rec.uni[natureza]"),"taxa.extra",
INDIRECT("rec.uni[empresa]"),G$6)</f>
        <v>0</v>
      </c>
      <c r="H93" s="131"/>
      <c r="I93" s="44">
        <f>COUNTIFS(
    estq[empresa], I$6,
    estq[Data da venda / reserva], "&gt;=" &amp; $A93,
    estq[Data da venda / reserva], "&lt;"  &amp; EOMONTH($A93,0) + 1
)</f>
        <v>0</v>
      </c>
      <c r="J93" s="45">
        <f ca="1">SUMIFS(rec.uni[2028-07-01],
INDIRECT("rec.uni[natureza]"),"pro.soluto",
INDIRECT("rec.uni[empresa]"),J$6)</f>
        <v>0</v>
      </c>
      <c r="K93" s="45">
        <f ca="1">SUMIFS(rec.uni[2028-07-01],
INDIRECT("rec.uni[natureza]"),"repasse.cef.obra",
INDIRECT("rec.uni[empresa]"),K$6)</f>
        <v>0</v>
      </c>
      <c r="L93" s="45">
        <f ca="1">SUMIFS(rec.uni[2028-07-01],
INDIRECT("rec.uni[natureza]"),"repasse.cef.terreno",
INDIRECT("rec.uni[empresa]"),L$6)</f>
        <v>0</v>
      </c>
      <c r="M93" s="38"/>
      <c r="N93" s="45">
        <f ca="1">SUMIFS(rec.uni[2028-07-01],
INDIRECT("rec.uni[natureza]"),"taxa.extra",
INDIRECT("rec.uni[empresa]"),N$6)</f>
        <v>0</v>
      </c>
      <c r="O93" s="131"/>
      <c r="P93" s="44">
        <f>COUNTIFS(
    estq[empresa], P$6,
    estq[Data da venda / reserva], "&gt;=" &amp; $A93,
    estq[Data da venda / reserva], "&lt;"  &amp; EOMONTH($A93,0) + 1
)</f>
        <v>0</v>
      </c>
      <c r="Q93" s="45">
        <f ca="1">SUMIFS(rec.uni[2028-07-01],
INDIRECT("rec.uni[natureza]"),"pro.soluto",
INDIRECT("rec.uni[empresa]"),Q$6)</f>
        <v>0</v>
      </c>
      <c r="R93" s="45">
        <f ca="1">SUMIFS(rec.uni[2028-07-01],
INDIRECT("rec.uni[natureza]"),"repasse.cef.obra",
INDIRECT("rec.uni[empresa]"),R$6)</f>
        <v>0</v>
      </c>
      <c r="S93" s="45">
        <f ca="1">SUMIFS(rec.uni[2028-07-01],
INDIRECT("rec.uni[natureza]"),"repasse.cef.terreno",
INDIRECT("rec.uni[empresa]"),S$6)</f>
        <v>0</v>
      </c>
      <c r="T93" s="38"/>
      <c r="U93" s="45">
        <f ca="1">SUMIFS(rec.uni[2028-07-01],
INDIRECT("rec.uni[natureza]"),"taxa.extra",
INDIRECT("rec.uni[empresa]"),U$6)</f>
        <v>0</v>
      </c>
      <c r="V93" s="131"/>
      <c r="W93" s="44">
        <f>COUNTIFS(
    estq[empresa], W$6,
    estq[Data da venda / reserva], "&gt;=" &amp; $A93,
    estq[Data da venda / reserva], "&lt;"  &amp; EOMONTH($A93,0) + 1
)</f>
        <v>0</v>
      </c>
      <c r="X93" s="45">
        <f ca="1">SUMIFS(rec.uni[2028-07-01],
INDIRECT("rec.uni[natureza]"),"pro.soluto",
INDIRECT("rec.uni[empresa]"),X$6)</f>
        <v>0</v>
      </c>
      <c r="Y93" s="45">
        <f ca="1">SUMIFS(rec.uni[2028-07-01],
INDIRECT("rec.uni[natureza]"),"repasse.cef.obra",
INDIRECT("rec.uni[empresa]"),Y$6)</f>
        <v>0</v>
      </c>
      <c r="Z93" s="45">
        <f ca="1">SUMIFS(rec.uni[2028-07-01],
INDIRECT("rec.uni[natureza]"),"repasse.cef.terreno",
INDIRECT("rec.uni[empresa]"),Z$6)</f>
        <v>0</v>
      </c>
      <c r="AA93" s="38"/>
      <c r="AB93" s="45">
        <f ca="1">SUMIFS(rec.uni[2028-07-01],
INDIRECT("rec.uni[natureza]"),"taxa.extra",
INDIRECT("rec.uni[empresa]"),AB$6)</f>
        <v>0</v>
      </c>
      <c r="AC93" s="131"/>
      <c r="AD93" s="44">
        <f>COUNTIFS(
    estq[empresa], AD$6,
    estq[Data da venda / reserva], "&gt;=" &amp; $A93,
    estq[Data da venda / reserva], "&lt;"  &amp; EOMONTH($A93,0) + 1
)</f>
        <v>0</v>
      </c>
      <c r="AE93" s="45">
        <f ca="1">SUMIFS(rec.uni[2028-07-01],
INDIRECT("rec.uni[natureza]"),"pro.soluto",
INDIRECT("rec.uni[empresa]"),AE$6)</f>
        <v>0</v>
      </c>
      <c r="AF93" s="38">
        <f ca="1">SUMIFS(rec.uni[2028-07-01],
INDIRECT("rec.uni[natureza]"),"parcela.fin.total.ik",
INDIRECT("rec.uni[empresa]"),AF$6)</f>
        <v>0</v>
      </c>
      <c r="AG93" s="45">
        <f ca="1">SUMIFS(rec.uni[2028-07-01],
INDIRECT("rec.uni[natureza]"),"taxa.extra",
INDIRECT("rec.uni[empresa]"),AG$6)</f>
        <v>0</v>
      </c>
      <c r="AH93" s="131"/>
      <c r="AI93" s="44">
        <f>COUNTIFS(
    estq[empresa], AI$6,
    estq[Data da venda / reserva], "&gt;=" &amp; $A93,
    estq[Data da venda / reserva], "&lt;"  &amp; EOMONTH($A93,0) + 1
)</f>
        <v>0</v>
      </c>
      <c r="AJ93" s="45">
        <f ca="1">SUMIFS(rec.uni[2028-07-01],
INDIRECT("rec.uni[natureza]"),"pro.soluto",
INDIRECT("rec.uni[empresa]"),AJ$6)</f>
        <v>0</v>
      </c>
      <c r="AK93" s="45">
        <f ca="1">SUMIFS(rec.uni[2028-07-01],
INDIRECT("rec.uni[natureza]"),"repasse.cef.obra",
INDIRECT("rec.uni[empresa]"),AK$6)</f>
        <v>0</v>
      </c>
      <c r="AL93" s="45">
        <f ca="1">SUMIFS(rec.uni[2028-07-01],
INDIRECT("rec.uni[natureza]"),"repasse.cef.terreno",
INDIRECT("rec.uni[empresa]"),AL$6)</f>
        <v>0</v>
      </c>
      <c r="AM93" s="38"/>
      <c r="AN93" s="45">
        <f ca="1">SUMIFS(rec.uni[2028-07-01],
INDIRECT("rec.uni[natureza]"),"taxa.extra",
INDIRECT("rec.uni[empresa]"),AN$6)</f>
        <v>0</v>
      </c>
      <c r="AO93" s="131"/>
      <c r="AP93" s="44">
        <f>COUNTIFS(
    estq[empresa], AP$6,
    estq[Data da venda / reserva], "&gt;=" &amp; $A93,
    estq[Data da venda / reserva], "&lt;"  &amp; EOMONTH($A93,0) + 1
)</f>
        <v>0</v>
      </c>
      <c r="AQ93" s="45">
        <f ca="1">SUMIFS(rec.uni[2028-07-01],
INDIRECT("rec.uni[natureza]"),"pro.soluto",
INDIRECT("rec.uni[empresa]"),AQ$6)</f>
        <v>0</v>
      </c>
      <c r="AR93" s="45">
        <f ca="1">SUMIFS(rec.uni[2028-07-01],
INDIRECT("rec.uni[natureza]"),"repasse.cef.obra",
INDIRECT("rec.uni[empresa]"),AR$6)</f>
        <v>0</v>
      </c>
      <c r="AS93" s="45">
        <f ca="1">SUMIFS(rec.uni[2028-07-01],
INDIRECT("rec.uni[natureza]"),"repasse.cef.terreno",
INDIRECT("rec.uni[empresa]"),AS$6)</f>
        <v>0</v>
      </c>
      <c r="AT93" s="38"/>
      <c r="AU93" s="45">
        <f ca="1">SUMIFS(rec.uni[2028-07-01],
INDIRECT("rec.uni[natureza]"),"taxa.extra",
INDIRECT("rec.uni[empresa]"),AU$6)</f>
        <v>0</v>
      </c>
      <c r="AV93" s="131"/>
    </row>
    <row r="94" spans="1:48" x14ac:dyDescent="0.25">
      <c r="A94" s="43">
        <v>46966</v>
      </c>
      <c r="B94" s="44">
        <f>COUNTIFS(
    estq[empresa], B$6,
    estq[Data da venda / reserva], "&gt;=" &amp; $A94,
    estq[Data da venda / reserva], "&lt;"  &amp; EOMONTH($A94,0) + 1
)</f>
        <v>0</v>
      </c>
      <c r="C94" s="45">
        <f ca="1">SUMIFS(rec.uni[2028-08-01],
INDIRECT("rec.uni[natureza]"),"pro.soluto",
INDIRECT("rec.uni[empresa]"),C$6)</f>
        <v>0</v>
      </c>
      <c r="D94" s="45">
        <f ca="1">SUMIFS(rec.uni[2028-08-01],
INDIRECT("rec.uni[natureza]"),"repasse.cef.obra",
INDIRECT("rec.uni[empresa]"),D$6)</f>
        <v>0</v>
      </c>
      <c r="E94" s="45">
        <f ca="1">SUMIFS(rec.uni[2028-08-01],
INDIRECT("rec.uni[natureza]"),"repasse.cef.terreno",
INDIRECT("rec.uni[empresa]"),E$6)</f>
        <v>0</v>
      </c>
      <c r="F94" s="38"/>
      <c r="G94" s="45">
        <f ca="1">SUMIFS(rec.uni[2028-08-01],
INDIRECT("rec.uni[natureza]"),"taxa.extra",
INDIRECT("rec.uni[empresa]"),G$6)</f>
        <v>0</v>
      </c>
      <c r="H94" s="131"/>
      <c r="I94" s="44">
        <f>COUNTIFS(
    estq[empresa], I$6,
    estq[Data da venda / reserva], "&gt;=" &amp; $A94,
    estq[Data da venda / reserva], "&lt;"  &amp; EOMONTH($A94,0) + 1
)</f>
        <v>0</v>
      </c>
      <c r="J94" s="45">
        <f ca="1">SUMIFS(rec.uni[2028-08-01],
INDIRECT("rec.uni[natureza]"),"pro.soluto",
INDIRECT("rec.uni[empresa]"),J$6)</f>
        <v>0</v>
      </c>
      <c r="K94" s="45">
        <f ca="1">SUMIFS(rec.uni[2028-08-01],
INDIRECT("rec.uni[natureza]"),"repasse.cef.obra",
INDIRECT("rec.uni[empresa]"),K$6)</f>
        <v>0</v>
      </c>
      <c r="L94" s="45">
        <f ca="1">SUMIFS(rec.uni[2028-08-01],
INDIRECT("rec.uni[natureza]"),"repasse.cef.terreno",
INDIRECT("rec.uni[empresa]"),L$6)</f>
        <v>0</v>
      </c>
      <c r="M94" s="38"/>
      <c r="N94" s="45">
        <f ca="1">SUMIFS(rec.uni[2028-08-01],
INDIRECT("rec.uni[natureza]"),"taxa.extra",
INDIRECT("rec.uni[empresa]"),N$6)</f>
        <v>0</v>
      </c>
      <c r="O94" s="131"/>
      <c r="P94" s="44">
        <f>COUNTIFS(
    estq[empresa], P$6,
    estq[Data da venda / reserva], "&gt;=" &amp; $A94,
    estq[Data da venda / reserva], "&lt;"  &amp; EOMONTH($A94,0) + 1
)</f>
        <v>0</v>
      </c>
      <c r="Q94" s="45">
        <f ca="1">SUMIFS(rec.uni[2028-08-01],
INDIRECT("rec.uni[natureza]"),"pro.soluto",
INDIRECT("rec.uni[empresa]"),Q$6)</f>
        <v>0</v>
      </c>
      <c r="R94" s="45">
        <f ca="1">SUMIFS(rec.uni[2028-08-01],
INDIRECT("rec.uni[natureza]"),"repasse.cef.obra",
INDIRECT("rec.uni[empresa]"),R$6)</f>
        <v>0</v>
      </c>
      <c r="S94" s="45">
        <f ca="1">SUMIFS(rec.uni[2028-08-01],
INDIRECT("rec.uni[natureza]"),"repasse.cef.terreno",
INDIRECT("rec.uni[empresa]"),S$6)</f>
        <v>0</v>
      </c>
      <c r="T94" s="38"/>
      <c r="U94" s="45">
        <f ca="1">SUMIFS(rec.uni[2028-08-01],
INDIRECT("rec.uni[natureza]"),"taxa.extra",
INDIRECT("rec.uni[empresa]"),U$6)</f>
        <v>0</v>
      </c>
      <c r="V94" s="131"/>
      <c r="W94" s="44">
        <f>COUNTIFS(
    estq[empresa], W$6,
    estq[Data da venda / reserva], "&gt;=" &amp; $A94,
    estq[Data da venda / reserva], "&lt;"  &amp; EOMONTH($A94,0) + 1
)</f>
        <v>0</v>
      </c>
      <c r="X94" s="45">
        <f ca="1">SUMIFS(rec.uni[2028-08-01],
INDIRECT("rec.uni[natureza]"),"pro.soluto",
INDIRECT("rec.uni[empresa]"),X$6)</f>
        <v>0</v>
      </c>
      <c r="Y94" s="45">
        <f ca="1">SUMIFS(rec.uni[2028-08-01],
INDIRECT("rec.uni[natureza]"),"repasse.cef.obra",
INDIRECT("rec.uni[empresa]"),Y$6)</f>
        <v>0</v>
      </c>
      <c r="Z94" s="45">
        <f ca="1">SUMIFS(rec.uni[2028-08-01],
INDIRECT("rec.uni[natureza]"),"repasse.cef.terreno",
INDIRECT("rec.uni[empresa]"),Z$6)</f>
        <v>0</v>
      </c>
      <c r="AA94" s="38"/>
      <c r="AB94" s="45">
        <f ca="1">SUMIFS(rec.uni[2028-08-01],
INDIRECT("rec.uni[natureza]"),"taxa.extra",
INDIRECT("rec.uni[empresa]"),AB$6)</f>
        <v>0</v>
      </c>
      <c r="AC94" s="131"/>
      <c r="AD94" s="44">
        <f>COUNTIFS(
    estq[empresa], AD$6,
    estq[Data da venda / reserva], "&gt;=" &amp; $A94,
    estq[Data da venda / reserva], "&lt;"  &amp; EOMONTH($A94,0) + 1
)</f>
        <v>0</v>
      </c>
      <c r="AE94" s="45">
        <f ca="1">SUMIFS(rec.uni[2028-08-01],
INDIRECT("rec.uni[natureza]"),"pro.soluto",
INDIRECT("rec.uni[empresa]"),AE$6)</f>
        <v>0</v>
      </c>
      <c r="AF94" s="38">
        <f ca="1">SUMIFS(rec.uni[2028-08-01],
INDIRECT("rec.uni[natureza]"),"parcela.fin.total.ik",
INDIRECT("rec.uni[empresa]"),AF$6)</f>
        <v>0</v>
      </c>
      <c r="AG94" s="45">
        <f ca="1">SUMIFS(rec.uni[2028-08-01],
INDIRECT("rec.uni[natureza]"),"taxa.extra",
INDIRECT("rec.uni[empresa]"),AG$6)</f>
        <v>0</v>
      </c>
      <c r="AH94" s="131"/>
      <c r="AI94" s="44">
        <f>COUNTIFS(
    estq[empresa], AI$6,
    estq[Data da venda / reserva], "&gt;=" &amp; $A94,
    estq[Data da venda / reserva], "&lt;"  &amp; EOMONTH($A94,0) + 1
)</f>
        <v>0</v>
      </c>
      <c r="AJ94" s="45">
        <f ca="1">SUMIFS(rec.uni[2028-08-01],
INDIRECT("rec.uni[natureza]"),"pro.soluto",
INDIRECT("rec.uni[empresa]"),AJ$6)</f>
        <v>0</v>
      </c>
      <c r="AK94" s="45">
        <f ca="1">SUMIFS(rec.uni[2028-08-01],
INDIRECT("rec.uni[natureza]"),"repasse.cef.obra",
INDIRECT("rec.uni[empresa]"),AK$6)</f>
        <v>0</v>
      </c>
      <c r="AL94" s="45">
        <f ca="1">SUMIFS(rec.uni[2028-08-01],
INDIRECT("rec.uni[natureza]"),"repasse.cef.terreno",
INDIRECT("rec.uni[empresa]"),AL$6)</f>
        <v>0</v>
      </c>
      <c r="AM94" s="38"/>
      <c r="AN94" s="45">
        <f ca="1">SUMIFS(rec.uni[2028-08-01],
INDIRECT("rec.uni[natureza]"),"taxa.extra",
INDIRECT("rec.uni[empresa]"),AN$6)</f>
        <v>0</v>
      </c>
      <c r="AO94" s="131"/>
      <c r="AP94" s="44">
        <f>COUNTIFS(
    estq[empresa], AP$6,
    estq[Data da venda / reserva], "&gt;=" &amp; $A94,
    estq[Data da venda / reserva], "&lt;"  &amp; EOMONTH($A94,0) + 1
)</f>
        <v>0</v>
      </c>
      <c r="AQ94" s="45">
        <f ca="1">SUMIFS(rec.uni[2028-08-01],
INDIRECT("rec.uni[natureza]"),"pro.soluto",
INDIRECT("rec.uni[empresa]"),AQ$6)</f>
        <v>0</v>
      </c>
      <c r="AR94" s="45">
        <f ca="1">SUMIFS(rec.uni[2028-08-01],
INDIRECT("rec.uni[natureza]"),"repasse.cef.obra",
INDIRECT("rec.uni[empresa]"),AR$6)</f>
        <v>0</v>
      </c>
      <c r="AS94" s="45">
        <f ca="1">SUMIFS(rec.uni[2028-08-01],
INDIRECT("rec.uni[natureza]"),"repasse.cef.terreno",
INDIRECT("rec.uni[empresa]"),AS$6)</f>
        <v>0</v>
      </c>
      <c r="AT94" s="38"/>
      <c r="AU94" s="45">
        <f ca="1">SUMIFS(rec.uni[2028-08-01],
INDIRECT("rec.uni[natureza]"),"taxa.extra",
INDIRECT("rec.uni[empresa]"),AU$6)</f>
        <v>0</v>
      </c>
      <c r="AV94" s="131"/>
    </row>
    <row r="95" spans="1:48" x14ac:dyDescent="0.25">
      <c r="A95" s="43">
        <v>46997</v>
      </c>
      <c r="B95" s="44">
        <f>COUNTIFS(
    estq[empresa], B$6,
    estq[Data da venda / reserva], "&gt;=" &amp; $A95,
    estq[Data da venda / reserva], "&lt;"  &amp; EOMONTH($A95,0) + 1
)</f>
        <v>0</v>
      </c>
      <c r="C95" s="45">
        <f ca="1">SUMIFS(rec.uni[2028-09-01],
INDIRECT("rec.uni[natureza]"),"pro.soluto",
INDIRECT("rec.uni[empresa]"),C$6)</f>
        <v>0</v>
      </c>
      <c r="D95" s="45">
        <f ca="1">SUMIFS(rec.uni[2028-09-01],
INDIRECT("rec.uni[natureza]"),"repasse.cef.obra",
INDIRECT("rec.uni[empresa]"),D$6)</f>
        <v>0</v>
      </c>
      <c r="E95" s="45">
        <f ca="1">SUMIFS(rec.uni[2028-09-01],
INDIRECT("rec.uni[natureza]"),"repasse.cef.terreno",
INDIRECT("rec.uni[empresa]"),E$6)</f>
        <v>0</v>
      </c>
      <c r="F95" s="38"/>
      <c r="G95" s="45">
        <f ca="1">SUMIFS(rec.uni[2028-09-01],
INDIRECT("rec.uni[natureza]"),"taxa.extra",
INDIRECT("rec.uni[empresa]"),G$6)</f>
        <v>0</v>
      </c>
      <c r="H95" s="131"/>
      <c r="I95" s="44">
        <f>COUNTIFS(
    estq[empresa], I$6,
    estq[Data da venda / reserva], "&gt;=" &amp; $A95,
    estq[Data da venda / reserva], "&lt;"  &amp; EOMONTH($A95,0) + 1
)</f>
        <v>0</v>
      </c>
      <c r="J95" s="45">
        <f ca="1">SUMIFS(rec.uni[2028-09-01],
INDIRECT("rec.uni[natureza]"),"pro.soluto",
INDIRECT("rec.uni[empresa]"),J$6)</f>
        <v>0</v>
      </c>
      <c r="K95" s="45">
        <f ca="1">SUMIFS(rec.uni[2028-09-01],
INDIRECT("rec.uni[natureza]"),"repasse.cef.obra",
INDIRECT("rec.uni[empresa]"),K$6)</f>
        <v>0</v>
      </c>
      <c r="L95" s="45">
        <f ca="1">SUMIFS(rec.uni[2028-09-01],
INDIRECT("rec.uni[natureza]"),"repasse.cef.terreno",
INDIRECT("rec.uni[empresa]"),L$6)</f>
        <v>0</v>
      </c>
      <c r="M95" s="38"/>
      <c r="N95" s="45">
        <f ca="1">SUMIFS(rec.uni[2028-09-01],
INDIRECT("rec.uni[natureza]"),"taxa.extra",
INDIRECT("rec.uni[empresa]"),N$6)</f>
        <v>0</v>
      </c>
      <c r="O95" s="131"/>
      <c r="P95" s="44">
        <f>COUNTIFS(
    estq[empresa], P$6,
    estq[Data da venda / reserva], "&gt;=" &amp; $A95,
    estq[Data da venda / reserva], "&lt;"  &amp; EOMONTH($A95,0) + 1
)</f>
        <v>0</v>
      </c>
      <c r="Q95" s="45">
        <f ca="1">SUMIFS(rec.uni[2028-09-01],
INDIRECT("rec.uni[natureza]"),"pro.soluto",
INDIRECT("rec.uni[empresa]"),Q$6)</f>
        <v>0</v>
      </c>
      <c r="R95" s="45">
        <f ca="1">SUMIFS(rec.uni[2028-09-01],
INDIRECT("rec.uni[natureza]"),"repasse.cef.obra",
INDIRECT("rec.uni[empresa]"),R$6)</f>
        <v>0</v>
      </c>
      <c r="S95" s="45">
        <f ca="1">SUMIFS(rec.uni[2028-09-01],
INDIRECT("rec.uni[natureza]"),"repasse.cef.terreno",
INDIRECT("rec.uni[empresa]"),S$6)</f>
        <v>0</v>
      </c>
      <c r="T95" s="38"/>
      <c r="U95" s="45">
        <f ca="1">SUMIFS(rec.uni[2028-09-01],
INDIRECT("rec.uni[natureza]"),"taxa.extra",
INDIRECT("rec.uni[empresa]"),U$6)</f>
        <v>0</v>
      </c>
      <c r="V95" s="131"/>
      <c r="W95" s="44">
        <f>COUNTIFS(
    estq[empresa], W$6,
    estq[Data da venda / reserva], "&gt;=" &amp; $A95,
    estq[Data da venda / reserva], "&lt;"  &amp; EOMONTH($A95,0) + 1
)</f>
        <v>0</v>
      </c>
      <c r="X95" s="45">
        <f ca="1">SUMIFS(rec.uni[2028-09-01],
INDIRECT("rec.uni[natureza]"),"pro.soluto",
INDIRECT("rec.uni[empresa]"),X$6)</f>
        <v>0</v>
      </c>
      <c r="Y95" s="45">
        <f ca="1">SUMIFS(rec.uni[2028-09-01],
INDIRECT("rec.uni[natureza]"),"repasse.cef.obra",
INDIRECT("rec.uni[empresa]"),Y$6)</f>
        <v>0</v>
      </c>
      <c r="Z95" s="45">
        <f ca="1">SUMIFS(rec.uni[2028-09-01],
INDIRECT("rec.uni[natureza]"),"repasse.cef.terreno",
INDIRECT("rec.uni[empresa]"),Z$6)</f>
        <v>0</v>
      </c>
      <c r="AA95" s="38"/>
      <c r="AB95" s="45">
        <f ca="1">SUMIFS(rec.uni[2028-09-01],
INDIRECT("rec.uni[natureza]"),"taxa.extra",
INDIRECT("rec.uni[empresa]"),AB$6)</f>
        <v>0</v>
      </c>
      <c r="AC95" s="131"/>
      <c r="AD95" s="44">
        <f>COUNTIFS(
    estq[empresa], AD$6,
    estq[Data da venda / reserva], "&gt;=" &amp; $A95,
    estq[Data da venda / reserva], "&lt;"  &amp; EOMONTH($A95,0) + 1
)</f>
        <v>0</v>
      </c>
      <c r="AE95" s="45">
        <f ca="1">SUMIFS(rec.uni[2028-09-01],
INDIRECT("rec.uni[natureza]"),"pro.soluto",
INDIRECT("rec.uni[empresa]"),AE$6)</f>
        <v>0</v>
      </c>
      <c r="AF95" s="38">
        <f ca="1">SUMIFS(rec.uni[2028-09-01],
INDIRECT("rec.uni[natureza]"),"parcela.fin.total.ik",
INDIRECT("rec.uni[empresa]"),AF$6)</f>
        <v>0</v>
      </c>
      <c r="AG95" s="45">
        <f ca="1">SUMIFS(rec.uni[2028-09-01],
INDIRECT("rec.uni[natureza]"),"taxa.extra",
INDIRECT("rec.uni[empresa]"),AG$6)</f>
        <v>0</v>
      </c>
      <c r="AH95" s="131"/>
      <c r="AI95" s="44">
        <f>COUNTIFS(
    estq[empresa], AI$6,
    estq[Data da venda / reserva], "&gt;=" &amp; $A95,
    estq[Data da venda / reserva], "&lt;"  &amp; EOMONTH($A95,0) + 1
)</f>
        <v>0</v>
      </c>
      <c r="AJ95" s="45">
        <f ca="1">SUMIFS(rec.uni[2028-09-01],
INDIRECT("rec.uni[natureza]"),"pro.soluto",
INDIRECT("rec.uni[empresa]"),AJ$6)</f>
        <v>0</v>
      </c>
      <c r="AK95" s="45">
        <f ca="1">SUMIFS(rec.uni[2028-09-01],
INDIRECT("rec.uni[natureza]"),"repasse.cef.obra",
INDIRECT("rec.uni[empresa]"),AK$6)</f>
        <v>0</v>
      </c>
      <c r="AL95" s="45">
        <f ca="1">SUMIFS(rec.uni[2028-09-01],
INDIRECT("rec.uni[natureza]"),"repasse.cef.terreno",
INDIRECT("rec.uni[empresa]"),AL$6)</f>
        <v>0</v>
      </c>
      <c r="AM95" s="38"/>
      <c r="AN95" s="45">
        <f ca="1">SUMIFS(rec.uni[2028-09-01],
INDIRECT("rec.uni[natureza]"),"taxa.extra",
INDIRECT("rec.uni[empresa]"),AN$6)</f>
        <v>0</v>
      </c>
      <c r="AO95" s="131"/>
      <c r="AP95" s="44">
        <f>COUNTIFS(
    estq[empresa], AP$6,
    estq[Data da venda / reserva], "&gt;=" &amp; $A95,
    estq[Data da venda / reserva], "&lt;"  &amp; EOMONTH($A95,0) + 1
)</f>
        <v>0</v>
      </c>
      <c r="AQ95" s="45">
        <f ca="1">SUMIFS(rec.uni[2028-09-01],
INDIRECT("rec.uni[natureza]"),"pro.soluto",
INDIRECT("rec.uni[empresa]"),AQ$6)</f>
        <v>0</v>
      </c>
      <c r="AR95" s="45">
        <f ca="1">SUMIFS(rec.uni[2028-09-01],
INDIRECT("rec.uni[natureza]"),"repasse.cef.obra",
INDIRECT("rec.uni[empresa]"),AR$6)</f>
        <v>0</v>
      </c>
      <c r="AS95" s="45">
        <f ca="1">SUMIFS(rec.uni[2028-09-01],
INDIRECT("rec.uni[natureza]"),"repasse.cef.terreno",
INDIRECT("rec.uni[empresa]"),AS$6)</f>
        <v>0</v>
      </c>
      <c r="AT95" s="38"/>
      <c r="AU95" s="45">
        <f ca="1">SUMIFS(rec.uni[2028-09-01],
INDIRECT("rec.uni[natureza]"),"taxa.extra",
INDIRECT("rec.uni[empresa]"),AU$6)</f>
        <v>0</v>
      </c>
      <c r="AV95" s="131"/>
    </row>
    <row r="96" spans="1:48" x14ac:dyDescent="0.25">
      <c r="A96" s="43">
        <v>47027</v>
      </c>
      <c r="B96" s="44">
        <f>COUNTIFS(
    estq[empresa], B$6,
    estq[Data da venda / reserva], "&gt;=" &amp; $A96,
    estq[Data da venda / reserva], "&lt;"  &amp; EOMONTH($A96,0) + 1
)</f>
        <v>0</v>
      </c>
      <c r="C96" s="45">
        <f ca="1">SUMIFS(rec.uni[2028-10-01],
INDIRECT("rec.uni[natureza]"),"pro.soluto",
INDIRECT("rec.uni[empresa]"),C$6)</f>
        <v>0</v>
      </c>
      <c r="D96" s="45">
        <f ca="1">SUMIFS(rec.uni[2028-10-01],
INDIRECT("rec.uni[natureza]"),"repasse.cef.obra",
INDIRECT("rec.uni[empresa]"),D$6)</f>
        <v>0</v>
      </c>
      <c r="E96" s="45">
        <f ca="1">SUMIFS(rec.uni[2028-10-01],
INDIRECT("rec.uni[natureza]"),"repasse.cef.terreno",
INDIRECT("rec.uni[empresa]"),E$6)</f>
        <v>0</v>
      </c>
      <c r="F96" s="38"/>
      <c r="G96" s="45">
        <f ca="1">SUMIFS(rec.uni[2028-10-01],
INDIRECT("rec.uni[natureza]"),"taxa.extra",
INDIRECT("rec.uni[empresa]"),G$6)</f>
        <v>0</v>
      </c>
      <c r="H96" s="131"/>
      <c r="I96" s="44">
        <f>COUNTIFS(
    estq[empresa], I$6,
    estq[Data da venda / reserva], "&gt;=" &amp; $A96,
    estq[Data da venda / reserva], "&lt;"  &amp; EOMONTH($A96,0) + 1
)</f>
        <v>0</v>
      </c>
      <c r="J96" s="45">
        <f ca="1">SUMIFS(rec.uni[2028-10-01],
INDIRECT("rec.uni[natureza]"),"pro.soluto",
INDIRECT("rec.uni[empresa]"),J$6)</f>
        <v>0</v>
      </c>
      <c r="K96" s="45">
        <f ca="1">SUMIFS(rec.uni[2028-10-01],
INDIRECT("rec.uni[natureza]"),"repasse.cef.obra",
INDIRECT("rec.uni[empresa]"),K$6)</f>
        <v>0</v>
      </c>
      <c r="L96" s="45">
        <f ca="1">SUMIFS(rec.uni[2028-10-01],
INDIRECT("rec.uni[natureza]"),"repasse.cef.terreno",
INDIRECT("rec.uni[empresa]"),L$6)</f>
        <v>0</v>
      </c>
      <c r="M96" s="38"/>
      <c r="N96" s="45">
        <f ca="1">SUMIFS(rec.uni[2028-10-01],
INDIRECT("rec.uni[natureza]"),"taxa.extra",
INDIRECT("rec.uni[empresa]"),N$6)</f>
        <v>0</v>
      </c>
      <c r="O96" s="131"/>
      <c r="P96" s="44">
        <f>COUNTIFS(
    estq[empresa], P$6,
    estq[Data da venda / reserva], "&gt;=" &amp; $A96,
    estq[Data da venda / reserva], "&lt;"  &amp; EOMONTH($A96,0) + 1
)</f>
        <v>0</v>
      </c>
      <c r="Q96" s="45">
        <f ca="1">SUMIFS(rec.uni[2028-10-01],
INDIRECT("rec.uni[natureza]"),"pro.soluto",
INDIRECT("rec.uni[empresa]"),Q$6)</f>
        <v>0</v>
      </c>
      <c r="R96" s="45">
        <f ca="1">SUMIFS(rec.uni[2028-10-01],
INDIRECT("rec.uni[natureza]"),"repasse.cef.obra",
INDIRECT("rec.uni[empresa]"),R$6)</f>
        <v>0</v>
      </c>
      <c r="S96" s="45">
        <f ca="1">SUMIFS(rec.uni[2028-10-01],
INDIRECT("rec.uni[natureza]"),"repasse.cef.terreno",
INDIRECT("rec.uni[empresa]"),S$6)</f>
        <v>0</v>
      </c>
      <c r="T96" s="38"/>
      <c r="U96" s="45">
        <f ca="1">SUMIFS(rec.uni[2028-10-01],
INDIRECT("rec.uni[natureza]"),"taxa.extra",
INDIRECT("rec.uni[empresa]"),U$6)</f>
        <v>0</v>
      </c>
      <c r="V96" s="131"/>
      <c r="W96" s="44">
        <f>COUNTIFS(
    estq[empresa], W$6,
    estq[Data da venda / reserva], "&gt;=" &amp; $A96,
    estq[Data da venda / reserva], "&lt;"  &amp; EOMONTH($A96,0) + 1
)</f>
        <v>0</v>
      </c>
      <c r="X96" s="45">
        <f ca="1">SUMIFS(rec.uni[2028-10-01],
INDIRECT("rec.uni[natureza]"),"pro.soluto",
INDIRECT("rec.uni[empresa]"),X$6)</f>
        <v>0</v>
      </c>
      <c r="Y96" s="45">
        <f ca="1">SUMIFS(rec.uni[2028-10-01],
INDIRECT("rec.uni[natureza]"),"repasse.cef.obra",
INDIRECT("rec.uni[empresa]"),Y$6)</f>
        <v>0</v>
      </c>
      <c r="Z96" s="45">
        <f ca="1">SUMIFS(rec.uni[2028-10-01],
INDIRECT("rec.uni[natureza]"),"repasse.cef.terreno",
INDIRECT("rec.uni[empresa]"),Z$6)</f>
        <v>0</v>
      </c>
      <c r="AA96" s="38"/>
      <c r="AB96" s="45">
        <f ca="1">SUMIFS(rec.uni[2028-10-01],
INDIRECT("rec.uni[natureza]"),"taxa.extra",
INDIRECT("rec.uni[empresa]"),AB$6)</f>
        <v>0</v>
      </c>
      <c r="AC96" s="131"/>
      <c r="AD96" s="44">
        <f>COUNTIFS(
    estq[empresa], AD$6,
    estq[Data da venda / reserva], "&gt;=" &amp; $A96,
    estq[Data da venda / reserva], "&lt;"  &amp; EOMONTH($A96,0) + 1
)</f>
        <v>0</v>
      </c>
      <c r="AE96" s="45">
        <f ca="1">SUMIFS(rec.uni[2028-10-01],
INDIRECT("rec.uni[natureza]"),"pro.soluto",
INDIRECT("rec.uni[empresa]"),AE$6)</f>
        <v>0</v>
      </c>
      <c r="AF96" s="38">
        <f ca="1">SUMIFS(rec.uni[2028-10-01],
INDIRECT("rec.uni[natureza]"),"parcela.fin.total.ik",
INDIRECT("rec.uni[empresa]"),AF$6)</f>
        <v>0</v>
      </c>
      <c r="AG96" s="45">
        <f ca="1">SUMIFS(rec.uni[2028-10-01],
INDIRECT("rec.uni[natureza]"),"taxa.extra",
INDIRECT("rec.uni[empresa]"),AG$6)</f>
        <v>0</v>
      </c>
      <c r="AH96" s="131"/>
      <c r="AI96" s="44">
        <f>COUNTIFS(
    estq[empresa], AI$6,
    estq[Data da venda / reserva], "&gt;=" &amp; $A96,
    estq[Data da venda / reserva], "&lt;"  &amp; EOMONTH($A96,0) + 1
)</f>
        <v>0</v>
      </c>
      <c r="AJ96" s="45">
        <f ca="1">SUMIFS(rec.uni[2028-10-01],
INDIRECT("rec.uni[natureza]"),"pro.soluto",
INDIRECT("rec.uni[empresa]"),AJ$6)</f>
        <v>0</v>
      </c>
      <c r="AK96" s="45">
        <f ca="1">SUMIFS(rec.uni[2028-10-01],
INDIRECT("rec.uni[natureza]"),"repasse.cef.obra",
INDIRECT("rec.uni[empresa]"),AK$6)</f>
        <v>0</v>
      </c>
      <c r="AL96" s="45">
        <f ca="1">SUMIFS(rec.uni[2028-10-01],
INDIRECT("rec.uni[natureza]"),"repasse.cef.terreno",
INDIRECT("rec.uni[empresa]"),AL$6)</f>
        <v>0</v>
      </c>
      <c r="AM96" s="38"/>
      <c r="AN96" s="45">
        <f ca="1">SUMIFS(rec.uni[2028-10-01],
INDIRECT("rec.uni[natureza]"),"taxa.extra",
INDIRECT("rec.uni[empresa]"),AN$6)</f>
        <v>0</v>
      </c>
      <c r="AO96" s="131"/>
      <c r="AP96" s="44">
        <f>COUNTIFS(
    estq[empresa], AP$6,
    estq[Data da venda / reserva], "&gt;=" &amp; $A96,
    estq[Data da venda / reserva], "&lt;"  &amp; EOMONTH($A96,0) + 1
)</f>
        <v>0</v>
      </c>
      <c r="AQ96" s="45">
        <f ca="1">SUMIFS(rec.uni[2028-10-01],
INDIRECT("rec.uni[natureza]"),"pro.soluto",
INDIRECT("rec.uni[empresa]"),AQ$6)</f>
        <v>0</v>
      </c>
      <c r="AR96" s="45">
        <f ca="1">SUMIFS(rec.uni[2028-10-01],
INDIRECT("rec.uni[natureza]"),"repasse.cef.obra",
INDIRECT("rec.uni[empresa]"),AR$6)</f>
        <v>0</v>
      </c>
      <c r="AS96" s="45">
        <f ca="1">SUMIFS(rec.uni[2028-10-01],
INDIRECT("rec.uni[natureza]"),"repasse.cef.terreno",
INDIRECT("rec.uni[empresa]"),AS$6)</f>
        <v>0</v>
      </c>
      <c r="AT96" s="38"/>
      <c r="AU96" s="45">
        <f ca="1">SUMIFS(rec.uni[2028-10-01],
INDIRECT("rec.uni[natureza]"),"taxa.extra",
INDIRECT("rec.uni[empresa]"),AU$6)</f>
        <v>0</v>
      </c>
      <c r="AV96" s="131"/>
    </row>
    <row r="97" spans="1:48" x14ac:dyDescent="0.25">
      <c r="A97" s="43">
        <v>47058</v>
      </c>
      <c r="B97" s="44">
        <f>COUNTIFS(
    estq[empresa], B$6,
    estq[Data da venda / reserva], "&gt;=" &amp; $A97,
    estq[Data da venda / reserva], "&lt;"  &amp; EOMONTH($A97,0) + 1
)</f>
        <v>0</v>
      </c>
      <c r="C97" s="45">
        <f ca="1">SUMIFS(rec.uni[2028-11-01],
INDIRECT("rec.uni[natureza]"),"pro.soluto",
INDIRECT("rec.uni[empresa]"),C$6)</f>
        <v>0</v>
      </c>
      <c r="D97" s="45">
        <f ca="1">SUMIFS(rec.uni[2028-11-01],
INDIRECT("rec.uni[natureza]"),"repasse.cef.obra",
INDIRECT("rec.uni[empresa]"),D$6)</f>
        <v>0</v>
      </c>
      <c r="E97" s="45">
        <f ca="1">SUMIFS(rec.uni[2028-11-01],
INDIRECT("rec.uni[natureza]"),"repasse.cef.terreno",
INDIRECT("rec.uni[empresa]"),E$6)</f>
        <v>0</v>
      </c>
      <c r="F97" s="38"/>
      <c r="G97" s="45">
        <f ca="1">SUMIFS(rec.uni[2028-11-01],
INDIRECT("rec.uni[natureza]"),"taxa.extra",
INDIRECT("rec.uni[empresa]"),G$6)</f>
        <v>0</v>
      </c>
      <c r="H97" s="131"/>
      <c r="I97" s="44">
        <f>COUNTIFS(
    estq[empresa], I$6,
    estq[Data da venda / reserva], "&gt;=" &amp; $A97,
    estq[Data da venda / reserva], "&lt;"  &amp; EOMONTH($A97,0) + 1
)</f>
        <v>0</v>
      </c>
      <c r="J97" s="45">
        <f ca="1">SUMIFS(rec.uni[2028-11-01],
INDIRECT("rec.uni[natureza]"),"pro.soluto",
INDIRECT("rec.uni[empresa]"),J$6)</f>
        <v>0</v>
      </c>
      <c r="K97" s="45">
        <f ca="1">SUMIFS(rec.uni[2028-11-01],
INDIRECT("rec.uni[natureza]"),"repasse.cef.obra",
INDIRECT("rec.uni[empresa]"),K$6)</f>
        <v>0</v>
      </c>
      <c r="L97" s="45">
        <f ca="1">SUMIFS(rec.uni[2028-11-01],
INDIRECT("rec.uni[natureza]"),"repasse.cef.terreno",
INDIRECT("rec.uni[empresa]"),L$6)</f>
        <v>0</v>
      </c>
      <c r="M97" s="38"/>
      <c r="N97" s="45">
        <f ca="1">SUMIFS(rec.uni[2028-11-01],
INDIRECT("rec.uni[natureza]"),"taxa.extra",
INDIRECT("rec.uni[empresa]"),N$6)</f>
        <v>0</v>
      </c>
      <c r="O97" s="131"/>
      <c r="P97" s="44">
        <f>COUNTIFS(
    estq[empresa], P$6,
    estq[Data da venda / reserva], "&gt;=" &amp; $A97,
    estq[Data da venda / reserva], "&lt;"  &amp; EOMONTH($A97,0) + 1
)</f>
        <v>0</v>
      </c>
      <c r="Q97" s="45">
        <f ca="1">SUMIFS(rec.uni[2028-11-01],
INDIRECT("rec.uni[natureza]"),"pro.soluto",
INDIRECT("rec.uni[empresa]"),Q$6)</f>
        <v>0</v>
      </c>
      <c r="R97" s="45">
        <f ca="1">SUMIFS(rec.uni[2028-11-01],
INDIRECT("rec.uni[natureza]"),"repasse.cef.obra",
INDIRECT("rec.uni[empresa]"),R$6)</f>
        <v>0</v>
      </c>
      <c r="S97" s="45">
        <f ca="1">SUMIFS(rec.uni[2028-11-01],
INDIRECT("rec.uni[natureza]"),"repasse.cef.terreno",
INDIRECT("rec.uni[empresa]"),S$6)</f>
        <v>0</v>
      </c>
      <c r="T97" s="38"/>
      <c r="U97" s="45">
        <f ca="1">SUMIFS(rec.uni[2028-11-01],
INDIRECT("rec.uni[natureza]"),"taxa.extra",
INDIRECT("rec.uni[empresa]"),U$6)</f>
        <v>0</v>
      </c>
      <c r="V97" s="131"/>
      <c r="W97" s="44">
        <f>COUNTIFS(
    estq[empresa], W$6,
    estq[Data da venda / reserva], "&gt;=" &amp; $A97,
    estq[Data da venda / reserva], "&lt;"  &amp; EOMONTH($A97,0) + 1
)</f>
        <v>0</v>
      </c>
      <c r="X97" s="45">
        <f ca="1">SUMIFS(rec.uni[2028-11-01],
INDIRECT("rec.uni[natureza]"),"pro.soluto",
INDIRECT("rec.uni[empresa]"),X$6)</f>
        <v>0</v>
      </c>
      <c r="Y97" s="45">
        <f ca="1">SUMIFS(rec.uni[2028-11-01],
INDIRECT("rec.uni[natureza]"),"repasse.cef.obra",
INDIRECT("rec.uni[empresa]"),Y$6)</f>
        <v>0</v>
      </c>
      <c r="Z97" s="45">
        <f ca="1">SUMIFS(rec.uni[2028-11-01],
INDIRECT("rec.uni[natureza]"),"repasse.cef.terreno",
INDIRECT("rec.uni[empresa]"),Z$6)</f>
        <v>0</v>
      </c>
      <c r="AA97" s="38"/>
      <c r="AB97" s="45">
        <f ca="1">SUMIFS(rec.uni[2028-11-01],
INDIRECT("rec.uni[natureza]"),"taxa.extra",
INDIRECT("rec.uni[empresa]"),AB$6)</f>
        <v>0</v>
      </c>
      <c r="AC97" s="131"/>
      <c r="AD97" s="44">
        <f>COUNTIFS(
    estq[empresa], AD$6,
    estq[Data da venda / reserva], "&gt;=" &amp; $A97,
    estq[Data da venda / reserva], "&lt;"  &amp; EOMONTH($A97,0) + 1
)</f>
        <v>0</v>
      </c>
      <c r="AE97" s="45">
        <f ca="1">SUMIFS(rec.uni[2028-11-01],
INDIRECT("rec.uni[natureza]"),"pro.soluto",
INDIRECT("rec.uni[empresa]"),AE$6)</f>
        <v>0</v>
      </c>
      <c r="AF97" s="38">
        <f ca="1">SUMIFS(rec.uni[2028-11-01],
INDIRECT("rec.uni[natureza]"),"parcela.fin.total.ik",
INDIRECT("rec.uni[empresa]"),AF$6)</f>
        <v>0</v>
      </c>
      <c r="AG97" s="45">
        <f ca="1">SUMIFS(rec.uni[2028-11-01],
INDIRECT("rec.uni[natureza]"),"taxa.extra",
INDIRECT("rec.uni[empresa]"),AG$6)</f>
        <v>0</v>
      </c>
      <c r="AH97" s="131"/>
      <c r="AI97" s="44">
        <f>COUNTIFS(
    estq[empresa], AI$6,
    estq[Data da venda / reserva], "&gt;=" &amp; $A97,
    estq[Data da venda / reserva], "&lt;"  &amp; EOMONTH($A97,0) + 1
)</f>
        <v>0</v>
      </c>
      <c r="AJ97" s="45">
        <f ca="1">SUMIFS(rec.uni[2028-11-01],
INDIRECT("rec.uni[natureza]"),"pro.soluto",
INDIRECT("rec.uni[empresa]"),AJ$6)</f>
        <v>0</v>
      </c>
      <c r="AK97" s="45">
        <f ca="1">SUMIFS(rec.uni[2028-11-01],
INDIRECT("rec.uni[natureza]"),"repasse.cef.obra",
INDIRECT("rec.uni[empresa]"),AK$6)</f>
        <v>0</v>
      </c>
      <c r="AL97" s="45">
        <f ca="1">SUMIFS(rec.uni[2028-11-01],
INDIRECT("rec.uni[natureza]"),"repasse.cef.terreno",
INDIRECT("rec.uni[empresa]"),AL$6)</f>
        <v>0</v>
      </c>
      <c r="AM97" s="38"/>
      <c r="AN97" s="45">
        <f ca="1">SUMIFS(rec.uni[2028-11-01],
INDIRECT("rec.uni[natureza]"),"taxa.extra",
INDIRECT("rec.uni[empresa]"),AN$6)</f>
        <v>0</v>
      </c>
      <c r="AO97" s="131"/>
      <c r="AP97" s="44">
        <f>COUNTIFS(
    estq[empresa], AP$6,
    estq[Data da venda / reserva], "&gt;=" &amp; $A97,
    estq[Data da venda / reserva], "&lt;"  &amp; EOMONTH($A97,0) + 1
)</f>
        <v>0</v>
      </c>
      <c r="AQ97" s="45">
        <f ca="1">SUMIFS(rec.uni[2028-11-01],
INDIRECT("rec.uni[natureza]"),"pro.soluto",
INDIRECT("rec.uni[empresa]"),AQ$6)</f>
        <v>0</v>
      </c>
      <c r="AR97" s="45">
        <f ca="1">SUMIFS(rec.uni[2028-11-01],
INDIRECT("rec.uni[natureza]"),"repasse.cef.obra",
INDIRECT("rec.uni[empresa]"),AR$6)</f>
        <v>0</v>
      </c>
      <c r="AS97" s="45">
        <f ca="1">SUMIFS(rec.uni[2028-11-01],
INDIRECT("rec.uni[natureza]"),"repasse.cef.terreno",
INDIRECT("rec.uni[empresa]"),AS$6)</f>
        <v>0</v>
      </c>
      <c r="AT97" s="38"/>
      <c r="AU97" s="45">
        <f ca="1">SUMIFS(rec.uni[2028-11-01],
INDIRECT("rec.uni[natureza]"),"taxa.extra",
INDIRECT("rec.uni[empresa]"),AU$6)</f>
        <v>0</v>
      </c>
      <c r="AV97" s="131"/>
    </row>
    <row r="98" spans="1:48" x14ac:dyDescent="0.25">
      <c r="A98" s="43">
        <v>47088</v>
      </c>
      <c r="B98" s="44">
        <f>COUNTIFS(
    estq[empresa], B$6,
    estq[Data da venda / reserva], "&gt;=" &amp; $A98,
    estq[Data da venda / reserva], "&lt;"  &amp; EOMONTH($A98,0) + 1
)</f>
        <v>0</v>
      </c>
      <c r="C98" s="45">
        <f ca="1">SUMIFS(rec.uni[2028-12-01],
INDIRECT("rec.uni[natureza]"),"pro.soluto",
INDIRECT("rec.uni[empresa]"),C$6)</f>
        <v>0</v>
      </c>
      <c r="D98" s="45">
        <f ca="1">SUMIFS(rec.uni[2028-12-01],
INDIRECT("rec.uni[natureza]"),"repasse.cef.obra",
INDIRECT("rec.uni[empresa]"),D$6)</f>
        <v>0</v>
      </c>
      <c r="E98" s="45">
        <f ca="1">SUMIFS(rec.uni[2028-12-01],
INDIRECT("rec.uni[natureza]"),"repasse.cef.terreno",
INDIRECT("rec.uni[empresa]"),E$6)</f>
        <v>0</v>
      </c>
      <c r="F98" s="38"/>
      <c r="G98" s="45">
        <f ca="1">SUMIFS(rec.uni[2028-12-01],
INDIRECT("rec.uni[natureza]"),"taxa.extra",
INDIRECT("rec.uni[empresa]"),G$6)</f>
        <v>0</v>
      </c>
      <c r="H98" s="131"/>
      <c r="I98" s="44">
        <f>COUNTIFS(
    estq[empresa], I$6,
    estq[Data da venda / reserva], "&gt;=" &amp; $A98,
    estq[Data da venda / reserva], "&lt;"  &amp; EOMONTH($A98,0) + 1
)</f>
        <v>0</v>
      </c>
      <c r="J98" s="45">
        <f ca="1">SUMIFS(rec.uni[2028-12-01],
INDIRECT("rec.uni[natureza]"),"pro.soluto",
INDIRECT("rec.uni[empresa]"),J$6)</f>
        <v>0</v>
      </c>
      <c r="K98" s="45">
        <f ca="1">SUMIFS(rec.uni[2028-12-01],
INDIRECT("rec.uni[natureza]"),"repasse.cef.obra",
INDIRECT("rec.uni[empresa]"),K$6)</f>
        <v>0</v>
      </c>
      <c r="L98" s="45">
        <f ca="1">SUMIFS(rec.uni[2028-12-01],
INDIRECT("rec.uni[natureza]"),"repasse.cef.terreno",
INDIRECT("rec.uni[empresa]"),L$6)</f>
        <v>0</v>
      </c>
      <c r="M98" s="38"/>
      <c r="N98" s="45">
        <f ca="1">SUMIFS(rec.uni[2028-12-01],
INDIRECT("rec.uni[natureza]"),"taxa.extra",
INDIRECT("rec.uni[empresa]"),N$6)</f>
        <v>0</v>
      </c>
      <c r="O98" s="131"/>
      <c r="P98" s="44">
        <f>COUNTIFS(
    estq[empresa], P$6,
    estq[Data da venda / reserva], "&gt;=" &amp; $A98,
    estq[Data da venda / reserva], "&lt;"  &amp; EOMONTH($A98,0) + 1
)</f>
        <v>0</v>
      </c>
      <c r="Q98" s="45">
        <f ca="1">SUMIFS(rec.uni[2028-12-01],
INDIRECT("rec.uni[natureza]"),"pro.soluto",
INDIRECT("rec.uni[empresa]"),Q$6)</f>
        <v>0</v>
      </c>
      <c r="R98" s="45">
        <f ca="1">SUMIFS(rec.uni[2028-12-01],
INDIRECT("rec.uni[natureza]"),"repasse.cef.obra",
INDIRECT("rec.uni[empresa]"),R$6)</f>
        <v>0</v>
      </c>
      <c r="S98" s="45">
        <f ca="1">SUMIFS(rec.uni[2028-12-01],
INDIRECT("rec.uni[natureza]"),"repasse.cef.terreno",
INDIRECT("rec.uni[empresa]"),S$6)</f>
        <v>0</v>
      </c>
      <c r="T98" s="38"/>
      <c r="U98" s="45">
        <f ca="1">SUMIFS(rec.uni[2028-12-01],
INDIRECT("rec.uni[natureza]"),"taxa.extra",
INDIRECT("rec.uni[empresa]"),U$6)</f>
        <v>0</v>
      </c>
      <c r="V98" s="131"/>
      <c r="W98" s="44">
        <f>COUNTIFS(
    estq[empresa], W$6,
    estq[Data da venda / reserva], "&gt;=" &amp; $A98,
    estq[Data da venda / reserva], "&lt;"  &amp; EOMONTH($A98,0) + 1
)</f>
        <v>0</v>
      </c>
      <c r="X98" s="45">
        <f ca="1">SUMIFS(rec.uni[2028-12-01],
INDIRECT("rec.uni[natureza]"),"pro.soluto",
INDIRECT("rec.uni[empresa]"),X$6)</f>
        <v>0</v>
      </c>
      <c r="Y98" s="45">
        <f ca="1">SUMIFS(rec.uni[2028-12-01],
INDIRECT("rec.uni[natureza]"),"repasse.cef.obra",
INDIRECT("rec.uni[empresa]"),Y$6)</f>
        <v>0</v>
      </c>
      <c r="Z98" s="45">
        <f ca="1">SUMIFS(rec.uni[2028-12-01],
INDIRECT("rec.uni[natureza]"),"repasse.cef.terreno",
INDIRECT("rec.uni[empresa]"),Z$6)</f>
        <v>0</v>
      </c>
      <c r="AA98" s="38"/>
      <c r="AB98" s="45">
        <f ca="1">SUMIFS(rec.uni[2028-12-01],
INDIRECT("rec.uni[natureza]"),"taxa.extra",
INDIRECT("rec.uni[empresa]"),AB$6)</f>
        <v>0</v>
      </c>
      <c r="AC98" s="131"/>
      <c r="AD98" s="44">
        <f>COUNTIFS(
    estq[empresa], AD$6,
    estq[Data da venda / reserva], "&gt;=" &amp; $A98,
    estq[Data da venda / reserva], "&lt;"  &amp; EOMONTH($A98,0) + 1
)</f>
        <v>0</v>
      </c>
      <c r="AE98" s="45">
        <f ca="1">SUMIFS(rec.uni[2028-12-01],
INDIRECT("rec.uni[natureza]"),"pro.soluto",
INDIRECT("rec.uni[empresa]"),AE$6)</f>
        <v>0</v>
      </c>
      <c r="AF98" s="38">
        <f ca="1">SUMIFS(rec.uni[2028-12-01],
INDIRECT("rec.uni[natureza]"),"parcela.fin.total.ik",
INDIRECT("rec.uni[empresa]"),AF$6)</f>
        <v>0</v>
      </c>
      <c r="AG98" s="45">
        <f ca="1">SUMIFS(rec.uni[2028-12-01],
INDIRECT("rec.uni[natureza]"),"taxa.extra",
INDIRECT("rec.uni[empresa]"),AG$6)</f>
        <v>0</v>
      </c>
      <c r="AH98" s="131"/>
      <c r="AI98" s="44">
        <f>COUNTIFS(
    estq[empresa], AI$6,
    estq[Data da venda / reserva], "&gt;=" &amp; $A98,
    estq[Data da venda / reserva], "&lt;"  &amp; EOMONTH($A98,0) + 1
)</f>
        <v>0</v>
      </c>
      <c r="AJ98" s="45">
        <f ca="1">SUMIFS(rec.uni[2028-12-01],
INDIRECT("rec.uni[natureza]"),"pro.soluto",
INDIRECT("rec.uni[empresa]"),AJ$6)</f>
        <v>0</v>
      </c>
      <c r="AK98" s="45">
        <f ca="1">SUMIFS(rec.uni[2028-12-01],
INDIRECT("rec.uni[natureza]"),"repasse.cef.obra",
INDIRECT("rec.uni[empresa]"),AK$6)</f>
        <v>0</v>
      </c>
      <c r="AL98" s="45">
        <f ca="1">SUMIFS(rec.uni[2028-12-01],
INDIRECT("rec.uni[natureza]"),"repasse.cef.terreno",
INDIRECT("rec.uni[empresa]"),AL$6)</f>
        <v>0</v>
      </c>
      <c r="AM98" s="38"/>
      <c r="AN98" s="45">
        <f ca="1">SUMIFS(rec.uni[2028-12-01],
INDIRECT("rec.uni[natureza]"),"taxa.extra",
INDIRECT("rec.uni[empresa]"),AN$6)</f>
        <v>0</v>
      </c>
      <c r="AO98" s="131"/>
      <c r="AP98" s="44">
        <f>COUNTIFS(
    estq[empresa], AP$6,
    estq[Data da venda / reserva], "&gt;=" &amp; $A98,
    estq[Data da venda / reserva], "&lt;"  &amp; EOMONTH($A98,0) + 1
)</f>
        <v>0</v>
      </c>
      <c r="AQ98" s="45">
        <f ca="1">SUMIFS(rec.uni[2028-12-01],
INDIRECT("rec.uni[natureza]"),"pro.soluto",
INDIRECT("rec.uni[empresa]"),AQ$6)</f>
        <v>0</v>
      </c>
      <c r="AR98" s="45">
        <f ca="1">SUMIFS(rec.uni[2028-12-01],
INDIRECT("rec.uni[natureza]"),"repasse.cef.obra",
INDIRECT("rec.uni[empresa]"),AR$6)</f>
        <v>0</v>
      </c>
      <c r="AS98" s="45">
        <f ca="1">SUMIFS(rec.uni[2028-12-01],
INDIRECT("rec.uni[natureza]"),"repasse.cef.terreno",
INDIRECT("rec.uni[empresa]"),AS$6)</f>
        <v>0</v>
      </c>
      <c r="AT98" s="38"/>
      <c r="AU98" s="45">
        <f ca="1">SUMIFS(rec.uni[2028-12-01],
INDIRECT("rec.uni[natureza]"),"taxa.extra",
INDIRECT("rec.uni[empresa]"),AU$6)</f>
        <v>0</v>
      </c>
      <c r="AV98" s="131"/>
    </row>
    <row r="99" spans="1:48" x14ac:dyDescent="0.25">
      <c r="A99" s="43">
        <v>47119</v>
      </c>
      <c r="B99" s="44">
        <f>COUNTIFS(
    estq[empresa], B$6,
    estq[Data da venda / reserva], "&gt;=" &amp; $A99,
    estq[Data da venda / reserva], "&lt;"  &amp; EOMONTH($A99,0) + 1
)</f>
        <v>0</v>
      </c>
      <c r="C99" s="45">
        <f ca="1">SUMIFS(rec.uni[2029-01-01],
INDIRECT("rec.uni[natureza]"),"pro.soluto",
INDIRECT("rec.uni[empresa]"),C$6)</f>
        <v>0</v>
      </c>
      <c r="D99" s="45">
        <f ca="1">SUMIFS(rec.uni[2029-01-01],
INDIRECT("rec.uni[natureza]"),"repasse.cef.obra",
INDIRECT("rec.uni[empresa]"),D$6)</f>
        <v>0</v>
      </c>
      <c r="E99" s="45">
        <f ca="1">SUMIFS(rec.uni[2029-01-01],
INDIRECT("rec.uni[natureza]"),"repasse.cef.terreno",
INDIRECT("rec.uni[empresa]"),E$6)</f>
        <v>0</v>
      </c>
      <c r="F99" s="38"/>
      <c r="G99" s="45">
        <f ca="1">SUMIFS(rec.uni[2029-01-01],
INDIRECT("rec.uni[natureza]"),"taxa.extra",
INDIRECT("rec.uni[empresa]"),G$6)</f>
        <v>0</v>
      </c>
      <c r="H99" s="131"/>
      <c r="I99" s="44">
        <f>COUNTIFS(
    estq[empresa], I$6,
    estq[Data da venda / reserva], "&gt;=" &amp; $A99,
    estq[Data da venda / reserva], "&lt;"  &amp; EOMONTH($A99,0) + 1
)</f>
        <v>0</v>
      </c>
      <c r="J99" s="45">
        <f ca="1">SUMIFS(rec.uni[2029-01-01],
INDIRECT("rec.uni[natureza]"),"pro.soluto",
INDIRECT("rec.uni[empresa]"),J$6)</f>
        <v>0</v>
      </c>
      <c r="K99" s="45">
        <f ca="1">SUMIFS(rec.uni[2029-01-01],
INDIRECT("rec.uni[natureza]"),"repasse.cef.obra",
INDIRECT("rec.uni[empresa]"),K$6)</f>
        <v>0</v>
      </c>
      <c r="L99" s="45">
        <f ca="1">SUMIFS(rec.uni[2029-01-01],
INDIRECT("rec.uni[natureza]"),"repasse.cef.terreno",
INDIRECT("rec.uni[empresa]"),L$6)</f>
        <v>0</v>
      </c>
      <c r="M99" s="38"/>
      <c r="N99" s="45">
        <f ca="1">SUMIFS(rec.uni[2029-01-01],
INDIRECT("rec.uni[natureza]"),"taxa.extra",
INDIRECT("rec.uni[empresa]"),N$6)</f>
        <v>0</v>
      </c>
      <c r="O99" s="131"/>
      <c r="P99" s="44">
        <f>COUNTIFS(
    estq[empresa], P$6,
    estq[Data da venda / reserva], "&gt;=" &amp; $A99,
    estq[Data da venda / reserva], "&lt;"  &amp; EOMONTH($A99,0) + 1
)</f>
        <v>0</v>
      </c>
      <c r="Q99" s="45">
        <f ca="1">SUMIFS(rec.uni[2029-01-01],
INDIRECT("rec.uni[natureza]"),"pro.soluto",
INDIRECT("rec.uni[empresa]"),Q$6)</f>
        <v>0</v>
      </c>
      <c r="R99" s="45">
        <f ca="1">SUMIFS(rec.uni[2029-01-01],
INDIRECT("rec.uni[natureza]"),"repasse.cef.obra",
INDIRECT("rec.uni[empresa]"),R$6)</f>
        <v>0</v>
      </c>
      <c r="S99" s="45">
        <f ca="1">SUMIFS(rec.uni[2029-01-01],
INDIRECT("rec.uni[natureza]"),"repasse.cef.terreno",
INDIRECT("rec.uni[empresa]"),S$6)</f>
        <v>0</v>
      </c>
      <c r="T99" s="38"/>
      <c r="U99" s="45">
        <f ca="1">SUMIFS(rec.uni[2029-01-01],
INDIRECT("rec.uni[natureza]"),"taxa.extra",
INDIRECT("rec.uni[empresa]"),U$6)</f>
        <v>0</v>
      </c>
      <c r="V99" s="131"/>
      <c r="W99" s="44">
        <f>COUNTIFS(
    estq[empresa], W$6,
    estq[Data da venda / reserva], "&gt;=" &amp; $A99,
    estq[Data da venda / reserva], "&lt;"  &amp; EOMONTH($A99,0) + 1
)</f>
        <v>0</v>
      </c>
      <c r="X99" s="45">
        <f ca="1">SUMIFS(rec.uni[2029-01-01],
INDIRECT("rec.uni[natureza]"),"pro.soluto",
INDIRECT("rec.uni[empresa]"),X$6)</f>
        <v>0</v>
      </c>
      <c r="Y99" s="45">
        <f ca="1">SUMIFS(rec.uni[2029-01-01],
INDIRECT("rec.uni[natureza]"),"repasse.cef.obra",
INDIRECT("rec.uni[empresa]"),Y$6)</f>
        <v>0</v>
      </c>
      <c r="Z99" s="45">
        <f ca="1">SUMIFS(rec.uni[2029-01-01],
INDIRECT("rec.uni[natureza]"),"repasse.cef.terreno",
INDIRECT("rec.uni[empresa]"),Z$6)</f>
        <v>0</v>
      </c>
      <c r="AA99" s="38"/>
      <c r="AB99" s="45">
        <f ca="1">SUMIFS(rec.uni[2029-01-01],
INDIRECT("rec.uni[natureza]"),"taxa.extra",
INDIRECT("rec.uni[empresa]"),AB$6)</f>
        <v>0</v>
      </c>
      <c r="AC99" s="131"/>
      <c r="AD99" s="44">
        <f>COUNTIFS(
    estq[empresa], AD$6,
    estq[Data da venda / reserva], "&gt;=" &amp; $A99,
    estq[Data da venda / reserva], "&lt;"  &amp; EOMONTH($A99,0) + 1
)</f>
        <v>0</v>
      </c>
      <c r="AE99" s="45">
        <f ca="1">SUMIFS(rec.uni[2029-01-01],
INDIRECT("rec.uni[natureza]"),"pro.soluto",
INDIRECT("rec.uni[empresa]"),AE$6)</f>
        <v>0</v>
      </c>
      <c r="AF99" s="38">
        <f ca="1">SUMIFS(rec.uni[2029-01-01],
INDIRECT("rec.uni[natureza]"),"parcela.fin.total.ik",
INDIRECT("rec.uni[empresa]"),AF$6)</f>
        <v>0</v>
      </c>
      <c r="AG99" s="45">
        <f ca="1">SUMIFS(rec.uni[2029-01-01],
INDIRECT("rec.uni[natureza]"),"taxa.extra",
INDIRECT("rec.uni[empresa]"),AG$6)</f>
        <v>0</v>
      </c>
      <c r="AH99" s="131"/>
      <c r="AI99" s="44">
        <f>COUNTIFS(
    estq[empresa], AI$6,
    estq[Data da venda / reserva], "&gt;=" &amp; $A99,
    estq[Data da venda / reserva], "&lt;"  &amp; EOMONTH($A99,0) + 1
)</f>
        <v>0</v>
      </c>
      <c r="AJ99" s="45">
        <f ca="1">SUMIFS(rec.uni[2029-01-01],
INDIRECT("rec.uni[natureza]"),"pro.soluto",
INDIRECT("rec.uni[empresa]"),AJ$6)</f>
        <v>0</v>
      </c>
      <c r="AK99" s="45">
        <f ca="1">SUMIFS(rec.uni[2029-01-01],
INDIRECT("rec.uni[natureza]"),"repasse.cef.obra",
INDIRECT("rec.uni[empresa]"),AK$6)</f>
        <v>0</v>
      </c>
      <c r="AL99" s="45">
        <f ca="1">SUMIFS(rec.uni[2029-01-01],
INDIRECT("rec.uni[natureza]"),"repasse.cef.terreno",
INDIRECT("rec.uni[empresa]"),AL$6)</f>
        <v>0</v>
      </c>
      <c r="AM99" s="38"/>
      <c r="AN99" s="45">
        <f ca="1">SUMIFS(rec.uni[2029-01-01],
INDIRECT("rec.uni[natureza]"),"taxa.extra",
INDIRECT("rec.uni[empresa]"),AN$6)</f>
        <v>0</v>
      </c>
      <c r="AO99" s="131"/>
      <c r="AP99" s="44">
        <f>COUNTIFS(
    estq[empresa], AP$6,
    estq[Data da venda / reserva], "&gt;=" &amp; $A99,
    estq[Data da venda / reserva], "&lt;"  &amp; EOMONTH($A99,0) + 1
)</f>
        <v>0</v>
      </c>
      <c r="AQ99" s="45">
        <f ca="1">SUMIFS(rec.uni[2029-01-01],
INDIRECT("rec.uni[natureza]"),"pro.soluto",
INDIRECT("rec.uni[empresa]"),AQ$6)</f>
        <v>0</v>
      </c>
      <c r="AR99" s="45">
        <f ca="1">SUMIFS(rec.uni[2029-01-01],
INDIRECT("rec.uni[natureza]"),"repasse.cef.obra",
INDIRECT("rec.uni[empresa]"),AR$6)</f>
        <v>0</v>
      </c>
      <c r="AS99" s="45">
        <f ca="1">SUMIFS(rec.uni[2029-01-01],
INDIRECT("rec.uni[natureza]"),"repasse.cef.terreno",
INDIRECT("rec.uni[empresa]"),AS$6)</f>
        <v>0</v>
      </c>
      <c r="AT99" s="38"/>
      <c r="AU99" s="45">
        <f ca="1">SUMIFS(rec.uni[2029-01-01],
INDIRECT("rec.uni[natureza]"),"taxa.extra",
INDIRECT("rec.uni[empresa]"),AU$6)</f>
        <v>0</v>
      </c>
      <c r="AV99" s="131"/>
    </row>
    <row r="100" spans="1:48" x14ac:dyDescent="0.25">
      <c r="A100" s="43">
        <v>47150</v>
      </c>
      <c r="B100" s="44">
        <f>COUNTIFS(
    estq[empresa], B$6,
    estq[Data da venda / reserva], "&gt;=" &amp; $A100,
    estq[Data da venda / reserva], "&lt;"  &amp; EOMONTH($A100,0) + 1
)</f>
        <v>0</v>
      </c>
      <c r="C100" s="45">
        <f ca="1">SUMIFS(rec.uni[2029-02-01],
INDIRECT("rec.uni[natureza]"),"pro.soluto",
INDIRECT("rec.uni[empresa]"),C$6)</f>
        <v>0</v>
      </c>
      <c r="D100" s="45">
        <f ca="1">SUMIFS(rec.uni[2029-02-01],
INDIRECT("rec.uni[natureza]"),"repasse.cef.obra",
INDIRECT("rec.uni[empresa]"),D$6)</f>
        <v>0</v>
      </c>
      <c r="E100" s="45">
        <f ca="1">SUMIFS(rec.uni[2029-02-01],
INDIRECT("rec.uni[natureza]"),"repasse.cef.terreno",
INDIRECT("rec.uni[empresa]"),E$6)</f>
        <v>0</v>
      </c>
      <c r="F100" s="38"/>
      <c r="G100" s="45">
        <f ca="1">SUMIFS(rec.uni[2029-02-01],
INDIRECT("rec.uni[natureza]"),"taxa.extra",
INDIRECT("rec.uni[empresa]"),G$6)</f>
        <v>0</v>
      </c>
      <c r="H100" s="131"/>
      <c r="I100" s="44">
        <f>COUNTIFS(
    estq[empresa], I$6,
    estq[Data da venda / reserva], "&gt;=" &amp; $A100,
    estq[Data da venda / reserva], "&lt;"  &amp; EOMONTH($A100,0) + 1
)</f>
        <v>0</v>
      </c>
      <c r="J100" s="45">
        <f ca="1">SUMIFS(rec.uni[2029-02-01],
INDIRECT("rec.uni[natureza]"),"pro.soluto",
INDIRECT("rec.uni[empresa]"),J$6)</f>
        <v>0</v>
      </c>
      <c r="K100" s="45">
        <f ca="1">SUMIFS(rec.uni[2029-02-01],
INDIRECT("rec.uni[natureza]"),"repasse.cef.obra",
INDIRECT("rec.uni[empresa]"),K$6)</f>
        <v>0</v>
      </c>
      <c r="L100" s="45">
        <f ca="1">SUMIFS(rec.uni[2029-02-01],
INDIRECT("rec.uni[natureza]"),"repasse.cef.terreno",
INDIRECT("rec.uni[empresa]"),L$6)</f>
        <v>0</v>
      </c>
      <c r="M100" s="38"/>
      <c r="N100" s="45">
        <f ca="1">SUMIFS(rec.uni[2029-02-01],
INDIRECT("rec.uni[natureza]"),"taxa.extra",
INDIRECT("rec.uni[empresa]"),N$6)</f>
        <v>0</v>
      </c>
      <c r="O100" s="131"/>
      <c r="P100" s="44">
        <f>COUNTIFS(
    estq[empresa], P$6,
    estq[Data da venda / reserva], "&gt;=" &amp; $A100,
    estq[Data da venda / reserva], "&lt;"  &amp; EOMONTH($A100,0) + 1
)</f>
        <v>0</v>
      </c>
      <c r="Q100" s="45">
        <f ca="1">SUMIFS(rec.uni[2029-02-01],
INDIRECT("rec.uni[natureza]"),"pro.soluto",
INDIRECT("rec.uni[empresa]"),Q$6)</f>
        <v>0</v>
      </c>
      <c r="R100" s="45">
        <f ca="1">SUMIFS(rec.uni[2029-02-01],
INDIRECT("rec.uni[natureza]"),"repasse.cef.obra",
INDIRECT("rec.uni[empresa]"),R$6)</f>
        <v>0</v>
      </c>
      <c r="S100" s="45">
        <f ca="1">SUMIFS(rec.uni[2029-02-01],
INDIRECT("rec.uni[natureza]"),"repasse.cef.terreno",
INDIRECT("rec.uni[empresa]"),S$6)</f>
        <v>0</v>
      </c>
      <c r="T100" s="38"/>
      <c r="U100" s="45">
        <f ca="1">SUMIFS(rec.uni[2029-02-01],
INDIRECT("rec.uni[natureza]"),"taxa.extra",
INDIRECT("rec.uni[empresa]"),U$6)</f>
        <v>0</v>
      </c>
      <c r="V100" s="131"/>
      <c r="W100" s="44">
        <f>COUNTIFS(
    estq[empresa], W$6,
    estq[Data da venda / reserva], "&gt;=" &amp; $A100,
    estq[Data da venda / reserva], "&lt;"  &amp; EOMONTH($A100,0) + 1
)</f>
        <v>0</v>
      </c>
      <c r="X100" s="45">
        <f ca="1">SUMIFS(rec.uni[2029-02-01],
INDIRECT("rec.uni[natureza]"),"pro.soluto",
INDIRECT("rec.uni[empresa]"),X$6)</f>
        <v>0</v>
      </c>
      <c r="Y100" s="45">
        <f ca="1">SUMIFS(rec.uni[2029-02-01],
INDIRECT("rec.uni[natureza]"),"repasse.cef.obra",
INDIRECT("rec.uni[empresa]"),Y$6)</f>
        <v>0</v>
      </c>
      <c r="Z100" s="45">
        <f ca="1">SUMIFS(rec.uni[2029-02-01],
INDIRECT("rec.uni[natureza]"),"repasse.cef.terreno",
INDIRECT("rec.uni[empresa]"),Z$6)</f>
        <v>0</v>
      </c>
      <c r="AA100" s="38"/>
      <c r="AB100" s="45">
        <f ca="1">SUMIFS(rec.uni[2029-02-01],
INDIRECT("rec.uni[natureza]"),"taxa.extra",
INDIRECT("rec.uni[empresa]"),AB$6)</f>
        <v>0</v>
      </c>
      <c r="AC100" s="131"/>
      <c r="AD100" s="44">
        <f>COUNTIFS(
    estq[empresa], AD$6,
    estq[Data da venda / reserva], "&gt;=" &amp; $A100,
    estq[Data da venda / reserva], "&lt;"  &amp; EOMONTH($A100,0) + 1
)</f>
        <v>0</v>
      </c>
      <c r="AE100" s="45">
        <f ca="1">SUMIFS(rec.uni[2029-02-01],
INDIRECT("rec.uni[natureza]"),"pro.soluto",
INDIRECT("rec.uni[empresa]"),AE$6)</f>
        <v>0</v>
      </c>
      <c r="AF100" s="38">
        <f ca="1">SUMIFS(rec.uni[2029-02-01],
INDIRECT("rec.uni[natureza]"),"parcela.fin.total.ik",
INDIRECT("rec.uni[empresa]"),AF$6)</f>
        <v>0</v>
      </c>
      <c r="AG100" s="45">
        <f ca="1">SUMIFS(rec.uni[2029-02-01],
INDIRECT("rec.uni[natureza]"),"taxa.extra",
INDIRECT("rec.uni[empresa]"),AG$6)</f>
        <v>0</v>
      </c>
      <c r="AH100" s="131"/>
      <c r="AI100" s="44">
        <f>COUNTIFS(
    estq[empresa], AI$6,
    estq[Data da venda / reserva], "&gt;=" &amp; $A100,
    estq[Data da venda / reserva], "&lt;"  &amp; EOMONTH($A100,0) + 1
)</f>
        <v>0</v>
      </c>
      <c r="AJ100" s="45">
        <f ca="1">SUMIFS(rec.uni[2029-02-01],
INDIRECT("rec.uni[natureza]"),"pro.soluto",
INDIRECT("rec.uni[empresa]"),AJ$6)</f>
        <v>0</v>
      </c>
      <c r="AK100" s="45">
        <f ca="1">SUMIFS(rec.uni[2029-02-01],
INDIRECT("rec.uni[natureza]"),"repasse.cef.obra",
INDIRECT("rec.uni[empresa]"),AK$6)</f>
        <v>0</v>
      </c>
      <c r="AL100" s="45">
        <f ca="1">SUMIFS(rec.uni[2029-02-01],
INDIRECT("rec.uni[natureza]"),"repasse.cef.terreno",
INDIRECT("rec.uni[empresa]"),AL$6)</f>
        <v>0</v>
      </c>
      <c r="AM100" s="38"/>
      <c r="AN100" s="45">
        <f ca="1">SUMIFS(rec.uni[2029-02-01],
INDIRECT("rec.uni[natureza]"),"taxa.extra",
INDIRECT("rec.uni[empresa]"),AN$6)</f>
        <v>0</v>
      </c>
      <c r="AO100" s="131"/>
      <c r="AP100" s="44">
        <f>COUNTIFS(
    estq[empresa], AP$6,
    estq[Data da venda / reserva], "&gt;=" &amp; $A100,
    estq[Data da venda / reserva], "&lt;"  &amp; EOMONTH($A100,0) + 1
)</f>
        <v>0</v>
      </c>
      <c r="AQ100" s="45">
        <f ca="1">SUMIFS(rec.uni[2029-02-01],
INDIRECT("rec.uni[natureza]"),"pro.soluto",
INDIRECT("rec.uni[empresa]"),AQ$6)</f>
        <v>0</v>
      </c>
      <c r="AR100" s="45">
        <f ca="1">SUMIFS(rec.uni[2029-02-01],
INDIRECT("rec.uni[natureza]"),"repasse.cef.obra",
INDIRECT("rec.uni[empresa]"),AR$6)</f>
        <v>0</v>
      </c>
      <c r="AS100" s="45">
        <f ca="1">SUMIFS(rec.uni[2029-02-01],
INDIRECT("rec.uni[natureza]"),"repasse.cef.terreno",
INDIRECT("rec.uni[empresa]"),AS$6)</f>
        <v>0</v>
      </c>
      <c r="AT100" s="38"/>
      <c r="AU100" s="45">
        <f ca="1">SUMIFS(rec.uni[2029-02-01],
INDIRECT("rec.uni[natureza]"),"taxa.extra",
INDIRECT("rec.uni[empresa]"),AU$6)</f>
        <v>0</v>
      </c>
      <c r="AV100" s="131"/>
    </row>
    <row r="101" spans="1:48" x14ac:dyDescent="0.25">
      <c r="A101" s="43">
        <v>47178</v>
      </c>
      <c r="B101" s="44">
        <f>COUNTIFS(
    estq[empresa], B$6,
    estq[Data da venda / reserva], "&gt;=" &amp; $A101,
    estq[Data da venda / reserva], "&lt;"  &amp; EOMONTH($A101,0) + 1
)</f>
        <v>0</v>
      </c>
      <c r="C101" s="45">
        <f ca="1">SUMIFS(rec.uni[2029-03-01],
INDIRECT("rec.uni[natureza]"),"pro.soluto",
INDIRECT("rec.uni[empresa]"),C$6)</f>
        <v>0</v>
      </c>
      <c r="D101" s="45">
        <f ca="1">SUMIFS(rec.uni[2029-03-01],
INDIRECT("rec.uni[natureza]"),"repasse.cef.obra",
INDIRECT("rec.uni[empresa]"),D$6)</f>
        <v>0</v>
      </c>
      <c r="E101" s="45">
        <f ca="1">SUMIFS(rec.uni[2029-03-01],
INDIRECT("rec.uni[natureza]"),"repasse.cef.terreno",
INDIRECT("rec.uni[empresa]"),E$6)</f>
        <v>0</v>
      </c>
      <c r="F101" s="38"/>
      <c r="G101" s="45">
        <f ca="1">SUMIFS(rec.uni[2029-03-01],
INDIRECT("rec.uni[natureza]"),"taxa.extra",
INDIRECT("rec.uni[empresa]"),G$6)</f>
        <v>0</v>
      </c>
      <c r="H101" s="131"/>
      <c r="I101" s="44">
        <f>COUNTIFS(
    estq[empresa], I$6,
    estq[Data da venda / reserva], "&gt;=" &amp; $A101,
    estq[Data da venda / reserva], "&lt;"  &amp; EOMONTH($A101,0) + 1
)</f>
        <v>0</v>
      </c>
      <c r="J101" s="45">
        <f ca="1">SUMIFS(rec.uni[2029-03-01],
INDIRECT("rec.uni[natureza]"),"pro.soluto",
INDIRECT("rec.uni[empresa]"),J$6)</f>
        <v>0</v>
      </c>
      <c r="K101" s="45">
        <f ca="1">SUMIFS(rec.uni[2029-03-01],
INDIRECT("rec.uni[natureza]"),"repasse.cef.obra",
INDIRECT("rec.uni[empresa]"),K$6)</f>
        <v>0</v>
      </c>
      <c r="L101" s="45">
        <f ca="1">SUMIFS(rec.uni[2029-03-01],
INDIRECT("rec.uni[natureza]"),"repasse.cef.terreno",
INDIRECT("rec.uni[empresa]"),L$6)</f>
        <v>0</v>
      </c>
      <c r="M101" s="38"/>
      <c r="N101" s="45">
        <f ca="1">SUMIFS(rec.uni[2029-03-01],
INDIRECT("rec.uni[natureza]"),"taxa.extra",
INDIRECT("rec.uni[empresa]"),N$6)</f>
        <v>0</v>
      </c>
      <c r="O101" s="131"/>
      <c r="P101" s="44">
        <f>COUNTIFS(
    estq[empresa], P$6,
    estq[Data da venda / reserva], "&gt;=" &amp; $A101,
    estq[Data da venda / reserva], "&lt;"  &amp; EOMONTH($A101,0) + 1
)</f>
        <v>0</v>
      </c>
      <c r="Q101" s="45">
        <f ca="1">SUMIFS(rec.uni[2029-03-01],
INDIRECT("rec.uni[natureza]"),"pro.soluto",
INDIRECT("rec.uni[empresa]"),Q$6)</f>
        <v>0</v>
      </c>
      <c r="R101" s="45">
        <f ca="1">SUMIFS(rec.uni[2029-03-01],
INDIRECT("rec.uni[natureza]"),"repasse.cef.obra",
INDIRECT("rec.uni[empresa]"),R$6)</f>
        <v>0</v>
      </c>
      <c r="S101" s="45">
        <f ca="1">SUMIFS(rec.uni[2029-03-01],
INDIRECT("rec.uni[natureza]"),"repasse.cef.terreno",
INDIRECT("rec.uni[empresa]"),S$6)</f>
        <v>0</v>
      </c>
      <c r="T101" s="38"/>
      <c r="U101" s="45">
        <f ca="1">SUMIFS(rec.uni[2029-03-01],
INDIRECT("rec.uni[natureza]"),"taxa.extra",
INDIRECT("rec.uni[empresa]"),U$6)</f>
        <v>0</v>
      </c>
      <c r="V101" s="131"/>
      <c r="W101" s="44">
        <f>COUNTIFS(
    estq[empresa], W$6,
    estq[Data da venda / reserva], "&gt;=" &amp; $A101,
    estq[Data da venda / reserva], "&lt;"  &amp; EOMONTH($A101,0) + 1
)</f>
        <v>0</v>
      </c>
      <c r="X101" s="45">
        <f ca="1">SUMIFS(rec.uni[2029-03-01],
INDIRECT("rec.uni[natureza]"),"pro.soluto",
INDIRECT("rec.uni[empresa]"),X$6)</f>
        <v>0</v>
      </c>
      <c r="Y101" s="45">
        <f ca="1">SUMIFS(rec.uni[2029-03-01],
INDIRECT("rec.uni[natureza]"),"repasse.cef.obra",
INDIRECT("rec.uni[empresa]"),Y$6)</f>
        <v>0</v>
      </c>
      <c r="Z101" s="45">
        <f ca="1">SUMIFS(rec.uni[2029-03-01],
INDIRECT("rec.uni[natureza]"),"repasse.cef.terreno",
INDIRECT("rec.uni[empresa]"),Z$6)</f>
        <v>0</v>
      </c>
      <c r="AA101" s="38"/>
      <c r="AB101" s="45">
        <f ca="1">SUMIFS(rec.uni[2029-03-01],
INDIRECT("rec.uni[natureza]"),"taxa.extra",
INDIRECT("rec.uni[empresa]"),AB$6)</f>
        <v>0</v>
      </c>
      <c r="AC101" s="131"/>
      <c r="AD101" s="44">
        <f>COUNTIFS(
    estq[empresa], AD$6,
    estq[Data da venda / reserva], "&gt;=" &amp; $A101,
    estq[Data da venda / reserva], "&lt;"  &amp; EOMONTH($A101,0) + 1
)</f>
        <v>0</v>
      </c>
      <c r="AE101" s="45">
        <f ca="1">SUMIFS(rec.uni[2029-03-01],
INDIRECT("rec.uni[natureza]"),"pro.soluto",
INDIRECT("rec.uni[empresa]"),AE$6)</f>
        <v>0</v>
      </c>
      <c r="AF101" s="38">
        <f ca="1">SUMIFS(rec.uni[2029-03-01],
INDIRECT("rec.uni[natureza]"),"parcela.fin.total.ik",
INDIRECT("rec.uni[empresa]"),AF$6)</f>
        <v>0</v>
      </c>
      <c r="AG101" s="45">
        <f ca="1">SUMIFS(rec.uni[2029-03-01],
INDIRECT("rec.uni[natureza]"),"taxa.extra",
INDIRECT("rec.uni[empresa]"),AG$6)</f>
        <v>0</v>
      </c>
      <c r="AH101" s="131"/>
      <c r="AI101" s="44">
        <f>COUNTIFS(
    estq[empresa], AI$6,
    estq[Data da venda / reserva], "&gt;=" &amp; $A101,
    estq[Data da venda / reserva], "&lt;"  &amp; EOMONTH($A101,0) + 1
)</f>
        <v>0</v>
      </c>
      <c r="AJ101" s="45">
        <f ca="1">SUMIFS(rec.uni[2029-03-01],
INDIRECT("rec.uni[natureza]"),"pro.soluto",
INDIRECT("rec.uni[empresa]"),AJ$6)</f>
        <v>0</v>
      </c>
      <c r="AK101" s="45">
        <f ca="1">SUMIFS(rec.uni[2029-03-01],
INDIRECT("rec.uni[natureza]"),"repasse.cef.obra",
INDIRECT("rec.uni[empresa]"),AK$6)</f>
        <v>0</v>
      </c>
      <c r="AL101" s="45">
        <f ca="1">SUMIFS(rec.uni[2029-03-01],
INDIRECT("rec.uni[natureza]"),"repasse.cef.terreno",
INDIRECT("rec.uni[empresa]"),AL$6)</f>
        <v>0</v>
      </c>
      <c r="AM101" s="38"/>
      <c r="AN101" s="45">
        <f ca="1">SUMIFS(rec.uni[2029-03-01],
INDIRECT("rec.uni[natureza]"),"taxa.extra",
INDIRECT("rec.uni[empresa]"),AN$6)</f>
        <v>0</v>
      </c>
      <c r="AO101" s="131"/>
      <c r="AP101" s="44">
        <f>COUNTIFS(
    estq[empresa], AP$6,
    estq[Data da venda / reserva], "&gt;=" &amp; $A101,
    estq[Data da venda / reserva], "&lt;"  &amp; EOMONTH($A101,0) + 1
)</f>
        <v>0</v>
      </c>
      <c r="AQ101" s="45">
        <f ca="1">SUMIFS(rec.uni[2029-03-01],
INDIRECT("rec.uni[natureza]"),"pro.soluto",
INDIRECT("rec.uni[empresa]"),AQ$6)</f>
        <v>0</v>
      </c>
      <c r="AR101" s="45">
        <f ca="1">SUMIFS(rec.uni[2029-03-01],
INDIRECT("rec.uni[natureza]"),"repasse.cef.obra",
INDIRECT("rec.uni[empresa]"),AR$6)</f>
        <v>0</v>
      </c>
      <c r="AS101" s="45">
        <f ca="1">SUMIFS(rec.uni[2029-03-01],
INDIRECT("rec.uni[natureza]"),"repasse.cef.terreno",
INDIRECT("rec.uni[empresa]"),AS$6)</f>
        <v>0</v>
      </c>
      <c r="AT101" s="38"/>
      <c r="AU101" s="45">
        <f ca="1">SUMIFS(rec.uni[2029-03-01],
INDIRECT("rec.uni[natureza]"),"taxa.extra",
INDIRECT("rec.uni[empresa]"),AU$6)</f>
        <v>0</v>
      </c>
      <c r="AV101" s="131"/>
    </row>
    <row r="102" spans="1:48" x14ac:dyDescent="0.25">
      <c r="A102" s="43">
        <v>47209</v>
      </c>
      <c r="B102" s="44">
        <f>COUNTIFS(
    estq[empresa], B$6,
    estq[Data da venda / reserva], "&gt;=" &amp; $A102,
    estq[Data da venda / reserva], "&lt;"  &amp; EOMONTH($A102,0) + 1
)</f>
        <v>0</v>
      </c>
      <c r="C102" s="45">
        <f ca="1">SUMIFS(rec.uni[2029-04-01],
INDIRECT("rec.uni[natureza]"),"pro.soluto",
INDIRECT("rec.uni[empresa]"),C$6)</f>
        <v>0</v>
      </c>
      <c r="D102" s="45">
        <f ca="1">SUMIFS(rec.uni[2029-04-01],
INDIRECT("rec.uni[natureza]"),"repasse.cef.obra",
INDIRECT("rec.uni[empresa]"),D$6)</f>
        <v>0</v>
      </c>
      <c r="E102" s="45">
        <f ca="1">SUMIFS(rec.uni[2029-04-01],
INDIRECT("rec.uni[natureza]"),"repasse.cef.terreno",
INDIRECT("rec.uni[empresa]"),E$6)</f>
        <v>0</v>
      </c>
      <c r="F102" s="38"/>
      <c r="G102" s="45">
        <f ca="1">SUMIFS(rec.uni[2029-04-01],
INDIRECT("rec.uni[natureza]"),"taxa.extra",
INDIRECT("rec.uni[empresa]"),G$6)</f>
        <v>0</v>
      </c>
      <c r="H102" s="131"/>
      <c r="I102" s="44">
        <f>COUNTIFS(
    estq[empresa], I$6,
    estq[Data da venda / reserva], "&gt;=" &amp; $A102,
    estq[Data da venda / reserva], "&lt;"  &amp; EOMONTH($A102,0) + 1
)</f>
        <v>0</v>
      </c>
      <c r="J102" s="45">
        <f ca="1">SUMIFS(rec.uni[2029-04-01],
INDIRECT("rec.uni[natureza]"),"pro.soluto",
INDIRECT("rec.uni[empresa]"),J$6)</f>
        <v>0</v>
      </c>
      <c r="K102" s="45">
        <f ca="1">SUMIFS(rec.uni[2029-04-01],
INDIRECT("rec.uni[natureza]"),"repasse.cef.obra",
INDIRECT("rec.uni[empresa]"),K$6)</f>
        <v>0</v>
      </c>
      <c r="L102" s="45">
        <f ca="1">SUMIFS(rec.uni[2029-04-01],
INDIRECT("rec.uni[natureza]"),"repasse.cef.terreno",
INDIRECT("rec.uni[empresa]"),L$6)</f>
        <v>0</v>
      </c>
      <c r="M102" s="38"/>
      <c r="N102" s="45">
        <f ca="1">SUMIFS(rec.uni[2029-04-01],
INDIRECT("rec.uni[natureza]"),"taxa.extra",
INDIRECT("rec.uni[empresa]"),N$6)</f>
        <v>0</v>
      </c>
      <c r="O102" s="131"/>
      <c r="P102" s="44">
        <f>COUNTIFS(
    estq[empresa], P$6,
    estq[Data da venda / reserva], "&gt;=" &amp; $A102,
    estq[Data da venda / reserva], "&lt;"  &amp; EOMONTH($A102,0) + 1
)</f>
        <v>0</v>
      </c>
      <c r="Q102" s="45">
        <f ca="1">SUMIFS(rec.uni[2029-04-01],
INDIRECT("rec.uni[natureza]"),"pro.soluto",
INDIRECT("rec.uni[empresa]"),Q$6)</f>
        <v>0</v>
      </c>
      <c r="R102" s="45">
        <f ca="1">SUMIFS(rec.uni[2029-04-01],
INDIRECT("rec.uni[natureza]"),"repasse.cef.obra",
INDIRECT("rec.uni[empresa]"),R$6)</f>
        <v>0</v>
      </c>
      <c r="S102" s="45">
        <f ca="1">SUMIFS(rec.uni[2029-04-01],
INDIRECT("rec.uni[natureza]"),"repasse.cef.terreno",
INDIRECT("rec.uni[empresa]"),S$6)</f>
        <v>0</v>
      </c>
      <c r="T102" s="38"/>
      <c r="U102" s="45">
        <f ca="1">SUMIFS(rec.uni[2029-04-01],
INDIRECT("rec.uni[natureza]"),"taxa.extra",
INDIRECT("rec.uni[empresa]"),U$6)</f>
        <v>0</v>
      </c>
      <c r="V102" s="131"/>
      <c r="W102" s="44">
        <f>COUNTIFS(
    estq[empresa], W$6,
    estq[Data da venda / reserva], "&gt;=" &amp; $A102,
    estq[Data da venda / reserva], "&lt;"  &amp; EOMONTH($A102,0) + 1
)</f>
        <v>0</v>
      </c>
      <c r="X102" s="45">
        <f ca="1">SUMIFS(rec.uni[2029-04-01],
INDIRECT("rec.uni[natureza]"),"pro.soluto",
INDIRECT("rec.uni[empresa]"),X$6)</f>
        <v>0</v>
      </c>
      <c r="Y102" s="45">
        <f ca="1">SUMIFS(rec.uni[2029-04-01],
INDIRECT("rec.uni[natureza]"),"repasse.cef.obra",
INDIRECT("rec.uni[empresa]"),Y$6)</f>
        <v>0</v>
      </c>
      <c r="Z102" s="45">
        <f ca="1">SUMIFS(rec.uni[2029-04-01],
INDIRECT("rec.uni[natureza]"),"repasse.cef.terreno",
INDIRECT("rec.uni[empresa]"),Z$6)</f>
        <v>0</v>
      </c>
      <c r="AA102" s="38"/>
      <c r="AB102" s="45">
        <f ca="1">SUMIFS(rec.uni[2029-04-01],
INDIRECT("rec.uni[natureza]"),"taxa.extra",
INDIRECT("rec.uni[empresa]"),AB$6)</f>
        <v>0</v>
      </c>
      <c r="AC102" s="131"/>
      <c r="AD102" s="44">
        <f>COUNTIFS(
    estq[empresa], AD$6,
    estq[Data da venda / reserva], "&gt;=" &amp; $A102,
    estq[Data da venda / reserva], "&lt;"  &amp; EOMONTH($A102,0) + 1
)</f>
        <v>0</v>
      </c>
      <c r="AE102" s="45">
        <f ca="1">SUMIFS(rec.uni[2029-04-01],
INDIRECT("rec.uni[natureza]"),"pro.soluto",
INDIRECT("rec.uni[empresa]"),AE$6)</f>
        <v>0</v>
      </c>
      <c r="AF102" s="38">
        <f ca="1">SUMIFS(rec.uni[2029-04-01],
INDIRECT("rec.uni[natureza]"),"parcela.fin.total.ik",
INDIRECT("rec.uni[empresa]"),AF$6)</f>
        <v>0</v>
      </c>
      <c r="AG102" s="45">
        <f ca="1">SUMIFS(rec.uni[2029-04-01],
INDIRECT("rec.uni[natureza]"),"taxa.extra",
INDIRECT("rec.uni[empresa]"),AG$6)</f>
        <v>0</v>
      </c>
      <c r="AH102" s="131"/>
      <c r="AI102" s="44">
        <f>COUNTIFS(
    estq[empresa], AI$6,
    estq[Data da venda / reserva], "&gt;=" &amp; $A102,
    estq[Data da venda / reserva], "&lt;"  &amp; EOMONTH($A102,0) + 1
)</f>
        <v>0</v>
      </c>
      <c r="AJ102" s="45">
        <f ca="1">SUMIFS(rec.uni[2029-04-01],
INDIRECT("rec.uni[natureza]"),"pro.soluto",
INDIRECT("rec.uni[empresa]"),AJ$6)</f>
        <v>0</v>
      </c>
      <c r="AK102" s="45">
        <f ca="1">SUMIFS(rec.uni[2029-04-01],
INDIRECT("rec.uni[natureza]"),"repasse.cef.obra",
INDIRECT("rec.uni[empresa]"),AK$6)</f>
        <v>0</v>
      </c>
      <c r="AL102" s="45">
        <f ca="1">SUMIFS(rec.uni[2029-04-01],
INDIRECT("rec.uni[natureza]"),"repasse.cef.terreno",
INDIRECT("rec.uni[empresa]"),AL$6)</f>
        <v>0</v>
      </c>
      <c r="AM102" s="38"/>
      <c r="AN102" s="45">
        <f ca="1">SUMIFS(rec.uni[2029-04-01],
INDIRECT("rec.uni[natureza]"),"taxa.extra",
INDIRECT("rec.uni[empresa]"),AN$6)</f>
        <v>0</v>
      </c>
      <c r="AO102" s="131"/>
      <c r="AP102" s="44">
        <f>COUNTIFS(
    estq[empresa], AP$6,
    estq[Data da venda / reserva], "&gt;=" &amp; $A102,
    estq[Data da venda / reserva], "&lt;"  &amp; EOMONTH($A102,0) + 1
)</f>
        <v>0</v>
      </c>
      <c r="AQ102" s="45">
        <f ca="1">SUMIFS(rec.uni[2029-04-01],
INDIRECT("rec.uni[natureza]"),"pro.soluto",
INDIRECT("rec.uni[empresa]"),AQ$6)</f>
        <v>0</v>
      </c>
      <c r="AR102" s="45">
        <f ca="1">SUMIFS(rec.uni[2029-04-01],
INDIRECT("rec.uni[natureza]"),"repasse.cef.obra",
INDIRECT("rec.uni[empresa]"),AR$6)</f>
        <v>0</v>
      </c>
      <c r="AS102" s="45">
        <f ca="1">SUMIFS(rec.uni[2029-04-01],
INDIRECT("rec.uni[natureza]"),"repasse.cef.terreno",
INDIRECT("rec.uni[empresa]"),AS$6)</f>
        <v>0</v>
      </c>
      <c r="AT102" s="38"/>
      <c r="AU102" s="45">
        <f ca="1">SUMIFS(rec.uni[2029-04-01],
INDIRECT("rec.uni[natureza]"),"taxa.extra",
INDIRECT("rec.uni[empresa]"),AU$6)</f>
        <v>0</v>
      </c>
      <c r="AV102" s="131"/>
    </row>
    <row r="103" spans="1:48" x14ac:dyDescent="0.25">
      <c r="A103" s="43">
        <v>47239</v>
      </c>
      <c r="B103" s="44">
        <f>COUNTIFS(
    estq[empresa], B$6,
    estq[Data da venda / reserva], "&gt;=" &amp; $A103,
    estq[Data da venda / reserva], "&lt;"  &amp; EOMONTH($A103,0) + 1
)</f>
        <v>0</v>
      </c>
      <c r="C103" s="45">
        <f ca="1">SUMIFS(rec.uni[2029-05-01],
INDIRECT("rec.uni[natureza]"),"pro.soluto",
INDIRECT("rec.uni[empresa]"),C$6)</f>
        <v>0</v>
      </c>
      <c r="D103" s="45">
        <f ca="1">SUMIFS(rec.uni[2029-05-01],
INDIRECT("rec.uni[natureza]"),"repasse.cef.obra",
INDIRECT("rec.uni[empresa]"),D$6)</f>
        <v>0</v>
      </c>
      <c r="E103" s="45">
        <f ca="1">SUMIFS(rec.uni[2029-05-01],
INDIRECT("rec.uni[natureza]"),"repasse.cef.terreno",
INDIRECT("rec.uni[empresa]"),E$6)</f>
        <v>0</v>
      </c>
      <c r="F103" s="38"/>
      <c r="G103" s="45">
        <f ca="1">SUMIFS(rec.uni[2029-05-01],
INDIRECT("rec.uni[natureza]"),"taxa.extra",
INDIRECT("rec.uni[empresa]"),G$6)</f>
        <v>0</v>
      </c>
      <c r="H103" s="131"/>
      <c r="I103" s="44">
        <f>COUNTIFS(
    estq[empresa], I$6,
    estq[Data da venda / reserva], "&gt;=" &amp; $A103,
    estq[Data da venda / reserva], "&lt;"  &amp; EOMONTH($A103,0) + 1
)</f>
        <v>0</v>
      </c>
      <c r="J103" s="45">
        <f ca="1">SUMIFS(rec.uni[2029-05-01],
INDIRECT("rec.uni[natureza]"),"pro.soluto",
INDIRECT("rec.uni[empresa]"),J$6)</f>
        <v>0</v>
      </c>
      <c r="K103" s="45">
        <f ca="1">SUMIFS(rec.uni[2029-05-01],
INDIRECT("rec.uni[natureza]"),"repasse.cef.obra",
INDIRECT("rec.uni[empresa]"),K$6)</f>
        <v>0</v>
      </c>
      <c r="L103" s="45">
        <f ca="1">SUMIFS(rec.uni[2029-05-01],
INDIRECT("rec.uni[natureza]"),"repasse.cef.terreno",
INDIRECT("rec.uni[empresa]"),L$6)</f>
        <v>0</v>
      </c>
      <c r="M103" s="38"/>
      <c r="N103" s="45">
        <f ca="1">SUMIFS(rec.uni[2029-05-01],
INDIRECT("rec.uni[natureza]"),"taxa.extra",
INDIRECT("rec.uni[empresa]"),N$6)</f>
        <v>0</v>
      </c>
      <c r="O103" s="131"/>
      <c r="P103" s="44">
        <f>COUNTIFS(
    estq[empresa], P$6,
    estq[Data da venda / reserva], "&gt;=" &amp; $A103,
    estq[Data da venda / reserva], "&lt;"  &amp; EOMONTH($A103,0) + 1
)</f>
        <v>0</v>
      </c>
      <c r="Q103" s="45">
        <f ca="1">SUMIFS(rec.uni[2029-05-01],
INDIRECT("rec.uni[natureza]"),"pro.soluto",
INDIRECT("rec.uni[empresa]"),Q$6)</f>
        <v>0</v>
      </c>
      <c r="R103" s="45">
        <f ca="1">SUMIFS(rec.uni[2029-05-01],
INDIRECT("rec.uni[natureza]"),"repasse.cef.obra",
INDIRECT("rec.uni[empresa]"),R$6)</f>
        <v>0</v>
      </c>
      <c r="S103" s="45">
        <f ca="1">SUMIFS(rec.uni[2029-05-01],
INDIRECT("rec.uni[natureza]"),"repasse.cef.terreno",
INDIRECT("rec.uni[empresa]"),S$6)</f>
        <v>0</v>
      </c>
      <c r="T103" s="38"/>
      <c r="U103" s="45">
        <f ca="1">SUMIFS(rec.uni[2029-05-01],
INDIRECT("rec.uni[natureza]"),"taxa.extra",
INDIRECT("rec.uni[empresa]"),U$6)</f>
        <v>0</v>
      </c>
      <c r="V103" s="131"/>
      <c r="W103" s="44">
        <f>COUNTIFS(
    estq[empresa], W$6,
    estq[Data da venda / reserva], "&gt;=" &amp; $A103,
    estq[Data da venda / reserva], "&lt;"  &amp; EOMONTH($A103,0) + 1
)</f>
        <v>0</v>
      </c>
      <c r="X103" s="45">
        <f ca="1">SUMIFS(rec.uni[2029-05-01],
INDIRECT("rec.uni[natureza]"),"pro.soluto",
INDIRECT("rec.uni[empresa]"),X$6)</f>
        <v>0</v>
      </c>
      <c r="Y103" s="45">
        <f ca="1">SUMIFS(rec.uni[2029-05-01],
INDIRECT("rec.uni[natureza]"),"repasse.cef.obra",
INDIRECT("rec.uni[empresa]"),Y$6)</f>
        <v>0</v>
      </c>
      <c r="Z103" s="45">
        <f ca="1">SUMIFS(rec.uni[2029-05-01],
INDIRECT("rec.uni[natureza]"),"repasse.cef.terreno",
INDIRECT("rec.uni[empresa]"),Z$6)</f>
        <v>0</v>
      </c>
      <c r="AA103" s="38"/>
      <c r="AB103" s="45">
        <f ca="1">SUMIFS(rec.uni[2029-05-01],
INDIRECT("rec.uni[natureza]"),"taxa.extra",
INDIRECT("rec.uni[empresa]"),AB$6)</f>
        <v>0</v>
      </c>
      <c r="AC103" s="131"/>
      <c r="AD103" s="44">
        <f>COUNTIFS(
    estq[empresa], AD$6,
    estq[Data da venda / reserva], "&gt;=" &amp; $A103,
    estq[Data da venda / reserva], "&lt;"  &amp; EOMONTH($A103,0) + 1
)</f>
        <v>0</v>
      </c>
      <c r="AE103" s="45">
        <f ca="1">SUMIFS(rec.uni[2029-05-01],
INDIRECT("rec.uni[natureza]"),"pro.soluto",
INDIRECT("rec.uni[empresa]"),AE$6)</f>
        <v>0</v>
      </c>
      <c r="AF103" s="38">
        <f ca="1">SUMIFS(rec.uni[2029-05-01],
INDIRECT("rec.uni[natureza]"),"parcela.fin.total.ik",
INDIRECT("rec.uni[empresa]"),AF$6)</f>
        <v>0</v>
      </c>
      <c r="AG103" s="45">
        <f ca="1">SUMIFS(rec.uni[2029-05-01],
INDIRECT("rec.uni[natureza]"),"taxa.extra",
INDIRECT("rec.uni[empresa]"),AG$6)</f>
        <v>0</v>
      </c>
      <c r="AH103" s="131"/>
      <c r="AI103" s="44">
        <f>COUNTIFS(
    estq[empresa], AI$6,
    estq[Data da venda / reserva], "&gt;=" &amp; $A103,
    estq[Data da venda / reserva], "&lt;"  &amp; EOMONTH($A103,0) + 1
)</f>
        <v>0</v>
      </c>
      <c r="AJ103" s="45">
        <f ca="1">SUMIFS(rec.uni[2029-05-01],
INDIRECT("rec.uni[natureza]"),"pro.soluto",
INDIRECT("rec.uni[empresa]"),AJ$6)</f>
        <v>0</v>
      </c>
      <c r="AK103" s="45">
        <f ca="1">SUMIFS(rec.uni[2029-05-01],
INDIRECT("rec.uni[natureza]"),"repasse.cef.obra",
INDIRECT("rec.uni[empresa]"),AK$6)</f>
        <v>0</v>
      </c>
      <c r="AL103" s="45">
        <f ca="1">SUMIFS(rec.uni[2029-05-01],
INDIRECT("rec.uni[natureza]"),"repasse.cef.terreno",
INDIRECT("rec.uni[empresa]"),AL$6)</f>
        <v>0</v>
      </c>
      <c r="AM103" s="38"/>
      <c r="AN103" s="45">
        <f ca="1">SUMIFS(rec.uni[2029-05-01],
INDIRECT("rec.uni[natureza]"),"taxa.extra",
INDIRECT("rec.uni[empresa]"),AN$6)</f>
        <v>0</v>
      </c>
      <c r="AO103" s="131"/>
      <c r="AP103" s="44">
        <f>COUNTIFS(
    estq[empresa], AP$6,
    estq[Data da venda / reserva], "&gt;=" &amp; $A103,
    estq[Data da venda / reserva], "&lt;"  &amp; EOMONTH($A103,0) + 1
)</f>
        <v>0</v>
      </c>
      <c r="AQ103" s="45">
        <f ca="1">SUMIFS(rec.uni[2029-05-01],
INDIRECT("rec.uni[natureza]"),"pro.soluto",
INDIRECT("rec.uni[empresa]"),AQ$6)</f>
        <v>0</v>
      </c>
      <c r="AR103" s="45">
        <f ca="1">SUMIFS(rec.uni[2029-05-01],
INDIRECT("rec.uni[natureza]"),"repasse.cef.obra",
INDIRECT("rec.uni[empresa]"),AR$6)</f>
        <v>0</v>
      </c>
      <c r="AS103" s="45">
        <f ca="1">SUMIFS(rec.uni[2029-05-01],
INDIRECT("rec.uni[natureza]"),"repasse.cef.terreno",
INDIRECT("rec.uni[empresa]"),AS$6)</f>
        <v>0</v>
      </c>
      <c r="AT103" s="38"/>
      <c r="AU103" s="45">
        <f ca="1">SUMIFS(rec.uni[2029-05-01],
INDIRECT("rec.uni[natureza]"),"taxa.extra",
INDIRECT("rec.uni[empresa]"),AU$6)</f>
        <v>0</v>
      </c>
      <c r="AV103" s="131"/>
    </row>
    <row r="104" spans="1:48" x14ac:dyDescent="0.25">
      <c r="A104" s="43">
        <v>47270</v>
      </c>
      <c r="B104" s="44">
        <f>COUNTIFS(
    estq[empresa], B$6,
    estq[Data da venda / reserva], "&gt;=" &amp; $A104,
    estq[Data da venda / reserva], "&lt;"  &amp; EOMONTH($A104,0) + 1
)</f>
        <v>0</v>
      </c>
      <c r="C104" s="45">
        <f ca="1">SUMIFS(rec.uni[2029-06-01],
INDIRECT("rec.uni[natureza]"),"pro.soluto",
INDIRECT("rec.uni[empresa]"),C$6)</f>
        <v>0</v>
      </c>
      <c r="D104" s="45">
        <f ca="1">SUMIFS(rec.uni[2029-06-01],
INDIRECT("rec.uni[natureza]"),"repasse.cef.obra",
INDIRECT("rec.uni[empresa]"),D$6)</f>
        <v>0</v>
      </c>
      <c r="E104" s="45">
        <f ca="1">SUMIFS(rec.uni[2029-06-01],
INDIRECT("rec.uni[natureza]"),"repasse.cef.terreno",
INDIRECT("rec.uni[empresa]"),E$6)</f>
        <v>0</v>
      </c>
      <c r="F104" s="38"/>
      <c r="G104" s="45">
        <f ca="1">SUMIFS(rec.uni[2029-06-01],
INDIRECT("rec.uni[natureza]"),"taxa.extra",
INDIRECT("rec.uni[empresa]"),G$6)</f>
        <v>0</v>
      </c>
      <c r="H104" s="131"/>
      <c r="I104" s="44">
        <f>COUNTIFS(
    estq[empresa], I$6,
    estq[Data da venda / reserva], "&gt;=" &amp; $A104,
    estq[Data da venda / reserva], "&lt;"  &amp; EOMONTH($A104,0) + 1
)</f>
        <v>0</v>
      </c>
      <c r="J104" s="45">
        <f ca="1">SUMIFS(rec.uni[2029-06-01],
INDIRECT("rec.uni[natureza]"),"pro.soluto",
INDIRECT("rec.uni[empresa]"),J$6)</f>
        <v>0</v>
      </c>
      <c r="K104" s="45">
        <f ca="1">SUMIFS(rec.uni[2029-06-01],
INDIRECT("rec.uni[natureza]"),"repasse.cef.obra",
INDIRECT("rec.uni[empresa]"),K$6)</f>
        <v>0</v>
      </c>
      <c r="L104" s="45">
        <f ca="1">SUMIFS(rec.uni[2029-06-01],
INDIRECT("rec.uni[natureza]"),"repasse.cef.terreno",
INDIRECT("rec.uni[empresa]"),L$6)</f>
        <v>0</v>
      </c>
      <c r="M104" s="38"/>
      <c r="N104" s="45">
        <f ca="1">SUMIFS(rec.uni[2029-06-01],
INDIRECT("rec.uni[natureza]"),"taxa.extra",
INDIRECT("rec.uni[empresa]"),N$6)</f>
        <v>0</v>
      </c>
      <c r="O104" s="131"/>
      <c r="P104" s="44">
        <f>COUNTIFS(
    estq[empresa], P$6,
    estq[Data da venda / reserva], "&gt;=" &amp; $A104,
    estq[Data da venda / reserva], "&lt;"  &amp; EOMONTH($A104,0) + 1
)</f>
        <v>0</v>
      </c>
      <c r="Q104" s="45">
        <f ca="1">SUMIFS(rec.uni[2029-06-01],
INDIRECT("rec.uni[natureza]"),"pro.soluto",
INDIRECT("rec.uni[empresa]"),Q$6)</f>
        <v>0</v>
      </c>
      <c r="R104" s="45">
        <f ca="1">SUMIFS(rec.uni[2029-06-01],
INDIRECT("rec.uni[natureza]"),"repasse.cef.obra",
INDIRECT("rec.uni[empresa]"),R$6)</f>
        <v>0</v>
      </c>
      <c r="S104" s="45">
        <f ca="1">SUMIFS(rec.uni[2029-06-01],
INDIRECT("rec.uni[natureza]"),"repasse.cef.terreno",
INDIRECT("rec.uni[empresa]"),S$6)</f>
        <v>0</v>
      </c>
      <c r="T104" s="38"/>
      <c r="U104" s="45">
        <f ca="1">SUMIFS(rec.uni[2029-06-01],
INDIRECT("rec.uni[natureza]"),"taxa.extra",
INDIRECT("rec.uni[empresa]"),U$6)</f>
        <v>0</v>
      </c>
      <c r="V104" s="131"/>
      <c r="W104" s="44">
        <f>COUNTIFS(
    estq[empresa], W$6,
    estq[Data da venda / reserva], "&gt;=" &amp; $A104,
    estq[Data da venda / reserva], "&lt;"  &amp; EOMONTH($A104,0) + 1
)</f>
        <v>0</v>
      </c>
      <c r="X104" s="45">
        <f ca="1">SUMIFS(rec.uni[2029-06-01],
INDIRECT("rec.uni[natureza]"),"pro.soluto",
INDIRECT("rec.uni[empresa]"),X$6)</f>
        <v>0</v>
      </c>
      <c r="Y104" s="45">
        <f ca="1">SUMIFS(rec.uni[2029-06-01],
INDIRECT("rec.uni[natureza]"),"repasse.cef.obra",
INDIRECT("rec.uni[empresa]"),Y$6)</f>
        <v>0</v>
      </c>
      <c r="Z104" s="45">
        <f ca="1">SUMIFS(rec.uni[2029-06-01],
INDIRECT("rec.uni[natureza]"),"repasse.cef.terreno",
INDIRECT("rec.uni[empresa]"),Z$6)</f>
        <v>0</v>
      </c>
      <c r="AA104" s="38"/>
      <c r="AB104" s="45">
        <f ca="1">SUMIFS(rec.uni[2029-06-01],
INDIRECT("rec.uni[natureza]"),"taxa.extra",
INDIRECT("rec.uni[empresa]"),AB$6)</f>
        <v>0</v>
      </c>
      <c r="AC104" s="131"/>
      <c r="AD104" s="44">
        <f>COUNTIFS(
    estq[empresa], AD$6,
    estq[Data da venda / reserva], "&gt;=" &amp; $A104,
    estq[Data da venda / reserva], "&lt;"  &amp; EOMONTH($A104,0) + 1
)</f>
        <v>0</v>
      </c>
      <c r="AE104" s="45">
        <f ca="1">SUMIFS(rec.uni[2029-06-01],
INDIRECT("rec.uni[natureza]"),"pro.soluto",
INDIRECT("rec.uni[empresa]"),AE$6)</f>
        <v>0</v>
      </c>
      <c r="AF104" s="38">
        <f ca="1">SUMIFS(rec.uni[2029-06-01],
INDIRECT("rec.uni[natureza]"),"parcela.fin.total.ik",
INDIRECT("rec.uni[empresa]"),AF$6)</f>
        <v>0</v>
      </c>
      <c r="AG104" s="45">
        <f ca="1">SUMIFS(rec.uni[2029-06-01],
INDIRECT("rec.uni[natureza]"),"taxa.extra",
INDIRECT("rec.uni[empresa]"),AG$6)</f>
        <v>0</v>
      </c>
      <c r="AH104" s="131"/>
      <c r="AI104" s="44">
        <f>COUNTIFS(
    estq[empresa], AI$6,
    estq[Data da venda / reserva], "&gt;=" &amp; $A104,
    estq[Data da venda / reserva], "&lt;"  &amp; EOMONTH($A104,0) + 1
)</f>
        <v>0</v>
      </c>
      <c r="AJ104" s="45">
        <f ca="1">SUMIFS(rec.uni[2029-06-01],
INDIRECT("rec.uni[natureza]"),"pro.soluto",
INDIRECT("rec.uni[empresa]"),AJ$6)</f>
        <v>0</v>
      </c>
      <c r="AK104" s="45">
        <f ca="1">SUMIFS(rec.uni[2029-06-01],
INDIRECT("rec.uni[natureza]"),"repasse.cef.obra",
INDIRECT("rec.uni[empresa]"),AK$6)</f>
        <v>0</v>
      </c>
      <c r="AL104" s="45">
        <f ca="1">SUMIFS(rec.uni[2029-06-01],
INDIRECT("rec.uni[natureza]"),"repasse.cef.terreno",
INDIRECT("rec.uni[empresa]"),AL$6)</f>
        <v>0</v>
      </c>
      <c r="AM104" s="38"/>
      <c r="AN104" s="45">
        <f ca="1">SUMIFS(rec.uni[2029-06-01],
INDIRECT("rec.uni[natureza]"),"taxa.extra",
INDIRECT("rec.uni[empresa]"),AN$6)</f>
        <v>0</v>
      </c>
      <c r="AO104" s="131"/>
      <c r="AP104" s="44">
        <f>COUNTIFS(
    estq[empresa], AP$6,
    estq[Data da venda / reserva], "&gt;=" &amp; $A104,
    estq[Data da venda / reserva], "&lt;"  &amp; EOMONTH($A104,0) + 1
)</f>
        <v>0</v>
      </c>
      <c r="AQ104" s="45">
        <f ca="1">SUMIFS(rec.uni[2029-06-01],
INDIRECT("rec.uni[natureza]"),"pro.soluto",
INDIRECT("rec.uni[empresa]"),AQ$6)</f>
        <v>0</v>
      </c>
      <c r="AR104" s="45">
        <f ca="1">SUMIFS(rec.uni[2029-06-01],
INDIRECT("rec.uni[natureza]"),"repasse.cef.obra",
INDIRECT("rec.uni[empresa]"),AR$6)</f>
        <v>0</v>
      </c>
      <c r="AS104" s="45">
        <f ca="1">SUMIFS(rec.uni[2029-06-01],
INDIRECT("rec.uni[natureza]"),"repasse.cef.terreno",
INDIRECT("rec.uni[empresa]"),AS$6)</f>
        <v>0</v>
      </c>
      <c r="AT104" s="38"/>
      <c r="AU104" s="45">
        <f ca="1">SUMIFS(rec.uni[2029-06-01],
INDIRECT("rec.uni[natureza]"),"taxa.extra",
INDIRECT("rec.uni[empresa]"),AU$6)</f>
        <v>0</v>
      </c>
      <c r="AV104" s="131"/>
    </row>
    <row r="105" spans="1:48" x14ac:dyDescent="0.25">
      <c r="A105" s="43">
        <v>47300</v>
      </c>
      <c r="B105" s="44">
        <f>COUNTIFS(
    estq[empresa], B$6,
    estq[Data da venda / reserva], "&gt;=" &amp; $A105,
    estq[Data da venda / reserva], "&lt;"  &amp; EOMONTH($A105,0) + 1
)</f>
        <v>0</v>
      </c>
      <c r="C105" s="45">
        <f ca="1">SUMIFS(rec.uni[2029-07-01],
INDIRECT("rec.uni[natureza]"),"pro.soluto",
INDIRECT("rec.uni[empresa]"),C$6)</f>
        <v>0</v>
      </c>
      <c r="D105" s="45">
        <f ca="1">SUMIFS(rec.uni[2029-07-01],
INDIRECT("rec.uni[natureza]"),"repasse.cef.obra",
INDIRECT("rec.uni[empresa]"),D$6)</f>
        <v>0</v>
      </c>
      <c r="E105" s="45">
        <f ca="1">SUMIFS(rec.uni[2029-07-01],
INDIRECT("rec.uni[natureza]"),"repasse.cef.terreno",
INDIRECT("rec.uni[empresa]"),E$6)</f>
        <v>0</v>
      </c>
      <c r="F105" s="38"/>
      <c r="G105" s="45">
        <f ca="1">SUMIFS(rec.uni[2029-07-01],
INDIRECT("rec.uni[natureza]"),"taxa.extra",
INDIRECT("rec.uni[empresa]"),G$6)</f>
        <v>0</v>
      </c>
      <c r="H105" s="131"/>
      <c r="I105" s="44">
        <f>COUNTIFS(
    estq[empresa], I$6,
    estq[Data da venda / reserva], "&gt;=" &amp; $A105,
    estq[Data da venda / reserva], "&lt;"  &amp; EOMONTH($A105,0) + 1
)</f>
        <v>0</v>
      </c>
      <c r="J105" s="45">
        <f ca="1">SUMIFS(rec.uni[2029-07-01],
INDIRECT("rec.uni[natureza]"),"pro.soluto",
INDIRECT("rec.uni[empresa]"),J$6)</f>
        <v>0</v>
      </c>
      <c r="K105" s="45">
        <f ca="1">SUMIFS(rec.uni[2029-07-01],
INDIRECT("rec.uni[natureza]"),"repasse.cef.obra",
INDIRECT("rec.uni[empresa]"),K$6)</f>
        <v>0</v>
      </c>
      <c r="L105" s="45">
        <f ca="1">SUMIFS(rec.uni[2029-07-01],
INDIRECT("rec.uni[natureza]"),"repasse.cef.terreno",
INDIRECT("rec.uni[empresa]"),L$6)</f>
        <v>0</v>
      </c>
      <c r="M105" s="38"/>
      <c r="N105" s="45">
        <f ca="1">SUMIFS(rec.uni[2029-07-01],
INDIRECT("rec.uni[natureza]"),"taxa.extra",
INDIRECT("rec.uni[empresa]"),N$6)</f>
        <v>0</v>
      </c>
      <c r="O105" s="131"/>
      <c r="P105" s="44">
        <f>COUNTIFS(
    estq[empresa], P$6,
    estq[Data da venda / reserva], "&gt;=" &amp; $A105,
    estq[Data da venda / reserva], "&lt;"  &amp; EOMONTH($A105,0) + 1
)</f>
        <v>0</v>
      </c>
      <c r="Q105" s="45">
        <f ca="1">SUMIFS(rec.uni[2029-07-01],
INDIRECT("rec.uni[natureza]"),"pro.soluto",
INDIRECT("rec.uni[empresa]"),Q$6)</f>
        <v>0</v>
      </c>
      <c r="R105" s="45">
        <f ca="1">SUMIFS(rec.uni[2029-07-01],
INDIRECT("rec.uni[natureza]"),"repasse.cef.obra",
INDIRECT("rec.uni[empresa]"),R$6)</f>
        <v>0</v>
      </c>
      <c r="S105" s="45">
        <f ca="1">SUMIFS(rec.uni[2029-07-01],
INDIRECT("rec.uni[natureza]"),"repasse.cef.terreno",
INDIRECT("rec.uni[empresa]"),S$6)</f>
        <v>0</v>
      </c>
      <c r="T105" s="38"/>
      <c r="U105" s="45">
        <f ca="1">SUMIFS(rec.uni[2029-07-01],
INDIRECT("rec.uni[natureza]"),"taxa.extra",
INDIRECT("rec.uni[empresa]"),U$6)</f>
        <v>0</v>
      </c>
      <c r="V105" s="131"/>
      <c r="W105" s="44">
        <f>COUNTIFS(
    estq[empresa], W$6,
    estq[Data da venda / reserva], "&gt;=" &amp; $A105,
    estq[Data da venda / reserva], "&lt;"  &amp; EOMONTH($A105,0) + 1
)</f>
        <v>0</v>
      </c>
      <c r="X105" s="45">
        <f ca="1">SUMIFS(rec.uni[2029-07-01],
INDIRECT("rec.uni[natureza]"),"pro.soluto",
INDIRECT("rec.uni[empresa]"),X$6)</f>
        <v>0</v>
      </c>
      <c r="Y105" s="45">
        <f ca="1">SUMIFS(rec.uni[2029-07-01],
INDIRECT("rec.uni[natureza]"),"repasse.cef.obra",
INDIRECT("rec.uni[empresa]"),Y$6)</f>
        <v>0</v>
      </c>
      <c r="Z105" s="45">
        <f ca="1">SUMIFS(rec.uni[2029-07-01],
INDIRECT("rec.uni[natureza]"),"repasse.cef.terreno",
INDIRECT("rec.uni[empresa]"),Z$6)</f>
        <v>0</v>
      </c>
      <c r="AA105" s="38"/>
      <c r="AB105" s="45">
        <f ca="1">SUMIFS(rec.uni[2029-07-01],
INDIRECT("rec.uni[natureza]"),"taxa.extra",
INDIRECT("rec.uni[empresa]"),AB$6)</f>
        <v>0</v>
      </c>
      <c r="AC105" s="131"/>
      <c r="AD105" s="44">
        <f>COUNTIFS(
    estq[empresa], AD$6,
    estq[Data da venda / reserva], "&gt;=" &amp; $A105,
    estq[Data da venda / reserva], "&lt;"  &amp; EOMONTH($A105,0) + 1
)</f>
        <v>0</v>
      </c>
      <c r="AE105" s="45">
        <f ca="1">SUMIFS(rec.uni[2029-07-01],
INDIRECT("rec.uni[natureza]"),"pro.soluto",
INDIRECT("rec.uni[empresa]"),AE$6)</f>
        <v>0</v>
      </c>
      <c r="AF105" s="38">
        <f ca="1">SUMIFS(rec.uni[2029-07-01],
INDIRECT("rec.uni[natureza]"),"parcela.fin.total.ik",
INDIRECT("rec.uni[empresa]"),AF$6)</f>
        <v>0</v>
      </c>
      <c r="AG105" s="45">
        <f ca="1">SUMIFS(rec.uni[2029-07-01],
INDIRECT("rec.uni[natureza]"),"taxa.extra",
INDIRECT("rec.uni[empresa]"),AG$6)</f>
        <v>0</v>
      </c>
      <c r="AH105" s="131"/>
      <c r="AI105" s="44">
        <f>COUNTIFS(
    estq[empresa], AI$6,
    estq[Data da venda / reserva], "&gt;=" &amp; $A105,
    estq[Data da venda / reserva], "&lt;"  &amp; EOMONTH($A105,0) + 1
)</f>
        <v>0</v>
      </c>
      <c r="AJ105" s="45">
        <f ca="1">SUMIFS(rec.uni[2029-07-01],
INDIRECT("rec.uni[natureza]"),"pro.soluto",
INDIRECT("rec.uni[empresa]"),AJ$6)</f>
        <v>0</v>
      </c>
      <c r="AK105" s="45">
        <f ca="1">SUMIFS(rec.uni[2029-07-01],
INDIRECT("rec.uni[natureza]"),"repasse.cef.obra",
INDIRECT("rec.uni[empresa]"),AK$6)</f>
        <v>0</v>
      </c>
      <c r="AL105" s="45">
        <f ca="1">SUMIFS(rec.uni[2029-07-01],
INDIRECT("rec.uni[natureza]"),"repasse.cef.terreno",
INDIRECT("rec.uni[empresa]"),AL$6)</f>
        <v>0</v>
      </c>
      <c r="AM105" s="38"/>
      <c r="AN105" s="45">
        <f ca="1">SUMIFS(rec.uni[2029-07-01],
INDIRECT("rec.uni[natureza]"),"taxa.extra",
INDIRECT("rec.uni[empresa]"),AN$6)</f>
        <v>0</v>
      </c>
      <c r="AO105" s="131"/>
      <c r="AP105" s="44">
        <f>COUNTIFS(
    estq[empresa], AP$6,
    estq[Data da venda / reserva], "&gt;=" &amp; $A105,
    estq[Data da venda / reserva], "&lt;"  &amp; EOMONTH($A105,0) + 1
)</f>
        <v>0</v>
      </c>
      <c r="AQ105" s="45">
        <f ca="1">SUMIFS(rec.uni[2029-07-01],
INDIRECT("rec.uni[natureza]"),"pro.soluto",
INDIRECT("rec.uni[empresa]"),AQ$6)</f>
        <v>0</v>
      </c>
      <c r="AR105" s="45">
        <f ca="1">SUMIFS(rec.uni[2029-07-01],
INDIRECT("rec.uni[natureza]"),"repasse.cef.obra",
INDIRECT("rec.uni[empresa]"),AR$6)</f>
        <v>0</v>
      </c>
      <c r="AS105" s="45">
        <f ca="1">SUMIFS(rec.uni[2029-07-01],
INDIRECT("rec.uni[natureza]"),"repasse.cef.terreno",
INDIRECT("rec.uni[empresa]"),AS$6)</f>
        <v>0</v>
      </c>
      <c r="AT105" s="38"/>
      <c r="AU105" s="45">
        <f ca="1">SUMIFS(rec.uni[2029-07-01],
INDIRECT("rec.uni[natureza]"),"taxa.extra",
INDIRECT("rec.uni[empresa]"),AU$6)</f>
        <v>0</v>
      </c>
      <c r="AV105" s="131"/>
    </row>
    <row r="106" spans="1:48" x14ac:dyDescent="0.25">
      <c r="A106" s="43">
        <v>47331</v>
      </c>
      <c r="B106" s="44">
        <f>COUNTIFS(
    estq[empresa], B$6,
    estq[Data da venda / reserva], "&gt;=" &amp; $A106,
    estq[Data da venda / reserva], "&lt;"  &amp; EOMONTH($A106,0) + 1
)</f>
        <v>0</v>
      </c>
      <c r="C106" s="45">
        <f ca="1">SUMIFS(rec.uni[2029-08-01],
INDIRECT("rec.uni[natureza]"),"pro.soluto",
INDIRECT("rec.uni[empresa]"),C$6)</f>
        <v>0</v>
      </c>
      <c r="D106" s="45">
        <f ca="1">SUMIFS(rec.uni[2029-08-01],
INDIRECT("rec.uni[natureza]"),"repasse.cef.obra",
INDIRECT("rec.uni[empresa]"),D$6)</f>
        <v>0</v>
      </c>
      <c r="E106" s="45">
        <f ca="1">SUMIFS(rec.uni[2029-08-01],
INDIRECT("rec.uni[natureza]"),"repasse.cef.terreno",
INDIRECT("rec.uni[empresa]"),E$6)</f>
        <v>0</v>
      </c>
      <c r="F106" s="38"/>
      <c r="G106" s="45">
        <f ca="1">SUMIFS(rec.uni[2029-08-01],
INDIRECT("rec.uni[natureza]"),"taxa.extra",
INDIRECT("rec.uni[empresa]"),G$6)</f>
        <v>0</v>
      </c>
      <c r="H106" s="131"/>
      <c r="I106" s="44">
        <f>COUNTIFS(
    estq[empresa], I$6,
    estq[Data da venda / reserva], "&gt;=" &amp; $A106,
    estq[Data da venda / reserva], "&lt;"  &amp; EOMONTH($A106,0) + 1
)</f>
        <v>0</v>
      </c>
      <c r="J106" s="45">
        <f ca="1">SUMIFS(rec.uni[2029-08-01],
INDIRECT("rec.uni[natureza]"),"pro.soluto",
INDIRECT("rec.uni[empresa]"),J$6)</f>
        <v>0</v>
      </c>
      <c r="K106" s="45">
        <f ca="1">SUMIFS(rec.uni[2029-08-01],
INDIRECT("rec.uni[natureza]"),"repasse.cef.obra",
INDIRECT("rec.uni[empresa]"),K$6)</f>
        <v>0</v>
      </c>
      <c r="L106" s="45">
        <f ca="1">SUMIFS(rec.uni[2029-08-01],
INDIRECT("rec.uni[natureza]"),"repasse.cef.terreno",
INDIRECT("rec.uni[empresa]"),L$6)</f>
        <v>0</v>
      </c>
      <c r="M106" s="38"/>
      <c r="N106" s="45">
        <f ca="1">SUMIFS(rec.uni[2029-08-01],
INDIRECT("rec.uni[natureza]"),"taxa.extra",
INDIRECT("rec.uni[empresa]"),N$6)</f>
        <v>0</v>
      </c>
      <c r="O106" s="131"/>
      <c r="P106" s="44">
        <f>COUNTIFS(
    estq[empresa], P$6,
    estq[Data da venda / reserva], "&gt;=" &amp; $A106,
    estq[Data da venda / reserva], "&lt;"  &amp; EOMONTH($A106,0) + 1
)</f>
        <v>0</v>
      </c>
      <c r="Q106" s="45">
        <f ca="1">SUMIFS(rec.uni[2029-08-01],
INDIRECT("rec.uni[natureza]"),"pro.soluto",
INDIRECT("rec.uni[empresa]"),Q$6)</f>
        <v>0</v>
      </c>
      <c r="R106" s="45">
        <f ca="1">SUMIFS(rec.uni[2029-08-01],
INDIRECT("rec.uni[natureza]"),"repasse.cef.obra",
INDIRECT("rec.uni[empresa]"),R$6)</f>
        <v>0</v>
      </c>
      <c r="S106" s="45">
        <f ca="1">SUMIFS(rec.uni[2029-08-01],
INDIRECT("rec.uni[natureza]"),"repasse.cef.terreno",
INDIRECT("rec.uni[empresa]"),S$6)</f>
        <v>0</v>
      </c>
      <c r="T106" s="38"/>
      <c r="U106" s="45">
        <f ca="1">SUMIFS(rec.uni[2029-08-01],
INDIRECT("rec.uni[natureza]"),"taxa.extra",
INDIRECT("rec.uni[empresa]"),U$6)</f>
        <v>0</v>
      </c>
      <c r="V106" s="131"/>
      <c r="W106" s="44">
        <f>COUNTIFS(
    estq[empresa], W$6,
    estq[Data da venda / reserva], "&gt;=" &amp; $A106,
    estq[Data da venda / reserva], "&lt;"  &amp; EOMONTH($A106,0) + 1
)</f>
        <v>0</v>
      </c>
      <c r="X106" s="45">
        <f ca="1">SUMIFS(rec.uni[2029-08-01],
INDIRECT("rec.uni[natureza]"),"pro.soluto",
INDIRECT("rec.uni[empresa]"),X$6)</f>
        <v>0</v>
      </c>
      <c r="Y106" s="45">
        <f ca="1">SUMIFS(rec.uni[2029-08-01],
INDIRECT("rec.uni[natureza]"),"repasse.cef.obra",
INDIRECT("rec.uni[empresa]"),Y$6)</f>
        <v>0</v>
      </c>
      <c r="Z106" s="45">
        <f ca="1">SUMIFS(rec.uni[2029-08-01],
INDIRECT("rec.uni[natureza]"),"repasse.cef.terreno",
INDIRECT("rec.uni[empresa]"),Z$6)</f>
        <v>0</v>
      </c>
      <c r="AA106" s="38"/>
      <c r="AB106" s="45">
        <f ca="1">SUMIFS(rec.uni[2029-08-01],
INDIRECT("rec.uni[natureza]"),"taxa.extra",
INDIRECT("rec.uni[empresa]"),AB$6)</f>
        <v>0</v>
      </c>
      <c r="AC106" s="131"/>
      <c r="AD106" s="44">
        <f>COUNTIFS(
    estq[empresa], AD$6,
    estq[Data da venda / reserva], "&gt;=" &amp; $A106,
    estq[Data da venda / reserva], "&lt;"  &amp; EOMONTH($A106,0) + 1
)</f>
        <v>0</v>
      </c>
      <c r="AE106" s="45">
        <f ca="1">SUMIFS(rec.uni[2029-08-01],
INDIRECT("rec.uni[natureza]"),"pro.soluto",
INDIRECT("rec.uni[empresa]"),AE$6)</f>
        <v>0</v>
      </c>
      <c r="AF106" s="38">
        <f ca="1">SUMIFS(rec.uni[2029-08-01],
INDIRECT("rec.uni[natureza]"),"parcela.fin.total.ik",
INDIRECT("rec.uni[empresa]"),AF$6)</f>
        <v>0</v>
      </c>
      <c r="AG106" s="45">
        <f ca="1">SUMIFS(rec.uni[2029-08-01],
INDIRECT("rec.uni[natureza]"),"taxa.extra",
INDIRECT("rec.uni[empresa]"),AG$6)</f>
        <v>0</v>
      </c>
      <c r="AH106" s="131"/>
      <c r="AI106" s="44">
        <f>COUNTIFS(
    estq[empresa], AI$6,
    estq[Data da venda / reserva], "&gt;=" &amp; $A106,
    estq[Data da venda / reserva], "&lt;"  &amp; EOMONTH($A106,0) + 1
)</f>
        <v>0</v>
      </c>
      <c r="AJ106" s="45">
        <f ca="1">SUMIFS(rec.uni[2029-08-01],
INDIRECT("rec.uni[natureza]"),"pro.soluto",
INDIRECT("rec.uni[empresa]"),AJ$6)</f>
        <v>0</v>
      </c>
      <c r="AK106" s="45">
        <f ca="1">SUMIFS(rec.uni[2029-08-01],
INDIRECT("rec.uni[natureza]"),"repasse.cef.obra",
INDIRECT("rec.uni[empresa]"),AK$6)</f>
        <v>0</v>
      </c>
      <c r="AL106" s="45">
        <f ca="1">SUMIFS(rec.uni[2029-08-01],
INDIRECT("rec.uni[natureza]"),"repasse.cef.terreno",
INDIRECT("rec.uni[empresa]"),AL$6)</f>
        <v>0</v>
      </c>
      <c r="AM106" s="38"/>
      <c r="AN106" s="45">
        <f ca="1">SUMIFS(rec.uni[2029-08-01],
INDIRECT("rec.uni[natureza]"),"taxa.extra",
INDIRECT("rec.uni[empresa]"),AN$6)</f>
        <v>0</v>
      </c>
      <c r="AO106" s="131"/>
      <c r="AP106" s="44">
        <f>COUNTIFS(
    estq[empresa], AP$6,
    estq[Data da venda / reserva], "&gt;=" &amp; $A106,
    estq[Data da venda / reserva], "&lt;"  &amp; EOMONTH($A106,0) + 1
)</f>
        <v>0</v>
      </c>
      <c r="AQ106" s="45">
        <f ca="1">SUMIFS(rec.uni[2029-08-01],
INDIRECT("rec.uni[natureza]"),"pro.soluto",
INDIRECT("rec.uni[empresa]"),AQ$6)</f>
        <v>0</v>
      </c>
      <c r="AR106" s="45">
        <f ca="1">SUMIFS(rec.uni[2029-08-01],
INDIRECT("rec.uni[natureza]"),"repasse.cef.obra",
INDIRECT("rec.uni[empresa]"),AR$6)</f>
        <v>0</v>
      </c>
      <c r="AS106" s="45">
        <f ca="1">SUMIFS(rec.uni[2029-08-01],
INDIRECT("rec.uni[natureza]"),"repasse.cef.terreno",
INDIRECT("rec.uni[empresa]"),AS$6)</f>
        <v>0</v>
      </c>
      <c r="AT106" s="38"/>
      <c r="AU106" s="45">
        <f ca="1">SUMIFS(rec.uni[2029-08-01],
INDIRECT("rec.uni[natureza]"),"taxa.extra",
INDIRECT("rec.uni[empresa]"),AU$6)</f>
        <v>0</v>
      </c>
      <c r="AV106" s="131"/>
    </row>
    <row r="107" spans="1:48" x14ac:dyDescent="0.25">
      <c r="A107" s="43">
        <v>47362</v>
      </c>
      <c r="B107" s="44">
        <f>COUNTIFS(
    estq[empresa], B$6,
    estq[Data da venda / reserva], "&gt;=" &amp; $A107,
    estq[Data da venda / reserva], "&lt;"  &amp; EOMONTH($A107,0) + 1
)</f>
        <v>0</v>
      </c>
      <c r="C107" s="45">
        <f ca="1">SUMIFS(rec.uni[2029-09-01],
INDIRECT("rec.uni[natureza]"),"pro.soluto",
INDIRECT("rec.uni[empresa]"),C$6)</f>
        <v>0</v>
      </c>
      <c r="D107" s="45">
        <f ca="1">SUMIFS(rec.uni[2029-09-01],
INDIRECT("rec.uni[natureza]"),"repasse.cef.obra",
INDIRECT("rec.uni[empresa]"),D$6)</f>
        <v>0</v>
      </c>
      <c r="E107" s="45">
        <f ca="1">SUMIFS(rec.uni[2029-09-01],
INDIRECT("rec.uni[natureza]"),"repasse.cef.terreno",
INDIRECT("rec.uni[empresa]"),E$6)</f>
        <v>0</v>
      </c>
      <c r="F107" s="38"/>
      <c r="G107" s="45">
        <f ca="1">SUMIFS(rec.uni[2029-09-01],
INDIRECT("rec.uni[natureza]"),"taxa.extra",
INDIRECT("rec.uni[empresa]"),G$6)</f>
        <v>0</v>
      </c>
      <c r="H107" s="131"/>
      <c r="I107" s="44">
        <f>COUNTIFS(
    estq[empresa], I$6,
    estq[Data da venda / reserva], "&gt;=" &amp; $A107,
    estq[Data da venda / reserva], "&lt;"  &amp; EOMONTH($A107,0) + 1
)</f>
        <v>0</v>
      </c>
      <c r="J107" s="45">
        <f ca="1">SUMIFS(rec.uni[2029-09-01],
INDIRECT("rec.uni[natureza]"),"pro.soluto",
INDIRECT("rec.uni[empresa]"),J$6)</f>
        <v>0</v>
      </c>
      <c r="K107" s="45">
        <f ca="1">SUMIFS(rec.uni[2029-09-01],
INDIRECT("rec.uni[natureza]"),"repasse.cef.obra",
INDIRECT("rec.uni[empresa]"),K$6)</f>
        <v>0</v>
      </c>
      <c r="L107" s="45">
        <f ca="1">SUMIFS(rec.uni[2029-09-01],
INDIRECT("rec.uni[natureza]"),"repasse.cef.terreno",
INDIRECT("rec.uni[empresa]"),L$6)</f>
        <v>0</v>
      </c>
      <c r="M107" s="38"/>
      <c r="N107" s="45">
        <f ca="1">SUMIFS(rec.uni[2029-09-01],
INDIRECT("rec.uni[natureza]"),"taxa.extra",
INDIRECT("rec.uni[empresa]"),N$6)</f>
        <v>0</v>
      </c>
      <c r="O107" s="131"/>
      <c r="P107" s="44">
        <f>COUNTIFS(
    estq[empresa], P$6,
    estq[Data da venda / reserva], "&gt;=" &amp; $A107,
    estq[Data da venda / reserva], "&lt;"  &amp; EOMONTH($A107,0) + 1
)</f>
        <v>0</v>
      </c>
      <c r="Q107" s="45">
        <f ca="1">SUMIFS(rec.uni[2029-09-01],
INDIRECT("rec.uni[natureza]"),"pro.soluto",
INDIRECT("rec.uni[empresa]"),Q$6)</f>
        <v>0</v>
      </c>
      <c r="R107" s="45">
        <f ca="1">SUMIFS(rec.uni[2029-09-01],
INDIRECT("rec.uni[natureza]"),"repasse.cef.obra",
INDIRECT("rec.uni[empresa]"),R$6)</f>
        <v>0</v>
      </c>
      <c r="S107" s="45">
        <f ca="1">SUMIFS(rec.uni[2029-09-01],
INDIRECT("rec.uni[natureza]"),"repasse.cef.terreno",
INDIRECT("rec.uni[empresa]"),S$6)</f>
        <v>0</v>
      </c>
      <c r="T107" s="38"/>
      <c r="U107" s="45">
        <f ca="1">SUMIFS(rec.uni[2029-09-01],
INDIRECT("rec.uni[natureza]"),"taxa.extra",
INDIRECT("rec.uni[empresa]"),U$6)</f>
        <v>0</v>
      </c>
      <c r="V107" s="131"/>
      <c r="W107" s="44">
        <f>COUNTIFS(
    estq[empresa], W$6,
    estq[Data da venda / reserva], "&gt;=" &amp; $A107,
    estq[Data da venda / reserva], "&lt;"  &amp; EOMONTH($A107,0) + 1
)</f>
        <v>0</v>
      </c>
      <c r="X107" s="45">
        <f ca="1">SUMIFS(rec.uni[2029-09-01],
INDIRECT("rec.uni[natureza]"),"pro.soluto",
INDIRECT("rec.uni[empresa]"),X$6)</f>
        <v>0</v>
      </c>
      <c r="Y107" s="45">
        <f ca="1">SUMIFS(rec.uni[2029-09-01],
INDIRECT("rec.uni[natureza]"),"repasse.cef.obra",
INDIRECT("rec.uni[empresa]"),Y$6)</f>
        <v>0</v>
      </c>
      <c r="Z107" s="45">
        <f ca="1">SUMIFS(rec.uni[2029-09-01],
INDIRECT("rec.uni[natureza]"),"repasse.cef.terreno",
INDIRECT("rec.uni[empresa]"),Z$6)</f>
        <v>0</v>
      </c>
      <c r="AA107" s="38"/>
      <c r="AB107" s="45">
        <f ca="1">SUMIFS(rec.uni[2029-09-01],
INDIRECT("rec.uni[natureza]"),"taxa.extra",
INDIRECT("rec.uni[empresa]"),AB$6)</f>
        <v>0</v>
      </c>
      <c r="AC107" s="131"/>
      <c r="AD107" s="44">
        <f>COUNTIFS(
    estq[empresa], AD$6,
    estq[Data da venda / reserva], "&gt;=" &amp; $A107,
    estq[Data da venda / reserva], "&lt;"  &amp; EOMONTH($A107,0) + 1
)</f>
        <v>0</v>
      </c>
      <c r="AE107" s="45">
        <f ca="1">SUMIFS(rec.uni[2029-09-01],
INDIRECT("rec.uni[natureza]"),"pro.soluto",
INDIRECT("rec.uni[empresa]"),AE$6)</f>
        <v>0</v>
      </c>
      <c r="AF107" s="38">
        <f ca="1">SUMIFS(rec.uni[2029-09-01],
INDIRECT("rec.uni[natureza]"),"parcela.fin.total.ik",
INDIRECT("rec.uni[empresa]"),AF$6)</f>
        <v>0</v>
      </c>
      <c r="AG107" s="45">
        <f ca="1">SUMIFS(rec.uni[2029-09-01],
INDIRECT("rec.uni[natureza]"),"taxa.extra",
INDIRECT("rec.uni[empresa]"),AG$6)</f>
        <v>0</v>
      </c>
      <c r="AH107" s="131"/>
      <c r="AI107" s="44">
        <f>COUNTIFS(
    estq[empresa], AI$6,
    estq[Data da venda / reserva], "&gt;=" &amp; $A107,
    estq[Data da venda / reserva], "&lt;"  &amp; EOMONTH($A107,0) + 1
)</f>
        <v>0</v>
      </c>
      <c r="AJ107" s="45">
        <f ca="1">SUMIFS(rec.uni[2029-09-01],
INDIRECT("rec.uni[natureza]"),"pro.soluto",
INDIRECT("rec.uni[empresa]"),AJ$6)</f>
        <v>0</v>
      </c>
      <c r="AK107" s="45">
        <f ca="1">SUMIFS(rec.uni[2029-09-01],
INDIRECT("rec.uni[natureza]"),"repasse.cef.obra",
INDIRECT("rec.uni[empresa]"),AK$6)</f>
        <v>0</v>
      </c>
      <c r="AL107" s="45">
        <f ca="1">SUMIFS(rec.uni[2029-09-01],
INDIRECT("rec.uni[natureza]"),"repasse.cef.terreno",
INDIRECT("rec.uni[empresa]"),AL$6)</f>
        <v>0</v>
      </c>
      <c r="AM107" s="38"/>
      <c r="AN107" s="45">
        <f ca="1">SUMIFS(rec.uni[2029-09-01],
INDIRECT("rec.uni[natureza]"),"taxa.extra",
INDIRECT("rec.uni[empresa]"),AN$6)</f>
        <v>0</v>
      </c>
      <c r="AO107" s="131"/>
      <c r="AP107" s="44">
        <f>COUNTIFS(
    estq[empresa], AP$6,
    estq[Data da venda / reserva], "&gt;=" &amp; $A107,
    estq[Data da venda / reserva], "&lt;"  &amp; EOMONTH($A107,0) + 1
)</f>
        <v>0</v>
      </c>
      <c r="AQ107" s="45">
        <f ca="1">SUMIFS(rec.uni[2029-09-01],
INDIRECT("rec.uni[natureza]"),"pro.soluto",
INDIRECT("rec.uni[empresa]"),AQ$6)</f>
        <v>0</v>
      </c>
      <c r="AR107" s="45">
        <f ca="1">SUMIFS(rec.uni[2029-09-01],
INDIRECT("rec.uni[natureza]"),"repasse.cef.obra",
INDIRECT("rec.uni[empresa]"),AR$6)</f>
        <v>0</v>
      </c>
      <c r="AS107" s="45">
        <f ca="1">SUMIFS(rec.uni[2029-09-01],
INDIRECT("rec.uni[natureza]"),"repasse.cef.terreno",
INDIRECT("rec.uni[empresa]"),AS$6)</f>
        <v>0</v>
      </c>
      <c r="AT107" s="38"/>
      <c r="AU107" s="45">
        <f ca="1">SUMIFS(rec.uni[2029-09-01],
INDIRECT("rec.uni[natureza]"),"taxa.extra",
INDIRECT("rec.uni[empresa]"),AU$6)</f>
        <v>0</v>
      </c>
      <c r="AV107" s="131"/>
    </row>
    <row r="108" spans="1:48" x14ac:dyDescent="0.25">
      <c r="A108" s="43">
        <v>47392</v>
      </c>
      <c r="B108" s="44">
        <f>COUNTIFS(
    estq[empresa], B$6,
    estq[Data da venda / reserva], "&gt;=" &amp; $A108,
    estq[Data da venda / reserva], "&lt;"  &amp; EOMONTH($A108,0) + 1
)</f>
        <v>0</v>
      </c>
      <c r="C108" s="45">
        <f ca="1">SUMIFS(rec.uni[2029-10-01],
INDIRECT("rec.uni[natureza]"),"pro.soluto",
INDIRECT("rec.uni[empresa]"),C$6)</f>
        <v>0</v>
      </c>
      <c r="D108" s="45">
        <f ca="1">SUMIFS(rec.uni[2029-10-01],
INDIRECT("rec.uni[natureza]"),"repasse.cef.obra",
INDIRECT("rec.uni[empresa]"),D$6)</f>
        <v>0</v>
      </c>
      <c r="E108" s="45">
        <f ca="1">SUMIFS(rec.uni[2029-10-01],
INDIRECT("rec.uni[natureza]"),"repasse.cef.terreno",
INDIRECT("rec.uni[empresa]"),E$6)</f>
        <v>0</v>
      </c>
      <c r="F108" s="38"/>
      <c r="G108" s="45">
        <f ca="1">SUMIFS(rec.uni[2029-10-01],
INDIRECT("rec.uni[natureza]"),"taxa.extra",
INDIRECT("rec.uni[empresa]"),G$6)</f>
        <v>0</v>
      </c>
      <c r="H108" s="131"/>
      <c r="I108" s="44">
        <f>COUNTIFS(
    estq[empresa], I$6,
    estq[Data da venda / reserva], "&gt;=" &amp; $A108,
    estq[Data da venda / reserva], "&lt;"  &amp; EOMONTH($A108,0) + 1
)</f>
        <v>0</v>
      </c>
      <c r="J108" s="45">
        <f ca="1">SUMIFS(rec.uni[2029-10-01],
INDIRECT("rec.uni[natureza]"),"pro.soluto",
INDIRECT("rec.uni[empresa]"),J$6)</f>
        <v>0</v>
      </c>
      <c r="K108" s="45">
        <f ca="1">SUMIFS(rec.uni[2029-10-01],
INDIRECT("rec.uni[natureza]"),"repasse.cef.obra",
INDIRECT("rec.uni[empresa]"),K$6)</f>
        <v>0</v>
      </c>
      <c r="L108" s="45">
        <f ca="1">SUMIFS(rec.uni[2029-10-01],
INDIRECT("rec.uni[natureza]"),"repasse.cef.terreno",
INDIRECT("rec.uni[empresa]"),L$6)</f>
        <v>0</v>
      </c>
      <c r="M108" s="38"/>
      <c r="N108" s="45">
        <f ca="1">SUMIFS(rec.uni[2029-10-01],
INDIRECT("rec.uni[natureza]"),"taxa.extra",
INDIRECT("rec.uni[empresa]"),N$6)</f>
        <v>0</v>
      </c>
      <c r="O108" s="131"/>
      <c r="P108" s="44">
        <f>COUNTIFS(
    estq[empresa], P$6,
    estq[Data da venda / reserva], "&gt;=" &amp; $A108,
    estq[Data da venda / reserva], "&lt;"  &amp; EOMONTH($A108,0) + 1
)</f>
        <v>0</v>
      </c>
      <c r="Q108" s="45">
        <f ca="1">SUMIFS(rec.uni[2029-10-01],
INDIRECT("rec.uni[natureza]"),"pro.soluto",
INDIRECT("rec.uni[empresa]"),Q$6)</f>
        <v>0</v>
      </c>
      <c r="R108" s="45">
        <f ca="1">SUMIFS(rec.uni[2029-10-01],
INDIRECT("rec.uni[natureza]"),"repasse.cef.obra",
INDIRECT("rec.uni[empresa]"),R$6)</f>
        <v>0</v>
      </c>
      <c r="S108" s="45">
        <f ca="1">SUMIFS(rec.uni[2029-10-01],
INDIRECT("rec.uni[natureza]"),"repasse.cef.terreno",
INDIRECT("rec.uni[empresa]"),S$6)</f>
        <v>0</v>
      </c>
      <c r="T108" s="38"/>
      <c r="U108" s="45">
        <f ca="1">SUMIFS(rec.uni[2029-10-01],
INDIRECT("rec.uni[natureza]"),"taxa.extra",
INDIRECT("rec.uni[empresa]"),U$6)</f>
        <v>0</v>
      </c>
      <c r="V108" s="131"/>
      <c r="W108" s="44">
        <f>COUNTIFS(
    estq[empresa], W$6,
    estq[Data da venda / reserva], "&gt;=" &amp; $A108,
    estq[Data da venda / reserva], "&lt;"  &amp; EOMONTH($A108,0) + 1
)</f>
        <v>0</v>
      </c>
      <c r="X108" s="45">
        <f ca="1">SUMIFS(rec.uni[2029-10-01],
INDIRECT("rec.uni[natureza]"),"pro.soluto",
INDIRECT("rec.uni[empresa]"),X$6)</f>
        <v>0</v>
      </c>
      <c r="Y108" s="45">
        <f ca="1">SUMIFS(rec.uni[2029-10-01],
INDIRECT("rec.uni[natureza]"),"repasse.cef.obra",
INDIRECT("rec.uni[empresa]"),Y$6)</f>
        <v>0</v>
      </c>
      <c r="Z108" s="45">
        <f ca="1">SUMIFS(rec.uni[2029-10-01],
INDIRECT("rec.uni[natureza]"),"repasse.cef.terreno",
INDIRECT("rec.uni[empresa]"),Z$6)</f>
        <v>0</v>
      </c>
      <c r="AA108" s="38"/>
      <c r="AB108" s="45">
        <f ca="1">SUMIFS(rec.uni[2029-10-01],
INDIRECT("rec.uni[natureza]"),"taxa.extra",
INDIRECT("rec.uni[empresa]"),AB$6)</f>
        <v>0</v>
      </c>
      <c r="AC108" s="131"/>
      <c r="AD108" s="44">
        <f>COUNTIFS(
    estq[empresa], AD$6,
    estq[Data da venda / reserva], "&gt;=" &amp; $A108,
    estq[Data da venda / reserva], "&lt;"  &amp; EOMONTH($A108,0) + 1
)</f>
        <v>0</v>
      </c>
      <c r="AE108" s="45">
        <f ca="1">SUMIFS(rec.uni[2029-10-01],
INDIRECT("rec.uni[natureza]"),"pro.soluto",
INDIRECT("rec.uni[empresa]"),AE$6)</f>
        <v>0</v>
      </c>
      <c r="AF108" s="38">
        <f ca="1">SUMIFS(rec.uni[2029-10-01],
INDIRECT("rec.uni[natureza]"),"parcela.fin.total.ik",
INDIRECT("rec.uni[empresa]"),AF$6)</f>
        <v>0</v>
      </c>
      <c r="AG108" s="45">
        <f ca="1">SUMIFS(rec.uni[2029-10-01],
INDIRECT("rec.uni[natureza]"),"taxa.extra",
INDIRECT("rec.uni[empresa]"),AG$6)</f>
        <v>0</v>
      </c>
      <c r="AH108" s="131"/>
      <c r="AI108" s="44">
        <f>COUNTIFS(
    estq[empresa], AI$6,
    estq[Data da venda / reserva], "&gt;=" &amp; $A108,
    estq[Data da venda / reserva], "&lt;"  &amp; EOMONTH($A108,0) + 1
)</f>
        <v>0</v>
      </c>
      <c r="AJ108" s="45">
        <f ca="1">SUMIFS(rec.uni[2029-10-01],
INDIRECT("rec.uni[natureza]"),"pro.soluto",
INDIRECT("rec.uni[empresa]"),AJ$6)</f>
        <v>0</v>
      </c>
      <c r="AK108" s="45">
        <f ca="1">SUMIFS(rec.uni[2029-10-01],
INDIRECT("rec.uni[natureza]"),"repasse.cef.obra",
INDIRECT("rec.uni[empresa]"),AK$6)</f>
        <v>0</v>
      </c>
      <c r="AL108" s="45">
        <f ca="1">SUMIFS(rec.uni[2029-10-01],
INDIRECT("rec.uni[natureza]"),"repasse.cef.terreno",
INDIRECT("rec.uni[empresa]"),AL$6)</f>
        <v>0</v>
      </c>
      <c r="AM108" s="38"/>
      <c r="AN108" s="45">
        <f ca="1">SUMIFS(rec.uni[2029-10-01],
INDIRECT("rec.uni[natureza]"),"taxa.extra",
INDIRECT("rec.uni[empresa]"),AN$6)</f>
        <v>0</v>
      </c>
      <c r="AO108" s="131"/>
      <c r="AP108" s="44">
        <f>COUNTIFS(
    estq[empresa], AP$6,
    estq[Data da venda / reserva], "&gt;=" &amp; $A108,
    estq[Data da venda / reserva], "&lt;"  &amp; EOMONTH($A108,0) + 1
)</f>
        <v>0</v>
      </c>
      <c r="AQ108" s="45">
        <f ca="1">SUMIFS(rec.uni[2029-10-01],
INDIRECT("rec.uni[natureza]"),"pro.soluto",
INDIRECT("rec.uni[empresa]"),AQ$6)</f>
        <v>0</v>
      </c>
      <c r="AR108" s="45">
        <f ca="1">SUMIFS(rec.uni[2029-10-01],
INDIRECT("rec.uni[natureza]"),"repasse.cef.obra",
INDIRECT("rec.uni[empresa]"),AR$6)</f>
        <v>0</v>
      </c>
      <c r="AS108" s="45">
        <f ca="1">SUMIFS(rec.uni[2029-10-01],
INDIRECT("rec.uni[natureza]"),"repasse.cef.terreno",
INDIRECT("rec.uni[empresa]"),AS$6)</f>
        <v>0</v>
      </c>
      <c r="AT108" s="38"/>
      <c r="AU108" s="45">
        <f ca="1">SUMIFS(rec.uni[2029-10-01],
INDIRECT("rec.uni[natureza]"),"taxa.extra",
INDIRECT("rec.uni[empresa]"),AU$6)</f>
        <v>0</v>
      </c>
      <c r="AV108" s="131"/>
    </row>
    <row r="109" spans="1:48" x14ac:dyDescent="0.25">
      <c r="A109" s="43">
        <v>47423</v>
      </c>
      <c r="B109" s="44">
        <f>COUNTIFS(
    estq[empresa], B$6,
    estq[Data da venda / reserva], "&gt;=" &amp; $A109,
    estq[Data da venda / reserva], "&lt;"  &amp; EOMONTH($A109,0) + 1
)</f>
        <v>0</v>
      </c>
      <c r="C109" s="45">
        <f ca="1">SUMIFS(rec.uni[2029-11-01],
INDIRECT("rec.uni[natureza]"),"pro.soluto",
INDIRECT("rec.uni[empresa]"),C$6)</f>
        <v>0</v>
      </c>
      <c r="D109" s="45">
        <f ca="1">SUMIFS(rec.uni[2029-11-01],
INDIRECT("rec.uni[natureza]"),"repasse.cef.obra",
INDIRECT("rec.uni[empresa]"),D$6)</f>
        <v>0</v>
      </c>
      <c r="E109" s="45">
        <f ca="1">SUMIFS(rec.uni[2029-11-01],
INDIRECT("rec.uni[natureza]"),"repasse.cef.terreno",
INDIRECT("rec.uni[empresa]"),E$6)</f>
        <v>0</v>
      </c>
      <c r="F109" s="38"/>
      <c r="G109" s="45">
        <f ca="1">SUMIFS(rec.uni[2029-11-01],
INDIRECT("rec.uni[natureza]"),"taxa.extra",
INDIRECT("rec.uni[empresa]"),G$6)</f>
        <v>0</v>
      </c>
      <c r="H109" s="131"/>
      <c r="I109" s="44">
        <f>COUNTIFS(
    estq[empresa], I$6,
    estq[Data da venda / reserva], "&gt;=" &amp; $A109,
    estq[Data da venda / reserva], "&lt;"  &amp; EOMONTH($A109,0) + 1
)</f>
        <v>0</v>
      </c>
      <c r="J109" s="45">
        <f ca="1">SUMIFS(rec.uni[2029-11-01],
INDIRECT("rec.uni[natureza]"),"pro.soluto",
INDIRECT("rec.uni[empresa]"),J$6)</f>
        <v>0</v>
      </c>
      <c r="K109" s="45">
        <f ca="1">SUMIFS(rec.uni[2029-11-01],
INDIRECT("rec.uni[natureza]"),"repasse.cef.obra",
INDIRECT("rec.uni[empresa]"),K$6)</f>
        <v>0</v>
      </c>
      <c r="L109" s="45">
        <f ca="1">SUMIFS(rec.uni[2029-11-01],
INDIRECT("rec.uni[natureza]"),"repasse.cef.terreno",
INDIRECT("rec.uni[empresa]"),L$6)</f>
        <v>0</v>
      </c>
      <c r="M109" s="38"/>
      <c r="N109" s="45">
        <f ca="1">SUMIFS(rec.uni[2029-11-01],
INDIRECT("rec.uni[natureza]"),"taxa.extra",
INDIRECT("rec.uni[empresa]"),N$6)</f>
        <v>0</v>
      </c>
      <c r="O109" s="131"/>
      <c r="P109" s="44">
        <f>COUNTIFS(
    estq[empresa], P$6,
    estq[Data da venda / reserva], "&gt;=" &amp; $A109,
    estq[Data da venda / reserva], "&lt;"  &amp; EOMONTH($A109,0) + 1
)</f>
        <v>0</v>
      </c>
      <c r="Q109" s="45">
        <f ca="1">SUMIFS(rec.uni[2029-11-01],
INDIRECT("rec.uni[natureza]"),"pro.soluto",
INDIRECT("rec.uni[empresa]"),Q$6)</f>
        <v>0</v>
      </c>
      <c r="R109" s="45">
        <f ca="1">SUMIFS(rec.uni[2029-11-01],
INDIRECT("rec.uni[natureza]"),"repasse.cef.obra",
INDIRECT("rec.uni[empresa]"),R$6)</f>
        <v>0</v>
      </c>
      <c r="S109" s="45">
        <f ca="1">SUMIFS(rec.uni[2029-11-01],
INDIRECT("rec.uni[natureza]"),"repasse.cef.terreno",
INDIRECT("rec.uni[empresa]"),S$6)</f>
        <v>0</v>
      </c>
      <c r="T109" s="38"/>
      <c r="U109" s="45">
        <f ca="1">SUMIFS(rec.uni[2029-11-01],
INDIRECT("rec.uni[natureza]"),"taxa.extra",
INDIRECT("rec.uni[empresa]"),U$6)</f>
        <v>0</v>
      </c>
      <c r="V109" s="131"/>
      <c r="W109" s="44">
        <f>COUNTIFS(
    estq[empresa], W$6,
    estq[Data da venda / reserva], "&gt;=" &amp; $A109,
    estq[Data da venda / reserva], "&lt;"  &amp; EOMONTH($A109,0) + 1
)</f>
        <v>0</v>
      </c>
      <c r="X109" s="45">
        <f ca="1">SUMIFS(rec.uni[2029-11-01],
INDIRECT("rec.uni[natureza]"),"pro.soluto",
INDIRECT("rec.uni[empresa]"),X$6)</f>
        <v>0</v>
      </c>
      <c r="Y109" s="45">
        <f ca="1">SUMIFS(rec.uni[2029-11-01],
INDIRECT("rec.uni[natureza]"),"repasse.cef.obra",
INDIRECT("rec.uni[empresa]"),Y$6)</f>
        <v>0</v>
      </c>
      <c r="Z109" s="45">
        <f ca="1">SUMIFS(rec.uni[2029-11-01],
INDIRECT("rec.uni[natureza]"),"repasse.cef.terreno",
INDIRECT("rec.uni[empresa]"),Z$6)</f>
        <v>0</v>
      </c>
      <c r="AA109" s="38"/>
      <c r="AB109" s="45">
        <f ca="1">SUMIFS(rec.uni[2029-11-01],
INDIRECT("rec.uni[natureza]"),"taxa.extra",
INDIRECT("rec.uni[empresa]"),AB$6)</f>
        <v>0</v>
      </c>
      <c r="AC109" s="131"/>
      <c r="AD109" s="44">
        <f>COUNTIFS(
    estq[empresa], AD$6,
    estq[Data da venda / reserva], "&gt;=" &amp; $A109,
    estq[Data da venda / reserva], "&lt;"  &amp; EOMONTH($A109,0) + 1
)</f>
        <v>0</v>
      </c>
      <c r="AE109" s="45">
        <f ca="1">SUMIFS(rec.uni[2029-11-01],
INDIRECT("rec.uni[natureza]"),"pro.soluto",
INDIRECT("rec.uni[empresa]"),AE$6)</f>
        <v>0</v>
      </c>
      <c r="AF109" s="38">
        <f ca="1">SUMIFS(rec.uni[2029-11-01],
INDIRECT("rec.uni[natureza]"),"parcela.fin.total.ik",
INDIRECT("rec.uni[empresa]"),AF$6)</f>
        <v>0</v>
      </c>
      <c r="AG109" s="45">
        <f ca="1">SUMIFS(rec.uni[2029-11-01],
INDIRECT("rec.uni[natureza]"),"taxa.extra",
INDIRECT("rec.uni[empresa]"),AG$6)</f>
        <v>0</v>
      </c>
      <c r="AH109" s="131"/>
      <c r="AI109" s="44">
        <f>COUNTIFS(
    estq[empresa], AI$6,
    estq[Data da venda / reserva], "&gt;=" &amp; $A109,
    estq[Data da venda / reserva], "&lt;"  &amp; EOMONTH($A109,0) + 1
)</f>
        <v>0</v>
      </c>
      <c r="AJ109" s="45">
        <f ca="1">SUMIFS(rec.uni[2029-11-01],
INDIRECT("rec.uni[natureza]"),"pro.soluto",
INDIRECT("rec.uni[empresa]"),AJ$6)</f>
        <v>0</v>
      </c>
      <c r="AK109" s="45">
        <f ca="1">SUMIFS(rec.uni[2029-11-01],
INDIRECT("rec.uni[natureza]"),"repasse.cef.obra",
INDIRECT("rec.uni[empresa]"),AK$6)</f>
        <v>0</v>
      </c>
      <c r="AL109" s="45">
        <f ca="1">SUMIFS(rec.uni[2029-11-01],
INDIRECT("rec.uni[natureza]"),"repasse.cef.terreno",
INDIRECT("rec.uni[empresa]"),AL$6)</f>
        <v>0</v>
      </c>
      <c r="AM109" s="38"/>
      <c r="AN109" s="45">
        <f ca="1">SUMIFS(rec.uni[2029-11-01],
INDIRECT("rec.uni[natureza]"),"taxa.extra",
INDIRECT("rec.uni[empresa]"),AN$6)</f>
        <v>0</v>
      </c>
      <c r="AO109" s="131"/>
      <c r="AP109" s="44">
        <f>COUNTIFS(
    estq[empresa], AP$6,
    estq[Data da venda / reserva], "&gt;=" &amp; $A109,
    estq[Data da venda / reserva], "&lt;"  &amp; EOMONTH($A109,0) + 1
)</f>
        <v>0</v>
      </c>
      <c r="AQ109" s="45">
        <f ca="1">SUMIFS(rec.uni[2029-11-01],
INDIRECT("rec.uni[natureza]"),"pro.soluto",
INDIRECT("rec.uni[empresa]"),AQ$6)</f>
        <v>0</v>
      </c>
      <c r="AR109" s="45">
        <f ca="1">SUMIFS(rec.uni[2029-11-01],
INDIRECT("rec.uni[natureza]"),"repasse.cef.obra",
INDIRECT("rec.uni[empresa]"),AR$6)</f>
        <v>0</v>
      </c>
      <c r="AS109" s="45">
        <f ca="1">SUMIFS(rec.uni[2029-11-01],
INDIRECT("rec.uni[natureza]"),"repasse.cef.terreno",
INDIRECT("rec.uni[empresa]"),AS$6)</f>
        <v>0</v>
      </c>
      <c r="AT109" s="38"/>
      <c r="AU109" s="45">
        <f ca="1">SUMIFS(rec.uni[2029-11-01],
INDIRECT("rec.uni[natureza]"),"taxa.extra",
INDIRECT("rec.uni[empresa]"),AU$6)</f>
        <v>0</v>
      </c>
      <c r="AV109" s="131"/>
    </row>
    <row r="110" spans="1:48" x14ac:dyDescent="0.25">
      <c r="A110" s="43">
        <v>47453</v>
      </c>
      <c r="B110" s="44">
        <f>COUNTIFS(
    estq[empresa], B$6,
    estq[Data da venda / reserva], "&gt;=" &amp; $A110,
    estq[Data da venda / reserva], "&lt;"  &amp; EOMONTH($A110,0) + 1
)</f>
        <v>0</v>
      </c>
      <c r="C110" s="45">
        <f ca="1">SUMIFS(rec.uni[2029-12-01],
INDIRECT("rec.uni[natureza]"),"pro.soluto",
INDIRECT("rec.uni[empresa]"),C$6)</f>
        <v>0</v>
      </c>
      <c r="D110" s="45">
        <f ca="1">SUMIFS(rec.uni[2029-12-01],
INDIRECT("rec.uni[natureza]"),"repasse.cef.obra",
INDIRECT("rec.uni[empresa]"),D$6)</f>
        <v>0</v>
      </c>
      <c r="E110" s="45">
        <f ca="1">SUMIFS(rec.uni[2029-12-01],
INDIRECT("rec.uni[natureza]"),"repasse.cef.terreno",
INDIRECT("rec.uni[empresa]"),E$6)</f>
        <v>0</v>
      </c>
      <c r="F110" s="38"/>
      <c r="G110" s="45">
        <f ca="1">SUMIFS(rec.uni[2029-12-01],
INDIRECT("rec.uni[natureza]"),"taxa.extra",
INDIRECT("rec.uni[empresa]"),G$6)</f>
        <v>0</v>
      </c>
      <c r="H110" s="131"/>
      <c r="I110" s="44">
        <f>COUNTIFS(
    estq[empresa], I$6,
    estq[Data da venda / reserva], "&gt;=" &amp; $A110,
    estq[Data da venda / reserva], "&lt;"  &amp; EOMONTH($A110,0) + 1
)</f>
        <v>0</v>
      </c>
      <c r="J110" s="45">
        <f ca="1">SUMIFS(rec.uni[2029-12-01],
INDIRECT("rec.uni[natureza]"),"pro.soluto",
INDIRECT("rec.uni[empresa]"),J$6)</f>
        <v>0</v>
      </c>
      <c r="K110" s="45">
        <f ca="1">SUMIFS(rec.uni[2029-12-01],
INDIRECT("rec.uni[natureza]"),"repasse.cef.obra",
INDIRECT("rec.uni[empresa]"),K$6)</f>
        <v>0</v>
      </c>
      <c r="L110" s="45">
        <f ca="1">SUMIFS(rec.uni[2029-12-01],
INDIRECT("rec.uni[natureza]"),"repasse.cef.terreno",
INDIRECT("rec.uni[empresa]"),L$6)</f>
        <v>0</v>
      </c>
      <c r="M110" s="38"/>
      <c r="N110" s="45">
        <f ca="1">SUMIFS(rec.uni[2029-12-01],
INDIRECT("rec.uni[natureza]"),"taxa.extra",
INDIRECT("rec.uni[empresa]"),N$6)</f>
        <v>0</v>
      </c>
      <c r="O110" s="131"/>
      <c r="P110" s="44">
        <f>COUNTIFS(
    estq[empresa], P$6,
    estq[Data da venda / reserva], "&gt;=" &amp; $A110,
    estq[Data da venda / reserva], "&lt;"  &amp; EOMONTH($A110,0) + 1
)</f>
        <v>0</v>
      </c>
      <c r="Q110" s="45">
        <f ca="1">SUMIFS(rec.uni[2029-12-01],
INDIRECT("rec.uni[natureza]"),"pro.soluto",
INDIRECT("rec.uni[empresa]"),Q$6)</f>
        <v>0</v>
      </c>
      <c r="R110" s="45">
        <f ca="1">SUMIFS(rec.uni[2029-12-01],
INDIRECT("rec.uni[natureza]"),"repasse.cef.obra",
INDIRECT("rec.uni[empresa]"),R$6)</f>
        <v>0</v>
      </c>
      <c r="S110" s="45">
        <f ca="1">SUMIFS(rec.uni[2029-12-01],
INDIRECT("rec.uni[natureza]"),"repasse.cef.terreno",
INDIRECT("rec.uni[empresa]"),S$6)</f>
        <v>0</v>
      </c>
      <c r="T110" s="38"/>
      <c r="U110" s="45">
        <f ca="1">SUMIFS(rec.uni[2029-12-01],
INDIRECT("rec.uni[natureza]"),"taxa.extra",
INDIRECT("rec.uni[empresa]"),U$6)</f>
        <v>0</v>
      </c>
      <c r="V110" s="131"/>
      <c r="W110" s="44">
        <f>COUNTIFS(
    estq[empresa], W$6,
    estq[Data da venda / reserva], "&gt;=" &amp; $A110,
    estq[Data da venda / reserva], "&lt;"  &amp; EOMONTH($A110,0) + 1
)</f>
        <v>0</v>
      </c>
      <c r="X110" s="45">
        <f ca="1">SUMIFS(rec.uni[2029-12-01],
INDIRECT("rec.uni[natureza]"),"pro.soluto",
INDIRECT("rec.uni[empresa]"),X$6)</f>
        <v>0</v>
      </c>
      <c r="Y110" s="45">
        <f ca="1">SUMIFS(rec.uni[2029-12-01],
INDIRECT("rec.uni[natureza]"),"repasse.cef.obra",
INDIRECT("rec.uni[empresa]"),Y$6)</f>
        <v>0</v>
      </c>
      <c r="Z110" s="45">
        <f ca="1">SUMIFS(rec.uni[2029-12-01],
INDIRECT("rec.uni[natureza]"),"repasse.cef.terreno",
INDIRECT("rec.uni[empresa]"),Z$6)</f>
        <v>0</v>
      </c>
      <c r="AA110" s="38"/>
      <c r="AB110" s="45">
        <f ca="1">SUMIFS(rec.uni[2029-12-01],
INDIRECT("rec.uni[natureza]"),"taxa.extra",
INDIRECT("rec.uni[empresa]"),AB$6)</f>
        <v>0</v>
      </c>
      <c r="AC110" s="131"/>
      <c r="AD110" s="44">
        <f>COUNTIFS(
    estq[empresa], AD$6,
    estq[Data da venda / reserva], "&gt;=" &amp; $A110,
    estq[Data da venda / reserva], "&lt;"  &amp; EOMONTH($A110,0) + 1
)</f>
        <v>0</v>
      </c>
      <c r="AE110" s="45">
        <f ca="1">SUMIFS(rec.uni[2029-12-01],
INDIRECT("rec.uni[natureza]"),"pro.soluto",
INDIRECT("rec.uni[empresa]"),AE$6)</f>
        <v>0</v>
      </c>
      <c r="AF110" s="38">
        <f ca="1">SUMIFS(rec.uni[2029-12-01],
INDIRECT("rec.uni[natureza]"),"parcela.fin.total.ik",
INDIRECT("rec.uni[empresa]"),AF$6)</f>
        <v>0</v>
      </c>
      <c r="AG110" s="45">
        <f ca="1">SUMIFS(rec.uni[2029-12-01],
INDIRECT("rec.uni[natureza]"),"taxa.extra",
INDIRECT("rec.uni[empresa]"),AG$6)</f>
        <v>0</v>
      </c>
      <c r="AH110" s="131"/>
      <c r="AI110" s="44">
        <f>COUNTIFS(
    estq[empresa], AI$6,
    estq[Data da venda / reserva], "&gt;=" &amp; $A110,
    estq[Data da venda / reserva], "&lt;"  &amp; EOMONTH($A110,0) + 1
)</f>
        <v>0</v>
      </c>
      <c r="AJ110" s="45">
        <f ca="1">SUMIFS(rec.uni[2029-12-01],
INDIRECT("rec.uni[natureza]"),"pro.soluto",
INDIRECT("rec.uni[empresa]"),AJ$6)</f>
        <v>0</v>
      </c>
      <c r="AK110" s="45">
        <f ca="1">SUMIFS(rec.uni[2029-12-01],
INDIRECT("rec.uni[natureza]"),"repasse.cef.obra",
INDIRECT("rec.uni[empresa]"),AK$6)</f>
        <v>0</v>
      </c>
      <c r="AL110" s="45">
        <f ca="1">SUMIFS(rec.uni[2029-12-01],
INDIRECT("rec.uni[natureza]"),"repasse.cef.terreno",
INDIRECT("rec.uni[empresa]"),AL$6)</f>
        <v>0</v>
      </c>
      <c r="AM110" s="38"/>
      <c r="AN110" s="45">
        <f ca="1">SUMIFS(rec.uni[2029-12-01],
INDIRECT("rec.uni[natureza]"),"taxa.extra",
INDIRECT("rec.uni[empresa]"),AN$6)</f>
        <v>0</v>
      </c>
      <c r="AO110" s="131"/>
      <c r="AP110" s="44">
        <f>COUNTIFS(
    estq[empresa], AP$6,
    estq[Data da venda / reserva], "&gt;=" &amp; $A110,
    estq[Data da venda / reserva], "&lt;"  &amp; EOMONTH($A110,0) + 1
)</f>
        <v>0</v>
      </c>
      <c r="AQ110" s="45">
        <f ca="1">SUMIFS(rec.uni[2029-12-01],
INDIRECT("rec.uni[natureza]"),"pro.soluto",
INDIRECT("rec.uni[empresa]"),AQ$6)</f>
        <v>0</v>
      </c>
      <c r="AR110" s="45">
        <f ca="1">SUMIFS(rec.uni[2029-12-01],
INDIRECT("rec.uni[natureza]"),"repasse.cef.obra",
INDIRECT("rec.uni[empresa]"),AR$6)</f>
        <v>0</v>
      </c>
      <c r="AS110" s="45">
        <f ca="1">SUMIFS(rec.uni[2029-12-01],
INDIRECT("rec.uni[natureza]"),"repasse.cef.terreno",
INDIRECT("rec.uni[empresa]"),AS$6)</f>
        <v>0</v>
      </c>
      <c r="AT110" s="38"/>
      <c r="AU110" s="45">
        <f ca="1">SUMIFS(rec.uni[2029-12-01],
INDIRECT("rec.uni[natureza]"),"taxa.extra",
INDIRECT("rec.uni[empresa]"),AU$6)</f>
        <v>0</v>
      </c>
      <c r="AV110" s="131"/>
    </row>
    <row r="111" spans="1:48" x14ac:dyDescent="0.25">
      <c r="A111" s="43">
        <v>47484</v>
      </c>
      <c r="B111" s="44">
        <f>COUNTIFS(
    estq[empresa], B$6,
    estq[Data da venda / reserva], "&gt;=" &amp; $A111,
    estq[Data da venda / reserva], "&lt;"  &amp; EOMONTH($A111,0) + 1
)</f>
        <v>0</v>
      </c>
      <c r="C111" s="45">
        <f ca="1">SUMIFS(rec.uni[2030-01-01],
INDIRECT("rec.uni[natureza]"),"pro.soluto",
INDIRECT("rec.uni[empresa]"),C$6)</f>
        <v>0</v>
      </c>
      <c r="D111" s="45">
        <f ca="1">SUMIFS(rec.uni[2030-01-01],
INDIRECT("rec.uni[natureza]"),"repasse.cef.obra",
INDIRECT("rec.uni[empresa]"),D$6)</f>
        <v>0</v>
      </c>
      <c r="E111" s="45">
        <f ca="1">SUMIFS(rec.uni[2030-01-01],
INDIRECT("rec.uni[natureza]"),"repasse.cef.terreno",
INDIRECT("rec.uni[empresa]"),E$6)</f>
        <v>0</v>
      </c>
      <c r="F111" s="38"/>
      <c r="G111" s="45">
        <f ca="1">SUMIFS(rec.uni[2030-01-01],
INDIRECT("rec.uni[natureza]"),"taxa.extra",
INDIRECT("rec.uni[empresa]"),G$6)</f>
        <v>0</v>
      </c>
      <c r="H111" s="131"/>
      <c r="I111" s="44">
        <f>COUNTIFS(
    estq[empresa], I$6,
    estq[Data da venda / reserva], "&gt;=" &amp; $A111,
    estq[Data da venda / reserva], "&lt;"  &amp; EOMONTH($A111,0) + 1
)</f>
        <v>0</v>
      </c>
      <c r="J111" s="45">
        <f ca="1">SUMIFS(rec.uni[2030-01-01],
INDIRECT("rec.uni[natureza]"),"pro.soluto",
INDIRECT("rec.uni[empresa]"),J$6)</f>
        <v>0</v>
      </c>
      <c r="K111" s="45">
        <f ca="1">SUMIFS(rec.uni[2030-01-01],
INDIRECT("rec.uni[natureza]"),"repasse.cef.obra",
INDIRECT("rec.uni[empresa]"),K$6)</f>
        <v>0</v>
      </c>
      <c r="L111" s="45">
        <f ca="1">SUMIFS(rec.uni[2030-01-01],
INDIRECT("rec.uni[natureza]"),"repasse.cef.terreno",
INDIRECT("rec.uni[empresa]"),L$6)</f>
        <v>0</v>
      </c>
      <c r="M111" s="38"/>
      <c r="N111" s="45">
        <f ca="1">SUMIFS(rec.uni[2030-01-01],
INDIRECT("rec.uni[natureza]"),"taxa.extra",
INDIRECT("rec.uni[empresa]"),N$6)</f>
        <v>0</v>
      </c>
      <c r="O111" s="131"/>
      <c r="P111" s="44">
        <f>COUNTIFS(
    estq[empresa], P$6,
    estq[Data da venda / reserva], "&gt;=" &amp; $A111,
    estq[Data da venda / reserva], "&lt;"  &amp; EOMONTH($A111,0) + 1
)</f>
        <v>0</v>
      </c>
      <c r="Q111" s="45">
        <f ca="1">SUMIFS(rec.uni[2030-01-01],
INDIRECT("rec.uni[natureza]"),"pro.soluto",
INDIRECT("rec.uni[empresa]"),Q$6)</f>
        <v>0</v>
      </c>
      <c r="R111" s="45">
        <f ca="1">SUMIFS(rec.uni[2030-01-01],
INDIRECT("rec.uni[natureza]"),"repasse.cef.obra",
INDIRECT("rec.uni[empresa]"),R$6)</f>
        <v>0</v>
      </c>
      <c r="S111" s="45">
        <f ca="1">SUMIFS(rec.uni[2030-01-01],
INDIRECT("rec.uni[natureza]"),"repasse.cef.terreno",
INDIRECT("rec.uni[empresa]"),S$6)</f>
        <v>0</v>
      </c>
      <c r="T111" s="38"/>
      <c r="U111" s="45">
        <f ca="1">SUMIFS(rec.uni[2030-01-01],
INDIRECT("rec.uni[natureza]"),"taxa.extra",
INDIRECT("rec.uni[empresa]"),U$6)</f>
        <v>0</v>
      </c>
      <c r="V111" s="131"/>
      <c r="W111" s="44">
        <f>COUNTIFS(
    estq[empresa], W$6,
    estq[Data da venda / reserva], "&gt;=" &amp; $A111,
    estq[Data da venda / reserva], "&lt;"  &amp; EOMONTH($A111,0) + 1
)</f>
        <v>0</v>
      </c>
      <c r="X111" s="45">
        <f ca="1">SUMIFS(rec.uni[2030-01-01],
INDIRECT("rec.uni[natureza]"),"pro.soluto",
INDIRECT("rec.uni[empresa]"),X$6)</f>
        <v>0</v>
      </c>
      <c r="Y111" s="45">
        <f ca="1">SUMIFS(rec.uni[2030-01-01],
INDIRECT("rec.uni[natureza]"),"repasse.cef.obra",
INDIRECT("rec.uni[empresa]"),Y$6)</f>
        <v>0</v>
      </c>
      <c r="Z111" s="45">
        <f ca="1">SUMIFS(rec.uni[2030-01-01],
INDIRECT("rec.uni[natureza]"),"repasse.cef.terreno",
INDIRECT("rec.uni[empresa]"),Z$6)</f>
        <v>0</v>
      </c>
      <c r="AA111" s="38"/>
      <c r="AB111" s="45">
        <f ca="1">SUMIFS(rec.uni[2030-01-01],
INDIRECT("rec.uni[natureza]"),"taxa.extra",
INDIRECT("rec.uni[empresa]"),AB$6)</f>
        <v>0</v>
      </c>
      <c r="AC111" s="131"/>
      <c r="AD111" s="44">
        <f>COUNTIFS(
    estq[empresa], AD$6,
    estq[Data da venda / reserva], "&gt;=" &amp; $A111,
    estq[Data da venda / reserva], "&lt;"  &amp; EOMONTH($A111,0) + 1
)</f>
        <v>0</v>
      </c>
      <c r="AE111" s="45">
        <f ca="1">SUMIFS(rec.uni[2030-01-01],
INDIRECT("rec.uni[natureza]"),"pro.soluto",
INDIRECT("rec.uni[empresa]"),AE$6)</f>
        <v>0</v>
      </c>
      <c r="AF111" s="38">
        <f ca="1">SUMIFS(rec.uni[2030-01-01],
INDIRECT("rec.uni[natureza]"),"parcela.fin.total.ik",
INDIRECT("rec.uni[empresa]"),AF$6)</f>
        <v>0</v>
      </c>
      <c r="AG111" s="45">
        <f ca="1">SUMIFS(rec.uni[2030-01-01],
INDIRECT("rec.uni[natureza]"),"taxa.extra",
INDIRECT("rec.uni[empresa]"),AG$6)</f>
        <v>0</v>
      </c>
      <c r="AH111" s="131"/>
      <c r="AI111" s="44">
        <f>COUNTIFS(
    estq[empresa], AI$6,
    estq[Data da venda / reserva], "&gt;=" &amp; $A111,
    estq[Data da venda / reserva], "&lt;"  &amp; EOMONTH($A111,0) + 1
)</f>
        <v>0</v>
      </c>
      <c r="AJ111" s="45">
        <f ca="1">SUMIFS(rec.uni[2030-01-01],
INDIRECT("rec.uni[natureza]"),"pro.soluto",
INDIRECT("rec.uni[empresa]"),AJ$6)</f>
        <v>0</v>
      </c>
      <c r="AK111" s="45">
        <f ca="1">SUMIFS(rec.uni[2030-01-01],
INDIRECT("rec.uni[natureza]"),"repasse.cef.obra",
INDIRECT("rec.uni[empresa]"),AK$6)</f>
        <v>0</v>
      </c>
      <c r="AL111" s="45">
        <f ca="1">SUMIFS(rec.uni[2030-01-01],
INDIRECT("rec.uni[natureza]"),"repasse.cef.terreno",
INDIRECT("rec.uni[empresa]"),AL$6)</f>
        <v>0</v>
      </c>
      <c r="AM111" s="38"/>
      <c r="AN111" s="45">
        <f ca="1">SUMIFS(rec.uni[2030-01-01],
INDIRECT("rec.uni[natureza]"),"taxa.extra",
INDIRECT("rec.uni[empresa]"),AN$6)</f>
        <v>0</v>
      </c>
      <c r="AO111" s="131"/>
      <c r="AP111" s="44">
        <f>COUNTIFS(
    estq[empresa], AP$6,
    estq[Data da venda / reserva], "&gt;=" &amp; $A111,
    estq[Data da venda / reserva], "&lt;"  &amp; EOMONTH($A111,0) + 1
)</f>
        <v>0</v>
      </c>
      <c r="AQ111" s="45">
        <f ca="1">SUMIFS(rec.uni[2030-01-01],
INDIRECT("rec.uni[natureza]"),"pro.soluto",
INDIRECT("rec.uni[empresa]"),AQ$6)</f>
        <v>0</v>
      </c>
      <c r="AR111" s="45">
        <f ca="1">SUMIFS(rec.uni[2030-01-01],
INDIRECT("rec.uni[natureza]"),"repasse.cef.obra",
INDIRECT("rec.uni[empresa]"),AR$6)</f>
        <v>0</v>
      </c>
      <c r="AS111" s="45">
        <f ca="1">SUMIFS(rec.uni[2030-01-01],
INDIRECT("rec.uni[natureza]"),"repasse.cef.terreno",
INDIRECT("rec.uni[empresa]"),AS$6)</f>
        <v>0</v>
      </c>
      <c r="AT111" s="38"/>
      <c r="AU111" s="45">
        <f ca="1">SUMIFS(rec.uni[2030-01-01],
INDIRECT("rec.uni[natureza]"),"taxa.extra",
INDIRECT("rec.uni[empresa]"),AU$6)</f>
        <v>0</v>
      </c>
      <c r="AV111" s="131"/>
    </row>
    <row r="112" spans="1:48" x14ac:dyDescent="0.25">
      <c r="A112" s="43">
        <v>47515</v>
      </c>
      <c r="B112" s="44">
        <f>COUNTIFS(
    estq[empresa], B$6,
    estq[Data da venda / reserva], "&gt;=" &amp; $A112,
    estq[Data da venda / reserva], "&lt;"  &amp; EOMONTH($A112,0) + 1
)</f>
        <v>0</v>
      </c>
      <c r="C112" s="45">
        <f ca="1">SUMIFS(rec.uni[2030-02-01],
INDIRECT("rec.uni[natureza]"),"pro.soluto",
INDIRECT("rec.uni[empresa]"),C$6)</f>
        <v>0</v>
      </c>
      <c r="D112" s="45">
        <f ca="1">SUMIFS(rec.uni[2030-02-01],
INDIRECT("rec.uni[natureza]"),"repasse.cef.obra",
INDIRECT("rec.uni[empresa]"),D$6)</f>
        <v>0</v>
      </c>
      <c r="E112" s="45">
        <f ca="1">SUMIFS(rec.uni[2030-02-01],
INDIRECT("rec.uni[natureza]"),"repasse.cef.terreno",
INDIRECT("rec.uni[empresa]"),E$6)</f>
        <v>0</v>
      </c>
      <c r="F112" s="38"/>
      <c r="G112" s="45">
        <f ca="1">SUMIFS(rec.uni[2030-02-01],
INDIRECT("rec.uni[natureza]"),"taxa.extra",
INDIRECT("rec.uni[empresa]"),G$6)</f>
        <v>0</v>
      </c>
      <c r="H112" s="131"/>
      <c r="I112" s="44">
        <f>COUNTIFS(
    estq[empresa], I$6,
    estq[Data da venda / reserva], "&gt;=" &amp; $A112,
    estq[Data da venda / reserva], "&lt;"  &amp; EOMONTH($A112,0) + 1
)</f>
        <v>0</v>
      </c>
      <c r="J112" s="45">
        <f ca="1">SUMIFS(rec.uni[2030-02-01],
INDIRECT("rec.uni[natureza]"),"pro.soluto",
INDIRECT("rec.uni[empresa]"),J$6)</f>
        <v>0</v>
      </c>
      <c r="K112" s="45">
        <f ca="1">SUMIFS(rec.uni[2030-02-01],
INDIRECT("rec.uni[natureza]"),"repasse.cef.obra",
INDIRECT("rec.uni[empresa]"),K$6)</f>
        <v>0</v>
      </c>
      <c r="L112" s="45">
        <f ca="1">SUMIFS(rec.uni[2030-02-01],
INDIRECT("rec.uni[natureza]"),"repasse.cef.terreno",
INDIRECT("rec.uni[empresa]"),L$6)</f>
        <v>0</v>
      </c>
      <c r="M112" s="38"/>
      <c r="N112" s="45">
        <f ca="1">SUMIFS(rec.uni[2030-02-01],
INDIRECT("rec.uni[natureza]"),"taxa.extra",
INDIRECT("rec.uni[empresa]"),N$6)</f>
        <v>0</v>
      </c>
      <c r="O112" s="131"/>
      <c r="P112" s="44">
        <f>COUNTIFS(
    estq[empresa], P$6,
    estq[Data da venda / reserva], "&gt;=" &amp; $A112,
    estq[Data da venda / reserva], "&lt;"  &amp; EOMONTH($A112,0) + 1
)</f>
        <v>0</v>
      </c>
      <c r="Q112" s="45">
        <f ca="1">SUMIFS(rec.uni[2030-02-01],
INDIRECT("rec.uni[natureza]"),"pro.soluto",
INDIRECT("rec.uni[empresa]"),Q$6)</f>
        <v>0</v>
      </c>
      <c r="R112" s="45">
        <f ca="1">SUMIFS(rec.uni[2030-02-01],
INDIRECT("rec.uni[natureza]"),"repasse.cef.obra",
INDIRECT("rec.uni[empresa]"),R$6)</f>
        <v>0</v>
      </c>
      <c r="S112" s="45">
        <f ca="1">SUMIFS(rec.uni[2030-02-01],
INDIRECT("rec.uni[natureza]"),"repasse.cef.terreno",
INDIRECT("rec.uni[empresa]"),S$6)</f>
        <v>0</v>
      </c>
      <c r="T112" s="38"/>
      <c r="U112" s="45">
        <f ca="1">SUMIFS(rec.uni[2030-02-01],
INDIRECT("rec.uni[natureza]"),"taxa.extra",
INDIRECT("rec.uni[empresa]"),U$6)</f>
        <v>0</v>
      </c>
      <c r="V112" s="131"/>
      <c r="W112" s="44">
        <f>COUNTIFS(
    estq[empresa], W$6,
    estq[Data da venda / reserva], "&gt;=" &amp; $A112,
    estq[Data da venda / reserva], "&lt;"  &amp; EOMONTH($A112,0) + 1
)</f>
        <v>0</v>
      </c>
      <c r="X112" s="45">
        <f ca="1">SUMIFS(rec.uni[2030-02-01],
INDIRECT("rec.uni[natureza]"),"pro.soluto",
INDIRECT("rec.uni[empresa]"),X$6)</f>
        <v>0</v>
      </c>
      <c r="Y112" s="45">
        <f ca="1">SUMIFS(rec.uni[2030-02-01],
INDIRECT("rec.uni[natureza]"),"repasse.cef.obra",
INDIRECT("rec.uni[empresa]"),Y$6)</f>
        <v>0</v>
      </c>
      <c r="Z112" s="45">
        <f ca="1">SUMIFS(rec.uni[2030-02-01],
INDIRECT("rec.uni[natureza]"),"repasse.cef.terreno",
INDIRECT("rec.uni[empresa]"),Z$6)</f>
        <v>0</v>
      </c>
      <c r="AA112" s="38"/>
      <c r="AB112" s="45">
        <f ca="1">SUMIFS(rec.uni[2030-02-01],
INDIRECT("rec.uni[natureza]"),"taxa.extra",
INDIRECT("rec.uni[empresa]"),AB$6)</f>
        <v>0</v>
      </c>
      <c r="AC112" s="131"/>
      <c r="AD112" s="44">
        <f>COUNTIFS(
    estq[empresa], AD$6,
    estq[Data da venda / reserva], "&gt;=" &amp; $A112,
    estq[Data da venda / reserva], "&lt;"  &amp; EOMONTH($A112,0) + 1
)</f>
        <v>0</v>
      </c>
      <c r="AE112" s="45">
        <f ca="1">SUMIFS(rec.uni[2030-02-01],
INDIRECT("rec.uni[natureza]"),"pro.soluto",
INDIRECT("rec.uni[empresa]"),AE$6)</f>
        <v>0</v>
      </c>
      <c r="AF112" s="38">
        <f ca="1">SUMIFS(rec.uni[2030-02-01],
INDIRECT("rec.uni[natureza]"),"parcela.fin.total.ik",
INDIRECT("rec.uni[empresa]"),AF$6)</f>
        <v>0</v>
      </c>
      <c r="AG112" s="45">
        <f ca="1">SUMIFS(rec.uni[2030-02-01],
INDIRECT("rec.uni[natureza]"),"taxa.extra",
INDIRECT("rec.uni[empresa]"),AG$6)</f>
        <v>0</v>
      </c>
      <c r="AH112" s="131"/>
      <c r="AI112" s="44">
        <f>COUNTIFS(
    estq[empresa], AI$6,
    estq[Data da venda / reserva], "&gt;=" &amp; $A112,
    estq[Data da venda / reserva], "&lt;"  &amp; EOMONTH($A112,0) + 1
)</f>
        <v>0</v>
      </c>
      <c r="AJ112" s="45">
        <f ca="1">SUMIFS(rec.uni[2030-02-01],
INDIRECT("rec.uni[natureza]"),"pro.soluto",
INDIRECT("rec.uni[empresa]"),AJ$6)</f>
        <v>0</v>
      </c>
      <c r="AK112" s="45">
        <f ca="1">SUMIFS(rec.uni[2030-02-01],
INDIRECT("rec.uni[natureza]"),"repasse.cef.obra",
INDIRECT("rec.uni[empresa]"),AK$6)</f>
        <v>0</v>
      </c>
      <c r="AL112" s="45">
        <f ca="1">SUMIFS(rec.uni[2030-02-01],
INDIRECT("rec.uni[natureza]"),"repasse.cef.terreno",
INDIRECT("rec.uni[empresa]"),AL$6)</f>
        <v>0</v>
      </c>
      <c r="AM112" s="38"/>
      <c r="AN112" s="45">
        <f ca="1">SUMIFS(rec.uni[2030-02-01],
INDIRECT("rec.uni[natureza]"),"taxa.extra",
INDIRECT("rec.uni[empresa]"),AN$6)</f>
        <v>0</v>
      </c>
      <c r="AO112" s="131"/>
      <c r="AP112" s="44">
        <f>COUNTIFS(
    estq[empresa], AP$6,
    estq[Data da venda / reserva], "&gt;=" &amp; $A112,
    estq[Data da venda / reserva], "&lt;"  &amp; EOMONTH($A112,0) + 1
)</f>
        <v>0</v>
      </c>
      <c r="AQ112" s="45">
        <f ca="1">SUMIFS(rec.uni[2030-02-01],
INDIRECT("rec.uni[natureza]"),"pro.soluto",
INDIRECT("rec.uni[empresa]"),AQ$6)</f>
        <v>0</v>
      </c>
      <c r="AR112" s="45">
        <f ca="1">SUMIFS(rec.uni[2030-02-01],
INDIRECT("rec.uni[natureza]"),"repasse.cef.obra",
INDIRECT("rec.uni[empresa]"),AR$6)</f>
        <v>0</v>
      </c>
      <c r="AS112" s="45">
        <f ca="1">SUMIFS(rec.uni[2030-02-01],
INDIRECT("rec.uni[natureza]"),"repasse.cef.terreno",
INDIRECT("rec.uni[empresa]"),AS$6)</f>
        <v>0</v>
      </c>
      <c r="AT112" s="38"/>
      <c r="AU112" s="45">
        <f ca="1">SUMIFS(rec.uni[2030-02-01],
INDIRECT("rec.uni[natureza]"),"taxa.extra",
INDIRECT("rec.uni[empresa]"),AU$6)</f>
        <v>0</v>
      </c>
      <c r="AV112" s="131"/>
    </row>
    <row r="113" spans="1:48" x14ac:dyDescent="0.25">
      <c r="A113" s="43">
        <v>47543</v>
      </c>
      <c r="B113" s="44">
        <f>COUNTIFS(
    estq[empresa], B$6,
    estq[Data da venda / reserva], "&gt;=" &amp; $A113,
    estq[Data da venda / reserva], "&lt;"  &amp; EOMONTH($A113,0) + 1
)</f>
        <v>0</v>
      </c>
      <c r="C113" s="45">
        <f ca="1">SUMIFS(rec.uni[2030-03-01],
INDIRECT("rec.uni[natureza]"),"pro.soluto",
INDIRECT("rec.uni[empresa]"),C$6)</f>
        <v>0</v>
      </c>
      <c r="D113" s="45">
        <f ca="1">SUMIFS(rec.uni[2030-03-01],
INDIRECT("rec.uni[natureza]"),"repasse.cef.obra",
INDIRECT("rec.uni[empresa]"),D$6)</f>
        <v>0</v>
      </c>
      <c r="E113" s="45">
        <f ca="1">SUMIFS(rec.uni[2030-03-01],
INDIRECT("rec.uni[natureza]"),"repasse.cef.terreno",
INDIRECT("rec.uni[empresa]"),E$6)</f>
        <v>0</v>
      </c>
      <c r="F113" s="38"/>
      <c r="G113" s="45">
        <f ca="1">SUMIFS(rec.uni[2030-03-01],
INDIRECT("rec.uni[natureza]"),"taxa.extra",
INDIRECT("rec.uni[empresa]"),G$6)</f>
        <v>0</v>
      </c>
      <c r="H113" s="131"/>
      <c r="I113" s="44">
        <f>COUNTIFS(
    estq[empresa], I$6,
    estq[Data da venda / reserva], "&gt;=" &amp; $A113,
    estq[Data da venda / reserva], "&lt;"  &amp; EOMONTH($A113,0) + 1
)</f>
        <v>0</v>
      </c>
      <c r="J113" s="45">
        <f ca="1">SUMIFS(rec.uni[2030-03-01],
INDIRECT("rec.uni[natureza]"),"pro.soluto",
INDIRECT("rec.uni[empresa]"),J$6)</f>
        <v>0</v>
      </c>
      <c r="K113" s="45">
        <f ca="1">SUMIFS(rec.uni[2030-03-01],
INDIRECT("rec.uni[natureza]"),"repasse.cef.obra",
INDIRECT("rec.uni[empresa]"),K$6)</f>
        <v>0</v>
      </c>
      <c r="L113" s="45">
        <f ca="1">SUMIFS(rec.uni[2030-03-01],
INDIRECT("rec.uni[natureza]"),"repasse.cef.terreno",
INDIRECT("rec.uni[empresa]"),L$6)</f>
        <v>0</v>
      </c>
      <c r="M113" s="38"/>
      <c r="N113" s="45">
        <f ca="1">SUMIFS(rec.uni[2030-03-01],
INDIRECT("rec.uni[natureza]"),"taxa.extra",
INDIRECT("rec.uni[empresa]"),N$6)</f>
        <v>0</v>
      </c>
      <c r="O113" s="131"/>
      <c r="P113" s="44">
        <f>COUNTIFS(
    estq[empresa], P$6,
    estq[Data da venda / reserva], "&gt;=" &amp; $A113,
    estq[Data da venda / reserva], "&lt;"  &amp; EOMONTH($A113,0) + 1
)</f>
        <v>0</v>
      </c>
      <c r="Q113" s="45">
        <f ca="1">SUMIFS(rec.uni[2030-03-01],
INDIRECT("rec.uni[natureza]"),"pro.soluto",
INDIRECT("rec.uni[empresa]"),Q$6)</f>
        <v>0</v>
      </c>
      <c r="R113" s="45">
        <f ca="1">SUMIFS(rec.uni[2030-03-01],
INDIRECT("rec.uni[natureza]"),"repasse.cef.obra",
INDIRECT("rec.uni[empresa]"),R$6)</f>
        <v>0</v>
      </c>
      <c r="S113" s="45">
        <f ca="1">SUMIFS(rec.uni[2030-03-01],
INDIRECT("rec.uni[natureza]"),"repasse.cef.terreno",
INDIRECT("rec.uni[empresa]"),S$6)</f>
        <v>0</v>
      </c>
      <c r="T113" s="38"/>
      <c r="U113" s="45">
        <f ca="1">SUMIFS(rec.uni[2030-03-01],
INDIRECT("rec.uni[natureza]"),"taxa.extra",
INDIRECT("rec.uni[empresa]"),U$6)</f>
        <v>0</v>
      </c>
      <c r="V113" s="131"/>
      <c r="W113" s="44">
        <f>COUNTIFS(
    estq[empresa], W$6,
    estq[Data da venda / reserva], "&gt;=" &amp; $A113,
    estq[Data da venda / reserva], "&lt;"  &amp; EOMONTH($A113,0) + 1
)</f>
        <v>0</v>
      </c>
      <c r="X113" s="45">
        <f ca="1">SUMIFS(rec.uni[2030-03-01],
INDIRECT("rec.uni[natureza]"),"pro.soluto",
INDIRECT("rec.uni[empresa]"),X$6)</f>
        <v>0</v>
      </c>
      <c r="Y113" s="45">
        <f ca="1">SUMIFS(rec.uni[2030-03-01],
INDIRECT("rec.uni[natureza]"),"repasse.cef.obra",
INDIRECT("rec.uni[empresa]"),Y$6)</f>
        <v>0</v>
      </c>
      <c r="Z113" s="45">
        <f ca="1">SUMIFS(rec.uni[2030-03-01],
INDIRECT("rec.uni[natureza]"),"repasse.cef.terreno",
INDIRECT("rec.uni[empresa]"),Z$6)</f>
        <v>0</v>
      </c>
      <c r="AA113" s="38"/>
      <c r="AB113" s="45">
        <f ca="1">SUMIFS(rec.uni[2030-03-01],
INDIRECT("rec.uni[natureza]"),"taxa.extra",
INDIRECT("rec.uni[empresa]"),AB$6)</f>
        <v>0</v>
      </c>
      <c r="AC113" s="131"/>
      <c r="AD113" s="44">
        <f>COUNTIFS(
    estq[empresa], AD$6,
    estq[Data da venda / reserva], "&gt;=" &amp; $A113,
    estq[Data da venda / reserva], "&lt;"  &amp; EOMONTH($A113,0) + 1
)</f>
        <v>0</v>
      </c>
      <c r="AE113" s="45">
        <f ca="1">SUMIFS(rec.uni[2030-03-01],
INDIRECT("rec.uni[natureza]"),"pro.soluto",
INDIRECT("rec.uni[empresa]"),AE$6)</f>
        <v>0</v>
      </c>
      <c r="AF113" s="38">
        <f ca="1">SUMIFS(rec.uni[2030-03-01],
INDIRECT("rec.uni[natureza]"),"parcela.fin.total.ik",
INDIRECT("rec.uni[empresa]"),AF$6)</f>
        <v>0</v>
      </c>
      <c r="AG113" s="45">
        <f ca="1">SUMIFS(rec.uni[2030-03-01],
INDIRECT("rec.uni[natureza]"),"taxa.extra",
INDIRECT("rec.uni[empresa]"),AG$6)</f>
        <v>0</v>
      </c>
      <c r="AH113" s="131"/>
      <c r="AI113" s="44">
        <f>COUNTIFS(
    estq[empresa], AI$6,
    estq[Data da venda / reserva], "&gt;=" &amp; $A113,
    estq[Data da venda / reserva], "&lt;"  &amp; EOMONTH($A113,0) + 1
)</f>
        <v>0</v>
      </c>
      <c r="AJ113" s="45">
        <f ca="1">SUMIFS(rec.uni[2030-03-01],
INDIRECT("rec.uni[natureza]"),"pro.soluto",
INDIRECT("rec.uni[empresa]"),AJ$6)</f>
        <v>0</v>
      </c>
      <c r="AK113" s="45">
        <f ca="1">SUMIFS(rec.uni[2030-03-01],
INDIRECT("rec.uni[natureza]"),"repasse.cef.obra",
INDIRECT("rec.uni[empresa]"),AK$6)</f>
        <v>0</v>
      </c>
      <c r="AL113" s="45">
        <f ca="1">SUMIFS(rec.uni[2030-03-01],
INDIRECT("rec.uni[natureza]"),"repasse.cef.terreno",
INDIRECT("rec.uni[empresa]"),AL$6)</f>
        <v>0</v>
      </c>
      <c r="AM113" s="38"/>
      <c r="AN113" s="45">
        <f ca="1">SUMIFS(rec.uni[2030-03-01],
INDIRECT("rec.uni[natureza]"),"taxa.extra",
INDIRECT("rec.uni[empresa]"),AN$6)</f>
        <v>0</v>
      </c>
      <c r="AO113" s="131"/>
      <c r="AP113" s="44">
        <f>COUNTIFS(
    estq[empresa], AP$6,
    estq[Data da venda / reserva], "&gt;=" &amp; $A113,
    estq[Data da venda / reserva], "&lt;"  &amp; EOMONTH($A113,0) + 1
)</f>
        <v>0</v>
      </c>
      <c r="AQ113" s="45">
        <f ca="1">SUMIFS(rec.uni[2030-03-01],
INDIRECT("rec.uni[natureza]"),"pro.soluto",
INDIRECT("rec.uni[empresa]"),AQ$6)</f>
        <v>0</v>
      </c>
      <c r="AR113" s="45">
        <f ca="1">SUMIFS(rec.uni[2030-03-01],
INDIRECT("rec.uni[natureza]"),"repasse.cef.obra",
INDIRECT("rec.uni[empresa]"),AR$6)</f>
        <v>0</v>
      </c>
      <c r="AS113" s="45">
        <f ca="1">SUMIFS(rec.uni[2030-03-01],
INDIRECT("rec.uni[natureza]"),"repasse.cef.terreno",
INDIRECT("rec.uni[empresa]"),AS$6)</f>
        <v>0</v>
      </c>
      <c r="AT113" s="38"/>
      <c r="AU113" s="45">
        <f ca="1">SUMIFS(rec.uni[2030-03-01],
INDIRECT("rec.uni[natureza]"),"taxa.extra",
INDIRECT("rec.uni[empresa]"),AU$6)</f>
        <v>0</v>
      </c>
      <c r="AV113" s="131"/>
    </row>
    <row r="114" spans="1:48" x14ac:dyDescent="0.25">
      <c r="A114" s="43">
        <v>47574</v>
      </c>
      <c r="B114" s="44">
        <f>COUNTIFS(
    estq[empresa], B$6,
    estq[Data da venda / reserva], "&gt;=" &amp; $A114,
    estq[Data da venda / reserva], "&lt;"  &amp; EOMONTH($A114,0) + 1
)</f>
        <v>0</v>
      </c>
      <c r="C114" s="45">
        <f ca="1">SUMIFS(rec.uni[2030-04-01],
INDIRECT("rec.uni[natureza]"),"pro.soluto",
INDIRECT("rec.uni[empresa]"),C$6)</f>
        <v>0</v>
      </c>
      <c r="D114" s="45">
        <f ca="1">SUMIFS(rec.uni[2030-04-01],
INDIRECT("rec.uni[natureza]"),"repasse.cef.obra",
INDIRECT("rec.uni[empresa]"),D$6)</f>
        <v>0</v>
      </c>
      <c r="E114" s="45">
        <f ca="1">SUMIFS(rec.uni[2030-04-01],
INDIRECT("rec.uni[natureza]"),"repasse.cef.terreno",
INDIRECT("rec.uni[empresa]"),E$6)</f>
        <v>0</v>
      </c>
      <c r="F114" s="38"/>
      <c r="G114" s="45">
        <f ca="1">SUMIFS(rec.uni[2030-04-01],
INDIRECT("rec.uni[natureza]"),"taxa.extra",
INDIRECT("rec.uni[empresa]"),G$6)</f>
        <v>0</v>
      </c>
      <c r="H114" s="131"/>
      <c r="I114" s="44">
        <f>COUNTIFS(
    estq[empresa], I$6,
    estq[Data da venda / reserva], "&gt;=" &amp; $A114,
    estq[Data da venda / reserva], "&lt;"  &amp; EOMONTH($A114,0) + 1
)</f>
        <v>0</v>
      </c>
      <c r="J114" s="45">
        <f ca="1">SUMIFS(rec.uni[2030-04-01],
INDIRECT("rec.uni[natureza]"),"pro.soluto",
INDIRECT("rec.uni[empresa]"),J$6)</f>
        <v>0</v>
      </c>
      <c r="K114" s="45">
        <f ca="1">SUMIFS(rec.uni[2030-04-01],
INDIRECT("rec.uni[natureza]"),"repasse.cef.obra",
INDIRECT("rec.uni[empresa]"),K$6)</f>
        <v>0</v>
      </c>
      <c r="L114" s="45">
        <f ca="1">SUMIFS(rec.uni[2030-04-01],
INDIRECT("rec.uni[natureza]"),"repasse.cef.terreno",
INDIRECT("rec.uni[empresa]"),L$6)</f>
        <v>0</v>
      </c>
      <c r="M114" s="38"/>
      <c r="N114" s="45">
        <f ca="1">SUMIFS(rec.uni[2030-04-01],
INDIRECT("rec.uni[natureza]"),"taxa.extra",
INDIRECT("rec.uni[empresa]"),N$6)</f>
        <v>0</v>
      </c>
      <c r="O114" s="131"/>
      <c r="P114" s="44">
        <f>COUNTIFS(
    estq[empresa], P$6,
    estq[Data da venda / reserva], "&gt;=" &amp; $A114,
    estq[Data da venda / reserva], "&lt;"  &amp; EOMONTH($A114,0) + 1
)</f>
        <v>0</v>
      </c>
      <c r="Q114" s="45">
        <f ca="1">SUMIFS(rec.uni[2030-04-01],
INDIRECT("rec.uni[natureza]"),"pro.soluto",
INDIRECT("rec.uni[empresa]"),Q$6)</f>
        <v>0</v>
      </c>
      <c r="R114" s="45">
        <f ca="1">SUMIFS(rec.uni[2030-04-01],
INDIRECT("rec.uni[natureza]"),"repasse.cef.obra",
INDIRECT("rec.uni[empresa]"),R$6)</f>
        <v>0</v>
      </c>
      <c r="S114" s="45">
        <f ca="1">SUMIFS(rec.uni[2030-04-01],
INDIRECT("rec.uni[natureza]"),"repasse.cef.terreno",
INDIRECT("rec.uni[empresa]"),S$6)</f>
        <v>0</v>
      </c>
      <c r="T114" s="38"/>
      <c r="U114" s="45">
        <f ca="1">SUMIFS(rec.uni[2030-04-01],
INDIRECT("rec.uni[natureza]"),"taxa.extra",
INDIRECT("rec.uni[empresa]"),U$6)</f>
        <v>0</v>
      </c>
      <c r="V114" s="131"/>
      <c r="W114" s="44">
        <f>COUNTIFS(
    estq[empresa], W$6,
    estq[Data da venda / reserva], "&gt;=" &amp; $A114,
    estq[Data da venda / reserva], "&lt;"  &amp; EOMONTH($A114,0) + 1
)</f>
        <v>0</v>
      </c>
      <c r="X114" s="45">
        <f ca="1">SUMIFS(rec.uni[2030-04-01],
INDIRECT("rec.uni[natureza]"),"pro.soluto",
INDIRECT("rec.uni[empresa]"),X$6)</f>
        <v>0</v>
      </c>
      <c r="Y114" s="45">
        <f ca="1">SUMIFS(rec.uni[2030-04-01],
INDIRECT("rec.uni[natureza]"),"repasse.cef.obra",
INDIRECT("rec.uni[empresa]"),Y$6)</f>
        <v>0</v>
      </c>
      <c r="Z114" s="45">
        <f ca="1">SUMIFS(rec.uni[2030-04-01],
INDIRECT("rec.uni[natureza]"),"repasse.cef.terreno",
INDIRECT("rec.uni[empresa]"),Z$6)</f>
        <v>0</v>
      </c>
      <c r="AA114" s="38"/>
      <c r="AB114" s="45">
        <f ca="1">SUMIFS(rec.uni[2030-04-01],
INDIRECT("rec.uni[natureza]"),"taxa.extra",
INDIRECT("rec.uni[empresa]"),AB$6)</f>
        <v>0</v>
      </c>
      <c r="AC114" s="131"/>
      <c r="AD114" s="44">
        <f>COUNTIFS(
    estq[empresa], AD$6,
    estq[Data da venda / reserva], "&gt;=" &amp; $A114,
    estq[Data da venda / reserva], "&lt;"  &amp; EOMONTH($A114,0) + 1
)</f>
        <v>0</v>
      </c>
      <c r="AE114" s="45">
        <f ca="1">SUMIFS(rec.uni[2030-04-01],
INDIRECT("rec.uni[natureza]"),"pro.soluto",
INDIRECT("rec.uni[empresa]"),AE$6)</f>
        <v>0</v>
      </c>
      <c r="AF114" s="38">
        <f ca="1">SUMIFS(rec.uni[2030-04-01],
INDIRECT("rec.uni[natureza]"),"parcela.fin.total.ik",
INDIRECT("rec.uni[empresa]"),AF$6)</f>
        <v>0</v>
      </c>
      <c r="AG114" s="45">
        <f ca="1">SUMIFS(rec.uni[2030-04-01],
INDIRECT("rec.uni[natureza]"),"taxa.extra",
INDIRECT("rec.uni[empresa]"),AG$6)</f>
        <v>0</v>
      </c>
      <c r="AH114" s="131"/>
      <c r="AI114" s="44">
        <f>COUNTIFS(
    estq[empresa], AI$6,
    estq[Data da venda / reserva], "&gt;=" &amp; $A114,
    estq[Data da venda / reserva], "&lt;"  &amp; EOMONTH($A114,0) + 1
)</f>
        <v>0</v>
      </c>
      <c r="AJ114" s="45">
        <f ca="1">SUMIFS(rec.uni[2030-04-01],
INDIRECT("rec.uni[natureza]"),"pro.soluto",
INDIRECT("rec.uni[empresa]"),AJ$6)</f>
        <v>0</v>
      </c>
      <c r="AK114" s="45">
        <f ca="1">SUMIFS(rec.uni[2030-04-01],
INDIRECT("rec.uni[natureza]"),"repasse.cef.obra",
INDIRECT("rec.uni[empresa]"),AK$6)</f>
        <v>0</v>
      </c>
      <c r="AL114" s="45">
        <f ca="1">SUMIFS(rec.uni[2030-04-01],
INDIRECT("rec.uni[natureza]"),"repasse.cef.terreno",
INDIRECT("rec.uni[empresa]"),AL$6)</f>
        <v>0</v>
      </c>
      <c r="AM114" s="38"/>
      <c r="AN114" s="45">
        <f ca="1">SUMIFS(rec.uni[2030-04-01],
INDIRECT("rec.uni[natureza]"),"taxa.extra",
INDIRECT("rec.uni[empresa]"),AN$6)</f>
        <v>0</v>
      </c>
      <c r="AO114" s="131"/>
      <c r="AP114" s="44">
        <f>COUNTIFS(
    estq[empresa], AP$6,
    estq[Data da venda / reserva], "&gt;=" &amp; $A114,
    estq[Data da venda / reserva], "&lt;"  &amp; EOMONTH($A114,0) + 1
)</f>
        <v>0</v>
      </c>
      <c r="AQ114" s="45">
        <f ca="1">SUMIFS(rec.uni[2030-04-01],
INDIRECT("rec.uni[natureza]"),"pro.soluto",
INDIRECT("rec.uni[empresa]"),AQ$6)</f>
        <v>0</v>
      </c>
      <c r="AR114" s="45">
        <f ca="1">SUMIFS(rec.uni[2030-04-01],
INDIRECT("rec.uni[natureza]"),"repasse.cef.obra",
INDIRECT("rec.uni[empresa]"),AR$6)</f>
        <v>0</v>
      </c>
      <c r="AS114" s="45">
        <f ca="1">SUMIFS(rec.uni[2030-04-01],
INDIRECT("rec.uni[natureza]"),"repasse.cef.terreno",
INDIRECT("rec.uni[empresa]"),AS$6)</f>
        <v>0</v>
      </c>
      <c r="AT114" s="38"/>
      <c r="AU114" s="45">
        <f ca="1">SUMIFS(rec.uni[2030-04-01],
INDIRECT("rec.uni[natureza]"),"taxa.extra",
INDIRECT("rec.uni[empresa]"),AU$6)</f>
        <v>0</v>
      </c>
      <c r="AV114" s="131"/>
    </row>
    <row r="115" spans="1:48" x14ac:dyDescent="0.25">
      <c r="A115" s="43">
        <v>47604</v>
      </c>
      <c r="B115" s="44">
        <f>COUNTIFS(
    estq[empresa], B$6,
    estq[Data da venda / reserva], "&gt;=" &amp; $A115,
    estq[Data da venda / reserva], "&lt;"  &amp; EOMONTH($A115,0) + 1
)</f>
        <v>0</v>
      </c>
      <c r="C115" s="45">
        <f ca="1">SUMIFS(rec.uni[2030-05-01],
INDIRECT("rec.uni[natureza]"),"pro.soluto",
INDIRECT("rec.uni[empresa]"),C$6)</f>
        <v>0</v>
      </c>
      <c r="D115" s="45">
        <f ca="1">SUMIFS(rec.uni[2030-05-01],
INDIRECT("rec.uni[natureza]"),"repasse.cef.obra",
INDIRECT("rec.uni[empresa]"),D$6)</f>
        <v>0</v>
      </c>
      <c r="E115" s="45">
        <f ca="1">SUMIFS(rec.uni[2030-05-01],
INDIRECT("rec.uni[natureza]"),"repasse.cef.terreno",
INDIRECT("rec.uni[empresa]"),E$6)</f>
        <v>0</v>
      </c>
      <c r="F115" s="38"/>
      <c r="G115" s="45">
        <f ca="1">SUMIFS(rec.uni[2030-05-01],
INDIRECT("rec.uni[natureza]"),"taxa.extra",
INDIRECT("rec.uni[empresa]"),G$6)</f>
        <v>0</v>
      </c>
      <c r="H115" s="131"/>
      <c r="I115" s="44">
        <f>COUNTIFS(
    estq[empresa], I$6,
    estq[Data da venda / reserva], "&gt;=" &amp; $A115,
    estq[Data da venda / reserva], "&lt;"  &amp; EOMONTH($A115,0) + 1
)</f>
        <v>0</v>
      </c>
      <c r="J115" s="45">
        <f ca="1">SUMIFS(rec.uni[2030-05-01],
INDIRECT("rec.uni[natureza]"),"pro.soluto",
INDIRECT("rec.uni[empresa]"),J$6)</f>
        <v>0</v>
      </c>
      <c r="K115" s="45">
        <f ca="1">SUMIFS(rec.uni[2030-05-01],
INDIRECT("rec.uni[natureza]"),"repasse.cef.obra",
INDIRECT("rec.uni[empresa]"),K$6)</f>
        <v>0</v>
      </c>
      <c r="L115" s="45">
        <f ca="1">SUMIFS(rec.uni[2030-05-01],
INDIRECT("rec.uni[natureza]"),"repasse.cef.terreno",
INDIRECT("rec.uni[empresa]"),L$6)</f>
        <v>0</v>
      </c>
      <c r="M115" s="38"/>
      <c r="N115" s="45">
        <f ca="1">SUMIFS(rec.uni[2030-05-01],
INDIRECT("rec.uni[natureza]"),"taxa.extra",
INDIRECT("rec.uni[empresa]"),N$6)</f>
        <v>0</v>
      </c>
      <c r="O115" s="131"/>
      <c r="P115" s="44">
        <f>COUNTIFS(
    estq[empresa], P$6,
    estq[Data da venda / reserva], "&gt;=" &amp; $A115,
    estq[Data da venda / reserva], "&lt;"  &amp; EOMONTH($A115,0) + 1
)</f>
        <v>0</v>
      </c>
      <c r="Q115" s="45">
        <f ca="1">SUMIFS(rec.uni[2030-05-01],
INDIRECT("rec.uni[natureza]"),"pro.soluto",
INDIRECT("rec.uni[empresa]"),Q$6)</f>
        <v>0</v>
      </c>
      <c r="R115" s="45">
        <f ca="1">SUMIFS(rec.uni[2030-05-01],
INDIRECT("rec.uni[natureza]"),"repasse.cef.obra",
INDIRECT("rec.uni[empresa]"),R$6)</f>
        <v>0</v>
      </c>
      <c r="S115" s="45">
        <f ca="1">SUMIFS(rec.uni[2030-05-01],
INDIRECT("rec.uni[natureza]"),"repasse.cef.terreno",
INDIRECT("rec.uni[empresa]"),S$6)</f>
        <v>0</v>
      </c>
      <c r="T115" s="38"/>
      <c r="U115" s="45">
        <f ca="1">SUMIFS(rec.uni[2030-05-01],
INDIRECT("rec.uni[natureza]"),"taxa.extra",
INDIRECT("rec.uni[empresa]"),U$6)</f>
        <v>0</v>
      </c>
      <c r="V115" s="131"/>
      <c r="W115" s="44">
        <f>COUNTIFS(
    estq[empresa], W$6,
    estq[Data da venda / reserva], "&gt;=" &amp; $A115,
    estq[Data da venda / reserva], "&lt;"  &amp; EOMONTH($A115,0) + 1
)</f>
        <v>0</v>
      </c>
      <c r="X115" s="45">
        <f ca="1">SUMIFS(rec.uni[2030-05-01],
INDIRECT("rec.uni[natureza]"),"pro.soluto",
INDIRECT("rec.uni[empresa]"),X$6)</f>
        <v>0</v>
      </c>
      <c r="Y115" s="45">
        <f ca="1">SUMIFS(rec.uni[2030-05-01],
INDIRECT("rec.uni[natureza]"),"repasse.cef.obra",
INDIRECT("rec.uni[empresa]"),Y$6)</f>
        <v>0</v>
      </c>
      <c r="Z115" s="45">
        <f ca="1">SUMIFS(rec.uni[2030-05-01],
INDIRECT("rec.uni[natureza]"),"repasse.cef.terreno",
INDIRECT("rec.uni[empresa]"),Z$6)</f>
        <v>0</v>
      </c>
      <c r="AA115" s="38"/>
      <c r="AB115" s="45">
        <f ca="1">SUMIFS(rec.uni[2030-05-01],
INDIRECT("rec.uni[natureza]"),"taxa.extra",
INDIRECT("rec.uni[empresa]"),AB$6)</f>
        <v>0</v>
      </c>
      <c r="AC115" s="131"/>
      <c r="AD115" s="44">
        <f>COUNTIFS(
    estq[empresa], AD$6,
    estq[Data da venda / reserva], "&gt;=" &amp; $A115,
    estq[Data da venda / reserva], "&lt;"  &amp; EOMONTH($A115,0) + 1
)</f>
        <v>0</v>
      </c>
      <c r="AE115" s="45">
        <f ca="1">SUMIFS(rec.uni[2030-05-01],
INDIRECT("rec.uni[natureza]"),"pro.soluto",
INDIRECT("rec.uni[empresa]"),AE$6)</f>
        <v>0</v>
      </c>
      <c r="AF115" s="38">
        <f ca="1">SUMIFS(rec.uni[2030-05-01],
INDIRECT("rec.uni[natureza]"),"parcela.fin.total.ik",
INDIRECT("rec.uni[empresa]"),AF$6)</f>
        <v>0</v>
      </c>
      <c r="AG115" s="45">
        <f ca="1">SUMIFS(rec.uni[2030-05-01],
INDIRECT("rec.uni[natureza]"),"taxa.extra",
INDIRECT("rec.uni[empresa]"),AG$6)</f>
        <v>0</v>
      </c>
      <c r="AH115" s="131"/>
      <c r="AI115" s="44">
        <f>COUNTIFS(
    estq[empresa], AI$6,
    estq[Data da venda / reserva], "&gt;=" &amp; $A115,
    estq[Data da venda / reserva], "&lt;"  &amp; EOMONTH($A115,0) + 1
)</f>
        <v>0</v>
      </c>
      <c r="AJ115" s="45">
        <f ca="1">SUMIFS(rec.uni[2030-05-01],
INDIRECT("rec.uni[natureza]"),"pro.soluto",
INDIRECT("rec.uni[empresa]"),AJ$6)</f>
        <v>0</v>
      </c>
      <c r="AK115" s="45">
        <f ca="1">SUMIFS(rec.uni[2030-05-01],
INDIRECT("rec.uni[natureza]"),"repasse.cef.obra",
INDIRECT("rec.uni[empresa]"),AK$6)</f>
        <v>0</v>
      </c>
      <c r="AL115" s="45">
        <f ca="1">SUMIFS(rec.uni[2030-05-01],
INDIRECT("rec.uni[natureza]"),"repasse.cef.terreno",
INDIRECT("rec.uni[empresa]"),AL$6)</f>
        <v>0</v>
      </c>
      <c r="AM115" s="38"/>
      <c r="AN115" s="45">
        <f ca="1">SUMIFS(rec.uni[2030-05-01],
INDIRECT("rec.uni[natureza]"),"taxa.extra",
INDIRECT("rec.uni[empresa]"),AN$6)</f>
        <v>0</v>
      </c>
      <c r="AO115" s="131"/>
      <c r="AP115" s="44">
        <f>COUNTIFS(
    estq[empresa], AP$6,
    estq[Data da venda / reserva], "&gt;=" &amp; $A115,
    estq[Data da venda / reserva], "&lt;"  &amp; EOMONTH($A115,0) + 1
)</f>
        <v>0</v>
      </c>
      <c r="AQ115" s="45">
        <f ca="1">SUMIFS(rec.uni[2030-05-01],
INDIRECT("rec.uni[natureza]"),"pro.soluto",
INDIRECT("rec.uni[empresa]"),AQ$6)</f>
        <v>0</v>
      </c>
      <c r="AR115" s="45">
        <f ca="1">SUMIFS(rec.uni[2030-05-01],
INDIRECT("rec.uni[natureza]"),"repasse.cef.obra",
INDIRECT("rec.uni[empresa]"),AR$6)</f>
        <v>0</v>
      </c>
      <c r="AS115" s="45">
        <f ca="1">SUMIFS(rec.uni[2030-05-01],
INDIRECT("rec.uni[natureza]"),"repasse.cef.terreno",
INDIRECT("rec.uni[empresa]"),AS$6)</f>
        <v>0</v>
      </c>
      <c r="AT115" s="38"/>
      <c r="AU115" s="45">
        <f ca="1">SUMIFS(rec.uni[2030-05-01],
INDIRECT("rec.uni[natureza]"),"taxa.extra",
INDIRECT("rec.uni[empresa]"),AU$6)</f>
        <v>0</v>
      </c>
      <c r="AV115" s="131"/>
    </row>
    <row r="116" spans="1:48" x14ac:dyDescent="0.25">
      <c r="A116" s="43">
        <v>47635</v>
      </c>
      <c r="B116" s="44">
        <f>COUNTIFS(
    estq[empresa], B$6,
    estq[Data da venda / reserva], "&gt;=" &amp; $A116,
    estq[Data da venda / reserva], "&lt;"  &amp; EOMONTH($A116,0) + 1
)</f>
        <v>0</v>
      </c>
      <c r="C116" s="45">
        <f ca="1">SUMIFS(rec.uni[2030-06-01],
INDIRECT("rec.uni[natureza]"),"pro.soluto",
INDIRECT("rec.uni[empresa]"),C$6)</f>
        <v>0</v>
      </c>
      <c r="D116" s="45">
        <f ca="1">SUMIFS(rec.uni[2030-06-01],
INDIRECT("rec.uni[natureza]"),"repasse.cef.obra",
INDIRECT("rec.uni[empresa]"),D$6)</f>
        <v>0</v>
      </c>
      <c r="E116" s="45">
        <f ca="1">SUMIFS(rec.uni[2030-06-01],
INDIRECT("rec.uni[natureza]"),"repasse.cef.terreno",
INDIRECT("rec.uni[empresa]"),E$6)</f>
        <v>0</v>
      </c>
      <c r="F116" s="38"/>
      <c r="G116" s="45">
        <f ca="1">SUMIFS(rec.uni[2030-06-01],
INDIRECT("rec.uni[natureza]"),"taxa.extra",
INDIRECT("rec.uni[empresa]"),G$6)</f>
        <v>0</v>
      </c>
      <c r="H116" s="131"/>
      <c r="I116" s="44">
        <f>COUNTIFS(
    estq[empresa], I$6,
    estq[Data da venda / reserva], "&gt;=" &amp; $A116,
    estq[Data da venda / reserva], "&lt;"  &amp; EOMONTH($A116,0) + 1
)</f>
        <v>0</v>
      </c>
      <c r="J116" s="45">
        <f ca="1">SUMIFS(rec.uni[2030-06-01],
INDIRECT("rec.uni[natureza]"),"pro.soluto",
INDIRECT("rec.uni[empresa]"),J$6)</f>
        <v>0</v>
      </c>
      <c r="K116" s="45">
        <f ca="1">SUMIFS(rec.uni[2030-06-01],
INDIRECT("rec.uni[natureza]"),"repasse.cef.obra",
INDIRECT("rec.uni[empresa]"),K$6)</f>
        <v>0</v>
      </c>
      <c r="L116" s="45">
        <f ca="1">SUMIFS(rec.uni[2030-06-01],
INDIRECT("rec.uni[natureza]"),"repasse.cef.terreno",
INDIRECT("rec.uni[empresa]"),L$6)</f>
        <v>0</v>
      </c>
      <c r="M116" s="38"/>
      <c r="N116" s="45">
        <f ca="1">SUMIFS(rec.uni[2030-06-01],
INDIRECT("rec.uni[natureza]"),"taxa.extra",
INDIRECT("rec.uni[empresa]"),N$6)</f>
        <v>0</v>
      </c>
      <c r="O116" s="131"/>
      <c r="P116" s="44">
        <f>COUNTIFS(
    estq[empresa], P$6,
    estq[Data da venda / reserva], "&gt;=" &amp; $A116,
    estq[Data da venda / reserva], "&lt;"  &amp; EOMONTH($A116,0) + 1
)</f>
        <v>0</v>
      </c>
      <c r="Q116" s="45">
        <f ca="1">SUMIFS(rec.uni[2030-06-01],
INDIRECT("rec.uni[natureza]"),"pro.soluto",
INDIRECT("rec.uni[empresa]"),Q$6)</f>
        <v>0</v>
      </c>
      <c r="R116" s="45">
        <f ca="1">SUMIFS(rec.uni[2030-06-01],
INDIRECT("rec.uni[natureza]"),"repasse.cef.obra",
INDIRECT("rec.uni[empresa]"),R$6)</f>
        <v>0</v>
      </c>
      <c r="S116" s="45">
        <f ca="1">SUMIFS(rec.uni[2030-06-01],
INDIRECT("rec.uni[natureza]"),"repasse.cef.terreno",
INDIRECT("rec.uni[empresa]"),S$6)</f>
        <v>0</v>
      </c>
      <c r="T116" s="38"/>
      <c r="U116" s="45">
        <f ca="1">SUMIFS(rec.uni[2030-06-01],
INDIRECT("rec.uni[natureza]"),"taxa.extra",
INDIRECT("rec.uni[empresa]"),U$6)</f>
        <v>0</v>
      </c>
      <c r="V116" s="131"/>
      <c r="W116" s="44">
        <f>COUNTIFS(
    estq[empresa], W$6,
    estq[Data da venda / reserva], "&gt;=" &amp; $A116,
    estq[Data da venda / reserva], "&lt;"  &amp; EOMONTH($A116,0) + 1
)</f>
        <v>0</v>
      </c>
      <c r="X116" s="45">
        <f ca="1">SUMIFS(rec.uni[2030-06-01],
INDIRECT("rec.uni[natureza]"),"pro.soluto",
INDIRECT("rec.uni[empresa]"),X$6)</f>
        <v>0</v>
      </c>
      <c r="Y116" s="45">
        <f ca="1">SUMIFS(rec.uni[2030-06-01],
INDIRECT("rec.uni[natureza]"),"repasse.cef.obra",
INDIRECT("rec.uni[empresa]"),Y$6)</f>
        <v>0</v>
      </c>
      <c r="Z116" s="45">
        <f ca="1">SUMIFS(rec.uni[2030-06-01],
INDIRECT("rec.uni[natureza]"),"repasse.cef.terreno",
INDIRECT("rec.uni[empresa]"),Z$6)</f>
        <v>0</v>
      </c>
      <c r="AA116" s="38"/>
      <c r="AB116" s="45">
        <f ca="1">SUMIFS(rec.uni[2030-06-01],
INDIRECT("rec.uni[natureza]"),"taxa.extra",
INDIRECT("rec.uni[empresa]"),AB$6)</f>
        <v>0</v>
      </c>
      <c r="AC116" s="131"/>
      <c r="AD116" s="44">
        <f>COUNTIFS(
    estq[empresa], AD$6,
    estq[Data da venda / reserva], "&gt;=" &amp; $A116,
    estq[Data da venda / reserva], "&lt;"  &amp; EOMONTH($A116,0) + 1
)</f>
        <v>0</v>
      </c>
      <c r="AE116" s="45">
        <f ca="1">SUMIFS(rec.uni[2030-06-01],
INDIRECT("rec.uni[natureza]"),"pro.soluto",
INDIRECT("rec.uni[empresa]"),AE$6)</f>
        <v>0</v>
      </c>
      <c r="AF116" s="38">
        <f ca="1">SUMIFS(rec.uni[2030-06-01],
INDIRECT("rec.uni[natureza]"),"parcela.fin.total.ik",
INDIRECT("rec.uni[empresa]"),AF$6)</f>
        <v>0</v>
      </c>
      <c r="AG116" s="45">
        <f ca="1">SUMIFS(rec.uni[2030-06-01],
INDIRECT("rec.uni[natureza]"),"taxa.extra",
INDIRECT("rec.uni[empresa]"),AG$6)</f>
        <v>0</v>
      </c>
      <c r="AH116" s="131"/>
      <c r="AI116" s="44">
        <f>COUNTIFS(
    estq[empresa], AI$6,
    estq[Data da venda / reserva], "&gt;=" &amp; $A116,
    estq[Data da venda / reserva], "&lt;"  &amp; EOMONTH($A116,0) + 1
)</f>
        <v>0</v>
      </c>
      <c r="AJ116" s="45">
        <f ca="1">SUMIFS(rec.uni[2030-06-01],
INDIRECT("rec.uni[natureza]"),"pro.soluto",
INDIRECT("rec.uni[empresa]"),AJ$6)</f>
        <v>0</v>
      </c>
      <c r="AK116" s="45">
        <f ca="1">SUMIFS(rec.uni[2030-06-01],
INDIRECT("rec.uni[natureza]"),"repasse.cef.obra",
INDIRECT("rec.uni[empresa]"),AK$6)</f>
        <v>0</v>
      </c>
      <c r="AL116" s="45">
        <f ca="1">SUMIFS(rec.uni[2030-06-01],
INDIRECT("rec.uni[natureza]"),"repasse.cef.terreno",
INDIRECT("rec.uni[empresa]"),AL$6)</f>
        <v>0</v>
      </c>
      <c r="AM116" s="38"/>
      <c r="AN116" s="45">
        <f ca="1">SUMIFS(rec.uni[2030-06-01],
INDIRECT("rec.uni[natureza]"),"taxa.extra",
INDIRECT("rec.uni[empresa]"),AN$6)</f>
        <v>0</v>
      </c>
      <c r="AO116" s="131"/>
      <c r="AP116" s="44">
        <f>COUNTIFS(
    estq[empresa], AP$6,
    estq[Data da venda / reserva], "&gt;=" &amp; $A116,
    estq[Data da venda / reserva], "&lt;"  &amp; EOMONTH($A116,0) + 1
)</f>
        <v>0</v>
      </c>
      <c r="AQ116" s="45">
        <f ca="1">SUMIFS(rec.uni[2030-06-01],
INDIRECT("rec.uni[natureza]"),"pro.soluto",
INDIRECT("rec.uni[empresa]"),AQ$6)</f>
        <v>0</v>
      </c>
      <c r="AR116" s="45">
        <f ca="1">SUMIFS(rec.uni[2030-06-01],
INDIRECT("rec.uni[natureza]"),"repasse.cef.obra",
INDIRECT("rec.uni[empresa]"),AR$6)</f>
        <v>0</v>
      </c>
      <c r="AS116" s="45">
        <f ca="1">SUMIFS(rec.uni[2030-06-01],
INDIRECT("rec.uni[natureza]"),"repasse.cef.terreno",
INDIRECT("rec.uni[empresa]"),AS$6)</f>
        <v>0</v>
      </c>
      <c r="AT116" s="38"/>
      <c r="AU116" s="45">
        <f ca="1">SUMIFS(rec.uni[2030-06-01],
INDIRECT("rec.uni[natureza]"),"taxa.extra",
INDIRECT("rec.uni[empresa]"),AU$6)</f>
        <v>0</v>
      </c>
      <c r="AV116" s="131"/>
    </row>
    <row r="117" spans="1:48" x14ac:dyDescent="0.25">
      <c r="A117" s="43">
        <v>47665</v>
      </c>
      <c r="B117" s="44">
        <f>COUNTIFS(
    estq[empresa], B$6,
    estq[Data da venda / reserva], "&gt;=" &amp; $A117,
    estq[Data da venda / reserva], "&lt;"  &amp; EOMONTH($A117,0) + 1
)</f>
        <v>0</v>
      </c>
      <c r="C117" s="45">
        <f ca="1">SUMIFS(rec.uni[2030-07-01],
INDIRECT("rec.uni[natureza]"),"pro.soluto",
INDIRECT("rec.uni[empresa]"),C$6)</f>
        <v>0</v>
      </c>
      <c r="D117" s="45">
        <f ca="1">SUMIFS(rec.uni[2030-07-01],
INDIRECT("rec.uni[natureza]"),"repasse.cef.obra",
INDIRECT("rec.uni[empresa]"),D$6)</f>
        <v>0</v>
      </c>
      <c r="E117" s="45">
        <f ca="1">SUMIFS(rec.uni[2030-07-01],
INDIRECT("rec.uni[natureza]"),"repasse.cef.terreno",
INDIRECT("rec.uni[empresa]"),E$6)</f>
        <v>0</v>
      </c>
      <c r="F117" s="38"/>
      <c r="G117" s="45">
        <f ca="1">SUMIFS(rec.uni[2030-07-01],
INDIRECT("rec.uni[natureza]"),"taxa.extra",
INDIRECT("rec.uni[empresa]"),G$6)</f>
        <v>0</v>
      </c>
      <c r="H117" s="131"/>
      <c r="I117" s="44">
        <f>COUNTIFS(
    estq[empresa], I$6,
    estq[Data da venda / reserva], "&gt;=" &amp; $A117,
    estq[Data da venda / reserva], "&lt;"  &amp; EOMONTH($A117,0) + 1
)</f>
        <v>0</v>
      </c>
      <c r="J117" s="45">
        <f ca="1">SUMIFS(rec.uni[2030-07-01],
INDIRECT("rec.uni[natureza]"),"pro.soluto",
INDIRECT("rec.uni[empresa]"),J$6)</f>
        <v>0</v>
      </c>
      <c r="K117" s="45">
        <f ca="1">SUMIFS(rec.uni[2030-07-01],
INDIRECT("rec.uni[natureza]"),"repasse.cef.obra",
INDIRECT("rec.uni[empresa]"),K$6)</f>
        <v>0</v>
      </c>
      <c r="L117" s="45">
        <f ca="1">SUMIFS(rec.uni[2030-07-01],
INDIRECT("rec.uni[natureza]"),"repasse.cef.terreno",
INDIRECT("rec.uni[empresa]"),L$6)</f>
        <v>0</v>
      </c>
      <c r="M117" s="38"/>
      <c r="N117" s="45">
        <f ca="1">SUMIFS(rec.uni[2030-07-01],
INDIRECT("rec.uni[natureza]"),"taxa.extra",
INDIRECT("rec.uni[empresa]"),N$6)</f>
        <v>0</v>
      </c>
      <c r="O117" s="131"/>
      <c r="P117" s="44">
        <f>COUNTIFS(
    estq[empresa], P$6,
    estq[Data da venda / reserva], "&gt;=" &amp; $A117,
    estq[Data da venda / reserva], "&lt;"  &amp; EOMONTH($A117,0) + 1
)</f>
        <v>0</v>
      </c>
      <c r="Q117" s="45">
        <f ca="1">SUMIFS(rec.uni[2030-07-01],
INDIRECT("rec.uni[natureza]"),"pro.soluto",
INDIRECT("rec.uni[empresa]"),Q$6)</f>
        <v>0</v>
      </c>
      <c r="R117" s="45">
        <f ca="1">SUMIFS(rec.uni[2030-07-01],
INDIRECT("rec.uni[natureza]"),"repasse.cef.obra",
INDIRECT("rec.uni[empresa]"),R$6)</f>
        <v>0</v>
      </c>
      <c r="S117" s="45">
        <f ca="1">SUMIFS(rec.uni[2030-07-01],
INDIRECT("rec.uni[natureza]"),"repasse.cef.terreno",
INDIRECT("rec.uni[empresa]"),S$6)</f>
        <v>0</v>
      </c>
      <c r="T117" s="38"/>
      <c r="U117" s="45">
        <f ca="1">SUMIFS(rec.uni[2030-07-01],
INDIRECT("rec.uni[natureza]"),"taxa.extra",
INDIRECT("rec.uni[empresa]"),U$6)</f>
        <v>0</v>
      </c>
      <c r="V117" s="131"/>
      <c r="W117" s="44">
        <f>COUNTIFS(
    estq[empresa], W$6,
    estq[Data da venda / reserva], "&gt;=" &amp; $A117,
    estq[Data da venda / reserva], "&lt;"  &amp; EOMONTH($A117,0) + 1
)</f>
        <v>0</v>
      </c>
      <c r="X117" s="45">
        <f ca="1">SUMIFS(rec.uni[2030-07-01],
INDIRECT("rec.uni[natureza]"),"pro.soluto",
INDIRECT("rec.uni[empresa]"),X$6)</f>
        <v>0</v>
      </c>
      <c r="Y117" s="45">
        <f ca="1">SUMIFS(rec.uni[2030-07-01],
INDIRECT("rec.uni[natureza]"),"repasse.cef.obra",
INDIRECT("rec.uni[empresa]"),Y$6)</f>
        <v>0</v>
      </c>
      <c r="Z117" s="45">
        <f ca="1">SUMIFS(rec.uni[2030-07-01],
INDIRECT("rec.uni[natureza]"),"repasse.cef.terreno",
INDIRECT("rec.uni[empresa]"),Z$6)</f>
        <v>0</v>
      </c>
      <c r="AA117" s="38"/>
      <c r="AB117" s="45">
        <f ca="1">SUMIFS(rec.uni[2030-07-01],
INDIRECT("rec.uni[natureza]"),"taxa.extra",
INDIRECT("rec.uni[empresa]"),AB$6)</f>
        <v>0</v>
      </c>
      <c r="AC117" s="131"/>
      <c r="AD117" s="44">
        <f>COUNTIFS(
    estq[empresa], AD$6,
    estq[Data da venda / reserva], "&gt;=" &amp; $A117,
    estq[Data da venda / reserva], "&lt;"  &amp; EOMONTH($A117,0) + 1
)</f>
        <v>0</v>
      </c>
      <c r="AE117" s="45">
        <f ca="1">SUMIFS(rec.uni[2030-07-01],
INDIRECT("rec.uni[natureza]"),"pro.soluto",
INDIRECT("rec.uni[empresa]"),AE$6)</f>
        <v>0</v>
      </c>
      <c r="AF117" s="38">
        <f ca="1">SUMIFS(rec.uni[2030-07-01],
INDIRECT("rec.uni[natureza]"),"parcela.fin.total.ik",
INDIRECT("rec.uni[empresa]"),AF$6)</f>
        <v>0</v>
      </c>
      <c r="AG117" s="45">
        <f ca="1">SUMIFS(rec.uni[2030-07-01],
INDIRECT("rec.uni[natureza]"),"taxa.extra",
INDIRECT("rec.uni[empresa]"),AG$6)</f>
        <v>0</v>
      </c>
      <c r="AH117" s="131"/>
      <c r="AI117" s="44">
        <f>COUNTIFS(
    estq[empresa], AI$6,
    estq[Data da venda / reserva], "&gt;=" &amp; $A117,
    estq[Data da venda / reserva], "&lt;"  &amp; EOMONTH($A117,0) + 1
)</f>
        <v>0</v>
      </c>
      <c r="AJ117" s="45">
        <f ca="1">SUMIFS(rec.uni[2030-07-01],
INDIRECT("rec.uni[natureza]"),"pro.soluto",
INDIRECT("rec.uni[empresa]"),AJ$6)</f>
        <v>0</v>
      </c>
      <c r="AK117" s="45">
        <f ca="1">SUMIFS(rec.uni[2030-07-01],
INDIRECT("rec.uni[natureza]"),"repasse.cef.obra",
INDIRECT("rec.uni[empresa]"),AK$6)</f>
        <v>0</v>
      </c>
      <c r="AL117" s="45">
        <f ca="1">SUMIFS(rec.uni[2030-07-01],
INDIRECT("rec.uni[natureza]"),"repasse.cef.terreno",
INDIRECT("rec.uni[empresa]"),AL$6)</f>
        <v>0</v>
      </c>
      <c r="AM117" s="38"/>
      <c r="AN117" s="45">
        <f ca="1">SUMIFS(rec.uni[2030-07-01],
INDIRECT("rec.uni[natureza]"),"taxa.extra",
INDIRECT("rec.uni[empresa]"),AN$6)</f>
        <v>0</v>
      </c>
      <c r="AO117" s="131"/>
      <c r="AP117" s="44">
        <f>COUNTIFS(
    estq[empresa], AP$6,
    estq[Data da venda / reserva], "&gt;=" &amp; $A117,
    estq[Data da venda / reserva], "&lt;"  &amp; EOMONTH($A117,0) + 1
)</f>
        <v>0</v>
      </c>
      <c r="AQ117" s="45">
        <f ca="1">SUMIFS(rec.uni[2030-07-01],
INDIRECT("rec.uni[natureza]"),"pro.soluto",
INDIRECT("rec.uni[empresa]"),AQ$6)</f>
        <v>0</v>
      </c>
      <c r="AR117" s="45">
        <f ca="1">SUMIFS(rec.uni[2030-07-01],
INDIRECT("rec.uni[natureza]"),"repasse.cef.obra",
INDIRECT("rec.uni[empresa]"),AR$6)</f>
        <v>0</v>
      </c>
      <c r="AS117" s="45">
        <f ca="1">SUMIFS(rec.uni[2030-07-01],
INDIRECT("rec.uni[natureza]"),"repasse.cef.terreno",
INDIRECT("rec.uni[empresa]"),AS$6)</f>
        <v>0</v>
      </c>
      <c r="AT117" s="38"/>
      <c r="AU117" s="45">
        <f ca="1">SUMIFS(rec.uni[2030-07-01],
INDIRECT("rec.uni[natureza]"),"taxa.extra",
INDIRECT("rec.uni[empresa]"),AU$6)</f>
        <v>0</v>
      </c>
      <c r="AV117" s="131"/>
    </row>
    <row r="118" spans="1:48" x14ac:dyDescent="0.25">
      <c r="A118" s="43">
        <v>47696</v>
      </c>
      <c r="B118" s="44">
        <f>COUNTIFS(
    estq[empresa], B$6,
    estq[Data da venda / reserva], "&gt;=" &amp; $A118,
    estq[Data da venda / reserva], "&lt;"  &amp; EOMONTH($A118,0) + 1
)</f>
        <v>0</v>
      </c>
      <c r="C118" s="45">
        <f ca="1">SUMIFS(rec.uni[2030-08-01],
INDIRECT("rec.uni[natureza]"),"pro.soluto",
INDIRECT("rec.uni[empresa]"),C$6)</f>
        <v>0</v>
      </c>
      <c r="D118" s="45">
        <f ca="1">SUMIFS(rec.uni[2030-08-01],
INDIRECT("rec.uni[natureza]"),"repasse.cef.obra",
INDIRECT("rec.uni[empresa]"),D$6)</f>
        <v>0</v>
      </c>
      <c r="E118" s="45">
        <f ca="1">SUMIFS(rec.uni[2030-08-01],
INDIRECT("rec.uni[natureza]"),"repasse.cef.terreno",
INDIRECT("rec.uni[empresa]"),E$6)</f>
        <v>0</v>
      </c>
      <c r="F118" s="38"/>
      <c r="G118" s="45">
        <f ca="1">SUMIFS(rec.uni[2030-08-01],
INDIRECT("rec.uni[natureza]"),"taxa.extra",
INDIRECT("rec.uni[empresa]"),G$6)</f>
        <v>0</v>
      </c>
      <c r="H118" s="131"/>
      <c r="I118" s="44">
        <f>COUNTIFS(
    estq[empresa], I$6,
    estq[Data da venda / reserva], "&gt;=" &amp; $A118,
    estq[Data da venda / reserva], "&lt;"  &amp; EOMONTH($A118,0) + 1
)</f>
        <v>0</v>
      </c>
      <c r="J118" s="45">
        <f ca="1">SUMIFS(rec.uni[2030-08-01],
INDIRECT("rec.uni[natureza]"),"pro.soluto",
INDIRECT("rec.uni[empresa]"),J$6)</f>
        <v>0</v>
      </c>
      <c r="K118" s="45">
        <f ca="1">SUMIFS(rec.uni[2030-08-01],
INDIRECT("rec.uni[natureza]"),"repasse.cef.obra",
INDIRECT("rec.uni[empresa]"),K$6)</f>
        <v>0</v>
      </c>
      <c r="L118" s="45">
        <f ca="1">SUMIFS(rec.uni[2030-08-01],
INDIRECT("rec.uni[natureza]"),"repasse.cef.terreno",
INDIRECT("rec.uni[empresa]"),L$6)</f>
        <v>0</v>
      </c>
      <c r="M118" s="38"/>
      <c r="N118" s="45">
        <f ca="1">SUMIFS(rec.uni[2030-08-01],
INDIRECT("rec.uni[natureza]"),"taxa.extra",
INDIRECT("rec.uni[empresa]"),N$6)</f>
        <v>0</v>
      </c>
      <c r="O118" s="131"/>
      <c r="P118" s="44">
        <f>COUNTIFS(
    estq[empresa], P$6,
    estq[Data da venda / reserva], "&gt;=" &amp; $A118,
    estq[Data da venda / reserva], "&lt;"  &amp; EOMONTH($A118,0) + 1
)</f>
        <v>0</v>
      </c>
      <c r="Q118" s="45">
        <f ca="1">SUMIFS(rec.uni[2030-08-01],
INDIRECT("rec.uni[natureza]"),"pro.soluto",
INDIRECT("rec.uni[empresa]"),Q$6)</f>
        <v>0</v>
      </c>
      <c r="R118" s="45">
        <f ca="1">SUMIFS(rec.uni[2030-08-01],
INDIRECT("rec.uni[natureza]"),"repasse.cef.obra",
INDIRECT("rec.uni[empresa]"),R$6)</f>
        <v>0</v>
      </c>
      <c r="S118" s="45">
        <f ca="1">SUMIFS(rec.uni[2030-08-01],
INDIRECT("rec.uni[natureza]"),"repasse.cef.terreno",
INDIRECT("rec.uni[empresa]"),S$6)</f>
        <v>0</v>
      </c>
      <c r="T118" s="38"/>
      <c r="U118" s="45">
        <f ca="1">SUMIFS(rec.uni[2030-08-01],
INDIRECT("rec.uni[natureza]"),"taxa.extra",
INDIRECT("rec.uni[empresa]"),U$6)</f>
        <v>0</v>
      </c>
      <c r="V118" s="131"/>
      <c r="W118" s="44">
        <f>COUNTIFS(
    estq[empresa], W$6,
    estq[Data da venda / reserva], "&gt;=" &amp; $A118,
    estq[Data da venda / reserva], "&lt;"  &amp; EOMONTH($A118,0) + 1
)</f>
        <v>0</v>
      </c>
      <c r="X118" s="45">
        <f ca="1">SUMIFS(rec.uni[2030-08-01],
INDIRECT("rec.uni[natureza]"),"pro.soluto",
INDIRECT("rec.uni[empresa]"),X$6)</f>
        <v>0</v>
      </c>
      <c r="Y118" s="45">
        <f ca="1">SUMIFS(rec.uni[2030-08-01],
INDIRECT("rec.uni[natureza]"),"repasse.cef.obra",
INDIRECT("rec.uni[empresa]"),Y$6)</f>
        <v>0</v>
      </c>
      <c r="Z118" s="45">
        <f ca="1">SUMIFS(rec.uni[2030-08-01],
INDIRECT("rec.uni[natureza]"),"repasse.cef.terreno",
INDIRECT("rec.uni[empresa]"),Z$6)</f>
        <v>0</v>
      </c>
      <c r="AA118" s="38"/>
      <c r="AB118" s="45">
        <f ca="1">SUMIFS(rec.uni[2030-08-01],
INDIRECT("rec.uni[natureza]"),"taxa.extra",
INDIRECT("rec.uni[empresa]"),AB$6)</f>
        <v>0</v>
      </c>
      <c r="AC118" s="131"/>
      <c r="AD118" s="44">
        <f>COUNTIFS(
    estq[empresa], AD$6,
    estq[Data da venda / reserva], "&gt;=" &amp; $A118,
    estq[Data da venda / reserva], "&lt;"  &amp; EOMONTH($A118,0) + 1
)</f>
        <v>0</v>
      </c>
      <c r="AE118" s="45">
        <f ca="1">SUMIFS(rec.uni[2030-08-01],
INDIRECT("rec.uni[natureza]"),"pro.soluto",
INDIRECT("rec.uni[empresa]"),AE$6)</f>
        <v>0</v>
      </c>
      <c r="AF118" s="38">
        <f ca="1">SUMIFS(rec.uni[2030-08-01],
INDIRECT("rec.uni[natureza]"),"parcela.fin.total.ik",
INDIRECT("rec.uni[empresa]"),AF$6)</f>
        <v>0</v>
      </c>
      <c r="AG118" s="45">
        <f ca="1">SUMIFS(rec.uni[2030-08-01],
INDIRECT("rec.uni[natureza]"),"taxa.extra",
INDIRECT("rec.uni[empresa]"),AG$6)</f>
        <v>0</v>
      </c>
      <c r="AH118" s="131"/>
      <c r="AI118" s="44">
        <f>COUNTIFS(
    estq[empresa], AI$6,
    estq[Data da venda / reserva], "&gt;=" &amp; $A118,
    estq[Data da venda / reserva], "&lt;"  &amp; EOMONTH($A118,0) + 1
)</f>
        <v>0</v>
      </c>
      <c r="AJ118" s="45">
        <f ca="1">SUMIFS(rec.uni[2030-08-01],
INDIRECT("rec.uni[natureza]"),"pro.soluto",
INDIRECT("rec.uni[empresa]"),AJ$6)</f>
        <v>0</v>
      </c>
      <c r="AK118" s="45">
        <f ca="1">SUMIFS(rec.uni[2030-08-01],
INDIRECT("rec.uni[natureza]"),"repasse.cef.obra",
INDIRECT("rec.uni[empresa]"),AK$6)</f>
        <v>0</v>
      </c>
      <c r="AL118" s="45">
        <f ca="1">SUMIFS(rec.uni[2030-08-01],
INDIRECT("rec.uni[natureza]"),"repasse.cef.terreno",
INDIRECT("rec.uni[empresa]"),AL$6)</f>
        <v>0</v>
      </c>
      <c r="AM118" s="38"/>
      <c r="AN118" s="45">
        <f ca="1">SUMIFS(rec.uni[2030-08-01],
INDIRECT("rec.uni[natureza]"),"taxa.extra",
INDIRECT("rec.uni[empresa]"),AN$6)</f>
        <v>0</v>
      </c>
      <c r="AO118" s="131"/>
      <c r="AP118" s="44">
        <f>COUNTIFS(
    estq[empresa], AP$6,
    estq[Data da venda / reserva], "&gt;=" &amp; $A118,
    estq[Data da venda / reserva], "&lt;"  &amp; EOMONTH($A118,0) + 1
)</f>
        <v>0</v>
      </c>
      <c r="AQ118" s="45">
        <f ca="1">SUMIFS(rec.uni[2030-08-01],
INDIRECT("rec.uni[natureza]"),"pro.soluto",
INDIRECT("rec.uni[empresa]"),AQ$6)</f>
        <v>0</v>
      </c>
      <c r="AR118" s="45">
        <f ca="1">SUMIFS(rec.uni[2030-08-01],
INDIRECT("rec.uni[natureza]"),"repasse.cef.obra",
INDIRECT("rec.uni[empresa]"),AR$6)</f>
        <v>0</v>
      </c>
      <c r="AS118" s="45">
        <f ca="1">SUMIFS(rec.uni[2030-08-01],
INDIRECT("rec.uni[natureza]"),"repasse.cef.terreno",
INDIRECT("rec.uni[empresa]"),AS$6)</f>
        <v>0</v>
      </c>
      <c r="AT118" s="38"/>
      <c r="AU118" s="45">
        <f ca="1">SUMIFS(rec.uni[2030-08-01],
INDIRECT("rec.uni[natureza]"),"taxa.extra",
INDIRECT("rec.uni[empresa]"),AU$6)</f>
        <v>0</v>
      </c>
      <c r="AV118" s="131"/>
    </row>
    <row r="119" spans="1:48" x14ac:dyDescent="0.25">
      <c r="A119" s="43">
        <v>47727</v>
      </c>
      <c r="B119" s="44">
        <f>COUNTIFS(
    estq[empresa], B$6,
    estq[Data da venda / reserva], "&gt;=" &amp; $A119,
    estq[Data da venda / reserva], "&lt;"  &amp; EOMONTH($A119,0) + 1
)</f>
        <v>0</v>
      </c>
      <c r="C119" s="45">
        <f ca="1">SUMIFS(rec.uni[2030-09-01],
INDIRECT("rec.uni[natureza]"),"pro.soluto",
INDIRECT("rec.uni[empresa]"),C$6)</f>
        <v>0</v>
      </c>
      <c r="D119" s="45">
        <f ca="1">SUMIFS(rec.uni[2030-09-01],
INDIRECT("rec.uni[natureza]"),"repasse.cef.obra",
INDIRECT("rec.uni[empresa]"),D$6)</f>
        <v>0</v>
      </c>
      <c r="E119" s="45">
        <f ca="1">SUMIFS(rec.uni[2030-09-01],
INDIRECT("rec.uni[natureza]"),"repasse.cef.terreno",
INDIRECT("rec.uni[empresa]"),E$6)</f>
        <v>0</v>
      </c>
      <c r="F119" s="38"/>
      <c r="G119" s="45">
        <f ca="1">SUMIFS(rec.uni[2030-09-01],
INDIRECT("rec.uni[natureza]"),"taxa.extra",
INDIRECT("rec.uni[empresa]"),G$6)</f>
        <v>0</v>
      </c>
      <c r="H119" s="131"/>
      <c r="I119" s="44">
        <f>COUNTIFS(
    estq[empresa], I$6,
    estq[Data da venda / reserva], "&gt;=" &amp; $A119,
    estq[Data da venda / reserva], "&lt;"  &amp; EOMONTH($A119,0) + 1
)</f>
        <v>0</v>
      </c>
      <c r="J119" s="45">
        <f ca="1">SUMIFS(rec.uni[2030-09-01],
INDIRECT("rec.uni[natureza]"),"pro.soluto",
INDIRECT("rec.uni[empresa]"),J$6)</f>
        <v>0</v>
      </c>
      <c r="K119" s="45">
        <f ca="1">SUMIFS(rec.uni[2030-09-01],
INDIRECT("rec.uni[natureza]"),"repasse.cef.obra",
INDIRECT("rec.uni[empresa]"),K$6)</f>
        <v>0</v>
      </c>
      <c r="L119" s="45">
        <f ca="1">SUMIFS(rec.uni[2030-09-01],
INDIRECT("rec.uni[natureza]"),"repasse.cef.terreno",
INDIRECT("rec.uni[empresa]"),L$6)</f>
        <v>0</v>
      </c>
      <c r="M119" s="38"/>
      <c r="N119" s="45">
        <f ca="1">SUMIFS(rec.uni[2030-09-01],
INDIRECT("rec.uni[natureza]"),"taxa.extra",
INDIRECT("rec.uni[empresa]"),N$6)</f>
        <v>0</v>
      </c>
      <c r="O119" s="131"/>
      <c r="P119" s="44">
        <f>COUNTIFS(
    estq[empresa], P$6,
    estq[Data da venda / reserva], "&gt;=" &amp; $A119,
    estq[Data da venda / reserva], "&lt;"  &amp; EOMONTH($A119,0) + 1
)</f>
        <v>0</v>
      </c>
      <c r="Q119" s="45">
        <f ca="1">SUMIFS(rec.uni[2030-09-01],
INDIRECT("rec.uni[natureza]"),"pro.soluto",
INDIRECT("rec.uni[empresa]"),Q$6)</f>
        <v>0</v>
      </c>
      <c r="R119" s="45">
        <f ca="1">SUMIFS(rec.uni[2030-09-01],
INDIRECT("rec.uni[natureza]"),"repasse.cef.obra",
INDIRECT("rec.uni[empresa]"),R$6)</f>
        <v>0</v>
      </c>
      <c r="S119" s="45">
        <f ca="1">SUMIFS(rec.uni[2030-09-01],
INDIRECT("rec.uni[natureza]"),"repasse.cef.terreno",
INDIRECT("rec.uni[empresa]"),S$6)</f>
        <v>0</v>
      </c>
      <c r="T119" s="38"/>
      <c r="U119" s="45">
        <f ca="1">SUMIFS(rec.uni[2030-09-01],
INDIRECT("rec.uni[natureza]"),"taxa.extra",
INDIRECT("rec.uni[empresa]"),U$6)</f>
        <v>0</v>
      </c>
      <c r="V119" s="131"/>
      <c r="W119" s="44">
        <f>COUNTIFS(
    estq[empresa], W$6,
    estq[Data da venda / reserva], "&gt;=" &amp; $A119,
    estq[Data da venda / reserva], "&lt;"  &amp; EOMONTH($A119,0) + 1
)</f>
        <v>0</v>
      </c>
      <c r="X119" s="45">
        <f ca="1">SUMIFS(rec.uni[2030-09-01],
INDIRECT("rec.uni[natureza]"),"pro.soluto",
INDIRECT("rec.uni[empresa]"),X$6)</f>
        <v>0</v>
      </c>
      <c r="Y119" s="45">
        <f ca="1">SUMIFS(rec.uni[2030-09-01],
INDIRECT("rec.uni[natureza]"),"repasse.cef.obra",
INDIRECT("rec.uni[empresa]"),Y$6)</f>
        <v>0</v>
      </c>
      <c r="Z119" s="45">
        <f ca="1">SUMIFS(rec.uni[2030-09-01],
INDIRECT("rec.uni[natureza]"),"repasse.cef.terreno",
INDIRECT("rec.uni[empresa]"),Z$6)</f>
        <v>0</v>
      </c>
      <c r="AA119" s="38"/>
      <c r="AB119" s="45">
        <f ca="1">SUMIFS(rec.uni[2030-09-01],
INDIRECT("rec.uni[natureza]"),"taxa.extra",
INDIRECT("rec.uni[empresa]"),AB$6)</f>
        <v>0</v>
      </c>
      <c r="AC119" s="131"/>
      <c r="AD119" s="44">
        <f>COUNTIFS(
    estq[empresa], AD$6,
    estq[Data da venda / reserva], "&gt;=" &amp; $A119,
    estq[Data da venda / reserva], "&lt;"  &amp; EOMONTH($A119,0) + 1
)</f>
        <v>0</v>
      </c>
      <c r="AE119" s="45">
        <f ca="1">SUMIFS(rec.uni[2030-09-01],
INDIRECT("rec.uni[natureza]"),"pro.soluto",
INDIRECT("rec.uni[empresa]"),AE$6)</f>
        <v>0</v>
      </c>
      <c r="AF119" s="38">
        <f ca="1">SUMIFS(rec.uni[2030-09-01],
INDIRECT("rec.uni[natureza]"),"parcela.fin.total.ik",
INDIRECT("rec.uni[empresa]"),AF$6)</f>
        <v>0</v>
      </c>
      <c r="AG119" s="45">
        <f ca="1">SUMIFS(rec.uni[2030-09-01],
INDIRECT("rec.uni[natureza]"),"taxa.extra",
INDIRECT("rec.uni[empresa]"),AG$6)</f>
        <v>0</v>
      </c>
      <c r="AH119" s="131"/>
      <c r="AI119" s="44">
        <f>COUNTIFS(
    estq[empresa], AI$6,
    estq[Data da venda / reserva], "&gt;=" &amp; $A119,
    estq[Data da venda / reserva], "&lt;"  &amp; EOMONTH($A119,0) + 1
)</f>
        <v>0</v>
      </c>
      <c r="AJ119" s="45">
        <f ca="1">SUMIFS(rec.uni[2030-09-01],
INDIRECT("rec.uni[natureza]"),"pro.soluto",
INDIRECT("rec.uni[empresa]"),AJ$6)</f>
        <v>0</v>
      </c>
      <c r="AK119" s="45">
        <f ca="1">SUMIFS(rec.uni[2030-09-01],
INDIRECT("rec.uni[natureza]"),"repasse.cef.obra",
INDIRECT("rec.uni[empresa]"),AK$6)</f>
        <v>0</v>
      </c>
      <c r="AL119" s="45">
        <f ca="1">SUMIFS(rec.uni[2030-09-01],
INDIRECT("rec.uni[natureza]"),"repasse.cef.terreno",
INDIRECT("rec.uni[empresa]"),AL$6)</f>
        <v>0</v>
      </c>
      <c r="AM119" s="38"/>
      <c r="AN119" s="45">
        <f ca="1">SUMIFS(rec.uni[2030-09-01],
INDIRECT("rec.uni[natureza]"),"taxa.extra",
INDIRECT("rec.uni[empresa]"),AN$6)</f>
        <v>0</v>
      </c>
      <c r="AO119" s="131"/>
      <c r="AP119" s="44">
        <f>COUNTIFS(
    estq[empresa], AP$6,
    estq[Data da venda / reserva], "&gt;=" &amp; $A119,
    estq[Data da venda / reserva], "&lt;"  &amp; EOMONTH($A119,0) + 1
)</f>
        <v>0</v>
      </c>
      <c r="AQ119" s="45">
        <f ca="1">SUMIFS(rec.uni[2030-09-01],
INDIRECT("rec.uni[natureza]"),"pro.soluto",
INDIRECT("rec.uni[empresa]"),AQ$6)</f>
        <v>0</v>
      </c>
      <c r="AR119" s="45">
        <f ca="1">SUMIFS(rec.uni[2030-09-01],
INDIRECT("rec.uni[natureza]"),"repasse.cef.obra",
INDIRECT("rec.uni[empresa]"),AR$6)</f>
        <v>0</v>
      </c>
      <c r="AS119" s="45">
        <f ca="1">SUMIFS(rec.uni[2030-09-01],
INDIRECT("rec.uni[natureza]"),"repasse.cef.terreno",
INDIRECT("rec.uni[empresa]"),AS$6)</f>
        <v>0</v>
      </c>
      <c r="AT119" s="38"/>
      <c r="AU119" s="45">
        <f ca="1">SUMIFS(rec.uni[2030-09-01],
INDIRECT("rec.uni[natureza]"),"taxa.extra",
INDIRECT("rec.uni[empresa]"),AU$6)</f>
        <v>0</v>
      </c>
      <c r="AV119" s="131"/>
    </row>
    <row r="120" spans="1:48" x14ac:dyDescent="0.25">
      <c r="A120" s="43">
        <v>47757</v>
      </c>
      <c r="B120" s="44">
        <f>COUNTIFS(
    estq[empresa], B$6,
    estq[Data da venda / reserva], "&gt;=" &amp; $A120,
    estq[Data da venda / reserva], "&lt;"  &amp; EOMONTH($A120,0) + 1
)</f>
        <v>0</v>
      </c>
      <c r="C120" s="45">
        <f ca="1">SUMIFS(rec.uni[2030-10-01],
INDIRECT("rec.uni[natureza]"),"pro.soluto",
INDIRECT("rec.uni[empresa]"),C$6)</f>
        <v>0</v>
      </c>
      <c r="D120" s="45">
        <f ca="1">SUMIFS(rec.uni[2030-10-01],
INDIRECT("rec.uni[natureza]"),"repasse.cef.obra",
INDIRECT("rec.uni[empresa]"),D$6)</f>
        <v>0</v>
      </c>
      <c r="E120" s="45">
        <f ca="1">SUMIFS(rec.uni[2030-10-01],
INDIRECT("rec.uni[natureza]"),"repasse.cef.terreno",
INDIRECT("rec.uni[empresa]"),E$6)</f>
        <v>0</v>
      </c>
      <c r="F120" s="38"/>
      <c r="G120" s="45">
        <f ca="1">SUMIFS(rec.uni[2030-10-01],
INDIRECT("rec.uni[natureza]"),"taxa.extra",
INDIRECT("rec.uni[empresa]"),G$6)</f>
        <v>0</v>
      </c>
      <c r="H120" s="131"/>
      <c r="I120" s="44">
        <f>COUNTIFS(
    estq[empresa], I$6,
    estq[Data da venda / reserva], "&gt;=" &amp; $A120,
    estq[Data da venda / reserva], "&lt;"  &amp; EOMONTH($A120,0) + 1
)</f>
        <v>0</v>
      </c>
      <c r="J120" s="45">
        <f ca="1">SUMIFS(rec.uni[2030-10-01],
INDIRECT("rec.uni[natureza]"),"pro.soluto",
INDIRECT("rec.uni[empresa]"),J$6)</f>
        <v>0</v>
      </c>
      <c r="K120" s="45">
        <f ca="1">SUMIFS(rec.uni[2030-10-01],
INDIRECT("rec.uni[natureza]"),"repasse.cef.obra",
INDIRECT("rec.uni[empresa]"),K$6)</f>
        <v>0</v>
      </c>
      <c r="L120" s="45">
        <f ca="1">SUMIFS(rec.uni[2030-10-01],
INDIRECT("rec.uni[natureza]"),"repasse.cef.terreno",
INDIRECT("rec.uni[empresa]"),L$6)</f>
        <v>0</v>
      </c>
      <c r="M120" s="38"/>
      <c r="N120" s="45">
        <f ca="1">SUMIFS(rec.uni[2030-10-01],
INDIRECT("rec.uni[natureza]"),"taxa.extra",
INDIRECT("rec.uni[empresa]"),N$6)</f>
        <v>0</v>
      </c>
      <c r="O120" s="131"/>
      <c r="P120" s="44">
        <f>COUNTIFS(
    estq[empresa], P$6,
    estq[Data da venda / reserva], "&gt;=" &amp; $A120,
    estq[Data da venda / reserva], "&lt;"  &amp; EOMONTH($A120,0) + 1
)</f>
        <v>0</v>
      </c>
      <c r="Q120" s="45">
        <f ca="1">SUMIFS(rec.uni[2030-10-01],
INDIRECT("rec.uni[natureza]"),"pro.soluto",
INDIRECT("rec.uni[empresa]"),Q$6)</f>
        <v>0</v>
      </c>
      <c r="R120" s="45">
        <f ca="1">SUMIFS(rec.uni[2030-10-01],
INDIRECT("rec.uni[natureza]"),"repasse.cef.obra",
INDIRECT("rec.uni[empresa]"),R$6)</f>
        <v>0</v>
      </c>
      <c r="S120" s="45">
        <f ca="1">SUMIFS(rec.uni[2030-10-01],
INDIRECT("rec.uni[natureza]"),"repasse.cef.terreno",
INDIRECT("rec.uni[empresa]"),S$6)</f>
        <v>0</v>
      </c>
      <c r="T120" s="38"/>
      <c r="U120" s="45">
        <f ca="1">SUMIFS(rec.uni[2030-10-01],
INDIRECT("rec.uni[natureza]"),"taxa.extra",
INDIRECT("rec.uni[empresa]"),U$6)</f>
        <v>0</v>
      </c>
      <c r="V120" s="131"/>
      <c r="W120" s="44">
        <f>COUNTIFS(
    estq[empresa], W$6,
    estq[Data da venda / reserva], "&gt;=" &amp; $A120,
    estq[Data da venda / reserva], "&lt;"  &amp; EOMONTH($A120,0) + 1
)</f>
        <v>0</v>
      </c>
      <c r="X120" s="45">
        <f ca="1">SUMIFS(rec.uni[2030-10-01],
INDIRECT("rec.uni[natureza]"),"pro.soluto",
INDIRECT("rec.uni[empresa]"),X$6)</f>
        <v>0</v>
      </c>
      <c r="Y120" s="45">
        <f ca="1">SUMIFS(rec.uni[2030-10-01],
INDIRECT("rec.uni[natureza]"),"repasse.cef.obra",
INDIRECT("rec.uni[empresa]"),Y$6)</f>
        <v>0</v>
      </c>
      <c r="Z120" s="45">
        <f ca="1">SUMIFS(rec.uni[2030-10-01],
INDIRECT("rec.uni[natureza]"),"repasse.cef.terreno",
INDIRECT("rec.uni[empresa]"),Z$6)</f>
        <v>0</v>
      </c>
      <c r="AA120" s="38"/>
      <c r="AB120" s="45">
        <f ca="1">SUMIFS(rec.uni[2030-10-01],
INDIRECT("rec.uni[natureza]"),"taxa.extra",
INDIRECT("rec.uni[empresa]"),AB$6)</f>
        <v>0</v>
      </c>
      <c r="AC120" s="131"/>
      <c r="AD120" s="44">
        <f>COUNTIFS(
    estq[empresa], AD$6,
    estq[Data da venda / reserva], "&gt;=" &amp; $A120,
    estq[Data da venda / reserva], "&lt;"  &amp; EOMONTH($A120,0) + 1
)</f>
        <v>0</v>
      </c>
      <c r="AE120" s="45">
        <f ca="1">SUMIFS(rec.uni[2030-10-01],
INDIRECT("rec.uni[natureza]"),"pro.soluto",
INDIRECT("rec.uni[empresa]"),AE$6)</f>
        <v>0</v>
      </c>
      <c r="AF120" s="38">
        <f ca="1">SUMIFS(rec.uni[2030-10-01],
INDIRECT("rec.uni[natureza]"),"parcela.fin.total.ik",
INDIRECT("rec.uni[empresa]"),AF$6)</f>
        <v>0</v>
      </c>
      <c r="AG120" s="45">
        <f ca="1">SUMIFS(rec.uni[2030-10-01],
INDIRECT("rec.uni[natureza]"),"taxa.extra",
INDIRECT("rec.uni[empresa]"),AG$6)</f>
        <v>0</v>
      </c>
      <c r="AH120" s="131"/>
      <c r="AI120" s="44">
        <f>COUNTIFS(
    estq[empresa], AI$6,
    estq[Data da venda / reserva], "&gt;=" &amp; $A120,
    estq[Data da venda / reserva], "&lt;"  &amp; EOMONTH($A120,0) + 1
)</f>
        <v>0</v>
      </c>
      <c r="AJ120" s="45">
        <f ca="1">SUMIFS(rec.uni[2030-10-01],
INDIRECT("rec.uni[natureza]"),"pro.soluto",
INDIRECT("rec.uni[empresa]"),AJ$6)</f>
        <v>0</v>
      </c>
      <c r="AK120" s="45">
        <f ca="1">SUMIFS(rec.uni[2030-10-01],
INDIRECT("rec.uni[natureza]"),"repasse.cef.obra",
INDIRECT("rec.uni[empresa]"),AK$6)</f>
        <v>0</v>
      </c>
      <c r="AL120" s="45">
        <f ca="1">SUMIFS(rec.uni[2030-10-01],
INDIRECT("rec.uni[natureza]"),"repasse.cef.terreno",
INDIRECT("rec.uni[empresa]"),AL$6)</f>
        <v>0</v>
      </c>
      <c r="AM120" s="38"/>
      <c r="AN120" s="45">
        <f ca="1">SUMIFS(rec.uni[2030-10-01],
INDIRECT("rec.uni[natureza]"),"taxa.extra",
INDIRECT("rec.uni[empresa]"),AN$6)</f>
        <v>0</v>
      </c>
      <c r="AO120" s="131"/>
      <c r="AP120" s="44">
        <f>COUNTIFS(
    estq[empresa], AP$6,
    estq[Data da venda / reserva], "&gt;=" &amp; $A120,
    estq[Data da venda / reserva], "&lt;"  &amp; EOMONTH($A120,0) + 1
)</f>
        <v>0</v>
      </c>
      <c r="AQ120" s="45">
        <f ca="1">SUMIFS(rec.uni[2030-10-01],
INDIRECT("rec.uni[natureza]"),"pro.soluto",
INDIRECT("rec.uni[empresa]"),AQ$6)</f>
        <v>0</v>
      </c>
      <c r="AR120" s="45">
        <f ca="1">SUMIFS(rec.uni[2030-10-01],
INDIRECT("rec.uni[natureza]"),"repasse.cef.obra",
INDIRECT("rec.uni[empresa]"),AR$6)</f>
        <v>0</v>
      </c>
      <c r="AS120" s="45">
        <f ca="1">SUMIFS(rec.uni[2030-10-01],
INDIRECT("rec.uni[natureza]"),"repasse.cef.terreno",
INDIRECT("rec.uni[empresa]"),AS$6)</f>
        <v>0</v>
      </c>
      <c r="AT120" s="38"/>
      <c r="AU120" s="45">
        <f ca="1">SUMIFS(rec.uni[2030-10-01],
INDIRECT("rec.uni[natureza]"),"taxa.extra",
INDIRECT("rec.uni[empresa]"),AU$6)</f>
        <v>0</v>
      </c>
      <c r="AV120" s="131"/>
    </row>
    <row r="121" spans="1:48" x14ac:dyDescent="0.25">
      <c r="A121" s="43">
        <v>47788</v>
      </c>
      <c r="B121" s="44">
        <f>COUNTIFS(
    estq[empresa], B$6,
    estq[Data da venda / reserva], "&gt;=" &amp; $A121,
    estq[Data da venda / reserva], "&lt;"  &amp; EOMONTH($A121,0) + 1
)</f>
        <v>0</v>
      </c>
      <c r="C121" s="45">
        <f ca="1">SUMIFS(rec.uni[2030-11-01],
INDIRECT("rec.uni[natureza]"),"pro.soluto",
INDIRECT("rec.uni[empresa]"),C$6)</f>
        <v>0</v>
      </c>
      <c r="D121" s="45">
        <f ca="1">SUMIFS(rec.uni[2030-11-01],
INDIRECT("rec.uni[natureza]"),"repasse.cef.obra",
INDIRECT("rec.uni[empresa]"),D$6)</f>
        <v>0</v>
      </c>
      <c r="E121" s="45">
        <f ca="1">SUMIFS(rec.uni[2030-11-01],
INDIRECT("rec.uni[natureza]"),"repasse.cef.terreno",
INDIRECT("rec.uni[empresa]"),E$6)</f>
        <v>0</v>
      </c>
      <c r="F121" s="38"/>
      <c r="G121" s="45">
        <f ca="1">SUMIFS(rec.uni[2030-11-01],
INDIRECT("rec.uni[natureza]"),"taxa.extra",
INDIRECT("rec.uni[empresa]"),G$6)</f>
        <v>0</v>
      </c>
      <c r="H121" s="131"/>
      <c r="I121" s="44">
        <f>COUNTIFS(
    estq[empresa], I$6,
    estq[Data da venda / reserva], "&gt;=" &amp; $A121,
    estq[Data da venda / reserva], "&lt;"  &amp; EOMONTH($A121,0) + 1
)</f>
        <v>0</v>
      </c>
      <c r="J121" s="45">
        <f ca="1">SUMIFS(rec.uni[2030-11-01],
INDIRECT("rec.uni[natureza]"),"pro.soluto",
INDIRECT("rec.uni[empresa]"),J$6)</f>
        <v>0</v>
      </c>
      <c r="K121" s="45">
        <f ca="1">SUMIFS(rec.uni[2030-11-01],
INDIRECT("rec.uni[natureza]"),"repasse.cef.obra",
INDIRECT("rec.uni[empresa]"),K$6)</f>
        <v>0</v>
      </c>
      <c r="L121" s="45">
        <f ca="1">SUMIFS(rec.uni[2030-11-01],
INDIRECT("rec.uni[natureza]"),"repasse.cef.terreno",
INDIRECT("rec.uni[empresa]"),L$6)</f>
        <v>0</v>
      </c>
      <c r="M121" s="38"/>
      <c r="N121" s="45">
        <f ca="1">SUMIFS(rec.uni[2030-11-01],
INDIRECT("rec.uni[natureza]"),"taxa.extra",
INDIRECT("rec.uni[empresa]"),N$6)</f>
        <v>0</v>
      </c>
      <c r="O121" s="131"/>
      <c r="P121" s="44">
        <f>COUNTIFS(
    estq[empresa], P$6,
    estq[Data da venda / reserva], "&gt;=" &amp; $A121,
    estq[Data da venda / reserva], "&lt;"  &amp; EOMONTH($A121,0) + 1
)</f>
        <v>0</v>
      </c>
      <c r="Q121" s="45">
        <f ca="1">SUMIFS(rec.uni[2030-11-01],
INDIRECT("rec.uni[natureza]"),"pro.soluto",
INDIRECT("rec.uni[empresa]"),Q$6)</f>
        <v>0</v>
      </c>
      <c r="R121" s="45">
        <f ca="1">SUMIFS(rec.uni[2030-11-01],
INDIRECT("rec.uni[natureza]"),"repasse.cef.obra",
INDIRECT("rec.uni[empresa]"),R$6)</f>
        <v>0</v>
      </c>
      <c r="S121" s="45">
        <f ca="1">SUMIFS(rec.uni[2030-11-01],
INDIRECT("rec.uni[natureza]"),"repasse.cef.terreno",
INDIRECT("rec.uni[empresa]"),S$6)</f>
        <v>0</v>
      </c>
      <c r="T121" s="38"/>
      <c r="U121" s="45">
        <f ca="1">SUMIFS(rec.uni[2030-11-01],
INDIRECT("rec.uni[natureza]"),"taxa.extra",
INDIRECT("rec.uni[empresa]"),U$6)</f>
        <v>0</v>
      </c>
      <c r="V121" s="131"/>
      <c r="W121" s="44">
        <f>COUNTIFS(
    estq[empresa], W$6,
    estq[Data da venda / reserva], "&gt;=" &amp; $A121,
    estq[Data da venda / reserva], "&lt;"  &amp; EOMONTH($A121,0) + 1
)</f>
        <v>0</v>
      </c>
      <c r="X121" s="45">
        <f ca="1">SUMIFS(rec.uni[2030-11-01],
INDIRECT("rec.uni[natureza]"),"pro.soluto",
INDIRECT("rec.uni[empresa]"),X$6)</f>
        <v>0</v>
      </c>
      <c r="Y121" s="45">
        <f ca="1">SUMIFS(rec.uni[2030-11-01],
INDIRECT("rec.uni[natureza]"),"repasse.cef.obra",
INDIRECT("rec.uni[empresa]"),Y$6)</f>
        <v>0</v>
      </c>
      <c r="Z121" s="45">
        <f ca="1">SUMIFS(rec.uni[2030-11-01],
INDIRECT("rec.uni[natureza]"),"repasse.cef.terreno",
INDIRECT("rec.uni[empresa]"),Z$6)</f>
        <v>0</v>
      </c>
      <c r="AA121" s="38"/>
      <c r="AB121" s="45">
        <f ca="1">SUMIFS(rec.uni[2030-11-01],
INDIRECT("rec.uni[natureza]"),"taxa.extra",
INDIRECT("rec.uni[empresa]"),AB$6)</f>
        <v>0</v>
      </c>
      <c r="AC121" s="131"/>
      <c r="AD121" s="44">
        <f>COUNTIFS(
    estq[empresa], AD$6,
    estq[Data da venda / reserva], "&gt;=" &amp; $A121,
    estq[Data da venda / reserva], "&lt;"  &amp; EOMONTH($A121,0) + 1
)</f>
        <v>0</v>
      </c>
      <c r="AE121" s="45">
        <f ca="1">SUMIFS(rec.uni[2030-11-01],
INDIRECT("rec.uni[natureza]"),"pro.soluto",
INDIRECT("rec.uni[empresa]"),AE$6)</f>
        <v>0</v>
      </c>
      <c r="AF121" s="38">
        <f ca="1">SUMIFS(rec.uni[2030-11-01],
INDIRECT("rec.uni[natureza]"),"parcela.fin.total.ik",
INDIRECT("rec.uni[empresa]"),AF$6)</f>
        <v>0</v>
      </c>
      <c r="AG121" s="45">
        <f ca="1">SUMIFS(rec.uni[2030-11-01],
INDIRECT("rec.uni[natureza]"),"taxa.extra",
INDIRECT("rec.uni[empresa]"),AG$6)</f>
        <v>0</v>
      </c>
      <c r="AH121" s="131"/>
      <c r="AI121" s="44">
        <f>COUNTIFS(
    estq[empresa], AI$6,
    estq[Data da venda / reserva], "&gt;=" &amp; $A121,
    estq[Data da venda / reserva], "&lt;"  &amp; EOMONTH($A121,0) + 1
)</f>
        <v>0</v>
      </c>
      <c r="AJ121" s="45">
        <f ca="1">SUMIFS(rec.uni[2030-11-01],
INDIRECT("rec.uni[natureza]"),"pro.soluto",
INDIRECT("rec.uni[empresa]"),AJ$6)</f>
        <v>0</v>
      </c>
      <c r="AK121" s="45">
        <f ca="1">SUMIFS(rec.uni[2030-11-01],
INDIRECT("rec.uni[natureza]"),"repasse.cef.obra",
INDIRECT("rec.uni[empresa]"),AK$6)</f>
        <v>0</v>
      </c>
      <c r="AL121" s="45">
        <f ca="1">SUMIFS(rec.uni[2030-11-01],
INDIRECT("rec.uni[natureza]"),"repasse.cef.terreno",
INDIRECT("rec.uni[empresa]"),AL$6)</f>
        <v>0</v>
      </c>
      <c r="AM121" s="38"/>
      <c r="AN121" s="45">
        <f ca="1">SUMIFS(rec.uni[2030-11-01],
INDIRECT("rec.uni[natureza]"),"taxa.extra",
INDIRECT("rec.uni[empresa]"),AN$6)</f>
        <v>0</v>
      </c>
      <c r="AO121" s="131"/>
      <c r="AP121" s="44">
        <f>COUNTIFS(
    estq[empresa], AP$6,
    estq[Data da venda / reserva], "&gt;=" &amp; $A121,
    estq[Data da venda / reserva], "&lt;"  &amp; EOMONTH($A121,0) + 1
)</f>
        <v>0</v>
      </c>
      <c r="AQ121" s="45">
        <f ca="1">SUMIFS(rec.uni[2030-11-01],
INDIRECT("rec.uni[natureza]"),"pro.soluto",
INDIRECT("rec.uni[empresa]"),AQ$6)</f>
        <v>0</v>
      </c>
      <c r="AR121" s="45">
        <f ca="1">SUMIFS(rec.uni[2030-11-01],
INDIRECT("rec.uni[natureza]"),"repasse.cef.obra",
INDIRECT("rec.uni[empresa]"),AR$6)</f>
        <v>0</v>
      </c>
      <c r="AS121" s="45">
        <f ca="1">SUMIFS(rec.uni[2030-11-01],
INDIRECT("rec.uni[natureza]"),"repasse.cef.terreno",
INDIRECT("rec.uni[empresa]"),AS$6)</f>
        <v>0</v>
      </c>
      <c r="AT121" s="38"/>
      <c r="AU121" s="45">
        <f ca="1">SUMIFS(rec.uni[2030-11-01],
INDIRECT("rec.uni[natureza]"),"taxa.extra",
INDIRECT("rec.uni[empresa]"),AU$6)</f>
        <v>0</v>
      </c>
      <c r="AV121" s="131"/>
    </row>
    <row r="122" spans="1:48" x14ac:dyDescent="0.25">
      <c r="A122" s="43">
        <v>47818</v>
      </c>
      <c r="B122" s="47">
        <f>COUNTIFS(
    estq[empresa], B$6,
    estq[Data da venda / reserva], "&gt;=" &amp; $A122,
    estq[Data da venda / reserva], "&lt;"  &amp; EOMONTH($A122,0) + 1
)</f>
        <v>0</v>
      </c>
      <c r="C122" s="46">
        <f ca="1">SUMIFS(rec.uni[2030-12-01],
INDIRECT("rec.uni[natureza]"),"pro.soluto",
INDIRECT("rec.uni[empresa]"),C$6)</f>
        <v>0</v>
      </c>
      <c r="D122" s="46">
        <f ca="1">SUMIFS(rec.uni[2030-12-01],
INDIRECT("rec.uni[natureza]"),"repasse.cef.obra",
INDIRECT("rec.uni[empresa]"),D$6)</f>
        <v>0</v>
      </c>
      <c r="E122" s="46">
        <f ca="1">SUMIFS(rec.uni[2030-12-01],
INDIRECT("rec.uni[natureza]"),"repasse.cef.terreno",
INDIRECT("rec.uni[empresa]"),E$6)</f>
        <v>0</v>
      </c>
      <c r="F122" s="161"/>
      <c r="G122" s="46">
        <f ca="1">SUMIFS(rec.uni[2030-12-01],
INDIRECT("rec.uni[natureza]"),"taxa.extra",
INDIRECT("rec.uni[empresa]"),G$6)</f>
        <v>0</v>
      </c>
      <c r="H122" s="132"/>
      <c r="I122" s="47">
        <f>COUNTIFS(
    estq[empresa], I$6,
    estq[Data da venda / reserva], "&gt;=" &amp; $A122,
    estq[Data da venda / reserva], "&lt;"  &amp; EOMONTH($A122,0) + 1
)</f>
        <v>0</v>
      </c>
      <c r="J122" s="46">
        <f ca="1">SUMIFS(rec.uni[2030-12-01],
INDIRECT("rec.uni[natureza]"),"pro.soluto",
INDIRECT("rec.uni[empresa]"),J$6)</f>
        <v>0</v>
      </c>
      <c r="K122" s="46">
        <f ca="1">SUMIFS(rec.uni[2030-12-01],
INDIRECT("rec.uni[natureza]"),"repasse.cef.obra",
INDIRECT("rec.uni[empresa]"),K$6)</f>
        <v>0</v>
      </c>
      <c r="L122" s="46">
        <f ca="1">SUMIFS(rec.uni[2030-12-01],
INDIRECT("rec.uni[natureza]"),"repasse.cef.terreno",
INDIRECT("rec.uni[empresa]"),L$6)</f>
        <v>0</v>
      </c>
      <c r="M122" s="161"/>
      <c r="N122" s="46">
        <f ca="1">SUMIFS(rec.uni[2030-12-01],
INDIRECT("rec.uni[natureza]"),"taxa.extra",
INDIRECT("rec.uni[empresa]"),N$6)</f>
        <v>0</v>
      </c>
      <c r="O122" s="132"/>
      <c r="P122" s="47">
        <f>COUNTIFS(
    estq[empresa], P$6,
    estq[Data da venda / reserva], "&gt;=" &amp; $A122,
    estq[Data da venda / reserva], "&lt;"  &amp; EOMONTH($A122,0) + 1
)</f>
        <v>0</v>
      </c>
      <c r="Q122" s="46">
        <f ca="1">SUMIFS(rec.uni[2030-12-01],
INDIRECT("rec.uni[natureza]"),"pro.soluto",
INDIRECT("rec.uni[empresa]"),Q$6)</f>
        <v>0</v>
      </c>
      <c r="R122" s="46">
        <f ca="1">SUMIFS(rec.uni[2030-12-01],
INDIRECT("rec.uni[natureza]"),"repasse.cef.obra",
INDIRECT("rec.uni[empresa]"),R$6)</f>
        <v>0</v>
      </c>
      <c r="S122" s="46">
        <f ca="1">SUMIFS(rec.uni[2030-12-01],
INDIRECT("rec.uni[natureza]"),"repasse.cef.terreno",
INDIRECT("rec.uni[empresa]"),S$6)</f>
        <v>0</v>
      </c>
      <c r="T122" s="161"/>
      <c r="U122" s="46">
        <f ca="1">SUMIFS(rec.uni[2030-12-01],
INDIRECT("rec.uni[natureza]"),"taxa.extra",
INDIRECT("rec.uni[empresa]"),U$6)</f>
        <v>0</v>
      </c>
      <c r="V122" s="132"/>
      <c r="W122" s="47">
        <f>COUNTIFS(
    estq[empresa], W$6,
    estq[Data da venda / reserva], "&gt;=" &amp; $A122,
    estq[Data da venda / reserva], "&lt;"  &amp; EOMONTH($A122,0) + 1
)</f>
        <v>0</v>
      </c>
      <c r="X122" s="46">
        <f ca="1">SUMIFS(rec.uni[2030-12-01],
INDIRECT("rec.uni[natureza]"),"pro.soluto",
INDIRECT("rec.uni[empresa]"),X$6)</f>
        <v>0</v>
      </c>
      <c r="Y122" s="46">
        <f ca="1">SUMIFS(rec.uni[2030-12-01],
INDIRECT("rec.uni[natureza]"),"repasse.cef.obra",
INDIRECT("rec.uni[empresa]"),Y$6)</f>
        <v>0</v>
      </c>
      <c r="Z122" s="46">
        <f ca="1">SUMIFS(rec.uni[2030-12-01],
INDIRECT("rec.uni[natureza]"),"repasse.cef.terreno",
INDIRECT("rec.uni[empresa]"),Z$6)</f>
        <v>0</v>
      </c>
      <c r="AA122" s="161"/>
      <c r="AB122" s="46">
        <f ca="1">SUMIFS(rec.uni[2030-12-01],
INDIRECT("rec.uni[natureza]"),"taxa.extra",
INDIRECT("rec.uni[empresa]"),AB$6)</f>
        <v>0</v>
      </c>
      <c r="AC122" s="132"/>
      <c r="AD122" s="47">
        <f>COUNTIFS(
    estq[empresa], AD$6,
    estq[Data da venda / reserva], "&gt;=" &amp; $A122,
    estq[Data da venda / reserva], "&lt;"  &amp; EOMONTH($A122,0) + 1
)</f>
        <v>0</v>
      </c>
      <c r="AE122" s="46">
        <f ca="1">SUMIFS(rec.uni[2030-12-01],
INDIRECT("rec.uni[natureza]"),"pro.soluto",
INDIRECT("rec.uni[empresa]"),AE$6)</f>
        <v>0</v>
      </c>
      <c r="AF122" s="161">
        <f ca="1">SUMIFS(rec.uni[2030-12-01],
INDIRECT("rec.uni[natureza]"),"parcela.fin.total.ik",
INDIRECT("rec.uni[empresa]"),AF$6)</f>
        <v>0</v>
      </c>
      <c r="AG122" s="46">
        <f ca="1">SUMIFS(rec.uni[2030-12-01],
INDIRECT("rec.uni[natureza]"),"taxa.extra",
INDIRECT("rec.uni[empresa]"),AG$6)</f>
        <v>0</v>
      </c>
      <c r="AH122" s="132"/>
      <c r="AI122" s="47">
        <f>COUNTIFS(
    estq[empresa], AI$6,
    estq[Data da venda / reserva], "&gt;=" &amp; $A122,
    estq[Data da venda / reserva], "&lt;"  &amp; EOMONTH($A122,0) + 1
)</f>
        <v>0</v>
      </c>
      <c r="AJ122" s="46">
        <f ca="1">SUMIFS(rec.uni[2030-12-01],
INDIRECT("rec.uni[natureza]"),"pro.soluto",
INDIRECT("rec.uni[empresa]"),AJ$6)</f>
        <v>0</v>
      </c>
      <c r="AK122" s="46">
        <f ca="1">SUMIFS(rec.uni[2030-12-01],
INDIRECT("rec.uni[natureza]"),"repasse.cef.obra",
INDIRECT("rec.uni[empresa]"),AK$6)</f>
        <v>0</v>
      </c>
      <c r="AL122" s="46">
        <f ca="1">SUMIFS(rec.uni[2030-12-01],
INDIRECT("rec.uni[natureza]"),"repasse.cef.terreno",
INDIRECT("rec.uni[empresa]"),AL$6)</f>
        <v>0</v>
      </c>
      <c r="AM122" s="161"/>
      <c r="AN122" s="46">
        <f ca="1">SUMIFS(rec.uni[2030-12-01],
INDIRECT("rec.uni[natureza]"),"taxa.extra",
INDIRECT("rec.uni[empresa]"),AN$6)</f>
        <v>0</v>
      </c>
      <c r="AO122" s="132"/>
      <c r="AP122" s="47">
        <f>COUNTIFS(
    estq[empresa], AP$6,
    estq[Data da venda / reserva], "&gt;=" &amp; $A122,
    estq[Data da venda / reserva], "&lt;"  &amp; EOMONTH($A122,0) + 1
)</f>
        <v>0</v>
      </c>
      <c r="AQ122" s="46">
        <f ca="1">SUMIFS(rec.uni[2030-12-01],
INDIRECT("rec.uni[natureza]"),"pro.soluto",
INDIRECT("rec.uni[empresa]"),AQ$6)</f>
        <v>0</v>
      </c>
      <c r="AR122" s="46">
        <f ca="1">SUMIFS(rec.uni[2030-12-01],
INDIRECT("rec.uni[natureza]"),"repasse.cef.obra",
INDIRECT("rec.uni[empresa]"),AR$6)</f>
        <v>0</v>
      </c>
      <c r="AS122" s="46">
        <f ca="1">SUMIFS(rec.uni[2030-12-01],
INDIRECT("rec.uni[natureza]"),"repasse.cef.terreno",
INDIRECT("rec.uni[empresa]"),AS$6)</f>
        <v>0</v>
      </c>
      <c r="AT122" s="161"/>
      <c r="AU122" s="46">
        <f ca="1">SUMIFS(rec.uni[2030-12-01],
INDIRECT("rec.uni[natureza]"),"taxa.extra",
INDIRECT("rec.uni[empresa]"),AU$6)</f>
        <v>0</v>
      </c>
      <c r="AV122" s="132"/>
    </row>
  </sheetData>
  <conditionalFormatting sqref="A11:AV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I9:AI10 AP9:AP10 AD9:AD10 W9:W10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Q1" zoomScale="80" zoomScaleNormal="80" workbookViewId="0">
      <selection activeCell="B10" sqref="B10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44">
        <v>2301149</v>
      </c>
      <c r="H2" s="10"/>
      <c r="I2" s="7" t="s">
        <v>7</v>
      </c>
      <c r="J2" s="11"/>
      <c r="K2" s="144">
        <v>1567849</v>
      </c>
      <c r="O2" s="10"/>
      <c r="P2" s="7" t="s">
        <v>7</v>
      </c>
      <c r="Q2" s="11"/>
      <c r="R2" s="144">
        <v>5448793</v>
      </c>
      <c r="V2" s="10"/>
      <c r="W2" s="7" t="s">
        <v>7</v>
      </c>
      <c r="X2" s="11"/>
      <c r="Y2" s="144">
        <v>30073218</v>
      </c>
      <c r="Z2" s="10"/>
      <c r="AA2" s="7" t="s">
        <v>7</v>
      </c>
      <c r="AB2" s="11"/>
      <c r="AC2" s="144">
        <v>420000</v>
      </c>
      <c r="AE2" s="10"/>
      <c r="AF2" s="7" t="s">
        <v>7</v>
      </c>
      <c r="AG2" s="11"/>
      <c r="AH2" s="144">
        <v>2222876</v>
      </c>
      <c r="AL2" s="10"/>
      <c r="AM2" s="7" t="s">
        <v>7</v>
      </c>
      <c r="AN2" s="11"/>
      <c r="AO2" s="144">
        <v>35524021</v>
      </c>
      <c r="AP2" s="10"/>
    </row>
    <row r="3" spans="1:42" ht="15.75" x14ac:dyDescent="0.25">
      <c r="B3" s="12" t="s">
        <v>8</v>
      </c>
      <c r="C3" s="13"/>
      <c r="D3" s="145">
        <v>12</v>
      </c>
      <c r="H3" s="10"/>
      <c r="I3" s="12" t="s">
        <v>8</v>
      </c>
      <c r="J3" s="15"/>
      <c r="K3" s="145">
        <v>6</v>
      </c>
      <c r="O3" s="10"/>
      <c r="P3" s="12" t="s">
        <v>8</v>
      </c>
      <c r="Q3" s="15"/>
      <c r="R3" s="145">
        <v>13</v>
      </c>
      <c r="V3" s="10"/>
      <c r="W3" s="12" t="s">
        <v>8</v>
      </c>
      <c r="X3" s="15"/>
      <c r="Y3" s="145">
        <v>93</v>
      </c>
      <c r="Z3" s="10"/>
      <c r="AA3" s="12" t="s">
        <v>8</v>
      </c>
      <c r="AB3" s="15"/>
      <c r="AC3" s="145">
        <v>1</v>
      </c>
      <c r="AE3" s="10"/>
      <c r="AF3" s="12" t="s">
        <v>8</v>
      </c>
      <c r="AG3" s="15"/>
      <c r="AH3" s="145">
        <v>7</v>
      </c>
      <c r="AL3" s="10"/>
      <c r="AM3" s="12" t="s">
        <v>8</v>
      </c>
      <c r="AN3" s="15"/>
      <c r="AO3" s="145">
        <v>107</v>
      </c>
      <c r="AP3" s="10"/>
    </row>
    <row r="4" spans="1:42" ht="15.75" x14ac:dyDescent="0.25">
      <c r="B4" s="7" t="s">
        <v>9</v>
      </c>
      <c r="C4" s="8"/>
      <c r="D4" s="146"/>
      <c r="H4" s="10"/>
      <c r="I4" s="7" t="s">
        <v>9</v>
      </c>
      <c r="J4" s="11"/>
      <c r="K4" s="146"/>
      <c r="O4" s="10"/>
      <c r="P4" s="7" t="s">
        <v>9</v>
      </c>
      <c r="Q4" s="11"/>
      <c r="R4" s="146"/>
      <c r="V4" s="10"/>
      <c r="W4" s="7" t="s">
        <v>9</v>
      </c>
      <c r="X4" s="11"/>
      <c r="Y4" s="146"/>
      <c r="Z4" s="10"/>
      <c r="AA4" s="16"/>
      <c r="AE4" s="10"/>
      <c r="AF4" s="7" t="s">
        <v>9</v>
      </c>
      <c r="AG4" s="11"/>
      <c r="AH4" s="146"/>
      <c r="AL4" s="10"/>
      <c r="AM4" s="7" t="s">
        <v>9</v>
      </c>
      <c r="AN4" s="11"/>
      <c r="AO4" s="146"/>
      <c r="AP4" s="10"/>
    </row>
    <row r="5" spans="1:42" ht="15.75" x14ac:dyDescent="0.25">
      <c r="B5" s="17" t="s">
        <v>10</v>
      </c>
      <c r="C5" s="18"/>
      <c r="D5" s="147"/>
      <c r="H5" s="20"/>
      <c r="I5" s="17" t="s">
        <v>10</v>
      </c>
      <c r="J5" s="21"/>
      <c r="K5" s="147"/>
      <c r="O5" s="20"/>
      <c r="P5" s="17" t="s">
        <v>10</v>
      </c>
      <c r="Q5" s="21"/>
      <c r="R5" s="147"/>
      <c r="V5" s="20"/>
      <c r="W5" s="17" t="s">
        <v>10</v>
      </c>
      <c r="X5" s="21"/>
      <c r="Y5" s="147"/>
      <c r="Z5" s="20"/>
      <c r="AA5" s="22"/>
      <c r="AB5" s="23"/>
      <c r="AE5" s="20"/>
      <c r="AF5" s="17" t="s">
        <v>10</v>
      </c>
      <c r="AG5" s="21"/>
      <c r="AH5" s="147"/>
      <c r="AL5" s="20"/>
      <c r="AM5" s="17" t="s">
        <v>10</v>
      </c>
      <c r="AN5" s="21"/>
      <c r="AO5" s="147"/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AP8" si="0">SUMIF($A$11:$A$122,"&lt;="&amp;$A$1,B$11:B$122)</f>
        <v>84</v>
      </c>
      <c r="C8" s="35">
        <f t="shared" si="0"/>
        <v>5441368</v>
      </c>
      <c r="D8" s="35">
        <f t="shared" si="0"/>
        <v>10969791</v>
      </c>
      <c r="E8" s="35">
        <f t="shared" si="0"/>
        <v>2076560</v>
      </c>
      <c r="F8" s="36">
        <f t="shared" si="0"/>
        <v>0</v>
      </c>
      <c r="G8" s="35">
        <f t="shared" si="0"/>
        <v>0</v>
      </c>
      <c r="H8" s="37">
        <f t="shared" si="0"/>
        <v>0</v>
      </c>
      <c r="I8" s="34">
        <f t="shared" si="0"/>
        <v>151</v>
      </c>
      <c r="J8" s="35">
        <f t="shared" si="0"/>
        <v>17547728</v>
      </c>
      <c r="K8" s="35">
        <f t="shared" si="0"/>
        <v>18611890</v>
      </c>
      <c r="L8" s="35">
        <f t="shared" si="0"/>
        <v>3812440</v>
      </c>
      <c r="M8" s="36">
        <f t="shared" si="0"/>
        <v>0</v>
      </c>
      <c r="N8" s="35">
        <f t="shared" si="0"/>
        <v>0</v>
      </c>
      <c r="O8" s="37">
        <f t="shared" si="0"/>
        <v>0</v>
      </c>
      <c r="P8" s="34">
        <f>SUMIF($A$11:$A$122,"&lt;="&amp;$A$1,P$11:P$122)</f>
        <v>128</v>
      </c>
      <c r="Q8" s="35">
        <f t="shared" si="0"/>
        <v>8224551</v>
      </c>
      <c r="R8" s="35">
        <f t="shared" si="0"/>
        <v>4747377</v>
      </c>
      <c r="S8" s="35">
        <f t="shared" si="0"/>
        <v>4683225</v>
      </c>
      <c r="T8" s="36">
        <f t="shared" si="0"/>
        <v>0</v>
      </c>
      <c r="U8" s="35">
        <f t="shared" si="0"/>
        <v>0</v>
      </c>
      <c r="V8" s="37">
        <f t="shared" si="0"/>
        <v>0</v>
      </c>
      <c r="W8" s="34">
        <f t="shared" ref="W8:AM8" si="1">SUMIF($A$11:$A$122,"&lt;="&amp;$A$1,W$11:W$122)</f>
        <v>121</v>
      </c>
      <c r="X8" s="35">
        <f t="shared" si="0"/>
        <v>1155519</v>
      </c>
      <c r="Y8" s="35">
        <f t="shared" si="0"/>
        <v>0</v>
      </c>
      <c r="Z8" s="37">
        <f t="shared" si="0"/>
        <v>0</v>
      </c>
      <c r="AA8" s="34">
        <f t="shared" si="1"/>
        <v>55</v>
      </c>
      <c r="AB8" s="35">
        <f t="shared" si="0"/>
        <v>8478046</v>
      </c>
      <c r="AC8" s="38" t="s">
        <v>44</v>
      </c>
      <c r="AD8" s="35">
        <f t="shared" si="0"/>
        <v>0</v>
      </c>
      <c r="AE8" s="37">
        <f t="shared" si="0"/>
        <v>0</v>
      </c>
      <c r="AF8" s="34">
        <f t="shared" si="1"/>
        <v>190</v>
      </c>
      <c r="AG8" s="35">
        <f t="shared" si="0"/>
        <v>11982013.73</v>
      </c>
      <c r="AH8" s="35">
        <f t="shared" si="0"/>
        <v>6607255</v>
      </c>
      <c r="AI8" s="35">
        <f t="shared" si="0"/>
        <v>6328879</v>
      </c>
      <c r="AJ8" s="36">
        <f t="shared" si="0"/>
        <v>0</v>
      </c>
      <c r="AK8" s="35">
        <f t="shared" si="0"/>
        <v>0</v>
      </c>
      <c r="AL8" s="37">
        <f t="shared" si="0"/>
        <v>0</v>
      </c>
      <c r="AM8" s="34">
        <f t="shared" si="1"/>
        <v>270</v>
      </c>
      <c r="AN8" s="35">
        <f t="shared" si="0"/>
        <v>4070583</v>
      </c>
      <c r="AO8" s="35">
        <f t="shared" si="0"/>
        <v>0</v>
      </c>
      <c r="AP8" s="37">
        <f t="shared" si="0"/>
        <v>0</v>
      </c>
    </row>
    <row r="9" spans="1:42" ht="15.75" x14ac:dyDescent="0.25">
      <c r="A9" s="33" t="s">
        <v>29</v>
      </c>
      <c r="B9" s="34">
        <f>B$10-B$8</f>
        <v>-84</v>
      </c>
      <c r="C9" s="35">
        <f>SUMIF($A$11:$A$122,"&gt;"&amp;$A$1,C$11:C$122)</f>
        <v>2532963</v>
      </c>
      <c r="D9" s="141">
        <f t="shared" ref="D9:H9" si="2">SUMIF($A$11:$A$122,"&gt;"&amp;$A$1,D$11:D$122)</f>
        <v>2411486</v>
      </c>
      <c r="E9" s="141">
        <f t="shared" si="2"/>
        <v>163842</v>
      </c>
      <c r="F9" s="142">
        <f t="shared" si="2"/>
        <v>0</v>
      </c>
      <c r="G9" s="35">
        <f t="shared" si="2"/>
        <v>0</v>
      </c>
      <c r="H9" s="143">
        <f t="shared" si="2"/>
        <v>0</v>
      </c>
      <c r="I9" s="34">
        <f>I$10-I$8</f>
        <v>-151</v>
      </c>
      <c r="J9" s="35">
        <f t="shared" ref="J9:AP9" si="3">SUMIF($A$11:$A$122,"&gt;"&amp;$A$1,J$11:J$122)</f>
        <v>42900</v>
      </c>
      <c r="K9" s="141">
        <f t="shared" si="3"/>
        <v>0</v>
      </c>
      <c r="L9" s="141">
        <f t="shared" si="3"/>
        <v>0</v>
      </c>
      <c r="M9" s="142">
        <f t="shared" si="3"/>
        <v>0</v>
      </c>
      <c r="N9" s="35">
        <f t="shared" si="3"/>
        <v>0</v>
      </c>
      <c r="O9" s="143">
        <f t="shared" si="3"/>
        <v>0</v>
      </c>
      <c r="P9" s="34">
        <f>P$10-P$8</f>
        <v>-128</v>
      </c>
      <c r="Q9" s="35">
        <f t="shared" si="3"/>
        <v>6883519</v>
      </c>
      <c r="R9" s="141">
        <f t="shared" si="3"/>
        <v>17101428</v>
      </c>
      <c r="S9" s="141">
        <f t="shared" si="3"/>
        <v>148936</v>
      </c>
      <c r="T9" s="142">
        <f t="shared" si="3"/>
        <v>0</v>
      </c>
      <c r="U9" s="35">
        <f t="shared" si="3"/>
        <v>0</v>
      </c>
      <c r="V9" s="143">
        <f t="shared" si="3"/>
        <v>0</v>
      </c>
      <c r="W9" s="34">
        <f>W$10-W$8</f>
        <v>-121</v>
      </c>
      <c r="X9" s="35">
        <f t="shared" si="3"/>
        <v>5494622</v>
      </c>
      <c r="Y9" s="35">
        <f t="shared" si="3"/>
        <v>0</v>
      </c>
      <c r="Z9" s="143">
        <f t="shared" si="3"/>
        <v>0</v>
      </c>
      <c r="AA9" s="34">
        <f>AA$10-AA$8</f>
        <v>-55</v>
      </c>
      <c r="AB9" s="35">
        <f t="shared" si="3"/>
        <v>3542427</v>
      </c>
      <c r="AC9" s="141">
        <f>SUMIF($A$11:$A$122,"&gt;"&amp;$A$1,AC$11:AC$122)</f>
        <v>13476430</v>
      </c>
      <c r="AD9" s="35">
        <f t="shared" si="3"/>
        <v>0</v>
      </c>
      <c r="AE9" s="143">
        <f t="shared" si="3"/>
        <v>0</v>
      </c>
      <c r="AF9" s="34">
        <f>AF$10-AF$8</f>
        <v>-190</v>
      </c>
      <c r="AG9" s="35">
        <f t="shared" si="3"/>
        <v>6927535</v>
      </c>
      <c r="AH9" s="141">
        <f t="shared" si="3"/>
        <v>25947554</v>
      </c>
      <c r="AI9" s="141">
        <f t="shared" si="3"/>
        <v>369231</v>
      </c>
      <c r="AJ9" s="142">
        <f t="shared" si="3"/>
        <v>0</v>
      </c>
      <c r="AK9" s="35">
        <f t="shared" si="3"/>
        <v>0</v>
      </c>
      <c r="AL9" s="143">
        <f t="shared" si="3"/>
        <v>0</v>
      </c>
      <c r="AM9" s="34">
        <f>AM$10-AM$8</f>
        <v>-270</v>
      </c>
      <c r="AN9" s="35">
        <f t="shared" si="3"/>
        <v>14956888</v>
      </c>
      <c r="AO9" s="35">
        <f t="shared" si="3"/>
        <v>0</v>
      </c>
      <c r="AP9" s="143">
        <f t="shared" si="3"/>
        <v>0</v>
      </c>
    </row>
    <row r="10" spans="1:42" ht="15.75" x14ac:dyDescent="0.25">
      <c r="A10" s="39" t="s">
        <v>30</v>
      </c>
      <c r="B10" s="133">
        <f>status.unis!H4</f>
        <v>0</v>
      </c>
      <c r="C10" s="40">
        <f t="shared" ref="C10:H10" si="4">SUM(C8:C9)</f>
        <v>7974331</v>
      </c>
      <c r="D10" s="40">
        <f t="shared" si="4"/>
        <v>13381277</v>
      </c>
      <c r="E10" s="40">
        <f t="shared" si="4"/>
        <v>2240402</v>
      </c>
      <c r="F10" s="41">
        <f t="shared" si="4"/>
        <v>0</v>
      </c>
      <c r="G10" s="40">
        <f t="shared" si="4"/>
        <v>0</v>
      </c>
      <c r="H10" s="42">
        <f t="shared" si="4"/>
        <v>0</v>
      </c>
      <c r="I10" s="133">
        <f>status.unis!H8</f>
        <v>0</v>
      </c>
      <c r="J10" s="40">
        <f t="shared" ref="J10:O10" si="5">SUM(J8:J9)</f>
        <v>17590628</v>
      </c>
      <c r="K10" s="40">
        <f t="shared" si="5"/>
        <v>18611890</v>
      </c>
      <c r="L10" s="40">
        <f t="shared" si="5"/>
        <v>3812440</v>
      </c>
      <c r="M10" s="41">
        <f t="shared" si="5"/>
        <v>0</v>
      </c>
      <c r="N10" s="40">
        <f t="shared" si="5"/>
        <v>0</v>
      </c>
      <c r="O10" s="42">
        <f t="shared" si="5"/>
        <v>0</v>
      </c>
      <c r="P10" s="133">
        <f>status.unis!H12</f>
        <v>0</v>
      </c>
      <c r="Q10" s="40">
        <f t="shared" ref="Q10:V10" si="6">SUM(Q8:Q9)</f>
        <v>15108070</v>
      </c>
      <c r="R10" s="40">
        <f t="shared" si="6"/>
        <v>21848805</v>
      </c>
      <c r="S10" s="40">
        <f t="shared" si="6"/>
        <v>4832161</v>
      </c>
      <c r="T10" s="41">
        <f t="shared" si="6"/>
        <v>0</v>
      </c>
      <c r="U10" s="40">
        <f t="shared" si="6"/>
        <v>0</v>
      </c>
      <c r="V10" s="42">
        <f t="shared" si="6"/>
        <v>0</v>
      </c>
      <c r="W10" s="133">
        <f>status.unis!H16</f>
        <v>0</v>
      </c>
      <c r="X10" s="40">
        <f>SUM(X8:X9)</f>
        <v>6650141</v>
      </c>
      <c r="Y10" s="40">
        <f>SUM(Y8:Y9)</f>
        <v>0</v>
      </c>
      <c r="Z10" s="42">
        <f>SUM(Z8:Z9)</f>
        <v>0</v>
      </c>
      <c r="AA10" s="133">
        <f>status.unis!H20</f>
        <v>0</v>
      </c>
      <c r="AB10" s="40">
        <f>SUM(AB8:AB9)</f>
        <v>12020473</v>
      </c>
      <c r="AC10" s="40">
        <f>SUM(AC8:AC9)</f>
        <v>13476430</v>
      </c>
      <c r="AD10" s="40">
        <f>SUM(AD8:AD9)</f>
        <v>0</v>
      </c>
      <c r="AE10" s="42">
        <f>SUM(AE8:AE9)</f>
        <v>0</v>
      </c>
      <c r="AF10" s="133">
        <f>status.unis!H24</f>
        <v>0</v>
      </c>
      <c r="AG10" s="40">
        <f t="shared" ref="AG10:AL10" si="7">SUM(AG8:AG9)</f>
        <v>18909548.73</v>
      </c>
      <c r="AH10" s="40">
        <f t="shared" si="7"/>
        <v>32554809</v>
      </c>
      <c r="AI10" s="40">
        <f t="shared" si="7"/>
        <v>6698110</v>
      </c>
      <c r="AJ10" s="41">
        <f t="shared" si="7"/>
        <v>0</v>
      </c>
      <c r="AK10" s="40">
        <f t="shared" si="7"/>
        <v>0</v>
      </c>
      <c r="AL10" s="42">
        <f t="shared" si="7"/>
        <v>0</v>
      </c>
      <c r="AM10" s="133">
        <f>status.unis!H28</f>
        <v>0</v>
      </c>
      <c r="AN10" s="40">
        <f>SUM(AN8:AN9)</f>
        <v>19027471</v>
      </c>
      <c r="AO10" s="40">
        <f>SUM(AO8:AO9)</f>
        <v>0</v>
      </c>
      <c r="AP10" s="42">
        <f>SUM(AP8:AP9)</f>
        <v>0</v>
      </c>
    </row>
    <row r="11" spans="1:42" x14ac:dyDescent="0.25">
      <c r="A11" s="43">
        <v>44440</v>
      </c>
      <c r="B11" s="133"/>
      <c r="C11" s="134"/>
      <c r="D11" s="134"/>
      <c r="E11" s="134"/>
      <c r="F11" s="134"/>
      <c r="G11" s="134"/>
      <c r="H11" s="135"/>
      <c r="I11" s="133"/>
      <c r="J11" s="134"/>
      <c r="K11" s="134"/>
      <c r="L11" s="134"/>
      <c r="M11" s="134"/>
      <c r="N11" s="134"/>
      <c r="O11" s="135"/>
      <c r="P11" s="133"/>
      <c r="Q11" s="134"/>
      <c r="R11" s="134"/>
      <c r="S11" s="134"/>
      <c r="T11" s="134"/>
      <c r="U11" s="134"/>
      <c r="V11" s="135"/>
      <c r="W11" s="133"/>
      <c r="X11" s="134"/>
      <c r="Y11" s="134"/>
      <c r="Z11" s="135"/>
      <c r="AA11" s="133"/>
      <c r="AB11" s="134"/>
      <c r="AC11" s="134"/>
      <c r="AD11" s="134"/>
      <c r="AE11" s="135"/>
      <c r="AF11" s="133"/>
      <c r="AG11" s="134"/>
      <c r="AH11" s="134"/>
      <c r="AI11" s="134"/>
      <c r="AJ11" s="134"/>
      <c r="AK11" s="134"/>
      <c r="AL11" s="135"/>
      <c r="AM11" s="133"/>
      <c r="AN11" s="134"/>
      <c r="AO11" s="134"/>
      <c r="AP11" s="135"/>
    </row>
    <row r="12" spans="1:42" x14ac:dyDescent="0.25">
      <c r="A12" s="43">
        <v>44470</v>
      </c>
      <c r="B12" s="133"/>
      <c r="C12" s="134"/>
      <c r="D12" s="134"/>
      <c r="E12" s="134"/>
      <c r="F12" s="134"/>
      <c r="G12" s="134"/>
      <c r="H12" s="135"/>
      <c r="I12" s="133"/>
      <c r="J12" s="134"/>
      <c r="K12" s="134"/>
      <c r="L12" s="134"/>
      <c r="M12" s="134"/>
      <c r="N12" s="134"/>
      <c r="O12" s="135"/>
      <c r="P12" s="133"/>
      <c r="Q12" s="134"/>
      <c r="R12" s="134"/>
      <c r="S12" s="134"/>
      <c r="T12" s="134"/>
      <c r="U12" s="134"/>
      <c r="V12" s="135"/>
      <c r="W12" s="133"/>
      <c r="X12" s="134"/>
      <c r="Y12" s="134"/>
      <c r="Z12" s="135"/>
      <c r="AA12" s="133"/>
      <c r="AB12" s="134"/>
      <c r="AC12" s="134"/>
      <c r="AD12" s="134"/>
      <c r="AE12" s="135"/>
      <c r="AF12" s="133"/>
      <c r="AG12" s="134"/>
      <c r="AH12" s="134"/>
      <c r="AI12" s="134"/>
      <c r="AJ12" s="134"/>
      <c r="AK12" s="134"/>
      <c r="AL12" s="135"/>
      <c r="AM12" s="133"/>
      <c r="AN12" s="134"/>
      <c r="AO12" s="134"/>
      <c r="AP12" s="135"/>
    </row>
    <row r="13" spans="1:42" x14ac:dyDescent="0.25">
      <c r="A13" s="43">
        <v>44501</v>
      </c>
      <c r="B13" s="133"/>
      <c r="C13" s="134"/>
      <c r="D13" s="134"/>
      <c r="E13" s="134"/>
      <c r="F13" s="134"/>
      <c r="G13" s="134"/>
      <c r="H13" s="135"/>
      <c r="I13" s="133"/>
      <c r="J13" s="134"/>
      <c r="K13" s="134"/>
      <c r="L13" s="134"/>
      <c r="M13" s="134"/>
      <c r="N13" s="134"/>
      <c r="O13" s="135"/>
      <c r="P13" s="133"/>
      <c r="Q13" s="134"/>
      <c r="R13" s="134"/>
      <c r="S13" s="134"/>
      <c r="T13" s="134"/>
      <c r="U13" s="134"/>
      <c r="V13" s="135"/>
      <c r="W13" s="133"/>
      <c r="X13" s="134"/>
      <c r="Y13" s="134"/>
      <c r="Z13" s="135"/>
      <c r="AA13" s="133"/>
      <c r="AB13" s="134"/>
      <c r="AC13" s="134"/>
      <c r="AD13" s="134"/>
      <c r="AE13" s="135"/>
      <c r="AF13" s="133"/>
      <c r="AG13" s="134"/>
      <c r="AH13" s="134"/>
      <c r="AI13" s="134"/>
      <c r="AJ13" s="134"/>
      <c r="AK13" s="134"/>
      <c r="AL13" s="135"/>
      <c r="AM13" s="133"/>
      <c r="AN13" s="134"/>
      <c r="AO13" s="134"/>
      <c r="AP13" s="135"/>
    </row>
    <row r="14" spans="1:42" x14ac:dyDescent="0.25">
      <c r="A14" s="43">
        <v>44531</v>
      </c>
      <c r="B14" s="133"/>
      <c r="C14" s="134"/>
      <c r="D14" s="134"/>
      <c r="E14" s="134"/>
      <c r="F14" s="134"/>
      <c r="G14" s="134"/>
      <c r="H14" s="135"/>
      <c r="I14" s="133"/>
      <c r="J14" s="134"/>
      <c r="K14" s="134"/>
      <c r="L14" s="134"/>
      <c r="M14" s="134"/>
      <c r="N14" s="134"/>
      <c r="O14" s="135"/>
      <c r="P14" s="133"/>
      <c r="Q14" s="134"/>
      <c r="R14" s="134"/>
      <c r="S14" s="134"/>
      <c r="T14" s="134"/>
      <c r="U14" s="134"/>
      <c r="V14" s="135"/>
      <c r="W14" s="133"/>
      <c r="X14" s="134"/>
      <c r="Y14" s="134"/>
      <c r="Z14" s="135"/>
      <c r="AA14" s="133"/>
      <c r="AB14" s="134"/>
      <c r="AC14" s="134"/>
      <c r="AD14" s="134"/>
      <c r="AE14" s="135"/>
      <c r="AF14" s="133"/>
      <c r="AG14" s="134"/>
      <c r="AH14" s="134"/>
      <c r="AI14" s="134"/>
      <c r="AJ14" s="134"/>
      <c r="AK14" s="134"/>
      <c r="AL14" s="135"/>
      <c r="AM14" s="133"/>
      <c r="AN14" s="134"/>
      <c r="AO14" s="134"/>
      <c r="AP14" s="135"/>
    </row>
    <row r="15" spans="1:42" x14ac:dyDescent="0.25">
      <c r="A15" s="43">
        <v>44562</v>
      </c>
      <c r="B15" s="133"/>
      <c r="C15" s="134"/>
      <c r="D15" s="134"/>
      <c r="E15" s="134"/>
      <c r="F15" s="134"/>
      <c r="G15" s="134"/>
      <c r="H15" s="135"/>
      <c r="I15" s="133">
        <v>17</v>
      </c>
      <c r="J15" s="134">
        <v>1297500</v>
      </c>
      <c r="K15" s="134"/>
      <c r="L15" s="134"/>
      <c r="M15" s="134"/>
      <c r="N15" s="134"/>
      <c r="O15" s="135"/>
      <c r="P15" s="133"/>
      <c r="Q15" s="134"/>
      <c r="R15" s="134"/>
      <c r="S15" s="134"/>
      <c r="T15" s="134"/>
      <c r="U15" s="134"/>
      <c r="V15" s="135"/>
      <c r="W15" s="133"/>
      <c r="X15" s="134"/>
      <c r="Y15" s="134"/>
      <c r="Z15" s="135"/>
      <c r="AA15" s="133"/>
      <c r="AB15" s="134"/>
      <c r="AC15" s="134"/>
      <c r="AD15" s="134"/>
      <c r="AE15" s="135"/>
      <c r="AF15" s="133"/>
      <c r="AG15" s="134"/>
      <c r="AH15" s="134"/>
      <c r="AI15" s="134"/>
      <c r="AJ15" s="134"/>
      <c r="AK15" s="134"/>
      <c r="AL15" s="135"/>
      <c r="AM15" s="133"/>
      <c r="AN15" s="134"/>
      <c r="AO15" s="134"/>
      <c r="AP15" s="135"/>
    </row>
    <row r="16" spans="1:42" x14ac:dyDescent="0.25">
      <c r="A16" s="43">
        <v>44593</v>
      </c>
      <c r="B16" s="133"/>
      <c r="C16" s="134"/>
      <c r="D16" s="134"/>
      <c r="E16" s="134"/>
      <c r="F16" s="134"/>
      <c r="G16" s="134"/>
      <c r="H16" s="135"/>
      <c r="I16" s="133" t="s">
        <v>45</v>
      </c>
      <c r="J16" s="134">
        <v>547500</v>
      </c>
      <c r="K16" s="134"/>
      <c r="L16" s="134"/>
      <c r="M16" s="134"/>
      <c r="N16" s="134"/>
      <c r="O16" s="135"/>
      <c r="P16" s="133"/>
      <c r="Q16" s="134"/>
      <c r="R16" s="134"/>
      <c r="S16" s="134"/>
      <c r="T16" s="134"/>
      <c r="U16" s="134"/>
      <c r="V16" s="135"/>
      <c r="W16" s="133"/>
      <c r="X16" s="134"/>
      <c r="Y16" s="134"/>
      <c r="Z16" s="135"/>
      <c r="AA16" s="133"/>
      <c r="AB16" s="134"/>
      <c r="AC16" s="134"/>
      <c r="AD16" s="134"/>
      <c r="AE16" s="135"/>
      <c r="AF16" s="133"/>
      <c r="AG16" s="134"/>
      <c r="AH16" s="134"/>
      <c r="AI16" s="134"/>
      <c r="AJ16" s="134"/>
      <c r="AK16" s="134"/>
      <c r="AL16" s="135"/>
      <c r="AM16" s="133"/>
      <c r="AN16" s="134"/>
      <c r="AO16" s="134"/>
      <c r="AP16" s="135"/>
    </row>
    <row r="17" spans="1:42" x14ac:dyDescent="0.25">
      <c r="A17" s="43">
        <v>44621</v>
      </c>
      <c r="B17" s="133"/>
      <c r="C17" s="134"/>
      <c r="D17" s="134"/>
      <c r="E17" s="134"/>
      <c r="F17" s="134"/>
      <c r="G17" s="134"/>
      <c r="H17" s="135"/>
      <c r="I17" s="133">
        <v>34</v>
      </c>
      <c r="J17" s="134">
        <v>445979</v>
      </c>
      <c r="K17" s="134"/>
      <c r="L17" s="134"/>
      <c r="M17" s="134"/>
      <c r="N17" s="134"/>
      <c r="O17" s="135"/>
      <c r="P17" s="133"/>
      <c r="Q17" s="134"/>
      <c r="R17" s="134"/>
      <c r="S17" s="134"/>
      <c r="T17" s="134"/>
      <c r="U17" s="134"/>
      <c r="V17" s="135"/>
      <c r="W17" s="133"/>
      <c r="X17" s="134"/>
      <c r="Y17" s="134"/>
      <c r="Z17" s="135"/>
      <c r="AA17" s="133"/>
      <c r="AB17" s="134"/>
      <c r="AC17" s="134"/>
      <c r="AD17" s="134"/>
      <c r="AE17" s="135"/>
      <c r="AF17" s="133"/>
      <c r="AG17" s="134"/>
      <c r="AH17" s="134"/>
      <c r="AI17" s="134"/>
      <c r="AJ17" s="134"/>
      <c r="AK17" s="134"/>
      <c r="AL17" s="135"/>
      <c r="AM17" s="133"/>
      <c r="AN17" s="134"/>
      <c r="AO17" s="134"/>
      <c r="AP17" s="135"/>
    </row>
    <row r="18" spans="1:42" x14ac:dyDescent="0.25">
      <c r="A18" s="43">
        <v>44652</v>
      </c>
      <c r="B18" s="133"/>
      <c r="C18" s="134"/>
      <c r="D18" s="134"/>
      <c r="E18" s="134"/>
      <c r="F18" s="134"/>
      <c r="G18" s="134"/>
      <c r="H18" s="135"/>
      <c r="I18" s="133">
        <v>17</v>
      </c>
      <c r="J18" s="134">
        <v>1071608</v>
      </c>
      <c r="K18" s="134"/>
      <c r="L18" s="134"/>
      <c r="M18" s="134"/>
      <c r="N18" s="134"/>
      <c r="O18" s="135"/>
      <c r="P18" s="133"/>
      <c r="Q18" s="134"/>
      <c r="R18" s="134"/>
      <c r="S18" s="134"/>
      <c r="T18" s="134"/>
      <c r="U18" s="134"/>
      <c r="V18" s="135"/>
      <c r="W18" s="133"/>
      <c r="X18" s="134"/>
      <c r="Y18" s="134"/>
      <c r="Z18" s="135"/>
      <c r="AA18" s="133"/>
      <c r="AB18" s="134"/>
      <c r="AC18" s="134"/>
      <c r="AD18" s="134"/>
      <c r="AE18" s="135"/>
      <c r="AF18" s="133"/>
      <c r="AG18" s="134"/>
      <c r="AH18" s="134"/>
      <c r="AI18" s="134"/>
      <c r="AJ18" s="134"/>
      <c r="AK18" s="134"/>
      <c r="AL18" s="135"/>
      <c r="AM18" s="133"/>
      <c r="AN18" s="134"/>
      <c r="AO18" s="134"/>
      <c r="AP18" s="135"/>
    </row>
    <row r="19" spans="1:42" x14ac:dyDescent="0.25">
      <c r="A19" s="43">
        <v>44682</v>
      </c>
      <c r="B19" s="133"/>
      <c r="C19" s="134"/>
      <c r="D19" s="134"/>
      <c r="E19" s="134"/>
      <c r="F19" s="134"/>
      <c r="G19" s="134"/>
      <c r="H19" s="135"/>
      <c r="I19" s="133">
        <v>23</v>
      </c>
      <c r="J19" s="134">
        <v>162495</v>
      </c>
      <c r="K19" s="134"/>
      <c r="L19" s="134"/>
      <c r="M19" s="134"/>
      <c r="N19" s="134"/>
      <c r="O19" s="135"/>
      <c r="P19" s="133"/>
      <c r="Q19" s="134"/>
      <c r="R19" s="134"/>
      <c r="S19" s="134"/>
      <c r="T19" s="134"/>
      <c r="U19" s="134"/>
      <c r="V19" s="135"/>
      <c r="W19" s="133"/>
      <c r="X19" s="134"/>
      <c r="Y19" s="134"/>
      <c r="Z19" s="135"/>
      <c r="AA19" s="133"/>
      <c r="AB19" s="134"/>
      <c r="AC19" s="134"/>
      <c r="AD19" s="134"/>
      <c r="AE19" s="135"/>
      <c r="AF19" s="133"/>
      <c r="AG19" s="134"/>
      <c r="AH19" s="134"/>
      <c r="AI19" s="134"/>
      <c r="AJ19" s="134"/>
      <c r="AK19" s="134"/>
      <c r="AL19" s="135"/>
      <c r="AM19" s="133"/>
      <c r="AN19" s="134"/>
      <c r="AO19" s="134"/>
      <c r="AP19" s="135"/>
    </row>
    <row r="20" spans="1:42" x14ac:dyDescent="0.25">
      <c r="A20" s="43">
        <v>44713</v>
      </c>
      <c r="B20" s="133"/>
      <c r="C20" s="134"/>
      <c r="D20" s="134"/>
      <c r="E20" s="134"/>
      <c r="F20" s="134"/>
      <c r="G20" s="134"/>
      <c r="H20" s="135"/>
      <c r="I20" s="133">
        <v>10</v>
      </c>
      <c r="J20" s="134">
        <v>48360</v>
      </c>
      <c r="K20" s="134"/>
      <c r="L20" s="134"/>
      <c r="M20" s="134"/>
      <c r="N20" s="134"/>
      <c r="O20" s="135"/>
      <c r="P20" s="133"/>
      <c r="Q20" s="134"/>
      <c r="R20" s="134"/>
      <c r="S20" s="134"/>
      <c r="T20" s="134"/>
      <c r="U20" s="134"/>
      <c r="V20" s="135"/>
      <c r="W20" s="133"/>
      <c r="X20" s="134"/>
      <c r="Y20" s="134"/>
      <c r="Z20" s="135"/>
      <c r="AA20" s="133"/>
      <c r="AB20" s="134"/>
      <c r="AC20" s="134"/>
      <c r="AD20" s="134"/>
      <c r="AE20" s="135"/>
      <c r="AF20" s="133"/>
      <c r="AG20" s="134"/>
      <c r="AH20" s="134"/>
      <c r="AI20" s="134"/>
      <c r="AJ20" s="134"/>
      <c r="AK20" s="134"/>
      <c r="AL20" s="135"/>
      <c r="AM20" s="133"/>
      <c r="AN20" s="134"/>
      <c r="AO20" s="134"/>
      <c r="AP20" s="135"/>
    </row>
    <row r="21" spans="1:42" x14ac:dyDescent="0.25">
      <c r="A21" s="43">
        <v>44743</v>
      </c>
      <c r="B21" s="133"/>
      <c r="C21" s="134"/>
      <c r="D21" s="134"/>
      <c r="E21" s="134"/>
      <c r="F21" s="134"/>
      <c r="G21" s="134"/>
      <c r="H21" s="135"/>
      <c r="I21" s="133">
        <v>10</v>
      </c>
      <c r="J21" s="134">
        <v>285668</v>
      </c>
      <c r="K21" s="134"/>
      <c r="L21" s="134"/>
      <c r="M21" s="134"/>
      <c r="N21" s="134"/>
      <c r="O21" s="135"/>
      <c r="P21" s="133"/>
      <c r="Q21" s="134"/>
      <c r="R21" s="134"/>
      <c r="S21" s="134"/>
      <c r="T21" s="134"/>
      <c r="U21" s="134"/>
      <c r="V21" s="135"/>
      <c r="W21" s="133"/>
      <c r="X21" s="134"/>
      <c r="Y21" s="134"/>
      <c r="Z21" s="135"/>
      <c r="AA21" s="133"/>
      <c r="AB21" s="134"/>
      <c r="AC21" s="134"/>
      <c r="AD21" s="134"/>
      <c r="AE21" s="135"/>
      <c r="AF21" s="133"/>
      <c r="AG21" s="134"/>
      <c r="AH21" s="134"/>
      <c r="AI21" s="134"/>
      <c r="AJ21" s="134"/>
      <c r="AK21" s="134"/>
      <c r="AL21" s="135"/>
      <c r="AM21" s="133"/>
      <c r="AN21" s="134"/>
      <c r="AO21" s="134"/>
      <c r="AP21" s="135"/>
    </row>
    <row r="22" spans="1:42" x14ac:dyDescent="0.25">
      <c r="A22" s="43">
        <v>44774</v>
      </c>
      <c r="B22" s="133"/>
      <c r="C22" s="134"/>
      <c r="D22" s="134"/>
      <c r="E22" s="134"/>
      <c r="F22" s="134"/>
      <c r="G22" s="134"/>
      <c r="H22" s="135"/>
      <c r="I22" s="133">
        <v>10</v>
      </c>
      <c r="J22" s="134">
        <v>762659</v>
      </c>
      <c r="K22" s="134"/>
      <c r="L22" s="134"/>
      <c r="M22" s="134"/>
      <c r="N22" s="134"/>
      <c r="O22" s="135"/>
      <c r="P22" s="133"/>
      <c r="Q22" s="134"/>
      <c r="R22" s="134"/>
      <c r="S22" s="134"/>
      <c r="T22" s="134"/>
      <c r="U22" s="134"/>
      <c r="V22" s="135"/>
      <c r="W22" s="133"/>
      <c r="X22" s="134"/>
      <c r="Y22" s="134"/>
      <c r="Z22" s="135"/>
      <c r="AA22" s="133"/>
      <c r="AB22" s="134"/>
      <c r="AC22" s="134"/>
      <c r="AD22" s="134"/>
      <c r="AE22" s="135"/>
      <c r="AF22" s="133"/>
      <c r="AG22" s="134"/>
      <c r="AH22" s="134"/>
      <c r="AI22" s="134"/>
      <c r="AJ22" s="134"/>
      <c r="AK22" s="134"/>
      <c r="AL22" s="135"/>
      <c r="AM22" s="133"/>
      <c r="AN22" s="134"/>
      <c r="AO22" s="134"/>
      <c r="AP22" s="135"/>
    </row>
    <row r="23" spans="1:42" x14ac:dyDescent="0.25">
      <c r="A23" s="43">
        <v>44805</v>
      </c>
      <c r="B23" s="133"/>
      <c r="C23" s="134"/>
      <c r="D23" s="134"/>
      <c r="E23" s="134"/>
      <c r="F23" s="134"/>
      <c r="G23" s="134"/>
      <c r="H23" s="135"/>
      <c r="I23" s="133">
        <v>6</v>
      </c>
      <c r="J23" s="134">
        <v>82249</v>
      </c>
      <c r="K23" s="134"/>
      <c r="L23" s="134"/>
      <c r="M23" s="134"/>
      <c r="N23" s="134"/>
      <c r="O23" s="135"/>
      <c r="P23" s="133"/>
      <c r="Q23" s="134"/>
      <c r="R23" s="134"/>
      <c r="S23" s="134"/>
      <c r="T23" s="134"/>
      <c r="U23" s="134"/>
      <c r="V23" s="135"/>
      <c r="W23" s="133"/>
      <c r="X23" s="134"/>
      <c r="Y23" s="134"/>
      <c r="Z23" s="135"/>
      <c r="AA23" s="133"/>
      <c r="AB23" s="134"/>
      <c r="AC23" s="134"/>
      <c r="AD23" s="134"/>
      <c r="AE23" s="135"/>
      <c r="AF23" s="133"/>
      <c r="AG23" s="134"/>
      <c r="AH23" s="134"/>
      <c r="AI23" s="134"/>
      <c r="AJ23" s="134"/>
      <c r="AK23" s="134"/>
      <c r="AL23" s="135"/>
      <c r="AM23" s="133"/>
      <c r="AN23" s="134"/>
      <c r="AO23" s="134"/>
      <c r="AP23" s="135"/>
    </row>
    <row r="24" spans="1:42" x14ac:dyDescent="0.25">
      <c r="A24" s="43">
        <v>44835</v>
      </c>
      <c r="B24" s="133"/>
      <c r="C24" s="134"/>
      <c r="D24" s="134"/>
      <c r="E24" s="134"/>
      <c r="F24" s="134"/>
      <c r="G24" s="134"/>
      <c r="H24" s="135"/>
      <c r="I24" s="133">
        <v>3</v>
      </c>
      <c r="J24" s="134">
        <v>99316</v>
      </c>
      <c r="K24" s="134"/>
      <c r="L24" s="134"/>
      <c r="M24" s="134"/>
      <c r="N24" s="134"/>
      <c r="O24" s="135"/>
      <c r="P24" s="133"/>
      <c r="Q24" s="134"/>
      <c r="R24" s="134"/>
      <c r="S24" s="134"/>
      <c r="T24" s="134"/>
      <c r="U24" s="134"/>
      <c r="V24" s="135"/>
      <c r="W24" s="133"/>
      <c r="X24" s="134"/>
      <c r="Y24" s="134"/>
      <c r="Z24" s="135"/>
      <c r="AA24" s="133"/>
      <c r="AB24" s="134"/>
      <c r="AC24" s="134"/>
      <c r="AD24" s="134"/>
      <c r="AE24" s="135"/>
      <c r="AF24" s="133"/>
      <c r="AG24" s="134"/>
      <c r="AH24" s="134"/>
      <c r="AI24" s="134"/>
      <c r="AJ24" s="134"/>
      <c r="AK24" s="134"/>
      <c r="AL24" s="135"/>
      <c r="AM24" s="133"/>
      <c r="AN24" s="134"/>
      <c r="AO24" s="134"/>
      <c r="AP24" s="135"/>
    </row>
    <row r="25" spans="1:42" x14ac:dyDescent="0.25">
      <c r="A25" s="43">
        <v>44866</v>
      </c>
      <c r="B25" s="133"/>
      <c r="C25" s="134"/>
      <c r="D25" s="134"/>
      <c r="E25" s="134"/>
      <c r="F25" s="134"/>
      <c r="G25" s="134"/>
      <c r="H25" s="135"/>
      <c r="I25" s="133">
        <v>5</v>
      </c>
      <c r="J25" s="134">
        <v>158293</v>
      </c>
      <c r="K25" s="134"/>
      <c r="L25" s="134"/>
      <c r="M25" s="134"/>
      <c r="N25" s="134"/>
      <c r="O25" s="135"/>
      <c r="P25" s="133"/>
      <c r="Q25" s="134"/>
      <c r="R25" s="134"/>
      <c r="S25" s="134"/>
      <c r="T25" s="134"/>
      <c r="U25" s="134"/>
      <c r="V25" s="135"/>
      <c r="W25" s="133"/>
      <c r="X25" s="134"/>
      <c r="Y25" s="134"/>
      <c r="Z25" s="135"/>
      <c r="AA25" s="133"/>
      <c r="AB25" s="134"/>
      <c r="AC25" s="134"/>
      <c r="AD25" s="134"/>
      <c r="AE25" s="135"/>
      <c r="AF25" s="133"/>
      <c r="AG25" s="134"/>
      <c r="AH25" s="134"/>
      <c r="AI25" s="134"/>
      <c r="AJ25" s="134"/>
      <c r="AK25" s="134"/>
      <c r="AL25" s="135"/>
      <c r="AM25" s="133"/>
      <c r="AN25" s="134"/>
      <c r="AO25" s="134"/>
      <c r="AP25" s="135"/>
    </row>
    <row r="26" spans="1:42" x14ac:dyDescent="0.25">
      <c r="A26" s="43">
        <v>44896</v>
      </c>
      <c r="B26" s="133"/>
      <c r="C26" s="134"/>
      <c r="D26" s="134"/>
      <c r="E26" s="134"/>
      <c r="F26" s="134"/>
      <c r="G26" s="134"/>
      <c r="H26" s="135"/>
      <c r="I26" s="133">
        <v>2</v>
      </c>
      <c r="J26" s="134">
        <v>343398</v>
      </c>
      <c r="K26" s="134"/>
      <c r="L26" s="134"/>
      <c r="M26" s="134"/>
      <c r="N26" s="134"/>
      <c r="O26" s="135"/>
      <c r="P26" s="133"/>
      <c r="Q26" s="134"/>
      <c r="R26" s="134"/>
      <c r="S26" s="134"/>
      <c r="T26" s="134"/>
      <c r="U26" s="134"/>
      <c r="V26" s="135"/>
      <c r="W26" s="133"/>
      <c r="X26" s="134"/>
      <c r="Y26" s="134"/>
      <c r="Z26" s="135"/>
      <c r="AA26" s="133"/>
      <c r="AB26" s="134"/>
      <c r="AC26" s="134"/>
      <c r="AD26" s="134"/>
      <c r="AE26" s="135"/>
      <c r="AF26" s="133"/>
      <c r="AG26" s="134"/>
      <c r="AH26" s="134"/>
      <c r="AI26" s="134"/>
      <c r="AJ26" s="134"/>
      <c r="AK26" s="134"/>
      <c r="AL26" s="135"/>
      <c r="AM26" s="133"/>
      <c r="AN26" s="134"/>
      <c r="AO26" s="134"/>
      <c r="AP26" s="135"/>
    </row>
    <row r="27" spans="1:42" x14ac:dyDescent="0.25">
      <c r="A27" s="43">
        <v>44927</v>
      </c>
      <c r="B27" s="133"/>
      <c r="C27" s="134"/>
      <c r="D27" s="134"/>
      <c r="E27" s="134"/>
      <c r="F27" s="134"/>
      <c r="G27" s="134"/>
      <c r="H27" s="135"/>
      <c r="I27" s="133" t="s">
        <v>45</v>
      </c>
      <c r="J27" s="134">
        <v>194374</v>
      </c>
      <c r="K27" s="134"/>
      <c r="L27" s="134">
        <v>2375950</v>
      </c>
      <c r="M27" s="134"/>
      <c r="N27" s="134"/>
      <c r="O27" s="135"/>
      <c r="P27" s="133"/>
      <c r="Q27" s="134"/>
      <c r="R27" s="134"/>
      <c r="S27" s="134"/>
      <c r="T27" s="134"/>
      <c r="U27" s="134"/>
      <c r="V27" s="135"/>
      <c r="W27" s="133"/>
      <c r="X27" s="134"/>
      <c r="Y27" s="134"/>
      <c r="Z27" s="135"/>
      <c r="AA27" s="133"/>
      <c r="AB27" s="134"/>
      <c r="AC27" s="134"/>
      <c r="AD27" s="134"/>
      <c r="AE27" s="135"/>
      <c r="AF27" s="133"/>
      <c r="AG27" s="134"/>
      <c r="AH27" s="134"/>
      <c r="AI27" s="134"/>
      <c r="AJ27" s="134"/>
      <c r="AK27" s="134"/>
      <c r="AL27" s="135"/>
      <c r="AM27" s="133"/>
      <c r="AN27" s="134"/>
      <c r="AO27" s="134"/>
      <c r="AP27" s="135"/>
    </row>
    <row r="28" spans="1:42" x14ac:dyDescent="0.25">
      <c r="A28" s="43">
        <v>44958</v>
      </c>
      <c r="B28" s="133"/>
      <c r="C28" s="134"/>
      <c r="D28" s="134"/>
      <c r="E28" s="134"/>
      <c r="F28" s="134"/>
      <c r="G28" s="134"/>
      <c r="H28" s="135"/>
      <c r="I28" s="133">
        <v>1</v>
      </c>
      <c r="J28" s="134">
        <v>175007</v>
      </c>
      <c r="K28" s="134"/>
      <c r="L28" s="134">
        <v>63903</v>
      </c>
      <c r="M28" s="134"/>
      <c r="N28" s="134"/>
      <c r="O28" s="135"/>
      <c r="P28" s="133"/>
      <c r="Q28" s="134"/>
      <c r="R28" s="134"/>
      <c r="S28" s="134"/>
      <c r="T28" s="134"/>
      <c r="U28" s="134"/>
      <c r="V28" s="135"/>
      <c r="W28" s="133"/>
      <c r="X28" s="134"/>
      <c r="Y28" s="134"/>
      <c r="Z28" s="135"/>
      <c r="AA28" s="133"/>
      <c r="AB28" s="134"/>
      <c r="AC28" s="134"/>
      <c r="AD28" s="134"/>
      <c r="AE28" s="135"/>
      <c r="AF28" s="133"/>
      <c r="AG28" s="134"/>
      <c r="AH28" s="134"/>
      <c r="AI28" s="134"/>
      <c r="AJ28" s="134"/>
      <c r="AK28" s="134"/>
      <c r="AL28" s="135"/>
      <c r="AM28" s="133"/>
      <c r="AN28" s="134"/>
      <c r="AO28" s="134"/>
      <c r="AP28" s="135"/>
    </row>
    <row r="29" spans="1:42" x14ac:dyDescent="0.25">
      <c r="A29" s="43">
        <v>44986</v>
      </c>
      <c r="B29" s="133"/>
      <c r="C29" s="134"/>
      <c r="D29" s="134"/>
      <c r="E29" s="134"/>
      <c r="F29" s="134"/>
      <c r="G29" s="134"/>
      <c r="H29" s="135"/>
      <c r="I29" s="133">
        <v>3</v>
      </c>
      <c r="J29" s="134">
        <v>418097</v>
      </c>
      <c r="K29" s="134">
        <v>966522</v>
      </c>
      <c r="L29" s="134">
        <v>420493</v>
      </c>
      <c r="M29" s="134"/>
      <c r="N29" s="134"/>
      <c r="O29" s="135"/>
      <c r="P29" s="133"/>
      <c r="Q29" s="134"/>
      <c r="R29" s="134"/>
      <c r="S29" s="134"/>
      <c r="T29" s="134"/>
      <c r="U29" s="134"/>
      <c r="V29" s="135"/>
      <c r="W29" s="133"/>
      <c r="X29" s="134"/>
      <c r="Y29" s="134"/>
      <c r="Z29" s="135"/>
      <c r="AA29" s="133"/>
      <c r="AB29" s="134"/>
      <c r="AC29" s="134"/>
      <c r="AD29" s="134"/>
      <c r="AE29" s="135"/>
      <c r="AF29" s="133"/>
      <c r="AG29" s="134"/>
      <c r="AH29" s="134"/>
      <c r="AI29" s="134"/>
      <c r="AJ29" s="134"/>
      <c r="AK29" s="134"/>
      <c r="AL29" s="135"/>
      <c r="AM29" s="133"/>
      <c r="AN29" s="134"/>
      <c r="AO29" s="134"/>
      <c r="AP29" s="135"/>
    </row>
    <row r="30" spans="1:42" x14ac:dyDescent="0.25">
      <c r="A30" s="43">
        <v>45017</v>
      </c>
      <c r="B30" s="133">
        <v>5</v>
      </c>
      <c r="C30" s="134"/>
      <c r="D30" s="134"/>
      <c r="E30" s="134"/>
      <c r="F30" s="134"/>
      <c r="G30" s="134"/>
      <c r="H30" s="135"/>
      <c r="I30" s="133">
        <v>1</v>
      </c>
      <c r="J30" s="134">
        <v>143416</v>
      </c>
      <c r="K30" s="134" t="s">
        <v>45</v>
      </c>
      <c r="L30" s="134" t="s">
        <v>45</v>
      </c>
      <c r="M30" s="134"/>
      <c r="N30" s="134"/>
      <c r="O30" s="135"/>
      <c r="P30" s="133"/>
      <c r="Q30" s="134"/>
      <c r="R30" s="134"/>
      <c r="S30" s="134"/>
      <c r="T30" s="134"/>
      <c r="U30" s="134"/>
      <c r="V30" s="135"/>
      <c r="W30" s="133"/>
      <c r="X30" s="134"/>
      <c r="Y30" s="134"/>
      <c r="Z30" s="135"/>
      <c r="AA30" s="133"/>
      <c r="AB30" s="134"/>
      <c r="AC30" s="134"/>
      <c r="AD30" s="134"/>
      <c r="AE30" s="135"/>
      <c r="AF30" s="133"/>
      <c r="AG30" s="134"/>
      <c r="AH30" s="134"/>
      <c r="AI30" s="134"/>
      <c r="AJ30" s="134"/>
      <c r="AK30" s="134"/>
      <c r="AL30" s="135"/>
      <c r="AM30" s="133"/>
      <c r="AN30" s="134"/>
      <c r="AO30" s="134"/>
      <c r="AP30" s="135"/>
    </row>
    <row r="31" spans="1:42" x14ac:dyDescent="0.25">
      <c r="A31" s="43">
        <v>45047</v>
      </c>
      <c r="B31" s="133">
        <v>4</v>
      </c>
      <c r="C31" s="134"/>
      <c r="D31" s="134"/>
      <c r="E31" s="134"/>
      <c r="F31" s="134"/>
      <c r="G31" s="134"/>
      <c r="H31" s="135"/>
      <c r="I31" s="133">
        <v>2</v>
      </c>
      <c r="J31" s="134">
        <v>125617</v>
      </c>
      <c r="K31" s="134">
        <v>363997</v>
      </c>
      <c r="L31" s="134" t="s">
        <v>45</v>
      </c>
      <c r="M31" s="134"/>
      <c r="N31" s="134"/>
      <c r="O31" s="135"/>
      <c r="P31" s="133"/>
      <c r="Q31" s="134"/>
      <c r="R31" s="134"/>
      <c r="S31" s="134"/>
      <c r="T31" s="134"/>
      <c r="U31" s="134"/>
      <c r="V31" s="135"/>
      <c r="W31" s="133"/>
      <c r="X31" s="134"/>
      <c r="Y31" s="134"/>
      <c r="Z31" s="135"/>
      <c r="AA31" s="133">
        <v>10</v>
      </c>
      <c r="AB31" s="134">
        <v>499400</v>
      </c>
      <c r="AC31" s="134"/>
      <c r="AD31" s="134"/>
      <c r="AE31" s="135"/>
      <c r="AF31" s="133"/>
      <c r="AG31" s="134"/>
      <c r="AH31" s="134"/>
      <c r="AI31" s="134"/>
      <c r="AJ31" s="134"/>
      <c r="AK31" s="134"/>
      <c r="AL31" s="135"/>
      <c r="AM31" s="133"/>
      <c r="AN31" s="134"/>
      <c r="AO31" s="134"/>
      <c r="AP31" s="135"/>
    </row>
    <row r="32" spans="1:42" x14ac:dyDescent="0.25">
      <c r="A32" s="43">
        <v>45078</v>
      </c>
      <c r="B32" s="133">
        <v>6</v>
      </c>
      <c r="C32" s="134"/>
      <c r="D32" s="134"/>
      <c r="E32" s="134"/>
      <c r="F32" s="134"/>
      <c r="G32" s="134"/>
      <c r="H32" s="135"/>
      <c r="I32" s="133" t="s">
        <v>45</v>
      </c>
      <c r="J32" s="134">
        <v>198451</v>
      </c>
      <c r="K32" s="134">
        <v>100651</v>
      </c>
      <c r="L32" s="134" t="s">
        <v>45</v>
      </c>
      <c r="M32" s="134"/>
      <c r="N32" s="134"/>
      <c r="O32" s="135"/>
      <c r="P32" s="133"/>
      <c r="Q32" s="134"/>
      <c r="R32" s="134"/>
      <c r="S32" s="134"/>
      <c r="T32" s="134"/>
      <c r="U32" s="134"/>
      <c r="V32" s="135"/>
      <c r="W32" s="133"/>
      <c r="X32" s="134"/>
      <c r="Y32" s="134"/>
      <c r="Z32" s="135"/>
      <c r="AA32" s="133" t="s">
        <v>45</v>
      </c>
      <c r="AB32" s="134" t="s">
        <v>45</v>
      </c>
      <c r="AC32" s="134"/>
      <c r="AD32" s="134"/>
      <c r="AE32" s="135"/>
      <c r="AF32" s="133"/>
      <c r="AG32" s="134"/>
      <c r="AH32" s="134"/>
      <c r="AI32" s="134"/>
      <c r="AJ32" s="134"/>
      <c r="AK32" s="134"/>
      <c r="AL32" s="135"/>
      <c r="AM32" s="133"/>
      <c r="AN32" s="134"/>
      <c r="AO32" s="134"/>
      <c r="AP32" s="135"/>
    </row>
    <row r="33" spans="1:42" x14ac:dyDescent="0.25">
      <c r="A33" s="43">
        <v>45108</v>
      </c>
      <c r="B33" s="133">
        <v>2</v>
      </c>
      <c r="C33" s="134"/>
      <c r="D33" s="134"/>
      <c r="E33" s="134"/>
      <c r="F33" s="134"/>
      <c r="G33" s="134"/>
      <c r="H33" s="135"/>
      <c r="I33" s="133" t="s">
        <v>45</v>
      </c>
      <c r="J33" s="134">
        <v>145549</v>
      </c>
      <c r="K33" s="134">
        <v>298156</v>
      </c>
      <c r="L33" s="134">
        <v>186371</v>
      </c>
      <c r="M33" s="134"/>
      <c r="N33" s="134"/>
      <c r="O33" s="135"/>
      <c r="P33" s="133"/>
      <c r="Q33" s="134"/>
      <c r="R33" s="134"/>
      <c r="S33" s="134"/>
      <c r="T33" s="134"/>
      <c r="U33" s="134"/>
      <c r="V33" s="135"/>
      <c r="W33" s="133"/>
      <c r="X33" s="134"/>
      <c r="Y33" s="134"/>
      <c r="Z33" s="135"/>
      <c r="AA33" s="133" t="s">
        <v>45</v>
      </c>
      <c r="AB33" s="134">
        <v>5000</v>
      </c>
      <c r="AC33" s="134"/>
      <c r="AD33" s="134"/>
      <c r="AE33" s="135"/>
      <c r="AF33" s="133"/>
      <c r="AG33" s="134"/>
      <c r="AH33" s="134"/>
      <c r="AI33" s="134"/>
      <c r="AJ33" s="134"/>
      <c r="AK33" s="134"/>
      <c r="AL33" s="135"/>
      <c r="AM33" s="133"/>
      <c r="AN33" s="134"/>
      <c r="AO33" s="134"/>
      <c r="AP33" s="135"/>
    </row>
    <row r="34" spans="1:42" x14ac:dyDescent="0.25">
      <c r="A34" s="43">
        <v>45139</v>
      </c>
      <c r="B34" s="133">
        <v>31</v>
      </c>
      <c r="C34" s="134"/>
      <c r="D34" s="134"/>
      <c r="E34" s="134"/>
      <c r="F34" s="134"/>
      <c r="G34" s="134"/>
      <c r="H34" s="135"/>
      <c r="I34" s="133">
        <v>1</v>
      </c>
      <c r="J34" s="134">
        <v>243439</v>
      </c>
      <c r="K34" s="134">
        <v>390493</v>
      </c>
      <c r="L34" s="134" t="s">
        <v>45</v>
      </c>
      <c r="M34" s="134"/>
      <c r="N34" s="134"/>
      <c r="O34" s="135"/>
      <c r="P34" s="133"/>
      <c r="Q34" s="134"/>
      <c r="R34" s="134"/>
      <c r="S34" s="134"/>
      <c r="T34" s="134"/>
      <c r="U34" s="134"/>
      <c r="V34" s="135"/>
      <c r="W34" s="133"/>
      <c r="X34" s="134"/>
      <c r="Y34" s="134"/>
      <c r="Z34" s="135"/>
      <c r="AA34" s="133" t="s">
        <v>45</v>
      </c>
      <c r="AB34" s="134">
        <v>374675</v>
      </c>
      <c r="AC34" s="134"/>
      <c r="AD34" s="134"/>
      <c r="AE34" s="135"/>
      <c r="AF34" s="133"/>
      <c r="AG34" s="134">
        <v>150000</v>
      </c>
      <c r="AH34" s="134"/>
      <c r="AI34" s="134"/>
      <c r="AJ34" s="134"/>
      <c r="AK34" s="134"/>
      <c r="AL34" s="135"/>
      <c r="AM34" s="133"/>
      <c r="AN34" s="134"/>
      <c r="AO34" s="134"/>
      <c r="AP34" s="135"/>
    </row>
    <row r="35" spans="1:42" x14ac:dyDescent="0.25">
      <c r="A35" s="43">
        <v>45170</v>
      </c>
      <c r="B35" s="133">
        <v>2</v>
      </c>
      <c r="C35" s="134"/>
      <c r="D35" s="134"/>
      <c r="E35" s="134"/>
      <c r="F35" s="134"/>
      <c r="G35" s="134"/>
      <c r="H35" s="135"/>
      <c r="I35" s="133">
        <v>1</v>
      </c>
      <c r="J35" s="134">
        <v>184722</v>
      </c>
      <c r="K35" s="134">
        <v>589751</v>
      </c>
      <c r="L35" s="134">
        <v>72032</v>
      </c>
      <c r="M35" s="134"/>
      <c r="N35" s="134"/>
      <c r="O35" s="135"/>
      <c r="P35" s="133"/>
      <c r="Q35" s="134"/>
      <c r="R35" s="134"/>
      <c r="S35" s="134"/>
      <c r="T35" s="134"/>
      <c r="U35" s="134"/>
      <c r="V35" s="135"/>
      <c r="W35" s="133"/>
      <c r="X35" s="134"/>
      <c r="Y35" s="134"/>
      <c r="Z35" s="135"/>
      <c r="AA35" s="133" t="s">
        <v>45</v>
      </c>
      <c r="AB35" s="134">
        <v>1456250</v>
      </c>
      <c r="AC35" s="134"/>
      <c r="AD35" s="134"/>
      <c r="AE35" s="135"/>
      <c r="AF35" s="133"/>
      <c r="AG35" s="134" t="s">
        <v>45</v>
      </c>
      <c r="AH35" s="134"/>
      <c r="AI35" s="134"/>
      <c r="AJ35" s="134"/>
      <c r="AK35" s="134"/>
      <c r="AL35" s="135"/>
      <c r="AM35" s="133"/>
      <c r="AN35" s="134"/>
      <c r="AO35" s="134"/>
      <c r="AP35" s="135"/>
    </row>
    <row r="36" spans="1:42" x14ac:dyDescent="0.25">
      <c r="A36" s="43">
        <v>45200</v>
      </c>
      <c r="B36" s="133" t="s">
        <v>45</v>
      </c>
      <c r="C36" s="134"/>
      <c r="D36" s="134"/>
      <c r="E36" s="134">
        <v>967838</v>
      </c>
      <c r="F36" s="134"/>
      <c r="G36" s="134"/>
      <c r="H36" s="135"/>
      <c r="I36" s="133">
        <v>1</v>
      </c>
      <c r="J36" s="134">
        <v>226050</v>
      </c>
      <c r="K36" s="134">
        <v>837176</v>
      </c>
      <c r="L36" s="134" t="s">
        <v>45</v>
      </c>
      <c r="M36" s="134"/>
      <c r="N36" s="134"/>
      <c r="O36" s="135"/>
      <c r="P36" s="133"/>
      <c r="Q36" s="134"/>
      <c r="R36" s="134"/>
      <c r="S36" s="134"/>
      <c r="T36" s="134"/>
      <c r="U36" s="134"/>
      <c r="V36" s="135"/>
      <c r="W36" s="133"/>
      <c r="X36" s="134"/>
      <c r="Y36" s="134"/>
      <c r="Z36" s="135"/>
      <c r="AA36" s="133" t="s">
        <v>45</v>
      </c>
      <c r="AB36" s="134">
        <v>540500</v>
      </c>
      <c r="AC36" s="134"/>
      <c r="AD36" s="134"/>
      <c r="AE36" s="135"/>
      <c r="AF36" s="133"/>
      <c r="AG36" s="134" t="s">
        <v>45</v>
      </c>
      <c r="AH36" s="134"/>
      <c r="AI36" s="134"/>
      <c r="AJ36" s="134"/>
      <c r="AK36" s="134"/>
      <c r="AL36" s="135"/>
      <c r="AM36" s="133"/>
      <c r="AN36" s="134"/>
      <c r="AO36" s="134"/>
      <c r="AP36" s="135"/>
    </row>
    <row r="37" spans="1:42" x14ac:dyDescent="0.25">
      <c r="A37" s="43">
        <v>45231</v>
      </c>
      <c r="B37" s="133">
        <v>1</v>
      </c>
      <c r="C37" s="134"/>
      <c r="D37" s="134"/>
      <c r="E37" s="134" t="s">
        <v>45</v>
      </c>
      <c r="F37" s="134"/>
      <c r="G37" s="134"/>
      <c r="H37" s="135"/>
      <c r="I37" s="133">
        <v>1</v>
      </c>
      <c r="J37" s="134">
        <v>301352</v>
      </c>
      <c r="K37" s="134">
        <v>1061327</v>
      </c>
      <c r="L37" s="134">
        <v>41248</v>
      </c>
      <c r="M37" s="134"/>
      <c r="N37" s="134"/>
      <c r="O37" s="135"/>
      <c r="P37" s="133"/>
      <c r="Q37" s="134"/>
      <c r="R37" s="134"/>
      <c r="S37" s="134"/>
      <c r="T37" s="134"/>
      <c r="U37" s="134"/>
      <c r="V37" s="135"/>
      <c r="W37" s="133"/>
      <c r="X37" s="134"/>
      <c r="Y37" s="134"/>
      <c r="Z37" s="135"/>
      <c r="AA37" s="133" t="s">
        <v>45</v>
      </c>
      <c r="AB37" s="134">
        <v>1500</v>
      </c>
      <c r="AC37" s="134"/>
      <c r="AD37" s="134"/>
      <c r="AE37" s="135"/>
      <c r="AF37" s="133"/>
      <c r="AG37" s="134" t="s">
        <v>45</v>
      </c>
      <c r="AH37" s="134"/>
      <c r="AI37" s="134"/>
      <c r="AJ37" s="134"/>
      <c r="AK37" s="134"/>
      <c r="AL37" s="135"/>
      <c r="AM37" s="133"/>
      <c r="AN37" s="134"/>
      <c r="AO37" s="134"/>
      <c r="AP37" s="135"/>
    </row>
    <row r="38" spans="1:42" x14ac:dyDescent="0.25">
      <c r="A38" s="43">
        <v>45261</v>
      </c>
      <c r="B38" s="133">
        <v>1</v>
      </c>
      <c r="C38" s="134">
        <v>252528</v>
      </c>
      <c r="D38" s="134"/>
      <c r="E38" s="134" t="s">
        <v>45</v>
      </c>
      <c r="F38" s="134"/>
      <c r="G38" s="134"/>
      <c r="H38" s="135"/>
      <c r="I38" s="133" t="s">
        <v>45</v>
      </c>
      <c r="J38" s="134">
        <v>443264</v>
      </c>
      <c r="K38" s="134" t="s">
        <v>45</v>
      </c>
      <c r="L38" s="134" t="s">
        <v>45</v>
      </c>
      <c r="M38" s="134"/>
      <c r="N38" s="134"/>
      <c r="O38" s="135"/>
      <c r="P38" s="133"/>
      <c r="Q38" s="134"/>
      <c r="R38" s="134"/>
      <c r="S38" s="134"/>
      <c r="T38" s="134"/>
      <c r="U38" s="134"/>
      <c r="V38" s="135"/>
      <c r="W38" s="133"/>
      <c r="X38" s="134"/>
      <c r="Y38" s="134"/>
      <c r="Z38" s="135"/>
      <c r="AA38" s="133" t="s">
        <v>45</v>
      </c>
      <c r="AB38" s="134">
        <v>1500</v>
      </c>
      <c r="AC38" s="134"/>
      <c r="AD38" s="134"/>
      <c r="AE38" s="135"/>
      <c r="AF38" s="133">
        <v>64</v>
      </c>
      <c r="AG38" s="134">
        <v>173815.8</v>
      </c>
      <c r="AH38" s="134"/>
      <c r="AI38" s="134"/>
      <c r="AJ38" s="134"/>
      <c r="AK38" s="134"/>
      <c r="AL38" s="135"/>
      <c r="AM38" s="133"/>
      <c r="AN38" s="134"/>
      <c r="AO38" s="134"/>
      <c r="AP38" s="135"/>
    </row>
    <row r="39" spans="1:42" x14ac:dyDescent="0.25">
      <c r="A39" s="43">
        <v>45292</v>
      </c>
      <c r="B39" s="133">
        <v>4</v>
      </c>
      <c r="C39" s="134">
        <v>4343</v>
      </c>
      <c r="D39" s="134"/>
      <c r="E39" s="134">
        <v>209069</v>
      </c>
      <c r="F39" s="134"/>
      <c r="G39" s="134"/>
      <c r="H39" s="135"/>
      <c r="I39" s="133" t="s">
        <v>45</v>
      </c>
      <c r="J39" s="134">
        <v>1790508</v>
      </c>
      <c r="K39" s="134">
        <v>2095060</v>
      </c>
      <c r="L39" s="134">
        <v>179663</v>
      </c>
      <c r="M39" s="134"/>
      <c r="N39" s="134"/>
      <c r="O39" s="135"/>
      <c r="P39" s="133"/>
      <c r="Q39" s="134"/>
      <c r="R39" s="134"/>
      <c r="S39" s="134"/>
      <c r="T39" s="134"/>
      <c r="U39" s="134"/>
      <c r="V39" s="135"/>
      <c r="W39" s="133"/>
      <c r="X39" s="134"/>
      <c r="Y39" s="134"/>
      <c r="Z39" s="135"/>
      <c r="AA39" s="133" t="s">
        <v>45</v>
      </c>
      <c r="AB39" s="134" t="s">
        <v>45</v>
      </c>
      <c r="AC39" s="134"/>
      <c r="AD39" s="134"/>
      <c r="AE39" s="135"/>
      <c r="AF39" s="133">
        <v>29</v>
      </c>
      <c r="AG39" s="134">
        <v>510112.2</v>
      </c>
      <c r="AH39" s="134"/>
      <c r="AI39" s="134"/>
      <c r="AJ39" s="134"/>
      <c r="AK39" s="134"/>
      <c r="AL39" s="135"/>
      <c r="AM39" s="133"/>
      <c r="AN39" s="134"/>
      <c r="AO39" s="134"/>
      <c r="AP39" s="135"/>
    </row>
    <row r="40" spans="1:42" x14ac:dyDescent="0.25">
      <c r="A40" s="43">
        <v>45323</v>
      </c>
      <c r="B40" s="133" t="s">
        <v>45</v>
      </c>
      <c r="C40" s="134">
        <v>249066</v>
      </c>
      <c r="D40" s="134"/>
      <c r="E40" s="134" t="s">
        <v>45</v>
      </c>
      <c r="F40" s="134"/>
      <c r="G40" s="134"/>
      <c r="H40" s="135"/>
      <c r="I40" s="133" t="s">
        <v>45</v>
      </c>
      <c r="J40" s="134">
        <v>963116</v>
      </c>
      <c r="K40" s="134">
        <v>917624</v>
      </c>
      <c r="L40" s="134" t="s">
        <v>45</v>
      </c>
      <c r="M40" s="134"/>
      <c r="N40" s="134"/>
      <c r="O40" s="135"/>
      <c r="P40" s="133"/>
      <c r="Q40" s="134"/>
      <c r="R40" s="134"/>
      <c r="S40" s="134"/>
      <c r="T40" s="134"/>
      <c r="U40" s="134"/>
      <c r="V40" s="135"/>
      <c r="W40" s="133"/>
      <c r="X40" s="134"/>
      <c r="Y40" s="134"/>
      <c r="Z40" s="135"/>
      <c r="AA40" s="133" t="s">
        <v>45</v>
      </c>
      <c r="AB40" s="134" t="s">
        <v>45</v>
      </c>
      <c r="AC40" s="134"/>
      <c r="AD40" s="134"/>
      <c r="AE40" s="135"/>
      <c r="AF40" s="133">
        <v>18</v>
      </c>
      <c r="AG40" s="134">
        <v>427104.25</v>
      </c>
      <c r="AH40" s="134"/>
      <c r="AI40" s="134"/>
      <c r="AJ40" s="134"/>
      <c r="AK40" s="134"/>
      <c r="AL40" s="135"/>
      <c r="AM40" s="133"/>
      <c r="AN40" s="134"/>
      <c r="AO40" s="134"/>
      <c r="AP40" s="135"/>
    </row>
    <row r="41" spans="1:42" x14ac:dyDescent="0.25">
      <c r="A41" s="43">
        <v>45352</v>
      </c>
      <c r="B41" s="133" t="s">
        <v>45</v>
      </c>
      <c r="C41" s="134">
        <v>54720</v>
      </c>
      <c r="D41" s="134">
        <v>292376</v>
      </c>
      <c r="E41" s="134" t="s">
        <v>45</v>
      </c>
      <c r="F41" s="134"/>
      <c r="G41" s="134"/>
      <c r="H41" s="135"/>
      <c r="I41" s="133" t="s">
        <v>45</v>
      </c>
      <c r="J41" s="134">
        <v>700166</v>
      </c>
      <c r="K41" s="134">
        <v>589902</v>
      </c>
      <c r="L41" s="134" t="s">
        <v>45</v>
      </c>
      <c r="M41" s="134"/>
      <c r="N41" s="134"/>
      <c r="O41" s="135"/>
      <c r="P41" s="133"/>
      <c r="Q41" s="134"/>
      <c r="R41" s="134"/>
      <c r="S41" s="134"/>
      <c r="T41" s="134"/>
      <c r="U41" s="134"/>
      <c r="V41" s="135"/>
      <c r="W41" s="133"/>
      <c r="X41" s="134"/>
      <c r="Y41" s="134"/>
      <c r="Z41" s="135"/>
      <c r="AA41" s="133">
        <v>35</v>
      </c>
      <c r="AB41" s="134">
        <v>550139</v>
      </c>
      <c r="AC41" s="134"/>
      <c r="AD41" s="134"/>
      <c r="AE41" s="135"/>
      <c r="AF41" s="133">
        <v>36</v>
      </c>
      <c r="AG41" s="134">
        <v>623169.46</v>
      </c>
      <c r="AH41" s="134"/>
      <c r="AI41" s="134"/>
      <c r="AJ41" s="134"/>
      <c r="AK41" s="134"/>
      <c r="AL41" s="135"/>
      <c r="AM41" s="133"/>
      <c r="AN41" s="134"/>
      <c r="AO41" s="134"/>
      <c r="AP41" s="135"/>
    </row>
    <row r="42" spans="1:42" x14ac:dyDescent="0.25">
      <c r="A42" s="43">
        <v>45383</v>
      </c>
      <c r="B42" s="133">
        <v>2</v>
      </c>
      <c r="C42" s="134">
        <v>42122</v>
      </c>
      <c r="D42" s="134">
        <v>478730</v>
      </c>
      <c r="E42" s="134">
        <v>185855</v>
      </c>
      <c r="F42" s="134"/>
      <c r="G42" s="134"/>
      <c r="H42" s="135"/>
      <c r="I42" s="133" t="s">
        <v>45</v>
      </c>
      <c r="J42" s="134">
        <v>1274523</v>
      </c>
      <c r="K42" s="134">
        <v>1048323</v>
      </c>
      <c r="L42" s="134">
        <v>71590</v>
      </c>
      <c r="M42" s="134"/>
      <c r="N42" s="134"/>
      <c r="O42" s="135"/>
      <c r="P42" s="133"/>
      <c r="Q42" s="134"/>
      <c r="R42" s="134"/>
      <c r="S42" s="134"/>
      <c r="T42" s="134"/>
      <c r="U42" s="134"/>
      <c r="V42" s="135"/>
      <c r="W42" s="133"/>
      <c r="X42" s="134"/>
      <c r="Y42" s="134"/>
      <c r="Z42" s="135"/>
      <c r="AA42" s="133">
        <v>5</v>
      </c>
      <c r="AB42" s="134">
        <v>1269411</v>
      </c>
      <c r="AC42" s="134"/>
      <c r="AD42" s="134"/>
      <c r="AE42" s="135"/>
      <c r="AF42" s="133">
        <v>2</v>
      </c>
      <c r="AG42" s="134">
        <v>559633.68999999994</v>
      </c>
      <c r="AH42" s="134"/>
      <c r="AI42" s="134"/>
      <c r="AJ42" s="134"/>
      <c r="AK42" s="134"/>
      <c r="AL42" s="135"/>
      <c r="AM42" s="133"/>
      <c r="AN42" s="134"/>
      <c r="AO42" s="134"/>
      <c r="AP42" s="135"/>
    </row>
    <row r="43" spans="1:42" x14ac:dyDescent="0.25">
      <c r="A43" s="43">
        <v>45413</v>
      </c>
      <c r="B43" s="133">
        <v>1</v>
      </c>
      <c r="C43" s="134">
        <v>134549</v>
      </c>
      <c r="D43" s="134">
        <v>440382</v>
      </c>
      <c r="E43" s="134">
        <v>145966</v>
      </c>
      <c r="F43" s="134"/>
      <c r="G43" s="134"/>
      <c r="H43" s="135"/>
      <c r="I43" s="133" t="s">
        <v>45</v>
      </c>
      <c r="J43" s="134">
        <v>722207</v>
      </c>
      <c r="K43" s="134">
        <v>951264</v>
      </c>
      <c r="L43" s="134">
        <v>76601</v>
      </c>
      <c r="M43" s="134"/>
      <c r="N43" s="134"/>
      <c r="O43" s="135"/>
      <c r="P43" s="133"/>
      <c r="Q43" s="134"/>
      <c r="R43" s="134"/>
      <c r="S43" s="134"/>
      <c r="T43" s="134"/>
      <c r="U43" s="134"/>
      <c r="V43" s="135"/>
      <c r="W43" s="133"/>
      <c r="X43" s="134"/>
      <c r="Y43" s="134"/>
      <c r="Z43" s="135"/>
      <c r="AA43" s="133">
        <v>3</v>
      </c>
      <c r="AB43" s="134">
        <v>723043</v>
      </c>
      <c r="AC43" s="134"/>
      <c r="AD43" s="134"/>
      <c r="AE43" s="135"/>
      <c r="AF43" s="133">
        <v>2</v>
      </c>
      <c r="AG43" s="134">
        <v>230958.13</v>
      </c>
      <c r="AH43" s="134"/>
      <c r="AI43" s="134"/>
      <c r="AJ43" s="134"/>
      <c r="AK43" s="134"/>
      <c r="AL43" s="135"/>
      <c r="AM43" s="133"/>
      <c r="AN43" s="134"/>
      <c r="AO43" s="134"/>
      <c r="AP43" s="135"/>
    </row>
    <row r="44" spans="1:42" x14ac:dyDescent="0.25">
      <c r="A44" s="43">
        <v>45444</v>
      </c>
      <c r="B44" s="133">
        <v>1</v>
      </c>
      <c r="C44" s="134">
        <v>90998</v>
      </c>
      <c r="D44" s="134" t="s">
        <v>45</v>
      </c>
      <c r="E44" s="134" t="s">
        <v>45</v>
      </c>
      <c r="F44" s="134"/>
      <c r="G44" s="134"/>
      <c r="H44" s="135"/>
      <c r="I44" s="133" t="s">
        <v>45</v>
      </c>
      <c r="J44" s="134">
        <v>971975</v>
      </c>
      <c r="K44" s="134">
        <v>823434</v>
      </c>
      <c r="L44" s="134" t="s">
        <v>45</v>
      </c>
      <c r="M44" s="134"/>
      <c r="N44" s="134"/>
      <c r="O44" s="135"/>
      <c r="P44" s="133"/>
      <c r="Q44" s="134"/>
      <c r="R44" s="134"/>
      <c r="S44" s="134"/>
      <c r="T44" s="134"/>
      <c r="U44" s="134"/>
      <c r="V44" s="135"/>
      <c r="W44" s="133"/>
      <c r="X44" s="134"/>
      <c r="Y44" s="134"/>
      <c r="Z44" s="135"/>
      <c r="AA44" s="133" t="s">
        <v>45</v>
      </c>
      <c r="AB44" s="134">
        <v>170633</v>
      </c>
      <c r="AC44" s="134"/>
      <c r="AD44" s="134"/>
      <c r="AE44" s="135"/>
      <c r="AF44" s="133">
        <v>6</v>
      </c>
      <c r="AG44" s="134">
        <v>180845.32</v>
      </c>
      <c r="AH44" s="134"/>
      <c r="AI44" s="134"/>
      <c r="AJ44" s="134"/>
      <c r="AK44" s="134"/>
      <c r="AL44" s="135"/>
      <c r="AM44" s="133"/>
      <c r="AN44" s="134"/>
      <c r="AO44" s="134"/>
      <c r="AP44" s="135"/>
    </row>
    <row r="45" spans="1:42" x14ac:dyDescent="0.25">
      <c r="A45" s="43">
        <v>45474</v>
      </c>
      <c r="B45" s="133">
        <v>7</v>
      </c>
      <c r="C45" s="134">
        <v>79132</v>
      </c>
      <c r="D45" s="134">
        <v>355484</v>
      </c>
      <c r="E45" s="134">
        <v>34076</v>
      </c>
      <c r="F45" s="134"/>
      <c r="G45" s="134"/>
      <c r="H45" s="135"/>
      <c r="I45" s="133">
        <v>1</v>
      </c>
      <c r="J45" s="134">
        <v>164960</v>
      </c>
      <c r="K45" s="134">
        <v>834056</v>
      </c>
      <c r="L45" s="134">
        <v>99305</v>
      </c>
      <c r="M45" s="134"/>
      <c r="N45" s="134"/>
      <c r="O45" s="135"/>
      <c r="P45" s="133">
        <v>32</v>
      </c>
      <c r="Q45" s="134">
        <v>580237</v>
      </c>
      <c r="R45" s="134"/>
      <c r="S45" s="134"/>
      <c r="T45" s="134"/>
      <c r="U45" s="134"/>
      <c r="V45" s="135"/>
      <c r="W45" s="133"/>
      <c r="X45" s="134"/>
      <c r="Y45" s="134"/>
      <c r="Z45" s="135"/>
      <c r="AA45" s="133" t="s">
        <v>45</v>
      </c>
      <c r="AB45" s="134">
        <v>248148</v>
      </c>
      <c r="AC45" s="134"/>
      <c r="AD45" s="134"/>
      <c r="AE45" s="135"/>
      <c r="AF45" s="133">
        <v>2</v>
      </c>
      <c r="AG45" s="134">
        <v>190831.38</v>
      </c>
      <c r="AH45" s="134"/>
      <c r="AI45" s="134"/>
      <c r="AJ45" s="134"/>
      <c r="AK45" s="134"/>
      <c r="AL45" s="135"/>
      <c r="AM45" s="133"/>
      <c r="AN45" s="134"/>
      <c r="AO45" s="134"/>
      <c r="AP45" s="135"/>
    </row>
    <row r="46" spans="1:42" x14ac:dyDescent="0.25">
      <c r="A46" s="43">
        <v>45505</v>
      </c>
      <c r="B46" s="133">
        <v>1</v>
      </c>
      <c r="C46" s="134">
        <v>250222</v>
      </c>
      <c r="D46" s="134">
        <v>151586</v>
      </c>
      <c r="E46" s="134">
        <v>116958</v>
      </c>
      <c r="F46" s="134"/>
      <c r="G46" s="134"/>
      <c r="H46" s="135"/>
      <c r="I46" s="133">
        <v>1</v>
      </c>
      <c r="J46" s="134">
        <v>548222</v>
      </c>
      <c r="K46" s="134">
        <v>592696</v>
      </c>
      <c r="L46" s="134" t="s">
        <v>45</v>
      </c>
      <c r="M46" s="134"/>
      <c r="N46" s="134"/>
      <c r="O46" s="135"/>
      <c r="P46" s="133">
        <v>30</v>
      </c>
      <c r="Q46" s="134">
        <v>299399</v>
      </c>
      <c r="R46" s="134"/>
      <c r="S46" s="134"/>
      <c r="T46" s="134"/>
      <c r="U46" s="134"/>
      <c r="V46" s="135"/>
      <c r="W46" s="133"/>
      <c r="X46" s="134"/>
      <c r="Y46" s="134"/>
      <c r="Z46" s="135"/>
      <c r="AA46" s="133" t="s">
        <v>45</v>
      </c>
      <c r="AB46" s="134">
        <v>116356</v>
      </c>
      <c r="AC46" s="134"/>
      <c r="AD46" s="134"/>
      <c r="AE46" s="135"/>
      <c r="AF46" s="133">
        <v>2</v>
      </c>
      <c r="AG46" s="134">
        <v>220373.27</v>
      </c>
      <c r="AH46" s="134"/>
      <c r="AI46" s="134"/>
      <c r="AJ46" s="134"/>
      <c r="AK46" s="134"/>
      <c r="AL46" s="135"/>
      <c r="AM46" s="133"/>
      <c r="AN46" s="134"/>
      <c r="AO46" s="134"/>
      <c r="AP46" s="135"/>
    </row>
    <row r="47" spans="1:42" x14ac:dyDescent="0.25">
      <c r="A47" s="43">
        <v>45536</v>
      </c>
      <c r="B47" s="133">
        <v>3</v>
      </c>
      <c r="C47" s="134">
        <v>288783</v>
      </c>
      <c r="D47" s="134">
        <v>600424</v>
      </c>
      <c r="E47" s="134">
        <v>229817</v>
      </c>
      <c r="F47" s="134"/>
      <c r="G47" s="134"/>
      <c r="H47" s="135"/>
      <c r="I47" s="133">
        <v>1</v>
      </c>
      <c r="J47" s="134">
        <v>201279</v>
      </c>
      <c r="K47" s="134">
        <v>494201</v>
      </c>
      <c r="L47" s="134" t="s">
        <v>45</v>
      </c>
      <c r="M47" s="134"/>
      <c r="N47" s="134"/>
      <c r="O47" s="135"/>
      <c r="P47" s="133">
        <v>22</v>
      </c>
      <c r="Q47" s="134">
        <v>42952</v>
      </c>
      <c r="R47" s="134"/>
      <c r="S47" s="134"/>
      <c r="T47" s="134"/>
      <c r="U47" s="134"/>
      <c r="V47" s="135"/>
      <c r="W47" s="133"/>
      <c r="X47" s="134"/>
      <c r="Y47" s="134"/>
      <c r="Z47" s="135"/>
      <c r="AA47" s="133" t="s">
        <v>45</v>
      </c>
      <c r="AB47" s="134">
        <v>95410</v>
      </c>
      <c r="AC47" s="134"/>
      <c r="AD47" s="134"/>
      <c r="AE47" s="135"/>
      <c r="AF47" s="133">
        <v>2</v>
      </c>
      <c r="AG47" s="134">
        <v>402034.39</v>
      </c>
      <c r="AH47" s="134"/>
      <c r="AI47" s="134"/>
      <c r="AJ47" s="134"/>
      <c r="AK47" s="134"/>
      <c r="AL47" s="135"/>
      <c r="AM47" s="133"/>
      <c r="AN47" s="134"/>
      <c r="AO47" s="134"/>
      <c r="AP47" s="135"/>
    </row>
    <row r="48" spans="1:42" x14ac:dyDescent="0.25">
      <c r="A48" s="43">
        <v>45566</v>
      </c>
      <c r="B48" s="133">
        <v>1</v>
      </c>
      <c r="C48" s="134">
        <v>85079</v>
      </c>
      <c r="D48" s="134">
        <v>1033883</v>
      </c>
      <c r="E48" s="134">
        <v>34374</v>
      </c>
      <c r="F48" s="134"/>
      <c r="G48" s="134"/>
      <c r="H48" s="135"/>
      <c r="I48" s="133" t="s">
        <v>45</v>
      </c>
      <c r="J48" s="134">
        <v>403061</v>
      </c>
      <c r="K48" s="134">
        <v>750025</v>
      </c>
      <c r="L48" s="134">
        <v>36237</v>
      </c>
      <c r="M48" s="134"/>
      <c r="N48" s="134"/>
      <c r="O48" s="135"/>
      <c r="P48" s="133">
        <v>14</v>
      </c>
      <c r="Q48" s="134">
        <v>115273</v>
      </c>
      <c r="R48" s="134"/>
      <c r="S48" s="134"/>
      <c r="T48" s="134"/>
      <c r="U48" s="134"/>
      <c r="V48" s="135"/>
      <c r="W48" s="133"/>
      <c r="X48" s="134"/>
      <c r="Y48" s="134"/>
      <c r="Z48" s="135"/>
      <c r="AA48" s="133" t="s">
        <v>45</v>
      </c>
      <c r="AB48" s="134">
        <v>116427</v>
      </c>
      <c r="AC48" s="134"/>
      <c r="AD48" s="134"/>
      <c r="AE48" s="135"/>
      <c r="AF48" s="133">
        <v>2</v>
      </c>
      <c r="AG48" s="134">
        <v>416087.06</v>
      </c>
      <c r="AH48" s="134"/>
      <c r="AI48" s="134"/>
      <c r="AJ48" s="134"/>
      <c r="AK48" s="134"/>
      <c r="AL48" s="135"/>
      <c r="AM48" s="133"/>
      <c r="AN48" s="134"/>
      <c r="AO48" s="134"/>
      <c r="AP48" s="135"/>
    </row>
    <row r="49" spans="1:42" x14ac:dyDescent="0.25">
      <c r="A49" s="43">
        <v>45597</v>
      </c>
      <c r="B49" s="133" t="s">
        <v>45</v>
      </c>
      <c r="C49" s="134">
        <v>356149</v>
      </c>
      <c r="D49" s="134">
        <v>52708</v>
      </c>
      <c r="E49" s="134">
        <v>29331</v>
      </c>
      <c r="F49" s="134"/>
      <c r="G49" s="134"/>
      <c r="H49" s="135"/>
      <c r="I49" s="133" t="s">
        <v>45</v>
      </c>
      <c r="J49" s="134">
        <v>208700</v>
      </c>
      <c r="K49" s="134">
        <v>1004267</v>
      </c>
      <c r="L49" s="134">
        <v>35599</v>
      </c>
      <c r="M49" s="134"/>
      <c r="N49" s="134"/>
      <c r="O49" s="135"/>
      <c r="P49" s="133">
        <v>10</v>
      </c>
      <c r="Q49" s="134">
        <v>45450</v>
      </c>
      <c r="R49" s="134"/>
      <c r="S49" s="134"/>
      <c r="T49" s="134"/>
      <c r="U49" s="134"/>
      <c r="V49" s="135"/>
      <c r="W49" s="133"/>
      <c r="X49" s="134"/>
      <c r="Y49" s="134"/>
      <c r="Z49" s="135"/>
      <c r="AA49" s="133" t="s">
        <v>45</v>
      </c>
      <c r="AB49" s="134">
        <v>96304</v>
      </c>
      <c r="AC49" s="134"/>
      <c r="AD49" s="134"/>
      <c r="AE49" s="135"/>
      <c r="AF49" s="133">
        <v>1</v>
      </c>
      <c r="AG49" s="134">
        <v>3023371.18</v>
      </c>
      <c r="AH49" s="134"/>
      <c r="AI49" s="134">
        <v>2828889</v>
      </c>
      <c r="AJ49" s="134"/>
      <c r="AK49" s="134"/>
      <c r="AL49" s="135"/>
      <c r="AM49" s="133"/>
      <c r="AN49" s="134"/>
      <c r="AO49" s="134"/>
      <c r="AP49" s="135"/>
    </row>
    <row r="50" spans="1:42" x14ac:dyDescent="0.25">
      <c r="A50" s="43">
        <v>45627</v>
      </c>
      <c r="B50" s="133" t="s">
        <v>45</v>
      </c>
      <c r="C50" s="134">
        <v>594301</v>
      </c>
      <c r="D50" s="134">
        <v>643506</v>
      </c>
      <c r="E50" s="134" t="s">
        <v>45</v>
      </c>
      <c r="F50" s="134"/>
      <c r="G50" s="134"/>
      <c r="H50" s="135"/>
      <c r="I50" s="133" t="s">
        <v>45</v>
      </c>
      <c r="J50" s="134">
        <v>357717</v>
      </c>
      <c r="K50" s="134">
        <v>734496</v>
      </c>
      <c r="L50" s="134">
        <v>41248</v>
      </c>
      <c r="M50" s="134"/>
      <c r="N50" s="134"/>
      <c r="O50" s="135"/>
      <c r="P50" s="133">
        <v>5</v>
      </c>
      <c r="Q50" s="134">
        <v>61032</v>
      </c>
      <c r="R50" s="134"/>
      <c r="S50" s="134"/>
      <c r="T50" s="134"/>
      <c r="U50" s="134"/>
      <c r="V50" s="135"/>
      <c r="W50" s="133">
        <v>37</v>
      </c>
      <c r="X50" s="134">
        <v>262541</v>
      </c>
      <c r="Y50" s="134"/>
      <c r="Z50" s="135"/>
      <c r="AA50" s="133" t="s">
        <v>45</v>
      </c>
      <c r="AB50" s="134">
        <v>294651</v>
      </c>
      <c r="AC50" s="134"/>
      <c r="AD50" s="134"/>
      <c r="AE50" s="135"/>
      <c r="AF50" s="133">
        <v>2</v>
      </c>
      <c r="AG50" s="134">
        <v>1362090.6</v>
      </c>
      <c r="AH50" s="134">
        <v>495939</v>
      </c>
      <c r="AI50" s="134">
        <v>103299</v>
      </c>
      <c r="AJ50" s="134"/>
      <c r="AK50" s="134"/>
      <c r="AL50" s="135"/>
      <c r="AM50" s="133"/>
      <c r="AN50" s="134"/>
      <c r="AO50" s="134"/>
      <c r="AP50" s="135"/>
    </row>
    <row r="51" spans="1:42" x14ac:dyDescent="0.25">
      <c r="A51" s="43">
        <v>45658</v>
      </c>
      <c r="B51" s="133" t="s">
        <v>45</v>
      </c>
      <c r="C51" s="134">
        <v>498417</v>
      </c>
      <c r="D51" s="134">
        <v>1163143</v>
      </c>
      <c r="E51" s="134">
        <v>29331</v>
      </c>
      <c r="F51" s="134"/>
      <c r="G51" s="134"/>
      <c r="H51" s="135"/>
      <c r="I51" s="133" t="s">
        <v>45</v>
      </c>
      <c r="J51" s="134">
        <v>162303</v>
      </c>
      <c r="K51" s="134" t="s">
        <v>45</v>
      </c>
      <c r="L51" s="134" t="s">
        <v>45</v>
      </c>
      <c r="M51" s="134"/>
      <c r="N51" s="134"/>
      <c r="O51" s="135"/>
      <c r="P51" s="133">
        <v>5</v>
      </c>
      <c r="Q51" s="134">
        <v>54250</v>
      </c>
      <c r="R51" s="134"/>
      <c r="S51" s="134"/>
      <c r="T51" s="134"/>
      <c r="U51" s="134"/>
      <c r="V51" s="135"/>
      <c r="W51" s="133">
        <v>15</v>
      </c>
      <c r="X51" s="134">
        <v>155415</v>
      </c>
      <c r="Y51" s="134"/>
      <c r="Z51" s="135"/>
      <c r="AA51" s="133" t="s">
        <v>45</v>
      </c>
      <c r="AB51" s="134">
        <v>172391</v>
      </c>
      <c r="AC51" s="134"/>
      <c r="AD51" s="134"/>
      <c r="AE51" s="135"/>
      <c r="AF51" s="133">
        <v>1</v>
      </c>
      <c r="AG51" s="134">
        <v>463163</v>
      </c>
      <c r="AH51" s="134">
        <v>44304</v>
      </c>
      <c r="AI51" s="134">
        <v>61297</v>
      </c>
      <c r="AJ51" s="134"/>
      <c r="AK51" s="134"/>
      <c r="AL51" s="135"/>
      <c r="AM51" s="133">
        <v>2</v>
      </c>
      <c r="AN51" s="134"/>
      <c r="AO51" s="134"/>
      <c r="AP51" s="135"/>
    </row>
    <row r="52" spans="1:42" x14ac:dyDescent="0.25">
      <c r="A52" s="43">
        <v>45689</v>
      </c>
      <c r="B52" s="133" t="s">
        <v>45</v>
      </c>
      <c r="C52" s="134">
        <v>105008</v>
      </c>
      <c r="D52" s="134" t="s">
        <v>45</v>
      </c>
      <c r="E52" s="134" t="s">
        <v>45</v>
      </c>
      <c r="F52" s="134"/>
      <c r="G52" s="134"/>
      <c r="H52" s="135"/>
      <c r="I52" s="133" t="s">
        <v>45</v>
      </c>
      <c r="J52" s="134">
        <v>617475</v>
      </c>
      <c r="K52" s="134">
        <v>93151</v>
      </c>
      <c r="L52" s="134" t="s">
        <v>45</v>
      </c>
      <c r="M52" s="134"/>
      <c r="N52" s="134"/>
      <c r="O52" s="135"/>
      <c r="P52" s="133">
        <v>5</v>
      </c>
      <c r="Q52" s="134">
        <v>46310</v>
      </c>
      <c r="R52" s="134"/>
      <c r="S52" s="134"/>
      <c r="T52" s="134"/>
      <c r="U52" s="134"/>
      <c r="V52" s="135"/>
      <c r="W52" s="133">
        <v>11</v>
      </c>
      <c r="X52" s="134">
        <v>106136</v>
      </c>
      <c r="Y52" s="134"/>
      <c r="Z52" s="135"/>
      <c r="AA52" s="133" t="s">
        <v>45</v>
      </c>
      <c r="AB52" s="134">
        <v>104494</v>
      </c>
      <c r="AC52" s="134"/>
      <c r="AD52" s="134"/>
      <c r="AE52" s="135"/>
      <c r="AF52" s="133">
        <v>1</v>
      </c>
      <c r="AG52" s="134">
        <v>242545</v>
      </c>
      <c r="AH52" s="134">
        <v>58613</v>
      </c>
      <c r="AI52" s="134">
        <v>318826</v>
      </c>
      <c r="AJ52" s="134"/>
      <c r="AK52" s="134"/>
      <c r="AL52" s="135"/>
      <c r="AM52" s="133" t="s">
        <v>45</v>
      </c>
      <c r="AN52" s="134"/>
      <c r="AO52" s="134"/>
      <c r="AP52" s="135"/>
    </row>
    <row r="53" spans="1:42" x14ac:dyDescent="0.25">
      <c r="A53" s="43">
        <v>45717</v>
      </c>
      <c r="B53" s="133" t="s">
        <v>45</v>
      </c>
      <c r="C53" s="134">
        <v>361694</v>
      </c>
      <c r="D53" s="134">
        <v>867482</v>
      </c>
      <c r="E53" s="134" t="s">
        <v>45</v>
      </c>
      <c r="F53" s="134"/>
      <c r="G53" s="134"/>
      <c r="H53" s="135"/>
      <c r="I53" s="133" t="s">
        <v>45</v>
      </c>
      <c r="J53" s="134">
        <v>65451</v>
      </c>
      <c r="K53" s="134">
        <v>352901</v>
      </c>
      <c r="L53" s="134" t="s">
        <v>45</v>
      </c>
      <c r="M53" s="134"/>
      <c r="N53" s="134"/>
      <c r="O53" s="135"/>
      <c r="P53" s="133">
        <v>5</v>
      </c>
      <c r="Q53" s="134">
        <v>56284</v>
      </c>
      <c r="R53" s="134"/>
      <c r="S53" s="134"/>
      <c r="T53" s="134"/>
      <c r="U53" s="134"/>
      <c r="V53" s="135"/>
      <c r="W53" s="133">
        <v>5</v>
      </c>
      <c r="X53" s="134">
        <v>67242</v>
      </c>
      <c r="Y53" s="134"/>
      <c r="Z53" s="135"/>
      <c r="AA53" s="133" t="s">
        <v>45</v>
      </c>
      <c r="AB53" s="134">
        <v>254718</v>
      </c>
      <c r="AC53" s="134"/>
      <c r="AD53" s="134"/>
      <c r="AE53" s="135"/>
      <c r="AF53" s="133">
        <v>1</v>
      </c>
      <c r="AG53" s="134">
        <v>305213</v>
      </c>
      <c r="AH53" s="134">
        <v>527178</v>
      </c>
      <c r="AI53" s="134">
        <v>1687809</v>
      </c>
      <c r="AJ53" s="134"/>
      <c r="AK53" s="134"/>
      <c r="AL53" s="135"/>
      <c r="AM53" s="133" t="s">
        <v>45</v>
      </c>
      <c r="AN53" s="134"/>
      <c r="AO53" s="134"/>
      <c r="AP53" s="135"/>
    </row>
    <row r="54" spans="1:42" x14ac:dyDescent="0.25">
      <c r="A54" s="43">
        <v>45748</v>
      </c>
      <c r="B54" s="133" t="s">
        <v>45</v>
      </c>
      <c r="C54" s="134">
        <v>184143</v>
      </c>
      <c r="D54" s="134">
        <v>504379</v>
      </c>
      <c r="E54" s="134" t="s">
        <v>45</v>
      </c>
      <c r="F54" s="134"/>
      <c r="G54" s="134"/>
      <c r="H54" s="135"/>
      <c r="I54" s="133" t="s">
        <v>45</v>
      </c>
      <c r="J54" s="134">
        <v>40080</v>
      </c>
      <c r="K54" s="134" t="s">
        <v>45</v>
      </c>
      <c r="L54" s="134" t="s">
        <v>45</v>
      </c>
      <c r="M54" s="134"/>
      <c r="N54" s="134"/>
      <c r="O54" s="135"/>
      <c r="P54" s="133">
        <v>-2</v>
      </c>
      <c r="Q54" s="134">
        <v>63633</v>
      </c>
      <c r="R54" s="134"/>
      <c r="S54" s="134"/>
      <c r="T54" s="134"/>
      <c r="U54" s="134"/>
      <c r="V54" s="135"/>
      <c r="W54" s="133">
        <v>6</v>
      </c>
      <c r="X54" s="134">
        <v>53259</v>
      </c>
      <c r="Y54" s="134"/>
      <c r="Z54" s="135"/>
      <c r="AA54" s="133" t="s">
        <v>45</v>
      </c>
      <c r="AB54" s="134">
        <v>138414</v>
      </c>
      <c r="AC54" s="134"/>
      <c r="AD54" s="134"/>
      <c r="AE54" s="135"/>
      <c r="AF54" s="133">
        <v>1</v>
      </c>
      <c r="AG54" s="134">
        <v>379772</v>
      </c>
      <c r="AH54" s="134">
        <v>381667</v>
      </c>
      <c r="AI54" s="134" t="s">
        <v>45</v>
      </c>
      <c r="AJ54" s="134"/>
      <c r="AK54" s="134"/>
      <c r="AL54" s="135"/>
      <c r="AM54" s="133" t="s">
        <v>45</v>
      </c>
      <c r="AN54" s="134"/>
      <c r="AO54" s="134"/>
      <c r="AP54" s="135"/>
    </row>
    <row r="55" spans="1:42" x14ac:dyDescent="0.25">
      <c r="A55" s="43">
        <v>45778</v>
      </c>
      <c r="B55" s="133">
        <v>8</v>
      </c>
      <c r="C55" s="134">
        <v>393264</v>
      </c>
      <c r="D55" s="134">
        <v>303619</v>
      </c>
      <c r="E55" s="134" t="s">
        <v>45</v>
      </c>
      <c r="F55" s="134"/>
      <c r="G55" s="134"/>
      <c r="H55" s="135"/>
      <c r="I55" s="133" t="s">
        <v>45</v>
      </c>
      <c r="J55" s="134">
        <v>32565</v>
      </c>
      <c r="K55" s="134">
        <v>443100</v>
      </c>
      <c r="L55" s="134">
        <v>76405</v>
      </c>
      <c r="M55" s="134"/>
      <c r="N55" s="134"/>
      <c r="O55" s="135"/>
      <c r="P55" s="133" t="s">
        <v>45</v>
      </c>
      <c r="Q55" s="134">
        <v>157227</v>
      </c>
      <c r="R55" s="134"/>
      <c r="S55" s="134"/>
      <c r="T55" s="134"/>
      <c r="U55" s="134"/>
      <c r="V55" s="135"/>
      <c r="W55" s="133">
        <v>8</v>
      </c>
      <c r="X55" s="134">
        <v>54106</v>
      </c>
      <c r="Y55" s="134"/>
      <c r="Z55" s="135"/>
      <c r="AA55" s="133" t="s">
        <v>45</v>
      </c>
      <c r="AB55" s="134">
        <v>116203</v>
      </c>
      <c r="AC55" s="134"/>
      <c r="AD55" s="134"/>
      <c r="AE55" s="135"/>
      <c r="AF55" s="133">
        <v>1</v>
      </c>
      <c r="AG55" s="134">
        <v>287507</v>
      </c>
      <c r="AH55" s="134">
        <v>84505</v>
      </c>
      <c r="AI55" s="134">
        <v>236330</v>
      </c>
      <c r="AJ55" s="134"/>
      <c r="AK55" s="134"/>
      <c r="AL55" s="135"/>
      <c r="AM55" s="133" t="s">
        <v>45</v>
      </c>
      <c r="AN55" s="134"/>
      <c r="AO55" s="134"/>
      <c r="AP55" s="135"/>
    </row>
    <row r="56" spans="1:42" x14ac:dyDescent="0.25">
      <c r="A56" s="43">
        <v>45809</v>
      </c>
      <c r="B56" s="133">
        <v>1</v>
      </c>
      <c r="C56" s="134">
        <v>322109</v>
      </c>
      <c r="D56" s="134">
        <v>651851</v>
      </c>
      <c r="E56" s="134" t="s">
        <v>45</v>
      </c>
      <c r="F56" s="134"/>
      <c r="G56" s="134"/>
      <c r="H56" s="135"/>
      <c r="I56" s="133" t="s">
        <v>45</v>
      </c>
      <c r="J56" s="134">
        <v>28121</v>
      </c>
      <c r="K56" s="134">
        <v>1160037</v>
      </c>
      <c r="L56" s="134" t="s">
        <v>45</v>
      </c>
      <c r="M56" s="134"/>
      <c r="N56" s="134"/>
      <c r="O56" s="135"/>
      <c r="P56" s="133" t="s">
        <v>45</v>
      </c>
      <c r="Q56" s="134">
        <v>1549051</v>
      </c>
      <c r="R56" s="134"/>
      <c r="S56" s="134">
        <v>1443110</v>
      </c>
      <c r="T56" s="134"/>
      <c r="U56" s="134"/>
      <c r="V56" s="135"/>
      <c r="W56" s="133">
        <v>9</v>
      </c>
      <c r="X56" s="134">
        <v>52368</v>
      </c>
      <c r="Y56" s="134"/>
      <c r="Z56" s="135"/>
      <c r="AA56" s="133" t="s">
        <v>45</v>
      </c>
      <c r="AB56" s="134">
        <v>662741</v>
      </c>
      <c r="AC56" s="134"/>
      <c r="AD56" s="134"/>
      <c r="AE56" s="135"/>
      <c r="AF56" s="133">
        <v>1</v>
      </c>
      <c r="AG56" s="134">
        <v>311613</v>
      </c>
      <c r="AH56" s="134">
        <v>81943</v>
      </c>
      <c r="AI56" s="134">
        <v>235728</v>
      </c>
      <c r="AJ56" s="134"/>
      <c r="AK56" s="134"/>
      <c r="AL56" s="135"/>
      <c r="AM56" s="133" t="s">
        <v>45</v>
      </c>
      <c r="AN56" s="134"/>
      <c r="AO56" s="134"/>
      <c r="AP56" s="135"/>
    </row>
    <row r="57" spans="1:42" x14ac:dyDescent="0.25">
      <c r="A57" s="43">
        <v>45839</v>
      </c>
      <c r="B57" s="133">
        <v>1</v>
      </c>
      <c r="C57" s="134">
        <v>198354</v>
      </c>
      <c r="D57" s="134">
        <v>386649</v>
      </c>
      <c r="E57" s="134" t="s">
        <v>45</v>
      </c>
      <c r="F57" s="134"/>
      <c r="G57" s="134"/>
      <c r="H57" s="135"/>
      <c r="I57" s="133">
        <v>-1</v>
      </c>
      <c r="J57" s="134">
        <v>96843</v>
      </c>
      <c r="K57" s="134" t="s">
        <v>45</v>
      </c>
      <c r="L57" s="134" t="s">
        <v>45</v>
      </c>
      <c r="M57" s="134"/>
      <c r="N57" s="134"/>
      <c r="O57" s="135"/>
      <c r="P57" s="133" t="s">
        <v>45</v>
      </c>
      <c r="Q57" s="134">
        <v>2893764</v>
      </c>
      <c r="R57" s="134">
        <v>837585</v>
      </c>
      <c r="S57" s="134">
        <v>1974732</v>
      </c>
      <c r="T57" s="134"/>
      <c r="U57" s="134"/>
      <c r="V57" s="135"/>
      <c r="W57" s="133">
        <v>7</v>
      </c>
      <c r="X57" s="134">
        <v>116668</v>
      </c>
      <c r="Y57" s="134"/>
      <c r="Z57" s="135"/>
      <c r="AA57" s="133" t="s">
        <v>45</v>
      </c>
      <c r="AB57" s="134">
        <v>111735</v>
      </c>
      <c r="AC57" s="134"/>
      <c r="AD57" s="134"/>
      <c r="AE57" s="135"/>
      <c r="AF57" s="133">
        <v>1</v>
      </c>
      <c r="AG57" s="134">
        <v>336890</v>
      </c>
      <c r="AH57" s="134">
        <v>1698788</v>
      </c>
      <c r="AI57" s="134">
        <v>503380</v>
      </c>
      <c r="AJ57" s="134"/>
      <c r="AK57" s="134"/>
      <c r="AL57" s="135"/>
      <c r="AM57" s="133">
        <v>181</v>
      </c>
      <c r="AN57" s="134">
        <v>1915241</v>
      </c>
      <c r="AO57" s="134"/>
      <c r="AP57" s="135"/>
    </row>
    <row r="58" spans="1:42" x14ac:dyDescent="0.25">
      <c r="A58" s="43">
        <v>45870</v>
      </c>
      <c r="B58" s="133">
        <v>1</v>
      </c>
      <c r="C58" s="134">
        <v>425551</v>
      </c>
      <c r="D58" s="134">
        <v>1166855</v>
      </c>
      <c r="E58" s="134">
        <v>58842</v>
      </c>
      <c r="F58" s="134"/>
      <c r="G58" s="134"/>
      <c r="H58" s="135"/>
      <c r="I58" s="133" t="s">
        <v>45</v>
      </c>
      <c r="J58" s="134">
        <v>64422</v>
      </c>
      <c r="K58" s="134">
        <v>185306</v>
      </c>
      <c r="L58" s="134">
        <v>35795</v>
      </c>
      <c r="M58" s="134"/>
      <c r="N58" s="134"/>
      <c r="O58" s="135"/>
      <c r="P58" s="133">
        <v>1</v>
      </c>
      <c r="Q58" s="134">
        <v>1260483</v>
      </c>
      <c r="R58" s="134">
        <v>995004</v>
      </c>
      <c r="S58" s="134" t="s">
        <v>45</v>
      </c>
      <c r="T58" s="134"/>
      <c r="U58" s="134"/>
      <c r="V58" s="135"/>
      <c r="W58" s="133">
        <v>7</v>
      </c>
      <c r="X58" s="134">
        <v>61363</v>
      </c>
      <c r="Y58" s="134"/>
      <c r="Z58" s="135"/>
      <c r="AA58" s="133">
        <v>2</v>
      </c>
      <c r="AB58" s="134">
        <v>121872</v>
      </c>
      <c r="AC58" s="134"/>
      <c r="AD58" s="134"/>
      <c r="AE58" s="135"/>
      <c r="AF58" s="133" t="s">
        <v>45</v>
      </c>
      <c r="AG58" s="134">
        <v>387302</v>
      </c>
      <c r="AH58" s="134">
        <v>658563</v>
      </c>
      <c r="AI58" s="134">
        <v>92717</v>
      </c>
      <c r="AJ58" s="134"/>
      <c r="AK58" s="134"/>
      <c r="AL58" s="135"/>
      <c r="AM58" s="133">
        <v>19</v>
      </c>
      <c r="AN58" s="134">
        <v>888444</v>
      </c>
      <c r="AO58" s="134"/>
      <c r="AP58" s="135"/>
    </row>
    <row r="59" spans="1:42" x14ac:dyDescent="0.25">
      <c r="A59" s="43">
        <v>45901</v>
      </c>
      <c r="B59" s="133">
        <v>1</v>
      </c>
      <c r="C59" s="134">
        <v>154765</v>
      </c>
      <c r="D59" s="134">
        <v>563535</v>
      </c>
      <c r="E59" s="134">
        <v>35103</v>
      </c>
      <c r="F59" s="134"/>
      <c r="G59" s="134"/>
      <c r="H59" s="135"/>
      <c r="I59" s="133">
        <v>1</v>
      </c>
      <c r="J59" s="134">
        <v>21166</v>
      </c>
      <c r="K59" s="134">
        <v>933974</v>
      </c>
      <c r="L59" s="134" t="s">
        <v>45</v>
      </c>
      <c r="M59" s="134"/>
      <c r="N59" s="134"/>
      <c r="O59" s="135"/>
      <c r="P59" s="133">
        <v>1</v>
      </c>
      <c r="Q59" s="134">
        <v>456912</v>
      </c>
      <c r="R59" s="134">
        <v>973533</v>
      </c>
      <c r="S59" s="134">
        <v>1120860</v>
      </c>
      <c r="T59" s="134"/>
      <c r="U59" s="134"/>
      <c r="V59" s="135"/>
      <c r="W59" s="133">
        <v>8</v>
      </c>
      <c r="X59" s="134">
        <v>86815</v>
      </c>
      <c r="Y59" s="134"/>
      <c r="Z59" s="135"/>
      <c r="AA59" s="133" t="s">
        <v>45</v>
      </c>
      <c r="AB59" s="134">
        <v>107535</v>
      </c>
      <c r="AC59" s="134"/>
      <c r="AD59" s="134"/>
      <c r="AE59" s="135"/>
      <c r="AF59" s="133" t="s">
        <v>45</v>
      </c>
      <c r="AG59" s="134">
        <v>313641</v>
      </c>
      <c r="AH59" s="134">
        <v>946843</v>
      </c>
      <c r="AI59" s="134">
        <v>165441</v>
      </c>
      <c r="AJ59" s="134"/>
      <c r="AK59" s="134"/>
      <c r="AL59" s="135"/>
      <c r="AM59" s="133">
        <v>13</v>
      </c>
      <c r="AN59" s="134">
        <v>419611</v>
      </c>
      <c r="AO59" s="134"/>
      <c r="AP59" s="135"/>
    </row>
    <row r="60" spans="1:42" x14ac:dyDescent="0.25">
      <c r="A60" s="43">
        <v>45931</v>
      </c>
      <c r="B60" s="133" t="s">
        <v>45</v>
      </c>
      <c r="C60" s="134">
        <v>154874</v>
      </c>
      <c r="D60" s="134">
        <v>710328</v>
      </c>
      <c r="E60" s="134" t="s">
        <v>45</v>
      </c>
      <c r="F60" s="134"/>
      <c r="G60" s="134"/>
      <c r="H60" s="135"/>
      <c r="I60" s="133" t="s">
        <v>45</v>
      </c>
      <c r="J60" s="134">
        <v>3382</v>
      </c>
      <c r="K60" s="134" t="s">
        <v>45</v>
      </c>
      <c r="L60" s="134" t="s">
        <v>45</v>
      </c>
      <c r="M60" s="134"/>
      <c r="N60" s="134"/>
      <c r="O60" s="135"/>
      <c r="P60" s="133" t="s">
        <v>45</v>
      </c>
      <c r="Q60" s="134">
        <v>428046</v>
      </c>
      <c r="R60" s="134">
        <v>956562</v>
      </c>
      <c r="S60" s="134">
        <v>144523</v>
      </c>
      <c r="T60" s="134"/>
      <c r="U60" s="134"/>
      <c r="V60" s="135"/>
      <c r="W60" s="133">
        <v>8</v>
      </c>
      <c r="X60" s="134">
        <v>76138</v>
      </c>
      <c r="Y60" s="134"/>
      <c r="Z60" s="135"/>
      <c r="AA60" s="133" t="s">
        <v>45</v>
      </c>
      <c r="AB60" s="134">
        <v>81980</v>
      </c>
      <c r="AC60" s="134"/>
      <c r="AD60" s="134"/>
      <c r="AE60" s="135"/>
      <c r="AF60" s="133">
        <v>15</v>
      </c>
      <c r="AG60" s="134">
        <v>333428</v>
      </c>
      <c r="AH60" s="134">
        <v>547764</v>
      </c>
      <c r="AI60" s="134">
        <v>95163</v>
      </c>
      <c r="AJ60" s="134"/>
      <c r="AK60" s="134"/>
      <c r="AL60" s="135"/>
      <c r="AM60" s="133">
        <v>55</v>
      </c>
      <c r="AN60" s="134">
        <v>727302</v>
      </c>
      <c r="AO60" s="134"/>
      <c r="AP60" s="135"/>
    </row>
    <row r="61" spans="1:42" x14ac:dyDescent="0.25">
      <c r="A61" s="43">
        <v>45962</v>
      </c>
      <c r="B61" s="133"/>
      <c r="C61" s="134">
        <v>161197</v>
      </c>
      <c r="D61" s="134">
        <v>602871</v>
      </c>
      <c r="E61" s="136"/>
      <c r="F61" s="136"/>
      <c r="G61" s="134"/>
      <c r="H61" s="135"/>
      <c r="I61" s="133"/>
      <c r="J61" s="134">
        <v>5123</v>
      </c>
      <c r="K61" s="134"/>
      <c r="L61" s="136"/>
      <c r="M61" s="136"/>
      <c r="N61" s="134"/>
      <c r="O61" s="135"/>
      <c r="P61" s="133"/>
      <c r="Q61" s="134">
        <v>114248</v>
      </c>
      <c r="R61" s="134">
        <v>984693</v>
      </c>
      <c r="S61" s="136"/>
      <c r="T61" s="136"/>
      <c r="U61" s="134"/>
      <c r="V61" s="135"/>
      <c r="W61" s="133"/>
      <c r="X61" s="134">
        <v>63468</v>
      </c>
      <c r="Y61" s="134"/>
      <c r="Z61" s="135"/>
      <c r="AA61" s="133"/>
      <c r="AB61" s="134">
        <v>46616</v>
      </c>
      <c r="AC61" s="136"/>
      <c r="AD61" s="134"/>
      <c r="AE61" s="135"/>
      <c r="AF61" s="133"/>
      <c r="AG61" s="134">
        <v>150513</v>
      </c>
      <c r="AH61" s="134">
        <v>1081148</v>
      </c>
      <c r="AI61" s="136"/>
      <c r="AJ61" s="136"/>
      <c r="AK61" s="134"/>
      <c r="AL61" s="135"/>
      <c r="AM61" s="133"/>
      <c r="AN61" s="134">
        <v>119985</v>
      </c>
      <c r="AO61" s="134"/>
      <c r="AP61" s="135"/>
    </row>
    <row r="62" spans="1:42" x14ac:dyDescent="0.25">
      <c r="A62" s="43">
        <v>45992</v>
      </c>
      <c r="B62" s="133"/>
      <c r="C62" s="134">
        <v>141631</v>
      </c>
      <c r="D62" s="134">
        <v>602871</v>
      </c>
      <c r="E62" s="136"/>
      <c r="F62" s="136"/>
      <c r="G62" s="134"/>
      <c r="H62" s="136"/>
      <c r="I62" s="133"/>
      <c r="J62" s="134">
        <v>9894</v>
      </c>
      <c r="K62" s="134"/>
      <c r="L62" s="136"/>
      <c r="M62" s="136"/>
      <c r="N62" s="134"/>
      <c r="O62" s="136"/>
      <c r="P62" s="133"/>
      <c r="Q62" s="134">
        <v>554354</v>
      </c>
      <c r="R62" s="134">
        <v>984693</v>
      </c>
      <c r="S62" s="136"/>
      <c r="T62" s="136"/>
      <c r="U62" s="134"/>
      <c r="V62" s="136"/>
      <c r="W62" s="133"/>
      <c r="X62" s="134">
        <v>630431</v>
      </c>
      <c r="Y62" s="134"/>
      <c r="Z62" s="136"/>
      <c r="AA62" s="133"/>
      <c r="AB62" s="134">
        <v>400120</v>
      </c>
      <c r="AC62" s="136"/>
      <c r="AD62" s="134"/>
      <c r="AE62" s="136"/>
      <c r="AF62" s="133"/>
      <c r="AG62" s="134">
        <v>1425862</v>
      </c>
      <c r="AH62" s="134">
        <v>1081148</v>
      </c>
      <c r="AI62" s="136"/>
      <c r="AJ62" s="136"/>
      <c r="AK62" s="134"/>
      <c r="AL62" s="136"/>
      <c r="AM62" s="133"/>
      <c r="AN62" s="134">
        <v>536488</v>
      </c>
      <c r="AO62" s="134"/>
      <c r="AP62" s="135"/>
    </row>
    <row r="63" spans="1:42" x14ac:dyDescent="0.25">
      <c r="A63" s="43">
        <v>46023</v>
      </c>
      <c r="B63" s="133"/>
      <c r="C63" s="134">
        <v>134552</v>
      </c>
      <c r="D63" s="134">
        <v>452154</v>
      </c>
      <c r="E63" s="136">
        <v>163842</v>
      </c>
      <c r="F63" s="136"/>
      <c r="G63" s="134"/>
      <c r="H63" s="136"/>
      <c r="I63" s="133"/>
      <c r="J63" s="134">
        <v>1796</v>
      </c>
      <c r="K63" s="134"/>
      <c r="L63" s="136"/>
      <c r="M63" s="136"/>
      <c r="N63" s="134"/>
      <c r="O63" s="136"/>
      <c r="P63" s="133"/>
      <c r="Q63" s="134">
        <v>206072</v>
      </c>
      <c r="R63" s="134">
        <v>984693</v>
      </c>
      <c r="S63" s="136"/>
      <c r="T63" s="136"/>
      <c r="U63" s="134"/>
      <c r="V63" s="136"/>
      <c r="W63" s="133"/>
      <c r="X63" s="134">
        <v>87746</v>
      </c>
      <c r="Y63" s="134"/>
      <c r="Z63" s="136"/>
      <c r="AA63" s="133"/>
      <c r="AB63" s="134">
        <v>146553</v>
      </c>
      <c r="AC63" s="136"/>
      <c r="AD63" s="134"/>
      <c r="AE63" s="136"/>
      <c r="AF63" s="133"/>
      <c r="AG63" s="134">
        <v>415011</v>
      </c>
      <c r="AH63" s="134">
        <v>1081148</v>
      </c>
      <c r="AI63" s="136"/>
      <c r="AJ63" s="136"/>
      <c r="AK63" s="134"/>
      <c r="AL63" s="136"/>
      <c r="AM63" s="133"/>
      <c r="AN63" s="134">
        <v>224803</v>
      </c>
      <c r="AO63" s="134"/>
      <c r="AP63" s="135"/>
    </row>
    <row r="64" spans="1:42" x14ac:dyDescent="0.25">
      <c r="A64" s="43">
        <v>46054</v>
      </c>
      <c r="B64" s="133"/>
      <c r="C64" s="134">
        <v>196652</v>
      </c>
      <c r="D64" s="134">
        <v>371313</v>
      </c>
      <c r="E64" s="136"/>
      <c r="F64" s="136"/>
      <c r="G64" s="134"/>
      <c r="H64" s="136"/>
      <c r="I64" s="133"/>
      <c r="J64" s="134">
        <v>2059</v>
      </c>
      <c r="K64" s="134"/>
      <c r="L64" s="136"/>
      <c r="M64" s="136"/>
      <c r="N64" s="134"/>
      <c r="O64" s="136"/>
      <c r="P64" s="133"/>
      <c r="Q64" s="134">
        <v>189120</v>
      </c>
      <c r="R64" s="134">
        <v>984693</v>
      </c>
      <c r="S64" s="136">
        <v>148936</v>
      </c>
      <c r="T64" s="136"/>
      <c r="U64" s="134"/>
      <c r="V64" s="136"/>
      <c r="W64" s="133"/>
      <c r="X64" s="134">
        <v>88705</v>
      </c>
      <c r="Y64" s="134"/>
      <c r="Z64" s="136"/>
      <c r="AA64" s="133"/>
      <c r="AB64" s="134">
        <v>82751</v>
      </c>
      <c r="AC64" s="136"/>
      <c r="AD64" s="134"/>
      <c r="AE64" s="136"/>
      <c r="AF64" s="133"/>
      <c r="AG64" s="134">
        <v>316791</v>
      </c>
      <c r="AH64" s="134">
        <v>1081148</v>
      </c>
      <c r="AI64" s="136"/>
      <c r="AJ64" s="136"/>
      <c r="AK64" s="134"/>
      <c r="AL64" s="136"/>
      <c r="AM64" s="133"/>
      <c r="AN64" s="134">
        <v>231915</v>
      </c>
      <c r="AO64" s="134"/>
      <c r="AP64" s="135"/>
    </row>
    <row r="65" spans="1:42" x14ac:dyDescent="0.25">
      <c r="A65" s="43">
        <v>46082</v>
      </c>
      <c r="B65" s="133"/>
      <c r="C65" s="134">
        <v>190600</v>
      </c>
      <c r="D65" s="134">
        <v>985148</v>
      </c>
      <c r="E65" s="136"/>
      <c r="F65" s="136"/>
      <c r="G65" s="134"/>
      <c r="H65" s="136"/>
      <c r="I65" s="133"/>
      <c r="J65" s="134">
        <v>2153</v>
      </c>
      <c r="K65" s="134"/>
      <c r="L65" s="136"/>
      <c r="M65" s="136"/>
      <c r="N65" s="134"/>
      <c r="O65" s="136"/>
      <c r="P65" s="133"/>
      <c r="Q65" s="134">
        <v>256209</v>
      </c>
      <c r="R65" s="134">
        <v>729402</v>
      </c>
      <c r="S65" s="136" t="s">
        <v>45</v>
      </c>
      <c r="T65" s="136"/>
      <c r="U65" s="134"/>
      <c r="V65" s="136"/>
      <c r="W65" s="133"/>
      <c r="X65" s="134">
        <v>89085</v>
      </c>
      <c r="Y65" s="134"/>
      <c r="Z65" s="136"/>
      <c r="AA65" s="133"/>
      <c r="AB65" s="134">
        <v>262310</v>
      </c>
      <c r="AC65" s="136"/>
      <c r="AD65" s="134"/>
      <c r="AE65" s="136"/>
      <c r="AF65" s="133"/>
      <c r="AG65" s="134">
        <v>419249</v>
      </c>
      <c r="AH65" s="134">
        <v>1621722</v>
      </c>
      <c r="AI65" s="136">
        <v>205128</v>
      </c>
      <c r="AJ65" s="136"/>
      <c r="AK65" s="134"/>
      <c r="AL65" s="136"/>
      <c r="AM65" s="133"/>
      <c r="AN65" s="134">
        <v>215074</v>
      </c>
      <c r="AO65" s="134"/>
      <c r="AP65" s="135"/>
    </row>
    <row r="66" spans="1:42" x14ac:dyDescent="0.25">
      <c r="A66" s="43">
        <v>46113</v>
      </c>
      <c r="B66" s="133"/>
      <c r="C66" s="134">
        <v>149202</v>
      </c>
      <c r="D66" s="134" t="s">
        <v>45</v>
      </c>
      <c r="E66" s="136"/>
      <c r="F66" s="136"/>
      <c r="G66" s="134"/>
      <c r="H66" s="136"/>
      <c r="I66" s="133"/>
      <c r="J66" s="134">
        <v>1796</v>
      </c>
      <c r="K66" s="134"/>
      <c r="L66" s="136"/>
      <c r="M66" s="136"/>
      <c r="N66" s="134"/>
      <c r="O66" s="136"/>
      <c r="P66" s="133"/>
      <c r="Q66" s="134">
        <v>202833</v>
      </c>
      <c r="R66" s="134">
        <v>729402</v>
      </c>
      <c r="S66" s="136" t="s">
        <v>45</v>
      </c>
      <c r="T66" s="136"/>
      <c r="U66" s="134"/>
      <c r="V66" s="136"/>
      <c r="W66" s="133"/>
      <c r="X66" s="134">
        <v>89761</v>
      </c>
      <c r="Y66" s="134"/>
      <c r="Z66" s="136"/>
      <c r="AA66" s="133"/>
      <c r="AB66" s="134">
        <v>185568</v>
      </c>
      <c r="AC66" s="136"/>
      <c r="AD66" s="134"/>
      <c r="AE66" s="136"/>
      <c r="AF66" s="133"/>
      <c r="AG66" s="134">
        <v>336277</v>
      </c>
      <c r="AH66" s="134">
        <v>1621722</v>
      </c>
      <c r="AI66" s="136">
        <v>164103</v>
      </c>
      <c r="AJ66" s="136"/>
      <c r="AK66" s="134"/>
      <c r="AL66" s="136"/>
      <c r="AM66" s="133"/>
      <c r="AN66" s="134">
        <v>226155</v>
      </c>
      <c r="AO66" s="134"/>
      <c r="AP66" s="135"/>
    </row>
    <row r="67" spans="1:42" x14ac:dyDescent="0.25">
      <c r="A67" s="43">
        <v>46143</v>
      </c>
      <c r="B67" s="133"/>
      <c r="C67" s="134">
        <v>158391</v>
      </c>
      <c r="D67" s="134"/>
      <c r="E67" s="136"/>
      <c r="F67" s="136"/>
      <c r="G67" s="134"/>
      <c r="H67" s="136"/>
      <c r="I67" s="133"/>
      <c r="J67" s="134">
        <v>1796</v>
      </c>
      <c r="K67" s="134"/>
      <c r="L67" s="136"/>
      <c r="M67" s="136"/>
      <c r="N67" s="134"/>
      <c r="O67" s="136"/>
      <c r="P67" s="133"/>
      <c r="Q67" s="134">
        <v>218049</v>
      </c>
      <c r="R67" s="134">
        <v>911753</v>
      </c>
      <c r="S67" s="136"/>
      <c r="T67" s="136"/>
      <c r="U67" s="134"/>
      <c r="V67" s="136"/>
      <c r="W67" s="133"/>
      <c r="X67" s="134">
        <v>91254</v>
      </c>
      <c r="Y67" s="134"/>
      <c r="Z67" s="136"/>
      <c r="AA67" s="133"/>
      <c r="AB67" s="134">
        <v>90787</v>
      </c>
      <c r="AC67" s="136"/>
      <c r="AD67" s="134"/>
      <c r="AE67" s="136"/>
      <c r="AF67" s="133"/>
      <c r="AG67" s="134">
        <v>295161</v>
      </c>
      <c r="AH67" s="134">
        <v>1621722</v>
      </c>
      <c r="AI67" s="136"/>
      <c r="AJ67" s="136"/>
      <c r="AK67" s="134"/>
      <c r="AL67" s="136"/>
      <c r="AM67" s="133"/>
      <c r="AN67" s="134">
        <v>432293</v>
      </c>
      <c r="AO67" s="134"/>
      <c r="AP67" s="135"/>
    </row>
    <row r="68" spans="1:42" x14ac:dyDescent="0.25">
      <c r="A68" s="43">
        <v>46174</v>
      </c>
      <c r="B68" s="133"/>
      <c r="C68" s="134">
        <v>163064</v>
      </c>
      <c r="D68" s="134"/>
      <c r="E68" s="136"/>
      <c r="F68" s="136"/>
      <c r="G68" s="134"/>
      <c r="H68" s="136"/>
      <c r="I68" s="133"/>
      <c r="J68" s="134">
        <v>1796</v>
      </c>
      <c r="K68" s="134"/>
      <c r="L68" s="136"/>
      <c r="M68" s="136"/>
      <c r="N68" s="134"/>
      <c r="O68" s="136"/>
      <c r="P68" s="133"/>
      <c r="Q68" s="134">
        <v>221372</v>
      </c>
      <c r="R68" s="134">
        <v>911753</v>
      </c>
      <c r="S68" s="136"/>
      <c r="T68" s="136"/>
      <c r="U68" s="134"/>
      <c r="V68" s="136"/>
      <c r="W68" s="133"/>
      <c r="X68" s="134">
        <v>111142</v>
      </c>
      <c r="Y68" s="134"/>
      <c r="Z68" s="136"/>
      <c r="AA68" s="133"/>
      <c r="AB68" s="134">
        <v>124863</v>
      </c>
      <c r="AC68" s="136"/>
      <c r="AD68" s="134"/>
      <c r="AE68" s="136"/>
      <c r="AF68" s="133"/>
      <c r="AG68" s="134">
        <v>360216</v>
      </c>
      <c r="AH68" s="134">
        <v>1621722</v>
      </c>
      <c r="AI68" s="136"/>
      <c r="AJ68" s="136"/>
      <c r="AK68" s="134"/>
      <c r="AL68" s="136"/>
      <c r="AM68" s="133"/>
      <c r="AN68" s="134">
        <v>369900</v>
      </c>
      <c r="AO68" s="134"/>
      <c r="AP68" s="135"/>
    </row>
    <row r="69" spans="1:42" x14ac:dyDescent="0.25">
      <c r="A69" s="43">
        <v>46204</v>
      </c>
      <c r="B69" s="133"/>
      <c r="C69" s="134">
        <v>128658</v>
      </c>
      <c r="D69" s="134"/>
      <c r="E69" s="136"/>
      <c r="F69" s="136"/>
      <c r="G69" s="134"/>
      <c r="H69" s="136"/>
      <c r="I69" s="133"/>
      <c r="J69" s="134">
        <v>1796</v>
      </c>
      <c r="K69" s="134"/>
      <c r="L69" s="136"/>
      <c r="M69" s="136"/>
      <c r="N69" s="134"/>
      <c r="O69" s="136"/>
      <c r="P69" s="133"/>
      <c r="Q69" s="134">
        <v>553738</v>
      </c>
      <c r="R69" s="134">
        <v>911753</v>
      </c>
      <c r="S69" s="136"/>
      <c r="T69" s="136"/>
      <c r="U69" s="134"/>
      <c r="V69" s="136"/>
      <c r="W69" s="133"/>
      <c r="X69" s="134">
        <v>95634</v>
      </c>
      <c r="Y69" s="134"/>
      <c r="Z69" s="136"/>
      <c r="AA69" s="133"/>
      <c r="AB69" s="134">
        <v>101893</v>
      </c>
      <c r="AC69" s="136"/>
      <c r="AD69" s="134"/>
      <c r="AE69" s="136"/>
      <c r="AF69" s="133"/>
      <c r="AG69" s="134">
        <v>381626</v>
      </c>
      <c r="AH69" s="134">
        <v>1621722</v>
      </c>
      <c r="AI69" s="136"/>
      <c r="AJ69" s="136"/>
      <c r="AK69" s="134"/>
      <c r="AL69" s="136"/>
      <c r="AM69" s="133"/>
      <c r="AN69" s="134">
        <v>742240</v>
      </c>
      <c r="AO69" s="134"/>
      <c r="AP69" s="135"/>
    </row>
    <row r="70" spans="1:42" x14ac:dyDescent="0.25">
      <c r="A70" s="43">
        <v>46235</v>
      </c>
      <c r="B70" s="133"/>
      <c r="C70" s="134">
        <v>432380</v>
      </c>
      <c r="D70" s="134"/>
      <c r="E70" s="136"/>
      <c r="F70" s="136"/>
      <c r="G70" s="134"/>
      <c r="H70" s="136"/>
      <c r="I70" s="133"/>
      <c r="J70" s="134">
        <v>1796</v>
      </c>
      <c r="K70" s="134"/>
      <c r="L70" s="136"/>
      <c r="M70" s="136"/>
      <c r="N70" s="134"/>
      <c r="O70" s="136"/>
      <c r="P70" s="133"/>
      <c r="Q70" s="134">
        <v>317105</v>
      </c>
      <c r="R70" s="134">
        <v>911753</v>
      </c>
      <c r="S70" s="136"/>
      <c r="T70" s="136"/>
      <c r="U70" s="134"/>
      <c r="V70" s="136"/>
      <c r="W70" s="133"/>
      <c r="X70" s="134">
        <v>97346</v>
      </c>
      <c r="Y70" s="134"/>
      <c r="Z70" s="136"/>
      <c r="AA70" s="133"/>
      <c r="AB70" s="134">
        <v>82751</v>
      </c>
      <c r="AC70" s="136">
        <v>2695286</v>
      </c>
      <c r="AD70" s="134"/>
      <c r="AE70" s="136"/>
      <c r="AF70" s="133"/>
      <c r="AG70" s="134">
        <v>302622</v>
      </c>
      <c r="AH70" s="134">
        <v>1621722</v>
      </c>
      <c r="AI70" s="136"/>
      <c r="AJ70" s="136"/>
      <c r="AK70" s="134"/>
      <c r="AL70" s="136"/>
      <c r="AM70" s="133"/>
      <c r="AN70" s="134">
        <v>254784</v>
      </c>
      <c r="AO70" s="134"/>
      <c r="AP70" s="135"/>
    </row>
    <row r="71" spans="1:42" x14ac:dyDescent="0.25">
      <c r="A71" s="43">
        <v>46266</v>
      </c>
      <c r="B71" s="133"/>
      <c r="C71" s="134">
        <v>459696</v>
      </c>
      <c r="D71" s="134"/>
      <c r="E71" s="136"/>
      <c r="F71" s="136"/>
      <c r="G71" s="134"/>
      <c r="H71" s="136"/>
      <c r="I71" s="133"/>
      <c r="J71" s="134">
        <v>1796</v>
      </c>
      <c r="K71" s="134"/>
      <c r="L71" s="136"/>
      <c r="M71" s="136"/>
      <c r="N71" s="134"/>
      <c r="O71" s="136"/>
      <c r="P71" s="133"/>
      <c r="Q71" s="134">
        <v>202828</v>
      </c>
      <c r="R71" s="134">
        <v>911753</v>
      </c>
      <c r="S71" s="136"/>
      <c r="T71" s="136"/>
      <c r="U71" s="134"/>
      <c r="V71" s="136"/>
      <c r="W71" s="133"/>
      <c r="X71" s="134">
        <v>98315</v>
      </c>
      <c r="Y71" s="134"/>
      <c r="Z71" s="136"/>
      <c r="AA71" s="133"/>
      <c r="AB71" s="134">
        <v>82751</v>
      </c>
      <c r="AC71" s="136">
        <v>2695286</v>
      </c>
      <c r="AD71" s="134"/>
      <c r="AE71" s="136"/>
      <c r="AF71" s="133"/>
      <c r="AG71" s="134">
        <v>276582</v>
      </c>
      <c r="AH71" s="134">
        <v>1621722</v>
      </c>
      <c r="AI71" s="136"/>
      <c r="AJ71" s="136"/>
      <c r="AK71" s="134"/>
      <c r="AL71" s="136"/>
      <c r="AM71" s="133"/>
      <c r="AN71" s="134">
        <v>285230</v>
      </c>
      <c r="AO71" s="134"/>
      <c r="AP71" s="135"/>
    </row>
    <row r="72" spans="1:42" x14ac:dyDescent="0.25">
      <c r="A72" s="43">
        <v>46296</v>
      </c>
      <c r="B72" s="133"/>
      <c r="C72" s="134">
        <v>128929</v>
      </c>
      <c r="D72" s="134"/>
      <c r="E72" s="136"/>
      <c r="F72" s="136"/>
      <c r="G72" s="134"/>
      <c r="H72" s="136"/>
      <c r="I72" s="133"/>
      <c r="J72" s="134">
        <v>1796</v>
      </c>
      <c r="K72" s="134"/>
      <c r="L72" s="136"/>
      <c r="M72" s="136"/>
      <c r="N72" s="134"/>
      <c r="O72" s="136"/>
      <c r="P72" s="133"/>
      <c r="Q72" s="134">
        <v>198013</v>
      </c>
      <c r="R72" s="134">
        <v>911753</v>
      </c>
      <c r="S72" s="136"/>
      <c r="T72" s="136"/>
      <c r="U72" s="134"/>
      <c r="V72" s="136"/>
      <c r="W72" s="133"/>
      <c r="X72" s="134">
        <v>98983</v>
      </c>
      <c r="Y72" s="134"/>
      <c r="Z72" s="136"/>
      <c r="AA72" s="133"/>
      <c r="AB72" s="134">
        <v>82751</v>
      </c>
      <c r="AC72" s="136">
        <v>2695286</v>
      </c>
      <c r="AD72" s="134"/>
      <c r="AE72" s="136"/>
      <c r="AF72" s="133"/>
      <c r="AG72" s="134">
        <v>1404421</v>
      </c>
      <c r="AH72" s="134">
        <v>1621722</v>
      </c>
      <c r="AI72" s="136"/>
      <c r="AJ72" s="136"/>
      <c r="AK72" s="134"/>
      <c r="AL72" s="136"/>
      <c r="AM72" s="133"/>
      <c r="AN72" s="134">
        <v>281965</v>
      </c>
      <c r="AO72" s="134"/>
      <c r="AP72" s="135"/>
    </row>
    <row r="73" spans="1:42" x14ac:dyDescent="0.25">
      <c r="A73" s="43">
        <v>46327</v>
      </c>
      <c r="B73" s="133"/>
      <c r="C73" s="134">
        <v>21390</v>
      </c>
      <c r="D73" s="134"/>
      <c r="E73" s="136"/>
      <c r="F73" s="136"/>
      <c r="G73" s="134"/>
      <c r="H73" s="136"/>
      <c r="I73" s="133"/>
      <c r="J73" s="134">
        <v>1796</v>
      </c>
      <c r="K73" s="134"/>
      <c r="L73" s="136"/>
      <c r="M73" s="136"/>
      <c r="N73" s="134"/>
      <c r="O73" s="136"/>
      <c r="P73" s="133"/>
      <c r="Q73" s="134">
        <v>208674</v>
      </c>
      <c r="R73" s="134">
        <v>911753</v>
      </c>
      <c r="S73" s="136"/>
      <c r="T73" s="136"/>
      <c r="U73" s="134"/>
      <c r="V73" s="136"/>
      <c r="W73" s="133"/>
      <c r="X73" s="134">
        <v>100463</v>
      </c>
      <c r="Y73" s="134"/>
      <c r="Z73" s="136"/>
      <c r="AA73" s="133"/>
      <c r="AB73" s="134">
        <v>80901</v>
      </c>
      <c r="AC73" s="136">
        <v>2695286</v>
      </c>
      <c r="AD73" s="134"/>
      <c r="AE73" s="136"/>
      <c r="AF73" s="133"/>
      <c r="AG73" s="134">
        <v>308532</v>
      </c>
      <c r="AH73" s="134">
        <v>1216292</v>
      </c>
      <c r="AI73" s="136"/>
      <c r="AJ73" s="136"/>
      <c r="AK73" s="134"/>
      <c r="AL73" s="136"/>
      <c r="AM73" s="133"/>
      <c r="AN73" s="134">
        <v>253816</v>
      </c>
      <c r="AO73" s="134"/>
      <c r="AP73" s="135"/>
    </row>
    <row r="74" spans="1:42" x14ac:dyDescent="0.25">
      <c r="A74" s="43">
        <v>46357</v>
      </c>
      <c r="B74" s="133"/>
      <c r="C74" s="134">
        <v>29191</v>
      </c>
      <c r="D74" s="134"/>
      <c r="E74" s="136"/>
      <c r="F74" s="136"/>
      <c r="G74" s="134"/>
      <c r="H74" s="136"/>
      <c r="I74" s="133"/>
      <c r="J74" s="134">
        <v>1909</v>
      </c>
      <c r="K74" s="134"/>
      <c r="L74" s="136"/>
      <c r="M74" s="136"/>
      <c r="N74" s="134"/>
      <c r="O74" s="136"/>
      <c r="P74" s="133"/>
      <c r="Q74" s="134">
        <v>677780</v>
      </c>
      <c r="R74" s="134">
        <v>911753</v>
      </c>
      <c r="S74" s="136"/>
      <c r="T74" s="136"/>
      <c r="U74" s="134"/>
      <c r="V74" s="136"/>
      <c r="W74" s="133"/>
      <c r="X74" s="134">
        <v>769598</v>
      </c>
      <c r="Y74" s="134"/>
      <c r="Z74" s="136"/>
      <c r="AA74" s="133"/>
      <c r="AB74" s="134">
        <v>209858</v>
      </c>
      <c r="AC74" s="136">
        <v>2695286</v>
      </c>
      <c r="AD74" s="134"/>
      <c r="AE74" s="136"/>
      <c r="AF74" s="133"/>
      <c r="AG74" s="134">
        <v>452852</v>
      </c>
      <c r="AH74" s="134">
        <v>1216292</v>
      </c>
      <c r="AI74" s="136"/>
      <c r="AJ74" s="136"/>
      <c r="AK74" s="134"/>
      <c r="AL74" s="136"/>
      <c r="AM74" s="133"/>
      <c r="AN74" s="134">
        <v>813260</v>
      </c>
      <c r="AO74" s="134"/>
      <c r="AP74" s="135"/>
    </row>
    <row r="75" spans="1:42" x14ac:dyDescent="0.25">
      <c r="A75" s="43">
        <v>46388</v>
      </c>
      <c r="B75" s="133"/>
      <c r="C75" s="134">
        <v>9509</v>
      </c>
      <c r="D75" s="134"/>
      <c r="E75" s="136"/>
      <c r="F75" s="136"/>
      <c r="G75" s="134"/>
      <c r="H75" s="136"/>
      <c r="I75" s="133"/>
      <c r="J75" s="134">
        <v>1796</v>
      </c>
      <c r="K75" s="134"/>
      <c r="L75" s="136"/>
      <c r="M75" s="136"/>
      <c r="N75" s="134"/>
      <c r="O75" s="136"/>
      <c r="P75" s="133"/>
      <c r="Q75" s="134">
        <v>212201</v>
      </c>
      <c r="R75" s="134">
        <v>729402</v>
      </c>
      <c r="S75" s="136"/>
      <c r="T75" s="136"/>
      <c r="U75" s="134"/>
      <c r="V75" s="136"/>
      <c r="W75" s="133"/>
      <c r="X75" s="134">
        <v>105699</v>
      </c>
      <c r="Y75" s="134"/>
      <c r="Z75" s="136"/>
      <c r="AA75" s="133"/>
      <c r="AB75" s="134">
        <v>185357</v>
      </c>
      <c r="AC75" s="136"/>
      <c r="AD75" s="134"/>
      <c r="AE75" s="136"/>
      <c r="AF75" s="133"/>
      <c r="AG75" s="134">
        <v>51436</v>
      </c>
      <c r="AH75" s="134">
        <v>1216292</v>
      </c>
      <c r="AI75" s="136"/>
      <c r="AJ75" s="136"/>
      <c r="AK75" s="134"/>
      <c r="AL75" s="136"/>
      <c r="AM75" s="133"/>
      <c r="AN75" s="134">
        <v>292055</v>
      </c>
      <c r="AO75" s="134"/>
      <c r="AP75" s="135"/>
    </row>
    <row r="76" spans="1:42" x14ac:dyDescent="0.25">
      <c r="A76" s="43">
        <v>46419</v>
      </c>
      <c r="B76" s="133"/>
      <c r="C76" s="134">
        <v>11193</v>
      </c>
      <c r="D76" s="134"/>
      <c r="E76" s="136"/>
      <c r="F76" s="136"/>
      <c r="G76" s="134"/>
      <c r="H76" s="136"/>
      <c r="I76" s="133"/>
      <c r="J76" s="134">
        <v>1796</v>
      </c>
      <c r="K76" s="134"/>
      <c r="L76" s="136"/>
      <c r="M76" s="136"/>
      <c r="N76" s="134"/>
      <c r="O76" s="136"/>
      <c r="P76" s="133"/>
      <c r="Q76" s="134">
        <v>198026</v>
      </c>
      <c r="R76" s="134">
        <v>729402</v>
      </c>
      <c r="S76" s="136"/>
      <c r="T76" s="136"/>
      <c r="U76" s="134"/>
      <c r="V76" s="136"/>
      <c r="W76" s="133"/>
      <c r="X76" s="134">
        <v>105206</v>
      </c>
      <c r="Y76" s="134"/>
      <c r="Z76" s="136"/>
      <c r="AA76" s="133"/>
      <c r="AB76" s="134">
        <v>1266146</v>
      </c>
      <c r="AC76" s="136"/>
      <c r="AD76" s="134"/>
      <c r="AE76" s="136"/>
      <c r="AF76" s="133"/>
      <c r="AG76" s="134">
        <v>67827</v>
      </c>
      <c r="AH76" s="134">
        <v>1216292</v>
      </c>
      <c r="AI76" s="136"/>
      <c r="AJ76" s="136"/>
      <c r="AK76" s="134"/>
      <c r="AL76" s="136"/>
      <c r="AM76" s="133"/>
      <c r="AN76" s="134">
        <v>273100</v>
      </c>
      <c r="AO76" s="134"/>
      <c r="AP76" s="135"/>
    </row>
    <row r="77" spans="1:42" x14ac:dyDescent="0.25">
      <c r="A77" s="43">
        <v>46447</v>
      </c>
      <c r="B77" s="133"/>
      <c r="C77" s="134">
        <v>18437</v>
      </c>
      <c r="D77" s="134"/>
      <c r="E77" s="136"/>
      <c r="F77" s="136"/>
      <c r="G77" s="134"/>
      <c r="H77" s="136"/>
      <c r="I77" s="133"/>
      <c r="J77" s="134">
        <v>2210</v>
      </c>
      <c r="K77" s="134"/>
      <c r="L77" s="136"/>
      <c r="M77" s="136"/>
      <c r="N77" s="134"/>
      <c r="O77" s="136"/>
      <c r="P77" s="133"/>
      <c r="Q77" s="134">
        <v>216721</v>
      </c>
      <c r="R77" s="134">
        <v>729402</v>
      </c>
      <c r="S77" s="136"/>
      <c r="T77" s="136"/>
      <c r="U77" s="134"/>
      <c r="V77" s="136"/>
      <c r="W77" s="133"/>
      <c r="X77" s="134">
        <v>107013</v>
      </c>
      <c r="Y77" s="134"/>
      <c r="Z77" s="136"/>
      <c r="AA77" s="133"/>
      <c r="AB77" s="134">
        <v>91177</v>
      </c>
      <c r="AC77" s="136"/>
      <c r="AD77" s="134"/>
      <c r="AE77" s="136"/>
      <c r="AF77" s="133"/>
      <c r="AG77" s="134">
        <v>32553</v>
      </c>
      <c r="AH77" s="134">
        <v>2940616</v>
      </c>
      <c r="AI77" s="136"/>
      <c r="AJ77" s="136"/>
      <c r="AK77" s="134"/>
      <c r="AL77" s="136"/>
      <c r="AM77" s="133"/>
      <c r="AN77" s="134">
        <v>288860</v>
      </c>
      <c r="AO77" s="134"/>
      <c r="AP77" s="135"/>
    </row>
    <row r="78" spans="1:42" x14ac:dyDescent="0.25">
      <c r="A78" s="43">
        <v>46478</v>
      </c>
      <c r="B78" s="133"/>
      <c r="C78" s="134">
        <v>8630</v>
      </c>
      <c r="D78" s="134"/>
      <c r="E78" s="136"/>
      <c r="F78" s="136"/>
      <c r="G78" s="134"/>
      <c r="H78" s="136"/>
      <c r="I78" s="133"/>
      <c r="J78" s="134">
        <v>924</v>
      </c>
      <c r="K78" s="134"/>
      <c r="L78" s="136"/>
      <c r="M78" s="136"/>
      <c r="N78" s="134"/>
      <c r="O78" s="136"/>
      <c r="P78" s="133"/>
      <c r="Q78" s="134">
        <v>201235</v>
      </c>
      <c r="R78" s="134">
        <v>547052</v>
      </c>
      <c r="S78" s="136"/>
      <c r="T78" s="136"/>
      <c r="U78" s="134"/>
      <c r="V78" s="136"/>
      <c r="W78" s="133"/>
      <c r="X78" s="134">
        <v>108470</v>
      </c>
      <c r="Y78" s="134"/>
      <c r="Z78" s="136"/>
      <c r="AA78" s="133"/>
      <c r="AB78" s="134">
        <v>16867</v>
      </c>
      <c r="AC78" s="136"/>
      <c r="AD78" s="134"/>
      <c r="AE78" s="136"/>
      <c r="AF78" s="133"/>
      <c r="AG78" s="134">
        <v>29847</v>
      </c>
      <c r="AH78" s="134">
        <v>1924550</v>
      </c>
      <c r="AI78" s="136"/>
      <c r="AJ78" s="136"/>
      <c r="AK78" s="134"/>
      <c r="AL78" s="136"/>
      <c r="AM78" s="133"/>
      <c r="AN78" s="134">
        <v>288143</v>
      </c>
      <c r="AO78" s="134"/>
      <c r="AP78" s="135"/>
    </row>
    <row r="79" spans="1:42" x14ac:dyDescent="0.25">
      <c r="A79" s="43">
        <v>46508</v>
      </c>
      <c r="B79" s="133"/>
      <c r="C79" s="134">
        <v>9032</v>
      </c>
      <c r="D79" s="134"/>
      <c r="E79" s="136"/>
      <c r="F79" s="136"/>
      <c r="G79" s="134"/>
      <c r="H79" s="136"/>
      <c r="I79" s="133"/>
      <c r="J79" s="134">
        <v>924</v>
      </c>
      <c r="K79" s="134"/>
      <c r="L79" s="136"/>
      <c r="M79" s="136"/>
      <c r="N79" s="134"/>
      <c r="O79" s="136"/>
      <c r="P79" s="133"/>
      <c r="Q79" s="134">
        <v>190188</v>
      </c>
      <c r="R79" s="134">
        <v>1424313</v>
      </c>
      <c r="S79" s="136"/>
      <c r="T79" s="136"/>
      <c r="U79" s="134"/>
      <c r="V79" s="136"/>
      <c r="W79" s="133"/>
      <c r="X79" s="134">
        <v>107983</v>
      </c>
      <c r="Y79" s="134"/>
      <c r="Z79" s="136"/>
      <c r="AA79" s="133"/>
      <c r="AB79" s="134">
        <v>39232</v>
      </c>
      <c r="AC79" s="136"/>
      <c r="AD79" s="134"/>
      <c r="AE79" s="136"/>
      <c r="AF79" s="133"/>
      <c r="AG79" s="134">
        <v>21569</v>
      </c>
      <c r="AH79" s="134" t="s">
        <v>45</v>
      </c>
      <c r="AI79" s="136"/>
      <c r="AJ79" s="136"/>
      <c r="AK79" s="134"/>
      <c r="AL79" s="136"/>
      <c r="AM79" s="133"/>
      <c r="AN79" s="134">
        <v>493906</v>
      </c>
      <c r="AO79" s="134"/>
      <c r="AP79" s="135"/>
    </row>
    <row r="80" spans="1:42" x14ac:dyDescent="0.25">
      <c r="A80" s="43">
        <v>46539</v>
      </c>
      <c r="B80" s="133"/>
      <c r="C80" s="134">
        <v>14257</v>
      </c>
      <c r="D80" s="134"/>
      <c r="E80" s="136"/>
      <c r="F80" s="136"/>
      <c r="G80" s="134"/>
      <c r="H80" s="136"/>
      <c r="I80" s="133"/>
      <c r="J80" s="134">
        <v>924</v>
      </c>
      <c r="K80" s="134"/>
      <c r="L80" s="136"/>
      <c r="M80" s="136"/>
      <c r="N80" s="134"/>
      <c r="O80" s="136"/>
      <c r="P80" s="133"/>
      <c r="Q80" s="134">
        <v>367598</v>
      </c>
      <c r="R80" s="134">
        <v>1234950</v>
      </c>
      <c r="S80" s="136"/>
      <c r="T80" s="136"/>
      <c r="U80" s="134"/>
      <c r="V80" s="136"/>
      <c r="W80" s="133"/>
      <c r="X80" s="134">
        <v>162030</v>
      </c>
      <c r="Y80" s="134"/>
      <c r="Z80" s="136"/>
      <c r="AA80" s="133"/>
      <c r="AB80" s="134">
        <v>4843</v>
      </c>
      <c r="AC80" s="136"/>
      <c r="AD80" s="134"/>
      <c r="AE80" s="136"/>
      <c r="AF80" s="133"/>
      <c r="AG80" s="134">
        <v>19047</v>
      </c>
      <c r="AH80" s="134"/>
      <c r="AI80" s="136"/>
      <c r="AJ80" s="136"/>
      <c r="AK80" s="134"/>
      <c r="AL80" s="136"/>
      <c r="AM80" s="133"/>
      <c r="AN80" s="134">
        <v>360051</v>
      </c>
      <c r="AO80" s="134"/>
      <c r="AP80" s="135"/>
    </row>
    <row r="81" spans="1:42" x14ac:dyDescent="0.25">
      <c r="A81" s="43">
        <v>46569</v>
      </c>
      <c r="B81" s="133"/>
      <c r="C81" s="134">
        <v>5458</v>
      </c>
      <c r="D81" s="134"/>
      <c r="E81" s="136"/>
      <c r="F81" s="136"/>
      <c r="G81" s="134"/>
      <c r="H81" s="136"/>
      <c r="I81" s="133"/>
      <c r="J81" s="134">
        <v>924</v>
      </c>
      <c r="K81" s="134"/>
      <c r="L81" s="136"/>
      <c r="M81" s="136"/>
      <c r="N81" s="134"/>
      <c r="O81" s="136"/>
      <c r="P81" s="133"/>
      <c r="Q81" s="134">
        <v>1291991</v>
      </c>
      <c r="R81" s="134"/>
      <c r="S81" s="136"/>
      <c r="T81" s="136"/>
      <c r="U81" s="134"/>
      <c r="V81" s="136"/>
      <c r="W81" s="133"/>
      <c r="X81" s="134">
        <v>109480</v>
      </c>
      <c r="Y81" s="134"/>
      <c r="Z81" s="136"/>
      <c r="AA81" s="133"/>
      <c r="AB81" s="134">
        <v>4843</v>
      </c>
      <c r="AC81" s="136"/>
      <c r="AD81" s="134"/>
      <c r="AE81" s="136"/>
      <c r="AF81" s="133"/>
      <c r="AG81" s="134">
        <v>5015</v>
      </c>
      <c r="AH81" s="134"/>
      <c r="AI81" s="136"/>
      <c r="AJ81" s="136"/>
      <c r="AK81" s="134"/>
      <c r="AL81" s="136"/>
      <c r="AM81" s="133"/>
      <c r="AN81" s="134">
        <v>821462</v>
      </c>
      <c r="AO81" s="134"/>
      <c r="AP81" s="135"/>
    </row>
    <row r="82" spans="1:42" x14ac:dyDescent="0.25">
      <c r="A82" s="43">
        <v>46600</v>
      </c>
      <c r="B82" s="133"/>
      <c r="C82" s="134">
        <v>5345</v>
      </c>
      <c r="D82" s="134"/>
      <c r="E82" s="136"/>
      <c r="F82" s="136"/>
      <c r="G82" s="134"/>
      <c r="H82" s="136"/>
      <c r="I82" s="133"/>
      <c r="J82" s="134">
        <v>1223</v>
      </c>
      <c r="K82" s="134"/>
      <c r="L82" s="136"/>
      <c r="M82" s="136"/>
      <c r="N82" s="134"/>
      <c r="O82" s="136"/>
      <c r="P82" s="133"/>
      <c r="Q82" s="134">
        <v>82744</v>
      </c>
      <c r="R82" s="134"/>
      <c r="S82" s="136"/>
      <c r="T82" s="136"/>
      <c r="U82" s="134"/>
      <c r="V82" s="136"/>
      <c r="W82" s="133"/>
      <c r="X82" s="134">
        <v>110341</v>
      </c>
      <c r="Y82" s="134"/>
      <c r="Z82" s="136"/>
      <c r="AA82" s="133"/>
      <c r="AB82" s="134" t="s">
        <v>45</v>
      </c>
      <c r="AC82" s="136"/>
      <c r="AD82" s="134"/>
      <c r="AE82" s="136"/>
      <c r="AF82" s="133"/>
      <c r="AG82" s="134">
        <v>1638</v>
      </c>
      <c r="AH82" s="134"/>
      <c r="AI82" s="136"/>
      <c r="AJ82" s="136"/>
      <c r="AK82" s="134"/>
      <c r="AL82" s="136"/>
      <c r="AM82" s="133"/>
      <c r="AN82" s="134">
        <v>285920</v>
      </c>
      <c r="AO82" s="134"/>
      <c r="AP82" s="135"/>
    </row>
    <row r="83" spans="1:42" x14ac:dyDescent="0.25">
      <c r="A83" s="43">
        <v>46631</v>
      </c>
      <c r="B83" s="133"/>
      <c r="C83" s="134">
        <v>5232</v>
      </c>
      <c r="D83" s="134"/>
      <c r="E83" s="136"/>
      <c r="F83" s="136"/>
      <c r="G83" s="134"/>
      <c r="H83" s="136"/>
      <c r="I83" s="133"/>
      <c r="J83" s="134"/>
      <c r="K83" s="134"/>
      <c r="L83" s="136"/>
      <c r="M83" s="136"/>
      <c r="N83" s="134"/>
      <c r="O83" s="136"/>
      <c r="P83" s="133"/>
      <c r="Q83" s="134">
        <v>63451</v>
      </c>
      <c r="R83" s="134"/>
      <c r="S83" s="136"/>
      <c r="T83" s="136"/>
      <c r="U83" s="134"/>
      <c r="V83" s="136"/>
      <c r="W83" s="133"/>
      <c r="X83" s="134">
        <v>110877</v>
      </c>
      <c r="Y83" s="134"/>
      <c r="Z83" s="136"/>
      <c r="AA83" s="133"/>
      <c r="AB83" s="134" t="s">
        <v>45</v>
      </c>
      <c r="AC83" s="136"/>
      <c r="AD83" s="134"/>
      <c r="AE83" s="136"/>
      <c r="AF83" s="133"/>
      <c r="AG83" s="134">
        <v>442</v>
      </c>
      <c r="AH83" s="134"/>
      <c r="AI83" s="136"/>
      <c r="AJ83" s="136"/>
      <c r="AK83" s="134"/>
      <c r="AL83" s="136"/>
      <c r="AM83" s="133"/>
      <c r="AN83" s="134">
        <v>311130</v>
      </c>
      <c r="AO83" s="134"/>
      <c r="AP83" s="135"/>
    </row>
    <row r="84" spans="1:42" x14ac:dyDescent="0.25">
      <c r="A84" s="43">
        <v>46661</v>
      </c>
      <c r="B84" s="133"/>
      <c r="C84" s="134">
        <v>4973</v>
      </c>
      <c r="D84" s="134"/>
      <c r="E84" s="136"/>
      <c r="F84" s="136"/>
      <c r="G84" s="134"/>
      <c r="H84" s="136"/>
      <c r="I84" s="133"/>
      <c r="J84" s="134"/>
      <c r="K84" s="134"/>
      <c r="L84" s="136"/>
      <c r="M84" s="136"/>
      <c r="N84" s="134"/>
      <c r="O84" s="136"/>
      <c r="P84" s="133"/>
      <c r="Q84" s="134">
        <v>41197</v>
      </c>
      <c r="R84" s="134"/>
      <c r="S84" s="136"/>
      <c r="T84" s="136"/>
      <c r="U84" s="134"/>
      <c r="V84" s="136"/>
      <c r="W84" s="133"/>
      <c r="X84" s="134">
        <v>110373</v>
      </c>
      <c r="Y84" s="134"/>
      <c r="Z84" s="136"/>
      <c r="AA84" s="133"/>
      <c r="AB84" s="134" t="s">
        <v>45</v>
      </c>
      <c r="AC84" s="136"/>
      <c r="AD84" s="134"/>
      <c r="AE84" s="136"/>
      <c r="AF84" s="133"/>
      <c r="AG84" s="134">
        <v>213</v>
      </c>
      <c r="AH84" s="134"/>
      <c r="AI84" s="136"/>
      <c r="AJ84" s="136"/>
      <c r="AK84" s="134"/>
      <c r="AL84" s="136"/>
      <c r="AM84" s="133"/>
      <c r="AN84" s="134">
        <v>307951</v>
      </c>
      <c r="AO84" s="134"/>
      <c r="AP84" s="135"/>
    </row>
    <row r="85" spans="1:42" x14ac:dyDescent="0.25">
      <c r="A85" s="43">
        <v>46692</v>
      </c>
      <c r="B85" s="133"/>
      <c r="C85" s="134">
        <v>5110</v>
      </c>
      <c r="D85" s="134"/>
      <c r="E85" s="136"/>
      <c r="F85" s="136"/>
      <c r="G85" s="134"/>
      <c r="H85" s="136"/>
      <c r="I85" s="133"/>
      <c r="J85" s="134"/>
      <c r="K85" s="134"/>
      <c r="L85" s="136"/>
      <c r="M85" s="136"/>
      <c r="N85" s="134"/>
      <c r="O85" s="136"/>
      <c r="P85" s="133"/>
      <c r="Q85" s="134">
        <v>3682</v>
      </c>
      <c r="R85" s="134"/>
      <c r="S85" s="136"/>
      <c r="T85" s="136"/>
      <c r="U85" s="134"/>
      <c r="V85" s="136"/>
      <c r="W85" s="133"/>
      <c r="X85" s="134">
        <v>110353</v>
      </c>
      <c r="Y85" s="134"/>
      <c r="Z85" s="136"/>
      <c r="AA85" s="133"/>
      <c r="AB85" s="134" t="s">
        <v>45</v>
      </c>
      <c r="AC85" s="136"/>
      <c r="AD85" s="134"/>
      <c r="AE85" s="136"/>
      <c r="AF85" s="133"/>
      <c r="AG85" s="134">
        <v>106</v>
      </c>
      <c r="AH85" s="134"/>
      <c r="AI85" s="136"/>
      <c r="AJ85" s="136"/>
      <c r="AK85" s="134"/>
      <c r="AL85" s="136"/>
      <c r="AM85" s="133"/>
      <c r="AN85" s="134">
        <v>278471</v>
      </c>
      <c r="AO85" s="134"/>
      <c r="AP85" s="135"/>
    </row>
    <row r="86" spans="1:42" x14ac:dyDescent="0.25">
      <c r="A86" s="43">
        <v>46722</v>
      </c>
      <c r="B86" s="133"/>
      <c r="C86" s="134">
        <v>4447</v>
      </c>
      <c r="D86" s="134"/>
      <c r="E86" s="136"/>
      <c r="F86" s="136"/>
      <c r="G86" s="134"/>
      <c r="H86" s="136"/>
      <c r="I86" s="133"/>
      <c r="J86" s="134"/>
      <c r="K86" s="134"/>
      <c r="L86" s="136"/>
      <c r="M86" s="136"/>
      <c r="N86" s="134"/>
      <c r="O86" s="136"/>
      <c r="P86" s="133"/>
      <c r="Q86" s="134">
        <v>3371</v>
      </c>
      <c r="R86" s="134"/>
      <c r="S86" s="136"/>
      <c r="T86" s="136"/>
      <c r="U86" s="134"/>
      <c r="V86" s="136"/>
      <c r="W86" s="133"/>
      <c r="X86" s="134">
        <v>772771</v>
      </c>
      <c r="Y86" s="134"/>
      <c r="Z86" s="136"/>
      <c r="AA86" s="133"/>
      <c r="AB86" s="134">
        <v>105</v>
      </c>
      <c r="AC86" s="136"/>
      <c r="AD86" s="134"/>
      <c r="AE86" s="136"/>
      <c r="AF86" s="133"/>
      <c r="AG86" s="134">
        <v>1364</v>
      </c>
      <c r="AH86" s="134"/>
      <c r="AI86" s="136"/>
      <c r="AJ86" s="136"/>
      <c r="AK86" s="134"/>
      <c r="AL86" s="136"/>
      <c r="AM86" s="133"/>
      <c r="AN86" s="134">
        <v>899551</v>
      </c>
      <c r="AO86" s="134"/>
      <c r="AP86" s="135"/>
    </row>
    <row r="87" spans="1:42" x14ac:dyDescent="0.25">
      <c r="A87" s="43">
        <v>46753</v>
      </c>
      <c r="B87" s="133"/>
      <c r="C87" s="134">
        <v>5287</v>
      </c>
      <c r="D87" s="134"/>
      <c r="E87" s="136"/>
      <c r="F87" s="136"/>
      <c r="G87" s="134"/>
      <c r="H87" s="136"/>
      <c r="I87" s="133"/>
      <c r="J87" s="134"/>
      <c r="K87" s="134"/>
      <c r="L87" s="136"/>
      <c r="M87" s="136"/>
      <c r="N87" s="134"/>
      <c r="O87" s="136"/>
      <c r="P87" s="133"/>
      <c r="Q87" s="134">
        <v>2590</v>
      </c>
      <c r="R87" s="134"/>
      <c r="S87" s="136"/>
      <c r="T87" s="136"/>
      <c r="U87" s="134"/>
      <c r="V87" s="136"/>
      <c r="W87" s="133"/>
      <c r="X87" s="134">
        <v>99334</v>
      </c>
      <c r="Y87" s="134"/>
      <c r="Z87" s="136"/>
      <c r="AA87" s="133"/>
      <c r="AB87" s="134"/>
      <c r="AC87" s="136"/>
      <c r="AD87" s="134"/>
      <c r="AE87" s="136"/>
      <c r="AF87" s="133"/>
      <c r="AG87" s="134">
        <v>358</v>
      </c>
      <c r="AH87" s="134"/>
      <c r="AI87" s="136"/>
      <c r="AJ87" s="136"/>
      <c r="AK87" s="134"/>
      <c r="AL87" s="136"/>
      <c r="AM87" s="133"/>
      <c r="AN87" s="134">
        <v>282765</v>
      </c>
      <c r="AO87" s="134"/>
      <c r="AP87" s="135"/>
    </row>
    <row r="88" spans="1:42" x14ac:dyDescent="0.25">
      <c r="A88" s="43">
        <v>46784</v>
      </c>
      <c r="B88" s="133"/>
      <c r="C88" s="134">
        <v>4669</v>
      </c>
      <c r="D88" s="134"/>
      <c r="E88" s="136"/>
      <c r="F88" s="136"/>
      <c r="G88" s="134"/>
      <c r="H88" s="136"/>
      <c r="I88" s="133"/>
      <c r="J88" s="134"/>
      <c r="K88" s="134"/>
      <c r="L88" s="136"/>
      <c r="M88" s="136"/>
      <c r="N88" s="134"/>
      <c r="O88" s="136"/>
      <c r="P88" s="133"/>
      <c r="Q88" s="134">
        <v>589</v>
      </c>
      <c r="R88" s="134"/>
      <c r="S88" s="136"/>
      <c r="T88" s="136"/>
      <c r="U88" s="134"/>
      <c r="V88" s="136"/>
      <c r="W88" s="133"/>
      <c r="X88" s="134">
        <v>97950</v>
      </c>
      <c r="Y88" s="134"/>
      <c r="Z88" s="136"/>
      <c r="AA88" s="133"/>
      <c r="AB88" s="134"/>
      <c r="AC88" s="136"/>
      <c r="AD88" s="134"/>
      <c r="AE88" s="136"/>
      <c r="AF88" s="133"/>
      <c r="AG88" s="134" t="s">
        <v>45</v>
      </c>
      <c r="AH88" s="134"/>
      <c r="AI88" s="136"/>
      <c r="AJ88" s="136"/>
      <c r="AK88" s="134"/>
      <c r="AL88" s="136"/>
      <c r="AM88" s="133"/>
      <c r="AN88" s="134">
        <v>278865</v>
      </c>
      <c r="AO88" s="134"/>
      <c r="AP88" s="135"/>
    </row>
    <row r="89" spans="1:42" x14ac:dyDescent="0.25">
      <c r="A89" s="43">
        <v>46813</v>
      </c>
      <c r="B89" s="133"/>
      <c r="C89" s="134">
        <v>10476</v>
      </c>
      <c r="D89" s="134"/>
      <c r="E89" s="136"/>
      <c r="F89" s="136"/>
      <c r="G89" s="134"/>
      <c r="H89" s="136"/>
      <c r="I89" s="133"/>
      <c r="J89" s="134"/>
      <c r="K89" s="134"/>
      <c r="L89" s="136"/>
      <c r="M89" s="136"/>
      <c r="N89" s="134"/>
      <c r="O89" s="136"/>
      <c r="P89" s="133"/>
      <c r="Q89" s="134">
        <v>217</v>
      </c>
      <c r="R89" s="134"/>
      <c r="S89" s="136"/>
      <c r="T89" s="136"/>
      <c r="U89" s="134"/>
      <c r="V89" s="136"/>
      <c r="W89" s="133"/>
      <c r="X89" s="134">
        <v>188615</v>
      </c>
      <c r="Y89" s="134"/>
      <c r="Z89" s="136"/>
      <c r="AA89" s="133"/>
      <c r="AB89" s="134"/>
      <c r="AC89" s="136"/>
      <c r="AD89" s="134"/>
      <c r="AE89" s="136"/>
      <c r="AF89" s="133"/>
      <c r="AG89" s="134">
        <v>713</v>
      </c>
      <c r="AH89" s="134"/>
      <c r="AI89" s="136"/>
      <c r="AJ89" s="136"/>
      <c r="AK89" s="134"/>
      <c r="AL89" s="136"/>
      <c r="AM89" s="133"/>
      <c r="AN89" s="134">
        <v>294959</v>
      </c>
      <c r="AO89" s="134"/>
      <c r="AP89" s="135"/>
    </row>
    <row r="90" spans="1:42" x14ac:dyDescent="0.25">
      <c r="A90" s="43">
        <v>46844</v>
      </c>
      <c r="B90" s="133"/>
      <c r="C90" s="134">
        <v>4243</v>
      </c>
      <c r="D90" s="134"/>
      <c r="E90" s="136"/>
      <c r="F90" s="136"/>
      <c r="G90" s="134"/>
      <c r="H90" s="136"/>
      <c r="I90" s="133"/>
      <c r="J90" s="134"/>
      <c r="K90" s="134"/>
      <c r="L90" s="136"/>
      <c r="M90" s="136"/>
      <c r="N90" s="134"/>
      <c r="O90" s="136"/>
      <c r="P90" s="133"/>
      <c r="Q90" s="134">
        <v>112</v>
      </c>
      <c r="R90" s="134"/>
      <c r="S90" s="136"/>
      <c r="T90" s="136"/>
      <c r="U90" s="134"/>
      <c r="V90" s="136"/>
      <c r="W90" s="133"/>
      <c r="X90" s="134">
        <v>70356</v>
      </c>
      <c r="Y90" s="134"/>
      <c r="Z90" s="136"/>
      <c r="AA90" s="133"/>
      <c r="AB90" s="134"/>
      <c r="AC90" s="136"/>
      <c r="AD90" s="134"/>
      <c r="AE90" s="136"/>
      <c r="AF90" s="133"/>
      <c r="AG90" s="134" t="s">
        <v>45</v>
      </c>
      <c r="AH90" s="134"/>
      <c r="AI90" s="136"/>
      <c r="AJ90" s="136"/>
      <c r="AK90" s="134"/>
      <c r="AL90" s="136"/>
      <c r="AM90" s="133"/>
      <c r="AN90" s="134">
        <v>280072</v>
      </c>
      <c r="AO90" s="134"/>
      <c r="AP90" s="135"/>
    </row>
    <row r="91" spans="1:42" x14ac:dyDescent="0.25">
      <c r="A91" s="43">
        <v>46874</v>
      </c>
      <c r="B91" s="133"/>
      <c r="C91" s="134">
        <v>4756</v>
      </c>
      <c r="D91" s="134"/>
      <c r="E91" s="136"/>
      <c r="F91" s="136"/>
      <c r="G91" s="134"/>
      <c r="H91" s="136"/>
      <c r="I91" s="133"/>
      <c r="J91" s="134"/>
      <c r="K91" s="134"/>
      <c r="L91" s="136"/>
      <c r="M91" s="136"/>
      <c r="N91" s="134"/>
      <c r="O91" s="136"/>
      <c r="P91" s="133"/>
      <c r="Q91" s="134">
        <v>112</v>
      </c>
      <c r="R91" s="134"/>
      <c r="S91" s="136"/>
      <c r="T91" s="136"/>
      <c r="U91" s="134"/>
      <c r="V91" s="136"/>
      <c r="W91" s="133"/>
      <c r="X91" s="134">
        <v>18285</v>
      </c>
      <c r="Y91" s="134"/>
      <c r="Z91" s="136"/>
      <c r="AA91" s="133"/>
      <c r="AB91" s="134"/>
      <c r="AC91" s="136"/>
      <c r="AD91" s="134"/>
      <c r="AE91" s="136"/>
      <c r="AF91" s="133"/>
      <c r="AG91" s="134">
        <v>205</v>
      </c>
      <c r="AH91" s="134"/>
      <c r="AI91" s="136"/>
      <c r="AJ91" s="136"/>
      <c r="AK91" s="134"/>
      <c r="AL91" s="136"/>
      <c r="AM91" s="133"/>
      <c r="AN91" s="134">
        <v>629366</v>
      </c>
      <c r="AO91" s="134"/>
      <c r="AP91" s="135"/>
    </row>
    <row r="92" spans="1:42" x14ac:dyDescent="0.25">
      <c r="A92" s="43">
        <v>46905</v>
      </c>
      <c r="B92" s="133"/>
      <c r="C92" s="134">
        <v>4003</v>
      </c>
      <c r="D92" s="134"/>
      <c r="E92" s="136"/>
      <c r="F92" s="136"/>
      <c r="G92" s="134"/>
      <c r="H92" s="136"/>
      <c r="I92" s="133"/>
      <c r="J92" s="134"/>
      <c r="K92" s="134"/>
      <c r="L92" s="136"/>
      <c r="M92" s="136"/>
      <c r="N92" s="134"/>
      <c r="O92" s="136"/>
      <c r="P92" s="133"/>
      <c r="Q92" s="134">
        <v>363</v>
      </c>
      <c r="R92" s="134"/>
      <c r="S92" s="136"/>
      <c r="T92" s="136"/>
      <c r="U92" s="134"/>
      <c r="V92" s="136"/>
      <c r="W92" s="133"/>
      <c r="X92" s="134">
        <v>68819</v>
      </c>
      <c r="Y92" s="134"/>
      <c r="Z92" s="136"/>
      <c r="AA92" s="133"/>
      <c r="AB92" s="134"/>
      <c r="AC92" s="136"/>
      <c r="AD92" s="134"/>
      <c r="AE92" s="136"/>
      <c r="AF92" s="133"/>
      <c r="AG92" s="134"/>
      <c r="AH92" s="134"/>
      <c r="AI92" s="136"/>
      <c r="AJ92" s="136"/>
      <c r="AK92" s="134"/>
      <c r="AL92" s="136"/>
      <c r="AM92" s="133"/>
      <c r="AN92" s="134">
        <v>390452</v>
      </c>
      <c r="AO92" s="134"/>
      <c r="AP92" s="135"/>
    </row>
    <row r="93" spans="1:42" x14ac:dyDescent="0.25">
      <c r="A93" s="43">
        <v>46935</v>
      </c>
      <c r="B93" s="133"/>
      <c r="C93" s="134">
        <v>4110</v>
      </c>
      <c r="D93" s="134"/>
      <c r="E93" s="136"/>
      <c r="F93" s="136"/>
      <c r="G93" s="134"/>
      <c r="H93" s="136"/>
      <c r="I93" s="133"/>
      <c r="J93" s="134"/>
      <c r="K93" s="134"/>
      <c r="L93" s="136"/>
      <c r="M93" s="136"/>
      <c r="N93" s="134"/>
      <c r="O93" s="136"/>
      <c r="P93" s="133"/>
      <c r="Q93" s="134">
        <v>205</v>
      </c>
      <c r="R93" s="134"/>
      <c r="S93" s="136"/>
      <c r="T93" s="136"/>
      <c r="U93" s="134"/>
      <c r="V93" s="136"/>
      <c r="W93" s="133"/>
      <c r="X93" s="134">
        <v>135574</v>
      </c>
      <c r="Y93" s="134"/>
      <c r="Z93" s="136"/>
      <c r="AA93" s="133"/>
      <c r="AB93" s="134"/>
      <c r="AC93" s="136"/>
      <c r="AD93" s="134"/>
      <c r="AE93" s="136"/>
      <c r="AF93" s="133"/>
      <c r="AG93" s="134"/>
      <c r="AH93" s="134"/>
      <c r="AI93" s="136"/>
      <c r="AJ93" s="136"/>
      <c r="AK93" s="134"/>
      <c r="AL93" s="136"/>
      <c r="AM93" s="133"/>
      <c r="AN93" s="134">
        <v>808570</v>
      </c>
      <c r="AO93" s="134"/>
      <c r="AP93" s="135"/>
    </row>
    <row r="94" spans="1:42" x14ac:dyDescent="0.25">
      <c r="A94" s="43">
        <v>46966</v>
      </c>
      <c r="B94" s="133"/>
      <c r="C94" s="134">
        <v>4003</v>
      </c>
      <c r="D94" s="134"/>
      <c r="E94" s="136"/>
      <c r="F94" s="136"/>
      <c r="G94" s="134"/>
      <c r="H94" s="136"/>
      <c r="I94" s="133"/>
      <c r="J94" s="134"/>
      <c r="K94" s="134"/>
      <c r="L94" s="136"/>
      <c r="M94" s="136"/>
      <c r="N94" s="134"/>
      <c r="O94" s="136"/>
      <c r="P94" s="133"/>
      <c r="Q94" s="134" t="s">
        <v>45</v>
      </c>
      <c r="R94" s="134"/>
      <c r="S94" s="136"/>
      <c r="T94" s="136"/>
      <c r="U94" s="134"/>
      <c r="V94" s="136"/>
      <c r="W94" s="133"/>
      <c r="X94" s="134">
        <v>12400</v>
      </c>
      <c r="Y94" s="134"/>
      <c r="Z94" s="136"/>
      <c r="AA94" s="133"/>
      <c r="AB94" s="134"/>
      <c r="AC94" s="136"/>
      <c r="AD94" s="134"/>
      <c r="AE94" s="136"/>
      <c r="AF94" s="133"/>
      <c r="AG94" s="134"/>
      <c r="AH94" s="134"/>
      <c r="AI94" s="136"/>
      <c r="AJ94" s="136"/>
      <c r="AK94" s="134"/>
      <c r="AL94" s="136"/>
      <c r="AM94" s="133"/>
      <c r="AN94" s="134">
        <v>275315</v>
      </c>
      <c r="AO94" s="134"/>
      <c r="AP94" s="135"/>
    </row>
    <row r="95" spans="1:42" x14ac:dyDescent="0.25">
      <c r="A95" s="43">
        <v>46997</v>
      </c>
      <c r="B95" s="133"/>
      <c r="C95" s="134">
        <v>4003</v>
      </c>
      <c r="D95" s="134"/>
      <c r="E95" s="136"/>
      <c r="F95" s="136"/>
      <c r="G95" s="134"/>
      <c r="H95" s="136"/>
      <c r="I95" s="133"/>
      <c r="J95" s="134"/>
      <c r="K95" s="134"/>
      <c r="L95" s="136"/>
      <c r="M95" s="136"/>
      <c r="N95" s="134"/>
      <c r="O95" s="136"/>
      <c r="P95" s="133"/>
      <c r="Q95" s="134">
        <v>679</v>
      </c>
      <c r="R95" s="134"/>
      <c r="S95" s="136"/>
      <c r="T95" s="136"/>
      <c r="U95" s="134"/>
      <c r="V95" s="136"/>
      <c r="W95" s="133"/>
      <c r="X95" s="134">
        <v>11535</v>
      </c>
      <c r="Y95" s="134"/>
      <c r="Z95" s="136"/>
      <c r="AA95" s="133"/>
      <c r="AB95" s="134"/>
      <c r="AC95" s="136"/>
      <c r="AD95" s="134"/>
      <c r="AE95" s="136"/>
      <c r="AF95" s="133"/>
      <c r="AG95" s="134"/>
      <c r="AH95" s="134"/>
      <c r="AI95" s="136"/>
      <c r="AJ95" s="136"/>
      <c r="AK95" s="134"/>
      <c r="AL95" s="136"/>
      <c r="AM95" s="133"/>
      <c r="AN95" s="134">
        <v>272519</v>
      </c>
      <c r="AO95" s="134"/>
      <c r="AP95" s="135"/>
    </row>
    <row r="96" spans="1:42" x14ac:dyDescent="0.25">
      <c r="A96" s="43">
        <v>47027</v>
      </c>
      <c r="B96" s="133"/>
      <c r="C96" s="134">
        <v>4003</v>
      </c>
      <c r="D96" s="134"/>
      <c r="E96" s="136"/>
      <c r="F96" s="136"/>
      <c r="G96" s="134"/>
      <c r="H96" s="136"/>
      <c r="I96" s="133"/>
      <c r="J96" s="134"/>
      <c r="K96" s="134"/>
      <c r="L96" s="136"/>
      <c r="M96" s="136"/>
      <c r="N96" s="134"/>
      <c r="O96" s="136"/>
      <c r="P96" s="133"/>
      <c r="Q96" s="134" t="s">
        <v>45</v>
      </c>
      <c r="R96" s="134"/>
      <c r="S96" s="136"/>
      <c r="T96" s="136"/>
      <c r="U96" s="134"/>
      <c r="V96" s="136"/>
      <c r="W96" s="133"/>
      <c r="X96" s="134">
        <v>12655</v>
      </c>
      <c r="Y96" s="134"/>
      <c r="Z96" s="136"/>
      <c r="AA96" s="133"/>
      <c r="AB96" s="134"/>
      <c r="AC96" s="136"/>
      <c r="AD96" s="134"/>
      <c r="AE96" s="136"/>
      <c r="AF96" s="133"/>
      <c r="AG96" s="134"/>
      <c r="AH96" s="134"/>
      <c r="AI96" s="136"/>
      <c r="AJ96" s="136"/>
      <c r="AK96" s="134"/>
      <c r="AL96" s="136"/>
      <c r="AM96" s="133"/>
      <c r="AN96" s="134">
        <v>292761</v>
      </c>
      <c r="AO96" s="134"/>
      <c r="AP96" s="135"/>
    </row>
    <row r="97" spans="1:42" x14ac:dyDescent="0.25">
      <c r="A97" s="43">
        <v>47058</v>
      </c>
      <c r="B97" s="133"/>
      <c r="C97" s="134">
        <v>4108</v>
      </c>
      <c r="D97" s="134"/>
      <c r="E97" s="136"/>
      <c r="F97" s="136"/>
      <c r="G97" s="134"/>
      <c r="H97" s="136"/>
      <c r="I97" s="133"/>
      <c r="J97" s="134"/>
      <c r="K97" s="134"/>
      <c r="L97" s="136"/>
      <c r="M97" s="136"/>
      <c r="N97" s="134"/>
      <c r="O97" s="136"/>
      <c r="P97" s="133"/>
      <c r="Q97" s="134">
        <v>100</v>
      </c>
      <c r="R97" s="134"/>
      <c r="S97" s="136"/>
      <c r="T97" s="136"/>
      <c r="U97" s="134"/>
      <c r="V97" s="136"/>
      <c r="W97" s="133"/>
      <c r="X97" s="134">
        <v>11741</v>
      </c>
      <c r="Y97" s="134"/>
      <c r="Z97" s="136"/>
      <c r="AA97" s="133"/>
      <c r="AB97" s="134"/>
      <c r="AC97" s="136"/>
      <c r="AD97" s="134"/>
      <c r="AE97" s="136"/>
      <c r="AF97" s="133"/>
      <c r="AG97" s="134"/>
      <c r="AH97" s="134"/>
      <c r="AI97" s="136"/>
      <c r="AJ97" s="136"/>
      <c r="AK97" s="134"/>
      <c r="AL97" s="136"/>
      <c r="AM97" s="133"/>
      <c r="AN97" s="134">
        <v>266712</v>
      </c>
      <c r="AO97" s="134"/>
      <c r="AP97" s="135"/>
    </row>
    <row r="98" spans="1:42" x14ac:dyDescent="0.25">
      <c r="A98" s="43">
        <v>47088</v>
      </c>
      <c r="B98" s="133"/>
      <c r="C98" s="134">
        <v>4003</v>
      </c>
      <c r="D98" s="134"/>
      <c r="E98" s="136"/>
      <c r="F98" s="136"/>
      <c r="G98" s="134"/>
      <c r="H98" s="136"/>
      <c r="I98" s="133"/>
      <c r="J98" s="134"/>
      <c r="K98" s="134"/>
      <c r="L98" s="136"/>
      <c r="M98" s="136"/>
      <c r="N98" s="134"/>
      <c r="O98" s="136"/>
      <c r="P98" s="133"/>
      <c r="Q98" s="134"/>
      <c r="R98" s="134"/>
      <c r="S98" s="136"/>
      <c r="T98" s="136"/>
      <c r="U98" s="134"/>
      <c r="V98" s="136"/>
      <c r="W98" s="133"/>
      <c r="X98" s="134">
        <v>64035</v>
      </c>
      <c r="Y98" s="134"/>
      <c r="Z98" s="136"/>
      <c r="AA98" s="133"/>
      <c r="AB98" s="134"/>
      <c r="AC98" s="136"/>
      <c r="AD98" s="134"/>
      <c r="AE98" s="136"/>
      <c r="AF98" s="133"/>
      <c r="AG98" s="134"/>
      <c r="AH98" s="134"/>
      <c r="AI98" s="136"/>
      <c r="AJ98" s="136"/>
      <c r="AK98" s="134"/>
      <c r="AL98" s="136"/>
      <c r="AM98" s="133"/>
      <c r="AN98" s="134">
        <v>989655</v>
      </c>
      <c r="AO98" s="134"/>
      <c r="AP98" s="135"/>
    </row>
    <row r="99" spans="1:42" x14ac:dyDescent="0.25">
      <c r="A99" s="43">
        <v>47119</v>
      </c>
      <c r="B99" s="133"/>
      <c r="C99" s="134">
        <v>4346</v>
      </c>
      <c r="D99" s="134"/>
      <c r="E99" s="136"/>
      <c r="F99" s="136"/>
      <c r="G99" s="134"/>
      <c r="H99" s="136"/>
      <c r="I99" s="133"/>
      <c r="J99" s="134"/>
      <c r="K99" s="134"/>
      <c r="L99" s="136"/>
      <c r="M99" s="136"/>
      <c r="N99" s="134"/>
      <c r="O99" s="136"/>
      <c r="P99" s="133"/>
      <c r="Q99" s="134"/>
      <c r="R99" s="134"/>
      <c r="S99" s="136"/>
      <c r="T99" s="136"/>
      <c r="U99" s="134"/>
      <c r="V99" s="136"/>
      <c r="W99" s="133"/>
      <c r="X99" s="134">
        <v>11135</v>
      </c>
      <c r="Y99" s="134"/>
      <c r="Z99" s="136"/>
      <c r="AA99" s="133"/>
      <c r="AB99" s="134"/>
      <c r="AC99" s="136"/>
      <c r="AD99" s="134"/>
      <c r="AE99" s="136"/>
      <c r="AF99" s="133"/>
      <c r="AG99" s="134"/>
      <c r="AH99" s="134"/>
      <c r="AI99" s="136"/>
      <c r="AJ99" s="136"/>
      <c r="AK99" s="134"/>
      <c r="AL99" s="136"/>
      <c r="AM99" s="133"/>
      <c r="AN99" s="134">
        <v>20170</v>
      </c>
      <c r="AO99" s="134"/>
      <c r="AP99" s="135"/>
    </row>
    <row r="100" spans="1:42" x14ac:dyDescent="0.25">
      <c r="A100" s="43">
        <v>47150</v>
      </c>
      <c r="B100" s="133"/>
      <c r="C100" s="134">
        <v>4003</v>
      </c>
      <c r="D100" s="134"/>
      <c r="E100" s="136"/>
      <c r="F100" s="136"/>
      <c r="G100" s="134"/>
      <c r="H100" s="136"/>
      <c r="I100" s="133"/>
      <c r="J100" s="134"/>
      <c r="K100" s="134"/>
      <c r="L100" s="136"/>
      <c r="M100" s="136"/>
      <c r="N100" s="134"/>
      <c r="O100" s="136"/>
      <c r="P100" s="133"/>
      <c r="Q100" s="134"/>
      <c r="R100" s="134"/>
      <c r="S100" s="136"/>
      <c r="T100" s="136"/>
      <c r="U100" s="134"/>
      <c r="V100" s="136"/>
      <c r="W100" s="133"/>
      <c r="X100" s="134">
        <v>11135</v>
      </c>
      <c r="Y100" s="134"/>
      <c r="Z100" s="136"/>
      <c r="AA100" s="133"/>
      <c r="AB100" s="134"/>
      <c r="AC100" s="136"/>
      <c r="AD100" s="134"/>
      <c r="AE100" s="136"/>
      <c r="AF100" s="133"/>
      <c r="AG100" s="134"/>
      <c r="AH100" s="134"/>
      <c r="AI100" s="136"/>
      <c r="AJ100" s="136"/>
      <c r="AK100" s="134"/>
      <c r="AL100" s="136"/>
      <c r="AM100" s="133"/>
      <c r="AN100" s="134">
        <v>7043</v>
      </c>
      <c r="AO100" s="134"/>
      <c r="AP100" s="135"/>
    </row>
    <row r="101" spans="1:42" x14ac:dyDescent="0.25">
      <c r="A101" s="43">
        <v>47178</v>
      </c>
      <c r="B101" s="133"/>
      <c r="C101" s="134">
        <v>4003</v>
      </c>
      <c r="D101" s="134"/>
      <c r="E101" s="136"/>
      <c r="F101" s="136"/>
      <c r="G101" s="134"/>
      <c r="H101" s="136"/>
      <c r="I101" s="133"/>
      <c r="J101" s="134"/>
      <c r="K101" s="134"/>
      <c r="L101" s="136"/>
      <c r="M101" s="136"/>
      <c r="N101" s="134"/>
      <c r="O101" s="136"/>
      <c r="P101" s="133"/>
      <c r="Q101" s="134"/>
      <c r="R101" s="134"/>
      <c r="S101" s="136"/>
      <c r="T101" s="136"/>
      <c r="U101" s="134"/>
      <c r="V101" s="136"/>
      <c r="W101" s="133"/>
      <c r="X101" s="134">
        <v>11135</v>
      </c>
      <c r="Y101" s="134"/>
      <c r="Z101" s="136"/>
      <c r="AA101" s="133"/>
      <c r="AB101" s="134"/>
      <c r="AC101" s="136"/>
      <c r="AD101" s="134"/>
      <c r="AE101" s="136"/>
      <c r="AF101" s="133"/>
      <c r="AG101" s="134"/>
      <c r="AH101" s="134"/>
      <c r="AI101" s="136"/>
      <c r="AJ101" s="136"/>
      <c r="AK101" s="134"/>
      <c r="AL101" s="136"/>
      <c r="AM101" s="133"/>
      <c r="AN101" s="134">
        <v>6389</v>
      </c>
      <c r="AO101" s="134"/>
      <c r="AP101" s="135"/>
    </row>
    <row r="102" spans="1:42" x14ac:dyDescent="0.25">
      <c r="A102" s="43">
        <v>47209</v>
      </c>
      <c r="B102" s="133"/>
      <c r="C102" s="134">
        <v>4003</v>
      </c>
      <c r="D102" s="134"/>
      <c r="E102" s="136"/>
      <c r="F102" s="136"/>
      <c r="G102" s="134"/>
      <c r="H102" s="136"/>
      <c r="I102" s="133"/>
      <c r="J102" s="134"/>
      <c r="K102" s="134"/>
      <c r="L102" s="136"/>
      <c r="M102" s="136"/>
      <c r="N102" s="134"/>
      <c r="O102" s="136"/>
      <c r="P102" s="133"/>
      <c r="Q102" s="134"/>
      <c r="R102" s="134"/>
      <c r="S102" s="136"/>
      <c r="T102" s="136"/>
      <c r="U102" s="134"/>
      <c r="V102" s="136"/>
      <c r="W102" s="133"/>
      <c r="X102" s="134">
        <v>11135</v>
      </c>
      <c r="Y102" s="134"/>
      <c r="Z102" s="136"/>
      <c r="AA102" s="133"/>
      <c r="AB102" s="134"/>
      <c r="AC102" s="136"/>
      <c r="AD102" s="134"/>
      <c r="AE102" s="136"/>
      <c r="AF102" s="133"/>
      <c r="AG102" s="134"/>
      <c r="AH102" s="134"/>
      <c r="AI102" s="136"/>
      <c r="AJ102" s="136"/>
      <c r="AK102" s="134"/>
      <c r="AL102" s="136"/>
      <c r="AM102" s="133"/>
      <c r="AN102" s="134">
        <v>4942</v>
      </c>
      <c r="AO102" s="134"/>
      <c r="AP102" s="135"/>
    </row>
    <row r="103" spans="1:42" x14ac:dyDescent="0.25">
      <c r="A103" s="43">
        <v>47239</v>
      </c>
      <c r="B103" s="133"/>
      <c r="C103" s="134">
        <v>4003</v>
      </c>
      <c r="D103" s="134"/>
      <c r="E103" s="136"/>
      <c r="F103" s="136"/>
      <c r="G103" s="134"/>
      <c r="H103" s="136"/>
      <c r="I103" s="133"/>
      <c r="J103" s="134"/>
      <c r="K103" s="134"/>
      <c r="L103" s="136"/>
      <c r="M103" s="136"/>
      <c r="N103" s="134"/>
      <c r="O103" s="136"/>
      <c r="P103" s="133"/>
      <c r="Q103" s="134"/>
      <c r="R103" s="134"/>
      <c r="S103" s="136"/>
      <c r="T103" s="136"/>
      <c r="U103" s="134"/>
      <c r="V103" s="136"/>
      <c r="W103" s="133"/>
      <c r="X103" s="134">
        <v>11135</v>
      </c>
      <c r="Y103" s="134"/>
      <c r="Z103" s="136"/>
      <c r="AA103" s="133"/>
      <c r="AB103" s="134"/>
      <c r="AC103" s="136"/>
      <c r="AD103" s="134"/>
      <c r="AE103" s="136"/>
      <c r="AF103" s="133"/>
      <c r="AG103" s="134"/>
      <c r="AH103" s="134"/>
      <c r="AI103" s="136"/>
      <c r="AJ103" s="136"/>
      <c r="AK103" s="134"/>
      <c r="AL103" s="136"/>
      <c r="AM103" s="133"/>
      <c r="AN103" s="134">
        <v>4942</v>
      </c>
      <c r="AO103" s="134"/>
      <c r="AP103" s="135"/>
    </row>
    <row r="104" spans="1:42" x14ac:dyDescent="0.25">
      <c r="A104" s="43">
        <v>47270</v>
      </c>
      <c r="B104" s="133"/>
      <c r="C104" s="134">
        <v>4003</v>
      </c>
      <c r="D104" s="134"/>
      <c r="E104" s="136"/>
      <c r="F104" s="136"/>
      <c r="G104" s="134"/>
      <c r="H104" s="136"/>
      <c r="I104" s="133"/>
      <c r="J104" s="134"/>
      <c r="K104" s="134"/>
      <c r="L104" s="136"/>
      <c r="M104" s="136"/>
      <c r="N104" s="134"/>
      <c r="O104" s="136"/>
      <c r="P104" s="133"/>
      <c r="Q104" s="134"/>
      <c r="R104" s="134"/>
      <c r="S104" s="136"/>
      <c r="T104" s="136"/>
      <c r="U104" s="134"/>
      <c r="V104" s="136"/>
      <c r="W104" s="133"/>
      <c r="X104" s="134">
        <v>11353</v>
      </c>
      <c r="Y104" s="134"/>
      <c r="Z104" s="136"/>
      <c r="AA104" s="133"/>
      <c r="AB104" s="134"/>
      <c r="AC104" s="136"/>
      <c r="AD104" s="134"/>
      <c r="AE104" s="136"/>
      <c r="AF104" s="133"/>
      <c r="AG104" s="134"/>
      <c r="AH104" s="134"/>
      <c r="AI104" s="136"/>
      <c r="AJ104" s="136"/>
      <c r="AK104" s="134"/>
      <c r="AL104" s="136"/>
      <c r="AM104" s="133"/>
      <c r="AN104" s="134">
        <v>4942</v>
      </c>
      <c r="AO104" s="134"/>
      <c r="AP104" s="135"/>
    </row>
    <row r="105" spans="1:42" x14ac:dyDescent="0.25">
      <c r="A105" s="43">
        <v>47300</v>
      </c>
      <c r="B105" s="133"/>
      <c r="C105" s="134">
        <v>3861</v>
      </c>
      <c r="D105" s="134"/>
      <c r="E105" s="136"/>
      <c r="F105" s="136"/>
      <c r="G105" s="134"/>
      <c r="H105" s="136"/>
      <c r="I105" s="133"/>
      <c r="J105" s="134"/>
      <c r="K105" s="134"/>
      <c r="L105" s="136"/>
      <c r="M105" s="136"/>
      <c r="N105" s="134"/>
      <c r="O105" s="136"/>
      <c r="P105" s="133"/>
      <c r="Q105" s="134"/>
      <c r="R105" s="134"/>
      <c r="S105" s="136"/>
      <c r="T105" s="136"/>
      <c r="U105" s="134"/>
      <c r="V105" s="136"/>
      <c r="W105" s="133"/>
      <c r="X105" s="134">
        <v>11502</v>
      </c>
      <c r="Y105" s="134"/>
      <c r="Z105" s="136"/>
      <c r="AA105" s="133"/>
      <c r="AB105" s="134"/>
      <c r="AC105" s="136"/>
      <c r="AD105" s="134"/>
      <c r="AE105" s="136"/>
      <c r="AF105" s="133"/>
      <c r="AG105" s="134"/>
      <c r="AH105" s="134"/>
      <c r="AI105" s="136"/>
      <c r="AJ105" s="136"/>
      <c r="AK105" s="134"/>
      <c r="AL105" s="136"/>
      <c r="AM105" s="133"/>
      <c r="AN105" s="134">
        <v>4942</v>
      </c>
      <c r="AO105" s="134"/>
      <c r="AP105" s="135"/>
    </row>
    <row r="106" spans="1:42" x14ac:dyDescent="0.25">
      <c r="A106" s="43">
        <v>47331</v>
      </c>
      <c r="B106" s="133"/>
      <c r="C106" s="134">
        <v>4003</v>
      </c>
      <c r="D106" s="134"/>
      <c r="E106" s="136"/>
      <c r="F106" s="136"/>
      <c r="G106" s="134"/>
      <c r="H106" s="136"/>
      <c r="I106" s="133"/>
      <c r="J106" s="134"/>
      <c r="K106" s="134"/>
      <c r="L106" s="136"/>
      <c r="M106" s="136"/>
      <c r="N106" s="134"/>
      <c r="O106" s="136"/>
      <c r="P106" s="133"/>
      <c r="Q106" s="134"/>
      <c r="R106" s="134"/>
      <c r="S106" s="136"/>
      <c r="T106" s="136"/>
      <c r="U106" s="134"/>
      <c r="V106" s="136"/>
      <c r="W106" s="133"/>
      <c r="X106" s="134">
        <v>11702</v>
      </c>
      <c r="Y106" s="134"/>
      <c r="Z106" s="136"/>
      <c r="AA106" s="133"/>
      <c r="AB106" s="134"/>
      <c r="AC106" s="136"/>
      <c r="AD106" s="134"/>
      <c r="AE106" s="136"/>
      <c r="AF106" s="133"/>
      <c r="AG106" s="134"/>
      <c r="AH106" s="134"/>
      <c r="AI106" s="136"/>
      <c r="AJ106" s="136"/>
      <c r="AK106" s="134"/>
      <c r="AL106" s="136"/>
      <c r="AM106" s="133"/>
      <c r="AN106" s="134">
        <v>4942</v>
      </c>
      <c r="AO106" s="134"/>
      <c r="AP106" s="135"/>
    </row>
    <row r="107" spans="1:42" x14ac:dyDescent="0.25">
      <c r="A107" s="43">
        <v>47362</v>
      </c>
      <c r="B107" s="133"/>
      <c r="C107" s="134">
        <v>4003</v>
      </c>
      <c r="D107" s="134"/>
      <c r="E107" s="136"/>
      <c r="F107" s="136"/>
      <c r="G107" s="134"/>
      <c r="H107" s="136"/>
      <c r="I107" s="133"/>
      <c r="J107" s="134"/>
      <c r="K107" s="134"/>
      <c r="L107" s="136"/>
      <c r="M107" s="136"/>
      <c r="N107" s="134"/>
      <c r="O107" s="136"/>
      <c r="P107" s="133"/>
      <c r="Q107" s="134"/>
      <c r="R107" s="134"/>
      <c r="S107" s="136"/>
      <c r="T107" s="136"/>
      <c r="U107" s="134"/>
      <c r="V107" s="136"/>
      <c r="W107" s="133"/>
      <c r="X107" s="134">
        <v>11702</v>
      </c>
      <c r="Y107" s="134"/>
      <c r="Z107" s="136"/>
      <c r="AA107" s="133"/>
      <c r="AB107" s="134"/>
      <c r="AC107" s="136"/>
      <c r="AD107" s="134"/>
      <c r="AE107" s="136"/>
      <c r="AF107" s="133"/>
      <c r="AG107" s="134"/>
      <c r="AH107" s="134"/>
      <c r="AI107" s="136"/>
      <c r="AJ107" s="136"/>
      <c r="AK107" s="134"/>
      <c r="AL107" s="136"/>
      <c r="AM107" s="133"/>
      <c r="AN107" s="134">
        <v>4942</v>
      </c>
      <c r="AO107" s="134"/>
      <c r="AP107" s="135"/>
    </row>
    <row r="108" spans="1:42" x14ac:dyDescent="0.25">
      <c r="A108" s="43">
        <v>47392</v>
      </c>
      <c r="B108" s="133"/>
      <c r="C108" s="134">
        <v>991</v>
      </c>
      <c r="D108" s="134"/>
      <c r="E108" s="136"/>
      <c r="F108" s="136"/>
      <c r="G108" s="134"/>
      <c r="H108" s="136"/>
      <c r="I108" s="133"/>
      <c r="J108" s="134"/>
      <c r="K108" s="134"/>
      <c r="L108" s="136"/>
      <c r="M108" s="136"/>
      <c r="N108" s="134"/>
      <c r="O108" s="136"/>
      <c r="P108" s="133"/>
      <c r="Q108" s="134"/>
      <c r="R108" s="134"/>
      <c r="S108" s="136"/>
      <c r="T108" s="136"/>
      <c r="U108" s="134"/>
      <c r="V108" s="136"/>
      <c r="W108" s="133"/>
      <c r="X108" s="134">
        <v>11702</v>
      </c>
      <c r="Y108" s="134"/>
      <c r="Z108" s="136"/>
      <c r="AA108" s="133"/>
      <c r="AB108" s="134"/>
      <c r="AC108" s="136"/>
      <c r="AD108" s="134"/>
      <c r="AE108" s="136"/>
      <c r="AF108" s="133"/>
      <c r="AG108" s="134"/>
      <c r="AH108" s="134"/>
      <c r="AI108" s="136"/>
      <c r="AJ108" s="136"/>
      <c r="AK108" s="134"/>
      <c r="AL108" s="136"/>
      <c r="AM108" s="133"/>
      <c r="AN108" s="134">
        <v>4942</v>
      </c>
      <c r="AO108" s="134"/>
      <c r="AP108" s="135"/>
    </row>
    <row r="109" spans="1:42" x14ac:dyDescent="0.25">
      <c r="A109" s="43">
        <v>47423</v>
      </c>
      <c r="B109" s="133"/>
      <c r="C109" s="134">
        <v>991</v>
      </c>
      <c r="D109" s="134"/>
      <c r="E109" s="136"/>
      <c r="F109" s="136"/>
      <c r="G109" s="134"/>
      <c r="H109" s="136"/>
      <c r="I109" s="133"/>
      <c r="J109" s="134"/>
      <c r="K109" s="134"/>
      <c r="L109" s="136"/>
      <c r="M109" s="136"/>
      <c r="N109" s="134"/>
      <c r="O109" s="136"/>
      <c r="P109" s="133"/>
      <c r="Q109" s="134"/>
      <c r="R109" s="134"/>
      <c r="S109" s="136"/>
      <c r="T109" s="136"/>
      <c r="U109" s="134"/>
      <c r="V109" s="136"/>
      <c r="W109" s="133"/>
      <c r="X109" s="134">
        <v>11702</v>
      </c>
      <c r="Y109" s="134"/>
      <c r="Z109" s="136"/>
      <c r="AA109" s="133"/>
      <c r="AB109" s="134"/>
      <c r="AC109" s="136"/>
      <c r="AD109" s="134"/>
      <c r="AE109" s="136"/>
      <c r="AF109" s="133"/>
      <c r="AG109" s="134"/>
      <c r="AH109" s="134"/>
      <c r="AI109" s="136"/>
      <c r="AJ109" s="136"/>
      <c r="AK109" s="134"/>
      <c r="AL109" s="136"/>
      <c r="AM109" s="133"/>
      <c r="AN109" s="134">
        <v>4942</v>
      </c>
      <c r="AO109" s="134"/>
      <c r="AP109" s="135"/>
    </row>
    <row r="110" spans="1:42" x14ac:dyDescent="0.25">
      <c r="A110" s="43">
        <v>47453</v>
      </c>
      <c r="B110" s="133"/>
      <c r="C110" s="134">
        <v>565</v>
      </c>
      <c r="D110" s="134"/>
      <c r="E110" s="136"/>
      <c r="F110" s="136"/>
      <c r="G110" s="134"/>
      <c r="H110" s="136"/>
      <c r="I110" s="133"/>
      <c r="J110" s="134"/>
      <c r="K110" s="134"/>
      <c r="L110" s="136"/>
      <c r="M110" s="136"/>
      <c r="N110" s="134"/>
      <c r="O110" s="136"/>
      <c r="P110" s="133"/>
      <c r="Q110" s="134"/>
      <c r="R110" s="134"/>
      <c r="S110" s="136"/>
      <c r="T110" s="136"/>
      <c r="U110" s="134"/>
      <c r="V110" s="136"/>
      <c r="W110" s="133"/>
      <c r="X110" s="134">
        <v>11702</v>
      </c>
      <c r="Y110" s="134"/>
      <c r="Z110" s="136"/>
      <c r="AA110" s="133"/>
      <c r="AB110" s="134"/>
      <c r="AC110" s="136"/>
      <c r="AD110" s="134"/>
      <c r="AE110" s="136"/>
      <c r="AF110" s="133"/>
      <c r="AG110" s="134"/>
      <c r="AH110" s="134"/>
      <c r="AI110" s="136"/>
      <c r="AJ110" s="136"/>
      <c r="AK110" s="134"/>
      <c r="AL110" s="136"/>
      <c r="AM110" s="133"/>
      <c r="AN110" s="134">
        <v>4942</v>
      </c>
      <c r="AO110" s="134"/>
      <c r="AP110" s="135"/>
    </row>
    <row r="111" spans="1:42" x14ac:dyDescent="0.25">
      <c r="A111" s="43">
        <v>47484</v>
      </c>
      <c r="B111" s="133"/>
      <c r="C111" s="134">
        <v>565</v>
      </c>
      <c r="D111" s="134"/>
      <c r="E111" s="136"/>
      <c r="F111" s="136"/>
      <c r="G111" s="134"/>
      <c r="H111" s="136"/>
      <c r="I111" s="133"/>
      <c r="J111" s="134"/>
      <c r="K111" s="134"/>
      <c r="L111" s="136"/>
      <c r="M111" s="136"/>
      <c r="N111" s="134"/>
      <c r="O111" s="136"/>
      <c r="P111" s="133"/>
      <c r="Q111" s="134"/>
      <c r="R111" s="134"/>
      <c r="S111" s="136"/>
      <c r="T111" s="136"/>
      <c r="U111" s="134"/>
      <c r="V111" s="136"/>
      <c r="W111" s="133"/>
      <c r="X111" s="134">
        <v>11702</v>
      </c>
      <c r="Y111" s="134"/>
      <c r="Z111" s="136"/>
      <c r="AA111" s="133"/>
      <c r="AB111" s="134"/>
      <c r="AC111" s="136"/>
      <c r="AD111" s="134"/>
      <c r="AE111" s="136"/>
      <c r="AF111" s="133"/>
      <c r="AG111" s="134"/>
      <c r="AH111" s="134"/>
      <c r="AI111" s="136"/>
      <c r="AJ111" s="136"/>
      <c r="AK111" s="134"/>
      <c r="AL111" s="136"/>
      <c r="AM111" s="133"/>
      <c r="AN111" s="134">
        <v>4942</v>
      </c>
      <c r="AO111" s="134"/>
      <c r="AP111" s="135"/>
    </row>
    <row r="112" spans="1:42" x14ac:dyDescent="0.25">
      <c r="A112" s="43">
        <v>47515</v>
      </c>
      <c r="B112" s="133"/>
      <c r="C112" s="134" t="s">
        <v>45</v>
      </c>
      <c r="D112" s="134"/>
      <c r="E112" s="136"/>
      <c r="F112" s="136"/>
      <c r="G112" s="134"/>
      <c r="H112" s="136"/>
      <c r="I112" s="133"/>
      <c r="J112" s="134"/>
      <c r="K112" s="134"/>
      <c r="L112" s="136"/>
      <c r="M112" s="136"/>
      <c r="N112" s="134"/>
      <c r="O112" s="136"/>
      <c r="P112" s="133"/>
      <c r="Q112" s="134"/>
      <c r="R112" s="134"/>
      <c r="S112" s="136"/>
      <c r="T112" s="136"/>
      <c r="U112" s="134"/>
      <c r="V112" s="136"/>
      <c r="W112" s="133"/>
      <c r="X112" s="134">
        <v>11702</v>
      </c>
      <c r="Y112" s="134"/>
      <c r="Z112" s="136"/>
      <c r="AA112" s="133"/>
      <c r="AB112" s="134"/>
      <c r="AC112" s="136"/>
      <c r="AD112" s="134"/>
      <c r="AE112" s="136"/>
      <c r="AF112" s="133"/>
      <c r="AG112" s="134"/>
      <c r="AH112" s="134"/>
      <c r="AI112" s="136"/>
      <c r="AJ112" s="136"/>
      <c r="AK112" s="134"/>
      <c r="AL112" s="136"/>
      <c r="AM112" s="133"/>
      <c r="AN112" s="134">
        <v>4942</v>
      </c>
      <c r="AO112" s="134"/>
      <c r="AP112" s="135"/>
    </row>
    <row r="113" spans="1:42" x14ac:dyDescent="0.25">
      <c r="A113" s="43">
        <v>47543</v>
      </c>
      <c r="B113" s="133"/>
      <c r="C113" s="134" t="s">
        <v>45</v>
      </c>
      <c r="D113" s="134"/>
      <c r="E113" s="136"/>
      <c r="F113" s="136"/>
      <c r="G113" s="134"/>
      <c r="H113" s="136"/>
      <c r="I113" s="133"/>
      <c r="J113" s="134"/>
      <c r="K113" s="134"/>
      <c r="L113" s="136"/>
      <c r="M113" s="136"/>
      <c r="N113" s="134"/>
      <c r="O113" s="136"/>
      <c r="P113" s="133"/>
      <c r="Q113" s="134"/>
      <c r="R113" s="134"/>
      <c r="S113" s="136"/>
      <c r="T113" s="136"/>
      <c r="U113" s="134"/>
      <c r="V113" s="136"/>
      <c r="W113" s="133"/>
      <c r="X113" s="134">
        <v>11702</v>
      </c>
      <c r="Y113" s="134"/>
      <c r="Z113" s="136"/>
      <c r="AA113" s="133"/>
      <c r="AB113" s="134"/>
      <c r="AC113" s="136"/>
      <c r="AD113" s="134"/>
      <c r="AE113" s="136"/>
      <c r="AF113" s="133"/>
      <c r="AG113" s="134"/>
      <c r="AH113" s="134"/>
      <c r="AI113" s="136"/>
      <c r="AJ113" s="136"/>
      <c r="AK113" s="134"/>
      <c r="AL113" s="136"/>
      <c r="AM113" s="133"/>
      <c r="AN113" s="134">
        <v>4942</v>
      </c>
      <c r="AO113" s="134"/>
      <c r="AP113" s="135"/>
    </row>
    <row r="114" spans="1:42" x14ac:dyDescent="0.25">
      <c r="A114" s="43">
        <v>47574</v>
      </c>
      <c r="B114" s="133"/>
      <c r="C114" s="134" t="s">
        <v>45</v>
      </c>
      <c r="D114" s="134"/>
      <c r="E114" s="136"/>
      <c r="F114" s="136"/>
      <c r="G114" s="134"/>
      <c r="H114" s="136"/>
      <c r="I114" s="133"/>
      <c r="J114" s="134"/>
      <c r="K114" s="134"/>
      <c r="L114" s="136"/>
      <c r="M114" s="136"/>
      <c r="N114" s="134"/>
      <c r="O114" s="136"/>
      <c r="P114" s="133"/>
      <c r="Q114" s="134"/>
      <c r="R114" s="134"/>
      <c r="S114" s="136"/>
      <c r="T114" s="136"/>
      <c r="U114" s="134"/>
      <c r="V114" s="136"/>
      <c r="W114" s="133"/>
      <c r="X114" s="134">
        <v>11702</v>
      </c>
      <c r="Y114" s="134"/>
      <c r="Z114" s="136"/>
      <c r="AA114" s="133"/>
      <c r="AB114" s="134"/>
      <c r="AC114" s="136"/>
      <c r="AD114" s="134"/>
      <c r="AE114" s="136"/>
      <c r="AF114" s="133"/>
      <c r="AG114" s="134"/>
      <c r="AH114" s="134"/>
      <c r="AI114" s="136"/>
      <c r="AJ114" s="136"/>
      <c r="AK114" s="134"/>
      <c r="AL114" s="136"/>
      <c r="AM114" s="133"/>
      <c r="AN114" s="134">
        <v>4942</v>
      </c>
      <c r="AO114" s="134"/>
      <c r="AP114" s="135"/>
    </row>
    <row r="115" spans="1:42" x14ac:dyDescent="0.25">
      <c r="A115" s="43">
        <v>47604</v>
      </c>
      <c r="B115" s="133"/>
      <c r="C115" s="134" t="s">
        <v>45</v>
      </c>
      <c r="D115" s="134"/>
      <c r="E115" s="136"/>
      <c r="F115" s="136"/>
      <c r="G115" s="134"/>
      <c r="H115" s="136"/>
      <c r="I115" s="133"/>
      <c r="J115" s="134"/>
      <c r="K115" s="134"/>
      <c r="L115" s="136"/>
      <c r="M115" s="136"/>
      <c r="N115" s="134"/>
      <c r="O115" s="136"/>
      <c r="P115" s="133"/>
      <c r="Q115" s="134"/>
      <c r="R115" s="134"/>
      <c r="S115" s="136"/>
      <c r="T115" s="136"/>
      <c r="U115" s="134"/>
      <c r="V115" s="136"/>
      <c r="W115" s="133"/>
      <c r="X115" s="134">
        <v>11702</v>
      </c>
      <c r="Y115" s="134"/>
      <c r="Z115" s="136"/>
      <c r="AA115" s="133"/>
      <c r="AB115" s="134"/>
      <c r="AC115" s="136"/>
      <c r="AD115" s="134"/>
      <c r="AE115" s="136"/>
      <c r="AF115" s="133"/>
      <c r="AG115" s="134"/>
      <c r="AH115" s="134"/>
      <c r="AI115" s="136"/>
      <c r="AJ115" s="136"/>
      <c r="AK115" s="134"/>
      <c r="AL115" s="136"/>
      <c r="AM115" s="133"/>
      <c r="AN115" s="134">
        <v>4942</v>
      </c>
      <c r="AO115" s="134"/>
      <c r="AP115" s="135"/>
    </row>
    <row r="116" spans="1:42" x14ac:dyDescent="0.25">
      <c r="A116" s="43">
        <v>47635</v>
      </c>
      <c r="B116" s="133"/>
      <c r="C116" s="134" t="s">
        <v>45</v>
      </c>
      <c r="D116" s="134"/>
      <c r="E116" s="136"/>
      <c r="F116" s="136"/>
      <c r="G116" s="134"/>
      <c r="H116" s="136"/>
      <c r="I116" s="133"/>
      <c r="J116" s="134"/>
      <c r="K116" s="134"/>
      <c r="L116" s="136"/>
      <c r="M116" s="136"/>
      <c r="N116" s="134"/>
      <c r="O116" s="136"/>
      <c r="P116" s="133"/>
      <c r="Q116" s="134"/>
      <c r="R116" s="134"/>
      <c r="S116" s="136"/>
      <c r="T116" s="136"/>
      <c r="U116" s="134"/>
      <c r="V116" s="136"/>
      <c r="W116" s="133"/>
      <c r="X116" s="134">
        <v>11702</v>
      </c>
      <c r="Y116" s="134"/>
      <c r="Z116" s="136"/>
      <c r="AA116" s="133"/>
      <c r="AB116" s="134"/>
      <c r="AC116" s="136"/>
      <c r="AD116" s="134"/>
      <c r="AE116" s="136"/>
      <c r="AF116" s="133"/>
      <c r="AG116" s="134"/>
      <c r="AH116" s="134"/>
      <c r="AI116" s="136"/>
      <c r="AJ116" s="136"/>
      <c r="AK116" s="134"/>
      <c r="AL116" s="136"/>
      <c r="AM116" s="133"/>
      <c r="AN116" s="134">
        <v>4942</v>
      </c>
      <c r="AO116" s="134"/>
      <c r="AP116" s="135"/>
    </row>
    <row r="117" spans="1:42" x14ac:dyDescent="0.25">
      <c r="A117" s="43">
        <v>47665</v>
      </c>
      <c r="B117" s="133"/>
      <c r="C117" s="134" t="s">
        <v>45</v>
      </c>
      <c r="D117" s="134"/>
      <c r="E117" s="136"/>
      <c r="F117" s="136"/>
      <c r="G117" s="134"/>
      <c r="H117" s="136"/>
      <c r="I117" s="133"/>
      <c r="J117" s="134"/>
      <c r="K117" s="134"/>
      <c r="L117" s="136"/>
      <c r="M117" s="136"/>
      <c r="N117" s="134"/>
      <c r="O117" s="136"/>
      <c r="P117" s="133"/>
      <c r="Q117" s="134"/>
      <c r="R117" s="134"/>
      <c r="S117" s="136"/>
      <c r="T117" s="136"/>
      <c r="U117" s="134"/>
      <c r="V117" s="136"/>
      <c r="W117" s="133"/>
      <c r="X117" s="134">
        <v>11302</v>
      </c>
      <c r="Y117" s="134"/>
      <c r="Z117" s="136"/>
      <c r="AA117" s="133"/>
      <c r="AB117" s="134"/>
      <c r="AC117" s="136"/>
      <c r="AD117" s="134"/>
      <c r="AE117" s="136"/>
      <c r="AF117" s="133"/>
      <c r="AG117" s="134"/>
      <c r="AH117" s="134"/>
      <c r="AI117" s="136"/>
      <c r="AJ117" s="136"/>
      <c r="AK117" s="134"/>
      <c r="AL117" s="136"/>
      <c r="AM117" s="133"/>
      <c r="AN117" s="134">
        <v>4942</v>
      </c>
      <c r="AO117" s="134"/>
      <c r="AP117" s="135"/>
    </row>
    <row r="118" spans="1:42" x14ac:dyDescent="0.25">
      <c r="A118" s="43">
        <v>47696</v>
      </c>
      <c r="B118" s="133"/>
      <c r="C118" s="134" t="s">
        <v>45</v>
      </c>
      <c r="D118" s="134"/>
      <c r="E118" s="136"/>
      <c r="F118" s="136"/>
      <c r="G118" s="134"/>
      <c r="H118" s="136"/>
      <c r="I118" s="133"/>
      <c r="J118" s="134"/>
      <c r="K118" s="134"/>
      <c r="L118" s="136"/>
      <c r="M118" s="136"/>
      <c r="N118" s="134"/>
      <c r="O118" s="136"/>
      <c r="P118" s="133"/>
      <c r="Q118" s="134"/>
      <c r="R118" s="134"/>
      <c r="S118" s="136"/>
      <c r="T118" s="136"/>
      <c r="U118" s="134"/>
      <c r="V118" s="136"/>
      <c r="W118" s="133"/>
      <c r="X118" s="134">
        <v>8899</v>
      </c>
      <c r="Y118" s="134"/>
      <c r="Z118" s="136"/>
      <c r="AA118" s="133"/>
      <c r="AB118" s="134"/>
      <c r="AC118" s="136"/>
      <c r="AD118" s="134"/>
      <c r="AE118" s="136"/>
      <c r="AF118" s="133"/>
      <c r="AG118" s="134"/>
      <c r="AH118" s="134"/>
      <c r="AI118" s="136"/>
      <c r="AJ118" s="136"/>
      <c r="AK118" s="134"/>
      <c r="AL118" s="136"/>
      <c r="AM118" s="133"/>
      <c r="AN118" s="134">
        <v>4942</v>
      </c>
      <c r="AO118" s="134"/>
      <c r="AP118" s="135"/>
    </row>
    <row r="119" spans="1:42" x14ac:dyDescent="0.25">
      <c r="A119" s="43">
        <v>47727</v>
      </c>
      <c r="B119" s="133"/>
      <c r="C119" s="134" t="s">
        <v>45</v>
      </c>
      <c r="D119" s="134"/>
      <c r="E119" s="136"/>
      <c r="F119" s="136"/>
      <c r="G119" s="134"/>
      <c r="H119" s="136"/>
      <c r="I119" s="133"/>
      <c r="J119" s="134"/>
      <c r="K119" s="134"/>
      <c r="L119" s="136"/>
      <c r="M119" s="136"/>
      <c r="N119" s="134"/>
      <c r="O119" s="136"/>
      <c r="P119" s="133"/>
      <c r="Q119" s="134"/>
      <c r="R119" s="134"/>
      <c r="S119" s="136"/>
      <c r="T119" s="136"/>
      <c r="U119" s="134"/>
      <c r="V119" s="136"/>
      <c r="W119" s="133"/>
      <c r="X119" s="134">
        <v>5351</v>
      </c>
      <c r="Y119" s="134"/>
      <c r="Z119" s="136"/>
      <c r="AA119" s="133"/>
      <c r="AB119" s="134"/>
      <c r="AC119" s="136"/>
      <c r="AD119" s="134"/>
      <c r="AE119" s="136"/>
      <c r="AF119" s="133"/>
      <c r="AG119" s="134"/>
      <c r="AH119" s="134"/>
      <c r="AI119" s="136"/>
      <c r="AJ119" s="136"/>
      <c r="AK119" s="134"/>
      <c r="AL119" s="136"/>
      <c r="AM119" s="133"/>
      <c r="AN119" s="134">
        <v>4942</v>
      </c>
      <c r="AO119" s="134"/>
      <c r="AP119" s="135"/>
    </row>
    <row r="120" spans="1:42" x14ac:dyDescent="0.25">
      <c r="A120" s="43">
        <v>47757</v>
      </c>
      <c r="B120" s="133"/>
      <c r="C120" s="134" t="s">
        <v>45</v>
      </c>
      <c r="D120" s="134"/>
      <c r="E120" s="136"/>
      <c r="F120" s="136"/>
      <c r="G120" s="134"/>
      <c r="H120" s="136"/>
      <c r="I120" s="133"/>
      <c r="J120" s="134"/>
      <c r="K120" s="134"/>
      <c r="L120" s="136"/>
      <c r="M120" s="136"/>
      <c r="N120" s="134"/>
      <c r="O120" s="136"/>
      <c r="P120" s="133"/>
      <c r="Q120" s="134"/>
      <c r="R120" s="134"/>
      <c r="S120" s="136"/>
      <c r="T120" s="136"/>
      <c r="U120" s="134"/>
      <c r="V120" s="136"/>
      <c r="W120" s="133"/>
      <c r="X120" s="134">
        <v>760</v>
      </c>
      <c r="Y120" s="134"/>
      <c r="Z120" s="136"/>
      <c r="AA120" s="133"/>
      <c r="AB120" s="134"/>
      <c r="AC120" s="136"/>
      <c r="AD120" s="134"/>
      <c r="AE120" s="136"/>
      <c r="AF120" s="133"/>
      <c r="AG120" s="134"/>
      <c r="AH120" s="134"/>
      <c r="AI120" s="136"/>
      <c r="AJ120" s="136"/>
      <c r="AK120" s="134"/>
      <c r="AL120" s="136"/>
      <c r="AM120" s="133"/>
      <c r="AN120" s="134">
        <v>2522</v>
      </c>
      <c r="AO120" s="134"/>
      <c r="AP120" s="135"/>
    </row>
    <row r="121" spans="1:42" x14ac:dyDescent="0.25">
      <c r="A121" s="43">
        <v>47788</v>
      </c>
      <c r="B121" s="133"/>
      <c r="C121" s="134" t="s">
        <v>45</v>
      </c>
      <c r="D121" s="134"/>
      <c r="E121" s="136"/>
      <c r="F121" s="136"/>
      <c r="G121" s="134"/>
      <c r="H121" s="136"/>
      <c r="I121" s="133"/>
      <c r="J121" s="134"/>
      <c r="K121" s="134"/>
      <c r="L121" s="136"/>
      <c r="M121" s="136"/>
      <c r="N121" s="134"/>
      <c r="O121" s="136"/>
      <c r="P121" s="133"/>
      <c r="Q121" s="134"/>
      <c r="R121" s="134"/>
      <c r="S121" s="136"/>
      <c r="T121" s="136"/>
      <c r="U121" s="134"/>
      <c r="V121" s="136"/>
      <c r="W121" s="133"/>
      <c r="X121" s="134">
        <v>350</v>
      </c>
      <c r="Y121" s="134"/>
      <c r="Z121" s="136"/>
      <c r="AA121" s="133"/>
      <c r="AB121" s="134"/>
      <c r="AC121" s="136"/>
      <c r="AD121" s="134"/>
      <c r="AE121" s="136"/>
      <c r="AF121" s="133"/>
      <c r="AG121" s="134"/>
      <c r="AH121" s="134"/>
      <c r="AI121" s="136"/>
      <c r="AJ121" s="136"/>
      <c r="AK121" s="134"/>
      <c r="AL121" s="136"/>
      <c r="AM121" s="133"/>
      <c r="AN121" s="134">
        <v>637</v>
      </c>
      <c r="AO121" s="134"/>
      <c r="AP121" s="135"/>
    </row>
    <row r="122" spans="1:42" x14ac:dyDescent="0.25">
      <c r="A122" s="43">
        <v>47818</v>
      </c>
      <c r="B122" s="137"/>
      <c r="C122" s="138" t="s">
        <v>45</v>
      </c>
      <c r="D122" s="138"/>
      <c r="E122" s="139"/>
      <c r="F122" s="139"/>
      <c r="G122" s="138"/>
      <c r="H122" s="139"/>
      <c r="I122" s="137"/>
      <c r="J122" s="138"/>
      <c r="K122" s="138"/>
      <c r="L122" s="139"/>
      <c r="M122" s="139"/>
      <c r="N122" s="138"/>
      <c r="O122" s="139"/>
      <c r="P122" s="137"/>
      <c r="Q122" s="138"/>
      <c r="R122" s="138"/>
      <c r="S122" s="139"/>
      <c r="T122" s="139"/>
      <c r="U122" s="138"/>
      <c r="V122" s="139"/>
      <c r="W122" s="137"/>
      <c r="X122" s="138">
        <v>350</v>
      </c>
      <c r="Y122" s="138"/>
      <c r="Z122" s="139"/>
      <c r="AA122" s="137"/>
      <c r="AB122" s="138"/>
      <c r="AC122" s="139"/>
      <c r="AD122" s="138"/>
      <c r="AE122" s="139"/>
      <c r="AF122" s="137"/>
      <c r="AG122" s="138"/>
      <c r="AH122" s="138"/>
      <c r="AI122" s="139"/>
      <c r="AJ122" s="139"/>
      <c r="AK122" s="138"/>
      <c r="AL122" s="139"/>
      <c r="AM122" s="137"/>
      <c r="AN122" s="138">
        <v>637</v>
      </c>
      <c r="AO122" s="138"/>
      <c r="AP122" s="140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7"/>
  <sheetViews>
    <sheetView showGridLines="0" zoomScale="80" zoomScaleNormal="80" workbookViewId="0">
      <selection activeCell="F10" sqref="E10:F10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78" t="str">
        <f>_xlfn.CONCAT("Resumo dos empreendimentos ativos em ", TEXT(inputs0!A1, "dd/mmm/aaaa"))</f>
        <v>Resumo dos empreendimentos ativos em 31/jan/2026</v>
      </c>
      <c r="B1" s="48"/>
    </row>
    <row r="2" spans="1:13" ht="34.5" x14ac:dyDescent="0.25">
      <c r="A2" s="49"/>
      <c r="B2" s="49"/>
      <c r="C2" s="50" t="s">
        <v>31</v>
      </c>
      <c r="D2" s="50" t="s">
        <v>32</v>
      </c>
      <c r="E2" s="50" t="s">
        <v>31</v>
      </c>
      <c r="F2" s="50" t="s">
        <v>33</v>
      </c>
      <c r="G2" s="50" t="s">
        <v>34</v>
      </c>
      <c r="H2" s="50" t="s">
        <v>34</v>
      </c>
      <c r="I2" s="50" t="s">
        <v>34</v>
      </c>
      <c r="J2" s="50" t="s">
        <v>35</v>
      </c>
      <c r="K2" s="50" t="s">
        <v>35</v>
      </c>
      <c r="L2" s="51" t="s">
        <v>36</v>
      </c>
      <c r="M2" s="50" t="s">
        <v>37</v>
      </c>
    </row>
    <row r="3" spans="1:13" ht="45" x14ac:dyDescent="0.25">
      <c r="A3" s="52" t="s">
        <v>38</v>
      </c>
      <c r="B3" s="52" t="s">
        <v>39</v>
      </c>
      <c r="C3" s="53" t="s">
        <v>67</v>
      </c>
      <c r="D3" s="54" t="s">
        <v>68</v>
      </c>
      <c r="E3" s="53" t="s">
        <v>69</v>
      </c>
      <c r="F3" s="54" t="s">
        <v>70</v>
      </c>
      <c r="G3" s="54" t="s">
        <v>66</v>
      </c>
      <c r="H3" s="53" t="s">
        <v>40</v>
      </c>
      <c r="I3" s="54" t="s">
        <v>41</v>
      </c>
      <c r="J3" s="54" t="s">
        <v>71</v>
      </c>
      <c r="K3" s="55" t="s">
        <v>72</v>
      </c>
      <c r="L3" s="56" t="s">
        <v>73</v>
      </c>
      <c r="M3" s="56" t="s">
        <v>42</v>
      </c>
    </row>
    <row r="4" spans="1:13" x14ac:dyDescent="0.25">
      <c r="A4" s="57" t="s">
        <v>12</v>
      </c>
      <c r="B4" s="58" t="s">
        <v>43</v>
      </c>
      <c r="C4" s="73">
        <f ca="1">inputs0!D8</f>
        <v>0</v>
      </c>
      <c r="D4" s="73">
        <f ca="1">inputs0!D9</f>
        <v>0</v>
      </c>
      <c r="E4" s="73">
        <f ca="1">inputs0!E8</f>
        <v>0</v>
      </c>
      <c r="F4" s="73">
        <f>inputs0!E9</f>
        <v>0</v>
      </c>
      <c r="G4" s="73">
        <f ca="1">inputs0!D4</f>
        <v>0</v>
      </c>
      <c r="H4" s="73">
        <f ca="1">inputs0!C8</f>
        <v>0</v>
      </c>
      <c r="I4" s="73">
        <f ca="1">inputs0!C9</f>
        <v>0</v>
      </c>
      <c r="J4" s="74">
        <f>inputs0!D3</f>
        <v>0</v>
      </c>
      <c r="K4" s="73">
        <f>inputs0!D2</f>
        <v>0</v>
      </c>
      <c r="L4" s="59">
        <f ca="1">SUM(C4:I4,K4)</f>
        <v>0</v>
      </c>
      <c r="M4" s="75">
        <v>25897161</v>
      </c>
    </row>
    <row r="5" spans="1:13" collapsed="1" x14ac:dyDescent="0.25">
      <c r="A5" s="60" t="s">
        <v>12</v>
      </c>
      <c r="B5" s="61" t="s">
        <v>37</v>
      </c>
      <c r="C5" s="81">
        <f>viabs!D8</f>
        <v>10969791</v>
      </c>
      <c r="D5" s="81">
        <f>viabs!D9</f>
        <v>2411486</v>
      </c>
      <c r="E5" s="81">
        <f>viabs!E8</f>
        <v>2076560</v>
      </c>
      <c r="F5" s="81">
        <f>viabs!E9</f>
        <v>163842</v>
      </c>
      <c r="G5" s="81">
        <f>viabs!D4</f>
        <v>0</v>
      </c>
      <c r="H5" s="81">
        <f>viabs!C8</f>
        <v>5441368</v>
      </c>
      <c r="I5" s="81">
        <f>viabs!C9</f>
        <v>2532963</v>
      </c>
      <c r="J5" s="82">
        <f>viabs!D3</f>
        <v>12</v>
      </c>
      <c r="K5" s="81">
        <f>viabs!D2</f>
        <v>2301149</v>
      </c>
      <c r="L5" s="149">
        <f t="shared" ref="L5:L17" si="0">SUM(C5:I5,K5)</f>
        <v>25897159</v>
      </c>
      <c r="M5" s="150">
        <f>M4</f>
        <v>25897161</v>
      </c>
    </row>
    <row r="6" spans="1:13" x14ac:dyDescent="0.25">
      <c r="A6" s="62" t="s">
        <v>13</v>
      </c>
      <c r="B6" s="63" t="s">
        <v>43</v>
      </c>
      <c r="C6" s="72">
        <f ca="1">inputs0!K8</f>
        <v>0</v>
      </c>
      <c r="D6" s="72">
        <f>inputs0!K9</f>
        <v>0</v>
      </c>
      <c r="E6" s="72">
        <f ca="1">inputs0!L8</f>
        <v>0</v>
      </c>
      <c r="F6" s="72">
        <f>inputs0!L9</f>
        <v>0</v>
      </c>
      <c r="G6" s="72">
        <f ca="1">inputs0!K4</f>
        <v>0</v>
      </c>
      <c r="H6" s="72">
        <f ca="1">inputs0!J8</f>
        <v>0</v>
      </c>
      <c r="I6" s="72">
        <f ca="1">inputs0!J9</f>
        <v>0</v>
      </c>
      <c r="J6" s="74">
        <f>inputs0!K3</f>
        <v>0</v>
      </c>
      <c r="K6" s="73">
        <f>inputs0!K2</f>
        <v>0</v>
      </c>
      <c r="L6" s="64">
        <f t="shared" ca="1" si="0"/>
        <v>0</v>
      </c>
      <c r="M6" s="76">
        <v>41582807</v>
      </c>
    </row>
    <row r="7" spans="1:13" collapsed="1" x14ac:dyDescent="0.25">
      <c r="A7" s="60" t="s">
        <v>13</v>
      </c>
      <c r="B7" s="61" t="s">
        <v>37</v>
      </c>
      <c r="C7" s="81">
        <f>viabs!K8</f>
        <v>18611890</v>
      </c>
      <c r="D7" s="81">
        <f>viabs!K9</f>
        <v>0</v>
      </c>
      <c r="E7" s="81">
        <f>viabs!L8</f>
        <v>3812440</v>
      </c>
      <c r="F7" s="81">
        <f>viabs!L9</f>
        <v>0</v>
      </c>
      <c r="G7" s="81">
        <f>viabs!K4</f>
        <v>0</v>
      </c>
      <c r="H7" s="81">
        <f>viabs!J8</f>
        <v>17547728</v>
      </c>
      <c r="I7" s="81">
        <f>viabs!J9</f>
        <v>42900</v>
      </c>
      <c r="J7" s="82">
        <f>viabs!K3</f>
        <v>6</v>
      </c>
      <c r="K7" s="81">
        <f>viabs!K2</f>
        <v>1567849</v>
      </c>
      <c r="L7" s="149">
        <f t="shared" si="0"/>
        <v>41582807</v>
      </c>
      <c r="M7" s="150">
        <f>M6</f>
        <v>41582807</v>
      </c>
    </row>
    <row r="8" spans="1:13" x14ac:dyDescent="0.25">
      <c r="A8" s="62" t="s">
        <v>14</v>
      </c>
      <c r="B8" s="63" t="s">
        <v>43</v>
      </c>
      <c r="C8" s="72">
        <f ca="1">inputs0!R8</f>
        <v>0</v>
      </c>
      <c r="D8" s="72">
        <f ca="1">inputs0!R9</f>
        <v>0</v>
      </c>
      <c r="E8" s="72">
        <f ca="1">inputs0!S8</f>
        <v>0</v>
      </c>
      <c r="F8" s="72">
        <f>inputs0!S9</f>
        <v>0</v>
      </c>
      <c r="G8" s="72">
        <f ca="1">inputs0!R4</f>
        <v>0</v>
      </c>
      <c r="H8" s="72">
        <f ca="1">inputs0!Q8</f>
        <v>0</v>
      </c>
      <c r="I8" s="72">
        <f ca="1">inputs0!Q9</f>
        <v>0</v>
      </c>
      <c r="J8" s="74">
        <f>inputs0!R3</f>
        <v>0</v>
      </c>
      <c r="K8" s="73">
        <f>inputs0!R2</f>
        <v>0</v>
      </c>
      <c r="L8" s="64">
        <f t="shared" ca="1" si="0"/>
        <v>0</v>
      </c>
      <c r="M8" s="76">
        <v>47237835</v>
      </c>
    </row>
    <row r="9" spans="1:13" collapsed="1" x14ac:dyDescent="0.25">
      <c r="A9" s="60" t="s">
        <v>14</v>
      </c>
      <c r="B9" s="61" t="s">
        <v>37</v>
      </c>
      <c r="C9" s="81">
        <f>viabs!R8</f>
        <v>4747377</v>
      </c>
      <c r="D9" s="81">
        <f>viabs!R9</f>
        <v>17101428</v>
      </c>
      <c r="E9" s="81">
        <f>viabs!S8</f>
        <v>4683225</v>
      </c>
      <c r="F9" s="81">
        <f>viabs!S9</f>
        <v>148936</v>
      </c>
      <c r="G9" s="81">
        <f>viabs!R4</f>
        <v>0</v>
      </c>
      <c r="H9" s="81">
        <f>viabs!Q8</f>
        <v>8224551</v>
      </c>
      <c r="I9" s="81">
        <f>viabs!Q9</f>
        <v>6883519</v>
      </c>
      <c r="J9" s="82">
        <f>viabs!R3</f>
        <v>13</v>
      </c>
      <c r="K9" s="81">
        <f>viabs!R2</f>
        <v>5448793</v>
      </c>
      <c r="L9" s="149">
        <f t="shared" si="0"/>
        <v>47237829</v>
      </c>
      <c r="M9" s="150">
        <f>M8</f>
        <v>47237835</v>
      </c>
    </row>
    <row r="10" spans="1:13" x14ac:dyDescent="0.25">
      <c r="A10" s="62" t="s">
        <v>15</v>
      </c>
      <c r="B10" s="63" t="s">
        <v>43</v>
      </c>
      <c r="C10" s="72">
        <f ca="1">inputs0!Y8</f>
        <v>0</v>
      </c>
      <c r="D10" s="72">
        <f ca="1">inputs0!Y9</f>
        <v>0</v>
      </c>
      <c r="E10" s="72">
        <f ca="1">inputs0!Z8</f>
        <v>0</v>
      </c>
      <c r="F10" s="72">
        <f>inputs0!Z9</f>
        <v>0</v>
      </c>
      <c r="G10" s="72">
        <f ca="1">inputs0!Y4</f>
        <v>0</v>
      </c>
      <c r="H10" s="72">
        <f ca="1">inputs0!X8</f>
        <v>0</v>
      </c>
      <c r="I10" s="72">
        <f ca="1">inputs0!X9</f>
        <v>0</v>
      </c>
      <c r="J10" s="74">
        <f>inputs0!Y3</f>
        <v>0</v>
      </c>
      <c r="K10" s="73">
        <f>inputs0!Y2</f>
        <v>0</v>
      </c>
      <c r="L10" s="64">
        <f t="shared" ca="1" si="0"/>
        <v>0</v>
      </c>
      <c r="M10" s="76">
        <v>64482292</v>
      </c>
    </row>
    <row r="11" spans="1:13" collapsed="1" x14ac:dyDescent="0.25">
      <c r="A11" s="60" t="s">
        <v>15</v>
      </c>
      <c r="B11" s="61" t="s">
        <v>37</v>
      </c>
      <c r="C11" s="148"/>
      <c r="D11" s="148"/>
      <c r="E11" s="148"/>
      <c r="F11" s="148"/>
      <c r="G11" s="148">
        <f>viabs!Y4</f>
        <v>0</v>
      </c>
      <c r="H11" s="81">
        <f>viabs!X8</f>
        <v>1155519</v>
      </c>
      <c r="I11" s="81">
        <f>viabs!X9</f>
        <v>5494622</v>
      </c>
      <c r="J11" s="82">
        <f>viabs!Y3</f>
        <v>93</v>
      </c>
      <c r="K11" s="81">
        <f>viabs!Y2</f>
        <v>30073218</v>
      </c>
      <c r="L11" s="149">
        <f t="shared" si="0"/>
        <v>36723359</v>
      </c>
      <c r="M11" s="150">
        <f>M10</f>
        <v>64482292</v>
      </c>
    </row>
    <row r="12" spans="1:13" x14ac:dyDescent="0.25">
      <c r="A12" s="62" t="s">
        <v>16</v>
      </c>
      <c r="B12" s="63" t="s">
        <v>43</v>
      </c>
      <c r="C12" s="65" t="s">
        <v>44</v>
      </c>
      <c r="D12" s="65" t="s">
        <v>44</v>
      </c>
      <c r="E12" s="65" t="s">
        <v>44</v>
      </c>
      <c r="F12" s="65" t="s">
        <v>44</v>
      </c>
      <c r="G12" s="65">
        <f ca="1">inputs0!AF10</f>
        <v>0</v>
      </c>
      <c r="H12" s="72">
        <f ca="1">inputs0!AE8</f>
        <v>0</v>
      </c>
      <c r="I12" s="72">
        <f ca="1">inputs0!AE9</f>
        <v>0</v>
      </c>
      <c r="J12" s="74">
        <f>inputs0!AF3</f>
        <v>0</v>
      </c>
      <c r="K12" s="73">
        <f>inputs0!AF2</f>
        <v>0</v>
      </c>
      <c r="L12" s="64">
        <f t="shared" ca="1" si="0"/>
        <v>0</v>
      </c>
      <c r="M12" s="76">
        <v>25916905</v>
      </c>
    </row>
    <row r="13" spans="1:13" collapsed="1" x14ac:dyDescent="0.25">
      <c r="A13" s="60" t="s">
        <v>16</v>
      </c>
      <c r="B13" s="61" t="s">
        <v>37</v>
      </c>
      <c r="C13" s="148"/>
      <c r="D13" s="148"/>
      <c r="E13" s="148"/>
      <c r="F13" s="148"/>
      <c r="G13" s="148">
        <f>viabs!AC10</f>
        <v>13476430</v>
      </c>
      <c r="H13" s="81">
        <f>viabs!AB8</f>
        <v>8478046</v>
      </c>
      <c r="I13" s="81">
        <f>viabs!AB9</f>
        <v>3542427</v>
      </c>
      <c r="J13" s="82">
        <f>viabs!AC3</f>
        <v>1</v>
      </c>
      <c r="K13" s="81">
        <f>viabs!AC2</f>
        <v>420000</v>
      </c>
      <c r="L13" s="149">
        <f t="shared" si="0"/>
        <v>25916903</v>
      </c>
      <c r="M13" s="150">
        <f>M12</f>
        <v>25916905</v>
      </c>
    </row>
    <row r="14" spans="1:13" x14ac:dyDescent="0.25">
      <c r="A14" s="62" t="s">
        <v>17</v>
      </c>
      <c r="B14" s="63" t="s">
        <v>43</v>
      </c>
      <c r="C14" s="72">
        <f ca="1">inputs0!AK8</f>
        <v>0</v>
      </c>
      <c r="D14" s="72">
        <f ca="1">inputs0!AK9</f>
        <v>0</v>
      </c>
      <c r="E14" s="72">
        <f ca="1">inputs0!AL8</f>
        <v>0</v>
      </c>
      <c r="F14" s="72">
        <f>inputs0!AL9</f>
        <v>0</v>
      </c>
      <c r="G14" s="72">
        <f ca="1">inputs0!AK4</f>
        <v>0</v>
      </c>
      <c r="H14" s="72">
        <f ca="1">inputs0!AJ8</f>
        <v>0</v>
      </c>
      <c r="I14" s="72">
        <f ca="1">inputs0!AJ9</f>
        <v>0</v>
      </c>
      <c r="J14" s="74">
        <f>inputs0!AK3</f>
        <v>0</v>
      </c>
      <c r="K14" s="73">
        <f>inputs0!AK2</f>
        <v>0</v>
      </c>
      <c r="L14" s="64">
        <f t="shared" ca="1" si="0"/>
        <v>0</v>
      </c>
      <c r="M14" s="76">
        <v>60385343</v>
      </c>
    </row>
    <row r="15" spans="1:13" collapsed="1" x14ac:dyDescent="0.25">
      <c r="A15" s="60" t="s">
        <v>17</v>
      </c>
      <c r="B15" s="61" t="s">
        <v>37</v>
      </c>
      <c r="C15" s="81">
        <f>viabs!AH8</f>
        <v>6607255</v>
      </c>
      <c r="D15" s="81">
        <f>viabs!AH9</f>
        <v>25947554</v>
      </c>
      <c r="E15" s="81">
        <f>viabs!AI8</f>
        <v>6328879</v>
      </c>
      <c r="F15" s="81">
        <f>viabs!AI9</f>
        <v>369231</v>
      </c>
      <c r="G15" s="81">
        <f>viabs!AH4</f>
        <v>0</v>
      </c>
      <c r="H15" s="81">
        <f>viabs!AG8</f>
        <v>11982013.73</v>
      </c>
      <c r="I15" s="81">
        <f>viabs!AG9</f>
        <v>6927535</v>
      </c>
      <c r="J15" s="82">
        <f>viabs!AH3</f>
        <v>7</v>
      </c>
      <c r="K15" s="81">
        <f>viabs!AH2</f>
        <v>2222876</v>
      </c>
      <c r="L15" s="149">
        <f t="shared" si="0"/>
        <v>60385343.730000004</v>
      </c>
      <c r="M15" s="150">
        <f>M14</f>
        <v>60385343</v>
      </c>
    </row>
    <row r="16" spans="1:13" x14ac:dyDescent="0.25">
      <c r="A16" s="62" t="s">
        <v>18</v>
      </c>
      <c r="B16" s="63" t="s">
        <v>43</v>
      </c>
      <c r="C16" s="65">
        <v>0</v>
      </c>
      <c r="D16" s="65" t="s">
        <v>44</v>
      </c>
      <c r="E16" s="65">
        <v>0</v>
      </c>
      <c r="F16" s="65" t="s">
        <v>44</v>
      </c>
      <c r="G16" s="72">
        <f ca="1">inputs0!AR4</f>
        <v>0</v>
      </c>
      <c r="H16" s="72">
        <f ca="1">inputs0!AQ8</f>
        <v>0</v>
      </c>
      <c r="I16" s="72">
        <f ca="1">inputs0!AQ9</f>
        <v>0</v>
      </c>
      <c r="J16" s="74">
        <f>inputs0!AR3</f>
        <v>0</v>
      </c>
      <c r="K16" s="73">
        <f>inputs0!AR2</f>
        <v>0</v>
      </c>
      <c r="L16" s="64">
        <f t="shared" ca="1" si="0"/>
        <v>0</v>
      </c>
      <c r="M16" s="76">
        <v>106533245</v>
      </c>
    </row>
    <row r="17" spans="1:13" x14ac:dyDescent="0.25">
      <c r="A17" s="60" t="s">
        <v>18</v>
      </c>
      <c r="B17" s="61" t="s">
        <v>37</v>
      </c>
      <c r="C17" s="148"/>
      <c r="D17" s="148"/>
      <c r="E17" s="148"/>
      <c r="F17" s="148"/>
      <c r="G17" s="148">
        <f>viabs!AO4</f>
        <v>0</v>
      </c>
      <c r="H17" s="81">
        <f>viabs!AN8</f>
        <v>4070583</v>
      </c>
      <c r="I17" s="81">
        <f>viabs!AN9</f>
        <v>14956888</v>
      </c>
      <c r="J17" s="82">
        <f>viabs!AO3</f>
        <v>107</v>
      </c>
      <c r="K17" s="81">
        <f>viabs!AO2</f>
        <v>35524021</v>
      </c>
      <c r="L17" s="149">
        <f t="shared" si="0"/>
        <v>54551492</v>
      </c>
      <c r="M17" s="150">
        <f>M16</f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H16" sqref="H16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78" t="s">
        <v>192</v>
      </c>
      <c r="Q1" s="78" t="s">
        <v>35</v>
      </c>
    </row>
    <row r="2" spans="1:25" s="117" customFormat="1" ht="15" customHeight="1" thickBot="1" x14ac:dyDescent="0.3">
      <c r="A2" s="116"/>
      <c r="C2" s="118" t="s">
        <v>53</v>
      </c>
      <c r="D2" s="119"/>
      <c r="E2" s="119"/>
      <c r="F2" s="119"/>
      <c r="I2" s="120" t="s">
        <v>54</v>
      </c>
      <c r="J2" s="121"/>
      <c r="K2" s="121"/>
      <c r="L2" s="121"/>
      <c r="M2" s="122"/>
      <c r="N2" s="122"/>
      <c r="O2" s="122"/>
    </row>
    <row r="3" spans="1:25" ht="30.75" thickTop="1" x14ac:dyDescent="0.25">
      <c r="A3" s="95" t="s">
        <v>38</v>
      </c>
      <c r="B3" s="96" t="s">
        <v>39</v>
      </c>
      <c r="C3" s="112" t="s">
        <v>296</v>
      </c>
      <c r="D3" s="113" t="s">
        <v>297</v>
      </c>
      <c r="E3" s="114" t="s">
        <v>50</v>
      </c>
      <c r="F3" s="115" t="s">
        <v>55</v>
      </c>
      <c r="G3" s="98" t="s">
        <v>56</v>
      </c>
      <c r="H3" s="99" t="s">
        <v>57</v>
      </c>
      <c r="I3" s="100" t="s">
        <v>58</v>
      </c>
      <c r="J3" s="97" t="s">
        <v>59</v>
      </c>
      <c r="K3" s="97" t="s">
        <v>60</v>
      </c>
      <c r="L3" s="101" t="s">
        <v>61</v>
      </c>
      <c r="M3" s="101" t="s">
        <v>62</v>
      </c>
      <c r="N3" s="101" t="s">
        <v>63</v>
      </c>
      <c r="O3" s="102" t="s">
        <v>64</v>
      </c>
      <c r="Q3" s="67" t="s">
        <v>38</v>
      </c>
      <c r="R3" s="127" t="s">
        <v>46</v>
      </c>
      <c r="S3" s="70" t="s">
        <v>47</v>
      </c>
      <c r="T3" s="70" t="s">
        <v>49</v>
      </c>
      <c r="U3" s="128" t="s">
        <v>48</v>
      </c>
      <c r="V3" s="128" t="s">
        <v>51</v>
      </c>
      <c r="W3" s="128" t="s">
        <v>50</v>
      </c>
      <c r="X3" s="71" t="s">
        <v>52</v>
      </c>
      <c r="Y3" s="69" t="s">
        <v>30</v>
      </c>
    </row>
    <row r="4" spans="1:25" x14ac:dyDescent="0.25">
      <c r="A4" s="25" t="s">
        <v>12</v>
      </c>
      <c r="B4" s="26" t="s">
        <v>35</v>
      </c>
      <c r="C4" s="26">
        <f>R4</f>
        <v>0</v>
      </c>
      <c r="D4" s="26">
        <f>S4+T4</f>
        <v>0</v>
      </c>
      <c r="E4" s="26">
        <f>U4+W4+V4</f>
        <v>0</v>
      </c>
      <c r="F4" s="84">
        <f>X4</f>
        <v>0</v>
      </c>
      <c r="G4" s="104">
        <f>SUM(C4:F4)</f>
        <v>0</v>
      </c>
      <c r="H4" s="105">
        <f>G4-C4</f>
        <v>0</v>
      </c>
      <c r="I4" s="103">
        <f>COUNTIFS(
    unis[empresa], $A4,
    unis[especie],I$3
)</f>
        <v>0</v>
      </c>
      <c r="J4" s="26">
        <f>COUNTIFS(
    unis[empresa], $A4,
    unis[especie],J$3
)</f>
        <v>0</v>
      </c>
      <c r="K4" s="26">
        <f>COUNTIFS(
    unis[empresa], $A4,
    unis[especie],K$3
)</f>
        <v>0</v>
      </c>
      <c r="L4" s="66">
        <f>COUNTIFS(
    estq[empresa], $A4,
    estq[especie], "Garagem",
    estq[Planta], "Vagas Autônomas"
)</f>
        <v>0</v>
      </c>
      <c r="M4" s="26"/>
      <c r="N4" s="26"/>
      <c r="O4" s="28"/>
      <c r="Q4" s="67" t="s">
        <v>12</v>
      </c>
      <c r="R4" s="52">
        <f>COUNTIFS(
    estq[empresa], $Q4,
    estq[Status],R$3)</f>
        <v>0</v>
      </c>
      <c r="S4" s="52">
        <f>COUNTIFS(
    estq[empresa], $Q4,
    estq[Status],S$3)</f>
        <v>0</v>
      </c>
      <c r="T4" s="52">
        <f>COUNTIFS(
    estq[empresa], $Q4,
    estq[Status],T$3)</f>
        <v>0</v>
      </c>
      <c r="U4" s="52">
        <f>COUNTIFS(
    estq[empresa], $Q4,
    estq[Status],U$3)</f>
        <v>0</v>
      </c>
      <c r="V4" s="52">
        <f>COUNTIFS(
    estq[empresa], $Q4,
    estq[Status],V$3)</f>
        <v>0</v>
      </c>
      <c r="W4" s="52">
        <f>COUNTIFS(
    estq[empresa], $Q4,
    estq[Status],W$3)</f>
        <v>0</v>
      </c>
      <c r="X4" s="52">
        <f>COUNTIFS(
    estq[empresa], $Q4,
    estq[Status],X$3)</f>
        <v>0</v>
      </c>
      <c r="Y4" s="68">
        <f t="shared" ref="Y4:Y11" si="0">SUM(R4:X4)</f>
        <v>0</v>
      </c>
    </row>
    <row r="5" spans="1:25" x14ac:dyDescent="0.25">
      <c r="A5" s="86" t="s">
        <v>12</v>
      </c>
      <c r="B5" s="87" t="s">
        <v>34</v>
      </c>
      <c r="C5" s="87">
        <f>COUNTIFS(
    unis[empresa], $A7,
    unis[situacao], C$3
)</f>
        <v>0</v>
      </c>
      <c r="D5" s="87">
        <f>COUNTIFS(
    unis[empresa], $A7,
    unis[situacao], D$3
)</f>
        <v>0</v>
      </c>
      <c r="E5" s="87">
        <f>COUNTIFS(
    unis[empresa], $A5,
    unis[situacao], E$3
)
+COUNTIFS(
    unis[empresa], $A5,
    unis[situacao], F$3,
    unis[data], "&gt;" &amp; inputs0!$A$1
)</f>
        <v>0</v>
      </c>
      <c r="F5" s="85">
        <f>COUNTIFS(
    unis[empresa], $A5,
    unis[situacao], F$3,
    unis[data], "&lt;=" &amp; inputs0!$A$1
)</f>
        <v>0</v>
      </c>
      <c r="G5" s="106">
        <f t="shared" ref="G5:G31" si="1">SUM(C5:F5)</f>
        <v>0</v>
      </c>
      <c r="H5" s="107">
        <f t="shared" ref="H5:H31" si="2">G5-C5</f>
        <v>0</v>
      </c>
      <c r="I5" s="93">
        <f>COUNTIFS(
    unis[empresa], $A5,
    unis[especie],I$3
)</f>
        <v>0</v>
      </c>
      <c r="J5" s="87">
        <f>COUNTIFS(
    estq[empresa], $A5,
    estq[especie],J$3
)</f>
        <v>0</v>
      </c>
      <c r="K5" s="87">
        <f>COUNTIFS(
    estq[empresa], $A5,
    estq[especie],K$3
)
+COUNTIFS(
    unis[empresa], $A5,
    unis[especie],"Moto"
)</f>
        <v>0</v>
      </c>
      <c r="L5" s="129">
        <f>COUNTIFS(
    unis[empresa], $A4,
    unis[especie], "Garagem",
    unis[obs.situacao], "*venda*"
)</f>
        <v>0</v>
      </c>
      <c r="M5" s="87"/>
      <c r="N5" s="129">
        <f>COUNTIFS(
    unis[empresa], $A5,
    unis[especie], "Moto",
    unis[obs.situacao], "*venda*"
)</f>
        <v>0</v>
      </c>
      <c r="O5" s="130">
        <f>COUNTIFS(
    unis[empresa], $A5,
    unis[especie], "Moto"
)-N$5</f>
        <v>0</v>
      </c>
      <c r="Q5" s="67" t="s">
        <v>13</v>
      </c>
      <c r="R5" s="52">
        <f>COUNTIFS(
    estq[empresa], $Q5,
    estq[Status],R$3)</f>
        <v>0</v>
      </c>
      <c r="S5" s="52">
        <f>COUNTIFS(
    estq[empresa], $Q5,
    estq[Status],S$3)</f>
        <v>0</v>
      </c>
      <c r="T5" s="52">
        <f>COUNTIFS(
    estq[empresa], $Q5,
    estq[Status],T$3)</f>
        <v>0</v>
      </c>
      <c r="U5" s="52">
        <f>COUNTIFS(
    estq[empresa], $Q5,
    estq[Status],U$3)</f>
        <v>0</v>
      </c>
      <c r="V5" s="52">
        <f>COUNTIFS(
    estq[empresa], $Q5,
    estq[Status],V$3)</f>
        <v>0</v>
      </c>
      <c r="W5" s="52">
        <f>COUNTIFS(
    estq[empresa], $Q5,
    estq[Status],W$3)</f>
        <v>0</v>
      </c>
      <c r="X5" s="52">
        <f>COUNTIFS(
    estq[empresa], $Q5,
    estq[Status],X$3)</f>
        <v>0</v>
      </c>
      <c r="Y5" s="68">
        <f t="shared" si="0"/>
        <v>0</v>
      </c>
    </row>
    <row r="6" spans="1:25" x14ac:dyDescent="0.25">
      <c r="A6" s="86" t="s">
        <v>12</v>
      </c>
      <c r="B6" s="87" t="s">
        <v>37</v>
      </c>
      <c r="C6" s="123">
        <v>10</v>
      </c>
      <c r="D6" s="123">
        <v>6</v>
      </c>
      <c r="E6" s="123">
        <v>6</v>
      </c>
      <c r="F6" s="124">
        <v>84</v>
      </c>
      <c r="G6" s="106">
        <f t="shared" si="1"/>
        <v>106</v>
      </c>
      <c r="H6" s="107">
        <f t="shared" si="2"/>
        <v>96</v>
      </c>
      <c r="I6" s="125"/>
      <c r="J6" s="123"/>
      <c r="K6" s="123"/>
      <c r="L6" s="123"/>
      <c r="M6" s="123"/>
      <c r="N6" s="123"/>
      <c r="O6" s="126"/>
      <c r="Q6" s="67" t="s">
        <v>14</v>
      </c>
      <c r="R6" s="52">
        <f>COUNTIFS(
    estq[empresa], $Q6,
    estq[Status],R$3)</f>
        <v>0</v>
      </c>
      <c r="S6" s="52">
        <f>COUNTIFS(
    estq[empresa], $Q6,
    estq[Status],S$3)</f>
        <v>0</v>
      </c>
      <c r="T6" s="52">
        <f>COUNTIFS(
    estq[empresa], $Q6,
    estq[Status],T$3)</f>
        <v>0</v>
      </c>
      <c r="U6" s="52">
        <f>COUNTIFS(
    estq[empresa], $Q6,
    estq[Status],U$3)</f>
        <v>0</v>
      </c>
      <c r="V6" s="52">
        <f>COUNTIFS(
    estq[empresa], $Q6,
    estq[Status],V$3)</f>
        <v>0</v>
      </c>
      <c r="W6" s="52">
        <f>COUNTIFS(
    estq[empresa], $Q6,
    estq[Status],W$3)</f>
        <v>0</v>
      </c>
      <c r="X6" s="52">
        <f>COUNTIFS(
    estq[empresa], $Q6,
    estq[Status],X$3)</f>
        <v>0</v>
      </c>
      <c r="Y6" s="68">
        <f t="shared" si="0"/>
        <v>0</v>
      </c>
    </row>
    <row r="7" spans="1:25" x14ac:dyDescent="0.25">
      <c r="A7" s="88" t="s">
        <v>12</v>
      </c>
      <c r="B7" s="89" t="s">
        <v>65</v>
      </c>
      <c r="C7" s="90"/>
      <c r="D7" s="90"/>
      <c r="E7" s="90"/>
      <c r="F7" s="92"/>
      <c r="G7" s="108">
        <f t="shared" si="1"/>
        <v>0</v>
      </c>
      <c r="H7" s="109">
        <f t="shared" si="2"/>
        <v>0</v>
      </c>
      <c r="I7" s="94"/>
      <c r="J7" s="90"/>
      <c r="K7" s="90"/>
      <c r="L7" s="90"/>
      <c r="M7" s="90"/>
      <c r="N7" s="90"/>
      <c r="O7" s="91"/>
      <c r="Q7" s="67" t="s">
        <v>15</v>
      </c>
      <c r="R7" s="52">
        <f>COUNTIFS(
    estq[empresa], $Q7,
    estq[Status],R$3)</f>
        <v>0</v>
      </c>
      <c r="S7" s="52">
        <f>COUNTIFS(
    estq[empresa], $Q7,
    estq[Status],S$3)</f>
        <v>0</v>
      </c>
      <c r="T7" s="52">
        <f>COUNTIFS(
    estq[empresa], $Q7,
    estq[Status],T$3)</f>
        <v>0</v>
      </c>
      <c r="U7" s="52">
        <f>COUNTIFS(
    estq[empresa], $Q7,
    estq[Status],U$3)</f>
        <v>0</v>
      </c>
      <c r="V7" s="52">
        <f>COUNTIFS(
    estq[empresa], $Q7,
    estq[Status],V$3)</f>
        <v>0</v>
      </c>
      <c r="W7" s="52">
        <f>COUNTIFS(
    estq[empresa], $Q7,
    estq[Status],W$3)</f>
        <v>0</v>
      </c>
      <c r="X7" s="52">
        <f>COUNTIFS(
    estq[empresa], $Q7,
    estq[Status],X$3)</f>
        <v>0</v>
      </c>
      <c r="Y7" s="68">
        <f t="shared" si="0"/>
        <v>0</v>
      </c>
    </row>
    <row r="8" spans="1:25" x14ac:dyDescent="0.25">
      <c r="A8" s="25" t="s">
        <v>13</v>
      </c>
      <c r="B8" s="26" t="s">
        <v>35</v>
      </c>
      <c r="C8" s="26">
        <f>R5</f>
        <v>0</v>
      </c>
      <c r="D8" s="26">
        <f>S5+T5</f>
        <v>0</v>
      </c>
      <c r="E8" s="26">
        <f>U5+W5+V5</f>
        <v>0</v>
      </c>
      <c r="F8" s="84">
        <f>X5</f>
        <v>0</v>
      </c>
      <c r="G8" s="104">
        <f t="shared" si="1"/>
        <v>0</v>
      </c>
      <c r="H8" s="105">
        <f t="shared" si="2"/>
        <v>0</v>
      </c>
      <c r="I8" s="103">
        <f>COUNTIFS(
    unis[empresa], $A8,
    unis[especie],I$3
)</f>
        <v>0</v>
      </c>
      <c r="J8" s="26">
        <f>COUNTIFS(
    unis[empresa], $A8,
    unis[especie],J$3
)</f>
        <v>0</v>
      </c>
      <c r="K8" s="26">
        <f>COUNTIFS(
    unis[empresa], $A8,
    unis[especie],K$3
)</f>
        <v>0</v>
      </c>
      <c r="L8" s="26"/>
      <c r="M8" s="26"/>
      <c r="N8" s="26"/>
      <c r="O8" s="28"/>
      <c r="Q8" s="67" t="s">
        <v>16</v>
      </c>
      <c r="R8" s="52">
        <f>COUNTIFS(
    estq[empresa], $Q8,
    estq[Status],R$3)</f>
        <v>0</v>
      </c>
      <c r="S8" s="52">
        <f>COUNTIFS(
    estq[empresa], $Q8,
    estq[Status],S$3)</f>
        <v>0</v>
      </c>
      <c r="T8" s="52">
        <f>COUNTIFS(
    estq[empresa], $Q8,
    estq[Status],T$3)</f>
        <v>0</v>
      </c>
      <c r="U8" s="52">
        <f>COUNTIFS(
    estq[empresa], $Q8,
    estq[Status],U$3)</f>
        <v>0</v>
      </c>
      <c r="V8" s="52">
        <f>COUNTIFS(
    estq[empresa], $Q8,
    estq[Status],V$3)</f>
        <v>0</v>
      </c>
      <c r="W8" s="52">
        <f>COUNTIFS(
    estq[empresa], $Q8,
    estq[Status],W$3)</f>
        <v>0</v>
      </c>
      <c r="X8" s="52">
        <f>COUNTIFS(
    estq[empresa], $Q8,
    estq[Status],X$3)</f>
        <v>0</v>
      </c>
      <c r="Y8" s="68">
        <f t="shared" si="0"/>
        <v>0</v>
      </c>
    </row>
    <row r="9" spans="1:25" x14ac:dyDescent="0.25">
      <c r="A9" s="86" t="s">
        <v>13</v>
      </c>
      <c r="B9" s="87" t="s">
        <v>34</v>
      </c>
      <c r="C9" s="87">
        <f>COUNTIFS(
    unis[empresa], $A11,
    unis[situacao], C$3
)</f>
        <v>0</v>
      </c>
      <c r="D9" s="87">
        <f>COUNTIFS(
    unis[empresa], $A11,
    unis[situacao], D$3
)</f>
        <v>0</v>
      </c>
      <c r="E9" s="87">
        <f>COUNTIFS(
    unis[empresa], $A9,
    unis[situacao], E$3
)
+COUNTIFS(
    unis[empresa], $A9,
    unis[situacao], F$3,
    unis[data], "&gt;" &amp; inputs0!$A$1
)</f>
        <v>0</v>
      </c>
      <c r="F9" s="85">
        <f>COUNTIFS(
    unis[empresa], $A9,
    unis[situacao], F$3,
    unis[data], "&lt;=" &amp; inputs0!$A$1
)</f>
        <v>0</v>
      </c>
      <c r="G9" s="106">
        <f t="shared" si="1"/>
        <v>0</v>
      </c>
      <c r="H9" s="107">
        <f t="shared" si="2"/>
        <v>0</v>
      </c>
      <c r="I9" s="93">
        <f>COUNTIFS(
    unis[empresa], $A9,
    unis[especie],I$3
)</f>
        <v>0</v>
      </c>
      <c r="J9" s="87">
        <f>COUNTIFS(
    estq[empresa], $A9,
    estq[especie],J$3
)</f>
        <v>0</v>
      </c>
      <c r="K9" s="87">
        <f>COUNTIFS(
    estq[empresa], $A9,
    estq[especie],K$3
)
+COUNTIFS(
    unis[empresa], $A9,
    unis[especie],"Moto"
)</f>
        <v>0</v>
      </c>
      <c r="L9" s="87"/>
      <c r="M9" s="87"/>
      <c r="N9" s="87"/>
      <c r="O9" s="83"/>
      <c r="Q9" s="67" t="s">
        <v>17</v>
      </c>
      <c r="R9" s="52">
        <f>COUNTIFS(
    estq[empresa], $Q9,
    estq[Status],R$3)</f>
        <v>0</v>
      </c>
      <c r="S9" s="52">
        <f>COUNTIFS(
    estq[empresa], $Q9,
    estq[Status],S$3)</f>
        <v>0</v>
      </c>
      <c r="T9" s="52">
        <f>COUNTIFS(
    estq[empresa], $Q9,
    estq[Status],T$3)</f>
        <v>0</v>
      </c>
      <c r="U9" s="52">
        <f>COUNTIFS(
    estq[empresa], $Q9,
    estq[Status],U$3)</f>
        <v>0</v>
      </c>
      <c r="V9" s="52">
        <f>COUNTIFS(
    estq[empresa], $Q9,
    estq[Status],V$3)</f>
        <v>0</v>
      </c>
      <c r="W9" s="52">
        <f>COUNTIFS(
    estq[empresa], $Q9,
    estq[Status],W$3)</f>
        <v>0</v>
      </c>
      <c r="X9" s="52">
        <f>COUNTIFS(
    estq[empresa], $Q9,
    estq[Status],X$3)</f>
        <v>0</v>
      </c>
      <c r="Y9" s="68">
        <f t="shared" si="0"/>
        <v>0</v>
      </c>
    </row>
    <row r="10" spans="1:25" x14ac:dyDescent="0.25">
      <c r="A10" s="86" t="s">
        <v>13</v>
      </c>
      <c r="B10" s="87" t="s">
        <v>37</v>
      </c>
      <c r="C10" s="123">
        <v>23</v>
      </c>
      <c r="D10" s="123">
        <v>5</v>
      </c>
      <c r="E10" s="123">
        <v>1</v>
      </c>
      <c r="F10" s="124">
        <v>151</v>
      </c>
      <c r="G10" s="106">
        <f t="shared" si="1"/>
        <v>180</v>
      </c>
      <c r="H10" s="107">
        <f t="shared" si="2"/>
        <v>157</v>
      </c>
      <c r="I10" s="125"/>
      <c r="J10" s="123"/>
      <c r="K10" s="123"/>
      <c r="L10" s="123"/>
      <c r="M10" s="123"/>
      <c r="N10" s="123"/>
      <c r="O10" s="126"/>
      <c r="Q10" s="67" t="s">
        <v>18</v>
      </c>
      <c r="R10" s="52">
        <f>COUNTIFS(
    estq[empresa], $Q10,
    estq[Status],R$3)</f>
        <v>0</v>
      </c>
      <c r="S10" s="52">
        <f>COUNTIFS(
    estq[empresa], $Q10,
    estq[Status],S$3)</f>
        <v>0</v>
      </c>
      <c r="T10" s="52">
        <f>COUNTIFS(
    estq[empresa], $Q10,
    estq[Status],T$3)</f>
        <v>0</v>
      </c>
      <c r="U10" s="52">
        <f>COUNTIFS(
    estq[empresa], $Q10,
    estq[Status],U$3)</f>
        <v>0</v>
      </c>
      <c r="V10" s="52">
        <f>COUNTIFS(
    estq[empresa], $Q10,
    estq[Status],V$3)</f>
        <v>0</v>
      </c>
      <c r="W10" s="52">
        <f>COUNTIFS(
    estq[empresa], $Q10,
    estq[Status],W$3)</f>
        <v>0</v>
      </c>
      <c r="X10" s="52">
        <f>COUNTIFS(
    estq[empresa], $Q10,
    estq[Status],X$3)</f>
        <v>0</v>
      </c>
      <c r="Y10" s="68">
        <f t="shared" si="0"/>
        <v>0</v>
      </c>
    </row>
    <row r="11" spans="1:25" x14ac:dyDescent="0.25">
      <c r="A11" s="88" t="s">
        <v>13</v>
      </c>
      <c r="B11" s="89" t="s">
        <v>65</v>
      </c>
      <c r="C11" s="90"/>
      <c r="D11" s="90"/>
      <c r="E11" s="90"/>
      <c r="F11" s="92"/>
      <c r="G11" s="108">
        <f t="shared" si="1"/>
        <v>0</v>
      </c>
      <c r="H11" s="109">
        <f t="shared" si="2"/>
        <v>0</v>
      </c>
      <c r="I11" s="94"/>
      <c r="J11" s="90"/>
      <c r="K11" s="90"/>
      <c r="L11" s="90"/>
      <c r="M11" s="90"/>
      <c r="N11" s="90"/>
      <c r="O11" s="91"/>
      <c r="Q11" s="69" t="s">
        <v>30</v>
      </c>
      <c r="R11" s="68">
        <f t="shared" ref="R11:S11" si="3">SUM(R4:R10)</f>
        <v>0</v>
      </c>
      <c r="S11" s="68">
        <f t="shared" si="3"/>
        <v>0</v>
      </c>
      <c r="T11" s="68">
        <f>SUM(T4:T10)</f>
        <v>0</v>
      </c>
      <c r="U11" s="68">
        <f>SUM(U4:U10)</f>
        <v>0</v>
      </c>
      <c r="V11" s="68">
        <f>SUM(V4:V10)</f>
        <v>0</v>
      </c>
      <c r="W11" s="68">
        <f>SUM(W4:W10)</f>
        <v>0</v>
      </c>
      <c r="X11" s="68">
        <f>SUM(X4:X10)</f>
        <v>0</v>
      </c>
      <c r="Y11" s="68">
        <f t="shared" si="0"/>
        <v>0</v>
      </c>
    </row>
    <row r="12" spans="1:25" x14ac:dyDescent="0.25">
      <c r="A12" s="25" t="s">
        <v>14</v>
      </c>
      <c r="B12" s="26" t="s">
        <v>35</v>
      </c>
      <c r="C12" s="26">
        <f>R6</f>
        <v>0</v>
      </c>
      <c r="D12" s="26">
        <f>S6+T6</f>
        <v>0</v>
      </c>
      <c r="E12" s="26">
        <f>U6+W6+V6</f>
        <v>0</v>
      </c>
      <c r="F12" s="84">
        <f>X6</f>
        <v>0</v>
      </c>
      <c r="G12" s="104">
        <f t="shared" si="1"/>
        <v>0</v>
      </c>
      <c r="H12" s="105">
        <f t="shared" si="2"/>
        <v>0</v>
      </c>
      <c r="I12" s="103">
        <f>COUNTIFS(
    unis[empresa], $A12,
    unis[especie],I$3
)</f>
        <v>0</v>
      </c>
      <c r="J12" s="26">
        <f>COUNTIFS(
    unis[empresa], $A12,
    unis[especie],J$3
)</f>
        <v>0</v>
      </c>
      <c r="K12" s="26">
        <f>COUNTIFS(
    unis[empresa], $A12,
    unis[especie],K$3
)</f>
        <v>0</v>
      </c>
      <c r="L12" s="26"/>
      <c r="M12" s="26"/>
      <c r="N12" s="26"/>
      <c r="O12" s="28"/>
    </row>
    <row r="13" spans="1:25" x14ac:dyDescent="0.25">
      <c r="A13" s="86" t="s">
        <v>14</v>
      </c>
      <c r="B13" s="87" t="s">
        <v>34</v>
      </c>
      <c r="C13" s="87">
        <f>COUNTIFS(
    unis[empresa], $A15,
    unis[situacao], C$3
)</f>
        <v>0</v>
      </c>
      <c r="D13" s="87">
        <f>COUNTIFS(
    unis[empresa], $A15,
    unis[situacao], D$3
)</f>
        <v>0</v>
      </c>
      <c r="E13" s="87">
        <f>COUNTIFS(
    unis[empresa], $A13,
    unis[situacao], E$3
)
+COUNTIFS(
    unis[empresa], $A13,
    unis[situacao], F$3,
    unis[data], "&gt;" &amp; inputs0!$A$1
)</f>
        <v>0</v>
      </c>
      <c r="F13" s="85">
        <f>COUNTIFS(
    unis[empresa], $A13,
    unis[situacao], F$3,
    unis[data], "&lt;=" &amp; inputs0!$A$1
)</f>
        <v>0</v>
      </c>
      <c r="G13" s="106">
        <f t="shared" si="1"/>
        <v>0</v>
      </c>
      <c r="H13" s="107">
        <f t="shared" si="2"/>
        <v>0</v>
      </c>
      <c r="I13" s="93">
        <f>COUNTIFS(
    unis[empresa], $A13,
    unis[especie],I$3
)</f>
        <v>0</v>
      </c>
      <c r="J13" s="87">
        <f>COUNTIFS(
    estq[empresa], $A13,
    estq[especie],J$3
)</f>
        <v>0</v>
      </c>
      <c r="K13" s="87">
        <f>COUNTIFS(
    estq[empresa], $A13,
    estq[especie],K$3
)
+COUNTIFS(
    unis[empresa], $A13,
    unis[especie],"Moto"
)</f>
        <v>0</v>
      </c>
      <c r="L13" s="87"/>
      <c r="M13" s="87"/>
      <c r="N13" s="87"/>
      <c r="O13" s="83"/>
    </row>
    <row r="14" spans="1:25" x14ac:dyDescent="0.25">
      <c r="A14" s="86" t="s">
        <v>14</v>
      </c>
      <c r="B14" s="87" t="s">
        <v>37</v>
      </c>
      <c r="C14" s="123">
        <v>0</v>
      </c>
      <c r="D14" s="123">
        <v>2</v>
      </c>
      <c r="E14" s="123">
        <v>11</v>
      </c>
      <c r="F14" s="124">
        <v>128</v>
      </c>
      <c r="G14" s="106">
        <f t="shared" si="1"/>
        <v>141</v>
      </c>
      <c r="H14" s="107">
        <f t="shared" si="2"/>
        <v>141</v>
      </c>
      <c r="I14" s="125"/>
      <c r="J14" s="123"/>
      <c r="K14" s="123"/>
      <c r="L14" s="123"/>
      <c r="M14" s="123"/>
      <c r="N14" s="123"/>
      <c r="O14" s="126"/>
    </row>
    <row r="15" spans="1:25" x14ac:dyDescent="0.25">
      <c r="A15" s="88" t="s">
        <v>14</v>
      </c>
      <c r="B15" s="89" t="s">
        <v>65</v>
      </c>
      <c r="C15" s="90"/>
      <c r="D15" s="90"/>
      <c r="E15" s="90"/>
      <c r="F15" s="92"/>
      <c r="G15" s="108">
        <f t="shared" si="1"/>
        <v>0</v>
      </c>
      <c r="H15" s="109">
        <f t="shared" si="2"/>
        <v>0</v>
      </c>
      <c r="I15" s="94"/>
      <c r="J15" s="90"/>
      <c r="K15" s="90"/>
      <c r="L15" s="90"/>
      <c r="M15" s="90"/>
      <c r="N15" s="90"/>
      <c r="O15" s="91"/>
    </row>
    <row r="16" spans="1:25" x14ac:dyDescent="0.25">
      <c r="A16" s="25" t="s">
        <v>15</v>
      </c>
      <c r="B16" s="26" t="s">
        <v>35</v>
      </c>
      <c r="C16" s="26">
        <f>R7</f>
        <v>0</v>
      </c>
      <c r="D16" s="26">
        <f>S7+T7</f>
        <v>0</v>
      </c>
      <c r="E16" s="26">
        <f>U7+W7+V7</f>
        <v>0</v>
      </c>
      <c r="F16" s="84">
        <f>X7</f>
        <v>0</v>
      </c>
      <c r="G16" s="104">
        <f t="shared" si="1"/>
        <v>0</v>
      </c>
      <c r="H16" s="105">
        <f t="shared" si="2"/>
        <v>0</v>
      </c>
      <c r="I16" s="103">
        <f>COUNTIFS(
    unis[empresa], $A16,
    unis[especie],I$3
)</f>
        <v>0</v>
      </c>
      <c r="J16" s="26">
        <f>COUNTIFS(
    unis[empresa], $A16,
    unis[especie],J$3
)</f>
        <v>0</v>
      </c>
      <c r="K16" s="26">
        <f>COUNTIFS(
    unis[empresa], $A16,
    unis[especie],K$3
)</f>
        <v>0</v>
      </c>
      <c r="L16" s="26"/>
      <c r="M16" s="26"/>
      <c r="N16" s="26"/>
      <c r="O16" s="28"/>
    </row>
    <row r="17" spans="1:15" x14ac:dyDescent="0.25">
      <c r="A17" s="86" t="s">
        <v>15</v>
      </c>
      <c r="B17" s="87" t="s">
        <v>34</v>
      </c>
      <c r="C17" s="87">
        <f>COUNTIFS(
    unis[empresa], $A19,
    unis[situacao], C$3
)</f>
        <v>0</v>
      </c>
      <c r="D17" s="87">
        <f>COUNTIFS(
    unis[empresa], $A19,
    unis[situacao], D$3
)</f>
        <v>0</v>
      </c>
      <c r="E17" s="87">
        <f>COUNTIFS(
    unis[empresa], $A17,
    unis[situacao], E$3
)
+COUNTIFS(
    unis[empresa], $A17,
    unis[situacao], F$3,
    unis[data], "&gt;" &amp; inputs0!$A$1
)</f>
        <v>0</v>
      </c>
      <c r="F17" s="85">
        <f>COUNTIFS(
    unis[empresa], $A17,
    unis[situacao], F$3,
    unis[data], "&lt;=" &amp; inputs0!$A$1
)</f>
        <v>0</v>
      </c>
      <c r="G17" s="106">
        <f t="shared" si="1"/>
        <v>0</v>
      </c>
      <c r="H17" s="107">
        <f t="shared" si="2"/>
        <v>0</v>
      </c>
      <c r="I17" s="93">
        <f>COUNTIFS(
    unis[empresa], $A17,
    unis[especie],I$3
)</f>
        <v>0</v>
      </c>
      <c r="J17" s="87">
        <f>COUNTIFS(
    estq[empresa], $A17,
    estq[especie],J$3
)</f>
        <v>0</v>
      </c>
      <c r="K17" s="87">
        <f>COUNTIFS(
    estq[empresa], $A17,
    estq[especie],K$3
)
+COUNTIFS(
    unis[empresa], $A17,
    unis[especie],"Moto"
)</f>
        <v>0</v>
      </c>
      <c r="L17" s="87"/>
      <c r="M17" s="87"/>
      <c r="N17" s="87"/>
      <c r="O17" s="83"/>
    </row>
    <row r="18" spans="1:15" x14ac:dyDescent="0.25">
      <c r="A18" s="86" t="s">
        <v>15</v>
      </c>
      <c r="B18" s="87" t="s">
        <v>37</v>
      </c>
      <c r="C18" s="123">
        <v>12</v>
      </c>
      <c r="D18" s="123">
        <v>0</v>
      </c>
      <c r="E18" s="123">
        <v>93</v>
      </c>
      <c r="F18" s="124">
        <v>121</v>
      </c>
      <c r="G18" s="106">
        <f t="shared" si="1"/>
        <v>226</v>
      </c>
      <c r="H18" s="107">
        <f t="shared" si="2"/>
        <v>214</v>
      </c>
      <c r="I18" s="125"/>
      <c r="J18" s="123"/>
      <c r="K18" s="123"/>
      <c r="L18" s="123"/>
      <c r="M18" s="123"/>
      <c r="N18" s="123"/>
      <c r="O18" s="126"/>
    </row>
    <row r="19" spans="1:15" x14ac:dyDescent="0.25">
      <c r="A19" s="88" t="s">
        <v>15</v>
      </c>
      <c r="B19" s="89" t="s">
        <v>65</v>
      </c>
      <c r="C19" s="90"/>
      <c r="D19" s="90"/>
      <c r="E19" s="90"/>
      <c r="F19" s="92"/>
      <c r="G19" s="108">
        <f t="shared" si="1"/>
        <v>0</v>
      </c>
      <c r="H19" s="109">
        <f t="shared" si="2"/>
        <v>0</v>
      </c>
      <c r="I19" s="94"/>
      <c r="J19" s="90"/>
      <c r="K19" s="90"/>
      <c r="L19" s="90"/>
      <c r="M19" s="90"/>
      <c r="N19" s="90"/>
      <c r="O19" s="91"/>
    </row>
    <row r="20" spans="1:15" x14ac:dyDescent="0.25">
      <c r="A20" s="25" t="s">
        <v>16</v>
      </c>
      <c r="B20" s="26" t="s">
        <v>35</v>
      </c>
      <c r="C20" s="26">
        <f>R8</f>
        <v>0</v>
      </c>
      <c r="D20" s="26">
        <f>S8+T8</f>
        <v>0</v>
      </c>
      <c r="E20" s="26">
        <f>U8+W8+V8</f>
        <v>0</v>
      </c>
      <c r="F20" s="84">
        <f>X8</f>
        <v>0</v>
      </c>
      <c r="G20" s="104">
        <f t="shared" si="1"/>
        <v>0</v>
      </c>
      <c r="H20" s="105">
        <f t="shared" si="2"/>
        <v>0</v>
      </c>
      <c r="I20" s="103">
        <f>COUNTIFS(
    unis[empresa], $A20,
    unis[especie],I$3
)</f>
        <v>0</v>
      </c>
      <c r="J20" s="26">
        <f>COUNTIFS(
    unis[empresa], $A20,
    unis[especie],J$3
)</f>
        <v>0</v>
      </c>
      <c r="K20" s="26">
        <f>COUNTIFS(
    unis[empresa], $A20,
    unis[especie],K$3
)</f>
        <v>0</v>
      </c>
      <c r="L20" s="26"/>
      <c r="M20" s="26"/>
      <c r="N20" s="26"/>
      <c r="O20" s="28"/>
    </row>
    <row r="21" spans="1:15" x14ac:dyDescent="0.25">
      <c r="A21" s="86" t="s">
        <v>16</v>
      </c>
      <c r="B21" s="87" t="s">
        <v>34</v>
      </c>
      <c r="C21" s="87">
        <f>COUNTIFS(
    unis[empresa], $A23,
    unis[situacao], C$3
)</f>
        <v>0</v>
      </c>
      <c r="D21" s="87">
        <f>COUNTIFS(
    unis[empresa], $A23,
    unis[situacao], D$3
)</f>
        <v>0</v>
      </c>
      <c r="E21" s="87">
        <f>COUNTIFS(
    unis[empresa], $A21,
    unis[situacao], E$3
)
+COUNTIFS(
    unis[empresa], $A21,
    unis[situacao], F$3,
    unis[data], "&gt;" &amp; inputs0!$A$1
)</f>
        <v>0</v>
      </c>
      <c r="F21" s="85">
        <f>COUNTIFS(
    unis[empresa], $A21,
    unis[situacao], F$3,
    unis[data], "&lt;=" &amp; inputs0!$A$1
)</f>
        <v>0</v>
      </c>
      <c r="G21" s="106">
        <f t="shared" si="1"/>
        <v>0</v>
      </c>
      <c r="H21" s="107">
        <f t="shared" si="2"/>
        <v>0</v>
      </c>
      <c r="I21" s="93">
        <f>COUNTIFS(
    unis[empresa], $A21,
    unis[especie],I$3
)</f>
        <v>0</v>
      </c>
      <c r="J21" s="87">
        <f>COUNTIFS(
    estq[empresa], $A21,
    estq[especie],J$3
)</f>
        <v>0</v>
      </c>
      <c r="K21" s="87">
        <f>COUNTIFS(
    estq[empresa], $A21,
    estq[especie],K$3
)
+COUNTIFS(
    unis[empresa], $A21,
    unis[especie],"Moto"
)</f>
        <v>0</v>
      </c>
      <c r="L21" s="87"/>
      <c r="M21" s="87"/>
      <c r="N21" s="87"/>
      <c r="O21" s="83"/>
    </row>
    <row r="22" spans="1:15" x14ac:dyDescent="0.25">
      <c r="A22" s="86" t="s">
        <v>16</v>
      </c>
      <c r="B22" s="87" t="s">
        <v>37</v>
      </c>
      <c r="C22" s="123">
        <v>16</v>
      </c>
      <c r="D22" s="123">
        <v>1</v>
      </c>
      <c r="E22" s="123">
        <v>0</v>
      </c>
      <c r="F22" s="124">
        <v>55</v>
      </c>
      <c r="G22" s="106">
        <f t="shared" si="1"/>
        <v>72</v>
      </c>
      <c r="H22" s="107">
        <f t="shared" si="2"/>
        <v>56</v>
      </c>
      <c r="I22" s="125"/>
      <c r="J22" s="123"/>
      <c r="K22" s="123"/>
      <c r="L22" s="123"/>
      <c r="M22" s="123"/>
      <c r="N22" s="123"/>
      <c r="O22" s="126"/>
    </row>
    <row r="23" spans="1:15" x14ac:dyDescent="0.25">
      <c r="A23" s="88" t="s">
        <v>16</v>
      </c>
      <c r="B23" s="89" t="s">
        <v>65</v>
      </c>
      <c r="C23" s="90"/>
      <c r="D23" s="90"/>
      <c r="E23" s="90"/>
      <c r="F23" s="92"/>
      <c r="G23" s="108">
        <f t="shared" si="1"/>
        <v>0</v>
      </c>
      <c r="H23" s="109">
        <f t="shared" si="2"/>
        <v>0</v>
      </c>
      <c r="I23" s="94"/>
      <c r="J23" s="90"/>
      <c r="K23" s="90"/>
      <c r="L23" s="90"/>
      <c r="M23" s="90"/>
      <c r="N23" s="90"/>
      <c r="O23" s="91"/>
    </row>
    <row r="24" spans="1:15" x14ac:dyDescent="0.25">
      <c r="A24" s="25" t="s">
        <v>17</v>
      </c>
      <c r="B24" s="26" t="s">
        <v>35</v>
      </c>
      <c r="C24" s="26">
        <f>R9</f>
        <v>0</v>
      </c>
      <c r="D24" s="26">
        <f>S9+T9</f>
        <v>0</v>
      </c>
      <c r="E24" s="26">
        <f>U9+W9+V9</f>
        <v>0</v>
      </c>
      <c r="F24" s="84">
        <f>X9</f>
        <v>0</v>
      </c>
      <c r="G24" s="104">
        <f t="shared" si="1"/>
        <v>0</v>
      </c>
      <c r="H24" s="105">
        <f t="shared" si="2"/>
        <v>0</v>
      </c>
      <c r="I24" s="103">
        <f>COUNTIFS(
    unis[empresa], $A24,
    unis[especie],I$3
)</f>
        <v>0</v>
      </c>
      <c r="J24" s="26">
        <f>COUNTIFS(
    unis[empresa], $A24,
    unis[especie],J$3
)</f>
        <v>0</v>
      </c>
      <c r="K24" s="26">
        <f>COUNTIFS(
    unis[empresa], $A24,
    unis[especie],K$3
)</f>
        <v>0</v>
      </c>
      <c r="L24" s="26"/>
      <c r="M24" s="26"/>
      <c r="N24" s="26"/>
      <c r="O24" s="28"/>
    </row>
    <row r="25" spans="1:15" x14ac:dyDescent="0.25">
      <c r="A25" s="86" t="s">
        <v>17</v>
      </c>
      <c r="B25" s="87" t="s">
        <v>34</v>
      </c>
      <c r="C25" s="87">
        <f>COUNTIFS(
    unis[empresa], $A27,
    unis[situacao], C$3
)</f>
        <v>0</v>
      </c>
      <c r="D25" s="87">
        <f>COUNTIFS(
    unis[empresa], $A27,
    unis[situacao], D$3
)</f>
        <v>0</v>
      </c>
      <c r="E25" s="87">
        <f>COUNTIFS(
    unis[empresa], $A25,
    unis[situacao], E$3
)
+COUNTIFS(
    unis[empresa], $A25,
    unis[situacao], F$3,
    unis[data], "&gt;" &amp; inputs0!$A$1
)</f>
        <v>0</v>
      </c>
      <c r="F25" s="85">
        <f>COUNTIFS(
    unis[empresa], $A25,
    unis[situacao], F$3,
    unis[data], "&lt;=" &amp; inputs0!$A$1
)</f>
        <v>0</v>
      </c>
      <c r="G25" s="106">
        <f t="shared" si="1"/>
        <v>0</v>
      </c>
      <c r="H25" s="107">
        <f t="shared" si="2"/>
        <v>0</v>
      </c>
      <c r="I25" s="93">
        <f>COUNTIFS(
    unis[empresa], $A25,
    unis[especie],I$3
)</f>
        <v>0</v>
      </c>
      <c r="J25" s="87">
        <f>COUNTIFS(
    estq[empresa], $A25,
    estq[especie],J$3
)</f>
        <v>0</v>
      </c>
      <c r="K25" s="87">
        <f>COUNTIFS(
    estq[empresa], $A25,
    estq[especie],K$3
)
+COUNTIFS(
    unis[empresa], $A25,
    unis[especie],"Moto"
)</f>
        <v>0</v>
      </c>
      <c r="L25" s="87"/>
      <c r="M25" s="87"/>
      <c r="N25" s="87"/>
      <c r="O25" s="83"/>
    </row>
    <row r="26" spans="1:15" x14ac:dyDescent="0.25">
      <c r="A26" s="86" t="s">
        <v>17</v>
      </c>
      <c r="B26" s="87" t="s">
        <v>37</v>
      </c>
      <c r="C26" s="123">
        <v>37</v>
      </c>
      <c r="D26" s="123">
        <v>2</v>
      </c>
      <c r="E26" s="123">
        <v>5</v>
      </c>
      <c r="F26" s="124">
        <v>190</v>
      </c>
      <c r="G26" s="106">
        <f t="shared" si="1"/>
        <v>234</v>
      </c>
      <c r="H26" s="107">
        <f t="shared" si="2"/>
        <v>197</v>
      </c>
      <c r="I26" s="125"/>
      <c r="J26" s="123"/>
      <c r="K26" s="123"/>
      <c r="L26" s="123"/>
      <c r="M26" s="123"/>
      <c r="N26" s="123"/>
      <c r="O26" s="126"/>
    </row>
    <row r="27" spans="1:15" x14ac:dyDescent="0.25">
      <c r="A27" s="88" t="s">
        <v>17</v>
      </c>
      <c r="B27" s="89" t="s">
        <v>65</v>
      </c>
      <c r="C27" s="90"/>
      <c r="D27" s="90"/>
      <c r="E27" s="90"/>
      <c r="F27" s="92"/>
      <c r="G27" s="108">
        <f t="shared" si="1"/>
        <v>0</v>
      </c>
      <c r="H27" s="109">
        <f t="shared" si="2"/>
        <v>0</v>
      </c>
      <c r="I27" s="94"/>
      <c r="J27" s="90"/>
      <c r="K27" s="90"/>
      <c r="L27" s="90"/>
      <c r="M27" s="90"/>
      <c r="N27" s="90"/>
      <c r="O27" s="91"/>
    </row>
    <row r="28" spans="1:15" x14ac:dyDescent="0.25">
      <c r="A28" s="25" t="s">
        <v>18</v>
      </c>
      <c r="B28" s="26" t="s">
        <v>35</v>
      </c>
      <c r="C28" s="26">
        <f>R10</f>
        <v>0</v>
      </c>
      <c r="D28" s="26">
        <f>S10+T10</f>
        <v>0</v>
      </c>
      <c r="E28" s="26">
        <f>U10+W10+V10</f>
        <v>0</v>
      </c>
      <c r="F28" s="84">
        <f>X10</f>
        <v>0</v>
      </c>
      <c r="G28" s="104">
        <f t="shared" si="1"/>
        <v>0</v>
      </c>
      <c r="H28" s="105">
        <f t="shared" si="2"/>
        <v>0</v>
      </c>
      <c r="I28" s="103">
        <f>COUNTIFS(
    unis[empresa], $A28,
    unis[especie],I$3
)</f>
        <v>0</v>
      </c>
      <c r="J28" s="26">
        <f>COUNTIFS(
    unis[empresa], $A28,
    unis[especie],J$3
)</f>
        <v>0</v>
      </c>
      <c r="K28" s="26">
        <f>COUNTIFS(
    unis[empresa], $A28,
    unis[especie],K$3
)</f>
        <v>0</v>
      </c>
      <c r="L28" s="26"/>
      <c r="M28" s="26"/>
      <c r="N28" s="26"/>
      <c r="O28" s="28"/>
    </row>
    <row r="29" spans="1:15" x14ac:dyDescent="0.25">
      <c r="A29" s="86" t="s">
        <v>18</v>
      </c>
      <c r="B29" s="87" t="s">
        <v>34</v>
      </c>
      <c r="C29" s="87">
        <f>COUNTIFS(
    unis[empresa], $A31,
    unis[situacao], C$3
)</f>
        <v>0</v>
      </c>
      <c r="D29" s="87">
        <f>COUNTIFS(
    unis[empresa], $A31,
    unis[situacao], D$3
)</f>
        <v>0</v>
      </c>
      <c r="E29" s="87">
        <f>COUNTIFS(
    unis[empresa], $A29,
    unis[situacao], E$3
)
+COUNTIFS(
    unis[empresa], $A29,
    unis[situacao], F$3,
    unis[data], "&gt;" &amp; inputs0!$A$1
)</f>
        <v>0</v>
      </c>
      <c r="F29" s="85">
        <f>COUNTIFS(
    unis[empresa], $A29,
    unis[situacao], F$3,
    unis[data], "&lt;=" &amp; inputs0!$A$1
)</f>
        <v>0</v>
      </c>
      <c r="G29" s="106">
        <f t="shared" si="1"/>
        <v>0</v>
      </c>
      <c r="H29" s="107">
        <f t="shared" si="2"/>
        <v>0</v>
      </c>
      <c r="I29" s="93">
        <f>COUNTIFS(
    unis[empresa], $A29,
    unis[especie],I$3
)</f>
        <v>0</v>
      </c>
      <c r="J29" s="87">
        <f>COUNTIFS(
    estq[empresa], $A29,
    estq[especie],J$3
)</f>
        <v>0</v>
      </c>
      <c r="K29" s="87">
        <f>COUNTIFS(
    estq[empresa], $A29,
    estq[especie],K$3
)
+COUNTIFS(
    unis[empresa], $A29,
    unis[especie],"Moto"
)</f>
        <v>0</v>
      </c>
      <c r="L29" s="87"/>
      <c r="M29" s="87"/>
      <c r="N29" s="87"/>
      <c r="O29" s="83"/>
    </row>
    <row r="30" spans="1:15" x14ac:dyDescent="0.25">
      <c r="A30" s="86" t="s">
        <v>18</v>
      </c>
      <c r="B30" s="87" t="s">
        <v>37</v>
      </c>
      <c r="C30" s="123"/>
      <c r="D30" s="123"/>
      <c r="E30" s="123"/>
      <c r="F30" s="124"/>
      <c r="G30" s="106">
        <f t="shared" si="1"/>
        <v>0</v>
      </c>
      <c r="H30" s="107">
        <f t="shared" si="2"/>
        <v>0</v>
      </c>
      <c r="I30" s="125"/>
      <c r="J30" s="123"/>
      <c r="K30" s="123"/>
      <c r="L30" s="123"/>
      <c r="M30" s="123"/>
      <c r="N30" s="123"/>
      <c r="O30" s="126"/>
    </row>
    <row r="31" spans="1:15" ht="15.75" thickBot="1" x14ac:dyDescent="0.3">
      <c r="A31" s="88" t="s">
        <v>18</v>
      </c>
      <c r="B31" s="89" t="s">
        <v>65</v>
      </c>
      <c r="C31" s="90"/>
      <c r="D31" s="90"/>
      <c r="E31" s="90"/>
      <c r="F31" s="92"/>
      <c r="G31" s="110">
        <f t="shared" si="1"/>
        <v>0</v>
      </c>
      <c r="H31" s="111">
        <f t="shared" si="2"/>
        <v>0</v>
      </c>
      <c r="I31" s="94"/>
      <c r="J31" s="90"/>
      <c r="K31" s="90"/>
      <c r="L31" s="90"/>
      <c r="M31" s="90"/>
      <c r="N31" s="90"/>
      <c r="O31" s="91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>
      <selection activeCell="P27" sqref="P27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79" t="s">
        <v>188</v>
      </c>
      <c r="P1" s="80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workbookViewId="0">
      <selection activeCell="N34" sqref="N34"/>
    </sheetView>
  </sheetViews>
  <sheetFormatPr defaultRowHeight="15" x14ac:dyDescent="0.25"/>
  <sheetData>
    <row r="1" spans="1:17" x14ac:dyDescent="0.25">
      <c r="A1" t="s">
        <v>233</v>
      </c>
      <c r="B1" s="151" t="s">
        <v>188</v>
      </c>
      <c r="C1" s="151" t="s">
        <v>234</v>
      </c>
      <c r="D1" s="152" t="s">
        <v>235</v>
      </c>
      <c r="E1" s="151" t="s">
        <v>236</v>
      </c>
      <c r="F1" s="151" t="s">
        <v>237</v>
      </c>
      <c r="G1" s="151" t="s">
        <v>238</v>
      </c>
      <c r="H1" s="151" t="s">
        <v>239</v>
      </c>
      <c r="I1" s="151" t="s">
        <v>240</v>
      </c>
      <c r="J1" s="153" t="s">
        <v>329</v>
      </c>
      <c r="K1" s="154" t="s">
        <v>330</v>
      </c>
      <c r="L1" s="151" t="s">
        <v>241</v>
      </c>
      <c r="M1" s="153" t="s">
        <v>331</v>
      </c>
      <c r="N1" s="154" t="s">
        <v>332</v>
      </c>
      <c r="O1" s="153" t="s">
        <v>333</v>
      </c>
      <c r="P1" s="153" t="s">
        <v>334</v>
      </c>
      <c r="Q1" s="153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77" t="s">
        <v>207</v>
      </c>
      <c r="B1" s="77" t="s">
        <v>74</v>
      </c>
      <c r="C1" s="77" t="s">
        <v>77</v>
      </c>
      <c r="D1" s="77" t="s">
        <v>190</v>
      </c>
      <c r="E1" s="77" t="s">
        <v>189</v>
      </c>
      <c r="F1" s="77" t="s">
        <v>196</v>
      </c>
      <c r="G1" s="77" t="s">
        <v>197</v>
      </c>
      <c r="H1" s="77" t="s">
        <v>198</v>
      </c>
      <c r="I1" s="77" t="s">
        <v>208</v>
      </c>
      <c r="J1" s="77" t="s">
        <v>191</v>
      </c>
      <c r="K1" s="77" t="s">
        <v>209</v>
      </c>
      <c r="L1" s="77" t="s">
        <v>210</v>
      </c>
      <c r="M1" s="77" t="s">
        <v>211</v>
      </c>
      <c r="N1" s="77" t="s">
        <v>212</v>
      </c>
      <c r="O1" s="77" t="s">
        <v>213</v>
      </c>
      <c r="P1" s="77" t="s">
        <v>214</v>
      </c>
      <c r="Q1" s="77" t="s">
        <v>215</v>
      </c>
      <c r="R1" s="77" t="s">
        <v>216</v>
      </c>
      <c r="S1" s="77" t="s">
        <v>217</v>
      </c>
      <c r="T1" s="77" t="s">
        <v>218</v>
      </c>
      <c r="U1" s="77" t="s">
        <v>219</v>
      </c>
      <c r="V1" s="77" t="s">
        <v>220</v>
      </c>
      <c r="W1" s="77" t="s">
        <v>221</v>
      </c>
      <c r="X1" s="77" t="s">
        <v>222</v>
      </c>
      <c r="Y1" s="77" t="s">
        <v>223</v>
      </c>
      <c r="Z1" s="77" t="s">
        <v>224</v>
      </c>
      <c r="AA1" s="77" t="s">
        <v>194</v>
      </c>
      <c r="AB1" s="77" t="s">
        <v>195</v>
      </c>
      <c r="AC1" s="77" t="s">
        <v>225</v>
      </c>
      <c r="AD1" s="77" t="s">
        <v>226</v>
      </c>
      <c r="AE1" s="77" t="s">
        <v>199</v>
      </c>
      <c r="AF1" s="77" t="s">
        <v>227</v>
      </c>
      <c r="AG1" s="77" t="s">
        <v>228</v>
      </c>
      <c r="AH1" s="77" t="s">
        <v>229</v>
      </c>
      <c r="AI1" s="77" t="s">
        <v>230</v>
      </c>
    </row>
    <row r="2" spans="1:35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77" t="s">
        <v>74</v>
      </c>
      <c r="B1" s="77" t="s">
        <v>197</v>
      </c>
      <c r="C1" s="77" t="s">
        <v>298</v>
      </c>
      <c r="D1" s="77" t="s">
        <v>299</v>
      </c>
      <c r="E1" s="77" t="s">
        <v>300</v>
      </c>
      <c r="F1" s="77" t="s">
        <v>301</v>
      </c>
      <c r="G1" s="77" t="s">
        <v>302</v>
      </c>
      <c r="H1" s="77" t="s">
        <v>303</v>
      </c>
      <c r="I1" s="77" t="s">
        <v>271</v>
      </c>
      <c r="J1" s="77" t="s">
        <v>304</v>
      </c>
      <c r="K1" s="77" t="s">
        <v>305</v>
      </c>
      <c r="L1" s="77" t="s">
        <v>76</v>
      </c>
      <c r="M1" s="77" t="s">
        <v>227</v>
      </c>
      <c r="N1" s="77" t="s">
        <v>228</v>
      </c>
      <c r="O1" s="77" t="s">
        <v>229</v>
      </c>
      <c r="P1" s="77" t="s">
        <v>230</v>
      </c>
    </row>
    <row r="2" spans="1:16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77"/>
      <c r="B2" s="77"/>
      <c r="C2" s="77"/>
      <c r="D2" s="77"/>
      <c r="E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77" t="s">
        <v>196</v>
      </c>
      <c r="G1" s="77" t="s">
        <v>197</v>
      </c>
      <c r="H1" s="77" t="s">
        <v>198</v>
      </c>
      <c r="I1" s="77" t="s">
        <v>208</v>
      </c>
      <c r="J1" s="77" t="s">
        <v>191</v>
      </c>
      <c r="K1" s="77" t="s">
        <v>209</v>
      </c>
      <c r="L1" s="77" t="s">
        <v>210</v>
      </c>
      <c r="M1" s="77" t="s">
        <v>211</v>
      </c>
      <c r="N1" s="77" t="s">
        <v>212</v>
      </c>
      <c r="O1" s="77" t="s">
        <v>213</v>
      </c>
      <c r="P1" s="77" t="s">
        <v>214</v>
      </c>
      <c r="Q1" s="77" t="s">
        <v>215</v>
      </c>
      <c r="R1" s="77" t="s">
        <v>216</v>
      </c>
      <c r="S1" s="77" t="s">
        <v>217</v>
      </c>
      <c r="T1" s="77" t="s">
        <v>218</v>
      </c>
      <c r="U1" s="77" t="s">
        <v>219</v>
      </c>
      <c r="V1" s="77" t="s">
        <v>220</v>
      </c>
      <c r="W1" s="77" t="s">
        <v>221</v>
      </c>
      <c r="X1" s="77" t="s">
        <v>222</v>
      </c>
      <c r="Y1" s="77" t="s">
        <v>223</v>
      </c>
      <c r="Z1" s="77" t="s">
        <v>224</v>
      </c>
      <c r="AA1" s="77" t="s">
        <v>194</v>
      </c>
      <c r="AB1" s="77" t="s">
        <v>195</v>
      </c>
      <c r="AC1" s="77" t="s">
        <v>225</v>
      </c>
      <c r="AD1" s="77" t="s">
        <v>226</v>
      </c>
      <c r="AE1" s="77" t="s">
        <v>199</v>
      </c>
      <c r="AF1" s="77" t="s">
        <v>227</v>
      </c>
      <c r="AG1" s="77" t="s">
        <v>228</v>
      </c>
      <c r="AH1" s="77" t="s">
        <v>229</v>
      </c>
      <c r="AI1" s="77" t="s">
        <v>230</v>
      </c>
    </row>
    <row r="2" spans="1:35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77" t="s">
        <v>311</v>
      </c>
      <c r="G1" s="77" t="s">
        <v>312</v>
      </c>
      <c r="H1" s="77" t="s">
        <v>212</v>
      </c>
      <c r="I1" s="77" t="s">
        <v>190</v>
      </c>
      <c r="J1" s="77" t="s">
        <v>189</v>
      </c>
      <c r="K1" s="77" t="s">
        <v>303</v>
      </c>
      <c r="L1" s="77" t="s">
        <v>313</v>
      </c>
      <c r="M1" s="77" t="s">
        <v>314</v>
      </c>
      <c r="N1" s="77" t="s">
        <v>315</v>
      </c>
      <c r="O1" s="77" t="s">
        <v>316</v>
      </c>
      <c r="P1" s="77" t="s">
        <v>317</v>
      </c>
      <c r="Q1" s="77" t="s">
        <v>318</v>
      </c>
      <c r="R1" s="77" t="s">
        <v>319</v>
      </c>
      <c r="S1" s="77" t="s">
        <v>320</v>
      </c>
      <c r="T1" s="77" t="s">
        <v>321</v>
      </c>
      <c r="U1" s="77" t="s">
        <v>322</v>
      </c>
      <c r="V1" s="77" t="s">
        <v>323</v>
      </c>
      <c r="W1" s="77" t="s">
        <v>324</v>
      </c>
      <c r="X1" s="77" t="s">
        <v>325</v>
      </c>
      <c r="Y1" s="77" t="s">
        <v>326</v>
      </c>
      <c r="Z1" s="77" t="s">
        <v>327</v>
      </c>
      <c r="AA1" s="77" t="s">
        <v>328</v>
      </c>
      <c r="AB1" s="77" t="s">
        <v>227</v>
      </c>
      <c r="AC1" s="77" t="s">
        <v>229</v>
      </c>
      <c r="AD1" s="77" t="s">
        <v>228</v>
      </c>
      <c r="AE1" s="77" t="s">
        <v>230</v>
      </c>
    </row>
    <row r="2" spans="1:31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77" t="s">
        <v>74</v>
      </c>
      <c r="B1" s="77" t="s">
        <v>233</v>
      </c>
      <c r="C1" s="77" t="s">
        <v>188</v>
      </c>
      <c r="D1" s="77" t="s">
        <v>234</v>
      </c>
      <c r="E1" s="77" t="s">
        <v>235</v>
      </c>
      <c r="F1" s="77" t="s">
        <v>236</v>
      </c>
      <c r="G1" s="77" t="s">
        <v>237</v>
      </c>
      <c r="H1" s="77" t="s">
        <v>238</v>
      </c>
      <c r="I1" s="77" t="s">
        <v>239</v>
      </c>
      <c r="J1" s="77" t="s">
        <v>240</v>
      </c>
      <c r="K1" s="77" t="s">
        <v>241</v>
      </c>
      <c r="L1" s="77" t="s">
        <v>227</v>
      </c>
    </row>
    <row r="2" spans="1:12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showGridLines="0" workbookViewId="0">
      <selection sqref="A1:Y1"/>
    </sheetView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inputs</vt:lpstr>
      <vt:lpstr>ik-&gt;viab</vt:lpstr>
      <vt:lpstr>inputs0</vt:lpstr>
      <vt:lpstr>viabs</vt:lpstr>
      <vt:lpstr>vgv</vt:lpstr>
      <vt:lpstr>status.unis</vt:lpstr>
      <vt:lpstr>rec.uni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2026-02-19T19:54:14Z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